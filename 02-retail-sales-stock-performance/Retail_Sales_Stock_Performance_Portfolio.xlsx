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README" sheetId="1" state="visible" r:id="rId3"/>
    <sheet name="Dashboard" sheetId="2" state="visible" r:id="rId4"/>
    <sheet name="Assumptions" sheetId="3" state="visible" r:id="rId5"/>
    <sheet name="Products" sheetId="4" state="visible" r:id="rId6"/>
    <sheet name="Inventory" sheetId="5" state="visible" r:id="rId7"/>
    <sheet name="Sales" sheetId="6" state="visible" r:id="rId8"/>
  </sheets>
  <definedNames>
    <definedName function="false" hidden="true" localSheetId="4" name="_xlnm._FilterDatabase" vbProcedure="false">Inventory!$A$1:$K$241</definedName>
    <definedName function="false" hidden="true" localSheetId="3" name="_xlnm._FilterDatabase" vbProcedure="false">Products!$A$1:$M$49</definedName>
    <definedName function="false" hidden="true" localSheetId="5" name="_xlnm._FilterDatabase" vbProcedure="false">Sales!$A$1:$K$6001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<sst xmlns="http://schemas.openxmlformats.org/spreadsheetml/2006/main" count="12788" uniqueCount="221">
  <si>
    <t xml:space="preserve">Retail Sales, Margin &amp; Stock Performance – BI Portfolio Project</t>
  </si>
  <si>
    <t xml:space="preserve">BZME Insights  |  Sector: Retail / FMCG  |  Tool: Excel (formula-driven)</t>
  </si>
  <si>
    <t xml:space="preserve">BUSINESS PROBLEM</t>
  </si>
  <si>
    <t xml:space="preserve">A supermarket chain with five branches sells thousands of units a week but cannot easily see which products drive profit, where stock-outs cost sales, and where cash is tied up in slow stock. This workbook gives management one view.</t>
  </si>
  <si>
    <t xml:space="preserve">BUSINESS QUESTIONS</t>
  </si>
  <si>
    <t xml:space="preserve">1. Which categories, stores and SKUs drive revenue and gross profit?</t>
  </si>
  <si>
    <t xml:space="preserve">2. How much revenue is lost to stock-outs, and where?</t>
  </si>
  <si>
    <t xml:space="preserve">3. Which SKUs are the A-class products that must always be in stock?</t>
  </si>
  <si>
    <t xml:space="preserve">4. Which store-SKU lines risk running out, and which are overstocked?</t>
  </si>
  <si>
    <t xml:space="preserve">5. Which SKUs earn below the target margin?</t>
  </si>
  <si>
    <t xml:space="preserve">HOW THE WORKBOOK IS BUILT</t>
  </si>
  <si>
    <t xml:space="preserve">Sales: 6,000 weekly store-SKU records (25 weeks). Revenue, COGS (including store shrinkage), gross profit and lost revenue are formulas.</t>
  </si>
  <si>
    <t xml:space="preserve">Products: price, cost, margin, revenue rank, cumulative revenue and ABC class (formulas).</t>
  </si>
  <si>
    <t xml:space="preserve">Inventory: end-of-period stock vs recent demand: weeks of cover, stock status and reorder flag (formulas).</t>
  </si>
  <si>
    <t xml:space="preserve">Assumptions: editable thresholds (ABC cut-offs, cover limits, target margin) and store shrinkage rates. Blue = input.</t>
  </si>
  <si>
    <t xml:space="preserve">Dashboard: KPIs, key findings, tables and charts, all linked to the data.</t>
  </si>
  <si>
    <t xml:space="preserve">KEY DEFINITIONS</t>
  </si>
  <si>
    <t xml:space="preserve">Weeks of cover = stock on hand ÷ average weekly units sold over the look-back period.</t>
  </si>
  <si>
    <t xml:space="preserve">ABC class: A = SKUs making up the first 80% of revenue, B = next 15%, C = the rest.</t>
  </si>
  <si>
    <t xml:space="preserve">Estimated lost revenue = units sold per in-stock day × days out of stock × unit price.</t>
  </si>
  <si>
    <t xml:space="preserve">Stock-out rate = days out of stock ÷ total store-SKU days.</t>
  </si>
  <si>
    <t xml:space="preserve">IMPORTANT NOTES</t>
  </si>
  <si>
    <t xml:space="preserve">All data is synthetic and generated for demonstration. Prices and margins are illustrative, not from any real retailer.</t>
  </si>
  <si>
    <t xml:space="preserve">Findings are calculated live, so they update when assumptions change.</t>
  </si>
  <si>
    <t xml:space="preserve">RECOMMENDATIONS (FRAMEWORK)</t>
  </si>
  <si>
    <t xml:space="preserve">Protect A-class SKUs with higher safety stock and daily replenishment checks in the weakest stores.</t>
  </si>
  <si>
    <t xml:space="preserve">Reduce orders on overstocked lines to free cash, and transfer excess stock between stores.</t>
  </si>
  <si>
    <t xml:space="preserve">Review pricing or supplier cost on SKUs below the margin target, starting with high-volume ones.</t>
  </si>
  <si>
    <t xml:space="preserve">Investigate stores with the highest stock-out rates (replenishment frequency, supplier lead time).</t>
  </si>
  <si>
    <t xml:space="preserve">Retail Sales, Margin &amp; Stock Performance Dashboard</t>
  </si>
  <si>
    <t xml:space="preserve">REVENUE (KES)</t>
  </si>
  <si>
    <t xml:space="preserve">GROSS PROFIT (KES)</t>
  </si>
  <si>
    <t xml:space="preserve">GROSS MARGIN</t>
  </si>
  <si>
    <t xml:space="preserve">UNITS SOLD</t>
  </si>
  <si>
    <t xml:space="preserve">EST. LOST REVENUE (KES)</t>
  </si>
  <si>
    <t xml:space="preserve">LINES AT STOCK-OUT RISK</t>
  </si>
  <si>
    <t xml:space="preserve">Key findings (update automatically)</t>
  </si>
  <si>
    <t xml:space="preserve">1. Monthly trend</t>
  </si>
  <si>
    <t xml:space="preserve">Month start</t>
  </si>
  <si>
    <t xml:space="preserve">Month</t>
  </si>
  <si>
    <t xml:space="preserve">Weeks in month</t>
  </si>
  <si>
    <t xml:space="preserve">Revenue (KES)</t>
  </si>
  <si>
    <t xml:space="preserve">Gross Profit (KES)</t>
  </si>
  <si>
    <t xml:space="preserve">Margin %</t>
  </si>
  <si>
    <t xml:space="preserve">Revenue / week (KES)</t>
  </si>
  <si>
    <t xml:space="preserve">2. Category performance</t>
  </si>
  <si>
    <t xml:space="preserve">Category</t>
  </si>
  <si>
    <t xml:space="preserve">% of Revenue</t>
  </si>
  <si>
    <t xml:space="preserve">Units Sold</t>
  </si>
  <si>
    <t xml:space="preserve">Grocery Staples</t>
  </si>
  <si>
    <t xml:space="preserve">Dairy &amp; Eggs</t>
  </si>
  <si>
    <t xml:space="preserve">Beverages</t>
  </si>
  <si>
    <t xml:space="preserve">Household</t>
  </si>
  <si>
    <t xml:space="preserve">Personal Care</t>
  </si>
  <si>
    <t xml:space="preserve">Snacks &amp; Confectionery</t>
  </si>
  <si>
    <t xml:space="preserve">Total</t>
  </si>
  <si>
    <t xml:space="preserve">3. Store performance and stock-outs</t>
  </si>
  <si>
    <t xml:space="preserve">Store</t>
  </si>
  <si>
    <t xml:space="preserve">Stock-out Rate</t>
  </si>
  <si>
    <t xml:space="preserve">Est. Lost Revenue (KES)</t>
  </si>
  <si>
    <t xml:space="preserve">Lost % of Sales</t>
  </si>
  <si>
    <t xml:space="preserve">Nairobi CBD</t>
  </si>
  <si>
    <t xml:space="preserve">Westlands</t>
  </si>
  <si>
    <t xml:space="preserve">Nakuru</t>
  </si>
  <si>
    <t xml:space="preserve">Kisumu</t>
  </si>
  <si>
    <t xml:space="preserve">Mombasa</t>
  </si>
  <si>
    <t xml:space="preserve">4. ABC analysis (revenue concentration)</t>
  </si>
  <si>
    <t xml:space="preserve">Class</t>
  </si>
  <si>
    <t xml:space="preserve">SKUs</t>
  </si>
  <si>
    <t xml:space="preserve">Avg Margin %</t>
  </si>
  <si>
    <t xml:space="preserve">A</t>
  </si>
  <si>
    <t xml:space="preserve">B</t>
  </si>
  <si>
    <t xml:space="preserve">C</t>
  </si>
  <si>
    <t xml:space="preserve">5. Inventory health (end of period)</t>
  </si>
  <si>
    <t xml:space="preserve">Stock status</t>
  </si>
  <si>
    <t xml:space="preserve">Store-SKU lines</t>
  </si>
  <si>
    <t xml:space="preserve">Stock value at cost (KES)</t>
  </si>
  <si>
    <t xml:space="preserve">% of Stock Value</t>
  </si>
  <si>
    <t xml:space="preserve">Lines to reorder now</t>
  </si>
  <si>
    <t xml:space="preserve">Stock-out risk</t>
  </si>
  <si>
    <t xml:space="preserve">Low</t>
  </si>
  <si>
    <t xml:space="preserve">Healthy</t>
  </si>
  <si>
    <t xml:space="preserve">Overstock</t>
  </si>
  <si>
    <t xml:space="preserve">6. Top 10 SKUs by revenue</t>
  </si>
  <si>
    <t xml:space="preserve">Rank</t>
  </si>
  <si>
    <t xml:space="preserve">SKU</t>
  </si>
  <si>
    <t xml:space="preserve">Product</t>
  </si>
  <si>
    <t xml:space="preserve">ABC Class</t>
  </si>
  <si>
    <t xml:space="preserve">Assumptions &amp; Parameters</t>
  </si>
  <si>
    <t xml:space="preserve">Blue cells are editable inputs. Everything else recalculates from them.</t>
  </si>
  <si>
    <t xml:space="preserve">As-of date</t>
  </si>
  <si>
    <t xml:space="preserve">Last day covered by the data.</t>
  </si>
  <si>
    <t xml:space="preserve">Period start</t>
  </si>
  <si>
    <t xml:space="preserve">First week start.</t>
  </si>
  <si>
    <t xml:space="preserve">Weeks in period</t>
  </si>
  <si>
    <t xml:space="preserve">Calculated.</t>
  </si>
  <si>
    <t xml:space="preserve">ABC class A: cumulative revenue up to</t>
  </si>
  <si>
    <t xml:space="preserve">SKUs making up the first 80% of revenue.</t>
  </si>
  <si>
    <t xml:space="preserve">ABC class B: cumulative revenue up to</t>
  </si>
  <si>
    <t xml:space="preserve">Next 15%; the rest is class C.</t>
  </si>
  <si>
    <t xml:space="preserve">Stock-out risk: weeks of cover below</t>
  </si>
  <si>
    <t xml:space="preserve">Stock covers less than this many weeks of sales.</t>
  </si>
  <si>
    <t xml:space="preserve">Low stock: weeks of cover below</t>
  </si>
  <si>
    <t xml:space="preserve">Overstock: weeks of cover above</t>
  </si>
  <si>
    <t xml:space="preserve">Cash tied up in slow stock.</t>
  </si>
  <si>
    <t xml:space="preserve">Target gross margin</t>
  </si>
  <si>
    <t xml:space="preserve">SKUs below this are flagged.</t>
  </si>
  <si>
    <t xml:space="preserve">Demand look-back (weeks)</t>
  </si>
  <si>
    <t xml:space="preserve">Weeks used to estimate average weekly demand.</t>
  </si>
  <si>
    <t xml:space="preserve">Store shrinkage &amp; wastage (% added to cost of goods sold)</t>
  </si>
  <si>
    <t xml:space="preserve">Unit Cost (KES)</t>
  </si>
  <si>
    <t xml:space="preserve">Unit Price (KES)</t>
  </si>
  <si>
    <t xml:space="preserve">Revenue Rank</t>
  </si>
  <si>
    <t xml:space="preserve">Cum. % of Revenue</t>
  </si>
  <si>
    <t xml:space="preserve">Margin Flag</t>
  </si>
  <si>
    <t xml:space="preserve">SKU001</t>
  </si>
  <si>
    <t xml:space="preserve">Maize Flour 2kg</t>
  </si>
  <si>
    <t xml:space="preserve">SKU002</t>
  </si>
  <si>
    <t xml:space="preserve">Wheat Flour 2kg</t>
  </si>
  <si>
    <t xml:space="preserve">SKU003</t>
  </si>
  <si>
    <t xml:space="preserve">Rice Pishori 2kg</t>
  </si>
  <si>
    <t xml:space="preserve">SKU004</t>
  </si>
  <si>
    <t xml:space="preserve">Sugar 1kg</t>
  </si>
  <si>
    <t xml:space="preserve">SKU005</t>
  </si>
  <si>
    <t xml:space="preserve">Cooking Oil 1L</t>
  </si>
  <si>
    <t xml:space="preserve">SKU006</t>
  </si>
  <si>
    <t xml:space="preserve">Salt 500g</t>
  </si>
  <si>
    <t xml:space="preserve">SKU007</t>
  </si>
  <si>
    <t xml:space="preserve">Tea Leaves 250g</t>
  </si>
  <si>
    <t xml:space="preserve">SKU008</t>
  </si>
  <si>
    <t xml:space="preserve">Dry Beans 1kg</t>
  </si>
  <si>
    <t xml:space="preserve">SKU009</t>
  </si>
  <si>
    <t xml:space="preserve">Fresh Milk 500ml</t>
  </si>
  <si>
    <t xml:space="preserve">SKU010</t>
  </si>
  <si>
    <t xml:space="preserve">Fresh Milk 1L</t>
  </si>
  <si>
    <t xml:space="preserve">SKU011</t>
  </si>
  <si>
    <t xml:space="preserve">Yoghurt 500ml</t>
  </si>
  <si>
    <t xml:space="preserve">SKU012</t>
  </si>
  <si>
    <t xml:space="preserve">Butter 250g</t>
  </si>
  <si>
    <t xml:space="preserve">SKU013</t>
  </si>
  <si>
    <t xml:space="preserve">Eggs Tray of 30</t>
  </si>
  <si>
    <t xml:space="preserve">SKU014</t>
  </si>
  <si>
    <t xml:space="preserve">Cheese Slices 200g</t>
  </si>
  <si>
    <t xml:space="preserve">SKU015</t>
  </si>
  <si>
    <t xml:space="preserve">Cooking Fat 500g</t>
  </si>
  <si>
    <t xml:space="preserve">SKU016</t>
  </si>
  <si>
    <t xml:space="preserve">UHT Milk 1L</t>
  </si>
  <si>
    <t xml:space="preserve">SKU017</t>
  </si>
  <si>
    <t xml:space="preserve">Soda 500ml</t>
  </si>
  <si>
    <t xml:space="preserve">SKU018</t>
  </si>
  <si>
    <t xml:space="preserve">Soda 2L</t>
  </si>
  <si>
    <t xml:space="preserve">SKU019</t>
  </si>
  <si>
    <t xml:space="preserve">Mango Juice 1L</t>
  </si>
  <si>
    <t xml:space="preserve">SKU020</t>
  </si>
  <si>
    <t xml:space="preserve">Bottled Water 1L</t>
  </si>
  <si>
    <t xml:space="preserve">SKU021</t>
  </si>
  <si>
    <t xml:space="preserve">Bottled Water 500ml</t>
  </si>
  <si>
    <t xml:space="preserve">SKU022</t>
  </si>
  <si>
    <t xml:space="preserve">Energy Drink 300ml</t>
  </si>
  <si>
    <t xml:space="preserve">SKU023</t>
  </si>
  <si>
    <t xml:space="preserve">Instant Coffee 100g</t>
  </si>
  <si>
    <t xml:space="preserve">SKU024</t>
  </si>
  <si>
    <t xml:space="preserve">Drinking Chocolate 250g</t>
  </si>
  <si>
    <t xml:space="preserve">SKU025</t>
  </si>
  <si>
    <t xml:space="preserve">Laundry Detergent 1kg</t>
  </si>
  <si>
    <t xml:space="preserve">SKU026</t>
  </si>
  <si>
    <t xml:space="preserve">Dish Soap 750ml</t>
  </si>
  <si>
    <t xml:space="preserve">SKU027</t>
  </si>
  <si>
    <t xml:space="preserve">Bar Soap 800g</t>
  </si>
  <si>
    <t xml:space="preserve">SKU028</t>
  </si>
  <si>
    <t xml:space="preserve">Toilet Paper 10 Pack</t>
  </si>
  <si>
    <t xml:space="preserve">SKU029</t>
  </si>
  <si>
    <t xml:space="preserve">Bleach 750ml</t>
  </si>
  <si>
    <t xml:space="preserve">SKU030</t>
  </si>
  <si>
    <t xml:space="preserve">Floor Cleaner 1L</t>
  </si>
  <si>
    <t xml:space="preserve">SKU031</t>
  </si>
  <si>
    <t xml:space="preserve">Matchbox 10 Pack</t>
  </si>
  <si>
    <t xml:space="preserve">SKU032</t>
  </si>
  <si>
    <t xml:space="preserve">Sponge Scourer 3 Pack</t>
  </si>
  <si>
    <t xml:space="preserve">SKU033</t>
  </si>
  <si>
    <t xml:space="preserve">Toothpaste 100ml</t>
  </si>
  <si>
    <t xml:space="preserve">SKU034</t>
  </si>
  <si>
    <t xml:space="preserve">Body Lotion 400ml</t>
  </si>
  <si>
    <t xml:space="preserve">SKU035</t>
  </si>
  <si>
    <t xml:space="preserve">Shower Gel 400ml</t>
  </si>
  <si>
    <t xml:space="preserve">SKU036</t>
  </si>
  <si>
    <t xml:space="preserve">Deodorant Roll-on</t>
  </si>
  <si>
    <t xml:space="preserve">SKU037</t>
  </si>
  <si>
    <t xml:space="preserve">Sanitary Pads 8 Pack</t>
  </si>
  <si>
    <t xml:space="preserve">SKU038</t>
  </si>
  <si>
    <t xml:space="preserve">Shampoo 400ml</t>
  </si>
  <si>
    <t xml:space="preserve">SKU039</t>
  </si>
  <si>
    <t xml:space="preserve">Petroleum Jelly 250g</t>
  </si>
  <si>
    <t xml:space="preserve">SKU040</t>
  </si>
  <si>
    <t xml:space="preserve">Hand Wash 500ml</t>
  </si>
  <si>
    <t xml:space="preserve">SKU041</t>
  </si>
  <si>
    <t xml:space="preserve">Biscuits 200g</t>
  </si>
  <si>
    <t xml:space="preserve">SKU042</t>
  </si>
  <si>
    <t xml:space="preserve">Potato Crisps 100g</t>
  </si>
  <si>
    <t xml:space="preserve">SKU043</t>
  </si>
  <si>
    <t xml:space="preserve">Chocolate Bar 90g</t>
  </si>
  <si>
    <t xml:space="preserve">SKU044</t>
  </si>
  <si>
    <t xml:space="preserve">Peanuts Roasted 250g</t>
  </si>
  <si>
    <t xml:space="preserve">SKU045</t>
  </si>
  <si>
    <t xml:space="preserve">Bread White 400g</t>
  </si>
  <si>
    <t xml:space="preserve">SKU046</t>
  </si>
  <si>
    <t xml:space="preserve">Cake Slice</t>
  </si>
  <si>
    <t xml:space="preserve">SKU047</t>
  </si>
  <si>
    <t xml:space="preserve">Sweets Jar 300g</t>
  </si>
  <si>
    <t xml:space="preserve">SKU048</t>
  </si>
  <si>
    <t xml:space="preserve">Popcorn 100g</t>
  </si>
  <si>
    <t xml:space="preserve">Stock on Hand (units)</t>
  </si>
  <si>
    <t xml:space="preserve">Reorder Level (units)</t>
  </si>
  <si>
    <t xml:space="preserve">Avg Weekly Units</t>
  </si>
  <si>
    <t xml:space="preserve">Weeks of Cover</t>
  </si>
  <si>
    <t xml:space="preserve">Stock Status</t>
  </si>
  <si>
    <t xml:space="preserve">Stock Value at Cost (KES)</t>
  </si>
  <si>
    <t xml:space="preserve">Reorder Now</t>
  </si>
  <si>
    <t xml:space="preserve">Week Start</t>
  </si>
  <si>
    <t xml:space="preserve">Days Out of Stock</t>
  </si>
  <si>
    <t xml:space="preserve">COGS (KES)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</si>
</sst>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#,##0"/>
    <numFmt numFmtId="166" formatCode="0.0%"/>
    <numFmt numFmtId="167" formatCode="mmm\ yyyy"/>
    <numFmt numFmtId="168" formatCode="0"/>
    <numFmt numFmtId="169" formatCode="yyyy\-mm\-dd"/>
    <numFmt numFmtId="170" formatCode="0%"/>
    <numFmt numFmtId="171" formatCode="0.0"/>
    <numFmt numFmtId="172" formatCode="#,##0.0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10"/>
      <color rgb="FF7F6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8"/>
      <color rgb="FFFFFFFF"/>
      <name val="Arial"/>
      <family val="0"/>
      <charset val="1"/>
    </font>
    <font>
      <b val="true"/>
      <sz val="8"/>
      <color rgb="FFFFFFFF"/>
      <name val="Arial"/>
      <family val="0"/>
      <charset val="1"/>
    </font>
    <font>
      <b val="true"/>
      <sz val="16"/>
      <color rgb="FF5C1A1B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4"/>
      <color rgb="FF5C1A1B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1"/>
      <color rgb="FF5C1A1B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5C1A1B"/>
        <bgColor rgb="FF800000"/>
      </patternFill>
    </fill>
    <fill>
      <patternFill patternType="solid">
        <fgColor rgb="FFF6EFE2"/>
        <bgColor rgb="FFFFFFFF"/>
      </patternFill>
    </fill>
    <fill>
      <patternFill patternType="solid">
        <fgColor rgb="FFC9A66B"/>
        <bgColor rgb="FFF4B6B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5" fillId="3" borderId="0" xfId="0" applyFont="true" applyBorder="true" applyAlignment="true" applyProtection="false">
      <alignment horizontal="general" vertical="bottom" textRotation="0" wrapText="false" indent="1" shrinkToFit="false"/>
      <protection locked="true" hidden="false"/>
    </xf>
    <xf numFmtId="16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1" shrinkToFit="false"/>
      <protection locked="true" hidden="false"/>
    </xf>
    <xf numFmtId="164" fontId="8" fillId="2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9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2" borderId="0" xfId="0" applyFont="true" applyBorder="true" applyAlignment="true" applyProtection="false">
      <alignment horizontal="general" vertical="bottom" textRotation="0" wrapText="false" indent="1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3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1">
    <dxf>
      <fill>
        <patternFill patternType="solid">
          <fgColor rgb="FF5C1A1B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BDD7EE"/>
          <bgColor rgb="FF000000"/>
        </patternFill>
      </fill>
    </dxf>
    <dxf>
      <fill>
        <patternFill patternType="solid">
          <fgColor rgb="FFC6E0B4"/>
          <bgColor rgb="FF000000"/>
        </patternFill>
      </fill>
    </dxf>
    <dxf>
      <fill>
        <patternFill patternType="solid">
          <fgColor rgb="FFF4B6B6"/>
          <bgColor rgb="FF000000"/>
        </patternFill>
      </fill>
    </dxf>
    <dxf>
      <fill>
        <patternFill patternType="solid">
          <fgColor rgb="FFFFE699"/>
          <bgColor rgb="FF000000"/>
        </patternFill>
      </fill>
    </dxf>
    <dxf>
      <fill>
        <patternFill>
          <bgColor rgb="FFF4B6B6"/>
        </patternFill>
      </fill>
    </dxf>
    <dxf>
      <fill>
        <patternFill>
          <bgColor rgb="FFFFE699"/>
        </patternFill>
      </fill>
    </dxf>
    <dxf>
      <fill>
        <patternFill>
          <bgColor rgb="FFBDD7EE"/>
        </patternFill>
      </fill>
    </dxf>
    <dxf>
      <fill>
        <patternFill>
          <bgColor rgb="FFC6E0B4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5C1A1B"/>
      <rgbColor rgb="FF008000"/>
      <rgbColor rgb="FF000080"/>
      <rgbColor rgb="FF7F6000"/>
      <rgbColor rgb="FF800080"/>
      <rgbColor rgb="FF008080"/>
      <rgbColor rgb="FFD9D9D9"/>
      <rgbColor rgb="FF878787"/>
      <rgbColor rgb="FF9999FF"/>
      <rgbColor rgb="FF993366"/>
      <rgbColor rgb="FFF6EFE2"/>
      <rgbColor rgb="FFCCFFFF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E699"/>
      <rgbColor rgb="FF99CCFF"/>
      <rgbColor rgb="FFFF99CC"/>
      <rgbColor rgb="FFCC99FF"/>
      <rgbColor rgb="FFF4B6B6"/>
      <rgbColor rgb="FF3366FF"/>
      <rgbColor rgb="FF33CCCC"/>
      <rgbColor rgb="FF99CC00"/>
      <rgbColor rgb="FFFFCC00"/>
      <rgbColor rgb="FFFF9900"/>
      <rgbColor rgb="FFFF6600"/>
      <rgbColor rgb="FF595959"/>
      <rgbColor rgb="FFC9A66B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per week by month (KES)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Dashboard!G17</c:f>
              <c:strCache>
                <c:ptCount val="1"/>
                <c:pt idx="0">
                  <c:v>Revenue / week (KES)</c:v>
                </c:pt>
              </c:strCache>
            </c:strRef>
          </c:tx>
          <c:spPr>
            <a:solidFill>
              <a:srgbClr val="5c1a1b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Dashboard!$B$18:$B$23</c:f>
              <c:strCache>
                <c:ptCount val="6"/>
                <c:pt idx="0">
                  <c:v>Apr</c:v>
                </c:pt>
                <c:pt idx="1">
                  <c:v>May</c:v>
                </c:pt>
                <c:pt idx="2">
                  <c:v>Jun</c:v>
                </c:pt>
                <c:pt idx="3">
                  <c:v>Jul</c:v>
                </c:pt>
                <c:pt idx="4">
                  <c:v>Aug</c:v>
                </c:pt>
                <c:pt idx="5">
                  <c:v>Sep</c:v>
                </c:pt>
              </c:strCache>
            </c:strRef>
          </c:cat>
          <c:val>
            <c:numRef>
              <c:f>Dashboard!$G$18:$G$23</c:f>
              <c:numCache>
                <c:formatCode>#,##0</c:formatCode>
                <c:ptCount val="6"/>
                <c:pt idx="0">
                  <c:v>4874051.25</c:v>
                </c:pt>
                <c:pt idx="1">
                  <c:v>4825270</c:v>
                </c:pt>
                <c:pt idx="2">
                  <c:v>4715453</c:v>
                </c:pt>
                <c:pt idx="3">
                  <c:v>4465371.25</c:v>
                </c:pt>
                <c:pt idx="4">
                  <c:v>4368514</c:v>
                </c:pt>
                <c:pt idx="5">
                  <c:v>4818691.66666667</c:v>
                </c:pt>
              </c:numCache>
            </c:numRef>
          </c:val>
        </c:ser>
        <c:gapWidth val="150"/>
        <c:overlap val="0"/>
        <c:axId val="19019796"/>
        <c:axId val="64448220"/>
      </c:barChart>
      <c:catAx>
        <c:axId val="190197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4448220"/>
        <c:crosses val="autoZero"/>
        <c:auto val="1"/>
        <c:lblAlgn val="ctr"/>
        <c:lblOffset val="100"/>
        <c:noMultiLvlLbl val="0"/>
      </c:catAx>
      <c:valAx>
        <c:axId val="6444822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901979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by category (KES)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Dashboard!B33</c:f>
              <c:strCache>
                <c:ptCount val="1"/>
                <c:pt idx="0">
                  <c:v>Revenue (KES)</c:v>
                </c:pt>
              </c:strCache>
            </c:strRef>
          </c:tx>
          <c:spPr>
            <a:solidFill>
              <a:srgbClr val="5c1a1b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Dashboard!$A$34:$A$39</c:f>
              <c:strCache>
                <c:ptCount val="6"/>
                <c:pt idx="0">
                  <c:v>Grocery Staples</c:v>
                </c:pt>
                <c:pt idx="1">
                  <c:v>Dairy &amp; Eggs</c:v>
                </c:pt>
                <c:pt idx="2">
                  <c:v>Beverages</c:v>
                </c:pt>
                <c:pt idx="3">
                  <c:v>Household</c:v>
                </c:pt>
                <c:pt idx="4">
                  <c:v>Personal Care</c:v>
                </c:pt>
                <c:pt idx="5">
                  <c:v>Snacks &amp; Confectionery</c:v>
                </c:pt>
              </c:strCache>
            </c:strRef>
          </c:cat>
          <c:val>
            <c:numRef>
              <c:f>Dashboard!$B$34:$B$39</c:f>
              <c:numCache>
                <c:formatCode>#,##0</c:formatCode>
                <c:ptCount val="6"/>
                <c:pt idx="0">
                  <c:v>27942570</c:v>
                </c:pt>
                <c:pt idx="1">
                  <c:v>33295385</c:v>
                </c:pt>
                <c:pt idx="2">
                  <c:v>19475340</c:v>
                </c:pt>
                <c:pt idx="3">
                  <c:v>9465030</c:v>
                </c:pt>
                <c:pt idx="4">
                  <c:v>14820860</c:v>
                </c:pt>
                <c:pt idx="5">
                  <c:v>11535495</c:v>
                </c:pt>
              </c:numCache>
            </c:numRef>
          </c:val>
        </c:ser>
        <c:gapWidth val="150"/>
        <c:overlap val="0"/>
        <c:axId val="40318546"/>
        <c:axId val="85108082"/>
      </c:barChart>
      <c:catAx>
        <c:axId val="4031854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5108082"/>
        <c:crosses val="autoZero"/>
        <c:auto val="1"/>
        <c:lblAlgn val="ctr"/>
        <c:lblOffset val="100"/>
        <c:noMultiLvlLbl val="0"/>
      </c:catAx>
      <c:valAx>
        <c:axId val="8510808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031854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Estimated lost revenue from stock-outs (KES)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Dashboard!F49</c:f>
              <c:strCache>
                <c:ptCount val="1"/>
                <c:pt idx="0">
                  <c:v>Est. Lost Revenue (KES)</c:v>
                </c:pt>
              </c:strCache>
            </c:strRef>
          </c:tx>
          <c:spPr>
            <a:solidFill>
              <a:srgbClr val="c9a66b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Dashboard!$A$50:$A$54</c:f>
              <c:strCache>
                <c:ptCount val="5"/>
                <c:pt idx="0">
                  <c:v>Nairobi CBD</c:v>
                </c:pt>
                <c:pt idx="1">
                  <c:v>Westlands</c:v>
                </c:pt>
                <c:pt idx="2">
                  <c:v>Nakuru</c:v>
                </c:pt>
                <c:pt idx="3">
                  <c:v>Kisumu</c:v>
                </c:pt>
                <c:pt idx="4">
                  <c:v>Mombasa</c:v>
                </c:pt>
              </c:strCache>
            </c:strRef>
          </c:cat>
          <c:val>
            <c:numRef>
              <c:f>Dashboard!$F$50:$F$54</c:f>
              <c:numCache>
                <c:formatCode>#,##0</c:formatCode>
                <c:ptCount val="5"/>
                <c:pt idx="0">
                  <c:v>527266.666666667</c:v>
                </c:pt>
                <c:pt idx="1">
                  <c:v>320602.333333333</c:v>
                </c:pt>
                <c:pt idx="2">
                  <c:v>463421</c:v>
                </c:pt>
                <c:pt idx="3">
                  <c:v>443301.416666667</c:v>
                </c:pt>
                <c:pt idx="4">
                  <c:v>419100.666666667</c:v>
                </c:pt>
              </c:numCache>
            </c:numRef>
          </c:val>
        </c:ser>
        <c:gapWidth val="150"/>
        <c:overlap val="0"/>
        <c:axId val="52372095"/>
        <c:axId val="16958005"/>
      </c:barChart>
      <c:catAx>
        <c:axId val="523720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6958005"/>
        <c:crosses val="autoZero"/>
        <c:auto val="1"/>
        <c:lblAlgn val="ctr"/>
        <c:lblOffset val="100"/>
        <c:noMultiLvlLbl val="0"/>
      </c:catAx>
      <c:valAx>
        <c:axId val="1695800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237209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0</xdr:colOff>
      <xdr:row>16</xdr:row>
      <xdr:rowOff>0</xdr:rowOff>
    </xdr:from>
    <xdr:to>
      <xdr:col>14</xdr:col>
      <xdr:colOff>127800</xdr:colOff>
      <xdr:row>27</xdr:row>
      <xdr:rowOff>167760</xdr:rowOff>
    </xdr:to>
    <xdr:graphicFrame>
      <xdr:nvGraphicFramePr>
        <xdr:cNvPr id="0" name="Chart 1"/>
        <xdr:cNvGraphicFramePr/>
      </xdr:nvGraphicFramePr>
      <xdr:xfrm>
        <a:off x="9586080" y="3981600"/>
        <a:ext cx="5579640" cy="237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31</xdr:row>
      <xdr:rowOff>78120</xdr:rowOff>
    </xdr:from>
    <xdr:to>
      <xdr:col>11</xdr:col>
      <xdr:colOff>990720</xdr:colOff>
      <xdr:row>43</xdr:row>
      <xdr:rowOff>167760</xdr:rowOff>
    </xdr:to>
    <xdr:graphicFrame>
      <xdr:nvGraphicFramePr>
        <xdr:cNvPr id="1" name="Chart 2"/>
        <xdr:cNvGraphicFramePr/>
      </xdr:nvGraphicFramePr>
      <xdr:xfrm>
        <a:off x="8528760" y="7029360"/>
        <a:ext cx="5219640" cy="237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8</xdr:col>
      <xdr:colOff>0</xdr:colOff>
      <xdr:row>47</xdr:row>
      <xdr:rowOff>78120</xdr:rowOff>
    </xdr:from>
    <xdr:to>
      <xdr:col>11</xdr:col>
      <xdr:colOff>968040</xdr:colOff>
      <xdr:row>58</xdr:row>
      <xdr:rowOff>167760</xdr:rowOff>
    </xdr:to>
    <xdr:graphicFrame>
      <xdr:nvGraphicFramePr>
        <xdr:cNvPr id="2" name="Chart 3"/>
        <xdr:cNvGraphicFramePr/>
      </xdr:nvGraphicFramePr>
      <xdr:xfrm>
        <a:off x="9586080" y="10077480"/>
        <a:ext cx="4139640" cy="237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5"/>
  </cols>
  <sheetData>
    <row r="1" customFormat="false" ht="33.75" hidden="false" customHeight="true" outlineLevel="0" collapsed="false">
      <c r="A1" s="1" t="s">
        <v>0</v>
      </c>
      <c r="B1" s="1"/>
    </row>
    <row r="2" customFormat="false" ht="15" hidden="false" customHeight="false" outlineLevel="0" collapsed="false">
      <c r="A2" s="2" t="s">
        <v>1</v>
      </c>
      <c r="B2" s="2"/>
    </row>
    <row r="4" customFormat="false" ht="15" hidden="false" customHeight="false" outlineLevel="0" collapsed="false">
      <c r="A4" s="3" t="s">
        <v>2</v>
      </c>
      <c r="B4" s="4"/>
    </row>
    <row r="5" customFormat="false" ht="31.5" hidden="false" customHeight="true" outlineLevel="0" collapsed="false">
      <c r="A5" s="5" t="s">
        <v>3</v>
      </c>
      <c r="B5" s="5"/>
    </row>
    <row r="7" customFormat="false" ht="15" hidden="false" customHeight="false" outlineLevel="0" collapsed="false">
      <c r="A7" s="3" t="s">
        <v>4</v>
      </c>
      <c r="B7" s="4"/>
    </row>
    <row r="8" customFormat="false" ht="18" hidden="false" customHeight="true" outlineLevel="0" collapsed="false">
      <c r="A8" s="5" t="s">
        <v>5</v>
      </c>
      <c r="B8" s="5"/>
    </row>
    <row r="9" customFormat="false" ht="18" hidden="false" customHeight="true" outlineLevel="0" collapsed="false">
      <c r="A9" s="5" t="s">
        <v>6</v>
      </c>
      <c r="B9" s="5"/>
    </row>
    <row r="10" customFormat="false" ht="18" hidden="false" customHeight="true" outlineLevel="0" collapsed="false">
      <c r="A10" s="5" t="s">
        <v>7</v>
      </c>
      <c r="B10" s="5"/>
    </row>
    <row r="11" customFormat="false" ht="18" hidden="false" customHeight="true" outlineLevel="0" collapsed="false">
      <c r="A11" s="5" t="s">
        <v>8</v>
      </c>
      <c r="B11" s="5"/>
    </row>
    <row r="12" customFormat="false" ht="18" hidden="false" customHeight="true" outlineLevel="0" collapsed="false">
      <c r="A12" s="5" t="s">
        <v>9</v>
      </c>
      <c r="B12" s="5"/>
    </row>
    <row r="14" customFormat="false" ht="15" hidden="false" customHeight="false" outlineLevel="0" collapsed="false">
      <c r="A14" s="3" t="s">
        <v>10</v>
      </c>
      <c r="B14" s="4"/>
    </row>
    <row r="15" customFormat="false" ht="31.5" hidden="false" customHeight="true" outlineLevel="0" collapsed="false">
      <c r="A15" s="5" t="s">
        <v>11</v>
      </c>
      <c r="B15" s="5"/>
    </row>
    <row r="16" customFormat="false" ht="18" hidden="false" customHeight="true" outlineLevel="0" collapsed="false">
      <c r="A16" s="5" t="s">
        <v>12</v>
      </c>
      <c r="B16" s="5"/>
    </row>
    <row r="17" customFormat="false" ht="18" hidden="false" customHeight="true" outlineLevel="0" collapsed="false">
      <c r="A17" s="5" t="s">
        <v>13</v>
      </c>
      <c r="B17" s="5"/>
    </row>
    <row r="18" customFormat="false" ht="31.5" hidden="false" customHeight="true" outlineLevel="0" collapsed="false">
      <c r="A18" s="5" t="s">
        <v>14</v>
      </c>
      <c r="B18" s="5"/>
    </row>
    <row r="19" customFormat="false" ht="18" hidden="false" customHeight="true" outlineLevel="0" collapsed="false">
      <c r="A19" s="5" t="s">
        <v>15</v>
      </c>
      <c r="B19" s="5"/>
    </row>
    <row r="21" customFormat="false" ht="15" hidden="false" customHeight="false" outlineLevel="0" collapsed="false">
      <c r="A21" s="3" t="s">
        <v>16</v>
      </c>
      <c r="B21" s="4"/>
    </row>
    <row r="22" customFormat="false" ht="18" hidden="false" customHeight="true" outlineLevel="0" collapsed="false">
      <c r="A22" s="5" t="s">
        <v>17</v>
      </c>
      <c r="B22" s="5"/>
    </row>
    <row r="23" customFormat="false" ht="18" hidden="false" customHeight="true" outlineLevel="0" collapsed="false">
      <c r="A23" s="5" t="s">
        <v>18</v>
      </c>
      <c r="B23" s="5"/>
    </row>
    <row r="24" customFormat="false" ht="18" hidden="false" customHeight="true" outlineLevel="0" collapsed="false">
      <c r="A24" s="5" t="s">
        <v>19</v>
      </c>
      <c r="B24" s="5"/>
    </row>
    <row r="25" customFormat="false" ht="18" hidden="false" customHeight="true" outlineLevel="0" collapsed="false">
      <c r="A25" s="5" t="s">
        <v>20</v>
      </c>
      <c r="B25" s="5"/>
    </row>
    <row r="27" customFormat="false" ht="15" hidden="false" customHeight="false" outlineLevel="0" collapsed="false">
      <c r="A27" s="3" t="s">
        <v>21</v>
      </c>
      <c r="B27" s="4"/>
    </row>
    <row r="28" customFormat="false" ht="31.5" hidden="false" customHeight="true" outlineLevel="0" collapsed="false">
      <c r="A28" s="5" t="s">
        <v>22</v>
      </c>
      <c r="B28" s="5"/>
    </row>
    <row r="29" customFormat="false" ht="18" hidden="false" customHeight="true" outlineLevel="0" collapsed="false">
      <c r="A29" s="5" t="s">
        <v>23</v>
      </c>
      <c r="B29" s="5"/>
    </row>
    <row r="31" customFormat="false" ht="15" hidden="false" customHeight="false" outlineLevel="0" collapsed="false">
      <c r="A31" s="3" t="s">
        <v>24</v>
      </c>
      <c r="B31" s="4"/>
    </row>
    <row r="32" customFormat="false" ht="18" hidden="false" customHeight="true" outlineLevel="0" collapsed="false">
      <c r="A32" s="5" t="s">
        <v>25</v>
      </c>
      <c r="B32" s="5"/>
    </row>
    <row r="33" customFormat="false" ht="18" hidden="false" customHeight="true" outlineLevel="0" collapsed="false">
      <c r="A33" s="5" t="s">
        <v>26</v>
      </c>
      <c r="B33" s="5"/>
    </row>
    <row r="34" customFormat="false" ht="18" hidden="false" customHeight="true" outlineLevel="0" collapsed="false">
      <c r="A34" s="5" t="s">
        <v>27</v>
      </c>
      <c r="B34" s="5"/>
    </row>
    <row r="35" customFormat="false" ht="18" hidden="false" customHeight="true" outlineLevel="0" collapsed="false">
      <c r="A35" s="5" t="s">
        <v>28</v>
      </c>
      <c r="B35" s="5"/>
    </row>
  </sheetData>
  <mergeCells count="23">
    <mergeCell ref="A1:B1"/>
    <mergeCell ref="A2:B2"/>
    <mergeCell ref="A5:B5"/>
    <mergeCell ref="A8:B8"/>
    <mergeCell ref="A9:B9"/>
    <mergeCell ref="A10:B10"/>
    <mergeCell ref="A11:B11"/>
    <mergeCell ref="A12:B12"/>
    <mergeCell ref="A15:B15"/>
    <mergeCell ref="A16:B16"/>
    <mergeCell ref="A17:B17"/>
    <mergeCell ref="A18:B18"/>
    <mergeCell ref="A19:B19"/>
    <mergeCell ref="A22:B22"/>
    <mergeCell ref="A23:B23"/>
    <mergeCell ref="A24:B24"/>
    <mergeCell ref="A25:B25"/>
    <mergeCell ref="A28:B28"/>
    <mergeCell ref="A29:B29"/>
    <mergeCell ref="A32:B32"/>
    <mergeCell ref="A33:B33"/>
    <mergeCell ref="A34:B34"/>
    <mergeCell ref="A35:B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92"/>
  <sheetViews>
    <sheetView showFormulas="false" showGridLines="fals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5"/>
    <col collapsed="false" customWidth="true" hidden="false" outlineLevel="0" max="3" min="3" style="0" width="22"/>
    <col collapsed="false" customWidth="true" hidden="false" outlineLevel="0" max="12" min="4" style="0" width="15"/>
  </cols>
  <sheetData>
    <row r="1" customFormat="false" ht="36" hidden="false" customHeight="true" outlineLevel="0" collapsed="false">
      <c r="A1" s="6" t="s">
        <v>29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</row>
    <row r="2" customFormat="false" ht="15" hidden="false" customHeight="false" outlineLevel="0" collapsed="false">
      <c r="A2" s="2" t="str">
        <f aca="false">"Fictional Kenyan supermarket chain (5 stores, 48 SKUs)  |  Synthetic data  |  "&amp;TEXT(Assumptions!B5,"d mmm yyyy")&amp;" to "&amp;TEXT(Assumptions!B4,"d mmm yyyy")&amp;"  |  Prepared by BZME Insights"</f>
        <v>Fictional Kenyan supermarket chain (5 stores, 48 SKUs)  |  Synthetic data  |  6 Apr 2026 to 27 Sep 2026  |  Prepared by BZME Insights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customFormat="false" ht="19.5" hidden="false" customHeight="true" outlineLevel="0" collapsed="false">
      <c r="A4" s="7" t="s">
        <v>30</v>
      </c>
      <c r="B4" s="7"/>
      <c r="C4" s="7" t="s">
        <v>31</v>
      </c>
      <c r="D4" s="7"/>
      <c r="E4" s="7" t="s">
        <v>32</v>
      </c>
      <c r="F4" s="7"/>
      <c r="G4" s="7" t="s">
        <v>33</v>
      </c>
      <c r="H4" s="7"/>
      <c r="I4" s="7" t="s">
        <v>34</v>
      </c>
      <c r="J4" s="7"/>
      <c r="K4" s="7" t="s">
        <v>35</v>
      </c>
      <c r="L4" s="7"/>
    </row>
    <row r="5" customFormat="false" ht="31.5" hidden="false" customHeight="true" outlineLevel="0" collapsed="false">
      <c r="A5" s="8" t="n">
        <f aca="false">SUM(Sales!$H$2:$H$6001)</f>
        <v>116534680</v>
      </c>
      <c r="B5" s="8"/>
      <c r="C5" s="8" t="n">
        <f aca="false">SUM(Sales!$J$2:$J$6001)</f>
        <v>22806109.928</v>
      </c>
      <c r="D5" s="8"/>
      <c r="E5" s="9" t="n">
        <f aca="false">C5/A5</f>
        <v>0.195702343096493</v>
      </c>
      <c r="F5" s="9"/>
      <c r="G5" s="8" t="n">
        <f aca="false">SUM(Sales!$D$2:$D$6001)</f>
        <v>537830</v>
      </c>
      <c r="H5" s="8"/>
      <c r="I5" s="8" t="n">
        <f aca="false">SUM(Sales!$K$2:$K$6001)</f>
        <v>2173692.08333333</v>
      </c>
      <c r="J5" s="8"/>
      <c r="K5" s="8" t="n">
        <f aca="false">COUNTIF(Inventory!$I$2:$I$241,"Stock-out risk")</f>
        <v>11</v>
      </c>
      <c r="L5" s="8"/>
    </row>
    <row r="7" customFormat="false" ht="15" hidden="false" customHeight="false" outlineLevel="0" collapsed="false">
      <c r="A7" s="10" t="s">
        <v>36</v>
      </c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</row>
    <row r="8" customFormat="false" ht="19.5" hidden="false" customHeight="true" outlineLevel="0" collapsed="false">
      <c r="A8" s="11" t="str">
        <f aca="false">"1. Over "&amp;Assumptions!B6&amp;" weeks the stores sold KES "&amp;TEXT(A5/1000000,"#,##0.0")&amp;"M and earned KES "&amp;TEXT(C5/1000000,"#,##0.0")&amp;"M gross profit (margin "&amp;TEXT(E5,"0.0%")&amp;")."</f>
        <v>1. Over 25 weeks the stores sold KES 116.5M and earned KES 22.8M gross profit (margin 19.6%).</v>
      </c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</row>
    <row r="9" customFormat="false" ht="19.5" hidden="false" customHeight="true" outlineLevel="0" collapsed="false">
      <c r="A9" s="11" t="str">
        <f aca="false">"2. "&amp;INDEX(A34:A39,MATCH(MAX(B34:B39),B34:B39,0))&amp;" is the biggest category ("&amp;TEXT(MAX(E34:E39),"0%")&amp;" of revenue); "&amp;INDEX(A34:A39,MATCH(MAX(D34:D39),D34:D39,0))&amp;" earns the highest margin ("&amp;TEXT(MAX(D34:D39),"0%")&amp;")."</f>
        <v>2. Dairy &amp; Eggs is the biggest category (29% of revenue); Personal Care earns the highest margin (30%).</v>
      </c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</row>
    <row r="10" customFormat="false" ht="19.5" hidden="false" customHeight="true" outlineLevel="0" collapsed="false">
      <c r="A10" s="11" t="str">
        <f aca="false">"3. "&amp;B66&amp;" A-class SKUs ("&amp;TEXT(B66/B69,"0%")&amp;" of the range) produce "&amp;TEXT(D66,"0%")&amp;" of revenue, so these must never run out."</f>
        <v>3. 21 A-class SKUs (44% of the range) produce 81% of revenue, so these must never run out.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</row>
    <row r="11" customFormat="false" ht="19.5" hidden="false" customHeight="true" outlineLevel="0" collapsed="false">
      <c r="A11" s="11" t="str">
        <f aca="false">"4. Stock-outs cost an estimated KES "&amp;TEXT(I5/1000,"#,##0")&amp;"K in lost revenue ("&amp;TEXT(G55,"0.0%")&amp;" of sales). "&amp;INDEX(A50:A54,MATCH(MAX(E50:E54),E50:E54,0))&amp;" has the highest stock-out rate ("&amp;TEXT(MAX(E50:E54),"0.0%")&amp;")."</f>
        <v>4. Stock-outs cost an estimated KES 2,174K in lost revenue (1.9% of sales). Kisumu has the highest stock-out rate (2.3%).</v>
      </c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</row>
    <row r="12" customFormat="false" ht="19.5" hidden="false" customHeight="true" outlineLevel="0" collapsed="false">
      <c r="A12" s="11" t="str">
        <f aca="false">"5. "&amp;B74&amp;" store-SKU lines are at stock-out risk, while "&amp;B77&amp;" are overstocked, tying up KES "&amp;TEXT(C77/1000000,"#,##0.0")&amp;"M of stock at cost."</f>
        <v>5. 11 store-SKU lines are at stock-out risk, while 35 are overstocked, tying up KES 6.2M of stock at cost.</v>
      </c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</row>
    <row r="13" customFormat="false" ht="19.5" hidden="false" customHeight="true" outlineLevel="0" collapsed="false">
      <c r="A13" s="11" t="str">
        <f aca="false">"6. "&amp;COUNTIF(Products!$M$2:$M$49,"Below target")&amp;" of "&amp;COUNTA(Products!$A$2:$A$49)&amp;" SKUs earn below the "&amp;TEXT(Assumptions!B12,"0%")&amp;" margin target - review pricing or supplier cost."</f>
        <v>6. 24 of 48 SKUs earn below the 25% margin target - review pricing or supplier cost.</v>
      </c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</row>
    <row r="14" customFormat="false" ht="19.5" hidden="false" customHeight="true" outlineLevel="0" collapsed="false">
      <c r="A14" s="11" t="str">
        <f aca="false">"7. "&amp;INDEX(A50:A54,MATCH(MAX(D50:D54),D50:D54,0))&amp;" has the best store margin ("&amp;TEXT(MAX(D50:D54),"0.0%")&amp;") and "&amp;INDEX(A50:A54,MATCH(MIN(D50:D54),D50:D54,0))&amp;" the lowest ("&amp;TEXT(MIN(D50:D54),"0.0%")&amp;")."</f>
        <v>7. Westlands has the best store margin (20.6%) and Kisumu the lowest (18.3%).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</row>
    <row r="16" customFormat="false" ht="15" hidden="false" customHeight="false" outlineLevel="0" collapsed="false">
      <c r="A16" s="10" t="s">
        <v>37</v>
      </c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</row>
    <row r="17" customFormat="false" ht="23.85" hidden="false" customHeight="false" outlineLevel="0" collapsed="false">
      <c r="A17" s="12" t="s">
        <v>38</v>
      </c>
      <c r="B17" s="12" t="s">
        <v>39</v>
      </c>
      <c r="C17" s="12" t="s">
        <v>40</v>
      </c>
      <c r="D17" s="12" t="s">
        <v>41</v>
      </c>
      <c r="E17" s="12" t="s">
        <v>42</v>
      </c>
      <c r="F17" s="12" t="s">
        <v>43</v>
      </c>
      <c r="G17" s="12" t="s">
        <v>44</v>
      </c>
    </row>
    <row r="18" customFormat="false" ht="15" hidden="false" customHeight="false" outlineLevel="0" collapsed="false">
      <c r="A18" s="13" t="n">
        <f aca="false">DATE(YEAR(Assumptions!$B$5),MONTH(Assumptions!$B$5),1)</f>
        <v>46113</v>
      </c>
      <c r="B18" s="14" t="str">
        <f aca="false">TEXT(A18,"mmm")</f>
        <v>Apr</v>
      </c>
      <c r="C18" s="15" t="n">
        <f aca="false">COUNTIFS(Sales!$F$2:$F$6001,A18,Sales!$B$2:$B$6001,"Nairobi CBD",Sales!$C$2:$C$6001,"SKU001")</f>
        <v>4</v>
      </c>
      <c r="D18" s="16" t="n">
        <f aca="false">SUMIFS(Sales!$H$2:$H$6001,Sales!$F$2:$F$6001,A18)</f>
        <v>19496205</v>
      </c>
      <c r="E18" s="16" t="n">
        <f aca="false">SUMIFS(Sales!$J$2:$J$6001,Sales!$F$2:$F$6001,A18)</f>
        <v>3830149.504</v>
      </c>
      <c r="F18" s="17" t="n">
        <f aca="false">IFERROR(E18/D18,0)</f>
        <v>0.196456156672542</v>
      </c>
      <c r="G18" s="16" t="n">
        <f aca="false">IFERROR(D18/C18,0)</f>
        <v>4874051.25</v>
      </c>
    </row>
    <row r="19" customFormat="false" ht="15" hidden="false" customHeight="false" outlineLevel="0" collapsed="false">
      <c r="A19" s="13" t="n">
        <f aca="false">EDATE(A18,1)</f>
        <v>46143</v>
      </c>
      <c r="B19" s="14" t="str">
        <f aca="false">TEXT(A19,"mmm")</f>
        <v>May</v>
      </c>
      <c r="C19" s="15" t="n">
        <f aca="false">COUNTIFS(Sales!$F$2:$F$6001,A19,Sales!$B$2:$B$6001,"Nairobi CBD",Sales!$C$2:$C$6001,"SKU001")</f>
        <v>4</v>
      </c>
      <c r="D19" s="16" t="n">
        <f aca="false">SUMIFS(Sales!$H$2:$H$6001,Sales!$F$2:$F$6001,A19)</f>
        <v>19301080</v>
      </c>
      <c r="E19" s="16" t="n">
        <f aca="false">SUMIFS(Sales!$J$2:$J$6001,Sales!$F$2:$F$6001,A19)</f>
        <v>3802058.396</v>
      </c>
      <c r="F19" s="17" t="n">
        <f aca="false">IFERROR(E19/D19,0)</f>
        <v>0.196986821255598</v>
      </c>
      <c r="G19" s="16" t="n">
        <f aca="false">IFERROR(D19/C19,0)</f>
        <v>4825270</v>
      </c>
    </row>
    <row r="20" customFormat="false" ht="15" hidden="false" customHeight="false" outlineLevel="0" collapsed="false">
      <c r="A20" s="13" t="n">
        <f aca="false">EDATE(A19,1)</f>
        <v>46174</v>
      </c>
      <c r="B20" s="14" t="str">
        <f aca="false">TEXT(A20,"mmm")</f>
        <v>Jun</v>
      </c>
      <c r="C20" s="15" t="n">
        <f aca="false">COUNTIFS(Sales!$F$2:$F$6001,A20,Sales!$B$2:$B$6001,"Nairobi CBD",Sales!$C$2:$C$6001,"SKU001")</f>
        <v>5</v>
      </c>
      <c r="D20" s="16" t="n">
        <f aca="false">SUMIFS(Sales!$H$2:$H$6001,Sales!$F$2:$F$6001,A20)</f>
        <v>23577265</v>
      </c>
      <c r="E20" s="16" t="n">
        <f aca="false">SUMIFS(Sales!$J$2:$J$6001,Sales!$F$2:$F$6001,A20)</f>
        <v>4620318.924</v>
      </c>
      <c r="F20" s="17" t="n">
        <f aca="false">IFERROR(E20/D20,0)</f>
        <v>0.195965007985447</v>
      </c>
      <c r="G20" s="16" t="n">
        <f aca="false">IFERROR(D20/C20,0)</f>
        <v>4715453</v>
      </c>
    </row>
    <row r="21" customFormat="false" ht="15" hidden="false" customHeight="false" outlineLevel="0" collapsed="false">
      <c r="A21" s="13" t="n">
        <f aca="false">EDATE(A20,1)</f>
        <v>46204</v>
      </c>
      <c r="B21" s="14" t="str">
        <f aca="false">TEXT(A21,"mmm")</f>
        <v>Jul</v>
      </c>
      <c r="C21" s="15" t="n">
        <f aca="false">COUNTIFS(Sales!$F$2:$F$6001,A21,Sales!$B$2:$B$6001,"Nairobi CBD",Sales!$C$2:$C$6001,"SKU001")</f>
        <v>4</v>
      </c>
      <c r="D21" s="16" t="n">
        <f aca="false">SUMIFS(Sales!$H$2:$H$6001,Sales!$F$2:$F$6001,A21)</f>
        <v>17861485</v>
      </c>
      <c r="E21" s="16" t="n">
        <f aca="false">SUMIFS(Sales!$J$2:$J$6001,Sales!$F$2:$F$6001,A21)</f>
        <v>3493163.28</v>
      </c>
      <c r="F21" s="17" t="n">
        <f aca="false">IFERROR(E21/D21,0)</f>
        <v>0.195569588978744</v>
      </c>
      <c r="G21" s="16" t="n">
        <f aca="false">IFERROR(D21/C21,0)</f>
        <v>4465371.25</v>
      </c>
    </row>
    <row r="22" customFormat="false" ht="15" hidden="false" customHeight="false" outlineLevel="0" collapsed="false">
      <c r="A22" s="13" t="n">
        <f aca="false">EDATE(A21,1)</f>
        <v>46235</v>
      </c>
      <c r="B22" s="14" t="str">
        <f aca="false">TEXT(A22,"mmm")</f>
        <v>Aug</v>
      </c>
      <c r="C22" s="15" t="n">
        <f aca="false">COUNTIFS(Sales!$F$2:$F$6001,A22,Sales!$B$2:$B$6001,"Nairobi CBD",Sales!$C$2:$C$6001,"SKU001")</f>
        <v>5</v>
      </c>
      <c r="D22" s="16" t="n">
        <f aca="false">SUMIFS(Sales!$H$2:$H$6001,Sales!$F$2:$F$6001,A22)</f>
        <v>21842570</v>
      </c>
      <c r="E22" s="16" t="n">
        <f aca="false">SUMIFS(Sales!$J$2:$J$6001,Sales!$F$2:$F$6001,A22)</f>
        <v>4257033.858</v>
      </c>
      <c r="F22" s="17" t="n">
        <f aca="false">IFERROR(E22/D22,0)</f>
        <v>0.194896198478476</v>
      </c>
      <c r="G22" s="16" t="n">
        <f aca="false">IFERROR(D22/C22,0)</f>
        <v>4368514</v>
      </c>
    </row>
    <row r="23" customFormat="false" ht="15" hidden="false" customHeight="false" outlineLevel="0" collapsed="false">
      <c r="A23" s="13" t="n">
        <f aca="false">EDATE(A22,1)</f>
        <v>46266</v>
      </c>
      <c r="B23" s="14" t="str">
        <f aca="false">TEXT(A23,"mmm")</f>
        <v>Sep</v>
      </c>
      <c r="C23" s="15" t="n">
        <f aca="false">COUNTIFS(Sales!$F$2:$F$6001,A23,Sales!$B$2:$B$6001,"Nairobi CBD",Sales!$C$2:$C$6001,"SKU001")</f>
        <v>3</v>
      </c>
      <c r="D23" s="16" t="n">
        <f aca="false">SUMIFS(Sales!$H$2:$H$6001,Sales!$F$2:$F$6001,A23)</f>
        <v>14456075</v>
      </c>
      <c r="E23" s="16" t="n">
        <f aca="false">SUMIFS(Sales!$J$2:$J$6001,Sales!$F$2:$F$6001,A23)</f>
        <v>2803385.966</v>
      </c>
      <c r="F23" s="17" t="n">
        <f aca="false">IFERROR(E23/D23,0)</f>
        <v>0.193924420425323</v>
      </c>
      <c r="G23" s="16" t="n">
        <f aca="false">IFERROR(D23/C23,0)</f>
        <v>4818691.66666667</v>
      </c>
    </row>
    <row r="32" customFormat="false" ht="15" hidden="false" customHeight="false" outlineLevel="0" collapsed="false">
      <c r="A32" s="10" t="s">
        <v>45</v>
      </c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</row>
    <row r="33" customFormat="false" ht="15" hidden="false" customHeight="false" outlineLevel="0" collapsed="false">
      <c r="A33" s="12" t="s">
        <v>46</v>
      </c>
      <c r="B33" s="12" t="s">
        <v>41</v>
      </c>
      <c r="C33" s="12" t="s">
        <v>42</v>
      </c>
      <c r="D33" s="12" t="s">
        <v>43</v>
      </c>
      <c r="E33" s="12" t="s">
        <v>47</v>
      </c>
      <c r="F33" s="12" t="s">
        <v>48</v>
      </c>
    </row>
    <row r="34" customFormat="false" ht="15" hidden="false" customHeight="false" outlineLevel="0" collapsed="false">
      <c r="A34" s="18" t="s">
        <v>49</v>
      </c>
      <c r="B34" s="16" t="n">
        <f aca="false">SUMIFS(Sales!$H$2:$H$6001,Sales!$G$2:$G$6001,A34)</f>
        <v>27942570</v>
      </c>
      <c r="C34" s="16" t="n">
        <f aca="false">SUMIFS(Sales!$J$2:$J$6001,Sales!$G$2:$G$6001,A34)</f>
        <v>3038531.928</v>
      </c>
      <c r="D34" s="17" t="n">
        <f aca="false">IFERROR(C34/B34,0)</f>
        <v>0.10874203510987</v>
      </c>
      <c r="E34" s="17" t="n">
        <f aca="false">IFERROR(B34/B$40,0)</f>
        <v>0.239779008274618</v>
      </c>
      <c r="F34" s="16" t="n">
        <f aca="false">SUMIFS(Sales!$D$2:$D$6001,Sales!$G$2:$G$6001,A34)</f>
        <v>123000</v>
      </c>
    </row>
    <row r="35" customFormat="false" ht="15" hidden="false" customHeight="false" outlineLevel="0" collapsed="false">
      <c r="A35" s="18" t="s">
        <v>50</v>
      </c>
      <c r="B35" s="16" t="n">
        <f aca="false">SUMIFS(Sales!$H$2:$H$6001,Sales!$G$2:$G$6001,A35)</f>
        <v>33295385</v>
      </c>
      <c r="C35" s="16" t="n">
        <f aca="false">SUMIFS(Sales!$J$2:$J$6001,Sales!$G$2:$G$6001,A35)</f>
        <v>5522574.97</v>
      </c>
      <c r="D35" s="17" t="n">
        <f aca="false">IFERROR(C35/B35,0)</f>
        <v>0.165866079338022</v>
      </c>
      <c r="E35" s="17" t="n">
        <f aca="false">IFERROR(B35/B$40,0)</f>
        <v>0.285712244629667</v>
      </c>
      <c r="F35" s="16" t="n">
        <f aca="false">SUMIFS(Sales!$D$2:$D$6001,Sales!$G$2:$G$6001,A35)</f>
        <v>96867</v>
      </c>
    </row>
    <row r="36" customFormat="false" ht="15" hidden="false" customHeight="false" outlineLevel="0" collapsed="false">
      <c r="A36" s="18" t="s">
        <v>51</v>
      </c>
      <c r="B36" s="16" t="n">
        <f aca="false">SUMIFS(Sales!$H$2:$H$6001,Sales!$G$2:$G$6001,A36)</f>
        <v>19475340</v>
      </c>
      <c r="C36" s="16" t="n">
        <f aca="false">SUMIFS(Sales!$J$2:$J$6001,Sales!$G$2:$G$6001,A36)</f>
        <v>3960626.55</v>
      </c>
      <c r="D36" s="17" t="n">
        <f aca="false">IFERROR(C36/B36,0)</f>
        <v>0.203366233914273</v>
      </c>
      <c r="E36" s="17" t="n">
        <f aca="false">IFERROR(B36/B$40,0)</f>
        <v>0.167120551581727</v>
      </c>
      <c r="F36" s="16" t="n">
        <f aca="false">SUMIFS(Sales!$D$2:$D$6001,Sales!$G$2:$G$6001,A36)</f>
        <v>115059</v>
      </c>
    </row>
    <row r="37" customFormat="false" ht="15" hidden="false" customHeight="false" outlineLevel="0" collapsed="false">
      <c r="A37" s="18" t="s">
        <v>52</v>
      </c>
      <c r="B37" s="16" t="n">
        <f aca="false">SUMIFS(Sales!$H$2:$H$6001,Sales!$G$2:$G$6001,A37)</f>
        <v>9465030</v>
      </c>
      <c r="C37" s="16" t="n">
        <f aca="false">SUMIFS(Sales!$J$2:$J$6001,Sales!$G$2:$G$6001,A37)</f>
        <v>2431157.058</v>
      </c>
      <c r="D37" s="17" t="n">
        <f aca="false">IFERROR(C37/B37,0)</f>
        <v>0.256856772561735</v>
      </c>
      <c r="E37" s="17" t="n">
        <f aca="false">IFERROR(B37/B$40,0)</f>
        <v>0.0812207147262944</v>
      </c>
      <c r="F37" s="16" t="n">
        <f aca="false">SUMIFS(Sales!$D$2:$D$6001,Sales!$G$2:$G$6001,A37)</f>
        <v>49878</v>
      </c>
    </row>
    <row r="38" customFormat="false" ht="15" hidden="false" customHeight="false" outlineLevel="0" collapsed="false">
      <c r="A38" s="18" t="s">
        <v>53</v>
      </c>
      <c r="B38" s="16" t="n">
        <f aca="false">SUMIFS(Sales!$H$2:$H$6001,Sales!$G$2:$G$6001,A38)</f>
        <v>14820860</v>
      </c>
      <c r="C38" s="16" t="n">
        <f aca="false">SUMIFS(Sales!$J$2:$J$6001,Sales!$G$2:$G$6001,A38)</f>
        <v>4505499.776</v>
      </c>
      <c r="D38" s="17" t="n">
        <f aca="false">IFERROR(C38/B38,0)</f>
        <v>0.303997188827099</v>
      </c>
      <c r="E38" s="17" t="n">
        <f aca="false">IFERROR(B38/B$40,0)</f>
        <v>0.127179823207993</v>
      </c>
      <c r="F38" s="16" t="n">
        <f aca="false">SUMIFS(Sales!$D$2:$D$6001,Sales!$G$2:$G$6001,A38)</f>
        <v>53706</v>
      </c>
    </row>
    <row r="39" customFormat="false" ht="15" hidden="false" customHeight="false" outlineLevel="0" collapsed="false">
      <c r="A39" s="18" t="s">
        <v>54</v>
      </c>
      <c r="B39" s="16" t="n">
        <f aca="false">SUMIFS(Sales!$H$2:$H$6001,Sales!$G$2:$G$6001,A39)</f>
        <v>11535495</v>
      </c>
      <c r="C39" s="16" t="n">
        <f aca="false">SUMIFS(Sales!$J$2:$J$6001,Sales!$G$2:$G$6001,A39)</f>
        <v>3347719.646</v>
      </c>
      <c r="D39" s="17" t="n">
        <f aca="false">IFERROR(C39/B39,0)</f>
        <v>0.290210315725506</v>
      </c>
      <c r="E39" s="17" t="n">
        <f aca="false">IFERROR(B39/B$40,0)</f>
        <v>0.0989876575797007</v>
      </c>
      <c r="F39" s="16" t="n">
        <f aca="false">SUMIFS(Sales!$D$2:$D$6001,Sales!$G$2:$G$6001,A39)</f>
        <v>99320</v>
      </c>
    </row>
    <row r="40" customFormat="false" ht="15" hidden="false" customHeight="false" outlineLevel="0" collapsed="false">
      <c r="A40" s="19" t="s">
        <v>55</v>
      </c>
      <c r="B40" s="20" t="n">
        <f aca="false">SUM(B34:B39)</f>
        <v>116534680</v>
      </c>
      <c r="C40" s="20" t="n">
        <f aca="false">SUM(C34:C39)</f>
        <v>22806109.928</v>
      </c>
      <c r="D40" s="21" t="n">
        <f aca="false">IFERROR(C40/B40,0)</f>
        <v>0.195702343096493</v>
      </c>
      <c r="E40" s="21" t="n">
        <f aca="false">SUM(E34:E39)</f>
        <v>1</v>
      </c>
      <c r="F40" s="20" t="n">
        <f aca="false">SUM(F34:F39)</f>
        <v>537830</v>
      </c>
    </row>
    <row r="48" customFormat="false" ht="15" hidden="false" customHeight="false" outlineLevel="0" collapsed="false">
      <c r="A48" s="10" t="s">
        <v>56</v>
      </c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</row>
    <row r="49" customFormat="false" ht="30" hidden="false" customHeight="true" outlineLevel="0" collapsed="false">
      <c r="A49" s="12" t="s">
        <v>57</v>
      </c>
      <c r="B49" s="12" t="s">
        <v>41</v>
      </c>
      <c r="C49" s="12" t="s">
        <v>42</v>
      </c>
      <c r="D49" s="12" t="s">
        <v>43</v>
      </c>
      <c r="E49" s="12" t="s">
        <v>58</v>
      </c>
      <c r="F49" s="12" t="s">
        <v>59</v>
      </c>
      <c r="G49" s="12" t="s">
        <v>60</v>
      </c>
    </row>
    <row r="50" customFormat="false" ht="15" hidden="false" customHeight="false" outlineLevel="0" collapsed="false">
      <c r="A50" s="18" t="s">
        <v>61</v>
      </c>
      <c r="B50" s="16" t="n">
        <f aca="false">SUMIFS(Sales!$H$2:$H$6001,Sales!$B$2:$B$6001,A50)</f>
        <v>29701330</v>
      </c>
      <c r="C50" s="16" t="n">
        <f aca="false">SUMIFS(Sales!$J$2:$J$6001,Sales!$B$2:$B$6001,A50)</f>
        <v>5928444.9</v>
      </c>
      <c r="D50" s="17" t="n">
        <f aca="false">IFERROR(C50/B50,0)</f>
        <v>0.199602000987835</v>
      </c>
      <c r="E50" s="17" t="n">
        <f aca="false">IFERROR(SUMIFS(Sales!$E$2:$E$6001,Sales!$B$2:$B$6001,A50)/(COUNTIFS(Sales!$B$2:$B$6001,A50)*7),0)</f>
        <v>0.0207142857142857</v>
      </c>
      <c r="F50" s="16" t="n">
        <f aca="false">SUMIFS(Sales!$K$2:$K$6001,Sales!$B$2:$B$6001,A50)</f>
        <v>527266.666666667</v>
      </c>
      <c r="G50" s="17" t="n">
        <f aca="false">IFERROR(F50/B50,0)</f>
        <v>0.0177522914518194</v>
      </c>
    </row>
    <row r="51" customFormat="false" ht="15" hidden="false" customHeight="false" outlineLevel="0" collapsed="false">
      <c r="A51" s="18" t="s">
        <v>62</v>
      </c>
      <c r="B51" s="16" t="n">
        <f aca="false">SUMIFS(Sales!$H$2:$H$6001,Sales!$B$2:$B$6001,A51)</f>
        <v>24975820</v>
      </c>
      <c r="C51" s="16" t="n">
        <f aca="false">SUMIFS(Sales!$J$2:$J$6001,Sales!$B$2:$B$6001,A51)</f>
        <v>5141730.592</v>
      </c>
      <c r="D51" s="17" t="n">
        <f aca="false">IFERROR(C51/B51,0)</f>
        <v>0.205868339538001</v>
      </c>
      <c r="E51" s="17" t="n">
        <f aca="false">IFERROR(SUMIFS(Sales!$E$2:$E$6001,Sales!$B$2:$B$6001,A51)/(COUNTIFS(Sales!$B$2:$B$6001,A51)*7),0)</f>
        <v>0.0175</v>
      </c>
      <c r="F51" s="16" t="n">
        <f aca="false">SUMIFS(Sales!$K$2:$K$6001,Sales!$B$2:$B$6001,A51)</f>
        <v>320602.333333333</v>
      </c>
      <c r="G51" s="17" t="n">
        <f aca="false">IFERROR(F51/B51,0)</f>
        <v>0.0128365088046492</v>
      </c>
    </row>
    <row r="52" customFormat="false" ht="15" hidden="false" customHeight="false" outlineLevel="0" collapsed="false">
      <c r="A52" s="18" t="s">
        <v>63</v>
      </c>
      <c r="B52" s="16" t="n">
        <f aca="false">SUMIFS(Sales!$H$2:$H$6001,Sales!$B$2:$B$6001,A52)</f>
        <v>19783130</v>
      </c>
      <c r="C52" s="16" t="n">
        <f aca="false">SUMIFS(Sales!$J$2:$J$6001,Sales!$B$2:$B$6001,A52)</f>
        <v>3825875.656</v>
      </c>
      <c r="D52" s="17" t="n">
        <f aca="false">IFERROR(C52/B52,0)</f>
        <v>0.193390816114538</v>
      </c>
      <c r="E52" s="17" t="n">
        <f aca="false">IFERROR(SUMIFS(Sales!$E$2:$E$6001,Sales!$B$2:$B$6001,A52)/(COUNTIFS(Sales!$B$2:$B$6001,A52)*7),0)</f>
        <v>0.0158333333333333</v>
      </c>
      <c r="F52" s="16" t="n">
        <f aca="false">SUMIFS(Sales!$K$2:$K$6001,Sales!$B$2:$B$6001,A52)</f>
        <v>463421</v>
      </c>
      <c r="G52" s="17" t="n">
        <f aca="false">IFERROR(F52/B52,0)</f>
        <v>0.0234250596341428</v>
      </c>
    </row>
    <row r="53" customFormat="false" ht="15" hidden="false" customHeight="false" outlineLevel="0" collapsed="false">
      <c r="A53" s="18" t="s">
        <v>64</v>
      </c>
      <c r="B53" s="16" t="n">
        <f aca="false">SUMIFS(Sales!$H$2:$H$6001,Sales!$B$2:$B$6001,A53)</f>
        <v>19467165</v>
      </c>
      <c r="C53" s="16" t="n">
        <f aca="false">SUMIFS(Sales!$J$2:$J$6001,Sales!$B$2:$B$6001,A53)</f>
        <v>3566477.64</v>
      </c>
      <c r="D53" s="17" t="n">
        <f aca="false">IFERROR(C53/B53,0)</f>
        <v>0.183204777891388</v>
      </c>
      <c r="E53" s="17" t="n">
        <f aca="false">IFERROR(SUMIFS(Sales!$E$2:$E$6001,Sales!$B$2:$B$6001,A53)/(COUNTIFS(Sales!$B$2:$B$6001,A53)*7),0)</f>
        <v>0.0230952380952381</v>
      </c>
      <c r="F53" s="16" t="n">
        <f aca="false">SUMIFS(Sales!$K$2:$K$6001,Sales!$B$2:$B$6001,A53)</f>
        <v>443301.416666667</v>
      </c>
      <c r="G53" s="17" t="n">
        <f aca="false">IFERROR(F53/B53,0)</f>
        <v>0.0227717501067396</v>
      </c>
    </row>
    <row r="54" customFormat="false" ht="15" hidden="false" customHeight="false" outlineLevel="0" collapsed="false">
      <c r="A54" s="18" t="s">
        <v>65</v>
      </c>
      <c r="B54" s="16" t="n">
        <f aca="false">SUMIFS(Sales!$H$2:$H$6001,Sales!$B$2:$B$6001,A54)</f>
        <v>22607235</v>
      </c>
      <c r="C54" s="16" t="n">
        <f aca="false">SUMIFS(Sales!$J$2:$J$6001,Sales!$B$2:$B$6001,A54)</f>
        <v>4343581.14</v>
      </c>
      <c r="D54" s="17" t="n">
        <f aca="false">IFERROR(C54/B54,0)</f>
        <v>0.192132347896592</v>
      </c>
      <c r="E54" s="17" t="n">
        <f aca="false">IFERROR(SUMIFS(Sales!$E$2:$E$6001,Sales!$B$2:$B$6001,A54)/(COUNTIFS(Sales!$B$2:$B$6001,A54)*7),0)</f>
        <v>0.0192857142857143</v>
      </c>
      <c r="F54" s="16" t="n">
        <f aca="false">SUMIFS(Sales!$K$2:$K$6001,Sales!$B$2:$B$6001,A54)</f>
        <v>419100.666666667</v>
      </c>
      <c r="G54" s="17" t="n">
        <f aca="false">IFERROR(F54/B54,0)</f>
        <v>0.0185383425556759</v>
      </c>
    </row>
    <row r="55" customFormat="false" ht="15" hidden="false" customHeight="false" outlineLevel="0" collapsed="false">
      <c r="A55" s="19" t="s">
        <v>55</v>
      </c>
      <c r="B55" s="20" t="n">
        <f aca="false">SUM(B50:B54)</f>
        <v>116534680</v>
      </c>
      <c r="C55" s="20" t="n">
        <f aca="false">SUM(C50:C54)</f>
        <v>22806109.928</v>
      </c>
      <c r="D55" s="21" t="n">
        <f aca="false">IFERROR(C55/B55,0)</f>
        <v>0.195702343096493</v>
      </c>
      <c r="E55" s="21" t="n">
        <f aca="false">IFERROR(SUM(Sales!$E$2:$E$6001)/(COUNTA(Sales!$B$2:$B$6001)*7),0)</f>
        <v>0.0192857142857143</v>
      </c>
      <c r="F55" s="20" t="n">
        <f aca="false">SUM(F50:F54)</f>
        <v>2173692.08333333</v>
      </c>
      <c r="G55" s="21" t="n">
        <f aca="false">IFERROR(F55/B55,0)</f>
        <v>0.0186527485494733</v>
      </c>
    </row>
    <row r="64" customFormat="false" ht="15" hidden="false" customHeight="false" outlineLevel="0" collapsed="false">
      <c r="A64" s="10" t="s">
        <v>66</v>
      </c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</row>
    <row r="65" customFormat="false" ht="15" hidden="false" customHeight="false" outlineLevel="0" collapsed="false">
      <c r="A65" s="12" t="s">
        <v>67</v>
      </c>
      <c r="B65" s="12" t="s">
        <v>68</v>
      </c>
      <c r="C65" s="12" t="s">
        <v>41</v>
      </c>
      <c r="D65" s="12" t="s">
        <v>47</v>
      </c>
      <c r="E65" s="12" t="s">
        <v>69</v>
      </c>
    </row>
    <row r="66" customFormat="false" ht="15" hidden="false" customHeight="false" outlineLevel="0" collapsed="false">
      <c r="A66" s="14" t="s">
        <v>70</v>
      </c>
      <c r="B66" s="16" t="n">
        <f aca="false">COUNTIF(Products!$L$2:$L$49,A66)</f>
        <v>21</v>
      </c>
      <c r="C66" s="16" t="n">
        <f aca="false">SUMIFS(Products!$H$2:$H$49,Products!$L$2:$L$49,A66)</f>
        <v>94157820</v>
      </c>
      <c r="D66" s="17" t="n">
        <f aca="false">IFERROR(C66/C$69,0)</f>
        <v>0.807981109142789</v>
      </c>
      <c r="E66" s="17" t="n">
        <f aca="false">IFERROR(SUMIFS(Products!$I$2:$I$49,Products!$L$2:$L$49,A66)/C66,0)</f>
        <v>0.183888451240694</v>
      </c>
    </row>
    <row r="67" customFormat="false" ht="15" hidden="false" customHeight="false" outlineLevel="0" collapsed="false">
      <c r="A67" s="14" t="s">
        <v>71</v>
      </c>
      <c r="B67" s="16" t="n">
        <f aca="false">COUNTIF(Products!$L$2:$L$49,A67)</f>
        <v>15</v>
      </c>
      <c r="C67" s="16" t="n">
        <f aca="false">SUMIFS(Products!$H$2:$H$49,Products!$L$2:$L$49,A67)</f>
        <v>16906140</v>
      </c>
      <c r="D67" s="17" t="n">
        <f aca="false">IFERROR(C67/C$69,0)</f>
        <v>0.145073895599147</v>
      </c>
      <c r="E67" s="17" t="n">
        <f aca="false">IFERROR(SUMIFS(Products!$I$2:$I$49,Products!$L$2:$L$49,A67)/C67,0)</f>
        <v>0.24582579973903</v>
      </c>
    </row>
    <row r="68" customFormat="false" ht="15" hidden="false" customHeight="false" outlineLevel="0" collapsed="false">
      <c r="A68" s="14" t="s">
        <v>72</v>
      </c>
      <c r="B68" s="16" t="n">
        <f aca="false">COUNTIF(Products!$L$2:$L$49,A68)</f>
        <v>12</v>
      </c>
      <c r="C68" s="16" t="n">
        <f aca="false">SUMIFS(Products!$H$2:$H$49,Products!$L$2:$L$49,A68)</f>
        <v>5470720</v>
      </c>
      <c r="D68" s="17" t="n">
        <f aca="false">IFERROR(C68/C$69,0)</f>
        <v>0.046944995258064</v>
      </c>
      <c r="E68" s="17" t="n">
        <f aca="false">IFERROR(SUMIFS(Products!$I$2:$I$49,Products!$L$2:$L$49,A68)/C68,0)</f>
        <v>0.244137672920566</v>
      </c>
    </row>
    <row r="69" customFormat="false" ht="15" hidden="false" customHeight="false" outlineLevel="0" collapsed="false">
      <c r="A69" s="19" t="s">
        <v>55</v>
      </c>
      <c r="B69" s="20" t="n">
        <f aca="false">SUM(B66:B68)</f>
        <v>48</v>
      </c>
      <c r="C69" s="20" t="n">
        <f aca="false">SUM(C66:C68)</f>
        <v>116534680</v>
      </c>
      <c r="D69" s="21" t="n">
        <f aca="false">SUM(D66:D68)</f>
        <v>1</v>
      </c>
      <c r="E69" s="21" t="n">
        <f aca="false">IFERROR(SUM(Products!$I$2:$I$49)/C69,0)</f>
        <v>0.195702343096493</v>
      </c>
    </row>
    <row r="72" customFormat="false" ht="15" hidden="false" customHeight="false" outlineLevel="0" collapsed="false">
      <c r="A72" s="10" t="s">
        <v>73</v>
      </c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</row>
    <row r="73" customFormat="false" ht="30" hidden="false" customHeight="true" outlineLevel="0" collapsed="false">
      <c r="A73" s="12" t="s">
        <v>74</v>
      </c>
      <c r="B73" s="12" t="s">
        <v>75</v>
      </c>
      <c r="C73" s="12" t="s">
        <v>76</v>
      </c>
      <c r="D73" s="12" t="s">
        <v>77</v>
      </c>
      <c r="E73" s="12" t="s">
        <v>78</v>
      </c>
    </row>
    <row r="74" customFormat="false" ht="15" hidden="false" customHeight="false" outlineLevel="0" collapsed="false">
      <c r="A74" s="18" t="s">
        <v>79</v>
      </c>
      <c r="B74" s="16" t="n">
        <f aca="false">COUNTIF(Inventory!$I$2:$I$241,A74)</f>
        <v>11</v>
      </c>
      <c r="C74" s="16" t="n">
        <f aca="false">SUMIFS(Inventory!$J$2:$J$241,Inventory!$I$2:$I$241,A74)</f>
        <v>86090</v>
      </c>
      <c r="D74" s="17" t="n">
        <f aca="false">IFERROR(C74/C$78,0)</f>
        <v>0.00523639536250861</v>
      </c>
      <c r="E74" s="16" t="n">
        <f aca="false">COUNTIFS(Inventory!$I$2:$I$241,A74,Inventory!$K$2:$K$241,"Yes")</f>
        <v>11</v>
      </c>
    </row>
    <row r="75" customFormat="false" ht="15" hidden="false" customHeight="false" outlineLevel="0" collapsed="false">
      <c r="A75" s="18" t="s">
        <v>80</v>
      </c>
      <c r="B75" s="16" t="n">
        <f aca="false">COUNTIF(Inventory!$I$2:$I$241,A75)</f>
        <v>46</v>
      </c>
      <c r="C75" s="16" t="n">
        <f aca="false">SUMIFS(Inventory!$J$2:$J$241,Inventory!$I$2:$I$241,A75)</f>
        <v>1310555</v>
      </c>
      <c r="D75" s="17" t="n">
        <f aca="false">IFERROR(C75/C$78,0)</f>
        <v>0.0797140681183933</v>
      </c>
      <c r="E75" s="16" t="n">
        <f aca="false">COUNTIFS(Inventory!$I$2:$I$241,A75,Inventory!$K$2:$K$241,"Yes")</f>
        <v>24</v>
      </c>
    </row>
    <row r="76" customFormat="false" ht="15" hidden="false" customHeight="false" outlineLevel="0" collapsed="false">
      <c r="A76" s="18" t="s">
        <v>81</v>
      </c>
      <c r="B76" s="16" t="n">
        <f aca="false">COUNTIF(Inventory!$I$2:$I$241,A76)</f>
        <v>148</v>
      </c>
      <c r="C76" s="16" t="n">
        <f aca="false">SUMIFS(Inventory!$J$2:$J$241,Inventory!$I$2:$I$241,A76)</f>
        <v>8855960</v>
      </c>
      <c r="D76" s="17" t="n">
        <f aca="false">IFERROR(C76/C$78,0)</f>
        <v>0.538660795383457</v>
      </c>
      <c r="E76" s="16" t="n">
        <f aca="false">COUNTIFS(Inventory!$I$2:$I$241,A76,Inventory!$K$2:$K$241,"Yes")</f>
        <v>0</v>
      </c>
    </row>
    <row r="77" customFormat="false" ht="15" hidden="false" customHeight="false" outlineLevel="0" collapsed="false">
      <c r="A77" s="18" t="s">
        <v>82</v>
      </c>
      <c r="B77" s="16" t="n">
        <f aca="false">COUNTIF(Inventory!$I$2:$I$241,A77)</f>
        <v>35</v>
      </c>
      <c r="C77" s="16" t="n">
        <f aca="false">SUMIFS(Inventory!$J$2:$J$241,Inventory!$I$2:$I$241,A77)</f>
        <v>6188094</v>
      </c>
      <c r="D77" s="17" t="n">
        <f aca="false">IFERROR(C77/C$78,0)</f>
        <v>0.376388741135641</v>
      </c>
      <c r="E77" s="16" t="n">
        <f aca="false">COUNTIFS(Inventory!$I$2:$I$241,A77,Inventory!$K$2:$K$241,"Yes")</f>
        <v>0</v>
      </c>
    </row>
    <row r="78" customFormat="false" ht="15" hidden="false" customHeight="false" outlineLevel="0" collapsed="false">
      <c r="A78" s="19" t="s">
        <v>55</v>
      </c>
      <c r="B78" s="20" t="n">
        <f aca="false">SUM(B74:B77)</f>
        <v>240</v>
      </c>
      <c r="C78" s="20" t="n">
        <f aca="false">SUM(C74:C77)</f>
        <v>16440699</v>
      </c>
      <c r="D78" s="21" t="n">
        <f aca="false">SUM(D74:D77)</f>
        <v>1</v>
      </c>
      <c r="E78" s="20" t="n">
        <f aca="false">SUM(E74:E77)</f>
        <v>35</v>
      </c>
    </row>
    <row r="81" customFormat="false" ht="15" hidden="false" customHeight="false" outlineLevel="0" collapsed="false">
      <c r="A81" s="10" t="s">
        <v>83</v>
      </c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</row>
    <row r="82" customFormat="false" ht="15" hidden="false" customHeight="false" outlineLevel="0" collapsed="false">
      <c r="A82" s="12" t="s">
        <v>84</v>
      </c>
      <c r="B82" s="12" t="s">
        <v>85</v>
      </c>
      <c r="C82" s="12" t="s">
        <v>86</v>
      </c>
      <c r="D82" s="12" t="s">
        <v>46</v>
      </c>
      <c r="E82" s="12" t="s">
        <v>41</v>
      </c>
      <c r="F82" s="12" t="s">
        <v>43</v>
      </c>
      <c r="G82" s="12" t="s">
        <v>87</v>
      </c>
    </row>
    <row r="83" customFormat="false" ht="15" hidden="false" customHeight="false" outlineLevel="0" collapsed="false">
      <c r="A83" s="14" t="n">
        <v>1</v>
      </c>
      <c r="B83" s="18" t="str">
        <f aca="false">INDEX(Products!$A$2:$A$49,MATCH(A83,Products!$J$2:$J$49,0))</f>
        <v>SKU014</v>
      </c>
      <c r="C83" s="18" t="str">
        <f aca="false">INDEX(Products!$B$2:$B$49,MATCH(A83,Products!$J$2:$J$49,0))</f>
        <v>Cheese Slices 200g</v>
      </c>
      <c r="D83" s="18" t="str">
        <f aca="false">INDEX(Products!$C$2:$C$49,MATCH(A83,Products!$J$2:$J$49,0))</f>
        <v>Dairy &amp; Eggs</v>
      </c>
      <c r="E83" s="16" t="n">
        <f aca="false">INDEX(Products!$H$2:$H$49,MATCH(A83,Products!$J$2:$J$49,0))</f>
        <v>12970760</v>
      </c>
      <c r="F83" s="17" t="n">
        <f aca="false">INDEX(Products!$F$2:$F$49,MATCH(A83,Products!$J$2:$J$49,0))</f>
        <v>0.182926829268293</v>
      </c>
      <c r="G83" s="14" t="str">
        <f aca="false">INDEX(Products!$L$2:$L$49,MATCH(A83,Products!$J$2:$J$49,0))</f>
        <v>A</v>
      </c>
    </row>
    <row r="84" customFormat="false" ht="15" hidden="false" customHeight="false" outlineLevel="0" collapsed="false">
      <c r="A84" s="14" t="n">
        <v>2</v>
      </c>
      <c r="B84" s="18" t="str">
        <f aca="false">INDEX(Products!$A$2:$A$49,MATCH(A84,Products!$J$2:$J$49,0))</f>
        <v>SKU013</v>
      </c>
      <c r="C84" s="18" t="str">
        <f aca="false">INDEX(Products!$B$2:$B$49,MATCH(A84,Products!$J$2:$J$49,0))</f>
        <v>Eggs Tray of 30</v>
      </c>
      <c r="D84" s="18" t="str">
        <f aca="false">INDEX(Products!$C$2:$C$49,MATCH(A84,Products!$J$2:$J$49,0))</f>
        <v>Dairy &amp; Eggs</v>
      </c>
      <c r="E84" s="16" t="n">
        <f aca="false">INDEX(Products!$H$2:$H$49,MATCH(A84,Products!$J$2:$J$49,0))</f>
        <v>12516400</v>
      </c>
      <c r="F84" s="17" t="n">
        <f aca="false">INDEX(Products!$F$2:$F$49,MATCH(A84,Products!$J$2:$J$49,0))</f>
        <v>0.175</v>
      </c>
      <c r="G84" s="14" t="str">
        <f aca="false">INDEX(Products!$L$2:$L$49,MATCH(A84,Products!$J$2:$J$49,0))</f>
        <v>A</v>
      </c>
    </row>
    <row r="85" customFormat="false" ht="15" hidden="false" customHeight="false" outlineLevel="0" collapsed="false">
      <c r="A85" s="14" t="n">
        <v>3</v>
      </c>
      <c r="B85" s="18" t="str">
        <f aca="false">INDEX(Products!$A$2:$A$49,MATCH(A85,Products!$J$2:$J$49,0))</f>
        <v>SKU005</v>
      </c>
      <c r="C85" s="18" t="str">
        <f aca="false">INDEX(Products!$B$2:$B$49,MATCH(A85,Products!$J$2:$J$49,0))</f>
        <v>Cooking Oil 1L</v>
      </c>
      <c r="D85" s="18" t="str">
        <f aca="false">INDEX(Products!$C$2:$C$49,MATCH(A85,Products!$J$2:$J$49,0))</f>
        <v>Grocery Staples</v>
      </c>
      <c r="E85" s="16" t="n">
        <f aca="false">INDEX(Products!$H$2:$H$49,MATCH(A85,Products!$J$2:$J$49,0))</f>
        <v>9273500</v>
      </c>
      <c r="F85" s="17" t="n">
        <f aca="false">INDEX(Products!$F$2:$F$49,MATCH(A85,Products!$J$2:$J$49,0))</f>
        <v>0.126470588235294</v>
      </c>
      <c r="G85" s="14" t="str">
        <f aca="false">INDEX(Products!$L$2:$L$49,MATCH(A85,Products!$J$2:$J$49,0))</f>
        <v>A</v>
      </c>
    </row>
    <row r="86" customFormat="false" ht="15" hidden="false" customHeight="false" outlineLevel="0" collapsed="false">
      <c r="A86" s="14" t="n">
        <v>4</v>
      </c>
      <c r="B86" s="18" t="str">
        <f aca="false">INDEX(Products!$A$2:$A$49,MATCH(A86,Products!$J$2:$J$49,0))</f>
        <v>SKU023</v>
      </c>
      <c r="C86" s="18" t="str">
        <f aca="false">INDEX(Products!$B$2:$B$49,MATCH(A86,Products!$J$2:$J$49,0))</f>
        <v>Instant Coffee 100g</v>
      </c>
      <c r="D86" s="18" t="str">
        <f aca="false">INDEX(Products!$C$2:$C$49,MATCH(A86,Products!$J$2:$J$49,0))</f>
        <v>Beverages</v>
      </c>
      <c r="E86" s="16" t="n">
        <f aca="false">INDEX(Products!$H$2:$H$49,MATCH(A86,Products!$J$2:$J$49,0))</f>
        <v>4954950</v>
      </c>
      <c r="F86" s="17" t="n">
        <f aca="false">INDEX(Products!$F$2:$F$49,MATCH(A86,Products!$J$2:$J$49,0))</f>
        <v>0.204444444444444</v>
      </c>
      <c r="G86" s="14" t="str">
        <f aca="false">INDEX(Products!$L$2:$L$49,MATCH(A86,Products!$J$2:$J$49,0))</f>
        <v>A</v>
      </c>
    </row>
    <row r="87" customFormat="false" ht="15" hidden="false" customHeight="false" outlineLevel="0" collapsed="false">
      <c r="A87" s="14" t="n">
        <v>5</v>
      </c>
      <c r="B87" s="18" t="str">
        <f aca="false">INDEX(Products!$A$2:$A$49,MATCH(A87,Products!$J$2:$J$49,0))</f>
        <v>SKU008</v>
      </c>
      <c r="C87" s="18" t="str">
        <f aca="false">INDEX(Products!$B$2:$B$49,MATCH(A87,Products!$J$2:$J$49,0))</f>
        <v>Dry Beans 1kg</v>
      </c>
      <c r="D87" s="18" t="str">
        <f aca="false">INDEX(Products!$C$2:$C$49,MATCH(A87,Products!$J$2:$J$49,0))</f>
        <v>Grocery Staples</v>
      </c>
      <c r="E87" s="16" t="n">
        <f aca="false">INDEX(Products!$H$2:$H$49,MATCH(A87,Products!$J$2:$J$49,0))</f>
        <v>4800810</v>
      </c>
      <c r="F87" s="17" t="n">
        <f aca="false">INDEX(Products!$F$2:$F$49,MATCH(A87,Products!$J$2:$J$49,0))</f>
        <v>0.114285714285714</v>
      </c>
      <c r="G87" s="14" t="str">
        <f aca="false">INDEX(Products!$L$2:$L$49,MATCH(A87,Products!$J$2:$J$49,0))</f>
        <v>A</v>
      </c>
    </row>
    <row r="88" customFormat="false" ht="15" hidden="false" customHeight="false" outlineLevel="0" collapsed="false">
      <c r="A88" s="14" t="n">
        <v>6</v>
      </c>
      <c r="B88" s="18" t="str">
        <f aca="false">INDEX(Products!$A$2:$A$49,MATCH(A88,Products!$J$2:$J$49,0))</f>
        <v>SKU018</v>
      </c>
      <c r="C88" s="18" t="str">
        <f aca="false">INDEX(Products!$B$2:$B$49,MATCH(A88,Products!$J$2:$J$49,0))</f>
        <v>Soda 2L</v>
      </c>
      <c r="D88" s="18" t="str">
        <f aca="false">INDEX(Products!$C$2:$C$49,MATCH(A88,Products!$J$2:$J$49,0))</f>
        <v>Beverages</v>
      </c>
      <c r="E88" s="16" t="n">
        <f aca="false">INDEX(Products!$H$2:$H$49,MATCH(A88,Products!$J$2:$J$49,0))</f>
        <v>4597240</v>
      </c>
      <c r="F88" s="17" t="n">
        <f aca="false">INDEX(Products!$F$2:$F$49,MATCH(A88,Products!$J$2:$J$49,0))</f>
        <v>0.2</v>
      </c>
      <c r="G88" s="14" t="str">
        <f aca="false">INDEX(Products!$L$2:$L$49,MATCH(A88,Products!$J$2:$J$49,0))</f>
        <v>A</v>
      </c>
    </row>
    <row r="89" customFormat="false" ht="15" hidden="false" customHeight="false" outlineLevel="0" collapsed="false">
      <c r="A89" s="14" t="n">
        <v>7</v>
      </c>
      <c r="B89" s="18" t="str">
        <f aca="false">INDEX(Products!$A$2:$A$49,MATCH(A89,Products!$J$2:$J$49,0))</f>
        <v>SKU003</v>
      </c>
      <c r="C89" s="18" t="str">
        <f aca="false">INDEX(Products!$B$2:$B$49,MATCH(A89,Products!$J$2:$J$49,0))</f>
        <v>Rice Pishori 2kg</v>
      </c>
      <c r="D89" s="18" t="str">
        <f aca="false">INDEX(Products!$C$2:$C$49,MATCH(A89,Products!$J$2:$J$49,0))</f>
        <v>Grocery Staples</v>
      </c>
      <c r="E89" s="16" t="n">
        <f aca="false">INDEX(Products!$H$2:$H$49,MATCH(A89,Products!$J$2:$J$49,0))</f>
        <v>4447380</v>
      </c>
      <c r="F89" s="17" t="n">
        <f aca="false">INDEX(Products!$F$2:$F$49,MATCH(A89,Products!$J$2:$J$49,0))</f>
        <v>0.104761904761905</v>
      </c>
      <c r="G89" s="14" t="str">
        <f aca="false">INDEX(Products!$L$2:$L$49,MATCH(A89,Products!$J$2:$J$49,0))</f>
        <v>A</v>
      </c>
    </row>
    <row r="90" customFormat="false" ht="15" hidden="false" customHeight="false" outlineLevel="0" collapsed="false">
      <c r="A90" s="14" t="n">
        <v>8</v>
      </c>
      <c r="B90" s="18" t="str">
        <f aca="false">INDEX(Products!$A$2:$A$49,MATCH(A90,Products!$J$2:$J$49,0))</f>
        <v>SKU036</v>
      </c>
      <c r="C90" s="18" t="str">
        <f aca="false">INDEX(Products!$B$2:$B$49,MATCH(A90,Products!$J$2:$J$49,0))</f>
        <v>Deodorant Roll-on</v>
      </c>
      <c r="D90" s="18" t="str">
        <f aca="false">INDEX(Products!$C$2:$C$49,MATCH(A90,Products!$J$2:$J$49,0))</f>
        <v>Personal Care</v>
      </c>
      <c r="E90" s="16" t="n">
        <f aca="false">INDEX(Products!$H$2:$H$49,MATCH(A90,Products!$J$2:$J$49,0))</f>
        <v>4327960</v>
      </c>
      <c r="F90" s="17" t="n">
        <f aca="false">INDEX(Products!$F$2:$F$49,MATCH(A90,Products!$J$2:$J$49,0))</f>
        <v>0.303571428571429</v>
      </c>
      <c r="G90" s="14" t="str">
        <f aca="false">INDEX(Products!$L$2:$L$49,MATCH(A90,Products!$J$2:$J$49,0))</f>
        <v>A</v>
      </c>
    </row>
    <row r="91" customFormat="false" ht="15" hidden="false" customHeight="false" outlineLevel="0" collapsed="false">
      <c r="A91" s="14" t="n">
        <v>9</v>
      </c>
      <c r="B91" s="18" t="str">
        <f aca="false">INDEX(Products!$A$2:$A$49,MATCH(A91,Products!$J$2:$J$49,0))</f>
        <v>SKU041</v>
      </c>
      <c r="C91" s="18" t="str">
        <f aca="false">INDEX(Products!$B$2:$B$49,MATCH(A91,Products!$J$2:$J$49,0))</f>
        <v>Biscuits 200g</v>
      </c>
      <c r="D91" s="18" t="str">
        <f aca="false">INDEX(Products!$C$2:$C$49,MATCH(A91,Products!$J$2:$J$49,0))</f>
        <v>Snacks &amp; Confectionery</v>
      </c>
      <c r="E91" s="16" t="n">
        <f aca="false">INDEX(Products!$H$2:$H$49,MATCH(A91,Products!$J$2:$J$49,0))</f>
        <v>4284830</v>
      </c>
      <c r="F91" s="17" t="n">
        <f aca="false">INDEX(Products!$F$2:$F$49,MATCH(A91,Products!$J$2:$J$49,0))</f>
        <v>0.327272727272727</v>
      </c>
      <c r="G91" s="14" t="str">
        <f aca="false">INDEX(Products!$L$2:$L$49,MATCH(A91,Products!$J$2:$J$49,0))</f>
        <v>A</v>
      </c>
    </row>
    <row r="92" customFormat="false" ht="15" hidden="false" customHeight="false" outlineLevel="0" collapsed="false">
      <c r="A92" s="14" t="n">
        <v>10</v>
      </c>
      <c r="B92" s="18" t="str">
        <f aca="false">INDEX(Products!$A$2:$A$49,MATCH(A92,Products!$J$2:$J$49,0))</f>
        <v>SKU012</v>
      </c>
      <c r="C92" s="18" t="str">
        <f aca="false">INDEX(Products!$B$2:$B$49,MATCH(A92,Products!$J$2:$J$49,0))</f>
        <v>Butter 250g</v>
      </c>
      <c r="D92" s="18" t="str">
        <f aca="false">INDEX(Products!$C$2:$C$49,MATCH(A92,Products!$J$2:$J$49,0))</f>
        <v>Dairy &amp; Eggs</v>
      </c>
      <c r="E92" s="16" t="n">
        <f aca="false">INDEX(Products!$H$2:$H$49,MATCH(A92,Products!$J$2:$J$49,0))</f>
        <v>3822080</v>
      </c>
      <c r="F92" s="17" t="n">
        <f aca="false">INDEX(Products!$F$2:$F$49,MATCH(A92,Products!$J$2:$J$49,0))</f>
        <v>0.1625</v>
      </c>
      <c r="G92" s="14" t="str">
        <f aca="false">INDEX(Products!$L$2:$L$49,MATCH(A92,Products!$J$2:$J$49,0))</f>
        <v>A</v>
      </c>
    </row>
  </sheetData>
  <mergeCells count="28">
    <mergeCell ref="A1:L1"/>
    <mergeCell ref="A2:L2"/>
    <mergeCell ref="A4:B4"/>
    <mergeCell ref="C4:D4"/>
    <mergeCell ref="E4:F4"/>
    <mergeCell ref="G4:H4"/>
    <mergeCell ref="I4:J4"/>
    <mergeCell ref="K4:L4"/>
    <mergeCell ref="A5:B5"/>
    <mergeCell ref="C5:D5"/>
    <mergeCell ref="E5:F5"/>
    <mergeCell ref="G5:H5"/>
    <mergeCell ref="I5:J5"/>
    <mergeCell ref="K5:L5"/>
    <mergeCell ref="A7:L7"/>
    <mergeCell ref="A8:L8"/>
    <mergeCell ref="A9:L9"/>
    <mergeCell ref="A10:L10"/>
    <mergeCell ref="A11:L11"/>
    <mergeCell ref="A12:L12"/>
    <mergeCell ref="A13:L13"/>
    <mergeCell ref="A14:L14"/>
    <mergeCell ref="A16:L16"/>
    <mergeCell ref="A32:L32"/>
    <mergeCell ref="A48:L48"/>
    <mergeCell ref="A64:L64"/>
    <mergeCell ref="A72:L72"/>
    <mergeCell ref="A81:L81"/>
  </mergeCells>
  <conditionalFormatting sqref="E50:E54">
    <cfRule type="colorScale" priority="2">
      <colorScale>
        <cfvo type="min" val="0"/>
        <cfvo type="max" val="0"/>
        <color rgb="FFFFFFFF"/>
        <color rgb="FFF4B6B6"/>
      </colorScale>
    </cfRule>
  </conditionalFormatting>
  <conditionalFormatting sqref="D34:D39">
    <cfRule type="colorScale" priority="3">
      <colorScale>
        <cfvo type="min" val="0"/>
        <cfvo type="max" val="0"/>
        <color rgb="FFFFFFFF"/>
        <color rgb="FFC6E0B4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6"/>
    <col collapsed="false" customWidth="true" hidden="false" outlineLevel="0" max="3" min="3" style="0" width="60"/>
  </cols>
  <sheetData>
    <row r="1" customFormat="false" ht="17.35" hidden="false" customHeight="false" outlineLevel="0" collapsed="false">
      <c r="A1" s="22" t="s">
        <v>88</v>
      </c>
    </row>
    <row r="2" customFormat="false" ht="15" hidden="false" customHeight="false" outlineLevel="0" collapsed="false">
      <c r="A2" s="23" t="s">
        <v>89</v>
      </c>
    </row>
    <row r="4" customFormat="false" ht="15" hidden="false" customHeight="false" outlineLevel="0" collapsed="false">
      <c r="A4" s="24" t="s">
        <v>90</v>
      </c>
      <c r="B4" s="25" t="n">
        <v>46292</v>
      </c>
      <c r="C4" s="23" t="s">
        <v>91</v>
      </c>
    </row>
    <row r="5" customFormat="false" ht="15" hidden="false" customHeight="false" outlineLevel="0" collapsed="false">
      <c r="A5" s="24" t="s">
        <v>92</v>
      </c>
      <c r="B5" s="25" t="n">
        <v>46118</v>
      </c>
      <c r="C5" s="23" t="s">
        <v>93</v>
      </c>
    </row>
    <row r="6" customFormat="false" ht="15" hidden="false" customHeight="false" outlineLevel="0" collapsed="false">
      <c r="A6" s="24" t="s">
        <v>94</v>
      </c>
      <c r="B6" s="26" t="n">
        <f aca="false">(B4-B5+1)/7</f>
        <v>25</v>
      </c>
      <c r="C6" s="23" t="s">
        <v>95</v>
      </c>
    </row>
    <row r="7" customFormat="false" ht="15" hidden="false" customHeight="false" outlineLevel="0" collapsed="false">
      <c r="A7" s="24" t="s">
        <v>96</v>
      </c>
      <c r="B7" s="27" t="n">
        <v>0.8</v>
      </c>
      <c r="C7" s="23" t="s">
        <v>97</v>
      </c>
    </row>
    <row r="8" customFormat="false" ht="15" hidden="false" customHeight="false" outlineLevel="0" collapsed="false">
      <c r="A8" s="24" t="s">
        <v>98</v>
      </c>
      <c r="B8" s="27" t="n">
        <v>0.95</v>
      </c>
      <c r="C8" s="23" t="s">
        <v>99</v>
      </c>
    </row>
    <row r="9" customFormat="false" ht="15" hidden="false" customHeight="false" outlineLevel="0" collapsed="false">
      <c r="A9" s="24" t="s">
        <v>100</v>
      </c>
      <c r="B9" s="28" t="n">
        <v>1</v>
      </c>
      <c r="C9" s="23" t="s">
        <v>101</v>
      </c>
    </row>
    <row r="10" customFormat="false" ht="15" hidden="false" customHeight="false" outlineLevel="0" collapsed="false">
      <c r="A10" s="24" t="s">
        <v>102</v>
      </c>
      <c r="B10" s="28" t="n">
        <v>2</v>
      </c>
      <c r="C10" s="23"/>
    </row>
    <row r="11" customFormat="false" ht="15" hidden="false" customHeight="false" outlineLevel="0" collapsed="false">
      <c r="A11" s="24" t="s">
        <v>103</v>
      </c>
      <c r="B11" s="28" t="n">
        <v>8</v>
      </c>
      <c r="C11" s="23" t="s">
        <v>104</v>
      </c>
    </row>
    <row r="12" customFormat="false" ht="15" hidden="false" customHeight="false" outlineLevel="0" collapsed="false">
      <c r="A12" s="24" t="s">
        <v>105</v>
      </c>
      <c r="B12" s="27" t="n">
        <v>0.25</v>
      </c>
      <c r="C12" s="23" t="s">
        <v>106</v>
      </c>
    </row>
    <row r="13" customFormat="false" ht="15" hidden="false" customHeight="false" outlineLevel="0" collapsed="false">
      <c r="A13" s="24" t="s">
        <v>107</v>
      </c>
      <c r="B13" s="29" t="n">
        <v>8</v>
      </c>
      <c r="C13" s="23" t="s">
        <v>108</v>
      </c>
    </row>
    <row r="15" customFormat="false" ht="15" hidden="false" customHeight="false" outlineLevel="0" collapsed="false">
      <c r="A15" s="30" t="s">
        <v>109</v>
      </c>
    </row>
    <row r="16" customFormat="false" ht="15" hidden="false" customHeight="false" outlineLevel="0" collapsed="false">
      <c r="A16" s="24" t="s">
        <v>61</v>
      </c>
      <c r="B16" s="31" t="n">
        <v>0.01</v>
      </c>
    </row>
    <row r="17" customFormat="false" ht="15" hidden="false" customHeight="false" outlineLevel="0" collapsed="false">
      <c r="A17" s="24" t="s">
        <v>62</v>
      </c>
      <c r="B17" s="31" t="n">
        <v>0.008</v>
      </c>
    </row>
    <row r="18" customFormat="false" ht="15" hidden="false" customHeight="false" outlineLevel="0" collapsed="false">
      <c r="A18" s="24" t="s">
        <v>63</v>
      </c>
      <c r="B18" s="31" t="n">
        <v>0.016</v>
      </c>
    </row>
    <row r="19" customFormat="false" ht="15" hidden="false" customHeight="false" outlineLevel="0" collapsed="false">
      <c r="A19" s="24" t="s">
        <v>64</v>
      </c>
      <c r="B19" s="31" t="n">
        <v>0.024</v>
      </c>
    </row>
    <row r="20" customFormat="false" ht="15" hidden="false" customHeight="false" outlineLevel="0" collapsed="false">
      <c r="A20" s="24" t="s">
        <v>65</v>
      </c>
      <c r="B20" s="31" t="n">
        <v>0.02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4"/>
    <col collapsed="false" customWidth="true" hidden="false" outlineLevel="0" max="3" min="3" style="0" width="22"/>
    <col collapsed="false" customWidth="true" hidden="false" outlineLevel="0" max="5" min="4" style="0" width="12"/>
    <col collapsed="false" customWidth="true" hidden="false" outlineLevel="0" max="6" min="6" style="0" width="10"/>
    <col collapsed="false" customWidth="true" hidden="false" outlineLevel="0" max="7" min="7" style="0" width="11"/>
    <col collapsed="false" customWidth="true" hidden="false" outlineLevel="0" max="8" min="8" style="0" width="14"/>
    <col collapsed="false" customWidth="true" hidden="false" outlineLevel="0" max="9" min="9" style="0" width="15"/>
    <col collapsed="false" customWidth="true" hidden="false" outlineLevel="0" max="10" min="10" style="0" width="10"/>
    <col collapsed="false" customWidth="true" hidden="false" outlineLevel="0" max="11" min="11" style="0" width="14"/>
    <col collapsed="false" customWidth="true" hidden="false" outlineLevel="0" max="12" min="12" style="0" width="10"/>
    <col collapsed="false" customWidth="true" hidden="false" outlineLevel="0" max="13" min="13" style="0" width="13"/>
  </cols>
  <sheetData>
    <row r="1" customFormat="false" ht="31.5" hidden="false" customHeight="true" outlineLevel="0" collapsed="false">
      <c r="A1" s="32" t="s">
        <v>85</v>
      </c>
      <c r="B1" s="32" t="s">
        <v>86</v>
      </c>
      <c r="C1" s="32" t="s">
        <v>46</v>
      </c>
      <c r="D1" s="32" t="s">
        <v>110</v>
      </c>
      <c r="E1" s="32" t="s">
        <v>111</v>
      </c>
      <c r="F1" s="32" t="s">
        <v>43</v>
      </c>
      <c r="G1" s="32" t="s">
        <v>48</v>
      </c>
      <c r="H1" s="32" t="s">
        <v>41</v>
      </c>
      <c r="I1" s="32" t="s">
        <v>42</v>
      </c>
      <c r="J1" s="32" t="s">
        <v>112</v>
      </c>
      <c r="K1" s="32" t="s">
        <v>113</v>
      </c>
      <c r="L1" s="32" t="s">
        <v>87</v>
      </c>
      <c r="M1" s="32" t="s">
        <v>114</v>
      </c>
    </row>
    <row r="2" customFormat="false" ht="15" hidden="false" customHeight="false" outlineLevel="0" collapsed="false">
      <c r="A2" s="24" t="s">
        <v>115</v>
      </c>
      <c r="B2" s="24" t="s">
        <v>116</v>
      </c>
      <c r="C2" s="24" t="s">
        <v>49</v>
      </c>
      <c r="D2" s="33" t="n">
        <v>144</v>
      </c>
      <c r="E2" s="33" t="n">
        <v>165</v>
      </c>
      <c r="F2" s="34" t="n">
        <f aca="false">(E2-D2)/E2</f>
        <v>0.127272727272727</v>
      </c>
      <c r="G2" s="33" t="n">
        <f aca="false">SUMIFS(Sales!$D$2:$D$6001,Sales!$C$2:$C$6001,A2)</f>
        <v>18196</v>
      </c>
      <c r="H2" s="33" t="n">
        <f aca="false">SUMIFS(Sales!$H$2:$H$6001,Sales!$C$2:$C$6001,A2)</f>
        <v>3002340</v>
      </c>
      <c r="I2" s="33" t="n">
        <f aca="false">SUMIFS(Sales!$J$2:$J$6001,Sales!$C$2:$C$6001,A2)</f>
        <v>341675.328</v>
      </c>
      <c r="J2" s="24" t="n">
        <f aca="false">RANK(H2,$H$2:$H$49)+COUNTIF($H$2:H2,H2)-1</f>
        <v>13</v>
      </c>
      <c r="K2" s="34" t="n">
        <f aca="false">SUMIFS($H$2:$H$49,$J$2:$J$49,"&lt;="&amp;J2)/SUM($H$2:$H$49)</f>
        <v>0.647683075973607</v>
      </c>
      <c r="L2" s="24" t="str">
        <f aca="false">IF(K2-H2/SUM($H$2:$H$49)&lt;Assumptions!$B$7,"A",IF(K2-H2/SUM($H$2:$H$49)&lt;Assumptions!$B$8,"B","C"))</f>
        <v>A</v>
      </c>
      <c r="M2" s="24" t="str">
        <f aca="false">IF(F2&lt;Assumptions!$B$12,"Below target","OK")</f>
        <v>Below target</v>
      </c>
    </row>
    <row r="3" customFormat="false" ht="15" hidden="false" customHeight="false" outlineLevel="0" collapsed="false">
      <c r="A3" s="24" t="s">
        <v>117</v>
      </c>
      <c r="B3" s="24" t="s">
        <v>118</v>
      </c>
      <c r="C3" s="24" t="s">
        <v>49</v>
      </c>
      <c r="D3" s="33" t="n">
        <v>168</v>
      </c>
      <c r="E3" s="33" t="n">
        <v>190</v>
      </c>
      <c r="F3" s="34" t="n">
        <f aca="false">(E3-D3)/E3</f>
        <v>0.115789473684211</v>
      </c>
      <c r="G3" s="33" t="n">
        <f aca="false">SUMIFS(Sales!$D$2:$D$6001,Sales!$C$2:$C$6001,A3)</f>
        <v>14557</v>
      </c>
      <c r="H3" s="33" t="n">
        <f aca="false">SUMIFS(Sales!$H$2:$H$6001,Sales!$C$2:$C$6001,A3)</f>
        <v>2765830</v>
      </c>
      <c r="I3" s="33" t="n">
        <f aca="false">SUMIFS(Sales!$J$2:$J$6001,Sales!$C$2:$C$6001,A3)</f>
        <v>282878.368</v>
      </c>
      <c r="J3" s="24" t="n">
        <f aca="false">RANK(H3,$H$2:$H$49)+COUNTIF($H$2:H3,H3)-1</f>
        <v>15</v>
      </c>
      <c r="K3" s="34" t="n">
        <f aca="false">SUMIFS($H$2:$H$49,$J$2:$J$49,"&lt;="&amp;J3)/SUM($H$2:$H$49)</f>
        <v>0.696787943297223</v>
      </c>
      <c r="L3" s="24" t="str">
        <f aca="false">IF(K3-H3/SUM($H$2:$H$49)&lt;Assumptions!$B$7,"A",IF(K3-H3/SUM($H$2:$H$49)&lt;Assumptions!$B$8,"B","C"))</f>
        <v>A</v>
      </c>
      <c r="M3" s="24" t="str">
        <f aca="false">IF(F3&lt;Assumptions!$B$12,"Below target","OK")</f>
        <v>Below target</v>
      </c>
    </row>
    <row r="4" customFormat="false" ht="15" hidden="false" customHeight="false" outlineLevel="0" collapsed="false">
      <c r="A4" s="24" t="s">
        <v>119</v>
      </c>
      <c r="B4" s="24" t="s">
        <v>120</v>
      </c>
      <c r="C4" s="24" t="s">
        <v>49</v>
      </c>
      <c r="D4" s="33" t="n">
        <v>376</v>
      </c>
      <c r="E4" s="33" t="n">
        <v>420</v>
      </c>
      <c r="F4" s="34" t="n">
        <f aca="false">(E4-D4)/E4</f>
        <v>0.104761904761905</v>
      </c>
      <c r="G4" s="33" t="n">
        <f aca="false">SUMIFS(Sales!$D$2:$D$6001,Sales!$C$2:$C$6001,A4)</f>
        <v>10589</v>
      </c>
      <c r="H4" s="33" t="n">
        <f aca="false">SUMIFS(Sales!$H$2:$H$6001,Sales!$C$2:$C$6001,A4)</f>
        <v>4447380</v>
      </c>
      <c r="I4" s="33" t="n">
        <f aca="false">SUMIFS(Sales!$J$2:$J$6001,Sales!$C$2:$C$6001,A4)</f>
        <v>405152.144</v>
      </c>
      <c r="J4" s="24" t="n">
        <f aca="false">RANK(H4,$H$2:$H$49)+COUNTIF($H$2:H4,H4)-1</f>
        <v>7</v>
      </c>
      <c r="K4" s="34" t="n">
        <f aca="false">SUMIFS($H$2:$H$49,$J$2:$J$49,"&lt;="&amp;J4)/SUM($H$2:$H$49)</f>
        <v>0.459614597131086</v>
      </c>
      <c r="L4" s="24" t="str">
        <f aca="false">IF(K4-H4/SUM($H$2:$H$49)&lt;Assumptions!$B$7,"A",IF(K4-H4/SUM($H$2:$H$49)&lt;Assumptions!$B$8,"B","C"))</f>
        <v>A</v>
      </c>
      <c r="M4" s="24" t="str">
        <f aca="false">IF(F4&lt;Assumptions!$B$12,"Below target","OK")</f>
        <v>Below target</v>
      </c>
    </row>
    <row r="5" customFormat="false" ht="15" hidden="false" customHeight="false" outlineLevel="0" collapsed="false">
      <c r="A5" s="24" t="s">
        <v>121</v>
      </c>
      <c r="B5" s="24" t="s">
        <v>122</v>
      </c>
      <c r="C5" s="24" t="s">
        <v>49</v>
      </c>
      <c r="D5" s="33" t="n">
        <v>161</v>
      </c>
      <c r="E5" s="33" t="n">
        <v>190</v>
      </c>
      <c r="F5" s="34" t="n">
        <f aca="false">(E5-D5)/E5</f>
        <v>0.152631578947368</v>
      </c>
      <c r="G5" s="33" t="n">
        <f aca="false">SUMIFS(Sales!$D$2:$D$6001,Sales!$C$2:$C$6001,A5)</f>
        <v>6426</v>
      </c>
      <c r="H5" s="33" t="n">
        <f aca="false">SUMIFS(Sales!$H$2:$H$6001,Sales!$C$2:$C$6001,A5)</f>
        <v>1220940</v>
      </c>
      <c r="I5" s="33" t="n">
        <f aca="false">SUMIFS(Sales!$J$2:$J$6001,Sales!$C$2:$C$6001,A5)</f>
        <v>170421.118</v>
      </c>
      <c r="J5" s="24" t="n">
        <f aca="false">RANK(H5,$H$2:$H$49)+COUNTIF($H$2:H5,H5)-1</f>
        <v>27</v>
      </c>
      <c r="K5" s="34" t="n">
        <f aca="false">SUMIFS($H$2:$H$49,$J$2:$J$49,"&lt;="&amp;J5)/SUM($H$2:$H$49)</f>
        <v>0.879364323135396</v>
      </c>
      <c r="L5" s="24" t="str">
        <f aca="false">IF(K5-H5/SUM($H$2:$H$49)&lt;Assumptions!$B$7,"A",IF(K5-H5/SUM($H$2:$H$49)&lt;Assumptions!$B$8,"B","C"))</f>
        <v>B</v>
      </c>
      <c r="M5" s="24" t="str">
        <f aca="false">IF(F5&lt;Assumptions!$B$12,"Below target","OK")</f>
        <v>Below target</v>
      </c>
    </row>
    <row r="6" customFormat="false" ht="15" hidden="false" customHeight="false" outlineLevel="0" collapsed="false">
      <c r="A6" s="24" t="s">
        <v>123</v>
      </c>
      <c r="B6" s="24" t="s">
        <v>124</v>
      </c>
      <c r="C6" s="24" t="s">
        <v>49</v>
      </c>
      <c r="D6" s="33" t="n">
        <v>297</v>
      </c>
      <c r="E6" s="33" t="n">
        <v>340</v>
      </c>
      <c r="F6" s="34" t="n">
        <f aca="false">(E6-D6)/E6</f>
        <v>0.126470588235294</v>
      </c>
      <c r="G6" s="33" t="n">
        <f aca="false">SUMIFS(Sales!$D$2:$D$6001,Sales!$C$2:$C$6001,A6)</f>
        <v>27275</v>
      </c>
      <c r="H6" s="33" t="n">
        <f aca="false">SUMIFS(Sales!$H$2:$H$6001,Sales!$C$2:$C$6001,A6)</f>
        <v>9273500</v>
      </c>
      <c r="I6" s="33" t="n">
        <f aca="false">SUMIFS(Sales!$J$2:$J$6001,Sales!$C$2:$C$6001,A6)</f>
        <v>1048530.5</v>
      </c>
      <c r="J6" s="24" t="n">
        <f aca="false">RANK(H6,$H$2:$H$49)+COUNTIF($H$2:H6,H6)-1</f>
        <v>3</v>
      </c>
      <c r="K6" s="34" t="n">
        <f aca="false">SUMIFS($H$2:$H$49,$J$2:$J$49,"&lt;="&amp;J6)/SUM($H$2:$H$49)</f>
        <v>0.298285969464197</v>
      </c>
      <c r="L6" s="24" t="str">
        <f aca="false">IF(K6-H6/SUM($H$2:$H$49)&lt;Assumptions!$B$7,"A",IF(K6-H6/SUM($H$2:$H$49)&lt;Assumptions!$B$8,"B","C"))</f>
        <v>A</v>
      </c>
      <c r="M6" s="24" t="str">
        <f aca="false">IF(F6&lt;Assumptions!$B$12,"Below target","OK")</f>
        <v>Below target</v>
      </c>
    </row>
    <row r="7" customFormat="false" ht="15" hidden="false" customHeight="false" outlineLevel="0" collapsed="false">
      <c r="A7" s="24" t="s">
        <v>125</v>
      </c>
      <c r="B7" s="24" t="s">
        <v>126</v>
      </c>
      <c r="C7" s="24" t="s">
        <v>49</v>
      </c>
      <c r="D7" s="33" t="n">
        <v>40</v>
      </c>
      <c r="E7" s="33" t="n">
        <v>45</v>
      </c>
      <c r="F7" s="34" t="n">
        <f aca="false">(E7-D7)/E7</f>
        <v>0.111111111111111</v>
      </c>
      <c r="G7" s="33" t="n">
        <f aca="false">SUMIFS(Sales!$D$2:$D$6001,Sales!$C$2:$C$6001,A7)</f>
        <v>4530</v>
      </c>
      <c r="H7" s="33" t="n">
        <f aca="false">SUMIFS(Sales!$H$2:$H$6001,Sales!$C$2:$C$6001,A7)</f>
        <v>203850</v>
      </c>
      <c r="I7" s="33" t="n">
        <f aca="false">SUMIFS(Sales!$J$2:$J$6001,Sales!$C$2:$C$6001,A7)</f>
        <v>19831.76</v>
      </c>
      <c r="J7" s="24" t="n">
        <f aca="false">RANK(H7,$H$2:$H$49)+COUNTIF($H$2:H7,H7)-1</f>
        <v>48</v>
      </c>
      <c r="K7" s="34" t="n">
        <f aca="false">SUMIFS($H$2:$H$49,$J$2:$J$49,"&lt;="&amp;J7)/SUM($H$2:$H$49)</f>
        <v>1</v>
      </c>
      <c r="L7" s="24" t="str">
        <f aca="false">IF(K7-H7/SUM($H$2:$H$49)&lt;Assumptions!$B$7,"A",IF(K7-H7/SUM($H$2:$H$49)&lt;Assumptions!$B$8,"B","C"))</f>
        <v>C</v>
      </c>
      <c r="M7" s="24" t="str">
        <f aca="false">IF(F7&lt;Assumptions!$B$12,"Below target","OK")</f>
        <v>Below target</v>
      </c>
    </row>
    <row r="8" customFormat="false" ht="15" hidden="false" customHeight="false" outlineLevel="0" collapsed="false">
      <c r="A8" s="24" t="s">
        <v>127</v>
      </c>
      <c r="B8" s="24" t="s">
        <v>128</v>
      </c>
      <c r="C8" s="24" t="s">
        <v>49</v>
      </c>
      <c r="D8" s="33" t="n">
        <v>103</v>
      </c>
      <c r="E8" s="33" t="n">
        <v>120</v>
      </c>
      <c r="F8" s="34" t="n">
        <f aca="false">(E8-D8)/E8</f>
        <v>0.141666666666667</v>
      </c>
      <c r="G8" s="33" t="n">
        <f aca="false">SUMIFS(Sales!$D$2:$D$6001,Sales!$C$2:$C$6001,A8)</f>
        <v>18566</v>
      </c>
      <c r="H8" s="33" t="n">
        <f aca="false">SUMIFS(Sales!$H$2:$H$6001,Sales!$C$2:$C$6001,A8)</f>
        <v>2227920</v>
      </c>
      <c r="I8" s="33" t="n">
        <f aca="false">SUMIFS(Sales!$J$2:$J$6001,Sales!$C$2:$C$6001,A8)</f>
        <v>286100.758</v>
      </c>
      <c r="J8" s="24" t="n">
        <f aca="false">RANK(H8,$H$2:$H$49)+COUNTIF($H$2:H8,H8)-1</f>
        <v>17</v>
      </c>
      <c r="K8" s="34" t="n">
        <f aca="false">SUMIFS($H$2:$H$49,$J$2:$J$49,"&lt;="&amp;J8)/SUM($H$2:$H$49)</f>
        <v>0.737268940027123</v>
      </c>
      <c r="L8" s="24" t="str">
        <f aca="false">IF(K8-H8/SUM($H$2:$H$49)&lt;Assumptions!$B$7,"A",IF(K8-H8/SUM($H$2:$H$49)&lt;Assumptions!$B$8,"B","C"))</f>
        <v>A</v>
      </c>
      <c r="M8" s="24" t="str">
        <f aca="false">IF(F8&lt;Assumptions!$B$12,"Below target","OK")</f>
        <v>Below target</v>
      </c>
    </row>
    <row r="9" customFormat="false" ht="15" hidden="false" customHeight="false" outlineLevel="0" collapsed="false">
      <c r="A9" s="24" t="s">
        <v>129</v>
      </c>
      <c r="B9" s="24" t="s">
        <v>130</v>
      </c>
      <c r="C9" s="24" t="s">
        <v>49</v>
      </c>
      <c r="D9" s="33" t="n">
        <v>186</v>
      </c>
      <c r="E9" s="33" t="n">
        <v>210</v>
      </c>
      <c r="F9" s="34" t="n">
        <f aca="false">(E9-D9)/E9</f>
        <v>0.114285714285714</v>
      </c>
      <c r="G9" s="33" t="n">
        <f aca="false">SUMIFS(Sales!$D$2:$D$6001,Sales!$C$2:$C$6001,A9)</f>
        <v>22861</v>
      </c>
      <c r="H9" s="33" t="n">
        <f aca="false">SUMIFS(Sales!$H$2:$H$6001,Sales!$C$2:$C$6001,A9)</f>
        <v>4800810</v>
      </c>
      <c r="I9" s="33" t="n">
        <f aca="false">SUMIFS(Sales!$J$2:$J$6001,Sales!$C$2:$C$6001,A9)</f>
        <v>483941.952</v>
      </c>
      <c r="J9" s="24" t="n">
        <f aca="false">RANK(H9,$H$2:$H$49)+COUNTIF($H$2:H9,H9)-1</f>
        <v>5</v>
      </c>
      <c r="K9" s="34" t="n">
        <f aca="false">SUMIFS($H$2:$H$49,$J$2:$J$49,"&lt;="&amp;J9)/SUM($H$2:$H$49)</f>
        <v>0.382001478014957</v>
      </c>
      <c r="L9" s="24" t="str">
        <f aca="false">IF(K9-H9/SUM($H$2:$H$49)&lt;Assumptions!$B$7,"A",IF(K9-H9/SUM($H$2:$H$49)&lt;Assumptions!$B$8,"B","C"))</f>
        <v>A</v>
      </c>
      <c r="M9" s="24" t="str">
        <f aca="false">IF(F9&lt;Assumptions!$B$12,"Below target","OK")</f>
        <v>Below target</v>
      </c>
    </row>
    <row r="10" customFormat="false" ht="15" hidden="false" customHeight="false" outlineLevel="0" collapsed="false">
      <c r="A10" s="24" t="s">
        <v>131</v>
      </c>
      <c r="B10" s="24" t="s">
        <v>132</v>
      </c>
      <c r="C10" s="24" t="s">
        <v>50</v>
      </c>
      <c r="D10" s="33" t="n">
        <v>51</v>
      </c>
      <c r="E10" s="33" t="n">
        <v>65</v>
      </c>
      <c r="F10" s="34" t="n">
        <f aca="false">(E10-D10)/E10</f>
        <v>0.215384615384615</v>
      </c>
      <c r="G10" s="33" t="n">
        <f aca="false">SUMIFS(Sales!$D$2:$D$6001,Sales!$C$2:$C$6001,A10)</f>
        <v>4101</v>
      </c>
      <c r="H10" s="33" t="n">
        <f aca="false">SUMIFS(Sales!$H$2:$H$6001,Sales!$C$2:$C$6001,A10)</f>
        <v>266565</v>
      </c>
      <c r="I10" s="33" t="n">
        <f aca="false">SUMIFS(Sales!$J$2:$J$6001,Sales!$C$2:$C$6001,A10)</f>
        <v>54302.286</v>
      </c>
      <c r="J10" s="24" t="n">
        <f aca="false">RANK(H10,$H$2:$H$49)+COUNTIF($H$2:H10,H10)-1</f>
        <v>47</v>
      </c>
      <c r="K10" s="34" t="n">
        <f aca="false">SUMIFS($H$2:$H$49,$J$2:$J$49,"&lt;="&amp;J10)/SUM($H$2:$H$49)</f>
        <v>0.99825073531759</v>
      </c>
      <c r="L10" s="24" t="str">
        <f aca="false">IF(K10-H10/SUM($H$2:$H$49)&lt;Assumptions!$B$7,"A",IF(K10-H10/SUM($H$2:$H$49)&lt;Assumptions!$B$8,"B","C"))</f>
        <v>C</v>
      </c>
      <c r="M10" s="24" t="str">
        <f aca="false">IF(F10&lt;Assumptions!$B$12,"Below target","OK")</f>
        <v>Below target</v>
      </c>
    </row>
    <row r="11" customFormat="false" ht="15" hidden="false" customHeight="false" outlineLevel="0" collapsed="false">
      <c r="A11" s="24" t="s">
        <v>133</v>
      </c>
      <c r="B11" s="24" t="s">
        <v>134</v>
      </c>
      <c r="C11" s="24" t="s">
        <v>50</v>
      </c>
      <c r="D11" s="33" t="n">
        <v>104</v>
      </c>
      <c r="E11" s="33" t="n">
        <v>125</v>
      </c>
      <c r="F11" s="34" t="n">
        <f aca="false">(E11-D11)/E11</f>
        <v>0.168</v>
      </c>
      <c r="G11" s="33" t="n">
        <f aca="false">SUMIFS(Sales!$D$2:$D$6001,Sales!$C$2:$C$6001,A11)</f>
        <v>8832</v>
      </c>
      <c r="H11" s="33" t="n">
        <f aca="false">SUMIFS(Sales!$H$2:$H$6001,Sales!$C$2:$C$6001,A11)</f>
        <v>1104000</v>
      </c>
      <c r="I11" s="33" t="n">
        <f aca="false">SUMIFS(Sales!$J$2:$J$6001,Sales!$C$2:$C$6001,A11)</f>
        <v>171639.792</v>
      </c>
      <c r="J11" s="24" t="n">
        <f aca="false">RANK(H11,$H$2:$H$49)+COUNTIF($H$2:H11,H11)-1</f>
        <v>29</v>
      </c>
      <c r="K11" s="34" t="n">
        <f aca="false">SUMIFS($H$2:$H$49,$J$2:$J$49,"&lt;="&amp;J11)/SUM($H$2:$H$49)</f>
        <v>0.8990697018261</v>
      </c>
      <c r="L11" s="24" t="str">
        <f aca="false">IF(K11-H11/SUM($H$2:$H$49)&lt;Assumptions!$B$7,"A",IF(K11-H11/SUM($H$2:$H$49)&lt;Assumptions!$B$8,"B","C"))</f>
        <v>B</v>
      </c>
      <c r="M11" s="24" t="str">
        <f aca="false">IF(F11&lt;Assumptions!$B$12,"Below target","OK")</f>
        <v>Below target</v>
      </c>
    </row>
    <row r="12" customFormat="false" ht="15" hidden="false" customHeight="false" outlineLevel="0" collapsed="false">
      <c r="A12" s="24" t="s">
        <v>135</v>
      </c>
      <c r="B12" s="24" t="s">
        <v>136</v>
      </c>
      <c r="C12" s="24" t="s">
        <v>50</v>
      </c>
      <c r="D12" s="33" t="n">
        <v>110</v>
      </c>
      <c r="E12" s="33" t="n">
        <v>130</v>
      </c>
      <c r="F12" s="34" t="n">
        <f aca="false">(E12-D12)/E12</f>
        <v>0.153846153846154</v>
      </c>
      <c r="G12" s="33" t="n">
        <f aca="false">SUMIFS(Sales!$D$2:$D$6001,Sales!$C$2:$C$6001,A12)</f>
        <v>4848</v>
      </c>
      <c r="H12" s="33" t="n">
        <f aca="false">SUMIFS(Sales!$H$2:$H$6001,Sales!$C$2:$C$6001,A12)</f>
        <v>630240</v>
      </c>
      <c r="I12" s="33" t="n">
        <f aca="false">SUMIFS(Sales!$J$2:$J$6001,Sales!$C$2:$C$6001,A12)</f>
        <v>88917.9</v>
      </c>
      <c r="J12" s="24" t="n">
        <f aca="false">RANK(H12,$H$2:$H$49)+COUNTIF($H$2:H12,H12)-1</f>
        <v>38</v>
      </c>
      <c r="K12" s="34" t="n">
        <f aca="false">SUMIFS($H$2:$H$49,$J$2:$J$49,"&lt;="&amp;J12)/SUM($H$2:$H$49)</f>
        <v>0.964572091329379</v>
      </c>
      <c r="L12" s="24" t="str">
        <f aca="false">IF(K12-H12/SUM($H$2:$H$49)&lt;Assumptions!$B$7,"A",IF(K12-H12/SUM($H$2:$H$49)&lt;Assumptions!$B$8,"B","C"))</f>
        <v>C</v>
      </c>
      <c r="M12" s="24" t="str">
        <f aca="false">IF(F12&lt;Assumptions!$B$12,"Below target","OK")</f>
        <v>Below target</v>
      </c>
    </row>
    <row r="13" customFormat="false" ht="15" hidden="false" customHeight="false" outlineLevel="0" collapsed="false">
      <c r="A13" s="24" t="s">
        <v>137</v>
      </c>
      <c r="B13" s="24" t="s">
        <v>138</v>
      </c>
      <c r="C13" s="24" t="s">
        <v>50</v>
      </c>
      <c r="D13" s="33" t="n">
        <v>268</v>
      </c>
      <c r="E13" s="33" t="n">
        <v>320</v>
      </c>
      <c r="F13" s="34" t="n">
        <f aca="false">(E13-D13)/E13</f>
        <v>0.1625</v>
      </c>
      <c r="G13" s="33" t="n">
        <f aca="false">SUMIFS(Sales!$D$2:$D$6001,Sales!$C$2:$C$6001,A13)</f>
        <v>11944</v>
      </c>
      <c r="H13" s="33" t="n">
        <f aca="false">SUMIFS(Sales!$H$2:$H$6001,Sales!$C$2:$C$6001,A13)</f>
        <v>3822080</v>
      </c>
      <c r="I13" s="33" t="n">
        <f aca="false">SUMIFS(Sales!$J$2:$J$6001,Sales!$C$2:$C$6001,A13)</f>
        <v>573750.088</v>
      </c>
      <c r="J13" s="24" t="n">
        <f aca="false">RANK(H13,$H$2:$H$49)+COUNTIF($H$2:H13,H13)-1</f>
        <v>10</v>
      </c>
      <c r="K13" s="34" t="n">
        <f aca="false">SUMIFS($H$2:$H$49,$J$2:$J$49,"&lt;="&amp;J13)/SUM($H$2:$H$49)</f>
        <v>0.566319914380852</v>
      </c>
      <c r="L13" s="24" t="str">
        <f aca="false">IF(K13-H13/SUM($H$2:$H$49)&lt;Assumptions!$B$7,"A",IF(K13-H13/SUM($H$2:$H$49)&lt;Assumptions!$B$8,"B","C"))</f>
        <v>A</v>
      </c>
      <c r="M13" s="24" t="str">
        <f aca="false">IF(F13&lt;Assumptions!$B$12,"Below target","OK")</f>
        <v>Below target</v>
      </c>
    </row>
    <row r="14" customFormat="false" ht="15" hidden="false" customHeight="false" outlineLevel="0" collapsed="false">
      <c r="A14" s="24" t="s">
        <v>139</v>
      </c>
      <c r="B14" s="24" t="s">
        <v>140</v>
      </c>
      <c r="C14" s="24" t="s">
        <v>50</v>
      </c>
      <c r="D14" s="33" t="n">
        <v>429</v>
      </c>
      <c r="E14" s="33" t="n">
        <v>520</v>
      </c>
      <c r="F14" s="34" t="n">
        <f aca="false">(E14-D14)/E14</f>
        <v>0.175</v>
      </c>
      <c r="G14" s="33" t="n">
        <f aca="false">SUMIFS(Sales!$D$2:$D$6001,Sales!$C$2:$C$6001,A14)</f>
        <v>24070</v>
      </c>
      <c r="H14" s="33" t="n">
        <f aca="false">SUMIFS(Sales!$H$2:$H$6001,Sales!$C$2:$C$6001,A14)</f>
        <v>12516400</v>
      </c>
      <c r="I14" s="33" t="n">
        <f aca="false">SUMIFS(Sales!$J$2:$J$6001,Sales!$C$2:$C$6001,A14)</f>
        <v>2035506.148</v>
      </c>
      <c r="J14" s="24" t="n">
        <f aca="false">RANK(H14,$H$2:$H$49)+COUNTIF($H$2:H14,H14)-1</f>
        <v>2</v>
      </c>
      <c r="K14" s="34" t="n">
        <f aca="false">SUMIFS($H$2:$H$49,$J$2:$J$49,"&lt;="&amp;J14)/SUM($H$2:$H$49)</f>
        <v>0.218708799818217</v>
      </c>
      <c r="L14" s="24" t="str">
        <f aca="false">IF(K14-H14/SUM($H$2:$H$49)&lt;Assumptions!$B$7,"A",IF(K14-H14/SUM($H$2:$H$49)&lt;Assumptions!$B$8,"B","C"))</f>
        <v>A</v>
      </c>
      <c r="M14" s="24" t="str">
        <f aca="false">IF(F14&lt;Assumptions!$B$12,"Below target","OK")</f>
        <v>Below target</v>
      </c>
    </row>
    <row r="15" customFormat="false" ht="15" hidden="false" customHeight="false" outlineLevel="0" collapsed="false">
      <c r="A15" s="24" t="s">
        <v>141</v>
      </c>
      <c r="B15" s="24" t="s">
        <v>142</v>
      </c>
      <c r="C15" s="24" t="s">
        <v>50</v>
      </c>
      <c r="D15" s="33" t="n">
        <v>335</v>
      </c>
      <c r="E15" s="33" t="n">
        <v>410</v>
      </c>
      <c r="F15" s="34" t="n">
        <f aca="false">(E15-D15)/E15</f>
        <v>0.182926829268293</v>
      </c>
      <c r="G15" s="33" t="n">
        <f aca="false">SUMIFS(Sales!$D$2:$D$6001,Sales!$C$2:$C$6001,A15)</f>
        <v>31636</v>
      </c>
      <c r="H15" s="33" t="n">
        <f aca="false">SUMIFS(Sales!$H$2:$H$6001,Sales!$C$2:$C$6001,A15)</f>
        <v>12970760</v>
      </c>
      <c r="I15" s="33" t="n">
        <f aca="false">SUMIFS(Sales!$J$2:$J$6001,Sales!$C$2:$C$6001,A15)</f>
        <v>2213514.7</v>
      </c>
      <c r="J15" s="24" t="n">
        <f aca="false">RANK(H15,$H$2:$H$49)+COUNTIF($H$2:H15,H15)-1</f>
        <v>1</v>
      </c>
      <c r="K15" s="34" t="n">
        <f aca="false">SUMIFS($H$2:$H$49,$J$2:$J$49,"&lt;="&amp;J15)/SUM($H$2:$H$49)</f>
        <v>0.111303862506852</v>
      </c>
      <c r="L15" s="24" t="str">
        <f aca="false">IF(K15-H15/SUM($H$2:$H$49)&lt;Assumptions!$B$7,"A",IF(K15-H15/SUM($H$2:$H$49)&lt;Assumptions!$B$8,"B","C"))</f>
        <v>A</v>
      </c>
      <c r="M15" s="24" t="str">
        <f aca="false">IF(F15&lt;Assumptions!$B$12,"Below target","OK")</f>
        <v>Below target</v>
      </c>
    </row>
    <row r="16" customFormat="false" ht="15" hidden="false" customHeight="false" outlineLevel="0" collapsed="false">
      <c r="A16" s="24" t="s">
        <v>143</v>
      </c>
      <c r="B16" s="24" t="s">
        <v>144</v>
      </c>
      <c r="C16" s="24" t="s">
        <v>50</v>
      </c>
      <c r="D16" s="33" t="n">
        <v>189</v>
      </c>
      <c r="E16" s="33" t="n">
        <v>240</v>
      </c>
      <c r="F16" s="34" t="n">
        <f aca="false">(E16-D16)/E16</f>
        <v>0.2125</v>
      </c>
      <c r="G16" s="33" t="n">
        <f aca="false">SUMIFS(Sales!$D$2:$D$6001,Sales!$C$2:$C$6001,A16)</f>
        <v>3843</v>
      </c>
      <c r="H16" s="33" t="n">
        <f aca="false">SUMIFS(Sales!$H$2:$H$6001,Sales!$C$2:$C$6001,A16)</f>
        <v>922320</v>
      </c>
      <c r="I16" s="33" t="n">
        <f aca="false">SUMIFS(Sales!$J$2:$J$6001,Sales!$C$2:$C$6001,A16)</f>
        <v>185151.96</v>
      </c>
      <c r="J16" s="24" t="n">
        <f aca="false">RANK(H16,$H$2:$H$49)+COUNTIF($H$2:H16,H16)-1</f>
        <v>32</v>
      </c>
      <c r="K16" s="34" t="n">
        <f aca="false">SUMIFS($H$2:$H$49,$J$2:$J$49,"&lt;="&amp;J16)/SUM($H$2:$H$49)</f>
        <v>0.924654017156095</v>
      </c>
      <c r="L16" s="24" t="str">
        <f aca="false">IF(K16-H16/SUM($H$2:$H$49)&lt;Assumptions!$B$7,"A",IF(K16-H16/SUM($H$2:$H$49)&lt;Assumptions!$B$8,"B","C"))</f>
        <v>B</v>
      </c>
      <c r="M16" s="24" t="str">
        <f aca="false">IF(F16&lt;Assumptions!$B$12,"Below target","OK")</f>
        <v>Below target</v>
      </c>
    </row>
    <row r="17" customFormat="false" ht="15" hidden="false" customHeight="false" outlineLevel="0" collapsed="false">
      <c r="A17" s="24" t="s">
        <v>145</v>
      </c>
      <c r="B17" s="24" t="s">
        <v>146</v>
      </c>
      <c r="C17" s="24" t="s">
        <v>50</v>
      </c>
      <c r="D17" s="33" t="n">
        <v>112</v>
      </c>
      <c r="E17" s="33" t="n">
        <v>140</v>
      </c>
      <c r="F17" s="34" t="n">
        <f aca="false">(E17-D17)/E17</f>
        <v>0.2</v>
      </c>
      <c r="G17" s="33" t="n">
        <f aca="false">SUMIFS(Sales!$D$2:$D$6001,Sales!$C$2:$C$6001,A17)</f>
        <v>7593</v>
      </c>
      <c r="H17" s="33" t="n">
        <f aca="false">SUMIFS(Sales!$H$2:$H$6001,Sales!$C$2:$C$6001,A17)</f>
        <v>1063020</v>
      </c>
      <c r="I17" s="33" t="n">
        <f aca="false">SUMIFS(Sales!$J$2:$J$6001,Sales!$C$2:$C$6001,A17)</f>
        <v>199792.096</v>
      </c>
      <c r="J17" s="24" t="n">
        <f aca="false">RANK(H17,$H$2:$H$49)+COUNTIF($H$2:H17,H17)-1</f>
        <v>30</v>
      </c>
      <c r="K17" s="34" t="n">
        <f aca="false">SUMIFS($H$2:$H$49,$J$2:$J$49,"&lt;="&amp;J17)/SUM($H$2:$H$49)</f>
        <v>0.908191621584236</v>
      </c>
      <c r="L17" s="24" t="str">
        <f aca="false">IF(K17-H17/SUM($H$2:$H$49)&lt;Assumptions!$B$7,"A",IF(K17-H17/SUM($H$2:$H$49)&lt;Assumptions!$B$8,"B","C"))</f>
        <v>B</v>
      </c>
      <c r="M17" s="24" t="str">
        <f aca="false">IF(F17&lt;Assumptions!$B$12,"Below target","OK")</f>
        <v>Below target</v>
      </c>
    </row>
    <row r="18" customFormat="false" ht="15" hidden="false" customHeight="false" outlineLevel="0" collapsed="false">
      <c r="A18" s="24" t="s">
        <v>147</v>
      </c>
      <c r="B18" s="24" t="s">
        <v>148</v>
      </c>
      <c r="C18" s="24" t="s">
        <v>51</v>
      </c>
      <c r="D18" s="33" t="n">
        <v>54</v>
      </c>
      <c r="E18" s="33" t="n">
        <v>70</v>
      </c>
      <c r="F18" s="34" t="n">
        <f aca="false">(E18-D18)/E18</f>
        <v>0.228571428571429</v>
      </c>
      <c r="G18" s="33" t="n">
        <f aca="false">SUMIFS(Sales!$D$2:$D$6001,Sales!$C$2:$C$6001,A18)</f>
        <v>21812</v>
      </c>
      <c r="H18" s="33" t="n">
        <f aca="false">SUMIFS(Sales!$H$2:$H$6001,Sales!$C$2:$C$6001,A18)</f>
        <v>1526840</v>
      </c>
      <c r="I18" s="33" t="n">
        <f aca="false">SUMIFS(Sales!$J$2:$J$6001,Sales!$C$2:$C$6001,A18)</f>
        <v>332138.06</v>
      </c>
      <c r="J18" s="24" t="n">
        <f aca="false">RANK(H18,$H$2:$H$49)+COUNTIF($H$2:H18,H18)-1</f>
        <v>22</v>
      </c>
      <c r="K18" s="34" t="n">
        <f aca="false">SUMIFS($H$2:$H$49,$J$2:$J$49,"&lt;="&amp;J18)/SUM($H$2:$H$49)</f>
        <v>0.821083131648021</v>
      </c>
      <c r="L18" s="24" t="str">
        <f aca="false">IF(K18-H18/SUM($H$2:$H$49)&lt;Assumptions!$B$7,"A",IF(K18-H18/SUM($H$2:$H$49)&lt;Assumptions!$B$8,"B","C"))</f>
        <v>B</v>
      </c>
      <c r="M18" s="24" t="str">
        <f aca="false">IF(F18&lt;Assumptions!$B$12,"Below target","OK")</f>
        <v>Below target</v>
      </c>
    </row>
    <row r="19" customFormat="false" ht="15" hidden="false" customHeight="false" outlineLevel="0" collapsed="false">
      <c r="A19" s="24" t="s">
        <v>149</v>
      </c>
      <c r="B19" s="24" t="s">
        <v>150</v>
      </c>
      <c r="C19" s="24" t="s">
        <v>51</v>
      </c>
      <c r="D19" s="33" t="n">
        <v>152</v>
      </c>
      <c r="E19" s="33" t="n">
        <v>190</v>
      </c>
      <c r="F19" s="34" t="n">
        <f aca="false">(E19-D19)/E19</f>
        <v>0.2</v>
      </c>
      <c r="G19" s="33" t="n">
        <f aca="false">SUMIFS(Sales!$D$2:$D$6001,Sales!$C$2:$C$6001,A19)</f>
        <v>24196</v>
      </c>
      <c r="H19" s="33" t="n">
        <f aca="false">SUMIFS(Sales!$H$2:$H$6001,Sales!$C$2:$C$6001,A19)</f>
        <v>4597240</v>
      </c>
      <c r="I19" s="33" t="n">
        <f aca="false">SUMIFS(Sales!$J$2:$J$6001,Sales!$C$2:$C$6001,A19)</f>
        <v>867257.888</v>
      </c>
      <c r="J19" s="24" t="n">
        <f aca="false">RANK(H19,$H$2:$H$49)+COUNTIF($H$2:H19,H19)-1</f>
        <v>6</v>
      </c>
      <c r="K19" s="34" t="n">
        <f aca="false">SUMIFS($H$2:$H$49,$J$2:$J$49,"&lt;="&amp;J19)/SUM($H$2:$H$49)</f>
        <v>0.421451022133497</v>
      </c>
      <c r="L19" s="24" t="str">
        <f aca="false">IF(K19-H19/SUM($H$2:$H$49)&lt;Assumptions!$B$7,"A",IF(K19-H19/SUM($H$2:$H$49)&lt;Assumptions!$B$8,"B","C"))</f>
        <v>A</v>
      </c>
      <c r="M19" s="24" t="str">
        <f aca="false">IF(F19&lt;Assumptions!$B$12,"Below target","OK")</f>
        <v>Below target</v>
      </c>
    </row>
    <row r="20" customFormat="false" ht="15" hidden="false" customHeight="false" outlineLevel="0" collapsed="false">
      <c r="A20" s="24" t="s">
        <v>151</v>
      </c>
      <c r="B20" s="24" t="s">
        <v>152</v>
      </c>
      <c r="C20" s="24" t="s">
        <v>51</v>
      </c>
      <c r="D20" s="33" t="n">
        <v>149</v>
      </c>
      <c r="E20" s="33" t="n">
        <v>190</v>
      </c>
      <c r="F20" s="34" t="n">
        <f aca="false">(E20-D20)/E20</f>
        <v>0.215789473684211</v>
      </c>
      <c r="G20" s="33" t="n">
        <f aca="false">SUMIFS(Sales!$D$2:$D$6001,Sales!$C$2:$C$6001,A20)</f>
        <v>15561</v>
      </c>
      <c r="H20" s="33" t="n">
        <f aca="false">SUMIFS(Sales!$H$2:$H$6001,Sales!$C$2:$C$6001,A20)</f>
        <v>2956590</v>
      </c>
      <c r="I20" s="33" t="n">
        <f aca="false">SUMIFS(Sales!$J$2:$J$6001,Sales!$C$2:$C$6001,A20)</f>
        <v>604775.49</v>
      </c>
      <c r="J20" s="24" t="n">
        <f aca="false">RANK(H20,$H$2:$H$49)+COUNTIF($H$2:H20,H20)-1</f>
        <v>14</v>
      </c>
      <c r="K20" s="34" t="n">
        <f aca="false">SUMIFS($H$2:$H$49,$J$2:$J$49,"&lt;="&amp;J20)/SUM($H$2:$H$49)</f>
        <v>0.673053978438007</v>
      </c>
      <c r="L20" s="24" t="str">
        <f aca="false">IF(K20-H20/SUM($H$2:$H$49)&lt;Assumptions!$B$7,"A",IF(K20-H20/SUM($H$2:$H$49)&lt;Assumptions!$B$8,"B","C"))</f>
        <v>A</v>
      </c>
      <c r="M20" s="24" t="str">
        <f aca="false">IF(F20&lt;Assumptions!$B$12,"Below target","OK")</f>
        <v>Below target</v>
      </c>
    </row>
    <row r="21" customFormat="false" ht="15" hidden="false" customHeight="false" outlineLevel="0" collapsed="false">
      <c r="A21" s="24" t="s">
        <v>153</v>
      </c>
      <c r="B21" s="24" t="s">
        <v>154</v>
      </c>
      <c r="C21" s="24" t="s">
        <v>51</v>
      </c>
      <c r="D21" s="33" t="n">
        <v>35</v>
      </c>
      <c r="E21" s="33" t="n">
        <v>50</v>
      </c>
      <c r="F21" s="34" t="n">
        <f aca="false">(E21-D21)/E21</f>
        <v>0.3</v>
      </c>
      <c r="G21" s="33" t="n">
        <f aca="false">SUMIFS(Sales!$D$2:$D$6001,Sales!$C$2:$C$6001,A21)</f>
        <v>8066</v>
      </c>
      <c r="H21" s="33" t="n">
        <f aca="false">SUMIFS(Sales!$H$2:$H$6001,Sales!$C$2:$C$6001,A21)</f>
        <v>403300</v>
      </c>
      <c r="I21" s="33" t="n">
        <f aca="false">SUMIFS(Sales!$J$2:$J$6001,Sales!$C$2:$C$6001,A21)</f>
        <v>116957.37</v>
      </c>
      <c r="J21" s="24" t="n">
        <f aca="false">RANK(H21,$H$2:$H$49)+COUNTIF($H$2:H21,H21)-1</f>
        <v>45</v>
      </c>
      <c r="K21" s="34" t="n">
        <f aca="false">SUMIFS($H$2:$H$49,$J$2:$J$49,"&lt;="&amp;J21)/SUM($H$2:$H$49)</f>
        <v>0.992708822815663</v>
      </c>
      <c r="L21" s="24" t="str">
        <f aca="false">IF(K21-H21/SUM($H$2:$H$49)&lt;Assumptions!$B$7,"A",IF(K21-H21/SUM($H$2:$H$49)&lt;Assumptions!$B$8,"B","C"))</f>
        <v>C</v>
      </c>
      <c r="M21" s="24" t="str">
        <f aca="false">IF(F21&lt;Assumptions!$B$12,"Below target","OK")</f>
        <v>OK</v>
      </c>
    </row>
    <row r="22" customFormat="false" ht="15" hidden="false" customHeight="false" outlineLevel="0" collapsed="false">
      <c r="A22" s="24" t="s">
        <v>155</v>
      </c>
      <c r="B22" s="24" t="s">
        <v>156</v>
      </c>
      <c r="C22" s="24" t="s">
        <v>51</v>
      </c>
      <c r="D22" s="33" t="n">
        <v>26</v>
      </c>
      <c r="E22" s="33" t="n">
        <v>35</v>
      </c>
      <c r="F22" s="34" t="n">
        <f aca="false">(E22-D22)/E22</f>
        <v>0.257142857142857</v>
      </c>
      <c r="G22" s="33" t="n">
        <f aca="false">SUMIFS(Sales!$D$2:$D$6001,Sales!$C$2:$C$6001,A22)</f>
        <v>14392</v>
      </c>
      <c r="H22" s="33" t="n">
        <f aca="false">SUMIFS(Sales!$H$2:$H$6001,Sales!$C$2:$C$6001,A22)</f>
        <v>503720</v>
      </c>
      <c r="I22" s="33" t="n">
        <f aca="false">SUMIFS(Sales!$J$2:$J$6001,Sales!$C$2:$C$6001,A22)</f>
        <v>124167.736</v>
      </c>
      <c r="J22" s="24" t="n">
        <f aca="false">RANK(H22,$H$2:$H$49)+COUNTIF($H$2:H22,H22)-1</f>
        <v>41</v>
      </c>
      <c r="K22" s="34" t="n">
        <f aca="false">SUMIFS($H$2:$H$49,$J$2:$J$49,"&lt;="&amp;J22)/SUM($H$2:$H$49)</f>
        <v>0.978388236016952</v>
      </c>
      <c r="L22" s="24" t="str">
        <f aca="false">IF(K22-H22/SUM($H$2:$H$49)&lt;Assumptions!$B$7,"A",IF(K22-H22/SUM($H$2:$H$49)&lt;Assumptions!$B$8,"B","C"))</f>
        <v>C</v>
      </c>
      <c r="M22" s="24" t="str">
        <f aca="false">IF(F22&lt;Assumptions!$B$12,"Below target","OK")</f>
        <v>OK</v>
      </c>
    </row>
    <row r="23" customFormat="false" ht="15" hidden="false" customHeight="false" outlineLevel="0" collapsed="false">
      <c r="A23" s="24" t="s">
        <v>157</v>
      </c>
      <c r="B23" s="24" t="s">
        <v>158</v>
      </c>
      <c r="C23" s="24" t="s">
        <v>51</v>
      </c>
      <c r="D23" s="33" t="n">
        <v>88</v>
      </c>
      <c r="E23" s="33" t="n">
        <v>120</v>
      </c>
      <c r="F23" s="34" t="n">
        <f aca="false">(E23-D23)/E23</f>
        <v>0.266666666666667</v>
      </c>
      <c r="G23" s="33" t="n">
        <f aca="false">SUMIFS(Sales!$D$2:$D$6001,Sales!$C$2:$C$6001,A23)</f>
        <v>11828</v>
      </c>
      <c r="H23" s="33" t="n">
        <f aca="false">SUMIFS(Sales!$H$2:$H$6001,Sales!$C$2:$C$6001,A23)</f>
        <v>1419360</v>
      </c>
      <c r="I23" s="33" t="n">
        <f aca="false">SUMIFS(Sales!$J$2:$J$6001,Sales!$C$2:$C$6001,A23)</f>
        <v>363458.912</v>
      </c>
      <c r="J23" s="24" t="n">
        <f aca="false">RANK(H23,$H$2:$H$49)+COUNTIF($H$2:H23,H23)-1</f>
        <v>24</v>
      </c>
      <c r="K23" s="34" t="n">
        <f aca="false">SUMIFS($H$2:$H$49,$J$2:$J$49,"&lt;="&amp;J23)/SUM($H$2:$H$49)</f>
        <v>0.845726267922991</v>
      </c>
      <c r="L23" s="24" t="str">
        <f aca="false">IF(K23-H23/SUM($H$2:$H$49)&lt;Assumptions!$B$7,"A",IF(K23-H23/SUM($H$2:$H$49)&lt;Assumptions!$B$8,"B","C"))</f>
        <v>B</v>
      </c>
      <c r="M23" s="24" t="str">
        <f aca="false">IF(F23&lt;Assumptions!$B$12,"Below target","OK")</f>
        <v>OK</v>
      </c>
    </row>
    <row r="24" customFormat="false" ht="15" hidden="false" customHeight="false" outlineLevel="0" collapsed="false">
      <c r="A24" s="24" t="s">
        <v>159</v>
      </c>
      <c r="B24" s="24" t="s">
        <v>160</v>
      </c>
      <c r="C24" s="24" t="s">
        <v>51</v>
      </c>
      <c r="D24" s="33" t="n">
        <v>358</v>
      </c>
      <c r="E24" s="33" t="n">
        <v>450</v>
      </c>
      <c r="F24" s="34" t="n">
        <f aca="false">(E24-D24)/E24</f>
        <v>0.204444444444444</v>
      </c>
      <c r="G24" s="33" t="n">
        <f aca="false">SUMIFS(Sales!$D$2:$D$6001,Sales!$C$2:$C$6001,A24)</f>
        <v>11011</v>
      </c>
      <c r="H24" s="33" t="n">
        <f aca="false">SUMIFS(Sales!$H$2:$H$6001,Sales!$C$2:$C$6001,A24)</f>
        <v>4954950</v>
      </c>
      <c r="I24" s="33" t="n">
        <f aca="false">SUMIFS(Sales!$J$2:$J$6001,Sales!$C$2:$C$6001,A24)</f>
        <v>956734.4</v>
      </c>
      <c r="J24" s="24" t="n">
        <f aca="false">RANK(H24,$H$2:$H$49)+COUNTIF($H$2:H24,H24)-1</f>
        <v>4</v>
      </c>
      <c r="K24" s="34" t="n">
        <f aca="false">SUMIFS($H$2:$H$49,$J$2:$J$49,"&lt;="&amp;J24)/SUM($H$2:$H$49)</f>
        <v>0.340805071932235</v>
      </c>
      <c r="L24" s="24" t="str">
        <f aca="false">IF(K24-H24/SUM($H$2:$H$49)&lt;Assumptions!$B$7,"A",IF(K24-H24/SUM($H$2:$H$49)&lt;Assumptions!$B$8,"B","C"))</f>
        <v>A</v>
      </c>
      <c r="M24" s="24" t="str">
        <f aca="false">IF(F24&lt;Assumptions!$B$12,"Below target","OK")</f>
        <v>Below target</v>
      </c>
    </row>
    <row r="25" customFormat="false" ht="15" hidden="false" customHeight="false" outlineLevel="0" collapsed="false">
      <c r="A25" s="24" t="s">
        <v>161</v>
      </c>
      <c r="B25" s="24" t="s">
        <v>162</v>
      </c>
      <c r="C25" s="24" t="s">
        <v>51</v>
      </c>
      <c r="D25" s="33" t="n">
        <v>303</v>
      </c>
      <c r="E25" s="33" t="n">
        <v>380</v>
      </c>
      <c r="F25" s="34" t="n">
        <f aca="false">(E25-D25)/E25</f>
        <v>0.202631578947368</v>
      </c>
      <c r="G25" s="33" t="n">
        <f aca="false">SUMIFS(Sales!$D$2:$D$6001,Sales!$C$2:$C$6001,A25)</f>
        <v>8193</v>
      </c>
      <c r="H25" s="33" t="n">
        <f aca="false">SUMIFS(Sales!$H$2:$H$6001,Sales!$C$2:$C$6001,A25)</f>
        <v>3113340</v>
      </c>
      <c r="I25" s="33" t="n">
        <f aca="false">SUMIFS(Sales!$J$2:$J$6001,Sales!$C$2:$C$6001,A25)</f>
        <v>595136.694</v>
      </c>
      <c r="J25" s="24" t="n">
        <f aca="false">RANK(H25,$H$2:$H$49)+COUNTIF($H$2:H25,H25)-1</f>
        <v>12</v>
      </c>
      <c r="K25" s="34" t="n">
        <f aca="false">SUMIFS($H$2:$H$49,$J$2:$J$49,"&lt;="&amp;J25)/SUM($H$2:$H$49)</f>
        <v>0.621919586512787</v>
      </c>
      <c r="L25" s="24" t="str">
        <f aca="false">IF(K25-H25/SUM($H$2:$H$49)&lt;Assumptions!$B$7,"A",IF(K25-H25/SUM($H$2:$H$49)&lt;Assumptions!$B$8,"B","C"))</f>
        <v>A</v>
      </c>
      <c r="M25" s="24" t="str">
        <f aca="false">IF(F25&lt;Assumptions!$B$12,"Below target","OK")</f>
        <v>Below target</v>
      </c>
    </row>
    <row r="26" customFormat="false" ht="15" hidden="false" customHeight="false" outlineLevel="0" collapsed="false">
      <c r="A26" s="24" t="s">
        <v>163</v>
      </c>
      <c r="B26" s="24" t="s">
        <v>164</v>
      </c>
      <c r="C26" s="24" t="s">
        <v>52</v>
      </c>
      <c r="D26" s="33" t="n">
        <v>229</v>
      </c>
      <c r="E26" s="33" t="n">
        <v>330</v>
      </c>
      <c r="F26" s="34" t="n">
        <f aca="false">(E26-D26)/E26</f>
        <v>0.306060606060606</v>
      </c>
      <c r="G26" s="33" t="n">
        <f aca="false">SUMIFS(Sales!$D$2:$D$6001,Sales!$C$2:$C$6001,A26)</f>
        <v>7544</v>
      </c>
      <c r="H26" s="33" t="n">
        <f aca="false">SUMIFS(Sales!$H$2:$H$6001,Sales!$C$2:$C$6001,A26)</f>
        <v>2489520</v>
      </c>
      <c r="I26" s="33" t="n">
        <f aca="false">SUMIFS(Sales!$J$2:$J$6001,Sales!$C$2:$C$6001,A26)</f>
        <v>736618.89</v>
      </c>
      <c r="J26" s="24" t="n">
        <f aca="false">RANK(H26,$H$2:$H$49)+COUNTIF($H$2:H26,H26)-1</f>
        <v>16</v>
      </c>
      <c r="K26" s="34" t="n">
        <f aca="false">SUMIFS($H$2:$H$49,$J$2:$J$49,"&lt;="&amp;J26)/SUM($H$2:$H$49)</f>
        <v>0.718150854320791</v>
      </c>
      <c r="L26" s="24" t="str">
        <f aca="false">IF(K26-H26/SUM($H$2:$H$49)&lt;Assumptions!$B$7,"A",IF(K26-H26/SUM($H$2:$H$49)&lt;Assumptions!$B$8,"B","C"))</f>
        <v>A</v>
      </c>
      <c r="M26" s="24" t="str">
        <f aca="false">IF(F26&lt;Assumptions!$B$12,"Below target","OK")</f>
        <v>OK</v>
      </c>
    </row>
    <row r="27" customFormat="false" ht="15" hidden="false" customHeight="false" outlineLevel="0" collapsed="false">
      <c r="A27" s="24" t="s">
        <v>165</v>
      </c>
      <c r="B27" s="24" t="s">
        <v>166</v>
      </c>
      <c r="C27" s="24" t="s">
        <v>52</v>
      </c>
      <c r="D27" s="33" t="n">
        <v>137</v>
      </c>
      <c r="E27" s="33" t="n">
        <v>190</v>
      </c>
      <c r="F27" s="34" t="n">
        <f aca="false">(E27-D27)/E27</f>
        <v>0.278947368421053</v>
      </c>
      <c r="G27" s="33" t="n">
        <f aca="false">SUMIFS(Sales!$D$2:$D$6001,Sales!$C$2:$C$6001,A27)</f>
        <v>7250</v>
      </c>
      <c r="H27" s="33" t="n">
        <f aca="false">SUMIFS(Sales!$H$2:$H$6001,Sales!$C$2:$C$6001,A27)</f>
        <v>1377500</v>
      </c>
      <c r="I27" s="33" t="n">
        <f aca="false">SUMIFS(Sales!$J$2:$J$6001,Sales!$C$2:$C$6001,A27)</f>
        <v>369631.278</v>
      </c>
      <c r="J27" s="24" t="n">
        <f aca="false">RANK(H27,$H$2:$H$49)+COUNTIF($H$2:H27,H27)-1</f>
        <v>25</v>
      </c>
      <c r="K27" s="34" t="n">
        <f aca="false">SUMIFS($H$2:$H$49,$J$2:$J$49,"&lt;="&amp;J27)/SUM($H$2:$H$49)</f>
        <v>0.857546783498269</v>
      </c>
      <c r="L27" s="24" t="str">
        <f aca="false">IF(K27-H27/SUM($H$2:$H$49)&lt;Assumptions!$B$7,"A",IF(K27-H27/SUM($H$2:$H$49)&lt;Assumptions!$B$8,"B","C"))</f>
        <v>B</v>
      </c>
      <c r="M27" s="24" t="str">
        <f aca="false">IF(F27&lt;Assumptions!$B$12,"Below target","OK")</f>
        <v>OK</v>
      </c>
    </row>
    <row r="28" customFormat="false" ht="15" hidden="false" customHeight="false" outlineLevel="0" collapsed="false">
      <c r="A28" s="24" t="s">
        <v>167</v>
      </c>
      <c r="B28" s="24" t="s">
        <v>168</v>
      </c>
      <c r="C28" s="24" t="s">
        <v>52</v>
      </c>
      <c r="D28" s="33" t="n">
        <v>112</v>
      </c>
      <c r="E28" s="33" t="n">
        <v>150</v>
      </c>
      <c r="F28" s="34" t="n">
        <f aca="false">(E28-D28)/E28</f>
        <v>0.253333333333333</v>
      </c>
      <c r="G28" s="33" t="n">
        <f aca="false">SUMIFS(Sales!$D$2:$D$6001,Sales!$C$2:$C$6001,A28)</f>
        <v>5649</v>
      </c>
      <c r="H28" s="33" t="n">
        <f aca="false">SUMIFS(Sales!$H$2:$H$6001,Sales!$C$2:$C$6001,A28)</f>
        <v>847350</v>
      </c>
      <c r="I28" s="33" t="n">
        <f aca="false">SUMIFS(Sales!$J$2:$J$6001,Sales!$C$2:$C$6001,A28)</f>
        <v>205302.16</v>
      </c>
      <c r="J28" s="24" t="n">
        <f aca="false">RANK(H28,$H$2:$H$49)+COUNTIF($H$2:H28,H28)-1</f>
        <v>34</v>
      </c>
      <c r="K28" s="34" t="n">
        <f aca="false">SUMIFS($H$2:$H$49,$J$2:$J$49,"&lt;="&amp;J28)/SUM($H$2:$H$49)</f>
        <v>0.939741886277973</v>
      </c>
      <c r="L28" s="24" t="str">
        <f aca="false">IF(K28-H28/SUM($H$2:$H$49)&lt;Assumptions!$B$7,"A",IF(K28-H28/SUM($H$2:$H$49)&lt;Assumptions!$B$8,"B","C"))</f>
        <v>B</v>
      </c>
      <c r="M28" s="24" t="str">
        <f aca="false">IF(F28&lt;Assumptions!$B$12,"Below target","OK")</f>
        <v>OK</v>
      </c>
    </row>
    <row r="29" customFormat="false" ht="15" hidden="false" customHeight="false" outlineLevel="0" collapsed="false">
      <c r="A29" s="24" t="s">
        <v>169</v>
      </c>
      <c r="B29" s="24" t="s">
        <v>170</v>
      </c>
      <c r="C29" s="24" t="s">
        <v>52</v>
      </c>
      <c r="D29" s="33" t="n">
        <v>314</v>
      </c>
      <c r="E29" s="33" t="n">
        <v>420</v>
      </c>
      <c r="F29" s="34" t="n">
        <f aca="false">(E29-D29)/E29</f>
        <v>0.252380952380952</v>
      </c>
      <c r="G29" s="33" t="n">
        <f aca="false">SUMIFS(Sales!$D$2:$D$6001,Sales!$C$2:$C$6001,A29)</f>
        <v>4375</v>
      </c>
      <c r="H29" s="33" t="n">
        <f aca="false">SUMIFS(Sales!$H$2:$H$6001,Sales!$C$2:$C$6001,A29)</f>
        <v>1837500</v>
      </c>
      <c r="I29" s="33" t="n">
        <f aca="false">SUMIFS(Sales!$J$2:$J$6001,Sales!$C$2:$C$6001,A29)</f>
        <v>443427.292</v>
      </c>
      <c r="J29" s="24" t="n">
        <f aca="false">RANK(H29,$H$2:$H$49)+COUNTIF($H$2:H29,H29)-1</f>
        <v>21</v>
      </c>
      <c r="K29" s="34" t="n">
        <f aca="false">SUMIFS($H$2:$H$49,$J$2:$J$49,"&lt;="&amp;J29)/SUM($H$2:$H$49)</f>
        <v>0.807981109142789</v>
      </c>
      <c r="L29" s="24" t="str">
        <f aca="false">IF(K29-H29/SUM($H$2:$H$49)&lt;Assumptions!$B$7,"A",IF(K29-H29/SUM($H$2:$H$49)&lt;Assumptions!$B$8,"B","C"))</f>
        <v>A</v>
      </c>
      <c r="M29" s="24" t="str">
        <f aca="false">IF(F29&lt;Assumptions!$B$12,"Below target","OK")</f>
        <v>OK</v>
      </c>
    </row>
    <row r="30" customFormat="false" ht="15" hidden="false" customHeight="false" outlineLevel="0" collapsed="false">
      <c r="A30" s="24" t="s">
        <v>171</v>
      </c>
      <c r="B30" s="24" t="s">
        <v>172</v>
      </c>
      <c r="C30" s="24" t="s">
        <v>52</v>
      </c>
      <c r="D30" s="33" t="n">
        <v>116</v>
      </c>
      <c r="E30" s="33" t="n">
        <v>150</v>
      </c>
      <c r="F30" s="34" t="n">
        <f aca="false">(E30-D30)/E30</f>
        <v>0.226666666666667</v>
      </c>
      <c r="G30" s="33" t="n">
        <f aca="false">SUMIFS(Sales!$D$2:$D$6001,Sales!$C$2:$C$6001,A30)</f>
        <v>2960</v>
      </c>
      <c r="H30" s="33" t="n">
        <f aca="false">SUMIFS(Sales!$H$2:$H$6001,Sales!$C$2:$C$6001,A30)</f>
        <v>444000</v>
      </c>
      <c r="I30" s="33" t="n">
        <f aca="false">SUMIFS(Sales!$J$2:$J$6001,Sales!$C$2:$C$6001,A30)</f>
        <v>95557.344</v>
      </c>
      <c r="J30" s="24" t="n">
        <f aca="false">RANK(H30,$H$2:$H$49)+COUNTIF($H$2:H30,H30)-1</f>
        <v>42</v>
      </c>
      <c r="K30" s="34" t="n">
        <f aca="false">SUMIFS($H$2:$H$49,$J$2:$J$49,"&lt;="&amp;J30)/SUM($H$2:$H$49)</f>
        <v>0.982198260637949</v>
      </c>
      <c r="L30" s="24" t="str">
        <f aca="false">IF(K30-H30/SUM($H$2:$H$49)&lt;Assumptions!$B$7,"A",IF(K30-H30/SUM($H$2:$H$49)&lt;Assumptions!$B$8,"B","C"))</f>
        <v>C</v>
      </c>
      <c r="M30" s="24" t="str">
        <f aca="false">IF(F30&lt;Assumptions!$B$12,"Below target","OK")</f>
        <v>Below target</v>
      </c>
    </row>
    <row r="31" customFormat="false" ht="15" hidden="false" customHeight="false" outlineLevel="0" collapsed="false">
      <c r="A31" s="24" t="s">
        <v>173</v>
      </c>
      <c r="B31" s="24" t="s">
        <v>174</v>
      </c>
      <c r="C31" s="24" t="s">
        <v>52</v>
      </c>
      <c r="D31" s="33" t="n">
        <v>198</v>
      </c>
      <c r="E31" s="33" t="n">
        <v>260</v>
      </c>
      <c r="F31" s="34" t="n">
        <f aca="false">(E31-D31)/E31</f>
        <v>0.238461538461538</v>
      </c>
      <c r="G31" s="33" t="n">
        <f aca="false">SUMIFS(Sales!$D$2:$D$6001,Sales!$C$2:$C$6001,A31)</f>
        <v>4586</v>
      </c>
      <c r="H31" s="33" t="n">
        <f aca="false">SUMIFS(Sales!$H$2:$H$6001,Sales!$C$2:$C$6001,A31)</f>
        <v>1192360</v>
      </c>
      <c r="I31" s="33" t="n">
        <f aca="false">SUMIFS(Sales!$J$2:$J$6001,Sales!$C$2:$C$6001,A31)</f>
        <v>270975.316</v>
      </c>
      <c r="J31" s="24" t="n">
        <f aca="false">RANK(H31,$H$2:$H$49)+COUNTIF($H$2:H31,H31)-1</f>
        <v>28</v>
      </c>
      <c r="K31" s="34" t="n">
        <f aca="false">SUMIFS($H$2:$H$49,$J$2:$J$49,"&lt;="&amp;J31)/SUM($H$2:$H$49)</f>
        <v>0.88959612709281</v>
      </c>
      <c r="L31" s="24" t="str">
        <f aca="false">IF(K31-H31/SUM($H$2:$H$49)&lt;Assumptions!$B$7,"A",IF(K31-H31/SUM($H$2:$H$49)&lt;Assumptions!$B$8,"B","C"))</f>
        <v>B</v>
      </c>
      <c r="M31" s="24" t="str">
        <f aca="false">IF(F31&lt;Assumptions!$B$12,"Below target","OK")</f>
        <v>Below target</v>
      </c>
    </row>
    <row r="32" customFormat="false" ht="15" hidden="false" customHeight="false" outlineLevel="0" collapsed="false">
      <c r="A32" s="24" t="s">
        <v>175</v>
      </c>
      <c r="B32" s="24" t="s">
        <v>176</v>
      </c>
      <c r="C32" s="24" t="s">
        <v>52</v>
      </c>
      <c r="D32" s="33" t="n">
        <v>47</v>
      </c>
      <c r="E32" s="33" t="n">
        <v>60</v>
      </c>
      <c r="F32" s="34" t="n">
        <f aca="false">(E32-D32)/E32</f>
        <v>0.216666666666667</v>
      </c>
      <c r="G32" s="33" t="n">
        <f aca="false">SUMIFS(Sales!$D$2:$D$6001,Sales!$C$2:$C$6001,A32)</f>
        <v>11865</v>
      </c>
      <c r="H32" s="33" t="n">
        <f aca="false">SUMIFS(Sales!$H$2:$H$6001,Sales!$C$2:$C$6001,A32)</f>
        <v>711900</v>
      </c>
      <c r="I32" s="33" t="n">
        <f aca="false">SUMIFS(Sales!$J$2:$J$6001,Sales!$C$2:$C$6001,A32)</f>
        <v>146034.758</v>
      </c>
      <c r="J32" s="24" t="n">
        <f aca="false">RANK(H32,$H$2:$H$49)+COUNTIF($H$2:H32,H32)-1</f>
        <v>37</v>
      </c>
      <c r="K32" s="34" t="n">
        <f aca="false">SUMIFS($H$2:$H$49,$J$2:$J$49,"&lt;="&amp;J32)/SUM($H$2:$H$49)</f>
        <v>0.959163915840332</v>
      </c>
      <c r="L32" s="24" t="str">
        <f aca="false">IF(K32-H32/SUM($H$2:$H$49)&lt;Assumptions!$B$7,"A",IF(K32-H32/SUM($H$2:$H$49)&lt;Assumptions!$B$8,"B","C"))</f>
        <v>C</v>
      </c>
      <c r="M32" s="24" t="str">
        <f aca="false">IF(F32&lt;Assumptions!$B$12,"Below target","OK")</f>
        <v>Below target</v>
      </c>
    </row>
    <row r="33" customFormat="false" ht="15" hidden="false" customHeight="false" outlineLevel="0" collapsed="false">
      <c r="A33" s="24" t="s">
        <v>177</v>
      </c>
      <c r="B33" s="24" t="s">
        <v>178</v>
      </c>
      <c r="C33" s="24" t="s">
        <v>52</v>
      </c>
      <c r="D33" s="33" t="n">
        <v>70</v>
      </c>
      <c r="E33" s="33" t="n">
        <v>100</v>
      </c>
      <c r="F33" s="34" t="n">
        <f aca="false">(E33-D33)/E33</f>
        <v>0.3</v>
      </c>
      <c r="G33" s="33" t="n">
        <f aca="false">SUMIFS(Sales!$D$2:$D$6001,Sales!$C$2:$C$6001,A33)</f>
        <v>5649</v>
      </c>
      <c r="H33" s="33" t="n">
        <f aca="false">SUMIFS(Sales!$H$2:$H$6001,Sales!$C$2:$C$6001,A33)</f>
        <v>564900</v>
      </c>
      <c r="I33" s="33" t="n">
        <f aca="false">SUMIFS(Sales!$J$2:$J$6001,Sales!$C$2:$C$6001,A33)</f>
        <v>163610.02</v>
      </c>
      <c r="J33" s="24" t="n">
        <f aca="false">RANK(H33,$H$2:$H$49)+COUNTIF($H$2:H33,H33)-1</f>
        <v>39</v>
      </c>
      <c r="K33" s="34" t="n">
        <f aca="false">SUMIFS($H$2:$H$49,$J$2:$J$49,"&lt;="&amp;J33)/SUM($H$2:$H$49)</f>
        <v>0.96941957535731</v>
      </c>
      <c r="L33" s="24" t="str">
        <f aca="false">IF(K33-H33/SUM($H$2:$H$49)&lt;Assumptions!$B$7,"A",IF(K33-H33/SUM($H$2:$H$49)&lt;Assumptions!$B$8,"B","C"))</f>
        <v>C</v>
      </c>
      <c r="M33" s="24" t="str">
        <f aca="false">IF(F33&lt;Assumptions!$B$12,"Below target","OK")</f>
        <v>OK</v>
      </c>
    </row>
    <row r="34" customFormat="false" ht="15" hidden="false" customHeight="false" outlineLevel="0" collapsed="false">
      <c r="A34" s="24" t="s">
        <v>179</v>
      </c>
      <c r="B34" s="24" t="s">
        <v>180</v>
      </c>
      <c r="C34" s="24" t="s">
        <v>53</v>
      </c>
      <c r="D34" s="33" t="n">
        <v>120</v>
      </c>
      <c r="E34" s="33" t="n">
        <v>180</v>
      </c>
      <c r="F34" s="34" t="n">
        <f aca="false">(E34-D34)/E34</f>
        <v>0.333333333333333</v>
      </c>
      <c r="G34" s="33" t="n">
        <f aca="false">SUMIFS(Sales!$D$2:$D$6001,Sales!$C$2:$C$6001,A34)</f>
        <v>2107</v>
      </c>
      <c r="H34" s="33" t="n">
        <f aca="false">SUMIFS(Sales!$H$2:$H$6001,Sales!$C$2:$C$6001,A34)</f>
        <v>379260</v>
      </c>
      <c r="I34" s="33" t="n">
        <f aca="false">SUMIFS(Sales!$J$2:$J$6001,Sales!$C$2:$C$6001,A34)</f>
        <v>122618.88</v>
      </c>
      <c r="J34" s="24" t="n">
        <f aca="false">RANK(H34,$H$2:$H$49)+COUNTIF($H$2:H34,H34)-1</f>
        <v>46</v>
      </c>
      <c r="K34" s="34" t="n">
        <f aca="false">SUMIFS($H$2:$H$49,$J$2:$J$49,"&lt;="&amp;J34)/SUM($H$2:$H$49)</f>
        <v>0.995963304657463</v>
      </c>
      <c r="L34" s="24" t="str">
        <f aca="false">IF(K34-H34/SUM($H$2:$H$49)&lt;Assumptions!$B$7,"A",IF(K34-H34/SUM($H$2:$H$49)&lt;Assumptions!$B$8,"B","C"))</f>
        <v>C</v>
      </c>
      <c r="M34" s="24" t="str">
        <f aca="false">IF(F34&lt;Assumptions!$B$12,"Below target","OK")</f>
        <v>OK</v>
      </c>
    </row>
    <row r="35" customFormat="false" ht="15" hidden="false" customHeight="false" outlineLevel="0" collapsed="false">
      <c r="A35" s="24" t="s">
        <v>181</v>
      </c>
      <c r="B35" s="24" t="s">
        <v>182</v>
      </c>
      <c r="C35" s="24" t="s">
        <v>53</v>
      </c>
      <c r="D35" s="33" t="n">
        <v>247</v>
      </c>
      <c r="E35" s="33" t="n">
        <v>350</v>
      </c>
      <c r="F35" s="34" t="n">
        <f aca="false">(E35-D35)/E35</f>
        <v>0.294285714285714</v>
      </c>
      <c r="G35" s="33" t="n">
        <f aca="false">SUMIFS(Sales!$D$2:$D$6001,Sales!$C$2:$C$6001,A35)</f>
        <v>9617</v>
      </c>
      <c r="H35" s="33" t="n">
        <f aca="false">SUMIFS(Sales!$H$2:$H$6001,Sales!$C$2:$C$6001,A35)</f>
        <v>3365950</v>
      </c>
      <c r="I35" s="33" t="n">
        <f aca="false">SUMIFS(Sales!$J$2:$J$6001,Sales!$C$2:$C$6001,A35)</f>
        <v>954707.842</v>
      </c>
      <c r="J35" s="24" t="n">
        <f aca="false">RANK(H35,$H$2:$H$49)+COUNTIF($H$2:H35,H35)-1</f>
        <v>11</v>
      </c>
      <c r="K35" s="34" t="n">
        <f aca="false">SUMIFS($H$2:$H$49,$J$2:$J$49,"&lt;="&amp;J35)/SUM($H$2:$H$49)</f>
        <v>0.595203590896719</v>
      </c>
      <c r="L35" s="24" t="str">
        <f aca="false">IF(K35-H35/SUM($H$2:$H$49)&lt;Assumptions!$B$7,"A",IF(K35-H35/SUM($H$2:$H$49)&lt;Assumptions!$B$8,"B","C"))</f>
        <v>A</v>
      </c>
      <c r="M35" s="24" t="str">
        <f aca="false">IF(F35&lt;Assumptions!$B$12,"Below target","OK")</f>
        <v>OK</v>
      </c>
    </row>
    <row r="36" customFormat="false" ht="15" hidden="false" customHeight="false" outlineLevel="0" collapsed="false">
      <c r="A36" s="24" t="s">
        <v>183</v>
      </c>
      <c r="B36" s="24" t="s">
        <v>184</v>
      </c>
      <c r="C36" s="24" t="s">
        <v>53</v>
      </c>
      <c r="D36" s="33" t="n">
        <v>208</v>
      </c>
      <c r="E36" s="33" t="n">
        <v>330</v>
      </c>
      <c r="F36" s="34" t="n">
        <f aca="false">(E36-D36)/E36</f>
        <v>0.36969696969697</v>
      </c>
      <c r="G36" s="33" t="n">
        <f aca="false">SUMIFS(Sales!$D$2:$D$6001,Sales!$C$2:$C$6001,A36)</f>
        <v>6410</v>
      </c>
      <c r="H36" s="33" t="n">
        <f aca="false">SUMIFS(Sales!$H$2:$H$6001,Sales!$C$2:$C$6001,A36)</f>
        <v>2115300</v>
      </c>
      <c r="I36" s="33" t="n">
        <f aca="false">SUMIFS(Sales!$J$2:$J$6001,Sales!$C$2:$C$6001,A36)</f>
        <v>761917.632</v>
      </c>
      <c r="J36" s="24" t="n">
        <f aca="false">RANK(H36,$H$2:$H$49)+COUNTIF($H$2:H36,H36)-1</f>
        <v>20</v>
      </c>
      <c r="K36" s="34" t="n">
        <f aca="false">SUMIFS($H$2:$H$49,$J$2:$J$49,"&lt;="&amp;J36)/SUM($H$2:$H$49)</f>
        <v>0.792213270761974</v>
      </c>
      <c r="L36" s="24" t="str">
        <f aca="false">IF(K36-H36/SUM($H$2:$H$49)&lt;Assumptions!$B$7,"A",IF(K36-H36/SUM($H$2:$H$49)&lt;Assumptions!$B$8,"B","C"))</f>
        <v>A</v>
      </c>
      <c r="M36" s="24" t="str">
        <f aca="false">IF(F36&lt;Assumptions!$B$12,"Below target","OK")</f>
        <v>OK</v>
      </c>
    </row>
    <row r="37" customFormat="false" ht="15" hidden="false" customHeight="false" outlineLevel="0" collapsed="false">
      <c r="A37" s="24" t="s">
        <v>185</v>
      </c>
      <c r="B37" s="24" t="s">
        <v>186</v>
      </c>
      <c r="C37" s="24" t="s">
        <v>53</v>
      </c>
      <c r="D37" s="33" t="n">
        <v>195</v>
      </c>
      <c r="E37" s="33" t="n">
        <v>280</v>
      </c>
      <c r="F37" s="34" t="n">
        <f aca="false">(E37-D37)/E37</f>
        <v>0.303571428571429</v>
      </c>
      <c r="G37" s="33" t="n">
        <f aca="false">SUMIFS(Sales!$D$2:$D$6001,Sales!$C$2:$C$6001,A37)</f>
        <v>15457</v>
      </c>
      <c r="H37" s="33" t="n">
        <f aca="false">SUMIFS(Sales!$H$2:$H$6001,Sales!$C$2:$C$6001,A37)</f>
        <v>4327960</v>
      </c>
      <c r="I37" s="33" t="n">
        <f aca="false">SUMIFS(Sales!$J$2:$J$6001,Sales!$C$2:$C$6001,A37)</f>
        <v>1267973.59</v>
      </c>
      <c r="J37" s="24" t="n">
        <f aca="false">RANK(H37,$H$2:$H$49)+COUNTIF($H$2:H37,H37)-1</f>
        <v>8</v>
      </c>
      <c r="K37" s="34" t="n">
        <f aca="false">SUMIFS($H$2:$H$49,$J$2:$J$49,"&lt;="&amp;J37)/SUM($H$2:$H$49)</f>
        <v>0.496753412803811</v>
      </c>
      <c r="L37" s="24" t="str">
        <f aca="false">IF(K37-H37/SUM($H$2:$H$49)&lt;Assumptions!$B$7,"A",IF(K37-H37/SUM($H$2:$H$49)&lt;Assumptions!$B$8,"B","C"))</f>
        <v>A</v>
      </c>
      <c r="M37" s="24" t="str">
        <f aca="false">IF(F37&lt;Assumptions!$B$12,"Below target","OK")</f>
        <v>OK</v>
      </c>
    </row>
    <row r="38" customFormat="false" ht="15" hidden="false" customHeight="false" outlineLevel="0" collapsed="false">
      <c r="A38" s="24" t="s">
        <v>187</v>
      </c>
      <c r="B38" s="24" t="s">
        <v>188</v>
      </c>
      <c r="C38" s="24" t="s">
        <v>53</v>
      </c>
      <c r="D38" s="33" t="n">
        <v>114</v>
      </c>
      <c r="E38" s="33" t="n">
        <v>160</v>
      </c>
      <c r="F38" s="34" t="n">
        <f aca="false">(E38-D38)/E38</f>
        <v>0.2875</v>
      </c>
      <c r="G38" s="33" t="n">
        <f aca="false">SUMIFS(Sales!$D$2:$D$6001,Sales!$C$2:$C$6001,A38)</f>
        <v>4784</v>
      </c>
      <c r="H38" s="33" t="n">
        <f aca="false">SUMIFS(Sales!$H$2:$H$6001,Sales!$C$2:$C$6001,A38)</f>
        <v>765440</v>
      </c>
      <c r="I38" s="33" t="n">
        <f aca="false">SUMIFS(Sales!$J$2:$J$6001,Sales!$C$2:$C$6001,A38)</f>
        <v>211746.788</v>
      </c>
      <c r="J38" s="24" t="n">
        <f aca="false">RANK(H38,$H$2:$H$49)+COUNTIF($H$2:H38,H38)-1</f>
        <v>36</v>
      </c>
      <c r="K38" s="34" t="n">
        <f aca="false">SUMIFS($H$2:$H$49,$J$2:$J$49,"&lt;="&amp;J38)/SUM($H$2:$H$49)</f>
        <v>0.953055004741936</v>
      </c>
      <c r="L38" s="24" t="str">
        <f aca="false">IF(K38-H38/SUM($H$2:$H$49)&lt;Assumptions!$B$7,"A",IF(K38-H38/SUM($H$2:$H$49)&lt;Assumptions!$B$8,"B","C"))</f>
        <v>B</v>
      </c>
      <c r="M38" s="24" t="str">
        <f aca="false">IF(F38&lt;Assumptions!$B$12,"Below target","OK")</f>
        <v>OK</v>
      </c>
    </row>
    <row r="39" customFormat="false" ht="15" hidden="false" customHeight="false" outlineLevel="0" collapsed="false">
      <c r="A39" s="24" t="s">
        <v>189</v>
      </c>
      <c r="B39" s="24" t="s">
        <v>190</v>
      </c>
      <c r="C39" s="24" t="s">
        <v>53</v>
      </c>
      <c r="D39" s="33" t="n">
        <v>233</v>
      </c>
      <c r="E39" s="33" t="n">
        <v>360</v>
      </c>
      <c r="F39" s="34" t="n">
        <f aca="false">(E39-D39)/E39</f>
        <v>0.352777777777778</v>
      </c>
      <c r="G39" s="33" t="n">
        <f aca="false">SUMIFS(Sales!$D$2:$D$6001,Sales!$C$2:$C$6001,A39)</f>
        <v>3671</v>
      </c>
      <c r="H39" s="33" t="n">
        <f aca="false">SUMIFS(Sales!$H$2:$H$6001,Sales!$C$2:$C$6001,A39)</f>
        <v>1321560</v>
      </c>
      <c r="I39" s="33" t="n">
        <f aca="false">SUMIFS(Sales!$J$2:$J$6001,Sales!$C$2:$C$6001,A39)</f>
        <v>453230.978</v>
      </c>
      <c r="J39" s="24" t="n">
        <f aca="false">RANK(H39,$H$2:$H$49)+COUNTIF($H$2:H39,H39)-1</f>
        <v>26</v>
      </c>
      <c r="K39" s="34" t="n">
        <f aca="false">SUMIFS($H$2:$H$49,$J$2:$J$49,"&lt;="&amp;J39)/SUM($H$2:$H$49)</f>
        <v>0.868887270295847</v>
      </c>
      <c r="L39" s="24" t="str">
        <f aca="false">IF(K39-H39/SUM($H$2:$H$49)&lt;Assumptions!$B$7,"A",IF(K39-H39/SUM($H$2:$H$49)&lt;Assumptions!$B$8,"B","C"))</f>
        <v>B</v>
      </c>
      <c r="M39" s="24" t="str">
        <f aca="false">IF(F39&lt;Assumptions!$B$12,"Below target","OK")</f>
        <v>OK</v>
      </c>
    </row>
    <row r="40" customFormat="false" ht="15" hidden="false" customHeight="false" outlineLevel="0" collapsed="false">
      <c r="A40" s="24" t="s">
        <v>191</v>
      </c>
      <c r="B40" s="24" t="s">
        <v>192</v>
      </c>
      <c r="C40" s="24" t="s">
        <v>53</v>
      </c>
      <c r="D40" s="33" t="n">
        <v>129</v>
      </c>
      <c r="E40" s="33" t="n">
        <v>210</v>
      </c>
      <c r="F40" s="34" t="n">
        <f aca="false">(E40-D40)/E40</f>
        <v>0.385714285714286</v>
      </c>
      <c r="G40" s="33" t="n">
        <f aca="false">SUMIFS(Sales!$D$2:$D$6001,Sales!$C$2:$C$6001,A40)</f>
        <v>1981</v>
      </c>
      <c r="H40" s="33" t="n">
        <f aca="false">SUMIFS(Sales!$H$2:$H$6001,Sales!$C$2:$C$6001,A40)</f>
        <v>416010</v>
      </c>
      <c r="I40" s="33" t="n">
        <f aca="false">SUMIFS(Sales!$J$2:$J$6001,Sales!$C$2:$C$6001,A40)</f>
        <v>156597.966</v>
      </c>
      <c r="J40" s="24" t="n">
        <f aca="false">RANK(H40,$H$2:$H$49)+COUNTIF($H$2:H40,H40)-1</f>
        <v>43</v>
      </c>
      <c r="K40" s="34" t="n">
        <f aca="false">SUMIFS($H$2:$H$49,$J$2:$J$49,"&lt;="&amp;J40)/SUM($H$2:$H$49)</f>
        <v>0.985768099247366</v>
      </c>
      <c r="L40" s="24" t="str">
        <f aca="false">IF(K40-H40/SUM($H$2:$H$49)&lt;Assumptions!$B$7,"A",IF(K40-H40/SUM($H$2:$H$49)&lt;Assumptions!$B$8,"B","C"))</f>
        <v>C</v>
      </c>
      <c r="M40" s="24" t="str">
        <f aca="false">IF(F40&lt;Assumptions!$B$12,"Below target","OK")</f>
        <v>OK</v>
      </c>
    </row>
    <row r="41" customFormat="false" ht="15" hidden="false" customHeight="false" outlineLevel="0" collapsed="false">
      <c r="A41" s="24" t="s">
        <v>193</v>
      </c>
      <c r="B41" s="24" t="s">
        <v>194</v>
      </c>
      <c r="C41" s="24" t="s">
        <v>53</v>
      </c>
      <c r="D41" s="33" t="n">
        <v>158</v>
      </c>
      <c r="E41" s="33" t="n">
        <v>220</v>
      </c>
      <c r="F41" s="34" t="n">
        <f aca="false">(E41-D41)/E41</f>
        <v>0.281818181818182</v>
      </c>
      <c r="G41" s="33" t="n">
        <f aca="false">SUMIFS(Sales!$D$2:$D$6001,Sales!$C$2:$C$6001,A41)</f>
        <v>9679</v>
      </c>
      <c r="H41" s="33" t="n">
        <f aca="false">SUMIFS(Sales!$H$2:$H$6001,Sales!$C$2:$C$6001,A41)</f>
        <v>2129380</v>
      </c>
      <c r="I41" s="33" t="n">
        <f aca="false">SUMIFS(Sales!$J$2:$J$6001,Sales!$C$2:$C$6001,A41)</f>
        <v>576706.1</v>
      </c>
      <c r="J41" s="24" t="n">
        <f aca="false">RANK(H41,$H$2:$H$49)+COUNTIF($H$2:H41,H41)-1</f>
        <v>19</v>
      </c>
      <c r="K41" s="34" t="n">
        <f aca="false">SUMIFS($H$2:$H$49,$J$2:$J$49,"&lt;="&amp;J41)/SUM($H$2:$H$49)</f>
        <v>0.774061592652076</v>
      </c>
      <c r="L41" s="24" t="str">
        <f aca="false">IF(K41-H41/SUM($H$2:$H$49)&lt;Assumptions!$B$7,"A",IF(K41-H41/SUM($H$2:$H$49)&lt;Assumptions!$B$8,"B","C"))</f>
        <v>A</v>
      </c>
      <c r="M41" s="24" t="str">
        <f aca="false">IF(F41&lt;Assumptions!$B$12,"Below target","OK")</f>
        <v>OK</v>
      </c>
    </row>
    <row r="42" customFormat="false" ht="15" hidden="false" customHeight="false" outlineLevel="0" collapsed="false">
      <c r="A42" s="24" t="s">
        <v>195</v>
      </c>
      <c r="B42" s="24" t="s">
        <v>196</v>
      </c>
      <c r="C42" s="24" t="s">
        <v>54</v>
      </c>
      <c r="D42" s="33" t="n">
        <v>74</v>
      </c>
      <c r="E42" s="33" t="n">
        <v>110</v>
      </c>
      <c r="F42" s="34" t="n">
        <f aca="false">(E42-D42)/E42</f>
        <v>0.327272727272727</v>
      </c>
      <c r="G42" s="33" t="n">
        <f aca="false">SUMIFS(Sales!$D$2:$D$6001,Sales!$C$2:$C$6001,A42)</f>
        <v>38953</v>
      </c>
      <c r="H42" s="33" t="n">
        <f aca="false">SUMIFS(Sales!$H$2:$H$6001,Sales!$C$2:$C$6001,A42)</f>
        <v>4284830</v>
      </c>
      <c r="I42" s="33" t="n">
        <f aca="false">SUMIFS(Sales!$J$2:$J$6001,Sales!$C$2:$C$6001,A42)</f>
        <v>1361847.168</v>
      </c>
      <c r="J42" s="24" t="n">
        <f aca="false">RANK(H42,$H$2:$H$49)+COUNTIF($H$2:H42,H42)-1</f>
        <v>9</v>
      </c>
      <c r="K42" s="34" t="n">
        <f aca="false">SUMIFS($H$2:$H$49,$J$2:$J$49,"&lt;="&amp;J42)/SUM($H$2:$H$49)</f>
        <v>0.533522124057834</v>
      </c>
      <c r="L42" s="24" t="str">
        <f aca="false">IF(K42-H42/SUM($H$2:$H$49)&lt;Assumptions!$B$7,"A",IF(K42-H42/SUM($H$2:$H$49)&lt;Assumptions!$B$8,"B","C"))</f>
        <v>A</v>
      </c>
      <c r="M42" s="24" t="str">
        <f aca="false">IF(F42&lt;Assumptions!$B$12,"Below target","OK")</f>
        <v>OK</v>
      </c>
    </row>
    <row r="43" customFormat="false" ht="15" hidden="false" customHeight="false" outlineLevel="0" collapsed="false">
      <c r="A43" s="24" t="s">
        <v>197</v>
      </c>
      <c r="B43" s="24" t="s">
        <v>198</v>
      </c>
      <c r="C43" s="24" t="s">
        <v>54</v>
      </c>
      <c r="D43" s="33" t="n">
        <v>66</v>
      </c>
      <c r="E43" s="33" t="n">
        <v>90</v>
      </c>
      <c r="F43" s="34" t="n">
        <f aca="false">(E43-D43)/E43</f>
        <v>0.266666666666667</v>
      </c>
      <c r="G43" s="33" t="n">
        <f aca="false">SUMIFS(Sales!$D$2:$D$6001,Sales!$C$2:$C$6001,A43)</f>
        <v>6016</v>
      </c>
      <c r="H43" s="33" t="n">
        <f aca="false">SUMIFS(Sales!$H$2:$H$6001,Sales!$C$2:$C$6001,A43)</f>
        <v>541440</v>
      </c>
      <c r="I43" s="33" t="n">
        <f aca="false">SUMIFS(Sales!$J$2:$J$6001,Sales!$C$2:$C$6001,A43)</f>
        <v>138829.44</v>
      </c>
      <c r="J43" s="24" t="n">
        <f aca="false">RANK(H43,$H$2:$H$49)+COUNTIF($H$2:H43,H43)-1</f>
        <v>40</v>
      </c>
      <c r="K43" s="34" t="n">
        <f aca="false">SUMIFS($H$2:$H$49,$J$2:$J$49,"&lt;="&amp;J43)/SUM($H$2:$H$49)</f>
        <v>0.974065745922158</v>
      </c>
      <c r="L43" s="24" t="str">
        <f aca="false">IF(K43-H43/SUM($H$2:$H$49)&lt;Assumptions!$B$7,"A",IF(K43-H43/SUM($H$2:$H$49)&lt;Assumptions!$B$8,"B","C"))</f>
        <v>C</v>
      </c>
      <c r="M43" s="24" t="str">
        <f aca="false">IF(F43&lt;Assumptions!$B$12,"Below target","OK")</f>
        <v>OK</v>
      </c>
    </row>
    <row r="44" customFormat="false" ht="15" hidden="false" customHeight="false" outlineLevel="0" collapsed="false">
      <c r="A44" s="24" t="s">
        <v>199</v>
      </c>
      <c r="B44" s="24" t="s">
        <v>200</v>
      </c>
      <c r="C44" s="24" t="s">
        <v>54</v>
      </c>
      <c r="D44" s="33" t="n">
        <v>111</v>
      </c>
      <c r="E44" s="33" t="n">
        <v>150</v>
      </c>
      <c r="F44" s="34" t="n">
        <f aca="false">(E44-D44)/E44</f>
        <v>0.26</v>
      </c>
      <c r="G44" s="33" t="n">
        <f aca="false">SUMIFS(Sales!$D$2:$D$6001,Sales!$C$2:$C$6001,A44)</f>
        <v>5240</v>
      </c>
      <c r="H44" s="33" t="n">
        <f aca="false">SUMIFS(Sales!$H$2:$H$6001,Sales!$C$2:$C$6001,A44)</f>
        <v>786000</v>
      </c>
      <c r="I44" s="33" t="n">
        <f aca="false">SUMIFS(Sales!$J$2:$J$6001,Sales!$C$2:$C$6001,A44)</f>
        <v>196123.134</v>
      </c>
      <c r="J44" s="24" t="n">
        <f aca="false">RANK(H44,$H$2:$H$49)+COUNTIF($H$2:H44,H44)-1</f>
        <v>35</v>
      </c>
      <c r="K44" s="34" t="n">
        <f aca="false">SUMIFS($H$2:$H$49,$J$2:$J$49,"&lt;="&amp;J44)/SUM($H$2:$H$49)</f>
        <v>0.946486659593522</v>
      </c>
      <c r="L44" s="24" t="str">
        <f aca="false">IF(K44-H44/SUM($H$2:$H$49)&lt;Assumptions!$B$7,"A",IF(K44-H44/SUM($H$2:$H$49)&lt;Assumptions!$B$8,"B","C"))</f>
        <v>B</v>
      </c>
      <c r="M44" s="24" t="str">
        <f aca="false">IF(F44&lt;Assumptions!$B$12,"Below target","OK")</f>
        <v>OK</v>
      </c>
    </row>
    <row r="45" customFormat="false" ht="15" hidden="false" customHeight="false" outlineLevel="0" collapsed="false">
      <c r="A45" s="24" t="s">
        <v>201</v>
      </c>
      <c r="B45" s="24" t="s">
        <v>202</v>
      </c>
      <c r="C45" s="24" t="s">
        <v>54</v>
      </c>
      <c r="D45" s="33" t="n">
        <v>120</v>
      </c>
      <c r="E45" s="33" t="n">
        <v>160</v>
      </c>
      <c r="F45" s="34" t="n">
        <f aca="false">(E45-D45)/E45</f>
        <v>0.25</v>
      </c>
      <c r="G45" s="33" t="n">
        <f aca="false">SUMIFS(Sales!$D$2:$D$6001,Sales!$C$2:$C$6001,A45)</f>
        <v>13489</v>
      </c>
      <c r="H45" s="33" t="n">
        <f aca="false">SUMIFS(Sales!$H$2:$H$6001,Sales!$C$2:$C$6001,A45)</f>
        <v>2158240</v>
      </c>
      <c r="I45" s="33" t="n">
        <f aca="false">SUMIFS(Sales!$J$2:$J$6001,Sales!$C$2:$C$6001,A45)</f>
        <v>516382.72</v>
      </c>
      <c r="J45" s="24" t="n">
        <f aca="false">RANK(H45,$H$2:$H$49)+COUNTIF($H$2:H45,H45)-1</f>
        <v>18</v>
      </c>
      <c r="K45" s="34" t="n">
        <f aca="false">SUMIFS($H$2:$H$49,$J$2:$J$49,"&lt;="&amp;J45)/SUM($H$2:$H$49)</f>
        <v>0.755789092139782</v>
      </c>
      <c r="L45" s="24" t="str">
        <f aca="false">IF(K45-H45/SUM($H$2:$H$49)&lt;Assumptions!$B$7,"A",IF(K45-H45/SUM($H$2:$H$49)&lt;Assumptions!$B$8,"B","C"))</f>
        <v>A</v>
      </c>
      <c r="M45" s="24" t="str">
        <f aca="false">IF(F45&lt;Assumptions!$B$12,"Below target","OK")</f>
        <v>OK</v>
      </c>
    </row>
    <row r="46" customFormat="false" ht="15" hidden="false" customHeight="false" outlineLevel="0" collapsed="false">
      <c r="A46" s="24" t="s">
        <v>203</v>
      </c>
      <c r="B46" s="24" t="s">
        <v>204</v>
      </c>
      <c r="C46" s="24" t="s">
        <v>54</v>
      </c>
      <c r="D46" s="33" t="n">
        <v>47</v>
      </c>
      <c r="E46" s="33" t="n">
        <v>65</v>
      </c>
      <c r="F46" s="34" t="n">
        <f aca="false">(E46-D46)/E46</f>
        <v>0.276923076923077</v>
      </c>
      <c r="G46" s="33" t="n">
        <f aca="false">SUMIFS(Sales!$D$2:$D$6001,Sales!$C$2:$C$6001,A46)</f>
        <v>6239</v>
      </c>
      <c r="H46" s="33" t="n">
        <f aca="false">SUMIFS(Sales!$H$2:$H$6001,Sales!$C$2:$C$6001,A46)</f>
        <v>405535</v>
      </c>
      <c r="I46" s="33" t="n">
        <f aca="false">SUMIFS(Sales!$J$2:$J$6001,Sales!$C$2:$C$6001,A46)</f>
        <v>108183.39</v>
      </c>
      <c r="J46" s="24" t="n">
        <f aca="false">RANK(H46,$H$2:$H$49)+COUNTIF($H$2:H46,H46)-1</f>
        <v>44</v>
      </c>
      <c r="K46" s="34" t="n">
        <f aca="false">SUMIFS($H$2:$H$49,$J$2:$J$49,"&lt;="&amp;J46)/SUM($H$2:$H$49)</f>
        <v>0.989248050451591</v>
      </c>
      <c r="L46" s="24" t="str">
        <f aca="false">IF(K46-H46/SUM($H$2:$H$49)&lt;Assumptions!$B$7,"A",IF(K46-H46/SUM($H$2:$H$49)&lt;Assumptions!$B$8,"B","C"))</f>
        <v>C</v>
      </c>
      <c r="M46" s="24" t="str">
        <f aca="false">IF(F46&lt;Assumptions!$B$12,"Below target","OK")</f>
        <v>OK</v>
      </c>
    </row>
    <row r="47" customFormat="false" ht="15" hidden="false" customHeight="false" outlineLevel="0" collapsed="false">
      <c r="A47" s="24" t="s">
        <v>205</v>
      </c>
      <c r="B47" s="24" t="s">
        <v>206</v>
      </c>
      <c r="C47" s="24" t="s">
        <v>54</v>
      </c>
      <c r="D47" s="33" t="n">
        <v>81</v>
      </c>
      <c r="E47" s="33" t="n">
        <v>120</v>
      </c>
      <c r="F47" s="34" t="n">
        <f aca="false">(E47-D47)/E47</f>
        <v>0.325</v>
      </c>
      <c r="G47" s="33" t="n">
        <f aca="false">SUMIFS(Sales!$D$2:$D$6001,Sales!$C$2:$C$6001,A47)</f>
        <v>8301</v>
      </c>
      <c r="H47" s="33" t="n">
        <f aca="false">SUMIFS(Sales!$H$2:$H$6001,Sales!$C$2:$C$6001,A47)</f>
        <v>996120</v>
      </c>
      <c r="I47" s="33" t="n">
        <f aca="false">SUMIFS(Sales!$J$2:$J$6001,Sales!$C$2:$C$6001,A47)</f>
        <v>314309.628</v>
      </c>
      <c r="J47" s="24" t="n">
        <f aca="false">RANK(H47,$H$2:$H$49)+COUNTIF($H$2:H47,H47)-1</f>
        <v>31</v>
      </c>
      <c r="K47" s="34" t="n">
        <f aca="false">SUMIFS($H$2:$H$49,$J$2:$J$49,"&lt;="&amp;J47)/SUM($H$2:$H$49)</f>
        <v>0.916739463308262</v>
      </c>
      <c r="L47" s="24" t="str">
        <f aca="false">IF(K47-H47/SUM($H$2:$H$49)&lt;Assumptions!$B$7,"A",IF(K47-H47/SUM($H$2:$H$49)&lt;Assumptions!$B$8,"B","C"))</f>
        <v>B</v>
      </c>
      <c r="M47" s="24" t="str">
        <f aca="false">IF(F47&lt;Assumptions!$B$12,"Below target","OK")</f>
        <v>OK</v>
      </c>
    </row>
    <row r="48" customFormat="false" ht="15" hidden="false" customHeight="false" outlineLevel="0" collapsed="false">
      <c r="A48" s="24" t="s">
        <v>207</v>
      </c>
      <c r="B48" s="24" t="s">
        <v>208</v>
      </c>
      <c r="C48" s="24" t="s">
        <v>54</v>
      </c>
      <c r="D48" s="33" t="n">
        <v>126</v>
      </c>
      <c r="E48" s="33" t="n">
        <v>180</v>
      </c>
      <c r="F48" s="34" t="n">
        <f aca="false">(E48-D48)/E48</f>
        <v>0.3</v>
      </c>
      <c r="G48" s="33" t="n">
        <f aca="false">SUMIFS(Sales!$D$2:$D$6001,Sales!$C$2:$C$6001,A48)</f>
        <v>8069</v>
      </c>
      <c r="H48" s="33" t="n">
        <f aca="false">SUMIFS(Sales!$H$2:$H$6001,Sales!$C$2:$C$6001,A48)</f>
        <v>1452420</v>
      </c>
      <c r="I48" s="33" t="n">
        <f aca="false">SUMIFS(Sales!$J$2:$J$6001,Sales!$C$2:$C$6001,A48)</f>
        <v>421466.58</v>
      </c>
      <c r="J48" s="24" t="n">
        <f aca="false">RANK(H48,$H$2:$H$49)+COUNTIF($H$2:H48,H48)-1</f>
        <v>23</v>
      </c>
      <c r="K48" s="34" t="n">
        <f aca="false">SUMIFS($H$2:$H$49,$J$2:$J$49,"&lt;="&amp;J48)/SUM($H$2:$H$49)</f>
        <v>0.833546545972409</v>
      </c>
      <c r="L48" s="24" t="str">
        <f aca="false">IF(K48-H48/SUM($H$2:$H$49)&lt;Assumptions!$B$7,"A",IF(K48-H48/SUM($H$2:$H$49)&lt;Assumptions!$B$8,"B","C"))</f>
        <v>B</v>
      </c>
      <c r="M48" s="24" t="str">
        <f aca="false">IF(F48&lt;Assumptions!$B$12,"Below target","OK")</f>
        <v>OK</v>
      </c>
    </row>
    <row r="49" customFormat="false" ht="15" hidden="false" customHeight="false" outlineLevel="0" collapsed="false">
      <c r="A49" s="24" t="s">
        <v>209</v>
      </c>
      <c r="B49" s="24" t="s">
        <v>210</v>
      </c>
      <c r="C49" s="24" t="s">
        <v>54</v>
      </c>
      <c r="D49" s="33" t="n">
        <v>47</v>
      </c>
      <c r="E49" s="33" t="n">
        <v>70</v>
      </c>
      <c r="F49" s="34" t="n">
        <f aca="false">(E49-D49)/E49</f>
        <v>0.328571428571429</v>
      </c>
      <c r="G49" s="33" t="n">
        <f aca="false">SUMIFS(Sales!$D$2:$D$6001,Sales!$C$2:$C$6001,A49)</f>
        <v>13013</v>
      </c>
      <c r="H49" s="33" t="n">
        <f aca="false">SUMIFS(Sales!$H$2:$H$6001,Sales!$C$2:$C$6001,A49)</f>
        <v>910910</v>
      </c>
      <c r="I49" s="33" t="n">
        <f aca="false">SUMIFS(Sales!$J$2:$J$6001,Sales!$C$2:$C$6001,A49)</f>
        <v>290577.586</v>
      </c>
      <c r="J49" s="24" t="n">
        <f aca="false">RANK(H49,$H$2:$H$49)+COUNTIF($H$2:H49,H49)-1</f>
        <v>33</v>
      </c>
      <c r="K49" s="34" t="n">
        <f aca="false">SUMIFS($H$2:$H$49,$J$2:$J$49,"&lt;="&amp;J49)/SUM($H$2:$H$49)</f>
        <v>0.932470660236077</v>
      </c>
      <c r="L49" s="24" t="str">
        <f aca="false">IF(K49-H49/SUM($H$2:$H$49)&lt;Assumptions!$B$7,"A",IF(K49-H49/SUM($H$2:$H$49)&lt;Assumptions!$B$8,"B","C"))</f>
        <v>B</v>
      </c>
      <c r="M49" s="24" t="str">
        <f aca="false">IF(F49&lt;Assumptions!$B$12,"Below target","OK")</f>
        <v>OK</v>
      </c>
    </row>
  </sheetData>
  <autoFilter ref="A1:M4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9"/>
    <col collapsed="false" customWidth="true" hidden="false" outlineLevel="0" max="3" min="3" style="0" width="24"/>
    <col collapsed="false" customWidth="true" hidden="false" outlineLevel="0" max="4" min="4" style="0" width="22"/>
    <col collapsed="false" customWidth="true" hidden="false" outlineLevel="0" max="6" min="5" style="0" width="14"/>
    <col collapsed="false" customWidth="true" hidden="false" outlineLevel="0" max="7" min="7" style="0" width="13"/>
    <col collapsed="false" customWidth="true" hidden="false" outlineLevel="0" max="8" min="8" style="0" width="12"/>
    <col collapsed="false" customWidth="true" hidden="false" outlineLevel="0" max="9" min="9" style="0" width="15"/>
    <col collapsed="false" customWidth="true" hidden="false" outlineLevel="0" max="10" min="10" style="0" width="16"/>
    <col collapsed="false" customWidth="true" hidden="false" outlineLevel="0" max="11" min="11" style="0" width="12"/>
  </cols>
  <sheetData>
    <row r="1" customFormat="false" ht="31.5" hidden="false" customHeight="true" outlineLevel="0" collapsed="false">
      <c r="A1" s="32" t="s">
        <v>57</v>
      </c>
      <c r="B1" s="32" t="s">
        <v>85</v>
      </c>
      <c r="C1" s="32" t="s">
        <v>86</v>
      </c>
      <c r="D1" s="32" t="s">
        <v>46</v>
      </c>
      <c r="E1" s="32" t="s">
        <v>211</v>
      </c>
      <c r="F1" s="32" t="s">
        <v>212</v>
      </c>
      <c r="G1" s="32" t="s">
        <v>213</v>
      </c>
      <c r="H1" s="32" t="s">
        <v>214</v>
      </c>
      <c r="I1" s="32" t="s">
        <v>215</v>
      </c>
      <c r="J1" s="32" t="s">
        <v>216</v>
      </c>
      <c r="K1" s="32" t="s">
        <v>217</v>
      </c>
    </row>
    <row r="2" customFormat="false" ht="15" hidden="false" customHeight="false" outlineLevel="0" collapsed="false">
      <c r="A2" s="24" t="s">
        <v>61</v>
      </c>
      <c r="B2" s="24" t="s">
        <v>115</v>
      </c>
      <c r="C2" s="24" t="str">
        <f aca="false">INDEX(Products!$B$2:$B$49,MATCH(B2,Products!$A$2:$A$49,0))</f>
        <v>Maize Flour 2kg</v>
      </c>
      <c r="D2" s="24" t="str">
        <f aca="false">INDEX(Products!$C$2:$C$49,MATCH(B2,Products!$A$2:$A$49,0))</f>
        <v>Grocery Staples</v>
      </c>
      <c r="E2" s="33" t="n">
        <v>395</v>
      </c>
      <c r="F2" s="33" t="n">
        <v>248</v>
      </c>
      <c r="G2" s="35" t="n">
        <f aca="false">SUMIFS(Sales!$D$2:$D$6001,Sales!$B$2:$B$6001,A2,Sales!$C$2:$C$6001,B2,Sales!$A$2:$A$6001,"&gt;="&amp;(Assumptions!$B$4-7*Assumptions!$B$13+1))/Assumptions!$B$13</f>
        <v>165.5</v>
      </c>
      <c r="H2" s="35" t="n">
        <f aca="false">IFERROR(E2/G2,999)</f>
        <v>2.38670694864048</v>
      </c>
      <c r="I2" s="24" t="str">
        <f aca="false">IF(H2&lt;Assumptions!$B$9,"Stock-out risk",IF(H2&lt;Assumptions!$B$10,"Low",IF(H2&gt;Assumptions!$B$11,"Overstock","Healthy")))</f>
        <v>Healthy</v>
      </c>
      <c r="J2" s="33" t="n">
        <f aca="false">E2*INDEX(Products!$D$2:$D$49,MATCH(B2,Products!$A$2:$A$49,0))</f>
        <v>56880</v>
      </c>
      <c r="K2" s="24" t="str">
        <f aca="false">IF(E2&lt;=F2,"Yes","No")</f>
        <v>No</v>
      </c>
    </row>
    <row r="3" customFormat="false" ht="15" hidden="false" customHeight="false" outlineLevel="0" collapsed="false">
      <c r="A3" s="24" t="s">
        <v>61</v>
      </c>
      <c r="B3" s="24" t="s">
        <v>117</v>
      </c>
      <c r="C3" s="24" t="str">
        <f aca="false">INDEX(Products!$B$2:$B$49,MATCH(B3,Products!$A$2:$A$49,0))</f>
        <v>Wheat Flour 2kg</v>
      </c>
      <c r="D3" s="24" t="str">
        <f aca="false">INDEX(Products!$C$2:$C$49,MATCH(B3,Products!$A$2:$A$49,0))</f>
        <v>Grocery Staples</v>
      </c>
      <c r="E3" s="33" t="n">
        <v>228</v>
      </c>
      <c r="F3" s="33" t="n">
        <v>184</v>
      </c>
      <c r="G3" s="35" t="n">
        <f aca="false">SUMIFS(Sales!$D$2:$D$6001,Sales!$B$2:$B$6001,A3,Sales!$C$2:$C$6001,B3,Sales!$A$2:$A$6001,"&gt;="&amp;(Assumptions!$B$4-7*Assumptions!$B$13+1))/Assumptions!$B$13</f>
        <v>122.5</v>
      </c>
      <c r="H3" s="35" t="n">
        <f aca="false">IFERROR(E3/G3,999)</f>
        <v>1.86122448979592</v>
      </c>
      <c r="I3" s="24" t="str">
        <f aca="false">IF(H3&lt;Assumptions!$B$9,"Stock-out risk",IF(H3&lt;Assumptions!$B$10,"Low",IF(H3&gt;Assumptions!$B$11,"Overstock","Healthy")))</f>
        <v>Low</v>
      </c>
      <c r="J3" s="33" t="n">
        <f aca="false">E3*INDEX(Products!$D$2:$D$49,MATCH(B3,Products!$A$2:$A$49,0))</f>
        <v>38304</v>
      </c>
      <c r="K3" s="24" t="str">
        <f aca="false">IF(E3&lt;=F3,"Yes","No")</f>
        <v>No</v>
      </c>
    </row>
    <row r="4" customFormat="false" ht="15" hidden="false" customHeight="false" outlineLevel="0" collapsed="false">
      <c r="A4" s="24" t="s">
        <v>61</v>
      </c>
      <c r="B4" s="24" t="s">
        <v>119</v>
      </c>
      <c r="C4" s="24" t="str">
        <f aca="false">INDEX(Products!$B$2:$B$49,MATCH(B4,Products!$A$2:$A$49,0))</f>
        <v>Rice Pishori 2kg</v>
      </c>
      <c r="D4" s="24" t="str">
        <f aca="false">INDEX(Products!$C$2:$C$49,MATCH(B4,Products!$A$2:$A$49,0))</f>
        <v>Grocery Staples</v>
      </c>
      <c r="E4" s="33" t="n">
        <v>1752</v>
      </c>
      <c r="F4" s="33" t="n">
        <v>169</v>
      </c>
      <c r="G4" s="35" t="n">
        <f aca="false">SUMIFS(Sales!$D$2:$D$6001,Sales!$B$2:$B$6001,A4,Sales!$C$2:$C$6001,B4,Sales!$A$2:$A$6001,"&gt;="&amp;(Assumptions!$B$4-7*Assumptions!$B$13+1))/Assumptions!$B$13</f>
        <v>112.625</v>
      </c>
      <c r="H4" s="35" t="n">
        <f aca="false">IFERROR(E4/G4,999)</f>
        <v>15.5560488346282</v>
      </c>
      <c r="I4" s="24" t="str">
        <f aca="false">IF(H4&lt;Assumptions!$B$9,"Stock-out risk",IF(H4&lt;Assumptions!$B$10,"Low",IF(H4&gt;Assumptions!$B$11,"Overstock","Healthy")))</f>
        <v>Overstock</v>
      </c>
      <c r="J4" s="33" t="n">
        <f aca="false">E4*INDEX(Products!$D$2:$D$49,MATCH(B4,Products!$A$2:$A$49,0))</f>
        <v>658752</v>
      </c>
      <c r="K4" s="24" t="str">
        <f aca="false">IF(E4&lt;=F4,"Yes","No")</f>
        <v>No</v>
      </c>
    </row>
    <row r="5" customFormat="false" ht="15" hidden="false" customHeight="false" outlineLevel="0" collapsed="false">
      <c r="A5" s="24" t="s">
        <v>61</v>
      </c>
      <c r="B5" s="24" t="s">
        <v>121</v>
      </c>
      <c r="C5" s="24" t="str">
        <f aca="false">INDEX(Products!$B$2:$B$49,MATCH(B5,Products!$A$2:$A$49,0))</f>
        <v>Sugar 1kg</v>
      </c>
      <c r="D5" s="24" t="str">
        <f aca="false">INDEX(Products!$C$2:$C$49,MATCH(B5,Products!$A$2:$A$49,0))</f>
        <v>Grocery Staples</v>
      </c>
      <c r="E5" s="33" t="n">
        <v>474</v>
      </c>
      <c r="F5" s="33" t="n">
        <v>81</v>
      </c>
      <c r="G5" s="35" t="n">
        <f aca="false">SUMIFS(Sales!$D$2:$D$6001,Sales!$B$2:$B$6001,A5,Sales!$C$2:$C$6001,B5,Sales!$A$2:$A$6001,"&gt;="&amp;(Assumptions!$B$4-7*Assumptions!$B$13+1))/Assumptions!$B$13</f>
        <v>54.25</v>
      </c>
      <c r="H5" s="35" t="n">
        <f aca="false">IFERROR(E5/G5,999)</f>
        <v>8.73732718894009</v>
      </c>
      <c r="I5" s="24" t="str">
        <f aca="false">IF(H5&lt;Assumptions!$B$9,"Stock-out risk",IF(H5&lt;Assumptions!$B$10,"Low",IF(H5&gt;Assumptions!$B$11,"Overstock","Healthy")))</f>
        <v>Overstock</v>
      </c>
      <c r="J5" s="33" t="n">
        <f aca="false">E5*INDEX(Products!$D$2:$D$49,MATCH(B5,Products!$A$2:$A$49,0))</f>
        <v>76314</v>
      </c>
      <c r="K5" s="24" t="str">
        <f aca="false">IF(E5&lt;=F5,"Yes","No")</f>
        <v>No</v>
      </c>
    </row>
    <row r="6" customFormat="false" ht="15" hidden="false" customHeight="false" outlineLevel="0" collapsed="false">
      <c r="A6" s="24" t="s">
        <v>61</v>
      </c>
      <c r="B6" s="24" t="s">
        <v>123</v>
      </c>
      <c r="C6" s="24" t="str">
        <f aca="false">INDEX(Products!$B$2:$B$49,MATCH(B6,Products!$A$2:$A$49,0))</f>
        <v>Cooking Oil 1L</v>
      </c>
      <c r="D6" s="24" t="str">
        <f aca="false">INDEX(Products!$C$2:$C$49,MATCH(B6,Products!$A$2:$A$49,0))</f>
        <v>Grocery Staples</v>
      </c>
      <c r="E6" s="33" t="n">
        <v>807</v>
      </c>
      <c r="F6" s="33" t="n">
        <v>427</v>
      </c>
      <c r="G6" s="35" t="n">
        <f aca="false">SUMIFS(Sales!$D$2:$D$6001,Sales!$B$2:$B$6001,A6,Sales!$C$2:$C$6001,B6,Sales!$A$2:$A$6001,"&gt;="&amp;(Assumptions!$B$4-7*Assumptions!$B$13+1))/Assumptions!$B$13</f>
        <v>284.375</v>
      </c>
      <c r="H6" s="35" t="n">
        <f aca="false">IFERROR(E6/G6,999)</f>
        <v>2.8378021978022</v>
      </c>
      <c r="I6" s="24" t="str">
        <f aca="false">IF(H6&lt;Assumptions!$B$9,"Stock-out risk",IF(H6&lt;Assumptions!$B$10,"Low",IF(H6&gt;Assumptions!$B$11,"Overstock","Healthy")))</f>
        <v>Healthy</v>
      </c>
      <c r="J6" s="33" t="n">
        <f aca="false">E6*INDEX(Products!$D$2:$D$49,MATCH(B6,Products!$A$2:$A$49,0))</f>
        <v>239679</v>
      </c>
      <c r="K6" s="24" t="str">
        <f aca="false">IF(E6&lt;=F6,"Yes","No")</f>
        <v>No</v>
      </c>
    </row>
    <row r="7" customFormat="false" ht="15" hidden="false" customHeight="false" outlineLevel="0" collapsed="false">
      <c r="A7" s="24" t="s">
        <v>61</v>
      </c>
      <c r="B7" s="24" t="s">
        <v>125</v>
      </c>
      <c r="C7" s="24" t="str">
        <f aca="false">INDEX(Products!$B$2:$B$49,MATCH(B7,Products!$A$2:$A$49,0))</f>
        <v>Salt 500g</v>
      </c>
      <c r="D7" s="24" t="str">
        <f aca="false">INDEX(Products!$C$2:$C$49,MATCH(B7,Products!$A$2:$A$49,0))</f>
        <v>Grocery Staples</v>
      </c>
      <c r="E7" s="33" t="n">
        <v>33</v>
      </c>
      <c r="F7" s="33" t="n">
        <v>45</v>
      </c>
      <c r="G7" s="35" t="n">
        <f aca="false">SUMIFS(Sales!$D$2:$D$6001,Sales!$B$2:$B$6001,A7,Sales!$C$2:$C$6001,B7,Sales!$A$2:$A$6001,"&gt;="&amp;(Assumptions!$B$4-7*Assumptions!$B$13+1))/Assumptions!$B$13</f>
        <v>29.75</v>
      </c>
      <c r="H7" s="35" t="n">
        <f aca="false">IFERROR(E7/G7,999)</f>
        <v>1.10924369747899</v>
      </c>
      <c r="I7" s="24" t="str">
        <f aca="false">IF(H7&lt;Assumptions!$B$9,"Stock-out risk",IF(H7&lt;Assumptions!$B$10,"Low",IF(H7&gt;Assumptions!$B$11,"Overstock","Healthy")))</f>
        <v>Low</v>
      </c>
      <c r="J7" s="33" t="n">
        <f aca="false">E7*INDEX(Products!$D$2:$D$49,MATCH(B7,Products!$A$2:$A$49,0))</f>
        <v>1320</v>
      </c>
      <c r="K7" s="24" t="str">
        <f aca="false">IF(E7&lt;=F7,"Yes","No")</f>
        <v>Yes</v>
      </c>
    </row>
    <row r="8" customFormat="false" ht="15" hidden="false" customHeight="false" outlineLevel="0" collapsed="false">
      <c r="A8" s="24" t="s">
        <v>61</v>
      </c>
      <c r="B8" s="24" t="s">
        <v>127</v>
      </c>
      <c r="C8" s="24" t="str">
        <f aca="false">INDEX(Products!$B$2:$B$49,MATCH(B8,Products!$A$2:$A$49,0))</f>
        <v>Tea Leaves 250g</v>
      </c>
      <c r="D8" s="24" t="str">
        <f aca="false">INDEX(Products!$C$2:$C$49,MATCH(B8,Products!$A$2:$A$49,0))</f>
        <v>Grocery Staples</v>
      </c>
      <c r="E8" s="33" t="n">
        <v>854</v>
      </c>
      <c r="F8" s="33" t="n">
        <v>268</v>
      </c>
      <c r="G8" s="35" t="n">
        <f aca="false">SUMIFS(Sales!$D$2:$D$6001,Sales!$B$2:$B$6001,A8,Sales!$C$2:$C$6001,B8,Sales!$A$2:$A$6001,"&gt;="&amp;(Assumptions!$B$4-7*Assumptions!$B$13+1))/Assumptions!$B$13</f>
        <v>178.5</v>
      </c>
      <c r="H8" s="35" t="n">
        <f aca="false">IFERROR(E8/G8,999)</f>
        <v>4.7843137254902</v>
      </c>
      <c r="I8" s="24" t="str">
        <f aca="false">IF(H8&lt;Assumptions!$B$9,"Stock-out risk",IF(H8&lt;Assumptions!$B$10,"Low",IF(H8&gt;Assumptions!$B$11,"Overstock","Healthy")))</f>
        <v>Healthy</v>
      </c>
      <c r="J8" s="33" t="n">
        <f aca="false">E8*INDEX(Products!$D$2:$D$49,MATCH(B8,Products!$A$2:$A$49,0))</f>
        <v>87962</v>
      </c>
      <c r="K8" s="24" t="str">
        <f aca="false">IF(E8&lt;=F8,"Yes","No")</f>
        <v>No</v>
      </c>
    </row>
    <row r="9" customFormat="false" ht="15" hidden="false" customHeight="false" outlineLevel="0" collapsed="false">
      <c r="A9" s="24" t="s">
        <v>61</v>
      </c>
      <c r="B9" s="24" t="s">
        <v>129</v>
      </c>
      <c r="C9" s="24" t="str">
        <f aca="false">INDEX(Products!$B$2:$B$49,MATCH(B9,Products!$A$2:$A$49,0))</f>
        <v>Dry Beans 1kg</v>
      </c>
      <c r="D9" s="24" t="str">
        <f aca="false">INDEX(Products!$C$2:$C$49,MATCH(B9,Products!$A$2:$A$49,0))</f>
        <v>Grocery Staples</v>
      </c>
      <c r="E9" s="33" t="n">
        <v>384</v>
      </c>
      <c r="F9" s="33" t="n">
        <v>304</v>
      </c>
      <c r="G9" s="35" t="n">
        <f aca="false">SUMIFS(Sales!$D$2:$D$6001,Sales!$B$2:$B$6001,A9,Sales!$C$2:$C$6001,B9,Sales!$A$2:$A$6001,"&gt;="&amp;(Assumptions!$B$4-7*Assumptions!$B$13+1))/Assumptions!$B$13</f>
        <v>203</v>
      </c>
      <c r="H9" s="35" t="n">
        <f aca="false">IFERROR(E9/G9,999)</f>
        <v>1.89162561576355</v>
      </c>
      <c r="I9" s="24" t="str">
        <f aca="false">IF(H9&lt;Assumptions!$B$9,"Stock-out risk",IF(H9&lt;Assumptions!$B$10,"Low",IF(H9&gt;Assumptions!$B$11,"Overstock","Healthy")))</f>
        <v>Low</v>
      </c>
      <c r="J9" s="33" t="n">
        <f aca="false">E9*INDEX(Products!$D$2:$D$49,MATCH(B9,Products!$A$2:$A$49,0))</f>
        <v>71424</v>
      </c>
      <c r="K9" s="24" t="str">
        <f aca="false">IF(E9&lt;=F9,"Yes","No")</f>
        <v>No</v>
      </c>
    </row>
    <row r="10" customFormat="false" ht="15" hidden="false" customHeight="false" outlineLevel="0" collapsed="false">
      <c r="A10" s="24" t="s">
        <v>61</v>
      </c>
      <c r="B10" s="24" t="s">
        <v>131</v>
      </c>
      <c r="C10" s="24" t="str">
        <f aca="false">INDEX(Products!$B$2:$B$49,MATCH(B10,Products!$A$2:$A$49,0))</f>
        <v>Fresh Milk 500ml</v>
      </c>
      <c r="D10" s="24" t="str">
        <f aca="false">INDEX(Products!$C$2:$C$49,MATCH(B10,Products!$A$2:$A$49,0))</f>
        <v>Dairy &amp; Eggs</v>
      </c>
      <c r="E10" s="33" t="n">
        <v>94</v>
      </c>
      <c r="F10" s="33" t="n">
        <v>63</v>
      </c>
      <c r="G10" s="35" t="n">
        <f aca="false">SUMIFS(Sales!$D$2:$D$6001,Sales!$B$2:$B$6001,A10,Sales!$C$2:$C$6001,B10,Sales!$A$2:$A$6001,"&gt;="&amp;(Assumptions!$B$4-7*Assumptions!$B$13+1))/Assumptions!$B$13</f>
        <v>41.875</v>
      </c>
      <c r="H10" s="35" t="n">
        <f aca="false">IFERROR(E10/G10,999)</f>
        <v>2.24477611940299</v>
      </c>
      <c r="I10" s="24" t="str">
        <f aca="false">IF(H10&lt;Assumptions!$B$9,"Stock-out risk",IF(H10&lt;Assumptions!$B$10,"Low",IF(H10&gt;Assumptions!$B$11,"Overstock","Healthy")))</f>
        <v>Healthy</v>
      </c>
      <c r="J10" s="33" t="n">
        <f aca="false">E10*INDEX(Products!$D$2:$D$49,MATCH(B10,Products!$A$2:$A$49,0))</f>
        <v>4794</v>
      </c>
      <c r="K10" s="24" t="str">
        <f aca="false">IF(E10&lt;=F10,"Yes","No")</f>
        <v>No</v>
      </c>
    </row>
    <row r="11" customFormat="false" ht="15" hidden="false" customHeight="false" outlineLevel="0" collapsed="false">
      <c r="A11" s="24" t="s">
        <v>61</v>
      </c>
      <c r="B11" s="24" t="s">
        <v>133</v>
      </c>
      <c r="C11" s="24" t="str">
        <f aca="false">INDEX(Products!$B$2:$B$49,MATCH(B11,Products!$A$2:$A$49,0))</f>
        <v>Fresh Milk 1L</v>
      </c>
      <c r="D11" s="24" t="str">
        <f aca="false">INDEX(Products!$C$2:$C$49,MATCH(B11,Products!$A$2:$A$49,0))</f>
        <v>Dairy &amp; Eggs</v>
      </c>
      <c r="E11" s="33" t="n">
        <v>194</v>
      </c>
      <c r="F11" s="33" t="n">
        <v>130</v>
      </c>
      <c r="G11" s="35" t="n">
        <f aca="false">SUMIFS(Sales!$D$2:$D$6001,Sales!$B$2:$B$6001,A11,Sales!$C$2:$C$6001,B11,Sales!$A$2:$A$6001,"&gt;="&amp;(Assumptions!$B$4-7*Assumptions!$B$13+1))/Assumptions!$B$13</f>
        <v>86.5</v>
      </c>
      <c r="H11" s="35" t="n">
        <f aca="false">IFERROR(E11/G11,999)</f>
        <v>2.24277456647399</v>
      </c>
      <c r="I11" s="24" t="str">
        <f aca="false">IF(H11&lt;Assumptions!$B$9,"Stock-out risk",IF(H11&lt;Assumptions!$B$10,"Low",IF(H11&gt;Assumptions!$B$11,"Overstock","Healthy")))</f>
        <v>Healthy</v>
      </c>
      <c r="J11" s="33" t="n">
        <f aca="false">E11*INDEX(Products!$D$2:$D$49,MATCH(B11,Products!$A$2:$A$49,0))</f>
        <v>20176</v>
      </c>
      <c r="K11" s="24" t="str">
        <f aca="false">IF(E11&lt;=F11,"Yes","No")</f>
        <v>No</v>
      </c>
    </row>
    <row r="12" customFormat="false" ht="15" hidden="false" customHeight="false" outlineLevel="0" collapsed="false">
      <c r="A12" s="24" t="s">
        <v>61</v>
      </c>
      <c r="B12" s="24" t="s">
        <v>135</v>
      </c>
      <c r="C12" s="24" t="str">
        <f aca="false">INDEX(Products!$B$2:$B$49,MATCH(B12,Products!$A$2:$A$49,0))</f>
        <v>Yoghurt 500ml</v>
      </c>
      <c r="D12" s="24" t="str">
        <f aca="false">INDEX(Products!$C$2:$C$49,MATCH(B12,Products!$A$2:$A$49,0))</f>
        <v>Dairy &amp; Eggs</v>
      </c>
      <c r="E12" s="33" t="n">
        <v>472</v>
      </c>
      <c r="F12" s="33" t="n">
        <v>69</v>
      </c>
      <c r="G12" s="35" t="n">
        <f aca="false">SUMIFS(Sales!$D$2:$D$6001,Sales!$B$2:$B$6001,A12,Sales!$C$2:$C$6001,B12,Sales!$A$2:$A$6001,"&gt;="&amp;(Assumptions!$B$4-7*Assumptions!$B$13+1))/Assumptions!$B$13</f>
        <v>46.125</v>
      </c>
      <c r="H12" s="35" t="n">
        <f aca="false">IFERROR(E12/G12,999)</f>
        <v>10.2330623306233</v>
      </c>
      <c r="I12" s="24" t="str">
        <f aca="false">IF(H12&lt;Assumptions!$B$9,"Stock-out risk",IF(H12&lt;Assumptions!$B$10,"Low",IF(H12&gt;Assumptions!$B$11,"Overstock","Healthy")))</f>
        <v>Overstock</v>
      </c>
      <c r="J12" s="33" t="n">
        <f aca="false">E12*INDEX(Products!$D$2:$D$49,MATCH(B12,Products!$A$2:$A$49,0))</f>
        <v>51920</v>
      </c>
      <c r="K12" s="24" t="str">
        <f aca="false">IF(E12&lt;=F12,"Yes","No")</f>
        <v>No</v>
      </c>
    </row>
    <row r="13" customFormat="false" ht="15" hidden="false" customHeight="false" outlineLevel="0" collapsed="false">
      <c r="A13" s="24" t="s">
        <v>61</v>
      </c>
      <c r="B13" s="24" t="s">
        <v>137</v>
      </c>
      <c r="C13" s="24" t="str">
        <f aca="false">INDEX(Products!$B$2:$B$49,MATCH(B13,Products!$A$2:$A$49,0))</f>
        <v>Butter 250g</v>
      </c>
      <c r="D13" s="24" t="str">
        <f aca="false">INDEX(Products!$C$2:$C$49,MATCH(B13,Products!$A$2:$A$49,0))</f>
        <v>Dairy &amp; Eggs</v>
      </c>
      <c r="E13" s="33" t="n">
        <v>448</v>
      </c>
      <c r="F13" s="33" t="n">
        <v>202</v>
      </c>
      <c r="G13" s="35" t="n">
        <f aca="false">SUMIFS(Sales!$D$2:$D$6001,Sales!$B$2:$B$6001,A13,Sales!$C$2:$C$6001,B13,Sales!$A$2:$A$6001,"&gt;="&amp;(Assumptions!$B$4-7*Assumptions!$B$13+1))/Assumptions!$B$13</f>
        <v>134.375</v>
      </c>
      <c r="H13" s="35" t="n">
        <f aca="false">IFERROR(E13/G13,999)</f>
        <v>3.33395348837209</v>
      </c>
      <c r="I13" s="24" t="str">
        <f aca="false">IF(H13&lt;Assumptions!$B$9,"Stock-out risk",IF(H13&lt;Assumptions!$B$10,"Low",IF(H13&gt;Assumptions!$B$11,"Overstock","Healthy")))</f>
        <v>Healthy</v>
      </c>
      <c r="J13" s="33" t="n">
        <f aca="false">E13*INDEX(Products!$D$2:$D$49,MATCH(B13,Products!$A$2:$A$49,0))</f>
        <v>120064</v>
      </c>
      <c r="K13" s="24" t="str">
        <f aca="false">IF(E13&lt;=F13,"Yes","No")</f>
        <v>No</v>
      </c>
    </row>
    <row r="14" customFormat="false" ht="15" hidden="false" customHeight="false" outlineLevel="0" collapsed="false">
      <c r="A14" s="24" t="s">
        <v>61</v>
      </c>
      <c r="B14" s="24" t="s">
        <v>139</v>
      </c>
      <c r="C14" s="24" t="str">
        <f aca="false">INDEX(Products!$B$2:$B$49,MATCH(B14,Products!$A$2:$A$49,0))</f>
        <v>Eggs Tray of 30</v>
      </c>
      <c r="D14" s="24" t="str">
        <f aca="false">INDEX(Products!$C$2:$C$49,MATCH(B14,Products!$A$2:$A$49,0))</f>
        <v>Dairy &amp; Eggs</v>
      </c>
      <c r="E14" s="33" t="n">
        <v>478</v>
      </c>
      <c r="F14" s="33" t="n">
        <v>373</v>
      </c>
      <c r="G14" s="35" t="n">
        <f aca="false">SUMIFS(Sales!$D$2:$D$6001,Sales!$B$2:$B$6001,A14,Sales!$C$2:$C$6001,B14,Sales!$A$2:$A$6001,"&gt;="&amp;(Assumptions!$B$4-7*Assumptions!$B$13+1))/Assumptions!$B$13</f>
        <v>248.625</v>
      </c>
      <c r="H14" s="35" t="n">
        <f aca="false">IFERROR(E14/G14,999)</f>
        <v>1.92257415786828</v>
      </c>
      <c r="I14" s="24" t="str">
        <f aca="false">IF(H14&lt;Assumptions!$B$9,"Stock-out risk",IF(H14&lt;Assumptions!$B$10,"Low",IF(H14&gt;Assumptions!$B$11,"Overstock","Healthy")))</f>
        <v>Low</v>
      </c>
      <c r="J14" s="33" t="n">
        <f aca="false">E14*INDEX(Products!$D$2:$D$49,MATCH(B14,Products!$A$2:$A$49,0))</f>
        <v>205062</v>
      </c>
      <c r="K14" s="24" t="str">
        <f aca="false">IF(E14&lt;=F14,"Yes","No")</f>
        <v>No</v>
      </c>
    </row>
    <row r="15" customFormat="false" ht="15" hidden="false" customHeight="false" outlineLevel="0" collapsed="false">
      <c r="A15" s="24" t="s">
        <v>61</v>
      </c>
      <c r="B15" s="24" t="s">
        <v>141</v>
      </c>
      <c r="C15" s="24" t="str">
        <f aca="false">INDEX(Products!$B$2:$B$49,MATCH(B15,Products!$A$2:$A$49,0))</f>
        <v>Cheese Slices 200g</v>
      </c>
      <c r="D15" s="24" t="str">
        <f aca="false">INDEX(Products!$C$2:$C$49,MATCH(B15,Products!$A$2:$A$49,0))</f>
        <v>Dairy &amp; Eggs</v>
      </c>
      <c r="E15" s="33" t="n">
        <v>2568</v>
      </c>
      <c r="F15" s="33" t="n">
        <v>566</v>
      </c>
      <c r="G15" s="35" t="n">
        <f aca="false">SUMIFS(Sales!$D$2:$D$6001,Sales!$B$2:$B$6001,A15,Sales!$C$2:$C$6001,B15,Sales!$A$2:$A$6001,"&gt;="&amp;(Assumptions!$B$4-7*Assumptions!$B$13+1))/Assumptions!$B$13</f>
        <v>377.125</v>
      </c>
      <c r="H15" s="35" t="n">
        <f aca="false">IFERROR(E15/G15,999)</f>
        <v>6.80941332449453</v>
      </c>
      <c r="I15" s="24" t="str">
        <f aca="false">IF(H15&lt;Assumptions!$B$9,"Stock-out risk",IF(H15&lt;Assumptions!$B$10,"Low",IF(H15&gt;Assumptions!$B$11,"Overstock","Healthy")))</f>
        <v>Healthy</v>
      </c>
      <c r="J15" s="33" t="n">
        <f aca="false">E15*INDEX(Products!$D$2:$D$49,MATCH(B15,Products!$A$2:$A$49,0))</f>
        <v>860280</v>
      </c>
      <c r="K15" s="24" t="str">
        <f aca="false">IF(E15&lt;=F15,"Yes","No")</f>
        <v>No</v>
      </c>
    </row>
    <row r="16" customFormat="false" ht="15" hidden="false" customHeight="false" outlineLevel="0" collapsed="false">
      <c r="A16" s="24" t="s">
        <v>61</v>
      </c>
      <c r="B16" s="24" t="s">
        <v>143</v>
      </c>
      <c r="C16" s="24" t="str">
        <f aca="false">INDEX(Products!$B$2:$B$49,MATCH(B16,Products!$A$2:$A$49,0))</f>
        <v>Cooking Fat 500g</v>
      </c>
      <c r="D16" s="24" t="str">
        <f aca="false">INDEX(Products!$C$2:$C$49,MATCH(B16,Products!$A$2:$A$49,0))</f>
        <v>Dairy &amp; Eggs</v>
      </c>
      <c r="E16" s="33" t="n">
        <v>270</v>
      </c>
      <c r="F16" s="33" t="n">
        <v>61</v>
      </c>
      <c r="G16" s="35" t="n">
        <f aca="false">SUMIFS(Sales!$D$2:$D$6001,Sales!$B$2:$B$6001,A16,Sales!$C$2:$C$6001,B16,Sales!$A$2:$A$6001,"&gt;="&amp;(Assumptions!$B$4-7*Assumptions!$B$13+1))/Assumptions!$B$13</f>
        <v>40.375</v>
      </c>
      <c r="H16" s="35" t="n">
        <f aca="false">IFERROR(E16/G16,999)</f>
        <v>6.68730650154799</v>
      </c>
      <c r="I16" s="24" t="str">
        <f aca="false">IF(H16&lt;Assumptions!$B$9,"Stock-out risk",IF(H16&lt;Assumptions!$B$10,"Low",IF(H16&gt;Assumptions!$B$11,"Overstock","Healthy")))</f>
        <v>Healthy</v>
      </c>
      <c r="J16" s="33" t="n">
        <f aca="false">E16*INDEX(Products!$D$2:$D$49,MATCH(B16,Products!$A$2:$A$49,0))</f>
        <v>51030</v>
      </c>
      <c r="K16" s="24" t="str">
        <f aca="false">IF(E16&lt;=F16,"Yes","No")</f>
        <v>No</v>
      </c>
    </row>
    <row r="17" customFormat="false" ht="15" hidden="false" customHeight="false" outlineLevel="0" collapsed="false">
      <c r="A17" s="24" t="s">
        <v>61</v>
      </c>
      <c r="B17" s="24" t="s">
        <v>145</v>
      </c>
      <c r="C17" s="24" t="str">
        <f aca="false">INDEX(Products!$B$2:$B$49,MATCH(B17,Products!$A$2:$A$49,0))</f>
        <v>UHT Milk 1L</v>
      </c>
      <c r="D17" s="24" t="str">
        <f aca="false">INDEX(Products!$C$2:$C$49,MATCH(B17,Products!$A$2:$A$49,0))</f>
        <v>Dairy &amp; Eggs</v>
      </c>
      <c r="E17" s="33" t="n">
        <v>678</v>
      </c>
      <c r="F17" s="33" t="n">
        <v>124</v>
      </c>
      <c r="G17" s="35" t="n">
        <f aca="false">SUMIFS(Sales!$D$2:$D$6001,Sales!$B$2:$B$6001,A17,Sales!$C$2:$C$6001,B17,Sales!$A$2:$A$6001,"&gt;="&amp;(Assumptions!$B$4-7*Assumptions!$B$13+1))/Assumptions!$B$13</f>
        <v>83</v>
      </c>
      <c r="H17" s="35" t="n">
        <f aca="false">IFERROR(E17/G17,999)</f>
        <v>8.16867469879518</v>
      </c>
      <c r="I17" s="24" t="str">
        <f aca="false">IF(H17&lt;Assumptions!$B$9,"Stock-out risk",IF(H17&lt;Assumptions!$B$10,"Low",IF(H17&gt;Assumptions!$B$11,"Overstock","Healthy")))</f>
        <v>Overstock</v>
      </c>
      <c r="J17" s="33" t="n">
        <f aca="false">E17*INDEX(Products!$D$2:$D$49,MATCH(B17,Products!$A$2:$A$49,0))</f>
        <v>75936</v>
      </c>
      <c r="K17" s="24" t="str">
        <f aca="false">IF(E17&lt;=F17,"Yes","No")</f>
        <v>No</v>
      </c>
    </row>
    <row r="18" customFormat="false" ht="15" hidden="false" customHeight="false" outlineLevel="0" collapsed="false">
      <c r="A18" s="24" t="s">
        <v>61</v>
      </c>
      <c r="B18" s="24" t="s">
        <v>147</v>
      </c>
      <c r="C18" s="24" t="str">
        <f aca="false">INDEX(Products!$B$2:$B$49,MATCH(B18,Products!$A$2:$A$49,0))</f>
        <v>Soda 500ml</v>
      </c>
      <c r="D18" s="24" t="str">
        <f aca="false">INDEX(Products!$C$2:$C$49,MATCH(B18,Products!$A$2:$A$49,0))</f>
        <v>Beverages</v>
      </c>
      <c r="E18" s="33" t="n">
        <v>1828</v>
      </c>
      <c r="F18" s="33" t="n">
        <v>413</v>
      </c>
      <c r="G18" s="35" t="n">
        <f aca="false">SUMIFS(Sales!$D$2:$D$6001,Sales!$B$2:$B$6001,A18,Sales!$C$2:$C$6001,B18,Sales!$A$2:$A$6001,"&gt;="&amp;(Assumptions!$B$4-7*Assumptions!$B$13+1))/Assumptions!$B$13</f>
        <v>275.625</v>
      </c>
      <c r="H18" s="35" t="n">
        <f aca="false">IFERROR(E18/G18,999)</f>
        <v>6.63219954648526</v>
      </c>
      <c r="I18" s="24" t="str">
        <f aca="false">IF(H18&lt;Assumptions!$B$9,"Stock-out risk",IF(H18&lt;Assumptions!$B$10,"Low",IF(H18&gt;Assumptions!$B$11,"Overstock","Healthy")))</f>
        <v>Healthy</v>
      </c>
      <c r="J18" s="33" t="n">
        <f aca="false">E18*INDEX(Products!$D$2:$D$49,MATCH(B18,Products!$A$2:$A$49,0))</f>
        <v>98712</v>
      </c>
      <c r="K18" s="24" t="str">
        <f aca="false">IF(E18&lt;=F18,"Yes","No")</f>
        <v>No</v>
      </c>
    </row>
    <row r="19" customFormat="false" ht="15" hidden="false" customHeight="false" outlineLevel="0" collapsed="false">
      <c r="A19" s="24" t="s">
        <v>61</v>
      </c>
      <c r="B19" s="24" t="s">
        <v>149</v>
      </c>
      <c r="C19" s="24" t="str">
        <f aca="false">INDEX(Products!$B$2:$B$49,MATCH(B19,Products!$A$2:$A$49,0))</f>
        <v>Soda 2L</v>
      </c>
      <c r="D19" s="24" t="str">
        <f aca="false">INDEX(Products!$C$2:$C$49,MATCH(B19,Products!$A$2:$A$49,0))</f>
        <v>Beverages</v>
      </c>
      <c r="E19" s="33" t="n">
        <v>3306</v>
      </c>
      <c r="F19" s="33" t="n">
        <v>330</v>
      </c>
      <c r="G19" s="35" t="n">
        <f aca="false">SUMIFS(Sales!$D$2:$D$6001,Sales!$B$2:$B$6001,A19,Sales!$C$2:$C$6001,B19,Sales!$A$2:$A$6001,"&gt;="&amp;(Assumptions!$B$4-7*Assumptions!$B$13+1))/Assumptions!$B$13</f>
        <v>220.25</v>
      </c>
      <c r="H19" s="35" t="n">
        <f aca="false">IFERROR(E19/G19,999)</f>
        <v>15.0102156640182</v>
      </c>
      <c r="I19" s="24" t="str">
        <f aca="false">IF(H19&lt;Assumptions!$B$9,"Stock-out risk",IF(H19&lt;Assumptions!$B$10,"Low",IF(H19&gt;Assumptions!$B$11,"Overstock","Healthy")))</f>
        <v>Overstock</v>
      </c>
      <c r="J19" s="33" t="n">
        <f aca="false">E19*INDEX(Products!$D$2:$D$49,MATCH(B19,Products!$A$2:$A$49,0))</f>
        <v>502512</v>
      </c>
      <c r="K19" s="24" t="str">
        <f aca="false">IF(E19&lt;=F19,"Yes","No")</f>
        <v>No</v>
      </c>
    </row>
    <row r="20" customFormat="false" ht="15" hidden="false" customHeight="false" outlineLevel="0" collapsed="false">
      <c r="A20" s="24" t="s">
        <v>61</v>
      </c>
      <c r="B20" s="24" t="s">
        <v>151</v>
      </c>
      <c r="C20" s="24" t="str">
        <f aca="false">INDEX(Products!$B$2:$B$49,MATCH(B20,Products!$A$2:$A$49,0))</f>
        <v>Mango Juice 1L</v>
      </c>
      <c r="D20" s="24" t="str">
        <f aca="false">INDEX(Products!$C$2:$C$49,MATCH(B20,Products!$A$2:$A$49,0))</f>
        <v>Beverages</v>
      </c>
      <c r="E20" s="33" t="n">
        <v>248</v>
      </c>
      <c r="F20" s="33" t="n">
        <v>216</v>
      </c>
      <c r="G20" s="35" t="n">
        <f aca="false">SUMIFS(Sales!$D$2:$D$6001,Sales!$B$2:$B$6001,A20,Sales!$C$2:$C$6001,B20,Sales!$A$2:$A$6001,"&gt;="&amp;(Assumptions!$B$4-7*Assumptions!$B$13+1))/Assumptions!$B$13</f>
        <v>143.75</v>
      </c>
      <c r="H20" s="35" t="n">
        <f aca="false">IFERROR(E20/G20,999)</f>
        <v>1.72521739130435</v>
      </c>
      <c r="I20" s="24" t="str">
        <f aca="false">IF(H20&lt;Assumptions!$B$9,"Stock-out risk",IF(H20&lt;Assumptions!$B$10,"Low",IF(H20&gt;Assumptions!$B$11,"Overstock","Healthy")))</f>
        <v>Low</v>
      </c>
      <c r="J20" s="33" t="n">
        <f aca="false">E20*INDEX(Products!$D$2:$D$49,MATCH(B20,Products!$A$2:$A$49,0))</f>
        <v>36952</v>
      </c>
      <c r="K20" s="24" t="str">
        <f aca="false">IF(E20&lt;=F20,"Yes","No")</f>
        <v>No</v>
      </c>
    </row>
    <row r="21" customFormat="false" ht="15" hidden="false" customHeight="false" outlineLevel="0" collapsed="false">
      <c r="A21" s="24" t="s">
        <v>61</v>
      </c>
      <c r="B21" s="24" t="s">
        <v>153</v>
      </c>
      <c r="C21" s="24" t="str">
        <f aca="false">INDEX(Products!$B$2:$B$49,MATCH(B21,Products!$A$2:$A$49,0))</f>
        <v>Bottled Water 1L</v>
      </c>
      <c r="D21" s="24" t="str">
        <f aca="false">INDEX(Products!$C$2:$C$49,MATCH(B21,Products!$A$2:$A$49,0))</f>
        <v>Beverages</v>
      </c>
      <c r="E21" s="33" t="n">
        <v>195</v>
      </c>
      <c r="F21" s="33" t="n">
        <v>113</v>
      </c>
      <c r="G21" s="35" t="n">
        <f aca="false">SUMIFS(Sales!$D$2:$D$6001,Sales!$B$2:$B$6001,A21,Sales!$C$2:$C$6001,B21,Sales!$A$2:$A$6001,"&gt;="&amp;(Assumptions!$B$4-7*Assumptions!$B$13+1))/Assumptions!$B$13</f>
        <v>75.375</v>
      </c>
      <c r="H21" s="35" t="n">
        <f aca="false">IFERROR(E21/G21,999)</f>
        <v>2.58706467661692</v>
      </c>
      <c r="I21" s="24" t="str">
        <f aca="false">IF(H21&lt;Assumptions!$B$9,"Stock-out risk",IF(H21&lt;Assumptions!$B$10,"Low",IF(H21&gt;Assumptions!$B$11,"Overstock","Healthy")))</f>
        <v>Healthy</v>
      </c>
      <c r="J21" s="33" t="n">
        <f aca="false">E21*INDEX(Products!$D$2:$D$49,MATCH(B21,Products!$A$2:$A$49,0))</f>
        <v>6825</v>
      </c>
      <c r="K21" s="24" t="str">
        <f aca="false">IF(E21&lt;=F21,"Yes","No")</f>
        <v>No</v>
      </c>
    </row>
    <row r="22" customFormat="false" ht="15" hidden="false" customHeight="false" outlineLevel="0" collapsed="false">
      <c r="A22" s="24" t="s">
        <v>61</v>
      </c>
      <c r="B22" s="24" t="s">
        <v>155</v>
      </c>
      <c r="C22" s="24" t="str">
        <f aca="false">INDEX(Products!$B$2:$B$49,MATCH(B22,Products!$A$2:$A$49,0))</f>
        <v>Bottled Water 500ml</v>
      </c>
      <c r="D22" s="24" t="str">
        <f aca="false">INDEX(Products!$C$2:$C$49,MATCH(B22,Products!$A$2:$A$49,0))</f>
        <v>Beverages</v>
      </c>
      <c r="E22" s="33" t="n">
        <v>1225</v>
      </c>
      <c r="F22" s="33" t="n">
        <v>226</v>
      </c>
      <c r="G22" s="35" t="n">
        <f aca="false">SUMIFS(Sales!$D$2:$D$6001,Sales!$B$2:$B$6001,A22,Sales!$C$2:$C$6001,B22,Sales!$A$2:$A$6001,"&gt;="&amp;(Assumptions!$B$4-7*Assumptions!$B$13+1))/Assumptions!$B$13</f>
        <v>150.75</v>
      </c>
      <c r="H22" s="35" t="n">
        <f aca="false">IFERROR(E22/G22,999)</f>
        <v>8.12603648424544</v>
      </c>
      <c r="I22" s="24" t="str">
        <f aca="false">IF(H22&lt;Assumptions!$B$9,"Stock-out risk",IF(H22&lt;Assumptions!$B$10,"Low",IF(H22&gt;Assumptions!$B$11,"Overstock","Healthy")))</f>
        <v>Overstock</v>
      </c>
      <c r="J22" s="33" t="n">
        <f aca="false">E22*INDEX(Products!$D$2:$D$49,MATCH(B22,Products!$A$2:$A$49,0))</f>
        <v>31850</v>
      </c>
      <c r="K22" s="24" t="str">
        <f aca="false">IF(E22&lt;=F22,"Yes","No")</f>
        <v>No</v>
      </c>
    </row>
    <row r="23" customFormat="false" ht="15" hidden="false" customHeight="false" outlineLevel="0" collapsed="false">
      <c r="A23" s="24" t="s">
        <v>61</v>
      </c>
      <c r="B23" s="24" t="s">
        <v>157</v>
      </c>
      <c r="C23" s="24" t="str">
        <f aca="false">INDEX(Products!$B$2:$B$49,MATCH(B23,Products!$A$2:$A$49,0))</f>
        <v>Energy Drink 300ml</v>
      </c>
      <c r="D23" s="24" t="str">
        <f aca="false">INDEX(Products!$C$2:$C$49,MATCH(B23,Products!$A$2:$A$49,0))</f>
        <v>Beverages</v>
      </c>
      <c r="E23" s="33" t="n">
        <v>653</v>
      </c>
      <c r="F23" s="33" t="n">
        <v>162</v>
      </c>
      <c r="G23" s="35" t="n">
        <f aca="false">SUMIFS(Sales!$D$2:$D$6001,Sales!$B$2:$B$6001,A23,Sales!$C$2:$C$6001,B23,Sales!$A$2:$A$6001,"&gt;="&amp;(Assumptions!$B$4-7*Assumptions!$B$13+1))/Assumptions!$B$13</f>
        <v>108</v>
      </c>
      <c r="H23" s="35" t="n">
        <f aca="false">IFERROR(E23/G23,999)</f>
        <v>6.0462962962963</v>
      </c>
      <c r="I23" s="24" t="str">
        <f aca="false">IF(H23&lt;Assumptions!$B$9,"Stock-out risk",IF(H23&lt;Assumptions!$B$10,"Low",IF(H23&gt;Assumptions!$B$11,"Overstock","Healthy")))</f>
        <v>Healthy</v>
      </c>
      <c r="J23" s="33" t="n">
        <f aca="false">E23*INDEX(Products!$D$2:$D$49,MATCH(B23,Products!$A$2:$A$49,0))</f>
        <v>57464</v>
      </c>
      <c r="K23" s="24" t="str">
        <f aca="false">IF(E23&lt;=F23,"Yes","No")</f>
        <v>No</v>
      </c>
    </row>
    <row r="24" customFormat="false" ht="15" hidden="false" customHeight="false" outlineLevel="0" collapsed="false">
      <c r="A24" s="24" t="s">
        <v>61</v>
      </c>
      <c r="B24" s="24" t="s">
        <v>159</v>
      </c>
      <c r="C24" s="24" t="str">
        <f aca="false">INDEX(Products!$B$2:$B$49,MATCH(B24,Products!$A$2:$A$49,0))</f>
        <v>Instant Coffee 100g</v>
      </c>
      <c r="D24" s="24" t="str">
        <f aca="false">INDEX(Products!$C$2:$C$49,MATCH(B24,Products!$A$2:$A$49,0))</f>
        <v>Beverages</v>
      </c>
      <c r="E24" s="33" t="n">
        <v>399</v>
      </c>
      <c r="F24" s="33" t="n">
        <v>165</v>
      </c>
      <c r="G24" s="35" t="n">
        <f aca="false">SUMIFS(Sales!$D$2:$D$6001,Sales!$B$2:$B$6001,A24,Sales!$C$2:$C$6001,B24,Sales!$A$2:$A$6001,"&gt;="&amp;(Assumptions!$B$4-7*Assumptions!$B$13+1))/Assumptions!$B$13</f>
        <v>109.75</v>
      </c>
      <c r="H24" s="35" t="n">
        <f aca="false">IFERROR(E24/G24,999)</f>
        <v>3.63553530751708</v>
      </c>
      <c r="I24" s="24" t="str">
        <f aca="false">IF(H24&lt;Assumptions!$B$9,"Stock-out risk",IF(H24&lt;Assumptions!$B$10,"Low",IF(H24&gt;Assumptions!$B$11,"Overstock","Healthy")))</f>
        <v>Healthy</v>
      </c>
      <c r="J24" s="33" t="n">
        <f aca="false">E24*INDEX(Products!$D$2:$D$49,MATCH(B24,Products!$A$2:$A$49,0))</f>
        <v>142842</v>
      </c>
      <c r="K24" s="24" t="str">
        <f aca="false">IF(E24&lt;=F24,"Yes","No")</f>
        <v>No</v>
      </c>
    </row>
    <row r="25" customFormat="false" ht="15" hidden="false" customHeight="false" outlineLevel="0" collapsed="false">
      <c r="A25" s="24" t="s">
        <v>61</v>
      </c>
      <c r="B25" s="24" t="s">
        <v>161</v>
      </c>
      <c r="C25" s="24" t="str">
        <f aca="false">INDEX(Products!$B$2:$B$49,MATCH(B25,Products!$A$2:$A$49,0))</f>
        <v>Drinking Chocolate 250g</v>
      </c>
      <c r="D25" s="24" t="str">
        <f aca="false">INDEX(Products!$C$2:$C$49,MATCH(B25,Products!$A$2:$A$49,0))</f>
        <v>Beverages</v>
      </c>
      <c r="E25" s="33" t="n">
        <v>430</v>
      </c>
      <c r="F25" s="33" t="n">
        <v>121</v>
      </c>
      <c r="G25" s="35" t="n">
        <f aca="false">SUMIFS(Sales!$D$2:$D$6001,Sales!$B$2:$B$6001,A25,Sales!$C$2:$C$6001,B25,Sales!$A$2:$A$6001,"&gt;="&amp;(Assumptions!$B$4-7*Assumptions!$B$13+1))/Assumptions!$B$13</f>
        <v>80.625</v>
      </c>
      <c r="H25" s="35" t="n">
        <f aca="false">IFERROR(E25/G25,999)</f>
        <v>5.33333333333333</v>
      </c>
      <c r="I25" s="24" t="str">
        <f aca="false">IF(H25&lt;Assumptions!$B$9,"Stock-out risk",IF(H25&lt;Assumptions!$B$10,"Low",IF(H25&gt;Assumptions!$B$11,"Overstock","Healthy")))</f>
        <v>Healthy</v>
      </c>
      <c r="J25" s="33" t="n">
        <f aca="false">E25*INDEX(Products!$D$2:$D$49,MATCH(B25,Products!$A$2:$A$49,0))</f>
        <v>130290</v>
      </c>
      <c r="K25" s="24" t="str">
        <f aca="false">IF(E25&lt;=F25,"Yes","No")</f>
        <v>No</v>
      </c>
    </row>
    <row r="26" customFormat="false" ht="15" hidden="false" customHeight="false" outlineLevel="0" collapsed="false">
      <c r="A26" s="24" t="s">
        <v>61</v>
      </c>
      <c r="B26" s="24" t="s">
        <v>163</v>
      </c>
      <c r="C26" s="24" t="str">
        <f aca="false">INDEX(Products!$B$2:$B$49,MATCH(B26,Products!$A$2:$A$49,0))</f>
        <v>Laundry Detergent 1kg</v>
      </c>
      <c r="D26" s="24" t="str">
        <f aca="false">INDEX(Products!$C$2:$C$49,MATCH(B26,Products!$A$2:$A$49,0))</f>
        <v>Household</v>
      </c>
      <c r="E26" s="33" t="n">
        <v>322</v>
      </c>
      <c r="F26" s="33" t="n">
        <v>89</v>
      </c>
      <c r="G26" s="35" t="n">
        <f aca="false">SUMIFS(Sales!$D$2:$D$6001,Sales!$B$2:$B$6001,A26,Sales!$C$2:$C$6001,B26,Sales!$A$2:$A$6001,"&gt;="&amp;(Assumptions!$B$4-7*Assumptions!$B$13+1))/Assumptions!$B$13</f>
        <v>59.375</v>
      </c>
      <c r="H26" s="35" t="n">
        <f aca="false">IFERROR(E26/G26,999)</f>
        <v>5.42315789473684</v>
      </c>
      <c r="I26" s="24" t="str">
        <f aca="false">IF(H26&lt;Assumptions!$B$9,"Stock-out risk",IF(H26&lt;Assumptions!$B$10,"Low",IF(H26&gt;Assumptions!$B$11,"Overstock","Healthy")))</f>
        <v>Healthy</v>
      </c>
      <c r="J26" s="33" t="n">
        <f aca="false">E26*INDEX(Products!$D$2:$D$49,MATCH(B26,Products!$A$2:$A$49,0))</f>
        <v>73738</v>
      </c>
      <c r="K26" s="24" t="str">
        <f aca="false">IF(E26&lt;=F26,"Yes","No")</f>
        <v>No</v>
      </c>
    </row>
    <row r="27" customFormat="false" ht="15" hidden="false" customHeight="false" outlineLevel="0" collapsed="false">
      <c r="A27" s="24" t="s">
        <v>61</v>
      </c>
      <c r="B27" s="24" t="s">
        <v>165</v>
      </c>
      <c r="C27" s="24" t="str">
        <f aca="false">INDEX(Products!$B$2:$B$49,MATCH(B27,Products!$A$2:$A$49,0))</f>
        <v>Dish Soap 750ml</v>
      </c>
      <c r="D27" s="24" t="str">
        <f aca="false">INDEX(Products!$C$2:$C$49,MATCH(B27,Products!$A$2:$A$49,0))</f>
        <v>Household</v>
      </c>
      <c r="E27" s="33" t="n">
        <v>65</v>
      </c>
      <c r="F27" s="33" t="n">
        <v>84</v>
      </c>
      <c r="G27" s="35" t="n">
        <f aca="false">SUMIFS(Sales!$D$2:$D$6001,Sales!$B$2:$B$6001,A27,Sales!$C$2:$C$6001,B27,Sales!$A$2:$A$6001,"&gt;="&amp;(Assumptions!$B$4-7*Assumptions!$B$13+1))/Assumptions!$B$13</f>
        <v>55.875</v>
      </c>
      <c r="H27" s="35" t="n">
        <f aca="false">IFERROR(E27/G27,999)</f>
        <v>1.16331096196868</v>
      </c>
      <c r="I27" s="24" t="str">
        <f aca="false">IF(H27&lt;Assumptions!$B$9,"Stock-out risk",IF(H27&lt;Assumptions!$B$10,"Low",IF(H27&gt;Assumptions!$B$11,"Overstock","Healthy")))</f>
        <v>Low</v>
      </c>
      <c r="J27" s="33" t="n">
        <f aca="false">E27*INDEX(Products!$D$2:$D$49,MATCH(B27,Products!$A$2:$A$49,0))</f>
        <v>8905</v>
      </c>
      <c r="K27" s="24" t="str">
        <f aca="false">IF(E27&lt;=F27,"Yes","No")</f>
        <v>Yes</v>
      </c>
    </row>
    <row r="28" customFormat="false" ht="15" hidden="false" customHeight="false" outlineLevel="0" collapsed="false">
      <c r="A28" s="24" t="s">
        <v>61</v>
      </c>
      <c r="B28" s="24" t="s">
        <v>167</v>
      </c>
      <c r="C28" s="24" t="str">
        <f aca="false">INDEX(Products!$B$2:$B$49,MATCH(B28,Products!$A$2:$A$49,0))</f>
        <v>Bar Soap 800g</v>
      </c>
      <c r="D28" s="24" t="str">
        <f aca="false">INDEX(Products!$C$2:$C$49,MATCH(B28,Products!$A$2:$A$49,0))</f>
        <v>Household</v>
      </c>
      <c r="E28" s="33" t="n">
        <v>189</v>
      </c>
      <c r="F28" s="33" t="n">
        <v>69</v>
      </c>
      <c r="G28" s="35" t="n">
        <f aca="false">SUMIFS(Sales!$D$2:$D$6001,Sales!$B$2:$B$6001,A28,Sales!$C$2:$C$6001,B28,Sales!$A$2:$A$6001,"&gt;="&amp;(Assumptions!$B$4-7*Assumptions!$B$13+1))/Assumptions!$B$13</f>
        <v>46.25</v>
      </c>
      <c r="H28" s="35" t="n">
        <f aca="false">IFERROR(E28/G28,999)</f>
        <v>4.08648648648649</v>
      </c>
      <c r="I28" s="24" t="str">
        <f aca="false">IF(H28&lt;Assumptions!$B$9,"Stock-out risk",IF(H28&lt;Assumptions!$B$10,"Low",IF(H28&gt;Assumptions!$B$11,"Overstock","Healthy")))</f>
        <v>Healthy</v>
      </c>
      <c r="J28" s="33" t="n">
        <f aca="false">E28*INDEX(Products!$D$2:$D$49,MATCH(B28,Products!$A$2:$A$49,0))</f>
        <v>21168</v>
      </c>
      <c r="K28" s="24" t="str">
        <f aca="false">IF(E28&lt;=F28,"Yes","No")</f>
        <v>No</v>
      </c>
    </row>
    <row r="29" customFormat="false" ht="15" hidden="false" customHeight="false" outlineLevel="0" collapsed="false">
      <c r="A29" s="24" t="s">
        <v>61</v>
      </c>
      <c r="B29" s="24" t="s">
        <v>169</v>
      </c>
      <c r="C29" s="24" t="str">
        <f aca="false">INDEX(Products!$B$2:$B$49,MATCH(B29,Products!$A$2:$A$49,0))</f>
        <v>Toilet Paper 10 Pack</v>
      </c>
      <c r="D29" s="24" t="str">
        <f aca="false">INDEX(Products!$C$2:$C$49,MATCH(B29,Products!$A$2:$A$49,0))</f>
        <v>Household</v>
      </c>
      <c r="E29" s="33" t="n">
        <v>60</v>
      </c>
      <c r="F29" s="33" t="n">
        <v>38</v>
      </c>
      <c r="G29" s="35" t="n">
        <f aca="false">SUMIFS(Sales!$D$2:$D$6001,Sales!$B$2:$B$6001,A29,Sales!$C$2:$C$6001,B29,Sales!$A$2:$A$6001,"&gt;="&amp;(Assumptions!$B$4-7*Assumptions!$B$13+1))/Assumptions!$B$13</f>
        <v>25.625</v>
      </c>
      <c r="H29" s="35" t="n">
        <f aca="false">IFERROR(E29/G29,999)</f>
        <v>2.34146341463415</v>
      </c>
      <c r="I29" s="24" t="str">
        <f aca="false">IF(H29&lt;Assumptions!$B$9,"Stock-out risk",IF(H29&lt;Assumptions!$B$10,"Low",IF(H29&gt;Assumptions!$B$11,"Overstock","Healthy")))</f>
        <v>Healthy</v>
      </c>
      <c r="J29" s="33" t="n">
        <f aca="false">E29*INDEX(Products!$D$2:$D$49,MATCH(B29,Products!$A$2:$A$49,0))</f>
        <v>18840</v>
      </c>
      <c r="K29" s="24" t="str">
        <f aca="false">IF(E29&lt;=F29,"Yes","No")</f>
        <v>No</v>
      </c>
    </row>
    <row r="30" customFormat="false" ht="15" hidden="false" customHeight="false" outlineLevel="0" collapsed="false">
      <c r="A30" s="24" t="s">
        <v>61</v>
      </c>
      <c r="B30" s="24" t="s">
        <v>171</v>
      </c>
      <c r="C30" s="24" t="str">
        <f aca="false">INDEX(Products!$B$2:$B$49,MATCH(B30,Products!$A$2:$A$49,0))</f>
        <v>Bleach 750ml</v>
      </c>
      <c r="D30" s="24" t="str">
        <f aca="false">INDEX(Products!$C$2:$C$49,MATCH(B30,Products!$A$2:$A$49,0))</f>
        <v>Household</v>
      </c>
      <c r="E30" s="33" t="n">
        <v>65</v>
      </c>
      <c r="F30" s="33" t="n">
        <v>35</v>
      </c>
      <c r="G30" s="35" t="n">
        <f aca="false">SUMIFS(Sales!$D$2:$D$6001,Sales!$B$2:$B$6001,A30,Sales!$C$2:$C$6001,B30,Sales!$A$2:$A$6001,"&gt;="&amp;(Assumptions!$B$4-7*Assumptions!$B$13+1))/Assumptions!$B$13</f>
        <v>23.625</v>
      </c>
      <c r="H30" s="35" t="n">
        <f aca="false">IFERROR(E30/G30,999)</f>
        <v>2.75132275132275</v>
      </c>
      <c r="I30" s="24" t="str">
        <f aca="false">IF(H30&lt;Assumptions!$B$9,"Stock-out risk",IF(H30&lt;Assumptions!$B$10,"Low",IF(H30&gt;Assumptions!$B$11,"Overstock","Healthy")))</f>
        <v>Healthy</v>
      </c>
      <c r="J30" s="33" t="n">
        <f aca="false">E30*INDEX(Products!$D$2:$D$49,MATCH(B30,Products!$A$2:$A$49,0))</f>
        <v>7540</v>
      </c>
      <c r="K30" s="24" t="str">
        <f aca="false">IF(E30&lt;=F30,"Yes","No")</f>
        <v>No</v>
      </c>
    </row>
    <row r="31" customFormat="false" ht="15" hidden="false" customHeight="false" outlineLevel="0" collapsed="false">
      <c r="A31" s="24" t="s">
        <v>61</v>
      </c>
      <c r="B31" s="24" t="s">
        <v>173</v>
      </c>
      <c r="C31" s="24" t="str">
        <f aca="false">INDEX(Products!$B$2:$B$49,MATCH(B31,Products!$A$2:$A$49,0))</f>
        <v>Floor Cleaner 1L</v>
      </c>
      <c r="D31" s="24" t="str">
        <f aca="false">INDEX(Products!$C$2:$C$49,MATCH(B31,Products!$A$2:$A$49,0))</f>
        <v>Household</v>
      </c>
      <c r="E31" s="33" t="n">
        <v>364</v>
      </c>
      <c r="F31" s="33" t="n">
        <v>54</v>
      </c>
      <c r="G31" s="35" t="n">
        <f aca="false">SUMIFS(Sales!$D$2:$D$6001,Sales!$B$2:$B$6001,A31,Sales!$C$2:$C$6001,B31,Sales!$A$2:$A$6001,"&gt;="&amp;(Assumptions!$B$4-7*Assumptions!$B$13+1))/Assumptions!$B$13</f>
        <v>35.875</v>
      </c>
      <c r="H31" s="35" t="n">
        <f aca="false">IFERROR(E31/G31,999)</f>
        <v>10.1463414634146</v>
      </c>
      <c r="I31" s="24" t="str">
        <f aca="false">IF(H31&lt;Assumptions!$B$9,"Stock-out risk",IF(H31&lt;Assumptions!$B$10,"Low",IF(H31&gt;Assumptions!$B$11,"Overstock","Healthy")))</f>
        <v>Overstock</v>
      </c>
      <c r="J31" s="33" t="n">
        <f aca="false">E31*INDEX(Products!$D$2:$D$49,MATCH(B31,Products!$A$2:$A$49,0))</f>
        <v>72072</v>
      </c>
      <c r="K31" s="24" t="str">
        <f aca="false">IF(E31&lt;=F31,"Yes","No")</f>
        <v>No</v>
      </c>
    </row>
    <row r="32" customFormat="false" ht="15" hidden="false" customHeight="false" outlineLevel="0" collapsed="false">
      <c r="A32" s="24" t="s">
        <v>61</v>
      </c>
      <c r="B32" s="24" t="s">
        <v>175</v>
      </c>
      <c r="C32" s="24" t="str">
        <f aca="false">INDEX(Products!$B$2:$B$49,MATCH(B32,Products!$A$2:$A$49,0))</f>
        <v>Matchbox 10 Pack</v>
      </c>
      <c r="D32" s="24" t="str">
        <f aca="false">INDEX(Products!$C$2:$C$49,MATCH(B32,Products!$A$2:$A$49,0))</f>
        <v>Household</v>
      </c>
      <c r="E32" s="33" t="n">
        <v>230</v>
      </c>
      <c r="F32" s="33" t="n">
        <v>134</v>
      </c>
      <c r="G32" s="35" t="n">
        <f aca="false">SUMIFS(Sales!$D$2:$D$6001,Sales!$B$2:$B$6001,A32,Sales!$C$2:$C$6001,B32,Sales!$A$2:$A$6001,"&gt;="&amp;(Assumptions!$B$4-7*Assumptions!$B$13+1))/Assumptions!$B$13</f>
        <v>89.625</v>
      </c>
      <c r="H32" s="35" t="n">
        <f aca="false">IFERROR(E32/G32,999)</f>
        <v>2.56624825662483</v>
      </c>
      <c r="I32" s="24" t="str">
        <f aca="false">IF(H32&lt;Assumptions!$B$9,"Stock-out risk",IF(H32&lt;Assumptions!$B$10,"Low",IF(H32&gt;Assumptions!$B$11,"Overstock","Healthy")))</f>
        <v>Healthy</v>
      </c>
      <c r="J32" s="33" t="n">
        <f aca="false">E32*INDEX(Products!$D$2:$D$49,MATCH(B32,Products!$A$2:$A$49,0))</f>
        <v>10810</v>
      </c>
      <c r="K32" s="24" t="str">
        <f aca="false">IF(E32&lt;=F32,"Yes","No")</f>
        <v>No</v>
      </c>
    </row>
    <row r="33" customFormat="false" ht="15" hidden="false" customHeight="false" outlineLevel="0" collapsed="false">
      <c r="A33" s="24" t="s">
        <v>61</v>
      </c>
      <c r="B33" s="24" t="s">
        <v>177</v>
      </c>
      <c r="C33" s="24" t="str">
        <f aca="false">INDEX(Products!$B$2:$B$49,MATCH(B33,Products!$A$2:$A$49,0))</f>
        <v>Sponge Scourer 3 Pack</v>
      </c>
      <c r="D33" s="24" t="str">
        <f aca="false">INDEX(Products!$C$2:$C$49,MATCH(B33,Products!$A$2:$A$49,0))</f>
        <v>Household</v>
      </c>
      <c r="E33" s="33" t="n">
        <v>231</v>
      </c>
      <c r="F33" s="33" t="n">
        <v>63</v>
      </c>
      <c r="G33" s="35" t="n">
        <f aca="false">SUMIFS(Sales!$D$2:$D$6001,Sales!$B$2:$B$6001,A33,Sales!$C$2:$C$6001,B33,Sales!$A$2:$A$6001,"&gt;="&amp;(Assumptions!$B$4-7*Assumptions!$B$13+1))/Assumptions!$B$13</f>
        <v>42.25</v>
      </c>
      <c r="H33" s="35" t="n">
        <f aca="false">IFERROR(E33/G33,999)</f>
        <v>5.46745562130178</v>
      </c>
      <c r="I33" s="24" t="str">
        <f aca="false">IF(H33&lt;Assumptions!$B$9,"Stock-out risk",IF(H33&lt;Assumptions!$B$10,"Low",IF(H33&gt;Assumptions!$B$11,"Overstock","Healthy")))</f>
        <v>Healthy</v>
      </c>
      <c r="J33" s="33" t="n">
        <f aca="false">E33*INDEX(Products!$D$2:$D$49,MATCH(B33,Products!$A$2:$A$49,0))</f>
        <v>16170</v>
      </c>
      <c r="K33" s="24" t="str">
        <f aca="false">IF(E33&lt;=F33,"Yes","No")</f>
        <v>No</v>
      </c>
    </row>
    <row r="34" customFormat="false" ht="15" hidden="false" customHeight="false" outlineLevel="0" collapsed="false">
      <c r="A34" s="24" t="s">
        <v>61</v>
      </c>
      <c r="B34" s="24" t="s">
        <v>179</v>
      </c>
      <c r="C34" s="24" t="str">
        <f aca="false">INDEX(Products!$B$2:$B$49,MATCH(B34,Products!$A$2:$A$49,0))</f>
        <v>Toothpaste 100ml</v>
      </c>
      <c r="D34" s="24" t="str">
        <f aca="false">INDEX(Products!$C$2:$C$49,MATCH(B34,Products!$A$2:$A$49,0))</f>
        <v>Personal Care</v>
      </c>
      <c r="E34" s="33" t="n">
        <v>63</v>
      </c>
      <c r="F34" s="33" t="n">
        <v>30</v>
      </c>
      <c r="G34" s="35" t="n">
        <f aca="false">SUMIFS(Sales!$D$2:$D$6001,Sales!$B$2:$B$6001,A34,Sales!$C$2:$C$6001,B34,Sales!$A$2:$A$6001,"&gt;="&amp;(Assumptions!$B$4-7*Assumptions!$B$13+1))/Assumptions!$B$13</f>
        <v>20.125</v>
      </c>
      <c r="H34" s="35" t="n">
        <f aca="false">IFERROR(E34/G34,999)</f>
        <v>3.1304347826087</v>
      </c>
      <c r="I34" s="24" t="str">
        <f aca="false">IF(H34&lt;Assumptions!$B$9,"Stock-out risk",IF(H34&lt;Assumptions!$B$10,"Low",IF(H34&gt;Assumptions!$B$11,"Overstock","Healthy")))</f>
        <v>Healthy</v>
      </c>
      <c r="J34" s="33" t="n">
        <f aca="false">E34*INDEX(Products!$D$2:$D$49,MATCH(B34,Products!$A$2:$A$49,0))</f>
        <v>7560</v>
      </c>
      <c r="K34" s="24" t="str">
        <f aca="false">IF(E34&lt;=F34,"Yes","No")</f>
        <v>No</v>
      </c>
    </row>
    <row r="35" customFormat="false" ht="15" hidden="false" customHeight="false" outlineLevel="0" collapsed="false">
      <c r="A35" s="24" t="s">
        <v>61</v>
      </c>
      <c r="B35" s="24" t="s">
        <v>181</v>
      </c>
      <c r="C35" s="24" t="str">
        <f aca="false">INDEX(Products!$B$2:$B$49,MATCH(B35,Products!$A$2:$A$49,0))</f>
        <v>Body Lotion 400ml</v>
      </c>
      <c r="D35" s="24" t="str">
        <f aca="false">INDEX(Products!$C$2:$C$49,MATCH(B35,Products!$A$2:$A$49,0))</f>
        <v>Personal Care</v>
      </c>
      <c r="E35" s="33" t="n">
        <v>209</v>
      </c>
      <c r="F35" s="33" t="n">
        <v>132</v>
      </c>
      <c r="G35" s="35" t="n">
        <f aca="false">SUMIFS(Sales!$D$2:$D$6001,Sales!$B$2:$B$6001,A35,Sales!$C$2:$C$6001,B35,Sales!$A$2:$A$6001,"&gt;="&amp;(Assumptions!$B$4-7*Assumptions!$B$13+1))/Assumptions!$B$13</f>
        <v>88.25</v>
      </c>
      <c r="H35" s="35" t="n">
        <f aca="false">IFERROR(E35/G35,999)</f>
        <v>2.36827195467422</v>
      </c>
      <c r="I35" s="24" t="str">
        <f aca="false">IF(H35&lt;Assumptions!$B$9,"Stock-out risk",IF(H35&lt;Assumptions!$B$10,"Low",IF(H35&gt;Assumptions!$B$11,"Overstock","Healthy")))</f>
        <v>Healthy</v>
      </c>
      <c r="J35" s="33" t="n">
        <f aca="false">E35*INDEX(Products!$D$2:$D$49,MATCH(B35,Products!$A$2:$A$49,0))</f>
        <v>51623</v>
      </c>
      <c r="K35" s="24" t="str">
        <f aca="false">IF(E35&lt;=F35,"Yes","No")</f>
        <v>No</v>
      </c>
    </row>
    <row r="36" customFormat="false" ht="15" hidden="false" customHeight="false" outlineLevel="0" collapsed="false">
      <c r="A36" s="24" t="s">
        <v>61</v>
      </c>
      <c r="B36" s="24" t="s">
        <v>183</v>
      </c>
      <c r="C36" s="24" t="str">
        <f aca="false">INDEX(Products!$B$2:$B$49,MATCH(B36,Products!$A$2:$A$49,0))</f>
        <v>Shower Gel 400ml</v>
      </c>
      <c r="D36" s="24" t="str">
        <f aca="false">INDEX(Products!$C$2:$C$49,MATCH(B36,Products!$A$2:$A$49,0))</f>
        <v>Personal Care</v>
      </c>
      <c r="E36" s="33" t="n">
        <v>90</v>
      </c>
      <c r="F36" s="33" t="n">
        <v>68</v>
      </c>
      <c r="G36" s="35" t="n">
        <f aca="false">SUMIFS(Sales!$D$2:$D$6001,Sales!$B$2:$B$6001,A36,Sales!$C$2:$C$6001,B36,Sales!$A$2:$A$6001,"&gt;="&amp;(Assumptions!$B$4-7*Assumptions!$B$13+1))/Assumptions!$B$13</f>
        <v>45.5</v>
      </c>
      <c r="H36" s="35" t="n">
        <f aca="false">IFERROR(E36/G36,999)</f>
        <v>1.97802197802198</v>
      </c>
      <c r="I36" s="24" t="str">
        <f aca="false">IF(H36&lt;Assumptions!$B$9,"Stock-out risk",IF(H36&lt;Assumptions!$B$10,"Low",IF(H36&gt;Assumptions!$B$11,"Overstock","Healthy")))</f>
        <v>Low</v>
      </c>
      <c r="J36" s="33" t="n">
        <f aca="false">E36*INDEX(Products!$D$2:$D$49,MATCH(B36,Products!$A$2:$A$49,0))</f>
        <v>18720</v>
      </c>
      <c r="K36" s="24" t="str">
        <f aca="false">IF(E36&lt;=F36,"Yes","No")</f>
        <v>No</v>
      </c>
    </row>
    <row r="37" customFormat="false" ht="15" hidden="false" customHeight="false" outlineLevel="0" collapsed="false">
      <c r="A37" s="24" t="s">
        <v>61</v>
      </c>
      <c r="B37" s="24" t="s">
        <v>185</v>
      </c>
      <c r="C37" s="24" t="str">
        <f aca="false">INDEX(Products!$B$2:$B$49,MATCH(B37,Products!$A$2:$A$49,0))</f>
        <v>Deodorant Roll-on</v>
      </c>
      <c r="D37" s="24" t="str">
        <f aca="false">INDEX(Products!$C$2:$C$49,MATCH(B37,Products!$A$2:$A$49,0))</f>
        <v>Personal Care</v>
      </c>
      <c r="E37" s="33" t="n">
        <v>125</v>
      </c>
      <c r="F37" s="33" t="n">
        <v>189</v>
      </c>
      <c r="G37" s="35" t="n">
        <f aca="false">SUMIFS(Sales!$D$2:$D$6001,Sales!$B$2:$B$6001,A37,Sales!$C$2:$C$6001,B37,Sales!$A$2:$A$6001,"&gt;="&amp;(Assumptions!$B$4-7*Assumptions!$B$13+1))/Assumptions!$B$13</f>
        <v>126.25</v>
      </c>
      <c r="H37" s="35" t="n">
        <f aca="false">IFERROR(E37/G37,999)</f>
        <v>0.99009900990099</v>
      </c>
      <c r="I37" s="24" t="str">
        <f aca="false">IF(H37&lt;Assumptions!$B$9,"Stock-out risk",IF(H37&lt;Assumptions!$B$10,"Low",IF(H37&gt;Assumptions!$B$11,"Overstock","Healthy")))</f>
        <v>Stock-out risk</v>
      </c>
      <c r="J37" s="33" t="n">
        <f aca="false">E37*INDEX(Products!$D$2:$D$49,MATCH(B37,Products!$A$2:$A$49,0))</f>
        <v>24375</v>
      </c>
      <c r="K37" s="24" t="str">
        <f aca="false">IF(E37&lt;=F37,"Yes","No")</f>
        <v>Yes</v>
      </c>
    </row>
    <row r="38" customFormat="false" ht="15" hidden="false" customHeight="false" outlineLevel="0" collapsed="false">
      <c r="A38" s="24" t="s">
        <v>61</v>
      </c>
      <c r="B38" s="24" t="s">
        <v>187</v>
      </c>
      <c r="C38" s="24" t="str">
        <f aca="false">INDEX(Products!$B$2:$B$49,MATCH(B38,Products!$A$2:$A$49,0))</f>
        <v>Sanitary Pads 8 Pack</v>
      </c>
      <c r="D38" s="24" t="str">
        <f aca="false">INDEX(Products!$C$2:$C$49,MATCH(B38,Products!$A$2:$A$49,0))</f>
        <v>Personal Care</v>
      </c>
      <c r="E38" s="33" t="n">
        <v>103</v>
      </c>
      <c r="F38" s="33" t="n">
        <v>57</v>
      </c>
      <c r="G38" s="35" t="n">
        <f aca="false">SUMIFS(Sales!$D$2:$D$6001,Sales!$B$2:$B$6001,A38,Sales!$C$2:$C$6001,B38,Sales!$A$2:$A$6001,"&gt;="&amp;(Assumptions!$B$4-7*Assumptions!$B$13+1))/Assumptions!$B$13</f>
        <v>37.75</v>
      </c>
      <c r="H38" s="35" t="n">
        <f aca="false">IFERROR(E38/G38,999)</f>
        <v>2.72847682119205</v>
      </c>
      <c r="I38" s="24" t="str">
        <f aca="false">IF(H38&lt;Assumptions!$B$9,"Stock-out risk",IF(H38&lt;Assumptions!$B$10,"Low",IF(H38&gt;Assumptions!$B$11,"Overstock","Healthy")))</f>
        <v>Healthy</v>
      </c>
      <c r="J38" s="33" t="n">
        <f aca="false">E38*INDEX(Products!$D$2:$D$49,MATCH(B38,Products!$A$2:$A$49,0))</f>
        <v>11742</v>
      </c>
      <c r="K38" s="24" t="str">
        <f aca="false">IF(E38&lt;=F38,"Yes","No")</f>
        <v>No</v>
      </c>
    </row>
    <row r="39" customFormat="false" ht="15" hidden="false" customHeight="false" outlineLevel="0" collapsed="false">
      <c r="A39" s="24" t="s">
        <v>61</v>
      </c>
      <c r="B39" s="24" t="s">
        <v>189</v>
      </c>
      <c r="C39" s="24" t="str">
        <f aca="false">INDEX(Products!$B$2:$B$49,MATCH(B39,Products!$A$2:$A$49,0))</f>
        <v>Shampoo 400ml</v>
      </c>
      <c r="D39" s="24" t="str">
        <f aca="false">INDEX(Products!$C$2:$C$49,MATCH(B39,Products!$A$2:$A$49,0))</f>
        <v>Personal Care</v>
      </c>
      <c r="E39" s="33" t="n">
        <v>74</v>
      </c>
      <c r="F39" s="33" t="n">
        <v>44</v>
      </c>
      <c r="G39" s="35" t="n">
        <f aca="false">SUMIFS(Sales!$D$2:$D$6001,Sales!$B$2:$B$6001,A39,Sales!$C$2:$C$6001,B39,Sales!$A$2:$A$6001,"&gt;="&amp;(Assumptions!$B$4-7*Assumptions!$B$13+1))/Assumptions!$B$13</f>
        <v>29.375</v>
      </c>
      <c r="H39" s="35" t="n">
        <f aca="false">IFERROR(E39/G39,999)</f>
        <v>2.51914893617021</v>
      </c>
      <c r="I39" s="24" t="str">
        <f aca="false">IF(H39&lt;Assumptions!$B$9,"Stock-out risk",IF(H39&lt;Assumptions!$B$10,"Low",IF(H39&gt;Assumptions!$B$11,"Overstock","Healthy")))</f>
        <v>Healthy</v>
      </c>
      <c r="J39" s="33" t="n">
        <f aca="false">E39*INDEX(Products!$D$2:$D$49,MATCH(B39,Products!$A$2:$A$49,0))</f>
        <v>17242</v>
      </c>
      <c r="K39" s="24" t="str">
        <f aca="false">IF(E39&lt;=F39,"Yes","No")</f>
        <v>No</v>
      </c>
    </row>
    <row r="40" customFormat="false" ht="15" hidden="false" customHeight="false" outlineLevel="0" collapsed="false">
      <c r="A40" s="24" t="s">
        <v>61</v>
      </c>
      <c r="B40" s="24" t="s">
        <v>191</v>
      </c>
      <c r="C40" s="24" t="str">
        <f aca="false">INDEX(Products!$B$2:$B$49,MATCH(B40,Products!$A$2:$A$49,0))</f>
        <v>Petroleum Jelly 250g</v>
      </c>
      <c r="D40" s="24" t="str">
        <f aca="false">INDEX(Products!$C$2:$C$49,MATCH(B40,Products!$A$2:$A$49,0))</f>
        <v>Personal Care</v>
      </c>
      <c r="E40" s="33" t="n">
        <v>54</v>
      </c>
      <c r="F40" s="33" t="n">
        <v>26</v>
      </c>
      <c r="G40" s="35" t="n">
        <f aca="false">SUMIFS(Sales!$D$2:$D$6001,Sales!$B$2:$B$6001,A40,Sales!$C$2:$C$6001,B40,Sales!$A$2:$A$6001,"&gt;="&amp;(Assumptions!$B$4-7*Assumptions!$B$13+1))/Assumptions!$B$13</f>
        <v>17.5</v>
      </c>
      <c r="H40" s="35" t="n">
        <f aca="false">IFERROR(E40/G40,999)</f>
        <v>3.08571428571429</v>
      </c>
      <c r="I40" s="24" t="str">
        <f aca="false">IF(H40&lt;Assumptions!$B$9,"Stock-out risk",IF(H40&lt;Assumptions!$B$10,"Low",IF(H40&gt;Assumptions!$B$11,"Overstock","Healthy")))</f>
        <v>Healthy</v>
      </c>
      <c r="J40" s="33" t="n">
        <f aca="false">E40*INDEX(Products!$D$2:$D$49,MATCH(B40,Products!$A$2:$A$49,0))</f>
        <v>6966</v>
      </c>
      <c r="K40" s="24" t="str">
        <f aca="false">IF(E40&lt;=F40,"Yes","No")</f>
        <v>No</v>
      </c>
    </row>
    <row r="41" customFormat="false" ht="15" hidden="false" customHeight="false" outlineLevel="0" collapsed="false">
      <c r="A41" s="24" t="s">
        <v>61</v>
      </c>
      <c r="B41" s="24" t="s">
        <v>193</v>
      </c>
      <c r="C41" s="24" t="str">
        <f aca="false">INDEX(Products!$B$2:$B$49,MATCH(B41,Products!$A$2:$A$49,0))</f>
        <v>Hand Wash 500ml</v>
      </c>
      <c r="D41" s="24" t="str">
        <f aca="false">INDEX(Products!$C$2:$C$49,MATCH(B41,Products!$A$2:$A$49,0))</f>
        <v>Personal Care</v>
      </c>
      <c r="E41" s="33" t="n">
        <v>119</v>
      </c>
      <c r="F41" s="33" t="n">
        <v>122</v>
      </c>
      <c r="G41" s="35" t="n">
        <f aca="false">SUMIFS(Sales!$D$2:$D$6001,Sales!$B$2:$B$6001,A41,Sales!$C$2:$C$6001,B41,Sales!$A$2:$A$6001,"&gt;="&amp;(Assumptions!$B$4-7*Assumptions!$B$13+1))/Assumptions!$B$13</f>
        <v>81.375</v>
      </c>
      <c r="H41" s="35" t="n">
        <f aca="false">IFERROR(E41/G41,999)</f>
        <v>1.46236559139785</v>
      </c>
      <c r="I41" s="24" t="str">
        <f aca="false">IF(H41&lt;Assumptions!$B$9,"Stock-out risk",IF(H41&lt;Assumptions!$B$10,"Low",IF(H41&gt;Assumptions!$B$11,"Overstock","Healthy")))</f>
        <v>Low</v>
      </c>
      <c r="J41" s="33" t="n">
        <f aca="false">E41*INDEX(Products!$D$2:$D$49,MATCH(B41,Products!$A$2:$A$49,0))</f>
        <v>18802</v>
      </c>
      <c r="K41" s="24" t="str">
        <f aca="false">IF(E41&lt;=F41,"Yes","No")</f>
        <v>Yes</v>
      </c>
    </row>
    <row r="42" customFormat="false" ht="15" hidden="false" customHeight="false" outlineLevel="0" collapsed="false">
      <c r="A42" s="24" t="s">
        <v>61</v>
      </c>
      <c r="B42" s="24" t="s">
        <v>195</v>
      </c>
      <c r="C42" s="24" t="str">
        <f aca="false">INDEX(Products!$B$2:$B$49,MATCH(B42,Products!$A$2:$A$49,0))</f>
        <v>Biscuits 200g</v>
      </c>
      <c r="D42" s="24" t="str">
        <f aca="false">INDEX(Products!$C$2:$C$49,MATCH(B42,Products!$A$2:$A$49,0))</f>
        <v>Snacks &amp; Confectionery</v>
      </c>
      <c r="E42" s="33" t="n">
        <v>1120</v>
      </c>
      <c r="F42" s="33" t="n">
        <v>708</v>
      </c>
      <c r="G42" s="35" t="n">
        <f aca="false">SUMIFS(Sales!$D$2:$D$6001,Sales!$B$2:$B$6001,A42,Sales!$C$2:$C$6001,B42,Sales!$A$2:$A$6001,"&gt;="&amp;(Assumptions!$B$4-7*Assumptions!$B$13+1))/Assumptions!$B$13</f>
        <v>472.25</v>
      </c>
      <c r="H42" s="35" t="n">
        <f aca="false">IFERROR(E42/G42,999)</f>
        <v>2.37162519851773</v>
      </c>
      <c r="I42" s="24" t="str">
        <f aca="false">IF(H42&lt;Assumptions!$B$9,"Stock-out risk",IF(H42&lt;Assumptions!$B$10,"Low",IF(H42&gt;Assumptions!$B$11,"Overstock","Healthy")))</f>
        <v>Healthy</v>
      </c>
      <c r="J42" s="33" t="n">
        <f aca="false">E42*INDEX(Products!$D$2:$D$49,MATCH(B42,Products!$A$2:$A$49,0))</f>
        <v>82880</v>
      </c>
      <c r="K42" s="24" t="str">
        <f aca="false">IF(E42&lt;=F42,"Yes","No")</f>
        <v>No</v>
      </c>
    </row>
    <row r="43" customFormat="false" ht="15" hidden="false" customHeight="false" outlineLevel="0" collapsed="false">
      <c r="A43" s="24" t="s">
        <v>61</v>
      </c>
      <c r="B43" s="24" t="s">
        <v>197</v>
      </c>
      <c r="C43" s="24" t="str">
        <f aca="false">INDEX(Products!$B$2:$B$49,MATCH(B43,Products!$A$2:$A$49,0))</f>
        <v>Potato Crisps 100g</v>
      </c>
      <c r="D43" s="24" t="str">
        <f aca="false">INDEX(Products!$C$2:$C$49,MATCH(B43,Products!$A$2:$A$49,0))</f>
        <v>Snacks &amp; Confectionery</v>
      </c>
      <c r="E43" s="33" t="n">
        <v>108</v>
      </c>
      <c r="F43" s="33" t="n">
        <v>112</v>
      </c>
      <c r="G43" s="35" t="n">
        <f aca="false">SUMIFS(Sales!$D$2:$D$6001,Sales!$B$2:$B$6001,A43,Sales!$C$2:$C$6001,B43,Sales!$A$2:$A$6001,"&gt;="&amp;(Assumptions!$B$4-7*Assumptions!$B$13+1))/Assumptions!$B$13</f>
        <v>75</v>
      </c>
      <c r="H43" s="35" t="n">
        <f aca="false">IFERROR(E43/G43,999)</f>
        <v>1.44</v>
      </c>
      <c r="I43" s="24" t="str">
        <f aca="false">IF(H43&lt;Assumptions!$B$9,"Stock-out risk",IF(H43&lt;Assumptions!$B$10,"Low",IF(H43&gt;Assumptions!$B$11,"Overstock","Healthy")))</f>
        <v>Low</v>
      </c>
      <c r="J43" s="33" t="n">
        <f aca="false">E43*INDEX(Products!$D$2:$D$49,MATCH(B43,Products!$A$2:$A$49,0))</f>
        <v>7128</v>
      </c>
      <c r="K43" s="24" t="str">
        <f aca="false">IF(E43&lt;=F43,"Yes","No")</f>
        <v>Yes</v>
      </c>
    </row>
    <row r="44" customFormat="false" ht="15" hidden="false" customHeight="false" outlineLevel="0" collapsed="false">
      <c r="A44" s="24" t="s">
        <v>61</v>
      </c>
      <c r="B44" s="24" t="s">
        <v>199</v>
      </c>
      <c r="C44" s="24" t="str">
        <f aca="false">INDEX(Products!$B$2:$B$49,MATCH(B44,Products!$A$2:$A$49,0))</f>
        <v>Chocolate Bar 90g</v>
      </c>
      <c r="D44" s="24" t="str">
        <f aca="false">INDEX(Products!$C$2:$C$49,MATCH(B44,Products!$A$2:$A$49,0))</f>
        <v>Snacks &amp; Confectionery</v>
      </c>
      <c r="E44" s="33" t="n">
        <v>181</v>
      </c>
      <c r="F44" s="33" t="n">
        <v>87</v>
      </c>
      <c r="G44" s="35" t="n">
        <f aca="false">SUMIFS(Sales!$D$2:$D$6001,Sales!$B$2:$B$6001,A44,Sales!$C$2:$C$6001,B44,Sales!$A$2:$A$6001,"&gt;="&amp;(Assumptions!$B$4-7*Assumptions!$B$13+1))/Assumptions!$B$13</f>
        <v>57.75</v>
      </c>
      <c r="H44" s="35" t="n">
        <f aca="false">IFERROR(E44/G44,999)</f>
        <v>3.13419913419913</v>
      </c>
      <c r="I44" s="24" t="str">
        <f aca="false">IF(H44&lt;Assumptions!$B$9,"Stock-out risk",IF(H44&lt;Assumptions!$B$10,"Low",IF(H44&gt;Assumptions!$B$11,"Overstock","Healthy")))</f>
        <v>Healthy</v>
      </c>
      <c r="J44" s="33" t="n">
        <f aca="false">E44*INDEX(Products!$D$2:$D$49,MATCH(B44,Products!$A$2:$A$49,0))</f>
        <v>20091</v>
      </c>
      <c r="K44" s="24" t="str">
        <f aca="false">IF(E44&lt;=F44,"Yes","No")</f>
        <v>No</v>
      </c>
    </row>
    <row r="45" customFormat="false" ht="15" hidden="false" customHeight="false" outlineLevel="0" collapsed="false">
      <c r="A45" s="24" t="s">
        <v>61</v>
      </c>
      <c r="B45" s="24" t="s">
        <v>201</v>
      </c>
      <c r="C45" s="24" t="str">
        <f aca="false">INDEX(Products!$B$2:$B$49,MATCH(B45,Products!$A$2:$A$49,0))</f>
        <v>Peanuts Roasted 250g</v>
      </c>
      <c r="D45" s="24" t="str">
        <f aca="false">INDEX(Products!$C$2:$C$49,MATCH(B45,Products!$A$2:$A$49,0))</f>
        <v>Snacks &amp; Confectionery</v>
      </c>
      <c r="E45" s="33" t="n">
        <v>576</v>
      </c>
      <c r="F45" s="33" t="n">
        <v>242</v>
      </c>
      <c r="G45" s="35" t="n">
        <f aca="false">SUMIFS(Sales!$D$2:$D$6001,Sales!$B$2:$B$6001,A45,Sales!$C$2:$C$6001,B45,Sales!$A$2:$A$6001,"&gt;="&amp;(Assumptions!$B$4-7*Assumptions!$B$13+1))/Assumptions!$B$13</f>
        <v>161.625</v>
      </c>
      <c r="H45" s="35" t="n">
        <f aca="false">IFERROR(E45/G45,999)</f>
        <v>3.56380510440835</v>
      </c>
      <c r="I45" s="24" t="str">
        <f aca="false">IF(H45&lt;Assumptions!$B$9,"Stock-out risk",IF(H45&lt;Assumptions!$B$10,"Low",IF(H45&gt;Assumptions!$B$11,"Overstock","Healthy")))</f>
        <v>Healthy</v>
      </c>
      <c r="J45" s="33" t="n">
        <f aca="false">E45*INDEX(Products!$D$2:$D$49,MATCH(B45,Products!$A$2:$A$49,0))</f>
        <v>69120</v>
      </c>
      <c r="K45" s="24" t="str">
        <f aca="false">IF(E45&lt;=F45,"Yes","No")</f>
        <v>No</v>
      </c>
    </row>
    <row r="46" customFormat="false" ht="15" hidden="false" customHeight="false" outlineLevel="0" collapsed="false">
      <c r="A46" s="24" t="s">
        <v>61</v>
      </c>
      <c r="B46" s="24" t="s">
        <v>203</v>
      </c>
      <c r="C46" s="24" t="str">
        <f aca="false">INDEX(Products!$B$2:$B$49,MATCH(B46,Products!$A$2:$A$49,0))</f>
        <v>Bread White 400g</v>
      </c>
      <c r="D46" s="24" t="str">
        <f aca="false">INDEX(Products!$C$2:$C$49,MATCH(B46,Products!$A$2:$A$49,0))</f>
        <v>Snacks &amp; Confectionery</v>
      </c>
      <c r="E46" s="33" t="n">
        <v>701</v>
      </c>
      <c r="F46" s="33" t="n">
        <v>111</v>
      </c>
      <c r="G46" s="35" t="n">
        <f aca="false">SUMIFS(Sales!$D$2:$D$6001,Sales!$B$2:$B$6001,A46,Sales!$C$2:$C$6001,B46,Sales!$A$2:$A$6001,"&gt;="&amp;(Assumptions!$B$4-7*Assumptions!$B$13+1))/Assumptions!$B$13</f>
        <v>74</v>
      </c>
      <c r="H46" s="35" t="n">
        <f aca="false">IFERROR(E46/G46,999)</f>
        <v>9.47297297297297</v>
      </c>
      <c r="I46" s="24" t="str">
        <f aca="false">IF(H46&lt;Assumptions!$B$9,"Stock-out risk",IF(H46&lt;Assumptions!$B$10,"Low",IF(H46&gt;Assumptions!$B$11,"Overstock","Healthy")))</f>
        <v>Overstock</v>
      </c>
      <c r="J46" s="33" t="n">
        <f aca="false">E46*INDEX(Products!$D$2:$D$49,MATCH(B46,Products!$A$2:$A$49,0))</f>
        <v>32947</v>
      </c>
      <c r="K46" s="24" t="str">
        <f aca="false">IF(E46&lt;=F46,"Yes","No")</f>
        <v>No</v>
      </c>
    </row>
    <row r="47" customFormat="false" ht="15" hidden="false" customHeight="false" outlineLevel="0" collapsed="false">
      <c r="A47" s="24" t="s">
        <v>61</v>
      </c>
      <c r="B47" s="24" t="s">
        <v>205</v>
      </c>
      <c r="C47" s="24" t="str">
        <f aca="false">INDEX(Products!$B$2:$B$49,MATCH(B47,Products!$A$2:$A$49,0))</f>
        <v>Cake Slice</v>
      </c>
      <c r="D47" s="24" t="str">
        <f aca="false">INDEX(Products!$C$2:$C$49,MATCH(B47,Products!$A$2:$A$49,0))</f>
        <v>Snacks &amp; Confectionery</v>
      </c>
      <c r="E47" s="33" t="n">
        <v>455</v>
      </c>
      <c r="F47" s="33" t="n">
        <v>154</v>
      </c>
      <c r="G47" s="35" t="n">
        <f aca="false">SUMIFS(Sales!$D$2:$D$6001,Sales!$B$2:$B$6001,A47,Sales!$C$2:$C$6001,B47,Sales!$A$2:$A$6001,"&gt;="&amp;(Assumptions!$B$4-7*Assumptions!$B$13+1))/Assumptions!$B$13</f>
        <v>102.375</v>
      </c>
      <c r="H47" s="35" t="n">
        <f aca="false">IFERROR(E47/G47,999)</f>
        <v>4.44444444444445</v>
      </c>
      <c r="I47" s="24" t="str">
        <f aca="false">IF(H47&lt;Assumptions!$B$9,"Stock-out risk",IF(H47&lt;Assumptions!$B$10,"Low",IF(H47&gt;Assumptions!$B$11,"Overstock","Healthy")))</f>
        <v>Healthy</v>
      </c>
      <c r="J47" s="33" t="n">
        <f aca="false">E47*INDEX(Products!$D$2:$D$49,MATCH(B47,Products!$A$2:$A$49,0))</f>
        <v>36855</v>
      </c>
      <c r="K47" s="24" t="str">
        <f aca="false">IF(E47&lt;=F47,"Yes","No")</f>
        <v>No</v>
      </c>
    </row>
    <row r="48" customFormat="false" ht="15" hidden="false" customHeight="false" outlineLevel="0" collapsed="false">
      <c r="A48" s="24" t="s">
        <v>61</v>
      </c>
      <c r="B48" s="24" t="s">
        <v>207</v>
      </c>
      <c r="C48" s="24" t="str">
        <f aca="false">INDEX(Products!$B$2:$B$49,MATCH(B48,Products!$A$2:$A$49,0))</f>
        <v>Sweets Jar 300g</v>
      </c>
      <c r="D48" s="24" t="str">
        <f aca="false">INDEX(Products!$C$2:$C$49,MATCH(B48,Products!$A$2:$A$49,0))</f>
        <v>Snacks &amp; Confectionery</v>
      </c>
      <c r="E48" s="33" t="n">
        <v>426</v>
      </c>
      <c r="F48" s="33" t="n">
        <v>158</v>
      </c>
      <c r="G48" s="35" t="n">
        <f aca="false">SUMIFS(Sales!$D$2:$D$6001,Sales!$B$2:$B$6001,A48,Sales!$C$2:$C$6001,B48,Sales!$A$2:$A$6001,"&gt;="&amp;(Assumptions!$B$4-7*Assumptions!$B$13+1))/Assumptions!$B$13</f>
        <v>105</v>
      </c>
      <c r="H48" s="35" t="n">
        <f aca="false">IFERROR(E48/G48,999)</f>
        <v>4.05714285714286</v>
      </c>
      <c r="I48" s="24" t="str">
        <f aca="false">IF(H48&lt;Assumptions!$B$9,"Stock-out risk",IF(H48&lt;Assumptions!$B$10,"Low",IF(H48&gt;Assumptions!$B$11,"Overstock","Healthy")))</f>
        <v>Healthy</v>
      </c>
      <c r="J48" s="33" t="n">
        <f aca="false">E48*INDEX(Products!$D$2:$D$49,MATCH(B48,Products!$A$2:$A$49,0))</f>
        <v>53676</v>
      </c>
      <c r="K48" s="24" t="str">
        <f aca="false">IF(E48&lt;=F48,"Yes","No")</f>
        <v>No</v>
      </c>
    </row>
    <row r="49" customFormat="false" ht="15" hidden="false" customHeight="false" outlineLevel="0" collapsed="false">
      <c r="A49" s="24" t="s">
        <v>61</v>
      </c>
      <c r="B49" s="24" t="s">
        <v>209</v>
      </c>
      <c r="C49" s="24" t="str">
        <f aca="false">INDEX(Products!$B$2:$B$49,MATCH(B49,Products!$A$2:$A$49,0))</f>
        <v>Popcorn 100g</v>
      </c>
      <c r="D49" s="24" t="str">
        <f aca="false">INDEX(Products!$C$2:$C$49,MATCH(B49,Products!$A$2:$A$49,0))</f>
        <v>Snacks &amp; Confectionery</v>
      </c>
      <c r="E49" s="33" t="n">
        <v>406</v>
      </c>
      <c r="F49" s="33" t="n">
        <v>282</v>
      </c>
      <c r="G49" s="35" t="n">
        <f aca="false">SUMIFS(Sales!$D$2:$D$6001,Sales!$B$2:$B$6001,A49,Sales!$C$2:$C$6001,B49,Sales!$A$2:$A$6001,"&gt;="&amp;(Assumptions!$B$4-7*Assumptions!$B$13+1))/Assumptions!$B$13</f>
        <v>187.75</v>
      </c>
      <c r="H49" s="35" t="n">
        <f aca="false">IFERROR(E49/G49,999)</f>
        <v>2.1624500665779</v>
      </c>
      <c r="I49" s="24" t="str">
        <f aca="false">IF(H49&lt;Assumptions!$B$9,"Stock-out risk",IF(H49&lt;Assumptions!$B$10,"Low",IF(H49&gt;Assumptions!$B$11,"Overstock","Healthy")))</f>
        <v>Healthy</v>
      </c>
      <c r="J49" s="33" t="n">
        <f aca="false">E49*INDEX(Products!$D$2:$D$49,MATCH(B49,Products!$A$2:$A$49,0))</f>
        <v>19082</v>
      </c>
      <c r="K49" s="24" t="str">
        <f aca="false">IF(E49&lt;=F49,"Yes","No")</f>
        <v>No</v>
      </c>
    </row>
    <row r="50" customFormat="false" ht="15" hidden="false" customHeight="false" outlineLevel="0" collapsed="false">
      <c r="A50" s="24" t="s">
        <v>62</v>
      </c>
      <c r="B50" s="24" t="s">
        <v>115</v>
      </c>
      <c r="C50" s="24" t="str">
        <f aca="false">INDEX(Products!$B$2:$B$49,MATCH(B50,Products!$A$2:$A$49,0))</f>
        <v>Maize Flour 2kg</v>
      </c>
      <c r="D50" s="24" t="str">
        <f aca="false">INDEX(Products!$C$2:$C$49,MATCH(B50,Products!$A$2:$A$49,0))</f>
        <v>Grocery Staples</v>
      </c>
      <c r="E50" s="33" t="n">
        <v>1901</v>
      </c>
      <c r="F50" s="33" t="n">
        <v>190</v>
      </c>
      <c r="G50" s="35" t="n">
        <f aca="false">SUMIFS(Sales!$D$2:$D$6001,Sales!$B$2:$B$6001,A50,Sales!$C$2:$C$6001,B50,Sales!$A$2:$A$6001,"&gt;="&amp;(Assumptions!$B$4-7*Assumptions!$B$13+1))/Assumptions!$B$13</f>
        <v>126.375</v>
      </c>
      <c r="H50" s="35" t="n">
        <f aca="false">IFERROR(E50/G50,999)</f>
        <v>15.0425321463897</v>
      </c>
      <c r="I50" s="24" t="str">
        <f aca="false">IF(H50&lt;Assumptions!$B$9,"Stock-out risk",IF(H50&lt;Assumptions!$B$10,"Low",IF(H50&gt;Assumptions!$B$11,"Overstock","Healthy")))</f>
        <v>Overstock</v>
      </c>
      <c r="J50" s="33" t="n">
        <f aca="false">E50*INDEX(Products!$D$2:$D$49,MATCH(B50,Products!$A$2:$A$49,0))</f>
        <v>273744</v>
      </c>
      <c r="K50" s="24" t="str">
        <f aca="false">IF(E50&lt;=F50,"Yes","No")</f>
        <v>No</v>
      </c>
    </row>
    <row r="51" customFormat="false" ht="15" hidden="false" customHeight="false" outlineLevel="0" collapsed="false">
      <c r="A51" s="24" t="s">
        <v>62</v>
      </c>
      <c r="B51" s="24" t="s">
        <v>117</v>
      </c>
      <c r="C51" s="24" t="str">
        <f aca="false">INDEX(Products!$B$2:$B$49,MATCH(B51,Products!$A$2:$A$49,0))</f>
        <v>Wheat Flour 2kg</v>
      </c>
      <c r="D51" s="24" t="str">
        <f aca="false">INDEX(Products!$C$2:$C$49,MATCH(B51,Products!$A$2:$A$49,0))</f>
        <v>Grocery Staples</v>
      </c>
      <c r="E51" s="33" t="n">
        <v>281</v>
      </c>
      <c r="F51" s="33" t="n">
        <v>178</v>
      </c>
      <c r="G51" s="35" t="n">
        <f aca="false">SUMIFS(Sales!$D$2:$D$6001,Sales!$B$2:$B$6001,A51,Sales!$C$2:$C$6001,B51,Sales!$A$2:$A$6001,"&gt;="&amp;(Assumptions!$B$4-7*Assumptions!$B$13+1))/Assumptions!$B$13</f>
        <v>118.875</v>
      </c>
      <c r="H51" s="35" t="n">
        <f aca="false">IFERROR(E51/G51,999)</f>
        <v>2.36382754994742</v>
      </c>
      <c r="I51" s="24" t="str">
        <f aca="false">IF(H51&lt;Assumptions!$B$9,"Stock-out risk",IF(H51&lt;Assumptions!$B$10,"Low",IF(H51&gt;Assumptions!$B$11,"Overstock","Healthy")))</f>
        <v>Healthy</v>
      </c>
      <c r="J51" s="33" t="n">
        <f aca="false">E51*INDEX(Products!$D$2:$D$49,MATCH(B51,Products!$A$2:$A$49,0))</f>
        <v>47208</v>
      </c>
      <c r="K51" s="24" t="str">
        <f aca="false">IF(E51&lt;=F51,"Yes","No")</f>
        <v>No</v>
      </c>
    </row>
    <row r="52" customFormat="false" ht="15" hidden="false" customHeight="false" outlineLevel="0" collapsed="false">
      <c r="A52" s="24" t="s">
        <v>62</v>
      </c>
      <c r="B52" s="24" t="s">
        <v>119</v>
      </c>
      <c r="C52" s="24" t="str">
        <f aca="false">INDEX(Products!$B$2:$B$49,MATCH(B52,Products!$A$2:$A$49,0))</f>
        <v>Rice Pishori 2kg</v>
      </c>
      <c r="D52" s="24" t="str">
        <f aca="false">INDEX(Products!$C$2:$C$49,MATCH(B52,Products!$A$2:$A$49,0))</f>
        <v>Grocery Staples</v>
      </c>
      <c r="E52" s="33" t="n">
        <v>102</v>
      </c>
      <c r="F52" s="33" t="n">
        <v>119</v>
      </c>
      <c r="G52" s="35" t="n">
        <f aca="false">SUMIFS(Sales!$D$2:$D$6001,Sales!$B$2:$B$6001,A52,Sales!$C$2:$C$6001,B52,Sales!$A$2:$A$6001,"&gt;="&amp;(Assumptions!$B$4-7*Assumptions!$B$13+1))/Assumptions!$B$13</f>
        <v>79.125</v>
      </c>
      <c r="H52" s="35" t="n">
        <f aca="false">IFERROR(E52/G52,999)</f>
        <v>1.28909952606635</v>
      </c>
      <c r="I52" s="24" t="str">
        <f aca="false">IF(H52&lt;Assumptions!$B$9,"Stock-out risk",IF(H52&lt;Assumptions!$B$10,"Low",IF(H52&gt;Assumptions!$B$11,"Overstock","Healthy")))</f>
        <v>Low</v>
      </c>
      <c r="J52" s="33" t="n">
        <f aca="false">E52*INDEX(Products!$D$2:$D$49,MATCH(B52,Products!$A$2:$A$49,0))</f>
        <v>38352</v>
      </c>
      <c r="K52" s="24" t="str">
        <f aca="false">IF(E52&lt;=F52,"Yes","No")</f>
        <v>Yes</v>
      </c>
    </row>
    <row r="53" customFormat="false" ht="15" hidden="false" customHeight="false" outlineLevel="0" collapsed="false">
      <c r="A53" s="24" t="s">
        <v>62</v>
      </c>
      <c r="B53" s="24" t="s">
        <v>121</v>
      </c>
      <c r="C53" s="24" t="str">
        <f aca="false">INDEX(Products!$B$2:$B$49,MATCH(B53,Products!$A$2:$A$49,0))</f>
        <v>Sugar 1kg</v>
      </c>
      <c r="D53" s="24" t="str">
        <f aca="false">INDEX(Products!$C$2:$C$49,MATCH(B53,Products!$A$2:$A$49,0))</f>
        <v>Grocery Staples</v>
      </c>
      <c r="E53" s="33" t="n">
        <v>300</v>
      </c>
      <c r="F53" s="33" t="n">
        <v>61</v>
      </c>
      <c r="G53" s="35" t="n">
        <f aca="false">SUMIFS(Sales!$D$2:$D$6001,Sales!$B$2:$B$6001,A53,Sales!$C$2:$C$6001,B53,Sales!$A$2:$A$6001,"&gt;="&amp;(Assumptions!$B$4-7*Assumptions!$B$13+1))/Assumptions!$B$13</f>
        <v>40.5</v>
      </c>
      <c r="H53" s="35" t="n">
        <f aca="false">IFERROR(E53/G53,999)</f>
        <v>7.40740740740741</v>
      </c>
      <c r="I53" s="24" t="str">
        <f aca="false">IF(H53&lt;Assumptions!$B$9,"Stock-out risk",IF(H53&lt;Assumptions!$B$10,"Low",IF(H53&gt;Assumptions!$B$11,"Overstock","Healthy")))</f>
        <v>Healthy</v>
      </c>
      <c r="J53" s="33" t="n">
        <f aca="false">E53*INDEX(Products!$D$2:$D$49,MATCH(B53,Products!$A$2:$A$49,0))</f>
        <v>48300</v>
      </c>
      <c r="K53" s="24" t="str">
        <f aca="false">IF(E53&lt;=F53,"Yes","No")</f>
        <v>No</v>
      </c>
    </row>
    <row r="54" customFormat="false" ht="15" hidden="false" customHeight="false" outlineLevel="0" collapsed="false">
      <c r="A54" s="24" t="s">
        <v>62</v>
      </c>
      <c r="B54" s="24" t="s">
        <v>123</v>
      </c>
      <c r="C54" s="24" t="str">
        <f aca="false">INDEX(Products!$B$2:$B$49,MATCH(B54,Products!$A$2:$A$49,0))</f>
        <v>Cooking Oil 1L</v>
      </c>
      <c r="D54" s="24" t="str">
        <f aca="false">INDEX(Products!$C$2:$C$49,MATCH(B54,Products!$A$2:$A$49,0))</f>
        <v>Grocery Staples</v>
      </c>
      <c r="E54" s="33" t="n">
        <v>2123</v>
      </c>
      <c r="F54" s="33" t="n">
        <v>353</v>
      </c>
      <c r="G54" s="35" t="n">
        <f aca="false">SUMIFS(Sales!$D$2:$D$6001,Sales!$B$2:$B$6001,A54,Sales!$C$2:$C$6001,B54,Sales!$A$2:$A$6001,"&gt;="&amp;(Assumptions!$B$4-7*Assumptions!$B$13+1))/Assumptions!$B$13</f>
        <v>235.25</v>
      </c>
      <c r="H54" s="35" t="n">
        <f aca="false">IFERROR(E54/G54,999)</f>
        <v>9.02444208289054</v>
      </c>
      <c r="I54" s="24" t="str">
        <f aca="false">IF(H54&lt;Assumptions!$B$9,"Stock-out risk",IF(H54&lt;Assumptions!$B$10,"Low",IF(H54&gt;Assumptions!$B$11,"Overstock","Healthy")))</f>
        <v>Overstock</v>
      </c>
      <c r="J54" s="33" t="n">
        <f aca="false">E54*INDEX(Products!$D$2:$D$49,MATCH(B54,Products!$A$2:$A$49,0))</f>
        <v>630531</v>
      </c>
      <c r="K54" s="24" t="str">
        <f aca="false">IF(E54&lt;=F54,"Yes","No")</f>
        <v>No</v>
      </c>
    </row>
    <row r="55" customFormat="false" ht="15" hidden="false" customHeight="false" outlineLevel="0" collapsed="false">
      <c r="A55" s="24" t="s">
        <v>62</v>
      </c>
      <c r="B55" s="24" t="s">
        <v>125</v>
      </c>
      <c r="C55" s="24" t="str">
        <f aca="false">INDEX(Products!$B$2:$B$49,MATCH(B55,Products!$A$2:$A$49,0))</f>
        <v>Salt 500g</v>
      </c>
      <c r="D55" s="24" t="str">
        <f aca="false">INDEX(Products!$C$2:$C$49,MATCH(B55,Products!$A$2:$A$49,0))</f>
        <v>Grocery Staples</v>
      </c>
      <c r="E55" s="33" t="n">
        <v>64</v>
      </c>
      <c r="F55" s="33" t="n">
        <v>40</v>
      </c>
      <c r="G55" s="35" t="n">
        <f aca="false">SUMIFS(Sales!$D$2:$D$6001,Sales!$B$2:$B$6001,A55,Sales!$C$2:$C$6001,B55,Sales!$A$2:$A$6001,"&gt;="&amp;(Assumptions!$B$4-7*Assumptions!$B$13+1))/Assumptions!$B$13</f>
        <v>27</v>
      </c>
      <c r="H55" s="35" t="n">
        <f aca="false">IFERROR(E55/G55,999)</f>
        <v>2.37037037037037</v>
      </c>
      <c r="I55" s="24" t="str">
        <f aca="false">IF(H55&lt;Assumptions!$B$9,"Stock-out risk",IF(H55&lt;Assumptions!$B$10,"Low",IF(H55&gt;Assumptions!$B$11,"Overstock","Healthy")))</f>
        <v>Healthy</v>
      </c>
      <c r="J55" s="33" t="n">
        <f aca="false">E55*INDEX(Products!$D$2:$D$49,MATCH(B55,Products!$A$2:$A$49,0))</f>
        <v>2560</v>
      </c>
      <c r="K55" s="24" t="str">
        <f aca="false">IF(E55&lt;=F55,"Yes","No")</f>
        <v>No</v>
      </c>
    </row>
    <row r="56" customFormat="false" ht="15" hidden="false" customHeight="false" outlineLevel="0" collapsed="false">
      <c r="A56" s="24" t="s">
        <v>62</v>
      </c>
      <c r="B56" s="24" t="s">
        <v>127</v>
      </c>
      <c r="C56" s="24" t="str">
        <f aca="false">INDEX(Products!$B$2:$B$49,MATCH(B56,Products!$A$2:$A$49,0))</f>
        <v>Tea Leaves 250g</v>
      </c>
      <c r="D56" s="24" t="str">
        <f aca="false">INDEX(Products!$C$2:$C$49,MATCH(B56,Products!$A$2:$A$49,0))</f>
        <v>Grocery Staples</v>
      </c>
      <c r="E56" s="33" t="n">
        <v>2039</v>
      </c>
      <c r="F56" s="33" t="n">
        <v>234</v>
      </c>
      <c r="G56" s="35" t="n">
        <f aca="false">SUMIFS(Sales!$D$2:$D$6001,Sales!$B$2:$B$6001,A56,Sales!$C$2:$C$6001,B56,Sales!$A$2:$A$6001,"&gt;="&amp;(Assumptions!$B$4-7*Assumptions!$B$13+1))/Assumptions!$B$13</f>
        <v>156.25</v>
      </c>
      <c r="H56" s="35" t="n">
        <f aca="false">IFERROR(E56/G56,999)</f>
        <v>13.0496</v>
      </c>
      <c r="I56" s="24" t="str">
        <f aca="false">IF(H56&lt;Assumptions!$B$9,"Stock-out risk",IF(H56&lt;Assumptions!$B$10,"Low",IF(H56&gt;Assumptions!$B$11,"Overstock","Healthy")))</f>
        <v>Overstock</v>
      </c>
      <c r="J56" s="33" t="n">
        <f aca="false">E56*INDEX(Products!$D$2:$D$49,MATCH(B56,Products!$A$2:$A$49,0))</f>
        <v>210017</v>
      </c>
      <c r="K56" s="24" t="str">
        <f aca="false">IF(E56&lt;=F56,"Yes","No")</f>
        <v>No</v>
      </c>
    </row>
    <row r="57" customFormat="false" ht="15" hidden="false" customHeight="false" outlineLevel="0" collapsed="false">
      <c r="A57" s="24" t="s">
        <v>62</v>
      </c>
      <c r="B57" s="24" t="s">
        <v>129</v>
      </c>
      <c r="C57" s="24" t="str">
        <f aca="false">INDEX(Products!$B$2:$B$49,MATCH(B57,Products!$A$2:$A$49,0))</f>
        <v>Dry Beans 1kg</v>
      </c>
      <c r="D57" s="24" t="str">
        <f aca="false">INDEX(Products!$C$2:$C$49,MATCH(B57,Products!$A$2:$A$49,0))</f>
        <v>Grocery Staples</v>
      </c>
      <c r="E57" s="33" t="n">
        <v>157</v>
      </c>
      <c r="F57" s="33" t="n">
        <v>255</v>
      </c>
      <c r="G57" s="35" t="n">
        <f aca="false">SUMIFS(Sales!$D$2:$D$6001,Sales!$B$2:$B$6001,A57,Sales!$C$2:$C$6001,B57,Sales!$A$2:$A$6001,"&gt;="&amp;(Assumptions!$B$4-7*Assumptions!$B$13+1))/Assumptions!$B$13</f>
        <v>170.25</v>
      </c>
      <c r="H57" s="35" t="n">
        <f aca="false">IFERROR(E57/G57,999)</f>
        <v>0.922173274596182</v>
      </c>
      <c r="I57" s="24" t="str">
        <f aca="false">IF(H57&lt;Assumptions!$B$9,"Stock-out risk",IF(H57&lt;Assumptions!$B$10,"Low",IF(H57&gt;Assumptions!$B$11,"Overstock","Healthy")))</f>
        <v>Stock-out risk</v>
      </c>
      <c r="J57" s="33" t="n">
        <f aca="false">E57*INDEX(Products!$D$2:$D$49,MATCH(B57,Products!$A$2:$A$49,0))</f>
        <v>29202</v>
      </c>
      <c r="K57" s="24" t="str">
        <f aca="false">IF(E57&lt;=F57,"Yes","No")</f>
        <v>Yes</v>
      </c>
    </row>
    <row r="58" customFormat="false" ht="15" hidden="false" customHeight="false" outlineLevel="0" collapsed="false">
      <c r="A58" s="24" t="s">
        <v>62</v>
      </c>
      <c r="B58" s="24" t="s">
        <v>131</v>
      </c>
      <c r="C58" s="24" t="str">
        <f aca="false">INDEX(Products!$B$2:$B$49,MATCH(B58,Products!$A$2:$A$49,0))</f>
        <v>Fresh Milk 500ml</v>
      </c>
      <c r="D58" s="24" t="str">
        <f aca="false">INDEX(Products!$C$2:$C$49,MATCH(B58,Products!$A$2:$A$49,0))</f>
        <v>Dairy &amp; Eggs</v>
      </c>
      <c r="E58" s="33" t="n">
        <v>101</v>
      </c>
      <c r="F58" s="33" t="n">
        <v>45</v>
      </c>
      <c r="G58" s="35" t="n">
        <f aca="false">SUMIFS(Sales!$D$2:$D$6001,Sales!$B$2:$B$6001,A58,Sales!$C$2:$C$6001,B58,Sales!$A$2:$A$6001,"&gt;="&amp;(Assumptions!$B$4-7*Assumptions!$B$13+1))/Assumptions!$B$13</f>
        <v>30.25</v>
      </c>
      <c r="H58" s="35" t="n">
        <f aca="false">IFERROR(E58/G58,999)</f>
        <v>3.33884297520661</v>
      </c>
      <c r="I58" s="24" t="str">
        <f aca="false">IF(H58&lt;Assumptions!$B$9,"Stock-out risk",IF(H58&lt;Assumptions!$B$10,"Low",IF(H58&gt;Assumptions!$B$11,"Overstock","Healthy")))</f>
        <v>Healthy</v>
      </c>
      <c r="J58" s="33" t="n">
        <f aca="false">E58*INDEX(Products!$D$2:$D$49,MATCH(B58,Products!$A$2:$A$49,0))</f>
        <v>5151</v>
      </c>
      <c r="K58" s="24" t="str">
        <f aca="false">IF(E58&lt;=F58,"Yes","No")</f>
        <v>No</v>
      </c>
    </row>
    <row r="59" customFormat="false" ht="15" hidden="false" customHeight="false" outlineLevel="0" collapsed="false">
      <c r="A59" s="24" t="s">
        <v>62</v>
      </c>
      <c r="B59" s="24" t="s">
        <v>133</v>
      </c>
      <c r="C59" s="24" t="str">
        <f aca="false">INDEX(Products!$B$2:$B$49,MATCH(B59,Products!$A$2:$A$49,0))</f>
        <v>Fresh Milk 1L</v>
      </c>
      <c r="D59" s="24" t="str">
        <f aca="false">INDEX(Products!$C$2:$C$49,MATCH(B59,Products!$A$2:$A$49,0))</f>
        <v>Dairy &amp; Eggs</v>
      </c>
      <c r="E59" s="33" t="n">
        <v>237</v>
      </c>
      <c r="F59" s="33" t="n">
        <v>100</v>
      </c>
      <c r="G59" s="35" t="n">
        <f aca="false">SUMIFS(Sales!$D$2:$D$6001,Sales!$B$2:$B$6001,A59,Sales!$C$2:$C$6001,B59,Sales!$A$2:$A$6001,"&gt;="&amp;(Assumptions!$B$4-7*Assumptions!$B$13+1))/Assumptions!$B$13</f>
        <v>67</v>
      </c>
      <c r="H59" s="35" t="n">
        <f aca="false">IFERROR(E59/G59,999)</f>
        <v>3.53731343283582</v>
      </c>
      <c r="I59" s="24" t="str">
        <f aca="false">IF(H59&lt;Assumptions!$B$9,"Stock-out risk",IF(H59&lt;Assumptions!$B$10,"Low",IF(H59&gt;Assumptions!$B$11,"Overstock","Healthy")))</f>
        <v>Healthy</v>
      </c>
      <c r="J59" s="33" t="n">
        <f aca="false">E59*INDEX(Products!$D$2:$D$49,MATCH(B59,Products!$A$2:$A$49,0))</f>
        <v>24648</v>
      </c>
      <c r="K59" s="24" t="str">
        <f aca="false">IF(E59&lt;=F59,"Yes","No")</f>
        <v>No</v>
      </c>
    </row>
    <row r="60" customFormat="false" ht="15" hidden="false" customHeight="false" outlineLevel="0" collapsed="false">
      <c r="A60" s="24" t="s">
        <v>62</v>
      </c>
      <c r="B60" s="24" t="s">
        <v>135</v>
      </c>
      <c r="C60" s="24" t="str">
        <f aca="false">INDEX(Products!$B$2:$B$49,MATCH(B60,Products!$A$2:$A$49,0))</f>
        <v>Yoghurt 500ml</v>
      </c>
      <c r="D60" s="24" t="str">
        <f aca="false">INDEX(Products!$C$2:$C$49,MATCH(B60,Products!$A$2:$A$49,0))</f>
        <v>Dairy &amp; Eggs</v>
      </c>
      <c r="E60" s="33" t="n">
        <v>229</v>
      </c>
      <c r="F60" s="33" t="n">
        <v>52</v>
      </c>
      <c r="G60" s="35" t="n">
        <f aca="false">SUMIFS(Sales!$D$2:$D$6001,Sales!$B$2:$B$6001,A60,Sales!$C$2:$C$6001,B60,Sales!$A$2:$A$6001,"&gt;="&amp;(Assumptions!$B$4-7*Assumptions!$B$13+1))/Assumptions!$B$13</f>
        <v>35</v>
      </c>
      <c r="H60" s="35" t="n">
        <f aca="false">IFERROR(E60/G60,999)</f>
        <v>6.54285714285714</v>
      </c>
      <c r="I60" s="24" t="str">
        <f aca="false">IF(H60&lt;Assumptions!$B$9,"Stock-out risk",IF(H60&lt;Assumptions!$B$10,"Low",IF(H60&gt;Assumptions!$B$11,"Overstock","Healthy")))</f>
        <v>Healthy</v>
      </c>
      <c r="J60" s="33" t="n">
        <f aca="false">E60*INDEX(Products!$D$2:$D$49,MATCH(B60,Products!$A$2:$A$49,0))</f>
        <v>25190</v>
      </c>
      <c r="K60" s="24" t="str">
        <f aca="false">IF(E60&lt;=F60,"Yes","No")</f>
        <v>No</v>
      </c>
    </row>
    <row r="61" customFormat="false" ht="15" hidden="false" customHeight="false" outlineLevel="0" collapsed="false">
      <c r="A61" s="24" t="s">
        <v>62</v>
      </c>
      <c r="B61" s="24" t="s">
        <v>137</v>
      </c>
      <c r="C61" s="24" t="str">
        <f aca="false">INDEX(Products!$B$2:$B$49,MATCH(B61,Products!$A$2:$A$49,0))</f>
        <v>Butter 250g</v>
      </c>
      <c r="D61" s="24" t="str">
        <f aca="false">INDEX(Products!$C$2:$C$49,MATCH(B61,Products!$A$2:$A$49,0))</f>
        <v>Dairy &amp; Eggs</v>
      </c>
      <c r="E61" s="33" t="n">
        <v>103</v>
      </c>
      <c r="F61" s="33" t="n">
        <v>126</v>
      </c>
      <c r="G61" s="35" t="n">
        <f aca="false">SUMIFS(Sales!$D$2:$D$6001,Sales!$B$2:$B$6001,A61,Sales!$C$2:$C$6001,B61,Sales!$A$2:$A$6001,"&gt;="&amp;(Assumptions!$B$4-7*Assumptions!$B$13+1))/Assumptions!$B$13</f>
        <v>83.75</v>
      </c>
      <c r="H61" s="35" t="n">
        <f aca="false">IFERROR(E61/G61,999)</f>
        <v>1.22985074626866</v>
      </c>
      <c r="I61" s="24" t="str">
        <f aca="false">IF(H61&lt;Assumptions!$B$9,"Stock-out risk",IF(H61&lt;Assumptions!$B$10,"Low",IF(H61&gt;Assumptions!$B$11,"Overstock","Healthy")))</f>
        <v>Low</v>
      </c>
      <c r="J61" s="33" t="n">
        <f aca="false">E61*INDEX(Products!$D$2:$D$49,MATCH(B61,Products!$A$2:$A$49,0))</f>
        <v>27604</v>
      </c>
      <c r="K61" s="24" t="str">
        <f aca="false">IF(E61&lt;=F61,"Yes","No")</f>
        <v>Yes</v>
      </c>
    </row>
    <row r="62" customFormat="false" ht="15" hidden="false" customHeight="false" outlineLevel="0" collapsed="false">
      <c r="A62" s="24" t="s">
        <v>62</v>
      </c>
      <c r="B62" s="24" t="s">
        <v>139</v>
      </c>
      <c r="C62" s="24" t="str">
        <f aca="false">INDEX(Products!$B$2:$B$49,MATCH(B62,Products!$A$2:$A$49,0))</f>
        <v>Eggs Tray of 30</v>
      </c>
      <c r="D62" s="24" t="str">
        <f aca="false">INDEX(Products!$C$2:$C$49,MATCH(B62,Products!$A$2:$A$49,0))</f>
        <v>Dairy &amp; Eggs</v>
      </c>
      <c r="E62" s="33" t="n">
        <v>776</v>
      </c>
      <c r="F62" s="33" t="n">
        <v>250</v>
      </c>
      <c r="G62" s="35" t="n">
        <f aca="false">SUMIFS(Sales!$D$2:$D$6001,Sales!$B$2:$B$6001,A62,Sales!$C$2:$C$6001,B62,Sales!$A$2:$A$6001,"&gt;="&amp;(Assumptions!$B$4-7*Assumptions!$B$13+1))/Assumptions!$B$13</f>
        <v>166.5</v>
      </c>
      <c r="H62" s="35" t="n">
        <f aca="false">IFERROR(E62/G62,999)</f>
        <v>4.66066066066066</v>
      </c>
      <c r="I62" s="24" t="str">
        <f aca="false">IF(H62&lt;Assumptions!$B$9,"Stock-out risk",IF(H62&lt;Assumptions!$B$10,"Low",IF(H62&gt;Assumptions!$B$11,"Overstock","Healthy")))</f>
        <v>Healthy</v>
      </c>
      <c r="J62" s="33" t="n">
        <f aca="false">E62*INDEX(Products!$D$2:$D$49,MATCH(B62,Products!$A$2:$A$49,0))</f>
        <v>332904</v>
      </c>
      <c r="K62" s="24" t="str">
        <f aca="false">IF(E62&lt;=F62,"Yes","No")</f>
        <v>No</v>
      </c>
    </row>
    <row r="63" customFormat="false" ht="15" hidden="false" customHeight="false" outlineLevel="0" collapsed="false">
      <c r="A63" s="24" t="s">
        <v>62</v>
      </c>
      <c r="B63" s="24" t="s">
        <v>141</v>
      </c>
      <c r="C63" s="24" t="str">
        <f aca="false">INDEX(Products!$B$2:$B$49,MATCH(B63,Products!$A$2:$A$49,0))</f>
        <v>Cheese Slices 200g</v>
      </c>
      <c r="D63" s="24" t="str">
        <f aca="false">INDEX(Products!$C$2:$C$49,MATCH(B63,Products!$A$2:$A$49,0))</f>
        <v>Dairy &amp; Eggs</v>
      </c>
      <c r="E63" s="33" t="n">
        <v>1777</v>
      </c>
      <c r="F63" s="33" t="n">
        <v>345</v>
      </c>
      <c r="G63" s="35" t="n">
        <f aca="false">SUMIFS(Sales!$D$2:$D$6001,Sales!$B$2:$B$6001,A63,Sales!$C$2:$C$6001,B63,Sales!$A$2:$A$6001,"&gt;="&amp;(Assumptions!$B$4-7*Assumptions!$B$13+1))/Assumptions!$B$13</f>
        <v>230.125</v>
      </c>
      <c r="H63" s="35" t="n">
        <f aca="false">IFERROR(E63/G63,999)</f>
        <v>7.72189027702336</v>
      </c>
      <c r="I63" s="24" t="str">
        <f aca="false">IF(H63&lt;Assumptions!$B$9,"Stock-out risk",IF(H63&lt;Assumptions!$B$10,"Low",IF(H63&gt;Assumptions!$B$11,"Overstock","Healthy")))</f>
        <v>Healthy</v>
      </c>
      <c r="J63" s="33" t="n">
        <f aca="false">E63*INDEX(Products!$D$2:$D$49,MATCH(B63,Products!$A$2:$A$49,0))</f>
        <v>595295</v>
      </c>
      <c r="K63" s="24" t="str">
        <f aca="false">IF(E63&lt;=F63,"Yes","No")</f>
        <v>No</v>
      </c>
    </row>
    <row r="64" customFormat="false" ht="15" hidden="false" customHeight="false" outlineLevel="0" collapsed="false">
      <c r="A64" s="24" t="s">
        <v>62</v>
      </c>
      <c r="B64" s="24" t="s">
        <v>143</v>
      </c>
      <c r="C64" s="24" t="str">
        <f aca="false">INDEX(Products!$B$2:$B$49,MATCH(B64,Products!$A$2:$A$49,0))</f>
        <v>Cooking Fat 500g</v>
      </c>
      <c r="D64" s="24" t="str">
        <f aca="false">INDEX(Products!$C$2:$C$49,MATCH(B64,Products!$A$2:$A$49,0))</f>
        <v>Dairy &amp; Eggs</v>
      </c>
      <c r="E64" s="33" t="n">
        <v>72</v>
      </c>
      <c r="F64" s="33" t="n">
        <v>43</v>
      </c>
      <c r="G64" s="35" t="n">
        <f aca="false">SUMIFS(Sales!$D$2:$D$6001,Sales!$B$2:$B$6001,A64,Sales!$C$2:$C$6001,B64,Sales!$A$2:$A$6001,"&gt;="&amp;(Assumptions!$B$4-7*Assumptions!$B$13+1))/Assumptions!$B$13</f>
        <v>28.75</v>
      </c>
      <c r="H64" s="35" t="n">
        <f aca="false">IFERROR(E64/G64,999)</f>
        <v>2.50434782608696</v>
      </c>
      <c r="I64" s="24" t="str">
        <f aca="false">IF(H64&lt;Assumptions!$B$9,"Stock-out risk",IF(H64&lt;Assumptions!$B$10,"Low",IF(H64&gt;Assumptions!$B$11,"Overstock","Healthy")))</f>
        <v>Healthy</v>
      </c>
      <c r="J64" s="33" t="n">
        <f aca="false">E64*INDEX(Products!$D$2:$D$49,MATCH(B64,Products!$A$2:$A$49,0))</f>
        <v>13608</v>
      </c>
      <c r="K64" s="24" t="str">
        <f aca="false">IF(E64&lt;=F64,"Yes","No")</f>
        <v>No</v>
      </c>
    </row>
    <row r="65" customFormat="false" ht="15" hidden="false" customHeight="false" outlineLevel="0" collapsed="false">
      <c r="A65" s="24" t="s">
        <v>62</v>
      </c>
      <c r="B65" s="24" t="s">
        <v>145</v>
      </c>
      <c r="C65" s="24" t="str">
        <f aca="false">INDEX(Products!$B$2:$B$49,MATCH(B65,Products!$A$2:$A$49,0))</f>
        <v>UHT Milk 1L</v>
      </c>
      <c r="D65" s="24" t="str">
        <f aca="false">INDEX(Products!$C$2:$C$49,MATCH(B65,Products!$A$2:$A$49,0))</f>
        <v>Dairy &amp; Eggs</v>
      </c>
      <c r="E65" s="33" t="n">
        <v>389</v>
      </c>
      <c r="F65" s="33" t="n">
        <v>82</v>
      </c>
      <c r="G65" s="35" t="n">
        <f aca="false">SUMIFS(Sales!$D$2:$D$6001,Sales!$B$2:$B$6001,A65,Sales!$C$2:$C$6001,B65,Sales!$A$2:$A$6001,"&gt;="&amp;(Assumptions!$B$4-7*Assumptions!$B$13+1))/Assumptions!$B$13</f>
        <v>54.75</v>
      </c>
      <c r="H65" s="35" t="n">
        <f aca="false">IFERROR(E65/G65,999)</f>
        <v>7.10502283105023</v>
      </c>
      <c r="I65" s="24" t="str">
        <f aca="false">IF(H65&lt;Assumptions!$B$9,"Stock-out risk",IF(H65&lt;Assumptions!$B$10,"Low",IF(H65&gt;Assumptions!$B$11,"Overstock","Healthy")))</f>
        <v>Healthy</v>
      </c>
      <c r="J65" s="33" t="n">
        <f aca="false">E65*INDEX(Products!$D$2:$D$49,MATCH(B65,Products!$A$2:$A$49,0))</f>
        <v>43568</v>
      </c>
      <c r="K65" s="24" t="str">
        <f aca="false">IF(E65&lt;=F65,"Yes","No")</f>
        <v>No</v>
      </c>
    </row>
    <row r="66" customFormat="false" ht="15" hidden="false" customHeight="false" outlineLevel="0" collapsed="false">
      <c r="A66" s="24" t="s">
        <v>62</v>
      </c>
      <c r="B66" s="24" t="s">
        <v>147</v>
      </c>
      <c r="C66" s="24" t="str">
        <f aca="false">INDEX(Products!$B$2:$B$49,MATCH(B66,Products!$A$2:$A$49,0))</f>
        <v>Soda 500ml</v>
      </c>
      <c r="D66" s="24" t="str">
        <f aca="false">INDEX(Products!$C$2:$C$49,MATCH(B66,Products!$A$2:$A$49,0))</f>
        <v>Beverages</v>
      </c>
      <c r="E66" s="33" t="n">
        <v>754</v>
      </c>
      <c r="F66" s="33" t="n">
        <v>377</v>
      </c>
      <c r="G66" s="35" t="n">
        <f aca="false">SUMIFS(Sales!$D$2:$D$6001,Sales!$B$2:$B$6001,A66,Sales!$C$2:$C$6001,B66,Sales!$A$2:$A$6001,"&gt;="&amp;(Assumptions!$B$4-7*Assumptions!$B$13+1))/Assumptions!$B$13</f>
        <v>251.5</v>
      </c>
      <c r="H66" s="35" t="n">
        <f aca="false">IFERROR(E66/G66,999)</f>
        <v>2.99801192842942</v>
      </c>
      <c r="I66" s="24" t="str">
        <f aca="false">IF(H66&lt;Assumptions!$B$9,"Stock-out risk",IF(H66&lt;Assumptions!$B$10,"Low",IF(H66&gt;Assumptions!$B$11,"Overstock","Healthy")))</f>
        <v>Healthy</v>
      </c>
      <c r="J66" s="33" t="n">
        <f aca="false">E66*INDEX(Products!$D$2:$D$49,MATCH(B66,Products!$A$2:$A$49,0))</f>
        <v>40716</v>
      </c>
      <c r="K66" s="24" t="str">
        <f aca="false">IF(E66&lt;=F66,"Yes","No")</f>
        <v>No</v>
      </c>
    </row>
    <row r="67" customFormat="false" ht="15" hidden="false" customHeight="false" outlineLevel="0" collapsed="false">
      <c r="A67" s="24" t="s">
        <v>62</v>
      </c>
      <c r="B67" s="24" t="s">
        <v>149</v>
      </c>
      <c r="C67" s="24" t="str">
        <f aca="false">INDEX(Products!$B$2:$B$49,MATCH(B67,Products!$A$2:$A$49,0))</f>
        <v>Soda 2L</v>
      </c>
      <c r="D67" s="24" t="str">
        <f aca="false">INDEX(Products!$C$2:$C$49,MATCH(B67,Products!$A$2:$A$49,0))</f>
        <v>Beverages</v>
      </c>
      <c r="E67" s="33" t="n">
        <v>1908</v>
      </c>
      <c r="F67" s="33" t="n">
        <v>316</v>
      </c>
      <c r="G67" s="35" t="n">
        <f aca="false">SUMIFS(Sales!$D$2:$D$6001,Sales!$B$2:$B$6001,A67,Sales!$C$2:$C$6001,B67,Sales!$A$2:$A$6001,"&gt;="&amp;(Assumptions!$B$4-7*Assumptions!$B$13+1))/Assumptions!$B$13</f>
        <v>210.875</v>
      </c>
      <c r="H67" s="35" t="n">
        <f aca="false">IFERROR(E67/G67,999)</f>
        <v>9.04801422643746</v>
      </c>
      <c r="I67" s="24" t="str">
        <f aca="false">IF(H67&lt;Assumptions!$B$9,"Stock-out risk",IF(H67&lt;Assumptions!$B$10,"Low",IF(H67&gt;Assumptions!$B$11,"Overstock","Healthy")))</f>
        <v>Overstock</v>
      </c>
      <c r="J67" s="33" t="n">
        <f aca="false">E67*INDEX(Products!$D$2:$D$49,MATCH(B67,Products!$A$2:$A$49,0))</f>
        <v>290016</v>
      </c>
      <c r="K67" s="24" t="str">
        <f aca="false">IF(E67&lt;=F67,"Yes","No")</f>
        <v>No</v>
      </c>
    </row>
    <row r="68" customFormat="false" ht="15" hidden="false" customHeight="false" outlineLevel="0" collapsed="false">
      <c r="A68" s="24" t="s">
        <v>62</v>
      </c>
      <c r="B68" s="24" t="s">
        <v>151</v>
      </c>
      <c r="C68" s="24" t="str">
        <f aca="false">INDEX(Products!$B$2:$B$49,MATCH(B68,Products!$A$2:$A$49,0))</f>
        <v>Mango Juice 1L</v>
      </c>
      <c r="D68" s="24" t="str">
        <f aca="false">INDEX(Products!$C$2:$C$49,MATCH(B68,Products!$A$2:$A$49,0))</f>
        <v>Beverages</v>
      </c>
      <c r="E68" s="33" t="n">
        <v>231</v>
      </c>
      <c r="F68" s="33" t="n">
        <v>236</v>
      </c>
      <c r="G68" s="35" t="n">
        <f aca="false">SUMIFS(Sales!$D$2:$D$6001,Sales!$B$2:$B$6001,A68,Sales!$C$2:$C$6001,B68,Sales!$A$2:$A$6001,"&gt;="&amp;(Assumptions!$B$4-7*Assumptions!$B$13+1))/Assumptions!$B$13</f>
        <v>157</v>
      </c>
      <c r="H68" s="35" t="n">
        <f aca="false">IFERROR(E68/G68,999)</f>
        <v>1.47133757961783</v>
      </c>
      <c r="I68" s="24" t="str">
        <f aca="false">IF(H68&lt;Assumptions!$B$9,"Stock-out risk",IF(H68&lt;Assumptions!$B$10,"Low",IF(H68&gt;Assumptions!$B$11,"Overstock","Healthy")))</f>
        <v>Low</v>
      </c>
      <c r="J68" s="33" t="n">
        <f aca="false">E68*INDEX(Products!$D$2:$D$49,MATCH(B68,Products!$A$2:$A$49,0))</f>
        <v>34419</v>
      </c>
      <c r="K68" s="24" t="str">
        <f aca="false">IF(E68&lt;=F68,"Yes","No")</f>
        <v>Yes</v>
      </c>
    </row>
    <row r="69" customFormat="false" ht="15" hidden="false" customHeight="false" outlineLevel="0" collapsed="false">
      <c r="A69" s="24" t="s">
        <v>62</v>
      </c>
      <c r="B69" s="24" t="s">
        <v>153</v>
      </c>
      <c r="C69" s="24" t="str">
        <f aca="false">INDEX(Products!$B$2:$B$49,MATCH(B69,Products!$A$2:$A$49,0))</f>
        <v>Bottled Water 1L</v>
      </c>
      <c r="D69" s="24" t="str">
        <f aca="false">INDEX(Products!$C$2:$C$49,MATCH(B69,Products!$A$2:$A$49,0))</f>
        <v>Beverages</v>
      </c>
      <c r="E69" s="33" t="n">
        <v>394</v>
      </c>
      <c r="F69" s="33" t="n">
        <v>149</v>
      </c>
      <c r="G69" s="35" t="n">
        <f aca="false">SUMIFS(Sales!$D$2:$D$6001,Sales!$B$2:$B$6001,A69,Sales!$C$2:$C$6001,B69,Sales!$A$2:$A$6001,"&gt;="&amp;(Assumptions!$B$4-7*Assumptions!$B$13+1))/Assumptions!$B$13</f>
        <v>99.5</v>
      </c>
      <c r="H69" s="35" t="n">
        <f aca="false">IFERROR(E69/G69,999)</f>
        <v>3.95979899497487</v>
      </c>
      <c r="I69" s="24" t="str">
        <f aca="false">IF(H69&lt;Assumptions!$B$9,"Stock-out risk",IF(H69&lt;Assumptions!$B$10,"Low",IF(H69&gt;Assumptions!$B$11,"Overstock","Healthy")))</f>
        <v>Healthy</v>
      </c>
      <c r="J69" s="33" t="n">
        <f aca="false">E69*INDEX(Products!$D$2:$D$49,MATCH(B69,Products!$A$2:$A$49,0))</f>
        <v>13790</v>
      </c>
      <c r="K69" s="24" t="str">
        <f aca="false">IF(E69&lt;=F69,"Yes","No")</f>
        <v>No</v>
      </c>
    </row>
    <row r="70" customFormat="false" ht="15" hidden="false" customHeight="false" outlineLevel="0" collapsed="false">
      <c r="A70" s="24" t="s">
        <v>62</v>
      </c>
      <c r="B70" s="24" t="s">
        <v>155</v>
      </c>
      <c r="C70" s="24" t="str">
        <f aca="false">INDEX(Products!$B$2:$B$49,MATCH(B70,Products!$A$2:$A$49,0))</f>
        <v>Bottled Water 500ml</v>
      </c>
      <c r="D70" s="24" t="str">
        <f aca="false">INDEX(Products!$C$2:$C$49,MATCH(B70,Products!$A$2:$A$49,0))</f>
        <v>Beverages</v>
      </c>
      <c r="E70" s="33" t="n">
        <v>45</v>
      </c>
      <c r="F70" s="33" t="n">
        <v>214</v>
      </c>
      <c r="G70" s="35" t="n">
        <f aca="false">SUMIFS(Sales!$D$2:$D$6001,Sales!$B$2:$B$6001,A70,Sales!$C$2:$C$6001,B70,Sales!$A$2:$A$6001,"&gt;="&amp;(Assumptions!$B$4-7*Assumptions!$B$13+1))/Assumptions!$B$13</f>
        <v>142.5</v>
      </c>
      <c r="H70" s="35" t="n">
        <f aca="false">IFERROR(E70/G70,999)</f>
        <v>0.315789473684211</v>
      </c>
      <c r="I70" s="24" t="str">
        <f aca="false">IF(H70&lt;Assumptions!$B$9,"Stock-out risk",IF(H70&lt;Assumptions!$B$10,"Low",IF(H70&gt;Assumptions!$B$11,"Overstock","Healthy")))</f>
        <v>Stock-out risk</v>
      </c>
      <c r="J70" s="33" t="n">
        <f aca="false">E70*INDEX(Products!$D$2:$D$49,MATCH(B70,Products!$A$2:$A$49,0))</f>
        <v>1170</v>
      </c>
      <c r="K70" s="24" t="str">
        <f aca="false">IF(E70&lt;=F70,"Yes","No")</f>
        <v>Yes</v>
      </c>
    </row>
    <row r="71" customFormat="false" ht="15" hidden="false" customHeight="false" outlineLevel="0" collapsed="false">
      <c r="A71" s="24" t="s">
        <v>62</v>
      </c>
      <c r="B71" s="24" t="s">
        <v>157</v>
      </c>
      <c r="C71" s="24" t="str">
        <f aca="false">INDEX(Products!$B$2:$B$49,MATCH(B71,Products!$A$2:$A$49,0))</f>
        <v>Energy Drink 300ml</v>
      </c>
      <c r="D71" s="24" t="str">
        <f aca="false">INDEX(Products!$C$2:$C$49,MATCH(B71,Products!$A$2:$A$49,0))</f>
        <v>Beverages</v>
      </c>
      <c r="E71" s="33" t="n">
        <v>353</v>
      </c>
      <c r="F71" s="33" t="n">
        <v>198</v>
      </c>
      <c r="G71" s="35" t="n">
        <f aca="false">SUMIFS(Sales!$D$2:$D$6001,Sales!$B$2:$B$6001,A71,Sales!$C$2:$C$6001,B71,Sales!$A$2:$A$6001,"&gt;="&amp;(Assumptions!$B$4-7*Assumptions!$B$13+1))/Assumptions!$B$13</f>
        <v>132.25</v>
      </c>
      <c r="H71" s="35" t="n">
        <f aca="false">IFERROR(E71/G71,999)</f>
        <v>2.66918714555766</v>
      </c>
      <c r="I71" s="24" t="str">
        <f aca="false">IF(H71&lt;Assumptions!$B$9,"Stock-out risk",IF(H71&lt;Assumptions!$B$10,"Low",IF(H71&gt;Assumptions!$B$11,"Overstock","Healthy")))</f>
        <v>Healthy</v>
      </c>
      <c r="J71" s="33" t="n">
        <f aca="false">E71*INDEX(Products!$D$2:$D$49,MATCH(B71,Products!$A$2:$A$49,0))</f>
        <v>31064</v>
      </c>
      <c r="K71" s="24" t="str">
        <f aca="false">IF(E71&lt;=F71,"Yes","No")</f>
        <v>No</v>
      </c>
    </row>
    <row r="72" customFormat="false" ht="15" hidden="false" customHeight="false" outlineLevel="0" collapsed="false">
      <c r="A72" s="24" t="s">
        <v>62</v>
      </c>
      <c r="B72" s="24" t="s">
        <v>159</v>
      </c>
      <c r="C72" s="24" t="str">
        <f aca="false">INDEX(Products!$B$2:$B$49,MATCH(B72,Products!$A$2:$A$49,0))</f>
        <v>Instant Coffee 100g</v>
      </c>
      <c r="D72" s="24" t="str">
        <f aca="false">INDEX(Products!$C$2:$C$49,MATCH(B72,Products!$A$2:$A$49,0))</f>
        <v>Beverages</v>
      </c>
      <c r="E72" s="33" t="n">
        <v>285</v>
      </c>
      <c r="F72" s="33" t="n">
        <v>166</v>
      </c>
      <c r="G72" s="35" t="n">
        <f aca="false">SUMIFS(Sales!$D$2:$D$6001,Sales!$B$2:$B$6001,A72,Sales!$C$2:$C$6001,B72,Sales!$A$2:$A$6001,"&gt;="&amp;(Assumptions!$B$4-7*Assumptions!$B$13+1))/Assumptions!$B$13</f>
        <v>110.375</v>
      </c>
      <c r="H72" s="35" t="n">
        <f aca="false">IFERROR(E72/G72,999)</f>
        <v>2.58210645526614</v>
      </c>
      <c r="I72" s="24" t="str">
        <f aca="false">IF(H72&lt;Assumptions!$B$9,"Stock-out risk",IF(H72&lt;Assumptions!$B$10,"Low",IF(H72&gt;Assumptions!$B$11,"Overstock","Healthy")))</f>
        <v>Healthy</v>
      </c>
      <c r="J72" s="33" t="n">
        <f aca="false">E72*INDEX(Products!$D$2:$D$49,MATCH(B72,Products!$A$2:$A$49,0))</f>
        <v>102030</v>
      </c>
      <c r="K72" s="24" t="str">
        <f aca="false">IF(E72&lt;=F72,"Yes","No")</f>
        <v>No</v>
      </c>
    </row>
    <row r="73" customFormat="false" ht="15" hidden="false" customHeight="false" outlineLevel="0" collapsed="false">
      <c r="A73" s="24" t="s">
        <v>62</v>
      </c>
      <c r="B73" s="24" t="s">
        <v>161</v>
      </c>
      <c r="C73" s="24" t="str">
        <f aca="false">INDEX(Products!$B$2:$B$49,MATCH(B73,Products!$A$2:$A$49,0))</f>
        <v>Drinking Chocolate 250g</v>
      </c>
      <c r="D73" s="24" t="str">
        <f aca="false">INDEX(Products!$C$2:$C$49,MATCH(B73,Products!$A$2:$A$49,0))</f>
        <v>Beverages</v>
      </c>
      <c r="E73" s="33" t="n">
        <v>519</v>
      </c>
      <c r="F73" s="33" t="n">
        <v>125</v>
      </c>
      <c r="G73" s="35" t="n">
        <f aca="false">SUMIFS(Sales!$D$2:$D$6001,Sales!$B$2:$B$6001,A73,Sales!$C$2:$C$6001,B73,Sales!$A$2:$A$6001,"&gt;="&amp;(Assumptions!$B$4-7*Assumptions!$B$13+1))/Assumptions!$B$13</f>
        <v>83.625</v>
      </c>
      <c r="H73" s="35" t="n">
        <f aca="false">IFERROR(E73/G73,999)</f>
        <v>6.20627802690583</v>
      </c>
      <c r="I73" s="24" t="str">
        <f aca="false">IF(H73&lt;Assumptions!$B$9,"Stock-out risk",IF(H73&lt;Assumptions!$B$10,"Low",IF(H73&gt;Assumptions!$B$11,"Overstock","Healthy")))</f>
        <v>Healthy</v>
      </c>
      <c r="J73" s="33" t="n">
        <f aca="false">E73*INDEX(Products!$D$2:$D$49,MATCH(B73,Products!$A$2:$A$49,0))</f>
        <v>157257</v>
      </c>
      <c r="K73" s="24" t="str">
        <f aca="false">IF(E73&lt;=F73,"Yes","No")</f>
        <v>No</v>
      </c>
    </row>
    <row r="74" customFormat="false" ht="15" hidden="false" customHeight="false" outlineLevel="0" collapsed="false">
      <c r="A74" s="24" t="s">
        <v>62</v>
      </c>
      <c r="B74" s="24" t="s">
        <v>163</v>
      </c>
      <c r="C74" s="24" t="str">
        <f aca="false">INDEX(Products!$B$2:$B$49,MATCH(B74,Products!$A$2:$A$49,0))</f>
        <v>Laundry Detergent 1kg</v>
      </c>
      <c r="D74" s="24" t="str">
        <f aca="false">INDEX(Products!$C$2:$C$49,MATCH(B74,Products!$A$2:$A$49,0))</f>
        <v>Household</v>
      </c>
      <c r="E74" s="33" t="n">
        <v>60</v>
      </c>
      <c r="F74" s="33" t="n">
        <v>114</v>
      </c>
      <c r="G74" s="35" t="n">
        <f aca="false">SUMIFS(Sales!$D$2:$D$6001,Sales!$B$2:$B$6001,A74,Sales!$C$2:$C$6001,B74,Sales!$A$2:$A$6001,"&gt;="&amp;(Assumptions!$B$4-7*Assumptions!$B$13+1))/Assumptions!$B$13</f>
        <v>75.875</v>
      </c>
      <c r="H74" s="35" t="n">
        <f aca="false">IFERROR(E74/G74,999)</f>
        <v>0.790774299835255</v>
      </c>
      <c r="I74" s="24" t="str">
        <f aca="false">IF(H74&lt;Assumptions!$B$9,"Stock-out risk",IF(H74&lt;Assumptions!$B$10,"Low",IF(H74&gt;Assumptions!$B$11,"Overstock","Healthy")))</f>
        <v>Stock-out risk</v>
      </c>
      <c r="J74" s="33" t="n">
        <f aca="false">E74*INDEX(Products!$D$2:$D$49,MATCH(B74,Products!$A$2:$A$49,0))</f>
        <v>13740</v>
      </c>
      <c r="K74" s="24" t="str">
        <f aca="false">IF(E74&lt;=F74,"Yes","No")</f>
        <v>Yes</v>
      </c>
    </row>
    <row r="75" customFormat="false" ht="15" hidden="false" customHeight="false" outlineLevel="0" collapsed="false">
      <c r="A75" s="24" t="s">
        <v>62</v>
      </c>
      <c r="B75" s="24" t="s">
        <v>165</v>
      </c>
      <c r="C75" s="24" t="str">
        <f aca="false">INDEX(Products!$B$2:$B$49,MATCH(B75,Products!$A$2:$A$49,0))</f>
        <v>Dish Soap 750ml</v>
      </c>
      <c r="D75" s="24" t="str">
        <f aca="false">INDEX(Products!$C$2:$C$49,MATCH(B75,Products!$A$2:$A$49,0))</f>
        <v>Household</v>
      </c>
      <c r="E75" s="33" t="n">
        <v>272</v>
      </c>
      <c r="F75" s="33" t="n">
        <v>114</v>
      </c>
      <c r="G75" s="35" t="n">
        <f aca="false">SUMIFS(Sales!$D$2:$D$6001,Sales!$B$2:$B$6001,A75,Sales!$C$2:$C$6001,B75,Sales!$A$2:$A$6001,"&gt;="&amp;(Assumptions!$B$4-7*Assumptions!$B$13+1))/Assumptions!$B$13</f>
        <v>76.125</v>
      </c>
      <c r="H75" s="35" t="n">
        <f aca="false">IFERROR(E75/G75,999)</f>
        <v>3.57307060755337</v>
      </c>
      <c r="I75" s="24" t="str">
        <f aca="false">IF(H75&lt;Assumptions!$B$9,"Stock-out risk",IF(H75&lt;Assumptions!$B$10,"Low",IF(H75&gt;Assumptions!$B$11,"Overstock","Healthy")))</f>
        <v>Healthy</v>
      </c>
      <c r="J75" s="33" t="n">
        <f aca="false">E75*INDEX(Products!$D$2:$D$49,MATCH(B75,Products!$A$2:$A$49,0))</f>
        <v>37264</v>
      </c>
      <c r="K75" s="24" t="str">
        <f aca="false">IF(E75&lt;=F75,"Yes","No")</f>
        <v>No</v>
      </c>
    </row>
    <row r="76" customFormat="false" ht="15" hidden="false" customHeight="false" outlineLevel="0" collapsed="false">
      <c r="A76" s="24" t="s">
        <v>62</v>
      </c>
      <c r="B76" s="24" t="s">
        <v>167</v>
      </c>
      <c r="C76" s="24" t="str">
        <f aca="false">INDEX(Products!$B$2:$B$49,MATCH(B76,Products!$A$2:$A$49,0))</f>
        <v>Bar Soap 800g</v>
      </c>
      <c r="D76" s="24" t="str">
        <f aca="false">INDEX(Products!$C$2:$C$49,MATCH(B76,Products!$A$2:$A$49,0))</f>
        <v>Household</v>
      </c>
      <c r="E76" s="33" t="n">
        <v>233</v>
      </c>
      <c r="F76" s="33" t="n">
        <v>78</v>
      </c>
      <c r="G76" s="35" t="n">
        <f aca="false">SUMIFS(Sales!$D$2:$D$6001,Sales!$B$2:$B$6001,A76,Sales!$C$2:$C$6001,B76,Sales!$A$2:$A$6001,"&gt;="&amp;(Assumptions!$B$4-7*Assumptions!$B$13+1))/Assumptions!$B$13</f>
        <v>52.125</v>
      </c>
      <c r="H76" s="35" t="n">
        <f aca="false">IFERROR(E76/G76,999)</f>
        <v>4.47002398081535</v>
      </c>
      <c r="I76" s="24" t="str">
        <f aca="false">IF(H76&lt;Assumptions!$B$9,"Stock-out risk",IF(H76&lt;Assumptions!$B$10,"Low",IF(H76&gt;Assumptions!$B$11,"Overstock","Healthy")))</f>
        <v>Healthy</v>
      </c>
      <c r="J76" s="33" t="n">
        <f aca="false">E76*INDEX(Products!$D$2:$D$49,MATCH(B76,Products!$A$2:$A$49,0))</f>
        <v>26096</v>
      </c>
      <c r="K76" s="24" t="str">
        <f aca="false">IF(E76&lt;=F76,"Yes","No")</f>
        <v>No</v>
      </c>
    </row>
    <row r="77" customFormat="false" ht="15" hidden="false" customHeight="false" outlineLevel="0" collapsed="false">
      <c r="A77" s="24" t="s">
        <v>62</v>
      </c>
      <c r="B77" s="24" t="s">
        <v>169</v>
      </c>
      <c r="C77" s="24" t="str">
        <f aca="false">INDEX(Products!$B$2:$B$49,MATCH(B77,Products!$A$2:$A$49,0))</f>
        <v>Toilet Paper 10 Pack</v>
      </c>
      <c r="D77" s="24" t="str">
        <f aca="false">INDEX(Products!$C$2:$C$49,MATCH(B77,Products!$A$2:$A$49,0))</f>
        <v>Household</v>
      </c>
      <c r="E77" s="33" t="n">
        <v>484</v>
      </c>
      <c r="F77" s="33" t="n">
        <v>52</v>
      </c>
      <c r="G77" s="35" t="n">
        <f aca="false">SUMIFS(Sales!$D$2:$D$6001,Sales!$B$2:$B$6001,A77,Sales!$C$2:$C$6001,B77,Sales!$A$2:$A$6001,"&gt;="&amp;(Assumptions!$B$4-7*Assumptions!$B$13+1))/Assumptions!$B$13</f>
        <v>34.875</v>
      </c>
      <c r="H77" s="35" t="n">
        <f aca="false">IFERROR(E77/G77,999)</f>
        <v>13.8781362007168</v>
      </c>
      <c r="I77" s="24" t="str">
        <f aca="false">IF(H77&lt;Assumptions!$B$9,"Stock-out risk",IF(H77&lt;Assumptions!$B$10,"Low",IF(H77&gt;Assumptions!$B$11,"Overstock","Healthy")))</f>
        <v>Overstock</v>
      </c>
      <c r="J77" s="33" t="n">
        <f aca="false">E77*INDEX(Products!$D$2:$D$49,MATCH(B77,Products!$A$2:$A$49,0))</f>
        <v>151976</v>
      </c>
      <c r="K77" s="24" t="str">
        <f aca="false">IF(E77&lt;=F77,"Yes","No")</f>
        <v>No</v>
      </c>
    </row>
    <row r="78" customFormat="false" ht="15" hidden="false" customHeight="false" outlineLevel="0" collapsed="false">
      <c r="A78" s="24" t="s">
        <v>62</v>
      </c>
      <c r="B78" s="24" t="s">
        <v>171</v>
      </c>
      <c r="C78" s="24" t="str">
        <f aca="false">INDEX(Products!$B$2:$B$49,MATCH(B78,Products!$A$2:$A$49,0))</f>
        <v>Bleach 750ml</v>
      </c>
      <c r="D78" s="24" t="str">
        <f aca="false">INDEX(Products!$C$2:$C$49,MATCH(B78,Products!$A$2:$A$49,0))</f>
        <v>Household</v>
      </c>
      <c r="E78" s="33" t="n">
        <v>65</v>
      </c>
      <c r="F78" s="33" t="n">
        <v>37</v>
      </c>
      <c r="G78" s="35" t="n">
        <f aca="false">SUMIFS(Sales!$D$2:$D$6001,Sales!$B$2:$B$6001,A78,Sales!$C$2:$C$6001,B78,Sales!$A$2:$A$6001,"&gt;="&amp;(Assumptions!$B$4-7*Assumptions!$B$13+1))/Assumptions!$B$13</f>
        <v>24.75</v>
      </c>
      <c r="H78" s="35" t="n">
        <f aca="false">IFERROR(E78/G78,999)</f>
        <v>2.62626262626263</v>
      </c>
      <c r="I78" s="24" t="str">
        <f aca="false">IF(H78&lt;Assumptions!$B$9,"Stock-out risk",IF(H78&lt;Assumptions!$B$10,"Low",IF(H78&gt;Assumptions!$B$11,"Overstock","Healthy")))</f>
        <v>Healthy</v>
      </c>
      <c r="J78" s="33" t="n">
        <f aca="false">E78*INDEX(Products!$D$2:$D$49,MATCH(B78,Products!$A$2:$A$49,0))</f>
        <v>7540</v>
      </c>
      <c r="K78" s="24" t="str">
        <f aca="false">IF(E78&lt;=F78,"Yes","No")</f>
        <v>No</v>
      </c>
    </row>
    <row r="79" customFormat="false" ht="15" hidden="false" customHeight="false" outlineLevel="0" collapsed="false">
      <c r="A79" s="24" t="s">
        <v>62</v>
      </c>
      <c r="B79" s="24" t="s">
        <v>173</v>
      </c>
      <c r="C79" s="24" t="str">
        <f aca="false">INDEX(Products!$B$2:$B$49,MATCH(B79,Products!$A$2:$A$49,0))</f>
        <v>Floor Cleaner 1L</v>
      </c>
      <c r="D79" s="24" t="str">
        <f aca="false">INDEX(Products!$C$2:$C$49,MATCH(B79,Products!$A$2:$A$49,0))</f>
        <v>Household</v>
      </c>
      <c r="E79" s="33" t="n">
        <v>99</v>
      </c>
      <c r="F79" s="33" t="n">
        <v>65</v>
      </c>
      <c r="G79" s="35" t="n">
        <f aca="false">SUMIFS(Sales!$D$2:$D$6001,Sales!$B$2:$B$6001,A79,Sales!$C$2:$C$6001,B79,Sales!$A$2:$A$6001,"&gt;="&amp;(Assumptions!$B$4-7*Assumptions!$B$13+1))/Assumptions!$B$13</f>
        <v>43.125</v>
      </c>
      <c r="H79" s="35" t="n">
        <f aca="false">IFERROR(E79/G79,999)</f>
        <v>2.29565217391304</v>
      </c>
      <c r="I79" s="24" t="str">
        <f aca="false">IF(H79&lt;Assumptions!$B$9,"Stock-out risk",IF(H79&lt;Assumptions!$B$10,"Low",IF(H79&gt;Assumptions!$B$11,"Overstock","Healthy")))</f>
        <v>Healthy</v>
      </c>
      <c r="J79" s="33" t="n">
        <f aca="false">E79*INDEX(Products!$D$2:$D$49,MATCH(B79,Products!$A$2:$A$49,0))</f>
        <v>19602</v>
      </c>
      <c r="K79" s="24" t="str">
        <f aca="false">IF(E79&lt;=F79,"Yes","No")</f>
        <v>No</v>
      </c>
    </row>
    <row r="80" customFormat="false" ht="15" hidden="false" customHeight="false" outlineLevel="0" collapsed="false">
      <c r="A80" s="24" t="s">
        <v>62</v>
      </c>
      <c r="B80" s="24" t="s">
        <v>175</v>
      </c>
      <c r="C80" s="24" t="str">
        <f aca="false">INDEX(Products!$B$2:$B$49,MATCH(B80,Products!$A$2:$A$49,0))</f>
        <v>Matchbox 10 Pack</v>
      </c>
      <c r="D80" s="24" t="str">
        <f aca="false">INDEX(Products!$C$2:$C$49,MATCH(B80,Products!$A$2:$A$49,0))</f>
        <v>Household</v>
      </c>
      <c r="E80" s="33" t="n">
        <v>605</v>
      </c>
      <c r="F80" s="33" t="n">
        <v>170</v>
      </c>
      <c r="G80" s="35" t="n">
        <f aca="false">SUMIFS(Sales!$D$2:$D$6001,Sales!$B$2:$B$6001,A80,Sales!$C$2:$C$6001,B80,Sales!$A$2:$A$6001,"&gt;="&amp;(Assumptions!$B$4-7*Assumptions!$B$13+1))/Assumptions!$B$13</f>
        <v>113.375</v>
      </c>
      <c r="H80" s="35" t="n">
        <f aca="false">IFERROR(E80/G80,999)</f>
        <v>5.33627342888644</v>
      </c>
      <c r="I80" s="24" t="str">
        <f aca="false">IF(H80&lt;Assumptions!$B$9,"Stock-out risk",IF(H80&lt;Assumptions!$B$10,"Low",IF(H80&gt;Assumptions!$B$11,"Overstock","Healthy")))</f>
        <v>Healthy</v>
      </c>
      <c r="J80" s="33" t="n">
        <f aca="false">E80*INDEX(Products!$D$2:$D$49,MATCH(B80,Products!$A$2:$A$49,0))</f>
        <v>28435</v>
      </c>
      <c r="K80" s="24" t="str">
        <f aca="false">IF(E80&lt;=F80,"Yes","No")</f>
        <v>No</v>
      </c>
    </row>
    <row r="81" customFormat="false" ht="15" hidden="false" customHeight="false" outlineLevel="0" collapsed="false">
      <c r="A81" s="24" t="s">
        <v>62</v>
      </c>
      <c r="B81" s="24" t="s">
        <v>177</v>
      </c>
      <c r="C81" s="24" t="str">
        <f aca="false">INDEX(Products!$B$2:$B$49,MATCH(B81,Products!$A$2:$A$49,0))</f>
        <v>Sponge Scourer 3 Pack</v>
      </c>
      <c r="D81" s="24" t="str">
        <f aca="false">INDEX(Products!$C$2:$C$49,MATCH(B81,Products!$A$2:$A$49,0))</f>
        <v>Household</v>
      </c>
      <c r="E81" s="33" t="n">
        <v>284</v>
      </c>
      <c r="F81" s="33" t="n">
        <v>80</v>
      </c>
      <c r="G81" s="35" t="n">
        <f aca="false">SUMIFS(Sales!$D$2:$D$6001,Sales!$B$2:$B$6001,A81,Sales!$C$2:$C$6001,B81,Sales!$A$2:$A$6001,"&gt;="&amp;(Assumptions!$B$4-7*Assumptions!$B$13+1))/Assumptions!$B$13</f>
        <v>53.125</v>
      </c>
      <c r="H81" s="35" t="n">
        <f aca="false">IFERROR(E81/G81,999)</f>
        <v>5.34588235294118</v>
      </c>
      <c r="I81" s="24" t="str">
        <f aca="false">IF(H81&lt;Assumptions!$B$9,"Stock-out risk",IF(H81&lt;Assumptions!$B$10,"Low",IF(H81&gt;Assumptions!$B$11,"Overstock","Healthy")))</f>
        <v>Healthy</v>
      </c>
      <c r="J81" s="33" t="n">
        <f aca="false">E81*INDEX(Products!$D$2:$D$49,MATCH(B81,Products!$A$2:$A$49,0))</f>
        <v>19880</v>
      </c>
      <c r="K81" s="24" t="str">
        <f aca="false">IF(E81&lt;=F81,"Yes","No")</f>
        <v>No</v>
      </c>
    </row>
    <row r="82" customFormat="false" ht="15" hidden="false" customHeight="false" outlineLevel="0" collapsed="false">
      <c r="A82" s="24" t="s">
        <v>62</v>
      </c>
      <c r="B82" s="24" t="s">
        <v>179</v>
      </c>
      <c r="C82" s="24" t="str">
        <f aca="false">INDEX(Products!$B$2:$B$49,MATCH(B82,Products!$A$2:$A$49,0))</f>
        <v>Toothpaste 100ml</v>
      </c>
      <c r="D82" s="24" t="str">
        <f aca="false">INDEX(Products!$C$2:$C$49,MATCH(B82,Products!$A$2:$A$49,0))</f>
        <v>Personal Care</v>
      </c>
      <c r="E82" s="33" t="n">
        <v>164</v>
      </c>
      <c r="F82" s="33" t="n">
        <v>21</v>
      </c>
      <c r="G82" s="35" t="n">
        <f aca="false">SUMIFS(Sales!$D$2:$D$6001,Sales!$B$2:$B$6001,A82,Sales!$C$2:$C$6001,B82,Sales!$A$2:$A$6001,"&gt;="&amp;(Assumptions!$B$4-7*Assumptions!$B$13+1))/Assumptions!$B$13</f>
        <v>14.25</v>
      </c>
      <c r="H82" s="35" t="n">
        <f aca="false">IFERROR(E82/G82,999)</f>
        <v>11.5087719298246</v>
      </c>
      <c r="I82" s="24" t="str">
        <f aca="false">IF(H82&lt;Assumptions!$B$9,"Stock-out risk",IF(H82&lt;Assumptions!$B$10,"Low",IF(H82&gt;Assumptions!$B$11,"Overstock","Healthy")))</f>
        <v>Overstock</v>
      </c>
      <c r="J82" s="33" t="n">
        <f aca="false">E82*INDEX(Products!$D$2:$D$49,MATCH(B82,Products!$A$2:$A$49,0))</f>
        <v>19680</v>
      </c>
      <c r="K82" s="24" t="str">
        <f aca="false">IF(E82&lt;=F82,"Yes","No")</f>
        <v>No</v>
      </c>
    </row>
    <row r="83" customFormat="false" ht="15" hidden="false" customHeight="false" outlineLevel="0" collapsed="false">
      <c r="A83" s="24" t="s">
        <v>62</v>
      </c>
      <c r="B83" s="24" t="s">
        <v>181</v>
      </c>
      <c r="C83" s="24" t="str">
        <f aca="false">INDEX(Products!$B$2:$B$49,MATCH(B83,Products!$A$2:$A$49,0))</f>
        <v>Body Lotion 400ml</v>
      </c>
      <c r="D83" s="24" t="str">
        <f aca="false">INDEX(Products!$C$2:$C$49,MATCH(B83,Products!$A$2:$A$49,0))</f>
        <v>Personal Care</v>
      </c>
      <c r="E83" s="33" t="n">
        <v>124</v>
      </c>
      <c r="F83" s="33" t="n">
        <v>111</v>
      </c>
      <c r="G83" s="35" t="n">
        <f aca="false">SUMIFS(Sales!$D$2:$D$6001,Sales!$B$2:$B$6001,A83,Sales!$C$2:$C$6001,B83,Sales!$A$2:$A$6001,"&gt;="&amp;(Assumptions!$B$4-7*Assumptions!$B$13+1))/Assumptions!$B$13</f>
        <v>73.75</v>
      </c>
      <c r="H83" s="35" t="n">
        <f aca="false">IFERROR(E83/G83,999)</f>
        <v>1.68135593220339</v>
      </c>
      <c r="I83" s="24" t="str">
        <f aca="false">IF(H83&lt;Assumptions!$B$9,"Stock-out risk",IF(H83&lt;Assumptions!$B$10,"Low",IF(H83&gt;Assumptions!$B$11,"Overstock","Healthy")))</f>
        <v>Low</v>
      </c>
      <c r="J83" s="33" t="n">
        <f aca="false">E83*INDEX(Products!$D$2:$D$49,MATCH(B83,Products!$A$2:$A$49,0))</f>
        <v>30628</v>
      </c>
      <c r="K83" s="24" t="str">
        <f aca="false">IF(E83&lt;=F83,"Yes","No")</f>
        <v>No</v>
      </c>
    </row>
    <row r="84" customFormat="false" ht="15" hidden="false" customHeight="false" outlineLevel="0" collapsed="false">
      <c r="A84" s="24" t="s">
        <v>62</v>
      </c>
      <c r="B84" s="24" t="s">
        <v>183</v>
      </c>
      <c r="C84" s="24" t="str">
        <f aca="false">INDEX(Products!$B$2:$B$49,MATCH(B84,Products!$A$2:$A$49,0))</f>
        <v>Shower Gel 400ml</v>
      </c>
      <c r="D84" s="24" t="str">
        <f aca="false">INDEX(Products!$C$2:$C$49,MATCH(B84,Products!$A$2:$A$49,0))</f>
        <v>Personal Care</v>
      </c>
      <c r="E84" s="33" t="n">
        <v>693</v>
      </c>
      <c r="F84" s="33" t="n">
        <v>86</v>
      </c>
      <c r="G84" s="35" t="n">
        <f aca="false">SUMIFS(Sales!$D$2:$D$6001,Sales!$B$2:$B$6001,A84,Sales!$C$2:$C$6001,B84,Sales!$A$2:$A$6001,"&gt;="&amp;(Assumptions!$B$4-7*Assumptions!$B$13+1))/Assumptions!$B$13</f>
        <v>57.5</v>
      </c>
      <c r="H84" s="35" t="n">
        <f aca="false">IFERROR(E84/G84,999)</f>
        <v>12.0521739130435</v>
      </c>
      <c r="I84" s="24" t="str">
        <f aca="false">IF(H84&lt;Assumptions!$B$9,"Stock-out risk",IF(H84&lt;Assumptions!$B$10,"Low",IF(H84&gt;Assumptions!$B$11,"Overstock","Healthy")))</f>
        <v>Overstock</v>
      </c>
      <c r="J84" s="33" t="n">
        <f aca="false">E84*INDEX(Products!$D$2:$D$49,MATCH(B84,Products!$A$2:$A$49,0))</f>
        <v>144144</v>
      </c>
      <c r="K84" s="24" t="str">
        <f aca="false">IF(E84&lt;=F84,"Yes","No")</f>
        <v>No</v>
      </c>
    </row>
    <row r="85" customFormat="false" ht="15" hidden="false" customHeight="false" outlineLevel="0" collapsed="false">
      <c r="A85" s="24" t="s">
        <v>62</v>
      </c>
      <c r="B85" s="24" t="s">
        <v>185</v>
      </c>
      <c r="C85" s="24" t="str">
        <f aca="false">INDEX(Products!$B$2:$B$49,MATCH(B85,Products!$A$2:$A$49,0))</f>
        <v>Deodorant Roll-on</v>
      </c>
      <c r="D85" s="24" t="str">
        <f aca="false">INDEX(Products!$C$2:$C$49,MATCH(B85,Products!$A$2:$A$49,0))</f>
        <v>Personal Care</v>
      </c>
      <c r="E85" s="33" t="n">
        <v>146</v>
      </c>
      <c r="F85" s="33" t="n">
        <v>187</v>
      </c>
      <c r="G85" s="35" t="n">
        <f aca="false">SUMIFS(Sales!$D$2:$D$6001,Sales!$B$2:$B$6001,A85,Sales!$C$2:$C$6001,B85,Sales!$A$2:$A$6001,"&gt;="&amp;(Assumptions!$B$4-7*Assumptions!$B$13+1))/Assumptions!$B$13</f>
        <v>124.875</v>
      </c>
      <c r="H85" s="35" t="n">
        <f aca="false">IFERROR(E85/G85,999)</f>
        <v>1.16916916916917</v>
      </c>
      <c r="I85" s="24" t="str">
        <f aca="false">IF(H85&lt;Assumptions!$B$9,"Stock-out risk",IF(H85&lt;Assumptions!$B$10,"Low",IF(H85&gt;Assumptions!$B$11,"Overstock","Healthy")))</f>
        <v>Low</v>
      </c>
      <c r="J85" s="33" t="n">
        <f aca="false">E85*INDEX(Products!$D$2:$D$49,MATCH(B85,Products!$A$2:$A$49,0))</f>
        <v>28470</v>
      </c>
      <c r="K85" s="24" t="str">
        <f aca="false">IF(E85&lt;=F85,"Yes","No")</f>
        <v>Yes</v>
      </c>
    </row>
    <row r="86" customFormat="false" ht="15" hidden="false" customHeight="false" outlineLevel="0" collapsed="false">
      <c r="A86" s="24" t="s">
        <v>62</v>
      </c>
      <c r="B86" s="24" t="s">
        <v>187</v>
      </c>
      <c r="C86" s="24" t="str">
        <f aca="false">INDEX(Products!$B$2:$B$49,MATCH(B86,Products!$A$2:$A$49,0))</f>
        <v>Sanitary Pads 8 Pack</v>
      </c>
      <c r="D86" s="24" t="str">
        <f aca="false">INDEX(Products!$C$2:$C$49,MATCH(B86,Products!$A$2:$A$49,0))</f>
        <v>Personal Care</v>
      </c>
      <c r="E86" s="33" t="n">
        <v>163</v>
      </c>
      <c r="F86" s="33" t="n">
        <v>63</v>
      </c>
      <c r="G86" s="35" t="n">
        <f aca="false">SUMIFS(Sales!$D$2:$D$6001,Sales!$B$2:$B$6001,A86,Sales!$C$2:$C$6001,B86,Sales!$A$2:$A$6001,"&gt;="&amp;(Assumptions!$B$4-7*Assumptions!$B$13+1))/Assumptions!$B$13</f>
        <v>42.25</v>
      </c>
      <c r="H86" s="35" t="n">
        <f aca="false">IFERROR(E86/G86,999)</f>
        <v>3.85798816568047</v>
      </c>
      <c r="I86" s="24" t="str">
        <f aca="false">IF(H86&lt;Assumptions!$B$9,"Stock-out risk",IF(H86&lt;Assumptions!$B$10,"Low",IF(H86&gt;Assumptions!$B$11,"Overstock","Healthy")))</f>
        <v>Healthy</v>
      </c>
      <c r="J86" s="33" t="n">
        <f aca="false">E86*INDEX(Products!$D$2:$D$49,MATCH(B86,Products!$A$2:$A$49,0))</f>
        <v>18582</v>
      </c>
      <c r="K86" s="24" t="str">
        <f aca="false">IF(E86&lt;=F86,"Yes","No")</f>
        <v>No</v>
      </c>
    </row>
    <row r="87" customFormat="false" ht="15" hidden="false" customHeight="false" outlineLevel="0" collapsed="false">
      <c r="A87" s="24" t="s">
        <v>62</v>
      </c>
      <c r="B87" s="24" t="s">
        <v>189</v>
      </c>
      <c r="C87" s="24" t="str">
        <f aca="false">INDEX(Products!$B$2:$B$49,MATCH(B87,Products!$A$2:$A$49,0))</f>
        <v>Shampoo 400ml</v>
      </c>
      <c r="D87" s="24" t="str">
        <f aca="false">INDEX(Products!$C$2:$C$49,MATCH(B87,Products!$A$2:$A$49,0))</f>
        <v>Personal Care</v>
      </c>
      <c r="E87" s="33" t="n">
        <v>37</v>
      </c>
      <c r="F87" s="33" t="n">
        <v>52</v>
      </c>
      <c r="G87" s="35" t="n">
        <f aca="false">SUMIFS(Sales!$D$2:$D$6001,Sales!$B$2:$B$6001,A87,Sales!$C$2:$C$6001,B87,Sales!$A$2:$A$6001,"&gt;="&amp;(Assumptions!$B$4-7*Assumptions!$B$13+1))/Assumptions!$B$13</f>
        <v>34.5</v>
      </c>
      <c r="H87" s="35" t="n">
        <f aca="false">IFERROR(E87/G87,999)</f>
        <v>1.07246376811594</v>
      </c>
      <c r="I87" s="24" t="str">
        <f aca="false">IF(H87&lt;Assumptions!$B$9,"Stock-out risk",IF(H87&lt;Assumptions!$B$10,"Low",IF(H87&gt;Assumptions!$B$11,"Overstock","Healthy")))</f>
        <v>Low</v>
      </c>
      <c r="J87" s="33" t="n">
        <f aca="false">E87*INDEX(Products!$D$2:$D$49,MATCH(B87,Products!$A$2:$A$49,0))</f>
        <v>8621</v>
      </c>
      <c r="K87" s="24" t="str">
        <f aca="false">IF(E87&lt;=F87,"Yes","No")</f>
        <v>Yes</v>
      </c>
    </row>
    <row r="88" customFormat="false" ht="15" hidden="false" customHeight="false" outlineLevel="0" collapsed="false">
      <c r="A88" s="24" t="s">
        <v>62</v>
      </c>
      <c r="B88" s="24" t="s">
        <v>191</v>
      </c>
      <c r="C88" s="24" t="str">
        <f aca="false">INDEX(Products!$B$2:$B$49,MATCH(B88,Products!$A$2:$A$49,0))</f>
        <v>Petroleum Jelly 250g</v>
      </c>
      <c r="D88" s="24" t="str">
        <f aca="false">INDEX(Products!$C$2:$C$49,MATCH(B88,Products!$A$2:$A$49,0))</f>
        <v>Personal Care</v>
      </c>
      <c r="E88" s="33" t="n">
        <v>67</v>
      </c>
      <c r="F88" s="33" t="n">
        <v>23</v>
      </c>
      <c r="G88" s="35" t="n">
        <f aca="false">SUMIFS(Sales!$D$2:$D$6001,Sales!$B$2:$B$6001,A88,Sales!$C$2:$C$6001,B88,Sales!$A$2:$A$6001,"&gt;="&amp;(Assumptions!$B$4-7*Assumptions!$B$13+1))/Assumptions!$B$13</f>
        <v>15.125</v>
      </c>
      <c r="H88" s="35" t="n">
        <f aca="false">IFERROR(E88/G88,999)</f>
        <v>4.4297520661157</v>
      </c>
      <c r="I88" s="24" t="str">
        <f aca="false">IF(H88&lt;Assumptions!$B$9,"Stock-out risk",IF(H88&lt;Assumptions!$B$10,"Low",IF(H88&gt;Assumptions!$B$11,"Overstock","Healthy")))</f>
        <v>Healthy</v>
      </c>
      <c r="J88" s="33" t="n">
        <f aca="false">E88*INDEX(Products!$D$2:$D$49,MATCH(B88,Products!$A$2:$A$49,0))</f>
        <v>8643</v>
      </c>
      <c r="K88" s="24" t="str">
        <f aca="false">IF(E88&lt;=F88,"Yes","No")</f>
        <v>No</v>
      </c>
    </row>
    <row r="89" customFormat="false" ht="15" hidden="false" customHeight="false" outlineLevel="0" collapsed="false">
      <c r="A89" s="24" t="s">
        <v>62</v>
      </c>
      <c r="B89" s="24" t="s">
        <v>193</v>
      </c>
      <c r="C89" s="24" t="str">
        <f aca="false">INDEX(Products!$B$2:$B$49,MATCH(B89,Products!$A$2:$A$49,0))</f>
        <v>Hand Wash 500ml</v>
      </c>
      <c r="D89" s="24" t="str">
        <f aca="false">INDEX(Products!$C$2:$C$49,MATCH(B89,Products!$A$2:$A$49,0))</f>
        <v>Personal Care</v>
      </c>
      <c r="E89" s="33" t="n">
        <v>413</v>
      </c>
      <c r="F89" s="33" t="n">
        <v>123</v>
      </c>
      <c r="G89" s="35" t="n">
        <f aca="false">SUMIFS(Sales!$D$2:$D$6001,Sales!$B$2:$B$6001,A89,Sales!$C$2:$C$6001,B89,Sales!$A$2:$A$6001,"&gt;="&amp;(Assumptions!$B$4-7*Assumptions!$B$13+1))/Assumptions!$B$13</f>
        <v>82</v>
      </c>
      <c r="H89" s="35" t="n">
        <f aca="false">IFERROR(E89/G89,999)</f>
        <v>5.03658536585366</v>
      </c>
      <c r="I89" s="24" t="str">
        <f aca="false">IF(H89&lt;Assumptions!$B$9,"Stock-out risk",IF(H89&lt;Assumptions!$B$10,"Low",IF(H89&gt;Assumptions!$B$11,"Overstock","Healthy")))</f>
        <v>Healthy</v>
      </c>
      <c r="J89" s="33" t="n">
        <f aca="false">E89*INDEX(Products!$D$2:$D$49,MATCH(B89,Products!$A$2:$A$49,0))</f>
        <v>65254</v>
      </c>
      <c r="K89" s="24" t="str">
        <f aca="false">IF(E89&lt;=F89,"Yes","No")</f>
        <v>No</v>
      </c>
    </row>
    <row r="90" customFormat="false" ht="15" hidden="false" customHeight="false" outlineLevel="0" collapsed="false">
      <c r="A90" s="24" t="s">
        <v>62</v>
      </c>
      <c r="B90" s="24" t="s">
        <v>195</v>
      </c>
      <c r="C90" s="24" t="str">
        <f aca="false">INDEX(Products!$B$2:$B$49,MATCH(B90,Products!$A$2:$A$49,0))</f>
        <v>Biscuits 200g</v>
      </c>
      <c r="D90" s="24" t="str">
        <f aca="false">INDEX(Products!$C$2:$C$49,MATCH(B90,Products!$A$2:$A$49,0))</f>
        <v>Snacks &amp; Confectionery</v>
      </c>
      <c r="E90" s="33" t="n">
        <v>1008</v>
      </c>
      <c r="F90" s="33" t="n">
        <v>503</v>
      </c>
      <c r="G90" s="35" t="n">
        <f aca="false">SUMIFS(Sales!$D$2:$D$6001,Sales!$B$2:$B$6001,A90,Sales!$C$2:$C$6001,B90,Sales!$A$2:$A$6001,"&gt;="&amp;(Assumptions!$B$4-7*Assumptions!$B$13+1))/Assumptions!$B$13</f>
        <v>335.5</v>
      </c>
      <c r="H90" s="35" t="n">
        <f aca="false">IFERROR(E90/G90,999)</f>
        <v>3.00447093889717</v>
      </c>
      <c r="I90" s="24" t="str">
        <f aca="false">IF(H90&lt;Assumptions!$B$9,"Stock-out risk",IF(H90&lt;Assumptions!$B$10,"Low",IF(H90&gt;Assumptions!$B$11,"Overstock","Healthy")))</f>
        <v>Healthy</v>
      </c>
      <c r="J90" s="33" t="n">
        <f aca="false">E90*INDEX(Products!$D$2:$D$49,MATCH(B90,Products!$A$2:$A$49,0))</f>
        <v>74592</v>
      </c>
      <c r="K90" s="24" t="str">
        <f aca="false">IF(E90&lt;=F90,"Yes","No")</f>
        <v>No</v>
      </c>
    </row>
    <row r="91" customFormat="false" ht="15" hidden="false" customHeight="false" outlineLevel="0" collapsed="false">
      <c r="A91" s="24" t="s">
        <v>62</v>
      </c>
      <c r="B91" s="24" t="s">
        <v>197</v>
      </c>
      <c r="C91" s="24" t="str">
        <f aca="false">INDEX(Products!$B$2:$B$49,MATCH(B91,Products!$A$2:$A$49,0))</f>
        <v>Potato Crisps 100g</v>
      </c>
      <c r="D91" s="24" t="str">
        <f aca="false">INDEX(Products!$C$2:$C$49,MATCH(B91,Products!$A$2:$A$49,0))</f>
        <v>Snacks &amp; Confectionery</v>
      </c>
      <c r="E91" s="33" t="n">
        <v>102</v>
      </c>
      <c r="F91" s="33" t="n">
        <v>76</v>
      </c>
      <c r="G91" s="35" t="n">
        <f aca="false">SUMIFS(Sales!$D$2:$D$6001,Sales!$B$2:$B$6001,A91,Sales!$C$2:$C$6001,B91,Sales!$A$2:$A$6001,"&gt;="&amp;(Assumptions!$B$4-7*Assumptions!$B$13+1))/Assumptions!$B$13</f>
        <v>50.625</v>
      </c>
      <c r="H91" s="35" t="n">
        <f aca="false">IFERROR(E91/G91,999)</f>
        <v>2.01481481481481</v>
      </c>
      <c r="I91" s="24" t="str">
        <f aca="false">IF(H91&lt;Assumptions!$B$9,"Stock-out risk",IF(H91&lt;Assumptions!$B$10,"Low",IF(H91&gt;Assumptions!$B$11,"Overstock","Healthy")))</f>
        <v>Healthy</v>
      </c>
      <c r="J91" s="33" t="n">
        <f aca="false">E91*INDEX(Products!$D$2:$D$49,MATCH(B91,Products!$A$2:$A$49,0))</f>
        <v>6732</v>
      </c>
      <c r="K91" s="24" t="str">
        <f aca="false">IF(E91&lt;=F91,"Yes","No")</f>
        <v>No</v>
      </c>
    </row>
    <row r="92" customFormat="false" ht="15" hidden="false" customHeight="false" outlineLevel="0" collapsed="false">
      <c r="A92" s="24" t="s">
        <v>62</v>
      </c>
      <c r="B92" s="24" t="s">
        <v>199</v>
      </c>
      <c r="C92" s="24" t="str">
        <f aca="false">INDEX(Products!$B$2:$B$49,MATCH(B92,Products!$A$2:$A$49,0))</f>
        <v>Chocolate Bar 90g</v>
      </c>
      <c r="D92" s="24" t="str">
        <f aca="false">INDEX(Products!$C$2:$C$49,MATCH(B92,Products!$A$2:$A$49,0))</f>
        <v>Snacks &amp; Confectionery</v>
      </c>
      <c r="E92" s="33" t="n">
        <v>75</v>
      </c>
      <c r="F92" s="33" t="n">
        <v>53</v>
      </c>
      <c r="G92" s="35" t="n">
        <f aca="false">SUMIFS(Sales!$D$2:$D$6001,Sales!$B$2:$B$6001,A92,Sales!$C$2:$C$6001,B92,Sales!$A$2:$A$6001,"&gt;="&amp;(Assumptions!$B$4-7*Assumptions!$B$13+1))/Assumptions!$B$13</f>
        <v>35.5</v>
      </c>
      <c r="H92" s="35" t="n">
        <f aca="false">IFERROR(E92/G92,999)</f>
        <v>2.11267605633803</v>
      </c>
      <c r="I92" s="24" t="str">
        <f aca="false">IF(H92&lt;Assumptions!$B$9,"Stock-out risk",IF(H92&lt;Assumptions!$B$10,"Low",IF(H92&gt;Assumptions!$B$11,"Overstock","Healthy")))</f>
        <v>Healthy</v>
      </c>
      <c r="J92" s="33" t="n">
        <f aca="false">E92*INDEX(Products!$D$2:$D$49,MATCH(B92,Products!$A$2:$A$49,0))</f>
        <v>8325</v>
      </c>
      <c r="K92" s="24" t="str">
        <f aca="false">IF(E92&lt;=F92,"Yes","No")</f>
        <v>No</v>
      </c>
    </row>
    <row r="93" customFormat="false" ht="15" hidden="false" customHeight="false" outlineLevel="0" collapsed="false">
      <c r="A93" s="24" t="s">
        <v>62</v>
      </c>
      <c r="B93" s="24" t="s">
        <v>201</v>
      </c>
      <c r="C93" s="24" t="str">
        <f aca="false">INDEX(Products!$B$2:$B$49,MATCH(B93,Products!$A$2:$A$49,0))</f>
        <v>Peanuts Roasted 250g</v>
      </c>
      <c r="D93" s="24" t="str">
        <f aca="false">INDEX(Products!$C$2:$C$49,MATCH(B93,Products!$A$2:$A$49,0))</f>
        <v>Snacks &amp; Confectionery</v>
      </c>
      <c r="E93" s="33" t="n">
        <v>573</v>
      </c>
      <c r="F93" s="33" t="n">
        <v>158</v>
      </c>
      <c r="G93" s="35" t="n">
        <f aca="false">SUMIFS(Sales!$D$2:$D$6001,Sales!$B$2:$B$6001,A93,Sales!$C$2:$C$6001,B93,Sales!$A$2:$A$6001,"&gt;="&amp;(Assumptions!$B$4-7*Assumptions!$B$13+1))/Assumptions!$B$13</f>
        <v>105.625</v>
      </c>
      <c r="H93" s="35" t="n">
        <f aca="false">IFERROR(E93/G93,999)</f>
        <v>5.42485207100592</v>
      </c>
      <c r="I93" s="24" t="str">
        <f aca="false">IF(H93&lt;Assumptions!$B$9,"Stock-out risk",IF(H93&lt;Assumptions!$B$10,"Low",IF(H93&gt;Assumptions!$B$11,"Overstock","Healthy")))</f>
        <v>Healthy</v>
      </c>
      <c r="J93" s="33" t="n">
        <f aca="false">E93*INDEX(Products!$D$2:$D$49,MATCH(B93,Products!$A$2:$A$49,0))</f>
        <v>68760</v>
      </c>
      <c r="K93" s="24" t="str">
        <f aca="false">IF(E93&lt;=F93,"Yes","No")</f>
        <v>No</v>
      </c>
    </row>
    <row r="94" customFormat="false" ht="15" hidden="false" customHeight="false" outlineLevel="0" collapsed="false">
      <c r="A94" s="24" t="s">
        <v>62</v>
      </c>
      <c r="B94" s="24" t="s">
        <v>203</v>
      </c>
      <c r="C94" s="24" t="str">
        <f aca="false">INDEX(Products!$B$2:$B$49,MATCH(B94,Products!$A$2:$A$49,0))</f>
        <v>Bread White 400g</v>
      </c>
      <c r="D94" s="24" t="str">
        <f aca="false">INDEX(Products!$C$2:$C$49,MATCH(B94,Products!$A$2:$A$49,0))</f>
        <v>Snacks &amp; Confectionery</v>
      </c>
      <c r="E94" s="33" t="n">
        <v>129</v>
      </c>
      <c r="F94" s="33" t="n">
        <v>79</v>
      </c>
      <c r="G94" s="35" t="n">
        <f aca="false">SUMIFS(Sales!$D$2:$D$6001,Sales!$B$2:$B$6001,A94,Sales!$C$2:$C$6001,B94,Sales!$A$2:$A$6001,"&gt;="&amp;(Assumptions!$B$4-7*Assumptions!$B$13+1))/Assumptions!$B$13</f>
        <v>52.375</v>
      </c>
      <c r="H94" s="35" t="n">
        <f aca="false">IFERROR(E94/G94,999)</f>
        <v>2.46300715990453</v>
      </c>
      <c r="I94" s="24" t="str">
        <f aca="false">IF(H94&lt;Assumptions!$B$9,"Stock-out risk",IF(H94&lt;Assumptions!$B$10,"Low",IF(H94&gt;Assumptions!$B$11,"Overstock","Healthy")))</f>
        <v>Healthy</v>
      </c>
      <c r="J94" s="33" t="n">
        <f aca="false">E94*INDEX(Products!$D$2:$D$49,MATCH(B94,Products!$A$2:$A$49,0))</f>
        <v>6063</v>
      </c>
      <c r="K94" s="24" t="str">
        <f aca="false">IF(E94&lt;=F94,"Yes","No")</f>
        <v>No</v>
      </c>
    </row>
    <row r="95" customFormat="false" ht="15" hidden="false" customHeight="false" outlineLevel="0" collapsed="false">
      <c r="A95" s="24" t="s">
        <v>62</v>
      </c>
      <c r="B95" s="24" t="s">
        <v>205</v>
      </c>
      <c r="C95" s="24" t="str">
        <f aca="false">INDEX(Products!$B$2:$B$49,MATCH(B95,Products!$A$2:$A$49,0))</f>
        <v>Cake Slice</v>
      </c>
      <c r="D95" s="24" t="str">
        <f aca="false">INDEX(Products!$C$2:$C$49,MATCH(B95,Products!$A$2:$A$49,0))</f>
        <v>Snacks &amp; Confectionery</v>
      </c>
      <c r="E95" s="33" t="n">
        <v>224</v>
      </c>
      <c r="F95" s="33" t="n">
        <v>110</v>
      </c>
      <c r="G95" s="35" t="n">
        <f aca="false">SUMIFS(Sales!$D$2:$D$6001,Sales!$B$2:$B$6001,A95,Sales!$C$2:$C$6001,B95,Sales!$A$2:$A$6001,"&gt;="&amp;(Assumptions!$B$4-7*Assumptions!$B$13+1))/Assumptions!$B$13</f>
        <v>73.625</v>
      </c>
      <c r="H95" s="35" t="n">
        <f aca="false">IFERROR(E95/G95,999)</f>
        <v>3.04244482173175</v>
      </c>
      <c r="I95" s="24" t="str">
        <f aca="false">IF(H95&lt;Assumptions!$B$9,"Stock-out risk",IF(H95&lt;Assumptions!$B$10,"Low",IF(H95&gt;Assumptions!$B$11,"Overstock","Healthy")))</f>
        <v>Healthy</v>
      </c>
      <c r="J95" s="33" t="n">
        <f aca="false">E95*INDEX(Products!$D$2:$D$49,MATCH(B95,Products!$A$2:$A$49,0))</f>
        <v>18144</v>
      </c>
      <c r="K95" s="24" t="str">
        <f aca="false">IF(E95&lt;=F95,"Yes","No")</f>
        <v>No</v>
      </c>
    </row>
    <row r="96" customFormat="false" ht="15" hidden="false" customHeight="false" outlineLevel="0" collapsed="false">
      <c r="A96" s="24" t="s">
        <v>62</v>
      </c>
      <c r="B96" s="24" t="s">
        <v>207</v>
      </c>
      <c r="C96" s="24" t="str">
        <f aca="false">INDEX(Products!$B$2:$B$49,MATCH(B96,Products!$A$2:$A$49,0))</f>
        <v>Sweets Jar 300g</v>
      </c>
      <c r="D96" s="24" t="str">
        <f aca="false">INDEX(Products!$C$2:$C$49,MATCH(B96,Products!$A$2:$A$49,0))</f>
        <v>Snacks &amp; Confectionery</v>
      </c>
      <c r="E96" s="33" t="n">
        <v>216</v>
      </c>
      <c r="F96" s="33" t="n">
        <v>105</v>
      </c>
      <c r="G96" s="35" t="n">
        <f aca="false">SUMIFS(Sales!$D$2:$D$6001,Sales!$B$2:$B$6001,A96,Sales!$C$2:$C$6001,B96,Sales!$A$2:$A$6001,"&gt;="&amp;(Assumptions!$B$4-7*Assumptions!$B$13+1))/Assumptions!$B$13</f>
        <v>70.25</v>
      </c>
      <c r="H96" s="35" t="n">
        <f aca="false">IFERROR(E96/G96,999)</f>
        <v>3.07473309608541</v>
      </c>
      <c r="I96" s="24" t="str">
        <f aca="false">IF(H96&lt;Assumptions!$B$9,"Stock-out risk",IF(H96&lt;Assumptions!$B$10,"Low",IF(H96&gt;Assumptions!$B$11,"Overstock","Healthy")))</f>
        <v>Healthy</v>
      </c>
      <c r="J96" s="33" t="n">
        <f aca="false">E96*INDEX(Products!$D$2:$D$49,MATCH(B96,Products!$A$2:$A$49,0))</f>
        <v>27216</v>
      </c>
      <c r="K96" s="24" t="str">
        <f aca="false">IF(E96&lt;=F96,"Yes","No")</f>
        <v>No</v>
      </c>
    </row>
    <row r="97" customFormat="false" ht="15" hidden="false" customHeight="false" outlineLevel="0" collapsed="false">
      <c r="A97" s="24" t="s">
        <v>62</v>
      </c>
      <c r="B97" s="24" t="s">
        <v>209</v>
      </c>
      <c r="C97" s="24" t="str">
        <f aca="false">INDEX(Products!$B$2:$B$49,MATCH(B97,Products!$A$2:$A$49,0))</f>
        <v>Popcorn 100g</v>
      </c>
      <c r="D97" s="24" t="str">
        <f aca="false">INDEX(Products!$C$2:$C$49,MATCH(B97,Products!$A$2:$A$49,0))</f>
        <v>Snacks &amp; Confectionery</v>
      </c>
      <c r="E97" s="33" t="n">
        <v>877</v>
      </c>
      <c r="F97" s="33" t="n">
        <v>179</v>
      </c>
      <c r="G97" s="35" t="n">
        <f aca="false">SUMIFS(Sales!$D$2:$D$6001,Sales!$B$2:$B$6001,A97,Sales!$C$2:$C$6001,B97,Sales!$A$2:$A$6001,"&gt;="&amp;(Assumptions!$B$4-7*Assumptions!$B$13+1))/Assumptions!$B$13</f>
        <v>119.5</v>
      </c>
      <c r="H97" s="35" t="n">
        <f aca="false">IFERROR(E97/G97,999)</f>
        <v>7.33891213389121</v>
      </c>
      <c r="I97" s="24" t="str">
        <f aca="false">IF(H97&lt;Assumptions!$B$9,"Stock-out risk",IF(H97&lt;Assumptions!$B$10,"Low",IF(H97&gt;Assumptions!$B$11,"Overstock","Healthy")))</f>
        <v>Healthy</v>
      </c>
      <c r="J97" s="33" t="n">
        <f aca="false">E97*INDEX(Products!$D$2:$D$49,MATCH(B97,Products!$A$2:$A$49,0))</f>
        <v>41219</v>
      </c>
      <c r="K97" s="24" t="str">
        <f aca="false">IF(E97&lt;=F97,"Yes","No")</f>
        <v>No</v>
      </c>
    </row>
    <row r="98" customFormat="false" ht="15" hidden="false" customHeight="false" outlineLevel="0" collapsed="false">
      <c r="A98" s="24" t="s">
        <v>63</v>
      </c>
      <c r="B98" s="24" t="s">
        <v>115</v>
      </c>
      <c r="C98" s="24" t="str">
        <f aca="false">INDEX(Products!$B$2:$B$49,MATCH(B98,Products!$A$2:$A$49,0))</f>
        <v>Maize Flour 2kg</v>
      </c>
      <c r="D98" s="24" t="str">
        <f aca="false">INDEX(Products!$C$2:$C$49,MATCH(B98,Products!$A$2:$A$49,0))</f>
        <v>Grocery Staples</v>
      </c>
      <c r="E98" s="33" t="n">
        <v>351</v>
      </c>
      <c r="F98" s="33" t="n">
        <v>225</v>
      </c>
      <c r="G98" s="35" t="n">
        <f aca="false">SUMIFS(Sales!$D$2:$D$6001,Sales!$B$2:$B$6001,A98,Sales!$C$2:$C$6001,B98,Sales!$A$2:$A$6001,"&gt;="&amp;(Assumptions!$B$4-7*Assumptions!$B$13+1))/Assumptions!$B$13</f>
        <v>150.25</v>
      </c>
      <c r="H98" s="35" t="n">
        <f aca="false">IFERROR(E98/G98,999)</f>
        <v>2.33610648918469</v>
      </c>
      <c r="I98" s="24" t="str">
        <f aca="false">IF(H98&lt;Assumptions!$B$9,"Stock-out risk",IF(H98&lt;Assumptions!$B$10,"Low",IF(H98&gt;Assumptions!$B$11,"Overstock","Healthy")))</f>
        <v>Healthy</v>
      </c>
      <c r="J98" s="33" t="n">
        <f aca="false">E98*INDEX(Products!$D$2:$D$49,MATCH(B98,Products!$A$2:$A$49,0))</f>
        <v>50544</v>
      </c>
      <c r="K98" s="24" t="str">
        <f aca="false">IF(E98&lt;=F98,"Yes","No")</f>
        <v>No</v>
      </c>
    </row>
    <row r="99" customFormat="false" ht="15" hidden="false" customHeight="false" outlineLevel="0" collapsed="false">
      <c r="A99" s="24" t="s">
        <v>63</v>
      </c>
      <c r="B99" s="24" t="s">
        <v>117</v>
      </c>
      <c r="C99" s="24" t="str">
        <f aca="false">INDEX(Products!$B$2:$B$49,MATCH(B99,Products!$A$2:$A$49,0))</f>
        <v>Wheat Flour 2kg</v>
      </c>
      <c r="D99" s="24" t="str">
        <f aca="false">INDEX(Products!$C$2:$C$49,MATCH(B99,Products!$A$2:$A$49,0))</f>
        <v>Grocery Staples</v>
      </c>
      <c r="E99" s="33" t="n">
        <v>264</v>
      </c>
      <c r="F99" s="33" t="n">
        <v>143</v>
      </c>
      <c r="G99" s="35" t="n">
        <f aca="false">SUMIFS(Sales!$D$2:$D$6001,Sales!$B$2:$B$6001,A99,Sales!$C$2:$C$6001,B99,Sales!$A$2:$A$6001,"&gt;="&amp;(Assumptions!$B$4-7*Assumptions!$B$13+1))/Assumptions!$B$13</f>
        <v>95.25</v>
      </c>
      <c r="H99" s="35" t="n">
        <f aca="false">IFERROR(E99/G99,999)</f>
        <v>2.77165354330709</v>
      </c>
      <c r="I99" s="24" t="str">
        <f aca="false">IF(H99&lt;Assumptions!$B$9,"Stock-out risk",IF(H99&lt;Assumptions!$B$10,"Low",IF(H99&gt;Assumptions!$B$11,"Overstock","Healthy")))</f>
        <v>Healthy</v>
      </c>
      <c r="J99" s="33" t="n">
        <f aca="false">E99*INDEX(Products!$D$2:$D$49,MATCH(B99,Products!$A$2:$A$49,0))</f>
        <v>44352</v>
      </c>
      <c r="K99" s="24" t="str">
        <f aca="false">IF(E99&lt;=F99,"Yes","No")</f>
        <v>No</v>
      </c>
    </row>
    <row r="100" customFormat="false" ht="15" hidden="false" customHeight="false" outlineLevel="0" collapsed="false">
      <c r="A100" s="24" t="s">
        <v>63</v>
      </c>
      <c r="B100" s="24" t="s">
        <v>119</v>
      </c>
      <c r="C100" s="24" t="str">
        <f aca="false">INDEX(Products!$B$2:$B$49,MATCH(B100,Products!$A$2:$A$49,0))</f>
        <v>Rice Pishori 2kg</v>
      </c>
      <c r="D100" s="24" t="str">
        <f aca="false">INDEX(Products!$C$2:$C$49,MATCH(B100,Products!$A$2:$A$49,0))</f>
        <v>Grocery Staples</v>
      </c>
      <c r="E100" s="33" t="n">
        <v>422</v>
      </c>
      <c r="F100" s="33" t="n">
        <v>117</v>
      </c>
      <c r="G100" s="35" t="n">
        <f aca="false">SUMIFS(Sales!$D$2:$D$6001,Sales!$B$2:$B$6001,A100,Sales!$C$2:$C$6001,B100,Sales!$A$2:$A$6001,"&gt;="&amp;(Assumptions!$B$4-7*Assumptions!$B$13+1))/Assumptions!$B$13</f>
        <v>78</v>
      </c>
      <c r="H100" s="35" t="n">
        <f aca="false">IFERROR(E100/G100,999)</f>
        <v>5.41025641025641</v>
      </c>
      <c r="I100" s="24" t="str">
        <f aca="false">IF(H100&lt;Assumptions!$B$9,"Stock-out risk",IF(H100&lt;Assumptions!$B$10,"Low",IF(H100&gt;Assumptions!$B$11,"Overstock","Healthy")))</f>
        <v>Healthy</v>
      </c>
      <c r="J100" s="33" t="n">
        <f aca="false">E100*INDEX(Products!$D$2:$D$49,MATCH(B100,Products!$A$2:$A$49,0))</f>
        <v>158672</v>
      </c>
      <c r="K100" s="24" t="str">
        <f aca="false">IF(E100&lt;=F100,"Yes","No")</f>
        <v>No</v>
      </c>
    </row>
    <row r="101" customFormat="false" ht="15" hidden="false" customHeight="false" outlineLevel="0" collapsed="false">
      <c r="A101" s="24" t="s">
        <v>63</v>
      </c>
      <c r="B101" s="24" t="s">
        <v>121</v>
      </c>
      <c r="C101" s="24" t="str">
        <f aca="false">INDEX(Products!$B$2:$B$49,MATCH(B101,Products!$A$2:$A$49,0))</f>
        <v>Sugar 1kg</v>
      </c>
      <c r="D101" s="24" t="str">
        <f aca="false">INDEX(Products!$C$2:$C$49,MATCH(B101,Products!$A$2:$A$49,0))</f>
        <v>Grocery Staples</v>
      </c>
      <c r="E101" s="33" t="n">
        <v>234</v>
      </c>
      <c r="F101" s="33" t="n">
        <v>75</v>
      </c>
      <c r="G101" s="35" t="n">
        <f aca="false">SUMIFS(Sales!$D$2:$D$6001,Sales!$B$2:$B$6001,A101,Sales!$C$2:$C$6001,B101,Sales!$A$2:$A$6001,"&gt;="&amp;(Assumptions!$B$4-7*Assumptions!$B$13+1))/Assumptions!$B$13</f>
        <v>50.125</v>
      </c>
      <c r="H101" s="35" t="n">
        <f aca="false">IFERROR(E101/G101,999)</f>
        <v>4.66832917705736</v>
      </c>
      <c r="I101" s="24" t="str">
        <f aca="false">IF(H101&lt;Assumptions!$B$9,"Stock-out risk",IF(H101&lt;Assumptions!$B$10,"Low",IF(H101&gt;Assumptions!$B$11,"Overstock","Healthy")))</f>
        <v>Healthy</v>
      </c>
      <c r="J101" s="33" t="n">
        <f aca="false">E101*INDEX(Products!$D$2:$D$49,MATCH(B101,Products!$A$2:$A$49,0))</f>
        <v>37674</v>
      </c>
      <c r="K101" s="24" t="str">
        <f aca="false">IF(E101&lt;=F101,"Yes","No")</f>
        <v>No</v>
      </c>
    </row>
    <row r="102" customFormat="false" ht="15" hidden="false" customHeight="false" outlineLevel="0" collapsed="false">
      <c r="A102" s="24" t="s">
        <v>63</v>
      </c>
      <c r="B102" s="24" t="s">
        <v>123</v>
      </c>
      <c r="C102" s="24" t="str">
        <f aca="false">INDEX(Products!$B$2:$B$49,MATCH(B102,Products!$A$2:$A$49,0))</f>
        <v>Cooking Oil 1L</v>
      </c>
      <c r="D102" s="24" t="str">
        <f aca="false">INDEX(Products!$C$2:$C$49,MATCH(B102,Products!$A$2:$A$49,0))</f>
        <v>Grocery Staples</v>
      </c>
      <c r="E102" s="33" t="n">
        <v>2050</v>
      </c>
      <c r="F102" s="33" t="n">
        <v>361</v>
      </c>
      <c r="G102" s="35" t="n">
        <f aca="false">SUMIFS(Sales!$D$2:$D$6001,Sales!$B$2:$B$6001,A102,Sales!$C$2:$C$6001,B102,Sales!$A$2:$A$6001,"&gt;="&amp;(Assumptions!$B$4-7*Assumptions!$B$13+1))/Assumptions!$B$13</f>
        <v>240.625</v>
      </c>
      <c r="H102" s="35" t="n">
        <f aca="false">IFERROR(E102/G102,999)</f>
        <v>8.51948051948052</v>
      </c>
      <c r="I102" s="24" t="str">
        <f aca="false">IF(H102&lt;Assumptions!$B$9,"Stock-out risk",IF(H102&lt;Assumptions!$B$10,"Low",IF(H102&gt;Assumptions!$B$11,"Overstock","Healthy")))</f>
        <v>Overstock</v>
      </c>
      <c r="J102" s="33" t="n">
        <f aca="false">E102*INDEX(Products!$D$2:$D$49,MATCH(B102,Products!$A$2:$A$49,0))</f>
        <v>608850</v>
      </c>
      <c r="K102" s="24" t="str">
        <f aca="false">IF(E102&lt;=F102,"Yes","No")</f>
        <v>No</v>
      </c>
    </row>
    <row r="103" customFormat="false" ht="15" hidden="false" customHeight="false" outlineLevel="0" collapsed="false">
      <c r="A103" s="24" t="s">
        <v>63</v>
      </c>
      <c r="B103" s="24" t="s">
        <v>125</v>
      </c>
      <c r="C103" s="24" t="str">
        <f aca="false">INDEX(Products!$B$2:$B$49,MATCH(B103,Products!$A$2:$A$49,0))</f>
        <v>Salt 500g</v>
      </c>
      <c r="D103" s="24" t="str">
        <f aca="false">INDEX(Products!$C$2:$C$49,MATCH(B103,Products!$A$2:$A$49,0))</f>
        <v>Grocery Staples</v>
      </c>
      <c r="E103" s="33" t="n">
        <v>300</v>
      </c>
      <c r="F103" s="33" t="n">
        <v>48</v>
      </c>
      <c r="G103" s="35" t="n">
        <f aca="false">SUMIFS(Sales!$D$2:$D$6001,Sales!$B$2:$B$6001,A103,Sales!$C$2:$C$6001,B103,Sales!$A$2:$A$6001,"&gt;="&amp;(Assumptions!$B$4-7*Assumptions!$B$13+1))/Assumptions!$B$13</f>
        <v>31.875</v>
      </c>
      <c r="H103" s="35" t="n">
        <f aca="false">IFERROR(E103/G103,999)</f>
        <v>9.41176470588235</v>
      </c>
      <c r="I103" s="24" t="str">
        <f aca="false">IF(H103&lt;Assumptions!$B$9,"Stock-out risk",IF(H103&lt;Assumptions!$B$10,"Low",IF(H103&gt;Assumptions!$B$11,"Overstock","Healthy")))</f>
        <v>Overstock</v>
      </c>
      <c r="J103" s="33" t="n">
        <f aca="false">E103*INDEX(Products!$D$2:$D$49,MATCH(B103,Products!$A$2:$A$49,0))</f>
        <v>12000</v>
      </c>
      <c r="K103" s="24" t="str">
        <f aca="false">IF(E103&lt;=F103,"Yes","No")</f>
        <v>No</v>
      </c>
    </row>
    <row r="104" customFormat="false" ht="15" hidden="false" customHeight="false" outlineLevel="0" collapsed="false">
      <c r="A104" s="24" t="s">
        <v>63</v>
      </c>
      <c r="B104" s="24" t="s">
        <v>127</v>
      </c>
      <c r="C104" s="24" t="str">
        <f aca="false">INDEX(Products!$B$2:$B$49,MATCH(B104,Products!$A$2:$A$49,0))</f>
        <v>Tea Leaves 250g</v>
      </c>
      <c r="D104" s="24" t="str">
        <f aca="false">INDEX(Products!$C$2:$C$49,MATCH(B104,Products!$A$2:$A$49,0))</f>
        <v>Grocery Staples</v>
      </c>
      <c r="E104" s="33" t="n">
        <v>807</v>
      </c>
      <c r="F104" s="33" t="n">
        <v>277</v>
      </c>
      <c r="G104" s="35" t="n">
        <f aca="false">SUMIFS(Sales!$D$2:$D$6001,Sales!$B$2:$B$6001,A104,Sales!$C$2:$C$6001,B104,Sales!$A$2:$A$6001,"&gt;="&amp;(Assumptions!$B$4-7*Assumptions!$B$13+1))/Assumptions!$B$13</f>
        <v>184.875</v>
      </c>
      <c r="H104" s="35" t="n">
        <f aca="false">IFERROR(E104/G104,999)</f>
        <v>4.36511156186613</v>
      </c>
      <c r="I104" s="24" t="str">
        <f aca="false">IF(H104&lt;Assumptions!$B$9,"Stock-out risk",IF(H104&lt;Assumptions!$B$10,"Low",IF(H104&gt;Assumptions!$B$11,"Overstock","Healthy")))</f>
        <v>Healthy</v>
      </c>
      <c r="J104" s="33" t="n">
        <f aca="false">E104*INDEX(Products!$D$2:$D$49,MATCH(B104,Products!$A$2:$A$49,0))</f>
        <v>83121</v>
      </c>
      <c r="K104" s="24" t="str">
        <f aca="false">IF(E104&lt;=F104,"Yes","No")</f>
        <v>No</v>
      </c>
    </row>
    <row r="105" customFormat="false" ht="15" hidden="false" customHeight="false" outlineLevel="0" collapsed="false">
      <c r="A105" s="24" t="s">
        <v>63</v>
      </c>
      <c r="B105" s="24" t="s">
        <v>129</v>
      </c>
      <c r="C105" s="24" t="str">
        <f aca="false">INDEX(Products!$B$2:$B$49,MATCH(B105,Products!$A$2:$A$49,0))</f>
        <v>Dry Beans 1kg</v>
      </c>
      <c r="D105" s="24" t="str">
        <f aca="false">INDEX(Products!$C$2:$C$49,MATCH(B105,Products!$A$2:$A$49,0))</f>
        <v>Grocery Staples</v>
      </c>
      <c r="E105" s="33" t="n">
        <v>1096</v>
      </c>
      <c r="F105" s="33" t="n">
        <v>269</v>
      </c>
      <c r="G105" s="35" t="n">
        <f aca="false">SUMIFS(Sales!$D$2:$D$6001,Sales!$B$2:$B$6001,A105,Sales!$C$2:$C$6001,B105,Sales!$A$2:$A$6001,"&gt;="&amp;(Assumptions!$B$4-7*Assumptions!$B$13+1))/Assumptions!$B$13</f>
        <v>179.625</v>
      </c>
      <c r="H105" s="35" t="n">
        <f aca="false">IFERROR(E105/G105,999)</f>
        <v>6.10160055671538</v>
      </c>
      <c r="I105" s="24" t="str">
        <f aca="false">IF(H105&lt;Assumptions!$B$9,"Stock-out risk",IF(H105&lt;Assumptions!$B$10,"Low",IF(H105&gt;Assumptions!$B$11,"Overstock","Healthy")))</f>
        <v>Healthy</v>
      </c>
      <c r="J105" s="33" t="n">
        <f aca="false">E105*INDEX(Products!$D$2:$D$49,MATCH(B105,Products!$A$2:$A$49,0))</f>
        <v>203856</v>
      </c>
      <c r="K105" s="24" t="str">
        <f aca="false">IF(E105&lt;=F105,"Yes","No")</f>
        <v>No</v>
      </c>
    </row>
    <row r="106" customFormat="false" ht="15" hidden="false" customHeight="false" outlineLevel="0" collapsed="false">
      <c r="A106" s="24" t="s">
        <v>63</v>
      </c>
      <c r="B106" s="24" t="s">
        <v>131</v>
      </c>
      <c r="C106" s="24" t="str">
        <f aca="false">INDEX(Products!$B$2:$B$49,MATCH(B106,Products!$A$2:$A$49,0))</f>
        <v>Fresh Milk 500ml</v>
      </c>
      <c r="D106" s="24" t="str">
        <f aca="false">INDEX(Products!$C$2:$C$49,MATCH(B106,Products!$A$2:$A$49,0))</f>
        <v>Dairy &amp; Eggs</v>
      </c>
      <c r="E106" s="33" t="n">
        <v>107</v>
      </c>
      <c r="F106" s="33" t="n">
        <v>31</v>
      </c>
      <c r="G106" s="35" t="n">
        <f aca="false">SUMIFS(Sales!$D$2:$D$6001,Sales!$B$2:$B$6001,A106,Sales!$C$2:$C$6001,B106,Sales!$A$2:$A$6001,"&gt;="&amp;(Assumptions!$B$4-7*Assumptions!$B$13+1))/Assumptions!$B$13</f>
        <v>20.875</v>
      </c>
      <c r="H106" s="35" t="n">
        <f aca="false">IFERROR(E106/G106,999)</f>
        <v>5.12574850299401</v>
      </c>
      <c r="I106" s="24" t="str">
        <f aca="false">IF(H106&lt;Assumptions!$B$9,"Stock-out risk",IF(H106&lt;Assumptions!$B$10,"Low",IF(H106&gt;Assumptions!$B$11,"Overstock","Healthy")))</f>
        <v>Healthy</v>
      </c>
      <c r="J106" s="33" t="n">
        <f aca="false">E106*INDEX(Products!$D$2:$D$49,MATCH(B106,Products!$A$2:$A$49,0))</f>
        <v>5457</v>
      </c>
      <c r="K106" s="24" t="str">
        <f aca="false">IF(E106&lt;=F106,"Yes","No")</f>
        <v>No</v>
      </c>
    </row>
    <row r="107" customFormat="false" ht="15" hidden="false" customHeight="false" outlineLevel="0" collapsed="false">
      <c r="A107" s="24" t="s">
        <v>63</v>
      </c>
      <c r="B107" s="24" t="s">
        <v>133</v>
      </c>
      <c r="C107" s="24" t="str">
        <f aca="false">INDEX(Products!$B$2:$B$49,MATCH(B107,Products!$A$2:$A$49,0))</f>
        <v>Fresh Milk 1L</v>
      </c>
      <c r="D107" s="24" t="str">
        <f aca="false">INDEX(Products!$C$2:$C$49,MATCH(B107,Products!$A$2:$A$49,0))</f>
        <v>Dairy &amp; Eggs</v>
      </c>
      <c r="E107" s="33" t="n">
        <v>106</v>
      </c>
      <c r="F107" s="33" t="n">
        <v>77</v>
      </c>
      <c r="G107" s="35" t="n">
        <f aca="false">SUMIFS(Sales!$D$2:$D$6001,Sales!$B$2:$B$6001,A107,Sales!$C$2:$C$6001,B107,Sales!$A$2:$A$6001,"&gt;="&amp;(Assumptions!$B$4-7*Assumptions!$B$13+1))/Assumptions!$B$13</f>
        <v>51.25</v>
      </c>
      <c r="H107" s="35" t="n">
        <f aca="false">IFERROR(E107/G107,999)</f>
        <v>2.06829268292683</v>
      </c>
      <c r="I107" s="24" t="str">
        <f aca="false">IF(H107&lt;Assumptions!$B$9,"Stock-out risk",IF(H107&lt;Assumptions!$B$10,"Low",IF(H107&gt;Assumptions!$B$11,"Overstock","Healthy")))</f>
        <v>Healthy</v>
      </c>
      <c r="J107" s="33" t="n">
        <f aca="false">E107*INDEX(Products!$D$2:$D$49,MATCH(B107,Products!$A$2:$A$49,0))</f>
        <v>11024</v>
      </c>
      <c r="K107" s="24" t="str">
        <f aca="false">IF(E107&lt;=F107,"Yes","No")</f>
        <v>No</v>
      </c>
    </row>
    <row r="108" customFormat="false" ht="15" hidden="false" customHeight="false" outlineLevel="0" collapsed="false">
      <c r="A108" s="24" t="s">
        <v>63</v>
      </c>
      <c r="B108" s="24" t="s">
        <v>135</v>
      </c>
      <c r="C108" s="24" t="str">
        <f aca="false">INDEX(Products!$B$2:$B$49,MATCH(B108,Products!$A$2:$A$49,0))</f>
        <v>Yoghurt 500ml</v>
      </c>
      <c r="D108" s="24" t="str">
        <f aca="false">INDEX(Products!$C$2:$C$49,MATCH(B108,Products!$A$2:$A$49,0))</f>
        <v>Dairy &amp; Eggs</v>
      </c>
      <c r="E108" s="33" t="n">
        <v>161</v>
      </c>
      <c r="F108" s="33" t="n">
        <v>41</v>
      </c>
      <c r="G108" s="35" t="n">
        <f aca="false">SUMIFS(Sales!$D$2:$D$6001,Sales!$B$2:$B$6001,A108,Sales!$C$2:$C$6001,B108,Sales!$A$2:$A$6001,"&gt;="&amp;(Assumptions!$B$4-7*Assumptions!$B$13+1))/Assumptions!$B$13</f>
        <v>27.625</v>
      </c>
      <c r="H108" s="35" t="n">
        <f aca="false">IFERROR(E108/G108,999)</f>
        <v>5.82805429864253</v>
      </c>
      <c r="I108" s="24" t="str">
        <f aca="false">IF(H108&lt;Assumptions!$B$9,"Stock-out risk",IF(H108&lt;Assumptions!$B$10,"Low",IF(H108&gt;Assumptions!$B$11,"Overstock","Healthy")))</f>
        <v>Healthy</v>
      </c>
      <c r="J108" s="33" t="n">
        <f aca="false">E108*INDEX(Products!$D$2:$D$49,MATCH(B108,Products!$A$2:$A$49,0))</f>
        <v>17710</v>
      </c>
      <c r="K108" s="24" t="str">
        <f aca="false">IF(E108&lt;=F108,"Yes","No")</f>
        <v>No</v>
      </c>
    </row>
    <row r="109" customFormat="false" ht="15" hidden="false" customHeight="false" outlineLevel="0" collapsed="false">
      <c r="A109" s="24" t="s">
        <v>63</v>
      </c>
      <c r="B109" s="24" t="s">
        <v>137</v>
      </c>
      <c r="C109" s="24" t="str">
        <f aca="false">INDEX(Products!$B$2:$B$49,MATCH(B109,Products!$A$2:$A$49,0))</f>
        <v>Butter 250g</v>
      </c>
      <c r="D109" s="24" t="str">
        <f aca="false">INDEX(Products!$C$2:$C$49,MATCH(B109,Products!$A$2:$A$49,0))</f>
        <v>Dairy &amp; Eggs</v>
      </c>
      <c r="E109" s="33" t="n">
        <v>549</v>
      </c>
      <c r="F109" s="33" t="n">
        <v>125</v>
      </c>
      <c r="G109" s="35" t="n">
        <f aca="false">SUMIFS(Sales!$D$2:$D$6001,Sales!$B$2:$B$6001,A109,Sales!$C$2:$C$6001,B109,Sales!$A$2:$A$6001,"&gt;="&amp;(Assumptions!$B$4-7*Assumptions!$B$13+1))/Assumptions!$B$13</f>
        <v>83.25</v>
      </c>
      <c r="H109" s="35" t="n">
        <f aca="false">IFERROR(E109/G109,999)</f>
        <v>6.5945945945946</v>
      </c>
      <c r="I109" s="24" t="str">
        <f aca="false">IF(H109&lt;Assumptions!$B$9,"Stock-out risk",IF(H109&lt;Assumptions!$B$10,"Low",IF(H109&gt;Assumptions!$B$11,"Overstock","Healthy")))</f>
        <v>Healthy</v>
      </c>
      <c r="J109" s="33" t="n">
        <f aca="false">E109*INDEX(Products!$D$2:$D$49,MATCH(B109,Products!$A$2:$A$49,0))</f>
        <v>147132</v>
      </c>
      <c r="K109" s="24" t="str">
        <f aca="false">IF(E109&lt;=F109,"Yes","No")</f>
        <v>No</v>
      </c>
    </row>
    <row r="110" customFormat="false" ht="15" hidden="false" customHeight="false" outlineLevel="0" collapsed="false">
      <c r="A110" s="24" t="s">
        <v>63</v>
      </c>
      <c r="B110" s="24" t="s">
        <v>139</v>
      </c>
      <c r="C110" s="24" t="str">
        <f aca="false">INDEX(Products!$B$2:$B$49,MATCH(B110,Products!$A$2:$A$49,0))</f>
        <v>Eggs Tray of 30</v>
      </c>
      <c r="D110" s="24" t="str">
        <f aca="false">INDEX(Products!$C$2:$C$49,MATCH(B110,Products!$A$2:$A$49,0))</f>
        <v>Dairy &amp; Eggs</v>
      </c>
      <c r="E110" s="33" t="n">
        <v>387</v>
      </c>
      <c r="F110" s="33" t="n">
        <v>193</v>
      </c>
      <c r="G110" s="35" t="n">
        <f aca="false">SUMIFS(Sales!$D$2:$D$6001,Sales!$B$2:$B$6001,A110,Sales!$C$2:$C$6001,B110,Sales!$A$2:$A$6001,"&gt;="&amp;(Assumptions!$B$4-7*Assumptions!$B$13+1))/Assumptions!$B$13</f>
        <v>128.375</v>
      </c>
      <c r="H110" s="35" t="n">
        <f aca="false">IFERROR(E110/G110,999)</f>
        <v>3.01460564751704</v>
      </c>
      <c r="I110" s="24" t="str">
        <f aca="false">IF(H110&lt;Assumptions!$B$9,"Stock-out risk",IF(H110&lt;Assumptions!$B$10,"Low",IF(H110&gt;Assumptions!$B$11,"Overstock","Healthy")))</f>
        <v>Healthy</v>
      </c>
      <c r="J110" s="33" t="n">
        <f aca="false">E110*INDEX(Products!$D$2:$D$49,MATCH(B110,Products!$A$2:$A$49,0))</f>
        <v>166023</v>
      </c>
      <c r="K110" s="24" t="str">
        <f aca="false">IF(E110&lt;=F110,"Yes","No")</f>
        <v>No</v>
      </c>
    </row>
    <row r="111" customFormat="false" ht="15" hidden="false" customHeight="false" outlineLevel="0" collapsed="false">
      <c r="A111" s="24" t="s">
        <v>63</v>
      </c>
      <c r="B111" s="24" t="s">
        <v>141</v>
      </c>
      <c r="C111" s="24" t="str">
        <f aca="false">INDEX(Products!$B$2:$B$49,MATCH(B111,Products!$A$2:$A$49,0))</f>
        <v>Cheese Slices 200g</v>
      </c>
      <c r="D111" s="24" t="str">
        <f aca="false">INDEX(Products!$C$2:$C$49,MATCH(B111,Products!$A$2:$A$49,0))</f>
        <v>Dairy &amp; Eggs</v>
      </c>
      <c r="E111" s="33" t="n">
        <v>2407</v>
      </c>
      <c r="F111" s="33" t="n">
        <v>270</v>
      </c>
      <c r="G111" s="35" t="n">
        <f aca="false">SUMIFS(Sales!$D$2:$D$6001,Sales!$B$2:$B$6001,A111,Sales!$C$2:$C$6001,B111,Sales!$A$2:$A$6001,"&gt;="&amp;(Assumptions!$B$4-7*Assumptions!$B$13+1))/Assumptions!$B$13</f>
        <v>180.25</v>
      </c>
      <c r="H111" s="35" t="n">
        <f aca="false">IFERROR(E111/G111,999)</f>
        <v>13.3536754507628</v>
      </c>
      <c r="I111" s="24" t="str">
        <f aca="false">IF(H111&lt;Assumptions!$B$9,"Stock-out risk",IF(H111&lt;Assumptions!$B$10,"Low",IF(H111&gt;Assumptions!$B$11,"Overstock","Healthy")))</f>
        <v>Overstock</v>
      </c>
      <c r="J111" s="33" t="n">
        <f aca="false">E111*INDEX(Products!$D$2:$D$49,MATCH(B111,Products!$A$2:$A$49,0))</f>
        <v>806345</v>
      </c>
      <c r="K111" s="24" t="str">
        <f aca="false">IF(E111&lt;=F111,"Yes","No")</f>
        <v>No</v>
      </c>
    </row>
    <row r="112" customFormat="false" ht="15" hidden="false" customHeight="false" outlineLevel="0" collapsed="false">
      <c r="A112" s="24" t="s">
        <v>63</v>
      </c>
      <c r="B112" s="24" t="s">
        <v>143</v>
      </c>
      <c r="C112" s="24" t="str">
        <f aca="false">INDEX(Products!$B$2:$B$49,MATCH(B112,Products!$A$2:$A$49,0))</f>
        <v>Cooking Fat 500g</v>
      </c>
      <c r="D112" s="24" t="str">
        <f aca="false">INDEX(Products!$C$2:$C$49,MATCH(B112,Products!$A$2:$A$49,0))</f>
        <v>Dairy &amp; Eggs</v>
      </c>
      <c r="E112" s="33" t="n">
        <v>5</v>
      </c>
      <c r="F112" s="33" t="n">
        <v>32</v>
      </c>
      <c r="G112" s="35" t="n">
        <f aca="false">SUMIFS(Sales!$D$2:$D$6001,Sales!$B$2:$B$6001,A112,Sales!$C$2:$C$6001,B112,Sales!$A$2:$A$6001,"&gt;="&amp;(Assumptions!$B$4-7*Assumptions!$B$13+1))/Assumptions!$B$13</f>
        <v>21.375</v>
      </c>
      <c r="H112" s="35" t="n">
        <f aca="false">IFERROR(E112/G112,999)</f>
        <v>0.233918128654971</v>
      </c>
      <c r="I112" s="24" t="str">
        <f aca="false">IF(H112&lt;Assumptions!$B$9,"Stock-out risk",IF(H112&lt;Assumptions!$B$10,"Low",IF(H112&gt;Assumptions!$B$11,"Overstock","Healthy")))</f>
        <v>Stock-out risk</v>
      </c>
      <c r="J112" s="33" t="n">
        <f aca="false">E112*INDEX(Products!$D$2:$D$49,MATCH(B112,Products!$A$2:$A$49,0))</f>
        <v>945</v>
      </c>
      <c r="K112" s="24" t="str">
        <f aca="false">IF(E112&lt;=F112,"Yes","No")</f>
        <v>Yes</v>
      </c>
    </row>
    <row r="113" customFormat="false" ht="15" hidden="false" customHeight="false" outlineLevel="0" collapsed="false">
      <c r="A113" s="24" t="s">
        <v>63</v>
      </c>
      <c r="B113" s="24" t="s">
        <v>145</v>
      </c>
      <c r="C113" s="24" t="str">
        <f aca="false">INDEX(Products!$B$2:$B$49,MATCH(B113,Products!$A$2:$A$49,0))</f>
        <v>UHT Milk 1L</v>
      </c>
      <c r="D113" s="24" t="str">
        <f aca="false">INDEX(Products!$C$2:$C$49,MATCH(B113,Products!$A$2:$A$49,0))</f>
        <v>Dairy &amp; Eggs</v>
      </c>
      <c r="E113" s="33" t="n">
        <v>122</v>
      </c>
      <c r="F113" s="33" t="n">
        <v>71</v>
      </c>
      <c r="G113" s="35" t="n">
        <f aca="false">SUMIFS(Sales!$D$2:$D$6001,Sales!$B$2:$B$6001,A113,Sales!$C$2:$C$6001,B113,Sales!$A$2:$A$6001,"&gt;="&amp;(Assumptions!$B$4-7*Assumptions!$B$13+1))/Assumptions!$B$13</f>
        <v>47.125</v>
      </c>
      <c r="H113" s="35" t="n">
        <f aca="false">IFERROR(E113/G113,999)</f>
        <v>2.58885941644562</v>
      </c>
      <c r="I113" s="24" t="str">
        <f aca="false">IF(H113&lt;Assumptions!$B$9,"Stock-out risk",IF(H113&lt;Assumptions!$B$10,"Low",IF(H113&gt;Assumptions!$B$11,"Overstock","Healthy")))</f>
        <v>Healthy</v>
      </c>
      <c r="J113" s="33" t="n">
        <f aca="false">E113*INDEX(Products!$D$2:$D$49,MATCH(B113,Products!$A$2:$A$49,0))</f>
        <v>13664</v>
      </c>
      <c r="K113" s="24" t="str">
        <f aca="false">IF(E113&lt;=F113,"Yes","No")</f>
        <v>No</v>
      </c>
    </row>
    <row r="114" customFormat="false" ht="15" hidden="false" customHeight="false" outlineLevel="0" collapsed="false">
      <c r="A114" s="24" t="s">
        <v>63</v>
      </c>
      <c r="B114" s="24" t="s">
        <v>147</v>
      </c>
      <c r="C114" s="24" t="str">
        <f aca="false">INDEX(Products!$B$2:$B$49,MATCH(B114,Products!$A$2:$A$49,0))</f>
        <v>Soda 500ml</v>
      </c>
      <c r="D114" s="24" t="str">
        <f aca="false">INDEX(Products!$C$2:$C$49,MATCH(B114,Products!$A$2:$A$49,0))</f>
        <v>Beverages</v>
      </c>
      <c r="E114" s="33" t="n">
        <v>260</v>
      </c>
      <c r="F114" s="33" t="n">
        <v>178</v>
      </c>
      <c r="G114" s="35" t="n">
        <f aca="false">SUMIFS(Sales!$D$2:$D$6001,Sales!$B$2:$B$6001,A114,Sales!$C$2:$C$6001,B114,Sales!$A$2:$A$6001,"&gt;="&amp;(Assumptions!$B$4-7*Assumptions!$B$13+1))/Assumptions!$B$13</f>
        <v>118.375</v>
      </c>
      <c r="H114" s="35" t="n">
        <f aca="false">IFERROR(E114/G114,999)</f>
        <v>2.19640971488912</v>
      </c>
      <c r="I114" s="24" t="str">
        <f aca="false">IF(H114&lt;Assumptions!$B$9,"Stock-out risk",IF(H114&lt;Assumptions!$B$10,"Low",IF(H114&gt;Assumptions!$B$11,"Overstock","Healthy")))</f>
        <v>Healthy</v>
      </c>
      <c r="J114" s="33" t="n">
        <f aca="false">E114*INDEX(Products!$D$2:$D$49,MATCH(B114,Products!$A$2:$A$49,0))</f>
        <v>14040</v>
      </c>
      <c r="K114" s="24" t="str">
        <f aca="false">IF(E114&lt;=F114,"Yes","No")</f>
        <v>No</v>
      </c>
    </row>
    <row r="115" customFormat="false" ht="15" hidden="false" customHeight="false" outlineLevel="0" collapsed="false">
      <c r="A115" s="24" t="s">
        <v>63</v>
      </c>
      <c r="B115" s="24" t="s">
        <v>149</v>
      </c>
      <c r="C115" s="24" t="str">
        <f aca="false">INDEX(Products!$B$2:$B$49,MATCH(B115,Products!$A$2:$A$49,0))</f>
        <v>Soda 2L</v>
      </c>
      <c r="D115" s="24" t="str">
        <f aca="false">INDEX(Products!$C$2:$C$49,MATCH(B115,Products!$A$2:$A$49,0))</f>
        <v>Beverages</v>
      </c>
      <c r="E115" s="33" t="n">
        <v>169</v>
      </c>
      <c r="F115" s="33" t="n">
        <v>166</v>
      </c>
      <c r="G115" s="35" t="n">
        <f aca="false">SUMIFS(Sales!$D$2:$D$6001,Sales!$B$2:$B$6001,A115,Sales!$C$2:$C$6001,B115,Sales!$A$2:$A$6001,"&gt;="&amp;(Assumptions!$B$4-7*Assumptions!$B$13+1))/Assumptions!$B$13</f>
        <v>110.75</v>
      </c>
      <c r="H115" s="35" t="n">
        <f aca="false">IFERROR(E115/G115,999)</f>
        <v>1.52595936794582</v>
      </c>
      <c r="I115" s="24" t="str">
        <f aca="false">IF(H115&lt;Assumptions!$B$9,"Stock-out risk",IF(H115&lt;Assumptions!$B$10,"Low",IF(H115&gt;Assumptions!$B$11,"Overstock","Healthy")))</f>
        <v>Low</v>
      </c>
      <c r="J115" s="33" t="n">
        <f aca="false">E115*INDEX(Products!$D$2:$D$49,MATCH(B115,Products!$A$2:$A$49,0))</f>
        <v>25688</v>
      </c>
      <c r="K115" s="24" t="str">
        <f aca="false">IF(E115&lt;=F115,"Yes","No")</f>
        <v>No</v>
      </c>
    </row>
    <row r="116" customFormat="false" ht="15" hidden="false" customHeight="false" outlineLevel="0" collapsed="false">
      <c r="A116" s="24" t="s">
        <v>63</v>
      </c>
      <c r="B116" s="24" t="s">
        <v>151</v>
      </c>
      <c r="C116" s="24" t="str">
        <f aca="false">INDEX(Products!$B$2:$B$49,MATCH(B116,Products!$A$2:$A$49,0))</f>
        <v>Mango Juice 1L</v>
      </c>
      <c r="D116" s="24" t="str">
        <f aca="false">INDEX(Products!$C$2:$C$49,MATCH(B116,Products!$A$2:$A$49,0))</f>
        <v>Beverages</v>
      </c>
      <c r="E116" s="33" t="n">
        <v>166</v>
      </c>
      <c r="F116" s="33" t="n">
        <v>118</v>
      </c>
      <c r="G116" s="35" t="n">
        <f aca="false">SUMIFS(Sales!$D$2:$D$6001,Sales!$B$2:$B$6001,A116,Sales!$C$2:$C$6001,B116,Sales!$A$2:$A$6001,"&gt;="&amp;(Assumptions!$B$4-7*Assumptions!$B$13+1))/Assumptions!$B$13</f>
        <v>79</v>
      </c>
      <c r="H116" s="35" t="n">
        <f aca="false">IFERROR(E116/G116,999)</f>
        <v>2.10126582278481</v>
      </c>
      <c r="I116" s="24" t="str">
        <f aca="false">IF(H116&lt;Assumptions!$B$9,"Stock-out risk",IF(H116&lt;Assumptions!$B$10,"Low",IF(H116&gt;Assumptions!$B$11,"Overstock","Healthy")))</f>
        <v>Healthy</v>
      </c>
      <c r="J116" s="33" t="n">
        <f aca="false">E116*INDEX(Products!$D$2:$D$49,MATCH(B116,Products!$A$2:$A$49,0))</f>
        <v>24734</v>
      </c>
      <c r="K116" s="24" t="str">
        <f aca="false">IF(E116&lt;=F116,"Yes","No")</f>
        <v>No</v>
      </c>
    </row>
    <row r="117" customFormat="false" ht="15" hidden="false" customHeight="false" outlineLevel="0" collapsed="false">
      <c r="A117" s="24" t="s">
        <v>63</v>
      </c>
      <c r="B117" s="24" t="s">
        <v>153</v>
      </c>
      <c r="C117" s="24" t="str">
        <f aca="false">INDEX(Products!$B$2:$B$49,MATCH(B117,Products!$A$2:$A$49,0))</f>
        <v>Bottled Water 1L</v>
      </c>
      <c r="D117" s="24" t="str">
        <f aca="false">INDEX(Products!$C$2:$C$49,MATCH(B117,Products!$A$2:$A$49,0))</f>
        <v>Beverages</v>
      </c>
      <c r="E117" s="33" t="n">
        <v>146</v>
      </c>
      <c r="F117" s="33" t="n">
        <v>54</v>
      </c>
      <c r="G117" s="35" t="n">
        <f aca="false">SUMIFS(Sales!$D$2:$D$6001,Sales!$B$2:$B$6001,A117,Sales!$C$2:$C$6001,B117,Sales!$A$2:$A$6001,"&gt;="&amp;(Assumptions!$B$4-7*Assumptions!$B$13+1))/Assumptions!$B$13</f>
        <v>36</v>
      </c>
      <c r="H117" s="35" t="n">
        <f aca="false">IFERROR(E117/G117,999)</f>
        <v>4.05555555555556</v>
      </c>
      <c r="I117" s="24" t="str">
        <f aca="false">IF(H117&lt;Assumptions!$B$9,"Stock-out risk",IF(H117&lt;Assumptions!$B$10,"Low",IF(H117&gt;Assumptions!$B$11,"Overstock","Healthy")))</f>
        <v>Healthy</v>
      </c>
      <c r="J117" s="33" t="n">
        <f aca="false">E117*INDEX(Products!$D$2:$D$49,MATCH(B117,Products!$A$2:$A$49,0))</f>
        <v>5110</v>
      </c>
      <c r="K117" s="24" t="str">
        <f aca="false">IF(E117&lt;=F117,"Yes","No")</f>
        <v>No</v>
      </c>
    </row>
    <row r="118" customFormat="false" ht="15" hidden="false" customHeight="false" outlineLevel="0" collapsed="false">
      <c r="A118" s="24" t="s">
        <v>63</v>
      </c>
      <c r="B118" s="24" t="s">
        <v>155</v>
      </c>
      <c r="C118" s="24" t="str">
        <f aca="false">INDEX(Products!$B$2:$B$49,MATCH(B118,Products!$A$2:$A$49,0))</f>
        <v>Bottled Water 500ml</v>
      </c>
      <c r="D118" s="24" t="str">
        <f aca="false">INDEX(Products!$C$2:$C$49,MATCH(B118,Products!$A$2:$A$49,0))</f>
        <v>Beverages</v>
      </c>
      <c r="E118" s="33" t="n">
        <v>447</v>
      </c>
      <c r="F118" s="33" t="n">
        <v>101</v>
      </c>
      <c r="G118" s="35" t="n">
        <f aca="false">SUMIFS(Sales!$D$2:$D$6001,Sales!$B$2:$B$6001,A118,Sales!$C$2:$C$6001,B118,Sales!$A$2:$A$6001,"&gt;="&amp;(Assumptions!$B$4-7*Assumptions!$B$13+1))/Assumptions!$B$13</f>
        <v>67.375</v>
      </c>
      <c r="H118" s="35" t="n">
        <f aca="false">IFERROR(E118/G118,999)</f>
        <v>6.63450834879406</v>
      </c>
      <c r="I118" s="24" t="str">
        <f aca="false">IF(H118&lt;Assumptions!$B$9,"Stock-out risk",IF(H118&lt;Assumptions!$B$10,"Low",IF(H118&gt;Assumptions!$B$11,"Overstock","Healthy")))</f>
        <v>Healthy</v>
      </c>
      <c r="J118" s="33" t="n">
        <f aca="false">E118*INDEX(Products!$D$2:$D$49,MATCH(B118,Products!$A$2:$A$49,0))</f>
        <v>11622</v>
      </c>
      <c r="K118" s="24" t="str">
        <f aca="false">IF(E118&lt;=F118,"Yes","No")</f>
        <v>No</v>
      </c>
    </row>
    <row r="119" customFormat="false" ht="15" hidden="false" customHeight="false" outlineLevel="0" collapsed="false">
      <c r="A119" s="24" t="s">
        <v>63</v>
      </c>
      <c r="B119" s="24" t="s">
        <v>157</v>
      </c>
      <c r="C119" s="24" t="str">
        <f aca="false">INDEX(Products!$B$2:$B$49,MATCH(B119,Products!$A$2:$A$49,0))</f>
        <v>Energy Drink 300ml</v>
      </c>
      <c r="D119" s="24" t="str">
        <f aca="false">INDEX(Products!$C$2:$C$49,MATCH(B119,Products!$A$2:$A$49,0))</f>
        <v>Beverages</v>
      </c>
      <c r="E119" s="33" t="n">
        <v>339</v>
      </c>
      <c r="F119" s="33" t="n">
        <v>91</v>
      </c>
      <c r="G119" s="35" t="n">
        <f aca="false">SUMIFS(Sales!$D$2:$D$6001,Sales!$B$2:$B$6001,A119,Sales!$C$2:$C$6001,B119,Sales!$A$2:$A$6001,"&gt;="&amp;(Assumptions!$B$4-7*Assumptions!$B$13+1))/Assumptions!$B$13</f>
        <v>60.375</v>
      </c>
      <c r="H119" s="35" t="n">
        <f aca="false">IFERROR(E119/G119,999)</f>
        <v>5.61490683229814</v>
      </c>
      <c r="I119" s="24" t="str">
        <f aca="false">IF(H119&lt;Assumptions!$B$9,"Stock-out risk",IF(H119&lt;Assumptions!$B$10,"Low",IF(H119&gt;Assumptions!$B$11,"Overstock","Healthy")))</f>
        <v>Healthy</v>
      </c>
      <c r="J119" s="33" t="n">
        <f aca="false">E119*INDEX(Products!$D$2:$D$49,MATCH(B119,Products!$A$2:$A$49,0))</f>
        <v>29832</v>
      </c>
      <c r="K119" s="24" t="str">
        <f aca="false">IF(E119&lt;=F119,"Yes","No")</f>
        <v>No</v>
      </c>
    </row>
    <row r="120" customFormat="false" ht="15" hidden="false" customHeight="false" outlineLevel="0" collapsed="false">
      <c r="A120" s="24" t="s">
        <v>63</v>
      </c>
      <c r="B120" s="24" t="s">
        <v>159</v>
      </c>
      <c r="C120" s="24" t="str">
        <f aca="false">INDEX(Products!$B$2:$B$49,MATCH(B120,Products!$A$2:$A$49,0))</f>
        <v>Instant Coffee 100g</v>
      </c>
      <c r="D120" s="24" t="str">
        <f aca="false">INDEX(Products!$C$2:$C$49,MATCH(B120,Products!$A$2:$A$49,0))</f>
        <v>Beverages</v>
      </c>
      <c r="E120" s="33" t="n">
        <v>110</v>
      </c>
      <c r="F120" s="33" t="n">
        <v>92</v>
      </c>
      <c r="G120" s="35" t="n">
        <f aca="false">SUMIFS(Sales!$D$2:$D$6001,Sales!$B$2:$B$6001,A120,Sales!$C$2:$C$6001,B120,Sales!$A$2:$A$6001,"&gt;="&amp;(Assumptions!$B$4-7*Assumptions!$B$13+1))/Assumptions!$B$13</f>
        <v>61.375</v>
      </c>
      <c r="H120" s="35" t="n">
        <f aca="false">IFERROR(E120/G120,999)</f>
        <v>1.79226069246436</v>
      </c>
      <c r="I120" s="24" t="str">
        <f aca="false">IF(H120&lt;Assumptions!$B$9,"Stock-out risk",IF(H120&lt;Assumptions!$B$10,"Low",IF(H120&gt;Assumptions!$B$11,"Overstock","Healthy")))</f>
        <v>Low</v>
      </c>
      <c r="J120" s="33" t="n">
        <f aca="false">E120*INDEX(Products!$D$2:$D$49,MATCH(B120,Products!$A$2:$A$49,0))</f>
        <v>39380</v>
      </c>
      <c r="K120" s="24" t="str">
        <f aca="false">IF(E120&lt;=F120,"Yes","No")</f>
        <v>No</v>
      </c>
    </row>
    <row r="121" customFormat="false" ht="15" hidden="false" customHeight="false" outlineLevel="0" collapsed="false">
      <c r="A121" s="24" t="s">
        <v>63</v>
      </c>
      <c r="B121" s="24" t="s">
        <v>161</v>
      </c>
      <c r="C121" s="24" t="str">
        <f aca="false">INDEX(Products!$B$2:$B$49,MATCH(B121,Products!$A$2:$A$49,0))</f>
        <v>Drinking Chocolate 250g</v>
      </c>
      <c r="D121" s="24" t="str">
        <f aca="false">INDEX(Products!$C$2:$C$49,MATCH(B121,Products!$A$2:$A$49,0))</f>
        <v>Beverages</v>
      </c>
      <c r="E121" s="33" t="n">
        <v>136</v>
      </c>
      <c r="F121" s="33" t="n">
        <v>71</v>
      </c>
      <c r="G121" s="35" t="n">
        <f aca="false">SUMIFS(Sales!$D$2:$D$6001,Sales!$B$2:$B$6001,A121,Sales!$C$2:$C$6001,B121,Sales!$A$2:$A$6001,"&gt;="&amp;(Assumptions!$B$4-7*Assumptions!$B$13+1))/Assumptions!$B$13</f>
        <v>47.375</v>
      </c>
      <c r="H121" s="35" t="n">
        <f aca="false">IFERROR(E121/G121,999)</f>
        <v>2.87071240105541</v>
      </c>
      <c r="I121" s="24" t="str">
        <f aca="false">IF(H121&lt;Assumptions!$B$9,"Stock-out risk",IF(H121&lt;Assumptions!$B$10,"Low",IF(H121&gt;Assumptions!$B$11,"Overstock","Healthy")))</f>
        <v>Healthy</v>
      </c>
      <c r="J121" s="33" t="n">
        <f aca="false">E121*INDEX(Products!$D$2:$D$49,MATCH(B121,Products!$A$2:$A$49,0))</f>
        <v>41208</v>
      </c>
      <c r="K121" s="24" t="str">
        <f aca="false">IF(E121&lt;=F121,"Yes","No")</f>
        <v>No</v>
      </c>
    </row>
    <row r="122" customFormat="false" ht="15" hidden="false" customHeight="false" outlineLevel="0" collapsed="false">
      <c r="A122" s="24" t="s">
        <v>63</v>
      </c>
      <c r="B122" s="24" t="s">
        <v>163</v>
      </c>
      <c r="C122" s="24" t="str">
        <f aca="false">INDEX(Products!$B$2:$B$49,MATCH(B122,Products!$A$2:$A$49,0))</f>
        <v>Laundry Detergent 1kg</v>
      </c>
      <c r="D122" s="24" t="str">
        <f aca="false">INDEX(Products!$C$2:$C$49,MATCH(B122,Products!$A$2:$A$49,0))</f>
        <v>Household</v>
      </c>
      <c r="E122" s="33" t="n">
        <v>224</v>
      </c>
      <c r="F122" s="33" t="n">
        <v>85</v>
      </c>
      <c r="G122" s="35" t="n">
        <f aca="false">SUMIFS(Sales!$D$2:$D$6001,Sales!$B$2:$B$6001,A122,Sales!$C$2:$C$6001,B122,Sales!$A$2:$A$6001,"&gt;="&amp;(Assumptions!$B$4-7*Assumptions!$B$13+1))/Assumptions!$B$13</f>
        <v>56.375</v>
      </c>
      <c r="H122" s="35" t="n">
        <f aca="false">IFERROR(E122/G122,999)</f>
        <v>3.97339246119734</v>
      </c>
      <c r="I122" s="24" t="str">
        <f aca="false">IF(H122&lt;Assumptions!$B$9,"Stock-out risk",IF(H122&lt;Assumptions!$B$10,"Low",IF(H122&gt;Assumptions!$B$11,"Overstock","Healthy")))</f>
        <v>Healthy</v>
      </c>
      <c r="J122" s="33" t="n">
        <f aca="false">E122*INDEX(Products!$D$2:$D$49,MATCH(B122,Products!$A$2:$A$49,0))</f>
        <v>51296</v>
      </c>
      <c r="K122" s="24" t="str">
        <f aca="false">IF(E122&lt;=F122,"Yes","No")</f>
        <v>No</v>
      </c>
    </row>
    <row r="123" customFormat="false" ht="15" hidden="false" customHeight="false" outlineLevel="0" collapsed="false">
      <c r="A123" s="24" t="s">
        <v>63</v>
      </c>
      <c r="B123" s="24" t="s">
        <v>165</v>
      </c>
      <c r="C123" s="24" t="str">
        <f aca="false">INDEX(Products!$B$2:$B$49,MATCH(B123,Products!$A$2:$A$49,0))</f>
        <v>Dish Soap 750ml</v>
      </c>
      <c r="D123" s="24" t="str">
        <f aca="false">INDEX(Products!$C$2:$C$49,MATCH(B123,Products!$A$2:$A$49,0))</f>
        <v>Household</v>
      </c>
      <c r="E123" s="33" t="n">
        <v>574</v>
      </c>
      <c r="F123" s="33" t="n">
        <v>93</v>
      </c>
      <c r="G123" s="35" t="n">
        <f aca="false">SUMIFS(Sales!$D$2:$D$6001,Sales!$B$2:$B$6001,A123,Sales!$C$2:$C$6001,B123,Sales!$A$2:$A$6001,"&gt;="&amp;(Assumptions!$B$4-7*Assumptions!$B$13+1))/Assumptions!$B$13</f>
        <v>62.125</v>
      </c>
      <c r="H123" s="35" t="n">
        <f aca="false">IFERROR(E123/G123,999)</f>
        <v>9.23943661971831</v>
      </c>
      <c r="I123" s="24" t="str">
        <f aca="false">IF(H123&lt;Assumptions!$B$9,"Stock-out risk",IF(H123&lt;Assumptions!$B$10,"Low",IF(H123&gt;Assumptions!$B$11,"Overstock","Healthy")))</f>
        <v>Overstock</v>
      </c>
      <c r="J123" s="33" t="n">
        <f aca="false">E123*INDEX(Products!$D$2:$D$49,MATCH(B123,Products!$A$2:$A$49,0))</f>
        <v>78638</v>
      </c>
      <c r="K123" s="24" t="str">
        <f aca="false">IF(E123&lt;=F123,"Yes","No")</f>
        <v>No</v>
      </c>
    </row>
    <row r="124" customFormat="false" ht="15" hidden="false" customHeight="false" outlineLevel="0" collapsed="false">
      <c r="A124" s="24" t="s">
        <v>63</v>
      </c>
      <c r="B124" s="24" t="s">
        <v>167</v>
      </c>
      <c r="C124" s="24" t="str">
        <f aca="false">INDEX(Products!$B$2:$B$49,MATCH(B124,Products!$A$2:$A$49,0))</f>
        <v>Bar Soap 800g</v>
      </c>
      <c r="D124" s="24" t="str">
        <f aca="false">INDEX(Products!$C$2:$C$49,MATCH(B124,Products!$A$2:$A$49,0))</f>
        <v>Household</v>
      </c>
      <c r="E124" s="33" t="n">
        <v>86</v>
      </c>
      <c r="F124" s="33" t="n">
        <v>63</v>
      </c>
      <c r="G124" s="35" t="n">
        <f aca="false">SUMIFS(Sales!$D$2:$D$6001,Sales!$B$2:$B$6001,A124,Sales!$C$2:$C$6001,B124,Sales!$A$2:$A$6001,"&gt;="&amp;(Assumptions!$B$4-7*Assumptions!$B$13+1))/Assumptions!$B$13</f>
        <v>42.125</v>
      </c>
      <c r="H124" s="35" t="n">
        <f aca="false">IFERROR(E124/G124,999)</f>
        <v>2.04154302670623</v>
      </c>
      <c r="I124" s="24" t="str">
        <f aca="false">IF(H124&lt;Assumptions!$B$9,"Stock-out risk",IF(H124&lt;Assumptions!$B$10,"Low",IF(H124&gt;Assumptions!$B$11,"Overstock","Healthy")))</f>
        <v>Healthy</v>
      </c>
      <c r="J124" s="33" t="n">
        <f aca="false">E124*INDEX(Products!$D$2:$D$49,MATCH(B124,Products!$A$2:$A$49,0))</f>
        <v>9632</v>
      </c>
      <c r="K124" s="24" t="str">
        <f aca="false">IF(E124&lt;=F124,"Yes","No")</f>
        <v>No</v>
      </c>
    </row>
    <row r="125" customFormat="false" ht="15" hidden="false" customHeight="false" outlineLevel="0" collapsed="false">
      <c r="A125" s="24" t="s">
        <v>63</v>
      </c>
      <c r="B125" s="24" t="s">
        <v>169</v>
      </c>
      <c r="C125" s="24" t="str">
        <f aca="false">INDEX(Products!$B$2:$B$49,MATCH(B125,Products!$A$2:$A$49,0))</f>
        <v>Toilet Paper 10 Pack</v>
      </c>
      <c r="D125" s="24" t="str">
        <f aca="false">INDEX(Products!$C$2:$C$49,MATCH(B125,Products!$A$2:$A$49,0))</f>
        <v>Household</v>
      </c>
      <c r="E125" s="33" t="n">
        <v>182</v>
      </c>
      <c r="F125" s="33" t="n">
        <v>40</v>
      </c>
      <c r="G125" s="35" t="n">
        <f aca="false">SUMIFS(Sales!$D$2:$D$6001,Sales!$B$2:$B$6001,A125,Sales!$C$2:$C$6001,B125,Sales!$A$2:$A$6001,"&gt;="&amp;(Assumptions!$B$4-7*Assumptions!$B$13+1))/Assumptions!$B$13</f>
        <v>26.625</v>
      </c>
      <c r="H125" s="35" t="n">
        <f aca="false">IFERROR(E125/G125,999)</f>
        <v>6.83568075117371</v>
      </c>
      <c r="I125" s="24" t="str">
        <f aca="false">IF(H125&lt;Assumptions!$B$9,"Stock-out risk",IF(H125&lt;Assumptions!$B$10,"Low",IF(H125&gt;Assumptions!$B$11,"Overstock","Healthy")))</f>
        <v>Healthy</v>
      </c>
      <c r="J125" s="33" t="n">
        <f aca="false">E125*INDEX(Products!$D$2:$D$49,MATCH(B125,Products!$A$2:$A$49,0))</f>
        <v>57148</v>
      </c>
      <c r="K125" s="24" t="str">
        <f aca="false">IF(E125&lt;=F125,"Yes","No")</f>
        <v>No</v>
      </c>
    </row>
    <row r="126" customFormat="false" ht="15" hidden="false" customHeight="false" outlineLevel="0" collapsed="false">
      <c r="A126" s="24" t="s">
        <v>63</v>
      </c>
      <c r="B126" s="24" t="s">
        <v>171</v>
      </c>
      <c r="C126" s="24" t="str">
        <f aca="false">INDEX(Products!$B$2:$B$49,MATCH(B126,Products!$A$2:$A$49,0))</f>
        <v>Bleach 750ml</v>
      </c>
      <c r="D126" s="24" t="str">
        <f aca="false">INDEX(Products!$C$2:$C$49,MATCH(B126,Products!$A$2:$A$49,0))</f>
        <v>Household</v>
      </c>
      <c r="E126" s="33" t="n">
        <v>24</v>
      </c>
      <c r="F126" s="33" t="n">
        <v>37</v>
      </c>
      <c r="G126" s="35" t="n">
        <f aca="false">SUMIFS(Sales!$D$2:$D$6001,Sales!$B$2:$B$6001,A126,Sales!$C$2:$C$6001,B126,Sales!$A$2:$A$6001,"&gt;="&amp;(Assumptions!$B$4-7*Assumptions!$B$13+1))/Assumptions!$B$13</f>
        <v>24.5</v>
      </c>
      <c r="H126" s="35" t="n">
        <f aca="false">IFERROR(E126/G126,999)</f>
        <v>0.979591836734694</v>
      </c>
      <c r="I126" s="24" t="str">
        <f aca="false">IF(H126&lt;Assumptions!$B$9,"Stock-out risk",IF(H126&lt;Assumptions!$B$10,"Low",IF(H126&gt;Assumptions!$B$11,"Overstock","Healthy")))</f>
        <v>Stock-out risk</v>
      </c>
      <c r="J126" s="33" t="n">
        <f aca="false">E126*INDEX(Products!$D$2:$D$49,MATCH(B126,Products!$A$2:$A$49,0))</f>
        <v>2784</v>
      </c>
      <c r="K126" s="24" t="str">
        <f aca="false">IF(E126&lt;=F126,"Yes","No")</f>
        <v>Yes</v>
      </c>
    </row>
    <row r="127" customFormat="false" ht="15" hidden="false" customHeight="false" outlineLevel="0" collapsed="false">
      <c r="A127" s="24" t="s">
        <v>63</v>
      </c>
      <c r="B127" s="24" t="s">
        <v>173</v>
      </c>
      <c r="C127" s="24" t="str">
        <f aca="false">INDEX(Products!$B$2:$B$49,MATCH(B127,Products!$A$2:$A$49,0))</f>
        <v>Floor Cleaner 1L</v>
      </c>
      <c r="D127" s="24" t="str">
        <f aca="false">INDEX(Products!$C$2:$C$49,MATCH(B127,Products!$A$2:$A$49,0))</f>
        <v>Household</v>
      </c>
      <c r="E127" s="33" t="n">
        <v>93</v>
      </c>
      <c r="F127" s="33" t="n">
        <v>53</v>
      </c>
      <c r="G127" s="35" t="n">
        <f aca="false">SUMIFS(Sales!$D$2:$D$6001,Sales!$B$2:$B$6001,A127,Sales!$C$2:$C$6001,B127,Sales!$A$2:$A$6001,"&gt;="&amp;(Assumptions!$B$4-7*Assumptions!$B$13+1))/Assumptions!$B$13</f>
        <v>35.25</v>
      </c>
      <c r="H127" s="35" t="n">
        <f aca="false">IFERROR(E127/G127,999)</f>
        <v>2.63829787234043</v>
      </c>
      <c r="I127" s="24" t="str">
        <f aca="false">IF(H127&lt;Assumptions!$B$9,"Stock-out risk",IF(H127&lt;Assumptions!$B$10,"Low",IF(H127&gt;Assumptions!$B$11,"Overstock","Healthy")))</f>
        <v>Healthy</v>
      </c>
      <c r="J127" s="33" t="n">
        <f aca="false">E127*INDEX(Products!$D$2:$D$49,MATCH(B127,Products!$A$2:$A$49,0))</f>
        <v>18414</v>
      </c>
      <c r="K127" s="24" t="str">
        <f aca="false">IF(E127&lt;=F127,"Yes","No")</f>
        <v>No</v>
      </c>
    </row>
    <row r="128" customFormat="false" ht="15" hidden="false" customHeight="false" outlineLevel="0" collapsed="false">
      <c r="A128" s="24" t="s">
        <v>63</v>
      </c>
      <c r="B128" s="24" t="s">
        <v>175</v>
      </c>
      <c r="C128" s="24" t="str">
        <f aca="false">INDEX(Products!$B$2:$B$49,MATCH(B128,Products!$A$2:$A$49,0))</f>
        <v>Matchbox 10 Pack</v>
      </c>
      <c r="D128" s="24" t="str">
        <f aca="false">INDEX(Products!$C$2:$C$49,MATCH(B128,Products!$A$2:$A$49,0))</f>
        <v>Household</v>
      </c>
      <c r="E128" s="33" t="n">
        <v>47</v>
      </c>
      <c r="F128" s="33" t="n">
        <v>139</v>
      </c>
      <c r="G128" s="35" t="n">
        <f aca="false">SUMIFS(Sales!$D$2:$D$6001,Sales!$B$2:$B$6001,A128,Sales!$C$2:$C$6001,B128,Sales!$A$2:$A$6001,"&gt;="&amp;(Assumptions!$B$4-7*Assumptions!$B$13+1))/Assumptions!$B$13</f>
        <v>92.625</v>
      </c>
      <c r="H128" s="35" t="n">
        <f aca="false">IFERROR(E128/G128,999)</f>
        <v>0.507422402159244</v>
      </c>
      <c r="I128" s="24" t="str">
        <f aca="false">IF(H128&lt;Assumptions!$B$9,"Stock-out risk",IF(H128&lt;Assumptions!$B$10,"Low",IF(H128&gt;Assumptions!$B$11,"Overstock","Healthy")))</f>
        <v>Stock-out risk</v>
      </c>
      <c r="J128" s="33" t="n">
        <f aca="false">E128*INDEX(Products!$D$2:$D$49,MATCH(B128,Products!$A$2:$A$49,0))</f>
        <v>2209</v>
      </c>
      <c r="K128" s="24" t="str">
        <f aca="false">IF(E128&lt;=F128,"Yes","No")</f>
        <v>Yes</v>
      </c>
    </row>
    <row r="129" customFormat="false" ht="15" hidden="false" customHeight="false" outlineLevel="0" collapsed="false">
      <c r="A129" s="24" t="s">
        <v>63</v>
      </c>
      <c r="B129" s="24" t="s">
        <v>177</v>
      </c>
      <c r="C129" s="24" t="str">
        <f aca="false">INDEX(Products!$B$2:$B$49,MATCH(B129,Products!$A$2:$A$49,0))</f>
        <v>Sponge Scourer 3 Pack</v>
      </c>
      <c r="D129" s="24" t="str">
        <f aca="false">INDEX(Products!$C$2:$C$49,MATCH(B129,Products!$A$2:$A$49,0))</f>
        <v>Household</v>
      </c>
      <c r="E129" s="33" t="n">
        <v>94</v>
      </c>
      <c r="F129" s="33" t="n">
        <v>68</v>
      </c>
      <c r="G129" s="35" t="n">
        <f aca="false">SUMIFS(Sales!$D$2:$D$6001,Sales!$B$2:$B$6001,A129,Sales!$C$2:$C$6001,B129,Sales!$A$2:$A$6001,"&gt;="&amp;(Assumptions!$B$4-7*Assumptions!$B$13+1))/Assumptions!$B$13</f>
        <v>45.125</v>
      </c>
      <c r="H129" s="35" t="n">
        <f aca="false">IFERROR(E129/G129,999)</f>
        <v>2.08310249307479</v>
      </c>
      <c r="I129" s="24" t="str">
        <f aca="false">IF(H129&lt;Assumptions!$B$9,"Stock-out risk",IF(H129&lt;Assumptions!$B$10,"Low",IF(H129&gt;Assumptions!$B$11,"Overstock","Healthy")))</f>
        <v>Healthy</v>
      </c>
      <c r="J129" s="33" t="n">
        <f aca="false">E129*INDEX(Products!$D$2:$D$49,MATCH(B129,Products!$A$2:$A$49,0))</f>
        <v>6580</v>
      </c>
      <c r="K129" s="24" t="str">
        <f aca="false">IF(E129&lt;=F129,"Yes","No")</f>
        <v>No</v>
      </c>
    </row>
    <row r="130" customFormat="false" ht="15" hidden="false" customHeight="false" outlineLevel="0" collapsed="false">
      <c r="A130" s="24" t="s">
        <v>63</v>
      </c>
      <c r="B130" s="24" t="s">
        <v>179</v>
      </c>
      <c r="C130" s="24" t="str">
        <f aca="false">INDEX(Products!$B$2:$B$49,MATCH(B130,Products!$A$2:$A$49,0))</f>
        <v>Toothpaste 100ml</v>
      </c>
      <c r="D130" s="24" t="str">
        <f aca="false">INDEX(Products!$C$2:$C$49,MATCH(B130,Products!$A$2:$A$49,0))</f>
        <v>Personal Care</v>
      </c>
      <c r="E130" s="33" t="n">
        <v>178</v>
      </c>
      <c r="F130" s="33" t="n">
        <v>21</v>
      </c>
      <c r="G130" s="35" t="n">
        <f aca="false">SUMIFS(Sales!$D$2:$D$6001,Sales!$B$2:$B$6001,A130,Sales!$C$2:$C$6001,B130,Sales!$A$2:$A$6001,"&gt;="&amp;(Assumptions!$B$4-7*Assumptions!$B$13+1))/Assumptions!$B$13</f>
        <v>13.75</v>
      </c>
      <c r="H130" s="35" t="n">
        <f aca="false">IFERROR(E130/G130,999)</f>
        <v>12.9454545454545</v>
      </c>
      <c r="I130" s="24" t="str">
        <f aca="false">IF(H130&lt;Assumptions!$B$9,"Stock-out risk",IF(H130&lt;Assumptions!$B$10,"Low",IF(H130&gt;Assumptions!$B$11,"Overstock","Healthy")))</f>
        <v>Overstock</v>
      </c>
      <c r="J130" s="33" t="n">
        <f aca="false">E130*INDEX(Products!$D$2:$D$49,MATCH(B130,Products!$A$2:$A$49,0))</f>
        <v>21360</v>
      </c>
      <c r="K130" s="24" t="str">
        <f aca="false">IF(E130&lt;=F130,"Yes","No")</f>
        <v>No</v>
      </c>
    </row>
    <row r="131" customFormat="false" ht="15" hidden="false" customHeight="false" outlineLevel="0" collapsed="false">
      <c r="A131" s="24" t="s">
        <v>63</v>
      </c>
      <c r="B131" s="24" t="s">
        <v>181</v>
      </c>
      <c r="C131" s="24" t="str">
        <f aca="false">INDEX(Products!$B$2:$B$49,MATCH(B131,Products!$A$2:$A$49,0))</f>
        <v>Body Lotion 400ml</v>
      </c>
      <c r="D131" s="24" t="str">
        <f aca="false">INDEX(Products!$C$2:$C$49,MATCH(B131,Products!$A$2:$A$49,0))</f>
        <v>Personal Care</v>
      </c>
      <c r="E131" s="33" t="n">
        <v>134</v>
      </c>
      <c r="F131" s="33" t="n">
        <v>100</v>
      </c>
      <c r="G131" s="35" t="n">
        <f aca="false">SUMIFS(Sales!$D$2:$D$6001,Sales!$B$2:$B$6001,A131,Sales!$C$2:$C$6001,B131,Sales!$A$2:$A$6001,"&gt;="&amp;(Assumptions!$B$4-7*Assumptions!$B$13+1))/Assumptions!$B$13</f>
        <v>67</v>
      </c>
      <c r="H131" s="35" t="n">
        <f aca="false">IFERROR(E131/G131,999)</f>
        <v>2</v>
      </c>
      <c r="I131" s="24" t="str">
        <f aca="false">IF(H131&lt;Assumptions!$B$9,"Stock-out risk",IF(H131&lt;Assumptions!$B$10,"Low",IF(H131&gt;Assumptions!$B$11,"Overstock","Healthy")))</f>
        <v>Healthy</v>
      </c>
      <c r="J131" s="33" t="n">
        <f aca="false">E131*INDEX(Products!$D$2:$D$49,MATCH(B131,Products!$A$2:$A$49,0))</f>
        <v>33098</v>
      </c>
      <c r="K131" s="24" t="str">
        <f aca="false">IF(E131&lt;=F131,"Yes","No")</f>
        <v>No</v>
      </c>
    </row>
    <row r="132" customFormat="false" ht="15" hidden="false" customHeight="false" outlineLevel="0" collapsed="false">
      <c r="A132" s="24" t="s">
        <v>63</v>
      </c>
      <c r="B132" s="24" t="s">
        <v>183</v>
      </c>
      <c r="C132" s="24" t="str">
        <f aca="false">INDEX(Products!$B$2:$B$49,MATCH(B132,Products!$A$2:$A$49,0))</f>
        <v>Shower Gel 400ml</v>
      </c>
      <c r="D132" s="24" t="str">
        <f aca="false">INDEX(Products!$C$2:$C$49,MATCH(B132,Products!$A$2:$A$49,0))</f>
        <v>Personal Care</v>
      </c>
      <c r="E132" s="33" t="n">
        <v>67</v>
      </c>
      <c r="F132" s="33" t="n">
        <v>65</v>
      </c>
      <c r="G132" s="35" t="n">
        <f aca="false">SUMIFS(Sales!$D$2:$D$6001,Sales!$B$2:$B$6001,A132,Sales!$C$2:$C$6001,B132,Sales!$A$2:$A$6001,"&gt;="&amp;(Assumptions!$B$4-7*Assumptions!$B$13+1))/Assumptions!$B$13</f>
        <v>43.625</v>
      </c>
      <c r="H132" s="35" t="n">
        <f aca="false">IFERROR(E132/G132,999)</f>
        <v>1.53581661891117</v>
      </c>
      <c r="I132" s="24" t="str">
        <f aca="false">IF(H132&lt;Assumptions!$B$9,"Stock-out risk",IF(H132&lt;Assumptions!$B$10,"Low",IF(H132&gt;Assumptions!$B$11,"Overstock","Healthy")))</f>
        <v>Low</v>
      </c>
      <c r="J132" s="33" t="n">
        <f aca="false">E132*INDEX(Products!$D$2:$D$49,MATCH(B132,Products!$A$2:$A$49,0))</f>
        <v>13936</v>
      </c>
      <c r="K132" s="24" t="str">
        <f aca="false">IF(E132&lt;=F132,"Yes","No")</f>
        <v>No</v>
      </c>
    </row>
    <row r="133" customFormat="false" ht="15" hidden="false" customHeight="false" outlineLevel="0" collapsed="false">
      <c r="A133" s="24" t="s">
        <v>63</v>
      </c>
      <c r="B133" s="24" t="s">
        <v>185</v>
      </c>
      <c r="C133" s="24" t="str">
        <f aca="false">INDEX(Products!$B$2:$B$49,MATCH(B133,Products!$A$2:$A$49,0))</f>
        <v>Deodorant Roll-on</v>
      </c>
      <c r="D133" s="24" t="str">
        <f aca="false">INDEX(Products!$C$2:$C$49,MATCH(B133,Products!$A$2:$A$49,0))</f>
        <v>Personal Care</v>
      </c>
      <c r="E133" s="33" t="n">
        <v>673</v>
      </c>
      <c r="F133" s="33" t="n">
        <v>176</v>
      </c>
      <c r="G133" s="35" t="n">
        <f aca="false">SUMIFS(Sales!$D$2:$D$6001,Sales!$B$2:$B$6001,A133,Sales!$C$2:$C$6001,B133,Sales!$A$2:$A$6001,"&gt;="&amp;(Assumptions!$B$4-7*Assumptions!$B$13+1))/Assumptions!$B$13</f>
        <v>117.125</v>
      </c>
      <c r="H133" s="35" t="n">
        <f aca="false">IFERROR(E133/G133,999)</f>
        <v>5.74599786552828</v>
      </c>
      <c r="I133" s="24" t="str">
        <f aca="false">IF(H133&lt;Assumptions!$B$9,"Stock-out risk",IF(H133&lt;Assumptions!$B$10,"Low",IF(H133&gt;Assumptions!$B$11,"Overstock","Healthy")))</f>
        <v>Healthy</v>
      </c>
      <c r="J133" s="33" t="n">
        <f aca="false">E133*INDEX(Products!$D$2:$D$49,MATCH(B133,Products!$A$2:$A$49,0))</f>
        <v>131235</v>
      </c>
      <c r="K133" s="24" t="str">
        <f aca="false">IF(E133&lt;=F133,"Yes","No")</f>
        <v>No</v>
      </c>
    </row>
    <row r="134" customFormat="false" ht="15" hidden="false" customHeight="false" outlineLevel="0" collapsed="false">
      <c r="A134" s="24" t="s">
        <v>63</v>
      </c>
      <c r="B134" s="24" t="s">
        <v>187</v>
      </c>
      <c r="C134" s="24" t="str">
        <f aca="false">INDEX(Products!$B$2:$B$49,MATCH(B134,Products!$A$2:$A$49,0))</f>
        <v>Sanitary Pads 8 Pack</v>
      </c>
      <c r="D134" s="24" t="str">
        <f aca="false">INDEX(Products!$C$2:$C$49,MATCH(B134,Products!$A$2:$A$49,0))</f>
        <v>Personal Care</v>
      </c>
      <c r="E134" s="33" t="n">
        <v>327</v>
      </c>
      <c r="F134" s="33" t="n">
        <v>49</v>
      </c>
      <c r="G134" s="35" t="n">
        <f aca="false">SUMIFS(Sales!$D$2:$D$6001,Sales!$B$2:$B$6001,A134,Sales!$C$2:$C$6001,B134,Sales!$A$2:$A$6001,"&gt;="&amp;(Assumptions!$B$4-7*Assumptions!$B$13+1))/Assumptions!$B$13</f>
        <v>32.875</v>
      </c>
      <c r="H134" s="35" t="n">
        <f aca="false">IFERROR(E134/G134,999)</f>
        <v>9.9467680608365</v>
      </c>
      <c r="I134" s="24" t="str">
        <f aca="false">IF(H134&lt;Assumptions!$B$9,"Stock-out risk",IF(H134&lt;Assumptions!$B$10,"Low",IF(H134&gt;Assumptions!$B$11,"Overstock","Healthy")))</f>
        <v>Overstock</v>
      </c>
      <c r="J134" s="33" t="n">
        <f aca="false">E134*INDEX(Products!$D$2:$D$49,MATCH(B134,Products!$A$2:$A$49,0))</f>
        <v>37278</v>
      </c>
      <c r="K134" s="24" t="str">
        <f aca="false">IF(E134&lt;=F134,"Yes","No")</f>
        <v>No</v>
      </c>
    </row>
    <row r="135" customFormat="false" ht="15" hidden="false" customHeight="false" outlineLevel="0" collapsed="false">
      <c r="A135" s="24" t="s">
        <v>63</v>
      </c>
      <c r="B135" s="24" t="s">
        <v>189</v>
      </c>
      <c r="C135" s="24" t="str">
        <f aca="false">INDEX(Products!$B$2:$B$49,MATCH(B135,Products!$A$2:$A$49,0))</f>
        <v>Shampoo 400ml</v>
      </c>
      <c r="D135" s="24" t="str">
        <f aca="false">INDEX(Products!$C$2:$C$49,MATCH(B135,Products!$A$2:$A$49,0))</f>
        <v>Personal Care</v>
      </c>
      <c r="E135" s="33" t="n">
        <v>29</v>
      </c>
      <c r="F135" s="33" t="n">
        <v>38</v>
      </c>
      <c r="G135" s="35" t="n">
        <f aca="false">SUMIFS(Sales!$D$2:$D$6001,Sales!$B$2:$B$6001,A135,Sales!$C$2:$C$6001,B135,Sales!$A$2:$A$6001,"&gt;="&amp;(Assumptions!$B$4-7*Assumptions!$B$13+1))/Assumptions!$B$13</f>
        <v>25.375</v>
      </c>
      <c r="H135" s="35" t="n">
        <f aca="false">IFERROR(E135/G135,999)</f>
        <v>1.14285714285714</v>
      </c>
      <c r="I135" s="24" t="str">
        <f aca="false">IF(H135&lt;Assumptions!$B$9,"Stock-out risk",IF(H135&lt;Assumptions!$B$10,"Low",IF(H135&gt;Assumptions!$B$11,"Overstock","Healthy")))</f>
        <v>Low</v>
      </c>
      <c r="J135" s="33" t="n">
        <f aca="false">E135*INDEX(Products!$D$2:$D$49,MATCH(B135,Products!$A$2:$A$49,0))</f>
        <v>6757</v>
      </c>
      <c r="K135" s="24" t="str">
        <f aca="false">IF(E135&lt;=F135,"Yes","No")</f>
        <v>Yes</v>
      </c>
    </row>
    <row r="136" customFormat="false" ht="15" hidden="false" customHeight="false" outlineLevel="0" collapsed="false">
      <c r="A136" s="24" t="s">
        <v>63</v>
      </c>
      <c r="B136" s="24" t="s">
        <v>191</v>
      </c>
      <c r="C136" s="24" t="str">
        <f aca="false">INDEX(Products!$B$2:$B$49,MATCH(B136,Products!$A$2:$A$49,0))</f>
        <v>Petroleum Jelly 250g</v>
      </c>
      <c r="D136" s="24" t="str">
        <f aca="false">INDEX(Products!$C$2:$C$49,MATCH(B136,Products!$A$2:$A$49,0))</f>
        <v>Personal Care</v>
      </c>
      <c r="E136" s="33" t="n">
        <v>34</v>
      </c>
      <c r="F136" s="33" t="n">
        <v>25</v>
      </c>
      <c r="G136" s="35" t="n">
        <f aca="false">SUMIFS(Sales!$D$2:$D$6001,Sales!$B$2:$B$6001,A136,Sales!$C$2:$C$6001,B136,Sales!$A$2:$A$6001,"&gt;="&amp;(Assumptions!$B$4-7*Assumptions!$B$13+1))/Assumptions!$B$13</f>
        <v>16.5</v>
      </c>
      <c r="H136" s="35" t="n">
        <f aca="false">IFERROR(E136/G136,999)</f>
        <v>2.06060606060606</v>
      </c>
      <c r="I136" s="24" t="str">
        <f aca="false">IF(H136&lt;Assumptions!$B$9,"Stock-out risk",IF(H136&lt;Assumptions!$B$10,"Low",IF(H136&gt;Assumptions!$B$11,"Overstock","Healthy")))</f>
        <v>Healthy</v>
      </c>
      <c r="J136" s="33" t="n">
        <f aca="false">E136*INDEX(Products!$D$2:$D$49,MATCH(B136,Products!$A$2:$A$49,0))</f>
        <v>4386</v>
      </c>
      <c r="K136" s="24" t="str">
        <f aca="false">IF(E136&lt;=F136,"Yes","No")</f>
        <v>No</v>
      </c>
    </row>
    <row r="137" customFormat="false" ht="15" hidden="false" customHeight="false" outlineLevel="0" collapsed="false">
      <c r="A137" s="24" t="s">
        <v>63</v>
      </c>
      <c r="B137" s="24" t="s">
        <v>193</v>
      </c>
      <c r="C137" s="24" t="str">
        <f aca="false">INDEX(Products!$B$2:$B$49,MATCH(B137,Products!$A$2:$A$49,0))</f>
        <v>Hand Wash 500ml</v>
      </c>
      <c r="D137" s="24" t="str">
        <f aca="false">INDEX(Products!$C$2:$C$49,MATCH(B137,Products!$A$2:$A$49,0))</f>
        <v>Personal Care</v>
      </c>
      <c r="E137" s="33" t="n">
        <v>357</v>
      </c>
      <c r="F137" s="33" t="n">
        <v>98</v>
      </c>
      <c r="G137" s="35" t="n">
        <f aca="false">SUMIFS(Sales!$D$2:$D$6001,Sales!$B$2:$B$6001,A137,Sales!$C$2:$C$6001,B137,Sales!$A$2:$A$6001,"&gt;="&amp;(Assumptions!$B$4-7*Assumptions!$B$13+1))/Assumptions!$B$13</f>
        <v>65.625</v>
      </c>
      <c r="H137" s="35" t="n">
        <f aca="false">IFERROR(E137/G137,999)</f>
        <v>5.44</v>
      </c>
      <c r="I137" s="24" t="str">
        <f aca="false">IF(H137&lt;Assumptions!$B$9,"Stock-out risk",IF(H137&lt;Assumptions!$B$10,"Low",IF(H137&gt;Assumptions!$B$11,"Overstock","Healthy")))</f>
        <v>Healthy</v>
      </c>
      <c r="J137" s="33" t="n">
        <f aca="false">E137*INDEX(Products!$D$2:$D$49,MATCH(B137,Products!$A$2:$A$49,0))</f>
        <v>56406</v>
      </c>
      <c r="K137" s="24" t="str">
        <f aca="false">IF(E137&lt;=F137,"Yes","No")</f>
        <v>No</v>
      </c>
    </row>
    <row r="138" customFormat="false" ht="15" hidden="false" customHeight="false" outlineLevel="0" collapsed="false">
      <c r="A138" s="24" t="s">
        <v>63</v>
      </c>
      <c r="B138" s="24" t="s">
        <v>195</v>
      </c>
      <c r="C138" s="24" t="str">
        <f aca="false">INDEX(Products!$B$2:$B$49,MATCH(B138,Products!$A$2:$A$49,0))</f>
        <v>Biscuits 200g</v>
      </c>
      <c r="D138" s="24" t="str">
        <f aca="false">INDEX(Products!$C$2:$C$49,MATCH(B138,Products!$A$2:$A$49,0))</f>
        <v>Snacks &amp; Confectionery</v>
      </c>
      <c r="E138" s="33" t="n">
        <v>1164</v>
      </c>
      <c r="F138" s="33" t="n">
        <v>376</v>
      </c>
      <c r="G138" s="35" t="n">
        <f aca="false">SUMIFS(Sales!$D$2:$D$6001,Sales!$B$2:$B$6001,A138,Sales!$C$2:$C$6001,B138,Sales!$A$2:$A$6001,"&gt;="&amp;(Assumptions!$B$4-7*Assumptions!$B$13+1))/Assumptions!$B$13</f>
        <v>250.875</v>
      </c>
      <c r="H138" s="35" t="n">
        <f aca="false">IFERROR(E138/G138,999)</f>
        <v>4.63976083707025</v>
      </c>
      <c r="I138" s="24" t="str">
        <f aca="false">IF(H138&lt;Assumptions!$B$9,"Stock-out risk",IF(H138&lt;Assumptions!$B$10,"Low",IF(H138&gt;Assumptions!$B$11,"Overstock","Healthy")))</f>
        <v>Healthy</v>
      </c>
      <c r="J138" s="33" t="n">
        <f aca="false">E138*INDEX(Products!$D$2:$D$49,MATCH(B138,Products!$A$2:$A$49,0))</f>
        <v>86136</v>
      </c>
      <c r="K138" s="24" t="str">
        <f aca="false">IF(E138&lt;=F138,"Yes","No")</f>
        <v>No</v>
      </c>
    </row>
    <row r="139" customFormat="false" ht="15" hidden="false" customHeight="false" outlineLevel="0" collapsed="false">
      <c r="A139" s="24" t="s">
        <v>63</v>
      </c>
      <c r="B139" s="24" t="s">
        <v>197</v>
      </c>
      <c r="C139" s="24" t="str">
        <f aca="false">INDEX(Products!$B$2:$B$49,MATCH(B139,Products!$A$2:$A$49,0))</f>
        <v>Potato Crisps 100g</v>
      </c>
      <c r="D139" s="24" t="str">
        <f aca="false">INDEX(Products!$C$2:$C$49,MATCH(B139,Products!$A$2:$A$49,0))</f>
        <v>Snacks &amp; Confectionery</v>
      </c>
      <c r="E139" s="33" t="n">
        <v>240</v>
      </c>
      <c r="F139" s="33" t="n">
        <v>67</v>
      </c>
      <c r="G139" s="35" t="n">
        <f aca="false">SUMIFS(Sales!$D$2:$D$6001,Sales!$B$2:$B$6001,A139,Sales!$C$2:$C$6001,B139,Sales!$A$2:$A$6001,"&gt;="&amp;(Assumptions!$B$4-7*Assumptions!$B$13+1))/Assumptions!$B$13</f>
        <v>44.625</v>
      </c>
      <c r="H139" s="35" t="n">
        <f aca="false">IFERROR(E139/G139,999)</f>
        <v>5.3781512605042</v>
      </c>
      <c r="I139" s="24" t="str">
        <f aca="false">IF(H139&lt;Assumptions!$B$9,"Stock-out risk",IF(H139&lt;Assumptions!$B$10,"Low",IF(H139&gt;Assumptions!$B$11,"Overstock","Healthy")))</f>
        <v>Healthy</v>
      </c>
      <c r="J139" s="33" t="n">
        <f aca="false">E139*INDEX(Products!$D$2:$D$49,MATCH(B139,Products!$A$2:$A$49,0))</f>
        <v>15840</v>
      </c>
      <c r="K139" s="24" t="str">
        <f aca="false">IF(E139&lt;=F139,"Yes","No")</f>
        <v>No</v>
      </c>
    </row>
    <row r="140" customFormat="false" ht="15" hidden="false" customHeight="false" outlineLevel="0" collapsed="false">
      <c r="A140" s="24" t="s">
        <v>63</v>
      </c>
      <c r="B140" s="24" t="s">
        <v>199</v>
      </c>
      <c r="C140" s="24" t="str">
        <f aca="false">INDEX(Products!$B$2:$B$49,MATCH(B140,Products!$A$2:$A$49,0))</f>
        <v>Chocolate Bar 90g</v>
      </c>
      <c r="D140" s="24" t="str">
        <f aca="false">INDEX(Products!$C$2:$C$49,MATCH(B140,Products!$A$2:$A$49,0))</f>
        <v>Snacks &amp; Confectionery</v>
      </c>
      <c r="E140" s="33" t="n">
        <v>235</v>
      </c>
      <c r="F140" s="33" t="n">
        <v>41</v>
      </c>
      <c r="G140" s="35" t="n">
        <f aca="false">SUMIFS(Sales!$D$2:$D$6001,Sales!$B$2:$B$6001,A140,Sales!$C$2:$C$6001,B140,Sales!$A$2:$A$6001,"&gt;="&amp;(Assumptions!$B$4-7*Assumptions!$B$13+1))/Assumptions!$B$13</f>
        <v>27.5</v>
      </c>
      <c r="H140" s="35" t="n">
        <f aca="false">IFERROR(E140/G140,999)</f>
        <v>8.54545454545455</v>
      </c>
      <c r="I140" s="24" t="str">
        <f aca="false">IF(H140&lt;Assumptions!$B$9,"Stock-out risk",IF(H140&lt;Assumptions!$B$10,"Low",IF(H140&gt;Assumptions!$B$11,"Overstock","Healthy")))</f>
        <v>Overstock</v>
      </c>
      <c r="J140" s="33" t="n">
        <f aca="false">E140*INDEX(Products!$D$2:$D$49,MATCH(B140,Products!$A$2:$A$49,0))</f>
        <v>26085</v>
      </c>
      <c r="K140" s="24" t="str">
        <f aca="false">IF(E140&lt;=F140,"Yes","No")</f>
        <v>No</v>
      </c>
    </row>
    <row r="141" customFormat="false" ht="15" hidden="false" customHeight="false" outlineLevel="0" collapsed="false">
      <c r="A141" s="24" t="s">
        <v>63</v>
      </c>
      <c r="B141" s="24" t="s">
        <v>201</v>
      </c>
      <c r="C141" s="24" t="str">
        <f aca="false">INDEX(Products!$B$2:$B$49,MATCH(B141,Products!$A$2:$A$49,0))</f>
        <v>Peanuts Roasted 250g</v>
      </c>
      <c r="D141" s="24" t="str">
        <f aca="false">INDEX(Products!$C$2:$C$49,MATCH(B141,Products!$A$2:$A$49,0))</f>
        <v>Snacks &amp; Confectionery</v>
      </c>
      <c r="E141" s="33" t="n">
        <v>117</v>
      </c>
      <c r="F141" s="33" t="n">
        <v>127</v>
      </c>
      <c r="G141" s="35" t="n">
        <f aca="false">SUMIFS(Sales!$D$2:$D$6001,Sales!$B$2:$B$6001,A141,Sales!$C$2:$C$6001,B141,Sales!$A$2:$A$6001,"&gt;="&amp;(Assumptions!$B$4-7*Assumptions!$B$13+1))/Assumptions!$B$13</f>
        <v>84.375</v>
      </c>
      <c r="H141" s="35" t="n">
        <f aca="false">IFERROR(E141/G141,999)</f>
        <v>1.38666666666667</v>
      </c>
      <c r="I141" s="24" t="str">
        <f aca="false">IF(H141&lt;Assumptions!$B$9,"Stock-out risk",IF(H141&lt;Assumptions!$B$10,"Low",IF(H141&gt;Assumptions!$B$11,"Overstock","Healthy")))</f>
        <v>Low</v>
      </c>
      <c r="J141" s="33" t="n">
        <f aca="false">E141*INDEX(Products!$D$2:$D$49,MATCH(B141,Products!$A$2:$A$49,0))</f>
        <v>14040</v>
      </c>
      <c r="K141" s="24" t="str">
        <f aca="false">IF(E141&lt;=F141,"Yes","No")</f>
        <v>Yes</v>
      </c>
    </row>
    <row r="142" customFormat="false" ht="15" hidden="false" customHeight="false" outlineLevel="0" collapsed="false">
      <c r="A142" s="24" t="s">
        <v>63</v>
      </c>
      <c r="B142" s="24" t="s">
        <v>203</v>
      </c>
      <c r="C142" s="24" t="str">
        <f aca="false">INDEX(Products!$B$2:$B$49,MATCH(B142,Products!$A$2:$A$49,0))</f>
        <v>Bread White 400g</v>
      </c>
      <c r="D142" s="24" t="str">
        <f aca="false">INDEX(Products!$C$2:$C$49,MATCH(B142,Products!$A$2:$A$49,0))</f>
        <v>Snacks &amp; Confectionery</v>
      </c>
      <c r="E142" s="33" t="n">
        <v>307</v>
      </c>
      <c r="F142" s="33" t="n">
        <v>72</v>
      </c>
      <c r="G142" s="35" t="n">
        <f aca="false">SUMIFS(Sales!$D$2:$D$6001,Sales!$B$2:$B$6001,A142,Sales!$C$2:$C$6001,B142,Sales!$A$2:$A$6001,"&gt;="&amp;(Assumptions!$B$4-7*Assumptions!$B$13+1))/Assumptions!$B$13</f>
        <v>48</v>
      </c>
      <c r="H142" s="35" t="n">
        <f aca="false">IFERROR(E142/G142,999)</f>
        <v>6.39583333333333</v>
      </c>
      <c r="I142" s="24" t="str">
        <f aca="false">IF(H142&lt;Assumptions!$B$9,"Stock-out risk",IF(H142&lt;Assumptions!$B$10,"Low",IF(H142&gt;Assumptions!$B$11,"Overstock","Healthy")))</f>
        <v>Healthy</v>
      </c>
      <c r="J142" s="33" t="n">
        <f aca="false">E142*INDEX(Products!$D$2:$D$49,MATCH(B142,Products!$A$2:$A$49,0))</f>
        <v>14429</v>
      </c>
      <c r="K142" s="24" t="str">
        <f aca="false">IF(E142&lt;=F142,"Yes","No")</f>
        <v>No</v>
      </c>
    </row>
    <row r="143" customFormat="false" ht="15" hidden="false" customHeight="false" outlineLevel="0" collapsed="false">
      <c r="A143" s="24" t="s">
        <v>63</v>
      </c>
      <c r="B143" s="24" t="s">
        <v>205</v>
      </c>
      <c r="C143" s="24" t="str">
        <f aca="false">INDEX(Products!$B$2:$B$49,MATCH(B143,Products!$A$2:$A$49,0))</f>
        <v>Cake Slice</v>
      </c>
      <c r="D143" s="24" t="str">
        <f aca="false">INDEX(Products!$C$2:$C$49,MATCH(B143,Products!$A$2:$A$49,0))</f>
        <v>Snacks &amp; Confectionery</v>
      </c>
      <c r="E143" s="33" t="n">
        <v>2255</v>
      </c>
      <c r="F143" s="33" t="n">
        <v>78</v>
      </c>
      <c r="G143" s="35" t="n">
        <f aca="false">SUMIFS(Sales!$D$2:$D$6001,Sales!$B$2:$B$6001,A143,Sales!$C$2:$C$6001,B143,Sales!$A$2:$A$6001,"&gt;="&amp;(Assumptions!$B$4-7*Assumptions!$B$13+1))/Assumptions!$B$13</f>
        <v>51.75</v>
      </c>
      <c r="H143" s="35" t="n">
        <f aca="false">IFERROR(E143/G143,999)</f>
        <v>43.5748792270531</v>
      </c>
      <c r="I143" s="24" t="str">
        <f aca="false">IF(H143&lt;Assumptions!$B$9,"Stock-out risk",IF(H143&lt;Assumptions!$B$10,"Low",IF(H143&gt;Assumptions!$B$11,"Overstock","Healthy")))</f>
        <v>Overstock</v>
      </c>
      <c r="J143" s="33" t="n">
        <f aca="false">E143*INDEX(Products!$D$2:$D$49,MATCH(B143,Products!$A$2:$A$49,0))</f>
        <v>182655</v>
      </c>
      <c r="K143" s="24" t="str">
        <f aca="false">IF(E143&lt;=F143,"Yes","No")</f>
        <v>No</v>
      </c>
    </row>
    <row r="144" customFormat="false" ht="15" hidden="false" customHeight="false" outlineLevel="0" collapsed="false">
      <c r="A144" s="24" t="s">
        <v>63</v>
      </c>
      <c r="B144" s="24" t="s">
        <v>207</v>
      </c>
      <c r="C144" s="24" t="str">
        <f aca="false">INDEX(Products!$B$2:$B$49,MATCH(B144,Products!$A$2:$A$49,0))</f>
        <v>Sweets Jar 300g</v>
      </c>
      <c r="D144" s="24" t="str">
        <f aca="false">INDEX(Products!$C$2:$C$49,MATCH(B144,Products!$A$2:$A$49,0))</f>
        <v>Snacks &amp; Confectionery</v>
      </c>
      <c r="E144" s="33" t="n">
        <v>134</v>
      </c>
      <c r="F144" s="33" t="n">
        <v>82</v>
      </c>
      <c r="G144" s="35" t="n">
        <f aca="false">SUMIFS(Sales!$D$2:$D$6001,Sales!$B$2:$B$6001,A144,Sales!$C$2:$C$6001,B144,Sales!$A$2:$A$6001,"&gt;="&amp;(Assumptions!$B$4-7*Assumptions!$B$13+1))/Assumptions!$B$13</f>
        <v>55</v>
      </c>
      <c r="H144" s="35" t="n">
        <f aca="false">IFERROR(E144/G144,999)</f>
        <v>2.43636363636364</v>
      </c>
      <c r="I144" s="24" t="str">
        <f aca="false">IF(H144&lt;Assumptions!$B$9,"Stock-out risk",IF(H144&lt;Assumptions!$B$10,"Low",IF(H144&gt;Assumptions!$B$11,"Overstock","Healthy")))</f>
        <v>Healthy</v>
      </c>
      <c r="J144" s="33" t="n">
        <f aca="false">E144*INDEX(Products!$D$2:$D$49,MATCH(B144,Products!$A$2:$A$49,0))</f>
        <v>16884</v>
      </c>
      <c r="K144" s="24" t="str">
        <f aca="false">IF(E144&lt;=F144,"Yes","No")</f>
        <v>No</v>
      </c>
    </row>
    <row r="145" customFormat="false" ht="15" hidden="false" customHeight="false" outlineLevel="0" collapsed="false">
      <c r="A145" s="24" t="s">
        <v>63</v>
      </c>
      <c r="B145" s="24" t="s">
        <v>209</v>
      </c>
      <c r="C145" s="24" t="str">
        <f aca="false">INDEX(Products!$B$2:$B$49,MATCH(B145,Products!$A$2:$A$49,0))</f>
        <v>Popcorn 100g</v>
      </c>
      <c r="D145" s="24" t="str">
        <f aca="false">INDEX(Products!$C$2:$C$49,MATCH(B145,Products!$A$2:$A$49,0))</f>
        <v>Snacks &amp; Confectionery</v>
      </c>
      <c r="E145" s="33" t="n">
        <v>187</v>
      </c>
      <c r="F145" s="33" t="n">
        <v>143</v>
      </c>
      <c r="G145" s="35" t="n">
        <f aca="false">SUMIFS(Sales!$D$2:$D$6001,Sales!$B$2:$B$6001,A145,Sales!$C$2:$C$6001,B145,Sales!$A$2:$A$6001,"&gt;="&amp;(Assumptions!$B$4-7*Assumptions!$B$13+1))/Assumptions!$B$13</f>
        <v>95.375</v>
      </c>
      <c r="H145" s="35" t="n">
        <f aca="false">IFERROR(E145/G145,999)</f>
        <v>1.96068152031455</v>
      </c>
      <c r="I145" s="24" t="str">
        <f aca="false">IF(H145&lt;Assumptions!$B$9,"Stock-out risk",IF(H145&lt;Assumptions!$B$10,"Low",IF(H145&gt;Assumptions!$B$11,"Overstock","Healthy")))</f>
        <v>Low</v>
      </c>
      <c r="J145" s="33" t="n">
        <f aca="false">E145*INDEX(Products!$D$2:$D$49,MATCH(B145,Products!$A$2:$A$49,0))</f>
        <v>8789</v>
      </c>
      <c r="K145" s="24" t="str">
        <f aca="false">IF(E145&lt;=F145,"Yes","No")</f>
        <v>No</v>
      </c>
    </row>
    <row r="146" customFormat="false" ht="15" hidden="false" customHeight="false" outlineLevel="0" collapsed="false">
      <c r="A146" s="24" t="s">
        <v>64</v>
      </c>
      <c r="B146" s="24" t="s">
        <v>115</v>
      </c>
      <c r="C146" s="24" t="str">
        <f aca="false">INDEX(Products!$B$2:$B$49,MATCH(B146,Products!$A$2:$A$49,0))</f>
        <v>Maize Flour 2kg</v>
      </c>
      <c r="D146" s="24" t="str">
        <f aca="false">INDEX(Products!$C$2:$C$49,MATCH(B146,Products!$A$2:$A$49,0))</f>
        <v>Grocery Staples</v>
      </c>
      <c r="E146" s="33" t="n">
        <v>412</v>
      </c>
      <c r="F146" s="33" t="n">
        <v>203</v>
      </c>
      <c r="G146" s="35" t="n">
        <f aca="false">SUMIFS(Sales!$D$2:$D$6001,Sales!$B$2:$B$6001,A146,Sales!$C$2:$C$6001,B146,Sales!$A$2:$A$6001,"&gt;="&amp;(Assumptions!$B$4-7*Assumptions!$B$13+1))/Assumptions!$B$13</f>
        <v>135.125</v>
      </c>
      <c r="H146" s="35" t="n">
        <f aca="false">IFERROR(E146/G146,999)</f>
        <v>3.04902867715079</v>
      </c>
      <c r="I146" s="24" t="str">
        <f aca="false">IF(H146&lt;Assumptions!$B$9,"Stock-out risk",IF(H146&lt;Assumptions!$B$10,"Low",IF(H146&gt;Assumptions!$B$11,"Overstock","Healthy")))</f>
        <v>Healthy</v>
      </c>
      <c r="J146" s="33" t="n">
        <f aca="false">E146*INDEX(Products!$D$2:$D$49,MATCH(B146,Products!$A$2:$A$49,0))</f>
        <v>59328</v>
      </c>
      <c r="K146" s="24" t="str">
        <f aca="false">IF(E146&lt;=F146,"Yes","No")</f>
        <v>No</v>
      </c>
    </row>
    <row r="147" customFormat="false" ht="15" hidden="false" customHeight="false" outlineLevel="0" collapsed="false">
      <c r="A147" s="24" t="s">
        <v>64</v>
      </c>
      <c r="B147" s="24" t="s">
        <v>117</v>
      </c>
      <c r="C147" s="24" t="str">
        <f aca="false">INDEX(Products!$B$2:$B$49,MATCH(B147,Products!$A$2:$A$49,0))</f>
        <v>Wheat Flour 2kg</v>
      </c>
      <c r="D147" s="24" t="str">
        <f aca="false">INDEX(Products!$C$2:$C$49,MATCH(B147,Products!$A$2:$A$49,0))</f>
        <v>Grocery Staples</v>
      </c>
      <c r="E147" s="33" t="n">
        <v>1229</v>
      </c>
      <c r="F147" s="33" t="n">
        <v>182</v>
      </c>
      <c r="G147" s="35" t="n">
        <f aca="false">SUMIFS(Sales!$D$2:$D$6001,Sales!$B$2:$B$6001,A147,Sales!$C$2:$C$6001,B147,Sales!$A$2:$A$6001,"&gt;="&amp;(Assumptions!$B$4-7*Assumptions!$B$13+1))/Assumptions!$B$13</f>
        <v>121.125</v>
      </c>
      <c r="H147" s="35" t="n">
        <f aca="false">IFERROR(E147/G147,999)</f>
        <v>10.1465428276574</v>
      </c>
      <c r="I147" s="24" t="str">
        <f aca="false">IF(H147&lt;Assumptions!$B$9,"Stock-out risk",IF(H147&lt;Assumptions!$B$10,"Low",IF(H147&gt;Assumptions!$B$11,"Overstock","Healthy")))</f>
        <v>Overstock</v>
      </c>
      <c r="J147" s="33" t="n">
        <f aca="false">E147*INDEX(Products!$D$2:$D$49,MATCH(B147,Products!$A$2:$A$49,0))</f>
        <v>206472</v>
      </c>
      <c r="K147" s="24" t="str">
        <f aca="false">IF(E147&lt;=F147,"Yes","No")</f>
        <v>No</v>
      </c>
    </row>
    <row r="148" customFormat="false" ht="15" hidden="false" customHeight="false" outlineLevel="0" collapsed="false">
      <c r="A148" s="24" t="s">
        <v>64</v>
      </c>
      <c r="B148" s="24" t="s">
        <v>119</v>
      </c>
      <c r="C148" s="24" t="str">
        <f aca="false">INDEX(Products!$B$2:$B$49,MATCH(B148,Products!$A$2:$A$49,0))</f>
        <v>Rice Pishori 2kg</v>
      </c>
      <c r="D148" s="24" t="str">
        <f aca="false">INDEX(Products!$C$2:$C$49,MATCH(B148,Products!$A$2:$A$49,0))</f>
        <v>Grocery Staples</v>
      </c>
      <c r="E148" s="33" t="n">
        <v>185</v>
      </c>
      <c r="F148" s="33" t="n">
        <v>109</v>
      </c>
      <c r="G148" s="35" t="n">
        <f aca="false">SUMIFS(Sales!$D$2:$D$6001,Sales!$B$2:$B$6001,A148,Sales!$C$2:$C$6001,B148,Sales!$A$2:$A$6001,"&gt;="&amp;(Assumptions!$B$4-7*Assumptions!$B$13+1))/Assumptions!$B$13</f>
        <v>72.75</v>
      </c>
      <c r="H148" s="35" t="n">
        <f aca="false">IFERROR(E148/G148,999)</f>
        <v>2.54295532646048</v>
      </c>
      <c r="I148" s="24" t="str">
        <f aca="false">IF(H148&lt;Assumptions!$B$9,"Stock-out risk",IF(H148&lt;Assumptions!$B$10,"Low",IF(H148&gt;Assumptions!$B$11,"Overstock","Healthy")))</f>
        <v>Healthy</v>
      </c>
      <c r="J148" s="33" t="n">
        <f aca="false">E148*INDEX(Products!$D$2:$D$49,MATCH(B148,Products!$A$2:$A$49,0))</f>
        <v>69560</v>
      </c>
      <c r="K148" s="24" t="str">
        <f aca="false">IF(E148&lt;=F148,"Yes","No")</f>
        <v>No</v>
      </c>
    </row>
    <row r="149" customFormat="false" ht="15" hidden="false" customHeight="false" outlineLevel="0" collapsed="false">
      <c r="A149" s="24" t="s">
        <v>64</v>
      </c>
      <c r="B149" s="24" t="s">
        <v>121</v>
      </c>
      <c r="C149" s="24" t="str">
        <f aca="false">INDEX(Products!$B$2:$B$49,MATCH(B149,Products!$A$2:$A$49,0))</f>
        <v>Sugar 1kg</v>
      </c>
      <c r="D149" s="24" t="str">
        <f aca="false">INDEX(Products!$C$2:$C$49,MATCH(B149,Products!$A$2:$A$49,0))</f>
        <v>Grocery Staples</v>
      </c>
      <c r="E149" s="33" t="n">
        <v>40</v>
      </c>
      <c r="F149" s="33" t="n">
        <v>73</v>
      </c>
      <c r="G149" s="35" t="n">
        <f aca="false">SUMIFS(Sales!$D$2:$D$6001,Sales!$B$2:$B$6001,A149,Sales!$C$2:$C$6001,B149,Sales!$A$2:$A$6001,"&gt;="&amp;(Assumptions!$B$4-7*Assumptions!$B$13+1))/Assumptions!$B$13</f>
        <v>48.625</v>
      </c>
      <c r="H149" s="35" t="n">
        <f aca="false">IFERROR(E149/G149,999)</f>
        <v>0.822622107969152</v>
      </c>
      <c r="I149" s="24" t="str">
        <f aca="false">IF(H149&lt;Assumptions!$B$9,"Stock-out risk",IF(H149&lt;Assumptions!$B$10,"Low",IF(H149&gt;Assumptions!$B$11,"Overstock","Healthy")))</f>
        <v>Stock-out risk</v>
      </c>
      <c r="J149" s="33" t="n">
        <f aca="false">E149*INDEX(Products!$D$2:$D$49,MATCH(B149,Products!$A$2:$A$49,0))</f>
        <v>6440</v>
      </c>
      <c r="K149" s="24" t="str">
        <f aca="false">IF(E149&lt;=F149,"Yes","No")</f>
        <v>Yes</v>
      </c>
    </row>
    <row r="150" customFormat="false" ht="15" hidden="false" customHeight="false" outlineLevel="0" collapsed="false">
      <c r="A150" s="24" t="s">
        <v>64</v>
      </c>
      <c r="B150" s="24" t="s">
        <v>123</v>
      </c>
      <c r="C150" s="24" t="str">
        <f aca="false">INDEX(Products!$B$2:$B$49,MATCH(B150,Products!$A$2:$A$49,0))</f>
        <v>Cooking Oil 1L</v>
      </c>
      <c r="D150" s="24" t="str">
        <f aca="false">INDEX(Products!$C$2:$C$49,MATCH(B150,Products!$A$2:$A$49,0))</f>
        <v>Grocery Staples</v>
      </c>
      <c r="E150" s="33" t="n">
        <v>1319</v>
      </c>
      <c r="F150" s="33" t="n">
        <v>359</v>
      </c>
      <c r="G150" s="35" t="n">
        <f aca="false">SUMIFS(Sales!$D$2:$D$6001,Sales!$B$2:$B$6001,A150,Sales!$C$2:$C$6001,B150,Sales!$A$2:$A$6001,"&gt;="&amp;(Assumptions!$B$4-7*Assumptions!$B$13+1))/Assumptions!$B$13</f>
        <v>239.25</v>
      </c>
      <c r="H150" s="35" t="n">
        <f aca="false">IFERROR(E150/G150,999)</f>
        <v>5.51306165099269</v>
      </c>
      <c r="I150" s="24" t="str">
        <f aca="false">IF(H150&lt;Assumptions!$B$9,"Stock-out risk",IF(H150&lt;Assumptions!$B$10,"Low",IF(H150&gt;Assumptions!$B$11,"Overstock","Healthy")))</f>
        <v>Healthy</v>
      </c>
      <c r="J150" s="33" t="n">
        <f aca="false">E150*INDEX(Products!$D$2:$D$49,MATCH(B150,Products!$A$2:$A$49,0))</f>
        <v>391743</v>
      </c>
      <c r="K150" s="24" t="str">
        <f aca="false">IF(E150&lt;=F150,"Yes","No")</f>
        <v>No</v>
      </c>
    </row>
    <row r="151" customFormat="false" ht="15" hidden="false" customHeight="false" outlineLevel="0" collapsed="false">
      <c r="A151" s="24" t="s">
        <v>64</v>
      </c>
      <c r="B151" s="24" t="s">
        <v>125</v>
      </c>
      <c r="C151" s="24" t="str">
        <f aca="false">INDEX(Products!$B$2:$B$49,MATCH(B151,Products!$A$2:$A$49,0))</f>
        <v>Salt 500g</v>
      </c>
      <c r="D151" s="24" t="str">
        <f aca="false">INDEX(Products!$C$2:$C$49,MATCH(B151,Products!$A$2:$A$49,0))</f>
        <v>Grocery Staples</v>
      </c>
      <c r="E151" s="33" t="n">
        <v>458</v>
      </c>
      <c r="F151" s="33" t="n">
        <v>42</v>
      </c>
      <c r="G151" s="35" t="n">
        <f aca="false">SUMIFS(Sales!$D$2:$D$6001,Sales!$B$2:$B$6001,A151,Sales!$C$2:$C$6001,B151,Sales!$A$2:$A$6001,"&gt;="&amp;(Assumptions!$B$4-7*Assumptions!$B$13+1))/Assumptions!$B$13</f>
        <v>28.25</v>
      </c>
      <c r="H151" s="35" t="n">
        <f aca="false">IFERROR(E151/G151,999)</f>
        <v>16.212389380531</v>
      </c>
      <c r="I151" s="24" t="str">
        <f aca="false">IF(H151&lt;Assumptions!$B$9,"Stock-out risk",IF(H151&lt;Assumptions!$B$10,"Low",IF(H151&gt;Assumptions!$B$11,"Overstock","Healthy")))</f>
        <v>Overstock</v>
      </c>
      <c r="J151" s="33" t="n">
        <f aca="false">E151*INDEX(Products!$D$2:$D$49,MATCH(B151,Products!$A$2:$A$49,0))</f>
        <v>18320</v>
      </c>
      <c r="K151" s="24" t="str">
        <f aca="false">IF(E151&lt;=F151,"Yes","No")</f>
        <v>No</v>
      </c>
    </row>
    <row r="152" customFormat="false" ht="15" hidden="false" customHeight="false" outlineLevel="0" collapsed="false">
      <c r="A152" s="24" t="s">
        <v>64</v>
      </c>
      <c r="B152" s="24" t="s">
        <v>127</v>
      </c>
      <c r="C152" s="24" t="str">
        <f aca="false">INDEX(Products!$B$2:$B$49,MATCH(B152,Products!$A$2:$A$49,0))</f>
        <v>Tea Leaves 250g</v>
      </c>
      <c r="D152" s="24" t="str">
        <f aca="false">INDEX(Products!$C$2:$C$49,MATCH(B152,Products!$A$2:$A$49,0))</f>
        <v>Grocery Staples</v>
      </c>
      <c r="E152" s="33" t="n">
        <v>1021</v>
      </c>
      <c r="F152" s="33" t="n">
        <v>260</v>
      </c>
      <c r="G152" s="35" t="n">
        <f aca="false">SUMIFS(Sales!$D$2:$D$6001,Sales!$B$2:$B$6001,A152,Sales!$C$2:$C$6001,B152,Sales!$A$2:$A$6001,"&gt;="&amp;(Assumptions!$B$4-7*Assumptions!$B$13+1))/Assumptions!$B$13</f>
        <v>173.625</v>
      </c>
      <c r="H152" s="35" t="n">
        <f aca="false">IFERROR(E152/G152,999)</f>
        <v>5.88048956083513</v>
      </c>
      <c r="I152" s="24" t="str">
        <f aca="false">IF(H152&lt;Assumptions!$B$9,"Stock-out risk",IF(H152&lt;Assumptions!$B$10,"Low",IF(H152&gt;Assumptions!$B$11,"Overstock","Healthy")))</f>
        <v>Healthy</v>
      </c>
      <c r="J152" s="33" t="n">
        <f aca="false">E152*INDEX(Products!$D$2:$D$49,MATCH(B152,Products!$A$2:$A$49,0))</f>
        <v>105163</v>
      </c>
      <c r="K152" s="24" t="str">
        <f aca="false">IF(E152&lt;=F152,"Yes","No")</f>
        <v>No</v>
      </c>
    </row>
    <row r="153" customFormat="false" ht="15" hidden="false" customHeight="false" outlineLevel="0" collapsed="false">
      <c r="A153" s="24" t="s">
        <v>64</v>
      </c>
      <c r="B153" s="24" t="s">
        <v>129</v>
      </c>
      <c r="C153" s="24" t="str">
        <f aca="false">INDEX(Products!$B$2:$B$49,MATCH(B153,Products!$A$2:$A$49,0))</f>
        <v>Dry Beans 1kg</v>
      </c>
      <c r="D153" s="24" t="str">
        <f aca="false">INDEX(Products!$C$2:$C$49,MATCH(B153,Products!$A$2:$A$49,0))</f>
        <v>Grocery Staples</v>
      </c>
      <c r="E153" s="33" t="n">
        <v>396</v>
      </c>
      <c r="F153" s="33" t="n">
        <v>263</v>
      </c>
      <c r="G153" s="35" t="n">
        <f aca="false">SUMIFS(Sales!$D$2:$D$6001,Sales!$B$2:$B$6001,A153,Sales!$C$2:$C$6001,B153,Sales!$A$2:$A$6001,"&gt;="&amp;(Assumptions!$B$4-7*Assumptions!$B$13+1))/Assumptions!$B$13</f>
        <v>175.125</v>
      </c>
      <c r="H153" s="35" t="n">
        <f aca="false">IFERROR(E153/G153,999)</f>
        <v>2.26124197002141</v>
      </c>
      <c r="I153" s="24" t="str">
        <f aca="false">IF(H153&lt;Assumptions!$B$9,"Stock-out risk",IF(H153&lt;Assumptions!$B$10,"Low",IF(H153&gt;Assumptions!$B$11,"Overstock","Healthy")))</f>
        <v>Healthy</v>
      </c>
      <c r="J153" s="33" t="n">
        <f aca="false">E153*INDEX(Products!$D$2:$D$49,MATCH(B153,Products!$A$2:$A$49,0))</f>
        <v>73656</v>
      </c>
      <c r="K153" s="24" t="str">
        <f aca="false">IF(E153&lt;=F153,"Yes","No")</f>
        <v>No</v>
      </c>
    </row>
    <row r="154" customFormat="false" ht="15" hidden="false" customHeight="false" outlineLevel="0" collapsed="false">
      <c r="A154" s="24" t="s">
        <v>64</v>
      </c>
      <c r="B154" s="24" t="s">
        <v>131</v>
      </c>
      <c r="C154" s="24" t="str">
        <f aca="false">INDEX(Products!$B$2:$B$49,MATCH(B154,Products!$A$2:$A$49,0))</f>
        <v>Fresh Milk 500ml</v>
      </c>
      <c r="D154" s="24" t="str">
        <f aca="false">INDEX(Products!$C$2:$C$49,MATCH(B154,Products!$A$2:$A$49,0))</f>
        <v>Dairy &amp; Eggs</v>
      </c>
      <c r="E154" s="33" t="n">
        <v>63</v>
      </c>
      <c r="F154" s="33" t="n">
        <v>37</v>
      </c>
      <c r="G154" s="35" t="n">
        <f aca="false">SUMIFS(Sales!$D$2:$D$6001,Sales!$B$2:$B$6001,A154,Sales!$C$2:$C$6001,B154,Sales!$A$2:$A$6001,"&gt;="&amp;(Assumptions!$B$4-7*Assumptions!$B$13+1))/Assumptions!$B$13</f>
        <v>24.625</v>
      </c>
      <c r="H154" s="35" t="n">
        <f aca="false">IFERROR(E154/G154,999)</f>
        <v>2.55837563451777</v>
      </c>
      <c r="I154" s="24" t="str">
        <f aca="false">IF(H154&lt;Assumptions!$B$9,"Stock-out risk",IF(H154&lt;Assumptions!$B$10,"Low",IF(H154&gt;Assumptions!$B$11,"Overstock","Healthy")))</f>
        <v>Healthy</v>
      </c>
      <c r="J154" s="33" t="n">
        <f aca="false">E154*INDEX(Products!$D$2:$D$49,MATCH(B154,Products!$A$2:$A$49,0))</f>
        <v>3213</v>
      </c>
      <c r="K154" s="24" t="str">
        <f aca="false">IF(E154&lt;=F154,"Yes","No")</f>
        <v>No</v>
      </c>
    </row>
    <row r="155" customFormat="false" ht="15" hidden="false" customHeight="false" outlineLevel="0" collapsed="false">
      <c r="A155" s="24" t="s">
        <v>64</v>
      </c>
      <c r="B155" s="24" t="s">
        <v>133</v>
      </c>
      <c r="C155" s="24" t="str">
        <f aca="false">INDEX(Products!$B$2:$B$49,MATCH(B155,Products!$A$2:$A$49,0))</f>
        <v>Fresh Milk 1L</v>
      </c>
      <c r="D155" s="24" t="str">
        <f aca="false">INDEX(Products!$C$2:$C$49,MATCH(B155,Products!$A$2:$A$49,0))</f>
        <v>Dairy &amp; Eggs</v>
      </c>
      <c r="E155" s="33" t="n">
        <v>547</v>
      </c>
      <c r="F155" s="33" t="n">
        <v>98</v>
      </c>
      <c r="G155" s="35" t="n">
        <f aca="false">SUMIFS(Sales!$D$2:$D$6001,Sales!$B$2:$B$6001,A155,Sales!$C$2:$C$6001,B155,Sales!$A$2:$A$6001,"&gt;="&amp;(Assumptions!$B$4-7*Assumptions!$B$13+1))/Assumptions!$B$13</f>
        <v>65.25</v>
      </c>
      <c r="H155" s="35" t="n">
        <f aca="false">IFERROR(E155/G155,999)</f>
        <v>8.38314176245211</v>
      </c>
      <c r="I155" s="24" t="str">
        <f aca="false">IF(H155&lt;Assumptions!$B$9,"Stock-out risk",IF(H155&lt;Assumptions!$B$10,"Low",IF(H155&gt;Assumptions!$B$11,"Overstock","Healthy")))</f>
        <v>Overstock</v>
      </c>
      <c r="J155" s="33" t="n">
        <f aca="false">E155*INDEX(Products!$D$2:$D$49,MATCH(B155,Products!$A$2:$A$49,0))</f>
        <v>56888</v>
      </c>
      <c r="K155" s="24" t="str">
        <f aca="false">IF(E155&lt;=F155,"Yes","No")</f>
        <v>No</v>
      </c>
    </row>
    <row r="156" customFormat="false" ht="15" hidden="false" customHeight="false" outlineLevel="0" collapsed="false">
      <c r="A156" s="24" t="s">
        <v>64</v>
      </c>
      <c r="B156" s="24" t="s">
        <v>135</v>
      </c>
      <c r="C156" s="24" t="str">
        <f aca="false">INDEX(Products!$B$2:$B$49,MATCH(B156,Products!$A$2:$A$49,0))</f>
        <v>Yoghurt 500ml</v>
      </c>
      <c r="D156" s="24" t="str">
        <f aca="false">INDEX(Products!$C$2:$C$49,MATCH(B156,Products!$A$2:$A$49,0))</f>
        <v>Dairy &amp; Eggs</v>
      </c>
      <c r="E156" s="33" t="n">
        <v>63</v>
      </c>
      <c r="F156" s="33" t="n">
        <v>48</v>
      </c>
      <c r="G156" s="35" t="n">
        <f aca="false">SUMIFS(Sales!$D$2:$D$6001,Sales!$B$2:$B$6001,A156,Sales!$C$2:$C$6001,B156,Sales!$A$2:$A$6001,"&gt;="&amp;(Assumptions!$B$4-7*Assumptions!$B$13+1))/Assumptions!$B$13</f>
        <v>32.25</v>
      </c>
      <c r="H156" s="35" t="n">
        <f aca="false">IFERROR(E156/G156,999)</f>
        <v>1.95348837209302</v>
      </c>
      <c r="I156" s="24" t="str">
        <f aca="false">IF(H156&lt;Assumptions!$B$9,"Stock-out risk",IF(H156&lt;Assumptions!$B$10,"Low",IF(H156&gt;Assumptions!$B$11,"Overstock","Healthy")))</f>
        <v>Low</v>
      </c>
      <c r="J156" s="33" t="n">
        <f aca="false">E156*INDEX(Products!$D$2:$D$49,MATCH(B156,Products!$A$2:$A$49,0))</f>
        <v>6930</v>
      </c>
      <c r="K156" s="24" t="str">
        <f aca="false">IF(E156&lt;=F156,"Yes","No")</f>
        <v>No</v>
      </c>
    </row>
    <row r="157" customFormat="false" ht="15" hidden="false" customHeight="false" outlineLevel="0" collapsed="false">
      <c r="A157" s="24" t="s">
        <v>64</v>
      </c>
      <c r="B157" s="24" t="s">
        <v>137</v>
      </c>
      <c r="C157" s="24" t="str">
        <f aca="false">INDEX(Products!$B$2:$B$49,MATCH(B157,Products!$A$2:$A$49,0))</f>
        <v>Butter 250g</v>
      </c>
      <c r="D157" s="24" t="str">
        <f aca="false">INDEX(Products!$C$2:$C$49,MATCH(B157,Products!$A$2:$A$49,0))</f>
        <v>Dairy &amp; Eggs</v>
      </c>
      <c r="E157" s="33" t="n">
        <v>193</v>
      </c>
      <c r="F157" s="33" t="n">
        <v>90</v>
      </c>
      <c r="G157" s="35" t="n">
        <f aca="false">SUMIFS(Sales!$D$2:$D$6001,Sales!$B$2:$B$6001,A157,Sales!$C$2:$C$6001,B157,Sales!$A$2:$A$6001,"&gt;="&amp;(Assumptions!$B$4-7*Assumptions!$B$13+1))/Assumptions!$B$13</f>
        <v>60.25</v>
      </c>
      <c r="H157" s="35" t="n">
        <f aca="false">IFERROR(E157/G157,999)</f>
        <v>3.20331950207469</v>
      </c>
      <c r="I157" s="24" t="str">
        <f aca="false">IF(H157&lt;Assumptions!$B$9,"Stock-out risk",IF(H157&lt;Assumptions!$B$10,"Low",IF(H157&gt;Assumptions!$B$11,"Overstock","Healthy")))</f>
        <v>Healthy</v>
      </c>
      <c r="J157" s="33" t="n">
        <f aca="false">E157*INDEX(Products!$D$2:$D$49,MATCH(B157,Products!$A$2:$A$49,0))</f>
        <v>51724</v>
      </c>
      <c r="K157" s="24" t="str">
        <f aca="false">IF(E157&lt;=F157,"Yes","No")</f>
        <v>No</v>
      </c>
    </row>
    <row r="158" customFormat="false" ht="15" hidden="false" customHeight="false" outlineLevel="0" collapsed="false">
      <c r="A158" s="24" t="s">
        <v>64</v>
      </c>
      <c r="B158" s="24" t="s">
        <v>139</v>
      </c>
      <c r="C158" s="24" t="str">
        <f aca="false">INDEX(Products!$B$2:$B$49,MATCH(B158,Products!$A$2:$A$49,0))</f>
        <v>Eggs Tray of 30</v>
      </c>
      <c r="D158" s="24" t="str">
        <f aca="false">INDEX(Products!$C$2:$C$49,MATCH(B158,Products!$A$2:$A$49,0))</f>
        <v>Dairy &amp; Eggs</v>
      </c>
      <c r="E158" s="33" t="n">
        <v>488</v>
      </c>
      <c r="F158" s="33" t="n">
        <v>221</v>
      </c>
      <c r="G158" s="35" t="n">
        <f aca="false">SUMIFS(Sales!$D$2:$D$6001,Sales!$B$2:$B$6001,A158,Sales!$C$2:$C$6001,B158,Sales!$A$2:$A$6001,"&gt;="&amp;(Assumptions!$B$4-7*Assumptions!$B$13+1))/Assumptions!$B$13</f>
        <v>147.625</v>
      </c>
      <c r="H158" s="35" t="n">
        <f aca="false">IFERROR(E158/G158,999)</f>
        <v>3.30567315834039</v>
      </c>
      <c r="I158" s="24" t="str">
        <f aca="false">IF(H158&lt;Assumptions!$B$9,"Stock-out risk",IF(H158&lt;Assumptions!$B$10,"Low",IF(H158&gt;Assumptions!$B$11,"Overstock","Healthy")))</f>
        <v>Healthy</v>
      </c>
      <c r="J158" s="33" t="n">
        <f aca="false">E158*INDEX(Products!$D$2:$D$49,MATCH(B158,Products!$A$2:$A$49,0))</f>
        <v>209352</v>
      </c>
      <c r="K158" s="24" t="str">
        <f aca="false">IF(E158&lt;=F158,"Yes","No")</f>
        <v>No</v>
      </c>
    </row>
    <row r="159" customFormat="false" ht="15" hidden="false" customHeight="false" outlineLevel="0" collapsed="false">
      <c r="A159" s="24" t="s">
        <v>64</v>
      </c>
      <c r="B159" s="24" t="s">
        <v>141</v>
      </c>
      <c r="C159" s="24" t="str">
        <f aca="false">INDEX(Products!$B$2:$B$49,MATCH(B159,Products!$A$2:$A$49,0))</f>
        <v>Cheese Slices 200g</v>
      </c>
      <c r="D159" s="24" t="str">
        <f aca="false">INDEX(Products!$C$2:$C$49,MATCH(B159,Products!$A$2:$A$49,0))</f>
        <v>Dairy &amp; Eggs</v>
      </c>
      <c r="E159" s="33" t="n">
        <v>693</v>
      </c>
      <c r="F159" s="33" t="n">
        <v>304</v>
      </c>
      <c r="G159" s="35" t="n">
        <f aca="false">SUMIFS(Sales!$D$2:$D$6001,Sales!$B$2:$B$6001,A159,Sales!$C$2:$C$6001,B159,Sales!$A$2:$A$6001,"&gt;="&amp;(Assumptions!$B$4-7*Assumptions!$B$13+1))/Assumptions!$B$13</f>
        <v>202.625</v>
      </c>
      <c r="H159" s="35" t="n">
        <f aca="false">IFERROR(E159/G159,999)</f>
        <v>3.42011104256632</v>
      </c>
      <c r="I159" s="24" t="str">
        <f aca="false">IF(H159&lt;Assumptions!$B$9,"Stock-out risk",IF(H159&lt;Assumptions!$B$10,"Low",IF(H159&gt;Assumptions!$B$11,"Overstock","Healthy")))</f>
        <v>Healthy</v>
      </c>
      <c r="J159" s="33" t="n">
        <f aca="false">E159*INDEX(Products!$D$2:$D$49,MATCH(B159,Products!$A$2:$A$49,0))</f>
        <v>232155</v>
      </c>
      <c r="K159" s="24" t="str">
        <f aca="false">IF(E159&lt;=F159,"Yes","No")</f>
        <v>No</v>
      </c>
    </row>
    <row r="160" customFormat="false" ht="15" hidden="false" customHeight="false" outlineLevel="0" collapsed="false">
      <c r="A160" s="24" t="s">
        <v>64</v>
      </c>
      <c r="B160" s="24" t="s">
        <v>143</v>
      </c>
      <c r="C160" s="24" t="str">
        <f aca="false">INDEX(Products!$B$2:$B$49,MATCH(B160,Products!$A$2:$A$49,0))</f>
        <v>Cooking Fat 500g</v>
      </c>
      <c r="D160" s="24" t="str">
        <f aca="false">INDEX(Products!$C$2:$C$49,MATCH(B160,Products!$A$2:$A$49,0))</f>
        <v>Dairy &amp; Eggs</v>
      </c>
      <c r="E160" s="33" t="n">
        <v>31</v>
      </c>
      <c r="F160" s="33" t="n">
        <v>37</v>
      </c>
      <c r="G160" s="35" t="n">
        <f aca="false">SUMIFS(Sales!$D$2:$D$6001,Sales!$B$2:$B$6001,A160,Sales!$C$2:$C$6001,B160,Sales!$A$2:$A$6001,"&gt;="&amp;(Assumptions!$B$4-7*Assumptions!$B$13+1))/Assumptions!$B$13</f>
        <v>24.5</v>
      </c>
      <c r="H160" s="35" t="n">
        <f aca="false">IFERROR(E160/G160,999)</f>
        <v>1.26530612244898</v>
      </c>
      <c r="I160" s="24" t="str">
        <f aca="false">IF(H160&lt;Assumptions!$B$9,"Stock-out risk",IF(H160&lt;Assumptions!$B$10,"Low",IF(H160&gt;Assumptions!$B$11,"Overstock","Healthy")))</f>
        <v>Low</v>
      </c>
      <c r="J160" s="33" t="n">
        <f aca="false">E160*INDEX(Products!$D$2:$D$49,MATCH(B160,Products!$A$2:$A$49,0))</f>
        <v>5859</v>
      </c>
      <c r="K160" s="24" t="str">
        <f aca="false">IF(E160&lt;=F160,"Yes","No")</f>
        <v>Yes</v>
      </c>
    </row>
    <row r="161" customFormat="false" ht="15" hidden="false" customHeight="false" outlineLevel="0" collapsed="false">
      <c r="A161" s="24" t="s">
        <v>64</v>
      </c>
      <c r="B161" s="24" t="s">
        <v>145</v>
      </c>
      <c r="C161" s="24" t="str">
        <f aca="false">INDEX(Products!$B$2:$B$49,MATCH(B161,Products!$A$2:$A$49,0))</f>
        <v>UHT Milk 1L</v>
      </c>
      <c r="D161" s="24" t="str">
        <f aca="false">INDEX(Products!$C$2:$C$49,MATCH(B161,Products!$A$2:$A$49,0))</f>
        <v>Dairy &amp; Eggs</v>
      </c>
      <c r="E161" s="33" t="n">
        <v>169</v>
      </c>
      <c r="F161" s="33" t="n">
        <v>81</v>
      </c>
      <c r="G161" s="35" t="n">
        <f aca="false">SUMIFS(Sales!$D$2:$D$6001,Sales!$B$2:$B$6001,A161,Sales!$C$2:$C$6001,B161,Sales!$A$2:$A$6001,"&gt;="&amp;(Assumptions!$B$4-7*Assumptions!$B$13+1))/Assumptions!$B$13</f>
        <v>53.75</v>
      </c>
      <c r="H161" s="35" t="n">
        <f aca="false">IFERROR(E161/G161,999)</f>
        <v>3.14418604651163</v>
      </c>
      <c r="I161" s="24" t="str">
        <f aca="false">IF(H161&lt;Assumptions!$B$9,"Stock-out risk",IF(H161&lt;Assumptions!$B$10,"Low",IF(H161&gt;Assumptions!$B$11,"Overstock","Healthy")))</f>
        <v>Healthy</v>
      </c>
      <c r="J161" s="33" t="n">
        <f aca="false">E161*INDEX(Products!$D$2:$D$49,MATCH(B161,Products!$A$2:$A$49,0))</f>
        <v>18928</v>
      </c>
      <c r="K161" s="24" t="str">
        <f aca="false">IF(E161&lt;=F161,"Yes","No")</f>
        <v>No</v>
      </c>
    </row>
    <row r="162" customFormat="false" ht="15" hidden="false" customHeight="false" outlineLevel="0" collapsed="false">
      <c r="A162" s="24" t="s">
        <v>64</v>
      </c>
      <c r="B162" s="24" t="s">
        <v>147</v>
      </c>
      <c r="C162" s="24" t="str">
        <f aca="false">INDEX(Products!$B$2:$B$49,MATCH(B162,Products!$A$2:$A$49,0))</f>
        <v>Soda 500ml</v>
      </c>
      <c r="D162" s="24" t="str">
        <f aca="false">INDEX(Products!$C$2:$C$49,MATCH(B162,Products!$A$2:$A$49,0))</f>
        <v>Beverages</v>
      </c>
      <c r="E162" s="33" t="n">
        <v>280</v>
      </c>
      <c r="F162" s="33" t="n">
        <v>238</v>
      </c>
      <c r="G162" s="35" t="n">
        <f aca="false">SUMIFS(Sales!$D$2:$D$6001,Sales!$B$2:$B$6001,A162,Sales!$C$2:$C$6001,B162,Sales!$A$2:$A$6001,"&gt;="&amp;(Assumptions!$B$4-7*Assumptions!$B$13+1))/Assumptions!$B$13</f>
        <v>158.375</v>
      </c>
      <c r="H162" s="35" t="n">
        <f aca="false">IFERROR(E162/G162,999)</f>
        <v>1.76795580110497</v>
      </c>
      <c r="I162" s="24" t="str">
        <f aca="false">IF(H162&lt;Assumptions!$B$9,"Stock-out risk",IF(H162&lt;Assumptions!$B$10,"Low",IF(H162&gt;Assumptions!$B$11,"Overstock","Healthy")))</f>
        <v>Low</v>
      </c>
      <c r="J162" s="33" t="n">
        <f aca="false">E162*INDEX(Products!$D$2:$D$49,MATCH(B162,Products!$A$2:$A$49,0))</f>
        <v>15120</v>
      </c>
      <c r="K162" s="24" t="str">
        <f aca="false">IF(E162&lt;=F162,"Yes","No")</f>
        <v>No</v>
      </c>
    </row>
    <row r="163" customFormat="false" ht="15" hidden="false" customHeight="false" outlineLevel="0" collapsed="false">
      <c r="A163" s="24" t="s">
        <v>64</v>
      </c>
      <c r="B163" s="24" t="s">
        <v>149</v>
      </c>
      <c r="C163" s="24" t="str">
        <f aca="false">INDEX(Products!$B$2:$B$49,MATCH(B163,Products!$A$2:$A$49,0))</f>
        <v>Soda 2L</v>
      </c>
      <c r="D163" s="24" t="str">
        <f aca="false">INDEX(Products!$C$2:$C$49,MATCH(B163,Products!$A$2:$A$49,0))</f>
        <v>Beverages</v>
      </c>
      <c r="E163" s="33" t="n">
        <v>180</v>
      </c>
      <c r="F163" s="33" t="n">
        <v>192</v>
      </c>
      <c r="G163" s="35" t="n">
        <f aca="false">SUMIFS(Sales!$D$2:$D$6001,Sales!$B$2:$B$6001,A163,Sales!$C$2:$C$6001,B163,Sales!$A$2:$A$6001,"&gt;="&amp;(Assumptions!$B$4-7*Assumptions!$B$13+1))/Assumptions!$B$13</f>
        <v>128</v>
      </c>
      <c r="H163" s="35" t="n">
        <f aca="false">IFERROR(E163/G163,999)</f>
        <v>1.40625</v>
      </c>
      <c r="I163" s="24" t="str">
        <f aca="false">IF(H163&lt;Assumptions!$B$9,"Stock-out risk",IF(H163&lt;Assumptions!$B$10,"Low",IF(H163&gt;Assumptions!$B$11,"Overstock","Healthy")))</f>
        <v>Low</v>
      </c>
      <c r="J163" s="33" t="n">
        <f aca="false">E163*INDEX(Products!$D$2:$D$49,MATCH(B163,Products!$A$2:$A$49,0))</f>
        <v>27360</v>
      </c>
      <c r="K163" s="24" t="str">
        <f aca="false">IF(E163&lt;=F163,"Yes","No")</f>
        <v>Yes</v>
      </c>
    </row>
    <row r="164" customFormat="false" ht="15" hidden="false" customHeight="false" outlineLevel="0" collapsed="false">
      <c r="A164" s="24" t="s">
        <v>64</v>
      </c>
      <c r="B164" s="24" t="s">
        <v>151</v>
      </c>
      <c r="C164" s="24" t="str">
        <f aca="false">INDEX(Products!$B$2:$B$49,MATCH(B164,Products!$A$2:$A$49,0))</f>
        <v>Mango Juice 1L</v>
      </c>
      <c r="D164" s="24" t="str">
        <f aca="false">INDEX(Products!$C$2:$C$49,MATCH(B164,Products!$A$2:$A$49,0))</f>
        <v>Beverages</v>
      </c>
      <c r="E164" s="33" t="n">
        <v>1215</v>
      </c>
      <c r="F164" s="33" t="n">
        <v>164</v>
      </c>
      <c r="G164" s="35" t="n">
        <f aca="false">SUMIFS(Sales!$D$2:$D$6001,Sales!$B$2:$B$6001,A164,Sales!$C$2:$C$6001,B164,Sales!$A$2:$A$6001,"&gt;="&amp;(Assumptions!$B$4-7*Assumptions!$B$13+1))/Assumptions!$B$13</f>
        <v>109.25</v>
      </c>
      <c r="H164" s="35" t="n">
        <f aca="false">IFERROR(E164/G164,999)</f>
        <v>11.1212814645309</v>
      </c>
      <c r="I164" s="24" t="str">
        <f aca="false">IF(H164&lt;Assumptions!$B$9,"Stock-out risk",IF(H164&lt;Assumptions!$B$10,"Low",IF(H164&gt;Assumptions!$B$11,"Overstock","Healthy")))</f>
        <v>Overstock</v>
      </c>
      <c r="J164" s="33" t="n">
        <f aca="false">E164*INDEX(Products!$D$2:$D$49,MATCH(B164,Products!$A$2:$A$49,0))</f>
        <v>181035</v>
      </c>
      <c r="K164" s="24" t="str">
        <f aca="false">IF(E164&lt;=F164,"Yes","No")</f>
        <v>No</v>
      </c>
    </row>
    <row r="165" customFormat="false" ht="15" hidden="false" customHeight="false" outlineLevel="0" collapsed="false">
      <c r="A165" s="24" t="s">
        <v>64</v>
      </c>
      <c r="B165" s="24" t="s">
        <v>153</v>
      </c>
      <c r="C165" s="24" t="str">
        <f aca="false">INDEX(Products!$B$2:$B$49,MATCH(B165,Products!$A$2:$A$49,0))</f>
        <v>Bottled Water 1L</v>
      </c>
      <c r="D165" s="24" t="str">
        <f aca="false">INDEX(Products!$C$2:$C$49,MATCH(B165,Products!$A$2:$A$49,0))</f>
        <v>Beverages</v>
      </c>
      <c r="E165" s="33" t="n">
        <v>303</v>
      </c>
      <c r="F165" s="33" t="n">
        <v>89</v>
      </c>
      <c r="G165" s="35" t="n">
        <f aca="false">SUMIFS(Sales!$D$2:$D$6001,Sales!$B$2:$B$6001,A165,Sales!$C$2:$C$6001,B165,Sales!$A$2:$A$6001,"&gt;="&amp;(Assumptions!$B$4-7*Assumptions!$B$13+1))/Assumptions!$B$13</f>
        <v>59.5</v>
      </c>
      <c r="H165" s="35" t="n">
        <f aca="false">IFERROR(E165/G165,999)</f>
        <v>5.09243697478992</v>
      </c>
      <c r="I165" s="24" t="str">
        <f aca="false">IF(H165&lt;Assumptions!$B$9,"Stock-out risk",IF(H165&lt;Assumptions!$B$10,"Low",IF(H165&gt;Assumptions!$B$11,"Overstock","Healthy")))</f>
        <v>Healthy</v>
      </c>
      <c r="J165" s="33" t="n">
        <f aca="false">E165*INDEX(Products!$D$2:$D$49,MATCH(B165,Products!$A$2:$A$49,0))</f>
        <v>10605</v>
      </c>
      <c r="K165" s="24" t="str">
        <f aca="false">IF(E165&lt;=F165,"Yes","No")</f>
        <v>No</v>
      </c>
    </row>
    <row r="166" customFormat="false" ht="15" hidden="false" customHeight="false" outlineLevel="0" collapsed="false">
      <c r="A166" s="24" t="s">
        <v>64</v>
      </c>
      <c r="B166" s="24" t="s">
        <v>155</v>
      </c>
      <c r="C166" s="24" t="str">
        <f aca="false">INDEX(Products!$B$2:$B$49,MATCH(B166,Products!$A$2:$A$49,0))</f>
        <v>Bottled Water 500ml</v>
      </c>
      <c r="D166" s="24" t="str">
        <f aca="false">INDEX(Products!$C$2:$C$49,MATCH(B166,Products!$A$2:$A$49,0))</f>
        <v>Beverages</v>
      </c>
      <c r="E166" s="33" t="n">
        <v>282</v>
      </c>
      <c r="F166" s="33" t="n">
        <v>158</v>
      </c>
      <c r="G166" s="35" t="n">
        <f aca="false">SUMIFS(Sales!$D$2:$D$6001,Sales!$B$2:$B$6001,A166,Sales!$C$2:$C$6001,B166,Sales!$A$2:$A$6001,"&gt;="&amp;(Assumptions!$B$4-7*Assumptions!$B$13+1))/Assumptions!$B$13</f>
        <v>105.25</v>
      </c>
      <c r="H166" s="35" t="n">
        <f aca="false">IFERROR(E166/G166,999)</f>
        <v>2.67933491686461</v>
      </c>
      <c r="I166" s="24" t="str">
        <f aca="false">IF(H166&lt;Assumptions!$B$9,"Stock-out risk",IF(H166&lt;Assumptions!$B$10,"Low",IF(H166&gt;Assumptions!$B$11,"Overstock","Healthy")))</f>
        <v>Healthy</v>
      </c>
      <c r="J166" s="33" t="n">
        <f aca="false">E166*INDEX(Products!$D$2:$D$49,MATCH(B166,Products!$A$2:$A$49,0))</f>
        <v>7332</v>
      </c>
      <c r="K166" s="24" t="str">
        <f aca="false">IF(E166&lt;=F166,"Yes","No")</f>
        <v>No</v>
      </c>
    </row>
    <row r="167" customFormat="false" ht="15" hidden="false" customHeight="false" outlineLevel="0" collapsed="false">
      <c r="A167" s="24" t="s">
        <v>64</v>
      </c>
      <c r="B167" s="24" t="s">
        <v>157</v>
      </c>
      <c r="C167" s="24" t="str">
        <f aca="false">INDEX(Products!$B$2:$B$49,MATCH(B167,Products!$A$2:$A$49,0))</f>
        <v>Energy Drink 300ml</v>
      </c>
      <c r="D167" s="24" t="str">
        <f aca="false">INDEX(Products!$C$2:$C$49,MATCH(B167,Products!$A$2:$A$49,0))</f>
        <v>Beverages</v>
      </c>
      <c r="E167" s="33" t="n">
        <v>120</v>
      </c>
      <c r="F167" s="33" t="n">
        <v>121</v>
      </c>
      <c r="G167" s="35" t="n">
        <f aca="false">SUMIFS(Sales!$D$2:$D$6001,Sales!$B$2:$B$6001,A167,Sales!$C$2:$C$6001,B167,Sales!$A$2:$A$6001,"&gt;="&amp;(Assumptions!$B$4-7*Assumptions!$B$13+1))/Assumptions!$B$13</f>
        <v>80.625</v>
      </c>
      <c r="H167" s="35" t="n">
        <f aca="false">IFERROR(E167/G167,999)</f>
        <v>1.48837209302326</v>
      </c>
      <c r="I167" s="24" t="str">
        <f aca="false">IF(H167&lt;Assumptions!$B$9,"Stock-out risk",IF(H167&lt;Assumptions!$B$10,"Low",IF(H167&gt;Assumptions!$B$11,"Overstock","Healthy")))</f>
        <v>Low</v>
      </c>
      <c r="J167" s="33" t="n">
        <f aca="false">E167*INDEX(Products!$D$2:$D$49,MATCH(B167,Products!$A$2:$A$49,0))</f>
        <v>10560</v>
      </c>
      <c r="K167" s="24" t="str">
        <f aca="false">IF(E167&lt;=F167,"Yes","No")</f>
        <v>Yes</v>
      </c>
    </row>
    <row r="168" customFormat="false" ht="15" hidden="false" customHeight="false" outlineLevel="0" collapsed="false">
      <c r="A168" s="24" t="s">
        <v>64</v>
      </c>
      <c r="B168" s="24" t="s">
        <v>159</v>
      </c>
      <c r="C168" s="24" t="str">
        <f aca="false">INDEX(Products!$B$2:$B$49,MATCH(B168,Products!$A$2:$A$49,0))</f>
        <v>Instant Coffee 100g</v>
      </c>
      <c r="D168" s="24" t="str">
        <f aca="false">INDEX(Products!$C$2:$C$49,MATCH(B168,Products!$A$2:$A$49,0))</f>
        <v>Beverages</v>
      </c>
      <c r="E168" s="33" t="n">
        <v>97</v>
      </c>
      <c r="F168" s="33" t="n">
        <v>109</v>
      </c>
      <c r="G168" s="35" t="n">
        <f aca="false">SUMIFS(Sales!$D$2:$D$6001,Sales!$B$2:$B$6001,A168,Sales!$C$2:$C$6001,B168,Sales!$A$2:$A$6001,"&gt;="&amp;(Assumptions!$B$4-7*Assumptions!$B$13+1))/Assumptions!$B$13</f>
        <v>72.375</v>
      </c>
      <c r="H168" s="35" t="n">
        <f aca="false">IFERROR(E168/G168,999)</f>
        <v>1.34024179620035</v>
      </c>
      <c r="I168" s="24" t="str">
        <f aca="false">IF(H168&lt;Assumptions!$B$9,"Stock-out risk",IF(H168&lt;Assumptions!$B$10,"Low",IF(H168&gt;Assumptions!$B$11,"Overstock","Healthy")))</f>
        <v>Low</v>
      </c>
      <c r="J168" s="33" t="n">
        <f aca="false">E168*INDEX(Products!$D$2:$D$49,MATCH(B168,Products!$A$2:$A$49,0))</f>
        <v>34726</v>
      </c>
      <c r="K168" s="24" t="str">
        <f aca="false">IF(E168&lt;=F168,"Yes","No")</f>
        <v>Yes</v>
      </c>
    </row>
    <row r="169" customFormat="false" ht="15" hidden="false" customHeight="false" outlineLevel="0" collapsed="false">
      <c r="A169" s="24" t="s">
        <v>64</v>
      </c>
      <c r="B169" s="24" t="s">
        <v>161</v>
      </c>
      <c r="C169" s="24" t="str">
        <f aca="false">INDEX(Products!$B$2:$B$49,MATCH(B169,Products!$A$2:$A$49,0))</f>
        <v>Drinking Chocolate 250g</v>
      </c>
      <c r="D169" s="24" t="str">
        <f aca="false">INDEX(Products!$C$2:$C$49,MATCH(B169,Products!$A$2:$A$49,0))</f>
        <v>Beverages</v>
      </c>
      <c r="E169" s="33" t="n">
        <v>91</v>
      </c>
      <c r="F169" s="33" t="n">
        <v>84</v>
      </c>
      <c r="G169" s="35" t="n">
        <f aca="false">SUMIFS(Sales!$D$2:$D$6001,Sales!$B$2:$B$6001,A169,Sales!$C$2:$C$6001,B169,Sales!$A$2:$A$6001,"&gt;="&amp;(Assumptions!$B$4-7*Assumptions!$B$13+1))/Assumptions!$B$13</f>
        <v>56.125</v>
      </c>
      <c r="H169" s="35" t="n">
        <f aca="false">IFERROR(E169/G169,999)</f>
        <v>1.62138084632517</v>
      </c>
      <c r="I169" s="24" t="str">
        <f aca="false">IF(H169&lt;Assumptions!$B$9,"Stock-out risk",IF(H169&lt;Assumptions!$B$10,"Low",IF(H169&gt;Assumptions!$B$11,"Overstock","Healthy")))</f>
        <v>Low</v>
      </c>
      <c r="J169" s="33" t="n">
        <f aca="false">E169*INDEX(Products!$D$2:$D$49,MATCH(B169,Products!$A$2:$A$49,0))</f>
        <v>27573</v>
      </c>
      <c r="K169" s="24" t="str">
        <f aca="false">IF(E169&lt;=F169,"Yes","No")</f>
        <v>No</v>
      </c>
    </row>
    <row r="170" customFormat="false" ht="15" hidden="false" customHeight="false" outlineLevel="0" collapsed="false">
      <c r="A170" s="24" t="s">
        <v>64</v>
      </c>
      <c r="B170" s="24" t="s">
        <v>163</v>
      </c>
      <c r="C170" s="24" t="str">
        <f aca="false">INDEX(Products!$B$2:$B$49,MATCH(B170,Products!$A$2:$A$49,0))</f>
        <v>Laundry Detergent 1kg</v>
      </c>
      <c r="D170" s="24" t="str">
        <f aca="false">INDEX(Products!$C$2:$C$49,MATCH(B170,Products!$A$2:$A$49,0))</f>
        <v>Household</v>
      </c>
      <c r="E170" s="33" t="n">
        <v>55</v>
      </c>
      <c r="F170" s="33" t="n">
        <v>59</v>
      </c>
      <c r="G170" s="35" t="n">
        <f aca="false">SUMIFS(Sales!$D$2:$D$6001,Sales!$B$2:$B$6001,A170,Sales!$C$2:$C$6001,B170,Sales!$A$2:$A$6001,"&gt;="&amp;(Assumptions!$B$4-7*Assumptions!$B$13+1))/Assumptions!$B$13</f>
        <v>39.25</v>
      </c>
      <c r="H170" s="35" t="n">
        <f aca="false">IFERROR(E170/G170,999)</f>
        <v>1.40127388535032</v>
      </c>
      <c r="I170" s="24" t="str">
        <f aca="false">IF(H170&lt;Assumptions!$B$9,"Stock-out risk",IF(H170&lt;Assumptions!$B$10,"Low",IF(H170&gt;Assumptions!$B$11,"Overstock","Healthy")))</f>
        <v>Low</v>
      </c>
      <c r="J170" s="33" t="n">
        <f aca="false">E170*INDEX(Products!$D$2:$D$49,MATCH(B170,Products!$A$2:$A$49,0))</f>
        <v>12595</v>
      </c>
      <c r="K170" s="24" t="str">
        <f aca="false">IF(E170&lt;=F170,"Yes","No")</f>
        <v>Yes</v>
      </c>
    </row>
    <row r="171" customFormat="false" ht="15" hidden="false" customHeight="false" outlineLevel="0" collapsed="false">
      <c r="A171" s="24" t="s">
        <v>64</v>
      </c>
      <c r="B171" s="24" t="s">
        <v>165</v>
      </c>
      <c r="C171" s="24" t="str">
        <f aca="false">INDEX(Products!$B$2:$B$49,MATCH(B171,Products!$A$2:$A$49,0))</f>
        <v>Dish Soap 750ml</v>
      </c>
      <c r="D171" s="24" t="str">
        <f aca="false">INDEX(Products!$C$2:$C$49,MATCH(B171,Products!$A$2:$A$49,0))</f>
        <v>Household</v>
      </c>
      <c r="E171" s="33" t="n">
        <v>280</v>
      </c>
      <c r="F171" s="33" t="n">
        <v>54</v>
      </c>
      <c r="G171" s="35" t="n">
        <f aca="false">SUMIFS(Sales!$D$2:$D$6001,Sales!$B$2:$B$6001,A171,Sales!$C$2:$C$6001,B171,Sales!$A$2:$A$6001,"&gt;="&amp;(Assumptions!$B$4-7*Assumptions!$B$13+1))/Assumptions!$B$13</f>
        <v>36.25</v>
      </c>
      <c r="H171" s="35" t="n">
        <f aca="false">IFERROR(E171/G171,999)</f>
        <v>7.72413793103448</v>
      </c>
      <c r="I171" s="24" t="str">
        <f aca="false">IF(H171&lt;Assumptions!$B$9,"Stock-out risk",IF(H171&lt;Assumptions!$B$10,"Low",IF(H171&gt;Assumptions!$B$11,"Overstock","Healthy")))</f>
        <v>Healthy</v>
      </c>
      <c r="J171" s="33" t="n">
        <f aca="false">E171*INDEX(Products!$D$2:$D$49,MATCH(B171,Products!$A$2:$A$49,0))</f>
        <v>38360</v>
      </c>
      <c r="K171" s="24" t="str">
        <f aca="false">IF(E171&lt;=F171,"Yes","No")</f>
        <v>No</v>
      </c>
    </row>
    <row r="172" customFormat="false" ht="15" hidden="false" customHeight="false" outlineLevel="0" collapsed="false">
      <c r="A172" s="24" t="s">
        <v>64</v>
      </c>
      <c r="B172" s="24" t="s">
        <v>167</v>
      </c>
      <c r="C172" s="24" t="str">
        <f aca="false">INDEX(Products!$B$2:$B$49,MATCH(B172,Products!$A$2:$A$49,0))</f>
        <v>Bar Soap 800g</v>
      </c>
      <c r="D172" s="24" t="str">
        <f aca="false">INDEX(Products!$C$2:$C$49,MATCH(B172,Products!$A$2:$A$49,0))</f>
        <v>Household</v>
      </c>
      <c r="E172" s="33" t="n">
        <v>79</v>
      </c>
      <c r="F172" s="33" t="n">
        <v>46</v>
      </c>
      <c r="G172" s="35" t="n">
        <f aca="false">SUMIFS(Sales!$D$2:$D$6001,Sales!$B$2:$B$6001,A172,Sales!$C$2:$C$6001,B172,Sales!$A$2:$A$6001,"&gt;="&amp;(Assumptions!$B$4-7*Assumptions!$B$13+1))/Assumptions!$B$13</f>
        <v>30.375</v>
      </c>
      <c r="H172" s="35" t="n">
        <f aca="false">IFERROR(E172/G172,999)</f>
        <v>2.60082304526749</v>
      </c>
      <c r="I172" s="24" t="str">
        <f aca="false">IF(H172&lt;Assumptions!$B$9,"Stock-out risk",IF(H172&lt;Assumptions!$B$10,"Low",IF(H172&gt;Assumptions!$B$11,"Overstock","Healthy")))</f>
        <v>Healthy</v>
      </c>
      <c r="J172" s="33" t="n">
        <f aca="false">E172*INDEX(Products!$D$2:$D$49,MATCH(B172,Products!$A$2:$A$49,0))</f>
        <v>8848</v>
      </c>
      <c r="K172" s="24" t="str">
        <f aca="false">IF(E172&lt;=F172,"Yes","No")</f>
        <v>No</v>
      </c>
    </row>
    <row r="173" customFormat="false" ht="15" hidden="false" customHeight="false" outlineLevel="0" collapsed="false">
      <c r="A173" s="24" t="s">
        <v>64</v>
      </c>
      <c r="B173" s="24" t="s">
        <v>169</v>
      </c>
      <c r="C173" s="24" t="str">
        <f aca="false">INDEX(Products!$B$2:$B$49,MATCH(B173,Products!$A$2:$A$49,0))</f>
        <v>Toilet Paper 10 Pack</v>
      </c>
      <c r="D173" s="24" t="str">
        <f aca="false">INDEX(Products!$C$2:$C$49,MATCH(B173,Products!$A$2:$A$49,0))</f>
        <v>Household</v>
      </c>
      <c r="E173" s="33" t="n">
        <v>149</v>
      </c>
      <c r="F173" s="33" t="n">
        <v>33</v>
      </c>
      <c r="G173" s="35" t="n">
        <f aca="false">SUMIFS(Sales!$D$2:$D$6001,Sales!$B$2:$B$6001,A173,Sales!$C$2:$C$6001,B173,Sales!$A$2:$A$6001,"&gt;="&amp;(Assumptions!$B$4-7*Assumptions!$B$13+1))/Assumptions!$B$13</f>
        <v>22</v>
      </c>
      <c r="H173" s="35" t="n">
        <f aca="false">IFERROR(E173/G173,999)</f>
        <v>6.77272727272727</v>
      </c>
      <c r="I173" s="24" t="str">
        <f aca="false">IF(H173&lt;Assumptions!$B$9,"Stock-out risk",IF(H173&lt;Assumptions!$B$10,"Low",IF(H173&gt;Assumptions!$B$11,"Overstock","Healthy")))</f>
        <v>Healthy</v>
      </c>
      <c r="J173" s="33" t="n">
        <f aca="false">E173*INDEX(Products!$D$2:$D$49,MATCH(B173,Products!$A$2:$A$49,0))</f>
        <v>46786</v>
      </c>
      <c r="K173" s="24" t="str">
        <f aca="false">IF(E173&lt;=F173,"Yes","No")</f>
        <v>No</v>
      </c>
    </row>
    <row r="174" customFormat="false" ht="15" hidden="false" customHeight="false" outlineLevel="0" collapsed="false">
      <c r="A174" s="24" t="s">
        <v>64</v>
      </c>
      <c r="B174" s="24" t="s">
        <v>171</v>
      </c>
      <c r="C174" s="24" t="str">
        <f aca="false">INDEX(Products!$B$2:$B$49,MATCH(B174,Products!$A$2:$A$49,0))</f>
        <v>Bleach 750ml</v>
      </c>
      <c r="D174" s="24" t="str">
        <f aca="false">INDEX(Products!$C$2:$C$49,MATCH(B174,Products!$A$2:$A$49,0))</f>
        <v>Household</v>
      </c>
      <c r="E174" s="33" t="n">
        <v>20</v>
      </c>
      <c r="F174" s="33" t="n">
        <v>24</v>
      </c>
      <c r="G174" s="35" t="n">
        <f aca="false">SUMIFS(Sales!$D$2:$D$6001,Sales!$B$2:$B$6001,A174,Sales!$C$2:$C$6001,B174,Sales!$A$2:$A$6001,"&gt;="&amp;(Assumptions!$B$4-7*Assumptions!$B$13+1))/Assumptions!$B$13</f>
        <v>16.25</v>
      </c>
      <c r="H174" s="35" t="n">
        <f aca="false">IFERROR(E174/G174,999)</f>
        <v>1.23076923076923</v>
      </c>
      <c r="I174" s="24" t="str">
        <f aca="false">IF(H174&lt;Assumptions!$B$9,"Stock-out risk",IF(H174&lt;Assumptions!$B$10,"Low",IF(H174&gt;Assumptions!$B$11,"Overstock","Healthy")))</f>
        <v>Low</v>
      </c>
      <c r="J174" s="33" t="n">
        <f aca="false">E174*INDEX(Products!$D$2:$D$49,MATCH(B174,Products!$A$2:$A$49,0))</f>
        <v>2320</v>
      </c>
      <c r="K174" s="24" t="str">
        <f aca="false">IF(E174&lt;=F174,"Yes","No")</f>
        <v>Yes</v>
      </c>
    </row>
    <row r="175" customFormat="false" ht="15" hidden="false" customHeight="false" outlineLevel="0" collapsed="false">
      <c r="A175" s="24" t="s">
        <v>64</v>
      </c>
      <c r="B175" s="24" t="s">
        <v>173</v>
      </c>
      <c r="C175" s="24" t="str">
        <f aca="false">INDEX(Products!$B$2:$B$49,MATCH(B175,Products!$A$2:$A$49,0))</f>
        <v>Floor Cleaner 1L</v>
      </c>
      <c r="D175" s="24" t="str">
        <f aca="false">INDEX(Products!$C$2:$C$49,MATCH(B175,Products!$A$2:$A$49,0))</f>
        <v>Household</v>
      </c>
      <c r="E175" s="33" t="n">
        <v>107</v>
      </c>
      <c r="F175" s="33" t="n">
        <v>34</v>
      </c>
      <c r="G175" s="35" t="n">
        <f aca="false">SUMIFS(Sales!$D$2:$D$6001,Sales!$B$2:$B$6001,A175,Sales!$C$2:$C$6001,B175,Sales!$A$2:$A$6001,"&gt;="&amp;(Assumptions!$B$4-7*Assumptions!$B$13+1))/Assumptions!$B$13</f>
        <v>22.875</v>
      </c>
      <c r="H175" s="35" t="n">
        <f aca="false">IFERROR(E175/G175,999)</f>
        <v>4.6775956284153</v>
      </c>
      <c r="I175" s="24" t="str">
        <f aca="false">IF(H175&lt;Assumptions!$B$9,"Stock-out risk",IF(H175&lt;Assumptions!$B$10,"Low",IF(H175&gt;Assumptions!$B$11,"Overstock","Healthy")))</f>
        <v>Healthy</v>
      </c>
      <c r="J175" s="33" t="n">
        <f aca="false">E175*INDEX(Products!$D$2:$D$49,MATCH(B175,Products!$A$2:$A$49,0))</f>
        <v>21186</v>
      </c>
      <c r="K175" s="24" t="str">
        <f aca="false">IF(E175&lt;=F175,"Yes","No")</f>
        <v>No</v>
      </c>
    </row>
    <row r="176" customFormat="false" ht="15" hidden="false" customHeight="false" outlineLevel="0" collapsed="false">
      <c r="A176" s="24" t="s">
        <v>64</v>
      </c>
      <c r="B176" s="24" t="s">
        <v>175</v>
      </c>
      <c r="C176" s="24" t="str">
        <f aca="false">INDEX(Products!$B$2:$B$49,MATCH(B176,Products!$A$2:$A$49,0))</f>
        <v>Matchbox 10 Pack</v>
      </c>
      <c r="D176" s="24" t="str">
        <f aca="false">INDEX(Products!$C$2:$C$49,MATCH(B176,Products!$A$2:$A$49,0))</f>
        <v>Household</v>
      </c>
      <c r="E176" s="33" t="n">
        <v>109</v>
      </c>
      <c r="F176" s="33" t="n">
        <v>101</v>
      </c>
      <c r="G176" s="35" t="n">
        <f aca="false">SUMIFS(Sales!$D$2:$D$6001,Sales!$B$2:$B$6001,A176,Sales!$C$2:$C$6001,B176,Sales!$A$2:$A$6001,"&gt;="&amp;(Assumptions!$B$4-7*Assumptions!$B$13+1))/Assumptions!$B$13</f>
        <v>67.375</v>
      </c>
      <c r="H176" s="35" t="n">
        <f aca="false">IFERROR(E176/G176,999)</f>
        <v>1.6178107606679</v>
      </c>
      <c r="I176" s="24" t="str">
        <f aca="false">IF(H176&lt;Assumptions!$B$9,"Stock-out risk",IF(H176&lt;Assumptions!$B$10,"Low",IF(H176&gt;Assumptions!$B$11,"Overstock","Healthy")))</f>
        <v>Low</v>
      </c>
      <c r="J176" s="33" t="n">
        <f aca="false">E176*INDEX(Products!$D$2:$D$49,MATCH(B176,Products!$A$2:$A$49,0))</f>
        <v>5123</v>
      </c>
      <c r="K176" s="24" t="str">
        <f aca="false">IF(E176&lt;=F176,"Yes","No")</f>
        <v>No</v>
      </c>
    </row>
    <row r="177" customFormat="false" ht="15" hidden="false" customHeight="false" outlineLevel="0" collapsed="false">
      <c r="A177" s="24" t="s">
        <v>64</v>
      </c>
      <c r="B177" s="24" t="s">
        <v>177</v>
      </c>
      <c r="C177" s="24" t="str">
        <f aca="false">INDEX(Products!$B$2:$B$49,MATCH(B177,Products!$A$2:$A$49,0))</f>
        <v>Sponge Scourer 3 Pack</v>
      </c>
      <c r="D177" s="24" t="str">
        <f aca="false">INDEX(Products!$C$2:$C$49,MATCH(B177,Products!$A$2:$A$49,0))</f>
        <v>Household</v>
      </c>
      <c r="E177" s="33" t="n">
        <v>122</v>
      </c>
      <c r="F177" s="33" t="n">
        <v>46</v>
      </c>
      <c r="G177" s="35" t="n">
        <f aca="false">SUMIFS(Sales!$D$2:$D$6001,Sales!$B$2:$B$6001,A177,Sales!$C$2:$C$6001,B177,Sales!$A$2:$A$6001,"&gt;="&amp;(Assumptions!$B$4-7*Assumptions!$B$13+1))/Assumptions!$B$13</f>
        <v>30.75</v>
      </c>
      <c r="H177" s="35" t="n">
        <f aca="false">IFERROR(E177/G177,999)</f>
        <v>3.96747967479675</v>
      </c>
      <c r="I177" s="24" t="str">
        <f aca="false">IF(H177&lt;Assumptions!$B$9,"Stock-out risk",IF(H177&lt;Assumptions!$B$10,"Low",IF(H177&gt;Assumptions!$B$11,"Overstock","Healthy")))</f>
        <v>Healthy</v>
      </c>
      <c r="J177" s="33" t="n">
        <f aca="false">E177*INDEX(Products!$D$2:$D$49,MATCH(B177,Products!$A$2:$A$49,0))</f>
        <v>8540</v>
      </c>
      <c r="K177" s="24" t="str">
        <f aca="false">IF(E177&lt;=F177,"Yes","No")</f>
        <v>No</v>
      </c>
    </row>
    <row r="178" customFormat="false" ht="15" hidden="false" customHeight="false" outlineLevel="0" collapsed="false">
      <c r="A178" s="24" t="s">
        <v>64</v>
      </c>
      <c r="B178" s="24" t="s">
        <v>179</v>
      </c>
      <c r="C178" s="24" t="str">
        <f aca="false">INDEX(Products!$B$2:$B$49,MATCH(B178,Products!$A$2:$A$49,0))</f>
        <v>Toothpaste 100ml</v>
      </c>
      <c r="D178" s="24" t="str">
        <f aca="false">INDEX(Products!$C$2:$C$49,MATCH(B178,Products!$A$2:$A$49,0))</f>
        <v>Personal Care</v>
      </c>
      <c r="E178" s="33" t="n">
        <v>122</v>
      </c>
      <c r="F178" s="33" t="n">
        <v>18</v>
      </c>
      <c r="G178" s="35" t="n">
        <f aca="false">SUMIFS(Sales!$D$2:$D$6001,Sales!$B$2:$B$6001,A178,Sales!$C$2:$C$6001,B178,Sales!$A$2:$A$6001,"&gt;="&amp;(Assumptions!$B$4-7*Assumptions!$B$13+1))/Assumptions!$B$13</f>
        <v>12</v>
      </c>
      <c r="H178" s="35" t="n">
        <f aca="false">IFERROR(E178/G178,999)</f>
        <v>10.1666666666667</v>
      </c>
      <c r="I178" s="24" t="str">
        <f aca="false">IF(H178&lt;Assumptions!$B$9,"Stock-out risk",IF(H178&lt;Assumptions!$B$10,"Low",IF(H178&gt;Assumptions!$B$11,"Overstock","Healthy")))</f>
        <v>Overstock</v>
      </c>
      <c r="J178" s="33" t="n">
        <f aca="false">E178*INDEX(Products!$D$2:$D$49,MATCH(B178,Products!$A$2:$A$49,0))</f>
        <v>14640</v>
      </c>
      <c r="K178" s="24" t="str">
        <f aca="false">IF(E178&lt;=F178,"Yes","No")</f>
        <v>No</v>
      </c>
    </row>
    <row r="179" customFormat="false" ht="15" hidden="false" customHeight="false" outlineLevel="0" collapsed="false">
      <c r="A179" s="24" t="s">
        <v>64</v>
      </c>
      <c r="B179" s="24" t="s">
        <v>181</v>
      </c>
      <c r="C179" s="24" t="str">
        <f aca="false">INDEX(Products!$B$2:$B$49,MATCH(B179,Products!$A$2:$A$49,0))</f>
        <v>Body Lotion 400ml</v>
      </c>
      <c r="D179" s="24" t="str">
        <f aca="false">INDEX(Products!$C$2:$C$49,MATCH(B179,Products!$A$2:$A$49,0))</f>
        <v>Personal Care</v>
      </c>
      <c r="E179" s="33" t="n">
        <v>113</v>
      </c>
      <c r="F179" s="33" t="n">
        <v>89</v>
      </c>
      <c r="G179" s="35" t="n">
        <f aca="false">SUMIFS(Sales!$D$2:$D$6001,Sales!$B$2:$B$6001,A179,Sales!$C$2:$C$6001,B179,Sales!$A$2:$A$6001,"&gt;="&amp;(Assumptions!$B$4-7*Assumptions!$B$13+1))/Assumptions!$B$13</f>
        <v>59.125</v>
      </c>
      <c r="H179" s="35" t="n">
        <f aca="false">IFERROR(E179/G179,999)</f>
        <v>1.91120507399577</v>
      </c>
      <c r="I179" s="24" t="str">
        <f aca="false">IF(H179&lt;Assumptions!$B$9,"Stock-out risk",IF(H179&lt;Assumptions!$B$10,"Low",IF(H179&gt;Assumptions!$B$11,"Overstock","Healthy")))</f>
        <v>Low</v>
      </c>
      <c r="J179" s="33" t="n">
        <f aca="false">E179*INDEX(Products!$D$2:$D$49,MATCH(B179,Products!$A$2:$A$49,0))</f>
        <v>27911</v>
      </c>
      <c r="K179" s="24" t="str">
        <f aca="false">IF(E179&lt;=F179,"Yes","No")</f>
        <v>No</v>
      </c>
    </row>
    <row r="180" customFormat="false" ht="15" hidden="false" customHeight="false" outlineLevel="0" collapsed="false">
      <c r="A180" s="24" t="s">
        <v>64</v>
      </c>
      <c r="B180" s="24" t="s">
        <v>183</v>
      </c>
      <c r="C180" s="24" t="str">
        <f aca="false">INDEX(Products!$B$2:$B$49,MATCH(B180,Products!$A$2:$A$49,0))</f>
        <v>Shower Gel 400ml</v>
      </c>
      <c r="D180" s="24" t="str">
        <f aca="false">INDEX(Products!$C$2:$C$49,MATCH(B180,Products!$A$2:$A$49,0))</f>
        <v>Personal Care</v>
      </c>
      <c r="E180" s="33" t="n">
        <v>300</v>
      </c>
      <c r="F180" s="33" t="n">
        <v>67</v>
      </c>
      <c r="G180" s="35" t="n">
        <f aca="false">SUMIFS(Sales!$D$2:$D$6001,Sales!$B$2:$B$6001,A180,Sales!$C$2:$C$6001,B180,Sales!$A$2:$A$6001,"&gt;="&amp;(Assumptions!$B$4-7*Assumptions!$B$13+1))/Assumptions!$B$13</f>
        <v>44.375</v>
      </c>
      <c r="H180" s="35" t="n">
        <f aca="false">IFERROR(E180/G180,999)</f>
        <v>6.76056338028169</v>
      </c>
      <c r="I180" s="24" t="str">
        <f aca="false">IF(H180&lt;Assumptions!$B$9,"Stock-out risk",IF(H180&lt;Assumptions!$B$10,"Low",IF(H180&gt;Assumptions!$B$11,"Overstock","Healthy")))</f>
        <v>Healthy</v>
      </c>
      <c r="J180" s="33" t="n">
        <f aca="false">E180*INDEX(Products!$D$2:$D$49,MATCH(B180,Products!$A$2:$A$49,0))</f>
        <v>62400</v>
      </c>
      <c r="K180" s="24" t="str">
        <f aca="false">IF(E180&lt;=F180,"Yes","No")</f>
        <v>No</v>
      </c>
    </row>
    <row r="181" customFormat="false" ht="15" hidden="false" customHeight="false" outlineLevel="0" collapsed="false">
      <c r="A181" s="24" t="s">
        <v>64</v>
      </c>
      <c r="B181" s="24" t="s">
        <v>185</v>
      </c>
      <c r="C181" s="24" t="str">
        <f aca="false">INDEX(Products!$B$2:$B$49,MATCH(B181,Products!$A$2:$A$49,0))</f>
        <v>Deodorant Roll-on</v>
      </c>
      <c r="D181" s="24" t="str">
        <f aca="false">INDEX(Products!$C$2:$C$49,MATCH(B181,Products!$A$2:$A$49,0))</f>
        <v>Personal Care</v>
      </c>
      <c r="E181" s="33" t="n">
        <v>1661</v>
      </c>
      <c r="F181" s="33" t="n">
        <v>130</v>
      </c>
      <c r="G181" s="35" t="n">
        <f aca="false">SUMIFS(Sales!$D$2:$D$6001,Sales!$B$2:$B$6001,A181,Sales!$C$2:$C$6001,B181,Sales!$A$2:$A$6001,"&gt;="&amp;(Assumptions!$B$4-7*Assumptions!$B$13+1))/Assumptions!$B$13</f>
        <v>87</v>
      </c>
      <c r="H181" s="35" t="n">
        <f aca="false">IFERROR(E181/G181,999)</f>
        <v>19.0919540229885</v>
      </c>
      <c r="I181" s="24" t="str">
        <f aca="false">IF(H181&lt;Assumptions!$B$9,"Stock-out risk",IF(H181&lt;Assumptions!$B$10,"Low",IF(H181&gt;Assumptions!$B$11,"Overstock","Healthy")))</f>
        <v>Overstock</v>
      </c>
      <c r="J181" s="33" t="n">
        <f aca="false">E181*INDEX(Products!$D$2:$D$49,MATCH(B181,Products!$A$2:$A$49,0))</f>
        <v>323895</v>
      </c>
      <c r="K181" s="24" t="str">
        <f aca="false">IF(E181&lt;=F181,"Yes","No")</f>
        <v>No</v>
      </c>
    </row>
    <row r="182" customFormat="false" ht="15" hidden="false" customHeight="false" outlineLevel="0" collapsed="false">
      <c r="A182" s="24" t="s">
        <v>64</v>
      </c>
      <c r="B182" s="24" t="s">
        <v>187</v>
      </c>
      <c r="C182" s="24" t="str">
        <f aca="false">INDEX(Products!$B$2:$B$49,MATCH(B182,Products!$A$2:$A$49,0))</f>
        <v>Sanitary Pads 8 Pack</v>
      </c>
      <c r="D182" s="24" t="str">
        <f aca="false">INDEX(Products!$C$2:$C$49,MATCH(B182,Products!$A$2:$A$49,0))</f>
        <v>Personal Care</v>
      </c>
      <c r="E182" s="33" t="n">
        <v>107</v>
      </c>
      <c r="F182" s="33" t="n">
        <v>46</v>
      </c>
      <c r="G182" s="35" t="n">
        <f aca="false">SUMIFS(Sales!$D$2:$D$6001,Sales!$B$2:$B$6001,A182,Sales!$C$2:$C$6001,B182,Sales!$A$2:$A$6001,"&gt;="&amp;(Assumptions!$B$4-7*Assumptions!$B$13+1))/Assumptions!$B$13</f>
        <v>30.75</v>
      </c>
      <c r="H182" s="35" t="n">
        <f aca="false">IFERROR(E182/G182,999)</f>
        <v>3.47967479674797</v>
      </c>
      <c r="I182" s="24" t="str">
        <f aca="false">IF(H182&lt;Assumptions!$B$9,"Stock-out risk",IF(H182&lt;Assumptions!$B$10,"Low",IF(H182&gt;Assumptions!$B$11,"Overstock","Healthy")))</f>
        <v>Healthy</v>
      </c>
      <c r="J182" s="33" t="n">
        <f aca="false">E182*INDEX(Products!$D$2:$D$49,MATCH(B182,Products!$A$2:$A$49,0))</f>
        <v>12198</v>
      </c>
      <c r="K182" s="24" t="str">
        <f aca="false">IF(E182&lt;=F182,"Yes","No")</f>
        <v>No</v>
      </c>
    </row>
    <row r="183" customFormat="false" ht="15" hidden="false" customHeight="false" outlineLevel="0" collapsed="false">
      <c r="A183" s="24" t="s">
        <v>64</v>
      </c>
      <c r="B183" s="24" t="s">
        <v>189</v>
      </c>
      <c r="C183" s="24" t="str">
        <f aca="false">INDEX(Products!$B$2:$B$49,MATCH(B183,Products!$A$2:$A$49,0))</f>
        <v>Shampoo 400ml</v>
      </c>
      <c r="D183" s="24" t="str">
        <f aca="false">INDEX(Products!$C$2:$C$49,MATCH(B183,Products!$A$2:$A$49,0))</f>
        <v>Personal Care</v>
      </c>
      <c r="E183" s="33" t="n">
        <v>47</v>
      </c>
      <c r="F183" s="33" t="n">
        <v>33</v>
      </c>
      <c r="G183" s="35" t="n">
        <f aca="false">SUMIFS(Sales!$D$2:$D$6001,Sales!$B$2:$B$6001,A183,Sales!$C$2:$C$6001,B183,Sales!$A$2:$A$6001,"&gt;="&amp;(Assumptions!$B$4-7*Assumptions!$B$13+1))/Assumptions!$B$13</f>
        <v>22</v>
      </c>
      <c r="H183" s="35" t="n">
        <f aca="false">IFERROR(E183/G183,999)</f>
        <v>2.13636363636364</v>
      </c>
      <c r="I183" s="24" t="str">
        <f aca="false">IF(H183&lt;Assumptions!$B$9,"Stock-out risk",IF(H183&lt;Assumptions!$B$10,"Low",IF(H183&gt;Assumptions!$B$11,"Overstock","Healthy")))</f>
        <v>Healthy</v>
      </c>
      <c r="J183" s="33" t="n">
        <f aca="false">E183*INDEX(Products!$D$2:$D$49,MATCH(B183,Products!$A$2:$A$49,0))</f>
        <v>10951</v>
      </c>
      <c r="K183" s="24" t="str">
        <f aca="false">IF(E183&lt;=F183,"Yes","No")</f>
        <v>No</v>
      </c>
    </row>
    <row r="184" customFormat="false" ht="15" hidden="false" customHeight="false" outlineLevel="0" collapsed="false">
      <c r="A184" s="24" t="s">
        <v>64</v>
      </c>
      <c r="B184" s="24" t="s">
        <v>191</v>
      </c>
      <c r="C184" s="24" t="str">
        <f aca="false">INDEX(Products!$B$2:$B$49,MATCH(B184,Products!$A$2:$A$49,0))</f>
        <v>Petroleum Jelly 250g</v>
      </c>
      <c r="D184" s="24" t="str">
        <f aca="false">INDEX(Products!$C$2:$C$49,MATCH(B184,Products!$A$2:$A$49,0))</f>
        <v>Personal Care</v>
      </c>
      <c r="E184" s="33" t="n">
        <v>29</v>
      </c>
      <c r="F184" s="33" t="n">
        <v>18</v>
      </c>
      <c r="G184" s="35" t="n">
        <f aca="false">SUMIFS(Sales!$D$2:$D$6001,Sales!$B$2:$B$6001,A184,Sales!$C$2:$C$6001,B184,Sales!$A$2:$A$6001,"&gt;="&amp;(Assumptions!$B$4-7*Assumptions!$B$13+1))/Assumptions!$B$13</f>
        <v>12.125</v>
      </c>
      <c r="H184" s="35" t="n">
        <f aca="false">IFERROR(E184/G184,999)</f>
        <v>2.39175257731959</v>
      </c>
      <c r="I184" s="24" t="str">
        <f aca="false">IF(H184&lt;Assumptions!$B$9,"Stock-out risk",IF(H184&lt;Assumptions!$B$10,"Low",IF(H184&gt;Assumptions!$B$11,"Overstock","Healthy")))</f>
        <v>Healthy</v>
      </c>
      <c r="J184" s="33" t="n">
        <f aca="false">E184*INDEX(Products!$D$2:$D$49,MATCH(B184,Products!$A$2:$A$49,0))</f>
        <v>3741</v>
      </c>
      <c r="K184" s="24" t="str">
        <f aca="false">IF(E184&lt;=F184,"Yes","No")</f>
        <v>No</v>
      </c>
    </row>
    <row r="185" customFormat="false" ht="15" hidden="false" customHeight="false" outlineLevel="0" collapsed="false">
      <c r="A185" s="24" t="s">
        <v>64</v>
      </c>
      <c r="B185" s="24" t="s">
        <v>193</v>
      </c>
      <c r="C185" s="24" t="str">
        <f aca="false">INDEX(Products!$B$2:$B$49,MATCH(B185,Products!$A$2:$A$49,0))</f>
        <v>Hand Wash 500ml</v>
      </c>
      <c r="D185" s="24" t="str">
        <f aca="false">INDEX(Products!$C$2:$C$49,MATCH(B185,Products!$A$2:$A$49,0))</f>
        <v>Personal Care</v>
      </c>
      <c r="E185" s="33" t="n">
        <v>128</v>
      </c>
      <c r="F185" s="33" t="n">
        <v>84</v>
      </c>
      <c r="G185" s="35" t="n">
        <f aca="false">SUMIFS(Sales!$D$2:$D$6001,Sales!$B$2:$B$6001,A185,Sales!$C$2:$C$6001,B185,Sales!$A$2:$A$6001,"&gt;="&amp;(Assumptions!$B$4-7*Assumptions!$B$13+1))/Assumptions!$B$13</f>
        <v>56.125</v>
      </c>
      <c r="H185" s="35" t="n">
        <f aca="false">IFERROR(E185/G185,999)</f>
        <v>2.28062360801782</v>
      </c>
      <c r="I185" s="24" t="str">
        <f aca="false">IF(H185&lt;Assumptions!$B$9,"Stock-out risk",IF(H185&lt;Assumptions!$B$10,"Low",IF(H185&gt;Assumptions!$B$11,"Overstock","Healthy")))</f>
        <v>Healthy</v>
      </c>
      <c r="J185" s="33" t="n">
        <f aca="false">E185*INDEX(Products!$D$2:$D$49,MATCH(B185,Products!$A$2:$A$49,0))</f>
        <v>20224</v>
      </c>
      <c r="K185" s="24" t="str">
        <f aca="false">IF(E185&lt;=F185,"Yes","No")</f>
        <v>No</v>
      </c>
    </row>
    <row r="186" customFormat="false" ht="15" hidden="false" customHeight="false" outlineLevel="0" collapsed="false">
      <c r="A186" s="24" t="s">
        <v>64</v>
      </c>
      <c r="B186" s="24" t="s">
        <v>195</v>
      </c>
      <c r="C186" s="24" t="str">
        <f aca="false">INDEX(Products!$B$2:$B$49,MATCH(B186,Products!$A$2:$A$49,0))</f>
        <v>Biscuits 200g</v>
      </c>
      <c r="D186" s="24" t="str">
        <f aca="false">INDEX(Products!$C$2:$C$49,MATCH(B186,Products!$A$2:$A$49,0))</f>
        <v>Snacks &amp; Confectionery</v>
      </c>
      <c r="E186" s="33" t="n">
        <v>741</v>
      </c>
      <c r="F186" s="33" t="n">
        <v>328</v>
      </c>
      <c r="G186" s="35" t="n">
        <f aca="false">SUMIFS(Sales!$D$2:$D$6001,Sales!$B$2:$B$6001,A186,Sales!$C$2:$C$6001,B186,Sales!$A$2:$A$6001,"&gt;="&amp;(Assumptions!$B$4-7*Assumptions!$B$13+1))/Assumptions!$B$13</f>
        <v>219</v>
      </c>
      <c r="H186" s="35" t="n">
        <f aca="false">IFERROR(E186/G186,999)</f>
        <v>3.38356164383562</v>
      </c>
      <c r="I186" s="24" t="str">
        <f aca="false">IF(H186&lt;Assumptions!$B$9,"Stock-out risk",IF(H186&lt;Assumptions!$B$10,"Low",IF(H186&gt;Assumptions!$B$11,"Overstock","Healthy")))</f>
        <v>Healthy</v>
      </c>
      <c r="J186" s="33" t="n">
        <f aca="false">E186*INDEX(Products!$D$2:$D$49,MATCH(B186,Products!$A$2:$A$49,0))</f>
        <v>54834</v>
      </c>
      <c r="K186" s="24" t="str">
        <f aca="false">IF(E186&lt;=F186,"Yes","No")</f>
        <v>No</v>
      </c>
    </row>
    <row r="187" customFormat="false" ht="15" hidden="false" customHeight="false" outlineLevel="0" collapsed="false">
      <c r="A187" s="24" t="s">
        <v>64</v>
      </c>
      <c r="B187" s="24" t="s">
        <v>197</v>
      </c>
      <c r="C187" s="24" t="str">
        <f aca="false">INDEX(Products!$B$2:$B$49,MATCH(B187,Products!$A$2:$A$49,0))</f>
        <v>Potato Crisps 100g</v>
      </c>
      <c r="D187" s="24" t="str">
        <f aca="false">INDEX(Products!$C$2:$C$49,MATCH(B187,Products!$A$2:$A$49,0))</f>
        <v>Snacks &amp; Confectionery</v>
      </c>
      <c r="E187" s="33" t="n">
        <v>85</v>
      </c>
      <c r="F187" s="33" t="n">
        <v>52</v>
      </c>
      <c r="G187" s="35" t="n">
        <f aca="false">SUMIFS(Sales!$D$2:$D$6001,Sales!$B$2:$B$6001,A187,Sales!$C$2:$C$6001,B187,Sales!$A$2:$A$6001,"&gt;="&amp;(Assumptions!$B$4-7*Assumptions!$B$13+1))/Assumptions!$B$13</f>
        <v>34.75</v>
      </c>
      <c r="H187" s="35" t="n">
        <f aca="false">IFERROR(E187/G187,999)</f>
        <v>2.44604316546763</v>
      </c>
      <c r="I187" s="24" t="str">
        <f aca="false">IF(H187&lt;Assumptions!$B$9,"Stock-out risk",IF(H187&lt;Assumptions!$B$10,"Low",IF(H187&gt;Assumptions!$B$11,"Overstock","Healthy")))</f>
        <v>Healthy</v>
      </c>
      <c r="J187" s="33" t="n">
        <f aca="false">E187*INDEX(Products!$D$2:$D$49,MATCH(B187,Products!$A$2:$A$49,0))</f>
        <v>5610</v>
      </c>
      <c r="K187" s="24" t="str">
        <f aca="false">IF(E187&lt;=F187,"Yes","No")</f>
        <v>No</v>
      </c>
    </row>
    <row r="188" customFormat="false" ht="15" hidden="false" customHeight="false" outlineLevel="0" collapsed="false">
      <c r="A188" s="24" t="s">
        <v>64</v>
      </c>
      <c r="B188" s="24" t="s">
        <v>199</v>
      </c>
      <c r="C188" s="24" t="str">
        <f aca="false">INDEX(Products!$B$2:$B$49,MATCH(B188,Products!$A$2:$A$49,0))</f>
        <v>Chocolate Bar 90g</v>
      </c>
      <c r="D188" s="24" t="str">
        <f aca="false">INDEX(Products!$C$2:$C$49,MATCH(B188,Products!$A$2:$A$49,0))</f>
        <v>Snacks &amp; Confectionery</v>
      </c>
      <c r="E188" s="33" t="n">
        <v>184</v>
      </c>
      <c r="F188" s="33" t="n">
        <v>39</v>
      </c>
      <c r="G188" s="35" t="n">
        <f aca="false">SUMIFS(Sales!$D$2:$D$6001,Sales!$B$2:$B$6001,A188,Sales!$C$2:$C$6001,B188,Sales!$A$2:$A$6001,"&gt;="&amp;(Assumptions!$B$4-7*Assumptions!$B$13+1))/Assumptions!$B$13</f>
        <v>26.25</v>
      </c>
      <c r="H188" s="35" t="n">
        <f aca="false">IFERROR(E188/G188,999)</f>
        <v>7.00952380952381</v>
      </c>
      <c r="I188" s="24" t="str">
        <f aca="false">IF(H188&lt;Assumptions!$B$9,"Stock-out risk",IF(H188&lt;Assumptions!$B$10,"Low",IF(H188&gt;Assumptions!$B$11,"Overstock","Healthy")))</f>
        <v>Healthy</v>
      </c>
      <c r="J188" s="33" t="n">
        <f aca="false">E188*INDEX(Products!$D$2:$D$49,MATCH(B188,Products!$A$2:$A$49,0))</f>
        <v>20424</v>
      </c>
      <c r="K188" s="24" t="str">
        <f aca="false">IF(E188&lt;=F188,"Yes","No")</f>
        <v>No</v>
      </c>
    </row>
    <row r="189" customFormat="false" ht="15" hidden="false" customHeight="false" outlineLevel="0" collapsed="false">
      <c r="A189" s="24" t="s">
        <v>64</v>
      </c>
      <c r="B189" s="24" t="s">
        <v>201</v>
      </c>
      <c r="C189" s="24" t="str">
        <f aca="false">INDEX(Products!$B$2:$B$49,MATCH(B189,Products!$A$2:$A$49,0))</f>
        <v>Peanuts Roasted 250g</v>
      </c>
      <c r="D189" s="24" t="str">
        <f aca="false">INDEX(Products!$C$2:$C$49,MATCH(B189,Products!$A$2:$A$49,0))</f>
        <v>Snacks &amp; Confectionery</v>
      </c>
      <c r="E189" s="33" t="n">
        <v>604</v>
      </c>
      <c r="F189" s="33" t="n">
        <v>132</v>
      </c>
      <c r="G189" s="35" t="n">
        <f aca="false">SUMIFS(Sales!$D$2:$D$6001,Sales!$B$2:$B$6001,A189,Sales!$C$2:$C$6001,B189,Sales!$A$2:$A$6001,"&gt;="&amp;(Assumptions!$B$4-7*Assumptions!$B$13+1))/Assumptions!$B$13</f>
        <v>87.75</v>
      </c>
      <c r="H189" s="35" t="n">
        <f aca="false">IFERROR(E189/G189,999)</f>
        <v>6.88319088319088</v>
      </c>
      <c r="I189" s="24" t="str">
        <f aca="false">IF(H189&lt;Assumptions!$B$9,"Stock-out risk",IF(H189&lt;Assumptions!$B$10,"Low",IF(H189&gt;Assumptions!$B$11,"Overstock","Healthy")))</f>
        <v>Healthy</v>
      </c>
      <c r="J189" s="33" t="n">
        <f aca="false">E189*INDEX(Products!$D$2:$D$49,MATCH(B189,Products!$A$2:$A$49,0))</f>
        <v>72480</v>
      </c>
      <c r="K189" s="24" t="str">
        <f aca="false">IF(E189&lt;=F189,"Yes","No")</f>
        <v>No</v>
      </c>
    </row>
    <row r="190" customFormat="false" ht="15" hidden="false" customHeight="false" outlineLevel="0" collapsed="false">
      <c r="A190" s="24" t="s">
        <v>64</v>
      </c>
      <c r="B190" s="24" t="s">
        <v>203</v>
      </c>
      <c r="C190" s="24" t="str">
        <f aca="false">INDEX(Products!$B$2:$B$49,MATCH(B190,Products!$A$2:$A$49,0))</f>
        <v>Bread White 400g</v>
      </c>
      <c r="D190" s="24" t="str">
        <f aca="false">INDEX(Products!$C$2:$C$49,MATCH(B190,Products!$A$2:$A$49,0))</f>
        <v>Snacks &amp; Confectionery</v>
      </c>
      <c r="E190" s="33" t="n">
        <v>14</v>
      </c>
      <c r="F190" s="33" t="n">
        <v>51</v>
      </c>
      <c r="G190" s="35" t="n">
        <f aca="false">SUMIFS(Sales!$D$2:$D$6001,Sales!$B$2:$B$6001,A190,Sales!$C$2:$C$6001,B190,Sales!$A$2:$A$6001,"&gt;="&amp;(Assumptions!$B$4-7*Assumptions!$B$13+1))/Assumptions!$B$13</f>
        <v>34.125</v>
      </c>
      <c r="H190" s="35" t="n">
        <f aca="false">IFERROR(E190/G190,999)</f>
        <v>0.41025641025641</v>
      </c>
      <c r="I190" s="24" t="str">
        <f aca="false">IF(H190&lt;Assumptions!$B$9,"Stock-out risk",IF(H190&lt;Assumptions!$B$10,"Low",IF(H190&gt;Assumptions!$B$11,"Overstock","Healthy")))</f>
        <v>Stock-out risk</v>
      </c>
      <c r="J190" s="33" t="n">
        <f aca="false">E190*INDEX(Products!$D$2:$D$49,MATCH(B190,Products!$A$2:$A$49,0))</f>
        <v>658</v>
      </c>
      <c r="K190" s="24" t="str">
        <f aca="false">IF(E190&lt;=F190,"Yes","No")</f>
        <v>Yes</v>
      </c>
    </row>
    <row r="191" customFormat="false" ht="15" hidden="false" customHeight="false" outlineLevel="0" collapsed="false">
      <c r="A191" s="24" t="s">
        <v>64</v>
      </c>
      <c r="B191" s="24" t="s">
        <v>205</v>
      </c>
      <c r="C191" s="24" t="str">
        <f aca="false">INDEX(Products!$B$2:$B$49,MATCH(B191,Products!$A$2:$A$49,0))</f>
        <v>Cake Slice</v>
      </c>
      <c r="D191" s="24" t="str">
        <f aca="false">INDEX(Products!$C$2:$C$49,MATCH(B191,Products!$A$2:$A$49,0))</f>
        <v>Snacks &amp; Confectionery</v>
      </c>
      <c r="E191" s="33" t="n">
        <v>459</v>
      </c>
      <c r="F191" s="33" t="n">
        <v>74</v>
      </c>
      <c r="G191" s="35" t="n">
        <f aca="false">SUMIFS(Sales!$D$2:$D$6001,Sales!$B$2:$B$6001,A191,Sales!$C$2:$C$6001,B191,Sales!$A$2:$A$6001,"&gt;="&amp;(Assumptions!$B$4-7*Assumptions!$B$13+1))/Assumptions!$B$13</f>
        <v>49.125</v>
      </c>
      <c r="H191" s="35" t="n">
        <f aca="false">IFERROR(E191/G191,999)</f>
        <v>9.34351145038168</v>
      </c>
      <c r="I191" s="24" t="str">
        <f aca="false">IF(H191&lt;Assumptions!$B$9,"Stock-out risk",IF(H191&lt;Assumptions!$B$10,"Low",IF(H191&gt;Assumptions!$B$11,"Overstock","Healthy")))</f>
        <v>Overstock</v>
      </c>
      <c r="J191" s="33" t="n">
        <f aca="false">E191*INDEX(Products!$D$2:$D$49,MATCH(B191,Products!$A$2:$A$49,0))</f>
        <v>37179</v>
      </c>
      <c r="K191" s="24" t="str">
        <f aca="false">IF(E191&lt;=F191,"Yes","No")</f>
        <v>No</v>
      </c>
    </row>
    <row r="192" customFormat="false" ht="15" hidden="false" customHeight="false" outlineLevel="0" collapsed="false">
      <c r="A192" s="24" t="s">
        <v>64</v>
      </c>
      <c r="B192" s="24" t="s">
        <v>207</v>
      </c>
      <c r="C192" s="24" t="str">
        <f aca="false">INDEX(Products!$B$2:$B$49,MATCH(B192,Products!$A$2:$A$49,0))</f>
        <v>Sweets Jar 300g</v>
      </c>
      <c r="D192" s="24" t="str">
        <f aca="false">INDEX(Products!$C$2:$C$49,MATCH(B192,Products!$A$2:$A$49,0))</f>
        <v>Snacks &amp; Confectionery</v>
      </c>
      <c r="E192" s="33" t="n">
        <v>166</v>
      </c>
      <c r="F192" s="33" t="n">
        <v>66</v>
      </c>
      <c r="G192" s="35" t="n">
        <f aca="false">SUMIFS(Sales!$D$2:$D$6001,Sales!$B$2:$B$6001,A192,Sales!$C$2:$C$6001,B192,Sales!$A$2:$A$6001,"&gt;="&amp;(Assumptions!$B$4-7*Assumptions!$B$13+1))/Assumptions!$B$13</f>
        <v>43.875</v>
      </c>
      <c r="H192" s="35" t="n">
        <f aca="false">IFERROR(E192/G192,999)</f>
        <v>3.78347578347578</v>
      </c>
      <c r="I192" s="24" t="str">
        <f aca="false">IF(H192&lt;Assumptions!$B$9,"Stock-out risk",IF(H192&lt;Assumptions!$B$10,"Low",IF(H192&gt;Assumptions!$B$11,"Overstock","Healthy")))</f>
        <v>Healthy</v>
      </c>
      <c r="J192" s="33" t="n">
        <f aca="false">E192*INDEX(Products!$D$2:$D$49,MATCH(B192,Products!$A$2:$A$49,0))</f>
        <v>20916</v>
      </c>
      <c r="K192" s="24" t="str">
        <f aca="false">IF(E192&lt;=F192,"Yes","No")</f>
        <v>No</v>
      </c>
    </row>
    <row r="193" customFormat="false" ht="15" hidden="false" customHeight="false" outlineLevel="0" collapsed="false">
      <c r="A193" s="24" t="s">
        <v>64</v>
      </c>
      <c r="B193" s="24" t="s">
        <v>209</v>
      </c>
      <c r="C193" s="24" t="str">
        <f aca="false">INDEX(Products!$B$2:$B$49,MATCH(B193,Products!$A$2:$A$49,0))</f>
        <v>Popcorn 100g</v>
      </c>
      <c r="D193" s="24" t="str">
        <f aca="false">INDEX(Products!$C$2:$C$49,MATCH(B193,Products!$A$2:$A$49,0))</f>
        <v>Snacks &amp; Confectionery</v>
      </c>
      <c r="E193" s="33" t="n">
        <v>56</v>
      </c>
      <c r="F193" s="33" t="n">
        <v>118</v>
      </c>
      <c r="G193" s="35" t="n">
        <f aca="false">SUMIFS(Sales!$D$2:$D$6001,Sales!$B$2:$B$6001,A193,Sales!$C$2:$C$6001,B193,Sales!$A$2:$A$6001,"&gt;="&amp;(Assumptions!$B$4-7*Assumptions!$B$13+1))/Assumptions!$B$13</f>
        <v>78.875</v>
      </c>
      <c r="H193" s="35" t="n">
        <f aca="false">IFERROR(E193/G193,999)</f>
        <v>0.709984152139461</v>
      </c>
      <c r="I193" s="24" t="str">
        <f aca="false">IF(H193&lt;Assumptions!$B$9,"Stock-out risk",IF(H193&lt;Assumptions!$B$10,"Low",IF(H193&gt;Assumptions!$B$11,"Overstock","Healthy")))</f>
        <v>Stock-out risk</v>
      </c>
      <c r="J193" s="33" t="n">
        <f aca="false">E193*INDEX(Products!$D$2:$D$49,MATCH(B193,Products!$A$2:$A$49,0))</f>
        <v>2632</v>
      </c>
      <c r="K193" s="24" t="str">
        <f aca="false">IF(E193&lt;=F193,"Yes","No")</f>
        <v>Yes</v>
      </c>
    </row>
    <row r="194" customFormat="false" ht="15" hidden="false" customHeight="false" outlineLevel="0" collapsed="false">
      <c r="A194" s="24" t="s">
        <v>65</v>
      </c>
      <c r="B194" s="24" t="s">
        <v>115</v>
      </c>
      <c r="C194" s="24" t="str">
        <f aca="false">INDEX(Products!$B$2:$B$49,MATCH(B194,Products!$A$2:$A$49,0))</f>
        <v>Maize Flour 2kg</v>
      </c>
      <c r="D194" s="24" t="str">
        <f aca="false">INDEX(Products!$C$2:$C$49,MATCH(B194,Products!$A$2:$A$49,0))</f>
        <v>Grocery Staples</v>
      </c>
      <c r="E194" s="33" t="n">
        <v>472</v>
      </c>
      <c r="F194" s="33" t="n">
        <v>203</v>
      </c>
      <c r="G194" s="35" t="n">
        <f aca="false">SUMIFS(Sales!$D$2:$D$6001,Sales!$B$2:$B$6001,A194,Sales!$C$2:$C$6001,B194,Sales!$A$2:$A$6001,"&gt;="&amp;(Assumptions!$B$4-7*Assumptions!$B$13+1))/Assumptions!$B$13</f>
        <v>135.25</v>
      </c>
      <c r="H194" s="35" t="n">
        <f aca="false">IFERROR(E194/G194,999)</f>
        <v>3.48983364140481</v>
      </c>
      <c r="I194" s="24" t="str">
        <f aca="false">IF(H194&lt;Assumptions!$B$9,"Stock-out risk",IF(H194&lt;Assumptions!$B$10,"Low",IF(H194&gt;Assumptions!$B$11,"Overstock","Healthy")))</f>
        <v>Healthy</v>
      </c>
      <c r="J194" s="33" t="n">
        <f aca="false">E194*INDEX(Products!$D$2:$D$49,MATCH(B194,Products!$A$2:$A$49,0))</f>
        <v>67968</v>
      </c>
      <c r="K194" s="24" t="str">
        <f aca="false">IF(E194&lt;=F194,"Yes","No")</f>
        <v>No</v>
      </c>
    </row>
    <row r="195" customFormat="false" ht="15" hidden="false" customHeight="false" outlineLevel="0" collapsed="false">
      <c r="A195" s="24" t="s">
        <v>65</v>
      </c>
      <c r="B195" s="24" t="s">
        <v>117</v>
      </c>
      <c r="C195" s="24" t="str">
        <f aca="false">INDEX(Products!$B$2:$B$49,MATCH(B195,Products!$A$2:$A$49,0))</f>
        <v>Wheat Flour 2kg</v>
      </c>
      <c r="D195" s="24" t="str">
        <f aca="false">INDEX(Products!$C$2:$C$49,MATCH(B195,Products!$A$2:$A$49,0))</f>
        <v>Grocery Staples</v>
      </c>
      <c r="E195" s="33" t="n">
        <v>869</v>
      </c>
      <c r="F195" s="33" t="n">
        <v>142</v>
      </c>
      <c r="G195" s="35" t="n">
        <f aca="false">SUMIFS(Sales!$D$2:$D$6001,Sales!$B$2:$B$6001,A195,Sales!$C$2:$C$6001,B195,Sales!$A$2:$A$6001,"&gt;="&amp;(Assumptions!$B$4-7*Assumptions!$B$13+1))/Assumptions!$B$13</f>
        <v>94.625</v>
      </c>
      <c r="H195" s="35" t="n">
        <f aca="false">IFERROR(E195/G195,999)</f>
        <v>9.18361955085865</v>
      </c>
      <c r="I195" s="24" t="str">
        <f aca="false">IF(H195&lt;Assumptions!$B$9,"Stock-out risk",IF(H195&lt;Assumptions!$B$10,"Low",IF(H195&gt;Assumptions!$B$11,"Overstock","Healthy")))</f>
        <v>Overstock</v>
      </c>
      <c r="J195" s="33" t="n">
        <f aca="false">E195*INDEX(Products!$D$2:$D$49,MATCH(B195,Products!$A$2:$A$49,0))</f>
        <v>145992</v>
      </c>
      <c r="K195" s="24" t="str">
        <f aca="false">IF(E195&lt;=F195,"Yes","No")</f>
        <v>No</v>
      </c>
    </row>
    <row r="196" customFormat="false" ht="15" hidden="false" customHeight="false" outlineLevel="0" collapsed="false">
      <c r="A196" s="24" t="s">
        <v>65</v>
      </c>
      <c r="B196" s="24" t="s">
        <v>119</v>
      </c>
      <c r="C196" s="24" t="str">
        <f aca="false">INDEX(Products!$B$2:$B$49,MATCH(B196,Products!$A$2:$A$49,0))</f>
        <v>Rice Pishori 2kg</v>
      </c>
      <c r="D196" s="24" t="str">
        <f aca="false">INDEX(Products!$C$2:$C$49,MATCH(B196,Products!$A$2:$A$49,0))</f>
        <v>Grocery Staples</v>
      </c>
      <c r="E196" s="33" t="n">
        <v>193</v>
      </c>
      <c r="F196" s="33" t="n">
        <v>120</v>
      </c>
      <c r="G196" s="35" t="n">
        <f aca="false">SUMIFS(Sales!$D$2:$D$6001,Sales!$B$2:$B$6001,A196,Sales!$C$2:$C$6001,B196,Sales!$A$2:$A$6001,"&gt;="&amp;(Assumptions!$B$4-7*Assumptions!$B$13+1))/Assumptions!$B$13</f>
        <v>80</v>
      </c>
      <c r="H196" s="35" t="n">
        <f aca="false">IFERROR(E196/G196,999)</f>
        <v>2.4125</v>
      </c>
      <c r="I196" s="24" t="str">
        <f aca="false">IF(H196&lt;Assumptions!$B$9,"Stock-out risk",IF(H196&lt;Assumptions!$B$10,"Low",IF(H196&gt;Assumptions!$B$11,"Overstock","Healthy")))</f>
        <v>Healthy</v>
      </c>
      <c r="J196" s="33" t="n">
        <f aca="false">E196*INDEX(Products!$D$2:$D$49,MATCH(B196,Products!$A$2:$A$49,0))</f>
        <v>72568</v>
      </c>
      <c r="K196" s="24" t="str">
        <f aca="false">IF(E196&lt;=F196,"Yes","No")</f>
        <v>No</v>
      </c>
    </row>
    <row r="197" customFormat="false" ht="15" hidden="false" customHeight="false" outlineLevel="0" collapsed="false">
      <c r="A197" s="24" t="s">
        <v>65</v>
      </c>
      <c r="B197" s="24" t="s">
        <v>121</v>
      </c>
      <c r="C197" s="24" t="str">
        <f aca="false">INDEX(Products!$B$2:$B$49,MATCH(B197,Products!$A$2:$A$49,0))</f>
        <v>Sugar 1kg</v>
      </c>
      <c r="D197" s="24" t="str">
        <f aca="false">INDEX(Products!$C$2:$C$49,MATCH(B197,Products!$A$2:$A$49,0))</f>
        <v>Grocery Staples</v>
      </c>
      <c r="E197" s="33" t="n">
        <v>218</v>
      </c>
      <c r="F197" s="33" t="n">
        <v>71</v>
      </c>
      <c r="G197" s="35" t="n">
        <f aca="false">SUMIFS(Sales!$D$2:$D$6001,Sales!$B$2:$B$6001,A197,Sales!$C$2:$C$6001,B197,Sales!$A$2:$A$6001,"&gt;="&amp;(Assumptions!$B$4-7*Assumptions!$B$13+1))/Assumptions!$B$13</f>
        <v>47.125</v>
      </c>
      <c r="H197" s="35" t="n">
        <f aca="false">IFERROR(E197/G197,999)</f>
        <v>4.62599469496021</v>
      </c>
      <c r="I197" s="24" t="str">
        <f aca="false">IF(H197&lt;Assumptions!$B$9,"Stock-out risk",IF(H197&lt;Assumptions!$B$10,"Low",IF(H197&gt;Assumptions!$B$11,"Overstock","Healthy")))</f>
        <v>Healthy</v>
      </c>
      <c r="J197" s="33" t="n">
        <f aca="false">E197*INDEX(Products!$D$2:$D$49,MATCH(B197,Products!$A$2:$A$49,0))</f>
        <v>35098</v>
      </c>
      <c r="K197" s="24" t="str">
        <f aca="false">IF(E197&lt;=F197,"Yes","No")</f>
        <v>No</v>
      </c>
    </row>
    <row r="198" customFormat="false" ht="15" hidden="false" customHeight="false" outlineLevel="0" collapsed="false">
      <c r="A198" s="24" t="s">
        <v>65</v>
      </c>
      <c r="B198" s="24" t="s">
        <v>123</v>
      </c>
      <c r="C198" s="24" t="str">
        <f aca="false">INDEX(Products!$B$2:$B$49,MATCH(B198,Products!$A$2:$A$49,0))</f>
        <v>Cooking Oil 1L</v>
      </c>
      <c r="D198" s="24" t="str">
        <f aca="false">INDEX(Products!$C$2:$C$49,MATCH(B198,Products!$A$2:$A$49,0))</f>
        <v>Grocery Staples</v>
      </c>
      <c r="E198" s="33" t="n">
        <v>366</v>
      </c>
      <c r="F198" s="33" t="n">
        <v>362</v>
      </c>
      <c r="G198" s="35" t="n">
        <f aca="false">SUMIFS(Sales!$D$2:$D$6001,Sales!$B$2:$B$6001,A198,Sales!$C$2:$C$6001,B198,Sales!$A$2:$A$6001,"&gt;="&amp;(Assumptions!$B$4-7*Assumptions!$B$13+1))/Assumptions!$B$13</f>
        <v>241.375</v>
      </c>
      <c r="H198" s="35" t="n">
        <f aca="false">IFERROR(E198/G198,999)</f>
        <v>1.51631279129984</v>
      </c>
      <c r="I198" s="24" t="str">
        <f aca="false">IF(H198&lt;Assumptions!$B$9,"Stock-out risk",IF(H198&lt;Assumptions!$B$10,"Low",IF(H198&gt;Assumptions!$B$11,"Overstock","Healthy")))</f>
        <v>Low</v>
      </c>
      <c r="J198" s="33" t="n">
        <f aca="false">E198*INDEX(Products!$D$2:$D$49,MATCH(B198,Products!$A$2:$A$49,0))</f>
        <v>108702</v>
      </c>
      <c r="K198" s="24" t="str">
        <f aca="false">IF(E198&lt;=F198,"Yes","No")</f>
        <v>No</v>
      </c>
    </row>
    <row r="199" customFormat="false" ht="15" hidden="false" customHeight="false" outlineLevel="0" collapsed="false">
      <c r="A199" s="24" t="s">
        <v>65</v>
      </c>
      <c r="B199" s="24" t="s">
        <v>125</v>
      </c>
      <c r="C199" s="24" t="str">
        <f aca="false">INDEX(Products!$B$2:$B$49,MATCH(B199,Products!$A$2:$A$49,0))</f>
        <v>Salt 500g</v>
      </c>
      <c r="D199" s="24" t="str">
        <f aca="false">INDEX(Products!$C$2:$C$49,MATCH(B199,Products!$A$2:$A$49,0))</f>
        <v>Grocery Staples</v>
      </c>
      <c r="E199" s="33" t="n">
        <v>147</v>
      </c>
      <c r="F199" s="33" t="n">
        <v>38</v>
      </c>
      <c r="G199" s="35" t="n">
        <f aca="false">SUMIFS(Sales!$D$2:$D$6001,Sales!$B$2:$B$6001,A199,Sales!$C$2:$C$6001,B199,Sales!$A$2:$A$6001,"&gt;="&amp;(Assumptions!$B$4-7*Assumptions!$B$13+1))/Assumptions!$B$13</f>
        <v>25.375</v>
      </c>
      <c r="H199" s="35" t="n">
        <f aca="false">IFERROR(E199/G199,999)</f>
        <v>5.79310344827586</v>
      </c>
      <c r="I199" s="24" t="str">
        <f aca="false">IF(H199&lt;Assumptions!$B$9,"Stock-out risk",IF(H199&lt;Assumptions!$B$10,"Low",IF(H199&gt;Assumptions!$B$11,"Overstock","Healthy")))</f>
        <v>Healthy</v>
      </c>
      <c r="J199" s="33" t="n">
        <f aca="false">E199*INDEX(Products!$D$2:$D$49,MATCH(B199,Products!$A$2:$A$49,0))</f>
        <v>5880</v>
      </c>
      <c r="K199" s="24" t="str">
        <f aca="false">IF(E199&lt;=F199,"Yes","No")</f>
        <v>No</v>
      </c>
    </row>
    <row r="200" customFormat="false" ht="15" hidden="false" customHeight="false" outlineLevel="0" collapsed="false">
      <c r="A200" s="24" t="s">
        <v>65</v>
      </c>
      <c r="B200" s="24" t="s">
        <v>127</v>
      </c>
      <c r="C200" s="24" t="str">
        <f aca="false">INDEX(Products!$B$2:$B$49,MATCH(B200,Products!$A$2:$A$49,0))</f>
        <v>Tea Leaves 250g</v>
      </c>
      <c r="D200" s="24" t="str">
        <f aca="false">INDEX(Products!$C$2:$C$49,MATCH(B200,Products!$A$2:$A$49,0))</f>
        <v>Grocery Staples</v>
      </c>
      <c r="E200" s="33" t="n">
        <v>152</v>
      </c>
      <c r="F200" s="33" t="n">
        <v>227</v>
      </c>
      <c r="G200" s="35" t="n">
        <f aca="false">SUMIFS(Sales!$D$2:$D$6001,Sales!$B$2:$B$6001,A200,Sales!$C$2:$C$6001,B200,Sales!$A$2:$A$6001,"&gt;="&amp;(Assumptions!$B$4-7*Assumptions!$B$13+1))/Assumptions!$B$13</f>
        <v>151.5</v>
      </c>
      <c r="H200" s="35" t="n">
        <f aca="false">IFERROR(E200/G200,999)</f>
        <v>1.003300330033</v>
      </c>
      <c r="I200" s="24" t="str">
        <f aca="false">IF(H200&lt;Assumptions!$B$9,"Stock-out risk",IF(H200&lt;Assumptions!$B$10,"Low",IF(H200&gt;Assumptions!$B$11,"Overstock","Healthy")))</f>
        <v>Low</v>
      </c>
      <c r="J200" s="33" t="n">
        <f aca="false">E200*INDEX(Products!$D$2:$D$49,MATCH(B200,Products!$A$2:$A$49,0))</f>
        <v>15656</v>
      </c>
      <c r="K200" s="24" t="str">
        <f aca="false">IF(E200&lt;=F200,"Yes","No")</f>
        <v>Yes</v>
      </c>
    </row>
    <row r="201" customFormat="false" ht="15" hidden="false" customHeight="false" outlineLevel="0" collapsed="false">
      <c r="A201" s="24" t="s">
        <v>65</v>
      </c>
      <c r="B201" s="24" t="s">
        <v>129</v>
      </c>
      <c r="C201" s="24" t="str">
        <f aca="false">INDEX(Products!$B$2:$B$49,MATCH(B201,Products!$A$2:$A$49,0))</f>
        <v>Dry Beans 1kg</v>
      </c>
      <c r="D201" s="24" t="str">
        <f aca="false">INDEX(Products!$C$2:$C$49,MATCH(B201,Products!$A$2:$A$49,0))</f>
        <v>Grocery Staples</v>
      </c>
      <c r="E201" s="33" t="n">
        <v>228</v>
      </c>
      <c r="F201" s="33" t="n">
        <v>234</v>
      </c>
      <c r="G201" s="35" t="n">
        <f aca="false">SUMIFS(Sales!$D$2:$D$6001,Sales!$B$2:$B$6001,A201,Sales!$C$2:$C$6001,B201,Sales!$A$2:$A$6001,"&gt;="&amp;(Assumptions!$B$4-7*Assumptions!$B$13+1))/Assumptions!$B$13</f>
        <v>155.875</v>
      </c>
      <c r="H201" s="35" t="n">
        <f aca="false">IFERROR(E201/G201,999)</f>
        <v>1.46271050521251</v>
      </c>
      <c r="I201" s="24" t="str">
        <f aca="false">IF(H201&lt;Assumptions!$B$9,"Stock-out risk",IF(H201&lt;Assumptions!$B$10,"Low",IF(H201&gt;Assumptions!$B$11,"Overstock","Healthy")))</f>
        <v>Low</v>
      </c>
      <c r="J201" s="33" t="n">
        <f aca="false">E201*INDEX(Products!$D$2:$D$49,MATCH(B201,Products!$A$2:$A$49,0))</f>
        <v>42408</v>
      </c>
      <c r="K201" s="24" t="str">
        <f aca="false">IF(E201&lt;=F201,"Yes","No")</f>
        <v>Yes</v>
      </c>
    </row>
    <row r="202" customFormat="false" ht="15" hidden="false" customHeight="false" outlineLevel="0" collapsed="false">
      <c r="A202" s="24" t="s">
        <v>65</v>
      </c>
      <c r="B202" s="24" t="s">
        <v>131</v>
      </c>
      <c r="C202" s="24" t="str">
        <f aca="false">INDEX(Products!$B$2:$B$49,MATCH(B202,Products!$A$2:$A$49,0))</f>
        <v>Fresh Milk 500ml</v>
      </c>
      <c r="D202" s="24" t="str">
        <f aca="false">INDEX(Products!$C$2:$C$49,MATCH(B202,Products!$A$2:$A$49,0))</f>
        <v>Dairy &amp; Eggs</v>
      </c>
      <c r="E202" s="33" t="n">
        <v>54</v>
      </c>
      <c r="F202" s="33" t="n">
        <v>46</v>
      </c>
      <c r="G202" s="35" t="n">
        <f aca="false">SUMIFS(Sales!$D$2:$D$6001,Sales!$B$2:$B$6001,A202,Sales!$C$2:$C$6001,B202,Sales!$A$2:$A$6001,"&gt;="&amp;(Assumptions!$B$4-7*Assumptions!$B$13+1))/Assumptions!$B$13</f>
        <v>31</v>
      </c>
      <c r="H202" s="35" t="n">
        <f aca="false">IFERROR(E202/G202,999)</f>
        <v>1.74193548387097</v>
      </c>
      <c r="I202" s="24" t="str">
        <f aca="false">IF(H202&lt;Assumptions!$B$9,"Stock-out risk",IF(H202&lt;Assumptions!$B$10,"Low",IF(H202&gt;Assumptions!$B$11,"Overstock","Healthy")))</f>
        <v>Low</v>
      </c>
      <c r="J202" s="33" t="n">
        <f aca="false">E202*INDEX(Products!$D$2:$D$49,MATCH(B202,Products!$A$2:$A$49,0))</f>
        <v>2754</v>
      </c>
      <c r="K202" s="24" t="str">
        <f aca="false">IF(E202&lt;=F202,"Yes","No")</f>
        <v>No</v>
      </c>
    </row>
    <row r="203" customFormat="false" ht="15" hidden="false" customHeight="false" outlineLevel="0" collapsed="false">
      <c r="A203" s="24" t="s">
        <v>65</v>
      </c>
      <c r="B203" s="24" t="s">
        <v>133</v>
      </c>
      <c r="C203" s="24" t="str">
        <f aca="false">INDEX(Products!$B$2:$B$49,MATCH(B203,Products!$A$2:$A$49,0))</f>
        <v>Fresh Milk 1L</v>
      </c>
      <c r="D203" s="24" t="str">
        <f aca="false">INDEX(Products!$C$2:$C$49,MATCH(B203,Products!$A$2:$A$49,0))</f>
        <v>Dairy &amp; Eggs</v>
      </c>
      <c r="E203" s="33" t="n">
        <v>331</v>
      </c>
      <c r="F203" s="33" t="n">
        <v>105</v>
      </c>
      <c r="G203" s="35" t="n">
        <f aca="false">SUMIFS(Sales!$D$2:$D$6001,Sales!$B$2:$B$6001,A203,Sales!$C$2:$C$6001,B203,Sales!$A$2:$A$6001,"&gt;="&amp;(Assumptions!$B$4-7*Assumptions!$B$13+1))/Assumptions!$B$13</f>
        <v>69.875</v>
      </c>
      <c r="H203" s="35" t="n">
        <f aca="false">IFERROR(E203/G203,999)</f>
        <v>4.73703041144902</v>
      </c>
      <c r="I203" s="24" t="str">
        <f aca="false">IF(H203&lt;Assumptions!$B$9,"Stock-out risk",IF(H203&lt;Assumptions!$B$10,"Low",IF(H203&gt;Assumptions!$B$11,"Overstock","Healthy")))</f>
        <v>Healthy</v>
      </c>
      <c r="J203" s="33" t="n">
        <f aca="false">E203*INDEX(Products!$D$2:$D$49,MATCH(B203,Products!$A$2:$A$49,0))</f>
        <v>34424</v>
      </c>
      <c r="K203" s="24" t="str">
        <f aca="false">IF(E203&lt;=F203,"Yes","No")</f>
        <v>No</v>
      </c>
    </row>
    <row r="204" customFormat="false" ht="15" hidden="false" customHeight="false" outlineLevel="0" collapsed="false">
      <c r="A204" s="24" t="s">
        <v>65</v>
      </c>
      <c r="B204" s="24" t="s">
        <v>135</v>
      </c>
      <c r="C204" s="24" t="str">
        <f aca="false">INDEX(Products!$B$2:$B$49,MATCH(B204,Products!$A$2:$A$49,0))</f>
        <v>Yoghurt 500ml</v>
      </c>
      <c r="D204" s="24" t="str">
        <f aca="false">INDEX(Products!$C$2:$C$49,MATCH(B204,Products!$A$2:$A$49,0))</f>
        <v>Dairy &amp; Eggs</v>
      </c>
      <c r="E204" s="33" t="n">
        <v>139</v>
      </c>
      <c r="F204" s="33" t="n">
        <v>60</v>
      </c>
      <c r="G204" s="35" t="n">
        <f aca="false">SUMIFS(Sales!$D$2:$D$6001,Sales!$B$2:$B$6001,A204,Sales!$C$2:$C$6001,B204,Sales!$A$2:$A$6001,"&gt;="&amp;(Assumptions!$B$4-7*Assumptions!$B$13+1))/Assumptions!$B$13</f>
        <v>39.875</v>
      </c>
      <c r="H204" s="35" t="n">
        <f aca="false">IFERROR(E204/G204,999)</f>
        <v>3.4858934169279</v>
      </c>
      <c r="I204" s="24" t="str">
        <f aca="false">IF(H204&lt;Assumptions!$B$9,"Stock-out risk",IF(H204&lt;Assumptions!$B$10,"Low",IF(H204&gt;Assumptions!$B$11,"Overstock","Healthy")))</f>
        <v>Healthy</v>
      </c>
      <c r="J204" s="33" t="n">
        <f aca="false">E204*INDEX(Products!$D$2:$D$49,MATCH(B204,Products!$A$2:$A$49,0))</f>
        <v>15290</v>
      </c>
      <c r="K204" s="24" t="str">
        <f aca="false">IF(E204&lt;=F204,"Yes","No")</f>
        <v>No</v>
      </c>
    </row>
    <row r="205" customFormat="false" ht="15" hidden="false" customHeight="false" outlineLevel="0" collapsed="false">
      <c r="A205" s="24" t="s">
        <v>65</v>
      </c>
      <c r="B205" s="24" t="s">
        <v>137</v>
      </c>
      <c r="C205" s="24" t="str">
        <f aca="false">INDEX(Products!$B$2:$B$49,MATCH(B205,Products!$A$2:$A$49,0))</f>
        <v>Butter 250g</v>
      </c>
      <c r="D205" s="24" t="str">
        <f aca="false">INDEX(Products!$C$2:$C$49,MATCH(B205,Products!$A$2:$A$49,0))</f>
        <v>Dairy &amp; Eggs</v>
      </c>
      <c r="E205" s="33" t="n">
        <v>640</v>
      </c>
      <c r="F205" s="33" t="n">
        <v>161</v>
      </c>
      <c r="G205" s="35" t="n">
        <f aca="false">SUMIFS(Sales!$D$2:$D$6001,Sales!$B$2:$B$6001,A205,Sales!$C$2:$C$6001,B205,Sales!$A$2:$A$6001,"&gt;="&amp;(Assumptions!$B$4-7*Assumptions!$B$13+1))/Assumptions!$B$13</f>
        <v>107.375</v>
      </c>
      <c r="H205" s="35" t="n">
        <f aca="false">IFERROR(E205/G205,999)</f>
        <v>5.9604190919674</v>
      </c>
      <c r="I205" s="24" t="str">
        <f aca="false">IF(H205&lt;Assumptions!$B$9,"Stock-out risk",IF(H205&lt;Assumptions!$B$10,"Low",IF(H205&gt;Assumptions!$B$11,"Overstock","Healthy")))</f>
        <v>Healthy</v>
      </c>
      <c r="J205" s="33" t="n">
        <f aca="false">E205*INDEX(Products!$D$2:$D$49,MATCH(B205,Products!$A$2:$A$49,0))</f>
        <v>171520</v>
      </c>
      <c r="K205" s="24" t="str">
        <f aca="false">IF(E205&lt;=F205,"Yes","No")</f>
        <v>No</v>
      </c>
    </row>
    <row r="206" customFormat="false" ht="15" hidden="false" customHeight="false" outlineLevel="0" collapsed="false">
      <c r="A206" s="24" t="s">
        <v>65</v>
      </c>
      <c r="B206" s="24" t="s">
        <v>139</v>
      </c>
      <c r="C206" s="24" t="str">
        <f aca="false">INDEX(Products!$B$2:$B$49,MATCH(B206,Products!$A$2:$A$49,0))</f>
        <v>Eggs Tray of 30</v>
      </c>
      <c r="D206" s="24" t="str">
        <f aca="false">INDEX(Products!$C$2:$C$49,MATCH(B206,Products!$A$2:$A$49,0))</f>
        <v>Dairy &amp; Eggs</v>
      </c>
      <c r="E206" s="33" t="n">
        <v>427</v>
      </c>
      <c r="F206" s="33" t="n">
        <v>284</v>
      </c>
      <c r="G206" s="35" t="n">
        <f aca="false">SUMIFS(Sales!$D$2:$D$6001,Sales!$B$2:$B$6001,A206,Sales!$C$2:$C$6001,B206,Sales!$A$2:$A$6001,"&gt;="&amp;(Assumptions!$B$4-7*Assumptions!$B$13+1))/Assumptions!$B$13</f>
        <v>189.25</v>
      </c>
      <c r="H206" s="35" t="n">
        <f aca="false">IFERROR(E206/G206,999)</f>
        <v>2.25627476882431</v>
      </c>
      <c r="I206" s="24" t="str">
        <f aca="false">IF(H206&lt;Assumptions!$B$9,"Stock-out risk",IF(H206&lt;Assumptions!$B$10,"Low",IF(H206&gt;Assumptions!$B$11,"Overstock","Healthy")))</f>
        <v>Healthy</v>
      </c>
      <c r="J206" s="33" t="n">
        <f aca="false">E206*INDEX(Products!$D$2:$D$49,MATCH(B206,Products!$A$2:$A$49,0))</f>
        <v>183183</v>
      </c>
      <c r="K206" s="24" t="str">
        <f aca="false">IF(E206&lt;=F206,"Yes","No")</f>
        <v>No</v>
      </c>
    </row>
    <row r="207" customFormat="false" ht="15" hidden="false" customHeight="false" outlineLevel="0" collapsed="false">
      <c r="A207" s="24" t="s">
        <v>65</v>
      </c>
      <c r="B207" s="24" t="s">
        <v>141</v>
      </c>
      <c r="C207" s="24" t="str">
        <f aca="false">INDEX(Products!$B$2:$B$49,MATCH(B207,Products!$A$2:$A$49,0))</f>
        <v>Cheese Slices 200g</v>
      </c>
      <c r="D207" s="24" t="str">
        <f aca="false">INDEX(Products!$C$2:$C$49,MATCH(B207,Products!$A$2:$A$49,0))</f>
        <v>Dairy &amp; Eggs</v>
      </c>
      <c r="E207" s="33" t="n">
        <v>411</v>
      </c>
      <c r="F207" s="33" t="n">
        <v>385</v>
      </c>
      <c r="G207" s="35" t="n">
        <f aca="false">SUMIFS(Sales!$D$2:$D$6001,Sales!$B$2:$B$6001,A207,Sales!$C$2:$C$6001,B207,Sales!$A$2:$A$6001,"&gt;="&amp;(Assumptions!$B$4-7*Assumptions!$B$13+1))/Assumptions!$B$13</f>
        <v>256.625</v>
      </c>
      <c r="H207" s="35" t="n">
        <f aca="false">IFERROR(E207/G207,999)</f>
        <v>1.60155869459328</v>
      </c>
      <c r="I207" s="24" t="str">
        <f aca="false">IF(H207&lt;Assumptions!$B$9,"Stock-out risk",IF(H207&lt;Assumptions!$B$10,"Low",IF(H207&gt;Assumptions!$B$11,"Overstock","Healthy")))</f>
        <v>Low</v>
      </c>
      <c r="J207" s="33" t="n">
        <f aca="false">E207*INDEX(Products!$D$2:$D$49,MATCH(B207,Products!$A$2:$A$49,0))</f>
        <v>137685</v>
      </c>
      <c r="K207" s="24" t="str">
        <f aca="false">IF(E207&lt;=F207,"Yes","No")</f>
        <v>No</v>
      </c>
    </row>
    <row r="208" customFormat="false" ht="15" hidden="false" customHeight="false" outlineLevel="0" collapsed="false">
      <c r="A208" s="24" t="s">
        <v>65</v>
      </c>
      <c r="B208" s="24" t="s">
        <v>143</v>
      </c>
      <c r="C208" s="24" t="str">
        <f aca="false">INDEX(Products!$B$2:$B$49,MATCH(B208,Products!$A$2:$A$49,0))</f>
        <v>Cooking Fat 500g</v>
      </c>
      <c r="D208" s="24" t="str">
        <f aca="false">INDEX(Products!$C$2:$C$49,MATCH(B208,Products!$A$2:$A$49,0))</f>
        <v>Dairy &amp; Eggs</v>
      </c>
      <c r="E208" s="33" t="n">
        <v>474</v>
      </c>
      <c r="F208" s="33" t="n">
        <v>44</v>
      </c>
      <c r="G208" s="35" t="n">
        <f aca="false">SUMIFS(Sales!$D$2:$D$6001,Sales!$B$2:$B$6001,A208,Sales!$C$2:$C$6001,B208,Sales!$A$2:$A$6001,"&gt;="&amp;(Assumptions!$B$4-7*Assumptions!$B$13+1))/Assumptions!$B$13</f>
        <v>29.625</v>
      </c>
      <c r="H208" s="35" t="n">
        <f aca="false">IFERROR(E208/G208,999)</f>
        <v>16</v>
      </c>
      <c r="I208" s="24" t="str">
        <f aca="false">IF(H208&lt;Assumptions!$B$9,"Stock-out risk",IF(H208&lt;Assumptions!$B$10,"Low",IF(H208&gt;Assumptions!$B$11,"Overstock","Healthy")))</f>
        <v>Overstock</v>
      </c>
      <c r="J208" s="33" t="n">
        <f aca="false">E208*INDEX(Products!$D$2:$D$49,MATCH(B208,Products!$A$2:$A$49,0))</f>
        <v>89586</v>
      </c>
      <c r="K208" s="24" t="str">
        <f aca="false">IF(E208&lt;=F208,"Yes","No")</f>
        <v>No</v>
      </c>
    </row>
    <row r="209" customFormat="false" ht="15" hidden="false" customHeight="false" outlineLevel="0" collapsed="false">
      <c r="A209" s="24" t="s">
        <v>65</v>
      </c>
      <c r="B209" s="24" t="s">
        <v>145</v>
      </c>
      <c r="C209" s="24" t="str">
        <f aca="false">INDEX(Products!$B$2:$B$49,MATCH(B209,Products!$A$2:$A$49,0))</f>
        <v>UHT Milk 1L</v>
      </c>
      <c r="D209" s="24" t="str">
        <f aca="false">INDEX(Products!$C$2:$C$49,MATCH(B209,Products!$A$2:$A$49,0))</f>
        <v>Dairy &amp; Eggs</v>
      </c>
      <c r="E209" s="33" t="n">
        <v>206</v>
      </c>
      <c r="F209" s="33" t="n">
        <v>101</v>
      </c>
      <c r="G209" s="35" t="n">
        <f aca="false">SUMIFS(Sales!$D$2:$D$6001,Sales!$B$2:$B$6001,A209,Sales!$C$2:$C$6001,B209,Sales!$A$2:$A$6001,"&gt;="&amp;(Assumptions!$B$4-7*Assumptions!$B$13+1))/Assumptions!$B$13</f>
        <v>67.25</v>
      </c>
      <c r="H209" s="35" t="n">
        <f aca="false">IFERROR(E209/G209,999)</f>
        <v>3.06319702602231</v>
      </c>
      <c r="I209" s="24" t="str">
        <f aca="false">IF(H209&lt;Assumptions!$B$9,"Stock-out risk",IF(H209&lt;Assumptions!$B$10,"Low",IF(H209&gt;Assumptions!$B$11,"Overstock","Healthy")))</f>
        <v>Healthy</v>
      </c>
      <c r="J209" s="33" t="n">
        <f aca="false">E209*INDEX(Products!$D$2:$D$49,MATCH(B209,Products!$A$2:$A$49,0))</f>
        <v>23072</v>
      </c>
      <c r="K209" s="24" t="str">
        <f aca="false">IF(E209&lt;=F209,"Yes","No")</f>
        <v>No</v>
      </c>
    </row>
    <row r="210" customFormat="false" ht="15" hidden="false" customHeight="false" outlineLevel="0" collapsed="false">
      <c r="A210" s="24" t="s">
        <v>65</v>
      </c>
      <c r="B210" s="24" t="s">
        <v>147</v>
      </c>
      <c r="C210" s="24" t="str">
        <f aca="false">INDEX(Products!$B$2:$B$49,MATCH(B210,Products!$A$2:$A$49,0))</f>
        <v>Soda 500ml</v>
      </c>
      <c r="D210" s="24" t="str">
        <f aca="false">INDEX(Products!$C$2:$C$49,MATCH(B210,Products!$A$2:$A$49,0))</f>
        <v>Beverages</v>
      </c>
      <c r="E210" s="33" t="n">
        <v>578</v>
      </c>
      <c r="F210" s="33" t="n">
        <v>228</v>
      </c>
      <c r="G210" s="35" t="n">
        <f aca="false">SUMIFS(Sales!$D$2:$D$6001,Sales!$B$2:$B$6001,A210,Sales!$C$2:$C$6001,B210,Sales!$A$2:$A$6001,"&gt;="&amp;(Assumptions!$B$4-7*Assumptions!$B$13+1))/Assumptions!$B$13</f>
        <v>151.875</v>
      </c>
      <c r="H210" s="35" t="n">
        <f aca="false">IFERROR(E210/G210,999)</f>
        <v>3.80576131687243</v>
      </c>
      <c r="I210" s="24" t="str">
        <f aca="false">IF(H210&lt;Assumptions!$B$9,"Stock-out risk",IF(H210&lt;Assumptions!$B$10,"Low",IF(H210&gt;Assumptions!$B$11,"Overstock","Healthy")))</f>
        <v>Healthy</v>
      </c>
      <c r="J210" s="33" t="n">
        <f aca="false">E210*INDEX(Products!$D$2:$D$49,MATCH(B210,Products!$A$2:$A$49,0))</f>
        <v>31212</v>
      </c>
      <c r="K210" s="24" t="str">
        <f aca="false">IF(E210&lt;=F210,"Yes","No")</f>
        <v>No</v>
      </c>
    </row>
    <row r="211" customFormat="false" ht="15" hidden="false" customHeight="false" outlineLevel="0" collapsed="false">
      <c r="A211" s="24" t="s">
        <v>65</v>
      </c>
      <c r="B211" s="24" t="s">
        <v>149</v>
      </c>
      <c r="C211" s="24" t="str">
        <f aca="false">INDEX(Products!$B$2:$B$49,MATCH(B211,Products!$A$2:$A$49,0))</f>
        <v>Soda 2L</v>
      </c>
      <c r="D211" s="24" t="str">
        <f aca="false">INDEX(Products!$C$2:$C$49,MATCH(B211,Products!$A$2:$A$49,0))</f>
        <v>Beverages</v>
      </c>
      <c r="E211" s="33" t="n">
        <v>154</v>
      </c>
      <c r="F211" s="33" t="n">
        <v>175</v>
      </c>
      <c r="G211" s="35" t="n">
        <f aca="false">SUMIFS(Sales!$D$2:$D$6001,Sales!$B$2:$B$6001,A211,Sales!$C$2:$C$6001,B211,Sales!$A$2:$A$6001,"&gt;="&amp;(Assumptions!$B$4-7*Assumptions!$B$13+1))/Assumptions!$B$13</f>
        <v>116.625</v>
      </c>
      <c r="H211" s="35" t="n">
        <f aca="false">IFERROR(E211/G211,999)</f>
        <v>1.32047159699893</v>
      </c>
      <c r="I211" s="24" t="str">
        <f aca="false">IF(H211&lt;Assumptions!$B$9,"Stock-out risk",IF(H211&lt;Assumptions!$B$10,"Low",IF(H211&gt;Assumptions!$B$11,"Overstock","Healthy")))</f>
        <v>Low</v>
      </c>
      <c r="J211" s="33" t="n">
        <f aca="false">E211*INDEX(Products!$D$2:$D$49,MATCH(B211,Products!$A$2:$A$49,0))</f>
        <v>23408</v>
      </c>
      <c r="K211" s="24" t="str">
        <f aca="false">IF(E211&lt;=F211,"Yes","No")</f>
        <v>Yes</v>
      </c>
    </row>
    <row r="212" customFormat="false" ht="15" hidden="false" customHeight="false" outlineLevel="0" collapsed="false">
      <c r="A212" s="24" t="s">
        <v>65</v>
      </c>
      <c r="B212" s="24" t="s">
        <v>151</v>
      </c>
      <c r="C212" s="24" t="str">
        <f aca="false">INDEX(Products!$B$2:$B$49,MATCH(B212,Products!$A$2:$A$49,0))</f>
        <v>Mango Juice 1L</v>
      </c>
      <c r="D212" s="24" t="str">
        <f aca="false">INDEX(Products!$C$2:$C$49,MATCH(B212,Products!$A$2:$A$49,0))</f>
        <v>Beverages</v>
      </c>
      <c r="E212" s="33" t="n">
        <v>124</v>
      </c>
      <c r="F212" s="33" t="n">
        <v>127</v>
      </c>
      <c r="G212" s="35" t="n">
        <f aca="false">SUMIFS(Sales!$D$2:$D$6001,Sales!$B$2:$B$6001,A212,Sales!$C$2:$C$6001,B212,Sales!$A$2:$A$6001,"&gt;="&amp;(Assumptions!$B$4-7*Assumptions!$B$13+1))/Assumptions!$B$13</f>
        <v>84.375</v>
      </c>
      <c r="H212" s="35" t="n">
        <f aca="false">IFERROR(E212/G212,999)</f>
        <v>1.46962962962963</v>
      </c>
      <c r="I212" s="24" t="str">
        <f aca="false">IF(H212&lt;Assumptions!$B$9,"Stock-out risk",IF(H212&lt;Assumptions!$B$10,"Low",IF(H212&gt;Assumptions!$B$11,"Overstock","Healthy")))</f>
        <v>Low</v>
      </c>
      <c r="J212" s="33" t="n">
        <f aca="false">E212*INDEX(Products!$D$2:$D$49,MATCH(B212,Products!$A$2:$A$49,0))</f>
        <v>18476</v>
      </c>
      <c r="K212" s="24" t="str">
        <f aca="false">IF(E212&lt;=F212,"Yes","No")</f>
        <v>Yes</v>
      </c>
    </row>
    <row r="213" customFormat="false" ht="15" hidden="false" customHeight="false" outlineLevel="0" collapsed="false">
      <c r="A213" s="24" t="s">
        <v>65</v>
      </c>
      <c r="B213" s="24" t="s">
        <v>153</v>
      </c>
      <c r="C213" s="24" t="str">
        <f aca="false">INDEX(Products!$B$2:$B$49,MATCH(B213,Products!$A$2:$A$49,0))</f>
        <v>Bottled Water 1L</v>
      </c>
      <c r="D213" s="24" t="str">
        <f aca="false">INDEX(Products!$C$2:$C$49,MATCH(B213,Products!$A$2:$A$49,0))</f>
        <v>Beverages</v>
      </c>
      <c r="E213" s="33" t="n">
        <v>178</v>
      </c>
      <c r="F213" s="33" t="n">
        <v>67</v>
      </c>
      <c r="G213" s="35" t="n">
        <f aca="false">SUMIFS(Sales!$D$2:$D$6001,Sales!$B$2:$B$6001,A213,Sales!$C$2:$C$6001,B213,Sales!$A$2:$A$6001,"&gt;="&amp;(Assumptions!$B$4-7*Assumptions!$B$13+1))/Assumptions!$B$13</f>
        <v>44.375</v>
      </c>
      <c r="H213" s="35" t="n">
        <f aca="false">IFERROR(E213/G213,999)</f>
        <v>4.0112676056338</v>
      </c>
      <c r="I213" s="24" t="str">
        <f aca="false">IF(H213&lt;Assumptions!$B$9,"Stock-out risk",IF(H213&lt;Assumptions!$B$10,"Low",IF(H213&gt;Assumptions!$B$11,"Overstock","Healthy")))</f>
        <v>Healthy</v>
      </c>
      <c r="J213" s="33" t="n">
        <f aca="false">E213*INDEX(Products!$D$2:$D$49,MATCH(B213,Products!$A$2:$A$49,0))</f>
        <v>6230</v>
      </c>
      <c r="K213" s="24" t="str">
        <f aca="false">IF(E213&lt;=F213,"Yes","No")</f>
        <v>No</v>
      </c>
    </row>
    <row r="214" customFormat="false" ht="15" hidden="false" customHeight="false" outlineLevel="0" collapsed="false">
      <c r="A214" s="24" t="s">
        <v>65</v>
      </c>
      <c r="B214" s="24" t="s">
        <v>155</v>
      </c>
      <c r="C214" s="24" t="str">
        <f aca="false">INDEX(Products!$B$2:$B$49,MATCH(B214,Products!$A$2:$A$49,0))</f>
        <v>Bottled Water 500ml</v>
      </c>
      <c r="D214" s="24" t="str">
        <f aca="false">INDEX(Products!$C$2:$C$49,MATCH(B214,Products!$A$2:$A$49,0))</f>
        <v>Beverages</v>
      </c>
      <c r="E214" s="33" t="n">
        <v>447</v>
      </c>
      <c r="F214" s="33" t="n">
        <v>143</v>
      </c>
      <c r="G214" s="35" t="n">
        <f aca="false">SUMIFS(Sales!$D$2:$D$6001,Sales!$B$2:$B$6001,A214,Sales!$C$2:$C$6001,B214,Sales!$A$2:$A$6001,"&gt;="&amp;(Assumptions!$B$4-7*Assumptions!$B$13+1))/Assumptions!$B$13</f>
        <v>95.625</v>
      </c>
      <c r="H214" s="35" t="n">
        <f aca="false">IFERROR(E214/G214,999)</f>
        <v>4.67450980392157</v>
      </c>
      <c r="I214" s="24" t="str">
        <f aca="false">IF(H214&lt;Assumptions!$B$9,"Stock-out risk",IF(H214&lt;Assumptions!$B$10,"Low",IF(H214&gt;Assumptions!$B$11,"Overstock","Healthy")))</f>
        <v>Healthy</v>
      </c>
      <c r="J214" s="33" t="n">
        <f aca="false">E214*INDEX(Products!$D$2:$D$49,MATCH(B214,Products!$A$2:$A$49,0))</f>
        <v>11622</v>
      </c>
      <c r="K214" s="24" t="str">
        <f aca="false">IF(E214&lt;=F214,"Yes","No")</f>
        <v>No</v>
      </c>
    </row>
    <row r="215" customFormat="false" ht="15" hidden="false" customHeight="false" outlineLevel="0" collapsed="false">
      <c r="A215" s="24" t="s">
        <v>65</v>
      </c>
      <c r="B215" s="24" t="s">
        <v>157</v>
      </c>
      <c r="C215" s="24" t="str">
        <f aca="false">INDEX(Products!$B$2:$B$49,MATCH(B215,Products!$A$2:$A$49,0))</f>
        <v>Energy Drink 300ml</v>
      </c>
      <c r="D215" s="24" t="str">
        <f aca="false">INDEX(Products!$C$2:$C$49,MATCH(B215,Products!$A$2:$A$49,0))</f>
        <v>Beverages</v>
      </c>
      <c r="E215" s="33" t="n">
        <v>100</v>
      </c>
      <c r="F215" s="33" t="n">
        <v>102</v>
      </c>
      <c r="G215" s="35" t="n">
        <f aca="false">SUMIFS(Sales!$D$2:$D$6001,Sales!$B$2:$B$6001,A215,Sales!$C$2:$C$6001,B215,Sales!$A$2:$A$6001,"&gt;="&amp;(Assumptions!$B$4-7*Assumptions!$B$13+1))/Assumptions!$B$13</f>
        <v>68.125</v>
      </c>
      <c r="H215" s="35" t="n">
        <f aca="false">IFERROR(E215/G215,999)</f>
        <v>1.46788990825688</v>
      </c>
      <c r="I215" s="24" t="str">
        <f aca="false">IF(H215&lt;Assumptions!$B$9,"Stock-out risk",IF(H215&lt;Assumptions!$B$10,"Low",IF(H215&gt;Assumptions!$B$11,"Overstock","Healthy")))</f>
        <v>Low</v>
      </c>
      <c r="J215" s="33" t="n">
        <f aca="false">E215*INDEX(Products!$D$2:$D$49,MATCH(B215,Products!$A$2:$A$49,0))</f>
        <v>8800</v>
      </c>
      <c r="K215" s="24" t="str">
        <f aca="false">IF(E215&lt;=F215,"Yes","No")</f>
        <v>Yes</v>
      </c>
    </row>
    <row r="216" customFormat="false" ht="15" hidden="false" customHeight="false" outlineLevel="0" collapsed="false">
      <c r="A216" s="24" t="s">
        <v>65</v>
      </c>
      <c r="B216" s="24" t="s">
        <v>159</v>
      </c>
      <c r="C216" s="24" t="str">
        <f aca="false">INDEX(Products!$B$2:$B$49,MATCH(B216,Products!$A$2:$A$49,0))</f>
        <v>Instant Coffee 100g</v>
      </c>
      <c r="D216" s="24" t="str">
        <f aca="false">INDEX(Products!$C$2:$C$49,MATCH(B216,Products!$A$2:$A$49,0))</f>
        <v>Beverages</v>
      </c>
      <c r="E216" s="33" t="n">
        <v>120</v>
      </c>
      <c r="F216" s="33" t="n">
        <v>97</v>
      </c>
      <c r="G216" s="35" t="n">
        <f aca="false">SUMIFS(Sales!$D$2:$D$6001,Sales!$B$2:$B$6001,A216,Sales!$C$2:$C$6001,B216,Sales!$A$2:$A$6001,"&gt;="&amp;(Assumptions!$B$4-7*Assumptions!$B$13+1))/Assumptions!$B$13</f>
        <v>64.375</v>
      </c>
      <c r="H216" s="35" t="n">
        <f aca="false">IFERROR(E216/G216,999)</f>
        <v>1.86407766990291</v>
      </c>
      <c r="I216" s="24" t="str">
        <f aca="false">IF(H216&lt;Assumptions!$B$9,"Stock-out risk",IF(H216&lt;Assumptions!$B$10,"Low",IF(H216&gt;Assumptions!$B$11,"Overstock","Healthy")))</f>
        <v>Low</v>
      </c>
      <c r="J216" s="33" t="n">
        <f aca="false">E216*INDEX(Products!$D$2:$D$49,MATCH(B216,Products!$A$2:$A$49,0))</f>
        <v>42960</v>
      </c>
      <c r="K216" s="24" t="str">
        <f aca="false">IF(E216&lt;=F216,"Yes","No")</f>
        <v>No</v>
      </c>
    </row>
    <row r="217" customFormat="false" ht="15" hidden="false" customHeight="false" outlineLevel="0" collapsed="false">
      <c r="A217" s="24" t="s">
        <v>65</v>
      </c>
      <c r="B217" s="24" t="s">
        <v>161</v>
      </c>
      <c r="C217" s="24" t="str">
        <f aca="false">INDEX(Products!$B$2:$B$49,MATCH(B217,Products!$A$2:$A$49,0))</f>
        <v>Drinking Chocolate 250g</v>
      </c>
      <c r="D217" s="24" t="str">
        <f aca="false">INDEX(Products!$C$2:$C$49,MATCH(B217,Products!$A$2:$A$49,0))</f>
        <v>Beverages</v>
      </c>
      <c r="E217" s="33" t="n">
        <v>152</v>
      </c>
      <c r="F217" s="33" t="n">
        <v>81</v>
      </c>
      <c r="G217" s="35" t="n">
        <f aca="false">SUMIFS(Sales!$D$2:$D$6001,Sales!$B$2:$B$6001,A217,Sales!$C$2:$C$6001,B217,Sales!$A$2:$A$6001,"&gt;="&amp;(Assumptions!$B$4-7*Assumptions!$B$13+1))/Assumptions!$B$13</f>
        <v>53.75</v>
      </c>
      <c r="H217" s="35" t="n">
        <f aca="false">IFERROR(E217/G217,999)</f>
        <v>2.82790697674419</v>
      </c>
      <c r="I217" s="24" t="str">
        <f aca="false">IF(H217&lt;Assumptions!$B$9,"Stock-out risk",IF(H217&lt;Assumptions!$B$10,"Low",IF(H217&gt;Assumptions!$B$11,"Overstock","Healthy")))</f>
        <v>Healthy</v>
      </c>
      <c r="J217" s="33" t="n">
        <f aca="false">E217*INDEX(Products!$D$2:$D$49,MATCH(B217,Products!$A$2:$A$49,0))</f>
        <v>46056</v>
      </c>
      <c r="K217" s="24" t="str">
        <f aca="false">IF(E217&lt;=F217,"Yes","No")</f>
        <v>No</v>
      </c>
    </row>
    <row r="218" customFormat="false" ht="15" hidden="false" customHeight="false" outlineLevel="0" collapsed="false">
      <c r="A218" s="24" t="s">
        <v>65</v>
      </c>
      <c r="B218" s="24" t="s">
        <v>163</v>
      </c>
      <c r="C218" s="24" t="str">
        <f aca="false">INDEX(Products!$B$2:$B$49,MATCH(B218,Products!$A$2:$A$49,0))</f>
        <v>Laundry Detergent 1kg</v>
      </c>
      <c r="D218" s="24" t="str">
        <f aca="false">INDEX(Products!$C$2:$C$49,MATCH(B218,Products!$A$2:$A$49,0))</f>
        <v>Household</v>
      </c>
      <c r="E218" s="33" t="n">
        <v>487</v>
      </c>
      <c r="F218" s="33" t="n">
        <v>99</v>
      </c>
      <c r="G218" s="35" t="n">
        <f aca="false">SUMIFS(Sales!$D$2:$D$6001,Sales!$B$2:$B$6001,A218,Sales!$C$2:$C$6001,B218,Sales!$A$2:$A$6001,"&gt;="&amp;(Assumptions!$B$4-7*Assumptions!$B$13+1))/Assumptions!$B$13</f>
        <v>65.875</v>
      </c>
      <c r="H218" s="35" t="n">
        <f aca="false">IFERROR(E218/G218,999)</f>
        <v>7.39278937381404</v>
      </c>
      <c r="I218" s="24" t="str">
        <f aca="false">IF(H218&lt;Assumptions!$B$9,"Stock-out risk",IF(H218&lt;Assumptions!$B$10,"Low",IF(H218&gt;Assumptions!$B$11,"Overstock","Healthy")))</f>
        <v>Healthy</v>
      </c>
      <c r="J218" s="33" t="n">
        <f aca="false">E218*INDEX(Products!$D$2:$D$49,MATCH(B218,Products!$A$2:$A$49,0))</f>
        <v>111523</v>
      </c>
      <c r="K218" s="24" t="str">
        <f aca="false">IF(E218&lt;=F218,"Yes","No")</f>
        <v>No</v>
      </c>
    </row>
    <row r="219" customFormat="false" ht="15" hidden="false" customHeight="false" outlineLevel="0" collapsed="false">
      <c r="A219" s="24" t="s">
        <v>65</v>
      </c>
      <c r="B219" s="24" t="s">
        <v>165</v>
      </c>
      <c r="C219" s="24" t="str">
        <f aca="false">INDEX(Products!$B$2:$B$49,MATCH(B219,Products!$A$2:$A$49,0))</f>
        <v>Dish Soap 750ml</v>
      </c>
      <c r="D219" s="24" t="str">
        <f aca="false">INDEX(Products!$C$2:$C$49,MATCH(B219,Products!$A$2:$A$49,0))</f>
        <v>Household</v>
      </c>
      <c r="E219" s="33" t="n">
        <v>149</v>
      </c>
      <c r="F219" s="33" t="n">
        <v>90</v>
      </c>
      <c r="G219" s="35" t="n">
        <f aca="false">SUMIFS(Sales!$D$2:$D$6001,Sales!$B$2:$B$6001,A219,Sales!$C$2:$C$6001,B219,Sales!$A$2:$A$6001,"&gt;="&amp;(Assumptions!$B$4-7*Assumptions!$B$13+1))/Assumptions!$B$13</f>
        <v>60</v>
      </c>
      <c r="H219" s="35" t="n">
        <f aca="false">IFERROR(E219/G219,999)</f>
        <v>2.48333333333333</v>
      </c>
      <c r="I219" s="24" t="str">
        <f aca="false">IF(H219&lt;Assumptions!$B$9,"Stock-out risk",IF(H219&lt;Assumptions!$B$10,"Low",IF(H219&gt;Assumptions!$B$11,"Overstock","Healthy")))</f>
        <v>Healthy</v>
      </c>
      <c r="J219" s="33" t="n">
        <f aca="false">E219*INDEX(Products!$D$2:$D$49,MATCH(B219,Products!$A$2:$A$49,0))</f>
        <v>20413</v>
      </c>
      <c r="K219" s="24" t="str">
        <f aca="false">IF(E219&lt;=F219,"Yes","No")</f>
        <v>No</v>
      </c>
    </row>
    <row r="220" customFormat="false" ht="15" hidden="false" customHeight="false" outlineLevel="0" collapsed="false">
      <c r="A220" s="24" t="s">
        <v>65</v>
      </c>
      <c r="B220" s="24" t="s">
        <v>167</v>
      </c>
      <c r="C220" s="24" t="str">
        <f aca="false">INDEX(Products!$B$2:$B$49,MATCH(B220,Products!$A$2:$A$49,0))</f>
        <v>Bar Soap 800g</v>
      </c>
      <c r="D220" s="24" t="str">
        <f aca="false">INDEX(Products!$C$2:$C$49,MATCH(B220,Products!$A$2:$A$49,0))</f>
        <v>Household</v>
      </c>
      <c r="E220" s="33" t="n">
        <v>546</v>
      </c>
      <c r="F220" s="33" t="n">
        <v>73</v>
      </c>
      <c r="G220" s="35" t="n">
        <f aca="false">SUMIFS(Sales!$D$2:$D$6001,Sales!$B$2:$B$6001,A220,Sales!$C$2:$C$6001,B220,Sales!$A$2:$A$6001,"&gt;="&amp;(Assumptions!$B$4-7*Assumptions!$B$13+1))/Assumptions!$B$13</f>
        <v>48.875</v>
      </c>
      <c r="H220" s="35" t="n">
        <f aca="false">IFERROR(E220/G220,999)</f>
        <v>11.1713554987212</v>
      </c>
      <c r="I220" s="24" t="str">
        <f aca="false">IF(H220&lt;Assumptions!$B$9,"Stock-out risk",IF(H220&lt;Assumptions!$B$10,"Low",IF(H220&gt;Assumptions!$B$11,"Overstock","Healthy")))</f>
        <v>Overstock</v>
      </c>
      <c r="J220" s="33" t="n">
        <f aca="false">E220*INDEX(Products!$D$2:$D$49,MATCH(B220,Products!$A$2:$A$49,0))</f>
        <v>61152</v>
      </c>
      <c r="K220" s="24" t="str">
        <f aca="false">IF(E220&lt;=F220,"Yes","No")</f>
        <v>No</v>
      </c>
    </row>
    <row r="221" customFormat="false" ht="15" hidden="false" customHeight="false" outlineLevel="0" collapsed="false">
      <c r="A221" s="24" t="s">
        <v>65</v>
      </c>
      <c r="B221" s="24" t="s">
        <v>169</v>
      </c>
      <c r="C221" s="24" t="str">
        <f aca="false">INDEX(Products!$B$2:$B$49,MATCH(B221,Products!$A$2:$A$49,0))</f>
        <v>Toilet Paper 10 Pack</v>
      </c>
      <c r="D221" s="24" t="str">
        <f aca="false">INDEX(Products!$C$2:$C$49,MATCH(B221,Products!$A$2:$A$49,0))</f>
        <v>Household</v>
      </c>
      <c r="E221" s="33" t="n">
        <v>151</v>
      </c>
      <c r="F221" s="33" t="n">
        <v>40</v>
      </c>
      <c r="G221" s="35" t="n">
        <f aca="false">SUMIFS(Sales!$D$2:$D$6001,Sales!$B$2:$B$6001,A221,Sales!$C$2:$C$6001,B221,Sales!$A$2:$A$6001,"&gt;="&amp;(Assumptions!$B$4-7*Assumptions!$B$13+1))/Assumptions!$B$13</f>
        <v>26.375</v>
      </c>
      <c r="H221" s="35" t="n">
        <f aca="false">IFERROR(E221/G221,999)</f>
        <v>5.72511848341232</v>
      </c>
      <c r="I221" s="24" t="str">
        <f aca="false">IF(H221&lt;Assumptions!$B$9,"Stock-out risk",IF(H221&lt;Assumptions!$B$10,"Low",IF(H221&gt;Assumptions!$B$11,"Overstock","Healthy")))</f>
        <v>Healthy</v>
      </c>
      <c r="J221" s="33" t="n">
        <f aca="false">E221*INDEX(Products!$D$2:$D$49,MATCH(B221,Products!$A$2:$A$49,0))</f>
        <v>47414</v>
      </c>
      <c r="K221" s="24" t="str">
        <f aca="false">IF(E221&lt;=F221,"Yes","No")</f>
        <v>No</v>
      </c>
    </row>
    <row r="222" customFormat="false" ht="15" hidden="false" customHeight="false" outlineLevel="0" collapsed="false">
      <c r="A222" s="24" t="s">
        <v>65</v>
      </c>
      <c r="B222" s="24" t="s">
        <v>171</v>
      </c>
      <c r="C222" s="24" t="str">
        <f aca="false">INDEX(Products!$B$2:$B$49,MATCH(B222,Products!$A$2:$A$49,0))</f>
        <v>Bleach 750ml</v>
      </c>
      <c r="D222" s="24" t="str">
        <f aca="false">INDEX(Products!$C$2:$C$49,MATCH(B222,Products!$A$2:$A$49,0))</f>
        <v>Household</v>
      </c>
      <c r="E222" s="33" t="n">
        <v>242</v>
      </c>
      <c r="F222" s="33" t="n">
        <v>38</v>
      </c>
      <c r="G222" s="35" t="n">
        <f aca="false">SUMIFS(Sales!$D$2:$D$6001,Sales!$B$2:$B$6001,A222,Sales!$C$2:$C$6001,B222,Sales!$A$2:$A$6001,"&gt;="&amp;(Assumptions!$B$4-7*Assumptions!$B$13+1))/Assumptions!$B$13</f>
        <v>25.125</v>
      </c>
      <c r="H222" s="35" t="n">
        <f aca="false">IFERROR(E222/G222,999)</f>
        <v>9.6318407960199</v>
      </c>
      <c r="I222" s="24" t="str">
        <f aca="false">IF(H222&lt;Assumptions!$B$9,"Stock-out risk",IF(H222&lt;Assumptions!$B$10,"Low",IF(H222&gt;Assumptions!$B$11,"Overstock","Healthy")))</f>
        <v>Overstock</v>
      </c>
      <c r="J222" s="33" t="n">
        <f aca="false">E222*INDEX(Products!$D$2:$D$49,MATCH(B222,Products!$A$2:$A$49,0))</f>
        <v>28072</v>
      </c>
      <c r="K222" s="24" t="str">
        <f aca="false">IF(E222&lt;=F222,"Yes","No")</f>
        <v>No</v>
      </c>
    </row>
    <row r="223" customFormat="false" ht="15" hidden="false" customHeight="false" outlineLevel="0" collapsed="false">
      <c r="A223" s="24" t="s">
        <v>65</v>
      </c>
      <c r="B223" s="24" t="s">
        <v>173</v>
      </c>
      <c r="C223" s="24" t="str">
        <f aca="false">INDEX(Products!$B$2:$B$49,MATCH(B223,Products!$A$2:$A$49,0))</f>
        <v>Floor Cleaner 1L</v>
      </c>
      <c r="D223" s="24" t="str">
        <f aca="false">INDEX(Products!$C$2:$C$49,MATCH(B223,Products!$A$2:$A$49,0))</f>
        <v>Household</v>
      </c>
      <c r="E223" s="33" t="n">
        <v>124</v>
      </c>
      <c r="F223" s="33" t="n">
        <v>62</v>
      </c>
      <c r="G223" s="35" t="n">
        <f aca="false">SUMIFS(Sales!$D$2:$D$6001,Sales!$B$2:$B$6001,A223,Sales!$C$2:$C$6001,B223,Sales!$A$2:$A$6001,"&gt;="&amp;(Assumptions!$B$4-7*Assumptions!$B$13+1))/Assumptions!$B$13</f>
        <v>41.625</v>
      </c>
      <c r="H223" s="35" t="n">
        <f aca="false">IFERROR(E223/G223,999)</f>
        <v>2.97897897897898</v>
      </c>
      <c r="I223" s="24" t="str">
        <f aca="false">IF(H223&lt;Assumptions!$B$9,"Stock-out risk",IF(H223&lt;Assumptions!$B$10,"Low",IF(H223&gt;Assumptions!$B$11,"Overstock","Healthy")))</f>
        <v>Healthy</v>
      </c>
      <c r="J223" s="33" t="n">
        <f aca="false">E223*INDEX(Products!$D$2:$D$49,MATCH(B223,Products!$A$2:$A$49,0))</f>
        <v>24552</v>
      </c>
      <c r="K223" s="24" t="str">
        <f aca="false">IF(E223&lt;=F223,"Yes","No")</f>
        <v>No</v>
      </c>
    </row>
    <row r="224" customFormat="false" ht="15" hidden="false" customHeight="false" outlineLevel="0" collapsed="false">
      <c r="A224" s="24" t="s">
        <v>65</v>
      </c>
      <c r="B224" s="24" t="s">
        <v>175</v>
      </c>
      <c r="C224" s="24" t="str">
        <f aca="false">INDEX(Products!$B$2:$B$49,MATCH(B224,Products!$A$2:$A$49,0))</f>
        <v>Matchbox 10 Pack</v>
      </c>
      <c r="D224" s="24" t="str">
        <f aca="false">INDEX(Products!$C$2:$C$49,MATCH(B224,Products!$A$2:$A$49,0))</f>
        <v>Household</v>
      </c>
      <c r="E224" s="33" t="n">
        <v>425</v>
      </c>
      <c r="F224" s="33" t="n">
        <v>167</v>
      </c>
      <c r="G224" s="35" t="n">
        <f aca="false">SUMIFS(Sales!$D$2:$D$6001,Sales!$B$2:$B$6001,A224,Sales!$C$2:$C$6001,B224,Sales!$A$2:$A$6001,"&gt;="&amp;(Assumptions!$B$4-7*Assumptions!$B$13+1))/Assumptions!$B$13</f>
        <v>111.625</v>
      </c>
      <c r="H224" s="35" t="n">
        <f aca="false">IFERROR(E224/G224,999)</f>
        <v>3.80739081746921</v>
      </c>
      <c r="I224" s="24" t="str">
        <f aca="false">IF(H224&lt;Assumptions!$B$9,"Stock-out risk",IF(H224&lt;Assumptions!$B$10,"Low",IF(H224&gt;Assumptions!$B$11,"Overstock","Healthy")))</f>
        <v>Healthy</v>
      </c>
      <c r="J224" s="33" t="n">
        <f aca="false">E224*INDEX(Products!$D$2:$D$49,MATCH(B224,Products!$A$2:$A$49,0))</f>
        <v>19975</v>
      </c>
      <c r="K224" s="24" t="str">
        <f aca="false">IF(E224&lt;=F224,"Yes","No")</f>
        <v>No</v>
      </c>
    </row>
    <row r="225" customFormat="false" ht="15" hidden="false" customHeight="false" outlineLevel="0" collapsed="false">
      <c r="A225" s="24" t="s">
        <v>65</v>
      </c>
      <c r="B225" s="24" t="s">
        <v>177</v>
      </c>
      <c r="C225" s="24" t="str">
        <f aca="false">INDEX(Products!$B$2:$B$49,MATCH(B225,Products!$A$2:$A$49,0))</f>
        <v>Sponge Scourer 3 Pack</v>
      </c>
      <c r="D225" s="24" t="str">
        <f aca="false">INDEX(Products!$C$2:$C$49,MATCH(B225,Products!$A$2:$A$49,0))</f>
        <v>Household</v>
      </c>
      <c r="E225" s="33" t="n">
        <v>84</v>
      </c>
      <c r="F225" s="33" t="n">
        <v>68</v>
      </c>
      <c r="G225" s="35" t="n">
        <f aca="false">SUMIFS(Sales!$D$2:$D$6001,Sales!$B$2:$B$6001,A225,Sales!$C$2:$C$6001,B225,Sales!$A$2:$A$6001,"&gt;="&amp;(Assumptions!$B$4-7*Assumptions!$B$13+1))/Assumptions!$B$13</f>
        <v>45.375</v>
      </c>
      <c r="H225" s="35" t="n">
        <f aca="false">IFERROR(E225/G225,999)</f>
        <v>1.85123966942149</v>
      </c>
      <c r="I225" s="24" t="str">
        <f aca="false">IF(H225&lt;Assumptions!$B$9,"Stock-out risk",IF(H225&lt;Assumptions!$B$10,"Low",IF(H225&gt;Assumptions!$B$11,"Overstock","Healthy")))</f>
        <v>Low</v>
      </c>
      <c r="J225" s="33" t="n">
        <f aca="false">E225*INDEX(Products!$D$2:$D$49,MATCH(B225,Products!$A$2:$A$49,0))</f>
        <v>5880</v>
      </c>
      <c r="K225" s="24" t="str">
        <f aca="false">IF(E225&lt;=F225,"Yes","No")</f>
        <v>No</v>
      </c>
    </row>
    <row r="226" customFormat="false" ht="15" hidden="false" customHeight="false" outlineLevel="0" collapsed="false">
      <c r="A226" s="24" t="s">
        <v>65</v>
      </c>
      <c r="B226" s="24" t="s">
        <v>179</v>
      </c>
      <c r="C226" s="24" t="str">
        <f aca="false">INDEX(Products!$B$2:$B$49,MATCH(B226,Products!$A$2:$A$49,0))</f>
        <v>Toothpaste 100ml</v>
      </c>
      <c r="D226" s="24" t="str">
        <f aca="false">INDEX(Products!$C$2:$C$49,MATCH(B226,Products!$A$2:$A$49,0))</f>
        <v>Personal Care</v>
      </c>
      <c r="E226" s="33" t="n">
        <v>56</v>
      </c>
      <c r="F226" s="33" t="n">
        <v>26</v>
      </c>
      <c r="G226" s="35" t="n">
        <f aca="false">SUMIFS(Sales!$D$2:$D$6001,Sales!$B$2:$B$6001,A226,Sales!$C$2:$C$6001,B226,Sales!$A$2:$A$6001,"&gt;="&amp;(Assumptions!$B$4-7*Assumptions!$B$13+1))/Assumptions!$B$13</f>
        <v>17.5</v>
      </c>
      <c r="H226" s="35" t="n">
        <f aca="false">IFERROR(E226/G226,999)</f>
        <v>3.2</v>
      </c>
      <c r="I226" s="24" t="str">
        <f aca="false">IF(H226&lt;Assumptions!$B$9,"Stock-out risk",IF(H226&lt;Assumptions!$B$10,"Low",IF(H226&gt;Assumptions!$B$11,"Overstock","Healthy")))</f>
        <v>Healthy</v>
      </c>
      <c r="J226" s="33" t="n">
        <f aca="false">E226*INDEX(Products!$D$2:$D$49,MATCH(B226,Products!$A$2:$A$49,0))</f>
        <v>6720</v>
      </c>
      <c r="K226" s="24" t="str">
        <f aca="false">IF(E226&lt;=F226,"Yes","No")</f>
        <v>No</v>
      </c>
    </row>
    <row r="227" customFormat="false" ht="15" hidden="false" customHeight="false" outlineLevel="0" collapsed="false">
      <c r="A227" s="24" t="s">
        <v>65</v>
      </c>
      <c r="B227" s="24" t="s">
        <v>181</v>
      </c>
      <c r="C227" s="24" t="str">
        <f aca="false">INDEX(Products!$B$2:$B$49,MATCH(B227,Products!$A$2:$A$49,0))</f>
        <v>Body Lotion 400ml</v>
      </c>
      <c r="D227" s="24" t="str">
        <f aca="false">INDEX(Products!$C$2:$C$49,MATCH(B227,Products!$A$2:$A$49,0))</f>
        <v>Personal Care</v>
      </c>
      <c r="E227" s="33" t="n">
        <v>419</v>
      </c>
      <c r="F227" s="33" t="n">
        <v>141</v>
      </c>
      <c r="G227" s="35" t="n">
        <f aca="false">SUMIFS(Sales!$D$2:$D$6001,Sales!$B$2:$B$6001,A227,Sales!$C$2:$C$6001,B227,Sales!$A$2:$A$6001,"&gt;="&amp;(Assumptions!$B$4-7*Assumptions!$B$13+1))/Assumptions!$B$13</f>
        <v>94.25</v>
      </c>
      <c r="H227" s="35" t="n">
        <f aca="false">IFERROR(E227/G227,999)</f>
        <v>4.44562334217507</v>
      </c>
      <c r="I227" s="24" t="str">
        <f aca="false">IF(H227&lt;Assumptions!$B$9,"Stock-out risk",IF(H227&lt;Assumptions!$B$10,"Low",IF(H227&gt;Assumptions!$B$11,"Overstock","Healthy")))</f>
        <v>Healthy</v>
      </c>
      <c r="J227" s="33" t="n">
        <f aca="false">E227*INDEX(Products!$D$2:$D$49,MATCH(B227,Products!$A$2:$A$49,0))</f>
        <v>103493</v>
      </c>
      <c r="K227" s="24" t="str">
        <f aca="false">IF(E227&lt;=F227,"Yes","No")</f>
        <v>No</v>
      </c>
    </row>
    <row r="228" customFormat="false" ht="15" hidden="false" customHeight="false" outlineLevel="0" collapsed="false">
      <c r="A228" s="24" t="s">
        <v>65</v>
      </c>
      <c r="B228" s="24" t="s">
        <v>183</v>
      </c>
      <c r="C228" s="24" t="str">
        <f aca="false">INDEX(Products!$B$2:$B$49,MATCH(B228,Products!$A$2:$A$49,0))</f>
        <v>Shower Gel 400ml</v>
      </c>
      <c r="D228" s="24" t="str">
        <f aca="false">INDEX(Products!$C$2:$C$49,MATCH(B228,Products!$A$2:$A$49,0))</f>
        <v>Personal Care</v>
      </c>
      <c r="E228" s="33" t="n">
        <v>69</v>
      </c>
      <c r="F228" s="33" t="n">
        <v>79</v>
      </c>
      <c r="G228" s="35" t="n">
        <f aca="false">SUMIFS(Sales!$D$2:$D$6001,Sales!$B$2:$B$6001,A228,Sales!$C$2:$C$6001,B228,Sales!$A$2:$A$6001,"&gt;="&amp;(Assumptions!$B$4-7*Assumptions!$B$13+1))/Assumptions!$B$13</f>
        <v>52.875</v>
      </c>
      <c r="H228" s="35" t="n">
        <f aca="false">IFERROR(E228/G228,999)</f>
        <v>1.30496453900709</v>
      </c>
      <c r="I228" s="24" t="str">
        <f aca="false">IF(H228&lt;Assumptions!$B$9,"Stock-out risk",IF(H228&lt;Assumptions!$B$10,"Low",IF(H228&gt;Assumptions!$B$11,"Overstock","Healthy")))</f>
        <v>Low</v>
      </c>
      <c r="J228" s="33" t="n">
        <f aca="false">E228*INDEX(Products!$D$2:$D$49,MATCH(B228,Products!$A$2:$A$49,0))</f>
        <v>14352</v>
      </c>
      <c r="K228" s="24" t="str">
        <f aca="false">IF(E228&lt;=F228,"Yes","No")</f>
        <v>Yes</v>
      </c>
    </row>
    <row r="229" customFormat="false" ht="15" hidden="false" customHeight="false" outlineLevel="0" collapsed="false">
      <c r="A229" s="24" t="s">
        <v>65</v>
      </c>
      <c r="B229" s="24" t="s">
        <v>185</v>
      </c>
      <c r="C229" s="24" t="str">
        <f aca="false">INDEX(Products!$B$2:$B$49,MATCH(B229,Products!$A$2:$A$49,0))</f>
        <v>Deodorant Roll-on</v>
      </c>
      <c r="D229" s="24" t="str">
        <f aca="false">INDEX(Products!$C$2:$C$49,MATCH(B229,Products!$A$2:$A$49,0))</f>
        <v>Personal Care</v>
      </c>
      <c r="E229" s="33" t="n">
        <v>343</v>
      </c>
      <c r="F229" s="33" t="n">
        <v>221</v>
      </c>
      <c r="G229" s="35" t="n">
        <f aca="false">SUMIFS(Sales!$D$2:$D$6001,Sales!$B$2:$B$6001,A229,Sales!$C$2:$C$6001,B229,Sales!$A$2:$A$6001,"&gt;="&amp;(Assumptions!$B$4-7*Assumptions!$B$13+1))/Assumptions!$B$13</f>
        <v>147.5</v>
      </c>
      <c r="H229" s="35" t="n">
        <f aca="false">IFERROR(E229/G229,999)</f>
        <v>2.32542372881356</v>
      </c>
      <c r="I229" s="24" t="str">
        <f aca="false">IF(H229&lt;Assumptions!$B$9,"Stock-out risk",IF(H229&lt;Assumptions!$B$10,"Low",IF(H229&gt;Assumptions!$B$11,"Overstock","Healthy")))</f>
        <v>Healthy</v>
      </c>
      <c r="J229" s="33" t="n">
        <f aca="false">E229*INDEX(Products!$D$2:$D$49,MATCH(B229,Products!$A$2:$A$49,0))</f>
        <v>66885</v>
      </c>
      <c r="K229" s="24" t="str">
        <f aca="false">IF(E229&lt;=F229,"Yes","No")</f>
        <v>No</v>
      </c>
    </row>
    <row r="230" customFormat="false" ht="15" hidden="false" customHeight="false" outlineLevel="0" collapsed="false">
      <c r="A230" s="24" t="s">
        <v>65</v>
      </c>
      <c r="B230" s="24" t="s">
        <v>187</v>
      </c>
      <c r="C230" s="24" t="str">
        <f aca="false">INDEX(Products!$B$2:$B$49,MATCH(B230,Products!$A$2:$A$49,0))</f>
        <v>Sanitary Pads 8 Pack</v>
      </c>
      <c r="D230" s="24" t="str">
        <f aca="false">INDEX(Products!$C$2:$C$49,MATCH(B230,Products!$A$2:$A$49,0))</f>
        <v>Personal Care</v>
      </c>
      <c r="E230" s="33" t="n">
        <v>131</v>
      </c>
      <c r="F230" s="33" t="n">
        <v>57</v>
      </c>
      <c r="G230" s="35" t="n">
        <f aca="false">SUMIFS(Sales!$D$2:$D$6001,Sales!$B$2:$B$6001,A230,Sales!$C$2:$C$6001,B230,Sales!$A$2:$A$6001,"&gt;="&amp;(Assumptions!$B$4-7*Assumptions!$B$13+1))/Assumptions!$B$13</f>
        <v>38</v>
      </c>
      <c r="H230" s="35" t="n">
        <f aca="false">IFERROR(E230/G230,999)</f>
        <v>3.44736842105263</v>
      </c>
      <c r="I230" s="24" t="str">
        <f aca="false">IF(H230&lt;Assumptions!$B$9,"Stock-out risk",IF(H230&lt;Assumptions!$B$10,"Low",IF(H230&gt;Assumptions!$B$11,"Overstock","Healthy")))</f>
        <v>Healthy</v>
      </c>
      <c r="J230" s="33" t="n">
        <f aca="false">E230*INDEX(Products!$D$2:$D$49,MATCH(B230,Products!$A$2:$A$49,0))</f>
        <v>14934</v>
      </c>
      <c r="K230" s="24" t="str">
        <f aca="false">IF(E230&lt;=F230,"Yes","No")</f>
        <v>No</v>
      </c>
    </row>
    <row r="231" customFormat="false" ht="15" hidden="false" customHeight="false" outlineLevel="0" collapsed="false">
      <c r="A231" s="24" t="s">
        <v>65</v>
      </c>
      <c r="B231" s="24" t="s">
        <v>189</v>
      </c>
      <c r="C231" s="24" t="str">
        <f aca="false">INDEX(Products!$B$2:$B$49,MATCH(B231,Products!$A$2:$A$49,0))</f>
        <v>Shampoo 400ml</v>
      </c>
      <c r="D231" s="24" t="str">
        <f aca="false">INDEX(Products!$C$2:$C$49,MATCH(B231,Products!$A$2:$A$49,0))</f>
        <v>Personal Care</v>
      </c>
      <c r="E231" s="33" t="n">
        <v>93</v>
      </c>
      <c r="F231" s="33" t="n">
        <v>53</v>
      </c>
      <c r="G231" s="35" t="n">
        <f aca="false">SUMIFS(Sales!$D$2:$D$6001,Sales!$B$2:$B$6001,A231,Sales!$C$2:$C$6001,B231,Sales!$A$2:$A$6001,"&gt;="&amp;(Assumptions!$B$4-7*Assumptions!$B$13+1))/Assumptions!$B$13</f>
        <v>35.125</v>
      </c>
      <c r="H231" s="35" t="n">
        <f aca="false">IFERROR(E231/G231,999)</f>
        <v>2.64768683274021</v>
      </c>
      <c r="I231" s="24" t="str">
        <f aca="false">IF(H231&lt;Assumptions!$B$9,"Stock-out risk",IF(H231&lt;Assumptions!$B$10,"Low",IF(H231&gt;Assumptions!$B$11,"Overstock","Healthy")))</f>
        <v>Healthy</v>
      </c>
      <c r="J231" s="33" t="n">
        <f aca="false">E231*INDEX(Products!$D$2:$D$49,MATCH(B231,Products!$A$2:$A$49,0))</f>
        <v>21669</v>
      </c>
      <c r="K231" s="24" t="str">
        <f aca="false">IF(E231&lt;=F231,"Yes","No")</f>
        <v>No</v>
      </c>
    </row>
    <row r="232" customFormat="false" ht="15" hidden="false" customHeight="false" outlineLevel="0" collapsed="false">
      <c r="A232" s="24" t="s">
        <v>65</v>
      </c>
      <c r="B232" s="24" t="s">
        <v>191</v>
      </c>
      <c r="C232" s="24" t="str">
        <f aca="false">INDEX(Products!$B$2:$B$49,MATCH(B232,Products!$A$2:$A$49,0))</f>
        <v>Petroleum Jelly 250g</v>
      </c>
      <c r="D232" s="24" t="str">
        <f aca="false">INDEX(Products!$C$2:$C$49,MATCH(B232,Products!$A$2:$A$49,0))</f>
        <v>Personal Care</v>
      </c>
      <c r="E232" s="33" t="n">
        <v>15</v>
      </c>
      <c r="F232" s="33" t="n">
        <v>26</v>
      </c>
      <c r="G232" s="35" t="n">
        <f aca="false">SUMIFS(Sales!$D$2:$D$6001,Sales!$B$2:$B$6001,A232,Sales!$C$2:$C$6001,B232,Sales!$A$2:$A$6001,"&gt;="&amp;(Assumptions!$B$4-7*Assumptions!$B$13+1))/Assumptions!$B$13</f>
        <v>17</v>
      </c>
      <c r="H232" s="35" t="n">
        <f aca="false">IFERROR(E232/G232,999)</f>
        <v>0.882352941176471</v>
      </c>
      <c r="I232" s="24" t="str">
        <f aca="false">IF(H232&lt;Assumptions!$B$9,"Stock-out risk",IF(H232&lt;Assumptions!$B$10,"Low",IF(H232&gt;Assumptions!$B$11,"Overstock","Healthy")))</f>
        <v>Stock-out risk</v>
      </c>
      <c r="J232" s="33" t="n">
        <f aca="false">E232*INDEX(Products!$D$2:$D$49,MATCH(B232,Products!$A$2:$A$49,0))</f>
        <v>1935</v>
      </c>
      <c r="K232" s="24" t="str">
        <f aca="false">IF(E232&lt;=F232,"Yes","No")</f>
        <v>Yes</v>
      </c>
    </row>
    <row r="233" customFormat="false" ht="15" hidden="false" customHeight="false" outlineLevel="0" collapsed="false">
      <c r="A233" s="24" t="s">
        <v>65</v>
      </c>
      <c r="B233" s="24" t="s">
        <v>193</v>
      </c>
      <c r="C233" s="24" t="str">
        <f aca="false">INDEX(Products!$B$2:$B$49,MATCH(B233,Products!$A$2:$A$49,0))</f>
        <v>Hand Wash 500ml</v>
      </c>
      <c r="D233" s="24" t="str">
        <f aca="false">INDEX(Products!$C$2:$C$49,MATCH(B233,Products!$A$2:$A$49,0))</f>
        <v>Personal Care</v>
      </c>
      <c r="E233" s="33" t="n">
        <v>347</v>
      </c>
      <c r="F233" s="33" t="n">
        <v>125</v>
      </c>
      <c r="G233" s="35" t="n">
        <f aca="false">SUMIFS(Sales!$D$2:$D$6001,Sales!$B$2:$B$6001,A233,Sales!$C$2:$C$6001,B233,Sales!$A$2:$A$6001,"&gt;="&amp;(Assumptions!$B$4-7*Assumptions!$B$13+1))/Assumptions!$B$13</f>
        <v>83.125</v>
      </c>
      <c r="H233" s="35" t="n">
        <f aca="false">IFERROR(E233/G233,999)</f>
        <v>4.17443609022556</v>
      </c>
      <c r="I233" s="24" t="str">
        <f aca="false">IF(H233&lt;Assumptions!$B$9,"Stock-out risk",IF(H233&lt;Assumptions!$B$10,"Low",IF(H233&gt;Assumptions!$B$11,"Overstock","Healthy")))</f>
        <v>Healthy</v>
      </c>
      <c r="J233" s="33" t="n">
        <f aca="false">E233*INDEX(Products!$D$2:$D$49,MATCH(B233,Products!$A$2:$A$49,0))</f>
        <v>54826</v>
      </c>
      <c r="K233" s="24" t="str">
        <f aca="false">IF(E233&lt;=F233,"Yes","No")</f>
        <v>No</v>
      </c>
    </row>
    <row r="234" customFormat="false" ht="15" hidden="false" customHeight="false" outlineLevel="0" collapsed="false">
      <c r="A234" s="24" t="s">
        <v>65</v>
      </c>
      <c r="B234" s="24" t="s">
        <v>195</v>
      </c>
      <c r="C234" s="24" t="str">
        <f aca="false">INDEX(Products!$B$2:$B$49,MATCH(B234,Products!$A$2:$A$49,0))</f>
        <v>Biscuits 200g</v>
      </c>
      <c r="D234" s="24" t="str">
        <f aca="false">INDEX(Products!$C$2:$C$49,MATCH(B234,Products!$A$2:$A$49,0))</f>
        <v>Snacks &amp; Confectionery</v>
      </c>
      <c r="E234" s="33" t="n">
        <v>620</v>
      </c>
      <c r="F234" s="33" t="n">
        <v>327</v>
      </c>
      <c r="G234" s="35" t="n">
        <f aca="false">SUMIFS(Sales!$D$2:$D$6001,Sales!$B$2:$B$6001,A234,Sales!$C$2:$C$6001,B234,Sales!$A$2:$A$6001,"&gt;="&amp;(Assumptions!$B$4-7*Assumptions!$B$13+1))/Assumptions!$B$13</f>
        <v>217.875</v>
      </c>
      <c r="H234" s="35" t="n">
        <f aca="false">IFERROR(E234/G234,999)</f>
        <v>2.84566838783706</v>
      </c>
      <c r="I234" s="24" t="str">
        <f aca="false">IF(H234&lt;Assumptions!$B$9,"Stock-out risk",IF(H234&lt;Assumptions!$B$10,"Low",IF(H234&gt;Assumptions!$B$11,"Overstock","Healthy")))</f>
        <v>Healthy</v>
      </c>
      <c r="J234" s="33" t="n">
        <f aca="false">E234*INDEX(Products!$D$2:$D$49,MATCH(B234,Products!$A$2:$A$49,0))</f>
        <v>45880</v>
      </c>
      <c r="K234" s="24" t="str">
        <f aca="false">IF(E234&lt;=F234,"Yes","No")</f>
        <v>No</v>
      </c>
    </row>
    <row r="235" customFormat="false" ht="15" hidden="false" customHeight="false" outlineLevel="0" collapsed="false">
      <c r="A235" s="24" t="s">
        <v>65</v>
      </c>
      <c r="B235" s="24" t="s">
        <v>197</v>
      </c>
      <c r="C235" s="24" t="str">
        <f aca="false">INDEX(Products!$B$2:$B$49,MATCH(B235,Products!$A$2:$A$49,0))</f>
        <v>Potato Crisps 100g</v>
      </c>
      <c r="D235" s="24" t="str">
        <f aca="false">INDEX(Products!$C$2:$C$49,MATCH(B235,Products!$A$2:$A$49,0))</f>
        <v>Snacks &amp; Confectionery</v>
      </c>
      <c r="E235" s="33" t="n">
        <v>44</v>
      </c>
      <c r="F235" s="33" t="n">
        <v>49</v>
      </c>
      <c r="G235" s="35" t="n">
        <f aca="false">SUMIFS(Sales!$D$2:$D$6001,Sales!$B$2:$B$6001,A235,Sales!$C$2:$C$6001,B235,Sales!$A$2:$A$6001,"&gt;="&amp;(Assumptions!$B$4-7*Assumptions!$B$13+1))/Assumptions!$B$13</f>
        <v>32.5</v>
      </c>
      <c r="H235" s="35" t="n">
        <f aca="false">IFERROR(E235/G235,999)</f>
        <v>1.35384615384615</v>
      </c>
      <c r="I235" s="24" t="str">
        <f aca="false">IF(H235&lt;Assumptions!$B$9,"Stock-out risk",IF(H235&lt;Assumptions!$B$10,"Low",IF(H235&gt;Assumptions!$B$11,"Overstock","Healthy")))</f>
        <v>Low</v>
      </c>
      <c r="J235" s="33" t="n">
        <f aca="false">E235*INDEX(Products!$D$2:$D$49,MATCH(B235,Products!$A$2:$A$49,0))</f>
        <v>2904</v>
      </c>
      <c r="K235" s="24" t="str">
        <f aca="false">IF(E235&lt;=F235,"Yes","No")</f>
        <v>Yes</v>
      </c>
    </row>
    <row r="236" customFormat="false" ht="15" hidden="false" customHeight="false" outlineLevel="0" collapsed="false">
      <c r="A236" s="24" t="s">
        <v>65</v>
      </c>
      <c r="B236" s="24" t="s">
        <v>199</v>
      </c>
      <c r="C236" s="24" t="str">
        <f aca="false">INDEX(Products!$B$2:$B$49,MATCH(B236,Products!$A$2:$A$49,0))</f>
        <v>Chocolate Bar 90g</v>
      </c>
      <c r="D236" s="24" t="str">
        <f aca="false">INDEX(Products!$C$2:$C$49,MATCH(B236,Products!$A$2:$A$49,0))</f>
        <v>Snacks &amp; Confectionery</v>
      </c>
      <c r="E236" s="33" t="n">
        <v>102</v>
      </c>
      <c r="F236" s="33" t="n">
        <v>40</v>
      </c>
      <c r="G236" s="35" t="n">
        <f aca="false">SUMIFS(Sales!$D$2:$D$6001,Sales!$B$2:$B$6001,A236,Sales!$C$2:$C$6001,B236,Sales!$A$2:$A$6001,"&gt;="&amp;(Assumptions!$B$4-7*Assumptions!$B$13+1))/Assumptions!$B$13</f>
        <v>26.375</v>
      </c>
      <c r="H236" s="35" t="n">
        <f aca="false">IFERROR(E236/G236,999)</f>
        <v>3.86729857819905</v>
      </c>
      <c r="I236" s="24" t="str">
        <f aca="false">IF(H236&lt;Assumptions!$B$9,"Stock-out risk",IF(H236&lt;Assumptions!$B$10,"Low",IF(H236&gt;Assumptions!$B$11,"Overstock","Healthy")))</f>
        <v>Healthy</v>
      </c>
      <c r="J236" s="33" t="n">
        <f aca="false">E236*INDEX(Products!$D$2:$D$49,MATCH(B236,Products!$A$2:$A$49,0))</f>
        <v>11322</v>
      </c>
      <c r="K236" s="24" t="str">
        <f aca="false">IF(E236&lt;=F236,"Yes","No")</f>
        <v>No</v>
      </c>
    </row>
    <row r="237" customFormat="false" ht="15" hidden="false" customHeight="false" outlineLevel="0" collapsed="false">
      <c r="A237" s="24" t="s">
        <v>65</v>
      </c>
      <c r="B237" s="24" t="s">
        <v>201</v>
      </c>
      <c r="C237" s="24" t="str">
        <f aca="false">INDEX(Products!$B$2:$B$49,MATCH(B237,Products!$A$2:$A$49,0))</f>
        <v>Peanuts Roasted 250g</v>
      </c>
      <c r="D237" s="24" t="str">
        <f aca="false">INDEX(Products!$C$2:$C$49,MATCH(B237,Products!$A$2:$A$49,0))</f>
        <v>Snacks &amp; Confectionery</v>
      </c>
      <c r="E237" s="33" t="n">
        <v>151</v>
      </c>
      <c r="F237" s="33" t="n">
        <v>114</v>
      </c>
      <c r="G237" s="35" t="n">
        <f aca="false">SUMIFS(Sales!$D$2:$D$6001,Sales!$B$2:$B$6001,A237,Sales!$C$2:$C$6001,B237,Sales!$A$2:$A$6001,"&gt;="&amp;(Assumptions!$B$4-7*Assumptions!$B$13+1))/Assumptions!$B$13</f>
        <v>75.875</v>
      </c>
      <c r="H237" s="35" t="n">
        <f aca="false">IFERROR(E237/G237,999)</f>
        <v>1.99011532125206</v>
      </c>
      <c r="I237" s="24" t="str">
        <f aca="false">IF(H237&lt;Assumptions!$B$9,"Stock-out risk",IF(H237&lt;Assumptions!$B$10,"Low",IF(H237&gt;Assumptions!$B$11,"Overstock","Healthy")))</f>
        <v>Low</v>
      </c>
      <c r="J237" s="33" t="n">
        <f aca="false">E237*INDEX(Products!$D$2:$D$49,MATCH(B237,Products!$A$2:$A$49,0))</f>
        <v>18120</v>
      </c>
      <c r="K237" s="24" t="str">
        <f aca="false">IF(E237&lt;=F237,"Yes","No")</f>
        <v>No</v>
      </c>
    </row>
    <row r="238" customFormat="false" ht="15" hidden="false" customHeight="false" outlineLevel="0" collapsed="false">
      <c r="A238" s="24" t="s">
        <v>65</v>
      </c>
      <c r="B238" s="24" t="s">
        <v>203</v>
      </c>
      <c r="C238" s="24" t="str">
        <f aca="false">INDEX(Products!$B$2:$B$49,MATCH(B238,Products!$A$2:$A$49,0))</f>
        <v>Bread White 400g</v>
      </c>
      <c r="D238" s="24" t="str">
        <f aca="false">INDEX(Products!$C$2:$C$49,MATCH(B238,Products!$A$2:$A$49,0))</f>
        <v>Snacks &amp; Confectionery</v>
      </c>
      <c r="E238" s="33" t="n">
        <v>80</v>
      </c>
      <c r="F238" s="33" t="n">
        <v>55</v>
      </c>
      <c r="G238" s="35" t="n">
        <f aca="false">SUMIFS(Sales!$D$2:$D$6001,Sales!$B$2:$B$6001,A238,Sales!$C$2:$C$6001,B238,Sales!$A$2:$A$6001,"&gt;="&amp;(Assumptions!$B$4-7*Assumptions!$B$13+1))/Assumptions!$B$13</f>
        <v>36.875</v>
      </c>
      <c r="H238" s="35" t="n">
        <f aca="false">IFERROR(E238/G238,999)</f>
        <v>2.16949152542373</v>
      </c>
      <c r="I238" s="24" t="str">
        <f aca="false">IF(H238&lt;Assumptions!$B$9,"Stock-out risk",IF(H238&lt;Assumptions!$B$10,"Low",IF(H238&gt;Assumptions!$B$11,"Overstock","Healthy")))</f>
        <v>Healthy</v>
      </c>
      <c r="J238" s="33" t="n">
        <f aca="false">E238*INDEX(Products!$D$2:$D$49,MATCH(B238,Products!$A$2:$A$49,0))</f>
        <v>3760</v>
      </c>
      <c r="K238" s="24" t="str">
        <f aca="false">IF(E238&lt;=F238,"Yes","No")</f>
        <v>No</v>
      </c>
    </row>
    <row r="239" customFormat="false" ht="15" hidden="false" customHeight="false" outlineLevel="0" collapsed="false">
      <c r="A239" s="24" t="s">
        <v>65</v>
      </c>
      <c r="B239" s="24" t="s">
        <v>205</v>
      </c>
      <c r="C239" s="24" t="str">
        <f aca="false">INDEX(Products!$B$2:$B$49,MATCH(B239,Products!$A$2:$A$49,0))</f>
        <v>Cake Slice</v>
      </c>
      <c r="D239" s="24" t="str">
        <f aca="false">INDEX(Products!$C$2:$C$49,MATCH(B239,Products!$A$2:$A$49,0))</f>
        <v>Snacks &amp; Confectionery</v>
      </c>
      <c r="E239" s="33" t="n">
        <v>361</v>
      </c>
      <c r="F239" s="33" t="n">
        <v>65</v>
      </c>
      <c r="G239" s="35" t="n">
        <f aca="false">SUMIFS(Sales!$D$2:$D$6001,Sales!$B$2:$B$6001,A239,Sales!$C$2:$C$6001,B239,Sales!$A$2:$A$6001,"&gt;="&amp;(Assumptions!$B$4-7*Assumptions!$B$13+1))/Assumptions!$B$13</f>
        <v>43.25</v>
      </c>
      <c r="H239" s="35" t="n">
        <f aca="false">IFERROR(E239/G239,999)</f>
        <v>8.34682080924856</v>
      </c>
      <c r="I239" s="24" t="str">
        <f aca="false">IF(H239&lt;Assumptions!$B$9,"Stock-out risk",IF(H239&lt;Assumptions!$B$10,"Low",IF(H239&gt;Assumptions!$B$11,"Overstock","Healthy")))</f>
        <v>Overstock</v>
      </c>
      <c r="J239" s="33" t="n">
        <f aca="false">E239*INDEX(Products!$D$2:$D$49,MATCH(B239,Products!$A$2:$A$49,0))</f>
        <v>29241</v>
      </c>
      <c r="K239" s="24" t="str">
        <f aca="false">IF(E239&lt;=F239,"Yes","No")</f>
        <v>No</v>
      </c>
    </row>
    <row r="240" customFormat="false" ht="15" hidden="false" customHeight="false" outlineLevel="0" collapsed="false">
      <c r="A240" s="24" t="s">
        <v>65</v>
      </c>
      <c r="B240" s="24" t="s">
        <v>207</v>
      </c>
      <c r="C240" s="24" t="str">
        <f aca="false">INDEX(Products!$B$2:$B$49,MATCH(B240,Products!$A$2:$A$49,0))</f>
        <v>Sweets Jar 300g</v>
      </c>
      <c r="D240" s="24" t="str">
        <f aca="false">INDEX(Products!$C$2:$C$49,MATCH(B240,Products!$A$2:$A$49,0))</f>
        <v>Snacks &amp; Confectionery</v>
      </c>
      <c r="E240" s="33" t="n">
        <v>72</v>
      </c>
      <c r="F240" s="33" t="n">
        <v>71</v>
      </c>
      <c r="G240" s="35" t="n">
        <f aca="false">SUMIFS(Sales!$D$2:$D$6001,Sales!$B$2:$B$6001,A240,Sales!$C$2:$C$6001,B240,Sales!$A$2:$A$6001,"&gt;="&amp;(Assumptions!$B$4-7*Assumptions!$B$13+1))/Assumptions!$B$13</f>
        <v>47.5</v>
      </c>
      <c r="H240" s="35" t="n">
        <f aca="false">IFERROR(E240/G240,999)</f>
        <v>1.51578947368421</v>
      </c>
      <c r="I240" s="24" t="str">
        <f aca="false">IF(H240&lt;Assumptions!$B$9,"Stock-out risk",IF(H240&lt;Assumptions!$B$10,"Low",IF(H240&gt;Assumptions!$B$11,"Overstock","Healthy")))</f>
        <v>Low</v>
      </c>
      <c r="J240" s="33" t="n">
        <f aca="false">E240*INDEX(Products!$D$2:$D$49,MATCH(B240,Products!$A$2:$A$49,0))</f>
        <v>9072</v>
      </c>
      <c r="K240" s="24" t="str">
        <f aca="false">IF(E240&lt;=F240,"Yes","No")</f>
        <v>No</v>
      </c>
    </row>
    <row r="241" customFormat="false" ht="15" hidden="false" customHeight="false" outlineLevel="0" collapsed="false">
      <c r="A241" s="24" t="s">
        <v>65</v>
      </c>
      <c r="B241" s="24" t="s">
        <v>209</v>
      </c>
      <c r="C241" s="24" t="str">
        <f aca="false">INDEX(Products!$B$2:$B$49,MATCH(B241,Products!$A$2:$A$49,0))</f>
        <v>Popcorn 100g</v>
      </c>
      <c r="D241" s="24" t="str">
        <f aca="false">INDEX(Products!$C$2:$C$49,MATCH(B241,Products!$A$2:$A$49,0))</f>
        <v>Snacks &amp; Confectionery</v>
      </c>
      <c r="E241" s="33" t="n">
        <v>494</v>
      </c>
      <c r="F241" s="33" t="n">
        <v>126</v>
      </c>
      <c r="G241" s="35" t="n">
        <f aca="false">SUMIFS(Sales!$D$2:$D$6001,Sales!$B$2:$B$6001,A241,Sales!$C$2:$C$6001,B241,Sales!$A$2:$A$6001,"&gt;="&amp;(Assumptions!$B$4-7*Assumptions!$B$13+1))/Assumptions!$B$13</f>
        <v>84.125</v>
      </c>
      <c r="H241" s="35" t="n">
        <f aca="false">IFERROR(E241/G241,999)</f>
        <v>5.87221396731055</v>
      </c>
      <c r="I241" s="24" t="str">
        <f aca="false">IF(H241&lt;Assumptions!$B$9,"Stock-out risk",IF(H241&lt;Assumptions!$B$10,"Low",IF(H241&gt;Assumptions!$B$11,"Overstock","Healthy")))</f>
        <v>Healthy</v>
      </c>
      <c r="J241" s="33" t="n">
        <f aca="false">E241*INDEX(Products!$D$2:$D$49,MATCH(B241,Products!$A$2:$A$49,0))</f>
        <v>23218</v>
      </c>
      <c r="K241" s="24" t="str">
        <f aca="false">IF(E241&lt;=F241,"Yes","No")</f>
        <v>No</v>
      </c>
    </row>
  </sheetData>
  <autoFilter ref="A1:K241"/>
  <conditionalFormatting sqref="I2:I241">
    <cfRule type="expression" priority="2" aboveAverage="0" equalAverage="0" bottom="0" percent="0" rank="0" text="" dxfId="7">
      <formula>$I2="Stock-out risk"</formula>
    </cfRule>
    <cfRule type="expression" priority="3" aboveAverage="0" equalAverage="0" bottom="0" percent="0" rank="0" text="" dxfId="8">
      <formula>$I2="Low"</formula>
    </cfRule>
    <cfRule type="expression" priority="4" aboveAverage="0" equalAverage="0" bottom="0" percent="0" rank="0" text="" dxfId="9">
      <formula>$I2="Overstock"</formula>
    </cfRule>
    <cfRule type="expression" priority="5" aboveAverage="0" equalAverage="0" bottom="0" percent="0" rank="0" text="" dxfId="10">
      <formula>$I2="Healthy"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6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"/>
    <col collapsed="false" customWidth="true" hidden="false" outlineLevel="0" max="3" min="3" style="0" width="9"/>
    <col collapsed="false" customWidth="true" hidden="false" outlineLevel="0" max="4" min="4" style="0" width="11"/>
    <col collapsed="false" customWidth="true" hidden="false" outlineLevel="0" max="5" min="5" style="0" width="12"/>
    <col collapsed="false" customWidth="true" hidden="false" outlineLevel="0" max="6" min="6" style="0" width="11"/>
    <col collapsed="false" customWidth="true" hidden="false" outlineLevel="0" max="7" min="7" style="0" width="22"/>
    <col collapsed="false" customWidth="true" hidden="false" outlineLevel="0" max="8" min="8" style="0" width="14"/>
    <col collapsed="false" customWidth="true" hidden="false" outlineLevel="0" max="9" min="9" style="0" width="13"/>
    <col collapsed="false" customWidth="true" hidden="false" outlineLevel="0" max="10" min="10" style="0" width="15"/>
    <col collapsed="false" customWidth="true" hidden="false" outlineLevel="0" max="11" min="11" style="0" width="16"/>
  </cols>
  <sheetData>
    <row r="1" customFormat="false" ht="31.5" hidden="false" customHeight="true" outlineLevel="0" collapsed="false">
      <c r="A1" s="32" t="s">
        <v>218</v>
      </c>
      <c r="B1" s="32" t="s">
        <v>57</v>
      </c>
      <c r="C1" s="32" t="s">
        <v>85</v>
      </c>
      <c r="D1" s="32" t="s">
        <v>48</v>
      </c>
      <c r="E1" s="32" t="s">
        <v>219</v>
      </c>
      <c r="F1" s="32" t="s">
        <v>39</v>
      </c>
      <c r="G1" s="32" t="s">
        <v>46</v>
      </c>
      <c r="H1" s="32" t="s">
        <v>41</v>
      </c>
      <c r="I1" s="32" t="s">
        <v>220</v>
      </c>
      <c r="J1" s="32" t="s">
        <v>42</v>
      </c>
      <c r="K1" s="32" t="s">
        <v>59</v>
      </c>
    </row>
    <row r="2" customFormat="false" ht="15" hidden="false" customHeight="false" outlineLevel="0" collapsed="false">
      <c r="A2" s="36" t="n">
        <v>46118</v>
      </c>
      <c r="B2" s="24" t="s">
        <v>61</v>
      </c>
      <c r="C2" s="24" t="s">
        <v>115</v>
      </c>
      <c r="D2" s="33" t="n">
        <v>172</v>
      </c>
      <c r="E2" s="24" t="n">
        <v>0</v>
      </c>
      <c r="F2" s="37" t="n">
        <f aca="false">DATE(YEAR(A2),MONTH(A2),1)</f>
        <v>46113</v>
      </c>
      <c r="G2" s="24" t="str">
        <f aca="false">INDEX(Products!$C$2:$C$49,MATCH(C2,Products!$A$2:$A$49,0))</f>
        <v>Grocery Staples</v>
      </c>
      <c r="H2" s="33" t="n">
        <f aca="false">D2*INDEX(Products!$E$2:$E$49,MATCH(C2,Products!$A$2:$A$49,0))</f>
        <v>28380</v>
      </c>
      <c r="I2" s="33" t="n">
        <f aca="false">D2*INDEX(Products!$D$2:$D$49,MATCH(C2,Products!$A$2:$A$49,0))*(1+INDEX(Assumptions!$B$16:$B$20,MATCH(B2,Assumptions!$A$16:$A$20,0)))</f>
        <v>25015.68</v>
      </c>
      <c r="J2" s="33" t="n">
        <f aca="false">H2-I2</f>
        <v>3364.32</v>
      </c>
      <c r="K2" s="33" t="n">
        <f aca="false">IF(OR(E2=0,E2&gt;=7),0,D2/(7-E2)*E2*INDEX(Products!$E$2:$E$49,MATCH(C2,Products!$A$2:$A$49,0)))</f>
        <v>0</v>
      </c>
    </row>
    <row r="3" customFormat="false" ht="15" hidden="false" customHeight="false" outlineLevel="0" collapsed="false">
      <c r="A3" s="36" t="n">
        <v>46125</v>
      </c>
      <c r="B3" s="24" t="s">
        <v>61</v>
      </c>
      <c r="C3" s="24" t="s">
        <v>115</v>
      </c>
      <c r="D3" s="33" t="n">
        <v>108</v>
      </c>
      <c r="E3" s="24" t="n">
        <v>2</v>
      </c>
      <c r="F3" s="37" t="n">
        <f aca="false">DATE(YEAR(A3),MONTH(A3),1)</f>
        <v>46113</v>
      </c>
      <c r="G3" s="24" t="str">
        <f aca="false">INDEX(Products!$C$2:$C$49,MATCH(C3,Products!$A$2:$A$49,0))</f>
        <v>Grocery Staples</v>
      </c>
      <c r="H3" s="33" t="n">
        <f aca="false">D3*INDEX(Products!$E$2:$E$49,MATCH(C3,Products!$A$2:$A$49,0))</f>
        <v>17820</v>
      </c>
      <c r="I3" s="33" t="n">
        <f aca="false">D3*INDEX(Products!$D$2:$D$49,MATCH(C3,Products!$A$2:$A$49,0))*(1+INDEX(Assumptions!$B$16:$B$20,MATCH(B3,Assumptions!$A$16:$A$20,0)))</f>
        <v>15707.52</v>
      </c>
      <c r="J3" s="33" t="n">
        <f aca="false">H3-I3</f>
        <v>2112.48</v>
      </c>
      <c r="K3" s="33" t="n">
        <f aca="false">IF(OR(E3=0,E3&gt;=7),0,D3/(7-E3)*E3*INDEX(Products!$E$2:$E$49,MATCH(C3,Products!$A$2:$A$49,0)))</f>
        <v>7128</v>
      </c>
    </row>
    <row r="4" customFormat="false" ht="15" hidden="false" customHeight="false" outlineLevel="0" collapsed="false">
      <c r="A4" s="36" t="n">
        <v>46132</v>
      </c>
      <c r="B4" s="24" t="s">
        <v>61</v>
      </c>
      <c r="C4" s="24" t="s">
        <v>115</v>
      </c>
      <c r="D4" s="33" t="n">
        <v>200</v>
      </c>
      <c r="E4" s="24" t="n">
        <v>0</v>
      </c>
      <c r="F4" s="37" t="n">
        <f aca="false">DATE(YEAR(A4),MONTH(A4),1)</f>
        <v>46113</v>
      </c>
      <c r="G4" s="24" t="str">
        <f aca="false">INDEX(Products!$C$2:$C$49,MATCH(C4,Products!$A$2:$A$49,0))</f>
        <v>Grocery Staples</v>
      </c>
      <c r="H4" s="33" t="n">
        <f aca="false">D4*INDEX(Products!$E$2:$E$49,MATCH(C4,Products!$A$2:$A$49,0))</f>
        <v>33000</v>
      </c>
      <c r="I4" s="33" t="n">
        <f aca="false">D4*INDEX(Products!$D$2:$D$49,MATCH(C4,Products!$A$2:$A$49,0))*(1+INDEX(Assumptions!$B$16:$B$20,MATCH(B4,Assumptions!$A$16:$A$20,0)))</f>
        <v>29088</v>
      </c>
      <c r="J4" s="33" t="n">
        <f aca="false">H4-I4</f>
        <v>3912</v>
      </c>
      <c r="K4" s="33" t="n">
        <f aca="false">IF(OR(E4=0,E4&gt;=7),0,D4/(7-E4)*E4*INDEX(Products!$E$2:$E$49,MATCH(C4,Products!$A$2:$A$49,0)))</f>
        <v>0</v>
      </c>
    </row>
    <row r="5" customFormat="false" ht="15" hidden="false" customHeight="false" outlineLevel="0" collapsed="false">
      <c r="A5" s="36" t="n">
        <v>46139</v>
      </c>
      <c r="B5" s="24" t="s">
        <v>61</v>
      </c>
      <c r="C5" s="24" t="s">
        <v>115</v>
      </c>
      <c r="D5" s="33" t="n">
        <v>179</v>
      </c>
      <c r="E5" s="24" t="n">
        <v>0</v>
      </c>
      <c r="F5" s="37" t="n">
        <f aca="false">DATE(YEAR(A5),MONTH(A5),1)</f>
        <v>46113</v>
      </c>
      <c r="G5" s="24" t="str">
        <f aca="false">INDEX(Products!$C$2:$C$49,MATCH(C5,Products!$A$2:$A$49,0))</f>
        <v>Grocery Staples</v>
      </c>
      <c r="H5" s="33" t="n">
        <f aca="false">D5*INDEX(Products!$E$2:$E$49,MATCH(C5,Products!$A$2:$A$49,0))</f>
        <v>29535</v>
      </c>
      <c r="I5" s="33" t="n">
        <f aca="false">D5*INDEX(Products!$D$2:$D$49,MATCH(C5,Products!$A$2:$A$49,0))*(1+INDEX(Assumptions!$B$16:$B$20,MATCH(B5,Assumptions!$A$16:$A$20,0)))</f>
        <v>26033.76</v>
      </c>
      <c r="J5" s="33" t="n">
        <f aca="false">H5-I5</f>
        <v>3501.24</v>
      </c>
      <c r="K5" s="33" t="n">
        <f aca="false">IF(OR(E5=0,E5&gt;=7),0,D5/(7-E5)*E5*INDEX(Products!$E$2:$E$49,MATCH(C5,Products!$A$2:$A$49,0)))</f>
        <v>0</v>
      </c>
    </row>
    <row r="6" customFormat="false" ht="15" hidden="false" customHeight="false" outlineLevel="0" collapsed="false">
      <c r="A6" s="36" t="n">
        <v>46146</v>
      </c>
      <c r="B6" s="24" t="s">
        <v>61</v>
      </c>
      <c r="C6" s="24" t="s">
        <v>115</v>
      </c>
      <c r="D6" s="33" t="n">
        <v>166</v>
      </c>
      <c r="E6" s="24" t="n">
        <v>0</v>
      </c>
      <c r="F6" s="37" t="n">
        <f aca="false">DATE(YEAR(A6),MONTH(A6),1)</f>
        <v>46143</v>
      </c>
      <c r="G6" s="24" t="str">
        <f aca="false">INDEX(Products!$C$2:$C$49,MATCH(C6,Products!$A$2:$A$49,0))</f>
        <v>Grocery Staples</v>
      </c>
      <c r="H6" s="33" t="n">
        <f aca="false">D6*INDEX(Products!$E$2:$E$49,MATCH(C6,Products!$A$2:$A$49,0))</f>
        <v>27390</v>
      </c>
      <c r="I6" s="33" t="n">
        <f aca="false">D6*INDEX(Products!$D$2:$D$49,MATCH(C6,Products!$A$2:$A$49,0))*(1+INDEX(Assumptions!$B$16:$B$20,MATCH(B6,Assumptions!$A$16:$A$20,0)))</f>
        <v>24143.04</v>
      </c>
      <c r="J6" s="33" t="n">
        <f aca="false">H6-I6</f>
        <v>3246.96</v>
      </c>
      <c r="K6" s="33" t="n">
        <f aca="false">IF(OR(E6=0,E6&gt;=7),0,D6/(7-E6)*E6*INDEX(Products!$E$2:$E$49,MATCH(C6,Products!$A$2:$A$49,0)))</f>
        <v>0</v>
      </c>
    </row>
    <row r="7" customFormat="false" ht="15" hidden="false" customHeight="false" outlineLevel="0" collapsed="false">
      <c r="A7" s="36" t="n">
        <v>46153</v>
      </c>
      <c r="B7" s="24" t="s">
        <v>61</v>
      </c>
      <c r="C7" s="24" t="s">
        <v>115</v>
      </c>
      <c r="D7" s="33" t="n">
        <v>180</v>
      </c>
      <c r="E7" s="24" t="n">
        <v>0</v>
      </c>
      <c r="F7" s="37" t="n">
        <f aca="false">DATE(YEAR(A7),MONTH(A7),1)</f>
        <v>46143</v>
      </c>
      <c r="G7" s="24" t="str">
        <f aca="false">INDEX(Products!$C$2:$C$49,MATCH(C7,Products!$A$2:$A$49,0))</f>
        <v>Grocery Staples</v>
      </c>
      <c r="H7" s="33" t="n">
        <f aca="false">D7*INDEX(Products!$E$2:$E$49,MATCH(C7,Products!$A$2:$A$49,0))</f>
        <v>29700</v>
      </c>
      <c r="I7" s="33" t="n">
        <f aca="false">D7*INDEX(Products!$D$2:$D$49,MATCH(C7,Products!$A$2:$A$49,0))*(1+INDEX(Assumptions!$B$16:$B$20,MATCH(B7,Assumptions!$A$16:$A$20,0)))</f>
        <v>26179.2</v>
      </c>
      <c r="J7" s="33" t="n">
        <f aca="false">H7-I7</f>
        <v>3520.8</v>
      </c>
      <c r="K7" s="33" t="n">
        <f aca="false">IF(OR(E7=0,E7&gt;=7),0,D7/(7-E7)*E7*INDEX(Products!$E$2:$E$49,MATCH(C7,Products!$A$2:$A$49,0)))</f>
        <v>0</v>
      </c>
    </row>
    <row r="8" customFormat="false" ht="15" hidden="false" customHeight="false" outlineLevel="0" collapsed="false">
      <c r="A8" s="36" t="n">
        <v>46160</v>
      </c>
      <c r="B8" s="24" t="s">
        <v>61</v>
      </c>
      <c r="C8" s="24" t="s">
        <v>115</v>
      </c>
      <c r="D8" s="33" t="n">
        <v>188</v>
      </c>
      <c r="E8" s="24" t="n">
        <v>0</v>
      </c>
      <c r="F8" s="37" t="n">
        <f aca="false">DATE(YEAR(A8),MONTH(A8),1)</f>
        <v>46143</v>
      </c>
      <c r="G8" s="24" t="str">
        <f aca="false">INDEX(Products!$C$2:$C$49,MATCH(C8,Products!$A$2:$A$49,0))</f>
        <v>Grocery Staples</v>
      </c>
      <c r="H8" s="33" t="n">
        <f aca="false">D8*INDEX(Products!$E$2:$E$49,MATCH(C8,Products!$A$2:$A$49,0))</f>
        <v>31020</v>
      </c>
      <c r="I8" s="33" t="n">
        <f aca="false">D8*INDEX(Products!$D$2:$D$49,MATCH(C8,Products!$A$2:$A$49,0))*(1+INDEX(Assumptions!$B$16:$B$20,MATCH(B8,Assumptions!$A$16:$A$20,0)))</f>
        <v>27342.72</v>
      </c>
      <c r="J8" s="33" t="n">
        <f aca="false">H8-I8</f>
        <v>3677.28</v>
      </c>
      <c r="K8" s="33" t="n">
        <f aca="false">IF(OR(E8=0,E8&gt;=7),0,D8/(7-E8)*E8*INDEX(Products!$E$2:$E$49,MATCH(C8,Products!$A$2:$A$49,0)))</f>
        <v>0</v>
      </c>
    </row>
    <row r="9" customFormat="false" ht="15" hidden="false" customHeight="false" outlineLevel="0" collapsed="false">
      <c r="A9" s="36" t="n">
        <v>46167</v>
      </c>
      <c r="B9" s="24" t="s">
        <v>61</v>
      </c>
      <c r="C9" s="24" t="s">
        <v>115</v>
      </c>
      <c r="D9" s="33" t="n">
        <v>192</v>
      </c>
      <c r="E9" s="24" t="n">
        <v>0</v>
      </c>
      <c r="F9" s="37" t="n">
        <f aca="false">DATE(YEAR(A9),MONTH(A9),1)</f>
        <v>46143</v>
      </c>
      <c r="G9" s="24" t="str">
        <f aca="false">INDEX(Products!$C$2:$C$49,MATCH(C9,Products!$A$2:$A$49,0))</f>
        <v>Grocery Staples</v>
      </c>
      <c r="H9" s="33" t="n">
        <f aca="false">D9*INDEX(Products!$E$2:$E$49,MATCH(C9,Products!$A$2:$A$49,0))</f>
        <v>31680</v>
      </c>
      <c r="I9" s="33" t="n">
        <f aca="false">D9*INDEX(Products!$D$2:$D$49,MATCH(C9,Products!$A$2:$A$49,0))*(1+INDEX(Assumptions!$B$16:$B$20,MATCH(B9,Assumptions!$A$16:$A$20,0)))</f>
        <v>27924.48</v>
      </c>
      <c r="J9" s="33" t="n">
        <f aca="false">H9-I9</f>
        <v>3755.52</v>
      </c>
      <c r="K9" s="33" t="n">
        <f aca="false">IF(OR(E9=0,E9&gt;=7),0,D9/(7-E9)*E9*INDEX(Products!$E$2:$E$49,MATCH(C9,Products!$A$2:$A$49,0)))</f>
        <v>0</v>
      </c>
    </row>
    <row r="10" customFormat="false" ht="15" hidden="false" customHeight="false" outlineLevel="0" collapsed="false">
      <c r="A10" s="36" t="n">
        <v>46174</v>
      </c>
      <c r="B10" s="24" t="s">
        <v>61</v>
      </c>
      <c r="C10" s="24" t="s">
        <v>115</v>
      </c>
      <c r="D10" s="33" t="n">
        <v>47</v>
      </c>
      <c r="E10" s="24" t="n">
        <v>5</v>
      </c>
      <c r="F10" s="37" t="n">
        <f aca="false">DATE(YEAR(A10),MONTH(A10),1)</f>
        <v>46174</v>
      </c>
      <c r="G10" s="24" t="str">
        <f aca="false">INDEX(Products!$C$2:$C$49,MATCH(C10,Products!$A$2:$A$49,0))</f>
        <v>Grocery Staples</v>
      </c>
      <c r="H10" s="33" t="n">
        <f aca="false">D10*INDEX(Products!$E$2:$E$49,MATCH(C10,Products!$A$2:$A$49,0))</f>
        <v>7755</v>
      </c>
      <c r="I10" s="33" t="n">
        <f aca="false">D10*INDEX(Products!$D$2:$D$49,MATCH(C10,Products!$A$2:$A$49,0))*(1+INDEX(Assumptions!$B$16:$B$20,MATCH(B10,Assumptions!$A$16:$A$20,0)))</f>
        <v>6835.68</v>
      </c>
      <c r="J10" s="33" t="n">
        <f aca="false">H10-I10</f>
        <v>919.32</v>
      </c>
      <c r="K10" s="33" t="n">
        <f aca="false">IF(OR(E10=0,E10&gt;=7),0,D10/(7-E10)*E10*INDEX(Products!$E$2:$E$49,MATCH(C10,Products!$A$2:$A$49,0)))</f>
        <v>19387.5</v>
      </c>
    </row>
    <row r="11" customFormat="false" ht="15" hidden="false" customHeight="false" outlineLevel="0" collapsed="false">
      <c r="A11" s="36" t="n">
        <v>46181</v>
      </c>
      <c r="B11" s="24" t="s">
        <v>61</v>
      </c>
      <c r="C11" s="24" t="s">
        <v>115</v>
      </c>
      <c r="D11" s="33" t="n">
        <v>183</v>
      </c>
      <c r="E11" s="24" t="n">
        <v>0</v>
      </c>
      <c r="F11" s="37" t="n">
        <f aca="false">DATE(YEAR(A11),MONTH(A11),1)</f>
        <v>46174</v>
      </c>
      <c r="G11" s="24" t="str">
        <f aca="false">INDEX(Products!$C$2:$C$49,MATCH(C11,Products!$A$2:$A$49,0))</f>
        <v>Grocery Staples</v>
      </c>
      <c r="H11" s="33" t="n">
        <f aca="false">D11*INDEX(Products!$E$2:$E$49,MATCH(C11,Products!$A$2:$A$49,0))</f>
        <v>30195</v>
      </c>
      <c r="I11" s="33" t="n">
        <f aca="false">D11*INDEX(Products!$D$2:$D$49,MATCH(C11,Products!$A$2:$A$49,0))*(1+INDEX(Assumptions!$B$16:$B$20,MATCH(B11,Assumptions!$A$16:$A$20,0)))</f>
        <v>26615.52</v>
      </c>
      <c r="J11" s="33" t="n">
        <f aca="false">H11-I11</f>
        <v>3579.48</v>
      </c>
      <c r="K11" s="33" t="n">
        <f aca="false">IF(OR(E11=0,E11&gt;=7),0,D11/(7-E11)*E11*INDEX(Products!$E$2:$E$49,MATCH(C11,Products!$A$2:$A$49,0)))</f>
        <v>0</v>
      </c>
    </row>
    <row r="12" customFormat="false" ht="15" hidden="false" customHeight="false" outlineLevel="0" collapsed="false">
      <c r="A12" s="36" t="n">
        <v>46188</v>
      </c>
      <c r="B12" s="24" t="s">
        <v>61</v>
      </c>
      <c r="C12" s="24" t="s">
        <v>115</v>
      </c>
      <c r="D12" s="33" t="n">
        <v>178</v>
      </c>
      <c r="E12" s="24" t="n">
        <v>0</v>
      </c>
      <c r="F12" s="37" t="n">
        <f aca="false">DATE(YEAR(A12),MONTH(A12),1)</f>
        <v>46174</v>
      </c>
      <c r="G12" s="24" t="str">
        <f aca="false">INDEX(Products!$C$2:$C$49,MATCH(C12,Products!$A$2:$A$49,0))</f>
        <v>Grocery Staples</v>
      </c>
      <c r="H12" s="33" t="n">
        <f aca="false">D12*INDEX(Products!$E$2:$E$49,MATCH(C12,Products!$A$2:$A$49,0))</f>
        <v>29370</v>
      </c>
      <c r="I12" s="33" t="n">
        <f aca="false">D12*INDEX(Products!$D$2:$D$49,MATCH(C12,Products!$A$2:$A$49,0))*(1+INDEX(Assumptions!$B$16:$B$20,MATCH(B12,Assumptions!$A$16:$A$20,0)))</f>
        <v>25888.32</v>
      </c>
      <c r="J12" s="33" t="n">
        <f aca="false">H12-I12</f>
        <v>3481.68</v>
      </c>
      <c r="K12" s="33" t="n">
        <f aca="false">IF(OR(E12=0,E12&gt;=7),0,D12/(7-E12)*E12*INDEX(Products!$E$2:$E$49,MATCH(C12,Products!$A$2:$A$49,0)))</f>
        <v>0</v>
      </c>
    </row>
    <row r="13" customFormat="false" ht="15" hidden="false" customHeight="false" outlineLevel="0" collapsed="false">
      <c r="A13" s="36" t="n">
        <v>46195</v>
      </c>
      <c r="B13" s="24" t="s">
        <v>61</v>
      </c>
      <c r="C13" s="24" t="s">
        <v>115</v>
      </c>
      <c r="D13" s="33" t="n">
        <v>191</v>
      </c>
      <c r="E13" s="24" t="n">
        <v>0</v>
      </c>
      <c r="F13" s="37" t="n">
        <f aca="false">DATE(YEAR(A13),MONTH(A13),1)</f>
        <v>46174</v>
      </c>
      <c r="G13" s="24" t="str">
        <f aca="false">INDEX(Products!$C$2:$C$49,MATCH(C13,Products!$A$2:$A$49,0))</f>
        <v>Grocery Staples</v>
      </c>
      <c r="H13" s="33" t="n">
        <f aca="false">D13*INDEX(Products!$E$2:$E$49,MATCH(C13,Products!$A$2:$A$49,0))</f>
        <v>31515</v>
      </c>
      <c r="I13" s="33" t="n">
        <f aca="false">D13*INDEX(Products!$D$2:$D$49,MATCH(C13,Products!$A$2:$A$49,0))*(1+INDEX(Assumptions!$B$16:$B$20,MATCH(B13,Assumptions!$A$16:$A$20,0)))</f>
        <v>27779.04</v>
      </c>
      <c r="J13" s="33" t="n">
        <f aca="false">H13-I13</f>
        <v>3735.96</v>
      </c>
      <c r="K13" s="33" t="n">
        <f aca="false">IF(OR(E13=0,E13&gt;=7),0,D13/(7-E13)*E13*INDEX(Products!$E$2:$E$49,MATCH(C13,Products!$A$2:$A$49,0)))</f>
        <v>0</v>
      </c>
    </row>
    <row r="14" customFormat="false" ht="15" hidden="false" customHeight="false" outlineLevel="0" collapsed="false">
      <c r="A14" s="36" t="n">
        <v>46202</v>
      </c>
      <c r="B14" s="24" t="s">
        <v>61</v>
      </c>
      <c r="C14" s="24" t="s">
        <v>115</v>
      </c>
      <c r="D14" s="33" t="n">
        <v>185</v>
      </c>
      <c r="E14" s="24" t="n">
        <v>0</v>
      </c>
      <c r="F14" s="37" t="n">
        <f aca="false">DATE(YEAR(A14),MONTH(A14),1)</f>
        <v>46174</v>
      </c>
      <c r="G14" s="24" t="str">
        <f aca="false">INDEX(Products!$C$2:$C$49,MATCH(C14,Products!$A$2:$A$49,0))</f>
        <v>Grocery Staples</v>
      </c>
      <c r="H14" s="33" t="n">
        <f aca="false">D14*INDEX(Products!$E$2:$E$49,MATCH(C14,Products!$A$2:$A$49,0))</f>
        <v>30525</v>
      </c>
      <c r="I14" s="33" t="n">
        <f aca="false">D14*INDEX(Products!$D$2:$D$49,MATCH(C14,Products!$A$2:$A$49,0))*(1+INDEX(Assumptions!$B$16:$B$20,MATCH(B14,Assumptions!$A$16:$A$20,0)))</f>
        <v>26906.4</v>
      </c>
      <c r="J14" s="33" t="n">
        <f aca="false">H14-I14</f>
        <v>3618.6</v>
      </c>
      <c r="K14" s="33" t="n">
        <f aca="false">IF(OR(E14=0,E14&gt;=7),0,D14/(7-E14)*E14*INDEX(Products!$E$2:$E$49,MATCH(C14,Products!$A$2:$A$49,0)))</f>
        <v>0</v>
      </c>
    </row>
    <row r="15" customFormat="false" ht="15" hidden="false" customHeight="false" outlineLevel="0" collapsed="false">
      <c r="A15" s="36" t="n">
        <v>46209</v>
      </c>
      <c r="B15" s="24" t="s">
        <v>61</v>
      </c>
      <c r="C15" s="24" t="s">
        <v>115</v>
      </c>
      <c r="D15" s="33" t="n">
        <v>156</v>
      </c>
      <c r="E15" s="24" t="n">
        <v>0</v>
      </c>
      <c r="F15" s="37" t="n">
        <f aca="false">DATE(YEAR(A15),MONTH(A15),1)</f>
        <v>46204</v>
      </c>
      <c r="G15" s="24" t="str">
        <f aca="false">INDEX(Products!$C$2:$C$49,MATCH(C15,Products!$A$2:$A$49,0))</f>
        <v>Grocery Staples</v>
      </c>
      <c r="H15" s="33" t="n">
        <f aca="false">D15*INDEX(Products!$E$2:$E$49,MATCH(C15,Products!$A$2:$A$49,0))</f>
        <v>25740</v>
      </c>
      <c r="I15" s="33" t="n">
        <f aca="false">D15*INDEX(Products!$D$2:$D$49,MATCH(C15,Products!$A$2:$A$49,0))*(1+INDEX(Assumptions!$B$16:$B$20,MATCH(B15,Assumptions!$A$16:$A$20,0)))</f>
        <v>22688.64</v>
      </c>
      <c r="J15" s="33" t="n">
        <f aca="false">H15-I15</f>
        <v>3051.36</v>
      </c>
      <c r="K15" s="33" t="n">
        <f aca="false">IF(OR(E15=0,E15&gt;=7),0,D15/(7-E15)*E15*INDEX(Products!$E$2:$E$49,MATCH(C15,Products!$A$2:$A$49,0)))</f>
        <v>0</v>
      </c>
    </row>
    <row r="16" customFormat="false" ht="15" hidden="false" customHeight="false" outlineLevel="0" collapsed="false">
      <c r="A16" s="36" t="n">
        <v>46216</v>
      </c>
      <c r="B16" s="24" t="s">
        <v>61</v>
      </c>
      <c r="C16" s="24" t="s">
        <v>115</v>
      </c>
      <c r="D16" s="33" t="n">
        <v>168</v>
      </c>
      <c r="E16" s="24" t="n">
        <v>0</v>
      </c>
      <c r="F16" s="37" t="n">
        <f aca="false">DATE(YEAR(A16),MONTH(A16),1)</f>
        <v>46204</v>
      </c>
      <c r="G16" s="24" t="str">
        <f aca="false">INDEX(Products!$C$2:$C$49,MATCH(C16,Products!$A$2:$A$49,0))</f>
        <v>Grocery Staples</v>
      </c>
      <c r="H16" s="33" t="n">
        <f aca="false">D16*INDEX(Products!$E$2:$E$49,MATCH(C16,Products!$A$2:$A$49,0))</f>
        <v>27720</v>
      </c>
      <c r="I16" s="33" t="n">
        <f aca="false">D16*INDEX(Products!$D$2:$D$49,MATCH(C16,Products!$A$2:$A$49,0))*(1+INDEX(Assumptions!$B$16:$B$20,MATCH(B16,Assumptions!$A$16:$A$20,0)))</f>
        <v>24433.92</v>
      </c>
      <c r="J16" s="33" t="n">
        <f aca="false">H16-I16</f>
        <v>3286.08</v>
      </c>
      <c r="K16" s="33" t="n">
        <f aca="false">IF(OR(E16=0,E16&gt;=7),0,D16/(7-E16)*E16*INDEX(Products!$E$2:$E$49,MATCH(C16,Products!$A$2:$A$49,0)))</f>
        <v>0</v>
      </c>
    </row>
    <row r="17" customFormat="false" ht="15" hidden="false" customHeight="false" outlineLevel="0" collapsed="false">
      <c r="A17" s="36" t="n">
        <v>46223</v>
      </c>
      <c r="B17" s="24" t="s">
        <v>61</v>
      </c>
      <c r="C17" s="24" t="s">
        <v>115</v>
      </c>
      <c r="D17" s="33" t="n">
        <v>188</v>
      </c>
      <c r="E17" s="24" t="n">
        <v>0</v>
      </c>
      <c r="F17" s="37" t="n">
        <f aca="false">DATE(YEAR(A17),MONTH(A17),1)</f>
        <v>46204</v>
      </c>
      <c r="G17" s="24" t="str">
        <f aca="false">INDEX(Products!$C$2:$C$49,MATCH(C17,Products!$A$2:$A$49,0))</f>
        <v>Grocery Staples</v>
      </c>
      <c r="H17" s="33" t="n">
        <f aca="false">D17*INDEX(Products!$E$2:$E$49,MATCH(C17,Products!$A$2:$A$49,0))</f>
        <v>31020</v>
      </c>
      <c r="I17" s="33" t="n">
        <f aca="false">D17*INDEX(Products!$D$2:$D$49,MATCH(C17,Products!$A$2:$A$49,0))*(1+INDEX(Assumptions!$B$16:$B$20,MATCH(B17,Assumptions!$A$16:$A$20,0)))</f>
        <v>27342.72</v>
      </c>
      <c r="J17" s="33" t="n">
        <f aca="false">H17-I17</f>
        <v>3677.28</v>
      </c>
      <c r="K17" s="33" t="n">
        <f aca="false">IF(OR(E17=0,E17&gt;=7),0,D17/(7-E17)*E17*INDEX(Products!$E$2:$E$49,MATCH(C17,Products!$A$2:$A$49,0)))</f>
        <v>0</v>
      </c>
    </row>
    <row r="18" customFormat="false" ht="15" hidden="false" customHeight="false" outlineLevel="0" collapsed="false">
      <c r="A18" s="36" t="n">
        <v>46230</v>
      </c>
      <c r="B18" s="24" t="s">
        <v>61</v>
      </c>
      <c r="C18" s="24" t="s">
        <v>115</v>
      </c>
      <c r="D18" s="33" t="n">
        <v>148</v>
      </c>
      <c r="E18" s="24" t="n">
        <v>0</v>
      </c>
      <c r="F18" s="37" t="n">
        <f aca="false">DATE(YEAR(A18),MONTH(A18),1)</f>
        <v>46204</v>
      </c>
      <c r="G18" s="24" t="str">
        <f aca="false">INDEX(Products!$C$2:$C$49,MATCH(C18,Products!$A$2:$A$49,0))</f>
        <v>Grocery Staples</v>
      </c>
      <c r="H18" s="33" t="n">
        <f aca="false">D18*INDEX(Products!$E$2:$E$49,MATCH(C18,Products!$A$2:$A$49,0))</f>
        <v>24420</v>
      </c>
      <c r="I18" s="33" t="n">
        <f aca="false">D18*INDEX(Products!$D$2:$D$49,MATCH(C18,Products!$A$2:$A$49,0))*(1+INDEX(Assumptions!$B$16:$B$20,MATCH(B18,Assumptions!$A$16:$A$20,0)))</f>
        <v>21525.12</v>
      </c>
      <c r="J18" s="33" t="n">
        <f aca="false">H18-I18</f>
        <v>2894.88</v>
      </c>
      <c r="K18" s="33" t="n">
        <f aca="false">IF(OR(E18=0,E18&gt;=7),0,D18/(7-E18)*E18*INDEX(Products!$E$2:$E$49,MATCH(C18,Products!$A$2:$A$49,0)))</f>
        <v>0</v>
      </c>
    </row>
    <row r="19" customFormat="false" ht="15" hidden="false" customHeight="false" outlineLevel="0" collapsed="false">
      <c r="A19" s="36" t="n">
        <v>46237</v>
      </c>
      <c r="B19" s="24" t="s">
        <v>61</v>
      </c>
      <c r="C19" s="24" t="s">
        <v>115</v>
      </c>
      <c r="D19" s="33" t="n">
        <v>168</v>
      </c>
      <c r="E19" s="24" t="n">
        <v>0</v>
      </c>
      <c r="F19" s="37" t="n">
        <f aca="false">DATE(YEAR(A19),MONTH(A19),1)</f>
        <v>46235</v>
      </c>
      <c r="G19" s="24" t="str">
        <f aca="false">INDEX(Products!$C$2:$C$49,MATCH(C19,Products!$A$2:$A$49,0))</f>
        <v>Grocery Staples</v>
      </c>
      <c r="H19" s="33" t="n">
        <f aca="false">D19*INDEX(Products!$E$2:$E$49,MATCH(C19,Products!$A$2:$A$49,0))</f>
        <v>27720</v>
      </c>
      <c r="I19" s="33" t="n">
        <f aca="false">D19*INDEX(Products!$D$2:$D$49,MATCH(C19,Products!$A$2:$A$49,0))*(1+INDEX(Assumptions!$B$16:$B$20,MATCH(B19,Assumptions!$A$16:$A$20,0)))</f>
        <v>24433.92</v>
      </c>
      <c r="J19" s="33" t="n">
        <f aca="false">H19-I19</f>
        <v>3286.08</v>
      </c>
      <c r="K19" s="33" t="n">
        <f aca="false">IF(OR(E19=0,E19&gt;=7),0,D19/(7-E19)*E19*INDEX(Products!$E$2:$E$49,MATCH(C19,Products!$A$2:$A$49,0)))</f>
        <v>0</v>
      </c>
    </row>
    <row r="20" customFormat="false" ht="15" hidden="false" customHeight="false" outlineLevel="0" collapsed="false">
      <c r="A20" s="36" t="n">
        <v>46244</v>
      </c>
      <c r="B20" s="24" t="s">
        <v>61</v>
      </c>
      <c r="C20" s="24" t="s">
        <v>115</v>
      </c>
      <c r="D20" s="33" t="n">
        <v>155</v>
      </c>
      <c r="E20" s="24" t="n">
        <v>0</v>
      </c>
      <c r="F20" s="37" t="n">
        <f aca="false">DATE(YEAR(A20),MONTH(A20),1)</f>
        <v>46235</v>
      </c>
      <c r="G20" s="24" t="str">
        <f aca="false">INDEX(Products!$C$2:$C$49,MATCH(C20,Products!$A$2:$A$49,0))</f>
        <v>Grocery Staples</v>
      </c>
      <c r="H20" s="33" t="n">
        <f aca="false">D20*INDEX(Products!$E$2:$E$49,MATCH(C20,Products!$A$2:$A$49,0))</f>
        <v>25575</v>
      </c>
      <c r="I20" s="33" t="n">
        <f aca="false">D20*INDEX(Products!$D$2:$D$49,MATCH(C20,Products!$A$2:$A$49,0))*(1+INDEX(Assumptions!$B$16:$B$20,MATCH(B20,Assumptions!$A$16:$A$20,0)))</f>
        <v>22543.2</v>
      </c>
      <c r="J20" s="33" t="n">
        <f aca="false">H20-I20</f>
        <v>3031.8</v>
      </c>
      <c r="K20" s="33" t="n">
        <f aca="false">IF(OR(E20=0,E20&gt;=7),0,D20/(7-E20)*E20*INDEX(Products!$E$2:$E$49,MATCH(C20,Products!$A$2:$A$49,0)))</f>
        <v>0</v>
      </c>
    </row>
    <row r="21" customFormat="false" ht="15" hidden="false" customHeight="false" outlineLevel="0" collapsed="false">
      <c r="A21" s="36" t="n">
        <v>46251</v>
      </c>
      <c r="B21" s="24" t="s">
        <v>61</v>
      </c>
      <c r="C21" s="24" t="s">
        <v>115</v>
      </c>
      <c r="D21" s="33" t="n">
        <v>48</v>
      </c>
      <c r="E21" s="24" t="n">
        <v>5</v>
      </c>
      <c r="F21" s="37" t="n">
        <f aca="false">DATE(YEAR(A21),MONTH(A21),1)</f>
        <v>46235</v>
      </c>
      <c r="G21" s="24" t="str">
        <f aca="false">INDEX(Products!$C$2:$C$49,MATCH(C21,Products!$A$2:$A$49,0))</f>
        <v>Grocery Staples</v>
      </c>
      <c r="H21" s="33" t="n">
        <f aca="false">D21*INDEX(Products!$E$2:$E$49,MATCH(C21,Products!$A$2:$A$49,0))</f>
        <v>7920</v>
      </c>
      <c r="I21" s="33" t="n">
        <f aca="false">D21*INDEX(Products!$D$2:$D$49,MATCH(C21,Products!$A$2:$A$49,0))*(1+INDEX(Assumptions!$B$16:$B$20,MATCH(B21,Assumptions!$A$16:$A$20,0)))</f>
        <v>6981.12</v>
      </c>
      <c r="J21" s="33" t="n">
        <f aca="false">H21-I21</f>
        <v>938.88</v>
      </c>
      <c r="K21" s="33" t="n">
        <f aca="false">IF(OR(E21=0,E21&gt;=7),0,D21/(7-E21)*E21*INDEX(Products!$E$2:$E$49,MATCH(C21,Products!$A$2:$A$49,0)))</f>
        <v>19800</v>
      </c>
    </row>
    <row r="22" customFormat="false" ht="15" hidden="false" customHeight="false" outlineLevel="0" collapsed="false">
      <c r="A22" s="36" t="n">
        <v>46258</v>
      </c>
      <c r="B22" s="24" t="s">
        <v>61</v>
      </c>
      <c r="C22" s="24" t="s">
        <v>115</v>
      </c>
      <c r="D22" s="33" t="n">
        <v>220</v>
      </c>
      <c r="E22" s="24" t="n">
        <v>0</v>
      </c>
      <c r="F22" s="37" t="n">
        <f aca="false">DATE(YEAR(A22),MONTH(A22),1)</f>
        <v>46235</v>
      </c>
      <c r="G22" s="24" t="str">
        <f aca="false">INDEX(Products!$C$2:$C$49,MATCH(C22,Products!$A$2:$A$49,0))</f>
        <v>Grocery Staples</v>
      </c>
      <c r="H22" s="33" t="n">
        <f aca="false">D22*INDEX(Products!$E$2:$E$49,MATCH(C22,Products!$A$2:$A$49,0))</f>
        <v>36300</v>
      </c>
      <c r="I22" s="33" t="n">
        <f aca="false">D22*INDEX(Products!$D$2:$D$49,MATCH(C22,Products!$A$2:$A$49,0))*(1+INDEX(Assumptions!$B$16:$B$20,MATCH(B22,Assumptions!$A$16:$A$20,0)))</f>
        <v>31996.8</v>
      </c>
      <c r="J22" s="33" t="n">
        <f aca="false">H22-I22</f>
        <v>4303.2</v>
      </c>
      <c r="K22" s="33" t="n">
        <f aca="false">IF(OR(E22=0,E22&gt;=7),0,D22/(7-E22)*E22*INDEX(Products!$E$2:$E$49,MATCH(C22,Products!$A$2:$A$49,0)))</f>
        <v>0</v>
      </c>
    </row>
    <row r="23" customFormat="false" ht="15" hidden="false" customHeight="false" outlineLevel="0" collapsed="false">
      <c r="A23" s="36" t="n">
        <v>46265</v>
      </c>
      <c r="B23" s="24" t="s">
        <v>61</v>
      </c>
      <c r="C23" s="24" t="s">
        <v>115</v>
      </c>
      <c r="D23" s="33" t="n">
        <v>159</v>
      </c>
      <c r="E23" s="24" t="n">
        <v>0</v>
      </c>
      <c r="F23" s="37" t="n">
        <f aca="false">DATE(YEAR(A23),MONTH(A23),1)</f>
        <v>46235</v>
      </c>
      <c r="G23" s="24" t="str">
        <f aca="false">INDEX(Products!$C$2:$C$49,MATCH(C23,Products!$A$2:$A$49,0))</f>
        <v>Grocery Staples</v>
      </c>
      <c r="H23" s="33" t="n">
        <f aca="false">D23*INDEX(Products!$E$2:$E$49,MATCH(C23,Products!$A$2:$A$49,0))</f>
        <v>26235</v>
      </c>
      <c r="I23" s="33" t="n">
        <f aca="false">D23*INDEX(Products!$D$2:$D$49,MATCH(C23,Products!$A$2:$A$49,0))*(1+INDEX(Assumptions!$B$16:$B$20,MATCH(B23,Assumptions!$A$16:$A$20,0)))</f>
        <v>23124.96</v>
      </c>
      <c r="J23" s="33" t="n">
        <f aca="false">H23-I23</f>
        <v>3110.04</v>
      </c>
      <c r="K23" s="33" t="n">
        <f aca="false">IF(OR(E23=0,E23&gt;=7),0,D23/(7-E23)*E23*INDEX(Products!$E$2:$E$49,MATCH(C23,Products!$A$2:$A$49,0)))</f>
        <v>0</v>
      </c>
    </row>
    <row r="24" customFormat="false" ht="15" hidden="false" customHeight="false" outlineLevel="0" collapsed="false">
      <c r="A24" s="36" t="n">
        <v>46272</v>
      </c>
      <c r="B24" s="24" t="s">
        <v>61</v>
      </c>
      <c r="C24" s="24" t="s">
        <v>115</v>
      </c>
      <c r="D24" s="33" t="n">
        <v>166</v>
      </c>
      <c r="E24" s="24" t="n">
        <v>0</v>
      </c>
      <c r="F24" s="37" t="n">
        <f aca="false">DATE(YEAR(A24),MONTH(A24),1)</f>
        <v>46266</v>
      </c>
      <c r="G24" s="24" t="str">
        <f aca="false">INDEX(Products!$C$2:$C$49,MATCH(C24,Products!$A$2:$A$49,0))</f>
        <v>Grocery Staples</v>
      </c>
      <c r="H24" s="33" t="n">
        <f aca="false">D24*INDEX(Products!$E$2:$E$49,MATCH(C24,Products!$A$2:$A$49,0))</f>
        <v>27390</v>
      </c>
      <c r="I24" s="33" t="n">
        <f aca="false">D24*INDEX(Products!$D$2:$D$49,MATCH(C24,Products!$A$2:$A$49,0))*(1+INDEX(Assumptions!$B$16:$B$20,MATCH(B24,Assumptions!$A$16:$A$20,0)))</f>
        <v>24143.04</v>
      </c>
      <c r="J24" s="33" t="n">
        <f aca="false">H24-I24</f>
        <v>3246.96</v>
      </c>
      <c r="K24" s="33" t="n">
        <f aca="false">IF(OR(E24=0,E24&gt;=7),0,D24/(7-E24)*E24*INDEX(Products!$E$2:$E$49,MATCH(C24,Products!$A$2:$A$49,0)))</f>
        <v>0</v>
      </c>
    </row>
    <row r="25" customFormat="false" ht="15" hidden="false" customHeight="false" outlineLevel="0" collapsed="false">
      <c r="A25" s="36" t="n">
        <v>46279</v>
      </c>
      <c r="B25" s="24" t="s">
        <v>61</v>
      </c>
      <c r="C25" s="24" t="s">
        <v>115</v>
      </c>
      <c r="D25" s="33" t="n">
        <v>178</v>
      </c>
      <c r="E25" s="24" t="n">
        <v>0</v>
      </c>
      <c r="F25" s="37" t="n">
        <f aca="false">DATE(YEAR(A25),MONTH(A25),1)</f>
        <v>46266</v>
      </c>
      <c r="G25" s="24" t="str">
        <f aca="false">INDEX(Products!$C$2:$C$49,MATCH(C25,Products!$A$2:$A$49,0))</f>
        <v>Grocery Staples</v>
      </c>
      <c r="H25" s="33" t="n">
        <f aca="false">D25*INDEX(Products!$E$2:$E$49,MATCH(C25,Products!$A$2:$A$49,0))</f>
        <v>29370</v>
      </c>
      <c r="I25" s="33" t="n">
        <f aca="false">D25*INDEX(Products!$D$2:$D$49,MATCH(C25,Products!$A$2:$A$49,0))*(1+INDEX(Assumptions!$B$16:$B$20,MATCH(B25,Assumptions!$A$16:$A$20,0)))</f>
        <v>25888.32</v>
      </c>
      <c r="J25" s="33" t="n">
        <f aca="false">H25-I25</f>
        <v>3481.68</v>
      </c>
      <c r="K25" s="33" t="n">
        <f aca="false">IF(OR(E25=0,E25&gt;=7),0,D25/(7-E25)*E25*INDEX(Products!$E$2:$E$49,MATCH(C25,Products!$A$2:$A$49,0)))</f>
        <v>0</v>
      </c>
    </row>
    <row r="26" customFormat="false" ht="15" hidden="false" customHeight="false" outlineLevel="0" collapsed="false">
      <c r="A26" s="36" t="n">
        <v>46286</v>
      </c>
      <c r="B26" s="24" t="s">
        <v>61</v>
      </c>
      <c r="C26" s="24" t="s">
        <v>115</v>
      </c>
      <c r="D26" s="33" t="n">
        <v>230</v>
      </c>
      <c r="E26" s="24" t="n">
        <v>0</v>
      </c>
      <c r="F26" s="37" t="n">
        <f aca="false">DATE(YEAR(A26),MONTH(A26),1)</f>
        <v>46266</v>
      </c>
      <c r="G26" s="24" t="str">
        <f aca="false">INDEX(Products!$C$2:$C$49,MATCH(C26,Products!$A$2:$A$49,0))</f>
        <v>Grocery Staples</v>
      </c>
      <c r="H26" s="33" t="n">
        <f aca="false">D26*INDEX(Products!$E$2:$E$49,MATCH(C26,Products!$A$2:$A$49,0))</f>
        <v>37950</v>
      </c>
      <c r="I26" s="33" t="n">
        <f aca="false">D26*INDEX(Products!$D$2:$D$49,MATCH(C26,Products!$A$2:$A$49,0))*(1+INDEX(Assumptions!$B$16:$B$20,MATCH(B26,Assumptions!$A$16:$A$20,0)))</f>
        <v>33451.2</v>
      </c>
      <c r="J26" s="33" t="n">
        <f aca="false">H26-I26</f>
        <v>4498.8</v>
      </c>
      <c r="K26" s="33" t="n">
        <f aca="false">IF(OR(E26=0,E26&gt;=7),0,D26/(7-E26)*E26*INDEX(Products!$E$2:$E$49,MATCH(C26,Products!$A$2:$A$49,0)))</f>
        <v>0</v>
      </c>
    </row>
    <row r="27" customFormat="false" ht="15" hidden="false" customHeight="false" outlineLevel="0" collapsed="false">
      <c r="A27" s="36" t="n">
        <v>46118</v>
      </c>
      <c r="B27" s="24" t="s">
        <v>61</v>
      </c>
      <c r="C27" s="24" t="s">
        <v>117</v>
      </c>
      <c r="D27" s="33" t="n">
        <v>112</v>
      </c>
      <c r="E27" s="24" t="n">
        <v>1</v>
      </c>
      <c r="F27" s="37" t="n">
        <f aca="false">DATE(YEAR(A27),MONTH(A27),1)</f>
        <v>46113</v>
      </c>
      <c r="G27" s="24" t="str">
        <f aca="false">INDEX(Products!$C$2:$C$49,MATCH(C27,Products!$A$2:$A$49,0))</f>
        <v>Grocery Staples</v>
      </c>
      <c r="H27" s="33" t="n">
        <f aca="false">D27*INDEX(Products!$E$2:$E$49,MATCH(C27,Products!$A$2:$A$49,0))</f>
        <v>21280</v>
      </c>
      <c r="I27" s="33" t="n">
        <f aca="false">D27*INDEX(Products!$D$2:$D$49,MATCH(C27,Products!$A$2:$A$49,0))*(1+INDEX(Assumptions!$B$16:$B$20,MATCH(B27,Assumptions!$A$16:$A$20,0)))</f>
        <v>19004.16</v>
      </c>
      <c r="J27" s="33" t="n">
        <f aca="false">H27-I27</f>
        <v>2275.84</v>
      </c>
      <c r="K27" s="33" t="n">
        <f aca="false">IF(OR(E27=0,E27&gt;=7),0,D27/(7-E27)*E27*INDEX(Products!$E$2:$E$49,MATCH(C27,Products!$A$2:$A$49,0)))</f>
        <v>3546.66666666667</v>
      </c>
    </row>
    <row r="28" customFormat="false" ht="15" hidden="false" customHeight="false" outlineLevel="0" collapsed="false">
      <c r="A28" s="36" t="n">
        <v>46125</v>
      </c>
      <c r="B28" s="24" t="s">
        <v>61</v>
      </c>
      <c r="C28" s="24" t="s">
        <v>117</v>
      </c>
      <c r="D28" s="33" t="n">
        <v>129</v>
      </c>
      <c r="E28" s="24" t="n">
        <v>0</v>
      </c>
      <c r="F28" s="37" t="n">
        <f aca="false">DATE(YEAR(A28),MONTH(A28),1)</f>
        <v>46113</v>
      </c>
      <c r="G28" s="24" t="str">
        <f aca="false">INDEX(Products!$C$2:$C$49,MATCH(C28,Products!$A$2:$A$49,0))</f>
        <v>Grocery Staples</v>
      </c>
      <c r="H28" s="33" t="n">
        <f aca="false">D28*INDEX(Products!$E$2:$E$49,MATCH(C28,Products!$A$2:$A$49,0))</f>
        <v>24510</v>
      </c>
      <c r="I28" s="33" t="n">
        <f aca="false">D28*INDEX(Products!$D$2:$D$49,MATCH(C28,Products!$A$2:$A$49,0))*(1+INDEX(Assumptions!$B$16:$B$20,MATCH(B28,Assumptions!$A$16:$A$20,0)))</f>
        <v>21888.72</v>
      </c>
      <c r="J28" s="33" t="n">
        <f aca="false">H28-I28</f>
        <v>2621.28</v>
      </c>
      <c r="K28" s="33" t="n">
        <f aca="false">IF(OR(E28=0,E28&gt;=7),0,D28/(7-E28)*E28*INDEX(Products!$E$2:$E$49,MATCH(C28,Products!$A$2:$A$49,0)))</f>
        <v>0</v>
      </c>
    </row>
    <row r="29" customFormat="false" ht="15" hidden="false" customHeight="false" outlineLevel="0" collapsed="false">
      <c r="A29" s="36" t="n">
        <v>46132</v>
      </c>
      <c r="B29" s="24" t="s">
        <v>61</v>
      </c>
      <c r="C29" s="24" t="s">
        <v>117</v>
      </c>
      <c r="D29" s="33" t="n">
        <v>228</v>
      </c>
      <c r="E29" s="24" t="n">
        <v>0</v>
      </c>
      <c r="F29" s="37" t="n">
        <f aca="false">DATE(YEAR(A29),MONTH(A29),1)</f>
        <v>46113</v>
      </c>
      <c r="G29" s="24" t="str">
        <f aca="false">INDEX(Products!$C$2:$C$49,MATCH(C29,Products!$A$2:$A$49,0))</f>
        <v>Grocery Staples</v>
      </c>
      <c r="H29" s="33" t="n">
        <f aca="false">D29*INDEX(Products!$E$2:$E$49,MATCH(C29,Products!$A$2:$A$49,0))</f>
        <v>43320</v>
      </c>
      <c r="I29" s="33" t="n">
        <f aca="false">D29*INDEX(Products!$D$2:$D$49,MATCH(C29,Products!$A$2:$A$49,0))*(1+INDEX(Assumptions!$B$16:$B$20,MATCH(B29,Assumptions!$A$16:$A$20,0)))</f>
        <v>38687.04</v>
      </c>
      <c r="J29" s="33" t="n">
        <f aca="false">H29-I29</f>
        <v>4632.96</v>
      </c>
      <c r="K29" s="33" t="n">
        <f aca="false">IF(OR(E29=0,E29&gt;=7),0,D29/(7-E29)*E29*INDEX(Products!$E$2:$E$49,MATCH(C29,Products!$A$2:$A$49,0)))</f>
        <v>0</v>
      </c>
    </row>
    <row r="30" customFormat="false" ht="15" hidden="false" customHeight="false" outlineLevel="0" collapsed="false">
      <c r="A30" s="36" t="n">
        <v>46139</v>
      </c>
      <c r="B30" s="24" t="s">
        <v>61</v>
      </c>
      <c r="C30" s="24" t="s">
        <v>117</v>
      </c>
      <c r="D30" s="33" t="n">
        <v>146</v>
      </c>
      <c r="E30" s="24" t="n">
        <v>0</v>
      </c>
      <c r="F30" s="37" t="n">
        <f aca="false">DATE(YEAR(A30),MONTH(A30),1)</f>
        <v>46113</v>
      </c>
      <c r="G30" s="24" t="str">
        <f aca="false">INDEX(Products!$C$2:$C$49,MATCH(C30,Products!$A$2:$A$49,0))</f>
        <v>Grocery Staples</v>
      </c>
      <c r="H30" s="33" t="n">
        <f aca="false">D30*INDEX(Products!$E$2:$E$49,MATCH(C30,Products!$A$2:$A$49,0))</f>
        <v>27740</v>
      </c>
      <c r="I30" s="33" t="n">
        <f aca="false">D30*INDEX(Products!$D$2:$D$49,MATCH(C30,Products!$A$2:$A$49,0))*(1+INDEX(Assumptions!$B$16:$B$20,MATCH(B30,Assumptions!$A$16:$A$20,0)))</f>
        <v>24773.28</v>
      </c>
      <c r="J30" s="33" t="n">
        <f aca="false">H30-I30</f>
        <v>2966.72</v>
      </c>
      <c r="K30" s="33" t="n">
        <f aca="false">IF(OR(E30=0,E30&gt;=7),0,D30/(7-E30)*E30*INDEX(Products!$E$2:$E$49,MATCH(C30,Products!$A$2:$A$49,0)))</f>
        <v>0</v>
      </c>
    </row>
    <row r="31" customFormat="false" ht="15" hidden="false" customHeight="false" outlineLevel="0" collapsed="false">
      <c r="A31" s="36" t="n">
        <v>46146</v>
      </c>
      <c r="B31" s="24" t="s">
        <v>61</v>
      </c>
      <c r="C31" s="24" t="s">
        <v>117</v>
      </c>
      <c r="D31" s="33" t="n">
        <v>148</v>
      </c>
      <c r="E31" s="24" t="n">
        <v>0</v>
      </c>
      <c r="F31" s="37" t="n">
        <f aca="false">DATE(YEAR(A31),MONTH(A31),1)</f>
        <v>46143</v>
      </c>
      <c r="G31" s="24" t="str">
        <f aca="false">INDEX(Products!$C$2:$C$49,MATCH(C31,Products!$A$2:$A$49,0))</f>
        <v>Grocery Staples</v>
      </c>
      <c r="H31" s="33" t="n">
        <f aca="false">D31*INDEX(Products!$E$2:$E$49,MATCH(C31,Products!$A$2:$A$49,0))</f>
        <v>28120</v>
      </c>
      <c r="I31" s="33" t="n">
        <f aca="false">D31*INDEX(Products!$D$2:$D$49,MATCH(C31,Products!$A$2:$A$49,0))*(1+INDEX(Assumptions!$B$16:$B$20,MATCH(B31,Assumptions!$A$16:$A$20,0)))</f>
        <v>25112.64</v>
      </c>
      <c r="J31" s="33" t="n">
        <f aca="false">H31-I31</f>
        <v>3007.36</v>
      </c>
      <c r="K31" s="33" t="n">
        <f aca="false">IF(OR(E31=0,E31&gt;=7),0,D31/(7-E31)*E31*INDEX(Products!$E$2:$E$49,MATCH(C31,Products!$A$2:$A$49,0)))</f>
        <v>0</v>
      </c>
    </row>
    <row r="32" customFormat="false" ht="15" hidden="false" customHeight="false" outlineLevel="0" collapsed="false">
      <c r="A32" s="36" t="n">
        <v>46153</v>
      </c>
      <c r="B32" s="24" t="s">
        <v>61</v>
      </c>
      <c r="C32" s="24" t="s">
        <v>117</v>
      </c>
      <c r="D32" s="33" t="n">
        <v>120</v>
      </c>
      <c r="E32" s="24" t="n">
        <v>0</v>
      </c>
      <c r="F32" s="37" t="n">
        <f aca="false">DATE(YEAR(A32),MONTH(A32),1)</f>
        <v>46143</v>
      </c>
      <c r="G32" s="24" t="str">
        <f aca="false">INDEX(Products!$C$2:$C$49,MATCH(C32,Products!$A$2:$A$49,0))</f>
        <v>Grocery Staples</v>
      </c>
      <c r="H32" s="33" t="n">
        <f aca="false">D32*INDEX(Products!$E$2:$E$49,MATCH(C32,Products!$A$2:$A$49,0))</f>
        <v>22800</v>
      </c>
      <c r="I32" s="33" t="n">
        <f aca="false">D32*INDEX(Products!$D$2:$D$49,MATCH(C32,Products!$A$2:$A$49,0))*(1+INDEX(Assumptions!$B$16:$B$20,MATCH(B32,Assumptions!$A$16:$A$20,0)))</f>
        <v>20361.6</v>
      </c>
      <c r="J32" s="33" t="n">
        <f aca="false">H32-I32</f>
        <v>2438.4</v>
      </c>
      <c r="K32" s="33" t="n">
        <f aca="false">IF(OR(E32=0,E32&gt;=7),0,D32/(7-E32)*E32*INDEX(Products!$E$2:$E$49,MATCH(C32,Products!$A$2:$A$49,0)))</f>
        <v>0</v>
      </c>
    </row>
    <row r="33" customFormat="false" ht="15" hidden="false" customHeight="false" outlineLevel="0" collapsed="false">
      <c r="A33" s="36" t="n">
        <v>46160</v>
      </c>
      <c r="B33" s="24" t="s">
        <v>61</v>
      </c>
      <c r="C33" s="24" t="s">
        <v>117</v>
      </c>
      <c r="D33" s="33" t="n">
        <v>138</v>
      </c>
      <c r="E33" s="24" t="n">
        <v>0</v>
      </c>
      <c r="F33" s="37" t="n">
        <f aca="false">DATE(YEAR(A33),MONTH(A33),1)</f>
        <v>46143</v>
      </c>
      <c r="G33" s="24" t="str">
        <f aca="false">INDEX(Products!$C$2:$C$49,MATCH(C33,Products!$A$2:$A$49,0))</f>
        <v>Grocery Staples</v>
      </c>
      <c r="H33" s="33" t="n">
        <f aca="false">D33*INDEX(Products!$E$2:$E$49,MATCH(C33,Products!$A$2:$A$49,0))</f>
        <v>26220</v>
      </c>
      <c r="I33" s="33" t="n">
        <f aca="false">D33*INDEX(Products!$D$2:$D$49,MATCH(C33,Products!$A$2:$A$49,0))*(1+INDEX(Assumptions!$B$16:$B$20,MATCH(B33,Assumptions!$A$16:$A$20,0)))</f>
        <v>23415.84</v>
      </c>
      <c r="J33" s="33" t="n">
        <f aca="false">H33-I33</f>
        <v>2804.16</v>
      </c>
      <c r="K33" s="33" t="n">
        <f aca="false">IF(OR(E33=0,E33&gt;=7),0,D33/(7-E33)*E33*INDEX(Products!$E$2:$E$49,MATCH(C33,Products!$A$2:$A$49,0)))</f>
        <v>0</v>
      </c>
    </row>
    <row r="34" customFormat="false" ht="15" hidden="false" customHeight="false" outlineLevel="0" collapsed="false">
      <c r="A34" s="36" t="n">
        <v>46167</v>
      </c>
      <c r="B34" s="24" t="s">
        <v>61</v>
      </c>
      <c r="C34" s="24" t="s">
        <v>117</v>
      </c>
      <c r="D34" s="33" t="n">
        <v>158</v>
      </c>
      <c r="E34" s="24" t="n">
        <v>0</v>
      </c>
      <c r="F34" s="37" t="n">
        <f aca="false">DATE(YEAR(A34),MONTH(A34),1)</f>
        <v>46143</v>
      </c>
      <c r="G34" s="24" t="str">
        <f aca="false">INDEX(Products!$C$2:$C$49,MATCH(C34,Products!$A$2:$A$49,0))</f>
        <v>Grocery Staples</v>
      </c>
      <c r="H34" s="33" t="n">
        <f aca="false">D34*INDEX(Products!$E$2:$E$49,MATCH(C34,Products!$A$2:$A$49,0))</f>
        <v>30020</v>
      </c>
      <c r="I34" s="33" t="n">
        <f aca="false">D34*INDEX(Products!$D$2:$D$49,MATCH(C34,Products!$A$2:$A$49,0))*(1+INDEX(Assumptions!$B$16:$B$20,MATCH(B34,Assumptions!$A$16:$A$20,0)))</f>
        <v>26809.44</v>
      </c>
      <c r="J34" s="33" t="n">
        <f aca="false">H34-I34</f>
        <v>3210.56</v>
      </c>
      <c r="K34" s="33" t="n">
        <f aca="false">IF(OR(E34=0,E34&gt;=7),0,D34/(7-E34)*E34*INDEX(Products!$E$2:$E$49,MATCH(C34,Products!$A$2:$A$49,0)))</f>
        <v>0</v>
      </c>
    </row>
    <row r="35" customFormat="false" ht="15" hidden="false" customHeight="false" outlineLevel="0" collapsed="false">
      <c r="A35" s="36" t="n">
        <v>46174</v>
      </c>
      <c r="B35" s="24" t="s">
        <v>61</v>
      </c>
      <c r="C35" s="24" t="s">
        <v>117</v>
      </c>
      <c r="D35" s="33" t="n">
        <v>145</v>
      </c>
      <c r="E35" s="24" t="n">
        <v>0</v>
      </c>
      <c r="F35" s="37" t="n">
        <f aca="false">DATE(YEAR(A35),MONTH(A35),1)</f>
        <v>46174</v>
      </c>
      <c r="G35" s="24" t="str">
        <f aca="false">INDEX(Products!$C$2:$C$49,MATCH(C35,Products!$A$2:$A$49,0))</f>
        <v>Grocery Staples</v>
      </c>
      <c r="H35" s="33" t="n">
        <f aca="false">D35*INDEX(Products!$E$2:$E$49,MATCH(C35,Products!$A$2:$A$49,0))</f>
        <v>27550</v>
      </c>
      <c r="I35" s="33" t="n">
        <f aca="false">D35*INDEX(Products!$D$2:$D$49,MATCH(C35,Products!$A$2:$A$49,0))*(1+INDEX(Assumptions!$B$16:$B$20,MATCH(B35,Assumptions!$A$16:$A$20,0)))</f>
        <v>24603.6</v>
      </c>
      <c r="J35" s="33" t="n">
        <f aca="false">H35-I35</f>
        <v>2946.4</v>
      </c>
      <c r="K35" s="33" t="n">
        <f aca="false">IF(OR(E35=0,E35&gt;=7),0,D35/(7-E35)*E35*INDEX(Products!$E$2:$E$49,MATCH(C35,Products!$A$2:$A$49,0)))</f>
        <v>0</v>
      </c>
    </row>
    <row r="36" customFormat="false" ht="15" hidden="false" customHeight="false" outlineLevel="0" collapsed="false">
      <c r="A36" s="36" t="n">
        <v>46181</v>
      </c>
      <c r="B36" s="24" t="s">
        <v>61</v>
      </c>
      <c r="C36" s="24" t="s">
        <v>117</v>
      </c>
      <c r="D36" s="33" t="n">
        <v>134</v>
      </c>
      <c r="E36" s="24" t="n">
        <v>0</v>
      </c>
      <c r="F36" s="37" t="n">
        <f aca="false">DATE(YEAR(A36),MONTH(A36),1)</f>
        <v>46174</v>
      </c>
      <c r="G36" s="24" t="str">
        <f aca="false">INDEX(Products!$C$2:$C$49,MATCH(C36,Products!$A$2:$A$49,0))</f>
        <v>Grocery Staples</v>
      </c>
      <c r="H36" s="33" t="n">
        <f aca="false">D36*INDEX(Products!$E$2:$E$49,MATCH(C36,Products!$A$2:$A$49,0))</f>
        <v>25460</v>
      </c>
      <c r="I36" s="33" t="n">
        <f aca="false">D36*INDEX(Products!$D$2:$D$49,MATCH(C36,Products!$A$2:$A$49,0))*(1+INDEX(Assumptions!$B$16:$B$20,MATCH(B36,Assumptions!$A$16:$A$20,0)))</f>
        <v>22737.12</v>
      </c>
      <c r="J36" s="33" t="n">
        <f aca="false">H36-I36</f>
        <v>2722.88</v>
      </c>
      <c r="K36" s="33" t="n">
        <f aca="false">IF(OR(E36=0,E36&gt;=7),0,D36/(7-E36)*E36*INDEX(Products!$E$2:$E$49,MATCH(C36,Products!$A$2:$A$49,0)))</f>
        <v>0</v>
      </c>
    </row>
    <row r="37" customFormat="false" ht="15" hidden="false" customHeight="false" outlineLevel="0" collapsed="false">
      <c r="A37" s="36" t="n">
        <v>46188</v>
      </c>
      <c r="B37" s="24" t="s">
        <v>61</v>
      </c>
      <c r="C37" s="24" t="s">
        <v>117</v>
      </c>
      <c r="D37" s="33" t="n">
        <v>133</v>
      </c>
      <c r="E37" s="24" t="n">
        <v>0</v>
      </c>
      <c r="F37" s="37" t="n">
        <f aca="false">DATE(YEAR(A37),MONTH(A37),1)</f>
        <v>46174</v>
      </c>
      <c r="G37" s="24" t="str">
        <f aca="false">INDEX(Products!$C$2:$C$49,MATCH(C37,Products!$A$2:$A$49,0))</f>
        <v>Grocery Staples</v>
      </c>
      <c r="H37" s="33" t="n">
        <f aca="false">D37*INDEX(Products!$E$2:$E$49,MATCH(C37,Products!$A$2:$A$49,0))</f>
        <v>25270</v>
      </c>
      <c r="I37" s="33" t="n">
        <f aca="false">D37*INDEX(Products!$D$2:$D$49,MATCH(C37,Products!$A$2:$A$49,0))*(1+INDEX(Assumptions!$B$16:$B$20,MATCH(B37,Assumptions!$A$16:$A$20,0)))</f>
        <v>22567.44</v>
      </c>
      <c r="J37" s="33" t="n">
        <f aca="false">H37-I37</f>
        <v>2702.56</v>
      </c>
      <c r="K37" s="33" t="n">
        <f aca="false">IF(OR(E37=0,E37&gt;=7),0,D37/(7-E37)*E37*INDEX(Products!$E$2:$E$49,MATCH(C37,Products!$A$2:$A$49,0)))</f>
        <v>0</v>
      </c>
    </row>
    <row r="38" customFormat="false" ht="15" hidden="false" customHeight="false" outlineLevel="0" collapsed="false">
      <c r="A38" s="36" t="n">
        <v>46195</v>
      </c>
      <c r="B38" s="24" t="s">
        <v>61</v>
      </c>
      <c r="C38" s="24" t="s">
        <v>117</v>
      </c>
      <c r="D38" s="33" t="n">
        <v>80</v>
      </c>
      <c r="E38" s="24" t="n">
        <v>3</v>
      </c>
      <c r="F38" s="37" t="n">
        <f aca="false">DATE(YEAR(A38),MONTH(A38),1)</f>
        <v>46174</v>
      </c>
      <c r="G38" s="24" t="str">
        <f aca="false">INDEX(Products!$C$2:$C$49,MATCH(C38,Products!$A$2:$A$49,0))</f>
        <v>Grocery Staples</v>
      </c>
      <c r="H38" s="33" t="n">
        <f aca="false">D38*INDEX(Products!$E$2:$E$49,MATCH(C38,Products!$A$2:$A$49,0))</f>
        <v>15200</v>
      </c>
      <c r="I38" s="33" t="n">
        <f aca="false">D38*INDEX(Products!$D$2:$D$49,MATCH(C38,Products!$A$2:$A$49,0))*(1+INDEX(Assumptions!$B$16:$B$20,MATCH(B38,Assumptions!$A$16:$A$20,0)))</f>
        <v>13574.4</v>
      </c>
      <c r="J38" s="33" t="n">
        <f aca="false">H38-I38</f>
        <v>1625.6</v>
      </c>
      <c r="K38" s="33" t="n">
        <f aca="false">IF(OR(E38=0,E38&gt;=7),0,D38/(7-E38)*E38*INDEX(Products!$E$2:$E$49,MATCH(C38,Products!$A$2:$A$49,0)))</f>
        <v>11400</v>
      </c>
    </row>
    <row r="39" customFormat="false" ht="15" hidden="false" customHeight="false" outlineLevel="0" collapsed="false">
      <c r="A39" s="36" t="n">
        <v>46202</v>
      </c>
      <c r="B39" s="24" t="s">
        <v>61</v>
      </c>
      <c r="C39" s="24" t="s">
        <v>117</v>
      </c>
      <c r="D39" s="33" t="n">
        <v>142</v>
      </c>
      <c r="E39" s="24" t="n">
        <v>0</v>
      </c>
      <c r="F39" s="37" t="n">
        <f aca="false">DATE(YEAR(A39),MONTH(A39),1)</f>
        <v>46174</v>
      </c>
      <c r="G39" s="24" t="str">
        <f aca="false">INDEX(Products!$C$2:$C$49,MATCH(C39,Products!$A$2:$A$49,0))</f>
        <v>Grocery Staples</v>
      </c>
      <c r="H39" s="33" t="n">
        <f aca="false">D39*INDEX(Products!$E$2:$E$49,MATCH(C39,Products!$A$2:$A$49,0))</f>
        <v>26980</v>
      </c>
      <c r="I39" s="33" t="n">
        <f aca="false">D39*INDEX(Products!$D$2:$D$49,MATCH(C39,Products!$A$2:$A$49,0))*(1+INDEX(Assumptions!$B$16:$B$20,MATCH(B39,Assumptions!$A$16:$A$20,0)))</f>
        <v>24094.56</v>
      </c>
      <c r="J39" s="33" t="n">
        <f aca="false">H39-I39</f>
        <v>2885.44</v>
      </c>
      <c r="K39" s="33" t="n">
        <f aca="false">IF(OR(E39=0,E39&gt;=7),0,D39/(7-E39)*E39*INDEX(Products!$E$2:$E$49,MATCH(C39,Products!$A$2:$A$49,0)))</f>
        <v>0</v>
      </c>
    </row>
    <row r="40" customFormat="false" ht="15" hidden="false" customHeight="false" outlineLevel="0" collapsed="false">
      <c r="A40" s="36" t="n">
        <v>46209</v>
      </c>
      <c r="B40" s="24" t="s">
        <v>61</v>
      </c>
      <c r="C40" s="24" t="s">
        <v>117</v>
      </c>
      <c r="D40" s="33" t="n">
        <v>136</v>
      </c>
      <c r="E40" s="24" t="n">
        <v>0</v>
      </c>
      <c r="F40" s="37" t="n">
        <f aca="false">DATE(YEAR(A40),MONTH(A40),1)</f>
        <v>46204</v>
      </c>
      <c r="G40" s="24" t="str">
        <f aca="false">INDEX(Products!$C$2:$C$49,MATCH(C40,Products!$A$2:$A$49,0))</f>
        <v>Grocery Staples</v>
      </c>
      <c r="H40" s="33" t="n">
        <f aca="false">D40*INDEX(Products!$E$2:$E$49,MATCH(C40,Products!$A$2:$A$49,0))</f>
        <v>25840</v>
      </c>
      <c r="I40" s="33" t="n">
        <f aca="false">D40*INDEX(Products!$D$2:$D$49,MATCH(C40,Products!$A$2:$A$49,0))*(1+INDEX(Assumptions!$B$16:$B$20,MATCH(B40,Assumptions!$A$16:$A$20,0)))</f>
        <v>23076.48</v>
      </c>
      <c r="J40" s="33" t="n">
        <f aca="false">H40-I40</f>
        <v>2763.52</v>
      </c>
      <c r="K40" s="33" t="n">
        <f aca="false">IF(OR(E40=0,E40&gt;=7),0,D40/(7-E40)*E40*INDEX(Products!$E$2:$E$49,MATCH(C40,Products!$A$2:$A$49,0)))</f>
        <v>0</v>
      </c>
    </row>
    <row r="41" customFormat="false" ht="15" hidden="false" customHeight="false" outlineLevel="0" collapsed="false">
      <c r="A41" s="36" t="n">
        <v>46216</v>
      </c>
      <c r="B41" s="24" t="s">
        <v>61</v>
      </c>
      <c r="C41" s="24" t="s">
        <v>117</v>
      </c>
      <c r="D41" s="33" t="n">
        <v>120</v>
      </c>
      <c r="E41" s="24" t="n">
        <v>0</v>
      </c>
      <c r="F41" s="37" t="n">
        <f aca="false">DATE(YEAR(A41),MONTH(A41),1)</f>
        <v>46204</v>
      </c>
      <c r="G41" s="24" t="str">
        <f aca="false">INDEX(Products!$C$2:$C$49,MATCH(C41,Products!$A$2:$A$49,0))</f>
        <v>Grocery Staples</v>
      </c>
      <c r="H41" s="33" t="n">
        <f aca="false">D41*INDEX(Products!$E$2:$E$49,MATCH(C41,Products!$A$2:$A$49,0))</f>
        <v>22800</v>
      </c>
      <c r="I41" s="33" t="n">
        <f aca="false">D41*INDEX(Products!$D$2:$D$49,MATCH(C41,Products!$A$2:$A$49,0))*(1+INDEX(Assumptions!$B$16:$B$20,MATCH(B41,Assumptions!$A$16:$A$20,0)))</f>
        <v>20361.6</v>
      </c>
      <c r="J41" s="33" t="n">
        <f aca="false">H41-I41</f>
        <v>2438.4</v>
      </c>
      <c r="K41" s="33" t="n">
        <f aca="false">IF(OR(E41=0,E41&gt;=7),0,D41/(7-E41)*E41*INDEX(Products!$E$2:$E$49,MATCH(C41,Products!$A$2:$A$49,0)))</f>
        <v>0</v>
      </c>
    </row>
    <row r="42" customFormat="false" ht="15" hidden="false" customHeight="false" outlineLevel="0" collapsed="false">
      <c r="A42" s="36" t="n">
        <v>46223</v>
      </c>
      <c r="B42" s="24" t="s">
        <v>61</v>
      </c>
      <c r="C42" s="24" t="s">
        <v>117</v>
      </c>
      <c r="D42" s="33" t="n">
        <v>143</v>
      </c>
      <c r="E42" s="24" t="n">
        <v>0</v>
      </c>
      <c r="F42" s="37" t="n">
        <f aca="false">DATE(YEAR(A42),MONTH(A42),1)</f>
        <v>46204</v>
      </c>
      <c r="G42" s="24" t="str">
        <f aca="false">INDEX(Products!$C$2:$C$49,MATCH(C42,Products!$A$2:$A$49,0))</f>
        <v>Grocery Staples</v>
      </c>
      <c r="H42" s="33" t="n">
        <f aca="false">D42*INDEX(Products!$E$2:$E$49,MATCH(C42,Products!$A$2:$A$49,0))</f>
        <v>27170</v>
      </c>
      <c r="I42" s="33" t="n">
        <f aca="false">D42*INDEX(Products!$D$2:$D$49,MATCH(C42,Products!$A$2:$A$49,0))*(1+INDEX(Assumptions!$B$16:$B$20,MATCH(B42,Assumptions!$A$16:$A$20,0)))</f>
        <v>24264.24</v>
      </c>
      <c r="J42" s="33" t="n">
        <f aca="false">H42-I42</f>
        <v>2905.76</v>
      </c>
      <c r="K42" s="33" t="n">
        <f aca="false">IF(OR(E42=0,E42&gt;=7),0,D42/(7-E42)*E42*INDEX(Products!$E$2:$E$49,MATCH(C42,Products!$A$2:$A$49,0)))</f>
        <v>0</v>
      </c>
    </row>
    <row r="43" customFormat="false" ht="15" hidden="false" customHeight="false" outlineLevel="0" collapsed="false">
      <c r="A43" s="36" t="n">
        <v>46230</v>
      </c>
      <c r="B43" s="24" t="s">
        <v>61</v>
      </c>
      <c r="C43" s="24" t="s">
        <v>117</v>
      </c>
      <c r="D43" s="33" t="n">
        <v>121</v>
      </c>
      <c r="E43" s="24" t="n">
        <v>0</v>
      </c>
      <c r="F43" s="37" t="n">
        <f aca="false">DATE(YEAR(A43),MONTH(A43),1)</f>
        <v>46204</v>
      </c>
      <c r="G43" s="24" t="str">
        <f aca="false">INDEX(Products!$C$2:$C$49,MATCH(C43,Products!$A$2:$A$49,0))</f>
        <v>Grocery Staples</v>
      </c>
      <c r="H43" s="33" t="n">
        <f aca="false">D43*INDEX(Products!$E$2:$E$49,MATCH(C43,Products!$A$2:$A$49,0))</f>
        <v>22990</v>
      </c>
      <c r="I43" s="33" t="n">
        <f aca="false">D43*INDEX(Products!$D$2:$D$49,MATCH(C43,Products!$A$2:$A$49,0))*(1+INDEX(Assumptions!$B$16:$B$20,MATCH(B43,Assumptions!$A$16:$A$20,0)))</f>
        <v>20531.28</v>
      </c>
      <c r="J43" s="33" t="n">
        <f aca="false">H43-I43</f>
        <v>2458.72</v>
      </c>
      <c r="K43" s="33" t="n">
        <f aca="false">IF(OR(E43=0,E43&gt;=7),0,D43/(7-E43)*E43*INDEX(Products!$E$2:$E$49,MATCH(C43,Products!$A$2:$A$49,0)))</f>
        <v>0</v>
      </c>
    </row>
    <row r="44" customFormat="false" ht="15" hidden="false" customHeight="false" outlineLevel="0" collapsed="false">
      <c r="A44" s="36" t="n">
        <v>46237</v>
      </c>
      <c r="B44" s="24" t="s">
        <v>61</v>
      </c>
      <c r="C44" s="24" t="s">
        <v>117</v>
      </c>
      <c r="D44" s="33" t="n">
        <v>136</v>
      </c>
      <c r="E44" s="24" t="n">
        <v>0</v>
      </c>
      <c r="F44" s="37" t="n">
        <f aca="false">DATE(YEAR(A44),MONTH(A44),1)</f>
        <v>46235</v>
      </c>
      <c r="G44" s="24" t="str">
        <f aca="false">INDEX(Products!$C$2:$C$49,MATCH(C44,Products!$A$2:$A$49,0))</f>
        <v>Grocery Staples</v>
      </c>
      <c r="H44" s="33" t="n">
        <f aca="false">D44*INDEX(Products!$E$2:$E$49,MATCH(C44,Products!$A$2:$A$49,0))</f>
        <v>25840</v>
      </c>
      <c r="I44" s="33" t="n">
        <f aca="false">D44*INDEX(Products!$D$2:$D$49,MATCH(C44,Products!$A$2:$A$49,0))*(1+INDEX(Assumptions!$B$16:$B$20,MATCH(B44,Assumptions!$A$16:$A$20,0)))</f>
        <v>23076.48</v>
      </c>
      <c r="J44" s="33" t="n">
        <f aca="false">H44-I44</f>
        <v>2763.52</v>
      </c>
      <c r="K44" s="33" t="n">
        <f aca="false">IF(OR(E44=0,E44&gt;=7),0,D44/(7-E44)*E44*INDEX(Products!$E$2:$E$49,MATCH(C44,Products!$A$2:$A$49,0)))</f>
        <v>0</v>
      </c>
    </row>
    <row r="45" customFormat="false" ht="15" hidden="false" customHeight="false" outlineLevel="0" collapsed="false">
      <c r="A45" s="36" t="n">
        <v>46244</v>
      </c>
      <c r="B45" s="24" t="s">
        <v>61</v>
      </c>
      <c r="C45" s="24" t="s">
        <v>117</v>
      </c>
      <c r="D45" s="33" t="n">
        <v>207</v>
      </c>
      <c r="E45" s="24" t="n">
        <v>0</v>
      </c>
      <c r="F45" s="37" t="n">
        <f aca="false">DATE(YEAR(A45),MONTH(A45),1)</f>
        <v>46235</v>
      </c>
      <c r="G45" s="24" t="str">
        <f aca="false">INDEX(Products!$C$2:$C$49,MATCH(C45,Products!$A$2:$A$49,0))</f>
        <v>Grocery Staples</v>
      </c>
      <c r="H45" s="33" t="n">
        <f aca="false">D45*INDEX(Products!$E$2:$E$49,MATCH(C45,Products!$A$2:$A$49,0))</f>
        <v>39330</v>
      </c>
      <c r="I45" s="33" t="n">
        <f aca="false">D45*INDEX(Products!$D$2:$D$49,MATCH(C45,Products!$A$2:$A$49,0))*(1+INDEX(Assumptions!$B$16:$B$20,MATCH(B45,Assumptions!$A$16:$A$20,0)))</f>
        <v>35123.76</v>
      </c>
      <c r="J45" s="33" t="n">
        <f aca="false">H45-I45</f>
        <v>4206.24</v>
      </c>
      <c r="K45" s="33" t="n">
        <f aca="false">IF(OR(E45=0,E45&gt;=7),0,D45/(7-E45)*E45*INDEX(Products!$E$2:$E$49,MATCH(C45,Products!$A$2:$A$49,0)))</f>
        <v>0</v>
      </c>
    </row>
    <row r="46" customFormat="false" ht="15" hidden="false" customHeight="false" outlineLevel="0" collapsed="false">
      <c r="A46" s="36" t="n">
        <v>46251</v>
      </c>
      <c r="B46" s="24" t="s">
        <v>61</v>
      </c>
      <c r="C46" s="24" t="s">
        <v>117</v>
      </c>
      <c r="D46" s="33" t="n">
        <v>118</v>
      </c>
      <c r="E46" s="24" t="n">
        <v>0</v>
      </c>
      <c r="F46" s="37" t="n">
        <f aca="false">DATE(YEAR(A46),MONTH(A46),1)</f>
        <v>46235</v>
      </c>
      <c r="G46" s="24" t="str">
        <f aca="false">INDEX(Products!$C$2:$C$49,MATCH(C46,Products!$A$2:$A$49,0))</f>
        <v>Grocery Staples</v>
      </c>
      <c r="H46" s="33" t="n">
        <f aca="false">D46*INDEX(Products!$E$2:$E$49,MATCH(C46,Products!$A$2:$A$49,0))</f>
        <v>22420</v>
      </c>
      <c r="I46" s="33" t="n">
        <f aca="false">D46*INDEX(Products!$D$2:$D$49,MATCH(C46,Products!$A$2:$A$49,0))*(1+INDEX(Assumptions!$B$16:$B$20,MATCH(B46,Assumptions!$A$16:$A$20,0)))</f>
        <v>20022.24</v>
      </c>
      <c r="J46" s="33" t="n">
        <f aca="false">H46-I46</f>
        <v>2397.76</v>
      </c>
      <c r="K46" s="33" t="n">
        <f aca="false">IF(OR(E46=0,E46&gt;=7),0,D46/(7-E46)*E46*INDEX(Products!$E$2:$E$49,MATCH(C46,Products!$A$2:$A$49,0)))</f>
        <v>0</v>
      </c>
    </row>
    <row r="47" customFormat="false" ht="15" hidden="false" customHeight="false" outlineLevel="0" collapsed="false">
      <c r="A47" s="36" t="n">
        <v>46258</v>
      </c>
      <c r="B47" s="24" t="s">
        <v>61</v>
      </c>
      <c r="C47" s="24" t="s">
        <v>117</v>
      </c>
      <c r="D47" s="33" t="n">
        <v>90</v>
      </c>
      <c r="E47" s="24" t="n">
        <v>2</v>
      </c>
      <c r="F47" s="37" t="n">
        <f aca="false">DATE(YEAR(A47),MONTH(A47),1)</f>
        <v>46235</v>
      </c>
      <c r="G47" s="24" t="str">
        <f aca="false">INDEX(Products!$C$2:$C$49,MATCH(C47,Products!$A$2:$A$49,0))</f>
        <v>Grocery Staples</v>
      </c>
      <c r="H47" s="33" t="n">
        <f aca="false">D47*INDEX(Products!$E$2:$E$49,MATCH(C47,Products!$A$2:$A$49,0))</f>
        <v>17100</v>
      </c>
      <c r="I47" s="33" t="n">
        <f aca="false">D47*INDEX(Products!$D$2:$D$49,MATCH(C47,Products!$A$2:$A$49,0))*(1+INDEX(Assumptions!$B$16:$B$20,MATCH(B47,Assumptions!$A$16:$A$20,0)))</f>
        <v>15271.2</v>
      </c>
      <c r="J47" s="33" t="n">
        <f aca="false">H47-I47</f>
        <v>1828.8</v>
      </c>
      <c r="K47" s="33" t="n">
        <f aca="false">IF(OR(E47=0,E47&gt;=7),0,D47/(7-E47)*E47*INDEX(Products!$E$2:$E$49,MATCH(C47,Products!$A$2:$A$49,0)))</f>
        <v>6840</v>
      </c>
    </row>
    <row r="48" customFormat="false" ht="15" hidden="false" customHeight="false" outlineLevel="0" collapsed="false">
      <c r="A48" s="36" t="n">
        <v>46265</v>
      </c>
      <c r="B48" s="24" t="s">
        <v>61</v>
      </c>
      <c r="C48" s="24" t="s">
        <v>117</v>
      </c>
      <c r="D48" s="33" t="n">
        <v>57</v>
      </c>
      <c r="E48" s="24" t="n">
        <v>4</v>
      </c>
      <c r="F48" s="37" t="n">
        <f aca="false">DATE(YEAR(A48),MONTH(A48),1)</f>
        <v>46235</v>
      </c>
      <c r="G48" s="24" t="str">
        <f aca="false">INDEX(Products!$C$2:$C$49,MATCH(C48,Products!$A$2:$A$49,0))</f>
        <v>Grocery Staples</v>
      </c>
      <c r="H48" s="33" t="n">
        <f aca="false">D48*INDEX(Products!$E$2:$E$49,MATCH(C48,Products!$A$2:$A$49,0))</f>
        <v>10830</v>
      </c>
      <c r="I48" s="33" t="n">
        <f aca="false">D48*INDEX(Products!$D$2:$D$49,MATCH(C48,Products!$A$2:$A$49,0))*(1+INDEX(Assumptions!$B$16:$B$20,MATCH(B48,Assumptions!$A$16:$A$20,0)))</f>
        <v>9671.76</v>
      </c>
      <c r="J48" s="33" t="n">
        <f aca="false">H48-I48</f>
        <v>1158.24</v>
      </c>
      <c r="K48" s="33" t="n">
        <f aca="false">IF(OR(E48=0,E48&gt;=7),0,D48/(7-E48)*E48*INDEX(Products!$E$2:$E$49,MATCH(C48,Products!$A$2:$A$49,0)))</f>
        <v>14440</v>
      </c>
    </row>
    <row r="49" customFormat="false" ht="15" hidden="false" customHeight="false" outlineLevel="0" collapsed="false">
      <c r="A49" s="36" t="n">
        <v>46272</v>
      </c>
      <c r="B49" s="24" t="s">
        <v>61</v>
      </c>
      <c r="C49" s="24" t="s">
        <v>117</v>
      </c>
      <c r="D49" s="33" t="n">
        <v>126</v>
      </c>
      <c r="E49" s="24" t="n">
        <v>0</v>
      </c>
      <c r="F49" s="37" t="n">
        <f aca="false">DATE(YEAR(A49),MONTH(A49),1)</f>
        <v>46266</v>
      </c>
      <c r="G49" s="24" t="str">
        <f aca="false">INDEX(Products!$C$2:$C$49,MATCH(C49,Products!$A$2:$A$49,0))</f>
        <v>Grocery Staples</v>
      </c>
      <c r="H49" s="33" t="n">
        <f aca="false">D49*INDEX(Products!$E$2:$E$49,MATCH(C49,Products!$A$2:$A$49,0))</f>
        <v>23940</v>
      </c>
      <c r="I49" s="33" t="n">
        <f aca="false">D49*INDEX(Products!$D$2:$D$49,MATCH(C49,Products!$A$2:$A$49,0))*(1+INDEX(Assumptions!$B$16:$B$20,MATCH(B49,Assumptions!$A$16:$A$20,0)))</f>
        <v>21379.68</v>
      </c>
      <c r="J49" s="33" t="n">
        <f aca="false">H49-I49</f>
        <v>2560.32</v>
      </c>
      <c r="K49" s="33" t="n">
        <f aca="false">IF(OR(E49=0,E49&gt;=7),0,D49/(7-E49)*E49*INDEX(Products!$E$2:$E$49,MATCH(C49,Products!$A$2:$A$49,0)))</f>
        <v>0</v>
      </c>
    </row>
    <row r="50" customFormat="false" ht="15" hidden="false" customHeight="false" outlineLevel="0" collapsed="false">
      <c r="A50" s="36" t="n">
        <v>46279</v>
      </c>
      <c r="B50" s="24" t="s">
        <v>61</v>
      </c>
      <c r="C50" s="24" t="s">
        <v>117</v>
      </c>
      <c r="D50" s="33" t="n">
        <v>150</v>
      </c>
      <c r="E50" s="24" t="n">
        <v>0</v>
      </c>
      <c r="F50" s="37" t="n">
        <f aca="false">DATE(YEAR(A50),MONTH(A50),1)</f>
        <v>46266</v>
      </c>
      <c r="G50" s="24" t="str">
        <f aca="false">INDEX(Products!$C$2:$C$49,MATCH(C50,Products!$A$2:$A$49,0))</f>
        <v>Grocery Staples</v>
      </c>
      <c r="H50" s="33" t="n">
        <f aca="false">D50*INDEX(Products!$E$2:$E$49,MATCH(C50,Products!$A$2:$A$49,0))</f>
        <v>28500</v>
      </c>
      <c r="I50" s="33" t="n">
        <f aca="false">D50*INDEX(Products!$D$2:$D$49,MATCH(C50,Products!$A$2:$A$49,0))*(1+INDEX(Assumptions!$B$16:$B$20,MATCH(B50,Assumptions!$A$16:$A$20,0)))</f>
        <v>25452</v>
      </c>
      <c r="J50" s="33" t="n">
        <f aca="false">H50-I50</f>
        <v>3048</v>
      </c>
      <c r="K50" s="33" t="n">
        <f aca="false">IF(OR(E50=0,E50&gt;=7),0,D50/(7-E50)*E50*INDEX(Products!$E$2:$E$49,MATCH(C50,Products!$A$2:$A$49,0)))</f>
        <v>0</v>
      </c>
    </row>
    <row r="51" customFormat="false" ht="15" hidden="false" customHeight="false" outlineLevel="0" collapsed="false">
      <c r="A51" s="36" t="n">
        <v>46286</v>
      </c>
      <c r="B51" s="24" t="s">
        <v>61</v>
      </c>
      <c r="C51" s="24" t="s">
        <v>117</v>
      </c>
      <c r="D51" s="33" t="n">
        <v>96</v>
      </c>
      <c r="E51" s="24" t="n">
        <v>3</v>
      </c>
      <c r="F51" s="37" t="n">
        <f aca="false">DATE(YEAR(A51),MONTH(A51),1)</f>
        <v>46266</v>
      </c>
      <c r="G51" s="24" t="str">
        <f aca="false">INDEX(Products!$C$2:$C$49,MATCH(C51,Products!$A$2:$A$49,0))</f>
        <v>Grocery Staples</v>
      </c>
      <c r="H51" s="33" t="n">
        <f aca="false">D51*INDEX(Products!$E$2:$E$49,MATCH(C51,Products!$A$2:$A$49,0))</f>
        <v>18240</v>
      </c>
      <c r="I51" s="33" t="n">
        <f aca="false">D51*INDEX(Products!$D$2:$D$49,MATCH(C51,Products!$A$2:$A$49,0))*(1+INDEX(Assumptions!$B$16:$B$20,MATCH(B51,Assumptions!$A$16:$A$20,0)))</f>
        <v>16289.28</v>
      </c>
      <c r="J51" s="33" t="n">
        <f aca="false">H51-I51</f>
        <v>1950.72</v>
      </c>
      <c r="K51" s="33" t="n">
        <f aca="false">IF(OR(E51=0,E51&gt;=7),0,D51/(7-E51)*E51*INDEX(Products!$E$2:$E$49,MATCH(C51,Products!$A$2:$A$49,0)))</f>
        <v>13680</v>
      </c>
    </row>
    <row r="52" customFormat="false" ht="15" hidden="false" customHeight="false" outlineLevel="0" collapsed="false">
      <c r="A52" s="36" t="n">
        <v>46118</v>
      </c>
      <c r="B52" s="24" t="s">
        <v>61</v>
      </c>
      <c r="C52" s="24" t="s">
        <v>119</v>
      </c>
      <c r="D52" s="33" t="n">
        <v>93</v>
      </c>
      <c r="E52" s="24" t="n">
        <v>0</v>
      </c>
      <c r="F52" s="37" t="n">
        <f aca="false">DATE(YEAR(A52),MONTH(A52),1)</f>
        <v>46113</v>
      </c>
      <c r="G52" s="24" t="str">
        <f aca="false">INDEX(Products!$C$2:$C$49,MATCH(C52,Products!$A$2:$A$49,0))</f>
        <v>Grocery Staples</v>
      </c>
      <c r="H52" s="33" t="n">
        <f aca="false">D52*INDEX(Products!$E$2:$E$49,MATCH(C52,Products!$A$2:$A$49,0))</f>
        <v>39060</v>
      </c>
      <c r="I52" s="33" t="n">
        <f aca="false">D52*INDEX(Products!$D$2:$D$49,MATCH(C52,Products!$A$2:$A$49,0))*(1+INDEX(Assumptions!$B$16:$B$20,MATCH(B52,Assumptions!$A$16:$A$20,0)))</f>
        <v>35317.68</v>
      </c>
      <c r="J52" s="33" t="n">
        <f aca="false">H52-I52</f>
        <v>3742.32</v>
      </c>
      <c r="K52" s="33" t="n">
        <f aca="false">IF(OR(E52=0,E52&gt;=7),0,D52/(7-E52)*E52*INDEX(Products!$E$2:$E$49,MATCH(C52,Products!$A$2:$A$49,0)))</f>
        <v>0</v>
      </c>
    </row>
    <row r="53" customFormat="false" ht="15" hidden="false" customHeight="false" outlineLevel="0" collapsed="false">
      <c r="A53" s="36" t="n">
        <v>46125</v>
      </c>
      <c r="B53" s="24" t="s">
        <v>61</v>
      </c>
      <c r="C53" s="24" t="s">
        <v>119</v>
      </c>
      <c r="D53" s="33" t="n">
        <v>106</v>
      </c>
      <c r="E53" s="24" t="n">
        <v>0</v>
      </c>
      <c r="F53" s="37" t="n">
        <f aca="false">DATE(YEAR(A53),MONTH(A53),1)</f>
        <v>46113</v>
      </c>
      <c r="G53" s="24" t="str">
        <f aca="false">INDEX(Products!$C$2:$C$49,MATCH(C53,Products!$A$2:$A$49,0))</f>
        <v>Grocery Staples</v>
      </c>
      <c r="H53" s="33" t="n">
        <f aca="false">D53*INDEX(Products!$E$2:$E$49,MATCH(C53,Products!$A$2:$A$49,0))</f>
        <v>44520</v>
      </c>
      <c r="I53" s="33" t="n">
        <f aca="false">D53*INDEX(Products!$D$2:$D$49,MATCH(C53,Products!$A$2:$A$49,0))*(1+INDEX(Assumptions!$B$16:$B$20,MATCH(B53,Assumptions!$A$16:$A$20,0)))</f>
        <v>40254.56</v>
      </c>
      <c r="J53" s="33" t="n">
        <f aca="false">H53-I53</f>
        <v>4265.44</v>
      </c>
      <c r="K53" s="33" t="n">
        <f aca="false">IF(OR(E53=0,E53&gt;=7),0,D53/(7-E53)*E53*INDEX(Products!$E$2:$E$49,MATCH(C53,Products!$A$2:$A$49,0)))</f>
        <v>0</v>
      </c>
    </row>
    <row r="54" customFormat="false" ht="15" hidden="false" customHeight="false" outlineLevel="0" collapsed="false">
      <c r="A54" s="36" t="n">
        <v>46132</v>
      </c>
      <c r="B54" s="24" t="s">
        <v>61</v>
      </c>
      <c r="C54" s="24" t="s">
        <v>119</v>
      </c>
      <c r="D54" s="33" t="n">
        <v>101</v>
      </c>
      <c r="E54" s="24" t="n">
        <v>0</v>
      </c>
      <c r="F54" s="37" t="n">
        <f aca="false">DATE(YEAR(A54),MONTH(A54),1)</f>
        <v>46113</v>
      </c>
      <c r="G54" s="24" t="str">
        <f aca="false">INDEX(Products!$C$2:$C$49,MATCH(C54,Products!$A$2:$A$49,0))</f>
        <v>Grocery Staples</v>
      </c>
      <c r="H54" s="33" t="n">
        <f aca="false">D54*INDEX(Products!$E$2:$E$49,MATCH(C54,Products!$A$2:$A$49,0))</f>
        <v>42420</v>
      </c>
      <c r="I54" s="33" t="n">
        <f aca="false">D54*INDEX(Products!$D$2:$D$49,MATCH(C54,Products!$A$2:$A$49,0))*(1+INDEX(Assumptions!$B$16:$B$20,MATCH(B54,Assumptions!$A$16:$A$20,0)))</f>
        <v>38355.76</v>
      </c>
      <c r="J54" s="33" t="n">
        <f aca="false">H54-I54</f>
        <v>4064.24</v>
      </c>
      <c r="K54" s="33" t="n">
        <f aca="false">IF(OR(E54=0,E54&gt;=7),0,D54/(7-E54)*E54*INDEX(Products!$E$2:$E$49,MATCH(C54,Products!$A$2:$A$49,0)))</f>
        <v>0</v>
      </c>
    </row>
    <row r="55" customFormat="false" ht="15" hidden="false" customHeight="false" outlineLevel="0" collapsed="false">
      <c r="A55" s="36" t="n">
        <v>46139</v>
      </c>
      <c r="B55" s="24" t="s">
        <v>61</v>
      </c>
      <c r="C55" s="24" t="s">
        <v>119</v>
      </c>
      <c r="D55" s="33" t="n">
        <v>104</v>
      </c>
      <c r="E55" s="24" t="n">
        <v>0</v>
      </c>
      <c r="F55" s="37" t="n">
        <f aca="false">DATE(YEAR(A55),MONTH(A55),1)</f>
        <v>46113</v>
      </c>
      <c r="G55" s="24" t="str">
        <f aca="false">INDEX(Products!$C$2:$C$49,MATCH(C55,Products!$A$2:$A$49,0))</f>
        <v>Grocery Staples</v>
      </c>
      <c r="H55" s="33" t="n">
        <f aca="false">D55*INDEX(Products!$E$2:$E$49,MATCH(C55,Products!$A$2:$A$49,0))</f>
        <v>43680</v>
      </c>
      <c r="I55" s="33" t="n">
        <f aca="false">D55*INDEX(Products!$D$2:$D$49,MATCH(C55,Products!$A$2:$A$49,0))*(1+INDEX(Assumptions!$B$16:$B$20,MATCH(B55,Assumptions!$A$16:$A$20,0)))</f>
        <v>39495.04</v>
      </c>
      <c r="J55" s="33" t="n">
        <f aca="false">H55-I55</f>
        <v>4184.96</v>
      </c>
      <c r="K55" s="33" t="n">
        <f aca="false">IF(OR(E55=0,E55&gt;=7),0,D55/(7-E55)*E55*INDEX(Products!$E$2:$E$49,MATCH(C55,Products!$A$2:$A$49,0)))</f>
        <v>0</v>
      </c>
    </row>
    <row r="56" customFormat="false" ht="15" hidden="false" customHeight="false" outlineLevel="0" collapsed="false">
      <c r="A56" s="36" t="n">
        <v>46146</v>
      </c>
      <c r="B56" s="24" t="s">
        <v>61</v>
      </c>
      <c r="C56" s="24" t="s">
        <v>119</v>
      </c>
      <c r="D56" s="33" t="n">
        <v>94</v>
      </c>
      <c r="E56" s="24" t="n">
        <v>0</v>
      </c>
      <c r="F56" s="37" t="n">
        <f aca="false">DATE(YEAR(A56),MONTH(A56),1)</f>
        <v>46143</v>
      </c>
      <c r="G56" s="24" t="str">
        <f aca="false">INDEX(Products!$C$2:$C$49,MATCH(C56,Products!$A$2:$A$49,0))</f>
        <v>Grocery Staples</v>
      </c>
      <c r="H56" s="33" t="n">
        <f aca="false">D56*INDEX(Products!$E$2:$E$49,MATCH(C56,Products!$A$2:$A$49,0))</f>
        <v>39480</v>
      </c>
      <c r="I56" s="33" t="n">
        <f aca="false">D56*INDEX(Products!$D$2:$D$49,MATCH(C56,Products!$A$2:$A$49,0))*(1+INDEX(Assumptions!$B$16:$B$20,MATCH(B56,Assumptions!$A$16:$A$20,0)))</f>
        <v>35697.44</v>
      </c>
      <c r="J56" s="33" t="n">
        <f aca="false">H56-I56</f>
        <v>3782.56</v>
      </c>
      <c r="K56" s="33" t="n">
        <f aca="false">IF(OR(E56=0,E56&gt;=7),0,D56/(7-E56)*E56*INDEX(Products!$E$2:$E$49,MATCH(C56,Products!$A$2:$A$49,0)))</f>
        <v>0</v>
      </c>
    </row>
    <row r="57" customFormat="false" ht="15" hidden="false" customHeight="false" outlineLevel="0" collapsed="false">
      <c r="A57" s="36" t="n">
        <v>46153</v>
      </c>
      <c r="B57" s="24" t="s">
        <v>61</v>
      </c>
      <c r="C57" s="24" t="s">
        <v>119</v>
      </c>
      <c r="D57" s="33" t="n">
        <v>97</v>
      </c>
      <c r="E57" s="24" t="n">
        <v>0</v>
      </c>
      <c r="F57" s="37" t="n">
        <f aca="false">DATE(YEAR(A57),MONTH(A57),1)</f>
        <v>46143</v>
      </c>
      <c r="G57" s="24" t="str">
        <f aca="false">INDEX(Products!$C$2:$C$49,MATCH(C57,Products!$A$2:$A$49,0))</f>
        <v>Grocery Staples</v>
      </c>
      <c r="H57" s="33" t="n">
        <f aca="false">D57*INDEX(Products!$E$2:$E$49,MATCH(C57,Products!$A$2:$A$49,0))</f>
        <v>40740</v>
      </c>
      <c r="I57" s="33" t="n">
        <f aca="false">D57*INDEX(Products!$D$2:$D$49,MATCH(C57,Products!$A$2:$A$49,0))*(1+INDEX(Assumptions!$B$16:$B$20,MATCH(B57,Assumptions!$A$16:$A$20,0)))</f>
        <v>36836.72</v>
      </c>
      <c r="J57" s="33" t="n">
        <f aca="false">H57-I57</f>
        <v>3903.28</v>
      </c>
      <c r="K57" s="33" t="n">
        <f aca="false">IF(OR(E57=0,E57&gt;=7),0,D57/(7-E57)*E57*INDEX(Products!$E$2:$E$49,MATCH(C57,Products!$A$2:$A$49,0)))</f>
        <v>0</v>
      </c>
    </row>
    <row r="58" customFormat="false" ht="15" hidden="false" customHeight="false" outlineLevel="0" collapsed="false">
      <c r="A58" s="36" t="n">
        <v>46160</v>
      </c>
      <c r="B58" s="24" t="s">
        <v>61</v>
      </c>
      <c r="C58" s="24" t="s">
        <v>119</v>
      </c>
      <c r="D58" s="33" t="n">
        <v>75</v>
      </c>
      <c r="E58" s="24" t="n">
        <v>1</v>
      </c>
      <c r="F58" s="37" t="n">
        <f aca="false">DATE(YEAR(A58),MONTH(A58),1)</f>
        <v>46143</v>
      </c>
      <c r="G58" s="24" t="str">
        <f aca="false">INDEX(Products!$C$2:$C$49,MATCH(C58,Products!$A$2:$A$49,0))</f>
        <v>Grocery Staples</v>
      </c>
      <c r="H58" s="33" t="n">
        <f aca="false">D58*INDEX(Products!$E$2:$E$49,MATCH(C58,Products!$A$2:$A$49,0))</f>
        <v>31500</v>
      </c>
      <c r="I58" s="33" t="n">
        <f aca="false">D58*INDEX(Products!$D$2:$D$49,MATCH(C58,Products!$A$2:$A$49,0))*(1+INDEX(Assumptions!$B$16:$B$20,MATCH(B58,Assumptions!$A$16:$A$20,0)))</f>
        <v>28482</v>
      </c>
      <c r="J58" s="33" t="n">
        <f aca="false">H58-I58</f>
        <v>3018</v>
      </c>
      <c r="K58" s="33" t="n">
        <f aca="false">IF(OR(E58=0,E58&gt;=7),0,D58/(7-E58)*E58*INDEX(Products!$E$2:$E$49,MATCH(C58,Products!$A$2:$A$49,0)))</f>
        <v>5250</v>
      </c>
    </row>
    <row r="59" customFormat="false" ht="15" hidden="false" customHeight="false" outlineLevel="0" collapsed="false">
      <c r="A59" s="36" t="n">
        <v>46167</v>
      </c>
      <c r="B59" s="24" t="s">
        <v>61</v>
      </c>
      <c r="C59" s="24" t="s">
        <v>119</v>
      </c>
      <c r="D59" s="33" t="n">
        <v>105</v>
      </c>
      <c r="E59" s="24" t="n">
        <v>0</v>
      </c>
      <c r="F59" s="37" t="n">
        <f aca="false">DATE(YEAR(A59),MONTH(A59),1)</f>
        <v>46143</v>
      </c>
      <c r="G59" s="24" t="str">
        <f aca="false">INDEX(Products!$C$2:$C$49,MATCH(C59,Products!$A$2:$A$49,0))</f>
        <v>Grocery Staples</v>
      </c>
      <c r="H59" s="33" t="n">
        <f aca="false">D59*INDEX(Products!$E$2:$E$49,MATCH(C59,Products!$A$2:$A$49,0))</f>
        <v>44100</v>
      </c>
      <c r="I59" s="33" t="n">
        <f aca="false">D59*INDEX(Products!$D$2:$D$49,MATCH(C59,Products!$A$2:$A$49,0))*(1+INDEX(Assumptions!$B$16:$B$20,MATCH(B59,Assumptions!$A$16:$A$20,0)))</f>
        <v>39874.8</v>
      </c>
      <c r="J59" s="33" t="n">
        <f aca="false">H59-I59</f>
        <v>4225.2</v>
      </c>
      <c r="K59" s="33" t="n">
        <f aca="false">IF(OR(E59=0,E59&gt;=7),0,D59/(7-E59)*E59*INDEX(Products!$E$2:$E$49,MATCH(C59,Products!$A$2:$A$49,0)))</f>
        <v>0</v>
      </c>
    </row>
    <row r="60" customFormat="false" ht="15" hidden="false" customHeight="false" outlineLevel="0" collapsed="false">
      <c r="A60" s="36" t="n">
        <v>46174</v>
      </c>
      <c r="B60" s="24" t="s">
        <v>61</v>
      </c>
      <c r="C60" s="24" t="s">
        <v>119</v>
      </c>
      <c r="D60" s="33" t="n">
        <v>95</v>
      </c>
      <c r="E60" s="24" t="n">
        <v>0</v>
      </c>
      <c r="F60" s="37" t="n">
        <f aca="false">DATE(YEAR(A60),MONTH(A60),1)</f>
        <v>46174</v>
      </c>
      <c r="G60" s="24" t="str">
        <f aca="false">INDEX(Products!$C$2:$C$49,MATCH(C60,Products!$A$2:$A$49,0))</f>
        <v>Grocery Staples</v>
      </c>
      <c r="H60" s="33" t="n">
        <f aca="false">D60*INDEX(Products!$E$2:$E$49,MATCH(C60,Products!$A$2:$A$49,0))</f>
        <v>39900</v>
      </c>
      <c r="I60" s="33" t="n">
        <f aca="false">D60*INDEX(Products!$D$2:$D$49,MATCH(C60,Products!$A$2:$A$49,0))*(1+INDEX(Assumptions!$B$16:$B$20,MATCH(B60,Assumptions!$A$16:$A$20,0)))</f>
        <v>36077.2</v>
      </c>
      <c r="J60" s="33" t="n">
        <f aca="false">H60-I60</f>
        <v>3822.8</v>
      </c>
      <c r="K60" s="33" t="n">
        <f aca="false">IF(OR(E60=0,E60&gt;=7),0,D60/(7-E60)*E60*INDEX(Products!$E$2:$E$49,MATCH(C60,Products!$A$2:$A$49,0)))</f>
        <v>0</v>
      </c>
    </row>
    <row r="61" customFormat="false" ht="15" hidden="false" customHeight="false" outlineLevel="0" collapsed="false">
      <c r="A61" s="36" t="n">
        <v>46181</v>
      </c>
      <c r="B61" s="24" t="s">
        <v>61</v>
      </c>
      <c r="C61" s="24" t="s">
        <v>119</v>
      </c>
      <c r="D61" s="33" t="n">
        <v>103</v>
      </c>
      <c r="E61" s="24" t="n">
        <v>0</v>
      </c>
      <c r="F61" s="37" t="n">
        <f aca="false">DATE(YEAR(A61),MONTH(A61),1)</f>
        <v>46174</v>
      </c>
      <c r="G61" s="24" t="str">
        <f aca="false">INDEX(Products!$C$2:$C$49,MATCH(C61,Products!$A$2:$A$49,0))</f>
        <v>Grocery Staples</v>
      </c>
      <c r="H61" s="33" t="n">
        <f aca="false">D61*INDEX(Products!$E$2:$E$49,MATCH(C61,Products!$A$2:$A$49,0))</f>
        <v>43260</v>
      </c>
      <c r="I61" s="33" t="n">
        <f aca="false">D61*INDEX(Products!$D$2:$D$49,MATCH(C61,Products!$A$2:$A$49,0))*(1+INDEX(Assumptions!$B$16:$B$20,MATCH(B61,Assumptions!$A$16:$A$20,0)))</f>
        <v>39115.28</v>
      </c>
      <c r="J61" s="33" t="n">
        <f aca="false">H61-I61</f>
        <v>4144.72</v>
      </c>
      <c r="K61" s="33" t="n">
        <f aca="false">IF(OR(E61=0,E61&gt;=7),0,D61/(7-E61)*E61*INDEX(Products!$E$2:$E$49,MATCH(C61,Products!$A$2:$A$49,0)))</f>
        <v>0</v>
      </c>
    </row>
    <row r="62" customFormat="false" ht="15" hidden="false" customHeight="false" outlineLevel="0" collapsed="false">
      <c r="A62" s="36" t="n">
        <v>46188</v>
      </c>
      <c r="B62" s="24" t="s">
        <v>61</v>
      </c>
      <c r="C62" s="24" t="s">
        <v>119</v>
      </c>
      <c r="D62" s="33" t="n">
        <v>104</v>
      </c>
      <c r="E62" s="24" t="n">
        <v>0</v>
      </c>
      <c r="F62" s="37" t="n">
        <f aca="false">DATE(YEAR(A62),MONTH(A62),1)</f>
        <v>46174</v>
      </c>
      <c r="G62" s="24" t="str">
        <f aca="false">INDEX(Products!$C$2:$C$49,MATCH(C62,Products!$A$2:$A$49,0))</f>
        <v>Grocery Staples</v>
      </c>
      <c r="H62" s="33" t="n">
        <f aca="false">D62*INDEX(Products!$E$2:$E$49,MATCH(C62,Products!$A$2:$A$49,0))</f>
        <v>43680</v>
      </c>
      <c r="I62" s="33" t="n">
        <f aca="false">D62*INDEX(Products!$D$2:$D$49,MATCH(C62,Products!$A$2:$A$49,0))*(1+INDEX(Assumptions!$B$16:$B$20,MATCH(B62,Assumptions!$A$16:$A$20,0)))</f>
        <v>39495.04</v>
      </c>
      <c r="J62" s="33" t="n">
        <f aca="false">H62-I62</f>
        <v>4184.96</v>
      </c>
      <c r="K62" s="33" t="n">
        <f aca="false">IF(OR(E62=0,E62&gt;=7),0,D62/(7-E62)*E62*INDEX(Products!$E$2:$E$49,MATCH(C62,Products!$A$2:$A$49,0)))</f>
        <v>0</v>
      </c>
    </row>
    <row r="63" customFormat="false" ht="15" hidden="false" customHeight="false" outlineLevel="0" collapsed="false">
      <c r="A63" s="36" t="n">
        <v>46195</v>
      </c>
      <c r="B63" s="24" t="s">
        <v>61</v>
      </c>
      <c r="C63" s="24" t="s">
        <v>119</v>
      </c>
      <c r="D63" s="33" t="n">
        <v>112</v>
      </c>
      <c r="E63" s="24" t="n">
        <v>0</v>
      </c>
      <c r="F63" s="37" t="n">
        <f aca="false">DATE(YEAR(A63),MONTH(A63),1)</f>
        <v>46174</v>
      </c>
      <c r="G63" s="24" t="str">
        <f aca="false">INDEX(Products!$C$2:$C$49,MATCH(C63,Products!$A$2:$A$49,0))</f>
        <v>Grocery Staples</v>
      </c>
      <c r="H63" s="33" t="n">
        <f aca="false">D63*INDEX(Products!$E$2:$E$49,MATCH(C63,Products!$A$2:$A$49,0))</f>
        <v>47040</v>
      </c>
      <c r="I63" s="33" t="n">
        <f aca="false">D63*INDEX(Products!$D$2:$D$49,MATCH(C63,Products!$A$2:$A$49,0))*(1+INDEX(Assumptions!$B$16:$B$20,MATCH(B63,Assumptions!$A$16:$A$20,0)))</f>
        <v>42533.12</v>
      </c>
      <c r="J63" s="33" t="n">
        <f aca="false">H63-I63</f>
        <v>4506.88</v>
      </c>
      <c r="K63" s="33" t="n">
        <f aca="false">IF(OR(E63=0,E63&gt;=7),0,D63/(7-E63)*E63*INDEX(Products!$E$2:$E$49,MATCH(C63,Products!$A$2:$A$49,0)))</f>
        <v>0</v>
      </c>
    </row>
    <row r="64" customFormat="false" ht="15" hidden="false" customHeight="false" outlineLevel="0" collapsed="false">
      <c r="A64" s="36" t="n">
        <v>46202</v>
      </c>
      <c r="B64" s="24" t="s">
        <v>61</v>
      </c>
      <c r="C64" s="24" t="s">
        <v>119</v>
      </c>
      <c r="D64" s="33" t="n">
        <v>99</v>
      </c>
      <c r="E64" s="24" t="n">
        <v>0</v>
      </c>
      <c r="F64" s="37" t="n">
        <f aca="false">DATE(YEAR(A64),MONTH(A64),1)</f>
        <v>46174</v>
      </c>
      <c r="G64" s="24" t="str">
        <f aca="false">INDEX(Products!$C$2:$C$49,MATCH(C64,Products!$A$2:$A$49,0))</f>
        <v>Grocery Staples</v>
      </c>
      <c r="H64" s="33" t="n">
        <f aca="false">D64*INDEX(Products!$E$2:$E$49,MATCH(C64,Products!$A$2:$A$49,0))</f>
        <v>41580</v>
      </c>
      <c r="I64" s="33" t="n">
        <f aca="false">D64*INDEX(Products!$D$2:$D$49,MATCH(C64,Products!$A$2:$A$49,0))*(1+INDEX(Assumptions!$B$16:$B$20,MATCH(B64,Assumptions!$A$16:$A$20,0)))</f>
        <v>37596.24</v>
      </c>
      <c r="J64" s="33" t="n">
        <f aca="false">H64-I64</f>
        <v>3983.76</v>
      </c>
      <c r="K64" s="33" t="n">
        <f aca="false">IF(OR(E64=0,E64&gt;=7),0,D64/(7-E64)*E64*INDEX(Products!$E$2:$E$49,MATCH(C64,Products!$A$2:$A$49,0)))</f>
        <v>0</v>
      </c>
    </row>
    <row r="65" customFormat="false" ht="15" hidden="false" customHeight="false" outlineLevel="0" collapsed="false">
      <c r="A65" s="36" t="n">
        <v>46209</v>
      </c>
      <c r="B65" s="24" t="s">
        <v>61</v>
      </c>
      <c r="C65" s="24" t="s">
        <v>119</v>
      </c>
      <c r="D65" s="33" t="n">
        <v>111</v>
      </c>
      <c r="E65" s="24" t="n">
        <v>0</v>
      </c>
      <c r="F65" s="37" t="n">
        <f aca="false">DATE(YEAR(A65),MONTH(A65),1)</f>
        <v>46204</v>
      </c>
      <c r="G65" s="24" t="str">
        <f aca="false">INDEX(Products!$C$2:$C$49,MATCH(C65,Products!$A$2:$A$49,0))</f>
        <v>Grocery Staples</v>
      </c>
      <c r="H65" s="33" t="n">
        <f aca="false">D65*INDEX(Products!$E$2:$E$49,MATCH(C65,Products!$A$2:$A$49,0))</f>
        <v>46620</v>
      </c>
      <c r="I65" s="33" t="n">
        <f aca="false">D65*INDEX(Products!$D$2:$D$49,MATCH(C65,Products!$A$2:$A$49,0))*(1+INDEX(Assumptions!$B$16:$B$20,MATCH(B65,Assumptions!$A$16:$A$20,0)))</f>
        <v>42153.36</v>
      </c>
      <c r="J65" s="33" t="n">
        <f aca="false">H65-I65</f>
        <v>4466.64</v>
      </c>
      <c r="K65" s="33" t="n">
        <f aca="false">IF(OR(E65=0,E65&gt;=7),0,D65/(7-E65)*E65*INDEX(Products!$E$2:$E$49,MATCH(C65,Products!$A$2:$A$49,0)))</f>
        <v>0</v>
      </c>
    </row>
    <row r="66" customFormat="false" ht="15" hidden="false" customHeight="false" outlineLevel="0" collapsed="false">
      <c r="A66" s="36" t="n">
        <v>46216</v>
      </c>
      <c r="B66" s="24" t="s">
        <v>61</v>
      </c>
      <c r="C66" s="24" t="s">
        <v>119</v>
      </c>
      <c r="D66" s="33" t="n">
        <v>108</v>
      </c>
      <c r="E66" s="24" t="n">
        <v>0</v>
      </c>
      <c r="F66" s="37" t="n">
        <f aca="false">DATE(YEAR(A66),MONTH(A66),1)</f>
        <v>46204</v>
      </c>
      <c r="G66" s="24" t="str">
        <f aca="false">INDEX(Products!$C$2:$C$49,MATCH(C66,Products!$A$2:$A$49,0))</f>
        <v>Grocery Staples</v>
      </c>
      <c r="H66" s="33" t="n">
        <f aca="false">D66*INDEX(Products!$E$2:$E$49,MATCH(C66,Products!$A$2:$A$49,0))</f>
        <v>45360</v>
      </c>
      <c r="I66" s="33" t="n">
        <f aca="false">D66*INDEX(Products!$D$2:$D$49,MATCH(C66,Products!$A$2:$A$49,0))*(1+INDEX(Assumptions!$B$16:$B$20,MATCH(B66,Assumptions!$A$16:$A$20,0)))</f>
        <v>41014.08</v>
      </c>
      <c r="J66" s="33" t="n">
        <f aca="false">H66-I66</f>
        <v>4345.92</v>
      </c>
      <c r="K66" s="33" t="n">
        <f aca="false">IF(OR(E66=0,E66&gt;=7),0,D66/(7-E66)*E66*INDEX(Products!$E$2:$E$49,MATCH(C66,Products!$A$2:$A$49,0)))</f>
        <v>0</v>
      </c>
    </row>
    <row r="67" customFormat="false" ht="15" hidden="false" customHeight="false" outlineLevel="0" collapsed="false">
      <c r="A67" s="36" t="n">
        <v>46223</v>
      </c>
      <c r="B67" s="24" t="s">
        <v>61</v>
      </c>
      <c r="C67" s="24" t="s">
        <v>119</v>
      </c>
      <c r="D67" s="33" t="n">
        <v>98</v>
      </c>
      <c r="E67" s="24" t="n">
        <v>0</v>
      </c>
      <c r="F67" s="37" t="n">
        <f aca="false">DATE(YEAR(A67),MONTH(A67),1)</f>
        <v>46204</v>
      </c>
      <c r="G67" s="24" t="str">
        <f aca="false">INDEX(Products!$C$2:$C$49,MATCH(C67,Products!$A$2:$A$49,0))</f>
        <v>Grocery Staples</v>
      </c>
      <c r="H67" s="33" t="n">
        <f aca="false">D67*INDEX(Products!$E$2:$E$49,MATCH(C67,Products!$A$2:$A$49,0))</f>
        <v>41160</v>
      </c>
      <c r="I67" s="33" t="n">
        <f aca="false">D67*INDEX(Products!$D$2:$D$49,MATCH(C67,Products!$A$2:$A$49,0))*(1+INDEX(Assumptions!$B$16:$B$20,MATCH(B67,Assumptions!$A$16:$A$20,0)))</f>
        <v>37216.48</v>
      </c>
      <c r="J67" s="33" t="n">
        <f aca="false">H67-I67</f>
        <v>3943.52</v>
      </c>
      <c r="K67" s="33" t="n">
        <f aca="false">IF(OR(E67=0,E67&gt;=7),0,D67/(7-E67)*E67*INDEX(Products!$E$2:$E$49,MATCH(C67,Products!$A$2:$A$49,0)))</f>
        <v>0</v>
      </c>
    </row>
    <row r="68" customFormat="false" ht="15" hidden="false" customHeight="false" outlineLevel="0" collapsed="false">
      <c r="A68" s="36" t="n">
        <v>46230</v>
      </c>
      <c r="B68" s="24" t="s">
        <v>61</v>
      </c>
      <c r="C68" s="24" t="s">
        <v>119</v>
      </c>
      <c r="D68" s="33" t="n">
        <v>87</v>
      </c>
      <c r="E68" s="24" t="n">
        <v>0</v>
      </c>
      <c r="F68" s="37" t="n">
        <f aca="false">DATE(YEAR(A68),MONTH(A68),1)</f>
        <v>46204</v>
      </c>
      <c r="G68" s="24" t="str">
        <f aca="false">INDEX(Products!$C$2:$C$49,MATCH(C68,Products!$A$2:$A$49,0))</f>
        <v>Grocery Staples</v>
      </c>
      <c r="H68" s="33" t="n">
        <f aca="false">D68*INDEX(Products!$E$2:$E$49,MATCH(C68,Products!$A$2:$A$49,0))</f>
        <v>36540</v>
      </c>
      <c r="I68" s="33" t="n">
        <f aca="false">D68*INDEX(Products!$D$2:$D$49,MATCH(C68,Products!$A$2:$A$49,0))*(1+INDEX(Assumptions!$B$16:$B$20,MATCH(B68,Assumptions!$A$16:$A$20,0)))</f>
        <v>33039.12</v>
      </c>
      <c r="J68" s="33" t="n">
        <f aca="false">H68-I68</f>
        <v>3500.88</v>
      </c>
      <c r="K68" s="33" t="n">
        <f aca="false">IF(OR(E68=0,E68&gt;=7),0,D68/(7-E68)*E68*INDEX(Products!$E$2:$E$49,MATCH(C68,Products!$A$2:$A$49,0)))</f>
        <v>0</v>
      </c>
    </row>
    <row r="69" customFormat="false" ht="15" hidden="false" customHeight="false" outlineLevel="0" collapsed="false">
      <c r="A69" s="36" t="n">
        <v>46237</v>
      </c>
      <c r="B69" s="24" t="s">
        <v>61</v>
      </c>
      <c r="C69" s="24" t="s">
        <v>119</v>
      </c>
      <c r="D69" s="33" t="n">
        <v>100</v>
      </c>
      <c r="E69" s="24" t="n">
        <v>0</v>
      </c>
      <c r="F69" s="37" t="n">
        <f aca="false">DATE(YEAR(A69),MONTH(A69),1)</f>
        <v>46235</v>
      </c>
      <c r="G69" s="24" t="str">
        <f aca="false">INDEX(Products!$C$2:$C$49,MATCH(C69,Products!$A$2:$A$49,0))</f>
        <v>Grocery Staples</v>
      </c>
      <c r="H69" s="33" t="n">
        <f aca="false">D69*INDEX(Products!$E$2:$E$49,MATCH(C69,Products!$A$2:$A$49,0))</f>
        <v>42000</v>
      </c>
      <c r="I69" s="33" t="n">
        <f aca="false">D69*INDEX(Products!$D$2:$D$49,MATCH(C69,Products!$A$2:$A$49,0))*(1+INDEX(Assumptions!$B$16:$B$20,MATCH(B69,Assumptions!$A$16:$A$20,0)))</f>
        <v>37976</v>
      </c>
      <c r="J69" s="33" t="n">
        <f aca="false">H69-I69</f>
        <v>4024</v>
      </c>
      <c r="K69" s="33" t="n">
        <f aca="false">IF(OR(E69=0,E69&gt;=7),0,D69/(7-E69)*E69*INDEX(Products!$E$2:$E$49,MATCH(C69,Products!$A$2:$A$49,0)))</f>
        <v>0</v>
      </c>
    </row>
    <row r="70" customFormat="false" ht="15" hidden="false" customHeight="false" outlineLevel="0" collapsed="false">
      <c r="A70" s="36" t="n">
        <v>46244</v>
      </c>
      <c r="B70" s="24" t="s">
        <v>61</v>
      </c>
      <c r="C70" s="24" t="s">
        <v>119</v>
      </c>
      <c r="D70" s="33" t="n">
        <v>91</v>
      </c>
      <c r="E70" s="24" t="n">
        <v>0</v>
      </c>
      <c r="F70" s="37" t="n">
        <f aca="false">DATE(YEAR(A70),MONTH(A70),1)</f>
        <v>46235</v>
      </c>
      <c r="G70" s="24" t="str">
        <f aca="false">INDEX(Products!$C$2:$C$49,MATCH(C70,Products!$A$2:$A$49,0))</f>
        <v>Grocery Staples</v>
      </c>
      <c r="H70" s="33" t="n">
        <f aca="false">D70*INDEX(Products!$E$2:$E$49,MATCH(C70,Products!$A$2:$A$49,0))</f>
        <v>38220</v>
      </c>
      <c r="I70" s="33" t="n">
        <f aca="false">D70*INDEX(Products!$D$2:$D$49,MATCH(C70,Products!$A$2:$A$49,0))*(1+INDEX(Assumptions!$B$16:$B$20,MATCH(B70,Assumptions!$A$16:$A$20,0)))</f>
        <v>34558.16</v>
      </c>
      <c r="J70" s="33" t="n">
        <f aca="false">H70-I70</f>
        <v>3661.84</v>
      </c>
      <c r="K70" s="33" t="n">
        <f aca="false">IF(OR(E70=0,E70&gt;=7),0,D70/(7-E70)*E70*INDEX(Products!$E$2:$E$49,MATCH(C70,Products!$A$2:$A$49,0)))</f>
        <v>0</v>
      </c>
    </row>
    <row r="71" customFormat="false" ht="15" hidden="false" customHeight="false" outlineLevel="0" collapsed="false">
      <c r="A71" s="36" t="n">
        <v>46251</v>
      </c>
      <c r="B71" s="24" t="s">
        <v>61</v>
      </c>
      <c r="C71" s="24" t="s">
        <v>119</v>
      </c>
      <c r="D71" s="33" t="n">
        <v>91</v>
      </c>
      <c r="E71" s="24" t="n">
        <v>0</v>
      </c>
      <c r="F71" s="37" t="n">
        <f aca="false">DATE(YEAR(A71),MONTH(A71),1)</f>
        <v>46235</v>
      </c>
      <c r="G71" s="24" t="str">
        <f aca="false">INDEX(Products!$C$2:$C$49,MATCH(C71,Products!$A$2:$A$49,0))</f>
        <v>Grocery Staples</v>
      </c>
      <c r="H71" s="33" t="n">
        <f aca="false">D71*INDEX(Products!$E$2:$E$49,MATCH(C71,Products!$A$2:$A$49,0))</f>
        <v>38220</v>
      </c>
      <c r="I71" s="33" t="n">
        <f aca="false">D71*INDEX(Products!$D$2:$D$49,MATCH(C71,Products!$A$2:$A$49,0))*(1+INDEX(Assumptions!$B$16:$B$20,MATCH(B71,Assumptions!$A$16:$A$20,0)))</f>
        <v>34558.16</v>
      </c>
      <c r="J71" s="33" t="n">
        <f aca="false">H71-I71</f>
        <v>3661.84</v>
      </c>
      <c r="K71" s="33" t="n">
        <f aca="false">IF(OR(E71=0,E71&gt;=7),0,D71/(7-E71)*E71*INDEX(Products!$E$2:$E$49,MATCH(C71,Products!$A$2:$A$49,0)))</f>
        <v>0</v>
      </c>
    </row>
    <row r="72" customFormat="false" ht="15" hidden="false" customHeight="false" outlineLevel="0" collapsed="false">
      <c r="A72" s="36" t="n">
        <v>46258</v>
      </c>
      <c r="B72" s="24" t="s">
        <v>61</v>
      </c>
      <c r="C72" s="24" t="s">
        <v>119</v>
      </c>
      <c r="D72" s="33" t="n">
        <v>117</v>
      </c>
      <c r="E72" s="24" t="n">
        <v>0</v>
      </c>
      <c r="F72" s="37" t="n">
        <f aca="false">DATE(YEAR(A72),MONTH(A72),1)</f>
        <v>46235</v>
      </c>
      <c r="G72" s="24" t="str">
        <f aca="false">INDEX(Products!$C$2:$C$49,MATCH(C72,Products!$A$2:$A$49,0))</f>
        <v>Grocery Staples</v>
      </c>
      <c r="H72" s="33" t="n">
        <f aca="false">D72*INDEX(Products!$E$2:$E$49,MATCH(C72,Products!$A$2:$A$49,0))</f>
        <v>49140</v>
      </c>
      <c r="I72" s="33" t="n">
        <f aca="false">D72*INDEX(Products!$D$2:$D$49,MATCH(C72,Products!$A$2:$A$49,0))*(1+INDEX(Assumptions!$B$16:$B$20,MATCH(B72,Assumptions!$A$16:$A$20,0)))</f>
        <v>44431.92</v>
      </c>
      <c r="J72" s="33" t="n">
        <f aca="false">H72-I72</f>
        <v>4708.08</v>
      </c>
      <c r="K72" s="33" t="n">
        <f aca="false">IF(OR(E72=0,E72&gt;=7),0,D72/(7-E72)*E72*INDEX(Products!$E$2:$E$49,MATCH(C72,Products!$A$2:$A$49,0)))</f>
        <v>0</v>
      </c>
    </row>
    <row r="73" customFormat="false" ht="15" hidden="false" customHeight="false" outlineLevel="0" collapsed="false">
      <c r="A73" s="36" t="n">
        <v>46265</v>
      </c>
      <c r="B73" s="24" t="s">
        <v>61</v>
      </c>
      <c r="C73" s="24" t="s">
        <v>119</v>
      </c>
      <c r="D73" s="33" t="n">
        <v>98</v>
      </c>
      <c r="E73" s="24" t="n">
        <v>0</v>
      </c>
      <c r="F73" s="37" t="n">
        <f aca="false">DATE(YEAR(A73),MONTH(A73),1)</f>
        <v>46235</v>
      </c>
      <c r="G73" s="24" t="str">
        <f aca="false">INDEX(Products!$C$2:$C$49,MATCH(C73,Products!$A$2:$A$49,0))</f>
        <v>Grocery Staples</v>
      </c>
      <c r="H73" s="33" t="n">
        <f aca="false">D73*INDEX(Products!$E$2:$E$49,MATCH(C73,Products!$A$2:$A$49,0))</f>
        <v>41160</v>
      </c>
      <c r="I73" s="33" t="n">
        <f aca="false">D73*INDEX(Products!$D$2:$D$49,MATCH(C73,Products!$A$2:$A$49,0))*(1+INDEX(Assumptions!$B$16:$B$20,MATCH(B73,Assumptions!$A$16:$A$20,0)))</f>
        <v>37216.48</v>
      </c>
      <c r="J73" s="33" t="n">
        <f aca="false">H73-I73</f>
        <v>3943.52</v>
      </c>
      <c r="K73" s="33" t="n">
        <f aca="false">IF(OR(E73=0,E73&gt;=7),0,D73/(7-E73)*E73*INDEX(Products!$E$2:$E$49,MATCH(C73,Products!$A$2:$A$49,0)))</f>
        <v>0</v>
      </c>
    </row>
    <row r="74" customFormat="false" ht="15" hidden="false" customHeight="false" outlineLevel="0" collapsed="false">
      <c r="A74" s="36" t="n">
        <v>46272</v>
      </c>
      <c r="B74" s="24" t="s">
        <v>61</v>
      </c>
      <c r="C74" s="24" t="s">
        <v>119</v>
      </c>
      <c r="D74" s="33" t="n">
        <v>104</v>
      </c>
      <c r="E74" s="24" t="n">
        <v>0</v>
      </c>
      <c r="F74" s="37" t="n">
        <f aca="false">DATE(YEAR(A74),MONTH(A74),1)</f>
        <v>46266</v>
      </c>
      <c r="G74" s="24" t="str">
        <f aca="false">INDEX(Products!$C$2:$C$49,MATCH(C74,Products!$A$2:$A$49,0))</f>
        <v>Grocery Staples</v>
      </c>
      <c r="H74" s="33" t="n">
        <f aca="false">D74*INDEX(Products!$E$2:$E$49,MATCH(C74,Products!$A$2:$A$49,0))</f>
        <v>43680</v>
      </c>
      <c r="I74" s="33" t="n">
        <f aca="false">D74*INDEX(Products!$D$2:$D$49,MATCH(C74,Products!$A$2:$A$49,0))*(1+INDEX(Assumptions!$B$16:$B$20,MATCH(B74,Assumptions!$A$16:$A$20,0)))</f>
        <v>39495.04</v>
      </c>
      <c r="J74" s="33" t="n">
        <f aca="false">H74-I74</f>
        <v>4184.96</v>
      </c>
      <c r="K74" s="33" t="n">
        <f aca="false">IF(OR(E74=0,E74&gt;=7),0,D74/(7-E74)*E74*INDEX(Products!$E$2:$E$49,MATCH(C74,Products!$A$2:$A$49,0)))</f>
        <v>0</v>
      </c>
    </row>
    <row r="75" customFormat="false" ht="15" hidden="false" customHeight="false" outlineLevel="0" collapsed="false">
      <c r="A75" s="36" t="n">
        <v>46279</v>
      </c>
      <c r="B75" s="24" t="s">
        <v>61</v>
      </c>
      <c r="C75" s="24" t="s">
        <v>119</v>
      </c>
      <c r="D75" s="33" t="n">
        <v>96</v>
      </c>
      <c r="E75" s="24" t="n">
        <v>0</v>
      </c>
      <c r="F75" s="37" t="n">
        <f aca="false">DATE(YEAR(A75),MONTH(A75),1)</f>
        <v>46266</v>
      </c>
      <c r="G75" s="24" t="str">
        <f aca="false">INDEX(Products!$C$2:$C$49,MATCH(C75,Products!$A$2:$A$49,0))</f>
        <v>Grocery Staples</v>
      </c>
      <c r="H75" s="33" t="n">
        <f aca="false">D75*INDEX(Products!$E$2:$E$49,MATCH(C75,Products!$A$2:$A$49,0))</f>
        <v>40320</v>
      </c>
      <c r="I75" s="33" t="n">
        <f aca="false">D75*INDEX(Products!$D$2:$D$49,MATCH(C75,Products!$A$2:$A$49,0))*(1+INDEX(Assumptions!$B$16:$B$20,MATCH(B75,Assumptions!$A$16:$A$20,0)))</f>
        <v>36456.96</v>
      </c>
      <c r="J75" s="33" t="n">
        <f aca="false">H75-I75</f>
        <v>3863.04</v>
      </c>
      <c r="K75" s="33" t="n">
        <f aca="false">IF(OR(E75=0,E75&gt;=7),0,D75/(7-E75)*E75*INDEX(Products!$E$2:$E$49,MATCH(C75,Products!$A$2:$A$49,0)))</f>
        <v>0</v>
      </c>
    </row>
    <row r="76" customFormat="false" ht="15" hidden="false" customHeight="false" outlineLevel="0" collapsed="false">
      <c r="A76" s="36" t="n">
        <v>46286</v>
      </c>
      <c r="B76" s="24" t="s">
        <v>61</v>
      </c>
      <c r="C76" s="24" t="s">
        <v>119</v>
      </c>
      <c r="D76" s="33" t="n">
        <v>204</v>
      </c>
      <c r="E76" s="24" t="n">
        <v>0</v>
      </c>
      <c r="F76" s="37" t="n">
        <f aca="false">DATE(YEAR(A76),MONTH(A76),1)</f>
        <v>46266</v>
      </c>
      <c r="G76" s="24" t="str">
        <f aca="false">INDEX(Products!$C$2:$C$49,MATCH(C76,Products!$A$2:$A$49,0))</f>
        <v>Grocery Staples</v>
      </c>
      <c r="H76" s="33" t="n">
        <f aca="false">D76*INDEX(Products!$E$2:$E$49,MATCH(C76,Products!$A$2:$A$49,0))</f>
        <v>85680</v>
      </c>
      <c r="I76" s="33" t="n">
        <f aca="false">D76*INDEX(Products!$D$2:$D$49,MATCH(C76,Products!$A$2:$A$49,0))*(1+INDEX(Assumptions!$B$16:$B$20,MATCH(B76,Assumptions!$A$16:$A$20,0)))</f>
        <v>77471.04</v>
      </c>
      <c r="J76" s="33" t="n">
        <f aca="false">H76-I76</f>
        <v>8208.96000000001</v>
      </c>
      <c r="K76" s="33" t="n">
        <f aca="false">IF(OR(E76=0,E76&gt;=7),0,D76/(7-E76)*E76*INDEX(Products!$E$2:$E$49,MATCH(C76,Products!$A$2:$A$49,0)))</f>
        <v>0</v>
      </c>
    </row>
    <row r="77" customFormat="false" ht="15" hidden="false" customHeight="false" outlineLevel="0" collapsed="false">
      <c r="A77" s="36" t="n">
        <v>46118</v>
      </c>
      <c r="B77" s="24" t="s">
        <v>61</v>
      </c>
      <c r="C77" s="24" t="s">
        <v>121</v>
      </c>
      <c r="D77" s="33" t="n">
        <v>49</v>
      </c>
      <c r="E77" s="24" t="n">
        <v>0</v>
      </c>
      <c r="F77" s="37" t="n">
        <f aca="false">DATE(YEAR(A77),MONTH(A77),1)</f>
        <v>46113</v>
      </c>
      <c r="G77" s="24" t="str">
        <f aca="false">INDEX(Products!$C$2:$C$49,MATCH(C77,Products!$A$2:$A$49,0))</f>
        <v>Grocery Staples</v>
      </c>
      <c r="H77" s="33" t="n">
        <f aca="false">D77*INDEX(Products!$E$2:$E$49,MATCH(C77,Products!$A$2:$A$49,0))</f>
        <v>9310</v>
      </c>
      <c r="I77" s="33" t="n">
        <f aca="false">D77*INDEX(Products!$D$2:$D$49,MATCH(C77,Products!$A$2:$A$49,0))*(1+INDEX(Assumptions!$B$16:$B$20,MATCH(B77,Assumptions!$A$16:$A$20,0)))</f>
        <v>7967.89</v>
      </c>
      <c r="J77" s="33" t="n">
        <f aca="false">H77-I77</f>
        <v>1342.11</v>
      </c>
      <c r="K77" s="33" t="n">
        <f aca="false">IF(OR(E77=0,E77&gt;=7),0,D77/(7-E77)*E77*INDEX(Products!$E$2:$E$49,MATCH(C77,Products!$A$2:$A$49,0)))</f>
        <v>0</v>
      </c>
    </row>
    <row r="78" customFormat="false" ht="15" hidden="false" customHeight="false" outlineLevel="0" collapsed="false">
      <c r="A78" s="36" t="n">
        <v>46125</v>
      </c>
      <c r="B78" s="24" t="s">
        <v>61</v>
      </c>
      <c r="C78" s="24" t="s">
        <v>121</v>
      </c>
      <c r="D78" s="33" t="n">
        <v>34</v>
      </c>
      <c r="E78" s="24" t="n">
        <v>2</v>
      </c>
      <c r="F78" s="37" t="n">
        <f aca="false">DATE(YEAR(A78),MONTH(A78),1)</f>
        <v>46113</v>
      </c>
      <c r="G78" s="24" t="str">
        <f aca="false">INDEX(Products!$C$2:$C$49,MATCH(C78,Products!$A$2:$A$49,0))</f>
        <v>Grocery Staples</v>
      </c>
      <c r="H78" s="33" t="n">
        <f aca="false">D78*INDEX(Products!$E$2:$E$49,MATCH(C78,Products!$A$2:$A$49,0))</f>
        <v>6460</v>
      </c>
      <c r="I78" s="33" t="n">
        <f aca="false">D78*INDEX(Products!$D$2:$D$49,MATCH(C78,Products!$A$2:$A$49,0))*(1+INDEX(Assumptions!$B$16:$B$20,MATCH(B78,Assumptions!$A$16:$A$20,0)))</f>
        <v>5528.74</v>
      </c>
      <c r="J78" s="33" t="n">
        <f aca="false">H78-I78</f>
        <v>931.26</v>
      </c>
      <c r="K78" s="33" t="n">
        <f aca="false">IF(OR(E78=0,E78&gt;=7),0,D78/(7-E78)*E78*INDEX(Products!$E$2:$E$49,MATCH(C78,Products!$A$2:$A$49,0)))</f>
        <v>2584</v>
      </c>
    </row>
    <row r="79" customFormat="false" ht="15" hidden="false" customHeight="false" outlineLevel="0" collapsed="false">
      <c r="A79" s="36" t="n">
        <v>46132</v>
      </c>
      <c r="B79" s="24" t="s">
        <v>61</v>
      </c>
      <c r="C79" s="24" t="s">
        <v>121</v>
      </c>
      <c r="D79" s="33" t="n">
        <v>63</v>
      </c>
      <c r="E79" s="24" t="n">
        <v>0</v>
      </c>
      <c r="F79" s="37" t="n">
        <f aca="false">DATE(YEAR(A79),MONTH(A79),1)</f>
        <v>46113</v>
      </c>
      <c r="G79" s="24" t="str">
        <f aca="false">INDEX(Products!$C$2:$C$49,MATCH(C79,Products!$A$2:$A$49,0))</f>
        <v>Grocery Staples</v>
      </c>
      <c r="H79" s="33" t="n">
        <f aca="false">D79*INDEX(Products!$E$2:$E$49,MATCH(C79,Products!$A$2:$A$49,0))</f>
        <v>11970</v>
      </c>
      <c r="I79" s="33" t="n">
        <f aca="false">D79*INDEX(Products!$D$2:$D$49,MATCH(C79,Products!$A$2:$A$49,0))*(1+INDEX(Assumptions!$B$16:$B$20,MATCH(B79,Assumptions!$A$16:$A$20,0)))</f>
        <v>10244.43</v>
      </c>
      <c r="J79" s="33" t="n">
        <f aca="false">H79-I79</f>
        <v>1725.57</v>
      </c>
      <c r="K79" s="33" t="n">
        <f aca="false">IF(OR(E79=0,E79&gt;=7),0,D79/(7-E79)*E79*INDEX(Products!$E$2:$E$49,MATCH(C79,Products!$A$2:$A$49,0)))</f>
        <v>0</v>
      </c>
    </row>
    <row r="80" customFormat="false" ht="15" hidden="false" customHeight="false" outlineLevel="0" collapsed="false">
      <c r="A80" s="36" t="n">
        <v>46139</v>
      </c>
      <c r="B80" s="24" t="s">
        <v>61</v>
      </c>
      <c r="C80" s="24" t="s">
        <v>121</v>
      </c>
      <c r="D80" s="33" t="n">
        <v>75</v>
      </c>
      <c r="E80" s="24" t="n">
        <v>0</v>
      </c>
      <c r="F80" s="37" t="n">
        <f aca="false">DATE(YEAR(A80),MONTH(A80),1)</f>
        <v>46113</v>
      </c>
      <c r="G80" s="24" t="str">
        <f aca="false">INDEX(Products!$C$2:$C$49,MATCH(C80,Products!$A$2:$A$49,0))</f>
        <v>Grocery Staples</v>
      </c>
      <c r="H80" s="33" t="n">
        <f aca="false">D80*INDEX(Products!$E$2:$E$49,MATCH(C80,Products!$A$2:$A$49,0))</f>
        <v>14250</v>
      </c>
      <c r="I80" s="33" t="n">
        <f aca="false">D80*INDEX(Products!$D$2:$D$49,MATCH(C80,Products!$A$2:$A$49,0))*(1+INDEX(Assumptions!$B$16:$B$20,MATCH(B80,Assumptions!$A$16:$A$20,0)))</f>
        <v>12195.75</v>
      </c>
      <c r="J80" s="33" t="n">
        <f aca="false">H80-I80</f>
        <v>2054.25</v>
      </c>
      <c r="K80" s="33" t="n">
        <f aca="false">IF(OR(E80=0,E80&gt;=7),0,D80/(7-E80)*E80*INDEX(Products!$E$2:$E$49,MATCH(C80,Products!$A$2:$A$49,0)))</f>
        <v>0</v>
      </c>
    </row>
    <row r="81" customFormat="false" ht="15" hidden="false" customHeight="false" outlineLevel="0" collapsed="false">
      <c r="A81" s="36" t="n">
        <v>46146</v>
      </c>
      <c r="B81" s="24" t="s">
        <v>61</v>
      </c>
      <c r="C81" s="24" t="s">
        <v>121</v>
      </c>
      <c r="D81" s="33" t="n">
        <v>57</v>
      </c>
      <c r="E81" s="24" t="n">
        <v>0</v>
      </c>
      <c r="F81" s="37" t="n">
        <f aca="false">DATE(YEAR(A81),MONTH(A81),1)</f>
        <v>46143</v>
      </c>
      <c r="G81" s="24" t="str">
        <f aca="false">INDEX(Products!$C$2:$C$49,MATCH(C81,Products!$A$2:$A$49,0))</f>
        <v>Grocery Staples</v>
      </c>
      <c r="H81" s="33" t="n">
        <f aca="false">D81*INDEX(Products!$E$2:$E$49,MATCH(C81,Products!$A$2:$A$49,0))</f>
        <v>10830</v>
      </c>
      <c r="I81" s="33" t="n">
        <f aca="false">D81*INDEX(Products!$D$2:$D$49,MATCH(C81,Products!$A$2:$A$49,0))*(1+INDEX(Assumptions!$B$16:$B$20,MATCH(B81,Assumptions!$A$16:$A$20,0)))</f>
        <v>9268.77</v>
      </c>
      <c r="J81" s="33" t="n">
        <f aca="false">H81-I81</f>
        <v>1561.23</v>
      </c>
      <c r="K81" s="33" t="n">
        <f aca="false">IF(OR(E81=0,E81&gt;=7),0,D81/(7-E81)*E81*INDEX(Products!$E$2:$E$49,MATCH(C81,Products!$A$2:$A$49,0)))</f>
        <v>0</v>
      </c>
    </row>
    <row r="82" customFormat="false" ht="15" hidden="false" customHeight="false" outlineLevel="0" collapsed="false">
      <c r="A82" s="36" t="n">
        <v>46153</v>
      </c>
      <c r="B82" s="24" t="s">
        <v>61</v>
      </c>
      <c r="C82" s="24" t="s">
        <v>121</v>
      </c>
      <c r="D82" s="33" t="n">
        <v>64</v>
      </c>
      <c r="E82" s="24" t="n">
        <v>0</v>
      </c>
      <c r="F82" s="37" t="n">
        <f aca="false">DATE(YEAR(A82),MONTH(A82),1)</f>
        <v>46143</v>
      </c>
      <c r="G82" s="24" t="str">
        <f aca="false">INDEX(Products!$C$2:$C$49,MATCH(C82,Products!$A$2:$A$49,0))</f>
        <v>Grocery Staples</v>
      </c>
      <c r="H82" s="33" t="n">
        <f aca="false">D82*INDEX(Products!$E$2:$E$49,MATCH(C82,Products!$A$2:$A$49,0))</f>
        <v>12160</v>
      </c>
      <c r="I82" s="33" t="n">
        <f aca="false">D82*INDEX(Products!$D$2:$D$49,MATCH(C82,Products!$A$2:$A$49,0))*(1+INDEX(Assumptions!$B$16:$B$20,MATCH(B82,Assumptions!$A$16:$A$20,0)))</f>
        <v>10407.04</v>
      </c>
      <c r="J82" s="33" t="n">
        <f aca="false">H82-I82</f>
        <v>1752.96</v>
      </c>
      <c r="K82" s="33" t="n">
        <f aca="false">IF(OR(E82=0,E82&gt;=7),0,D82/(7-E82)*E82*INDEX(Products!$E$2:$E$49,MATCH(C82,Products!$A$2:$A$49,0)))</f>
        <v>0</v>
      </c>
    </row>
    <row r="83" customFormat="false" ht="15" hidden="false" customHeight="false" outlineLevel="0" collapsed="false">
      <c r="A83" s="36" t="n">
        <v>46160</v>
      </c>
      <c r="B83" s="24" t="s">
        <v>61</v>
      </c>
      <c r="C83" s="24" t="s">
        <v>121</v>
      </c>
      <c r="D83" s="33" t="n">
        <v>65</v>
      </c>
      <c r="E83" s="24" t="n">
        <v>0</v>
      </c>
      <c r="F83" s="37" t="n">
        <f aca="false">DATE(YEAR(A83),MONTH(A83),1)</f>
        <v>46143</v>
      </c>
      <c r="G83" s="24" t="str">
        <f aca="false">INDEX(Products!$C$2:$C$49,MATCH(C83,Products!$A$2:$A$49,0))</f>
        <v>Grocery Staples</v>
      </c>
      <c r="H83" s="33" t="n">
        <f aca="false">D83*INDEX(Products!$E$2:$E$49,MATCH(C83,Products!$A$2:$A$49,0))</f>
        <v>12350</v>
      </c>
      <c r="I83" s="33" t="n">
        <f aca="false">D83*INDEX(Products!$D$2:$D$49,MATCH(C83,Products!$A$2:$A$49,0))*(1+INDEX(Assumptions!$B$16:$B$20,MATCH(B83,Assumptions!$A$16:$A$20,0)))</f>
        <v>10569.65</v>
      </c>
      <c r="J83" s="33" t="n">
        <f aca="false">H83-I83</f>
        <v>1780.35</v>
      </c>
      <c r="K83" s="33" t="n">
        <f aca="false">IF(OR(E83=0,E83&gt;=7),0,D83/(7-E83)*E83*INDEX(Products!$E$2:$E$49,MATCH(C83,Products!$A$2:$A$49,0)))</f>
        <v>0</v>
      </c>
    </row>
    <row r="84" customFormat="false" ht="15" hidden="false" customHeight="false" outlineLevel="0" collapsed="false">
      <c r="A84" s="36" t="n">
        <v>46167</v>
      </c>
      <c r="B84" s="24" t="s">
        <v>61</v>
      </c>
      <c r="C84" s="24" t="s">
        <v>121</v>
      </c>
      <c r="D84" s="33" t="n">
        <v>82</v>
      </c>
      <c r="E84" s="24" t="n">
        <v>0</v>
      </c>
      <c r="F84" s="37" t="n">
        <f aca="false">DATE(YEAR(A84),MONTH(A84),1)</f>
        <v>46143</v>
      </c>
      <c r="G84" s="24" t="str">
        <f aca="false">INDEX(Products!$C$2:$C$49,MATCH(C84,Products!$A$2:$A$49,0))</f>
        <v>Grocery Staples</v>
      </c>
      <c r="H84" s="33" t="n">
        <f aca="false">D84*INDEX(Products!$E$2:$E$49,MATCH(C84,Products!$A$2:$A$49,0))</f>
        <v>15580</v>
      </c>
      <c r="I84" s="33" t="n">
        <f aca="false">D84*INDEX(Products!$D$2:$D$49,MATCH(C84,Products!$A$2:$A$49,0))*(1+INDEX(Assumptions!$B$16:$B$20,MATCH(B84,Assumptions!$A$16:$A$20,0)))</f>
        <v>13334.02</v>
      </c>
      <c r="J84" s="33" t="n">
        <f aca="false">H84-I84</f>
        <v>2245.98</v>
      </c>
      <c r="K84" s="33" t="n">
        <f aca="false">IF(OR(E84=0,E84&gt;=7),0,D84/(7-E84)*E84*INDEX(Products!$E$2:$E$49,MATCH(C84,Products!$A$2:$A$49,0)))</f>
        <v>0</v>
      </c>
    </row>
    <row r="85" customFormat="false" ht="15" hidden="false" customHeight="false" outlineLevel="0" collapsed="false">
      <c r="A85" s="36" t="n">
        <v>46174</v>
      </c>
      <c r="B85" s="24" t="s">
        <v>61</v>
      </c>
      <c r="C85" s="24" t="s">
        <v>121</v>
      </c>
      <c r="D85" s="33" t="n">
        <v>69</v>
      </c>
      <c r="E85" s="24" t="n">
        <v>0</v>
      </c>
      <c r="F85" s="37" t="n">
        <f aca="false">DATE(YEAR(A85),MONTH(A85),1)</f>
        <v>46174</v>
      </c>
      <c r="G85" s="24" t="str">
        <f aca="false">INDEX(Products!$C$2:$C$49,MATCH(C85,Products!$A$2:$A$49,0))</f>
        <v>Grocery Staples</v>
      </c>
      <c r="H85" s="33" t="n">
        <f aca="false">D85*INDEX(Products!$E$2:$E$49,MATCH(C85,Products!$A$2:$A$49,0))</f>
        <v>13110</v>
      </c>
      <c r="I85" s="33" t="n">
        <f aca="false">D85*INDEX(Products!$D$2:$D$49,MATCH(C85,Products!$A$2:$A$49,0))*(1+INDEX(Assumptions!$B$16:$B$20,MATCH(B85,Assumptions!$A$16:$A$20,0)))</f>
        <v>11220.09</v>
      </c>
      <c r="J85" s="33" t="n">
        <f aca="false">H85-I85</f>
        <v>1889.91</v>
      </c>
      <c r="K85" s="33" t="n">
        <f aca="false">IF(OR(E85=0,E85&gt;=7),0,D85/(7-E85)*E85*INDEX(Products!$E$2:$E$49,MATCH(C85,Products!$A$2:$A$49,0)))</f>
        <v>0</v>
      </c>
    </row>
    <row r="86" customFormat="false" ht="15" hidden="false" customHeight="false" outlineLevel="0" collapsed="false">
      <c r="A86" s="36" t="n">
        <v>46181</v>
      </c>
      <c r="B86" s="24" t="s">
        <v>61</v>
      </c>
      <c r="C86" s="24" t="s">
        <v>121</v>
      </c>
      <c r="D86" s="33" t="n">
        <v>72</v>
      </c>
      <c r="E86" s="24" t="n">
        <v>0</v>
      </c>
      <c r="F86" s="37" t="n">
        <f aca="false">DATE(YEAR(A86),MONTH(A86),1)</f>
        <v>46174</v>
      </c>
      <c r="G86" s="24" t="str">
        <f aca="false">INDEX(Products!$C$2:$C$49,MATCH(C86,Products!$A$2:$A$49,0))</f>
        <v>Grocery Staples</v>
      </c>
      <c r="H86" s="33" t="n">
        <f aca="false">D86*INDEX(Products!$E$2:$E$49,MATCH(C86,Products!$A$2:$A$49,0))</f>
        <v>13680</v>
      </c>
      <c r="I86" s="33" t="n">
        <f aca="false">D86*INDEX(Products!$D$2:$D$49,MATCH(C86,Products!$A$2:$A$49,0))*(1+INDEX(Assumptions!$B$16:$B$20,MATCH(B86,Assumptions!$A$16:$A$20,0)))</f>
        <v>11707.92</v>
      </c>
      <c r="J86" s="33" t="n">
        <f aca="false">H86-I86</f>
        <v>1972.08</v>
      </c>
      <c r="K86" s="33" t="n">
        <f aca="false">IF(OR(E86=0,E86&gt;=7),0,D86/(7-E86)*E86*INDEX(Products!$E$2:$E$49,MATCH(C86,Products!$A$2:$A$49,0)))</f>
        <v>0</v>
      </c>
    </row>
    <row r="87" customFormat="false" ht="15" hidden="false" customHeight="false" outlineLevel="0" collapsed="false">
      <c r="A87" s="36" t="n">
        <v>46188</v>
      </c>
      <c r="B87" s="24" t="s">
        <v>61</v>
      </c>
      <c r="C87" s="24" t="s">
        <v>121</v>
      </c>
      <c r="D87" s="33" t="n">
        <v>58</v>
      </c>
      <c r="E87" s="24" t="n">
        <v>0</v>
      </c>
      <c r="F87" s="37" t="n">
        <f aca="false">DATE(YEAR(A87),MONTH(A87),1)</f>
        <v>46174</v>
      </c>
      <c r="G87" s="24" t="str">
        <f aca="false">INDEX(Products!$C$2:$C$49,MATCH(C87,Products!$A$2:$A$49,0))</f>
        <v>Grocery Staples</v>
      </c>
      <c r="H87" s="33" t="n">
        <f aca="false">D87*INDEX(Products!$E$2:$E$49,MATCH(C87,Products!$A$2:$A$49,0))</f>
        <v>11020</v>
      </c>
      <c r="I87" s="33" t="n">
        <f aca="false">D87*INDEX(Products!$D$2:$D$49,MATCH(C87,Products!$A$2:$A$49,0))*(1+INDEX(Assumptions!$B$16:$B$20,MATCH(B87,Assumptions!$A$16:$A$20,0)))</f>
        <v>9431.38</v>
      </c>
      <c r="J87" s="33" t="n">
        <f aca="false">H87-I87</f>
        <v>1588.62</v>
      </c>
      <c r="K87" s="33" t="n">
        <f aca="false">IF(OR(E87=0,E87&gt;=7),0,D87/(7-E87)*E87*INDEX(Products!$E$2:$E$49,MATCH(C87,Products!$A$2:$A$49,0)))</f>
        <v>0</v>
      </c>
    </row>
    <row r="88" customFormat="false" ht="15" hidden="false" customHeight="false" outlineLevel="0" collapsed="false">
      <c r="A88" s="36" t="n">
        <v>46195</v>
      </c>
      <c r="B88" s="24" t="s">
        <v>61</v>
      </c>
      <c r="C88" s="24" t="s">
        <v>121</v>
      </c>
      <c r="D88" s="33" t="n">
        <v>19</v>
      </c>
      <c r="E88" s="24" t="n">
        <v>5</v>
      </c>
      <c r="F88" s="37" t="n">
        <f aca="false">DATE(YEAR(A88),MONTH(A88),1)</f>
        <v>46174</v>
      </c>
      <c r="G88" s="24" t="str">
        <f aca="false">INDEX(Products!$C$2:$C$49,MATCH(C88,Products!$A$2:$A$49,0))</f>
        <v>Grocery Staples</v>
      </c>
      <c r="H88" s="33" t="n">
        <f aca="false">D88*INDEX(Products!$E$2:$E$49,MATCH(C88,Products!$A$2:$A$49,0))</f>
        <v>3610</v>
      </c>
      <c r="I88" s="33" t="n">
        <f aca="false">D88*INDEX(Products!$D$2:$D$49,MATCH(C88,Products!$A$2:$A$49,0))*(1+INDEX(Assumptions!$B$16:$B$20,MATCH(B88,Assumptions!$A$16:$A$20,0)))</f>
        <v>3089.59</v>
      </c>
      <c r="J88" s="33" t="n">
        <f aca="false">H88-I88</f>
        <v>520.41</v>
      </c>
      <c r="K88" s="33" t="n">
        <f aca="false">IF(OR(E88=0,E88&gt;=7),0,D88/(7-E88)*E88*INDEX(Products!$E$2:$E$49,MATCH(C88,Products!$A$2:$A$49,0)))</f>
        <v>9025</v>
      </c>
    </row>
    <row r="89" customFormat="false" ht="15" hidden="false" customHeight="false" outlineLevel="0" collapsed="false">
      <c r="A89" s="36" t="n">
        <v>46202</v>
      </c>
      <c r="B89" s="24" t="s">
        <v>61</v>
      </c>
      <c r="C89" s="24" t="s">
        <v>121</v>
      </c>
      <c r="D89" s="33" t="n">
        <v>63</v>
      </c>
      <c r="E89" s="24" t="n">
        <v>0</v>
      </c>
      <c r="F89" s="37" t="n">
        <f aca="false">DATE(YEAR(A89),MONTH(A89),1)</f>
        <v>46174</v>
      </c>
      <c r="G89" s="24" t="str">
        <f aca="false">INDEX(Products!$C$2:$C$49,MATCH(C89,Products!$A$2:$A$49,0))</f>
        <v>Grocery Staples</v>
      </c>
      <c r="H89" s="33" t="n">
        <f aca="false">D89*INDEX(Products!$E$2:$E$49,MATCH(C89,Products!$A$2:$A$49,0))</f>
        <v>11970</v>
      </c>
      <c r="I89" s="33" t="n">
        <f aca="false">D89*INDEX(Products!$D$2:$D$49,MATCH(C89,Products!$A$2:$A$49,0))*(1+INDEX(Assumptions!$B$16:$B$20,MATCH(B89,Assumptions!$A$16:$A$20,0)))</f>
        <v>10244.43</v>
      </c>
      <c r="J89" s="33" t="n">
        <f aca="false">H89-I89</f>
        <v>1725.57</v>
      </c>
      <c r="K89" s="33" t="n">
        <f aca="false">IF(OR(E89=0,E89&gt;=7),0,D89/(7-E89)*E89*INDEX(Products!$E$2:$E$49,MATCH(C89,Products!$A$2:$A$49,0)))</f>
        <v>0</v>
      </c>
    </row>
    <row r="90" customFormat="false" ht="15" hidden="false" customHeight="false" outlineLevel="0" collapsed="false">
      <c r="A90" s="36" t="n">
        <v>46209</v>
      </c>
      <c r="B90" s="24" t="s">
        <v>61</v>
      </c>
      <c r="C90" s="24" t="s">
        <v>121</v>
      </c>
      <c r="D90" s="33" t="n">
        <v>54</v>
      </c>
      <c r="E90" s="24" t="n">
        <v>0</v>
      </c>
      <c r="F90" s="37" t="n">
        <f aca="false">DATE(YEAR(A90),MONTH(A90),1)</f>
        <v>46204</v>
      </c>
      <c r="G90" s="24" t="str">
        <f aca="false">INDEX(Products!$C$2:$C$49,MATCH(C90,Products!$A$2:$A$49,0))</f>
        <v>Grocery Staples</v>
      </c>
      <c r="H90" s="33" t="n">
        <f aca="false">D90*INDEX(Products!$E$2:$E$49,MATCH(C90,Products!$A$2:$A$49,0))</f>
        <v>10260</v>
      </c>
      <c r="I90" s="33" t="n">
        <f aca="false">D90*INDEX(Products!$D$2:$D$49,MATCH(C90,Products!$A$2:$A$49,0))*(1+INDEX(Assumptions!$B$16:$B$20,MATCH(B90,Assumptions!$A$16:$A$20,0)))</f>
        <v>8780.94</v>
      </c>
      <c r="J90" s="33" t="n">
        <f aca="false">H90-I90</f>
        <v>1479.06</v>
      </c>
      <c r="K90" s="33" t="n">
        <f aca="false">IF(OR(E90=0,E90&gt;=7),0,D90/(7-E90)*E90*INDEX(Products!$E$2:$E$49,MATCH(C90,Products!$A$2:$A$49,0)))</f>
        <v>0</v>
      </c>
    </row>
    <row r="91" customFormat="false" ht="15" hidden="false" customHeight="false" outlineLevel="0" collapsed="false">
      <c r="A91" s="36" t="n">
        <v>46216</v>
      </c>
      <c r="B91" s="24" t="s">
        <v>61</v>
      </c>
      <c r="C91" s="24" t="s">
        <v>121</v>
      </c>
      <c r="D91" s="33" t="n">
        <v>64</v>
      </c>
      <c r="E91" s="24" t="n">
        <v>0</v>
      </c>
      <c r="F91" s="37" t="n">
        <f aca="false">DATE(YEAR(A91),MONTH(A91),1)</f>
        <v>46204</v>
      </c>
      <c r="G91" s="24" t="str">
        <f aca="false">INDEX(Products!$C$2:$C$49,MATCH(C91,Products!$A$2:$A$49,0))</f>
        <v>Grocery Staples</v>
      </c>
      <c r="H91" s="33" t="n">
        <f aca="false">D91*INDEX(Products!$E$2:$E$49,MATCH(C91,Products!$A$2:$A$49,0))</f>
        <v>12160</v>
      </c>
      <c r="I91" s="33" t="n">
        <f aca="false">D91*INDEX(Products!$D$2:$D$49,MATCH(C91,Products!$A$2:$A$49,0))*(1+INDEX(Assumptions!$B$16:$B$20,MATCH(B91,Assumptions!$A$16:$A$20,0)))</f>
        <v>10407.04</v>
      </c>
      <c r="J91" s="33" t="n">
        <f aca="false">H91-I91</f>
        <v>1752.96</v>
      </c>
      <c r="K91" s="33" t="n">
        <f aca="false">IF(OR(E91=0,E91&gt;=7),0,D91/(7-E91)*E91*INDEX(Products!$E$2:$E$49,MATCH(C91,Products!$A$2:$A$49,0)))</f>
        <v>0</v>
      </c>
    </row>
    <row r="92" customFormat="false" ht="15" hidden="false" customHeight="false" outlineLevel="0" collapsed="false">
      <c r="A92" s="36" t="n">
        <v>46223</v>
      </c>
      <c r="B92" s="24" t="s">
        <v>61</v>
      </c>
      <c r="C92" s="24" t="s">
        <v>121</v>
      </c>
      <c r="D92" s="33" t="n">
        <v>47</v>
      </c>
      <c r="E92" s="24" t="n">
        <v>0</v>
      </c>
      <c r="F92" s="37" t="n">
        <f aca="false">DATE(YEAR(A92),MONTH(A92),1)</f>
        <v>46204</v>
      </c>
      <c r="G92" s="24" t="str">
        <f aca="false">INDEX(Products!$C$2:$C$49,MATCH(C92,Products!$A$2:$A$49,0))</f>
        <v>Grocery Staples</v>
      </c>
      <c r="H92" s="33" t="n">
        <f aca="false">D92*INDEX(Products!$E$2:$E$49,MATCH(C92,Products!$A$2:$A$49,0))</f>
        <v>8930</v>
      </c>
      <c r="I92" s="33" t="n">
        <f aca="false">D92*INDEX(Products!$D$2:$D$49,MATCH(C92,Products!$A$2:$A$49,0))*(1+INDEX(Assumptions!$B$16:$B$20,MATCH(B92,Assumptions!$A$16:$A$20,0)))</f>
        <v>7642.67</v>
      </c>
      <c r="J92" s="33" t="n">
        <f aca="false">H92-I92</f>
        <v>1287.33</v>
      </c>
      <c r="K92" s="33" t="n">
        <f aca="false">IF(OR(E92=0,E92&gt;=7),0,D92/(7-E92)*E92*INDEX(Products!$E$2:$E$49,MATCH(C92,Products!$A$2:$A$49,0)))</f>
        <v>0</v>
      </c>
    </row>
    <row r="93" customFormat="false" ht="15" hidden="false" customHeight="false" outlineLevel="0" collapsed="false">
      <c r="A93" s="36" t="n">
        <v>46230</v>
      </c>
      <c r="B93" s="24" t="s">
        <v>61</v>
      </c>
      <c r="C93" s="24" t="s">
        <v>121</v>
      </c>
      <c r="D93" s="33" t="n">
        <v>64</v>
      </c>
      <c r="E93" s="24" t="n">
        <v>0</v>
      </c>
      <c r="F93" s="37" t="n">
        <f aca="false">DATE(YEAR(A93),MONTH(A93),1)</f>
        <v>46204</v>
      </c>
      <c r="G93" s="24" t="str">
        <f aca="false">INDEX(Products!$C$2:$C$49,MATCH(C93,Products!$A$2:$A$49,0))</f>
        <v>Grocery Staples</v>
      </c>
      <c r="H93" s="33" t="n">
        <f aca="false">D93*INDEX(Products!$E$2:$E$49,MATCH(C93,Products!$A$2:$A$49,0))</f>
        <v>12160</v>
      </c>
      <c r="I93" s="33" t="n">
        <f aca="false">D93*INDEX(Products!$D$2:$D$49,MATCH(C93,Products!$A$2:$A$49,0))*(1+INDEX(Assumptions!$B$16:$B$20,MATCH(B93,Assumptions!$A$16:$A$20,0)))</f>
        <v>10407.04</v>
      </c>
      <c r="J93" s="33" t="n">
        <f aca="false">H93-I93</f>
        <v>1752.96</v>
      </c>
      <c r="K93" s="33" t="n">
        <f aca="false">IF(OR(E93=0,E93&gt;=7),0,D93/(7-E93)*E93*INDEX(Products!$E$2:$E$49,MATCH(C93,Products!$A$2:$A$49,0)))</f>
        <v>0</v>
      </c>
    </row>
    <row r="94" customFormat="false" ht="15" hidden="false" customHeight="false" outlineLevel="0" collapsed="false">
      <c r="A94" s="36" t="n">
        <v>46237</v>
      </c>
      <c r="B94" s="24" t="s">
        <v>61</v>
      </c>
      <c r="C94" s="24" t="s">
        <v>121</v>
      </c>
      <c r="D94" s="33" t="n">
        <v>54</v>
      </c>
      <c r="E94" s="24" t="n">
        <v>0</v>
      </c>
      <c r="F94" s="37" t="n">
        <f aca="false">DATE(YEAR(A94),MONTH(A94),1)</f>
        <v>46235</v>
      </c>
      <c r="G94" s="24" t="str">
        <f aca="false">INDEX(Products!$C$2:$C$49,MATCH(C94,Products!$A$2:$A$49,0))</f>
        <v>Grocery Staples</v>
      </c>
      <c r="H94" s="33" t="n">
        <f aca="false">D94*INDEX(Products!$E$2:$E$49,MATCH(C94,Products!$A$2:$A$49,0))</f>
        <v>10260</v>
      </c>
      <c r="I94" s="33" t="n">
        <f aca="false">D94*INDEX(Products!$D$2:$D$49,MATCH(C94,Products!$A$2:$A$49,0))*(1+INDEX(Assumptions!$B$16:$B$20,MATCH(B94,Assumptions!$A$16:$A$20,0)))</f>
        <v>8780.94</v>
      </c>
      <c r="J94" s="33" t="n">
        <f aca="false">H94-I94</f>
        <v>1479.06</v>
      </c>
      <c r="K94" s="33" t="n">
        <f aca="false">IF(OR(E94=0,E94&gt;=7),0,D94/(7-E94)*E94*INDEX(Products!$E$2:$E$49,MATCH(C94,Products!$A$2:$A$49,0)))</f>
        <v>0</v>
      </c>
    </row>
    <row r="95" customFormat="false" ht="15" hidden="false" customHeight="false" outlineLevel="0" collapsed="false">
      <c r="A95" s="36" t="n">
        <v>46244</v>
      </c>
      <c r="B95" s="24" t="s">
        <v>61</v>
      </c>
      <c r="C95" s="24" t="s">
        <v>121</v>
      </c>
      <c r="D95" s="33" t="n">
        <v>65</v>
      </c>
      <c r="E95" s="24" t="n">
        <v>0</v>
      </c>
      <c r="F95" s="37" t="n">
        <f aca="false">DATE(YEAR(A95),MONTH(A95),1)</f>
        <v>46235</v>
      </c>
      <c r="G95" s="24" t="str">
        <f aca="false">INDEX(Products!$C$2:$C$49,MATCH(C95,Products!$A$2:$A$49,0))</f>
        <v>Grocery Staples</v>
      </c>
      <c r="H95" s="33" t="n">
        <f aca="false">D95*INDEX(Products!$E$2:$E$49,MATCH(C95,Products!$A$2:$A$49,0))</f>
        <v>12350</v>
      </c>
      <c r="I95" s="33" t="n">
        <f aca="false">D95*INDEX(Products!$D$2:$D$49,MATCH(C95,Products!$A$2:$A$49,0))*(1+INDEX(Assumptions!$B$16:$B$20,MATCH(B95,Assumptions!$A$16:$A$20,0)))</f>
        <v>10569.65</v>
      </c>
      <c r="J95" s="33" t="n">
        <f aca="false">H95-I95</f>
        <v>1780.35</v>
      </c>
      <c r="K95" s="33" t="n">
        <f aca="false">IF(OR(E95=0,E95&gt;=7),0,D95/(7-E95)*E95*INDEX(Products!$E$2:$E$49,MATCH(C95,Products!$A$2:$A$49,0)))</f>
        <v>0</v>
      </c>
    </row>
    <row r="96" customFormat="false" ht="15" hidden="false" customHeight="false" outlineLevel="0" collapsed="false">
      <c r="A96" s="36" t="n">
        <v>46251</v>
      </c>
      <c r="B96" s="24" t="s">
        <v>61</v>
      </c>
      <c r="C96" s="24" t="s">
        <v>121</v>
      </c>
      <c r="D96" s="33" t="n">
        <v>69</v>
      </c>
      <c r="E96" s="24" t="n">
        <v>0</v>
      </c>
      <c r="F96" s="37" t="n">
        <f aca="false">DATE(YEAR(A96),MONTH(A96),1)</f>
        <v>46235</v>
      </c>
      <c r="G96" s="24" t="str">
        <f aca="false">INDEX(Products!$C$2:$C$49,MATCH(C96,Products!$A$2:$A$49,0))</f>
        <v>Grocery Staples</v>
      </c>
      <c r="H96" s="33" t="n">
        <f aca="false">D96*INDEX(Products!$E$2:$E$49,MATCH(C96,Products!$A$2:$A$49,0))</f>
        <v>13110</v>
      </c>
      <c r="I96" s="33" t="n">
        <f aca="false">D96*INDEX(Products!$D$2:$D$49,MATCH(C96,Products!$A$2:$A$49,0))*(1+INDEX(Assumptions!$B$16:$B$20,MATCH(B96,Assumptions!$A$16:$A$20,0)))</f>
        <v>11220.09</v>
      </c>
      <c r="J96" s="33" t="n">
        <f aca="false">H96-I96</f>
        <v>1889.91</v>
      </c>
      <c r="K96" s="33" t="n">
        <f aca="false">IF(OR(E96=0,E96&gt;=7),0,D96/(7-E96)*E96*INDEX(Products!$E$2:$E$49,MATCH(C96,Products!$A$2:$A$49,0)))</f>
        <v>0</v>
      </c>
    </row>
    <row r="97" customFormat="false" ht="15" hidden="false" customHeight="false" outlineLevel="0" collapsed="false">
      <c r="A97" s="36" t="n">
        <v>46258</v>
      </c>
      <c r="B97" s="24" t="s">
        <v>61</v>
      </c>
      <c r="C97" s="24" t="s">
        <v>121</v>
      </c>
      <c r="D97" s="33" t="n">
        <v>24</v>
      </c>
      <c r="E97" s="24" t="n">
        <v>4</v>
      </c>
      <c r="F97" s="37" t="n">
        <f aca="false">DATE(YEAR(A97),MONTH(A97),1)</f>
        <v>46235</v>
      </c>
      <c r="G97" s="24" t="str">
        <f aca="false">INDEX(Products!$C$2:$C$49,MATCH(C97,Products!$A$2:$A$49,0))</f>
        <v>Grocery Staples</v>
      </c>
      <c r="H97" s="33" t="n">
        <f aca="false">D97*INDEX(Products!$E$2:$E$49,MATCH(C97,Products!$A$2:$A$49,0))</f>
        <v>4560</v>
      </c>
      <c r="I97" s="33" t="n">
        <f aca="false">D97*INDEX(Products!$D$2:$D$49,MATCH(C97,Products!$A$2:$A$49,0))*(1+INDEX(Assumptions!$B$16:$B$20,MATCH(B97,Assumptions!$A$16:$A$20,0)))</f>
        <v>3902.64</v>
      </c>
      <c r="J97" s="33" t="n">
        <f aca="false">H97-I97</f>
        <v>657.36</v>
      </c>
      <c r="K97" s="33" t="n">
        <f aca="false">IF(OR(E97=0,E97&gt;=7),0,D97/(7-E97)*E97*INDEX(Products!$E$2:$E$49,MATCH(C97,Products!$A$2:$A$49,0)))</f>
        <v>6080</v>
      </c>
    </row>
    <row r="98" customFormat="false" ht="15" hidden="false" customHeight="false" outlineLevel="0" collapsed="false">
      <c r="A98" s="36" t="n">
        <v>46265</v>
      </c>
      <c r="B98" s="24" t="s">
        <v>61</v>
      </c>
      <c r="C98" s="24" t="s">
        <v>121</v>
      </c>
      <c r="D98" s="33" t="n">
        <v>56</v>
      </c>
      <c r="E98" s="24" t="n">
        <v>0</v>
      </c>
      <c r="F98" s="37" t="n">
        <f aca="false">DATE(YEAR(A98),MONTH(A98),1)</f>
        <v>46235</v>
      </c>
      <c r="G98" s="24" t="str">
        <f aca="false">INDEX(Products!$C$2:$C$49,MATCH(C98,Products!$A$2:$A$49,0))</f>
        <v>Grocery Staples</v>
      </c>
      <c r="H98" s="33" t="n">
        <f aca="false">D98*INDEX(Products!$E$2:$E$49,MATCH(C98,Products!$A$2:$A$49,0))</f>
        <v>10640</v>
      </c>
      <c r="I98" s="33" t="n">
        <f aca="false">D98*INDEX(Products!$D$2:$D$49,MATCH(C98,Products!$A$2:$A$49,0))*(1+INDEX(Assumptions!$B$16:$B$20,MATCH(B98,Assumptions!$A$16:$A$20,0)))</f>
        <v>9106.16</v>
      </c>
      <c r="J98" s="33" t="n">
        <f aca="false">H98-I98</f>
        <v>1533.84</v>
      </c>
      <c r="K98" s="33" t="n">
        <f aca="false">IF(OR(E98=0,E98&gt;=7),0,D98/(7-E98)*E98*INDEX(Products!$E$2:$E$49,MATCH(C98,Products!$A$2:$A$49,0)))</f>
        <v>0</v>
      </c>
    </row>
    <row r="99" customFormat="false" ht="15" hidden="false" customHeight="false" outlineLevel="0" collapsed="false">
      <c r="A99" s="36" t="n">
        <v>46272</v>
      </c>
      <c r="B99" s="24" t="s">
        <v>61</v>
      </c>
      <c r="C99" s="24" t="s">
        <v>121</v>
      </c>
      <c r="D99" s="33" t="n">
        <v>59</v>
      </c>
      <c r="E99" s="24" t="n">
        <v>0</v>
      </c>
      <c r="F99" s="37" t="n">
        <f aca="false">DATE(YEAR(A99),MONTH(A99),1)</f>
        <v>46266</v>
      </c>
      <c r="G99" s="24" t="str">
        <f aca="false">INDEX(Products!$C$2:$C$49,MATCH(C99,Products!$A$2:$A$49,0))</f>
        <v>Grocery Staples</v>
      </c>
      <c r="H99" s="33" t="n">
        <f aca="false">D99*INDEX(Products!$E$2:$E$49,MATCH(C99,Products!$A$2:$A$49,0))</f>
        <v>11210</v>
      </c>
      <c r="I99" s="33" t="n">
        <f aca="false">D99*INDEX(Products!$D$2:$D$49,MATCH(C99,Products!$A$2:$A$49,0))*(1+INDEX(Assumptions!$B$16:$B$20,MATCH(B99,Assumptions!$A$16:$A$20,0)))</f>
        <v>9593.99</v>
      </c>
      <c r="J99" s="33" t="n">
        <f aca="false">H99-I99</f>
        <v>1616.01</v>
      </c>
      <c r="K99" s="33" t="n">
        <f aca="false">IF(OR(E99=0,E99&gt;=7),0,D99/(7-E99)*E99*INDEX(Products!$E$2:$E$49,MATCH(C99,Products!$A$2:$A$49,0)))</f>
        <v>0</v>
      </c>
    </row>
    <row r="100" customFormat="false" ht="15" hidden="false" customHeight="false" outlineLevel="0" collapsed="false">
      <c r="A100" s="36" t="n">
        <v>46279</v>
      </c>
      <c r="B100" s="24" t="s">
        <v>61</v>
      </c>
      <c r="C100" s="24" t="s">
        <v>121</v>
      </c>
      <c r="D100" s="33" t="n">
        <v>39</v>
      </c>
      <c r="E100" s="24" t="n">
        <v>2</v>
      </c>
      <c r="F100" s="37" t="n">
        <f aca="false">DATE(YEAR(A100),MONTH(A100),1)</f>
        <v>46266</v>
      </c>
      <c r="G100" s="24" t="str">
        <f aca="false">INDEX(Products!$C$2:$C$49,MATCH(C100,Products!$A$2:$A$49,0))</f>
        <v>Grocery Staples</v>
      </c>
      <c r="H100" s="33" t="n">
        <f aca="false">D100*INDEX(Products!$E$2:$E$49,MATCH(C100,Products!$A$2:$A$49,0))</f>
        <v>7410</v>
      </c>
      <c r="I100" s="33" t="n">
        <f aca="false">D100*INDEX(Products!$D$2:$D$49,MATCH(C100,Products!$A$2:$A$49,0))*(1+INDEX(Assumptions!$B$16:$B$20,MATCH(B100,Assumptions!$A$16:$A$20,0)))</f>
        <v>6341.79</v>
      </c>
      <c r="J100" s="33" t="n">
        <f aca="false">H100-I100</f>
        <v>1068.21</v>
      </c>
      <c r="K100" s="33" t="n">
        <f aca="false">IF(OR(E100=0,E100&gt;=7),0,D100/(7-E100)*E100*INDEX(Products!$E$2:$E$49,MATCH(C100,Products!$A$2:$A$49,0)))</f>
        <v>2964</v>
      </c>
    </row>
    <row r="101" customFormat="false" ht="15" hidden="false" customHeight="false" outlineLevel="0" collapsed="false">
      <c r="A101" s="36" t="n">
        <v>46286</v>
      </c>
      <c r="B101" s="24" t="s">
        <v>61</v>
      </c>
      <c r="C101" s="24" t="s">
        <v>121</v>
      </c>
      <c r="D101" s="33" t="n">
        <v>68</v>
      </c>
      <c r="E101" s="24" t="n">
        <v>0</v>
      </c>
      <c r="F101" s="37" t="n">
        <f aca="false">DATE(YEAR(A101),MONTH(A101),1)</f>
        <v>46266</v>
      </c>
      <c r="G101" s="24" t="str">
        <f aca="false">INDEX(Products!$C$2:$C$49,MATCH(C101,Products!$A$2:$A$49,0))</f>
        <v>Grocery Staples</v>
      </c>
      <c r="H101" s="33" t="n">
        <f aca="false">D101*INDEX(Products!$E$2:$E$49,MATCH(C101,Products!$A$2:$A$49,0))</f>
        <v>12920</v>
      </c>
      <c r="I101" s="33" t="n">
        <f aca="false">D101*INDEX(Products!$D$2:$D$49,MATCH(C101,Products!$A$2:$A$49,0))*(1+INDEX(Assumptions!$B$16:$B$20,MATCH(B101,Assumptions!$A$16:$A$20,0)))</f>
        <v>11057.48</v>
      </c>
      <c r="J101" s="33" t="n">
        <f aca="false">H101-I101</f>
        <v>1862.52</v>
      </c>
      <c r="K101" s="33" t="n">
        <f aca="false">IF(OR(E101=0,E101&gt;=7),0,D101/(7-E101)*E101*INDEX(Products!$E$2:$E$49,MATCH(C101,Products!$A$2:$A$49,0)))</f>
        <v>0</v>
      </c>
    </row>
    <row r="102" customFormat="false" ht="15" hidden="false" customHeight="false" outlineLevel="0" collapsed="false">
      <c r="A102" s="36" t="n">
        <v>46118</v>
      </c>
      <c r="B102" s="24" t="s">
        <v>61</v>
      </c>
      <c r="C102" s="24" t="s">
        <v>123</v>
      </c>
      <c r="D102" s="33" t="n">
        <v>231</v>
      </c>
      <c r="E102" s="24" t="n">
        <v>0</v>
      </c>
      <c r="F102" s="37" t="n">
        <f aca="false">DATE(YEAR(A102),MONTH(A102),1)</f>
        <v>46113</v>
      </c>
      <c r="G102" s="24" t="str">
        <f aca="false">INDEX(Products!$C$2:$C$49,MATCH(C102,Products!$A$2:$A$49,0))</f>
        <v>Grocery Staples</v>
      </c>
      <c r="H102" s="33" t="n">
        <f aca="false">D102*INDEX(Products!$E$2:$E$49,MATCH(C102,Products!$A$2:$A$49,0))</f>
        <v>78540</v>
      </c>
      <c r="I102" s="33" t="n">
        <f aca="false">D102*INDEX(Products!$D$2:$D$49,MATCH(C102,Products!$A$2:$A$49,0))*(1+INDEX(Assumptions!$B$16:$B$20,MATCH(B102,Assumptions!$A$16:$A$20,0)))</f>
        <v>69293.07</v>
      </c>
      <c r="J102" s="33" t="n">
        <f aca="false">H102-I102</f>
        <v>9246.92999999999</v>
      </c>
      <c r="K102" s="33" t="n">
        <f aca="false">IF(OR(E102=0,E102&gt;=7),0,D102/(7-E102)*E102*INDEX(Products!$E$2:$E$49,MATCH(C102,Products!$A$2:$A$49,0)))</f>
        <v>0</v>
      </c>
    </row>
    <row r="103" customFormat="false" ht="15" hidden="false" customHeight="false" outlineLevel="0" collapsed="false">
      <c r="A103" s="36" t="n">
        <v>46125</v>
      </c>
      <c r="B103" s="24" t="s">
        <v>61</v>
      </c>
      <c r="C103" s="24" t="s">
        <v>123</v>
      </c>
      <c r="D103" s="33" t="n">
        <v>184</v>
      </c>
      <c r="E103" s="24" t="n">
        <v>0</v>
      </c>
      <c r="F103" s="37" t="n">
        <f aca="false">DATE(YEAR(A103),MONTH(A103),1)</f>
        <v>46113</v>
      </c>
      <c r="G103" s="24" t="str">
        <f aca="false">INDEX(Products!$C$2:$C$49,MATCH(C103,Products!$A$2:$A$49,0))</f>
        <v>Grocery Staples</v>
      </c>
      <c r="H103" s="33" t="n">
        <f aca="false">D103*INDEX(Products!$E$2:$E$49,MATCH(C103,Products!$A$2:$A$49,0))</f>
        <v>62560</v>
      </c>
      <c r="I103" s="33" t="n">
        <f aca="false">D103*INDEX(Products!$D$2:$D$49,MATCH(C103,Products!$A$2:$A$49,0))*(1+INDEX(Assumptions!$B$16:$B$20,MATCH(B103,Assumptions!$A$16:$A$20,0)))</f>
        <v>55194.48</v>
      </c>
      <c r="J103" s="33" t="n">
        <f aca="false">H103-I103</f>
        <v>7365.52</v>
      </c>
      <c r="K103" s="33" t="n">
        <f aca="false">IF(OR(E103=0,E103&gt;=7),0,D103/(7-E103)*E103*INDEX(Products!$E$2:$E$49,MATCH(C103,Products!$A$2:$A$49,0)))</f>
        <v>0</v>
      </c>
    </row>
    <row r="104" customFormat="false" ht="15" hidden="false" customHeight="false" outlineLevel="0" collapsed="false">
      <c r="A104" s="36" t="n">
        <v>46132</v>
      </c>
      <c r="B104" s="24" t="s">
        <v>61</v>
      </c>
      <c r="C104" s="24" t="s">
        <v>123</v>
      </c>
      <c r="D104" s="33" t="n">
        <v>215</v>
      </c>
      <c r="E104" s="24" t="n">
        <v>1</v>
      </c>
      <c r="F104" s="37" t="n">
        <f aca="false">DATE(YEAR(A104),MONTH(A104),1)</f>
        <v>46113</v>
      </c>
      <c r="G104" s="24" t="str">
        <f aca="false">INDEX(Products!$C$2:$C$49,MATCH(C104,Products!$A$2:$A$49,0))</f>
        <v>Grocery Staples</v>
      </c>
      <c r="H104" s="33" t="n">
        <f aca="false">D104*INDEX(Products!$E$2:$E$49,MATCH(C104,Products!$A$2:$A$49,0))</f>
        <v>73100</v>
      </c>
      <c r="I104" s="33" t="n">
        <f aca="false">D104*INDEX(Products!$D$2:$D$49,MATCH(C104,Products!$A$2:$A$49,0))*(1+INDEX(Assumptions!$B$16:$B$20,MATCH(B104,Assumptions!$A$16:$A$20,0)))</f>
        <v>64493.55</v>
      </c>
      <c r="J104" s="33" t="n">
        <f aca="false">H104-I104</f>
        <v>8606.45</v>
      </c>
      <c r="K104" s="33" t="n">
        <f aca="false">IF(OR(E104=0,E104&gt;=7),0,D104/(7-E104)*E104*INDEX(Products!$E$2:$E$49,MATCH(C104,Products!$A$2:$A$49,0)))</f>
        <v>12183.3333333333</v>
      </c>
    </row>
    <row r="105" customFormat="false" ht="15" hidden="false" customHeight="false" outlineLevel="0" collapsed="false">
      <c r="A105" s="36" t="n">
        <v>46139</v>
      </c>
      <c r="B105" s="24" t="s">
        <v>61</v>
      </c>
      <c r="C105" s="24" t="s">
        <v>123</v>
      </c>
      <c r="D105" s="33" t="n">
        <v>241</v>
      </c>
      <c r="E105" s="24" t="n">
        <v>0</v>
      </c>
      <c r="F105" s="37" t="n">
        <f aca="false">DATE(YEAR(A105),MONTH(A105),1)</f>
        <v>46113</v>
      </c>
      <c r="G105" s="24" t="str">
        <f aca="false">INDEX(Products!$C$2:$C$49,MATCH(C105,Products!$A$2:$A$49,0))</f>
        <v>Grocery Staples</v>
      </c>
      <c r="H105" s="33" t="n">
        <f aca="false">D105*INDEX(Products!$E$2:$E$49,MATCH(C105,Products!$A$2:$A$49,0))</f>
        <v>81940</v>
      </c>
      <c r="I105" s="33" t="n">
        <f aca="false">D105*INDEX(Products!$D$2:$D$49,MATCH(C105,Products!$A$2:$A$49,0))*(1+INDEX(Assumptions!$B$16:$B$20,MATCH(B105,Assumptions!$A$16:$A$20,0)))</f>
        <v>72292.77</v>
      </c>
      <c r="J105" s="33" t="n">
        <f aca="false">H105-I105</f>
        <v>9647.23</v>
      </c>
      <c r="K105" s="33" t="n">
        <f aca="false">IF(OR(E105=0,E105&gt;=7),0,D105/(7-E105)*E105*INDEX(Products!$E$2:$E$49,MATCH(C105,Products!$A$2:$A$49,0)))</f>
        <v>0</v>
      </c>
    </row>
    <row r="106" customFormat="false" ht="15" hidden="false" customHeight="false" outlineLevel="0" collapsed="false">
      <c r="A106" s="36" t="n">
        <v>46146</v>
      </c>
      <c r="B106" s="24" t="s">
        <v>61</v>
      </c>
      <c r="C106" s="24" t="s">
        <v>123</v>
      </c>
      <c r="D106" s="33" t="n">
        <v>221</v>
      </c>
      <c r="E106" s="24" t="n">
        <v>0</v>
      </c>
      <c r="F106" s="37" t="n">
        <f aca="false">DATE(YEAR(A106),MONTH(A106),1)</f>
        <v>46143</v>
      </c>
      <c r="G106" s="24" t="str">
        <f aca="false">INDEX(Products!$C$2:$C$49,MATCH(C106,Products!$A$2:$A$49,0))</f>
        <v>Grocery Staples</v>
      </c>
      <c r="H106" s="33" t="n">
        <f aca="false">D106*INDEX(Products!$E$2:$E$49,MATCH(C106,Products!$A$2:$A$49,0))</f>
        <v>75140</v>
      </c>
      <c r="I106" s="33" t="n">
        <f aca="false">D106*INDEX(Products!$D$2:$D$49,MATCH(C106,Products!$A$2:$A$49,0))*(1+INDEX(Assumptions!$B$16:$B$20,MATCH(B106,Assumptions!$A$16:$A$20,0)))</f>
        <v>66293.37</v>
      </c>
      <c r="J106" s="33" t="n">
        <f aca="false">H106-I106</f>
        <v>8846.63000000001</v>
      </c>
      <c r="K106" s="33" t="n">
        <f aca="false">IF(OR(E106=0,E106&gt;=7),0,D106/(7-E106)*E106*INDEX(Products!$E$2:$E$49,MATCH(C106,Products!$A$2:$A$49,0)))</f>
        <v>0</v>
      </c>
    </row>
    <row r="107" customFormat="false" ht="15" hidden="false" customHeight="false" outlineLevel="0" collapsed="false">
      <c r="A107" s="36" t="n">
        <v>46153</v>
      </c>
      <c r="B107" s="24" t="s">
        <v>61</v>
      </c>
      <c r="C107" s="24" t="s">
        <v>123</v>
      </c>
      <c r="D107" s="33" t="n">
        <v>237</v>
      </c>
      <c r="E107" s="24" t="n">
        <v>0</v>
      </c>
      <c r="F107" s="37" t="n">
        <f aca="false">DATE(YEAR(A107),MONTH(A107),1)</f>
        <v>46143</v>
      </c>
      <c r="G107" s="24" t="str">
        <f aca="false">INDEX(Products!$C$2:$C$49,MATCH(C107,Products!$A$2:$A$49,0))</f>
        <v>Grocery Staples</v>
      </c>
      <c r="H107" s="33" t="n">
        <f aca="false">D107*INDEX(Products!$E$2:$E$49,MATCH(C107,Products!$A$2:$A$49,0))</f>
        <v>80580</v>
      </c>
      <c r="I107" s="33" t="n">
        <f aca="false">D107*INDEX(Products!$D$2:$D$49,MATCH(C107,Products!$A$2:$A$49,0))*(1+INDEX(Assumptions!$B$16:$B$20,MATCH(B107,Assumptions!$A$16:$A$20,0)))</f>
        <v>71092.89</v>
      </c>
      <c r="J107" s="33" t="n">
        <f aca="false">H107-I107</f>
        <v>9487.11</v>
      </c>
      <c r="K107" s="33" t="n">
        <f aca="false">IF(OR(E107=0,E107&gt;=7),0,D107/(7-E107)*E107*INDEX(Products!$E$2:$E$49,MATCH(C107,Products!$A$2:$A$49,0)))</f>
        <v>0</v>
      </c>
    </row>
    <row r="108" customFormat="false" ht="15" hidden="false" customHeight="false" outlineLevel="0" collapsed="false">
      <c r="A108" s="36" t="n">
        <v>46160</v>
      </c>
      <c r="B108" s="24" t="s">
        <v>61</v>
      </c>
      <c r="C108" s="24" t="s">
        <v>123</v>
      </c>
      <c r="D108" s="33" t="n">
        <v>221</v>
      </c>
      <c r="E108" s="24" t="n">
        <v>0</v>
      </c>
      <c r="F108" s="37" t="n">
        <f aca="false">DATE(YEAR(A108),MONTH(A108),1)</f>
        <v>46143</v>
      </c>
      <c r="G108" s="24" t="str">
        <f aca="false">INDEX(Products!$C$2:$C$49,MATCH(C108,Products!$A$2:$A$49,0))</f>
        <v>Grocery Staples</v>
      </c>
      <c r="H108" s="33" t="n">
        <f aca="false">D108*INDEX(Products!$E$2:$E$49,MATCH(C108,Products!$A$2:$A$49,0))</f>
        <v>75140</v>
      </c>
      <c r="I108" s="33" t="n">
        <f aca="false">D108*INDEX(Products!$D$2:$D$49,MATCH(C108,Products!$A$2:$A$49,0))*(1+INDEX(Assumptions!$B$16:$B$20,MATCH(B108,Assumptions!$A$16:$A$20,0)))</f>
        <v>66293.37</v>
      </c>
      <c r="J108" s="33" t="n">
        <f aca="false">H108-I108</f>
        <v>8846.63000000001</v>
      </c>
      <c r="K108" s="33" t="n">
        <f aca="false">IF(OR(E108=0,E108&gt;=7),0,D108/(7-E108)*E108*INDEX(Products!$E$2:$E$49,MATCH(C108,Products!$A$2:$A$49,0)))</f>
        <v>0</v>
      </c>
    </row>
    <row r="109" customFormat="false" ht="15" hidden="false" customHeight="false" outlineLevel="0" collapsed="false">
      <c r="A109" s="36" t="n">
        <v>46167</v>
      </c>
      <c r="B109" s="24" t="s">
        <v>61</v>
      </c>
      <c r="C109" s="24" t="s">
        <v>123</v>
      </c>
      <c r="D109" s="33" t="n">
        <v>246</v>
      </c>
      <c r="E109" s="24" t="n">
        <v>0</v>
      </c>
      <c r="F109" s="37" t="n">
        <f aca="false">DATE(YEAR(A109),MONTH(A109),1)</f>
        <v>46143</v>
      </c>
      <c r="G109" s="24" t="str">
        <f aca="false">INDEX(Products!$C$2:$C$49,MATCH(C109,Products!$A$2:$A$49,0))</f>
        <v>Grocery Staples</v>
      </c>
      <c r="H109" s="33" t="n">
        <f aca="false">D109*INDEX(Products!$E$2:$E$49,MATCH(C109,Products!$A$2:$A$49,0))</f>
        <v>83640</v>
      </c>
      <c r="I109" s="33" t="n">
        <f aca="false">D109*INDEX(Products!$D$2:$D$49,MATCH(C109,Products!$A$2:$A$49,0))*(1+INDEX(Assumptions!$B$16:$B$20,MATCH(B109,Assumptions!$A$16:$A$20,0)))</f>
        <v>73792.62</v>
      </c>
      <c r="J109" s="33" t="n">
        <f aca="false">H109-I109</f>
        <v>9847.38000000001</v>
      </c>
      <c r="K109" s="33" t="n">
        <f aca="false">IF(OR(E109=0,E109&gt;=7),0,D109/(7-E109)*E109*INDEX(Products!$E$2:$E$49,MATCH(C109,Products!$A$2:$A$49,0)))</f>
        <v>0</v>
      </c>
    </row>
    <row r="110" customFormat="false" ht="15" hidden="false" customHeight="false" outlineLevel="0" collapsed="false">
      <c r="A110" s="36" t="n">
        <v>46174</v>
      </c>
      <c r="B110" s="24" t="s">
        <v>61</v>
      </c>
      <c r="C110" s="24" t="s">
        <v>123</v>
      </c>
      <c r="D110" s="33" t="n">
        <v>233</v>
      </c>
      <c r="E110" s="24" t="n">
        <v>0</v>
      </c>
      <c r="F110" s="37" t="n">
        <f aca="false">DATE(YEAR(A110),MONTH(A110),1)</f>
        <v>46174</v>
      </c>
      <c r="G110" s="24" t="str">
        <f aca="false">INDEX(Products!$C$2:$C$49,MATCH(C110,Products!$A$2:$A$49,0))</f>
        <v>Grocery Staples</v>
      </c>
      <c r="H110" s="33" t="n">
        <f aca="false">D110*INDEX(Products!$E$2:$E$49,MATCH(C110,Products!$A$2:$A$49,0))</f>
        <v>79220</v>
      </c>
      <c r="I110" s="33" t="n">
        <f aca="false">D110*INDEX(Products!$D$2:$D$49,MATCH(C110,Products!$A$2:$A$49,0))*(1+INDEX(Assumptions!$B$16:$B$20,MATCH(B110,Assumptions!$A$16:$A$20,0)))</f>
        <v>69893.01</v>
      </c>
      <c r="J110" s="33" t="n">
        <f aca="false">H110-I110</f>
        <v>9326.99000000001</v>
      </c>
      <c r="K110" s="33" t="n">
        <f aca="false">IF(OR(E110=0,E110&gt;=7),0,D110/(7-E110)*E110*INDEX(Products!$E$2:$E$49,MATCH(C110,Products!$A$2:$A$49,0)))</f>
        <v>0</v>
      </c>
    </row>
    <row r="111" customFormat="false" ht="15" hidden="false" customHeight="false" outlineLevel="0" collapsed="false">
      <c r="A111" s="36" t="n">
        <v>46181</v>
      </c>
      <c r="B111" s="24" t="s">
        <v>61</v>
      </c>
      <c r="C111" s="24" t="s">
        <v>123</v>
      </c>
      <c r="D111" s="33" t="n">
        <v>223</v>
      </c>
      <c r="E111" s="24" t="n">
        <v>0</v>
      </c>
      <c r="F111" s="37" t="n">
        <f aca="false">DATE(YEAR(A111),MONTH(A111),1)</f>
        <v>46174</v>
      </c>
      <c r="G111" s="24" t="str">
        <f aca="false">INDEX(Products!$C$2:$C$49,MATCH(C111,Products!$A$2:$A$49,0))</f>
        <v>Grocery Staples</v>
      </c>
      <c r="H111" s="33" t="n">
        <f aca="false">D111*INDEX(Products!$E$2:$E$49,MATCH(C111,Products!$A$2:$A$49,0))</f>
        <v>75820</v>
      </c>
      <c r="I111" s="33" t="n">
        <f aca="false">D111*INDEX(Products!$D$2:$D$49,MATCH(C111,Products!$A$2:$A$49,0))*(1+INDEX(Assumptions!$B$16:$B$20,MATCH(B111,Assumptions!$A$16:$A$20,0)))</f>
        <v>66893.31</v>
      </c>
      <c r="J111" s="33" t="n">
        <f aca="false">H111-I111</f>
        <v>8926.69</v>
      </c>
      <c r="K111" s="33" t="n">
        <f aca="false">IF(OR(E111=0,E111&gt;=7),0,D111/(7-E111)*E111*INDEX(Products!$E$2:$E$49,MATCH(C111,Products!$A$2:$A$49,0)))</f>
        <v>0</v>
      </c>
    </row>
    <row r="112" customFormat="false" ht="15" hidden="false" customHeight="false" outlineLevel="0" collapsed="false">
      <c r="A112" s="36" t="n">
        <v>46188</v>
      </c>
      <c r="B112" s="24" t="s">
        <v>61</v>
      </c>
      <c r="C112" s="24" t="s">
        <v>123</v>
      </c>
      <c r="D112" s="33" t="n">
        <v>224</v>
      </c>
      <c r="E112" s="24" t="n">
        <v>0</v>
      </c>
      <c r="F112" s="37" t="n">
        <f aca="false">DATE(YEAR(A112),MONTH(A112),1)</f>
        <v>46174</v>
      </c>
      <c r="G112" s="24" t="str">
        <f aca="false">INDEX(Products!$C$2:$C$49,MATCH(C112,Products!$A$2:$A$49,0))</f>
        <v>Grocery Staples</v>
      </c>
      <c r="H112" s="33" t="n">
        <f aca="false">D112*INDEX(Products!$E$2:$E$49,MATCH(C112,Products!$A$2:$A$49,0))</f>
        <v>76160</v>
      </c>
      <c r="I112" s="33" t="n">
        <f aca="false">D112*INDEX(Products!$D$2:$D$49,MATCH(C112,Products!$A$2:$A$49,0))*(1+INDEX(Assumptions!$B$16:$B$20,MATCH(B112,Assumptions!$A$16:$A$20,0)))</f>
        <v>67193.28</v>
      </c>
      <c r="J112" s="33" t="n">
        <f aca="false">H112-I112</f>
        <v>8966.72</v>
      </c>
      <c r="K112" s="33" t="n">
        <f aca="false">IF(OR(E112=0,E112&gt;=7),0,D112/(7-E112)*E112*INDEX(Products!$E$2:$E$49,MATCH(C112,Products!$A$2:$A$49,0)))</f>
        <v>0</v>
      </c>
    </row>
    <row r="113" customFormat="false" ht="15" hidden="false" customHeight="false" outlineLevel="0" collapsed="false">
      <c r="A113" s="36" t="n">
        <v>46195</v>
      </c>
      <c r="B113" s="24" t="s">
        <v>61</v>
      </c>
      <c r="C113" s="24" t="s">
        <v>123</v>
      </c>
      <c r="D113" s="33" t="n">
        <v>255</v>
      </c>
      <c r="E113" s="24" t="n">
        <v>0</v>
      </c>
      <c r="F113" s="37" t="n">
        <f aca="false">DATE(YEAR(A113),MONTH(A113),1)</f>
        <v>46174</v>
      </c>
      <c r="G113" s="24" t="str">
        <f aca="false">INDEX(Products!$C$2:$C$49,MATCH(C113,Products!$A$2:$A$49,0))</f>
        <v>Grocery Staples</v>
      </c>
      <c r="H113" s="33" t="n">
        <f aca="false">D113*INDEX(Products!$E$2:$E$49,MATCH(C113,Products!$A$2:$A$49,0))</f>
        <v>86700</v>
      </c>
      <c r="I113" s="33" t="n">
        <f aca="false">D113*INDEX(Products!$D$2:$D$49,MATCH(C113,Products!$A$2:$A$49,0))*(1+INDEX(Assumptions!$B$16:$B$20,MATCH(B113,Assumptions!$A$16:$A$20,0)))</f>
        <v>76492.35</v>
      </c>
      <c r="J113" s="33" t="n">
        <f aca="false">H113-I113</f>
        <v>10207.65</v>
      </c>
      <c r="K113" s="33" t="n">
        <f aca="false">IF(OR(E113=0,E113&gt;=7),0,D113/(7-E113)*E113*INDEX(Products!$E$2:$E$49,MATCH(C113,Products!$A$2:$A$49,0)))</f>
        <v>0</v>
      </c>
    </row>
    <row r="114" customFormat="false" ht="15" hidden="false" customHeight="false" outlineLevel="0" collapsed="false">
      <c r="A114" s="36" t="n">
        <v>46202</v>
      </c>
      <c r="B114" s="24" t="s">
        <v>61</v>
      </c>
      <c r="C114" s="24" t="s">
        <v>123</v>
      </c>
      <c r="D114" s="33" t="n">
        <v>270</v>
      </c>
      <c r="E114" s="24" t="n">
        <v>0</v>
      </c>
      <c r="F114" s="37" t="n">
        <f aca="false">DATE(YEAR(A114),MONTH(A114),1)</f>
        <v>46174</v>
      </c>
      <c r="G114" s="24" t="str">
        <f aca="false">INDEX(Products!$C$2:$C$49,MATCH(C114,Products!$A$2:$A$49,0))</f>
        <v>Grocery Staples</v>
      </c>
      <c r="H114" s="33" t="n">
        <f aca="false">D114*INDEX(Products!$E$2:$E$49,MATCH(C114,Products!$A$2:$A$49,0))</f>
        <v>91800</v>
      </c>
      <c r="I114" s="33" t="n">
        <f aca="false">D114*INDEX(Products!$D$2:$D$49,MATCH(C114,Products!$A$2:$A$49,0))*(1+INDEX(Assumptions!$B$16:$B$20,MATCH(B114,Assumptions!$A$16:$A$20,0)))</f>
        <v>80991.9</v>
      </c>
      <c r="J114" s="33" t="n">
        <f aca="false">H114-I114</f>
        <v>10808.1</v>
      </c>
      <c r="K114" s="33" t="n">
        <f aca="false">IF(OR(E114=0,E114&gt;=7),0,D114/(7-E114)*E114*INDEX(Products!$E$2:$E$49,MATCH(C114,Products!$A$2:$A$49,0)))</f>
        <v>0</v>
      </c>
    </row>
    <row r="115" customFormat="false" ht="15" hidden="false" customHeight="false" outlineLevel="0" collapsed="false">
      <c r="A115" s="36" t="n">
        <v>46209</v>
      </c>
      <c r="B115" s="24" t="s">
        <v>61</v>
      </c>
      <c r="C115" s="24" t="s">
        <v>123</v>
      </c>
      <c r="D115" s="33" t="n">
        <v>214</v>
      </c>
      <c r="E115" s="24" t="n">
        <v>0</v>
      </c>
      <c r="F115" s="37" t="n">
        <f aca="false">DATE(YEAR(A115),MONTH(A115),1)</f>
        <v>46204</v>
      </c>
      <c r="G115" s="24" t="str">
        <f aca="false">INDEX(Products!$C$2:$C$49,MATCH(C115,Products!$A$2:$A$49,0))</f>
        <v>Grocery Staples</v>
      </c>
      <c r="H115" s="33" t="n">
        <f aca="false">D115*INDEX(Products!$E$2:$E$49,MATCH(C115,Products!$A$2:$A$49,0))</f>
        <v>72760</v>
      </c>
      <c r="I115" s="33" t="n">
        <f aca="false">D115*INDEX(Products!$D$2:$D$49,MATCH(C115,Products!$A$2:$A$49,0))*(1+INDEX(Assumptions!$B$16:$B$20,MATCH(B115,Assumptions!$A$16:$A$20,0)))</f>
        <v>64193.58</v>
      </c>
      <c r="J115" s="33" t="n">
        <f aca="false">H115-I115</f>
        <v>8566.42</v>
      </c>
      <c r="K115" s="33" t="n">
        <f aca="false">IF(OR(E115=0,E115&gt;=7),0,D115/(7-E115)*E115*INDEX(Products!$E$2:$E$49,MATCH(C115,Products!$A$2:$A$49,0)))</f>
        <v>0</v>
      </c>
    </row>
    <row r="116" customFormat="false" ht="15" hidden="false" customHeight="false" outlineLevel="0" collapsed="false">
      <c r="A116" s="36" t="n">
        <v>46216</v>
      </c>
      <c r="B116" s="24" t="s">
        <v>61</v>
      </c>
      <c r="C116" s="24" t="s">
        <v>123</v>
      </c>
      <c r="D116" s="33" t="n">
        <v>239</v>
      </c>
      <c r="E116" s="24" t="n">
        <v>0</v>
      </c>
      <c r="F116" s="37" t="n">
        <f aca="false">DATE(YEAR(A116),MONTH(A116),1)</f>
        <v>46204</v>
      </c>
      <c r="G116" s="24" t="str">
        <f aca="false">INDEX(Products!$C$2:$C$49,MATCH(C116,Products!$A$2:$A$49,0))</f>
        <v>Grocery Staples</v>
      </c>
      <c r="H116" s="33" t="n">
        <f aca="false">D116*INDEX(Products!$E$2:$E$49,MATCH(C116,Products!$A$2:$A$49,0))</f>
        <v>81260</v>
      </c>
      <c r="I116" s="33" t="n">
        <f aca="false">D116*INDEX(Products!$D$2:$D$49,MATCH(C116,Products!$A$2:$A$49,0))*(1+INDEX(Assumptions!$B$16:$B$20,MATCH(B116,Assumptions!$A$16:$A$20,0)))</f>
        <v>71692.83</v>
      </c>
      <c r="J116" s="33" t="n">
        <f aca="false">H116-I116</f>
        <v>9567.17</v>
      </c>
      <c r="K116" s="33" t="n">
        <f aca="false">IF(OR(E116=0,E116&gt;=7),0,D116/(7-E116)*E116*INDEX(Products!$E$2:$E$49,MATCH(C116,Products!$A$2:$A$49,0)))</f>
        <v>0</v>
      </c>
    </row>
    <row r="117" customFormat="false" ht="15" hidden="false" customHeight="false" outlineLevel="0" collapsed="false">
      <c r="A117" s="36" t="n">
        <v>46223</v>
      </c>
      <c r="B117" s="24" t="s">
        <v>61</v>
      </c>
      <c r="C117" s="24" t="s">
        <v>123</v>
      </c>
      <c r="D117" s="33" t="n">
        <v>266</v>
      </c>
      <c r="E117" s="24" t="n">
        <v>0</v>
      </c>
      <c r="F117" s="37" t="n">
        <f aca="false">DATE(YEAR(A117),MONTH(A117),1)</f>
        <v>46204</v>
      </c>
      <c r="G117" s="24" t="str">
        <f aca="false">INDEX(Products!$C$2:$C$49,MATCH(C117,Products!$A$2:$A$49,0))</f>
        <v>Grocery Staples</v>
      </c>
      <c r="H117" s="33" t="n">
        <f aca="false">D117*INDEX(Products!$E$2:$E$49,MATCH(C117,Products!$A$2:$A$49,0))</f>
        <v>90440</v>
      </c>
      <c r="I117" s="33" t="n">
        <f aca="false">D117*INDEX(Products!$D$2:$D$49,MATCH(C117,Products!$A$2:$A$49,0))*(1+INDEX(Assumptions!$B$16:$B$20,MATCH(B117,Assumptions!$A$16:$A$20,0)))</f>
        <v>79792.02</v>
      </c>
      <c r="J117" s="33" t="n">
        <f aca="false">H117-I117</f>
        <v>10647.98</v>
      </c>
      <c r="K117" s="33" t="n">
        <f aca="false">IF(OR(E117=0,E117&gt;=7),0,D117/(7-E117)*E117*INDEX(Products!$E$2:$E$49,MATCH(C117,Products!$A$2:$A$49,0)))</f>
        <v>0</v>
      </c>
    </row>
    <row r="118" customFormat="false" ht="15" hidden="false" customHeight="false" outlineLevel="0" collapsed="false">
      <c r="A118" s="36" t="n">
        <v>46230</v>
      </c>
      <c r="B118" s="24" t="s">
        <v>61</v>
      </c>
      <c r="C118" s="24" t="s">
        <v>123</v>
      </c>
      <c r="D118" s="33" t="n">
        <v>275</v>
      </c>
      <c r="E118" s="24" t="n">
        <v>0</v>
      </c>
      <c r="F118" s="37" t="n">
        <f aca="false">DATE(YEAR(A118),MONTH(A118),1)</f>
        <v>46204</v>
      </c>
      <c r="G118" s="24" t="str">
        <f aca="false">INDEX(Products!$C$2:$C$49,MATCH(C118,Products!$A$2:$A$49,0))</f>
        <v>Grocery Staples</v>
      </c>
      <c r="H118" s="33" t="n">
        <f aca="false">D118*INDEX(Products!$E$2:$E$49,MATCH(C118,Products!$A$2:$A$49,0))</f>
        <v>93500</v>
      </c>
      <c r="I118" s="33" t="n">
        <f aca="false">D118*INDEX(Products!$D$2:$D$49,MATCH(C118,Products!$A$2:$A$49,0))*(1+INDEX(Assumptions!$B$16:$B$20,MATCH(B118,Assumptions!$A$16:$A$20,0)))</f>
        <v>82491.75</v>
      </c>
      <c r="J118" s="33" t="n">
        <f aca="false">H118-I118</f>
        <v>11008.25</v>
      </c>
      <c r="K118" s="33" t="n">
        <f aca="false">IF(OR(E118=0,E118&gt;=7),0,D118/(7-E118)*E118*INDEX(Products!$E$2:$E$49,MATCH(C118,Products!$A$2:$A$49,0)))</f>
        <v>0</v>
      </c>
    </row>
    <row r="119" customFormat="false" ht="15" hidden="false" customHeight="false" outlineLevel="0" collapsed="false">
      <c r="A119" s="36" t="n">
        <v>46237</v>
      </c>
      <c r="B119" s="24" t="s">
        <v>61</v>
      </c>
      <c r="C119" s="24" t="s">
        <v>123</v>
      </c>
      <c r="D119" s="33" t="n">
        <v>225</v>
      </c>
      <c r="E119" s="24" t="n">
        <v>0</v>
      </c>
      <c r="F119" s="37" t="n">
        <f aca="false">DATE(YEAR(A119),MONTH(A119),1)</f>
        <v>46235</v>
      </c>
      <c r="G119" s="24" t="str">
        <f aca="false">INDEX(Products!$C$2:$C$49,MATCH(C119,Products!$A$2:$A$49,0))</f>
        <v>Grocery Staples</v>
      </c>
      <c r="H119" s="33" t="n">
        <f aca="false">D119*INDEX(Products!$E$2:$E$49,MATCH(C119,Products!$A$2:$A$49,0))</f>
        <v>76500</v>
      </c>
      <c r="I119" s="33" t="n">
        <f aca="false">D119*INDEX(Products!$D$2:$D$49,MATCH(C119,Products!$A$2:$A$49,0))*(1+INDEX(Assumptions!$B$16:$B$20,MATCH(B119,Assumptions!$A$16:$A$20,0)))</f>
        <v>67493.25</v>
      </c>
      <c r="J119" s="33" t="n">
        <f aca="false">H119-I119</f>
        <v>9006.75</v>
      </c>
      <c r="K119" s="33" t="n">
        <f aca="false">IF(OR(E119=0,E119&gt;=7),0,D119/(7-E119)*E119*INDEX(Products!$E$2:$E$49,MATCH(C119,Products!$A$2:$A$49,0)))</f>
        <v>0</v>
      </c>
    </row>
    <row r="120" customFormat="false" ht="15" hidden="false" customHeight="false" outlineLevel="0" collapsed="false">
      <c r="A120" s="36" t="n">
        <v>46244</v>
      </c>
      <c r="B120" s="24" t="s">
        <v>61</v>
      </c>
      <c r="C120" s="24" t="s">
        <v>123</v>
      </c>
      <c r="D120" s="33" t="n">
        <v>277</v>
      </c>
      <c r="E120" s="24" t="n">
        <v>0</v>
      </c>
      <c r="F120" s="37" t="n">
        <f aca="false">DATE(YEAR(A120),MONTH(A120),1)</f>
        <v>46235</v>
      </c>
      <c r="G120" s="24" t="str">
        <f aca="false">INDEX(Products!$C$2:$C$49,MATCH(C120,Products!$A$2:$A$49,0))</f>
        <v>Grocery Staples</v>
      </c>
      <c r="H120" s="33" t="n">
        <f aca="false">D120*INDEX(Products!$E$2:$E$49,MATCH(C120,Products!$A$2:$A$49,0))</f>
        <v>94180</v>
      </c>
      <c r="I120" s="33" t="n">
        <f aca="false">D120*INDEX(Products!$D$2:$D$49,MATCH(C120,Products!$A$2:$A$49,0))*(1+INDEX(Assumptions!$B$16:$B$20,MATCH(B120,Assumptions!$A$16:$A$20,0)))</f>
        <v>83091.69</v>
      </c>
      <c r="J120" s="33" t="n">
        <f aca="false">H120-I120</f>
        <v>11088.31</v>
      </c>
      <c r="K120" s="33" t="n">
        <f aca="false">IF(OR(E120=0,E120&gt;=7),0,D120/(7-E120)*E120*INDEX(Products!$E$2:$E$49,MATCH(C120,Products!$A$2:$A$49,0)))</f>
        <v>0</v>
      </c>
    </row>
    <row r="121" customFormat="false" ht="15" hidden="false" customHeight="false" outlineLevel="0" collapsed="false">
      <c r="A121" s="36" t="n">
        <v>46251</v>
      </c>
      <c r="B121" s="24" t="s">
        <v>61</v>
      </c>
      <c r="C121" s="24" t="s">
        <v>123</v>
      </c>
      <c r="D121" s="33" t="n">
        <v>255</v>
      </c>
      <c r="E121" s="24" t="n">
        <v>0</v>
      </c>
      <c r="F121" s="37" t="n">
        <f aca="false">DATE(YEAR(A121),MONTH(A121),1)</f>
        <v>46235</v>
      </c>
      <c r="G121" s="24" t="str">
        <f aca="false">INDEX(Products!$C$2:$C$49,MATCH(C121,Products!$A$2:$A$49,0))</f>
        <v>Grocery Staples</v>
      </c>
      <c r="H121" s="33" t="n">
        <f aca="false">D121*INDEX(Products!$E$2:$E$49,MATCH(C121,Products!$A$2:$A$49,0))</f>
        <v>86700</v>
      </c>
      <c r="I121" s="33" t="n">
        <f aca="false">D121*INDEX(Products!$D$2:$D$49,MATCH(C121,Products!$A$2:$A$49,0))*(1+INDEX(Assumptions!$B$16:$B$20,MATCH(B121,Assumptions!$A$16:$A$20,0)))</f>
        <v>76492.35</v>
      </c>
      <c r="J121" s="33" t="n">
        <f aca="false">H121-I121</f>
        <v>10207.65</v>
      </c>
      <c r="K121" s="33" t="n">
        <f aca="false">IF(OR(E121=0,E121&gt;=7),0,D121/(7-E121)*E121*INDEX(Products!$E$2:$E$49,MATCH(C121,Products!$A$2:$A$49,0)))</f>
        <v>0</v>
      </c>
    </row>
    <row r="122" customFormat="false" ht="15" hidden="false" customHeight="false" outlineLevel="0" collapsed="false">
      <c r="A122" s="36" t="n">
        <v>46258</v>
      </c>
      <c r="B122" s="24" t="s">
        <v>61</v>
      </c>
      <c r="C122" s="24" t="s">
        <v>123</v>
      </c>
      <c r="D122" s="33" t="n">
        <v>281</v>
      </c>
      <c r="E122" s="24" t="n">
        <v>0</v>
      </c>
      <c r="F122" s="37" t="n">
        <f aca="false">DATE(YEAR(A122),MONTH(A122),1)</f>
        <v>46235</v>
      </c>
      <c r="G122" s="24" t="str">
        <f aca="false">INDEX(Products!$C$2:$C$49,MATCH(C122,Products!$A$2:$A$49,0))</f>
        <v>Grocery Staples</v>
      </c>
      <c r="H122" s="33" t="n">
        <f aca="false">D122*INDEX(Products!$E$2:$E$49,MATCH(C122,Products!$A$2:$A$49,0))</f>
        <v>95540</v>
      </c>
      <c r="I122" s="33" t="n">
        <f aca="false">D122*INDEX(Products!$D$2:$D$49,MATCH(C122,Products!$A$2:$A$49,0))*(1+INDEX(Assumptions!$B$16:$B$20,MATCH(B122,Assumptions!$A$16:$A$20,0)))</f>
        <v>84291.57</v>
      </c>
      <c r="J122" s="33" t="n">
        <f aca="false">H122-I122</f>
        <v>11248.43</v>
      </c>
      <c r="K122" s="33" t="n">
        <f aca="false">IF(OR(E122=0,E122&gt;=7),0,D122/(7-E122)*E122*INDEX(Products!$E$2:$E$49,MATCH(C122,Products!$A$2:$A$49,0)))</f>
        <v>0</v>
      </c>
    </row>
    <row r="123" customFormat="false" ht="15" hidden="false" customHeight="false" outlineLevel="0" collapsed="false">
      <c r="A123" s="36" t="n">
        <v>46265</v>
      </c>
      <c r="B123" s="24" t="s">
        <v>61</v>
      </c>
      <c r="C123" s="24" t="s">
        <v>123</v>
      </c>
      <c r="D123" s="33" t="n">
        <v>294</v>
      </c>
      <c r="E123" s="24" t="n">
        <v>0</v>
      </c>
      <c r="F123" s="37" t="n">
        <f aca="false">DATE(YEAR(A123),MONTH(A123),1)</f>
        <v>46235</v>
      </c>
      <c r="G123" s="24" t="str">
        <f aca="false">INDEX(Products!$C$2:$C$49,MATCH(C123,Products!$A$2:$A$49,0))</f>
        <v>Grocery Staples</v>
      </c>
      <c r="H123" s="33" t="n">
        <f aca="false">D123*INDEX(Products!$E$2:$E$49,MATCH(C123,Products!$A$2:$A$49,0))</f>
        <v>99960</v>
      </c>
      <c r="I123" s="33" t="n">
        <f aca="false">D123*INDEX(Products!$D$2:$D$49,MATCH(C123,Products!$A$2:$A$49,0))*(1+INDEX(Assumptions!$B$16:$B$20,MATCH(B123,Assumptions!$A$16:$A$20,0)))</f>
        <v>88191.18</v>
      </c>
      <c r="J123" s="33" t="n">
        <f aca="false">H123-I123</f>
        <v>11768.82</v>
      </c>
      <c r="K123" s="33" t="n">
        <f aca="false">IF(OR(E123=0,E123&gt;=7),0,D123/(7-E123)*E123*INDEX(Products!$E$2:$E$49,MATCH(C123,Products!$A$2:$A$49,0)))</f>
        <v>0</v>
      </c>
    </row>
    <row r="124" customFormat="false" ht="15" hidden="false" customHeight="false" outlineLevel="0" collapsed="false">
      <c r="A124" s="36" t="n">
        <v>46272</v>
      </c>
      <c r="B124" s="24" t="s">
        <v>61</v>
      </c>
      <c r="C124" s="24" t="s">
        <v>123</v>
      </c>
      <c r="D124" s="33" t="n">
        <v>302</v>
      </c>
      <c r="E124" s="24" t="n">
        <v>0</v>
      </c>
      <c r="F124" s="37" t="n">
        <f aca="false">DATE(YEAR(A124),MONTH(A124),1)</f>
        <v>46266</v>
      </c>
      <c r="G124" s="24" t="str">
        <f aca="false">INDEX(Products!$C$2:$C$49,MATCH(C124,Products!$A$2:$A$49,0))</f>
        <v>Grocery Staples</v>
      </c>
      <c r="H124" s="33" t="n">
        <f aca="false">D124*INDEX(Products!$E$2:$E$49,MATCH(C124,Products!$A$2:$A$49,0))</f>
        <v>102680</v>
      </c>
      <c r="I124" s="33" t="n">
        <f aca="false">D124*INDEX(Products!$D$2:$D$49,MATCH(C124,Products!$A$2:$A$49,0))*(1+INDEX(Assumptions!$B$16:$B$20,MATCH(B124,Assumptions!$A$16:$A$20,0)))</f>
        <v>90590.94</v>
      </c>
      <c r="J124" s="33" t="n">
        <f aca="false">H124-I124</f>
        <v>12089.06</v>
      </c>
      <c r="K124" s="33" t="n">
        <f aca="false">IF(OR(E124=0,E124&gt;=7),0,D124/(7-E124)*E124*INDEX(Products!$E$2:$E$49,MATCH(C124,Products!$A$2:$A$49,0)))</f>
        <v>0</v>
      </c>
    </row>
    <row r="125" customFormat="false" ht="15" hidden="false" customHeight="false" outlineLevel="0" collapsed="false">
      <c r="A125" s="36" t="n">
        <v>46279</v>
      </c>
      <c r="B125" s="24" t="s">
        <v>61</v>
      </c>
      <c r="C125" s="24" t="s">
        <v>123</v>
      </c>
      <c r="D125" s="33" t="n">
        <v>300</v>
      </c>
      <c r="E125" s="24" t="n">
        <v>0</v>
      </c>
      <c r="F125" s="37" t="n">
        <f aca="false">DATE(YEAR(A125),MONTH(A125),1)</f>
        <v>46266</v>
      </c>
      <c r="G125" s="24" t="str">
        <f aca="false">INDEX(Products!$C$2:$C$49,MATCH(C125,Products!$A$2:$A$49,0))</f>
        <v>Grocery Staples</v>
      </c>
      <c r="H125" s="33" t="n">
        <f aca="false">D125*INDEX(Products!$E$2:$E$49,MATCH(C125,Products!$A$2:$A$49,0))</f>
        <v>102000</v>
      </c>
      <c r="I125" s="33" t="n">
        <f aca="false">D125*INDEX(Products!$D$2:$D$49,MATCH(C125,Products!$A$2:$A$49,0))*(1+INDEX(Assumptions!$B$16:$B$20,MATCH(B125,Assumptions!$A$16:$A$20,0)))</f>
        <v>89991</v>
      </c>
      <c r="J125" s="33" t="n">
        <f aca="false">H125-I125</f>
        <v>12009</v>
      </c>
      <c r="K125" s="33" t="n">
        <f aca="false">IF(OR(E125=0,E125&gt;=7),0,D125/(7-E125)*E125*INDEX(Products!$E$2:$E$49,MATCH(C125,Products!$A$2:$A$49,0)))</f>
        <v>0</v>
      </c>
    </row>
    <row r="126" customFormat="false" ht="15" hidden="false" customHeight="false" outlineLevel="0" collapsed="false">
      <c r="A126" s="36" t="n">
        <v>46286</v>
      </c>
      <c r="B126" s="24" t="s">
        <v>61</v>
      </c>
      <c r="C126" s="24" t="s">
        <v>123</v>
      </c>
      <c r="D126" s="33" t="n">
        <v>341</v>
      </c>
      <c r="E126" s="24" t="n">
        <v>0</v>
      </c>
      <c r="F126" s="37" t="n">
        <f aca="false">DATE(YEAR(A126),MONTH(A126),1)</f>
        <v>46266</v>
      </c>
      <c r="G126" s="24" t="str">
        <f aca="false">INDEX(Products!$C$2:$C$49,MATCH(C126,Products!$A$2:$A$49,0))</f>
        <v>Grocery Staples</v>
      </c>
      <c r="H126" s="33" t="n">
        <f aca="false">D126*INDEX(Products!$E$2:$E$49,MATCH(C126,Products!$A$2:$A$49,0))</f>
        <v>115940</v>
      </c>
      <c r="I126" s="33" t="n">
        <f aca="false">D126*INDEX(Products!$D$2:$D$49,MATCH(C126,Products!$A$2:$A$49,0))*(1+INDEX(Assumptions!$B$16:$B$20,MATCH(B126,Assumptions!$A$16:$A$20,0)))</f>
        <v>102289.77</v>
      </c>
      <c r="J126" s="33" t="n">
        <f aca="false">H126-I126</f>
        <v>13650.23</v>
      </c>
      <c r="K126" s="33" t="n">
        <f aca="false">IF(OR(E126=0,E126&gt;=7),0,D126/(7-E126)*E126*INDEX(Products!$E$2:$E$49,MATCH(C126,Products!$A$2:$A$49,0)))</f>
        <v>0</v>
      </c>
    </row>
    <row r="127" customFormat="false" ht="15" hidden="false" customHeight="false" outlineLevel="0" collapsed="false">
      <c r="A127" s="36" t="n">
        <v>46118</v>
      </c>
      <c r="B127" s="24" t="s">
        <v>61</v>
      </c>
      <c r="C127" s="24" t="s">
        <v>125</v>
      </c>
      <c r="D127" s="33" t="n">
        <v>20</v>
      </c>
      <c r="E127" s="24" t="n">
        <v>4</v>
      </c>
      <c r="F127" s="37" t="n">
        <f aca="false">DATE(YEAR(A127),MONTH(A127),1)</f>
        <v>46113</v>
      </c>
      <c r="G127" s="24" t="str">
        <f aca="false">INDEX(Products!$C$2:$C$49,MATCH(C127,Products!$A$2:$A$49,0))</f>
        <v>Grocery Staples</v>
      </c>
      <c r="H127" s="33" t="n">
        <f aca="false">D127*INDEX(Products!$E$2:$E$49,MATCH(C127,Products!$A$2:$A$49,0))</f>
        <v>900</v>
      </c>
      <c r="I127" s="33" t="n">
        <f aca="false">D127*INDEX(Products!$D$2:$D$49,MATCH(C127,Products!$A$2:$A$49,0))*(1+INDEX(Assumptions!$B$16:$B$20,MATCH(B127,Assumptions!$A$16:$A$20,0)))</f>
        <v>808</v>
      </c>
      <c r="J127" s="33" t="n">
        <f aca="false">H127-I127</f>
        <v>92</v>
      </c>
      <c r="K127" s="33" t="n">
        <f aca="false">IF(OR(E127=0,E127&gt;=7),0,D127/(7-E127)*E127*INDEX(Products!$E$2:$E$49,MATCH(C127,Products!$A$2:$A$49,0)))</f>
        <v>1200</v>
      </c>
    </row>
    <row r="128" customFormat="false" ht="15" hidden="false" customHeight="false" outlineLevel="0" collapsed="false">
      <c r="A128" s="36" t="n">
        <v>46125</v>
      </c>
      <c r="B128" s="24" t="s">
        <v>61</v>
      </c>
      <c r="C128" s="24" t="s">
        <v>125</v>
      </c>
      <c r="D128" s="33" t="n">
        <v>45</v>
      </c>
      <c r="E128" s="24" t="n">
        <v>0</v>
      </c>
      <c r="F128" s="37" t="n">
        <f aca="false">DATE(YEAR(A128),MONTH(A128),1)</f>
        <v>46113</v>
      </c>
      <c r="G128" s="24" t="str">
        <f aca="false">INDEX(Products!$C$2:$C$49,MATCH(C128,Products!$A$2:$A$49,0))</f>
        <v>Grocery Staples</v>
      </c>
      <c r="H128" s="33" t="n">
        <f aca="false">D128*INDEX(Products!$E$2:$E$49,MATCH(C128,Products!$A$2:$A$49,0))</f>
        <v>2025</v>
      </c>
      <c r="I128" s="33" t="n">
        <f aca="false">D128*INDEX(Products!$D$2:$D$49,MATCH(C128,Products!$A$2:$A$49,0))*(1+INDEX(Assumptions!$B$16:$B$20,MATCH(B128,Assumptions!$A$16:$A$20,0)))</f>
        <v>1818</v>
      </c>
      <c r="J128" s="33" t="n">
        <f aca="false">H128-I128</f>
        <v>207</v>
      </c>
      <c r="K128" s="33" t="n">
        <f aca="false">IF(OR(E128=0,E128&gt;=7),0,D128/(7-E128)*E128*INDEX(Products!$E$2:$E$49,MATCH(C128,Products!$A$2:$A$49,0)))</f>
        <v>0</v>
      </c>
    </row>
    <row r="129" customFormat="false" ht="15" hidden="false" customHeight="false" outlineLevel="0" collapsed="false">
      <c r="A129" s="36" t="n">
        <v>46132</v>
      </c>
      <c r="B129" s="24" t="s">
        <v>61</v>
      </c>
      <c r="C129" s="24" t="s">
        <v>125</v>
      </c>
      <c r="D129" s="33" t="n">
        <v>47</v>
      </c>
      <c r="E129" s="24" t="n">
        <v>0</v>
      </c>
      <c r="F129" s="37" t="n">
        <f aca="false">DATE(YEAR(A129),MONTH(A129),1)</f>
        <v>46113</v>
      </c>
      <c r="G129" s="24" t="str">
        <f aca="false">INDEX(Products!$C$2:$C$49,MATCH(C129,Products!$A$2:$A$49,0))</f>
        <v>Grocery Staples</v>
      </c>
      <c r="H129" s="33" t="n">
        <f aca="false">D129*INDEX(Products!$E$2:$E$49,MATCH(C129,Products!$A$2:$A$49,0))</f>
        <v>2115</v>
      </c>
      <c r="I129" s="33" t="n">
        <f aca="false">D129*INDEX(Products!$D$2:$D$49,MATCH(C129,Products!$A$2:$A$49,0))*(1+INDEX(Assumptions!$B$16:$B$20,MATCH(B129,Assumptions!$A$16:$A$20,0)))</f>
        <v>1898.8</v>
      </c>
      <c r="J129" s="33" t="n">
        <f aca="false">H129-I129</f>
        <v>216.2</v>
      </c>
      <c r="K129" s="33" t="n">
        <f aca="false">IF(OR(E129=0,E129&gt;=7),0,D129/(7-E129)*E129*INDEX(Products!$E$2:$E$49,MATCH(C129,Products!$A$2:$A$49,0)))</f>
        <v>0</v>
      </c>
    </row>
    <row r="130" customFormat="false" ht="15" hidden="false" customHeight="false" outlineLevel="0" collapsed="false">
      <c r="A130" s="36" t="n">
        <v>46139</v>
      </c>
      <c r="B130" s="24" t="s">
        <v>61</v>
      </c>
      <c r="C130" s="24" t="s">
        <v>125</v>
      </c>
      <c r="D130" s="33" t="n">
        <v>64</v>
      </c>
      <c r="E130" s="24" t="n">
        <v>0</v>
      </c>
      <c r="F130" s="37" t="n">
        <f aca="false">DATE(YEAR(A130),MONTH(A130),1)</f>
        <v>46113</v>
      </c>
      <c r="G130" s="24" t="str">
        <f aca="false">INDEX(Products!$C$2:$C$49,MATCH(C130,Products!$A$2:$A$49,0))</f>
        <v>Grocery Staples</v>
      </c>
      <c r="H130" s="33" t="n">
        <f aca="false">D130*INDEX(Products!$E$2:$E$49,MATCH(C130,Products!$A$2:$A$49,0))</f>
        <v>2880</v>
      </c>
      <c r="I130" s="33" t="n">
        <f aca="false">D130*INDEX(Products!$D$2:$D$49,MATCH(C130,Products!$A$2:$A$49,0))*(1+INDEX(Assumptions!$B$16:$B$20,MATCH(B130,Assumptions!$A$16:$A$20,0)))</f>
        <v>2585.6</v>
      </c>
      <c r="J130" s="33" t="n">
        <f aca="false">H130-I130</f>
        <v>294.4</v>
      </c>
      <c r="K130" s="33" t="n">
        <f aca="false">IF(OR(E130=0,E130&gt;=7),0,D130/(7-E130)*E130*INDEX(Products!$E$2:$E$49,MATCH(C130,Products!$A$2:$A$49,0)))</f>
        <v>0</v>
      </c>
    </row>
    <row r="131" customFormat="false" ht="15" hidden="false" customHeight="false" outlineLevel="0" collapsed="false">
      <c r="A131" s="36" t="n">
        <v>46146</v>
      </c>
      <c r="B131" s="24" t="s">
        <v>61</v>
      </c>
      <c r="C131" s="24" t="s">
        <v>125</v>
      </c>
      <c r="D131" s="33" t="n">
        <v>57</v>
      </c>
      <c r="E131" s="24" t="n">
        <v>0</v>
      </c>
      <c r="F131" s="37" t="n">
        <f aca="false">DATE(YEAR(A131),MONTH(A131),1)</f>
        <v>46143</v>
      </c>
      <c r="G131" s="24" t="str">
        <f aca="false">INDEX(Products!$C$2:$C$49,MATCH(C131,Products!$A$2:$A$49,0))</f>
        <v>Grocery Staples</v>
      </c>
      <c r="H131" s="33" t="n">
        <f aca="false">D131*INDEX(Products!$E$2:$E$49,MATCH(C131,Products!$A$2:$A$49,0))</f>
        <v>2565</v>
      </c>
      <c r="I131" s="33" t="n">
        <f aca="false">D131*INDEX(Products!$D$2:$D$49,MATCH(C131,Products!$A$2:$A$49,0))*(1+INDEX(Assumptions!$B$16:$B$20,MATCH(B131,Assumptions!$A$16:$A$20,0)))</f>
        <v>2302.8</v>
      </c>
      <c r="J131" s="33" t="n">
        <f aca="false">H131-I131</f>
        <v>262.2</v>
      </c>
      <c r="K131" s="33" t="n">
        <f aca="false">IF(OR(E131=0,E131&gt;=7),0,D131/(7-E131)*E131*INDEX(Products!$E$2:$E$49,MATCH(C131,Products!$A$2:$A$49,0)))</f>
        <v>0</v>
      </c>
    </row>
    <row r="132" customFormat="false" ht="15" hidden="false" customHeight="false" outlineLevel="0" collapsed="false">
      <c r="A132" s="36" t="n">
        <v>46153</v>
      </c>
      <c r="B132" s="24" t="s">
        <v>61</v>
      </c>
      <c r="C132" s="24" t="s">
        <v>125</v>
      </c>
      <c r="D132" s="33" t="n">
        <v>51</v>
      </c>
      <c r="E132" s="24" t="n">
        <v>0</v>
      </c>
      <c r="F132" s="37" t="n">
        <f aca="false">DATE(YEAR(A132),MONTH(A132),1)</f>
        <v>46143</v>
      </c>
      <c r="G132" s="24" t="str">
        <f aca="false">INDEX(Products!$C$2:$C$49,MATCH(C132,Products!$A$2:$A$49,0))</f>
        <v>Grocery Staples</v>
      </c>
      <c r="H132" s="33" t="n">
        <f aca="false">D132*INDEX(Products!$E$2:$E$49,MATCH(C132,Products!$A$2:$A$49,0))</f>
        <v>2295</v>
      </c>
      <c r="I132" s="33" t="n">
        <f aca="false">D132*INDEX(Products!$D$2:$D$49,MATCH(C132,Products!$A$2:$A$49,0))*(1+INDEX(Assumptions!$B$16:$B$20,MATCH(B132,Assumptions!$A$16:$A$20,0)))</f>
        <v>2060.4</v>
      </c>
      <c r="J132" s="33" t="n">
        <f aca="false">H132-I132</f>
        <v>234.6</v>
      </c>
      <c r="K132" s="33" t="n">
        <f aca="false">IF(OR(E132=0,E132&gt;=7),0,D132/(7-E132)*E132*INDEX(Products!$E$2:$E$49,MATCH(C132,Products!$A$2:$A$49,0)))</f>
        <v>0</v>
      </c>
    </row>
    <row r="133" customFormat="false" ht="15" hidden="false" customHeight="false" outlineLevel="0" collapsed="false">
      <c r="A133" s="36" t="n">
        <v>46160</v>
      </c>
      <c r="B133" s="24" t="s">
        <v>61</v>
      </c>
      <c r="C133" s="24" t="s">
        <v>125</v>
      </c>
      <c r="D133" s="33" t="n">
        <v>42</v>
      </c>
      <c r="E133" s="24" t="n">
        <v>0</v>
      </c>
      <c r="F133" s="37" t="n">
        <f aca="false">DATE(YEAR(A133),MONTH(A133),1)</f>
        <v>46143</v>
      </c>
      <c r="G133" s="24" t="str">
        <f aca="false">INDEX(Products!$C$2:$C$49,MATCH(C133,Products!$A$2:$A$49,0))</f>
        <v>Grocery Staples</v>
      </c>
      <c r="H133" s="33" t="n">
        <f aca="false">D133*INDEX(Products!$E$2:$E$49,MATCH(C133,Products!$A$2:$A$49,0))</f>
        <v>1890</v>
      </c>
      <c r="I133" s="33" t="n">
        <f aca="false">D133*INDEX(Products!$D$2:$D$49,MATCH(C133,Products!$A$2:$A$49,0))*(1+INDEX(Assumptions!$B$16:$B$20,MATCH(B133,Assumptions!$A$16:$A$20,0)))</f>
        <v>1696.8</v>
      </c>
      <c r="J133" s="33" t="n">
        <f aca="false">H133-I133</f>
        <v>193.2</v>
      </c>
      <c r="K133" s="33" t="n">
        <f aca="false">IF(OR(E133=0,E133&gt;=7),0,D133/(7-E133)*E133*INDEX(Products!$E$2:$E$49,MATCH(C133,Products!$A$2:$A$49,0)))</f>
        <v>0</v>
      </c>
    </row>
    <row r="134" customFormat="false" ht="15" hidden="false" customHeight="false" outlineLevel="0" collapsed="false">
      <c r="A134" s="36" t="n">
        <v>46167</v>
      </c>
      <c r="B134" s="24" t="s">
        <v>61</v>
      </c>
      <c r="C134" s="24" t="s">
        <v>125</v>
      </c>
      <c r="D134" s="33" t="n">
        <v>58</v>
      </c>
      <c r="E134" s="24" t="n">
        <v>0</v>
      </c>
      <c r="F134" s="37" t="n">
        <f aca="false">DATE(YEAR(A134),MONTH(A134),1)</f>
        <v>46143</v>
      </c>
      <c r="G134" s="24" t="str">
        <f aca="false">INDEX(Products!$C$2:$C$49,MATCH(C134,Products!$A$2:$A$49,0))</f>
        <v>Grocery Staples</v>
      </c>
      <c r="H134" s="33" t="n">
        <f aca="false">D134*INDEX(Products!$E$2:$E$49,MATCH(C134,Products!$A$2:$A$49,0))</f>
        <v>2610</v>
      </c>
      <c r="I134" s="33" t="n">
        <f aca="false">D134*INDEX(Products!$D$2:$D$49,MATCH(C134,Products!$A$2:$A$49,0))*(1+INDEX(Assumptions!$B$16:$B$20,MATCH(B134,Assumptions!$A$16:$A$20,0)))</f>
        <v>2343.2</v>
      </c>
      <c r="J134" s="33" t="n">
        <f aca="false">H134-I134</f>
        <v>266.8</v>
      </c>
      <c r="K134" s="33" t="n">
        <f aca="false">IF(OR(E134=0,E134&gt;=7),0,D134/(7-E134)*E134*INDEX(Products!$E$2:$E$49,MATCH(C134,Products!$A$2:$A$49,0)))</f>
        <v>0</v>
      </c>
    </row>
    <row r="135" customFormat="false" ht="15" hidden="false" customHeight="false" outlineLevel="0" collapsed="false">
      <c r="A135" s="36" t="n">
        <v>46174</v>
      </c>
      <c r="B135" s="24" t="s">
        <v>61</v>
      </c>
      <c r="C135" s="24" t="s">
        <v>125</v>
      </c>
      <c r="D135" s="33" t="n">
        <v>33</v>
      </c>
      <c r="E135" s="24" t="n">
        <v>0</v>
      </c>
      <c r="F135" s="37" t="n">
        <f aca="false">DATE(YEAR(A135),MONTH(A135),1)</f>
        <v>46174</v>
      </c>
      <c r="G135" s="24" t="str">
        <f aca="false">INDEX(Products!$C$2:$C$49,MATCH(C135,Products!$A$2:$A$49,0))</f>
        <v>Grocery Staples</v>
      </c>
      <c r="H135" s="33" t="n">
        <f aca="false">D135*INDEX(Products!$E$2:$E$49,MATCH(C135,Products!$A$2:$A$49,0))</f>
        <v>1485</v>
      </c>
      <c r="I135" s="33" t="n">
        <f aca="false">D135*INDEX(Products!$D$2:$D$49,MATCH(C135,Products!$A$2:$A$49,0))*(1+INDEX(Assumptions!$B$16:$B$20,MATCH(B135,Assumptions!$A$16:$A$20,0)))</f>
        <v>1333.2</v>
      </c>
      <c r="J135" s="33" t="n">
        <f aca="false">H135-I135</f>
        <v>151.8</v>
      </c>
      <c r="K135" s="33" t="n">
        <f aca="false">IF(OR(E135=0,E135&gt;=7),0,D135/(7-E135)*E135*INDEX(Products!$E$2:$E$49,MATCH(C135,Products!$A$2:$A$49,0)))</f>
        <v>0</v>
      </c>
    </row>
    <row r="136" customFormat="false" ht="15" hidden="false" customHeight="false" outlineLevel="0" collapsed="false">
      <c r="A136" s="36" t="n">
        <v>46181</v>
      </c>
      <c r="B136" s="24" t="s">
        <v>61</v>
      </c>
      <c r="C136" s="24" t="s">
        <v>125</v>
      </c>
      <c r="D136" s="33" t="n">
        <v>73</v>
      </c>
      <c r="E136" s="24" t="n">
        <v>0</v>
      </c>
      <c r="F136" s="37" t="n">
        <f aca="false">DATE(YEAR(A136),MONTH(A136),1)</f>
        <v>46174</v>
      </c>
      <c r="G136" s="24" t="str">
        <f aca="false">INDEX(Products!$C$2:$C$49,MATCH(C136,Products!$A$2:$A$49,0))</f>
        <v>Grocery Staples</v>
      </c>
      <c r="H136" s="33" t="n">
        <f aca="false">D136*INDEX(Products!$E$2:$E$49,MATCH(C136,Products!$A$2:$A$49,0))</f>
        <v>3285</v>
      </c>
      <c r="I136" s="33" t="n">
        <f aca="false">D136*INDEX(Products!$D$2:$D$49,MATCH(C136,Products!$A$2:$A$49,0))*(1+INDEX(Assumptions!$B$16:$B$20,MATCH(B136,Assumptions!$A$16:$A$20,0)))</f>
        <v>2949.2</v>
      </c>
      <c r="J136" s="33" t="n">
        <f aca="false">H136-I136</f>
        <v>335.8</v>
      </c>
      <c r="K136" s="33" t="n">
        <f aca="false">IF(OR(E136=0,E136&gt;=7),0,D136/(7-E136)*E136*INDEX(Products!$E$2:$E$49,MATCH(C136,Products!$A$2:$A$49,0)))</f>
        <v>0</v>
      </c>
    </row>
    <row r="137" customFormat="false" ht="15" hidden="false" customHeight="false" outlineLevel="0" collapsed="false">
      <c r="A137" s="36" t="n">
        <v>46188</v>
      </c>
      <c r="B137" s="24" t="s">
        <v>61</v>
      </c>
      <c r="C137" s="24" t="s">
        <v>125</v>
      </c>
      <c r="D137" s="33" t="n">
        <v>48</v>
      </c>
      <c r="E137" s="24" t="n">
        <v>0</v>
      </c>
      <c r="F137" s="37" t="n">
        <f aca="false">DATE(YEAR(A137),MONTH(A137),1)</f>
        <v>46174</v>
      </c>
      <c r="G137" s="24" t="str">
        <f aca="false">INDEX(Products!$C$2:$C$49,MATCH(C137,Products!$A$2:$A$49,0))</f>
        <v>Grocery Staples</v>
      </c>
      <c r="H137" s="33" t="n">
        <f aca="false">D137*INDEX(Products!$E$2:$E$49,MATCH(C137,Products!$A$2:$A$49,0))</f>
        <v>2160</v>
      </c>
      <c r="I137" s="33" t="n">
        <f aca="false">D137*INDEX(Products!$D$2:$D$49,MATCH(C137,Products!$A$2:$A$49,0))*(1+INDEX(Assumptions!$B$16:$B$20,MATCH(B137,Assumptions!$A$16:$A$20,0)))</f>
        <v>1939.2</v>
      </c>
      <c r="J137" s="33" t="n">
        <f aca="false">H137-I137</f>
        <v>220.8</v>
      </c>
      <c r="K137" s="33" t="n">
        <f aca="false">IF(OR(E137=0,E137&gt;=7),0,D137/(7-E137)*E137*INDEX(Products!$E$2:$E$49,MATCH(C137,Products!$A$2:$A$49,0)))</f>
        <v>0</v>
      </c>
    </row>
    <row r="138" customFormat="false" ht="15" hidden="false" customHeight="false" outlineLevel="0" collapsed="false">
      <c r="A138" s="36" t="n">
        <v>46195</v>
      </c>
      <c r="B138" s="24" t="s">
        <v>61</v>
      </c>
      <c r="C138" s="24" t="s">
        <v>125</v>
      </c>
      <c r="D138" s="33" t="n">
        <v>50</v>
      </c>
      <c r="E138" s="24" t="n">
        <v>0</v>
      </c>
      <c r="F138" s="37" t="n">
        <f aca="false">DATE(YEAR(A138),MONTH(A138),1)</f>
        <v>46174</v>
      </c>
      <c r="G138" s="24" t="str">
        <f aca="false">INDEX(Products!$C$2:$C$49,MATCH(C138,Products!$A$2:$A$49,0))</f>
        <v>Grocery Staples</v>
      </c>
      <c r="H138" s="33" t="n">
        <f aca="false">D138*INDEX(Products!$E$2:$E$49,MATCH(C138,Products!$A$2:$A$49,0))</f>
        <v>2250</v>
      </c>
      <c r="I138" s="33" t="n">
        <f aca="false">D138*INDEX(Products!$D$2:$D$49,MATCH(C138,Products!$A$2:$A$49,0))*(1+INDEX(Assumptions!$B$16:$B$20,MATCH(B138,Assumptions!$A$16:$A$20,0)))</f>
        <v>2020</v>
      </c>
      <c r="J138" s="33" t="n">
        <f aca="false">H138-I138</f>
        <v>230</v>
      </c>
      <c r="K138" s="33" t="n">
        <f aca="false">IF(OR(E138=0,E138&gt;=7),0,D138/(7-E138)*E138*INDEX(Products!$E$2:$E$49,MATCH(C138,Products!$A$2:$A$49,0)))</f>
        <v>0</v>
      </c>
    </row>
    <row r="139" customFormat="false" ht="15" hidden="false" customHeight="false" outlineLevel="0" collapsed="false">
      <c r="A139" s="36" t="n">
        <v>46202</v>
      </c>
      <c r="B139" s="24" t="s">
        <v>61</v>
      </c>
      <c r="C139" s="24" t="s">
        <v>125</v>
      </c>
      <c r="D139" s="33" t="n">
        <v>41</v>
      </c>
      <c r="E139" s="24" t="n">
        <v>0</v>
      </c>
      <c r="F139" s="37" t="n">
        <f aca="false">DATE(YEAR(A139),MONTH(A139),1)</f>
        <v>46174</v>
      </c>
      <c r="G139" s="24" t="str">
        <f aca="false">INDEX(Products!$C$2:$C$49,MATCH(C139,Products!$A$2:$A$49,0))</f>
        <v>Grocery Staples</v>
      </c>
      <c r="H139" s="33" t="n">
        <f aca="false">D139*INDEX(Products!$E$2:$E$49,MATCH(C139,Products!$A$2:$A$49,0))</f>
        <v>1845</v>
      </c>
      <c r="I139" s="33" t="n">
        <f aca="false">D139*INDEX(Products!$D$2:$D$49,MATCH(C139,Products!$A$2:$A$49,0))*(1+INDEX(Assumptions!$B$16:$B$20,MATCH(B139,Assumptions!$A$16:$A$20,0)))</f>
        <v>1656.4</v>
      </c>
      <c r="J139" s="33" t="n">
        <f aca="false">H139-I139</f>
        <v>188.6</v>
      </c>
      <c r="K139" s="33" t="n">
        <f aca="false">IF(OR(E139=0,E139&gt;=7),0,D139/(7-E139)*E139*INDEX(Products!$E$2:$E$49,MATCH(C139,Products!$A$2:$A$49,0)))</f>
        <v>0</v>
      </c>
    </row>
    <row r="140" customFormat="false" ht="15" hidden="false" customHeight="false" outlineLevel="0" collapsed="false">
      <c r="A140" s="36" t="n">
        <v>46209</v>
      </c>
      <c r="B140" s="24" t="s">
        <v>61</v>
      </c>
      <c r="C140" s="24" t="s">
        <v>125</v>
      </c>
      <c r="D140" s="33" t="n">
        <v>31</v>
      </c>
      <c r="E140" s="24" t="n">
        <v>0</v>
      </c>
      <c r="F140" s="37" t="n">
        <f aca="false">DATE(YEAR(A140),MONTH(A140),1)</f>
        <v>46204</v>
      </c>
      <c r="G140" s="24" t="str">
        <f aca="false">INDEX(Products!$C$2:$C$49,MATCH(C140,Products!$A$2:$A$49,0))</f>
        <v>Grocery Staples</v>
      </c>
      <c r="H140" s="33" t="n">
        <f aca="false">D140*INDEX(Products!$E$2:$E$49,MATCH(C140,Products!$A$2:$A$49,0))</f>
        <v>1395</v>
      </c>
      <c r="I140" s="33" t="n">
        <f aca="false">D140*INDEX(Products!$D$2:$D$49,MATCH(C140,Products!$A$2:$A$49,0))*(1+INDEX(Assumptions!$B$16:$B$20,MATCH(B140,Assumptions!$A$16:$A$20,0)))</f>
        <v>1252.4</v>
      </c>
      <c r="J140" s="33" t="n">
        <f aca="false">H140-I140</f>
        <v>142.6</v>
      </c>
      <c r="K140" s="33" t="n">
        <f aca="false">IF(OR(E140=0,E140&gt;=7),0,D140/(7-E140)*E140*INDEX(Products!$E$2:$E$49,MATCH(C140,Products!$A$2:$A$49,0)))</f>
        <v>0</v>
      </c>
    </row>
    <row r="141" customFormat="false" ht="15" hidden="false" customHeight="false" outlineLevel="0" collapsed="false">
      <c r="A141" s="36" t="n">
        <v>46216</v>
      </c>
      <c r="B141" s="24" t="s">
        <v>61</v>
      </c>
      <c r="C141" s="24" t="s">
        <v>125</v>
      </c>
      <c r="D141" s="33" t="n">
        <v>38</v>
      </c>
      <c r="E141" s="24" t="n">
        <v>0</v>
      </c>
      <c r="F141" s="37" t="n">
        <f aca="false">DATE(YEAR(A141),MONTH(A141),1)</f>
        <v>46204</v>
      </c>
      <c r="G141" s="24" t="str">
        <f aca="false">INDEX(Products!$C$2:$C$49,MATCH(C141,Products!$A$2:$A$49,0))</f>
        <v>Grocery Staples</v>
      </c>
      <c r="H141" s="33" t="n">
        <f aca="false">D141*INDEX(Products!$E$2:$E$49,MATCH(C141,Products!$A$2:$A$49,0))</f>
        <v>1710</v>
      </c>
      <c r="I141" s="33" t="n">
        <f aca="false">D141*INDEX(Products!$D$2:$D$49,MATCH(C141,Products!$A$2:$A$49,0))*(1+INDEX(Assumptions!$B$16:$B$20,MATCH(B141,Assumptions!$A$16:$A$20,0)))</f>
        <v>1535.2</v>
      </c>
      <c r="J141" s="33" t="n">
        <f aca="false">H141-I141</f>
        <v>174.8</v>
      </c>
      <c r="K141" s="33" t="n">
        <f aca="false">IF(OR(E141=0,E141&gt;=7),0,D141/(7-E141)*E141*INDEX(Products!$E$2:$E$49,MATCH(C141,Products!$A$2:$A$49,0)))</f>
        <v>0</v>
      </c>
    </row>
    <row r="142" customFormat="false" ht="15" hidden="false" customHeight="false" outlineLevel="0" collapsed="false">
      <c r="A142" s="36" t="n">
        <v>46223</v>
      </c>
      <c r="B142" s="24" t="s">
        <v>61</v>
      </c>
      <c r="C142" s="24" t="s">
        <v>125</v>
      </c>
      <c r="D142" s="33" t="n">
        <v>28</v>
      </c>
      <c r="E142" s="24" t="n">
        <v>0</v>
      </c>
      <c r="F142" s="37" t="n">
        <f aca="false">DATE(YEAR(A142),MONTH(A142),1)</f>
        <v>46204</v>
      </c>
      <c r="G142" s="24" t="str">
        <f aca="false">INDEX(Products!$C$2:$C$49,MATCH(C142,Products!$A$2:$A$49,0))</f>
        <v>Grocery Staples</v>
      </c>
      <c r="H142" s="33" t="n">
        <f aca="false">D142*INDEX(Products!$E$2:$E$49,MATCH(C142,Products!$A$2:$A$49,0))</f>
        <v>1260</v>
      </c>
      <c r="I142" s="33" t="n">
        <f aca="false">D142*INDEX(Products!$D$2:$D$49,MATCH(C142,Products!$A$2:$A$49,0))*(1+INDEX(Assumptions!$B$16:$B$20,MATCH(B142,Assumptions!$A$16:$A$20,0)))</f>
        <v>1131.2</v>
      </c>
      <c r="J142" s="33" t="n">
        <f aca="false">H142-I142</f>
        <v>128.8</v>
      </c>
      <c r="K142" s="33" t="n">
        <f aca="false">IF(OR(E142=0,E142&gt;=7),0,D142/(7-E142)*E142*INDEX(Products!$E$2:$E$49,MATCH(C142,Products!$A$2:$A$49,0)))</f>
        <v>0</v>
      </c>
    </row>
    <row r="143" customFormat="false" ht="15" hidden="false" customHeight="false" outlineLevel="0" collapsed="false">
      <c r="A143" s="36" t="n">
        <v>46230</v>
      </c>
      <c r="B143" s="24" t="s">
        <v>61</v>
      </c>
      <c r="C143" s="24" t="s">
        <v>125</v>
      </c>
      <c r="D143" s="33" t="n">
        <v>28</v>
      </c>
      <c r="E143" s="24" t="n">
        <v>0</v>
      </c>
      <c r="F143" s="37" t="n">
        <f aca="false">DATE(YEAR(A143),MONTH(A143),1)</f>
        <v>46204</v>
      </c>
      <c r="G143" s="24" t="str">
        <f aca="false">INDEX(Products!$C$2:$C$49,MATCH(C143,Products!$A$2:$A$49,0))</f>
        <v>Grocery Staples</v>
      </c>
      <c r="H143" s="33" t="n">
        <f aca="false">D143*INDEX(Products!$E$2:$E$49,MATCH(C143,Products!$A$2:$A$49,0))</f>
        <v>1260</v>
      </c>
      <c r="I143" s="33" t="n">
        <f aca="false">D143*INDEX(Products!$D$2:$D$49,MATCH(C143,Products!$A$2:$A$49,0))*(1+INDEX(Assumptions!$B$16:$B$20,MATCH(B143,Assumptions!$A$16:$A$20,0)))</f>
        <v>1131.2</v>
      </c>
      <c r="J143" s="33" t="n">
        <f aca="false">H143-I143</f>
        <v>128.8</v>
      </c>
      <c r="K143" s="33" t="n">
        <f aca="false">IF(OR(E143=0,E143&gt;=7),0,D143/(7-E143)*E143*INDEX(Products!$E$2:$E$49,MATCH(C143,Products!$A$2:$A$49,0)))</f>
        <v>0</v>
      </c>
    </row>
    <row r="144" customFormat="false" ht="15" hidden="false" customHeight="false" outlineLevel="0" collapsed="false">
      <c r="A144" s="36" t="n">
        <v>46237</v>
      </c>
      <c r="B144" s="24" t="s">
        <v>61</v>
      </c>
      <c r="C144" s="24" t="s">
        <v>125</v>
      </c>
      <c r="D144" s="33" t="n">
        <v>38</v>
      </c>
      <c r="E144" s="24" t="n">
        <v>0</v>
      </c>
      <c r="F144" s="37" t="n">
        <f aca="false">DATE(YEAR(A144),MONTH(A144),1)</f>
        <v>46235</v>
      </c>
      <c r="G144" s="24" t="str">
        <f aca="false">INDEX(Products!$C$2:$C$49,MATCH(C144,Products!$A$2:$A$49,0))</f>
        <v>Grocery Staples</v>
      </c>
      <c r="H144" s="33" t="n">
        <f aca="false">D144*INDEX(Products!$E$2:$E$49,MATCH(C144,Products!$A$2:$A$49,0))</f>
        <v>1710</v>
      </c>
      <c r="I144" s="33" t="n">
        <f aca="false">D144*INDEX(Products!$D$2:$D$49,MATCH(C144,Products!$A$2:$A$49,0))*(1+INDEX(Assumptions!$B$16:$B$20,MATCH(B144,Assumptions!$A$16:$A$20,0)))</f>
        <v>1535.2</v>
      </c>
      <c r="J144" s="33" t="n">
        <f aca="false">H144-I144</f>
        <v>174.8</v>
      </c>
      <c r="K144" s="33" t="n">
        <f aca="false">IF(OR(E144=0,E144&gt;=7),0,D144/(7-E144)*E144*INDEX(Products!$E$2:$E$49,MATCH(C144,Products!$A$2:$A$49,0)))</f>
        <v>0</v>
      </c>
    </row>
    <row r="145" customFormat="false" ht="15" hidden="false" customHeight="false" outlineLevel="0" collapsed="false">
      <c r="A145" s="36" t="n">
        <v>46244</v>
      </c>
      <c r="B145" s="24" t="s">
        <v>61</v>
      </c>
      <c r="C145" s="24" t="s">
        <v>125</v>
      </c>
      <c r="D145" s="33" t="n">
        <v>23</v>
      </c>
      <c r="E145" s="24" t="n">
        <v>0</v>
      </c>
      <c r="F145" s="37" t="n">
        <f aca="false">DATE(YEAR(A145),MONTH(A145),1)</f>
        <v>46235</v>
      </c>
      <c r="G145" s="24" t="str">
        <f aca="false">INDEX(Products!$C$2:$C$49,MATCH(C145,Products!$A$2:$A$49,0))</f>
        <v>Grocery Staples</v>
      </c>
      <c r="H145" s="33" t="n">
        <f aca="false">D145*INDEX(Products!$E$2:$E$49,MATCH(C145,Products!$A$2:$A$49,0))</f>
        <v>1035</v>
      </c>
      <c r="I145" s="33" t="n">
        <f aca="false">D145*INDEX(Products!$D$2:$D$49,MATCH(C145,Products!$A$2:$A$49,0))*(1+INDEX(Assumptions!$B$16:$B$20,MATCH(B145,Assumptions!$A$16:$A$20,0)))</f>
        <v>929.2</v>
      </c>
      <c r="J145" s="33" t="n">
        <f aca="false">H145-I145</f>
        <v>105.8</v>
      </c>
      <c r="K145" s="33" t="n">
        <f aca="false">IF(OR(E145=0,E145&gt;=7),0,D145/(7-E145)*E145*INDEX(Products!$E$2:$E$49,MATCH(C145,Products!$A$2:$A$49,0)))</f>
        <v>0</v>
      </c>
    </row>
    <row r="146" customFormat="false" ht="15" hidden="false" customHeight="false" outlineLevel="0" collapsed="false">
      <c r="A146" s="36" t="n">
        <v>46251</v>
      </c>
      <c r="B146" s="24" t="s">
        <v>61</v>
      </c>
      <c r="C146" s="24" t="s">
        <v>125</v>
      </c>
      <c r="D146" s="33" t="n">
        <v>19</v>
      </c>
      <c r="E146" s="24" t="n">
        <v>3</v>
      </c>
      <c r="F146" s="37" t="n">
        <f aca="false">DATE(YEAR(A146),MONTH(A146),1)</f>
        <v>46235</v>
      </c>
      <c r="G146" s="24" t="str">
        <f aca="false">INDEX(Products!$C$2:$C$49,MATCH(C146,Products!$A$2:$A$49,0))</f>
        <v>Grocery Staples</v>
      </c>
      <c r="H146" s="33" t="n">
        <f aca="false">D146*INDEX(Products!$E$2:$E$49,MATCH(C146,Products!$A$2:$A$49,0))</f>
        <v>855</v>
      </c>
      <c r="I146" s="33" t="n">
        <f aca="false">D146*INDEX(Products!$D$2:$D$49,MATCH(C146,Products!$A$2:$A$49,0))*(1+INDEX(Assumptions!$B$16:$B$20,MATCH(B146,Assumptions!$A$16:$A$20,0)))</f>
        <v>767.6</v>
      </c>
      <c r="J146" s="33" t="n">
        <f aca="false">H146-I146</f>
        <v>87.4</v>
      </c>
      <c r="K146" s="33" t="n">
        <f aca="false">IF(OR(E146=0,E146&gt;=7),0,D146/(7-E146)*E146*INDEX(Products!$E$2:$E$49,MATCH(C146,Products!$A$2:$A$49,0)))</f>
        <v>641.25</v>
      </c>
    </row>
    <row r="147" customFormat="false" ht="15" hidden="false" customHeight="false" outlineLevel="0" collapsed="false">
      <c r="A147" s="36" t="n">
        <v>46258</v>
      </c>
      <c r="B147" s="24" t="s">
        <v>61</v>
      </c>
      <c r="C147" s="24" t="s">
        <v>125</v>
      </c>
      <c r="D147" s="33" t="n">
        <v>32</v>
      </c>
      <c r="E147" s="24" t="n">
        <v>0</v>
      </c>
      <c r="F147" s="37" t="n">
        <f aca="false">DATE(YEAR(A147),MONTH(A147),1)</f>
        <v>46235</v>
      </c>
      <c r="G147" s="24" t="str">
        <f aca="false">INDEX(Products!$C$2:$C$49,MATCH(C147,Products!$A$2:$A$49,0))</f>
        <v>Grocery Staples</v>
      </c>
      <c r="H147" s="33" t="n">
        <f aca="false">D147*INDEX(Products!$E$2:$E$49,MATCH(C147,Products!$A$2:$A$49,0))</f>
        <v>1440</v>
      </c>
      <c r="I147" s="33" t="n">
        <f aca="false">D147*INDEX(Products!$D$2:$D$49,MATCH(C147,Products!$A$2:$A$49,0))*(1+INDEX(Assumptions!$B$16:$B$20,MATCH(B147,Assumptions!$A$16:$A$20,0)))</f>
        <v>1292.8</v>
      </c>
      <c r="J147" s="33" t="n">
        <f aca="false">H147-I147</f>
        <v>147.2</v>
      </c>
      <c r="K147" s="33" t="n">
        <f aca="false">IF(OR(E147=0,E147&gt;=7),0,D147/(7-E147)*E147*INDEX(Products!$E$2:$E$49,MATCH(C147,Products!$A$2:$A$49,0)))</f>
        <v>0</v>
      </c>
    </row>
    <row r="148" customFormat="false" ht="15" hidden="false" customHeight="false" outlineLevel="0" collapsed="false">
      <c r="A148" s="36" t="n">
        <v>46265</v>
      </c>
      <c r="B148" s="24" t="s">
        <v>61</v>
      </c>
      <c r="C148" s="24" t="s">
        <v>125</v>
      </c>
      <c r="D148" s="33" t="n">
        <v>31</v>
      </c>
      <c r="E148" s="24" t="n">
        <v>0</v>
      </c>
      <c r="F148" s="37" t="n">
        <f aca="false">DATE(YEAR(A148),MONTH(A148),1)</f>
        <v>46235</v>
      </c>
      <c r="G148" s="24" t="str">
        <f aca="false">INDEX(Products!$C$2:$C$49,MATCH(C148,Products!$A$2:$A$49,0))</f>
        <v>Grocery Staples</v>
      </c>
      <c r="H148" s="33" t="n">
        <f aca="false">D148*INDEX(Products!$E$2:$E$49,MATCH(C148,Products!$A$2:$A$49,0))</f>
        <v>1395</v>
      </c>
      <c r="I148" s="33" t="n">
        <f aca="false">D148*INDEX(Products!$D$2:$D$49,MATCH(C148,Products!$A$2:$A$49,0))*(1+INDEX(Assumptions!$B$16:$B$20,MATCH(B148,Assumptions!$A$16:$A$20,0)))</f>
        <v>1252.4</v>
      </c>
      <c r="J148" s="33" t="n">
        <f aca="false">H148-I148</f>
        <v>142.6</v>
      </c>
      <c r="K148" s="33" t="n">
        <f aca="false">IF(OR(E148=0,E148&gt;=7),0,D148/(7-E148)*E148*INDEX(Products!$E$2:$E$49,MATCH(C148,Products!$A$2:$A$49,0)))</f>
        <v>0</v>
      </c>
    </row>
    <row r="149" customFormat="false" ht="15" hidden="false" customHeight="false" outlineLevel="0" collapsed="false">
      <c r="A149" s="36" t="n">
        <v>46272</v>
      </c>
      <c r="B149" s="24" t="s">
        <v>61</v>
      </c>
      <c r="C149" s="24" t="s">
        <v>125</v>
      </c>
      <c r="D149" s="33" t="n">
        <v>35</v>
      </c>
      <c r="E149" s="24" t="n">
        <v>0</v>
      </c>
      <c r="F149" s="37" t="n">
        <f aca="false">DATE(YEAR(A149),MONTH(A149),1)</f>
        <v>46266</v>
      </c>
      <c r="G149" s="24" t="str">
        <f aca="false">INDEX(Products!$C$2:$C$49,MATCH(C149,Products!$A$2:$A$49,0))</f>
        <v>Grocery Staples</v>
      </c>
      <c r="H149" s="33" t="n">
        <f aca="false">D149*INDEX(Products!$E$2:$E$49,MATCH(C149,Products!$A$2:$A$49,0))</f>
        <v>1575</v>
      </c>
      <c r="I149" s="33" t="n">
        <f aca="false">D149*INDEX(Products!$D$2:$D$49,MATCH(C149,Products!$A$2:$A$49,0))*(1+INDEX(Assumptions!$B$16:$B$20,MATCH(B149,Assumptions!$A$16:$A$20,0)))</f>
        <v>1414</v>
      </c>
      <c r="J149" s="33" t="n">
        <f aca="false">H149-I149</f>
        <v>161</v>
      </c>
      <c r="K149" s="33" t="n">
        <f aca="false">IF(OR(E149=0,E149&gt;=7),0,D149/(7-E149)*E149*INDEX(Products!$E$2:$E$49,MATCH(C149,Products!$A$2:$A$49,0)))</f>
        <v>0</v>
      </c>
    </row>
    <row r="150" customFormat="false" ht="15" hidden="false" customHeight="false" outlineLevel="0" collapsed="false">
      <c r="A150" s="36" t="n">
        <v>46279</v>
      </c>
      <c r="B150" s="24" t="s">
        <v>61</v>
      </c>
      <c r="C150" s="24" t="s">
        <v>125</v>
      </c>
      <c r="D150" s="33" t="n">
        <v>23</v>
      </c>
      <c r="E150" s="24" t="n">
        <v>0</v>
      </c>
      <c r="F150" s="37" t="n">
        <f aca="false">DATE(YEAR(A150),MONTH(A150),1)</f>
        <v>46266</v>
      </c>
      <c r="G150" s="24" t="str">
        <f aca="false">INDEX(Products!$C$2:$C$49,MATCH(C150,Products!$A$2:$A$49,0))</f>
        <v>Grocery Staples</v>
      </c>
      <c r="H150" s="33" t="n">
        <f aca="false">D150*INDEX(Products!$E$2:$E$49,MATCH(C150,Products!$A$2:$A$49,0))</f>
        <v>1035</v>
      </c>
      <c r="I150" s="33" t="n">
        <f aca="false">D150*INDEX(Products!$D$2:$D$49,MATCH(C150,Products!$A$2:$A$49,0))*(1+INDEX(Assumptions!$B$16:$B$20,MATCH(B150,Assumptions!$A$16:$A$20,0)))</f>
        <v>929.2</v>
      </c>
      <c r="J150" s="33" t="n">
        <f aca="false">H150-I150</f>
        <v>105.8</v>
      </c>
      <c r="K150" s="33" t="n">
        <f aca="false">IF(OR(E150=0,E150&gt;=7),0,D150/(7-E150)*E150*INDEX(Products!$E$2:$E$49,MATCH(C150,Products!$A$2:$A$49,0)))</f>
        <v>0</v>
      </c>
    </row>
    <row r="151" customFormat="false" ht="15" hidden="false" customHeight="false" outlineLevel="0" collapsed="false">
      <c r="A151" s="36" t="n">
        <v>46286</v>
      </c>
      <c r="B151" s="24" t="s">
        <v>61</v>
      </c>
      <c r="C151" s="24" t="s">
        <v>125</v>
      </c>
      <c r="D151" s="33" t="n">
        <v>37</v>
      </c>
      <c r="E151" s="24" t="n">
        <v>0</v>
      </c>
      <c r="F151" s="37" t="n">
        <f aca="false">DATE(YEAR(A151),MONTH(A151),1)</f>
        <v>46266</v>
      </c>
      <c r="G151" s="24" t="str">
        <f aca="false">INDEX(Products!$C$2:$C$49,MATCH(C151,Products!$A$2:$A$49,0))</f>
        <v>Grocery Staples</v>
      </c>
      <c r="H151" s="33" t="n">
        <f aca="false">D151*INDEX(Products!$E$2:$E$49,MATCH(C151,Products!$A$2:$A$49,0))</f>
        <v>1665</v>
      </c>
      <c r="I151" s="33" t="n">
        <f aca="false">D151*INDEX(Products!$D$2:$D$49,MATCH(C151,Products!$A$2:$A$49,0))*(1+INDEX(Assumptions!$B$16:$B$20,MATCH(B151,Assumptions!$A$16:$A$20,0)))</f>
        <v>1494.8</v>
      </c>
      <c r="J151" s="33" t="n">
        <f aca="false">H151-I151</f>
        <v>170.2</v>
      </c>
      <c r="K151" s="33" t="n">
        <f aca="false">IF(OR(E151=0,E151&gt;=7),0,D151/(7-E151)*E151*INDEX(Products!$E$2:$E$49,MATCH(C151,Products!$A$2:$A$49,0)))</f>
        <v>0</v>
      </c>
    </row>
    <row r="152" customFormat="false" ht="15" hidden="false" customHeight="false" outlineLevel="0" collapsed="false">
      <c r="A152" s="36" t="n">
        <v>46118</v>
      </c>
      <c r="B152" s="24" t="s">
        <v>61</v>
      </c>
      <c r="C152" s="24" t="s">
        <v>127</v>
      </c>
      <c r="D152" s="33" t="n">
        <v>115</v>
      </c>
      <c r="E152" s="24" t="n">
        <v>0</v>
      </c>
      <c r="F152" s="37" t="n">
        <f aca="false">DATE(YEAR(A152),MONTH(A152),1)</f>
        <v>46113</v>
      </c>
      <c r="G152" s="24" t="str">
        <f aca="false">INDEX(Products!$C$2:$C$49,MATCH(C152,Products!$A$2:$A$49,0))</f>
        <v>Grocery Staples</v>
      </c>
      <c r="H152" s="33" t="n">
        <f aca="false">D152*INDEX(Products!$E$2:$E$49,MATCH(C152,Products!$A$2:$A$49,0))</f>
        <v>13800</v>
      </c>
      <c r="I152" s="33" t="n">
        <f aca="false">D152*INDEX(Products!$D$2:$D$49,MATCH(C152,Products!$A$2:$A$49,0))*(1+INDEX(Assumptions!$B$16:$B$20,MATCH(B152,Assumptions!$A$16:$A$20,0)))</f>
        <v>11963.45</v>
      </c>
      <c r="J152" s="33" t="n">
        <f aca="false">H152-I152</f>
        <v>1836.55</v>
      </c>
      <c r="K152" s="33" t="n">
        <f aca="false">IF(OR(E152=0,E152&gt;=7),0,D152/(7-E152)*E152*INDEX(Products!$E$2:$E$49,MATCH(C152,Products!$A$2:$A$49,0)))</f>
        <v>0</v>
      </c>
    </row>
    <row r="153" customFormat="false" ht="15" hidden="false" customHeight="false" outlineLevel="0" collapsed="false">
      <c r="A153" s="36" t="n">
        <v>46125</v>
      </c>
      <c r="B153" s="24" t="s">
        <v>61</v>
      </c>
      <c r="C153" s="24" t="s">
        <v>127</v>
      </c>
      <c r="D153" s="33" t="n">
        <v>80</v>
      </c>
      <c r="E153" s="24" t="n">
        <v>3</v>
      </c>
      <c r="F153" s="37" t="n">
        <f aca="false">DATE(YEAR(A153),MONTH(A153),1)</f>
        <v>46113</v>
      </c>
      <c r="G153" s="24" t="str">
        <f aca="false">INDEX(Products!$C$2:$C$49,MATCH(C153,Products!$A$2:$A$49,0))</f>
        <v>Grocery Staples</v>
      </c>
      <c r="H153" s="33" t="n">
        <f aca="false">D153*INDEX(Products!$E$2:$E$49,MATCH(C153,Products!$A$2:$A$49,0))</f>
        <v>9600</v>
      </c>
      <c r="I153" s="33" t="n">
        <f aca="false">D153*INDEX(Products!$D$2:$D$49,MATCH(C153,Products!$A$2:$A$49,0))*(1+INDEX(Assumptions!$B$16:$B$20,MATCH(B153,Assumptions!$A$16:$A$20,0)))</f>
        <v>8322.4</v>
      </c>
      <c r="J153" s="33" t="n">
        <f aca="false">H153-I153</f>
        <v>1277.6</v>
      </c>
      <c r="K153" s="33" t="n">
        <f aca="false">IF(OR(E153=0,E153&gt;=7),0,D153/(7-E153)*E153*INDEX(Products!$E$2:$E$49,MATCH(C153,Products!$A$2:$A$49,0)))</f>
        <v>7200</v>
      </c>
    </row>
    <row r="154" customFormat="false" ht="15" hidden="false" customHeight="false" outlineLevel="0" collapsed="false">
      <c r="A154" s="36" t="n">
        <v>46132</v>
      </c>
      <c r="B154" s="24" t="s">
        <v>61</v>
      </c>
      <c r="C154" s="24" t="s">
        <v>127</v>
      </c>
      <c r="D154" s="33" t="n">
        <v>166</v>
      </c>
      <c r="E154" s="24" t="n">
        <v>0</v>
      </c>
      <c r="F154" s="37" t="n">
        <f aca="false">DATE(YEAR(A154),MONTH(A154),1)</f>
        <v>46113</v>
      </c>
      <c r="G154" s="24" t="str">
        <f aca="false">INDEX(Products!$C$2:$C$49,MATCH(C154,Products!$A$2:$A$49,0))</f>
        <v>Grocery Staples</v>
      </c>
      <c r="H154" s="33" t="n">
        <f aca="false">D154*INDEX(Products!$E$2:$E$49,MATCH(C154,Products!$A$2:$A$49,0))</f>
        <v>19920</v>
      </c>
      <c r="I154" s="33" t="n">
        <f aca="false">D154*INDEX(Products!$D$2:$D$49,MATCH(C154,Products!$A$2:$A$49,0))*(1+INDEX(Assumptions!$B$16:$B$20,MATCH(B154,Assumptions!$A$16:$A$20,0)))</f>
        <v>17268.98</v>
      </c>
      <c r="J154" s="33" t="n">
        <f aca="false">H154-I154</f>
        <v>2651.02</v>
      </c>
      <c r="K154" s="33" t="n">
        <f aca="false">IF(OR(E154=0,E154&gt;=7),0,D154/(7-E154)*E154*INDEX(Products!$E$2:$E$49,MATCH(C154,Products!$A$2:$A$49,0)))</f>
        <v>0</v>
      </c>
    </row>
    <row r="155" customFormat="false" ht="15" hidden="false" customHeight="false" outlineLevel="0" collapsed="false">
      <c r="A155" s="36" t="n">
        <v>46139</v>
      </c>
      <c r="B155" s="24" t="s">
        <v>61</v>
      </c>
      <c r="C155" s="24" t="s">
        <v>127</v>
      </c>
      <c r="D155" s="33" t="n">
        <v>159</v>
      </c>
      <c r="E155" s="24" t="n">
        <v>0</v>
      </c>
      <c r="F155" s="37" t="n">
        <f aca="false">DATE(YEAR(A155),MONTH(A155),1)</f>
        <v>46113</v>
      </c>
      <c r="G155" s="24" t="str">
        <f aca="false">INDEX(Products!$C$2:$C$49,MATCH(C155,Products!$A$2:$A$49,0))</f>
        <v>Grocery Staples</v>
      </c>
      <c r="H155" s="33" t="n">
        <f aca="false">D155*INDEX(Products!$E$2:$E$49,MATCH(C155,Products!$A$2:$A$49,0))</f>
        <v>19080</v>
      </c>
      <c r="I155" s="33" t="n">
        <f aca="false">D155*INDEX(Products!$D$2:$D$49,MATCH(C155,Products!$A$2:$A$49,0))*(1+INDEX(Assumptions!$B$16:$B$20,MATCH(B155,Assumptions!$A$16:$A$20,0)))</f>
        <v>16540.77</v>
      </c>
      <c r="J155" s="33" t="n">
        <f aca="false">H155-I155</f>
        <v>2539.23</v>
      </c>
      <c r="K155" s="33" t="n">
        <f aca="false">IF(OR(E155=0,E155&gt;=7),0,D155/(7-E155)*E155*INDEX(Products!$E$2:$E$49,MATCH(C155,Products!$A$2:$A$49,0)))</f>
        <v>0</v>
      </c>
    </row>
    <row r="156" customFormat="false" ht="15" hidden="false" customHeight="false" outlineLevel="0" collapsed="false">
      <c r="A156" s="36" t="n">
        <v>46146</v>
      </c>
      <c r="B156" s="24" t="s">
        <v>61</v>
      </c>
      <c r="C156" s="24" t="s">
        <v>127</v>
      </c>
      <c r="D156" s="33" t="n">
        <v>163</v>
      </c>
      <c r="E156" s="24" t="n">
        <v>0</v>
      </c>
      <c r="F156" s="37" t="n">
        <f aca="false">DATE(YEAR(A156),MONTH(A156),1)</f>
        <v>46143</v>
      </c>
      <c r="G156" s="24" t="str">
        <f aca="false">INDEX(Products!$C$2:$C$49,MATCH(C156,Products!$A$2:$A$49,0))</f>
        <v>Grocery Staples</v>
      </c>
      <c r="H156" s="33" t="n">
        <f aca="false">D156*INDEX(Products!$E$2:$E$49,MATCH(C156,Products!$A$2:$A$49,0))</f>
        <v>19560</v>
      </c>
      <c r="I156" s="33" t="n">
        <f aca="false">D156*INDEX(Products!$D$2:$D$49,MATCH(C156,Products!$A$2:$A$49,0))*(1+INDEX(Assumptions!$B$16:$B$20,MATCH(B156,Assumptions!$A$16:$A$20,0)))</f>
        <v>16956.89</v>
      </c>
      <c r="J156" s="33" t="n">
        <f aca="false">H156-I156</f>
        <v>2603.11</v>
      </c>
      <c r="K156" s="33" t="n">
        <f aca="false">IF(OR(E156=0,E156&gt;=7),0,D156/(7-E156)*E156*INDEX(Products!$E$2:$E$49,MATCH(C156,Products!$A$2:$A$49,0)))</f>
        <v>0</v>
      </c>
    </row>
    <row r="157" customFormat="false" ht="15" hidden="false" customHeight="false" outlineLevel="0" collapsed="false">
      <c r="A157" s="36" t="n">
        <v>46153</v>
      </c>
      <c r="B157" s="24" t="s">
        <v>61</v>
      </c>
      <c r="C157" s="24" t="s">
        <v>127</v>
      </c>
      <c r="D157" s="33" t="n">
        <v>153</v>
      </c>
      <c r="E157" s="24" t="n">
        <v>0</v>
      </c>
      <c r="F157" s="37" t="n">
        <f aca="false">DATE(YEAR(A157),MONTH(A157),1)</f>
        <v>46143</v>
      </c>
      <c r="G157" s="24" t="str">
        <f aca="false">INDEX(Products!$C$2:$C$49,MATCH(C157,Products!$A$2:$A$49,0))</f>
        <v>Grocery Staples</v>
      </c>
      <c r="H157" s="33" t="n">
        <f aca="false">D157*INDEX(Products!$E$2:$E$49,MATCH(C157,Products!$A$2:$A$49,0))</f>
        <v>18360</v>
      </c>
      <c r="I157" s="33" t="n">
        <f aca="false">D157*INDEX(Products!$D$2:$D$49,MATCH(C157,Products!$A$2:$A$49,0))*(1+INDEX(Assumptions!$B$16:$B$20,MATCH(B157,Assumptions!$A$16:$A$20,0)))</f>
        <v>15916.59</v>
      </c>
      <c r="J157" s="33" t="n">
        <f aca="false">H157-I157</f>
        <v>2443.41</v>
      </c>
      <c r="K157" s="33" t="n">
        <f aca="false">IF(OR(E157=0,E157&gt;=7),0,D157/(7-E157)*E157*INDEX(Products!$E$2:$E$49,MATCH(C157,Products!$A$2:$A$49,0)))</f>
        <v>0</v>
      </c>
    </row>
    <row r="158" customFormat="false" ht="15" hidden="false" customHeight="false" outlineLevel="0" collapsed="false">
      <c r="A158" s="36" t="n">
        <v>46160</v>
      </c>
      <c r="B158" s="24" t="s">
        <v>61</v>
      </c>
      <c r="C158" s="24" t="s">
        <v>127</v>
      </c>
      <c r="D158" s="33" t="n">
        <v>142</v>
      </c>
      <c r="E158" s="24" t="n">
        <v>0</v>
      </c>
      <c r="F158" s="37" t="n">
        <f aca="false">DATE(YEAR(A158),MONTH(A158),1)</f>
        <v>46143</v>
      </c>
      <c r="G158" s="24" t="str">
        <f aca="false">INDEX(Products!$C$2:$C$49,MATCH(C158,Products!$A$2:$A$49,0))</f>
        <v>Grocery Staples</v>
      </c>
      <c r="H158" s="33" t="n">
        <f aca="false">D158*INDEX(Products!$E$2:$E$49,MATCH(C158,Products!$A$2:$A$49,0))</f>
        <v>17040</v>
      </c>
      <c r="I158" s="33" t="n">
        <f aca="false">D158*INDEX(Products!$D$2:$D$49,MATCH(C158,Products!$A$2:$A$49,0))*(1+INDEX(Assumptions!$B$16:$B$20,MATCH(B158,Assumptions!$A$16:$A$20,0)))</f>
        <v>14772.26</v>
      </c>
      <c r="J158" s="33" t="n">
        <f aca="false">H158-I158</f>
        <v>2267.74</v>
      </c>
      <c r="K158" s="33" t="n">
        <f aca="false">IF(OR(E158=0,E158&gt;=7),0,D158/(7-E158)*E158*INDEX(Products!$E$2:$E$49,MATCH(C158,Products!$A$2:$A$49,0)))</f>
        <v>0</v>
      </c>
    </row>
    <row r="159" customFormat="false" ht="15" hidden="false" customHeight="false" outlineLevel="0" collapsed="false">
      <c r="A159" s="36" t="n">
        <v>46167</v>
      </c>
      <c r="B159" s="24" t="s">
        <v>61</v>
      </c>
      <c r="C159" s="24" t="s">
        <v>127</v>
      </c>
      <c r="D159" s="33" t="n">
        <v>186</v>
      </c>
      <c r="E159" s="24" t="n">
        <v>0</v>
      </c>
      <c r="F159" s="37" t="n">
        <f aca="false">DATE(YEAR(A159),MONTH(A159),1)</f>
        <v>46143</v>
      </c>
      <c r="G159" s="24" t="str">
        <f aca="false">INDEX(Products!$C$2:$C$49,MATCH(C159,Products!$A$2:$A$49,0))</f>
        <v>Grocery Staples</v>
      </c>
      <c r="H159" s="33" t="n">
        <f aca="false">D159*INDEX(Products!$E$2:$E$49,MATCH(C159,Products!$A$2:$A$49,0))</f>
        <v>22320</v>
      </c>
      <c r="I159" s="33" t="n">
        <f aca="false">D159*INDEX(Products!$D$2:$D$49,MATCH(C159,Products!$A$2:$A$49,0))*(1+INDEX(Assumptions!$B$16:$B$20,MATCH(B159,Assumptions!$A$16:$A$20,0)))</f>
        <v>19349.58</v>
      </c>
      <c r="J159" s="33" t="n">
        <f aca="false">H159-I159</f>
        <v>2970.42</v>
      </c>
      <c r="K159" s="33" t="n">
        <f aca="false">IF(OR(E159=0,E159&gt;=7),0,D159/(7-E159)*E159*INDEX(Products!$E$2:$E$49,MATCH(C159,Products!$A$2:$A$49,0)))</f>
        <v>0</v>
      </c>
    </row>
    <row r="160" customFormat="false" ht="15" hidden="false" customHeight="false" outlineLevel="0" collapsed="false">
      <c r="A160" s="36" t="n">
        <v>46174</v>
      </c>
      <c r="B160" s="24" t="s">
        <v>61</v>
      </c>
      <c r="C160" s="24" t="s">
        <v>127</v>
      </c>
      <c r="D160" s="33" t="n">
        <v>190</v>
      </c>
      <c r="E160" s="24" t="n">
        <v>0</v>
      </c>
      <c r="F160" s="37" t="n">
        <f aca="false">DATE(YEAR(A160),MONTH(A160),1)</f>
        <v>46174</v>
      </c>
      <c r="G160" s="24" t="str">
        <f aca="false">INDEX(Products!$C$2:$C$49,MATCH(C160,Products!$A$2:$A$49,0))</f>
        <v>Grocery Staples</v>
      </c>
      <c r="H160" s="33" t="n">
        <f aca="false">D160*INDEX(Products!$E$2:$E$49,MATCH(C160,Products!$A$2:$A$49,0))</f>
        <v>22800</v>
      </c>
      <c r="I160" s="33" t="n">
        <f aca="false">D160*INDEX(Products!$D$2:$D$49,MATCH(C160,Products!$A$2:$A$49,0))*(1+INDEX(Assumptions!$B$16:$B$20,MATCH(B160,Assumptions!$A$16:$A$20,0)))</f>
        <v>19765.7</v>
      </c>
      <c r="J160" s="33" t="n">
        <f aca="false">H160-I160</f>
        <v>3034.3</v>
      </c>
      <c r="K160" s="33" t="n">
        <f aca="false">IF(OR(E160=0,E160&gt;=7),0,D160/(7-E160)*E160*INDEX(Products!$E$2:$E$49,MATCH(C160,Products!$A$2:$A$49,0)))</f>
        <v>0</v>
      </c>
    </row>
    <row r="161" customFormat="false" ht="15" hidden="false" customHeight="false" outlineLevel="0" collapsed="false">
      <c r="A161" s="36" t="n">
        <v>46181</v>
      </c>
      <c r="B161" s="24" t="s">
        <v>61</v>
      </c>
      <c r="C161" s="24" t="s">
        <v>127</v>
      </c>
      <c r="D161" s="33" t="n">
        <v>168</v>
      </c>
      <c r="E161" s="24" t="n">
        <v>0</v>
      </c>
      <c r="F161" s="37" t="n">
        <f aca="false">DATE(YEAR(A161),MONTH(A161),1)</f>
        <v>46174</v>
      </c>
      <c r="G161" s="24" t="str">
        <f aca="false">INDEX(Products!$C$2:$C$49,MATCH(C161,Products!$A$2:$A$49,0))</f>
        <v>Grocery Staples</v>
      </c>
      <c r="H161" s="33" t="n">
        <f aca="false">D161*INDEX(Products!$E$2:$E$49,MATCH(C161,Products!$A$2:$A$49,0))</f>
        <v>20160</v>
      </c>
      <c r="I161" s="33" t="n">
        <f aca="false">D161*INDEX(Products!$D$2:$D$49,MATCH(C161,Products!$A$2:$A$49,0))*(1+INDEX(Assumptions!$B$16:$B$20,MATCH(B161,Assumptions!$A$16:$A$20,0)))</f>
        <v>17477.04</v>
      </c>
      <c r="J161" s="33" t="n">
        <f aca="false">H161-I161</f>
        <v>2682.96</v>
      </c>
      <c r="K161" s="33" t="n">
        <f aca="false">IF(OR(E161=0,E161&gt;=7),0,D161/(7-E161)*E161*INDEX(Products!$E$2:$E$49,MATCH(C161,Products!$A$2:$A$49,0)))</f>
        <v>0</v>
      </c>
    </row>
    <row r="162" customFormat="false" ht="15" hidden="false" customHeight="false" outlineLevel="0" collapsed="false">
      <c r="A162" s="36" t="n">
        <v>46188</v>
      </c>
      <c r="B162" s="24" t="s">
        <v>61</v>
      </c>
      <c r="C162" s="24" t="s">
        <v>127</v>
      </c>
      <c r="D162" s="33" t="n">
        <v>176</v>
      </c>
      <c r="E162" s="24" t="n">
        <v>0</v>
      </c>
      <c r="F162" s="37" t="n">
        <f aca="false">DATE(YEAR(A162),MONTH(A162),1)</f>
        <v>46174</v>
      </c>
      <c r="G162" s="24" t="str">
        <f aca="false">INDEX(Products!$C$2:$C$49,MATCH(C162,Products!$A$2:$A$49,0))</f>
        <v>Grocery Staples</v>
      </c>
      <c r="H162" s="33" t="n">
        <f aca="false">D162*INDEX(Products!$E$2:$E$49,MATCH(C162,Products!$A$2:$A$49,0))</f>
        <v>21120</v>
      </c>
      <c r="I162" s="33" t="n">
        <f aca="false">D162*INDEX(Products!$D$2:$D$49,MATCH(C162,Products!$A$2:$A$49,0))*(1+INDEX(Assumptions!$B$16:$B$20,MATCH(B162,Assumptions!$A$16:$A$20,0)))</f>
        <v>18309.28</v>
      </c>
      <c r="J162" s="33" t="n">
        <f aca="false">H162-I162</f>
        <v>2810.72</v>
      </c>
      <c r="K162" s="33" t="n">
        <f aca="false">IF(OR(E162=0,E162&gt;=7),0,D162/(7-E162)*E162*INDEX(Products!$E$2:$E$49,MATCH(C162,Products!$A$2:$A$49,0)))</f>
        <v>0</v>
      </c>
    </row>
    <row r="163" customFormat="false" ht="15" hidden="false" customHeight="false" outlineLevel="0" collapsed="false">
      <c r="A163" s="36" t="n">
        <v>46195</v>
      </c>
      <c r="B163" s="24" t="s">
        <v>61</v>
      </c>
      <c r="C163" s="24" t="s">
        <v>127</v>
      </c>
      <c r="D163" s="33" t="n">
        <v>171</v>
      </c>
      <c r="E163" s="24" t="n">
        <v>0</v>
      </c>
      <c r="F163" s="37" t="n">
        <f aca="false">DATE(YEAR(A163),MONTH(A163),1)</f>
        <v>46174</v>
      </c>
      <c r="G163" s="24" t="str">
        <f aca="false">INDEX(Products!$C$2:$C$49,MATCH(C163,Products!$A$2:$A$49,0))</f>
        <v>Grocery Staples</v>
      </c>
      <c r="H163" s="33" t="n">
        <f aca="false">D163*INDEX(Products!$E$2:$E$49,MATCH(C163,Products!$A$2:$A$49,0))</f>
        <v>20520</v>
      </c>
      <c r="I163" s="33" t="n">
        <f aca="false">D163*INDEX(Products!$D$2:$D$49,MATCH(C163,Products!$A$2:$A$49,0))*(1+INDEX(Assumptions!$B$16:$B$20,MATCH(B163,Assumptions!$A$16:$A$20,0)))</f>
        <v>17789.13</v>
      </c>
      <c r="J163" s="33" t="n">
        <f aca="false">H163-I163</f>
        <v>2730.87</v>
      </c>
      <c r="K163" s="33" t="n">
        <f aca="false">IF(OR(E163=0,E163&gt;=7),0,D163/(7-E163)*E163*INDEX(Products!$E$2:$E$49,MATCH(C163,Products!$A$2:$A$49,0)))</f>
        <v>0</v>
      </c>
    </row>
    <row r="164" customFormat="false" ht="15" hidden="false" customHeight="false" outlineLevel="0" collapsed="false">
      <c r="A164" s="36" t="n">
        <v>46202</v>
      </c>
      <c r="B164" s="24" t="s">
        <v>61</v>
      </c>
      <c r="C164" s="24" t="s">
        <v>127</v>
      </c>
      <c r="D164" s="33" t="n">
        <v>175</v>
      </c>
      <c r="E164" s="24" t="n">
        <v>0</v>
      </c>
      <c r="F164" s="37" t="n">
        <f aca="false">DATE(YEAR(A164),MONTH(A164),1)</f>
        <v>46174</v>
      </c>
      <c r="G164" s="24" t="str">
        <f aca="false">INDEX(Products!$C$2:$C$49,MATCH(C164,Products!$A$2:$A$49,0))</f>
        <v>Grocery Staples</v>
      </c>
      <c r="H164" s="33" t="n">
        <f aca="false">D164*INDEX(Products!$E$2:$E$49,MATCH(C164,Products!$A$2:$A$49,0))</f>
        <v>21000</v>
      </c>
      <c r="I164" s="33" t="n">
        <f aca="false">D164*INDEX(Products!$D$2:$D$49,MATCH(C164,Products!$A$2:$A$49,0))*(1+INDEX(Assumptions!$B$16:$B$20,MATCH(B164,Assumptions!$A$16:$A$20,0)))</f>
        <v>18205.25</v>
      </c>
      <c r="J164" s="33" t="n">
        <f aca="false">H164-I164</f>
        <v>2794.75</v>
      </c>
      <c r="K164" s="33" t="n">
        <f aca="false">IF(OR(E164=0,E164&gt;=7),0,D164/(7-E164)*E164*INDEX(Products!$E$2:$E$49,MATCH(C164,Products!$A$2:$A$49,0)))</f>
        <v>0</v>
      </c>
    </row>
    <row r="165" customFormat="false" ht="15" hidden="false" customHeight="false" outlineLevel="0" collapsed="false">
      <c r="A165" s="36" t="n">
        <v>46209</v>
      </c>
      <c r="B165" s="24" t="s">
        <v>61</v>
      </c>
      <c r="C165" s="24" t="s">
        <v>127</v>
      </c>
      <c r="D165" s="33" t="n">
        <v>144</v>
      </c>
      <c r="E165" s="24" t="n">
        <v>0</v>
      </c>
      <c r="F165" s="37" t="n">
        <f aca="false">DATE(YEAR(A165),MONTH(A165),1)</f>
        <v>46204</v>
      </c>
      <c r="G165" s="24" t="str">
        <f aca="false">INDEX(Products!$C$2:$C$49,MATCH(C165,Products!$A$2:$A$49,0))</f>
        <v>Grocery Staples</v>
      </c>
      <c r="H165" s="33" t="n">
        <f aca="false">D165*INDEX(Products!$E$2:$E$49,MATCH(C165,Products!$A$2:$A$49,0))</f>
        <v>17280</v>
      </c>
      <c r="I165" s="33" t="n">
        <f aca="false">D165*INDEX(Products!$D$2:$D$49,MATCH(C165,Products!$A$2:$A$49,0))*(1+INDEX(Assumptions!$B$16:$B$20,MATCH(B165,Assumptions!$A$16:$A$20,0)))</f>
        <v>14980.32</v>
      </c>
      <c r="J165" s="33" t="n">
        <f aca="false">H165-I165</f>
        <v>2299.68</v>
      </c>
      <c r="K165" s="33" t="n">
        <f aca="false">IF(OR(E165=0,E165&gt;=7),0,D165/(7-E165)*E165*INDEX(Products!$E$2:$E$49,MATCH(C165,Products!$A$2:$A$49,0)))</f>
        <v>0</v>
      </c>
    </row>
    <row r="166" customFormat="false" ht="15" hidden="false" customHeight="false" outlineLevel="0" collapsed="false">
      <c r="A166" s="36" t="n">
        <v>46216</v>
      </c>
      <c r="B166" s="24" t="s">
        <v>61</v>
      </c>
      <c r="C166" s="24" t="s">
        <v>127</v>
      </c>
      <c r="D166" s="33" t="n">
        <v>152</v>
      </c>
      <c r="E166" s="24" t="n">
        <v>0</v>
      </c>
      <c r="F166" s="37" t="n">
        <f aca="false">DATE(YEAR(A166),MONTH(A166),1)</f>
        <v>46204</v>
      </c>
      <c r="G166" s="24" t="str">
        <f aca="false">INDEX(Products!$C$2:$C$49,MATCH(C166,Products!$A$2:$A$49,0))</f>
        <v>Grocery Staples</v>
      </c>
      <c r="H166" s="33" t="n">
        <f aca="false">D166*INDEX(Products!$E$2:$E$49,MATCH(C166,Products!$A$2:$A$49,0))</f>
        <v>18240</v>
      </c>
      <c r="I166" s="33" t="n">
        <f aca="false">D166*INDEX(Products!$D$2:$D$49,MATCH(C166,Products!$A$2:$A$49,0))*(1+INDEX(Assumptions!$B$16:$B$20,MATCH(B166,Assumptions!$A$16:$A$20,0)))</f>
        <v>15812.56</v>
      </c>
      <c r="J166" s="33" t="n">
        <f aca="false">H166-I166</f>
        <v>2427.44</v>
      </c>
      <c r="K166" s="33" t="n">
        <f aca="false">IF(OR(E166=0,E166&gt;=7),0,D166/(7-E166)*E166*INDEX(Products!$E$2:$E$49,MATCH(C166,Products!$A$2:$A$49,0)))</f>
        <v>0</v>
      </c>
    </row>
    <row r="167" customFormat="false" ht="15" hidden="false" customHeight="false" outlineLevel="0" collapsed="false">
      <c r="A167" s="36" t="n">
        <v>46223</v>
      </c>
      <c r="B167" s="24" t="s">
        <v>61</v>
      </c>
      <c r="C167" s="24" t="s">
        <v>127</v>
      </c>
      <c r="D167" s="33" t="n">
        <v>206</v>
      </c>
      <c r="E167" s="24" t="n">
        <v>0</v>
      </c>
      <c r="F167" s="37" t="n">
        <f aca="false">DATE(YEAR(A167),MONTH(A167),1)</f>
        <v>46204</v>
      </c>
      <c r="G167" s="24" t="str">
        <f aca="false">INDEX(Products!$C$2:$C$49,MATCH(C167,Products!$A$2:$A$49,0))</f>
        <v>Grocery Staples</v>
      </c>
      <c r="H167" s="33" t="n">
        <f aca="false">D167*INDEX(Products!$E$2:$E$49,MATCH(C167,Products!$A$2:$A$49,0))</f>
        <v>24720</v>
      </c>
      <c r="I167" s="33" t="n">
        <f aca="false">D167*INDEX(Products!$D$2:$D$49,MATCH(C167,Products!$A$2:$A$49,0))*(1+INDEX(Assumptions!$B$16:$B$20,MATCH(B167,Assumptions!$A$16:$A$20,0)))</f>
        <v>21430.18</v>
      </c>
      <c r="J167" s="33" t="n">
        <f aca="false">H167-I167</f>
        <v>3289.82</v>
      </c>
      <c r="K167" s="33" t="n">
        <f aca="false">IF(OR(E167=0,E167&gt;=7),0,D167/(7-E167)*E167*INDEX(Products!$E$2:$E$49,MATCH(C167,Products!$A$2:$A$49,0)))</f>
        <v>0</v>
      </c>
    </row>
    <row r="168" customFormat="false" ht="15" hidden="false" customHeight="false" outlineLevel="0" collapsed="false">
      <c r="A168" s="36" t="n">
        <v>46230</v>
      </c>
      <c r="B168" s="24" t="s">
        <v>61</v>
      </c>
      <c r="C168" s="24" t="s">
        <v>127</v>
      </c>
      <c r="D168" s="33" t="n">
        <v>203</v>
      </c>
      <c r="E168" s="24" t="n">
        <v>0</v>
      </c>
      <c r="F168" s="37" t="n">
        <f aca="false">DATE(YEAR(A168),MONTH(A168),1)</f>
        <v>46204</v>
      </c>
      <c r="G168" s="24" t="str">
        <f aca="false">INDEX(Products!$C$2:$C$49,MATCH(C168,Products!$A$2:$A$49,0))</f>
        <v>Grocery Staples</v>
      </c>
      <c r="H168" s="33" t="n">
        <f aca="false">D168*INDEX(Products!$E$2:$E$49,MATCH(C168,Products!$A$2:$A$49,0))</f>
        <v>24360</v>
      </c>
      <c r="I168" s="33" t="n">
        <f aca="false">D168*INDEX(Products!$D$2:$D$49,MATCH(C168,Products!$A$2:$A$49,0))*(1+INDEX(Assumptions!$B$16:$B$20,MATCH(B168,Assumptions!$A$16:$A$20,0)))</f>
        <v>21118.09</v>
      </c>
      <c r="J168" s="33" t="n">
        <f aca="false">H168-I168</f>
        <v>3241.91</v>
      </c>
      <c r="K168" s="33" t="n">
        <f aca="false">IF(OR(E168=0,E168&gt;=7),0,D168/(7-E168)*E168*INDEX(Products!$E$2:$E$49,MATCH(C168,Products!$A$2:$A$49,0)))</f>
        <v>0</v>
      </c>
    </row>
    <row r="169" customFormat="false" ht="15" hidden="false" customHeight="false" outlineLevel="0" collapsed="false">
      <c r="A169" s="36" t="n">
        <v>46237</v>
      </c>
      <c r="B169" s="24" t="s">
        <v>61</v>
      </c>
      <c r="C169" s="24" t="s">
        <v>127</v>
      </c>
      <c r="D169" s="33" t="n">
        <v>176</v>
      </c>
      <c r="E169" s="24" t="n">
        <v>0</v>
      </c>
      <c r="F169" s="37" t="n">
        <f aca="false">DATE(YEAR(A169),MONTH(A169),1)</f>
        <v>46235</v>
      </c>
      <c r="G169" s="24" t="str">
        <f aca="false">INDEX(Products!$C$2:$C$49,MATCH(C169,Products!$A$2:$A$49,0))</f>
        <v>Grocery Staples</v>
      </c>
      <c r="H169" s="33" t="n">
        <f aca="false">D169*INDEX(Products!$E$2:$E$49,MATCH(C169,Products!$A$2:$A$49,0))</f>
        <v>21120</v>
      </c>
      <c r="I169" s="33" t="n">
        <f aca="false">D169*INDEX(Products!$D$2:$D$49,MATCH(C169,Products!$A$2:$A$49,0))*(1+INDEX(Assumptions!$B$16:$B$20,MATCH(B169,Assumptions!$A$16:$A$20,0)))</f>
        <v>18309.28</v>
      </c>
      <c r="J169" s="33" t="n">
        <f aca="false">H169-I169</f>
        <v>2810.72</v>
      </c>
      <c r="K169" s="33" t="n">
        <f aca="false">IF(OR(E169=0,E169&gt;=7),0,D169/(7-E169)*E169*INDEX(Products!$E$2:$E$49,MATCH(C169,Products!$A$2:$A$49,0)))</f>
        <v>0</v>
      </c>
    </row>
    <row r="170" customFormat="false" ht="15" hidden="false" customHeight="false" outlineLevel="0" collapsed="false">
      <c r="A170" s="36" t="n">
        <v>46244</v>
      </c>
      <c r="B170" s="24" t="s">
        <v>61</v>
      </c>
      <c r="C170" s="24" t="s">
        <v>127</v>
      </c>
      <c r="D170" s="33" t="n">
        <v>178</v>
      </c>
      <c r="E170" s="24" t="n">
        <v>0</v>
      </c>
      <c r="F170" s="37" t="n">
        <f aca="false">DATE(YEAR(A170),MONTH(A170),1)</f>
        <v>46235</v>
      </c>
      <c r="G170" s="24" t="str">
        <f aca="false">INDEX(Products!$C$2:$C$49,MATCH(C170,Products!$A$2:$A$49,0))</f>
        <v>Grocery Staples</v>
      </c>
      <c r="H170" s="33" t="n">
        <f aca="false">D170*INDEX(Products!$E$2:$E$49,MATCH(C170,Products!$A$2:$A$49,0))</f>
        <v>21360</v>
      </c>
      <c r="I170" s="33" t="n">
        <f aca="false">D170*INDEX(Products!$D$2:$D$49,MATCH(C170,Products!$A$2:$A$49,0))*(1+INDEX(Assumptions!$B$16:$B$20,MATCH(B170,Assumptions!$A$16:$A$20,0)))</f>
        <v>18517.34</v>
      </c>
      <c r="J170" s="33" t="n">
        <f aca="false">H170-I170</f>
        <v>2842.66</v>
      </c>
      <c r="K170" s="33" t="n">
        <f aca="false">IF(OR(E170=0,E170&gt;=7),0,D170/(7-E170)*E170*INDEX(Products!$E$2:$E$49,MATCH(C170,Products!$A$2:$A$49,0)))</f>
        <v>0</v>
      </c>
    </row>
    <row r="171" customFormat="false" ht="15" hidden="false" customHeight="false" outlineLevel="0" collapsed="false">
      <c r="A171" s="36" t="n">
        <v>46251</v>
      </c>
      <c r="B171" s="24" t="s">
        <v>61</v>
      </c>
      <c r="C171" s="24" t="s">
        <v>127</v>
      </c>
      <c r="D171" s="33" t="n">
        <v>191</v>
      </c>
      <c r="E171" s="24" t="n">
        <v>0</v>
      </c>
      <c r="F171" s="37" t="n">
        <f aca="false">DATE(YEAR(A171),MONTH(A171),1)</f>
        <v>46235</v>
      </c>
      <c r="G171" s="24" t="str">
        <f aca="false">INDEX(Products!$C$2:$C$49,MATCH(C171,Products!$A$2:$A$49,0))</f>
        <v>Grocery Staples</v>
      </c>
      <c r="H171" s="33" t="n">
        <f aca="false">D171*INDEX(Products!$E$2:$E$49,MATCH(C171,Products!$A$2:$A$49,0))</f>
        <v>22920</v>
      </c>
      <c r="I171" s="33" t="n">
        <f aca="false">D171*INDEX(Products!$D$2:$D$49,MATCH(C171,Products!$A$2:$A$49,0))*(1+INDEX(Assumptions!$B$16:$B$20,MATCH(B171,Assumptions!$A$16:$A$20,0)))</f>
        <v>19869.73</v>
      </c>
      <c r="J171" s="33" t="n">
        <f aca="false">H171-I171</f>
        <v>3050.27</v>
      </c>
      <c r="K171" s="33" t="n">
        <f aca="false">IF(OR(E171=0,E171&gt;=7),0,D171/(7-E171)*E171*INDEX(Products!$E$2:$E$49,MATCH(C171,Products!$A$2:$A$49,0)))</f>
        <v>0</v>
      </c>
    </row>
    <row r="172" customFormat="false" ht="15" hidden="false" customHeight="false" outlineLevel="0" collapsed="false">
      <c r="A172" s="36" t="n">
        <v>46258</v>
      </c>
      <c r="B172" s="24" t="s">
        <v>61</v>
      </c>
      <c r="C172" s="24" t="s">
        <v>127</v>
      </c>
      <c r="D172" s="33" t="n">
        <v>165</v>
      </c>
      <c r="E172" s="24" t="n">
        <v>0</v>
      </c>
      <c r="F172" s="37" t="n">
        <f aca="false">DATE(YEAR(A172),MONTH(A172),1)</f>
        <v>46235</v>
      </c>
      <c r="G172" s="24" t="str">
        <f aca="false">INDEX(Products!$C$2:$C$49,MATCH(C172,Products!$A$2:$A$49,0))</f>
        <v>Grocery Staples</v>
      </c>
      <c r="H172" s="33" t="n">
        <f aca="false">D172*INDEX(Products!$E$2:$E$49,MATCH(C172,Products!$A$2:$A$49,0))</f>
        <v>19800</v>
      </c>
      <c r="I172" s="33" t="n">
        <f aca="false">D172*INDEX(Products!$D$2:$D$49,MATCH(C172,Products!$A$2:$A$49,0))*(1+INDEX(Assumptions!$B$16:$B$20,MATCH(B172,Assumptions!$A$16:$A$20,0)))</f>
        <v>17164.95</v>
      </c>
      <c r="J172" s="33" t="n">
        <f aca="false">H172-I172</f>
        <v>2635.05</v>
      </c>
      <c r="K172" s="33" t="n">
        <f aca="false">IF(OR(E172=0,E172&gt;=7),0,D172/(7-E172)*E172*INDEX(Products!$E$2:$E$49,MATCH(C172,Products!$A$2:$A$49,0)))</f>
        <v>0</v>
      </c>
    </row>
    <row r="173" customFormat="false" ht="15" hidden="false" customHeight="false" outlineLevel="0" collapsed="false">
      <c r="A173" s="36" t="n">
        <v>46265</v>
      </c>
      <c r="B173" s="24" t="s">
        <v>61</v>
      </c>
      <c r="C173" s="24" t="s">
        <v>127</v>
      </c>
      <c r="D173" s="33" t="n">
        <v>60</v>
      </c>
      <c r="E173" s="24" t="n">
        <v>5</v>
      </c>
      <c r="F173" s="37" t="n">
        <f aca="false">DATE(YEAR(A173),MONTH(A173),1)</f>
        <v>46235</v>
      </c>
      <c r="G173" s="24" t="str">
        <f aca="false">INDEX(Products!$C$2:$C$49,MATCH(C173,Products!$A$2:$A$49,0))</f>
        <v>Grocery Staples</v>
      </c>
      <c r="H173" s="33" t="n">
        <f aca="false">D173*INDEX(Products!$E$2:$E$49,MATCH(C173,Products!$A$2:$A$49,0))</f>
        <v>7200</v>
      </c>
      <c r="I173" s="33" t="n">
        <f aca="false">D173*INDEX(Products!$D$2:$D$49,MATCH(C173,Products!$A$2:$A$49,0))*(1+INDEX(Assumptions!$B$16:$B$20,MATCH(B173,Assumptions!$A$16:$A$20,0)))</f>
        <v>6241.8</v>
      </c>
      <c r="J173" s="33" t="n">
        <f aca="false">H173-I173</f>
        <v>958.2</v>
      </c>
      <c r="K173" s="33" t="n">
        <f aca="false">IF(OR(E173=0,E173&gt;=7),0,D173/(7-E173)*E173*INDEX(Products!$E$2:$E$49,MATCH(C173,Products!$A$2:$A$49,0)))</f>
        <v>18000</v>
      </c>
    </row>
    <row r="174" customFormat="false" ht="15" hidden="false" customHeight="false" outlineLevel="0" collapsed="false">
      <c r="A174" s="36" t="n">
        <v>46272</v>
      </c>
      <c r="B174" s="24" t="s">
        <v>61</v>
      </c>
      <c r="C174" s="24" t="s">
        <v>127</v>
      </c>
      <c r="D174" s="33" t="n">
        <v>221</v>
      </c>
      <c r="E174" s="24" t="n">
        <v>0</v>
      </c>
      <c r="F174" s="37" t="n">
        <f aca="false">DATE(YEAR(A174),MONTH(A174),1)</f>
        <v>46266</v>
      </c>
      <c r="G174" s="24" t="str">
        <f aca="false">INDEX(Products!$C$2:$C$49,MATCH(C174,Products!$A$2:$A$49,0))</f>
        <v>Grocery Staples</v>
      </c>
      <c r="H174" s="33" t="n">
        <f aca="false">D174*INDEX(Products!$E$2:$E$49,MATCH(C174,Products!$A$2:$A$49,0))</f>
        <v>26520</v>
      </c>
      <c r="I174" s="33" t="n">
        <f aca="false">D174*INDEX(Products!$D$2:$D$49,MATCH(C174,Products!$A$2:$A$49,0))*(1+INDEX(Assumptions!$B$16:$B$20,MATCH(B174,Assumptions!$A$16:$A$20,0)))</f>
        <v>22990.63</v>
      </c>
      <c r="J174" s="33" t="n">
        <f aca="false">H174-I174</f>
        <v>3529.37</v>
      </c>
      <c r="K174" s="33" t="n">
        <f aca="false">IF(OR(E174=0,E174&gt;=7),0,D174/(7-E174)*E174*INDEX(Products!$E$2:$E$49,MATCH(C174,Products!$A$2:$A$49,0)))</f>
        <v>0</v>
      </c>
    </row>
    <row r="175" customFormat="false" ht="15" hidden="false" customHeight="false" outlineLevel="0" collapsed="false">
      <c r="A175" s="36" t="n">
        <v>46279</v>
      </c>
      <c r="B175" s="24" t="s">
        <v>61</v>
      </c>
      <c r="C175" s="24" t="s">
        <v>127</v>
      </c>
      <c r="D175" s="33" t="n">
        <v>220</v>
      </c>
      <c r="E175" s="24" t="n">
        <v>0</v>
      </c>
      <c r="F175" s="37" t="n">
        <f aca="false">DATE(YEAR(A175),MONTH(A175),1)</f>
        <v>46266</v>
      </c>
      <c r="G175" s="24" t="str">
        <f aca="false">INDEX(Products!$C$2:$C$49,MATCH(C175,Products!$A$2:$A$49,0))</f>
        <v>Grocery Staples</v>
      </c>
      <c r="H175" s="33" t="n">
        <f aca="false">D175*INDEX(Products!$E$2:$E$49,MATCH(C175,Products!$A$2:$A$49,0))</f>
        <v>26400</v>
      </c>
      <c r="I175" s="33" t="n">
        <f aca="false">D175*INDEX(Products!$D$2:$D$49,MATCH(C175,Products!$A$2:$A$49,0))*(1+INDEX(Assumptions!$B$16:$B$20,MATCH(B175,Assumptions!$A$16:$A$20,0)))</f>
        <v>22886.6</v>
      </c>
      <c r="J175" s="33" t="n">
        <f aca="false">H175-I175</f>
        <v>3513.4</v>
      </c>
      <c r="K175" s="33" t="n">
        <f aca="false">IF(OR(E175=0,E175&gt;=7),0,D175/(7-E175)*E175*INDEX(Products!$E$2:$E$49,MATCH(C175,Products!$A$2:$A$49,0)))</f>
        <v>0</v>
      </c>
    </row>
    <row r="176" customFormat="false" ht="15" hidden="false" customHeight="false" outlineLevel="0" collapsed="false">
      <c r="A176" s="36" t="n">
        <v>46286</v>
      </c>
      <c r="B176" s="24" t="s">
        <v>61</v>
      </c>
      <c r="C176" s="24" t="s">
        <v>127</v>
      </c>
      <c r="D176" s="33" t="n">
        <v>217</v>
      </c>
      <c r="E176" s="24" t="n">
        <v>0</v>
      </c>
      <c r="F176" s="37" t="n">
        <f aca="false">DATE(YEAR(A176),MONTH(A176),1)</f>
        <v>46266</v>
      </c>
      <c r="G176" s="24" t="str">
        <f aca="false">INDEX(Products!$C$2:$C$49,MATCH(C176,Products!$A$2:$A$49,0))</f>
        <v>Grocery Staples</v>
      </c>
      <c r="H176" s="33" t="n">
        <f aca="false">D176*INDEX(Products!$E$2:$E$49,MATCH(C176,Products!$A$2:$A$49,0))</f>
        <v>26040</v>
      </c>
      <c r="I176" s="33" t="n">
        <f aca="false">D176*INDEX(Products!$D$2:$D$49,MATCH(C176,Products!$A$2:$A$49,0))*(1+INDEX(Assumptions!$B$16:$B$20,MATCH(B176,Assumptions!$A$16:$A$20,0)))</f>
        <v>22574.51</v>
      </c>
      <c r="J176" s="33" t="n">
        <f aca="false">H176-I176</f>
        <v>3465.49</v>
      </c>
      <c r="K176" s="33" t="n">
        <f aca="false">IF(OR(E176=0,E176&gt;=7),0,D176/(7-E176)*E176*INDEX(Products!$E$2:$E$49,MATCH(C176,Products!$A$2:$A$49,0)))</f>
        <v>0</v>
      </c>
    </row>
    <row r="177" customFormat="false" ht="15" hidden="false" customHeight="false" outlineLevel="0" collapsed="false">
      <c r="A177" s="36" t="n">
        <v>46118</v>
      </c>
      <c r="B177" s="24" t="s">
        <v>61</v>
      </c>
      <c r="C177" s="24" t="s">
        <v>129</v>
      </c>
      <c r="D177" s="33" t="n">
        <v>191</v>
      </c>
      <c r="E177" s="24" t="n">
        <v>0</v>
      </c>
      <c r="F177" s="37" t="n">
        <f aca="false">DATE(YEAR(A177),MONTH(A177),1)</f>
        <v>46113</v>
      </c>
      <c r="G177" s="24" t="str">
        <f aca="false">INDEX(Products!$C$2:$C$49,MATCH(C177,Products!$A$2:$A$49,0))</f>
        <v>Grocery Staples</v>
      </c>
      <c r="H177" s="33" t="n">
        <f aca="false">D177*INDEX(Products!$E$2:$E$49,MATCH(C177,Products!$A$2:$A$49,0))</f>
        <v>40110</v>
      </c>
      <c r="I177" s="33" t="n">
        <f aca="false">D177*INDEX(Products!$D$2:$D$49,MATCH(C177,Products!$A$2:$A$49,0))*(1+INDEX(Assumptions!$B$16:$B$20,MATCH(B177,Assumptions!$A$16:$A$20,0)))</f>
        <v>35881.26</v>
      </c>
      <c r="J177" s="33" t="n">
        <f aca="false">H177-I177</f>
        <v>4228.74</v>
      </c>
      <c r="K177" s="33" t="n">
        <f aca="false">IF(OR(E177=0,E177&gt;=7),0,D177/(7-E177)*E177*INDEX(Products!$E$2:$E$49,MATCH(C177,Products!$A$2:$A$49,0)))</f>
        <v>0</v>
      </c>
    </row>
    <row r="178" customFormat="false" ht="15" hidden="false" customHeight="false" outlineLevel="0" collapsed="false">
      <c r="A178" s="36" t="n">
        <v>46125</v>
      </c>
      <c r="B178" s="24" t="s">
        <v>61</v>
      </c>
      <c r="C178" s="24" t="s">
        <v>129</v>
      </c>
      <c r="D178" s="33" t="n">
        <v>201</v>
      </c>
      <c r="E178" s="24" t="n">
        <v>0</v>
      </c>
      <c r="F178" s="37" t="n">
        <f aca="false">DATE(YEAR(A178),MONTH(A178),1)</f>
        <v>46113</v>
      </c>
      <c r="G178" s="24" t="str">
        <f aca="false">INDEX(Products!$C$2:$C$49,MATCH(C178,Products!$A$2:$A$49,0))</f>
        <v>Grocery Staples</v>
      </c>
      <c r="H178" s="33" t="n">
        <f aca="false">D178*INDEX(Products!$E$2:$E$49,MATCH(C178,Products!$A$2:$A$49,0))</f>
        <v>42210</v>
      </c>
      <c r="I178" s="33" t="n">
        <f aca="false">D178*INDEX(Products!$D$2:$D$49,MATCH(C178,Products!$A$2:$A$49,0))*(1+INDEX(Assumptions!$B$16:$B$20,MATCH(B178,Assumptions!$A$16:$A$20,0)))</f>
        <v>37759.86</v>
      </c>
      <c r="J178" s="33" t="n">
        <f aca="false">H178-I178</f>
        <v>4450.14</v>
      </c>
      <c r="K178" s="33" t="n">
        <f aca="false">IF(OR(E178=0,E178&gt;=7),0,D178/(7-E178)*E178*INDEX(Products!$E$2:$E$49,MATCH(C178,Products!$A$2:$A$49,0)))</f>
        <v>0</v>
      </c>
    </row>
    <row r="179" customFormat="false" ht="15" hidden="false" customHeight="false" outlineLevel="0" collapsed="false">
      <c r="A179" s="36" t="n">
        <v>46132</v>
      </c>
      <c r="B179" s="24" t="s">
        <v>61</v>
      </c>
      <c r="C179" s="24" t="s">
        <v>129</v>
      </c>
      <c r="D179" s="33" t="n">
        <v>247</v>
      </c>
      <c r="E179" s="24" t="n">
        <v>0</v>
      </c>
      <c r="F179" s="37" t="n">
        <f aca="false">DATE(YEAR(A179),MONTH(A179),1)</f>
        <v>46113</v>
      </c>
      <c r="G179" s="24" t="str">
        <f aca="false">INDEX(Products!$C$2:$C$49,MATCH(C179,Products!$A$2:$A$49,0))</f>
        <v>Grocery Staples</v>
      </c>
      <c r="H179" s="33" t="n">
        <f aca="false">D179*INDEX(Products!$E$2:$E$49,MATCH(C179,Products!$A$2:$A$49,0))</f>
        <v>51870</v>
      </c>
      <c r="I179" s="33" t="n">
        <f aca="false">D179*INDEX(Products!$D$2:$D$49,MATCH(C179,Products!$A$2:$A$49,0))*(1+INDEX(Assumptions!$B$16:$B$20,MATCH(B179,Assumptions!$A$16:$A$20,0)))</f>
        <v>46401.42</v>
      </c>
      <c r="J179" s="33" t="n">
        <f aca="false">H179-I179</f>
        <v>5468.58</v>
      </c>
      <c r="K179" s="33" t="n">
        <f aca="false">IF(OR(E179=0,E179&gt;=7),0,D179/(7-E179)*E179*INDEX(Products!$E$2:$E$49,MATCH(C179,Products!$A$2:$A$49,0)))</f>
        <v>0</v>
      </c>
    </row>
    <row r="180" customFormat="false" ht="15" hidden="false" customHeight="false" outlineLevel="0" collapsed="false">
      <c r="A180" s="36" t="n">
        <v>46139</v>
      </c>
      <c r="B180" s="24" t="s">
        <v>61</v>
      </c>
      <c r="C180" s="24" t="s">
        <v>129</v>
      </c>
      <c r="D180" s="33" t="n">
        <v>222</v>
      </c>
      <c r="E180" s="24" t="n">
        <v>0</v>
      </c>
      <c r="F180" s="37" t="n">
        <f aca="false">DATE(YEAR(A180),MONTH(A180),1)</f>
        <v>46113</v>
      </c>
      <c r="G180" s="24" t="str">
        <f aca="false">INDEX(Products!$C$2:$C$49,MATCH(C180,Products!$A$2:$A$49,0))</f>
        <v>Grocery Staples</v>
      </c>
      <c r="H180" s="33" t="n">
        <f aca="false">D180*INDEX(Products!$E$2:$E$49,MATCH(C180,Products!$A$2:$A$49,0))</f>
        <v>46620</v>
      </c>
      <c r="I180" s="33" t="n">
        <f aca="false">D180*INDEX(Products!$D$2:$D$49,MATCH(C180,Products!$A$2:$A$49,0))*(1+INDEX(Assumptions!$B$16:$B$20,MATCH(B180,Assumptions!$A$16:$A$20,0)))</f>
        <v>41704.92</v>
      </c>
      <c r="J180" s="33" t="n">
        <f aca="false">H180-I180</f>
        <v>4915.08</v>
      </c>
      <c r="K180" s="33" t="n">
        <f aca="false">IF(OR(E180=0,E180&gt;=7),0,D180/(7-E180)*E180*INDEX(Products!$E$2:$E$49,MATCH(C180,Products!$A$2:$A$49,0)))</f>
        <v>0</v>
      </c>
    </row>
    <row r="181" customFormat="false" ht="15" hidden="false" customHeight="false" outlineLevel="0" collapsed="false">
      <c r="A181" s="36" t="n">
        <v>46146</v>
      </c>
      <c r="B181" s="24" t="s">
        <v>61</v>
      </c>
      <c r="C181" s="24" t="s">
        <v>129</v>
      </c>
      <c r="D181" s="33" t="n">
        <v>192</v>
      </c>
      <c r="E181" s="24" t="n">
        <v>0</v>
      </c>
      <c r="F181" s="37" t="n">
        <f aca="false">DATE(YEAR(A181),MONTH(A181),1)</f>
        <v>46143</v>
      </c>
      <c r="G181" s="24" t="str">
        <f aca="false">INDEX(Products!$C$2:$C$49,MATCH(C181,Products!$A$2:$A$49,0))</f>
        <v>Grocery Staples</v>
      </c>
      <c r="H181" s="33" t="n">
        <f aca="false">D181*INDEX(Products!$E$2:$E$49,MATCH(C181,Products!$A$2:$A$49,0))</f>
        <v>40320</v>
      </c>
      <c r="I181" s="33" t="n">
        <f aca="false">D181*INDEX(Products!$D$2:$D$49,MATCH(C181,Products!$A$2:$A$49,0))*(1+INDEX(Assumptions!$B$16:$B$20,MATCH(B181,Assumptions!$A$16:$A$20,0)))</f>
        <v>36069.12</v>
      </c>
      <c r="J181" s="33" t="n">
        <f aca="false">H181-I181</f>
        <v>4250.88</v>
      </c>
      <c r="K181" s="33" t="n">
        <f aca="false">IF(OR(E181=0,E181&gt;=7),0,D181/(7-E181)*E181*INDEX(Products!$E$2:$E$49,MATCH(C181,Products!$A$2:$A$49,0)))</f>
        <v>0</v>
      </c>
    </row>
    <row r="182" customFormat="false" ht="15" hidden="false" customHeight="false" outlineLevel="0" collapsed="false">
      <c r="A182" s="36" t="n">
        <v>46153</v>
      </c>
      <c r="B182" s="24" t="s">
        <v>61</v>
      </c>
      <c r="C182" s="24" t="s">
        <v>129</v>
      </c>
      <c r="D182" s="33" t="n">
        <v>232</v>
      </c>
      <c r="E182" s="24" t="n">
        <v>0</v>
      </c>
      <c r="F182" s="37" t="n">
        <f aca="false">DATE(YEAR(A182),MONTH(A182),1)</f>
        <v>46143</v>
      </c>
      <c r="G182" s="24" t="str">
        <f aca="false">INDEX(Products!$C$2:$C$49,MATCH(C182,Products!$A$2:$A$49,0))</f>
        <v>Grocery Staples</v>
      </c>
      <c r="H182" s="33" t="n">
        <f aca="false">D182*INDEX(Products!$E$2:$E$49,MATCH(C182,Products!$A$2:$A$49,0))</f>
        <v>48720</v>
      </c>
      <c r="I182" s="33" t="n">
        <f aca="false">D182*INDEX(Products!$D$2:$D$49,MATCH(C182,Products!$A$2:$A$49,0))*(1+INDEX(Assumptions!$B$16:$B$20,MATCH(B182,Assumptions!$A$16:$A$20,0)))</f>
        <v>43583.52</v>
      </c>
      <c r="J182" s="33" t="n">
        <f aca="false">H182-I182</f>
        <v>5136.48</v>
      </c>
      <c r="K182" s="33" t="n">
        <f aca="false">IF(OR(E182=0,E182&gt;=7),0,D182/(7-E182)*E182*INDEX(Products!$E$2:$E$49,MATCH(C182,Products!$A$2:$A$49,0)))</f>
        <v>0</v>
      </c>
    </row>
    <row r="183" customFormat="false" ht="15" hidden="false" customHeight="false" outlineLevel="0" collapsed="false">
      <c r="A183" s="36" t="n">
        <v>46160</v>
      </c>
      <c r="B183" s="24" t="s">
        <v>61</v>
      </c>
      <c r="C183" s="24" t="s">
        <v>129</v>
      </c>
      <c r="D183" s="33" t="n">
        <v>216</v>
      </c>
      <c r="E183" s="24" t="n">
        <v>0</v>
      </c>
      <c r="F183" s="37" t="n">
        <f aca="false">DATE(YEAR(A183),MONTH(A183),1)</f>
        <v>46143</v>
      </c>
      <c r="G183" s="24" t="str">
        <f aca="false">INDEX(Products!$C$2:$C$49,MATCH(C183,Products!$A$2:$A$49,0))</f>
        <v>Grocery Staples</v>
      </c>
      <c r="H183" s="33" t="n">
        <f aca="false">D183*INDEX(Products!$E$2:$E$49,MATCH(C183,Products!$A$2:$A$49,0))</f>
        <v>45360</v>
      </c>
      <c r="I183" s="33" t="n">
        <f aca="false">D183*INDEX(Products!$D$2:$D$49,MATCH(C183,Products!$A$2:$A$49,0))*(1+INDEX(Assumptions!$B$16:$B$20,MATCH(B183,Assumptions!$A$16:$A$20,0)))</f>
        <v>40577.76</v>
      </c>
      <c r="J183" s="33" t="n">
        <f aca="false">H183-I183</f>
        <v>4782.24</v>
      </c>
      <c r="K183" s="33" t="n">
        <f aca="false">IF(OR(E183=0,E183&gt;=7),0,D183/(7-E183)*E183*INDEX(Products!$E$2:$E$49,MATCH(C183,Products!$A$2:$A$49,0)))</f>
        <v>0</v>
      </c>
    </row>
    <row r="184" customFormat="false" ht="15" hidden="false" customHeight="false" outlineLevel="0" collapsed="false">
      <c r="A184" s="36" t="n">
        <v>46167</v>
      </c>
      <c r="B184" s="24" t="s">
        <v>61</v>
      </c>
      <c r="C184" s="24" t="s">
        <v>129</v>
      </c>
      <c r="D184" s="33" t="n">
        <v>250</v>
      </c>
      <c r="E184" s="24" t="n">
        <v>0</v>
      </c>
      <c r="F184" s="37" t="n">
        <f aca="false">DATE(YEAR(A184),MONTH(A184),1)</f>
        <v>46143</v>
      </c>
      <c r="G184" s="24" t="str">
        <f aca="false">INDEX(Products!$C$2:$C$49,MATCH(C184,Products!$A$2:$A$49,0))</f>
        <v>Grocery Staples</v>
      </c>
      <c r="H184" s="33" t="n">
        <f aca="false">D184*INDEX(Products!$E$2:$E$49,MATCH(C184,Products!$A$2:$A$49,0))</f>
        <v>52500</v>
      </c>
      <c r="I184" s="33" t="n">
        <f aca="false">D184*INDEX(Products!$D$2:$D$49,MATCH(C184,Products!$A$2:$A$49,0))*(1+INDEX(Assumptions!$B$16:$B$20,MATCH(B184,Assumptions!$A$16:$A$20,0)))</f>
        <v>46965</v>
      </c>
      <c r="J184" s="33" t="n">
        <f aca="false">H184-I184</f>
        <v>5535</v>
      </c>
      <c r="K184" s="33" t="n">
        <f aca="false">IF(OR(E184=0,E184&gt;=7),0,D184/(7-E184)*E184*INDEX(Products!$E$2:$E$49,MATCH(C184,Products!$A$2:$A$49,0)))</f>
        <v>0</v>
      </c>
    </row>
    <row r="185" customFormat="false" ht="15" hidden="false" customHeight="false" outlineLevel="0" collapsed="false">
      <c r="A185" s="36" t="n">
        <v>46174</v>
      </c>
      <c r="B185" s="24" t="s">
        <v>61</v>
      </c>
      <c r="C185" s="24" t="s">
        <v>129</v>
      </c>
      <c r="D185" s="33" t="n">
        <v>217</v>
      </c>
      <c r="E185" s="24" t="n">
        <v>0</v>
      </c>
      <c r="F185" s="37" t="n">
        <f aca="false">DATE(YEAR(A185),MONTH(A185),1)</f>
        <v>46174</v>
      </c>
      <c r="G185" s="24" t="str">
        <f aca="false">INDEX(Products!$C$2:$C$49,MATCH(C185,Products!$A$2:$A$49,0))</f>
        <v>Grocery Staples</v>
      </c>
      <c r="H185" s="33" t="n">
        <f aca="false">D185*INDEX(Products!$E$2:$E$49,MATCH(C185,Products!$A$2:$A$49,0))</f>
        <v>45570</v>
      </c>
      <c r="I185" s="33" t="n">
        <f aca="false">D185*INDEX(Products!$D$2:$D$49,MATCH(C185,Products!$A$2:$A$49,0))*(1+INDEX(Assumptions!$B$16:$B$20,MATCH(B185,Assumptions!$A$16:$A$20,0)))</f>
        <v>40765.62</v>
      </c>
      <c r="J185" s="33" t="n">
        <f aca="false">H185-I185</f>
        <v>4804.38</v>
      </c>
      <c r="K185" s="33" t="n">
        <f aca="false">IF(OR(E185=0,E185&gt;=7),0,D185/(7-E185)*E185*INDEX(Products!$E$2:$E$49,MATCH(C185,Products!$A$2:$A$49,0)))</f>
        <v>0</v>
      </c>
    </row>
    <row r="186" customFormat="false" ht="15" hidden="false" customHeight="false" outlineLevel="0" collapsed="false">
      <c r="A186" s="36" t="n">
        <v>46181</v>
      </c>
      <c r="B186" s="24" t="s">
        <v>61</v>
      </c>
      <c r="C186" s="24" t="s">
        <v>129</v>
      </c>
      <c r="D186" s="33" t="n">
        <v>225</v>
      </c>
      <c r="E186" s="24" t="n">
        <v>0</v>
      </c>
      <c r="F186" s="37" t="n">
        <f aca="false">DATE(YEAR(A186),MONTH(A186),1)</f>
        <v>46174</v>
      </c>
      <c r="G186" s="24" t="str">
        <f aca="false">INDEX(Products!$C$2:$C$49,MATCH(C186,Products!$A$2:$A$49,0))</f>
        <v>Grocery Staples</v>
      </c>
      <c r="H186" s="33" t="n">
        <f aca="false">D186*INDEX(Products!$E$2:$E$49,MATCH(C186,Products!$A$2:$A$49,0))</f>
        <v>47250</v>
      </c>
      <c r="I186" s="33" t="n">
        <f aca="false">D186*INDEX(Products!$D$2:$D$49,MATCH(C186,Products!$A$2:$A$49,0))*(1+INDEX(Assumptions!$B$16:$B$20,MATCH(B186,Assumptions!$A$16:$A$20,0)))</f>
        <v>42268.5</v>
      </c>
      <c r="J186" s="33" t="n">
        <f aca="false">H186-I186</f>
        <v>4981.5</v>
      </c>
      <c r="K186" s="33" t="n">
        <f aca="false">IF(OR(E186=0,E186&gt;=7),0,D186/(7-E186)*E186*INDEX(Products!$E$2:$E$49,MATCH(C186,Products!$A$2:$A$49,0)))</f>
        <v>0</v>
      </c>
    </row>
    <row r="187" customFormat="false" ht="15" hidden="false" customHeight="false" outlineLevel="0" collapsed="false">
      <c r="A187" s="36" t="n">
        <v>46188</v>
      </c>
      <c r="B187" s="24" t="s">
        <v>61</v>
      </c>
      <c r="C187" s="24" t="s">
        <v>129</v>
      </c>
      <c r="D187" s="33" t="n">
        <v>375</v>
      </c>
      <c r="E187" s="24" t="n">
        <v>0</v>
      </c>
      <c r="F187" s="37" t="n">
        <f aca="false">DATE(YEAR(A187),MONTH(A187),1)</f>
        <v>46174</v>
      </c>
      <c r="G187" s="24" t="str">
        <f aca="false">INDEX(Products!$C$2:$C$49,MATCH(C187,Products!$A$2:$A$49,0))</f>
        <v>Grocery Staples</v>
      </c>
      <c r="H187" s="33" t="n">
        <f aca="false">D187*INDEX(Products!$E$2:$E$49,MATCH(C187,Products!$A$2:$A$49,0))</f>
        <v>78750</v>
      </c>
      <c r="I187" s="33" t="n">
        <f aca="false">D187*INDEX(Products!$D$2:$D$49,MATCH(C187,Products!$A$2:$A$49,0))*(1+INDEX(Assumptions!$B$16:$B$20,MATCH(B187,Assumptions!$A$16:$A$20,0)))</f>
        <v>70447.5</v>
      </c>
      <c r="J187" s="33" t="n">
        <f aca="false">H187-I187</f>
        <v>8302.5</v>
      </c>
      <c r="K187" s="33" t="n">
        <f aca="false">IF(OR(E187=0,E187&gt;=7),0,D187/(7-E187)*E187*INDEX(Products!$E$2:$E$49,MATCH(C187,Products!$A$2:$A$49,0)))</f>
        <v>0</v>
      </c>
    </row>
    <row r="188" customFormat="false" ht="15" hidden="false" customHeight="false" outlineLevel="0" collapsed="false">
      <c r="A188" s="36" t="n">
        <v>46195</v>
      </c>
      <c r="B188" s="24" t="s">
        <v>61</v>
      </c>
      <c r="C188" s="24" t="s">
        <v>129</v>
      </c>
      <c r="D188" s="33" t="n">
        <v>212</v>
      </c>
      <c r="E188" s="24" t="n">
        <v>0</v>
      </c>
      <c r="F188" s="37" t="n">
        <f aca="false">DATE(YEAR(A188),MONTH(A188),1)</f>
        <v>46174</v>
      </c>
      <c r="G188" s="24" t="str">
        <f aca="false">INDEX(Products!$C$2:$C$49,MATCH(C188,Products!$A$2:$A$49,0))</f>
        <v>Grocery Staples</v>
      </c>
      <c r="H188" s="33" t="n">
        <f aca="false">D188*INDEX(Products!$E$2:$E$49,MATCH(C188,Products!$A$2:$A$49,0))</f>
        <v>44520</v>
      </c>
      <c r="I188" s="33" t="n">
        <f aca="false">D188*INDEX(Products!$D$2:$D$49,MATCH(C188,Products!$A$2:$A$49,0))*(1+INDEX(Assumptions!$B$16:$B$20,MATCH(B188,Assumptions!$A$16:$A$20,0)))</f>
        <v>39826.32</v>
      </c>
      <c r="J188" s="33" t="n">
        <f aca="false">H188-I188</f>
        <v>4693.68</v>
      </c>
      <c r="K188" s="33" t="n">
        <f aca="false">IF(OR(E188=0,E188&gt;=7),0,D188/(7-E188)*E188*INDEX(Products!$E$2:$E$49,MATCH(C188,Products!$A$2:$A$49,0)))</f>
        <v>0</v>
      </c>
    </row>
    <row r="189" customFormat="false" ht="15" hidden="false" customHeight="false" outlineLevel="0" collapsed="false">
      <c r="A189" s="36" t="n">
        <v>46202</v>
      </c>
      <c r="B189" s="24" t="s">
        <v>61</v>
      </c>
      <c r="C189" s="24" t="s">
        <v>129</v>
      </c>
      <c r="D189" s="33" t="n">
        <v>213</v>
      </c>
      <c r="E189" s="24" t="n">
        <v>0</v>
      </c>
      <c r="F189" s="37" t="n">
        <f aca="false">DATE(YEAR(A189),MONTH(A189),1)</f>
        <v>46174</v>
      </c>
      <c r="G189" s="24" t="str">
        <f aca="false">INDEX(Products!$C$2:$C$49,MATCH(C189,Products!$A$2:$A$49,0))</f>
        <v>Grocery Staples</v>
      </c>
      <c r="H189" s="33" t="n">
        <f aca="false">D189*INDEX(Products!$E$2:$E$49,MATCH(C189,Products!$A$2:$A$49,0))</f>
        <v>44730</v>
      </c>
      <c r="I189" s="33" t="n">
        <f aca="false">D189*INDEX(Products!$D$2:$D$49,MATCH(C189,Products!$A$2:$A$49,0))*(1+INDEX(Assumptions!$B$16:$B$20,MATCH(B189,Assumptions!$A$16:$A$20,0)))</f>
        <v>40014.18</v>
      </c>
      <c r="J189" s="33" t="n">
        <f aca="false">H189-I189</f>
        <v>4715.82</v>
      </c>
      <c r="K189" s="33" t="n">
        <f aca="false">IF(OR(E189=0,E189&gt;=7),0,D189/(7-E189)*E189*INDEX(Products!$E$2:$E$49,MATCH(C189,Products!$A$2:$A$49,0)))</f>
        <v>0</v>
      </c>
    </row>
    <row r="190" customFormat="false" ht="15" hidden="false" customHeight="false" outlineLevel="0" collapsed="false">
      <c r="A190" s="36" t="n">
        <v>46209</v>
      </c>
      <c r="B190" s="24" t="s">
        <v>61</v>
      </c>
      <c r="C190" s="24" t="s">
        <v>129</v>
      </c>
      <c r="D190" s="33" t="n">
        <v>201</v>
      </c>
      <c r="E190" s="24" t="n">
        <v>0</v>
      </c>
      <c r="F190" s="37" t="n">
        <f aca="false">DATE(YEAR(A190),MONTH(A190),1)</f>
        <v>46204</v>
      </c>
      <c r="G190" s="24" t="str">
        <f aca="false">INDEX(Products!$C$2:$C$49,MATCH(C190,Products!$A$2:$A$49,0))</f>
        <v>Grocery Staples</v>
      </c>
      <c r="H190" s="33" t="n">
        <f aca="false">D190*INDEX(Products!$E$2:$E$49,MATCH(C190,Products!$A$2:$A$49,0))</f>
        <v>42210</v>
      </c>
      <c r="I190" s="33" t="n">
        <f aca="false">D190*INDEX(Products!$D$2:$D$49,MATCH(C190,Products!$A$2:$A$49,0))*(1+INDEX(Assumptions!$B$16:$B$20,MATCH(B190,Assumptions!$A$16:$A$20,0)))</f>
        <v>37759.86</v>
      </c>
      <c r="J190" s="33" t="n">
        <f aca="false">H190-I190</f>
        <v>4450.14</v>
      </c>
      <c r="K190" s="33" t="n">
        <f aca="false">IF(OR(E190=0,E190&gt;=7),0,D190/(7-E190)*E190*INDEX(Products!$E$2:$E$49,MATCH(C190,Products!$A$2:$A$49,0)))</f>
        <v>0</v>
      </c>
    </row>
    <row r="191" customFormat="false" ht="15" hidden="false" customHeight="false" outlineLevel="0" collapsed="false">
      <c r="A191" s="36" t="n">
        <v>46216</v>
      </c>
      <c r="B191" s="24" t="s">
        <v>61</v>
      </c>
      <c r="C191" s="24" t="s">
        <v>129</v>
      </c>
      <c r="D191" s="33" t="n">
        <v>215</v>
      </c>
      <c r="E191" s="24" t="n">
        <v>0</v>
      </c>
      <c r="F191" s="37" t="n">
        <f aca="false">DATE(YEAR(A191),MONTH(A191),1)</f>
        <v>46204</v>
      </c>
      <c r="G191" s="24" t="str">
        <f aca="false">INDEX(Products!$C$2:$C$49,MATCH(C191,Products!$A$2:$A$49,0))</f>
        <v>Grocery Staples</v>
      </c>
      <c r="H191" s="33" t="n">
        <f aca="false">D191*INDEX(Products!$E$2:$E$49,MATCH(C191,Products!$A$2:$A$49,0))</f>
        <v>45150</v>
      </c>
      <c r="I191" s="33" t="n">
        <f aca="false">D191*INDEX(Products!$D$2:$D$49,MATCH(C191,Products!$A$2:$A$49,0))*(1+INDEX(Assumptions!$B$16:$B$20,MATCH(B191,Assumptions!$A$16:$A$20,0)))</f>
        <v>40389.9</v>
      </c>
      <c r="J191" s="33" t="n">
        <f aca="false">H191-I191</f>
        <v>4760.1</v>
      </c>
      <c r="K191" s="33" t="n">
        <f aca="false">IF(OR(E191=0,E191&gt;=7),0,D191/(7-E191)*E191*INDEX(Products!$E$2:$E$49,MATCH(C191,Products!$A$2:$A$49,0)))</f>
        <v>0</v>
      </c>
    </row>
    <row r="192" customFormat="false" ht="15" hidden="false" customHeight="false" outlineLevel="0" collapsed="false">
      <c r="A192" s="36" t="n">
        <v>46223</v>
      </c>
      <c r="B192" s="24" t="s">
        <v>61</v>
      </c>
      <c r="C192" s="24" t="s">
        <v>129</v>
      </c>
      <c r="D192" s="33" t="n">
        <v>216</v>
      </c>
      <c r="E192" s="24" t="n">
        <v>0</v>
      </c>
      <c r="F192" s="37" t="n">
        <f aca="false">DATE(YEAR(A192),MONTH(A192),1)</f>
        <v>46204</v>
      </c>
      <c r="G192" s="24" t="str">
        <f aca="false">INDEX(Products!$C$2:$C$49,MATCH(C192,Products!$A$2:$A$49,0))</f>
        <v>Grocery Staples</v>
      </c>
      <c r="H192" s="33" t="n">
        <f aca="false">D192*INDEX(Products!$E$2:$E$49,MATCH(C192,Products!$A$2:$A$49,0))</f>
        <v>45360</v>
      </c>
      <c r="I192" s="33" t="n">
        <f aca="false">D192*INDEX(Products!$D$2:$D$49,MATCH(C192,Products!$A$2:$A$49,0))*(1+INDEX(Assumptions!$B$16:$B$20,MATCH(B192,Assumptions!$A$16:$A$20,0)))</f>
        <v>40577.76</v>
      </c>
      <c r="J192" s="33" t="n">
        <f aca="false">H192-I192</f>
        <v>4782.24</v>
      </c>
      <c r="K192" s="33" t="n">
        <f aca="false">IF(OR(E192=0,E192&gt;=7),0,D192/(7-E192)*E192*INDEX(Products!$E$2:$E$49,MATCH(C192,Products!$A$2:$A$49,0)))</f>
        <v>0</v>
      </c>
    </row>
    <row r="193" customFormat="false" ht="15" hidden="false" customHeight="false" outlineLevel="0" collapsed="false">
      <c r="A193" s="36" t="n">
        <v>46230</v>
      </c>
      <c r="B193" s="24" t="s">
        <v>61</v>
      </c>
      <c r="C193" s="24" t="s">
        <v>129</v>
      </c>
      <c r="D193" s="33" t="n">
        <v>221</v>
      </c>
      <c r="E193" s="24" t="n">
        <v>0</v>
      </c>
      <c r="F193" s="37" t="n">
        <f aca="false">DATE(YEAR(A193),MONTH(A193),1)</f>
        <v>46204</v>
      </c>
      <c r="G193" s="24" t="str">
        <f aca="false">INDEX(Products!$C$2:$C$49,MATCH(C193,Products!$A$2:$A$49,0))</f>
        <v>Grocery Staples</v>
      </c>
      <c r="H193" s="33" t="n">
        <f aca="false">D193*INDEX(Products!$E$2:$E$49,MATCH(C193,Products!$A$2:$A$49,0))</f>
        <v>46410</v>
      </c>
      <c r="I193" s="33" t="n">
        <f aca="false">D193*INDEX(Products!$D$2:$D$49,MATCH(C193,Products!$A$2:$A$49,0))*(1+INDEX(Assumptions!$B$16:$B$20,MATCH(B193,Assumptions!$A$16:$A$20,0)))</f>
        <v>41517.06</v>
      </c>
      <c r="J193" s="33" t="n">
        <f aca="false">H193-I193</f>
        <v>4892.94</v>
      </c>
      <c r="K193" s="33" t="n">
        <f aca="false">IF(OR(E193=0,E193&gt;=7),0,D193/(7-E193)*E193*INDEX(Products!$E$2:$E$49,MATCH(C193,Products!$A$2:$A$49,0)))</f>
        <v>0</v>
      </c>
    </row>
    <row r="194" customFormat="false" ht="15" hidden="false" customHeight="false" outlineLevel="0" collapsed="false">
      <c r="A194" s="36" t="n">
        <v>46237</v>
      </c>
      <c r="B194" s="24" t="s">
        <v>61</v>
      </c>
      <c r="C194" s="24" t="s">
        <v>129</v>
      </c>
      <c r="D194" s="33" t="n">
        <v>206</v>
      </c>
      <c r="E194" s="24" t="n">
        <v>0</v>
      </c>
      <c r="F194" s="37" t="n">
        <f aca="false">DATE(YEAR(A194),MONTH(A194),1)</f>
        <v>46235</v>
      </c>
      <c r="G194" s="24" t="str">
        <f aca="false">INDEX(Products!$C$2:$C$49,MATCH(C194,Products!$A$2:$A$49,0))</f>
        <v>Grocery Staples</v>
      </c>
      <c r="H194" s="33" t="n">
        <f aca="false">D194*INDEX(Products!$E$2:$E$49,MATCH(C194,Products!$A$2:$A$49,0))</f>
        <v>43260</v>
      </c>
      <c r="I194" s="33" t="n">
        <f aca="false">D194*INDEX(Products!$D$2:$D$49,MATCH(C194,Products!$A$2:$A$49,0))*(1+INDEX(Assumptions!$B$16:$B$20,MATCH(B194,Assumptions!$A$16:$A$20,0)))</f>
        <v>38699.16</v>
      </c>
      <c r="J194" s="33" t="n">
        <f aca="false">H194-I194</f>
        <v>4560.84</v>
      </c>
      <c r="K194" s="33" t="n">
        <f aca="false">IF(OR(E194=0,E194&gt;=7),0,D194/(7-E194)*E194*INDEX(Products!$E$2:$E$49,MATCH(C194,Products!$A$2:$A$49,0)))</f>
        <v>0</v>
      </c>
    </row>
    <row r="195" customFormat="false" ht="15" hidden="false" customHeight="false" outlineLevel="0" collapsed="false">
      <c r="A195" s="36" t="n">
        <v>46244</v>
      </c>
      <c r="B195" s="24" t="s">
        <v>61</v>
      </c>
      <c r="C195" s="24" t="s">
        <v>129</v>
      </c>
      <c r="D195" s="33" t="n">
        <v>185</v>
      </c>
      <c r="E195" s="24" t="n">
        <v>0</v>
      </c>
      <c r="F195" s="37" t="n">
        <f aca="false">DATE(YEAR(A195),MONTH(A195),1)</f>
        <v>46235</v>
      </c>
      <c r="G195" s="24" t="str">
        <f aca="false">INDEX(Products!$C$2:$C$49,MATCH(C195,Products!$A$2:$A$49,0))</f>
        <v>Grocery Staples</v>
      </c>
      <c r="H195" s="33" t="n">
        <f aca="false">D195*INDEX(Products!$E$2:$E$49,MATCH(C195,Products!$A$2:$A$49,0))</f>
        <v>38850</v>
      </c>
      <c r="I195" s="33" t="n">
        <f aca="false">D195*INDEX(Products!$D$2:$D$49,MATCH(C195,Products!$A$2:$A$49,0))*(1+INDEX(Assumptions!$B$16:$B$20,MATCH(B195,Assumptions!$A$16:$A$20,0)))</f>
        <v>34754.1</v>
      </c>
      <c r="J195" s="33" t="n">
        <f aca="false">H195-I195</f>
        <v>4095.9</v>
      </c>
      <c r="K195" s="33" t="n">
        <f aca="false">IF(OR(E195=0,E195&gt;=7),0,D195/(7-E195)*E195*INDEX(Products!$E$2:$E$49,MATCH(C195,Products!$A$2:$A$49,0)))</f>
        <v>0</v>
      </c>
    </row>
    <row r="196" customFormat="false" ht="15" hidden="false" customHeight="false" outlineLevel="0" collapsed="false">
      <c r="A196" s="36" t="n">
        <v>46251</v>
      </c>
      <c r="B196" s="24" t="s">
        <v>61</v>
      </c>
      <c r="C196" s="24" t="s">
        <v>129</v>
      </c>
      <c r="D196" s="33" t="n">
        <v>197</v>
      </c>
      <c r="E196" s="24" t="n">
        <v>0</v>
      </c>
      <c r="F196" s="37" t="n">
        <f aca="false">DATE(YEAR(A196),MONTH(A196),1)</f>
        <v>46235</v>
      </c>
      <c r="G196" s="24" t="str">
        <f aca="false">INDEX(Products!$C$2:$C$49,MATCH(C196,Products!$A$2:$A$49,0))</f>
        <v>Grocery Staples</v>
      </c>
      <c r="H196" s="33" t="n">
        <f aca="false">D196*INDEX(Products!$E$2:$E$49,MATCH(C196,Products!$A$2:$A$49,0))</f>
        <v>41370</v>
      </c>
      <c r="I196" s="33" t="n">
        <f aca="false">D196*INDEX(Products!$D$2:$D$49,MATCH(C196,Products!$A$2:$A$49,0))*(1+INDEX(Assumptions!$B$16:$B$20,MATCH(B196,Assumptions!$A$16:$A$20,0)))</f>
        <v>37008.42</v>
      </c>
      <c r="J196" s="33" t="n">
        <f aca="false">H196-I196</f>
        <v>4361.58</v>
      </c>
      <c r="K196" s="33" t="n">
        <f aca="false">IF(OR(E196=0,E196&gt;=7),0,D196/(7-E196)*E196*INDEX(Products!$E$2:$E$49,MATCH(C196,Products!$A$2:$A$49,0)))</f>
        <v>0</v>
      </c>
    </row>
    <row r="197" customFormat="false" ht="15" hidden="false" customHeight="false" outlineLevel="0" collapsed="false">
      <c r="A197" s="36" t="n">
        <v>46258</v>
      </c>
      <c r="B197" s="24" t="s">
        <v>61</v>
      </c>
      <c r="C197" s="24" t="s">
        <v>129</v>
      </c>
      <c r="D197" s="33" t="n">
        <v>214</v>
      </c>
      <c r="E197" s="24" t="n">
        <v>0</v>
      </c>
      <c r="F197" s="37" t="n">
        <f aca="false">DATE(YEAR(A197),MONTH(A197),1)</f>
        <v>46235</v>
      </c>
      <c r="G197" s="24" t="str">
        <f aca="false">INDEX(Products!$C$2:$C$49,MATCH(C197,Products!$A$2:$A$49,0))</f>
        <v>Grocery Staples</v>
      </c>
      <c r="H197" s="33" t="n">
        <f aca="false">D197*INDEX(Products!$E$2:$E$49,MATCH(C197,Products!$A$2:$A$49,0))</f>
        <v>44940</v>
      </c>
      <c r="I197" s="33" t="n">
        <f aca="false">D197*INDEX(Products!$D$2:$D$49,MATCH(C197,Products!$A$2:$A$49,0))*(1+INDEX(Assumptions!$B$16:$B$20,MATCH(B197,Assumptions!$A$16:$A$20,0)))</f>
        <v>40202.04</v>
      </c>
      <c r="J197" s="33" t="n">
        <f aca="false">H197-I197</f>
        <v>4737.96</v>
      </c>
      <c r="K197" s="33" t="n">
        <f aca="false">IF(OR(E197=0,E197&gt;=7),0,D197/(7-E197)*E197*INDEX(Products!$E$2:$E$49,MATCH(C197,Products!$A$2:$A$49,0)))</f>
        <v>0</v>
      </c>
    </row>
    <row r="198" customFormat="false" ht="15" hidden="false" customHeight="false" outlineLevel="0" collapsed="false">
      <c r="A198" s="36" t="n">
        <v>46265</v>
      </c>
      <c r="B198" s="24" t="s">
        <v>61</v>
      </c>
      <c r="C198" s="24" t="s">
        <v>129</v>
      </c>
      <c r="D198" s="33" t="n">
        <v>217</v>
      </c>
      <c r="E198" s="24" t="n">
        <v>0</v>
      </c>
      <c r="F198" s="37" t="n">
        <f aca="false">DATE(YEAR(A198),MONTH(A198),1)</f>
        <v>46235</v>
      </c>
      <c r="G198" s="24" t="str">
        <f aca="false">INDEX(Products!$C$2:$C$49,MATCH(C198,Products!$A$2:$A$49,0))</f>
        <v>Grocery Staples</v>
      </c>
      <c r="H198" s="33" t="n">
        <f aca="false">D198*INDEX(Products!$E$2:$E$49,MATCH(C198,Products!$A$2:$A$49,0))</f>
        <v>45570</v>
      </c>
      <c r="I198" s="33" t="n">
        <f aca="false">D198*INDEX(Products!$D$2:$D$49,MATCH(C198,Products!$A$2:$A$49,0))*(1+INDEX(Assumptions!$B$16:$B$20,MATCH(B198,Assumptions!$A$16:$A$20,0)))</f>
        <v>40765.62</v>
      </c>
      <c r="J198" s="33" t="n">
        <f aca="false">H198-I198</f>
        <v>4804.38</v>
      </c>
      <c r="K198" s="33" t="n">
        <f aca="false">IF(OR(E198=0,E198&gt;=7),0,D198/(7-E198)*E198*INDEX(Products!$E$2:$E$49,MATCH(C198,Products!$A$2:$A$49,0)))</f>
        <v>0</v>
      </c>
    </row>
    <row r="199" customFormat="false" ht="15" hidden="false" customHeight="false" outlineLevel="0" collapsed="false">
      <c r="A199" s="36" t="n">
        <v>46272</v>
      </c>
      <c r="B199" s="24" t="s">
        <v>61</v>
      </c>
      <c r="C199" s="24" t="s">
        <v>129</v>
      </c>
      <c r="D199" s="33" t="n">
        <v>184</v>
      </c>
      <c r="E199" s="24" t="n">
        <v>0</v>
      </c>
      <c r="F199" s="37" t="n">
        <f aca="false">DATE(YEAR(A199),MONTH(A199),1)</f>
        <v>46266</v>
      </c>
      <c r="G199" s="24" t="str">
        <f aca="false">INDEX(Products!$C$2:$C$49,MATCH(C199,Products!$A$2:$A$49,0))</f>
        <v>Grocery Staples</v>
      </c>
      <c r="H199" s="33" t="n">
        <f aca="false">D199*INDEX(Products!$E$2:$E$49,MATCH(C199,Products!$A$2:$A$49,0))</f>
        <v>38640</v>
      </c>
      <c r="I199" s="33" t="n">
        <f aca="false">D199*INDEX(Products!$D$2:$D$49,MATCH(C199,Products!$A$2:$A$49,0))*(1+INDEX(Assumptions!$B$16:$B$20,MATCH(B199,Assumptions!$A$16:$A$20,0)))</f>
        <v>34566.24</v>
      </c>
      <c r="J199" s="33" t="n">
        <f aca="false">H199-I199</f>
        <v>4073.76</v>
      </c>
      <c r="K199" s="33" t="n">
        <f aca="false">IF(OR(E199=0,E199&gt;=7),0,D199/(7-E199)*E199*INDEX(Products!$E$2:$E$49,MATCH(C199,Products!$A$2:$A$49,0)))</f>
        <v>0</v>
      </c>
    </row>
    <row r="200" customFormat="false" ht="15" hidden="false" customHeight="false" outlineLevel="0" collapsed="false">
      <c r="A200" s="36" t="n">
        <v>46279</v>
      </c>
      <c r="B200" s="24" t="s">
        <v>61</v>
      </c>
      <c r="C200" s="24" t="s">
        <v>129</v>
      </c>
      <c r="D200" s="33" t="n">
        <v>162</v>
      </c>
      <c r="E200" s="24" t="n">
        <v>2</v>
      </c>
      <c r="F200" s="37" t="n">
        <f aca="false">DATE(YEAR(A200),MONTH(A200),1)</f>
        <v>46266</v>
      </c>
      <c r="G200" s="24" t="str">
        <f aca="false">INDEX(Products!$C$2:$C$49,MATCH(C200,Products!$A$2:$A$49,0))</f>
        <v>Grocery Staples</v>
      </c>
      <c r="H200" s="33" t="n">
        <f aca="false">D200*INDEX(Products!$E$2:$E$49,MATCH(C200,Products!$A$2:$A$49,0))</f>
        <v>34020</v>
      </c>
      <c r="I200" s="33" t="n">
        <f aca="false">D200*INDEX(Products!$D$2:$D$49,MATCH(C200,Products!$A$2:$A$49,0))*(1+INDEX(Assumptions!$B$16:$B$20,MATCH(B200,Assumptions!$A$16:$A$20,0)))</f>
        <v>30433.32</v>
      </c>
      <c r="J200" s="33" t="n">
        <f aca="false">H200-I200</f>
        <v>3586.68</v>
      </c>
      <c r="K200" s="33" t="n">
        <f aca="false">IF(OR(E200=0,E200&gt;=7),0,D200/(7-E200)*E200*INDEX(Products!$E$2:$E$49,MATCH(C200,Products!$A$2:$A$49,0)))</f>
        <v>13608</v>
      </c>
    </row>
    <row r="201" customFormat="false" ht="15" hidden="false" customHeight="false" outlineLevel="0" collapsed="false">
      <c r="A201" s="36" t="n">
        <v>46286</v>
      </c>
      <c r="B201" s="24" t="s">
        <v>61</v>
      </c>
      <c r="C201" s="24" t="s">
        <v>129</v>
      </c>
      <c r="D201" s="33" t="n">
        <v>259</v>
      </c>
      <c r="E201" s="24" t="n">
        <v>0</v>
      </c>
      <c r="F201" s="37" t="n">
        <f aca="false">DATE(YEAR(A201),MONTH(A201),1)</f>
        <v>46266</v>
      </c>
      <c r="G201" s="24" t="str">
        <f aca="false">INDEX(Products!$C$2:$C$49,MATCH(C201,Products!$A$2:$A$49,0))</f>
        <v>Grocery Staples</v>
      </c>
      <c r="H201" s="33" t="n">
        <f aca="false">D201*INDEX(Products!$E$2:$E$49,MATCH(C201,Products!$A$2:$A$49,0))</f>
        <v>54390</v>
      </c>
      <c r="I201" s="33" t="n">
        <f aca="false">D201*INDEX(Products!$D$2:$D$49,MATCH(C201,Products!$A$2:$A$49,0))*(1+INDEX(Assumptions!$B$16:$B$20,MATCH(B201,Assumptions!$A$16:$A$20,0)))</f>
        <v>48655.74</v>
      </c>
      <c r="J201" s="33" t="n">
        <f aca="false">H201-I201</f>
        <v>5734.26</v>
      </c>
      <c r="K201" s="33" t="n">
        <f aca="false">IF(OR(E201=0,E201&gt;=7),0,D201/(7-E201)*E201*INDEX(Products!$E$2:$E$49,MATCH(C201,Products!$A$2:$A$49,0)))</f>
        <v>0</v>
      </c>
    </row>
    <row r="202" customFormat="false" ht="15" hidden="false" customHeight="false" outlineLevel="0" collapsed="false">
      <c r="A202" s="36" t="n">
        <v>46118</v>
      </c>
      <c r="B202" s="24" t="s">
        <v>61</v>
      </c>
      <c r="C202" s="24" t="s">
        <v>131</v>
      </c>
      <c r="D202" s="33" t="n">
        <v>64</v>
      </c>
      <c r="E202" s="24" t="n">
        <v>0</v>
      </c>
      <c r="F202" s="37" t="n">
        <f aca="false">DATE(YEAR(A202),MONTH(A202),1)</f>
        <v>46113</v>
      </c>
      <c r="G202" s="24" t="str">
        <f aca="false">INDEX(Products!$C$2:$C$49,MATCH(C202,Products!$A$2:$A$49,0))</f>
        <v>Dairy &amp; Eggs</v>
      </c>
      <c r="H202" s="33" t="n">
        <f aca="false">D202*INDEX(Products!$E$2:$E$49,MATCH(C202,Products!$A$2:$A$49,0))</f>
        <v>4160</v>
      </c>
      <c r="I202" s="33" t="n">
        <f aca="false">D202*INDEX(Products!$D$2:$D$49,MATCH(C202,Products!$A$2:$A$49,0))*(1+INDEX(Assumptions!$B$16:$B$20,MATCH(B202,Assumptions!$A$16:$A$20,0)))</f>
        <v>3296.64</v>
      </c>
      <c r="J202" s="33" t="n">
        <f aca="false">H202-I202</f>
        <v>863.36</v>
      </c>
      <c r="K202" s="33" t="n">
        <f aca="false">IF(OR(E202=0,E202&gt;=7),0,D202/(7-E202)*E202*INDEX(Products!$E$2:$E$49,MATCH(C202,Products!$A$2:$A$49,0)))</f>
        <v>0</v>
      </c>
    </row>
    <row r="203" customFormat="false" ht="15" hidden="false" customHeight="false" outlineLevel="0" collapsed="false">
      <c r="A203" s="36" t="n">
        <v>46125</v>
      </c>
      <c r="B203" s="24" t="s">
        <v>61</v>
      </c>
      <c r="C203" s="24" t="s">
        <v>131</v>
      </c>
      <c r="D203" s="33" t="n">
        <v>41</v>
      </c>
      <c r="E203" s="24" t="n">
        <v>0</v>
      </c>
      <c r="F203" s="37" t="n">
        <f aca="false">DATE(YEAR(A203),MONTH(A203),1)</f>
        <v>46113</v>
      </c>
      <c r="G203" s="24" t="str">
        <f aca="false">INDEX(Products!$C$2:$C$49,MATCH(C203,Products!$A$2:$A$49,0))</f>
        <v>Dairy &amp; Eggs</v>
      </c>
      <c r="H203" s="33" t="n">
        <f aca="false">D203*INDEX(Products!$E$2:$E$49,MATCH(C203,Products!$A$2:$A$49,0))</f>
        <v>2665</v>
      </c>
      <c r="I203" s="33" t="n">
        <f aca="false">D203*INDEX(Products!$D$2:$D$49,MATCH(C203,Products!$A$2:$A$49,0))*(1+INDEX(Assumptions!$B$16:$B$20,MATCH(B203,Assumptions!$A$16:$A$20,0)))</f>
        <v>2111.91</v>
      </c>
      <c r="J203" s="33" t="n">
        <f aca="false">H203-I203</f>
        <v>553.09</v>
      </c>
      <c r="K203" s="33" t="n">
        <f aca="false">IF(OR(E203=0,E203&gt;=7),0,D203/(7-E203)*E203*INDEX(Products!$E$2:$E$49,MATCH(C203,Products!$A$2:$A$49,0)))</f>
        <v>0</v>
      </c>
    </row>
    <row r="204" customFormat="false" ht="15" hidden="false" customHeight="false" outlineLevel="0" collapsed="false">
      <c r="A204" s="36" t="n">
        <v>46132</v>
      </c>
      <c r="B204" s="24" t="s">
        <v>61</v>
      </c>
      <c r="C204" s="24" t="s">
        <v>131</v>
      </c>
      <c r="D204" s="33" t="n">
        <v>50</v>
      </c>
      <c r="E204" s="24" t="n">
        <v>0</v>
      </c>
      <c r="F204" s="37" t="n">
        <f aca="false">DATE(YEAR(A204),MONTH(A204),1)</f>
        <v>46113</v>
      </c>
      <c r="G204" s="24" t="str">
        <f aca="false">INDEX(Products!$C$2:$C$49,MATCH(C204,Products!$A$2:$A$49,0))</f>
        <v>Dairy &amp; Eggs</v>
      </c>
      <c r="H204" s="33" t="n">
        <f aca="false">D204*INDEX(Products!$E$2:$E$49,MATCH(C204,Products!$A$2:$A$49,0))</f>
        <v>3250</v>
      </c>
      <c r="I204" s="33" t="n">
        <f aca="false">D204*INDEX(Products!$D$2:$D$49,MATCH(C204,Products!$A$2:$A$49,0))*(1+INDEX(Assumptions!$B$16:$B$20,MATCH(B204,Assumptions!$A$16:$A$20,0)))</f>
        <v>2575.5</v>
      </c>
      <c r="J204" s="33" t="n">
        <f aca="false">H204-I204</f>
        <v>674.5</v>
      </c>
      <c r="K204" s="33" t="n">
        <f aca="false">IF(OR(E204=0,E204&gt;=7),0,D204/(7-E204)*E204*INDEX(Products!$E$2:$E$49,MATCH(C204,Products!$A$2:$A$49,0)))</f>
        <v>0</v>
      </c>
    </row>
    <row r="205" customFormat="false" ht="15" hidden="false" customHeight="false" outlineLevel="0" collapsed="false">
      <c r="A205" s="36" t="n">
        <v>46139</v>
      </c>
      <c r="B205" s="24" t="s">
        <v>61</v>
      </c>
      <c r="C205" s="24" t="s">
        <v>131</v>
      </c>
      <c r="D205" s="33" t="n">
        <v>57</v>
      </c>
      <c r="E205" s="24" t="n">
        <v>0</v>
      </c>
      <c r="F205" s="37" t="n">
        <f aca="false">DATE(YEAR(A205),MONTH(A205),1)</f>
        <v>46113</v>
      </c>
      <c r="G205" s="24" t="str">
        <f aca="false">INDEX(Products!$C$2:$C$49,MATCH(C205,Products!$A$2:$A$49,0))</f>
        <v>Dairy &amp; Eggs</v>
      </c>
      <c r="H205" s="33" t="n">
        <f aca="false">D205*INDEX(Products!$E$2:$E$49,MATCH(C205,Products!$A$2:$A$49,0))</f>
        <v>3705</v>
      </c>
      <c r="I205" s="33" t="n">
        <f aca="false">D205*INDEX(Products!$D$2:$D$49,MATCH(C205,Products!$A$2:$A$49,0))*(1+INDEX(Assumptions!$B$16:$B$20,MATCH(B205,Assumptions!$A$16:$A$20,0)))</f>
        <v>2936.07</v>
      </c>
      <c r="J205" s="33" t="n">
        <f aca="false">H205-I205</f>
        <v>768.93</v>
      </c>
      <c r="K205" s="33" t="n">
        <f aca="false">IF(OR(E205=0,E205&gt;=7),0,D205/(7-E205)*E205*INDEX(Products!$E$2:$E$49,MATCH(C205,Products!$A$2:$A$49,0)))</f>
        <v>0</v>
      </c>
    </row>
    <row r="206" customFormat="false" ht="15" hidden="false" customHeight="false" outlineLevel="0" collapsed="false">
      <c r="A206" s="36" t="n">
        <v>46146</v>
      </c>
      <c r="B206" s="24" t="s">
        <v>61</v>
      </c>
      <c r="C206" s="24" t="s">
        <v>131</v>
      </c>
      <c r="D206" s="33" t="n">
        <v>48</v>
      </c>
      <c r="E206" s="24" t="n">
        <v>0</v>
      </c>
      <c r="F206" s="37" t="n">
        <f aca="false">DATE(YEAR(A206),MONTH(A206),1)</f>
        <v>46143</v>
      </c>
      <c r="G206" s="24" t="str">
        <f aca="false">INDEX(Products!$C$2:$C$49,MATCH(C206,Products!$A$2:$A$49,0))</f>
        <v>Dairy &amp; Eggs</v>
      </c>
      <c r="H206" s="33" t="n">
        <f aca="false">D206*INDEX(Products!$E$2:$E$49,MATCH(C206,Products!$A$2:$A$49,0))</f>
        <v>3120</v>
      </c>
      <c r="I206" s="33" t="n">
        <f aca="false">D206*INDEX(Products!$D$2:$D$49,MATCH(C206,Products!$A$2:$A$49,0))*(1+INDEX(Assumptions!$B$16:$B$20,MATCH(B206,Assumptions!$A$16:$A$20,0)))</f>
        <v>2472.48</v>
      </c>
      <c r="J206" s="33" t="n">
        <f aca="false">H206-I206</f>
        <v>647.52</v>
      </c>
      <c r="K206" s="33" t="n">
        <f aca="false">IF(OR(E206=0,E206&gt;=7),0,D206/(7-E206)*E206*INDEX(Products!$E$2:$E$49,MATCH(C206,Products!$A$2:$A$49,0)))</f>
        <v>0</v>
      </c>
    </row>
    <row r="207" customFormat="false" ht="15" hidden="false" customHeight="false" outlineLevel="0" collapsed="false">
      <c r="A207" s="36" t="n">
        <v>46153</v>
      </c>
      <c r="B207" s="24" t="s">
        <v>61</v>
      </c>
      <c r="C207" s="24" t="s">
        <v>131</v>
      </c>
      <c r="D207" s="33" t="n">
        <v>52</v>
      </c>
      <c r="E207" s="24" t="n">
        <v>0</v>
      </c>
      <c r="F207" s="37" t="n">
        <f aca="false">DATE(YEAR(A207),MONTH(A207),1)</f>
        <v>46143</v>
      </c>
      <c r="G207" s="24" t="str">
        <f aca="false">INDEX(Products!$C$2:$C$49,MATCH(C207,Products!$A$2:$A$49,0))</f>
        <v>Dairy &amp; Eggs</v>
      </c>
      <c r="H207" s="33" t="n">
        <f aca="false">D207*INDEX(Products!$E$2:$E$49,MATCH(C207,Products!$A$2:$A$49,0))</f>
        <v>3380</v>
      </c>
      <c r="I207" s="33" t="n">
        <f aca="false">D207*INDEX(Products!$D$2:$D$49,MATCH(C207,Products!$A$2:$A$49,0))*(1+INDEX(Assumptions!$B$16:$B$20,MATCH(B207,Assumptions!$A$16:$A$20,0)))</f>
        <v>2678.52</v>
      </c>
      <c r="J207" s="33" t="n">
        <f aca="false">H207-I207</f>
        <v>701.48</v>
      </c>
      <c r="K207" s="33" t="n">
        <f aca="false">IF(OR(E207=0,E207&gt;=7),0,D207/(7-E207)*E207*INDEX(Products!$E$2:$E$49,MATCH(C207,Products!$A$2:$A$49,0)))</f>
        <v>0</v>
      </c>
    </row>
    <row r="208" customFormat="false" ht="15" hidden="false" customHeight="false" outlineLevel="0" collapsed="false">
      <c r="A208" s="36" t="n">
        <v>46160</v>
      </c>
      <c r="B208" s="24" t="s">
        <v>61</v>
      </c>
      <c r="C208" s="24" t="s">
        <v>131</v>
      </c>
      <c r="D208" s="33" t="n">
        <v>67</v>
      </c>
      <c r="E208" s="24" t="n">
        <v>0</v>
      </c>
      <c r="F208" s="37" t="n">
        <f aca="false">DATE(YEAR(A208),MONTH(A208),1)</f>
        <v>46143</v>
      </c>
      <c r="G208" s="24" t="str">
        <f aca="false">INDEX(Products!$C$2:$C$49,MATCH(C208,Products!$A$2:$A$49,0))</f>
        <v>Dairy &amp; Eggs</v>
      </c>
      <c r="H208" s="33" t="n">
        <f aca="false">D208*INDEX(Products!$E$2:$E$49,MATCH(C208,Products!$A$2:$A$49,0))</f>
        <v>4355</v>
      </c>
      <c r="I208" s="33" t="n">
        <f aca="false">D208*INDEX(Products!$D$2:$D$49,MATCH(C208,Products!$A$2:$A$49,0))*(1+INDEX(Assumptions!$B$16:$B$20,MATCH(B208,Assumptions!$A$16:$A$20,0)))</f>
        <v>3451.17</v>
      </c>
      <c r="J208" s="33" t="n">
        <f aca="false">H208-I208</f>
        <v>903.83</v>
      </c>
      <c r="K208" s="33" t="n">
        <f aca="false">IF(OR(E208=0,E208&gt;=7),0,D208/(7-E208)*E208*INDEX(Products!$E$2:$E$49,MATCH(C208,Products!$A$2:$A$49,0)))</f>
        <v>0</v>
      </c>
    </row>
    <row r="209" customFormat="false" ht="15" hidden="false" customHeight="false" outlineLevel="0" collapsed="false">
      <c r="A209" s="36" t="n">
        <v>46167</v>
      </c>
      <c r="B209" s="24" t="s">
        <v>61</v>
      </c>
      <c r="C209" s="24" t="s">
        <v>131</v>
      </c>
      <c r="D209" s="33" t="n">
        <v>48</v>
      </c>
      <c r="E209" s="24" t="n">
        <v>0</v>
      </c>
      <c r="F209" s="37" t="n">
        <f aca="false">DATE(YEAR(A209),MONTH(A209),1)</f>
        <v>46143</v>
      </c>
      <c r="G209" s="24" t="str">
        <f aca="false">INDEX(Products!$C$2:$C$49,MATCH(C209,Products!$A$2:$A$49,0))</f>
        <v>Dairy &amp; Eggs</v>
      </c>
      <c r="H209" s="33" t="n">
        <f aca="false">D209*INDEX(Products!$E$2:$E$49,MATCH(C209,Products!$A$2:$A$49,0))</f>
        <v>3120</v>
      </c>
      <c r="I209" s="33" t="n">
        <f aca="false">D209*INDEX(Products!$D$2:$D$49,MATCH(C209,Products!$A$2:$A$49,0))*(1+INDEX(Assumptions!$B$16:$B$20,MATCH(B209,Assumptions!$A$16:$A$20,0)))</f>
        <v>2472.48</v>
      </c>
      <c r="J209" s="33" t="n">
        <f aca="false">H209-I209</f>
        <v>647.52</v>
      </c>
      <c r="K209" s="33" t="n">
        <f aca="false">IF(OR(E209=0,E209&gt;=7),0,D209/(7-E209)*E209*INDEX(Products!$E$2:$E$49,MATCH(C209,Products!$A$2:$A$49,0)))</f>
        <v>0</v>
      </c>
    </row>
    <row r="210" customFormat="false" ht="15" hidden="false" customHeight="false" outlineLevel="0" collapsed="false">
      <c r="A210" s="36" t="n">
        <v>46174</v>
      </c>
      <c r="B210" s="24" t="s">
        <v>61</v>
      </c>
      <c r="C210" s="24" t="s">
        <v>131</v>
      </c>
      <c r="D210" s="33" t="n">
        <v>45</v>
      </c>
      <c r="E210" s="24" t="n">
        <v>0</v>
      </c>
      <c r="F210" s="37" t="n">
        <f aca="false">DATE(YEAR(A210),MONTH(A210),1)</f>
        <v>46174</v>
      </c>
      <c r="G210" s="24" t="str">
        <f aca="false">INDEX(Products!$C$2:$C$49,MATCH(C210,Products!$A$2:$A$49,0))</f>
        <v>Dairy &amp; Eggs</v>
      </c>
      <c r="H210" s="33" t="n">
        <f aca="false">D210*INDEX(Products!$E$2:$E$49,MATCH(C210,Products!$A$2:$A$49,0))</f>
        <v>2925</v>
      </c>
      <c r="I210" s="33" t="n">
        <f aca="false">D210*INDEX(Products!$D$2:$D$49,MATCH(C210,Products!$A$2:$A$49,0))*(1+INDEX(Assumptions!$B$16:$B$20,MATCH(B210,Assumptions!$A$16:$A$20,0)))</f>
        <v>2317.95</v>
      </c>
      <c r="J210" s="33" t="n">
        <f aca="false">H210-I210</f>
        <v>607.05</v>
      </c>
      <c r="K210" s="33" t="n">
        <f aca="false">IF(OR(E210=0,E210&gt;=7),0,D210/(7-E210)*E210*INDEX(Products!$E$2:$E$49,MATCH(C210,Products!$A$2:$A$49,0)))</f>
        <v>0</v>
      </c>
    </row>
    <row r="211" customFormat="false" ht="15" hidden="false" customHeight="false" outlineLevel="0" collapsed="false">
      <c r="A211" s="36" t="n">
        <v>46181</v>
      </c>
      <c r="B211" s="24" t="s">
        <v>61</v>
      </c>
      <c r="C211" s="24" t="s">
        <v>131</v>
      </c>
      <c r="D211" s="33" t="n">
        <v>46</v>
      </c>
      <c r="E211" s="24" t="n">
        <v>0</v>
      </c>
      <c r="F211" s="37" t="n">
        <f aca="false">DATE(YEAR(A211),MONTH(A211),1)</f>
        <v>46174</v>
      </c>
      <c r="G211" s="24" t="str">
        <f aca="false">INDEX(Products!$C$2:$C$49,MATCH(C211,Products!$A$2:$A$49,0))</f>
        <v>Dairy &amp; Eggs</v>
      </c>
      <c r="H211" s="33" t="n">
        <f aca="false">D211*INDEX(Products!$E$2:$E$49,MATCH(C211,Products!$A$2:$A$49,0))</f>
        <v>2990</v>
      </c>
      <c r="I211" s="33" t="n">
        <f aca="false">D211*INDEX(Products!$D$2:$D$49,MATCH(C211,Products!$A$2:$A$49,0))*(1+INDEX(Assumptions!$B$16:$B$20,MATCH(B211,Assumptions!$A$16:$A$20,0)))</f>
        <v>2369.46</v>
      </c>
      <c r="J211" s="33" t="n">
        <f aca="false">H211-I211</f>
        <v>620.54</v>
      </c>
      <c r="K211" s="33" t="n">
        <f aca="false">IF(OR(E211=0,E211&gt;=7),0,D211/(7-E211)*E211*INDEX(Products!$E$2:$E$49,MATCH(C211,Products!$A$2:$A$49,0)))</f>
        <v>0</v>
      </c>
    </row>
    <row r="212" customFormat="false" ht="15" hidden="false" customHeight="false" outlineLevel="0" collapsed="false">
      <c r="A212" s="36" t="n">
        <v>46188</v>
      </c>
      <c r="B212" s="24" t="s">
        <v>61</v>
      </c>
      <c r="C212" s="24" t="s">
        <v>131</v>
      </c>
      <c r="D212" s="33" t="n">
        <v>47</v>
      </c>
      <c r="E212" s="24" t="n">
        <v>0</v>
      </c>
      <c r="F212" s="37" t="n">
        <f aca="false">DATE(YEAR(A212),MONTH(A212),1)</f>
        <v>46174</v>
      </c>
      <c r="G212" s="24" t="str">
        <f aca="false">INDEX(Products!$C$2:$C$49,MATCH(C212,Products!$A$2:$A$49,0))</f>
        <v>Dairy &amp; Eggs</v>
      </c>
      <c r="H212" s="33" t="n">
        <f aca="false">D212*INDEX(Products!$E$2:$E$49,MATCH(C212,Products!$A$2:$A$49,0))</f>
        <v>3055</v>
      </c>
      <c r="I212" s="33" t="n">
        <f aca="false">D212*INDEX(Products!$D$2:$D$49,MATCH(C212,Products!$A$2:$A$49,0))*(1+INDEX(Assumptions!$B$16:$B$20,MATCH(B212,Assumptions!$A$16:$A$20,0)))</f>
        <v>2420.97</v>
      </c>
      <c r="J212" s="33" t="n">
        <f aca="false">H212-I212</f>
        <v>634.03</v>
      </c>
      <c r="K212" s="33" t="n">
        <f aca="false">IF(OR(E212=0,E212&gt;=7),0,D212/(7-E212)*E212*INDEX(Products!$E$2:$E$49,MATCH(C212,Products!$A$2:$A$49,0)))</f>
        <v>0</v>
      </c>
    </row>
    <row r="213" customFormat="false" ht="15" hidden="false" customHeight="false" outlineLevel="0" collapsed="false">
      <c r="A213" s="36" t="n">
        <v>46195</v>
      </c>
      <c r="B213" s="24" t="s">
        <v>61</v>
      </c>
      <c r="C213" s="24" t="s">
        <v>131</v>
      </c>
      <c r="D213" s="33" t="n">
        <v>52</v>
      </c>
      <c r="E213" s="24" t="n">
        <v>0</v>
      </c>
      <c r="F213" s="37" t="n">
        <f aca="false">DATE(YEAR(A213),MONTH(A213),1)</f>
        <v>46174</v>
      </c>
      <c r="G213" s="24" t="str">
        <f aca="false">INDEX(Products!$C$2:$C$49,MATCH(C213,Products!$A$2:$A$49,0))</f>
        <v>Dairy &amp; Eggs</v>
      </c>
      <c r="H213" s="33" t="n">
        <f aca="false">D213*INDEX(Products!$E$2:$E$49,MATCH(C213,Products!$A$2:$A$49,0))</f>
        <v>3380</v>
      </c>
      <c r="I213" s="33" t="n">
        <f aca="false">D213*INDEX(Products!$D$2:$D$49,MATCH(C213,Products!$A$2:$A$49,0))*(1+INDEX(Assumptions!$B$16:$B$20,MATCH(B213,Assumptions!$A$16:$A$20,0)))</f>
        <v>2678.52</v>
      </c>
      <c r="J213" s="33" t="n">
        <f aca="false">H213-I213</f>
        <v>701.48</v>
      </c>
      <c r="K213" s="33" t="n">
        <f aca="false">IF(OR(E213=0,E213&gt;=7),0,D213/(7-E213)*E213*INDEX(Products!$E$2:$E$49,MATCH(C213,Products!$A$2:$A$49,0)))</f>
        <v>0</v>
      </c>
    </row>
    <row r="214" customFormat="false" ht="15" hidden="false" customHeight="false" outlineLevel="0" collapsed="false">
      <c r="A214" s="36" t="n">
        <v>46202</v>
      </c>
      <c r="B214" s="24" t="s">
        <v>61</v>
      </c>
      <c r="C214" s="24" t="s">
        <v>131</v>
      </c>
      <c r="D214" s="33" t="n">
        <v>44</v>
      </c>
      <c r="E214" s="24" t="n">
        <v>0</v>
      </c>
      <c r="F214" s="37" t="n">
        <f aca="false">DATE(YEAR(A214),MONTH(A214),1)</f>
        <v>46174</v>
      </c>
      <c r="G214" s="24" t="str">
        <f aca="false">INDEX(Products!$C$2:$C$49,MATCH(C214,Products!$A$2:$A$49,0))</f>
        <v>Dairy &amp; Eggs</v>
      </c>
      <c r="H214" s="33" t="n">
        <f aca="false">D214*INDEX(Products!$E$2:$E$49,MATCH(C214,Products!$A$2:$A$49,0))</f>
        <v>2860</v>
      </c>
      <c r="I214" s="33" t="n">
        <f aca="false">D214*INDEX(Products!$D$2:$D$49,MATCH(C214,Products!$A$2:$A$49,0))*(1+INDEX(Assumptions!$B$16:$B$20,MATCH(B214,Assumptions!$A$16:$A$20,0)))</f>
        <v>2266.44</v>
      </c>
      <c r="J214" s="33" t="n">
        <f aca="false">H214-I214</f>
        <v>593.56</v>
      </c>
      <c r="K214" s="33" t="n">
        <f aca="false">IF(OR(E214=0,E214&gt;=7),0,D214/(7-E214)*E214*INDEX(Products!$E$2:$E$49,MATCH(C214,Products!$A$2:$A$49,0)))</f>
        <v>0</v>
      </c>
    </row>
    <row r="215" customFormat="false" ht="15" hidden="false" customHeight="false" outlineLevel="0" collapsed="false">
      <c r="A215" s="36" t="n">
        <v>46209</v>
      </c>
      <c r="B215" s="24" t="s">
        <v>61</v>
      </c>
      <c r="C215" s="24" t="s">
        <v>131</v>
      </c>
      <c r="D215" s="33" t="n">
        <v>41</v>
      </c>
      <c r="E215" s="24" t="n">
        <v>0</v>
      </c>
      <c r="F215" s="37" t="n">
        <f aca="false">DATE(YEAR(A215),MONTH(A215),1)</f>
        <v>46204</v>
      </c>
      <c r="G215" s="24" t="str">
        <f aca="false">INDEX(Products!$C$2:$C$49,MATCH(C215,Products!$A$2:$A$49,0))</f>
        <v>Dairy &amp; Eggs</v>
      </c>
      <c r="H215" s="33" t="n">
        <f aca="false">D215*INDEX(Products!$E$2:$E$49,MATCH(C215,Products!$A$2:$A$49,0))</f>
        <v>2665</v>
      </c>
      <c r="I215" s="33" t="n">
        <f aca="false">D215*INDEX(Products!$D$2:$D$49,MATCH(C215,Products!$A$2:$A$49,0))*(1+INDEX(Assumptions!$B$16:$B$20,MATCH(B215,Assumptions!$A$16:$A$20,0)))</f>
        <v>2111.91</v>
      </c>
      <c r="J215" s="33" t="n">
        <f aca="false">H215-I215</f>
        <v>553.09</v>
      </c>
      <c r="K215" s="33" t="n">
        <f aca="false">IF(OR(E215=0,E215&gt;=7),0,D215/(7-E215)*E215*INDEX(Products!$E$2:$E$49,MATCH(C215,Products!$A$2:$A$49,0)))</f>
        <v>0</v>
      </c>
    </row>
    <row r="216" customFormat="false" ht="15" hidden="false" customHeight="false" outlineLevel="0" collapsed="false">
      <c r="A216" s="36" t="n">
        <v>46216</v>
      </c>
      <c r="B216" s="24" t="s">
        <v>61</v>
      </c>
      <c r="C216" s="24" t="s">
        <v>131</v>
      </c>
      <c r="D216" s="33" t="n">
        <v>48</v>
      </c>
      <c r="E216" s="24" t="n">
        <v>0</v>
      </c>
      <c r="F216" s="37" t="n">
        <f aca="false">DATE(YEAR(A216),MONTH(A216),1)</f>
        <v>46204</v>
      </c>
      <c r="G216" s="24" t="str">
        <f aca="false">INDEX(Products!$C$2:$C$49,MATCH(C216,Products!$A$2:$A$49,0))</f>
        <v>Dairy &amp; Eggs</v>
      </c>
      <c r="H216" s="33" t="n">
        <f aca="false">D216*INDEX(Products!$E$2:$E$49,MATCH(C216,Products!$A$2:$A$49,0))</f>
        <v>3120</v>
      </c>
      <c r="I216" s="33" t="n">
        <f aca="false">D216*INDEX(Products!$D$2:$D$49,MATCH(C216,Products!$A$2:$A$49,0))*(1+INDEX(Assumptions!$B$16:$B$20,MATCH(B216,Assumptions!$A$16:$A$20,0)))</f>
        <v>2472.48</v>
      </c>
      <c r="J216" s="33" t="n">
        <f aca="false">H216-I216</f>
        <v>647.52</v>
      </c>
      <c r="K216" s="33" t="n">
        <f aca="false">IF(OR(E216=0,E216&gt;=7),0,D216/(7-E216)*E216*INDEX(Products!$E$2:$E$49,MATCH(C216,Products!$A$2:$A$49,0)))</f>
        <v>0</v>
      </c>
    </row>
    <row r="217" customFormat="false" ht="15" hidden="false" customHeight="false" outlineLevel="0" collapsed="false">
      <c r="A217" s="36" t="n">
        <v>46223</v>
      </c>
      <c r="B217" s="24" t="s">
        <v>61</v>
      </c>
      <c r="C217" s="24" t="s">
        <v>131</v>
      </c>
      <c r="D217" s="33" t="n">
        <v>46</v>
      </c>
      <c r="E217" s="24" t="n">
        <v>0</v>
      </c>
      <c r="F217" s="37" t="n">
        <f aca="false">DATE(YEAR(A217),MONTH(A217),1)</f>
        <v>46204</v>
      </c>
      <c r="G217" s="24" t="str">
        <f aca="false">INDEX(Products!$C$2:$C$49,MATCH(C217,Products!$A$2:$A$49,0))</f>
        <v>Dairy &amp; Eggs</v>
      </c>
      <c r="H217" s="33" t="n">
        <f aca="false">D217*INDEX(Products!$E$2:$E$49,MATCH(C217,Products!$A$2:$A$49,0))</f>
        <v>2990</v>
      </c>
      <c r="I217" s="33" t="n">
        <f aca="false">D217*INDEX(Products!$D$2:$D$49,MATCH(C217,Products!$A$2:$A$49,0))*(1+INDEX(Assumptions!$B$16:$B$20,MATCH(B217,Assumptions!$A$16:$A$20,0)))</f>
        <v>2369.46</v>
      </c>
      <c r="J217" s="33" t="n">
        <f aca="false">H217-I217</f>
        <v>620.54</v>
      </c>
      <c r="K217" s="33" t="n">
        <f aca="false">IF(OR(E217=0,E217&gt;=7),0,D217/(7-E217)*E217*INDEX(Products!$E$2:$E$49,MATCH(C217,Products!$A$2:$A$49,0)))</f>
        <v>0</v>
      </c>
    </row>
    <row r="218" customFormat="false" ht="15" hidden="false" customHeight="false" outlineLevel="0" collapsed="false">
      <c r="A218" s="36" t="n">
        <v>46230</v>
      </c>
      <c r="B218" s="24" t="s">
        <v>61</v>
      </c>
      <c r="C218" s="24" t="s">
        <v>131</v>
      </c>
      <c r="D218" s="33" t="n">
        <v>50</v>
      </c>
      <c r="E218" s="24" t="n">
        <v>0</v>
      </c>
      <c r="F218" s="37" t="n">
        <f aca="false">DATE(YEAR(A218),MONTH(A218),1)</f>
        <v>46204</v>
      </c>
      <c r="G218" s="24" t="str">
        <f aca="false">INDEX(Products!$C$2:$C$49,MATCH(C218,Products!$A$2:$A$49,0))</f>
        <v>Dairy &amp; Eggs</v>
      </c>
      <c r="H218" s="33" t="n">
        <f aca="false">D218*INDEX(Products!$E$2:$E$49,MATCH(C218,Products!$A$2:$A$49,0))</f>
        <v>3250</v>
      </c>
      <c r="I218" s="33" t="n">
        <f aca="false">D218*INDEX(Products!$D$2:$D$49,MATCH(C218,Products!$A$2:$A$49,0))*(1+INDEX(Assumptions!$B$16:$B$20,MATCH(B218,Assumptions!$A$16:$A$20,0)))</f>
        <v>2575.5</v>
      </c>
      <c r="J218" s="33" t="n">
        <f aca="false">H218-I218</f>
        <v>674.5</v>
      </c>
      <c r="K218" s="33" t="n">
        <f aca="false">IF(OR(E218=0,E218&gt;=7),0,D218/(7-E218)*E218*INDEX(Products!$E$2:$E$49,MATCH(C218,Products!$A$2:$A$49,0)))</f>
        <v>0</v>
      </c>
    </row>
    <row r="219" customFormat="false" ht="15" hidden="false" customHeight="false" outlineLevel="0" collapsed="false">
      <c r="A219" s="36" t="n">
        <v>46237</v>
      </c>
      <c r="B219" s="24" t="s">
        <v>61</v>
      </c>
      <c r="C219" s="24" t="s">
        <v>131</v>
      </c>
      <c r="D219" s="33" t="n">
        <v>29</v>
      </c>
      <c r="E219" s="24" t="n">
        <v>0</v>
      </c>
      <c r="F219" s="37" t="n">
        <f aca="false">DATE(YEAR(A219),MONTH(A219),1)</f>
        <v>46235</v>
      </c>
      <c r="G219" s="24" t="str">
        <f aca="false">INDEX(Products!$C$2:$C$49,MATCH(C219,Products!$A$2:$A$49,0))</f>
        <v>Dairy &amp; Eggs</v>
      </c>
      <c r="H219" s="33" t="n">
        <f aca="false">D219*INDEX(Products!$E$2:$E$49,MATCH(C219,Products!$A$2:$A$49,0))</f>
        <v>1885</v>
      </c>
      <c r="I219" s="33" t="n">
        <f aca="false">D219*INDEX(Products!$D$2:$D$49,MATCH(C219,Products!$A$2:$A$49,0))*(1+INDEX(Assumptions!$B$16:$B$20,MATCH(B219,Assumptions!$A$16:$A$20,0)))</f>
        <v>1493.79</v>
      </c>
      <c r="J219" s="33" t="n">
        <f aca="false">H219-I219</f>
        <v>391.21</v>
      </c>
      <c r="K219" s="33" t="n">
        <f aca="false">IF(OR(E219=0,E219&gt;=7),0,D219/(7-E219)*E219*INDEX(Products!$E$2:$E$49,MATCH(C219,Products!$A$2:$A$49,0)))</f>
        <v>0</v>
      </c>
    </row>
    <row r="220" customFormat="false" ht="15" hidden="false" customHeight="false" outlineLevel="0" collapsed="false">
      <c r="A220" s="36" t="n">
        <v>46244</v>
      </c>
      <c r="B220" s="24" t="s">
        <v>61</v>
      </c>
      <c r="C220" s="24" t="s">
        <v>131</v>
      </c>
      <c r="D220" s="33" t="n">
        <v>30</v>
      </c>
      <c r="E220" s="24" t="n">
        <v>0</v>
      </c>
      <c r="F220" s="37" t="n">
        <f aca="false">DATE(YEAR(A220),MONTH(A220),1)</f>
        <v>46235</v>
      </c>
      <c r="G220" s="24" t="str">
        <f aca="false">INDEX(Products!$C$2:$C$49,MATCH(C220,Products!$A$2:$A$49,0))</f>
        <v>Dairy &amp; Eggs</v>
      </c>
      <c r="H220" s="33" t="n">
        <f aca="false">D220*INDEX(Products!$E$2:$E$49,MATCH(C220,Products!$A$2:$A$49,0))</f>
        <v>1950</v>
      </c>
      <c r="I220" s="33" t="n">
        <f aca="false">D220*INDEX(Products!$D$2:$D$49,MATCH(C220,Products!$A$2:$A$49,0))*(1+INDEX(Assumptions!$B$16:$B$20,MATCH(B220,Assumptions!$A$16:$A$20,0)))</f>
        <v>1545.3</v>
      </c>
      <c r="J220" s="33" t="n">
        <f aca="false">H220-I220</f>
        <v>404.7</v>
      </c>
      <c r="K220" s="33" t="n">
        <f aca="false">IF(OR(E220=0,E220&gt;=7),0,D220/(7-E220)*E220*INDEX(Products!$E$2:$E$49,MATCH(C220,Products!$A$2:$A$49,0)))</f>
        <v>0</v>
      </c>
    </row>
    <row r="221" customFormat="false" ht="15" hidden="false" customHeight="false" outlineLevel="0" collapsed="false">
      <c r="A221" s="36" t="n">
        <v>46251</v>
      </c>
      <c r="B221" s="24" t="s">
        <v>61</v>
      </c>
      <c r="C221" s="24" t="s">
        <v>131</v>
      </c>
      <c r="D221" s="33" t="n">
        <v>30</v>
      </c>
      <c r="E221" s="24" t="n">
        <v>4</v>
      </c>
      <c r="F221" s="37" t="n">
        <f aca="false">DATE(YEAR(A221),MONTH(A221),1)</f>
        <v>46235</v>
      </c>
      <c r="G221" s="24" t="str">
        <f aca="false">INDEX(Products!$C$2:$C$49,MATCH(C221,Products!$A$2:$A$49,0))</f>
        <v>Dairy &amp; Eggs</v>
      </c>
      <c r="H221" s="33" t="n">
        <f aca="false">D221*INDEX(Products!$E$2:$E$49,MATCH(C221,Products!$A$2:$A$49,0))</f>
        <v>1950</v>
      </c>
      <c r="I221" s="33" t="n">
        <f aca="false">D221*INDEX(Products!$D$2:$D$49,MATCH(C221,Products!$A$2:$A$49,0))*(1+INDEX(Assumptions!$B$16:$B$20,MATCH(B221,Assumptions!$A$16:$A$20,0)))</f>
        <v>1545.3</v>
      </c>
      <c r="J221" s="33" t="n">
        <f aca="false">H221-I221</f>
        <v>404.7</v>
      </c>
      <c r="K221" s="33" t="n">
        <f aca="false">IF(OR(E221=0,E221&gt;=7),0,D221/(7-E221)*E221*INDEX(Products!$E$2:$E$49,MATCH(C221,Products!$A$2:$A$49,0)))</f>
        <v>2600</v>
      </c>
    </row>
    <row r="222" customFormat="false" ht="15" hidden="false" customHeight="false" outlineLevel="0" collapsed="false">
      <c r="A222" s="36" t="n">
        <v>46258</v>
      </c>
      <c r="B222" s="24" t="s">
        <v>61</v>
      </c>
      <c r="C222" s="24" t="s">
        <v>131</v>
      </c>
      <c r="D222" s="33" t="n">
        <v>51</v>
      </c>
      <c r="E222" s="24" t="n">
        <v>0</v>
      </c>
      <c r="F222" s="37" t="n">
        <f aca="false">DATE(YEAR(A222),MONTH(A222),1)</f>
        <v>46235</v>
      </c>
      <c r="G222" s="24" t="str">
        <f aca="false">INDEX(Products!$C$2:$C$49,MATCH(C222,Products!$A$2:$A$49,0))</f>
        <v>Dairy &amp; Eggs</v>
      </c>
      <c r="H222" s="33" t="n">
        <f aca="false">D222*INDEX(Products!$E$2:$E$49,MATCH(C222,Products!$A$2:$A$49,0))</f>
        <v>3315</v>
      </c>
      <c r="I222" s="33" t="n">
        <f aca="false">D222*INDEX(Products!$D$2:$D$49,MATCH(C222,Products!$A$2:$A$49,0))*(1+INDEX(Assumptions!$B$16:$B$20,MATCH(B222,Assumptions!$A$16:$A$20,0)))</f>
        <v>2627.01</v>
      </c>
      <c r="J222" s="33" t="n">
        <f aca="false">H222-I222</f>
        <v>687.99</v>
      </c>
      <c r="K222" s="33" t="n">
        <f aca="false">IF(OR(E222=0,E222&gt;=7),0,D222/(7-E222)*E222*INDEX(Products!$E$2:$E$49,MATCH(C222,Products!$A$2:$A$49,0)))</f>
        <v>0</v>
      </c>
    </row>
    <row r="223" customFormat="false" ht="15" hidden="false" customHeight="false" outlineLevel="0" collapsed="false">
      <c r="A223" s="36" t="n">
        <v>46265</v>
      </c>
      <c r="B223" s="24" t="s">
        <v>61</v>
      </c>
      <c r="C223" s="24" t="s">
        <v>131</v>
      </c>
      <c r="D223" s="33" t="n">
        <v>52</v>
      </c>
      <c r="E223" s="24" t="n">
        <v>0</v>
      </c>
      <c r="F223" s="37" t="n">
        <f aca="false">DATE(YEAR(A223),MONTH(A223),1)</f>
        <v>46235</v>
      </c>
      <c r="G223" s="24" t="str">
        <f aca="false">INDEX(Products!$C$2:$C$49,MATCH(C223,Products!$A$2:$A$49,0))</f>
        <v>Dairy &amp; Eggs</v>
      </c>
      <c r="H223" s="33" t="n">
        <f aca="false">D223*INDEX(Products!$E$2:$E$49,MATCH(C223,Products!$A$2:$A$49,0))</f>
        <v>3380</v>
      </c>
      <c r="I223" s="33" t="n">
        <f aca="false">D223*INDEX(Products!$D$2:$D$49,MATCH(C223,Products!$A$2:$A$49,0))*(1+INDEX(Assumptions!$B$16:$B$20,MATCH(B223,Assumptions!$A$16:$A$20,0)))</f>
        <v>2678.52</v>
      </c>
      <c r="J223" s="33" t="n">
        <f aca="false">H223-I223</f>
        <v>701.48</v>
      </c>
      <c r="K223" s="33" t="n">
        <f aca="false">IF(OR(E223=0,E223&gt;=7),0,D223/(7-E223)*E223*INDEX(Products!$E$2:$E$49,MATCH(C223,Products!$A$2:$A$49,0)))</f>
        <v>0</v>
      </c>
    </row>
    <row r="224" customFormat="false" ht="15" hidden="false" customHeight="false" outlineLevel="0" collapsed="false">
      <c r="A224" s="36" t="n">
        <v>46272</v>
      </c>
      <c r="B224" s="24" t="s">
        <v>61</v>
      </c>
      <c r="C224" s="24" t="s">
        <v>131</v>
      </c>
      <c r="D224" s="33" t="n">
        <v>40</v>
      </c>
      <c r="E224" s="24" t="n">
        <v>0</v>
      </c>
      <c r="F224" s="37" t="n">
        <f aca="false">DATE(YEAR(A224),MONTH(A224),1)</f>
        <v>46266</v>
      </c>
      <c r="G224" s="24" t="str">
        <f aca="false">INDEX(Products!$C$2:$C$49,MATCH(C224,Products!$A$2:$A$49,0))</f>
        <v>Dairy &amp; Eggs</v>
      </c>
      <c r="H224" s="33" t="n">
        <f aca="false">D224*INDEX(Products!$E$2:$E$49,MATCH(C224,Products!$A$2:$A$49,0))</f>
        <v>2600</v>
      </c>
      <c r="I224" s="33" t="n">
        <f aca="false">D224*INDEX(Products!$D$2:$D$49,MATCH(C224,Products!$A$2:$A$49,0))*(1+INDEX(Assumptions!$B$16:$B$20,MATCH(B224,Assumptions!$A$16:$A$20,0)))</f>
        <v>2060.4</v>
      </c>
      <c r="J224" s="33" t="n">
        <f aca="false">H224-I224</f>
        <v>539.6</v>
      </c>
      <c r="K224" s="33" t="n">
        <f aca="false">IF(OR(E224=0,E224&gt;=7),0,D224/(7-E224)*E224*INDEX(Products!$E$2:$E$49,MATCH(C224,Products!$A$2:$A$49,0)))</f>
        <v>0</v>
      </c>
    </row>
    <row r="225" customFormat="false" ht="15" hidden="false" customHeight="false" outlineLevel="0" collapsed="false">
      <c r="A225" s="36" t="n">
        <v>46279</v>
      </c>
      <c r="B225" s="24" t="s">
        <v>61</v>
      </c>
      <c r="C225" s="24" t="s">
        <v>131</v>
      </c>
      <c r="D225" s="33" t="n">
        <v>42</v>
      </c>
      <c r="E225" s="24" t="n">
        <v>0</v>
      </c>
      <c r="F225" s="37" t="n">
        <f aca="false">DATE(YEAR(A225),MONTH(A225),1)</f>
        <v>46266</v>
      </c>
      <c r="G225" s="24" t="str">
        <f aca="false">INDEX(Products!$C$2:$C$49,MATCH(C225,Products!$A$2:$A$49,0))</f>
        <v>Dairy &amp; Eggs</v>
      </c>
      <c r="H225" s="33" t="n">
        <f aca="false">D225*INDEX(Products!$E$2:$E$49,MATCH(C225,Products!$A$2:$A$49,0))</f>
        <v>2730</v>
      </c>
      <c r="I225" s="33" t="n">
        <f aca="false">D225*INDEX(Products!$D$2:$D$49,MATCH(C225,Products!$A$2:$A$49,0))*(1+INDEX(Assumptions!$B$16:$B$20,MATCH(B225,Assumptions!$A$16:$A$20,0)))</f>
        <v>2163.42</v>
      </c>
      <c r="J225" s="33" t="n">
        <f aca="false">H225-I225</f>
        <v>566.58</v>
      </c>
      <c r="K225" s="33" t="n">
        <f aca="false">IF(OR(E225=0,E225&gt;=7),0,D225/(7-E225)*E225*INDEX(Products!$E$2:$E$49,MATCH(C225,Products!$A$2:$A$49,0)))</f>
        <v>0</v>
      </c>
    </row>
    <row r="226" customFormat="false" ht="15" hidden="false" customHeight="false" outlineLevel="0" collapsed="false">
      <c r="A226" s="36" t="n">
        <v>46286</v>
      </c>
      <c r="B226" s="24" t="s">
        <v>61</v>
      </c>
      <c r="C226" s="24" t="s">
        <v>131</v>
      </c>
      <c r="D226" s="33" t="n">
        <v>61</v>
      </c>
      <c r="E226" s="24" t="n">
        <v>0</v>
      </c>
      <c r="F226" s="37" t="n">
        <f aca="false">DATE(YEAR(A226),MONTH(A226),1)</f>
        <v>46266</v>
      </c>
      <c r="G226" s="24" t="str">
        <f aca="false">INDEX(Products!$C$2:$C$49,MATCH(C226,Products!$A$2:$A$49,0))</f>
        <v>Dairy &amp; Eggs</v>
      </c>
      <c r="H226" s="33" t="n">
        <f aca="false">D226*INDEX(Products!$E$2:$E$49,MATCH(C226,Products!$A$2:$A$49,0))</f>
        <v>3965</v>
      </c>
      <c r="I226" s="33" t="n">
        <f aca="false">D226*INDEX(Products!$D$2:$D$49,MATCH(C226,Products!$A$2:$A$49,0))*(1+INDEX(Assumptions!$B$16:$B$20,MATCH(B226,Assumptions!$A$16:$A$20,0)))</f>
        <v>3142.11</v>
      </c>
      <c r="J226" s="33" t="n">
        <f aca="false">H226-I226</f>
        <v>822.89</v>
      </c>
      <c r="K226" s="33" t="n">
        <f aca="false">IF(OR(E226=0,E226&gt;=7),0,D226/(7-E226)*E226*INDEX(Products!$E$2:$E$49,MATCH(C226,Products!$A$2:$A$49,0)))</f>
        <v>0</v>
      </c>
    </row>
    <row r="227" customFormat="false" ht="15" hidden="false" customHeight="false" outlineLevel="0" collapsed="false">
      <c r="A227" s="36" t="n">
        <v>46118</v>
      </c>
      <c r="B227" s="24" t="s">
        <v>61</v>
      </c>
      <c r="C227" s="24" t="s">
        <v>133</v>
      </c>
      <c r="D227" s="33" t="n">
        <v>95</v>
      </c>
      <c r="E227" s="24" t="n">
        <v>0</v>
      </c>
      <c r="F227" s="37" t="n">
        <f aca="false">DATE(YEAR(A227),MONTH(A227),1)</f>
        <v>46113</v>
      </c>
      <c r="G227" s="24" t="str">
        <f aca="false">INDEX(Products!$C$2:$C$49,MATCH(C227,Products!$A$2:$A$49,0))</f>
        <v>Dairy &amp; Eggs</v>
      </c>
      <c r="H227" s="33" t="n">
        <f aca="false">D227*INDEX(Products!$E$2:$E$49,MATCH(C227,Products!$A$2:$A$49,0))</f>
        <v>11875</v>
      </c>
      <c r="I227" s="33" t="n">
        <f aca="false">D227*INDEX(Products!$D$2:$D$49,MATCH(C227,Products!$A$2:$A$49,0))*(1+INDEX(Assumptions!$B$16:$B$20,MATCH(B227,Assumptions!$A$16:$A$20,0)))</f>
        <v>9978.8</v>
      </c>
      <c r="J227" s="33" t="n">
        <f aca="false">H227-I227</f>
        <v>1896.2</v>
      </c>
      <c r="K227" s="33" t="n">
        <f aca="false">IF(OR(E227=0,E227&gt;=7),0,D227/(7-E227)*E227*INDEX(Products!$E$2:$E$49,MATCH(C227,Products!$A$2:$A$49,0)))</f>
        <v>0</v>
      </c>
    </row>
    <row r="228" customFormat="false" ht="15" hidden="false" customHeight="false" outlineLevel="0" collapsed="false">
      <c r="A228" s="36" t="n">
        <v>46125</v>
      </c>
      <c r="B228" s="24" t="s">
        <v>61</v>
      </c>
      <c r="C228" s="24" t="s">
        <v>133</v>
      </c>
      <c r="D228" s="33" t="n">
        <v>104</v>
      </c>
      <c r="E228" s="24" t="n">
        <v>0</v>
      </c>
      <c r="F228" s="37" t="n">
        <f aca="false">DATE(YEAR(A228),MONTH(A228),1)</f>
        <v>46113</v>
      </c>
      <c r="G228" s="24" t="str">
        <f aca="false">INDEX(Products!$C$2:$C$49,MATCH(C228,Products!$A$2:$A$49,0))</f>
        <v>Dairy &amp; Eggs</v>
      </c>
      <c r="H228" s="33" t="n">
        <f aca="false">D228*INDEX(Products!$E$2:$E$49,MATCH(C228,Products!$A$2:$A$49,0))</f>
        <v>13000</v>
      </c>
      <c r="I228" s="33" t="n">
        <f aca="false">D228*INDEX(Products!$D$2:$D$49,MATCH(C228,Products!$A$2:$A$49,0))*(1+INDEX(Assumptions!$B$16:$B$20,MATCH(B228,Assumptions!$A$16:$A$20,0)))</f>
        <v>10924.16</v>
      </c>
      <c r="J228" s="33" t="n">
        <f aca="false">H228-I228</f>
        <v>2075.84</v>
      </c>
      <c r="K228" s="33" t="n">
        <f aca="false">IF(OR(E228=0,E228&gt;=7),0,D228/(7-E228)*E228*INDEX(Products!$E$2:$E$49,MATCH(C228,Products!$A$2:$A$49,0)))</f>
        <v>0</v>
      </c>
    </row>
    <row r="229" customFormat="false" ht="15" hidden="false" customHeight="false" outlineLevel="0" collapsed="false">
      <c r="A229" s="36" t="n">
        <v>46132</v>
      </c>
      <c r="B229" s="24" t="s">
        <v>61</v>
      </c>
      <c r="C229" s="24" t="s">
        <v>133</v>
      </c>
      <c r="D229" s="33" t="n">
        <v>98</v>
      </c>
      <c r="E229" s="24" t="n">
        <v>0</v>
      </c>
      <c r="F229" s="37" t="n">
        <f aca="false">DATE(YEAR(A229),MONTH(A229),1)</f>
        <v>46113</v>
      </c>
      <c r="G229" s="24" t="str">
        <f aca="false">INDEX(Products!$C$2:$C$49,MATCH(C229,Products!$A$2:$A$49,0))</f>
        <v>Dairy &amp; Eggs</v>
      </c>
      <c r="H229" s="33" t="n">
        <f aca="false">D229*INDEX(Products!$E$2:$E$49,MATCH(C229,Products!$A$2:$A$49,0))</f>
        <v>12250</v>
      </c>
      <c r="I229" s="33" t="n">
        <f aca="false">D229*INDEX(Products!$D$2:$D$49,MATCH(C229,Products!$A$2:$A$49,0))*(1+INDEX(Assumptions!$B$16:$B$20,MATCH(B229,Assumptions!$A$16:$A$20,0)))</f>
        <v>10293.92</v>
      </c>
      <c r="J229" s="33" t="n">
        <f aca="false">H229-I229</f>
        <v>1956.08</v>
      </c>
      <c r="K229" s="33" t="n">
        <f aca="false">IF(OR(E229=0,E229&gt;=7),0,D229/(7-E229)*E229*INDEX(Products!$E$2:$E$49,MATCH(C229,Products!$A$2:$A$49,0)))</f>
        <v>0</v>
      </c>
    </row>
    <row r="230" customFormat="false" ht="15" hidden="false" customHeight="false" outlineLevel="0" collapsed="false">
      <c r="A230" s="36" t="n">
        <v>46139</v>
      </c>
      <c r="B230" s="24" t="s">
        <v>61</v>
      </c>
      <c r="C230" s="24" t="s">
        <v>133</v>
      </c>
      <c r="D230" s="33" t="n">
        <v>107</v>
      </c>
      <c r="E230" s="24" t="n">
        <v>0</v>
      </c>
      <c r="F230" s="37" t="n">
        <f aca="false">DATE(YEAR(A230),MONTH(A230),1)</f>
        <v>46113</v>
      </c>
      <c r="G230" s="24" t="str">
        <f aca="false">INDEX(Products!$C$2:$C$49,MATCH(C230,Products!$A$2:$A$49,0))</f>
        <v>Dairy &amp; Eggs</v>
      </c>
      <c r="H230" s="33" t="n">
        <f aca="false">D230*INDEX(Products!$E$2:$E$49,MATCH(C230,Products!$A$2:$A$49,0))</f>
        <v>13375</v>
      </c>
      <c r="I230" s="33" t="n">
        <f aca="false">D230*INDEX(Products!$D$2:$D$49,MATCH(C230,Products!$A$2:$A$49,0))*(1+INDEX(Assumptions!$B$16:$B$20,MATCH(B230,Assumptions!$A$16:$A$20,0)))</f>
        <v>11239.28</v>
      </c>
      <c r="J230" s="33" t="n">
        <f aca="false">H230-I230</f>
        <v>2135.72</v>
      </c>
      <c r="K230" s="33" t="n">
        <f aca="false">IF(OR(E230=0,E230&gt;=7),0,D230/(7-E230)*E230*INDEX(Products!$E$2:$E$49,MATCH(C230,Products!$A$2:$A$49,0)))</f>
        <v>0</v>
      </c>
    </row>
    <row r="231" customFormat="false" ht="15" hidden="false" customHeight="false" outlineLevel="0" collapsed="false">
      <c r="A231" s="36" t="n">
        <v>46146</v>
      </c>
      <c r="B231" s="24" t="s">
        <v>61</v>
      </c>
      <c r="C231" s="24" t="s">
        <v>133</v>
      </c>
      <c r="D231" s="33" t="n">
        <v>89</v>
      </c>
      <c r="E231" s="24" t="n">
        <v>0</v>
      </c>
      <c r="F231" s="37" t="n">
        <f aca="false">DATE(YEAR(A231),MONTH(A231),1)</f>
        <v>46143</v>
      </c>
      <c r="G231" s="24" t="str">
        <f aca="false">INDEX(Products!$C$2:$C$49,MATCH(C231,Products!$A$2:$A$49,0))</f>
        <v>Dairy &amp; Eggs</v>
      </c>
      <c r="H231" s="33" t="n">
        <f aca="false">D231*INDEX(Products!$E$2:$E$49,MATCH(C231,Products!$A$2:$A$49,0))</f>
        <v>11125</v>
      </c>
      <c r="I231" s="33" t="n">
        <f aca="false">D231*INDEX(Products!$D$2:$D$49,MATCH(C231,Products!$A$2:$A$49,0))*(1+INDEX(Assumptions!$B$16:$B$20,MATCH(B231,Assumptions!$A$16:$A$20,0)))</f>
        <v>9348.56</v>
      </c>
      <c r="J231" s="33" t="n">
        <f aca="false">H231-I231</f>
        <v>1776.44</v>
      </c>
      <c r="K231" s="33" t="n">
        <f aca="false">IF(OR(E231=0,E231&gt;=7),0,D231/(7-E231)*E231*INDEX(Products!$E$2:$E$49,MATCH(C231,Products!$A$2:$A$49,0)))</f>
        <v>0</v>
      </c>
    </row>
    <row r="232" customFormat="false" ht="15" hidden="false" customHeight="false" outlineLevel="0" collapsed="false">
      <c r="A232" s="36" t="n">
        <v>46153</v>
      </c>
      <c r="B232" s="24" t="s">
        <v>61</v>
      </c>
      <c r="C232" s="24" t="s">
        <v>133</v>
      </c>
      <c r="D232" s="33" t="n">
        <v>108</v>
      </c>
      <c r="E232" s="24" t="n">
        <v>0</v>
      </c>
      <c r="F232" s="37" t="n">
        <f aca="false">DATE(YEAR(A232),MONTH(A232),1)</f>
        <v>46143</v>
      </c>
      <c r="G232" s="24" t="str">
        <f aca="false">INDEX(Products!$C$2:$C$49,MATCH(C232,Products!$A$2:$A$49,0))</f>
        <v>Dairy &amp; Eggs</v>
      </c>
      <c r="H232" s="33" t="n">
        <f aca="false">D232*INDEX(Products!$E$2:$E$49,MATCH(C232,Products!$A$2:$A$49,0))</f>
        <v>13500</v>
      </c>
      <c r="I232" s="33" t="n">
        <f aca="false">D232*INDEX(Products!$D$2:$D$49,MATCH(C232,Products!$A$2:$A$49,0))*(1+INDEX(Assumptions!$B$16:$B$20,MATCH(B232,Assumptions!$A$16:$A$20,0)))</f>
        <v>11344.32</v>
      </c>
      <c r="J232" s="33" t="n">
        <f aca="false">H232-I232</f>
        <v>2155.68</v>
      </c>
      <c r="K232" s="33" t="n">
        <f aca="false">IF(OR(E232=0,E232&gt;=7),0,D232/(7-E232)*E232*INDEX(Products!$E$2:$E$49,MATCH(C232,Products!$A$2:$A$49,0)))</f>
        <v>0</v>
      </c>
    </row>
    <row r="233" customFormat="false" ht="15" hidden="false" customHeight="false" outlineLevel="0" collapsed="false">
      <c r="A233" s="36" t="n">
        <v>46160</v>
      </c>
      <c r="B233" s="24" t="s">
        <v>61</v>
      </c>
      <c r="C233" s="24" t="s">
        <v>133</v>
      </c>
      <c r="D233" s="33" t="n">
        <v>95</v>
      </c>
      <c r="E233" s="24" t="n">
        <v>0</v>
      </c>
      <c r="F233" s="37" t="n">
        <f aca="false">DATE(YEAR(A233),MONTH(A233),1)</f>
        <v>46143</v>
      </c>
      <c r="G233" s="24" t="str">
        <f aca="false">INDEX(Products!$C$2:$C$49,MATCH(C233,Products!$A$2:$A$49,0))</f>
        <v>Dairy &amp; Eggs</v>
      </c>
      <c r="H233" s="33" t="n">
        <f aca="false">D233*INDEX(Products!$E$2:$E$49,MATCH(C233,Products!$A$2:$A$49,0))</f>
        <v>11875</v>
      </c>
      <c r="I233" s="33" t="n">
        <f aca="false">D233*INDEX(Products!$D$2:$D$49,MATCH(C233,Products!$A$2:$A$49,0))*(1+INDEX(Assumptions!$B$16:$B$20,MATCH(B233,Assumptions!$A$16:$A$20,0)))</f>
        <v>9978.8</v>
      </c>
      <c r="J233" s="33" t="n">
        <f aca="false">H233-I233</f>
        <v>1896.2</v>
      </c>
      <c r="K233" s="33" t="n">
        <f aca="false">IF(OR(E233=0,E233&gt;=7),0,D233/(7-E233)*E233*INDEX(Products!$E$2:$E$49,MATCH(C233,Products!$A$2:$A$49,0)))</f>
        <v>0</v>
      </c>
    </row>
    <row r="234" customFormat="false" ht="15" hidden="false" customHeight="false" outlineLevel="0" collapsed="false">
      <c r="A234" s="36" t="n">
        <v>46167</v>
      </c>
      <c r="B234" s="24" t="s">
        <v>61</v>
      </c>
      <c r="C234" s="24" t="s">
        <v>133</v>
      </c>
      <c r="D234" s="33" t="n">
        <v>113</v>
      </c>
      <c r="E234" s="24" t="n">
        <v>0</v>
      </c>
      <c r="F234" s="37" t="n">
        <f aca="false">DATE(YEAR(A234),MONTH(A234),1)</f>
        <v>46143</v>
      </c>
      <c r="G234" s="24" t="str">
        <f aca="false">INDEX(Products!$C$2:$C$49,MATCH(C234,Products!$A$2:$A$49,0))</f>
        <v>Dairy &amp; Eggs</v>
      </c>
      <c r="H234" s="33" t="n">
        <f aca="false">D234*INDEX(Products!$E$2:$E$49,MATCH(C234,Products!$A$2:$A$49,0))</f>
        <v>14125</v>
      </c>
      <c r="I234" s="33" t="n">
        <f aca="false">D234*INDEX(Products!$D$2:$D$49,MATCH(C234,Products!$A$2:$A$49,0))*(1+INDEX(Assumptions!$B$16:$B$20,MATCH(B234,Assumptions!$A$16:$A$20,0)))</f>
        <v>11869.52</v>
      </c>
      <c r="J234" s="33" t="n">
        <f aca="false">H234-I234</f>
        <v>2255.48</v>
      </c>
      <c r="K234" s="33" t="n">
        <f aca="false">IF(OR(E234=0,E234&gt;=7),0,D234/(7-E234)*E234*INDEX(Products!$E$2:$E$49,MATCH(C234,Products!$A$2:$A$49,0)))</f>
        <v>0</v>
      </c>
    </row>
    <row r="235" customFormat="false" ht="15" hidden="false" customHeight="false" outlineLevel="0" collapsed="false">
      <c r="A235" s="36" t="n">
        <v>46174</v>
      </c>
      <c r="B235" s="24" t="s">
        <v>61</v>
      </c>
      <c r="C235" s="24" t="s">
        <v>133</v>
      </c>
      <c r="D235" s="33" t="n">
        <v>105</v>
      </c>
      <c r="E235" s="24" t="n">
        <v>0</v>
      </c>
      <c r="F235" s="37" t="n">
        <f aca="false">DATE(YEAR(A235),MONTH(A235),1)</f>
        <v>46174</v>
      </c>
      <c r="G235" s="24" t="str">
        <f aca="false">INDEX(Products!$C$2:$C$49,MATCH(C235,Products!$A$2:$A$49,0))</f>
        <v>Dairy &amp; Eggs</v>
      </c>
      <c r="H235" s="33" t="n">
        <f aca="false">D235*INDEX(Products!$E$2:$E$49,MATCH(C235,Products!$A$2:$A$49,0))</f>
        <v>13125</v>
      </c>
      <c r="I235" s="33" t="n">
        <f aca="false">D235*INDEX(Products!$D$2:$D$49,MATCH(C235,Products!$A$2:$A$49,0))*(1+INDEX(Assumptions!$B$16:$B$20,MATCH(B235,Assumptions!$A$16:$A$20,0)))</f>
        <v>11029.2</v>
      </c>
      <c r="J235" s="33" t="n">
        <f aca="false">H235-I235</f>
        <v>2095.8</v>
      </c>
      <c r="K235" s="33" t="n">
        <f aca="false">IF(OR(E235=0,E235&gt;=7),0,D235/(7-E235)*E235*INDEX(Products!$E$2:$E$49,MATCH(C235,Products!$A$2:$A$49,0)))</f>
        <v>0</v>
      </c>
    </row>
    <row r="236" customFormat="false" ht="15" hidden="false" customHeight="false" outlineLevel="0" collapsed="false">
      <c r="A236" s="36" t="n">
        <v>46181</v>
      </c>
      <c r="B236" s="24" t="s">
        <v>61</v>
      </c>
      <c r="C236" s="24" t="s">
        <v>133</v>
      </c>
      <c r="D236" s="33" t="n">
        <v>86</v>
      </c>
      <c r="E236" s="24" t="n">
        <v>0</v>
      </c>
      <c r="F236" s="37" t="n">
        <f aca="false">DATE(YEAR(A236),MONTH(A236),1)</f>
        <v>46174</v>
      </c>
      <c r="G236" s="24" t="str">
        <f aca="false">INDEX(Products!$C$2:$C$49,MATCH(C236,Products!$A$2:$A$49,0))</f>
        <v>Dairy &amp; Eggs</v>
      </c>
      <c r="H236" s="33" t="n">
        <f aca="false">D236*INDEX(Products!$E$2:$E$49,MATCH(C236,Products!$A$2:$A$49,0))</f>
        <v>10750</v>
      </c>
      <c r="I236" s="33" t="n">
        <f aca="false">D236*INDEX(Products!$D$2:$D$49,MATCH(C236,Products!$A$2:$A$49,0))*(1+INDEX(Assumptions!$B$16:$B$20,MATCH(B236,Assumptions!$A$16:$A$20,0)))</f>
        <v>9033.44</v>
      </c>
      <c r="J236" s="33" t="n">
        <f aca="false">H236-I236</f>
        <v>1716.56</v>
      </c>
      <c r="K236" s="33" t="n">
        <f aca="false">IF(OR(E236=0,E236&gt;=7),0,D236/(7-E236)*E236*INDEX(Products!$E$2:$E$49,MATCH(C236,Products!$A$2:$A$49,0)))</f>
        <v>0</v>
      </c>
    </row>
    <row r="237" customFormat="false" ht="15" hidden="false" customHeight="false" outlineLevel="0" collapsed="false">
      <c r="A237" s="36" t="n">
        <v>46188</v>
      </c>
      <c r="B237" s="24" t="s">
        <v>61</v>
      </c>
      <c r="C237" s="24" t="s">
        <v>133</v>
      </c>
      <c r="D237" s="33" t="n">
        <v>105</v>
      </c>
      <c r="E237" s="24" t="n">
        <v>0</v>
      </c>
      <c r="F237" s="37" t="n">
        <f aca="false">DATE(YEAR(A237),MONTH(A237),1)</f>
        <v>46174</v>
      </c>
      <c r="G237" s="24" t="str">
        <f aca="false">INDEX(Products!$C$2:$C$49,MATCH(C237,Products!$A$2:$A$49,0))</f>
        <v>Dairy &amp; Eggs</v>
      </c>
      <c r="H237" s="33" t="n">
        <f aca="false">D237*INDEX(Products!$E$2:$E$49,MATCH(C237,Products!$A$2:$A$49,0))</f>
        <v>13125</v>
      </c>
      <c r="I237" s="33" t="n">
        <f aca="false">D237*INDEX(Products!$D$2:$D$49,MATCH(C237,Products!$A$2:$A$49,0))*(1+INDEX(Assumptions!$B$16:$B$20,MATCH(B237,Assumptions!$A$16:$A$20,0)))</f>
        <v>11029.2</v>
      </c>
      <c r="J237" s="33" t="n">
        <f aca="false">H237-I237</f>
        <v>2095.8</v>
      </c>
      <c r="K237" s="33" t="n">
        <f aca="false">IF(OR(E237=0,E237&gt;=7),0,D237/(7-E237)*E237*INDEX(Products!$E$2:$E$49,MATCH(C237,Products!$A$2:$A$49,0)))</f>
        <v>0</v>
      </c>
    </row>
    <row r="238" customFormat="false" ht="15" hidden="false" customHeight="false" outlineLevel="0" collapsed="false">
      <c r="A238" s="36" t="n">
        <v>46195</v>
      </c>
      <c r="B238" s="24" t="s">
        <v>61</v>
      </c>
      <c r="C238" s="24" t="s">
        <v>133</v>
      </c>
      <c r="D238" s="33" t="n">
        <v>90</v>
      </c>
      <c r="E238" s="24" t="n">
        <v>0</v>
      </c>
      <c r="F238" s="37" t="n">
        <f aca="false">DATE(YEAR(A238),MONTH(A238),1)</f>
        <v>46174</v>
      </c>
      <c r="G238" s="24" t="str">
        <f aca="false">INDEX(Products!$C$2:$C$49,MATCH(C238,Products!$A$2:$A$49,0))</f>
        <v>Dairy &amp; Eggs</v>
      </c>
      <c r="H238" s="33" t="n">
        <f aca="false">D238*INDEX(Products!$E$2:$E$49,MATCH(C238,Products!$A$2:$A$49,0))</f>
        <v>11250</v>
      </c>
      <c r="I238" s="33" t="n">
        <f aca="false">D238*INDEX(Products!$D$2:$D$49,MATCH(C238,Products!$A$2:$A$49,0))*(1+INDEX(Assumptions!$B$16:$B$20,MATCH(B238,Assumptions!$A$16:$A$20,0)))</f>
        <v>9453.6</v>
      </c>
      <c r="J238" s="33" t="n">
        <f aca="false">H238-I238</f>
        <v>1796.4</v>
      </c>
      <c r="K238" s="33" t="n">
        <f aca="false">IF(OR(E238=0,E238&gt;=7),0,D238/(7-E238)*E238*INDEX(Products!$E$2:$E$49,MATCH(C238,Products!$A$2:$A$49,0)))</f>
        <v>0</v>
      </c>
    </row>
    <row r="239" customFormat="false" ht="15" hidden="false" customHeight="false" outlineLevel="0" collapsed="false">
      <c r="A239" s="36" t="n">
        <v>46202</v>
      </c>
      <c r="B239" s="24" t="s">
        <v>61</v>
      </c>
      <c r="C239" s="24" t="s">
        <v>133</v>
      </c>
      <c r="D239" s="33" t="n">
        <v>105</v>
      </c>
      <c r="E239" s="24" t="n">
        <v>0</v>
      </c>
      <c r="F239" s="37" t="n">
        <f aca="false">DATE(YEAR(A239),MONTH(A239),1)</f>
        <v>46174</v>
      </c>
      <c r="G239" s="24" t="str">
        <f aca="false">INDEX(Products!$C$2:$C$49,MATCH(C239,Products!$A$2:$A$49,0))</f>
        <v>Dairy &amp; Eggs</v>
      </c>
      <c r="H239" s="33" t="n">
        <f aca="false">D239*INDEX(Products!$E$2:$E$49,MATCH(C239,Products!$A$2:$A$49,0))</f>
        <v>13125</v>
      </c>
      <c r="I239" s="33" t="n">
        <f aca="false">D239*INDEX(Products!$D$2:$D$49,MATCH(C239,Products!$A$2:$A$49,0))*(1+INDEX(Assumptions!$B$16:$B$20,MATCH(B239,Assumptions!$A$16:$A$20,0)))</f>
        <v>11029.2</v>
      </c>
      <c r="J239" s="33" t="n">
        <f aca="false">H239-I239</f>
        <v>2095.8</v>
      </c>
      <c r="K239" s="33" t="n">
        <f aca="false">IF(OR(E239=0,E239&gt;=7),0,D239/(7-E239)*E239*INDEX(Products!$E$2:$E$49,MATCH(C239,Products!$A$2:$A$49,0)))</f>
        <v>0</v>
      </c>
    </row>
    <row r="240" customFormat="false" ht="15" hidden="false" customHeight="false" outlineLevel="0" collapsed="false">
      <c r="A240" s="36" t="n">
        <v>46209</v>
      </c>
      <c r="B240" s="24" t="s">
        <v>61</v>
      </c>
      <c r="C240" s="24" t="s">
        <v>133</v>
      </c>
      <c r="D240" s="33" t="n">
        <v>97</v>
      </c>
      <c r="E240" s="24" t="n">
        <v>0</v>
      </c>
      <c r="F240" s="37" t="n">
        <f aca="false">DATE(YEAR(A240),MONTH(A240),1)</f>
        <v>46204</v>
      </c>
      <c r="G240" s="24" t="str">
        <f aca="false">INDEX(Products!$C$2:$C$49,MATCH(C240,Products!$A$2:$A$49,0))</f>
        <v>Dairy &amp; Eggs</v>
      </c>
      <c r="H240" s="33" t="n">
        <f aca="false">D240*INDEX(Products!$E$2:$E$49,MATCH(C240,Products!$A$2:$A$49,0))</f>
        <v>12125</v>
      </c>
      <c r="I240" s="33" t="n">
        <f aca="false">D240*INDEX(Products!$D$2:$D$49,MATCH(C240,Products!$A$2:$A$49,0))*(1+INDEX(Assumptions!$B$16:$B$20,MATCH(B240,Assumptions!$A$16:$A$20,0)))</f>
        <v>10188.88</v>
      </c>
      <c r="J240" s="33" t="n">
        <f aca="false">H240-I240</f>
        <v>1936.12</v>
      </c>
      <c r="K240" s="33" t="n">
        <f aca="false">IF(OR(E240=0,E240&gt;=7),0,D240/(7-E240)*E240*INDEX(Products!$E$2:$E$49,MATCH(C240,Products!$A$2:$A$49,0)))</f>
        <v>0</v>
      </c>
    </row>
    <row r="241" customFormat="false" ht="15" hidden="false" customHeight="false" outlineLevel="0" collapsed="false">
      <c r="A241" s="36" t="n">
        <v>46216</v>
      </c>
      <c r="B241" s="24" t="s">
        <v>61</v>
      </c>
      <c r="C241" s="24" t="s">
        <v>133</v>
      </c>
      <c r="D241" s="33" t="n">
        <v>105</v>
      </c>
      <c r="E241" s="24" t="n">
        <v>0</v>
      </c>
      <c r="F241" s="37" t="n">
        <f aca="false">DATE(YEAR(A241),MONTH(A241),1)</f>
        <v>46204</v>
      </c>
      <c r="G241" s="24" t="str">
        <f aca="false">INDEX(Products!$C$2:$C$49,MATCH(C241,Products!$A$2:$A$49,0))</f>
        <v>Dairy &amp; Eggs</v>
      </c>
      <c r="H241" s="33" t="n">
        <f aca="false">D241*INDEX(Products!$E$2:$E$49,MATCH(C241,Products!$A$2:$A$49,0))</f>
        <v>13125</v>
      </c>
      <c r="I241" s="33" t="n">
        <f aca="false">D241*INDEX(Products!$D$2:$D$49,MATCH(C241,Products!$A$2:$A$49,0))*(1+INDEX(Assumptions!$B$16:$B$20,MATCH(B241,Assumptions!$A$16:$A$20,0)))</f>
        <v>11029.2</v>
      </c>
      <c r="J241" s="33" t="n">
        <f aca="false">H241-I241</f>
        <v>2095.8</v>
      </c>
      <c r="K241" s="33" t="n">
        <f aca="false">IF(OR(E241=0,E241&gt;=7),0,D241/(7-E241)*E241*INDEX(Products!$E$2:$E$49,MATCH(C241,Products!$A$2:$A$49,0)))</f>
        <v>0</v>
      </c>
    </row>
    <row r="242" customFormat="false" ht="15" hidden="false" customHeight="false" outlineLevel="0" collapsed="false">
      <c r="A242" s="36" t="n">
        <v>46223</v>
      </c>
      <c r="B242" s="24" t="s">
        <v>61</v>
      </c>
      <c r="C242" s="24" t="s">
        <v>133</v>
      </c>
      <c r="D242" s="33" t="n">
        <v>101</v>
      </c>
      <c r="E242" s="24" t="n">
        <v>0</v>
      </c>
      <c r="F242" s="37" t="n">
        <f aca="false">DATE(YEAR(A242),MONTH(A242),1)</f>
        <v>46204</v>
      </c>
      <c r="G242" s="24" t="str">
        <f aca="false">INDEX(Products!$C$2:$C$49,MATCH(C242,Products!$A$2:$A$49,0))</f>
        <v>Dairy &amp; Eggs</v>
      </c>
      <c r="H242" s="33" t="n">
        <f aca="false">D242*INDEX(Products!$E$2:$E$49,MATCH(C242,Products!$A$2:$A$49,0))</f>
        <v>12625</v>
      </c>
      <c r="I242" s="33" t="n">
        <f aca="false">D242*INDEX(Products!$D$2:$D$49,MATCH(C242,Products!$A$2:$A$49,0))*(1+INDEX(Assumptions!$B$16:$B$20,MATCH(B242,Assumptions!$A$16:$A$20,0)))</f>
        <v>10609.04</v>
      </c>
      <c r="J242" s="33" t="n">
        <f aca="false">H242-I242</f>
        <v>2015.96</v>
      </c>
      <c r="K242" s="33" t="n">
        <f aca="false">IF(OR(E242=0,E242&gt;=7),0,D242/(7-E242)*E242*INDEX(Products!$E$2:$E$49,MATCH(C242,Products!$A$2:$A$49,0)))</f>
        <v>0</v>
      </c>
    </row>
    <row r="243" customFormat="false" ht="15" hidden="false" customHeight="false" outlineLevel="0" collapsed="false">
      <c r="A243" s="36" t="n">
        <v>46230</v>
      </c>
      <c r="B243" s="24" t="s">
        <v>61</v>
      </c>
      <c r="C243" s="24" t="s">
        <v>133</v>
      </c>
      <c r="D243" s="33" t="n">
        <v>102</v>
      </c>
      <c r="E243" s="24" t="n">
        <v>0</v>
      </c>
      <c r="F243" s="37" t="n">
        <f aca="false">DATE(YEAR(A243),MONTH(A243),1)</f>
        <v>46204</v>
      </c>
      <c r="G243" s="24" t="str">
        <f aca="false">INDEX(Products!$C$2:$C$49,MATCH(C243,Products!$A$2:$A$49,0))</f>
        <v>Dairy &amp; Eggs</v>
      </c>
      <c r="H243" s="33" t="n">
        <f aca="false">D243*INDEX(Products!$E$2:$E$49,MATCH(C243,Products!$A$2:$A$49,0))</f>
        <v>12750</v>
      </c>
      <c r="I243" s="33" t="n">
        <f aca="false">D243*INDEX(Products!$D$2:$D$49,MATCH(C243,Products!$A$2:$A$49,0))*(1+INDEX(Assumptions!$B$16:$B$20,MATCH(B243,Assumptions!$A$16:$A$20,0)))</f>
        <v>10714.08</v>
      </c>
      <c r="J243" s="33" t="n">
        <f aca="false">H243-I243</f>
        <v>2035.92</v>
      </c>
      <c r="K243" s="33" t="n">
        <f aca="false">IF(OR(E243=0,E243&gt;=7),0,D243/(7-E243)*E243*INDEX(Products!$E$2:$E$49,MATCH(C243,Products!$A$2:$A$49,0)))</f>
        <v>0</v>
      </c>
    </row>
    <row r="244" customFormat="false" ht="15" hidden="false" customHeight="false" outlineLevel="0" collapsed="false">
      <c r="A244" s="36" t="n">
        <v>46237</v>
      </c>
      <c r="B244" s="24" t="s">
        <v>61</v>
      </c>
      <c r="C244" s="24" t="s">
        <v>133</v>
      </c>
      <c r="D244" s="33" t="n">
        <v>53</v>
      </c>
      <c r="E244" s="24" t="n">
        <v>3</v>
      </c>
      <c r="F244" s="37" t="n">
        <f aca="false">DATE(YEAR(A244),MONTH(A244),1)</f>
        <v>46235</v>
      </c>
      <c r="G244" s="24" t="str">
        <f aca="false">INDEX(Products!$C$2:$C$49,MATCH(C244,Products!$A$2:$A$49,0))</f>
        <v>Dairy &amp; Eggs</v>
      </c>
      <c r="H244" s="33" t="n">
        <f aca="false">D244*INDEX(Products!$E$2:$E$49,MATCH(C244,Products!$A$2:$A$49,0))</f>
        <v>6625</v>
      </c>
      <c r="I244" s="33" t="n">
        <f aca="false">D244*INDEX(Products!$D$2:$D$49,MATCH(C244,Products!$A$2:$A$49,0))*(1+INDEX(Assumptions!$B$16:$B$20,MATCH(B244,Assumptions!$A$16:$A$20,0)))</f>
        <v>5567.12</v>
      </c>
      <c r="J244" s="33" t="n">
        <f aca="false">H244-I244</f>
        <v>1057.88</v>
      </c>
      <c r="K244" s="33" t="n">
        <f aca="false">IF(OR(E244=0,E244&gt;=7),0,D244/(7-E244)*E244*INDEX(Products!$E$2:$E$49,MATCH(C244,Products!$A$2:$A$49,0)))</f>
        <v>4968.75</v>
      </c>
    </row>
    <row r="245" customFormat="false" ht="15" hidden="false" customHeight="false" outlineLevel="0" collapsed="false">
      <c r="A245" s="36" t="n">
        <v>46244</v>
      </c>
      <c r="B245" s="24" t="s">
        <v>61</v>
      </c>
      <c r="C245" s="24" t="s">
        <v>133</v>
      </c>
      <c r="D245" s="33" t="n">
        <v>69</v>
      </c>
      <c r="E245" s="24" t="n">
        <v>0</v>
      </c>
      <c r="F245" s="37" t="n">
        <f aca="false">DATE(YEAR(A245),MONTH(A245),1)</f>
        <v>46235</v>
      </c>
      <c r="G245" s="24" t="str">
        <f aca="false">INDEX(Products!$C$2:$C$49,MATCH(C245,Products!$A$2:$A$49,0))</f>
        <v>Dairy &amp; Eggs</v>
      </c>
      <c r="H245" s="33" t="n">
        <f aca="false">D245*INDEX(Products!$E$2:$E$49,MATCH(C245,Products!$A$2:$A$49,0))</f>
        <v>8625</v>
      </c>
      <c r="I245" s="33" t="n">
        <f aca="false">D245*INDEX(Products!$D$2:$D$49,MATCH(C245,Products!$A$2:$A$49,0))*(1+INDEX(Assumptions!$B$16:$B$20,MATCH(B245,Assumptions!$A$16:$A$20,0)))</f>
        <v>7247.76</v>
      </c>
      <c r="J245" s="33" t="n">
        <f aca="false">H245-I245</f>
        <v>1377.24</v>
      </c>
      <c r="K245" s="33" t="n">
        <f aca="false">IF(OR(E245=0,E245&gt;=7),0,D245/(7-E245)*E245*INDEX(Products!$E$2:$E$49,MATCH(C245,Products!$A$2:$A$49,0)))</f>
        <v>0</v>
      </c>
    </row>
    <row r="246" customFormat="false" ht="15" hidden="false" customHeight="false" outlineLevel="0" collapsed="false">
      <c r="A246" s="36" t="n">
        <v>46251</v>
      </c>
      <c r="B246" s="24" t="s">
        <v>61</v>
      </c>
      <c r="C246" s="24" t="s">
        <v>133</v>
      </c>
      <c r="D246" s="33" t="n">
        <v>102</v>
      </c>
      <c r="E246" s="24" t="n">
        <v>0</v>
      </c>
      <c r="F246" s="37" t="n">
        <f aca="false">DATE(YEAR(A246),MONTH(A246),1)</f>
        <v>46235</v>
      </c>
      <c r="G246" s="24" t="str">
        <f aca="false">INDEX(Products!$C$2:$C$49,MATCH(C246,Products!$A$2:$A$49,0))</f>
        <v>Dairy &amp; Eggs</v>
      </c>
      <c r="H246" s="33" t="n">
        <f aca="false">D246*INDEX(Products!$E$2:$E$49,MATCH(C246,Products!$A$2:$A$49,0))</f>
        <v>12750</v>
      </c>
      <c r="I246" s="33" t="n">
        <f aca="false">D246*INDEX(Products!$D$2:$D$49,MATCH(C246,Products!$A$2:$A$49,0))*(1+INDEX(Assumptions!$B$16:$B$20,MATCH(B246,Assumptions!$A$16:$A$20,0)))</f>
        <v>10714.08</v>
      </c>
      <c r="J246" s="33" t="n">
        <f aca="false">H246-I246</f>
        <v>2035.92</v>
      </c>
      <c r="K246" s="33" t="n">
        <f aca="false">IF(OR(E246=0,E246&gt;=7),0,D246/(7-E246)*E246*INDEX(Products!$E$2:$E$49,MATCH(C246,Products!$A$2:$A$49,0)))</f>
        <v>0</v>
      </c>
    </row>
    <row r="247" customFormat="false" ht="15" hidden="false" customHeight="false" outlineLevel="0" collapsed="false">
      <c r="A247" s="36" t="n">
        <v>46258</v>
      </c>
      <c r="B247" s="24" t="s">
        <v>61</v>
      </c>
      <c r="C247" s="24" t="s">
        <v>133</v>
      </c>
      <c r="D247" s="33" t="n">
        <v>94</v>
      </c>
      <c r="E247" s="24" t="n">
        <v>0</v>
      </c>
      <c r="F247" s="37" t="n">
        <f aca="false">DATE(YEAR(A247),MONTH(A247),1)</f>
        <v>46235</v>
      </c>
      <c r="G247" s="24" t="str">
        <f aca="false">INDEX(Products!$C$2:$C$49,MATCH(C247,Products!$A$2:$A$49,0))</f>
        <v>Dairy &amp; Eggs</v>
      </c>
      <c r="H247" s="33" t="n">
        <f aca="false">D247*INDEX(Products!$E$2:$E$49,MATCH(C247,Products!$A$2:$A$49,0))</f>
        <v>11750</v>
      </c>
      <c r="I247" s="33" t="n">
        <f aca="false">D247*INDEX(Products!$D$2:$D$49,MATCH(C247,Products!$A$2:$A$49,0))*(1+INDEX(Assumptions!$B$16:$B$20,MATCH(B247,Assumptions!$A$16:$A$20,0)))</f>
        <v>9873.76</v>
      </c>
      <c r="J247" s="33" t="n">
        <f aca="false">H247-I247</f>
        <v>1876.24</v>
      </c>
      <c r="K247" s="33" t="n">
        <f aca="false">IF(OR(E247=0,E247&gt;=7),0,D247/(7-E247)*E247*INDEX(Products!$E$2:$E$49,MATCH(C247,Products!$A$2:$A$49,0)))</f>
        <v>0</v>
      </c>
    </row>
    <row r="248" customFormat="false" ht="15" hidden="false" customHeight="false" outlineLevel="0" collapsed="false">
      <c r="A248" s="36" t="n">
        <v>46265</v>
      </c>
      <c r="B248" s="24" t="s">
        <v>61</v>
      </c>
      <c r="C248" s="24" t="s">
        <v>133</v>
      </c>
      <c r="D248" s="33" t="n">
        <v>98</v>
      </c>
      <c r="E248" s="24" t="n">
        <v>0</v>
      </c>
      <c r="F248" s="37" t="n">
        <f aca="false">DATE(YEAR(A248),MONTH(A248),1)</f>
        <v>46235</v>
      </c>
      <c r="G248" s="24" t="str">
        <f aca="false">INDEX(Products!$C$2:$C$49,MATCH(C248,Products!$A$2:$A$49,0))</f>
        <v>Dairy &amp; Eggs</v>
      </c>
      <c r="H248" s="33" t="n">
        <f aca="false">D248*INDEX(Products!$E$2:$E$49,MATCH(C248,Products!$A$2:$A$49,0))</f>
        <v>12250</v>
      </c>
      <c r="I248" s="33" t="n">
        <f aca="false">D248*INDEX(Products!$D$2:$D$49,MATCH(C248,Products!$A$2:$A$49,0))*(1+INDEX(Assumptions!$B$16:$B$20,MATCH(B248,Assumptions!$A$16:$A$20,0)))</f>
        <v>10293.92</v>
      </c>
      <c r="J248" s="33" t="n">
        <f aca="false">H248-I248</f>
        <v>1956.08</v>
      </c>
      <c r="K248" s="33" t="n">
        <f aca="false">IF(OR(E248=0,E248&gt;=7),0,D248/(7-E248)*E248*INDEX(Products!$E$2:$E$49,MATCH(C248,Products!$A$2:$A$49,0)))</f>
        <v>0</v>
      </c>
    </row>
    <row r="249" customFormat="false" ht="15" hidden="false" customHeight="false" outlineLevel="0" collapsed="false">
      <c r="A249" s="36" t="n">
        <v>46272</v>
      </c>
      <c r="B249" s="24" t="s">
        <v>61</v>
      </c>
      <c r="C249" s="24" t="s">
        <v>133</v>
      </c>
      <c r="D249" s="33" t="n">
        <v>78</v>
      </c>
      <c r="E249" s="24" t="n">
        <v>0</v>
      </c>
      <c r="F249" s="37" t="n">
        <f aca="false">DATE(YEAR(A249),MONTH(A249),1)</f>
        <v>46266</v>
      </c>
      <c r="G249" s="24" t="str">
        <f aca="false">INDEX(Products!$C$2:$C$49,MATCH(C249,Products!$A$2:$A$49,0))</f>
        <v>Dairy &amp; Eggs</v>
      </c>
      <c r="H249" s="33" t="n">
        <f aca="false">D249*INDEX(Products!$E$2:$E$49,MATCH(C249,Products!$A$2:$A$49,0))</f>
        <v>9750</v>
      </c>
      <c r="I249" s="33" t="n">
        <f aca="false">D249*INDEX(Products!$D$2:$D$49,MATCH(C249,Products!$A$2:$A$49,0))*(1+INDEX(Assumptions!$B$16:$B$20,MATCH(B249,Assumptions!$A$16:$A$20,0)))</f>
        <v>8193.12</v>
      </c>
      <c r="J249" s="33" t="n">
        <f aca="false">H249-I249</f>
        <v>1556.88</v>
      </c>
      <c r="K249" s="33" t="n">
        <f aca="false">IF(OR(E249=0,E249&gt;=7),0,D249/(7-E249)*E249*INDEX(Products!$E$2:$E$49,MATCH(C249,Products!$A$2:$A$49,0)))</f>
        <v>0</v>
      </c>
    </row>
    <row r="250" customFormat="false" ht="15" hidden="false" customHeight="false" outlineLevel="0" collapsed="false">
      <c r="A250" s="36" t="n">
        <v>46279</v>
      </c>
      <c r="B250" s="24" t="s">
        <v>61</v>
      </c>
      <c r="C250" s="24" t="s">
        <v>133</v>
      </c>
      <c r="D250" s="33" t="n">
        <v>89</v>
      </c>
      <c r="E250" s="24" t="n">
        <v>0</v>
      </c>
      <c r="F250" s="37" t="n">
        <f aca="false">DATE(YEAR(A250),MONTH(A250),1)</f>
        <v>46266</v>
      </c>
      <c r="G250" s="24" t="str">
        <f aca="false">INDEX(Products!$C$2:$C$49,MATCH(C250,Products!$A$2:$A$49,0))</f>
        <v>Dairy &amp; Eggs</v>
      </c>
      <c r="H250" s="33" t="n">
        <f aca="false">D250*INDEX(Products!$E$2:$E$49,MATCH(C250,Products!$A$2:$A$49,0))</f>
        <v>11125</v>
      </c>
      <c r="I250" s="33" t="n">
        <f aca="false">D250*INDEX(Products!$D$2:$D$49,MATCH(C250,Products!$A$2:$A$49,0))*(1+INDEX(Assumptions!$B$16:$B$20,MATCH(B250,Assumptions!$A$16:$A$20,0)))</f>
        <v>9348.56</v>
      </c>
      <c r="J250" s="33" t="n">
        <f aca="false">H250-I250</f>
        <v>1776.44</v>
      </c>
      <c r="K250" s="33" t="n">
        <f aca="false">IF(OR(E250=0,E250&gt;=7),0,D250/(7-E250)*E250*INDEX(Products!$E$2:$E$49,MATCH(C250,Products!$A$2:$A$49,0)))</f>
        <v>0</v>
      </c>
    </row>
    <row r="251" customFormat="false" ht="15" hidden="false" customHeight="false" outlineLevel="0" collapsed="false">
      <c r="A251" s="36" t="n">
        <v>46286</v>
      </c>
      <c r="B251" s="24" t="s">
        <v>61</v>
      </c>
      <c r="C251" s="24" t="s">
        <v>133</v>
      </c>
      <c r="D251" s="33" t="n">
        <v>109</v>
      </c>
      <c r="E251" s="24" t="n">
        <v>0</v>
      </c>
      <c r="F251" s="37" t="n">
        <f aca="false">DATE(YEAR(A251),MONTH(A251),1)</f>
        <v>46266</v>
      </c>
      <c r="G251" s="24" t="str">
        <f aca="false">INDEX(Products!$C$2:$C$49,MATCH(C251,Products!$A$2:$A$49,0))</f>
        <v>Dairy &amp; Eggs</v>
      </c>
      <c r="H251" s="33" t="n">
        <f aca="false">D251*INDEX(Products!$E$2:$E$49,MATCH(C251,Products!$A$2:$A$49,0))</f>
        <v>13625</v>
      </c>
      <c r="I251" s="33" t="n">
        <f aca="false">D251*INDEX(Products!$D$2:$D$49,MATCH(C251,Products!$A$2:$A$49,0))*(1+INDEX(Assumptions!$B$16:$B$20,MATCH(B251,Assumptions!$A$16:$A$20,0)))</f>
        <v>11449.36</v>
      </c>
      <c r="J251" s="33" t="n">
        <f aca="false">H251-I251</f>
        <v>2175.64</v>
      </c>
      <c r="K251" s="33" t="n">
        <f aca="false">IF(OR(E251=0,E251&gt;=7),0,D251/(7-E251)*E251*INDEX(Products!$E$2:$E$49,MATCH(C251,Products!$A$2:$A$49,0)))</f>
        <v>0</v>
      </c>
    </row>
    <row r="252" customFormat="false" ht="15" hidden="false" customHeight="false" outlineLevel="0" collapsed="false">
      <c r="A252" s="36" t="n">
        <v>46118</v>
      </c>
      <c r="B252" s="24" t="s">
        <v>61</v>
      </c>
      <c r="C252" s="24" t="s">
        <v>135</v>
      </c>
      <c r="D252" s="33" t="n">
        <v>45</v>
      </c>
      <c r="E252" s="24" t="n">
        <v>0</v>
      </c>
      <c r="F252" s="37" t="n">
        <f aca="false">DATE(YEAR(A252),MONTH(A252),1)</f>
        <v>46113</v>
      </c>
      <c r="G252" s="24" t="str">
        <f aca="false">INDEX(Products!$C$2:$C$49,MATCH(C252,Products!$A$2:$A$49,0))</f>
        <v>Dairy &amp; Eggs</v>
      </c>
      <c r="H252" s="33" t="n">
        <f aca="false">D252*INDEX(Products!$E$2:$E$49,MATCH(C252,Products!$A$2:$A$49,0))</f>
        <v>5850</v>
      </c>
      <c r="I252" s="33" t="n">
        <f aca="false">D252*INDEX(Products!$D$2:$D$49,MATCH(C252,Products!$A$2:$A$49,0))*(1+INDEX(Assumptions!$B$16:$B$20,MATCH(B252,Assumptions!$A$16:$A$20,0)))</f>
        <v>4999.5</v>
      </c>
      <c r="J252" s="33" t="n">
        <f aca="false">H252-I252</f>
        <v>850.5</v>
      </c>
      <c r="K252" s="33" t="n">
        <f aca="false">IF(OR(E252=0,E252&gt;=7),0,D252/(7-E252)*E252*INDEX(Products!$E$2:$E$49,MATCH(C252,Products!$A$2:$A$49,0)))</f>
        <v>0</v>
      </c>
    </row>
    <row r="253" customFormat="false" ht="15" hidden="false" customHeight="false" outlineLevel="0" collapsed="false">
      <c r="A253" s="36" t="n">
        <v>46125</v>
      </c>
      <c r="B253" s="24" t="s">
        <v>61</v>
      </c>
      <c r="C253" s="24" t="s">
        <v>135</v>
      </c>
      <c r="D253" s="33" t="n">
        <v>50</v>
      </c>
      <c r="E253" s="24" t="n">
        <v>0</v>
      </c>
      <c r="F253" s="37" t="n">
        <f aca="false">DATE(YEAR(A253),MONTH(A253),1)</f>
        <v>46113</v>
      </c>
      <c r="G253" s="24" t="str">
        <f aca="false">INDEX(Products!$C$2:$C$49,MATCH(C253,Products!$A$2:$A$49,0))</f>
        <v>Dairy &amp; Eggs</v>
      </c>
      <c r="H253" s="33" t="n">
        <f aca="false">D253*INDEX(Products!$E$2:$E$49,MATCH(C253,Products!$A$2:$A$49,0))</f>
        <v>6500</v>
      </c>
      <c r="I253" s="33" t="n">
        <f aca="false">D253*INDEX(Products!$D$2:$D$49,MATCH(C253,Products!$A$2:$A$49,0))*(1+INDEX(Assumptions!$B$16:$B$20,MATCH(B253,Assumptions!$A$16:$A$20,0)))</f>
        <v>5555</v>
      </c>
      <c r="J253" s="33" t="n">
        <f aca="false">H253-I253</f>
        <v>945</v>
      </c>
      <c r="K253" s="33" t="n">
        <f aca="false">IF(OR(E253=0,E253&gt;=7),0,D253/(7-E253)*E253*INDEX(Products!$E$2:$E$49,MATCH(C253,Products!$A$2:$A$49,0)))</f>
        <v>0</v>
      </c>
    </row>
    <row r="254" customFormat="false" ht="15" hidden="false" customHeight="false" outlineLevel="0" collapsed="false">
      <c r="A254" s="36" t="n">
        <v>46132</v>
      </c>
      <c r="B254" s="24" t="s">
        <v>61</v>
      </c>
      <c r="C254" s="24" t="s">
        <v>135</v>
      </c>
      <c r="D254" s="33" t="n">
        <v>54</v>
      </c>
      <c r="E254" s="24" t="n">
        <v>0</v>
      </c>
      <c r="F254" s="37" t="n">
        <f aca="false">DATE(YEAR(A254),MONTH(A254),1)</f>
        <v>46113</v>
      </c>
      <c r="G254" s="24" t="str">
        <f aca="false">INDEX(Products!$C$2:$C$49,MATCH(C254,Products!$A$2:$A$49,0))</f>
        <v>Dairy &amp; Eggs</v>
      </c>
      <c r="H254" s="33" t="n">
        <f aca="false">D254*INDEX(Products!$E$2:$E$49,MATCH(C254,Products!$A$2:$A$49,0))</f>
        <v>7020</v>
      </c>
      <c r="I254" s="33" t="n">
        <f aca="false">D254*INDEX(Products!$D$2:$D$49,MATCH(C254,Products!$A$2:$A$49,0))*(1+INDEX(Assumptions!$B$16:$B$20,MATCH(B254,Assumptions!$A$16:$A$20,0)))</f>
        <v>5999.4</v>
      </c>
      <c r="J254" s="33" t="n">
        <f aca="false">H254-I254</f>
        <v>1020.6</v>
      </c>
      <c r="K254" s="33" t="n">
        <f aca="false">IF(OR(E254=0,E254&gt;=7),0,D254/(7-E254)*E254*INDEX(Products!$E$2:$E$49,MATCH(C254,Products!$A$2:$A$49,0)))</f>
        <v>0</v>
      </c>
    </row>
    <row r="255" customFormat="false" ht="15" hidden="false" customHeight="false" outlineLevel="0" collapsed="false">
      <c r="A255" s="36" t="n">
        <v>46139</v>
      </c>
      <c r="B255" s="24" t="s">
        <v>61</v>
      </c>
      <c r="C255" s="24" t="s">
        <v>135</v>
      </c>
      <c r="D255" s="33" t="n">
        <v>61</v>
      </c>
      <c r="E255" s="24" t="n">
        <v>0</v>
      </c>
      <c r="F255" s="37" t="n">
        <f aca="false">DATE(YEAR(A255),MONTH(A255),1)</f>
        <v>46113</v>
      </c>
      <c r="G255" s="24" t="str">
        <f aca="false">INDEX(Products!$C$2:$C$49,MATCH(C255,Products!$A$2:$A$49,0))</f>
        <v>Dairy &amp; Eggs</v>
      </c>
      <c r="H255" s="33" t="n">
        <f aca="false">D255*INDEX(Products!$E$2:$E$49,MATCH(C255,Products!$A$2:$A$49,0))</f>
        <v>7930</v>
      </c>
      <c r="I255" s="33" t="n">
        <f aca="false">D255*INDEX(Products!$D$2:$D$49,MATCH(C255,Products!$A$2:$A$49,0))*(1+INDEX(Assumptions!$B$16:$B$20,MATCH(B255,Assumptions!$A$16:$A$20,0)))</f>
        <v>6777.1</v>
      </c>
      <c r="J255" s="33" t="n">
        <f aca="false">H255-I255</f>
        <v>1152.9</v>
      </c>
      <c r="K255" s="33" t="n">
        <f aca="false">IF(OR(E255=0,E255&gt;=7),0,D255/(7-E255)*E255*INDEX(Products!$E$2:$E$49,MATCH(C255,Products!$A$2:$A$49,0)))</f>
        <v>0</v>
      </c>
    </row>
    <row r="256" customFormat="false" ht="15" hidden="false" customHeight="false" outlineLevel="0" collapsed="false">
      <c r="A256" s="36" t="n">
        <v>46146</v>
      </c>
      <c r="B256" s="24" t="s">
        <v>61</v>
      </c>
      <c r="C256" s="24" t="s">
        <v>135</v>
      </c>
      <c r="D256" s="33" t="n">
        <v>63</v>
      </c>
      <c r="E256" s="24" t="n">
        <v>0</v>
      </c>
      <c r="F256" s="37" t="n">
        <f aca="false">DATE(YEAR(A256),MONTH(A256),1)</f>
        <v>46143</v>
      </c>
      <c r="G256" s="24" t="str">
        <f aca="false">INDEX(Products!$C$2:$C$49,MATCH(C256,Products!$A$2:$A$49,0))</f>
        <v>Dairy &amp; Eggs</v>
      </c>
      <c r="H256" s="33" t="n">
        <f aca="false">D256*INDEX(Products!$E$2:$E$49,MATCH(C256,Products!$A$2:$A$49,0))</f>
        <v>8190</v>
      </c>
      <c r="I256" s="33" t="n">
        <f aca="false">D256*INDEX(Products!$D$2:$D$49,MATCH(C256,Products!$A$2:$A$49,0))*(1+INDEX(Assumptions!$B$16:$B$20,MATCH(B256,Assumptions!$A$16:$A$20,0)))</f>
        <v>6999.3</v>
      </c>
      <c r="J256" s="33" t="n">
        <f aca="false">H256-I256</f>
        <v>1190.7</v>
      </c>
      <c r="K256" s="33" t="n">
        <f aca="false">IF(OR(E256=0,E256&gt;=7),0,D256/(7-E256)*E256*INDEX(Products!$E$2:$E$49,MATCH(C256,Products!$A$2:$A$49,0)))</f>
        <v>0</v>
      </c>
    </row>
    <row r="257" customFormat="false" ht="15" hidden="false" customHeight="false" outlineLevel="0" collapsed="false">
      <c r="A257" s="36" t="n">
        <v>46153</v>
      </c>
      <c r="B257" s="24" t="s">
        <v>61</v>
      </c>
      <c r="C257" s="24" t="s">
        <v>135</v>
      </c>
      <c r="D257" s="33" t="n">
        <v>74</v>
      </c>
      <c r="E257" s="24" t="n">
        <v>0</v>
      </c>
      <c r="F257" s="37" t="n">
        <f aca="false">DATE(YEAR(A257),MONTH(A257),1)</f>
        <v>46143</v>
      </c>
      <c r="G257" s="24" t="str">
        <f aca="false">INDEX(Products!$C$2:$C$49,MATCH(C257,Products!$A$2:$A$49,0))</f>
        <v>Dairy &amp; Eggs</v>
      </c>
      <c r="H257" s="33" t="n">
        <f aca="false">D257*INDEX(Products!$E$2:$E$49,MATCH(C257,Products!$A$2:$A$49,0))</f>
        <v>9620</v>
      </c>
      <c r="I257" s="33" t="n">
        <f aca="false">D257*INDEX(Products!$D$2:$D$49,MATCH(C257,Products!$A$2:$A$49,0))*(1+INDEX(Assumptions!$B$16:$B$20,MATCH(B257,Assumptions!$A$16:$A$20,0)))</f>
        <v>8221.4</v>
      </c>
      <c r="J257" s="33" t="n">
        <f aca="false">H257-I257</f>
        <v>1398.6</v>
      </c>
      <c r="K257" s="33" t="n">
        <f aca="false">IF(OR(E257=0,E257&gt;=7),0,D257/(7-E257)*E257*INDEX(Products!$E$2:$E$49,MATCH(C257,Products!$A$2:$A$49,0)))</f>
        <v>0</v>
      </c>
    </row>
    <row r="258" customFormat="false" ht="15" hidden="false" customHeight="false" outlineLevel="0" collapsed="false">
      <c r="A258" s="36" t="n">
        <v>46160</v>
      </c>
      <c r="B258" s="24" t="s">
        <v>61</v>
      </c>
      <c r="C258" s="24" t="s">
        <v>135</v>
      </c>
      <c r="D258" s="33" t="n">
        <v>58</v>
      </c>
      <c r="E258" s="24" t="n">
        <v>0</v>
      </c>
      <c r="F258" s="37" t="n">
        <f aca="false">DATE(YEAR(A258),MONTH(A258),1)</f>
        <v>46143</v>
      </c>
      <c r="G258" s="24" t="str">
        <f aca="false">INDEX(Products!$C$2:$C$49,MATCH(C258,Products!$A$2:$A$49,0))</f>
        <v>Dairy &amp; Eggs</v>
      </c>
      <c r="H258" s="33" t="n">
        <f aca="false">D258*INDEX(Products!$E$2:$E$49,MATCH(C258,Products!$A$2:$A$49,0))</f>
        <v>7540</v>
      </c>
      <c r="I258" s="33" t="n">
        <f aca="false">D258*INDEX(Products!$D$2:$D$49,MATCH(C258,Products!$A$2:$A$49,0))*(1+INDEX(Assumptions!$B$16:$B$20,MATCH(B258,Assumptions!$A$16:$A$20,0)))</f>
        <v>6443.8</v>
      </c>
      <c r="J258" s="33" t="n">
        <f aca="false">H258-I258</f>
        <v>1096.2</v>
      </c>
      <c r="K258" s="33" t="n">
        <f aca="false">IF(OR(E258=0,E258&gt;=7),0,D258/(7-E258)*E258*INDEX(Products!$E$2:$E$49,MATCH(C258,Products!$A$2:$A$49,0)))</f>
        <v>0</v>
      </c>
    </row>
    <row r="259" customFormat="false" ht="15" hidden="false" customHeight="false" outlineLevel="0" collapsed="false">
      <c r="A259" s="36" t="n">
        <v>46167</v>
      </c>
      <c r="B259" s="24" t="s">
        <v>61</v>
      </c>
      <c r="C259" s="24" t="s">
        <v>135</v>
      </c>
      <c r="D259" s="33" t="n">
        <v>66</v>
      </c>
      <c r="E259" s="24" t="n">
        <v>0</v>
      </c>
      <c r="F259" s="37" t="n">
        <f aca="false">DATE(YEAR(A259),MONTH(A259),1)</f>
        <v>46143</v>
      </c>
      <c r="G259" s="24" t="str">
        <f aca="false">INDEX(Products!$C$2:$C$49,MATCH(C259,Products!$A$2:$A$49,0))</f>
        <v>Dairy &amp; Eggs</v>
      </c>
      <c r="H259" s="33" t="n">
        <f aca="false">D259*INDEX(Products!$E$2:$E$49,MATCH(C259,Products!$A$2:$A$49,0))</f>
        <v>8580</v>
      </c>
      <c r="I259" s="33" t="n">
        <f aca="false">D259*INDEX(Products!$D$2:$D$49,MATCH(C259,Products!$A$2:$A$49,0))*(1+INDEX(Assumptions!$B$16:$B$20,MATCH(B259,Assumptions!$A$16:$A$20,0)))</f>
        <v>7332.6</v>
      </c>
      <c r="J259" s="33" t="n">
        <f aca="false">H259-I259</f>
        <v>1247.4</v>
      </c>
      <c r="K259" s="33" t="n">
        <f aca="false">IF(OR(E259=0,E259&gt;=7),0,D259/(7-E259)*E259*INDEX(Products!$E$2:$E$49,MATCH(C259,Products!$A$2:$A$49,0)))</f>
        <v>0</v>
      </c>
    </row>
    <row r="260" customFormat="false" ht="15" hidden="false" customHeight="false" outlineLevel="0" collapsed="false">
      <c r="A260" s="36" t="n">
        <v>46174</v>
      </c>
      <c r="B260" s="24" t="s">
        <v>61</v>
      </c>
      <c r="C260" s="24" t="s">
        <v>135</v>
      </c>
      <c r="D260" s="33" t="n">
        <v>45</v>
      </c>
      <c r="E260" s="24" t="n">
        <v>0</v>
      </c>
      <c r="F260" s="37" t="n">
        <f aca="false">DATE(YEAR(A260),MONTH(A260),1)</f>
        <v>46174</v>
      </c>
      <c r="G260" s="24" t="str">
        <f aca="false">INDEX(Products!$C$2:$C$49,MATCH(C260,Products!$A$2:$A$49,0))</f>
        <v>Dairy &amp; Eggs</v>
      </c>
      <c r="H260" s="33" t="n">
        <f aca="false">D260*INDEX(Products!$E$2:$E$49,MATCH(C260,Products!$A$2:$A$49,0))</f>
        <v>5850</v>
      </c>
      <c r="I260" s="33" t="n">
        <f aca="false">D260*INDEX(Products!$D$2:$D$49,MATCH(C260,Products!$A$2:$A$49,0))*(1+INDEX(Assumptions!$B$16:$B$20,MATCH(B260,Assumptions!$A$16:$A$20,0)))</f>
        <v>4999.5</v>
      </c>
      <c r="J260" s="33" t="n">
        <f aca="false">H260-I260</f>
        <v>850.5</v>
      </c>
      <c r="K260" s="33" t="n">
        <f aca="false">IF(OR(E260=0,E260&gt;=7),0,D260/(7-E260)*E260*INDEX(Products!$E$2:$E$49,MATCH(C260,Products!$A$2:$A$49,0)))</f>
        <v>0</v>
      </c>
    </row>
    <row r="261" customFormat="false" ht="15" hidden="false" customHeight="false" outlineLevel="0" collapsed="false">
      <c r="A261" s="36" t="n">
        <v>46181</v>
      </c>
      <c r="B261" s="24" t="s">
        <v>61</v>
      </c>
      <c r="C261" s="24" t="s">
        <v>135</v>
      </c>
      <c r="D261" s="33" t="n">
        <v>43</v>
      </c>
      <c r="E261" s="24" t="n">
        <v>0</v>
      </c>
      <c r="F261" s="37" t="n">
        <f aca="false">DATE(YEAR(A261),MONTH(A261),1)</f>
        <v>46174</v>
      </c>
      <c r="G261" s="24" t="str">
        <f aca="false">INDEX(Products!$C$2:$C$49,MATCH(C261,Products!$A$2:$A$49,0))</f>
        <v>Dairy &amp; Eggs</v>
      </c>
      <c r="H261" s="33" t="n">
        <f aca="false">D261*INDEX(Products!$E$2:$E$49,MATCH(C261,Products!$A$2:$A$49,0))</f>
        <v>5590</v>
      </c>
      <c r="I261" s="33" t="n">
        <f aca="false">D261*INDEX(Products!$D$2:$D$49,MATCH(C261,Products!$A$2:$A$49,0))*(1+INDEX(Assumptions!$B$16:$B$20,MATCH(B261,Assumptions!$A$16:$A$20,0)))</f>
        <v>4777.3</v>
      </c>
      <c r="J261" s="33" t="n">
        <f aca="false">H261-I261</f>
        <v>812.7</v>
      </c>
      <c r="K261" s="33" t="n">
        <f aca="false">IF(OR(E261=0,E261&gt;=7),0,D261/(7-E261)*E261*INDEX(Products!$E$2:$E$49,MATCH(C261,Products!$A$2:$A$49,0)))</f>
        <v>0</v>
      </c>
    </row>
    <row r="262" customFormat="false" ht="15" hidden="false" customHeight="false" outlineLevel="0" collapsed="false">
      <c r="A262" s="36" t="n">
        <v>46188</v>
      </c>
      <c r="B262" s="24" t="s">
        <v>61</v>
      </c>
      <c r="C262" s="24" t="s">
        <v>135</v>
      </c>
      <c r="D262" s="33" t="n">
        <v>69</v>
      </c>
      <c r="E262" s="24" t="n">
        <v>0</v>
      </c>
      <c r="F262" s="37" t="n">
        <f aca="false">DATE(YEAR(A262),MONTH(A262),1)</f>
        <v>46174</v>
      </c>
      <c r="G262" s="24" t="str">
        <f aca="false">INDEX(Products!$C$2:$C$49,MATCH(C262,Products!$A$2:$A$49,0))</f>
        <v>Dairy &amp; Eggs</v>
      </c>
      <c r="H262" s="33" t="n">
        <f aca="false">D262*INDEX(Products!$E$2:$E$49,MATCH(C262,Products!$A$2:$A$49,0))</f>
        <v>8970</v>
      </c>
      <c r="I262" s="33" t="n">
        <f aca="false">D262*INDEX(Products!$D$2:$D$49,MATCH(C262,Products!$A$2:$A$49,0))*(1+INDEX(Assumptions!$B$16:$B$20,MATCH(B262,Assumptions!$A$16:$A$20,0)))</f>
        <v>7665.9</v>
      </c>
      <c r="J262" s="33" t="n">
        <f aca="false">H262-I262</f>
        <v>1304.1</v>
      </c>
      <c r="K262" s="33" t="n">
        <f aca="false">IF(OR(E262=0,E262&gt;=7),0,D262/(7-E262)*E262*INDEX(Products!$E$2:$E$49,MATCH(C262,Products!$A$2:$A$49,0)))</f>
        <v>0</v>
      </c>
    </row>
    <row r="263" customFormat="false" ht="15" hidden="false" customHeight="false" outlineLevel="0" collapsed="false">
      <c r="A263" s="36" t="n">
        <v>46195</v>
      </c>
      <c r="B263" s="24" t="s">
        <v>61</v>
      </c>
      <c r="C263" s="24" t="s">
        <v>135</v>
      </c>
      <c r="D263" s="33" t="n">
        <v>63</v>
      </c>
      <c r="E263" s="24" t="n">
        <v>0</v>
      </c>
      <c r="F263" s="37" t="n">
        <f aca="false">DATE(YEAR(A263),MONTH(A263),1)</f>
        <v>46174</v>
      </c>
      <c r="G263" s="24" t="str">
        <f aca="false">INDEX(Products!$C$2:$C$49,MATCH(C263,Products!$A$2:$A$49,0))</f>
        <v>Dairy &amp; Eggs</v>
      </c>
      <c r="H263" s="33" t="n">
        <f aca="false">D263*INDEX(Products!$E$2:$E$49,MATCH(C263,Products!$A$2:$A$49,0))</f>
        <v>8190</v>
      </c>
      <c r="I263" s="33" t="n">
        <f aca="false">D263*INDEX(Products!$D$2:$D$49,MATCH(C263,Products!$A$2:$A$49,0))*(1+INDEX(Assumptions!$B$16:$B$20,MATCH(B263,Assumptions!$A$16:$A$20,0)))</f>
        <v>6999.3</v>
      </c>
      <c r="J263" s="33" t="n">
        <f aca="false">H263-I263</f>
        <v>1190.7</v>
      </c>
      <c r="K263" s="33" t="n">
        <f aca="false">IF(OR(E263=0,E263&gt;=7),0,D263/(7-E263)*E263*INDEX(Products!$E$2:$E$49,MATCH(C263,Products!$A$2:$A$49,0)))</f>
        <v>0</v>
      </c>
    </row>
    <row r="264" customFormat="false" ht="15" hidden="false" customHeight="false" outlineLevel="0" collapsed="false">
      <c r="A264" s="36" t="n">
        <v>46202</v>
      </c>
      <c r="B264" s="24" t="s">
        <v>61</v>
      </c>
      <c r="C264" s="24" t="s">
        <v>135</v>
      </c>
      <c r="D264" s="33" t="n">
        <v>58</v>
      </c>
      <c r="E264" s="24" t="n">
        <v>0</v>
      </c>
      <c r="F264" s="37" t="n">
        <f aca="false">DATE(YEAR(A264),MONTH(A264),1)</f>
        <v>46174</v>
      </c>
      <c r="G264" s="24" t="str">
        <f aca="false">INDEX(Products!$C$2:$C$49,MATCH(C264,Products!$A$2:$A$49,0))</f>
        <v>Dairy &amp; Eggs</v>
      </c>
      <c r="H264" s="33" t="n">
        <f aca="false">D264*INDEX(Products!$E$2:$E$49,MATCH(C264,Products!$A$2:$A$49,0))</f>
        <v>7540</v>
      </c>
      <c r="I264" s="33" t="n">
        <f aca="false">D264*INDEX(Products!$D$2:$D$49,MATCH(C264,Products!$A$2:$A$49,0))*(1+INDEX(Assumptions!$B$16:$B$20,MATCH(B264,Assumptions!$A$16:$A$20,0)))</f>
        <v>6443.8</v>
      </c>
      <c r="J264" s="33" t="n">
        <f aca="false">H264-I264</f>
        <v>1096.2</v>
      </c>
      <c r="K264" s="33" t="n">
        <f aca="false">IF(OR(E264=0,E264&gt;=7),0,D264/(7-E264)*E264*INDEX(Products!$E$2:$E$49,MATCH(C264,Products!$A$2:$A$49,0)))</f>
        <v>0</v>
      </c>
    </row>
    <row r="265" customFormat="false" ht="15" hidden="false" customHeight="false" outlineLevel="0" collapsed="false">
      <c r="A265" s="36" t="n">
        <v>46209</v>
      </c>
      <c r="B265" s="24" t="s">
        <v>61</v>
      </c>
      <c r="C265" s="24" t="s">
        <v>135</v>
      </c>
      <c r="D265" s="33" t="n">
        <v>48</v>
      </c>
      <c r="E265" s="24" t="n">
        <v>0</v>
      </c>
      <c r="F265" s="37" t="n">
        <f aca="false">DATE(YEAR(A265),MONTH(A265),1)</f>
        <v>46204</v>
      </c>
      <c r="G265" s="24" t="str">
        <f aca="false">INDEX(Products!$C$2:$C$49,MATCH(C265,Products!$A$2:$A$49,0))</f>
        <v>Dairy &amp; Eggs</v>
      </c>
      <c r="H265" s="33" t="n">
        <f aca="false">D265*INDEX(Products!$E$2:$E$49,MATCH(C265,Products!$A$2:$A$49,0))</f>
        <v>6240</v>
      </c>
      <c r="I265" s="33" t="n">
        <f aca="false">D265*INDEX(Products!$D$2:$D$49,MATCH(C265,Products!$A$2:$A$49,0))*(1+INDEX(Assumptions!$B$16:$B$20,MATCH(B265,Assumptions!$A$16:$A$20,0)))</f>
        <v>5332.8</v>
      </c>
      <c r="J265" s="33" t="n">
        <f aca="false">H265-I265</f>
        <v>907.2</v>
      </c>
      <c r="K265" s="33" t="n">
        <f aca="false">IF(OR(E265=0,E265&gt;=7),0,D265/(7-E265)*E265*INDEX(Products!$E$2:$E$49,MATCH(C265,Products!$A$2:$A$49,0)))</f>
        <v>0</v>
      </c>
    </row>
    <row r="266" customFormat="false" ht="15" hidden="false" customHeight="false" outlineLevel="0" collapsed="false">
      <c r="A266" s="36" t="n">
        <v>46216</v>
      </c>
      <c r="B266" s="24" t="s">
        <v>61</v>
      </c>
      <c r="C266" s="24" t="s">
        <v>135</v>
      </c>
      <c r="D266" s="33" t="n">
        <v>49</v>
      </c>
      <c r="E266" s="24" t="n">
        <v>0</v>
      </c>
      <c r="F266" s="37" t="n">
        <f aca="false">DATE(YEAR(A266),MONTH(A266),1)</f>
        <v>46204</v>
      </c>
      <c r="G266" s="24" t="str">
        <f aca="false">INDEX(Products!$C$2:$C$49,MATCH(C266,Products!$A$2:$A$49,0))</f>
        <v>Dairy &amp; Eggs</v>
      </c>
      <c r="H266" s="33" t="n">
        <f aca="false">D266*INDEX(Products!$E$2:$E$49,MATCH(C266,Products!$A$2:$A$49,0))</f>
        <v>6370</v>
      </c>
      <c r="I266" s="33" t="n">
        <f aca="false">D266*INDEX(Products!$D$2:$D$49,MATCH(C266,Products!$A$2:$A$49,0))*(1+INDEX(Assumptions!$B$16:$B$20,MATCH(B266,Assumptions!$A$16:$A$20,0)))</f>
        <v>5443.9</v>
      </c>
      <c r="J266" s="33" t="n">
        <f aca="false">H266-I266</f>
        <v>926.1</v>
      </c>
      <c r="K266" s="33" t="n">
        <f aca="false">IF(OR(E266=0,E266&gt;=7),0,D266/(7-E266)*E266*INDEX(Products!$E$2:$E$49,MATCH(C266,Products!$A$2:$A$49,0)))</f>
        <v>0</v>
      </c>
    </row>
    <row r="267" customFormat="false" ht="15" hidden="false" customHeight="false" outlineLevel="0" collapsed="false">
      <c r="A267" s="36" t="n">
        <v>46223</v>
      </c>
      <c r="B267" s="24" t="s">
        <v>61</v>
      </c>
      <c r="C267" s="24" t="s">
        <v>135</v>
      </c>
      <c r="D267" s="33" t="n">
        <v>57</v>
      </c>
      <c r="E267" s="24" t="n">
        <v>0</v>
      </c>
      <c r="F267" s="37" t="n">
        <f aca="false">DATE(YEAR(A267),MONTH(A267),1)</f>
        <v>46204</v>
      </c>
      <c r="G267" s="24" t="str">
        <f aca="false">INDEX(Products!$C$2:$C$49,MATCH(C267,Products!$A$2:$A$49,0))</f>
        <v>Dairy &amp; Eggs</v>
      </c>
      <c r="H267" s="33" t="n">
        <f aca="false">D267*INDEX(Products!$E$2:$E$49,MATCH(C267,Products!$A$2:$A$49,0))</f>
        <v>7410</v>
      </c>
      <c r="I267" s="33" t="n">
        <f aca="false">D267*INDEX(Products!$D$2:$D$49,MATCH(C267,Products!$A$2:$A$49,0))*(1+INDEX(Assumptions!$B$16:$B$20,MATCH(B267,Assumptions!$A$16:$A$20,0)))</f>
        <v>6332.7</v>
      </c>
      <c r="J267" s="33" t="n">
        <f aca="false">H267-I267</f>
        <v>1077.3</v>
      </c>
      <c r="K267" s="33" t="n">
        <f aca="false">IF(OR(E267=0,E267&gt;=7),0,D267/(7-E267)*E267*INDEX(Products!$E$2:$E$49,MATCH(C267,Products!$A$2:$A$49,0)))</f>
        <v>0</v>
      </c>
    </row>
    <row r="268" customFormat="false" ht="15" hidden="false" customHeight="false" outlineLevel="0" collapsed="false">
      <c r="A268" s="36" t="n">
        <v>46230</v>
      </c>
      <c r="B268" s="24" t="s">
        <v>61</v>
      </c>
      <c r="C268" s="24" t="s">
        <v>135</v>
      </c>
      <c r="D268" s="33" t="n">
        <v>47</v>
      </c>
      <c r="E268" s="24" t="n">
        <v>0</v>
      </c>
      <c r="F268" s="37" t="n">
        <f aca="false">DATE(YEAR(A268),MONTH(A268),1)</f>
        <v>46204</v>
      </c>
      <c r="G268" s="24" t="str">
        <f aca="false">INDEX(Products!$C$2:$C$49,MATCH(C268,Products!$A$2:$A$49,0))</f>
        <v>Dairy &amp; Eggs</v>
      </c>
      <c r="H268" s="33" t="n">
        <f aca="false">D268*INDEX(Products!$E$2:$E$49,MATCH(C268,Products!$A$2:$A$49,0))</f>
        <v>6110</v>
      </c>
      <c r="I268" s="33" t="n">
        <f aca="false">D268*INDEX(Products!$D$2:$D$49,MATCH(C268,Products!$A$2:$A$49,0))*(1+INDEX(Assumptions!$B$16:$B$20,MATCH(B268,Assumptions!$A$16:$A$20,0)))</f>
        <v>5221.7</v>
      </c>
      <c r="J268" s="33" t="n">
        <f aca="false">H268-I268</f>
        <v>888.3</v>
      </c>
      <c r="K268" s="33" t="n">
        <f aca="false">IF(OR(E268=0,E268&gt;=7),0,D268/(7-E268)*E268*INDEX(Products!$E$2:$E$49,MATCH(C268,Products!$A$2:$A$49,0)))</f>
        <v>0</v>
      </c>
    </row>
    <row r="269" customFormat="false" ht="15" hidden="false" customHeight="false" outlineLevel="0" collapsed="false">
      <c r="A269" s="36" t="n">
        <v>46237</v>
      </c>
      <c r="B269" s="24" t="s">
        <v>61</v>
      </c>
      <c r="C269" s="24" t="s">
        <v>135</v>
      </c>
      <c r="D269" s="33" t="n">
        <v>47</v>
      </c>
      <c r="E269" s="24" t="n">
        <v>0</v>
      </c>
      <c r="F269" s="37" t="n">
        <f aca="false">DATE(YEAR(A269),MONTH(A269),1)</f>
        <v>46235</v>
      </c>
      <c r="G269" s="24" t="str">
        <f aca="false">INDEX(Products!$C$2:$C$49,MATCH(C269,Products!$A$2:$A$49,0))</f>
        <v>Dairy &amp; Eggs</v>
      </c>
      <c r="H269" s="33" t="n">
        <f aca="false">D269*INDEX(Products!$E$2:$E$49,MATCH(C269,Products!$A$2:$A$49,0))</f>
        <v>6110</v>
      </c>
      <c r="I269" s="33" t="n">
        <f aca="false">D269*INDEX(Products!$D$2:$D$49,MATCH(C269,Products!$A$2:$A$49,0))*(1+INDEX(Assumptions!$B$16:$B$20,MATCH(B269,Assumptions!$A$16:$A$20,0)))</f>
        <v>5221.7</v>
      </c>
      <c r="J269" s="33" t="n">
        <f aca="false">H269-I269</f>
        <v>888.3</v>
      </c>
      <c r="K269" s="33" t="n">
        <f aca="false">IF(OR(E269=0,E269&gt;=7),0,D269/(7-E269)*E269*INDEX(Products!$E$2:$E$49,MATCH(C269,Products!$A$2:$A$49,0)))</f>
        <v>0</v>
      </c>
    </row>
    <row r="270" customFormat="false" ht="15" hidden="false" customHeight="false" outlineLevel="0" collapsed="false">
      <c r="A270" s="36" t="n">
        <v>46244</v>
      </c>
      <c r="B270" s="24" t="s">
        <v>61</v>
      </c>
      <c r="C270" s="24" t="s">
        <v>135</v>
      </c>
      <c r="D270" s="33" t="n">
        <v>49</v>
      </c>
      <c r="E270" s="24" t="n">
        <v>0</v>
      </c>
      <c r="F270" s="37" t="n">
        <f aca="false">DATE(YEAR(A270),MONTH(A270),1)</f>
        <v>46235</v>
      </c>
      <c r="G270" s="24" t="str">
        <f aca="false">INDEX(Products!$C$2:$C$49,MATCH(C270,Products!$A$2:$A$49,0))</f>
        <v>Dairy &amp; Eggs</v>
      </c>
      <c r="H270" s="33" t="n">
        <f aca="false">D270*INDEX(Products!$E$2:$E$49,MATCH(C270,Products!$A$2:$A$49,0))</f>
        <v>6370</v>
      </c>
      <c r="I270" s="33" t="n">
        <f aca="false">D270*INDEX(Products!$D$2:$D$49,MATCH(C270,Products!$A$2:$A$49,0))*(1+INDEX(Assumptions!$B$16:$B$20,MATCH(B270,Assumptions!$A$16:$A$20,0)))</f>
        <v>5443.9</v>
      </c>
      <c r="J270" s="33" t="n">
        <f aca="false">H270-I270</f>
        <v>926.1</v>
      </c>
      <c r="K270" s="33" t="n">
        <f aca="false">IF(OR(E270=0,E270&gt;=7),0,D270/(7-E270)*E270*INDEX(Products!$E$2:$E$49,MATCH(C270,Products!$A$2:$A$49,0)))</f>
        <v>0</v>
      </c>
    </row>
    <row r="271" customFormat="false" ht="15" hidden="false" customHeight="false" outlineLevel="0" collapsed="false">
      <c r="A271" s="36" t="n">
        <v>46251</v>
      </c>
      <c r="B271" s="24" t="s">
        <v>61</v>
      </c>
      <c r="C271" s="24" t="s">
        <v>135</v>
      </c>
      <c r="D271" s="33" t="n">
        <v>38</v>
      </c>
      <c r="E271" s="24" t="n">
        <v>0</v>
      </c>
      <c r="F271" s="37" t="n">
        <f aca="false">DATE(YEAR(A271),MONTH(A271),1)</f>
        <v>46235</v>
      </c>
      <c r="G271" s="24" t="str">
        <f aca="false">INDEX(Products!$C$2:$C$49,MATCH(C271,Products!$A$2:$A$49,0))</f>
        <v>Dairy &amp; Eggs</v>
      </c>
      <c r="H271" s="33" t="n">
        <f aca="false">D271*INDEX(Products!$E$2:$E$49,MATCH(C271,Products!$A$2:$A$49,0))</f>
        <v>4940</v>
      </c>
      <c r="I271" s="33" t="n">
        <f aca="false">D271*INDEX(Products!$D$2:$D$49,MATCH(C271,Products!$A$2:$A$49,0))*(1+INDEX(Assumptions!$B$16:$B$20,MATCH(B271,Assumptions!$A$16:$A$20,0)))</f>
        <v>4221.8</v>
      </c>
      <c r="J271" s="33" t="n">
        <f aca="false">H271-I271</f>
        <v>718.2</v>
      </c>
      <c r="K271" s="33" t="n">
        <f aca="false">IF(OR(E271=0,E271&gt;=7),0,D271/(7-E271)*E271*INDEX(Products!$E$2:$E$49,MATCH(C271,Products!$A$2:$A$49,0)))</f>
        <v>0</v>
      </c>
    </row>
    <row r="272" customFormat="false" ht="15" hidden="false" customHeight="false" outlineLevel="0" collapsed="false">
      <c r="A272" s="36" t="n">
        <v>46258</v>
      </c>
      <c r="B272" s="24" t="s">
        <v>61</v>
      </c>
      <c r="C272" s="24" t="s">
        <v>135</v>
      </c>
      <c r="D272" s="33" t="n">
        <v>47</v>
      </c>
      <c r="E272" s="24" t="n">
        <v>0</v>
      </c>
      <c r="F272" s="37" t="n">
        <f aca="false">DATE(YEAR(A272),MONTH(A272),1)</f>
        <v>46235</v>
      </c>
      <c r="G272" s="24" t="str">
        <f aca="false">INDEX(Products!$C$2:$C$49,MATCH(C272,Products!$A$2:$A$49,0))</f>
        <v>Dairy &amp; Eggs</v>
      </c>
      <c r="H272" s="33" t="n">
        <f aca="false">D272*INDEX(Products!$E$2:$E$49,MATCH(C272,Products!$A$2:$A$49,0))</f>
        <v>6110</v>
      </c>
      <c r="I272" s="33" t="n">
        <f aca="false">D272*INDEX(Products!$D$2:$D$49,MATCH(C272,Products!$A$2:$A$49,0))*(1+INDEX(Assumptions!$B$16:$B$20,MATCH(B272,Assumptions!$A$16:$A$20,0)))</f>
        <v>5221.7</v>
      </c>
      <c r="J272" s="33" t="n">
        <f aca="false">H272-I272</f>
        <v>888.3</v>
      </c>
      <c r="K272" s="33" t="n">
        <f aca="false">IF(OR(E272=0,E272&gt;=7),0,D272/(7-E272)*E272*INDEX(Products!$E$2:$E$49,MATCH(C272,Products!$A$2:$A$49,0)))</f>
        <v>0</v>
      </c>
    </row>
    <row r="273" customFormat="false" ht="15" hidden="false" customHeight="false" outlineLevel="0" collapsed="false">
      <c r="A273" s="36" t="n">
        <v>46265</v>
      </c>
      <c r="B273" s="24" t="s">
        <v>61</v>
      </c>
      <c r="C273" s="24" t="s">
        <v>135</v>
      </c>
      <c r="D273" s="33" t="n">
        <v>60</v>
      </c>
      <c r="E273" s="24" t="n">
        <v>0</v>
      </c>
      <c r="F273" s="37" t="n">
        <f aca="false">DATE(YEAR(A273),MONTH(A273),1)</f>
        <v>46235</v>
      </c>
      <c r="G273" s="24" t="str">
        <f aca="false">INDEX(Products!$C$2:$C$49,MATCH(C273,Products!$A$2:$A$49,0))</f>
        <v>Dairy &amp; Eggs</v>
      </c>
      <c r="H273" s="33" t="n">
        <f aca="false">D273*INDEX(Products!$E$2:$E$49,MATCH(C273,Products!$A$2:$A$49,0))</f>
        <v>7800</v>
      </c>
      <c r="I273" s="33" t="n">
        <f aca="false">D273*INDEX(Products!$D$2:$D$49,MATCH(C273,Products!$A$2:$A$49,0))*(1+INDEX(Assumptions!$B$16:$B$20,MATCH(B273,Assumptions!$A$16:$A$20,0)))</f>
        <v>6666</v>
      </c>
      <c r="J273" s="33" t="n">
        <f aca="false">H273-I273</f>
        <v>1134</v>
      </c>
      <c r="K273" s="33" t="n">
        <f aca="false">IF(OR(E273=0,E273&gt;=7),0,D273/(7-E273)*E273*INDEX(Products!$E$2:$E$49,MATCH(C273,Products!$A$2:$A$49,0)))</f>
        <v>0</v>
      </c>
    </row>
    <row r="274" customFormat="false" ht="15" hidden="false" customHeight="false" outlineLevel="0" collapsed="false">
      <c r="A274" s="36" t="n">
        <v>46272</v>
      </c>
      <c r="B274" s="24" t="s">
        <v>61</v>
      </c>
      <c r="C274" s="24" t="s">
        <v>135</v>
      </c>
      <c r="D274" s="33" t="n">
        <v>14</v>
      </c>
      <c r="E274" s="24" t="n">
        <v>5</v>
      </c>
      <c r="F274" s="37" t="n">
        <f aca="false">DATE(YEAR(A274),MONTH(A274),1)</f>
        <v>46266</v>
      </c>
      <c r="G274" s="24" t="str">
        <f aca="false">INDEX(Products!$C$2:$C$49,MATCH(C274,Products!$A$2:$A$49,0))</f>
        <v>Dairy &amp; Eggs</v>
      </c>
      <c r="H274" s="33" t="n">
        <f aca="false">D274*INDEX(Products!$E$2:$E$49,MATCH(C274,Products!$A$2:$A$49,0))</f>
        <v>1820</v>
      </c>
      <c r="I274" s="33" t="n">
        <f aca="false">D274*INDEX(Products!$D$2:$D$49,MATCH(C274,Products!$A$2:$A$49,0))*(1+INDEX(Assumptions!$B$16:$B$20,MATCH(B274,Assumptions!$A$16:$A$20,0)))</f>
        <v>1555.4</v>
      </c>
      <c r="J274" s="33" t="n">
        <f aca="false">H274-I274</f>
        <v>264.6</v>
      </c>
      <c r="K274" s="33" t="n">
        <f aca="false">IF(OR(E274=0,E274&gt;=7),0,D274/(7-E274)*E274*INDEX(Products!$E$2:$E$49,MATCH(C274,Products!$A$2:$A$49,0)))</f>
        <v>4550</v>
      </c>
    </row>
    <row r="275" customFormat="false" ht="15" hidden="false" customHeight="false" outlineLevel="0" collapsed="false">
      <c r="A275" s="36" t="n">
        <v>46279</v>
      </c>
      <c r="B275" s="24" t="s">
        <v>61</v>
      </c>
      <c r="C275" s="24" t="s">
        <v>135</v>
      </c>
      <c r="D275" s="33" t="n">
        <v>57</v>
      </c>
      <c r="E275" s="24" t="n">
        <v>0</v>
      </c>
      <c r="F275" s="37" t="n">
        <f aca="false">DATE(YEAR(A275),MONTH(A275),1)</f>
        <v>46266</v>
      </c>
      <c r="G275" s="24" t="str">
        <f aca="false">INDEX(Products!$C$2:$C$49,MATCH(C275,Products!$A$2:$A$49,0))</f>
        <v>Dairy &amp; Eggs</v>
      </c>
      <c r="H275" s="33" t="n">
        <f aca="false">D275*INDEX(Products!$E$2:$E$49,MATCH(C275,Products!$A$2:$A$49,0))</f>
        <v>7410</v>
      </c>
      <c r="I275" s="33" t="n">
        <f aca="false">D275*INDEX(Products!$D$2:$D$49,MATCH(C275,Products!$A$2:$A$49,0))*(1+INDEX(Assumptions!$B$16:$B$20,MATCH(B275,Assumptions!$A$16:$A$20,0)))</f>
        <v>6332.7</v>
      </c>
      <c r="J275" s="33" t="n">
        <f aca="false">H275-I275</f>
        <v>1077.3</v>
      </c>
      <c r="K275" s="33" t="n">
        <f aca="false">IF(OR(E275=0,E275&gt;=7),0,D275/(7-E275)*E275*INDEX(Products!$E$2:$E$49,MATCH(C275,Products!$A$2:$A$49,0)))</f>
        <v>0</v>
      </c>
    </row>
    <row r="276" customFormat="false" ht="15" hidden="false" customHeight="false" outlineLevel="0" collapsed="false">
      <c r="A276" s="36" t="n">
        <v>46286</v>
      </c>
      <c r="B276" s="24" t="s">
        <v>61</v>
      </c>
      <c r="C276" s="24" t="s">
        <v>135</v>
      </c>
      <c r="D276" s="33" t="n">
        <v>57</v>
      </c>
      <c r="E276" s="24" t="n">
        <v>0</v>
      </c>
      <c r="F276" s="37" t="n">
        <f aca="false">DATE(YEAR(A276),MONTH(A276),1)</f>
        <v>46266</v>
      </c>
      <c r="G276" s="24" t="str">
        <f aca="false">INDEX(Products!$C$2:$C$49,MATCH(C276,Products!$A$2:$A$49,0))</f>
        <v>Dairy &amp; Eggs</v>
      </c>
      <c r="H276" s="33" t="n">
        <f aca="false">D276*INDEX(Products!$E$2:$E$49,MATCH(C276,Products!$A$2:$A$49,0))</f>
        <v>7410</v>
      </c>
      <c r="I276" s="33" t="n">
        <f aca="false">D276*INDEX(Products!$D$2:$D$49,MATCH(C276,Products!$A$2:$A$49,0))*(1+INDEX(Assumptions!$B$16:$B$20,MATCH(B276,Assumptions!$A$16:$A$20,0)))</f>
        <v>6332.7</v>
      </c>
      <c r="J276" s="33" t="n">
        <f aca="false">H276-I276</f>
        <v>1077.3</v>
      </c>
      <c r="K276" s="33" t="n">
        <f aca="false">IF(OR(E276=0,E276&gt;=7),0,D276/(7-E276)*E276*INDEX(Products!$E$2:$E$49,MATCH(C276,Products!$A$2:$A$49,0)))</f>
        <v>0</v>
      </c>
    </row>
    <row r="277" customFormat="false" ht="15" hidden="false" customHeight="false" outlineLevel="0" collapsed="false">
      <c r="A277" s="36" t="n">
        <v>46118</v>
      </c>
      <c r="B277" s="24" t="s">
        <v>61</v>
      </c>
      <c r="C277" s="24" t="s">
        <v>137</v>
      </c>
      <c r="D277" s="33" t="n">
        <v>136</v>
      </c>
      <c r="E277" s="24" t="n">
        <v>0</v>
      </c>
      <c r="F277" s="37" t="n">
        <f aca="false">DATE(YEAR(A277),MONTH(A277),1)</f>
        <v>46113</v>
      </c>
      <c r="G277" s="24" t="str">
        <f aca="false">INDEX(Products!$C$2:$C$49,MATCH(C277,Products!$A$2:$A$49,0))</f>
        <v>Dairy &amp; Eggs</v>
      </c>
      <c r="H277" s="33" t="n">
        <f aca="false">D277*INDEX(Products!$E$2:$E$49,MATCH(C277,Products!$A$2:$A$49,0))</f>
        <v>43520</v>
      </c>
      <c r="I277" s="33" t="n">
        <f aca="false">D277*INDEX(Products!$D$2:$D$49,MATCH(C277,Products!$A$2:$A$49,0))*(1+INDEX(Assumptions!$B$16:$B$20,MATCH(B277,Assumptions!$A$16:$A$20,0)))</f>
        <v>36812.48</v>
      </c>
      <c r="J277" s="33" t="n">
        <f aca="false">H277-I277</f>
        <v>6707.52</v>
      </c>
      <c r="K277" s="33" t="n">
        <f aca="false">IF(OR(E277=0,E277&gt;=7),0,D277/(7-E277)*E277*INDEX(Products!$E$2:$E$49,MATCH(C277,Products!$A$2:$A$49,0)))</f>
        <v>0</v>
      </c>
    </row>
    <row r="278" customFormat="false" ht="15" hidden="false" customHeight="false" outlineLevel="0" collapsed="false">
      <c r="A278" s="36" t="n">
        <v>46125</v>
      </c>
      <c r="B278" s="24" t="s">
        <v>61</v>
      </c>
      <c r="C278" s="24" t="s">
        <v>137</v>
      </c>
      <c r="D278" s="33" t="n">
        <v>114</v>
      </c>
      <c r="E278" s="24" t="n">
        <v>0</v>
      </c>
      <c r="F278" s="37" t="n">
        <f aca="false">DATE(YEAR(A278),MONTH(A278),1)</f>
        <v>46113</v>
      </c>
      <c r="G278" s="24" t="str">
        <f aca="false">INDEX(Products!$C$2:$C$49,MATCH(C278,Products!$A$2:$A$49,0))</f>
        <v>Dairy &amp; Eggs</v>
      </c>
      <c r="H278" s="33" t="n">
        <f aca="false">D278*INDEX(Products!$E$2:$E$49,MATCH(C278,Products!$A$2:$A$49,0))</f>
        <v>36480</v>
      </c>
      <c r="I278" s="33" t="n">
        <f aca="false">D278*INDEX(Products!$D$2:$D$49,MATCH(C278,Products!$A$2:$A$49,0))*(1+INDEX(Assumptions!$B$16:$B$20,MATCH(B278,Assumptions!$A$16:$A$20,0)))</f>
        <v>30857.52</v>
      </c>
      <c r="J278" s="33" t="n">
        <f aca="false">H278-I278</f>
        <v>5622.48</v>
      </c>
      <c r="K278" s="33" t="n">
        <f aca="false">IF(OR(E278=0,E278&gt;=7),0,D278/(7-E278)*E278*INDEX(Products!$E$2:$E$49,MATCH(C278,Products!$A$2:$A$49,0)))</f>
        <v>0</v>
      </c>
    </row>
    <row r="279" customFormat="false" ht="15" hidden="false" customHeight="false" outlineLevel="0" collapsed="false">
      <c r="A279" s="36" t="n">
        <v>46132</v>
      </c>
      <c r="B279" s="24" t="s">
        <v>61</v>
      </c>
      <c r="C279" s="24" t="s">
        <v>137</v>
      </c>
      <c r="D279" s="33" t="n">
        <v>140</v>
      </c>
      <c r="E279" s="24" t="n">
        <v>0</v>
      </c>
      <c r="F279" s="37" t="n">
        <f aca="false">DATE(YEAR(A279),MONTH(A279),1)</f>
        <v>46113</v>
      </c>
      <c r="G279" s="24" t="str">
        <f aca="false">INDEX(Products!$C$2:$C$49,MATCH(C279,Products!$A$2:$A$49,0))</f>
        <v>Dairy &amp; Eggs</v>
      </c>
      <c r="H279" s="33" t="n">
        <f aca="false">D279*INDEX(Products!$E$2:$E$49,MATCH(C279,Products!$A$2:$A$49,0))</f>
        <v>44800</v>
      </c>
      <c r="I279" s="33" t="n">
        <f aca="false">D279*INDEX(Products!$D$2:$D$49,MATCH(C279,Products!$A$2:$A$49,0))*(1+INDEX(Assumptions!$B$16:$B$20,MATCH(B279,Assumptions!$A$16:$A$20,0)))</f>
        <v>37895.2</v>
      </c>
      <c r="J279" s="33" t="n">
        <f aca="false">H279-I279</f>
        <v>6904.8</v>
      </c>
      <c r="K279" s="33" t="n">
        <f aca="false">IF(OR(E279=0,E279&gt;=7),0,D279/(7-E279)*E279*INDEX(Products!$E$2:$E$49,MATCH(C279,Products!$A$2:$A$49,0)))</f>
        <v>0</v>
      </c>
    </row>
    <row r="280" customFormat="false" ht="15" hidden="false" customHeight="false" outlineLevel="0" collapsed="false">
      <c r="A280" s="36" t="n">
        <v>46139</v>
      </c>
      <c r="B280" s="24" t="s">
        <v>61</v>
      </c>
      <c r="C280" s="24" t="s">
        <v>137</v>
      </c>
      <c r="D280" s="33" t="n">
        <v>172</v>
      </c>
      <c r="E280" s="24" t="n">
        <v>0</v>
      </c>
      <c r="F280" s="37" t="n">
        <f aca="false">DATE(YEAR(A280),MONTH(A280),1)</f>
        <v>46113</v>
      </c>
      <c r="G280" s="24" t="str">
        <f aca="false">INDEX(Products!$C$2:$C$49,MATCH(C280,Products!$A$2:$A$49,0))</f>
        <v>Dairy &amp; Eggs</v>
      </c>
      <c r="H280" s="33" t="n">
        <f aca="false">D280*INDEX(Products!$E$2:$E$49,MATCH(C280,Products!$A$2:$A$49,0))</f>
        <v>55040</v>
      </c>
      <c r="I280" s="33" t="n">
        <f aca="false">D280*INDEX(Products!$D$2:$D$49,MATCH(C280,Products!$A$2:$A$49,0))*(1+INDEX(Assumptions!$B$16:$B$20,MATCH(B280,Assumptions!$A$16:$A$20,0)))</f>
        <v>46556.96</v>
      </c>
      <c r="J280" s="33" t="n">
        <f aca="false">H280-I280</f>
        <v>8483.04</v>
      </c>
      <c r="K280" s="33" t="n">
        <f aca="false">IF(OR(E280=0,E280&gt;=7),0,D280/(7-E280)*E280*INDEX(Products!$E$2:$E$49,MATCH(C280,Products!$A$2:$A$49,0)))</f>
        <v>0</v>
      </c>
    </row>
    <row r="281" customFormat="false" ht="15" hidden="false" customHeight="false" outlineLevel="0" collapsed="false">
      <c r="A281" s="36" t="n">
        <v>46146</v>
      </c>
      <c r="B281" s="24" t="s">
        <v>61</v>
      </c>
      <c r="C281" s="24" t="s">
        <v>137</v>
      </c>
      <c r="D281" s="33" t="n">
        <v>140</v>
      </c>
      <c r="E281" s="24" t="n">
        <v>0</v>
      </c>
      <c r="F281" s="37" t="n">
        <f aca="false">DATE(YEAR(A281),MONTH(A281),1)</f>
        <v>46143</v>
      </c>
      <c r="G281" s="24" t="str">
        <f aca="false">INDEX(Products!$C$2:$C$49,MATCH(C281,Products!$A$2:$A$49,0))</f>
        <v>Dairy &amp; Eggs</v>
      </c>
      <c r="H281" s="33" t="n">
        <f aca="false">D281*INDEX(Products!$E$2:$E$49,MATCH(C281,Products!$A$2:$A$49,0))</f>
        <v>44800</v>
      </c>
      <c r="I281" s="33" t="n">
        <f aca="false">D281*INDEX(Products!$D$2:$D$49,MATCH(C281,Products!$A$2:$A$49,0))*(1+INDEX(Assumptions!$B$16:$B$20,MATCH(B281,Assumptions!$A$16:$A$20,0)))</f>
        <v>37895.2</v>
      </c>
      <c r="J281" s="33" t="n">
        <f aca="false">H281-I281</f>
        <v>6904.8</v>
      </c>
      <c r="K281" s="33" t="n">
        <f aca="false">IF(OR(E281=0,E281&gt;=7),0,D281/(7-E281)*E281*INDEX(Products!$E$2:$E$49,MATCH(C281,Products!$A$2:$A$49,0)))</f>
        <v>0</v>
      </c>
    </row>
    <row r="282" customFormat="false" ht="15" hidden="false" customHeight="false" outlineLevel="0" collapsed="false">
      <c r="A282" s="36" t="n">
        <v>46153</v>
      </c>
      <c r="B282" s="24" t="s">
        <v>61</v>
      </c>
      <c r="C282" s="24" t="s">
        <v>137</v>
      </c>
      <c r="D282" s="33" t="n">
        <v>121</v>
      </c>
      <c r="E282" s="24" t="n">
        <v>0</v>
      </c>
      <c r="F282" s="37" t="n">
        <f aca="false">DATE(YEAR(A282),MONTH(A282),1)</f>
        <v>46143</v>
      </c>
      <c r="G282" s="24" t="str">
        <f aca="false">INDEX(Products!$C$2:$C$49,MATCH(C282,Products!$A$2:$A$49,0))</f>
        <v>Dairy &amp; Eggs</v>
      </c>
      <c r="H282" s="33" t="n">
        <f aca="false">D282*INDEX(Products!$E$2:$E$49,MATCH(C282,Products!$A$2:$A$49,0))</f>
        <v>38720</v>
      </c>
      <c r="I282" s="33" t="n">
        <f aca="false">D282*INDEX(Products!$D$2:$D$49,MATCH(C282,Products!$A$2:$A$49,0))*(1+INDEX(Assumptions!$B$16:$B$20,MATCH(B282,Assumptions!$A$16:$A$20,0)))</f>
        <v>32752.28</v>
      </c>
      <c r="J282" s="33" t="n">
        <f aca="false">H282-I282</f>
        <v>5967.72</v>
      </c>
      <c r="K282" s="33" t="n">
        <f aca="false">IF(OR(E282=0,E282&gt;=7),0,D282/(7-E282)*E282*INDEX(Products!$E$2:$E$49,MATCH(C282,Products!$A$2:$A$49,0)))</f>
        <v>0</v>
      </c>
    </row>
    <row r="283" customFormat="false" ht="15" hidden="false" customHeight="false" outlineLevel="0" collapsed="false">
      <c r="A283" s="36" t="n">
        <v>46160</v>
      </c>
      <c r="B283" s="24" t="s">
        <v>61</v>
      </c>
      <c r="C283" s="24" t="s">
        <v>137</v>
      </c>
      <c r="D283" s="33" t="n">
        <v>144</v>
      </c>
      <c r="E283" s="24" t="n">
        <v>0</v>
      </c>
      <c r="F283" s="37" t="n">
        <f aca="false">DATE(YEAR(A283),MONTH(A283),1)</f>
        <v>46143</v>
      </c>
      <c r="G283" s="24" t="str">
        <f aca="false">INDEX(Products!$C$2:$C$49,MATCH(C283,Products!$A$2:$A$49,0))</f>
        <v>Dairy &amp; Eggs</v>
      </c>
      <c r="H283" s="33" t="n">
        <f aca="false">D283*INDEX(Products!$E$2:$E$49,MATCH(C283,Products!$A$2:$A$49,0))</f>
        <v>46080</v>
      </c>
      <c r="I283" s="33" t="n">
        <f aca="false">D283*INDEX(Products!$D$2:$D$49,MATCH(C283,Products!$A$2:$A$49,0))*(1+INDEX(Assumptions!$B$16:$B$20,MATCH(B283,Assumptions!$A$16:$A$20,0)))</f>
        <v>38977.92</v>
      </c>
      <c r="J283" s="33" t="n">
        <f aca="false">H283-I283</f>
        <v>7102.08</v>
      </c>
      <c r="K283" s="33" t="n">
        <f aca="false">IF(OR(E283=0,E283&gt;=7),0,D283/(7-E283)*E283*INDEX(Products!$E$2:$E$49,MATCH(C283,Products!$A$2:$A$49,0)))</f>
        <v>0</v>
      </c>
    </row>
    <row r="284" customFormat="false" ht="15" hidden="false" customHeight="false" outlineLevel="0" collapsed="false">
      <c r="A284" s="36" t="n">
        <v>46167</v>
      </c>
      <c r="B284" s="24" t="s">
        <v>61</v>
      </c>
      <c r="C284" s="24" t="s">
        <v>137</v>
      </c>
      <c r="D284" s="33" t="n">
        <v>152</v>
      </c>
      <c r="E284" s="24" t="n">
        <v>0</v>
      </c>
      <c r="F284" s="37" t="n">
        <f aca="false">DATE(YEAR(A284),MONTH(A284),1)</f>
        <v>46143</v>
      </c>
      <c r="G284" s="24" t="str">
        <f aca="false">INDEX(Products!$C$2:$C$49,MATCH(C284,Products!$A$2:$A$49,0))</f>
        <v>Dairy &amp; Eggs</v>
      </c>
      <c r="H284" s="33" t="n">
        <f aca="false">D284*INDEX(Products!$E$2:$E$49,MATCH(C284,Products!$A$2:$A$49,0))</f>
        <v>48640</v>
      </c>
      <c r="I284" s="33" t="n">
        <f aca="false">D284*INDEX(Products!$D$2:$D$49,MATCH(C284,Products!$A$2:$A$49,0))*(1+INDEX(Assumptions!$B$16:$B$20,MATCH(B284,Assumptions!$A$16:$A$20,0)))</f>
        <v>41143.36</v>
      </c>
      <c r="J284" s="33" t="n">
        <f aca="false">H284-I284</f>
        <v>7496.64</v>
      </c>
      <c r="K284" s="33" t="n">
        <f aca="false">IF(OR(E284=0,E284&gt;=7),0,D284/(7-E284)*E284*INDEX(Products!$E$2:$E$49,MATCH(C284,Products!$A$2:$A$49,0)))</f>
        <v>0</v>
      </c>
    </row>
    <row r="285" customFormat="false" ht="15" hidden="false" customHeight="false" outlineLevel="0" collapsed="false">
      <c r="A285" s="36" t="n">
        <v>46174</v>
      </c>
      <c r="B285" s="24" t="s">
        <v>61</v>
      </c>
      <c r="C285" s="24" t="s">
        <v>137</v>
      </c>
      <c r="D285" s="33" t="n">
        <v>125</v>
      </c>
      <c r="E285" s="24" t="n">
        <v>0</v>
      </c>
      <c r="F285" s="37" t="n">
        <f aca="false">DATE(YEAR(A285),MONTH(A285),1)</f>
        <v>46174</v>
      </c>
      <c r="G285" s="24" t="str">
        <f aca="false">INDEX(Products!$C$2:$C$49,MATCH(C285,Products!$A$2:$A$49,0))</f>
        <v>Dairy &amp; Eggs</v>
      </c>
      <c r="H285" s="33" t="n">
        <f aca="false">D285*INDEX(Products!$E$2:$E$49,MATCH(C285,Products!$A$2:$A$49,0))</f>
        <v>40000</v>
      </c>
      <c r="I285" s="33" t="n">
        <f aca="false">D285*INDEX(Products!$D$2:$D$49,MATCH(C285,Products!$A$2:$A$49,0))*(1+INDEX(Assumptions!$B$16:$B$20,MATCH(B285,Assumptions!$A$16:$A$20,0)))</f>
        <v>33835</v>
      </c>
      <c r="J285" s="33" t="n">
        <f aca="false">H285-I285</f>
        <v>6165</v>
      </c>
      <c r="K285" s="33" t="n">
        <f aca="false">IF(OR(E285=0,E285&gt;=7),0,D285/(7-E285)*E285*INDEX(Products!$E$2:$E$49,MATCH(C285,Products!$A$2:$A$49,0)))</f>
        <v>0</v>
      </c>
    </row>
    <row r="286" customFormat="false" ht="15" hidden="false" customHeight="false" outlineLevel="0" collapsed="false">
      <c r="A286" s="36" t="n">
        <v>46181</v>
      </c>
      <c r="B286" s="24" t="s">
        <v>61</v>
      </c>
      <c r="C286" s="24" t="s">
        <v>137</v>
      </c>
      <c r="D286" s="33" t="n">
        <v>129</v>
      </c>
      <c r="E286" s="24" t="n">
        <v>0</v>
      </c>
      <c r="F286" s="37" t="n">
        <f aca="false">DATE(YEAR(A286),MONTH(A286),1)</f>
        <v>46174</v>
      </c>
      <c r="G286" s="24" t="str">
        <f aca="false">INDEX(Products!$C$2:$C$49,MATCH(C286,Products!$A$2:$A$49,0))</f>
        <v>Dairy &amp; Eggs</v>
      </c>
      <c r="H286" s="33" t="n">
        <f aca="false">D286*INDEX(Products!$E$2:$E$49,MATCH(C286,Products!$A$2:$A$49,0))</f>
        <v>41280</v>
      </c>
      <c r="I286" s="33" t="n">
        <f aca="false">D286*INDEX(Products!$D$2:$D$49,MATCH(C286,Products!$A$2:$A$49,0))*(1+INDEX(Assumptions!$B$16:$B$20,MATCH(B286,Assumptions!$A$16:$A$20,0)))</f>
        <v>34917.72</v>
      </c>
      <c r="J286" s="33" t="n">
        <f aca="false">H286-I286</f>
        <v>6362.28</v>
      </c>
      <c r="K286" s="33" t="n">
        <f aca="false">IF(OR(E286=0,E286&gt;=7),0,D286/(7-E286)*E286*INDEX(Products!$E$2:$E$49,MATCH(C286,Products!$A$2:$A$49,0)))</f>
        <v>0</v>
      </c>
    </row>
    <row r="287" customFormat="false" ht="15" hidden="false" customHeight="false" outlineLevel="0" collapsed="false">
      <c r="A287" s="36" t="n">
        <v>46188</v>
      </c>
      <c r="B287" s="24" t="s">
        <v>61</v>
      </c>
      <c r="C287" s="24" t="s">
        <v>137</v>
      </c>
      <c r="D287" s="33" t="n">
        <v>137</v>
      </c>
      <c r="E287" s="24" t="n">
        <v>0</v>
      </c>
      <c r="F287" s="37" t="n">
        <f aca="false">DATE(YEAR(A287),MONTH(A287),1)</f>
        <v>46174</v>
      </c>
      <c r="G287" s="24" t="str">
        <f aca="false">INDEX(Products!$C$2:$C$49,MATCH(C287,Products!$A$2:$A$49,0))</f>
        <v>Dairy &amp; Eggs</v>
      </c>
      <c r="H287" s="33" t="n">
        <f aca="false">D287*INDEX(Products!$E$2:$E$49,MATCH(C287,Products!$A$2:$A$49,0))</f>
        <v>43840</v>
      </c>
      <c r="I287" s="33" t="n">
        <f aca="false">D287*INDEX(Products!$D$2:$D$49,MATCH(C287,Products!$A$2:$A$49,0))*(1+INDEX(Assumptions!$B$16:$B$20,MATCH(B287,Assumptions!$A$16:$A$20,0)))</f>
        <v>37083.16</v>
      </c>
      <c r="J287" s="33" t="n">
        <f aca="false">H287-I287</f>
        <v>6756.84</v>
      </c>
      <c r="K287" s="33" t="n">
        <f aca="false">IF(OR(E287=0,E287&gt;=7),0,D287/(7-E287)*E287*INDEX(Products!$E$2:$E$49,MATCH(C287,Products!$A$2:$A$49,0)))</f>
        <v>0</v>
      </c>
    </row>
    <row r="288" customFormat="false" ht="15" hidden="false" customHeight="false" outlineLevel="0" collapsed="false">
      <c r="A288" s="36" t="n">
        <v>46195</v>
      </c>
      <c r="B288" s="24" t="s">
        <v>61</v>
      </c>
      <c r="C288" s="24" t="s">
        <v>137</v>
      </c>
      <c r="D288" s="33" t="n">
        <v>274</v>
      </c>
      <c r="E288" s="24" t="n">
        <v>0</v>
      </c>
      <c r="F288" s="37" t="n">
        <f aca="false">DATE(YEAR(A288),MONTH(A288),1)</f>
        <v>46174</v>
      </c>
      <c r="G288" s="24" t="str">
        <f aca="false">INDEX(Products!$C$2:$C$49,MATCH(C288,Products!$A$2:$A$49,0))</f>
        <v>Dairy &amp; Eggs</v>
      </c>
      <c r="H288" s="33" t="n">
        <f aca="false">D288*INDEX(Products!$E$2:$E$49,MATCH(C288,Products!$A$2:$A$49,0))</f>
        <v>87680</v>
      </c>
      <c r="I288" s="33" t="n">
        <f aca="false">D288*INDEX(Products!$D$2:$D$49,MATCH(C288,Products!$A$2:$A$49,0))*(1+INDEX(Assumptions!$B$16:$B$20,MATCH(B288,Assumptions!$A$16:$A$20,0)))</f>
        <v>74166.32</v>
      </c>
      <c r="J288" s="33" t="n">
        <f aca="false">H288-I288</f>
        <v>13513.68</v>
      </c>
      <c r="K288" s="33" t="n">
        <f aca="false">IF(OR(E288=0,E288&gt;=7),0,D288/(7-E288)*E288*INDEX(Products!$E$2:$E$49,MATCH(C288,Products!$A$2:$A$49,0)))</f>
        <v>0</v>
      </c>
    </row>
    <row r="289" customFormat="false" ht="15" hidden="false" customHeight="false" outlineLevel="0" collapsed="false">
      <c r="A289" s="36" t="n">
        <v>46202</v>
      </c>
      <c r="B289" s="24" t="s">
        <v>61</v>
      </c>
      <c r="C289" s="24" t="s">
        <v>137</v>
      </c>
      <c r="D289" s="33" t="n">
        <v>133</v>
      </c>
      <c r="E289" s="24" t="n">
        <v>0</v>
      </c>
      <c r="F289" s="37" t="n">
        <f aca="false">DATE(YEAR(A289),MONTH(A289),1)</f>
        <v>46174</v>
      </c>
      <c r="G289" s="24" t="str">
        <f aca="false">INDEX(Products!$C$2:$C$49,MATCH(C289,Products!$A$2:$A$49,0))</f>
        <v>Dairy &amp; Eggs</v>
      </c>
      <c r="H289" s="33" t="n">
        <f aca="false">D289*INDEX(Products!$E$2:$E$49,MATCH(C289,Products!$A$2:$A$49,0))</f>
        <v>42560</v>
      </c>
      <c r="I289" s="33" t="n">
        <f aca="false">D289*INDEX(Products!$D$2:$D$49,MATCH(C289,Products!$A$2:$A$49,0))*(1+INDEX(Assumptions!$B$16:$B$20,MATCH(B289,Assumptions!$A$16:$A$20,0)))</f>
        <v>36000.44</v>
      </c>
      <c r="J289" s="33" t="n">
        <f aca="false">H289-I289</f>
        <v>6559.56</v>
      </c>
      <c r="K289" s="33" t="n">
        <f aca="false">IF(OR(E289=0,E289&gt;=7),0,D289/(7-E289)*E289*INDEX(Products!$E$2:$E$49,MATCH(C289,Products!$A$2:$A$49,0)))</f>
        <v>0</v>
      </c>
    </row>
    <row r="290" customFormat="false" ht="15" hidden="false" customHeight="false" outlineLevel="0" collapsed="false">
      <c r="A290" s="36" t="n">
        <v>46209</v>
      </c>
      <c r="B290" s="24" t="s">
        <v>61</v>
      </c>
      <c r="C290" s="24" t="s">
        <v>137</v>
      </c>
      <c r="D290" s="33" t="n">
        <v>112</v>
      </c>
      <c r="E290" s="24" t="n">
        <v>0</v>
      </c>
      <c r="F290" s="37" t="n">
        <f aca="false">DATE(YEAR(A290),MONTH(A290),1)</f>
        <v>46204</v>
      </c>
      <c r="G290" s="24" t="str">
        <f aca="false">INDEX(Products!$C$2:$C$49,MATCH(C290,Products!$A$2:$A$49,0))</f>
        <v>Dairy &amp; Eggs</v>
      </c>
      <c r="H290" s="33" t="n">
        <f aca="false">D290*INDEX(Products!$E$2:$E$49,MATCH(C290,Products!$A$2:$A$49,0))</f>
        <v>35840</v>
      </c>
      <c r="I290" s="33" t="n">
        <f aca="false">D290*INDEX(Products!$D$2:$D$49,MATCH(C290,Products!$A$2:$A$49,0))*(1+INDEX(Assumptions!$B$16:$B$20,MATCH(B290,Assumptions!$A$16:$A$20,0)))</f>
        <v>30316.16</v>
      </c>
      <c r="J290" s="33" t="n">
        <f aca="false">H290-I290</f>
        <v>5523.84</v>
      </c>
      <c r="K290" s="33" t="n">
        <f aca="false">IF(OR(E290=0,E290&gt;=7),0,D290/(7-E290)*E290*INDEX(Products!$E$2:$E$49,MATCH(C290,Products!$A$2:$A$49,0)))</f>
        <v>0</v>
      </c>
    </row>
    <row r="291" customFormat="false" ht="15" hidden="false" customHeight="false" outlineLevel="0" collapsed="false">
      <c r="A291" s="36" t="n">
        <v>46216</v>
      </c>
      <c r="B291" s="24" t="s">
        <v>61</v>
      </c>
      <c r="C291" s="24" t="s">
        <v>137</v>
      </c>
      <c r="D291" s="33" t="n">
        <v>92</v>
      </c>
      <c r="E291" s="24" t="n">
        <v>0</v>
      </c>
      <c r="F291" s="37" t="n">
        <f aca="false">DATE(YEAR(A291),MONTH(A291),1)</f>
        <v>46204</v>
      </c>
      <c r="G291" s="24" t="str">
        <f aca="false">INDEX(Products!$C$2:$C$49,MATCH(C291,Products!$A$2:$A$49,0))</f>
        <v>Dairy &amp; Eggs</v>
      </c>
      <c r="H291" s="33" t="n">
        <f aca="false">D291*INDEX(Products!$E$2:$E$49,MATCH(C291,Products!$A$2:$A$49,0))</f>
        <v>29440</v>
      </c>
      <c r="I291" s="33" t="n">
        <f aca="false">D291*INDEX(Products!$D$2:$D$49,MATCH(C291,Products!$A$2:$A$49,0))*(1+INDEX(Assumptions!$B$16:$B$20,MATCH(B291,Assumptions!$A$16:$A$20,0)))</f>
        <v>24902.56</v>
      </c>
      <c r="J291" s="33" t="n">
        <f aca="false">H291-I291</f>
        <v>4537.44</v>
      </c>
      <c r="K291" s="33" t="n">
        <f aca="false">IF(OR(E291=0,E291&gt;=7),0,D291/(7-E291)*E291*INDEX(Products!$E$2:$E$49,MATCH(C291,Products!$A$2:$A$49,0)))</f>
        <v>0</v>
      </c>
    </row>
    <row r="292" customFormat="false" ht="15" hidden="false" customHeight="false" outlineLevel="0" collapsed="false">
      <c r="A292" s="36" t="n">
        <v>46223</v>
      </c>
      <c r="B292" s="24" t="s">
        <v>61</v>
      </c>
      <c r="C292" s="24" t="s">
        <v>137</v>
      </c>
      <c r="D292" s="33" t="n">
        <v>150</v>
      </c>
      <c r="E292" s="24" t="n">
        <v>0</v>
      </c>
      <c r="F292" s="37" t="n">
        <f aca="false">DATE(YEAR(A292),MONTH(A292),1)</f>
        <v>46204</v>
      </c>
      <c r="G292" s="24" t="str">
        <f aca="false">INDEX(Products!$C$2:$C$49,MATCH(C292,Products!$A$2:$A$49,0))</f>
        <v>Dairy &amp; Eggs</v>
      </c>
      <c r="H292" s="33" t="n">
        <f aca="false">D292*INDEX(Products!$E$2:$E$49,MATCH(C292,Products!$A$2:$A$49,0))</f>
        <v>48000</v>
      </c>
      <c r="I292" s="33" t="n">
        <f aca="false">D292*INDEX(Products!$D$2:$D$49,MATCH(C292,Products!$A$2:$A$49,0))*(1+INDEX(Assumptions!$B$16:$B$20,MATCH(B292,Assumptions!$A$16:$A$20,0)))</f>
        <v>40602</v>
      </c>
      <c r="J292" s="33" t="n">
        <f aca="false">H292-I292</f>
        <v>7398</v>
      </c>
      <c r="K292" s="33" t="n">
        <f aca="false">IF(OR(E292=0,E292&gt;=7),0,D292/(7-E292)*E292*INDEX(Products!$E$2:$E$49,MATCH(C292,Products!$A$2:$A$49,0)))</f>
        <v>0</v>
      </c>
    </row>
    <row r="293" customFormat="false" ht="15" hidden="false" customHeight="false" outlineLevel="0" collapsed="false">
      <c r="A293" s="36" t="n">
        <v>46230</v>
      </c>
      <c r="B293" s="24" t="s">
        <v>61</v>
      </c>
      <c r="C293" s="24" t="s">
        <v>137</v>
      </c>
      <c r="D293" s="33" t="n">
        <v>137</v>
      </c>
      <c r="E293" s="24" t="n">
        <v>0</v>
      </c>
      <c r="F293" s="37" t="n">
        <f aca="false">DATE(YEAR(A293),MONTH(A293),1)</f>
        <v>46204</v>
      </c>
      <c r="G293" s="24" t="str">
        <f aca="false">INDEX(Products!$C$2:$C$49,MATCH(C293,Products!$A$2:$A$49,0))</f>
        <v>Dairy &amp; Eggs</v>
      </c>
      <c r="H293" s="33" t="n">
        <f aca="false">D293*INDEX(Products!$E$2:$E$49,MATCH(C293,Products!$A$2:$A$49,0))</f>
        <v>43840</v>
      </c>
      <c r="I293" s="33" t="n">
        <f aca="false">D293*INDEX(Products!$D$2:$D$49,MATCH(C293,Products!$A$2:$A$49,0))*(1+INDEX(Assumptions!$B$16:$B$20,MATCH(B293,Assumptions!$A$16:$A$20,0)))</f>
        <v>37083.16</v>
      </c>
      <c r="J293" s="33" t="n">
        <f aca="false">H293-I293</f>
        <v>6756.84</v>
      </c>
      <c r="K293" s="33" t="n">
        <f aca="false">IF(OR(E293=0,E293&gt;=7),0,D293/(7-E293)*E293*INDEX(Products!$E$2:$E$49,MATCH(C293,Products!$A$2:$A$49,0)))</f>
        <v>0</v>
      </c>
    </row>
    <row r="294" customFormat="false" ht="15" hidden="false" customHeight="false" outlineLevel="0" collapsed="false">
      <c r="A294" s="36" t="n">
        <v>46237</v>
      </c>
      <c r="B294" s="24" t="s">
        <v>61</v>
      </c>
      <c r="C294" s="24" t="s">
        <v>137</v>
      </c>
      <c r="D294" s="33" t="n">
        <v>113</v>
      </c>
      <c r="E294" s="24" t="n">
        <v>0</v>
      </c>
      <c r="F294" s="37" t="n">
        <f aca="false">DATE(YEAR(A294),MONTH(A294),1)</f>
        <v>46235</v>
      </c>
      <c r="G294" s="24" t="str">
        <f aca="false">INDEX(Products!$C$2:$C$49,MATCH(C294,Products!$A$2:$A$49,0))</f>
        <v>Dairy &amp; Eggs</v>
      </c>
      <c r="H294" s="33" t="n">
        <f aca="false">D294*INDEX(Products!$E$2:$E$49,MATCH(C294,Products!$A$2:$A$49,0))</f>
        <v>36160</v>
      </c>
      <c r="I294" s="33" t="n">
        <f aca="false">D294*INDEX(Products!$D$2:$D$49,MATCH(C294,Products!$A$2:$A$49,0))*(1+INDEX(Assumptions!$B$16:$B$20,MATCH(B294,Assumptions!$A$16:$A$20,0)))</f>
        <v>30586.84</v>
      </c>
      <c r="J294" s="33" t="n">
        <f aca="false">H294-I294</f>
        <v>5573.16</v>
      </c>
      <c r="K294" s="33" t="n">
        <f aca="false">IF(OR(E294=0,E294&gt;=7),0,D294/(7-E294)*E294*INDEX(Products!$E$2:$E$49,MATCH(C294,Products!$A$2:$A$49,0)))</f>
        <v>0</v>
      </c>
    </row>
    <row r="295" customFormat="false" ht="15" hidden="false" customHeight="false" outlineLevel="0" collapsed="false">
      <c r="A295" s="36" t="n">
        <v>46244</v>
      </c>
      <c r="B295" s="24" t="s">
        <v>61</v>
      </c>
      <c r="C295" s="24" t="s">
        <v>137</v>
      </c>
      <c r="D295" s="33" t="n">
        <v>110</v>
      </c>
      <c r="E295" s="24" t="n">
        <v>0</v>
      </c>
      <c r="F295" s="37" t="n">
        <f aca="false">DATE(YEAR(A295),MONTH(A295),1)</f>
        <v>46235</v>
      </c>
      <c r="G295" s="24" t="str">
        <f aca="false">INDEX(Products!$C$2:$C$49,MATCH(C295,Products!$A$2:$A$49,0))</f>
        <v>Dairy &amp; Eggs</v>
      </c>
      <c r="H295" s="33" t="n">
        <f aca="false">D295*INDEX(Products!$E$2:$E$49,MATCH(C295,Products!$A$2:$A$49,0))</f>
        <v>35200</v>
      </c>
      <c r="I295" s="33" t="n">
        <f aca="false">D295*INDEX(Products!$D$2:$D$49,MATCH(C295,Products!$A$2:$A$49,0))*(1+INDEX(Assumptions!$B$16:$B$20,MATCH(B295,Assumptions!$A$16:$A$20,0)))</f>
        <v>29774.8</v>
      </c>
      <c r="J295" s="33" t="n">
        <f aca="false">H295-I295</f>
        <v>5425.2</v>
      </c>
      <c r="K295" s="33" t="n">
        <f aca="false">IF(OR(E295=0,E295&gt;=7),0,D295/(7-E295)*E295*INDEX(Products!$E$2:$E$49,MATCH(C295,Products!$A$2:$A$49,0)))</f>
        <v>0</v>
      </c>
    </row>
    <row r="296" customFormat="false" ht="15" hidden="false" customHeight="false" outlineLevel="0" collapsed="false">
      <c r="A296" s="36" t="n">
        <v>46251</v>
      </c>
      <c r="B296" s="24" t="s">
        <v>61</v>
      </c>
      <c r="C296" s="24" t="s">
        <v>137</v>
      </c>
      <c r="D296" s="33" t="n">
        <v>204</v>
      </c>
      <c r="E296" s="24" t="n">
        <v>0</v>
      </c>
      <c r="F296" s="37" t="n">
        <f aca="false">DATE(YEAR(A296),MONTH(A296),1)</f>
        <v>46235</v>
      </c>
      <c r="G296" s="24" t="str">
        <f aca="false">INDEX(Products!$C$2:$C$49,MATCH(C296,Products!$A$2:$A$49,0))</f>
        <v>Dairy &amp; Eggs</v>
      </c>
      <c r="H296" s="33" t="n">
        <f aca="false">D296*INDEX(Products!$E$2:$E$49,MATCH(C296,Products!$A$2:$A$49,0))</f>
        <v>65280</v>
      </c>
      <c r="I296" s="33" t="n">
        <f aca="false">D296*INDEX(Products!$D$2:$D$49,MATCH(C296,Products!$A$2:$A$49,0))*(1+INDEX(Assumptions!$B$16:$B$20,MATCH(B296,Assumptions!$A$16:$A$20,0)))</f>
        <v>55218.72</v>
      </c>
      <c r="J296" s="33" t="n">
        <f aca="false">H296-I296</f>
        <v>10061.28</v>
      </c>
      <c r="K296" s="33" t="n">
        <f aca="false">IF(OR(E296=0,E296&gt;=7),0,D296/(7-E296)*E296*INDEX(Products!$E$2:$E$49,MATCH(C296,Products!$A$2:$A$49,0)))</f>
        <v>0</v>
      </c>
    </row>
    <row r="297" customFormat="false" ht="15" hidden="false" customHeight="false" outlineLevel="0" collapsed="false">
      <c r="A297" s="36" t="n">
        <v>46258</v>
      </c>
      <c r="B297" s="24" t="s">
        <v>61</v>
      </c>
      <c r="C297" s="24" t="s">
        <v>137</v>
      </c>
      <c r="D297" s="33" t="n">
        <v>127</v>
      </c>
      <c r="E297" s="24" t="n">
        <v>0</v>
      </c>
      <c r="F297" s="37" t="n">
        <f aca="false">DATE(YEAR(A297),MONTH(A297),1)</f>
        <v>46235</v>
      </c>
      <c r="G297" s="24" t="str">
        <f aca="false">INDEX(Products!$C$2:$C$49,MATCH(C297,Products!$A$2:$A$49,0))</f>
        <v>Dairy &amp; Eggs</v>
      </c>
      <c r="H297" s="33" t="n">
        <f aca="false">D297*INDEX(Products!$E$2:$E$49,MATCH(C297,Products!$A$2:$A$49,0))</f>
        <v>40640</v>
      </c>
      <c r="I297" s="33" t="n">
        <f aca="false">D297*INDEX(Products!$D$2:$D$49,MATCH(C297,Products!$A$2:$A$49,0))*(1+INDEX(Assumptions!$B$16:$B$20,MATCH(B297,Assumptions!$A$16:$A$20,0)))</f>
        <v>34376.36</v>
      </c>
      <c r="J297" s="33" t="n">
        <f aca="false">H297-I297</f>
        <v>6263.64</v>
      </c>
      <c r="K297" s="33" t="n">
        <f aca="false">IF(OR(E297=0,E297&gt;=7),0,D297/(7-E297)*E297*INDEX(Products!$E$2:$E$49,MATCH(C297,Products!$A$2:$A$49,0)))</f>
        <v>0</v>
      </c>
    </row>
    <row r="298" customFormat="false" ht="15" hidden="false" customHeight="false" outlineLevel="0" collapsed="false">
      <c r="A298" s="36" t="n">
        <v>46265</v>
      </c>
      <c r="B298" s="24" t="s">
        <v>61</v>
      </c>
      <c r="C298" s="24" t="s">
        <v>137</v>
      </c>
      <c r="D298" s="33" t="n">
        <v>135</v>
      </c>
      <c r="E298" s="24" t="n">
        <v>0</v>
      </c>
      <c r="F298" s="37" t="n">
        <f aca="false">DATE(YEAR(A298),MONTH(A298),1)</f>
        <v>46235</v>
      </c>
      <c r="G298" s="24" t="str">
        <f aca="false">INDEX(Products!$C$2:$C$49,MATCH(C298,Products!$A$2:$A$49,0))</f>
        <v>Dairy &amp; Eggs</v>
      </c>
      <c r="H298" s="33" t="n">
        <f aca="false">D298*INDEX(Products!$E$2:$E$49,MATCH(C298,Products!$A$2:$A$49,0))</f>
        <v>43200</v>
      </c>
      <c r="I298" s="33" t="n">
        <f aca="false">D298*INDEX(Products!$D$2:$D$49,MATCH(C298,Products!$A$2:$A$49,0))*(1+INDEX(Assumptions!$B$16:$B$20,MATCH(B298,Assumptions!$A$16:$A$20,0)))</f>
        <v>36541.8</v>
      </c>
      <c r="J298" s="33" t="n">
        <f aca="false">H298-I298</f>
        <v>6658.2</v>
      </c>
      <c r="K298" s="33" t="n">
        <f aca="false">IF(OR(E298=0,E298&gt;=7),0,D298/(7-E298)*E298*INDEX(Products!$E$2:$E$49,MATCH(C298,Products!$A$2:$A$49,0)))</f>
        <v>0</v>
      </c>
    </row>
    <row r="299" customFormat="false" ht="15" hidden="false" customHeight="false" outlineLevel="0" collapsed="false">
      <c r="A299" s="36" t="n">
        <v>46272</v>
      </c>
      <c r="B299" s="24" t="s">
        <v>61</v>
      </c>
      <c r="C299" s="24" t="s">
        <v>137</v>
      </c>
      <c r="D299" s="33" t="n">
        <v>129</v>
      </c>
      <c r="E299" s="24" t="n">
        <v>0</v>
      </c>
      <c r="F299" s="37" t="n">
        <f aca="false">DATE(YEAR(A299),MONTH(A299),1)</f>
        <v>46266</v>
      </c>
      <c r="G299" s="24" t="str">
        <f aca="false">INDEX(Products!$C$2:$C$49,MATCH(C299,Products!$A$2:$A$49,0))</f>
        <v>Dairy &amp; Eggs</v>
      </c>
      <c r="H299" s="33" t="n">
        <f aca="false">D299*INDEX(Products!$E$2:$E$49,MATCH(C299,Products!$A$2:$A$49,0))</f>
        <v>41280</v>
      </c>
      <c r="I299" s="33" t="n">
        <f aca="false">D299*INDEX(Products!$D$2:$D$49,MATCH(C299,Products!$A$2:$A$49,0))*(1+INDEX(Assumptions!$B$16:$B$20,MATCH(B299,Assumptions!$A$16:$A$20,0)))</f>
        <v>34917.72</v>
      </c>
      <c r="J299" s="33" t="n">
        <f aca="false">H299-I299</f>
        <v>6362.28</v>
      </c>
      <c r="K299" s="33" t="n">
        <f aca="false">IF(OR(E299=0,E299&gt;=7),0,D299/(7-E299)*E299*INDEX(Products!$E$2:$E$49,MATCH(C299,Products!$A$2:$A$49,0)))</f>
        <v>0</v>
      </c>
    </row>
    <row r="300" customFormat="false" ht="15" hidden="false" customHeight="false" outlineLevel="0" collapsed="false">
      <c r="A300" s="36" t="n">
        <v>46279</v>
      </c>
      <c r="B300" s="24" t="s">
        <v>61</v>
      </c>
      <c r="C300" s="24" t="s">
        <v>137</v>
      </c>
      <c r="D300" s="33" t="n">
        <v>122</v>
      </c>
      <c r="E300" s="24" t="n">
        <v>0</v>
      </c>
      <c r="F300" s="37" t="n">
        <f aca="false">DATE(YEAR(A300),MONTH(A300),1)</f>
        <v>46266</v>
      </c>
      <c r="G300" s="24" t="str">
        <f aca="false">INDEX(Products!$C$2:$C$49,MATCH(C300,Products!$A$2:$A$49,0))</f>
        <v>Dairy &amp; Eggs</v>
      </c>
      <c r="H300" s="33" t="n">
        <f aca="false">D300*INDEX(Products!$E$2:$E$49,MATCH(C300,Products!$A$2:$A$49,0))</f>
        <v>39040</v>
      </c>
      <c r="I300" s="33" t="n">
        <f aca="false">D300*INDEX(Products!$D$2:$D$49,MATCH(C300,Products!$A$2:$A$49,0))*(1+INDEX(Assumptions!$B$16:$B$20,MATCH(B300,Assumptions!$A$16:$A$20,0)))</f>
        <v>33022.96</v>
      </c>
      <c r="J300" s="33" t="n">
        <f aca="false">H300-I300</f>
        <v>6017.04</v>
      </c>
      <c r="K300" s="33" t="n">
        <f aca="false">IF(OR(E300=0,E300&gt;=7),0,D300/(7-E300)*E300*INDEX(Products!$E$2:$E$49,MATCH(C300,Products!$A$2:$A$49,0)))</f>
        <v>0</v>
      </c>
    </row>
    <row r="301" customFormat="false" ht="15" hidden="false" customHeight="false" outlineLevel="0" collapsed="false">
      <c r="A301" s="36" t="n">
        <v>46286</v>
      </c>
      <c r="B301" s="24" t="s">
        <v>61</v>
      </c>
      <c r="C301" s="24" t="s">
        <v>137</v>
      </c>
      <c r="D301" s="33" t="n">
        <v>135</v>
      </c>
      <c r="E301" s="24" t="n">
        <v>0</v>
      </c>
      <c r="F301" s="37" t="n">
        <f aca="false">DATE(YEAR(A301),MONTH(A301),1)</f>
        <v>46266</v>
      </c>
      <c r="G301" s="24" t="str">
        <f aca="false">INDEX(Products!$C$2:$C$49,MATCH(C301,Products!$A$2:$A$49,0))</f>
        <v>Dairy &amp; Eggs</v>
      </c>
      <c r="H301" s="33" t="n">
        <f aca="false">D301*INDEX(Products!$E$2:$E$49,MATCH(C301,Products!$A$2:$A$49,0))</f>
        <v>43200</v>
      </c>
      <c r="I301" s="33" t="n">
        <f aca="false">D301*INDEX(Products!$D$2:$D$49,MATCH(C301,Products!$A$2:$A$49,0))*(1+INDEX(Assumptions!$B$16:$B$20,MATCH(B301,Assumptions!$A$16:$A$20,0)))</f>
        <v>36541.8</v>
      </c>
      <c r="J301" s="33" t="n">
        <f aca="false">H301-I301</f>
        <v>6658.2</v>
      </c>
      <c r="K301" s="33" t="n">
        <f aca="false">IF(OR(E301=0,E301&gt;=7),0,D301/(7-E301)*E301*INDEX(Products!$E$2:$E$49,MATCH(C301,Products!$A$2:$A$49,0)))</f>
        <v>0</v>
      </c>
    </row>
    <row r="302" customFormat="false" ht="15" hidden="false" customHeight="false" outlineLevel="0" collapsed="false">
      <c r="A302" s="36" t="n">
        <v>46118</v>
      </c>
      <c r="B302" s="24" t="s">
        <v>61</v>
      </c>
      <c r="C302" s="24" t="s">
        <v>139</v>
      </c>
      <c r="D302" s="33" t="n">
        <v>187</v>
      </c>
      <c r="E302" s="24" t="n">
        <v>1</v>
      </c>
      <c r="F302" s="37" t="n">
        <f aca="false">DATE(YEAR(A302),MONTH(A302),1)</f>
        <v>46113</v>
      </c>
      <c r="G302" s="24" t="str">
        <f aca="false">INDEX(Products!$C$2:$C$49,MATCH(C302,Products!$A$2:$A$49,0))</f>
        <v>Dairy &amp; Eggs</v>
      </c>
      <c r="H302" s="33" t="n">
        <f aca="false">D302*INDEX(Products!$E$2:$E$49,MATCH(C302,Products!$A$2:$A$49,0))</f>
        <v>97240</v>
      </c>
      <c r="I302" s="33" t="n">
        <f aca="false">D302*INDEX(Products!$D$2:$D$49,MATCH(C302,Products!$A$2:$A$49,0))*(1+INDEX(Assumptions!$B$16:$B$20,MATCH(B302,Assumptions!$A$16:$A$20,0)))</f>
        <v>81025.23</v>
      </c>
      <c r="J302" s="33" t="n">
        <f aca="false">H302-I302</f>
        <v>16214.77</v>
      </c>
      <c r="K302" s="33" t="n">
        <f aca="false">IF(OR(E302=0,E302&gt;=7),0,D302/(7-E302)*E302*INDEX(Products!$E$2:$E$49,MATCH(C302,Products!$A$2:$A$49,0)))</f>
        <v>16206.6666666667</v>
      </c>
    </row>
    <row r="303" customFormat="false" ht="15" hidden="false" customHeight="false" outlineLevel="0" collapsed="false">
      <c r="A303" s="36" t="n">
        <v>46125</v>
      </c>
      <c r="B303" s="24" t="s">
        <v>61</v>
      </c>
      <c r="C303" s="24" t="s">
        <v>139</v>
      </c>
      <c r="D303" s="33" t="n">
        <v>291</v>
      </c>
      <c r="E303" s="24" t="n">
        <v>0</v>
      </c>
      <c r="F303" s="37" t="n">
        <f aca="false">DATE(YEAR(A303),MONTH(A303),1)</f>
        <v>46113</v>
      </c>
      <c r="G303" s="24" t="str">
        <f aca="false">INDEX(Products!$C$2:$C$49,MATCH(C303,Products!$A$2:$A$49,0))</f>
        <v>Dairy &amp; Eggs</v>
      </c>
      <c r="H303" s="33" t="n">
        <f aca="false">D303*INDEX(Products!$E$2:$E$49,MATCH(C303,Products!$A$2:$A$49,0))</f>
        <v>151320</v>
      </c>
      <c r="I303" s="33" t="n">
        <f aca="false">D303*INDEX(Products!$D$2:$D$49,MATCH(C303,Products!$A$2:$A$49,0))*(1+INDEX(Assumptions!$B$16:$B$20,MATCH(B303,Assumptions!$A$16:$A$20,0)))</f>
        <v>126087.39</v>
      </c>
      <c r="J303" s="33" t="n">
        <f aca="false">H303-I303</f>
        <v>25232.61</v>
      </c>
      <c r="K303" s="33" t="n">
        <f aca="false">IF(OR(E303=0,E303&gt;=7),0,D303/(7-E303)*E303*INDEX(Products!$E$2:$E$49,MATCH(C303,Products!$A$2:$A$49,0)))</f>
        <v>0</v>
      </c>
    </row>
    <row r="304" customFormat="false" ht="15" hidden="false" customHeight="false" outlineLevel="0" collapsed="false">
      <c r="A304" s="36" t="n">
        <v>46132</v>
      </c>
      <c r="B304" s="24" t="s">
        <v>61</v>
      </c>
      <c r="C304" s="24" t="s">
        <v>139</v>
      </c>
      <c r="D304" s="33" t="n">
        <v>278</v>
      </c>
      <c r="E304" s="24" t="n">
        <v>0</v>
      </c>
      <c r="F304" s="37" t="n">
        <f aca="false">DATE(YEAR(A304),MONTH(A304),1)</f>
        <v>46113</v>
      </c>
      <c r="G304" s="24" t="str">
        <f aca="false">INDEX(Products!$C$2:$C$49,MATCH(C304,Products!$A$2:$A$49,0))</f>
        <v>Dairy &amp; Eggs</v>
      </c>
      <c r="H304" s="33" t="n">
        <f aca="false">D304*INDEX(Products!$E$2:$E$49,MATCH(C304,Products!$A$2:$A$49,0))</f>
        <v>144560</v>
      </c>
      <c r="I304" s="33" t="n">
        <f aca="false">D304*INDEX(Products!$D$2:$D$49,MATCH(C304,Products!$A$2:$A$49,0))*(1+INDEX(Assumptions!$B$16:$B$20,MATCH(B304,Assumptions!$A$16:$A$20,0)))</f>
        <v>120454.62</v>
      </c>
      <c r="J304" s="33" t="n">
        <f aca="false">H304-I304</f>
        <v>24105.38</v>
      </c>
      <c r="K304" s="33" t="n">
        <f aca="false">IF(OR(E304=0,E304&gt;=7),0,D304/(7-E304)*E304*INDEX(Products!$E$2:$E$49,MATCH(C304,Products!$A$2:$A$49,0)))</f>
        <v>0</v>
      </c>
    </row>
    <row r="305" customFormat="false" ht="15" hidden="false" customHeight="false" outlineLevel="0" collapsed="false">
      <c r="A305" s="36" t="n">
        <v>46139</v>
      </c>
      <c r="B305" s="24" t="s">
        <v>61</v>
      </c>
      <c r="C305" s="24" t="s">
        <v>139</v>
      </c>
      <c r="D305" s="33" t="n">
        <v>311</v>
      </c>
      <c r="E305" s="24" t="n">
        <v>0</v>
      </c>
      <c r="F305" s="37" t="n">
        <f aca="false">DATE(YEAR(A305),MONTH(A305),1)</f>
        <v>46113</v>
      </c>
      <c r="G305" s="24" t="str">
        <f aca="false">INDEX(Products!$C$2:$C$49,MATCH(C305,Products!$A$2:$A$49,0))</f>
        <v>Dairy &amp; Eggs</v>
      </c>
      <c r="H305" s="33" t="n">
        <f aca="false">D305*INDEX(Products!$E$2:$E$49,MATCH(C305,Products!$A$2:$A$49,0))</f>
        <v>161720</v>
      </c>
      <c r="I305" s="33" t="n">
        <f aca="false">D305*INDEX(Products!$D$2:$D$49,MATCH(C305,Products!$A$2:$A$49,0))*(1+INDEX(Assumptions!$B$16:$B$20,MATCH(B305,Assumptions!$A$16:$A$20,0)))</f>
        <v>134753.19</v>
      </c>
      <c r="J305" s="33" t="n">
        <f aca="false">H305-I305</f>
        <v>26966.81</v>
      </c>
      <c r="K305" s="33" t="n">
        <f aca="false">IF(OR(E305=0,E305&gt;=7),0,D305/(7-E305)*E305*INDEX(Products!$E$2:$E$49,MATCH(C305,Products!$A$2:$A$49,0)))</f>
        <v>0</v>
      </c>
    </row>
    <row r="306" customFormat="false" ht="15" hidden="false" customHeight="false" outlineLevel="0" collapsed="false">
      <c r="A306" s="36" t="n">
        <v>46146</v>
      </c>
      <c r="B306" s="24" t="s">
        <v>61</v>
      </c>
      <c r="C306" s="24" t="s">
        <v>139</v>
      </c>
      <c r="D306" s="33" t="n">
        <v>268</v>
      </c>
      <c r="E306" s="24" t="n">
        <v>0</v>
      </c>
      <c r="F306" s="37" t="n">
        <f aca="false">DATE(YEAR(A306),MONTH(A306),1)</f>
        <v>46143</v>
      </c>
      <c r="G306" s="24" t="str">
        <f aca="false">INDEX(Products!$C$2:$C$49,MATCH(C306,Products!$A$2:$A$49,0))</f>
        <v>Dairy &amp; Eggs</v>
      </c>
      <c r="H306" s="33" t="n">
        <f aca="false">D306*INDEX(Products!$E$2:$E$49,MATCH(C306,Products!$A$2:$A$49,0))</f>
        <v>139360</v>
      </c>
      <c r="I306" s="33" t="n">
        <f aca="false">D306*INDEX(Products!$D$2:$D$49,MATCH(C306,Products!$A$2:$A$49,0))*(1+INDEX(Assumptions!$B$16:$B$20,MATCH(B306,Assumptions!$A$16:$A$20,0)))</f>
        <v>116121.72</v>
      </c>
      <c r="J306" s="33" t="n">
        <f aca="false">H306-I306</f>
        <v>23238.28</v>
      </c>
      <c r="K306" s="33" t="n">
        <f aca="false">IF(OR(E306=0,E306&gt;=7),0,D306/(7-E306)*E306*INDEX(Products!$E$2:$E$49,MATCH(C306,Products!$A$2:$A$49,0)))</f>
        <v>0</v>
      </c>
    </row>
    <row r="307" customFormat="false" ht="15" hidden="false" customHeight="false" outlineLevel="0" collapsed="false">
      <c r="A307" s="36" t="n">
        <v>46153</v>
      </c>
      <c r="B307" s="24" t="s">
        <v>61</v>
      </c>
      <c r="C307" s="24" t="s">
        <v>139</v>
      </c>
      <c r="D307" s="33" t="n">
        <v>296</v>
      </c>
      <c r="E307" s="24" t="n">
        <v>0</v>
      </c>
      <c r="F307" s="37" t="n">
        <f aca="false">DATE(YEAR(A307),MONTH(A307),1)</f>
        <v>46143</v>
      </c>
      <c r="G307" s="24" t="str">
        <f aca="false">INDEX(Products!$C$2:$C$49,MATCH(C307,Products!$A$2:$A$49,0))</f>
        <v>Dairy &amp; Eggs</v>
      </c>
      <c r="H307" s="33" t="n">
        <f aca="false">D307*INDEX(Products!$E$2:$E$49,MATCH(C307,Products!$A$2:$A$49,0))</f>
        <v>153920</v>
      </c>
      <c r="I307" s="33" t="n">
        <f aca="false">D307*INDEX(Products!$D$2:$D$49,MATCH(C307,Products!$A$2:$A$49,0))*(1+INDEX(Assumptions!$B$16:$B$20,MATCH(B307,Assumptions!$A$16:$A$20,0)))</f>
        <v>128253.84</v>
      </c>
      <c r="J307" s="33" t="n">
        <f aca="false">H307-I307</f>
        <v>25666.16</v>
      </c>
      <c r="K307" s="33" t="n">
        <f aca="false">IF(OR(E307=0,E307&gt;=7),0,D307/(7-E307)*E307*INDEX(Products!$E$2:$E$49,MATCH(C307,Products!$A$2:$A$49,0)))</f>
        <v>0</v>
      </c>
    </row>
    <row r="308" customFormat="false" ht="15" hidden="false" customHeight="false" outlineLevel="0" collapsed="false">
      <c r="A308" s="36" t="n">
        <v>46160</v>
      </c>
      <c r="B308" s="24" t="s">
        <v>61</v>
      </c>
      <c r="C308" s="24" t="s">
        <v>139</v>
      </c>
      <c r="D308" s="33" t="n">
        <v>275</v>
      </c>
      <c r="E308" s="24" t="n">
        <v>0</v>
      </c>
      <c r="F308" s="37" t="n">
        <f aca="false">DATE(YEAR(A308),MONTH(A308),1)</f>
        <v>46143</v>
      </c>
      <c r="G308" s="24" t="str">
        <f aca="false">INDEX(Products!$C$2:$C$49,MATCH(C308,Products!$A$2:$A$49,0))</f>
        <v>Dairy &amp; Eggs</v>
      </c>
      <c r="H308" s="33" t="n">
        <f aca="false">D308*INDEX(Products!$E$2:$E$49,MATCH(C308,Products!$A$2:$A$49,0))</f>
        <v>143000</v>
      </c>
      <c r="I308" s="33" t="n">
        <f aca="false">D308*INDEX(Products!$D$2:$D$49,MATCH(C308,Products!$A$2:$A$49,0))*(1+INDEX(Assumptions!$B$16:$B$20,MATCH(B308,Assumptions!$A$16:$A$20,0)))</f>
        <v>119154.75</v>
      </c>
      <c r="J308" s="33" t="n">
        <f aca="false">H308-I308</f>
        <v>23845.25</v>
      </c>
      <c r="K308" s="33" t="n">
        <f aca="false">IF(OR(E308=0,E308&gt;=7),0,D308/(7-E308)*E308*INDEX(Products!$E$2:$E$49,MATCH(C308,Products!$A$2:$A$49,0)))</f>
        <v>0</v>
      </c>
    </row>
    <row r="309" customFormat="false" ht="15" hidden="false" customHeight="false" outlineLevel="0" collapsed="false">
      <c r="A309" s="36" t="n">
        <v>46167</v>
      </c>
      <c r="B309" s="24" t="s">
        <v>61</v>
      </c>
      <c r="C309" s="24" t="s">
        <v>139</v>
      </c>
      <c r="D309" s="33" t="n">
        <v>301</v>
      </c>
      <c r="E309" s="24" t="n">
        <v>0</v>
      </c>
      <c r="F309" s="37" t="n">
        <f aca="false">DATE(YEAR(A309),MONTH(A309),1)</f>
        <v>46143</v>
      </c>
      <c r="G309" s="24" t="str">
        <f aca="false">INDEX(Products!$C$2:$C$49,MATCH(C309,Products!$A$2:$A$49,0))</f>
        <v>Dairy &amp; Eggs</v>
      </c>
      <c r="H309" s="33" t="n">
        <f aca="false">D309*INDEX(Products!$E$2:$E$49,MATCH(C309,Products!$A$2:$A$49,0))</f>
        <v>156520</v>
      </c>
      <c r="I309" s="33" t="n">
        <f aca="false">D309*INDEX(Products!$D$2:$D$49,MATCH(C309,Products!$A$2:$A$49,0))*(1+INDEX(Assumptions!$B$16:$B$20,MATCH(B309,Assumptions!$A$16:$A$20,0)))</f>
        <v>130420.29</v>
      </c>
      <c r="J309" s="33" t="n">
        <f aca="false">H309-I309</f>
        <v>26099.71</v>
      </c>
      <c r="K309" s="33" t="n">
        <f aca="false">IF(OR(E309=0,E309&gt;=7),0,D309/(7-E309)*E309*INDEX(Products!$E$2:$E$49,MATCH(C309,Products!$A$2:$A$49,0)))</f>
        <v>0</v>
      </c>
    </row>
    <row r="310" customFormat="false" ht="15" hidden="false" customHeight="false" outlineLevel="0" collapsed="false">
      <c r="A310" s="36" t="n">
        <v>46174</v>
      </c>
      <c r="B310" s="24" t="s">
        <v>61</v>
      </c>
      <c r="C310" s="24" t="s">
        <v>139</v>
      </c>
      <c r="D310" s="33" t="n">
        <v>252</v>
      </c>
      <c r="E310" s="24" t="n">
        <v>0</v>
      </c>
      <c r="F310" s="37" t="n">
        <f aca="false">DATE(YEAR(A310),MONTH(A310),1)</f>
        <v>46174</v>
      </c>
      <c r="G310" s="24" t="str">
        <f aca="false">INDEX(Products!$C$2:$C$49,MATCH(C310,Products!$A$2:$A$49,0))</f>
        <v>Dairy &amp; Eggs</v>
      </c>
      <c r="H310" s="33" t="n">
        <f aca="false">D310*INDEX(Products!$E$2:$E$49,MATCH(C310,Products!$A$2:$A$49,0))</f>
        <v>131040</v>
      </c>
      <c r="I310" s="33" t="n">
        <f aca="false">D310*INDEX(Products!$D$2:$D$49,MATCH(C310,Products!$A$2:$A$49,0))*(1+INDEX(Assumptions!$B$16:$B$20,MATCH(B310,Assumptions!$A$16:$A$20,0)))</f>
        <v>109189.08</v>
      </c>
      <c r="J310" s="33" t="n">
        <f aca="false">H310-I310</f>
        <v>21850.92</v>
      </c>
      <c r="K310" s="33" t="n">
        <f aca="false">IF(OR(E310=0,E310&gt;=7),0,D310/(7-E310)*E310*INDEX(Products!$E$2:$E$49,MATCH(C310,Products!$A$2:$A$49,0)))</f>
        <v>0</v>
      </c>
    </row>
    <row r="311" customFormat="false" ht="15" hidden="false" customHeight="false" outlineLevel="0" collapsed="false">
      <c r="A311" s="36" t="n">
        <v>46181</v>
      </c>
      <c r="B311" s="24" t="s">
        <v>61</v>
      </c>
      <c r="C311" s="24" t="s">
        <v>139</v>
      </c>
      <c r="D311" s="33" t="n">
        <v>262</v>
      </c>
      <c r="E311" s="24" t="n">
        <v>0</v>
      </c>
      <c r="F311" s="37" t="n">
        <f aca="false">DATE(YEAR(A311),MONTH(A311),1)</f>
        <v>46174</v>
      </c>
      <c r="G311" s="24" t="str">
        <f aca="false">INDEX(Products!$C$2:$C$49,MATCH(C311,Products!$A$2:$A$49,0))</f>
        <v>Dairy &amp; Eggs</v>
      </c>
      <c r="H311" s="33" t="n">
        <f aca="false">D311*INDEX(Products!$E$2:$E$49,MATCH(C311,Products!$A$2:$A$49,0))</f>
        <v>136240</v>
      </c>
      <c r="I311" s="33" t="n">
        <f aca="false">D311*INDEX(Products!$D$2:$D$49,MATCH(C311,Products!$A$2:$A$49,0))*(1+INDEX(Assumptions!$B$16:$B$20,MATCH(B311,Assumptions!$A$16:$A$20,0)))</f>
        <v>113521.98</v>
      </c>
      <c r="J311" s="33" t="n">
        <f aca="false">H311-I311</f>
        <v>22718.02</v>
      </c>
      <c r="K311" s="33" t="n">
        <f aca="false">IF(OR(E311=0,E311&gt;=7),0,D311/(7-E311)*E311*INDEX(Products!$E$2:$E$49,MATCH(C311,Products!$A$2:$A$49,0)))</f>
        <v>0</v>
      </c>
    </row>
    <row r="312" customFormat="false" ht="15" hidden="false" customHeight="false" outlineLevel="0" collapsed="false">
      <c r="A312" s="36" t="n">
        <v>46188</v>
      </c>
      <c r="B312" s="24" t="s">
        <v>61</v>
      </c>
      <c r="C312" s="24" t="s">
        <v>139</v>
      </c>
      <c r="D312" s="33" t="n">
        <v>490</v>
      </c>
      <c r="E312" s="24" t="n">
        <v>0</v>
      </c>
      <c r="F312" s="37" t="n">
        <f aca="false">DATE(YEAR(A312),MONTH(A312),1)</f>
        <v>46174</v>
      </c>
      <c r="G312" s="24" t="str">
        <f aca="false">INDEX(Products!$C$2:$C$49,MATCH(C312,Products!$A$2:$A$49,0))</f>
        <v>Dairy &amp; Eggs</v>
      </c>
      <c r="H312" s="33" t="n">
        <f aca="false">D312*INDEX(Products!$E$2:$E$49,MATCH(C312,Products!$A$2:$A$49,0))</f>
        <v>254800</v>
      </c>
      <c r="I312" s="33" t="n">
        <f aca="false">D312*INDEX(Products!$D$2:$D$49,MATCH(C312,Products!$A$2:$A$49,0))*(1+INDEX(Assumptions!$B$16:$B$20,MATCH(B312,Assumptions!$A$16:$A$20,0)))</f>
        <v>212312.1</v>
      </c>
      <c r="J312" s="33" t="n">
        <f aca="false">H312-I312</f>
        <v>42487.9</v>
      </c>
      <c r="K312" s="33" t="n">
        <f aca="false">IF(OR(E312=0,E312&gt;=7),0,D312/(7-E312)*E312*INDEX(Products!$E$2:$E$49,MATCH(C312,Products!$A$2:$A$49,0)))</f>
        <v>0</v>
      </c>
    </row>
    <row r="313" customFormat="false" ht="15" hidden="false" customHeight="false" outlineLevel="0" collapsed="false">
      <c r="A313" s="36" t="n">
        <v>46195</v>
      </c>
      <c r="B313" s="24" t="s">
        <v>61</v>
      </c>
      <c r="C313" s="24" t="s">
        <v>139</v>
      </c>
      <c r="D313" s="33" t="n">
        <v>264</v>
      </c>
      <c r="E313" s="24" t="n">
        <v>0</v>
      </c>
      <c r="F313" s="37" t="n">
        <f aca="false">DATE(YEAR(A313),MONTH(A313),1)</f>
        <v>46174</v>
      </c>
      <c r="G313" s="24" t="str">
        <f aca="false">INDEX(Products!$C$2:$C$49,MATCH(C313,Products!$A$2:$A$49,0))</f>
        <v>Dairy &amp; Eggs</v>
      </c>
      <c r="H313" s="33" t="n">
        <f aca="false">D313*INDEX(Products!$E$2:$E$49,MATCH(C313,Products!$A$2:$A$49,0))</f>
        <v>137280</v>
      </c>
      <c r="I313" s="33" t="n">
        <f aca="false">D313*INDEX(Products!$D$2:$D$49,MATCH(C313,Products!$A$2:$A$49,0))*(1+INDEX(Assumptions!$B$16:$B$20,MATCH(B313,Assumptions!$A$16:$A$20,0)))</f>
        <v>114388.56</v>
      </c>
      <c r="J313" s="33" t="n">
        <f aca="false">H313-I313</f>
        <v>22891.44</v>
      </c>
      <c r="K313" s="33" t="n">
        <f aca="false">IF(OR(E313=0,E313&gt;=7),0,D313/(7-E313)*E313*INDEX(Products!$E$2:$E$49,MATCH(C313,Products!$A$2:$A$49,0)))</f>
        <v>0</v>
      </c>
    </row>
    <row r="314" customFormat="false" ht="15" hidden="false" customHeight="false" outlineLevel="0" collapsed="false">
      <c r="A314" s="36" t="n">
        <v>46202</v>
      </c>
      <c r="B314" s="24" t="s">
        <v>61</v>
      </c>
      <c r="C314" s="24" t="s">
        <v>139</v>
      </c>
      <c r="D314" s="33" t="n">
        <v>279</v>
      </c>
      <c r="E314" s="24" t="n">
        <v>0</v>
      </c>
      <c r="F314" s="37" t="n">
        <f aca="false">DATE(YEAR(A314),MONTH(A314),1)</f>
        <v>46174</v>
      </c>
      <c r="G314" s="24" t="str">
        <f aca="false">INDEX(Products!$C$2:$C$49,MATCH(C314,Products!$A$2:$A$49,0))</f>
        <v>Dairy &amp; Eggs</v>
      </c>
      <c r="H314" s="33" t="n">
        <f aca="false">D314*INDEX(Products!$E$2:$E$49,MATCH(C314,Products!$A$2:$A$49,0))</f>
        <v>145080</v>
      </c>
      <c r="I314" s="33" t="n">
        <f aca="false">D314*INDEX(Products!$D$2:$D$49,MATCH(C314,Products!$A$2:$A$49,0))*(1+INDEX(Assumptions!$B$16:$B$20,MATCH(B314,Assumptions!$A$16:$A$20,0)))</f>
        <v>120887.91</v>
      </c>
      <c r="J314" s="33" t="n">
        <f aca="false">H314-I314</f>
        <v>24192.09</v>
      </c>
      <c r="K314" s="33" t="n">
        <f aca="false">IF(OR(E314=0,E314&gt;=7),0,D314/(7-E314)*E314*INDEX(Products!$E$2:$E$49,MATCH(C314,Products!$A$2:$A$49,0)))</f>
        <v>0</v>
      </c>
    </row>
    <row r="315" customFormat="false" ht="15" hidden="false" customHeight="false" outlineLevel="0" collapsed="false">
      <c r="A315" s="36" t="n">
        <v>46209</v>
      </c>
      <c r="B315" s="24" t="s">
        <v>61</v>
      </c>
      <c r="C315" s="24" t="s">
        <v>139</v>
      </c>
      <c r="D315" s="33" t="n">
        <v>236</v>
      </c>
      <c r="E315" s="24" t="n">
        <v>0</v>
      </c>
      <c r="F315" s="37" t="n">
        <f aca="false">DATE(YEAR(A315),MONTH(A315),1)</f>
        <v>46204</v>
      </c>
      <c r="G315" s="24" t="str">
        <f aca="false">INDEX(Products!$C$2:$C$49,MATCH(C315,Products!$A$2:$A$49,0))</f>
        <v>Dairy &amp; Eggs</v>
      </c>
      <c r="H315" s="33" t="n">
        <f aca="false">D315*INDEX(Products!$E$2:$E$49,MATCH(C315,Products!$A$2:$A$49,0))</f>
        <v>122720</v>
      </c>
      <c r="I315" s="33" t="n">
        <f aca="false">D315*INDEX(Products!$D$2:$D$49,MATCH(C315,Products!$A$2:$A$49,0))*(1+INDEX(Assumptions!$B$16:$B$20,MATCH(B315,Assumptions!$A$16:$A$20,0)))</f>
        <v>102256.44</v>
      </c>
      <c r="J315" s="33" t="n">
        <f aca="false">H315-I315</f>
        <v>20463.56</v>
      </c>
      <c r="K315" s="33" t="n">
        <f aca="false">IF(OR(E315=0,E315&gt;=7),0,D315/(7-E315)*E315*INDEX(Products!$E$2:$E$49,MATCH(C315,Products!$A$2:$A$49,0)))</f>
        <v>0</v>
      </c>
    </row>
    <row r="316" customFormat="false" ht="15" hidden="false" customHeight="false" outlineLevel="0" collapsed="false">
      <c r="A316" s="36" t="n">
        <v>46216</v>
      </c>
      <c r="B316" s="24" t="s">
        <v>61</v>
      </c>
      <c r="C316" s="24" t="s">
        <v>139</v>
      </c>
      <c r="D316" s="33" t="n">
        <v>250</v>
      </c>
      <c r="E316" s="24" t="n">
        <v>0</v>
      </c>
      <c r="F316" s="37" t="n">
        <f aca="false">DATE(YEAR(A316),MONTH(A316),1)</f>
        <v>46204</v>
      </c>
      <c r="G316" s="24" t="str">
        <f aca="false">INDEX(Products!$C$2:$C$49,MATCH(C316,Products!$A$2:$A$49,0))</f>
        <v>Dairy &amp; Eggs</v>
      </c>
      <c r="H316" s="33" t="n">
        <f aca="false">D316*INDEX(Products!$E$2:$E$49,MATCH(C316,Products!$A$2:$A$49,0))</f>
        <v>130000</v>
      </c>
      <c r="I316" s="33" t="n">
        <f aca="false">D316*INDEX(Products!$D$2:$D$49,MATCH(C316,Products!$A$2:$A$49,0))*(1+INDEX(Assumptions!$B$16:$B$20,MATCH(B316,Assumptions!$A$16:$A$20,0)))</f>
        <v>108322.5</v>
      </c>
      <c r="J316" s="33" t="n">
        <f aca="false">H316-I316</f>
        <v>21677.5</v>
      </c>
      <c r="K316" s="33" t="n">
        <f aca="false">IF(OR(E316=0,E316&gt;=7),0,D316/(7-E316)*E316*INDEX(Products!$E$2:$E$49,MATCH(C316,Products!$A$2:$A$49,0)))</f>
        <v>0</v>
      </c>
    </row>
    <row r="317" customFormat="false" ht="15" hidden="false" customHeight="false" outlineLevel="0" collapsed="false">
      <c r="A317" s="36" t="n">
        <v>46223</v>
      </c>
      <c r="B317" s="24" t="s">
        <v>61</v>
      </c>
      <c r="C317" s="24" t="s">
        <v>139</v>
      </c>
      <c r="D317" s="33" t="n">
        <v>271</v>
      </c>
      <c r="E317" s="24" t="n">
        <v>0</v>
      </c>
      <c r="F317" s="37" t="n">
        <f aca="false">DATE(YEAR(A317),MONTH(A317),1)</f>
        <v>46204</v>
      </c>
      <c r="G317" s="24" t="str">
        <f aca="false">INDEX(Products!$C$2:$C$49,MATCH(C317,Products!$A$2:$A$49,0))</f>
        <v>Dairy &amp; Eggs</v>
      </c>
      <c r="H317" s="33" t="n">
        <f aca="false">D317*INDEX(Products!$E$2:$E$49,MATCH(C317,Products!$A$2:$A$49,0))</f>
        <v>140920</v>
      </c>
      <c r="I317" s="33" t="n">
        <f aca="false">D317*INDEX(Products!$D$2:$D$49,MATCH(C317,Products!$A$2:$A$49,0))*(1+INDEX(Assumptions!$B$16:$B$20,MATCH(B317,Assumptions!$A$16:$A$20,0)))</f>
        <v>117421.59</v>
      </c>
      <c r="J317" s="33" t="n">
        <f aca="false">H317-I317</f>
        <v>23498.41</v>
      </c>
      <c r="K317" s="33" t="n">
        <f aca="false">IF(OR(E317=0,E317&gt;=7),0,D317/(7-E317)*E317*INDEX(Products!$E$2:$E$49,MATCH(C317,Products!$A$2:$A$49,0)))</f>
        <v>0</v>
      </c>
    </row>
    <row r="318" customFormat="false" ht="15" hidden="false" customHeight="false" outlineLevel="0" collapsed="false">
      <c r="A318" s="36" t="n">
        <v>46230</v>
      </c>
      <c r="B318" s="24" t="s">
        <v>61</v>
      </c>
      <c r="C318" s="24" t="s">
        <v>139</v>
      </c>
      <c r="D318" s="33" t="n">
        <v>280</v>
      </c>
      <c r="E318" s="24" t="n">
        <v>0</v>
      </c>
      <c r="F318" s="37" t="n">
        <f aca="false">DATE(YEAR(A318),MONTH(A318),1)</f>
        <v>46204</v>
      </c>
      <c r="G318" s="24" t="str">
        <f aca="false">INDEX(Products!$C$2:$C$49,MATCH(C318,Products!$A$2:$A$49,0))</f>
        <v>Dairy &amp; Eggs</v>
      </c>
      <c r="H318" s="33" t="n">
        <f aca="false">D318*INDEX(Products!$E$2:$E$49,MATCH(C318,Products!$A$2:$A$49,0))</f>
        <v>145600</v>
      </c>
      <c r="I318" s="33" t="n">
        <f aca="false">D318*INDEX(Products!$D$2:$D$49,MATCH(C318,Products!$A$2:$A$49,0))*(1+INDEX(Assumptions!$B$16:$B$20,MATCH(B318,Assumptions!$A$16:$A$20,0)))</f>
        <v>121321.2</v>
      </c>
      <c r="J318" s="33" t="n">
        <f aca="false">H318-I318</f>
        <v>24278.8</v>
      </c>
      <c r="K318" s="33" t="n">
        <f aca="false">IF(OR(E318=0,E318&gt;=7),0,D318/(7-E318)*E318*INDEX(Products!$E$2:$E$49,MATCH(C318,Products!$A$2:$A$49,0)))</f>
        <v>0</v>
      </c>
    </row>
    <row r="319" customFormat="false" ht="15" hidden="false" customHeight="false" outlineLevel="0" collapsed="false">
      <c r="A319" s="36" t="n">
        <v>46237</v>
      </c>
      <c r="B319" s="24" t="s">
        <v>61</v>
      </c>
      <c r="C319" s="24" t="s">
        <v>139</v>
      </c>
      <c r="D319" s="33" t="n">
        <v>209</v>
      </c>
      <c r="E319" s="24" t="n">
        <v>0</v>
      </c>
      <c r="F319" s="37" t="n">
        <f aca="false">DATE(YEAR(A319),MONTH(A319),1)</f>
        <v>46235</v>
      </c>
      <c r="G319" s="24" t="str">
        <f aca="false">INDEX(Products!$C$2:$C$49,MATCH(C319,Products!$A$2:$A$49,0))</f>
        <v>Dairy &amp; Eggs</v>
      </c>
      <c r="H319" s="33" t="n">
        <f aca="false">D319*INDEX(Products!$E$2:$E$49,MATCH(C319,Products!$A$2:$A$49,0))</f>
        <v>108680</v>
      </c>
      <c r="I319" s="33" t="n">
        <f aca="false">D319*INDEX(Products!$D$2:$D$49,MATCH(C319,Products!$A$2:$A$49,0))*(1+INDEX(Assumptions!$B$16:$B$20,MATCH(B319,Assumptions!$A$16:$A$20,0)))</f>
        <v>90557.61</v>
      </c>
      <c r="J319" s="33" t="n">
        <f aca="false">H319-I319</f>
        <v>18122.39</v>
      </c>
      <c r="K319" s="33" t="n">
        <f aca="false">IF(OR(E319=0,E319&gt;=7),0,D319/(7-E319)*E319*INDEX(Products!$E$2:$E$49,MATCH(C319,Products!$A$2:$A$49,0)))</f>
        <v>0</v>
      </c>
    </row>
    <row r="320" customFormat="false" ht="15" hidden="false" customHeight="false" outlineLevel="0" collapsed="false">
      <c r="A320" s="36" t="n">
        <v>46244</v>
      </c>
      <c r="B320" s="24" t="s">
        <v>61</v>
      </c>
      <c r="C320" s="24" t="s">
        <v>139</v>
      </c>
      <c r="D320" s="33" t="n">
        <v>253</v>
      </c>
      <c r="E320" s="24" t="n">
        <v>0</v>
      </c>
      <c r="F320" s="37" t="n">
        <f aca="false">DATE(YEAR(A320),MONTH(A320),1)</f>
        <v>46235</v>
      </c>
      <c r="G320" s="24" t="str">
        <f aca="false">INDEX(Products!$C$2:$C$49,MATCH(C320,Products!$A$2:$A$49,0))</f>
        <v>Dairy &amp; Eggs</v>
      </c>
      <c r="H320" s="33" t="n">
        <f aca="false">D320*INDEX(Products!$E$2:$E$49,MATCH(C320,Products!$A$2:$A$49,0))</f>
        <v>131560</v>
      </c>
      <c r="I320" s="33" t="n">
        <f aca="false">D320*INDEX(Products!$D$2:$D$49,MATCH(C320,Products!$A$2:$A$49,0))*(1+INDEX(Assumptions!$B$16:$B$20,MATCH(B320,Assumptions!$A$16:$A$20,0)))</f>
        <v>109622.37</v>
      </c>
      <c r="J320" s="33" t="n">
        <f aca="false">H320-I320</f>
        <v>21937.63</v>
      </c>
      <c r="K320" s="33" t="n">
        <f aca="false">IF(OR(E320=0,E320&gt;=7),0,D320/(7-E320)*E320*INDEX(Products!$E$2:$E$49,MATCH(C320,Products!$A$2:$A$49,0)))</f>
        <v>0</v>
      </c>
    </row>
    <row r="321" customFormat="false" ht="15" hidden="false" customHeight="false" outlineLevel="0" collapsed="false">
      <c r="A321" s="36" t="n">
        <v>46251</v>
      </c>
      <c r="B321" s="24" t="s">
        <v>61</v>
      </c>
      <c r="C321" s="24" t="s">
        <v>139</v>
      </c>
      <c r="D321" s="33" t="n">
        <v>235</v>
      </c>
      <c r="E321" s="24" t="n">
        <v>0</v>
      </c>
      <c r="F321" s="37" t="n">
        <f aca="false">DATE(YEAR(A321),MONTH(A321),1)</f>
        <v>46235</v>
      </c>
      <c r="G321" s="24" t="str">
        <f aca="false">INDEX(Products!$C$2:$C$49,MATCH(C321,Products!$A$2:$A$49,0))</f>
        <v>Dairy &amp; Eggs</v>
      </c>
      <c r="H321" s="33" t="n">
        <f aca="false">D321*INDEX(Products!$E$2:$E$49,MATCH(C321,Products!$A$2:$A$49,0))</f>
        <v>122200</v>
      </c>
      <c r="I321" s="33" t="n">
        <f aca="false">D321*INDEX(Products!$D$2:$D$49,MATCH(C321,Products!$A$2:$A$49,0))*(1+INDEX(Assumptions!$B$16:$B$20,MATCH(B321,Assumptions!$A$16:$A$20,0)))</f>
        <v>101823.15</v>
      </c>
      <c r="J321" s="33" t="n">
        <f aca="false">H321-I321</f>
        <v>20376.85</v>
      </c>
      <c r="K321" s="33" t="n">
        <f aca="false">IF(OR(E321=0,E321&gt;=7),0,D321/(7-E321)*E321*INDEX(Products!$E$2:$E$49,MATCH(C321,Products!$A$2:$A$49,0)))</f>
        <v>0</v>
      </c>
    </row>
    <row r="322" customFormat="false" ht="15" hidden="false" customHeight="false" outlineLevel="0" collapsed="false">
      <c r="A322" s="36" t="n">
        <v>46258</v>
      </c>
      <c r="B322" s="24" t="s">
        <v>61</v>
      </c>
      <c r="C322" s="24" t="s">
        <v>139</v>
      </c>
      <c r="D322" s="33" t="n">
        <v>267</v>
      </c>
      <c r="E322" s="24" t="n">
        <v>0</v>
      </c>
      <c r="F322" s="37" t="n">
        <f aca="false">DATE(YEAR(A322),MONTH(A322),1)</f>
        <v>46235</v>
      </c>
      <c r="G322" s="24" t="str">
        <f aca="false">INDEX(Products!$C$2:$C$49,MATCH(C322,Products!$A$2:$A$49,0))</f>
        <v>Dairy &amp; Eggs</v>
      </c>
      <c r="H322" s="33" t="n">
        <f aca="false">D322*INDEX(Products!$E$2:$E$49,MATCH(C322,Products!$A$2:$A$49,0))</f>
        <v>138840</v>
      </c>
      <c r="I322" s="33" t="n">
        <f aca="false">D322*INDEX(Products!$D$2:$D$49,MATCH(C322,Products!$A$2:$A$49,0))*(1+INDEX(Assumptions!$B$16:$B$20,MATCH(B322,Assumptions!$A$16:$A$20,0)))</f>
        <v>115688.43</v>
      </c>
      <c r="J322" s="33" t="n">
        <f aca="false">H322-I322</f>
        <v>23151.57</v>
      </c>
      <c r="K322" s="33" t="n">
        <f aca="false">IF(OR(E322=0,E322&gt;=7),0,D322/(7-E322)*E322*INDEX(Products!$E$2:$E$49,MATCH(C322,Products!$A$2:$A$49,0)))</f>
        <v>0</v>
      </c>
    </row>
    <row r="323" customFormat="false" ht="15" hidden="false" customHeight="false" outlineLevel="0" collapsed="false">
      <c r="A323" s="36" t="n">
        <v>46265</v>
      </c>
      <c r="B323" s="24" t="s">
        <v>61</v>
      </c>
      <c r="C323" s="24" t="s">
        <v>139</v>
      </c>
      <c r="D323" s="33" t="n">
        <v>296</v>
      </c>
      <c r="E323" s="24" t="n">
        <v>0</v>
      </c>
      <c r="F323" s="37" t="n">
        <f aca="false">DATE(YEAR(A323),MONTH(A323),1)</f>
        <v>46235</v>
      </c>
      <c r="G323" s="24" t="str">
        <f aca="false">INDEX(Products!$C$2:$C$49,MATCH(C323,Products!$A$2:$A$49,0))</f>
        <v>Dairy &amp; Eggs</v>
      </c>
      <c r="H323" s="33" t="n">
        <f aca="false">D323*INDEX(Products!$E$2:$E$49,MATCH(C323,Products!$A$2:$A$49,0))</f>
        <v>153920</v>
      </c>
      <c r="I323" s="33" t="n">
        <f aca="false">D323*INDEX(Products!$D$2:$D$49,MATCH(C323,Products!$A$2:$A$49,0))*(1+INDEX(Assumptions!$B$16:$B$20,MATCH(B323,Assumptions!$A$16:$A$20,0)))</f>
        <v>128253.84</v>
      </c>
      <c r="J323" s="33" t="n">
        <f aca="false">H323-I323</f>
        <v>25666.16</v>
      </c>
      <c r="K323" s="33" t="n">
        <f aca="false">IF(OR(E323=0,E323&gt;=7),0,D323/(7-E323)*E323*INDEX(Products!$E$2:$E$49,MATCH(C323,Products!$A$2:$A$49,0)))</f>
        <v>0</v>
      </c>
    </row>
    <row r="324" customFormat="false" ht="15" hidden="false" customHeight="false" outlineLevel="0" collapsed="false">
      <c r="A324" s="36" t="n">
        <v>46272</v>
      </c>
      <c r="B324" s="24" t="s">
        <v>61</v>
      </c>
      <c r="C324" s="24" t="s">
        <v>139</v>
      </c>
      <c r="D324" s="33" t="n">
        <v>272</v>
      </c>
      <c r="E324" s="24" t="n">
        <v>0</v>
      </c>
      <c r="F324" s="37" t="n">
        <f aca="false">DATE(YEAR(A324),MONTH(A324),1)</f>
        <v>46266</v>
      </c>
      <c r="G324" s="24" t="str">
        <f aca="false">INDEX(Products!$C$2:$C$49,MATCH(C324,Products!$A$2:$A$49,0))</f>
        <v>Dairy &amp; Eggs</v>
      </c>
      <c r="H324" s="33" t="n">
        <f aca="false">D324*INDEX(Products!$E$2:$E$49,MATCH(C324,Products!$A$2:$A$49,0))</f>
        <v>141440</v>
      </c>
      <c r="I324" s="33" t="n">
        <f aca="false">D324*INDEX(Products!$D$2:$D$49,MATCH(C324,Products!$A$2:$A$49,0))*(1+INDEX(Assumptions!$B$16:$B$20,MATCH(B324,Assumptions!$A$16:$A$20,0)))</f>
        <v>117854.88</v>
      </c>
      <c r="J324" s="33" t="n">
        <f aca="false">H324-I324</f>
        <v>23585.12</v>
      </c>
      <c r="K324" s="33" t="n">
        <f aca="false">IF(OR(E324=0,E324&gt;=7),0,D324/(7-E324)*E324*INDEX(Products!$E$2:$E$49,MATCH(C324,Products!$A$2:$A$49,0)))</f>
        <v>0</v>
      </c>
    </row>
    <row r="325" customFormat="false" ht="15" hidden="false" customHeight="false" outlineLevel="0" collapsed="false">
      <c r="A325" s="36" t="n">
        <v>46279</v>
      </c>
      <c r="B325" s="24" t="s">
        <v>61</v>
      </c>
      <c r="C325" s="24" t="s">
        <v>139</v>
      </c>
      <c r="D325" s="33" t="n">
        <v>259</v>
      </c>
      <c r="E325" s="24" t="n">
        <v>0</v>
      </c>
      <c r="F325" s="37" t="n">
        <f aca="false">DATE(YEAR(A325),MONTH(A325),1)</f>
        <v>46266</v>
      </c>
      <c r="G325" s="24" t="str">
        <f aca="false">INDEX(Products!$C$2:$C$49,MATCH(C325,Products!$A$2:$A$49,0))</f>
        <v>Dairy &amp; Eggs</v>
      </c>
      <c r="H325" s="33" t="n">
        <f aca="false">D325*INDEX(Products!$E$2:$E$49,MATCH(C325,Products!$A$2:$A$49,0))</f>
        <v>134680</v>
      </c>
      <c r="I325" s="33" t="n">
        <f aca="false">D325*INDEX(Products!$D$2:$D$49,MATCH(C325,Products!$A$2:$A$49,0))*(1+INDEX(Assumptions!$B$16:$B$20,MATCH(B325,Assumptions!$A$16:$A$20,0)))</f>
        <v>112222.11</v>
      </c>
      <c r="J325" s="33" t="n">
        <f aca="false">H325-I325</f>
        <v>22457.89</v>
      </c>
      <c r="K325" s="33" t="n">
        <f aca="false">IF(OR(E325=0,E325&gt;=7),0,D325/(7-E325)*E325*INDEX(Products!$E$2:$E$49,MATCH(C325,Products!$A$2:$A$49,0)))</f>
        <v>0</v>
      </c>
    </row>
    <row r="326" customFormat="false" ht="15" hidden="false" customHeight="false" outlineLevel="0" collapsed="false">
      <c r="A326" s="36" t="n">
        <v>46286</v>
      </c>
      <c r="B326" s="24" t="s">
        <v>61</v>
      </c>
      <c r="C326" s="24" t="s">
        <v>139</v>
      </c>
      <c r="D326" s="33" t="n">
        <v>198</v>
      </c>
      <c r="E326" s="24" t="n">
        <v>2</v>
      </c>
      <c r="F326" s="37" t="n">
        <f aca="false">DATE(YEAR(A326),MONTH(A326),1)</f>
        <v>46266</v>
      </c>
      <c r="G326" s="24" t="str">
        <f aca="false">INDEX(Products!$C$2:$C$49,MATCH(C326,Products!$A$2:$A$49,0))</f>
        <v>Dairy &amp; Eggs</v>
      </c>
      <c r="H326" s="33" t="n">
        <f aca="false">D326*INDEX(Products!$E$2:$E$49,MATCH(C326,Products!$A$2:$A$49,0))</f>
        <v>102960</v>
      </c>
      <c r="I326" s="33" t="n">
        <f aca="false">D326*INDEX(Products!$D$2:$D$49,MATCH(C326,Products!$A$2:$A$49,0))*(1+INDEX(Assumptions!$B$16:$B$20,MATCH(B326,Assumptions!$A$16:$A$20,0)))</f>
        <v>85791.42</v>
      </c>
      <c r="J326" s="33" t="n">
        <f aca="false">H326-I326</f>
        <v>17168.58</v>
      </c>
      <c r="K326" s="33" t="n">
        <f aca="false">IF(OR(E326=0,E326&gt;=7),0,D326/(7-E326)*E326*INDEX(Products!$E$2:$E$49,MATCH(C326,Products!$A$2:$A$49,0)))</f>
        <v>41184</v>
      </c>
    </row>
    <row r="327" customFormat="false" ht="15" hidden="false" customHeight="false" outlineLevel="0" collapsed="false">
      <c r="A327" s="36" t="n">
        <v>46118</v>
      </c>
      <c r="B327" s="24" t="s">
        <v>61</v>
      </c>
      <c r="C327" s="24" t="s">
        <v>141</v>
      </c>
      <c r="D327" s="33" t="n">
        <v>342</v>
      </c>
      <c r="E327" s="24" t="n">
        <v>0</v>
      </c>
      <c r="F327" s="37" t="n">
        <f aca="false">DATE(YEAR(A327),MONTH(A327),1)</f>
        <v>46113</v>
      </c>
      <c r="G327" s="24" t="str">
        <f aca="false">INDEX(Products!$C$2:$C$49,MATCH(C327,Products!$A$2:$A$49,0))</f>
        <v>Dairy &amp; Eggs</v>
      </c>
      <c r="H327" s="33" t="n">
        <f aca="false">D327*INDEX(Products!$E$2:$E$49,MATCH(C327,Products!$A$2:$A$49,0))</f>
        <v>140220</v>
      </c>
      <c r="I327" s="33" t="n">
        <f aca="false">D327*INDEX(Products!$D$2:$D$49,MATCH(C327,Products!$A$2:$A$49,0))*(1+INDEX(Assumptions!$B$16:$B$20,MATCH(B327,Assumptions!$A$16:$A$20,0)))</f>
        <v>115715.7</v>
      </c>
      <c r="J327" s="33" t="n">
        <f aca="false">H327-I327</f>
        <v>24504.3</v>
      </c>
      <c r="K327" s="33" t="n">
        <f aca="false">IF(OR(E327=0,E327&gt;=7),0,D327/(7-E327)*E327*INDEX(Products!$E$2:$E$49,MATCH(C327,Products!$A$2:$A$49,0)))</f>
        <v>0</v>
      </c>
    </row>
    <row r="328" customFormat="false" ht="15" hidden="false" customHeight="false" outlineLevel="0" collapsed="false">
      <c r="A328" s="36" t="n">
        <v>46125</v>
      </c>
      <c r="B328" s="24" t="s">
        <v>61</v>
      </c>
      <c r="C328" s="24" t="s">
        <v>141</v>
      </c>
      <c r="D328" s="33" t="n">
        <v>351</v>
      </c>
      <c r="E328" s="24" t="n">
        <v>0</v>
      </c>
      <c r="F328" s="37" t="n">
        <f aca="false">DATE(YEAR(A328),MONTH(A328),1)</f>
        <v>46113</v>
      </c>
      <c r="G328" s="24" t="str">
        <f aca="false">INDEX(Products!$C$2:$C$49,MATCH(C328,Products!$A$2:$A$49,0))</f>
        <v>Dairy &amp; Eggs</v>
      </c>
      <c r="H328" s="33" t="n">
        <f aca="false">D328*INDEX(Products!$E$2:$E$49,MATCH(C328,Products!$A$2:$A$49,0))</f>
        <v>143910</v>
      </c>
      <c r="I328" s="33" t="n">
        <f aca="false">D328*INDEX(Products!$D$2:$D$49,MATCH(C328,Products!$A$2:$A$49,0))*(1+INDEX(Assumptions!$B$16:$B$20,MATCH(B328,Assumptions!$A$16:$A$20,0)))</f>
        <v>118760.85</v>
      </c>
      <c r="J328" s="33" t="n">
        <f aca="false">H328-I328</f>
        <v>25149.15</v>
      </c>
      <c r="K328" s="33" t="n">
        <f aca="false">IF(OR(E328=0,E328&gt;=7),0,D328/(7-E328)*E328*INDEX(Products!$E$2:$E$49,MATCH(C328,Products!$A$2:$A$49,0)))</f>
        <v>0</v>
      </c>
    </row>
    <row r="329" customFormat="false" ht="15" hidden="false" customHeight="false" outlineLevel="0" collapsed="false">
      <c r="A329" s="36" t="n">
        <v>46132</v>
      </c>
      <c r="B329" s="24" t="s">
        <v>61</v>
      </c>
      <c r="C329" s="24" t="s">
        <v>141</v>
      </c>
      <c r="D329" s="33" t="n">
        <v>359</v>
      </c>
      <c r="E329" s="24" t="n">
        <v>0</v>
      </c>
      <c r="F329" s="37" t="n">
        <f aca="false">DATE(YEAR(A329),MONTH(A329),1)</f>
        <v>46113</v>
      </c>
      <c r="G329" s="24" t="str">
        <f aca="false">INDEX(Products!$C$2:$C$49,MATCH(C329,Products!$A$2:$A$49,0))</f>
        <v>Dairy &amp; Eggs</v>
      </c>
      <c r="H329" s="33" t="n">
        <f aca="false">D329*INDEX(Products!$E$2:$E$49,MATCH(C329,Products!$A$2:$A$49,0))</f>
        <v>147190</v>
      </c>
      <c r="I329" s="33" t="n">
        <f aca="false">D329*INDEX(Products!$D$2:$D$49,MATCH(C329,Products!$A$2:$A$49,0))*(1+INDEX(Assumptions!$B$16:$B$20,MATCH(B329,Assumptions!$A$16:$A$20,0)))</f>
        <v>121467.65</v>
      </c>
      <c r="J329" s="33" t="n">
        <f aca="false">H329-I329</f>
        <v>25722.35</v>
      </c>
      <c r="K329" s="33" t="n">
        <f aca="false">IF(OR(E329=0,E329&gt;=7),0,D329/(7-E329)*E329*INDEX(Products!$E$2:$E$49,MATCH(C329,Products!$A$2:$A$49,0)))</f>
        <v>0</v>
      </c>
    </row>
    <row r="330" customFormat="false" ht="15" hidden="false" customHeight="false" outlineLevel="0" collapsed="false">
      <c r="A330" s="36" t="n">
        <v>46139</v>
      </c>
      <c r="B330" s="24" t="s">
        <v>61</v>
      </c>
      <c r="C330" s="24" t="s">
        <v>141</v>
      </c>
      <c r="D330" s="33" t="n">
        <v>379</v>
      </c>
      <c r="E330" s="24" t="n">
        <v>0</v>
      </c>
      <c r="F330" s="37" t="n">
        <f aca="false">DATE(YEAR(A330),MONTH(A330),1)</f>
        <v>46113</v>
      </c>
      <c r="G330" s="24" t="str">
        <f aca="false">INDEX(Products!$C$2:$C$49,MATCH(C330,Products!$A$2:$A$49,0))</f>
        <v>Dairy &amp; Eggs</v>
      </c>
      <c r="H330" s="33" t="n">
        <f aca="false">D330*INDEX(Products!$E$2:$E$49,MATCH(C330,Products!$A$2:$A$49,0))</f>
        <v>155390</v>
      </c>
      <c r="I330" s="33" t="n">
        <f aca="false">D330*INDEX(Products!$D$2:$D$49,MATCH(C330,Products!$A$2:$A$49,0))*(1+INDEX(Assumptions!$B$16:$B$20,MATCH(B330,Assumptions!$A$16:$A$20,0)))</f>
        <v>128234.65</v>
      </c>
      <c r="J330" s="33" t="n">
        <f aca="false">H330-I330</f>
        <v>27155.35</v>
      </c>
      <c r="K330" s="33" t="n">
        <f aca="false">IF(OR(E330=0,E330&gt;=7),0,D330/(7-E330)*E330*INDEX(Products!$E$2:$E$49,MATCH(C330,Products!$A$2:$A$49,0)))</f>
        <v>0</v>
      </c>
    </row>
    <row r="331" customFormat="false" ht="15" hidden="false" customHeight="false" outlineLevel="0" collapsed="false">
      <c r="A331" s="36" t="n">
        <v>46146</v>
      </c>
      <c r="B331" s="24" t="s">
        <v>61</v>
      </c>
      <c r="C331" s="24" t="s">
        <v>141</v>
      </c>
      <c r="D331" s="33" t="n">
        <v>377</v>
      </c>
      <c r="E331" s="24" t="n">
        <v>0</v>
      </c>
      <c r="F331" s="37" t="n">
        <f aca="false">DATE(YEAR(A331),MONTH(A331),1)</f>
        <v>46143</v>
      </c>
      <c r="G331" s="24" t="str">
        <f aca="false">INDEX(Products!$C$2:$C$49,MATCH(C331,Products!$A$2:$A$49,0))</f>
        <v>Dairy &amp; Eggs</v>
      </c>
      <c r="H331" s="33" t="n">
        <f aca="false">D331*INDEX(Products!$E$2:$E$49,MATCH(C331,Products!$A$2:$A$49,0))</f>
        <v>154570</v>
      </c>
      <c r="I331" s="33" t="n">
        <f aca="false">D331*INDEX(Products!$D$2:$D$49,MATCH(C331,Products!$A$2:$A$49,0))*(1+INDEX(Assumptions!$B$16:$B$20,MATCH(B331,Assumptions!$A$16:$A$20,0)))</f>
        <v>127557.95</v>
      </c>
      <c r="J331" s="33" t="n">
        <f aca="false">H331-I331</f>
        <v>27012.05</v>
      </c>
      <c r="K331" s="33" t="n">
        <f aca="false">IF(OR(E331=0,E331&gt;=7),0,D331/(7-E331)*E331*INDEX(Products!$E$2:$E$49,MATCH(C331,Products!$A$2:$A$49,0)))</f>
        <v>0</v>
      </c>
    </row>
    <row r="332" customFormat="false" ht="15" hidden="false" customHeight="false" outlineLevel="0" collapsed="false">
      <c r="A332" s="36" t="n">
        <v>46153</v>
      </c>
      <c r="B332" s="24" t="s">
        <v>61</v>
      </c>
      <c r="C332" s="24" t="s">
        <v>141</v>
      </c>
      <c r="D332" s="33" t="n">
        <v>357</v>
      </c>
      <c r="E332" s="24" t="n">
        <v>0</v>
      </c>
      <c r="F332" s="37" t="n">
        <f aca="false">DATE(YEAR(A332),MONTH(A332),1)</f>
        <v>46143</v>
      </c>
      <c r="G332" s="24" t="str">
        <f aca="false">INDEX(Products!$C$2:$C$49,MATCH(C332,Products!$A$2:$A$49,0))</f>
        <v>Dairy &amp; Eggs</v>
      </c>
      <c r="H332" s="33" t="n">
        <f aca="false">D332*INDEX(Products!$E$2:$E$49,MATCH(C332,Products!$A$2:$A$49,0))</f>
        <v>146370</v>
      </c>
      <c r="I332" s="33" t="n">
        <f aca="false">D332*INDEX(Products!$D$2:$D$49,MATCH(C332,Products!$A$2:$A$49,0))*(1+INDEX(Assumptions!$B$16:$B$20,MATCH(B332,Assumptions!$A$16:$A$20,0)))</f>
        <v>120790.95</v>
      </c>
      <c r="J332" s="33" t="n">
        <f aca="false">H332-I332</f>
        <v>25579.05</v>
      </c>
      <c r="K332" s="33" t="n">
        <f aca="false">IF(OR(E332=0,E332&gt;=7),0,D332/(7-E332)*E332*INDEX(Products!$E$2:$E$49,MATCH(C332,Products!$A$2:$A$49,0)))</f>
        <v>0</v>
      </c>
    </row>
    <row r="333" customFormat="false" ht="15" hidden="false" customHeight="false" outlineLevel="0" collapsed="false">
      <c r="A333" s="36" t="n">
        <v>46160</v>
      </c>
      <c r="B333" s="24" t="s">
        <v>61</v>
      </c>
      <c r="C333" s="24" t="s">
        <v>141</v>
      </c>
      <c r="D333" s="33" t="n">
        <v>368</v>
      </c>
      <c r="E333" s="24" t="n">
        <v>0</v>
      </c>
      <c r="F333" s="37" t="n">
        <f aca="false">DATE(YEAR(A333),MONTH(A333),1)</f>
        <v>46143</v>
      </c>
      <c r="G333" s="24" t="str">
        <f aca="false">INDEX(Products!$C$2:$C$49,MATCH(C333,Products!$A$2:$A$49,0))</f>
        <v>Dairy &amp; Eggs</v>
      </c>
      <c r="H333" s="33" t="n">
        <f aca="false">D333*INDEX(Products!$E$2:$E$49,MATCH(C333,Products!$A$2:$A$49,0))</f>
        <v>150880</v>
      </c>
      <c r="I333" s="33" t="n">
        <f aca="false">D333*INDEX(Products!$D$2:$D$49,MATCH(C333,Products!$A$2:$A$49,0))*(1+INDEX(Assumptions!$B$16:$B$20,MATCH(B333,Assumptions!$A$16:$A$20,0)))</f>
        <v>124512.8</v>
      </c>
      <c r="J333" s="33" t="n">
        <f aca="false">H333-I333</f>
        <v>26367.2</v>
      </c>
      <c r="K333" s="33" t="n">
        <f aca="false">IF(OR(E333=0,E333&gt;=7),0,D333/(7-E333)*E333*INDEX(Products!$E$2:$E$49,MATCH(C333,Products!$A$2:$A$49,0)))</f>
        <v>0</v>
      </c>
    </row>
    <row r="334" customFormat="false" ht="15" hidden="false" customHeight="false" outlineLevel="0" collapsed="false">
      <c r="A334" s="36" t="n">
        <v>46167</v>
      </c>
      <c r="B334" s="24" t="s">
        <v>61</v>
      </c>
      <c r="C334" s="24" t="s">
        <v>141</v>
      </c>
      <c r="D334" s="33" t="n">
        <v>397</v>
      </c>
      <c r="E334" s="24" t="n">
        <v>0</v>
      </c>
      <c r="F334" s="37" t="n">
        <f aca="false">DATE(YEAR(A334),MONTH(A334),1)</f>
        <v>46143</v>
      </c>
      <c r="G334" s="24" t="str">
        <f aca="false">INDEX(Products!$C$2:$C$49,MATCH(C334,Products!$A$2:$A$49,0))</f>
        <v>Dairy &amp; Eggs</v>
      </c>
      <c r="H334" s="33" t="n">
        <f aca="false">D334*INDEX(Products!$E$2:$E$49,MATCH(C334,Products!$A$2:$A$49,0))</f>
        <v>162770</v>
      </c>
      <c r="I334" s="33" t="n">
        <f aca="false">D334*INDEX(Products!$D$2:$D$49,MATCH(C334,Products!$A$2:$A$49,0))*(1+INDEX(Assumptions!$B$16:$B$20,MATCH(B334,Assumptions!$A$16:$A$20,0)))</f>
        <v>134324.95</v>
      </c>
      <c r="J334" s="33" t="n">
        <f aca="false">H334-I334</f>
        <v>28445.05</v>
      </c>
      <c r="K334" s="33" t="n">
        <f aca="false">IF(OR(E334=0,E334&gt;=7),0,D334/(7-E334)*E334*INDEX(Products!$E$2:$E$49,MATCH(C334,Products!$A$2:$A$49,0)))</f>
        <v>0</v>
      </c>
    </row>
    <row r="335" customFormat="false" ht="15" hidden="false" customHeight="false" outlineLevel="0" collapsed="false">
      <c r="A335" s="36" t="n">
        <v>46174</v>
      </c>
      <c r="B335" s="24" t="s">
        <v>61</v>
      </c>
      <c r="C335" s="24" t="s">
        <v>141</v>
      </c>
      <c r="D335" s="33" t="n">
        <v>351</v>
      </c>
      <c r="E335" s="24" t="n">
        <v>0</v>
      </c>
      <c r="F335" s="37" t="n">
        <f aca="false">DATE(YEAR(A335),MONTH(A335),1)</f>
        <v>46174</v>
      </c>
      <c r="G335" s="24" t="str">
        <f aca="false">INDEX(Products!$C$2:$C$49,MATCH(C335,Products!$A$2:$A$49,0))</f>
        <v>Dairy &amp; Eggs</v>
      </c>
      <c r="H335" s="33" t="n">
        <f aca="false">D335*INDEX(Products!$E$2:$E$49,MATCH(C335,Products!$A$2:$A$49,0))</f>
        <v>143910</v>
      </c>
      <c r="I335" s="33" t="n">
        <f aca="false">D335*INDEX(Products!$D$2:$D$49,MATCH(C335,Products!$A$2:$A$49,0))*(1+INDEX(Assumptions!$B$16:$B$20,MATCH(B335,Assumptions!$A$16:$A$20,0)))</f>
        <v>118760.85</v>
      </c>
      <c r="J335" s="33" t="n">
        <f aca="false">H335-I335</f>
        <v>25149.15</v>
      </c>
      <c r="K335" s="33" t="n">
        <f aca="false">IF(OR(E335=0,E335&gt;=7),0,D335/(7-E335)*E335*INDEX(Products!$E$2:$E$49,MATCH(C335,Products!$A$2:$A$49,0)))</f>
        <v>0</v>
      </c>
    </row>
    <row r="336" customFormat="false" ht="15" hidden="false" customHeight="false" outlineLevel="0" collapsed="false">
      <c r="A336" s="36" t="n">
        <v>46181</v>
      </c>
      <c r="B336" s="24" t="s">
        <v>61</v>
      </c>
      <c r="C336" s="24" t="s">
        <v>141</v>
      </c>
      <c r="D336" s="33" t="n">
        <v>367</v>
      </c>
      <c r="E336" s="24" t="n">
        <v>0</v>
      </c>
      <c r="F336" s="37" t="n">
        <f aca="false">DATE(YEAR(A336),MONTH(A336),1)</f>
        <v>46174</v>
      </c>
      <c r="G336" s="24" t="str">
        <f aca="false">INDEX(Products!$C$2:$C$49,MATCH(C336,Products!$A$2:$A$49,0))</f>
        <v>Dairy &amp; Eggs</v>
      </c>
      <c r="H336" s="33" t="n">
        <f aca="false">D336*INDEX(Products!$E$2:$E$49,MATCH(C336,Products!$A$2:$A$49,0))</f>
        <v>150470</v>
      </c>
      <c r="I336" s="33" t="n">
        <f aca="false">D336*INDEX(Products!$D$2:$D$49,MATCH(C336,Products!$A$2:$A$49,0))*(1+INDEX(Assumptions!$B$16:$B$20,MATCH(B336,Assumptions!$A$16:$A$20,0)))</f>
        <v>124174.45</v>
      </c>
      <c r="J336" s="33" t="n">
        <f aca="false">H336-I336</f>
        <v>26295.55</v>
      </c>
      <c r="K336" s="33" t="n">
        <f aca="false">IF(OR(E336=0,E336&gt;=7),0,D336/(7-E336)*E336*INDEX(Products!$E$2:$E$49,MATCH(C336,Products!$A$2:$A$49,0)))</f>
        <v>0</v>
      </c>
    </row>
    <row r="337" customFormat="false" ht="15" hidden="false" customHeight="false" outlineLevel="0" collapsed="false">
      <c r="A337" s="36" t="n">
        <v>46188</v>
      </c>
      <c r="B337" s="24" t="s">
        <v>61</v>
      </c>
      <c r="C337" s="24" t="s">
        <v>141</v>
      </c>
      <c r="D337" s="33" t="n">
        <v>318</v>
      </c>
      <c r="E337" s="24" t="n">
        <v>0</v>
      </c>
      <c r="F337" s="37" t="n">
        <f aca="false">DATE(YEAR(A337),MONTH(A337),1)</f>
        <v>46174</v>
      </c>
      <c r="G337" s="24" t="str">
        <f aca="false">INDEX(Products!$C$2:$C$49,MATCH(C337,Products!$A$2:$A$49,0))</f>
        <v>Dairy &amp; Eggs</v>
      </c>
      <c r="H337" s="33" t="n">
        <f aca="false">D337*INDEX(Products!$E$2:$E$49,MATCH(C337,Products!$A$2:$A$49,0))</f>
        <v>130380</v>
      </c>
      <c r="I337" s="33" t="n">
        <f aca="false">D337*INDEX(Products!$D$2:$D$49,MATCH(C337,Products!$A$2:$A$49,0))*(1+INDEX(Assumptions!$B$16:$B$20,MATCH(B337,Assumptions!$A$16:$A$20,0)))</f>
        <v>107595.3</v>
      </c>
      <c r="J337" s="33" t="n">
        <f aca="false">H337-I337</f>
        <v>22784.7</v>
      </c>
      <c r="K337" s="33" t="n">
        <f aca="false">IF(OR(E337=0,E337&gt;=7),0,D337/(7-E337)*E337*INDEX(Products!$E$2:$E$49,MATCH(C337,Products!$A$2:$A$49,0)))</f>
        <v>0</v>
      </c>
    </row>
    <row r="338" customFormat="false" ht="15" hidden="false" customHeight="false" outlineLevel="0" collapsed="false">
      <c r="A338" s="36" t="n">
        <v>46195</v>
      </c>
      <c r="B338" s="24" t="s">
        <v>61</v>
      </c>
      <c r="C338" s="24" t="s">
        <v>141</v>
      </c>
      <c r="D338" s="33" t="n">
        <v>222</v>
      </c>
      <c r="E338" s="24" t="n">
        <v>3</v>
      </c>
      <c r="F338" s="37" t="n">
        <f aca="false">DATE(YEAR(A338),MONTH(A338),1)</f>
        <v>46174</v>
      </c>
      <c r="G338" s="24" t="str">
        <f aca="false">INDEX(Products!$C$2:$C$49,MATCH(C338,Products!$A$2:$A$49,0))</f>
        <v>Dairy &amp; Eggs</v>
      </c>
      <c r="H338" s="33" t="n">
        <f aca="false">D338*INDEX(Products!$E$2:$E$49,MATCH(C338,Products!$A$2:$A$49,0))</f>
        <v>91020</v>
      </c>
      <c r="I338" s="33" t="n">
        <f aca="false">D338*INDEX(Products!$D$2:$D$49,MATCH(C338,Products!$A$2:$A$49,0))*(1+INDEX(Assumptions!$B$16:$B$20,MATCH(B338,Assumptions!$A$16:$A$20,0)))</f>
        <v>75113.7</v>
      </c>
      <c r="J338" s="33" t="n">
        <f aca="false">H338-I338</f>
        <v>15906.3</v>
      </c>
      <c r="K338" s="33" t="n">
        <f aca="false">IF(OR(E338=0,E338&gt;=7),0,D338/(7-E338)*E338*INDEX(Products!$E$2:$E$49,MATCH(C338,Products!$A$2:$A$49,0)))</f>
        <v>68265</v>
      </c>
    </row>
    <row r="339" customFormat="false" ht="15" hidden="false" customHeight="false" outlineLevel="0" collapsed="false">
      <c r="A339" s="36" t="n">
        <v>46202</v>
      </c>
      <c r="B339" s="24" t="s">
        <v>61</v>
      </c>
      <c r="C339" s="24" t="s">
        <v>141</v>
      </c>
      <c r="D339" s="33" t="n">
        <v>353</v>
      </c>
      <c r="E339" s="24" t="n">
        <v>0</v>
      </c>
      <c r="F339" s="37" t="n">
        <f aca="false">DATE(YEAR(A339),MONTH(A339),1)</f>
        <v>46174</v>
      </c>
      <c r="G339" s="24" t="str">
        <f aca="false">INDEX(Products!$C$2:$C$49,MATCH(C339,Products!$A$2:$A$49,0))</f>
        <v>Dairy &amp; Eggs</v>
      </c>
      <c r="H339" s="33" t="n">
        <f aca="false">D339*INDEX(Products!$E$2:$E$49,MATCH(C339,Products!$A$2:$A$49,0))</f>
        <v>144730</v>
      </c>
      <c r="I339" s="33" t="n">
        <f aca="false">D339*INDEX(Products!$D$2:$D$49,MATCH(C339,Products!$A$2:$A$49,0))*(1+INDEX(Assumptions!$B$16:$B$20,MATCH(B339,Assumptions!$A$16:$A$20,0)))</f>
        <v>119437.55</v>
      </c>
      <c r="J339" s="33" t="n">
        <f aca="false">H339-I339</f>
        <v>25292.45</v>
      </c>
      <c r="K339" s="33" t="n">
        <f aca="false">IF(OR(E339=0,E339&gt;=7),0,D339/(7-E339)*E339*INDEX(Products!$E$2:$E$49,MATCH(C339,Products!$A$2:$A$49,0)))</f>
        <v>0</v>
      </c>
    </row>
    <row r="340" customFormat="false" ht="15" hidden="false" customHeight="false" outlineLevel="0" collapsed="false">
      <c r="A340" s="36" t="n">
        <v>46209</v>
      </c>
      <c r="B340" s="24" t="s">
        <v>61</v>
      </c>
      <c r="C340" s="24" t="s">
        <v>141</v>
      </c>
      <c r="D340" s="33" t="n">
        <v>330</v>
      </c>
      <c r="E340" s="24" t="n">
        <v>0</v>
      </c>
      <c r="F340" s="37" t="n">
        <f aca="false">DATE(YEAR(A340),MONTH(A340),1)</f>
        <v>46204</v>
      </c>
      <c r="G340" s="24" t="str">
        <f aca="false">INDEX(Products!$C$2:$C$49,MATCH(C340,Products!$A$2:$A$49,0))</f>
        <v>Dairy &amp; Eggs</v>
      </c>
      <c r="H340" s="33" t="n">
        <f aca="false">D340*INDEX(Products!$E$2:$E$49,MATCH(C340,Products!$A$2:$A$49,0))</f>
        <v>135300</v>
      </c>
      <c r="I340" s="33" t="n">
        <f aca="false">D340*INDEX(Products!$D$2:$D$49,MATCH(C340,Products!$A$2:$A$49,0))*(1+INDEX(Assumptions!$B$16:$B$20,MATCH(B340,Assumptions!$A$16:$A$20,0)))</f>
        <v>111655.5</v>
      </c>
      <c r="J340" s="33" t="n">
        <f aca="false">H340-I340</f>
        <v>23644.5</v>
      </c>
      <c r="K340" s="33" t="n">
        <f aca="false">IF(OR(E340=0,E340&gt;=7),0,D340/(7-E340)*E340*INDEX(Products!$E$2:$E$49,MATCH(C340,Products!$A$2:$A$49,0)))</f>
        <v>0</v>
      </c>
    </row>
    <row r="341" customFormat="false" ht="15" hidden="false" customHeight="false" outlineLevel="0" collapsed="false">
      <c r="A341" s="36" t="n">
        <v>46216</v>
      </c>
      <c r="B341" s="24" t="s">
        <v>61</v>
      </c>
      <c r="C341" s="24" t="s">
        <v>141</v>
      </c>
      <c r="D341" s="33" t="n">
        <v>313</v>
      </c>
      <c r="E341" s="24" t="n">
        <v>0</v>
      </c>
      <c r="F341" s="37" t="n">
        <f aca="false">DATE(YEAR(A341),MONTH(A341),1)</f>
        <v>46204</v>
      </c>
      <c r="G341" s="24" t="str">
        <f aca="false">INDEX(Products!$C$2:$C$49,MATCH(C341,Products!$A$2:$A$49,0))</f>
        <v>Dairy &amp; Eggs</v>
      </c>
      <c r="H341" s="33" t="n">
        <f aca="false">D341*INDEX(Products!$E$2:$E$49,MATCH(C341,Products!$A$2:$A$49,0))</f>
        <v>128330</v>
      </c>
      <c r="I341" s="33" t="n">
        <f aca="false">D341*INDEX(Products!$D$2:$D$49,MATCH(C341,Products!$A$2:$A$49,0))*(1+INDEX(Assumptions!$B$16:$B$20,MATCH(B341,Assumptions!$A$16:$A$20,0)))</f>
        <v>105903.55</v>
      </c>
      <c r="J341" s="33" t="n">
        <f aca="false">H341-I341</f>
        <v>22426.45</v>
      </c>
      <c r="K341" s="33" t="n">
        <f aca="false">IF(OR(E341=0,E341&gt;=7),0,D341/(7-E341)*E341*INDEX(Products!$E$2:$E$49,MATCH(C341,Products!$A$2:$A$49,0)))</f>
        <v>0</v>
      </c>
    </row>
    <row r="342" customFormat="false" ht="15" hidden="false" customHeight="false" outlineLevel="0" collapsed="false">
      <c r="A342" s="36" t="n">
        <v>46223</v>
      </c>
      <c r="B342" s="24" t="s">
        <v>61</v>
      </c>
      <c r="C342" s="24" t="s">
        <v>141</v>
      </c>
      <c r="D342" s="33" t="n">
        <v>344</v>
      </c>
      <c r="E342" s="24" t="n">
        <v>0</v>
      </c>
      <c r="F342" s="37" t="n">
        <f aca="false">DATE(YEAR(A342),MONTH(A342),1)</f>
        <v>46204</v>
      </c>
      <c r="G342" s="24" t="str">
        <f aca="false">INDEX(Products!$C$2:$C$49,MATCH(C342,Products!$A$2:$A$49,0))</f>
        <v>Dairy &amp; Eggs</v>
      </c>
      <c r="H342" s="33" t="n">
        <f aca="false">D342*INDEX(Products!$E$2:$E$49,MATCH(C342,Products!$A$2:$A$49,0))</f>
        <v>141040</v>
      </c>
      <c r="I342" s="33" t="n">
        <f aca="false">D342*INDEX(Products!$D$2:$D$49,MATCH(C342,Products!$A$2:$A$49,0))*(1+INDEX(Assumptions!$B$16:$B$20,MATCH(B342,Assumptions!$A$16:$A$20,0)))</f>
        <v>116392.4</v>
      </c>
      <c r="J342" s="33" t="n">
        <f aca="false">H342-I342</f>
        <v>24647.6</v>
      </c>
      <c r="K342" s="33" t="n">
        <f aca="false">IF(OR(E342=0,E342&gt;=7),0,D342/(7-E342)*E342*INDEX(Products!$E$2:$E$49,MATCH(C342,Products!$A$2:$A$49,0)))</f>
        <v>0</v>
      </c>
    </row>
    <row r="343" customFormat="false" ht="15" hidden="false" customHeight="false" outlineLevel="0" collapsed="false">
      <c r="A343" s="36" t="n">
        <v>46230</v>
      </c>
      <c r="B343" s="24" t="s">
        <v>61</v>
      </c>
      <c r="C343" s="24" t="s">
        <v>141</v>
      </c>
      <c r="D343" s="33" t="n">
        <v>341</v>
      </c>
      <c r="E343" s="24" t="n">
        <v>0</v>
      </c>
      <c r="F343" s="37" t="n">
        <f aca="false">DATE(YEAR(A343),MONTH(A343),1)</f>
        <v>46204</v>
      </c>
      <c r="G343" s="24" t="str">
        <f aca="false">INDEX(Products!$C$2:$C$49,MATCH(C343,Products!$A$2:$A$49,0))</f>
        <v>Dairy &amp; Eggs</v>
      </c>
      <c r="H343" s="33" t="n">
        <f aca="false">D343*INDEX(Products!$E$2:$E$49,MATCH(C343,Products!$A$2:$A$49,0))</f>
        <v>139810</v>
      </c>
      <c r="I343" s="33" t="n">
        <f aca="false">D343*INDEX(Products!$D$2:$D$49,MATCH(C343,Products!$A$2:$A$49,0))*(1+INDEX(Assumptions!$B$16:$B$20,MATCH(B343,Assumptions!$A$16:$A$20,0)))</f>
        <v>115377.35</v>
      </c>
      <c r="J343" s="33" t="n">
        <f aca="false">H343-I343</f>
        <v>24432.65</v>
      </c>
      <c r="K343" s="33" t="n">
        <f aca="false">IF(OR(E343=0,E343&gt;=7),0,D343/(7-E343)*E343*INDEX(Products!$E$2:$E$49,MATCH(C343,Products!$A$2:$A$49,0)))</f>
        <v>0</v>
      </c>
    </row>
    <row r="344" customFormat="false" ht="15" hidden="false" customHeight="false" outlineLevel="0" collapsed="false">
      <c r="A344" s="36" t="n">
        <v>46237</v>
      </c>
      <c r="B344" s="24" t="s">
        <v>61</v>
      </c>
      <c r="C344" s="24" t="s">
        <v>141</v>
      </c>
      <c r="D344" s="33" t="n">
        <v>296</v>
      </c>
      <c r="E344" s="24" t="n">
        <v>0</v>
      </c>
      <c r="F344" s="37" t="n">
        <f aca="false">DATE(YEAR(A344),MONTH(A344),1)</f>
        <v>46235</v>
      </c>
      <c r="G344" s="24" t="str">
        <f aca="false">INDEX(Products!$C$2:$C$49,MATCH(C344,Products!$A$2:$A$49,0))</f>
        <v>Dairy &amp; Eggs</v>
      </c>
      <c r="H344" s="33" t="n">
        <f aca="false">D344*INDEX(Products!$E$2:$E$49,MATCH(C344,Products!$A$2:$A$49,0))</f>
        <v>121360</v>
      </c>
      <c r="I344" s="33" t="n">
        <f aca="false">D344*INDEX(Products!$D$2:$D$49,MATCH(C344,Products!$A$2:$A$49,0))*(1+INDEX(Assumptions!$B$16:$B$20,MATCH(B344,Assumptions!$A$16:$A$20,0)))</f>
        <v>100151.6</v>
      </c>
      <c r="J344" s="33" t="n">
        <f aca="false">H344-I344</f>
        <v>21208.4</v>
      </c>
      <c r="K344" s="33" t="n">
        <f aca="false">IF(OR(E344=0,E344&gt;=7),0,D344/(7-E344)*E344*INDEX(Products!$E$2:$E$49,MATCH(C344,Products!$A$2:$A$49,0)))</f>
        <v>0</v>
      </c>
    </row>
    <row r="345" customFormat="false" ht="15" hidden="false" customHeight="false" outlineLevel="0" collapsed="false">
      <c r="A345" s="36" t="n">
        <v>46244</v>
      </c>
      <c r="B345" s="24" t="s">
        <v>61</v>
      </c>
      <c r="C345" s="24" t="s">
        <v>141</v>
      </c>
      <c r="D345" s="33" t="n">
        <v>319</v>
      </c>
      <c r="E345" s="24" t="n">
        <v>0</v>
      </c>
      <c r="F345" s="37" t="n">
        <f aca="false">DATE(YEAR(A345),MONTH(A345),1)</f>
        <v>46235</v>
      </c>
      <c r="G345" s="24" t="str">
        <f aca="false">INDEX(Products!$C$2:$C$49,MATCH(C345,Products!$A$2:$A$49,0))</f>
        <v>Dairy &amp; Eggs</v>
      </c>
      <c r="H345" s="33" t="n">
        <f aca="false">D345*INDEX(Products!$E$2:$E$49,MATCH(C345,Products!$A$2:$A$49,0))</f>
        <v>130790</v>
      </c>
      <c r="I345" s="33" t="n">
        <f aca="false">D345*INDEX(Products!$D$2:$D$49,MATCH(C345,Products!$A$2:$A$49,0))*(1+INDEX(Assumptions!$B$16:$B$20,MATCH(B345,Assumptions!$A$16:$A$20,0)))</f>
        <v>107933.65</v>
      </c>
      <c r="J345" s="33" t="n">
        <f aca="false">H345-I345</f>
        <v>22856.35</v>
      </c>
      <c r="K345" s="33" t="n">
        <f aca="false">IF(OR(E345=0,E345&gt;=7),0,D345/(7-E345)*E345*INDEX(Products!$E$2:$E$49,MATCH(C345,Products!$A$2:$A$49,0)))</f>
        <v>0</v>
      </c>
    </row>
    <row r="346" customFormat="false" ht="15" hidden="false" customHeight="false" outlineLevel="0" collapsed="false">
      <c r="A346" s="36" t="n">
        <v>46251</v>
      </c>
      <c r="B346" s="24" t="s">
        <v>61</v>
      </c>
      <c r="C346" s="24" t="s">
        <v>141</v>
      </c>
      <c r="D346" s="33" t="n">
        <v>304</v>
      </c>
      <c r="E346" s="24" t="n">
        <v>0</v>
      </c>
      <c r="F346" s="37" t="n">
        <f aca="false">DATE(YEAR(A346),MONTH(A346),1)</f>
        <v>46235</v>
      </c>
      <c r="G346" s="24" t="str">
        <f aca="false">INDEX(Products!$C$2:$C$49,MATCH(C346,Products!$A$2:$A$49,0))</f>
        <v>Dairy &amp; Eggs</v>
      </c>
      <c r="H346" s="33" t="n">
        <f aca="false">D346*INDEX(Products!$E$2:$E$49,MATCH(C346,Products!$A$2:$A$49,0))</f>
        <v>124640</v>
      </c>
      <c r="I346" s="33" t="n">
        <f aca="false">D346*INDEX(Products!$D$2:$D$49,MATCH(C346,Products!$A$2:$A$49,0))*(1+INDEX(Assumptions!$B$16:$B$20,MATCH(B346,Assumptions!$A$16:$A$20,0)))</f>
        <v>102858.4</v>
      </c>
      <c r="J346" s="33" t="n">
        <f aca="false">H346-I346</f>
        <v>21781.6</v>
      </c>
      <c r="K346" s="33" t="n">
        <f aca="false">IF(OR(E346=0,E346&gt;=7),0,D346/(7-E346)*E346*INDEX(Products!$E$2:$E$49,MATCH(C346,Products!$A$2:$A$49,0)))</f>
        <v>0</v>
      </c>
    </row>
    <row r="347" customFormat="false" ht="15" hidden="false" customHeight="false" outlineLevel="0" collapsed="false">
      <c r="A347" s="36" t="n">
        <v>46258</v>
      </c>
      <c r="B347" s="24" t="s">
        <v>61</v>
      </c>
      <c r="C347" s="24" t="s">
        <v>141</v>
      </c>
      <c r="D347" s="33" t="n">
        <v>362</v>
      </c>
      <c r="E347" s="24" t="n">
        <v>0</v>
      </c>
      <c r="F347" s="37" t="n">
        <f aca="false">DATE(YEAR(A347),MONTH(A347),1)</f>
        <v>46235</v>
      </c>
      <c r="G347" s="24" t="str">
        <f aca="false">INDEX(Products!$C$2:$C$49,MATCH(C347,Products!$A$2:$A$49,0))</f>
        <v>Dairy &amp; Eggs</v>
      </c>
      <c r="H347" s="33" t="n">
        <f aca="false">D347*INDEX(Products!$E$2:$E$49,MATCH(C347,Products!$A$2:$A$49,0))</f>
        <v>148420</v>
      </c>
      <c r="I347" s="33" t="n">
        <f aca="false">D347*INDEX(Products!$D$2:$D$49,MATCH(C347,Products!$A$2:$A$49,0))*(1+INDEX(Assumptions!$B$16:$B$20,MATCH(B347,Assumptions!$A$16:$A$20,0)))</f>
        <v>122482.7</v>
      </c>
      <c r="J347" s="33" t="n">
        <f aca="false">H347-I347</f>
        <v>25937.3</v>
      </c>
      <c r="K347" s="33" t="n">
        <f aca="false">IF(OR(E347=0,E347&gt;=7),0,D347/(7-E347)*E347*INDEX(Products!$E$2:$E$49,MATCH(C347,Products!$A$2:$A$49,0)))</f>
        <v>0</v>
      </c>
    </row>
    <row r="348" customFormat="false" ht="15" hidden="false" customHeight="false" outlineLevel="0" collapsed="false">
      <c r="A348" s="36" t="n">
        <v>46265</v>
      </c>
      <c r="B348" s="24" t="s">
        <v>61</v>
      </c>
      <c r="C348" s="24" t="s">
        <v>141</v>
      </c>
      <c r="D348" s="33" t="n">
        <v>331</v>
      </c>
      <c r="E348" s="24" t="n">
        <v>0</v>
      </c>
      <c r="F348" s="37" t="n">
        <f aca="false">DATE(YEAR(A348),MONTH(A348),1)</f>
        <v>46235</v>
      </c>
      <c r="G348" s="24" t="str">
        <f aca="false">INDEX(Products!$C$2:$C$49,MATCH(C348,Products!$A$2:$A$49,0))</f>
        <v>Dairy &amp; Eggs</v>
      </c>
      <c r="H348" s="33" t="n">
        <f aca="false">D348*INDEX(Products!$E$2:$E$49,MATCH(C348,Products!$A$2:$A$49,0))</f>
        <v>135710</v>
      </c>
      <c r="I348" s="33" t="n">
        <f aca="false">D348*INDEX(Products!$D$2:$D$49,MATCH(C348,Products!$A$2:$A$49,0))*(1+INDEX(Assumptions!$B$16:$B$20,MATCH(B348,Assumptions!$A$16:$A$20,0)))</f>
        <v>111993.85</v>
      </c>
      <c r="J348" s="33" t="n">
        <f aca="false">H348-I348</f>
        <v>23716.15</v>
      </c>
      <c r="K348" s="33" t="n">
        <f aca="false">IF(OR(E348=0,E348&gt;=7),0,D348/(7-E348)*E348*INDEX(Products!$E$2:$E$49,MATCH(C348,Products!$A$2:$A$49,0)))</f>
        <v>0</v>
      </c>
    </row>
    <row r="349" customFormat="false" ht="15" hidden="false" customHeight="false" outlineLevel="0" collapsed="false">
      <c r="A349" s="36" t="n">
        <v>46272</v>
      </c>
      <c r="B349" s="24" t="s">
        <v>61</v>
      </c>
      <c r="C349" s="24" t="s">
        <v>141</v>
      </c>
      <c r="D349" s="33" t="n">
        <v>333</v>
      </c>
      <c r="E349" s="24" t="n">
        <v>0</v>
      </c>
      <c r="F349" s="37" t="n">
        <f aca="false">DATE(YEAR(A349),MONTH(A349),1)</f>
        <v>46266</v>
      </c>
      <c r="G349" s="24" t="str">
        <f aca="false">INDEX(Products!$C$2:$C$49,MATCH(C349,Products!$A$2:$A$49,0))</f>
        <v>Dairy &amp; Eggs</v>
      </c>
      <c r="H349" s="33" t="n">
        <f aca="false">D349*INDEX(Products!$E$2:$E$49,MATCH(C349,Products!$A$2:$A$49,0))</f>
        <v>136530</v>
      </c>
      <c r="I349" s="33" t="n">
        <f aca="false">D349*INDEX(Products!$D$2:$D$49,MATCH(C349,Products!$A$2:$A$49,0))*(1+INDEX(Assumptions!$B$16:$B$20,MATCH(B349,Assumptions!$A$16:$A$20,0)))</f>
        <v>112670.55</v>
      </c>
      <c r="J349" s="33" t="n">
        <f aca="false">H349-I349</f>
        <v>23859.45</v>
      </c>
      <c r="K349" s="33" t="n">
        <f aca="false">IF(OR(E349=0,E349&gt;=7),0,D349/(7-E349)*E349*INDEX(Products!$E$2:$E$49,MATCH(C349,Products!$A$2:$A$49,0)))</f>
        <v>0</v>
      </c>
    </row>
    <row r="350" customFormat="false" ht="15" hidden="false" customHeight="false" outlineLevel="0" collapsed="false">
      <c r="A350" s="36" t="n">
        <v>46279</v>
      </c>
      <c r="B350" s="24" t="s">
        <v>61</v>
      </c>
      <c r="C350" s="24" t="s">
        <v>141</v>
      </c>
      <c r="D350" s="33" t="n">
        <v>346</v>
      </c>
      <c r="E350" s="24" t="n">
        <v>0</v>
      </c>
      <c r="F350" s="37" t="n">
        <f aca="false">DATE(YEAR(A350),MONTH(A350),1)</f>
        <v>46266</v>
      </c>
      <c r="G350" s="24" t="str">
        <f aca="false">INDEX(Products!$C$2:$C$49,MATCH(C350,Products!$A$2:$A$49,0))</f>
        <v>Dairy &amp; Eggs</v>
      </c>
      <c r="H350" s="33" t="n">
        <f aca="false">D350*INDEX(Products!$E$2:$E$49,MATCH(C350,Products!$A$2:$A$49,0))</f>
        <v>141860</v>
      </c>
      <c r="I350" s="33" t="n">
        <f aca="false">D350*INDEX(Products!$D$2:$D$49,MATCH(C350,Products!$A$2:$A$49,0))*(1+INDEX(Assumptions!$B$16:$B$20,MATCH(B350,Assumptions!$A$16:$A$20,0)))</f>
        <v>117069.1</v>
      </c>
      <c r="J350" s="33" t="n">
        <f aca="false">H350-I350</f>
        <v>24790.9</v>
      </c>
      <c r="K350" s="33" t="n">
        <f aca="false">IF(OR(E350=0,E350&gt;=7),0,D350/(7-E350)*E350*INDEX(Products!$E$2:$E$49,MATCH(C350,Products!$A$2:$A$49,0)))</f>
        <v>0</v>
      </c>
    </row>
    <row r="351" customFormat="false" ht="15" hidden="false" customHeight="false" outlineLevel="0" collapsed="false">
      <c r="A351" s="36" t="n">
        <v>46286</v>
      </c>
      <c r="B351" s="24" t="s">
        <v>61</v>
      </c>
      <c r="C351" s="24" t="s">
        <v>141</v>
      </c>
      <c r="D351" s="33" t="n">
        <v>726</v>
      </c>
      <c r="E351" s="24" t="n">
        <v>0</v>
      </c>
      <c r="F351" s="37" t="n">
        <f aca="false">DATE(YEAR(A351),MONTH(A351),1)</f>
        <v>46266</v>
      </c>
      <c r="G351" s="24" t="str">
        <f aca="false">INDEX(Products!$C$2:$C$49,MATCH(C351,Products!$A$2:$A$49,0))</f>
        <v>Dairy &amp; Eggs</v>
      </c>
      <c r="H351" s="33" t="n">
        <f aca="false">D351*INDEX(Products!$E$2:$E$49,MATCH(C351,Products!$A$2:$A$49,0))</f>
        <v>297660</v>
      </c>
      <c r="I351" s="33" t="n">
        <f aca="false">D351*INDEX(Products!$D$2:$D$49,MATCH(C351,Products!$A$2:$A$49,0))*(1+INDEX(Assumptions!$B$16:$B$20,MATCH(B351,Assumptions!$A$16:$A$20,0)))</f>
        <v>245642.1</v>
      </c>
      <c r="J351" s="33" t="n">
        <f aca="false">H351-I351</f>
        <v>52017.9</v>
      </c>
      <c r="K351" s="33" t="n">
        <f aca="false">IF(OR(E351=0,E351&gt;=7),0,D351/(7-E351)*E351*INDEX(Products!$E$2:$E$49,MATCH(C351,Products!$A$2:$A$49,0)))</f>
        <v>0</v>
      </c>
    </row>
    <row r="352" customFormat="false" ht="15" hidden="false" customHeight="false" outlineLevel="0" collapsed="false">
      <c r="A352" s="36" t="n">
        <v>46118</v>
      </c>
      <c r="B352" s="24" t="s">
        <v>61</v>
      </c>
      <c r="C352" s="24" t="s">
        <v>143</v>
      </c>
      <c r="D352" s="33" t="n">
        <v>45</v>
      </c>
      <c r="E352" s="24" t="n">
        <v>0</v>
      </c>
      <c r="F352" s="37" t="n">
        <f aca="false">DATE(YEAR(A352),MONTH(A352),1)</f>
        <v>46113</v>
      </c>
      <c r="G352" s="24" t="str">
        <f aca="false">INDEX(Products!$C$2:$C$49,MATCH(C352,Products!$A$2:$A$49,0))</f>
        <v>Dairy &amp; Eggs</v>
      </c>
      <c r="H352" s="33" t="n">
        <f aca="false">D352*INDEX(Products!$E$2:$E$49,MATCH(C352,Products!$A$2:$A$49,0))</f>
        <v>10800</v>
      </c>
      <c r="I352" s="33" t="n">
        <f aca="false">D352*INDEX(Products!$D$2:$D$49,MATCH(C352,Products!$A$2:$A$49,0))*(1+INDEX(Assumptions!$B$16:$B$20,MATCH(B352,Assumptions!$A$16:$A$20,0)))</f>
        <v>8590.05</v>
      </c>
      <c r="J352" s="33" t="n">
        <f aca="false">H352-I352</f>
        <v>2209.95</v>
      </c>
      <c r="K352" s="33" t="n">
        <f aca="false">IF(OR(E352=0,E352&gt;=7),0,D352/(7-E352)*E352*INDEX(Products!$E$2:$E$49,MATCH(C352,Products!$A$2:$A$49,0)))</f>
        <v>0</v>
      </c>
    </row>
    <row r="353" customFormat="false" ht="15" hidden="false" customHeight="false" outlineLevel="0" collapsed="false">
      <c r="A353" s="36" t="n">
        <v>46125</v>
      </c>
      <c r="B353" s="24" t="s">
        <v>61</v>
      </c>
      <c r="C353" s="24" t="s">
        <v>143</v>
      </c>
      <c r="D353" s="33" t="n">
        <v>41</v>
      </c>
      <c r="E353" s="24" t="n">
        <v>0</v>
      </c>
      <c r="F353" s="37" t="n">
        <f aca="false">DATE(YEAR(A353),MONTH(A353),1)</f>
        <v>46113</v>
      </c>
      <c r="G353" s="24" t="str">
        <f aca="false">INDEX(Products!$C$2:$C$49,MATCH(C353,Products!$A$2:$A$49,0))</f>
        <v>Dairy &amp; Eggs</v>
      </c>
      <c r="H353" s="33" t="n">
        <f aca="false">D353*INDEX(Products!$E$2:$E$49,MATCH(C353,Products!$A$2:$A$49,0))</f>
        <v>9840</v>
      </c>
      <c r="I353" s="33" t="n">
        <f aca="false">D353*INDEX(Products!$D$2:$D$49,MATCH(C353,Products!$A$2:$A$49,0))*(1+INDEX(Assumptions!$B$16:$B$20,MATCH(B353,Assumptions!$A$16:$A$20,0)))</f>
        <v>7826.49</v>
      </c>
      <c r="J353" s="33" t="n">
        <f aca="false">H353-I353</f>
        <v>2013.51</v>
      </c>
      <c r="K353" s="33" t="n">
        <f aca="false">IF(OR(E353=0,E353&gt;=7),0,D353/(7-E353)*E353*INDEX(Products!$E$2:$E$49,MATCH(C353,Products!$A$2:$A$49,0)))</f>
        <v>0</v>
      </c>
    </row>
    <row r="354" customFormat="false" ht="15" hidden="false" customHeight="false" outlineLevel="0" collapsed="false">
      <c r="A354" s="36" t="n">
        <v>46132</v>
      </c>
      <c r="B354" s="24" t="s">
        <v>61</v>
      </c>
      <c r="C354" s="24" t="s">
        <v>143</v>
      </c>
      <c r="D354" s="33" t="n">
        <v>51</v>
      </c>
      <c r="E354" s="24" t="n">
        <v>0</v>
      </c>
      <c r="F354" s="37" t="n">
        <f aca="false">DATE(YEAR(A354),MONTH(A354),1)</f>
        <v>46113</v>
      </c>
      <c r="G354" s="24" t="str">
        <f aca="false">INDEX(Products!$C$2:$C$49,MATCH(C354,Products!$A$2:$A$49,0))</f>
        <v>Dairy &amp; Eggs</v>
      </c>
      <c r="H354" s="33" t="n">
        <f aca="false">D354*INDEX(Products!$E$2:$E$49,MATCH(C354,Products!$A$2:$A$49,0))</f>
        <v>12240</v>
      </c>
      <c r="I354" s="33" t="n">
        <f aca="false">D354*INDEX(Products!$D$2:$D$49,MATCH(C354,Products!$A$2:$A$49,0))*(1+INDEX(Assumptions!$B$16:$B$20,MATCH(B354,Assumptions!$A$16:$A$20,0)))</f>
        <v>9735.39</v>
      </c>
      <c r="J354" s="33" t="n">
        <f aca="false">H354-I354</f>
        <v>2504.61</v>
      </c>
      <c r="K354" s="33" t="n">
        <f aca="false">IF(OR(E354=0,E354&gt;=7),0,D354/(7-E354)*E354*INDEX(Products!$E$2:$E$49,MATCH(C354,Products!$A$2:$A$49,0)))</f>
        <v>0</v>
      </c>
    </row>
    <row r="355" customFormat="false" ht="15" hidden="false" customHeight="false" outlineLevel="0" collapsed="false">
      <c r="A355" s="36" t="n">
        <v>46139</v>
      </c>
      <c r="B355" s="24" t="s">
        <v>61</v>
      </c>
      <c r="C355" s="24" t="s">
        <v>143</v>
      </c>
      <c r="D355" s="33" t="n">
        <v>47</v>
      </c>
      <c r="E355" s="24" t="n">
        <v>0</v>
      </c>
      <c r="F355" s="37" t="n">
        <f aca="false">DATE(YEAR(A355),MONTH(A355),1)</f>
        <v>46113</v>
      </c>
      <c r="G355" s="24" t="str">
        <f aca="false">INDEX(Products!$C$2:$C$49,MATCH(C355,Products!$A$2:$A$49,0))</f>
        <v>Dairy &amp; Eggs</v>
      </c>
      <c r="H355" s="33" t="n">
        <f aca="false">D355*INDEX(Products!$E$2:$E$49,MATCH(C355,Products!$A$2:$A$49,0))</f>
        <v>11280</v>
      </c>
      <c r="I355" s="33" t="n">
        <f aca="false">D355*INDEX(Products!$D$2:$D$49,MATCH(C355,Products!$A$2:$A$49,0))*(1+INDEX(Assumptions!$B$16:$B$20,MATCH(B355,Assumptions!$A$16:$A$20,0)))</f>
        <v>8971.83</v>
      </c>
      <c r="J355" s="33" t="n">
        <f aca="false">H355-I355</f>
        <v>2308.17</v>
      </c>
      <c r="K355" s="33" t="n">
        <f aca="false">IF(OR(E355=0,E355&gt;=7),0,D355/(7-E355)*E355*INDEX(Products!$E$2:$E$49,MATCH(C355,Products!$A$2:$A$49,0)))</f>
        <v>0</v>
      </c>
    </row>
    <row r="356" customFormat="false" ht="15" hidden="false" customHeight="false" outlineLevel="0" collapsed="false">
      <c r="A356" s="36" t="n">
        <v>46146</v>
      </c>
      <c r="B356" s="24" t="s">
        <v>61</v>
      </c>
      <c r="C356" s="24" t="s">
        <v>143</v>
      </c>
      <c r="D356" s="33" t="n">
        <v>32</v>
      </c>
      <c r="E356" s="24" t="n">
        <v>0</v>
      </c>
      <c r="F356" s="37" t="n">
        <f aca="false">DATE(YEAR(A356),MONTH(A356),1)</f>
        <v>46143</v>
      </c>
      <c r="G356" s="24" t="str">
        <f aca="false">INDEX(Products!$C$2:$C$49,MATCH(C356,Products!$A$2:$A$49,0))</f>
        <v>Dairy &amp; Eggs</v>
      </c>
      <c r="H356" s="33" t="n">
        <f aca="false">D356*INDEX(Products!$E$2:$E$49,MATCH(C356,Products!$A$2:$A$49,0))</f>
        <v>7680</v>
      </c>
      <c r="I356" s="33" t="n">
        <f aca="false">D356*INDEX(Products!$D$2:$D$49,MATCH(C356,Products!$A$2:$A$49,0))*(1+INDEX(Assumptions!$B$16:$B$20,MATCH(B356,Assumptions!$A$16:$A$20,0)))</f>
        <v>6108.48</v>
      </c>
      <c r="J356" s="33" t="n">
        <f aca="false">H356-I356</f>
        <v>1571.52</v>
      </c>
      <c r="K356" s="33" t="n">
        <f aca="false">IF(OR(E356=0,E356&gt;=7),0,D356/(7-E356)*E356*INDEX(Products!$E$2:$E$49,MATCH(C356,Products!$A$2:$A$49,0)))</f>
        <v>0</v>
      </c>
    </row>
    <row r="357" customFormat="false" ht="15" hidden="false" customHeight="false" outlineLevel="0" collapsed="false">
      <c r="A357" s="36" t="n">
        <v>46153</v>
      </c>
      <c r="B357" s="24" t="s">
        <v>61</v>
      </c>
      <c r="C357" s="24" t="s">
        <v>143</v>
      </c>
      <c r="D357" s="33" t="n">
        <v>38</v>
      </c>
      <c r="E357" s="24" t="n">
        <v>0</v>
      </c>
      <c r="F357" s="37" t="n">
        <f aca="false">DATE(YEAR(A357),MONTH(A357),1)</f>
        <v>46143</v>
      </c>
      <c r="G357" s="24" t="str">
        <f aca="false">INDEX(Products!$C$2:$C$49,MATCH(C357,Products!$A$2:$A$49,0))</f>
        <v>Dairy &amp; Eggs</v>
      </c>
      <c r="H357" s="33" t="n">
        <f aca="false">D357*INDEX(Products!$E$2:$E$49,MATCH(C357,Products!$A$2:$A$49,0))</f>
        <v>9120</v>
      </c>
      <c r="I357" s="33" t="n">
        <f aca="false">D357*INDEX(Products!$D$2:$D$49,MATCH(C357,Products!$A$2:$A$49,0))*(1+INDEX(Assumptions!$B$16:$B$20,MATCH(B357,Assumptions!$A$16:$A$20,0)))</f>
        <v>7253.82</v>
      </c>
      <c r="J357" s="33" t="n">
        <f aca="false">H357-I357</f>
        <v>1866.18</v>
      </c>
      <c r="K357" s="33" t="n">
        <f aca="false">IF(OR(E357=0,E357&gt;=7),0,D357/(7-E357)*E357*INDEX(Products!$E$2:$E$49,MATCH(C357,Products!$A$2:$A$49,0)))</f>
        <v>0</v>
      </c>
    </row>
    <row r="358" customFormat="false" ht="15" hidden="false" customHeight="false" outlineLevel="0" collapsed="false">
      <c r="A358" s="36" t="n">
        <v>46160</v>
      </c>
      <c r="B358" s="24" t="s">
        <v>61</v>
      </c>
      <c r="C358" s="24" t="s">
        <v>143</v>
      </c>
      <c r="D358" s="33" t="n">
        <v>40</v>
      </c>
      <c r="E358" s="24" t="n">
        <v>0</v>
      </c>
      <c r="F358" s="37" t="n">
        <f aca="false">DATE(YEAR(A358),MONTH(A358),1)</f>
        <v>46143</v>
      </c>
      <c r="G358" s="24" t="str">
        <f aca="false">INDEX(Products!$C$2:$C$49,MATCH(C358,Products!$A$2:$A$49,0))</f>
        <v>Dairy &amp; Eggs</v>
      </c>
      <c r="H358" s="33" t="n">
        <f aca="false">D358*INDEX(Products!$E$2:$E$49,MATCH(C358,Products!$A$2:$A$49,0))</f>
        <v>9600</v>
      </c>
      <c r="I358" s="33" t="n">
        <f aca="false">D358*INDEX(Products!$D$2:$D$49,MATCH(C358,Products!$A$2:$A$49,0))*(1+INDEX(Assumptions!$B$16:$B$20,MATCH(B358,Assumptions!$A$16:$A$20,0)))</f>
        <v>7635.6</v>
      </c>
      <c r="J358" s="33" t="n">
        <f aca="false">H358-I358</f>
        <v>1964.4</v>
      </c>
      <c r="K358" s="33" t="n">
        <f aca="false">IF(OR(E358=0,E358&gt;=7),0,D358/(7-E358)*E358*INDEX(Products!$E$2:$E$49,MATCH(C358,Products!$A$2:$A$49,0)))</f>
        <v>0</v>
      </c>
    </row>
    <row r="359" customFormat="false" ht="15" hidden="false" customHeight="false" outlineLevel="0" collapsed="false">
      <c r="A359" s="36" t="n">
        <v>46167</v>
      </c>
      <c r="B359" s="24" t="s">
        <v>61</v>
      </c>
      <c r="C359" s="24" t="s">
        <v>143</v>
      </c>
      <c r="D359" s="33" t="n">
        <v>44</v>
      </c>
      <c r="E359" s="24" t="n">
        <v>0</v>
      </c>
      <c r="F359" s="37" t="n">
        <f aca="false">DATE(YEAR(A359),MONTH(A359),1)</f>
        <v>46143</v>
      </c>
      <c r="G359" s="24" t="str">
        <f aca="false">INDEX(Products!$C$2:$C$49,MATCH(C359,Products!$A$2:$A$49,0))</f>
        <v>Dairy &amp; Eggs</v>
      </c>
      <c r="H359" s="33" t="n">
        <f aca="false">D359*INDEX(Products!$E$2:$E$49,MATCH(C359,Products!$A$2:$A$49,0))</f>
        <v>10560</v>
      </c>
      <c r="I359" s="33" t="n">
        <f aca="false">D359*INDEX(Products!$D$2:$D$49,MATCH(C359,Products!$A$2:$A$49,0))*(1+INDEX(Assumptions!$B$16:$B$20,MATCH(B359,Assumptions!$A$16:$A$20,0)))</f>
        <v>8399.16</v>
      </c>
      <c r="J359" s="33" t="n">
        <f aca="false">H359-I359</f>
        <v>2160.84</v>
      </c>
      <c r="K359" s="33" t="n">
        <f aca="false">IF(OR(E359=0,E359&gt;=7),0,D359/(7-E359)*E359*INDEX(Products!$E$2:$E$49,MATCH(C359,Products!$A$2:$A$49,0)))</f>
        <v>0</v>
      </c>
    </row>
    <row r="360" customFormat="false" ht="15" hidden="false" customHeight="false" outlineLevel="0" collapsed="false">
      <c r="A360" s="36" t="n">
        <v>46174</v>
      </c>
      <c r="B360" s="24" t="s">
        <v>61</v>
      </c>
      <c r="C360" s="24" t="s">
        <v>143</v>
      </c>
      <c r="D360" s="33" t="n">
        <v>51</v>
      </c>
      <c r="E360" s="24" t="n">
        <v>0</v>
      </c>
      <c r="F360" s="37" t="n">
        <f aca="false">DATE(YEAR(A360),MONTH(A360),1)</f>
        <v>46174</v>
      </c>
      <c r="G360" s="24" t="str">
        <f aca="false">INDEX(Products!$C$2:$C$49,MATCH(C360,Products!$A$2:$A$49,0))</f>
        <v>Dairy &amp; Eggs</v>
      </c>
      <c r="H360" s="33" t="n">
        <f aca="false">D360*INDEX(Products!$E$2:$E$49,MATCH(C360,Products!$A$2:$A$49,0))</f>
        <v>12240</v>
      </c>
      <c r="I360" s="33" t="n">
        <f aca="false">D360*INDEX(Products!$D$2:$D$49,MATCH(C360,Products!$A$2:$A$49,0))*(1+INDEX(Assumptions!$B$16:$B$20,MATCH(B360,Assumptions!$A$16:$A$20,0)))</f>
        <v>9735.39</v>
      </c>
      <c r="J360" s="33" t="n">
        <f aca="false">H360-I360</f>
        <v>2504.61</v>
      </c>
      <c r="K360" s="33" t="n">
        <f aca="false">IF(OR(E360=0,E360&gt;=7),0,D360/(7-E360)*E360*INDEX(Products!$E$2:$E$49,MATCH(C360,Products!$A$2:$A$49,0)))</f>
        <v>0</v>
      </c>
    </row>
    <row r="361" customFormat="false" ht="15" hidden="false" customHeight="false" outlineLevel="0" collapsed="false">
      <c r="A361" s="36" t="n">
        <v>46181</v>
      </c>
      <c r="B361" s="24" t="s">
        <v>61</v>
      </c>
      <c r="C361" s="24" t="s">
        <v>143</v>
      </c>
      <c r="D361" s="33" t="n">
        <v>40</v>
      </c>
      <c r="E361" s="24" t="n">
        <v>0</v>
      </c>
      <c r="F361" s="37" t="n">
        <f aca="false">DATE(YEAR(A361),MONTH(A361),1)</f>
        <v>46174</v>
      </c>
      <c r="G361" s="24" t="str">
        <f aca="false">INDEX(Products!$C$2:$C$49,MATCH(C361,Products!$A$2:$A$49,0))</f>
        <v>Dairy &amp; Eggs</v>
      </c>
      <c r="H361" s="33" t="n">
        <f aca="false">D361*INDEX(Products!$E$2:$E$49,MATCH(C361,Products!$A$2:$A$49,0))</f>
        <v>9600</v>
      </c>
      <c r="I361" s="33" t="n">
        <f aca="false">D361*INDEX(Products!$D$2:$D$49,MATCH(C361,Products!$A$2:$A$49,0))*(1+INDEX(Assumptions!$B$16:$B$20,MATCH(B361,Assumptions!$A$16:$A$20,0)))</f>
        <v>7635.6</v>
      </c>
      <c r="J361" s="33" t="n">
        <f aca="false">H361-I361</f>
        <v>1964.4</v>
      </c>
      <c r="K361" s="33" t="n">
        <f aca="false">IF(OR(E361=0,E361&gt;=7),0,D361/(7-E361)*E361*INDEX(Products!$E$2:$E$49,MATCH(C361,Products!$A$2:$A$49,0)))</f>
        <v>0</v>
      </c>
    </row>
    <row r="362" customFormat="false" ht="15" hidden="false" customHeight="false" outlineLevel="0" collapsed="false">
      <c r="A362" s="36" t="n">
        <v>46188</v>
      </c>
      <c r="B362" s="24" t="s">
        <v>61</v>
      </c>
      <c r="C362" s="24" t="s">
        <v>143</v>
      </c>
      <c r="D362" s="33" t="n">
        <v>27</v>
      </c>
      <c r="E362" s="24" t="n">
        <v>2</v>
      </c>
      <c r="F362" s="37" t="n">
        <f aca="false">DATE(YEAR(A362),MONTH(A362),1)</f>
        <v>46174</v>
      </c>
      <c r="G362" s="24" t="str">
        <f aca="false">INDEX(Products!$C$2:$C$49,MATCH(C362,Products!$A$2:$A$49,0))</f>
        <v>Dairy &amp; Eggs</v>
      </c>
      <c r="H362" s="33" t="n">
        <f aca="false">D362*INDEX(Products!$E$2:$E$49,MATCH(C362,Products!$A$2:$A$49,0))</f>
        <v>6480</v>
      </c>
      <c r="I362" s="33" t="n">
        <f aca="false">D362*INDEX(Products!$D$2:$D$49,MATCH(C362,Products!$A$2:$A$49,0))*(1+INDEX(Assumptions!$B$16:$B$20,MATCH(B362,Assumptions!$A$16:$A$20,0)))</f>
        <v>5154.03</v>
      </c>
      <c r="J362" s="33" t="n">
        <f aca="false">H362-I362</f>
        <v>1325.97</v>
      </c>
      <c r="K362" s="33" t="n">
        <f aca="false">IF(OR(E362=0,E362&gt;=7),0,D362/(7-E362)*E362*INDEX(Products!$E$2:$E$49,MATCH(C362,Products!$A$2:$A$49,0)))</f>
        <v>2592</v>
      </c>
    </row>
    <row r="363" customFormat="false" ht="15" hidden="false" customHeight="false" outlineLevel="0" collapsed="false">
      <c r="A363" s="36" t="n">
        <v>46195</v>
      </c>
      <c r="B363" s="24" t="s">
        <v>61</v>
      </c>
      <c r="C363" s="24" t="s">
        <v>143</v>
      </c>
      <c r="D363" s="33" t="n">
        <v>82</v>
      </c>
      <c r="E363" s="24" t="n">
        <v>0</v>
      </c>
      <c r="F363" s="37" t="n">
        <f aca="false">DATE(YEAR(A363),MONTH(A363),1)</f>
        <v>46174</v>
      </c>
      <c r="G363" s="24" t="str">
        <f aca="false">INDEX(Products!$C$2:$C$49,MATCH(C363,Products!$A$2:$A$49,0))</f>
        <v>Dairy &amp; Eggs</v>
      </c>
      <c r="H363" s="33" t="n">
        <f aca="false">D363*INDEX(Products!$E$2:$E$49,MATCH(C363,Products!$A$2:$A$49,0))</f>
        <v>19680</v>
      </c>
      <c r="I363" s="33" t="n">
        <f aca="false">D363*INDEX(Products!$D$2:$D$49,MATCH(C363,Products!$A$2:$A$49,0))*(1+INDEX(Assumptions!$B$16:$B$20,MATCH(B363,Assumptions!$A$16:$A$20,0)))</f>
        <v>15652.98</v>
      </c>
      <c r="J363" s="33" t="n">
        <f aca="false">H363-I363</f>
        <v>4027.02</v>
      </c>
      <c r="K363" s="33" t="n">
        <f aca="false">IF(OR(E363=0,E363&gt;=7),0,D363/(7-E363)*E363*INDEX(Products!$E$2:$E$49,MATCH(C363,Products!$A$2:$A$49,0)))</f>
        <v>0</v>
      </c>
    </row>
    <row r="364" customFormat="false" ht="15" hidden="false" customHeight="false" outlineLevel="0" collapsed="false">
      <c r="A364" s="36" t="n">
        <v>46202</v>
      </c>
      <c r="B364" s="24" t="s">
        <v>61</v>
      </c>
      <c r="C364" s="24" t="s">
        <v>143</v>
      </c>
      <c r="D364" s="33" t="n">
        <v>45</v>
      </c>
      <c r="E364" s="24" t="n">
        <v>0</v>
      </c>
      <c r="F364" s="37" t="n">
        <f aca="false">DATE(YEAR(A364),MONTH(A364),1)</f>
        <v>46174</v>
      </c>
      <c r="G364" s="24" t="str">
        <f aca="false">INDEX(Products!$C$2:$C$49,MATCH(C364,Products!$A$2:$A$49,0))</f>
        <v>Dairy &amp; Eggs</v>
      </c>
      <c r="H364" s="33" t="n">
        <f aca="false">D364*INDEX(Products!$E$2:$E$49,MATCH(C364,Products!$A$2:$A$49,0))</f>
        <v>10800</v>
      </c>
      <c r="I364" s="33" t="n">
        <f aca="false">D364*INDEX(Products!$D$2:$D$49,MATCH(C364,Products!$A$2:$A$49,0))*(1+INDEX(Assumptions!$B$16:$B$20,MATCH(B364,Assumptions!$A$16:$A$20,0)))</f>
        <v>8590.05</v>
      </c>
      <c r="J364" s="33" t="n">
        <f aca="false">H364-I364</f>
        <v>2209.95</v>
      </c>
      <c r="K364" s="33" t="n">
        <f aca="false">IF(OR(E364=0,E364&gt;=7),0,D364/(7-E364)*E364*INDEX(Products!$E$2:$E$49,MATCH(C364,Products!$A$2:$A$49,0)))</f>
        <v>0</v>
      </c>
    </row>
    <row r="365" customFormat="false" ht="15" hidden="false" customHeight="false" outlineLevel="0" collapsed="false">
      <c r="A365" s="36" t="n">
        <v>46209</v>
      </c>
      <c r="B365" s="24" t="s">
        <v>61</v>
      </c>
      <c r="C365" s="24" t="s">
        <v>143</v>
      </c>
      <c r="D365" s="33" t="n">
        <v>39</v>
      </c>
      <c r="E365" s="24" t="n">
        <v>0</v>
      </c>
      <c r="F365" s="37" t="n">
        <f aca="false">DATE(YEAR(A365),MONTH(A365),1)</f>
        <v>46204</v>
      </c>
      <c r="G365" s="24" t="str">
        <f aca="false">INDEX(Products!$C$2:$C$49,MATCH(C365,Products!$A$2:$A$49,0))</f>
        <v>Dairy &amp; Eggs</v>
      </c>
      <c r="H365" s="33" t="n">
        <f aca="false">D365*INDEX(Products!$E$2:$E$49,MATCH(C365,Products!$A$2:$A$49,0))</f>
        <v>9360</v>
      </c>
      <c r="I365" s="33" t="n">
        <f aca="false">D365*INDEX(Products!$D$2:$D$49,MATCH(C365,Products!$A$2:$A$49,0))*(1+INDEX(Assumptions!$B$16:$B$20,MATCH(B365,Assumptions!$A$16:$A$20,0)))</f>
        <v>7444.71</v>
      </c>
      <c r="J365" s="33" t="n">
        <f aca="false">H365-I365</f>
        <v>1915.29</v>
      </c>
      <c r="K365" s="33" t="n">
        <f aca="false">IF(OR(E365=0,E365&gt;=7),0,D365/(7-E365)*E365*INDEX(Products!$E$2:$E$49,MATCH(C365,Products!$A$2:$A$49,0)))</f>
        <v>0</v>
      </c>
    </row>
    <row r="366" customFormat="false" ht="15" hidden="false" customHeight="false" outlineLevel="0" collapsed="false">
      <c r="A366" s="36" t="n">
        <v>46216</v>
      </c>
      <c r="B366" s="24" t="s">
        <v>61</v>
      </c>
      <c r="C366" s="24" t="s">
        <v>143</v>
      </c>
      <c r="D366" s="33" t="n">
        <v>49</v>
      </c>
      <c r="E366" s="24" t="n">
        <v>0</v>
      </c>
      <c r="F366" s="37" t="n">
        <f aca="false">DATE(YEAR(A366),MONTH(A366),1)</f>
        <v>46204</v>
      </c>
      <c r="G366" s="24" t="str">
        <f aca="false">INDEX(Products!$C$2:$C$49,MATCH(C366,Products!$A$2:$A$49,0))</f>
        <v>Dairy &amp; Eggs</v>
      </c>
      <c r="H366" s="33" t="n">
        <f aca="false">D366*INDEX(Products!$E$2:$E$49,MATCH(C366,Products!$A$2:$A$49,0))</f>
        <v>11760</v>
      </c>
      <c r="I366" s="33" t="n">
        <f aca="false">D366*INDEX(Products!$D$2:$D$49,MATCH(C366,Products!$A$2:$A$49,0))*(1+INDEX(Assumptions!$B$16:$B$20,MATCH(B366,Assumptions!$A$16:$A$20,0)))</f>
        <v>9353.61</v>
      </c>
      <c r="J366" s="33" t="n">
        <f aca="false">H366-I366</f>
        <v>2406.39</v>
      </c>
      <c r="K366" s="33" t="n">
        <f aca="false">IF(OR(E366=0,E366&gt;=7),0,D366/(7-E366)*E366*INDEX(Products!$E$2:$E$49,MATCH(C366,Products!$A$2:$A$49,0)))</f>
        <v>0</v>
      </c>
    </row>
    <row r="367" customFormat="false" ht="15" hidden="false" customHeight="false" outlineLevel="0" collapsed="false">
      <c r="A367" s="36" t="n">
        <v>46223</v>
      </c>
      <c r="B367" s="24" t="s">
        <v>61</v>
      </c>
      <c r="C367" s="24" t="s">
        <v>143</v>
      </c>
      <c r="D367" s="33" t="n">
        <v>36</v>
      </c>
      <c r="E367" s="24" t="n">
        <v>0</v>
      </c>
      <c r="F367" s="37" t="n">
        <f aca="false">DATE(YEAR(A367),MONTH(A367),1)</f>
        <v>46204</v>
      </c>
      <c r="G367" s="24" t="str">
        <f aca="false">INDEX(Products!$C$2:$C$49,MATCH(C367,Products!$A$2:$A$49,0))</f>
        <v>Dairy &amp; Eggs</v>
      </c>
      <c r="H367" s="33" t="n">
        <f aca="false">D367*INDEX(Products!$E$2:$E$49,MATCH(C367,Products!$A$2:$A$49,0))</f>
        <v>8640</v>
      </c>
      <c r="I367" s="33" t="n">
        <f aca="false">D367*INDEX(Products!$D$2:$D$49,MATCH(C367,Products!$A$2:$A$49,0))*(1+INDEX(Assumptions!$B$16:$B$20,MATCH(B367,Assumptions!$A$16:$A$20,0)))</f>
        <v>6872.04</v>
      </c>
      <c r="J367" s="33" t="n">
        <f aca="false">H367-I367</f>
        <v>1767.96</v>
      </c>
      <c r="K367" s="33" t="n">
        <f aca="false">IF(OR(E367=0,E367&gt;=7),0,D367/(7-E367)*E367*INDEX(Products!$E$2:$E$49,MATCH(C367,Products!$A$2:$A$49,0)))</f>
        <v>0</v>
      </c>
    </row>
    <row r="368" customFormat="false" ht="15" hidden="false" customHeight="false" outlineLevel="0" collapsed="false">
      <c r="A368" s="36" t="n">
        <v>46230</v>
      </c>
      <c r="B368" s="24" t="s">
        <v>61</v>
      </c>
      <c r="C368" s="24" t="s">
        <v>143</v>
      </c>
      <c r="D368" s="33" t="n">
        <v>48</v>
      </c>
      <c r="E368" s="24" t="n">
        <v>0</v>
      </c>
      <c r="F368" s="37" t="n">
        <f aca="false">DATE(YEAR(A368),MONTH(A368),1)</f>
        <v>46204</v>
      </c>
      <c r="G368" s="24" t="str">
        <f aca="false">INDEX(Products!$C$2:$C$49,MATCH(C368,Products!$A$2:$A$49,0))</f>
        <v>Dairy &amp; Eggs</v>
      </c>
      <c r="H368" s="33" t="n">
        <f aca="false">D368*INDEX(Products!$E$2:$E$49,MATCH(C368,Products!$A$2:$A$49,0))</f>
        <v>11520</v>
      </c>
      <c r="I368" s="33" t="n">
        <f aca="false">D368*INDEX(Products!$D$2:$D$49,MATCH(C368,Products!$A$2:$A$49,0))*(1+INDEX(Assumptions!$B$16:$B$20,MATCH(B368,Assumptions!$A$16:$A$20,0)))</f>
        <v>9162.72</v>
      </c>
      <c r="J368" s="33" t="n">
        <f aca="false">H368-I368</f>
        <v>2357.28</v>
      </c>
      <c r="K368" s="33" t="n">
        <f aca="false">IF(OR(E368=0,E368&gt;=7),0,D368/(7-E368)*E368*INDEX(Products!$E$2:$E$49,MATCH(C368,Products!$A$2:$A$49,0)))</f>
        <v>0</v>
      </c>
    </row>
    <row r="369" customFormat="false" ht="15" hidden="false" customHeight="false" outlineLevel="0" collapsed="false">
      <c r="A369" s="36" t="n">
        <v>46237</v>
      </c>
      <c r="B369" s="24" t="s">
        <v>61</v>
      </c>
      <c r="C369" s="24" t="s">
        <v>143</v>
      </c>
      <c r="D369" s="33" t="n">
        <v>41</v>
      </c>
      <c r="E369" s="24" t="n">
        <v>0</v>
      </c>
      <c r="F369" s="37" t="n">
        <f aca="false">DATE(YEAR(A369),MONTH(A369),1)</f>
        <v>46235</v>
      </c>
      <c r="G369" s="24" t="str">
        <f aca="false">INDEX(Products!$C$2:$C$49,MATCH(C369,Products!$A$2:$A$49,0))</f>
        <v>Dairy &amp; Eggs</v>
      </c>
      <c r="H369" s="33" t="n">
        <f aca="false">D369*INDEX(Products!$E$2:$E$49,MATCH(C369,Products!$A$2:$A$49,0))</f>
        <v>9840</v>
      </c>
      <c r="I369" s="33" t="n">
        <f aca="false">D369*INDEX(Products!$D$2:$D$49,MATCH(C369,Products!$A$2:$A$49,0))*(1+INDEX(Assumptions!$B$16:$B$20,MATCH(B369,Assumptions!$A$16:$A$20,0)))</f>
        <v>7826.49</v>
      </c>
      <c r="J369" s="33" t="n">
        <f aca="false">H369-I369</f>
        <v>2013.51</v>
      </c>
      <c r="K369" s="33" t="n">
        <f aca="false">IF(OR(E369=0,E369&gt;=7),0,D369/(7-E369)*E369*INDEX(Products!$E$2:$E$49,MATCH(C369,Products!$A$2:$A$49,0)))</f>
        <v>0</v>
      </c>
    </row>
    <row r="370" customFormat="false" ht="15" hidden="false" customHeight="false" outlineLevel="0" collapsed="false">
      <c r="A370" s="36" t="n">
        <v>46244</v>
      </c>
      <c r="B370" s="24" t="s">
        <v>61</v>
      </c>
      <c r="C370" s="24" t="s">
        <v>143</v>
      </c>
      <c r="D370" s="33" t="n">
        <v>33</v>
      </c>
      <c r="E370" s="24" t="n">
        <v>0</v>
      </c>
      <c r="F370" s="37" t="n">
        <f aca="false">DATE(YEAR(A370),MONTH(A370),1)</f>
        <v>46235</v>
      </c>
      <c r="G370" s="24" t="str">
        <f aca="false">INDEX(Products!$C$2:$C$49,MATCH(C370,Products!$A$2:$A$49,0))</f>
        <v>Dairy &amp; Eggs</v>
      </c>
      <c r="H370" s="33" t="n">
        <f aca="false">D370*INDEX(Products!$E$2:$E$49,MATCH(C370,Products!$A$2:$A$49,0))</f>
        <v>7920</v>
      </c>
      <c r="I370" s="33" t="n">
        <f aca="false">D370*INDEX(Products!$D$2:$D$49,MATCH(C370,Products!$A$2:$A$49,0))*(1+INDEX(Assumptions!$B$16:$B$20,MATCH(B370,Assumptions!$A$16:$A$20,0)))</f>
        <v>6299.37</v>
      </c>
      <c r="J370" s="33" t="n">
        <f aca="false">H370-I370</f>
        <v>1620.63</v>
      </c>
      <c r="K370" s="33" t="n">
        <f aca="false">IF(OR(E370=0,E370&gt;=7),0,D370/(7-E370)*E370*INDEX(Products!$E$2:$E$49,MATCH(C370,Products!$A$2:$A$49,0)))</f>
        <v>0</v>
      </c>
    </row>
    <row r="371" customFormat="false" ht="15" hidden="false" customHeight="false" outlineLevel="0" collapsed="false">
      <c r="A371" s="36" t="n">
        <v>46251</v>
      </c>
      <c r="B371" s="24" t="s">
        <v>61</v>
      </c>
      <c r="C371" s="24" t="s">
        <v>143</v>
      </c>
      <c r="D371" s="33" t="n">
        <v>34</v>
      </c>
      <c r="E371" s="24" t="n">
        <v>0</v>
      </c>
      <c r="F371" s="37" t="n">
        <f aca="false">DATE(YEAR(A371),MONTH(A371),1)</f>
        <v>46235</v>
      </c>
      <c r="G371" s="24" t="str">
        <f aca="false">INDEX(Products!$C$2:$C$49,MATCH(C371,Products!$A$2:$A$49,0))</f>
        <v>Dairy &amp; Eggs</v>
      </c>
      <c r="H371" s="33" t="n">
        <f aca="false">D371*INDEX(Products!$E$2:$E$49,MATCH(C371,Products!$A$2:$A$49,0))</f>
        <v>8160</v>
      </c>
      <c r="I371" s="33" t="n">
        <f aca="false">D371*INDEX(Products!$D$2:$D$49,MATCH(C371,Products!$A$2:$A$49,0))*(1+INDEX(Assumptions!$B$16:$B$20,MATCH(B371,Assumptions!$A$16:$A$20,0)))</f>
        <v>6490.26</v>
      </c>
      <c r="J371" s="33" t="n">
        <f aca="false">H371-I371</f>
        <v>1669.74</v>
      </c>
      <c r="K371" s="33" t="n">
        <f aca="false">IF(OR(E371=0,E371&gt;=7),0,D371/(7-E371)*E371*INDEX(Products!$E$2:$E$49,MATCH(C371,Products!$A$2:$A$49,0)))</f>
        <v>0</v>
      </c>
    </row>
    <row r="372" customFormat="false" ht="15" hidden="false" customHeight="false" outlineLevel="0" collapsed="false">
      <c r="A372" s="36" t="n">
        <v>46258</v>
      </c>
      <c r="B372" s="24" t="s">
        <v>61</v>
      </c>
      <c r="C372" s="24" t="s">
        <v>143</v>
      </c>
      <c r="D372" s="33" t="n">
        <v>36</v>
      </c>
      <c r="E372" s="24" t="n">
        <v>0</v>
      </c>
      <c r="F372" s="37" t="n">
        <f aca="false">DATE(YEAR(A372),MONTH(A372),1)</f>
        <v>46235</v>
      </c>
      <c r="G372" s="24" t="str">
        <f aca="false">INDEX(Products!$C$2:$C$49,MATCH(C372,Products!$A$2:$A$49,0))</f>
        <v>Dairy &amp; Eggs</v>
      </c>
      <c r="H372" s="33" t="n">
        <f aca="false">D372*INDEX(Products!$E$2:$E$49,MATCH(C372,Products!$A$2:$A$49,0))</f>
        <v>8640</v>
      </c>
      <c r="I372" s="33" t="n">
        <f aca="false">D372*INDEX(Products!$D$2:$D$49,MATCH(C372,Products!$A$2:$A$49,0))*(1+INDEX(Assumptions!$B$16:$B$20,MATCH(B372,Assumptions!$A$16:$A$20,0)))</f>
        <v>6872.04</v>
      </c>
      <c r="J372" s="33" t="n">
        <f aca="false">H372-I372</f>
        <v>1767.96</v>
      </c>
      <c r="K372" s="33" t="n">
        <f aca="false">IF(OR(E372=0,E372&gt;=7),0,D372/(7-E372)*E372*INDEX(Products!$E$2:$E$49,MATCH(C372,Products!$A$2:$A$49,0)))</f>
        <v>0</v>
      </c>
    </row>
    <row r="373" customFormat="false" ht="15" hidden="false" customHeight="false" outlineLevel="0" collapsed="false">
      <c r="A373" s="36" t="n">
        <v>46265</v>
      </c>
      <c r="B373" s="24" t="s">
        <v>61</v>
      </c>
      <c r="C373" s="24" t="s">
        <v>143</v>
      </c>
      <c r="D373" s="33" t="n">
        <v>39</v>
      </c>
      <c r="E373" s="24" t="n">
        <v>0</v>
      </c>
      <c r="F373" s="37" t="n">
        <f aca="false">DATE(YEAR(A373),MONTH(A373),1)</f>
        <v>46235</v>
      </c>
      <c r="G373" s="24" t="str">
        <f aca="false">INDEX(Products!$C$2:$C$49,MATCH(C373,Products!$A$2:$A$49,0))</f>
        <v>Dairy &amp; Eggs</v>
      </c>
      <c r="H373" s="33" t="n">
        <f aca="false">D373*INDEX(Products!$E$2:$E$49,MATCH(C373,Products!$A$2:$A$49,0))</f>
        <v>9360</v>
      </c>
      <c r="I373" s="33" t="n">
        <f aca="false">D373*INDEX(Products!$D$2:$D$49,MATCH(C373,Products!$A$2:$A$49,0))*(1+INDEX(Assumptions!$B$16:$B$20,MATCH(B373,Assumptions!$A$16:$A$20,0)))</f>
        <v>7444.71</v>
      </c>
      <c r="J373" s="33" t="n">
        <f aca="false">H373-I373</f>
        <v>1915.29</v>
      </c>
      <c r="K373" s="33" t="n">
        <f aca="false">IF(OR(E373=0,E373&gt;=7),0,D373/(7-E373)*E373*INDEX(Products!$E$2:$E$49,MATCH(C373,Products!$A$2:$A$49,0)))</f>
        <v>0</v>
      </c>
    </row>
    <row r="374" customFormat="false" ht="15" hidden="false" customHeight="false" outlineLevel="0" collapsed="false">
      <c r="A374" s="36" t="n">
        <v>46272</v>
      </c>
      <c r="B374" s="24" t="s">
        <v>61</v>
      </c>
      <c r="C374" s="24" t="s">
        <v>143</v>
      </c>
      <c r="D374" s="33" t="n">
        <v>51</v>
      </c>
      <c r="E374" s="24" t="n">
        <v>0</v>
      </c>
      <c r="F374" s="37" t="n">
        <f aca="false">DATE(YEAR(A374),MONTH(A374),1)</f>
        <v>46266</v>
      </c>
      <c r="G374" s="24" t="str">
        <f aca="false">INDEX(Products!$C$2:$C$49,MATCH(C374,Products!$A$2:$A$49,0))</f>
        <v>Dairy &amp; Eggs</v>
      </c>
      <c r="H374" s="33" t="n">
        <f aca="false">D374*INDEX(Products!$E$2:$E$49,MATCH(C374,Products!$A$2:$A$49,0))</f>
        <v>12240</v>
      </c>
      <c r="I374" s="33" t="n">
        <f aca="false">D374*INDEX(Products!$D$2:$D$49,MATCH(C374,Products!$A$2:$A$49,0))*(1+INDEX(Assumptions!$B$16:$B$20,MATCH(B374,Assumptions!$A$16:$A$20,0)))</f>
        <v>9735.39</v>
      </c>
      <c r="J374" s="33" t="n">
        <f aca="false">H374-I374</f>
        <v>2504.61</v>
      </c>
      <c r="K374" s="33" t="n">
        <f aca="false">IF(OR(E374=0,E374&gt;=7),0,D374/(7-E374)*E374*INDEX(Products!$E$2:$E$49,MATCH(C374,Products!$A$2:$A$49,0)))</f>
        <v>0</v>
      </c>
    </row>
    <row r="375" customFormat="false" ht="15" hidden="false" customHeight="false" outlineLevel="0" collapsed="false">
      <c r="A375" s="36" t="n">
        <v>46279</v>
      </c>
      <c r="B375" s="24" t="s">
        <v>61</v>
      </c>
      <c r="C375" s="24" t="s">
        <v>143</v>
      </c>
      <c r="D375" s="33" t="n">
        <v>41</v>
      </c>
      <c r="E375" s="24" t="n">
        <v>0</v>
      </c>
      <c r="F375" s="37" t="n">
        <f aca="false">DATE(YEAR(A375),MONTH(A375),1)</f>
        <v>46266</v>
      </c>
      <c r="G375" s="24" t="str">
        <f aca="false">INDEX(Products!$C$2:$C$49,MATCH(C375,Products!$A$2:$A$49,0))</f>
        <v>Dairy &amp; Eggs</v>
      </c>
      <c r="H375" s="33" t="n">
        <f aca="false">D375*INDEX(Products!$E$2:$E$49,MATCH(C375,Products!$A$2:$A$49,0))</f>
        <v>9840</v>
      </c>
      <c r="I375" s="33" t="n">
        <f aca="false">D375*INDEX(Products!$D$2:$D$49,MATCH(C375,Products!$A$2:$A$49,0))*(1+INDEX(Assumptions!$B$16:$B$20,MATCH(B375,Assumptions!$A$16:$A$20,0)))</f>
        <v>7826.49</v>
      </c>
      <c r="J375" s="33" t="n">
        <f aca="false">H375-I375</f>
        <v>2013.51</v>
      </c>
      <c r="K375" s="33" t="n">
        <f aca="false">IF(OR(E375=0,E375&gt;=7),0,D375/(7-E375)*E375*INDEX(Products!$E$2:$E$49,MATCH(C375,Products!$A$2:$A$49,0)))</f>
        <v>0</v>
      </c>
    </row>
    <row r="376" customFormat="false" ht="15" hidden="false" customHeight="false" outlineLevel="0" collapsed="false">
      <c r="A376" s="36" t="n">
        <v>46286</v>
      </c>
      <c r="B376" s="24" t="s">
        <v>61</v>
      </c>
      <c r="C376" s="24" t="s">
        <v>143</v>
      </c>
      <c r="D376" s="33" t="n">
        <v>48</v>
      </c>
      <c r="E376" s="24" t="n">
        <v>0</v>
      </c>
      <c r="F376" s="37" t="n">
        <f aca="false">DATE(YEAR(A376),MONTH(A376),1)</f>
        <v>46266</v>
      </c>
      <c r="G376" s="24" t="str">
        <f aca="false">INDEX(Products!$C$2:$C$49,MATCH(C376,Products!$A$2:$A$49,0))</f>
        <v>Dairy &amp; Eggs</v>
      </c>
      <c r="H376" s="33" t="n">
        <f aca="false">D376*INDEX(Products!$E$2:$E$49,MATCH(C376,Products!$A$2:$A$49,0))</f>
        <v>11520</v>
      </c>
      <c r="I376" s="33" t="n">
        <f aca="false">D376*INDEX(Products!$D$2:$D$49,MATCH(C376,Products!$A$2:$A$49,0))*(1+INDEX(Assumptions!$B$16:$B$20,MATCH(B376,Assumptions!$A$16:$A$20,0)))</f>
        <v>9162.72</v>
      </c>
      <c r="J376" s="33" t="n">
        <f aca="false">H376-I376</f>
        <v>2357.28</v>
      </c>
      <c r="K376" s="33" t="n">
        <f aca="false">IF(OR(E376=0,E376&gt;=7),0,D376/(7-E376)*E376*INDEX(Products!$E$2:$E$49,MATCH(C376,Products!$A$2:$A$49,0)))</f>
        <v>0</v>
      </c>
    </row>
    <row r="377" customFormat="false" ht="15" hidden="false" customHeight="false" outlineLevel="0" collapsed="false">
      <c r="A377" s="36" t="n">
        <v>46118</v>
      </c>
      <c r="B377" s="24" t="s">
        <v>61</v>
      </c>
      <c r="C377" s="24" t="s">
        <v>145</v>
      </c>
      <c r="D377" s="33" t="n">
        <v>81</v>
      </c>
      <c r="E377" s="24" t="n">
        <v>0</v>
      </c>
      <c r="F377" s="37" t="n">
        <f aca="false">DATE(YEAR(A377),MONTH(A377),1)</f>
        <v>46113</v>
      </c>
      <c r="G377" s="24" t="str">
        <f aca="false">INDEX(Products!$C$2:$C$49,MATCH(C377,Products!$A$2:$A$49,0))</f>
        <v>Dairy &amp; Eggs</v>
      </c>
      <c r="H377" s="33" t="n">
        <f aca="false">D377*INDEX(Products!$E$2:$E$49,MATCH(C377,Products!$A$2:$A$49,0))</f>
        <v>11340</v>
      </c>
      <c r="I377" s="33" t="n">
        <f aca="false">D377*INDEX(Products!$D$2:$D$49,MATCH(C377,Products!$A$2:$A$49,0))*(1+INDEX(Assumptions!$B$16:$B$20,MATCH(B377,Assumptions!$A$16:$A$20,0)))</f>
        <v>9162.72</v>
      </c>
      <c r="J377" s="33" t="n">
        <f aca="false">H377-I377</f>
        <v>2177.28</v>
      </c>
      <c r="K377" s="33" t="n">
        <f aca="false">IF(OR(E377=0,E377&gt;=7),0,D377/(7-E377)*E377*INDEX(Products!$E$2:$E$49,MATCH(C377,Products!$A$2:$A$49,0)))</f>
        <v>0</v>
      </c>
    </row>
    <row r="378" customFormat="false" ht="15" hidden="false" customHeight="false" outlineLevel="0" collapsed="false">
      <c r="A378" s="36" t="n">
        <v>46125</v>
      </c>
      <c r="B378" s="24" t="s">
        <v>61</v>
      </c>
      <c r="C378" s="24" t="s">
        <v>145</v>
      </c>
      <c r="D378" s="33" t="n">
        <v>78</v>
      </c>
      <c r="E378" s="24" t="n">
        <v>0</v>
      </c>
      <c r="F378" s="37" t="n">
        <f aca="false">DATE(YEAR(A378),MONTH(A378),1)</f>
        <v>46113</v>
      </c>
      <c r="G378" s="24" t="str">
        <f aca="false">INDEX(Products!$C$2:$C$49,MATCH(C378,Products!$A$2:$A$49,0))</f>
        <v>Dairy &amp; Eggs</v>
      </c>
      <c r="H378" s="33" t="n">
        <f aca="false">D378*INDEX(Products!$E$2:$E$49,MATCH(C378,Products!$A$2:$A$49,0))</f>
        <v>10920</v>
      </c>
      <c r="I378" s="33" t="n">
        <f aca="false">D378*INDEX(Products!$D$2:$D$49,MATCH(C378,Products!$A$2:$A$49,0))*(1+INDEX(Assumptions!$B$16:$B$20,MATCH(B378,Assumptions!$A$16:$A$20,0)))</f>
        <v>8823.36</v>
      </c>
      <c r="J378" s="33" t="n">
        <f aca="false">H378-I378</f>
        <v>2096.64</v>
      </c>
      <c r="K378" s="33" t="n">
        <f aca="false">IF(OR(E378=0,E378&gt;=7),0,D378/(7-E378)*E378*INDEX(Products!$E$2:$E$49,MATCH(C378,Products!$A$2:$A$49,0)))</f>
        <v>0</v>
      </c>
    </row>
    <row r="379" customFormat="false" ht="15" hidden="false" customHeight="false" outlineLevel="0" collapsed="false">
      <c r="A379" s="36" t="n">
        <v>46132</v>
      </c>
      <c r="B379" s="24" t="s">
        <v>61</v>
      </c>
      <c r="C379" s="24" t="s">
        <v>145</v>
      </c>
      <c r="D379" s="33" t="n">
        <v>102</v>
      </c>
      <c r="E379" s="24" t="n">
        <v>0</v>
      </c>
      <c r="F379" s="37" t="n">
        <f aca="false">DATE(YEAR(A379),MONTH(A379),1)</f>
        <v>46113</v>
      </c>
      <c r="G379" s="24" t="str">
        <f aca="false">INDEX(Products!$C$2:$C$49,MATCH(C379,Products!$A$2:$A$49,0))</f>
        <v>Dairy &amp; Eggs</v>
      </c>
      <c r="H379" s="33" t="n">
        <f aca="false">D379*INDEX(Products!$E$2:$E$49,MATCH(C379,Products!$A$2:$A$49,0))</f>
        <v>14280</v>
      </c>
      <c r="I379" s="33" t="n">
        <f aca="false">D379*INDEX(Products!$D$2:$D$49,MATCH(C379,Products!$A$2:$A$49,0))*(1+INDEX(Assumptions!$B$16:$B$20,MATCH(B379,Assumptions!$A$16:$A$20,0)))</f>
        <v>11538.24</v>
      </c>
      <c r="J379" s="33" t="n">
        <f aca="false">H379-I379</f>
        <v>2741.76</v>
      </c>
      <c r="K379" s="33" t="n">
        <f aca="false">IF(OR(E379=0,E379&gt;=7),0,D379/(7-E379)*E379*INDEX(Products!$E$2:$E$49,MATCH(C379,Products!$A$2:$A$49,0)))</f>
        <v>0</v>
      </c>
    </row>
    <row r="380" customFormat="false" ht="15" hidden="false" customHeight="false" outlineLevel="0" collapsed="false">
      <c r="A380" s="36" t="n">
        <v>46139</v>
      </c>
      <c r="B380" s="24" t="s">
        <v>61</v>
      </c>
      <c r="C380" s="24" t="s">
        <v>145</v>
      </c>
      <c r="D380" s="33" t="n">
        <v>103</v>
      </c>
      <c r="E380" s="24" t="n">
        <v>0</v>
      </c>
      <c r="F380" s="37" t="n">
        <f aca="false">DATE(YEAR(A380),MONTH(A380),1)</f>
        <v>46113</v>
      </c>
      <c r="G380" s="24" t="str">
        <f aca="false">INDEX(Products!$C$2:$C$49,MATCH(C380,Products!$A$2:$A$49,0))</f>
        <v>Dairy &amp; Eggs</v>
      </c>
      <c r="H380" s="33" t="n">
        <f aca="false">D380*INDEX(Products!$E$2:$E$49,MATCH(C380,Products!$A$2:$A$49,0))</f>
        <v>14420</v>
      </c>
      <c r="I380" s="33" t="n">
        <f aca="false">D380*INDEX(Products!$D$2:$D$49,MATCH(C380,Products!$A$2:$A$49,0))*(1+INDEX(Assumptions!$B$16:$B$20,MATCH(B380,Assumptions!$A$16:$A$20,0)))</f>
        <v>11651.36</v>
      </c>
      <c r="J380" s="33" t="n">
        <f aca="false">H380-I380</f>
        <v>2768.64</v>
      </c>
      <c r="K380" s="33" t="n">
        <f aca="false">IF(OR(E380=0,E380&gt;=7),0,D380/(7-E380)*E380*INDEX(Products!$E$2:$E$49,MATCH(C380,Products!$A$2:$A$49,0)))</f>
        <v>0</v>
      </c>
    </row>
    <row r="381" customFormat="false" ht="15" hidden="false" customHeight="false" outlineLevel="0" collapsed="false">
      <c r="A381" s="36" t="n">
        <v>46146</v>
      </c>
      <c r="B381" s="24" t="s">
        <v>61</v>
      </c>
      <c r="C381" s="24" t="s">
        <v>145</v>
      </c>
      <c r="D381" s="33" t="n">
        <v>84</v>
      </c>
      <c r="E381" s="24" t="n">
        <v>0</v>
      </c>
      <c r="F381" s="37" t="n">
        <f aca="false">DATE(YEAR(A381),MONTH(A381),1)</f>
        <v>46143</v>
      </c>
      <c r="G381" s="24" t="str">
        <f aca="false">INDEX(Products!$C$2:$C$49,MATCH(C381,Products!$A$2:$A$49,0))</f>
        <v>Dairy &amp; Eggs</v>
      </c>
      <c r="H381" s="33" t="n">
        <f aca="false">D381*INDEX(Products!$E$2:$E$49,MATCH(C381,Products!$A$2:$A$49,0))</f>
        <v>11760</v>
      </c>
      <c r="I381" s="33" t="n">
        <f aca="false">D381*INDEX(Products!$D$2:$D$49,MATCH(C381,Products!$A$2:$A$49,0))*(1+INDEX(Assumptions!$B$16:$B$20,MATCH(B381,Assumptions!$A$16:$A$20,0)))</f>
        <v>9502.08</v>
      </c>
      <c r="J381" s="33" t="n">
        <f aca="false">H381-I381</f>
        <v>2257.92</v>
      </c>
      <c r="K381" s="33" t="n">
        <f aca="false">IF(OR(E381=0,E381&gt;=7),0,D381/(7-E381)*E381*INDEX(Products!$E$2:$E$49,MATCH(C381,Products!$A$2:$A$49,0)))</f>
        <v>0</v>
      </c>
    </row>
    <row r="382" customFormat="false" ht="15" hidden="false" customHeight="false" outlineLevel="0" collapsed="false">
      <c r="A382" s="36" t="n">
        <v>46153</v>
      </c>
      <c r="B382" s="24" t="s">
        <v>61</v>
      </c>
      <c r="C382" s="24" t="s">
        <v>145</v>
      </c>
      <c r="D382" s="33" t="n">
        <v>73</v>
      </c>
      <c r="E382" s="24" t="n">
        <v>0</v>
      </c>
      <c r="F382" s="37" t="n">
        <f aca="false">DATE(YEAR(A382),MONTH(A382),1)</f>
        <v>46143</v>
      </c>
      <c r="G382" s="24" t="str">
        <f aca="false">INDEX(Products!$C$2:$C$49,MATCH(C382,Products!$A$2:$A$49,0))</f>
        <v>Dairy &amp; Eggs</v>
      </c>
      <c r="H382" s="33" t="n">
        <f aca="false">D382*INDEX(Products!$E$2:$E$49,MATCH(C382,Products!$A$2:$A$49,0))</f>
        <v>10220</v>
      </c>
      <c r="I382" s="33" t="n">
        <f aca="false">D382*INDEX(Products!$D$2:$D$49,MATCH(C382,Products!$A$2:$A$49,0))*(1+INDEX(Assumptions!$B$16:$B$20,MATCH(B382,Assumptions!$A$16:$A$20,0)))</f>
        <v>8257.76</v>
      </c>
      <c r="J382" s="33" t="n">
        <f aca="false">H382-I382</f>
        <v>1962.24</v>
      </c>
      <c r="K382" s="33" t="n">
        <f aca="false">IF(OR(E382=0,E382&gt;=7),0,D382/(7-E382)*E382*INDEX(Products!$E$2:$E$49,MATCH(C382,Products!$A$2:$A$49,0)))</f>
        <v>0</v>
      </c>
    </row>
    <row r="383" customFormat="false" ht="15" hidden="false" customHeight="false" outlineLevel="0" collapsed="false">
      <c r="A383" s="36" t="n">
        <v>46160</v>
      </c>
      <c r="B383" s="24" t="s">
        <v>61</v>
      </c>
      <c r="C383" s="24" t="s">
        <v>145</v>
      </c>
      <c r="D383" s="33" t="n">
        <v>80</v>
      </c>
      <c r="E383" s="24" t="n">
        <v>0</v>
      </c>
      <c r="F383" s="37" t="n">
        <f aca="false">DATE(YEAR(A383),MONTH(A383),1)</f>
        <v>46143</v>
      </c>
      <c r="G383" s="24" t="str">
        <f aca="false">INDEX(Products!$C$2:$C$49,MATCH(C383,Products!$A$2:$A$49,0))</f>
        <v>Dairy &amp; Eggs</v>
      </c>
      <c r="H383" s="33" t="n">
        <f aca="false">D383*INDEX(Products!$E$2:$E$49,MATCH(C383,Products!$A$2:$A$49,0))</f>
        <v>11200</v>
      </c>
      <c r="I383" s="33" t="n">
        <f aca="false">D383*INDEX(Products!$D$2:$D$49,MATCH(C383,Products!$A$2:$A$49,0))*(1+INDEX(Assumptions!$B$16:$B$20,MATCH(B383,Assumptions!$A$16:$A$20,0)))</f>
        <v>9049.6</v>
      </c>
      <c r="J383" s="33" t="n">
        <f aca="false">H383-I383</f>
        <v>2150.4</v>
      </c>
      <c r="K383" s="33" t="n">
        <f aca="false">IF(OR(E383=0,E383&gt;=7),0,D383/(7-E383)*E383*INDEX(Products!$E$2:$E$49,MATCH(C383,Products!$A$2:$A$49,0)))</f>
        <v>0</v>
      </c>
    </row>
    <row r="384" customFormat="false" ht="15" hidden="false" customHeight="false" outlineLevel="0" collapsed="false">
      <c r="A384" s="36" t="n">
        <v>46167</v>
      </c>
      <c r="B384" s="24" t="s">
        <v>61</v>
      </c>
      <c r="C384" s="24" t="s">
        <v>145</v>
      </c>
      <c r="D384" s="33" t="n">
        <v>90</v>
      </c>
      <c r="E384" s="24" t="n">
        <v>0</v>
      </c>
      <c r="F384" s="37" t="n">
        <f aca="false">DATE(YEAR(A384),MONTH(A384),1)</f>
        <v>46143</v>
      </c>
      <c r="G384" s="24" t="str">
        <f aca="false">INDEX(Products!$C$2:$C$49,MATCH(C384,Products!$A$2:$A$49,0))</f>
        <v>Dairy &amp; Eggs</v>
      </c>
      <c r="H384" s="33" t="n">
        <f aca="false">D384*INDEX(Products!$E$2:$E$49,MATCH(C384,Products!$A$2:$A$49,0))</f>
        <v>12600</v>
      </c>
      <c r="I384" s="33" t="n">
        <f aca="false">D384*INDEX(Products!$D$2:$D$49,MATCH(C384,Products!$A$2:$A$49,0))*(1+INDEX(Assumptions!$B$16:$B$20,MATCH(B384,Assumptions!$A$16:$A$20,0)))</f>
        <v>10180.8</v>
      </c>
      <c r="J384" s="33" t="n">
        <f aca="false">H384-I384</f>
        <v>2419.2</v>
      </c>
      <c r="K384" s="33" t="n">
        <f aca="false">IF(OR(E384=0,E384&gt;=7),0,D384/(7-E384)*E384*INDEX(Products!$E$2:$E$49,MATCH(C384,Products!$A$2:$A$49,0)))</f>
        <v>0</v>
      </c>
    </row>
    <row r="385" customFormat="false" ht="15" hidden="false" customHeight="false" outlineLevel="0" collapsed="false">
      <c r="A385" s="36" t="n">
        <v>46174</v>
      </c>
      <c r="B385" s="24" t="s">
        <v>61</v>
      </c>
      <c r="C385" s="24" t="s">
        <v>145</v>
      </c>
      <c r="D385" s="33" t="n">
        <v>103</v>
      </c>
      <c r="E385" s="24" t="n">
        <v>0</v>
      </c>
      <c r="F385" s="37" t="n">
        <f aca="false">DATE(YEAR(A385),MONTH(A385),1)</f>
        <v>46174</v>
      </c>
      <c r="G385" s="24" t="str">
        <f aca="false">INDEX(Products!$C$2:$C$49,MATCH(C385,Products!$A$2:$A$49,0))</f>
        <v>Dairy &amp; Eggs</v>
      </c>
      <c r="H385" s="33" t="n">
        <f aca="false">D385*INDEX(Products!$E$2:$E$49,MATCH(C385,Products!$A$2:$A$49,0))</f>
        <v>14420</v>
      </c>
      <c r="I385" s="33" t="n">
        <f aca="false">D385*INDEX(Products!$D$2:$D$49,MATCH(C385,Products!$A$2:$A$49,0))*(1+INDEX(Assumptions!$B$16:$B$20,MATCH(B385,Assumptions!$A$16:$A$20,0)))</f>
        <v>11651.36</v>
      </c>
      <c r="J385" s="33" t="n">
        <f aca="false">H385-I385</f>
        <v>2768.64</v>
      </c>
      <c r="K385" s="33" t="n">
        <f aca="false">IF(OR(E385=0,E385&gt;=7),0,D385/(7-E385)*E385*INDEX(Products!$E$2:$E$49,MATCH(C385,Products!$A$2:$A$49,0)))</f>
        <v>0</v>
      </c>
    </row>
    <row r="386" customFormat="false" ht="15" hidden="false" customHeight="false" outlineLevel="0" collapsed="false">
      <c r="A386" s="36" t="n">
        <v>46181</v>
      </c>
      <c r="B386" s="24" t="s">
        <v>61</v>
      </c>
      <c r="C386" s="24" t="s">
        <v>145</v>
      </c>
      <c r="D386" s="33" t="n">
        <v>83</v>
      </c>
      <c r="E386" s="24" t="n">
        <v>0</v>
      </c>
      <c r="F386" s="37" t="n">
        <f aca="false">DATE(YEAR(A386),MONTH(A386),1)</f>
        <v>46174</v>
      </c>
      <c r="G386" s="24" t="str">
        <f aca="false">INDEX(Products!$C$2:$C$49,MATCH(C386,Products!$A$2:$A$49,0))</f>
        <v>Dairy &amp; Eggs</v>
      </c>
      <c r="H386" s="33" t="n">
        <f aca="false">D386*INDEX(Products!$E$2:$E$49,MATCH(C386,Products!$A$2:$A$49,0))</f>
        <v>11620</v>
      </c>
      <c r="I386" s="33" t="n">
        <f aca="false">D386*INDEX(Products!$D$2:$D$49,MATCH(C386,Products!$A$2:$A$49,0))*(1+INDEX(Assumptions!$B$16:$B$20,MATCH(B386,Assumptions!$A$16:$A$20,0)))</f>
        <v>9388.96</v>
      </c>
      <c r="J386" s="33" t="n">
        <f aca="false">H386-I386</f>
        <v>2231.04</v>
      </c>
      <c r="K386" s="33" t="n">
        <f aca="false">IF(OR(E386=0,E386&gt;=7),0,D386/(7-E386)*E386*INDEX(Products!$E$2:$E$49,MATCH(C386,Products!$A$2:$A$49,0)))</f>
        <v>0</v>
      </c>
    </row>
    <row r="387" customFormat="false" ht="15" hidden="false" customHeight="false" outlineLevel="0" collapsed="false">
      <c r="A387" s="36" t="n">
        <v>46188</v>
      </c>
      <c r="B387" s="24" t="s">
        <v>61</v>
      </c>
      <c r="C387" s="24" t="s">
        <v>145</v>
      </c>
      <c r="D387" s="33" t="n">
        <v>89</v>
      </c>
      <c r="E387" s="24" t="n">
        <v>0</v>
      </c>
      <c r="F387" s="37" t="n">
        <f aca="false">DATE(YEAR(A387),MONTH(A387),1)</f>
        <v>46174</v>
      </c>
      <c r="G387" s="24" t="str">
        <f aca="false">INDEX(Products!$C$2:$C$49,MATCH(C387,Products!$A$2:$A$49,0))</f>
        <v>Dairy &amp; Eggs</v>
      </c>
      <c r="H387" s="33" t="n">
        <f aca="false">D387*INDEX(Products!$E$2:$E$49,MATCH(C387,Products!$A$2:$A$49,0))</f>
        <v>12460</v>
      </c>
      <c r="I387" s="33" t="n">
        <f aca="false">D387*INDEX(Products!$D$2:$D$49,MATCH(C387,Products!$A$2:$A$49,0))*(1+INDEX(Assumptions!$B$16:$B$20,MATCH(B387,Assumptions!$A$16:$A$20,0)))</f>
        <v>10067.68</v>
      </c>
      <c r="J387" s="33" t="n">
        <f aca="false">H387-I387</f>
        <v>2392.32</v>
      </c>
      <c r="K387" s="33" t="n">
        <f aca="false">IF(OR(E387=0,E387&gt;=7),0,D387/(7-E387)*E387*INDEX(Products!$E$2:$E$49,MATCH(C387,Products!$A$2:$A$49,0)))</f>
        <v>0</v>
      </c>
    </row>
    <row r="388" customFormat="false" ht="15" hidden="false" customHeight="false" outlineLevel="0" collapsed="false">
      <c r="A388" s="36" t="n">
        <v>46195</v>
      </c>
      <c r="B388" s="24" t="s">
        <v>61</v>
      </c>
      <c r="C388" s="24" t="s">
        <v>145</v>
      </c>
      <c r="D388" s="33" t="n">
        <v>88</v>
      </c>
      <c r="E388" s="24" t="n">
        <v>0</v>
      </c>
      <c r="F388" s="37" t="n">
        <f aca="false">DATE(YEAR(A388),MONTH(A388),1)</f>
        <v>46174</v>
      </c>
      <c r="G388" s="24" t="str">
        <f aca="false">INDEX(Products!$C$2:$C$49,MATCH(C388,Products!$A$2:$A$49,0))</f>
        <v>Dairy &amp; Eggs</v>
      </c>
      <c r="H388" s="33" t="n">
        <f aca="false">D388*INDEX(Products!$E$2:$E$49,MATCH(C388,Products!$A$2:$A$49,0))</f>
        <v>12320</v>
      </c>
      <c r="I388" s="33" t="n">
        <f aca="false">D388*INDEX(Products!$D$2:$D$49,MATCH(C388,Products!$A$2:$A$49,0))*(1+INDEX(Assumptions!$B$16:$B$20,MATCH(B388,Assumptions!$A$16:$A$20,0)))</f>
        <v>9954.56</v>
      </c>
      <c r="J388" s="33" t="n">
        <f aca="false">H388-I388</f>
        <v>2365.44</v>
      </c>
      <c r="K388" s="33" t="n">
        <f aca="false">IF(OR(E388=0,E388&gt;=7),0,D388/(7-E388)*E388*INDEX(Products!$E$2:$E$49,MATCH(C388,Products!$A$2:$A$49,0)))</f>
        <v>0</v>
      </c>
    </row>
    <row r="389" customFormat="false" ht="15" hidden="false" customHeight="false" outlineLevel="0" collapsed="false">
      <c r="A389" s="36" t="n">
        <v>46202</v>
      </c>
      <c r="B389" s="24" t="s">
        <v>61</v>
      </c>
      <c r="C389" s="24" t="s">
        <v>145</v>
      </c>
      <c r="D389" s="33" t="n">
        <v>81</v>
      </c>
      <c r="E389" s="24" t="n">
        <v>0</v>
      </c>
      <c r="F389" s="37" t="n">
        <f aca="false">DATE(YEAR(A389),MONTH(A389),1)</f>
        <v>46174</v>
      </c>
      <c r="G389" s="24" t="str">
        <f aca="false">INDEX(Products!$C$2:$C$49,MATCH(C389,Products!$A$2:$A$49,0))</f>
        <v>Dairy &amp; Eggs</v>
      </c>
      <c r="H389" s="33" t="n">
        <f aca="false">D389*INDEX(Products!$E$2:$E$49,MATCH(C389,Products!$A$2:$A$49,0))</f>
        <v>11340</v>
      </c>
      <c r="I389" s="33" t="n">
        <f aca="false">D389*INDEX(Products!$D$2:$D$49,MATCH(C389,Products!$A$2:$A$49,0))*(1+INDEX(Assumptions!$B$16:$B$20,MATCH(B389,Assumptions!$A$16:$A$20,0)))</f>
        <v>9162.72</v>
      </c>
      <c r="J389" s="33" t="n">
        <f aca="false">H389-I389</f>
        <v>2177.28</v>
      </c>
      <c r="K389" s="33" t="n">
        <f aca="false">IF(OR(E389=0,E389&gt;=7),0,D389/(7-E389)*E389*INDEX(Products!$E$2:$E$49,MATCH(C389,Products!$A$2:$A$49,0)))</f>
        <v>0</v>
      </c>
    </row>
    <row r="390" customFormat="false" ht="15" hidden="false" customHeight="false" outlineLevel="0" collapsed="false">
      <c r="A390" s="36" t="n">
        <v>46209</v>
      </c>
      <c r="B390" s="24" t="s">
        <v>61</v>
      </c>
      <c r="C390" s="24" t="s">
        <v>145</v>
      </c>
      <c r="D390" s="33" t="n">
        <v>67</v>
      </c>
      <c r="E390" s="24" t="n">
        <v>0</v>
      </c>
      <c r="F390" s="37" t="n">
        <f aca="false">DATE(YEAR(A390),MONTH(A390),1)</f>
        <v>46204</v>
      </c>
      <c r="G390" s="24" t="str">
        <f aca="false">INDEX(Products!$C$2:$C$49,MATCH(C390,Products!$A$2:$A$49,0))</f>
        <v>Dairy &amp; Eggs</v>
      </c>
      <c r="H390" s="33" t="n">
        <f aca="false">D390*INDEX(Products!$E$2:$E$49,MATCH(C390,Products!$A$2:$A$49,0))</f>
        <v>9380</v>
      </c>
      <c r="I390" s="33" t="n">
        <f aca="false">D390*INDEX(Products!$D$2:$D$49,MATCH(C390,Products!$A$2:$A$49,0))*(1+INDEX(Assumptions!$B$16:$B$20,MATCH(B390,Assumptions!$A$16:$A$20,0)))</f>
        <v>7579.04</v>
      </c>
      <c r="J390" s="33" t="n">
        <f aca="false">H390-I390</f>
        <v>1800.96</v>
      </c>
      <c r="K390" s="33" t="n">
        <f aca="false">IF(OR(E390=0,E390&gt;=7),0,D390/(7-E390)*E390*INDEX(Products!$E$2:$E$49,MATCH(C390,Products!$A$2:$A$49,0)))</f>
        <v>0</v>
      </c>
    </row>
    <row r="391" customFormat="false" ht="15" hidden="false" customHeight="false" outlineLevel="0" collapsed="false">
      <c r="A391" s="36" t="n">
        <v>46216</v>
      </c>
      <c r="B391" s="24" t="s">
        <v>61</v>
      </c>
      <c r="C391" s="24" t="s">
        <v>145</v>
      </c>
      <c r="D391" s="33" t="n">
        <v>75</v>
      </c>
      <c r="E391" s="24" t="n">
        <v>0</v>
      </c>
      <c r="F391" s="37" t="n">
        <f aca="false">DATE(YEAR(A391),MONTH(A391),1)</f>
        <v>46204</v>
      </c>
      <c r="G391" s="24" t="str">
        <f aca="false">INDEX(Products!$C$2:$C$49,MATCH(C391,Products!$A$2:$A$49,0))</f>
        <v>Dairy &amp; Eggs</v>
      </c>
      <c r="H391" s="33" t="n">
        <f aca="false">D391*INDEX(Products!$E$2:$E$49,MATCH(C391,Products!$A$2:$A$49,0))</f>
        <v>10500</v>
      </c>
      <c r="I391" s="33" t="n">
        <f aca="false">D391*INDEX(Products!$D$2:$D$49,MATCH(C391,Products!$A$2:$A$49,0))*(1+INDEX(Assumptions!$B$16:$B$20,MATCH(B391,Assumptions!$A$16:$A$20,0)))</f>
        <v>8484</v>
      </c>
      <c r="J391" s="33" t="n">
        <f aca="false">H391-I391</f>
        <v>2016</v>
      </c>
      <c r="K391" s="33" t="n">
        <f aca="false">IF(OR(E391=0,E391&gt;=7),0,D391/(7-E391)*E391*INDEX(Products!$E$2:$E$49,MATCH(C391,Products!$A$2:$A$49,0)))</f>
        <v>0</v>
      </c>
    </row>
    <row r="392" customFormat="false" ht="15" hidden="false" customHeight="false" outlineLevel="0" collapsed="false">
      <c r="A392" s="36" t="n">
        <v>46223</v>
      </c>
      <c r="B392" s="24" t="s">
        <v>61</v>
      </c>
      <c r="C392" s="24" t="s">
        <v>145</v>
      </c>
      <c r="D392" s="33" t="n">
        <v>79</v>
      </c>
      <c r="E392" s="24" t="n">
        <v>0</v>
      </c>
      <c r="F392" s="37" t="n">
        <f aca="false">DATE(YEAR(A392),MONTH(A392),1)</f>
        <v>46204</v>
      </c>
      <c r="G392" s="24" t="str">
        <f aca="false">INDEX(Products!$C$2:$C$49,MATCH(C392,Products!$A$2:$A$49,0))</f>
        <v>Dairy &amp; Eggs</v>
      </c>
      <c r="H392" s="33" t="n">
        <f aca="false">D392*INDEX(Products!$E$2:$E$49,MATCH(C392,Products!$A$2:$A$49,0))</f>
        <v>11060</v>
      </c>
      <c r="I392" s="33" t="n">
        <f aca="false">D392*INDEX(Products!$D$2:$D$49,MATCH(C392,Products!$A$2:$A$49,0))*(1+INDEX(Assumptions!$B$16:$B$20,MATCH(B392,Assumptions!$A$16:$A$20,0)))</f>
        <v>8936.48</v>
      </c>
      <c r="J392" s="33" t="n">
        <f aca="false">H392-I392</f>
        <v>2123.52</v>
      </c>
      <c r="K392" s="33" t="n">
        <f aca="false">IF(OR(E392=0,E392&gt;=7),0,D392/(7-E392)*E392*INDEX(Products!$E$2:$E$49,MATCH(C392,Products!$A$2:$A$49,0)))</f>
        <v>0</v>
      </c>
    </row>
    <row r="393" customFormat="false" ht="15" hidden="false" customHeight="false" outlineLevel="0" collapsed="false">
      <c r="A393" s="36" t="n">
        <v>46230</v>
      </c>
      <c r="B393" s="24" t="s">
        <v>61</v>
      </c>
      <c r="C393" s="24" t="s">
        <v>145</v>
      </c>
      <c r="D393" s="33" t="n">
        <v>96</v>
      </c>
      <c r="E393" s="24" t="n">
        <v>0</v>
      </c>
      <c r="F393" s="37" t="n">
        <f aca="false">DATE(YEAR(A393),MONTH(A393),1)</f>
        <v>46204</v>
      </c>
      <c r="G393" s="24" t="str">
        <f aca="false">INDEX(Products!$C$2:$C$49,MATCH(C393,Products!$A$2:$A$49,0))</f>
        <v>Dairy &amp; Eggs</v>
      </c>
      <c r="H393" s="33" t="n">
        <f aca="false">D393*INDEX(Products!$E$2:$E$49,MATCH(C393,Products!$A$2:$A$49,0))</f>
        <v>13440</v>
      </c>
      <c r="I393" s="33" t="n">
        <f aca="false">D393*INDEX(Products!$D$2:$D$49,MATCH(C393,Products!$A$2:$A$49,0))*(1+INDEX(Assumptions!$B$16:$B$20,MATCH(B393,Assumptions!$A$16:$A$20,0)))</f>
        <v>10859.52</v>
      </c>
      <c r="J393" s="33" t="n">
        <f aca="false">H393-I393</f>
        <v>2580.48</v>
      </c>
      <c r="K393" s="33" t="n">
        <f aca="false">IF(OR(E393=0,E393&gt;=7),0,D393/(7-E393)*E393*INDEX(Products!$E$2:$E$49,MATCH(C393,Products!$A$2:$A$49,0)))</f>
        <v>0</v>
      </c>
    </row>
    <row r="394" customFormat="false" ht="15" hidden="false" customHeight="false" outlineLevel="0" collapsed="false">
      <c r="A394" s="36" t="n">
        <v>46237</v>
      </c>
      <c r="B394" s="24" t="s">
        <v>61</v>
      </c>
      <c r="C394" s="24" t="s">
        <v>145</v>
      </c>
      <c r="D394" s="33" t="n">
        <v>83</v>
      </c>
      <c r="E394" s="24" t="n">
        <v>0</v>
      </c>
      <c r="F394" s="37" t="n">
        <f aca="false">DATE(YEAR(A394),MONTH(A394),1)</f>
        <v>46235</v>
      </c>
      <c r="G394" s="24" t="str">
        <f aca="false">INDEX(Products!$C$2:$C$49,MATCH(C394,Products!$A$2:$A$49,0))</f>
        <v>Dairy &amp; Eggs</v>
      </c>
      <c r="H394" s="33" t="n">
        <f aca="false">D394*INDEX(Products!$E$2:$E$49,MATCH(C394,Products!$A$2:$A$49,0))</f>
        <v>11620</v>
      </c>
      <c r="I394" s="33" t="n">
        <f aca="false">D394*INDEX(Products!$D$2:$D$49,MATCH(C394,Products!$A$2:$A$49,0))*(1+INDEX(Assumptions!$B$16:$B$20,MATCH(B394,Assumptions!$A$16:$A$20,0)))</f>
        <v>9388.96</v>
      </c>
      <c r="J394" s="33" t="n">
        <f aca="false">H394-I394</f>
        <v>2231.04</v>
      </c>
      <c r="K394" s="33" t="n">
        <f aca="false">IF(OR(E394=0,E394&gt;=7),0,D394/(7-E394)*E394*INDEX(Products!$E$2:$E$49,MATCH(C394,Products!$A$2:$A$49,0)))</f>
        <v>0</v>
      </c>
    </row>
    <row r="395" customFormat="false" ht="15" hidden="false" customHeight="false" outlineLevel="0" collapsed="false">
      <c r="A395" s="36" t="n">
        <v>46244</v>
      </c>
      <c r="B395" s="24" t="s">
        <v>61</v>
      </c>
      <c r="C395" s="24" t="s">
        <v>145</v>
      </c>
      <c r="D395" s="33" t="n">
        <v>76</v>
      </c>
      <c r="E395" s="24" t="n">
        <v>0</v>
      </c>
      <c r="F395" s="37" t="n">
        <f aca="false">DATE(YEAR(A395),MONTH(A395),1)</f>
        <v>46235</v>
      </c>
      <c r="G395" s="24" t="str">
        <f aca="false">INDEX(Products!$C$2:$C$49,MATCH(C395,Products!$A$2:$A$49,0))</f>
        <v>Dairy &amp; Eggs</v>
      </c>
      <c r="H395" s="33" t="n">
        <f aca="false">D395*INDEX(Products!$E$2:$E$49,MATCH(C395,Products!$A$2:$A$49,0))</f>
        <v>10640</v>
      </c>
      <c r="I395" s="33" t="n">
        <f aca="false">D395*INDEX(Products!$D$2:$D$49,MATCH(C395,Products!$A$2:$A$49,0))*(1+INDEX(Assumptions!$B$16:$B$20,MATCH(B395,Assumptions!$A$16:$A$20,0)))</f>
        <v>8597.12</v>
      </c>
      <c r="J395" s="33" t="n">
        <f aca="false">H395-I395</f>
        <v>2042.88</v>
      </c>
      <c r="K395" s="33" t="n">
        <f aca="false">IF(OR(E395=0,E395&gt;=7),0,D395/(7-E395)*E395*INDEX(Products!$E$2:$E$49,MATCH(C395,Products!$A$2:$A$49,0)))</f>
        <v>0</v>
      </c>
    </row>
    <row r="396" customFormat="false" ht="15" hidden="false" customHeight="false" outlineLevel="0" collapsed="false">
      <c r="A396" s="36" t="n">
        <v>46251</v>
      </c>
      <c r="B396" s="24" t="s">
        <v>61</v>
      </c>
      <c r="C396" s="24" t="s">
        <v>145</v>
      </c>
      <c r="D396" s="33" t="n">
        <v>70</v>
      </c>
      <c r="E396" s="24" t="n">
        <v>0</v>
      </c>
      <c r="F396" s="37" t="n">
        <f aca="false">DATE(YEAR(A396),MONTH(A396),1)</f>
        <v>46235</v>
      </c>
      <c r="G396" s="24" t="str">
        <f aca="false">INDEX(Products!$C$2:$C$49,MATCH(C396,Products!$A$2:$A$49,0))</f>
        <v>Dairy &amp; Eggs</v>
      </c>
      <c r="H396" s="33" t="n">
        <f aca="false">D396*INDEX(Products!$E$2:$E$49,MATCH(C396,Products!$A$2:$A$49,0))</f>
        <v>9800</v>
      </c>
      <c r="I396" s="33" t="n">
        <f aca="false">D396*INDEX(Products!$D$2:$D$49,MATCH(C396,Products!$A$2:$A$49,0))*(1+INDEX(Assumptions!$B$16:$B$20,MATCH(B396,Assumptions!$A$16:$A$20,0)))</f>
        <v>7918.4</v>
      </c>
      <c r="J396" s="33" t="n">
        <f aca="false">H396-I396</f>
        <v>1881.6</v>
      </c>
      <c r="K396" s="33" t="n">
        <f aca="false">IF(OR(E396=0,E396&gt;=7),0,D396/(7-E396)*E396*INDEX(Products!$E$2:$E$49,MATCH(C396,Products!$A$2:$A$49,0)))</f>
        <v>0</v>
      </c>
    </row>
    <row r="397" customFormat="false" ht="15" hidden="false" customHeight="false" outlineLevel="0" collapsed="false">
      <c r="A397" s="36" t="n">
        <v>46258</v>
      </c>
      <c r="B397" s="24" t="s">
        <v>61</v>
      </c>
      <c r="C397" s="24" t="s">
        <v>145</v>
      </c>
      <c r="D397" s="33" t="n">
        <v>85</v>
      </c>
      <c r="E397" s="24" t="n">
        <v>0</v>
      </c>
      <c r="F397" s="37" t="n">
        <f aca="false">DATE(YEAR(A397),MONTH(A397),1)</f>
        <v>46235</v>
      </c>
      <c r="G397" s="24" t="str">
        <f aca="false">INDEX(Products!$C$2:$C$49,MATCH(C397,Products!$A$2:$A$49,0))</f>
        <v>Dairy &amp; Eggs</v>
      </c>
      <c r="H397" s="33" t="n">
        <f aca="false">D397*INDEX(Products!$E$2:$E$49,MATCH(C397,Products!$A$2:$A$49,0))</f>
        <v>11900</v>
      </c>
      <c r="I397" s="33" t="n">
        <f aca="false">D397*INDEX(Products!$D$2:$D$49,MATCH(C397,Products!$A$2:$A$49,0))*(1+INDEX(Assumptions!$B$16:$B$20,MATCH(B397,Assumptions!$A$16:$A$20,0)))</f>
        <v>9615.2</v>
      </c>
      <c r="J397" s="33" t="n">
        <f aca="false">H397-I397</f>
        <v>2284.8</v>
      </c>
      <c r="K397" s="33" t="n">
        <f aca="false">IF(OR(E397=0,E397&gt;=7),0,D397/(7-E397)*E397*INDEX(Products!$E$2:$E$49,MATCH(C397,Products!$A$2:$A$49,0)))</f>
        <v>0</v>
      </c>
    </row>
    <row r="398" customFormat="false" ht="15" hidden="false" customHeight="false" outlineLevel="0" collapsed="false">
      <c r="A398" s="36" t="n">
        <v>46265</v>
      </c>
      <c r="B398" s="24" t="s">
        <v>61</v>
      </c>
      <c r="C398" s="24" t="s">
        <v>145</v>
      </c>
      <c r="D398" s="33" t="n">
        <v>92</v>
      </c>
      <c r="E398" s="24" t="n">
        <v>0</v>
      </c>
      <c r="F398" s="37" t="n">
        <f aca="false">DATE(YEAR(A398),MONTH(A398),1)</f>
        <v>46235</v>
      </c>
      <c r="G398" s="24" t="str">
        <f aca="false">INDEX(Products!$C$2:$C$49,MATCH(C398,Products!$A$2:$A$49,0))</f>
        <v>Dairy &amp; Eggs</v>
      </c>
      <c r="H398" s="33" t="n">
        <f aca="false">D398*INDEX(Products!$E$2:$E$49,MATCH(C398,Products!$A$2:$A$49,0))</f>
        <v>12880</v>
      </c>
      <c r="I398" s="33" t="n">
        <f aca="false">D398*INDEX(Products!$D$2:$D$49,MATCH(C398,Products!$A$2:$A$49,0))*(1+INDEX(Assumptions!$B$16:$B$20,MATCH(B398,Assumptions!$A$16:$A$20,0)))</f>
        <v>10407.04</v>
      </c>
      <c r="J398" s="33" t="n">
        <f aca="false">H398-I398</f>
        <v>2472.96</v>
      </c>
      <c r="K398" s="33" t="n">
        <f aca="false">IF(OR(E398=0,E398&gt;=7),0,D398/(7-E398)*E398*INDEX(Products!$E$2:$E$49,MATCH(C398,Products!$A$2:$A$49,0)))</f>
        <v>0</v>
      </c>
    </row>
    <row r="399" customFormat="false" ht="15" hidden="false" customHeight="false" outlineLevel="0" collapsed="false">
      <c r="A399" s="36" t="n">
        <v>46272</v>
      </c>
      <c r="B399" s="24" t="s">
        <v>61</v>
      </c>
      <c r="C399" s="24" t="s">
        <v>145</v>
      </c>
      <c r="D399" s="33" t="n">
        <v>82</v>
      </c>
      <c r="E399" s="24" t="n">
        <v>0</v>
      </c>
      <c r="F399" s="37" t="n">
        <f aca="false">DATE(YEAR(A399),MONTH(A399),1)</f>
        <v>46266</v>
      </c>
      <c r="G399" s="24" t="str">
        <f aca="false">INDEX(Products!$C$2:$C$49,MATCH(C399,Products!$A$2:$A$49,0))</f>
        <v>Dairy &amp; Eggs</v>
      </c>
      <c r="H399" s="33" t="n">
        <f aca="false">D399*INDEX(Products!$E$2:$E$49,MATCH(C399,Products!$A$2:$A$49,0))</f>
        <v>11480</v>
      </c>
      <c r="I399" s="33" t="n">
        <f aca="false">D399*INDEX(Products!$D$2:$D$49,MATCH(C399,Products!$A$2:$A$49,0))*(1+INDEX(Assumptions!$B$16:$B$20,MATCH(B399,Assumptions!$A$16:$A$20,0)))</f>
        <v>9275.84</v>
      </c>
      <c r="J399" s="33" t="n">
        <f aca="false">H399-I399</f>
        <v>2204.16</v>
      </c>
      <c r="K399" s="33" t="n">
        <f aca="false">IF(OR(E399=0,E399&gt;=7),0,D399/(7-E399)*E399*INDEX(Products!$E$2:$E$49,MATCH(C399,Products!$A$2:$A$49,0)))</f>
        <v>0</v>
      </c>
    </row>
    <row r="400" customFormat="false" ht="15" hidden="false" customHeight="false" outlineLevel="0" collapsed="false">
      <c r="A400" s="36" t="n">
        <v>46279</v>
      </c>
      <c r="B400" s="24" t="s">
        <v>61</v>
      </c>
      <c r="C400" s="24" t="s">
        <v>145</v>
      </c>
      <c r="D400" s="33" t="n">
        <v>74</v>
      </c>
      <c r="E400" s="24" t="n">
        <v>0</v>
      </c>
      <c r="F400" s="37" t="n">
        <f aca="false">DATE(YEAR(A400),MONTH(A400),1)</f>
        <v>46266</v>
      </c>
      <c r="G400" s="24" t="str">
        <f aca="false">INDEX(Products!$C$2:$C$49,MATCH(C400,Products!$A$2:$A$49,0))</f>
        <v>Dairy &amp; Eggs</v>
      </c>
      <c r="H400" s="33" t="n">
        <f aca="false">D400*INDEX(Products!$E$2:$E$49,MATCH(C400,Products!$A$2:$A$49,0))</f>
        <v>10360</v>
      </c>
      <c r="I400" s="33" t="n">
        <f aca="false">D400*INDEX(Products!$D$2:$D$49,MATCH(C400,Products!$A$2:$A$49,0))*(1+INDEX(Assumptions!$B$16:$B$20,MATCH(B400,Assumptions!$A$16:$A$20,0)))</f>
        <v>8370.88</v>
      </c>
      <c r="J400" s="33" t="n">
        <f aca="false">H400-I400</f>
        <v>1989.12</v>
      </c>
      <c r="K400" s="33" t="n">
        <f aca="false">IF(OR(E400=0,E400&gt;=7),0,D400/(7-E400)*E400*INDEX(Products!$E$2:$E$49,MATCH(C400,Products!$A$2:$A$49,0)))</f>
        <v>0</v>
      </c>
    </row>
    <row r="401" customFormat="false" ht="15" hidden="false" customHeight="false" outlineLevel="0" collapsed="false">
      <c r="A401" s="36" t="n">
        <v>46286</v>
      </c>
      <c r="B401" s="24" t="s">
        <v>61</v>
      </c>
      <c r="C401" s="24" t="s">
        <v>145</v>
      </c>
      <c r="D401" s="33" t="n">
        <v>102</v>
      </c>
      <c r="E401" s="24" t="n">
        <v>0</v>
      </c>
      <c r="F401" s="37" t="n">
        <f aca="false">DATE(YEAR(A401),MONTH(A401),1)</f>
        <v>46266</v>
      </c>
      <c r="G401" s="24" t="str">
        <f aca="false">INDEX(Products!$C$2:$C$49,MATCH(C401,Products!$A$2:$A$49,0))</f>
        <v>Dairy &amp; Eggs</v>
      </c>
      <c r="H401" s="33" t="n">
        <f aca="false">D401*INDEX(Products!$E$2:$E$49,MATCH(C401,Products!$A$2:$A$49,0))</f>
        <v>14280</v>
      </c>
      <c r="I401" s="33" t="n">
        <f aca="false">D401*INDEX(Products!$D$2:$D$49,MATCH(C401,Products!$A$2:$A$49,0))*(1+INDEX(Assumptions!$B$16:$B$20,MATCH(B401,Assumptions!$A$16:$A$20,0)))</f>
        <v>11538.24</v>
      </c>
      <c r="J401" s="33" t="n">
        <f aca="false">H401-I401</f>
        <v>2741.76</v>
      </c>
      <c r="K401" s="33" t="n">
        <f aca="false">IF(OR(E401=0,E401&gt;=7),0,D401/(7-E401)*E401*INDEX(Products!$E$2:$E$49,MATCH(C401,Products!$A$2:$A$49,0)))</f>
        <v>0</v>
      </c>
    </row>
    <row r="402" customFormat="false" ht="15" hidden="false" customHeight="false" outlineLevel="0" collapsed="false">
      <c r="A402" s="36" t="n">
        <v>46118</v>
      </c>
      <c r="B402" s="24" t="s">
        <v>61</v>
      </c>
      <c r="C402" s="24" t="s">
        <v>147</v>
      </c>
      <c r="D402" s="33" t="n">
        <v>152</v>
      </c>
      <c r="E402" s="24" t="n">
        <v>0</v>
      </c>
      <c r="F402" s="37" t="n">
        <f aca="false">DATE(YEAR(A402),MONTH(A402),1)</f>
        <v>46113</v>
      </c>
      <c r="G402" s="24" t="str">
        <f aca="false">INDEX(Products!$C$2:$C$49,MATCH(C402,Products!$A$2:$A$49,0))</f>
        <v>Beverages</v>
      </c>
      <c r="H402" s="33" t="n">
        <f aca="false">D402*INDEX(Products!$E$2:$E$49,MATCH(C402,Products!$A$2:$A$49,0))</f>
        <v>10640</v>
      </c>
      <c r="I402" s="33" t="n">
        <f aca="false">D402*INDEX(Products!$D$2:$D$49,MATCH(C402,Products!$A$2:$A$49,0))*(1+INDEX(Assumptions!$B$16:$B$20,MATCH(B402,Assumptions!$A$16:$A$20,0)))</f>
        <v>8290.08</v>
      </c>
      <c r="J402" s="33" t="n">
        <f aca="false">H402-I402</f>
        <v>2349.92</v>
      </c>
      <c r="K402" s="33" t="n">
        <f aca="false">IF(OR(E402=0,E402&gt;=7),0,D402/(7-E402)*E402*INDEX(Products!$E$2:$E$49,MATCH(C402,Products!$A$2:$A$49,0)))</f>
        <v>0</v>
      </c>
    </row>
    <row r="403" customFormat="false" ht="15" hidden="false" customHeight="false" outlineLevel="0" collapsed="false">
      <c r="A403" s="36" t="n">
        <v>46125</v>
      </c>
      <c r="B403" s="24" t="s">
        <v>61</v>
      </c>
      <c r="C403" s="24" t="s">
        <v>147</v>
      </c>
      <c r="D403" s="33" t="n">
        <v>212</v>
      </c>
      <c r="E403" s="24" t="n">
        <v>0</v>
      </c>
      <c r="F403" s="37" t="n">
        <f aca="false">DATE(YEAR(A403),MONTH(A403),1)</f>
        <v>46113</v>
      </c>
      <c r="G403" s="24" t="str">
        <f aca="false">INDEX(Products!$C$2:$C$49,MATCH(C403,Products!$A$2:$A$49,0))</f>
        <v>Beverages</v>
      </c>
      <c r="H403" s="33" t="n">
        <f aca="false">D403*INDEX(Products!$E$2:$E$49,MATCH(C403,Products!$A$2:$A$49,0))</f>
        <v>14840</v>
      </c>
      <c r="I403" s="33" t="n">
        <f aca="false">D403*INDEX(Products!$D$2:$D$49,MATCH(C403,Products!$A$2:$A$49,0))*(1+INDEX(Assumptions!$B$16:$B$20,MATCH(B403,Assumptions!$A$16:$A$20,0)))</f>
        <v>11562.48</v>
      </c>
      <c r="J403" s="33" t="n">
        <f aca="false">H403-I403</f>
        <v>3277.52</v>
      </c>
      <c r="K403" s="33" t="n">
        <f aca="false">IF(OR(E403=0,E403&gt;=7),0,D403/(7-E403)*E403*INDEX(Products!$E$2:$E$49,MATCH(C403,Products!$A$2:$A$49,0)))</f>
        <v>0</v>
      </c>
    </row>
    <row r="404" customFormat="false" ht="15" hidden="false" customHeight="false" outlineLevel="0" collapsed="false">
      <c r="A404" s="36" t="n">
        <v>46132</v>
      </c>
      <c r="B404" s="24" t="s">
        <v>61</v>
      </c>
      <c r="C404" s="24" t="s">
        <v>147</v>
      </c>
      <c r="D404" s="33" t="n">
        <v>210</v>
      </c>
      <c r="E404" s="24" t="n">
        <v>0</v>
      </c>
      <c r="F404" s="37" t="n">
        <f aca="false">DATE(YEAR(A404),MONTH(A404),1)</f>
        <v>46113</v>
      </c>
      <c r="G404" s="24" t="str">
        <f aca="false">INDEX(Products!$C$2:$C$49,MATCH(C404,Products!$A$2:$A$49,0))</f>
        <v>Beverages</v>
      </c>
      <c r="H404" s="33" t="n">
        <f aca="false">D404*INDEX(Products!$E$2:$E$49,MATCH(C404,Products!$A$2:$A$49,0))</f>
        <v>14700</v>
      </c>
      <c r="I404" s="33" t="n">
        <f aca="false">D404*INDEX(Products!$D$2:$D$49,MATCH(C404,Products!$A$2:$A$49,0))*(1+INDEX(Assumptions!$B$16:$B$20,MATCH(B404,Assumptions!$A$16:$A$20,0)))</f>
        <v>11453.4</v>
      </c>
      <c r="J404" s="33" t="n">
        <f aca="false">H404-I404</f>
        <v>3246.6</v>
      </c>
      <c r="K404" s="33" t="n">
        <f aca="false">IF(OR(E404=0,E404&gt;=7),0,D404/(7-E404)*E404*INDEX(Products!$E$2:$E$49,MATCH(C404,Products!$A$2:$A$49,0)))</f>
        <v>0</v>
      </c>
    </row>
    <row r="405" customFormat="false" ht="15" hidden="false" customHeight="false" outlineLevel="0" collapsed="false">
      <c r="A405" s="36" t="n">
        <v>46139</v>
      </c>
      <c r="B405" s="24" t="s">
        <v>61</v>
      </c>
      <c r="C405" s="24" t="s">
        <v>147</v>
      </c>
      <c r="D405" s="33" t="n">
        <v>210</v>
      </c>
      <c r="E405" s="24" t="n">
        <v>0</v>
      </c>
      <c r="F405" s="37" t="n">
        <f aca="false">DATE(YEAR(A405),MONTH(A405),1)</f>
        <v>46113</v>
      </c>
      <c r="G405" s="24" t="str">
        <f aca="false">INDEX(Products!$C$2:$C$49,MATCH(C405,Products!$A$2:$A$49,0))</f>
        <v>Beverages</v>
      </c>
      <c r="H405" s="33" t="n">
        <f aca="false">D405*INDEX(Products!$E$2:$E$49,MATCH(C405,Products!$A$2:$A$49,0))</f>
        <v>14700</v>
      </c>
      <c r="I405" s="33" t="n">
        <f aca="false">D405*INDEX(Products!$D$2:$D$49,MATCH(C405,Products!$A$2:$A$49,0))*(1+INDEX(Assumptions!$B$16:$B$20,MATCH(B405,Assumptions!$A$16:$A$20,0)))</f>
        <v>11453.4</v>
      </c>
      <c r="J405" s="33" t="n">
        <f aca="false">H405-I405</f>
        <v>3246.6</v>
      </c>
      <c r="K405" s="33" t="n">
        <f aca="false">IF(OR(E405=0,E405&gt;=7),0,D405/(7-E405)*E405*INDEX(Products!$E$2:$E$49,MATCH(C405,Products!$A$2:$A$49,0)))</f>
        <v>0</v>
      </c>
    </row>
    <row r="406" customFormat="false" ht="15" hidden="false" customHeight="false" outlineLevel="0" collapsed="false">
      <c r="A406" s="36" t="n">
        <v>46146</v>
      </c>
      <c r="B406" s="24" t="s">
        <v>61</v>
      </c>
      <c r="C406" s="24" t="s">
        <v>147</v>
      </c>
      <c r="D406" s="33" t="n">
        <v>182</v>
      </c>
      <c r="E406" s="24" t="n">
        <v>0</v>
      </c>
      <c r="F406" s="37" t="n">
        <f aca="false">DATE(YEAR(A406),MONTH(A406),1)</f>
        <v>46143</v>
      </c>
      <c r="G406" s="24" t="str">
        <f aca="false">INDEX(Products!$C$2:$C$49,MATCH(C406,Products!$A$2:$A$49,0))</f>
        <v>Beverages</v>
      </c>
      <c r="H406" s="33" t="n">
        <f aca="false">D406*INDEX(Products!$E$2:$E$49,MATCH(C406,Products!$A$2:$A$49,0))</f>
        <v>12740</v>
      </c>
      <c r="I406" s="33" t="n">
        <f aca="false">D406*INDEX(Products!$D$2:$D$49,MATCH(C406,Products!$A$2:$A$49,0))*(1+INDEX(Assumptions!$B$16:$B$20,MATCH(B406,Assumptions!$A$16:$A$20,0)))</f>
        <v>9926.28</v>
      </c>
      <c r="J406" s="33" t="n">
        <f aca="false">H406-I406</f>
        <v>2813.72</v>
      </c>
      <c r="K406" s="33" t="n">
        <f aca="false">IF(OR(E406=0,E406&gt;=7),0,D406/(7-E406)*E406*INDEX(Products!$E$2:$E$49,MATCH(C406,Products!$A$2:$A$49,0)))</f>
        <v>0</v>
      </c>
    </row>
    <row r="407" customFormat="false" ht="15" hidden="false" customHeight="false" outlineLevel="0" collapsed="false">
      <c r="A407" s="36" t="n">
        <v>46153</v>
      </c>
      <c r="B407" s="24" t="s">
        <v>61</v>
      </c>
      <c r="C407" s="24" t="s">
        <v>147</v>
      </c>
      <c r="D407" s="33" t="n">
        <v>223</v>
      </c>
      <c r="E407" s="24" t="n">
        <v>0</v>
      </c>
      <c r="F407" s="37" t="n">
        <f aca="false">DATE(YEAR(A407),MONTH(A407),1)</f>
        <v>46143</v>
      </c>
      <c r="G407" s="24" t="str">
        <f aca="false">INDEX(Products!$C$2:$C$49,MATCH(C407,Products!$A$2:$A$49,0))</f>
        <v>Beverages</v>
      </c>
      <c r="H407" s="33" t="n">
        <f aca="false">D407*INDEX(Products!$E$2:$E$49,MATCH(C407,Products!$A$2:$A$49,0))</f>
        <v>15610</v>
      </c>
      <c r="I407" s="33" t="n">
        <f aca="false">D407*INDEX(Products!$D$2:$D$49,MATCH(C407,Products!$A$2:$A$49,0))*(1+INDEX(Assumptions!$B$16:$B$20,MATCH(B407,Assumptions!$A$16:$A$20,0)))</f>
        <v>12162.42</v>
      </c>
      <c r="J407" s="33" t="n">
        <f aca="false">H407-I407</f>
        <v>3447.58</v>
      </c>
      <c r="K407" s="33" t="n">
        <f aca="false">IF(OR(E407=0,E407&gt;=7),0,D407/(7-E407)*E407*INDEX(Products!$E$2:$E$49,MATCH(C407,Products!$A$2:$A$49,0)))</f>
        <v>0</v>
      </c>
    </row>
    <row r="408" customFormat="false" ht="15" hidden="false" customHeight="false" outlineLevel="0" collapsed="false">
      <c r="A408" s="36" t="n">
        <v>46160</v>
      </c>
      <c r="B408" s="24" t="s">
        <v>61</v>
      </c>
      <c r="C408" s="24" t="s">
        <v>147</v>
      </c>
      <c r="D408" s="33" t="n">
        <v>219</v>
      </c>
      <c r="E408" s="24" t="n">
        <v>0</v>
      </c>
      <c r="F408" s="37" t="n">
        <f aca="false">DATE(YEAR(A408),MONTH(A408),1)</f>
        <v>46143</v>
      </c>
      <c r="G408" s="24" t="str">
        <f aca="false">INDEX(Products!$C$2:$C$49,MATCH(C408,Products!$A$2:$A$49,0))</f>
        <v>Beverages</v>
      </c>
      <c r="H408" s="33" t="n">
        <f aca="false">D408*INDEX(Products!$E$2:$E$49,MATCH(C408,Products!$A$2:$A$49,0))</f>
        <v>15330</v>
      </c>
      <c r="I408" s="33" t="n">
        <f aca="false">D408*INDEX(Products!$D$2:$D$49,MATCH(C408,Products!$A$2:$A$49,0))*(1+INDEX(Assumptions!$B$16:$B$20,MATCH(B408,Assumptions!$A$16:$A$20,0)))</f>
        <v>11944.26</v>
      </c>
      <c r="J408" s="33" t="n">
        <f aca="false">H408-I408</f>
        <v>3385.74</v>
      </c>
      <c r="K408" s="33" t="n">
        <f aca="false">IF(OR(E408=0,E408&gt;=7),0,D408/(7-E408)*E408*INDEX(Products!$E$2:$E$49,MATCH(C408,Products!$A$2:$A$49,0)))</f>
        <v>0</v>
      </c>
    </row>
    <row r="409" customFormat="false" ht="15" hidden="false" customHeight="false" outlineLevel="0" collapsed="false">
      <c r="A409" s="36" t="n">
        <v>46167</v>
      </c>
      <c r="B409" s="24" t="s">
        <v>61</v>
      </c>
      <c r="C409" s="24" t="s">
        <v>147</v>
      </c>
      <c r="D409" s="33" t="n">
        <v>223</v>
      </c>
      <c r="E409" s="24" t="n">
        <v>0</v>
      </c>
      <c r="F409" s="37" t="n">
        <f aca="false">DATE(YEAR(A409),MONTH(A409),1)</f>
        <v>46143</v>
      </c>
      <c r="G409" s="24" t="str">
        <f aca="false">INDEX(Products!$C$2:$C$49,MATCH(C409,Products!$A$2:$A$49,0))</f>
        <v>Beverages</v>
      </c>
      <c r="H409" s="33" t="n">
        <f aca="false">D409*INDEX(Products!$E$2:$E$49,MATCH(C409,Products!$A$2:$A$49,0))</f>
        <v>15610</v>
      </c>
      <c r="I409" s="33" t="n">
        <f aca="false">D409*INDEX(Products!$D$2:$D$49,MATCH(C409,Products!$A$2:$A$49,0))*(1+INDEX(Assumptions!$B$16:$B$20,MATCH(B409,Assumptions!$A$16:$A$20,0)))</f>
        <v>12162.42</v>
      </c>
      <c r="J409" s="33" t="n">
        <f aca="false">H409-I409</f>
        <v>3447.58</v>
      </c>
      <c r="K409" s="33" t="n">
        <f aca="false">IF(OR(E409=0,E409&gt;=7),0,D409/(7-E409)*E409*INDEX(Products!$E$2:$E$49,MATCH(C409,Products!$A$2:$A$49,0)))</f>
        <v>0</v>
      </c>
    </row>
    <row r="410" customFormat="false" ht="15" hidden="false" customHeight="false" outlineLevel="0" collapsed="false">
      <c r="A410" s="36" t="n">
        <v>46174</v>
      </c>
      <c r="B410" s="24" t="s">
        <v>61</v>
      </c>
      <c r="C410" s="24" t="s">
        <v>147</v>
      </c>
      <c r="D410" s="33" t="n">
        <v>221</v>
      </c>
      <c r="E410" s="24" t="n">
        <v>0</v>
      </c>
      <c r="F410" s="37" t="n">
        <f aca="false">DATE(YEAR(A410),MONTH(A410),1)</f>
        <v>46174</v>
      </c>
      <c r="G410" s="24" t="str">
        <f aca="false">INDEX(Products!$C$2:$C$49,MATCH(C410,Products!$A$2:$A$49,0))</f>
        <v>Beverages</v>
      </c>
      <c r="H410" s="33" t="n">
        <f aca="false">D410*INDEX(Products!$E$2:$E$49,MATCH(C410,Products!$A$2:$A$49,0))</f>
        <v>15470</v>
      </c>
      <c r="I410" s="33" t="n">
        <f aca="false">D410*INDEX(Products!$D$2:$D$49,MATCH(C410,Products!$A$2:$A$49,0))*(1+INDEX(Assumptions!$B$16:$B$20,MATCH(B410,Assumptions!$A$16:$A$20,0)))</f>
        <v>12053.34</v>
      </c>
      <c r="J410" s="33" t="n">
        <f aca="false">H410-I410</f>
        <v>3416.66</v>
      </c>
      <c r="K410" s="33" t="n">
        <f aca="false">IF(OR(E410=0,E410&gt;=7),0,D410/(7-E410)*E410*INDEX(Products!$E$2:$E$49,MATCH(C410,Products!$A$2:$A$49,0)))</f>
        <v>0</v>
      </c>
    </row>
    <row r="411" customFormat="false" ht="15" hidden="false" customHeight="false" outlineLevel="0" collapsed="false">
      <c r="A411" s="36" t="n">
        <v>46181</v>
      </c>
      <c r="B411" s="24" t="s">
        <v>61</v>
      </c>
      <c r="C411" s="24" t="s">
        <v>147</v>
      </c>
      <c r="D411" s="33" t="n">
        <v>224</v>
      </c>
      <c r="E411" s="24" t="n">
        <v>0</v>
      </c>
      <c r="F411" s="37" t="n">
        <f aca="false">DATE(YEAR(A411),MONTH(A411),1)</f>
        <v>46174</v>
      </c>
      <c r="G411" s="24" t="str">
        <f aca="false">INDEX(Products!$C$2:$C$49,MATCH(C411,Products!$A$2:$A$49,0))</f>
        <v>Beverages</v>
      </c>
      <c r="H411" s="33" t="n">
        <f aca="false">D411*INDEX(Products!$E$2:$E$49,MATCH(C411,Products!$A$2:$A$49,0))</f>
        <v>15680</v>
      </c>
      <c r="I411" s="33" t="n">
        <f aca="false">D411*INDEX(Products!$D$2:$D$49,MATCH(C411,Products!$A$2:$A$49,0))*(1+INDEX(Assumptions!$B$16:$B$20,MATCH(B411,Assumptions!$A$16:$A$20,0)))</f>
        <v>12216.96</v>
      </c>
      <c r="J411" s="33" t="n">
        <f aca="false">H411-I411</f>
        <v>3463.04</v>
      </c>
      <c r="K411" s="33" t="n">
        <f aca="false">IF(OR(E411=0,E411&gt;=7),0,D411/(7-E411)*E411*INDEX(Products!$E$2:$E$49,MATCH(C411,Products!$A$2:$A$49,0)))</f>
        <v>0</v>
      </c>
    </row>
    <row r="412" customFormat="false" ht="15" hidden="false" customHeight="false" outlineLevel="0" collapsed="false">
      <c r="A412" s="36" t="n">
        <v>46188</v>
      </c>
      <c r="B412" s="24" t="s">
        <v>61</v>
      </c>
      <c r="C412" s="24" t="s">
        <v>147</v>
      </c>
      <c r="D412" s="33" t="n">
        <v>213</v>
      </c>
      <c r="E412" s="24" t="n">
        <v>0</v>
      </c>
      <c r="F412" s="37" t="n">
        <f aca="false">DATE(YEAR(A412),MONTH(A412),1)</f>
        <v>46174</v>
      </c>
      <c r="G412" s="24" t="str">
        <f aca="false">INDEX(Products!$C$2:$C$49,MATCH(C412,Products!$A$2:$A$49,0))</f>
        <v>Beverages</v>
      </c>
      <c r="H412" s="33" t="n">
        <f aca="false">D412*INDEX(Products!$E$2:$E$49,MATCH(C412,Products!$A$2:$A$49,0))</f>
        <v>14910</v>
      </c>
      <c r="I412" s="33" t="n">
        <f aca="false">D412*INDEX(Products!$D$2:$D$49,MATCH(C412,Products!$A$2:$A$49,0))*(1+INDEX(Assumptions!$B$16:$B$20,MATCH(B412,Assumptions!$A$16:$A$20,0)))</f>
        <v>11617.02</v>
      </c>
      <c r="J412" s="33" t="n">
        <f aca="false">H412-I412</f>
        <v>3292.98</v>
      </c>
      <c r="K412" s="33" t="n">
        <f aca="false">IF(OR(E412=0,E412&gt;=7),0,D412/(7-E412)*E412*INDEX(Products!$E$2:$E$49,MATCH(C412,Products!$A$2:$A$49,0)))</f>
        <v>0</v>
      </c>
    </row>
    <row r="413" customFormat="false" ht="15" hidden="false" customHeight="false" outlineLevel="0" collapsed="false">
      <c r="A413" s="36" t="n">
        <v>46195</v>
      </c>
      <c r="B413" s="24" t="s">
        <v>61</v>
      </c>
      <c r="C413" s="24" t="s">
        <v>147</v>
      </c>
      <c r="D413" s="33" t="n">
        <v>246</v>
      </c>
      <c r="E413" s="24" t="n">
        <v>0</v>
      </c>
      <c r="F413" s="37" t="n">
        <f aca="false">DATE(YEAR(A413),MONTH(A413),1)</f>
        <v>46174</v>
      </c>
      <c r="G413" s="24" t="str">
        <f aca="false">INDEX(Products!$C$2:$C$49,MATCH(C413,Products!$A$2:$A$49,0))</f>
        <v>Beverages</v>
      </c>
      <c r="H413" s="33" t="n">
        <f aca="false">D413*INDEX(Products!$E$2:$E$49,MATCH(C413,Products!$A$2:$A$49,0))</f>
        <v>17220</v>
      </c>
      <c r="I413" s="33" t="n">
        <f aca="false">D413*INDEX(Products!$D$2:$D$49,MATCH(C413,Products!$A$2:$A$49,0))*(1+INDEX(Assumptions!$B$16:$B$20,MATCH(B413,Assumptions!$A$16:$A$20,0)))</f>
        <v>13416.84</v>
      </c>
      <c r="J413" s="33" t="n">
        <f aca="false">H413-I413</f>
        <v>3803.16</v>
      </c>
      <c r="K413" s="33" t="n">
        <f aca="false">IF(OR(E413=0,E413&gt;=7),0,D413/(7-E413)*E413*INDEX(Products!$E$2:$E$49,MATCH(C413,Products!$A$2:$A$49,0)))</f>
        <v>0</v>
      </c>
    </row>
    <row r="414" customFormat="false" ht="15" hidden="false" customHeight="false" outlineLevel="0" collapsed="false">
      <c r="A414" s="36" t="n">
        <v>46202</v>
      </c>
      <c r="B414" s="24" t="s">
        <v>61</v>
      </c>
      <c r="C414" s="24" t="s">
        <v>147</v>
      </c>
      <c r="D414" s="33" t="n">
        <v>242</v>
      </c>
      <c r="E414" s="24" t="n">
        <v>0</v>
      </c>
      <c r="F414" s="37" t="n">
        <f aca="false">DATE(YEAR(A414),MONTH(A414),1)</f>
        <v>46174</v>
      </c>
      <c r="G414" s="24" t="str">
        <f aca="false">INDEX(Products!$C$2:$C$49,MATCH(C414,Products!$A$2:$A$49,0))</f>
        <v>Beverages</v>
      </c>
      <c r="H414" s="33" t="n">
        <f aca="false">D414*INDEX(Products!$E$2:$E$49,MATCH(C414,Products!$A$2:$A$49,0))</f>
        <v>16940</v>
      </c>
      <c r="I414" s="33" t="n">
        <f aca="false">D414*INDEX(Products!$D$2:$D$49,MATCH(C414,Products!$A$2:$A$49,0))*(1+INDEX(Assumptions!$B$16:$B$20,MATCH(B414,Assumptions!$A$16:$A$20,0)))</f>
        <v>13198.68</v>
      </c>
      <c r="J414" s="33" t="n">
        <f aca="false">H414-I414</f>
        <v>3741.32</v>
      </c>
      <c r="K414" s="33" t="n">
        <f aca="false">IF(OR(E414=0,E414&gt;=7),0,D414/(7-E414)*E414*INDEX(Products!$E$2:$E$49,MATCH(C414,Products!$A$2:$A$49,0)))</f>
        <v>0</v>
      </c>
    </row>
    <row r="415" customFormat="false" ht="15" hidden="false" customHeight="false" outlineLevel="0" collapsed="false">
      <c r="A415" s="36" t="n">
        <v>46209</v>
      </c>
      <c r="B415" s="24" t="s">
        <v>61</v>
      </c>
      <c r="C415" s="24" t="s">
        <v>147</v>
      </c>
      <c r="D415" s="33" t="n">
        <v>260</v>
      </c>
      <c r="E415" s="24" t="n">
        <v>0</v>
      </c>
      <c r="F415" s="37" t="n">
        <f aca="false">DATE(YEAR(A415),MONTH(A415),1)</f>
        <v>46204</v>
      </c>
      <c r="G415" s="24" t="str">
        <f aca="false">INDEX(Products!$C$2:$C$49,MATCH(C415,Products!$A$2:$A$49,0))</f>
        <v>Beverages</v>
      </c>
      <c r="H415" s="33" t="n">
        <f aca="false">D415*INDEX(Products!$E$2:$E$49,MATCH(C415,Products!$A$2:$A$49,0))</f>
        <v>18200</v>
      </c>
      <c r="I415" s="33" t="n">
        <f aca="false">D415*INDEX(Products!$D$2:$D$49,MATCH(C415,Products!$A$2:$A$49,0))*(1+INDEX(Assumptions!$B$16:$B$20,MATCH(B415,Assumptions!$A$16:$A$20,0)))</f>
        <v>14180.4</v>
      </c>
      <c r="J415" s="33" t="n">
        <f aca="false">H415-I415</f>
        <v>4019.6</v>
      </c>
      <c r="K415" s="33" t="n">
        <f aca="false">IF(OR(E415=0,E415&gt;=7),0,D415/(7-E415)*E415*INDEX(Products!$E$2:$E$49,MATCH(C415,Products!$A$2:$A$49,0)))</f>
        <v>0</v>
      </c>
    </row>
    <row r="416" customFormat="false" ht="15" hidden="false" customHeight="false" outlineLevel="0" collapsed="false">
      <c r="A416" s="36" t="n">
        <v>46216</v>
      </c>
      <c r="B416" s="24" t="s">
        <v>61</v>
      </c>
      <c r="C416" s="24" t="s">
        <v>147</v>
      </c>
      <c r="D416" s="33" t="n">
        <v>191</v>
      </c>
      <c r="E416" s="24" t="n">
        <v>0</v>
      </c>
      <c r="F416" s="37" t="n">
        <f aca="false">DATE(YEAR(A416),MONTH(A416),1)</f>
        <v>46204</v>
      </c>
      <c r="G416" s="24" t="str">
        <f aca="false">INDEX(Products!$C$2:$C$49,MATCH(C416,Products!$A$2:$A$49,0))</f>
        <v>Beverages</v>
      </c>
      <c r="H416" s="33" t="n">
        <f aca="false">D416*INDEX(Products!$E$2:$E$49,MATCH(C416,Products!$A$2:$A$49,0))</f>
        <v>13370</v>
      </c>
      <c r="I416" s="33" t="n">
        <f aca="false">D416*INDEX(Products!$D$2:$D$49,MATCH(C416,Products!$A$2:$A$49,0))*(1+INDEX(Assumptions!$B$16:$B$20,MATCH(B416,Assumptions!$A$16:$A$20,0)))</f>
        <v>10417.14</v>
      </c>
      <c r="J416" s="33" t="n">
        <f aca="false">H416-I416</f>
        <v>2952.86</v>
      </c>
      <c r="K416" s="33" t="n">
        <f aca="false">IF(OR(E416=0,E416&gt;=7),0,D416/(7-E416)*E416*INDEX(Products!$E$2:$E$49,MATCH(C416,Products!$A$2:$A$49,0)))</f>
        <v>0</v>
      </c>
    </row>
    <row r="417" customFormat="false" ht="15" hidden="false" customHeight="false" outlineLevel="0" collapsed="false">
      <c r="A417" s="36" t="n">
        <v>46223</v>
      </c>
      <c r="B417" s="24" t="s">
        <v>61</v>
      </c>
      <c r="C417" s="24" t="s">
        <v>147</v>
      </c>
      <c r="D417" s="33" t="n">
        <v>168</v>
      </c>
      <c r="E417" s="24" t="n">
        <v>2</v>
      </c>
      <c r="F417" s="37" t="n">
        <f aca="false">DATE(YEAR(A417),MONTH(A417),1)</f>
        <v>46204</v>
      </c>
      <c r="G417" s="24" t="str">
        <f aca="false">INDEX(Products!$C$2:$C$49,MATCH(C417,Products!$A$2:$A$49,0))</f>
        <v>Beverages</v>
      </c>
      <c r="H417" s="33" t="n">
        <f aca="false">D417*INDEX(Products!$E$2:$E$49,MATCH(C417,Products!$A$2:$A$49,0))</f>
        <v>11760</v>
      </c>
      <c r="I417" s="33" t="n">
        <f aca="false">D417*INDEX(Products!$D$2:$D$49,MATCH(C417,Products!$A$2:$A$49,0))*(1+INDEX(Assumptions!$B$16:$B$20,MATCH(B417,Assumptions!$A$16:$A$20,0)))</f>
        <v>9162.72</v>
      </c>
      <c r="J417" s="33" t="n">
        <f aca="false">H417-I417</f>
        <v>2597.28</v>
      </c>
      <c r="K417" s="33" t="n">
        <f aca="false">IF(OR(E417=0,E417&gt;=7),0,D417/(7-E417)*E417*INDEX(Products!$E$2:$E$49,MATCH(C417,Products!$A$2:$A$49,0)))</f>
        <v>4704</v>
      </c>
    </row>
    <row r="418" customFormat="false" ht="15" hidden="false" customHeight="false" outlineLevel="0" collapsed="false">
      <c r="A418" s="36" t="n">
        <v>46230</v>
      </c>
      <c r="B418" s="24" t="s">
        <v>61</v>
      </c>
      <c r="C418" s="24" t="s">
        <v>147</v>
      </c>
      <c r="D418" s="33" t="n">
        <v>256</v>
      </c>
      <c r="E418" s="24" t="n">
        <v>0</v>
      </c>
      <c r="F418" s="37" t="n">
        <f aca="false">DATE(YEAR(A418),MONTH(A418),1)</f>
        <v>46204</v>
      </c>
      <c r="G418" s="24" t="str">
        <f aca="false">INDEX(Products!$C$2:$C$49,MATCH(C418,Products!$A$2:$A$49,0))</f>
        <v>Beverages</v>
      </c>
      <c r="H418" s="33" t="n">
        <f aca="false">D418*INDEX(Products!$E$2:$E$49,MATCH(C418,Products!$A$2:$A$49,0))</f>
        <v>17920</v>
      </c>
      <c r="I418" s="33" t="n">
        <f aca="false">D418*INDEX(Products!$D$2:$D$49,MATCH(C418,Products!$A$2:$A$49,0))*(1+INDEX(Assumptions!$B$16:$B$20,MATCH(B418,Assumptions!$A$16:$A$20,0)))</f>
        <v>13962.24</v>
      </c>
      <c r="J418" s="33" t="n">
        <f aca="false">H418-I418</f>
        <v>3957.76</v>
      </c>
      <c r="K418" s="33" t="n">
        <f aca="false">IF(OR(E418=0,E418&gt;=7),0,D418/(7-E418)*E418*INDEX(Products!$E$2:$E$49,MATCH(C418,Products!$A$2:$A$49,0)))</f>
        <v>0</v>
      </c>
    </row>
    <row r="419" customFormat="false" ht="15" hidden="false" customHeight="false" outlineLevel="0" collapsed="false">
      <c r="A419" s="36" t="n">
        <v>46237</v>
      </c>
      <c r="B419" s="24" t="s">
        <v>61</v>
      </c>
      <c r="C419" s="24" t="s">
        <v>147</v>
      </c>
      <c r="D419" s="33" t="n">
        <v>431</v>
      </c>
      <c r="E419" s="24" t="n">
        <v>0</v>
      </c>
      <c r="F419" s="37" t="n">
        <f aca="false">DATE(YEAR(A419),MONTH(A419),1)</f>
        <v>46235</v>
      </c>
      <c r="G419" s="24" t="str">
        <f aca="false">INDEX(Products!$C$2:$C$49,MATCH(C419,Products!$A$2:$A$49,0))</f>
        <v>Beverages</v>
      </c>
      <c r="H419" s="33" t="n">
        <f aca="false">D419*INDEX(Products!$E$2:$E$49,MATCH(C419,Products!$A$2:$A$49,0))</f>
        <v>30170</v>
      </c>
      <c r="I419" s="33" t="n">
        <f aca="false">D419*INDEX(Products!$D$2:$D$49,MATCH(C419,Products!$A$2:$A$49,0))*(1+INDEX(Assumptions!$B$16:$B$20,MATCH(B419,Assumptions!$A$16:$A$20,0)))</f>
        <v>23506.74</v>
      </c>
      <c r="J419" s="33" t="n">
        <f aca="false">H419-I419</f>
        <v>6663.26</v>
      </c>
      <c r="K419" s="33" t="n">
        <f aca="false">IF(OR(E419=0,E419&gt;=7),0,D419/(7-E419)*E419*INDEX(Products!$E$2:$E$49,MATCH(C419,Products!$A$2:$A$49,0)))</f>
        <v>0</v>
      </c>
    </row>
    <row r="420" customFormat="false" ht="15" hidden="false" customHeight="false" outlineLevel="0" collapsed="false">
      <c r="A420" s="36" t="n">
        <v>46244</v>
      </c>
      <c r="B420" s="24" t="s">
        <v>61</v>
      </c>
      <c r="C420" s="24" t="s">
        <v>147</v>
      </c>
      <c r="D420" s="33" t="n">
        <v>201</v>
      </c>
      <c r="E420" s="24" t="n">
        <v>0</v>
      </c>
      <c r="F420" s="37" t="n">
        <f aca="false">DATE(YEAR(A420),MONTH(A420),1)</f>
        <v>46235</v>
      </c>
      <c r="G420" s="24" t="str">
        <f aca="false">INDEX(Products!$C$2:$C$49,MATCH(C420,Products!$A$2:$A$49,0))</f>
        <v>Beverages</v>
      </c>
      <c r="H420" s="33" t="n">
        <f aca="false">D420*INDEX(Products!$E$2:$E$49,MATCH(C420,Products!$A$2:$A$49,0))</f>
        <v>14070</v>
      </c>
      <c r="I420" s="33" t="n">
        <f aca="false">D420*INDEX(Products!$D$2:$D$49,MATCH(C420,Products!$A$2:$A$49,0))*(1+INDEX(Assumptions!$B$16:$B$20,MATCH(B420,Assumptions!$A$16:$A$20,0)))</f>
        <v>10962.54</v>
      </c>
      <c r="J420" s="33" t="n">
        <f aca="false">H420-I420</f>
        <v>3107.46</v>
      </c>
      <c r="K420" s="33" t="n">
        <f aca="false">IF(OR(E420=0,E420&gt;=7),0,D420/(7-E420)*E420*INDEX(Products!$E$2:$E$49,MATCH(C420,Products!$A$2:$A$49,0)))</f>
        <v>0</v>
      </c>
    </row>
    <row r="421" customFormat="false" ht="15" hidden="false" customHeight="false" outlineLevel="0" collapsed="false">
      <c r="A421" s="36" t="n">
        <v>46251</v>
      </c>
      <c r="B421" s="24" t="s">
        <v>61</v>
      </c>
      <c r="C421" s="24" t="s">
        <v>147</v>
      </c>
      <c r="D421" s="33" t="n">
        <v>248</v>
      </c>
      <c r="E421" s="24" t="n">
        <v>0</v>
      </c>
      <c r="F421" s="37" t="n">
        <f aca="false">DATE(YEAR(A421),MONTH(A421),1)</f>
        <v>46235</v>
      </c>
      <c r="G421" s="24" t="str">
        <f aca="false">INDEX(Products!$C$2:$C$49,MATCH(C421,Products!$A$2:$A$49,0))</f>
        <v>Beverages</v>
      </c>
      <c r="H421" s="33" t="n">
        <f aca="false">D421*INDEX(Products!$E$2:$E$49,MATCH(C421,Products!$A$2:$A$49,0))</f>
        <v>17360</v>
      </c>
      <c r="I421" s="33" t="n">
        <f aca="false">D421*INDEX(Products!$D$2:$D$49,MATCH(C421,Products!$A$2:$A$49,0))*(1+INDEX(Assumptions!$B$16:$B$20,MATCH(B421,Assumptions!$A$16:$A$20,0)))</f>
        <v>13525.92</v>
      </c>
      <c r="J421" s="33" t="n">
        <f aca="false">H421-I421</f>
        <v>3834.08</v>
      </c>
      <c r="K421" s="33" t="n">
        <f aca="false">IF(OR(E421=0,E421&gt;=7),0,D421/(7-E421)*E421*INDEX(Products!$E$2:$E$49,MATCH(C421,Products!$A$2:$A$49,0)))</f>
        <v>0</v>
      </c>
    </row>
    <row r="422" customFormat="false" ht="15" hidden="false" customHeight="false" outlineLevel="0" collapsed="false">
      <c r="A422" s="36" t="n">
        <v>46258</v>
      </c>
      <c r="B422" s="24" t="s">
        <v>61</v>
      </c>
      <c r="C422" s="24" t="s">
        <v>147</v>
      </c>
      <c r="D422" s="33" t="n">
        <v>262</v>
      </c>
      <c r="E422" s="24" t="n">
        <v>0</v>
      </c>
      <c r="F422" s="37" t="n">
        <f aca="false">DATE(YEAR(A422),MONTH(A422),1)</f>
        <v>46235</v>
      </c>
      <c r="G422" s="24" t="str">
        <f aca="false">INDEX(Products!$C$2:$C$49,MATCH(C422,Products!$A$2:$A$49,0))</f>
        <v>Beverages</v>
      </c>
      <c r="H422" s="33" t="n">
        <f aca="false">D422*INDEX(Products!$E$2:$E$49,MATCH(C422,Products!$A$2:$A$49,0))</f>
        <v>18340</v>
      </c>
      <c r="I422" s="33" t="n">
        <f aca="false">D422*INDEX(Products!$D$2:$D$49,MATCH(C422,Products!$A$2:$A$49,0))*(1+INDEX(Assumptions!$B$16:$B$20,MATCH(B422,Assumptions!$A$16:$A$20,0)))</f>
        <v>14289.48</v>
      </c>
      <c r="J422" s="33" t="n">
        <f aca="false">H422-I422</f>
        <v>4050.52</v>
      </c>
      <c r="K422" s="33" t="n">
        <f aca="false">IF(OR(E422=0,E422&gt;=7),0,D422/(7-E422)*E422*INDEX(Products!$E$2:$E$49,MATCH(C422,Products!$A$2:$A$49,0)))</f>
        <v>0</v>
      </c>
    </row>
    <row r="423" customFormat="false" ht="15" hidden="false" customHeight="false" outlineLevel="0" collapsed="false">
      <c r="A423" s="36" t="n">
        <v>46265</v>
      </c>
      <c r="B423" s="24" t="s">
        <v>61</v>
      </c>
      <c r="C423" s="24" t="s">
        <v>147</v>
      </c>
      <c r="D423" s="33" t="n">
        <v>247</v>
      </c>
      <c r="E423" s="24" t="n">
        <v>0</v>
      </c>
      <c r="F423" s="37" t="n">
        <f aca="false">DATE(YEAR(A423),MONTH(A423),1)</f>
        <v>46235</v>
      </c>
      <c r="G423" s="24" t="str">
        <f aca="false">INDEX(Products!$C$2:$C$49,MATCH(C423,Products!$A$2:$A$49,0))</f>
        <v>Beverages</v>
      </c>
      <c r="H423" s="33" t="n">
        <f aca="false">D423*INDEX(Products!$E$2:$E$49,MATCH(C423,Products!$A$2:$A$49,0))</f>
        <v>17290</v>
      </c>
      <c r="I423" s="33" t="n">
        <f aca="false">D423*INDEX(Products!$D$2:$D$49,MATCH(C423,Products!$A$2:$A$49,0))*(1+INDEX(Assumptions!$B$16:$B$20,MATCH(B423,Assumptions!$A$16:$A$20,0)))</f>
        <v>13471.38</v>
      </c>
      <c r="J423" s="33" t="n">
        <f aca="false">H423-I423</f>
        <v>3818.62</v>
      </c>
      <c r="K423" s="33" t="n">
        <f aca="false">IF(OR(E423=0,E423&gt;=7),0,D423/(7-E423)*E423*INDEX(Products!$E$2:$E$49,MATCH(C423,Products!$A$2:$A$49,0)))</f>
        <v>0</v>
      </c>
    </row>
    <row r="424" customFormat="false" ht="15" hidden="false" customHeight="false" outlineLevel="0" collapsed="false">
      <c r="A424" s="36" t="n">
        <v>46272</v>
      </c>
      <c r="B424" s="24" t="s">
        <v>61</v>
      </c>
      <c r="C424" s="24" t="s">
        <v>147</v>
      </c>
      <c r="D424" s="33" t="n">
        <v>231</v>
      </c>
      <c r="E424" s="24" t="n">
        <v>0</v>
      </c>
      <c r="F424" s="37" t="n">
        <f aca="false">DATE(YEAR(A424),MONTH(A424),1)</f>
        <v>46266</v>
      </c>
      <c r="G424" s="24" t="str">
        <f aca="false">INDEX(Products!$C$2:$C$49,MATCH(C424,Products!$A$2:$A$49,0))</f>
        <v>Beverages</v>
      </c>
      <c r="H424" s="33" t="n">
        <f aca="false">D424*INDEX(Products!$E$2:$E$49,MATCH(C424,Products!$A$2:$A$49,0))</f>
        <v>16170</v>
      </c>
      <c r="I424" s="33" t="n">
        <f aca="false">D424*INDEX(Products!$D$2:$D$49,MATCH(C424,Products!$A$2:$A$49,0))*(1+INDEX(Assumptions!$B$16:$B$20,MATCH(B424,Assumptions!$A$16:$A$20,0)))</f>
        <v>12598.74</v>
      </c>
      <c r="J424" s="33" t="n">
        <f aca="false">H424-I424</f>
        <v>3571.26</v>
      </c>
      <c r="K424" s="33" t="n">
        <f aca="false">IF(OR(E424=0,E424&gt;=7),0,D424/(7-E424)*E424*INDEX(Products!$E$2:$E$49,MATCH(C424,Products!$A$2:$A$49,0)))</f>
        <v>0</v>
      </c>
    </row>
    <row r="425" customFormat="false" ht="15" hidden="false" customHeight="false" outlineLevel="0" collapsed="false">
      <c r="A425" s="36" t="n">
        <v>46279</v>
      </c>
      <c r="B425" s="24" t="s">
        <v>61</v>
      </c>
      <c r="C425" s="24" t="s">
        <v>147</v>
      </c>
      <c r="D425" s="33" t="n">
        <v>271</v>
      </c>
      <c r="E425" s="24" t="n">
        <v>0</v>
      </c>
      <c r="F425" s="37" t="n">
        <f aca="false">DATE(YEAR(A425),MONTH(A425),1)</f>
        <v>46266</v>
      </c>
      <c r="G425" s="24" t="str">
        <f aca="false">INDEX(Products!$C$2:$C$49,MATCH(C425,Products!$A$2:$A$49,0))</f>
        <v>Beverages</v>
      </c>
      <c r="H425" s="33" t="n">
        <f aca="false">D425*INDEX(Products!$E$2:$E$49,MATCH(C425,Products!$A$2:$A$49,0))</f>
        <v>18970</v>
      </c>
      <c r="I425" s="33" t="n">
        <f aca="false">D425*INDEX(Products!$D$2:$D$49,MATCH(C425,Products!$A$2:$A$49,0))*(1+INDEX(Assumptions!$B$16:$B$20,MATCH(B425,Assumptions!$A$16:$A$20,0)))</f>
        <v>14780.34</v>
      </c>
      <c r="J425" s="33" t="n">
        <f aca="false">H425-I425</f>
        <v>4189.66</v>
      </c>
      <c r="K425" s="33" t="n">
        <f aca="false">IF(OR(E425=0,E425&gt;=7),0,D425/(7-E425)*E425*INDEX(Products!$E$2:$E$49,MATCH(C425,Products!$A$2:$A$49,0)))</f>
        <v>0</v>
      </c>
    </row>
    <row r="426" customFormat="false" ht="15" hidden="false" customHeight="false" outlineLevel="0" collapsed="false">
      <c r="A426" s="36" t="n">
        <v>46286</v>
      </c>
      <c r="B426" s="24" t="s">
        <v>61</v>
      </c>
      <c r="C426" s="24" t="s">
        <v>147</v>
      </c>
      <c r="D426" s="33" t="n">
        <v>314</v>
      </c>
      <c r="E426" s="24" t="n">
        <v>0</v>
      </c>
      <c r="F426" s="37" t="n">
        <f aca="false">DATE(YEAR(A426),MONTH(A426),1)</f>
        <v>46266</v>
      </c>
      <c r="G426" s="24" t="str">
        <f aca="false">INDEX(Products!$C$2:$C$49,MATCH(C426,Products!$A$2:$A$49,0))</f>
        <v>Beverages</v>
      </c>
      <c r="H426" s="33" t="n">
        <f aca="false">D426*INDEX(Products!$E$2:$E$49,MATCH(C426,Products!$A$2:$A$49,0))</f>
        <v>21980</v>
      </c>
      <c r="I426" s="33" t="n">
        <f aca="false">D426*INDEX(Products!$D$2:$D$49,MATCH(C426,Products!$A$2:$A$49,0))*(1+INDEX(Assumptions!$B$16:$B$20,MATCH(B426,Assumptions!$A$16:$A$20,0)))</f>
        <v>17125.56</v>
      </c>
      <c r="J426" s="33" t="n">
        <f aca="false">H426-I426</f>
        <v>4854.44</v>
      </c>
      <c r="K426" s="33" t="n">
        <f aca="false">IF(OR(E426=0,E426&gt;=7),0,D426/(7-E426)*E426*INDEX(Products!$E$2:$E$49,MATCH(C426,Products!$A$2:$A$49,0)))</f>
        <v>0</v>
      </c>
    </row>
    <row r="427" customFormat="false" ht="15" hidden="false" customHeight="false" outlineLevel="0" collapsed="false">
      <c r="A427" s="36" t="n">
        <v>46118</v>
      </c>
      <c r="B427" s="24" t="s">
        <v>61</v>
      </c>
      <c r="C427" s="24" t="s">
        <v>149</v>
      </c>
      <c r="D427" s="33" t="n">
        <v>271</v>
      </c>
      <c r="E427" s="24" t="n">
        <v>0</v>
      </c>
      <c r="F427" s="37" t="n">
        <f aca="false">DATE(YEAR(A427),MONTH(A427),1)</f>
        <v>46113</v>
      </c>
      <c r="G427" s="24" t="str">
        <f aca="false">INDEX(Products!$C$2:$C$49,MATCH(C427,Products!$A$2:$A$49,0))</f>
        <v>Beverages</v>
      </c>
      <c r="H427" s="33" t="n">
        <f aca="false">D427*INDEX(Products!$E$2:$E$49,MATCH(C427,Products!$A$2:$A$49,0))</f>
        <v>51490</v>
      </c>
      <c r="I427" s="33" t="n">
        <f aca="false">D427*INDEX(Products!$D$2:$D$49,MATCH(C427,Products!$A$2:$A$49,0))*(1+INDEX(Assumptions!$B$16:$B$20,MATCH(B427,Assumptions!$A$16:$A$20,0)))</f>
        <v>41603.92</v>
      </c>
      <c r="J427" s="33" t="n">
        <f aca="false">H427-I427</f>
        <v>9886.08</v>
      </c>
      <c r="K427" s="33" t="n">
        <f aca="false">IF(OR(E427=0,E427&gt;=7),0,D427/(7-E427)*E427*INDEX(Products!$E$2:$E$49,MATCH(C427,Products!$A$2:$A$49,0)))</f>
        <v>0</v>
      </c>
    </row>
    <row r="428" customFormat="false" ht="15" hidden="false" customHeight="false" outlineLevel="0" collapsed="false">
      <c r="A428" s="36" t="n">
        <v>46125</v>
      </c>
      <c r="B428" s="24" t="s">
        <v>61</v>
      </c>
      <c r="C428" s="24" t="s">
        <v>149</v>
      </c>
      <c r="D428" s="33" t="n">
        <v>298</v>
      </c>
      <c r="E428" s="24" t="n">
        <v>0</v>
      </c>
      <c r="F428" s="37" t="n">
        <f aca="false">DATE(YEAR(A428),MONTH(A428),1)</f>
        <v>46113</v>
      </c>
      <c r="G428" s="24" t="str">
        <f aca="false">INDEX(Products!$C$2:$C$49,MATCH(C428,Products!$A$2:$A$49,0))</f>
        <v>Beverages</v>
      </c>
      <c r="H428" s="33" t="n">
        <f aca="false">D428*INDEX(Products!$E$2:$E$49,MATCH(C428,Products!$A$2:$A$49,0))</f>
        <v>56620</v>
      </c>
      <c r="I428" s="33" t="n">
        <f aca="false">D428*INDEX(Products!$D$2:$D$49,MATCH(C428,Products!$A$2:$A$49,0))*(1+INDEX(Assumptions!$B$16:$B$20,MATCH(B428,Assumptions!$A$16:$A$20,0)))</f>
        <v>45748.96</v>
      </c>
      <c r="J428" s="33" t="n">
        <f aca="false">H428-I428</f>
        <v>10871.04</v>
      </c>
      <c r="K428" s="33" t="n">
        <f aca="false">IF(OR(E428=0,E428&gt;=7),0,D428/(7-E428)*E428*INDEX(Products!$E$2:$E$49,MATCH(C428,Products!$A$2:$A$49,0)))</f>
        <v>0</v>
      </c>
    </row>
    <row r="429" customFormat="false" ht="15" hidden="false" customHeight="false" outlineLevel="0" collapsed="false">
      <c r="A429" s="36" t="n">
        <v>46132</v>
      </c>
      <c r="B429" s="24" t="s">
        <v>61</v>
      </c>
      <c r="C429" s="24" t="s">
        <v>149</v>
      </c>
      <c r="D429" s="33" t="n">
        <v>355</v>
      </c>
      <c r="E429" s="24" t="n">
        <v>0</v>
      </c>
      <c r="F429" s="37" t="n">
        <f aca="false">DATE(YEAR(A429),MONTH(A429),1)</f>
        <v>46113</v>
      </c>
      <c r="G429" s="24" t="str">
        <f aca="false">INDEX(Products!$C$2:$C$49,MATCH(C429,Products!$A$2:$A$49,0))</f>
        <v>Beverages</v>
      </c>
      <c r="H429" s="33" t="n">
        <f aca="false">D429*INDEX(Products!$E$2:$E$49,MATCH(C429,Products!$A$2:$A$49,0))</f>
        <v>67450</v>
      </c>
      <c r="I429" s="33" t="n">
        <f aca="false">D429*INDEX(Products!$D$2:$D$49,MATCH(C429,Products!$A$2:$A$49,0))*(1+INDEX(Assumptions!$B$16:$B$20,MATCH(B429,Assumptions!$A$16:$A$20,0)))</f>
        <v>54499.6</v>
      </c>
      <c r="J429" s="33" t="n">
        <f aca="false">H429-I429</f>
        <v>12950.4</v>
      </c>
      <c r="K429" s="33" t="n">
        <f aca="false">IF(OR(E429=0,E429&gt;=7),0,D429/(7-E429)*E429*INDEX(Products!$E$2:$E$49,MATCH(C429,Products!$A$2:$A$49,0)))</f>
        <v>0</v>
      </c>
    </row>
    <row r="430" customFormat="false" ht="15" hidden="false" customHeight="false" outlineLevel="0" collapsed="false">
      <c r="A430" s="36" t="n">
        <v>46139</v>
      </c>
      <c r="B430" s="24" t="s">
        <v>61</v>
      </c>
      <c r="C430" s="24" t="s">
        <v>149</v>
      </c>
      <c r="D430" s="33" t="n">
        <v>326</v>
      </c>
      <c r="E430" s="24" t="n">
        <v>0</v>
      </c>
      <c r="F430" s="37" t="n">
        <f aca="false">DATE(YEAR(A430),MONTH(A430),1)</f>
        <v>46113</v>
      </c>
      <c r="G430" s="24" t="str">
        <f aca="false">INDEX(Products!$C$2:$C$49,MATCH(C430,Products!$A$2:$A$49,0))</f>
        <v>Beverages</v>
      </c>
      <c r="H430" s="33" t="n">
        <f aca="false">D430*INDEX(Products!$E$2:$E$49,MATCH(C430,Products!$A$2:$A$49,0))</f>
        <v>61940</v>
      </c>
      <c r="I430" s="33" t="n">
        <f aca="false">D430*INDEX(Products!$D$2:$D$49,MATCH(C430,Products!$A$2:$A$49,0))*(1+INDEX(Assumptions!$B$16:$B$20,MATCH(B430,Assumptions!$A$16:$A$20,0)))</f>
        <v>50047.52</v>
      </c>
      <c r="J430" s="33" t="n">
        <f aca="false">H430-I430</f>
        <v>11892.48</v>
      </c>
      <c r="K430" s="33" t="n">
        <f aca="false">IF(OR(E430=0,E430&gt;=7),0,D430/(7-E430)*E430*INDEX(Products!$E$2:$E$49,MATCH(C430,Products!$A$2:$A$49,0)))</f>
        <v>0</v>
      </c>
    </row>
    <row r="431" customFormat="false" ht="15" hidden="false" customHeight="false" outlineLevel="0" collapsed="false">
      <c r="A431" s="36" t="n">
        <v>46146</v>
      </c>
      <c r="B431" s="24" t="s">
        <v>61</v>
      </c>
      <c r="C431" s="24" t="s">
        <v>149</v>
      </c>
      <c r="D431" s="33" t="n">
        <v>285</v>
      </c>
      <c r="E431" s="24" t="n">
        <v>0</v>
      </c>
      <c r="F431" s="37" t="n">
        <f aca="false">DATE(YEAR(A431),MONTH(A431),1)</f>
        <v>46143</v>
      </c>
      <c r="G431" s="24" t="str">
        <f aca="false">INDEX(Products!$C$2:$C$49,MATCH(C431,Products!$A$2:$A$49,0))</f>
        <v>Beverages</v>
      </c>
      <c r="H431" s="33" t="n">
        <f aca="false">D431*INDEX(Products!$E$2:$E$49,MATCH(C431,Products!$A$2:$A$49,0))</f>
        <v>54150</v>
      </c>
      <c r="I431" s="33" t="n">
        <f aca="false">D431*INDEX(Products!$D$2:$D$49,MATCH(C431,Products!$A$2:$A$49,0))*(1+INDEX(Assumptions!$B$16:$B$20,MATCH(B431,Assumptions!$A$16:$A$20,0)))</f>
        <v>43753.2</v>
      </c>
      <c r="J431" s="33" t="n">
        <f aca="false">H431-I431</f>
        <v>10396.8</v>
      </c>
      <c r="K431" s="33" t="n">
        <f aca="false">IF(OR(E431=0,E431&gt;=7),0,D431/(7-E431)*E431*INDEX(Products!$E$2:$E$49,MATCH(C431,Products!$A$2:$A$49,0)))</f>
        <v>0</v>
      </c>
    </row>
    <row r="432" customFormat="false" ht="15" hidden="false" customHeight="false" outlineLevel="0" collapsed="false">
      <c r="A432" s="36" t="n">
        <v>46153</v>
      </c>
      <c r="B432" s="24" t="s">
        <v>61</v>
      </c>
      <c r="C432" s="24" t="s">
        <v>149</v>
      </c>
      <c r="D432" s="33" t="n">
        <v>273</v>
      </c>
      <c r="E432" s="24" t="n">
        <v>0</v>
      </c>
      <c r="F432" s="37" t="n">
        <f aca="false">DATE(YEAR(A432),MONTH(A432),1)</f>
        <v>46143</v>
      </c>
      <c r="G432" s="24" t="str">
        <f aca="false">INDEX(Products!$C$2:$C$49,MATCH(C432,Products!$A$2:$A$49,0))</f>
        <v>Beverages</v>
      </c>
      <c r="H432" s="33" t="n">
        <f aca="false">D432*INDEX(Products!$E$2:$E$49,MATCH(C432,Products!$A$2:$A$49,0))</f>
        <v>51870</v>
      </c>
      <c r="I432" s="33" t="n">
        <f aca="false">D432*INDEX(Products!$D$2:$D$49,MATCH(C432,Products!$A$2:$A$49,0))*(1+INDEX(Assumptions!$B$16:$B$20,MATCH(B432,Assumptions!$A$16:$A$20,0)))</f>
        <v>41910.96</v>
      </c>
      <c r="J432" s="33" t="n">
        <f aca="false">H432-I432</f>
        <v>9959.04</v>
      </c>
      <c r="K432" s="33" t="n">
        <f aca="false">IF(OR(E432=0,E432&gt;=7),0,D432/(7-E432)*E432*INDEX(Products!$E$2:$E$49,MATCH(C432,Products!$A$2:$A$49,0)))</f>
        <v>0</v>
      </c>
    </row>
    <row r="433" customFormat="false" ht="15" hidden="false" customHeight="false" outlineLevel="0" collapsed="false">
      <c r="A433" s="36" t="n">
        <v>46160</v>
      </c>
      <c r="B433" s="24" t="s">
        <v>61</v>
      </c>
      <c r="C433" s="24" t="s">
        <v>149</v>
      </c>
      <c r="D433" s="33" t="n">
        <v>270</v>
      </c>
      <c r="E433" s="24" t="n">
        <v>0</v>
      </c>
      <c r="F433" s="37" t="n">
        <f aca="false">DATE(YEAR(A433),MONTH(A433),1)</f>
        <v>46143</v>
      </c>
      <c r="G433" s="24" t="str">
        <f aca="false">INDEX(Products!$C$2:$C$49,MATCH(C433,Products!$A$2:$A$49,0))</f>
        <v>Beverages</v>
      </c>
      <c r="H433" s="33" t="n">
        <f aca="false">D433*INDEX(Products!$E$2:$E$49,MATCH(C433,Products!$A$2:$A$49,0))</f>
        <v>51300</v>
      </c>
      <c r="I433" s="33" t="n">
        <f aca="false">D433*INDEX(Products!$D$2:$D$49,MATCH(C433,Products!$A$2:$A$49,0))*(1+INDEX(Assumptions!$B$16:$B$20,MATCH(B433,Assumptions!$A$16:$A$20,0)))</f>
        <v>41450.4</v>
      </c>
      <c r="J433" s="33" t="n">
        <f aca="false">H433-I433</f>
        <v>9849.6</v>
      </c>
      <c r="K433" s="33" t="n">
        <f aca="false">IF(OR(E433=0,E433&gt;=7),0,D433/(7-E433)*E433*INDEX(Products!$E$2:$E$49,MATCH(C433,Products!$A$2:$A$49,0)))</f>
        <v>0</v>
      </c>
    </row>
    <row r="434" customFormat="false" ht="15" hidden="false" customHeight="false" outlineLevel="0" collapsed="false">
      <c r="A434" s="36" t="n">
        <v>46167</v>
      </c>
      <c r="B434" s="24" t="s">
        <v>61</v>
      </c>
      <c r="C434" s="24" t="s">
        <v>149</v>
      </c>
      <c r="D434" s="33" t="n">
        <v>306</v>
      </c>
      <c r="E434" s="24" t="n">
        <v>0</v>
      </c>
      <c r="F434" s="37" t="n">
        <f aca="false">DATE(YEAR(A434),MONTH(A434),1)</f>
        <v>46143</v>
      </c>
      <c r="G434" s="24" t="str">
        <f aca="false">INDEX(Products!$C$2:$C$49,MATCH(C434,Products!$A$2:$A$49,0))</f>
        <v>Beverages</v>
      </c>
      <c r="H434" s="33" t="n">
        <f aca="false">D434*INDEX(Products!$E$2:$E$49,MATCH(C434,Products!$A$2:$A$49,0))</f>
        <v>58140</v>
      </c>
      <c r="I434" s="33" t="n">
        <f aca="false">D434*INDEX(Products!$D$2:$D$49,MATCH(C434,Products!$A$2:$A$49,0))*(1+INDEX(Assumptions!$B$16:$B$20,MATCH(B434,Assumptions!$A$16:$A$20,0)))</f>
        <v>46977.12</v>
      </c>
      <c r="J434" s="33" t="n">
        <f aca="false">H434-I434</f>
        <v>11162.88</v>
      </c>
      <c r="K434" s="33" t="n">
        <f aca="false">IF(OR(E434=0,E434&gt;=7),0,D434/(7-E434)*E434*INDEX(Products!$E$2:$E$49,MATCH(C434,Products!$A$2:$A$49,0)))</f>
        <v>0</v>
      </c>
    </row>
    <row r="435" customFormat="false" ht="15" hidden="false" customHeight="false" outlineLevel="0" collapsed="false">
      <c r="A435" s="36" t="n">
        <v>46174</v>
      </c>
      <c r="B435" s="24" t="s">
        <v>61</v>
      </c>
      <c r="C435" s="24" t="s">
        <v>149</v>
      </c>
      <c r="D435" s="33" t="n">
        <v>254</v>
      </c>
      <c r="E435" s="24" t="n">
        <v>0</v>
      </c>
      <c r="F435" s="37" t="n">
        <f aca="false">DATE(YEAR(A435),MONTH(A435),1)</f>
        <v>46174</v>
      </c>
      <c r="G435" s="24" t="str">
        <f aca="false">INDEX(Products!$C$2:$C$49,MATCH(C435,Products!$A$2:$A$49,0))</f>
        <v>Beverages</v>
      </c>
      <c r="H435" s="33" t="n">
        <f aca="false">D435*INDEX(Products!$E$2:$E$49,MATCH(C435,Products!$A$2:$A$49,0))</f>
        <v>48260</v>
      </c>
      <c r="I435" s="33" t="n">
        <f aca="false">D435*INDEX(Products!$D$2:$D$49,MATCH(C435,Products!$A$2:$A$49,0))*(1+INDEX(Assumptions!$B$16:$B$20,MATCH(B435,Assumptions!$A$16:$A$20,0)))</f>
        <v>38994.08</v>
      </c>
      <c r="J435" s="33" t="n">
        <f aca="false">H435-I435</f>
        <v>9265.92</v>
      </c>
      <c r="K435" s="33" t="n">
        <f aca="false">IF(OR(E435=0,E435&gt;=7),0,D435/(7-E435)*E435*INDEX(Products!$E$2:$E$49,MATCH(C435,Products!$A$2:$A$49,0)))</f>
        <v>0</v>
      </c>
    </row>
    <row r="436" customFormat="false" ht="15" hidden="false" customHeight="false" outlineLevel="0" collapsed="false">
      <c r="A436" s="36" t="n">
        <v>46181</v>
      </c>
      <c r="B436" s="24" t="s">
        <v>61</v>
      </c>
      <c r="C436" s="24" t="s">
        <v>149</v>
      </c>
      <c r="D436" s="33" t="n">
        <v>263</v>
      </c>
      <c r="E436" s="24" t="n">
        <v>0</v>
      </c>
      <c r="F436" s="37" t="n">
        <f aca="false">DATE(YEAR(A436),MONTH(A436),1)</f>
        <v>46174</v>
      </c>
      <c r="G436" s="24" t="str">
        <f aca="false">INDEX(Products!$C$2:$C$49,MATCH(C436,Products!$A$2:$A$49,0))</f>
        <v>Beverages</v>
      </c>
      <c r="H436" s="33" t="n">
        <f aca="false">D436*INDEX(Products!$E$2:$E$49,MATCH(C436,Products!$A$2:$A$49,0))</f>
        <v>49970</v>
      </c>
      <c r="I436" s="33" t="n">
        <f aca="false">D436*INDEX(Products!$D$2:$D$49,MATCH(C436,Products!$A$2:$A$49,0))*(1+INDEX(Assumptions!$B$16:$B$20,MATCH(B436,Assumptions!$A$16:$A$20,0)))</f>
        <v>40375.76</v>
      </c>
      <c r="J436" s="33" t="n">
        <f aca="false">H436-I436</f>
        <v>9594.24</v>
      </c>
      <c r="K436" s="33" t="n">
        <f aca="false">IF(OR(E436=0,E436&gt;=7),0,D436/(7-E436)*E436*INDEX(Products!$E$2:$E$49,MATCH(C436,Products!$A$2:$A$49,0)))</f>
        <v>0</v>
      </c>
    </row>
    <row r="437" customFormat="false" ht="15" hidden="false" customHeight="false" outlineLevel="0" collapsed="false">
      <c r="A437" s="36" t="n">
        <v>46188</v>
      </c>
      <c r="B437" s="24" t="s">
        <v>61</v>
      </c>
      <c r="C437" s="24" t="s">
        <v>149</v>
      </c>
      <c r="D437" s="33" t="n">
        <v>105</v>
      </c>
      <c r="E437" s="24" t="n">
        <v>4</v>
      </c>
      <c r="F437" s="37" t="n">
        <f aca="false">DATE(YEAR(A437),MONTH(A437),1)</f>
        <v>46174</v>
      </c>
      <c r="G437" s="24" t="str">
        <f aca="false">INDEX(Products!$C$2:$C$49,MATCH(C437,Products!$A$2:$A$49,0))</f>
        <v>Beverages</v>
      </c>
      <c r="H437" s="33" t="n">
        <f aca="false">D437*INDEX(Products!$E$2:$E$49,MATCH(C437,Products!$A$2:$A$49,0))</f>
        <v>19950</v>
      </c>
      <c r="I437" s="33" t="n">
        <f aca="false">D437*INDEX(Products!$D$2:$D$49,MATCH(C437,Products!$A$2:$A$49,0))*(1+INDEX(Assumptions!$B$16:$B$20,MATCH(B437,Assumptions!$A$16:$A$20,0)))</f>
        <v>16119.6</v>
      </c>
      <c r="J437" s="33" t="n">
        <f aca="false">H437-I437</f>
        <v>3830.4</v>
      </c>
      <c r="K437" s="33" t="n">
        <f aca="false">IF(OR(E437=0,E437&gt;=7),0,D437/(7-E437)*E437*INDEX(Products!$E$2:$E$49,MATCH(C437,Products!$A$2:$A$49,0)))</f>
        <v>26600</v>
      </c>
    </row>
    <row r="438" customFormat="false" ht="15" hidden="false" customHeight="false" outlineLevel="0" collapsed="false">
      <c r="A438" s="36" t="n">
        <v>46195</v>
      </c>
      <c r="B438" s="24" t="s">
        <v>61</v>
      </c>
      <c r="C438" s="24" t="s">
        <v>149</v>
      </c>
      <c r="D438" s="33" t="n">
        <v>254</v>
      </c>
      <c r="E438" s="24" t="n">
        <v>0</v>
      </c>
      <c r="F438" s="37" t="n">
        <f aca="false">DATE(YEAR(A438),MONTH(A438),1)</f>
        <v>46174</v>
      </c>
      <c r="G438" s="24" t="str">
        <f aca="false">INDEX(Products!$C$2:$C$49,MATCH(C438,Products!$A$2:$A$49,0))</f>
        <v>Beverages</v>
      </c>
      <c r="H438" s="33" t="n">
        <f aca="false">D438*INDEX(Products!$E$2:$E$49,MATCH(C438,Products!$A$2:$A$49,0))</f>
        <v>48260</v>
      </c>
      <c r="I438" s="33" t="n">
        <f aca="false">D438*INDEX(Products!$D$2:$D$49,MATCH(C438,Products!$A$2:$A$49,0))*(1+INDEX(Assumptions!$B$16:$B$20,MATCH(B438,Assumptions!$A$16:$A$20,0)))</f>
        <v>38994.08</v>
      </c>
      <c r="J438" s="33" t="n">
        <f aca="false">H438-I438</f>
        <v>9265.92</v>
      </c>
      <c r="K438" s="33" t="n">
        <f aca="false">IF(OR(E438=0,E438&gt;=7),0,D438/(7-E438)*E438*INDEX(Products!$E$2:$E$49,MATCH(C438,Products!$A$2:$A$49,0)))</f>
        <v>0</v>
      </c>
    </row>
    <row r="439" customFormat="false" ht="15" hidden="false" customHeight="false" outlineLevel="0" collapsed="false">
      <c r="A439" s="36" t="n">
        <v>46202</v>
      </c>
      <c r="B439" s="24" t="s">
        <v>61</v>
      </c>
      <c r="C439" s="24" t="s">
        <v>149</v>
      </c>
      <c r="D439" s="33" t="n">
        <v>276</v>
      </c>
      <c r="E439" s="24" t="n">
        <v>0</v>
      </c>
      <c r="F439" s="37" t="n">
        <f aca="false">DATE(YEAR(A439),MONTH(A439),1)</f>
        <v>46174</v>
      </c>
      <c r="G439" s="24" t="str">
        <f aca="false">INDEX(Products!$C$2:$C$49,MATCH(C439,Products!$A$2:$A$49,0))</f>
        <v>Beverages</v>
      </c>
      <c r="H439" s="33" t="n">
        <f aca="false">D439*INDEX(Products!$E$2:$E$49,MATCH(C439,Products!$A$2:$A$49,0))</f>
        <v>52440</v>
      </c>
      <c r="I439" s="33" t="n">
        <f aca="false">D439*INDEX(Products!$D$2:$D$49,MATCH(C439,Products!$A$2:$A$49,0))*(1+INDEX(Assumptions!$B$16:$B$20,MATCH(B439,Assumptions!$A$16:$A$20,0)))</f>
        <v>42371.52</v>
      </c>
      <c r="J439" s="33" t="n">
        <f aca="false">H439-I439</f>
        <v>10068.48</v>
      </c>
      <c r="K439" s="33" t="n">
        <f aca="false">IF(OR(E439=0,E439&gt;=7),0,D439/(7-E439)*E439*INDEX(Products!$E$2:$E$49,MATCH(C439,Products!$A$2:$A$49,0)))</f>
        <v>0</v>
      </c>
    </row>
    <row r="440" customFormat="false" ht="15" hidden="false" customHeight="false" outlineLevel="0" collapsed="false">
      <c r="A440" s="36" t="n">
        <v>46209</v>
      </c>
      <c r="B440" s="24" t="s">
        <v>61</v>
      </c>
      <c r="C440" s="24" t="s">
        <v>149</v>
      </c>
      <c r="D440" s="33" t="n">
        <v>230</v>
      </c>
      <c r="E440" s="24" t="n">
        <v>0</v>
      </c>
      <c r="F440" s="37" t="n">
        <f aca="false">DATE(YEAR(A440),MONTH(A440),1)</f>
        <v>46204</v>
      </c>
      <c r="G440" s="24" t="str">
        <f aca="false">INDEX(Products!$C$2:$C$49,MATCH(C440,Products!$A$2:$A$49,0))</f>
        <v>Beverages</v>
      </c>
      <c r="H440" s="33" t="n">
        <f aca="false">D440*INDEX(Products!$E$2:$E$49,MATCH(C440,Products!$A$2:$A$49,0))</f>
        <v>43700</v>
      </c>
      <c r="I440" s="33" t="n">
        <f aca="false">D440*INDEX(Products!$D$2:$D$49,MATCH(C440,Products!$A$2:$A$49,0))*(1+INDEX(Assumptions!$B$16:$B$20,MATCH(B440,Assumptions!$A$16:$A$20,0)))</f>
        <v>35309.6</v>
      </c>
      <c r="J440" s="33" t="n">
        <f aca="false">H440-I440</f>
        <v>8390.4</v>
      </c>
      <c r="K440" s="33" t="n">
        <f aca="false">IF(OR(E440=0,E440&gt;=7),0,D440/(7-E440)*E440*INDEX(Products!$E$2:$E$49,MATCH(C440,Products!$A$2:$A$49,0)))</f>
        <v>0</v>
      </c>
    </row>
    <row r="441" customFormat="false" ht="15" hidden="false" customHeight="false" outlineLevel="0" collapsed="false">
      <c r="A441" s="36" t="n">
        <v>46216</v>
      </c>
      <c r="B441" s="24" t="s">
        <v>61</v>
      </c>
      <c r="C441" s="24" t="s">
        <v>149</v>
      </c>
      <c r="D441" s="33" t="n">
        <v>220</v>
      </c>
      <c r="E441" s="24" t="n">
        <v>0</v>
      </c>
      <c r="F441" s="37" t="n">
        <f aca="false">DATE(YEAR(A441),MONTH(A441),1)</f>
        <v>46204</v>
      </c>
      <c r="G441" s="24" t="str">
        <f aca="false">INDEX(Products!$C$2:$C$49,MATCH(C441,Products!$A$2:$A$49,0))</f>
        <v>Beverages</v>
      </c>
      <c r="H441" s="33" t="n">
        <f aca="false">D441*INDEX(Products!$E$2:$E$49,MATCH(C441,Products!$A$2:$A$49,0))</f>
        <v>41800</v>
      </c>
      <c r="I441" s="33" t="n">
        <f aca="false">D441*INDEX(Products!$D$2:$D$49,MATCH(C441,Products!$A$2:$A$49,0))*(1+INDEX(Assumptions!$B$16:$B$20,MATCH(B441,Assumptions!$A$16:$A$20,0)))</f>
        <v>33774.4</v>
      </c>
      <c r="J441" s="33" t="n">
        <f aca="false">H441-I441</f>
        <v>8025.6</v>
      </c>
      <c r="K441" s="33" t="n">
        <f aca="false">IF(OR(E441=0,E441&gt;=7),0,D441/(7-E441)*E441*INDEX(Products!$E$2:$E$49,MATCH(C441,Products!$A$2:$A$49,0)))</f>
        <v>0</v>
      </c>
    </row>
    <row r="442" customFormat="false" ht="15" hidden="false" customHeight="false" outlineLevel="0" collapsed="false">
      <c r="A442" s="36" t="n">
        <v>46223</v>
      </c>
      <c r="B442" s="24" t="s">
        <v>61</v>
      </c>
      <c r="C442" s="24" t="s">
        <v>149</v>
      </c>
      <c r="D442" s="33" t="n">
        <v>205</v>
      </c>
      <c r="E442" s="24" t="n">
        <v>0</v>
      </c>
      <c r="F442" s="37" t="n">
        <f aca="false">DATE(YEAR(A442),MONTH(A442),1)</f>
        <v>46204</v>
      </c>
      <c r="G442" s="24" t="str">
        <f aca="false">INDEX(Products!$C$2:$C$49,MATCH(C442,Products!$A$2:$A$49,0))</f>
        <v>Beverages</v>
      </c>
      <c r="H442" s="33" t="n">
        <f aca="false">D442*INDEX(Products!$E$2:$E$49,MATCH(C442,Products!$A$2:$A$49,0))</f>
        <v>38950</v>
      </c>
      <c r="I442" s="33" t="n">
        <f aca="false">D442*INDEX(Products!$D$2:$D$49,MATCH(C442,Products!$A$2:$A$49,0))*(1+INDEX(Assumptions!$B$16:$B$20,MATCH(B442,Assumptions!$A$16:$A$20,0)))</f>
        <v>31471.6</v>
      </c>
      <c r="J442" s="33" t="n">
        <f aca="false">H442-I442</f>
        <v>7478.4</v>
      </c>
      <c r="K442" s="33" t="n">
        <f aca="false">IF(OR(E442=0,E442&gt;=7),0,D442/(7-E442)*E442*INDEX(Products!$E$2:$E$49,MATCH(C442,Products!$A$2:$A$49,0)))</f>
        <v>0</v>
      </c>
    </row>
    <row r="443" customFormat="false" ht="15" hidden="false" customHeight="false" outlineLevel="0" collapsed="false">
      <c r="A443" s="36" t="n">
        <v>46230</v>
      </c>
      <c r="B443" s="24" t="s">
        <v>61</v>
      </c>
      <c r="C443" s="24" t="s">
        <v>149</v>
      </c>
      <c r="D443" s="33" t="n">
        <v>213</v>
      </c>
      <c r="E443" s="24" t="n">
        <v>0</v>
      </c>
      <c r="F443" s="37" t="n">
        <f aca="false">DATE(YEAR(A443),MONTH(A443),1)</f>
        <v>46204</v>
      </c>
      <c r="G443" s="24" t="str">
        <f aca="false">INDEX(Products!$C$2:$C$49,MATCH(C443,Products!$A$2:$A$49,0))</f>
        <v>Beverages</v>
      </c>
      <c r="H443" s="33" t="n">
        <f aca="false">D443*INDEX(Products!$E$2:$E$49,MATCH(C443,Products!$A$2:$A$49,0))</f>
        <v>40470</v>
      </c>
      <c r="I443" s="33" t="n">
        <f aca="false">D443*INDEX(Products!$D$2:$D$49,MATCH(C443,Products!$A$2:$A$49,0))*(1+INDEX(Assumptions!$B$16:$B$20,MATCH(B443,Assumptions!$A$16:$A$20,0)))</f>
        <v>32699.76</v>
      </c>
      <c r="J443" s="33" t="n">
        <f aca="false">H443-I443</f>
        <v>7770.24</v>
      </c>
      <c r="K443" s="33" t="n">
        <f aca="false">IF(OR(E443=0,E443&gt;=7),0,D443/(7-E443)*E443*INDEX(Products!$E$2:$E$49,MATCH(C443,Products!$A$2:$A$49,0)))</f>
        <v>0</v>
      </c>
    </row>
    <row r="444" customFormat="false" ht="15" hidden="false" customHeight="false" outlineLevel="0" collapsed="false">
      <c r="A444" s="36" t="n">
        <v>46237</v>
      </c>
      <c r="B444" s="24" t="s">
        <v>61</v>
      </c>
      <c r="C444" s="24" t="s">
        <v>149</v>
      </c>
      <c r="D444" s="33" t="n">
        <v>204</v>
      </c>
      <c r="E444" s="24" t="n">
        <v>0</v>
      </c>
      <c r="F444" s="37" t="n">
        <f aca="false">DATE(YEAR(A444),MONTH(A444),1)</f>
        <v>46235</v>
      </c>
      <c r="G444" s="24" t="str">
        <f aca="false">INDEX(Products!$C$2:$C$49,MATCH(C444,Products!$A$2:$A$49,0))</f>
        <v>Beverages</v>
      </c>
      <c r="H444" s="33" t="n">
        <f aca="false">D444*INDEX(Products!$E$2:$E$49,MATCH(C444,Products!$A$2:$A$49,0))</f>
        <v>38760</v>
      </c>
      <c r="I444" s="33" t="n">
        <f aca="false">D444*INDEX(Products!$D$2:$D$49,MATCH(C444,Products!$A$2:$A$49,0))*(1+INDEX(Assumptions!$B$16:$B$20,MATCH(B444,Assumptions!$A$16:$A$20,0)))</f>
        <v>31318.08</v>
      </c>
      <c r="J444" s="33" t="n">
        <f aca="false">H444-I444</f>
        <v>7441.92</v>
      </c>
      <c r="K444" s="33" t="n">
        <f aca="false">IF(OR(E444=0,E444&gt;=7),0,D444/(7-E444)*E444*INDEX(Products!$E$2:$E$49,MATCH(C444,Products!$A$2:$A$49,0)))</f>
        <v>0</v>
      </c>
    </row>
    <row r="445" customFormat="false" ht="15" hidden="false" customHeight="false" outlineLevel="0" collapsed="false">
      <c r="A445" s="36" t="n">
        <v>46244</v>
      </c>
      <c r="B445" s="24" t="s">
        <v>61</v>
      </c>
      <c r="C445" s="24" t="s">
        <v>149</v>
      </c>
      <c r="D445" s="33" t="n">
        <v>187</v>
      </c>
      <c r="E445" s="24" t="n">
        <v>0</v>
      </c>
      <c r="F445" s="37" t="n">
        <f aca="false">DATE(YEAR(A445),MONTH(A445),1)</f>
        <v>46235</v>
      </c>
      <c r="G445" s="24" t="str">
        <f aca="false">INDEX(Products!$C$2:$C$49,MATCH(C445,Products!$A$2:$A$49,0))</f>
        <v>Beverages</v>
      </c>
      <c r="H445" s="33" t="n">
        <f aca="false">D445*INDEX(Products!$E$2:$E$49,MATCH(C445,Products!$A$2:$A$49,0))</f>
        <v>35530</v>
      </c>
      <c r="I445" s="33" t="n">
        <f aca="false">D445*INDEX(Products!$D$2:$D$49,MATCH(C445,Products!$A$2:$A$49,0))*(1+INDEX(Assumptions!$B$16:$B$20,MATCH(B445,Assumptions!$A$16:$A$20,0)))</f>
        <v>28708.24</v>
      </c>
      <c r="J445" s="33" t="n">
        <f aca="false">H445-I445</f>
        <v>6821.76</v>
      </c>
      <c r="K445" s="33" t="n">
        <f aca="false">IF(OR(E445=0,E445&gt;=7),0,D445/(7-E445)*E445*INDEX(Products!$E$2:$E$49,MATCH(C445,Products!$A$2:$A$49,0)))</f>
        <v>0</v>
      </c>
    </row>
    <row r="446" customFormat="false" ht="15" hidden="false" customHeight="false" outlineLevel="0" collapsed="false">
      <c r="A446" s="36" t="n">
        <v>46251</v>
      </c>
      <c r="B446" s="24" t="s">
        <v>61</v>
      </c>
      <c r="C446" s="24" t="s">
        <v>149</v>
      </c>
      <c r="D446" s="33" t="n">
        <v>211</v>
      </c>
      <c r="E446" s="24" t="n">
        <v>0</v>
      </c>
      <c r="F446" s="37" t="n">
        <f aca="false">DATE(YEAR(A446),MONTH(A446),1)</f>
        <v>46235</v>
      </c>
      <c r="G446" s="24" t="str">
        <f aca="false">INDEX(Products!$C$2:$C$49,MATCH(C446,Products!$A$2:$A$49,0))</f>
        <v>Beverages</v>
      </c>
      <c r="H446" s="33" t="n">
        <f aca="false">D446*INDEX(Products!$E$2:$E$49,MATCH(C446,Products!$A$2:$A$49,0))</f>
        <v>40090</v>
      </c>
      <c r="I446" s="33" t="n">
        <f aca="false">D446*INDEX(Products!$D$2:$D$49,MATCH(C446,Products!$A$2:$A$49,0))*(1+INDEX(Assumptions!$B$16:$B$20,MATCH(B446,Assumptions!$A$16:$A$20,0)))</f>
        <v>32392.72</v>
      </c>
      <c r="J446" s="33" t="n">
        <f aca="false">H446-I446</f>
        <v>7697.28</v>
      </c>
      <c r="K446" s="33" t="n">
        <f aca="false">IF(OR(E446=0,E446&gt;=7),0,D446/(7-E446)*E446*INDEX(Products!$E$2:$E$49,MATCH(C446,Products!$A$2:$A$49,0)))</f>
        <v>0</v>
      </c>
    </row>
    <row r="447" customFormat="false" ht="15" hidden="false" customHeight="false" outlineLevel="0" collapsed="false">
      <c r="A447" s="36" t="n">
        <v>46258</v>
      </c>
      <c r="B447" s="24" t="s">
        <v>61</v>
      </c>
      <c r="C447" s="24" t="s">
        <v>149</v>
      </c>
      <c r="D447" s="33" t="n">
        <v>205</v>
      </c>
      <c r="E447" s="24" t="n">
        <v>0</v>
      </c>
      <c r="F447" s="37" t="n">
        <f aca="false">DATE(YEAR(A447),MONTH(A447),1)</f>
        <v>46235</v>
      </c>
      <c r="G447" s="24" t="str">
        <f aca="false">INDEX(Products!$C$2:$C$49,MATCH(C447,Products!$A$2:$A$49,0))</f>
        <v>Beverages</v>
      </c>
      <c r="H447" s="33" t="n">
        <f aca="false">D447*INDEX(Products!$E$2:$E$49,MATCH(C447,Products!$A$2:$A$49,0))</f>
        <v>38950</v>
      </c>
      <c r="I447" s="33" t="n">
        <f aca="false">D447*INDEX(Products!$D$2:$D$49,MATCH(C447,Products!$A$2:$A$49,0))*(1+INDEX(Assumptions!$B$16:$B$20,MATCH(B447,Assumptions!$A$16:$A$20,0)))</f>
        <v>31471.6</v>
      </c>
      <c r="J447" s="33" t="n">
        <f aca="false">H447-I447</f>
        <v>7478.4</v>
      </c>
      <c r="K447" s="33" t="n">
        <f aca="false">IF(OR(E447=0,E447&gt;=7),0,D447/(7-E447)*E447*INDEX(Products!$E$2:$E$49,MATCH(C447,Products!$A$2:$A$49,0)))</f>
        <v>0</v>
      </c>
    </row>
    <row r="448" customFormat="false" ht="15" hidden="false" customHeight="false" outlineLevel="0" collapsed="false">
      <c r="A448" s="36" t="n">
        <v>46265</v>
      </c>
      <c r="B448" s="24" t="s">
        <v>61</v>
      </c>
      <c r="C448" s="24" t="s">
        <v>149</v>
      </c>
      <c r="D448" s="33" t="n">
        <v>221</v>
      </c>
      <c r="E448" s="24" t="n">
        <v>0</v>
      </c>
      <c r="F448" s="37" t="n">
        <f aca="false">DATE(YEAR(A448),MONTH(A448),1)</f>
        <v>46235</v>
      </c>
      <c r="G448" s="24" t="str">
        <f aca="false">INDEX(Products!$C$2:$C$49,MATCH(C448,Products!$A$2:$A$49,0))</f>
        <v>Beverages</v>
      </c>
      <c r="H448" s="33" t="n">
        <f aca="false">D448*INDEX(Products!$E$2:$E$49,MATCH(C448,Products!$A$2:$A$49,0))</f>
        <v>41990</v>
      </c>
      <c r="I448" s="33" t="n">
        <f aca="false">D448*INDEX(Products!$D$2:$D$49,MATCH(C448,Products!$A$2:$A$49,0))*(1+INDEX(Assumptions!$B$16:$B$20,MATCH(B448,Assumptions!$A$16:$A$20,0)))</f>
        <v>33927.92</v>
      </c>
      <c r="J448" s="33" t="n">
        <f aca="false">H448-I448</f>
        <v>8062.08</v>
      </c>
      <c r="K448" s="33" t="n">
        <f aca="false">IF(OR(E448=0,E448&gt;=7),0,D448/(7-E448)*E448*INDEX(Products!$E$2:$E$49,MATCH(C448,Products!$A$2:$A$49,0)))</f>
        <v>0</v>
      </c>
    </row>
    <row r="449" customFormat="false" ht="15" hidden="false" customHeight="false" outlineLevel="0" collapsed="false">
      <c r="A449" s="36" t="n">
        <v>46272</v>
      </c>
      <c r="B449" s="24" t="s">
        <v>61</v>
      </c>
      <c r="C449" s="24" t="s">
        <v>149</v>
      </c>
      <c r="D449" s="33" t="n">
        <v>348</v>
      </c>
      <c r="E449" s="24" t="n">
        <v>0</v>
      </c>
      <c r="F449" s="37" t="n">
        <f aca="false">DATE(YEAR(A449),MONTH(A449),1)</f>
        <v>46266</v>
      </c>
      <c r="G449" s="24" t="str">
        <f aca="false">INDEX(Products!$C$2:$C$49,MATCH(C449,Products!$A$2:$A$49,0))</f>
        <v>Beverages</v>
      </c>
      <c r="H449" s="33" t="n">
        <f aca="false">D449*INDEX(Products!$E$2:$E$49,MATCH(C449,Products!$A$2:$A$49,0))</f>
        <v>66120</v>
      </c>
      <c r="I449" s="33" t="n">
        <f aca="false">D449*INDEX(Products!$D$2:$D$49,MATCH(C449,Products!$A$2:$A$49,0))*(1+INDEX(Assumptions!$B$16:$B$20,MATCH(B449,Assumptions!$A$16:$A$20,0)))</f>
        <v>53424.96</v>
      </c>
      <c r="J449" s="33" t="n">
        <f aca="false">H449-I449</f>
        <v>12695.04</v>
      </c>
      <c r="K449" s="33" t="n">
        <f aca="false">IF(OR(E449=0,E449&gt;=7),0,D449/(7-E449)*E449*INDEX(Products!$E$2:$E$49,MATCH(C449,Products!$A$2:$A$49,0)))</f>
        <v>0</v>
      </c>
    </row>
    <row r="450" customFormat="false" ht="15" hidden="false" customHeight="false" outlineLevel="0" collapsed="false">
      <c r="A450" s="36" t="n">
        <v>46279</v>
      </c>
      <c r="B450" s="24" t="s">
        <v>61</v>
      </c>
      <c r="C450" s="24" t="s">
        <v>149</v>
      </c>
      <c r="D450" s="33" t="n">
        <v>180</v>
      </c>
      <c r="E450" s="24" t="n">
        <v>0</v>
      </c>
      <c r="F450" s="37" t="n">
        <f aca="false">DATE(YEAR(A450),MONTH(A450),1)</f>
        <v>46266</v>
      </c>
      <c r="G450" s="24" t="str">
        <f aca="false">INDEX(Products!$C$2:$C$49,MATCH(C450,Products!$A$2:$A$49,0))</f>
        <v>Beverages</v>
      </c>
      <c r="H450" s="33" t="n">
        <f aca="false">D450*INDEX(Products!$E$2:$E$49,MATCH(C450,Products!$A$2:$A$49,0))</f>
        <v>34200</v>
      </c>
      <c r="I450" s="33" t="n">
        <f aca="false">D450*INDEX(Products!$D$2:$D$49,MATCH(C450,Products!$A$2:$A$49,0))*(1+INDEX(Assumptions!$B$16:$B$20,MATCH(B450,Assumptions!$A$16:$A$20,0)))</f>
        <v>27633.6</v>
      </c>
      <c r="J450" s="33" t="n">
        <f aca="false">H450-I450</f>
        <v>6566.4</v>
      </c>
      <c r="K450" s="33" t="n">
        <f aca="false">IF(OR(E450=0,E450&gt;=7),0,D450/(7-E450)*E450*INDEX(Products!$E$2:$E$49,MATCH(C450,Products!$A$2:$A$49,0)))</f>
        <v>0</v>
      </c>
    </row>
    <row r="451" customFormat="false" ht="15" hidden="false" customHeight="false" outlineLevel="0" collapsed="false">
      <c r="A451" s="36" t="n">
        <v>46286</v>
      </c>
      <c r="B451" s="24" t="s">
        <v>61</v>
      </c>
      <c r="C451" s="24" t="s">
        <v>149</v>
      </c>
      <c r="D451" s="33" t="n">
        <v>206</v>
      </c>
      <c r="E451" s="24" t="n">
        <v>0</v>
      </c>
      <c r="F451" s="37" t="n">
        <f aca="false">DATE(YEAR(A451),MONTH(A451),1)</f>
        <v>46266</v>
      </c>
      <c r="G451" s="24" t="str">
        <f aca="false">INDEX(Products!$C$2:$C$49,MATCH(C451,Products!$A$2:$A$49,0))</f>
        <v>Beverages</v>
      </c>
      <c r="H451" s="33" t="n">
        <f aca="false">D451*INDEX(Products!$E$2:$E$49,MATCH(C451,Products!$A$2:$A$49,0))</f>
        <v>39140</v>
      </c>
      <c r="I451" s="33" t="n">
        <f aca="false">D451*INDEX(Products!$D$2:$D$49,MATCH(C451,Products!$A$2:$A$49,0))*(1+INDEX(Assumptions!$B$16:$B$20,MATCH(B451,Assumptions!$A$16:$A$20,0)))</f>
        <v>31625.12</v>
      </c>
      <c r="J451" s="33" t="n">
        <f aca="false">H451-I451</f>
        <v>7514.88</v>
      </c>
      <c r="K451" s="33" t="n">
        <f aca="false">IF(OR(E451=0,E451&gt;=7),0,D451/(7-E451)*E451*INDEX(Products!$E$2:$E$49,MATCH(C451,Products!$A$2:$A$49,0)))</f>
        <v>0</v>
      </c>
    </row>
    <row r="452" customFormat="false" ht="15" hidden="false" customHeight="false" outlineLevel="0" collapsed="false">
      <c r="A452" s="36" t="n">
        <v>46118</v>
      </c>
      <c r="B452" s="24" t="s">
        <v>61</v>
      </c>
      <c r="C452" s="24" t="s">
        <v>151</v>
      </c>
      <c r="D452" s="33" t="n">
        <v>158</v>
      </c>
      <c r="E452" s="24" t="n">
        <v>0</v>
      </c>
      <c r="F452" s="37" t="n">
        <f aca="false">DATE(YEAR(A452),MONTH(A452),1)</f>
        <v>46113</v>
      </c>
      <c r="G452" s="24" t="str">
        <f aca="false">INDEX(Products!$C$2:$C$49,MATCH(C452,Products!$A$2:$A$49,0))</f>
        <v>Beverages</v>
      </c>
      <c r="H452" s="33" t="n">
        <f aca="false">D452*INDEX(Products!$E$2:$E$49,MATCH(C452,Products!$A$2:$A$49,0))</f>
        <v>30020</v>
      </c>
      <c r="I452" s="33" t="n">
        <f aca="false">D452*INDEX(Products!$D$2:$D$49,MATCH(C452,Products!$A$2:$A$49,0))*(1+INDEX(Assumptions!$B$16:$B$20,MATCH(B452,Assumptions!$A$16:$A$20,0)))</f>
        <v>23777.42</v>
      </c>
      <c r="J452" s="33" t="n">
        <f aca="false">H452-I452</f>
        <v>6242.58</v>
      </c>
      <c r="K452" s="33" t="n">
        <f aca="false">IF(OR(E452=0,E452&gt;=7),0,D452/(7-E452)*E452*INDEX(Products!$E$2:$E$49,MATCH(C452,Products!$A$2:$A$49,0)))</f>
        <v>0</v>
      </c>
    </row>
    <row r="453" customFormat="false" ht="15" hidden="false" customHeight="false" outlineLevel="0" collapsed="false">
      <c r="A453" s="36" t="n">
        <v>46125</v>
      </c>
      <c r="B453" s="24" t="s">
        <v>61</v>
      </c>
      <c r="C453" s="24" t="s">
        <v>151</v>
      </c>
      <c r="D453" s="33" t="n">
        <v>154</v>
      </c>
      <c r="E453" s="24" t="n">
        <v>0</v>
      </c>
      <c r="F453" s="37" t="n">
        <f aca="false">DATE(YEAR(A453),MONTH(A453),1)</f>
        <v>46113</v>
      </c>
      <c r="G453" s="24" t="str">
        <f aca="false">INDEX(Products!$C$2:$C$49,MATCH(C453,Products!$A$2:$A$49,0))</f>
        <v>Beverages</v>
      </c>
      <c r="H453" s="33" t="n">
        <f aca="false">D453*INDEX(Products!$E$2:$E$49,MATCH(C453,Products!$A$2:$A$49,0))</f>
        <v>29260</v>
      </c>
      <c r="I453" s="33" t="n">
        <f aca="false">D453*INDEX(Products!$D$2:$D$49,MATCH(C453,Products!$A$2:$A$49,0))*(1+INDEX(Assumptions!$B$16:$B$20,MATCH(B453,Assumptions!$A$16:$A$20,0)))</f>
        <v>23175.46</v>
      </c>
      <c r="J453" s="33" t="n">
        <f aca="false">H453-I453</f>
        <v>6084.54</v>
      </c>
      <c r="K453" s="33" t="n">
        <f aca="false">IF(OR(E453=0,E453&gt;=7),0,D453/(7-E453)*E453*INDEX(Products!$E$2:$E$49,MATCH(C453,Products!$A$2:$A$49,0)))</f>
        <v>0</v>
      </c>
    </row>
    <row r="454" customFormat="false" ht="15" hidden="false" customHeight="false" outlineLevel="0" collapsed="false">
      <c r="A454" s="36" t="n">
        <v>46132</v>
      </c>
      <c r="B454" s="24" t="s">
        <v>61</v>
      </c>
      <c r="C454" s="24" t="s">
        <v>151</v>
      </c>
      <c r="D454" s="33" t="n">
        <v>180</v>
      </c>
      <c r="E454" s="24" t="n">
        <v>0</v>
      </c>
      <c r="F454" s="37" t="n">
        <f aca="false">DATE(YEAR(A454),MONTH(A454),1)</f>
        <v>46113</v>
      </c>
      <c r="G454" s="24" t="str">
        <f aca="false">INDEX(Products!$C$2:$C$49,MATCH(C454,Products!$A$2:$A$49,0))</f>
        <v>Beverages</v>
      </c>
      <c r="H454" s="33" t="n">
        <f aca="false">D454*INDEX(Products!$E$2:$E$49,MATCH(C454,Products!$A$2:$A$49,0))</f>
        <v>34200</v>
      </c>
      <c r="I454" s="33" t="n">
        <f aca="false">D454*INDEX(Products!$D$2:$D$49,MATCH(C454,Products!$A$2:$A$49,0))*(1+INDEX(Assumptions!$B$16:$B$20,MATCH(B454,Assumptions!$A$16:$A$20,0)))</f>
        <v>27088.2</v>
      </c>
      <c r="J454" s="33" t="n">
        <f aca="false">H454-I454</f>
        <v>7111.8</v>
      </c>
      <c r="K454" s="33" t="n">
        <f aca="false">IF(OR(E454=0,E454&gt;=7),0,D454/(7-E454)*E454*INDEX(Products!$E$2:$E$49,MATCH(C454,Products!$A$2:$A$49,0)))</f>
        <v>0</v>
      </c>
    </row>
    <row r="455" customFormat="false" ht="15" hidden="false" customHeight="false" outlineLevel="0" collapsed="false">
      <c r="A455" s="36" t="n">
        <v>46139</v>
      </c>
      <c r="B455" s="24" t="s">
        <v>61</v>
      </c>
      <c r="C455" s="24" t="s">
        <v>151</v>
      </c>
      <c r="D455" s="33" t="n">
        <v>189</v>
      </c>
      <c r="E455" s="24" t="n">
        <v>0</v>
      </c>
      <c r="F455" s="37" t="n">
        <f aca="false">DATE(YEAR(A455),MONTH(A455),1)</f>
        <v>46113</v>
      </c>
      <c r="G455" s="24" t="str">
        <f aca="false">INDEX(Products!$C$2:$C$49,MATCH(C455,Products!$A$2:$A$49,0))</f>
        <v>Beverages</v>
      </c>
      <c r="H455" s="33" t="n">
        <f aca="false">D455*INDEX(Products!$E$2:$E$49,MATCH(C455,Products!$A$2:$A$49,0))</f>
        <v>35910</v>
      </c>
      <c r="I455" s="33" t="n">
        <f aca="false">D455*INDEX(Products!$D$2:$D$49,MATCH(C455,Products!$A$2:$A$49,0))*(1+INDEX(Assumptions!$B$16:$B$20,MATCH(B455,Assumptions!$A$16:$A$20,0)))</f>
        <v>28442.61</v>
      </c>
      <c r="J455" s="33" t="n">
        <f aca="false">H455-I455</f>
        <v>7467.39</v>
      </c>
      <c r="K455" s="33" t="n">
        <f aca="false">IF(OR(E455=0,E455&gt;=7),0,D455/(7-E455)*E455*INDEX(Products!$E$2:$E$49,MATCH(C455,Products!$A$2:$A$49,0)))</f>
        <v>0</v>
      </c>
    </row>
    <row r="456" customFormat="false" ht="15" hidden="false" customHeight="false" outlineLevel="0" collapsed="false">
      <c r="A456" s="36" t="n">
        <v>46146</v>
      </c>
      <c r="B456" s="24" t="s">
        <v>61</v>
      </c>
      <c r="C456" s="24" t="s">
        <v>151</v>
      </c>
      <c r="D456" s="33" t="n">
        <v>158</v>
      </c>
      <c r="E456" s="24" t="n">
        <v>0</v>
      </c>
      <c r="F456" s="37" t="n">
        <f aca="false">DATE(YEAR(A456),MONTH(A456),1)</f>
        <v>46143</v>
      </c>
      <c r="G456" s="24" t="str">
        <f aca="false">INDEX(Products!$C$2:$C$49,MATCH(C456,Products!$A$2:$A$49,0))</f>
        <v>Beverages</v>
      </c>
      <c r="H456" s="33" t="n">
        <f aca="false">D456*INDEX(Products!$E$2:$E$49,MATCH(C456,Products!$A$2:$A$49,0))</f>
        <v>30020</v>
      </c>
      <c r="I456" s="33" t="n">
        <f aca="false">D456*INDEX(Products!$D$2:$D$49,MATCH(C456,Products!$A$2:$A$49,0))*(1+INDEX(Assumptions!$B$16:$B$20,MATCH(B456,Assumptions!$A$16:$A$20,0)))</f>
        <v>23777.42</v>
      </c>
      <c r="J456" s="33" t="n">
        <f aca="false">H456-I456</f>
        <v>6242.58</v>
      </c>
      <c r="K456" s="33" t="n">
        <f aca="false">IF(OR(E456=0,E456&gt;=7),0,D456/(7-E456)*E456*INDEX(Products!$E$2:$E$49,MATCH(C456,Products!$A$2:$A$49,0)))</f>
        <v>0</v>
      </c>
    </row>
    <row r="457" customFormat="false" ht="15" hidden="false" customHeight="false" outlineLevel="0" collapsed="false">
      <c r="A457" s="36" t="n">
        <v>46153</v>
      </c>
      <c r="B457" s="24" t="s">
        <v>61</v>
      </c>
      <c r="C457" s="24" t="s">
        <v>151</v>
      </c>
      <c r="D457" s="33" t="n">
        <v>173</v>
      </c>
      <c r="E457" s="24" t="n">
        <v>0</v>
      </c>
      <c r="F457" s="37" t="n">
        <f aca="false">DATE(YEAR(A457),MONTH(A457),1)</f>
        <v>46143</v>
      </c>
      <c r="G457" s="24" t="str">
        <f aca="false">INDEX(Products!$C$2:$C$49,MATCH(C457,Products!$A$2:$A$49,0))</f>
        <v>Beverages</v>
      </c>
      <c r="H457" s="33" t="n">
        <f aca="false">D457*INDEX(Products!$E$2:$E$49,MATCH(C457,Products!$A$2:$A$49,0))</f>
        <v>32870</v>
      </c>
      <c r="I457" s="33" t="n">
        <f aca="false">D457*INDEX(Products!$D$2:$D$49,MATCH(C457,Products!$A$2:$A$49,0))*(1+INDEX(Assumptions!$B$16:$B$20,MATCH(B457,Assumptions!$A$16:$A$20,0)))</f>
        <v>26034.77</v>
      </c>
      <c r="J457" s="33" t="n">
        <f aca="false">H457-I457</f>
        <v>6835.23</v>
      </c>
      <c r="K457" s="33" t="n">
        <f aca="false">IF(OR(E457=0,E457&gt;=7),0,D457/(7-E457)*E457*INDEX(Products!$E$2:$E$49,MATCH(C457,Products!$A$2:$A$49,0)))</f>
        <v>0</v>
      </c>
    </row>
    <row r="458" customFormat="false" ht="15" hidden="false" customHeight="false" outlineLevel="0" collapsed="false">
      <c r="A458" s="36" t="n">
        <v>46160</v>
      </c>
      <c r="B458" s="24" t="s">
        <v>61</v>
      </c>
      <c r="C458" s="24" t="s">
        <v>151</v>
      </c>
      <c r="D458" s="33" t="n">
        <v>167</v>
      </c>
      <c r="E458" s="24" t="n">
        <v>0</v>
      </c>
      <c r="F458" s="37" t="n">
        <f aca="false">DATE(YEAR(A458),MONTH(A458),1)</f>
        <v>46143</v>
      </c>
      <c r="G458" s="24" t="str">
        <f aca="false">INDEX(Products!$C$2:$C$49,MATCH(C458,Products!$A$2:$A$49,0))</f>
        <v>Beverages</v>
      </c>
      <c r="H458" s="33" t="n">
        <f aca="false">D458*INDEX(Products!$E$2:$E$49,MATCH(C458,Products!$A$2:$A$49,0))</f>
        <v>31730</v>
      </c>
      <c r="I458" s="33" t="n">
        <f aca="false">D458*INDEX(Products!$D$2:$D$49,MATCH(C458,Products!$A$2:$A$49,0))*(1+INDEX(Assumptions!$B$16:$B$20,MATCH(B458,Assumptions!$A$16:$A$20,0)))</f>
        <v>25131.83</v>
      </c>
      <c r="J458" s="33" t="n">
        <f aca="false">H458-I458</f>
        <v>6598.17</v>
      </c>
      <c r="K458" s="33" t="n">
        <f aca="false">IF(OR(E458=0,E458&gt;=7),0,D458/(7-E458)*E458*INDEX(Products!$E$2:$E$49,MATCH(C458,Products!$A$2:$A$49,0)))</f>
        <v>0</v>
      </c>
    </row>
    <row r="459" customFormat="false" ht="15" hidden="false" customHeight="false" outlineLevel="0" collapsed="false">
      <c r="A459" s="36" t="n">
        <v>46167</v>
      </c>
      <c r="B459" s="24" t="s">
        <v>61</v>
      </c>
      <c r="C459" s="24" t="s">
        <v>151</v>
      </c>
      <c r="D459" s="33" t="n">
        <v>206</v>
      </c>
      <c r="E459" s="24" t="n">
        <v>0</v>
      </c>
      <c r="F459" s="37" t="n">
        <f aca="false">DATE(YEAR(A459),MONTH(A459),1)</f>
        <v>46143</v>
      </c>
      <c r="G459" s="24" t="str">
        <f aca="false">INDEX(Products!$C$2:$C$49,MATCH(C459,Products!$A$2:$A$49,0))</f>
        <v>Beverages</v>
      </c>
      <c r="H459" s="33" t="n">
        <f aca="false">D459*INDEX(Products!$E$2:$E$49,MATCH(C459,Products!$A$2:$A$49,0))</f>
        <v>39140</v>
      </c>
      <c r="I459" s="33" t="n">
        <f aca="false">D459*INDEX(Products!$D$2:$D$49,MATCH(C459,Products!$A$2:$A$49,0))*(1+INDEX(Assumptions!$B$16:$B$20,MATCH(B459,Assumptions!$A$16:$A$20,0)))</f>
        <v>31000.94</v>
      </c>
      <c r="J459" s="33" t="n">
        <f aca="false">H459-I459</f>
        <v>8139.06</v>
      </c>
      <c r="K459" s="33" t="n">
        <f aca="false">IF(OR(E459=0,E459&gt;=7),0,D459/(7-E459)*E459*INDEX(Products!$E$2:$E$49,MATCH(C459,Products!$A$2:$A$49,0)))</f>
        <v>0</v>
      </c>
    </row>
    <row r="460" customFormat="false" ht="15" hidden="false" customHeight="false" outlineLevel="0" collapsed="false">
      <c r="A460" s="36" t="n">
        <v>46174</v>
      </c>
      <c r="B460" s="24" t="s">
        <v>61</v>
      </c>
      <c r="C460" s="24" t="s">
        <v>151</v>
      </c>
      <c r="D460" s="33" t="n">
        <v>150</v>
      </c>
      <c r="E460" s="24" t="n">
        <v>0</v>
      </c>
      <c r="F460" s="37" t="n">
        <f aca="false">DATE(YEAR(A460),MONTH(A460),1)</f>
        <v>46174</v>
      </c>
      <c r="G460" s="24" t="str">
        <f aca="false">INDEX(Products!$C$2:$C$49,MATCH(C460,Products!$A$2:$A$49,0))</f>
        <v>Beverages</v>
      </c>
      <c r="H460" s="33" t="n">
        <f aca="false">D460*INDEX(Products!$E$2:$E$49,MATCH(C460,Products!$A$2:$A$49,0))</f>
        <v>28500</v>
      </c>
      <c r="I460" s="33" t="n">
        <f aca="false">D460*INDEX(Products!$D$2:$D$49,MATCH(C460,Products!$A$2:$A$49,0))*(1+INDEX(Assumptions!$B$16:$B$20,MATCH(B460,Assumptions!$A$16:$A$20,0)))</f>
        <v>22573.5</v>
      </c>
      <c r="J460" s="33" t="n">
        <f aca="false">H460-I460</f>
        <v>5926.5</v>
      </c>
      <c r="K460" s="33" t="n">
        <f aca="false">IF(OR(E460=0,E460&gt;=7),0,D460/(7-E460)*E460*INDEX(Products!$E$2:$E$49,MATCH(C460,Products!$A$2:$A$49,0)))</f>
        <v>0</v>
      </c>
    </row>
    <row r="461" customFormat="false" ht="15" hidden="false" customHeight="false" outlineLevel="0" collapsed="false">
      <c r="A461" s="36" t="n">
        <v>46181</v>
      </c>
      <c r="B461" s="24" t="s">
        <v>61</v>
      </c>
      <c r="C461" s="24" t="s">
        <v>151</v>
      </c>
      <c r="D461" s="33" t="n">
        <v>157</v>
      </c>
      <c r="E461" s="24" t="n">
        <v>0</v>
      </c>
      <c r="F461" s="37" t="n">
        <f aca="false">DATE(YEAR(A461),MONTH(A461),1)</f>
        <v>46174</v>
      </c>
      <c r="G461" s="24" t="str">
        <f aca="false">INDEX(Products!$C$2:$C$49,MATCH(C461,Products!$A$2:$A$49,0))</f>
        <v>Beverages</v>
      </c>
      <c r="H461" s="33" t="n">
        <f aca="false">D461*INDEX(Products!$E$2:$E$49,MATCH(C461,Products!$A$2:$A$49,0))</f>
        <v>29830</v>
      </c>
      <c r="I461" s="33" t="n">
        <f aca="false">D461*INDEX(Products!$D$2:$D$49,MATCH(C461,Products!$A$2:$A$49,0))*(1+INDEX(Assumptions!$B$16:$B$20,MATCH(B461,Assumptions!$A$16:$A$20,0)))</f>
        <v>23626.93</v>
      </c>
      <c r="J461" s="33" t="n">
        <f aca="false">H461-I461</f>
        <v>6203.07</v>
      </c>
      <c r="K461" s="33" t="n">
        <f aca="false">IF(OR(E461=0,E461&gt;=7),0,D461/(7-E461)*E461*INDEX(Products!$E$2:$E$49,MATCH(C461,Products!$A$2:$A$49,0)))</f>
        <v>0</v>
      </c>
    </row>
    <row r="462" customFormat="false" ht="15" hidden="false" customHeight="false" outlineLevel="0" collapsed="false">
      <c r="A462" s="36" t="n">
        <v>46188</v>
      </c>
      <c r="B462" s="24" t="s">
        <v>61</v>
      </c>
      <c r="C462" s="24" t="s">
        <v>151</v>
      </c>
      <c r="D462" s="33" t="n">
        <v>161</v>
      </c>
      <c r="E462" s="24" t="n">
        <v>0</v>
      </c>
      <c r="F462" s="37" t="n">
        <f aca="false">DATE(YEAR(A462),MONTH(A462),1)</f>
        <v>46174</v>
      </c>
      <c r="G462" s="24" t="str">
        <f aca="false">INDEX(Products!$C$2:$C$49,MATCH(C462,Products!$A$2:$A$49,0))</f>
        <v>Beverages</v>
      </c>
      <c r="H462" s="33" t="n">
        <f aca="false">D462*INDEX(Products!$E$2:$E$49,MATCH(C462,Products!$A$2:$A$49,0))</f>
        <v>30590</v>
      </c>
      <c r="I462" s="33" t="n">
        <f aca="false">D462*INDEX(Products!$D$2:$D$49,MATCH(C462,Products!$A$2:$A$49,0))*(1+INDEX(Assumptions!$B$16:$B$20,MATCH(B462,Assumptions!$A$16:$A$20,0)))</f>
        <v>24228.89</v>
      </c>
      <c r="J462" s="33" t="n">
        <f aca="false">H462-I462</f>
        <v>6361.11</v>
      </c>
      <c r="K462" s="33" t="n">
        <f aca="false">IF(OR(E462=0,E462&gt;=7),0,D462/(7-E462)*E462*INDEX(Products!$E$2:$E$49,MATCH(C462,Products!$A$2:$A$49,0)))</f>
        <v>0</v>
      </c>
    </row>
    <row r="463" customFormat="false" ht="15" hidden="false" customHeight="false" outlineLevel="0" collapsed="false">
      <c r="A463" s="36" t="n">
        <v>46195</v>
      </c>
      <c r="B463" s="24" t="s">
        <v>61</v>
      </c>
      <c r="C463" s="24" t="s">
        <v>151</v>
      </c>
      <c r="D463" s="33" t="n">
        <v>176</v>
      </c>
      <c r="E463" s="24" t="n">
        <v>0</v>
      </c>
      <c r="F463" s="37" t="n">
        <f aca="false">DATE(YEAR(A463),MONTH(A463),1)</f>
        <v>46174</v>
      </c>
      <c r="G463" s="24" t="str">
        <f aca="false">INDEX(Products!$C$2:$C$49,MATCH(C463,Products!$A$2:$A$49,0))</f>
        <v>Beverages</v>
      </c>
      <c r="H463" s="33" t="n">
        <f aca="false">D463*INDEX(Products!$E$2:$E$49,MATCH(C463,Products!$A$2:$A$49,0))</f>
        <v>33440</v>
      </c>
      <c r="I463" s="33" t="n">
        <f aca="false">D463*INDEX(Products!$D$2:$D$49,MATCH(C463,Products!$A$2:$A$49,0))*(1+INDEX(Assumptions!$B$16:$B$20,MATCH(B463,Assumptions!$A$16:$A$20,0)))</f>
        <v>26486.24</v>
      </c>
      <c r="J463" s="33" t="n">
        <f aca="false">H463-I463</f>
        <v>6953.76</v>
      </c>
      <c r="K463" s="33" t="n">
        <f aca="false">IF(OR(E463=0,E463&gt;=7),0,D463/(7-E463)*E463*INDEX(Products!$E$2:$E$49,MATCH(C463,Products!$A$2:$A$49,0)))</f>
        <v>0</v>
      </c>
    </row>
    <row r="464" customFormat="false" ht="15" hidden="false" customHeight="false" outlineLevel="0" collapsed="false">
      <c r="A464" s="36" t="n">
        <v>46202</v>
      </c>
      <c r="B464" s="24" t="s">
        <v>61</v>
      </c>
      <c r="C464" s="24" t="s">
        <v>151</v>
      </c>
      <c r="D464" s="33" t="n">
        <v>183</v>
      </c>
      <c r="E464" s="24" t="n">
        <v>0</v>
      </c>
      <c r="F464" s="37" t="n">
        <f aca="false">DATE(YEAR(A464),MONTH(A464),1)</f>
        <v>46174</v>
      </c>
      <c r="G464" s="24" t="str">
        <f aca="false">INDEX(Products!$C$2:$C$49,MATCH(C464,Products!$A$2:$A$49,0))</f>
        <v>Beverages</v>
      </c>
      <c r="H464" s="33" t="n">
        <f aca="false">D464*INDEX(Products!$E$2:$E$49,MATCH(C464,Products!$A$2:$A$49,0))</f>
        <v>34770</v>
      </c>
      <c r="I464" s="33" t="n">
        <f aca="false">D464*INDEX(Products!$D$2:$D$49,MATCH(C464,Products!$A$2:$A$49,0))*(1+INDEX(Assumptions!$B$16:$B$20,MATCH(B464,Assumptions!$A$16:$A$20,0)))</f>
        <v>27539.67</v>
      </c>
      <c r="J464" s="33" t="n">
        <f aca="false">H464-I464</f>
        <v>7230.33</v>
      </c>
      <c r="K464" s="33" t="n">
        <f aca="false">IF(OR(E464=0,E464&gt;=7),0,D464/(7-E464)*E464*INDEX(Products!$E$2:$E$49,MATCH(C464,Products!$A$2:$A$49,0)))</f>
        <v>0</v>
      </c>
    </row>
    <row r="465" customFormat="false" ht="15" hidden="false" customHeight="false" outlineLevel="0" collapsed="false">
      <c r="A465" s="36" t="n">
        <v>46209</v>
      </c>
      <c r="B465" s="24" t="s">
        <v>61</v>
      </c>
      <c r="C465" s="24" t="s">
        <v>151</v>
      </c>
      <c r="D465" s="33" t="n">
        <v>147</v>
      </c>
      <c r="E465" s="24" t="n">
        <v>0</v>
      </c>
      <c r="F465" s="37" t="n">
        <f aca="false">DATE(YEAR(A465),MONTH(A465),1)</f>
        <v>46204</v>
      </c>
      <c r="G465" s="24" t="str">
        <f aca="false">INDEX(Products!$C$2:$C$49,MATCH(C465,Products!$A$2:$A$49,0))</f>
        <v>Beverages</v>
      </c>
      <c r="H465" s="33" t="n">
        <f aca="false">D465*INDEX(Products!$E$2:$E$49,MATCH(C465,Products!$A$2:$A$49,0))</f>
        <v>27930</v>
      </c>
      <c r="I465" s="33" t="n">
        <f aca="false">D465*INDEX(Products!$D$2:$D$49,MATCH(C465,Products!$A$2:$A$49,0))*(1+INDEX(Assumptions!$B$16:$B$20,MATCH(B465,Assumptions!$A$16:$A$20,0)))</f>
        <v>22122.03</v>
      </c>
      <c r="J465" s="33" t="n">
        <f aca="false">H465-I465</f>
        <v>5807.97</v>
      </c>
      <c r="K465" s="33" t="n">
        <f aca="false">IF(OR(E465=0,E465&gt;=7),0,D465/(7-E465)*E465*INDEX(Products!$E$2:$E$49,MATCH(C465,Products!$A$2:$A$49,0)))</f>
        <v>0</v>
      </c>
    </row>
    <row r="466" customFormat="false" ht="15" hidden="false" customHeight="false" outlineLevel="0" collapsed="false">
      <c r="A466" s="36" t="n">
        <v>46216</v>
      </c>
      <c r="B466" s="24" t="s">
        <v>61</v>
      </c>
      <c r="C466" s="24" t="s">
        <v>151</v>
      </c>
      <c r="D466" s="33" t="n">
        <v>167</v>
      </c>
      <c r="E466" s="24" t="n">
        <v>0</v>
      </c>
      <c r="F466" s="37" t="n">
        <f aca="false">DATE(YEAR(A466),MONTH(A466),1)</f>
        <v>46204</v>
      </c>
      <c r="G466" s="24" t="str">
        <f aca="false">INDEX(Products!$C$2:$C$49,MATCH(C466,Products!$A$2:$A$49,0))</f>
        <v>Beverages</v>
      </c>
      <c r="H466" s="33" t="n">
        <f aca="false">D466*INDEX(Products!$E$2:$E$49,MATCH(C466,Products!$A$2:$A$49,0))</f>
        <v>31730</v>
      </c>
      <c r="I466" s="33" t="n">
        <f aca="false">D466*INDEX(Products!$D$2:$D$49,MATCH(C466,Products!$A$2:$A$49,0))*(1+INDEX(Assumptions!$B$16:$B$20,MATCH(B466,Assumptions!$A$16:$A$20,0)))</f>
        <v>25131.83</v>
      </c>
      <c r="J466" s="33" t="n">
        <f aca="false">H466-I466</f>
        <v>6598.17</v>
      </c>
      <c r="K466" s="33" t="n">
        <f aca="false">IF(OR(E466=0,E466&gt;=7),0,D466/(7-E466)*E466*INDEX(Products!$E$2:$E$49,MATCH(C466,Products!$A$2:$A$49,0)))</f>
        <v>0</v>
      </c>
    </row>
    <row r="467" customFormat="false" ht="15" hidden="false" customHeight="false" outlineLevel="0" collapsed="false">
      <c r="A467" s="36" t="n">
        <v>46223</v>
      </c>
      <c r="B467" s="24" t="s">
        <v>61</v>
      </c>
      <c r="C467" s="24" t="s">
        <v>151</v>
      </c>
      <c r="D467" s="33" t="n">
        <v>150</v>
      </c>
      <c r="E467" s="24" t="n">
        <v>0</v>
      </c>
      <c r="F467" s="37" t="n">
        <f aca="false">DATE(YEAR(A467),MONTH(A467),1)</f>
        <v>46204</v>
      </c>
      <c r="G467" s="24" t="str">
        <f aca="false">INDEX(Products!$C$2:$C$49,MATCH(C467,Products!$A$2:$A$49,0))</f>
        <v>Beverages</v>
      </c>
      <c r="H467" s="33" t="n">
        <f aca="false">D467*INDEX(Products!$E$2:$E$49,MATCH(C467,Products!$A$2:$A$49,0))</f>
        <v>28500</v>
      </c>
      <c r="I467" s="33" t="n">
        <f aca="false">D467*INDEX(Products!$D$2:$D$49,MATCH(C467,Products!$A$2:$A$49,0))*(1+INDEX(Assumptions!$B$16:$B$20,MATCH(B467,Assumptions!$A$16:$A$20,0)))</f>
        <v>22573.5</v>
      </c>
      <c r="J467" s="33" t="n">
        <f aca="false">H467-I467</f>
        <v>5926.5</v>
      </c>
      <c r="K467" s="33" t="n">
        <f aca="false">IF(OR(E467=0,E467&gt;=7),0,D467/(7-E467)*E467*INDEX(Products!$E$2:$E$49,MATCH(C467,Products!$A$2:$A$49,0)))</f>
        <v>0</v>
      </c>
    </row>
    <row r="468" customFormat="false" ht="15" hidden="false" customHeight="false" outlineLevel="0" collapsed="false">
      <c r="A468" s="36" t="n">
        <v>46230</v>
      </c>
      <c r="B468" s="24" t="s">
        <v>61</v>
      </c>
      <c r="C468" s="24" t="s">
        <v>151</v>
      </c>
      <c r="D468" s="33" t="n">
        <v>187</v>
      </c>
      <c r="E468" s="24" t="n">
        <v>0</v>
      </c>
      <c r="F468" s="37" t="n">
        <f aca="false">DATE(YEAR(A468),MONTH(A468),1)</f>
        <v>46204</v>
      </c>
      <c r="G468" s="24" t="str">
        <f aca="false">INDEX(Products!$C$2:$C$49,MATCH(C468,Products!$A$2:$A$49,0))</f>
        <v>Beverages</v>
      </c>
      <c r="H468" s="33" t="n">
        <f aca="false">D468*INDEX(Products!$E$2:$E$49,MATCH(C468,Products!$A$2:$A$49,0))</f>
        <v>35530</v>
      </c>
      <c r="I468" s="33" t="n">
        <f aca="false">D468*INDEX(Products!$D$2:$D$49,MATCH(C468,Products!$A$2:$A$49,0))*(1+INDEX(Assumptions!$B$16:$B$20,MATCH(B468,Assumptions!$A$16:$A$20,0)))</f>
        <v>28141.63</v>
      </c>
      <c r="J468" s="33" t="n">
        <f aca="false">H468-I468</f>
        <v>7388.37</v>
      </c>
      <c r="K468" s="33" t="n">
        <f aca="false">IF(OR(E468=0,E468&gt;=7),0,D468/(7-E468)*E468*INDEX(Products!$E$2:$E$49,MATCH(C468,Products!$A$2:$A$49,0)))</f>
        <v>0</v>
      </c>
    </row>
    <row r="469" customFormat="false" ht="15" hidden="false" customHeight="false" outlineLevel="0" collapsed="false">
      <c r="A469" s="36" t="n">
        <v>46237</v>
      </c>
      <c r="B469" s="24" t="s">
        <v>61</v>
      </c>
      <c r="C469" s="24" t="s">
        <v>151</v>
      </c>
      <c r="D469" s="33" t="n">
        <v>122</v>
      </c>
      <c r="E469" s="24" t="n">
        <v>0</v>
      </c>
      <c r="F469" s="37" t="n">
        <f aca="false">DATE(YEAR(A469),MONTH(A469),1)</f>
        <v>46235</v>
      </c>
      <c r="G469" s="24" t="str">
        <f aca="false">INDEX(Products!$C$2:$C$49,MATCH(C469,Products!$A$2:$A$49,0))</f>
        <v>Beverages</v>
      </c>
      <c r="H469" s="33" t="n">
        <f aca="false">D469*INDEX(Products!$E$2:$E$49,MATCH(C469,Products!$A$2:$A$49,0))</f>
        <v>23180</v>
      </c>
      <c r="I469" s="33" t="n">
        <f aca="false">D469*INDEX(Products!$D$2:$D$49,MATCH(C469,Products!$A$2:$A$49,0))*(1+INDEX(Assumptions!$B$16:$B$20,MATCH(B469,Assumptions!$A$16:$A$20,0)))</f>
        <v>18359.78</v>
      </c>
      <c r="J469" s="33" t="n">
        <f aca="false">H469-I469</f>
        <v>4820.22</v>
      </c>
      <c r="K469" s="33" t="n">
        <f aca="false">IF(OR(E469=0,E469&gt;=7),0,D469/(7-E469)*E469*INDEX(Products!$E$2:$E$49,MATCH(C469,Products!$A$2:$A$49,0)))</f>
        <v>0</v>
      </c>
    </row>
    <row r="470" customFormat="false" ht="15" hidden="false" customHeight="false" outlineLevel="0" collapsed="false">
      <c r="A470" s="36" t="n">
        <v>46244</v>
      </c>
      <c r="B470" s="24" t="s">
        <v>61</v>
      </c>
      <c r="C470" s="24" t="s">
        <v>151</v>
      </c>
      <c r="D470" s="33" t="n">
        <v>140</v>
      </c>
      <c r="E470" s="24" t="n">
        <v>0</v>
      </c>
      <c r="F470" s="37" t="n">
        <f aca="false">DATE(YEAR(A470),MONTH(A470),1)</f>
        <v>46235</v>
      </c>
      <c r="G470" s="24" t="str">
        <f aca="false">INDEX(Products!$C$2:$C$49,MATCH(C470,Products!$A$2:$A$49,0))</f>
        <v>Beverages</v>
      </c>
      <c r="H470" s="33" t="n">
        <f aca="false">D470*INDEX(Products!$E$2:$E$49,MATCH(C470,Products!$A$2:$A$49,0))</f>
        <v>26600</v>
      </c>
      <c r="I470" s="33" t="n">
        <f aca="false">D470*INDEX(Products!$D$2:$D$49,MATCH(C470,Products!$A$2:$A$49,0))*(1+INDEX(Assumptions!$B$16:$B$20,MATCH(B470,Assumptions!$A$16:$A$20,0)))</f>
        <v>21068.6</v>
      </c>
      <c r="J470" s="33" t="n">
        <f aca="false">H470-I470</f>
        <v>5531.4</v>
      </c>
      <c r="K470" s="33" t="n">
        <f aca="false">IF(OR(E470=0,E470&gt;=7),0,D470/(7-E470)*E470*INDEX(Products!$E$2:$E$49,MATCH(C470,Products!$A$2:$A$49,0)))</f>
        <v>0</v>
      </c>
    </row>
    <row r="471" customFormat="false" ht="15" hidden="false" customHeight="false" outlineLevel="0" collapsed="false">
      <c r="A471" s="36" t="n">
        <v>46251</v>
      </c>
      <c r="B471" s="24" t="s">
        <v>61</v>
      </c>
      <c r="C471" s="24" t="s">
        <v>151</v>
      </c>
      <c r="D471" s="33" t="n">
        <v>153</v>
      </c>
      <c r="E471" s="24" t="n">
        <v>0</v>
      </c>
      <c r="F471" s="37" t="n">
        <f aca="false">DATE(YEAR(A471),MONTH(A471),1)</f>
        <v>46235</v>
      </c>
      <c r="G471" s="24" t="str">
        <f aca="false">INDEX(Products!$C$2:$C$49,MATCH(C471,Products!$A$2:$A$49,0))</f>
        <v>Beverages</v>
      </c>
      <c r="H471" s="33" t="n">
        <f aca="false">D471*INDEX(Products!$E$2:$E$49,MATCH(C471,Products!$A$2:$A$49,0))</f>
        <v>29070</v>
      </c>
      <c r="I471" s="33" t="n">
        <f aca="false">D471*INDEX(Products!$D$2:$D$49,MATCH(C471,Products!$A$2:$A$49,0))*(1+INDEX(Assumptions!$B$16:$B$20,MATCH(B471,Assumptions!$A$16:$A$20,0)))</f>
        <v>23024.97</v>
      </c>
      <c r="J471" s="33" t="n">
        <f aca="false">H471-I471</f>
        <v>6045.03</v>
      </c>
      <c r="K471" s="33" t="n">
        <f aca="false">IF(OR(E471=0,E471&gt;=7),0,D471/(7-E471)*E471*INDEX(Products!$E$2:$E$49,MATCH(C471,Products!$A$2:$A$49,0)))</f>
        <v>0</v>
      </c>
    </row>
    <row r="472" customFormat="false" ht="15" hidden="false" customHeight="false" outlineLevel="0" collapsed="false">
      <c r="A472" s="36" t="n">
        <v>46258</v>
      </c>
      <c r="B472" s="24" t="s">
        <v>61</v>
      </c>
      <c r="C472" s="24" t="s">
        <v>151</v>
      </c>
      <c r="D472" s="33" t="n">
        <v>164</v>
      </c>
      <c r="E472" s="24" t="n">
        <v>0</v>
      </c>
      <c r="F472" s="37" t="n">
        <f aca="false">DATE(YEAR(A472),MONTH(A472),1)</f>
        <v>46235</v>
      </c>
      <c r="G472" s="24" t="str">
        <f aca="false">INDEX(Products!$C$2:$C$49,MATCH(C472,Products!$A$2:$A$49,0))</f>
        <v>Beverages</v>
      </c>
      <c r="H472" s="33" t="n">
        <f aca="false">D472*INDEX(Products!$E$2:$E$49,MATCH(C472,Products!$A$2:$A$49,0))</f>
        <v>31160</v>
      </c>
      <c r="I472" s="33" t="n">
        <f aca="false">D472*INDEX(Products!$D$2:$D$49,MATCH(C472,Products!$A$2:$A$49,0))*(1+INDEX(Assumptions!$B$16:$B$20,MATCH(B472,Assumptions!$A$16:$A$20,0)))</f>
        <v>24680.36</v>
      </c>
      <c r="J472" s="33" t="n">
        <f aca="false">H472-I472</f>
        <v>6479.64</v>
      </c>
      <c r="K472" s="33" t="n">
        <f aca="false">IF(OR(E472=0,E472&gt;=7),0,D472/(7-E472)*E472*INDEX(Products!$E$2:$E$49,MATCH(C472,Products!$A$2:$A$49,0)))</f>
        <v>0</v>
      </c>
    </row>
    <row r="473" customFormat="false" ht="15" hidden="false" customHeight="false" outlineLevel="0" collapsed="false">
      <c r="A473" s="36" t="n">
        <v>46265</v>
      </c>
      <c r="B473" s="24" t="s">
        <v>61</v>
      </c>
      <c r="C473" s="24" t="s">
        <v>151</v>
      </c>
      <c r="D473" s="33" t="n">
        <v>69</v>
      </c>
      <c r="E473" s="24" t="n">
        <v>4</v>
      </c>
      <c r="F473" s="37" t="n">
        <f aca="false">DATE(YEAR(A473),MONTH(A473),1)</f>
        <v>46235</v>
      </c>
      <c r="G473" s="24" t="str">
        <f aca="false">INDEX(Products!$C$2:$C$49,MATCH(C473,Products!$A$2:$A$49,0))</f>
        <v>Beverages</v>
      </c>
      <c r="H473" s="33" t="n">
        <f aca="false">D473*INDEX(Products!$E$2:$E$49,MATCH(C473,Products!$A$2:$A$49,0))</f>
        <v>13110</v>
      </c>
      <c r="I473" s="33" t="n">
        <f aca="false">D473*INDEX(Products!$D$2:$D$49,MATCH(C473,Products!$A$2:$A$49,0))*(1+INDEX(Assumptions!$B$16:$B$20,MATCH(B473,Assumptions!$A$16:$A$20,0)))</f>
        <v>10383.81</v>
      </c>
      <c r="J473" s="33" t="n">
        <f aca="false">H473-I473</f>
        <v>2726.19</v>
      </c>
      <c r="K473" s="33" t="n">
        <f aca="false">IF(OR(E473=0,E473&gt;=7),0,D473/(7-E473)*E473*INDEX(Products!$E$2:$E$49,MATCH(C473,Products!$A$2:$A$49,0)))</f>
        <v>17480</v>
      </c>
    </row>
    <row r="474" customFormat="false" ht="15" hidden="false" customHeight="false" outlineLevel="0" collapsed="false">
      <c r="A474" s="36" t="n">
        <v>46272</v>
      </c>
      <c r="B474" s="24" t="s">
        <v>61</v>
      </c>
      <c r="C474" s="24" t="s">
        <v>151</v>
      </c>
      <c r="D474" s="33" t="n">
        <v>156</v>
      </c>
      <c r="E474" s="24" t="n">
        <v>0</v>
      </c>
      <c r="F474" s="37" t="n">
        <f aca="false">DATE(YEAR(A474),MONTH(A474),1)</f>
        <v>46266</v>
      </c>
      <c r="G474" s="24" t="str">
        <f aca="false">INDEX(Products!$C$2:$C$49,MATCH(C474,Products!$A$2:$A$49,0))</f>
        <v>Beverages</v>
      </c>
      <c r="H474" s="33" t="n">
        <f aca="false">D474*INDEX(Products!$E$2:$E$49,MATCH(C474,Products!$A$2:$A$49,0))</f>
        <v>29640</v>
      </c>
      <c r="I474" s="33" t="n">
        <f aca="false">D474*INDEX(Products!$D$2:$D$49,MATCH(C474,Products!$A$2:$A$49,0))*(1+INDEX(Assumptions!$B$16:$B$20,MATCH(B474,Assumptions!$A$16:$A$20,0)))</f>
        <v>23476.44</v>
      </c>
      <c r="J474" s="33" t="n">
        <f aca="false">H474-I474</f>
        <v>6163.56</v>
      </c>
      <c r="K474" s="33" t="n">
        <f aca="false">IF(OR(E474=0,E474&gt;=7),0,D474/(7-E474)*E474*INDEX(Products!$E$2:$E$49,MATCH(C474,Products!$A$2:$A$49,0)))</f>
        <v>0</v>
      </c>
    </row>
    <row r="475" customFormat="false" ht="15" hidden="false" customHeight="false" outlineLevel="0" collapsed="false">
      <c r="A475" s="36" t="n">
        <v>46279</v>
      </c>
      <c r="B475" s="24" t="s">
        <v>61</v>
      </c>
      <c r="C475" s="24" t="s">
        <v>151</v>
      </c>
      <c r="D475" s="33" t="n">
        <v>154</v>
      </c>
      <c r="E475" s="24" t="n">
        <v>0</v>
      </c>
      <c r="F475" s="37" t="n">
        <f aca="false">DATE(YEAR(A475),MONTH(A475),1)</f>
        <v>46266</v>
      </c>
      <c r="G475" s="24" t="str">
        <f aca="false">INDEX(Products!$C$2:$C$49,MATCH(C475,Products!$A$2:$A$49,0))</f>
        <v>Beverages</v>
      </c>
      <c r="H475" s="33" t="n">
        <f aca="false">D475*INDEX(Products!$E$2:$E$49,MATCH(C475,Products!$A$2:$A$49,0))</f>
        <v>29260</v>
      </c>
      <c r="I475" s="33" t="n">
        <f aca="false">D475*INDEX(Products!$D$2:$D$49,MATCH(C475,Products!$A$2:$A$49,0))*(1+INDEX(Assumptions!$B$16:$B$20,MATCH(B475,Assumptions!$A$16:$A$20,0)))</f>
        <v>23175.46</v>
      </c>
      <c r="J475" s="33" t="n">
        <f aca="false">H475-I475</f>
        <v>6084.54</v>
      </c>
      <c r="K475" s="33" t="n">
        <f aca="false">IF(OR(E475=0,E475&gt;=7),0,D475/(7-E475)*E475*INDEX(Products!$E$2:$E$49,MATCH(C475,Products!$A$2:$A$49,0)))</f>
        <v>0</v>
      </c>
    </row>
    <row r="476" customFormat="false" ht="15" hidden="false" customHeight="false" outlineLevel="0" collapsed="false">
      <c r="A476" s="36" t="n">
        <v>46286</v>
      </c>
      <c r="B476" s="24" t="s">
        <v>61</v>
      </c>
      <c r="C476" s="24" t="s">
        <v>151</v>
      </c>
      <c r="D476" s="33" t="n">
        <v>192</v>
      </c>
      <c r="E476" s="24" t="n">
        <v>0</v>
      </c>
      <c r="F476" s="37" t="n">
        <f aca="false">DATE(YEAR(A476),MONTH(A476),1)</f>
        <v>46266</v>
      </c>
      <c r="G476" s="24" t="str">
        <f aca="false">INDEX(Products!$C$2:$C$49,MATCH(C476,Products!$A$2:$A$49,0))</f>
        <v>Beverages</v>
      </c>
      <c r="H476" s="33" t="n">
        <f aca="false">D476*INDEX(Products!$E$2:$E$49,MATCH(C476,Products!$A$2:$A$49,0))</f>
        <v>36480</v>
      </c>
      <c r="I476" s="33" t="n">
        <f aca="false">D476*INDEX(Products!$D$2:$D$49,MATCH(C476,Products!$A$2:$A$49,0))*(1+INDEX(Assumptions!$B$16:$B$20,MATCH(B476,Assumptions!$A$16:$A$20,0)))</f>
        <v>28894.08</v>
      </c>
      <c r="J476" s="33" t="n">
        <f aca="false">H476-I476</f>
        <v>7585.92</v>
      </c>
      <c r="K476" s="33" t="n">
        <f aca="false">IF(OR(E476=0,E476&gt;=7),0,D476/(7-E476)*E476*INDEX(Products!$E$2:$E$49,MATCH(C476,Products!$A$2:$A$49,0)))</f>
        <v>0</v>
      </c>
    </row>
    <row r="477" customFormat="false" ht="15" hidden="false" customHeight="false" outlineLevel="0" collapsed="false">
      <c r="A477" s="36" t="n">
        <v>46118</v>
      </c>
      <c r="B477" s="24" t="s">
        <v>61</v>
      </c>
      <c r="C477" s="24" t="s">
        <v>153</v>
      </c>
      <c r="D477" s="33" t="n">
        <v>84</v>
      </c>
      <c r="E477" s="24" t="n">
        <v>0</v>
      </c>
      <c r="F477" s="37" t="n">
        <f aca="false">DATE(YEAR(A477),MONTH(A477),1)</f>
        <v>46113</v>
      </c>
      <c r="G477" s="24" t="str">
        <f aca="false">INDEX(Products!$C$2:$C$49,MATCH(C477,Products!$A$2:$A$49,0))</f>
        <v>Beverages</v>
      </c>
      <c r="H477" s="33" t="n">
        <f aca="false">D477*INDEX(Products!$E$2:$E$49,MATCH(C477,Products!$A$2:$A$49,0))</f>
        <v>4200</v>
      </c>
      <c r="I477" s="33" t="n">
        <f aca="false">D477*INDEX(Products!$D$2:$D$49,MATCH(C477,Products!$A$2:$A$49,0))*(1+INDEX(Assumptions!$B$16:$B$20,MATCH(B477,Assumptions!$A$16:$A$20,0)))</f>
        <v>2969.4</v>
      </c>
      <c r="J477" s="33" t="n">
        <f aca="false">H477-I477</f>
        <v>1230.6</v>
      </c>
      <c r="K477" s="33" t="n">
        <f aca="false">IF(OR(E477=0,E477&gt;=7),0,D477/(7-E477)*E477*INDEX(Products!$E$2:$E$49,MATCH(C477,Products!$A$2:$A$49,0)))</f>
        <v>0</v>
      </c>
    </row>
    <row r="478" customFormat="false" ht="15" hidden="false" customHeight="false" outlineLevel="0" collapsed="false">
      <c r="A478" s="36" t="n">
        <v>46125</v>
      </c>
      <c r="B478" s="24" t="s">
        <v>61</v>
      </c>
      <c r="C478" s="24" t="s">
        <v>153</v>
      </c>
      <c r="D478" s="33" t="n">
        <v>88</v>
      </c>
      <c r="E478" s="24" t="n">
        <v>0</v>
      </c>
      <c r="F478" s="37" t="n">
        <f aca="false">DATE(YEAR(A478),MONTH(A478),1)</f>
        <v>46113</v>
      </c>
      <c r="G478" s="24" t="str">
        <f aca="false">INDEX(Products!$C$2:$C$49,MATCH(C478,Products!$A$2:$A$49,0))</f>
        <v>Beverages</v>
      </c>
      <c r="H478" s="33" t="n">
        <f aca="false">D478*INDEX(Products!$E$2:$E$49,MATCH(C478,Products!$A$2:$A$49,0))</f>
        <v>4400</v>
      </c>
      <c r="I478" s="33" t="n">
        <f aca="false">D478*INDEX(Products!$D$2:$D$49,MATCH(C478,Products!$A$2:$A$49,0))*(1+INDEX(Assumptions!$B$16:$B$20,MATCH(B478,Assumptions!$A$16:$A$20,0)))</f>
        <v>3110.8</v>
      </c>
      <c r="J478" s="33" t="n">
        <f aca="false">H478-I478</f>
        <v>1289.2</v>
      </c>
      <c r="K478" s="33" t="n">
        <f aca="false">IF(OR(E478=0,E478&gt;=7),0,D478/(7-E478)*E478*INDEX(Products!$E$2:$E$49,MATCH(C478,Products!$A$2:$A$49,0)))</f>
        <v>0</v>
      </c>
    </row>
    <row r="479" customFormat="false" ht="15" hidden="false" customHeight="false" outlineLevel="0" collapsed="false">
      <c r="A479" s="36" t="n">
        <v>46132</v>
      </c>
      <c r="B479" s="24" t="s">
        <v>61</v>
      </c>
      <c r="C479" s="24" t="s">
        <v>153</v>
      </c>
      <c r="D479" s="33" t="n">
        <v>88</v>
      </c>
      <c r="E479" s="24" t="n">
        <v>0</v>
      </c>
      <c r="F479" s="37" t="n">
        <f aca="false">DATE(YEAR(A479),MONTH(A479),1)</f>
        <v>46113</v>
      </c>
      <c r="G479" s="24" t="str">
        <f aca="false">INDEX(Products!$C$2:$C$49,MATCH(C479,Products!$A$2:$A$49,0))</f>
        <v>Beverages</v>
      </c>
      <c r="H479" s="33" t="n">
        <f aca="false">D479*INDEX(Products!$E$2:$E$49,MATCH(C479,Products!$A$2:$A$49,0))</f>
        <v>4400</v>
      </c>
      <c r="I479" s="33" t="n">
        <f aca="false">D479*INDEX(Products!$D$2:$D$49,MATCH(C479,Products!$A$2:$A$49,0))*(1+INDEX(Assumptions!$B$16:$B$20,MATCH(B479,Assumptions!$A$16:$A$20,0)))</f>
        <v>3110.8</v>
      </c>
      <c r="J479" s="33" t="n">
        <f aca="false">H479-I479</f>
        <v>1289.2</v>
      </c>
      <c r="K479" s="33" t="n">
        <f aca="false">IF(OR(E479=0,E479&gt;=7),0,D479/(7-E479)*E479*INDEX(Products!$E$2:$E$49,MATCH(C479,Products!$A$2:$A$49,0)))</f>
        <v>0</v>
      </c>
    </row>
    <row r="480" customFormat="false" ht="15" hidden="false" customHeight="false" outlineLevel="0" collapsed="false">
      <c r="A480" s="36" t="n">
        <v>46139</v>
      </c>
      <c r="B480" s="24" t="s">
        <v>61</v>
      </c>
      <c r="C480" s="24" t="s">
        <v>153</v>
      </c>
      <c r="D480" s="33" t="n">
        <v>89</v>
      </c>
      <c r="E480" s="24" t="n">
        <v>0</v>
      </c>
      <c r="F480" s="37" t="n">
        <f aca="false">DATE(YEAR(A480),MONTH(A480),1)</f>
        <v>46113</v>
      </c>
      <c r="G480" s="24" t="str">
        <f aca="false">INDEX(Products!$C$2:$C$49,MATCH(C480,Products!$A$2:$A$49,0))</f>
        <v>Beverages</v>
      </c>
      <c r="H480" s="33" t="n">
        <f aca="false">D480*INDEX(Products!$E$2:$E$49,MATCH(C480,Products!$A$2:$A$49,0))</f>
        <v>4450</v>
      </c>
      <c r="I480" s="33" t="n">
        <f aca="false">D480*INDEX(Products!$D$2:$D$49,MATCH(C480,Products!$A$2:$A$49,0))*(1+INDEX(Assumptions!$B$16:$B$20,MATCH(B480,Assumptions!$A$16:$A$20,0)))</f>
        <v>3146.15</v>
      </c>
      <c r="J480" s="33" t="n">
        <f aca="false">H480-I480</f>
        <v>1303.85</v>
      </c>
      <c r="K480" s="33" t="n">
        <f aca="false">IF(OR(E480=0,E480&gt;=7),0,D480/(7-E480)*E480*INDEX(Products!$E$2:$E$49,MATCH(C480,Products!$A$2:$A$49,0)))</f>
        <v>0</v>
      </c>
    </row>
    <row r="481" customFormat="false" ht="15" hidden="false" customHeight="false" outlineLevel="0" collapsed="false">
      <c r="A481" s="36" t="n">
        <v>46146</v>
      </c>
      <c r="B481" s="24" t="s">
        <v>61</v>
      </c>
      <c r="C481" s="24" t="s">
        <v>153</v>
      </c>
      <c r="D481" s="33" t="n">
        <v>83</v>
      </c>
      <c r="E481" s="24" t="n">
        <v>0</v>
      </c>
      <c r="F481" s="37" t="n">
        <f aca="false">DATE(YEAR(A481),MONTH(A481),1)</f>
        <v>46143</v>
      </c>
      <c r="G481" s="24" t="str">
        <f aca="false">INDEX(Products!$C$2:$C$49,MATCH(C481,Products!$A$2:$A$49,0))</f>
        <v>Beverages</v>
      </c>
      <c r="H481" s="33" t="n">
        <f aca="false">D481*INDEX(Products!$E$2:$E$49,MATCH(C481,Products!$A$2:$A$49,0))</f>
        <v>4150</v>
      </c>
      <c r="I481" s="33" t="n">
        <f aca="false">D481*INDEX(Products!$D$2:$D$49,MATCH(C481,Products!$A$2:$A$49,0))*(1+INDEX(Assumptions!$B$16:$B$20,MATCH(B481,Assumptions!$A$16:$A$20,0)))</f>
        <v>2934.05</v>
      </c>
      <c r="J481" s="33" t="n">
        <f aca="false">H481-I481</f>
        <v>1215.95</v>
      </c>
      <c r="K481" s="33" t="n">
        <f aca="false">IF(OR(E481=0,E481&gt;=7),0,D481/(7-E481)*E481*INDEX(Products!$E$2:$E$49,MATCH(C481,Products!$A$2:$A$49,0)))</f>
        <v>0</v>
      </c>
    </row>
    <row r="482" customFormat="false" ht="15" hidden="false" customHeight="false" outlineLevel="0" collapsed="false">
      <c r="A482" s="36" t="n">
        <v>46153</v>
      </c>
      <c r="B482" s="24" t="s">
        <v>61</v>
      </c>
      <c r="C482" s="24" t="s">
        <v>153</v>
      </c>
      <c r="D482" s="33" t="n">
        <v>84</v>
      </c>
      <c r="E482" s="24" t="n">
        <v>0</v>
      </c>
      <c r="F482" s="37" t="n">
        <f aca="false">DATE(YEAR(A482),MONTH(A482),1)</f>
        <v>46143</v>
      </c>
      <c r="G482" s="24" t="str">
        <f aca="false">INDEX(Products!$C$2:$C$49,MATCH(C482,Products!$A$2:$A$49,0))</f>
        <v>Beverages</v>
      </c>
      <c r="H482" s="33" t="n">
        <f aca="false">D482*INDEX(Products!$E$2:$E$49,MATCH(C482,Products!$A$2:$A$49,0))</f>
        <v>4200</v>
      </c>
      <c r="I482" s="33" t="n">
        <f aca="false">D482*INDEX(Products!$D$2:$D$49,MATCH(C482,Products!$A$2:$A$49,0))*(1+INDEX(Assumptions!$B$16:$B$20,MATCH(B482,Assumptions!$A$16:$A$20,0)))</f>
        <v>2969.4</v>
      </c>
      <c r="J482" s="33" t="n">
        <f aca="false">H482-I482</f>
        <v>1230.6</v>
      </c>
      <c r="K482" s="33" t="n">
        <f aca="false">IF(OR(E482=0,E482&gt;=7),0,D482/(7-E482)*E482*INDEX(Products!$E$2:$E$49,MATCH(C482,Products!$A$2:$A$49,0)))</f>
        <v>0</v>
      </c>
    </row>
    <row r="483" customFormat="false" ht="15" hidden="false" customHeight="false" outlineLevel="0" collapsed="false">
      <c r="A483" s="36" t="n">
        <v>46160</v>
      </c>
      <c r="B483" s="24" t="s">
        <v>61</v>
      </c>
      <c r="C483" s="24" t="s">
        <v>153</v>
      </c>
      <c r="D483" s="33" t="n">
        <v>90</v>
      </c>
      <c r="E483" s="24" t="n">
        <v>0</v>
      </c>
      <c r="F483" s="37" t="n">
        <f aca="false">DATE(YEAR(A483),MONTH(A483),1)</f>
        <v>46143</v>
      </c>
      <c r="G483" s="24" t="str">
        <f aca="false">INDEX(Products!$C$2:$C$49,MATCH(C483,Products!$A$2:$A$49,0))</f>
        <v>Beverages</v>
      </c>
      <c r="H483" s="33" t="n">
        <f aca="false">D483*INDEX(Products!$E$2:$E$49,MATCH(C483,Products!$A$2:$A$49,0))</f>
        <v>4500</v>
      </c>
      <c r="I483" s="33" t="n">
        <f aca="false">D483*INDEX(Products!$D$2:$D$49,MATCH(C483,Products!$A$2:$A$49,0))*(1+INDEX(Assumptions!$B$16:$B$20,MATCH(B483,Assumptions!$A$16:$A$20,0)))</f>
        <v>3181.5</v>
      </c>
      <c r="J483" s="33" t="n">
        <f aca="false">H483-I483</f>
        <v>1318.5</v>
      </c>
      <c r="K483" s="33" t="n">
        <f aca="false">IF(OR(E483=0,E483&gt;=7),0,D483/(7-E483)*E483*INDEX(Products!$E$2:$E$49,MATCH(C483,Products!$A$2:$A$49,0)))</f>
        <v>0</v>
      </c>
    </row>
    <row r="484" customFormat="false" ht="15" hidden="false" customHeight="false" outlineLevel="0" collapsed="false">
      <c r="A484" s="36" t="n">
        <v>46167</v>
      </c>
      <c r="B484" s="24" t="s">
        <v>61</v>
      </c>
      <c r="C484" s="24" t="s">
        <v>153</v>
      </c>
      <c r="D484" s="33" t="n">
        <v>98</v>
      </c>
      <c r="E484" s="24" t="n">
        <v>0</v>
      </c>
      <c r="F484" s="37" t="n">
        <f aca="false">DATE(YEAR(A484),MONTH(A484),1)</f>
        <v>46143</v>
      </c>
      <c r="G484" s="24" t="str">
        <f aca="false">INDEX(Products!$C$2:$C$49,MATCH(C484,Products!$A$2:$A$49,0))</f>
        <v>Beverages</v>
      </c>
      <c r="H484" s="33" t="n">
        <f aca="false">D484*INDEX(Products!$E$2:$E$49,MATCH(C484,Products!$A$2:$A$49,0))</f>
        <v>4900</v>
      </c>
      <c r="I484" s="33" t="n">
        <f aca="false">D484*INDEX(Products!$D$2:$D$49,MATCH(C484,Products!$A$2:$A$49,0))*(1+INDEX(Assumptions!$B$16:$B$20,MATCH(B484,Assumptions!$A$16:$A$20,0)))</f>
        <v>3464.3</v>
      </c>
      <c r="J484" s="33" t="n">
        <f aca="false">H484-I484</f>
        <v>1435.7</v>
      </c>
      <c r="K484" s="33" t="n">
        <f aca="false">IF(OR(E484=0,E484&gt;=7),0,D484/(7-E484)*E484*INDEX(Products!$E$2:$E$49,MATCH(C484,Products!$A$2:$A$49,0)))</f>
        <v>0</v>
      </c>
    </row>
    <row r="485" customFormat="false" ht="15" hidden="false" customHeight="false" outlineLevel="0" collapsed="false">
      <c r="A485" s="36" t="n">
        <v>46174</v>
      </c>
      <c r="B485" s="24" t="s">
        <v>61</v>
      </c>
      <c r="C485" s="24" t="s">
        <v>153</v>
      </c>
      <c r="D485" s="33" t="n">
        <v>75</v>
      </c>
      <c r="E485" s="24" t="n">
        <v>0</v>
      </c>
      <c r="F485" s="37" t="n">
        <f aca="false">DATE(YEAR(A485),MONTH(A485),1)</f>
        <v>46174</v>
      </c>
      <c r="G485" s="24" t="str">
        <f aca="false">INDEX(Products!$C$2:$C$49,MATCH(C485,Products!$A$2:$A$49,0))</f>
        <v>Beverages</v>
      </c>
      <c r="H485" s="33" t="n">
        <f aca="false">D485*INDEX(Products!$E$2:$E$49,MATCH(C485,Products!$A$2:$A$49,0))</f>
        <v>3750</v>
      </c>
      <c r="I485" s="33" t="n">
        <f aca="false">D485*INDEX(Products!$D$2:$D$49,MATCH(C485,Products!$A$2:$A$49,0))*(1+INDEX(Assumptions!$B$16:$B$20,MATCH(B485,Assumptions!$A$16:$A$20,0)))</f>
        <v>2651.25</v>
      </c>
      <c r="J485" s="33" t="n">
        <f aca="false">H485-I485</f>
        <v>1098.75</v>
      </c>
      <c r="K485" s="33" t="n">
        <f aca="false">IF(OR(E485=0,E485&gt;=7),0,D485/(7-E485)*E485*INDEX(Products!$E$2:$E$49,MATCH(C485,Products!$A$2:$A$49,0)))</f>
        <v>0</v>
      </c>
    </row>
    <row r="486" customFormat="false" ht="15" hidden="false" customHeight="false" outlineLevel="0" collapsed="false">
      <c r="A486" s="36" t="n">
        <v>46181</v>
      </c>
      <c r="B486" s="24" t="s">
        <v>61</v>
      </c>
      <c r="C486" s="24" t="s">
        <v>153</v>
      </c>
      <c r="D486" s="33" t="n">
        <v>80</v>
      </c>
      <c r="E486" s="24" t="n">
        <v>0</v>
      </c>
      <c r="F486" s="37" t="n">
        <f aca="false">DATE(YEAR(A486),MONTH(A486),1)</f>
        <v>46174</v>
      </c>
      <c r="G486" s="24" t="str">
        <f aca="false">INDEX(Products!$C$2:$C$49,MATCH(C486,Products!$A$2:$A$49,0))</f>
        <v>Beverages</v>
      </c>
      <c r="H486" s="33" t="n">
        <f aca="false">D486*INDEX(Products!$E$2:$E$49,MATCH(C486,Products!$A$2:$A$49,0))</f>
        <v>4000</v>
      </c>
      <c r="I486" s="33" t="n">
        <f aca="false">D486*INDEX(Products!$D$2:$D$49,MATCH(C486,Products!$A$2:$A$49,0))*(1+INDEX(Assumptions!$B$16:$B$20,MATCH(B486,Assumptions!$A$16:$A$20,0)))</f>
        <v>2828</v>
      </c>
      <c r="J486" s="33" t="n">
        <f aca="false">H486-I486</f>
        <v>1172</v>
      </c>
      <c r="K486" s="33" t="n">
        <f aca="false">IF(OR(E486=0,E486&gt;=7),0,D486/(7-E486)*E486*INDEX(Products!$E$2:$E$49,MATCH(C486,Products!$A$2:$A$49,0)))</f>
        <v>0</v>
      </c>
    </row>
    <row r="487" customFormat="false" ht="15" hidden="false" customHeight="false" outlineLevel="0" collapsed="false">
      <c r="A487" s="36" t="n">
        <v>46188</v>
      </c>
      <c r="B487" s="24" t="s">
        <v>61</v>
      </c>
      <c r="C487" s="24" t="s">
        <v>153</v>
      </c>
      <c r="D487" s="33" t="n">
        <v>82</v>
      </c>
      <c r="E487" s="24" t="n">
        <v>0</v>
      </c>
      <c r="F487" s="37" t="n">
        <f aca="false">DATE(YEAR(A487),MONTH(A487),1)</f>
        <v>46174</v>
      </c>
      <c r="G487" s="24" t="str">
        <f aca="false">INDEX(Products!$C$2:$C$49,MATCH(C487,Products!$A$2:$A$49,0))</f>
        <v>Beverages</v>
      </c>
      <c r="H487" s="33" t="n">
        <f aca="false">D487*INDEX(Products!$E$2:$E$49,MATCH(C487,Products!$A$2:$A$49,0))</f>
        <v>4100</v>
      </c>
      <c r="I487" s="33" t="n">
        <f aca="false">D487*INDEX(Products!$D$2:$D$49,MATCH(C487,Products!$A$2:$A$49,0))*(1+INDEX(Assumptions!$B$16:$B$20,MATCH(B487,Assumptions!$A$16:$A$20,0)))</f>
        <v>2898.7</v>
      </c>
      <c r="J487" s="33" t="n">
        <f aca="false">H487-I487</f>
        <v>1201.3</v>
      </c>
      <c r="K487" s="33" t="n">
        <f aca="false">IF(OR(E487=0,E487&gt;=7),0,D487/(7-E487)*E487*INDEX(Products!$E$2:$E$49,MATCH(C487,Products!$A$2:$A$49,0)))</f>
        <v>0</v>
      </c>
    </row>
    <row r="488" customFormat="false" ht="15" hidden="false" customHeight="false" outlineLevel="0" collapsed="false">
      <c r="A488" s="36" t="n">
        <v>46195</v>
      </c>
      <c r="B488" s="24" t="s">
        <v>61</v>
      </c>
      <c r="C488" s="24" t="s">
        <v>153</v>
      </c>
      <c r="D488" s="33" t="n">
        <v>92</v>
      </c>
      <c r="E488" s="24" t="n">
        <v>0</v>
      </c>
      <c r="F488" s="37" t="n">
        <f aca="false">DATE(YEAR(A488),MONTH(A488),1)</f>
        <v>46174</v>
      </c>
      <c r="G488" s="24" t="str">
        <f aca="false">INDEX(Products!$C$2:$C$49,MATCH(C488,Products!$A$2:$A$49,0))</f>
        <v>Beverages</v>
      </c>
      <c r="H488" s="33" t="n">
        <f aca="false">D488*INDEX(Products!$E$2:$E$49,MATCH(C488,Products!$A$2:$A$49,0))</f>
        <v>4600</v>
      </c>
      <c r="I488" s="33" t="n">
        <f aca="false">D488*INDEX(Products!$D$2:$D$49,MATCH(C488,Products!$A$2:$A$49,0))*(1+INDEX(Assumptions!$B$16:$B$20,MATCH(B488,Assumptions!$A$16:$A$20,0)))</f>
        <v>3252.2</v>
      </c>
      <c r="J488" s="33" t="n">
        <f aca="false">H488-I488</f>
        <v>1347.8</v>
      </c>
      <c r="K488" s="33" t="n">
        <f aca="false">IF(OR(E488=0,E488&gt;=7),0,D488/(7-E488)*E488*INDEX(Products!$E$2:$E$49,MATCH(C488,Products!$A$2:$A$49,0)))</f>
        <v>0</v>
      </c>
    </row>
    <row r="489" customFormat="false" ht="15" hidden="false" customHeight="false" outlineLevel="0" collapsed="false">
      <c r="A489" s="36" t="n">
        <v>46202</v>
      </c>
      <c r="B489" s="24" t="s">
        <v>61</v>
      </c>
      <c r="C489" s="24" t="s">
        <v>153</v>
      </c>
      <c r="D489" s="33" t="n">
        <v>97</v>
      </c>
      <c r="E489" s="24" t="n">
        <v>0</v>
      </c>
      <c r="F489" s="37" t="n">
        <f aca="false">DATE(YEAR(A489),MONTH(A489),1)</f>
        <v>46174</v>
      </c>
      <c r="G489" s="24" t="str">
        <f aca="false">INDEX(Products!$C$2:$C$49,MATCH(C489,Products!$A$2:$A$49,0))</f>
        <v>Beverages</v>
      </c>
      <c r="H489" s="33" t="n">
        <f aca="false">D489*INDEX(Products!$E$2:$E$49,MATCH(C489,Products!$A$2:$A$49,0))</f>
        <v>4850</v>
      </c>
      <c r="I489" s="33" t="n">
        <f aca="false">D489*INDEX(Products!$D$2:$D$49,MATCH(C489,Products!$A$2:$A$49,0))*(1+INDEX(Assumptions!$B$16:$B$20,MATCH(B489,Assumptions!$A$16:$A$20,0)))</f>
        <v>3428.95</v>
      </c>
      <c r="J489" s="33" t="n">
        <f aca="false">H489-I489</f>
        <v>1421.05</v>
      </c>
      <c r="K489" s="33" t="n">
        <f aca="false">IF(OR(E489=0,E489&gt;=7),0,D489/(7-E489)*E489*INDEX(Products!$E$2:$E$49,MATCH(C489,Products!$A$2:$A$49,0)))</f>
        <v>0</v>
      </c>
    </row>
    <row r="490" customFormat="false" ht="15" hidden="false" customHeight="false" outlineLevel="0" collapsed="false">
      <c r="A490" s="36" t="n">
        <v>46209</v>
      </c>
      <c r="B490" s="24" t="s">
        <v>61</v>
      </c>
      <c r="C490" s="24" t="s">
        <v>153</v>
      </c>
      <c r="D490" s="33" t="n">
        <v>81</v>
      </c>
      <c r="E490" s="24" t="n">
        <v>0</v>
      </c>
      <c r="F490" s="37" t="n">
        <f aca="false">DATE(YEAR(A490),MONTH(A490),1)</f>
        <v>46204</v>
      </c>
      <c r="G490" s="24" t="str">
        <f aca="false">INDEX(Products!$C$2:$C$49,MATCH(C490,Products!$A$2:$A$49,0))</f>
        <v>Beverages</v>
      </c>
      <c r="H490" s="33" t="n">
        <f aca="false">D490*INDEX(Products!$E$2:$E$49,MATCH(C490,Products!$A$2:$A$49,0))</f>
        <v>4050</v>
      </c>
      <c r="I490" s="33" t="n">
        <f aca="false">D490*INDEX(Products!$D$2:$D$49,MATCH(C490,Products!$A$2:$A$49,0))*(1+INDEX(Assumptions!$B$16:$B$20,MATCH(B490,Assumptions!$A$16:$A$20,0)))</f>
        <v>2863.35</v>
      </c>
      <c r="J490" s="33" t="n">
        <f aca="false">H490-I490</f>
        <v>1186.65</v>
      </c>
      <c r="K490" s="33" t="n">
        <f aca="false">IF(OR(E490=0,E490&gt;=7),0,D490/(7-E490)*E490*INDEX(Products!$E$2:$E$49,MATCH(C490,Products!$A$2:$A$49,0)))</f>
        <v>0</v>
      </c>
    </row>
    <row r="491" customFormat="false" ht="15" hidden="false" customHeight="false" outlineLevel="0" collapsed="false">
      <c r="A491" s="36" t="n">
        <v>46216</v>
      </c>
      <c r="B491" s="24" t="s">
        <v>61</v>
      </c>
      <c r="C491" s="24" t="s">
        <v>153</v>
      </c>
      <c r="D491" s="33" t="n">
        <v>87</v>
      </c>
      <c r="E491" s="24" t="n">
        <v>0</v>
      </c>
      <c r="F491" s="37" t="n">
        <f aca="false">DATE(YEAR(A491),MONTH(A491),1)</f>
        <v>46204</v>
      </c>
      <c r="G491" s="24" t="str">
        <f aca="false">INDEX(Products!$C$2:$C$49,MATCH(C491,Products!$A$2:$A$49,0))</f>
        <v>Beverages</v>
      </c>
      <c r="H491" s="33" t="n">
        <f aca="false">D491*INDEX(Products!$E$2:$E$49,MATCH(C491,Products!$A$2:$A$49,0))</f>
        <v>4350</v>
      </c>
      <c r="I491" s="33" t="n">
        <f aca="false">D491*INDEX(Products!$D$2:$D$49,MATCH(C491,Products!$A$2:$A$49,0))*(1+INDEX(Assumptions!$B$16:$B$20,MATCH(B491,Assumptions!$A$16:$A$20,0)))</f>
        <v>3075.45</v>
      </c>
      <c r="J491" s="33" t="n">
        <f aca="false">H491-I491</f>
        <v>1274.55</v>
      </c>
      <c r="K491" s="33" t="n">
        <f aca="false">IF(OR(E491=0,E491&gt;=7),0,D491/(7-E491)*E491*INDEX(Products!$E$2:$E$49,MATCH(C491,Products!$A$2:$A$49,0)))</f>
        <v>0</v>
      </c>
    </row>
    <row r="492" customFormat="false" ht="15" hidden="false" customHeight="false" outlineLevel="0" collapsed="false">
      <c r="A492" s="36" t="n">
        <v>46223</v>
      </c>
      <c r="B492" s="24" t="s">
        <v>61</v>
      </c>
      <c r="C492" s="24" t="s">
        <v>153</v>
      </c>
      <c r="D492" s="33" t="n">
        <v>91</v>
      </c>
      <c r="E492" s="24" t="n">
        <v>0</v>
      </c>
      <c r="F492" s="37" t="n">
        <f aca="false">DATE(YEAR(A492),MONTH(A492),1)</f>
        <v>46204</v>
      </c>
      <c r="G492" s="24" t="str">
        <f aca="false">INDEX(Products!$C$2:$C$49,MATCH(C492,Products!$A$2:$A$49,0))</f>
        <v>Beverages</v>
      </c>
      <c r="H492" s="33" t="n">
        <f aca="false">D492*INDEX(Products!$E$2:$E$49,MATCH(C492,Products!$A$2:$A$49,0))</f>
        <v>4550</v>
      </c>
      <c r="I492" s="33" t="n">
        <f aca="false">D492*INDEX(Products!$D$2:$D$49,MATCH(C492,Products!$A$2:$A$49,0))*(1+INDEX(Assumptions!$B$16:$B$20,MATCH(B492,Assumptions!$A$16:$A$20,0)))</f>
        <v>3216.85</v>
      </c>
      <c r="J492" s="33" t="n">
        <f aca="false">H492-I492</f>
        <v>1333.15</v>
      </c>
      <c r="K492" s="33" t="n">
        <f aca="false">IF(OR(E492=0,E492&gt;=7),0,D492/(7-E492)*E492*INDEX(Products!$E$2:$E$49,MATCH(C492,Products!$A$2:$A$49,0)))</f>
        <v>0</v>
      </c>
    </row>
    <row r="493" customFormat="false" ht="15" hidden="false" customHeight="false" outlineLevel="0" collapsed="false">
      <c r="A493" s="36" t="n">
        <v>46230</v>
      </c>
      <c r="B493" s="24" t="s">
        <v>61</v>
      </c>
      <c r="C493" s="24" t="s">
        <v>153</v>
      </c>
      <c r="D493" s="33" t="n">
        <v>61</v>
      </c>
      <c r="E493" s="24" t="n">
        <v>0</v>
      </c>
      <c r="F493" s="37" t="n">
        <f aca="false">DATE(YEAR(A493),MONTH(A493),1)</f>
        <v>46204</v>
      </c>
      <c r="G493" s="24" t="str">
        <f aca="false">INDEX(Products!$C$2:$C$49,MATCH(C493,Products!$A$2:$A$49,0))</f>
        <v>Beverages</v>
      </c>
      <c r="H493" s="33" t="n">
        <f aca="false">D493*INDEX(Products!$E$2:$E$49,MATCH(C493,Products!$A$2:$A$49,0))</f>
        <v>3050</v>
      </c>
      <c r="I493" s="33" t="n">
        <f aca="false">D493*INDEX(Products!$D$2:$D$49,MATCH(C493,Products!$A$2:$A$49,0))*(1+INDEX(Assumptions!$B$16:$B$20,MATCH(B493,Assumptions!$A$16:$A$20,0)))</f>
        <v>2156.35</v>
      </c>
      <c r="J493" s="33" t="n">
        <f aca="false">H493-I493</f>
        <v>893.65</v>
      </c>
      <c r="K493" s="33" t="n">
        <f aca="false">IF(OR(E493=0,E493&gt;=7),0,D493/(7-E493)*E493*INDEX(Products!$E$2:$E$49,MATCH(C493,Products!$A$2:$A$49,0)))</f>
        <v>0</v>
      </c>
    </row>
    <row r="494" customFormat="false" ht="15" hidden="false" customHeight="false" outlineLevel="0" collapsed="false">
      <c r="A494" s="36" t="n">
        <v>46237</v>
      </c>
      <c r="B494" s="24" t="s">
        <v>61</v>
      </c>
      <c r="C494" s="24" t="s">
        <v>153</v>
      </c>
      <c r="D494" s="33" t="n">
        <v>76</v>
      </c>
      <c r="E494" s="24" t="n">
        <v>0</v>
      </c>
      <c r="F494" s="37" t="n">
        <f aca="false">DATE(YEAR(A494),MONTH(A494),1)</f>
        <v>46235</v>
      </c>
      <c r="G494" s="24" t="str">
        <f aca="false">INDEX(Products!$C$2:$C$49,MATCH(C494,Products!$A$2:$A$49,0))</f>
        <v>Beverages</v>
      </c>
      <c r="H494" s="33" t="n">
        <f aca="false">D494*INDEX(Products!$E$2:$E$49,MATCH(C494,Products!$A$2:$A$49,0))</f>
        <v>3800</v>
      </c>
      <c r="I494" s="33" t="n">
        <f aca="false">D494*INDEX(Products!$D$2:$D$49,MATCH(C494,Products!$A$2:$A$49,0))*(1+INDEX(Assumptions!$B$16:$B$20,MATCH(B494,Assumptions!$A$16:$A$20,0)))</f>
        <v>2686.6</v>
      </c>
      <c r="J494" s="33" t="n">
        <f aca="false">H494-I494</f>
        <v>1113.4</v>
      </c>
      <c r="K494" s="33" t="n">
        <f aca="false">IF(OR(E494=0,E494&gt;=7),0,D494/(7-E494)*E494*INDEX(Products!$E$2:$E$49,MATCH(C494,Products!$A$2:$A$49,0)))</f>
        <v>0</v>
      </c>
    </row>
    <row r="495" customFormat="false" ht="15" hidden="false" customHeight="false" outlineLevel="0" collapsed="false">
      <c r="A495" s="36" t="n">
        <v>46244</v>
      </c>
      <c r="B495" s="24" t="s">
        <v>61</v>
      </c>
      <c r="C495" s="24" t="s">
        <v>153</v>
      </c>
      <c r="D495" s="33" t="n">
        <v>75</v>
      </c>
      <c r="E495" s="24" t="n">
        <v>0</v>
      </c>
      <c r="F495" s="37" t="n">
        <f aca="false">DATE(YEAR(A495),MONTH(A495),1)</f>
        <v>46235</v>
      </c>
      <c r="G495" s="24" t="str">
        <f aca="false">INDEX(Products!$C$2:$C$49,MATCH(C495,Products!$A$2:$A$49,0))</f>
        <v>Beverages</v>
      </c>
      <c r="H495" s="33" t="n">
        <f aca="false">D495*INDEX(Products!$E$2:$E$49,MATCH(C495,Products!$A$2:$A$49,0))</f>
        <v>3750</v>
      </c>
      <c r="I495" s="33" t="n">
        <f aca="false">D495*INDEX(Products!$D$2:$D$49,MATCH(C495,Products!$A$2:$A$49,0))*(1+INDEX(Assumptions!$B$16:$B$20,MATCH(B495,Assumptions!$A$16:$A$20,0)))</f>
        <v>2651.25</v>
      </c>
      <c r="J495" s="33" t="n">
        <f aca="false">H495-I495</f>
        <v>1098.75</v>
      </c>
      <c r="K495" s="33" t="n">
        <f aca="false">IF(OR(E495=0,E495&gt;=7),0,D495/(7-E495)*E495*INDEX(Products!$E$2:$E$49,MATCH(C495,Products!$A$2:$A$49,0)))</f>
        <v>0</v>
      </c>
    </row>
    <row r="496" customFormat="false" ht="15" hidden="false" customHeight="false" outlineLevel="0" collapsed="false">
      <c r="A496" s="36" t="n">
        <v>46251</v>
      </c>
      <c r="B496" s="24" t="s">
        <v>61</v>
      </c>
      <c r="C496" s="24" t="s">
        <v>153</v>
      </c>
      <c r="D496" s="33" t="n">
        <v>75</v>
      </c>
      <c r="E496" s="24" t="n">
        <v>0</v>
      </c>
      <c r="F496" s="37" t="n">
        <f aca="false">DATE(YEAR(A496),MONTH(A496),1)</f>
        <v>46235</v>
      </c>
      <c r="G496" s="24" t="str">
        <f aca="false">INDEX(Products!$C$2:$C$49,MATCH(C496,Products!$A$2:$A$49,0))</f>
        <v>Beverages</v>
      </c>
      <c r="H496" s="33" t="n">
        <f aca="false">D496*INDEX(Products!$E$2:$E$49,MATCH(C496,Products!$A$2:$A$49,0))</f>
        <v>3750</v>
      </c>
      <c r="I496" s="33" t="n">
        <f aca="false">D496*INDEX(Products!$D$2:$D$49,MATCH(C496,Products!$A$2:$A$49,0))*(1+INDEX(Assumptions!$B$16:$B$20,MATCH(B496,Assumptions!$A$16:$A$20,0)))</f>
        <v>2651.25</v>
      </c>
      <c r="J496" s="33" t="n">
        <f aca="false">H496-I496</f>
        <v>1098.75</v>
      </c>
      <c r="K496" s="33" t="n">
        <f aca="false">IF(OR(E496=0,E496&gt;=7),0,D496/(7-E496)*E496*INDEX(Products!$E$2:$E$49,MATCH(C496,Products!$A$2:$A$49,0)))</f>
        <v>0</v>
      </c>
    </row>
    <row r="497" customFormat="false" ht="15" hidden="false" customHeight="false" outlineLevel="0" collapsed="false">
      <c r="A497" s="36" t="n">
        <v>46258</v>
      </c>
      <c r="B497" s="24" t="s">
        <v>61</v>
      </c>
      <c r="C497" s="24" t="s">
        <v>153</v>
      </c>
      <c r="D497" s="33" t="n">
        <v>95</v>
      </c>
      <c r="E497" s="24" t="n">
        <v>0</v>
      </c>
      <c r="F497" s="37" t="n">
        <f aca="false">DATE(YEAR(A497),MONTH(A497),1)</f>
        <v>46235</v>
      </c>
      <c r="G497" s="24" t="str">
        <f aca="false">INDEX(Products!$C$2:$C$49,MATCH(C497,Products!$A$2:$A$49,0))</f>
        <v>Beverages</v>
      </c>
      <c r="H497" s="33" t="n">
        <f aca="false">D497*INDEX(Products!$E$2:$E$49,MATCH(C497,Products!$A$2:$A$49,0))</f>
        <v>4750</v>
      </c>
      <c r="I497" s="33" t="n">
        <f aca="false">D497*INDEX(Products!$D$2:$D$49,MATCH(C497,Products!$A$2:$A$49,0))*(1+INDEX(Assumptions!$B$16:$B$20,MATCH(B497,Assumptions!$A$16:$A$20,0)))</f>
        <v>3358.25</v>
      </c>
      <c r="J497" s="33" t="n">
        <f aca="false">H497-I497</f>
        <v>1391.75</v>
      </c>
      <c r="K497" s="33" t="n">
        <f aca="false">IF(OR(E497=0,E497&gt;=7),0,D497/(7-E497)*E497*INDEX(Products!$E$2:$E$49,MATCH(C497,Products!$A$2:$A$49,0)))</f>
        <v>0</v>
      </c>
    </row>
    <row r="498" customFormat="false" ht="15" hidden="false" customHeight="false" outlineLevel="0" collapsed="false">
      <c r="A498" s="36" t="n">
        <v>46265</v>
      </c>
      <c r="B498" s="24" t="s">
        <v>61</v>
      </c>
      <c r="C498" s="24" t="s">
        <v>153</v>
      </c>
      <c r="D498" s="33" t="n">
        <v>21</v>
      </c>
      <c r="E498" s="24" t="n">
        <v>5</v>
      </c>
      <c r="F498" s="37" t="n">
        <f aca="false">DATE(YEAR(A498),MONTH(A498),1)</f>
        <v>46235</v>
      </c>
      <c r="G498" s="24" t="str">
        <f aca="false">INDEX(Products!$C$2:$C$49,MATCH(C498,Products!$A$2:$A$49,0))</f>
        <v>Beverages</v>
      </c>
      <c r="H498" s="33" t="n">
        <f aca="false">D498*INDEX(Products!$E$2:$E$49,MATCH(C498,Products!$A$2:$A$49,0))</f>
        <v>1050</v>
      </c>
      <c r="I498" s="33" t="n">
        <f aca="false">D498*INDEX(Products!$D$2:$D$49,MATCH(C498,Products!$A$2:$A$49,0))*(1+INDEX(Assumptions!$B$16:$B$20,MATCH(B498,Assumptions!$A$16:$A$20,0)))</f>
        <v>742.35</v>
      </c>
      <c r="J498" s="33" t="n">
        <f aca="false">H498-I498</f>
        <v>307.65</v>
      </c>
      <c r="K498" s="33" t="n">
        <f aca="false">IF(OR(E498=0,E498&gt;=7),0,D498/(7-E498)*E498*INDEX(Products!$E$2:$E$49,MATCH(C498,Products!$A$2:$A$49,0)))</f>
        <v>2625</v>
      </c>
    </row>
    <row r="499" customFormat="false" ht="15" hidden="false" customHeight="false" outlineLevel="0" collapsed="false">
      <c r="A499" s="36" t="n">
        <v>46272</v>
      </c>
      <c r="B499" s="24" t="s">
        <v>61</v>
      </c>
      <c r="C499" s="24" t="s">
        <v>153</v>
      </c>
      <c r="D499" s="33" t="n">
        <v>63</v>
      </c>
      <c r="E499" s="24" t="n">
        <v>0</v>
      </c>
      <c r="F499" s="37" t="n">
        <f aca="false">DATE(YEAR(A499),MONTH(A499),1)</f>
        <v>46266</v>
      </c>
      <c r="G499" s="24" t="str">
        <f aca="false">INDEX(Products!$C$2:$C$49,MATCH(C499,Products!$A$2:$A$49,0))</f>
        <v>Beverages</v>
      </c>
      <c r="H499" s="33" t="n">
        <f aca="false">D499*INDEX(Products!$E$2:$E$49,MATCH(C499,Products!$A$2:$A$49,0))</f>
        <v>3150</v>
      </c>
      <c r="I499" s="33" t="n">
        <f aca="false">D499*INDEX(Products!$D$2:$D$49,MATCH(C499,Products!$A$2:$A$49,0))*(1+INDEX(Assumptions!$B$16:$B$20,MATCH(B499,Assumptions!$A$16:$A$20,0)))</f>
        <v>2227.05</v>
      </c>
      <c r="J499" s="33" t="n">
        <f aca="false">H499-I499</f>
        <v>922.95</v>
      </c>
      <c r="K499" s="33" t="n">
        <f aca="false">IF(OR(E499=0,E499&gt;=7),0,D499/(7-E499)*E499*INDEX(Products!$E$2:$E$49,MATCH(C499,Products!$A$2:$A$49,0)))</f>
        <v>0</v>
      </c>
    </row>
    <row r="500" customFormat="false" ht="15" hidden="false" customHeight="false" outlineLevel="0" collapsed="false">
      <c r="A500" s="36" t="n">
        <v>46279</v>
      </c>
      <c r="B500" s="24" t="s">
        <v>61</v>
      </c>
      <c r="C500" s="24" t="s">
        <v>153</v>
      </c>
      <c r="D500" s="33" t="n">
        <v>99</v>
      </c>
      <c r="E500" s="24" t="n">
        <v>0</v>
      </c>
      <c r="F500" s="37" t="n">
        <f aca="false">DATE(YEAR(A500),MONTH(A500),1)</f>
        <v>46266</v>
      </c>
      <c r="G500" s="24" t="str">
        <f aca="false">INDEX(Products!$C$2:$C$49,MATCH(C500,Products!$A$2:$A$49,0))</f>
        <v>Beverages</v>
      </c>
      <c r="H500" s="33" t="n">
        <f aca="false">D500*INDEX(Products!$E$2:$E$49,MATCH(C500,Products!$A$2:$A$49,0))</f>
        <v>4950</v>
      </c>
      <c r="I500" s="33" t="n">
        <f aca="false">D500*INDEX(Products!$D$2:$D$49,MATCH(C500,Products!$A$2:$A$49,0))*(1+INDEX(Assumptions!$B$16:$B$20,MATCH(B500,Assumptions!$A$16:$A$20,0)))</f>
        <v>3499.65</v>
      </c>
      <c r="J500" s="33" t="n">
        <f aca="false">H500-I500</f>
        <v>1450.35</v>
      </c>
      <c r="K500" s="33" t="n">
        <f aca="false">IF(OR(E500=0,E500&gt;=7),0,D500/(7-E500)*E500*INDEX(Products!$E$2:$E$49,MATCH(C500,Products!$A$2:$A$49,0)))</f>
        <v>0</v>
      </c>
    </row>
    <row r="501" customFormat="false" ht="15" hidden="false" customHeight="false" outlineLevel="0" collapsed="false">
      <c r="A501" s="36" t="n">
        <v>46286</v>
      </c>
      <c r="B501" s="24" t="s">
        <v>61</v>
      </c>
      <c r="C501" s="24" t="s">
        <v>153</v>
      </c>
      <c r="D501" s="33" t="n">
        <v>99</v>
      </c>
      <c r="E501" s="24" t="n">
        <v>0</v>
      </c>
      <c r="F501" s="37" t="n">
        <f aca="false">DATE(YEAR(A501),MONTH(A501),1)</f>
        <v>46266</v>
      </c>
      <c r="G501" s="24" t="str">
        <f aca="false">INDEX(Products!$C$2:$C$49,MATCH(C501,Products!$A$2:$A$49,0))</f>
        <v>Beverages</v>
      </c>
      <c r="H501" s="33" t="n">
        <f aca="false">D501*INDEX(Products!$E$2:$E$49,MATCH(C501,Products!$A$2:$A$49,0))</f>
        <v>4950</v>
      </c>
      <c r="I501" s="33" t="n">
        <f aca="false">D501*INDEX(Products!$D$2:$D$49,MATCH(C501,Products!$A$2:$A$49,0))*(1+INDEX(Assumptions!$B$16:$B$20,MATCH(B501,Assumptions!$A$16:$A$20,0)))</f>
        <v>3499.65</v>
      </c>
      <c r="J501" s="33" t="n">
        <f aca="false">H501-I501</f>
        <v>1450.35</v>
      </c>
      <c r="K501" s="33" t="n">
        <f aca="false">IF(OR(E501=0,E501&gt;=7),0,D501/(7-E501)*E501*INDEX(Products!$E$2:$E$49,MATCH(C501,Products!$A$2:$A$49,0)))</f>
        <v>0</v>
      </c>
    </row>
    <row r="502" customFormat="false" ht="15" hidden="false" customHeight="false" outlineLevel="0" collapsed="false">
      <c r="A502" s="36" t="n">
        <v>46118</v>
      </c>
      <c r="B502" s="24" t="s">
        <v>61</v>
      </c>
      <c r="C502" s="24" t="s">
        <v>155</v>
      </c>
      <c r="D502" s="33" t="n">
        <v>127</v>
      </c>
      <c r="E502" s="24" t="n">
        <v>0</v>
      </c>
      <c r="F502" s="37" t="n">
        <f aca="false">DATE(YEAR(A502),MONTH(A502),1)</f>
        <v>46113</v>
      </c>
      <c r="G502" s="24" t="str">
        <f aca="false">INDEX(Products!$C$2:$C$49,MATCH(C502,Products!$A$2:$A$49,0))</f>
        <v>Beverages</v>
      </c>
      <c r="H502" s="33" t="n">
        <f aca="false">D502*INDEX(Products!$E$2:$E$49,MATCH(C502,Products!$A$2:$A$49,0))</f>
        <v>4445</v>
      </c>
      <c r="I502" s="33" t="n">
        <f aca="false">D502*INDEX(Products!$D$2:$D$49,MATCH(C502,Products!$A$2:$A$49,0))*(1+INDEX(Assumptions!$B$16:$B$20,MATCH(B502,Assumptions!$A$16:$A$20,0)))</f>
        <v>3335.02</v>
      </c>
      <c r="J502" s="33" t="n">
        <f aca="false">H502-I502</f>
        <v>1109.98</v>
      </c>
      <c r="K502" s="33" t="n">
        <f aca="false">IF(OR(E502=0,E502&gt;=7),0,D502/(7-E502)*E502*INDEX(Products!$E$2:$E$49,MATCH(C502,Products!$A$2:$A$49,0)))</f>
        <v>0</v>
      </c>
    </row>
    <row r="503" customFormat="false" ht="15" hidden="false" customHeight="false" outlineLevel="0" collapsed="false">
      <c r="A503" s="36" t="n">
        <v>46125</v>
      </c>
      <c r="B503" s="24" t="s">
        <v>61</v>
      </c>
      <c r="C503" s="24" t="s">
        <v>155</v>
      </c>
      <c r="D503" s="33" t="n">
        <v>175</v>
      </c>
      <c r="E503" s="24" t="n">
        <v>0</v>
      </c>
      <c r="F503" s="37" t="n">
        <f aca="false">DATE(YEAR(A503),MONTH(A503),1)</f>
        <v>46113</v>
      </c>
      <c r="G503" s="24" t="str">
        <f aca="false">INDEX(Products!$C$2:$C$49,MATCH(C503,Products!$A$2:$A$49,0))</f>
        <v>Beverages</v>
      </c>
      <c r="H503" s="33" t="n">
        <f aca="false">D503*INDEX(Products!$E$2:$E$49,MATCH(C503,Products!$A$2:$A$49,0))</f>
        <v>6125</v>
      </c>
      <c r="I503" s="33" t="n">
        <f aca="false">D503*INDEX(Products!$D$2:$D$49,MATCH(C503,Products!$A$2:$A$49,0))*(1+INDEX(Assumptions!$B$16:$B$20,MATCH(B503,Assumptions!$A$16:$A$20,0)))</f>
        <v>4595.5</v>
      </c>
      <c r="J503" s="33" t="n">
        <f aca="false">H503-I503</f>
        <v>1529.5</v>
      </c>
      <c r="K503" s="33" t="n">
        <f aca="false">IF(OR(E503=0,E503&gt;=7),0,D503/(7-E503)*E503*INDEX(Products!$E$2:$E$49,MATCH(C503,Products!$A$2:$A$49,0)))</f>
        <v>0</v>
      </c>
    </row>
    <row r="504" customFormat="false" ht="15" hidden="false" customHeight="false" outlineLevel="0" collapsed="false">
      <c r="A504" s="36" t="n">
        <v>46132</v>
      </c>
      <c r="B504" s="24" t="s">
        <v>61</v>
      </c>
      <c r="C504" s="24" t="s">
        <v>155</v>
      </c>
      <c r="D504" s="33" t="n">
        <v>168</v>
      </c>
      <c r="E504" s="24" t="n">
        <v>0</v>
      </c>
      <c r="F504" s="37" t="n">
        <f aca="false">DATE(YEAR(A504),MONTH(A504),1)</f>
        <v>46113</v>
      </c>
      <c r="G504" s="24" t="str">
        <f aca="false">INDEX(Products!$C$2:$C$49,MATCH(C504,Products!$A$2:$A$49,0))</f>
        <v>Beverages</v>
      </c>
      <c r="H504" s="33" t="n">
        <f aca="false">D504*INDEX(Products!$E$2:$E$49,MATCH(C504,Products!$A$2:$A$49,0))</f>
        <v>5880</v>
      </c>
      <c r="I504" s="33" t="n">
        <f aca="false">D504*INDEX(Products!$D$2:$D$49,MATCH(C504,Products!$A$2:$A$49,0))*(1+INDEX(Assumptions!$B$16:$B$20,MATCH(B504,Assumptions!$A$16:$A$20,0)))</f>
        <v>4411.68</v>
      </c>
      <c r="J504" s="33" t="n">
        <f aca="false">H504-I504</f>
        <v>1468.32</v>
      </c>
      <c r="K504" s="33" t="n">
        <f aca="false">IF(OR(E504=0,E504&gt;=7),0,D504/(7-E504)*E504*INDEX(Products!$E$2:$E$49,MATCH(C504,Products!$A$2:$A$49,0)))</f>
        <v>0</v>
      </c>
    </row>
    <row r="505" customFormat="false" ht="15" hidden="false" customHeight="false" outlineLevel="0" collapsed="false">
      <c r="A505" s="36" t="n">
        <v>46139</v>
      </c>
      <c r="B505" s="24" t="s">
        <v>61</v>
      </c>
      <c r="C505" s="24" t="s">
        <v>155</v>
      </c>
      <c r="D505" s="33" t="n">
        <v>168</v>
      </c>
      <c r="E505" s="24" t="n">
        <v>0</v>
      </c>
      <c r="F505" s="37" t="n">
        <f aca="false">DATE(YEAR(A505),MONTH(A505),1)</f>
        <v>46113</v>
      </c>
      <c r="G505" s="24" t="str">
        <f aca="false">INDEX(Products!$C$2:$C$49,MATCH(C505,Products!$A$2:$A$49,0))</f>
        <v>Beverages</v>
      </c>
      <c r="H505" s="33" t="n">
        <f aca="false">D505*INDEX(Products!$E$2:$E$49,MATCH(C505,Products!$A$2:$A$49,0))</f>
        <v>5880</v>
      </c>
      <c r="I505" s="33" t="n">
        <f aca="false">D505*INDEX(Products!$D$2:$D$49,MATCH(C505,Products!$A$2:$A$49,0))*(1+INDEX(Assumptions!$B$16:$B$20,MATCH(B505,Assumptions!$A$16:$A$20,0)))</f>
        <v>4411.68</v>
      </c>
      <c r="J505" s="33" t="n">
        <f aca="false">H505-I505</f>
        <v>1468.32</v>
      </c>
      <c r="K505" s="33" t="n">
        <f aca="false">IF(OR(E505=0,E505&gt;=7),0,D505/(7-E505)*E505*INDEX(Products!$E$2:$E$49,MATCH(C505,Products!$A$2:$A$49,0)))</f>
        <v>0</v>
      </c>
    </row>
    <row r="506" customFormat="false" ht="15" hidden="false" customHeight="false" outlineLevel="0" collapsed="false">
      <c r="A506" s="36" t="n">
        <v>46146</v>
      </c>
      <c r="B506" s="24" t="s">
        <v>61</v>
      </c>
      <c r="C506" s="24" t="s">
        <v>155</v>
      </c>
      <c r="D506" s="33" t="n">
        <v>136</v>
      </c>
      <c r="E506" s="24" t="n">
        <v>0</v>
      </c>
      <c r="F506" s="37" t="n">
        <f aca="false">DATE(YEAR(A506),MONTH(A506),1)</f>
        <v>46143</v>
      </c>
      <c r="G506" s="24" t="str">
        <f aca="false">INDEX(Products!$C$2:$C$49,MATCH(C506,Products!$A$2:$A$49,0))</f>
        <v>Beverages</v>
      </c>
      <c r="H506" s="33" t="n">
        <f aca="false">D506*INDEX(Products!$E$2:$E$49,MATCH(C506,Products!$A$2:$A$49,0))</f>
        <v>4760</v>
      </c>
      <c r="I506" s="33" t="n">
        <f aca="false">D506*INDEX(Products!$D$2:$D$49,MATCH(C506,Products!$A$2:$A$49,0))*(1+INDEX(Assumptions!$B$16:$B$20,MATCH(B506,Assumptions!$A$16:$A$20,0)))</f>
        <v>3571.36</v>
      </c>
      <c r="J506" s="33" t="n">
        <f aca="false">H506-I506</f>
        <v>1188.64</v>
      </c>
      <c r="K506" s="33" t="n">
        <f aca="false">IF(OR(E506=0,E506&gt;=7),0,D506/(7-E506)*E506*INDEX(Products!$E$2:$E$49,MATCH(C506,Products!$A$2:$A$49,0)))</f>
        <v>0</v>
      </c>
    </row>
    <row r="507" customFormat="false" ht="15" hidden="false" customHeight="false" outlineLevel="0" collapsed="false">
      <c r="A507" s="36" t="n">
        <v>46153</v>
      </c>
      <c r="B507" s="24" t="s">
        <v>61</v>
      </c>
      <c r="C507" s="24" t="s">
        <v>155</v>
      </c>
      <c r="D507" s="33" t="n">
        <v>135</v>
      </c>
      <c r="E507" s="24" t="n">
        <v>0</v>
      </c>
      <c r="F507" s="37" t="n">
        <f aca="false">DATE(YEAR(A507),MONTH(A507),1)</f>
        <v>46143</v>
      </c>
      <c r="G507" s="24" t="str">
        <f aca="false">INDEX(Products!$C$2:$C$49,MATCH(C507,Products!$A$2:$A$49,0))</f>
        <v>Beverages</v>
      </c>
      <c r="H507" s="33" t="n">
        <f aca="false">D507*INDEX(Products!$E$2:$E$49,MATCH(C507,Products!$A$2:$A$49,0))</f>
        <v>4725</v>
      </c>
      <c r="I507" s="33" t="n">
        <f aca="false">D507*INDEX(Products!$D$2:$D$49,MATCH(C507,Products!$A$2:$A$49,0))*(1+INDEX(Assumptions!$B$16:$B$20,MATCH(B507,Assumptions!$A$16:$A$20,0)))</f>
        <v>3545.1</v>
      </c>
      <c r="J507" s="33" t="n">
        <f aca="false">H507-I507</f>
        <v>1179.9</v>
      </c>
      <c r="K507" s="33" t="n">
        <f aca="false">IF(OR(E507=0,E507&gt;=7),0,D507/(7-E507)*E507*INDEX(Products!$E$2:$E$49,MATCH(C507,Products!$A$2:$A$49,0)))</f>
        <v>0</v>
      </c>
    </row>
    <row r="508" customFormat="false" ht="15" hidden="false" customHeight="false" outlineLevel="0" collapsed="false">
      <c r="A508" s="36" t="n">
        <v>46160</v>
      </c>
      <c r="B508" s="24" t="s">
        <v>61</v>
      </c>
      <c r="C508" s="24" t="s">
        <v>155</v>
      </c>
      <c r="D508" s="33" t="n">
        <v>187</v>
      </c>
      <c r="E508" s="24" t="n">
        <v>0</v>
      </c>
      <c r="F508" s="37" t="n">
        <f aca="false">DATE(YEAR(A508),MONTH(A508),1)</f>
        <v>46143</v>
      </c>
      <c r="G508" s="24" t="str">
        <f aca="false">INDEX(Products!$C$2:$C$49,MATCH(C508,Products!$A$2:$A$49,0))</f>
        <v>Beverages</v>
      </c>
      <c r="H508" s="33" t="n">
        <f aca="false">D508*INDEX(Products!$E$2:$E$49,MATCH(C508,Products!$A$2:$A$49,0))</f>
        <v>6545</v>
      </c>
      <c r="I508" s="33" t="n">
        <f aca="false">D508*INDEX(Products!$D$2:$D$49,MATCH(C508,Products!$A$2:$A$49,0))*(1+INDEX(Assumptions!$B$16:$B$20,MATCH(B508,Assumptions!$A$16:$A$20,0)))</f>
        <v>4910.62</v>
      </c>
      <c r="J508" s="33" t="n">
        <f aca="false">H508-I508</f>
        <v>1634.38</v>
      </c>
      <c r="K508" s="33" t="n">
        <f aca="false">IF(OR(E508=0,E508&gt;=7),0,D508/(7-E508)*E508*INDEX(Products!$E$2:$E$49,MATCH(C508,Products!$A$2:$A$49,0)))</f>
        <v>0</v>
      </c>
    </row>
    <row r="509" customFormat="false" ht="15" hidden="false" customHeight="false" outlineLevel="0" collapsed="false">
      <c r="A509" s="36" t="n">
        <v>46167</v>
      </c>
      <c r="B509" s="24" t="s">
        <v>61</v>
      </c>
      <c r="C509" s="24" t="s">
        <v>155</v>
      </c>
      <c r="D509" s="33" t="n">
        <v>171</v>
      </c>
      <c r="E509" s="24" t="n">
        <v>0</v>
      </c>
      <c r="F509" s="37" t="n">
        <f aca="false">DATE(YEAR(A509),MONTH(A509),1)</f>
        <v>46143</v>
      </c>
      <c r="G509" s="24" t="str">
        <f aca="false">INDEX(Products!$C$2:$C$49,MATCH(C509,Products!$A$2:$A$49,0))</f>
        <v>Beverages</v>
      </c>
      <c r="H509" s="33" t="n">
        <f aca="false">D509*INDEX(Products!$E$2:$E$49,MATCH(C509,Products!$A$2:$A$49,0))</f>
        <v>5985</v>
      </c>
      <c r="I509" s="33" t="n">
        <f aca="false">D509*INDEX(Products!$D$2:$D$49,MATCH(C509,Products!$A$2:$A$49,0))*(1+INDEX(Assumptions!$B$16:$B$20,MATCH(B509,Assumptions!$A$16:$A$20,0)))</f>
        <v>4490.46</v>
      </c>
      <c r="J509" s="33" t="n">
        <f aca="false">H509-I509</f>
        <v>1494.54</v>
      </c>
      <c r="K509" s="33" t="n">
        <f aca="false">IF(OR(E509=0,E509&gt;=7),0,D509/(7-E509)*E509*INDEX(Products!$E$2:$E$49,MATCH(C509,Products!$A$2:$A$49,0)))</f>
        <v>0</v>
      </c>
    </row>
    <row r="510" customFormat="false" ht="15" hidden="false" customHeight="false" outlineLevel="0" collapsed="false">
      <c r="A510" s="36" t="n">
        <v>46174</v>
      </c>
      <c r="B510" s="24" t="s">
        <v>61</v>
      </c>
      <c r="C510" s="24" t="s">
        <v>155</v>
      </c>
      <c r="D510" s="33" t="n">
        <v>137</v>
      </c>
      <c r="E510" s="24" t="n">
        <v>0</v>
      </c>
      <c r="F510" s="37" t="n">
        <f aca="false">DATE(YEAR(A510),MONTH(A510),1)</f>
        <v>46174</v>
      </c>
      <c r="G510" s="24" t="str">
        <f aca="false">INDEX(Products!$C$2:$C$49,MATCH(C510,Products!$A$2:$A$49,0))</f>
        <v>Beverages</v>
      </c>
      <c r="H510" s="33" t="n">
        <f aca="false">D510*INDEX(Products!$E$2:$E$49,MATCH(C510,Products!$A$2:$A$49,0))</f>
        <v>4795</v>
      </c>
      <c r="I510" s="33" t="n">
        <f aca="false">D510*INDEX(Products!$D$2:$D$49,MATCH(C510,Products!$A$2:$A$49,0))*(1+INDEX(Assumptions!$B$16:$B$20,MATCH(B510,Assumptions!$A$16:$A$20,0)))</f>
        <v>3597.62</v>
      </c>
      <c r="J510" s="33" t="n">
        <f aca="false">H510-I510</f>
        <v>1197.38</v>
      </c>
      <c r="K510" s="33" t="n">
        <f aca="false">IF(OR(E510=0,E510&gt;=7),0,D510/(7-E510)*E510*INDEX(Products!$E$2:$E$49,MATCH(C510,Products!$A$2:$A$49,0)))</f>
        <v>0</v>
      </c>
    </row>
    <row r="511" customFormat="false" ht="15" hidden="false" customHeight="false" outlineLevel="0" collapsed="false">
      <c r="A511" s="36" t="n">
        <v>46181</v>
      </c>
      <c r="B511" s="24" t="s">
        <v>61</v>
      </c>
      <c r="C511" s="24" t="s">
        <v>155</v>
      </c>
      <c r="D511" s="33" t="n">
        <v>149</v>
      </c>
      <c r="E511" s="24" t="n">
        <v>0</v>
      </c>
      <c r="F511" s="37" t="n">
        <f aca="false">DATE(YEAR(A511),MONTH(A511),1)</f>
        <v>46174</v>
      </c>
      <c r="G511" s="24" t="str">
        <f aca="false">INDEX(Products!$C$2:$C$49,MATCH(C511,Products!$A$2:$A$49,0))</f>
        <v>Beverages</v>
      </c>
      <c r="H511" s="33" t="n">
        <f aca="false">D511*INDEX(Products!$E$2:$E$49,MATCH(C511,Products!$A$2:$A$49,0))</f>
        <v>5215</v>
      </c>
      <c r="I511" s="33" t="n">
        <f aca="false">D511*INDEX(Products!$D$2:$D$49,MATCH(C511,Products!$A$2:$A$49,0))*(1+INDEX(Assumptions!$B$16:$B$20,MATCH(B511,Assumptions!$A$16:$A$20,0)))</f>
        <v>3912.74</v>
      </c>
      <c r="J511" s="33" t="n">
        <f aca="false">H511-I511</f>
        <v>1302.26</v>
      </c>
      <c r="K511" s="33" t="n">
        <f aca="false">IF(OR(E511=0,E511&gt;=7),0,D511/(7-E511)*E511*INDEX(Products!$E$2:$E$49,MATCH(C511,Products!$A$2:$A$49,0)))</f>
        <v>0</v>
      </c>
    </row>
    <row r="512" customFormat="false" ht="15" hidden="false" customHeight="false" outlineLevel="0" collapsed="false">
      <c r="A512" s="36" t="n">
        <v>46188</v>
      </c>
      <c r="B512" s="24" t="s">
        <v>61</v>
      </c>
      <c r="C512" s="24" t="s">
        <v>155</v>
      </c>
      <c r="D512" s="33" t="n">
        <v>133</v>
      </c>
      <c r="E512" s="24" t="n">
        <v>0</v>
      </c>
      <c r="F512" s="37" t="n">
        <f aca="false">DATE(YEAR(A512),MONTH(A512),1)</f>
        <v>46174</v>
      </c>
      <c r="G512" s="24" t="str">
        <f aca="false">INDEX(Products!$C$2:$C$49,MATCH(C512,Products!$A$2:$A$49,0))</f>
        <v>Beverages</v>
      </c>
      <c r="H512" s="33" t="n">
        <f aca="false">D512*INDEX(Products!$E$2:$E$49,MATCH(C512,Products!$A$2:$A$49,0))</f>
        <v>4655</v>
      </c>
      <c r="I512" s="33" t="n">
        <f aca="false">D512*INDEX(Products!$D$2:$D$49,MATCH(C512,Products!$A$2:$A$49,0))*(1+INDEX(Assumptions!$B$16:$B$20,MATCH(B512,Assumptions!$A$16:$A$20,0)))</f>
        <v>3492.58</v>
      </c>
      <c r="J512" s="33" t="n">
        <f aca="false">H512-I512</f>
        <v>1162.42</v>
      </c>
      <c r="K512" s="33" t="n">
        <f aca="false">IF(OR(E512=0,E512&gt;=7),0,D512/(7-E512)*E512*INDEX(Products!$E$2:$E$49,MATCH(C512,Products!$A$2:$A$49,0)))</f>
        <v>0</v>
      </c>
    </row>
    <row r="513" customFormat="false" ht="15" hidden="false" customHeight="false" outlineLevel="0" collapsed="false">
      <c r="A513" s="36" t="n">
        <v>46195</v>
      </c>
      <c r="B513" s="24" t="s">
        <v>61</v>
      </c>
      <c r="C513" s="24" t="s">
        <v>155</v>
      </c>
      <c r="D513" s="33" t="n">
        <v>191</v>
      </c>
      <c r="E513" s="24" t="n">
        <v>0</v>
      </c>
      <c r="F513" s="37" t="n">
        <f aca="false">DATE(YEAR(A513),MONTH(A513),1)</f>
        <v>46174</v>
      </c>
      <c r="G513" s="24" t="str">
        <f aca="false">INDEX(Products!$C$2:$C$49,MATCH(C513,Products!$A$2:$A$49,0))</f>
        <v>Beverages</v>
      </c>
      <c r="H513" s="33" t="n">
        <f aca="false">D513*INDEX(Products!$E$2:$E$49,MATCH(C513,Products!$A$2:$A$49,0))</f>
        <v>6685</v>
      </c>
      <c r="I513" s="33" t="n">
        <f aca="false">D513*INDEX(Products!$D$2:$D$49,MATCH(C513,Products!$A$2:$A$49,0))*(1+INDEX(Assumptions!$B$16:$B$20,MATCH(B513,Assumptions!$A$16:$A$20,0)))</f>
        <v>5015.66</v>
      </c>
      <c r="J513" s="33" t="n">
        <f aca="false">H513-I513</f>
        <v>1669.34</v>
      </c>
      <c r="K513" s="33" t="n">
        <f aca="false">IF(OR(E513=0,E513&gt;=7),0,D513/(7-E513)*E513*INDEX(Products!$E$2:$E$49,MATCH(C513,Products!$A$2:$A$49,0)))</f>
        <v>0</v>
      </c>
    </row>
    <row r="514" customFormat="false" ht="15" hidden="false" customHeight="false" outlineLevel="0" collapsed="false">
      <c r="A514" s="36" t="n">
        <v>46202</v>
      </c>
      <c r="B514" s="24" t="s">
        <v>61</v>
      </c>
      <c r="C514" s="24" t="s">
        <v>155</v>
      </c>
      <c r="D514" s="33" t="n">
        <v>162</v>
      </c>
      <c r="E514" s="24" t="n">
        <v>0</v>
      </c>
      <c r="F514" s="37" t="n">
        <f aca="false">DATE(YEAR(A514),MONTH(A514),1)</f>
        <v>46174</v>
      </c>
      <c r="G514" s="24" t="str">
        <f aca="false">INDEX(Products!$C$2:$C$49,MATCH(C514,Products!$A$2:$A$49,0))</f>
        <v>Beverages</v>
      </c>
      <c r="H514" s="33" t="n">
        <f aca="false">D514*INDEX(Products!$E$2:$E$49,MATCH(C514,Products!$A$2:$A$49,0))</f>
        <v>5670</v>
      </c>
      <c r="I514" s="33" t="n">
        <f aca="false">D514*INDEX(Products!$D$2:$D$49,MATCH(C514,Products!$A$2:$A$49,0))*(1+INDEX(Assumptions!$B$16:$B$20,MATCH(B514,Assumptions!$A$16:$A$20,0)))</f>
        <v>4254.12</v>
      </c>
      <c r="J514" s="33" t="n">
        <f aca="false">H514-I514</f>
        <v>1415.88</v>
      </c>
      <c r="K514" s="33" t="n">
        <f aca="false">IF(OR(E514=0,E514&gt;=7),0,D514/(7-E514)*E514*INDEX(Products!$E$2:$E$49,MATCH(C514,Products!$A$2:$A$49,0)))</f>
        <v>0</v>
      </c>
    </row>
    <row r="515" customFormat="false" ht="15" hidden="false" customHeight="false" outlineLevel="0" collapsed="false">
      <c r="A515" s="36" t="n">
        <v>46209</v>
      </c>
      <c r="B515" s="24" t="s">
        <v>61</v>
      </c>
      <c r="C515" s="24" t="s">
        <v>155</v>
      </c>
      <c r="D515" s="33" t="n">
        <v>119</v>
      </c>
      <c r="E515" s="24" t="n">
        <v>0</v>
      </c>
      <c r="F515" s="37" t="n">
        <f aca="false">DATE(YEAR(A515),MONTH(A515),1)</f>
        <v>46204</v>
      </c>
      <c r="G515" s="24" t="str">
        <f aca="false">INDEX(Products!$C$2:$C$49,MATCH(C515,Products!$A$2:$A$49,0))</f>
        <v>Beverages</v>
      </c>
      <c r="H515" s="33" t="n">
        <f aca="false">D515*INDEX(Products!$E$2:$E$49,MATCH(C515,Products!$A$2:$A$49,0))</f>
        <v>4165</v>
      </c>
      <c r="I515" s="33" t="n">
        <f aca="false">D515*INDEX(Products!$D$2:$D$49,MATCH(C515,Products!$A$2:$A$49,0))*(1+INDEX(Assumptions!$B$16:$B$20,MATCH(B515,Assumptions!$A$16:$A$20,0)))</f>
        <v>3124.94</v>
      </c>
      <c r="J515" s="33" t="n">
        <f aca="false">H515-I515</f>
        <v>1040.06</v>
      </c>
      <c r="K515" s="33" t="n">
        <f aca="false">IF(OR(E515=0,E515&gt;=7),0,D515/(7-E515)*E515*INDEX(Products!$E$2:$E$49,MATCH(C515,Products!$A$2:$A$49,0)))</f>
        <v>0</v>
      </c>
    </row>
    <row r="516" customFormat="false" ht="15" hidden="false" customHeight="false" outlineLevel="0" collapsed="false">
      <c r="A516" s="36" t="n">
        <v>46216</v>
      </c>
      <c r="B516" s="24" t="s">
        <v>61</v>
      </c>
      <c r="C516" s="24" t="s">
        <v>155</v>
      </c>
      <c r="D516" s="33" t="n">
        <v>138</v>
      </c>
      <c r="E516" s="24" t="n">
        <v>0</v>
      </c>
      <c r="F516" s="37" t="n">
        <f aca="false">DATE(YEAR(A516),MONTH(A516),1)</f>
        <v>46204</v>
      </c>
      <c r="G516" s="24" t="str">
        <f aca="false">INDEX(Products!$C$2:$C$49,MATCH(C516,Products!$A$2:$A$49,0))</f>
        <v>Beverages</v>
      </c>
      <c r="H516" s="33" t="n">
        <f aca="false">D516*INDEX(Products!$E$2:$E$49,MATCH(C516,Products!$A$2:$A$49,0))</f>
        <v>4830</v>
      </c>
      <c r="I516" s="33" t="n">
        <f aca="false">D516*INDEX(Products!$D$2:$D$49,MATCH(C516,Products!$A$2:$A$49,0))*(1+INDEX(Assumptions!$B$16:$B$20,MATCH(B516,Assumptions!$A$16:$A$20,0)))</f>
        <v>3623.88</v>
      </c>
      <c r="J516" s="33" t="n">
        <f aca="false">H516-I516</f>
        <v>1206.12</v>
      </c>
      <c r="K516" s="33" t="n">
        <f aca="false">IF(OR(E516=0,E516&gt;=7),0,D516/(7-E516)*E516*INDEX(Products!$E$2:$E$49,MATCH(C516,Products!$A$2:$A$49,0)))</f>
        <v>0</v>
      </c>
    </row>
    <row r="517" customFormat="false" ht="15" hidden="false" customHeight="false" outlineLevel="0" collapsed="false">
      <c r="A517" s="36" t="n">
        <v>46223</v>
      </c>
      <c r="B517" s="24" t="s">
        <v>61</v>
      </c>
      <c r="C517" s="24" t="s">
        <v>155</v>
      </c>
      <c r="D517" s="33" t="n">
        <v>156</v>
      </c>
      <c r="E517" s="24" t="n">
        <v>0</v>
      </c>
      <c r="F517" s="37" t="n">
        <f aca="false">DATE(YEAR(A517),MONTH(A517),1)</f>
        <v>46204</v>
      </c>
      <c r="G517" s="24" t="str">
        <f aca="false">INDEX(Products!$C$2:$C$49,MATCH(C517,Products!$A$2:$A$49,0))</f>
        <v>Beverages</v>
      </c>
      <c r="H517" s="33" t="n">
        <f aca="false">D517*INDEX(Products!$E$2:$E$49,MATCH(C517,Products!$A$2:$A$49,0))</f>
        <v>5460</v>
      </c>
      <c r="I517" s="33" t="n">
        <f aca="false">D517*INDEX(Products!$D$2:$D$49,MATCH(C517,Products!$A$2:$A$49,0))*(1+INDEX(Assumptions!$B$16:$B$20,MATCH(B517,Assumptions!$A$16:$A$20,0)))</f>
        <v>4096.56</v>
      </c>
      <c r="J517" s="33" t="n">
        <f aca="false">H517-I517</f>
        <v>1363.44</v>
      </c>
      <c r="K517" s="33" t="n">
        <f aca="false">IF(OR(E517=0,E517&gt;=7),0,D517/(7-E517)*E517*INDEX(Products!$E$2:$E$49,MATCH(C517,Products!$A$2:$A$49,0)))</f>
        <v>0</v>
      </c>
    </row>
    <row r="518" customFormat="false" ht="15" hidden="false" customHeight="false" outlineLevel="0" collapsed="false">
      <c r="A518" s="36" t="n">
        <v>46230</v>
      </c>
      <c r="B518" s="24" t="s">
        <v>61</v>
      </c>
      <c r="C518" s="24" t="s">
        <v>155</v>
      </c>
      <c r="D518" s="33" t="n">
        <v>180</v>
      </c>
      <c r="E518" s="24" t="n">
        <v>0</v>
      </c>
      <c r="F518" s="37" t="n">
        <f aca="false">DATE(YEAR(A518),MONTH(A518),1)</f>
        <v>46204</v>
      </c>
      <c r="G518" s="24" t="str">
        <f aca="false">INDEX(Products!$C$2:$C$49,MATCH(C518,Products!$A$2:$A$49,0))</f>
        <v>Beverages</v>
      </c>
      <c r="H518" s="33" t="n">
        <f aca="false">D518*INDEX(Products!$E$2:$E$49,MATCH(C518,Products!$A$2:$A$49,0))</f>
        <v>6300</v>
      </c>
      <c r="I518" s="33" t="n">
        <f aca="false">D518*INDEX(Products!$D$2:$D$49,MATCH(C518,Products!$A$2:$A$49,0))*(1+INDEX(Assumptions!$B$16:$B$20,MATCH(B518,Assumptions!$A$16:$A$20,0)))</f>
        <v>4726.8</v>
      </c>
      <c r="J518" s="33" t="n">
        <f aca="false">H518-I518</f>
        <v>1573.2</v>
      </c>
      <c r="K518" s="33" t="n">
        <f aca="false">IF(OR(E518=0,E518&gt;=7),0,D518/(7-E518)*E518*INDEX(Products!$E$2:$E$49,MATCH(C518,Products!$A$2:$A$49,0)))</f>
        <v>0</v>
      </c>
    </row>
    <row r="519" customFormat="false" ht="15" hidden="false" customHeight="false" outlineLevel="0" collapsed="false">
      <c r="A519" s="36" t="n">
        <v>46237</v>
      </c>
      <c r="B519" s="24" t="s">
        <v>61</v>
      </c>
      <c r="C519" s="24" t="s">
        <v>155</v>
      </c>
      <c r="D519" s="33" t="n">
        <v>140</v>
      </c>
      <c r="E519" s="24" t="n">
        <v>0</v>
      </c>
      <c r="F519" s="37" t="n">
        <f aca="false">DATE(YEAR(A519),MONTH(A519),1)</f>
        <v>46235</v>
      </c>
      <c r="G519" s="24" t="str">
        <f aca="false">INDEX(Products!$C$2:$C$49,MATCH(C519,Products!$A$2:$A$49,0))</f>
        <v>Beverages</v>
      </c>
      <c r="H519" s="33" t="n">
        <f aca="false">D519*INDEX(Products!$E$2:$E$49,MATCH(C519,Products!$A$2:$A$49,0))</f>
        <v>4900</v>
      </c>
      <c r="I519" s="33" t="n">
        <f aca="false">D519*INDEX(Products!$D$2:$D$49,MATCH(C519,Products!$A$2:$A$49,0))*(1+INDEX(Assumptions!$B$16:$B$20,MATCH(B519,Assumptions!$A$16:$A$20,0)))</f>
        <v>3676.4</v>
      </c>
      <c r="J519" s="33" t="n">
        <f aca="false">H519-I519</f>
        <v>1223.6</v>
      </c>
      <c r="K519" s="33" t="n">
        <f aca="false">IF(OR(E519=0,E519&gt;=7),0,D519/(7-E519)*E519*INDEX(Products!$E$2:$E$49,MATCH(C519,Products!$A$2:$A$49,0)))</f>
        <v>0</v>
      </c>
    </row>
    <row r="520" customFormat="false" ht="15" hidden="false" customHeight="false" outlineLevel="0" collapsed="false">
      <c r="A520" s="36" t="n">
        <v>46244</v>
      </c>
      <c r="B520" s="24" t="s">
        <v>61</v>
      </c>
      <c r="C520" s="24" t="s">
        <v>155</v>
      </c>
      <c r="D520" s="33" t="n">
        <v>137</v>
      </c>
      <c r="E520" s="24" t="n">
        <v>0</v>
      </c>
      <c r="F520" s="37" t="n">
        <f aca="false">DATE(YEAR(A520),MONTH(A520),1)</f>
        <v>46235</v>
      </c>
      <c r="G520" s="24" t="str">
        <f aca="false">INDEX(Products!$C$2:$C$49,MATCH(C520,Products!$A$2:$A$49,0))</f>
        <v>Beverages</v>
      </c>
      <c r="H520" s="33" t="n">
        <f aca="false">D520*INDEX(Products!$E$2:$E$49,MATCH(C520,Products!$A$2:$A$49,0))</f>
        <v>4795</v>
      </c>
      <c r="I520" s="33" t="n">
        <f aca="false">D520*INDEX(Products!$D$2:$D$49,MATCH(C520,Products!$A$2:$A$49,0))*(1+INDEX(Assumptions!$B$16:$B$20,MATCH(B520,Assumptions!$A$16:$A$20,0)))</f>
        <v>3597.62</v>
      </c>
      <c r="J520" s="33" t="n">
        <f aca="false">H520-I520</f>
        <v>1197.38</v>
      </c>
      <c r="K520" s="33" t="n">
        <f aca="false">IF(OR(E520=0,E520&gt;=7),0,D520/(7-E520)*E520*INDEX(Products!$E$2:$E$49,MATCH(C520,Products!$A$2:$A$49,0)))</f>
        <v>0</v>
      </c>
    </row>
    <row r="521" customFormat="false" ht="15" hidden="false" customHeight="false" outlineLevel="0" collapsed="false">
      <c r="A521" s="36" t="n">
        <v>46251</v>
      </c>
      <c r="B521" s="24" t="s">
        <v>61</v>
      </c>
      <c r="C521" s="24" t="s">
        <v>155</v>
      </c>
      <c r="D521" s="33" t="n">
        <v>150</v>
      </c>
      <c r="E521" s="24" t="n">
        <v>0</v>
      </c>
      <c r="F521" s="37" t="n">
        <f aca="false">DATE(YEAR(A521),MONTH(A521),1)</f>
        <v>46235</v>
      </c>
      <c r="G521" s="24" t="str">
        <f aca="false">INDEX(Products!$C$2:$C$49,MATCH(C521,Products!$A$2:$A$49,0))</f>
        <v>Beverages</v>
      </c>
      <c r="H521" s="33" t="n">
        <f aca="false">D521*INDEX(Products!$E$2:$E$49,MATCH(C521,Products!$A$2:$A$49,0))</f>
        <v>5250</v>
      </c>
      <c r="I521" s="33" t="n">
        <f aca="false">D521*INDEX(Products!$D$2:$D$49,MATCH(C521,Products!$A$2:$A$49,0))*(1+INDEX(Assumptions!$B$16:$B$20,MATCH(B521,Assumptions!$A$16:$A$20,0)))</f>
        <v>3939</v>
      </c>
      <c r="J521" s="33" t="n">
        <f aca="false">H521-I521</f>
        <v>1311</v>
      </c>
      <c r="K521" s="33" t="n">
        <f aca="false">IF(OR(E521=0,E521&gt;=7),0,D521/(7-E521)*E521*INDEX(Products!$E$2:$E$49,MATCH(C521,Products!$A$2:$A$49,0)))</f>
        <v>0</v>
      </c>
    </row>
    <row r="522" customFormat="false" ht="15" hidden="false" customHeight="false" outlineLevel="0" collapsed="false">
      <c r="A522" s="36" t="n">
        <v>46258</v>
      </c>
      <c r="B522" s="24" t="s">
        <v>61</v>
      </c>
      <c r="C522" s="24" t="s">
        <v>155</v>
      </c>
      <c r="D522" s="33" t="n">
        <v>160</v>
      </c>
      <c r="E522" s="24" t="n">
        <v>0</v>
      </c>
      <c r="F522" s="37" t="n">
        <f aca="false">DATE(YEAR(A522),MONTH(A522),1)</f>
        <v>46235</v>
      </c>
      <c r="G522" s="24" t="str">
        <f aca="false">INDEX(Products!$C$2:$C$49,MATCH(C522,Products!$A$2:$A$49,0))</f>
        <v>Beverages</v>
      </c>
      <c r="H522" s="33" t="n">
        <f aca="false">D522*INDEX(Products!$E$2:$E$49,MATCH(C522,Products!$A$2:$A$49,0))</f>
        <v>5600</v>
      </c>
      <c r="I522" s="33" t="n">
        <f aca="false">D522*INDEX(Products!$D$2:$D$49,MATCH(C522,Products!$A$2:$A$49,0))*(1+INDEX(Assumptions!$B$16:$B$20,MATCH(B522,Assumptions!$A$16:$A$20,0)))</f>
        <v>4201.6</v>
      </c>
      <c r="J522" s="33" t="n">
        <f aca="false">H522-I522</f>
        <v>1398.4</v>
      </c>
      <c r="K522" s="33" t="n">
        <f aca="false">IF(OR(E522=0,E522&gt;=7),0,D522/(7-E522)*E522*INDEX(Products!$E$2:$E$49,MATCH(C522,Products!$A$2:$A$49,0)))</f>
        <v>0</v>
      </c>
    </row>
    <row r="523" customFormat="false" ht="15" hidden="false" customHeight="false" outlineLevel="0" collapsed="false">
      <c r="A523" s="36" t="n">
        <v>46265</v>
      </c>
      <c r="B523" s="24" t="s">
        <v>61</v>
      </c>
      <c r="C523" s="24" t="s">
        <v>155</v>
      </c>
      <c r="D523" s="33" t="n">
        <v>152</v>
      </c>
      <c r="E523" s="24" t="n">
        <v>0</v>
      </c>
      <c r="F523" s="37" t="n">
        <f aca="false">DATE(YEAR(A523),MONTH(A523),1)</f>
        <v>46235</v>
      </c>
      <c r="G523" s="24" t="str">
        <f aca="false">INDEX(Products!$C$2:$C$49,MATCH(C523,Products!$A$2:$A$49,0))</f>
        <v>Beverages</v>
      </c>
      <c r="H523" s="33" t="n">
        <f aca="false">D523*INDEX(Products!$E$2:$E$49,MATCH(C523,Products!$A$2:$A$49,0))</f>
        <v>5320</v>
      </c>
      <c r="I523" s="33" t="n">
        <f aca="false">D523*INDEX(Products!$D$2:$D$49,MATCH(C523,Products!$A$2:$A$49,0))*(1+INDEX(Assumptions!$B$16:$B$20,MATCH(B523,Assumptions!$A$16:$A$20,0)))</f>
        <v>3991.52</v>
      </c>
      <c r="J523" s="33" t="n">
        <f aca="false">H523-I523</f>
        <v>1328.48</v>
      </c>
      <c r="K523" s="33" t="n">
        <f aca="false">IF(OR(E523=0,E523&gt;=7),0,D523/(7-E523)*E523*INDEX(Products!$E$2:$E$49,MATCH(C523,Products!$A$2:$A$49,0)))</f>
        <v>0</v>
      </c>
    </row>
    <row r="524" customFormat="false" ht="15" hidden="false" customHeight="false" outlineLevel="0" collapsed="false">
      <c r="A524" s="36" t="n">
        <v>46272</v>
      </c>
      <c r="B524" s="24" t="s">
        <v>61</v>
      </c>
      <c r="C524" s="24" t="s">
        <v>155</v>
      </c>
      <c r="D524" s="33" t="n">
        <v>161</v>
      </c>
      <c r="E524" s="24" t="n">
        <v>0</v>
      </c>
      <c r="F524" s="37" t="n">
        <f aca="false">DATE(YEAR(A524),MONTH(A524),1)</f>
        <v>46266</v>
      </c>
      <c r="G524" s="24" t="str">
        <f aca="false">INDEX(Products!$C$2:$C$49,MATCH(C524,Products!$A$2:$A$49,0))</f>
        <v>Beverages</v>
      </c>
      <c r="H524" s="33" t="n">
        <f aca="false">D524*INDEX(Products!$E$2:$E$49,MATCH(C524,Products!$A$2:$A$49,0))</f>
        <v>5635</v>
      </c>
      <c r="I524" s="33" t="n">
        <f aca="false">D524*INDEX(Products!$D$2:$D$49,MATCH(C524,Products!$A$2:$A$49,0))*(1+INDEX(Assumptions!$B$16:$B$20,MATCH(B524,Assumptions!$A$16:$A$20,0)))</f>
        <v>4227.86</v>
      </c>
      <c r="J524" s="33" t="n">
        <f aca="false">H524-I524</f>
        <v>1407.14</v>
      </c>
      <c r="K524" s="33" t="n">
        <f aca="false">IF(OR(E524=0,E524&gt;=7),0,D524/(7-E524)*E524*INDEX(Products!$E$2:$E$49,MATCH(C524,Products!$A$2:$A$49,0)))</f>
        <v>0</v>
      </c>
    </row>
    <row r="525" customFormat="false" ht="15" hidden="false" customHeight="false" outlineLevel="0" collapsed="false">
      <c r="A525" s="36" t="n">
        <v>46279</v>
      </c>
      <c r="B525" s="24" t="s">
        <v>61</v>
      </c>
      <c r="C525" s="24" t="s">
        <v>155</v>
      </c>
      <c r="D525" s="33" t="n">
        <v>155</v>
      </c>
      <c r="E525" s="24" t="n">
        <v>0</v>
      </c>
      <c r="F525" s="37" t="n">
        <f aca="false">DATE(YEAR(A525),MONTH(A525),1)</f>
        <v>46266</v>
      </c>
      <c r="G525" s="24" t="str">
        <f aca="false">INDEX(Products!$C$2:$C$49,MATCH(C525,Products!$A$2:$A$49,0))</f>
        <v>Beverages</v>
      </c>
      <c r="H525" s="33" t="n">
        <f aca="false">D525*INDEX(Products!$E$2:$E$49,MATCH(C525,Products!$A$2:$A$49,0))</f>
        <v>5425</v>
      </c>
      <c r="I525" s="33" t="n">
        <f aca="false">D525*INDEX(Products!$D$2:$D$49,MATCH(C525,Products!$A$2:$A$49,0))*(1+INDEX(Assumptions!$B$16:$B$20,MATCH(B525,Assumptions!$A$16:$A$20,0)))</f>
        <v>4070.3</v>
      </c>
      <c r="J525" s="33" t="n">
        <f aca="false">H525-I525</f>
        <v>1354.7</v>
      </c>
      <c r="K525" s="33" t="n">
        <f aca="false">IF(OR(E525=0,E525&gt;=7),0,D525/(7-E525)*E525*INDEX(Products!$E$2:$E$49,MATCH(C525,Products!$A$2:$A$49,0)))</f>
        <v>0</v>
      </c>
    </row>
    <row r="526" customFormat="false" ht="15" hidden="false" customHeight="false" outlineLevel="0" collapsed="false">
      <c r="A526" s="36" t="n">
        <v>46286</v>
      </c>
      <c r="B526" s="24" t="s">
        <v>61</v>
      </c>
      <c r="C526" s="24" t="s">
        <v>155</v>
      </c>
      <c r="D526" s="33" t="n">
        <v>151</v>
      </c>
      <c r="E526" s="24" t="n">
        <v>0</v>
      </c>
      <c r="F526" s="37" t="n">
        <f aca="false">DATE(YEAR(A526),MONTH(A526),1)</f>
        <v>46266</v>
      </c>
      <c r="G526" s="24" t="str">
        <f aca="false">INDEX(Products!$C$2:$C$49,MATCH(C526,Products!$A$2:$A$49,0))</f>
        <v>Beverages</v>
      </c>
      <c r="H526" s="33" t="n">
        <f aca="false">D526*INDEX(Products!$E$2:$E$49,MATCH(C526,Products!$A$2:$A$49,0))</f>
        <v>5285</v>
      </c>
      <c r="I526" s="33" t="n">
        <f aca="false">D526*INDEX(Products!$D$2:$D$49,MATCH(C526,Products!$A$2:$A$49,0))*(1+INDEX(Assumptions!$B$16:$B$20,MATCH(B526,Assumptions!$A$16:$A$20,0)))</f>
        <v>3965.26</v>
      </c>
      <c r="J526" s="33" t="n">
        <f aca="false">H526-I526</f>
        <v>1319.74</v>
      </c>
      <c r="K526" s="33" t="n">
        <f aca="false">IF(OR(E526=0,E526&gt;=7),0,D526/(7-E526)*E526*INDEX(Products!$E$2:$E$49,MATCH(C526,Products!$A$2:$A$49,0)))</f>
        <v>0</v>
      </c>
    </row>
    <row r="527" customFormat="false" ht="15" hidden="false" customHeight="false" outlineLevel="0" collapsed="false">
      <c r="A527" s="36" t="n">
        <v>46118</v>
      </c>
      <c r="B527" s="24" t="s">
        <v>61</v>
      </c>
      <c r="C527" s="24" t="s">
        <v>157</v>
      </c>
      <c r="D527" s="33" t="n">
        <v>116</v>
      </c>
      <c r="E527" s="24" t="n">
        <v>0</v>
      </c>
      <c r="F527" s="37" t="n">
        <f aca="false">DATE(YEAR(A527),MONTH(A527),1)</f>
        <v>46113</v>
      </c>
      <c r="G527" s="24" t="str">
        <f aca="false">INDEX(Products!$C$2:$C$49,MATCH(C527,Products!$A$2:$A$49,0))</f>
        <v>Beverages</v>
      </c>
      <c r="H527" s="33" t="n">
        <f aca="false">D527*INDEX(Products!$E$2:$E$49,MATCH(C527,Products!$A$2:$A$49,0))</f>
        <v>13920</v>
      </c>
      <c r="I527" s="33" t="n">
        <f aca="false">D527*INDEX(Products!$D$2:$D$49,MATCH(C527,Products!$A$2:$A$49,0))*(1+INDEX(Assumptions!$B$16:$B$20,MATCH(B527,Assumptions!$A$16:$A$20,0)))</f>
        <v>10310.08</v>
      </c>
      <c r="J527" s="33" t="n">
        <f aca="false">H527-I527</f>
        <v>3609.92</v>
      </c>
      <c r="K527" s="33" t="n">
        <f aca="false">IF(OR(E527=0,E527&gt;=7),0,D527/(7-E527)*E527*INDEX(Products!$E$2:$E$49,MATCH(C527,Products!$A$2:$A$49,0)))</f>
        <v>0</v>
      </c>
    </row>
    <row r="528" customFormat="false" ht="15" hidden="false" customHeight="false" outlineLevel="0" collapsed="false">
      <c r="A528" s="36" t="n">
        <v>46125</v>
      </c>
      <c r="B528" s="24" t="s">
        <v>61</v>
      </c>
      <c r="C528" s="24" t="s">
        <v>157</v>
      </c>
      <c r="D528" s="33" t="n">
        <v>138</v>
      </c>
      <c r="E528" s="24" t="n">
        <v>0</v>
      </c>
      <c r="F528" s="37" t="n">
        <f aca="false">DATE(YEAR(A528),MONTH(A528),1)</f>
        <v>46113</v>
      </c>
      <c r="G528" s="24" t="str">
        <f aca="false">INDEX(Products!$C$2:$C$49,MATCH(C528,Products!$A$2:$A$49,0))</f>
        <v>Beverages</v>
      </c>
      <c r="H528" s="33" t="n">
        <f aca="false">D528*INDEX(Products!$E$2:$E$49,MATCH(C528,Products!$A$2:$A$49,0))</f>
        <v>16560</v>
      </c>
      <c r="I528" s="33" t="n">
        <f aca="false">D528*INDEX(Products!$D$2:$D$49,MATCH(C528,Products!$A$2:$A$49,0))*(1+INDEX(Assumptions!$B$16:$B$20,MATCH(B528,Assumptions!$A$16:$A$20,0)))</f>
        <v>12265.44</v>
      </c>
      <c r="J528" s="33" t="n">
        <f aca="false">H528-I528</f>
        <v>4294.56</v>
      </c>
      <c r="K528" s="33" t="n">
        <f aca="false">IF(OR(E528=0,E528&gt;=7),0,D528/(7-E528)*E528*INDEX(Products!$E$2:$E$49,MATCH(C528,Products!$A$2:$A$49,0)))</f>
        <v>0</v>
      </c>
    </row>
    <row r="529" customFormat="false" ht="15" hidden="false" customHeight="false" outlineLevel="0" collapsed="false">
      <c r="A529" s="36" t="n">
        <v>46132</v>
      </c>
      <c r="B529" s="24" t="s">
        <v>61</v>
      </c>
      <c r="C529" s="24" t="s">
        <v>157</v>
      </c>
      <c r="D529" s="33" t="n">
        <v>148</v>
      </c>
      <c r="E529" s="24" t="n">
        <v>0</v>
      </c>
      <c r="F529" s="37" t="n">
        <f aca="false">DATE(YEAR(A529),MONTH(A529),1)</f>
        <v>46113</v>
      </c>
      <c r="G529" s="24" t="str">
        <f aca="false">INDEX(Products!$C$2:$C$49,MATCH(C529,Products!$A$2:$A$49,0))</f>
        <v>Beverages</v>
      </c>
      <c r="H529" s="33" t="n">
        <f aca="false">D529*INDEX(Products!$E$2:$E$49,MATCH(C529,Products!$A$2:$A$49,0))</f>
        <v>17760</v>
      </c>
      <c r="I529" s="33" t="n">
        <f aca="false">D529*INDEX(Products!$D$2:$D$49,MATCH(C529,Products!$A$2:$A$49,0))*(1+INDEX(Assumptions!$B$16:$B$20,MATCH(B529,Assumptions!$A$16:$A$20,0)))</f>
        <v>13154.24</v>
      </c>
      <c r="J529" s="33" t="n">
        <f aca="false">H529-I529</f>
        <v>4605.76</v>
      </c>
      <c r="K529" s="33" t="n">
        <f aca="false">IF(OR(E529=0,E529&gt;=7),0,D529/(7-E529)*E529*INDEX(Products!$E$2:$E$49,MATCH(C529,Products!$A$2:$A$49,0)))</f>
        <v>0</v>
      </c>
    </row>
    <row r="530" customFormat="false" ht="15" hidden="false" customHeight="false" outlineLevel="0" collapsed="false">
      <c r="A530" s="36" t="n">
        <v>46139</v>
      </c>
      <c r="B530" s="24" t="s">
        <v>61</v>
      </c>
      <c r="C530" s="24" t="s">
        <v>157</v>
      </c>
      <c r="D530" s="33" t="n">
        <v>153</v>
      </c>
      <c r="E530" s="24" t="n">
        <v>0</v>
      </c>
      <c r="F530" s="37" t="n">
        <f aca="false">DATE(YEAR(A530),MONTH(A530),1)</f>
        <v>46113</v>
      </c>
      <c r="G530" s="24" t="str">
        <f aca="false">INDEX(Products!$C$2:$C$49,MATCH(C530,Products!$A$2:$A$49,0))</f>
        <v>Beverages</v>
      </c>
      <c r="H530" s="33" t="n">
        <f aca="false">D530*INDEX(Products!$E$2:$E$49,MATCH(C530,Products!$A$2:$A$49,0))</f>
        <v>18360</v>
      </c>
      <c r="I530" s="33" t="n">
        <f aca="false">D530*INDEX(Products!$D$2:$D$49,MATCH(C530,Products!$A$2:$A$49,0))*(1+INDEX(Assumptions!$B$16:$B$20,MATCH(B530,Assumptions!$A$16:$A$20,0)))</f>
        <v>13598.64</v>
      </c>
      <c r="J530" s="33" t="n">
        <f aca="false">H530-I530</f>
        <v>4761.36</v>
      </c>
      <c r="K530" s="33" t="n">
        <f aca="false">IF(OR(E530=0,E530&gt;=7),0,D530/(7-E530)*E530*INDEX(Products!$E$2:$E$49,MATCH(C530,Products!$A$2:$A$49,0)))</f>
        <v>0</v>
      </c>
    </row>
    <row r="531" customFormat="false" ht="15" hidden="false" customHeight="false" outlineLevel="0" collapsed="false">
      <c r="A531" s="36" t="n">
        <v>46146</v>
      </c>
      <c r="B531" s="24" t="s">
        <v>61</v>
      </c>
      <c r="C531" s="24" t="s">
        <v>157</v>
      </c>
      <c r="D531" s="33" t="n">
        <v>132</v>
      </c>
      <c r="E531" s="24" t="n">
        <v>0</v>
      </c>
      <c r="F531" s="37" t="n">
        <f aca="false">DATE(YEAR(A531),MONTH(A531),1)</f>
        <v>46143</v>
      </c>
      <c r="G531" s="24" t="str">
        <f aca="false">INDEX(Products!$C$2:$C$49,MATCH(C531,Products!$A$2:$A$49,0))</f>
        <v>Beverages</v>
      </c>
      <c r="H531" s="33" t="n">
        <f aca="false">D531*INDEX(Products!$E$2:$E$49,MATCH(C531,Products!$A$2:$A$49,0))</f>
        <v>15840</v>
      </c>
      <c r="I531" s="33" t="n">
        <f aca="false">D531*INDEX(Products!$D$2:$D$49,MATCH(C531,Products!$A$2:$A$49,0))*(1+INDEX(Assumptions!$B$16:$B$20,MATCH(B531,Assumptions!$A$16:$A$20,0)))</f>
        <v>11732.16</v>
      </c>
      <c r="J531" s="33" t="n">
        <f aca="false">H531-I531</f>
        <v>4107.84</v>
      </c>
      <c r="K531" s="33" t="n">
        <f aca="false">IF(OR(E531=0,E531&gt;=7),0,D531/(7-E531)*E531*INDEX(Products!$E$2:$E$49,MATCH(C531,Products!$A$2:$A$49,0)))</f>
        <v>0</v>
      </c>
    </row>
    <row r="532" customFormat="false" ht="15" hidden="false" customHeight="false" outlineLevel="0" collapsed="false">
      <c r="A532" s="36" t="n">
        <v>46153</v>
      </c>
      <c r="B532" s="24" t="s">
        <v>61</v>
      </c>
      <c r="C532" s="24" t="s">
        <v>157</v>
      </c>
      <c r="D532" s="33" t="n">
        <v>130</v>
      </c>
      <c r="E532" s="24" t="n">
        <v>0</v>
      </c>
      <c r="F532" s="37" t="n">
        <f aca="false">DATE(YEAR(A532),MONTH(A532),1)</f>
        <v>46143</v>
      </c>
      <c r="G532" s="24" t="str">
        <f aca="false">INDEX(Products!$C$2:$C$49,MATCH(C532,Products!$A$2:$A$49,0))</f>
        <v>Beverages</v>
      </c>
      <c r="H532" s="33" t="n">
        <f aca="false">D532*INDEX(Products!$E$2:$E$49,MATCH(C532,Products!$A$2:$A$49,0))</f>
        <v>15600</v>
      </c>
      <c r="I532" s="33" t="n">
        <f aca="false">D532*INDEX(Products!$D$2:$D$49,MATCH(C532,Products!$A$2:$A$49,0))*(1+INDEX(Assumptions!$B$16:$B$20,MATCH(B532,Assumptions!$A$16:$A$20,0)))</f>
        <v>11554.4</v>
      </c>
      <c r="J532" s="33" t="n">
        <f aca="false">H532-I532</f>
        <v>4045.6</v>
      </c>
      <c r="K532" s="33" t="n">
        <f aca="false">IF(OR(E532=0,E532&gt;=7),0,D532/(7-E532)*E532*INDEX(Products!$E$2:$E$49,MATCH(C532,Products!$A$2:$A$49,0)))</f>
        <v>0</v>
      </c>
    </row>
    <row r="533" customFormat="false" ht="15" hidden="false" customHeight="false" outlineLevel="0" collapsed="false">
      <c r="A533" s="36" t="n">
        <v>46160</v>
      </c>
      <c r="B533" s="24" t="s">
        <v>61</v>
      </c>
      <c r="C533" s="24" t="s">
        <v>157</v>
      </c>
      <c r="D533" s="33" t="n">
        <v>133</v>
      </c>
      <c r="E533" s="24" t="n">
        <v>0</v>
      </c>
      <c r="F533" s="37" t="n">
        <f aca="false">DATE(YEAR(A533),MONTH(A533),1)</f>
        <v>46143</v>
      </c>
      <c r="G533" s="24" t="str">
        <f aca="false">INDEX(Products!$C$2:$C$49,MATCH(C533,Products!$A$2:$A$49,0))</f>
        <v>Beverages</v>
      </c>
      <c r="H533" s="33" t="n">
        <f aca="false">D533*INDEX(Products!$E$2:$E$49,MATCH(C533,Products!$A$2:$A$49,0))</f>
        <v>15960</v>
      </c>
      <c r="I533" s="33" t="n">
        <f aca="false">D533*INDEX(Products!$D$2:$D$49,MATCH(C533,Products!$A$2:$A$49,0))*(1+INDEX(Assumptions!$B$16:$B$20,MATCH(B533,Assumptions!$A$16:$A$20,0)))</f>
        <v>11821.04</v>
      </c>
      <c r="J533" s="33" t="n">
        <f aca="false">H533-I533</f>
        <v>4138.96</v>
      </c>
      <c r="K533" s="33" t="n">
        <f aca="false">IF(OR(E533=0,E533&gt;=7),0,D533/(7-E533)*E533*INDEX(Products!$E$2:$E$49,MATCH(C533,Products!$A$2:$A$49,0)))</f>
        <v>0</v>
      </c>
    </row>
    <row r="534" customFormat="false" ht="15" hidden="false" customHeight="false" outlineLevel="0" collapsed="false">
      <c r="A534" s="36" t="n">
        <v>46167</v>
      </c>
      <c r="B534" s="24" t="s">
        <v>61</v>
      </c>
      <c r="C534" s="24" t="s">
        <v>157</v>
      </c>
      <c r="D534" s="33" t="n">
        <v>136</v>
      </c>
      <c r="E534" s="24" t="n">
        <v>0</v>
      </c>
      <c r="F534" s="37" t="n">
        <f aca="false">DATE(YEAR(A534),MONTH(A534),1)</f>
        <v>46143</v>
      </c>
      <c r="G534" s="24" t="str">
        <f aca="false">INDEX(Products!$C$2:$C$49,MATCH(C534,Products!$A$2:$A$49,0))</f>
        <v>Beverages</v>
      </c>
      <c r="H534" s="33" t="n">
        <f aca="false">D534*INDEX(Products!$E$2:$E$49,MATCH(C534,Products!$A$2:$A$49,0))</f>
        <v>16320</v>
      </c>
      <c r="I534" s="33" t="n">
        <f aca="false">D534*INDEX(Products!$D$2:$D$49,MATCH(C534,Products!$A$2:$A$49,0))*(1+INDEX(Assumptions!$B$16:$B$20,MATCH(B534,Assumptions!$A$16:$A$20,0)))</f>
        <v>12087.68</v>
      </c>
      <c r="J534" s="33" t="n">
        <f aca="false">H534-I534</f>
        <v>4232.32</v>
      </c>
      <c r="K534" s="33" t="n">
        <f aca="false">IF(OR(E534=0,E534&gt;=7),0,D534/(7-E534)*E534*INDEX(Products!$E$2:$E$49,MATCH(C534,Products!$A$2:$A$49,0)))</f>
        <v>0</v>
      </c>
    </row>
    <row r="535" customFormat="false" ht="15" hidden="false" customHeight="false" outlineLevel="0" collapsed="false">
      <c r="A535" s="36" t="n">
        <v>46174</v>
      </c>
      <c r="B535" s="24" t="s">
        <v>61</v>
      </c>
      <c r="C535" s="24" t="s">
        <v>157</v>
      </c>
      <c r="D535" s="33" t="n">
        <v>125</v>
      </c>
      <c r="E535" s="24" t="n">
        <v>0</v>
      </c>
      <c r="F535" s="37" t="n">
        <f aca="false">DATE(YEAR(A535),MONTH(A535),1)</f>
        <v>46174</v>
      </c>
      <c r="G535" s="24" t="str">
        <f aca="false">INDEX(Products!$C$2:$C$49,MATCH(C535,Products!$A$2:$A$49,0))</f>
        <v>Beverages</v>
      </c>
      <c r="H535" s="33" t="n">
        <f aca="false">D535*INDEX(Products!$E$2:$E$49,MATCH(C535,Products!$A$2:$A$49,0))</f>
        <v>15000</v>
      </c>
      <c r="I535" s="33" t="n">
        <f aca="false">D535*INDEX(Products!$D$2:$D$49,MATCH(C535,Products!$A$2:$A$49,0))*(1+INDEX(Assumptions!$B$16:$B$20,MATCH(B535,Assumptions!$A$16:$A$20,0)))</f>
        <v>11110</v>
      </c>
      <c r="J535" s="33" t="n">
        <f aca="false">H535-I535</f>
        <v>3890</v>
      </c>
      <c r="K535" s="33" t="n">
        <f aca="false">IF(OR(E535=0,E535&gt;=7),0,D535/(7-E535)*E535*INDEX(Products!$E$2:$E$49,MATCH(C535,Products!$A$2:$A$49,0)))</f>
        <v>0</v>
      </c>
    </row>
    <row r="536" customFormat="false" ht="15" hidden="false" customHeight="false" outlineLevel="0" collapsed="false">
      <c r="A536" s="36" t="n">
        <v>46181</v>
      </c>
      <c r="B536" s="24" t="s">
        <v>61</v>
      </c>
      <c r="C536" s="24" t="s">
        <v>157</v>
      </c>
      <c r="D536" s="33" t="n">
        <v>127</v>
      </c>
      <c r="E536" s="24" t="n">
        <v>0</v>
      </c>
      <c r="F536" s="37" t="n">
        <f aca="false">DATE(YEAR(A536),MONTH(A536),1)</f>
        <v>46174</v>
      </c>
      <c r="G536" s="24" t="str">
        <f aca="false">INDEX(Products!$C$2:$C$49,MATCH(C536,Products!$A$2:$A$49,0))</f>
        <v>Beverages</v>
      </c>
      <c r="H536" s="33" t="n">
        <f aca="false">D536*INDEX(Products!$E$2:$E$49,MATCH(C536,Products!$A$2:$A$49,0))</f>
        <v>15240</v>
      </c>
      <c r="I536" s="33" t="n">
        <f aca="false">D536*INDEX(Products!$D$2:$D$49,MATCH(C536,Products!$A$2:$A$49,0))*(1+INDEX(Assumptions!$B$16:$B$20,MATCH(B536,Assumptions!$A$16:$A$20,0)))</f>
        <v>11287.76</v>
      </c>
      <c r="J536" s="33" t="n">
        <f aca="false">H536-I536</f>
        <v>3952.24</v>
      </c>
      <c r="K536" s="33" t="n">
        <f aca="false">IF(OR(E536=0,E536&gt;=7),0,D536/(7-E536)*E536*INDEX(Products!$E$2:$E$49,MATCH(C536,Products!$A$2:$A$49,0)))</f>
        <v>0</v>
      </c>
    </row>
    <row r="537" customFormat="false" ht="15" hidden="false" customHeight="false" outlineLevel="0" collapsed="false">
      <c r="A537" s="36" t="n">
        <v>46188</v>
      </c>
      <c r="B537" s="24" t="s">
        <v>61</v>
      </c>
      <c r="C537" s="24" t="s">
        <v>157</v>
      </c>
      <c r="D537" s="33" t="n">
        <v>132</v>
      </c>
      <c r="E537" s="24" t="n">
        <v>0</v>
      </c>
      <c r="F537" s="37" t="n">
        <f aca="false">DATE(YEAR(A537),MONTH(A537),1)</f>
        <v>46174</v>
      </c>
      <c r="G537" s="24" t="str">
        <f aca="false">INDEX(Products!$C$2:$C$49,MATCH(C537,Products!$A$2:$A$49,0))</f>
        <v>Beverages</v>
      </c>
      <c r="H537" s="33" t="n">
        <f aca="false">D537*INDEX(Products!$E$2:$E$49,MATCH(C537,Products!$A$2:$A$49,0))</f>
        <v>15840</v>
      </c>
      <c r="I537" s="33" t="n">
        <f aca="false">D537*INDEX(Products!$D$2:$D$49,MATCH(C537,Products!$A$2:$A$49,0))*(1+INDEX(Assumptions!$B$16:$B$20,MATCH(B537,Assumptions!$A$16:$A$20,0)))</f>
        <v>11732.16</v>
      </c>
      <c r="J537" s="33" t="n">
        <f aca="false">H537-I537</f>
        <v>4107.84</v>
      </c>
      <c r="K537" s="33" t="n">
        <f aca="false">IF(OR(E537=0,E537&gt;=7),0,D537/(7-E537)*E537*INDEX(Products!$E$2:$E$49,MATCH(C537,Products!$A$2:$A$49,0)))</f>
        <v>0</v>
      </c>
    </row>
    <row r="538" customFormat="false" ht="15" hidden="false" customHeight="false" outlineLevel="0" collapsed="false">
      <c r="A538" s="36" t="n">
        <v>46195</v>
      </c>
      <c r="B538" s="24" t="s">
        <v>61</v>
      </c>
      <c r="C538" s="24" t="s">
        <v>157</v>
      </c>
      <c r="D538" s="33" t="n">
        <v>131</v>
      </c>
      <c r="E538" s="24" t="n">
        <v>1</v>
      </c>
      <c r="F538" s="37" t="n">
        <f aca="false">DATE(YEAR(A538),MONTH(A538),1)</f>
        <v>46174</v>
      </c>
      <c r="G538" s="24" t="str">
        <f aca="false">INDEX(Products!$C$2:$C$49,MATCH(C538,Products!$A$2:$A$49,0))</f>
        <v>Beverages</v>
      </c>
      <c r="H538" s="33" t="n">
        <f aca="false">D538*INDEX(Products!$E$2:$E$49,MATCH(C538,Products!$A$2:$A$49,0))</f>
        <v>15720</v>
      </c>
      <c r="I538" s="33" t="n">
        <f aca="false">D538*INDEX(Products!$D$2:$D$49,MATCH(C538,Products!$A$2:$A$49,0))*(1+INDEX(Assumptions!$B$16:$B$20,MATCH(B538,Assumptions!$A$16:$A$20,0)))</f>
        <v>11643.28</v>
      </c>
      <c r="J538" s="33" t="n">
        <f aca="false">H538-I538</f>
        <v>4076.72</v>
      </c>
      <c r="K538" s="33" t="n">
        <f aca="false">IF(OR(E538=0,E538&gt;=7),0,D538/(7-E538)*E538*INDEX(Products!$E$2:$E$49,MATCH(C538,Products!$A$2:$A$49,0)))</f>
        <v>2620</v>
      </c>
    </row>
    <row r="539" customFormat="false" ht="15" hidden="false" customHeight="false" outlineLevel="0" collapsed="false">
      <c r="A539" s="36" t="n">
        <v>46202</v>
      </c>
      <c r="B539" s="24" t="s">
        <v>61</v>
      </c>
      <c r="C539" s="24" t="s">
        <v>157</v>
      </c>
      <c r="D539" s="33" t="n">
        <v>141</v>
      </c>
      <c r="E539" s="24" t="n">
        <v>0</v>
      </c>
      <c r="F539" s="37" t="n">
        <f aca="false">DATE(YEAR(A539),MONTH(A539),1)</f>
        <v>46174</v>
      </c>
      <c r="G539" s="24" t="str">
        <f aca="false">INDEX(Products!$C$2:$C$49,MATCH(C539,Products!$A$2:$A$49,0))</f>
        <v>Beverages</v>
      </c>
      <c r="H539" s="33" t="n">
        <f aca="false">D539*INDEX(Products!$E$2:$E$49,MATCH(C539,Products!$A$2:$A$49,0))</f>
        <v>16920</v>
      </c>
      <c r="I539" s="33" t="n">
        <f aca="false">D539*INDEX(Products!$D$2:$D$49,MATCH(C539,Products!$A$2:$A$49,0))*(1+INDEX(Assumptions!$B$16:$B$20,MATCH(B539,Assumptions!$A$16:$A$20,0)))</f>
        <v>12532.08</v>
      </c>
      <c r="J539" s="33" t="n">
        <f aca="false">H539-I539</f>
        <v>4387.92</v>
      </c>
      <c r="K539" s="33" t="n">
        <f aca="false">IF(OR(E539=0,E539&gt;=7),0,D539/(7-E539)*E539*INDEX(Products!$E$2:$E$49,MATCH(C539,Products!$A$2:$A$49,0)))</f>
        <v>0</v>
      </c>
    </row>
    <row r="540" customFormat="false" ht="15" hidden="false" customHeight="false" outlineLevel="0" collapsed="false">
      <c r="A540" s="36" t="n">
        <v>46209</v>
      </c>
      <c r="B540" s="24" t="s">
        <v>61</v>
      </c>
      <c r="C540" s="24" t="s">
        <v>157</v>
      </c>
      <c r="D540" s="33" t="n">
        <v>99</v>
      </c>
      <c r="E540" s="24" t="n">
        <v>0</v>
      </c>
      <c r="F540" s="37" t="n">
        <f aca="false">DATE(YEAR(A540),MONTH(A540),1)</f>
        <v>46204</v>
      </c>
      <c r="G540" s="24" t="str">
        <f aca="false">INDEX(Products!$C$2:$C$49,MATCH(C540,Products!$A$2:$A$49,0))</f>
        <v>Beverages</v>
      </c>
      <c r="H540" s="33" t="n">
        <f aca="false">D540*INDEX(Products!$E$2:$E$49,MATCH(C540,Products!$A$2:$A$49,0))</f>
        <v>11880</v>
      </c>
      <c r="I540" s="33" t="n">
        <f aca="false">D540*INDEX(Products!$D$2:$D$49,MATCH(C540,Products!$A$2:$A$49,0))*(1+INDEX(Assumptions!$B$16:$B$20,MATCH(B540,Assumptions!$A$16:$A$20,0)))</f>
        <v>8799.12</v>
      </c>
      <c r="J540" s="33" t="n">
        <f aca="false">H540-I540</f>
        <v>3080.88</v>
      </c>
      <c r="K540" s="33" t="n">
        <f aca="false">IF(OR(E540=0,E540&gt;=7),0,D540/(7-E540)*E540*INDEX(Products!$E$2:$E$49,MATCH(C540,Products!$A$2:$A$49,0)))</f>
        <v>0</v>
      </c>
    </row>
    <row r="541" customFormat="false" ht="15" hidden="false" customHeight="false" outlineLevel="0" collapsed="false">
      <c r="A541" s="36" t="n">
        <v>46216</v>
      </c>
      <c r="B541" s="24" t="s">
        <v>61</v>
      </c>
      <c r="C541" s="24" t="s">
        <v>157</v>
      </c>
      <c r="D541" s="33" t="n">
        <v>133</v>
      </c>
      <c r="E541" s="24" t="n">
        <v>0</v>
      </c>
      <c r="F541" s="37" t="n">
        <f aca="false">DATE(YEAR(A541),MONTH(A541),1)</f>
        <v>46204</v>
      </c>
      <c r="G541" s="24" t="str">
        <f aca="false">INDEX(Products!$C$2:$C$49,MATCH(C541,Products!$A$2:$A$49,0))</f>
        <v>Beverages</v>
      </c>
      <c r="H541" s="33" t="n">
        <f aca="false">D541*INDEX(Products!$E$2:$E$49,MATCH(C541,Products!$A$2:$A$49,0))</f>
        <v>15960</v>
      </c>
      <c r="I541" s="33" t="n">
        <f aca="false">D541*INDEX(Products!$D$2:$D$49,MATCH(C541,Products!$A$2:$A$49,0))*(1+INDEX(Assumptions!$B$16:$B$20,MATCH(B541,Assumptions!$A$16:$A$20,0)))</f>
        <v>11821.04</v>
      </c>
      <c r="J541" s="33" t="n">
        <f aca="false">H541-I541</f>
        <v>4138.96</v>
      </c>
      <c r="K541" s="33" t="n">
        <f aca="false">IF(OR(E541=0,E541&gt;=7),0,D541/(7-E541)*E541*INDEX(Products!$E$2:$E$49,MATCH(C541,Products!$A$2:$A$49,0)))</f>
        <v>0</v>
      </c>
    </row>
    <row r="542" customFormat="false" ht="15" hidden="false" customHeight="false" outlineLevel="0" collapsed="false">
      <c r="A542" s="36" t="n">
        <v>46223</v>
      </c>
      <c r="B542" s="24" t="s">
        <v>61</v>
      </c>
      <c r="C542" s="24" t="s">
        <v>157</v>
      </c>
      <c r="D542" s="33" t="n">
        <v>122</v>
      </c>
      <c r="E542" s="24" t="n">
        <v>0</v>
      </c>
      <c r="F542" s="37" t="n">
        <f aca="false">DATE(YEAR(A542),MONTH(A542),1)</f>
        <v>46204</v>
      </c>
      <c r="G542" s="24" t="str">
        <f aca="false">INDEX(Products!$C$2:$C$49,MATCH(C542,Products!$A$2:$A$49,0))</f>
        <v>Beverages</v>
      </c>
      <c r="H542" s="33" t="n">
        <f aca="false">D542*INDEX(Products!$E$2:$E$49,MATCH(C542,Products!$A$2:$A$49,0))</f>
        <v>14640</v>
      </c>
      <c r="I542" s="33" t="n">
        <f aca="false">D542*INDEX(Products!$D$2:$D$49,MATCH(C542,Products!$A$2:$A$49,0))*(1+INDEX(Assumptions!$B$16:$B$20,MATCH(B542,Assumptions!$A$16:$A$20,0)))</f>
        <v>10843.36</v>
      </c>
      <c r="J542" s="33" t="n">
        <f aca="false">H542-I542</f>
        <v>3796.64</v>
      </c>
      <c r="K542" s="33" t="n">
        <f aca="false">IF(OR(E542=0,E542&gt;=7),0,D542/(7-E542)*E542*INDEX(Products!$E$2:$E$49,MATCH(C542,Products!$A$2:$A$49,0)))</f>
        <v>0</v>
      </c>
    </row>
    <row r="543" customFormat="false" ht="15" hidden="false" customHeight="false" outlineLevel="0" collapsed="false">
      <c r="A543" s="36" t="n">
        <v>46230</v>
      </c>
      <c r="B543" s="24" t="s">
        <v>61</v>
      </c>
      <c r="C543" s="24" t="s">
        <v>157</v>
      </c>
      <c r="D543" s="33" t="n">
        <v>134</v>
      </c>
      <c r="E543" s="24" t="n">
        <v>0</v>
      </c>
      <c r="F543" s="37" t="n">
        <f aca="false">DATE(YEAR(A543),MONTH(A543),1)</f>
        <v>46204</v>
      </c>
      <c r="G543" s="24" t="str">
        <f aca="false">INDEX(Products!$C$2:$C$49,MATCH(C543,Products!$A$2:$A$49,0))</f>
        <v>Beverages</v>
      </c>
      <c r="H543" s="33" t="n">
        <f aca="false">D543*INDEX(Products!$E$2:$E$49,MATCH(C543,Products!$A$2:$A$49,0))</f>
        <v>16080</v>
      </c>
      <c r="I543" s="33" t="n">
        <f aca="false">D543*INDEX(Products!$D$2:$D$49,MATCH(C543,Products!$A$2:$A$49,0))*(1+INDEX(Assumptions!$B$16:$B$20,MATCH(B543,Assumptions!$A$16:$A$20,0)))</f>
        <v>11909.92</v>
      </c>
      <c r="J543" s="33" t="n">
        <f aca="false">H543-I543</f>
        <v>4170.08</v>
      </c>
      <c r="K543" s="33" t="n">
        <f aca="false">IF(OR(E543=0,E543&gt;=7),0,D543/(7-E543)*E543*INDEX(Products!$E$2:$E$49,MATCH(C543,Products!$A$2:$A$49,0)))</f>
        <v>0</v>
      </c>
    </row>
    <row r="544" customFormat="false" ht="15" hidden="false" customHeight="false" outlineLevel="0" collapsed="false">
      <c r="A544" s="36" t="n">
        <v>46237</v>
      </c>
      <c r="B544" s="24" t="s">
        <v>61</v>
      </c>
      <c r="C544" s="24" t="s">
        <v>157</v>
      </c>
      <c r="D544" s="33" t="n">
        <v>113</v>
      </c>
      <c r="E544" s="24" t="n">
        <v>0</v>
      </c>
      <c r="F544" s="37" t="n">
        <f aca="false">DATE(YEAR(A544),MONTH(A544),1)</f>
        <v>46235</v>
      </c>
      <c r="G544" s="24" t="str">
        <f aca="false">INDEX(Products!$C$2:$C$49,MATCH(C544,Products!$A$2:$A$49,0))</f>
        <v>Beverages</v>
      </c>
      <c r="H544" s="33" t="n">
        <f aca="false">D544*INDEX(Products!$E$2:$E$49,MATCH(C544,Products!$A$2:$A$49,0))</f>
        <v>13560</v>
      </c>
      <c r="I544" s="33" t="n">
        <f aca="false">D544*INDEX(Products!$D$2:$D$49,MATCH(C544,Products!$A$2:$A$49,0))*(1+INDEX(Assumptions!$B$16:$B$20,MATCH(B544,Assumptions!$A$16:$A$20,0)))</f>
        <v>10043.44</v>
      </c>
      <c r="J544" s="33" t="n">
        <f aca="false">H544-I544</f>
        <v>3516.56</v>
      </c>
      <c r="K544" s="33" t="n">
        <f aca="false">IF(OR(E544=0,E544&gt;=7),0,D544/(7-E544)*E544*INDEX(Products!$E$2:$E$49,MATCH(C544,Products!$A$2:$A$49,0)))</f>
        <v>0</v>
      </c>
    </row>
    <row r="545" customFormat="false" ht="15" hidden="false" customHeight="false" outlineLevel="0" collapsed="false">
      <c r="A545" s="36" t="n">
        <v>46244</v>
      </c>
      <c r="B545" s="24" t="s">
        <v>61</v>
      </c>
      <c r="C545" s="24" t="s">
        <v>157</v>
      </c>
      <c r="D545" s="33" t="n">
        <v>80</v>
      </c>
      <c r="E545" s="24" t="n">
        <v>2</v>
      </c>
      <c r="F545" s="37" t="n">
        <f aca="false">DATE(YEAR(A545),MONTH(A545),1)</f>
        <v>46235</v>
      </c>
      <c r="G545" s="24" t="str">
        <f aca="false">INDEX(Products!$C$2:$C$49,MATCH(C545,Products!$A$2:$A$49,0))</f>
        <v>Beverages</v>
      </c>
      <c r="H545" s="33" t="n">
        <f aca="false">D545*INDEX(Products!$E$2:$E$49,MATCH(C545,Products!$A$2:$A$49,0))</f>
        <v>9600</v>
      </c>
      <c r="I545" s="33" t="n">
        <f aca="false">D545*INDEX(Products!$D$2:$D$49,MATCH(C545,Products!$A$2:$A$49,0))*(1+INDEX(Assumptions!$B$16:$B$20,MATCH(B545,Assumptions!$A$16:$A$20,0)))</f>
        <v>7110.4</v>
      </c>
      <c r="J545" s="33" t="n">
        <f aca="false">H545-I545</f>
        <v>2489.6</v>
      </c>
      <c r="K545" s="33" t="n">
        <f aca="false">IF(OR(E545=0,E545&gt;=7),0,D545/(7-E545)*E545*INDEX(Products!$E$2:$E$49,MATCH(C545,Products!$A$2:$A$49,0)))</f>
        <v>3840</v>
      </c>
    </row>
    <row r="546" customFormat="false" ht="15" hidden="false" customHeight="false" outlineLevel="0" collapsed="false">
      <c r="A546" s="36" t="n">
        <v>46251</v>
      </c>
      <c r="B546" s="24" t="s">
        <v>61</v>
      </c>
      <c r="C546" s="24" t="s">
        <v>157</v>
      </c>
      <c r="D546" s="33" t="n">
        <v>52</v>
      </c>
      <c r="E546" s="24" t="n">
        <v>3</v>
      </c>
      <c r="F546" s="37" t="n">
        <f aca="false">DATE(YEAR(A546),MONTH(A546),1)</f>
        <v>46235</v>
      </c>
      <c r="G546" s="24" t="str">
        <f aca="false">INDEX(Products!$C$2:$C$49,MATCH(C546,Products!$A$2:$A$49,0))</f>
        <v>Beverages</v>
      </c>
      <c r="H546" s="33" t="n">
        <f aca="false">D546*INDEX(Products!$E$2:$E$49,MATCH(C546,Products!$A$2:$A$49,0))</f>
        <v>6240</v>
      </c>
      <c r="I546" s="33" t="n">
        <f aca="false">D546*INDEX(Products!$D$2:$D$49,MATCH(C546,Products!$A$2:$A$49,0))*(1+INDEX(Assumptions!$B$16:$B$20,MATCH(B546,Assumptions!$A$16:$A$20,0)))</f>
        <v>4621.76</v>
      </c>
      <c r="J546" s="33" t="n">
        <f aca="false">H546-I546</f>
        <v>1618.24</v>
      </c>
      <c r="K546" s="33" t="n">
        <f aca="false">IF(OR(E546=0,E546&gt;=7),0,D546/(7-E546)*E546*INDEX(Products!$E$2:$E$49,MATCH(C546,Products!$A$2:$A$49,0)))</f>
        <v>4680</v>
      </c>
    </row>
    <row r="547" customFormat="false" ht="15" hidden="false" customHeight="false" outlineLevel="0" collapsed="false">
      <c r="A547" s="36" t="n">
        <v>46258</v>
      </c>
      <c r="B547" s="24" t="s">
        <v>61</v>
      </c>
      <c r="C547" s="24" t="s">
        <v>157</v>
      </c>
      <c r="D547" s="33" t="n">
        <v>131</v>
      </c>
      <c r="E547" s="24" t="n">
        <v>0</v>
      </c>
      <c r="F547" s="37" t="n">
        <f aca="false">DATE(YEAR(A547),MONTH(A547),1)</f>
        <v>46235</v>
      </c>
      <c r="G547" s="24" t="str">
        <f aca="false">INDEX(Products!$C$2:$C$49,MATCH(C547,Products!$A$2:$A$49,0))</f>
        <v>Beverages</v>
      </c>
      <c r="H547" s="33" t="n">
        <f aca="false">D547*INDEX(Products!$E$2:$E$49,MATCH(C547,Products!$A$2:$A$49,0))</f>
        <v>15720</v>
      </c>
      <c r="I547" s="33" t="n">
        <f aca="false">D547*INDEX(Products!$D$2:$D$49,MATCH(C547,Products!$A$2:$A$49,0))*(1+INDEX(Assumptions!$B$16:$B$20,MATCH(B547,Assumptions!$A$16:$A$20,0)))</f>
        <v>11643.28</v>
      </c>
      <c r="J547" s="33" t="n">
        <f aca="false">H547-I547</f>
        <v>4076.72</v>
      </c>
      <c r="K547" s="33" t="n">
        <f aca="false">IF(OR(E547=0,E547&gt;=7),0,D547/(7-E547)*E547*INDEX(Products!$E$2:$E$49,MATCH(C547,Products!$A$2:$A$49,0)))</f>
        <v>0</v>
      </c>
    </row>
    <row r="548" customFormat="false" ht="15" hidden="false" customHeight="false" outlineLevel="0" collapsed="false">
      <c r="A548" s="36" t="n">
        <v>46265</v>
      </c>
      <c r="B548" s="24" t="s">
        <v>61</v>
      </c>
      <c r="C548" s="24" t="s">
        <v>157</v>
      </c>
      <c r="D548" s="33" t="n">
        <v>133</v>
      </c>
      <c r="E548" s="24" t="n">
        <v>0</v>
      </c>
      <c r="F548" s="37" t="n">
        <f aca="false">DATE(YEAR(A548),MONTH(A548),1)</f>
        <v>46235</v>
      </c>
      <c r="G548" s="24" t="str">
        <f aca="false">INDEX(Products!$C$2:$C$49,MATCH(C548,Products!$A$2:$A$49,0))</f>
        <v>Beverages</v>
      </c>
      <c r="H548" s="33" t="n">
        <f aca="false">D548*INDEX(Products!$E$2:$E$49,MATCH(C548,Products!$A$2:$A$49,0))</f>
        <v>15960</v>
      </c>
      <c r="I548" s="33" t="n">
        <f aca="false">D548*INDEX(Products!$D$2:$D$49,MATCH(C548,Products!$A$2:$A$49,0))*(1+INDEX(Assumptions!$B$16:$B$20,MATCH(B548,Assumptions!$A$16:$A$20,0)))</f>
        <v>11821.04</v>
      </c>
      <c r="J548" s="33" t="n">
        <f aca="false">H548-I548</f>
        <v>4138.96</v>
      </c>
      <c r="K548" s="33" t="n">
        <f aca="false">IF(OR(E548=0,E548&gt;=7),0,D548/(7-E548)*E548*INDEX(Products!$E$2:$E$49,MATCH(C548,Products!$A$2:$A$49,0)))</f>
        <v>0</v>
      </c>
    </row>
    <row r="549" customFormat="false" ht="15" hidden="false" customHeight="false" outlineLevel="0" collapsed="false">
      <c r="A549" s="36" t="n">
        <v>46272</v>
      </c>
      <c r="B549" s="24" t="s">
        <v>61</v>
      </c>
      <c r="C549" s="24" t="s">
        <v>157</v>
      </c>
      <c r="D549" s="33" t="n">
        <v>115</v>
      </c>
      <c r="E549" s="24" t="n">
        <v>0</v>
      </c>
      <c r="F549" s="37" t="n">
        <f aca="false">DATE(YEAR(A549),MONTH(A549),1)</f>
        <v>46266</v>
      </c>
      <c r="G549" s="24" t="str">
        <f aca="false">INDEX(Products!$C$2:$C$49,MATCH(C549,Products!$A$2:$A$49,0))</f>
        <v>Beverages</v>
      </c>
      <c r="H549" s="33" t="n">
        <f aca="false">D549*INDEX(Products!$E$2:$E$49,MATCH(C549,Products!$A$2:$A$49,0))</f>
        <v>13800</v>
      </c>
      <c r="I549" s="33" t="n">
        <f aca="false">D549*INDEX(Products!$D$2:$D$49,MATCH(C549,Products!$A$2:$A$49,0))*(1+INDEX(Assumptions!$B$16:$B$20,MATCH(B549,Assumptions!$A$16:$A$20,0)))</f>
        <v>10221.2</v>
      </c>
      <c r="J549" s="33" t="n">
        <f aca="false">H549-I549</f>
        <v>3578.8</v>
      </c>
      <c r="K549" s="33" t="n">
        <f aca="false">IF(OR(E549=0,E549&gt;=7),0,D549/(7-E549)*E549*INDEX(Products!$E$2:$E$49,MATCH(C549,Products!$A$2:$A$49,0)))</f>
        <v>0</v>
      </c>
    </row>
    <row r="550" customFormat="false" ht="15" hidden="false" customHeight="false" outlineLevel="0" collapsed="false">
      <c r="A550" s="36" t="n">
        <v>46279</v>
      </c>
      <c r="B550" s="24" t="s">
        <v>61</v>
      </c>
      <c r="C550" s="24" t="s">
        <v>157</v>
      </c>
      <c r="D550" s="33" t="n">
        <v>108</v>
      </c>
      <c r="E550" s="24" t="n">
        <v>0</v>
      </c>
      <c r="F550" s="37" t="n">
        <f aca="false">DATE(YEAR(A550),MONTH(A550),1)</f>
        <v>46266</v>
      </c>
      <c r="G550" s="24" t="str">
        <f aca="false">INDEX(Products!$C$2:$C$49,MATCH(C550,Products!$A$2:$A$49,0))</f>
        <v>Beverages</v>
      </c>
      <c r="H550" s="33" t="n">
        <f aca="false">D550*INDEX(Products!$E$2:$E$49,MATCH(C550,Products!$A$2:$A$49,0))</f>
        <v>12960</v>
      </c>
      <c r="I550" s="33" t="n">
        <f aca="false">D550*INDEX(Products!$D$2:$D$49,MATCH(C550,Products!$A$2:$A$49,0))*(1+INDEX(Assumptions!$B$16:$B$20,MATCH(B550,Assumptions!$A$16:$A$20,0)))</f>
        <v>9599.04</v>
      </c>
      <c r="J550" s="33" t="n">
        <f aca="false">H550-I550</f>
        <v>3360.96</v>
      </c>
      <c r="K550" s="33" t="n">
        <f aca="false">IF(OR(E550=0,E550&gt;=7),0,D550/(7-E550)*E550*INDEX(Products!$E$2:$E$49,MATCH(C550,Products!$A$2:$A$49,0)))</f>
        <v>0</v>
      </c>
    </row>
    <row r="551" customFormat="false" ht="15" hidden="false" customHeight="false" outlineLevel="0" collapsed="false">
      <c r="A551" s="36" t="n">
        <v>46286</v>
      </c>
      <c r="B551" s="24" t="s">
        <v>61</v>
      </c>
      <c r="C551" s="24" t="s">
        <v>157</v>
      </c>
      <c r="D551" s="33" t="n">
        <v>132</v>
      </c>
      <c r="E551" s="24" t="n">
        <v>0</v>
      </c>
      <c r="F551" s="37" t="n">
        <f aca="false">DATE(YEAR(A551),MONTH(A551),1)</f>
        <v>46266</v>
      </c>
      <c r="G551" s="24" t="str">
        <f aca="false">INDEX(Products!$C$2:$C$49,MATCH(C551,Products!$A$2:$A$49,0))</f>
        <v>Beverages</v>
      </c>
      <c r="H551" s="33" t="n">
        <f aca="false">D551*INDEX(Products!$E$2:$E$49,MATCH(C551,Products!$A$2:$A$49,0))</f>
        <v>15840</v>
      </c>
      <c r="I551" s="33" t="n">
        <f aca="false">D551*INDEX(Products!$D$2:$D$49,MATCH(C551,Products!$A$2:$A$49,0))*(1+INDEX(Assumptions!$B$16:$B$20,MATCH(B551,Assumptions!$A$16:$A$20,0)))</f>
        <v>11732.16</v>
      </c>
      <c r="J551" s="33" t="n">
        <f aca="false">H551-I551</f>
        <v>4107.84</v>
      </c>
      <c r="K551" s="33" t="n">
        <f aca="false">IF(OR(E551=0,E551&gt;=7),0,D551/(7-E551)*E551*INDEX(Products!$E$2:$E$49,MATCH(C551,Products!$A$2:$A$49,0)))</f>
        <v>0</v>
      </c>
    </row>
    <row r="552" customFormat="false" ht="15" hidden="false" customHeight="false" outlineLevel="0" collapsed="false">
      <c r="A552" s="36" t="n">
        <v>46118</v>
      </c>
      <c r="B552" s="24" t="s">
        <v>61</v>
      </c>
      <c r="C552" s="24" t="s">
        <v>159</v>
      </c>
      <c r="D552" s="33" t="n">
        <v>189</v>
      </c>
      <c r="E552" s="24" t="n">
        <v>0</v>
      </c>
      <c r="F552" s="37" t="n">
        <f aca="false">DATE(YEAR(A552),MONTH(A552),1)</f>
        <v>46113</v>
      </c>
      <c r="G552" s="24" t="str">
        <f aca="false">INDEX(Products!$C$2:$C$49,MATCH(C552,Products!$A$2:$A$49,0))</f>
        <v>Beverages</v>
      </c>
      <c r="H552" s="33" t="n">
        <f aca="false">D552*INDEX(Products!$E$2:$E$49,MATCH(C552,Products!$A$2:$A$49,0))</f>
        <v>85050</v>
      </c>
      <c r="I552" s="33" t="n">
        <f aca="false">D552*INDEX(Products!$D$2:$D$49,MATCH(C552,Products!$A$2:$A$49,0))*(1+INDEX(Assumptions!$B$16:$B$20,MATCH(B552,Assumptions!$A$16:$A$20,0)))</f>
        <v>68338.62</v>
      </c>
      <c r="J552" s="33" t="n">
        <f aca="false">H552-I552</f>
        <v>16711.38</v>
      </c>
      <c r="K552" s="33" t="n">
        <f aca="false">IF(OR(E552=0,E552&gt;=7),0,D552/(7-E552)*E552*INDEX(Products!$E$2:$E$49,MATCH(C552,Products!$A$2:$A$49,0)))</f>
        <v>0</v>
      </c>
    </row>
    <row r="553" customFormat="false" ht="15" hidden="false" customHeight="false" outlineLevel="0" collapsed="false">
      <c r="A553" s="36" t="n">
        <v>46125</v>
      </c>
      <c r="B553" s="24" t="s">
        <v>61</v>
      </c>
      <c r="C553" s="24" t="s">
        <v>159</v>
      </c>
      <c r="D553" s="33" t="n">
        <v>91</v>
      </c>
      <c r="E553" s="24" t="n">
        <v>0</v>
      </c>
      <c r="F553" s="37" t="n">
        <f aca="false">DATE(YEAR(A553),MONTH(A553),1)</f>
        <v>46113</v>
      </c>
      <c r="G553" s="24" t="str">
        <f aca="false">INDEX(Products!$C$2:$C$49,MATCH(C553,Products!$A$2:$A$49,0))</f>
        <v>Beverages</v>
      </c>
      <c r="H553" s="33" t="n">
        <f aca="false">D553*INDEX(Products!$E$2:$E$49,MATCH(C553,Products!$A$2:$A$49,0))</f>
        <v>40950</v>
      </c>
      <c r="I553" s="33" t="n">
        <f aca="false">D553*INDEX(Products!$D$2:$D$49,MATCH(C553,Products!$A$2:$A$49,0))*(1+INDEX(Assumptions!$B$16:$B$20,MATCH(B553,Assumptions!$A$16:$A$20,0)))</f>
        <v>32903.78</v>
      </c>
      <c r="J553" s="33" t="n">
        <f aca="false">H553-I553</f>
        <v>8046.22</v>
      </c>
      <c r="K553" s="33" t="n">
        <f aca="false">IF(OR(E553=0,E553&gt;=7),0,D553/(7-E553)*E553*INDEX(Products!$E$2:$E$49,MATCH(C553,Products!$A$2:$A$49,0)))</f>
        <v>0</v>
      </c>
    </row>
    <row r="554" customFormat="false" ht="15" hidden="false" customHeight="false" outlineLevel="0" collapsed="false">
      <c r="A554" s="36" t="n">
        <v>46132</v>
      </c>
      <c r="B554" s="24" t="s">
        <v>61</v>
      </c>
      <c r="C554" s="24" t="s">
        <v>159</v>
      </c>
      <c r="D554" s="33" t="n">
        <v>135</v>
      </c>
      <c r="E554" s="24" t="n">
        <v>0</v>
      </c>
      <c r="F554" s="37" t="n">
        <f aca="false">DATE(YEAR(A554),MONTH(A554),1)</f>
        <v>46113</v>
      </c>
      <c r="G554" s="24" t="str">
        <f aca="false">INDEX(Products!$C$2:$C$49,MATCH(C554,Products!$A$2:$A$49,0))</f>
        <v>Beverages</v>
      </c>
      <c r="H554" s="33" t="n">
        <f aca="false">D554*INDEX(Products!$E$2:$E$49,MATCH(C554,Products!$A$2:$A$49,0))</f>
        <v>60750</v>
      </c>
      <c r="I554" s="33" t="n">
        <f aca="false">D554*INDEX(Products!$D$2:$D$49,MATCH(C554,Products!$A$2:$A$49,0))*(1+INDEX(Assumptions!$B$16:$B$20,MATCH(B554,Assumptions!$A$16:$A$20,0)))</f>
        <v>48813.3</v>
      </c>
      <c r="J554" s="33" t="n">
        <f aca="false">H554-I554</f>
        <v>11936.7</v>
      </c>
      <c r="K554" s="33" t="n">
        <f aca="false">IF(OR(E554=0,E554&gt;=7),0,D554/(7-E554)*E554*INDEX(Products!$E$2:$E$49,MATCH(C554,Products!$A$2:$A$49,0)))</f>
        <v>0</v>
      </c>
    </row>
    <row r="555" customFormat="false" ht="15" hidden="false" customHeight="false" outlineLevel="0" collapsed="false">
      <c r="A555" s="36" t="n">
        <v>46139</v>
      </c>
      <c r="B555" s="24" t="s">
        <v>61</v>
      </c>
      <c r="C555" s="24" t="s">
        <v>159</v>
      </c>
      <c r="D555" s="33" t="n">
        <v>129</v>
      </c>
      <c r="E555" s="24" t="n">
        <v>0</v>
      </c>
      <c r="F555" s="37" t="n">
        <f aca="false">DATE(YEAR(A555),MONTH(A555),1)</f>
        <v>46113</v>
      </c>
      <c r="G555" s="24" t="str">
        <f aca="false">INDEX(Products!$C$2:$C$49,MATCH(C555,Products!$A$2:$A$49,0))</f>
        <v>Beverages</v>
      </c>
      <c r="H555" s="33" t="n">
        <f aca="false">D555*INDEX(Products!$E$2:$E$49,MATCH(C555,Products!$A$2:$A$49,0))</f>
        <v>58050</v>
      </c>
      <c r="I555" s="33" t="n">
        <f aca="false">D555*INDEX(Products!$D$2:$D$49,MATCH(C555,Products!$A$2:$A$49,0))*(1+INDEX(Assumptions!$B$16:$B$20,MATCH(B555,Assumptions!$A$16:$A$20,0)))</f>
        <v>46643.82</v>
      </c>
      <c r="J555" s="33" t="n">
        <f aca="false">H555-I555</f>
        <v>11406.18</v>
      </c>
      <c r="K555" s="33" t="n">
        <f aca="false">IF(OR(E555=0,E555&gt;=7),0,D555/(7-E555)*E555*INDEX(Products!$E$2:$E$49,MATCH(C555,Products!$A$2:$A$49,0)))</f>
        <v>0</v>
      </c>
    </row>
    <row r="556" customFormat="false" ht="15" hidden="false" customHeight="false" outlineLevel="0" collapsed="false">
      <c r="A556" s="36" t="n">
        <v>46146</v>
      </c>
      <c r="B556" s="24" t="s">
        <v>61</v>
      </c>
      <c r="C556" s="24" t="s">
        <v>159</v>
      </c>
      <c r="D556" s="33" t="n">
        <v>101</v>
      </c>
      <c r="E556" s="24" t="n">
        <v>0</v>
      </c>
      <c r="F556" s="37" t="n">
        <f aca="false">DATE(YEAR(A556),MONTH(A556),1)</f>
        <v>46143</v>
      </c>
      <c r="G556" s="24" t="str">
        <f aca="false">INDEX(Products!$C$2:$C$49,MATCH(C556,Products!$A$2:$A$49,0))</f>
        <v>Beverages</v>
      </c>
      <c r="H556" s="33" t="n">
        <f aca="false">D556*INDEX(Products!$E$2:$E$49,MATCH(C556,Products!$A$2:$A$49,0))</f>
        <v>45450</v>
      </c>
      <c r="I556" s="33" t="n">
        <f aca="false">D556*INDEX(Products!$D$2:$D$49,MATCH(C556,Products!$A$2:$A$49,0))*(1+INDEX(Assumptions!$B$16:$B$20,MATCH(B556,Assumptions!$A$16:$A$20,0)))</f>
        <v>36519.58</v>
      </c>
      <c r="J556" s="33" t="n">
        <f aca="false">H556-I556</f>
        <v>8930.42</v>
      </c>
      <c r="K556" s="33" t="n">
        <f aca="false">IF(OR(E556=0,E556&gt;=7),0,D556/(7-E556)*E556*INDEX(Products!$E$2:$E$49,MATCH(C556,Products!$A$2:$A$49,0)))</f>
        <v>0</v>
      </c>
    </row>
    <row r="557" customFormat="false" ht="15" hidden="false" customHeight="false" outlineLevel="0" collapsed="false">
      <c r="A557" s="36" t="n">
        <v>46153</v>
      </c>
      <c r="B557" s="24" t="s">
        <v>61</v>
      </c>
      <c r="C557" s="24" t="s">
        <v>159</v>
      </c>
      <c r="D557" s="33" t="n">
        <v>106</v>
      </c>
      <c r="E557" s="24" t="n">
        <v>0</v>
      </c>
      <c r="F557" s="37" t="n">
        <f aca="false">DATE(YEAR(A557),MONTH(A557),1)</f>
        <v>46143</v>
      </c>
      <c r="G557" s="24" t="str">
        <f aca="false">INDEX(Products!$C$2:$C$49,MATCH(C557,Products!$A$2:$A$49,0))</f>
        <v>Beverages</v>
      </c>
      <c r="H557" s="33" t="n">
        <f aca="false">D557*INDEX(Products!$E$2:$E$49,MATCH(C557,Products!$A$2:$A$49,0))</f>
        <v>47700</v>
      </c>
      <c r="I557" s="33" t="n">
        <f aca="false">D557*INDEX(Products!$D$2:$D$49,MATCH(C557,Products!$A$2:$A$49,0))*(1+INDEX(Assumptions!$B$16:$B$20,MATCH(B557,Assumptions!$A$16:$A$20,0)))</f>
        <v>38327.48</v>
      </c>
      <c r="J557" s="33" t="n">
        <f aca="false">H557-I557</f>
        <v>9372.52</v>
      </c>
      <c r="K557" s="33" t="n">
        <f aca="false">IF(OR(E557=0,E557&gt;=7),0,D557/(7-E557)*E557*INDEX(Products!$E$2:$E$49,MATCH(C557,Products!$A$2:$A$49,0)))</f>
        <v>0</v>
      </c>
    </row>
    <row r="558" customFormat="false" ht="15" hidden="false" customHeight="false" outlineLevel="0" collapsed="false">
      <c r="A558" s="36" t="n">
        <v>46160</v>
      </c>
      <c r="B558" s="24" t="s">
        <v>61</v>
      </c>
      <c r="C558" s="24" t="s">
        <v>159</v>
      </c>
      <c r="D558" s="33" t="n">
        <v>105</v>
      </c>
      <c r="E558" s="24" t="n">
        <v>0</v>
      </c>
      <c r="F558" s="37" t="n">
        <f aca="false">DATE(YEAR(A558),MONTH(A558),1)</f>
        <v>46143</v>
      </c>
      <c r="G558" s="24" t="str">
        <f aca="false">INDEX(Products!$C$2:$C$49,MATCH(C558,Products!$A$2:$A$49,0))</f>
        <v>Beverages</v>
      </c>
      <c r="H558" s="33" t="n">
        <f aca="false">D558*INDEX(Products!$E$2:$E$49,MATCH(C558,Products!$A$2:$A$49,0))</f>
        <v>47250</v>
      </c>
      <c r="I558" s="33" t="n">
        <f aca="false">D558*INDEX(Products!$D$2:$D$49,MATCH(C558,Products!$A$2:$A$49,0))*(1+INDEX(Assumptions!$B$16:$B$20,MATCH(B558,Assumptions!$A$16:$A$20,0)))</f>
        <v>37965.9</v>
      </c>
      <c r="J558" s="33" t="n">
        <f aca="false">H558-I558</f>
        <v>9284.1</v>
      </c>
      <c r="K558" s="33" t="n">
        <f aca="false">IF(OR(E558=0,E558&gt;=7),0,D558/(7-E558)*E558*INDEX(Products!$E$2:$E$49,MATCH(C558,Products!$A$2:$A$49,0)))</f>
        <v>0</v>
      </c>
    </row>
    <row r="559" customFormat="false" ht="15" hidden="false" customHeight="false" outlineLevel="0" collapsed="false">
      <c r="A559" s="36" t="n">
        <v>46167</v>
      </c>
      <c r="B559" s="24" t="s">
        <v>61</v>
      </c>
      <c r="C559" s="24" t="s">
        <v>159</v>
      </c>
      <c r="D559" s="33" t="n">
        <v>143</v>
      </c>
      <c r="E559" s="24" t="n">
        <v>0</v>
      </c>
      <c r="F559" s="37" t="n">
        <f aca="false">DATE(YEAR(A559),MONTH(A559),1)</f>
        <v>46143</v>
      </c>
      <c r="G559" s="24" t="str">
        <f aca="false">INDEX(Products!$C$2:$C$49,MATCH(C559,Products!$A$2:$A$49,0))</f>
        <v>Beverages</v>
      </c>
      <c r="H559" s="33" t="n">
        <f aca="false">D559*INDEX(Products!$E$2:$E$49,MATCH(C559,Products!$A$2:$A$49,0))</f>
        <v>64350</v>
      </c>
      <c r="I559" s="33" t="n">
        <f aca="false">D559*INDEX(Products!$D$2:$D$49,MATCH(C559,Products!$A$2:$A$49,0))*(1+INDEX(Assumptions!$B$16:$B$20,MATCH(B559,Assumptions!$A$16:$A$20,0)))</f>
        <v>51705.94</v>
      </c>
      <c r="J559" s="33" t="n">
        <f aca="false">H559-I559</f>
        <v>12644.06</v>
      </c>
      <c r="K559" s="33" t="n">
        <f aca="false">IF(OR(E559=0,E559&gt;=7),0,D559/(7-E559)*E559*INDEX(Products!$E$2:$E$49,MATCH(C559,Products!$A$2:$A$49,0)))</f>
        <v>0</v>
      </c>
    </row>
    <row r="560" customFormat="false" ht="15" hidden="false" customHeight="false" outlineLevel="0" collapsed="false">
      <c r="A560" s="36" t="n">
        <v>46174</v>
      </c>
      <c r="B560" s="24" t="s">
        <v>61</v>
      </c>
      <c r="C560" s="24" t="s">
        <v>159</v>
      </c>
      <c r="D560" s="33" t="n">
        <v>97</v>
      </c>
      <c r="E560" s="24" t="n">
        <v>0</v>
      </c>
      <c r="F560" s="37" t="n">
        <f aca="false">DATE(YEAR(A560),MONTH(A560),1)</f>
        <v>46174</v>
      </c>
      <c r="G560" s="24" t="str">
        <f aca="false">INDEX(Products!$C$2:$C$49,MATCH(C560,Products!$A$2:$A$49,0))</f>
        <v>Beverages</v>
      </c>
      <c r="H560" s="33" t="n">
        <f aca="false">D560*INDEX(Products!$E$2:$E$49,MATCH(C560,Products!$A$2:$A$49,0))</f>
        <v>43650</v>
      </c>
      <c r="I560" s="33" t="n">
        <f aca="false">D560*INDEX(Products!$D$2:$D$49,MATCH(C560,Products!$A$2:$A$49,0))*(1+INDEX(Assumptions!$B$16:$B$20,MATCH(B560,Assumptions!$A$16:$A$20,0)))</f>
        <v>35073.26</v>
      </c>
      <c r="J560" s="33" t="n">
        <f aca="false">H560-I560</f>
        <v>8576.74</v>
      </c>
      <c r="K560" s="33" t="n">
        <f aca="false">IF(OR(E560=0,E560&gt;=7),0,D560/(7-E560)*E560*INDEX(Products!$E$2:$E$49,MATCH(C560,Products!$A$2:$A$49,0)))</f>
        <v>0</v>
      </c>
    </row>
    <row r="561" customFormat="false" ht="15" hidden="false" customHeight="false" outlineLevel="0" collapsed="false">
      <c r="A561" s="36" t="n">
        <v>46181</v>
      </c>
      <c r="B561" s="24" t="s">
        <v>61</v>
      </c>
      <c r="C561" s="24" t="s">
        <v>159</v>
      </c>
      <c r="D561" s="33" t="n">
        <v>116</v>
      </c>
      <c r="E561" s="24" t="n">
        <v>0</v>
      </c>
      <c r="F561" s="37" t="n">
        <f aca="false">DATE(YEAR(A561),MONTH(A561),1)</f>
        <v>46174</v>
      </c>
      <c r="G561" s="24" t="str">
        <f aca="false">INDEX(Products!$C$2:$C$49,MATCH(C561,Products!$A$2:$A$49,0))</f>
        <v>Beverages</v>
      </c>
      <c r="H561" s="33" t="n">
        <f aca="false">D561*INDEX(Products!$E$2:$E$49,MATCH(C561,Products!$A$2:$A$49,0))</f>
        <v>52200</v>
      </c>
      <c r="I561" s="33" t="n">
        <f aca="false">D561*INDEX(Products!$D$2:$D$49,MATCH(C561,Products!$A$2:$A$49,0))*(1+INDEX(Assumptions!$B$16:$B$20,MATCH(B561,Assumptions!$A$16:$A$20,0)))</f>
        <v>41943.28</v>
      </c>
      <c r="J561" s="33" t="n">
        <f aca="false">H561-I561</f>
        <v>10256.72</v>
      </c>
      <c r="K561" s="33" t="n">
        <f aca="false">IF(OR(E561=0,E561&gt;=7),0,D561/(7-E561)*E561*INDEX(Products!$E$2:$E$49,MATCH(C561,Products!$A$2:$A$49,0)))</f>
        <v>0</v>
      </c>
    </row>
    <row r="562" customFormat="false" ht="15" hidden="false" customHeight="false" outlineLevel="0" collapsed="false">
      <c r="A562" s="36" t="n">
        <v>46188</v>
      </c>
      <c r="B562" s="24" t="s">
        <v>61</v>
      </c>
      <c r="C562" s="24" t="s">
        <v>159</v>
      </c>
      <c r="D562" s="33" t="n">
        <v>104</v>
      </c>
      <c r="E562" s="24" t="n">
        <v>0</v>
      </c>
      <c r="F562" s="37" t="n">
        <f aca="false">DATE(YEAR(A562),MONTH(A562),1)</f>
        <v>46174</v>
      </c>
      <c r="G562" s="24" t="str">
        <f aca="false">INDEX(Products!$C$2:$C$49,MATCH(C562,Products!$A$2:$A$49,0))</f>
        <v>Beverages</v>
      </c>
      <c r="H562" s="33" t="n">
        <f aca="false">D562*INDEX(Products!$E$2:$E$49,MATCH(C562,Products!$A$2:$A$49,0))</f>
        <v>46800</v>
      </c>
      <c r="I562" s="33" t="n">
        <f aca="false">D562*INDEX(Products!$D$2:$D$49,MATCH(C562,Products!$A$2:$A$49,0))*(1+INDEX(Assumptions!$B$16:$B$20,MATCH(B562,Assumptions!$A$16:$A$20,0)))</f>
        <v>37604.32</v>
      </c>
      <c r="J562" s="33" t="n">
        <f aca="false">H562-I562</f>
        <v>9195.68</v>
      </c>
      <c r="K562" s="33" t="n">
        <f aca="false">IF(OR(E562=0,E562&gt;=7),0,D562/(7-E562)*E562*INDEX(Products!$E$2:$E$49,MATCH(C562,Products!$A$2:$A$49,0)))</f>
        <v>0</v>
      </c>
    </row>
    <row r="563" customFormat="false" ht="15" hidden="false" customHeight="false" outlineLevel="0" collapsed="false">
      <c r="A563" s="36" t="n">
        <v>46195</v>
      </c>
      <c r="B563" s="24" t="s">
        <v>61</v>
      </c>
      <c r="C563" s="24" t="s">
        <v>159</v>
      </c>
      <c r="D563" s="33" t="n">
        <v>143</v>
      </c>
      <c r="E563" s="24" t="n">
        <v>0</v>
      </c>
      <c r="F563" s="37" t="n">
        <f aca="false">DATE(YEAR(A563),MONTH(A563),1)</f>
        <v>46174</v>
      </c>
      <c r="G563" s="24" t="str">
        <f aca="false">INDEX(Products!$C$2:$C$49,MATCH(C563,Products!$A$2:$A$49,0))</f>
        <v>Beverages</v>
      </c>
      <c r="H563" s="33" t="n">
        <f aca="false">D563*INDEX(Products!$E$2:$E$49,MATCH(C563,Products!$A$2:$A$49,0))</f>
        <v>64350</v>
      </c>
      <c r="I563" s="33" t="n">
        <f aca="false">D563*INDEX(Products!$D$2:$D$49,MATCH(C563,Products!$A$2:$A$49,0))*(1+INDEX(Assumptions!$B$16:$B$20,MATCH(B563,Assumptions!$A$16:$A$20,0)))</f>
        <v>51705.94</v>
      </c>
      <c r="J563" s="33" t="n">
        <f aca="false">H563-I563</f>
        <v>12644.06</v>
      </c>
      <c r="K563" s="33" t="n">
        <f aca="false">IF(OR(E563=0,E563&gt;=7),0,D563/(7-E563)*E563*INDEX(Products!$E$2:$E$49,MATCH(C563,Products!$A$2:$A$49,0)))</f>
        <v>0</v>
      </c>
    </row>
    <row r="564" customFormat="false" ht="15" hidden="false" customHeight="false" outlineLevel="0" collapsed="false">
      <c r="A564" s="36" t="n">
        <v>46202</v>
      </c>
      <c r="B564" s="24" t="s">
        <v>61</v>
      </c>
      <c r="C564" s="24" t="s">
        <v>159</v>
      </c>
      <c r="D564" s="33" t="n">
        <v>99</v>
      </c>
      <c r="E564" s="24" t="n">
        <v>0</v>
      </c>
      <c r="F564" s="37" t="n">
        <f aca="false">DATE(YEAR(A564),MONTH(A564),1)</f>
        <v>46174</v>
      </c>
      <c r="G564" s="24" t="str">
        <f aca="false">INDEX(Products!$C$2:$C$49,MATCH(C564,Products!$A$2:$A$49,0))</f>
        <v>Beverages</v>
      </c>
      <c r="H564" s="33" t="n">
        <f aca="false">D564*INDEX(Products!$E$2:$E$49,MATCH(C564,Products!$A$2:$A$49,0))</f>
        <v>44550</v>
      </c>
      <c r="I564" s="33" t="n">
        <f aca="false">D564*INDEX(Products!$D$2:$D$49,MATCH(C564,Products!$A$2:$A$49,0))*(1+INDEX(Assumptions!$B$16:$B$20,MATCH(B564,Assumptions!$A$16:$A$20,0)))</f>
        <v>35796.42</v>
      </c>
      <c r="J564" s="33" t="n">
        <f aca="false">H564-I564</f>
        <v>8753.58</v>
      </c>
      <c r="K564" s="33" t="n">
        <f aca="false">IF(OR(E564=0,E564&gt;=7),0,D564/(7-E564)*E564*INDEX(Products!$E$2:$E$49,MATCH(C564,Products!$A$2:$A$49,0)))</f>
        <v>0</v>
      </c>
    </row>
    <row r="565" customFormat="false" ht="15" hidden="false" customHeight="false" outlineLevel="0" collapsed="false">
      <c r="A565" s="36" t="n">
        <v>46209</v>
      </c>
      <c r="B565" s="24" t="s">
        <v>61</v>
      </c>
      <c r="C565" s="24" t="s">
        <v>159</v>
      </c>
      <c r="D565" s="33" t="n">
        <v>122</v>
      </c>
      <c r="E565" s="24" t="n">
        <v>0</v>
      </c>
      <c r="F565" s="37" t="n">
        <f aca="false">DATE(YEAR(A565),MONTH(A565),1)</f>
        <v>46204</v>
      </c>
      <c r="G565" s="24" t="str">
        <f aca="false">INDEX(Products!$C$2:$C$49,MATCH(C565,Products!$A$2:$A$49,0))</f>
        <v>Beverages</v>
      </c>
      <c r="H565" s="33" t="n">
        <f aca="false">D565*INDEX(Products!$E$2:$E$49,MATCH(C565,Products!$A$2:$A$49,0))</f>
        <v>54900</v>
      </c>
      <c r="I565" s="33" t="n">
        <f aca="false">D565*INDEX(Products!$D$2:$D$49,MATCH(C565,Products!$A$2:$A$49,0))*(1+INDEX(Assumptions!$B$16:$B$20,MATCH(B565,Assumptions!$A$16:$A$20,0)))</f>
        <v>44112.76</v>
      </c>
      <c r="J565" s="33" t="n">
        <f aca="false">H565-I565</f>
        <v>10787.24</v>
      </c>
      <c r="K565" s="33" t="n">
        <f aca="false">IF(OR(E565=0,E565&gt;=7),0,D565/(7-E565)*E565*INDEX(Products!$E$2:$E$49,MATCH(C565,Products!$A$2:$A$49,0)))</f>
        <v>0</v>
      </c>
    </row>
    <row r="566" customFormat="false" ht="15" hidden="false" customHeight="false" outlineLevel="0" collapsed="false">
      <c r="A566" s="36" t="n">
        <v>46216</v>
      </c>
      <c r="B566" s="24" t="s">
        <v>61</v>
      </c>
      <c r="C566" s="24" t="s">
        <v>159</v>
      </c>
      <c r="D566" s="33" t="n">
        <v>95</v>
      </c>
      <c r="E566" s="24" t="n">
        <v>0</v>
      </c>
      <c r="F566" s="37" t="n">
        <f aca="false">DATE(YEAR(A566),MONTH(A566),1)</f>
        <v>46204</v>
      </c>
      <c r="G566" s="24" t="str">
        <f aca="false">INDEX(Products!$C$2:$C$49,MATCH(C566,Products!$A$2:$A$49,0))</f>
        <v>Beverages</v>
      </c>
      <c r="H566" s="33" t="n">
        <f aca="false">D566*INDEX(Products!$E$2:$E$49,MATCH(C566,Products!$A$2:$A$49,0))</f>
        <v>42750</v>
      </c>
      <c r="I566" s="33" t="n">
        <f aca="false">D566*INDEX(Products!$D$2:$D$49,MATCH(C566,Products!$A$2:$A$49,0))*(1+INDEX(Assumptions!$B$16:$B$20,MATCH(B566,Assumptions!$A$16:$A$20,0)))</f>
        <v>34350.1</v>
      </c>
      <c r="J566" s="33" t="n">
        <f aca="false">H566-I566</f>
        <v>8399.9</v>
      </c>
      <c r="K566" s="33" t="n">
        <f aca="false">IF(OR(E566=0,E566&gt;=7),0,D566/(7-E566)*E566*INDEX(Products!$E$2:$E$49,MATCH(C566,Products!$A$2:$A$49,0)))</f>
        <v>0</v>
      </c>
    </row>
    <row r="567" customFormat="false" ht="15" hidden="false" customHeight="false" outlineLevel="0" collapsed="false">
      <c r="A567" s="36" t="n">
        <v>46223</v>
      </c>
      <c r="B567" s="24" t="s">
        <v>61</v>
      </c>
      <c r="C567" s="24" t="s">
        <v>159</v>
      </c>
      <c r="D567" s="33" t="n">
        <v>124</v>
      </c>
      <c r="E567" s="24" t="n">
        <v>0</v>
      </c>
      <c r="F567" s="37" t="n">
        <f aca="false">DATE(YEAR(A567),MONTH(A567),1)</f>
        <v>46204</v>
      </c>
      <c r="G567" s="24" t="str">
        <f aca="false">INDEX(Products!$C$2:$C$49,MATCH(C567,Products!$A$2:$A$49,0))</f>
        <v>Beverages</v>
      </c>
      <c r="H567" s="33" t="n">
        <f aca="false">D567*INDEX(Products!$E$2:$E$49,MATCH(C567,Products!$A$2:$A$49,0))</f>
        <v>55800</v>
      </c>
      <c r="I567" s="33" t="n">
        <f aca="false">D567*INDEX(Products!$D$2:$D$49,MATCH(C567,Products!$A$2:$A$49,0))*(1+INDEX(Assumptions!$B$16:$B$20,MATCH(B567,Assumptions!$A$16:$A$20,0)))</f>
        <v>44835.92</v>
      </c>
      <c r="J567" s="33" t="n">
        <f aca="false">H567-I567</f>
        <v>10964.08</v>
      </c>
      <c r="K567" s="33" t="n">
        <f aca="false">IF(OR(E567=0,E567&gt;=7),0,D567/(7-E567)*E567*INDEX(Products!$E$2:$E$49,MATCH(C567,Products!$A$2:$A$49,0)))</f>
        <v>0</v>
      </c>
    </row>
    <row r="568" customFormat="false" ht="15" hidden="false" customHeight="false" outlineLevel="0" collapsed="false">
      <c r="A568" s="36" t="n">
        <v>46230</v>
      </c>
      <c r="B568" s="24" t="s">
        <v>61</v>
      </c>
      <c r="C568" s="24" t="s">
        <v>159</v>
      </c>
      <c r="D568" s="33" t="n">
        <v>111</v>
      </c>
      <c r="E568" s="24" t="n">
        <v>0</v>
      </c>
      <c r="F568" s="37" t="n">
        <f aca="false">DATE(YEAR(A568),MONTH(A568),1)</f>
        <v>46204</v>
      </c>
      <c r="G568" s="24" t="str">
        <f aca="false">INDEX(Products!$C$2:$C$49,MATCH(C568,Products!$A$2:$A$49,0))</f>
        <v>Beverages</v>
      </c>
      <c r="H568" s="33" t="n">
        <f aca="false">D568*INDEX(Products!$E$2:$E$49,MATCH(C568,Products!$A$2:$A$49,0))</f>
        <v>49950</v>
      </c>
      <c r="I568" s="33" t="n">
        <f aca="false">D568*INDEX(Products!$D$2:$D$49,MATCH(C568,Products!$A$2:$A$49,0))*(1+INDEX(Assumptions!$B$16:$B$20,MATCH(B568,Assumptions!$A$16:$A$20,0)))</f>
        <v>40135.38</v>
      </c>
      <c r="J568" s="33" t="n">
        <f aca="false">H568-I568</f>
        <v>9814.62</v>
      </c>
      <c r="K568" s="33" t="n">
        <f aca="false">IF(OR(E568=0,E568&gt;=7),0,D568/(7-E568)*E568*INDEX(Products!$E$2:$E$49,MATCH(C568,Products!$A$2:$A$49,0)))</f>
        <v>0</v>
      </c>
    </row>
    <row r="569" customFormat="false" ht="15" hidden="false" customHeight="false" outlineLevel="0" collapsed="false">
      <c r="A569" s="36" t="n">
        <v>46237</v>
      </c>
      <c r="B569" s="24" t="s">
        <v>61</v>
      </c>
      <c r="C569" s="24" t="s">
        <v>159</v>
      </c>
      <c r="D569" s="33" t="n">
        <v>85</v>
      </c>
      <c r="E569" s="24" t="n">
        <v>0</v>
      </c>
      <c r="F569" s="37" t="n">
        <f aca="false">DATE(YEAR(A569),MONTH(A569),1)</f>
        <v>46235</v>
      </c>
      <c r="G569" s="24" t="str">
        <f aca="false">INDEX(Products!$C$2:$C$49,MATCH(C569,Products!$A$2:$A$49,0))</f>
        <v>Beverages</v>
      </c>
      <c r="H569" s="33" t="n">
        <f aca="false">D569*INDEX(Products!$E$2:$E$49,MATCH(C569,Products!$A$2:$A$49,0))</f>
        <v>38250</v>
      </c>
      <c r="I569" s="33" t="n">
        <f aca="false">D569*INDEX(Products!$D$2:$D$49,MATCH(C569,Products!$A$2:$A$49,0))*(1+INDEX(Assumptions!$B$16:$B$20,MATCH(B569,Assumptions!$A$16:$A$20,0)))</f>
        <v>30734.3</v>
      </c>
      <c r="J569" s="33" t="n">
        <f aca="false">H569-I569</f>
        <v>7515.7</v>
      </c>
      <c r="K569" s="33" t="n">
        <f aca="false">IF(OR(E569=0,E569&gt;=7),0,D569/(7-E569)*E569*INDEX(Products!$E$2:$E$49,MATCH(C569,Products!$A$2:$A$49,0)))</f>
        <v>0</v>
      </c>
    </row>
    <row r="570" customFormat="false" ht="15" hidden="false" customHeight="false" outlineLevel="0" collapsed="false">
      <c r="A570" s="36" t="n">
        <v>46244</v>
      </c>
      <c r="B570" s="24" t="s">
        <v>61</v>
      </c>
      <c r="C570" s="24" t="s">
        <v>159</v>
      </c>
      <c r="D570" s="33" t="n">
        <v>109</v>
      </c>
      <c r="E570" s="24" t="n">
        <v>0</v>
      </c>
      <c r="F570" s="37" t="n">
        <f aca="false">DATE(YEAR(A570),MONTH(A570),1)</f>
        <v>46235</v>
      </c>
      <c r="G570" s="24" t="str">
        <f aca="false">INDEX(Products!$C$2:$C$49,MATCH(C570,Products!$A$2:$A$49,0))</f>
        <v>Beverages</v>
      </c>
      <c r="H570" s="33" t="n">
        <f aca="false">D570*INDEX(Products!$E$2:$E$49,MATCH(C570,Products!$A$2:$A$49,0))</f>
        <v>49050</v>
      </c>
      <c r="I570" s="33" t="n">
        <f aca="false">D570*INDEX(Products!$D$2:$D$49,MATCH(C570,Products!$A$2:$A$49,0))*(1+INDEX(Assumptions!$B$16:$B$20,MATCH(B570,Assumptions!$A$16:$A$20,0)))</f>
        <v>39412.22</v>
      </c>
      <c r="J570" s="33" t="n">
        <f aca="false">H570-I570</f>
        <v>9637.78</v>
      </c>
      <c r="K570" s="33" t="n">
        <f aca="false">IF(OR(E570=0,E570&gt;=7),0,D570/(7-E570)*E570*INDEX(Products!$E$2:$E$49,MATCH(C570,Products!$A$2:$A$49,0)))</f>
        <v>0</v>
      </c>
    </row>
    <row r="571" customFormat="false" ht="15" hidden="false" customHeight="false" outlineLevel="0" collapsed="false">
      <c r="A571" s="36" t="n">
        <v>46251</v>
      </c>
      <c r="B571" s="24" t="s">
        <v>61</v>
      </c>
      <c r="C571" s="24" t="s">
        <v>159</v>
      </c>
      <c r="D571" s="33" t="n">
        <v>120</v>
      </c>
      <c r="E571" s="24" t="n">
        <v>0</v>
      </c>
      <c r="F571" s="37" t="n">
        <f aca="false">DATE(YEAR(A571),MONTH(A571),1)</f>
        <v>46235</v>
      </c>
      <c r="G571" s="24" t="str">
        <f aca="false">INDEX(Products!$C$2:$C$49,MATCH(C571,Products!$A$2:$A$49,0))</f>
        <v>Beverages</v>
      </c>
      <c r="H571" s="33" t="n">
        <f aca="false">D571*INDEX(Products!$E$2:$E$49,MATCH(C571,Products!$A$2:$A$49,0))</f>
        <v>54000</v>
      </c>
      <c r="I571" s="33" t="n">
        <f aca="false">D571*INDEX(Products!$D$2:$D$49,MATCH(C571,Products!$A$2:$A$49,0))*(1+INDEX(Assumptions!$B$16:$B$20,MATCH(B571,Assumptions!$A$16:$A$20,0)))</f>
        <v>43389.6</v>
      </c>
      <c r="J571" s="33" t="n">
        <f aca="false">H571-I571</f>
        <v>10610.4</v>
      </c>
      <c r="K571" s="33" t="n">
        <f aca="false">IF(OR(E571=0,E571&gt;=7),0,D571/(7-E571)*E571*INDEX(Products!$E$2:$E$49,MATCH(C571,Products!$A$2:$A$49,0)))</f>
        <v>0</v>
      </c>
    </row>
    <row r="572" customFormat="false" ht="15" hidden="false" customHeight="false" outlineLevel="0" collapsed="false">
      <c r="A572" s="36" t="n">
        <v>46258</v>
      </c>
      <c r="B572" s="24" t="s">
        <v>61</v>
      </c>
      <c r="C572" s="24" t="s">
        <v>159</v>
      </c>
      <c r="D572" s="33" t="n">
        <v>111</v>
      </c>
      <c r="E572" s="24" t="n">
        <v>0</v>
      </c>
      <c r="F572" s="37" t="n">
        <f aca="false">DATE(YEAR(A572),MONTH(A572),1)</f>
        <v>46235</v>
      </c>
      <c r="G572" s="24" t="str">
        <f aca="false">INDEX(Products!$C$2:$C$49,MATCH(C572,Products!$A$2:$A$49,0))</f>
        <v>Beverages</v>
      </c>
      <c r="H572" s="33" t="n">
        <f aca="false">D572*INDEX(Products!$E$2:$E$49,MATCH(C572,Products!$A$2:$A$49,0))</f>
        <v>49950</v>
      </c>
      <c r="I572" s="33" t="n">
        <f aca="false">D572*INDEX(Products!$D$2:$D$49,MATCH(C572,Products!$A$2:$A$49,0))*(1+INDEX(Assumptions!$B$16:$B$20,MATCH(B572,Assumptions!$A$16:$A$20,0)))</f>
        <v>40135.38</v>
      </c>
      <c r="J572" s="33" t="n">
        <f aca="false">H572-I572</f>
        <v>9814.62</v>
      </c>
      <c r="K572" s="33" t="n">
        <f aca="false">IF(OR(E572=0,E572&gt;=7),0,D572/(7-E572)*E572*INDEX(Products!$E$2:$E$49,MATCH(C572,Products!$A$2:$A$49,0)))</f>
        <v>0</v>
      </c>
    </row>
    <row r="573" customFormat="false" ht="15" hidden="false" customHeight="false" outlineLevel="0" collapsed="false">
      <c r="A573" s="36" t="n">
        <v>46265</v>
      </c>
      <c r="B573" s="24" t="s">
        <v>61</v>
      </c>
      <c r="C573" s="24" t="s">
        <v>159</v>
      </c>
      <c r="D573" s="33" t="n">
        <v>98</v>
      </c>
      <c r="E573" s="24" t="n">
        <v>0</v>
      </c>
      <c r="F573" s="37" t="n">
        <f aca="false">DATE(YEAR(A573),MONTH(A573),1)</f>
        <v>46235</v>
      </c>
      <c r="G573" s="24" t="str">
        <f aca="false">INDEX(Products!$C$2:$C$49,MATCH(C573,Products!$A$2:$A$49,0))</f>
        <v>Beverages</v>
      </c>
      <c r="H573" s="33" t="n">
        <f aca="false">D573*INDEX(Products!$E$2:$E$49,MATCH(C573,Products!$A$2:$A$49,0))</f>
        <v>44100</v>
      </c>
      <c r="I573" s="33" t="n">
        <f aca="false">D573*INDEX(Products!$D$2:$D$49,MATCH(C573,Products!$A$2:$A$49,0))*(1+INDEX(Assumptions!$B$16:$B$20,MATCH(B573,Assumptions!$A$16:$A$20,0)))</f>
        <v>35434.84</v>
      </c>
      <c r="J573" s="33" t="n">
        <f aca="false">H573-I573</f>
        <v>8665.16</v>
      </c>
      <c r="K573" s="33" t="n">
        <f aca="false">IF(OR(E573=0,E573&gt;=7),0,D573/(7-E573)*E573*INDEX(Products!$E$2:$E$49,MATCH(C573,Products!$A$2:$A$49,0)))</f>
        <v>0</v>
      </c>
    </row>
    <row r="574" customFormat="false" ht="15" hidden="false" customHeight="false" outlineLevel="0" collapsed="false">
      <c r="A574" s="36" t="n">
        <v>46272</v>
      </c>
      <c r="B574" s="24" t="s">
        <v>61</v>
      </c>
      <c r="C574" s="24" t="s">
        <v>159</v>
      </c>
      <c r="D574" s="33" t="n">
        <v>122</v>
      </c>
      <c r="E574" s="24" t="n">
        <v>0</v>
      </c>
      <c r="F574" s="37" t="n">
        <f aca="false">DATE(YEAR(A574),MONTH(A574),1)</f>
        <v>46266</v>
      </c>
      <c r="G574" s="24" t="str">
        <f aca="false">INDEX(Products!$C$2:$C$49,MATCH(C574,Products!$A$2:$A$49,0))</f>
        <v>Beverages</v>
      </c>
      <c r="H574" s="33" t="n">
        <f aca="false">D574*INDEX(Products!$E$2:$E$49,MATCH(C574,Products!$A$2:$A$49,0))</f>
        <v>54900</v>
      </c>
      <c r="I574" s="33" t="n">
        <f aca="false">D574*INDEX(Products!$D$2:$D$49,MATCH(C574,Products!$A$2:$A$49,0))*(1+INDEX(Assumptions!$B$16:$B$20,MATCH(B574,Assumptions!$A$16:$A$20,0)))</f>
        <v>44112.76</v>
      </c>
      <c r="J574" s="33" t="n">
        <f aca="false">H574-I574</f>
        <v>10787.24</v>
      </c>
      <c r="K574" s="33" t="n">
        <f aca="false">IF(OR(E574=0,E574&gt;=7),0,D574/(7-E574)*E574*INDEX(Products!$E$2:$E$49,MATCH(C574,Products!$A$2:$A$49,0)))</f>
        <v>0</v>
      </c>
    </row>
    <row r="575" customFormat="false" ht="15" hidden="false" customHeight="false" outlineLevel="0" collapsed="false">
      <c r="A575" s="36" t="n">
        <v>46279</v>
      </c>
      <c r="B575" s="24" t="s">
        <v>61</v>
      </c>
      <c r="C575" s="24" t="s">
        <v>159</v>
      </c>
      <c r="D575" s="33" t="n">
        <v>119</v>
      </c>
      <c r="E575" s="24" t="n">
        <v>0</v>
      </c>
      <c r="F575" s="37" t="n">
        <f aca="false">DATE(YEAR(A575),MONTH(A575),1)</f>
        <v>46266</v>
      </c>
      <c r="G575" s="24" t="str">
        <f aca="false">INDEX(Products!$C$2:$C$49,MATCH(C575,Products!$A$2:$A$49,0))</f>
        <v>Beverages</v>
      </c>
      <c r="H575" s="33" t="n">
        <f aca="false">D575*INDEX(Products!$E$2:$E$49,MATCH(C575,Products!$A$2:$A$49,0))</f>
        <v>53550</v>
      </c>
      <c r="I575" s="33" t="n">
        <f aca="false">D575*INDEX(Products!$D$2:$D$49,MATCH(C575,Products!$A$2:$A$49,0))*(1+INDEX(Assumptions!$B$16:$B$20,MATCH(B575,Assumptions!$A$16:$A$20,0)))</f>
        <v>43028.02</v>
      </c>
      <c r="J575" s="33" t="n">
        <f aca="false">H575-I575</f>
        <v>10521.98</v>
      </c>
      <c r="K575" s="33" t="n">
        <f aca="false">IF(OR(E575=0,E575&gt;=7),0,D575/(7-E575)*E575*INDEX(Products!$E$2:$E$49,MATCH(C575,Products!$A$2:$A$49,0)))</f>
        <v>0</v>
      </c>
    </row>
    <row r="576" customFormat="false" ht="15" hidden="false" customHeight="false" outlineLevel="0" collapsed="false">
      <c r="A576" s="36" t="n">
        <v>46286</v>
      </c>
      <c r="B576" s="24" t="s">
        <v>61</v>
      </c>
      <c r="C576" s="24" t="s">
        <v>159</v>
      </c>
      <c r="D576" s="33" t="n">
        <v>114</v>
      </c>
      <c r="E576" s="24" t="n">
        <v>0</v>
      </c>
      <c r="F576" s="37" t="n">
        <f aca="false">DATE(YEAR(A576),MONTH(A576),1)</f>
        <v>46266</v>
      </c>
      <c r="G576" s="24" t="str">
        <f aca="false">INDEX(Products!$C$2:$C$49,MATCH(C576,Products!$A$2:$A$49,0))</f>
        <v>Beverages</v>
      </c>
      <c r="H576" s="33" t="n">
        <f aca="false">D576*INDEX(Products!$E$2:$E$49,MATCH(C576,Products!$A$2:$A$49,0))</f>
        <v>51300</v>
      </c>
      <c r="I576" s="33" t="n">
        <f aca="false">D576*INDEX(Products!$D$2:$D$49,MATCH(C576,Products!$A$2:$A$49,0))*(1+INDEX(Assumptions!$B$16:$B$20,MATCH(B576,Assumptions!$A$16:$A$20,0)))</f>
        <v>41220.12</v>
      </c>
      <c r="J576" s="33" t="n">
        <f aca="false">H576-I576</f>
        <v>10079.88</v>
      </c>
      <c r="K576" s="33" t="n">
        <f aca="false">IF(OR(E576=0,E576&gt;=7),0,D576/(7-E576)*E576*INDEX(Products!$E$2:$E$49,MATCH(C576,Products!$A$2:$A$49,0)))</f>
        <v>0</v>
      </c>
    </row>
    <row r="577" customFormat="false" ht="15" hidden="false" customHeight="false" outlineLevel="0" collapsed="false">
      <c r="A577" s="36" t="n">
        <v>46118</v>
      </c>
      <c r="B577" s="24" t="s">
        <v>61</v>
      </c>
      <c r="C577" s="24" t="s">
        <v>161</v>
      </c>
      <c r="D577" s="33" t="n">
        <v>88</v>
      </c>
      <c r="E577" s="24" t="n">
        <v>0</v>
      </c>
      <c r="F577" s="37" t="n">
        <f aca="false">DATE(YEAR(A577),MONTH(A577),1)</f>
        <v>46113</v>
      </c>
      <c r="G577" s="24" t="str">
        <f aca="false">INDEX(Products!$C$2:$C$49,MATCH(C577,Products!$A$2:$A$49,0))</f>
        <v>Beverages</v>
      </c>
      <c r="H577" s="33" t="n">
        <f aca="false">D577*INDEX(Products!$E$2:$E$49,MATCH(C577,Products!$A$2:$A$49,0))</f>
        <v>33440</v>
      </c>
      <c r="I577" s="33" t="n">
        <f aca="false">D577*INDEX(Products!$D$2:$D$49,MATCH(C577,Products!$A$2:$A$49,0))*(1+INDEX(Assumptions!$B$16:$B$20,MATCH(B577,Assumptions!$A$16:$A$20,0)))</f>
        <v>26930.64</v>
      </c>
      <c r="J577" s="33" t="n">
        <f aca="false">H577-I577</f>
        <v>6509.36</v>
      </c>
      <c r="K577" s="33" t="n">
        <f aca="false">IF(OR(E577=0,E577&gt;=7),0,D577/(7-E577)*E577*INDEX(Products!$E$2:$E$49,MATCH(C577,Products!$A$2:$A$49,0)))</f>
        <v>0</v>
      </c>
    </row>
    <row r="578" customFormat="false" ht="15" hidden="false" customHeight="false" outlineLevel="0" collapsed="false">
      <c r="A578" s="36" t="n">
        <v>46125</v>
      </c>
      <c r="B578" s="24" t="s">
        <v>61</v>
      </c>
      <c r="C578" s="24" t="s">
        <v>161</v>
      </c>
      <c r="D578" s="33" t="n">
        <v>80</v>
      </c>
      <c r="E578" s="24" t="n">
        <v>0</v>
      </c>
      <c r="F578" s="37" t="n">
        <f aca="false">DATE(YEAR(A578),MONTH(A578),1)</f>
        <v>46113</v>
      </c>
      <c r="G578" s="24" t="str">
        <f aca="false">INDEX(Products!$C$2:$C$49,MATCH(C578,Products!$A$2:$A$49,0))</f>
        <v>Beverages</v>
      </c>
      <c r="H578" s="33" t="n">
        <f aca="false">D578*INDEX(Products!$E$2:$E$49,MATCH(C578,Products!$A$2:$A$49,0))</f>
        <v>30400</v>
      </c>
      <c r="I578" s="33" t="n">
        <f aca="false">D578*INDEX(Products!$D$2:$D$49,MATCH(C578,Products!$A$2:$A$49,0))*(1+INDEX(Assumptions!$B$16:$B$20,MATCH(B578,Assumptions!$A$16:$A$20,0)))</f>
        <v>24482.4</v>
      </c>
      <c r="J578" s="33" t="n">
        <f aca="false">H578-I578</f>
        <v>5917.6</v>
      </c>
      <c r="K578" s="33" t="n">
        <f aca="false">IF(OR(E578=0,E578&gt;=7),0,D578/(7-E578)*E578*INDEX(Products!$E$2:$E$49,MATCH(C578,Products!$A$2:$A$49,0)))</f>
        <v>0</v>
      </c>
    </row>
    <row r="579" customFormat="false" ht="15" hidden="false" customHeight="false" outlineLevel="0" collapsed="false">
      <c r="A579" s="36" t="n">
        <v>46132</v>
      </c>
      <c r="B579" s="24" t="s">
        <v>61</v>
      </c>
      <c r="C579" s="24" t="s">
        <v>161</v>
      </c>
      <c r="D579" s="33" t="n">
        <v>74</v>
      </c>
      <c r="E579" s="24" t="n">
        <v>0</v>
      </c>
      <c r="F579" s="37" t="n">
        <f aca="false">DATE(YEAR(A579),MONTH(A579),1)</f>
        <v>46113</v>
      </c>
      <c r="G579" s="24" t="str">
        <f aca="false">INDEX(Products!$C$2:$C$49,MATCH(C579,Products!$A$2:$A$49,0))</f>
        <v>Beverages</v>
      </c>
      <c r="H579" s="33" t="n">
        <f aca="false">D579*INDEX(Products!$E$2:$E$49,MATCH(C579,Products!$A$2:$A$49,0))</f>
        <v>28120</v>
      </c>
      <c r="I579" s="33" t="n">
        <f aca="false">D579*INDEX(Products!$D$2:$D$49,MATCH(C579,Products!$A$2:$A$49,0))*(1+INDEX(Assumptions!$B$16:$B$20,MATCH(B579,Assumptions!$A$16:$A$20,0)))</f>
        <v>22646.22</v>
      </c>
      <c r="J579" s="33" t="n">
        <f aca="false">H579-I579</f>
        <v>5473.78</v>
      </c>
      <c r="K579" s="33" t="n">
        <f aca="false">IF(OR(E579=0,E579&gt;=7),0,D579/(7-E579)*E579*INDEX(Products!$E$2:$E$49,MATCH(C579,Products!$A$2:$A$49,0)))</f>
        <v>0</v>
      </c>
    </row>
    <row r="580" customFormat="false" ht="15" hidden="false" customHeight="false" outlineLevel="0" collapsed="false">
      <c r="A580" s="36" t="n">
        <v>46139</v>
      </c>
      <c r="B580" s="24" t="s">
        <v>61</v>
      </c>
      <c r="C580" s="24" t="s">
        <v>161</v>
      </c>
      <c r="D580" s="33" t="n">
        <v>107</v>
      </c>
      <c r="E580" s="24" t="n">
        <v>0</v>
      </c>
      <c r="F580" s="37" t="n">
        <f aca="false">DATE(YEAR(A580),MONTH(A580),1)</f>
        <v>46113</v>
      </c>
      <c r="G580" s="24" t="str">
        <f aca="false">INDEX(Products!$C$2:$C$49,MATCH(C580,Products!$A$2:$A$49,0))</f>
        <v>Beverages</v>
      </c>
      <c r="H580" s="33" t="n">
        <f aca="false">D580*INDEX(Products!$E$2:$E$49,MATCH(C580,Products!$A$2:$A$49,0))</f>
        <v>40660</v>
      </c>
      <c r="I580" s="33" t="n">
        <f aca="false">D580*INDEX(Products!$D$2:$D$49,MATCH(C580,Products!$A$2:$A$49,0))*(1+INDEX(Assumptions!$B$16:$B$20,MATCH(B580,Assumptions!$A$16:$A$20,0)))</f>
        <v>32745.21</v>
      </c>
      <c r="J580" s="33" t="n">
        <f aca="false">H580-I580</f>
        <v>7914.79</v>
      </c>
      <c r="K580" s="33" t="n">
        <f aca="false">IF(OR(E580=0,E580&gt;=7),0,D580/(7-E580)*E580*INDEX(Products!$E$2:$E$49,MATCH(C580,Products!$A$2:$A$49,0)))</f>
        <v>0</v>
      </c>
    </row>
    <row r="581" customFormat="false" ht="15" hidden="false" customHeight="false" outlineLevel="0" collapsed="false">
      <c r="A581" s="36" t="n">
        <v>46146</v>
      </c>
      <c r="B581" s="24" t="s">
        <v>61</v>
      </c>
      <c r="C581" s="24" t="s">
        <v>161</v>
      </c>
      <c r="D581" s="33" t="n">
        <v>93</v>
      </c>
      <c r="E581" s="24" t="n">
        <v>0</v>
      </c>
      <c r="F581" s="37" t="n">
        <f aca="false">DATE(YEAR(A581),MONTH(A581),1)</f>
        <v>46143</v>
      </c>
      <c r="G581" s="24" t="str">
        <f aca="false">INDEX(Products!$C$2:$C$49,MATCH(C581,Products!$A$2:$A$49,0))</f>
        <v>Beverages</v>
      </c>
      <c r="H581" s="33" t="n">
        <f aca="false">D581*INDEX(Products!$E$2:$E$49,MATCH(C581,Products!$A$2:$A$49,0))</f>
        <v>35340</v>
      </c>
      <c r="I581" s="33" t="n">
        <f aca="false">D581*INDEX(Products!$D$2:$D$49,MATCH(C581,Products!$A$2:$A$49,0))*(1+INDEX(Assumptions!$B$16:$B$20,MATCH(B581,Assumptions!$A$16:$A$20,0)))</f>
        <v>28460.79</v>
      </c>
      <c r="J581" s="33" t="n">
        <f aca="false">H581-I581</f>
        <v>6879.21</v>
      </c>
      <c r="K581" s="33" t="n">
        <f aca="false">IF(OR(E581=0,E581&gt;=7),0,D581/(7-E581)*E581*INDEX(Products!$E$2:$E$49,MATCH(C581,Products!$A$2:$A$49,0)))</f>
        <v>0</v>
      </c>
    </row>
    <row r="582" customFormat="false" ht="15" hidden="false" customHeight="false" outlineLevel="0" collapsed="false">
      <c r="A582" s="36" t="n">
        <v>46153</v>
      </c>
      <c r="B582" s="24" t="s">
        <v>61</v>
      </c>
      <c r="C582" s="24" t="s">
        <v>161</v>
      </c>
      <c r="D582" s="33" t="n">
        <v>86</v>
      </c>
      <c r="E582" s="24" t="n">
        <v>0</v>
      </c>
      <c r="F582" s="37" t="n">
        <f aca="false">DATE(YEAR(A582),MONTH(A582),1)</f>
        <v>46143</v>
      </c>
      <c r="G582" s="24" t="str">
        <f aca="false">INDEX(Products!$C$2:$C$49,MATCH(C582,Products!$A$2:$A$49,0))</f>
        <v>Beverages</v>
      </c>
      <c r="H582" s="33" t="n">
        <f aca="false">D582*INDEX(Products!$E$2:$E$49,MATCH(C582,Products!$A$2:$A$49,0))</f>
        <v>32680</v>
      </c>
      <c r="I582" s="33" t="n">
        <f aca="false">D582*INDEX(Products!$D$2:$D$49,MATCH(C582,Products!$A$2:$A$49,0))*(1+INDEX(Assumptions!$B$16:$B$20,MATCH(B582,Assumptions!$A$16:$A$20,0)))</f>
        <v>26318.58</v>
      </c>
      <c r="J582" s="33" t="n">
        <f aca="false">H582-I582</f>
        <v>6361.42</v>
      </c>
      <c r="K582" s="33" t="n">
        <f aca="false">IF(OR(E582=0,E582&gt;=7),0,D582/(7-E582)*E582*INDEX(Products!$E$2:$E$49,MATCH(C582,Products!$A$2:$A$49,0)))</f>
        <v>0</v>
      </c>
    </row>
    <row r="583" customFormat="false" ht="15" hidden="false" customHeight="false" outlineLevel="0" collapsed="false">
      <c r="A583" s="36" t="n">
        <v>46160</v>
      </c>
      <c r="B583" s="24" t="s">
        <v>61</v>
      </c>
      <c r="C583" s="24" t="s">
        <v>161</v>
      </c>
      <c r="D583" s="33" t="n">
        <v>86</v>
      </c>
      <c r="E583" s="24" t="n">
        <v>0</v>
      </c>
      <c r="F583" s="37" t="n">
        <f aca="false">DATE(YEAR(A583),MONTH(A583),1)</f>
        <v>46143</v>
      </c>
      <c r="G583" s="24" t="str">
        <f aca="false">INDEX(Products!$C$2:$C$49,MATCH(C583,Products!$A$2:$A$49,0))</f>
        <v>Beverages</v>
      </c>
      <c r="H583" s="33" t="n">
        <f aca="false">D583*INDEX(Products!$E$2:$E$49,MATCH(C583,Products!$A$2:$A$49,0))</f>
        <v>32680</v>
      </c>
      <c r="I583" s="33" t="n">
        <f aca="false">D583*INDEX(Products!$D$2:$D$49,MATCH(C583,Products!$A$2:$A$49,0))*(1+INDEX(Assumptions!$B$16:$B$20,MATCH(B583,Assumptions!$A$16:$A$20,0)))</f>
        <v>26318.58</v>
      </c>
      <c r="J583" s="33" t="n">
        <f aca="false">H583-I583</f>
        <v>6361.42</v>
      </c>
      <c r="K583" s="33" t="n">
        <f aca="false">IF(OR(E583=0,E583&gt;=7),0,D583/(7-E583)*E583*INDEX(Products!$E$2:$E$49,MATCH(C583,Products!$A$2:$A$49,0)))</f>
        <v>0</v>
      </c>
    </row>
    <row r="584" customFormat="false" ht="15" hidden="false" customHeight="false" outlineLevel="0" collapsed="false">
      <c r="A584" s="36" t="n">
        <v>46167</v>
      </c>
      <c r="B584" s="24" t="s">
        <v>61</v>
      </c>
      <c r="C584" s="24" t="s">
        <v>161</v>
      </c>
      <c r="D584" s="33" t="n">
        <v>111</v>
      </c>
      <c r="E584" s="24" t="n">
        <v>0</v>
      </c>
      <c r="F584" s="37" t="n">
        <f aca="false">DATE(YEAR(A584),MONTH(A584),1)</f>
        <v>46143</v>
      </c>
      <c r="G584" s="24" t="str">
        <f aca="false">INDEX(Products!$C$2:$C$49,MATCH(C584,Products!$A$2:$A$49,0))</f>
        <v>Beverages</v>
      </c>
      <c r="H584" s="33" t="n">
        <f aca="false">D584*INDEX(Products!$E$2:$E$49,MATCH(C584,Products!$A$2:$A$49,0))</f>
        <v>42180</v>
      </c>
      <c r="I584" s="33" t="n">
        <f aca="false">D584*INDEX(Products!$D$2:$D$49,MATCH(C584,Products!$A$2:$A$49,0))*(1+INDEX(Assumptions!$B$16:$B$20,MATCH(B584,Assumptions!$A$16:$A$20,0)))</f>
        <v>33969.33</v>
      </c>
      <c r="J584" s="33" t="n">
        <f aca="false">H584-I584</f>
        <v>8210.67</v>
      </c>
      <c r="K584" s="33" t="n">
        <f aca="false">IF(OR(E584=0,E584&gt;=7),0,D584/(7-E584)*E584*INDEX(Products!$E$2:$E$49,MATCH(C584,Products!$A$2:$A$49,0)))</f>
        <v>0</v>
      </c>
    </row>
    <row r="585" customFormat="false" ht="15" hidden="false" customHeight="false" outlineLevel="0" collapsed="false">
      <c r="A585" s="36" t="n">
        <v>46174</v>
      </c>
      <c r="B585" s="24" t="s">
        <v>61</v>
      </c>
      <c r="C585" s="24" t="s">
        <v>161</v>
      </c>
      <c r="D585" s="33" t="n">
        <v>85</v>
      </c>
      <c r="E585" s="24" t="n">
        <v>0</v>
      </c>
      <c r="F585" s="37" t="n">
        <f aca="false">DATE(YEAR(A585),MONTH(A585),1)</f>
        <v>46174</v>
      </c>
      <c r="G585" s="24" t="str">
        <f aca="false">INDEX(Products!$C$2:$C$49,MATCH(C585,Products!$A$2:$A$49,0))</f>
        <v>Beverages</v>
      </c>
      <c r="H585" s="33" t="n">
        <f aca="false">D585*INDEX(Products!$E$2:$E$49,MATCH(C585,Products!$A$2:$A$49,0))</f>
        <v>32300</v>
      </c>
      <c r="I585" s="33" t="n">
        <f aca="false">D585*INDEX(Products!$D$2:$D$49,MATCH(C585,Products!$A$2:$A$49,0))*(1+INDEX(Assumptions!$B$16:$B$20,MATCH(B585,Assumptions!$A$16:$A$20,0)))</f>
        <v>26012.55</v>
      </c>
      <c r="J585" s="33" t="n">
        <f aca="false">H585-I585</f>
        <v>6287.45</v>
      </c>
      <c r="K585" s="33" t="n">
        <f aca="false">IF(OR(E585=0,E585&gt;=7),0,D585/(7-E585)*E585*INDEX(Products!$E$2:$E$49,MATCH(C585,Products!$A$2:$A$49,0)))</f>
        <v>0</v>
      </c>
    </row>
    <row r="586" customFormat="false" ht="15" hidden="false" customHeight="false" outlineLevel="0" collapsed="false">
      <c r="A586" s="36" t="n">
        <v>46181</v>
      </c>
      <c r="B586" s="24" t="s">
        <v>61</v>
      </c>
      <c r="C586" s="24" t="s">
        <v>161</v>
      </c>
      <c r="D586" s="33" t="n">
        <v>87</v>
      </c>
      <c r="E586" s="24" t="n">
        <v>0</v>
      </c>
      <c r="F586" s="37" t="n">
        <f aca="false">DATE(YEAR(A586),MONTH(A586),1)</f>
        <v>46174</v>
      </c>
      <c r="G586" s="24" t="str">
        <f aca="false">INDEX(Products!$C$2:$C$49,MATCH(C586,Products!$A$2:$A$49,0))</f>
        <v>Beverages</v>
      </c>
      <c r="H586" s="33" t="n">
        <f aca="false">D586*INDEX(Products!$E$2:$E$49,MATCH(C586,Products!$A$2:$A$49,0))</f>
        <v>33060</v>
      </c>
      <c r="I586" s="33" t="n">
        <f aca="false">D586*INDEX(Products!$D$2:$D$49,MATCH(C586,Products!$A$2:$A$49,0))*(1+INDEX(Assumptions!$B$16:$B$20,MATCH(B586,Assumptions!$A$16:$A$20,0)))</f>
        <v>26624.61</v>
      </c>
      <c r="J586" s="33" t="n">
        <f aca="false">H586-I586</f>
        <v>6435.39</v>
      </c>
      <c r="K586" s="33" t="n">
        <f aca="false">IF(OR(E586=0,E586&gt;=7),0,D586/(7-E586)*E586*INDEX(Products!$E$2:$E$49,MATCH(C586,Products!$A$2:$A$49,0)))</f>
        <v>0</v>
      </c>
    </row>
    <row r="587" customFormat="false" ht="15" hidden="false" customHeight="false" outlineLevel="0" collapsed="false">
      <c r="A587" s="36" t="n">
        <v>46188</v>
      </c>
      <c r="B587" s="24" t="s">
        <v>61</v>
      </c>
      <c r="C587" s="24" t="s">
        <v>161</v>
      </c>
      <c r="D587" s="33" t="n">
        <v>97</v>
      </c>
      <c r="E587" s="24" t="n">
        <v>0</v>
      </c>
      <c r="F587" s="37" t="n">
        <f aca="false">DATE(YEAR(A587),MONTH(A587),1)</f>
        <v>46174</v>
      </c>
      <c r="G587" s="24" t="str">
        <f aca="false">INDEX(Products!$C$2:$C$49,MATCH(C587,Products!$A$2:$A$49,0))</f>
        <v>Beverages</v>
      </c>
      <c r="H587" s="33" t="n">
        <f aca="false">D587*INDEX(Products!$E$2:$E$49,MATCH(C587,Products!$A$2:$A$49,0))</f>
        <v>36860</v>
      </c>
      <c r="I587" s="33" t="n">
        <f aca="false">D587*INDEX(Products!$D$2:$D$49,MATCH(C587,Products!$A$2:$A$49,0))*(1+INDEX(Assumptions!$B$16:$B$20,MATCH(B587,Assumptions!$A$16:$A$20,0)))</f>
        <v>29684.91</v>
      </c>
      <c r="J587" s="33" t="n">
        <f aca="false">H587-I587</f>
        <v>7175.09</v>
      </c>
      <c r="K587" s="33" t="n">
        <f aca="false">IF(OR(E587=0,E587&gt;=7),0,D587/(7-E587)*E587*INDEX(Products!$E$2:$E$49,MATCH(C587,Products!$A$2:$A$49,0)))</f>
        <v>0</v>
      </c>
    </row>
    <row r="588" customFormat="false" ht="15" hidden="false" customHeight="false" outlineLevel="0" collapsed="false">
      <c r="A588" s="36" t="n">
        <v>46195</v>
      </c>
      <c r="B588" s="24" t="s">
        <v>61</v>
      </c>
      <c r="C588" s="24" t="s">
        <v>161</v>
      </c>
      <c r="D588" s="33" t="n">
        <v>89</v>
      </c>
      <c r="E588" s="24" t="n">
        <v>0</v>
      </c>
      <c r="F588" s="37" t="n">
        <f aca="false">DATE(YEAR(A588),MONTH(A588),1)</f>
        <v>46174</v>
      </c>
      <c r="G588" s="24" t="str">
        <f aca="false">INDEX(Products!$C$2:$C$49,MATCH(C588,Products!$A$2:$A$49,0))</f>
        <v>Beverages</v>
      </c>
      <c r="H588" s="33" t="n">
        <f aca="false">D588*INDEX(Products!$E$2:$E$49,MATCH(C588,Products!$A$2:$A$49,0))</f>
        <v>33820</v>
      </c>
      <c r="I588" s="33" t="n">
        <f aca="false">D588*INDEX(Products!$D$2:$D$49,MATCH(C588,Products!$A$2:$A$49,0))*(1+INDEX(Assumptions!$B$16:$B$20,MATCH(B588,Assumptions!$A$16:$A$20,0)))</f>
        <v>27236.67</v>
      </c>
      <c r="J588" s="33" t="n">
        <f aca="false">H588-I588</f>
        <v>6583.33</v>
      </c>
      <c r="K588" s="33" t="n">
        <f aca="false">IF(OR(E588=0,E588&gt;=7),0,D588/(7-E588)*E588*INDEX(Products!$E$2:$E$49,MATCH(C588,Products!$A$2:$A$49,0)))</f>
        <v>0</v>
      </c>
    </row>
    <row r="589" customFormat="false" ht="15" hidden="false" customHeight="false" outlineLevel="0" collapsed="false">
      <c r="A589" s="36" t="n">
        <v>46202</v>
      </c>
      <c r="B589" s="24" t="s">
        <v>61</v>
      </c>
      <c r="C589" s="24" t="s">
        <v>161</v>
      </c>
      <c r="D589" s="33" t="n">
        <v>80</v>
      </c>
      <c r="E589" s="24" t="n">
        <v>0</v>
      </c>
      <c r="F589" s="37" t="n">
        <f aca="false">DATE(YEAR(A589),MONTH(A589),1)</f>
        <v>46174</v>
      </c>
      <c r="G589" s="24" t="str">
        <f aca="false">INDEX(Products!$C$2:$C$49,MATCH(C589,Products!$A$2:$A$49,0))</f>
        <v>Beverages</v>
      </c>
      <c r="H589" s="33" t="n">
        <f aca="false">D589*INDEX(Products!$E$2:$E$49,MATCH(C589,Products!$A$2:$A$49,0))</f>
        <v>30400</v>
      </c>
      <c r="I589" s="33" t="n">
        <f aca="false">D589*INDEX(Products!$D$2:$D$49,MATCH(C589,Products!$A$2:$A$49,0))*(1+INDEX(Assumptions!$B$16:$B$20,MATCH(B589,Assumptions!$A$16:$A$20,0)))</f>
        <v>24482.4</v>
      </c>
      <c r="J589" s="33" t="n">
        <f aca="false">H589-I589</f>
        <v>5917.6</v>
      </c>
      <c r="K589" s="33" t="n">
        <f aca="false">IF(OR(E589=0,E589&gt;=7),0,D589/(7-E589)*E589*INDEX(Products!$E$2:$E$49,MATCH(C589,Products!$A$2:$A$49,0)))</f>
        <v>0</v>
      </c>
    </row>
    <row r="590" customFormat="false" ht="15" hidden="false" customHeight="false" outlineLevel="0" collapsed="false">
      <c r="A590" s="36" t="n">
        <v>46209</v>
      </c>
      <c r="B590" s="24" t="s">
        <v>61</v>
      </c>
      <c r="C590" s="24" t="s">
        <v>161</v>
      </c>
      <c r="D590" s="33" t="n">
        <v>86</v>
      </c>
      <c r="E590" s="24" t="n">
        <v>0</v>
      </c>
      <c r="F590" s="37" t="n">
        <f aca="false">DATE(YEAR(A590),MONTH(A590),1)</f>
        <v>46204</v>
      </c>
      <c r="G590" s="24" t="str">
        <f aca="false">INDEX(Products!$C$2:$C$49,MATCH(C590,Products!$A$2:$A$49,0))</f>
        <v>Beverages</v>
      </c>
      <c r="H590" s="33" t="n">
        <f aca="false">D590*INDEX(Products!$E$2:$E$49,MATCH(C590,Products!$A$2:$A$49,0))</f>
        <v>32680</v>
      </c>
      <c r="I590" s="33" t="n">
        <f aca="false">D590*INDEX(Products!$D$2:$D$49,MATCH(C590,Products!$A$2:$A$49,0))*(1+INDEX(Assumptions!$B$16:$B$20,MATCH(B590,Assumptions!$A$16:$A$20,0)))</f>
        <v>26318.58</v>
      </c>
      <c r="J590" s="33" t="n">
        <f aca="false">H590-I590</f>
        <v>6361.42</v>
      </c>
      <c r="K590" s="33" t="n">
        <f aca="false">IF(OR(E590=0,E590&gt;=7),0,D590/(7-E590)*E590*INDEX(Products!$E$2:$E$49,MATCH(C590,Products!$A$2:$A$49,0)))</f>
        <v>0</v>
      </c>
    </row>
    <row r="591" customFormat="false" ht="15" hidden="false" customHeight="false" outlineLevel="0" collapsed="false">
      <c r="A591" s="36" t="n">
        <v>46216</v>
      </c>
      <c r="B591" s="24" t="s">
        <v>61</v>
      </c>
      <c r="C591" s="24" t="s">
        <v>161</v>
      </c>
      <c r="D591" s="33" t="n">
        <v>72</v>
      </c>
      <c r="E591" s="24" t="n">
        <v>0</v>
      </c>
      <c r="F591" s="37" t="n">
        <f aca="false">DATE(YEAR(A591),MONTH(A591),1)</f>
        <v>46204</v>
      </c>
      <c r="G591" s="24" t="str">
        <f aca="false">INDEX(Products!$C$2:$C$49,MATCH(C591,Products!$A$2:$A$49,0))</f>
        <v>Beverages</v>
      </c>
      <c r="H591" s="33" t="n">
        <f aca="false">D591*INDEX(Products!$E$2:$E$49,MATCH(C591,Products!$A$2:$A$49,0))</f>
        <v>27360</v>
      </c>
      <c r="I591" s="33" t="n">
        <f aca="false">D591*INDEX(Products!$D$2:$D$49,MATCH(C591,Products!$A$2:$A$49,0))*(1+INDEX(Assumptions!$B$16:$B$20,MATCH(B591,Assumptions!$A$16:$A$20,0)))</f>
        <v>22034.16</v>
      </c>
      <c r="J591" s="33" t="n">
        <f aca="false">H591-I591</f>
        <v>5325.84</v>
      </c>
      <c r="K591" s="33" t="n">
        <f aca="false">IF(OR(E591=0,E591&gt;=7),0,D591/(7-E591)*E591*INDEX(Products!$E$2:$E$49,MATCH(C591,Products!$A$2:$A$49,0)))</f>
        <v>0</v>
      </c>
    </row>
    <row r="592" customFormat="false" ht="15" hidden="false" customHeight="false" outlineLevel="0" collapsed="false">
      <c r="A592" s="36" t="n">
        <v>46223</v>
      </c>
      <c r="B592" s="24" t="s">
        <v>61</v>
      </c>
      <c r="C592" s="24" t="s">
        <v>161</v>
      </c>
      <c r="D592" s="33" t="n">
        <v>79</v>
      </c>
      <c r="E592" s="24" t="n">
        <v>0</v>
      </c>
      <c r="F592" s="37" t="n">
        <f aca="false">DATE(YEAR(A592),MONTH(A592),1)</f>
        <v>46204</v>
      </c>
      <c r="G592" s="24" t="str">
        <f aca="false">INDEX(Products!$C$2:$C$49,MATCH(C592,Products!$A$2:$A$49,0))</f>
        <v>Beverages</v>
      </c>
      <c r="H592" s="33" t="n">
        <f aca="false">D592*INDEX(Products!$E$2:$E$49,MATCH(C592,Products!$A$2:$A$49,0))</f>
        <v>30020</v>
      </c>
      <c r="I592" s="33" t="n">
        <f aca="false">D592*INDEX(Products!$D$2:$D$49,MATCH(C592,Products!$A$2:$A$49,0))*(1+INDEX(Assumptions!$B$16:$B$20,MATCH(B592,Assumptions!$A$16:$A$20,0)))</f>
        <v>24176.37</v>
      </c>
      <c r="J592" s="33" t="n">
        <f aca="false">H592-I592</f>
        <v>5843.63</v>
      </c>
      <c r="K592" s="33" t="n">
        <f aca="false">IF(OR(E592=0,E592&gt;=7),0,D592/(7-E592)*E592*INDEX(Products!$E$2:$E$49,MATCH(C592,Products!$A$2:$A$49,0)))</f>
        <v>0</v>
      </c>
    </row>
    <row r="593" customFormat="false" ht="15" hidden="false" customHeight="false" outlineLevel="0" collapsed="false">
      <c r="A593" s="36" t="n">
        <v>46230</v>
      </c>
      <c r="B593" s="24" t="s">
        <v>61</v>
      </c>
      <c r="C593" s="24" t="s">
        <v>161</v>
      </c>
      <c r="D593" s="33" t="n">
        <v>86</v>
      </c>
      <c r="E593" s="24" t="n">
        <v>0</v>
      </c>
      <c r="F593" s="37" t="n">
        <f aca="false">DATE(YEAR(A593),MONTH(A593),1)</f>
        <v>46204</v>
      </c>
      <c r="G593" s="24" t="str">
        <f aca="false">INDEX(Products!$C$2:$C$49,MATCH(C593,Products!$A$2:$A$49,0))</f>
        <v>Beverages</v>
      </c>
      <c r="H593" s="33" t="n">
        <f aca="false">D593*INDEX(Products!$E$2:$E$49,MATCH(C593,Products!$A$2:$A$49,0))</f>
        <v>32680</v>
      </c>
      <c r="I593" s="33" t="n">
        <f aca="false">D593*INDEX(Products!$D$2:$D$49,MATCH(C593,Products!$A$2:$A$49,0))*(1+INDEX(Assumptions!$B$16:$B$20,MATCH(B593,Assumptions!$A$16:$A$20,0)))</f>
        <v>26318.58</v>
      </c>
      <c r="J593" s="33" t="n">
        <f aca="false">H593-I593</f>
        <v>6361.42</v>
      </c>
      <c r="K593" s="33" t="n">
        <f aca="false">IF(OR(E593=0,E593&gt;=7),0,D593/(7-E593)*E593*INDEX(Products!$E$2:$E$49,MATCH(C593,Products!$A$2:$A$49,0)))</f>
        <v>0</v>
      </c>
    </row>
    <row r="594" customFormat="false" ht="15" hidden="false" customHeight="false" outlineLevel="0" collapsed="false">
      <c r="A594" s="36" t="n">
        <v>46237</v>
      </c>
      <c r="B594" s="24" t="s">
        <v>61</v>
      </c>
      <c r="C594" s="24" t="s">
        <v>161</v>
      </c>
      <c r="D594" s="33" t="n">
        <v>74</v>
      </c>
      <c r="E594" s="24" t="n">
        <v>0</v>
      </c>
      <c r="F594" s="37" t="n">
        <f aca="false">DATE(YEAR(A594),MONTH(A594),1)</f>
        <v>46235</v>
      </c>
      <c r="G594" s="24" t="str">
        <f aca="false">INDEX(Products!$C$2:$C$49,MATCH(C594,Products!$A$2:$A$49,0))</f>
        <v>Beverages</v>
      </c>
      <c r="H594" s="33" t="n">
        <f aca="false">D594*INDEX(Products!$E$2:$E$49,MATCH(C594,Products!$A$2:$A$49,0))</f>
        <v>28120</v>
      </c>
      <c r="I594" s="33" t="n">
        <f aca="false">D594*INDEX(Products!$D$2:$D$49,MATCH(C594,Products!$A$2:$A$49,0))*(1+INDEX(Assumptions!$B$16:$B$20,MATCH(B594,Assumptions!$A$16:$A$20,0)))</f>
        <v>22646.22</v>
      </c>
      <c r="J594" s="33" t="n">
        <f aca="false">H594-I594</f>
        <v>5473.78</v>
      </c>
      <c r="K594" s="33" t="n">
        <f aca="false">IF(OR(E594=0,E594&gt;=7),0,D594/(7-E594)*E594*INDEX(Products!$E$2:$E$49,MATCH(C594,Products!$A$2:$A$49,0)))</f>
        <v>0</v>
      </c>
    </row>
    <row r="595" customFormat="false" ht="15" hidden="false" customHeight="false" outlineLevel="0" collapsed="false">
      <c r="A595" s="36" t="n">
        <v>46244</v>
      </c>
      <c r="B595" s="24" t="s">
        <v>61</v>
      </c>
      <c r="C595" s="24" t="s">
        <v>161</v>
      </c>
      <c r="D595" s="33" t="n">
        <v>71</v>
      </c>
      <c r="E595" s="24" t="n">
        <v>0</v>
      </c>
      <c r="F595" s="37" t="n">
        <f aca="false">DATE(YEAR(A595),MONTH(A595),1)</f>
        <v>46235</v>
      </c>
      <c r="G595" s="24" t="str">
        <f aca="false">INDEX(Products!$C$2:$C$49,MATCH(C595,Products!$A$2:$A$49,0))</f>
        <v>Beverages</v>
      </c>
      <c r="H595" s="33" t="n">
        <f aca="false">D595*INDEX(Products!$E$2:$E$49,MATCH(C595,Products!$A$2:$A$49,0))</f>
        <v>26980</v>
      </c>
      <c r="I595" s="33" t="n">
        <f aca="false">D595*INDEX(Products!$D$2:$D$49,MATCH(C595,Products!$A$2:$A$49,0))*(1+INDEX(Assumptions!$B$16:$B$20,MATCH(B595,Assumptions!$A$16:$A$20,0)))</f>
        <v>21728.13</v>
      </c>
      <c r="J595" s="33" t="n">
        <f aca="false">H595-I595</f>
        <v>5251.87</v>
      </c>
      <c r="K595" s="33" t="n">
        <f aca="false">IF(OR(E595=0,E595&gt;=7),0,D595/(7-E595)*E595*INDEX(Products!$E$2:$E$49,MATCH(C595,Products!$A$2:$A$49,0)))</f>
        <v>0</v>
      </c>
    </row>
    <row r="596" customFormat="false" ht="15" hidden="false" customHeight="false" outlineLevel="0" collapsed="false">
      <c r="A596" s="36" t="n">
        <v>46251</v>
      </c>
      <c r="B596" s="24" t="s">
        <v>61</v>
      </c>
      <c r="C596" s="24" t="s">
        <v>161</v>
      </c>
      <c r="D596" s="33" t="n">
        <v>25</v>
      </c>
      <c r="E596" s="24" t="n">
        <v>5</v>
      </c>
      <c r="F596" s="37" t="n">
        <f aca="false">DATE(YEAR(A596),MONTH(A596),1)</f>
        <v>46235</v>
      </c>
      <c r="G596" s="24" t="str">
        <f aca="false">INDEX(Products!$C$2:$C$49,MATCH(C596,Products!$A$2:$A$49,0))</f>
        <v>Beverages</v>
      </c>
      <c r="H596" s="33" t="n">
        <f aca="false">D596*INDEX(Products!$E$2:$E$49,MATCH(C596,Products!$A$2:$A$49,0))</f>
        <v>9500</v>
      </c>
      <c r="I596" s="33" t="n">
        <f aca="false">D596*INDEX(Products!$D$2:$D$49,MATCH(C596,Products!$A$2:$A$49,0))*(1+INDEX(Assumptions!$B$16:$B$20,MATCH(B596,Assumptions!$A$16:$A$20,0)))</f>
        <v>7650.75</v>
      </c>
      <c r="J596" s="33" t="n">
        <f aca="false">H596-I596</f>
        <v>1849.25</v>
      </c>
      <c r="K596" s="33" t="n">
        <f aca="false">IF(OR(E596=0,E596&gt;=7),0,D596/(7-E596)*E596*INDEX(Products!$E$2:$E$49,MATCH(C596,Products!$A$2:$A$49,0)))</f>
        <v>23750</v>
      </c>
    </row>
    <row r="597" customFormat="false" ht="15" hidden="false" customHeight="false" outlineLevel="0" collapsed="false">
      <c r="A597" s="36" t="n">
        <v>46258</v>
      </c>
      <c r="B597" s="24" t="s">
        <v>61</v>
      </c>
      <c r="C597" s="24" t="s">
        <v>161</v>
      </c>
      <c r="D597" s="33" t="n">
        <v>78</v>
      </c>
      <c r="E597" s="24" t="n">
        <v>0</v>
      </c>
      <c r="F597" s="37" t="n">
        <f aca="false">DATE(YEAR(A597),MONTH(A597),1)</f>
        <v>46235</v>
      </c>
      <c r="G597" s="24" t="str">
        <f aca="false">INDEX(Products!$C$2:$C$49,MATCH(C597,Products!$A$2:$A$49,0))</f>
        <v>Beverages</v>
      </c>
      <c r="H597" s="33" t="n">
        <f aca="false">D597*INDEX(Products!$E$2:$E$49,MATCH(C597,Products!$A$2:$A$49,0))</f>
        <v>29640</v>
      </c>
      <c r="I597" s="33" t="n">
        <f aca="false">D597*INDEX(Products!$D$2:$D$49,MATCH(C597,Products!$A$2:$A$49,0))*(1+INDEX(Assumptions!$B$16:$B$20,MATCH(B597,Assumptions!$A$16:$A$20,0)))</f>
        <v>23870.34</v>
      </c>
      <c r="J597" s="33" t="n">
        <f aca="false">H597-I597</f>
        <v>5769.66</v>
      </c>
      <c r="K597" s="33" t="n">
        <f aca="false">IF(OR(E597=0,E597&gt;=7),0,D597/(7-E597)*E597*INDEX(Products!$E$2:$E$49,MATCH(C597,Products!$A$2:$A$49,0)))</f>
        <v>0</v>
      </c>
    </row>
    <row r="598" customFormat="false" ht="15" hidden="false" customHeight="false" outlineLevel="0" collapsed="false">
      <c r="A598" s="36" t="n">
        <v>46265</v>
      </c>
      <c r="B598" s="24" t="s">
        <v>61</v>
      </c>
      <c r="C598" s="24" t="s">
        <v>161</v>
      </c>
      <c r="D598" s="33" t="n">
        <v>106</v>
      </c>
      <c r="E598" s="24" t="n">
        <v>0</v>
      </c>
      <c r="F598" s="37" t="n">
        <f aca="false">DATE(YEAR(A598),MONTH(A598),1)</f>
        <v>46235</v>
      </c>
      <c r="G598" s="24" t="str">
        <f aca="false">INDEX(Products!$C$2:$C$49,MATCH(C598,Products!$A$2:$A$49,0))</f>
        <v>Beverages</v>
      </c>
      <c r="H598" s="33" t="n">
        <f aca="false">D598*INDEX(Products!$E$2:$E$49,MATCH(C598,Products!$A$2:$A$49,0))</f>
        <v>40280</v>
      </c>
      <c r="I598" s="33" t="n">
        <f aca="false">D598*INDEX(Products!$D$2:$D$49,MATCH(C598,Products!$A$2:$A$49,0))*(1+INDEX(Assumptions!$B$16:$B$20,MATCH(B598,Assumptions!$A$16:$A$20,0)))</f>
        <v>32439.18</v>
      </c>
      <c r="J598" s="33" t="n">
        <f aca="false">H598-I598</f>
        <v>7840.82</v>
      </c>
      <c r="K598" s="33" t="n">
        <f aca="false">IF(OR(E598=0,E598&gt;=7),0,D598/(7-E598)*E598*INDEX(Products!$E$2:$E$49,MATCH(C598,Products!$A$2:$A$49,0)))</f>
        <v>0</v>
      </c>
    </row>
    <row r="599" customFormat="false" ht="15" hidden="false" customHeight="false" outlineLevel="0" collapsed="false">
      <c r="A599" s="36" t="n">
        <v>46272</v>
      </c>
      <c r="B599" s="24" t="s">
        <v>61</v>
      </c>
      <c r="C599" s="24" t="s">
        <v>161</v>
      </c>
      <c r="D599" s="33" t="n">
        <v>96</v>
      </c>
      <c r="E599" s="24" t="n">
        <v>0</v>
      </c>
      <c r="F599" s="37" t="n">
        <f aca="false">DATE(YEAR(A599),MONTH(A599),1)</f>
        <v>46266</v>
      </c>
      <c r="G599" s="24" t="str">
        <f aca="false">INDEX(Products!$C$2:$C$49,MATCH(C599,Products!$A$2:$A$49,0))</f>
        <v>Beverages</v>
      </c>
      <c r="H599" s="33" t="n">
        <f aca="false">D599*INDEX(Products!$E$2:$E$49,MATCH(C599,Products!$A$2:$A$49,0))</f>
        <v>36480</v>
      </c>
      <c r="I599" s="33" t="n">
        <f aca="false">D599*INDEX(Products!$D$2:$D$49,MATCH(C599,Products!$A$2:$A$49,0))*(1+INDEX(Assumptions!$B$16:$B$20,MATCH(B599,Assumptions!$A$16:$A$20,0)))</f>
        <v>29378.88</v>
      </c>
      <c r="J599" s="33" t="n">
        <f aca="false">H599-I599</f>
        <v>7101.12</v>
      </c>
      <c r="K599" s="33" t="n">
        <f aca="false">IF(OR(E599=0,E599&gt;=7),0,D599/(7-E599)*E599*INDEX(Products!$E$2:$E$49,MATCH(C599,Products!$A$2:$A$49,0)))</f>
        <v>0</v>
      </c>
    </row>
    <row r="600" customFormat="false" ht="15" hidden="false" customHeight="false" outlineLevel="0" collapsed="false">
      <c r="A600" s="36" t="n">
        <v>46279</v>
      </c>
      <c r="B600" s="24" t="s">
        <v>61</v>
      </c>
      <c r="C600" s="24" t="s">
        <v>161</v>
      </c>
      <c r="D600" s="33" t="n">
        <v>90</v>
      </c>
      <c r="E600" s="24" t="n">
        <v>0</v>
      </c>
      <c r="F600" s="37" t="n">
        <f aca="false">DATE(YEAR(A600),MONTH(A600),1)</f>
        <v>46266</v>
      </c>
      <c r="G600" s="24" t="str">
        <f aca="false">INDEX(Products!$C$2:$C$49,MATCH(C600,Products!$A$2:$A$49,0))</f>
        <v>Beverages</v>
      </c>
      <c r="H600" s="33" t="n">
        <f aca="false">D600*INDEX(Products!$E$2:$E$49,MATCH(C600,Products!$A$2:$A$49,0))</f>
        <v>34200</v>
      </c>
      <c r="I600" s="33" t="n">
        <f aca="false">D600*INDEX(Products!$D$2:$D$49,MATCH(C600,Products!$A$2:$A$49,0))*(1+INDEX(Assumptions!$B$16:$B$20,MATCH(B600,Assumptions!$A$16:$A$20,0)))</f>
        <v>27542.7</v>
      </c>
      <c r="J600" s="33" t="n">
        <f aca="false">H600-I600</f>
        <v>6657.3</v>
      </c>
      <c r="K600" s="33" t="n">
        <f aca="false">IF(OR(E600=0,E600&gt;=7),0,D600/(7-E600)*E600*INDEX(Products!$E$2:$E$49,MATCH(C600,Products!$A$2:$A$49,0)))</f>
        <v>0</v>
      </c>
    </row>
    <row r="601" customFormat="false" ht="15" hidden="false" customHeight="false" outlineLevel="0" collapsed="false">
      <c r="A601" s="36" t="n">
        <v>46286</v>
      </c>
      <c r="B601" s="24" t="s">
        <v>61</v>
      </c>
      <c r="C601" s="24" t="s">
        <v>161</v>
      </c>
      <c r="D601" s="33" t="n">
        <v>105</v>
      </c>
      <c r="E601" s="24" t="n">
        <v>0</v>
      </c>
      <c r="F601" s="37" t="n">
        <f aca="false">DATE(YEAR(A601),MONTH(A601),1)</f>
        <v>46266</v>
      </c>
      <c r="G601" s="24" t="str">
        <f aca="false">INDEX(Products!$C$2:$C$49,MATCH(C601,Products!$A$2:$A$49,0))</f>
        <v>Beverages</v>
      </c>
      <c r="H601" s="33" t="n">
        <f aca="false">D601*INDEX(Products!$E$2:$E$49,MATCH(C601,Products!$A$2:$A$49,0))</f>
        <v>39900</v>
      </c>
      <c r="I601" s="33" t="n">
        <f aca="false">D601*INDEX(Products!$D$2:$D$49,MATCH(C601,Products!$A$2:$A$49,0))*(1+INDEX(Assumptions!$B$16:$B$20,MATCH(B601,Assumptions!$A$16:$A$20,0)))</f>
        <v>32133.15</v>
      </c>
      <c r="J601" s="33" t="n">
        <f aca="false">H601-I601</f>
        <v>7766.85</v>
      </c>
      <c r="K601" s="33" t="n">
        <f aca="false">IF(OR(E601=0,E601&gt;=7),0,D601/(7-E601)*E601*INDEX(Products!$E$2:$E$49,MATCH(C601,Products!$A$2:$A$49,0)))</f>
        <v>0</v>
      </c>
    </row>
    <row r="602" customFormat="false" ht="15" hidden="false" customHeight="false" outlineLevel="0" collapsed="false">
      <c r="A602" s="36" t="n">
        <v>46118</v>
      </c>
      <c r="B602" s="24" t="s">
        <v>61</v>
      </c>
      <c r="C602" s="24" t="s">
        <v>163</v>
      </c>
      <c r="D602" s="33" t="n">
        <v>42</v>
      </c>
      <c r="E602" s="24" t="n">
        <v>0</v>
      </c>
      <c r="F602" s="37" t="n">
        <f aca="false">DATE(YEAR(A602),MONTH(A602),1)</f>
        <v>46113</v>
      </c>
      <c r="G602" s="24" t="str">
        <f aca="false">INDEX(Products!$C$2:$C$49,MATCH(C602,Products!$A$2:$A$49,0))</f>
        <v>Household</v>
      </c>
      <c r="H602" s="33" t="n">
        <f aca="false">D602*INDEX(Products!$E$2:$E$49,MATCH(C602,Products!$A$2:$A$49,0))</f>
        <v>13860</v>
      </c>
      <c r="I602" s="33" t="n">
        <f aca="false">D602*INDEX(Products!$D$2:$D$49,MATCH(C602,Products!$A$2:$A$49,0))*(1+INDEX(Assumptions!$B$16:$B$20,MATCH(B602,Assumptions!$A$16:$A$20,0)))</f>
        <v>9714.18</v>
      </c>
      <c r="J602" s="33" t="n">
        <f aca="false">H602-I602</f>
        <v>4145.82</v>
      </c>
      <c r="K602" s="33" t="n">
        <f aca="false">IF(OR(E602=0,E602&gt;=7),0,D602/(7-E602)*E602*INDEX(Products!$E$2:$E$49,MATCH(C602,Products!$A$2:$A$49,0)))</f>
        <v>0</v>
      </c>
    </row>
    <row r="603" customFormat="false" ht="15" hidden="false" customHeight="false" outlineLevel="0" collapsed="false">
      <c r="A603" s="36" t="n">
        <v>46125</v>
      </c>
      <c r="B603" s="24" t="s">
        <v>61</v>
      </c>
      <c r="C603" s="24" t="s">
        <v>163</v>
      </c>
      <c r="D603" s="33" t="n">
        <v>61</v>
      </c>
      <c r="E603" s="24" t="n">
        <v>0</v>
      </c>
      <c r="F603" s="37" t="n">
        <f aca="false">DATE(YEAR(A603),MONTH(A603),1)</f>
        <v>46113</v>
      </c>
      <c r="G603" s="24" t="str">
        <f aca="false">INDEX(Products!$C$2:$C$49,MATCH(C603,Products!$A$2:$A$49,0))</f>
        <v>Household</v>
      </c>
      <c r="H603" s="33" t="n">
        <f aca="false">D603*INDEX(Products!$E$2:$E$49,MATCH(C603,Products!$A$2:$A$49,0))</f>
        <v>20130</v>
      </c>
      <c r="I603" s="33" t="n">
        <f aca="false">D603*INDEX(Products!$D$2:$D$49,MATCH(C603,Products!$A$2:$A$49,0))*(1+INDEX(Assumptions!$B$16:$B$20,MATCH(B603,Assumptions!$A$16:$A$20,0)))</f>
        <v>14108.69</v>
      </c>
      <c r="J603" s="33" t="n">
        <f aca="false">H603-I603</f>
        <v>6021.31</v>
      </c>
      <c r="K603" s="33" t="n">
        <f aca="false">IF(OR(E603=0,E603&gt;=7),0,D603/(7-E603)*E603*INDEX(Products!$E$2:$E$49,MATCH(C603,Products!$A$2:$A$49,0)))</f>
        <v>0</v>
      </c>
    </row>
    <row r="604" customFormat="false" ht="15" hidden="false" customHeight="false" outlineLevel="0" collapsed="false">
      <c r="A604" s="36" t="n">
        <v>46132</v>
      </c>
      <c r="B604" s="24" t="s">
        <v>61</v>
      </c>
      <c r="C604" s="24" t="s">
        <v>163</v>
      </c>
      <c r="D604" s="33" t="n">
        <v>67</v>
      </c>
      <c r="E604" s="24" t="n">
        <v>0</v>
      </c>
      <c r="F604" s="37" t="n">
        <f aca="false">DATE(YEAR(A604),MONTH(A604),1)</f>
        <v>46113</v>
      </c>
      <c r="G604" s="24" t="str">
        <f aca="false">INDEX(Products!$C$2:$C$49,MATCH(C604,Products!$A$2:$A$49,0))</f>
        <v>Household</v>
      </c>
      <c r="H604" s="33" t="n">
        <f aca="false">D604*INDEX(Products!$E$2:$E$49,MATCH(C604,Products!$A$2:$A$49,0))</f>
        <v>22110</v>
      </c>
      <c r="I604" s="33" t="n">
        <f aca="false">D604*INDEX(Products!$D$2:$D$49,MATCH(C604,Products!$A$2:$A$49,0))*(1+INDEX(Assumptions!$B$16:$B$20,MATCH(B604,Assumptions!$A$16:$A$20,0)))</f>
        <v>15496.43</v>
      </c>
      <c r="J604" s="33" t="n">
        <f aca="false">H604-I604</f>
        <v>6613.57</v>
      </c>
      <c r="K604" s="33" t="n">
        <f aca="false">IF(OR(E604=0,E604&gt;=7),0,D604/(7-E604)*E604*INDEX(Products!$E$2:$E$49,MATCH(C604,Products!$A$2:$A$49,0)))</f>
        <v>0</v>
      </c>
    </row>
    <row r="605" customFormat="false" ht="15" hidden="false" customHeight="false" outlineLevel="0" collapsed="false">
      <c r="A605" s="36" t="n">
        <v>46139</v>
      </c>
      <c r="B605" s="24" t="s">
        <v>61</v>
      </c>
      <c r="C605" s="24" t="s">
        <v>163</v>
      </c>
      <c r="D605" s="33" t="n">
        <v>69</v>
      </c>
      <c r="E605" s="24" t="n">
        <v>0</v>
      </c>
      <c r="F605" s="37" t="n">
        <f aca="false">DATE(YEAR(A605),MONTH(A605),1)</f>
        <v>46113</v>
      </c>
      <c r="G605" s="24" t="str">
        <f aca="false">INDEX(Products!$C$2:$C$49,MATCH(C605,Products!$A$2:$A$49,0))</f>
        <v>Household</v>
      </c>
      <c r="H605" s="33" t="n">
        <f aca="false">D605*INDEX(Products!$E$2:$E$49,MATCH(C605,Products!$A$2:$A$49,0))</f>
        <v>22770</v>
      </c>
      <c r="I605" s="33" t="n">
        <f aca="false">D605*INDEX(Products!$D$2:$D$49,MATCH(C605,Products!$A$2:$A$49,0))*(1+INDEX(Assumptions!$B$16:$B$20,MATCH(B605,Assumptions!$A$16:$A$20,0)))</f>
        <v>15959.01</v>
      </c>
      <c r="J605" s="33" t="n">
        <f aca="false">H605-I605</f>
        <v>6810.99</v>
      </c>
      <c r="K605" s="33" t="n">
        <f aca="false">IF(OR(E605=0,E605&gt;=7),0,D605/(7-E605)*E605*INDEX(Products!$E$2:$E$49,MATCH(C605,Products!$A$2:$A$49,0)))</f>
        <v>0</v>
      </c>
    </row>
    <row r="606" customFormat="false" ht="15" hidden="false" customHeight="false" outlineLevel="0" collapsed="false">
      <c r="A606" s="36" t="n">
        <v>46146</v>
      </c>
      <c r="B606" s="24" t="s">
        <v>61</v>
      </c>
      <c r="C606" s="24" t="s">
        <v>163</v>
      </c>
      <c r="D606" s="33" t="n">
        <v>73</v>
      </c>
      <c r="E606" s="24" t="n">
        <v>0</v>
      </c>
      <c r="F606" s="37" t="n">
        <f aca="false">DATE(YEAR(A606),MONTH(A606),1)</f>
        <v>46143</v>
      </c>
      <c r="G606" s="24" t="str">
        <f aca="false">INDEX(Products!$C$2:$C$49,MATCH(C606,Products!$A$2:$A$49,0))</f>
        <v>Household</v>
      </c>
      <c r="H606" s="33" t="n">
        <f aca="false">D606*INDEX(Products!$E$2:$E$49,MATCH(C606,Products!$A$2:$A$49,0))</f>
        <v>24090</v>
      </c>
      <c r="I606" s="33" t="n">
        <f aca="false">D606*INDEX(Products!$D$2:$D$49,MATCH(C606,Products!$A$2:$A$49,0))*(1+INDEX(Assumptions!$B$16:$B$20,MATCH(B606,Assumptions!$A$16:$A$20,0)))</f>
        <v>16884.17</v>
      </c>
      <c r="J606" s="33" t="n">
        <f aca="false">H606-I606</f>
        <v>7205.83</v>
      </c>
      <c r="K606" s="33" t="n">
        <f aca="false">IF(OR(E606=0,E606&gt;=7),0,D606/(7-E606)*E606*INDEX(Products!$E$2:$E$49,MATCH(C606,Products!$A$2:$A$49,0)))</f>
        <v>0</v>
      </c>
    </row>
    <row r="607" customFormat="false" ht="15" hidden="false" customHeight="false" outlineLevel="0" collapsed="false">
      <c r="A607" s="36" t="n">
        <v>46153</v>
      </c>
      <c r="B607" s="24" t="s">
        <v>61</v>
      </c>
      <c r="C607" s="24" t="s">
        <v>163</v>
      </c>
      <c r="D607" s="33" t="n">
        <v>54</v>
      </c>
      <c r="E607" s="24" t="n">
        <v>0</v>
      </c>
      <c r="F607" s="37" t="n">
        <f aca="false">DATE(YEAR(A607),MONTH(A607),1)</f>
        <v>46143</v>
      </c>
      <c r="G607" s="24" t="str">
        <f aca="false">INDEX(Products!$C$2:$C$49,MATCH(C607,Products!$A$2:$A$49,0))</f>
        <v>Household</v>
      </c>
      <c r="H607" s="33" t="n">
        <f aca="false">D607*INDEX(Products!$E$2:$E$49,MATCH(C607,Products!$A$2:$A$49,0))</f>
        <v>17820</v>
      </c>
      <c r="I607" s="33" t="n">
        <f aca="false">D607*INDEX(Products!$D$2:$D$49,MATCH(C607,Products!$A$2:$A$49,0))*(1+INDEX(Assumptions!$B$16:$B$20,MATCH(B607,Assumptions!$A$16:$A$20,0)))</f>
        <v>12489.66</v>
      </c>
      <c r="J607" s="33" t="n">
        <f aca="false">H607-I607</f>
        <v>5330.34</v>
      </c>
      <c r="K607" s="33" t="n">
        <f aca="false">IF(OR(E607=0,E607&gt;=7),0,D607/(7-E607)*E607*INDEX(Products!$E$2:$E$49,MATCH(C607,Products!$A$2:$A$49,0)))</f>
        <v>0</v>
      </c>
    </row>
    <row r="608" customFormat="false" ht="15" hidden="false" customHeight="false" outlineLevel="0" collapsed="false">
      <c r="A608" s="36" t="n">
        <v>46160</v>
      </c>
      <c r="B608" s="24" t="s">
        <v>61</v>
      </c>
      <c r="C608" s="24" t="s">
        <v>163</v>
      </c>
      <c r="D608" s="33" t="n">
        <v>46</v>
      </c>
      <c r="E608" s="24" t="n">
        <v>0</v>
      </c>
      <c r="F608" s="37" t="n">
        <f aca="false">DATE(YEAR(A608),MONTH(A608),1)</f>
        <v>46143</v>
      </c>
      <c r="G608" s="24" t="str">
        <f aca="false">INDEX(Products!$C$2:$C$49,MATCH(C608,Products!$A$2:$A$49,0))</f>
        <v>Household</v>
      </c>
      <c r="H608" s="33" t="n">
        <f aca="false">D608*INDEX(Products!$E$2:$E$49,MATCH(C608,Products!$A$2:$A$49,0))</f>
        <v>15180</v>
      </c>
      <c r="I608" s="33" t="n">
        <f aca="false">D608*INDEX(Products!$D$2:$D$49,MATCH(C608,Products!$A$2:$A$49,0))*(1+INDEX(Assumptions!$B$16:$B$20,MATCH(B608,Assumptions!$A$16:$A$20,0)))</f>
        <v>10639.34</v>
      </c>
      <c r="J608" s="33" t="n">
        <f aca="false">H608-I608</f>
        <v>4540.66</v>
      </c>
      <c r="K608" s="33" t="n">
        <f aca="false">IF(OR(E608=0,E608&gt;=7),0,D608/(7-E608)*E608*INDEX(Products!$E$2:$E$49,MATCH(C608,Products!$A$2:$A$49,0)))</f>
        <v>0</v>
      </c>
    </row>
    <row r="609" customFormat="false" ht="15" hidden="false" customHeight="false" outlineLevel="0" collapsed="false">
      <c r="A609" s="36" t="n">
        <v>46167</v>
      </c>
      <c r="B609" s="24" t="s">
        <v>61</v>
      </c>
      <c r="C609" s="24" t="s">
        <v>163</v>
      </c>
      <c r="D609" s="33" t="n">
        <v>128</v>
      </c>
      <c r="E609" s="24" t="n">
        <v>0</v>
      </c>
      <c r="F609" s="37" t="n">
        <f aca="false">DATE(YEAR(A609),MONTH(A609),1)</f>
        <v>46143</v>
      </c>
      <c r="G609" s="24" t="str">
        <f aca="false">INDEX(Products!$C$2:$C$49,MATCH(C609,Products!$A$2:$A$49,0))</f>
        <v>Household</v>
      </c>
      <c r="H609" s="33" t="n">
        <f aca="false">D609*INDEX(Products!$E$2:$E$49,MATCH(C609,Products!$A$2:$A$49,0))</f>
        <v>42240</v>
      </c>
      <c r="I609" s="33" t="n">
        <f aca="false">D609*INDEX(Products!$D$2:$D$49,MATCH(C609,Products!$A$2:$A$49,0))*(1+INDEX(Assumptions!$B$16:$B$20,MATCH(B609,Assumptions!$A$16:$A$20,0)))</f>
        <v>29605.12</v>
      </c>
      <c r="J609" s="33" t="n">
        <f aca="false">H609-I609</f>
        <v>12634.88</v>
      </c>
      <c r="K609" s="33" t="n">
        <f aca="false">IF(OR(E609=0,E609&gt;=7),0,D609/(7-E609)*E609*INDEX(Products!$E$2:$E$49,MATCH(C609,Products!$A$2:$A$49,0)))</f>
        <v>0</v>
      </c>
    </row>
    <row r="610" customFormat="false" ht="15" hidden="false" customHeight="false" outlineLevel="0" collapsed="false">
      <c r="A610" s="36" t="n">
        <v>46174</v>
      </c>
      <c r="B610" s="24" t="s">
        <v>61</v>
      </c>
      <c r="C610" s="24" t="s">
        <v>163</v>
      </c>
      <c r="D610" s="33" t="n">
        <v>47</v>
      </c>
      <c r="E610" s="24" t="n">
        <v>0</v>
      </c>
      <c r="F610" s="37" t="n">
        <f aca="false">DATE(YEAR(A610),MONTH(A610),1)</f>
        <v>46174</v>
      </c>
      <c r="G610" s="24" t="str">
        <f aca="false">INDEX(Products!$C$2:$C$49,MATCH(C610,Products!$A$2:$A$49,0))</f>
        <v>Household</v>
      </c>
      <c r="H610" s="33" t="n">
        <f aca="false">D610*INDEX(Products!$E$2:$E$49,MATCH(C610,Products!$A$2:$A$49,0))</f>
        <v>15510</v>
      </c>
      <c r="I610" s="33" t="n">
        <f aca="false">D610*INDEX(Products!$D$2:$D$49,MATCH(C610,Products!$A$2:$A$49,0))*(1+INDEX(Assumptions!$B$16:$B$20,MATCH(B610,Assumptions!$A$16:$A$20,0)))</f>
        <v>10870.63</v>
      </c>
      <c r="J610" s="33" t="n">
        <f aca="false">H610-I610</f>
        <v>4639.37</v>
      </c>
      <c r="K610" s="33" t="n">
        <f aca="false">IF(OR(E610=0,E610&gt;=7),0,D610/(7-E610)*E610*INDEX(Products!$E$2:$E$49,MATCH(C610,Products!$A$2:$A$49,0)))</f>
        <v>0</v>
      </c>
    </row>
    <row r="611" customFormat="false" ht="15" hidden="false" customHeight="false" outlineLevel="0" collapsed="false">
      <c r="A611" s="36" t="n">
        <v>46181</v>
      </c>
      <c r="B611" s="24" t="s">
        <v>61</v>
      </c>
      <c r="C611" s="24" t="s">
        <v>163</v>
      </c>
      <c r="D611" s="33" t="n">
        <v>71</v>
      </c>
      <c r="E611" s="24" t="n">
        <v>0</v>
      </c>
      <c r="F611" s="37" t="n">
        <f aca="false">DATE(YEAR(A611),MONTH(A611),1)</f>
        <v>46174</v>
      </c>
      <c r="G611" s="24" t="str">
        <f aca="false">INDEX(Products!$C$2:$C$49,MATCH(C611,Products!$A$2:$A$49,0))</f>
        <v>Household</v>
      </c>
      <c r="H611" s="33" t="n">
        <f aca="false">D611*INDEX(Products!$E$2:$E$49,MATCH(C611,Products!$A$2:$A$49,0))</f>
        <v>23430</v>
      </c>
      <c r="I611" s="33" t="n">
        <f aca="false">D611*INDEX(Products!$D$2:$D$49,MATCH(C611,Products!$A$2:$A$49,0))*(1+INDEX(Assumptions!$B$16:$B$20,MATCH(B611,Assumptions!$A$16:$A$20,0)))</f>
        <v>16421.59</v>
      </c>
      <c r="J611" s="33" t="n">
        <f aca="false">H611-I611</f>
        <v>7008.41</v>
      </c>
      <c r="K611" s="33" t="n">
        <f aca="false">IF(OR(E611=0,E611&gt;=7),0,D611/(7-E611)*E611*INDEX(Products!$E$2:$E$49,MATCH(C611,Products!$A$2:$A$49,0)))</f>
        <v>0</v>
      </c>
    </row>
    <row r="612" customFormat="false" ht="15" hidden="false" customHeight="false" outlineLevel="0" collapsed="false">
      <c r="A612" s="36" t="n">
        <v>46188</v>
      </c>
      <c r="B612" s="24" t="s">
        <v>61</v>
      </c>
      <c r="C612" s="24" t="s">
        <v>163</v>
      </c>
      <c r="D612" s="33" t="n">
        <v>54</v>
      </c>
      <c r="E612" s="24" t="n">
        <v>0</v>
      </c>
      <c r="F612" s="37" t="n">
        <f aca="false">DATE(YEAR(A612),MONTH(A612),1)</f>
        <v>46174</v>
      </c>
      <c r="G612" s="24" t="str">
        <f aca="false">INDEX(Products!$C$2:$C$49,MATCH(C612,Products!$A$2:$A$49,0))</f>
        <v>Household</v>
      </c>
      <c r="H612" s="33" t="n">
        <f aca="false">D612*INDEX(Products!$E$2:$E$49,MATCH(C612,Products!$A$2:$A$49,0))</f>
        <v>17820</v>
      </c>
      <c r="I612" s="33" t="n">
        <f aca="false">D612*INDEX(Products!$D$2:$D$49,MATCH(C612,Products!$A$2:$A$49,0))*(1+INDEX(Assumptions!$B$16:$B$20,MATCH(B612,Assumptions!$A$16:$A$20,0)))</f>
        <v>12489.66</v>
      </c>
      <c r="J612" s="33" t="n">
        <f aca="false">H612-I612</f>
        <v>5330.34</v>
      </c>
      <c r="K612" s="33" t="n">
        <f aca="false">IF(OR(E612=0,E612&gt;=7),0,D612/(7-E612)*E612*INDEX(Products!$E$2:$E$49,MATCH(C612,Products!$A$2:$A$49,0)))</f>
        <v>0</v>
      </c>
    </row>
    <row r="613" customFormat="false" ht="15" hidden="false" customHeight="false" outlineLevel="0" collapsed="false">
      <c r="A613" s="36" t="n">
        <v>46195</v>
      </c>
      <c r="B613" s="24" t="s">
        <v>61</v>
      </c>
      <c r="C613" s="24" t="s">
        <v>163</v>
      </c>
      <c r="D613" s="33" t="n">
        <v>87</v>
      </c>
      <c r="E613" s="24" t="n">
        <v>0</v>
      </c>
      <c r="F613" s="37" t="n">
        <f aca="false">DATE(YEAR(A613),MONTH(A613),1)</f>
        <v>46174</v>
      </c>
      <c r="G613" s="24" t="str">
        <f aca="false">INDEX(Products!$C$2:$C$49,MATCH(C613,Products!$A$2:$A$49,0))</f>
        <v>Household</v>
      </c>
      <c r="H613" s="33" t="n">
        <f aca="false">D613*INDEX(Products!$E$2:$E$49,MATCH(C613,Products!$A$2:$A$49,0))</f>
        <v>28710</v>
      </c>
      <c r="I613" s="33" t="n">
        <f aca="false">D613*INDEX(Products!$D$2:$D$49,MATCH(C613,Products!$A$2:$A$49,0))*(1+INDEX(Assumptions!$B$16:$B$20,MATCH(B613,Assumptions!$A$16:$A$20,0)))</f>
        <v>20122.23</v>
      </c>
      <c r="J613" s="33" t="n">
        <f aca="false">H613-I613</f>
        <v>8587.77</v>
      </c>
      <c r="K613" s="33" t="n">
        <f aca="false">IF(OR(E613=0,E613&gt;=7),0,D613/(7-E613)*E613*INDEX(Products!$E$2:$E$49,MATCH(C613,Products!$A$2:$A$49,0)))</f>
        <v>0</v>
      </c>
    </row>
    <row r="614" customFormat="false" ht="15" hidden="false" customHeight="false" outlineLevel="0" collapsed="false">
      <c r="A614" s="36" t="n">
        <v>46202</v>
      </c>
      <c r="B614" s="24" t="s">
        <v>61</v>
      </c>
      <c r="C614" s="24" t="s">
        <v>163</v>
      </c>
      <c r="D614" s="33" t="n">
        <v>16</v>
      </c>
      <c r="E614" s="24" t="n">
        <v>5</v>
      </c>
      <c r="F614" s="37" t="n">
        <f aca="false">DATE(YEAR(A614),MONTH(A614),1)</f>
        <v>46174</v>
      </c>
      <c r="G614" s="24" t="str">
        <f aca="false">INDEX(Products!$C$2:$C$49,MATCH(C614,Products!$A$2:$A$49,0))</f>
        <v>Household</v>
      </c>
      <c r="H614" s="33" t="n">
        <f aca="false">D614*INDEX(Products!$E$2:$E$49,MATCH(C614,Products!$A$2:$A$49,0))</f>
        <v>5280</v>
      </c>
      <c r="I614" s="33" t="n">
        <f aca="false">D614*INDEX(Products!$D$2:$D$49,MATCH(C614,Products!$A$2:$A$49,0))*(1+INDEX(Assumptions!$B$16:$B$20,MATCH(B614,Assumptions!$A$16:$A$20,0)))</f>
        <v>3700.64</v>
      </c>
      <c r="J614" s="33" t="n">
        <f aca="false">H614-I614</f>
        <v>1579.36</v>
      </c>
      <c r="K614" s="33" t="n">
        <f aca="false">IF(OR(E614=0,E614&gt;=7),0,D614/(7-E614)*E614*INDEX(Products!$E$2:$E$49,MATCH(C614,Products!$A$2:$A$49,0)))</f>
        <v>13200</v>
      </c>
    </row>
    <row r="615" customFormat="false" ht="15" hidden="false" customHeight="false" outlineLevel="0" collapsed="false">
      <c r="A615" s="36" t="n">
        <v>46209</v>
      </c>
      <c r="B615" s="24" t="s">
        <v>61</v>
      </c>
      <c r="C615" s="24" t="s">
        <v>163</v>
      </c>
      <c r="D615" s="33" t="n">
        <v>59</v>
      </c>
      <c r="E615" s="24" t="n">
        <v>0</v>
      </c>
      <c r="F615" s="37" t="n">
        <f aca="false">DATE(YEAR(A615),MONTH(A615),1)</f>
        <v>46204</v>
      </c>
      <c r="G615" s="24" t="str">
        <f aca="false">INDEX(Products!$C$2:$C$49,MATCH(C615,Products!$A$2:$A$49,0))</f>
        <v>Household</v>
      </c>
      <c r="H615" s="33" t="n">
        <f aca="false">D615*INDEX(Products!$E$2:$E$49,MATCH(C615,Products!$A$2:$A$49,0))</f>
        <v>19470</v>
      </c>
      <c r="I615" s="33" t="n">
        <f aca="false">D615*INDEX(Products!$D$2:$D$49,MATCH(C615,Products!$A$2:$A$49,0))*(1+INDEX(Assumptions!$B$16:$B$20,MATCH(B615,Assumptions!$A$16:$A$20,0)))</f>
        <v>13646.11</v>
      </c>
      <c r="J615" s="33" t="n">
        <f aca="false">H615-I615</f>
        <v>5823.89</v>
      </c>
      <c r="K615" s="33" t="n">
        <f aca="false">IF(OR(E615=0,E615&gt;=7),0,D615/(7-E615)*E615*INDEX(Products!$E$2:$E$49,MATCH(C615,Products!$A$2:$A$49,0)))</f>
        <v>0</v>
      </c>
    </row>
    <row r="616" customFormat="false" ht="15" hidden="false" customHeight="false" outlineLevel="0" collapsed="false">
      <c r="A616" s="36" t="n">
        <v>46216</v>
      </c>
      <c r="B616" s="24" t="s">
        <v>61</v>
      </c>
      <c r="C616" s="24" t="s">
        <v>163</v>
      </c>
      <c r="D616" s="33" t="n">
        <v>65</v>
      </c>
      <c r="E616" s="24" t="n">
        <v>0</v>
      </c>
      <c r="F616" s="37" t="n">
        <f aca="false">DATE(YEAR(A616),MONTH(A616),1)</f>
        <v>46204</v>
      </c>
      <c r="G616" s="24" t="str">
        <f aca="false">INDEX(Products!$C$2:$C$49,MATCH(C616,Products!$A$2:$A$49,0))</f>
        <v>Household</v>
      </c>
      <c r="H616" s="33" t="n">
        <f aca="false">D616*INDEX(Products!$E$2:$E$49,MATCH(C616,Products!$A$2:$A$49,0))</f>
        <v>21450</v>
      </c>
      <c r="I616" s="33" t="n">
        <f aca="false">D616*INDEX(Products!$D$2:$D$49,MATCH(C616,Products!$A$2:$A$49,0))*(1+INDEX(Assumptions!$B$16:$B$20,MATCH(B616,Assumptions!$A$16:$A$20,0)))</f>
        <v>15033.85</v>
      </c>
      <c r="J616" s="33" t="n">
        <f aca="false">H616-I616</f>
        <v>6416.15</v>
      </c>
      <c r="K616" s="33" t="n">
        <f aca="false">IF(OR(E616=0,E616&gt;=7),0,D616/(7-E616)*E616*INDEX(Products!$E$2:$E$49,MATCH(C616,Products!$A$2:$A$49,0)))</f>
        <v>0</v>
      </c>
    </row>
    <row r="617" customFormat="false" ht="15" hidden="false" customHeight="false" outlineLevel="0" collapsed="false">
      <c r="A617" s="36" t="n">
        <v>46223</v>
      </c>
      <c r="B617" s="24" t="s">
        <v>61</v>
      </c>
      <c r="C617" s="24" t="s">
        <v>163</v>
      </c>
      <c r="D617" s="33" t="n">
        <v>60</v>
      </c>
      <c r="E617" s="24" t="n">
        <v>0</v>
      </c>
      <c r="F617" s="37" t="n">
        <f aca="false">DATE(YEAR(A617),MONTH(A617),1)</f>
        <v>46204</v>
      </c>
      <c r="G617" s="24" t="str">
        <f aca="false">INDEX(Products!$C$2:$C$49,MATCH(C617,Products!$A$2:$A$49,0))</f>
        <v>Household</v>
      </c>
      <c r="H617" s="33" t="n">
        <f aca="false">D617*INDEX(Products!$E$2:$E$49,MATCH(C617,Products!$A$2:$A$49,0))</f>
        <v>19800</v>
      </c>
      <c r="I617" s="33" t="n">
        <f aca="false">D617*INDEX(Products!$D$2:$D$49,MATCH(C617,Products!$A$2:$A$49,0))*(1+INDEX(Assumptions!$B$16:$B$20,MATCH(B617,Assumptions!$A$16:$A$20,0)))</f>
        <v>13877.4</v>
      </c>
      <c r="J617" s="33" t="n">
        <f aca="false">H617-I617</f>
        <v>5922.6</v>
      </c>
      <c r="K617" s="33" t="n">
        <f aca="false">IF(OR(E617=0,E617&gt;=7),0,D617/(7-E617)*E617*INDEX(Products!$E$2:$E$49,MATCH(C617,Products!$A$2:$A$49,0)))</f>
        <v>0</v>
      </c>
    </row>
    <row r="618" customFormat="false" ht="15" hidden="false" customHeight="false" outlineLevel="0" collapsed="false">
      <c r="A618" s="36" t="n">
        <v>46230</v>
      </c>
      <c r="B618" s="24" t="s">
        <v>61</v>
      </c>
      <c r="C618" s="24" t="s">
        <v>163</v>
      </c>
      <c r="D618" s="33" t="n">
        <v>69</v>
      </c>
      <c r="E618" s="24" t="n">
        <v>0</v>
      </c>
      <c r="F618" s="37" t="n">
        <f aca="false">DATE(YEAR(A618),MONTH(A618),1)</f>
        <v>46204</v>
      </c>
      <c r="G618" s="24" t="str">
        <f aca="false">INDEX(Products!$C$2:$C$49,MATCH(C618,Products!$A$2:$A$49,0))</f>
        <v>Household</v>
      </c>
      <c r="H618" s="33" t="n">
        <f aca="false">D618*INDEX(Products!$E$2:$E$49,MATCH(C618,Products!$A$2:$A$49,0))</f>
        <v>22770</v>
      </c>
      <c r="I618" s="33" t="n">
        <f aca="false">D618*INDEX(Products!$D$2:$D$49,MATCH(C618,Products!$A$2:$A$49,0))*(1+INDEX(Assumptions!$B$16:$B$20,MATCH(B618,Assumptions!$A$16:$A$20,0)))</f>
        <v>15959.01</v>
      </c>
      <c r="J618" s="33" t="n">
        <f aca="false">H618-I618</f>
        <v>6810.99</v>
      </c>
      <c r="K618" s="33" t="n">
        <f aca="false">IF(OR(E618=0,E618&gt;=7),0,D618/(7-E618)*E618*INDEX(Products!$E$2:$E$49,MATCH(C618,Products!$A$2:$A$49,0)))</f>
        <v>0</v>
      </c>
    </row>
    <row r="619" customFormat="false" ht="15" hidden="false" customHeight="false" outlineLevel="0" collapsed="false">
      <c r="A619" s="36" t="n">
        <v>46237</v>
      </c>
      <c r="B619" s="24" t="s">
        <v>61</v>
      </c>
      <c r="C619" s="24" t="s">
        <v>163</v>
      </c>
      <c r="D619" s="33" t="n">
        <v>59</v>
      </c>
      <c r="E619" s="24" t="n">
        <v>0</v>
      </c>
      <c r="F619" s="37" t="n">
        <f aca="false">DATE(YEAR(A619),MONTH(A619),1)</f>
        <v>46235</v>
      </c>
      <c r="G619" s="24" t="str">
        <f aca="false">INDEX(Products!$C$2:$C$49,MATCH(C619,Products!$A$2:$A$49,0))</f>
        <v>Household</v>
      </c>
      <c r="H619" s="33" t="n">
        <f aca="false">D619*INDEX(Products!$E$2:$E$49,MATCH(C619,Products!$A$2:$A$49,0))</f>
        <v>19470</v>
      </c>
      <c r="I619" s="33" t="n">
        <f aca="false">D619*INDEX(Products!$D$2:$D$49,MATCH(C619,Products!$A$2:$A$49,0))*(1+INDEX(Assumptions!$B$16:$B$20,MATCH(B619,Assumptions!$A$16:$A$20,0)))</f>
        <v>13646.11</v>
      </c>
      <c r="J619" s="33" t="n">
        <f aca="false">H619-I619</f>
        <v>5823.89</v>
      </c>
      <c r="K619" s="33" t="n">
        <f aca="false">IF(OR(E619=0,E619&gt;=7),0,D619/(7-E619)*E619*INDEX(Products!$E$2:$E$49,MATCH(C619,Products!$A$2:$A$49,0)))</f>
        <v>0</v>
      </c>
    </row>
    <row r="620" customFormat="false" ht="15" hidden="false" customHeight="false" outlineLevel="0" collapsed="false">
      <c r="A620" s="36" t="n">
        <v>46244</v>
      </c>
      <c r="B620" s="24" t="s">
        <v>61</v>
      </c>
      <c r="C620" s="24" t="s">
        <v>163</v>
      </c>
      <c r="D620" s="33" t="n">
        <v>63</v>
      </c>
      <c r="E620" s="24" t="n">
        <v>0</v>
      </c>
      <c r="F620" s="37" t="n">
        <f aca="false">DATE(YEAR(A620),MONTH(A620),1)</f>
        <v>46235</v>
      </c>
      <c r="G620" s="24" t="str">
        <f aca="false">INDEX(Products!$C$2:$C$49,MATCH(C620,Products!$A$2:$A$49,0))</f>
        <v>Household</v>
      </c>
      <c r="H620" s="33" t="n">
        <f aca="false">D620*INDEX(Products!$E$2:$E$49,MATCH(C620,Products!$A$2:$A$49,0))</f>
        <v>20790</v>
      </c>
      <c r="I620" s="33" t="n">
        <f aca="false">D620*INDEX(Products!$D$2:$D$49,MATCH(C620,Products!$A$2:$A$49,0))*(1+INDEX(Assumptions!$B$16:$B$20,MATCH(B620,Assumptions!$A$16:$A$20,0)))</f>
        <v>14571.27</v>
      </c>
      <c r="J620" s="33" t="n">
        <f aca="false">H620-I620</f>
        <v>6218.73</v>
      </c>
      <c r="K620" s="33" t="n">
        <f aca="false">IF(OR(E620=0,E620&gt;=7),0,D620/(7-E620)*E620*INDEX(Products!$E$2:$E$49,MATCH(C620,Products!$A$2:$A$49,0)))</f>
        <v>0</v>
      </c>
    </row>
    <row r="621" customFormat="false" ht="15" hidden="false" customHeight="false" outlineLevel="0" collapsed="false">
      <c r="A621" s="36" t="n">
        <v>46251</v>
      </c>
      <c r="B621" s="24" t="s">
        <v>61</v>
      </c>
      <c r="C621" s="24" t="s">
        <v>163</v>
      </c>
      <c r="D621" s="33" t="n">
        <v>60</v>
      </c>
      <c r="E621" s="24" t="n">
        <v>0</v>
      </c>
      <c r="F621" s="37" t="n">
        <f aca="false">DATE(YEAR(A621),MONTH(A621),1)</f>
        <v>46235</v>
      </c>
      <c r="G621" s="24" t="str">
        <f aca="false">INDEX(Products!$C$2:$C$49,MATCH(C621,Products!$A$2:$A$49,0))</f>
        <v>Household</v>
      </c>
      <c r="H621" s="33" t="n">
        <f aca="false">D621*INDEX(Products!$E$2:$E$49,MATCH(C621,Products!$A$2:$A$49,0))</f>
        <v>19800</v>
      </c>
      <c r="I621" s="33" t="n">
        <f aca="false">D621*INDEX(Products!$D$2:$D$49,MATCH(C621,Products!$A$2:$A$49,0))*(1+INDEX(Assumptions!$B$16:$B$20,MATCH(B621,Assumptions!$A$16:$A$20,0)))</f>
        <v>13877.4</v>
      </c>
      <c r="J621" s="33" t="n">
        <f aca="false">H621-I621</f>
        <v>5922.6</v>
      </c>
      <c r="K621" s="33" t="n">
        <f aca="false">IF(OR(E621=0,E621&gt;=7),0,D621/(7-E621)*E621*INDEX(Products!$E$2:$E$49,MATCH(C621,Products!$A$2:$A$49,0)))</f>
        <v>0</v>
      </c>
    </row>
    <row r="622" customFormat="false" ht="15" hidden="false" customHeight="false" outlineLevel="0" collapsed="false">
      <c r="A622" s="36" t="n">
        <v>46258</v>
      </c>
      <c r="B622" s="24" t="s">
        <v>61</v>
      </c>
      <c r="C622" s="24" t="s">
        <v>163</v>
      </c>
      <c r="D622" s="33" t="n">
        <v>65</v>
      </c>
      <c r="E622" s="24" t="n">
        <v>0</v>
      </c>
      <c r="F622" s="37" t="n">
        <f aca="false">DATE(YEAR(A622),MONTH(A622),1)</f>
        <v>46235</v>
      </c>
      <c r="G622" s="24" t="str">
        <f aca="false">INDEX(Products!$C$2:$C$49,MATCH(C622,Products!$A$2:$A$49,0))</f>
        <v>Household</v>
      </c>
      <c r="H622" s="33" t="n">
        <f aca="false">D622*INDEX(Products!$E$2:$E$49,MATCH(C622,Products!$A$2:$A$49,0))</f>
        <v>21450</v>
      </c>
      <c r="I622" s="33" t="n">
        <f aca="false">D622*INDEX(Products!$D$2:$D$49,MATCH(C622,Products!$A$2:$A$49,0))*(1+INDEX(Assumptions!$B$16:$B$20,MATCH(B622,Assumptions!$A$16:$A$20,0)))</f>
        <v>15033.85</v>
      </c>
      <c r="J622" s="33" t="n">
        <f aca="false">H622-I622</f>
        <v>6416.15</v>
      </c>
      <c r="K622" s="33" t="n">
        <f aca="false">IF(OR(E622=0,E622&gt;=7),0,D622/(7-E622)*E622*INDEX(Products!$E$2:$E$49,MATCH(C622,Products!$A$2:$A$49,0)))</f>
        <v>0</v>
      </c>
    </row>
    <row r="623" customFormat="false" ht="15" hidden="false" customHeight="false" outlineLevel="0" collapsed="false">
      <c r="A623" s="36" t="n">
        <v>46265</v>
      </c>
      <c r="B623" s="24" t="s">
        <v>61</v>
      </c>
      <c r="C623" s="24" t="s">
        <v>163</v>
      </c>
      <c r="D623" s="33" t="n">
        <v>56</v>
      </c>
      <c r="E623" s="24" t="n">
        <v>0</v>
      </c>
      <c r="F623" s="37" t="n">
        <f aca="false">DATE(YEAR(A623),MONTH(A623),1)</f>
        <v>46235</v>
      </c>
      <c r="G623" s="24" t="str">
        <f aca="false">INDEX(Products!$C$2:$C$49,MATCH(C623,Products!$A$2:$A$49,0))</f>
        <v>Household</v>
      </c>
      <c r="H623" s="33" t="n">
        <f aca="false">D623*INDEX(Products!$E$2:$E$49,MATCH(C623,Products!$A$2:$A$49,0))</f>
        <v>18480</v>
      </c>
      <c r="I623" s="33" t="n">
        <f aca="false">D623*INDEX(Products!$D$2:$D$49,MATCH(C623,Products!$A$2:$A$49,0))*(1+INDEX(Assumptions!$B$16:$B$20,MATCH(B623,Assumptions!$A$16:$A$20,0)))</f>
        <v>12952.24</v>
      </c>
      <c r="J623" s="33" t="n">
        <f aca="false">H623-I623</f>
        <v>5527.76</v>
      </c>
      <c r="K623" s="33" t="n">
        <f aca="false">IF(OR(E623=0,E623&gt;=7),0,D623/(7-E623)*E623*INDEX(Products!$E$2:$E$49,MATCH(C623,Products!$A$2:$A$49,0)))</f>
        <v>0</v>
      </c>
    </row>
    <row r="624" customFormat="false" ht="15" hidden="false" customHeight="false" outlineLevel="0" collapsed="false">
      <c r="A624" s="36" t="n">
        <v>46272</v>
      </c>
      <c r="B624" s="24" t="s">
        <v>61</v>
      </c>
      <c r="C624" s="24" t="s">
        <v>163</v>
      </c>
      <c r="D624" s="33" t="n">
        <v>54</v>
      </c>
      <c r="E624" s="24" t="n">
        <v>0</v>
      </c>
      <c r="F624" s="37" t="n">
        <f aca="false">DATE(YEAR(A624),MONTH(A624),1)</f>
        <v>46266</v>
      </c>
      <c r="G624" s="24" t="str">
        <f aca="false">INDEX(Products!$C$2:$C$49,MATCH(C624,Products!$A$2:$A$49,0))</f>
        <v>Household</v>
      </c>
      <c r="H624" s="33" t="n">
        <f aca="false">D624*INDEX(Products!$E$2:$E$49,MATCH(C624,Products!$A$2:$A$49,0))</f>
        <v>17820</v>
      </c>
      <c r="I624" s="33" t="n">
        <f aca="false">D624*INDEX(Products!$D$2:$D$49,MATCH(C624,Products!$A$2:$A$49,0))*(1+INDEX(Assumptions!$B$16:$B$20,MATCH(B624,Assumptions!$A$16:$A$20,0)))</f>
        <v>12489.66</v>
      </c>
      <c r="J624" s="33" t="n">
        <f aca="false">H624-I624</f>
        <v>5330.34</v>
      </c>
      <c r="K624" s="33" t="n">
        <f aca="false">IF(OR(E624=0,E624&gt;=7),0,D624/(7-E624)*E624*INDEX(Products!$E$2:$E$49,MATCH(C624,Products!$A$2:$A$49,0)))</f>
        <v>0</v>
      </c>
    </row>
    <row r="625" customFormat="false" ht="15" hidden="false" customHeight="false" outlineLevel="0" collapsed="false">
      <c r="A625" s="36" t="n">
        <v>46279</v>
      </c>
      <c r="B625" s="24" t="s">
        <v>61</v>
      </c>
      <c r="C625" s="24" t="s">
        <v>163</v>
      </c>
      <c r="D625" s="33" t="n">
        <v>58</v>
      </c>
      <c r="E625" s="24" t="n">
        <v>0</v>
      </c>
      <c r="F625" s="37" t="n">
        <f aca="false">DATE(YEAR(A625),MONTH(A625),1)</f>
        <v>46266</v>
      </c>
      <c r="G625" s="24" t="str">
        <f aca="false">INDEX(Products!$C$2:$C$49,MATCH(C625,Products!$A$2:$A$49,0))</f>
        <v>Household</v>
      </c>
      <c r="H625" s="33" t="n">
        <f aca="false">D625*INDEX(Products!$E$2:$E$49,MATCH(C625,Products!$A$2:$A$49,0))</f>
        <v>19140</v>
      </c>
      <c r="I625" s="33" t="n">
        <f aca="false">D625*INDEX(Products!$D$2:$D$49,MATCH(C625,Products!$A$2:$A$49,0))*(1+INDEX(Assumptions!$B$16:$B$20,MATCH(B625,Assumptions!$A$16:$A$20,0)))</f>
        <v>13414.82</v>
      </c>
      <c r="J625" s="33" t="n">
        <f aca="false">H625-I625</f>
        <v>5725.18</v>
      </c>
      <c r="K625" s="33" t="n">
        <f aca="false">IF(OR(E625=0,E625&gt;=7),0,D625/(7-E625)*E625*INDEX(Products!$E$2:$E$49,MATCH(C625,Products!$A$2:$A$49,0)))</f>
        <v>0</v>
      </c>
    </row>
    <row r="626" customFormat="false" ht="15" hidden="false" customHeight="false" outlineLevel="0" collapsed="false">
      <c r="A626" s="36" t="n">
        <v>46286</v>
      </c>
      <c r="B626" s="24" t="s">
        <v>61</v>
      </c>
      <c r="C626" s="24" t="s">
        <v>163</v>
      </c>
      <c r="D626" s="33" t="n">
        <v>60</v>
      </c>
      <c r="E626" s="24" t="n">
        <v>0</v>
      </c>
      <c r="F626" s="37" t="n">
        <f aca="false">DATE(YEAR(A626),MONTH(A626),1)</f>
        <v>46266</v>
      </c>
      <c r="G626" s="24" t="str">
        <f aca="false">INDEX(Products!$C$2:$C$49,MATCH(C626,Products!$A$2:$A$49,0))</f>
        <v>Household</v>
      </c>
      <c r="H626" s="33" t="n">
        <f aca="false">D626*INDEX(Products!$E$2:$E$49,MATCH(C626,Products!$A$2:$A$49,0))</f>
        <v>19800</v>
      </c>
      <c r="I626" s="33" t="n">
        <f aca="false">D626*INDEX(Products!$D$2:$D$49,MATCH(C626,Products!$A$2:$A$49,0))*(1+INDEX(Assumptions!$B$16:$B$20,MATCH(B626,Assumptions!$A$16:$A$20,0)))</f>
        <v>13877.4</v>
      </c>
      <c r="J626" s="33" t="n">
        <f aca="false">H626-I626</f>
        <v>5922.6</v>
      </c>
      <c r="K626" s="33" t="n">
        <f aca="false">IF(OR(E626=0,E626&gt;=7),0,D626/(7-E626)*E626*INDEX(Products!$E$2:$E$49,MATCH(C626,Products!$A$2:$A$49,0)))</f>
        <v>0</v>
      </c>
    </row>
    <row r="627" customFormat="false" ht="15" hidden="false" customHeight="false" outlineLevel="0" collapsed="false">
      <c r="A627" s="36" t="n">
        <v>46118</v>
      </c>
      <c r="B627" s="24" t="s">
        <v>61</v>
      </c>
      <c r="C627" s="24" t="s">
        <v>165</v>
      </c>
      <c r="D627" s="33" t="n">
        <v>34</v>
      </c>
      <c r="E627" s="24" t="n">
        <v>0</v>
      </c>
      <c r="F627" s="37" t="n">
        <f aca="false">DATE(YEAR(A627),MONTH(A627),1)</f>
        <v>46113</v>
      </c>
      <c r="G627" s="24" t="str">
        <f aca="false">INDEX(Products!$C$2:$C$49,MATCH(C627,Products!$A$2:$A$49,0))</f>
        <v>Household</v>
      </c>
      <c r="H627" s="33" t="n">
        <f aca="false">D627*INDEX(Products!$E$2:$E$49,MATCH(C627,Products!$A$2:$A$49,0))</f>
        <v>6460</v>
      </c>
      <c r="I627" s="33" t="n">
        <f aca="false">D627*INDEX(Products!$D$2:$D$49,MATCH(C627,Products!$A$2:$A$49,0))*(1+INDEX(Assumptions!$B$16:$B$20,MATCH(B627,Assumptions!$A$16:$A$20,0)))</f>
        <v>4704.58</v>
      </c>
      <c r="J627" s="33" t="n">
        <f aca="false">H627-I627</f>
        <v>1755.42</v>
      </c>
      <c r="K627" s="33" t="n">
        <f aca="false">IF(OR(E627=0,E627&gt;=7),0,D627/(7-E627)*E627*INDEX(Products!$E$2:$E$49,MATCH(C627,Products!$A$2:$A$49,0)))</f>
        <v>0</v>
      </c>
    </row>
    <row r="628" customFormat="false" ht="15" hidden="false" customHeight="false" outlineLevel="0" collapsed="false">
      <c r="A628" s="36" t="n">
        <v>46125</v>
      </c>
      <c r="B628" s="24" t="s">
        <v>61</v>
      </c>
      <c r="C628" s="24" t="s">
        <v>165</v>
      </c>
      <c r="D628" s="33" t="n">
        <v>64</v>
      </c>
      <c r="E628" s="24" t="n">
        <v>0</v>
      </c>
      <c r="F628" s="37" t="n">
        <f aca="false">DATE(YEAR(A628),MONTH(A628),1)</f>
        <v>46113</v>
      </c>
      <c r="G628" s="24" t="str">
        <f aca="false">INDEX(Products!$C$2:$C$49,MATCH(C628,Products!$A$2:$A$49,0))</f>
        <v>Household</v>
      </c>
      <c r="H628" s="33" t="n">
        <f aca="false">D628*INDEX(Products!$E$2:$E$49,MATCH(C628,Products!$A$2:$A$49,0))</f>
        <v>12160</v>
      </c>
      <c r="I628" s="33" t="n">
        <f aca="false">D628*INDEX(Products!$D$2:$D$49,MATCH(C628,Products!$A$2:$A$49,0))*(1+INDEX(Assumptions!$B$16:$B$20,MATCH(B628,Assumptions!$A$16:$A$20,0)))</f>
        <v>8855.68</v>
      </c>
      <c r="J628" s="33" t="n">
        <f aca="false">H628-I628</f>
        <v>3304.32</v>
      </c>
      <c r="K628" s="33" t="n">
        <f aca="false">IF(OR(E628=0,E628&gt;=7),0,D628/(7-E628)*E628*INDEX(Products!$E$2:$E$49,MATCH(C628,Products!$A$2:$A$49,0)))</f>
        <v>0</v>
      </c>
    </row>
    <row r="629" customFormat="false" ht="15" hidden="false" customHeight="false" outlineLevel="0" collapsed="false">
      <c r="A629" s="36" t="n">
        <v>46132</v>
      </c>
      <c r="B629" s="24" t="s">
        <v>61</v>
      </c>
      <c r="C629" s="24" t="s">
        <v>165</v>
      </c>
      <c r="D629" s="33" t="n">
        <v>66</v>
      </c>
      <c r="E629" s="24" t="n">
        <v>0</v>
      </c>
      <c r="F629" s="37" t="n">
        <f aca="false">DATE(YEAR(A629),MONTH(A629),1)</f>
        <v>46113</v>
      </c>
      <c r="G629" s="24" t="str">
        <f aca="false">INDEX(Products!$C$2:$C$49,MATCH(C629,Products!$A$2:$A$49,0))</f>
        <v>Household</v>
      </c>
      <c r="H629" s="33" t="n">
        <f aca="false">D629*INDEX(Products!$E$2:$E$49,MATCH(C629,Products!$A$2:$A$49,0))</f>
        <v>12540</v>
      </c>
      <c r="I629" s="33" t="n">
        <f aca="false">D629*INDEX(Products!$D$2:$D$49,MATCH(C629,Products!$A$2:$A$49,0))*(1+INDEX(Assumptions!$B$16:$B$20,MATCH(B629,Assumptions!$A$16:$A$20,0)))</f>
        <v>9132.42</v>
      </c>
      <c r="J629" s="33" t="n">
        <f aca="false">H629-I629</f>
        <v>3407.58</v>
      </c>
      <c r="K629" s="33" t="n">
        <f aca="false">IF(OR(E629=0,E629&gt;=7),0,D629/(7-E629)*E629*INDEX(Products!$E$2:$E$49,MATCH(C629,Products!$A$2:$A$49,0)))</f>
        <v>0</v>
      </c>
    </row>
    <row r="630" customFormat="false" ht="15" hidden="false" customHeight="false" outlineLevel="0" collapsed="false">
      <c r="A630" s="36" t="n">
        <v>46139</v>
      </c>
      <c r="B630" s="24" t="s">
        <v>61</v>
      </c>
      <c r="C630" s="24" t="s">
        <v>165</v>
      </c>
      <c r="D630" s="33" t="n">
        <v>36</v>
      </c>
      <c r="E630" s="24" t="n">
        <v>3</v>
      </c>
      <c r="F630" s="37" t="n">
        <f aca="false">DATE(YEAR(A630),MONTH(A630),1)</f>
        <v>46113</v>
      </c>
      <c r="G630" s="24" t="str">
        <f aca="false">INDEX(Products!$C$2:$C$49,MATCH(C630,Products!$A$2:$A$49,0))</f>
        <v>Household</v>
      </c>
      <c r="H630" s="33" t="n">
        <f aca="false">D630*INDEX(Products!$E$2:$E$49,MATCH(C630,Products!$A$2:$A$49,0))</f>
        <v>6840</v>
      </c>
      <c r="I630" s="33" t="n">
        <f aca="false">D630*INDEX(Products!$D$2:$D$49,MATCH(C630,Products!$A$2:$A$49,0))*(1+INDEX(Assumptions!$B$16:$B$20,MATCH(B630,Assumptions!$A$16:$A$20,0)))</f>
        <v>4981.32</v>
      </c>
      <c r="J630" s="33" t="n">
        <f aca="false">H630-I630</f>
        <v>1858.68</v>
      </c>
      <c r="K630" s="33" t="n">
        <f aca="false">IF(OR(E630=0,E630&gt;=7),0,D630/(7-E630)*E630*INDEX(Products!$E$2:$E$49,MATCH(C630,Products!$A$2:$A$49,0)))</f>
        <v>5130</v>
      </c>
    </row>
    <row r="631" customFormat="false" ht="15" hidden="false" customHeight="false" outlineLevel="0" collapsed="false">
      <c r="A631" s="36" t="n">
        <v>46146</v>
      </c>
      <c r="B631" s="24" t="s">
        <v>61</v>
      </c>
      <c r="C631" s="24" t="s">
        <v>165</v>
      </c>
      <c r="D631" s="33" t="n">
        <v>51</v>
      </c>
      <c r="E631" s="24" t="n">
        <v>0</v>
      </c>
      <c r="F631" s="37" t="n">
        <f aca="false">DATE(YEAR(A631),MONTH(A631),1)</f>
        <v>46143</v>
      </c>
      <c r="G631" s="24" t="str">
        <f aca="false">INDEX(Products!$C$2:$C$49,MATCH(C631,Products!$A$2:$A$49,0))</f>
        <v>Household</v>
      </c>
      <c r="H631" s="33" t="n">
        <f aca="false">D631*INDEX(Products!$E$2:$E$49,MATCH(C631,Products!$A$2:$A$49,0))</f>
        <v>9690</v>
      </c>
      <c r="I631" s="33" t="n">
        <f aca="false">D631*INDEX(Products!$D$2:$D$49,MATCH(C631,Products!$A$2:$A$49,0))*(1+INDEX(Assumptions!$B$16:$B$20,MATCH(B631,Assumptions!$A$16:$A$20,0)))</f>
        <v>7056.87</v>
      </c>
      <c r="J631" s="33" t="n">
        <f aca="false">H631-I631</f>
        <v>2633.13</v>
      </c>
      <c r="K631" s="33" t="n">
        <f aca="false">IF(OR(E631=0,E631&gt;=7),0,D631/(7-E631)*E631*INDEX(Products!$E$2:$E$49,MATCH(C631,Products!$A$2:$A$49,0)))</f>
        <v>0</v>
      </c>
    </row>
    <row r="632" customFormat="false" ht="15" hidden="false" customHeight="false" outlineLevel="0" collapsed="false">
      <c r="A632" s="36" t="n">
        <v>46153</v>
      </c>
      <c r="B632" s="24" t="s">
        <v>61</v>
      </c>
      <c r="C632" s="24" t="s">
        <v>165</v>
      </c>
      <c r="D632" s="33" t="n">
        <v>71</v>
      </c>
      <c r="E632" s="24" t="n">
        <v>0</v>
      </c>
      <c r="F632" s="37" t="n">
        <f aca="false">DATE(YEAR(A632),MONTH(A632),1)</f>
        <v>46143</v>
      </c>
      <c r="G632" s="24" t="str">
        <f aca="false">INDEX(Products!$C$2:$C$49,MATCH(C632,Products!$A$2:$A$49,0))</f>
        <v>Household</v>
      </c>
      <c r="H632" s="33" t="n">
        <f aca="false">D632*INDEX(Products!$E$2:$E$49,MATCH(C632,Products!$A$2:$A$49,0))</f>
        <v>13490</v>
      </c>
      <c r="I632" s="33" t="n">
        <f aca="false">D632*INDEX(Products!$D$2:$D$49,MATCH(C632,Products!$A$2:$A$49,0))*(1+INDEX(Assumptions!$B$16:$B$20,MATCH(B632,Assumptions!$A$16:$A$20,0)))</f>
        <v>9824.27</v>
      </c>
      <c r="J632" s="33" t="n">
        <f aca="false">H632-I632</f>
        <v>3665.73</v>
      </c>
      <c r="K632" s="33" t="n">
        <f aca="false">IF(OR(E632=0,E632&gt;=7),0,D632/(7-E632)*E632*INDEX(Products!$E$2:$E$49,MATCH(C632,Products!$A$2:$A$49,0)))</f>
        <v>0</v>
      </c>
    </row>
    <row r="633" customFormat="false" ht="15" hidden="false" customHeight="false" outlineLevel="0" collapsed="false">
      <c r="A633" s="36" t="n">
        <v>46160</v>
      </c>
      <c r="B633" s="24" t="s">
        <v>61</v>
      </c>
      <c r="C633" s="24" t="s">
        <v>165</v>
      </c>
      <c r="D633" s="33" t="n">
        <v>32</v>
      </c>
      <c r="E633" s="24" t="n">
        <v>0</v>
      </c>
      <c r="F633" s="37" t="n">
        <f aca="false">DATE(YEAR(A633),MONTH(A633),1)</f>
        <v>46143</v>
      </c>
      <c r="G633" s="24" t="str">
        <f aca="false">INDEX(Products!$C$2:$C$49,MATCH(C633,Products!$A$2:$A$49,0))</f>
        <v>Household</v>
      </c>
      <c r="H633" s="33" t="n">
        <f aca="false">D633*INDEX(Products!$E$2:$E$49,MATCH(C633,Products!$A$2:$A$49,0))</f>
        <v>6080</v>
      </c>
      <c r="I633" s="33" t="n">
        <f aca="false">D633*INDEX(Products!$D$2:$D$49,MATCH(C633,Products!$A$2:$A$49,0))*(1+INDEX(Assumptions!$B$16:$B$20,MATCH(B633,Assumptions!$A$16:$A$20,0)))</f>
        <v>4427.84</v>
      </c>
      <c r="J633" s="33" t="n">
        <f aca="false">H633-I633</f>
        <v>1652.16</v>
      </c>
      <c r="K633" s="33" t="n">
        <f aca="false">IF(OR(E633=0,E633&gt;=7),0,D633/(7-E633)*E633*INDEX(Products!$E$2:$E$49,MATCH(C633,Products!$A$2:$A$49,0)))</f>
        <v>0</v>
      </c>
    </row>
    <row r="634" customFormat="false" ht="15" hidden="false" customHeight="false" outlineLevel="0" collapsed="false">
      <c r="A634" s="36" t="n">
        <v>46167</v>
      </c>
      <c r="B634" s="24" t="s">
        <v>61</v>
      </c>
      <c r="C634" s="24" t="s">
        <v>165</v>
      </c>
      <c r="D634" s="33" t="n">
        <v>70</v>
      </c>
      <c r="E634" s="24" t="n">
        <v>0</v>
      </c>
      <c r="F634" s="37" t="n">
        <f aca="false">DATE(YEAR(A634),MONTH(A634),1)</f>
        <v>46143</v>
      </c>
      <c r="G634" s="24" t="str">
        <f aca="false">INDEX(Products!$C$2:$C$49,MATCH(C634,Products!$A$2:$A$49,0))</f>
        <v>Household</v>
      </c>
      <c r="H634" s="33" t="n">
        <f aca="false">D634*INDEX(Products!$E$2:$E$49,MATCH(C634,Products!$A$2:$A$49,0))</f>
        <v>13300</v>
      </c>
      <c r="I634" s="33" t="n">
        <f aca="false">D634*INDEX(Products!$D$2:$D$49,MATCH(C634,Products!$A$2:$A$49,0))*(1+INDEX(Assumptions!$B$16:$B$20,MATCH(B634,Assumptions!$A$16:$A$20,0)))</f>
        <v>9685.9</v>
      </c>
      <c r="J634" s="33" t="n">
        <f aca="false">H634-I634</f>
        <v>3614.1</v>
      </c>
      <c r="K634" s="33" t="n">
        <f aca="false">IF(OR(E634=0,E634&gt;=7),0,D634/(7-E634)*E634*INDEX(Products!$E$2:$E$49,MATCH(C634,Products!$A$2:$A$49,0)))</f>
        <v>0</v>
      </c>
    </row>
    <row r="635" customFormat="false" ht="15" hidden="false" customHeight="false" outlineLevel="0" collapsed="false">
      <c r="A635" s="36" t="n">
        <v>46174</v>
      </c>
      <c r="B635" s="24" t="s">
        <v>61</v>
      </c>
      <c r="C635" s="24" t="s">
        <v>165</v>
      </c>
      <c r="D635" s="33" t="n">
        <v>51</v>
      </c>
      <c r="E635" s="24" t="n">
        <v>0</v>
      </c>
      <c r="F635" s="37" t="n">
        <f aca="false">DATE(YEAR(A635),MONTH(A635),1)</f>
        <v>46174</v>
      </c>
      <c r="G635" s="24" t="str">
        <f aca="false">INDEX(Products!$C$2:$C$49,MATCH(C635,Products!$A$2:$A$49,0))</f>
        <v>Household</v>
      </c>
      <c r="H635" s="33" t="n">
        <f aca="false">D635*INDEX(Products!$E$2:$E$49,MATCH(C635,Products!$A$2:$A$49,0))</f>
        <v>9690</v>
      </c>
      <c r="I635" s="33" t="n">
        <f aca="false">D635*INDEX(Products!$D$2:$D$49,MATCH(C635,Products!$A$2:$A$49,0))*(1+INDEX(Assumptions!$B$16:$B$20,MATCH(B635,Assumptions!$A$16:$A$20,0)))</f>
        <v>7056.87</v>
      </c>
      <c r="J635" s="33" t="n">
        <f aca="false">H635-I635</f>
        <v>2633.13</v>
      </c>
      <c r="K635" s="33" t="n">
        <f aca="false">IF(OR(E635=0,E635&gt;=7),0,D635/(7-E635)*E635*INDEX(Products!$E$2:$E$49,MATCH(C635,Products!$A$2:$A$49,0)))</f>
        <v>0</v>
      </c>
    </row>
    <row r="636" customFormat="false" ht="15" hidden="false" customHeight="false" outlineLevel="0" collapsed="false">
      <c r="A636" s="36" t="n">
        <v>46181</v>
      </c>
      <c r="B636" s="24" t="s">
        <v>61</v>
      </c>
      <c r="C636" s="24" t="s">
        <v>165</v>
      </c>
      <c r="D636" s="33" t="n">
        <v>58</v>
      </c>
      <c r="E636" s="24" t="n">
        <v>0</v>
      </c>
      <c r="F636" s="37" t="n">
        <f aca="false">DATE(YEAR(A636),MONTH(A636),1)</f>
        <v>46174</v>
      </c>
      <c r="G636" s="24" t="str">
        <f aca="false">INDEX(Products!$C$2:$C$49,MATCH(C636,Products!$A$2:$A$49,0))</f>
        <v>Household</v>
      </c>
      <c r="H636" s="33" t="n">
        <f aca="false">D636*INDEX(Products!$E$2:$E$49,MATCH(C636,Products!$A$2:$A$49,0))</f>
        <v>11020</v>
      </c>
      <c r="I636" s="33" t="n">
        <f aca="false">D636*INDEX(Products!$D$2:$D$49,MATCH(C636,Products!$A$2:$A$49,0))*(1+INDEX(Assumptions!$B$16:$B$20,MATCH(B636,Assumptions!$A$16:$A$20,0)))</f>
        <v>8025.46</v>
      </c>
      <c r="J636" s="33" t="n">
        <f aca="false">H636-I636</f>
        <v>2994.54</v>
      </c>
      <c r="K636" s="33" t="n">
        <f aca="false">IF(OR(E636=0,E636&gt;=7),0,D636/(7-E636)*E636*INDEX(Products!$E$2:$E$49,MATCH(C636,Products!$A$2:$A$49,0)))</f>
        <v>0</v>
      </c>
    </row>
    <row r="637" customFormat="false" ht="15" hidden="false" customHeight="false" outlineLevel="0" collapsed="false">
      <c r="A637" s="36" t="n">
        <v>46188</v>
      </c>
      <c r="B637" s="24" t="s">
        <v>61</v>
      </c>
      <c r="C637" s="24" t="s">
        <v>165</v>
      </c>
      <c r="D637" s="33" t="n">
        <v>67</v>
      </c>
      <c r="E637" s="24" t="n">
        <v>0</v>
      </c>
      <c r="F637" s="37" t="n">
        <f aca="false">DATE(YEAR(A637),MONTH(A637),1)</f>
        <v>46174</v>
      </c>
      <c r="G637" s="24" t="str">
        <f aca="false">INDEX(Products!$C$2:$C$49,MATCH(C637,Products!$A$2:$A$49,0))</f>
        <v>Household</v>
      </c>
      <c r="H637" s="33" t="n">
        <f aca="false">D637*INDEX(Products!$E$2:$E$49,MATCH(C637,Products!$A$2:$A$49,0))</f>
        <v>12730</v>
      </c>
      <c r="I637" s="33" t="n">
        <f aca="false">D637*INDEX(Products!$D$2:$D$49,MATCH(C637,Products!$A$2:$A$49,0))*(1+INDEX(Assumptions!$B$16:$B$20,MATCH(B637,Assumptions!$A$16:$A$20,0)))</f>
        <v>9270.79</v>
      </c>
      <c r="J637" s="33" t="n">
        <f aca="false">H637-I637</f>
        <v>3459.21</v>
      </c>
      <c r="K637" s="33" t="n">
        <f aca="false">IF(OR(E637=0,E637&gt;=7),0,D637/(7-E637)*E637*INDEX(Products!$E$2:$E$49,MATCH(C637,Products!$A$2:$A$49,0)))</f>
        <v>0</v>
      </c>
    </row>
    <row r="638" customFormat="false" ht="15" hidden="false" customHeight="false" outlineLevel="0" collapsed="false">
      <c r="A638" s="36" t="n">
        <v>46195</v>
      </c>
      <c r="B638" s="24" t="s">
        <v>61</v>
      </c>
      <c r="C638" s="24" t="s">
        <v>165</v>
      </c>
      <c r="D638" s="33" t="n">
        <v>55</v>
      </c>
      <c r="E638" s="24" t="n">
        <v>0</v>
      </c>
      <c r="F638" s="37" t="n">
        <f aca="false">DATE(YEAR(A638),MONTH(A638),1)</f>
        <v>46174</v>
      </c>
      <c r="G638" s="24" t="str">
        <f aca="false">INDEX(Products!$C$2:$C$49,MATCH(C638,Products!$A$2:$A$49,0))</f>
        <v>Household</v>
      </c>
      <c r="H638" s="33" t="n">
        <f aca="false">D638*INDEX(Products!$E$2:$E$49,MATCH(C638,Products!$A$2:$A$49,0))</f>
        <v>10450</v>
      </c>
      <c r="I638" s="33" t="n">
        <f aca="false">D638*INDEX(Products!$D$2:$D$49,MATCH(C638,Products!$A$2:$A$49,0))*(1+INDEX(Assumptions!$B$16:$B$20,MATCH(B638,Assumptions!$A$16:$A$20,0)))</f>
        <v>7610.35</v>
      </c>
      <c r="J638" s="33" t="n">
        <f aca="false">H638-I638</f>
        <v>2839.65</v>
      </c>
      <c r="K638" s="33" t="n">
        <f aca="false">IF(OR(E638=0,E638&gt;=7),0,D638/(7-E638)*E638*INDEX(Products!$E$2:$E$49,MATCH(C638,Products!$A$2:$A$49,0)))</f>
        <v>0</v>
      </c>
    </row>
    <row r="639" customFormat="false" ht="15" hidden="false" customHeight="false" outlineLevel="0" collapsed="false">
      <c r="A639" s="36" t="n">
        <v>46202</v>
      </c>
      <c r="B639" s="24" t="s">
        <v>61</v>
      </c>
      <c r="C639" s="24" t="s">
        <v>165</v>
      </c>
      <c r="D639" s="33" t="n">
        <v>57</v>
      </c>
      <c r="E639" s="24" t="n">
        <v>0</v>
      </c>
      <c r="F639" s="37" t="n">
        <f aca="false">DATE(YEAR(A639),MONTH(A639),1)</f>
        <v>46174</v>
      </c>
      <c r="G639" s="24" t="str">
        <f aca="false">INDEX(Products!$C$2:$C$49,MATCH(C639,Products!$A$2:$A$49,0))</f>
        <v>Household</v>
      </c>
      <c r="H639" s="33" t="n">
        <f aca="false">D639*INDEX(Products!$E$2:$E$49,MATCH(C639,Products!$A$2:$A$49,0))</f>
        <v>10830</v>
      </c>
      <c r="I639" s="33" t="n">
        <f aca="false">D639*INDEX(Products!$D$2:$D$49,MATCH(C639,Products!$A$2:$A$49,0))*(1+INDEX(Assumptions!$B$16:$B$20,MATCH(B639,Assumptions!$A$16:$A$20,0)))</f>
        <v>7887.09</v>
      </c>
      <c r="J639" s="33" t="n">
        <f aca="false">H639-I639</f>
        <v>2942.91</v>
      </c>
      <c r="K639" s="33" t="n">
        <f aca="false">IF(OR(E639=0,E639&gt;=7),0,D639/(7-E639)*E639*INDEX(Products!$E$2:$E$49,MATCH(C639,Products!$A$2:$A$49,0)))</f>
        <v>0</v>
      </c>
    </row>
    <row r="640" customFormat="false" ht="15" hidden="false" customHeight="false" outlineLevel="0" collapsed="false">
      <c r="A640" s="36" t="n">
        <v>46209</v>
      </c>
      <c r="B640" s="24" t="s">
        <v>61</v>
      </c>
      <c r="C640" s="24" t="s">
        <v>165</v>
      </c>
      <c r="D640" s="33" t="n">
        <v>56</v>
      </c>
      <c r="E640" s="24" t="n">
        <v>0</v>
      </c>
      <c r="F640" s="37" t="n">
        <f aca="false">DATE(YEAR(A640),MONTH(A640),1)</f>
        <v>46204</v>
      </c>
      <c r="G640" s="24" t="str">
        <f aca="false">INDEX(Products!$C$2:$C$49,MATCH(C640,Products!$A$2:$A$49,0))</f>
        <v>Household</v>
      </c>
      <c r="H640" s="33" t="n">
        <f aca="false">D640*INDEX(Products!$E$2:$E$49,MATCH(C640,Products!$A$2:$A$49,0))</f>
        <v>10640</v>
      </c>
      <c r="I640" s="33" t="n">
        <f aca="false">D640*INDEX(Products!$D$2:$D$49,MATCH(C640,Products!$A$2:$A$49,0))*(1+INDEX(Assumptions!$B$16:$B$20,MATCH(B640,Assumptions!$A$16:$A$20,0)))</f>
        <v>7748.72</v>
      </c>
      <c r="J640" s="33" t="n">
        <f aca="false">H640-I640</f>
        <v>2891.28</v>
      </c>
      <c r="K640" s="33" t="n">
        <f aca="false">IF(OR(E640=0,E640&gt;=7),0,D640/(7-E640)*E640*INDEX(Products!$E$2:$E$49,MATCH(C640,Products!$A$2:$A$49,0)))</f>
        <v>0</v>
      </c>
    </row>
    <row r="641" customFormat="false" ht="15" hidden="false" customHeight="false" outlineLevel="0" collapsed="false">
      <c r="A641" s="36" t="n">
        <v>46216</v>
      </c>
      <c r="B641" s="24" t="s">
        <v>61</v>
      </c>
      <c r="C641" s="24" t="s">
        <v>165</v>
      </c>
      <c r="D641" s="33" t="n">
        <v>56</v>
      </c>
      <c r="E641" s="24" t="n">
        <v>0</v>
      </c>
      <c r="F641" s="37" t="n">
        <f aca="false">DATE(YEAR(A641),MONTH(A641),1)</f>
        <v>46204</v>
      </c>
      <c r="G641" s="24" t="str">
        <f aca="false">INDEX(Products!$C$2:$C$49,MATCH(C641,Products!$A$2:$A$49,0))</f>
        <v>Household</v>
      </c>
      <c r="H641" s="33" t="n">
        <f aca="false">D641*INDEX(Products!$E$2:$E$49,MATCH(C641,Products!$A$2:$A$49,0))</f>
        <v>10640</v>
      </c>
      <c r="I641" s="33" t="n">
        <f aca="false">D641*INDEX(Products!$D$2:$D$49,MATCH(C641,Products!$A$2:$A$49,0))*(1+INDEX(Assumptions!$B$16:$B$20,MATCH(B641,Assumptions!$A$16:$A$20,0)))</f>
        <v>7748.72</v>
      </c>
      <c r="J641" s="33" t="n">
        <f aca="false">H641-I641</f>
        <v>2891.28</v>
      </c>
      <c r="K641" s="33" t="n">
        <f aca="false">IF(OR(E641=0,E641&gt;=7),0,D641/(7-E641)*E641*INDEX(Products!$E$2:$E$49,MATCH(C641,Products!$A$2:$A$49,0)))</f>
        <v>0</v>
      </c>
    </row>
    <row r="642" customFormat="false" ht="15" hidden="false" customHeight="false" outlineLevel="0" collapsed="false">
      <c r="A642" s="36" t="n">
        <v>46223</v>
      </c>
      <c r="B642" s="24" t="s">
        <v>61</v>
      </c>
      <c r="C642" s="24" t="s">
        <v>165</v>
      </c>
      <c r="D642" s="33" t="n">
        <v>78</v>
      </c>
      <c r="E642" s="24" t="n">
        <v>0</v>
      </c>
      <c r="F642" s="37" t="n">
        <f aca="false">DATE(YEAR(A642),MONTH(A642),1)</f>
        <v>46204</v>
      </c>
      <c r="G642" s="24" t="str">
        <f aca="false">INDEX(Products!$C$2:$C$49,MATCH(C642,Products!$A$2:$A$49,0))</f>
        <v>Household</v>
      </c>
      <c r="H642" s="33" t="n">
        <f aca="false">D642*INDEX(Products!$E$2:$E$49,MATCH(C642,Products!$A$2:$A$49,0))</f>
        <v>14820</v>
      </c>
      <c r="I642" s="33" t="n">
        <f aca="false">D642*INDEX(Products!$D$2:$D$49,MATCH(C642,Products!$A$2:$A$49,0))*(1+INDEX(Assumptions!$B$16:$B$20,MATCH(B642,Assumptions!$A$16:$A$20,0)))</f>
        <v>10792.86</v>
      </c>
      <c r="J642" s="33" t="n">
        <f aca="false">H642-I642</f>
        <v>4027.14</v>
      </c>
      <c r="K642" s="33" t="n">
        <f aca="false">IF(OR(E642=0,E642&gt;=7),0,D642/(7-E642)*E642*INDEX(Products!$E$2:$E$49,MATCH(C642,Products!$A$2:$A$49,0)))</f>
        <v>0</v>
      </c>
    </row>
    <row r="643" customFormat="false" ht="15" hidden="false" customHeight="false" outlineLevel="0" collapsed="false">
      <c r="A643" s="36" t="n">
        <v>46230</v>
      </c>
      <c r="B643" s="24" t="s">
        <v>61</v>
      </c>
      <c r="C643" s="24" t="s">
        <v>165</v>
      </c>
      <c r="D643" s="33" t="n">
        <v>60</v>
      </c>
      <c r="E643" s="24" t="n">
        <v>0</v>
      </c>
      <c r="F643" s="37" t="n">
        <f aca="false">DATE(YEAR(A643),MONTH(A643),1)</f>
        <v>46204</v>
      </c>
      <c r="G643" s="24" t="str">
        <f aca="false">INDEX(Products!$C$2:$C$49,MATCH(C643,Products!$A$2:$A$49,0))</f>
        <v>Household</v>
      </c>
      <c r="H643" s="33" t="n">
        <f aca="false">D643*INDEX(Products!$E$2:$E$49,MATCH(C643,Products!$A$2:$A$49,0))</f>
        <v>11400</v>
      </c>
      <c r="I643" s="33" t="n">
        <f aca="false">D643*INDEX(Products!$D$2:$D$49,MATCH(C643,Products!$A$2:$A$49,0))*(1+INDEX(Assumptions!$B$16:$B$20,MATCH(B643,Assumptions!$A$16:$A$20,0)))</f>
        <v>8302.2</v>
      </c>
      <c r="J643" s="33" t="n">
        <f aca="false">H643-I643</f>
        <v>3097.8</v>
      </c>
      <c r="K643" s="33" t="n">
        <f aca="false">IF(OR(E643=0,E643&gt;=7),0,D643/(7-E643)*E643*INDEX(Products!$E$2:$E$49,MATCH(C643,Products!$A$2:$A$49,0)))</f>
        <v>0</v>
      </c>
    </row>
    <row r="644" customFormat="false" ht="15" hidden="false" customHeight="false" outlineLevel="0" collapsed="false">
      <c r="A644" s="36" t="n">
        <v>46237</v>
      </c>
      <c r="B644" s="24" t="s">
        <v>61</v>
      </c>
      <c r="C644" s="24" t="s">
        <v>165</v>
      </c>
      <c r="D644" s="33" t="n">
        <v>52</v>
      </c>
      <c r="E644" s="24" t="n">
        <v>0</v>
      </c>
      <c r="F644" s="37" t="n">
        <f aca="false">DATE(YEAR(A644),MONTH(A644),1)</f>
        <v>46235</v>
      </c>
      <c r="G644" s="24" t="str">
        <f aca="false">INDEX(Products!$C$2:$C$49,MATCH(C644,Products!$A$2:$A$49,0))</f>
        <v>Household</v>
      </c>
      <c r="H644" s="33" t="n">
        <f aca="false">D644*INDEX(Products!$E$2:$E$49,MATCH(C644,Products!$A$2:$A$49,0))</f>
        <v>9880</v>
      </c>
      <c r="I644" s="33" t="n">
        <f aca="false">D644*INDEX(Products!$D$2:$D$49,MATCH(C644,Products!$A$2:$A$49,0))*(1+INDEX(Assumptions!$B$16:$B$20,MATCH(B644,Assumptions!$A$16:$A$20,0)))</f>
        <v>7195.24</v>
      </c>
      <c r="J644" s="33" t="n">
        <f aca="false">H644-I644</f>
        <v>2684.76</v>
      </c>
      <c r="K644" s="33" t="n">
        <f aca="false">IF(OR(E644=0,E644&gt;=7),0,D644/(7-E644)*E644*INDEX(Products!$E$2:$E$49,MATCH(C644,Products!$A$2:$A$49,0)))</f>
        <v>0</v>
      </c>
    </row>
    <row r="645" customFormat="false" ht="15" hidden="false" customHeight="false" outlineLevel="0" collapsed="false">
      <c r="A645" s="36" t="n">
        <v>46244</v>
      </c>
      <c r="B645" s="24" t="s">
        <v>61</v>
      </c>
      <c r="C645" s="24" t="s">
        <v>165</v>
      </c>
      <c r="D645" s="33" t="n">
        <v>45</v>
      </c>
      <c r="E645" s="24" t="n">
        <v>0</v>
      </c>
      <c r="F645" s="37" t="n">
        <f aca="false">DATE(YEAR(A645),MONTH(A645),1)</f>
        <v>46235</v>
      </c>
      <c r="G645" s="24" t="str">
        <f aca="false">INDEX(Products!$C$2:$C$49,MATCH(C645,Products!$A$2:$A$49,0))</f>
        <v>Household</v>
      </c>
      <c r="H645" s="33" t="n">
        <f aca="false">D645*INDEX(Products!$E$2:$E$49,MATCH(C645,Products!$A$2:$A$49,0))</f>
        <v>8550</v>
      </c>
      <c r="I645" s="33" t="n">
        <f aca="false">D645*INDEX(Products!$D$2:$D$49,MATCH(C645,Products!$A$2:$A$49,0))*(1+INDEX(Assumptions!$B$16:$B$20,MATCH(B645,Assumptions!$A$16:$A$20,0)))</f>
        <v>6226.65</v>
      </c>
      <c r="J645" s="33" t="n">
        <f aca="false">H645-I645</f>
        <v>2323.35</v>
      </c>
      <c r="K645" s="33" t="n">
        <f aca="false">IF(OR(E645=0,E645&gt;=7),0,D645/(7-E645)*E645*INDEX(Products!$E$2:$E$49,MATCH(C645,Products!$A$2:$A$49,0)))</f>
        <v>0</v>
      </c>
    </row>
    <row r="646" customFormat="false" ht="15" hidden="false" customHeight="false" outlineLevel="0" collapsed="false">
      <c r="A646" s="36" t="n">
        <v>46251</v>
      </c>
      <c r="B646" s="24" t="s">
        <v>61</v>
      </c>
      <c r="C646" s="24" t="s">
        <v>165</v>
      </c>
      <c r="D646" s="33" t="n">
        <v>64</v>
      </c>
      <c r="E646" s="24" t="n">
        <v>0</v>
      </c>
      <c r="F646" s="37" t="n">
        <f aca="false">DATE(YEAR(A646),MONTH(A646),1)</f>
        <v>46235</v>
      </c>
      <c r="G646" s="24" t="str">
        <f aca="false">INDEX(Products!$C$2:$C$49,MATCH(C646,Products!$A$2:$A$49,0))</f>
        <v>Household</v>
      </c>
      <c r="H646" s="33" t="n">
        <f aca="false">D646*INDEX(Products!$E$2:$E$49,MATCH(C646,Products!$A$2:$A$49,0))</f>
        <v>12160</v>
      </c>
      <c r="I646" s="33" t="n">
        <f aca="false">D646*INDEX(Products!$D$2:$D$49,MATCH(C646,Products!$A$2:$A$49,0))*(1+INDEX(Assumptions!$B$16:$B$20,MATCH(B646,Assumptions!$A$16:$A$20,0)))</f>
        <v>8855.68</v>
      </c>
      <c r="J646" s="33" t="n">
        <f aca="false">H646-I646</f>
        <v>3304.32</v>
      </c>
      <c r="K646" s="33" t="n">
        <f aca="false">IF(OR(E646=0,E646&gt;=7),0,D646/(7-E646)*E646*INDEX(Products!$E$2:$E$49,MATCH(C646,Products!$A$2:$A$49,0)))</f>
        <v>0</v>
      </c>
    </row>
    <row r="647" customFormat="false" ht="15" hidden="false" customHeight="false" outlineLevel="0" collapsed="false">
      <c r="A647" s="36" t="n">
        <v>46258</v>
      </c>
      <c r="B647" s="24" t="s">
        <v>61</v>
      </c>
      <c r="C647" s="24" t="s">
        <v>165</v>
      </c>
      <c r="D647" s="33" t="n">
        <v>62</v>
      </c>
      <c r="E647" s="24" t="n">
        <v>0</v>
      </c>
      <c r="F647" s="37" t="n">
        <f aca="false">DATE(YEAR(A647),MONTH(A647),1)</f>
        <v>46235</v>
      </c>
      <c r="G647" s="24" t="str">
        <f aca="false">INDEX(Products!$C$2:$C$49,MATCH(C647,Products!$A$2:$A$49,0))</f>
        <v>Household</v>
      </c>
      <c r="H647" s="33" t="n">
        <f aca="false">D647*INDEX(Products!$E$2:$E$49,MATCH(C647,Products!$A$2:$A$49,0))</f>
        <v>11780</v>
      </c>
      <c r="I647" s="33" t="n">
        <f aca="false">D647*INDEX(Products!$D$2:$D$49,MATCH(C647,Products!$A$2:$A$49,0))*(1+INDEX(Assumptions!$B$16:$B$20,MATCH(B647,Assumptions!$A$16:$A$20,0)))</f>
        <v>8578.94</v>
      </c>
      <c r="J647" s="33" t="n">
        <f aca="false">H647-I647</f>
        <v>3201.06</v>
      </c>
      <c r="K647" s="33" t="n">
        <f aca="false">IF(OR(E647=0,E647&gt;=7),0,D647/(7-E647)*E647*INDEX(Products!$E$2:$E$49,MATCH(C647,Products!$A$2:$A$49,0)))</f>
        <v>0</v>
      </c>
    </row>
    <row r="648" customFormat="false" ht="15" hidden="false" customHeight="false" outlineLevel="0" collapsed="false">
      <c r="A648" s="36" t="n">
        <v>46265</v>
      </c>
      <c r="B648" s="24" t="s">
        <v>61</v>
      </c>
      <c r="C648" s="24" t="s">
        <v>165</v>
      </c>
      <c r="D648" s="33" t="n">
        <v>50</v>
      </c>
      <c r="E648" s="24" t="n">
        <v>0</v>
      </c>
      <c r="F648" s="37" t="n">
        <f aca="false">DATE(YEAR(A648),MONTH(A648),1)</f>
        <v>46235</v>
      </c>
      <c r="G648" s="24" t="str">
        <f aca="false">INDEX(Products!$C$2:$C$49,MATCH(C648,Products!$A$2:$A$49,0))</f>
        <v>Household</v>
      </c>
      <c r="H648" s="33" t="n">
        <f aca="false">D648*INDEX(Products!$E$2:$E$49,MATCH(C648,Products!$A$2:$A$49,0))</f>
        <v>9500</v>
      </c>
      <c r="I648" s="33" t="n">
        <f aca="false">D648*INDEX(Products!$D$2:$D$49,MATCH(C648,Products!$A$2:$A$49,0))*(1+INDEX(Assumptions!$B$16:$B$20,MATCH(B648,Assumptions!$A$16:$A$20,0)))</f>
        <v>6918.5</v>
      </c>
      <c r="J648" s="33" t="n">
        <f aca="false">H648-I648</f>
        <v>2581.5</v>
      </c>
      <c r="K648" s="33" t="n">
        <f aca="false">IF(OR(E648=0,E648&gt;=7),0,D648/(7-E648)*E648*INDEX(Products!$E$2:$E$49,MATCH(C648,Products!$A$2:$A$49,0)))</f>
        <v>0</v>
      </c>
    </row>
    <row r="649" customFormat="false" ht="15" hidden="false" customHeight="false" outlineLevel="0" collapsed="false">
      <c r="A649" s="36" t="n">
        <v>46272</v>
      </c>
      <c r="B649" s="24" t="s">
        <v>61</v>
      </c>
      <c r="C649" s="24" t="s">
        <v>165</v>
      </c>
      <c r="D649" s="33" t="n">
        <v>53</v>
      </c>
      <c r="E649" s="24" t="n">
        <v>0</v>
      </c>
      <c r="F649" s="37" t="n">
        <f aca="false">DATE(YEAR(A649),MONTH(A649),1)</f>
        <v>46266</v>
      </c>
      <c r="G649" s="24" t="str">
        <f aca="false">INDEX(Products!$C$2:$C$49,MATCH(C649,Products!$A$2:$A$49,0))</f>
        <v>Household</v>
      </c>
      <c r="H649" s="33" t="n">
        <f aca="false">D649*INDEX(Products!$E$2:$E$49,MATCH(C649,Products!$A$2:$A$49,0))</f>
        <v>10070</v>
      </c>
      <c r="I649" s="33" t="n">
        <f aca="false">D649*INDEX(Products!$D$2:$D$49,MATCH(C649,Products!$A$2:$A$49,0))*(1+INDEX(Assumptions!$B$16:$B$20,MATCH(B649,Assumptions!$A$16:$A$20,0)))</f>
        <v>7333.61</v>
      </c>
      <c r="J649" s="33" t="n">
        <f aca="false">H649-I649</f>
        <v>2736.39</v>
      </c>
      <c r="K649" s="33" t="n">
        <f aca="false">IF(OR(E649=0,E649&gt;=7),0,D649/(7-E649)*E649*INDEX(Products!$E$2:$E$49,MATCH(C649,Products!$A$2:$A$49,0)))</f>
        <v>0</v>
      </c>
    </row>
    <row r="650" customFormat="false" ht="15" hidden="false" customHeight="false" outlineLevel="0" collapsed="false">
      <c r="A650" s="36" t="n">
        <v>46279</v>
      </c>
      <c r="B650" s="24" t="s">
        <v>61</v>
      </c>
      <c r="C650" s="24" t="s">
        <v>165</v>
      </c>
      <c r="D650" s="33" t="n">
        <v>55</v>
      </c>
      <c r="E650" s="24" t="n">
        <v>0</v>
      </c>
      <c r="F650" s="37" t="n">
        <f aca="false">DATE(YEAR(A650),MONTH(A650),1)</f>
        <v>46266</v>
      </c>
      <c r="G650" s="24" t="str">
        <f aca="false">INDEX(Products!$C$2:$C$49,MATCH(C650,Products!$A$2:$A$49,0))</f>
        <v>Household</v>
      </c>
      <c r="H650" s="33" t="n">
        <f aca="false">D650*INDEX(Products!$E$2:$E$49,MATCH(C650,Products!$A$2:$A$49,0))</f>
        <v>10450</v>
      </c>
      <c r="I650" s="33" t="n">
        <f aca="false">D650*INDEX(Products!$D$2:$D$49,MATCH(C650,Products!$A$2:$A$49,0))*(1+INDEX(Assumptions!$B$16:$B$20,MATCH(B650,Assumptions!$A$16:$A$20,0)))</f>
        <v>7610.35</v>
      </c>
      <c r="J650" s="33" t="n">
        <f aca="false">H650-I650</f>
        <v>2839.65</v>
      </c>
      <c r="K650" s="33" t="n">
        <f aca="false">IF(OR(E650=0,E650&gt;=7),0,D650/(7-E650)*E650*INDEX(Products!$E$2:$E$49,MATCH(C650,Products!$A$2:$A$49,0)))</f>
        <v>0</v>
      </c>
    </row>
    <row r="651" customFormat="false" ht="15" hidden="false" customHeight="false" outlineLevel="0" collapsed="false">
      <c r="A651" s="36" t="n">
        <v>46286</v>
      </c>
      <c r="B651" s="24" t="s">
        <v>61</v>
      </c>
      <c r="C651" s="24" t="s">
        <v>165</v>
      </c>
      <c r="D651" s="33" t="n">
        <v>66</v>
      </c>
      <c r="E651" s="24" t="n">
        <v>0</v>
      </c>
      <c r="F651" s="37" t="n">
        <f aca="false">DATE(YEAR(A651),MONTH(A651),1)</f>
        <v>46266</v>
      </c>
      <c r="G651" s="24" t="str">
        <f aca="false">INDEX(Products!$C$2:$C$49,MATCH(C651,Products!$A$2:$A$49,0))</f>
        <v>Household</v>
      </c>
      <c r="H651" s="33" t="n">
        <f aca="false">D651*INDEX(Products!$E$2:$E$49,MATCH(C651,Products!$A$2:$A$49,0))</f>
        <v>12540</v>
      </c>
      <c r="I651" s="33" t="n">
        <f aca="false">D651*INDEX(Products!$D$2:$D$49,MATCH(C651,Products!$A$2:$A$49,0))*(1+INDEX(Assumptions!$B$16:$B$20,MATCH(B651,Assumptions!$A$16:$A$20,0)))</f>
        <v>9132.42</v>
      </c>
      <c r="J651" s="33" t="n">
        <f aca="false">H651-I651</f>
        <v>3407.58</v>
      </c>
      <c r="K651" s="33" t="n">
        <f aca="false">IF(OR(E651=0,E651&gt;=7),0,D651/(7-E651)*E651*INDEX(Products!$E$2:$E$49,MATCH(C651,Products!$A$2:$A$49,0)))</f>
        <v>0</v>
      </c>
    </row>
    <row r="652" customFormat="false" ht="15" hidden="false" customHeight="false" outlineLevel="0" collapsed="false">
      <c r="A652" s="36" t="n">
        <v>46118</v>
      </c>
      <c r="B652" s="24" t="s">
        <v>61</v>
      </c>
      <c r="C652" s="24" t="s">
        <v>167</v>
      </c>
      <c r="D652" s="33" t="n">
        <v>37</v>
      </c>
      <c r="E652" s="24" t="n">
        <v>0</v>
      </c>
      <c r="F652" s="37" t="n">
        <f aca="false">DATE(YEAR(A652),MONTH(A652),1)</f>
        <v>46113</v>
      </c>
      <c r="G652" s="24" t="str">
        <f aca="false">INDEX(Products!$C$2:$C$49,MATCH(C652,Products!$A$2:$A$49,0))</f>
        <v>Household</v>
      </c>
      <c r="H652" s="33" t="n">
        <f aca="false">D652*INDEX(Products!$E$2:$E$49,MATCH(C652,Products!$A$2:$A$49,0))</f>
        <v>5550</v>
      </c>
      <c r="I652" s="33" t="n">
        <f aca="false">D652*INDEX(Products!$D$2:$D$49,MATCH(C652,Products!$A$2:$A$49,0))*(1+INDEX(Assumptions!$B$16:$B$20,MATCH(B652,Assumptions!$A$16:$A$20,0)))</f>
        <v>4185.44</v>
      </c>
      <c r="J652" s="33" t="n">
        <f aca="false">H652-I652</f>
        <v>1364.56</v>
      </c>
      <c r="K652" s="33" t="n">
        <f aca="false">IF(OR(E652=0,E652&gt;=7),0,D652/(7-E652)*E652*INDEX(Products!$E$2:$E$49,MATCH(C652,Products!$A$2:$A$49,0)))</f>
        <v>0</v>
      </c>
    </row>
    <row r="653" customFormat="false" ht="15" hidden="false" customHeight="false" outlineLevel="0" collapsed="false">
      <c r="A653" s="36" t="n">
        <v>46125</v>
      </c>
      <c r="B653" s="24" t="s">
        <v>61</v>
      </c>
      <c r="C653" s="24" t="s">
        <v>167</v>
      </c>
      <c r="D653" s="33" t="n">
        <v>47</v>
      </c>
      <c r="E653" s="24" t="n">
        <v>0</v>
      </c>
      <c r="F653" s="37" t="n">
        <f aca="false">DATE(YEAR(A653),MONTH(A653),1)</f>
        <v>46113</v>
      </c>
      <c r="G653" s="24" t="str">
        <f aca="false">INDEX(Products!$C$2:$C$49,MATCH(C653,Products!$A$2:$A$49,0))</f>
        <v>Household</v>
      </c>
      <c r="H653" s="33" t="n">
        <f aca="false">D653*INDEX(Products!$E$2:$E$49,MATCH(C653,Products!$A$2:$A$49,0))</f>
        <v>7050</v>
      </c>
      <c r="I653" s="33" t="n">
        <f aca="false">D653*INDEX(Products!$D$2:$D$49,MATCH(C653,Products!$A$2:$A$49,0))*(1+INDEX(Assumptions!$B$16:$B$20,MATCH(B653,Assumptions!$A$16:$A$20,0)))</f>
        <v>5316.64</v>
      </c>
      <c r="J653" s="33" t="n">
        <f aca="false">H653-I653</f>
        <v>1733.36</v>
      </c>
      <c r="K653" s="33" t="n">
        <f aca="false">IF(OR(E653=0,E653&gt;=7),0,D653/(7-E653)*E653*INDEX(Products!$E$2:$E$49,MATCH(C653,Products!$A$2:$A$49,0)))</f>
        <v>0</v>
      </c>
    </row>
    <row r="654" customFormat="false" ht="15" hidden="false" customHeight="false" outlineLevel="0" collapsed="false">
      <c r="A654" s="36" t="n">
        <v>46132</v>
      </c>
      <c r="B654" s="24" t="s">
        <v>61</v>
      </c>
      <c r="C654" s="24" t="s">
        <v>167</v>
      </c>
      <c r="D654" s="33" t="n">
        <v>39</v>
      </c>
      <c r="E654" s="24" t="n">
        <v>2</v>
      </c>
      <c r="F654" s="37" t="n">
        <f aca="false">DATE(YEAR(A654),MONTH(A654),1)</f>
        <v>46113</v>
      </c>
      <c r="G654" s="24" t="str">
        <f aca="false">INDEX(Products!$C$2:$C$49,MATCH(C654,Products!$A$2:$A$49,0))</f>
        <v>Household</v>
      </c>
      <c r="H654" s="33" t="n">
        <f aca="false">D654*INDEX(Products!$E$2:$E$49,MATCH(C654,Products!$A$2:$A$49,0))</f>
        <v>5850</v>
      </c>
      <c r="I654" s="33" t="n">
        <f aca="false">D654*INDEX(Products!$D$2:$D$49,MATCH(C654,Products!$A$2:$A$49,0))*(1+INDEX(Assumptions!$B$16:$B$20,MATCH(B654,Assumptions!$A$16:$A$20,0)))</f>
        <v>4411.68</v>
      </c>
      <c r="J654" s="33" t="n">
        <f aca="false">H654-I654</f>
        <v>1438.32</v>
      </c>
      <c r="K654" s="33" t="n">
        <f aca="false">IF(OR(E654=0,E654&gt;=7),0,D654/(7-E654)*E654*INDEX(Products!$E$2:$E$49,MATCH(C654,Products!$A$2:$A$49,0)))</f>
        <v>2340</v>
      </c>
    </row>
    <row r="655" customFormat="false" ht="15" hidden="false" customHeight="false" outlineLevel="0" collapsed="false">
      <c r="A655" s="36" t="n">
        <v>46139</v>
      </c>
      <c r="B655" s="24" t="s">
        <v>61</v>
      </c>
      <c r="C655" s="24" t="s">
        <v>167</v>
      </c>
      <c r="D655" s="33" t="n">
        <v>49</v>
      </c>
      <c r="E655" s="24" t="n">
        <v>0</v>
      </c>
      <c r="F655" s="37" t="n">
        <f aca="false">DATE(YEAR(A655),MONTH(A655),1)</f>
        <v>46113</v>
      </c>
      <c r="G655" s="24" t="str">
        <f aca="false">INDEX(Products!$C$2:$C$49,MATCH(C655,Products!$A$2:$A$49,0))</f>
        <v>Household</v>
      </c>
      <c r="H655" s="33" t="n">
        <f aca="false">D655*INDEX(Products!$E$2:$E$49,MATCH(C655,Products!$A$2:$A$49,0))</f>
        <v>7350</v>
      </c>
      <c r="I655" s="33" t="n">
        <f aca="false">D655*INDEX(Products!$D$2:$D$49,MATCH(C655,Products!$A$2:$A$49,0))*(1+INDEX(Assumptions!$B$16:$B$20,MATCH(B655,Assumptions!$A$16:$A$20,0)))</f>
        <v>5542.88</v>
      </c>
      <c r="J655" s="33" t="n">
        <f aca="false">H655-I655</f>
        <v>1807.12</v>
      </c>
      <c r="K655" s="33" t="n">
        <f aca="false">IF(OR(E655=0,E655&gt;=7),0,D655/(7-E655)*E655*INDEX(Products!$E$2:$E$49,MATCH(C655,Products!$A$2:$A$49,0)))</f>
        <v>0</v>
      </c>
    </row>
    <row r="656" customFormat="false" ht="15" hidden="false" customHeight="false" outlineLevel="0" collapsed="false">
      <c r="A656" s="36" t="n">
        <v>46146</v>
      </c>
      <c r="B656" s="24" t="s">
        <v>61</v>
      </c>
      <c r="C656" s="24" t="s">
        <v>167</v>
      </c>
      <c r="D656" s="33" t="n">
        <v>62</v>
      </c>
      <c r="E656" s="24" t="n">
        <v>0</v>
      </c>
      <c r="F656" s="37" t="n">
        <f aca="false">DATE(YEAR(A656),MONTH(A656),1)</f>
        <v>46143</v>
      </c>
      <c r="G656" s="24" t="str">
        <f aca="false">INDEX(Products!$C$2:$C$49,MATCH(C656,Products!$A$2:$A$49,0))</f>
        <v>Household</v>
      </c>
      <c r="H656" s="33" t="n">
        <f aca="false">D656*INDEX(Products!$E$2:$E$49,MATCH(C656,Products!$A$2:$A$49,0))</f>
        <v>9300</v>
      </c>
      <c r="I656" s="33" t="n">
        <f aca="false">D656*INDEX(Products!$D$2:$D$49,MATCH(C656,Products!$A$2:$A$49,0))*(1+INDEX(Assumptions!$B$16:$B$20,MATCH(B656,Assumptions!$A$16:$A$20,0)))</f>
        <v>7013.44</v>
      </c>
      <c r="J656" s="33" t="n">
        <f aca="false">H656-I656</f>
        <v>2286.56</v>
      </c>
      <c r="K656" s="33" t="n">
        <f aca="false">IF(OR(E656=0,E656&gt;=7),0,D656/(7-E656)*E656*INDEX(Products!$E$2:$E$49,MATCH(C656,Products!$A$2:$A$49,0)))</f>
        <v>0</v>
      </c>
    </row>
    <row r="657" customFormat="false" ht="15" hidden="false" customHeight="false" outlineLevel="0" collapsed="false">
      <c r="A657" s="36" t="n">
        <v>46153</v>
      </c>
      <c r="B657" s="24" t="s">
        <v>61</v>
      </c>
      <c r="C657" s="24" t="s">
        <v>167</v>
      </c>
      <c r="D657" s="33" t="n">
        <v>48</v>
      </c>
      <c r="E657" s="24" t="n">
        <v>0</v>
      </c>
      <c r="F657" s="37" t="n">
        <f aca="false">DATE(YEAR(A657),MONTH(A657),1)</f>
        <v>46143</v>
      </c>
      <c r="G657" s="24" t="str">
        <f aca="false">INDEX(Products!$C$2:$C$49,MATCH(C657,Products!$A$2:$A$49,0))</f>
        <v>Household</v>
      </c>
      <c r="H657" s="33" t="n">
        <f aca="false">D657*INDEX(Products!$E$2:$E$49,MATCH(C657,Products!$A$2:$A$49,0))</f>
        <v>7200</v>
      </c>
      <c r="I657" s="33" t="n">
        <f aca="false">D657*INDEX(Products!$D$2:$D$49,MATCH(C657,Products!$A$2:$A$49,0))*(1+INDEX(Assumptions!$B$16:$B$20,MATCH(B657,Assumptions!$A$16:$A$20,0)))</f>
        <v>5429.76</v>
      </c>
      <c r="J657" s="33" t="n">
        <f aca="false">H657-I657</f>
        <v>1770.24</v>
      </c>
      <c r="K657" s="33" t="n">
        <f aca="false">IF(OR(E657=0,E657&gt;=7),0,D657/(7-E657)*E657*INDEX(Products!$E$2:$E$49,MATCH(C657,Products!$A$2:$A$49,0)))</f>
        <v>0</v>
      </c>
    </row>
    <row r="658" customFormat="false" ht="15" hidden="false" customHeight="false" outlineLevel="0" collapsed="false">
      <c r="A658" s="36" t="n">
        <v>46160</v>
      </c>
      <c r="B658" s="24" t="s">
        <v>61</v>
      </c>
      <c r="C658" s="24" t="s">
        <v>167</v>
      </c>
      <c r="D658" s="33" t="n">
        <v>53</v>
      </c>
      <c r="E658" s="24" t="n">
        <v>0</v>
      </c>
      <c r="F658" s="37" t="n">
        <f aca="false">DATE(YEAR(A658),MONTH(A658),1)</f>
        <v>46143</v>
      </c>
      <c r="G658" s="24" t="str">
        <f aca="false">INDEX(Products!$C$2:$C$49,MATCH(C658,Products!$A$2:$A$49,0))</f>
        <v>Household</v>
      </c>
      <c r="H658" s="33" t="n">
        <f aca="false">D658*INDEX(Products!$E$2:$E$49,MATCH(C658,Products!$A$2:$A$49,0))</f>
        <v>7950</v>
      </c>
      <c r="I658" s="33" t="n">
        <f aca="false">D658*INDEX(Products!$D$2:$D$49,MATCH(C658,Products!$A$2:$A$49,0))*(1+INDEX(Assumptions!$B$16:$B$20,MATCH(B658,Assumptions!$A$16:$A$20,0)))</f>
        <v>5995.36</v>
      </c>
      <c r="J658" s="33" t="n">
        <f aca="false">H658-I658</f>
        <v>1954.64</v>
      </c>
      <c r="K658" s="33" t="n">
        <f aca="false">IF(OR(E658=0,E658&gt;=7),0,D658/(7-E658)*E658*INDEX(Products!$E$2:$E$49,MATCH(C658,Products!$A$2:$A$49,0)))</f>
        <v>0</v>
      </c>
    </row>
    <row r="659" customFormat="false" ht="15" hidden="false" customHeight="false" outlineLevel="0" collapsed="false">
      <c r="A659" s="36" t="n">
        <v>46167</v>
      </c>
      <c r="B659" s="24" t="s">
        <v>61</v>
      </c>
      <c r="C659" s="24" t="s">
        <v>167</v>
      </c>
      <c r="D659" s="33" t="n">
        <v>61</v>
      </c>
      <c r="E659" s="24" t="n">
        <v>0</v>
      </c>
      <c r="F659" s="37" t="n">
        <f aca="false">DATE(YEAR(A659),MONTH(A659),1)</f>
        <v>46143</v>
      </c>
      <c r="G659" s="24" t="str">
        <f aca="false">INDEX(Products!$C$2:$C$49,MATCH(C659,Products!$A$2:$A$49,0))</f>
        <v>Household</v>
      </c>
      <c r="H659" s="33" t="n">
        <f aca="false">D659*INDEX(Products!$E$2:$E$49,MATCH(C659,Products!$A$2:$A$49,0))</f>
        <v>9150</v>
      </c>
      <c r="I659" s="33" t="n">
        <f aca="false">D659*INDEX(Products!$D$2:$D$49,MATCH(C659,Products!$A$2:$A$49,0))*(1+INDEX(Assumptions!$B$16:$B$20,MATCH(B659,Assumptions!$A$16:$A$20,0)))</f>
        <v>6900.32</v>
      </c>
      <c r="J659" s="33" t="n">
        <f aca="false">H659-I659</f>
        <v>2249.68</v>
      </c>
      <c r="K659" s="33" t="n">
        <f aca="false">IF(OR(E659=0,E659&gt;=7),0,D659/(7-E659)*E659*INDEX(Products!$E$2:$E$49,MATCH(C659,Products!$A$2:$A$49,0)))</f>
        <v>0</v>
      </c>
    </row>
    <row r="660" customFormat="false" ht="15" hidden="false" customHeight="false" outlineLevel="0" collapsed="false">
      <c r="A660" s="36" t="n">
        <v>46174</v>
      </c>
      <c r="B660" s="24" t="s">
        <v>61</v>
      </c>
      <c r="C660" s="24" t="s">
        <v>167</v>
      </c>
      <c r="D660" s="33" t="n">
        <v>42</v>
      </c>
      <c r="E660" s="24" t="n">
        <v>0</v>
      </c>
      <c r="F660" s="37" t="n">
        <f aca="false">DATE(YEAR(A660),MONTH(A660),1)</f>
        <v>46174</v>
      </c>
      <c r="G660" s="24" t="str">
        <f aca="false">INDEX(Products!$C$2:$C$49,MATCH(C660,Products!$A$2:$A$49,0))</f>
        <v>Household</v>
      </c>
      <c r="H660" s="33" t="n">
        <f aca="false">D660*INDEX(Products!$E$2:$E$49,MATCH(C660,Products!$A$2:$A$49,0))</f>
        <v>6300</v>
      </c>
      <c r="I660" s="33" t="n">
        <f aca="false">D660*INDEX(Products!$D$2:$D$49,MATCH(C660,Products!$A$2:$A$49,0))*(1+INDEX(Assumptions!$B$16:$B$20,MATCH(B660,Assumptions!$A$16:$A$20,0)))</f>
        <v>4751.04</v>
      </c>
      <c r="J660" s="33" t="n">
        <f aca="false">H660-I660</f>
        <v>1548.96</v>
      </c>
      <c r="K660" s="33" t="n">
        <f aca="false">IF(OR(E660=0,E660&gt;=7),0,D660/(7-E660)*E660*INDEX(Products!$E$2:$E$49,MATCH(C660,Products!$A$2:$A$49,0)))</f>
        <v>0</v>
      </c>
    </row>
    <row r="661" customFormat="false" ht="15" hidden="false" customHeight="false" outlineLevel="0" collapsed="false">
      <c r="A661" s="36" t="n">
        <v>46181</v>
      </c>
      <c r="B661" s="24" t="s">
        <v>61</v>
      </c>
      <c r="C661" s="24" t="s">
        <v>167</v>
      </c>
      <c r="D661" s="33" t="n">
        <v>36</v>
      </c>
      <c r="E661" s="24" t="n">
        <v>0</v>
      </c>
      <c r="F661" s="37" t="n">
        <f aca="false">DATE(YEAR(A661),MONTH(A661),1)</f>
        <v>46174</v>
      </c>
      <c r="G661" s="24" t="str">
        <f aca="false">INDEX(Products!$C$2:$C$49,MATCH(C661,Products!$A$2:$A$49,0))</f>
        <v>Household</v>
      </c>
      <c r="H661" s="33" t="n">
        <f aca="false">D661*INDEX(Products!$E$2:$E$49,MATCH(C661,Products!$A$2:$A$49,0))</f>
        <v>5400</v>
      </c>
      <c r="I661" s="33" t="n">
        <f aca="false">D661*INDEX(Products!$D$2:$D$49,MATCH(C661,Products!$A$2:$A$49,0))*(1+INDEX(Assumptions!$B$16:$B$20,MATCH(B661,Assumptions!$A$16:$A$20,0)))</f>
        <v>4072.32</v>
      </c>
      <c r="J661" s="33" t="n">
        <f aca="false">H661-I661</f>
        <v>1327.68</v>
      </c>
      <c r="K661" s="33" t="n">
        <f aca="false">IF(OR(E661=0,E661&gt;=7),0,D661/(7-E661)*E661*INDEX(Products!$E$2:$E$49,MATCH(C661,Products!$A$2:$A$49,0)))</f>
        <v>0</v>
      </c>
    </row>
    <row r="662" customFormat="false" ht="15" hidden="false" customHeight="false" outlineLevel="0" collapsed="false">
      <c r="A662" s="36" t="n">
        <v>46188</v>
      </c>
      <c r="B662" s="24" t="s">
        <v>61</v>
      </c>
      <c r="C662" s="24" t="s">
        <v>167</v>
      </c>
      <c r="D662" s="33" t="n">
        <v>47</v>
      </c>
      <c r="E662" s="24" t="n">
        <v>0</v>
      </c>
      <c r="F662" s="37" t="n">
        <f aca="false">DATE(YEAR(A662),MONTH(A662),1)</f>
        <v>46174</v>
      </c>
      <c r="G662" s="24" t="str">
        <f aca="false">INDEX(Products!$C$2:$C$49,MATCH(C662,Products!$A$2:$A$49,0))</f>
        <v>Household</v>
      </c>
      <c r="H662" s="33" t="n">
        <f aca="false">D662*INDEX(Products!$E$2:$E$49,MATCH(C662,Products!$A$2:$A$49,0))</f>
        <v>7050</v>
      </c>
      <c r="I662" s="33" t="n">
        <f aca="false">D662*INDEX(Products!$D$2:$D$49,MATCH(C662,Products!$A$2:$A$49,0))*(1+INDEX(Assumptions!$B$16:$B$20,MATCH(B662,Assumptions!$A$16:$A$20,0)))</f>
        <v>5316.64</v>
      </c>
      <c r="J662" s="33" t="n">
        <f aca="false">H662-I662</f>
        <v>1733.36</v>
      </c>
      <c r="K662" s="33" t="n">
        <f aca="false">IF(OR(E662=0,E662&gt;=7),0,D662/(7-E662)*E662*INDEX(Products!$E$2:$E$49,MATCH(C662,Products!$A$2:$A$49,0)))</f>
        <v>0</v>
      </c>
    </row>
    <row r="663" customFormat="false" ht="15" hidden="false" customHeight="false" outlineLevel="0" collapsed="false">
      <c r="A663" s="36" t="n">
        <v>46195</v>
      </c>
      <c r="B663" s="24" t="s">
        <v>61</v>
      </c>
      <c r="C663" s="24" t="s">
        <v>167</v>
      </c>
      <c r="D663" s="33" t="n">
        <v>52</v>
      </c>
      <c r="E663" s="24" t="n">
        <v>0</v>
      </c>
      <c r="F663" s="37" t="n">
        <f aca="false">DATE(YEAR(A663),MONTH(A663),1)</f>
        <v>46174</v>
      </c>
      <c r="G663" s="24" t="str">
        <f aca="false">INDEX(Products!$C$2:$C$49,MATCH(C663,Products!$A$2:$A$49,0))</f>
        <v>Household</v>
      </c>
      <c r="H663" s="33" t="n">
        <f aca="false">D663*INDEX(Products!$E$2:$E$49,MATCH(C663,Products!$A$2:$A$49,0))</f>
        <v>7800</v>
      </c>
      <c r="I663" s="33" t="n">
        <f aca="false">D663*INDEX(Products!$D$2:$D$49,MATCH(C663,Products!$A$2:$A$49,0))*(1+INDEX(Assumptions!$B$16:$B$20,MATCH(B663,Assumptions!$A$16:$A$20,0)))</f>
        <v>5882.24</v>
      </c>
      <c r="J663" s="33" t="n">
        <f aca="false">H663-I663</f>
        <v>1917.76</v>
      </c>
      <c r="K663" s="33" t="n">
        <f aca="false">IF(OR(E663=0,E663&gt;=7),0,D663/(7-E663)*E663*INDEX(Products!$E$2:$E$49,MATCH(C663,Products!$A$2:$A$49,0)))</f>
        <v>0</v>
      </c>
    </row>
    <row r="664" customFormat="false" ht="15" hidden="false" customHeight="false" outlineLevel="0" collapsed="false">
      <c r="A664" s="36" t="n">
        <v>46202</v>
      </c>
      <c r="B664" s="24" t="s">
        <v>61</v>
      </c>
      <c r="C664" s="24" t="s">
        <v>167</v>
      </c>
      <c r="D664" s="33" t="n">
        <v>35</v>
      </c>
      <c r="E664" s="24" t="n">
        <v>2</v>
      </c>
      <c r="F664" s="37" t="n">
        <f aca="false">DATE(YEAR(A664),MONTH(A664),1)</f>
        <v>46174</v>
      </c>
      <c r="G664" s="24" t="str">
        <f aca="false">INDEX(Products!$C$2:$C$49,MATCH(C664,Products!$A$2:$A$49,0))</f>
        <v>Household</v>
      </c>
      <c r="H664" s="33" t="n">
        <f aca="false">D664*INDEX(Products!$E$2:$E$49,MATCH(C664,Products!$A$2:$A$49,0))</f>
        <v>5250</v>
      </c>
      <c r="I664" s="33" t="n">
        <f aca="false">D664*INDEX(Products!$D$2:$D$49,MATCH(C664,Products!$A$2:$A$49,0))*(1+INDEX(Assumptions!$B$16:$B$20,MATCH(B664,Assumptions!$A$16:$A$20,0)))</f>
        <v>3959.2</v>
      </c>
      <c r="J664" s="33" t="n">
        <f aca="false">H664-I664</f>
        <v>1290.8</v>
      </c>
      <c r="K664" s="33" t="n">
        <f aca="false">IF(OR(E664=0,E664&gt;=7),0,D664/(7-E664)*E664*INDEX(Products!$E$2:$E$49,MATCH(C664,Products!$A$2:$A$49,0)))</f>
        <v>2100</v>
      </c>
    </row>
    <row r="665" customFormat="false" ht="15" hidden="false" customHeight="false" outlineLevel="0" collapsed="false">
      <c r="A665" s="36" t="n">
        <v>46209</v>
      </c>
      <c r="B665" s="24" t="s">
        <v>61</v>
      </c>
      <c r="C665" s="24" t="s">
        <v>167</v>
      </c>
      <c r="D665" s="33" t="n">
        <v>34</v>
      </c>
      <c r="E665" s="24" t="n">
        <v>0</v>
      </c>
      <c r="F665" s="37" t="n">
        <f aca="false">DATE(YEAR(A665),MONTH(A665),1)</f>
        <v>46204</v>
      </c>
      <c r="G665" s="24" t="str">
        <f aca="false">INDEX(Products!$C$2:$C$49,MATCH(C665,Products!$A$2:$A$49,0))</f>
        <v>Household</v>
      </c>
      <c r="H665" s="33" t="n">
        <f aca="false">D665*INDEX(Products!$E$2:$E$49,MATCH(C665,Products!$A$2:$A$49,0))</f>
        <v>5100</v>
      </c>
      <c r="I665" s="33" t="n">
        <f aca="false">D665*INDEX(Products!$D$2:$D$49,MATCH(C665,Products!$A$2:$A$49,0))*(1+INDEX(Assumptions!$B$16:$B$20,MATCH(B665,Assumptions!$A$16:$A$20,0)))</f>
        <v>3846.08</v>
      </c>
      <c r="J665" s="33" t="n">
        <f aca="false">H665-I665</f>
        <v>1253.92</v>
      </c>
      <c r="K665" s="33" t="n">
        <f aca="false">IF(OR(E665=0,E665&gt;=7),0,D665/(7-E665)*E665*INDEX(Products!$E$2:$E$49,MATCH(C665,Products!$A$2:$A$49,0)))</f>
        <v>0</v>
      </c>
    </row>
    <row r="666" customFormat="false" ht="15" hidden="false" customHeight="false" outlineLevel="0" collapsed="false">
      <c r="A666" s="36" t="n">
        <v>46216</v>
      </c>
      <c r="B666" s="24" t="s">
        <v>61</v>
      </c>
      <c r="C666" s="24" t="s">
        <v>167</v>
      </c>
      <c r="D666" s="33" t="n">
        <v>40</v>
      </c>
      <c r="E666" s="24" t="n">
        <v>0</v>
      </c>
      <c r="F666" s="37" t="n">
        <f aca="false">DATE(YEAR(A666),MONTH(A666),1)</f>
        <v>46204</v>
      </c>
      <c r="G666" s="24" t="str">
        <f aca="false">INDEX(Products!$C$2:$C$49,MATCH(C666,Products!$A$2:$A$49,0))</f>
        <v>Household</v>
      </c>
      <c r="H666" s="33" t="n">
        <f aca="false">D666*INDEX(Products!$E$2:$E$49,MATCH(C666,Products!$A$2:$A$49,0))</f>
        <v>6000</v>
      </c>
      <c r="I666" s="33" t="n">
        <f aca="false">D666*INDEX(Products!$D$2:$D$49,MATCH(C666,Products!$A$2:$A$49,0))*(1+INDEX(Assumptions!$B$16:$B$20,MATCH(B666,Assumptions!$A$16:$A$20,0)))</f>
        <v>4524.8</v>
      </c>
      <c r="J666" s="33" t="n">
        <f aca="false">H666-I666</f>
        <v>1475.2</v>
      </c>
      <c r="K666" s="33" t="n">
        <f aca="false">IF(OR(E666=0,E666&gt;=7),0,D666/(7-E666)*E666*INDEX(Products!$E$2:$E$49,MATCH(C666,Products!$A$2:$A$49,0)))</f>
        <v>0</v>
      </c>
    </row>
    <row r="667" customFormat="false" ht="15" hidden="false" customHeight="false" outlineLevel="0" collapsed="false">
      <c r="A667" s="36" t="n">
        <v>46223</v>
      </c>
      <c r="B667" s="24" t="s">
        <v>61</v>
      </c>
      <c r="C667" s="24" t="s">
        <v>167</v>
      </c>
      <c r="D667" s="33" t="n">
        <v>37</v>
      </c>
      <c r="E667" s="24" t="n">
        <v>0</v>
      </c>
      <c r="F667" s="37" t="n">
        <f aca="false">DATE(YEAR(A667),MONTH(A667),1)</f>
        <v>46204</v>
      </c>
      <c r="G667" s="24" t="str">
        <f aca="false">INDEX(Products!$C$2:$C$49,MATCH(C667,Products!$A$2:$A$49,0))</f>
        <v>Household</v>
      </c>
      <c r="H667" s="33" t="n">
        <f aca="false">D667*INDEX(Products!$E$2:$E$49,MATCH(C667,Products!$A$2:$A$49,0))</f>
        <v>5550</v>
      </c>
      <c r="I667" s="33" t="n">
        <f aca="false">D667*INDEX(Products!$D$2:$D$49,MATCH(C667,Products!$A$2:$A$49,0))*(1+INDEX(Assumptions!$B$16:$B$20,MATCH(B667,Assumptions!$A$16:$A$20,0)))</f>
        <v>4185.44</v>
      </c>
      <c r="J667" s="33" t="n">
        <f aca="false">H667-I667</f>
        <v>1364.56</v>
      </c>
      <c r="K667" s="33" t="n">
        <f aca="false">IF(OR(E667=0,E667&gt;=7),0,D667/(7-E667)*E667*INDEX(Products!$E$2:$E$49,MATCH(C667,Products!$A$2:$A$49,0)))</f>
        <v>0</v>
      </c>
    </row>
    <row r="668" customFormat="false" ht="15" hidden="false" customHeight="false" outlineLevel="0" collapsed="false">
      <c r="A668" s="36" t="n">
        <v>46230</v>
      </c>
      <c r="B668" s="24" t="s">
        <v>61</v>
      </c>
      <c r="C668" s="24" t="s">
        <v>167</v>
      </c>
      <c r="D668" s="33" t="n">
        <v>50</v>
      </c>
      <c r="E668" s="24" t="n">
        <v>0</v>
      </c>
      <c r="F668" s="37" t="n">
        <f aca="false">DATE(YEAR(A668),MONTH(A668),1)</f>
        <v>46204</v>
      </c>
      <c r="G668" s="24" t="str">
        <f aca="false">INDEX(Products!$C$2:$C$49,MATCH(C668,Products!$A$2:$A$49,0))</f>
        <v>Household</v>
      </c>
      <c r="H668" s="33" t="n">
        <f aca="false">D668*INDEX(Products!$E$2:$E$49,MATCH(C668,Products!$A$2:$A$49,0))</f>
        <v>7500</v>
      </c>
      <c r="I668" s="33" t="n">
        <f aca="false">D668*INDEX(Products!$D$2:$D$49,MATCH(C668,Products!$A$2:$A$49,0))*(1+INDEX(Assumptions!$B$16:$B$20,MATCH(B668,Assumptions!$A$16:$A$20,0)))</f>
        <v>5656</v>
      </c>
      <c r="J668" s="33" t="n">
        <f aca="false">H668-I668</f>
        <v>1844</v>
      </c>
      <c r="K668" s="33" t="n">
        <f aca="false">IF(OR(E668=0,E668&gt;=7),0,D668/(7-E668)*E668*INDEX(Products!$E$2:$E$49,MATCH(C668,Products!$A$2:$A$49,0)))</f>
        <v>0</v>
      </c>
    </row>
    <row r="669" customFormat="false" ht="15" hidden="false" customHeight="false" outlineLevel="0" collapsed="false">
      <c r="A669" s="36" t="n">
        <v>46237</v>
      </c>
      <c r="B669" s="24" t="s">
        <v>61</v>
      </c>
      <c r="C669" s="24" t="s">
        <v>167</v>
      </c>
      <c r="D669" s="33" t="n">
        <v>34</v>
      </c>
      <c r="E669" s="24" t="n">
        <v>0</v>
      </c>
      <c r="F669" s="37" t="n">
        <f aca="false">DATE(YEAR(A669),MONTH(A669),1)</f>
        <v>46235</v>
      </c>
      <c r="G669" s="24" t="str">
        <f aca="false">INDEX(Products!$C$2:$C$49,MATCH(C669,Products!$A$2:$A$49,0))</f>
        <v>Household</v>
      </c>
      <c r="H669" s="33" t="n">
        <f aca="false">D669*INDEX(Products!$E$2:$E$49,MATCH(C669,Products!$A$2:$A$49,0))</f>
        <v>5100</v>
      </c>
      <c r="I669" s="33" t="n">
        <f aca="false">D669*INDEX(Products!$D$2:$D$49,MATCH(C669,Products!$A$2:$A$49,0))*(1+INDEX(Assumptions!$B$16:$B$20,MATCH(B669,Assumptions!$A$16:$A$20,0)))</f>
        <v>3846.08</v>
      </c>
      <c r="J669" s="33" t="n">
        <f aca="false">H669-I669</f>
        <v>1253.92</v>
      </c>
      <c r="K669" s="33" t="n">
        <f aca="false">IF(OR(E669=0,E669&gt;=7),0,D669/(7-E669)*E669*INDEX(Products!$E$2:$E$49,MATCH(C669,Products!$A$2:$A$49,0)))</f>
        <v>0</v>
      </c>
    </row>
    <row r="670" customFormat="false" ht="15" hidden="false" customHeight="false" outlineLevel="0" collapsed="false">
      <c r="A670" s="36" t="n">
        <v>46244</v>
      </c>
      <c r="B670" s="24" t="s">
        <v>61</v>
      </c>
      <c r="C670" s="24" t="s">
        <v>167</v>
      </c>
      <c r="D670" s="33" t="n">
        <v>43</v>
      </c>
      <c r="E670" s="24" t="n">
        <v>0</v>
      </c>
      <c r="F670" s="37" t="n">
        <f aca="false">DATE(YEAR(A670),MONTH(A670),1)</f>
        <v>46235</v>
      </c>
      <c r="G670" s="24" t="str">
        <f aca="false">INDEX(Products!$C$2:$C$49,MATCH(C670,Products!$A$2:$A$49,0))</f>
        <v>Household</v>
      </c>
      <c r="H670" s="33" t="n">
        <f aca="false">D670*INDEX(Products!$E$2:$E$49,MATCH(C670,Products!$A$2:$A$49,0))</f>
        <v>6450</v>
      </c>
      <c r="I670" s="33" t="n">
        <f aca="false">D670*INDEX(Products!$D$2:$D$49,MATCH(C670,Products!$A$2:$A$49,0))*(1+INDEX(Assumptions!$B$16:$B$20,MATCH(B670,Assumptions!$A$16:$A$20,0)))</f>
        <v>4864.16</v>
      </c>
      <c r="J670" s="33" t="n">
        <f aca="false">H670-I670</f>
        <v>1585.84</v>
      </c>
      <c r="K670" s="33" t="n">
        <f aca="false">IF(OR(E670=0,E670&gt;=7),0,D670/(7-E670)*E670*INDEX(Products!$E$2:$E$49,MATCH(C670,Products!$A$2:$A$49,0)))</f>
        <v>0</v>
      </c>
    </row>
    <row r="671" customFormat="false" ht="15" hidden="false" customHeight="false" outlineLevel="0" collapsed="false">
      <c r="A671" s="36" t="n">
        <v>46251</v>
      </c>
      <c r="B671" s="24" t="s">
        <v>61</v>
      </c>
      <c r="C671" s="24" t="s">
        <v>167</v>
      </c>
      <c r="D671" s="33" t="n">
        <v>40</v>
      </c>
      <c r="E671" s="24" t="n">
        <v>0</v>
      </c>
      <c r="F671" s="37" t="n">
        <f aca="false">DATE(YEAR(A671),MONTH(A671),1)</f>
        <v>46235</v>
      </c>
      <c r="G671" s="24" t="str">
        <f aca="false">INDEX(Products!$C$2:$C$49,MATCH(C671,Products!$A$2:$A$49,0))</f>
        <v>Household</v>
      </c>
      <c r="H671" s="33" t="n">
        <f aca="false">D671*INDEX(Products!$E$2:$E$49,MATCH(C671,Products!$A$2:$A$49,0))</f>
        <v>6000</v>
      </c>
      <c r="I671" s="33" t="n">
        <f aca="false">D671*INDEX(Products!$D$2:$D$49,MATCH(C671,Products!$A$2:$A$49,0))*(1+INDEX(Assumptions!$B$16:$B$20,MATCH(B671,Assumptions!$A$16:$A$20,0)))</f>
        <v>4524.8</v>
      </c>
      <c r="J671" s="33" t="n">
        <f aca="false">H671-I671</f>
        <v>1475.2</v>
      </c>
      <c r="K671" s="33" t="n">
        <f aca="false">IF(OR(E671=0,E671&gt;=7),0,D671/(7-E671)*E671*INDEX(Products!$E$2:$E$49,MATCH(C671,Products!$A$2:$A$49,0)))</f>
        <v>0</v>
      </c>
    </row>
    <row r="672" customFormat="false" ht="15" hidden="false" customHeight="false" outlineLevel="0" collapsed="false">
      <c r="A672" s="36" t="n">
        <v>46258</v>
      </c>
      <c r="B672" s="24" t="s">
        <v>61</v>
      </c>
      <c r="C672" s="24" t="s">
        <v>167</v>
      </c>
      <c r="D672" s="33" t="n">
        <v>48</v>
      </c>
      <c r="E672" s="24" t="n">
        <v>0</v>
      </c>
      <c r="F672" s="37" t="n">
        <f aca="false">DATE(YEAR(A672),MONTH(A672),1)</f>
        <v>46235</v>
      </c>
      <c r="G672" s="24" t="str">
        <f aca="false">INDEX(Products!$C$2:$C$49,MATCH(C672,Products!$A$2:$A$49,0))</f>
        <v>Household</v>
      </c>
      <c r="H672" s="33" t="n">
        <f aca="false">D672*INDEX(Products!$E$2:$E$49,MATCH(C672,Products!$A$2:$A$49,0))</f>
        <v>7200</v>
      </c>
      <c r="I672" s="33" t="n">
        <f aca="false">D672*INDEX(Products!$D$2:$D$49,MATCH(C672,Products!$A$2:$A$49,0))*(1+INDEX(Assumptions!$B$16:$B$20,MATCH(B672,Assumptions!$A$16:$A$20,0)))</f>
        <v>5429.76</v>
      </c>
      <c r="J672" s="33" t="n">
        <f aca="false">H672-I672</f>
        <v>1770.24</v>
      </c>
      <c r="K672" s="33" t="n">
        <f aca="false">IF(OR(E672=0,E672&gt;=7),0,D672/(7-E672)*E672*INDEX(Products!$E$2:$E$49,MATCH(C672,Products!$A$2:$A$49,0)))</f>
        <v>0</v>
      </c>
    </row>
    <row r="673" customFormat="false" ht="15" hidden="false" customHeight="false" outlineLevel="0" collapsed="false">
      <c r="A673" s="36" t="n">
        <v>46265</v>
      </c>
      <c r="B673" s="24" t="s">
        <v>61</v>
      </c>
      <c r="C673" s="24" t="s">
        <v>167</v>
      </c>
      <c r="D673" s="33" t="n">
        <v>46</v>
      </c>
      <c r="E673" s="24" t="n">
        <v>0</v>
      </c>
      <c r="F673" s="37" t="n">
        <f aca="false">DATE(YEAR(A673),MONTH(A673),1)</f>
        <v>46235</v>
      </c>
      <c r="G673" s="24" t="str">
        <f aca="false">INDEX(Products!$C$2:$C$49,MATCH(C673,Products!$A$2:$A$49,0))</f>
        <v>Household</v>
      </c>
      <c r="H673" s="33" t="n">
        <f aca="false">D673*INDEX(Products!$E$2:$E$49,MATCH(C673,Products!$A$2:$A$49,0))</f>
        <v>6900</v>
      </c>
      <c r="I673" s="33" t="n">
        <f aca="false">D673*INDEX(Products!$D$2:$D$49,MATCH(C673,Products!$A$2:$A$49,0))*(1+INDEX(Assumptions!$B$16:$B$20,MATCH(B673,Assumptions!$A$16:$A$20,0)))</f>
        <v>5203.52</v>
      </c>
      <c r="J673" s="33" t="n">
        <f aca="false">H673-I673</f>
        <v>1696.48</v>
      </c>
      <c r="K673" s="33" t="n">
        <f aca="false">IF(OR(E673=0,E673&gt;=7),0,D673/(7-E673)*E673*INDEX(Products!$E$2:$E$49,MATCH(C673,Products!$A$2:$A$49,0)))</f>
        <v>0</v>
      </c>
    </row>
    <row r="674" customFormat="false" ht="15" hidden="false" customHeight="false" outlineLevel="0" collapsed="false">
      <c r="A674" s="36" t="n">
        <v>46272</v>
      </c>
      <c r="B674" s="24" t="s">
        <v>61</v>
      </c>
      <c r="C674" s="24" t="s">
        <v>167</v>
      </c>
      <c r="D674" s="33" t="n">
        <v>53</v>
      </c>
      <c r="E674" s="24" t="n">
        <v>0</v>
      </c>
      <c r="F674" s="37" t="n">
        <f aca="false">DATE(YEAR(A674),MONTH(A674),1)</f>
        <v>46266</v>
      </c>
      <c r="G674" s="24" t="str">
        <f aca="false">INDEX(Products!$C$2:$C$49,MATCH(C674,Products!$A$2:$A$49,0))</f>
        <v>Household</v>
      </c>
      <c r="H674" s="33" t="n">
        <f aca="false">D674*INDEX(Products!$E$2:$E$49,MATCH(C674,Products!$A$2:$A$49,0))</f>
        <v>7950</v>
      </c>
      <c r="I674" s="33" t="n">
        <f aca="false">D674*INDEX(Products!$D$2:$D$49,MATCH(C674,Products!$A$2:$A$49,0))*(1+INDEX(Assumptions!$B$16:$B$20,MATCH(B674,Assumptions!$A$16:$A$20,0)))</f>
        <v>5995.36</v>
      </c>
      <c r="J674" s="33" t="n">
        <f aca="false">H674-I674</f>
        <v>1954.64</v>
      </c>
      <c r="K674" s="33" t="n">
        <f aca="false">IF(OR(E674=0,E674&gt;=7),0,D674/(7-E674)*E674*INDEX(Products!$E$2:$E$49,MATCH(C674,Products!$A$2:$A$49,0)))</f>
        <v>0</v>
      </c>
    </row>
    <row r="675" customFormat="false" ht="15" hidden="false" customHeight="false" outlineLevel="0" collapsed="false">
      <c r="A675" s="36" t="n">
        <v>46279</v>
      </c>
      <c r="B675" s="24" t="s">
        <v>61</v>
      </c>
      <c r="C675" s="24" t="s">
        <v>167</v>
      </c>
      <c r="D675" s="33" t="n">
        <v>40</v>
      </c>
      <c r="E675" s="24" t="n">
        <v>0</v>
      </c>
      <c r="F675" s="37" t="n">
        <f aca="false">DATE(YEAR(A675),MONTH(A675),1)</f>
        <v>46266</v>
      </c>
      <c r="G675" s="24" t="str">
        <f aca="false">INDEX(Products!$C$2:$C$49,MATCH(C675,Products!$A$2:$A$49,0))</f>
        <v>Household</v>
      </c>
      <c r="H675" s="33" t="n">
        <f aca="false">D675*INDEX(Products!$E$2:$E$49,MATCH(C675,Products!$A$2:$A$49,0))</f>
        <v>6000</v>
      </c>
      <c r="I675" s="33" t="n">
        <f aca="false">D675*INDEX(Products!$D$2:$D$49,MATCH(C675,Products!$A$2:$A$49,0))*(1+INDEX(Assumptions!$B$16:$B$20,MATCH(B675,Assumptions!$A$16:$A$20,0)))</f>
        <v>4524.8</v>
      </c>
      <c r="J675" s="33" t="n">
        <f aca="false">H675-I675</f>
        <v>1475.2</v>
      </c>
      <c r="K675" s="33" t="n">
        <f aca="false">IF(OR(E675=0,E675&gt;=7),0,D675/(7-E675)*E675*INDEX(Products!$E$2:$E$49,MATCH(C675,Products!$A$2:$A$49,0)))</f>
        <v>0</v>
      </c>
    </row>
    <row r="676" customFormat="false" ht="15" hidden="false" customHeight="false" outlineLevel="0" collapsed="false">
      <c r="A676" s="36" t="n">
        <v>46286</v>
      </c>
      <c r="B676" s="24" t="s">
        <v>61</v>
      </c>
      <c r="C676" s="24" t="s">
        <v>167</v>
      </c>
      <c r="D676" s="33" t="n">
        <v>66</v>
      </c>
      <c r="E676" s="24" t="n">
        <v>0</v>
      </c>
      <c r="F676" s="37" t="n">
        <f aca="false">DATE(YEAR(A676),MONTH(A676),1)</f>
        <v>46266</v>
      </c>
      <c r="G676" s="24" t="str">
        <f aca="false">INDEX(Products!$C$2:$C$49,MATCH(C676,Products!$A$2:$A$49,0))</f>
        <v>Household</v>
      </c>
      <c r="H676" s="33" t="n">
        <f aca="false">D676*INDEX(Products!$E$2:$E$49,MATCH(C676,Products!$A$2:$A$49,0))</f>
        <v>9900</v>
      </c>
      <c r="I676" s="33" t="n">
        <f aca="false">D676*INDEX(Products!$D$2:$D$49,MATCH(C676,Products!$A$2:$A$49,0))*(1+INDEX(Assumptions!$B$16:$B$20,MATCH(B676,Assumptions!$A$16:$A$20,0)))</f>
        <v>7465.92</v>
      </c>
      <c r="J676" s="33" t="n">
        <f aca="false">H676-I676</f>
        <v>2434.08</v>
      </c>
      <c r="K676" s="33" t="n">
        <f aca="false">IF(OR(E676=0,E676&gt;=7),0,D676/(7-E676)*E676*INDEX(Products!$E$2:$E$49,MATCH(C676,Products!$A$2:$A$49,0)))</f>
        <v>0</v>
      </c>
    </row>
    <row r="677" customFormat="false" ht="15" hidden="false" customHeight="false" outlineLevel="0" collapsed="false">
      <c r="A677" s="36" t="n">
        <v>46118</v>
      </c>
      <c r="B677" s="24" t="s">
        <v>61</v>
      </c>
      <c r="C677" s="24" t="s">
        <v>169</v>
      </c>
      <c r="D677" s="33" t="n">
        <v>46</v>
      </c>
      <c r="E677" s="24" t="n">
        <v>0</v>
      </c>
      <c r="F677" s="37" t="n">
        <f aca="false">DATE(YEAR(A677),MONTH(A677),1)</f>
        <v>46113</v>
      </c>
      <c r="G677" s="24" t="str">
        <f aca="false">INDEX(Products!$C$2:$C$49,MATCH(C677,Products!$A$2:$A$49,0))</f>
        <v>Household</v>
      </c>
      <c r="H677" s="33" t="n">
        <f aca="false">D677*INDEX(Products!$E$2:$E$49,MATCH(C677,Products!$A$2:$A$49,0))</f>
        <v>19320</v>
      </c>
      <c r="I677" s="33" t="n">
        <f aca="false">D677*INDEX(Products!$D$2:$D$49,MATCH(C677,Products!$A$2:$A$49,0))*(1+INDEX(Assumptions!$B$16:$B$20,MATCH(B677,Assumptions!$A$16:$A$20,0)))</f>
        <v>14588.44</v>
      </c>
      <c r="J677" s="33" t="n">
        <f aca="false">H677-I677</f>
        <v>4731.56</v>
      </c>
      <c r="K677" s="33" t="n">
        <f aca="false">IF(OR(E677=0,E677&gt;=7),0,D677/(7-E677)*E677*INDEX(Products!$E$2:$E$49,MATCH(C677,Products!$A$2:$A$49,0)))</f>
        <v>0</v>
      </c>
    </row>
    <row r="678" customFormat="false" ht="15" hidden="false" customHeight="false" outlineLevel="0" collapsed="false">
      <c r="A678" s="36" t="n">
        <v>46125</v>
      </c>
      <c r="B678" s="24" t="s">
        <v>61</v>
      </c>
      <c r="C678" s="24" t="s">
        <v>169</v>
      </c>
      <c r="D678" s="33" t="n">
        <v>35</v>
      </c>
      <c r="E678" s="24" t="n">
        <v>0</v>
      </c>
      <c r="F678" s="37" t="n">
        <f aca="false">DATE(YEAR(A678),MONTH(A678),1)</f>
        <v>46113</v>
      </c>
      <c r="G678" s="24" t="str">
        <f aca="false">INDEX(Products!$C$2:$C$49,MATCH(C678,Products!$A$2:$A$49,0))</f>
        <v>Household</v>
      </c>
      <c r="H678" s="33" t="n">
        <f aca="false">D678*INDEX(Products!$E$2:$E$49,MATCH(C678,Products!$A$2:$A$49,0))</f>
        <v>14700</v>
      </c>
      <c r="I678" s="33" t="n">
        <f aca="false">D678*INDEX(Products!$D$2:$D$49,MATCH(C678,Products!$A$2:$A$49,0))*(1+INDEX(Assumptions!$B$16:$B$20,MATCH(B678,Assumptions!$A$16:$A$20,0)))</f>
        <v>11099.9</v>
      </c>
      <c r="J678" s="33" t="n">
        <f aca="false">H678-I678</f>
        <v>3600.1</v>
      </c>
      <c r="K678" s="33" t="n">
        <f aca="false">IF(OR(E678=0,E678&gt;=7),0,D678/(7-E678)*E678*INDEX(Products!$E$2:$E$49,MATCH(C678,Products!$A$2:$A$49,0)))</f>
        <v>0</v>
      </c>
    </row>
    <row r="679" customFormat="false" ht="15" hidden="false" customHeight="false" outlineLevel="0" collapsed="false">
      <c r="A679" s="36" t="n">
        <v>46132</v>
      </c>
      <c r="B679" s="24" t="s">
        <v>61</v>
      </c>
      <c r="C679" s="24" t="s">
        <v>169</v>
      </c>
      <c r="D679" s="33" t="n">
        <v>47</v>
      </c>
      <c r="E679" s="24" t="n">
        <v>0</v>
      </c>
      <c r="F679" s="37" t="n">
        <f aca="false">DATE(YEAR(A679),MONTH(A679),1)</f>
        <v>46113</v>
      </c>
      <c r="G679" s="24" t="str">
        <f aca="false">INDEX(Products!$C$2:$C$49,MATCH(C679,Products!$A$2:$A$49,0))</f>
        <v>Household</v>
      </c>
      <c r="H679" s="33" t="n">
        <f aca="false">D679*INDEX(Products!$E$2:$E$49,MATCH(C679,Products!$A$2:$A$49,0))</f>
        <v>19740</v>
      </c>
      <c r="I679" s="33" t="n">
        <f aca="false">D679*INDEX(Products!$D$2:$D$49,MATCH(C679,Products!$A$2:$A$49,0))*(1+INDEX(Assumptions!$B$16:$B$20,MATCH(B679,Assumptions!$A$16:$A$20,0)))</f>
        <v>14905.58</v>
      </c>
      <c r="J679" s="33" t="n">
        <f aca="false">H679-I679</f>
        <v>4834.42</v>
      </c>
      <c r="K679" s="33" t="n">
        <f aca="false">IF(OR(E679=0,E679&gt;=7),0,D679/(7-E679)*E679*INDEX(Products!$E$2:$E$49,MATCH(C679,Products!$A$2:$A$49,0)))</f>
        <v>0</v>
      </c>
    </row>
    <row r="680" customFormat="false" ht="15" hidden="false" customHeight="false" outlineLevel="0" collapsed="false">
      <c r="A680" s="36" t="n">
        <v>46139</v>
      </c>
      <c r="B680" s="24" t="s">
        <v>61</v>
      </c>
      <c r="C680" s="24" t="s">
        <v>169</v>
      </c>
      <c r="D680" s="33" t="n">
        <v>38</v>
      </c>
      <c r="E680" s="24" t="n">
        <v>0</v>
      </c>
      <c r="F680" s="37" t="n">
        <f aca="false">DATE(YEAR(A680),MONTH(A680),1)</f>
        <v>46113</v>
      </c>
      <c r="G680" s="24" t="str">
        <f aca="false">INDEX(Products!$C$2:$C$49,MATCH(C680,Products!$A$2:$A$49,0))</f>
        <v>Household</v>
      </c>
      <c r="H680" s="33" t="n">
        <f aca="false">D680*INDEX(Products!$E$2:$E$49,MATCH(C680,Products!$A$2:$A$49,0))</f>
        <v>15960</v>
      </c>
      <c r="I680" s="33" t="n">
        <f aca="false">D680*INDEX(Products!$D$2:$D$49,MATCH(C680,Products!$A$2:$A$49,0))*(1+INDEX(Assumptions!$B$16:$B$20,MATCH(B680,Assumptions!$A$16:$A$20,0)))</f>
        <v>12051.32</v>
      </c>
      <c r="J680" s="33" t="n">
        <f aca="false">H680-I680</f>
        <v>3908.68</v>
      </c>
      <c r="K680" s="33" t="n">
        <f aca="false">IF(OR(E680=0,E680&gt;=7),0,D680/(7-E680)*E680*INDEX(Products!$E$2:$E$49,MATCH(C680,Products!$A$2:$A$49,0)))</f>
        <v>0</v>
      </c>
    </row>
    <row r="681" customFormat="false" ht="15" hidden="false" customHeight="false" outlineLevel="0" collapsed="false">
      <c r="A681" s="36" t="n">
        <v>46146</v>
      </c>
      <c r="B681" s="24" t="s">
        <v>61</v>
      </c>
      <c r="C681" s="24" t="s">
        <v>169</v>
      </c>
      <c r="D681" s="33" t="n">
        <v>41</v>
      </c>
      <c r="E681" s="24" t="n">
        <v>0</v>
      </c>
      <c r="F681" s="37" t="n">
        <f aca="false">DATE(YEAR(A681),MONTH(A681),1)</f>
        <v>46143</v>
      </c>
      <c r="G681" s="24" t="str">
        <f aca="false">INDEX(Products!$C$2:$C$49,MATCH(C681,Products!$A$2:$A$49,0))</f>
        <v>Household</v>
      </c>
      <c r="H681" s="33" t="n">
        <f aca="false">D681*INDEX(Products!$E$2:$E$49,MATCH(C681,Products!$A$2:$A$49,0))</f>
        <v>17220</v>
      </c>
      <c r="I681" s="33" t="n">
        <f aca="false">D681*INDEX(Products!$D$2:$D$49,MATCH(C681,Products!$A$2:$A$49,0))*(1+INDEX(Assumptions!$B$16:$B$20,MATCH(B681,Assumptions!$A$16:$A$20,0)))</f>
        <v>13002.74</v>
      </c>
      <c r="J681" s="33" t="n">
        <f aca="false">H681-I681</f>
        <v>4217.26</v>
      </c>
      <c r="K681" s="33" t="n">
        <f aca="false">IF(OR(E681=0,E681&gt;=7),0,D681/(7-E681)*E681*INDEX(Products!$E$2:$E$49,MATCH(C681,Products!$A$2:$A$49,0)))</f>
        <v>0</v>
      </c>
    </row>
    <row r="682" customFormat="false" ht="15" hidden="false" customHeight="false" outlineLevel="0" collapsed="false">
      <c r="A682" s="36" t="n">
        <v>46153</v>
      </c>
      <c r="B682" s="24" t="s">
        <v>61</v>
      </c>
      <c r="C682" s="24" t="s">
        <v>169</v>
      </c>
      <c r="D682" s="33" t="n">
        <v>53</v>
      </c>
      <c r="E682" s="24" t="n">
        <v>0</v>
      </c>
      <c r="F682" s="37" t="n">
        <f aca="false">DATE(YEAR(A682),MONTH(A682),1)</f>
        <v>46143</v>
      </c>
      <c r="G682" s="24" t="str">
        <f aca="false">INDEX(Products!$C$2:$C$49,MATCH(C682,Products!$A$2:$A$49,0))</f>
        <v>Household</v>
      </c>
      <c r="H682" s="33" t="n">
        <f aca="false">D682*INDEX(Products!$E$2:$E$49,MATCH(C682,Products!$A$2:$A$49,0))</f>
        <v>22260</v>
      </c>
      <c r="I682" s="33" t="n">
        <f aca="false">D682*INDEX(Products!$D$2:$D$49,MATCH(C682,Products!$A$2:$A$49,0))*(1+INDEX(Assumptions!$B$16:$B$20,MATCH(B682,Assumptions!$A$16:$A$20,0)))</f>
        <v>16808.42</v>
      </c>
      <c r="J682" s="33" t="n">
        <f aca="false">H682-I682</f>
        <v>5451.58</v>
      </c>
      <c r="K682" s="33" t="n">
        <f aca="false">IF(OR(E682=0,E682&gt;=7),0,D682/(7-E682)*E682*INDEX(Products!$E$2:$E$49,MATCH(C682,Products!$A$2:$A$49,0)))</f>
        <v>0</v>
      </c>
    </row>
    <row r="683" customFormat="false" ht="15" hidden="false" customHeight="false" outlineLevel="0" collapsed="false">
      <c r="A683" s="36" t="n">
        <v>46160</v>
      </c>
      <c r="B683" s="24" t="s">
        <v>61</v>
      </c>
      <c r="C683" s="24" t="s">
        <v>169</v>
      </c>
      <c r="D683" s="33" t="n">
        <v>34</v>
      </c>
      <c r="E683" s="24" t="n">
        <v>0</v>
      </c>
      <c r="F683" s="37" t="n">
        <f aca="false">DATE(YEAR(A683),MONTH(A683),1)</f>
        <v>46143</v>
      </c>
      <c r="G683" s="24" t="str">
        <f aca="false">INDEX(Products!$C$2:$C$49,MATCH(C683,Products!$A$2:$A$49,0))</f>
        <v>Household</v>
      </c>
      <c r="H683" s="33" t="n">
        <f aca="false">D683*INDEX(Products!$E$2:$E$49,MATCH(C683,Products!$A$2:$A$49,0))</f>
        <v>14280</v>
      </c>
      <c r="I683" s="33" t="n">
        <f aca="false">D683*INDEX(Products!$D$2:$D$49,MATCH(C683,Products!$A$2:$A$49,0))*(1+INDEX(Assumptions!$B$16:$B$20,MATCH(B683,Assumptions!$A$16:$A$20,0)))</f>
        <v>10782.76</v>
      </c>
      <c r="J683" s="33" t="n">
        <f aca="false">H683-I683</f>
        <v>3497.24</v>
      </c>
      <c r="K683" s="33" t="n">
        <f aca="false">IF(OR(E683=0,E683&gt;=7),0,D683/(7-E683)*E683*INDEX(Products!$E$2:$E$49,MATCH(C683,Products!$A$2:$A$49,0)))</f>
        <v>0</v>
      </c>
    </row>
    <row r="684" customFormat="false" ht="15" hidden="false" customHeight="false" outlineLevel="0" collapsed="false">
      <c r="A684" s="36" t="n">
        <v>46167</v>
      </c>
      <c r="B684" s="24" t="s">
        <v>61</v>
      </c>
      <c r="C684" s="24" t="s">
        <v>169</v>
      </c>
      <c r="D684" s="33" t="n">
        <v>50</v>
      </c>
      <c r="E684" s="24" t="n">
        <v>0</v>
      </c>
      <c r="F684" s="37" t="n">
        <f aca="false">DATE(YEAR(A684),MONTH(A684),1)</f>
        <v>46143</v>
      </c>
      <c r="G684" s="24" t="str">
        <f aca="false">INDEX(Products!$C$2:$C$49,MATCH(C684,Products!$A$2:$A$49,0))</f>
        <v>Household</v>
      </c>
      <c r="H684" s="33" t="n">
        <f aca="false">D684*INDEX(Products!$E$2:$E$49,MATCH(C684,Products!$A$2:$A$49,0))</f>
        <v>21000</v>
      </c>
      <c r="I684" s="33" t="n">
        <f aca="false">D684*INDEX(Products!$D$2:$D$49,MATCH(C684,Products!$A$2:$A$49,0))*(1+INDEX(Assumptions!$B$16:$B$20,MATCH(B684,Assumptions!$A$16:$A$20,0)))</f>
        <v>15857</v>
      </c>
      <c r="J684" s="33" t="n">
        <f aca="false">H684-I684</f>
        <v>5143</v>
      </c>
      <c r="K684" s="33" t="n">
        <f aca="false">IF(OR(E684=0,E684&gt;=7),0,D684/(7-E684)*E684*INDEX(Products!$E$2:$E$49,MATCH(C684,Products!$A$2:$A$49,0)))</f>
        <v>0</v>
      </c>
    </row>
    <row r="685" customFormat="false" ht="15" hidden="false" customHeight="false" outlineLevel="0" collapsed="false">
      <c r="A685" s="36" t="n">
        <v>46174</v>
      </c>
      <c r="B685" s="24" t="s">
        <v>61</v>
      </c>
      <c r="C685" s="24" t="s">
        <v>169</v>
      </c>
      <c r="D685" s="33" t="n">
        <v>34</v>
      </c>
      <c r="E685" s="24" t="n">
        <v>0</v>
      </c>
      <c r="F685" s="37" t="n">
        <f aca="false">DATE(YEAR(A685),MONTH(A685),1)</f>
        <v>46174</v>
      </c>
      <c r="G685" s="24" t="str">
        <f aca="false">INDEX(Products!$C$2:$C$49,MATCH(C685,Products!$A$2:$A$49,0))</f>
        <v>Household</v>
      </c>
      <c r="H685" s="33" t="n">
        <f aca="false">D685*INDEX(Products!$E$2:$E$49,MATCH(C685,Products!$A$2:$A$49,0))</f>
        <v>14280</v>
      </c>
      <c r="I685" s="33" t="n">
        <f aca="false">D685*INDEX(Products!$D$2:$D$49,MATCH(C685,Products!$A$2:$A$49,0))*(1+INDEX(Assumptions!$B$16:$B$20,MATCH(B685,Assumptions!$A$16:$A$20,0)))</f>
        <v>10782.76</v>
      </c>
      <c r="J685" s="33" t="n">
        <f aca="false">H685-I685</f>
        <v>3497.24</v>
      </c>
      <c r="K685" s="33" t="n">
        <f aca="false">IF(OR(E685=0,E685&gt;=7),0,D685/(7-E685)*E685*INDEX(Products!$E$2:$E$49,MATCH(C685,Products!$A$2:$A$49,0)))</f>
        <v>0</v>
      </c>
    </row>
    <row r="686" customFormat="false" ht="15" hidden="false" customHeight="false" outlineLevel="0" collapsed="false">
      <c r="A686" s="36" t="n">
        <v>46181</v>
      </c>
      <c r="B686" s="24" t="s">
        <v>61</v>
      </c>
      <c r="C686" s="24" t="s">
        <v>169</v>
      </c>
      <c r="D686" s="33" t="n">
        <v>35</v>
      </c>
      <c r="E686" s="24" t="n">
        <v>0</v>
      </c>
      <c r="F686" s="37" t="n">
        <f aca="false">DATE(YEAR(A686),MONTH(A686),1)</f>
        <v>46174</v>
      </c>
      <c r="G686" s="24" t="str">
        <f aca="false">INDEX(Products!$C$2:$C$49,MATCH(C686,Products!$A$2:$A$49,0))</f>
        <v>Household</v>
      </c>
      <c r="H686" s="33" t="n">
        <f aca="false">D686*INDEX(Products!$E$2:$E$49,MATCH(C686,Products!$A$2:$A$49,0))</f>
        <v>14700</v>
      </c>
      <c r="I686" s="33" t="n">
        <f aca="false">D686*INDEX(Products!$D$2:$D$49,MATCH(C686,Products!$A$2:$A$49,0))*(1+INDEX(Assumptions!$B$16:$B$20,MATCH(B686,Assumptions!$A$16:$A$20,0)))</f>
        <v>11099.9</v>
      </c>
      <c r="J686" s="33" t="n">
        <f aca="false">H686-I686</f>
        <v>3600.1</v>
      </c>
      <c r="K686" s="33" t="n">
        <f aca="false">IF(OR(E686=0,E686&gt;=7),0,D686/(7-E686)*E686*INDEX(Products!$E$2:$E$49,MATCH(C686,Products!$A$2:$A$49,0)))</f>
        <v>0</v>
      </c>
    </row>
    <row r="687" customFormat="false" ht="15" hidden="false" customHeight="false" outlineLevel="0" collapsed="false">
      <c r="A687" s="36" t="n">
        <v>46188</v>
      </c>
      <c r="B687" s="24" t="s">
        <v>61</v>
      </c>
      <c r="C687" s="24" t="s">
        <v>169</v>
      </c>
      <c r="D687" s="33" t="n">
        <v>32</v>
      </c>
      <c r="E687" s="24" t="n">
        <v>0</v>
      </c>
      <c r="F687" s="37" t="n">
        <f aca="false">DATE(YEAR(A687),MONTH(A687),1)</f>
        <v>46174</v>
      </c>
      <c r="G687" s="24" t="str">
        <f aca="false">INDEX(Products!$C$2:$C$49,MATCH(C687,Products!$A$2:$A$49,0))</f>
        <v>Household</v>
      </c>
      <c r="H687" s="33" t="n">
        <f aca="false">D687*INDEX(Products!$E$2:$E$49,MATCH(C687,Products!$A$2:$A$49,0))</f>
        <v>13440</v>
      </c>
      <c r="I687" s="33" t="n">
        <f aca="false">D687*INDEX(Products!$D$2:$D$49,MATCH(C687,Products!$A$2:$A$49,0))*(1+INDEX(Assumptions!$B$16:$B$20,MATCH(B687,Assumptions!$A$16:$A$20,0)))</f>
        <v>10148.48</v>
      </c>
      <c r="J687" s="33" t="n">
        <f aca="false">H687-I687</f>
        <v>3291.52</v>
      </c>
      <c r="K687" s="33" t="n">
        <f aca="false">IF(OR(E687=0,E687&gt;=7),0,D687/(7-E687)*E687*INDEX(Products!$E$2:$E$49,MATCH(C687,Products!$A$2:$A$49,0)))</f>
        <v>0</v>
      </c>
    </row>
    <row r="688" customFormat="false" ht="15" hidden="false" customHeight="false" outlineLevel="0" collapsed="false">
      <c r="A688" s="36" t="n">
        <v>46195</v>
      </c>
      <c r="B688" s="24" t="s">
        <v>61</v>
      </c>
      <c r="C688" s="24" t="s">
        <v>169</v>
      </c>
      <c r="D688" s="33" t="n">
        <v>46</v>
      </c>
      <c r="E688" s="24" t="n">
        <v>0</v>
      </c>
      <c r="F688" s="37" t="n">
        <f aca="false">DATE(YEAR(A688),MONTH(A688),1)</f>
        <v>46174</v>
      </c>
      <c r="G688" s="24" t="str">
        <f aca="false">INDEX(Products!$C$2:$C$49,MATCH(C688,Products!$A$2:$A$49,0))</f>
        <v>Household</v>
      </c>
      <c r="H688" s="33" t="n">
        <f aca="false">D688*INDEX(Products!$E$2:$E$49,MATCH(C688,Products!$A$2:$A$49,0))</f>
        <v>19320</v>
      </c>
      <c r="I688" s="33" t="n">
        <f aca="false">D688*INDEX(Products!$D$2:$D$49,MATCH(C688,Products!$A$2:$A$49,0))*(1+INDEX(Assumptions!$B$16:$B$20,MATCH(B688,Assumptions!$A$16:$A$20,0)))</f>
        <v>14588.44</v>
      </c>
      <c r="J688" s="33" t="n">
        <f aca="false">H688-I688</f>
        <v>4731.56</v>
      </c>
      <c r="K688" s="33" t="n">
        <f aca="false">IF(OR(E688=0,E688&gt;=7),0,D688/(7-E688)*E688*INDEX(Products!$E$2:$E$49,MATCH(C688,Products!$A$2:$A$49,0)))</f>
        <v>0</v>
      </c>
    </row>
    <row r="689" customFormat="false" ht="15" hidden="false" customHeight="false" outlineLevel="0" collapsed="false">
      <c r="A689" s="36" t="n">
        <v>46202</v>
      </c>
      <c r="B689" s="24" t="s">
        <v>61</v>
      </c>
      <c r="C689" s="24" t="s">
        <v>169</v>
      </c>
      <c r="D689" s="33" t="n">
        <v>37</v>
      </c>
      <c r="E689" s="24" t="n">
        <v>0</v>
      </c>
      <c r="F689" s="37" t="n">
        <f aca="false">DATE(YEAR(A689),MONTH(A689),1)</f>
        <v>46174</v>
      </c>
      <c r="G689" s="24" t="str">
        <f aca="false">INDEX(Products!$C$2:$C$49,MATCH(C689,Products!$A$2:$A$49,0))</f>
        <v>Household</v>
      </c>
      <c r="H689" s="33" t="n">
        <f aca="false">D689*INDEX(Products!$E$2:$E$49,MATCH(C689,Products!$A$2:$A$49,0))</f>
        <v>15540</v>
      </c>
      <c r="I689" s="33" t="n">
        <f aca="false">D689*INDEX(Products!$D$2:$D$49,MATCH(C689,Products!$A$2:$A$49,0))*(1+INDEX(Assumptions!$B$16:$B$20,MATCH(B689,Assumptions!$A$16:$A$20,0)))</f>
        <v>11734.18</v>
      </c>
      <c r="J689" s="33" t="n">
        <f aca="false">H689-I689</f>
        <v>3805.82</v>
      </c>
      <c r="K689" s="33" t="n">
        <f aca="false">IF(OR(E689=0,E689&gt;=7),0,D689/(7-E689)*E689*INDEX(Products!$E$2:$E$49,MATCH(C689,Products!$A$2:$A$49,0)))</f>
        <v>0</v>
      </c>
    </row>
    <row r="690" customFormat="false" ht="15" hidden="false" customHeight="false" outlineLevel="0" collapsed="false">
      <c r="A690" s="36" t="n">
        <v>46209</v>
      </c>
      <c r="B690" s="24" t="s">
        <v>61</v>
      </c>
      <c r="C690" s="24" t="s">
        <v>169</v>
      </c>
      <c r="D690" s="33" t="n">
        <v>33</v>
      </c>
      <c r="E690" s="24" t="n">
        <v>0</v>
      </c>
      <c r="F690" s="37" t="n">
        <f aca="false">DATE(YEAR(A690),MONTH(A690),1)</f>
        <v>46204</v>
      </c>
      <c r="G690" s="24" t="str">
        <f aca="false">INDEX(Products!$C$2:$C$49,MATCH(C690,Products!$A$2:$A$49,0))</f>
        <v>Household</v>
      </c>
      <c r="H690" s="33" t="n">
        <f aca="false">D690*INDEX(Products!$E$2:$E$49,MATCH(C690,Products!$A$2:$A$49,0))</f>
        <v>13860</v>
      </c>
      <c r="I690" s="33" t="n">
        <f aca="false">D690*INDEX(Products!$D$2:$D$49,MATCH(C690,Products!$A$2:$A$49,0))*(1+INDEX(Assumptions!$B$16:$B$20,MATCH(B690,Assumptions!$A$16:$A$20,0)))</f>
        <v>10465.62</v>
      </c>
      <c r="J690" s="33" t="n">
        <f aca="false">H690-I690</f>
        <v>3394.38</v>
      </c>
      <c r="K690" s="33" t="n">
        <f aca="false">IF(OR(E690=0,E690&gt;=7),0,D690/(7-E690)*E690*INDEX(Products!$E$2:$E$49,MATCH(C690,Products!$A$2:$A$49,0)))</f>
        <v>0</v>
      </c>
    </row>
    <row r="691" customFormat="false" ht="15" hidden="false" customHeight="false" outlineLevel="0" collapsed="false">
      <c r="A691" s="36" t="n">
        <v>46216</v>
      </c>
      <c r="B691" s="24" t="s">
        <v>61</v>
      </c>
      <c r="C691" s="24" t="s">
        <v>169</v>
      </c>
      <c r="D691" s="33" t="n">
        <v>30</v>
      </c>
      <c r="E691" s="24" t="n">
        <v>0</v>
      </c>
      <c r="F691" s="37" t="n">
        <f aca="false">DATE(YEAR(A691),MONTH(A691),1)</f>
        <v>46204</v>
      </c>
      <c r="G691" s="24" t="str">
        <f aca="false">INDEX(Products!$C$2:$C$49,MATCH(C691,Products!$A$2:$A$49,0))</f>
        <v>Household</v>
      </c>
      <c r="H691" s="33" t="n">
        <f aca="false">D691*INDEX(Products!$E$2:$E$49,MATCH(C691,Products!$A$2:$A$49,0))</f>
        <v>12600</v>
      </c>
      <c r="I691" s="33" t="n">
        <f aca="false">D691*INDEX(Products!$D$2:$D$49,MATCH(C691,Products!$A$2:$A$49,0))*(1+INDEX(Assumptions!$B$16:$B$20,MATCH(B691,Assumptions!$A$16:$A$20,0)))</f>
        <v>9514.2</v>
      </c>
      <c r="J691" s="33" t="n">
        <f aca="false">H691-I691</f>
        <v>3085.8</v>
      </c>
      <c r="K691" s="33" t="n">
        <f aca="false">IF(OR(E691=0,E691&gt;=7),0,D691/(7-E691)*E691*INDEX(Products!$E$2:$E$49,MATCH(C691,Products!$A$2:$A$49,0)))</f>
        <v>0</v>
      </c>
    </row>
    <row r="692" customFormat="false" ht="15" hidden="false" customHeight="false" outlineLevel="0" collapsed="false">
      <c r="A692" s="36" t="n">
        <v>46223</v>
      </c>
      <c r="B692" s="24" t="s">
        <v>61</v>
      </c>
      <c r="C692" s="24" t="s">
        <v>169</v>
      </c>
      <c r="D692" s="33" t="n">
        <v>36</v>
      </c>
      <c r="E692" s="24" t="n">
        <v>0</v>
      </c>
      <c r="F692" s="37" t="n">
        <f aca="false">DATE(YEAR(A692),MONTH(A692),1)</f>
        <v>46204</v>
      </c>
      <c r="G692" s="24" t="str">
        <f aca="false">INDEX(Products!$C$2:$C$49,MATCH(C692,Products!$A$2:$A$49,0))</f>
        <v>Household</v>
      </c>
      <c r="H692" s="33" t="n">
        <f aca="false">D692*INDEX(Products!$E$2:$E$49,MATCH(C692,Products!$A$2:$A$49,0))</f>
        <v>15120</v>
      </c>
      <c r="I692" s="33" t="n">
        <f aca="false">D692*INDEX(Products!$D$2:$D$49,MATCH(C692,Products!$A$2:$A$49,0))*(1+INDEX(Assumptions!$B$16:$B$20,MATCH(B692,Assumptions!$A$16:$A$20,0)))</f>
        <v>11417.04</v>
      </c>
      <c r="J692" s="33" t="n">
        <f aca="false">H692-I692</f>
        <v>3702.96</v>
      </c>
      <c r="K692" s="33" t="n">
        <f aca="false">IF(OR(E692=0,E692&gt;=7),0,D692/(7-E692)*E692*INDEX(Products!$E$2:$E$49,MATCH(C692,Products!$A$2:$A$49,0)))</f>
        <v>0</v>
      </c>
    </row>
    <row r="693" customFormat="false" ht="15" hidden="false" customHeight="false" outlineLevel="0" collapsed="false">
      <c r="A693" s="36" t="n">
        <v>46230</v>
      </c>
      <c r="B693" s="24" t="s">
        <v>61</v>
      </c>
      <c r="C693" s="24" t="s">
        <v>169</v>
      </c>
      <c r="D693" s="33" t="n">
        <v>31</v>
      </c>
      <c r="E693" s="24" t="n">
        <v>0</v>
      </c>
      <c r="F693" s="37" t="n">
        <f aca="false">DATE(YEAR(A693),MONTH(A693),1)</f>
        <v>46204</v>
      </c>
      <c r="G693" s="24" t="str">
        <f aca="false">INDEX(Products!$C$2:$C$49,MATCH(C693,Products!$A$2:$A$49,0))</f>
        <v>Household</v>
      </c>
      <c r="H693" s="33" t="n">
        <f aca="false">D693*INDEX(Products!$E$2:$E$49,MATCH(C693,Products!$A$2:$A$49,0))</f>
        <v>13020</v>
      </c>
      <c r="I693" s="33" t="n">
        <f aca="false">D693*INDEX(Products!$D$2:$D$49,MATCH(C693,Products!$A$2:$A$49,0))*(1+INDEX(Assumptions!$B$16:$B$20,MATCH(B693,Assumptions!$A$16:$A$20,0)))</f>
        <v>9831.34</v>
      </c>
      <c r="J693" s="33" t="n">
        <f aca="false">H693-I693</f>
        <v>3188.66</v>
      </c>
      <c r="K693" s="33" t="n">
        <f aca="false">IF(OR(E693=0,E693&gt;=7),0,D693/(7-E693)*E693*INDEX(Products!$E$2:$E$49,MATCH(C693,Products!$A$2:$A$49,0)))</f>
        <v>0</v>
      </c>
    </row>
    <row r="694" customFormat="false" ht="15" hidden="false" customHeight="false" outlineLevel="0" collapsed="false">
      <c r="A694" s="36" t="n">
        <v>46237</v>
      </c>
      <c r="B694" s="24" t="s">
        <v>61</v>
      </c>
      <c r="C694" s="24" t="s">
        <v>169</v>
      </c>
      <c r="D694" s="33" t="n">
        <v>26</v>
      </c>
      <c r="E694" s="24" t="n">
        <v>0</v>
      </c>
      <c r="F694" s="37" t="n">
        <f aca="false">DATE(YEAR(A694),MONTH(A694),1)</f>
        <v>46235</v>
      </c>
      <c r="G694" s="24" t="str">
        <f aca="false">INDEX(Products!$C$2:$C$49,MATCH(C694,Products!$A$2:$A$49,0))</f>
        <v>Household</v>
      </c>
      <c r="H694" s="33" t="n">
        <f aca="false">D694*INDEX(Products!$E$2:$E$49,MATCH(C694,Products!$A$2:$A$49,0))</f>
        <v>10920</v>
      </c>
      <c r="I694" s="33" t="n">
        <f aca="false">D694*INDEX(Products!$D$2:$D$49,MATCH(C694,Products!$A$2:$A$49,0))*(1+INDEX(Assumptions!$B$16:$B$20,MATCH(B694,Assumptions!$A$16:$A$20,0)))</f>
        <v>8245.64</v>
      </c>
      <c r="J694" s="33" t="n">
        <f aca="false">H694-I694</f>
        <v>2674.36</v>
      </c>
      <c r="K694" s="33" t="n">
        <f aca="false">IF(OR(E694=0,E694&gt;=7),0,D694/(7-E694)*E694*INDEX(Products!$E$2:$E$49,MATCH(C694,Products!$A$2:$A$49,0)))</f>
        <v>0</v>
      </c>
    </row>
    <row r="695" customFormat="false" ht="15" hidden="false" customHeight="false" outlineLevel="0" collapsed="false">
      <c r="A695" s="36" t="n">
        <v>46244</v>
      </c>
      <c r="B695" s="24" t="s">
        <v>61</v>
      </c>
      <c r="C695" s="24" t="s">
        <v>169</v>
      </c>
      <c r="D695" s="33" t="n">
        <v>29</v>
      </c>
      <c r="E695" s="24" t="n">
        <v>0</v>
      </c>
      <c r="F695" s="37" t="n">
        <f aca="false">DATE(YEAR(A695),MONTH(A695),1)</f>
        <v>46235</v>
      </c>
      <c r="G695" s="24" t="str">
        <f aca="false">INDEX(Products!$C$2:$C$49,MATCH(C695,Products!$A$2:$A$49,0))</f>
        <v>Household</v>
      </c>
      <c r="H695" s="33" t="n">
        <f aca="false">D695*INDEX(Products!$E$2:$E$49,MATCH(C695,Products!$A$2:$A$49,0))</f>
        <v>12180</v>
      </c>
      <c r="I695" s="33" t="n">
        <f aca="false">D695*INDEX(Products!$D$2:$D$49,MATCH(C695,Products!$A$2:$A$49,0))*(1+INDEX(Assumptions!$B$16:$B$20,MATCH(B695,Assumptions!$A$16:$A$20,0)))</f>
        <v>9197.06</v>
      </c>
      <c r="J695" s="33" t="n">
        <f aca="false">H695-I695</f>
        <v>2982.94</v>
      </c>
      <c r="K695" s="33" t="n">
        <f aca="false">IF(OR(E695=0,E695&gt;=7),0,D695/(7-E695)*E695*INDEX(Products!$E$2:$E$49,MATCH(C695,Products!$A$2:$A$49,0)))</f>
        <v>0</v>
      </c>
    </row>
    <row r="696" customFormat="false" ht="15" hidden="false" customHeight="false" outlineLevel="0" collapsed="false">
      <c r="A696" s="36" t="n">
        <v>46251</v>
      </c>
      <c r="B696" s="24" t="s">
        <v>61</v>
      </c>
      <c r="C696" s="24" t="s">
        <v>169</v>
      </c>
      <c r="D696" s="33" t="n">
        <v>29</v>
      </c>
      <c r="E696" s="24" t="n">
        <v>0</v>
      </c>
      <c r="F696" s="37" t="n">
        <f aca="false">DATE(YEAR(A696),MONTH(A696),1)</f>
        <v>46235</v>
      </c>
      <c r="G696" s="24" t="str">
        <f aca="false">INDEX(Products!$C$2:$C$49,MATCH(C696,Products!$A$2:$A$49,0))</f>
        <v>Household</v>
      </c>
      <c r="H696" s="33" t="n">
        <f aca="false">D696*INDEX(Products!$E$2:$E$49,MATCH(C696,Products!$A$2:$A$49,0))</f>
        <v>12180</v>
      </c>
      <c r="I696" s="33" t="n">
        <f aca="false">D696*INDEX(Products!$D$2:$D$49,MATCH(C696,Products!$A$2:$A$49,0))*(1+INDEX(Assumptions!$B$16:$B$20,MATCH(B696,Assumptions!$A$16:$A$20,0)))</f>
        <v>9197.06</v>
      </c>
      <c r="J696" s="33" t="n">
        <f aca="false">H696-I696</f>
        <v>2982.94</v>
      </c>
      <c r="K696" s="33" t="n">
        <f aca="false">IF(OR(E696=0,E696&gt;=7),0,D696/(7-E696)*E696*INDEX(Products!$E$2:$E$49,MATCH(C696,Products!$A$2:$A$49,0)))</f>
        <v>0</v>
      </c>
    </row>
    <row r="697" customFormat="false" ht="15" hidden="false" customHeight="false" outlineLevel="0" collapsed="false">
      <c r="A697" s="36" t="n">
        <v>46258</v>
      </c>
      <c r="B697" s="24" t="s">
        <v>61</v>
      </c>
      <c r="C697" s="24" t="s">
        <v>169</v>
      </c>
      <c r="D697" s="33" t="n">
        <v>29</v>
      </c>
      <c r="E697" s="24" t="n">
        <v>0</v>
      </c>
      <c r="F697" s="37" t="n">
        <f aca="false">DATE(YEAR(A697),MONTH(A697),1)</f>
        <v>46235</v>
      </c>
      <c r="G697" s="24" t="str">
        <f aca="false">INDEX(Products!$C$2:$C$49,MATCH(C697,Products!$A$2:$A$49,0))</f>
        <v>Household</v>
      </c>
      <c r="H697" s="33" t="n">
        <f aca="false">D697*INDEX(Products!$E$2:$E$49,MATCH(C697,Products!$A$2:$A$49,0))</f>
        <v>12180</v>
      </c>
      <c r="I697" s="33" t="n">
        <f aca="false">D697*INDEX(Products!$D$2:$D$49,MATCH(C697,Products!$A$2:$A$49,0))*(1+INDEX(Assumptions!$B$16:$B$20,MATCH(B697,Assumptions!$A$16:$A$20,0)))</f>
        <v>9197.06</v>
      </c>
      <c r="J697" s="33" t="n">
        <f aca="false">H697-I697</f>
        <v>2982.94</v>
      </c>
      <c r="K697" s="33" t="n">
        <f aca="false">IF(OR(E697=0,E697&gt;=7),0,D697/(7-E697)*E697*INDEX(Products!$E$2:$E$49,MATCH(C697,Products!$A$2:$A$49,0)))</f>
        <v>0</v>
      </c>
    </row>
    <row r="698" customFormat="false" ht="15" hidden="false" customHeight="false" outlineLevel="0" collapsed="false">
      <c r="A698" s="36" t="n">
        <v>46265</v>
      </c>
      <c r="B698" s="24" t="s">
        <v>61</v>
      </c>
      <c r="C698" s="24" t="s">
        <v>169</v>
      </c>
      <c r="D698" s="33" t="n">
        <v>23</v>
      </c>
      <c r="E698" s="24" t="n">
        <v>0</v>
      </c>
      <c r="F698" s="37" t="n">
        <f aca="false">DATE(YEAR(A698),MONTH(A698),1)</f>
        <v>46235</v>
      </c>
      <c r="G698" s="24" t="str">
        <f aca="false">INDEX(Products!$C$2:$C$49,MATCH(C698,Products!$A$2:$A$49,0))</f>
        <v>Household</v>
      </c>
      <c r="H698" s="33" t="n">
        <f aca="false">D698*INDEX(Products!$E$2:$E$49,MATCH(C698,Products!$A$2:$A$49,0))</f>
        <v>9660</v>
      </c>
      <c r="I698" s="33" t="n">
        <f aca="false">D698*INDEX(Products!$D$2:$D$49,MATCH(C698,Products!$A$2:$A$49,0))*(1+INDEX(Assumptions!$B$16:$B$20,MATCH(B698,Assumptions!$A$16:$A$20,0)))</f>
        <v>7294.22</v>
      </c>
      <c r="J698" s="33" t="n">
        <f aca="false">H698-I698</f>
        <v>2365.78</v>
      </c>
      <c r="K698" s="33" t="n">
        <f aca="false">IF(OR(E698=0,E698&gt;=7),0,D698/(7-E698)*E698*INDEX(Products!$E$2:$E$49,MATCH(C698,Products!$A$2:$A$49,0)))</f>
        <v>0</v>
      </c>
    </row>
    <row r="699" customFormat="false" ht="15" hidden="false" customHeight="false" outlineLevel="0" collapsed="false">
      <c r="A699" s="36" t="n">
        <v>46272</v>
      </c>
      <c r="B699" s="24" t="s">
        <v>61</v>
      </c>
      <c r="C699" s="24" t="s">
        <v>169</v>
      </c>
      <c r="D699" s="33" t="n">
        <v>16</v>
      </c>
      <c r="E699" s="24" t="n">
        <v>4</v>
      </c>
      <c r="F699" s="37" t="n">
        <f aca="false">DATE(YEAR(A699),MONTH(A699),1)</f>
        <v>46266</v>
      </c>
      <c r="G699" s="24" t="str">
        <f aca="false">INDEX(Products!$C$2:$C$49,MATCH(C699,Products!$A$2:$A$49,0))</f>
        <v>Household</v>
      </c>
      <c r="H699" s="33" t="n">
        <f aca="false">D699*INDEX(Products!$E$2:$E$49,MATCH(C699,Products!$A$2:$A$49,0))</f>
        <v>6720</v>
      </c>
      <c r="I699" s="33" t="n">
        <f aca="false">D699*INDEX(Products!$D$2:$D$49,MATCH(C699,Products!$A$2:$A$49,0))*(1+INDEX(Assumptions!$B$16:$B$20,MATCH(B699,Assumptions!$A$16:$A$20,0)))</f>
        <v>5074.24</v>
      </c>
      <c r="J699" s="33" t="n">
        <f aca="false">H699-I699</f>
        <v>1645.76</v>
      </c>
      <c r="K699" s="33" t="n">
        <f aca="false">IF(OR(E699=0,E699&gt;=7),0,D699/(7-E699)*E699*INDEX(Products!$E$2:$E$49,MATCH(C699,Products!$A$2:$A$49,0)))</f>
        <v>8960</v>
      </c>
    </row>
    <row r="700" customFormat="false" ht="15" hidden="false" customHeight="false" outlineLevel="0" collapsed="false">
      <c r="A700" s="36" t="n">
        <v>46279</v>
      </c>
      <c r="B700" s="24" t="s">
        <v>61</v>
      </c>
      <c r="C700" s="24" t="s">
        <v>169</v>
      </c>
      <c r="D700" s="33" t="n">
        <v>26</v>
      </c>
      <c r="E700" s="24" t="n">
        <v>0</v>
      </c>
      <c r="F700" s="37" t="n">
        <f aca="false">DATE(YEAR(A700),MONTH(A700),1)</f>
        <v>46266</v>
      </c>
      <c r="G700" s="24" t="str">
        <f aca="false">INDEX(Products!$C$2:$C$49,MATCH(C700,Products!$A$2:$A$49,0))</f>
        <v>Household</v>
      </c>
      <c r="H700" s="33" t="n">
        <f aca="false">D700*INDEX(Products!$E$2:$E$49,MATCH(C700,Products!$A$2:$A$49,0))</f>
        <v>10920</v>
      </c>
      <c r="I700" s="33" t="n">
        <f aca="false">D700*INDEX(Products!$D$2:$D$49,MATCH(C700,Products!$A$2:$A$49,0))*(1+INDEX(Assumptions!$B$16:$B$20,MATCH(B700,Assumptions!$A$16:$A$20,0)))</f>
        <v>8245.64</v>
      </c>
      <c r="J700" s="33" t="n">
        <f aca="false">H700-I700</f>
        <v>2674.36</v>
      </c>
      <c r="K700" s="33" t="n">
        <f aca="false">IF(OR(E700=0,E700&gt;=7),0,D700/(7-E700)*E700*INDEX(Products!$E$2:$E$49,MATCH(C700,Products!$A$2:$A$49,0)))</f>
        <v>0</v>
      </c>
    </row>
    <row r="701" customFormat="false" ht="15" hidden="false" customHeight="false" outlineLevel="0" collapsed="false">
      <c r="A701" s="36" t="n">
        <v>46286</v>
      </c>
      <c r="B701" s="24" t="s">
        <v>61</v>
      </c>
      <c r="C701" s="24" t="s">
        <v>169</v>
      </c>
      <c r="D701" s="33" t="n">
        <v>27</v>
      </c>
      <c r="E701" s="24" t="n">
        <v>0</v>
      </c>
      <c r="F701" s="37" t="n">
        <f aca="false">DATE(YEAR(A701),MONTH(A701),1)</f>
        <v>46266</v>
      </c>
      <c r="G701" s="24" t="str">
        <f aca="false">INDEX(Products!$C$2:$C$49,MATCH(C701,Products!$A$2:$A$49,0))</f>
        <v>Household</v>
      </c>
      <c r="H701" s="33" t="n">
        <f aca="false">D701*INDEX(Products!$E$2:$E$49,MATCH(C701,Products!$A$2:$A$49,0))</f>
        <v>11340</v>
      </c>
      <c r="I701" s="33" t="n">
        <f aca="false">D701*INDEX(Products!$D$2:$D$49,MATCH(C701,Products!$A$2:$A$49,0))*(1+INDEX(Assumptions!$B$16:$B$20,MATCH(B701,Assumptions!$A$16:$A$20,0)))</f>
        <v>8562.78</v>
      </c>
      <c r="J701" s="33" t="n">
        <f aca="false">H701-I701</f>
        <v>2777.22</v>
      </c>
      <c r="K701" s="33" t="n">
        <f aca="false">IF(OR(E701=0,E701&gt;=7),0,D701/(7-E701)*E701*INDEX(Products!$E$2:$E$49,MATCH(C701,Products!$A$2:$A$49,0)))</f>
        <v>0</v>
      </c>
    </row>
    <row r="702" customFormat="false" ht="15" hidden="false" customHeight="false" outlineLevel="0" collapsed="false">
      <c r="A702" s="36" t="n">
        <v>46118</v>
      </c>
      <c r="B702" s="24" t="s">
        <v>61</v>
      </c>
      <c r="C702" s="24" t="s">
        <v>171</v>
      </c>
      <c r="D702" s="33" t="n">
        <v>19</v>
      </c>
      <c r="E702" s="24" t="n">
        <v>0</v>
      </c>
      <c r="F702" s="37" t="n">
        <f aca="false">DATE(YEAR(A702),MONTH(A702),1)</f>
        <v>46113</v>
      </c>
      <c r="G702" s="24" t="str">
        <f aca="false">INDEX(Products!$C$2:$C$49,MATCH(C702,Products!$A$2:$A$49,0))</f>
        <v>Household</v>
      </c>
      <c r="H702" s="33" t="n">
        <f aca="false">D702*INDEX(Products!$E$2:$E$49,MATCH(C702,Products!$A$2:$A$49,0))</f>
        <v>2850</v>
      </c>
      <c r="I702" s="33" t="n">
        <f aca="false">D702*INDEX(Products!$D$2:$D$49,MATCH(C702,Products!$A$2:$A$49,0))*(1+INDEX(Assumptions!$B$16:$B$20,MATCH(B702,Assumptions!$A$16:$A$20,0)))</f>
        <v>2226.04</v>
      </c>
      <c r="J702" s="33" t="n">
        <f aca="false">H702-I702</f>
        <v>623.96</v>
      </c>
      <c r="K702" s="33" t="n">
        <f aca="false">IF(OR(E702=0,E702&gt;=7),0,D702/(7-E702)*E702*INDEX(Products!$E$2:$E$49,MATCH(C702,Products!$A$2:$A$49,0)))</f>
        <v>0</v>
      </c>
    </row>
    <row r="703" customFormat="false" ht="15" hidden="false" customHeight="false" outlineLevel="0" collapsed="false">
      <c r="A703" s="36" t="n">
        <v>46125</v>
      </c>
      <c r="B703" s="24" t="s">
        <v>61</v>
      </c>
      <c r="C703" s="24" t="s">
        <v>171</v>
      </c>
      <c r="D703" s="33" t="n">
        <v>23</v>
      </c>
      <c r="E703" s="24" t="n">
        <v>0</v>
      </c>
      <c r="F703" s="37" t="n">
        <f aca="false">DATE(YEAR(A703),MONTH(A703),1)</f>
        <v>46113</v>
      </c>
      <c r="G703" s="24" t="str">
        <f aca="false">INDEX(Products!$C$2:$C$49,MATCH(C703,Products!$A$2:$A$49,0))</f>
        <v>Household</v>
      </c>
      <c r="H703" s="33" t="n">
        <f aca="false">D703*INDEX(Products!$E$2:$E$49,MATCH(C703,Products!$A$2:$A$49,0))</f>
        <v>3450</v>
      </c>
      <c r="I703" s="33" t="n">
        <f aca="false">D703*INDEX(Products!$D$2:$D$49,MATCH(C703,Products!$A$2:$A$49,0))*(1+INDEX(Assumptions!$B$16:$B$20,MATCH(B703,Assumptions!$A$16:$A$20,0)))</f>
        <v>2694.68</v>
      </c>
      <c r="J703" s="33" t="n">
        <f aca="false">H703-I703</f>
        <v>755.32</v>
      </c>
      <c r="K703" s="33" t="n">
        <f aca="false">IF(OR(E703=0,E703&gt;=7),0,D703/(7-E703)*E703*INDEX(Products!$E$2:$E$49,MATCH(C703,Products!$A$2:$A$49,0)))</f>
        <v>0</v>
      </c>
    </row>
    <row r="704" customFormat="false" ht="15" hidden="false" customHeight="false" outlineLevel="0" collapsed="false">
      <c r="A704" s="36" t="n">
        <v>46132</v>
      </c>
      <c r="B704" s="24" t="s">
        <v>61</v>
      </c>
      <c r="C704" s="24" t="s">
        <v>171</v>
      </c>
      <c r="D704" s="33" t="n">
        <v>24</v>
      </c>
      <c r="E704" s="24" t="n">
        <v>0</v>
      </c>
      <c r="F704" s="37" t="n">
        <f aca="false">DATE(YEAR(A704),MONTH(A704),1)</f>
        <v>46113</v>
      </c>
      <c r="G704" s="24" t="str">
        <f aca="false">INDEX(Products!$C$2:$C$49,MATCH(C704,Products!$A$2:$A$49,0))</f>
        <v>Household</v>
      </c>
      <c r="H704" s="33" t="n">
        <f aca="false">D704*INDEX(Products!$E$2:$E$49,MATCH(C704,Products!$A$2:$A$49,0))</f>
        <v>3600</v>
      </c>
      <c r="I704" s="33" t="n">
        <f aca="false">D704*INDEX(Products!$D$2:$D$49,MATCH(C704,Products!$A$2:$A$49,0))*(1+INDEX(Assumptions!$B$16:$B$20,MATCH(B704,Assumptions!$A$16:$A$20,0)))</f>
        <v>2811.84</v>
      </c>
      <c r="J704" s="33" t="n">
        <f aca="false">H704-I704</f>
        <v>788.16</v>
      </c>
      <c r="K704" s="33" t="n">
        <f aca="false">IF(OR(E704=0,E704&gt;=7),0,D704/(7-E704)*E704*INDEX(Products!$E$2:$E$49,MATCH(C704,Products!$A$2:$A$49,0)))</f>
        <v>0</v>
      </c>
    </row>
    <row r="705" customFormat="false" ht="15" hidden="false" customHeight="false" outlineLevel="0" collapsed="false">
      <c r="A705" s="36" t="n">
        <v>46139</v>
      </c>
      <c r="B705" s="24" t="s">
        <v>61</v>
      </c>
      <c r="C705" s="24" t="s">
        <v>171</v>
      </c>
      <c r="D705" s="33" t="n">
        <v>30</v>
      </c>
      <c r="E705" s="24" t="n">
        <v>0</v>
      </c>
      <c r="F705" s="37" t="n">
        <f aca="false">DATE(YEAR(A705),MONTH(A705),1)</f>
        <v>46113</v>
      </c>
      <c r="G705" s="24" t="str">
        <f aca="false">INDEX(Products!$C$2:$C$49,MATCH(C705,Products!$A$2:$A$49,0))</f>
        <v>Household</v>
      </c>
      <c r="H705" s="33" t="n">
        <f aca="false">D705*INDEX(Products!$E$2:$E$49,MATCH(C705,Products!$A$2:$A$49,0))</f>
        <v>4500</v>
      </c>
      <c r="I705" s="33" t="n">
        <f aca="false">D705*INDEX(Products!$D$2:$D$49,MATCH(C705,Products!$A$2:$A$49,0))*(1+INDEX(Assumptions!$B$16:$B$20,MATCH(B705,Assumptions!$A$16:$A$20,0)))</f>
        <v>3514.8</v>
      </c>
      <c r="J705" s="33" t="n">
        <f aca="false">H705-I705</f>
        <v>985.2</v>
      </c>
      <c r="K705" s="33" t="n">
        <f aca="false">IF(OR(E705=0,E705&gt;=7),0,D705/(7-E705)*E705*INDEX(Products!$E$2:$E$49,MATCH(C705,Products!$A$2:$A$49,0)))</f>
        <v>0</v>
      </c>
    </row>
    <row r="706" customFormat="false" ht="15" hidden="false" customHeight="false" outlineLevel="0" collapsed="false">
      <c r="A706" s="36" t="n">
        <v>46146</v>
      </c>
      <c r="B706" s="24" t="s">
        <v>61</v>
      </c>
      <c r="C706" s="24" t="s">
        <v>171</v>
      </c>
      <c r="D706" s="33" t="n">
        <v>25</v>
      </c>
      <c r="E706" s="24" t="n">
        <v>0</v>
      </c>
      <c r="F706" s="37" t="n">
        <f aca="false">DATE(YEAR(A706),MONTH(A706),1)</f>
        <v>46143</v>
      </c>
      <c r="G706" s="24" t="str">
        <f aca="false">INDEX(Products!$C$2:$C$49,MATCH(C706,Products!$A$2:$A$49,0))</f>
        <v>Household</v>
      </c>
      <c r="H706" s="33" t="n">
        <f aca="false">D706*INDEX(Products!$E$2:$E$49,MATCH(C706,Products!$A$2:$A$49,0))</f>
        <v>3750</v>
      </c>
      <c r="I706" s="33" t="n">
        <f aca="false">D706*INDEX(Products!$D$2:$D$49,MATCH(C706,Products!$A$2:$A$49,0))*(1+INDEX(Assumptions!$B$16:$B$20,MATCH(B706,Assumptions!$A$16:$A$20,0)))</f>
        <v>2929</v>
      </c>
      <c r="J706" s="33" t="n">
        <f aca="false">H706-I706</f>
        <v>821</v>
      </c>
      <c r="K706" s="33" t="n">
        <f aca="false">IF(OR(E706=0,E706&gt;=7),0,D706/(7-E706)*E706*INDEX(Products!$E$2:$E$49,MATCH(C706,Products!$A$2:$A$49,0)))</f>
        <v>0</v>
      </c>
    </row>
    <row r="707" customFormat="false" ht="15" hidden="false" customHeight="false" outlineLevel="0" collapsed="false">
      <c r="A707" s="36" t="n">
        <v>46153</v>
      </c>
      <c r="B707" s="24" t="s">
        <v>61</v>
      </c>
      <c r="C707" s="24" t="s">
        <v>171</v>
      </c>
      <c r="D707" s="33" t="n">
        <v>31</v>
      </c>
      <c r="E707" s="24" t="n">
        <v>0</v>
      </c>
      <c r="F707" s="37" t="n">
        <f aca="false">DATE(YEAR(A707),MONTH(A707),1)</f>
        <v>46143</v>
      </c>
      <c r="G707" s="24" t="str">
        <f aca="false">INDEX(Products!$C$2:$C$49,MATCH(C707,Products!$A$2:$A$49,0))</f>
        <v>Household</v>
      </c>
      <c r="H707" s="33" t="n">
        <f aca="false">D707*INDEX(Products!$E$2:$E$49,MATCH(C707,Products!$A$2:$A$49,0))</f>
        <v>4650</v>
      </c>
      <c r="I707" s="33" t="n">
        <f aca="false">D707*INDEX(Products!$D$2:$D$49,MATCH(C707,Products!$A$2:$A$49,0))*(1+INDEX(Assumptions!$B$16:$B$20,MATCH(B707,Assumptions!$A$16:$A$20,0)))</f>
        <v>3631.96</v>
      </c>
      <c r="J707" s="33" t="n">
        <f aca="false">H707-I707</f>
        <v>1018.04</v>
      </c>
      <c r="K707" s="33" t="n">
        <f aca="false">IF(OR(E707=0,E707&gt;=7),0,D707/(7-E707)*E707*INDEX(Products!$E$2:$E$49,MATCH(C707,Products!$A$2:$A$49,0)))</f>
        <v>0</v>
      </c>
    </row>
    <row r="708" customFormat="false" ht="15" hidden="false" customHeight="false" outlineLevel="0" collapsed="false">
      <c r="A708" s="36" t="n">
        <v>46160</v>
      </c>
      <c r="B708" s="24" t="s">
        <v>61</v>
      </c>
      <c r="C708" s="24" t="s">
        <v>171</v>
      </c>
      <c r="D708" s="33" t="n">
        <v>19</v>
      </c>
      <c r="E708" s="24" t="n">
        <v>0</v>
      </c>
      <c r="F708" s="37" t="n">
        <f aca="false">DATE(YEAR(A708),MONTH(A708),1)</f>
        <v>46143</v>
      </c>
      <c r="G708" s="24" t="str">
        <f aca="false">INDEX(Products!$C$2:$C$49,MATCH(C708,Products!$A$2:$A$49,0))</f>
        <v>Household</v>
      </c>
      <c r="H708" s="33" t="n">
        <f aca="false">D708*INDEX(Products!$E$2:$E$49,MATCH(C708,Products!$A$2:$A$49,0))</f>
        <v>2850</v>
      </c>
      <c r="I708" s="33" t="n">
        <f aca="false">D708*INDEX(Products!$D$2:$D$49,MATCH(C708,Products!$A$2:$A$49,0))*(1+INDEX(Assumptions!$B$16:$B$20,MATCH(B708,Assumptions!$A$16:$A$20,0)))</f>
        <v>2226.04</v>
      </c>
      <c r="J708" s="33" t="n">
        <f aca="false">H708-I708</f>
        <v>623.96</v>
      </c>
      <c r="K708" s="33" t="n">
        <f aca="false">IF(OR(E708=0,E708&gt;=7),0,D708/(7-E708)*E708*INDEX(Products!$E$2:$E$49,MATCH(C708,Products!$A$2:$A$49,0)))</f>
        <v>0</v>
      </c>
    </row>
    <row r="709" customFormat="false" ht="15" hidden="false" customHeight="false" outlineLevel="0" collapsed="false">
      <c r="A709" s="36" t="n">
        <v>46167</v>
      </c>
      <c r="B709" s="24" t="s">
        <v>61</v>
      </c>
      <c r="C709" s="24" t="s">
        <v>171</v>
      </c>
      <c r="D709" s="33" t="n">
        <v>32</v>
      </c>
      <c r="E709" s="24" t="n">
        <v>0</v>
      </c>
      <c r="F709" s="37" t="n">
        <f aca="false">DATE(YEAR(A709),MONTH(A709),1)</f>
        <v>46143</v>
      </c>
      <c r="G709" s="24" t="str">
        <f aca="false">INDEX(Products!$C$2:$C$49,MATCH(C709,Products!$A$2:$A$49,0))</f>
        <v>Household</v>
      </c>
      <c r="H709" s="33" t="n">
        <f aca="false">D709*INDEX(Products!$E$2:$E$49,MATCH(C709,Products!$A$2:$A$49,0))</f>
        <v>4800</v>
      </c>
      <c r="I709" s="33" t="n">
        <f aca="false">D709*INDEX(Products!$D$2:$D$49,MATCH(C709,Products!$A$2:$A$49,0))*(1+INDEX(Assumptions!$B$16:$B$20,MATCH(B709,Assumptions!$A$16:$A$20,0)))</f>
        <v>3749.12</v>
      </c>
      <c r="J709" s="33" t="n">
        <f aca="false">H709-I709</f>
        <v>1050.88</v>
      </c>
      <c r="K709" s="33" t="n">
        <f aca="false">IF(OR(E709=0,E709&gt;=7),0,D709/(7-E709)*E709*INDEX(Products!$E$2:$E$49,MATCH(C709,Products!$A$2:$A$49,0)))</f>
        <v>0</v>
      </c>
    </row>
    <row r="710" customFormat="false" ht="15" hidden="false" customHeight="false" outlineLevel="0" collapsed="false">
      <c r="A710" s="36" t="n">
        <v>46174</v>
      </c>
      <c r="B710" s="24" t="s">
        <v>61</v>
      </c>
      <c r="C710" s="24" t="s">
        <v>171</v>
      </c>
      <c r="D710" s="33" t="n">
        <v>21</v>
      </c>
      <c r="E710" s="24" t="n">
        <v>0</v>
      </c>
      <c r="F710" s="37" t="n">
        <f aca="false">DATE(YEAR(A710),MONTH(A710),1)</f>
        <v>46174</v>
      </c>
      <c r="G710" s="24" t="str">
        <f aca="false">INDEX(Products!$C$2:$C$49,MATCH(C710,Products!$A$2:$A$49,0))</f>
        <v>Household</v>
      </c>
      <c r="H710" s="33" t="n">
        <f aca="false">D710*INDEX(Products!$E$2:$E$49,MATCH(C710,Products!$A$2:$A$49,0))</f>
        <v>3150</v>
      </c>
      <c r="I710" s="33" t="n">
        <f aca="false">D710*INDEX(Products!$D$2:$D$49,MATCH(C710,Products!$A$2:$A$49,0))*(1+INDEX(Assumptions!$B$16:$B$20,MATCH(B710,Assumptions!$A$16:$A$20,0)))</f>
        <v>2460.36</v>
      </c>
      <c r="J710" s="33" t="n">
        <f aca="false">H710-I710</f>
        <v>689.64</v>
      </c>
      <c r="K710" s="33" t="n">
        <f aca="false">IF(OR(E710=0,E710&gt;=7),0,D710/(7-E710)*E710*INDEX(Products!$E$2:$E$49,MATCH(C710,Products!$A$2:$A$49,0)))</f>
        <v>0</v>
      </c>
    </row>
    <row r="711" customFormat="false" ht="15" hidden="false" customHeight="false" outlineLevel="0" collapsed="false">
      <c r="A711" s="36" t="n">
        <v>46181</v>
      </c>
      <c r="B711" s="24" t="s">
        <v>61</v>
      </c>
      <c r="C711" s="24" t="s">
        <v>171</v>
      </c>
      <c r="D711" s="33" t="n">
        <v>22</v>
      </c>
      <c r="E711" s="24" t="n">
        <v>0</v>
      </c>
      <c r="F711" s="37" t="n">
        <f aca="false">DATE(YEAR(A711),MONTH(A711),1)</f>
        <v>46174</v>
      </c>
      <c r="G711" s="24" t="str">
        <f aca="false">INDEX(Products!$C$2:$C$49,MATCH(C711,Products!$A$2:$A$49,0))</f>
        <v>Household</v>
      </c>
      <c r="H711" s="33" t="n">
        <f aca="false">D711*INDEX(Products!$E$2:$E$49,MATCH(C711,Products!$A$2:$A$49,0))</f>
        <v>3300</v>
      </c>
      <c r="I711" s="33" t="n">
        <f aca="false">D711*INDEX(Products!$D$2:$D$49,MATCH(C711,Products!$A$2:$A$49,0))*(1+INDEX(Assumptions!$B$16:$B$20,MATCH(B711,Assumptions!$A$16:$A$20,0)))</f>
        <v>2577.52</v>
      </c>
      <c r="J711" s="33" t="n">
        <f aca="false">H711-I711</f>
        <v>722.48</v>
      </c>
      <c r="K711" s="33" t="n">
        <f aca="false">IF(OR(E711=0,E711&gt;=7),0,D711/(7-E711)*E711*INDEX(Products!$E$2:$E$49,MATCH(C711,Products!$A$2:$A$49,0)))</f>
        <v>0</v>
      </c>
    </row>
    <row r="712" customFormat="false" ht="15" hidden="false" customHeight="false" outlineLevel="0" collapsed="false">
      <c r="A712" s="36" t="n">
        <v>46188</v>
      </c>
      <c r="B712" s="24" t="s">
        <v>61</v>
      </c>
      <c r="C712" s="24" t="s">
        <v>171</v>
      </c>
      <c r="D712" s="33" t="n">
        <v>18</v>
      </c>
      <c r="E712" s="24" t="n">
        <v>0</v>
      </c>
      <c r="F712" s="37" t="n">
        <f aca="false">DATE(YEAR(A712),MONTH(A712),1)</f>
        <v>46174</v>
      </c>
      <c r="G712" s="24" t="str">
        <f aca="false">INDEX(Products!$C$2:$C$49,MATCH(C712,Products!$A$2:$A$49,0))</f>
        <v>Household</v>
      </c>
      <c r="H712" s="33" t="n">
        <f aca="false">D712*INDEX(Products!$E$2:$E$49,MATCH(C712,Products!$A$2:$A$49,0))</f>
        <v>2700</v>
      </c>
      <c r="I712" s="33" t="n">
        <f aca="false">D712*INDEX(Products!$D$2:$D$49,MATCH(C712,Products!$A$2:$A$49,0))*(1+INDEX(Assumptions!$B$16:$B$20,MATCH(B712,Assumptions!$A$16:$A$20,0)))</f>
        <v>2108.88</v>
      </c>
      <c r="J712" s="33" t="n">
        <f aca="false">H712-I712</f>
        <v>591.12</v>
      </c>
      <c r="K712" s="33" t="n">
        <f aca="false">IF(OR(E712=0,E712&gt;=7),0,D712/(7-E712)*E712*INDEX(Products!$E$2:$E$49,MATCH(C712,Products!$A$2:$A$49,0)))</f>
        <v>0</v>
      </c>
    </row>
    <row r="713" customFormat="false" ht="15" hidden="false" customHeight="false" outlineLevel="0" collapsed="false">
      <c r="A713" s="36" t="n">
        <v>46195</v>
      </c>
      <c r="B713" s="24" t="s">
        <v>61</v>
      </c>
      <c r="C713" s="24" t="s">
        <v>171</v>
      </c>
      <c r="D713" s="33" t="n">
        <v>24</v>
      </c>
      <c r="E713" s="24" t="n">
        <v>0</v>
      </c>
      <c r="F713" s="37" t="n">
        <f aca="false">DATE(YEAR(A713),MONTH(A713),1)</f>
        <v>46174</v>
      </c>
      <c r="G713" s="24" t="str">
        <f aca="false">INDEX(Products!$C$2:$C$49,MATCH(C713,Products!$A$2:$A$49,0))</f>
        <v>Household</v>
      </c>
      <c r="H713" s="33" t="n">
        <f aca="false">D713*INDEX(Products!$E$2:$E$49,MATCH(C713,Products!$A$2:$A$49,0))</f>
        <v>3600</v>
      </c>
      <c r="I713" s="33" t="n">
        <f aca="false">D713*INDEX(Products!$D$2:$D$49,MATCH(C713,Products!$A$2:$A$49,0))*(1+INDEX(Assumptions!$B$16:$B$20,MATCH(B713,Assumptions!$A$16:$A$20,0)))</f>
        <v>2811.84</v>
      </c>
      <c r="J713" s="33" t="n">
        <f aca="false">H713-I713</f>
        <v>788.16</v>
      </c>
      <c r="K713" s="33" t="n">
        <f aca="false">IF(OR(E713=0,E713&gt;=7),0,D713/(7-E713)*E713*INDEX(Products!$E$2:$E$49,MATCH(C713,Products!$A$2:$A$49,0)))</f>
        <v>0</v>
      </c>
    </row>
    <row r="714" customFormat="false" ht="15" hidden="false" customHeight="false" outlineLevel="0" collapsed="false">
      <c r="A714" s="36" t="n">
        <v>46202</v>
      </c>
      <c r="B714" s="24" t="s">
        <v>61</v>
      </c>
      <c r="C714" s="24" t="s">
        <v>171</v>
      </c>
      <c r="D714" s="33" t="n">
        <v>9</v>
      </c>
      <c r="E714" s="24" t="n">
        <v>4</v>
      </c>
      <c r="F714" s="37" t="n">
        <f aca="false">DATE(YEAR(A714),MONTH(A714),1)</f>
        <v>46174</v>
      </c>
      <c r="G714" s="24" t="str">
        <f aca="false">INDEX(Products!$C$2:$C$49,MATCH(C714,Products!$A$2:$A$49,0))</f>
        <v>Household</v>
      </c>
      <c r="H714" s="33" t="n">
        <f aca="false">D714*INDEX(Products!$E$2:$E$49,MATCH(C714,Products!$A$2:$A$49,0))</f>
        <v>1350</v>
      </c>
      <c r="I714" s="33" t="n">
        <f aca="false">D714*INDEX(Products!$D$2:$D$49,MATCH(C714,Products!$A$2:$A$49,0))*(1+INDEX(Assumptions!$B$16:$B$20,MATCH(B714,Assumptions!$A$16:$A$20,0)))</f>
        <v>1054.44</v>
      </c>
      <c r="J714" s="33" t="n">
        <f aca="false">H714-I714</f>
        <v>295.56</v>
      </c>
      <c r="K714" s="33" t="n">
        <f aca="false">IF(OR(E714=0,E714&gt;=7),0,D714/(7-E714)*E714*INDEX(Products!$E$2:$E$49,MATCH(C714,Products!$A$2:$A$49,0)))</f>
        <v>1800</v>
      </c>
    </row>
    <row r="715" customFormat="false" ht="15" hidden="false" customHeight="false" outlineLevel="0" collapsed="false">
      <c r="A715" s="36" t="n">
        <v>46209</v>
      </c>
      <c r="B715" s="24" t="s">
        <v>61</v>
      </c>
      <c r="C715" s="24" t="s">
        <v>171</v>
      </c>
      <c r="D715" s="33" t="n">
        <v>8</v>
      </c>
      <c r="E715" s="24" t="n">
        <v>5</v>
      </c>
      <c r="F715" s="37" t="n">
        <f aca="false">DATE(YEAR(A715),MONTH(A715),1)</f>
        <v>46204</v>
      </c>
      <c r="G715" s="24" t="str">
        <f aca="false">INDEX(Products!$C$2:$C$49,MATCH(C715,Products!$A$2:$A$49,0))</f>
        <v>Household</v>
      </c>
      <c r="H715" s="33" t="n">
        <f aca="false">D715*INDEX(Products!$E$2:$E$49,MATCH(C715,Products!$A$2:$A$49,0))</f>
        <v>1200</v>
      </c>
      <c r="I715" s="33" t="n">
        <f aca="false">D715*INDEX(Products!$D$2:$D$49,MATCH(C715,Products!$A$2:$A$49,0))*(1+INDEX(Assumptions!$B$16:$B$20,MATCH(B715,Assumptions!$A$16:$A$20,0)))</f>
        <v>937.28</v>
      </c>
      <c r="J715" s="33" t="n">
        <f aca="false">H715-I715</f>
        <v>262.72</v>
      </c>
      <c r="K715" s="33" t="n">
        <f aca="false">IF(OR(E715=0,E715&gt;=7),0,D715/(7-E715)*E715*INDEX(Products!$E$2:$E$49,MATCH(C715,Products!$A$2:$A$49,0)))</f>
        <v>3000</v>
      </c>
    </row>
    <row r="716" customFormat="false" ht="15" hidden="false" customHeight="false" outlineLevel="0" collapsed="false">
      <c r="A716" s="36" t="n">
        <v>46216</v>
      </c>
      <c r="B716" s="24" t="s">
        <v>61</v>
      </c>
      <c r="C716" s="24" t="s">
        <v>171</v>
      </c>
      <c r="D716" s="33" t="n">
        <v>17</v>
      </c>
      <c r="E716" s="24" t="n">
        <v>0</v>
      </c>
      <c r="F716" s="37" t="n">
        <f aca="false">DATE(YEAR(A716),MONTH(A716),1)</f>
        <v>46204</v>
      </c>
      <c r="G716" s="24" t="str">
        <f aca="false">INDEX(Products!$C$2:$C$49,MATCH(C716,Products!$A$2:$A$49,0))</f>
        <v>Household</v>
      </c>
      <c r="H716" s="33" t="n">
        <f aca="false">D716*INDEX(Products!$E$2:$E$49,MATCH(C716,Products!$A$2:$A$49,0))</f>
        <v>2550</v>
      </c>
      <c r="I716" s="33" t="n">
        <f aca="false">D716*INDEX(Products!$D$2:$D$49,MATCH(C716,Products!$A$2:$A$49,0))*(1+INDEX(Assumptions!$B$16:$B$20,MATCH(B716,Assumptions!$A$16:$A$20,0)))</f>
        <v>1991.72</v>
      </c>
      <c r="J716" s="33" t="n">
        <f aca="false">H716-I716</f>
        <v>558.28</v>
      </c>
      <c r="K716" s="33" t="n">
        <f aca="false">IF(OR(E716=0,E716&gt;=7),0,D716/(7-E716)*E716*INDEX(Products!$E$2:$E$49,MATCH(C716,Products!$A$2:$A$49,0)))</f>
        <v>0</v>
      </c>
    </row>
    <row r="717" customFormat="false" ht="15" hidden="false" customHeight="false" outlineLevel="0" collapsed="false">
      <c r="A717" s="36" t="n">
        <v>46223</v>
      </c>
      <c r="B717" s="24" t="s">
        <v>61</v>
      </c>
      <c r="C717" s="24" t="s">
        <v>171</v>
      </c>
      <c r="D717" s="33" t="n">
        <v>24</v>
      </c>
      <c r="E717" s="24" t="n">
        <v>0</v>
      </c>
      <c r="F717" s="37" t="n">
        <f aca="false">DATE(YEAR(A717),MONTH(A717),1)</f>
        <v>46204</v>
      </c>
      <c r="G717" s="24" t="str">
        <f aca="false">INDEX(Products!$C$2:$C$49,MATCH(C717,Products!$A$2:$A$49,0))</f>
        <v>Household</v>
      </c>
      <c r="H717" s="33" t="n">
        <f aca="false">D717*INDEX(Products!$E$2:$E$49,MATCH(C717,Products!$A$2:$A$49,0))</f>
        <v>3600</v>
      </c>
      <c r="I717" s="33" t="n">
        <f aca="false">D717*INDEX(Products!$D$2:$D$49,MATCH(C717,Products!$A$2:$A$49,0))*(1+INDEX(Assumptions!$B$16:$B$20,MATCH(B717,Assumptions!$A$16:$A$20,0)))</f>
        <v>2811.84</v>
      </c>
      <c r="J717" s="33" t="n">
        <f aca="false">H717-I717</f>
        <v>788.16</v>
      </c>
      <c r="K717" s="33" t="n">
        <f aca="false">IF(OR(E717=0,E717&gt;=7),0,D717/(7-E717)*E717*INDEX(Products!$E$2:$E$49,MATCH(C717,Products!$A$2:$A$49,0)))</f>
        <v>0</v>
      </c>
    </row>
    <row r="718" customFormat="false" ht="15" hidden="false" customHeight="false" outlineLevel="0" collapsed="false">
      <c r="A718" s="36" t="n">
        <v>46230</v>
      </c>
      <c r="B718" s="24" t="s">
        <v>61</v>
      </c>
      <c r="C718" s="24" t="s">
        <v>171</v>
      </c>
      <c r="D718" s="33" t="n">
        <v>35</v>
      </c>
      <c r="E718" s="24" t="n">
        <v>0</v>
      </c>
      <c r="F718" s="37" t="n">
        <f aca="false">DATE(YEAR(A718),MONTH(A718),1)</f>
        <v>46204</v>
      </c>
      <c r="G718" s="24" t="str">
        <f aca="false">INDEX(Products!$C$2:$C$49,MATCH(C718,Products!$A$2:$A$49,0))</f>
        <v>Household</v>
      </c>
      <c r="H718" s="33" t="n">
        <f aca="false">D718*INDEX(Products!$E$2:$E$49,MATCH(C718,Products!$A$2:$A$49,0))</f>
        <v>5250</v>
      </c>
      <c r="I718" s="33" t="n">
        <f aca="false">D718*INDEX(Products!$D$2:$D$49,MATCH(C718,Products!$A$2:$A$49,0))*(1+INDEX(Assumptions!$B$16:$B$20,MATCH(B718,Assumptions!$A$16:$A$20,0)))</f>
        <v>4100.6</v>
      </c>
      <c r="J718" s="33" t="n">
        <f aca="false">H718-I718</f>
        <v>1149.4</v>
      </c>
      <c r="K718" s="33" t="n">
        <f aca="false">IF(OR(E718=0,E718&gt;=7),0,D718/(7-E718)*E718*INDEX(Products!$E$2:$E$49,MATCH(C718,Products!$A$2:$A$49,0)))</f>
        <v>0</v>
      </c>
    </row>
    <row r="719" customFormat="false" ht="15" hidden="false" customHeight="false" outlineLevel="0" collapsed="false">
      <c r="A719" s="36" t="n">
        <v>46237</v>
      </c>
      <c r="B719" s="24" t="s">
        <v>61</v>
      </c>
      <c r="C719" s="24" t="s">
        <v>171</v>
      </c>
      <c r="D719" s="33" t="n">
        <v>20</v>
      </c>
      <c r="E719" s="24" t="n">
        <v>0</v>
      </c>
      <c r="F719" s="37" t="n">
        <f aca="false">DATE(YEAR(A719),MONTH(A719),1)</f>
        <v>46235</v>
      </c>
      <c r="G719" s="24" t="str">
        <f aca="false">INDEX(Products!$C$2:$C$49,MATCH(C719,Products!$A$2:$A$49,0))</f>
        <v>Household</v>
      </c>
      <c r="H719" s="33" t="n">
        <f aca="false">D719*INDEX(Products!$E$2:$E$49,MATCH(C719,Products!$A$2:$A$49,0))</f>
        <v>3000</v>
      </c>
      <c r="I719" s="33" t="n">
        <f aca="false">D719*INDEX(Products!$D$2:$D$49,MATCH(C719,Products!$A$2:$A$49,0))*(1+INDEX(Assumptions!$B$16:$B$20,MATCH(B719,Assumptions!$A$16:$A$20,0)))</f>
        <v>2343.2</v>
      </c>
      <c r="J719" s="33" t="n">
        <f aca="false">H719-I719</f>
        <v>656.8</v>
      </c>
      <c r="K719" s="33" t="n">
        <f aca="false">IF(OR(E719=0,E719&gt;=7),0,D719/(7-E719)*E719*INDEX(Products!$E$2:$E$49,MATCH(C719,Products!$A$2:$A$49,0)))</f>
        <v>0</v>
      </c>
    </row>
    <row r="720" customFormat="false" ht="15" hidden="false" customHeight="false" outlineLevel="0" collapsed="false">
      <c r="A720" s="36" t="n">
        <v>46244</v>
      </c>
      <c r="B720" s="24" t="s">
        <v>61</v>
      </c>
      <c r="C720" s="24" t="s">
        <v>171</v>
      </c>
      <c r="D720" s="33" t="n">
        <v>29</v>
      </c>
      <c r="E720" s="24" t="n">
        <v>0</v>
      </c>
      <c r="F720" s="37" t="n">
        <f aca="false">DATE(YEAR(A720),MONTH(A720),1)</f>
        <v>46235</v>
      </c>
      <c r="G720" s="24" t="str">
        <f aca="false">INDEX(Products!$C$2:$C$49,MATCH(C720,Products!$A$2:$A$49,0))</f>
        <v>Household</v>
      </c>
      <c r="H720" s="33" t="n">
        <f aca="false">D720*INDEX(Products!$E$2:$E$49,MATCH(C720,Products!$A$2:$A$49,0))</f>
        <v>4350</v>
      </c>
      <c r="I720" s="33" t="n">
        <f aca="false">D720*INDEX(Products!$D$2:$D$49,MATCH(C720,Products!$A$2:$A$49,0))*(1+INDEX(Assumptions!$B$16:$B$20,MATCH(B720,Assumptions!$A$16:$A$20,0)))</f>
        <v>3397.64</v>
      </c>
      <c r="J720" s="33" t="n">
        <f aca="false">H720-I720</f>
        <v>952.36</v>
      </c>
      <c r="K720" s="33" t="n">
        <f aca="false">IF(OR(E720=0,E720&gt;=7),0,D720/(7-E720)*E720*INDEX(Products!$E$2:$E$49,MATCH(C720,Products!$A$2:$A$49,0)))</f>
        <v>0</v>
      </c>
    </row>
    <row r="721" customFormat="false" ht="15" hidden="false" customHeight="false" outlineLevel="0" collapsed="false">
      <c r="A721" s="36" t="n">
        <v>46251</v>
      </c>
      <c r="B721" s="24" t="s">
        <v>61</v>
      </c>
      <c r="C721" s="24" t="s">
        <v>171</v>
      </c>
      <c r="D721" s="33" t="n">
        <v>26</v>
      </c>
      <c r="E721" s="24" t="n">
        <v>0</v>
      </c>
      <c r="F721" s="37" t="n">
        <f aca="false">DATE(YEAR(A721),MONTH(A721),1)</f>
        <v>46235</v>
      </c>
      <c r="G721" s="24" t="str">
        <f aca="false">INDEX(Products!$C$2:$C$49,MATCH(C721,Products!$A$2:$A$49,0))</f>
        <v>Household</v>
      </c>
      <c r="H721" s="33" t="n">
        <f aca="false">D721*INDEX(Products!$E$2:$E$49,MATCH(C721,Products!$A$2:$A$49,0))</f>
        <v>3900</v>
      </c>
      <c r="I721" s="33" t="n">
        <f aca="false">D721*INDEX(Products!$D$2:$D$49,MATCH(C721,Products!$A$2:$A$49,0))*(1+INDEX(Assumptions!$B$16:$B$20,MATCH(B721,Assumptions!$A$16:$A$20,0)))</f>
        <v>3046.16</v>
      </c>
      <c r="J721" s="33" t="n">
        <f aca="false">H721-I721</f>
        <v>853.84</v>
      </c>
      <c r="K721" s="33" t="n">
        <f aca="false">IF(OR(E721=0,E721&gt;=7),0,D721/(7-E721)*E721*INDEX(Products!$E$2:$E$49,MATCH(C721,Products!$A$2:$A$49,0)))</f>
        <v>0</v>
      </c>
    </row>
    <row r="722" customFormat="false" ht="15" hidden="false" customHeight="false" outlineLevel="0" collapsed="false">
      <c r="A722" s="36" t="n">
        <v>46258</v>
      </c>
      <c r="B722" s="24" t="s">
        <v>61</v>
      </c>
      <c r="C722" s="24" t="s">
        <v>171</v>
      </c>
      <c r="D722" s="33" t="n">
        <v>19</v>
      </c>
      <c r="E722" s="24" t="n">
        <v>0</v>
      </c>
      <c r="F722" s="37" t="n">
        <f aca="false">DATE(YEAR(A722),MONTH(A722),1)</f>
        <v>46235</v>
      </c>
      <c r="G722" s="24" t="str">
        <f aca="false">INDEX(Products!$C$2:$C$49,MATCH(C722,Products!$A$2:$A$49,0))</f>
        <v>Household</v>
      </c>
      <c r="H722" s="33" t="n">
        <f aca="false">D722*INDEX(Products!$E$2:$E$49,MATCH(C722,Products!$A$2:$A$49,0))</f>
        <v>2850</v>
      </c>
      <c r="I722" s="33" t="n">
        <f aca="false">D722*INDEX(Products!$D$2:$D$49,MATCH(C722,Products!$A$2:$A$49,0))*(1+INDEX(Assumptions!$B$16:$B$20,MATCH(B722,Assumptions!$A$16:$A$20,0)))</f>
        <v>2226.04</v>
      </c>
      <c r="J722" s="33" t="n">
        <f aca="false">H722-I722</f>
        <v>623.96</v>
      </c>
      <c r="K722" s="33" t="n">
        <f aca="false">IF(OR(E722=0,E722&gt;=7),0,D722/(7-E722)*E722*INDEX(Products!$E$2:$E$49,MATCH(C722,Products!$A$2:$A$49,0)))</f>
        <v>0</v>
      </c>
    </row>
    <row r="723" customFormat="false" ht="15" hidden="false" customHeight="false" outlineLevel="0" collapsed="false">
      <c r="A723" s="36" t="n">
        <v>46265</v>
      </c>
      <c r="B723" s="24" t="s">
        <v>61</v>
      </c>
      <c r="C723" s="24" t="s">
        <v>171</v>
      </c>
      <c r="D723" s="33" t="n">
        <v>29</v>
      </c>
      <c r="E723" s="24" t="n">
        <v>0</v>
      </c>
      <c r="F723" s="37" t="n">
        <f aca="false">DATE(YEAR(A723),MONTH(A723),1)</f>
        <v>46235</v>
      </c>
      <c r="G723" s="24" t="str">
        <f aca="false">INDEX(Products!$C$2:$C$49,MATCH(C723,Products!$A$2:$A$49,0))</f>
        <v>Household</v>
      </c>
      <c r="H723" s="33" t="n">
        <f aca="false">D723*INDEX(Products!$E$2:$E$49,MATCH(C723,Products!$A$2:$A$49,0))</f>
        <v>4350</v>
      </c>
      <c r="I723" s="33" t="n">
        <f aca="false">D723*INDEX(Products!$D$2:$D$49,MATCH(C723,Products!$A$2:$A$49,0))*(1+INDEX(Assumptions!$B$16:$B$20,MATCH(B723,Assumptions!$A$16:$A$20,0)))</f>
        <v>3397.64</v>
      </c>
      <c r="J723" s="33" t="n">
        <f aca="false">H723-I723</f>
        <v>952.36</v>
      </c>
      <c r="K723" s="33" t="n">
        <f aca="false">IF(OR(E723=0,E723&gt;=7),0,D723/(7-E723)*E723*INDEX(Products!$E$2:$E$49,MATCH(C723,Products!$A$2:$A$49,0)))</f>
        <v>0</v>
      </c>
    </row>
    <row r="724" customFormat="false" ht="15" hidden="false" customHeight="false" outlineLevel="0" collapsed="false">
      <c r="A724" s="36" t="n">
        <v>46272</v>
      </c>
      <c r="B724" s="24" t="s">
        <v>61</v>
      </c>
      <c r="C724" s="24" t="s">
        <v>171</v>
      </c>
      <c r="D724" s="33" t="n">
        <v>18</v>
      </c>
      <c r="E724" s="24" t="n">
        <v>0</v>
      </c>
      <c r="F724" s="37" t="n">
        <f aca="false">DATE(YEAR(A724),MONTH(A724),1)</f>
        <v>46266</v>
      </c>
      <c r="G724" s="24" t="str">
        <f aca="false">INDEX(Products!$C$2:$C$49,MATCH(C724,Products!$A$2:$A$49,0))</f>
        <v>Household</v>
      </c>
      <c r="H724" s="33" t="n">
        <f aca="false">D724*INDEX(Products!$E$2:$E$49,MATCH(C724,Products!$A$2:$A$49,0))</f>
        <v>2700</v>
      </c>
      <c r="I724" s="33" t="n">
        <f aca="false">D724*INDEX(Products!$D$2:$D$49,MATCH(C724,Products!$A$2:$A$49,0))*(1+INDEX(Assumptions!$B$16:$B$20,MATCH(B724,Assumptions!$A$16:$A$20,0)))</f>
        <v>2108.88</v>
      </c>
      <c r="J724" s="33" t="n">
        <f aca="false">H724-I724</f>
        <v>591.12</v>
      </c>
      <c r="K724" s="33" t="n">
        <f aca="false">IF(OR(E724=0,E724&gt;=7),0,D724/(7-E724)*E724*INDEX(Products!$E$2:$E$49,MATCH(C724,Products!$A$2:$A$49,0)))</f>
        <v>0</v>
      </c>
    </row>
    <row r="725" customFormat="false" ht="15" hidden="false" customHeight="false" outlineLevel="0" collapsed="false">
      <c r="A725" s="36" t="n">
        <v>46279</v>
      </c>
      <c r="B725" s="24" t="s">
        <v>61</v>
      </c>
      <c r="C725" s="24" t="s">
        <v>171</v>
      </c>
      <c r="D725" s="33" t="n">
        <v>22</v>
      </c>
      <c r="E725" s="24" t="n">
        <v>0</v>
      </c>
      <c r="F725" s="37" t="n">
        <f aca="false">DATE(YEAR(A725),MONTH(A725),1)</f>
        <v>46266</v>
      </c>
      <c r="G725" s="24" t="str">
        <f aca="false">INDEX(Products!$C$2:$C$49,MATCH(C725,Products!$A$2:$A$49,0))</f>
        <v>Household</v>
      </c>
      <c r="H725" s="33" t="n">
        <f aca="false">D725*INDEX(Products!$E$2:$E$49,MATCH(C725,Products!$A$2:$A$49,0))</f>
        <v>3300</v>
      </c>
      <c r="I725" s="33" t="n">
        <f aca="false">D725*INDEX(Products!$D$2:$D$49,MATCH(C725,Products!$A$2:$A$49,0))*(1+INDEX(Assumptions!$B$16:$B$20,MATCH(B725,Assumptions!$A$16:$A$20,0)))</f>
        <v>2577.52</v>
      </c>
      <c r="J725" s="33" t="n">
        <f aca="false">H725-I725</f>
        <v>722.48</v>
      </c>
      <c r="K725" s="33" t="n">
        <f aca="false">IF(OR(E725=0,E725&gt;=7),0,D725/(7-E725)*E725*INDEX(Products!$E$2:$E$49,MATCH(C725,Products!$A$2:$A$49,0)))</f>
        <v>0</v>
      </c>
    </row>
    <row r="726" customFormat="false" ht="15" hidden="false" customHeight="false" outlineLevel="0" collapsed="false">
      <c r="A726" s="36" t="n">
        <v>46286</v>
      </c>
      <c r="B726" s="24" t="s">
        <v>61</v>
      </c>
      <c r="C726" s="24" t="s">
        <v>171</v>
      </c>
      <c r="D726" s="33" t="n">
        <v>26</v>
      </c>
      <c r="E726" s="24" t="n">
        <v>0</v>
      </c>
      <c r="F726" s="37" t="n">
        <f aca="false">DATE(YEAR(A726),MONTH(A726),1)</f>
        <v>46266</v>
      </c>
      <c r="G726" s="24" t="str">
        <f aca="false">INDEX(Products!$C$2:$C$49,MATCH(C726,Products!$A$2:$A$49,0))</f>
        <v>Household</v>
      </c>
      <c r="H726" s="33" t="n">
        <f aca="false">D726*INDEX(Products!$E$2:$E$49,MATCH(C726,Products!$A$2:$A$49,0))</f>
        <v>3900</v>
      </c>
      <c r="I726" s="33" t="n">
        <f aca="false">D726*INDEX(Products!$D$2:$D$49,MATCH(C726,Products!$A$2:$A$49,0))*(1+INDEX(Assumptions!$B$16:$B$20,MATCH(B726,Assumptions!$A$16:$A$20,0)))</f>
        <v>3046.16</v>
      </c>
      <c r="J726" s="33" t="n">
        <f aca="false">H726-I726</f>
        <v>853.84</v>
      </c>
      <c r="K726" s="33" t="n">
        <f aca="false">IF(OR(E726=0,E726&gt;=7),0,D726/(7-E726)*E726*INDEX(Products!$E$2:$E$49,MATCH(C726,Products!$A$2:$A$49,0)))</f>
        <v>0</v>
      </c>
    </row>
    <row r="727" customFormat="false" ht="15" hidden="false" customHeight="false" outlineLevel="0" collapsed="false">
      <c r="A727" s="36" t="n">
        <v>46118</v>
      </c>
      <c r="B727" s="24" t="s">
        <v>61</v>
      </c>
      <c r="C727" s="24" t="s">
        <v>173</v>
      </c>
      <c r="D727" s="33" t="n">
        <v>42</v>
      </c>
      <c r="E727" s="24" t="n">
        <v>0</v>
      </c>
      <c r="F727" s="37" t="n">
        <f aca="false">DATE(YEAR(A727),MONTH(A727),1)</f>
        <v>46113</v>
      </c>
      <c r="G727" s="24" t="str">
        <f aca="false">INDEX(Products!$C$2:$C$49,MATCH(C727,Products!$A$2:$A$49,0))</f>
        <v>Household</v>
      </c>
      <c r="H727" s="33" t="n">
        <f aca="false">D727*INDEX(Products!$E$2:$E$49,MATCH(C727,Products!$A$2:$A$49,0))</f>
        <v>10920</v>
      </c>
      <c r="I727" s="33" t="n">
        <f aca="false">D727*INDEX(Products!$D$2:$D$49,MATCH(C727,Products!$A$2:$A$49,0))*(1+INDEX(Assumptions!$B$16:$B$20,MATCH(B727,Assumptions!$A$16:$A$20,0)))</f>
        <v>8399.16</v>
      </c>
      <c r="J727" s="33" t="n">
        <f aca="false">H727-I727</f>
        <v>2520.84</v>
      </c>
      <c r="K727" s="33" t="n">
        <f aca="false">IF(OR(E727=0,E727&gt;=7),0,D727/(7-E727)*E727*INDEX(Products!$E$2:$E$49,MATCH(C727,Products!$A$2:$A$49,0)))</f>
        <v>0</v>
      </c>
    </row>
    <row r="728" customFormat="false" ht="15" hidden="false" customHeight="false" outlineLevel="0" collapsed="false">
      <c r="A728" s="36" t="n">
        <v>46125</v>
      </c>
      <c r="B728" s="24" t="s">
        <v>61</v>
      </c>
      <c r="C728" s="24" t="s">
        <v>173</v>
      </c>
      <c r="D728" s="33" t="n">
        <v>35</v>
      </c>
      <c r="E728" s="24" t="n">
        <v>0</v>
      </c>
      <c r="F728" s="37" t="n">
        <f aca="false">DATE(YEAR(A728),MONTH(A728),1)</f>
        <v>46113</v>
      </c>
      <c r="G728" s="24" t="str">
        <f aca="false">INDEX(Products!$C$2:$C$49,MATCH(C728,Products!$A$2:$A$49,0))</f>
        <v>Household</v>
      </c>
      <c r="H728" s="33" t="n">
        <f aca="false">D728*INDEX(Products!$E$2:$E$49,MATCH(C728,Products!$A$2:$A$49,0))</f>
        <v>9100</v>
      </c>
      <c r="I728" s="33" t="n">
        <f aca="false">D728*INDEX(Products!$D$2:$D$49,MATCH(C728,Products!$A$2:$A$49,0))*(1+INDEX(Assumptions!$B$16:$B$20,MATCH(B728,Assumptions!$A$16:$A$20,0)))</f>
        <v>6999.3</v>
      </c>
      <c r="J728" s="33" t="n">
        <f aca="false">H728-I728</f>
        <v>2100.7</v>
      </c>
      <c r="K728" s="33" t="n">
        <f aca="false">IF(OR(E728=0,E728&gt;=7),0,D728/(7-E728)*E728*INDEX(Products!$E$2:$E$49,MATCH(C728,Products!$A$2:$A$49,0)))</f>
        <v>0</v>
      </c>
    </row>
    <row r="729" customFormat="false" ht="15" hidden="false" customHeight="false" outlineLevel="0" collapsed="false">
      <c r="A729" s="36" t="n">
        <v>46132</v>
      </c>
      <c r="B729" s="24" t="s">
        <v>61</v>
      </c>
      <c r="C729" s="24" t="s">
        <v>173</v>
      </c>
      <c r="D729" s="33" t="n">
        <v>46</v>
      </c>
      <c r="E729" s="24" t="n">
        <v>0</v>
      </c>
      <c r="F729" s="37" t="n">
        <f aca="false">DATE(YEAR(A729),MONTH(A729),1)</f>
        <v>46113</v>
      </c>
      <c r="G729" s="24" t="str">
        <f aca="false">INDEX(Products!$C$2:$C$49,MATCH(C729,Products!$A$2:$A$49,0))</f>
        <v>Household</v>
      </c>
      <c r="H729" s="33" t="n">
        <f aca="false">D729*INDEX(Products!$E$2:$E$49,MATCH(C729,Products!$A$2:$A$49,0))</f>
        <v>11960</v>
      </c>
      <c r="I729" s="33" t="n">
        <f aca="false">D729*INDEX(Products!$D$2:$D$49,MATCH(C729,Products!$A$2:$A$49,0))*(1+INDEX(Assumptions!$B$16:$B$20,MATCH(B729,Assumptions!$A$16:$A$20,0)))</f>
        <v>9199.08</v>
      </c>
      <c r="J729" s="33" t="n">
        <f aca="false">H729-I729</f>
        <v>2760.92</v>
      </c>
      <c r="K729" s="33" t="n">
        <f aca="false">IF(OR(E729=0,E729&gt;=7),0,D729/(7-E729)*E729*INDEX(Products!$E$2:$E$49,MATCH(C729,Products!$A$2:$A$49,0)))</f>
        <v>0</v>
      </c>
    </row>
    <row r="730" customFormat="false" ht="15" hidden="false" customHeight="false" outlineLevel="0" collapsed="false">
      <c r="A730" s="36" t="n">
        <v>46139</v>
      </c>
      <c r="B730" s="24" t="s">
        <v>61</v>
      </c>
      <c r="C730" s="24" t="s">
        <v>173</v>
      </c>
      <c r="D730" s="33" t="n">
        <v>40</v>
      </c>
      <c r="E730" s="24" t="n">
        <v>0</v>
      </c>
      <c r="F730" s="37" t="n">
        <f aca="false">DATE(YEAR(A730),MONTH(A730),1)</f>
        <v>46113</v>
      </c>
      <c r="G730" s="24" t="str">
        <f aca="false">INDEX(Products!$C$2:$C$49,MATCH(C730,Products!$A$2:$A$49,0))</f>
        <v>Household</v>
      </c>
      <c r="H730" s="33" t="n">
        <f aca="false">D730*INDEX(Products!$E$2:$E$49,MATCH(C730,Products!$A$2:$A$49,0))</f>
        <v>10400</v>
      </c>
      <c r="I730" s="33" t="n">
        <f aca="false">D730*INDEX(Products!$D$2:$D$49,MATCH(C730,Products!$A$2:$A$49,0))*(1+INDEX(Assumptions!$B$16:$B$20,MATCH(B730,Assumptions!$A$16:$A$20,0)))</f>
        <v>7999.2</v>
      </c>
      <c r="J730" s="33" t="n">
        <f aca="false">H730-I730</f>
        <v>2400.8</v>
      </c>
      <c r="K730" s="33" t="n">
        <f aca="false">IF(OR(E730=0,E730&gt;=7),0,D730/(7-E730)*E730*INDEX(Products!$E$2:$E$49,MATCH(C730,Products!$A$2:$A$49,0)))</f>
        <v>0</v>
      </c>
    </row>
    <row r="731" customFormat="false" ht="15" hidden="false" customHeight="false" outlineLevel="0" collapsed="false">
      <c r="A731" s="36" t="n">
        <v>46146</v>
      </c>
      <c r="B731" s="24" t="s">
        <v>61</v>
      </c>
      <c r="C731" s="24" t="s">
        <v>173</v>
      </c>
      <c r="D731" s="33" t="n">
        <v>32</v>
      </c>
      <c r="E731" s="24" t="n">
        <v>0</v>
      </c>
      <c r="F731" s="37" t="n">
        <f aca="false">DATE(YEAR(A731),MONTH(A731),1)</f>
        <v>46143</v>
      </c>
      <c r="G731" s="24" t="str">
        <f aca="false">INDEX(Products!$C$2:$C$49,MATCH(C731,Products!$A$2:$A$49,0))</f>
        <v>Household</v>
      </c>
      <c r="H731" s="33" t="n">
        <f aca="false">D731*INDEX(Products!$E$2:$E$49,MATCH(C731,Products!$A$2:$A$49,0))</f>
        <v>8320</v>
      </c>
      <c r="I731" s="33" t="n">
        <f aca="false">D731*INDEX(Products!$D$2:$D$49,MATCH(C731,Products!$A$2:$A$49,0))*(1+INDEX(Assumptions!$B$16:$B$20,MATCH(B731,Assumptions!$A$16:$A$20,0)))</f>
        <v>6399.36</v>
      </c>
      <c r="J731" s="33" t="n">
        <f aca="false">H731-I731</f>
        <v>1920.64</v>
      </c>
      <c r="K731" s="33" t="n">
        <f aca="false">IF(OR(E731=0,E731&gt;=7),0,D731/(7-E731)*E731*INDEX(Products!$E$2:$E$49,MATCH(C731,Products!$A$2:$A$49,0)))</f>
        <v>0</v>
      </c>
    </row>
    <row r="732" customFormat="false" ht="15" hidden="false" customHeight="false" outlineLevel="0" collapsed="false">
      <c r="A732" s="36" t="n">
        <v>46153</v>
      </c>
      <c r="B732" s="24" t="s">
        <v>61</v>
      </c>
      <c r="C732" s="24" t="s">
        <v>173</v>
      </c>
      <c r="D732" s="33" t="n">
        <v>49</v>
      </c>
      <c r="E732" s="24" t="n">
        <v>0</v>
      </c>
      <c r="F732" s="37" t="n">
        <f aca="false">DATE(YEAR(A732),MONTH(A732),1)</f>
        <v>46143</v>
      </c>
      <c r="G732" s="24" t="str">
        <f aca="false">INDEX(Products!$C$2:$C$49,MATCH(C732,Products!$A$2:$A$49,0))</f>
        <v>Household</v>
      </c>
      <c r="H732" s="33" t="n">
        <f aca="false">D732*INDEX(Products!$E$2:$E$49,MATCH(C732,Products!$A$2:$A$49,0))</f>
        <v>12740</v>
      </c>
      <c r="I732" s="33" t="n">
        <f aca="false">D732*INDEX(Products!$D$2:$D$49,MATCH(C732,Products!$A$2:$A$49,0))*(1+INDEX(Assumptions!$B$16:$B$20,MATCH(B732,Assumptions!$A$16:$A$20,0)))</f>
        <v>9799.02</v>
      </c>
      <c r="J732" s="33" t="n">
        <f aca="false">H732-I732</f>
        <v>2940.98</v>
      </c>
      <c r="K732" s="33" t="n">
        <f aca="false">IF(OR(E732=0,E732&gt;=7),0,D732/(7-E732)*E732*INDEX(Products!$E$2:$E$49,MATCH(C732,Products!$A$2:$A$49,0)))</f>
        <v>0</v>
      </c>
    </row>
    <row r="733" customFormat="false" ht="15" hidden="false" customHeight="false" outlineLevel="0" collapsed="false">
      <c r="A733" s="36" t="n">
        <v>46160</v>
      </c>
      <c r="B733" s="24" t="s">
        <v>61</v>
      </c>
      <c r="C733" s="24" t="s">
        <v>173</v>
      </c>
      <c r="D733" s="33" t="n">
        <v>44</v>
      </c>
      <c r="E733" s="24" t="n">
        <v>0</v>
      </c>
      <c r="F733" s="37" t="n">
        <f aca="false">DATE(YEAR(A733),MONTH(A733),1)</f>
        <v>46143</v>
      </c>
      <c r="G733" s="24" t="str">
        <f aca="false">INDEX(Products!$C$2:$C$49,MATCH(C733,Products!$A$2:$A$49,0))</f>
        <v>Household</v>
      </c>
      <c r="H733" s="33" t="n">
        <f aca="false">D733*INDEX(Products!$E$2:$E$49,MATCH(C733,Products!$A$2:$A$49,0))</f>
        <v>11440</v>
      </c>
      <c r="I733" s="33" t="n">
        <f aca="false">D733*INDEX(Products!$D$2:$D$49,MATCH(C733,Products!$A$2:$A$49,0))*(1+INDEX(Assumptions!$B$16:$B$20,MATCH(B733,Assumptions!$A$16:$A$20,0)))</f>
        <v>8799.12</v>
      </c>
      <c r="J733" s="33" t="n">
        <f aca="false">H733-I733</f>
        <v>2640.88</v>
      </c>
      <c r="K733" s="33" t="n">
        <f aca="false">IF(OR(E733=0,E733&gt;=7),0,D733/(7-E733)*E733*INDEX(Products!$E$2:$E$49,MATCH(C733,Products!$A$2:$A$49,0)))</f>
        <v>0</v>
      </c>
    </row>
    <row r="734" customFormat="false" ht="15" hidden="false" customHeight="false" outlineLevel="0" collapsed="false">
      <c r="A734" s="36" t="n">
        <v>46167</v>
      </c>
      <c r="B734" s="24" t="s">
        <v>61</v>
      </c>
      <c r="C734" s="24" t="s">
        <v>173</v>
      </c>
      <c r="D734" s="33" t="n">
        <v>39</v>
      </c>
      <c r="E734" s="24" t="n">
        <v>0</v>
      </c>
      <c r="F734" s="37" t="n">
        <f aca="false">DATE(YEAR(A734),MONTH(A734),1)</f>
        <v>46143</v>
      </c>
      <c r="G734" s="24" t="str">
        <f aca="false">INDEX(Products!$C$2:$C$49,MATCH(C734,Products!$A$2:$A$49,0))</f>
        <v>Household</v>
      </c>
      <c r="H734" s="33" t="n">
        <f aca="false">D734*INDEX(Products!$E$2:$E$49,MATCH(C734,Products!$A$2:$A$49,0))</f>
        <v>10140</v>
      </c>
      <c r="I734" s="33" t="n">
        <f aca="false">D734*INDEX(Products!$D$2:$D$49,MATCH(C734,Products!$A$2:$A$49,0))*(1+INDEX(Assumptions!$B$16:$B$20,MATCH(B734,Assumptions!$A$16:$A$20,0)))</f>
        <v>7799.22</v>
      </c>
      <c r="J734" s="33" t="n">
        <f aca="false">H734-I734</f>
        <v>2340.78</v>
      </c>
      <c r="K734" s="33" t="n">
        <f aca="false">IF(OR(E734=0,E734&gt;=7),0,D734/(7-E734)*E734*INDEX(Products!$E$2:$E$49,MATCH(C734,Products!$A$2:$A$49,0)))</f>
        <v>0</v>
      </c>
    </row>
    <row r="735" customFormat="false" ht="15" hidden="false" customHeight="false" outlineLevel="0" collapsed="false">
      <c r="A735" s="36" t="n">
        <v>46174</v>
      </c>
      <c r="B735" s="24" t="s">
        <v>61</v>
      </c>
      <c r="C735" s="24" t="s">
        <v>173</v>
      </c>
      <c r="D735" s="33" t="n">
        <v>36</v>
      </c>
      <c r="E735" s="24" t="n">
        <v>0</v>
      </c>
      <c r="F735" s="37" t="n">
        <f aca="false">DATE(YEAR(A735),MONTH(A735),1)</f>
        <v>46174</v>
      </c>
      <c r="G735" s="24" t="str">
        <f aca="false">INDEX(Products!$C$2:$C$49,MATCH(C735,Products!$A$2:$A$49,0))</f>
        <v>Household</v>
      </c>
      <c r="H735" s="33" t="n">
        <f aca="false">D735*INDEX(Products!$E$2:$E$49,MATCH(C735,Products!$A$2:$A$49,0))</f>
        <v>9360</v>
      </c>
      <c r="I735" s="33" t="n">
        <f aca="false">D735*INDEX(Products!$D$2:$D$49,MATCH(C735,Products!$A$2:$A$49,0))*(1+INDEX(Assumptions!$B$16:$B$20,MATCH(B735,Assumptions!$A$16:$A$20,0)))</f>
        <v>7199.28</v>
      </c>
      <c r="J735" s="33" t="n">
        <f aca="false">H735-I735</f>
        <v>2160.72</v>
      </c>
      <c r="K735" s="33" t="n">
        <f aca="false">IF(OR(E735=0,E735&gt;=7),0,D735/(7-E735)*E735*INDEX(Products!$E$2:$E$49,MATCH(C735,Products!$A$2:$A$49,0)))</f>
        <v>0</v>
      </c>
    </row>
    <row r="736" customFormat="false" ht="15" hidden="false" customHeight="false" outlineLevel="0" collapsed="false">
      <c r="A736" s="36" t="n">
        <v>46181</v>
      </c>
      <c r="B736" s="24" t="s">
        <v>61</v>
      </c>
      <c r="C736" s="24" t="s">
        <v>173</v>
      </c>
      <c r="D736" s="33" t="n">
        <v>38</v>
      </c>
      <c r="E736" s="24" t="n">
        <v>0</v>
      </c>
      <c r="F736" s="37" t="n">
        <f aca="false">DATE(YEAR(A736),MONTH(A736),1)</f>
        <v>46174</v>
      </c>
      <c r="G736" s="24" t="str">
        <f aca="false">INDEX(Products!$C$2:$C$49,MATCH(C736,Products!$A$2:$A$49,0))</f>
        <v>Household</v>
      </c>
      <c r="H736" s="33" t="n">
        <f aca="false">D736*INDEX(Products!$E$2:$E$49,MATCH(C736,Products!$A$2:$A$49,0))</f>
        <v>9880</v>
      </c>
      <c r="I736" s="33" t="n">
        <f aca="false">D736*INDEX(Products!$D$2:$D$49,MATCH(C736,Products!$A$2:$A$49,0))*(1+INDEX(Assumptions!$B$16:$B$20,MATCH(B736,Assumptions!$A$16:$A$20,0)))</f>
        <v>7599.24</v>
      </c>
      <c r="J736" s="33" t="n">
        <f aca="false">H736-I736</f>
        <v>2280.76</v>
      </c>
      <c r="K736" s="33" t="n">
        <f aca="false">IF(OR(E736=0,E736&gt;=7),0,D736/(7-E736)*E736*INDEX(Products!$E$2:$E$49,MATCH(C736,Products!$A$2:$A$49,0)))</f>
        <v>0</v>
      </c>
    </row>
    <row r="737" customFormat="false" ht="15" hidden="false" customHeight="false" outlineLevel="0" collapsed="false">
      <c r="A737" s="36" t="n">
        <v>46188</v>
      </c>
      <c r="B737" s="24" t="s">
        <v>61</v>
      </c>
      <c r="C737" s="24" t="s">
        <v>173</v>
      </c>
      <c r="D737" s="33" t="n">
        <v>38</v>
      </c>
      <c r="E737" s="24" t="n">
        <v>0</v>
      </c>
      <c r="F737" s="37" t="n">
        <f aca="false">DATE(YEAR(A737),MONTH(A737),1)</f>
        <v>46174</v>
      </c>
      <c r="G737" s="24" t="str">
        <f aca="false">INDEX(Products!$C$2:$C$49,MATCH(C737,Products!$A$2:$A$49,0))</f>
        <v>Household</v>
      </c>
      <c r="H737" s="33" t="n">
        <f aca="false">D737*INDEX(Products!$E$2:$E$49,MATCH(C737,Products!$A$2:$A$49,0))</f>
        <v>9880</v>
      </c>
      <c r="I737" s="33" t="n">
        <f aca="false">D737*INDEX(Products!$D$2:$D$49,MATCH(C737,Products!$A$2:$A$49,0))*(1+INDEX(Assumptions!$B$16:$B$20,MATCH(B737,Assumptions!$A$16:$A$20,0)))</f>
        <v>7599.24</v>
      </c>
      <c r="J737" s="33" t="n">
        <f aca="false">H737-I737</f>
        <v>2280.76</v>
      </c>
      <c r="K737" s="33" t="n">
        <f aca="false">IF(OR(E737=0,E737&gt;=7),0,D737/(7-E737)*E737*INDEX(Products!$E$2:$E$49,MATCH(C737,Products!$A$2:$A$49,0)))</f>
        <v>0</v>
      </c>
    </row>
    <row r="738" customFormat="false" ht="15" hidden="false" customHeight="false" outlineLevel="0" collapsed="false">
      <c r="A738" s="36" t="n">
        <v>46195</v>
      </c>
      <c r="B738" s="24" t="s">
        <v>61</v>
      </c>
      <c r="C738" s="24" t="s">
        <v>173</v>
      </c>
      <c r="D738" s="33" t="n">
        <v>35</v>
      </c>
      <c r="E738" s="24" t="n">
        <v>0</v>
      </c>
      <c r="F738" s="37" t="n">
        <f aca="false">DATE(YEAR(A738),MONTH(A738),1)</f>
        <v>46174</v>
      </c>
      <c r="G738" s="24" t="str">
        <f aca="false">INDEX(Products!$C$2:$C$49,MATCH(C738,Products!$A$2:$A$49,0))</f>
        <v>Household</v>
      </c>
      <c r="H738" s="33" t="n">
        <f aca="false">D738*INDEX(Products!$E$2:$E$49,MATCH(C738,Products!$A$2:$A$49,0))</f>
        <v>9100</v>
      </c>
      <c r="I738" s="33" t="n">
        <f aca="false">D738*INDEX(Products!$D$2:$D$49,MATCH(C738,Products!$A$2:$A$49,0))*(1+INDEX(Assumptions!$B$16:$B$20,MATCH(B738,Assumptions!$A$16:$A$20,0)))</f>
        <v>6999.3</v>
      </c>
      <c r="J738" s="33" t="n">
        <f aca="false">H738-I738</f>
        <v>2100.7</v>
      </c>
      <c r="K738" s="33" t="n">
        <f aca="false">IF(OR(E738=0,E738&gt;=7),0,D738/(7-E738)*E738*INDEX(Products!$E$2:$E$49,MATCH(C738,Products!$A$2:$A$49,0)))</f>
        <v>0</v>
      </c>
    </row>
    <row r="739" customFormat="false" ht="15" hidden="false" customHeight="false" outlineLevel="0" collapsed="false">
      <c r="A739" s="36" t="n">
        <v>46202</v>
      </c>
      <c r="B739" s="24" t="s">
        <v>61</v>
      </c>
      <c r="C739" s="24" t="s">
        <v>173</v>
      </c>
      <c r="D739" s="33" t="n">
        <v>25</v>
      </c>
      <c r="E739" s="24" t="n">
        <v>0</v>
      </c>
      <c r="F739" s="37" t="n">
        <f aca="false">DATE(YEAR(A739),MONTH(A739),1)</f>
        <v>46174</v>
      </c>
      <c r="G739" s="24" t="str">
        <f aca="false">INDEX(Products!$C$2:$C$49,MATCH(C739,Products!$A$2:$A$49,0))</f>
        <v>Household</v>
      </c>
      <c r="H739" s="33" t="n">
        <f aca="false">D739*INDEX(Products!$E$2:$E$49,MATCH(C739,Products!$A$2:$A$49,0))</f>
        <v>6500</v>
      </c>
      <c r="I739" s="33" t="n">
        <f aca="false">D739*INDEX(Products!$D$2:$D$49,MATCH(C739,Products!$A$2:$A$49,0))*(1+INDEX(Assumptions!$B$16:$B$20,MATCH(B739,Assumptions!$A$16:$A$20,0)))</f>
        <v>4999.5</v>
      </c>
      <c r="J739" s="33" t="n">
        <f aca="false">H739-I739</f>
        <v>1500.5</v>
      </c>
      <c r="K739" s="33" t="n">
        <f aca="false">IF(OR(E739=0,E739&gt;=7),0,D739/(7-E739)*E739*INDEX(Products!$E$2:$E$49,MATCH(C739,Products!$A$2:$A$49,0)))</f>
        <v>0</v>
      </c>
    </row>
    <row r="740" customFormat="false" ht="15" hidden="false" customHeight="false" outlineLevel="0" collapsed="false">
      <c r="A740" s="36" t="n">
        <v>46209</v>
      </c>
      <c r="B740" s="24" t="s">
        <v>61</v>
      </c>
      <c r="C740" s="24" t="s">
        <v>173</v>
      </c>
      <c r="D740" s="33" t="n">
        <v>39</v>
      </c>
      <c r="E740" s="24" t="n">
        <v>0</v>
      </c>
      <c r="F740" s="37" t="n">
        <f aca="false">DATE(YEAR(A740),MONTH(A740),1)</f>
        <v>46204</v>
      </c>
      <c r="G740" s="24" t="str">
        <f aca="false">INDEX(Products!$C$2:$C$49,MATCH(C740,Products!$A$2:$A$49,0))</f>
        <v>Household</v>
      </c>
      <c r="H740" s="33" t="n">
        <f aca="false">D740*INDEX(Products!$E$2:$E$49,MATCH(C740,Products!$A$2:$A$49,0))</f>
        <v>10140</v>
      </c>
      <c r="I740" s="33" t="n">
        <f aca="false">D740*INDEX(Products!$D$2:$D$49,MATCH(C740,Products!$A$2:$A$49,0))*(1+INDEX(Assumptions!$B$16:$B$20,MATCH(B740,Assumptions!$A$16:$A$20,0)))</f>
        <v>7799.22</v>
      </c>
      <c r="J740" s="33" t="n">
        <f aca="false">H740-I740</f>
        <v>2340.78</v>
      </c>
      <c r="K740" s="33" t="n">
        <f aca="false">IF(OR(E740=0,E740&gt;=7),0,D740/(7-E740)*E740*INDEX(Products!$E$2:$E$49,MATCH(C740,Products!$A$2:$A$49,0)))</f>
        <v>0</v>
      </c>
    </row>
    <row r="741" customFormat="false" ht="15" hidden="false" customHeight="false" outlineLevel="0" collapsed="false">
      <c r="A741" s="36" t="n">
        <v>46216</v>
      </c>
      <c r="B741" s="24" t="s">
        <v>61</v>
      </c>
      <c r="C741" s="24" t="s">
        <v>173</v>
      </c>
      <c r="D741" s="33" t="n">
        <v>27</v>
      </c>
      <c r="E741" s="24" t="n">
        <v>0</v>
      </c>
      <c r="F741" s="37" t="n">
        <f aca="false">DATE(YEAR(A741),MONTH(A741),1)</f>
        <v>46204</v>
      </c>
      <c r="G741" s="24" t="str">
        <f aca="false">INDEX(Products!$C$2:$C$49,MATCH(C741,Products!$A$2:$A$49,0))</f>
        <v>Household</v>
      </c>
      <c r="H741" s="33" t="n">
        <f aca="false">D741*INDEX(Products!$E$2:$E$49,MATCH(C741,Products!$A$2:$A$49,0))</f>
        <v>7020</v>
      </c>
      <c r="I741" s="33" t="n">
        <f aca="false">D741*INDEX(Products!$D$2:$D$49,MATCH(C741,Products!$A$2:$A$49,0))*(1+INDEX(Assumptions!$B$16:$B$20,MATCH(B741,Assumptions!$A$16:$A$20,0)))</f>
        <v>5399.46</v>
      </c>
      <c r="J741" s="33" t="n">
        <f aca="false">H741-I741</f>
        <v>1620.54</v>
      </c>
      <c r="K741" s="33" t="n">
        <f aca="false">IF(OR(E741=0,E741&gt;=7),0,D741/(7-E741)*E741*INDEX(Products!$E$2:$E$49,MATCH(C741,Products!$A$2:$A$49,0)))</f>
        <v>0</v>
      </c>
    </row>
    <row r="742" customFormat="false" ht="15" hidden="false" customHeight="false" outlineLevel="0" collapsed="false">
      <c r="A742" s="36" t="n">
        <v>46223</v>
      </c>
      <c r="B742" s="24" t="s">
        <v>61</v>
      </c>
      <c r="C742" s="24" t="s">
        <v>173</v>
      </c>
      <c r="D742" s="33" t="n">
        <v>45</v>
      </c>
      <c r="E742" s="24" t="n">
        <v>0</v>
      </c>
      <c r="F742" s="37" t="n">
        <f aca="false">DATE(YEAR(A742),MONTH(A742),1)</f>
        <v>46204</v>
      </c>
      <c r="G742" s="24" t="str">
        <f aca="false">INDEX(Products!$C$2:$C$49,MATCH(C742,Products!$A$2:$A$49,0))</f>
        <v>Household</v>
      </c>
      <c r="H742" s="33" t="n">
        <f aca="false">D742*INDEX(Products!$E$2:$E$49,MATCH(C742,Products!$A$2:$A$49,0))</f>
        <v>11700</v>
      </c>
      <c r="I742" s="33" t="n">
        <f aca="false">D742*INDEX(Products!$D$2:$D$49,MATCH(C742,Products!$A$2:$A$49,0))*(1+INDEX(Assumptions!$B$16:$B$20,MATCH(B742,Assumptions!$A$16:$A$20,0)))</f>
        <v>8999.1</v>
      </c>
      <c r="J742" s="33" t="n">
        <f aca="false">H742-I742</f>
        <v>2700.9</v>
      </c>
      <c r="K742" s="33" t="n">
        <f aca="false">IF(OR(E742=0,E742&gt;=7),0,D742/(7-E742)*E742*INDEX(Products!$E$2:$E$49,MATCH(C742,Products!$A$2:$A$49,0)))</f>
        <v>0</v>
      </c>
    </row>
    <row r="743" customFormat="false" ht="15" hidden="false" customHeight="false" outlineLevel="0" collapsed="false">
      <c r="A743" s="36" t="n">
        <v>46230</v>
      </c>
      <c r="B743" s="24" t="s">
        <v>61</v>
      </c>
      <c r="C743" s="24" t="s">
        <v>173</v>
      </c>
      <c r="D743" s="33" t="n">
        <v>34</v>
      </c>
      <c r="E743" s="24" t="n">
        <v>0</v>
      </c>
      <c r="F743" s="37" t="n">
        <f aca="false">DATE(YEAR(A743),MONTH(A743),1)</f>
        <v>46204</v>
      </c>
      <c r="G743" s="24" t="str">
        <f aca="false">INDEX(Products!$C$2:$C$49,MATCH(C743,Products!$A$2:$A$49,0))</f>
        <v>Household</v>
      </c>
      <c r="H743" s="33" t="n">
        <f aca="false">D743*INDEX(Products!$E$2:$E$49,MATCH(C743,Products!$A$2:$A$49,0))</f>
        <v>8840</v>
      </c>
      <c r="I743" s="33" t="n">
        <f aca="false">D743*INDEX(Products!$D$2:$D$49,MATCH(C743,Products!$A$2:$A$49,0))*(1+INDEX(Assumptions!$B$16:$B$20,MATCH(B743,Assumptions!$A$16:$A$20,0)))</f>
        <v>6799.32</v>
      </c>
      <c r="J743" s="33" t="n">
        <f aca="false">H743-I743</f>
        <v>2040.68</v>
      </c>
      <c r="K743" s="33" t="n">
        <f aca="false">IF(OR(E743=0,E743&gt;=7),0,D743/(7-E743)*E743*INDEX(Products!$E$2:$E$49,MATCH(C743,Products!$A$2:$A$49,0)))</f>
        <v>0</v>
      </c>
    </row>
    <row r="744" customFormat="false" ht="15" hidden="false" customHeight="false" outlineLevel="0" collapsed="false">
      <c r="A744" s="36" t="n">
        <v>46237</v>
      </c>
      <c r="B744" s="24" t="s">
        <v>61</v>
      </c>
      <c r="C744" s="24" t="s">
        <v>173</v>
      </c>
      <c r="D744" s="33" t="n">
        <v>31</v>
      </c>
      <c r="E744" s="24" t="n">
        <v>0</v>
      </c>
      <c r="F744" s="37" t="n">
        <f aca="false">DATE(YEAR(A744),MONTH(A744),1)</f>
        <v>46235</v>
      </c>
      <c r="G744" s="24" t="str">
        <f aca="false">INDEX(Products!$C$2:$C$49,MATCH(C744,Products!$A$2:$A$49,0))</f>
        <v>Household</v>
      </c>
      <c r="H744" s="33" t="n">
        <f aca="false">D744*INDEX(Products!$E$2:$E$49,MATCH(C744,Products!$A$2:$A$49,0))</f>
        <v>8060</v>
      </c>
      <c r="I744" s="33" t="n">
        <f aca="false">D744*INDEX(Products!$D$2:$D$49,MATCH(C744,Products!$A$2:$A$49,0))*(1+INDEX(Assumptions!$B$16:$B$20,MATCH(B744,Assumptions!$A$16:$A$20,0)))</f>
        <v>6199.38</v>
      </c>
      <c r="J744" s="33" t="n">
        <f aca="false">H744-I744</f>
        <v>1860.62</v>
      </c>
      <c r="K744" s="33" t="n">
        <f aca="false">IF(OR(E744=0,E744&gt;=7),0,D744/(7-E744)*E744*INDEX(Products!$E$2:$E$49,MATCH(C744,Products!$A$2:$A$49,0)))</f>
        <v>0</v>
      </c>
    </row>
    <row r="745" customFormat="false" ht="15" hidden="false" customHeight="false" outlineLevel="0" collapsed="false">
      <c r="A745" s="36" t="n">
        <v>46244</v>
      </c>
      <c r="B745" s="24" t="s">
        <v>61</v>
      </c>
      <c r="C745" s="24" t="s">
        <v>173</v>
      </c>
      <c r="D745" s="33" t="n">
        <v>29</v>
      </c>
      <c r="E745" s="24" t="n">
        <v>0</v>
      </c>
      <c r="F745" s="37" t="n">
        <f aca="false">DATE(YEAR(A745),MONTH(A745),1)</f>
        <v>46235</v>
      </c>
      <c r="G745" s="24" t="str">
        <f aca="false">INDEX(Products!$C$2:$C$49,MATCH(C745,Products!$A$2:$A$49,0))</f>
        <v>Household</v>
      </c>
      <c r="H745" s="33" t="n">
        <f aca="false">D745*INDEX(Products!$E$2:$E$49,MATCH(C745,Products!$A$2:$A$49,0))</f>
        <v>7540</v>
      </c>
      <c r="I745" s="33" t="n">
        <f aca="false">D745*INDEX(Products!$D$2:$D$49,MATCH(C745,Products!$A$2:$A$49,0))*(1+INDEX(Assumptions!$B$16:$B$20,MATCH(B745,Assumptions!$A$16:$A$20,0)))</f>
        <v>5799.42</v>
      </c>
      <c r="J745" s="33" t="n">
        <f aca="false">H745-I745</f>
        <v>1740.58</v>
      </c>
      <c r="K745" s="33" t="n">
        <f aca="false">IF(OR(E745=0,E745&gt;=7),0,D745/(7-E745)*E745*INDEX(Products!$E$2:$E$49,MATCH(C745,Products!$A$2:$A$49,0)))</f>
        <v>0</v>
      </c>
    </row>
    <row r="746" customFormat="false" ht="15" hidden="false" customHeight="false" outlineLevel="0" collapsed="false">
      <c r="A746" s="36" t="n">
        <v>46251</v>
      </c>
      <c r="B746" s="24" t="s">
        <v>61</v>
      </c>
      <c r="C746" s="24" t="s">
        <v>173</v>
      </c>
      <c r="D746" s="33" t="n">
        <v>39</v>
      </c>
      <c r="E746" s="24" t="n">
        <v>0</v>
      </c>
      <c r="F746" s="37" t="n">
        <f aca="false">DATE(YEAR(A746),MONTH(A746),1)</f>
        <v>46235</v>
      </c>
      <c r="G746" s="24" t="str">
        <f aca="false">INDEX(Products!$C$2:$C$49,MATCH(C746,Products!$A$2:$A$49,0))</f>
        <v>Household</v>
      </c>
      <c r="H746" s="33" t="n">
        <f aca="false">D746*INDEX(Products!$E$2:$E$49,MATCH(C746,Products!$A$2:$A$49,0))</f>
        <v>10140</v>
      </c>
      <c r="I746" s="33" t="n">
        <f aca="false">D746*INDEX(Products!$D$2:$D$49,MATCH(C746,Products!$A$2:$A$49,0))*(1+INDEX(Assumptions!$B$16:$B$20,MATCH(B746,Assumptions!$A$16:$A$20,0)))</f>
        <v>7799.22</v>
      </c>
      <c r="J746" s="33" t="n">
        <f aca="false">H746-I746</f>
        <v>2340.78</v>
      </c>
      <c r="K746" s="33" t="n">
        <f aca="false">IF(OR(E746=0,E746&gt;=7),0,D746/(7-E746)*E746*INDEX(Products!$E$2:$E$49,MATCH(C746,Products!$A$2:$A$49,0)))</f>
        <v>0</v>
      </c>
    </row>
    <row r="747" customFormat="false" ht="15" hidden="false" customHeight="false" outlineLevel="0" collapsed="false">
      <c r="A747" s="36" t="n">
        <v>46258</v>
      </c>
      <c r="B747" s="24" t="s">
        <v>61</v>
      </c>
      <c r="C747" s="24" t="s">
        <v>173</v>
      </c>
      <c r="D747" s="33" t="n">
        <v>38</v>
      </c>
      <c r="E747" s="24" t="n">
        <v>0</v>
      </c>
      <c r="F747" s="37" t="n">
        <f aca="false">DATE(YEAR(A747),MONTH(A747),1)</f>
        <v>46235</v>
      </c>
      <c r="G747" s="24" t="str">
        <f aca="false">INDEX(Products!$C$2:$C$49,MATCH(C747,Products!$A$2:$A$49,0))</f>
        <v>Household</v>
      </c>
      <c r="H747" s="33" t="n">
        <f aca="false">D747*INDEX(Products!$E$2:$E$49,MATCH(C747,Products!$A$2:$A$49,0))</f>
        <v>9880</v>
      </c>
      <c r="I747" s="33" t="n">
        <f aca="false">D747*INDEX(Products!$D$2:$D$49,MATCH(C747,Products!$A$2:$A$49,0))*(1+INDEX(Assumptions!$B$16:$B$20,MATCH(B747,Assumptions!$A$16:$A$20,0)))</f>
        <v>7599.24</v>
      </c>
      <c r="J747" s="33" t="n">
        <f aca="false">H747-I747</f>
        <v>2280.76</v>
      </c>
      <c r="K747" s="33" t="n">
        <f aca="false">IF(OR(E747=0,E747&gt;=7),0,D747/(7-E747)*E747*INDEX(Products!$E$2:$E$49,MATCH(C747,Products!$A$2:$A$49,0)))</f>
        <v>0</v>
      </c>
    </row>
    <row r="748" customFormat="false" ht="15" hidden="false" customHeight="false" outlineLevel="0" collapsed="false">
      <c r="A748" s="36" t="n">
        <v>46265</v>
      </c>
      <c r="B748" s="24" t="s">
        <v>61</v>
      </c>
      <c r="C748" s="24" t="s">
        <v>173</v>
      </c>
      <c r="D748" s="33" t="n">
        <v>30</v>
      </c>
      <c r="E748" s="24" t="n">
        <v>0</v>
      </c>
      <c r="F748" s="37" t="n">
        <f aca="false">DATE(YEAR(A748),MONTH(A748),1)</f>
        <v>46235</v>
      </c>
      <c r="G748" s="24" t="str">
        <f aca="false">INDEX(Products!$C$2:$C$49,MATCH(C748,Products!$A$2:$A$49,0))</f>
        <v>Household</v>
      </c>
      <c r="H748" s="33" t="n">
        <f aca="false">D748*INDEX(Products!$E$2:$E$49,MATCH(C748,Products!$A$2:$A$49,0))</f>
        <v>7800</v>
      </c>
      <c r="I748" s="33" t="n">
        <f aca="false">D748*INDEX(Products!$D$2:$D$49,MATCH(C748,Products!$A$2:$A$49,0))*(1+INDEX(Assumptions!$B$16:$B$20,MATCH(B748,Assumptions!$A$16:$A$20,0)))</f>
        <v>5999.4</v>
      </c>
      <c r="J748" s="33" t="n">
        <f aca="false">H748-I748</f>
        <v>1800.6</v>
      </c>
      <c r="K748" s="33" t="n">
        <f aca="false">IF(OR(E748=0,E748&gt;=7),0,D748/(7-E748)*E748*INDEX(Products!$E$2:$E$49,MATCH(C748,Products!$A$2:$A$49,0)))</f>
        <v>0</v>
      </c>
    </row>
    <row r="749" customFormat="false" ht="15" hidden="false" customHeight="false" outlineLevel="0" collapsed="false">
      <c r="A749" s="36" t="n">
        <v>46272</v>
      </c>
      <c r="B749" s="24" t="s">
        <v>61</v>
      </c>
      <c r="C749" s="24" t="s">
        <v>173</v>
      </c>
      <c r="D749" s="33" t="n">
        <v>33</v>
      </c>
      <c r="E749" s="24" t="n">
        <v>0</v>
      </c>
      <c r="F749" s="37" t="n">
        <f aca="false">DATE(YEAR(A749),MONTH(A749),1)</f>
        <v>46266</v>
      </c>
      <c r="G749" s="24" t="str">
        <f aca="false">INDEX(Products!$C$2:$C$49,MATCH(C749,Products!$A$2:$A$49,0))</f>
        <v>Household</v>
      </c>
      <c r="H749" s="33" t="n">
        <f aca="false">D749*INDEX(Products!$E$2:$E$49,MATCH(C749,Products!$A$2:$A$49,0))</f>
        <v>8580</v>
      </c>
      <c r="I749" s="33" t="n">
        <f aca="false">D749*INDEX(Products!$D$2:$D$49,MATCH(C749,Products!$A$2:$A$49,0))*(1+INDEX(Assumptions!$B$16:$B$20,MATCH(B749,Assumptions!$A$16:$A$20,0)))</f>
        <v>6599.34</v>
      </c>
      <c r="J749" s="33" t="n">
        <f aca="false">H749-I749</f>
        <v>1980.66</v>
      </c>
      <c r="K749" s="33" t="n">
        <f aca="false">IF(OR(E749=0,E749&gt;=7),0,D749/(7-E749)*E749*INDEX(Products!$E$2:$E$49,MATCH(C749,Products!$A$2:$A$49,0)))</f>
        <v>0</v>
      </c>
    </row>
    <row r="750" customFormat="false" ht="15" hidden="false" customHeight="false" outlineLevel="0" collapsed="false">
      <c r="A750" s="36" t="n">
        <v>46279</v>
      </c>
      <c r="B750" s="24" t="s">
        <v>61</v>
      </c>
      <c r="C750" s="24" t="s">
        <v>173</v>
      </c>
      <c r="D750" s="33" t="n">
        <v>40</v>
      </c>
      <c r="E750" s="24" t="n">
        <v>0</v>
      </c>
      <c r="F750" s="37" t="n">
        <f aca="false">DATE(YEAR(A750),MONTH(A750),1)</f>
        <v>46266</v>
      </c>
      <c r="G750" s="24" t="str">
        <f aca="false">INDEX(Products!$C$2:$C$49,MATCH(C750,Products!$A$2:$A$49,0))</f>
        <v>Household</v>
      </c>
      <c r="H750" s="33" t="n">
        <f aca="false">D750*INDEX(Products!$E$2:$E$49,MATCH(C750,Products!$A$2:$A$49,0))</f>
        <v>10400</v>
      </c>
      <c r="I750" s="33" t="n">
        <f aca="false">D750*INDEX(Products!$D$2:$D$49,MATCH(C750,Products!$A$2:$A$49,0))*(1+INDEX(Assumptions!$B$16:$B$20,MATCH(B750,Assumptions!$A$16:$A$20,0)))</f>
        <v>7999.2</v>
      </c>
      <c r="J750" s="33" t="n">
        <f aca="false">H750-I750</f>
        <v>2400.8</v>
      </c>
      <c r="K750" s="33" t="n">
        <f aca="false">IF(OR(E750=0,E750&gt;=7),0,D750/(7-E750)*E750*INDEX(Products!$E$2:$E$49,MATCH(C750,Products!$A$2:$A$49,0)))</f>
        <v>0</v>
      </c>
    </row>
    <row r="751" customFormat="false" ht="15" hidden="false" customHeight="false" outlineLevel="0" collapsed="false">
      <c r="A751" s="36" t="n">
        <v>46286</v>
      </c>
      <c r="B751" s="24" t="s">
        <v>61</v>
      </c>
      <c r="C751" s="24" t="s">
        <v>173</v>
      </c>
      <c r="D751" s="33" t="n">
        <v>47</v>
      </c>
      <c r="E751" s="24" t="n">
        <v>0</v>
      </c>
      <c r="F751" s="37" t="n">
        <f aca="false">DATE(YEAR(A751),MONTH(A751),1)</f>
        <v>46266</v>
      </c>
      <c r="G751" s="24" t="str">
        <f aca="false">INDEX(Products!$C$2:$C$49,MATCH(C751,Products!$A$2:$A$49,0))</f>
        <v>Household</v>
      </c>
      <c r="H751" s="33" t="n">
        <f aca="false">D751*INDEX(Products!$E$2:$E$49,MATCH(C751,Products!$A$2:$A$49,0))</f>
        <v>12220</v>
      </c>
      <c r="I751" s="33" t="n">
        <f aca="false">D751*INDEX(Products!$D$2:$D$49,MATCH(C751,Products!$A$2:$A$49,0))*(1+INDEX(Assumptions!$B$16:$B$20,MATCH(B751,Assumptions!$A$16:$A$20,0)))</f>
        <v>9399.06</v>
      </c>
      <c r="J751" s="33" t="n">
        <f aca="false">H751-I751</f>
        <v>2820.94</v>
      </c>
      <c r="K751" s="33" t="n">
        <f aca="false">IF(OR(E751=0,E751&gt;=7),0,D751/(7-E751)*E751*INDEX(Products!$E$2:$E$49,MATCH(C751,Products!$A$2:$A$49,0)))</f>
        <v>0</v>
      </c>
    </row>
    <row r="752" customFormat="false" ht="15" hidden="false" customHeight="false" outlineLevel="0" collapsed="false">
      <c r="A752" s="36" t="n">
        <v>46118</v>
      </c>
      <c r="B752" s="24" t="s">
        <v>61</v>
      </c>
      <c r="C752" s="24" t="s">
        <v>175</v>
      </c>
      <c r="D752" s="33" t="n">
        <v>88</v>
      </c>
      <c r="E752" s="24" t="n">
        <v>0</v>
      </c>
      <c r="F752" s="37" t="n">
        <f aca="false">DATE(YEAR(A752),MONTH(A752),1)</f>
        <v>46113</v>
      </c>
      <c r="G752" s="24" t="str">
        <f aca="false">INDEX(Products!$C$2:$C$49,MATCH(C752,Products!$A$2:$A$49,0))</f>
        <v>Household</v>
      </c>
      <c r="H752" s="33" t="n">
        <f aca="false">D752*INDEX(Products!$E$2:$E$49,MATCH(C752,Products!$A$2:$A$49,0))</f>
        <v>5280</v>
      </c>
      <c r="I752" s="33" t="n">
        <f aca="false">D752*INDEX(Products!$D$2:$D$49,MATCH(C752,Products!$A$2:$A$49,0))*(1+INDEX(Assumptions!$B$16:$B$20,MATCH(B752,Assumptions!$A$16:$A$20,0)))</f>
        <v>4177.36</v>
      </c>
      <c r="J752" s="33" t="n">
        <f aca="false">H752-I752</f>
        <v>1102.64</v>
      </c>
      <c r="K752" s="33" t="n">
        <f aca="false">IF(OR(E752=0,E752&gt;=7),0,D752/(7-E752)*E752*INDEX(Products!$E$2:$E$49,MATCH(C752,Products!$A$2:$A$49,0)))</f>
        <v>0</v>
      </c>
    </row>
    <row r="753" customFormat="false" ht="15" hidden="false" customHeight="false" outlineLevel="0" collapsed="false">
      <c r="A753" s="36" t="n">
        <v>46125</v>
      </c>
      <c r="B753" s="24" t="s">
        <v>61</v>
      </c>
      <c r="C753" s="24" t="s">
        <v>175</v>
      </c>
      <c r="D753" s="33" t="n">
        <v>99</v>
      </c>
      <c r="E753" s="24" t="n">
        <v>0</v>
      </c>
      <c r="F753" s="37" t="n">
        <f aca="false">DATE(YEAR(A753),MONTH(A753),1)</f>
        <v>46113</v>
      </c>
      <c r="G753" s="24" t="str">
        <f aca="false">INDEX(Products!$C$2:$C$49,MATCH(C753,Products!$A$2:$A$49,0))</f>
        <v>Household</v>
      </c>
      <c r="H753" s="33" t="n">
        <f aca="false">D753*INDEX(Products!$E$2:$E$49,MATCH(C753,Products!$A$2:$A$49,0))</f>
        <v>5940</v>
      </c>
      <c r="I753" s="33" t="n">
        <f aca="false">D753*INDEX(Products!$D$2:$D$49,MATCH(C753,Products!$A$2:$A$49,0))*(1+INDEX(Assumptions!$B$16:$B$20,MATCH(B753,Assumptions!$A$16:$A$20,0)))</f>
        <v>4699.53</v>
      </c>
      <c r="J753" s="33" t="n">
        <f aca="false">H753-I753</f>
        <v>1240.47</v>
      </c>
      <c r="K753" s="33" t="n">
        <f aca="false">IF(OR(E753=0,E753&gt;=7),0,D753/(7-E753)*E753*INDEX(Products!$E$2:$E$49,MATCH(C753,Products!$A$2:$A$49,0)))</f>
        <v>0</v>
      </c>
    </row>
    <row r="754" customFormat="false" ht="15" hidden="false" customHeight="false" outlineLevel="0" collapsed="false">
      <c r="A754" s="36" t="n">
        <v>46132</v>
      </c>
      <c r="B754" s="24" t="s">
        <v>61</v>
      </c>
      <c r="C754" s="24" t="s">
        <v>175</v>
      </c>
      <c r="D754" s="33" t="n">
        <v>106</v>
      </c>
      <c r="E754" s="24" t="n">
        <v>0</v>
      </c>
      <c r="F754" s="37" t="n">
        <f aca="false">DATE(YEAR(A754),MONTH(A754),1)</f>
        <v>46113</v>
      </c>
      <c r="G754" s="24" t="str">
        <f aca="false">INDEX(Products!$C$2:$C$49,MATCH(C754,Products!$A$2:$A$49,0))</f>
        <v>Household</v>
      </c>
      <c r="H754" s="33" t="n">
        <f aca="false">D754*INDEX(Products!$E$2:$E$49,MATCH(C754,Products!$A$2:$A$49,0))</f>
        <v>6360</v>
      </c>
      <c r="I754" s="33" t="n">
        <f aca="false">D754*INDEX(Products!$D$2:$D$49,MATCH(C754,Products!$A$2:$A$49,0))*(1+INDEX(Assumptions!$B$16:$B$20,MATCH(B754,Assumptions!$A$16:$A$20,0)))</f>
        <v>5031.82</v>
      </c>
      <c r="J754" s="33" t="n">
        <f aca="false">H754-I754</f>
        <v>1328.18</v>
      </c>
      <c r="K754" s="33" t="n">
        <f aca="false">IF(OR(E754=0,E754&gt;=7),0,D754/(7-E754)*E754*INDEX(Products!$E$2:$E$49,MATCH(C754,Products!$A$2:$A$49,0)))</f>
        <v>0</v>
      </c>
    </row>
    <row r="755" customFormat="false" ht="15" hidden="false" customHeight="false" outlineLevel="0" collapsed="false">
      <c r="A755" s="36" t="n">
        <v>46139</v>
      </c>
      <c r="B755" s="24" t="s">
        <v>61</v>
      </c>
      <c r="C755" s="24" t="s">
        <v>175</v>
      </c>
      <c r="D755" s="33" t="n">
        <v>90</v>
      </c>
      <c r="E755" s="24" t="n">
        <v>0</v>
      </c>
      <c r="F755" s="37" t="n">
        <f aca="false">DATE(YEAR(A755),MONTH(A755),1)</f>
        <v>46113</v>
      </c>
      <c r="G755" s="24" t="str">
        <f aca="false">INDEX(Products!$C$2:$C$49,MATCH(C755,Products!$A$2:$A$49,0))</f>
        <v>Household</v>
      </c>
      <c r="H755" s="33" t="n">
        <f aca="false">D755*INDEX(Products!$E$2:$E$49,MATCH(C755,Products!$A$2:$A$49,0))</f>
        <v>5400</v>
      </c>
      <c r="I755" s="33" t="n">
        <f aca="false">D755*INDEX(Products!$D$2:$D$49,MATCH(C755,Products!$A$2:$A$49,0))*(1+INDEX(Assumptions!$B$16:$B$20,MATCH(B755,Assumptions!$A$16:$A$20,0)))</f>
        <v>4272.3</v>
      </c>
      <c r="J755" s="33" t="n">
        <f aca="false">H755-I755</f>
        <v>1127.7</v>
      </c>
      <c r="K755" s="33" t="n">
        <f aca="false">IF(OR(E755=0,E755&gt;=7),0,D755/(7-E755)*E755*INDEX(Products!$E$2:$E$49,MATCH(C755,Products!$A$2:$A$49,0)))</f>
        <v>0</v>
      </c>
    </row>
    <row r="756" customFormat="false" ht="15" hidden="false" customHeight="false" outlineLevel="0" collapsed="false">
      <c r="A756" s="36" t="n">
        <v>46146</v>
      </c>
      <c r="B756" s="24" t="s">
        <v>61</v>
      </c>
      <c r="C756" s="24" t="s">
        <v>175</v>
      </c>
      <c r="D756" s="33" t="n">
        <v>117</v>
      </c>
      <c r="E756" s="24" t="n">
        <v>0</v>
      </c>
      <c r="F756" s="37" t="n">
        <f aca="false">DATE(YEAR(A756),MONTH(A756),1)</f>
        <v>46143</v>
      </c>
      <c r="G756" s="24" t="str">
        <f aca="false">INDEX(Products!$C$2:$C$49,MATCH(C756,Products!$A$2:$A$49,0))</f>
        <v>Household</v>
      </c>
      <c r="H756" s="33" t="n">
        <f aca="false">D756*INDEX(Products!$E$2:$E$49,MATCH(C756,Products!$A$2:$A$49,0))</f>
        <v>7020</v>
      </c>
      <c r="I756" s="33" t="n">
        <f aca="false">D756*INDEX(Products!$D$2:$D$49,MATCH(C756,Products!$A$2:$A$49,0))*(1+INDEX(Assumptions!$B$16:$B$20,MATCH(B756,Assumptions!$A$16:$A$20,0)))</f>
        <v>5553.99</v>
      </c>
      <c r="J756" s="33" t="n">
        <f aca="false">H756-I756</f>
        <v>1466.01</v>
      </c>
      <c r="K756" s="33" t="n">
        <f aca="false">IF(OR(E756=0,E756&gt;=7),0,D756/(7-E756)*E756*INDEX(Products!$E$2:$E$49,MATCH(C756,Products!$A$2:$A$49,0)))</f>
        <v>0</v>
      </c>
    </row>
    <row r="757" customFormat="false" ht="15" hidden="false" customHeight="false" outlineLevel="0" collapsed="false">
      <c r="A757" s="36" t="n">
        <v>46153</v>
      </c>
      <c r="B757" s="24" t="s">
        <v>61</v>
      </c>
      <c r="C757" s="24" t="s">
        <v>175</v>
      </c>
      <c r="D757" s="33" t="n">
        <v>93</v>
      </c>
      <c r="E757" s="24" t="n">
        <v>0</v>
      </c>
      <c r="F757" s="37" t="n">
        <f aca="false">DATE(YEAR(A757),MONTH(A757),1)</f>
        <v>46143</v>
      </c>
      <c r="G757" s="24" t="str">
        <f aca="false">INDEX(Products!$C$2:$C$49,MATCH(C757,Products!$A$2:$A$49,0))</f>
        <v>Household</v>
      </c>
      <c r="H757" s="33" t="n">
        <f aca="false">D757*INDEX(Products!$E$2:$E$49,MATCH(C757,Products!$A$2:$A$49,0))</f>
        <v>5580</v>
      </c>
      <c r="I757" s="33" t="n">
        <f aca="false">D757*INDEX(Products!$D$2:$D$49,MATCH(C757,Products!$A$2:$A$49,0))*(1+INDEX(Assumptions!$B$16:$B$20,MATCH(B757,Assumptions!$A$16:$A$20,0)))</f>
        <v>4414.71</v>
      </c>
      <c r="J757" s="33" t="n">
        <f aca="false">H757-I757</f>
        <v>1165.29</v>
      </c>
      <c r="K757" s="33" t="n">
        <f aca="false">IF(OR(E757=0,E757&gt;=7),0,D757/(7-E757)*E757*INDEX(Products!$E$2:$E$49,MATCH(C757,Products!$A$2:$A$49,0)))</f>
        <v>0</v>
      </c>
    </row>
    <row r="758" customFormat="false" ht="15" hidden="false" customHeight="false" outlineLevel="0" collapsed="false">
      <c r="A758" s="36" t="n">
        <v>46160</v>
      </c>
      <c r="B758" s="24" t="s">
        <v>61</v>
      </c>
      <c r="C758" s="24" t="s">
        <v>175</v>
      </c>
      <c r="D758" s="33" t="n">
        <v>184</v>
      </c>
      <c r="E758" s="24" t="n">
        <v>0</v>
      </c>
      <c r="F758" s="37" t="n">
        <f aca="false">DATE(YEAR(A758),MONTH(A758),1)</f>
        <v>46143</v>
      </c>
      <c r="G758" s="24" t="str">
        <f aca="false">INDEX(Products!$C$2:$C$49,MATCH(C758,Products!$A$2:$A$49,0))</f>
        <v>Household</v>
      </c>
      <c r="H758" s="33" t="n">
        <f aca="false">D758*INDEX(Products!$E$2:$E$49,MATCH(C758,Products!$A$2:$A$49,0))</f>
        <v>11040</v>
      </c>
      <c r="I758" s="33" t="n">
        <f aca="false">D758*INDEX(Products!$D$2:$D$49,MATCH(C758,Products!$A$2:$A$49,0))*(1+INDEX(Assumptions!$B$16:$B$20,MATCH(B758,Assumptions!$A$16:$A$20,0)))</f>
        <v>8734.48</v>
      </c>
      <c r="J758" s="33" t="n">
        <f aca="false">H758-I758</f>
        <v>2305.52</v>
      </c>
      <c r="K758" s="33" t="n">
        <f aca="false">IF(OR(E758=0,E758&gt;=7),0,D758/(7-E758)*E758*INDEX(Products!$E$2:$E$49,MATCH(C758,Products!$A$2:$A$49,0)))</f>
        <v>0</v>
      </c>
    </row>
    <row r="759" customFormat="false" ht="15" hidden="false" customHeight="false" outlineLevel="0" collapsed="false">
      <c r="A759" s="36" t="n">
        <v>46167</v>
      </c>
      <c r="B759" s="24" t="s">
        <v>61</v>
      </c>
      <c r="C759" s="24" t="s">
        <v>175</v>
      </c>
      <c r="D759" s="33" t="n">
        <v>92</v>
      </c>
      <c r="E759" s="24" t="n">
        <v>0</v>
      </c>
      <c r="F759" s="37" t="n">
        <f aca="false">DATE(YEAR(A759),MONTH(A759),1)</f>
        <v>46143</v>
      </c>
      <c r="G759" s="24" t="str">
        <f aca="false">INDEX(Products!$C$2:$C$49,MATCH(C759,Products!$A$2:$A$49,0))</f>
        <v>Household</v>
      </c>
      <c r="H759" s="33" t="n">
        <f aca="false">D759*INDEX(Products!$E$2:$E$49,MATCH(C759,Products!$A$2:$A$49,0))</f>
        <v>5520</v>
      </c>
      <c r="I759" s="33" t="n">
        <f aca="false">D759*INDEX(Products!$D$2:$D$49,MATCH(C759,Products!$A$2:$A$49,0))*(1+INDEX(Assumptions!$B$16:$B$20,MATCH(B759,Assumptions!$A$16:$A$20,0)))</f>
        <v>4367.24</v>
      </c>
      <c r="J759" s="33" t="n">
        <f aca="false">H759-I759</f>
        <v>1152.76</v>
      </c>
      <c r="K759" s="33" t="n">
        <f aca="false">IF(OR(E759=0,E759&gt;=7),0,D759/(7-E759)*E759*INDEX(Products!$E$2:$E$49,MATCH(C759,Products!$A$2:$A$49,0)))</f>
        <v>0</v>
      </c>
    </row>
    <row r="760" customFormat="false" ht="15" hidden="false" customHeight="false" outlineLevel="0" collapsed="false">
      <c r="A760" s="36" t="n">
        <v>46174</v>
      </c>
      <c r="B760" s="24" t="s">
        <v>61</v>
      </c>
      <c r="C760" s="24" t="s">
        <v>175</v>
      </c>
      <c r="D760" s="33" t="n">
        <v>164</v>
      </c>
      <c r="E760" s="24" t="n">
        <v>0</v>
      </c>
      <c r="F760" s="37" t="n">
        <f aca="false">DATE(YEAR(A760),MONTH(A760),1)</f>
        <v>46174</v>
      </c>
      <c r="G760" s="24" t="str">
        <f aca="false">INDEX(Products!$C$2:$C$49,MATCH(C760,Products!$A$2:$A$49,0))</f>
        <v>Household</v>
      </c>
      <c r="H760" s="33" t="n">
        <f aca="false">D760*INDEX(Products!$E$2:$E$49,MATCH(C760,Products!$A$2:$A$49,0))</f>
        <v>9840</v>
      </c>
      <c r="I760" s="33" t="n">
        <f aca="false">D760*INDEX(Products!$D$2:$D$49,MATCH(C760,Products!$A$2:$A$49,0))*(1+INDEX(Assumptions!$B$16:$B$20,MATCH(B760,Assumptions!$A$16:$A$20,0)))</f>
        <v>7785.08</v>
      </c>
      <c r="J760" s="33" t="n">
        <f aca="false">H760-I760</f>
        <v>2054.92</v>
      </c>
      <c r="K760" s="33" t="n">
        <f aca="false">IF(OR(E760=0,E760&gt;=7),0,D760/(7-E760)*E760*INDEX(Products!$E$2:$E$49,MATCH(C760,Products!$A$2:$A$49,0)))</f>
        <v>0</v>
      </c>
    </row>
    <row r="761" customFormat="false" ht="15" hidden="false" customHeight="false" outlineLevel="0" collapsed="false">
      <c r="A761" s="36" t="n">
        <v>46181</v>
      </c>
      <c r="B761" s="24" t="s">
        <v>61</v>
      </c>
      <c r="C761" s="24" t="s">
        <v>175</v>
      </c>
      <c r="D761" s="33" t="n">
        <v>50</v>
      </c>
      <c r="E761" s="24" t="n">
        <v>4</v>
      </c>
      <c r="F761" s="37" t="n">
        <f aca="false">DATE(YEAR(A761),MONTH(A761),1)</f>
        <v>46174</v>
      </c>
      <c r="G761" s="24" t="str">
        <f aca="false">INDEX(Products!$C$2:$C$49,MATCH(C761,Products!$A$2:$A$49,0))</f>
        <v>Household</v>
      </c>
      <c r="H761" s="33" t="n">
        <f aca="false">D761*INDEX(Products!$E$2:$E$49,MATCH(C761,Products!$A$2:$A$49,0))</f>
        <v>3000</v>
      </c>
      <c r="I761" s="33" t="n">
        <f aca="false">D761*INDEX(Products!$D$2:$D$49,MATCH(C761,Products!$A$2:$A$49,0))*(1+INDEX(Assumptions!$B$16:$B$20,MATCH(B761,Assumptions!$A$16:$A$20,0)))</f>
        <v>2373.5</v>
      </c>
      <c r="J761" s="33" t="n">
        <f aca="false">H761-I761</f>
        <v>626.5</v>
      </c>
      <c r="K761" s="33" t="n">
        <f aca="false">IF(OR(E761=0,E761&gt;=7),0,D761/(7-E761)*E761*INDEX(Products!$E$2:$E$49,MATCH(C761,Products!$A$2:$A$49,0)))</f>
        <v>4000</v>
      </c>
    </row>
    <row r="762" customFormat="false" ht="15" hidden="false" customHeight="false" outlineLevel="0" collapsed="false">
      <c r="A762" s="36" t="n">
        <v>46188</v>
      </c>
      <c r="B762" s="24" t="s">
        <v>61</v>
      </c>
      <c r="C762" s="24" t="s">
        <v>175</v>
      </c>
      <c r="D762" s="33" t="n">
        <v>109</v>
      </c>
      <c r="E762" s="24" t="n">
        <v>0</v>
      </c>
      <c r="F762" s="37" t="n">
        <f aca="false">DATE(YEAR(A762),MONTH(A762),1)</f>
        <v>46174</v>
      </c>
      <c r="G762" s="24" t="str">
        <f aca="false">INDEX(Products!$C$2:$C$49,MATCH(C762,Products!$A$2:$A$49,0))</f>
        <v>Household</v>
      </c>
      <c r="H762" s="33" t="n">
        <f aca="false">D762*INDEX(Products!$E$2:$E$49,MATCH(C762,Products!$A$2:$A$49,0))</f>
        <v>6540</v>
      </c>
      <c r="I762" s="33" t="n">
        <f aca="false">D762*INDEX(Products!$D$2:$D$49,MATCH(C762,Products!$A$2:$A$49,0))*(1+INDEX(Assumptions!$B$16:$B$20,MATCH(B762,Assumptions!$A$16:$A$20,0)))</f>
        <v>5174.23</v>
      </c>
      <c r="J762" s="33" t="n">
        <f aca="false">H762-I762</f>
        <v>1365.77</v>
      </c>
      <c r="K762" s="33" t="n">
        <f aca="false">IF(OR(E762=0,E762&gt;=7),0,D762/(7-E762)*E762*INDEX(Products!$E$2:$E$49,MATCH(C762,Products!$A$2:$A$49,0)))</f>
        <v>0</v>
      </c>
    </row>
    <row r="763" customFormat="false" ht="15" hidden="false" customHeight="false" outlineLevel="0" collapsed="false">
      <c r="A763" s="36" t="n">
        <v>46195</v>
      </c>
      <c r="B763" s="24" t="s">
        <v>61</v>
      </c>
      <c r="C763" s="24" t="s">
        <v>175</v>
      </c>
      <c r="D763" s="33" t="n">
        <v>102</v>
      </c>
      <c r="E763" s="24" t="n">
        <v>0</v>
      </c>
      <c r="F763" s="37" t="n">
        <f aca="false">DATE(YEAR(A763),MONTH(A763),1)</f>
        <v>46174</v>
      </c>
      <c r="G763" s="24" t="str">
        <f aca="false">INDEX(Products!$C$2:$C$49,MATCH(C763,Products!$A$2:$A$49,0))</f>
        <v>Household</v>
      </c>
      <c r="H763" s="33" t="n">
        <f aca="false">D763*INDEX(Products!$E$2:$E$49,MATCH(C763,Products!$A$2:$A$49,0))</f>
        <v>6120</v>
      </c>
      <c r="I763" s="33" t="n">
        <f aca="false">D763*INDEX(Products!$D$2:$D$49,MATCH(C763,Products!$A$2:$A$49,0))*(1+INDEX(Assumptions!$B$16:$B$20,MATCH(B763,Assumptions!$A$16:$A$20,0)))</f>
        <v>4841.94</v>
      </c>
      <c r="J763" s="33" t="n">
        <f aca="false">H763-I763</f>
        <v>1278.06</v>
      </c>
      <c r="K763" s="33" t="n">
        <f aca="false">IF(OR(E763=0,E763&gt;=7),0,D763/(7-E763)*E763*INDEX(Products!$E$2:$E$49,MATCH(C763,Products!$A$2:$A$49,0)))</f>
        <v>0</v>
      </c>
    </row>
    <row r="764" customFormat="false" ht="15" hidden="false" customHeight="false" outlineLevel="0" collapsed="false">
      <c r="A764" s="36" t="n">
        <v>46202</v>
      </c>
      <c r="B764" s="24" t="s">
        <v>61</v>
      </c>
      <c r="C764" s="24" t="s">
        <v>175</v>
      </c>
      <c r="D764" s="33" t="n">
        <v>96</v>
      </c>
      <c r="E764" s="24" t="n">
        <v>0</v>
      </c>
      <c r="F764" s="37" t="n">
        <f aca="false">DATE(YEAR(A764),MONTH(A764),1)</f>
        <v>46174</v>
      </c>
      <c r="G764" s="24" t="str">
        <f aca="false">INDEX(Products!$C$2:$C$49,MATCH(C764,Products!$A$2:$A$49,0))</f>
        <v>Household</v>
      </c>
      <c r="H764" s="33" t="n">
        <f aca="false">D764*INDEX(Products!$E$2:$E$49,MATCH(C764,Products!$A$2:$A$49,0))</f>
        <v>5760</v>
      </c>
      <c r="I764" s="33" t="n">
        <f aca="false">D764*INDEX(Products!$D$2:$D$49,MATCH(C764,Products!$A$2:$A$49,0))*(1+INDEX(Assumptions!$B$16:$B$20,MATCH(B764,Assumptions!$A$16:$A$20,0)))</f>
        <v>4557.12</v>
      </c>
      <c r="J764" s="33" t="n">
        <f aca="false">H764-I764</f>
        <v>1202.88</v>
      </c>
      <c r="K764" s="33" t="n">
        <f aca="false">IF(OR(E764=0,E764&gt;=7),0,D764/(7-E764)*E764*INDEX(Products!$E$2:$E$49,MATCH(C764,Products!$A$2:$A$49,0)))</f>
        <v>0</v>
      </c>
    </row>
    <row r="765" customFormat="false" ht="15" hidden="false" customHeight="false" outlineLevel="0" collapsed="false">
      <c r="A765" s="36" t="n">
        <v>46209</v>
      </c>
      <c r="B765" s="24" t="s">
        <v>61</v>
      </c>
      <c r="C765" s="24" t="s">
        <v>175</v>
      </c>
      <c r="D765" s="33" t="n">
        <v>88</v>
      </c>
      <c r="E765" s="24" t="n">
        <v>0</v>
      </c>
      <c r="F765" s="37" t="n">
        <f aca="false">DATE(YEAR(A765),MONTH(A765),1)</f>
        <v>46204</v>
      </c>
      <c r="G765" s="24" t="str">
        <f aca="false">INDEX(Products!$C$2:$C$49,MATCH(C765,Products!$A$2:$A$49,0))</f>
        <v>Household</v>
      </c>
      <c r="H765" s="33" t="n">
        <f aca="false">D765*INDEX(Products!$E$2:$E$49,MATCH(C765,Products!$A$2:$A$49,0))</f>
        <v>5280</v>
      </c>
      <c r="I765" s="33" t="n">
        <f aca="false">D765*INDEX(Products!$D$2:$D$49,MATCH(C765,Products!$A$2:$A$49,0))*(1+INDEX(Assumptions!$B$16:$B$20,MATCH(B765,Assumptions!$A$16:$A$20,0)))</f>
        <v>4177.36</v>
      </c>
      <c r="J765" s="33" t="n">
        <f aca="false">H765-I765</f>
        <v>1102.64</v>
      </c>
      <c r="K765" s="33" t="n">
        <f aca="false">IF(OR(E765=0,E765&gt;=7),0,D765/(7-E765)*E765*INDEX(Products!$E$2:$E$49,MATCH(C765,Products!$A$2:$A$49,0)))</f>
        <v>0</v>
      </c>
    </row>
    <row r="766" customFormat="false" ht="15" hidden="false" customHeight="false" outlineLevel="0" collapsed="false">
      <c r="A766" s="36" t="n">
        <v>46216</v>
      </c>
      <c r="B766" s="24" t="s">
        <v>61</v>
      </c>
      <c r="C766" s="24" t="s">
        <v>175</v>
      </c>
      <c r="D766" s="33" t="n">
        <v>86</v>
      </c>
      <c r="E766" s="24" t="n">
        <v>0</v>
      </c>
      <c r="F766" s="37" t="n">
        <f aca="false">DATE(YEAR(A766),MONTH(A766),1)</f>
        <v>46204</v>
      </c>
      <c r="G766" s="24" t="str">
        <f aca="false">INDEX(Products!$C$2:$C$49,MATCH(C766,Products!$A$2:$A$49,0))</f>
        <v>Household</v>
      </c>
      <c r="H766" s="33" t="n">
        <f aca="false">D766*INDEX(Products!$E$2:$E$49,MATCH(C766,Products!$A$2:$A$49,0))</f>
        <v>5160</v>
      </c>
      <c r="I766" s="33" t="n">
        <f aca="false">D766*INDEX(Products!$D$2:$D$49,MATCH(C766,Products!$A$2:$A$49,0))*(1+INDEX(Assumptions!$B$16:$B$20,MATCH(B766,Assumptions!$A$16:$A$20,0)))</f>
        <v>4082.42</v>
      </c>
      <c r="J766" s="33" t="n">
        <f aca="false">H766-I766</f>
        <v>1077.58</v>
      </c>
      <c r="K766" s="33" t="n">
        <f aca="false">IF(OR(E766=0,E766&gt;=7),0,D766/(7-E766)*E766*INDEX(Products!$E$2:$E$49,MATCH(C766,Products!$A$2:$A$49,0)))</f>
        <v>0</v>
      </c>
    </row>
    <row r="767" customFormat="false" ht="15" hidden="false" customHeight="false" outlineLevel="0" collapsed="false">
      <c r="A767" s="36" t="n">
        <v>46223</v>
      </c>
      <c r="B767" s="24" t="s">
        <v>61</v>
      </c>
      <c r="C767" s="24" t="s">
        <v>175</v>
      </c>
      <c r="D767" s="33" t="n">
        <v>100</v>
      </c>
      <c r="E767" s="24" t="n">
        <v>0</v>
      </c>
      <c r="F767" s="37" t="n">
        <f aca="false">DATE(YEAR(A767),MONTH(A767),1)</f>
        <v>46204</v>
      </c>
      <c r="G767" s="24" t="str">
        <f aca="false">INDEX(Products!$C$2:$C$49,MATCH(C767,Products!$A$2:$A$49,0))</f>
        <v>Household</v>
      </c>
      <c r="H767" s="33" t="n">
        <f aca="false">D767*INDEX(Products!$E$2:$E$49,MATCH(C767,Products!$A$2:$A$49,0))</f>
        <v>6000</v>
      </c>
      <c r="I767" s="33" t="n">
        <f aca="false">D767*INDEX(Products!$D$2:$D$49,MATCH(C767,Products!$A$2:$A$49,0))*(1+INDEX(Assumptions!$B$16:$B$20,MATCH(B767,Assumptions!$A$16:$A$20,0)))</f>
        <v>4747</v>
      </c>
      <c r="J767" s="33" t="n">
        <f aca="false">H767-I767</f>
        <v>1253</v>
      </c>
      <c r="K767" s="33" t="n">
        <f aca="false">IF(OR(E767=0,E767&gt;=7),0,D767/(7-E767)*E767*INDEX(Products!$E$2:$E$49,MATCH(C767,Products!$A$2:$A$49,0)))</f>
        <v>0</v>
      </c>
    </row>
    <row r="768" customFormat="false" ht="15" hidden="false" customHeight="false" outlineLevel="0" collapsed="false">
      <c r="A768" s="36" t="n">
        <v>46230</v>
      </c>
      <c r="B768" s="24" t="s">
        <v>61</v>
      </c>
      <c r="C768" s="24" t="s">
        <v>175</v>
      </c>
      <c r="D768" s="33" t="n">
        <v>42</v>
      </c>
      <c r="E768" s="24" t="n">
        <v>4</v>
      </c>
      <c r="F768" s="37" t="n">
        <f aca="false">DATE(YEAR(A768),MONTH(A768),1)</f>
        <v>46204</v>
      </c>
      <c r="G768" s="24" t="str">
        <f aca="false">INDEX(Products!$C$2:$C$49,MATCH(C768,Products!$A$2:$A$49,0))</f>
        <v>Household</v>
      </c>
      <c r="H768" s="33" t="n">
        <f aca="false">D768*INDEX(Products!$E$2:$E$49,MATCH(C768,Products!$A$2:$A$49,0))</f>
        <v>2520</v>
      </c>
      <c r="I768" s="33" t="n">
        <f aca="false">D768*INDEX(Products!$D$2:$D$49,MATCH(C768,Products!$A$2:$A$49,0))*(1+INDEX(Assumptions!$B$16:$B$20,MATCH(B768,Assumptions!$A$16:$A$20,0)))</f>
        <v>1993.74</v>
      </c>
      <c r="J768" s="33" t="n">
        <f aca="false">H768-I768</f>
        <v>526.26</v>
      </c>
      <c r="K768" s="33" t="n">
        <f aca="false">IF(OR(E768=0,E768&gt;=7),0,D768/(7-E768)*E768*INDEX(Products!$E$2:$E$49,MATCH(C768,Products!$A$2:$A$49,0)))</f>
        <v>3360</v>
      </c>
    </row>
    <row r="769" customFormat="false" ht="15" hidden="false" customHeight="false" outlineLevel="0" collapsed="false">
      <c r="A769" s="36" t="n">
        <v>46237</v>
      </c>
      <c r="B769" s="24" t="s">
        <v>61</v>
      </c>
      <c r="C769" s="24" t="s">
        <v>175</v>
      </c>
      <c r="D769" s="33" t="n">
        <v>90</v>
      </c>
      <c r="E769" s="24" t="n">
        <v>0</v>
      </c>
      <c r="F769" s="37" t="n">
        <f aca="false">DATE(YEAR(A769),MONTH(A769),1)</f>
        <v>46235</v>
      </c>
      <c r="G769" s="24" t="str">
        <f aca="false">INDEX(Products!$C$2:$C$49,MATCH(C769,Products!$A$2:$A$49,0))</f>
        <v>Household</v>
      </c>
      <c r="H769" s="33" t="n">
        <f aca="false">D769*INDEX(Products!$E$2:$E$49,MATCH(C769,Products!$A$2:$A$49,0))</f>
        <v>5400</v>
      </c>
      <c r="I769" s="33" t="n">
        <f aca="false">D769*INDEX(Products!$D$2:$D$49,MATCH(C769,Products!$A$2:$A$49,0))*(1+INDEX(Assumptions!$B$16:$B$20,MATCH(B769,Assumptions!$A$16:$A$20,0)))</f>
        <v>4272.3</v>
      </c>
      <c r="J769" s="33" t="n">
        <f aca="false">H769-I769</f>
        <v>1127.7</v>
      </c>
      <c r="K769" s="33" t="n">
        <f aca="false">IF(OR(E769=0,E769&gt;=7),0,D769/(7-E769)*E769*INDEX(Products!$E$2:$E$49,MATCH(C769,Products!$A$2:$A$49,0)))</f>
        <v>0</v>
      </c>
    </row>
    <row r="770" customFormat="false" ht="15" hidden="false" customHeight="false" outlineLevel="0" collapsed="false">
      <c r="A770" s="36" t="n">
        <v>46244</v>
      </c>
      <c r="B770" s="24" t="s">
        <v>61</v>
      </c>
      <c r="C770" s="24" t="s">
        <v>175</v>
      </c>
      <c r="D770" s="33" t="n">
        <v>80</v>
      </c>
      <c r="E770" s="24" t="n">
        <v>0</v>
      </c>
      <c r="F770" s="37" t="n">
        <f aca="false">DATE(YEAR(A770),MONTH(A770),1)</f>
        <v>46235</v>
      </c>
      <c r="G770" s="24" t="str">
        <f aca="false">INDEX(Products!$C$2:$C$49,MATCH(C770,Products!$A$2:$A$49,0))</f>
        <v>Household</v>
      </c>
      <c r="H770" s="33" t="n">
        <f aca="false">D770*INDEX(Products!$E$2:$E$49,MATCH(C770,Products!$A$2:$A$49,0))</f>
        <v>4800</v>
      </c>
      <c r="I770" s="33" t="n">
        <f aca="false">D770*INDEX(Products!$D$2:$D$49,MATCH(C770,Products!$A$2:$A$49,0))*(1+INDEX(Assumptions!$B$16:$B$20,MATCH(B770,Assumptions!$A$16:$A$20,0)))</f>
        <v>3797.6</v>
      </c>
      <c r="J770" s="33" t="n">
        <f aca="false">H770-I770</f>
        <v>1002.4</v>
      </c>
      <c r="K770" s="33" t="n">
        <f aca="false">IF(OR(E770=0,E770&gt;=7),0,D770/(7-E770)*E770*INDEX(Products!$E$2:$E$49,MATCH(C770,Products!$A$2:$A$49,0)))</f>
        <v>0</v>
      </c>
    </row>
    <row r="771" customFormat="false" ht="15" hidden="false" customHeight="false" outlineLevel="0" collapsed="false">
      <c r="A771" s="36" t="n">
        <v>46251</v>
      </c>
      <c r="B771" s="24" t="s">
        <v>61</v>
      </c>
      <c r="C771" s="24" t="s">
        <v>175</v>
      </c>
      <c r="D771" s="33" t="n">
        <v>78</v>
      </c>
      <c r="E771" s="24" t="n">
        <v>0</v>
      </c>
      <c r="F771" s="37" t="n">
        <f aca="false">DATE(YEAR(A771),MONTH(A771),1)</f>
        <v>46235</v>
      </c>
      <c r="G771" s="24" t="str">
        <f aca="false">INDEX(Products!$C$2:$C$49,MATCH(C771,Products!$A$2:$A$49,0))</f>
        <v>Household</v>
      </c>
      <c r="H771" s="33" t="n">
        <f aca="false">D771*INDEX(Products!$E$2:$E$49,MATCH(C771,Products!$A$2:$A$49,0))</f>
        <v>4680</v>
      </c>
      <c r="I771" s="33" t="n">
        <f aca="false">D771*INDEX(Products!$D$2:$D$49,MATCH(C771,Products!$A$2:$A$49,0))*(1+INDEX(Assumptions!$B$16:$B$20,MATCH(B771,Assumptions!$A$16:$A$20,0)))</f>
        <v>3702.66</v>
      </c>
      <c r="J771" s="33" t="n">
        <f aca="false">H771-I771</f>
        <v>977.34</v>
      </c>
      <c r="K771" s="33" t="n">
        <f aca="false">IF(OR(E771=0,E771&gt;=7),0,D771/(7-E771)*E771*INDEX(Products!$E$2:$E$49,MATCH(C771,Products!$A$2:$A$49,0)))</f>
        <v>0</v>
      </c>
    </row>
    <row r="772" customFormat="false" ht="15" hidden="false" customHeight="false" outlineLevel="0" collapsed="false">
      <c r="A772" s="36" t="n">
        <v>46258</v>
      </c>
      <c r="B772" s="24" t="s">
        <v>61</v>
      </c>
      <c r="C772" s="24" t="s">
        <v>175</v>
      </c>
      <c r="D772" s="33" t="n">
        <v>83</v>
      </c>
      <c r="E772" s="24" t="n">
        <v>0</v>
      </c>
      <c r="F772" s="37" t="n">
        <f aca="false">DATE(YEAR(A772),MONTH(A772),1)</f>
        <v>46235</v>
      </c>
      <c r="G772" s="24" t="str">
        <f aca="false">INDEX(Products!$C$2:$C$49,MATCH(C772,Products!$A$2:$A$49,0))</f>
        <v>Household</v>
      </c>
      <c r="H772" s="33" t="n">
        <f aca="false">D772*INDEX(Products!$E$2:$E$49,MATCH(C772,Products!$A$2:$A$49,0))</f>
        <v>4980</v>
      </c>
      <c r="I772" s="33" t="n">
        <f aca="false">D772*INDEX(Products!$D$2:$D$49,MATCH(C772,Products!$A$2:$A$49,0))*(1+INDEX(Assumptions!$B$16:$B$20,MATCH(B772,Assumptions!$A$16:$A$20,0)))</f>
        <v>3940.01</v>
      </c>
      <c r="J772" s="33" t="n">
        <f aca="false">H772-I772</f>
        <v>1039.99</v>
      </c>
      <c r="K772" s="33" t="n">
        <f aca="false">IF(OR(E772=0,E772&gt;=7),0,D772/(7-E772)*E772*INDEX(Products!$E$2:$E$49,MATCH(C772,Products!$A$2:$A$49,0)))</f>
        <v>0</v>
      </c>
    </row>
    <row r="773" customFormat="false" ht="15" hidden="false" customHeight="false" outlineLevel="0" collapsed="false">
      <c r="A773" s="36" t="n">
        <v>46265</v>
      </c>
      <c r="B773" s="24" t="s">
        <v>61</v>
      </c>
      <c r="C773" s="24" t="s">
        <v>175</v>
      </c>
      <c r="D773" s="33" t="n">
        <v>94</v>
      </c>
      <c r="E773" s="24" t="n">
        <v>0</v>
      </c>
      <c r="F773" s="37" t="n">
        <f aca="false">DATE(YEAR(A773),MONTH(A773),1)</f>
        <v>46235</v>
      </c>
      <c r="G773" s="24" t="str">
        <f aca="false">INDEX(Products!$C$2:$C$49,MATCH(C773,Products!$A$2:$A$49,0))</f>
        <v>Household</v>
      </c>
      <c r="H773" s="33" t="n">
        <f aca="false">D773*INDEX(Products!$E$2:$E$49,MATCH(C773,Products!$A$2:$A$49,0))</f>
        <v>5640</v>
      </c>
      <c r="I773" s="33" t="n">
        <f aca="false">D773*INDEX(Products!$D$2:$D$49,MATCH(C773,Products!$A$2:$A$49,0))*(1+INDEX(Assumptions!$B$16:$B$20,MATCH(B773,Assumptions!$A$16:$A$20,0)))</f>
        <v>4462.18</v>
      </c>
      <c r="J773" s="33" t="n">
        <f aca="false">H773-I773</f>
        <v>1177.82</v>
      </c>
      <c r="K773" s="33" t="n">
        <f aca="false">IF(OR(E773=0,E773&gt;=7),0,D773/(7-E773)*E773*INDEX(Products!$E$2:$E$49,MATCH(C773,Products!$A$2:$A$49,0)))</f>
        <v>0</v>
      </c>
    </row>
    <row r="774" customFormat="false" ht="15" hidden="false" customHeight="false" outlineLevel="0" collapsed="false">
      <c r="A774" s="36" t="n">
        <v>46272</v>
      </c>
      <c r="B774" s="24" t="s">
        <v>61</v>
      </c>
      <c r="C774" s="24" t="s">
        <v>175</v>
      </c>
      <c r="D774" s="33" t="n">
        <v>90</v>
      </c>
      <c r="E774" s="24" t="n">
        <v>0</v>
      </c>
      <c r="F774" s="37" t="n">
        <f aca="false">DATE(YEAR(A774),MONTH(A774),1)</f>
        <v>46266</v>
      </c>
      <c r="G774" s="24" t="str">
        <f aca="false">INDEX(Products!$C$2:$C$49,MATCH(C774,Products!$A$2:$A$49,0))</f>
        <v>Household</v>
      </c>
      <c r="H774" s="33" t="n">
        <f aca="false">D774*INDEX(Products!$E$2:$E$49,MATCH(C774,Products!$A$2:$A$49,0))</f>
        <v>5400</v>
      </c>
      <c r="I774" s="33" t="n">
        <f aca="false">D774*INDEX(Products!$D$2:$D$49,MATCH(C774,Products!$A$2:$A$49,0))*(1+INDEX(Assumptions!$B$16:$B$20,MATCH(B774,Assumptions!$A$16:$A$20,0)))</f>
        <v>4272.3</v>
      </c>
      <c r="J774" s="33" t="n">
        <f aca="false">H774-I774</f>
        <v>1127.7</v>
      </c>
      <c r="K774" s="33" t="n">
        <f aca="false">IF(OR(E774=0,E774&gt;=7),0,D774/(7-E774)*E774*INDEX(Products!$E$2:$E$49,MATCH(C774,Products!$A$2:$A$49,0)))</f>
        <v>0</v>
      </c>
    </row>
    <row r="775" customFormat="false" ht="15" hidden="false" customHeight="false" outlineLevel="0" collapsed="false">
      <c r="A775" s="36" t="n">
        <v>46279</v>
      </c>
      <c r="B775" s="24" t="s">
        <v>61</v>
      </c>
      <c r="C775" s="24" t="s">
        <v>175</v>
      </c>
      <c r="D775" s="33" t="n">
        <v>104</v>
      </c>
      <c r="E775" s="24" t="n">
        <v>0</v>
      </c>
      <c r="F775" s="37" t="n">
        <f aca="false">DATE(YEAR(A775),MONTH(A775),1)</f>
        <v>46266</v>
      </c>
      <c r="G775" s="24" t="str">
        <f aca="false">INDEX(Products!$C$2:$C$49,MATCH(C775,Products!$A$2:$A$49,0))</f>
        <v>Household</v>
      </c>
      <c r="H775" s="33" t="n">
        <f aca="false">D775*INDEX(Products!$E$2:$E$49,MATCH(C775,Products!$A$2:$A$49,0))</f>
        <v>6240</v>
      </c>
      <c r="I775" s="33" t="n">
        <f aca="false">D775*INDEX(Products!$D$2:$D$49,MATCH(C775,Products!$A$2:$A$49,0))*(1+INDEX(Assumptions!$B$16:$B$20,MATCH(B775,Assumptions!$A$16:$A$20,0)))</f>
        <v>4936.88</v>
      </c>
      <c r="J775" s="33" t="n">
        <f aca="false">H775-I775</f>
        <v>1303.12</v>
      </c>
      <c r="K775" s="33" t="n">
        <f aca="false">IF(OR(E775=0,E775&gt;=7),0,D775/(7-E775)*E775*INDEX(Products!$E$2:$E$49,MATCH(C775,Products!$A$2:$A$49,0)))</f>
        <v>0</v>
      </c>
    </row>
    <row r="776" customFormat="false" ht="15" hidden="false" customHeight="false" outlineLevel="0" collapsed="false">
      <c r="A776" s="36" t="n">
        <v>46286</v>
      </c>
      <c r="B776" s="24" t="s">
        <v>61</v>
      </c>
      <c r="C776" s="24" t="s">
        <v>175</v>
      </c>
      <c r="D776" s="33" t="n">
        <v>98</v>
      </c>
      <c r="E776" s="24" t="n">
        <v>0</v>
      </c>
      <c r="F776" s="37" t="n">
        <f aca="false">DATE(YEAR(A776),MONTH(A776),1)</f>
        <v>46266</v>
      </c>
      <c r="G776" s="24" t="str">
        <f aca="false">INDEX(Products!$C$2:$C$49,MATCH(C776,Products!$A$2:$A$49,0))</f>
        <v>Household</v>
      </c>
      <c r="H776" s="33" t="n">
        <f aca="false">D776*INDEX(Products!$E$2:$E$49,MATCH(C776,Products!$A$2:$A$49,0))</f>
        <v>5880</v>
      </c>
      <c r="I776" s="33" t="n">
        <f aca="false">D776*INDEX(Products!$D$2:$D$49,MATCH(C776,Products!$A$2:$A$49,0))*(1+INDEX(Assumptions!$B$16:$B$20,MATCH(B776,Assumptions!$A$16:$A$20,0)))</f>
        <v>4652.06</v>
      </c>
      <c r="J776" s="33" t="n">
        <f aca="false">H776-I776</f>
        <v>1227.94</v>
      </c>
      <c r="K776" s="33" t="n">
        <f aca="false">IF(OR(E776=0,E776&gt;=7),0,D776/(7-E776)*E776*INDEX(Products!$E$2:$E$49,MATCH(C776,Products!$A$2:$A$49,0)))</f>
        <v>0</v>
      </c>
    </row>
    <row r="777" customFormat="false" ht="15" hidden="false" customHeight="false" outlineLevel="0" collapsed="false">
      <c r="A777" s="36" t="n">
        <v>46118</v>
      </c>
      <c r="B777" s="24" t="s">
        <v>61</v>
      </c>
      <c r="C777" s="24" t="s">
        <v>177</v>
      </c>
      <c r="D777" s="33" t="n">
        <v>56</v>
      </c>
      <c r="E777" s="24" t="n">
        <v>0</v>
      </c>
      <c r="F777" s="37" t="n">
        <f aca="false">DATE(YEAR(A777),MONTH(A777),1)</f>
        <v>46113</v>
      </c>
      <c r="G777" s="24" t="str">
        <f aca="false">INDEX(Products!$C$2:$C$49,MATCH(C777,Products!$A$2:$A$49,0))</f>
        <v>Household</v>
      </c>
      <c r="H777" s="33" t="n">
        <f aca="false">D777*INDEX(Products!$E$2:$E$49,MATCH(C777,Products!$A$2:$A$49,0))</f>
        <v>5600</v>
      </c>
      <c r="I777" s="33" t="n">
        <f aca="false">D777*INDEX(Products!$D$2:$D$49,MATCH(C777,Products!$A$2:$A$49,0))*(1+INDEX(Assumptions!$B$16:$B$20,MATCH(B777,Assumptions!$A$16:$A$20,0)))</f>
        <v>3959.2</v>
      </c>
      <c r="J777" s="33" t="n">
        <f aca="false">H777-I777</f>
        <v>1640.8</v>
      </c>
      <c r="K777" s="33" t="n">
        <f aca="false">IF(OR(E777=0,E777&gt;=7),0,D777/(7-E777)*E777*INDEX(Products!$E$2:$E$49,MATCH(C777,Products!$A$2:$A$49,0)))</f>
        <v>0</v>
      </c>
    </row>
    <row r="778" customFormat="false" ht="15" hidden="false" customHeight="false" outlineLevel="0" collapsed="false">
      <c r="A778" s="36" t="n">
        <v>46125</v>
      </c>
      <c r="B778" s="24" t="s">
        <v>61</v>
      </c>
      <c r="C778" s="24" t="s">
        <v>177</v>
      </c>
      <c r="D778" s="33" t="n">
        <v>42</v>
      </c>
      <c r="E778" s="24" t="n">
        <v>0</v>
      </c>
      <c r="F778" s="37" t="n">
        <f aca="false">DATE(YEAR(A778),MONTH(A778),1)</f>
        <v>46113</v>
      </c>
      <c r="G778" s="24" t="str">
        <f aca="false">INDEX(Products!$C$2:$C$49,MATCH(C778,Products!$A$2:$A$49,0))</f>
        <v>Household</v>
      </c>
      <c r="H778" s="33" t="n">
        <f aca="false">D778*INDEX(Products!$E$2:$E$49,MATCH(C778,Products!$A$2:$A$49,0))</f>
        <v>4200</v>
      </c>
      <c r="I778" s="33" t="n">
        <f aca="false">D778*INDEX(Products!$D$2:$D$49,MATCH(C778,Products!$A$2:$A$49,0))*(1+INDEX(Assumptions!$B$16:$B$20,MATCH(B778,Assumptions!$A$16:$A$20,0)))</f>
        <v>2969.4</v>
      </c>
      <c r="J778" s="33" t="n">
        <f aca="false">H778-I778</f>
        <v>1230.6</v>
      </c>
      <c r="K778" s="33" t="n">
        <f aca="false">IF(OR(E778=0,E778&gt;=7),0,D778/(7-E778)*E778*INDEX(Products!$E$2:$E$49,MATCH(C778,Products!$A$2:$A$49,0)))</f>
        <v>0</v>
      </c>
    </row>
    <row r="779" customFormat="false" ht="15" hidden="false" customHeight="false" outlineLevel="0" collapsed="false">
      <c r="A779" s="36" t="n">
        <v>46132</v>
      </c>
      <c r="B779" s="24" t="s">
        <v>61</v>
      </c>
      <c r="C779" s="24" t="s">
        <v>177</v>
      </c>
      <c r="D779" s="33" t="n">
        <v>49</v>
      </c>
      <c r="E779" s="24" t="n">
        <v>0</v>
      </c>
      <c r="F779" s="37" t="n">
        <f aca="false">DATE(YEAR(A779),MONTH(A779),1)</f>
        <v>46113</v>
      </c>
      <c r="G779" s="24" t="str">
        <f aca="false">INDEX(Products!$C$2:$C$49,MATCH(C779,Products!$A$2:$A$49,0))</f>
        <v>Household</v>
      </c>
      <c r="H779" s="33" t="n">
        <f aca="false">D779*INDEX(Products!$E$2:$E$49,MATCH(C779,Products!$A$2:$A$49,0))</f>
        <v>4900</v>
      </c>
      <c r="I779" s="33" t="n">
        <f aca="false">D779*INDEX(Products!$D$2:$D$49,MATCH(C779,Products!$A$2:$A$49,0))*(1+INDEX(Assumptions!$B$16:$B$20,MATCH(B779,Assumptions!$A$16:$A$20,0)))</f>
        <v>3464.3</v>
      </c>
      <c r="J779" s="33" t="n">
        <f aca="false">H779-I779</f>
        <v>1435.7</v>
      </c>
      <c r="K779" s="33" t="n">
        <f aca="false">IF(OR(E779=0,E779&gt;=7),0,D779/(7-E779)*E779*INDEX(Products!$E$2:$E$49,MATCH(C779,Products!$A$2:$A$49,0)))</f>
        <v>0</v>
      </c>
    </row>
    <row r="780" customFormat="false" ht="15" hidden="false" customHeight="false" outlineLevel="0" collapsed="false">
      <c r="A780" s="36" t="n">
        <v>46139</v>
      </c>
      <c r="B780" s="24" t="s">
        <v>61</v>
      </c>
      <c r="C780" s="24" t="s">
        <v>177</v>
      </c>
      <c r="D780" s="33" t="n">
        <v>39</v>
      </c>
      <c r="E780" s="24" t="n">
        <v>0</v>
      </c>
      <c r="F780" s="37" t="n">
        <f aca="false">DATE(YEAR(A780),MONTH(A780),1)</f>
        <v>46113</v>
      </c>
      <c r="G780" s="24" t="str">
        <f aca="false">INDEX(Products!$C$2:$C$49,MATCH(C780,Products!$A$2:$A$49,0))</f>
        <v>Household</v>
      </c>
      <c r="H780" s="33" t="n">
        <f aca="false">D780*INDEX(Products!$E$2:$E$49,MATCH(C780,Products!$A$2:$A$49,0))</f>
        <v>3900</v>
      </c>
      <c r="I780" s="33" t="n">
        <f aca="false">D780*INDEX(Products!$D$2:$D$49,MATCH(C780,Products!$A$2:$A$49,0))*(1+INDEX(Assumptions!$B$16:$B$20,MATCH(B780,Assumptions!$A$16:$A$20,0)))</f>
        <v>2757.3</v>
      </c>
      <c r="J780" s="33" t="n">
        <f aca="false">H780-I780</f>
        <v>1142.7</v>
      </c>
      <c r="K780" s="33" t="n">
        <f aca="false">IF(OR(E780=0,E780&gt;=7),0,D780/(7-E780)*E780*INDEX(Products!$E$2:$E$49,MATCH(C780,Products!$A$2:$A$49,0)))</f>
        <v>0</v>
      </c>
    </row>
    <row r="781" customFormat="false" ht="15" hidden="false" customHeight="false" outlineLevel="0" collapsed="false">
      <c r="A781" s="36" t="n">
        <v>46146</v>
      </c>
      <c r="B781" s="24" t="s">
        <v>61</v>
      </c>
      <c r="C781" s="24" t="s">
        <v>177</v>
      </c>
      <c r="D781" s="33" t="n">
        <v>34</v>
      </c>
      <c r="E781" s="24" t="n">
        <v>0</v>
      </c>
      <c r="F781" s="37" t="n">
        <f aca="false">DATE(YEAR(A781),MONTH(A781),1)</f>
        <v>46143</v>
      </c>
      <c r="G781" s="24" t="str">
        <f aca="false">INDEX(Products!$C$2:$C$49,MATCH(C781,Products!$A$2:$A$49,0))</f>
        <v>Household</v>
      </c>
      <c r="H781" s="33" t="n">
        <f aca="false">D781*INDEX(Products!$E$2:$E$49,MATCH(C781,Products!$A$2:$A$49,0))</f>
        <v>3400</v>
      </c>
      <c r="I781" s="33" t="n">
        <f aca="false">D781*INDEX(Products!$D$2:$D$49,MATCH(C781,Products!$A$2:$A$49,0))*(1+INDEX(Assumptions!$B$16:$B$20,MATCH(B781,Assumptions!$A$16:$A$20,0)))</f>
        <v>2403.8</v>
      </c>
      <c r="J781" s="33" t="n">
        <f aca="false">H781-I781</f>
        <v>996.2</v>
      </c>
      <c r="K781" s="33" t="n">
        <f aca="false">IF(OR(E781=0,E781&gt;=7),0,D781/(7-E781)*E781*INDEX(Products!$E$2:$E$49,MATCH(C781,Products!$A$2:$A$49,0)))</f>
        <v>0</v>
      </c>
    </row>
    <row r="782" customFormat="false" ht="15" hidden="false" customHeight="false" outlineLevel="0" collapsed="false">
      <c r="A782" s="36" t="n">
        <v>46153</v>
      </c>
      <c r="B782" s="24" t="s">
        <v>61</v>
      </c>
      <c r="C782" s="24" t="s">
        <v>177</v>
      </c>
      <c r="D782" s="33" t="n">
        <v>54</v>
      </c>
      <c r="E782" s="24" t="n">
        <v>0</v>
      </c>
      <c r="F782" s="37" t="n">
        <f aca="false">DATE(YEAR(A782),MONTH(A782),1)</f>
        <v>46143</v>
      </c>
      <c r="G782" s="24" t="str">
        <f aca="false">INDEX(Products!$C$2:$C$49,MATCH(C782,Products!$A$2:$A$49,0))</f>
        <v>Household</v>
      </c>
      <c r="H782" s="33" t="n">
        <f aca="false">D782*INDEX(Products!$E$2:$E$49,MATCH(C782,Products!$A$2:$A$49,0))</f>
        <v>5400</v>
      </c>
      <c r="I782" s="33" t="n">
        <f aca="false">D782*INDEX(Products!$D$2:$D$49,MATCH(C782,Products!$A$2:$A$49,0))*(1+INDEX(Assumptions!$B$16:$B$20,MATCH(B782,Assumptions!$A$16:$A$20,0)))</f>
        <v>3817.8</v>
      </c>
      <c r="J782" s="33" t="n">
        <f aca="false">H782-I782</f>
        <v>1582.2</v>
      </c>
      <c r="K782" s="33" t="n">
        <f aca="false">IF(OR(E782=0,E782&gt;=7),0,D782/(7-E782)*E782*INDEX(Products!$E$2:$E$49,MATCH(C782,Products!$A$2:$A$49,0)))</f>
        <v>0</v>
      </c>
    </row>
    <row r="783" customFormat="false" ht="15" hidden="false" customHeight="false" outlineLevel="0" collapsed="false">
      <c r="A783" s="36" t="n">
        <v>46160</v>
      </c>
      <c r="B783" s="24" t="s">
        <v>61</v>
      </c>
      <c r="C783" s="24" t="s">
        <v>177</v>
      </c>
      <c r="D783" s="33" t="n">
        <v>51</v>
      </c>
      <c r="E783" s="24" t="n">
        <v>0</v>
      </c>
      <c r="F783" s="37" t="n">
        <f aca="false">DATE(YEAR(A783),MONTH(A783),1)</f>
        <v>46143</v>
      </c>
      <c r="G783" s="24" t="str">
        <f aca="false">INDEX(Products!$C$2:$C$49,MATCH(C783,Products!$A$2:$A$49,0))</f>
        <v>Household</v>
      </c>
      <c r="H783" s="33" t="n">
        <f aca="false">D783*INDEX(Products!$E$2:$E$49,MATCH(C783,Products!$A$2:$A$49,0))</f>
        <v>5100</v>
      </c>
      <c r="I783" s="33" t="n">
        <f aca="false">D783*INDEX(Products!$D$2:$D$49,MATCH(C783,Products!$A$2:$A$49,0))*(1+INDEX(Assumptions!$B$16:$B$20,MATCH(B783,Assumptions!$A$16:$A$20,0)))</f>
        <v>3605.7</v>
      </c>
      <c r="J783" s="33" t="n">
        <f aca="false">H783-I783</f>
        <v>1494.3</v>
      </c>
      <c r="K783" s="33" t="n">
        <f aca="false">IF(OR(E783=0,E783&gt;=7),0,D783/(7-E783)*E783*INDEX(Products!$E$2:$E$49,MATCH(C783,Products!$A$2:$A$49,0)))</f>
        <v>0</v>
      </c>
    </row>
    <row r="784" customFormat="false" ht="15" hidden="false" customHeight="false" outlineLevel="0" collapsed="false">
      <c r="A784" s="36" t="n">
        <v>46167</v>
      </c>
      <c r="B784" s="24" t="s">
        <v>61</v>
      </c>
      <c r="C784" s="24" t="s">
        <v>177</v>
      </c>
      <c r="D784" s="33" t="n">
        <v>58</v>
      </c>
      <c r="E784" s="24" t="n">
        <v>0</v>
      </c>
      <c r="F784" s="37" t="n">
        <f aca="false">DATE(YEAR(A784),MONTH(A784),1)</f>
        <v>46143</v>
      </c>
      <c r="G784" s="24" t="str">
        <f aca="false">INDEX(Products!$C$2:$C$49,MATCH(C784,Products!$A$2:$A$49,0))</f>
        <v>Household</v>
      </c>
      <c r="H784" s="33" t="n">
        <f aca="false">D784*INDEX(Products!$E$2:$E$49,MATCH(C784,Products!$A$2:$A$49,0))</f>
        <v>5800</v>
      </c>
      <c r="I784" s="33" t="n">
        <f aca="false">D784*INDEX(Products!$D$2:$D$49,MATCH(C784,Products!$A$2:$A$49,0))*(1+INDEX(Assumptions!$B$16:$B$20,MATCH(B784,Assumptions!$A$16:$A$20,0)))</f>
        <v>4100.6</v>
      </c>
      <c r="J784" s="33" t="n">
        <f aca="false">H784-I784</f>
        <v>1699.4</v>
      </c>
      <c r="K784" s="33" t="n">
        <f aca="false">IF(OR(E784=0,E784&gt;=7),0,D784/(7-E784)*E784*INDEX(Products!$E$2:$E$49,MATCH(C784,Products!$A$2:$A$49,0)))</f>
        <v>0</v>
      </c>
    </row>
    <row r="785" customFormat="false" ht="15" hidden="false" customHeight="false" outlineLevel="0" collapsed="false">
      <c r="A785" s="36" t="n">
        <v>46174</v>
      </c>
      <c r="B785" s="24" t="s">
        <v>61</v>
      </c>
      <c r="C785" s="24" t="s">
        <v>177</v>
      </c>
      <c r="D785" s="33" t="n">
        <v>53</v>
      </c>
      <c r="E785" s="24" t="n">
        <v>0</v>
      </c>
      <c r="F785" s="37" t="n">
        <f aca="false">DATE(YEAR(A785),MONTH(A785),1)</f>
        <v>46174</v>
      </c>
      <c r="G785" s="24" t="str">
        <f aca="false">INDEX(Products!$C$2:$C$49,MATCH(C785,Products!$A$2:$A$49,0))</f>
        <v>Household</v>
      </c>
      <c r="H785" s="33" t="n">
        <f aca="false">D785*INDEX(Products!$E$2:$E$49,MATCH(C785,Products!$A$2:$A$49,0))</f>
        <v>5300</v>
      </c>
      <c r="I785" s="33" t="n">
        <f aca="false">D785*INDEX(Products!$D$2:$D$49,MATCH(C785,Products!$A$2:$A$49,0))*(1+INDEX(Assumptions!$B$16:$B$20,MATCH(B785,Assumptions!$A$16:$A$20,0)))</f>
        <v>3747.1</v>
      </c>
      <c r="J785" s="33" t="n">
        <f aca="false">H785-I785</f>
        <v>1552.9</v>
      </c>
      <c r="K785" s="33" t="n">
        <f aca="false">IF(OR(E785=0,E785&gt;=7),0,D785/(7-E785)*E785*INDEX(Products!$E$2:$E$49,MATCH(C785,Products!$A$2:$A$49,0)))</f>
        <v>0</v>
      </c>
    </row>
    <row r="786" customFormat="false" ht="15" hidden="false" customHeight="false" outlineLevel="0" collapsed="false">
      <c r="A786" s="36" t="n">
        <v>46181</v>
      </c>
      <c r="B786" s="24" t="s">
        <v>61</v>
      </c>
      <c r="C786" s="24" t="s">
        <v>177</v>
      </c>
      <c r="D786" s="33" t="n">
        <v>44</v>
      </c>
      <c r="E786" s="24" t="n">
        <v>0</v>
      </c>
      <c r="F786" s="37" t="n">
        <f aca="false">DATE(YEAR(A786),MONTH(A786),1)</f>
        <v>46174</v>
      </c>
      <c r="G786" s="24" t="str">
        <f aca="false">INDEX(Products!$C$2:$C$49,MATCH(C786,Products!$A$2:$A$49,0))</f>
        <v>Household</v>
      </c>
      <c r="H786" s="33" t="n">
        <f aca="false">D786*INDEX(Products!$E$2:$E$49,MATCH(C786,Products!$A$2:$A$49,0))</f>
        <v>4400</v>
      </c>
      <c r="I786" s="33" t="n">
        <f aca="false">D786*INDEX(Products!$D$2:$D$49,MATCH(C786,Products!$A$2:$A$49,0))*(1+INDEX(Assumptions!$B$16:$B$20,MATCH(B786,Assumptions!$A$16:$A$20,0)))</f>
        <v>3110.8</v>
      </c>
      <c r="J786" s="33" t="n">
        <f aca="false">H786-I786</f>
        <v>1289.2</v>
      </c>
      <c r="K786" s="33" t="n">
        <f aca="false">IF(OR(E786=0,E786&gt;=7),0,D786/(7-E786)*E786*INDEX(Products!$E$2:$E$49,MATCH(C786,Products!$A$2:$A$49,0)))</f>
        <v>0</v>
      </c>
    </row>
    <row r="787" customFormat="false" ht="15" hidden="false" customHeight="false" outlineLevel="0" collapsed="false">
      <c r="A787" s="36" t="n">
        <v>46188</v>
      </c>
      <c r="B787" s="24" t="s">
        <v>61</v>
      </c>
      <c r="C787" s="24" t="s">
        <v>177</v>
      </c>
      <c r="D787" s="33" t="n">
        <v>48</v>
      </c>
      <c r="E787" s="24" t="n">
        <v>0</v>
      </c>
      <c r="F787" s="37" t="n">
        <f aca="false">DATE(YEAR(A787),MONTH(A787),1)</f>
        <v>46174</v>
      </c>
      <c r="G787" s="24" t="str">
        <f aca="false">INDEX(Products!$C$2:$C$49,MATCH(C787,Products!$A$2:$A$49,0))</f>
        <v>Household</v>
      </c>
      <c r="H787" s="33" t="n">
        <f aca="false">D787*INDEX(Products!$E$2:$E$49,MATCH(C787,Products!$A$2:$A$49,0))</f>
        <v>4800</v>
      </c>
      <c r="I787" s="33" t="n">
        <f aca="false">D787*INDEX(Products!$D$2:$D$49,MATCH(C787,Products!$A$2:$A$49,0))*(1+INDEX(Assumptions!$B$16:$B$20,MATCH(B787,Assumptions!$A$16:$A$20,0)))</f>
        <v>3393.6</v>
      </c>
      <c r="J787" s="33" t="n">
        <f aca="false">H787-I787</f>
        <v>1406.4</v>
      </c>
      <c r="K787" s="33" t="n">
        <f aca="false">IF(OR(E787=0,E787&gt;=7),0,D787/(7-E787)*E787*INDEX(Products!$E$2:$E$49,MATCH(C787,Products!$A$2:$A$49,0)))</f>
        <v>0</v>
      </c>
    </row>
    <row r="788" customFormat="false" ht="15" hidden="false" customHeight="false" outlineLevel="0" collapsed="false">
      <c r="A788" s="36" t="n">
        <v>46195</v>
      </c>
      <c r="B788" s="24" t="s">
        <v>61</v>
      </c>
      <c r="C788" s="24" t="s">
        <v>177</v>
      </c>
      <c r="D788" s="33" t="n">
        <v>49</v>
      </c>
      <c r="E788" s="24" t="n">
        <v>0</v>
      </c>
      <c r="F788" s="37" t="n">
        <f aca="false">DATE(YEAR(A788),MONTH(A788),1)</f>
        <v>46174</v>
      </c>
      <c r="G788" s="24" t="str">
        <f aca="false">INDEX(Products!$C$2:$C$49,MATCH(C788,Products!$A$2:$A$49,0))</f>
        <v>Household</v>
      </c>
      <c r="H788" s="33" t="n">
        <f aca="false">D788*INDEX(Products!$E$2:$E$49,MATCH(C788,Products!$A$2:$A$49,0))</f>
        <v>4900</v>
      </c>
      <c r="I788" s="33" t="n">
        <f aca="false">D788*INDEX(Products!$D$2:$D$49,MATCH(C788,Products!$A$2:$A$49,0))*(1+INDEX(Assumptions!$B$16:$B$20,MATCH(B788,Assumptions!$A$16:$A$20,0)))</f>
        <v>3464.3</v>
      </c>
      <c r="J788" s="33" t="n">
        <f aca="false">H788-I788</f>
        <v>1435.7</v>
      </c>
      <c r="K788" s="33" t="n">
        <f aca="false">IF(OR(E788=0,E788&gt;=7),0,D788/(7-E788)*E788*INDEX(Products!$E$2:$E$49,MATCH(C788,Products!$A$2:$A$49,0)))</f>
        <v>0</v>
      </c>
    </row>
    <row r="789" customFormat="false" ht="15" hidden="false" customHeight="false" outlineLevel="0" collapsed="false">
      <c r="A789" s="36" t="n">
        <v>46202</v>
      </c>
      <c r="B789" s="24" t="s">
        <v>61</v>
      </c>
      <c r="C789" s="24" t="s">
        <v>177</v>
      </c>
      <c r="D789" s="33" t="n">
        <v>49</v>
      </c>
      <c r="E789" s="24" t="n">
        <v>0</v>
      </c>
      <c r="F789" s="37" t="n">
        <f aca="false">DATE(YEAR(A789),MONTH(A789),1)</f>
        <v>46174</v>
      </c>
      <c r="G789" s="24" t="str">
        <f aca="false">INDEX(Products!$C$2:$C$49,MATCH(C789,Products!$A$2:$A$49,0))</f>
        <v>Household</v>
      </c>
      <c r="H789" s="33" t="n">
        <f aca="false">D789*INDEX(Products!$E$2:$E$49,MATCH(C789,Products!$A$2:$A$49,0))</f>
        <v>4900</v>
      </c>
      <c r="I789" s="33" t="n">
        <f aca="false">D789*INDEX(Products!$D$2:$D$49,MATCH(C789,Products!$A$2:$A$49,0))*(1+INDEX(Assumptions!$B$16:$B$20,MATCH(B789,Assumptions!$A$16:$A$20,0)))</f>
        <v>3464.3</v>
      </c>
      <c r="J789" s="33" t="n">
        <f aca="false">H789-I789</f>
        <v>1435.7</v>
      </c>
      <c r="K789" s="33" t="n">
        <f aca="false">IF(OR(E789=0,E789&gt;=7),0,D789/(7-E789)*E789*INDEX(Products!$E$2:$E$49,MATCH(C789,Products!$A$2:$A$49,0)))</f>
        <v>0</v>
      </c>
    </row>
    <row r="790" customFormat="false" ht="15" hidden="false" customHeight="false" outlineLevel="0" collapsed="false">
      <c r="A790" s="36" t="n">
        <v>46209</v>
      </c>
      <c r="B790" s="24" t="s">
        <v>61</v>
      </c>
      <c r="C790" s="24" t="s">
        <v>177</v>
      </c>
      <c r="D790" s="33" t="n">
        <v>49</v>
      </c>
      <c r="E790" s="24" t="n">
        <v>0</v>
      </c>
      <c r="F790" s="37" t="n">
        <f aca="false">DATE(YEAR(A790),MONTH(A790),1)</f>
        <v>46204</v>
      </c>
      <c r="G790" s="24" t="str">
        <f aca="false">INDEX(Products!$C$2:$C$49,MATCH(C790,Products!$A$2:$A$49,0))</f>
        <v>Household</v>
      </c>
      <c r="H790" s="33" t="n">
        <f aca="false">D790*INDEX(Products!$E$2:$E$49,MATCH(C790,Products!$A$2:$A$49,0))</f>
        <v>4900</v>
      </c>
      <c r="I790" s="33" t="n">
        <f aca="false">D790*INDEX(Products!$D$2:$D$49,MATCH(C790,Products!$A$2:$A$49,0))*(1+INDEX(Assumptions!$B$16:$B$20,MATCH(B790,Assumptions!$A$16:$A$20,0)))</f>
        <v>3464.3</v>
      </c>
      <c r="J790" s="33" t="n">
        <f aca="false">H790-I790</f>
        <v>1435.7</v>
      </c>
      <c r="K790" s="33" t="n">
        <f aca="false">IF(OR(E790=0,E790&gt;=7),0,D790/(7-E790)*E790*INDEX(Products!$E$2:$E$49,MATCH(C790,Products!$A$2:$A$49,0)))</f>
        <v>0</v>
      </c>
    </row>
    <row r="791" customFormat="false" ht="15" hidden="false" customHeight="false" outlineLevel="0" collapsed="false">
      <c r="A791" s="36" t="n">
        <v>46216</v>
      </c>
      <c r="B791" s="24" t="s">
        <v>61</v>
      </c>
      <c r="C791" s="24" t="s">
        <v>177</v>
      </c>
      <c r="D791" s="33" t="n">
        <v>42</v>
      </c>
      <c r="E791" s="24" t="n">
        <v>0</v>
      </c>
      <c r="F791" s="37" t="n">
        <f aca="false">DATE(YEAR(A791),MONTH(A791),1)</f>
        <v>46204</v>
      </c>
      <c r="G791" s="24" t="str">
        <f aca="false">INDEX(Products!$C$2:$C$49,MATCH(C791,Products!$A$2:$A$49,0))</f>
        <v>Household</v>
      </c>
      <c r="H791" s="33" t="n">
        <f aca="false">D791*INDEX(Products!$E$2:$E$49,MATCH(C791,Products!$A$2:$A$49,0))</f>
        <v>4200</v>
      </c>
      <c r="I791" s="33" t="n">
        <f aca="false">D791*INDEX(Products!$D$2:$D$49,MATCH(C791,Products!$A$2:$A$49,0))*(1+INDEX(Assumptions!$B$16:$B$20,MATCH(B791,Assumptions!$A$16:$A$20,0)))</f>
        <v>2969.4</v>
      </c>
      <c r="J791" s="33" t="n">
        <f aca="false">H791-I791</f>
        <v>1230.6</v>
      </c>
      <c r="K791" s="33" t="n">
        <f aca="false">IF(OR(E791=0,E791&gt;=7),0,D791/(7-E791)*E791*INDEX(Products!$E$2:$E$49,MATCH(C791,Products!$A$2:$A$49,0)))</f>
        <v>0</v>
      </c>
    </row>
    <row r="792" customFormat="false" ht="15" hidden="false" customHeight="false" outlineLevel="0" collapsed="false">
      <c r="A792" s="36" t="n">
        <v>46223</v>
      </c>
      <c r="B792" s="24" t="s">
        <v>61</v>
      </c>
      <c r="C792" s="24" t="s">
        <v>177</v>
      </c>
      <c r="D792" s="33" t="n">
        <v>47</v>
      </c>
      <c r="E792" s="24" t="n">
        <v>0</v>
      </c>
      <c r="F792" s="37" t="n">
        <f aca="false">DATE(YEAR(A792),MONTH(A792),1)</f>
        <v>46204</v>
      </c>
      <c r="G792" s="24" t="str">
        <f aca="false">INDEX(Products!$C$2:$C$49,MATCH(C792,Products!$A$2:$A$49,0))</f>
        <v>Household</v>
      </c>
      <c r="H792" s="33" t="n">
        <f aca="false">D792*INDEX(Products!$E$2:$E$49,MATCH(C792,Products!$A$2:$A$49,0))</f>
        <v>4700</v>
      </c>
      <c r="I792" s="33" t="n">
        <f aca="false">D792*INDEX(Products!$D$2:$D$49,MATCH(C792,Products!$A$2:$A$49,0))*(1+INDEX(Assumptions!$B$16:$B$20,MATCH(B792,Assumptions!$A$16:$A$20,0)))</f>
        <v>3322.9</v>
      </c>
      <c r="J792" s="33" t="n">
        <f aca="false">H792-I792</f>
        <v>1377.1</v>
      </c>
      <c r="K792" s="33" t="n">
        <f aca="false">IF(OR(E792=0,E792&gt;=7),0,D792/(7-E792)*E792*INDEX(Products!$E$2:$E$49,MATCH(C792,Products!$A$2:$A$49,0)))</f>
        <v>0</v>
      </c>
    </row>
    <row r="793" customFormat="false" ht="15" hidden="false" customHeight="false" outlineLevel="0" collapsed="false">
      <c r="A793" s="36" t="n">
        <v>46230</v>
      </c>
      <c r="B793" s="24" t="s">
        <v>61</v>
      </c>
      <c r="C793" s="24" t="s">
        <v>177</v>
      </c>
      <c r="D793" s="33" t="n">
        <v>47</v>
      </c>
      <c r="E793" s="24" t="n">
        <v>0</v>
      </c>
      <c r="F793" s="37" t="n">
        <f aca="false">DATE(YEAR(A793),MONTH(A793),1)</f>
        <v>46204</v>
      </c>
      <c r="G793" s="24" t="str">
        <f aca="false">INDEX(Products!$C$2:$C$49,MATCH(C793,Products!$A$2:$A$49,0))</f>
        <v>Household</v>
      </c>
      <c r="H793" s="33" t="n">
        <f aca="false">D793*INDEX(Products!$E$2:$E$49,MATCH(C793,Products!$A$2:$A$49,0))</f>
        <v>4700</v>
      </c>
      <c r="I793" s="33" t="n">
        <f aca="false">D793*INDEX(Products!$D$2:$D$49,MATCH(C793,Products!$A$2:$A$49,0))*(1+INDEX(Assumptions!$B$16:$B$20,MATCH(B793,Assumptions!$A$16:$A$20,0)))</f>
        <v>3322.9</v>
      </c>
      <c r="J793" s="33" t="n">
        <f aca="false">H793-I793</f>
        <v>1377.1</v>
      </c>
      <c r="K793" s="33" t="n">
        <f aca="false">IF(OR(E793=0,E793&gt;=7),0,D793/(7-E793)*E793*INDEX(Products!$E$2:$E$49,MATCH(C793,Products!$A$2:$A$49,0)))</f>
        <v>0</v>
      </c>
    </row>
    <row r="794" customFormat="false" ht="15" hidden="false" customHeight="false" outlineLevel="0" collapsed="false">
      <c r="A794" s="36" t="n">
        <v>46237</v>
      </c>
      <c r="B794" s="24" t="s">
        <v>61</v>
      </c>
      <c r="C794" s="24" t="s">
        <v>177</v>
      </c>
      <c r="D794" s="33" t="n">
        <v>41</v>
      </c>
      <c r="E794" s="24" t="n">
        <v>0</v>
      </c>
      <c r="F794" s="37" t="n">
        <f aca="false">DATE(YEAR(A794),MONTH(A794),1)</f>
        <v>46235</v>
      </c>
      <c r="G794" s="24" t="str">
        <f aca="false">INDEX(Products!$C$2:$C$49,MATCH(C794,Products!$A$2:$A$49,0))</f>
        <v>Household</v>
      </c>
      <c r="H794" s="33" t="n">
        <f aca="false">D794*INDEX(Products!$E$2:$E$49,MATCH(C794,Products!$A$2:$A$49,0))</f>
        <v>4100</v>
      </c>
      <c r="I794" s="33" t="n">
        <f aca="false">D794*INDEX(Products!$D$2:$D$49,MATCH(C794,Products!$A$2:$A$49,0))*(1+INDEX(Assumptions!$B$16:$B$20,MATCH(B794,Assumptions!$A$16:$A$20,0)))</f>
        <v>2898.7</v>
      </c>
      <c r="J794" s="33" t="n">
        <f aca="false">H794-I794</f>
        <v>1201.3</v>
      </c>
      <c r="K794" s="33" t="n">
        <f aca="false">IF(OR(E794=0,E794&gt;=7),0,D794/(7-E794)*E794*INDEX(Products!$E$2:$E$49,MATCH(C794,Products!$A$2:$A$49,0)))</f>
        <v>0</v>
      </c>
    </row>
    <row r="795" customFormat="false" ht="15" hidden="false" customHeight="false" outlineLevel="0" collapsed="false">
      <c r="A795" s="36" t="n">
        <v>46244</v>
      </c>
      <c r="B795" s="24" t="s">
        <v>61</v>
      </c>
      <c r="C795" s="24" t="s">
        <v>177</v>
      </c>
      <c r="D795" s="33" t="n">
        <v>38</v>
      </c>
      <c r="E795" s="24" t="n">
        <v>0</v>
      </c>
      <c r="F795" s="37" t="n">
        <f aca="false">DATE(YEAR(A795),MONTH(A795),1)</f>
        <v>46235</v>
      </c>
      <c r="G795" s="24" t="str">
        <f aca="false">INDEX(Products!$C$2:$C$49,MATCH(C795,Products!$A$2:$A$49,0))</f>
        <v>Household</v>
      </c>
      <c r="H795" s="33" t="n">
        <f aca="false">D795*INDEX(Products!$E$2:$E$49,MATCH(C795,Products!$A$2:$A$49,0))</f>
        <v>3800</v>
      </c>
      <c r="I795" s="33" t="n">
        <f aca="false">D795*INDEX(Products!$D$2:$D$49,MATCH(C795,Products!$A$2:$A$49,0))*(1+INDEX(Assumptions!$B$16:$B$20,MATCH(B795,Assumptions!$A$16:$A$20,0)))</f>
        <v>2686.6</v>
      </c>
      <c r="J795" s="33" t="n">
        <f aca="false">H795-I795</f>
        <v>1113.4</v>
      </c>
      <c r="K795" s="33" t="n">
        <f aca="false">IF(OR(E795=0,E795&gt;=7),0,D795/(7-E795)*E795*INDEX(Products!$E$2:$E$49,MATCH(C795,Products!$A$2:$A$49,0)))</f>
        <v>0</v>
      </c>
    </row>
    <row r="796" customFormat="false" ht="15" hidden="false" customHeight="false" outlineLevel="0" collapsed="false">
      <c r="A796" s="36" t="n">
        <v>46251</v>
      </c>
      <c r="B796" s="24" t="s">
        <v>61</v>
      </c>
      <c r="C796" s="24" t="s">
        <v>177</v>
      </c>
      <c r="D796" s="33" t="n">
        <v>43</v>
      </c>
      <c r="E796" s="24" t="n">
        <v>0</v>
      </c>
      <c r="F796" s="37" t="n">
        <f aca="false">DATE(YEAR(A796),MONTH(A796),1)</f>
        <v>46235</v>
      </c>
      <c r="G796" s="24" t="str">
        <f aca="false">INDEX(Products!$C$2:$C$49,MATCH(C796,Products!$A$2:$A$49,0))</f>
        <v>Household</v>
      </c>
      <c r="H796" s="33" t="n">
        <f aca="false">D796*INDEX(Products!$E$2:$E$49,MATCH(C796,Products!$A$2:$A$49,0))</f>
        <v>4300</v>
      </c>
      <c r="I796" s="33" t="n">
        <f aca="false">D796*INDEX(Products!$D$2:$D$49,MATCH(C796,Products!$A$2:$A$49,0))*(1+INDEX(Assumptions!$B$16:$B$20,MATCH(B796,Assumptions!$A$16:$A$20,0)))</f>
        <v>3040.1</v>
      </c>
      <c r="J796" s="33" t="n">
        <f aca="false">H796-I796</f>
        <v>1259.9</v>
      </c>
      <c r="K796" s="33" t="n">
        <f aca="false">IF(OR(E796=0,E796&gt;=7),0,D796/(7-E796)*E796*INDEX(Products!$E$2:$E$49,MATCH(C796,Products!$A$2:$A$49,0)))</f>
        <v>0</v>
      </c>
    </row>
    <row r="797" customFormat="false" ht="15" hidden="false" customHeight="false" outlineLevel="0" collapsed="false">
      <c r="A797" s="36" t="n">
        <v>46258</v>
      </c>
      <c r="B797" s="24" t="s">
        <v>61</v>
      </c>
      <c r="C797" s="24" t="s">
        <v>177</v>
      </c>
      <c r="D797" s="33" t="n">
        <v>42</v>
      </c>
      <c r="E797" s="24" t="n">
        <v>0</v>
      </c>
      <c r="F797" s="37" t="n">
        <f aca="false">DATE(YEAR(A797),MONTH(A797),1)</f>
        <v>46235</v>
      </c>
      <c r="G797" s="24" t="str">
        <f aca="false">INDEX(Products!$C$2:$C$49,MATCH(C797,Products!$A$2:$A$49,0))</f>
        <v>Household</v>
      </c>
      <c r="H797" s="33" t="n">
        <f aca="false">D797*INDEX(Products!$E$2:$E$49,MATCH(C797,Products!$A$2:$A$49,0))</f>
        <v>4200</v>
      </c>
      <c r="I797" s="33" t="n">
        <f aca="false">D797*INDEX(Products!$D$2:$D$49,MATCH(C797,Products!$A$2:$A$49,0))*(1+INDEX(Assumptions!$B$16:$B$20,MATCH(B797,Assumptions!$A$16:$A$20,0)))</f>
        <v>2969.4</v>
      </c>
      <c r="J797" s="33" t="n">
        <f aca="false">H797-I797</f>
        <v>1230.6</v>
      </c>
      <c r="K797" s="33" t="n">
        <f aca="false">IF(OR(E797=0,E797&gt;=7),0,D797/(7-E797)*E797*INDEX(Products!$E$2:$E$49,MATCH(C797,Products!$A$2:$A$49,0)))</f>
        <v>0</v>
      </c>
    </row>
    <row r="798" customFormat="false" ht="15" hidden="false" customHeight="false" outlineLevel="0" collapsed="false">
      <c r="A798" s="36" t="n">
        <v>46265</v>
      </c>
      <c r="B798" s="24" t="s">
        <v>61</v>
      </c>
      <c r="C798" s="24" t="s">
        <v>177</v>
      </c>
      <c r="D798" s="33" t="n">
        <v>44</v>
      </c>
      <c r="E798" s="24" t="n">
        <v>0</v>
      </c>
      <c r="F798" s="37" t="n">
        <f aca="false">DATE(YEAR(A798),MONTH(A798),1)</f>
        <v>46235</v>
      </c>
      <c r="G798" s="24" t="str">
        <f aca="false">INDEX(Products!$C$2:$C$49,MATCH(C798,Products!$A$2:$A$49,0))</f>
        <v>Household</v>
      </c>
      <c r="H798" s="33" t="n">
        <f aca="false">D798*INDEX(Products!$E$2:$E$49,MATCH(C798,Products!$A$2:$A$49,0))</f>
        <v>4400</v>
      </c>
      <c r="I798" s="33" t="n">
        <f aca="false">D798*INDEX(Products!$D$2:$D$49,MATCH(C798,Products!$A$2:$A$49,0))*(1+INDEX(Assumptions!$B$16:$B$20,MATCH(B798,Assumptions!$A$16:$A$20,0)))</f>
        <v>3110.8</v>
      </c>
      <c r="J798" s="33" t="n">
        <f aca="false">H798-I798</f>
        <v>1289.2</v>
      </c>
      <c r="K798" s="33" t="n">
        <f aca="false">IF(OR(E798=0,E798&gt;=7),0,D798/(7-E798)*E798*INDEX(Products!$E$2:$E$49,MATCH(C798,Products!$A$2:$A$49,0)))</f>
        <v>0</v>
      </c>
    </row>
    <row r="799" customFormat="false" ht="15" hidden="false" customHeight="false" outlineLevel="0" collapsed="false">
      <c r="A799" s="36" t="n">
        <v>46272</v>
      </c>
      <c r="B799" s="24" t="s">
        <v>61</v>
      </c>
      <c r="C799" s="24" t="s">
        <v>177</v>
      </c>
      <c r="D799" s="33" t="n">
        <v>39</v>
      </c>
      <c r="E799" s="24" t="n">
        <v>0</v>
      </c>
      <c r="F799" s="37" t="n">
        <f aca="false">DATE(YEAR(A799),MONTH(A799),1)</f>
        <v>46266</v>
      </c>
      <c r="G799" s="24" t="str">
        <f aca="false">INDEX(Products!$C$2:$C$49,MATCH(C799,Products!$A$2:$A$49,0))</f>
        <v>Household</v>
      </c>
      <c r="H799" s="33" t="n">
        <f aca="false">D799*INDEX(Products!$E$2:$E$49,MATCH(C799,Products!$A$2:$A$49,0))</f>
        <v>3900</v>
      </c>
      <c r="I799" s="33" t="n">
        <f aca="false">D799*INDEX(Products!$D$2:$D$49,MATCH(C799,Products!$A$2:$A$49,0))*(1+INDEX(Assumptions!$B$16:$B$20,MATCH(B799,Assumptions!$A$16:$A$20,0)))</f>
        <v>2757.3</v>
      </c>
      <c r="J799" s="33" t="n">
        <f aca="false">H799-I799</f>
        <v>1142.7</v>
      </c>
      <c r="K799" s="33" t="n">
        <f aca="false">IF(OR(E799=0,E799&gt;=7),0,D799/(7-E799)*E799*INDEX(Products!$E$2:$E$49,MATCH(C799,Products!$A$2:$A$49,0)))</f>
        <v>0</v>
      </c>
    </row>
    <row r="800" customFormat="false" ht="15" hidden="false" customHeight="false" outlineLevel="0" collapsed="false">
      <c r="A800" s="36" t="n">
        <v>46279</v>
      </c>
      <c r="B800" s="24" t="s">
        <v>61</v>
      </c>
      <c r="C800" s="24" t="s">
        <v>177</v>
      </c>
      <c r="D800" s="33" t="n">
        <v>45</v>
      </c>
      <c r="E800" s="24" t="n">
        <v>0</v>
      </c>
      <c r="F800" s="37" t="n">
        <f aca="false">DATE(YEAR(A800),MONTH(A800),1)</f>
        <v>46266</v>
      </c>
      <c r="G800" s="24" t="str">
        <f aca="false">INDEX(Products!$C$2:$C$49,MATCH(C800,Products!$A$2:$A$49,0))</f>
        <v>Household</v>
      </c>
      <c r="H800" s="33" t="n">
        <f aca="false">D800*INDEX(Products!$E$2:$E$49,MATCH(C800,Products!$A$2:$A$49,0))</f>
        <v>4500</v>
      </c>
      <c r="I800" s="33" t="n">
        <f aca="false">D800*INDEX(Products!$D$2:$D$49,MATCH(C800,Products!$A$2:$A$49,0))*(1+INDEX(Assumptions!$B$16:$B$20,MATCH(B800,Assumptions!$A$16:$A$20,0)))</f>
        <v>3181.5</v>
      </c>
      <c r="J800" s="33" t="n">
        <f aca="false">H800-I800</f>
        <v>1318.5</v>
      </c>
      <c r="K800" s="33" t="n">
        <f aca="false">IF(OR(E800=0,E800&gt;=7),0,D800/(7-E800)*E800*INDEX(Products!$E$2:$E$49,MATCH(C800,Products!$A$2:$A$49,0)))</f>
        <v>0</v>
      </c>
    </row>
    <row r="801" customFormat="false" ht="15" hidden="false" customHeight="false" outlineLevel="0" collapsed="false">
      <c r="A801" s="36" t="n">
        <v>46286</v>
      </c>
      <c r="B801" s="24" t="s">
        <v>61</v>
      </c>
      <c r="C801" s="24" t="s">
        <v>177</v>
      </c>
      <c r="D801" s="33" t="n">
        <v>46</v>
      </c>
      <c r="E801" s="24" t="n">
        <v>0</v>
      </c>
      <c r="F801" s="37" t="n">
        <f aca="false">DATE(YEAR(A801),MONTH(A801),1)</f>
        <v>46266</v>
      </c>
      <c r="G801" s="24" t="str">
        <f aca="false">INDEX(Products!$C$2:$C$49,MATCH(C801,Products!$A$2:$A$49,0))</f>
        <v>Household</v>
      </c>
      <c r="H801" s="33" t="n">
        <f aca="false">D801*INDEX(Products!$E$2:$E$49,MATCH(C801,Products!$A$2:$A$49,0))</f>
        <v>4600</v>
      </c>
      <c r="I801" s="33" t="n">
        <f aca="false">D801*INDEX(Products!$D$2:$D$49,MATCH(C801,Products!$A$2:$A$49,0))*(1+INDEX(Assumptions!$B$16:$B$20,MATCH(B801,Assumptions!$A$16:$A$20,0)))</f>
        <v>3252.2</v>
      </c>
      <c r="J801" s="33" t="n">
        <f aca="false">H801-I801</f>
        <v>1347.8</v>
      </c>
      <c r="K801" s="33" t="n">
        <f aca="false">IF(OR(E801=0,E801&gt;=7),0,D801/(7-E801)*E801*INDEX(Products!$E$2:$E$49,MATCH(C801,Products!$A$2:$A$49,0)))</f>
        <v>0</v>
      </c>
    </row>
    <row r="802" customFormat="false" ht="15" hidden="false" customHeight="false" outlineLevel="0" collapsed="false">
      <c r="A802" s="36" t="n">
        <v>46118</v>
      </c>
      <c r="B802" s="24" t="s">
        <v>61</v>
      </c>
      <c r="C802" s="24" t="s">
        <v>179</v>
      </c>
      <c r="D802" s="33" t="n">
        <v>29</v>
      </c>
      <c r="E802" s="24" t="n">
        <v>0</v>
      </c>
      <c r="F802" s="37" t="n">
        <f aca="false">DATE(YEAR(A802),MONTH(A802),1)</f>
        <v>46113</v>
      </c>
      <c r="G802" s="24" t="str">
        <f aca="false">INDEX(Products!$C$2:$C$49,MATCH(C802,Products!$A$2:$A$49,0))</f>
        <v>Personal Care</v>
      </c>
      <c r="H802" s="33" t="n">
        <f aca="false">D802*INDEX(Products!$E$2:$E$49,MATCH(C802,Products!$A$2:$A$49,0))</f>
        <v>5220</v>
      </c>
      <c r="I802" s="33" t="n">
        <f aca="false">D802*INDEX(Products!$D$2:$D$49,MATCH(C802,Products!$A$2:$A$49,0))*(1+INDEX(Assumptions!$B$16:$B$20,MATCH(B802,Assumptions!$A$16:$A$20,0)))</f>
        <v>3514.8</v>
      </c>
      <c r="J802" s="33" t="n">
        <f aca="false">H802-I802</f>
        <v>1705.2</v>
      </c>
      <c r="K802" s="33" t="n">
        <f aca="false">IF(OR(E802=0,E802&gt;=7),0,D802/(7-E802)*E802*INDEX(Products!$E$2:$E$49,MATCH(C802,Products!$A$2:$A$49,0)))</f>
        <v>0</v>
      </c>
    </row>
    <row r="803" customFormat="false" ht="15" hidden="false" customHeight="false" outlineLevel="0" collapsed="false">
      <c r="A803" s="36" t="n">
        <v>46125</v>
      </c>
      <c r="B803" s="24" t="s">
        <v>61</v>
      </c>
      <c r="C803" s="24" t="s">
        <v>179</v>
      </c>
      <c r="D803" s="33" t="n">
        <v>15</v>
      </c>
      <c r="E803" s="24" t="n">
        <v>0</v>
      </c>
      <c r="F803" s="37" t="n">
        <f aca="false">DATE(YEAR(A803),MONTH(A803),1)</f>
        <v>46113</v>
      </c>
      <c r="G803" s="24" t="str">
        <f aca="false">INDEX(Products!$C$2:$C$49,MATCH(C803,Products!$A$2:$A$49,0))</f>
        <v>Personal Care</v>
      </c>
      <c r="H803" s="33" t="n">
        <f aca="false">D803*INDEX(Products!$E$2:$E$49,MATCH(C803,Products!$A$2:$A$49,0))</f>
        <v>2700</v>
      </c>
      <c r="I803" s="33" t="n">
        <f aca="false">D803*INDEX(Products!$D$2:$D$49,MATCH(C803,Products!$A$2:$A$49,0))*(1+INDEX(Assumptions!$B$16:$B$20,MATCH(B803,Assumptions!$A$16:$A$20,0)))</f>
        <v>1818</v>
      </c>
      <c r="J803" s="33" t="n">
        <f aca="false">H803-I803</f>
        <v>882</v>
      </c>
      <c r="K803" s="33" t="n">
        <f aca="false">IF(OR(E803=0,E803&gt;=7),0,D803/(7-E803)*E803*INDEX(Products!$E$2:$E$49,MATCH(C803,Products!$A$2:$A$49,0)))</f>
        <v>0</v>
      </c>
    </row>
    <row r="804" customFormat="false" ht="15" hidden="false" customHeight="false" outlineLevel="0" collapsed="false">
      <c r="A804" s="36" t="n">
        <v>46132</v>
      </c>
      <c r="B804" s="24" t="s">
        <v>61</v>
      </c>
      <c r="C804" s="24" t="s">
        <v>179</v>
      </c>
      <c r="D804" s="33" t="n">
        <v>22</v>
      </c>
      <c r="E804" s="24" t="n">
        <v>0</v>
      </c>
      <c r="F804" s="37" t="n">
        <f aca="false">DATE(YEAR(A804),MONTH(A804),1)</f>
        <v>46113</v>
      </c>
      <c r="G804" s="24" t="str">
        <f aca="false">INDEX(Products!$C$2:$C$49,MATCH(C804,Products!$A$2:$A$49,0))</f>
        <v>Personal Care</v>
      </c>
      <c r="H804" s="33" t="n">
        <f aca="false">D804*INDEX(Products!$E$2:$E$49,MATCH(C804,Products!$A$2:$A$49,0))</f>
        <v>3960</v>
      </c>
      <c r="I804" s="33" t="n">
        <f aca="false">D804*INDEX(Products!$D$2:$D$49,MATCH(C804,Products!$A$2:$A$49,0))*(1+INDEX(Assumptions!$B$16:$B$20,MATCH(B804,Assumptions!$A$16:$A$20,0)))</f>
        <v>2666.4</v>
      </c>
      <c r="J804" s="33" t="n">
        <f aca="false">H804-I804</f>
        <v>1293.6</v>
      </c>
      <c r="K804" s="33" t="n">
        <f aca="false">IF(OR(E804=0,E804&gt;=7),0,D804/(7-E804)*E804*INDEX(Products!$E$2:$E$49,MATCH(C804,Products!$A$2:$A$49,0)))</f>
        <v>0</v>
      </c>
    </row>
    <row r="805" customFormat="false" ht="15" hidden="false" customHeight="false" outlineLevel="0" collapsed="false">
      <c r="A805" s="36" t="n">
        <v>46139</v>
      </c>
      <c r="B805" s="24" t="s">
        <v>61</v>
      </c>
      <c r="C805" s="24" t="s">
        <v>179</v>
      </c>
      <c r="D805" s="33" t="n">
        <v>18</v>
      </c>
      <c r="E805" s="24" t="n">
        <v>0</v>
      </c>
      <c r="F805" s="37" t="n">
        <f aca="false">DATE(YEAR(A805),MONTH(A805),1)</f>
        <v>46113</v>
      </c>
      <c r="G805" s="24" t="str">
        <f aca="false">INDEX(Products!$C$2:$C$49,MATCH(C805,Products!$A$2:$A$49,0))</f>
        <v>Personal Care</v>
      </c>
      <c r="H805" s="33" t="n">
        <f aca="false">D805*INDEX(Products!$E$2:$E$49,MATCH(C805,Products!$A$2:$A$49,0))</f>
        <v>3240</v>
      </c>
      <c r="I805" s="33" t="n">
        <f aca="false">D805*INDEX(Products!$D$2:$D$49,MATCH(C805,Products!$A$2:$A$49,0))*(1+INDEX(Assumptions!$B$16:$B$20,MATCH(B805,Assumptions!$A$16:$A$20,0)))</f>
        <v>2181.6</v>
      </c>
      <c r="J805" s="33" t="n">
        <f aca="false">H805-I805</f>
        <v>1058.4</v>
      </c>
      <c r="K805" s="33" t="n">
        <f aca="false">IF(OR(E805=0,E805&gt;=7),0,D805/(7-E805)*E805*INDEX(Products!$E$2:$E$49,MATCH(C805,Products!$A$2:$A$49,0)))</f>
        <v>0</v>
      </c>
    </row>
    <row r="806" customFormat="false" ht="15" hidden="false" customHeight="false" outlineLevel="0" collapsed="false">
      <c r="A806" s="36" t="n">
        <v>46146</v>
      </c>
      <c r="B806" s="24" t="s">
        <v>61</v>
      </c>
      <c r="C806" s="24" t="s">
        <v>179</v>
      </c>
      <c r="D806" s="33" t="n">
        <v>22</v>
      </c>
      <c r="E806" s="24" t="n">
        <v>0</v>
      </c>
      <c r="F806" s="37" t="n">
        <f aca="false">DATE(YEAR(A806),MONTH(A806),1)</f>
        <v>46143</v>
      </c>
      <c r="G806" s="24" t="str">
        <f aca="false">INDEX(Products!$C$2:$C$49,MATCH(C806,Products!$A$2:$A$49,0))</f>
        <v>Personal Care</v>
      </c>
      <c r="H806" s="33" t="n">
        <f aca="false">D806*INDEX(Products!$E$2:$E$49,MATCH(C806,Products!$A$2:$A$49,0))</f>
        <v>3960</v>
      </c>
      <c r="I806" s="33" t="n">
        <f aca="false">D806*INDEX(Products!$D$2:$D$49,MATCH(C806,Products!$A$2:$A$49,0))*(1+INDEX(Assumptions!$B$16:$B$20,MATCH(B806,Assumptions!$A$16:$A$20,0)))</f>
        <v>2666.4</v>
      </c>
      <c r="J806" s="33" t="n">
        <f aca="false">H806-I806</f>
        <v>1293.6</v>
      </c>
      <c r="K806" s="33" t="n">
        <f aca="false">IF(OR(E806=0,E806&gt;=7),0,D806/(7-E806)*E806*INDEX(Products!$E$2:$E$49,MATCH(C806,Products!$A$2:$A$49,0)))</f>
        <v>0</v>
      </c>
    </row>
    <row r="807" customFormat="false" ht="15" hidden="false" customHeight="false" outlineLevel="0" collapsed="false">
      <c r="A807" s="36" t="n">
        <v>46153</v>
      </c>
      <c r="B807" s="24" t="s">
        <v>61</v>
      </c>
      <c r="C807" s="24" t="s">
        <v>179</v>
      </c>
      <c r="D807" s="33" t="n">
        <v>14</v>
      </c>
      <c r="E807" s="24" t="n">
        <v>0</v>
      </c>
      <c r="F807" s="37" t="n">
        <f aca="false">DATE(YEAR(A807),MONTH(A807),1)</f>
        <v>46143</v>
      </c>
      <c r="G807" s="24" t="str">
        <f aca="false">INDEX(Products!$C$2:$C$49,MATCH(C807,Products!$A$2:$A$49,0))</f>
        <v>Personal Care</v>
      </c>
      <c r="H807" s="33" t="n">
        <f aca="false">D807*INDEX(Products!$E$2:$E$49,MATCH(C807,Products!$A$2:$A$49,0))</f>
        <v>2520</v>
      </c>
      <c r="I807" s="33" t="n">
        <f aca="false">D807*INDEX(Products!$D$2:$D$49,MATCH(C807,Products!$A$2:$A$49,0))*(1+INDEX(Assumptions!$B$16:$B$20,MATCH(B807,Assumptions!$A$16:$A$20,0)))</f>
        <v>1696.8</v>
      </c>
      <c r="J807" s="33" t="n">
        <f aca="false">H807-I807</f>
        <v>823.2</v>
      </c>
      <c r="K807" s="33" t="n">
        <f aca="false">IF(OR(E807=0,E807&gt;=7),0,D807/(7-E807)*E807*INDEX(Products!$E$2:$E$49,MATCH(C807,Products!$A$2:$A$49,0)))</f>
        <v>0</v>
      </c>
    </row>
    <row r="808" customFormat="false" ht="15" hidden="false" customHeight="false" outlineLevel="0" collapsed="false">
      <c r="A808" s="36" t="n">
        <v>46160</v>
      </c>
      <c r="B808" s="24" t="s">
        <v>61</v>
      </c>
      <c r="C808" s="24" t="s">
        <v>179</v>
      </c>
      <c r="D808" s="33" t="n">
        <v>12</v>
      </c>
      <c r="E808" s="24" t="n">
        <v>0</v>
      </c>
      <c r="F808" s="37" t="n">
        <f aca="false">DATE(YEAR(A808),MONTH(A808),1)</f>
        <v>46143</v>
      </c>
      <c r="G808" s="24" t="str">
        <f aca="false">INDEX(Products!$C$2:$C$49,MATCH(C808,Products!$A$2:$A$49,0))</f>
        <v>Personal Care</v>
      </c>
      <c r="H808" s="33" t="n">
        <f aca="false">D808*INDEX(Products!$E$2:$E$49,MATCH(C808,Products!$A$2:$A$49,0))</f>
        <v>2160</v>
      </c>
      <c r="I808" s="33" t="n">
        <f aca="false">D808*INDEX(Products!$D$2:$D$49,MATCH(C808,Products!$A$2:$A$49,0))*(1+INDEX(Assumptions!$B$16:$B$20,MATCH(B808,Assumptions!$A$16:$A$20,0)))</f>
        <v>1454.4</v>
      </c>
      <c r="J808" s="33" t="n">
        <f aca="false">H808-I808</f>
        <v>705.6</v>
      </c>
      <c r="K808" s="33" t="n">
        <f aca="false">IF(OR(E808=0,E808&gt;=7),0,D808/(7-E808)*E808*INDEX(Products!$E$2:$E$49,MATCH(C808,Products!$A$2:$A$49,0)))</f>
        <v>0</v>
      </c>
    </row>
    <row r="809" customFormat="false" ht="15" hidden="false" customHeight="false" outlineLevel="0" collapsed="false">
      <c r="A809" s="36" t="n">
        <v>46167</v>
      </c>
      <c r="B809" s="24" t="s">
        <v>61</v>
      </c>
      <c r="C809" s="24" t="s">
        <v>179</v>
      </c>
      <c r="D809" s="33" t="n">
        <v>8</v>
      </c>
      <c r="E809" s="24" t="n">
        <v>2</v>
      </c>
      <c r="F809" s="37" t="n">
        <f aca="false">DATE(YEAR(A809),MONTH(A809),1)</f>
        <v>46143</v>
      </c>
      <c r="G809" s="24" t="str">
        <f aca="false">INDEX(Products!$C$2:$C$49,MATCH(C809,Products!$A$2:$A$49,0))</f>
        <v>Personal Care</v>
      </c>
      <c r="H809" s="33" t="n">
        <f aca="false">D809*INDEX(Products!$E$2:$E$49,MATCH(C809,Products!$A$2:$A$49,0))</f>
        <v>1440</v>
      </c>
      <c r="I809" s="33" t="n">
        <f aca="false">D809*INDEX(Products!$D$2:$D$49,MATCH(C809,Products!$A$2:$A$49,0))*(1+INDEX(Assumptions!$B$16:$B$20,MATCH(B809,Assumptions!$A$16:$A$20,0)))</f>
        <v>969.6</v>
      </c>
      <c r="J809" s="33" t="n">
        <f aca="false">H809-I809</f>
        <v>470.4</v>
      </c>
      <c r="K809" s="33" t="n">
        <f aca="false">IF(OR(E809=0,E809&gt;=7),0,D809/(7-E809)*E809*INDEX(Products!$E$2:$E$49,MATCH(C809,Products!$A$2:$A$49,0)))</f>
        <v>576</v>
      </c>
    </row>
    <row r="810" customFormat="false" ht="15" hidden="false" customHeight="false" outlineLevel="0" collapsed="false">
      <c r="A810" s="36" t="n">
        <v>46174</v>
      </c>
      <c r="B810" s="24" t="s">
        <v>61</v>
      </c>
      <c r="C810" s="24" t="s">
        <v>179</v>
      </c>
      <c r="D810" s="33" t="n">
        <v>20</v>
      </c>
      <c r="E810" s="24" t="n">
        <v>0</v>
      </c>
      <c r="F810" s="37" t="n">
        <f aca="false">DATE(YEAR(A810),MONTH(A810),1)</f>
        <v>46174</v>
      </c>
      <c r="G810" s="24" t="str">
        <f aca="false">INDEX(Products!$C$2:$C$49,MATCH(C810,Products!$A$2:$A$49,0))</f>
        <v>Personal Care</v>
      </c>
      <c r="H810" s="33" t="n">
        <f aca="false">D810*INDEX(Products!$E$2:$E$49,MATCH(C810,Products!$A$2:$A$49,0))</f>
        <v>3600</v>
      </c>
      <c r="I810" s="33" t="n">
        <f aca="false">D810*INDEX(Products!$D$2:$D$49,MATCH(C810,Products!$A$2:$A$49,0))*(1+INDEX(Assumptions!$B$16:$B$20,MATCH(B810,Assumptions!$A$16:$A$20,0)))</f>
        <v>2424</v>
      </c>
      <c r="J810" s="33" t="n">
        <f aca="false">H810-I810</f>
        <v>1176</v>
      </c>
      <c r="K810" s="33" t="n">
        <f aca="false">IF(OR(E810=0,E810&gt;=7),0,D810/(7-E810)*E810*INDEX(Products!$E$2:$E$49,MATCH(C810,Products!$A$2:$A$49,0)))</f>
        <v>0</v>
      </c>
    </row>
    <row r="811" customFormat="false" ht="15" hidden="false" customHeight="false" outlineLevel="0" collapsed="false">
      <c r="A811" s="36" t="n">
        <v>46181</v>
      </c>
      <c r="B811" s="24" t="s">
        <v>61</v>
      </c>
      <c r="C811" s="24" t="s">
        <v>179</v>
      </c>
      <c r="D811" s="33" t="n">
        <v>23</v>
      </c>
      <c r="E811" s="24" t="n">
        <v>0</v>
      </c>
      <c r="F811" s="37" t="n">
        <f aca="false">DATE(YEAR(A811),MONTH(A811),1)</f>
        <v>46174</v>
      </c>
      <c r="G811" s="24" t="str">
        <f aca="false">INDEX(Products!$C$2:$C$49,MATCH(C811,Products!$A$2:$A$49,0))</f>
        <v>Personal Care</v>
      </c>
      <c r="H811" s="33" t="n">
        <f aca="false">D811*INDEX(Products!$E$2:$E$49,MATCH(C811,Products!$A$2:$A$49,0))</f>
        <v>4140</v>
      </c>
      <c r="I811" s="33" t="n">
        <f aca="false">D811*INDEX(Products!$D$2:$D$49,MATCH(C811,Products!$A$2:$A$49,0))*(1+INDEX(Assumptions!$B$16:$B$20,MATCH(B811,Assumptions!$A$16:$A$20,0)))</f>
        <v>2787.6</v>
      </c>
      <c r="J811" s="33" t="n">
        <f aca="false">H811-I811</f>
        <v>1352.4</v>
      </c>
      <c r="K811" s="33" t="n">
        <f aca="false">IF(OR(E811=0,E811&gt;=7),0,D811/(7-E811)*E811*INDEX(Products!$E$2:$E$49,MATCH(C811,Products!$A$2:$A$49,0)))</f>
        <v>0</v>
      </c>
    </row>
    <row r="812" customFormat="false" ht="15" hidden="false" customHeight="false" outlineLevel="0" collapsed="false">
      <c r="A812" s="36" t="n">
        <v>46188</v>
      </c>
      <c r="B812" s="24" t="s">
        <v>61</v>
      </c>
      <c r="C812" s="24" t="s">
        <v>179</v>
      </c>
      <c r="D812" s="33" t="n">
        <v>18</v>
      </c>
      <c r="E812" s="24" t="n">
        <v>0</v>
      </c>
      <c r="F812" s="37" t="n">
        <f aca="false">DATE(YEAR(A812),MONTH(A812),1)</f>
        <v>46174</v>
      </c>
      <c r="G812" s="24" t="str">
        <f aca="false">INDEX(Products!$C$2:$C$49,MATCH(C812,Products!$A$2:$A$49,0))</f>
        <v>Personal Care</v>
      </c>
      <c r="H812" s="33" t="n">
        <f aca="false">D812*INDEX(Products!$E$2:$E$49,MATCH(C812,Products!$A$2:$A$49,0))</f>
        <v>3240</v>
      </c>
      <c r="I812" s="33" t="n">
        <f aca="false">D812*INDEX(Products!$D$2:$D$49,MATCH(C812,Products!$A$2:$A$49,0))*(1+INDEX(Assumptions!$B$16:$B$20,MATCH(B812,Assumptions!$A$16:$A$20,0)))</f>
        <v>2181.6</v>
      </c>
      <c r="J812" s="33" t="n">
        <f aca="false">H812-I812</f>
        <v>1058.4</v>
      </c>
      <c r="K812" s="33" t="n">
        <f aca="false">IF(OR(E812=0,E812&gt;=7),0,D812/(7-E812)*E812*INDEX(Products!$E$2:$E$49,MATCH(C812,Products!$A$2:$A$49,0)))</f>
        <v>0</v>
      </c>
    </row>
    <row r="813" customFormat="false" ht="15" hidden="false" customHeight="false" outlineLevel="0" collapsed="false">
      <c r="A813" s="36" t="n">
        <v>46195</v>
      </c>
      <c r="B813" s="24" t="s">
        <v>61</v>
      </c>
      <c r="C813" s="24" t="s">
        <v>179</v>
      </c>
      <c r="D813" s="33" t="n">
        <v>19</v>
      </c>
      <c r="E813" s="24" t="n">
        <v>0</v>
      </c>
      <c r="F813" s="37" t="n">
        <f aca="false">DATE(YEAR(A813),MONTH(A813),1)</f>
        <v>46174</v>
      </c>
      <c r="G813" s="24" t="str">
        <f aca="false">INDEX(Products!$C$2:$C$49,MATCH(C813,Products!$A$2:$A$49,0))</f>
        <v>Personal Care</v>
      </c>
      <c r="H813" s="33" t="n">
        <f aca="false">D813*INDEX(Products!$E$2:$E$49,MATCH(C813,Products!$A$2:$A$49,0))</f>
        <v>3420</v>
      </c>
      <c r="I813" s="33" t="n">
        <f aca="false">D813*INDEX(Products!$D$2:$D$49,MATCH(C813,Products!$A$2:$A$49,0))*(1+INDEX(Assumptions!$B$16:$B$20,MATCH(B813,Assumptions!$A$16:$A$20,0)))</f>
        <v>2302.8</v>
      </c>
      <c r="J813" s="33" t="n">
        <f aca="false">H813-I813</f>
        <v>1117.2</v>
      </c>
      <c r="K813" s="33" t="n">
        <f aca="false">IF(OR(E813=0,E813&gt;=7),0,D813/(7-E813)*E813*INDEX(Products!$E$2:$E$49,MATCH(C813,Products!$A$2:$A$49,0)))</f>
        <v>0</v>
      </c>
    </row>
    <row r="814" customFormat="false" ht="15" hidden="false" customHeight="false" outlineLevel="0" collapsed="false">
      <c r="A814" s="36" t="n">
        <v>46202</v>
      </c>
      <c r="B814" s="24" t="s">
        <v>61</v>
      </c>
      <c r="C814" s="24" t="s">
        <v>179</v>
      </c>
      <c r="D814" s="33" t="n">
        <v>22</v>
      </c>
      <c r="E814" s="24" t="n">
        <v>0</v>
      </c>
      <c r="F814" s="37" t="n">
        <f aca="false">DATE(YEAR(A814),MONTH(A814),1)</f>
        <v>46174</v>
      </c>
      <c r="G814" s="24" t="str">
        <f aca="false">INDEX(Products!$C$2:$C$49,MATCH(C814,Products!$A$2:$A$49,0))</f>
        <v>Personal Care</v>
      </c>
      <c r="H814" s="33" t="n">
        <f aca="false">D814*INDEX(Products!$E$2:$E$49,MATCH(C814,Products!$A$2:$A$49,0))</f>
        <v>3960</v>
      </c>
      <c r="I814" s="33" t="n">
        <f aca="false">D814*INDEX(Products!$D$2:$D$49,MATCH(C814,Products!$A$2:$A$49,0))*(1+INDEX(Assumptions!$B$16:$B$20,MATCH(B814,Assumptions!$A$16:$A$20,0)))</f>
        <v>2666.4</v>
      </c>
      <c r="J814" s="33" t="n">
        <f aca="false">H814-I814</f>
        <v>1293.6</v>
      </c>
      <c r="K814" s="33" t="n">
        <f aca="false">IF(OR(E814=0,E814&gt;=7),0,D814/(7-E814)*E814*INDEX(Products!$E$2:$E$49,MATCH(C814,Products!$A$2:$A$49,0)))</f>
        <v>0</v>
      </c>
    </row>
    <row r="815" customFormat="false" ht="15" hidden="false" customHeight="false" outlineLevel="0" collapsed="false">
      <c r="A815" s="36" t="n">
        <v>46209</v>
      </c>
      <c r="B815" s="24" t="s">
        <v>61</v>
      </c>
      <c r="C815" s="24" t="s">
        <v>179</v>
      </c>
      <c r="D815" s="33" t="n">
        <v>24</v>
      </c>
      <c r="E815" s="24" t="n">
        <v>0</v>
      </c>
      <c r="F815" s="37" t="n">
        <f aca="false">DATE(YEAR(A815),MONTH(A815),1)</f>
        <v>46204</v>
      </c>
      <c r="G815" s="24" t="str">
        <f aca="false">INDEX(Products!$C$2:$C$49,MATCH(C815,Products!$A$2:$A$49,0))</f>
        <v>Personal Care</v>
      </c>
      <c r="H815" s="33" t="n">
        <f aca="false">D815*INDEX(Products!$E$2:$E$49,MATCH(C815,Products!$A$2:$A$49,0))</f>
        <v>4320</v>
      </c>
      <c r="I815" s="33" t="n">
        <f aca="false">D815*INDEX(Products!$D$2:$D$49,MATCH(C815,Products!$A$2:$A$49,0))*(1+INDEX(Assumptions!$B$16:$B$20,MATCH(B815,Assumptions!$A$16:$A$20,0)))</f>
        <v>2908.8</v>
      </c>
      <c r="J815" s="33" t="n">
        <f aca="false">H815-I815</f>
        <v>1411.2</v>
      </c>
      <c r="K815" s="33" t="n">
        <f aca="false">IF(OR(E815=0,E815&gt;=7),0,D815/(7-E815)*E815*INDEX(Products!$E$2:$E$49,MATCH(C815,Products!$A$2:$A$49,0)))</f>
        <v>0</v>
      </c>
    </row>
    <row r="816" customFormat="false" ht="15" hidden="false" customHeight="false" outlineLevel="0" collapsed="false">
      <c r="A816" s="36" t="n">
        <v>46216</v>
      </c>
      <c r="B816" s="24" t="s">
        <v>61</v>
      </c>
      <c r="C816" s="24" t="s">
        <v>179</v>
      </c>
      <c r="D816" s="33" t="n">
        <v>18</v>
      </c>
      <c r="E816" s="24" t="n">
        <v>0</v>
      </c>
      <c r="F816" s="37" t="n">
        <f aca="false">DATE(YEAR(A816),MONTH(A816),1)</f>
        <v>46204</v>
      </c>
      <c r="G816" s="24" t="str">
        <f aca="false">INDEX(Products!$C$2:$C$49,MATCH(C816,Products!$A$2:$A$49,0))</f>
        <v>Personal Care</v>
      </c>
      <c r="H816" s="33" t="n">
        <f aca="false">D816*INDEX(Products!$E$2:$E$49,MATCH(C816,Products!$A$2:$A$49,0))</f>
        <v>3240</v>
      </c>
      <c r="I816" s="33" t="n">
        <f aca="false">D816*INDEX(Products!$D$2:$D$49,MATCH(C816,Products!$A$2:$A$49,0))*(1+INDEX(Assumptions!$B$16:$B$20,MATCH(B816,Assumptions!$A$16:$A$20,0)))</f>
        <v>2181.6</v>
      </c>
      <c r="J816" s="33" t="n">
        <f aca="false">H816-I816</f>
        <v>1058.4</v>
      </c>
      <c r="K816" s="33" t="n">
        <f aca="false">IF(OR(E816=0,E816&gt;=7),0,D816/(7-E816)*E816*INDEX(Products!$E$2:$E$49,MATCH(C816,Products!$A$2:$A$49,0)))</f>
        <v>0</v>
      </c>
    </row>
    <row r="817" customFormat="false" ht="15" hidden="false" customHeight="false" outlineLevel="0" collapsed="false">
      <c r="A817" s="36" t="n">
        <v>46223</v>
      </c>
      <c r="B817" s="24" t="s">
        <v>61</v>
      </c>
      <c r="C817" s="24" t="s">
        <v>179</v>
      </c>
      <c r="D817" s="33" t="n">
        <v>23</v>
      </c>
      <c r="E817" s="24" t="n">
        <v>0</v>
      </c>
      <c r="F817" s="37" t="n">
        <f aca="false">DATE(YEAR(A817),MONTH(A817),1)</f>
        <v>46204</v>
      </c>
      <c r="G817" s="24" t="str">
        <f aca="false">INDEX(Products!$C$2:$C$49,MATCH(C817,Products!$A$2:$A$49,0))</f>
        <v>Personal Care</v>
      </c>
      <c r="H817" s="33" t="n">
        <f aca="false">D817*INDEX(Products!$E$2:$E$49,MATCH(C817,Products!$A$2:$A$49,0))</f>
        <v>4140</v>
      </c>
      <c r="I817" s="33" t="n">
        <f aca="false">D817*INDEX(Products!$D$2:$D$49,MATCH(C817,Products!$A$2:$A$49,0))*(1+INDEX(Assumptions!$B$16:$B$20,MATCH(B817,Assumptions!$A$16:$A$20,0)))</f>
        <v>2787.6</v>
      </c>
      <c r="J817" s="33" t="n">
        <f aca="false">H817-I817</f>
        <v>1352.4</v>
      </c>
      <c r="K817" s="33" t="n">
        <f aca="false">IF(OR(E817=0,E817&gt;=7),0,D817/(7-E817)*E817*INDEX(Products!$E$2:$E$49,MATCH(C817,Products!$A$2:$A$49,0)))</f>
        <v>0</v>
      </c>
    </row>
    <row r="818" customFormat="false" ht="15" hidden="false" customHeight="false" outlineLevel="0" collapsed="false">
      <c r="A818" s="36" t="n">
        <v>46230</v>
      </c>
      <c r="B818" s="24" t="s">
        <v>61</v>
      </c>
      <c r="C818" s="24" t="s">
        <v>179</v>
      </c>
      <c r="D818" s="33" t="n">
        <v>16</v>
      </c>
      <c r="E818" s="24" t="n">
        <v>0</v>
      </c>
      <c r="F818" s="37" t="n">
        <f aca="false">DATE(YEAR(A818),MONTH(A818),1)</f>
        <v>46204</v>
      </c>
      <c r="G818" s="24" t="str">
        <f aca="false">INDEX(Products!$C$2:$C$49,MATCH(C818,Products!$A$2:$A$49,0))</f>
        <v>Personal Care</v>
      </c>
      <c r="H818" s="33" t="n">
        <f aca="false">D818*INDEX(Products!$E$2:$E$49,MATCH(C818,Products!$A$2:$A$49,0))</f>
        <v>2880</v>
      </c>
      <c r="I818" s="33" t="n">
        <f aca="false">D818*INDEX(Products!$D$2:$D$49,MATCH(C818,Products!$A$2:$A$49,0))*(1+INDEX(Assumptions!$B$16:$B$20,MATCH(B818,Assumptions!$A$16:$A$20,0)))</f>
        <v>1939.2</v>
      </c>
      <c r="J818" s="33" t="n">
        <f aca="false">H818-I818</f>
        <v>940.8</v>
      </c>
      <c r="K818" s="33" t="n">
        <f aca="false">IF(OR(E818=0,E818&gt;=7),0,D818/(7-E818)*E818*INDEX(Products!$E$2:$E$49,MATCH(C818,Products!$A$2:$A$49,0)))</f>
        <v>0</v>
      </c>
    </row>
    <row r="819" customFormat="false" ht="15" hidden="false" customHeight="false" outlineLevel="0" collapsed="false">
      <c r="A819" s="36" t="n">
        <v>46237</v>
      </c>
      <c r="B819" s="24" t="s">
        <v>61</v>
      </c>
      <c r="C819" s="24" t="s">
        <v>179</v>
      </c>
      <c r="D819" s="33" t="n">
        <v>16</v>
      </c>
      <c r="E819" s="24" t="n">
        <v>0</v>
      </c>
      <c r="F819" s="37" t="n">
        <f aca="false">DATE(YEAR(A819),MONTH(A819),1)</f>
        <v>46235</v>
      </c>
      <c r="G819" s="24" t="str">
        <f aca="false">INDEX(Products!$C$2:$C$49,MATCH(C819,Products!$A$2:$A$49,0))</f>
        <v>Personal Care</v>
      </c>
      <c r="H819" s="33" t="n">
        <f aca="false">D819*INDEX(Products!$E$2:$E$49,MATCH(C819,Products!$A$2:$A$49,0))</f>
        <v>2880</v>
      </c>
      <c r="I819" s="33" t="n">
        <f aca="false">D819*INDEX(Products!$D$2:$D$49,MATCH(C819,Products!$A$2:$A$49,0))*(1+INDEX(Assumptions!$B$16:$B$20,MATCH(B819,Assumptions!$A$16:$A$20,0)))</f>
        <v>1939.2</v>
      </c>
      <c r="J819" s="33" t="n">
        <f aca="false">H819-I819</f>
        <v>940.8</v>
      </c>
      <c r="K819" s="33" t="n">
        <f aca="false">IF(OR(E819=0,E819&gt;=7),0,D819/(7-E819)*E819*INDEX(Products!$E$2:$E$49,MATCH(C819,Products!$A$2:$A$49,0)))</f>
        <v>0</v>
      </c>
    </row>
    <row r="820" customFormat="false" ht="15" hidden="false" customHeight="false" outlineLevel="0" collapsed="false">
      <c r="A820" s="36" t="n">
        <v>46244</v>
      </c>
      <c r="B820" s="24" t="s">
        <v>61</v>
      </c>
      <c r="C820" s="24" t="s">
        <v>179</v>
      </c>
      <c r="D820" s="33" t="n">
        <v>17</v>
      </c>
      <c r="E820" s="24" t="n">
        <v>0</v>
      </c>
      <c r="F820" s="37" t="n">
        <f aca="false">DATE(YEAR(A820),MONTH(A820),1)</f>
        <v>46235</v>
      </c>
      <c r="G820" s="24" t="str">
        <f aca="false">INDEX(Products!$C$2:$C$49,MATCH(C820,Products!$A$2:$A$49,0))</f>
        <v>Personal Care</v>
      </c>
      <c r="H820" s="33" t="n">
        <f aca="false">D820*INDEX(Products!$E$2:$E$49,MATCH(C820,Products!$A$2:$A$49,0))</f>
        <v>3060</v>
      </c>
      <c r="I820" s="33" t="n">
        <f aca="false">D820*INDEX(Products!$D$2:$D$49,MATCH(C820,Products!$A$2:$A$49,0))*(1+INDEX(Assumptions!$B$16:$B$20,MATCH(B820,Assumptions!$A$16:$A$20,0)))</f>
        <v>2060.4</v>
      </c>
      <c r="J820" s="33" t="n">
        <f aca="false">H820-I820</f>
        <v>999.6</v>
      </c>
      <c r="K820" s="33" t="n">
        <f aca="false">IF(OR(E820=0,E820&gt;=7),0,D820/(7-E820)*E820*INDEX(Products!$E$2:$E$49,MATCH(C820,Products!$A$2:$A$49,0)))</f>
        <v>0</v>
      </c>
    </row>
    <row r="821" customFormat="false" ht="15" hidden="false" customHeight="false" outlineLevel="0" collapsed="false">
      <c r="A821" s="36" t="n">
        <v>46251</v>
      </c>
      <c r="B821" s="24" t="s">
        <v>61</v>
      </c>
      <c r="C821" s="24" t="s">
        <v>179</v>
      </c>
      <c r="D821" s="33" t="n">
        <v>10</v>
      </c>
      <c r="E821" s="24" t="n">
        <v>0</v>
      </c>
      <c r="F821" s="37" t="n">
        <f aca="false">DATE(YEAR(A821),MONTH(A821),1)</f>
        <v>46235</v>
      </c>
      <c r="G821" s="24" t="str">
        <f aca="false">INDEX(Products!$C$2:$C$49,MATCH(C821,Products!$A$2:$A$49,0))</f>
        <v>Personal Care</v>
      </c>
      <c r="H821" s="33" t="n">
        <f aca="false">D821*INDEX(Products!$E$2:$E$49,MATCH(C821,Products!$A$2:$A$49,0))</f>
        <v>1800</v>
      </c>
      <c r="I821" s="33" t="n">
        <f aca="false">D821*INDEX(Products!$D$2:$D$49,MATCH(C821,Products!$A$2:$A$49,0))*(1+INDEX(Assumptions!$B$16:$B$20,MATCH(B821,Assumptions!$A$16:$A$20,0)))</f>
        <v>1212</v>
      </c>
      <c r="J821" s="33" t="n">
        <f aca="false">H821-I821</f>
        <v>588</v>
      </c>
      <c r="K821" s="33" t="n">
        <f aca="false">IF(OR(E821=0,E821&gt;=7),0,D821/(7-E821)*E821*INDEX(Products!$E$2:$E$49,MATCH(C821,Products!$A$2:$A$49,0)))</f>
        <v>0</v>
      </c>
    </row>
    <row r="822" customFormat="false" ht="15" hidden="false" customHeight="false" outlineLevel="0" collapsed="false">
      <c r="A822" s="36" t="n">
        <v>46258</v>
      </c>
      <c r="B822" s="24" t="s">
        <v>61</v>
      </c>
      <c r="C822" s="24" t="s">
        <v>179</v>
      </c>
      <c r="D822" s="33" t="n">
        <v>13</v>
      </c>
      <c r="E822" s="24" t="n">
        <v>0</v>
      </c>
      <c r="F822" s="37" t="n">
        <f aca="false">DATE(YEAR(A822),MONTH(A822),1)</f>
        <v>46235</v>
      </c>
      <c r="G822" s="24" t="str">
        <f aca="false">INDEX(Products!$C$2:$C$49,MATCH(C822,Products!$A$2:$A$49,0))</f>
        <v>Personal Care</v>
      </c>
      <c r="H822" s="33" t="n">
        <f aca="false">D822*INDEX(Products!$E$2:$E$49,MATCH(C822,Products!$A$2:$A$49,0))</f>
        <v>2340</v>
      </c>
      <c r="I822" s="33" t="n">
        <f aca="false">D822*INDEX(Products!$D$2:$D$49,MATCH(C822,Products!$A$2:$A$49,0))*(1+INDEX(Assumptions!$B$16:$B$20,MATCH(B822,Assumptions!$A$16:$A$20,0)))</f>
        <v>1575.6</v>
      </c>
      <c r="J822" s="33" t="n">
        <f aca="false">H822-I822</f>
        <v>764.4</v>
      </c>
      <c r="K822" s="33" t="n">
        <f aca="false">IF(OR(E822=0,E822&gt;=7),0,D822/(7-E822)*E822*INDEX(Products!$E$2:$E$49,MATCH(C822,Products!$A$2:$A$49,0)))</f>
        <v>0</v>
      </c>
    </row>
    <row r="823" customFormat="false" ht="15" hidden="false" customHeight="false" outlineLevel="0" collapsed="false">
      <c r="A823" s="36" t="n">
        <v>46265</v>
      </c>
      <c r="B823" s="24" t="s">
        <v>61</v>
      </c>
      <c r="C823" s="24" t="s">
        <v>179</v>
      </c>
      <c r="D823" s="33" t="n">
        <v>29</v>
      </c>
      <c r="E823" s="24" t="n">
        <v>0</v>
      </c>
      <c r="F823" s="37" t="n">
        <f aca="false">DATE(YEAR(A823),MONTH(A823),1)</f>
        <v>46235</v>
      </c>
      <c r="G823" s="24" t="str">
        <f aca="false">INDEX(Products!$C$2:$C$49,MATCH(C823,Products!$A$2:$A$49,0))</f>
        <v>Personal Care</v>
      </c>
      <c r="H823" s="33" t="n">
        <f aca="false">D823*INDEX(Products!$E$2:$E$49,MATCH(C823,Products!$A$2:$A$49,0))</f>
        <v>5220</v>
      </c>
      <c r="I823" s="33" t="n">
        <f aca="false">D823*INDEX(Products!$D$2:$D$49,MATCH(C823,Products!$A$2:$A$49,0))*(1+INDEX(Assumptions!$B$16:$B$20,MATCH(B823,Assumptions!$A$16:$A$20,0)))</f>
        <v>3514.8</v>
      </c>
      <c r="J823" s="33" t="n">
        <f aca="false">H823-I823</f>
        <v>1705.2</v>
      </c>
      <c r="K823" s="33" t="n">
        <f aca="false">IF(OR(E823=0,E823&gt;=7),0,D823/(7-E823)*E823*INDEX(Products!$E$2:$E$49,MATCH(C823,Products!$A$2:$A$49,0)))</f>
        <v>0</v>
      </c>
    </row>
    <row r="824" customFormat="false" ht="15" hidden="false" customHeight="false" outlineLevel="0" collapsed="false">
      <c r="A824" s="36" t="n">
        <v>46272</v>
      </c>
      <c r="B824" s="24" t="s">
        <v>61</v>
      </c>
      <c r="C824" s="24" t="s">
        <v>179</v>
      </c>
      <c r="D824" s="33" t="n">
        <v>34</v>
      </c>
      <c r="E824" s="24" t="n">
        <v>0</v>
      </c>
      <c r="F824" s="37" t="n">
        <f aca="false">DATE(YEAR(A824),MONTH(A824),1)</f>
        <v>46266</v>
      </c>
      <c r="G824" s="24" t="str">
        <f aca="false">INDEX(Products!$C$2:$C$49,MATCH(C824,Products!$A$2:$A$49,0))</f>
        <v>Personal Care</v>
      </c>
      <c r="H824" s="33" t="n">
        <f aca="false">D824*INDEX(Products!$E$2:$E$49,MATCH(C824,Products!$A$2:$A$49,0))</f>
        <v>6120</v>
      </c>
      <c r="I824" s="33" t="n">
        <f aca="false">D824*INDEX(Products!$D$2:$D$49,MATCH(C824,Products!$A$2:$A$49,0))*(1+INDEX(Assumptions!$B$16:$B$20,MATCH(B824,Assumptions!$A$16:$A$20,0)))</f>
        <v>4120.8</v>
      </c>
      <c r="J824" s="33" t="n">
        <f aca="false">H824-I824</f>
        <v>1999.2</v>
      </c>
      <c r="K824" s="33" t="n">
        <f aca="false">IF(OR(E824=0,E824&gt;=7),0,D824/(7-E824)*E824*INDEX(Products!$E$2:$E$49,MATCH(C824,Products!$A$2:$A$49,0)))</f>
        <v>0</v>
      </c>
    </row>
    <row r="825" customFormat="false" ht="15" hidden="false" customHeight="false" outlineLevel="0" collapsed="false">
      <c r="A825" s="36" t="n">
        <v>46279</v>
      </c>
      <c r="B825" s="24" t="s">
        <v>61</v>
      </c>
      <c r="C825" s="24" t="s">
        <v>179</v>
      </c>
      <c r="D825" s="33" t="n">
        <v>17</v>
      </c>
      <c r="E825" s="24" t="n">
        <v>0</v>
      </c>
      <c r="F825" s="37" t="n">
        <f aca="false">DATE(YEAR(A825),MONTH(A825),1)</f>
        <v>46266</v>
      </c>
      <c r="G825" s="24" t="str">
        <f aca="false">INDEX(Products!$C$2:$C$49,MATCH(C825,Products!$A$2:$A$49,0))</f>
        <v>Personal Care</v>
      </c>
      <c r="H825" s="33" t="n">
        <f aca="false">D825*INDEX(Products!$E$2:$E$49,MATCH(C825,Products!$A$2:$A$49,0))</f>
        <v>3060</v>
      </c>
      <c r="I825" s="33" t="n">
        <f aca="false">D825*INDEX(Products!$D$2:$D$49,MATCH(C825,Products!$A$2:$A$49,0))*(1+INDEX(Assumptions!$B$16:$B$20,MATCH(B825,Assumptions!$A$16:$A$20,0)))</f>
        <v>2060.4</v>
      </c>
      <c r="J825" s="33" t="n">
        <f aca="false">H825-I825</f>
        <v>999.6</v>
      </c>
      <c r="K825" s="33" t="n">
        <f aca="false">IF(OR(E825=0,E825&gt;=7),0,D825/(7-E825)*E825*INDEX(Products!$E$2:$E$49,MATCH(C825,Products!$A$2:$A$49,0)))</f>
        <v>0</v>
      </c>
    </row>
    <row r="826" customFormat="false" ht="15" hidden="false" customHeight="false" outlineLevel="0" collapsed="false">
      <c r="A826" s="36" t="n">
        <v>46286</v>
      </c>
      <c r="B826" s="24" t="s">
        <v>61</v>
      </c>
      <c r="C826" s="24" t="s">
        <v>179</v>
      </c>
      <c r="D826" s="33" t="n">
        <v>25</v>
      </c>
      <c r="E826" s="24" t="n">
        <v>0</v>
      </c>
      <c r="F826" s="37" t="n">
        <f aca="false">DATE(YEAR(A826),MONTH(A826),1)</f>
        <v>46266</v>
      </c>
      <c r="G826" s="24" t="str">
        <f aca="false">INDEX(Products!$C$2:$C$49,MATCH(C826,Products!$A$2:$A$49,0))</f>
        <v>Personal Care</v>
      </c>
      <c r="H826" s="33" t="n">
        <f aca="false">D826*INDEX(Products!$E$2:$E$49,MATCH(C826,Products!$A$2:$A$49,0))</f>
        <v>4500</v>
      </c>
      <c r="I826" s="33" t="n">
        <f aca="false">D826*INDEX(Products!$D$2:$D$49,MATCH(C826,Products!$A$2:$A$49,0))*(1+INDEX(Assumptions!$B$16:$B$20,MATCH(B826,Assumptions!$A$16:$A$20,0)))</f>
        <v>3030</v>
      </c>
      <c r="J826" s="33" t="n">
        <f aca="false">H826-I826</f>
        <v>1470</v>
      </c>
      <c r="K826" s="33" t="n">
        <f aca="false">IF(OR(E826=0,E826&gt;=7),0,D826/(7-E826)*E826*INDEX(Products!$E$2:$E$49,MATCH(C826,Products!$A$2:$A$49,0)))</f>
        <v>0</v>
      </c>
    </row>
    <row r="827" customFormat="false" ht="15" hidden="false" customHeight="false" outlineLevel="0" collapsed="false">
      <c r="A827" s="36" t="n">
        <v>46118</v>
      </c>
      <c r="B827" s="24" t="s">
        <v>61</v>
      </c>
      <c r="C827" s="24" t="s">
        <v>181</v>
      </c>
      <c r="D827" s="33" t="n">
        <v>76</v>
      </c>
      <c r="E827" s="24" t="n">
        <v>0</v>
      </c>
      <c r="F827" s="37" t="n">
        <f aca="false">DATE(YEAR(A827),MONTH(A827),1)</f>
        <v>46113</v>
      </c>
      <c r="G827" s="24" t="str">
        <f aca="false">INDEX(Products!$C$2:$C$49,MATCH(C827,Products!$A$2:$A$49,0))</f>
        <v>Personal Care</v>
      </c>
      <c r="H827" s="33" t="n">
        <f aca="false">D827*INDEX(Products!$E$2:$E$49,MATCH(C827,Products!$A$2:$A$49,0))</f>
        <v>26600</v>
      </c>
      <c r="I827" s="33" t="n">
        <f aca="false">D827*INDEX(Products!$D$2:$D$49,MATCH(C827,Products!$A$2:$A$49,0))*(1+INDEX(Assumptions!$B$16:$B$20,MATCH(B827,Assumptions!$A$16:$A$20,0)))</f>
        <v>18959.72</v>
      </c>
      <c r="J827" s="33" t="n">
        <f aca="false">H827-I827</f>
        <v>7640.28</v>
      </c>
      <c r="K827" s="33" t="n">
        <f aca="false">IF(OR(E827=0,E827&gt;=7),0,D827/(7-E827)*E827*INDEX(Products!$E$2:$E$49,MATCH(C827,Products!$A$2:$A$49,0)))</f>
        <v>0</v>
      </c>
    </row>
    <row r="828" customFormat="false" ht="15" hidden="false" customHeight="false" outlineLevel="0" collapsed="false">
      <c r="A828" s="36" t="n">
        <v>46125</v>
      </c>
      <c r="B828" s="24" t="s">
        <v>61</v>
      </c>
      <c r="C828" s="24" t="s">
        <v>181</v>
      </c>
      <c r="D828" s="33" t="n">
        <v>99</v>
      </c>
      <c r="E828" s="24" t="n">
        <v>0</v>
      </c>
      <c r="F828" s="37" t="n">
        <f aca="false">DATE(YEAR(A828),MONTH(A828),1)</f>
        <v>46113</v>
      </c>
      <c r="G828" s="24" t="str">
        <f aca="false">INDEX(Products!$C$2:$C$49,MATCH(C828,Products!$A$2:$A$49,0))</f>
        <v>Personal Care</v>
      </c>
      <c r="H828" s="33" t="n">
        <f aca="false">D828*INDEX(Products!$E$2:$E$49,MATCH(C828,Products!$A$2:$A$49,0))</f>
        <v>34650</v>
      </c>
      <c r="I828" s="33" t="n">
        <f aca="false">D828*INDEX(Products!$D$2:$D$49,MATCH(C828,Products!$A$2:$A$49,0))*(1+INDEX(Assumptions!$B$16:$B$20,MATCH(B828,Assumptions!$A$16:$A$20,0)))</f>
        <v>24697.53</v>
      </c>
      <c r="J828" s="33" t="n">
        <f aca="false">H828-I828</f>
        <v>9952.47</v>
      </c>
      <c r="K828" s="33" t="n">
        <f aca="false">IF(OR(E828=0,E828&gt;=7),0,D828/(7-E828)*E828*INDEX(Products!$E$2:$E$49,MATCH(C828,Products!$A$2:$A$49,0)))</f>
        <v>0</v>
      </c>
    </row>
    <row r="829" customFormat="false" ht="15" hidden="false" customHeight="false" outlineLevel="0" collapsed="false">
      <c r="A829" s="36" t="n">
        <v>46132</v>
      </c>
      <c r="B829" s="24" t="s">
        <v>61</v>
      </c>
      <c r="C829" s="24" t="s">
        <v>181</v>
      </c>
      <c r="D829" s="33" t="n">
        <v>102</v>
      </c>
      <c r="E829" s="24" t="n">
        <v>0</v>
      </c>
      <c r="F829" s="37" t="n">
        <f aca="false">DATE(YEAR(A829),MONTH(A829),1)</f>
        <v>46113</v>
      </c>
      <c r="G829" s="24" t="str">
        <f aca="false">INDEX(Products!$C$2:$C$49,MATCH(C829,Products!$A$2:$A$49,0))</f>
        <v>Personal Care</v>
      </c>
      <c r="H829" s="33" t="n">
        <f aca="false">D829*INDEX(Products!$E$2:$E$49,MATCH(C829,Products!$A$2:$A$49,0))</f>
        <v>35700</v>
      </c>
      <c r="I829" s="33" t="n">
        <f aca="false">D829*INDEX(Products!$D$2:$D$49,MATCH(C829,Products!$A$2:$A$49,0))*(1+INDEX(Assumptions!$B$16:$B$20,MATCH(B829,Assumptions!$A$16:$A$20,0)))</f>
        <v>25445.94</v>
      </c>
      <c r="J829" s="33" t="n">
        <f aca="false">H829-I829</f>
        <v>10254.06</v>
      </c>
      <c r="K829" s="33" t="n">
        <f aca="false">IF(OR(E829=0,E829&gt;=7),0,D829/(7-E829)*E829*INDEX(Products!$E$2:$E$49,MATCH(C829,Products!$A$2:$A$49,0)))</f>
        <v>0</v>
      </c>
    </row>
    <row r="830" customFormat="false" ht="15" hidden="false" customHeight="false" outlineLevel="0" collapsed="false">
      <c r="A830" s="36" t="n">
        <v>46139</v>
      </c>
      <c r="B830" s="24" t="s">
        <v>61</v>
      </c>
      <c r="C830" s="24" t="s">
        <v>181</v>
      </c>
      <c r="D830" s="33" t="n">
        <v>86</v>
      </c>
      <c r="E830" s="24" t="n">
        <v>0</v>
      </c>
      <c r="F830" s="37" t="n">
        <f aca="false">DATE(YEAR(A830),MONTH(A830),1)</f>
        <v>46113</v>
      </c>
      <c r="G830" s="24" t="str">
        <f aca="false">INDEX(Products!$C$2:$C$49,MATCH(C830,Products!$A$2:$A$49,0))</f>
        <v>Personal Care</v>
      </c>
      <c r="H830" s="33" t="n">
        <f aca="false">D830*INDEX(Products!$E$2:$E$49,MATCH(C830,Products!$A$2:$A$49,0))</f>
        <v>30100</v>
      </c>
      <c r="I830" s="33" t="n">
        <f aca="false">D830*INDEX(Products!$D$2:$D$49,MATCH(C830,Products!$A$2:$A$49,0))*(1+INDEX(Assumptions!$B$16:$B$20,MATCH(B830,Assumptions!$A$16:$A$20,0)))</f>
        <v>21454.42</v>
      </c>
      <c r="J830" s="33" t="n">
        <f aca="false">H830-I830</f>
        <v>8645.58</v>
      </c>
      <c r="K830" s="33" t="n">
        <f aca="false">IF(OR(E830=0,E830&gt;=7),0,D830/(7-E830)*E830*INDEX(Products!$E$2:$E$49,MATCH(C830,Products!$A$2:$A$49,0)))</f>
        <v>0</v>
      </c>
    </row>
    <row r="831" customFormat="false" ht="15" hidden="false" customHeight="false" outlineLevel="0" collapsed="false">
      <c r="A831" s="36" t="n">
        <v>46146</v>
      </c>
      <c r="B831" s="24" t="s">
        <v>61</v>
      </c>
      <c r="C831" s="24" t="s">
        <v>181</v>
      </c>
      <c r="D831" s="33" t="n">
        <v>90</v>
      </c>
      <c r="E831" s="24" t="n">
        <v>0</v>
      </c>
      <c r="F831" s="37" t="n">
        <f aca="false">DATE(YEAR(A831),MONTH(A831),1)</f>
        <v>46143</v>
      </c>
      <c r="G831" s="24" t="str">
        <f aca="false">INDEX(Products!$C$2:$C$49,MATCH(C831,Products!$A$2:$A$49,0))</f>
        <v>Personal Care</v>
      </c>
      <c r="H831" s="33" t="n">
        <f aca="false">D831*INDEX(Products!$E$2:$E$49,MATCH(C831,Products!$A$2:$A$49,0))</f>
        <v>31500</v>
      </c>
      <c r="I831" s="33" t="n">
        <f aca="false">D831*INDEX(Products!$D$2:$D$49,MATCH(C831,Products!$A$2:$A$49,0))*(1+INDEX(Assumptions!$B$16:$B$20,MATCH(B831,Assumptions!$A$16:$A$20,0)))</f>
        <v>22452.3</v>
      </c>
      <c r="J831" s="33" t="n">
        <f aca="false">H831-I831</f>
        <v>9047.7</v>
      </c>
      <c r="K831" s="33" t="n">
        <f aca="false">IF(OR(E831=0,E831&gt;=7),0,D831/(7-E831)*E831*INDEX(Products!$E$2:$E$49,MATCH(C831,Products!$A$2:$A$49,0)))</f>
        <v>0</v>
      </c>
    </row>
    <row r="832" customFormat="false" ht="15" hidden="false" customHeight="false" outlineLevel="0" collapsed="false">
      <c r="A832" s="36" t="n">
        <v>46153</v>
      </c>
      <c r="B832" s="24" t="s">
        <v>61</v>
      </c>
      <c r="C832" s="24" t="s">
        <v>181</v>
      </c>
      <c r="D832" s="33" t="n">
        <v>86</v>
      </c>
      <c r="E832" s="24" t="n">
        <v>0</v>
      </c>
      <c r="F832" s="37" t="n">
        <f aca="false">DATE(YEAR(A832),MONTH(A832),1)</f>
        <v>46143</v>
      </c>
      <c r="G832" s="24" t="str">
        <f aca="false">INDEX(Products!$C$2:$C$49,MATCH(C832,Products!$A$2:$A$49,0))</f>
        <v>Personal Care</v>
      </c>
      <c r="H832" s="33" t="n">
        <f aca="false">D832*INDEX(Products!$E$2:$E$49,MATCH(C832,Products!$A$2:$A$49,0))</f>
        <v>30100</v>
      </c>
      <c r="I832" s="33" t="n">
        <f aca="false">D832*INDEX(Products!$D$2:$D$49,MATCH(C832,Products!$A$2:$A$49,0))*(1+INDEX(Assumptions!$B$16:$B$20,MATCH(B832,Assumptions!$A$16:$A$20,0)))</f>
        <v>21454.42</v>
      </c>
      <c r="J832" s="33" t="n">
        <f aca="false">H832-I832</f>
        <v>8645.58</v>
      </c>
      <c r="K832" s="33" t="n">
        <f aca="false">IF(OR(E832=0,E832&gt;=7),0,D832/(7-E832)*E832*INDEX(Products!$E$2:$E$49,MATCH(C832,Products!$A$2:$A$49,0)))</f>
        <v>0</v>
      </c>
    </row>
    <row r="833" customFormat="false" ht="15" hidden="false" customHeight="false" outlineLevel="0" collapsed="false">
      <c r="A833" s="36" t="n">
        <v>46160</v>
      </c>
      <c r="B833" s="24" t="s">
        <v>61</v>
      </c>
      <c r="C833" s="24" t="s">
        <v>181</v>
      </c>
      <c r="D833" s="33" t="n">
        <v>83</v>
      </c>
      <c r="E833" s="24" t="n">
        <v>0</v>
      </c>
      <c r="F833" s="37" t="n">
        <f aca="false">DATE(YEAR(A833),MONTH(A833),1)</f>
        <v>46143</v>
      </c>
      <c r="G833" s="24" t="str">
        <f aca="false">INDEX(Products!$C$2:$C$49,MATCH(C833,Products!$A$2:$A$49,0))</f>
        <v>Personal Care</v>
      </c>
      <c r="H833" s="33" t="n">
        <f aca="false">D833*INDEX(Products!$E$2:$E$49,MATCH(C833,Products!$A$2:$A$49,0))</f>
        <v>29050</v>
      </c>
      <c r="I833" s="33" t="n">
        <f aca="false">D833*INDEX(Products!$D$2:$D$49,MATCH(C833,Products!$A$2:$A$49,0))*(1+INDEX(Assumptions!$B$16:$B$20,MATCH(B833,Assumptions!$A$16:$A$20,0)))</f>
        <v>20706.01</v>
      </c>
      <c r="J833" s="33" t="n">
        <f aca="false">H833-I833</f>
        <v>8343.99</v>
      </c>
      <c r="K833" s="33" t="n">
        <f aca="false">IF(OR(E833=0,E833&gt;=7),0,D833/(7-E833)*E833*INDEX(Products!$E$2:$E$49,MATCH(C833,Products!$A$2:$A$49,0)))</f>
        <v>0</v>
      </c>
    </row>
    <row r="834" customFormat="false" ht="15" hidden="false" customHeight="false" outlineLevel="0" collapsed="false">
      <c r="A834" s="36" t="n">
        <v>46167</v>
      </c>
      <c r="B834" s="24" t="s">
        <v>61</v>
      </c>
      <c r="C834" s="24" t="s">
        <v>181</v>
      </c>
      <c r="D834" s="33" t="n">
        <v>90</v>
      </c>
      <c r="E834" s="24" t="n">
        <v>0</v>
      </c>
      <c r="F834" s="37" t="n">
        <f aca="false">DATE(YEAR(A834),MONTH(A834),1)</f>
        <v>46143</v>
      </c>
      <c r="G834" s="24" t="str">
        <f aca="false">INDEX(Products!$C$2:$C$49,MATCH(C834,Products!$A$2:$A$49,0))</f>
        <v>Personal Care</v>
      </c>
      <c r="H834" s="33" t="n">
        <f aca="false">D834*INDEX(Products!$E$2:$E$49,MATCH(C834,Products!$A$2:$A$49,0))</f>
        <v>31500</v>
      </c>
      <c r="I834" s="33" t="n">
        <f aca="false">D834*INDEX(Products!$D$2:$D$49,MATCH(C834,Products!$A$2:$A$49,0))*(1+INDEX(Assumptions!$B$16:$B$20,MATCH(B834,Assumptions!$A$16:$A$20,0)))</f>
        <v>22452.3</v>
      </c>
      <c r="J834" s="33" t="n">
        <f aca="false">H834-I834</f>
        <v>9047.7</v>
      </c>
      <c r="K834" s="33" t="n">
        <f aca="false">IF(OR(E834=0,E834&gt;=7),0,D834/(7-E834)*E834*INDEX(Products!$E$2:$E$49,MATCH(C834,Products!$A$2:$A$49,0)))</f>
        <v>0</v>
      </c>
    </row>
    <row r="835" customFormat="false" ht="15" hidden="false" customHeight="false" outlineLevel="0" collapsed="false">
      <c r="A835" s="36" t="n">
        <v>46174</v>
      </c>
      <c r="B835" s="24" t="s">
        <v>61</v>
      </c>
      <c r="C835" s="24" t="s">
        <v>181</v>
      </c>
      <c r="D835" s="33" t="n">
        <v>84</v>
      </c>
      <c r="E835" s="24" t="n">
        <v>0</v>
      </c>
      <c r="F835" s="37" t="n">
        <f aca="false">DATE(YEAR(A835),MONTH(A835),1)</f>
        <v>46174</v>
      </c>
      <c r="G835" s="24" t="str">
        <f aca="false">INDEX(Products!$C$2:$C$49,MATCH(C835,Products!$A$2:$A$49,0))</f>
        <v>Personal Care</v>
      </c>
      <c r="H835" s="33" t="n">
        <f aca="false">D835*INDEX(Products!$E$2:$E$49,MATCH(C835,Products!$A$2:$A$49,0))</f>
        <v>29400</v>
      </c>
      <c r="I835" s="33" t="n">
        <f aca="false">D835*INDEX(Products!$D$2:$D$49,MATCH(C835,Products!$A$2:$A$49,0))*(1+INDEX(Assumptions!$B$16:$B$20,MATCH(B835,Assumptions!$A$16:$A$20,0)))</f>
        <v>20955.48</v>
      </c>
      <c r="J835" s="33" t="n">
        <f aca="false">H835-I835</f>
        <v>8444.52</v>
      </c>
      <c r="K835" s="33" t="n">
        <f aca="false">IF(OR(E835=0,E835&gt;=7),0,D835/(7-E835)*E835*INDEX(Products!$E$2:$E$49,MATCH(C835,Products!$A$2:$A$49,0)))</f>
        <v>0</v>
      </c>
    </row>
    <row r="836" customFormat="false" ht="15" hidden="false" customHeight="false" outlineLevel="0" collapsed="false">
      <c r="A836" s="36" t="n">
        <v>46181</v>
      </c>
      <c r="B836" s="24" t="s">
        <v>61</v>
      </c>
      <c r="C836" s="24" t="s">
        <v>181</v>
      </c>
      <c r="D836" s="33" t="n">
        <v>82</v>
      </c>
      <c r="E836" s="24" t="n">
        <v>0</v>
      </c>
      <c r="F836" s="37" t="n">
        <f aca="false">DATE(YEAR(A836),MONTH(A836),1)</f>
        <v>46174</v>
      </c>
      <c r="G836" s="24" t="str">
        <f aca="false">INDEX(Products!$C$2:$C$49,MATCH(C836,Products!$A$2:$A$49,0))</f>
        <v>Personal Care</v>
      </c>
      <c r="H836" s="33" t="n">
        <f aca="false">D836*INDEX(Products!$E$2:$E$49,MATCH(C836,Products!$A$2:$A$49,0))</f>
        <v>28700</v>
      </c>
      <c r="I836" s="33" t="n">
        <f aca="false">D836*INDEX(Products!$D$2:$D$49,MATCH(C836,Products!$A$2:$A$49,0))*(1+INDEX(Assumptions!$B$16:$B$20,MATCH(B836,Assumptions!$A$16:$A$20,0)))</f>
        <v>20456.54</v>
      </c>
      <c r="J836" s="33" t="n">
        <f aca="false">H836-I836</f>
        <v>8243.46</v>
      </c>
      <c r="K836" s="33" t="n">
        <f aca="false">IF(OR(E836=0,E836&gt;=7),0,D836/(7-E836)*E836*INDEX(Products!$E$2:$E$49,MATCH(C836,Products!$A$2:$A$49,0)))</f>
        <v>0</v>
      </c>
    </row>
    <row r="837" customFormat="false" ht="15" hidden="false" customHeight="false" outlineLevel="0" collapsed="false">
      <c r="A837" s="36" t="n">
        <v>46188</v>
      </c>
      <c r="B837" s="24" t="s">
        <v>61</v>
      </c>
      <c r="C837" s="24" t="s">
        <v>181</v>
      </c>
      <c r="D837" s="33" t="n">
        <v>79</v>
      </c>
      <c r="E837" s="24" t="n">
        <v>0</v>
      </c>
      <c r="F837" s="37" t="n">
        <f aca="false">DATE(YEAR(A837),MONTH(A837),1)</f>
        <v>46174</v>
      </c>
      <c r="G837" s="24" t="str">
        <f aca="false">INDEX(Products!$C$2:$C$49,MATCH(C837,Products!$A$2:$A$49,0))</f>
        <v>Personal Care</v>
      </c>
      <c r="H837" s="33" t="n">
        <f aca="false">D837*INDEX(Products!$E$2:$E$49,MATCH(C837,Products!$A$2:$A$49,0))</f>
        <v>27650</v>
      </c>
      <c r="I837" s="33" t="n">
        <f aca="false">D837*INDEX(Products!$D$2:$D$49,MATCH(C837,Products!$A$2:$A$49,0))*(1+INDEX(Assumptions!$B$16:$B$20,MATCH(B837,Assumptions!$A$16:$A$20,0)))</f>
        <v>19708.13</v>
      </c>
      <c r="J837" s="33" t="n">
        <f aca="false">H837-I837</f>
        <v>7941.87</v>
      </c>
      <c r="K837" s="33" t="n">
        <f aca="false">IF(OR(E837=0,E837&gt;=7),0,D837/(7-E837)*E837*INDEX(Products!$E$2:$E$49,MATCH(C837,Products!$A$2:$A$49,0)))</f>
        <v>0</v>
      </c>
    </row>
    <row r="838" customFormat="false" ht="15" hidden="false" customHeight="false" outlineLevel="0" collapsed="false">
      <c r="A838" s="36" t="n">
        <v>46195</v>
      </c>
      <c r="B838" s="24" t="s">
        <v>61</v>
      </c>
      <c r="C838" s="24" t="s">
        <v>181</v>
      </c>
      <c r="D838" s="33" t="n">
        <v>105</v>
      </c>
      <c r="E838" s="24" t="n">
        <v>0</v>
      </c>
      <c r="F838" s="37" t="n">
        <f aca="false">DATE(YEAR(A838),MONTH(A838),1)</f>
        <v>46174</v>
      </c>
      <c r="G838" s="24" t="str">
        <f aca="false">INDEX(Products!$C$2:$C$49,MATCH(C838,Products!$A$2:$A$49,0))</f>
        <v>Personal Care</v>
      </c>
      <c r="H838" s="33" t="n">
        <f aca="false">D838*INDEX(Products!$E$2:$E$49,MATCH(C838,Products!$A$2:$A$49,0))</f>
        <v>36750</v>
      </c>
      <c r="I838" s="33" t="n">
        <f aca="false">D838*INDEX(Products!$D$2:$D$49,MATCH(C838,Products!$A$2:$A$49,0))*(1+INDEX(Assumptions!$B$16:$B$20,MATCH(B838,Assumptions!$A$16:$A$20,0)))</f>
        <v>26194.35</v>
      </c>
      <c r="J838" s="33" t="n">
        <f aca="false">H838-I838</f>
        <v>10555.65</v>
      </c>
      <c r="K838" s="33" t="n">
        <f aca="false">IF(OR(E838=0,E838&gt;=7),0,D838/(7-E838)*E838*INDEX(Products!$E$2:$E$49,MATCH(C838,Products!$A$2:$A$49,0)))</f>
        <v>0</v>
      </c>
    </row>
    <row r="839" customFormat="false" ht="15" hidden="false" customHeight="false" outlineLevel="0" collapsed="false">
      <c r="A839" s="36" t="n">
        <v>46202</v>
      </c>
      <c r="B839" s="24" t="s">
        <v>61</v>
      </c>
      <c r="C839" s="24" t="s">
        <v>181</v>
      </c>
      <c r="D839" s="33" t="n">
        <v>97</v>
      </c>
      <c r="E839" s="24" t="n">
        <v>0</v>
      </c>
      <c r="F839" s="37" t="n">
        <f aca="false">DATE(YEAR(A839),MONTH(A839),1)</f>
        <v>46174</v>
      </c>
      <c r="G839" s="24" t="str">
        <f aca="false">INDEX(Products!$C$2:$C$49,MATCH(C839,Products!$A$2:$A$49,0))</f>
        <v>Personal Care</v>
      </c>
      <c r="H839" s="33" t="n">
        <f aca="false">D839*INDEX(Products!$E$2:$E$49,MATCH(C839,Products!$A$2:$A$49,0))</f>
        <v>33950</v>
      </c>
      <c r="I839" s="33" t="n">
        <f aca="false">D839*INDEX(Products!$D$2:$D$49,MATCH(C839,Products!$A$2:$A$49,0))*(1+INDEX(Assumptions!$B$16:$B$20,MATCH(B839,Assumptions!$A$16:$A$20,0)))</f>
        <v>24198.59</v>
      </c>
      <c r="J839" s="33" t="n">
        <f aca="false">H839-I839</f>
        <v>9751.41</v>
      </c>
      <c r="K839" s="33" t="n">
        <f aca="false">IF(OR(E839=0,E839&gt;=7),0,D839/(7-E839)*E839*INDEX(Products!$E$2:$E$49,MATCH(C839,Products!$A$2:$A$49,0)))</f>
        <v>0</v>
      </c>
    </row>
    <row r="840" customFormat="false" ht="15" hidden="false" customHeight="false" outlineLevel="0" collapsed="false">
      <c r="A840" s="36" t="n">
        <v>46209</v>
      </c>
      <c r="B840" s="24" t="s">
        <v>61</v>
      </c>
      <c r="C840" s="24" t="s">
        <v>181</v>
      </c>
      <c r="D840" s="33" t="n">
        <v>65</v>
      </c>
      <c r="E840" s="24" t="n">
        <v>0</v>
      </c>
      <c r="F840" s="37" t="n">
        <f aca="false">DATE(YEAR(A840),MONTH(A840),1)</f>
        <v>46204</v>
      </c>
      <c r="G840" s="24" t="str">
        <f aca="false">INDEX(Products!$C$2:$C$49,MATCH(C840,Products!$A$2:$A$49,0))</f>
        <v>Personal Care</v>
      </c>
      <c r="H840" s="33" t="n">
        <f aca="false">D840*INDEX(Products!$E$2:$E$49,MATCH(C840,Products!$A$2:$A$49,0))</f>
        <v>22750</v>
      </c>
      <c r="I840" s="33" t="n">
        <f aca="false">D840*INDEX(Products!$D$2:$D$49,MATCH(C840,Products!$A$2:$A$49,0))*(1+INDEX(Assumptions!$B$16:$B$20,MATCH(B840,Assumptions!$A$16:$A$20,0)))</f>
        <v>16215.55</v>
      </c>
      <c r="J840" s="33" t="n">
        <f aca="false">H840-I840</f>
        <v>6534.45</v>
      </c>
      <c r="K840" s="33" t="n">
        <f aca="false">IF(OR(E840=0,E840&gt;=7),0,D840/(7-E840)*E840*INDEX(Products!$E$2:$E$49,MATCH(C840,Products!$A$2:$A$49,0)))</f>
        <v>0</v>
      </c>
    </row>
    <row r="841" customFormat="false" ht="15" hidden="false" customHeight="false" outlineLevel="0" collapsed="false">
      <c r="A841" s="36" t="n">
        <v>46216</v>
      </c>
      <c r="B841" s="24" t="s">
        <v>61</v>
      </c>
      <c r="C841" s="24" t="s">
        <v>181</v>
      </c>
      <c r="D841" s="33" t="n">
        <v>78</v>
      </c>
      <c r="E841" s="24" t="n">
        <v>0</v>
      </c>
      <c r="F841" s="37" t="n">
        <f aca="false">DATE(YEAR(A841),MONTH(A841),1)</f>
        <v>46204</v>
      </c>
      <c r="G841" s="24" t="str">
        <f aca="false">INDEX(Products!$C$2:$C$49,MATCH(C841,Products!$A$2:$A$49,0))</f>
        <v>Personal Care</v>
      </c>
      <c r="H841" s="33" t="n">
        <f aca="false">D841*INDEX(Products!$E$2:$E$49,MATCH(C841,Products!$A$2:$A$49,0))</f>
        <v>27300</v>
      </c>
      <c r="I841" s="33" t="n">
        <f aca="false">D841*INDEX(Products!$D$2:$D$49,MATCH(C841,Products!$A$2:$A$49,0))*(1+INDEX(Assumptions!$B$16:$B$20,MATCH(B841,Assumptions!$A$16:$A$20,0)))</f>
        <v>19458.66</v>
      </c>
      <c r="J841" s="33" t="n">
        <f aca="false">H841-I841</f>
        <v>7841.34</v>
      </c>
      <c r="K841" s="33" t="n">
        <f aca="false">IF(OR(E841=0,E841&gt;=7),0,D841/(7-E841)*E841*INDEX(Products!$E$2:$E$49,MATCH(C841,Products!$A$2:$A$49,0)))</f>
        <v>0</v>
      </c>
    </row>
    <row r="842" customFormat="false" ht="15" hidden="false" customHeight="false" outlineLevel="0" collapsed="false">
      <c r="A842" s="36" t="n">
        <v>46223</v>
      </c>
      <c r="B842" s="24" t="s">
        <v>61</v>
      </c>
      <c r="C842" s="24" t="s">
        <v>181</v>
      </c>
      <c r="D842" s="33" t="n">
        <v>69</v>
      </c>
      <c r="E842" s="24" t="n">
        <v>0</v>
      </c>
      <c r="F842" s="37" t="n">
        <f aca="false">DATE(YEAR(A842),MONTH(A842),1)</f>
        <v>46204</v>
      </c>
      <c r="G842" s="24" t="str">
        <f aca="false">INDEX(Products!$C$2:$C$49,MATCH(C842,Products!$A$2:$A$49,0))</f>
        <v>Personal Care</v>
      </c>
      <c r="H842" s="33" t="n">
        <f aca="false">D842*INDEX(Products!$E$2:$E$49,MATCH(C842,Products!$A$2:$A$49,0))</f>
        <v>24150</v>
      </c>
      <c r="I842" s="33" t="n">
        <f aca="false">D842*INDEX(Products!$D$2:$D$49,MATCH(C842,Products!$A$2:$A$49,0))*(1+INDEX(Assumptions!$B$16:$B$20,MATCH(B842,Assumptions!$A$16:$A$20,0)))</f>
        <v>17213.43</v>
      </c>
      <c r="J842" s="33" t="n">
        <f aca="false">H842-I842</f>
        <v>6936.57</v>
      </c>
      <c r="K842" s="33" t="n">
        <f aca="false">IF(OR(E842=0,E842&gt;=7),0,D842/(7-E842)*E842*INDEX(Products!$E$2:$E$49,MATCH(C842,Products!$A$2:$A$49,0)))</f>
        <v>0</v>
      </c>
    </row>
    <row r="843" customFormat="false" ht="15" hidden="false" customHeight="false" outlineLevel="0" collapsed="false">
      <c r="A843" s="36" t="n">
        <v>46230</v>
      </c>
      <c r="B843" s="24" t="s">
        <v>61</v>
      </c>
      <c r="C843" s="24" t="s">
        <v>181</v>
      </c>
      <c r="D843" s="33" t="n">
        <v>98</v>
      </c>
      <c r="E843" s="24" t="n">
        <v>0</v>
      </c>
      <c r="F843" s="37" t="n">
        <f aca="false">DATE(YEAR(A843),MONTH(A843),1)</f>
        <v>46204</v>
      </c>
      <c r="G843" s="24" t="str">
        <f aca="false">INDEX(Products!$C$2:$C$49,MATCH(C843,Products!$A$2:$A$49,0))</f>
        <v>Personal Care</v>
      </c>
      <c r="H843" s="33" t="n">
        <f aca="false">D843*INDEX(Products!$E$2:$E$49,MATCH(C843,Products!$A$2:$A$49,0))</f>
        <v>34300</v>
      </c>
      <c r="I843" s="33" t="n">
        <f aca="false">D843*INDEX(Products!$D$2:$D$49,MATCH(C843,Products!$A$2:$A$49,0))*(1+INDEX(Assumptions!$B$16:$B$20,MATCH(B843,Assumptions!$A$16:$A$20,0)))</f>
        <v>24448.06</v>
      </c>
      <c r="J843" s="33" t="n">
        <f aca="false">H843-I843</f>
        <v>9851.94</v>
      </c>
      <c r="K843" s="33" t="n">
        <f aca="false">IF(OR(E843=0,E843&gt;=7),0,D843/(7-E843)*E843*INDEX(Products!$E$2:$E$49,MATCH(C843,Products!$A$2:$A$49,0)))</f>
        <v>0</v>
      </c>
    </row>
    <row r="844" customFormat="false" ht="15" hidden="false" customHeight="false" outlineLevel="0" collapsed="false">
      <c r="A844" s="36" t="n">
        <v>46237</v>
      </c>
      <c r="B844" s="24" t="s">
        <v>61</v>
      </c>
      <c r="C844" s="24" t="s">
        <v>181</v>
      </c>
      <c r="D844" s="33" t="n">
        <v>76</v>
      </c>
      <c r="E844" s="24" t="n">
        <v>0</v>
      </c>
      <c r="F844" s="37" t="n">
        <f aca="false">DATE(YEAR(A844),MONTH(A844),1)</f>
        <v>46235</v>
      </c>
      <c r="G844" s="24" t="str">
        <f aca="false">INDEX(Products!$C$2:$C$49,MATCH(C844,Products!$A$2:$A$49,0))</f>
        <v>Personal Care</v>
      </c>
      <c r="H844" s="33" t="n">
        <f aca="false">D844*INDEX(Products!$E$2:$E$49,MATCH(C844,Products!$A$2:$A$49,0))</f>
        <v>26600</v>
      </c>
      <c r="I844" s="33" t="n">
        <f aca="false">D844*INDEX(Products!$D$2:$D$49,MATCH(C844,Products!$A$2:$A$49,0))*(1+INDEX(Assumptions!$B$16:$B$20,MATCH(B844,Assumptions!$A$16:$A$20,0)))</f>
        <v>18959.72</v>
      </c>
      <c r="J844" s="33" t="n">
        <f aca="false">H844-I844</f>
        <v>7640.28</v>
      </c>
      <c r="K844" s="33" t="n">
        <f aca="false">IF(OR(E844=0,E844&gt;=7),0,D844/(7-E844)*E844*INDEX(Products!$E$2:$E$49,MATCH(C844,Products!$A$2:$A$49,0)))</f>
        <v>0</v>
      </c>
    </row>
    <row r="845" customFormat="false" ht="15" hidden="false" customHeight="false" outlineLevel="0" collapsed="false">
      <c r="A845" s="36" t="n">
        <v>46244</v>
      </c>
      <c r="B845" s="24" t="s">
        <v>61</v>
      </c>
      <c r="C845" s="24" t="s">
        <v>181</v>
      </c>
      <c r="D845" s="33" t="n">
        <v>83</v>
      </c>
      <c r="E845" s="24" t="n">
        <v>0</v>
      </c>
      <c r="F845" s="37" t="n">
        <f aca="false">DATE(YEAR(A845),MONTH(A845),1)</f>
        <v>46235</v>
      </c>
      <c r="G845" s="24" t="str">
        <f aca="false">INDEX(Products!$C$2:$C$49,MATCH(C845,Products!$A$2:$A$49,0))</f>
        <v>Personal Care</v>
      </c>
      <c r="H845" s="33" t="n">
        <f aca="false">D845*INDEX(Products!$E$2:$E$49,MATCH(C845,Products!$A$2:$A$49,0))</f>
        <v>29050</v>
      </c>
      <c r="I845" s="33" t="n">
        <f aca="false">D845*INDEX(Products!$D$2:$D$49,MATCH(C845,Products!$A$2:$A$49,0))*(1+INDEX(Assumptions!$B$16:$B$20,MATCH(B845,Assumptions!$A$16:$A$20,0)))</f>
        <v>20706.01</v>
      </c>
      <c r="J845" s="33" t="n">
        <f aca="false">H845-I845</f>
        <v>8343.99</v>
      </c>
      <c r="K845" s="33" t="n">
        <f aca="false">IF(OR(E845=0,E845&gt;=7),0,D845/(7-E845)*E845*INDEX(Products!$E$2:$E$49,MATCH(C845,Products!$A$2:$A$49,0)))</f>
        <v>0</v>
      </c>
    </row>
    <row r="846" customFormat="false" ht="15" hidden="false" customHeight="false" outlineLevel="0" collapsed="false">
      <c r="A846" s="36" t="n">
        <v>46251</v>
      </c>
      <c r="B846" s="24" t="s">
        <v>61</v>
      </c>
      <c r="C846" s="24" t="s">
        <v>181</v>
      </c>
      <c r="D846" s="33" t="n">
        <v>92</v>
      </c>
      <c r="E846" s="24" t="n">
        <v>0</v>
      </c>
      <c r="F846" s="37" t="n">
        <f aca="false">DATE(YEAR(A846),MONTH(A846),1)</f>
        <v>46235</v>
      </c>
      <c r="G846" s="24" t="str">
        <f aca="false">INDEX(Products!$C$2:$C$49,MATCH(C846,Products!$A$2:$A$49,0))</f>
        <v>Personal Care</v>
      </c>
      <c r="H846" s="33" t="n">
        <f aca="false">D846*INDEX(Products!$E$2:$E$49,MATCH(C846,Products!$A$2:$A$49,0))</f>
        <v>32200</v>
      </c>
      <c r="I846" s="33" t="n">
        <f aca="false">D846*INDEX(Products!$D$2:$D$49,MATCH(C846,Products!$A$2:$A$49,0))*(1+INDEX(Assumptions!$B$16:$B$20,MATCH(B846,Assumptions!$A$16:$A$20,0)))</f>
        <v>22951.24</v>
      </c>
      <c r="J846" s="33" t="n">
        <f aca="false">H846-I846</f>
        <v>9248.76</v>
      </c>
      <c r="K846" s="33" t="n">
        <f aca="false">IF(OR(E846=0,E846&gt;=7),0,D846/(7-E846)*E846*INDEX(Products!$E$2:$E$49,MATCH(C846,Products!$A$2:$A$49,0)))</f>
        <v>0</v>
      </c>
    </row>
    <row r="847" customFormat="false" ht="15" hidden="false" customHeight="false" outlineLevel="0" collapsed="false">
      <c r="A847" s="36" t="n">
        <v>46258</v>
      </c>
      <c r="B847" s="24" t="s">
        <v>61</v>
      </c>
      <c r="C847" s="24" t="s">
        <v>181</v>
      </c>
      <c r="D847" s="33" t="n">
        <v>78</v>
      </c>
      <c r="E847" s="24" t="n">
        <v>0</v>
      </c>
      <c r="F847" s="37" t="n">
        <f aca="false">DATE(YEAR(A847),MONTH(A847),1)</f>
        <v>46235</v>
      </c>
      <c r="G847" s="24" t="str">
        <f aca="false">INDEX(Products!$C$2:$C$49,MATCH(C847,Products!$A$2:$A$49,0))</f>
        <v>Personal Care</v>
      </c>
      <c r="H847" s="33" t="n">
        <f aca="false">D847*INDEX(Products!$E$2:$E$49,MATCH(C847,Products!$A$2:$A$49,0))</f>
        <v>27300</v>
      </c>
      <c r="I847" s="33" t="n">
        <f aca="false">D847*INDEX(Products!$D$2:$D$49,MATCH(C847,Products!$A$2:$A$49,0))*(1+INDEX(Assumptions!$B$16:$B$20,MATCH(B847,Assumptions!$A$16:$A$20,0)))</f>
        <v>19458.66</v>
      </c>
      <c r="J847" s="33" t="n">
        <f aca="false">H847-I847</f>
        <v>7841.34</v>
      </c>
      <c r="K847" s="33" t="n">
        <f aca="false">IF(OR(E847=0,E847&gt;=7),0,D847/(7-E847)*E847*INDEX(Products!$E$2:$E$49,MATCH(C847,Products!$A$2:$A$49,0)))</f>
        <v>0</v>
      </c>
    </row>
    <row r="848" customFormat="false" ht="15" hidden="false" customHeight="false" outlineLevel="0" collapsed="false">
      <c r="A848" s="36" t="n">
        <v>46265</v>
      </c>
      <c r="B848" s="24" t="s">
        <v>61</v>
      </c>
      <c r="C848" s="24" t="s">
        <v>181</v>
      </c>
      <c r="D848" s="33" t="n">
        <v>99</v>
      </c>
      <c r="E848" s="24" t="n">
        <v>0</v>
      </c>
      <c r="F848" s="37" t="n">
        <f aca="false">DATE(YEAR(A848),MONTH(A848),1)</f>
        <v>46235</v>
      </c>
      <c r="G848" s="24" t="str">
        <f aca="false">INDEX(Products!$C$2:$C$49,MATCH(C848,Products!$A$2:$A$49,0))</f>
        <v>Personal Care</v>
      </c>
      <c r="H848" s="33" t="n">
        <f aca="false">D848*INDEX(Products!$E$2:$E$49,MATCH(C848,Products!$A$2:$A$49,0))</f>
        <v>34650</v>
      </c>
      <c r="I848" s="33" t="n">
        <f aca="false">D848*INDEX(Products!$D$2:$D$49,MATCH(C848,Products!$A$2:$A$49,0))*(1+INDEX(Assumptions!$B$16:$B$20,MATCH(B848,Assumptions!$A$16:$A$20,0)))</f>
        <v>24697.53</v>
      </c>
      <c r="J848" s="33" t="n">
        <f aca="false">H848-I848</f>
        <v>9952.47</v>
      </c>
      <c r="K848" s="33" t="n">
        <f aca="false">IF(OR(E848=0,E848&gt;=7),0,D848/(7-E848)*E848*INDEX(Products!$E$2:$E$49,MATCH(C848,Products!$A$2:$A$49,0)))</f>
        <v>0</v>
      </c>
    </row>
    <row r="849" customFormat="false" ht="15" hidden="false" customHeight="false" outlineLevel="0" collapsed="false">
      <c r="A849" s="36" t="n">
        <v>46272</v>
      </c>
      <c r="B849" s="24" t="s">
        <v>61</v>
      </c>
      <c r="C849" s="24" t="s">
        <v>181</v>
      </c>
      <c r="D849" s="33" t="n">
        <v>84</v>
      </c>
      <c r="E849" s="24" t="n">
        <v>0</v>
      </c>
      <c r="F849" s="37" t="n">
        <f aca="false">DATE(YEAR(A849),MONTH(A849),1)</f>
        <v>46266</v>
      </c>
      <c r="G849" s="24" t="str">
        <f aca="false">INDEX(Products!$C$2:$C$49,MATCH(C849,Products!$A$2:$A$49,0))</f>
        <v>Personal Care</v>
      </c>
      <c r="H849" s="33" t="n">
        <f aca="false">D849*INDEX(Products!$E$2:$E$49,MATCH(C849,Products!$A$2:$A$49,0))</f>
        <v>29400</v>
      </c>
      <c r="I849" s="33" t="n">
        <f aca="false">D849*INDEX(Products!$D$2:$D$49,MATCH(C849,Products!$A$2:$A$49,0))*(1+INDEX(Assumptions!$B$16:$B$20,MATCH(B849,Assumptions!$A$16:$A$20,0)))</f>
        <v>20955.48</v>
      </c>
      <c r="J849" s="33" t="n">
        <f aca="false">H849-I849</f>
        <v>8444.52</v>
      </c>
      <c r="K849" s="33" t="n">
        <f aca="false">IF(OR(E849=0,E849&gt;=7),0,D849/(7-E849)*E849*INDEX(Products!$E$2:$E$49,MATCH(C849,Products!$A$2:$A$49,0)))</f>
        <v>0</v>
      </c>
    </row>
    <row r="850" customFormat="false" ht="15" hidden="false" customHeight="false" outlineLevel="0" collapsed="false">
      <c r="A850" s="36" t="n">
        <v>46279</v>
      </c>
      <c r="B850" s="24" t="s">
        <v>61</v>
      </c>
      <c r="C850" s="24" t="s">
        <v>181</v>
      </c>
      <c r="D850" s="33" t="n">
        <v>98</v>
      </c>
      <c r="E850" s="24" t="n">
        <v>0</v>
      </c>
      <c r="F850" s="37" t="n">
        <f aca="false">DATE(YEAR(A850),MONTH(A850),1)</f>
        <v>46266</v>
      </c>
      <c r="G850" s="24" t="str">
        <f aca="false">INDEX(Products!$C$2:$C$49,MATCH(C850,Products!$A$2:$A$49,0))</f>
        <v>Personal Care</v>
      </c>
      <c r="H850" s="33" t="n">
        <f aca="false">D850*INDEX(Products!$E$2:$E$49,MATCH(C850,Products!$A$2:$A$49,0))</f>
        <v>34300</v>
      </c>
      <c r="I850" s="33" t="n">
        <f aca="false">D850*INDEX(Products!$D$2:$D$49,MATCH(C850,Products!$A$2:$A$49,0))*(1+INDEX(Assumptions!$B$16:$B$20,MATCH(B850,Assumptions!$A$16:$A$20,0)))</f>
        <v>24448.06</v>
      </c>
      <c r="J850" s="33" t="n">
        <f aca="false">H850-I850</f>
        <v>9851.94</v>
      </c>
      <c r="K850" s="33" t="n">
        <f aca="false">IF(OR(E850=0,E850&gt;=7),0,D850/(7-E850)*E850*INDEX(Products!$E$2:$E$49,MATCH(C850,Products!$A$2:$A$49,0)))</f>
        <v>0</v>
      </c>
    </row>
    <row r="851" customFormat="false" ht="15" hidden="false" customHeight="false" outlineLevel="0" collapsed="false">
      <c r="A851" s="36" t="n">
        <v>46286</v>
      </c>
      <c r="B851" s="24" t="s">
        <v>61</v>
      </c>
      <c r="C851" s="24" t="s">
        <v>181</v>
      </c>
      <c r="D851" s="33" t="n">
        <v>96</v>
      </c>
      <c r="E851" s="24" t="n">
        <v>0</v>
      </c>
      <c r="F851" s="37" t="n">
        <f aca="false">DATE(YEAR(A851),MONTH(A851),1)</f>
        <v>46266</v>
      </c>
      <c r="G851" s="24" t="str">
        <f aca="false">INDEX(Products!$C$2:$C$49,MATCH(C851,Products!$A$2:$A$49,0))</f>
        <v>Personal Care</v>
      </c>
      <c r="H851" s="33" t="n">
        <f aca="false">D851*INDEX(Products!$E$2:$E$49,MATCH(C851,Products!$A$2:$A$49,0))</f>
        <v>33600</v>
      </c>
      <c r="I851" s="33" t="n">
        <f aca="false">D851*INDEX(Products!$D$2:$D$49,MATCH(C851,Products!$A$2:$A$49,0))*(1+INDEX(Assumptions!$B$16:$B$20,MATCH(B851,Assumptions!$A$16:$A$20,0)))</f>
        <v>23949.12</v>
      </c>
      <c r="J851" s="33" t="n">
        <f aca="false">H851-I851</f>
        <v>9650.88</v>
      </c>
      <c r="K851" s="33" t="n">
        <f aca="false">IF(OR(E851=0,E851&gt;=7),0,D851/(7-E851)*E851*INDEX(Products!$E$2:$E$49,MATCH(C851,Products!$A$2:$A$49,0)))</f>
        <v>0</v>
      </c>
    </row>
    <row r="852" customFormat="false" ht="15" hidden="false" customHeight="false" outlineLevel="0" collapsed="false">
      <c r="A852" s="36" t="n">
        <v>46118</v>
      </c>
      <c r="B852" s="24" t="s">
        <v>61</v>
      </c>
      <c r="C852" s="24" t="s">
        <v>183</v>
      </c>
      <c r="D852" s="33" t="n">
        <v>94</v>
      </c>
      <c r="E852" s="24" t="n">
        <v>0</v>
      </c>
      <c r="F852" s="37" t="n">
        <f aca="false">DATE(YEAR(A852),MONTH(A852),1)</f>
        <v>46113</v>
      </c>
      <c r="G852" s="24" t="str">
        <f aca="false">INDEX(Products!$C$2:$C$49,MATCH(C852,Products!$A$2:$A$49,0))</f>
        <v>Personal Care</v>
      </c>
      <c r="H852" s="33" t="n">
        <f aca="false">D852*INDEX(Products!$E$2:$E$49,MATCH(C852,Products!$A$2:$A$49,0))</f>
        <v>31020</v>
      </c>
      <c r="I852" s="33" t="n">
        <f aca="false">D852*INDEX(Products!$D$2:$D$49,MATCH(C852,Products!$A$2:$A$49,0))*(1+INDEX(Assumptions!$B$16:$B$20,MATCH(B852,Assumptions!$A$16:$A$20,0)))</f>
        <v>19747.52</v>
      </c>
      <c r="J852" s="33" t="n">
        <f aca="false">H852-I852</f>
        <v>11272.48</v>
      </c>
      <c r="K852" s="33" t="n">
        <f aca="false">IF(OR(E852=0,E852&gt;=7),0,D852/(7-E852)*E852*INDEX(Products!$E$2:$E$49,MATCH(C852,Products!$A$2:$A$49,0)))</f>
        <v>0</v>
      </c>
    </row>
    <row r="853" customFormat="false" ht="15" hidden="false" customHeight="false" outlineLevel="0" collapsed="false">
      <c r="A853" s="36" t="n">
        <v>46125</v>
      </c>
      <c r="B853" s="24" t="s">
        <v>61</v>
      </c>
      <c r="C853" s="24" t="s">
        <v>183</v>
      </c>
      <c r="D853" s="33" t="n">
        <v>52</v>
      </c>
      <c r="E853" s="24" t="n">
        <v>0</v>
      </c>
      <c r="F853" s="37" t="n">
        <f aca="false">DATE(YEAR(A853),MONTH(A853),1)</f>
        <v>46113</v>
      </c>
      <c r="G853" s="24" t="str">
        <f aca="false">INDEX(Products!$C$2:$C$49,MATCH(C853,Products!$A$2:$A$49,0))</f>
        <v>Personal Care</v>
      </c>
      <c r="H853" s="33" t="n">
        <f aca="false">D853*INDEX(Products!$E$2:$E$49,MATCH(C853,Products!$A$2:$A$49,0))</f>
        <v>17160</v>
      </c>
      <c r="I853" s="33" t="n">
        <f aca="false">D853*INDEX(Products!$D$2:$D$49,MATCH(C853,Products!$A$2:$A$49,0))*(1+INDEX(Assumptions!$B$16:$B$20,MATCH(B853,Assumptions!$A$16:$A$20,0)))</f>
        <v>10924.16</v>
      </c>
      <c r="J853" s="33" t="n">
        <f aca="false">H853-I853</f>
        <v>6235.84</v>
      </c>
      <c r="K853" s="33" t="n">
        <f aca="false">IF(OR(E853=0,E853&gt;=7),0,D853/(7-E853)*E853*INDEX(Products!$E$2:$E$49,MATCH(C853,Products!$A$2:$A$49,0)))</f>
        <v>0</v>
      </c>
    </row>
    <row r="854" customFormat="false" ht="15" hidden="false" customHeight="false" outlineLevel="0" collapsed="false">
      <c r="A854" s="36" t="n">
        <v>46132</v>
      </c>
      <c r="B854" s="24" t="s">
        <v>61</v>
      </c>
      <c r="C854" s="24" t="s">
        <v>183</v>
      </c>
      <c r="D854" s="33" t="n">
        <v>60</v>
      </c>
      <c r="E854" s="24" t="n">
        <v>0</v>
      </c>
      <c r="F854" s="37" t="n">
        <f aca="false">DATE(YEAR(A854),MONTH(A854),1)</f>
        <v>46113</v>
      </c>
      <c r="G854" s="24" t="str">
        <f aca="false">INDEX(Products!$C$2:$C$49,MATCH(C854,Products!$A$2:$A$49,0))</f>
        <v>Personal Care</v>
      </c>
      <c r="H854" s="33" t="n">
        <f aca="false">D854*INDEX(Products!$E$2:$E$49,MATCH(C854,Products!$A$2:$A$49,0))</f>
        <v>19800</v>
      </c>
      <c r="I854" s="33" t="n">
        <f aca="false">D854*INDEX(Products!$D$2:$D$49,MATCH(C854,Products!$A$2:$A$49,0))*(1+INDEX(Assumptions!$B$16:$B$20,MATCH(B854,Assumptions!$A$16:$A$20,0)))</f>
        <v>12604.8</v>
      </c>
      <c r="J854" s="33" t="n">
        <f aca="false">H854-I854</f>
        <v>7195.2</v>
      </c>
      <c r="K854" s="33" t="n">
        <f aca="false">IF(OR(E854=0,E854&gt;=7),0,D854/(7-E854)*E854*INDEX(Products!$E$2:$E$49,MATCH(C854,Products!$A$2:$A$49,0)))</f>
        <v>0</v>
      </c>
    </row>
    <row r="855" customFormat="false" ht="15" hidden="false" customHeight="false" outlineLevel="0" collapsed="false">
      <c r="A855" s="36" t="n">
        <v>46139</v>
      </c>
      <c r="B855" s="24" t="s">
        <v>61</v>
      </c>
      <c r="C855" s="24" t="s">
        <v>183</v>
      </c>
      <c r="D855" s="33" t="n">
        <v>69</v>
      </c>
      <c r="E855" s="24" t="n">
        <v>0</v>
      </c>
      <c r="F855" s="37" t="n">
        <f aca="false">DATE(YEAR(A855),MONTH(A855),1)</f>
        <v>46113</v>
      </c>
      <c r="G855" s="24" t="str">
        <f aca="false">INDEX(Products!$C$2:$C$49,MATCH(C855,Products!$A$2:$A$49,0))</f>
        <v>Personal Care</v>
      </c>
      <c r="H855" s="33" t="n">
        <f aca="false">D855*INDEX(Products!$E$2:$E$49,MATCH(C855,Products!$A$2:$A$49,0))</f>
        <v>22770</v>
      </c>
      <c r="I855" s="33" t="n">
        <f aca="false">D855*INDEX(Products!$D$2:$D$49,MATCH(C855,Products!$A$2:$A$49,0))*(1+INDEX(Assumptions!$B$16:$B$20,MATCH(B855,Assumptions!$A$16:$A$20,0)))</f>
        <v>14495.52</v>
      </c>
      <c r="J855" s="33" t="n">
        <f aca="false">H855-I855</f>
        <v>8274.48</v>
      </c>
      <c r="K855" s="33" t="n">
        <f aca="false">IF(OR(E855=0,E855&gt;=7),0,D855/(7-E855)*E855*INDEX(Products!$E$2:$E$49,MATCH(C855,Products!$A$2:$A$49,0)))</f>
        <v>0</v>
      </c>
    </row>
    <row r="856" customFormat="false" ht="15" hidden="false" customHeight="false" outlineLevel="0" collapsed="false">
      <c r="A856" s="36" t="n">
        <v>46146</v>
      </c>
      <c r="B856" s="24" t="s">
        <v>61</v>
      </c>
      <c r="C856" s="24" t="s">
        <v>183</v>
      </c>
      <c r="D856" s="33" t="n">
        <v>56</v>
      </c>
      <c r="E856" s="24" t="n">
        <v>0</v>
      </c>
      <c r="F856" s="37" t="n">
        <f aca="false">DATE(YEAR(A856),MONTH(A856),1)</f>
        <v>46143</v>
      </c>
      <c r="G856" s="24" t="str">
        <f aca="false">INDEX(Products!$C$2:$C$49,MATCH(C856,Products!$A$2:$A$49,0))</f>
        <v>Personal Care</v>
      </c>
      <c r="H856" s="33" t="n">
        <f aca="false">D856*INDEX(Products!$E$2:$E$49,MATCH(C856,Products!$A$2:$A$49,0))</f>
        <v>18480</v>
      </c>
      <c r="I856" s="33" t="n">
        <f aca="false">D856*INDEX(Products!$D$2:$D$49,MATCH(C856,Products!$A$2:$A$49,0))*(1+INDEX(Assumptions!$B$16:$B$20,MATCH(B856,Assumptions!$A$16:$A$20,0)))</f>
        <v>11764.48</v>
      </c>
      <c r="J856" s="33" t="n">
        <f aca="false">H856-I856</f>
        <v>6715.52</v>
      </c>
      <c r="K856" s="33" t="n">
        <f aca="false">IF(OR(E856=0,E856&gt;=7),0,D856/(7-E856)*E856*INDEX(Products!$E$2:$E$49,MATCH(C856,Products!$A$2:$A$49,0)))</f>
        <v>0</v>
      </c>
    </row>
    <row r="857" customFormat="false" ht="15" hidden="false" customHeight="false" outlineLevel="0" collapsed="false">
      <c r="A857" s="36" t="n">
        <v>46153</v>
      </c>
      <c r="B857" s="24" t="s">
        <v>61</v>
      </c>
      <c r="C857" s="24" t="s">
        <v>183</v>
      </c>
      <c r="D857" s="33" t="n">
        <v>55</v>
      </c>
      <c r="E857" s="24" t="n">
        <v>0</v>
      </c>
      <c r="F857" s="37" t="n">
        <f aca="false">DATE(YEAR(A857),MONTH(A857),1)</f>
        <v>46143</v>
      </c>
      <c r="G857" s="24" t="str">
        <f aca="false">INDEX(Products!$C$2:$C$49,MATCH(C857,Products!$A$2:$A$49,0))</f>
        <v>Personal Care</v>
      </c>
      <c r="H857" s="33" t="n">
        <f aca="false">D857*INDEX(Products!$E$2:$E$49,MATCH(C857,Products!$A$2:$A$49,0))</f>
        <v>18150</v>
      </c>
      <c r="I857" s="33" t="n">
        <f aca="false">D857*INDEX(Products!$D$2:$D$49,MATCH(C857,Products!$A$2:$A$49,0))*(1+INDEX(Assumptions!$B$16:$B$20,MATCH(B857,Assumptions!$A$16:$A$20,0)))</f>
        <v>11554.4</v>
      </c>
      <c r="J857" s="33" t="n">
        <f aca="false">H857-I857</f>
        <v>6595.6</v>
      </c>
      <c r="K857" s="33" t="n">
        <f aca="false">IF(OR(E857=0,E857&gt;=7),0,D857/(7-E857)*E857*INDEX(Products!$E$2:$E$49,MATCH(C857,Products!$A$2:$A$49,0)))</f>
        <v>0</v>
      </c>
    </row>
    <row r="858" customFormat="false" ht="15" hidden="false" customHeight="false" outlineLevel="0" collapsed="false">
      <c r="A858" s="36" t="n">
        <v>46160</v>
      </c>
      <c r="B858" s="24" t="s">
        <v>61</v>
      </c>
      <c r="C858" s="24" t="s">
        <v>183</v>
      </c>
      <c r="D858" s="33" t="n">
        <v>92</v>
      </c>
      <c r="E858" s="24" t="n">
        <v>0</v>
      </c>
      <c r="F858" s="37" t="n">
        <f aca="false">DATE(YEAR(A858),MONTH(A858),1)</f>
        <v>46143</v>
      </c>
      <c r="G858" s="24" t="str">
        <f aca="false">INDEX(Products!$C$2:$C$49,MATCH(C858,Products!$A$2:$A$49,0))</f>
        <v>Personal Care</v>
      </c>
      <c r="H858" s="33" t="n">
        <f aca="false">D858*INDEX(Products!$E$2:$E$49,MATCH(C858,Products!$A$2:$A$49,0))</f>
        <v>30360</v>
      </c>
      <c r="I858" s="33" t="n">
        <f aca="false">D858*INDEX(Products!$D$2:$D$49,MATCH(C858,Products!$A$2:$A$49,0))*(1+INDEX(Assumptions!$B$16:$B$20,MATCH(B858,Assumptions!$A$16:$A$20,0)))</f>
        <v>19327.36</v>
      </c>
      <c r="J858" s="33" t="n">
        <f aca="false">H858-I858</f>
        <v>11032.64</v>
      </c>
      <c r="K858" s="33" t="n">
        <f aca="false">IF(OR(E858=0,E858&gt;=7),0,D858/(7-E858)*E858*INDEX(Products!$E$2:$E$49,MATCH(C858,Products!$A$2:$A$49,0)))</f>
        <v>0</v>
      </c>
    </row>
    <row r="859" customFormat="false" ht="15" hidden="false" customHeight="false" outlineLevel="0" collapsed="false">
      <c r="A859" s="36" t="n">
        <v>46167</v>
      </c>
      <c r="B859" s="24" t="s">
        <v>61</v>
      </c>
      <c r="C859" s="24" t="s">
        <v>183</v>
      </c>
      <c r="D859" s="33" t="n">
        <v>68</v>
      </c>
      <c r="E859" s="24" t="n">
        <v>0</v>
      </c>
      <c r="F859" s="37" t="n">
        <f aca="false">DATE(YEAR(A859),MONTH(A859),1)</f>
        <v>46143</v>
      </c>
      <c r="G859" s="24" t="str">
        <f aca="false">INDEX(Products!$C$2:$C$49,MATCH(C859,Products!$A$2:$A$49,0))</f>
        <v>Personal Care</v>
      </c>
      <c r="H859" s="33" t="n">
        <f aca="false">D859*INDEX(Products!$E$2:$E$49,MATCH(C859,Products!$A$2:$A$49,0))</f>
        <v>22440</v>
      </c>
      <c r="I859" s="33" t="n">
        <f aca="false">D859*INDEX(Products!$D$2:$D$49,MATCH(C859,Products!$A$2:$A$49,0))*(1+INDEX(Assumptions!$B$16:$B$20,MATCH(B859,Assumptions!$A$16:$A$20,0)))</f>
        <v>14285.44</v>
      </c>
      <c r="J859" s="33" t="n">
        <f aca="false">H859-I859</f>
        <v>8154.56</v>
      </c>
      <c r="K859" s="33" t="n">
        <f aca="false">IF(OR(E859=0,E859&gt;=7),0,D859/(7-E859)*E859*INDEX(Products!$E$2:$E$49,MATCH(C859,Products!$A$2:$A$49,0)))</f>
        <v>0</v>
      </c>
    </row>
    <row r="860" customFormat="false" ht="15" hidden="false" customHeight="false" outlineLevel="0" collapsed="false">
      <c r="A860" s="36" t="n">
        <v>46174</v>
      </c>
      <c r="B860" s="24" t="s">
        <v>61</v>
      </c>
      <c r="C860" s="24" t="s">
        <v>183</v>
      </c>
      <c r="D860" s="33" t="n">
        <v>53</v>
      </c>
      <c r="E860" s="24" t="n">
        <v>0</v>
      </c>
      <c r="F860" s="37" t="n">
        <f aca="false">DATE(YEAR(A860),MONTH(A860),1)</f>
        <v>46174</v>
      </c>
      <c r="G860" s="24" t="str">
        <f aca="false">INDEX(Products!$C$2:$C$49,MATCH(C860,Products!$A$2:$A$49,0))</f>
        <v>Personal Care</v>
      </c>
      <c r="H860" s="33" t="n">
        <f aca="false">D860*INDEX(Products!$E$2:$E$49,MATCH(C860,Products!$A$2:$A$49,0))</f>
        <v>17490</v>
      </c>
      <c r="I860" s="33" t="n">
        <f aca="false">D860*INDEX(Products!$D$2:$D$49,MATCH(C860,Products!$A$2:$A$49,0))*(1+INDEX(Assumptions!$B$16:$B$20,MATCH(B860,Assumptions!$A$16:$A$20,0)))</f>
        <v>11134.24</v>
      </c>
      <c r="J860" s="33" t="n">
        <f aca="false">H860-I860</f>
        <v>6355.76</v>
      </c>
      <c r="K860" s="33" t="n">
        <f aca="false">IF(OR(E860=0,E860&gt;=7),0,D860/(7-E860)*E860*INDEX(Products!$E$2:$E$49,MATCH(C860,Products!$A$2:$A$49,0)))</f>
        <v>0</v>
      </c>
    </row>
    <row r="861" customFormat="false" ht="15" hidden="false" customHeight="false" outlineLevel="0" collapsed="false">
      <c r="A861" s="36" t="n">
        <v>46181</v>
      </c>
      <c r="B861" s="24" t="s">
        <v>61</v>
      </c>
      <c r="C861" s="24" t="s">
        <v>183</v>
      </c>
      <c r="D861" s="33" t="n">
        <v>66</v>
      </c>
      <c r="E861" s="24" t="n">
        <v>0</v>
      </c>
      <c r="F861" s="37" t="n">
        <f aca="false">DATE(YEAR(A861),MONTH(A861),1)</f>
        <v>46174</v>
      </c>
      <c r="G861" s="24" t="str">
        <f aca="false">INDEX(Products!$C$2:$C$49,MATCH(C861,Products!$A$2:$A$49,0))</f>
        <v>Personal Care</v>
      </c>
      <c r="H861" s="33" t="n">
        <f aca="false">D861*INDEX(Products!$E$2:$E$49,MATCH(C861,Products!$A$2:$A$49,0))</f>
        <v>21780</v>
      </c>
      <c r="I861" s="33" t="n">
        <f aca="false">D861*INDEX(Products!$D$2:$D$49,MATCH(C861,Products!$A$2:$A$49,0))*(1+INDEX(Assumptions!$B$16:$B$20,MATCH(B861,Assumptions!$A$16:$A$20,0)))</f>
        <v>13865.28</v>
      </c>
      <c r="J861" s="33" t="n">
        <f aca="false">H861-I861</f>
        <v>7914.72</v>
      </c>
      <c r="K861" s="33" t="n">
        <f aca="false">IF(OR(E861=0,E861&gt;=7),0,D861/(7-E861)*E861*INDEX(Products!$E$2:$E$49,MATCH(C861,Products!$A$2:$A$49,0)))</f>
        <v>0</v>
      </c>
    </row>
    <row r="862" customFormat="false" ht="15" hidden="false" customHeight="false" outlineLevel="0" collapsed="false">
      <c r="A862" s="36" t="n">
        <v>46188</v>
      </c>
      <c r="B862" s="24" t="s">
        <v>61</v>
      </c>
      <c r="C862" s="24" t="s">
        <v>183</v>
      </c>
      <c r="D862" s="33" t="n">
        <v>56</v>
      </c>
      <c r="E862" s="24" t="n">
        <v>0</v>
      </c>
      <c r="F862" s="37" t="n">
        <f aca="false">DATE(YEAR(A862),MONTH(A862),1)</f>
        <v>46174</v>
      </c>
      <c r="G862" s="24" t="str">
        <f aca="false">INDEX(Products!$C$2:$C$49,MATCH(C862,Products!$A$2:$A$49,0))</f>
        <v>Personal Care</v>
      </c>
      <c r="H862" s="33" t="n">
        <f aca="false">D862*INDEX(Products!$E$2:$E$49,MATCH(C862,Products!$A$2:$A$49,0))</f>
        <v>18480</v>
      </c>
      <c r="I862" s="33" t="n">
        <f aca="false">D862*INDEX(Products!$D$2:$D$49,MATCH(C862,Products!$A$2:$A$49,0))*(1+INDEX(Assumptions!$B$16:$B$20,MATCH(B862,Assumptions!$A$16:$A$20,0)))</f>
        <v>11764.48</v>
      </c>
      <c r="J862" s="33" t="n">
        <f aca="false">H862-I862</f>
        <v>6715.52</v>
      </c>
      <c r="K862" s="33" t="n">
        <f aca="false">IF(OR(E862=0,E862&gt;=7),0,D862/(7-E862)*E862*INDEX(Products!$E$2:$E$49,MATCH(C862,Products!$A$2:$A$49,0)))</f>
        <v>0</v>
      </c>
    </row>
    <row r="863" customFormat="false" ht="15" hidden="false" customHeight="false" outlineLevel="0" collapsed="false">
      <c r="A863" s="36" t="n">
        <v>46195</v>
      </c>
      <c r="B863" s="24" t="s">
        <v>61</v>
      </c>
      <c r="C863" s="24" t="s">
        <v>183</v>
      </c>
      <c r="D863" s="33" t="n">
        <v>102</v>
      </c>
      <c r="E863" s="24" t="n">
        <v>0</v>
      </c>
      <c r="F863" s="37" t="n">
        <f aca="false">DATE(YEAR(A863),MONTH(A863),1)</f>
        <v>46174</v>
      </c>
      <c r="G863" s="24" t="str">
        <f aca="false">INDEX(Products!$C$2:$C$49,MATCH(C863,Products!$A$2:$A$49,0))</f>
        <v>Personal Care</v>
      </c>
      <c r="H863" s="33" t="n">
        <f aca="false">D863*INDEX(Products!$E$2:$E$49,MATCH(C863,Products!$A$2:$A$49,0))</f>
        <v>33660</v>
      </c>
      <c r="I863" s="33" t="n">
        <f aca="false">D863*INDEX(Products!$D$2:$D$49,MATCH(C863,Products!$A$2:$A$49,0))*(1+INDEX(Assumptions!$B$16:$B$20,MATCH(B863,Assumptions!$A$16:$A$20,0)))</f>
        <v>21428.16</v>
      </c>
      <c r="J863" s="33" t="n">
        <f aca="false">H863-I863</f>
        <v>12231.84</v>
      </c>
      <c r="K863" s="33" t="n">
        <f aca="false">IF(OR(E863=0,E863&gt;=7),0,D863/(7-E863)*E863*INDEX(Products!$E$2:$E$49,MATCH(C863,Products!$A$2:$A$49,0)))</f>
        <v>0</v>
      </c>
    </row>
    <row r="864" customFormat="false" ht="15" hidden="false" customHeight="false" outlineLevel="0" collapsed="false">
      <c r="A864" s="36" t="n">
        <v>46202</v>
      </c>
      <c r="B864" s="24" t="s">
        <v>61</v>
      </c>
      <c r="C864" s="24" t="s">
        <v>183</v>
      </c>
      <c r="D864" s="33" t="n">
        <v>45</v>
      </c>
      <c r="E864" s="24" t="n">
        <v>0</v>
      </c>
      <c r="F864" s="37" t="n">
        <f aca="false">DATE(YEAR(A864),MONTH(A864),1)</f>
        <v>46174</v>
      </c>
      <c r="G864" s="24" t="str">
        <f aca="false">INDEX(Products!$C$2:$C$49,MATCH(C864,Products!$A$2:$A$49,0))</f>
        <v>Personal Care</v>
      </c>
      <c r="H864" s="33" t="n">
        <f aca="false">D864*INDEX(Products!$E$2:$E$49,MATCH(C864,Products!$A$2:$A$49,0))</f>
        <v>14850</v>
      </c>
      <c r="I864" s="33" t="n">
        <f aca="false">D864*INDEX(Products!$D$2:$D$49,MATCH(C864,Products!$A$2:$A$49,0))*(1+INDEX(Assumptions!$B$16:$B$20,MATCH(B864,Assumptions!$A$16:$A$20,0)))</f>
        <v>9453.6</v>
      </c>
      <c r="J864" s="33" t="n">
        <f aca="false">H864-I864</f>
        <v>5396.4</v>
      </c>
      <c r="K864" s="33" t="n">
        <f aca="false">IF(OR(E864=0,E864&gt;=7),0,D864/(7-E864)*E864*INDEX(Products!$E$2:$E$49,MATCH(C864,Products!$A$2:$A$49,0)))</f>
        <v>0</v>
      </c>
    </row>
    <row r="865" customFormat="false" ht="15" hidden="false" customHeight="false" outlineLevel="0" collapsed="false">
      <c r="A865" s="36" t="n">
        <v>46209</v>
      </c>
      <c r="B865" s="24" t="s">
        <v>61</v>
      </c>
      <c r="C865" s="24" t="s">
        <v>183</v>
      </c>
      <c r="D865" s="33" t="n">
        <v>50</v>
      </c>
      <c r="E865" s="24" t="n">
        <v>0</v>
      </c>
      <c r="F865" s="37" t="n">
        <f aca="false">DATE(YEAR(A865),MONTH(A865),1)</f>
        <v>46204</v>
      </c>
      <c r="G865" s="24" t="str">
        <f aca="false">INDEX(Products!$C$2:$C$49,MATCH(C865,Products!$A$2:$A$49,0))</f>
        <v>Personal Care</v>
      </c>
      <c r="H865" s="33" t="n">
        <f aca="false">D865*INDEX(Products!$E$2:$E$49,MATCH(C865,Products!$A$2:$A$49,0))</f>
        <v>16500</v>
      </c>
      <c r="I865" s="33" t="n">
        <f aca="false">D865*INDEX(Products!$D$2:$D$49,MATCH(C865,Products!$A$2:$A$49,0))*(1+INDEX(Assumptions!$B$16:$B$20,MATCH(B865,Assumptions!$A$16:$A$20,0)))</f>
        <v>10504</v>
      </c>
      <c r="J865" s="33" t="n">
        <f aca="false">H865-I865</f>
        <v>5996</v>
      </c>
      <c r="K865" s="33" t="n">
        <f aca="false">IF(OR(E865=0,E865&gt;=7),0,D865/(7-E865)*E865*INDEX(Products!$E$2:$E$49,MATCH(C865,Products!$A$2:$A$49,0)))</f>
        <v>0</v>
      </c>
    </row>
    <row r="866" customFormat="false" ht="15" hidden="false" customHeight="false" outlineLevel="0" collapsed="false">
      <c r="A866" s="36" t="n">
        <v>46216</v>
      </c>
      <c r="B866" s="24" t="s">
        <v>61</v>
      </c>
      <c r="C866" s="24" t="s">
        <v>183</v>
      </c>
      <c r="D866" s="33" t="n">
        <v>37</v>
      </c>
      <c r="E866" s="24" t="n">
        <v>1</v>
      </c>
      <c r="F866" s="37" t="n">
        <f aca="false">DATE(YEAR(A866),MONTH(A866),1)</f>
        <v>46204</v>
      </c>
      <c r="G866" s="24" t="str">
        <f aca="false">INDEX(Products!$C$2:$C$49,MATCH(C866,Products!$A$2:$A$49,0))</f>
        <v>Personal Care</v>
      </c>
      <c r="H866" s="33" t="n">
        <f aca="false">D866*INDEX(Products!$E$2:$E$49,MATCH(C866,Products!$A$2:$A$49,0))</f>
        <v>12210</v>
      </c>
      <c r="I866" s="33" t="n">
        <f aca="false">D866*INDEX(Products!$D$2:$D$49,MATCH(C866,Products!$A$2:$A$49,0))*(1+INDEX(Assumptions!$B$16:$B$20,MATCH(B866,Assumptions!$A$16:$A$20,0)))</f>
        <v>7772.96</v>
      </c>
      <c r="J866" s="33" t="n">
        <f aca="false">H866-I866</f>
        <v>4437.04</v>
      </c>
      <c r="K866" s="33" t="n">
        <f aca="false">IF(OR(E866=0,E866&gt;=7),0,D866/(7-E866)*E866*INDEX(Products!$E$2:$E$49,MATCH(C866,Products!$A$2:$A$49,0)))</f>
        <v>2035</v>
      </c>
    </row>
    <row r="867" customFormat="false" ht="15" hidden="false" customHeight="false" outlineLevel="0" collapsed="false">
      <c r="A867" s="36" t="n">
        <v>46223</v>
      </c>
      <c r="B867" s="24" t="s">
        <v>61</v>
      </c>
      <c r="C867" s="24" t="s">
        <v>183</v>
      </c>
      <c r="D867" s="33" t="n">
        <v>22</v>
      </c>
      <c r="E867" s="24" t="n">
        <v>3</v>
      </c>
      <c r="F867" s="37" t="n">
        <f aca="false">DATE(YEAR(A867),MONTH(A867),1)</f>
        <v>46204</v>
      </c>
      <c r="G867" s="24" t="str">
        <f aca="false">INDEX(Products!$C$2:$C$49,MATCH(C867,Products!$A$2:$A$49,0))</f>
        <v>Personal Care</v>
      </c>
      <c r="H867" s="33" t="n">
        <f aca="false">D867*INDEX(Products!$E$2:$E$49,MATCH(C867,Products!$A$2:$A$49,0))</f>
        <v>7260</v>
      </c>
      <c r="I867" s="33" t="n">
        <f aca="false">D867*INDEX(Products!$D$2:$D$49,MATCH(C867,Products!$A$2:$A$49,0))*(1+INDEX(Assumptions!$B$16:$B$20,MATCH(B867,Assumptions!$A$16:$A$20,0)))</f>
        <v>4621.76</v>
      </c>
      <c r="J867" s="33" t="n">
        <f aca="false">H867-I867</f>
        <v>2638.24</v>
      </c>
      <c r="K867" s="33" t="n">
        <f aca="false">IF(OR(E867=0,E867&gt;=7),0,D867/(7-E867)*E867*INDEX(Products!$E$2:$E$49,MATCH(C867,Products!$A$2:$A$49,0)))</f>
        <v>5445</v>
      </c>
    </row>
    <row r="868" customFormat="false" ht="15" hidden="false" customHeight="false" outlineLevel="0" collapsed="false">
      <c r="A868" s="36" t="n">
        <v>46230</v>
      </c>
      <c r="B868" s="24" t="s">
        <v>61</v>
      </c>
      <c r="C868" s="24" t="s">
        <v>183</v>
      </c>
      <c r="D868" s="33" t="n">
        <v>58</v>
      </c>
      <c r="E868" s="24" t="n">
        <v>0</v>
      </c>
      <c r="F868" s="37" t="n">
        <f aca="false">DATE(YEAR(A868),MONTH(A868),1)</f>
        <v>46204</v>
      </c>
      <c r="G868" s="24" t="str">
        <f aca="false">INDEX(Products!$C$2:$C$49,MATCH(C868,Products!$A$2:$A$49,0))</f>
        <v>Personal Care</v>
      </c>
      <c r="H868" s="33" t="n">
        <f aca="false">D868*INDEX(Products!$E$2:$E$49,MATCH(C868,Products!$A$2:$A$49,0))</f>
        <v>19140</v>
      </c>
      <c r="I868" s="33" t="n">
        <f aca="false">D868*INDEX(Products!$D$2:$D$49,MATCH(C868,Products!$A$2:$A$49,0))*(1+INDEX(Assumptions!$B$16:$B$20,MATCH(B868,Assumptions!$A$16:$A$20,0)))</f>
        <v>12184.64</v>
      </c>
      <c r="J868" s="33" t="n">
        <f aca="false">H868-I868</f>
        <v>6955.36</v>
      </c>
      <c r="K868" s="33" t="n">
        <f aca="false">IF(OR(E868=0,E868&gt;=7),0,D868/(7-E868)*E868*INDEX(Products!$E$2:$E$49,MATCH(C868,Products!$A$2:$A$49,0)))</f>
        <v>0</v>
      </c>
    </row>
    <row r="869" customFormat="false" ht="15" hidden="false" customHeight="false" outlineLevel="0" collapsed="false">
      <c r="A869" s="36" t="n">
        <v>46237</v>
      </c>
      <c r="B869" s="24" t="s">
        <v>61</v>
      </c>
      <c r="C869" s="24" t="s">
        <v>183</v>
      </c>
      <c r="D869" s="33" t="n">
        <v>20</v>
      </c>
      <c r="E869" s="24" t="n">
        <v>4</v>
      </c>
      <c r="F869" s="37" t="n">
        <f aca="false">DATE(YEAR(A869),MONTH(A869),1)</f>
        <v>46235</v>
      </c>
      <c r="G869" s="24" t="str">
        <f aca="false">INDEX(Products!$C$2:$C$49,MATCH(C869,Products!$A$2:$A$49,0))</f>
        <v>Personal Care</v>
      </c>
      <c r="H869" s="33" t="n">
        <f aca="false">D869*INDEX(Products!$E$2:$E$49,MATCH(C869,Products!$A$2:$A$49,0))</f>
        <v>6600</v>
      </c>
      <c r="I869" s="33" t="n">
        <f aca="false">D869*INDEX(Products!$D$2:$D$49,MATCH(C869,Products!$A$2:$A$49,0))*(1+INDEX(Assumptions!$B$16:$B$20,MATCH(B869,Assumptions!$A$16:$A$20,0)))</f>
        <v>4201.6</v>
      </c>
      <c r="J869" s="33" t="n">
        <f aca="false">H869-I869</f>
        <v>2398.4</v>
      </c>
      <c r="K869" s="33" t="n">
        <f aca="false">IF(OR(E869=0,E869&gt;=7),0,D869/(7-E869)*E869*INDEX(Products!$E$2:$E$49,MATCH(C869,Products!$A$2:$A$49,0)))</f>
        <v>8800</v>
      </c>
    </row>
    <row r="870" customFormat="false" ht="15" hidden="false" customHeight="false" outlineLevel="0" collapsed="false">
      <c r="A870" s="36" t="n">
        <v>46244</v>
      </c>
      <c r="B870" s="24" t="s">
        <v>61</v>
      </c>
      <c r="C870" s="24" t="s">
        <v>183</v>
      </c>
      <c r="D870" s="33" t="n">
        <v>52</v>
      </c>
      <c r="E870" s="24" t="n">
        <v>0</v>
      </c>
      <c r="F870" s="37" t="n">
        <f aca="false">DATE(YEAR(A870),MONTH(A870),1)</f>
        <v>46235</v>
      </c>
      <c r="G870" s="24" t="str">
        <f aca="false">INDEX(Products!$C$2:$C$49,MATCH(C870,Products!$A$2:$A$49,0))</f>
        <v>Personal Care</v>
      </c>
      <c r="H870" s="33" t="n">
        <f aca="false">D870*INDEX(Products!$E$2:$E$49,MATCH(C870,Products!$A$2:$A$49,0))</f>
        <v>17160</v>
      </c>
      <c r="I870" s="33" t="n">
        <f aca="false">D870*INDEX(Products!$D$2:$D$49,MATCH(C870,Products!$A$2:$A$49,0))*(1+INDEX(Assumptions!$B$16:$B$20,MATCH(B870,Assumptions!$A$16:$A$20,0)))</f>
        <v>10924.16</v>
      </c>
      <c r="J870" s="33" t="n">
        <f aca="false">H870-I870</f>
        <v>6235.84</v>
      </c>
      <c r="K870" s="33" t="n">
        <f aca="false">IF(OR(E870=0,E870&gt;=7),0,D870/(7-E870)*E870*INDEX(Products!$E$2:$E$49,MATCH(C870,Products!$A$2:$A$49,0)))</f>
        <v>0</v>
      </c>
    </row>
    <row r="871" customFormat="false" ht="15" hidden="false" customHeight="false" outlineLevel="0" collapsed="false">
      <c r="A871" s="36" t="n">
        <v>46251</v>
      </c>
      <c r="B871" s="24" t="s">
        <v>61</v>
      </c>
      <c r="C871" s="24" t="s">
        <v>183</v>
      </c>
      <c r="D871" s="33" t="n">
        <v>57</v>
      </c>
      <c r="E871" s="24" t="n">
        <v>0</v>
      </c>
      <c r="F871" s="37" t="n">
        <f aca="false">DATE(YEAR(A871),MONTH(A871),1)</f>
        <v>46235</v>
      </c>
      <c r="G871" s="24" t="str">
        <f aca="false">INDEX(Products!$C$2:$C$49,MATCH(C871,Products!$A$2:$A$49,0))</f>
        <v>Personal Care</v>
      </c>
      <c r="H871" s="33" t="n">
        <f aca="false">D871*INDEX(Products!$E$2:$E$49,MATCH(C871,Products!$A$2:$A$49,0))</f>
        <v>18810</v>
      </c>
      <c r="I871" s="33" t="n">
        <f aca="false">D871*INDEX(Products!$D$2:$D$49,MATCH(C871,Products!$A$2:$A$49,0))*(1+INDEX(Assumptions!$B$16:$B$20,MATCH(B871,Assumptions!$A$16:$A$20,0)))</f>
        <v>11974.56</v>
      </c>
      <c r="J871" s="33" t="n">
        <f aca="false">H871-I871</f>
        <v>6835.44</v>
      </c>
      <c r="K871" s="33" t="n">
        <f aca="false">IF(OR(E871=0,E871&gt;=7),0,D871/(7-E871)*E871*INDEX(Products!$E$2:$E$49,MATCH(C871,Products!$A$2:$A$49,0)))</f>
        <v>0</v>
      </c>
    </row>
    <row r="872" customFormat="false" ht="15" hidden="false" customHeight="false" outlineLevel="0" collapsed="false">
      <c r="A872" s="36" t="n">
        <v>46258</v>
      </c>
      <c r="B872" s="24" t="s">
        <v>61</v>
      </c>
      <c r="C872" s="24" t="s">
        <v>183</v>
      </c>
      <c r="D872" s="33" t="n">
        <v>47</v>
      </c>
      <c r="E872" s="24" t="n">
        <v>0</v>
      </c>
      <c r="F872" s="37" t="n">
        <f aca="false">DATE(YEAR(A872),MONTH(A872),1)</f>
        <v>46235</v>
      </c>
      <c r="G872" s="24" t="str">
        <f aca="false">INDEX(Products!$C$2:$C$49,MATCH(C872,Products!$A$2:$A$49,0))</f>
        <v>Personal Care</v>
      </c>
      <c r="H872" s="33" t="n">
        <f aca="false">D872*INDEX(Products!$E$2:$E$49,MATCH(C872,Products!$A$2:$A$49,0))</f>
        <v>15510</v>
      </c>
      <c r="I872" s="33" t="n">
        <f aca="false">D872*INDEX(Products!$D$2:$D$49,MATCH(C872,Products!$A$2:$A$49,0))*(1+INDEX(Assumptions!$B$16:$B$20,MATCH(B872,Assumptions!$A$16:$A$20,0)))</f>
        <v>9873.76</v>
      </c>
      <c r="J872" s="33" t="n">
        <f aca="false">H872-I872</f>
        <v>5636.24</v>
      </c>
      <c r="K872" s="33" t="n">
        <f aca="false">IF(OR(E872=0,E872&gt;=7),0,D872/(7-E872)*E872*INDEX(Products!$E$2:$E$49,MATCH(C872,Products!$A$2:$A$49,0)))</f>
        <v>0</v>
      </c>
    </row>
    <row r="873" customFormat="false" ht="15" hidden="false" customHeight="false" outlineLevel="0" collapsed="false">
      <c r="A873" s="36" t="n">
        <v>46265</v>
      </c>
      <c r="B873" s="24" t="s">
        <v>61</v>
      </c>
      <c r="C873" s="24" t="s">
        <v>183</v>
      </c>
      <c r="D873" s="33" t="n">
        <v>50</v>
      </c>
      <c r="E873" s="24" t="n">
        <v>0</v>
      </c>
      <c r="F873" s="37" t="n">
        <f aca="false">DATE(YEAR(A873),MONTH(A873),1)</f>
        <v>46235</v>
      </c>
      <c r="G873" s="24" t="str">
        <f aca="false">INDEX(Products!$C$2:$C$49,MATCH(C873,Products!$A$2:$A$49,0))</f>
        <v>Personal Care</v>
      </c>
      <c r="H873" s="33" t="n">
        <f aca="false">D873*INDEX(Products!$E$2:$E$49,MATCH(C873,Products!$A$2:$A$49,0))</f>
        <v>16500</v>
      </c>
      <c r="I873" s="33" t="n">
        <f aca="false">D873*INDEX(Products!$D$2:$D$49,MATCH(C873,Products!$A$2:$A$49,0))*(1+INDEX(Assumptions!$B$16:$B$20,MATCH(B873,Assumptions!$A$16:$A$20,0)))</f>
        <v>10504</v>
      </c>
      <c r="J873" s="33" t="n">
        <f aca="false">H873-I873</f>
        <v>5996</v>
      </c>
      <c r="K873" s="33" t="n">
        <f aca="false">IF(OR(E873=0,E873&gt;=7),0,D873/(7-E873)*E873*INDEX(Products!$E$2:$E$49,MATCH(C873,Products!$A$2:$A$49,0)))</f>
        <v>0</v>
      </c>
    </row>
    <row r="874" customFormat="false" ht="15" hidden="false" customHeight="false" outlineLevel="0" collapsed="false">
      <c r="A874" s="36" t="n">
        <v>46272</v>
      </c>
      <c r="B874" s="24" t="s">
        <v>61</v>
      </c>
      <c r="C874" s="24" t="s">
        <v>183</v>
      </c>
      <c r="D874" s="33" t="n">
        <v>41</v>
      </c>
      <c r="E874" s="24" t="n">
        <v>0</v>
      </c>
      <c r="F874" s="37" t="n">
        <f aca="false">DATE(YEAR(A874),MONTH(A874),1)</f>
        <v>46266</v>
      </c>
      <c r="G874" s="24" t="str">
        <f aca="false">INDEX(Products!$C$2:$C$49,MATCH(C874,Products!$A$2:$A$49,0))</f>
        <v>Personal Care</v>
      </c>
      <c r="H874" s="33" t="n">
        <f aca="false">D874*INDEX(Products!$E$2:$E$49,MATCH(C874,Products!$A$2:$A$49,0))</f>
        <v>13530</v>
      </c>
      <c r="I874" s="33" t="n">
        <f aca="false">D874*INDEX(Products!$D$2:$D$49,MATCH(C874,Products!$A$2:$A$49,0))*(1+INDEX(Assumptions!$B$16:$B$20,MATCH(B874,Assumptions!$A$16:$A$20,0)))</f>
        <v>8613.28</v>
      </c>
      <c r="J874" s="33" t="n">
        <f aca="false">H874-I874</f>
        <v>4916.72</v>
      </c>
      <c r="K874" s="33" t="n">
        <f aca="false">IF(OR(E874=0,E874&gt;=7),0,D874/(7-E874)*E874*INDEX(Products!$E$2:$E$49,MATCH(C874,Products!$A$2:$A$49,0)))</f>
        <v>0</v>
      </c>
    </row>
    <row r="875" customFormat="false" ht="15" hidden="false" customHeight="false" outlineLevel="0" collapsed="false">
      <c r="A875" s="36" t="n">
        <v>46279</v>
      </c>
      <c r="B875" s="24" t="s">
        <v>61</v>
      </c>
      <c r="C875" s="24" t="s">
        <v>183</v>
      </c>
      <c r="D875" s="33" t="n">
        <v>42</v>
      </c>
      <c r="E875" s="24" t="n">
        <v>0</v>
      </c>
      <c r="F875" s="37" t="n">
        <f aca="false">DATE(YEAR(A875),MONTH(A875),1)</f>
        <v>46266</v>
      </c>
      <c r="G875" s="24" t="str">
        <f aca="false">INDEX(Products!$C$2:$C$49,MATCH(C875,Products!$A$2:$A$49,0))</f>
        <v>Personal Care</v>
      </c>
      <c r="H875" s="33" t="n">
        <f aca="false">D875*INDEX(Products!$E$2:$E$49,MATCH(C875,Products!$A$2:$A$49,0))</f>
        <v>13860</v>
      </c>
      <c r="I875" s="33" t="n">
        <f aca="false">D875*INDEX(Products!$D$2:$D$49,MATCH(C875,Products!$A$2:$A$49,0))*(1+INDEX(Assumptions!$B$16:$B$20,MATCH(B875,Assumptions!$A$16:$A$20,0)))</f>
        <v>8823.36</v>
      </c>
      <c r="J875" s="33" t="n">
        <f aca="false">H875-I875</f>
        <v>5036.64</v>
      </c>
      <c r="K875" s="33" t="n">
        <f aca="false">IF(OR(E875=0,E875&gt;=7),0,D875/(7-E875)*E875*INDEX(Products!$E$2:$E$49,MATCH(C875,Products!$A$2:$A$49,0)))</f>
        <v>0</v>
      </c>
    </row>
    <row r="876" customFormat="false" ht="15" hidden="false" customHeight="false" outlineLevel="0" collapsed="false">
      <c r="A876" s="36" t="n">
        <v>46286</v>
      </c>
      <c r="B876" s="24" t="s">
        <v>61</v>
      </c>
      <c r="C876" s="24" t="s">
        <v>183</v>
      </c>
      <c r="D876" s="33" t="n">
        <v>55</v>
      </c>
      <c r="E876" s="24" t="n">
        <v>0</v>
      </c>
      <c r="F876" s="37" t="n">
        <f aca="false">DATE(YEAR(A876),MONTH(A876),1)</f>
        <v>46266</v>
      </c>
      <c r="G876" s="24" t="str">
        <f aca="false">INDEX(Products!$C$2:$C$49,MATCH(C876,Products!$A$2:$A$49,0))</f>
        <v>Personal Care</v>
      </c>
      <c r="H876" s="33" t="n">
        <f aca="false">D876*INDEX(Products!$E$2:$E$49,MATCH(C876,Products!$A$2:$A$49,0))</f>
        <v>18150</v>
      </c>
      <c r="I876" s="33" t="n">
        <f aca="false">D876*INDEX(Products!$D$2:$D$49,MATCH(C876,Products!$A$2:$A$49,0))*(1+INDEX(Assumptions!$B$16:$B$20,MATCH(B876,Assumptions!$A$16:$A$20,0)))</f>
        <v>11554.4</v>
      </c>
      <c r="J876" s="33" t="n">
        <f aca="false">H876-I876</f>
        <v>6595.6</v>
      </c>
      <c r="K876" s="33" t="n">
        <f aca="false">IF(OR(E876=0,E876&gt;=7),0,D876/(7-E876)*E876*INDEX(Products!$E$2:$E$49,MATCH(C876,Products!$A$2:$A$49,0)))</f>
        <v>0</v>
      </c>
    </row>
    <row r="877" customFormat="false" ht="15" hidden="false" customHeight="false" outlineLevel="0" collapsed="false">
      <c r="A877" s="36" t="n">
        <v>46118</v>
      </c>
      <c r="B877" s="24" t="s">
        <v>61</v>
      </c>
      <c r="C877" s="24" t="s">
        <v>185</v>
      </c>
      <c r="D877" s="33" t="n">
        <v>116</v>
      </c>
      <c r="E877" s="24" t="n">
        <v>0</v>
      </c>
      <c r="F877" s="37" t="n">
        <f aca="false">DATE(YEAR(A877),MONTH(A877),1)</f>
        <v>46113</v>
      </c>
      <c r="G877" s="24" t="str">
        <f aca="false">INDEX(Products!$C$2:$C$49,MATCH(C877,Products!$A$2:$A$49,0))</f>
        <v>Personal Care</v>
      </c>
      <c r="H877" s="33" t="n">
        <f aca="false">D877*INDEX(Products!$E$2:$E$49,MATCH(C877,Products!$A$2:$A$49,0))</f>
        <v>32480</v>
      </c>
      <c r="I877" s="33" t="n">
        <f aca="false">D877*INDEX(Products!$D$2:$D$49,MATCH(C877,Products!$A$2:$A$49,0))*(1+INDEX(Assumptions!$B$16:$B$20,MATCH(B877,Assumptions!$A$16:$A$20,0)))</f>
        <v>22846.2</v>
      </c>
      <c r="J877" s="33" t="n">
        <f aca="false">H877-I877</f>
        <v>9633.8</v>
      </c>
      <c r="K877" s="33" t="n">
        <f aca="false">IF(OR(E877=0,E877&gt;=7),0,D877/(7-E877)*E877*INDEX(Products!$E$2:$E$49,MATCH(C877,Products!$A$2:$A$49,0)))</f>
        <v>0</v>
      </c>
    </row>
    <row r="878" customFormat="false" ht="15" hidden="false" customHeight="false" outlineLevel="0" collapsed="false">
      <c r="A878" s="36" t="n">
        <v>46125</v>
      </c>
      <c r="B878" s="24" t="s">
        <v>61</v>
      </c>
      <c r="C878" s="24" t="s">
        <v>185</v>
      </c>
      <c r="D878" s="33" t="n">
        <v>118</v>
      </c>
      <c r="E878" s="24" t="n">
        <v>0</v>
      </c>
      <c r="F878" s="37" t="n">
        <f aca="false">DATE(YEAR(A878),MONTH(A878),1)</f>
        <v>46113</v>
      </c>
      <c r="G878" s="24" t="str">
        <f aca="false">INDEX(Products!$C$2:$C$49,MATCH(C878,Products!$A$2:$A$49,0))</f>
        <v>Personal Care</v>
      </c>
      <c r="H878" s="33" t="n">
        <f aca="false">D878*INDEX(Products!$E$2:$E$49,MATCH(C878,Products!$A$2:$A$49,0))</f>
        <v>33040</v>
      </c>
      <c r="I878" s="33" t="n">
        <f aca="false">D878*INDEX(Products!$D$2:$D$49,MATCH(C878,Products!$A$2:$A$49,0))*(1+INDEX(Assumptions!$B$16:$B$20,MATCH(B878,Assumptions!$A$16:$A$20,0)))</f>
        <v>23240.1</v>
      </c>
      <c r="J878" s="33" t="n">
        <f aca="false">H878-I878</f>
        <v>9799.9</v>
      </c>
      <c r="K878" s="33" t="n">
        <f aca="false">IF(OR(E878=0,E878&gt;=7),0,D878/(7-E878)*E878*INDEX(Products!$E$2:$E$49,MATCH(C878,Products!$A$2:$A$49,0)))</f>
        <v>0</v>
      </c>
    </row>
    <row r="879" customFormat="false" ht="15" hidden="false" customHeight="false" outlineLevel="0" collapsed="false">
      <c r="A879" s="36" t="n">
        <v>46132</v>
      </c>
      <c r="B879" s="24" t="s">
        <v>61</v>
      </c>
      <c r="C879" s="24" t="s">
        <v>185</v>
      </c>
      <c r="D879" s="33" t="n">
        <v>142</v>
      </c>
      <c r="E879" s="24" t="n">
        <v>0</v>
      </c>
      <c r="F879" s="37" t="n">
        <f aca="false">DATE(YEAR(A879),MONTH(A879),1)</f>
        <v>46113</v>
      </c>
      <c r="G879" s="24" t="str">
        <f aca="false">INDEX(Products!$C$2:$C$49,MATCH(C879,Products!$A$2:$A$49,0))</f>
        <v>Personal Care</v>
      </c>
      <c r="H879" s="33" t="n">
        <f aca="false">D879*INDEX(Products!$E$2:$E$49,MATCH(C879,Products!$A$2:$A$49,0))</f>
        <v>39760</v>
      </c>
      <c r="I879" s="33" t="n">
        <f aca="false">D879*INDEX(Products!$D$2:$D$49,MATCH(C879,Products!$A$2:$A$49,0))*(1+INDEX(Assumptions!$B$16:$B$20,MATCH(B879,Assumptions!$A$16:$A$20,0)))</f>
        <v>27966.9</v>
      </c>
      <c r="J879" s="33" t="n">
        <f aca="false">H879-I879</f>
        <v>11793.1</v>
      </c>
      <c r="K879" s="33" t="n">
        <f aca="false">IF(OR(E879=0,E879&gt;=7),0,D879/(7-E879)*E879*INDEX(Products!$E$2:$E$49,MATCH(C879,Products!$A$2:$A$49,0)))</f>
        <v>0</v>
      </c>
    </row>
    <row r="880" customFormat="false" ht="15" hidden="false" customHeight="false" outlineLevel="0" collapsed="false">
      <c r="A880" s="36" t="n">
        <v>46139</v>
      </c>
      <c r="B880" s="24" t="s">
        <v>61</v>
      </c>
      <c r="C880" s="24" t="s">
        <v>185</v>
      </c>
      <c r="D880" s="33" t="n">
        <v>150</v>
      </c>
      <c r="E880" s="24" t="n">
        <v>0</v>
      </c>
      <c r="F880" s="37" t="n">
        <f aca="false">DATE(YEAR(A880),MONTH(A880),1)</f>
        <v>46113</v>
      </c>
      <c r="G880" s="24" t="str">
        <f aca="false">INDEX(Products!$C$2:$C$49,MATCH(C880,Products!$A$2:$A$49,0))</f>
        <v>Personal Care</v>
      </c>
      <c r="H880" s="33" t="n">
        <f aca="false">D880*INDEX(Products!$E$2:$E$49,MATCH(C880,Products!$A$2:$A$49,0))</f>
        <v>42000</v>
      </c>
      <c r="I880" s="33" t="n">
        <f aca="false">D880*INDEX(Products!$D$2:$D$49,MATCH(C880,Products!$A$2:$A$49,0))*(1+INDEX(Assumptions!$B$16:$B$20,MATCH(B880,Assumptions!$A$16:$A$20,0)))</f>
        <v>29542.5</v>
      </c>
      <c r="J880" s="33" t="n">
        <f aca="false">H880-I880</f>
        <v>12457.5</v>
      </c>
      <c r="K880" s="33" t="n">
        <f aca="false">IF(OR(E880=0,E880&gt;=7),0,D880/(7-E880)*E880*INDEX(Products!$E$2:$E$49,MATCH(C880,Products!$A$2:$A$49,0)))</f>
        <v>0</v>
      </c>
    </row>
    <row r="881" customFormat="false" ht="15" hidden="false" customHeight="false" outlineLevel="0" collapsed="false">
      <c r="A881" s="36" t="n">
        <v>46146</v>
      </c>
      <c r="B881" s="24" t="s">
        <v>61</v>
      </c>
      <c r="C881" s="24" t="s">
        <v>185</v>
      </c>
      <c r="D881" s="33" t="n">
        <v>134</v>
      </c>
      <c r="E881" s="24" t="n">
        <v>0</v>
      </c>
      <c r="F881" s="37" t="n">
        <f aca="false">DATE(YEAR(A881),MONTH(A881),1)</f>
        <v>46143</v>
      </c>
      <c r="G881" s="24" t="str">
        <f aca="false">INDEX(Products!$C$2:$C$49,MATCH(C881,Products!$A$2:$A$49,0))</f>
        <v>Personal Care</v>
      </c>
      <c r="H881" s="33" t="n">
        <f aca="false">D881*INDEX(Products!$E$2:$E$49,MATCH(C881,Products!$A$2:$A$49,0))</f>
        <v>37520</v>
      </c>
      <c r="I881" s="33" t="n">
        <f aca="false">D881*INDEX(Products!$D$2:$D$49,MATCH(C881,Products!$A$2:$A$49,0))*(1+INDEX(Assumptions!$B$16:$B$20,MATCH(B881,Assumptions!$A$16:$A$20,0)))</f>
        <v>26391.3</v>
      </c>
      <c r="J881" s="33" t="n">
        <f aca="false">H881-I881</f>
        <v>11128.7</v>
      </c>
      <c r="K881" s="33" t="n">
        <f aca="false">IF(OR(E881=0,E881&gt;=7),0,D881/(7-E881)*E881*INDEX(Products!$E$2:$E$49,MATCH(C881,Products!$A$2:$A$49,0)))</f>
        <v>0</v>
      </c>
    </row>
    <row r="882" customFormat="false" ht="15" hidden="false" customHeight="false" outlineLevel="0" collapsed="false">
      <c r="A882" s="36" t="n">
        <v>46153</v>
      </c>
      <c r="B882" s="24" t="s">
        <v>61</v>
      </c>
      <c r="C882" s="24" t="s">
        <v>185</v>
      </c>
      <c r="D882" s="33" t="n">
        <v>152</v>
      </c>
      <c r="E882" s="24" t="n">
        <v>0</v>
      </c>
      <c r="F882" s="37" t="n">
        <f aca="false">DATE(YEAR(A882),MONTH(A882),1)</f>
        <v>46143</v>
      </c>
      <c r="G882" s="24" t="str">
        <f aca="false">INDEX(Products!$C$2:$C$49,MATCH(C882,Products!$A$2:$A$49,0))</f>
        <v>Personal Care</v>
      </c>
      <c r="H882" s="33" t="n">
        <f aca="false">D882*INDEX(Products!$E$2:$E$49,MATCH(C882,Products!$A$2:$A$49,0))</f>
        <v>42560</v>
      </c>
      <c r="I882" s="33" t="n">
        <f aca="false">D882*INDEX(Products!$D$2:$D$49,MATCH(C882,Products!$A$2:$A$49,0))*(1+INDEX(Assumptions!$B$16:$B$20,MATCH(B882,Assumptions!$A$16:$A$20,0)))</f>
        <v>29936.4</v>
      </c>
      <c r="J882" s="33" t="n">
        <f aca="false">H882-I882</f>
        <v>12623.6</v>
      </c>
      <c r="K882" s="33" t="n">
        <f aca="false">IF(OR(E882=0,E882&gt;=7),0,D882/(7-E882)*E882*INDEX(Products!$E$2:$E$49,MATCH(C882,Products!$A$2:$A$49,0)))</f>
        <v>0</v>
      </c>
    </row>
    <row r="883" customFormat="false" ht="15" hidden="false" customHeight="false" outlineLevel="0" collapsed="false">
      <c r="A883" s="36" t="n">
        <v>46160</v>
      </c>
      <c r="B883" s="24" t="s">
        <v>61</v>
      </c>
      <c r="C883" s="24" t="s">
        <v>185</v>
      </c>
      <c r="D883" s="33" t="n">
        <v>128</v>
      </c>
      <c r="E883" s="24" t="n">
        <v>0</v>
      </c>
      <c r="F883" s="37" t="n">
        <f aca="false">DATE(YEAR(A883),MONTH(A883),1)</f>
        <v>46143</v>
      </c>
      <c r="G883" s="24" t="str">
        <f aca="false">INDEX(Products!$C$2:$C$49,MATCH(C883,Products!$A$2:$A$49,0))</f>
        <v>Personal Care</v>
      </c>
      <c r="H883" s="33" t="n">
        <f aca="false">D883*INDEX(Products!$E$2:$E$49,MATCH(C883,Products!$A$2:$A$49,0))</f>
        <v>35840</v>
      </c>
      <c r="I883" s="33" t="n">
        <f aca="false">D883*INDEX(Products!$D$2:$D$49,MATCH(C883,Products!$A$2:$A$49,0))*(1+INDEX(Assumptions!$B$16:$B$20,MATCH(B883,Assumptions!$A$16:$A$20,0)))</f>
        <v>25209.6</v>
      </c>
      <c r="J883" s="33" t="n">
        <f aca="false">H883-I883</f>
        <v>10630.4</v>
      </c>
      <c r="K883" s="33" t="n">
        <f aca="false">IF(OR(E883=0,E883&gt;=7),0,D883/(7-E883)*E883*INDEX(Products!$E$2:$E$49,MATCH(C883,Products!$A$2:$A$49,0)))</f>
        <v>0</v>
      </c>
    </row>
    <row r="884" customFormat="false" ht="15" hidden="false" customHeight="false" outlineLevel="0" collapsed="false">
      <c r="A884" s="36" t="n">
        <v>46167</v>
      </c>
      <c r="B884" s="24" t="s">
        <v>61</v>
      </c>
      <c r="C884" s="24" t="s">
        <v>185</v>
      </c>
      <c r="D884" s="33" t="n">
        <v>124</v>
      </c>
      <c r="E884" s="24" t="n">
        <v>0</v>
      </c>
      <c r="F884" s="37" t="n">
        <f aca="false">DATE(YEAR(A884),MONTH(A884),1)</f>
        <v>46143</v>
      </c>
      <c r="G884" s="24" t="str">
        <f aca="false">INDEX(Products!$C$2:$C$49,MATCH(C884,Products!$A$2:$A$49,0))</f>
        <v>Personal Care</v>
      </c>
      <c r="H884" s="33" t="n">
        <f aca="false">D884*INDEX(Products!$E$2:$E$49,MATCH(C884,Products!$A$2:$A$49,0))</f>
        <v>34720</v>
      </c>
      <c r="I884" s="33" t="n">
        <f aca="false">D884*INDEX(Products!$D$2:$D$49,MATCH(C884,Products!$A$2:$A$49,0))*(1+INDEX(Assumptions!$B$16:$B$20,MATCH(B884,Assumptions!$A$16:$A$20,0)))</f>
        <v>24421.8</v>
      </c>
      <c r="J884" s="33" t="n">
        <f aca="false">H884-I884</f>
        <v>10298.2</v>
      </c>
      <c r="K884" s="33" t="n">
        <f aca="false">IF(OR(E884=0,E884&gt;=7),0,D884/(7-E884)*E884*INDEX(Products!$E$2:$E$49,MATCH(C884,Products!$A$2:$A$49,0)))</f>
        <v>0</v>
      </c>
    </row>
    <row r="885" customFormat="false" ht="15" hidden="false" customHeight="false" outlineLevel="0" collapsed="false">
      <c r="A885" s="36" t="n">
        <v>46174</v>
      </c>
      <c r="B885" s="24" t="s">
        <v>61</v>
      </c>
      <c r="C885" s="24" t="s">
        <v>185</v>
      </c>
      <c r="D885" s="33" t="n">
        <v>121</v>
      </c>
      <c r="E885" s="24" t="n">
        <v>0</v>
      </c>
      <c r="F885" s="37" t="n">
        <f aca="false">DATE(YEAR(A885),MONTH(A885),1)</f>
        <v>46174</v>
      </c>
      <c r="G885" s="24" t="str">
        <f aca="false">INDEX(Products!$C$2:$C$49,MATCH(C885,Products!$A$2:$A$49,0))</f>
        <v>Personal Care</v>
      </c>
      <c r="H885" s="33" t="n">
        <f aca="false">D885*INDEX(Products!$E$2:$E$49,MATCH(C885,Products!$A$2:$A$49,0))</f>
        <v>33880</v>
      </c>
      <c r="I885" s="33" t="n">
        <f aca="false">D885*INDEX(Products!$D$2:$D$49,MATCH(C885,Products!$A$2:$A$49,0))*(1+INDEX(Assumptions!$B$16:$B$20,MATCH(B885,Assumptions!$A$16:$A$20,0)))</f>
        <v>23830.95</v>
      </c>
      <c r="J885" s="33" t="n">
        <f aca="false">H885-I885</f>
        <v>10049.05</v>
      </c>
      <c r="K885" s="33" t="n">
        <f aca="false">IF(OR(E885=0,E885&gt;=7),0,D885/(7-E885)*E885*INDEX(Products!$E$2:$E$49,MATCH(C885,Products!$A$2:$A$49,0)))</f>
        <v>0</v>
      </c>
    </row>
    <row r="886" customFormat="false" ht="15" hidden="false" customHeight="false" outlineLevel="0" collapsed="false">
      <c r="A886" s="36" t="n">
        <v>46181</v>
      </c>
      <c r="B886" s="24" t="s">
        <v>61</v>
      </c>
      <c r="C886" s="24" t="s">
        <v>185</v>
      </c>
      <c r="D886" s="33" t="n">
        <v>121</v>
      </c>
      <c r="E886" s="24" t="n">
        <v>0</v>
      </c>
      <c r="F886" s="37" t="n">
        <f aca="false">DATE(YEAR(A886),MONTH(A886),1)</f>
        <v>46174</v>
      </c>
      <c r="G886" s="24" t="str">
        <f aca="false">INDEX(Products!$C$2:$C$49,MATCH(C886,Products!$A$2:$A$49,0))</f>
        <v>Personal Care</v>
      </c>
      <c r="H886" s="33" t="n">
        <f aca="false">D886*INDEX(Products!$E$2:$E$49,MATCH(C886,Products!$A$2:$A$49,0))</f>
        <v>33880</v>
      </c>
      <c r="I886" s="33" t="n">
        <f aca="false">D886*INDEX(Products!$D$2:$D$49,MATCH(C886,Products!$A$2:$A$49,0))*(1+INDEX(Assumptions!$B$16:$B$20,MATCH(B886,Assumptions!$A$16:$A$20,0)))</f>
        <v>23830.95</v>
      </c>
      <c r="J886" s="33" t="n">
        <f aca="false">H886-I886</f>
        <v>10049.05</v>
      </c>
      <c r="K886" s="33" t="n">
        <f aca="false">IF(OR(E886=0,E886&gt;=7),0,D886/(7-E886)*E886*INDEX(Products!$E$2:$E$49,MATCH(C886,Products!$A$2:$A$49,0)))</f>
        <v>0</v>
      </c>
    </row>
    <row r="887" customFormat="false" ht="15" hidden="false" customHeight="false" outlineLevel="0" collapsed="false">
      <c r="A887" s="36" t="n">
        <v>46188</v>
      </c>
      <c r="B887" s="24" t="s">
        <v>61</v>
      </c>
      <c r="C887" s="24" t="s">
        <v>185</v>
      </c>
      <c r="D887" s="33" t="n">
        <v>123</v>
      </c>
      <c r="E887" s="24" t="n">
        <v>0</v>
      </c>
      <c r="F887" s="37" t="n">
        <f aca="false">DATE(YEAR(A887),MONTH(A887),1)</f>
        <v>46174</v>
      </c>
      <c r="G887" s="24" t="str">
        <f aca="false">INDEX(Products!$C$2:$C$49,MATCH(C887,Products!$A$2:$A$49,0))</f>
        <v>Personal Care</v>
      </c>
      <c r="H887" s="33" t="n">
        <f aca="false">D887*INDEX(Products!$E$2:$E$49,MATCH(C887,Products!$A$2:$A$49,0))</f>
        <v>34440</v>
      </c>
      <c r="I887" s="33" t="n">
        <f aca="false">D887*INDEX(Products!$D$2:$D$49,MATCH(C887,Products!$A$2:$A$49,0))*(1+INDEX(Assumptions!$B$16:$B$20,MATCH(B887,Assumptions!$A$16:$A$20,0)))</f>
        <v>24224.85</v>
      </c>
      <c r="J887" s="33" t="n">
        <f aca="false">H887-I887</f>
        <v>10215.15</v>
      </c>
      <c r="K887" s="33" t="n">
        <f aca="false">IF(OR(E887=0,E887&gt;=7),0,D887/(7-E887)*E887*INDEX(Products!$E$2:$E$49,MATCH(C887,Products!$A$2:$A$49,0)))</f>
        <v>0</v>
      </c>
    </row>
    <row r="888" customFormat="false" ht="15" hidden="false" customHeight="false" outlineLevel="0" collapsed="false">
      <c r="A888" s="36" t="n">
        <v>46195</v>
      </c>
      <c r="B888" s="24" t="s">
        <v>61</v>
      </c>
      <c r="C888" s="24" t="s">
        <v>185</v>
      </c>
      <c r="D888" s="33" t="n">
        <v>130</v>
      </c>
      <c r="E888" s="24" t="n">
        <v>0</v>
      </c>
      <c r="F888" s="37" t="n">
        <f aca="false">DATE(YEAR(A888),MONTH(A888),1)</f>
        <v>46174</v>
      </c>
      <c r="G888" s="24" t="str">
        <f aca="false">INDEX(Products!$C$2:$C$49,MATCH(C888,Products!$A$2:$A$49,0))</f>
        <v>Personal Care</v>
      </c>
      <c r="H888" s="33" t="n">
        <f aca="false">D888*INDEX(Products!$E$2:$E$49,MATCH(C888,Products!$A$2:$A$49,0))</f>
        <v>36400</v>
      </c>
      <c r="I888" s="33" t="n">
        <f aca="false">D888*INDEX(Products!$D$2:$D$49,MATCH(C888,Products!$A$2:$A$49,0))*(1+INDEX(Assumptions!$B$16:$B$20,MATCH(B888,Assumptions!$A$16:$A$20,0)))</f>
        <v>25603.5</v>
      </c>
      <c r="J888" s="33" t="n">
        <f aca="false">H888-I888</f>
        <v>10796.5</v>
      </c>
      <c r="K888" s="33" t="n">
        <f aca="false">IF(OR(E888=0,E888&gt;=7),0,D888/(7-E888)*E888*INDEX(Products!$E$2:$E$49,MATCH(C888,Products!$A$2:$A$49,0)))</f>
        <v>0</v>
      </c>
    </row>
    <row r="889" customFormat="false" ht="15" hidden="false" customHeight="false" outlineLevel="0" collapsed="false">
      <c r="A889" s="36" t="n">
        <v>46202</v>
      </c>
      <c r="B889" s="24" t="s">
        <v>61</v>
      </c>
      <c r="C889" s="24" t="s">
        <v>185</v>
      </c>
      <c r="D889" s="33" t="n">
        <v>136</v>
      </c>
      <c r="E889" s="24" t="n">
        <v>0</v>
      </c>
      <c r="F889" s="37" t="n">
        <f aca="false">DATE(YEAR(A889),MONTH(A889),1)</f>
        <v>46174</v>
      </c>
      <c r="G889" s="24" t="str">
        <f aca="false">INDEX(Products!$C$2:$C$49,MATCH(C889,Products!$A$2:$A$49,0))</f>
        <v>Personal Care</v>
      </c>
      <c r="H889" s="33" t="n">
        <f aca="false">D889*INDEX(Products!$E$2:$E$49,MATCH(C889,Products!$A$2:$A$49,0))</f>
        <v>38080</v>
      </c>
      <c r="I889" s="33" t="n">
        <f aca="false">D889*INDEX(Products!$D$2:$D$49,MATCH(C889,Products!$A$2:$A$49,0))*(1+INDEX(Assumptions!$B$16:$B$20,MATCH(B889,Assumptions!$A$16:$A$20,0)))</f>
        <v>26785.2</v>
      </c>
      <c r="J889" s="33" t="n">
        <f aca="false">H889-I889</f>
        <v>11294.8</v>
      </c>
      <c r="K889" s="33" t="n">
        <f aca="false">IF(OR(E889=0,E889&gt;=7),0,D889/(7-E889)*E889*INDEX(Products!$E$2:$E$49,MATCH(C889,Products!$A$2:$A$49,0)))</f>
        <v>0</v>
      </c>
    </row>
    <row r="890" customFormat="false" ht="15" hidden="false" customHeight="false" outlineLevel="0" collapsed="false">
      <c r="A890" s="36" t="n">
        <v>46209</v>
      </c>
      <c r="B890" s="24" t="s">
        <v>61</v>
      </c>
      <c r="C890" s="24" t="s">
        <v>185</v>
      </c>
      <c r="D890" s="33" t="n">
        <v>108</v>
      </c>
      <c r="E890" s="24" t="n">
        <v>1</v>
      </c>
      <c r="F890" s="37" t="n">
        <f aca="false">DATE(YEAR(A890),MONTH(A890),1)</f>
        <v>46204</v>
      </c>
      <c r="G890" s="24" t="str">
        <f aca="false">INDEX(Products!$C$2:$C$49,MATCH(C890,Products!$A$2:$A$49,0))</f>
        <v>Personal Care</v>
      </c>
      <c r="H890" s="33" t="n">
        <f aca="false">D890*INDEX(Products!$E$2:$E$49,MATCH(C890,Products!$A$2:$A$49,0))</f>
        <v>30240</v>
      </c>
      <c r="I890" s="33" t="n">
        <f aca="false">D890*INDEX(Products!$D$2:$D$49,MATCH(C890,Products!$A$2:$A$49,0))*(1+INDEX(Assumptions!$B$16:$B$20,MATCH(B890,Assumptions!$A$16:$A$20,0)))</f>
        <v>21270.6</v>
      </c>
      <c r="J890" s="33" t="n">
        <f aca="false">H890-I890</f>
        <v>8969.4</v>
      </c>
      <c r="K890" s="33" t="n">
        <f aca="false">IF(OR(E890=0,E890&gt;=7),0,D890/(7-E890)*E890*INDEX(Products!$E$2:$E$49,MATCH(C890,Products!$A$2:$A$49,0)))</f>
        <v>5040</v>
      </c>
    </row>
    <row r="891" customFormat="false" ht="15" hidden="false" customHeight="false" outlineLevel="0" collapsed="false">
      <c r="A891" s="36" t="n">
        <v>46216</v>
      </c>
      <c r="B891" s="24" t="s">
        <v>61</v>
      </c>
      <c r="C891" s="24" t="s">
        <v>185</v>
      </c>
      <c r="D891" s="33" t="n">
        <v>97</v>
      </c>
      <c r="E891" s="24" t="n">
        <v>0</v>
      </c>
      <c r="F891" s="37" t="n">
        <f aca="false">DATE(YEAR(A891),MONTH(A891),1)</f>
        <v>46204</v>
      </c>
      <c r="G891" s="24" t="str">
        <f aca="false">INDEX(Products!$C$2:$C$49,MATCH(C891,Products!$A$2:$A$49,0))</f>
        <v>Personal Care</v>
      </c>
      <c r="H891" s="33" t="n">
        <f aca="false">D891*INDEX(Products!$E$2:$E$49,MATCH(C891,Products!$A$2:$A$49,0))</f>
        <v>27160</v>
      </c>
      <c r="I891" s="33" t="n">
        <f aca="false">D891*INDEX(Products!$D$2:$D$49,MATCH(C891,Products!$A$2:$A$49,0))*(1+INDEX(Assumptions!$B$16:$B$20,MATCH(B891,Assumptions!$A$16:$A$20,0)))</f>
        <v>19104.15</v>
      </c>
      <c r="J891" s="33" t="n">
        <f aca="false">H891-I891</f>
        <v>8055.85</v>
      </c>
      <c r="K891" s="33" t="n">
        <f aca="false">IF(OR(E891=0,E891&gt;=7),0,D891/(7-E891)*E891*INDEX(Products!$E$2:$E$49,MATCH(C891,Products!$A$2:$A$49,0)))</f>
        <v>0</v>
      </c>
    </row>
    <row r="892" customFormat="false" ht="15" hidden="false" customHeight="false" outlineLevel="0" collapsed="false">
      <c r="A892" s="36" t="n">
        <v>46223</v>
      </c>
      <c r="B892" s="24" t="s">
        <v>61</v>
      </c>
      <c r="C892" s="24" t="s">
        <v>185</v>
      </c>
      <c r="D892" s="33" t="n">
        <v>128</v>
      </c>
      <c r="E892" s="24" t="n">
        <v>0</v>
      </c>
      <c r="F892" s="37" t="n">
        <f aca="false">DATE(YEAR(A892),MONTH(A892),1)</f>
        <v>46204</v>
      </c>
      <c r="G892" s="24" t="str">
        <f aca="false">INDEX(Products!$C$2:$C$49,MATCH(C892,Products!$A$2:$A$49,0))</f>
        <v>Personal Care</v>
      </c>
      <c r="H892" s="33" t="n">
        <f aca="false">D892*INDEX(Products!$E$2:$E$49,MATCH(C892,Products!$A$2:$A$49,0))</f>
        <v>35840</v>
      </c>
      <c r="I892" s="33" t="n">
        <f aca="false">D892*INDEX(Products!$D$2:$D$49,MATCH(C892,Products!$A$2:$A$49,0))*(1+INDEX(Assumptions!$B$16:$B$20,MATCH(B892,Assumptions!$A$16:$A$20,0)))</f>
        <v>25209.6</v>
      </c>
      <c r="J892" s="33" t="n">
        <f aca="false">H892-I892</f>
        <v>10630.4</v>
      </c>
      <c r="K892" s="33" t="n">
        <f aca="false">IF(OR(E892=0,E892&gt;=7),0,D892/(7-E892)*E892*INDEX(Products!$E$2:$E$49,MATCH(C892,Products!$A$2:$A$49,0)))</f>
        <v>0</v>
      </c>
    </row>
    <row r="893" customFormat="false" ht="15" hidden="false" customHeight="false" outlineLevel="0" collapsed="false">
      <c r="A893" s="36" t="n">
        <v>46230</v>
      </c>
      <c r="B893" s="24" t="s">
        <v>61</v>
      </c>
      <c r="C893" s="24" t="s">
        <v>185</v>
      </c>
      <c r="D893" s="33" t="n">
        <v>133</v>
      </c>
      <c r="E893" s="24" t="n">
        <v>0</v>
      </c>
      <c r="F893" s="37" t="n">
        <f aca="false">DATE(YEAR(A893),MONTH(A893),1)</f>
        <v>46204</v>
      </c>
      <c r="G893" s="24" t="str">
        <f aca="false">INDEX(Products!$C$2:$C$49,MATCH(C893,Products!$A$2:$A$49,0))</f>
        <v>Personal Care</v>
      </c>
      <c r="H893" s="33" t="n">
        <f aca="false">D893*INDEX(Products!$E$2:$E$49,MATCH(C893,Products!$A$2:$A$49,0))</f>
        <v>37240</v>
      </c>
      <c r="I893" s="33" t="n">
        <f aca="false">D893*INDEX(Products!$D$2:$D$49,MATCH(C893,Products!$A$2:$A$49,0))*(1+INDEX(Assumptions!$B$16:$B$20,MATCH(B893,Assumptions!$A$16:$A$20,0)))</f>
        <v>26194.35</v>
      </c>
      <c r="J893" s="33" t="n">
        <f aca="false">H893-I893</f>
        <v>11045.65</v>
      </c>
      <c r="K893" s="33" t="n">
        <f aca="false">IF(OR(E893=0,E893&gt;=7),0,D893/(7-E893)*E893*INDEX(Products!$E$2:$E$49,MATCH(C893,Products!$A$2:$A$49,0)))</f>
        <v>0</v>
      </c>
    </row>
    <row r="894" customFormat="false" ht="15" hidden="false" customHeight="false" outlineLevel="0" collapsed="false">
      <c r="A894" s="36" t="n">
        <v>46237</v>
      </c>
      <c r="B894" s="24" t="s">
        <v>61</v>
      </c>
      <c r="C894" s="24" t="s">
        <v>185</v>
      </c>
      <c r="D894" s="33" t="n">
        <v>122</v>
      </c>
      <c r="E894" s="24" t="n">
        <v>0</v>
      </c>
      <c r="F894" s="37" t="n">
        <f aca="false">DATE(YEAR(A894),MONTH(A894),1)</f>
        <v>46235</v>
      </c>
      <c r="G894" s="24" t="str">
        <f aca="false">INDEX(Products!$C$2:$C$49,MATCH(C894,Products!$A$2:$A$49,0))</f>
        <v>Personal Care</v>
      </c>
      <c r="H894" s="33" t="n">
        <f aca="false">D894*INDEX(Products!$E$2:$E$49,MATCH(C894,Products!$A$2:$A$49,0))</f>
        <v>34160</v>
      </c>
      <c r="I894" s="33" t="n">
        <f aca="false">D894*INDEX(Products!$D$2:$D$49,MATCH(C894,Products!$A$2:$A$49,0))*(1+INDEX(Assumptions!$B$16:$B$20,MATCH(B894,Assumptions!$A$16:$A$20,0)))</f>
        <v>24027.9</v>
      </c>
      <c r="J894" s="33" t="n">
        <f aca="false">H894-I894</f>
        <v>10132.1</v>
      </c>
      <c r="K894" s="33" t="n">
        <f aca="false">IF(OR(E894=0,E894&gt;=7),0,D894/(7-E894)*E894*INDEX(Products!$E$2:$E$49,MATCH(C894,Products!$A$2:$A$49,0)))</f>
        <v>0</v>
      </c>
    </row>
    <row r="895" customFormat="false" ht="15" hidden="false" customHeight="false" outlineLevel="0" collapsed="false">
      <c r="A895" s="36" t="n">
        <v>46244</v>
      </c>
      <c r="B895" s="24" t="s">
        <v>61</v>
      </c>
      <c r="C895" s="24" t="s">
        <v>185</v>
      </c>
      <c r="D895" s="33" t="n">
        <v>151</v>
      </c>
      <c r="E895" s="24" t="n">
        <v>0</v>
      </c>
      <c r="F895" s="37" t="n">
        <f aca="false">DATE(YEAR(A895),MONTH(A895),1)</f>
        <v>46235</v>
      </c>
      <c r="G895" s="24" t="str">
        <f aca="false">INDEX(Products!$C$2:$C$49,MATCH(C895,Products!$A$2:$A$49,0))</f>
        <v>Personal Care</v>
      </c>
      <c r="H895" s="33" t="n">
        <f aca="false">D895*INDEX(Products!$E$2:$E$49,MATCH(C895,Products!$A$2:$A$49,0))</f>
        <v>42280</v>
      </c>
      <c r="I895" s="33" t="n">
        <f aca="false">D895*INDEX(Products!$D$2:$D$49,MATCH(C895,Products!$A$2:$A$49,0))*(1+INDEX(Assumptions!$B$16:$B$20,MATCH(B895,Assumptions!$A$16:$A$20,0)))</f>
        <v>29739.45</v>
      </c>
      <c r="J895" s="33" t="n">
        <f aca="false">H895-I895</f>
        <v>12540.55</v>
      </c>
      <c r="K895" s="33" t="n">
        <f aca="false">IF(OR(E895=0,E895&gt;=7),0,D895/(7-E895)*E895*INDEX(Products!$E$2:$E$49,MATCH(C895,Products!$A$2:$A$49,0)))</f>
        <v>0</v>
      </c>
    </row>
    <row r="896" customFormat="false" ht="15" hidden="false" customHeight="false" outlineLevel="0" collapsed="false">
      <c r="A896" s="36" t="n">
        <v>46251</v>
      </c>
      <c r="B896" s="24" t="s">
        <v>61</v>
      </c>
      <c r="C896" s="24" t="s">
        <v>185</v>
      </c>
      <c r="D896" s="33" t="n">
        <v>101</v>
      </c>
      <c r="E896" s="24" t="n">
        <v>0</v>
      </c>
      <c r="F896" s="37" t="n">
        <f aca="false">DATE(YEAR(A896),MONTH(A896),1)</f>
        <v>46235</v>
      </c>
      <c r="G896" s="24" t="str">
        <f aca="false">INDEX(Products!$C$2:$C$49,MATCH(C896,Products!$A$2:$A$49,0))</f>
        <v>Personal Care</v>
      </c>
      <c r="H896" s="33" t="n">
        <f aca="false">D896*INDEX(Products!$E$2:$E$49,MATCH(C896,Products!$A$2:$A$49,0))</f>
        <v>28280</v>
      </c>
      <c r="I896" s="33" t="n">
        <f aca="false">D896*INDEX(Products!$D$2:$D$49,MATCH(C896,Products!$A$2:$A$49,0))*(1+INDEX(Assumptions!$B$16:$B$20,MATCH(B896,Assumptions!$A$16:$A$20,0)))</f>
        <v>19891.95</v>
      </c>
      <c r="J896" s="33" t="n">
        <f aca="false">H896-I896</f>
        <v>8388.05</v>
      </c>
      <c r="K896" s="33" t="n">
        <f aca="false">IF(OR(E896=0,E896&gt;=7),0,D896/(7-E896)*E896*INDEX(Products!$E$2:$E$49,MATCH(C896,Products!$A$2:$A$49,0)))</f>
        <v>0</v>
      </c>
    </row>
    <row r="897" customFormat="false" ht="15" hidden="false" customHeight="false" outlineLevel="0" collapsed="false">
      <c r="A897" s="36" t="n">
        <v>46258</v>
      </c>
      <c r="B897" s="24" t="s">
        <v>61</v>
      </c>
      <c r="C897" s="24" t="s">
        <v>185</v>
      </c>
      <c r="D897" s="33" t="n">
        <v>120</v>
      </c>
      <c r="E897" s="24" t="n">
        <v>0</v>
      </c>
      <c r="F897" s="37" t="n">
        <f aca="false">DATE(YEAR(A897),MONTH(A897),1)</f>
        <v>46235</v>
      </c>
      <c r="G897" s="24" t="str">
        <f aca="false">INDEX(Products!$C$2:$C$49,MATCH(C897,Products!$A$2:$A$49,0))</f>
        <v>Personal Care</v>
      </c>
      <c r="H897" s="33" t="n">
        <f aca="false">D897*INDEX(Products!$E$2:$E$49,MATCH(C897,Products!$A$2:$A$49,0))</f>
        <v>33600</v>
      </c>
      <c r="I897" s="33" t="n">
        <f aca="false">D897*INDEX(Products!$D$2:$D$49,MATCH(C897,Products!$A$2:$A$49,0))*(1+INDEX(Assumptions!$B$16:$B$20,MATCH(B897,Assumptions!$A$16:$A$20,0)))</f>
        <v>23634</v>
      </c>
      <c r="J897" s="33" t="n">
        <f aca="false">H897-I897</f>
        <v>9966</v>
      </c>
      <c r="K897" s="33" t="n">
        <f aca="false">IF(OR(E897=0,E897&gt;=7),0,D897/(7-E897)*E897*INDEX(Products!$E$2:$E$49,MATCH(C897,Products!$A$2:$A$49,0)))</f>
        <v>0</v>
      </c>
    </row>
    <row r="898" customFormat="false" ht="15" hidden="false" customHeight="false" outlineLevel="0" collapsed="false">
      <c r="A898" s="36" t="n">
        <v>46265</v>
      </c>
      <c r="B898" s="24" t="s">
        <v>61</v>
      </c>
      <c r="C898" s="24" t="s">
        <v>185</v>
      </c>
      <c r="D898" s="33" t="n">
        <v>124</v>
      </c>
      <c r="E898" s="24" t="n">
        <v>0</v>
      </c>
      <c r="F898" s="37" t="n">
        <f aca="false">DATE(YEAR(A898),MONTH(A898),1)</f>
        <v>46235</v>
      </c>
      <c r="G898" s="24" t="str">
        <f aca="false">INDEX(Products!$C$2:$C$49,MATCH(C898,Products!$A$2:$A$49,0))</f>
        <v>Personal Care</v>
      </c>
      <c r="H898" s="33" t="n">
        <f aca="false">D898*INDEX(Products!$E$2:$E$49,MATCH(C898,Products!$A$2:$A$49,0))</f>
        <v>34720</v>
      </c>
      <c r="I898" s="33" t="n">
        <f aca="false">D898*INDEX(Products!$D$2:$D$49,MATCH(C898,Products!$A$2:$A$49,0))*(1+INDEX(Assumptions!$B$16:$B$20,MATCH(B898,Assumptions!$A$16:$A$20,0)))</f>
        <v>24421.8</v>
      </c>
      <c r="J898" s="33" t="n">
        <f aca="false">H898-I898</f>
        <v>10298.2</v>
      </c>
      <c r="K898" s="33" t="n">
        <f aca="false">IF(OR(E898=0,E898&gt;=7),0,D898/(7-E898)*E898*INDEX(Products!$E$2:$E$49,MATCH(C898,Products!$A$2:$A$49,0)))</f>
        <v>0</v>
      </c>
    </row>
    <row r="899" customFormat="false" ht="15" hidden="false" customHeight="false" outlineLevel="0" collapsed="false">
      <c r="A899" s="36" t="n">
        <v>46272</v>
      </c>
      <c r="B899" s="24" t="s">
        <v>61</v>
      </c>
      <c r="C899" s="24" t="s">
        <v>185</v>
      </c>
      <c r="D899" s="33" t="n">
        <v>115</v>
      </c>
      <c r="E899" s="24" t="n">
        <v>0</v>
      </c>
      <c r="F899" s="37" t="n">
        <f aca="false">DATE(YEAR(A899),MONTH(A899),1)</f>
        <v>46266</v>
      </c>
      <c r="G899" s="24" t="str">
        <f aca="false">INDEX(Products!$C$2:$C$49,MATCH(C899,Products!$A$2:$A$49,0))</f>
        <v>Personal Care</v>
      </c>
      <c r="H899" s="33" t="n">
        <f aca="false">D899*INDEX(Products!$E$2:$E$49,MATCH(C899,Products!$A$2:$A$49,0))</f>
        <v>32200</v>
      </c>
      <c r="I899" s="33" t="n">
        <f aca="false">D899*INDEX(Products!$D$2:$D$49,MATCH(C899,Products!$A$2:$A$49,0))*(1+INDEX(Assumptions!$B$16:$B$20,MATCH(B899,Assumptions!$A$16:$A$20,0)))</f>
        <v>22649.25</v>
      </c>
      <c r="J899" s="33" t="n">
        <f aca="false">H899-I899</f>
        <v>9550.75</v>
      </c>
      <c r="K899" s="33" t="n">
        <f aca="false">IF(OR(E899=0,E899&gt;=7),0,D899/(7-E899)*E899*INDEX(Products!$E$2:$E$49,MATCH(C899,Products!$A$2:$A$49,0)))</f>
        <v>0</v>
      </c>
    </row>
    <row r="900" customFormat="false" ht="15" hidden="false" customHeight="false" outlineLevel="0" collapsed="false">
      <c r="A900" s="36" t="n">
        <v>46279</v>
      </c>
      <c r="B900" s="24" t="s">
        <v>61</v>
      </c>
      <c r="C900" s="24" t="s">
        <v>185</v>
      </c>
      <c r="D900" s="33" t="n">
        <v>147</v>
      </c>
      <c r="E900" s="24" t="n">
        <v>0</v>
      </c>
      <c r="F900" s="37" t="n">
        <f aca="false">DATE(YEAR(A900),MONTH(A900),1)</f>
        <v>46266</v>
      </c>
      <c r="G900" s="24" t="str">
        <f aca="false">INDEX(Products!$C$2:$C$49,MATCH(C900,Products!$A$2:$A$49,0))</f>
        <v>Personal Care</v>
      </c>
      <c r="H900" s="33" t="n">
        <f aca="false">D900*INDEX(Products!$E$2:$E$49,MATCH(C900,Products!$A$2:$A$49,0))</f>
        <v>41160</v>
      </c>
      <c r="I900" s="33" t="n">
        <f aca="false">D900*INDEX(Products!$D$2:$D$49,MATCH(C900,Products!$A$2:$A$49,0))*(1+INDEX(Assumptions!$B$16:$B$20,MATCH(B900,Assumptions!$A$16:$A$20,0)))</f>
        <v>28951.65</v>
      </c>
      <c r="J900" s="33" t="n">
        <f aca="false">H900-I900</f>
        <v>12208.35</v>
      </c>
      <c r="K900" s="33" t="n">
        <f aca="false">IF(OR(E900=0,E900&gt;=7),0,D900/(7-E900)*E900*INDEX(Products!$E$2:$E$49,MATCH(C900,Products!$A$2:$A$49,0)))</f>
        <v>0</v>
      </c>
    </row>
    <row r="901" customFormat="false" ht="15" hidden="false" customHeight="false" outlineLevel="0" collapsed="false">
      <c r="A901" s="36" t="n">
        <v>46286</v>
      </c>
      <c r="B901" s="24" t="s">
        <v>61</v>
      </c>
      <c r="C901" s="24" t="s">
        <v>185</v>
      </c>
      <c r="D901" s="33" t="n">
        <v>130</v>
      </c>
      <c r="E901" s="24" t="n">
        <v>0</v>
      </c>
      <c r="F901" s="37" t="n">
        <f aca="false">DATE(YEAR(A901),MONTH(A901),1)</f>
        <v>46266</v>
      </c>
      <c r="G901" s="24" t="str">
        <f aca="false">INDEX(Products!$C$2:$C$49,MATCH(C901,Products!$A$2:$A$49,0))</f>
        <v>Personal Care</v>
      </c>
      <c r="H901" s="33" t="n">
        <f aca="false">D901*INDEX(Products!$E$2:$E$49,MATCH(C901,Products!$A$2:$A$49,0))</f>
        <v>36400</v>
      </c>
      <c r="I901" s="33" t="n">
        <f aca="false">D901*INDEX(Products!$D$2:$D$49,MATCH(C901,Products!$A$2:$A$49,0))*(1+INDEX(Assumptions!$B$16:$B$20,MATCH(B901,Assumptions!$A$16:$A$20,0)))</f>
        <v>25603.5</v>
      </c>
      <c r="J901" s="33" t="n">
        <f aca="false">H901-I901</f>
        <v>10796.5</v>
      </c>
      <c r="K901" s="33" t="n">
        <f aca="false">IF(OR(E901=0,E901&gt;=7),0,D901/(7-E901)*E901*INDEX(Products!$E$2:$E$49,MATCH(C901,Products!$A$2:$A$49,0)))</f>
        <v>0</v>
      </c>
    </row>
    <row r="902" customFormat="false" ht="15" hidden="false" customHeight="false" outlineLevel="0" collapsed="false">
      <c r="A902" s="36" t="n">
        <v>46118</v>
      </c>
      <c r="B902" s="24" t="s">
        <v>61</v>
      </c>
      <c r="C902" s="24" t="s">
        <v>187</v>
      </c>
      <c r="D902" s="33" t="n">
        <v>35</v>
      </c>
      <c r="E902" s="24" t="n">
        <v>0</v>
      </c>
      <c r="F902" s="37" t="n">
        <f aca="false">DATE(YEAR(A902),MONTH(A902),1)</f>
        <v>46113</v>
      </c>
      <c r="G902" s="24" t="str">
        <f aca="false">INDEX(Products!$C$2:$C$49,MATCH(C902,Products!$A$2:$A$49,0))</f>
        <v>Personal Care</v>
      </c>
      <c r="H902" s="33" t="n">
        <f aca="false">D902*INDEX(Products!$E$2:$E$49,MATCH(C902,Products!$A$2:$A$49,0))</f>
        <v>5600</v>
      </c>
      <c r="I902" s="33" t="n">
        <f aca="false">D902*INDEX(Products!$D$2:$D$49,MATCH(C902,Products!$A$2:$A$49,0))*(1+INDEX(Assumptions!$B$16:$B$20,MATCH(B902,Assumptions!$A$16:$A$20,0)))</f>
        <v>4029.9</v>
      </c>
      <c r="J902" s="33" t="n">
        <f aca="false">H902-I902</f>
        <v>1570.1</v>
      </c>
      <c r="K902" s="33" t="n">
        <f aca="false">IF(OR(E902=0,E902&gt;=7),0,D902/(7-E902)*E902*INDEX(Products!$E$2:$E$49,MATCH(C902,Products!$A$2:$A$49,0)))</f>
        <v>0</v>
      </c>
    </row>
    <row r="903" customFormat="false" ht="15" hidden="false" customHeight="false" outlineLevel="0" collapsed="false">
      <c r="A903" s="36" t="n">
        <v>46125</v>
      </c>
      <c r="B903" s="24" t="s">
        <v>61</v>
      </c>
      <c r="C903" s="24" t="s">
        <v>187</v>
      </c>
      <c r="D903" s="33" t="n">
        <v>36</v>
      </c>
      <c r="E903" s="24" t="n">
        <v>0</v>
      </c>
      <c r="F903" s="37" t="n">
        <f aca="false">DATE(YEAR(A903),MONTH(A903),1)</f>
        <v>46113</v>
      </c>
      <c r="G903" s="24" t="str">
        <f aca="false">INDEX(Products!$C$2:$C$49,MATCH(C903,Products!$A$2:$A$49,0))</f>
        <v>Personal Care</v>
      </c>
      <c r="H903" s="33" t="n">
        <f aca="false">D903*INDEX(Products!$E$2:$E$49,MATCH(C903,Products!$A$2:$A$49,0))</f>
        <v>5760</v>
      </c>
      <c r="I903" s="33" t="n">
        <f aca="false">D903*INDEX(Products!$D$2:$D$49,MATCH(C903,Products!$A$2:$A$49,0))*(1+INDEX(Assumptions!$B$16:$B$20,MATCH(B903,Assumptions!$A$16:$A$20,0)))</f>
        <v>4145.04</v>
      </c>
      <c r="J903" s="33" t="n">
        <f aca="false">H903-I903</f>
        <v>1614.96</v>
      </c>
      <c r="K903" s="33" t="n">
        <f aca="false">IF(OR(E903=0,E903&gt;=7),0,D903/(7-E903)*E903*INDEX(Products!$E$2:$E$49,MATCH(C903,Products!$A$2:$A$49,0)))</f>
        <v>0</v>
      </c>
    </row>
    <row r="904" customFormat="false" ht="15" hidden="false" customHeight="false" outlineLevel="0" collapsed="false">
      <c r="A904" s="36" t="n">
        <v>46132</v>
      </c>
      <c r="B904" s="24" t="s">
        <v>61</v>
      </c>
      <c r="C904" s="24" t="s">
        <v>187</v>
      </c>
      <c r="D904" s="33" t="n">
        <v>48</v>
      </c>
      <c r="E904" s="24" t="n">
        <v>0</v>
      </c>
      <c r="F904" s="37" t="n">
        <f aca="false">DATE(YEAR(A904),MONTH(A904),1)</f>
        <v>46113</v>
      </c>
      <c r="G904" s="24" t="str">
        <f aca="false">INDEX(Products!$C$2:$C$49,MATCH(C904,Products!$A$2:$A$49,0))</f>
        <v>Personal Care</v>
      </c>
      <c r="H904" s="33" t="n">
        <f aca="false">D904*INDEX(Products!$E$2:$E$49,MATCH(C904,Products!$A$2:$A$49,0))</f>
        <v>7680</v>
      </c>
      <c r="I904" s="33" t="n">
        <f aca="false">D904*INDEX(Products!$D$2:$D$49,MATCH(C904,Products!$A$2:$A$49,0))*(1+INDEX(Assumptions!$B$16:$B$20,MATCH(B904,Assumptions!$A$16:$A$20,0)))</f>
        <v>5526.72</v>
      </c>
      <c r="J904" s="33" t="n">
        <f aca="false">H904-I904</f>
        <v>2153.28</v>
      </c>
      <c r="K904" s="33" t="n">
        <f aca="false">IF(OR(E904=0,E904&gt;=7),0,D904/(7-E904)*E904*INDEX(Products!$E$2:$E$49,MATCH(C904,Products!$A$2:$A$49,0)))</f>
        <v>0</v>
      </c>
    </row>
    <row r="905" customFormat="false" ht="15" hidden="false" customHeight="false" outlineLevel="0" collapsed="false">
      <c r="A905" s="36" t="n">
        <v>46139</v>
      </c>
      <c r="B905" s="24" t="s">
        <v>61</v>
      </c>
      <c r="C905" s="24" t="s">
        <v>187</v>
      </c>
      <c r="D905" s="33" t="n">
        <v>42</v>
      </c>
      <c r="E905" s="24" t="n">
        <v>0</v>
      </c>
      <c r="F905" s="37" t="n">
        <f aca="false">DATE(YEAR(A905),MONTH(A905),1)</f>
        <v>46113</v>
      </c>
      <c r="G905" s="24" t="str">
        <f aca="false">INDEX(Products!$C$2:$C$49,MATCH(C905,Products!$A$2:$A$49,0))</f>
        <v>Personal Care</v>
      </c>
      <c r="H905" s="33" t="n">
        <f aca="false">D905*INDEX(Products!$E$2:$E$49,MATCH(C905,Products!$A$2:$A$49,0))</f>
        <v>6720</v>
      </c>
      <c r="I905" s="33" t="n">
        <f aca="false">D905*INDEX(Products!$D$2:$D$49,MATCH(C905,Products!$A$2:$A$49,0))*(1+INDEX(Assumptions!$B$16:$B$20,MATCH(B905,Assumptions!$A$16:$A$20,0)))</f>
        <v>4835.88</v>
      </c>
      <c r="J905" s="33" t="n">
        <f aca="false">H905-I905</f>
        <v>1884.12</v>
      </c>
      <c r="K905" s="33" t="n">
        <f aca="false">IF(OR(E905=0,E905&gt;=7),0,D905/(7-E905)*E905*INDEX(Products!$E$2:$E$49,MATCH(C905,Products!$A$2:$A$49,0)))</f>
        <v>0</v>
      </c>
    </row>
    <row r="906" customFormat="false" ht="15" hidden="false" customHeight="false" outlineLevel="0" collapsed="false">
      <c r="A906" s="36" t="n">
        <v>46146</v>
      </c>
      <c r="B906" s="24" t="s">
        <v>61</v>
      </c>
      <c r="C906" s="24" t="s">
        <v>187</v>
      </c>
      <c r="D906" s="33" t="n">
        <v>37</v>
      </c>
      <c r="E906" s="24" t="n">
        <v>0</v>
      </c>
      <c r="F906" s="37" t="n">
        <f aca="false">DATE(YEAR(A906),MONTH(A906),1)</f>
        <v>46143</v>
      </c>
      <c r="G906" s="24" t="str">
        <f aca="false">INDEX(Products!$C$2:$C$49,MATCH(C906,Products!$A$2:$A$49,0))</f>
        <v>Personal Care</v>
      </c>
      <c r="H906" s="33" t="n">
        <f aca="false">D906*INDEX(Products!$E$2:$E$49,MATCH(C906,Products!$A$2:$A$49,0))</f>
        <v>5920</v>
      </c>
      <c r="I906" s="33" t="n">
        <f aca="false">D906*INDEX(Products!$D$2:$D$49,MATCH(C906,Products!$A$2:$A$49,0))*(1+INDEX(Assumptions!$B$16:$B$20,MATCH(B906,Assumptions!$A$16:$A$20,0)))</f>
        <v>4260.18</v>
      </c>
      <c r="J906" s="33" t="n">
        <f aca="false">H906-I906</f>
        <v>1659.82</v>
      </c>
      <c r="K906" s="33" t="n">
        <f aca="false">IF(OR(E906=0,E906&gt;=7),0,D906/(7-E906)*E906*INDEX(Products!$E$2:$E$49,MATCH(C906,Products!$A$2:$A$49,0)))</f>
        <v>0</v>
      </c>
    </row>
    <row r="907" customFormat="false" ht="15" hidden="false" customHeight="false" outlineLevel="0" collapsed="false">
      <c r="A907" s="36" t="n">
        <v>46153</v>
      </c>
      <c r="B907" s="24" t="s">
        <v>61</v>
      </c>
      <c r="C907" s="24" t="s">
        <v>187</v>
      </c>
      <c r="D907" s="33" t="n">
        <v>42</v>
      </c>
      <c r="E907" s="24" t="n">
        <v>0</v>
      </c>
      <c r="F907" s="37" t="n">
        <f aca="false">DATE(YEAR(A907),MONTH(A907),1)</f>
        <v>46143</v>
      </c>
      <c r="G907" s="24" t="str">
        <f aca="false">INDEX(Products!$C$2:$C$49,MATCH(C907,Products!$A$2:$A$49,0))</f>
        <v>Personal Care</v>
      </c>
      <c r="H907" s="33" t="n">
        <f aca="false">D907*INDEX(Products!$E$2:$E$49,MATCH(C907,Products!$A$2:$A$49,0))</f>
        <v>6720</v>
      </c>
      <c r="I907" s="33" t="n">
        <f aca="false">D907*INDEX(Products!$D$2:$D$49,MATCH(C907,Products!$A$2:$A$49,0))*(1+INDEX(Assumptions!$B$16:$B$20,MATCH(B907,Assumptions!$A$16:$A$20,0)))</f>
        <v>4835.88</v>
      </c>
      <c r="J907" s="33" t="n">
        <f aca="false">H907-I907</f>
        <v>1884.12</v>
      </c>
      <c r="K907" s="33" t="n">
        <f aca="false">IF(OR(E907=0,E907&gt;=7),0,D907/(7-E907)*E907*INDEX(Products!$E$2:$E$49,MATCH(C907,Products!$A$2:$A$49,0)))</f>
        <v>0</v>
      </c>
    </row>
    <row r="908" customFormat="false" ht="15" hidden="false" customHeight="false" outlineLevel="0" collapsed="false">
      <c r="A908" s="36" t="n">
        <v>46160</v>
      </c>
      <c r="B908" s="24" t="s">
        <v>61</v>
      </c>
      <c r="C908" s="24" t="s">
        <v>187</v>
      </c>
      <c r="D908" s="33" t="n">
        <v>43</v>
      </c>
      <c r="E908" s="24" t="n">
        <v>0</v>
      </c>
      <c r="F908" s="37" t="n">
        <f aca="false">DATE(YEAR(A908),MONTH(A908),1)</f>
        <v>46143</v>
      </c>
      <c r="G908" s="24" t="str">
        <f aca="false">INDEX(Products!$C$2:$C$49,MATCH(C908,Products!$A$2:$A$49,0))</f>
        <v>Personal Care</v>
      </c>
      <c r="H908" s="33" t="n">
        <f aca="false">D908*INDEX(Products!$E$2:$E$49,MATCH(C908,Products!$A$2:$A$49,0))</f>
        <v>6880</v>
      </c>
      <c r="I908" s="33" t="n">
        <f aca="false">D908*INDEX(Products!$D$2:$D$49,MATCH(C908,Products!$A$2:$A$49,0))*(1+INDEX(Assumptions!$B$16:$B$20,MATCH(B908,Assumptions!$A$16:$A$20,0)))</f>
        <v>4951.02</v>
      </c>
      <c r="J908" s="33" t="n">
        <f aca="false">H908-I908</f>
        <v>1928.98</v>
      </c>
      <c r="K908" s="33" t="n">
        <f aca="false">IF(OR(E908=0,E908&gt;=7),0,D908/(7-E908)*E908*INDEX(Products!$E$2:$E$49,MATCH(C908,Products!$A$2:$A$49,0)))</f>
        <v>0</v>
      </c>
    </row>
    <row r="909" customFormat="false" ht="15" hidden="false" customHeight="false" outlineLevel="0" collapsed="false">
      <c r="A909" s="36" t="n">
        <v>46167</v>
      </c>
      <c r="B909" s="24" t="s">
        <v>61</v>
      </c>
      <c r="C909" s="24" t="s">
        <v>187</v>
      </c>
      <c r="D909" s="33" t="n">
        <v>54</v>
      </c>
      <c r="E909" s="24" t="n">
        <v>0</v>
      </c>
      <c r="F909" s="37" t="n">
        <f aca="false">DATE(YEAR(A909),MONTH(A909),1)</f>
        <v>46143</v>
      </c>
      <c r="G909" s="24" t="str">
        <f aca="false">INDEX(Products!$C$2:$C$49,MATCH(C909,Products!$A$2:$A$49,0))</f>
        <v>Personal Care</v>
      </c>
      <c r="H909" s="33" t="n">
        <f aca="false">D909*INDEX(Products!$E$2:$E$49,MATCH(C909,Products!$A$2:$A$49,0))</f>
        <v>8640</v>
      </c>
      <c r="I909" s="33" t="n">
        <f aca="false">D909*INDEX(Products!$D$2:$D$49,MATCH(C909,Products!$A$2:$A$49,0))*(1+INDEX(Assumptions!$B$16:$B$20,MATCH(B909,Assumptions!$A$16:$A$20,0)))</f>
        <v>6217.56</v>
      </c>
      <c r="J909" s="33" t="n">
        <f aca="false">H909-I909</f>
        <v>2422.44</v>
      </c>
      <c r="K909" s="33" t="n">
        <f aca="false">IF(OR(E909=0,E909&gt;=7),0,D909/(7-E909)*E909*INDEX(Products!$E$2:$E$49,MATCH(C909,Products!$A$2:$A$49,0)))</f>
        <v>0</v>
      </c>
    </row>
    <row r="910" customFormat="false" ht="15" hidden="false" customHeight="false" outlineLevel="0" collapsed="false">
      <c r="A910" s="36" t="n">
        <v>46174</v>
      </c>
      <c r="B910" s="24" t="s">
        <v>61</v>
      </c>
      <c r="C910" s="24" t="s">
        <v>187</v>
      </c>
      <c r="D910" s="33" t="n">
        <v>43</v>
      </c>
      <c r="E910" s="24" t="n">
        <v>0</v>
      </c>
      <c r="F910" s="37" t="n">
        <f aca="false">DATE(YEAR(A910),MONTH(A910),1)</f>
        <v>46174</v>
      </c>
      <c r="G910" s="24" t="str">
        <f aca="false">INDEX(Products!$C$2:$C$49,MATCH(C910,Products!$A$2:$A$49,0))</f>
        <v>Personal Care</v>
      </c>
      <c r="H910" s="33" t="n">
        <f aca="false">D910*INDEX(Products!$E$2:$E$49,MATCH(C910,Products!$A$2:$A$49,0))</f>
        <v>6880</v>
      </c>
      <c r="I910" s="33" t="n">
        <f aca="false">D910*INDEX(Products!$D$2:$D$49,MATCH(C910,Products!$A$2:$A$49,0))*(1+INDEX(Assumptions!$B$16:$B$20,MATCH(B910,Assumptions!$A$16:$A$20,0)))</f>
        <v>4951.02</v>
      </c>
      <c r="J910" s="33" t="n">
        <f aca="false">H910-I910</f>
        <v>1928.98</v>
      </c>
      <c r="K910" s="33" t="n">
        <f aca="false">IF(OR(E910=0,E910&gt;=7),0,D910/(7-E910)*E910*INDEX(Products!$E$2:$E$49,MATCH(C910,Products!$A$2:$A$49,0)))</f>
        <v>0</v>
      </c>
    </row>
    <row r="911" customFormat="false" ht="15" hidden="false" customHeight="false" outlineLevel="0" collapsed="false">
      <c r="A911" s="36" t="n">
        <v>46181</v>
      </c>
      <c r="B911" s="24" t="s">
        <v>61</v>
      </c>
      <c r="C911" s="24" t="s">
        <v>187</v>
      </c>
      <c r="D911" s="33" t="n">
        <v>38</v>
      </c>
      <c r="E911" s="24" t="n">
        <v>0</v>
      </c>
      <c r="F911" s="37" t="n">
        <f aca="false">DATE(YEAR(A911),MONTH(A911),1)</f>
        <v>46174</v>
      </c>
      <c r="G911" s="24" t="str">
        <f aca="false">INDEX(Products!$C$2:$C$49,MATCH(C911,Products!$A$2:$A$49,0))</f>
        <v>Personal Care</v>
      </c>
      <c r="H911" s="33" t="n">
        <f aca="false">D911*INDEX(Products!$E$2:$E$49,MATCH(C911,Products!$A$2:$A$49,0))</f>
        <v>6080</v>
      </c>
      <c r="I911" s="33" t="n">
        <f aca="false">D911*INDEX(Products!$D$2:$D$49,MATCH(C911,Products!$A$2:$A$49,0))*(1+INDEX(Assumptions!$B$16:$B$20,MATCH(B911,Assumptions!$A$16:$A$20,0)))</f>
        <v>4375.32</v>
      </c>
      <c r="J911" s="33" t="n">
        <f aca="false">H911-I911</f>
        <v>1704.68</v>
      </c>
      <c r="K911" s="33" t="n">
        <f aca="false">IF(OR(E911=0,E911&gt;=7),0,D911/(7-E911)*E911*INDEX(Products!$E$2:$E$49,MATCH(C911,Products!$A$2:$A$49,0)))</f>
        <v>0</v>
      </c>
    </row>
    <row r="912" customFormat="false" ht="15" hidden="false" customHeight="false" outlineLevel="0" collapsed="false">
      <c r="A912" s="36" t="n">
        <v>46188</v>
      </c>
      <c r="B912" s="24" t="s">
        <v>61</v>
      </c>
      <c r="C912" s="24" t="s">
        <v>187</v>
      </c>
      <c r="D912" s="33" t="n">
        <v>54</v>
      </c>
      <c r="E912" s="24" t="n">
        <v>0</v>
      </c>
      <c r="F912" s="37" t="n">
        <f aca="false">DATE(YEAR(A912),MONTH(A912),1)</f>
        <v>46174</v>
      </c>
      <c r="G912" s="24" t="str">
        <f aca="false">INDEX(Products!$C$2:$C$49,MATCH(C912,Products!$A$2:$A$49,0))</f>
        <v>Personal Care</v>
      </c>
      <c r="H912" s="33" t="n">
        <f aca="false">D912*INDEX(Products!$E$2:$E$49,MATCH(C912,Products!$A$2:$A$49,0))</f>
        <v>8640</v>
      </c>
      <c r="I912" s="33" t="n">
        <f aca="false">D912*INDEX(Products!$D$2:$D$49,MATCH(C912,Products!$A$2:$A$49,0))*(1+INDEX(Assumptions!$B$16:$B$20,MATCH(B912,Assumptions!$A$16:$A$20,0)))</f>
        <v>6217.56</v>
      </c>
      <c r="J912" s="33" t="n">
        <f aca="false">H912-I912</f>
        <v>2422.44</v>
      </c>
      <c r="K912" s="33" t="n">
        <f aca="false">IF(OR(E912=0,E912&gt;=7),0,D912/(7-E912)*E912*INDEX(Products!$E$2:$E$49,MATCH(C912,Products!$A$2:$A$49,0)))</f>
        <v>0</v>
      </c>
    </row>
    <row r="913" customFormat="false" ht="15" hidden="false" customHeight="false" outlineLevel="0" collapsed="false">
      <c r="A913" s="36" t="n">
        <v>46195</v>
      </c>
      <c r="B913" s="24" t="s">
        <v>61</v>
      </c>
      <c r="C913" s="24" t="s">
        <v>187</v>
      </c>
      <c r="D913" s="33" t="n">
        <v>35</v>
      </c>
      <c r="E913" s="24" t="n">
        <v>0</v>
      </c>
      <c r="F913" s="37" t="n">
        <f aca="false">DATE(YEAR(A913),MONTH(A913),1)</f>
        <v>46174</v>
      </c>
      <c r="G913" s="24" t="str">
        <f aca="false">INDEX(Products!$C$2:$C$49,MATCH(C913,Products!$A$2:$A$49,0))</f>
        <v>Personal Care</v>
      </c>
      <c r="H913" s="33" t="n">
        <f aca="false">D913*INDEX(Products!$E$2:$E$49,MATCH(C913,Products!$A$2:$A$49,0))</f>
        <v>5600</v>
      </c>
      <c r="I913" s="33" t="n">
        <f aca="false">D913*INDEX(Products!$D$2:$D$49,MATCH(C913,Products!$A$2:$A$49,0))*(1+INDEX(Assumptions!$B$16:$B$20,MATCH(B913,Assumptions!$A$16:$A$20,0)))</f>
        <v>4029.9</v>
      </c>
      <c r="J913" s="33" t="n">
        <f aca="false">H913-I913</f>
        <v>1570.1</v>
      </c>
      <c r="K913" s="33" t="n">
        <f aca="false">IF(OR(E913=0,E913&gt;=7),0,D913/(7-E913)*E913*INDEX(Products!$E$2:$E$49,MATCH(C913,Products!$A$2:$A$49,0)))</f>
        <v>0</v>
      </c>
    </row>
    <row r="914" customFormat="false" ht="15" hidden="false" customHeight="false" outlineLevel="0" collapsed="false">
      <c r="A914" s="36" t="n">
        <v>46202</v>
      </c>
      <c r="B914" s="24" t="s">
        <v>61</v>
      </c>
      <c r="C914" s="24" t="s">
        <v>187</v>
      </c>
      <c r="D914" s="33" t="n">
        <v>50</v>
      </c>
      <c r="E914" s="24" t="n">
        <v>0</v>
      </c>
      <c r="F914" s="37" t="n">
        <f aca="false">DATE(YEAR(A914),MONTH(A914),1)</f>
        <v>46174</v>
      </c>
      <c r="G914" s="24" t="str">
        <f aca="false">INDEX(Products!$C$2:$C$49,MATCH(C914,Products!$A$2:$A$49,0))</f>
        <v>Personal Care</v>
      </c>
      <c r="H914" s="33" t="n">
        <f aca="false">D914*INDEX(Products!$E$2:$E$49,MATCH(C914,Products!$A$2:$A$49,0))</f>
        <v>8000</v>
      </c>
      <c r="I914" s="33" t="n">
        <f aca="false">D914*INDEX(Products!$D$2:$D$49,MATCH(C914,Products!$A$2:$A$49,0))*(1+INDEX(Assumptions!$B$16:$B$20,MATCH(B914,Assumptions!$A$16:$A$20,0)))</f>
        <v>5757</v>
      </c>
      <c r="J914" s="33" t="n">
        <f aca="false">H914-I914</f>
        <v>2243</v>
      </c>
      <c r="K914" s="33" t="n">
        <f aca="false">IF(OR(E914=0,E914&gt;=7),0,D914/(7-E914)*E914*INDEX(Products!$E$2:$E$49,MATCH(C914,Products!$A$2:$A$49,0)))</f>
        <v>0</v>
      </c>
    </row>
    <row r="915" customFormat="false" ht="15" hidden="false" customHeight="false" outlineLevel="0" collapsed="false">
      <c r="A915" s="36" t="n">
        <v>46209</v>
      </c>
      <c r="B915" s="24" t="s">
        <v>61</v>
      </c>
      <c r="C915" s="24" t="s">
        <v>187</v>
      </c>
      <c r="D915" s="33" t="n">
        <v>52</v>
      </c>
      <c r="E915" s="24" t="n">
        <v>0</v>
      </c>
      <c r="F915" s="37" t="n">
        <f aca="false">DATE(YEAR(A915),MONTH(A915),1)</f>
        <v>46204</v>
      </c>
      <c r="G915" s="24" t="str">
        <f aca="false">INDEX(Products!$C$2:$C$49,MATCH(C915,Products!$A$2:$A$49,0))</f>
        <v>Personal Care</v>
      </c>
      <c r="H915" s="33" t="n">
        <f aca="false">D915*INDEX(Products!$E$2:$E$49,MATCH(C915,Products!$A$2:$A$49,0))</f>
        <v>8320</v>
      </c>
      <c r="I915" s="33" t="n">
        <f aca="false">D915*INDEX(Products!$D$2:$D$49,MATCH(C915,Products!$A$2:$A$49,0))*(1+INDEX(Assumptions!$B$16:$B$20,MATCH(B915,Assumptions!$A$16:$A$20,0)))</f>
        <v>5987.28</v>
      </c>
      <c r="J915" s="33" t="n">
        <f aca="false">H915-I915</f>
        <v>2332.72</v>
      </c>
      <c r="K915" s="33" t="n">
        <f aca="false">IF(OR(E915=0,E915&gt;=7),0,D915/(7-E915)*E915*INDEX(Products!$E$2:$E$49,MATCH(C915,Products!$A$2:$A$49,0)))</f>
        <v>0</v>
      </c>
    </row>
    <row r="916" customFormat="false" ht="15" hidden="false" customHeight="false" outlineLevel="0" collapsed="false">
      <c r="A916" s="36" t="n">
        <v>46216</v>
      </c>
      <c r="B916" s="24" t="s">
        <v>61</v>
      </c>
      <c r="C916" s="24" t="s">
        <v>187</v>
      </c>
      <c r="D916" s="33" t="n">
        <v>49</v>
      </c>
      <c r="E916" s="24" t="n">
        <v>0</v>
      </c>
      <c r="F916" s="37" t="n">
        <f aca="false">DATE(YEAR(A916),MONTH(A916),1)</f>
        <v>46204</v>
      </c>
      <c r="G916" s="24" t="str">
        <f aca="false">INDEX(Products!$C$2:$C$49,MATCH(C916,Products!$A$2:$A$49,0))</f>
        <v>Personal Care</v>
      </c>
      <c r="H916" s="33" t="n">
        <f aca="false">D916*INDEX(Products!$E$2:$E$49,MATCH(C916,Products!$A$2:$A$49,0))</f>
        <v>7840</v>
      </c>
      <c r="I916" s="33" t="n">
        <f aca="false">D916*INDEX(Products!$D$2:$D$49,MATCH(C916,Products!$A$2:$A$49,0))*(1+INDEX(Assumptions!$B$16:$B$20,MATCH(B916,Assumptions!$A$16:$A$20,0)))</f>
        <v>5641.86</v>
      </c>
      <c r="J916" s="33" t="n">
        <f aca="false">H916-I916</f>
        <v>2198.14</v>
      </c>
      <c r="K916" s="33" t="n">
        <f aca="false">IF(OR(E916=0,E916&gt;=7),0,D916/(7-E916)*E916*INDEX(Products!$E$2:$E$49,MATCH(C916,Products!$A$2:$A$49,0)))</f>
        <v>0</v>
      </c>
    </row>
    <row r="917" customFormat="false" ht="15" hidden="false" customHeight="false" outlineLevel="0" collapsed="false">
      <c r="A917" s="36" t="n">
        <v>46223</v>
      </c>
      <c r="B917" s="24" t="s">
        <v>61</v>
      </c>
      <c r="C917" s="24" t="s">
        <v>187</v>
      </c>
      <c r="D917" s="33" t="n">
        <v>44</v>
      </c>
      <c r="E917" s="24" t="n">
        <v>0</v>
      </c>
      <c r="F917" s="37" t="n">
        <f aca="false">DATE(YEAR(A917),MONTH(A917),1)</f>
        <v>46204</v>
      </c>
      <c r="G917" s="24" t="str">
        <f aca="false">INDEX(Products!$C$2:$C$49,MATCH(C917,Products!$A$2:$A$49,0))</f>
        <v>Personal Care</v>
      </c>
      <c r="H917" s="33" t="n">
        <f aca="false">D917*INDEX(Products!$E$2:$E$49,MATCH(C917,Products!$A$2:$A$49,0))</f>
        <v>7040</v>
      </c>
      <c r="I917" s="33" t="n">
        <f aca="false">D917*INDEX(Products!$D$2:$D$49,MATCH(C917,Products!$A$2:$A$49,0))*(1+INDEX(Assumptions!$B$16:$B$20,MATCH(B917,Assumptions!$A$16:$A$20,0)))</f>
        <v>5066.16</v>
      </c>
      <c r="J917" s="33" t="n">
        <f aca="false">H917-I917</f>
        <v>1973.84</v>
      </c>
      <c r="K917" s="33" t="n">
        <f aca="false">IF(OR(E917=0,E917&gt;=7),0,D917/(7-E917)*E917*INDEX(Products!$E$2:$E$49,MATCH(C917,Products!$A$2:$A$49,0)))</f>
        <v>0</v>
      </c>
    </row>
    <row r="918" customFormat="false" ht="15" hidden="false" customHeight="false" outlineLevel="0" collapsed="false">
      <c r="A918" s="36" t="n">
        <v>46230</v>
      </c>
      <c r="B918" s="24" t="s">
        <v>61</v>
      </c>
      <c r="C918" s="24" t="s">
        <v>187</v>
      </c>
      <c r="D918" s="33" t="n">
        <v>35</v>
      </c>
      <c r="E918" s="24" t="n">
        <v>0</v>
      </c>
      <c r="F918" s="37" t="n">
        <f aca="false">DATE(YEAR(A918),MONTH(A918),1)</f>
        <v>46204</v>
      </c>
      <c r="G918" s="24" t="str">
        <f aca="false">INDEX(Products!$C$2:$C$49,MATCH(C918,Products!$A$2:$A$49,0))</f>
        <v>Personal Care</v>
      </c>
      <c r="H918" s="33" t="n">
        <f aca="false">D918*INDEX(Products!$E$2:$E$49,MATCH(C918,Products!$A$2:$A$49,0))</f>
        <v>5600</v>
      </c>
      <c r="I918" s="33" t="n">
        <f aca="false">D918*INDEX(Products!$D$2:$D$49,MATCH(C918,Products!$A$2:$A$49,0))*(1+INDEX(Assumptions!$B$16:$B$20,MATCH(B918,Assumptions!$A$16:$A$20,0)))</f>
        <v>4029.9</v>
      </c>
      <c r="J918" s="33" t="n">
        <f aca="false">H918-I918</f>
        <v>1570.1</v>
      </c>
      <c r="K918" s="33" t="n">
        <f aca="false">IF(OR(E918=0,E918&gt;=7),0,D918/(7-E918)*E918*INDEX(Products!$E$2:$E$49,MATCH(C918,Products!$A$2:$A$49,0)))</f>
        <v>0</v>
      </c>
    </row>
    <row r="919" customFormat="false" ht="15" hidden="false" customHeight="false" outlineLevel="0" collapsed="false">
      <c r="A919" s="36" t="n">
        <v>46237</v>
      </c>
      <c r="B919" s="24" t="s">
        <v>61</v>
      </c>
      <c r="C919" s="24" t="s">
        <v>187</v>
      </c>
      <c r="D919" s="33" t="n">
        <v>55</v>
      </c>
      <c r="E919" s="24" t="n">
        <v>0</v>
      </c>
      <c r="F919" s="37" t="n">
        <f aca="false">DATE(YEAR(A919),MONTH(A919),1)</f>
        <v>46235</v>
      </c>
      <c r="G919" s="24" t="str">
        <f aca="false">INDEX(Products!$C$2:$C$49,MATCH(C919,Products!$A$2:$A$49,0))</f>
        <v>Personal Care</v>
      </c>
      <c r="H919" s="33" t="n">
        <f aca="false">D919*INDEX(Products!$E$2:$E$49,MATCH(C919,Products!$A$2:$A$49,0))</f>
        <v>8800</v>
      </c>
      <c r="I919" s="33" t="n">
        <f aca="false">D919*INDEX(Products!$D$2:$D$49,MATCH(C919,Products!$A$2:$A$49,0))*(1+INDEX(Assumptions!$B$16:$B$20,MATCH(B919,Assumptions!$A$16:$A$20,0)))</f>
        <v>6332.7</v>
      </c>
      <c r="J919" s="33" t="n">
        <f aca="false">H919-I919</f>
        <v>2467.3</v>
      </c>
      <c r="K919" s="33" t="n">
        <f aca="false">IF(OR(E919=0,E919&gt;=7),0,D919/(7-E919)*E919*INDEX(Products!$E$2:$E$49,MATCH(C919,Products!$A$2:$A$49,0)))</f>
        <v>0</v>
      </c>
    </row>
    <row r="920" customFormat="false" ht="15" hidden="false" customHeight="false" outlineLevel="0" collapsed="false">
      <c r="A920" s="36" t="n">
        <v>46244</v>
      </c>
      <c r="B920" s="24" t="s">
        <v>61</v>
      </c>
      <c r="C920" s="24" t="s">
        <v>187</v>
      </c>
      <c r="D920" s="33" t="n">
        <v>36</v>
      </c>
      <c r="E920" s="24" t="n">
        <v>0</v>
      </c>
      <c r="F920" s="37" t="n">
        <f aca="false">DATE(YEAR(A920),MONTH(A920),1)</f>
        <v>46235</v>
      </c>
      <c r="G920" s="24" t="str">
        <f aca="false">INDEX(Products!$C$2:$C$49,MATCH(C920,Products!$A$2:$A$49,0))</f>
        <v>Personal Care</v>
      </c>
      <c r="H920" s="33" t="n">
        <f aca="false">D920*INDEX(Products!$E$2:$E$49,MATCH(C920,Products!$A$2:$A$49,0))</f>
        <v>5760</v>
      </c>
      <c r="I920" s="33" t="n">
        <f aca="false">D920*INDEX(Products!$D$2:$D$49,MATCH(C920,Products!$A$2:$A$49,0))*(1+INDEX(Assumptions!$B$16:$B$20,MATCH(B920,Assumptions!$A$16:$A$20,0)))</f>
        <v>4145.04</v>
      </c>
      <c r="J920" s="33" t="n">
        <f aca="false">H920-I920</f>
        <v>1614.96</v>
      </c>
      <c r="K920" s="33" t="n">
        <f aca="false">IF(OR(E920=0,E920&gt;=7),0,D920/(7-E920)*E920*INDEX(Products!$E$2:$E$49,MATCH(C920,Products!$A$2:$A$49,0)))</f>
        <v>0</v>
      </c>
    </row>
    <row r="921" customFormat="false" ht="15" hidden="false" customHeight="false" outlineLevel="0" collapsed="false">
      <c r="A921" s="36" t="n">
        <v>46251</v>
      </c>
      <c r="B921" s="24" t="s">
        <v>61</v>
      </c>
      <c r="C921" s="24" t="s">
        <v>187</v>
      </c>
      <c r="D921" s="33" t="n">
        <v>18</v>
      </c>
      <c r="E921" s="24" t="n">
        <v>3</v>
      </c>
      <c r="F921" s="37" t="n">
        <f aca="false">DATE(YEAR(A921),MONTH(A921),1)</f>
        <v>46235</v>
      </c>
      <c r="G921" s="24" t="str">
        <f aca="false">INDEX(Products!$C$2:$C$49,MATCH(C921,Products!$A$2:$A$49,0))</f>
        <v>Personal Care</v>
      </c>
      <c r="H921" s="33" t="n">
        <f aca="false">D921*INDEX(Products!$E$2:$E$49,MATCH(C921,Products!$A$2:$A$49,0))</f>
        <v>2880</v>
      </c>
      <c r="I921" s="33" t="n">
        <f aca="false">D921*INDEX(Products!$D$2:$D$49,MATCH(C921,Products!$A$2:$A$49,0))*(1+INDEX(Assumptions!$B$16:$B$20,MATCH(B921,Assumptions!$A$16:$A$20,0)))</f>
        <v>2072.52</v>
      </c>
      <c r="J921" s="33" t="n">
        <f aca="false">H921-I921</f>
        <v>807.48</v>
      </c>
      <c r="K921" s="33" t="n">
        <f aca="false">IF(OR(E921=0,E921&gt;=7),0,D921/(7-E921)*E921*INDEX(Products!$E$2:$E$49,MATCH(C921,Products!$A$2:$A$49,0)))</f>
        <v>2160</v>
      </c>
    </row>
    <row r="922" customFormat="false" ht="15" hidden="false" customHeight="false" outlineLevel="0" collapsed="false">
      <c r="A922" s="36" t="n">
        <v>46258</v>
      </c>
      <c r="B922" s="24" t="s">
        <v>61</v>
      </c>
      <c r="C922" s="24" t="s">
        <v>187</v>
      </c>
      <c r="D922" s="33" t="n">
        <v>45</v>
      </c>
      <c r="E922" s="24" t="n">
        <v>0</v>
      </c>
      <c r="F922" s="37" t="n">
        <f aca="false">DATE(YEAR(A922),MONTH(A922),1)</f>
        <v>46235</v>
      </c>
      <c r="G922" s="24" t="str">
        <f aca="false">INDEX(Products!$C$2:$C$49,MATCH(C922,Products!$A$2:$A$49,0))</f>
        <v>Personal Care</v>
      </c>
      <c r="H922" s="33" t="n">
        <f aca="false">D922*INDEX(Products!$E$2:$E$49,MATCH(C922,Products!$A$2:$A$49,0))</f>
        <v>7200</v>
      </c>
      <c r="I922" s="33" t="n">
        <f aca="false">D922*INDEX(Products!$D$2:$D$49,MATCH(C922,Products!$A$2:$A$49,0))*(1+INDEX(Assumptions!$B$16:$B$20,MATCH(B922,Assumptions!$A$16:$A$20,0)))</f>
        <v>5181.3</v>
      </c>
      <c r="J922" s="33" t="n">
        <f aca="false">H922-I922</f>
        <v>2018.7</v>
      </c>
      <c r="K922" s="33" t="n">
        <f aca="false">IF(OR(E922=0,E922&gt;=7),0,D922/(7-E922)*E922*INDEX(Products!$E$2:$E$49,MATCH(C922,Products!$A$2:$A$49,0)))</f>
        <v>0</v>
      </c>
    </row>
    <row r="923" customFormat="false" ht="15" hidden="false" customHeight="false" outlineLevel="0" collapsed="false">
      <c r="A923" s="36" t="n">
        <v>46265</v>
      </c>
      <c r="B923" s="24" t="s">
        <v>61</v>
      </c>
      <c r="C923" s="24" t="s">
        <v>187</v>
      </c>
      <c r="D923" s="33" t="n">
        <v>38</v>
      </c>
      <c r="E923" s="24" t="n">
        <v>0</v>
      </c>
      <c r="F923" s="37" t="n">
        <f aca="false">DATE(YEAR(A923),MONTH(A923),1)</f>
        <v>46235</v>
      </c>
      <c r="G923" s="24" t="str">
        <f aca="false">INDEX(Products!$C$2:$C$49,MATCH(C923,Products!$A$2:$A$49,0))</f>
        <v>Personal Care</v>
      </c>
      <c r="H923" s="33" t="n">
        <f aca="false">D923*INDEX(Products!$E$2:$E$49,MATCH(C923,Products!$A$2:$A$49,0))</f>
        <v>6080</v>
      </c>
      <c r="I923" s="33" t="n">
        <f aca="false">D923*INDEX(Products!$D$2:$D$49,MATCH(C923,Products!$A$2:$A$49,0))*(1+INDEX(Assumptions!$B$16:$B$20,MATCH(B923,Assumptions!$A$16:$A$20,0)))</f>
        <v>4375.32</v>
      </c>
      <c r="J923" s="33" t="n">
        <f aca="false">H923-I923</f>
        <v>1704.68</v>
      </c>
      <c r="K923" s="33" t="n">
        <f aca="false">IF(OR(E923=0,E923&gt;=7),0,D923/(7-E923)*E923*INDEX(Products!$E$2:$E$49,MATCH(C923,Products!$A$2:$A$49,0)))</f>
        <v>0</v>
      </c>
    </row>
    <row r="924" customFormat="false" ht="15" hidden="false" customHeight="false" outlineLevel="0" collapsed="false">
      <c r="A924" s="36" t="n">
        <v>46272</v>
      </c>
      <c r="B924" s="24" t="s">
        <v>61</v>
      </c>
      <c r="C924" s="24" t="s">
        <v>187</v>
      </c>
      <c r="D924" s="33" t="n">
        <v>47</v>
      </c>
      <c r="E924" s="24" t="n">
        <v>0</v>
      </c>
      <c r="F924" s="37" t="n">
        <f aca="false">DATE(YEAR(A924),MONTH(A924),1)</f>
        <v>46266</v>
      </c>
      <c r="G924" s="24" t="str">
        <f aca="false">INDEX(Products!$C$2:$C$49,MATCH(C924,Products!$A$2:$A$49,0))</f>
        <v>Personal Care</v>
      </c>
      <c r="H924" s="33" t="n">
        <f aca="false">D924*INDEX(Products!$E$2:$E$49,MATCH(C924,Products!$A$2:$A$49,0))</f>
        <v>7520</v>
      </c>
      <c r="I924" s="33" t="n">
        <f aca="false">D924*INDEX(Products!$D$2:$D$49,MATCH(C924,Products!$A$2:$A$49,0))*(1+INDEX(Assumptions!$B$16:$B$20,MATCH(B924,Assumptions!$A$16:$A$20,0)))</f>
        <v>5411.58</v>
      </c>
      <c r="J924" s="33" t="n">
        <f aca="false">H924-I924</f>
        <v>2108.42</v>
      </c>
      <c r="K924" s="33" t="n">
        <f aca="false">IF(OR(E924=0,E924&gt;=7),0,D924/(7-E924)*E924*INDEX(Products!$E$2:$E$49,MATCH(C924,Products!$A$2:$A$49,0)))</f>
        <v>0</v>
      </c>
    </row>
    <row r="925" customFormat="false" ht="15" hidden="false" customHeight="false" outlineLevel="0" collapsed="false">
      <c r="A925" s="36" t="n">
        <v>46279</v>
      </c>
      <c r="B925" s="24" t="s">
        <v>61</v>
      </c>
      <c r="C925" s="24" t="s">
        <v>187</v>
      </c>
      <c r="D925" s="33" t="n">
        <v>23</v>
      </c>
      <c r="E925" s="24" t="n">
        <v>2</v>
      </c>
      <c r="F925" s="37" t="n">
        <f aca="false">DATE(YEAR(A925),MONTH(A925),1)</f>
        <v>46266</v>
      </c>
      <c r="G925" s="24" t="str">
        <f aca="false">INDEX(Products!$C$2:$C$49,MATCH(C925,Products!$A$2:$A$49,0))</f>
        <v>Personal Care</v>
      </c>
      <c r="H925" s="33" t="n">
        <f aca="false">D925*INDEX(Products!$E$2:$E$49,MATCH(C925,Products!$A$2:$A$49,0))</f>
        <v>3680</v>
      </c>
      <c r="I925" s="33" t="n">
        <f aca="false">D925*INDEX(Products!$D$2:$D$49,MATCH(C925,Products!$A$2:$A$49,0))*(1+INDEX(Assumptions!$B$16:$B$20,MATCH(B925,Assumptions!$A$16:$A$20,0)))</f>
        <v>2648.22</v>
      </c>
      <c r="J925" s="33" t="n">
        <f aca="false">H925-I925</f>
        <v>1031.78</v>
      </c>
      <c r="K925" s="33" t="n">
        <f aca="false">IF(OR(E925=0,E925&gt;=7),0,D925/(7-E925)*E925*INDEX(Products!$E$2:$E$49,MATCH(C925,Products!$A$2:$A$49,0)))</f>
        <v>1472</v>
      </c>
    </row>
    <row r="926" customFormat="false" ht="15" hidden="false" customHeight="false" outlineLevel="0" collapsed="false">
      <c r="A926" s="36" t="n">
        <v>46286</v>
      </c>
      <c r="B926" s="24" t="s">
        <v>61</v>
      </c>
      <c r="C926" s="24" t="s">
        <v>187</v>
      </c>
      <c r="D926" s="33" t="n">
        <v>40</v>
      </c>
      <c r="E926" s="24" t="n">
        <v>0</v>
      </c>
      <c r="F926" s="37" t="n">
        <f aca="false">DATE(YEAR(A926),MONTH(A926),1)</f>
        <v>46266</v>
      </c>
      <c r="G926" s="24" t="str">
        <f aca="false">INDEX(Products!$C$2:$C$49,MATCH(C926,Products!$A$2:$A$49,0))</f>
        <v>Personal Care</v>
      </c>
      <c r="H926" s="33" t="n">
        <f aca="false">D926*INDEX(Products!$E$2:$E$49,MATCH(C926,Products!$A$2:$A$49,0))</f>
        <v>6400</v>
      </c>
      <c r="I926" s="33" t="n">
        <f aca="false">D926*INDEX(Products!$D$2:$D$49,MATCH(C926,Products!$A$2:$A$49,0))*(1+INDEX(Assumptions!$B$16:$B$20,MATCH(B926,Assumptions!$A$16:$A$20,0)))</f>
        <v>4605.6</v>
      </c>
      <c r="J926" s="33" t="n">
        <f aca="false">H926-I926</f>
        <v>1794.4</v>
      </c>
      <c r="K926" s="33" t="n">
        <f aca="false">IF(OR(E926=0,E926&gt;=7),0,D926/(7-E926)*E926*INDEX(Products!$E$2:$E$49,MATCH(C926,Products!$A$2:$A$49,0)))</f>
        <v>0</v>
      </c>
    </row>
    <row r="927" customFormat="false" ht="15" hidden="false" customHeight="false" outlineLevel="0" collapsed="false">
      <c r="A927" s="36" t="n">
        <v>46118</v>
      </c>
      <c r="B927" s="24" t="s">
        <v>61</v>
      </c>
      <c r="C927" s="24" t="s">
        <v>189</v>
      </c>
      <c r="D927" s="33" t="n">
        <v>26</v>
      </c>
      <c r="E927" s="24" t="n">
        <v>0</v>
      </c>
      <c r="F927" s="37" t="n">
        <f aca="false">DATE(YEAR(A927),MONTH(A927),1)</f>
        <v>46113</v>
      </c>
      <c r="G927" s="24" t="str">
        <f aca="false">INDEX(Products!$C$2:$C$49,MATCH(C927,Products!$A$2:$A$49,0))</f>
        <v>Personal Care</v>
      </c>
      <c r="H927" s="33" t="n">
        <f aca="false">D927*INDEX(Products!$E$2:$E$49,MATCH(C927,Products!$A$2:$A$49,0))</f>
        <v>9360</v>
      </c>
      <c r="I927" s="33" t="n">
        <f aca="false">D927*INDEX(Products!$D$2:$D$49,MATCH(C927,Products!$A$2:$A$49,0))*(1+INDEX(Assumptions!$B$16:$B$20,MATCH(B927,Assumptions!$A$16:$A$20,0)))</f>
        <v>6118.58</v>
      </c>
      <c r="J927" s="33" t="n">
        <f aca="false">H927-I927</f>
        <v>3241.42</v>
      </c>
      <c r="K927" s="33" t="n">
        <f aca="false">IF(OR(E927=0,E927&gt;=7),0,D927/(7-E927)*E927*INDEX(Products!$E$2:$E$49,MATCH(C927,Products!$A$2:$A$49,0)))</f>
        <v>0</v>
      </c>
    </row>
    <row r="928" customFormat="false" ht="15" hidden="false" customHeight="false" outlineLevel="0" collapsed="false">
      <c r="A928" s="36" t="n">
        <v>46125</v>
      </c>
      <c r="B928" s="24" t="s">
        <v>61</v>
      </c>
      <c r="C928" s="24" t="s">
        <v>189</v>
      </c>
      <c r="D928" s="33" t="n">
        <v>31</v>
      </c>
      <c r="E928" s="24" t="n">
        <v>0</v>
      </c>
      <c r="F928" s="37" t="n">
        <f aca="false">DATE(YEAR(A928),MONTH(A928),1)</f>
        <v>46113</v>
      </c>
      <c r="G928" s="24" t="str">
        <f aca="false">INDEX(Products!$C$2:$C$49,MATCH(C928,Products!$A$2:$A$49,0))</f>
        <v>Personal Care</v>
      </c>
      <c r="H928" s="33" t="n">
        <f aca="false">D928*INDEX(Products!$E$2:$E$49,MATCH(C928,Products!$A$2:$A$49,0))</f>
        <v>11160</v>
      </c>
      <c r="I928" s="33" t="n">
        <f aca="false">D928*INDEX(Products!$D$2:$D$49,MATCH(C928,Products!$A$2:$A$49,0))*(1+INDEX(Assumptions!$B$16:$B$20,MATCH(B928,Assumptions!$A$16:$A$20,0)))</f>
        <v>7295.23</v>
      </c>
      <c r="J928" s="33" t="n">
        <f aca="false">H928-I928</f>
        <v>3864.77</v>
      </c>
      <c r="K928" s="33" t="n">
        <f aca="false">IF(OR(E928=0,E928&gt;=7),0,D928/(7-E928)*E928*INDEX(Products!$E$2:$E$49,MATCH(C928,Products!$A$2:$A$49,0)))</f>
        <v>0</v>
      </c>
    </row>
    <row r="929" customFormat="false" ht="15" hidden="false" customHeight="false" outlineLevel="0" collapsed="false">
      <c r="A929" s="36" t="n">
        <v>46132</v>
      </c>
      <c r="B929" s="24" t="s">
        <v>61</v>
      </c>
      <c r="C929" s="24" t="s">
        <v>189</v>
      </c>
      <c r="D929" s="33" t="n">
        <v>36</v>
      </c>
      <c r="E929" s="24" t="n">
        <v>0</v>
      </c>
      <c r="F929" s="37" t="n">
        <f aca="false">DATE(YEAR(A929),MONTH(A929),1)</f>
        <v>46113</v>
      </c>
      <c r="G929" s="24" t="str">
        <f aca="false">INDEX(Products!$C$2:$C$49,MATCH(C929,Products!$A$2:$A$49,0))</f>
        <v>Personal Care</v>
      </c>
      <c r="H929" s="33" t="n">
        <f aca="false">D929*INDEX(Products!$E$2:$E$49,MATCH(C929,Products!$A$2:$A$49,0))</f>
        <v>12960</v>
      </c>
      <c r="I929" s="33" t="n">
        <f aca="false">D929*INDEX(Products!$D$2:$D$49,MATCH(C929,Products!$A$2:$A$49,0))*(1+INDEX(Assumptions!$B$16:$B$20,MATCH(B929,Assumptions!$A$16:$A$20,0)))</f>
        <v>8471.88</v>
      </c>
      <c r="J929" s="33" t="n">
        <f aca="false">H929-I929</f>
        <v>4488.12</v>
      </c>
      <c r="K929" s="33" t="n">
        <f aca="false">IF(OR(E929=0,E929&gt;=7),0,D929/(7-E929)*E929*INDEX(Products!$E$2:$E$49,MATCH(C929,Products!$A$2:$A$49,0)))</f>
        <v>0</v>
      </c>
    </row>
    <row r="930" customFormat="false" ht="15" hidden="false" customHeight="false" outlineLevel="0" collapsed="false">
      <c r="A930" s="36" t="n">
        <v>46139</v>
      </c>
      <c r="B930" s="24" t="s">
        <v>61</v>
      </c>
      <c r="C930" s="24" t="s">
        <v>189</v>
      </c>
      <c r="D930" s="33" t="n">
        <v>36</v>
      </c>
      <c r="E930" s="24" t="n">
        <v>0</v>
      </c>
      <c r="F930" s="37" t="n">
        <f aca="false">DATE(YEAR(A930),MONTH(A930),1)</f>
        <v>46113</v>
      </c>
      <c r="G930" s="24" t="str">
        <f aca="false">INDEX(Products!$C$2:$C$49,MATCH(C930,Products!$A$2:$A$49,0))</f>
        <v>Personal Care</v>
      </c>
      <c r="H930" s="33" t="n">
        <f aca="false">D930*INDEX(Products!$E$2:$E$49,MATCH(C930,Products!$A$2:$A$49,0))</f>
        <v>12960</v>
      </c>
      <c r="I930" s="33" t="n">
        <f aca="false">D930*INDEX(Products!$D$2:$D$49,MATCH(C930,Products!$A$2:$A$49,0))*(1+INDEX(Assumptions!$B$16:$B$20,MATCH(B930,Assumptions!$A$16:$A$20,0)))</f>
        <v>8471.88</v>
      </c>
      <c r="J930" s="33" t="n">
        <f aca="false">H930-I930</f>
        <v>4488.12</v>
      </c>
      <c r="K930" s="33" t="n">
        <f aca="false">IF(OR(E930=0,E930&gt;=7),0,D930/(7-E930)*E930*INDEX(Products!$E$2:$E$49,MATCH(C930,Products!$A$2:$A$49,0)))</f>
        <v>0</v>
      </c>
    </row>
    <row r="931" customFormat="false" ht="15" hidden="false" customHeight="false" outlineLevel="0" collapsed="false">
      <c r="A931" s="36" t="n">
        <v>46146</v>
      </c>
      <c r="B931" s="24" t="s">
        <v>61</v>
      </c>
      <c r="C931" s="24" t="s">
        <v>189</v>
      </c>
      <c r="D931" s="33" t="n">
        <v>32</v>
      </c>
      <c r="E931" s="24" t="n">
        <v>0</v>
      </c>
      <c r="F931" s="37" t="n">
        <f aca="false">DATE(YEAR(A931),MONTH(A931),1)</f>
        <v>46143</v>
      </c>
      <c r="G931" s="24" t="str">
        <f aca="false">INDEX(Products!$C$2:$C$49,MATCH(C931,Products!$A$2:$A$49,0))</f>
        <v>Personal Care</v>
      </c>
      <c r="H931" s="33" t="n">
        <f aca="false">D931*INDEX(Products!$E$2:$E$49,MATCH(C931,Products!$A$2:$A$49,0))</f>
        <v>11520</v>
      </c>
      <c r="I931" s="33" t="n">
        <f aca="false">D931*INDEX(Products!$D$2:$D$49,MATCH(C931,Products!$A$2:$A$49,0))*(1+INDEX(Assumptions!$B$16:$B$20,MATCH(B931,Assumptions!$A$16:$A$20,0)))</f>
        <v>7530.56</v>
      </c>
      <c r="J931" s="33" t="n">
        <f aca="false">H931-I931</f>
        <v>3989.44</v>
      </c>
      <c r="K931" s="33" t="n">
        <f aca="false">IF(OR(E931=0,E931&gt;=7),0,D931/(7-E931)*E931*INDEX(Products!$E$2:$E$49,MATCH(C931,Products!$A$2:$A$49,0)))</f>
        <v>0</v>
      </c>
    </row>
    <row r="932" customFormat="false" ht="15" hidden="false" customHeight="false" outlineLevel="0" collapsed="false">
      <c r="A932" s="36" t="n">
        <v>46153</v>
      </c>
      <c r="B932" s="24" t="s">
        <v>61</v>
      </c>
      <c r="C932" s="24" t="s">
        <v>189</v>
      </c>
      <c r="D932" s="33" t="n">
        <v>29</v>
      </c>
      <c r="E932" s="24" t="n">
        <v>0</v>
      </c>
      <c r="F932" s="37" t="n">
        <f aca="false">DATE(YEAR(A932),MONTH(A932),1)</f>
        <v>46143</v>
      </c>
      <c r="G932" s="24" t="str">
        <f aca="false">INDEX(Products!$C$2:$C$49,MATCH(C932,Products!$A$2:$A$49,0))</f>
        <v>Personal Care</v>
      </c>
      <c r="H932" s="33" t="n">
        <f aca="false">D932*INDEX(Products!$E$2:$E$49,MATCH(C932,Products!$A$2:$A$49,0))</f>
        <v>10440</v>
      </c>
      <c r="I932" s="33" t="n">
        <f aca="false">D932*INDEX(Products!$D$2:$D$49,MATCH(C932,Products!$A$2:$A$49,0))*(1+INDEX(Assumptions!$B$16:$B$20,MATCH(B932,Assumptions!$A$16:$A$20,0)))</f>
        <v>6824.57</v>
      </c>
      <c r="J932" s="33" t="n">
        <f aca="false">H932-I932</f>
        <v>3615.43</v>
      </c>
      <c r="K932" s="33" t="n">
        <f aca="false">IF(OR(E932=0,E932&gt;=7),0,D932/(7-E932)*E932*INDEX(Products!$E$2:$E$49,MATCH(C932,Products!$A$2:$A$49,0)))</f>
        <v>0</v>
      </c>
    </row>
    <row r="933" customFormat="false" ht="15" hidden="false" customHeight="false" outlineLevel="0" collapsed="false">
      <c r="A933" s="36" t="n">
        <v>46160</v>
      </c>
      <c r="B933" s="24" t="s">
        <v>61</v>
      </c>
      <c r="C933" s="24" t="s">
        <v>189</v>
      </c>
      <c r="D933" s="33" t="n">
        <v>34</v>
      </c>
      <c r="E933" s="24" t="n">
        <v>0</v>
      </c>
      <c r="F933" s="37" t="n">
        <f aca="false">DATE(YEAR(A933),MONTH(A933),1)</f>
        <v>46143</v>
      </c>
      <c r="G933" s="24" t="str">
        <f aca="false">INDEX(Products!$C$2:$C$49,MATCH(C933,Products!$A$2:$A$49,0))</f>
        <v>Personal Care</v>
      </c>
      <c r="H933" s="33" t="n">
        <f aca="false">D933*INDEX(Products!$E$2:$E$49,MATCH(C933,Products!$A$2:$A$49,0))</f>
        <v>12240</v>
      </c>
      <c r="I933" s="33" t="n">
        <f aca="false">D933*INDEX(Products!$D$2:$D$49,MATCH(C933,Products!$A$2:$A$49,0))*(1+INDEX(Assumptions!$B$16:$B$20,MATCH(B933,Assumptions!$A$16:$A$20,0)))</f>
        <v>8001.22</v>
      </c>
      <c r="J933" s="33" t="n">
        <f aca="false">H933-I933</f>
        <v>4238.78</v>
      </c>
      <c r="K933" s="33" t="n">
        <f aca="false">IF(OR(E933=0,E933&gt;=7),0,D933/(7-E933)*E933*INDEX(Products!$E$2:$E$49,MATCH(C933,Products!$A$2:$A$49,0)))</f>
        <v>0</v>
      </c>
    </row>
    <row r="934" customFormat="false" ht="15" hidden="false" customHeight="false" outlineLevel="0" collapsed="false">
      <c r="A934" s="36" t="n">
        <v>46167</v>
      </c>
      <c r="B934" s="24" t="s">
        <v>61</v>
      </c>
      <c r="C934" s="24" t="s">
        <v>189</v>
      </c>
      <c r="D934" s="33" t="n">
        <v>33</v>
      </c>
      <c r="E934" s="24" t="n">
        <v>0</v>
      </c>
      <c r="F934" s="37" t="n">
        <f aca="false">DATE(YEAR(A934),MONTH(A934),1)</f>
        <v>46143</v>
      </c>
      <c r="G934" s="24" t="str">
        <f aca="false">INDEX(Products!$C$2:$C$49,MATCH(C934,Products!$A$2:$A$49,0))</f>
        <v>Personal Care</v>
      </c>
      <c r="H934" s="33" t="n">
        <f aca="false">D934*INDEX(Products!$E$2:$E$49,MATCH(C934,Products!$A$2:$A$49,0))</f>
        <v>11880</v>
      </c>
      <c r="I934" s="33" t="n">
        <f aca="false">D934*INDEX(Products!$D$2:$D$49,MATCH(C934,Products!$A$2:$A$49,0))*(1+INDEX(Assumptions!$B$16:$B$20,MATCH(B934,Assumptions!$A$16:$A$20,0)))</f>
        <v>7765.89</v>
      </c>
      <c r="J934" s="33" t="n">
        <f aca="false">H934-I934</f>
        <v>4114.11</v>
      </c>
      <c r="K934" s="33" t="n">
        <f aca="false">IF(OR(E934=0,E934&gt;=7),0,D934/(7-E934)*E934*INDEX(Products!$E$2:$E$49,MATCH(C934,Products!$A$2:$A$49,0)))</f>
        <v>0</v>
      </c>
    </row>
    <row r="935" customFormat="false" ht="15" hidden="false" customHeight="false" outlineLevel="0" collapsed="false">
      <c r="A935" s="36" t="n">
        <v>46174</v>
      </c>
      <c r="B935" s="24" t="s">
        <v>61</v>
      </c>
      <c r="C935" s="24" t="s">
        <v>189</v>
      </c>
      <c r="D935" s="33" t="n">
        <v>29</v>
      </c>
      <c r="E935" s="24" t="n">
        <v>0</v>
      </c>
      <c r="F935" s="37" t="n">
        <f aca="false">DATE(YEAR(A935),MONTH(A935),1)</f>
        <v>46174</v>
      </c>
      <c r="G935" s="24" t="str">
        <f aca="false">INDEX(Products!$C$2:$C$49,MATCH(C935,Products!$A$2:$A$49,0))</f>
        <v>Personal Care</v>
      </c>
      <c r="H935" s="33" t="n">
        <f aca="false">D935*INDEX(Products!$E$2:$E$49,MATCH(C935,Products!$A$2:$A$49,0))</f>
        <v>10440</v>
      </c>
      <c r="I935" s="33" t="n">
        <f aca="false">D935*INDEX(Products!$D$2:$D$49,MATCH(C935,Products!$A$2:$A$49,0))*(1+INDEX(Assumptions!$B$16:$B$20,MATCH(B935,Assumptions!$A$16:$A$20,0)))</f>
        <v>6824.57</v>
      </c>
      <c r="J935" s="33" t="n">
        <f aca="false">H935-I935</f>
        <v>3615.43</v>
      </c>
      <c r="K935" s="33" t="n">
        <f aca="false">IF(OR(E935=0,E935&gt;=7),0,D935/(7-E935)*E935*INDEX(Products!$E$2:$E$49,MATCH(C935,Products!$A$2:$A$49,0)))</f>
        <v>0</v>
      </c>
    </row>
    <row r="936" customFormat="false" ht="15" hidden="false" customHeight="false" outlineLevel="0" collapsed="false">
      <c r="A936" s="36" t="n">
        <v>46181</v>
      </c>
      <c r="B936" s="24" t="s">
        <v>61</v>
      </c>
      <c r="C936" s="24" t="s">
        <v>189</v>
      </c>
      <c r="D936" s="33" t="n">
        <v>28</v>
      </c>
      <c r="E936" s="24" t="n">
        <v>0</v>
      </c>
      <c r="F936" s="37" t="n">
        <f aca="false">DATE(YEAR(A936),MONTH(A936),1)</f>
        <v>46174</v>
      </c>
      <c r="G936" s="24" t="str">
        <f aca="false">INDEX(Products!$C$2:$C$49,MATCH(C936,Products!$A$2:$A$49,0))</f>
        <v>Personal Care</v>
      </c>
      <c r="H936" s="33" t="n">
        <f aca="false">D936*INDEX(Products!$E$2:$E$49,MATCH(C936,Products!$A$2:$A$49,0))</f>
        <v>10080</v>
      </c>
      <c r="I936" s="33" t="n">
        <f aca="false">D936*INDEX(Products!$D$2:$D$49,MATCH(C936,Products!$A$2:$A$49,0))*(1+INDEX(Assumptions!$B$16:$B$20,MATCH(B936,Assumptions!$A$16:$A$20,0)))</f>
        <v>6589.24</v>
      </c>
      <c r="J936" s="33" t="n">
        <f aca="false">H936-I936</f>
        <v>3490.76</v>
      </c>
      <c r="K936" s="33" t="n">
        <f aca="false">IF(OR(E936=0,E936&gt;=7),0,D936/(7-E936)*E936*INDEX(Products!$E$2:$E$49,MATCH(C936,Products!$A$2:$A$49,0)))</f>
        <v>0</v>
      </c>
    </row>
    <row r="937" customFormat="false" ht="15" hidden="false" customHeight="false" outlineLevel="0" collapsed="false">
      <c r="A937" s="36" t="n">
        <v>46188</v>
      </c>
      <c r="B937" s="24" t="s">
        <v>61</v>
      </c>
      <c r="C937" s="24" t="s">
        <v>189</v>
      </c>
      <c r="D937" s="33" t="n">
        <v>39</v>
      </c>
      <c r="E937" s="24" t="n">
        <v>0</v>
      </c>
      <c r="F937" s="37" t="n">
        <f aca="false">DATE(YEAR(A937),MONTH(A937),1)</f>
        <v>46174</v>
      </c>
      <c r="G937" s="24" t="str">
        <f aca="false">INDEX(Products!$C$2:$C$49,MATCH(C937,Products!$A$2:$A$49,0))</f>
        <v>Personal Care</v>
      </c>
      <c r="H937" s="33" t="n">
        <f aca="false">D937*INDEX(Products!$E$2:$E$49,MATCH(C937,Products!$A$2:$A$49,0))</f>
        <v>14040</v>
      </c>
      <c r="I937" s="33" t="n">
        <f aca="false">D937*INDEX(Products!$D$2:$D$49,MATCH(C937,Products!$A$2:$A$49,0))*(1+INDEX(Assumptions!$B$16:$B$20,MATCH(B937,Assumptions!$A$16:$A$20,0)))</f>
        <v>9177.87</v>
      </c>
      <c r="J937" s="33" t="n">
        <f aca="false">H937-I937</f>
        <v>4862.13</v>
      </c>
      <c r="K937" s="33" t="n">
        <f aca="false">IF(OR(E937=0,E937&gt;=7),0,D937/(7-E937)*E937*INDEX(Products!$E$2:$E$49,MATCH(C937,Products!$A$2:$A$49,0)))</f>
        <v>0</v>
      </c>
    </row>
    <row r="938" customFormat="false" ht="15" hidden="false" customHeight="false" outlineLevel="0" collapsed="false">
      <c r="A938" s="36" t="n">
        <v>46195</v>
      </c>
      <c r="B938" s="24" t="s">
        <v>61</v>
      </c>
      <c r="C938" s="24" t="s">
        <v>189</v>
      </c>
      <c r="D938" s="33" t="n">
        <v>42</v>
      </c>
      <c r="E938" s="24" t="n">
        <v>0</v>
      </c>
      <c r="F938" s="37" t="n">
        <f aca="false">DATE(YEAR(A938),MONTH(A938),1)</f>
        <v>46174</v>
      </c>
      <c r="G938" s="24" t="str">
        <f aca="false">INDEX(Products!$C$2:$C$49,MATCH(C938,Products!$A$2:$A$49,0))</f>
        <v>Personal Care</v>
      </c>
      <c r="H938" s="33" t="n">
        <f aca="false">D938*INDEX(Products!$E$2:$E$49,MATCH(C938,Products!$A$2:$A$49,0))</f>
        <v>15120</v>
      </c>
      <c r="I938" s="33" t="n">
        <f aca="false">D938*INDEX(Products!$D$2:$D$49,MATCH(C938,Products!$A$2:$A$49,0))*(1+INDEX(Assumptions!$B$16:$B$20,MATCH(B938,Assumptions!$A$16:$A$20,0)))</f>
        <v>9883.86</v>
      </c>
      <c r="J938" s="33" t="n">
        <f aca="false">H938-I938</f>
        <v>5236.14</v>
      </c>
      <c r="K938" s="33" t="n">
        <f aca="false">IF(OR(E938=0,E938&gt;=7),0,D938/(7-E938)*E938*INDEX(Products!$E$2:$E$49,MATCH(C938,Products!$A$2:$A$49,0)))</f>
        <v>0</v>
      </c>
    </row>
    <row r="939" customFormat="false" ht="15" hidden="false" customHeight="false" outlineLevel="0" collapsed="false">
      <c r="A939" s="36" t="n">
        <v>46202</v>
      </c>
      <c r="B939" s="24" t="s">
        <v>61</v>
      </c>
      <c r="C939" s="24" t="s">
        <v>189</v>
      </c>
      <c r="D939" s="33" t="n">
        <v>40</v>
      </c>
      <c r="E939" s="24" t="n">
        <v>0</v>
      </c>
      <c r="F939" s="37" t="n">
        <f aca="false">DATE(YEAR(A939),MONTH(A939),1)</f>
        <v>46174</v>
      </c>
      <c r="G939" s="24" t="str">
        <f aca="false">INDEX(Products!$C$2:$C$49,MATCH(C939,Products!$A$2:$A$49,0))</f>
        <v>Personal Care</v>
      </c>
      <c r="H939" s="33" t="n">
        <f aca="false">D939*INDEX(Products!$E$2:$E$49,MATCH(C939,Products!$A$2:$A$49,0))</f>
        <v>14400</v>
      </c>
      <c r="I939" s="33" t="n">
        <f aca="false">D939*INDEX(Products!$D$2:$D$49,MATCH(C939,Products!$A$2:$A$49,0))*(1+INDEX(Assumptions!$B$16:$B$20,MATCH(B939,Assumptions!$A$16:$A$20,0)))</f>
        <v>9413.2</v>
      </c>
      <c r="J939" s="33" t="n">
        <f aca="false">H939-I939</f>
        <v>4986.8</v>
      </c>
      <c r="K939" s="33" t="n">
        <f aca="false">IF(OR(E939=0,E939&gt;=7),0,D939/(7-E939)*E939*INDEX(Products!$E$2:$E$49,MATCH(C939,Products!$A$2:$A$49,0)))</f>
        <v>0</v>
      </c>
    </row>
    <row r="940" customFormat="false" ht="15" hidden="false" customHeight="false" outlineLevel="0" collapsed="false">
      <c r="A940" s="36" t="n">
        <v>46209</v>
      </c>
      <c r="B940" s="24" t="s">
        <v>61</v>
      </c>
      <c r="C940" s="24" t="s">
        <v>189</v>
      </c>
      <c r="D940" s="33" t="n">
        <v>25</v>
      </c>
      <c r="E940" s="24" t="n">
        <v>0</v>
      </c>
      <c r="F940" s="37" t="n">
        <f aca="false">DATE(YEAR(A940),MONTH(A940),1)</f>
        <v>46204</v>
      </c>
      <c r="G940" s="24" t="str">
        <f aca="false">INDEX(Products!$C$2:$C$49,MATCH(C940,Products!$A$2:$A$49,0))</f>
        <v>Personal Care</v>
      </c>
      <c r="H940" s="33" t="n">
        <f aca="false">D940*INDEX(Products!$E$2:$E$49,MATCH(C940,Products!$A$2:$A$49,0))</f>
        <v>9000</v>
      </c>
      <c r="I940" s="33" t="n">
        <f aca="false">D940*INDEX(Products!$D$2:$D$49,MATCH(C940,Products!$A$2:$A$49,0))*(1+INDEX(Assumptions!$B$16:$B$20,MATCH(B940,Assumptions!$A$16:$A$20,0)))</f>
        <v>5883.25</v>
      </c>
      <c r="J940" s="33" t="n">
        <f aca="false">H940-I940</f>
        <v>3116.75</v>
      </c>
      <c r="K940" s="33" t="n">
        <f aca="false">IF(OR(E940=0,E940&gt;=7),0,D940/(7-E940)*E940*INDEX(Products!$E$2:$E$49,MATCH(C940,Products!$A$2:$A$49,0)))</f>
        <v>0</v>
      </c>
    </row>
    <row r="941" customFormat="false" ht="15" hidden="false" customHeight="false" outlineLevel="0" collapsed="false">
      <c r="A941" s="36" t="n">
        <v>46216</v>
      </c>
      <c r="B941" s="24" t="s">
        <v>61</v>
      </c>
      <c r="C941" s="24" t="s">
        <v>189</v>
      </c>
      <c r="D941" s="33" t="n">
        <v>24</v>
      </c>
      <c r="E941" s="24" t="n">
        <v>0</v>
      </c>
      <c r="F941" s="37" t="n">
        <f aca="false">DATE(YEAR(A941),MONTH(A941),1)</f>
        <v>46204</v>
      </c>
      <c r="G941" s="24" t="str">
        <f aca="false">INDEX(Products!$C$2:$C$49,MATCH(C941,Products!$A$2:$A$49,0))</f>
        <v>Personal Care</v>
      </c>
      <c r="H941" s="33" t="n">
        <f aca="false">D941*INDEX(Products!$E$2:$E$49,MATCH(C941,Products!$A$2:$A$49,0))</f>
        <v>8640</v>
      </c>
      <c r="I941" s="33" t="n">
        <f aca="false">D941*INDEX(Products!$D$2:$D$49,MATCH(C941,Products!$A$2:$A$49,0))*(1+INDEX(Assumptions!$B$16:$B$20,MATCH(B941,Assumptions!$A$16:$A$20,0)))</f>
        <v>5647.92</v>
      </c>
      <c r="J941" s="33" t="n">
        <f aca="false">H941-I941</f>
        <v>2992.08</v>
      </c>
      <c r="K941" s="33" t="n">
        <f aca="false">IF(OR(E941=0,E941&gt;=7),0,D941/(7-E941)*E941*INDEX(Products!$E$2:$E$49,MATCH(C941,Products!$A$2:$A$49,0)))</f>
        <v>0</v>
      </c>
    </row>
    <row r="942" customFormat="false" ht="15" hidden="false" customHeight="false" outlineLevel="0" collapsed="false">
      <c r="A942" s="36" t="n">
        <v>46223</v>
      </c>
      <c r="B942" s="24" t="s">
        <v>61</v>
      </c>
      <c r="C942" s="24" t="s">
        <v>189</v>
      </c>
      <c r="D942" s="33" t="n">
        <v>58</v>
      </c>
      <c r="E942" s="24" t="n">
        <v>0</v>
      </c>
      <c r="F942" s="37" t="n">
        <f aca="false">DATE(YEAR(A942),MONTH(A942),1)</f>
        <v>46204</v>
      </c>
      <c r="G942" s="24" t="str">
        <f aca="false">INDEX(Products!$C$2:$C$49,MATCH(C942,Products!$A$2:$A$49,0))</f>
        <v>Personal Care</v>
      </c>
      <c r="H942" s="33" t="n">
        <f aca="false">D942*INDEX(Products!$E$2:$E$49,MATCH(C942,Products!$A$2:$A$49,0))</f>
        <v>20880</v>
      </c>
      <c r="I942" s="33" t="n">
        <f aca="false">D942*INDEX(Products!$D$2:$D$49,MATCH(C942,Products!$A$2:$A$49,0))*(1+INDEX(Assumptions!$B$16:$B$20,MATCH(B942,Assumptions!$A$16:$A$20,0)))</f>
        <v>13649.14</v>
      </c>
      <c r="J942" s="33" t="n">
        <f aca="false">H942-I942</f>
        <v>7230.86</v>
      </c>
      <c r="K942" s="33" t="n">
        <f aca="false">IF(OR(E942=0,E942&gt;=7),0,D942/(7-E942)*E942*INDEX(Products!$E$2:$E$49,MATCH(C942,Products!$A$2:$A$49,0)))</f>
        <v>0</v>
      </c>
    </row>
    <row r="943" customFormat="false" ht="15" hidden="false" customHeight="false" outlineLevel="0" collapsed="false">
      <c r="A943" s="36" t="n">
        <v>46230</v>
      </c>
      <c r="B943" s="24" t="s">
        <v>61</v>
      </c>
      <c r="C943" s="24" t="s">
        <v>189</v>
      </c>
      <c r="D943" s="33" t="n">
        <v>34</v>
      </c>
      <c r="E943" s="24" t="n">
        <v>0</v>
      </c>
      <c r="F943" s="37" t="n">
        <f aca="false">DATE(YEAR(A943),MONTH(A943),1)</f>
        <v>46204</v>
      </c>
      <c r="G943" s="24" t="str">
        <f aca="false">INDEX(Products!$C$2:$C$49,MATCH(C943,Products!$A$2:$A$49,0))</f>
        <v>Personal Care</v>
      </c>
      <c r="H943" s="33" t="n">
        <f aca="false">D943*INDEX(Products!$E$2:$E$49,MATCH(C943,Products!$A$2:$A$49,0))</f>
        <v>12240</v>
      </c>
      <c r="I943" s="33" t="n">
        <f aca="false">D943*INDEX(Products!$D$2:$D$49,MATCH(C943,Products!$A$2:$A$49,0))*(1+INDEX(Assumptions!$B$16:$B$20,MATCH(B943,Assumptions!$A$16:$A$20,0)))</f>
        <v>8001.22</v>
      </c>
      <c r="J943" s="33" t="n">
        <f aca="false">H943-I943</f>
        <v>4238.78</v>
      </c>
      <c r="K943" s="33" t="n">
        <f aca="false">IF(OR(E943=0,E943&gt;=7),0,D943/(7-E943)*E943*INDEX(Products!$E$2:$E$49,MATCH(C943,Products!$A$2:$A$49,0)))</f>
        <v>0</v>
      </c>
    </row>
    <row r="944" customFormat="false" ht="15" hidden="false" customHeight="false" outlineLevel="0" collapsed="false">
      <c r="A944" s="36" t="n">
        <v>46237</v>
      </c>
      <c r="B944" s="24" t="s">
        <v>61</v>
      </c>
      <c r="C944" s="24" t="s">
        <v>189</v>
      </c>
      <c r="D944" s="33" t="n">
        <v>20</v>
      </c>
      <c r="E944" s="24" t="n">
        <v>0</v>
      </c>
      <c r="F944" s="37" t="n">
        <f aca="false">DATE(YEAR(A944),MONTH(A944),1)</f>
        <v>46235</v>
      </c>
      <c r="G944" s="24" t="str">
        <f aca="false">INDEX(Products!$C$2:$C$49,MATCH(C944,Products!$A$2:$A$49,0))</f>
        <v>Personal Care</v>
      </c>
      <c r="H944" s="33" t="n">
        <f aca="false">D944*INDEX(Products!$E$2:$E$49,MATCH(C944,Products!$A$2:$A$49,0))</f>
        <v>7200</v>
      </c>
      <c r="I944" s="33" t="n">
        <f aca="false">D944*INDEX(Products!$D$2:$D$49,MATCH(C944,Products!$A$2:$A$49,0))*(1+INDEX(Assumptions!$B$16:$B$20,MATCH(B944,Assumptions!$A$16:$A$20,0)))</f>
        <v>4706.6</v>
      </c>
      <c r="J944" s="33" t="n">
        <f aca="false">H944-I944</f>
        <v>2493.4</v>
      </c>
      <c r="K944" s="33" t="n">
        <f aca="false">IF(OR(E944=0,E944&gt;=7),0,D944/(7-E944)*E944*INDEX(Products!$E$2:$E$49,MATCH(C944,Products!$A$2:$A$49,0)))</f>
        <v>0</v>
      </c>
    </row>
    <row r="945" customFormat="false" ht="15" hidden="false" customHeight="false" outlineLevel="0" collapsed="false">
      <c r="A945" s="36" t="n">
        <v>46244</v>
      </c>
      <c r="B945" s="24" t="s">
        <v>61</v>
      </c>
      <c r="C945" s="24" t="s">
        <v>189</v>
      </c>
      <c r="D945" s="33" t="n">
        <v>37</v>
      </c>
      <c r="E945" s="24" t="n">
        <v>0</v>
      </c>
      <c r="F945" s="37" t="n">
        <f aca="false">DATE(YEAR(A945),MONTH(A945),1)</f>
        <v>46235</v>
      </c>
      <c r="G945" s="24" t="str">
        <f aca="false">INDEX(Products!$C$2:$C$49,MATCH(C945,Products!$A$2:$A$49,0))</f>
        <v>Personal Care</v>
      </c>
      <c r="H945" s="33" t="n">
        <f aca="false">D945*INDEX(Products!$E$2:$E$49,MATCH(C945,Products!$A$2:$A$49,0))</f>
        <v>13320</v>
      </c>
      <c r="I945" s="33" t="n">
        <f aca="false">D945*INDEX(Products!$D$2:$D$49,MATCH(C945,Products!$A$2:$A$49,0))*(1+INDEX(Assumptions!$B$16:$B$20,MATCH(B945,Assumptions!$A$16:$A$20,0)))</f>
        <v>8707.21</v>
      </c>
      <c r="J945" s="33" t="n">
        <f aca="false">H945-I945</f>
        <v>4612.79</v>
      </c>
      <c r="K945" s="33" t="n">
        <f aca="false">IF(OR(E945=0,E945&gt;=7),0,D945/(7-E945)*E945*INDEX(Products!$E$2:$E$49,MATCH(C945,Products!$A$2:$A$49,0)))</f>
        <v>0</v>
      </c>
    </row>
    <row r="946" customFormat="false" ht="15" hidden="false" customHeight="false" outlineLevel="0" collapsed="false">
      <c r="A946" s="36" t="n">
        <v>46251</v>
      </c>
      <c r="B946" s="24" t="s">
        <v>61</v>
      </c>
      <c r="C946" s="24" t="s">
        <v>189</v>
      </c>
      <c r="D946" s="33" t="n">
        <v>22</v>
      </c>
      <c r="E946" s="24" t="n">
        <v>0</v>
      </c>
      <c r="F946" s="37" t="n">
        <f aca="false">DATE(YEAR(A946),MONTH(A946),1)</f>
        <v>46235</v>
      </c>
      <c r="G946" s="24" t="str">
        <f aca="false">INDEX(Products!$C$2:$C$49,MATCH(C946,Products!$A$2:$A$49,0))</f>
        <v>Personal Care</v>
      </c>
      <c r="H946" s="33" t="n">
        <f aca="false">D946*INDEX(Products!$E$2:$E$49,MATCH(C946,Products!$A$2:$A$49,0))</f>
        <v>7920</v>
      </c>
      <c r="I946" s="33" t="n">
        <f aca="false">D946*INDEX(Products!$D$2:$D$49,MATCH(C946,Products!$A$2:$A$49,0))*(1+INDEX(Assumptions!$B$16:$B$20,MATCH(B946,Assumptions!$A$16:$A$20,0)))</f>
        <v>5177.26</v>
      </c>
      <c r="J946" s="33" t="n">
        <f aca="false">H946-I946</f>
        <v>2742.74</v>
      </c>
      <c r="K946" s="33" t="n">
        <f aca="false">IF(OR(E946=0,E946&gt;=7),0,D946/(7-E946)*E946*INDEX(Products!$E$2:$E$49,MATCH(C946,Products!$A$2:$A$49,0)))</f>
        <v>0</v>
      </c>
    </row>
    <row r="947" customFormat="false" ht="15" hidden="false" customHeight="false" outlineLevel="0" collapsed="false">
      <c r="A947" s="36" t="n">
        <v>46258</v>
      </c>
      <c r="B947" s="24" t="s">
        <v>61</v>
      </c>
      <c r="C947" s="24" t="s">
        <v>189</v>
      </c>
      <c r="D947" s="33" t="n">
        <v>42</v>
      </c>
      <c r="E947" s="24" t="n">
        <v>0</v>
      </c>
      <c r="F947" s="37" t="n">
        <f aca="false">DATE(YEAR(A947),MONTH(A947),1)</f>
        <v>46235</v>
      </c>
      <c r="G947" s="24" t="str">
        <f aca="false">INDEX(Products!$C$2:$C$49,MATCH(C947,Products!$A$2:$A$49,0))</f>
        <v>Personal Care</v>
      </c>
      <c r="H947" s="33" t="n">
        <f aca="false">D947*INDEX(Products!$E$2:$E$49,MATCH(C947,Products!$A$2:$A$49,0))</f>
        <v>15120</v>
      </c>
      <c r="I947" s="33" t="n">
        <f aca="false">D947*INDEX(Products!$D$2:$D$49,MATCH(C947,Products!$A$2:$A$49,0))*(1+INDEX(Assumptions!$B$16:$B$20,MATCH(B947,Assumptions!$A$16:$A$20,0)))</f>
        <v>9883.86</v>
      </c>
      <c r="J947" s="33" t="n">
        <f aca="false">H947-I947</f>
        <v>5236.14</v>
      </c>
      <c r="K947" s="33" t="n">
        <f aca="false">IF(OR(E947=0,E947&gt;=7),0,D947/(7-E947)*E947*INDEX(Products!$E$2:$E$49,MATCH(C947,Products!$A$2:$A$49,0)))</f>
        <v>0</v>
      </c>
    </row>
    <row r="948" customFormat="false" ht="15" hidden="false" customHeight="false" outlineLevel="0" collapsed="false">
      <c r="A948" s="36" t="n">
        <v>46265</v>
      </c>
      <c r="B948" s="24" t="s">
        <v>61</v>
      </c>
      <c r="C948" s="24" t="s">
        <v>189</v>
      </c>
      <c r="D948" s="33" t="n">
        <v>31</v>
      </c>
      <c r="E948" s="24" t="n">
        <v>0</v>
      </c>
      <c r="F948" s="37" t="n">
        <f aca="false">DATE(YEAR(A948),MONTH(A948),1)</f>
        <v>46235</v>
      </c>
      <c r="G948" s="24" t="str">
        <f aca="false">INDEX(Products!$C$2:$C$49,MATCH(C948,Products!$A$2:$A$49,0))</f>
        <v>Personal Care</v>
      </c>
      <c r="H948" s="33" t="n">
        <f aca="false">D948*INDEX(Products!$E$2:$E$49,MATCH(C948,Products!$A$2:$A$49,0))</f>
        <v>11160</v>
      </c>
      <c r="I948" s="33" t="n">
        <f aca="false">D948*INDEX(Products!$D$2:$D$49,MATCH(C948,Products!$A$2:$A$49,0))*(1+INDEX(Assumptions!$B$16:$B$20,MATCH(B948,Assumptions!$A$16:$A$20,0)))</f>
        <v>7295.23</v>
      </c>
      <c r="J948" s="33" t="n">
        <f aca="false">H948-I948</f>
        <v>3864.77</v>
      </c>
      <c r="K948" s="33" t="n">
        <f aca="false">IF(OR(E948=0,E948&gt;=7),0,D948/(7-E948)*E948*INDEX(Products!$E$2:$E$49,MATCH(C948,Products!$A$2:$A$49,0)))</f>
        <v>0</v>
      </c>
    </row>
    <row r="949" customFormat="false" ht="15" hidden="false" customHeight="false" outlineLevel="0" collapsed="false">
      <c r="A949" s="36" t="n">
        <v>46272</v>
      </c>
      <c r="B949" s="24" t="s">
        <v>61</v>
      </c>
      <c r="C949" s="24" t="s">
        <v>189</v>
      </c>
      <c r="D949" s="33" t="n">
        <v>29</v>
      </c>
      <c r="E949" s="24" t="n">
        <v>0</v>
      </c>
      <c r="F949" s="37" t="n">
        <f aca="false">DATE(YEAR(A949),MONTH(A949),1)</f>
        <v>46266</v>
      </c>
      <c r="G949" s="24" t="str">
        <f aca="false">INDEX(Products!$C$2:$C$49,MATCH(C949,Products!$A$2:$A$49,0))</f>
        <v>Personal Care</v>
      </c>
      <c r="H949" s="33" t="n">
        <f aca="false">D949*INDEX(Products!$E$2:$E$49,MATCH(C949,Products!$A$2:$A$49,0))</f>
        <v>10440</v>
      </c>
      <c r="I949" s="33" t="n">
        <f aca="false">D949*INDEX(Products!$D$2:$D$49,MATCH(C949,Products!$A$2:$A$49,0))*(1+INDEX(Assumptions!$B$16:$B$20,MATCH(B949,Assumptions!$A$16:$A$20,0)))</f>
        <v>6824.57</v>
      </c>
      <c r="J949" s="33" t="n">
        <f aca="false">H949-I949</f>
        <v>3615.43</v>
      </c>
      <c r="K949" s="33" t="n">
        <f aca="false">IF(OR(E949=0,E949&gt;=7),0,D949/(7-E949)*E949*INDEX(Products!$E$2:$E$49,MATCH(C949,Products!$A$2:$A$49,0)))</f>
        <v>0</v>
      </c>
    </row>
    <row r="950" customFormat="false" ht="15" hidden="false" customHeight="false" outlineLevel="0" collapsed="false">
      <c r="A950" s="36" t="n">
        <v>46279</v>
      </c>
      <c r="B950" s="24" t="s">
        <v>61</v>
      </c>
      <c r="C950" s="24" t="s">
        <v>189</v>
      </c>
      <c r="D950" s="33" t="n">
        <v>24</v>
      </c>
      <c r="E950" s="24" t="n">
        <v>0</v>
      </c>
      <c r="F950" s="37" t="n">
        <f aca="false">DATE(YEAR(A950),MONTH(A950),1)</f>
        <v>46266</v>
      </c>
      <c r="G950" s="24" t="str">
        <f aca="false">INDEX(Products!$C$2:$C$49,MATCH(C950,Products!$A$2:$A$49,0))</f>
        <v>Personal Care</v>
      </c>
      <c r="H950" s="33" t="n">
        <f aca="false">D950*INDEX(Products!$E$2:$E$49,MATCH(C950,Products!$A$2:$A$49,0))</f>
        <v>8640</v>
      </c>
      <c r="I950" s="33" t="n">
        <f aca="false">D950*INDEX(Products!$D$2:$D$49,MATCH(C950,Products!$A$2:$A$49,0))*(1+INDEX(Assumptions!$B$16:$B$20,MATCH(B950,Assumptions!$A$16:$A$20,0)))</f>
        <v>5647.92</v>
      </c>
      <c r="J950" s="33" t="n">
        <f aca="false">H950-I950</f>
        <v>2992.08</v>
      </c>
      <c r="K950" s="33" t="n">
        <f aca="false">IF(OR(E950=0,E950&gt;=7),0,D950/(7-E950)*E950*INDEX(Products!$E$2:$E$49,MATCH(C950,Products!$A$2:$A$49,0)))</f>
        <v>0</v>
      </c>
    </row>
    <row r="951" customFormat="false" ht="15" hidden="false" customHeight="false" outlineLevel="0" collapsed="false">
      <c r="A951" s="36" t="n">
        <v>46286</v>
      </c>
      <c r="B951" s="24" t="s">
        <v>61</v>
      </c>
      <c r="C951" s="24" t="s">
        <v>189</v>
      </c>
      <c r="D951" s="33" t="n">
        <v>30</v>
      </c>
      <c r="E951" s="24" t="n">
        <v>0</v>
      </c>
      <c r="F951" s="37" t="n">
        <f aca="false">DATE(YEAR(A951),MONTH(A951),1)</f>
        <v>46266</v>
      </c>
      <c r="G951" s="24" t="str">
        <f aca="false">INDEX(Products!$C$2:$C$49,MATCH(C951,Products!$A$2:$A$49,0))</f>
        <v>Personal Care</v>
      </c>
      <c r="H951" s="33" t="n">
        <f aca="false">D951*INDEX(Products!$E$2:$E$49,MATCH(C951,Products!$A$2:$A$49,0))</f>
        <v>10800</v>
      </c>
      <c r="I951" s="33" t="n">
        <f aca="false">D951*INDEX(Products!$D$2:$D$49,MATCH(C951,Products!$A$2:$A$49,0))*(1+INDEX(Assumptions!$B$16:$B$20,MATCH(B951,Assumptions!$A$16:$A$20,0)))</f>
        <v>7059.9</v>
      </c>
      <c r="J951" s="33" t="n">
        <f aca="false">H951-I951</f>
        <v>3740.1</v>
      </c>
      <c r="K951" s="33" t="n">
        <f aca="false">IF(OR(E951=0,E951&gt;=7),0,D951/(7-E951)*E951*INDEX(Products!$E$2:$E$49,MATCH(C951,Products!$A$2:$A$49,0)))</f>
        <v>0</v>
      </c>
    </row>
    <row r="952" customFormat="false" ht="15" hidden="false" customHeight="false" outlineLevel="0" collapsed="false">
      <c r="A952" s="36" t="n">
        <v>46118</v>
      </c>
      <c r="B952" s="24" t="s">
        <v>61</v>
      </c>
      <c r="C952" s="24" t="s">
        <v>191</v>
      </c>
      <c r="D952" s="33" t="n">
        <v>16</v>
      </c>
      <c r="E952" s="24" t="n">
        <v>0</v>
      </c>
      <c r="F952" s="37" t="n">
        <f aca="false">DATE(YEAR(A952),MONTH(A952),1)</f>
        <v>46113</v>
      </c>
      <c r="G952" s="24" t="str">
        <f aca="false">INDEX(Products!$C$2:$C$49,MATCH(C952,Products!$A$2:$A$49,0))</f>
        <v>Personal Care</v>
      </c>
      <c r="H952" s="33" t="n">
        <f aca="false">D952*INDEX(Products!$E$2:$E$49,MATCH(C952,Products!$A$2:$A$49,0))</f>
        <v>3360</v>
      </c>
      <c r="I952" s="33" t="n">
        <f aca="false">D952*INDEX(Products!$D$2:$D$49,MATCH(C952,Products!$A$2:$A$49,0))*(1+INDEX(Assumptions!$B$16:$B$20,MATCH(B952,Assumptions!$A$16:$A$20,0)))</f>
        <v>2084.64</v>
      </c>
      <c r="J952" s="33" t="n">
        <f aca="false">H952-I952</f>
        <v>1275.36</v>
      </c>
      <c r="K952" s="33" t="n">
        <f aca="false">IF(OR(E952=0,E952&gt;=7),0,D952/(7-E952)*E952*INDEX(Products!$E$2:$E$49,MATCH(C952,Products!$A$2:$A$49,0)))</f>
        <v>0</v>
      </c>
    </row>
    <row r="953" customFormat="false" ht="15" hidden="false" customHeight="false" outlineLevel="0" collapsed="false">
      <c r="A953" s="36" t="n">
        <v>46125</v>
      </c>
      <c r="B953" s="24" t="s">
        <v>61</v>
      </c>
      <c r="C953" s="24" t="s">
        <v>191</v>
      </c>
      <c r="D953" s="33" t="n">
        <v>17</v>
      </c>
      <c r="E953" s="24" t="n">
        <v>0</v>
      </c>
      <c r="F953" s="37" t="n">
        <f aca="false">DATE(YEAR(A953),MONTH(A953),1)</f>
        <v>46113</v>
      </c>
      <c r="G953" s="24" t="str">
        <f aca="false">INDEX(Products!$C$2:$C$49,MATCH(C953,Products!$A$2:$A$49,0))</f>
        <v>Personal Care</v>
      </c>
      <c r="H953" s="33" t="n">
        <f aca="false">D953*INDEX(Products!$E$2:$E$49,MATCH(C953,Products!$A$2:$A$49,0))</f>
        <v>3570</v>
      </c>
      <c r="I953" s="33" t="n">
        <f aca="false">D953*INDEX(Products!$D$2:$D$49,MATCH(C953,Products!$A$2:$A$49,0))*(1+INDEX(Assumptions!$B$16:$B$20,MATCH(B953,Assumptions!$A$16:$A$20,0)))</f>
        <v>2214.93</v>
      </c>
      <c r="J953" s="33" t="n">
        <f aca="false">H953-I953</f>
        <v>1355.07</v>
      </c>
      <c r="K953" s="33" t="n">
        <f aca="false">IF(OR(E953=0,E953&gt;=7),0,D953/(7-E953)*E953*INDEX(Products!$E$2:$E$49,MATCH(C953,Products!$A$2:$A$49,0)))</f>
        <v>0</v>
      </c>
    </row>
    <row r="954" customFormat="false" ht="15" hidden="false" customHeight="false" outlineLevel="0" collapsed="false">
      <c r="A954" s="36" t="n">
        <v>46132</v>
      </c>
      <c r="B954" s="24" t="s">
        <v>61</v>
      </c>
      <c r="C954" s="24" t="s">
        <v>191</v>
      </c>
      <c r="D954" s="33" t="n">
        <v>22</v>
      </c>
      <c r="E954" s="24" t="n">
        <v>0</v>
      </c>
      <c r="F954" s="37" t="n">
        <f aca="false">DATE(YEAR(A954),MONTH(A954),1)</f>
        <v>46113</v>
      </c>
      <c r="G954" s="24" t="str">
        <f aca="false">INDEX(Products!$C$2:$C$49,MATCH(C954,Products!$A$2:$A$49,0))</f>
        <v>Personal Care</v>
      </c>
      <c r="H954" s="33" t="n">
        <f aca="false">D954*INDEX(Products!$E$2:$E$49,MATCH(C954,Products!$A$2:$A$49,0))</f>
        <v>4620</v>
      </c>
      <c r="I954" s="33" t="n">
        <f aca="false">D954*INDEX(Products!$D$2:$D$49,MATCH(C954,Products!$A$2:$A$49,0))*(1+INDEX(Assumptions!$B$16:$B$20,MATCH(B954,Assumptions!$A$16:$A$20,0)))</f>
        <v>2866.38</v>
      </c>
      <c r="J954" s="33" t="n">
        <f aca="false">H954-I954</f>
        <v>1753.62</v>
      </c>
      <c r="K954" s="33" t="n">
        <f aca="false">IF(OR(E954=0,E954&gt;=7),0,D954/(7-E954)*E954*INDEX(Products!$E$2:$E$49,MATCH(C954,Products!$A$2:$A$49,0)))</f>
        <v>0</v>
      </c>
    </row>
    <row r="955" customFormat="false" ht="15" hidden="false" customHeight="false" outlineLevel="0" collapsed="false">
      <c r="A955" s="36" t="n">
        <v>46139</v>
      </c>
      <c r="B955" s="24" t="s">
        <v>61</v>
      </c>
      <c r="C955" s="24" t="s">
        <v>191</v>
      </c>
      <c r="D955" s="33" t="n">
        <v>17</v>
      </c>
      <c r="E955" s="24" t="n">
        <v>0</v>
      </c>
      <c r="F955" s="37" t="n">
        <f aca="false">DATE(YEAR(A955),MONTH(A955),1)</f>
        <v>46113</v>
      </c>
      <c r="G955" s="24" t="str">
        <f aca="false">INDEX(Products!$C$2:$C$49,MATCH(C955,Products!$A$2:$A$49,0))</f>
        <v>Personal Care</v>
      </c>
      <c r="H955" s="33" t="n">
        <f aca="false">D955*INDEX(Products!$E$2:$E$49,MATCH(C955,Products!$A$2:$A$49,0))</f>
        <v>3570</v>
      </c>
      <c r="I955" s="33" t="n">
        <f aca="false">D955*INDEX(Products!$D$2:$D$49,MATCH(C955,Products!$A$2:$A$49,0))*(1+INDEX(Assumptions!$B$16:$B$20,MATCH(B955,Assumptions!$A$16:$A$20,0)))</f>
        <v>2214.93</v>
      </c>
      <c r="J955" s="33" t="n">
        <f aca="false">H955-I955</f>
        <v>1355.07</v>
      </c>
      <c r="K955" s="33" t="n">
        <f aca="false">IF(OR(E955=0,E955&gt;=7),0,D955/(7-E955)*E955*INDEX(Products!$E$2:$E$49,MATCH(C955,Products!$A$2:$A$49,0)))</f>
        <v>0</v>
      </c>
    </row>
    <row r="956" customFormat="false" ht="15" hidden="false" customHeight="false" outlineLevel="0" collapsed="false">
      <c r="A956" s="36" t="n">
        <v>46146</v>
      </c>
      <c r="B956" s="24" t="s">
        <v>61</v>
      </c>
      <c r="C956" s="24" t="s">
        <v>191</v>
      </c>
      <c r="D956" s="33" t="n">
        <v>15</v>
      </c>
      <c r="E956" s="24" t="n">
        <v>2</v>
      </c>
      <c r="F956" s="37" t="n">
        <f aca="false">DATE(YEAR(A956),MONTH(A956),1)</f>
        <v>46143</v>
      </c>
      <c r="G956" s="24" t="str">
        <f aca="false">INDEX(Products!$C$2:$C$49,MATCH(C956,Products!$A$2:$A$49,0))</f>
        <v>Personal Care</v>
      </c>
      <c r="H956" s="33" t="n">
        <f aca="false">D956*INDEX(Products!$E$2:$E$49,MATCH(C956,Products!$A$2:$A$49,0))</f>
        <v>3150</v>
      </c>
      <c r="I956" s="33" t="n">
        <f aca="false">D956*INDEX(Products!$D$2:$D$49,MATCH(C956,Products!$A$2:$A$49,0))*(1+INDEX(Assumptions!$B$16:$B$20,MATCH(B956,Assumptions!$A$16:$A$20,0)))</f>
        <v>1954.35</v>
      </c>
      <c r="J956" s="33" t="n">
        <f aca="false">H956-I956</f>
        <v>1195.65</v>
      </c>
      <c r="K956" s="33" t="n">
        <f aca="false">IF(OR(E956=0,E956&gt;=7),0,D956/(7-E956)*E956*INDEX(Products!$E$2:$E$49,MATCH(C956,Products!$A$2:$A$49,0)))</f>
        <v>1260</v>
      </c>
    </row>
    <row r="957" customFormat="false" ht="15" hidden="false" customHeight="false" outlineLevel="0" collapsed="false">
      <c r="A957" s="36" t="n">
        <v>46153</v>
      </c>
      <c r="B957" s="24" t="s">
        <v>61</v>
      </c>
      <c r="C957" s="24" t="s">
        <v>191</v>
      </c>
      <c r="D957" s="33" t="n">
        <v>8</v>
      </c>
      <c r="E957" s="24" t="n">
        <v>2</v>
      </c>
      <c r="F957" s="37" t="n">
        <f aca="false">DATE(YEAR(A957),MONTH(A957),1)</f>
        <v>46143</v>
      </c>
      <c r="G957" s="24" t="str">
        <f aca="false">INDEX(Products!$C$2:$C$49,MATCH(C957,Products!$A$2:$A$49,0))</f>
        <v>Personal Care</v>
      </c>
      <c r="H957" s="33" t="n">
        <f aca="false">D957*INDEX(Products!$E$2:$E$49,MATCH(C957,Products!$A$2:$A$49,0))</f>
        <v>1680</v>
      </c>
      <c r="I957" s="33" t="n">
        <f aca="false">D957*INDEX(Products!$D$2:$D$49,MATCH(C957,Products!$A$2:$A$49,0))*(1+INDEX(Assumptions!$B$16:$B$20,MATCH(B957,Assumptions!$A$16:$A$20,0)))</f>
        <v>1042.32</v>
      </c>
      <c r="J957" s="33" t="n">
        <f aca="false">H957-I957</f>
        <v>637.68</v>
      </c>
      <c r="K957" s="33" t="n">
        <f aca="false">IF(OR(E957=0,E957&gt;=7),0,D957/(7-E957)*E957*INDEX(Products!$E$2:$E$49,MATCH(C957,Products!$A$2:$A$49,0)))</f>
        <v>672</v>
      </c>
    </row>
    <row r="958" customFormat="false" ht="15" hidden="false" customHeight="false" outlineLevel="0" collapsed="false">
      <c r="A958" s="36" t="n">
        <v>46160</v>
      </c>
      <c r="B958" s="24" t="s">
        <v>61</v>
      </c>
      <c r="C958" s="24" t="s">
        <v>191</v>
      </c>
      <c r="D958" s="33" t="n">
        <v>14</v>
      </c>
      <c r="E958" s="24" t="n">
        <v>0</v>
      </c>
      <c r="F958" s="37" t="n">
        <f aca="false">DATE(YEAR(A958),MONTH(A958),1)</f>
        <v>46143</v>
      </c>
      <c r="G958" s="24" t="str">
        <f aca="false">INDEX(Products!$C$2:$C$49,MATCH(C958,Products!$A$2:$A$49,0))</f>
        <v>Personal Care</v>
      </c>
      <c r="H958" s="33" t="n">
        <f aca="false">D958*INDEX(Products!$E$2:$E$49,MATCH(C958,Products!$A$2:$A$49,0))</f>
        <v>2940</v>
      </c>
      <c r="I958" s="33" t="n">
        <f aca="false">D958*INDEX(Products!$D$2:$D$49,MATCH(C958,Products!$A$2:$A$49,0))*(1+INDEX(Assumptions!$B$16:$B$20,MATCH(B958,Assumptions!$A$16:$A$20,0)))</f>
        <v>1824.06</v>
      </c>
      <c r="J958" s="33" t="n">
        <f aca="false">H958-I958</f>
        <v>1115.94</v>
      </c>
      <c r="K958" s="33" t="n">
        <f aca="false">IF(OR(E958=0,E958&gt;=7),0,D958/(7-E958)*E958*INDEX(Products!$E$2:$E$49,MATCH(C958,Products!$A$2:$A$49,0)))</f>
        <v>0</v>
      </c>
    </row>
    <row r="959" customFormat="false" ht="15" hidden="false" customHeight="false" outlineLevel="0" collapsed="false">
      <c r="A959" s="36" t="n">
        <v>46167</v>
      </c>
      <c r="B959" s="24" t="s">
        <v>61</v>
      </c>
      <c r="C959" s="24" t="s">
        <v>191</v>
      </c>
      <c r="D959" s="33" t="n">
        <v>20</v>
      </c>
      <c r="E959" s="24" t="n">
        <v>0</v>
      </c>
      <c r="F959" s="37" t="n">
        <f aca="false">DATE(YEAR(A959),MONTH(A959),1)</f>
        <v>46143</v>
      </c>
      <c r="G959" s="24" t="str">
        <f aca="false">INDEX(Products!$C$2:$C$49,MATCH(C959,Products!$A$2:$A$49,0))</f>
        <v>Personal Care</v>
      </c>
      <c r="H959" s="33" t="n">
        <f aca="false">D959*INDEX(Products!$E$2:$E$49,MATCH(C959,Products!$A$2:$A$49,0))</f>
        <v>4200</v>
      </c>
      <c r="I959" s="33" t="n">
        <f aca="false">D959*INDEX(Products!$D$2:$D$49,MATCH(C959,Products!$A$2:$A$49,0))*(1+INDEX(Assumptions!$B$16:$B$20,MATCH(B959,Assumptions!$A$16:$A$20,0)))</f>
        <v>2605.8</v>
      </c>
      <c r="J959" s="33" t="n">
        <f aca="false">H959-I959</f>
        <v>1594.2</v>
      </c>
      <c r="K959" s="33" t="n">
        <f aca="false">IF(OR(E959=0,E959&gt;=7),0,D959/(7-E959)*E959*INDEX(Products!$E$2:$E$49,MATCH(C959,Products!$A$2:$A$49,0)))</f>
        <v>0</v>
      </c>
    </row>
    <row r="960" customFormat="false" ht="15" hidden="false" customHeight="false" outlineLevel="0" collapsed="false">
      <c r="A960" s="36" t="n">
        <v>46174</v>
      </c>
      <c r="B960" s="24" t="s">
        <v>61</v>
      </c>
      <c r="C960" s="24" t="s">
        <v>191</v>
      </c>
      <c r="D960" s="33" t="n">
        <v>24</v>
      </c>
      <c r="E960" s="24" t="n">
        <v>0</v>
      </c>
      <c r="F960" s="37" t="n">
        <f aca="false">DATE(YEAR(A960),MONTH(A960),1)</f>
        <v>46174</v>
      </c>
      <c r="G960" s="24" t="str">
        <f aca="false">INDEX(Products!$C$2:$C$49,MATCH(C960,Products!$A$2:$A$49,0))</f>
        <v>Personal Care</v>
      </c>
      <c r="H960" s="33" t="n">
        <f aca="false">D960*INDEX(Products!$E$2:$E$49,MATCH(C960,Products!$A$2:$A$49,0))</f>
        <v>5040</v>
      </c>
      <c r="I960" s="33" t="n">
        <f aca="false">D960*INDEX(Products!$D$2:$D$49,MATCH(C960,Products!$A$2:$A$49,0))*(1+INDEX(Assumptions!$B$16:$B$20,MATCH(B960,Assumptions!$A$16:$A$20,0)))</f>
        <v>3126.96</v>
      </c>
      <c r="J960" s="33" t="n">
        <f aca="false">H960-I960</f>
        <v>1913.04</v>
      </c>
      <c r="K960" s="33" t="n">
        <f aca="false">IF(OR(E960=0,E960&gt;=7),0,D960/(7-E960)*E960*INDEX(Products!$E$2:$E$49,MATCH(C960,Products!$A$2:$A$49,0)))</f>
        <v>0</v>
      </c>
    </row>
    <row r="961" customFormat="false" ht="15" hidden="false" customHeight="false" outlineLevel="0" collapsed="false">
      <c r="A961" s="36" t="n">
        <v>46181</v>
      </c>
      <c r="B961" s="24" t="s">
        <v>61</v>
      </c>
      <c r="C961" s="24" t="s">
        <v>191</v>
      </c>
      <c r="D961" s="33" t="n">
        <v>18</v>
      </c>
      <c r="E961" s="24" t="n">
        <v>0</v>
      </c>
      <c r="F961" s="37" t="n">
        <f aca="false">DATE(YEAR(A961),MONTH(A961),1)</f>
        <v>46174</v>
      </c>
      <c r="G961" s="24" t="str">
        <f aca="false">INDEX(Products!$C$2:$C$49,MATCH(C961,Products!$A$2:$A$49,0))</f>
        <v>Personal Care</v>
      </c>
      <c r="H961" s="33" t="n">
        <f aca="false">D961*INDEX(Products!$E$2:$E$49,MATCH(C961,Products!$A$2:$A$49,0))</f>
        <v>3780</v>
      </c>
      <c r="I961" s="33" t="n">
        <f aca="false">D961*INDEX(Products!$D$2:$D$49,MATCH(C961,Products!$A$2:$A$49,0))*(1+INDEX(Assumptions!$B$16:$B$20,MATCH(B961,Assumptions!$A$16:$A$20,0)))</f>
        <v>2345.22</v>
      </c>
      <c r="J961" s="33" t="n">
        <f aca="false">H961-I961</f>
        <v>1434.78</v>
      </c>
      <c r="K961" s="33" t="n">
        <f aca="false">IF(OR(E961=0,E961&gt;=7),0,D961/(7-E961)*E961*INDEX(Products!$E$2:$E$49,MATCH(C961,Products!$A$2:$A$49,0)))</f>
        <v>0</v>
      </c>
    </row>
    <row r="962" customFormat="false" ht="15" hidden="false" customHeight="false" outlineLevel="0" collapsed="false">
      <c r="A962" s="36" t="n">
        <v>46188</v>
      </c>
      <c r="B962" s="24" t="s">
        <v>61</v>
      </c>
      <c r="C962" s="24" t="s">
        <v>191</v>
      </c>
      <c r="D962" s="33" t="n">
        <v>23</v>
      </c>
      <c r="E962" s="24" t="n">
        <v>0</v>
      </c>
      <c r="F962" s="37" t="n">
        <f aca="false">DATE(YEAR(A962),MONTH(A962),1)</f>
        <v>46174</v>
      </c>
      <c r="G962" s="24" t="str">
        <f aca="false">INDEX(Products!$C$2:$C$49,MATCH(C962,Products!$A$2:$A$49,0))</f>
        <v>Personal Care</v>
      </c>
      <c r="H962" s="33" t="n">
        <f aca="false">D962*INDEX(Products!$E$2:$E$49,MATCH(C962,Products!$A$2:$A$49,0))</f>
        <v>4830</v>
      </c>
      <c r="I962" s="33" t="n">
        <f aca="false">D962*INDEX(Products!$D$2:$D$49,MATCH(C962,Products!$A$2:$A$49,0))*(1+INDEX(Assumptions!$B$16:$B$20,MATCH(B962,Assumptions!$A$16:$A$20,0)))</f>
        <v>2996.67</v>
      </c>
      <c r="J962" s="33" t="n">
        <f aca="false">H962-I962</f>
        <v>1833.33</v>
      </c>
      <c r="K962" s="33" t="n">
        <f aca="false">IF(OR(E962=0,E962&gt;=7),0,D962/(7-E962)*E962*INDEX(Products!$E$2:$E$49,MATCH(C962,Products!$A$2:$A$49,0)))</f>
        <v>0</v>
      </c>
    </row>
    <row r="963" customFormat="false" ht="15" hidden="false" customHeight="false" outlineLevel="0" collapsed="false">
      <c r="A963" s="36" t="n">
        <v>46195</v>
      </c>
      <c r="B963" s="24" t="s">
        <v>61</v>
      </c>
      <c r="C963" s="24" t="s">
        <v>191</v>
      </c>
      <c r="D963" s="33" t="n">
        <v>12</v>
      </c>
      <c r="E963" s="24" t="n">
        <v>0</v>
      </c>
      <c r="F963" s="37" t="n">
        <f aca="false">DATE(YEAR(A963),MONTH(A963),1)</f>
        <v>46174</v>
      </c>
      <c r="G963" s="24" t="str">
        <f aca="false">INDEX(Products!$C$2:$C$49,MATCH(C963,Products!$A$2:$A$49,0))</f>
        <v>Personal Care</v>
      </c>
      <c r="H963" s="33" t="n">
        <f aca="false">D963*INDEX(Products!$E$2:$E$49,MATCH(C963,Products!$A$2:$A$49,0))</f>
        <v>2520</v>
      </c>
      <c r="I963" s="33" t="n">
        <f aca="false">D963*INDEX(Products!$D$2:$D$49,MATCH(C963,Products!$A$2:$A$49,0))*(1+INDEX(Assumptions!$B$16:$B$20,MATCH(B963,Assumptions!$A$16:$A$20,0)))</f>
        <v>1563.48</v>
      </c>
      <c r="J963" s="33" t="n">
        <f aca="false">H963-I963</f>
        <v>956.52</v>
      </c>
      <c r="K963" s="33" t="n">
        <f aca="false">IF(OR(E963=0,E963&gt;=7),0,D963/(7-E963)*E963*INDEX(Products!$E$2:$E$49,MATCH(C963,Products!$A$2:$A$49,0)))</f>
        <v>0</v>
      </c>
    </row>
    <row r="964" customFormat="false" ht="15" hidden="false" customHeight="false" outlineLevel="0" collapsed="false">
      <c r="A964" s="36" t="n">
        <v>46202</v>
      </c>
      <c r="B964" s="24" t="s">
        <v>61</v>
      </c>
      <c r="C964" s="24" t="s">
        <v>191</v>
      </c>
      <c r="D964" s="33" t="n">
        <v>17</v>
      </c>
      <c r="E964" s="24" t="n">
        <v>0</v>
      </c>
      <c r="F964" s="37" t="n">
        <f aca="false">DATE(YEAR(A964),MONTH(A964),1)</f>
        <v>46174</v>
      </c>
      <c r="G964" s="24" t="str">
        <f aca="false">INDEX(Products!$C$2:$C$49,MATCH(C964,Products!$A$2:$A$49,0))</f>
        <v>Personal Care</v>
      </c>
      <c r="H964" s="33" t="n">
        <f aca="false">D964*INDEX(Products!$E$2:$E$49,MATCH(C964,Products!$A$2:$A$49,0))</f>
        <v>3570</v>
      </c>
      <c r="I964" s="33" t="n">
        <f aca="false">D964*INDEX(Products!$D$2:$D$49,MATCH(C964,Products!$A$2:$A$49,0))*(1+INDEX(Assumptions!$B$16:$B$20,MATCH(B964,Assumptions!$A$16:$A$20,0)))</f>
        <v>2214.93</v>
      </c>
      <c r="J964" s="33" t="n">
        <f aca="false">H964-I964</f>
        <v>1355.07</v>
      </c>
      <c r="K964" s="33" t="n">
        <f aca="false">IF(OR(E964=0,E964&gt;=7),0,D964/(7-E964)*E964*INDEX(Products!$E$2:$E$49,MATCH(C964,Products!$A$2:$A$49,0)))</f>
        <v>0</v>
      </c>
    </row>
    <row r="965" customFormat="false" ht="15" hidden="false" customHeight="false" outlineLevel="0" collapsed="false">
      <c r="A965" s="36" t="n">
        <v>46209</v>
      </c>
      <c r="B965" s="24" t="s">
        <v>61</v>
      </c>
      <c r="C965" s="24" t="s">
        <v>191</v>
      </c>
      <c r="D965" s="33" t="n">
        <v>19</v>
      </c>
      <c r="E965" s="24" t="n">
        <v>0</v>
      </c>
      <c r="F965" s="37" t="n">
        <f aca="false">DATE(YEAR(A965),MONTH(A965),1)</f>
        <v>46204</v>
      </c>
      <c r="G965" s="24" t="str">
        <f aca="false">INDEX(Products!$C$2:$C$49,MATCH(C965,Products!$A$2:$A$49,0))</f>
        <v>Personal Care</v>
      </c>
      <c r="H965" s="33" t="n">
        <f aca="false">D965*INDEX(Products!$E$2:$E$49,MATCH(C965,Products!$A$2:$A$49,0))</f>
        <v>3990</v>
      </c>
      <c r="I965" s="33" t="n">
        <f aca="false">D965*INDEX(Products!$D$2:$D$49,MATCH(C965,Products!$A$2:$A$49,0))*(1+INDEX(Assumptions!$B$16:$B$20,MATCH(B965,Assumptions!$A$16:$A$20,0)))</f>
        <v>2475.51</v>
      </c>
      <c r="J965" s="33" t="n">
        <f aca="false">H965-I965</f>
        <v>1514.49</v>
      </c>
      <c r="K965" s="33" t="n">
        <f aca="false">IF(OR(E965=0,E965&gt;=7),0,D965/(7-E965)*E965*INDEX(Products!$E$2:$E$49,MATCH(C965,Products!$A$2:$A$49,0)))</f>
        <v>0</v>
      </c>
    </row>
    <row r="966" customFormat="false" ht="15" hidden="false" customHeight="false" outlineLevel="0" collapsed="false">
      <c r="A966" s="36" t="n">
        <v>46216</v>
      </c>
      <c r="B966" s="24" t="s">
        <v>61</v>
      </c>
      <c r="C966" s="24" t="s">
        <v>191</v>
      </c>
      <c r="D966" s="33" t="n">
        <v>24</v>
      </c>
      <c r="E966" s="24" t="n">
        <v>0</v>
      </c>
      <c r="F966" s="37" t="n">
        <f aca="false">DATE(YEAR(A966),MONTH(A966),1)</f>
        <v>46204</v>
      </c>
      <c r="G966" s="24" t="str">
        <f aca="false">INDEX(Products!$C$2:$C$49,MATCH(C966,Products!$A$2:$A$49,0))</f>
        <v>Personal Care</v>
      </c>
      <c r="H966" s="33" t="n">
        <f aca="false">D966*INDEX(Products!$E$2:$E$49,MATCH(C966,Products!$A$2:$A$49,0))</f>
        <v>5040</v>
      </c>
      <c r="I966" s="33" t="n">
        <f aca="false">D966*INDEX(Products!$D$2:$D$49,MATCH(C966,Products!$A$2:$A$49,0))*(1+INDEX(Assumptions!$B$16:$B$20,MATCH(B966,Assumptions!$A$16:$A$20,0)))</f>
        <v>3126.96</v>
      </c>
      <c r="J966" s="33" t="n">
        <f aca="false">H966-I966</f>
        <v>1913.04</v>
      </c>
      <c r="K966" s="33" t="n">
        <f aca="false">IF(OR(E966=0,E966&gt;=7),0,D966/(7-E966)*E966*INDEX(Products!$E$2:$E$49,MATCH(C966,Products!$A$2:$A$49,0)))</f>
        <v>0</v>
      </c>
    </row>
    <row r="967" customFormat="false" ht="15" hidden="false" customHeight="false" outlineLevel="0" collapsed="false">
      <c r="A967" s="36" t="n">
        <v>46223</v>
      </c>
      <c r="B967" s="24" t="s">
        <v>61</v>
      </c>
      <c r="C967" s="24" t="s">
        <v>191</v>
      </c>
      <c r="D967" s="33" t="n">
        <v>18</v>
      </c>
      <c r="E967" s="24" t="n">
        <v>0</v>
      </c>
      <c r="F967" s="37" t="n">
        <f aca="false">DATE(YEAR(A967),MONTH(A967),1)</f>
        <v>46204</v>
      </c>
      <c r="G967" s="24" t="str">
        <f aca="false">INDEX(Products!$C$2:$C$49,MATCH(C967,Products!$A$2:$A$49,0))</f>
        <v>Personal Care</v>
      </c>
      <c r="H967" s="33" t="n">
        <f aca="false">D967*INDEX(Products!$E$2:$E$49,MATCH(C967,Products!$A$2:$A$49,0))</f>
        <v>3780</v>
      </c>
      <c r="I967" s="33" t="n">
        <f aca="false">D967*INDEX(Products!$D$2:$D$49,MATCH(C967,Products!$A$2:$A$49,0))*(1+INDEX(Assumptions!$B$16:$B$20,MATCH(B967,Assumptions!$A$16:$A$20,0)))</f>
        <v>2345.22</v>
      </c>
      <c r="J967" s="33" t="n">
        <f aca="false">H967-I967</f>
        <v>1434.78</v>
      </c>
      <c r="K967" s="33" t="n">
        <f aca="false">IF(OR(E967=0,E967&gt;=7),0,D967/(7-E967)*E967*INDEX(Products!$E$2:$E$49,MATCH(C967,Products!$A$2:$A$49,0)))</f>
        <v>0</v>
      </c>
    </row>
    <row r="968" customFormat="false" ht="15" hidden="false" customHeight="false" outlineLevel="0" collapsed="false">
      <c r="A968" s="36" t="n">
        <v>46230</v>
      </c>
      <c r="B968" s="24" t="s">
        <v>61</v>
      </c>
      <c r="C968" s="24" t="s">
        <v>191</v>
      </c>
      <c r="D968" s="33" t="n">
        <v>17</v>
      </c>
      <c r="E968" s="24" t="n">
        <v>0</v>
      </c>
      <c r="F968" s="37" t="n">
        <f aca="false">DATE(YEAR(A968),MONTH(A968),1)</f>
        <v>46204</v>
      </c>
      <c r="G968" s="24" t="str">
        <f aca="false">INDEX(Products!$C$2:$C$49,MATCH(C968,Products!$A$2:$A$49,0))</f>
        <v>Personal Care</v>
      </c>
      <c r="H968" s="33" t="n">
        <f aca="false">D968*INDEX(Products!$E$2:$E$49,MATCH(C968,Products!$A$2:$A$49,0))</f>
        <v>3570</v>
      </c>
      <c r="I968" s="33" t="n">
        <f aca="false">D968*INDEX(Products!$D$2:$D$49,MATCH(C968,Products!$A$2:$A$49,0))*(1+INDEX(Assumptions!$B$16:$B$20,MATCH(B968,Assumptions!$A$16:$A$20,0)))</f>
        <v>2214.93</v>
      </c>
      <c r="J968" s="33" t="n">
        <f aca="false">H968-I968</f>
        <v>1355.07</v>
      </c>
      <c r="K968" s="33" t="n">
        <f aca="false">IF(OR(E968=0,E968&gt;=7),0,D968/(7-E968)*E968*INDEX(Products!$E$2:$E$49,MATCH(C968,Products!$A$2:$A$49,0)))</f>
        <v>0</v>
      </c>
    </row>
    <row r="969" customFormat="false" ht="15" hidden="false" customHeight="false" outlineLevel="0" collapsed="false">
      <c r="A969" s="36" t="n">
        <v>46237</v>
      </c>
      <c r="B969" s="24" t="s">
        <v>61</v>
      </c>
      <c r="C969" s="24" t="s">
        <v>191</v>
      </c>
      <c r="D969" s="33" t="n">
        <v>12</v>
      </c>
      <c r="E969" s="24" t="n">
        <v>1</v>
      </c>
      <c r="F969" s="37" t="n">
        <f aca="false">DATE(YEAR(A969),MONTH(A969),1)</f>
        <v>46235</v>
      </c>
      <c r="G969" s="24" t="str">
        <f aca="false">INDEX(Products!$C$2:$C$49,MATCH(C969,Products!$A$2:$A$49,0))</f>
        <v>Personal Care</v>
      </c>
      <c r="H969" s="33" t="n">
        <f aca="false">D969*INDEX(Products!$E$2:$E$49,MATCH(C969,Products!$A$2:$A$49,0))</f>
        <v>2520</v>
      </c>
      <c r="I969" s="33" t="n">
        <f aca="false">D969*INDEX(Products!$D$2:$D$49,MATCH(C969,Products!$A$2:$A$49,0))*(1+INDEX(Assumptions!$B$16:$B$20,MATCH(B969,Assumptions!$A$16:$A$20,0)))</f>
        <v>1563.48</v>
      </c>
      <c r="J969" s="33" t="n">
        <f aca="false">H969-I969</f>
        <v>956.52</v>
      </c>
      <c r="K969" s="33" t="n">
        <f aca="false">IF(OR(E969=0,E969&gt;=7),0,D969/(7-E969)*E969*INDEX(Products!$E$2:$E$49,MATCH(C969,Products!$A$2:$A$49,0)))</f>
        <v>420</v>
      </c>
    </row>
    <row r="970" customFormat="false" ht="15" hidden="false" customHeight="false" outlineLevel="0" collapsed="false">
      <c r="A970" s="36" t="n">
        <v>46244</v>
      </c>
      <c r="B970" s="24" t="s">
        <v>61</v>
      </c>
      <c r="C970" s="24" t="s">
        <v>191</v>
      </c>
      <c r="D970" s="33" t="n">
        <v>16</v>
      </c>
      <c r="E970" s="24" t="n">
        <v>0</v>
      </c>
      <c r="F970" s="37" t="n">
        <f aca="false">DATE(YEAR(A970),MONTH(A970),1)</f>
        <v>46235</v>
      </c>
      <c r="G970" s="24" t="str">
        <f aca="false">INDEX(Products!$C$2:$C$49,MATCH(C970,Products!$A$2:$A$49,0))</f>
        <v>Personal Care</v>
      </c>
      <c r="H970" s="33" t="n">
        <f aca="false">D970*INDEX(Products!$E$2:$E$49,MATCH(C970,Products!$A$2:$A$49,0))</f>
        <v>3360</v>
      </c>
      <c r="I970" s="33" t="n">
        <f aca="false">D970*INDEX(Products!$D$2:$D$49,MATCH(C970,Products!$A$2:$A$49,0))*(1+INDEX(Assumptions!$B$16:$B$20,MATCH(B970,Assumptions!$A$16:$A$20,0)))</f>
        <v>2084.64</v>
      </c>
      <c r="J970" s="33" t="n">
        <f aca="false">H970-I970</f>
        <v>1275.36</v>
      </c>
      <c r="K970" s="33" t="n">
        <f aca="false">IF(OR(E970=0,E970&gt;=7),0,D970/(7-E970)*E970*INDEX(Products!$E$2:$E$49,MATCH(C970,Products!$A$2:$A$49,0)))</f>
        <v>0</v>
      </c>
    </row>
    <row r="971" customFormat="false" ht="15" hidden="false" customHeight="false" outlineLevel="0" collapsed="false">
      <c r="A971" s="36" t="n">
        <v>46251</v>
      </c>
      <c r="B971" s="24" t="s">
        <v>61</v>
      </c>
      <c r="C971" s="24" t="s">
        <v>191</v>
      </c>
      <c r="D971" s="33" t="n">
        <v>18</v>
      </c>
      <c r="E971" s="24" t="n">
        <v>0</v>
      </c>
      <c r="F971" s="37" t="n">
        <f aca="false">DATE(YEAR(A971),MONTH(A971),1)</f>
        <v>46235</v>
      </c>
      <c r="G971" s="24" t="str">
        <f aca="false">INDEX(Products!$C$2:$C$49,MATCH(C971,Products!$A$2:$A$49,0))</f>
        <v>Personal Care</v>
      </c>
      <c r="H971" s="33" t="n">
        <f aca="false">D971*INDEX(Products!$E$2:$E$49,MATCH(C971,Products!$A$2:$A$49,0))</f>
        <v>3780</v>
      </c>
      <c r="I971" s="33" t="n">
        <f aca="false">D971*INDEX(Products!$D$2:$D$49,MATCH(C971,Products!$A$2:$A$49,0))*(1+INDEX(Assumptions!$B$16:$B$20,MATCH(B971,Assumptions!$A$16:$A$20,0)))</f>
        <v>2345.22</v>
      </c>
      <c r="J971" s="33" t="n">
        <f aca="false">H971-I971</f>
        <v>1434.78</v>
      </c>
      <c r="K971" s="33" t="n">
        <f aca="false">IF(OR(E971=0,E971&gt;=7),0,D971/(7-E971)*E971*INDEX(Products!$E$2:$E$49,MATCH(C971,Products!$A$2:$A$49,0)))</f>
        <v>0</v>
      </c>
    </row>
    <row r="972" customFormat="false" ht="15" hidden="false" customHeight="false" outlineLevel="0" collapsed="false">
      <c r="A972" s="36" t="n">
        <v>46258</v>
      </c>
      <c r="B972" s="24" t="s">
        <v>61</v>
      </c>
      <c r="C972" s="24" t="s">
        <v>191</v>
      </c>
      <c r="D972" s="33" t="n">
        <v>15</v>
      </c>
      <c r="E972" s="24" t="n">
        <v>0</v>
      </c>
      <c r="F972" s="37" t="n">
        <f aca="false">DATE(YEAR(A972),MONTH(A972),1)</f>
        <v>46235</v>
      </c>
      <c r="G972" s="24" t="str">
        <f aca="false">INDEX(Products!$C$2:$C$49,MATCH(C972,Products!$A$2:$A$49,0))</f>
        <v>Personal Care</v>
      </c>
      <c r="H972" s="33" t="n">
        <f aca="false">D972*INDEX(Products!$E$2:$E$49,MATCH(C972,Products!$A$2:$A$49,0))</f>
        <v>3150</v>
      </c>
      <c r="I972" s="33" t="n">
        <f aca="false">D972*INDEX(Products!$D$2:$D$49,MATCH(C972,Products!$A$2:$A$49,0))*(1+INDEX(Assumptions!$B$16:$B$20,MATCH(B972,Assumptions!$A$16:$A$20,0)))</f>
        <v>1954.35</v>
      </c>
      <c r="J972" s="33" t="n">
        <f aca="false">H972-I972</f>
        <v>1195.65</v>
      </c>
      <c r="K972" s="33" t="n">
        <f aca="false">IF(OR(E972=0,E972&gt;=7),0,D972/(7-E972)*E972*INDEX(Products!$E$2:$E$49,MATCH(C972,Products!$A$2:$A$49,0)))</f>
        <v>0</v>
      </c>
    </row>
    <row r="973" customFormat="false" ht="15" hidden="false" customHeight="false" outlineLevel="0" collapsed="false">
      <c r="A973" s="36" t="n">
        <v>46265</v>
      </c>
      <c r="B973" s="24" t="s">
        <v>61</v>
      </c>
      <c r="C973" s="24" t="s">
        <v>191</v>
      </c>
      <c r="D973" s="33" t="n">
        <v>22</v>
      </c>
      <c r="E973" s="24" t="n">
        <v>0</v>
      </c>
      <c r="F973" s="37" t="n">
        <f aca="false">DATE(YEAR(A973),MONTH(A973),1)</f>
        <v>46235</v>
      </c>
      <c r="G973" s="24" t="str">
        <f aca="false">INDEX(Products!$C$2:$C$49,MATCH(C973,Products!$A$2:$A$49,0))</f>
        <v>Personal Care</v>
      </c>
      <c r="H973" s="33" t="n">
        <f aca="false">D973*INDEX(Products!$E$2:$E$49,MATCH(C973,Products!$A$2:$A$49,0))</f>
        <v>4620</v>
      </c>
      <c r="I973" s="33" t="n">
        <f aca="false">D973*INDEX(Products!$D$2:$D$49,MATCH(C973,Products!$A$2:$A$49,0))*(1+INDEX(Assumptions!$B$16:$B$20,MATCH(B973,Assumptions!$A$16:$A$20,0)))</f>
        <v>2866.38</v>
      </c>
      <c r="J973" s="33" t="n">
        <f aca="false">H973-I973</f>
        <v>1753.62</v>
      </c>
      <c r="K973" s="33" t="n">
        <f aca="false">IF(OR(E973=0,E973&gt;=7),0,D973/(7-E973)*E973*INDEX(Products!$E$2:$E$49,MATCH(C973,Products!$A$2:$A$49,0)))</f>
        <v>0</v>
      </c>
    </row>
    <row r="974" customFormat="false" ht="15" hidden="false" customHeight="false" outlineLevel="0" collapsed="false">
      <c r="A974" s="36" t="n">
        <v>46272</v>
      </c>
      <c r="B974" s="24" t="s">
        <v>61</v>
      </c>
      <c r="C974" s="24" t="s">
        <v>191</v>
      </c>
      <c r="D974" s="33" t="n">
        <v>22</v>
      </c>
      <c r="E974" s="24" t="n">
        <v>0</v>
      </c>
      <c r="F974" s="37" t="n">
        <f aca="false">DATE(YEAR(A974),MONTH(A974),1)</f>
        <v>46266</v>
      </c>
      <c r="G974" s="24" t="str">
        <f aca="false">INDEX(Products!$C$2:$C$49,MATCH(C974,Products!$A$2:$A$49,0))</f>
        <v>Personal Care</v>
      </c>
      <c r="H974" s="33" t="n">
        <f aca="false">D974*INDEX(Products!$E$2:$E$49,MATCH(C974,Products!$A$2:$A$49,0))</f>
        <v>4620</v>
      </c>
      <c r="I974" s="33" t="n">
        <f aca="false">D974*INDEX(Products!$D$2:$D$49,MATCH(C974,Products!$A$2:$A$49,0))*(1+INDEX(Assumptions!$B$16:$B$20,MATCH(B974,Assumptions!$A$16:$A$20,0)))</f>
        <v>2866.38</v>
      </c>
      <c r="J974" s="33" t="n">
        <f aca="false">H974-I974</f>
        <v>1753.62</v>
      </c>
      <c r="K974" s="33" t="n">
        <f aca="false">IF(OR(E974=0,E974&gt;=7),0,D974/(7-E974)*E974*INDEX(Products!$E$2:$E$49,MATCH(C974,Products!$A$2:$A$49,0)))</f>
        <v>0</v>
      </c>
    </row>
    <row r="975" customFormat="false" ht="15" hidden="false" customHeight="false" outlineLevel="0" collapsed="false">
      <c r="A975" s="36" t="n">
        <v>46279</v>
      </c>
      <c r="B975" s="24" t="s">
        <v>61</v>
      </c>
      <c r="C975" s="24" t="s">
        <v>191</v>
      </c>
      <c r="D975" s="33" t="n">
        <v>14</v>
      </c>
      <c r="E975" s="24" t="n">
        <v>0</v>
      </c>
      <c r="F975" s="37" t="n">
        <f aca="false">DATE(YEAR(A975),MONTH(A975),1)</f>
        <v>46266</v>
      </c>
      <c r="G975" s="24" t="str">
        <f aca="false">INDEX(Products!$C$2:$C$49,MATCH(C975,Products!$A$2:$A$49,0))</f>
        <v>Personal Care</v>
      </c>
      <c r="H975" s="33" t="n">
        <f aca="false">D975*INDEX(Products!$E$2:$E$49,MATCH(C975,Products!$A$2:$A$49,0))</f>
        <v>2940</v>
      </c>
      <c r="I975" s="33" t="n">
        <f aca="false">D975*INDEX(Products!$D$2:$D$49,MATCH(C975,Products!$A$2:$A$49,0))*(1+INDEX(Assumptions!$B$16:$B$20,MATCH(B975,Assumptions!$A$16:$A$20,0)))</f>
        <v>1824.06</v>
      </c>
      <c r="J975" s="33" t="n">
        <f aca="false">H975-I975</f>
        <v>1115.94</v>
      </c>
      <c r="K975" s="33" t="n">
        <f aca="false">IF(OR(E975=0,E975&gt;=7),0,D975/(7-E975)*E975*INDEX(Products!$E$2:$E$49,MATCH(C975,Products!$A$2:$A$49,0)))</f>
        <v>0</v>
      </c>
    </row>
    <row r="976" customFormat="false" ht="15" hidden="false" customHeight="false" outlineLevel="0" collapsed="false">
      <c r="A976" s="36" t="n">
        <v>46286</v>
      </c>
      <c r="B976" s="24" t="s">
        <v>61</v>
      </c>
      <c r="C976" s="24" t="s">
        <v>191</v>
      </c>
      <c r="D976" s="33" t="n">
        <v>21</v>
      </c>
      <c r="E976" s="24" t="n">
        <v>0</v>
      </c>
      <c r="F976" s="37" t="n">
        <f aca="false">DATE(YEAR(A976),MONTH(A976),1)</f>
        <v>46266</v>
      </c>
      <c r="G976" s="24" t="str">
        <f aca="false">INDEX(Products!$C$2:$C$49,MATCH(C976,Products!$A$2:$A$49,0))</f>
        <v>Personal Care</v>
      </c>
      <c r="H976" s="33" t="n">
        <f aca="false">D976*INDEX(Products!$E$2:$E$49,MATCH(C976,Products!$A$2:$A$49,0))</f>
        <v>4410</v>
      </c>
      <c r="I976" s="33" t="n">
        <f aca="false">D976*INDEX(Products!$D$2:$D$49,MATCH(C976,Products!$A$2:$A$49,0))*(1+INDEX(Assumptions!$B$16:$B$20,MATCH(B976,Assumptions!$A$16:$A$20,0)))</f>
        <v>2736.09</v>
      </c>
      <c r="J976" s="33" t="n">
        <f aca="false">H976-I976</f>
        <v>1673.91</v>
      </c>
      <c r="K976" s="33" t="n">
        <f aca="false">IF(OR(E976=0,E976&gt;=7),0,D976/(7-E976)*E976*INDEX(Products!$E$2:$E$49,MATCH(C976,Products!$A$2:$A$49,0)))</f>
        <v>0</v>
      </c>
    </row>
    <row r="977" customFormat="false" ht="15" hidden="false" customHeight="false" outlineLevel="0" collapsed="false">
      <c r="A977" s="36" t="n">
        <v>46118</v>
      </c>
      <c r="B977" s="24" t="s">
        <v>61</v>
      </c>
      <c r="C977" s="24" t="s">
        <v>193</v>
      </c>
      <c r="D977" s="33" t="n">
        <v>67</v>
      </c>
      <c r="E977" s="24" t="n">
        <v>0</v>
      </c>
      <c r="F977" s="37" t="n">
        <f aca="false">DATE(YEAR(A977),MONTH(A977),1)</f>
        <v>46113</v>
      </c>
      <c r="G977" s="24" t="str">
        <f aca="false">INDEX(Products!$C$2:$C$49,MATCH(C977,Products!$A$2:$A$49,0))</f>
        <v>Personal Care</v>
      </c>
      <c r="H977" s="33" t="n">
        <f aca="false">D977*INDEX(Products!$E$2:$E$49,MATCH(C977,Products!$A$2:$A$49,0))</f>
        <v>14740</v>
      </c>
      <c r="I977" s="33" t="n">
        <f aca="false">D977*INDEX(Products!$D$2:$D$49,MATCH(C977,Products!$A$2:$A$49,0))*(1+INDEX(Assumptions!$B$16:$B$20,MATCH(B977,Assumptions!$A$16:$A$20,0)))</f>
        <v>10691.86</v>
      </c>
      <c r="J977" s="33" t="n">
        <f aca="false">H977-I977</f>
        <v>4048.14</v>
      </c>
      <c r="K977" s="33" t="n">
        <f aca="false">IF(OR(E977=0,E977&gt;=7),0,D977/(7-E977)*E977*INDEX(Products!$E$2:$E$49,MATCH(C977,Products!$A$2:$A$49,0)))</f>
        <v>0</v>
      </c>
    </row>
    <row r="978" customFormat="false" ht="15" hidden="false" customHeight="false" outlineLevel="0" collapsed="false">
      <c r="A978" s="36" t="n">
        <v>46125</v>
      </c>
      <c r="B978" s="24" t="s">
        <v>61</v>
      </c>
      <c r="C978" s="24" t="s">
        <v>193</v>
      </c>
      <c r="D978" s="33" t="n">
        <v>82</v>
      </c>
      <c r="E978" s="24" t="n">
        <v>0</v>
      </c>
      <c r="F978" s="37" t="n">
        <f aca="false">DATE(YEAR(A978),MONTH(A978),1)</f>
        <v>46113</v>
      </c>
      <c r="G978" s="24" t="str">
        <f aca="false">INDEX(Products!$C$2:$C$49,MATCH(C978,Products!$A$2:$A$49,0))</f>
        <v>Personal Care</v>
      </c>
      <c r="H978" s="33" t="n">
        <f aca="false">D978*INDEX(Products!$E$2:$E$49,MATCH(C978,Products!$A$2:$A$49,0))</f>
        <v>18040</v>
      </c>
      <c r="I978" s="33" t="n">
        <f aca="false">D978*INDEX(Products!$D$2:$D$49,MATCH(C978,Products!$A$2:$A$49,0))*(1+INDEX(Assumptions!$B$16:$B$20,MATCH(B978,Assumptions!$A$16:$A$20,0)))</f>
        <v>13085.56</v>
      </c>
      <c r="J978" s="33" t="n">
        <f aca="false">H978-I978</f>
        <v>4954.44</v>
      </c>
      <c r="K978" s="33" t="n">
        <f aca="false">IF(OR(E978=0,E978&gt;=7),0,D978/(7-E978)*E978*INDEX(Products!$E$2:$E$49,MATCH(C978,Products!$A$2:$A$49,0)))</f>
        <v>0</v>
      </c>
    </row>
    <row r="979" customFormat="false" ht="15" hidden="false" customHeight="false" outlineLevel="0" collapsed="false">
      <c r="A979" s="36" t="n">
        <v>46132</v>
      </c>
      <c r="B979" s="24" t="s">
        <v>61</v>
      </c>
      <c r="C979" s="24" t="s">
        <v>193</v>
      </c>
      <c r="D979" s="33" t="n">
        <v>96</v>
      </c>
      <c r="E979" s="24" t="n">
        <v>0</v>
      </c>
      <c r="F979" s="37" t="n">
        <f aca="false">DATE(YEAR(A979),MONTH(A979),1)</f>
        <v>46113</v>
      </c>
      <c r="G979" s="24" t="str">
        <f aca="false">INDEX(Products!$C$2:$C$49,MATCH(C979,Products!$A$2:$A$49,0))</f>
        <v>Personal Care</v>
      </c>
      <c r="H979" s="33" t="n">
        <f aca="false">D979*INDEX(Products!$E$2:$E$49,MATCH(C979,Products!$A$2:$A$49,0))</f>
        <v>21120</v>
      </c>
      <c r="I979" s="33" t="n">
        <f aca="false">D979*INDEX(Products!$D$2:$D$49,MATCH(C979,Products!$A$2:$A$49,0))*(1+INDEX(Assumptions!$B$16:$B$20,MATCH(B979,Assumptions!$A$16:$A$20,0)))</f>
        <v>15319.68</v>
      </c>
      <c r="J979" s="33" t="n">
        <f aca="false">H979-I979</f>
        <v>5800.32</v>
      </c>
      <c r="K979" s="33" t="n">
        <f aca="false">IF(OR(E979=0,E979&gt;=7),0,D979/(7-E979)*E979*INDEX(Products!$E$2:$E$49,MATCH(C979,Products!$A$2:$A$49,0)))</f>
        <v>0</v>
      </c>
    </row>
    <row r="980" customFormat="false" ht="15" hidden="false" customHeight="false" outlineLevel="0" collapsed="false">
      <c r="A980" s="36" t="n">
        <v>46139</v>
      </c>
      <c r="B980" s="24" t="s">
        <v>61</v>
      </c>
      <c r="C980" s="24" t="s">
        <v>193</v>
      </c>
      <c r="D980" s="33" t="n">
        <v>92</v>
      </c>
      <c r="E980" s="24" t="n">
        <v>0</v>
      </c>
      <c r="F980" s="37" t="n">
        <f aca="false">DATE(YEAR(A980),MONTH(A980),1)</f>
        <v>46113</v>
      </c>
      <c r="G980" s="24" t="str">
        <f aca="false">INDEX(Products!$C$2:$C$49,MATCH(C980,Products!$A$2:$A$49,0))</f>
        <v>Personal Care</v>
      </c>
      <c r="H980" s="33" t="n">
        <f aca="false">D980*INDEX(Products!$E$2:$E$49,MATCH(C980,Products!$A$2:$A$49,0))</f>
        <v>20240</v>
      </c>
      <c r="I980" s="33" t="n">
        <f aca="false">D980*INDEX(Products!$D$2:$D$49,MATCH(C980,Products!$A$2:$A$49,0))*(1+INDEX(Assumptions!$B$16:$B$20,MATCH(B980,Assumptions!$A$16:$A$20,0)))</f>
        <v>14681.36</v>
      </c>
      <c r="J980" s="33" t="n">
        <f aca="false">H980-I980</f>
        <v>5558.64</v>
      </c>
      <c r="K980" s="33" t="n">
        <f aca="false">IF(OR(E980=0,E980&gt;=7),0,D980/(7-E980)*E980*INDEX(Products!$E$2:$E$49,MATCH(C980,Products!$A$2:$A$49,0)))</f>
        <v>0</v>
      </c>
    </row>
    <row r="981" customFormat="false" ht="15" hidden="false" customHeight="false" outlineLevel="0" collapsed="false">
      <c r="A981" s="36" t="n">
        <v>46146</v>
      </c>
      <c r="B981" s="24" t="s">
        <v>61</v>
      </c>
      <c r="C981" s="24" t="s">
        <v>193</v>
      </c>
      <c r="D981" s="33" t="n">
        <v>80</v>
      </c>
      <c r="E981" s="24" t="n">
        <v>0</v>
      </c>
      <c r="F981" s="37" t="n">
        <f aca="false">DATE(YEAR(A981),MONTH(A981),1)</f>
        <v>46143</v>
      </c>
      <c r="G981" s="24" t="str">
        <f aca="false">INDEX(Products!$C$2:$C$49,MATCH(C981,Products!$A$2:$A$49,0))</f>
        <v>Personal Care</v>
      </c>
      <c r="H981" s="33" t="n">
        <f aca="false">D981*INDEX(Products!$E$2:$E$49,MATCH(C981,Products!$A$2:$A$49,0))</f>
        <v>17600</v>
      </c>
      <c r="I981" s="33" t="n">
        <f aca="false">D981*INDEX(Products!$D$2:$D$49,MATCH(C981,Products!$A$2:$A$49,0))*(1+INDEX(Assumptions!$B$16:$B$20,MATCH(B981,Assumptions!$A$16:$A$20,0)))</f>
        <v>12766.4</v>
      </c>
      <c r="J981" s="33" t="n">
        <f aca="false">H981-I981</f>
        <v>4833.6</v>
      </c>
      <c r="K981" s="33" t="n">
        <f aca="false">IF(OR(E981=0,E981&gt;=7),0,D981/(7-E981)*E981*INDEX(Products!$E$2:$E$49,MATCH(C981,Products!$A$2:$A$49,0)))</f>
        <v>0</v>
      </c>
    </row>
    <row r="982" customFormat="false" ht="15" hidden="false" customHeight="false" outlineLevel="0" collapsed="false">
      <c r="A982" s="36" t="n">
        <v>46153</v>
      </c>
      <c r="B982" s="24" t="s">
        <v>61</v>
      </c>
      <c r="C982" s="24" t="s">
        <v>193</v>
      </c>
      <c r="D982" s="33" t="n">
        <v>91</v>
      </c>
      <c r="E982" s="24" t="n">
        <v>0</v>
      </c>
      <c r="F982" s="37" t="n">
        <f aca="false">DATE(YEAR(A982),MONTH(A982),1)</f>
        <v>46143</v>
      </c>
      <c r="G982" s="24" t="str">
        <f aca="false">INDEX(Products!$C$2:$C$49,MATCH(C982,Products!$A$2:$A$49,0))</f>
        <v>Personal Care</v>
      </c>
      <c r="H982" s="33" t="n">
        <f aca="false">D982*INDEX(Products!$E$2:$E$49,MATCH(C982,Products!$A$2:$A$49,0))</f>
        <v>20020</v>
      </c>
      <c r="I982" s="33" t="n">
        <f aca="false">D982*INDEX(Products!$D$2:$D$49,MATCH(C982,Products!$A$2:$A$49,0))*(1+INDEX(Assumptions!$B$16:$B$20,MATCH(B982,Assumptions!$A$16:$A$20,0)))</f>
        <v>14521.78</v>
      </c>
      <c r="J982" s="33" t="n">
        <f aca="false">H982-I982</f>
        <v>5498.22</v>
      </c>
      <c r="K982" s="33" t="n">
        <f aca="false">IF(OR(E982=0,E982&gt;=7),0,D982/(7-E982)*E982*INDEX(Products!$E$2:$E$49,MATCH(C982,Products!$A$2:$A$49,0)))</f>
        <v>0</v>
      </c>
    </row>
    <row r="983" customFormat="false" ht="15" hidden="false" customHeight="false" outlineLevel="0" collapsed="false">
      <c r="A983" s="36" t="n">
        <v>46160</v>
      </c>
      <c r="B983" s="24" t="s">
        <v>61</v>
      </c>
      <c r="C983" s="24" t="s">
        <v>193</v>
      </c>
      <c r="D983" s="33" t="n">
        <v>93</v>
      </c>
      <c r="E983" s="24" t="n">
        <v>0</v>
      </c>
      <c r="F983" s="37" t="n">
        <f aca="false">DATE(YEAR(A983),MONTH(A983),1)</f>
        <v>46143</v>
      </c>
      <c r="G983" s="24" t="str">
        <f aca="false">INDEX(Products!$C$2:$C$49,MATCH(C983,Products!$A$2:$A$49,0))</f>
        <v>Personal Care</v>
      </c>
      <c r="H983" s="33" t="n">
        <f aca="false">D983*INDEX(Products!$E$2:$E$49,MATCH(C983,Products!$A$2:$A$49,0))</f>
        <v>20460</v>
      </c>
      <c r="I983" s="33" t="n">
        <f aca="false">D983*INDEX(Products!$D$2:$D$49,MATCH(C983,Products!$A$2:$A$49,0))*(1+INDEX(Assumptions!$B$16:$B$20,MATCH(B983,Assumptions!$A$16:$A$20,0)))</f>
        <v>14840.94</v>
      </c>
      <c r="J983" s="33" t="n">
        <f aca="false">H983-I983</f>
        <v>5619.06</v>
      </c>
      <c r="K983" s="33" t="n">
        <f aca="false">IF(OR(E983=0,E983&gt;=7),0,D983/(7-E983)*E983*INDEX(Products!$E$2:$E$49,MATCH(C983,Products!$A$2:$A$49,0)))</f>
        <v>0</v>
      </c>
    </row>
    <row r="984" customFormat="false" ht="15" hidden="false" customHeight="false" outlineLevel="0" collapsed="false">
      <c r="A984" s="36" t="n">
        <v>46167</v>
      </c>
      <c r="B984" s="24" t="s">
        <v>61</v>
      </c>
      <c r="C984" s="24" t="s">
        <v>193</v>
      </c>
      <c r="D984" s="33" t="n">
        <v>96</v>
      </c>
      <c r="E984" s="24" t="n">
        <v>0</v>
      </c>
      <c r="F984" s="37" t="n">
        <f aca="false">DATE(YEAR(A984),MONTH(A984),1)</f>
        <v>46143</v>
      </c>
      <c r="G984" s="24" t="str">
        <f aca="false">INDEX(Products!$C$2:$C$49,MATCH(C984,Products!$A$2:$A$49,0))</f>
        <v>Personal Care</v>
      </c>
      <c r="H984" s="33" t="n">
        <f aca="false">D984*INDEX(Products!$E$2:$E$49,MATCH(C984,Products!$A$2:$A$49,0))</f>
        <v>21120</v>
      </c>
      <c r="I984" s="33" t="n">
        <f aca="false">D984*INDEX(Products!$D$2:$D$49,MATCH(C984,Products!$A$2:$A$49,0))*(1+INDEX(Assumptions!$B$16:$B$20,MATCH(B984,Assumptions!$A$16:$A$20,0)))</f>
        <v>15319.68</v>
      </c>
      <c r="J984" s="33" t="n">
        <f aca="false">H984-I984</f>
        <v>5800.32</v>
      </c>
      <c r="K984" s="33" t="n">
        <f aca="false">IF(OR(E984=0,E984&gt;=7),0,D984/(7-E984)*E984*INDEX(Products!$E$2:$E$49,MATCH(C984,Products!$A$2:$A$49,0)))</f>
        <v>0</v>
      </c>
    </row>
    <row r="985" customFormat="false" ht="15" hidden="false" customHeight="false" outlineLevel="0" collapsed="false">
      <c r="A985" s="36" t="n">
        <v>46174</v>
      </c>
      <c r="B985" s="24" t="s">
        <v>61</v>
      </c>
      <c r="C985" s="24" t="s">
        <v>193</v>
      </c>
      <c r="D985" s="33" t="n">
        <v>78</v>
      </c>
      <c r="E985" s="24" t="n">
        <v>0</v>
      </c>
      <c r="F985" s="37" t="n">
        <f aca="false">DATE(YEAR(A985),MONTH(A985),1)</f>
        <v>46174</v>
      </c>
      <c r="G985" s="24" t="str">
        <f aca="false">INDEX(Products!$C$2:$C$49,MATCH(C985,Products!$A$2:$A$49,0))</f>
        <v>Personal Care</v>
      </c>
      <c r="H985" s="33" t="n">
        <f aca="false">D985*INDEX(Products!$E$2:$E$49,MATCH(C985,Products!$A$2:$A$49,0))</f>
        <v>17160</v>
      </c>
      <c r="I985" s="33" t="n">
        <f aca="false">D985*INDEX(Products!$D$2:$D$49,MATCH(C985,Products!$A$2:$A$49,0))*(1+INDEX(Assumptions!$B$16:$B$20,MATCH(B985,Assumptions!$A$16:$A$20,0)))</f>
        <v>12447.24</v>
      </c>
      <c r="J985" s="33" t="n">
        <f aca="false">H985-I985</f>
        <v>4712.76</v>
      </c>
      <c r="K985" s="33" t="n">
        <f aca="false">IF(OR(E985=0,E985&gt;=7),0,D985/(7-E985)*E985*INDEX(Products!$E$2:$E$49,MATCH(C985,Products!$A$2:$A$49,0)))</f>
        <v>0</v>
      </c>
    </row>
    <row r="986" customFormat="false" ht="15" hidden="false" customHeight="false" outlineLevel="0" collapsed="false">
      <c r="A986" s="36" t="n">
        <v>46181</v>
      </c>
      <c r="B986" s="24" t="s">
        <v>61</v>
      </c>
      <c r="C986" s="24" t="s">
        <v>193</v>
      </c>
      <c r="D986" s="33" t="n">
        <v>77</v>
      </c>
      <c r="E986" s="24" t="n">
        <v>0</v>
      </c>
      <c r="F986" s="37" t="n">
        <f aca="false">DATE(YEAR(A986),MONTH(A986),1)</f>
        <v>46174</v>
      </c>
      <c r="G986" s="24" t="str">
        <f aca="false">INDEX(Products!$C$2:$C$49,MATCH(C986,Products!$A$2:$A$49,0))</f>
        <v>Personal Care</v>
      </c>
      <c r="H986" s="33" t="n">
        <f aca="false">D986*INDEX(Products!$E$2:$E$49,MATCH(C986,Products!$A$2:$A$49,0))</f>
        <v>16940</v>
      </c>
      <c r="I986" s="33" t="n">
        <f aca="false">D986*INDEX(Products!$D$2:$D$49,MATCH(C986,Products!$A$2:$A$49,0))*(1+INDEX(Assumptions!$B$16:$B$20,MATCH(B986,Assumptions!$A$16:$A$20,0)))</f>
        <v>12287.66</v>
      </c>
      <c r="J986" s="33" t="n">
        <f aca="false">H986-I986</f>
        <v>4652.34</v>
      </c>
      <c r="K986" s="33" t="n">
        <f aca="false">IF(OR(E986=0,E986&gt;=7),0,D986/(7-E986)*E986*INDEX(Products!$E$2:$E$49,MATCH(C986,Products!$A$2:$A$49,0)))</f>
        <v>0</v>
      </c>
    </row>
    <row r="987" customFormat="false" ht="15" hidden="false" customHeight="false" outlineLevel="0" collapsed="false">
      <c r="A987" s="36" t="n">
        <v>46188</v>
      </c>
      <c r="B987" s="24" t="s">
        <v>61</v>
      </c>
      <c r="C987" s="24" t="s">
        <v>193</v>
      </c>
      <c r="D987" s="33" t="n">
        <v>63</v>
      </c>
      <c r="E987" s="24" t="n">
        <v>0</v>
      </c>
      <c r="F987" s="37" t="n">
        <f aca="false">DATE(YEAR(A987),MONTH(A987),1)</f>
        <v>46174</v>
      </c>
      <c r="G987" s="24" t="str">
        <f aca="false">INDEX(Products!$C$2:$C$49,MATCH(C987,Products!$A$2:$A$49,0))</f>
        <v>Personal Care</v>
      </c>
      <c r="H987" s="33" t="n">
        <f aca="false">D987*INDEX(Products!$E$2:$E$49,MATCH(C987,Products!$A$2:$A$49,0))</f>
        <v>13860</v>
      </c>
      <c r="I987" s="33" t="n">
        <f aca="false">D987*INDEX(Products!$D$2:$D$49,MATCH(C987,Products!$A$2:$A$49,0))*(1+INDEX(Assumptions!$B$16:$B$20,MATCH(B987,Assumptions!$A$16:$A$20,0)))</f>
        <v>10053.54</v>
      </c>
      <c r="J987" s="33" t="n">
        <f aca="false">H987-I987</f>
        <v>3806.46</v>
      </c>
      <c r="K987" s="33" t="n">
        <f aca="false">IF(OR(E987=0,E987&gt;=7),0,D987/(7-E987)*E987*INDEX(Products!$E$2:$E$49,MATCH(C987,Products!$A$2:$A$49,0)))</f>
        <v>0</v>
      </c>
    </row>
    <row r="988" customFormat="false" ht="15" hidden="false" customHeight="false" outlineLevel="0" collapsed="false">
      <c r="A988" s="36" t="n">
        <v>46195</v>
      </c>
      <c r="B988" s="24" t="s">
        <v>61</v>
      </c>
      <c r="C988" s="24" t="s">
        <v>193</v>
      </c>
      <c r="D988" s="33" t="n">
        <v>90</v>
      </c>
      <c r="E988" s="24" t="n">
        <v>0</v>
      </c>
      <c r="F988" s="37" t="n">
        <f aca="false">DATE(YEAR(A988),MONTH(A988),1)</f>
        <v>46174</v>
      </c>
      <c r="G988" s="24" t="str">
        <f aca="false">INDEX(Products!$C$2:$C$49,MATCH(C988,Products!$A$2:$A$49,0))</f>
        <v>Personal Care</v>
      </c>
      <c r="H988" s="33" t="n">
        <f aca="false">D988*INDEX(Products!$E$2:$E$49,MATCH(C988,Products!$A$2:$A$49,0))</f>
        <v>19800</v>
      </c>
      <c r="I988" s="33" t="n">
        <f aca="false">D988*INDEX(Products!$D$2:$D$49,MATCH(C988,Products!$A$2:$A$49,0))*(1+INDEX(Assumptions!$B$16:$B$20,MATCH(B988,Assumptions!$A$16:$A$20,0)))</f>
        <v>14362.2</v>
      </c>
      <c r="J988" s="33" t="n">
        <f aca="false">H988-I988</f>
        <v>5437.8</v>
      </c>
      <c r="K988" s="33" t="n">
        <f aca="false">IF(OR(E988=0,E988&gt;=7),0,D988/(7-E988)*E988*INDEX(Products!$E$2:$E$49,MATCH(C988,Products!$A$2:$A$49,0)))</f>
        <v>0</v>
      </c>
    </row>
    <row r="989" customFormat="false" ht="15" hidden="false" customHeight="false" outlineLevel="0" collapsed="false">
      <c r="A989" s="36" t="n">
        <v>46202</v>
      </c>
      <c r="B989" s="24" t="s">
        <v>61</v>
      </c>
      <c r="C989" s="24" t="s">
        <v>193</v>
      </c>
      <c r="D989" s="33" t="n">
        <v>78</v>
      </c>
      <c r="E989" s="24" t="n">
        <v>0</v>
      </c>
      <c r="F989" s="37" t="n">
        <f aca="false">DATE(YEAR(A989),MONTH(A989),1)</f>
        <v>46174</v>
      </c>
      <c r="G989" s="24" t="str">
        <f aca="false">INDEX(Products!$C$2:$C$49,MATCH(C989,Products!$A$2:$A$49,0))</f>
        <v>Personal Care</v>
      </c>
      <c r="H989" s="33" t="n">
        <f aca="false">D989*INDEX(Products!$E$2:$E$49,MATCH(C989,Products!$A$2:$A$49,0))</f>
        <v>17160</v>
      </c>
      <c r="I989" s="33" t="n">
        <f aca="false">D989*INDEX(Products!$D$2:$D$49,MATCH(C989,Products!$A$2:$A$49,0))*(1+INDEX(Assumptions!$B$16:$B$20,MATCH(B989,Assumptions!$A$16:$A$20,0)))</f>
        <v>12447.24</v>
      </c>
      <c r="J989" s="33" t="n">
        <f aca="false">H989-I989</f>
        <v>4712.76</v>
      </c>
      <c r="K989" s="33" t="n">
        <f aca="false">IF(OR(E989=0,E989&gt;=7),0,D989/(7-E989)*E989*INDEX(Products!$E$2:$E$49,MATCH(C989,Products!$A$2:$A$49,0)))</f>
        <v>0</v>
      </c>
    </row>
    <row r="990" customFormat="false" ht="15" hidden="false" customHeight="false" outlineLevel="0" collapsed="false">
      <c r="A990" s="36" t="n">
        <v>46209</v>
      </c>
      <c r="B990" s="24" t="s">
        <v>61</v>
      </c>
      <c r="C990" s="24" t="s">
        <v>193</v>
      </c>
      <c r="D990" s="33" t="n">
        <v>68</v>
      </c>
      <c r="E990" s="24" t="n">
        <v>0</v>
      </c>
      <c r="F990" s="37" t="n">
        <f aca="false">DATE(YEAR(A990),MONTH(A990),1)</f>
        <v>46204</v>
      </c>
      <c r="G990" s="24" t="str">
        <f aca="false">INDEX(Products!$C$2:$C$49,MATCH(C990,Products!$A$2:$A$49,0))</f>
        <v>Personal Care</v>
      </c>
      <c r="H990" s="33" t="n">
        <f aca="false">D990*INDEX(Products!$E$2:$E$49,MATCH(C990,Products!$A$2:$A$49,0))</f>
        <v>14960</v>
      </c>
      <c r="I990" s="33" t="n">
        <f aca="false">D990*INDEX(Products!$D$2:$D$49,MATCH(C990,Products!$A$2:$A$49,0))*(1+INDEX(Assumptions!$B$16:$B$20,MATCH(B990,Assumptions!$A$16:$A$20,0)))</f>
        <v>10851.44</v>
      </c>
      <c r="J990" s="33" t="n">
        <f aca="false">H990-I990</f>
        <v>4108.56</v>
      </c>
      <c r="K990" s="33" t="n">
        <f aca="false">IF(OR(E990=0,E990&gt;=7),0,D990/(7-E990)*E990*INDEX(Products!$E$2:$E$49,MATCH(C990,Products!$A$2:$A$49,0)))</f>
        <v>0</v>
      </c>
    </row>
    <row r="991" customFormat="false" ht="15" hidden="false" customHeight="false" outlineLevel="0" collapsed="false">
      <c r="A991" s="36" t="n">
        <v>46216</v>
      </c>
      <c r="B991" s="24" t="s">
        <v>61</v>
      </c>
      <c r="C991" s="24" t="s">
        <v>193</v>
      </c>
      <c r="D991" s="33" t="n">
        <v>82</v>
      </c>
      <c r="E991" s="24" t="n">
        <v>0</v>
      </c>
      <c r="F991" s="37" t="n">
        <f aca="false">DATE(YEAR(A991),MONTH(A991),1)</f>
        <v>46204</v>
      </c>
      <c r="G991" s="24" t="str">
        <f aca="false">INDEX(Products!$C$2:$C$49,MATCH(C991,Products!$A$2:$A$49,0))</f>
        <v>Personal Care</v>
      </c>
      <c r="H991" s="33" t="n">
        <f aca="false">D991*INDEX(Products!$E$2:$E$49,MATCH(C991,Products!$A$2:$A$49,0))</f>
        <v>18040</v>
      </c>
      <c r="I991" s="33" t="n">
        <f aca="false">D991*INDEX(Products!$D$2:$D$49,MATCH(C991,Products!$A$2:$A$49,0))*(1+INDEX(Assumptions!$B$16:$B$20,MATCH(B991,Assumptions!$A$16:$A$20,0)))</f>
        <v>13085.56</v>
      </c>
      <c r="J991" s="33" t="n">
        <f aca="false">H991-I991</f>
        <v>4954.44</v>
      </c>
      <c r="K991" s="33" t="n">
        <f aca="false">IF(OR(E991=0,E991&gt;=7),0,D991/(7-E991)*E991*INDEX(Products!$E$2:$E$49,MATCH(C991,Products!$A$2:$A$49,0)))</f>
        <v>0</v>
      </c>
    </row>
    <row r="992" customFormat="false" ht="15" hidden="false" customHeight="false" outlineLevel="0" collapsed="false">
      <c r="A992" s="36" t="n">
        <v>46223</v>
      </c>
      <c r="B992" s="24" t="s">
        <v>61</v>
      </c>
      <c r="C992" s="24" t="s">
        <v>193</v>
      </c>
      <c r="D992" s="33" t="n">
        <v>53</v>
      </c>
      <c r="E992" s="24" t="n">
        <v>3</v>
      </c>
      <c r="F992" s="37" t="n">
        <f aca="false">DATE(YEAR(A992),MONTH(A992),1)</f>
        <v>46204</v>
      </c>
      <c r="G992" s="24" t="str">
        <f aca="false">INDEX(Products!$C$2:$C$49,MATCH(C992,Products!$A$2:$A$49,0))</f>
        <v>Personal Care</v>
      </c>
      <c r="H992" s="33" t="n">
        <f aca="false">D992*INDEX(Products!$E$2:$E$49,MATCH(C992,Products!$A$2:$A$49,0))</f>
        <v>11660</v>
      </c>
      <c r="I992" s="33" t="n">
        <f aca="false">D992*INDEX(Products!$D$2:$D$49,MATCH(C992,Products!$A$2:$A$49,0))*(1+INDEX(Assumptions!$B$16:$B$20,MATCH(B992,Assumptions!$A$16:$A$20,0)))</f>
        <v>8457.74</v>
      </c>
      <c r="J992" s="33" t="n">
        <f aca="false">H992-I992</f>
        <v>3202.26</v>
      </c>
      <c r="K992" s="33" t="n">
        <f aca="false">IF(OR(E992=0,E992&gt;=7),0,D992/(7-E992)*E992*INDEX(Products!$E$2:$E$49,MATCH(C992,Products!$A$2:$A$49,0)))</f>
        <v>8745</v>
      </c>
    </row>
    <row r="993" customFormat="false" ht="15" hidden="false" customHeight="false" outlineLevel="0" collapsed="false">
      <c r="A993" s="36" t="n">
        <v>46230</v>
      </c>
      <c r="B993" s="24" t="s">
        <v>61</v>
      </c>
      <c r="C993" s="24" t="s">
        <v>193</v>
      </c>
      <c r="D993" s="33" t="n">
        <v>74</v>
      </c>
      <c r="E993" s="24" t="n">
        <v>0</v>
      </c>
      <c r="F993" s="37" t="n">
        <f aca="false">DATE(YEAR(A993),MONTH(A993),1)</f>
        <v>46204</v>
      </c>
      <c r="G993" s="24" t="str">
        <f aca="false">INDEX(Products!$C$2:$C$49,MATCH(C993,Products!$A$2:$A$49,0))</f>
        <v>Personal Care</v>
      </c>
      <c r="H993" s="33" t="n">
        <f aca="false">D993*INDEX(Products!$E$2:$E$49,MATCH(C993,Products!$A$2:$A$49,0))</f>
        <v>16280</v>
      </c>
      <c r="I993" s="33" t="n">
        <f aca="false">D993*INDEX(Products!$D$2:$D$49,MATCH(C993,Products!$A$2:$A$49,0))*(1+INDEX(Assumptions!$B$16:$B$20,MATCH(B993,Assumptions!$A$16:$A$20,0)))</f>
        <v>11808.92</v>
      </c>
      <c r="J993" s="33" t="n">
        <f aca="false">H993-I993</f>
        <v>4471.08</v>
      </c>
      <c r="K993" s="33" t="n">
        <f aca="false">IF(OR(E993=0,E993&gt;=7),0,D993/(7-E993)*E993*INDEX(Products!$E$2:$E$49,MATCH(C993,Products!$A$2:$A$49,0)))</f>
        <v>0</v>
      </c>
    </row>
    <row r="994" customFormat="false" ht="15" hidden="false" customHeight="false" outlineLevel="0" collapsed="false">
      <c r="A994" s="36" t="n">
        <v>46237</v>
      </c>
      <c r="B994" s="24" t="s">
        <v>61</v>
      </c>
      <c r="C994" s="24" t="s">
        <v>193</v>
      </c>
      <c r="D994" s="33" t="n">
        <v>68</v>
      </c>
      <c r="E994" s="24" t="n">
        <v>0</v>
      </c>
      <c r="F994" s="37" t="n">
        <f aca="false">DATE(YEAR(A994),MONTH(A994),1)</f>
        <v>46235</v>
      </c>
      <c r="G994" s="24" t="str">
        <f aca="false">INDEX(Products!$C$2:$C$49,MATCH(C994,Products!$A$2:$A$49,0))</f>
        <v>Personal Care</v>
      </c>
      <c r="H994" s="33" t="n">
        <f aca="false">D994*INDEX(Products!$E$2:$E$49,MATCH(C994,Products!$A$2:$A$49,0))</f>
        <v>14960</v>
      </c>
      <c r="I994" s="33" t="n">
        <f aca="false">D994*INDEX(Products!$D$2:$D$49,MATCH(C994,Products!$A$2:$A$49,0))*(1+INDEX(Assumptions!$B$16:$B$20,MATCH(B994,Assumptions!$A$16:$A$20,0)))</f>
        <v>10851.44</v>
      </c>
      <c r="J994" s="33" t="n">
        <f aca="false">H994-I994</f>
        <v>4108.56</v>
      </c>
      <c r="K994" s="33" t="n">
        <f aca="false">IF(OR(E994=0,E994&gt;=7),0,D994/(7-E994)*E994*INDEX(Products!$E$2:$E$49,MATCH(C994,Products!$A$2:$A$49,0)))</f>
        <v>0</v>
      </c>
    </row>
    <row r="995" customFormat="false" ht="15" hidden="false" customHeight="false" outlineLevel="0" collapsed="false">
      <c r="A995" s="36" t="n">
        <v>46244</v>
      </c>
      <c r="B995" s="24" t="s">
        <v>61</v>
      </c>
      <c r="C995" s="24" t="s">
        <v>193</v>
      </c>
      <c r="D995" s="33" t="n">
        <v>73</v>
      </c>
      <c r="E995" s="24" t="n">
        <v>0</v>
      </c>
      <c r="F995" s="37" t="n">
        <f aca="false">DATE(YEAR(A995),MONTH(A995),1)</f>
        <v>46235</v>
      </c>
      <c r="G995" s="24" t="str">
        <f aca="false">INDEX(Products!$C$2:$C$49,MATCH(C995,Products!$A$2:$A$49,0))</f>
        <v>Personal Care</v>
      </c>
      <c r="H995" s="33" t="n">
        <f aca="false">D995*INDEX(Products!$E$2:$E$49,MATCH(C995,Products!$A$2:$A$49,0))</f>
        <v>16060</v>
      </c>
      <c r="I995" s="33" t="n">
        <f aca="false">D995*INDEX(Products!$D$2:$D$49,MATCH(C995,Products!$A$2:$A$49,0))*(1+INDEX(Assumptions!$B$16:$B$20,MATCH(B995,Assumptions!$A$16:$A$20,0)))</f>
        <v>11649.34</v>
      </c>
      <c r="J995" s="33" t="n">
        <f aca="false">H995-I995</f>
        <v>4410.66</v>
      </c>
      <c r="K995" s="33" t="n">
        <f aca="false">IF(OR(E995=0,E995&gt;=7),0,D995/(7-E995)*E995*INDEX(Products!$E$2:$E$49,MATCH(C995,Products!$A$2:$A$49,0)))</f>
        <v>0</v>
      </c>
    </row>
    <row r="996" customFormat="false" ht="15" hidden="false" customHeight="false" outlineLevel="0" collapsed="false">
      <c r="A996" s="36" t="n">
        <v>46251</v>
      </c>
      <c r="B996" s="24" t="s">
        <v>61</v>
      </c>
      <c r="C996" s="24" t="s">
        <v>193</v>
      </c>
      <c r="D996" s="33" t="n">
        <v>70</v>
      </c>
      <c r="E996" s="24" t="n">
        <v>0</v>
      </c>
      <c r="F996" s="37" t="n">
        <f aca="false">DATE(YEAR(A996),MONTH(A996),1)</f>
        <v>46235</v>
      </c>
      <c r="G996" s="24" t="str">
        <f aca="false">INDEX(Products!$C$2:$C$49,MATCH(C996,Products!$A$2:$A$49,0))</f>
        <v>Personal Care</v>
      </c>
      <c r="H996" s="33" t="n">
        <f aca="false">D996*INDEX(Products!$E$2:$E$49,MATCH(C996,Products!$A$2:$A$49,0))</f>
        <v>15400</v>
      </c>
      <c r="I996" s="33" t="n">
        <f aca="false">D996*INDEX(Products!$D$2:$D$49,MATCH(C996,Products!$A$2:$A$49,0))*(1+INDEX(Assumptions!$B$16:$B$20,MATCH(B996,Assumptions!$A$16:$A$20,0)))</f>
        <v>11170.6</v>
      </c>
      <c r="J996" s="33" t="n">
        <f aca="false">H996-I996</f>
        <v>4229.4</v>
      </c>
      <c r="K996" s="33" t="n">
        <f aca="false">IF(OR(E996=0,E996&gt;=7),0,D996/(7-E996)*E996*INDEX(Products!$E$2:$E$49,MATCH(C996,Products!$A$2:$A$49,0)))</f>
        <v>0</v>
      </c>
    </row>
    <row r="997" customFormat="false" ht="15" hidden="false" customHeight="false" outlineLevel="0" collapsed="false">
      <c r="A997" s="36" t="n">
        <v>46258</v>
      </c>
      <c r="B997" s="24" t="s">
        <v>61</v>
      </c>
      <c r="C997" s="24" t="s">
        <v>193</v>
      </c>
      <c r="D997" s="33" t="n">
        <v>82</v>
      </c>
      <c r="E997" s="24" t="n">
        <v>0</v>
      </c>
      <c r="F997" s="37" t="n">
        <f aca="false">DATE(YEAR(A997),MONTH(A997),1)</f>
        <v>46235</v>
      </c>
      <c r="G997" s="24" t="str">
        <f aca="false">INDEX(Products!$C$2:$C$49,MATCH(C997,Products!$A$2:$A$49,0))</f>
        <v>Personal Care</v>
      </c>
      <c r="H997" s="33" t="n">
        <f aca="false">D997*INDEX(Products!$E$2:$E$49,MATCH(C997,Products!$A$2:$A$49,0))</f>
        <v>18040</v>
      </c>
      <c r="I997" s="33" t="n">
        <f aca="false">D997*INDEX(Products!$D$2:$D$49,MATCH(C997,Products!$A$2:$A$49,0))*(1+INDEX(Assumptions!$B$16:$B$20,MATCH(B997,Assumptions!$A$16:$A$20,0)))</f>
        <v>13085.56</v>
      </c>
      <c r="J997" s="33" t="n">
        <f aca="false">H997-I997</f>
        <v>4954.44</v>
      </c>
      <c r="K997" s="33" t="n">
        <f aca="false">IF(OR(E997=0,E997&gt;=7),0,D997/(7-E997)*E997*INDEX(Products!$E$2:$E$49,MATCH(C997,Products!$A$2:$A$49,0)))</f>
        <v>0</v>
      </c>
    </row>
    <row r="998" customFormat="false" ht="15" hidden="false" customHeight="false" outlineLevel="0" collapsed="false">
      <c r="A998" s="36" t="n">
        <v>46265</v>
      </c>
      <c r="B998" s="24" t="s">
        <v>61</v>
      </c>
      <c r="C998" s="24" t="s">
        <v>193</v>
      </c>
      <c r="D998" s="33" t="n">
        <v>100</v>
      </c>
      <c r="E998" s="24" t="n">
        <v>0</v>
      </c>
      <c r="F998" s="37" t="n">
        <f aca="false">DATE(YEAR(A998),MONTH(A998),1)</f>
        <v>46235</v>
      </c>
      <c r="G998" s="24" t="str">
        <f aca="false">INDEX(Products!$C$2:$C$49,MATCH(C998,Products!$A$2:$A$49,0))</f>
        <v>Personal Care</v>
      </c>
      <c r="H998" s="33" t="n">
        <f aca="false">D998*INDEX(Products!$E$2:$E$49,MATCH(C998,Products!$A$2:$A$49,0))</f>
        <v>22000</v>
      </c>
      <c r="I998" s="33" t="n">
        <f aca="false">D998*INDEX(Products!$D$2:$D$49,MATCH(C998,Products!$A$2:$A$49,0))*(1+INDEX(Assumptions!$B$16:$B$20,MATCH(B998,Assumptions!$A$16:$A$20,0)))</f>
        <v>15958</v>
      </c>
      <c r="J998" s="33" t="n">
        <f aca="false">H998-I998</f>
        <v>6042</v>
      </c>
      <c r="K998" s="33" t="n">
        <f aca="false">IF(OR(E998=0,E998&gt;=7),0,D998/(7-E998)*E998*INDEX(Products!$E$2:$E$49,MATCH(C998,Products!$A$2:$A$49,0)))</f>
        <v>0</v>
      </c>
    </row>
    <row r="999" customFormat="false" ht="15" hidden="false" customHeight="false" outlineLevel="0" collapsed="false">
      <c r="A999" s="36" t="n">
        <v>46272</v>
      </c>
      <c r="B999" s="24" t="s">
        <v>61</v>
      </c>
      <c r="C999" s="24" t="s">
        <v>193</v>
      </c>
      <c r="D999" s="33" t="n">
        <v>77</v>
      </c>
      <c r="E999" s="24" t="n">
        <v>0</v>
      </c>
      <c r="F999" s="37" t="n">
        <f aca="false">DATE(YEAR(A999),MONTH(A999),1)</f>
        <v>46266</v>
      </c>
      <c r="G999" s="24" t="str">
        <f aca="false">INDEX(Products!$C$2:$C$49,MATCH(C999,Products!$A$2:$A$49,0))</f>
        <v>Personal Care</v>
      </c>
      <c r="H999" s="33" t="n">
        <f aca="false">D999*INDEX(Products!$E$2:$E$49,MATCH(C999,Products!$A$2:$A$49,0))</f>
        <v>16940</v>
      </c>
      <c r="I999" s="33" t="n">
        <f aca="false">D999*INDEX(Products!$D$2:$D$49,MATCH(C999,Products!$A$2:$A$49,0))*(1+INDEX(Assumptions!$B$16:$B$20,MATCH(B999,Assumptions!$A$16:$A$20,0)))</f>
        <v>12287.66</v>
      </c>
      <c r="J999" s="33" t="n">
        <f aca="false">H999-I999</f>
        <v>4652.34</v>
      </c>
      <c r="K999" s="33" t="n">
        <f aca="false">IF(OR(E999=0,E999&gt;=7),0,D999/(7-E999)*E999*INDEX(Products!$E$2:$E$49,MATCH(C999,Products!$A$2:$A$49,0)))</f>
        <v>0</v>
      </c>
    </row>
    <row r="1000" customFormat="false" ht="15" hidden="false" customHeight="false" outlineLevel="0" collapsed="false">
      <c r="A1000" s="36" t="n">
        <v>46279</v>
      </c>
      <c r="B1000" s="24" t="s">
        <v>61</v>
      </c>
      <c r="C1000" s="24" t="s">
        <v>193</v>
      </c>
      <c r="D1000" s="33" t="n">
        <v>90</v>
      </c>
      <c r="E1000" s="24" t="n">
        <v>0</v>
      </c>
      <c r="F1000" s="37" t="n">
        <f aca="false">DATE(YEAR(A1000),MONTH(A1000),1)</f>
        <v>46266</v>
      </c>
      <c r="G1000" s="24" t="str">
        <f aca="false">INDEX(Products!$C$2:$C$49,MATCH(C1000,Products!$A$2:$A$49,0))</f>
        <v>Personal Care</v>
      </c>
      <c r="H1000" s="33" t="n">
        <f aca="false">D1000*INDEX(Products!$E$2:$E$49,MATCH(C1000,Products!$A$2:$A$49,0))</f>
        <v>19800</v>
      </c>
      <c r="I1000" s="33" t="n">
        <f aca="false">D1000*INDEX(Products!$D$2:$D$49,MATCH(C1000,Products!$A$2:$A$49,0))*(1+INDEX(Assumptions!$B$16:$B$20,MATCH(B1000,Assumptions!$A$16:$A$20,0)))</f>
        <v>14362.2</v>
      </c>
      <c r="J1000" s="33" t="n">
        <f aca="false">H1000-I1000</f>
        <v>5437.8</v>
      </c>
      <c r="K1000" s="33" t="n">
        <f aca="false">IF(OR(E1000=0,E1000&gt;=7),0,D1000/(7-E1000)*E1000*INDEX(Products!$E$2:$E$49,MATCH(C1000,Products!$A$2:$A$49,0)))</f>
        <v>0</v>
      </c>
    </row>
    <row r="1001" customFormat="false" ht="15" hidden="false" customHeight="false" outlineLevel="0" collapsed="false">
      <c r="A1001" s="36" t="n">
        <v>46286</v>
      </c>
      <c r="B1001" s="24" t="s">
        <v>61</v>
      </c>
      <c r="C1001" s="24" t="s">
        <v>193</v>
      </c>
      <c r="D1001" s="33" t="n">
        <v>91</v>
      </c>
      <c r="E1001" s="24" t="n">
        <v>0</v>
      </c>
      <c r="F1001" s="37" t="n">
        <f aca="false">DATE(YEAR(A1001),MONTH(A1001),1)</f>
        <v>46266</v>
      </c>
      <c r="G1001" s="24" t="str">
        <f aca="false">INDEX(Products!$C$2:$C$49,MATCH(C1001,Products!$A$2:$A$49,0))</f>
        <v>Personal Care</v>
      </c>
      <c r="H1001" s="33" t="n">
        <f aca="false">D1001*INDEX(Products!$E$2:$E$49,MATCH(C1001,Products!$A$2:$A$49,0))</f>
        <v>20020</v>
      </c>
      <c r="I1001" s="33" t="n">
        <f aca="false">D1001*INDEX(Products!$D$2:$D$49,MATCH(C1001,Products!$A$2:$A$49,0))*(1+INDEX(Assumptions!$B$16:$B$20,MATCH(B1001,Assumptions!$A$16:$A$20,0)))</f>
        <v>14521.78</v>
      </c>
      <c r="J1001" s="33" t="n">
        <f aca="false">H1001-I1001</f>
        <v>5498.22</v>
      </c>
      <c r="K1001" s="33" t="n">
        <f aca="false">IF(OR(E1001=0,E1001&gt;=7),0,D1001/(7-E1001)*E1001*INDEX(Products!$E$2:$E$49,MATCH(C1001,Products!$A$2:$A$49,0)))</f>
        <v>0</v>
      </c>
    </row>
    <row r="1002" customFormat="false" ht="15" hidden="false" customHeight="false" outlineLevel="0" collapsed="false">
      <c r="A1002" s="36" t="n">
        <v>46118</v>
      </c>
      <c r="B1002" s="24" t="s">
        <v>61</v>
      </c>
      <c r="C1002" s="24" t="s">
        <v>195</v>
      </c>
      <c r="D1002" s="33" t="n">
        <v>484</v>
      </c>
      <c r="E1002" s="24" t="n">
        <v>0</v>
      </c>
      <c r="F1002" s="37" t="n">
        <f aca="false">DATE(YEAR(A1002),MONTH(A1002),1)</f>
        <v>46113</v>
      </c>
      <c r="G1002" s="24" t="str">
        <f aca="false">INDEX(Products!$C$2:$C$49,MATCH(C1002,Products!$A$2:$A$49,0))</f>
        <v>Snacks &amp; Confectionery</v>
      </c>
      <c r="H1002" s="33" t="n">
        <f aca="false">D1002*INDEX(Products!$E$2:$E$49,MATCH(C1002,Products!$A$2:$A$49,0))</f>
        <v>53240</v>
      </c>
      <c r="I1002" s="33" t="n">
        <f aca="false">D1002*INDEX(Products!$D$2:$D$49,MATCH(C1002,Products!$A$2:$A$49,0))*(1+INDEX(Assumptions!$B$16:$B$20,MATCH(B1002,Assumptions!$A$16:$A$20,0)))</f>
        <v>36174.16</v>
      </c>
      <c r="J1002" s="33" t="n">
        <f aca="false">H1002-I1002</f>
        <v>17065.84</v>
      </c>
      <c r="K1002" s="33" t="n">
        <f aca="false">IF(OR(E1002=0,E1002&gt;=7),0,D1002/(7-E1002)*E1002*INDEX(Products!$E$2:$E$49,MATCH(C1002,Products!$A$2:$A$49,0)))</f>
        <v>0</v>
      </c>
    </row>
    <row r="1003" customFormat="false" ht="15" hidden="false" customHeight="false" outlineLevel="0" collapsed="false">
      <c r="A1003" s="36" t="n">
        <v>46125</v>
      </c>
      <c r="B1003" s="24" t="s">
        <v>61</v>
      </c>
      <c r="C1003" s="24" t="s">
        <v>195</v>
      </c>
      <c r="D1003" s="33" t="n">
        <v>487</v>
      </c>
      <c r="E1003" s="24" t="n">
        <v>0</v>
      </c>
      <c r="F1003" s="37" t="n">
        <f aca="false">DATE(YEAR(A1003),MONTH(A1003),1)</f>
        <v>46113</v>
      </c>
      <c r="G1003" s="24" t="str">
        <f aca="false">INDEX(Products!$C$2:$C$49,MATCH(C1003,Products!$A$2:$A$49,0))</f>
        <v>Snacks &amp; Confectionery</v>
      </c>
      <c r="H1003" s="33" t="n">
        <f aca="false">D1003*INDEX(Products!$E$2:$E$49,MATCH(C1003,Products!$A$2:$A$49,0))</f>
        <v>53570</v>
      </c>
      <c r="I1003" s="33" t="n">
        <f aca="false">D1003*INDEX(Products!$D$2:$D$49,MATCH(C1003,Products!$A$2:$A$49,0))*(1+INDEX(Assumptions!$B$16:$B$20,MATCH(B1003,Assumptions!$A$16:$A$20,0)))</f>
        <v>36398.38</v>
      </c>
      <c r="J1003" s="33" t="n">
        <f aca="false">H1003-I1003</f>
        <v>17171.62</v>
      </c>
      <c r="K1003" s="33" t="n">
        <f aca="false">IF(OR(E1003=0,E1003&gt;=7),0,D1003/(7-E1003)*E1003*INDEX(Products!$E$2:$E$49,MATCH(C1003,Products!$A$2:$A$49,0)))</f>
        <v>0</v>
      </c>
    </row>
    <row r="1004" customFormat="false" ht="15" hidden="false" customHeight="false" outlineLevel="0" collapsed="false">
      <c r="A1004" s="36" t="n">
        <v>46132</v>
      </c>
      <c r="B1004" s="24" t="s">
        <v>61</v>
      </c>
      <c r="C1004" s="24" t="s">
        <v>195</v>
      </c>
      <c r="D1004" s="33" t="n">
        <v>543</v>
      </c>
      <c r="E1004" s="24" t="n">
        <v>0</v>
      </c>
      <c r="F1004" s="37" t="n">
        <f aca="false">DATE(YEAR(A1004),MONTH(A1004),1)</f>
        <v>46113</v>
      </c>
      <c r="G1004" s="24" t="str">
        <f aca="false">INDEX(Products!$C$2:$C$49,MATCH(C1004,Products!$A$2:$A$49,0))</f>
        <v>Snacks &amp; Confectionery</v>
      </c>
      <c r="H1004" s="33" t="n">
        <f aca="false">D1004*INDEX(Products!$E$2:$E$49,MATCH(C1004,Products!$A$2:$A$49,0))</f>
        <v>59730</v>
      </c>
      <c r="I1004" s="33" t="n">
        <f aca="false">D1004*INDEX(Products!$D$2:$D$49,MATCH(C1004,Products!$A$2:$A$49,0))*(1+INDEX(Assumptions!$B$16:$B$20,MATCH(B1004,Assumptions!$A$16:$A$20,0)))</f>
        <v>40583.82</v>
      </c>
      <c r="J1004" s="33" t="n">
        <f aca="false">H1004-I1004</f>
        <v>19146.18</v>
      </c>
      <c r="K1004" s="33" t="n">
        <f aca="false">IF(OR(E1004=0,E1004&gt;=7),0,D1004/(7-E1004)*E1004*INDEX(Products!$E$2:$E$49,MATCH(C1004,Products!$A$2:$A$49,0)))</f>
        <v>0</v>
      </c>
    </row>
    <row r="1005" customFormat="false" ht="15" hidden="false" customHeight="false" outlineLevel="0" collapsed="false">
      <c r="A1005" s="36" t="n">
        <v>46139</v>
      </c>
      <c r="B1005" s="24" t="s">
        <v>61</v>
      </c>
      <c r="C1005" s="24" t="s">
        <v>195</v>
      </c>
      <c r="D1005" s="33" t="n">
        <v>572</v>
      </c>
      <c r="E1005" s="24" t="n">
        <v>0</v>
      </c>
      <c r="F1005" s="37" t="n">
        <f aca="false">DATE(YEAR(A1005),MONTH(A1005),1)</f>
        <v>46113</v>
      </c>
      <c r="G1005" s="24" t="str">
        <f aca="false">INDEX(Products!$C$2:$C$49,MATCH(C1005,Products!$A$2:$A$49,0))</f>
        <v>Snacks &amp; Confectionery</v>
      </c>
      <c r="H1005" s="33" t="n">
        <f aca="false">D1005*INDEX(Products!$E$2:$E$49,MATCH(C1005,Products!$A$2:$A$49,0))</f>
        <v>62920</v>
      </c>
      <c r="I1005" s="33" t="n">
        <f aca="false">D1005*INDEX(Products!$D$2:$D$49,MATCH(C1005,Products!$A$2:$A$49,0))*(1+INDEX(Assumptions!$B$16:$B$20,MATCH(B1005,Assumptions!$A$16:$A$20,0)))</f>
        <v>42751.28</v>
      </c>
      <c r="J1005" s="33" t="n">
        <f aca="false">H1005-I1005</f>
        <v>20168.72</v>
      </c>
      <c r="K1005" s="33" t="n">
        <f aca="false">IF(OR(E1005=0,E1005&gt;=7),0,D1005/(7-E1005)*E1005*INDEX(Products!$E$2:$E$49,MATCH(C1005,Products!$A$2:$A$49,0)))</f>
        <v>0</v>
      </c>
    </row>
    <row r="1006" customFormat="false" ht="15" hidden="false" customHeight="false" outlineLevel="0" collapsed="false">
      <c r="A1006" s="36" t="n">
        <v>46146</v>
      </c>
      <c r="B1006" s="24" t="s">
        <v>61</v>
      </c>
      <c r="C1006" s="24" t="s">
        <v>195</v>
      </c>
      <c r="D1006" s="33" t="n">
        <v>518</v>
      </c>
      <c r="E1006" s="24" t="n">
        <v>0</v>
      </c>
      <c r="F1006" s="37" t="n">
        <f aca="false">DATE(YEAR(A1006),MONTH(A1006),1)</f>
        <v>46143</v>
      </c>
      <c r="G1006" s="24" t="str">
        <f aca="false">INDEX(Products!$C$2:$C$49,MATCH(C1006,Products!$A$2:$A$49,0))</f>
        <v>Snacks &amp; Confectionery</v>
      </c>
      <c r="H1006" s="33" t="n">
        <f aca="false">D1006*INDEX(Products!$E$2:$E$49,MATCH(C1006,Products!$A$2:$A$49,0))</f>
        <v>56980</v>
      </c>
      <c r="I1006" s="33" t="n">
        <f aca="false">D1006*INDEX(Products!$D$2:$D$49,MATCH(C1006,Products!$A$2:$A$49,0))*(1+INDEX(Assumptions!$B$16:$B$20,MATCH(B1006,Assumptions!$A$16:$A$20,0)))</f>
        <v>38715.32</v>
      </c>
      <c r="J1006" s="33" t="n">
        <f aca="false">H1006-I1006</f>
        <v>18264.68</v>
      </c>
      <c r="K1006" s="33" t="n">
        <f aca="false">IF(OR(E1006=0,E1006&gt;=7),0,D1006/(7-E1006)*E1006*INDEX(Products!$E$2:$E$49,MATCH(C1006,Products!$A$2:$A$49,0)))</f>
        <v>0</v>
      </c>
    </row>
    <row r="1007" customFormat="false" ht="15" hidden="false" customHeight="false" outlineLevel="0" collapsed="false">
      <c r="A1007" s="36" t="n">
        <v>46153</v>
      </c>
      <c r="B1007" s="24" t="s">
        <v>61</v>
      </c>
      <c r="C1007" s="24" t="s">
        <v>195</v>
      </c>
      <c r="D1007" s="33" t="n">
        <v>503</v>
      </c>
      <c r="E1007" s="24" t="n">
        <v>0</v>
      </c>
      <c r="F1007" s="37" t="n">
        <f aca="false">DATE(YEAR(A1007),MONTH(A1007),1)</f>
        <v>46143</v>
      </c>
      <c r="G1007" s="24" t="str">
        <f aca="false">INDEX(Products!$C$2:$C$49,MATCH(C1007,Products!$A$2:$A$49,0))</f>
        <v>Snacks &amp; Confectionery</v>
      </c>
      <c r="H1007" s="33" t="n">
        <f aca="false">D1007*INDEX(Products!$E$2:$E$49,MATCH(C1007,Products!$A$2:$A$49,0))</f>
        <v>55330</v>
      </c>
      <c r="I1007" s="33" t="n">
        <f aca="false">D1007*INDEX(Products!$D$2:$D$49,MATCH(C1007,Products!$A$2:$A$49,0))*(1+INDEX(Assumptions!$B$16:$B$20,MATCH(B1007,Assumptions!$A$16:$A$20,0)))</f>
        <v>37594.22</v>
      </c>
      <c r="J1007" s="33" t="n">
        <f aca="false">H1007-I1007</f>
        <v>17735.78</v>
      </c>
      <c r="K1007" s="33" t="n">
        <f aca="false">IF(OR(E1007=0,E1007&gt;=7),0,D1007/(7-E1007)*E1007*INDEX(Products!$E$2:$E$49,MATCH(C1007,Products!$A$2:$A$49,0)))</f>
        <v>0</v>
      </c>
    </row>
    <row r="1008" customFormat="false" ht="15" hidden="false" customHeight="false" outlineLevel="0" collapsed="false">
      <c r="A1008" s="36" t="n">
        <v>46160</v>
      </c>
      <c r="B1008" s="24" t="s">
        <v>61</v>
      </c>
      <c r="C1008" s="24" t="s">
        <v>195</v>
      </c>
      <c r="D1008" s="33" t="n">
        <v>534</v>
      </c>
      <c r="E1008" s="24" t="n">
        <v>0</v>
      </c>
      <c r="F1008" s="37" t="n">
        <f aca="false">DATE(YEAR(A1008),MONTH(A1008),1)</f>
        <v>46143</v>
      </c>
      <c r="G1008" s="24" t="str">
        <f aca="false">INDEX(Products!$C$2:$C$49,MATCH(C1008,Products!$A$2:$A$49,0))</f>
        <v>Snacks &amp; Confectionery</v>
      </c>
      <c r="H1008" s="33" t="n">
        <f aca="false">D1008*INDEX(Products!$E$2:$E$49,MATCH(C1008,Products!$A$2:$A$49,0))</f>
        <v>58740</v>
      </c>
      <c r="I1008" s="33" t="n">
        <f aca="false">D1008*INDEX(Products!$D$2:$D$49,MATCH(C1008,Products!$A$2:$A$49,0))*(1+INDEX(Assumptions!$B$16:$B$20,MATCH(B1008,Assumptions!$A$16:$A$20,0)))</f>
        <v>39911.16</v>
      </c>
      <c r="J1008" s="33" t="n">
        <f aca="false">H1008-I1008</f>
        <v>18828.84</v>
      </c>
      <c r="K1008" s="33" t="n">
        <f aca="false">IF(OR(E1008=0,E1008&gt;=7),0,D1008/(7-E1008)*E1008*INDEX(Products!$E$2:$E$49,MATCH(C1008,Products!$A$2:$A$49,0)))</f>
        <v>0</v>
      </c>
    </row>
    <row r="1009" customFormat="false" ht="15" hidden="false" customHeight="false" outlineLevel="0" collapsed="false">
      <c r="A1009" s="36" t="n">
        <v>46167</v>
      </c>
      <c r="B1009" s="24" t="s">
        <v>61</v>
      </c>
      <c r="C1009" s="24" t="s">
        <v>195</v>
      </c>
      <c r="D1009" s="33" t="n">
        <v>529</v>
      </c>
      <c r="E1009" s="24" t="n">
        <v>0</v>
      </c>
      <c r="F1009" s="37" t="n">
        <f aca="false">DATE(YEAR(A1009),MONTH(A1009),1)</f>
        <v>46143</v>
      </c>
      <c r="G1009" s="24" t="str">
        <f aca="false">INDEX(Products!$C$2:$C$49,MATCH(C1009,Products!$A$2:$A$49,0))</f>
        <v>Snacks &amp; Confectionery</v>
      </c>
      <c r="H1009" s="33" t="n">
        <f aca="false">D1009*INDEX(Products!$E$2:$E$49,MATCH(C1009,Products!$A$2:$A$49,0))</f>
        <v>58190</v>
      </c>
      <c r="I1009" s="33" t="n">
        <f aca="false">D1009*INDEX(Products!$D$2:$D$49,MATCH(C1009,Products!$A$2:$A$49,0))*(1+INDEX(Assumptions!$B$16:$B$20,MATCH(B1009,Assumptions!$A$16:$A$20,0)))</f>
        <v>39537.46</v>
      </c>
      <c r="J1009" s="33" t="n">
        <f aca="false">H1009-I1009</f>
        <v>18652.54</v>
      </c>
      <c r="K1009" s="33" t="n">
        <f aca="false">IF(OR(E1009=0,E1009&gt;=7),0,D1009/(7-E1009)*E1009*INDEX(Products!$E$2:$E$49,MATCH(C1009,Products!$A$2:$A$49,0)))</f>
        <v>0</v>
      </c>
    </row>
    <row r="1010" customFormat="false" ht="15" hidden="false" customHeight="false" outlineLevel="0" collapsed="false">
      <c r="A1010" s="36" t="n">
        <v>46174</v>
      </c>
      <c r="B1010" s="24" t="s">
        <v>61</v>
      </c>
      <c r="C1010" s="24" t="s">
        <v>195</v>
      </c>
      <c r="D1010" s="33" t="n">
        <v>504</v>
      </c>
      <c r="E1010" s="24" t="n">
        <v>0</v>
      </c>
      <c r="F1010" s="37" t="n">
        <f aca="false">DATE(YEAR(A1010),MONTH(A1010),1)</f>
        <v>46174</v>
      </c>
      <c r="G1010" s="24" t="str">
        <f aca="false">INDEX(Products!$C$2:$C$49,MATCH(C1010,Products!$A$2:$A$49,0))</f>
        <v>Snacks &amp; Confectionery</v>
      </c>
      <c r="H1010" s="33" t="n">
        <f aca="false">D1010*INDEX(Products!$E$2:$E$49,MATCH(C1010,Products!$A$2:$A$49,0))</f>
        <v>55440</v>
      </c>
      <c r="I1010" s="33" t="n">
        <f aca="false">D1010*INDEX(Products!$D$2:$D$49,MATCH(C1010,Products!$A$2:$A$49,0))*(1+INDEX(Assumptions!$B$16:$B$20,MATCH(B1010,Assumptions!$A$16:$A$20,0)))</f>
        <v>37668.96</v>
      </c>
      <c r="J1010" s="33" t="n">
        <f aca="false">H1010-I1010</f>
        <v>17771.04</v>
      </c>
      <c r="K1010" s="33" t="n">
        <f aca="false">IF(OR(E1010=0,E1010&gt;=7),0,D1010/(7-E1010)*E1010*INDEX(Products!$E$2:$E$49,MATCH(C1010,Products!$A$2:$A$49,0)))</f>
        <v>0</v>
      </c>
    </row>
    <row r="1011" customFormat="false" ht="15" hidden="false" customHeight="false" outlineLevel="0" collapsed="false">
      <c r="A1011" s="36" t="n">
        <v>46181</v>
      </c>
      <c r="B1011" s="24" t="s">
        <v>61</v>
      </c>
      <c r="C1011" s="24" t="s">
        <v>195</v>
      </c>
      <c r="D1011" s="33" t="n">
        <v>557</v>
      </c>
      <c r="E1011" s="24" t="n">
        <v>0</v>
      </c>
      <c r="F1011" s="37" t="n">
        <f aca="false">DATE(YEAR(A1011),MONTH(A1011),1)</f>
        <v>46174</v>
      </c>
      <c r="G1011" s="24" t="str">
        <f aca="false">INDEX(Products!$C$2:$C$49,MATCH(C1011,Products!$A$2:$A$49,0))</f>
        <v>Snacks &amp; Confectionery</v>
      </c>
      <c r="H1011" s="33" t="n">
        <f aca="false">D1011*INDEX(Products!$E$2:$E$49,MATCH(C1011,Products!$A$2:$A$49,0))</f>
        <v>61270</v>
      </c>
      <c r="I1011" s="33" t="n">
        <f aca="false">D1011*INDEX(Products!$D$2:$D$49,MATCH(C1011,Products!$A$2:$A$49,0))*(1+INDEX(Assumptions!$B$16:$B$20,MATCH(B1011,Assumptions!$A$16:$A$20,0)))</f>
        <v>41630.18</v>
      </c>
      <c r="J1011" s="33" t="n">
        <f aca="false">H1011-I1011</f>
        <v>19639.82</v>
      </c>
      <c r="K1011" s="33" t="n">
        <f aca="false">IF(OR(E1011=0,E1011&gt;=7),0,D1011/(7-E1011)*E1011*INDEX(Products!$E$2:$E$49,MATCH(C1011,Products!$A$2:$A$49,0)))</f>
        <v>0</v>
      </c>
    </row>
    <row r="1012" customFormat="false" ht="15" hidden="false" customHeight="false" outlineLevel="0" collapsed="false">
      <c r="A1012" s="36" t="n">
        <v>46188</v>
      </c>
      <c r="B1012" s="24" t="s">
        <v>61</v>
      </c>
      <c r="C1012" s="24" t="s">
        <v>195</v>
      </c>
      <c r="D1012" s="33" t="n">
        <v>517</v>
      </c>
      <c r="E1012" s="24" t="n">
        <v>0</v>
      </c>
      <c r="F1012" s="37" t="n">
        <f aca="false">DATE(YEAR(A1012),MONTH(A1012),1)</f>
        <v>46174</v>
      </c>
      <c r="G1012" s="24" t="str">
        <f aca="false">INDEX(Products!$C$2:$C$49,MATCH(C1012,Products!$A$2:$A$49,0))</f>
        <v>Snacks &amp; Confectionery</v>
      </c>
      <c r="H1012" s="33" t="n">
        <f aca="false">D1012*INDEX(Products!$E$2:$E$49,MATCH(C1012,Products!$A$2:$A$49,0))</f>
        <v>56870</v>
      </c>
      <c r="I1012" s="33" t="n">
        <f aca="false">D1012*INDEX(Products!$D$2:$D$49,MATCH(C1012,Products!$A$2:$A$49,0))*(1+INDEX(Assumptions!$B$16:$B$20,MATCH(B1012,Assumptions!$A$16:$A$20,0)))</f>
        <v>38640.58</v>
      </c>
      <c r="J1012" s="33" t="n">
        <f aca="false">H1012-I1012</f>
        <v>18229.42</v>
      </c>
      <c r="K1012" s="33" t="n">
        <f aca="false">IF(OR(E1012=0,E1012&gt;=7),0,D1012/(7-E1012)*E1012*INDEX(Products!$E$2:$E$49,MATCH(C1012,Products!$A$2:$A$49,0)))</f>
        <v>0</v>
      </c>
    </row>
    <row r="1013" customFormat="false" ht="15" hidden="false" customHeight="false" outlineLevel="0" collapsed="false">
      <c r="A1013" s="36" t="n">
        <v>46195</v>
      </c>
      <c r="B1013" s="24" t="s">
        <v>61</v>
      </c>
      <c r="C1013" s="24" t="s">
        <v>195</v>
      </c>
      <c r="D1013" s="33" t="n">
        <v>525</v>
      </c>
      <c r="E1013" s="24" t="n">
        <v>0</v>
      </c>
      <c r="F1013" s="37" t="n">
        <f aca="false">DATE(YEAR(A1013),MONTH(A1013),1)</f>
        <v>46174</v>
      </c>
      <c r="G1013" s="24" t="str">
        <f aca="false">INDEX(Products!$C$2:$C$49,MATCH(C1013,Products!$A$2:$A$49,0))</f>
        <v>Snacks &amp; Confectionery</v>
      </c>
      <c r="H1013" s="33" t="n">
        <f aca="false">D1013*INDEX(Products!$E$2:$E$49,MATCH(C1013,Products!$A$2:$A$49,0))</f>
        <v>57750</v>
      </c>
      <c r="I1013" s="33" t="n">
        <f aca="false">D1013*INDEX(Products!$D$2:$D$49,MATCH(C1013,Products!$A$2:$A$49,0))*(1+INDEX(Assumptions!$B$16:$B$20,MATCH(B1013,Assumptions!$A$16:$A$20,0)))</f>
        <v>39238.5</v>
      </c>
      <c r="J1013" s="33" t="n">
        <f aca="false">H1013-I1013</f>
        <v>18511.5</v>
      </c>
      <c r="K1013" s="33" t="n">
        <f aca="false">IF(OR(E1013=0,E1013&gt;=7),0,D1013/(7-E1013)*E1013*INDEX(Products!$E$2:$E$49,MATCH(C1013,Products!$A$2:$A$49,0)))</f>
        <v>0</v>
      </c>
    </row>
    <row r="1014" customFormat="false" ht="15" hidden="false" customHeight="false" outlineLevel="0" collapsed="false">
      <c r="A1014" s="36" t="n">
        <v>46202</v>
      </c>
      <c r="B1014" s="24" t="s">
        <v>61</v>
      </c>
      <c r="C1014" s="24" t="s">
        <v>195</v>
      </c>
      <c r="D1014" s="33" t="n">
        <v>536</v>
      </c>
      <c r="E1014" s="24" t="n">
        <v>0</v>
      </c>
      <c r="F1014" s="37" t="n">
        <f aca="false">DATE(YEAR(A1014),MONTH(A1014),1)</f>
        <v>46174</v>
      </c>
      <c r="G1014" s="24" t="str">
        <f aca="false">INDEX(Products!$C$2:$C$49,MATCH(C1014,Products!$A$2:$A$49,0))</f>
        <v>Snacks &amp; Confectionery</v>
      </c>
      <c r="H1014" s="33" t="n">
        <f aca="false">D1014*INDEX(Products!$E$2:$E$49,MATCH(C1014,Products!$A$2:$A$49,0))</f>
        <v>58960</v>
      </c>
      <c r="I1014" s="33" t="n">
        <f aca="false">D1014*INDEX(Products!$D$2:$D$49,MATCH(C1014,Products!$A$2:$A$49,0))*(1+INDEX(Assumptions!$B$16:$B$20,MATCH(B1014,Assumptions!$A$16:$A$20,0)))</f>
        <v>40060.64</v>
      </c>
      <c r="J1014" s="33" t="n">
        <f aca="false">H1014-I1014</f>
        <v>18899.36</v>
      </c>
      <c r="K1014" s="33" t="n">
        <f aca="false">IF(OR(E1014=0,E1014&gt;=7),0,D1014/(7-E1014)*E1014*INDEX(Products!$E$2:$E$49,MATCH(C1014,Products!$A$2:$A$49,0)))</f>
        <v>0</v>
      </c>
    </row>
    <row r="1015" customFormat="false" ht="15" hidden="false" customHeight="false" outlineLevel="0" collapsed="false">
      <c r="A1015" s="36" t="n">
        <v>46209</v>
      </c>
      <c r="B1015" s="24" t="s">
        <v>61</v>
      </c>
      <c r="C1015" s="24" t="s">
        <v>195</v>
      </c>
      <c r="D1015" s="33" t="n">
        <v>483</v>
      </c>
      <c r="E1015" s="24" t="n">
        <v>0</v>
      </c>
      <c r="F1015" s="37" t="n">
        <f aca="false">DATE(YEAR(A1015),MONTH(A1015),1)</f>
        <v>46204</v>
      </c>
      <c r="G1015" s="24" t="str">
        <f aca="false">INDEX(Products!$C$2:$C$49,MATCH(C1015,Products!$A$2:$A$49,0))</f>
        <v>Snacks &amp; Confectionery</v>
      </c>
      <c r="H1015" s="33" t="n">
        <f aca="false">D1015*INDEX(Products!$E$2:$E$49,MATCH(C1015,Products!$A$2:$A$49,0))</f>
        <v>53130</v>
      </c>
      <c r="I1015" s="33" t="n">
        <f aca="false">D1015*INDEX(Products!$D$2:$D$49,MATCH(C1015,Products!$A$2:$A$49,0))*(1+INDEX(Assumptions!$B$16:$B$20,MATCH(B1015,Assumptions!$A$16:$A$20,0)))</f>
        <v>36099.42</v>
      </c>
      <c r="J1015" s="33" t="n">
        <f aca="false">H1015-I1015</f>
        <v>17030.58</v>
      </c>
      <c r="K1015" s="33" t="n">
        <f aca="false">IF(OR(E1015=0,E1015&gt;=7),0,D1015/(7-E1015)*E1015*INDEX(Products!$E$2:$E$49,MATCH(C1015,Products!$A$2:$A$49,0)))</f>
        <v>0</v>
      </c>
    </row>
    <row r="1016" customFormat="false" ht="15" hidden="false" customHeight="false" outlineLevel="0" collapsed="false">
      <c r="A1016" s="36" t="n">
        <v>46216</v>
      </c>
      <c r="B1016" s="24" t="s">
        <v>61</v>
      </c>
      <c r="C1016" s="24" t="s">
        <v>195</v>
      </c>
      <c r="D1016" s="33" t="n">
        <v>454</v>
      </c>
      <c r="E1016" s="24" t="n">
        <v>0</v>
      </c>
      <c r="F1016" s="37" t="n">
        <f aca="false">DATE(YEAR(A1016),MONTH(A1016),1)</f>
        <v>46204</v>
      </c>
      <c r="G1016" s="24" t="str">
        <f aca="false">INDEX(Products!$C$2:$C$49,MATCH(C1016,Products!$A$2:$A$49,0))</f>
        <v>Snacks &amp; Confectionery</v>
      </c>
      <c r="H1016" s="33" t="n">
        <f aca="false">D1016*INDEX(Products!$E$2:$E$49,MATCH(C1016,Products!$A$2:$A$49,0))</f>
        <v>49940</v>
      </c>
      <c r="I1016" s="33" t="n">
        <f aca="false">D1016*INDEX(Products!$D$2:$D$49,MATCH(C1016,Products!$A$2:$A$49,0))*(1+INDEX(Assumptions!$B$16:$B$20,MATCH(B1016,Assumptions!$A$16:$A$20,0)))</f>
        <v>33931.96</v>
      </c>
      <c r="J1016" s="33" t="n">
        <f aca="false">H1016-I1016</f>
        <v>16008.04</v>
      </c>
      <c r="K1016" s="33" t="n">
        <f aca="false">IF(OR(E1016=0,E1016&gt;=7),0,D1016/(7-E1016)*E1016*INDEX(Products!$E$2:$E$49,MATCH(C1016,Products!$A$2:$A$49,0)))</f>
        <v>0</v>
      </c>
    </row>
    <row r="1017" customFormat="false" ht="15" hidden="false" customHeight="false" outlineLevel="0" collapsed="false">
      <c r="A1017" s="36" t="n">
        <v>46223</v>
      </c>
      <c r="B1017" s="24" t="s">
        <v>61</v>
      </c>
      <c r="C1017" s="24" t="s">
        <v>195</v>
      </c>
      <c r="D1017" s="33" t="n">
        <v>518</v>
      </c>
      <c r="E1017" s="24" t="n">
        <v>0</v>
      </c>
      <c r="F1017" s="37" t="n">
        <f aca="false">DATE(YEAR(A1017),MONTH(A1017),1)</f>
        <v>46204</v>
      </c>
      <c r="G1017" s="24" t="str">
        <f aca="false">INDEX(Products!$C$2:$C$49,MATCH(C1017,Products!$A$2:$A$49,0))</f>
        <v>Snacks &amp; Confectionery</v>
      </c>
      <c r="H1017" s="33" t="n">
        <f aca="false">D1017*INDEX(Products!$E$2:$E$49,MATCH(C1017,Products!$A$2:$A$49,0))</f>
        <v>56980</v>
      </c>
      <c r="I1017" s="33" t="n">
        <f aca="false">D1017*INDEX(Products!$D$2:$D$49,MATCH(C1017,Products!$A$2:$A$49,0))*(1+INDEX(Assumptions!$B$16:$B$20,MATCH(B1017,Assumptions!$A$16:$A$20,0)))</f>
        <v>38715.32</v>
      </c>
      <c r="J1017" s="33" t="n">
        <f aca="false">H1017-I1017</f>
        <v>18264.68</v>
      </c>
      <c r="K1017" s="33" t="n">
        <f aca="false">IF(OR(E1017=0,E1017&gt;=7),0,D1017/(7-E1017)*E1017*INDEX(Products!$E$2:$E$49,MATCH(C1017,Products!$A$2:$A$49,0)))</f>
        <v>0</v>
      </c>
    </row>
    <row r="1018" customFormat="false" ht="15" hidden="false" customHeight="false" outlineLevel="0" collapsed="false">
      <c r="A1018" s="36" t="n">
        <v>46230</v>
      </c>
      <c r="B1018" s="24" t="s">
        <v>61</v>
      </c>
      <c r="C1018" s="24" t="s">
        <v>195</v>
      </c>
      <c r="D1018" s="33" t="n">
        <v>478</v>
      </c>
      <c r="E1018" s="24" t="n">
        <v>0</v>
      </c>
      <c r="F1018" s="37" t="n">
        <f aca="false">DATE(YEAR(A1018),MONTH(A1018),1)</f>
        <v>46204</v>
      </c>
      <c r="G1018" s="24" t="str">
        <f aca="false">INDEX(Products!$C$2:$C$49,MATCH(C1018,Products!$A$2:$A$49,0))</f>
        <v>Snacks &amp; Confectionery</v>
      </c>
      <c r="H1018" s="33" t="n">
        <f aca="false">D1018*INDEX(Products!$E$2:$E$49,MATCH(C1018,Products!$A$2:$A$49,0))</f>
        <v>52580</v>
      </c>
      <c r="I1018" s="33" t="n">
        <f aca="false">D1018*INDEX(Products!$D$2:$D$49,MATCH(C1018,Products!$A$2:$A$49,0))*(1+INDEX(Assumptions!$B$16:$B$20,MATCH(B1018,Assumptions!$A$16:$A$20,0)))</f>
        <v>35725.72</v>
      </c>
      <c r="J1018" s="33" t="n">
        <f aca="false">H1018-I1018</f>
        <v>16854.28</v>
      </c>
      <c r="K1018" s="33" t="n">
        <f aca="false">IF(OR(E1018=0,E1018&gt;=7),0,D1018/(7-E1018)*E1018*INDEX(Products!$E$2:$E$49,MATCH(C1018,Products!$A$2:$A$49,0)))</f>
        <v>0</v>
      </c>
    </row>
    <row r="1019" customFormat="false" ht="15" hidden="false" customHeight="false" outlineLevel="0" collapsed="false">
      <c r="A1019" s="36" t="n">
        <v>46237</v>
      </c>
      <c r="B1019" s="24" t="s">
        <v>61</v>
      </c>
      <c r="C1019" s="24" t="s">
        <v>195</v>
      </c>
      <c r="D1019" s="33" t="n">
        <v>474</v>
      </c>
      <c r="E1019" s="24" t="n">
        <v>0</v>
      </c>
      <c r="F1019" s="37" t="n">
        <f aca="false">DATE(YEAR(A1019),MONTH(A1019),1)</f>
        <v>46235</v>
      </c>
      <c r="G1019" s="24" t="str">
        <f aca="false">INDEX(Products!$C$2:$C$49,MATCH(C1019,Products!$A$2:$A$49,0))</f>
        <v>Snacks &amp; Confectionery</v>
      </c>
      <c r="H1019" s="33" t="n">
        <f aca="false">D1019*INDEX(Products!$E$2:$E$49,MATCH(C1019,Products!$A$2:$A$49,0))</f>
        <v>52140</v>
      </c>
      <c r="I1019" s="33" t="n">
        <f aca="false">D1019*INDEX(Products!$D$2:$D$49,MATCH(C1019,Products!$A$2:$A$49,0))*(1+INDEX(Assumptions!$B$16:$B$20,MATCH(B1019,Assumptions!$A$16:$A$20,0)))</f>
        <v>35426.76</v>
      </c>
      <c r="J1019" s="33" t="n">
        <f aca="false">H1019-I1019</f>
        <v>16713.24</v>
      </c>
      <c r="K1019" s="33" t="n">
        <f aca="false">IF(OR(E1019=0,E1019&gt;=7),0,D1019/(7-E1019)*E1019*INDEX(Products!$E$2:$E$49,MATCH(C1019,Products!$A$2:$A$49,0)))</f>
        <v>0</v>
      </c>
    </row>
    <row r="1020" customFormat="false" ht="15" hidden="false" customHeight="false" outlineLevel="0" collapsed="false">
      <c r="A1020" s="36" t="n">
        <v>46244</v>
      </c>
      <c r="B1020" s="24" t="s">
        <v>61</v>
      </c>
      <c r="C1020" s="24" t="s">
        <v>195</v>
      </c>
      <c r="D1020" s="33" t="n">
        <v>463</v>
      </c>
      <c r="E1020" s="24" t="n">
        <v>0</v>
      </c>
      <c r="F1020" s="37" t="n">
        <f aca="false">DATE(YEAR(A1020),MONTH(A1020),1)</f>
        <v>46235</v>
      </c>
      <c r="G1020" s="24" t="str">
        <f aca="false">INDEX(Products!$C$2:$C$49,MATCH(C1020,Products!$A$2:$A$49,0))</f>
        <v>Snacks &amp; Confectionery</v>
      </c>
      <c r="H1020" s="33" t="n">
        <f aca="false">D1020*INDEX(Products!$E$2:$E$49,MATCH(C1020,Products!$A$2:$A$49,0))</f>
        <v>50930</v>
      </c>
      <c r="I1020" s="33" t="n">
        <f aca="false">D1020*INDEX(Products!$D$2:$D$49,MATCH(C1020,Products!$A$2:$A$49,0))*(1+INDEX(Assumptions!$B$16:$B$20,MATCH(B1020,Assumptions!$A$16:$A$20,0)))</f>
        <v>34604.62</v>
      </c>
      <c r="J1020" s="33" t="n">
        <f aca="false">H1020-I1020</f>
        <v>16325.38</v>
      </c>
      <c r="K1020" s="33" t="n">
        <f aca="false">IF(OR(E1020=0,E1020&gt;=7),0,D1020/(7-E1020)*E1020*INDEX(Products!$E$2:$E$49,MATCH(C1020,Products!$A$2:$A$49,0)))</f>
        <v>0</v>
      </c>
    </row>
    <row r="1021" customFormat="false" ht="15" hidden="false" customHeight="false" outlineLevel="0" collapsed="false">
      <c r="A1021" s="36" t="n">
        <v>46251</v>
      </c>
      <c r="B1021" s="24" t="s">
        <v>61</v>
      </c>
      <c r="C1021" s="24" t="s">
        <v>195</v>
      </c>
      <c r="D1021" s="33" t="n">
        <v>469</v>
      </c>
      <c r="E1021" s="24" t="n">
        <v>0</v>
      </c>
      <c r="F1021" s="37" t="n">
        <f aca="false">DATE(YEAR(A1021),MONTH(A1021),1)</f>
        <v>46235</v>
      </c>
      <c r="G1021" s="24" t="str">
        <f aca="false">INDEX(Products!$C$2:$C$49,MATCH(C1021,Products!$A$2:$A$49,0))</f>
        <v>Snacks &amp; Confectionery</v>
      </c>
      <c r="H1021" s="33" t="n">
        <f aca="false">D1021*INDEX(Products!$E$2:$E$49,MATCH(C1021,Products!$A$2:$A$49,0))</f>
        <v>51590</v>
      </c>
      <c r="I1021" s="33" t="n">
        <f aca="false">D1021*INDEX(Products!$D$2:$D$49,MATCH(C1021,Products!$A$2:$A$49,0))*(1+INDEX(Assumptions!$B$16:$B$20,MATCH(B1021,Assumptions!$A$16:$A$20,0)))</f>
        <v>35053.06</v>
      </c>
      <c r="J1021" s="33" t="n">
        <f aca="false">H1021-I1021</f>
        <v>16536.94</v>
      </c>
      <c r="K1021" s="33" t="n">
        <f aca="false">IF(OR(E1021=0,E1021&gt;=7),0,D1021/(7-E1021)*E1021*INDEX(Products!$E$2:$E$49,MATCH(C1021,Products!$A$2:$A$49,0)))</f>
        <v>0</v>
      </c>
    </row>
    <row r="1022" customFormat="false" ht="15" hidden="false" customHeight="false" outlineLevel="0" collapsed="false">
      <c r="A1022" s="36" t="n">
        <v>46258</v>
      </c>
      <c r="B1022" s="24" t="s">
        <v>61</v>
      </c>
      <c r="C1022" s="24" t="s">
        <v>195</v>
      </c>
      <c r="D1022" s="33" t="n">
        <v>517</v>
      </c>
      <c r="E1022" s="24" t="n">
        <v>0</v>
      </c>
      <c r="F1022" s="37" t="n">
        <f aca="false">DATE(YEAR(A1022),MONTH(A1022),1)</f>
        <v>46235</v>
      </c>
      <c r="G1022" s="24" t="str">
        <f aca="false">INDEX(Products!$C$2:$C$49,MATCH(C1022,Products!$A$2:$A$49,0))</f>
        <v>Snacks &amp; Confectionery</v>
      </c>
      <c r="H1022" s="33" t="n">
        <f aca="false">D1022*INDEX(Products!$E$2:$E$49,MATCH(C1022,Products!$A$2:$A$49,0))</f>
        <v>56870</v>
      </c>
      <c r="I1022" s="33" t="n">
        <f aca="false">D1022*INDEX(Products!$D$2:$D$49,MATCH(C1022,Products!$A$2:$A$49,0))*(1+INDEX(Assumptions!$B$16:$B$20,MATCH(B1022,Assumptions!$A$16:$A$20,0)))</f>
        <v>38640.58</v>
      </c>
      <c r="J1022" s="33" t="n">
        <f aca="false">H1022-I1022</f>
        <v>18229.42</v>
      </c>
      <c r="K1022" s="33" t="n">
        <f aca="false">IF(OR(E1022=0,E1022&gt;=7),0,D1022/(7-E1022)*E1022*INDEX(Products!$E$2:$E$49,MATCH(C1022,Products!$A$2:$A$49,0)))</f>
        <v>0</v>
      </c>
    </row>
    <row r="1023" customFormat="false" ht="15" hidden="false" customHeight="false" outlineLevel="0" collapsed="false">
      <c r="A1023" s="36" t="n">
        <v>46265</v>
      </c>
      <c r="B1023" s="24" t="s">
        <v>61</v>
      </c>
      <c r="C1023" s="24" t="s">
        <v>195</v>
      </c>
      <c r="D1023" s="33" t="n">
        <v>295</v>
      </c>
      <c r="E1023" s="24" t="n">
        <v>3</v>
      </c>
      <c r="F1023" s="37" t="n">
        <f aca="false">DATE(YEAR(A1023),MONTH(A1023),1)</f>
        <v>46235</v>
      </c>
      <c r="G1023" s="24" t="str">
        <f aca="false">INDEX(Products!$C$2:$C$49,MATCH(C1023,Products!$A$2:$A$49,0))</f>
        <v>Snacks &amp; Confectionery</v>
      </c>
      <c r="H1023" s="33" t="n">
        <f aca="false">D1023*INDEX(Products!$E$2:$E$49,MATCH(C1023,Products!$A$2:$A$49,0))</f>
        <v>32450</v>
      </c>
      <c r="I1023" s="33" t="n">
        <f aca="false">D1023*INDEX(Products!$D$2:$D$49,MATCH(C1023,Products!$A$2:$A$49,0))*(1+INDEX(Assumptions!$B$16:$B$20,MATCH(B1023,Assumptions!$A$16:$A$20,0)))</f>
        <v>22048.3</v>
      </c>
      <c r="J1023" s="33" t="n">
        <f aca="false">H1023-I1023</f>
        <v>10401.7</v>
      </c>
      <c r="K1023" s="33" t="n">
        <f aca="false">IF(OR(E1023=0,E1023&gt;=7),0,D1023/(7-E1023)*E1023*INDEX(Products!$E$2:$E$49,MATCH(C1023,Products!$A$2:$A$49,0)))</f>
        <v>24337.5</v>
      </c>
    </row>
    <row r="1024" customFormat="false" ht="15" hidden="false" customHeight="false" outlineLevel="0" collapsed="false">
      <c r="A1024" s="36" t="n">
        <v>46272</v>
      </c>
      <c r="B1024" s="24" t="s">
        <v>61</v>
      </c>
      <c r="C1024" s="24" t="s">
        <v>195</v>
      </c>
      <c r="D1024" s="33" t="n">
        <v>503</v>
      </c>
      <c r="E1024" s="24" t="n">
        <v>0</v>
      </c>
      <c r="F1024" s="37" t="n">
        <f aca="false">DATE(YEAR(A1024),MONTH(A1024),1)</f>
        <v>46266</v>
      </c>
      <c r="G1024" s="24" t="str">
        <f aca="false">INDEX(Products!$C$2:$C$49,MATCH(C1024,Products!$A$2:$A$49,0))</f>
        <v>Snacks &amp; Confectionery</v>
      </c>
      <c r="H1024" s="33" t="n">
        <f aca="false">D1024*INDEX(Products!$E$2:$E$49,MATCH(C1024,Products!$A$2:$A$49,0))</f>
        <v>55330</v>
      </c>
      <c r="I1024" s="33" t="n">
        <f aca="false">D1024*INDEX(Products!$D$2:$D$49,MATCH(C1024,Products!$A$2:$A$49,0))*(1+INDEX(Assumptions!$B$16:$B$20,MATCH(B1024,Assumptions!$A$16:$A$20,0)))</f>
        <v>37594.22</v>
      </c>
      <c r="J1024" s="33" t="n">
        <f aca="false">H1024-I1024</f>
        <v>17735.78</v>
      </c>
      <c r="K1024" s="33" t="n">
        <f aca="false">IF(OR(E1024=0,E1024&gt;=7),0,D1024/(7-E1024)*E1024*INDEX(Products!$E$2:$E$49,MATCH(C1024,Products!$A$2:$A$49,0)))</f>
        <v>0</v>
      </c>
    </row>
    <row r="1025" customFormat="false" ht="15" hidden="false" customHeight="false" outlineLevel="0" collapsed="false">
      <c r="A1025" s="36" t="n">
        <v>46279</v>
      </c>
      <c r="B1025" s="24" t="s">
        <v>61</v>
      </c>
      <c r="C1025" s="24" t="s">
        <v>195</v>
      </c>
      <c r="D1025" s="33" t="n">
        <v>496</v>
      </c>
      <c r="E1025" s="24" t="n">
        <v>0</v>
      </c>
      <c r="F1025" s="37" t="n">
        <f aca="false">DATE(YEAR(A1025),MONTH(A1025),1)</f>
        <v>46266</v>
      </c>
      <c r="G1025" s="24" t="str">
        <f aca="false">INDEX(Products!$C$2:$C$49,MATCH(C1025,Products!$A$2:$A$49,0))</f>
        <v>Snacks &amp; Confectionery</v>
      </c>
      <c r="H1025" s="33" t="n">
        <f aca="false">D1025*INDEX(Products!$E$2:$E$49,MATCH(C1025,Products!$A$2:$A$49,0))</f>
        <v>54560</v>
      </c>
      <c r="I1025" s="33" t="n">
        <f aca="false">D1025*INDEX(Products!$D$2:$D$49,MATCH(C1025,Products!$A$2:$A$49,0))*(1+INDEX(Assumptions!$B$16:$B$20,MATCH(B1025,Assumptions!$A$16:$A$20,0)))</f>
        <v>37071.04</v>
      </c>
      <c r="J1025" s="33" t="n">
        <f aca="false">H1025-I1025</f>
        <v>17488.96</v>
      </c>
      <c r="K1025" s="33" t="n">
        <f aca="false">IF(OR(E1025=0,E1025&gt;=7),0,D1025/(7-E1025)*E1025*INDEX(Products!$E$2:$E$49,MATCH(C1025,Products!$A$2:$A$49,0)))</f>
        <v>0</v>
      </c>
    </row>
    <row r="1026" customFormat="false" ht="15" hidden="false" customHeight="false" outlineLevel="0" collapsed="false">
      <c r="A1026" s="36" t="n">
        <v>46286</v>
      </c>
      <c r="B1026" s="24" t="s">
        <v>61</v>
      </c>
      <c r="C1026" s="24" t="s">
        <v>195</v>
      </c>
      <c r="D1026" s="33" t="n">
        <v>561</v>
      </c>
      <c r="E1026" s="24" t="n">
        <v>0</v>
      </c>
      <c r="F1026" s="37" t="n">
        <f aca="false">DATE(YEAR(A1026),MONTH(A1026),1)</f>
        <v>46266</v>
      </c>
      <c r="G1026" s="24" t="str">
        <f aca="false">INDEX(Products!$C$2:$C$49,MATCH(C1026,Products!$A$2:$A$49,0))</f>
        <v>Snacks &amp; Confectionery</v>
      </c>
      <c r="H1026" s="33" t="n">
        <f aca="false">D1026*INDEX(Products!$E$2:$E$49,MATCH(C1026,Products!$A$2:$A$49,0))</f>
        <v>61710</v>
      </c>
      <c r="I1026" s="33" t="n">
        <f aca="false">D1026*INDEX(Products!$D$2:$D$49,MATCH(C1026,Products!$A$2:$A$49,0))*(1+INDEX(Assumptions!$B$16:$B$20,MATCH(B1026,Assumptions!$A$16:$A$20,0)))</f>
        <v>41929.14</v>
      </c>
      <c r="J1026" s="33" t="n">
        <f aca="false">H1026-I1026</f>
        <v>19780.86</v>
      </c>
      <c r="K1026" s="33" t="n">
        <f aca="false">IF(OR(E1026=0,E1026&gt;=7),0,D1026/(7-E1026)*E1026*INDEX(Products!$E$2:$E$49,MATCH(C1026,Products!$A$2:$A$49,0)))</f>
        <v>0</v>
      </c>
    </row>
    <row r="1027" customFormat="false" ht="15" hidden="false" customHeight="false" outlineLevel="0" collapsed="false">
      <c r="A1027" s="36" t="n">
        <v>46118</v>
      </c>
      <c r="B1027" s="24" t="s">
        <v>61</v>
      </c>
      <c r="C1027" s="24" t="s">
        <v>197</v>
      </c>
      <c r="D1027" s="33" t="n">
        <v>57</v>
      </c>
      <c r="E1027" s="24" t="n">
        <v>0</v>
      </c>
      <c r="F1027" s="37" t="n">
        <f aca="false">DATE(YEAR(A1027),MONTH(A1027),1)</f>
        <v>46113</v>
      </c>
      <c r="G1027" s="24" t="str">
        <f aca="false">INDEX(Products!$C$2:$C$49,MATCH(C1027,Products!$A$2:$A$49,0))</f>
        <v>Snacks &amp; Confectionery</v>
      </c>
      <c r="H1027" s="33" t="n">
        <f aca="false">D1027*INDEX(Products!$E$2:$E$49,MATCH(C1027,Products!$A$2:$A$49,0))</f>
        <v>5130</v>
      </c>
      <c r="I1027" s="33" t="n">
        <f aca="false">D1027*INDEX(Products!$D$2:$D$49,MATCH(C1027,Products!$A$2:$A$49,0))*(1+INDEX(Assumptions!$B$16:$B$20,MATCH(B1027,Assumptions!$A$16:$A$20,0)))</f>
        <v>3799.62</v>
      </c>
      <c r="J1027" s="33" t="n">
        <f aca="false">H1027-I1027</f>
        <v>1330.38</v>
      </c>
      <c r="K1027" s="33" t="n">
        <f aca="false">IF(OR(E1027=0,E1027&gt;=7),0,D1027/(7-E1027)*E1027*INDEX(Products!$E$2:$E$49,MATCH(C1027,Products!$A$2:$A$49,0)))</f>
        <v>0</v>
      </c>
    </row>
    <row r="1028" customFormat="false" ht="15" hidden="false" customHeight="false" outlineLevel="0" collapsed="false">
      <c r="A1028" s="36" t="n">
        <v>46125</v>
      </c>
      <c r="B1028" s="24" t="s">
        <v>61</v>
      </c>
      <c r="C1028" s="24" t="s">
        <v>197</v>
      </c>
      <c r="D1028" s="33" t="n">
        <v>83</v>
      </c>
      <c r="E1028" s="24" t="n">
        <v>0</v>
      </c>
      <c r="F1028" s="37" t="n">
        <f aca="false">DATE(YEAR(A1028),MONTH(A1028),1)</f>
        <v>46113</v>
      </c>
      <c r="G1028" s="24" t="str">
        <f aca="false">INDEX(Products!$C$2:$C$49,MATCH(C1028,Products!$A$2:$A$49,0))</f>
        <v>Snacks &amp; Confectionery</v>
      </c>
      <c r="H1028" s="33" t="n">
        <f aca="false">D1028*INDEX(Products!$E$2:$E$49,MATCH(C1028,Products!$A$2:$A$49,0))</f>
        <v>7470</v>
      </c>
      <c r="I1028" s="33" t="n">
        <f aca="false">D1028*INDEX(Products!$D$2:$D$49,MATCH(C1028,Products!$A$2:$A$49,0))*(1+INDEX(Assumptions!$B$16:$B$20,MATCH(B1028,Assumptions!$A$16:$A$20,0)))</f>
        <v>5532.78</v>
      </c>
      <c r="J1028" s="33" t="n">
        <f aca="false">H1028-I1028</f>
        <v>1937.22</v>
      </c>
      <c r="K1028" s="33" t="n">
        <f aca="false">IF(OR(E1028=0,E1028&gt;=7),0,D1028/(7-E1028)*E1028*INDEX(Products!$E$2:$E$49,MATCH(C1028,Products!$A$2:$A$49,0)))</f>
        <v>0</v>
      </c>
    </row>
    <row r="1029" customFormat="false" ht="15" hidden="false" customHeight="false" outlineLevel="0" collapsed="false">
      <c r="A1029" s="36" t="n">
        <v>46132</v>
      </c>
      <c r="B1029" s="24" t="s">
        <v>61</v>
      </c>
      <c r="C1029" s="24" t="s">
        <v>197</v>
      </c>
      <c r="D1029" s="33" t="n">
        <v>74</v>
      </c>
      <c r="E1029" s="24" t="n">
        <v>0</v>
      </c>
      <c r="F1029" s="37" t="n">
        <f aca="false">DATE(YEAR(A1029),MONTH(A1029),1)</f>
        <v>46113</v>
      </c>
      <c r="G1029" s="24" t="str">
        <f aca="false">INDEX(Products!$C$2:$C$49,MATCH(C1029,Products!$A$2:$A$49,0))</f>
        <v>Snacks &amp; Confectionery</v>
      </c>
      <c r="H1029" s="33" t="n">
        <f aca="false">D1029*INDEX(Products!$E$2:$E$49,MATCH(C1029,Products!$A$2:$A$49,0))</f>
        <v>6660</v>
      </c>
      <c r="I1029" s="33" t="n">
        <f aca="false">D1029*INDEX(Products!$D$2:$D$49,MATCH(C1029,Products!$A$2:$A$49,0))*(1+INDEX(Assumptions!$B$16:$B$20,MATCH(B1029,Assumptions!$A$16:$A$20,0)))</f>
        <v>4932.84</v>
      </c>
      <c r="J1029" s="33" t="n">
        <f aca="false">H1029-I1029</f>
        <v>1727.16</v>
      </c>
      <c r="K1029" s="33" t="n">
        <f aca="false">IF(OR(E1029=0,E1029&gt;=7),0,D1029/(7-E1029)*E1029*INDEX(Products!$E$2:$E$49,MATCH(C1029,Products!$A$2:$A$49,0)))</f>
        <v>0</v>
      </c>
    </row>
    <row r="1030" customFormat="false" ht="15" hidden="false" customHeight="false" outlineLevel="0" collapsed="false">
      <c r="A1030" s="36" t="n">
        <v>46139</v>
      </c>
      <c r="B1030" s="24" t="s">
        <v>61</v>
      </c>
      <c r="C1030" s="24" t="s">
        <v>197</v>
      </c>
      <c r="D1030" s="33" t="n">
        <v>91</v>
      </c>
      <c r="E1030" s="24" t="n">
        <v>0</v>
      </c>
      <c r="F1030" s="37" t="n">
        <f aca="false">DATE(YEAR(A1030),MONTH(A1030),1)</f>
        <v>46113</v>
      </c>
      <c r="G1030" s="24" t="str">
        <f aca="false">INDEX(Products!$C$2:$C$49,MATCH(C1030,Products!$A$2:$A$49,0))</f>
        <v>Snacks &amp; Confectionery</v>
      </c>
      <c r="H1030" s="33" t="n">
        <f aca="false">D1030*INDEX(Products!$E$2:$E$49,MATCH(C1030,Products!$A$2:$A$49,0))</f>
        <v>8190</v>
      </c>
      <c r="I1030" s="33" t="n">
        <f aca="false">D1030*INDEX(Products!$D$2:$D$49,MATCH(C1030,Products!$A$2:$A$49,0))*(1+INDEX(Assumptions!$B$16:$B$20,MATCH(B1030,Assumptions!$A$16:$A$20,0)))</f>
        <v>6066.06</v>
      </c>
      <c r="J1030" s="33" t="n">
        <f aca="false">H1030-I1030</f>
        <v>2123.94</v>
      </c>
      <c r="K1030" s="33" t="n">
        <f aca="false">IF(OR(E1030=0,E1030&gt;=7),0,D1030/(7-E1030)*E1030*INDEX(Products!$E$2:$E$49,MATCH(C1030,Products!$A$2:$A$49,0)))</f>
        <v>0</v>
      </c>
    </row>
    <row r="1031" customFormat="false" ht="15" hidden="false" customHeight="false" outlineLevel="0" collapsed="false">
      <c r="A1031" s="36" t="n">
        <v>46146</v>
      </c>
      <c r="B1031" s="24" t="s">
        <v>61</v>
      </c>
      <c r="C1031" s="24" t="s">
        <v>197</v>
      </c>
      <c r="D1031" s="33" t="n">
        <v>66</v>
      </c>
      <c r="E1031" s="24" t="n">
        <v>0</v>
      </c>
      <c r="F1031" s="37" t="n">
        <f aca="false">DATE(YEAR(A1031),MONTH(A1031),1)</f>
        <v>46143</v>
      </c>
      <c r="G1031" s="24" t="str">
        <f aca="false">INDEX(Products!$C$2:$C$49,MATCH(C1031,Products!$A$2:$A$49,0))</f>
        <v>Snacks &amp; Confectionery</v>
      </c>
      <c r="H1031" s="33" t="n">
        <f aca="false">D1031*INDEX(Products!$E$2:$E$49,MATCH(C1031,Products!$A$2:$A$49,0))</f>
        <v>5940</v>
      </c>
      <c r="I1031" s="33" t="n">
        <f aca="false">D1031*INDEX(Products!$D$2:$D$49,MATCH(C1031,Products!$A$2:$A$49,0))*(1+INDEX(Assumptions!$B$16:$B$20,MATCH(B1031,Assumptions!$A$16:$A$20,0)))</f>
        <v>4399.56</v>
      </c>
      <c r="J1031" s="33" t="n">
        <f aca="false">H1031-I1031</f>
        <v>1540.44</v>
      </c>
      <c r="K1031" s="33" t="n">
        <f aca="false">IF(OR(E1031=0,E1031&gt;=7),0,D1031/(7-E1031)*E1031*INDEX(Products!$E$2:$E$49,MATCH(C1031,Products!$A$2:$A$49,0)))</f>
        <v>0</v>
      </c>
    </row>
    <row r="1032" customFormat="false" ht="15" hidden="false" customHeight="false" outlineLevel="0" collapsed="false">
      <c r="A1032" s="36" t="n">
        <v>46153</v>
      </c>
      <c r="B1032" s="24" t="s">
        <v>61</v>
      </c>
      <c r="C1032" s="24" t="s">
        <v>197</v>
      </c>
      <c r="D1032" s="33" t="n">
        <v>79</v>
      </c>
      <c r="E1032" s="24" t="n">
        <v>0</v>
      </c>
      <c r="F1032" s="37" t="n">
        <f aca="false">DATE(YEAR(A1032),MONTH(A1032),1)</f>
        <v>46143</v>
      </c>
      <c r="G1032" s="24" t="str">
        <f aca="false">INDEX(Products!$C$2:$C$49,MATCH(C1032,Products!$A$2:$A$49,0))</f>
        <v>Snacks &amp; Confectionery</v>
      </c>
      <c r="H1032" s="33" t="n">
        <f aca="false">D1032*INDEX(Products!$E$2:$E$49,MATCH(C1032,Products!$A$2:$A$49,0))</f>
        <v>7110</v>
      </c>
      <c r="I1032" s="33" t="n">
        <f aca="false">D1032*INDEX(Products!$D$2:$D$49,MATCH(C1032,Products!$A$2:$A$49,0))*(1+INDEX(Assumptions!$B$16:$B$20,MATCH(B1032,Assumptions!$A$16:$A$20,0)))</f>
        <v>5266.14</v>
      </c>
      <c r="J1032" s="33" t="n">
        <f aca="false">H1032-I1032</f>
        <v>1843.86</v>
      </c>
      <c r="K1032" s="33" t="n">
        <f aca="false">IF(OR(E1032=0,E1032&gt;=7),0,D1032/(7-E1032)*E1032*INDEX(Products!$E$2:$E$49,MATCH(C1032,Products!$A$2:$A$49,0)))</f>
        <v>0</v>
      </c>
    </row>
    <row r="1033" customFormat="false" ht="15" hidden="false" customHeight="false" outlineLevel="0" collapsed="false">
      <c r="A1033" s="36" t="n">
        <v>46160</v>
      </c>
      <c r="B1033" s="24" t="s">
        <v>61</v>
      </c>
      <c r="C1033" s="24" t="s">
        <v>197</v>
      </c>
      <c r="D1033" s="33" t="n">
        <v>69</v>
      </c>
      <c r="E1033" s="24" t="n">
        <v>0</v>
      </c>
      <c r="F1033" s="37" t="n">
        <f aca="false">DATE(YEAR(A1033),MONTH(A1033),1)</f>
        <v>46143</v>
      </c>
      <c r="G1033" s="24" t="str">
        <f aca="false">INDEX(Products!$C$2:$C$49,MATCH(C1033,Products!$A$2:$A$49,0))</f>
        <v>Snacks &amp; Confectionery</v>
      </c>
      <c r="H1033" s="33" t="n">
        <f aca="false">D1033*INDEX(Products!$E$2:$E$49,MATCH(C1033,Products!$A$2:$A$49,0))</f>
        <v>6210</v>
      </c>
      <c r="I1033" s="33" t="n">
        <f aca="false">D1033*INDEX(Products!$D$2:$D$49,MATCH(C1033,Products!$A$2:$A$49,0))*(1+INDEX(Assumptions!$B$16:$B$20,MATCH(B1033,Assumptions!$A$16:$A$20,0)))</f>
        <v>4599.54</v>
      </c>
      <c r="J1033" s="33" t="n">
        <f aca="false">H1033-I1033</f>
        <v>1610.46</v>
      </c>
      <c r="K1033" s="33" t="n">
        <f aca="false">IF(OR(E1033=0,E1033&gt;=7),0,D1033/(7-E1033)*E1033*INDEX(Products!$E$2:$E$49,MATCH(C1033,Products!$A$2:$A$49,0)))</f>
        <v>0</v>
      </c>
    </row>
    <row r="1034" customFormat="false" ht="15" hidden="false" customHeight="false" outlineLevel="0" collapsed="false">
      <c r="A1034" s="36" t="n">
        <v>46167</v>
      </c>
      <c r="B1034" s="24" t="s">
        <v>61</v>
      </c>
      <c r="C1034" s="24" t="s">
        <v>197</v>
      </c>
      <c r="D1034" s="33" t="n">
        <v>99</v>
      </c>
      <c r="E1034" s="24" t="n">
        <v>0</v>
      </c>
      <c r="F1034" s="37" t="n">
        <f aca="false">DATE(YEAR(A1034),MONTH(A1034),1)</f>
        <v>46143</v>
      </c>
      <c r="G1034" s="24" t="str">
        <f aca="false">INDEX(Products!$C$2:$C$49,MATCH(C1034,Products!$A$2:$A$49,0))</f>
        <v>Snacks &amp; Confectionery</v>
      </c>
      <c r="H1034" s="33" t="n">
        <f aca="false">D1034*INDEX(Products!$E$2:$E$49,MATCH(C1034,Products!$A$2:$A$49,0))</f>
        <v>8910</v>
      </c>
      <c r="I1034" s="33" t="n">
        <f aca="false">D1034*INDEX(Products!$D$2:$D$49,MATCH(C1034,Products!$A$2:$A$49,0))*(1+INDEX(Assumptions!$B$16:$B$20,MATCH(B1034,Assumptions!$A$16:$A$20,0)))</f>
        <v>6599.34</v>
      </c>
      <c r="J1034" s="33" t="n">
        <f aca="false">H1034-I1034</f>
        <v>2310.66</v>
      </c>
      <c r="K1034" s="33" t="n">
        <f aca="false">IF(OR(E1034=0,E1034&gt;=7),0,D1034/(7-E1034)*E1034*INDEX(Products!$E$2:$E$49,MATCH(C1034,Products!$A$2:$A$49,0)))</f>
        <v>0</v>
      </c>
    </row>
    <row r="1035" customFormat="false" ht="15" hidden="false" customHeight="false" outlineLevel="0" collapsed="false">
      <c r="A1035" s="36" t="n">
        <v>46174</v>
      </c>
      <c r="B1035" s="24" t="s">
        <v>61</v>
      </c>
      <c r="C1035" s="24" t="s">
        <v>197</v>
      </c>
      <c r="D1035" s="33" t="n">
        <v>77</v>
      </c>
      <c r="E1035" s="24" t="n">
        <v>0</v>
      </c>
      <c r="F1035" s="37" t="n">
        <f aca="false">DATE(YEAR(A1035),MONTH(A1035),1)</f>
        <v>46174</v>
      </c>
      <c r="G1035" s="24" t="str">
        <f aca="false">INDEX(Products!$C$2:$C$49,MATCH(C1035,Products!$A$2:$A$49,0))</f>
        <v>Snacks &amp; Confectionery</v>
      </c>
      <c r="H1035" s="33" t="n">
        <f aca="false">D1035*INDEX(Products!$E$2:$E$49,MATCH(C1035,Products!$A$2:$A$49,0))</f>
        <v>6930</v>
      </c>
      <c r="I1035" s="33" t="n">
        <f aca="false">D1035*INDEX(Products!$D$2:$D$49,MATCH(C1035,Products!$A$2:$A$49,0))*(1+INDEX(Assumptions!$B$16:$B$20,MATCH(B1035,Assumptions!$A$16:$A$20,0)))</f>
        <v>5132.82</v>
      </c>
      <c r="J1035" s="33" t="n">
        <f aca="false">H1035-I1035</f>
        <v>1797.18</v>
      </c>
      <c r="K1035" s="33" t="n">
        <f aca="false">IF(OR(E1035=0,E1035&gt;=7),0,D1035/(7-E1035)*E1035*INDEX(Products!$E$2:$E$49,MATCH(C1035,Products!$A$2:$A$49,0)))</f>
        <v>0</v>
      </c>
    </row>
    <row r="1036" customFormat="false" ht="15" hidden="false" customHeight="false" outlineLevel="0" collapsed="false">
      <c r="A1036" s="36" t="n">
        <v>46181</v>
      </c>
      <c r="B1036" s="24" t="s">
        <v>61</v>
      </c>
      <c r="C1036" s="24" t="s">
        <v>197</v>
      </c>
      <c r="D1036" s="33" t="n">
        <v>113</v>
      </c>
      <c r="E1036" s="24" t="n">
        <v>0</v>
      </c>
      <c r="F1036" s="37" t="n">
        <f aca="false">DATE(YEAR(A1036),MONTH(A1036),1)</f>
        <v>46174</v>
      </c>
      <c r="G1036" s="24" t="str">
        <f aca="false">INDEX(Products!$C$2:$C$49,MATCH(C1036,Products!$A$2:$A$49,0))</f>
        <v>Snacks &amp; Confectionery</v>
      </c>
      <c r="H1036" s="33" t="n">
        <f aca="false">D1036*INDEX(Products!$E$2:$E$49,MATCH(C1036,Products!$A$2:$A$49,0))</f>
        <v>10170</v>
      </c>
      <c r="I1036" s="33" t="n">
        <f aca="false">D1036*INDEX(Products!$D$2:$D$49,MATCH(C1036,Products!$A$2:$A$49,0))*(1+INDEX(Assumptions!$B$16:$B$20,MATCH(B1036,Assumptions!$A$16:$A$20,0)))</f>
        <v>7532.58</v>
      </c>
      <c r="J1036" s="33" t="n">
        <f aca="false">H1036-I1036</f>
        <v>2637.42</v>
      </c>
      <c r="K1036" s="33" t="n">
        <f aca="false">IF(OR(E1036=0,E1036&gt;=7),0,D1036/(7-E1036)*E1036*INDEX(Products!$E$2:$E$49,MATCH(C1036,Products!$A$2:$A$49,0)))</f>
        <v>0</v>
      </c>
    </row>
    <row r="1037" customFormat="false" ht="15" hidden="false" customHeight="false" outlineLevel="0" collapsed="false">
      <c r="A1037" s="36" t="n">
        <v>46188</v>
      </c>
      <c r="B1037" s="24" t="s">
        <v>61</v>
      </c>
      <c r="C1037" s="24" t="s">
        <v>197</v>
      </c>
      <c r="D1037" s="33" t="n">
        <v>67</v>
      </c>
      <c r="E1037" s="24" t="n">
        <v>0</v>
      </c>
      <c r="F1037" s="37" t="n">
        <f aca="false">DATE(YEAR(A1037),MONTH(A1037),1)</f>
        <v>46174</v>
      </c>
      <c r="G1037" s="24" t="str">
        <f aca="false">INDEX(Products!$C$2:$C$49,MATCH(C1037,Products!$A$2:$A$49,0))</f>
        <v>Snacks &amp; Confectionery</v>
      </c>
      <c r="H1037" s="33" t="n">
        <f aca="false">D1037*INDEX(Products!$E$2:$E$49,MATCH(C1037,Products!$A$2:$A$49,0))</f>
        <v>6030</v>
      </c>
      <c r="I1037" s="33" t="n">
        <f aca="false">D1037*INDEX(Products!$D$2:$D$49,MATCH(C1037,Products!$A$2:$A$49,0))*(1+INDEX(Assumptions!$B$16:$B$20,MATCH(B1037,Assumptions!$A$16:$A$20,0)))</f>
        <v>4466.22</v>
      </c>
      <c r="J1037" s="33" t="n">
        <f aca="false">H1037-I1037</f>
        <v>1563.78</v>
      </c>
      <c r="K1037" s="33" t="n">
        <f aca="false">IF(OR(E1037=0,E1037&gt;=7),0,D1037/(7-E1037)*E1037*INDEX(Products!$E$2:$E$49,MATCH(C1037,Products!$A$2:$A$49,0)))</f>
        <v>0</v>
      </c>
    </row>
    <row r="1038" customFormat="false" ht="15" hidden="false" customHeight="false" outlineLevel="0" collapsed="false">
      <c r="A1038" s="36" t="n">
        <v>46195</v>
      </c>
      <c r="B1038" s="24" t="s">
        <v>61</v>
      </c>
      <c r="C1038" s="24" t="s">
        <v>197</v>
      </c>
      <c r="D1038" s="33" t="n">
        <v>98</v>
      </c>
      <c r="E1038" s="24" t="n">
        <v>0</v>
      </c>
      <c r="F1038" s="37" t="n">
        <f aca="false">DATE(YEAR(A1038),MONTH(A1038),1)</f>
        <v>46174</v>
      </c>
      <c r="G1038" s="24" t="str">
        <f aca="false">INDEX(Products!$C$2:$C$49,MATCH(C1038,Products!$A$2:$A$49,0))</f>
        <v>Snacks &amp; Confectionery</v>
      </c>
      <c r="H1038" s="33" t="n">
        <f aca="false">D1038*INDEX(Products!$E$2:$E$49,MATCH(C1038,Products!$A$2:$A$49,0))</f>
        <v>8820</v>
      </c>
      <c r="I1038" s="33" t="n">
        <f aca="false">D1038*INDEX(Products!$D$2:$D$49,MATCH(C1038,Products!$A$2:$A$49,0))*(1+INDEX(Assumptions!$B$16:$B$20,MATCH(B1038,Assumptions!$A$16:$A$20,0)))</f>
        <v>6532.68</v>
      </c>
      <c r="J1038" s="33" t="n">
        <f aca="false">H1038-I1038</f>
        <v>2287.32</v>
      </c>
      <c r="K1038" s="33" t="n">
        <f aca="false">IF(OR(E1038=0,E1038&gt;=7),0,D1038/(7-E1038)*E1038*INDEX(Products!$E$2:$E$49,MATCH(C1038,Products!$A$2:$A$49,0)))</f>
        <v>0</v>
      </c>
    </row>
    <row r="1039" customFormat="false" ht="15" hidden="false" customHeight="false" outlineLevel="0" collapsed="false">
      <c r="A1039" s="36" t="n">
        <v>46202</v>
      </c>
      <c r="B1039" s="24" t="s">
        <v>61</v>
      </c>
      <c r="C1039" s="24" t="s">
        <v>197</v>
      </c>
      <c r="D1039" s="33" t="n">
        <v>80</v>
      </c>
      <c r="E1039" s="24" t="n">
        <v>0</v>
      </c>
      <c r="F1039" s="37" t="n">
        <f aca="false">DATE(YEAR(A1039),MONTH(A1039),1)</f>
        <v>46174</v>
      </c>
      <c r="G1039" s="24" t="str">
        <f aca="false">INDEX(Products!$C$2:$C$49,MATCH(C1039,Products!$A$2:$A$49,0))</f>
        <v>Snacks &amp; Confectionery</v>
      </c>
      <c r="H1039" s="33" t="n">
        <f aca="false">D1039*INDEX(Products!$E$2:$E$49,MATCH(C1039,Products!$A$2:$A$49,0))</f>
        <v>7200</v>
      </c>
      <c r="I1039" s="33" t="n">
        <f aca="false">D1039*INDEX(Products!$D$2:$D$49,MATCH(C1039,Products!$A$2:$A$49,0))*(1+INDEX(Assumptions!$B$16:$B$20,MATCH(B1039,Assumptions!$A$16:$A$20,0)))</f>
        <v>5332.8</v>
      </c>
      <c r="J1039" s="33" t="n">
        <f aca="false">H1039-I1039</f>
        <v>1867.2</v>
      </c>
      <c r="K1039" s="33" t="n">
        <f aca="false">IF(OR(E1039=0,E1039&gt;=7),0,D1039/(7-E1039)*E1039*INDEX(Products!$E$2:$E$49,MATCH(C1039,Products!$A$2:$A$49,0)))</f>
        <v>0</v>
      </c>
    </row>
    <row r="1040" customFormat="false" ht="15" hidden="false" customHeight="false" outlineLevel="0" collapsed="false">
      <c r="A1040" s="36" t="n">
        <v>46209</v>
      </c>
      <c r="B1040" s="24" t="s">
        <v>61</v>
      </c>
      <c r="C1040" s="24" t="s">
        <v>197</v>
      </c>
      <c r="D1040" s="33" t="n">
        <v>65</v>
      </c>
      <c r="E1040" s="24" t="n">
        <v>0</v>
      </c>
      <c r="F1040" s="37" t="n">
        <f aca="false">DATE(YEAR(A1040),MONTH(A1040),1)</f>
        <v>46204</v>
      </c>
      <c r="G1040" s="24" t="str">
        <f aca="false">INDEX(Products!$C$2:$C$49,MATCH(C1040,Products!$A$2:$A$49,0))</f>
        <v>Snacks &amp; Confectionery</v>
      </c>
      <c r="H1040" s="33" t="n">
        <f aca="false">D1040*INDEX(Products!$E$2:$E$49,MATCH(C1040,Products!$A$2:$A$49,0))</f>
        <v>5850</v>
      </c>
      <c r="I1040" s="33" t="n">
        <f aca="false">D1040*INDEX(Products!$D$2:$D$49,MATCH(C1040,Products!$A$2:$A$49,0))*(1+INDEX(Assumptions!$B$16:$B$20,MATCH(B1040,Assumptions!$A$16:$A$20,0)))</f>
        <v>4332.9</v>
      </c>
      <c r="J1040" s="33" t="n">
        <f aca="false">H1040-I1040</f>
        <v>1517.1</v>
      </c>
      <c r="K1040" s="33" t="n">
        <f aca="false">IF(OR(E1040=0,E1040&gt;=7),0,D1040/(7-E1040)*E1040*INDEX(Products!$E$2:$E$49,MATCH(C1040,Products!$A$2:$A$49,0)))</f>
        <v>0</v>
      </c>
    </row>
    <row r="1041" customFormat="false" ht="15" hidden="false" customHeight="false" outlineLevel="0" collapsed="false">
      <c r="A1041" s="36" t="n">
        <v>46216</v>
      </c>
      <c r="B1041" s="24" t="s">
        <v>61</v>
      </c>
      <c r="C1041" s="24" t="s">
        <v>197</v>
      </c>
      <c r="D1041" s="33" t="n">
        <v>66</v>
      </c>
      <c r="E1041" s="24" t="n">
        <v>0</v>
      </c>
      <c r="F1041" s="37" t="n">
        <f aca="false">DATE(YEAR(A1041),MONTH(A1041),1)</f>
        <v>46204</v>
      </c>
      <c r="G1041" s="24" t="str">
        <f aca="false">INDEX(Products!$C$2:$C$49,MATCH(C1041,Products!$A$2:$A$49,0))</f>
        <v>Snacks &amp; Confectionery</v>
      </c>
      <c r="H1041" s="33" t="n">
        <f aca="false">D1041*INDEX(Products!$E$2:$E$49,MATCH(C1041,Products!$A$2:$A$49,0))</f>
        <v>5940</v>
      </c>
      <c r="I1041" s="33" t="n">
        <f aca="false">D1041*INDEX(Products!$D$2:$D$49,MATCH(C1041,Products!$A$2:$A$49,0))*(1+INDEX(Assumptions!$B$16:$B$20,MATCH(B1041,Assumptions!$A$16:$A$20,0)))</f>
        <v>4399.56</v>
      </c>
      <c r="J1041" s="33" t="n">
        <f aca="false">H1041-I1041</f>
        <v>1540.44</v>
      </c>
      <c r="K1041" s="33" t="n">
        <f aca="false">IF(OR(E1041=0,E1041&gt;=7),0,D1041/(7-E1041)*E1041*INDEX(Products!$E$2:$E$49,MATCH(C1041,Products!$A$2:$A$49,0)))</f>
        <v>0</v>
      </c>
    </row>
    <row r="1042" customFormat="false" ht="15" hidden="false" customHeight="false" outlineLevel="0" collapsed="false">
      <c r="A1042" s="36" t="n">
        <v>46223</v>
      </c>
      <c r="B1042" s="24" t="s">
        <v>61</v>
      </c>
      <c r="C1042" s="24" t="s">
        <v>197</v>
      </c>
      <c r="D1042" s="33" t="n">
        <v>86</v>
      </c>
      <c r="E1042" s="24" t="n">
        <v>0</v>
      </c>
      <c r="F1042" s="37" t="n">
        <f aca="false">DATE(YEAR(A1042),MONTH(A1042),1)</f>
        <v>46204</v>
      </c>
      <c r="G1042" s="24" t="str">
        <f aca="false">INDEX(Products!$C$2:$C$49,MATCH(C1042,Products!$A$2:$A$49,0))</f>
        <v>Snacks &amp; Confectionery</v>
      </c>
      <c r="H1042" s="33" t="n">
        <f aca="false">D1042*INDEX(Products!$E$2:$E$49,MATCH(C1042,Products!$A$2:$A$49,0))</f>
        <v>7740</v>
      </c>
      <c r="I1042" s="33" t="n">
        <f aca="false">D1042*INDEX(Products!$D$2:$D$49,MATCH(C1042,Products!$A$2:$A$49,0))*(1+INDEX(Assumptions!$B$16:$B$20,MATCH(B1042,Assumptions!$A$16:$A$20,0)))</f>
        <v>5732.76</v>
      </c>
      <c r="J1042" s="33" t="n">
        <f aca="false">H1042-I1042</f>
        <v>2007.24</v>
      </c>
      <c r="K1042" s="33" t="n">
        <f aca="false">IF(OR(E1042=0,E1042&gt;=7),0,D1042/(7-E1042)*E1042*INDEX(Products!$E$2:$E$49,MATCH(C1042,Products!$A$2:$A$49,0)))</f>
        <v>0</v>
      </c>
    </row>
    <row r="1043" customFormat="false" ht="15" hidden="false" customHeight="false" outlineLevel="0" collapsed="false">
      <c r="A1043" s="36" t="n">
        <v>46230</v>
      </c>
      <c r="B1043" s="24" t="s">
        <v>61</v>
      </c>
      <c r="C1043" s="24" t="s">
        <v>197</v>
      </c>
      <c r="D1043" s="33" t="n">
        <v>72</v>
      </c>
      <c r="E1043" s="24" t="n">
        <v>0</v>
      </c>
      <c r="F1043" s="37" t="n">
        <f aca="false">DATE(YEAR(A1043),MONTH(A1043),1)</f>
        <v>46204</v>
      </c>
      <c r="G1043" s="24" t="str">
        <f aca="false">INDEX(Products!$C$2:$C$49,MATCH(C1043,Products!$A$2:$A$49,0))</f>
        <v>Snacks &amp; Confectionery</v>
      </c>
      <c r="H1043" s="33" t="n">
        <f aca="false">D1043*INDEX(Products!$E$2:$E$49,MATCH(C1043,Products!$A$2:$A$49,0))</f>
        <v>6480</v>
      </c>
      <c r="I1043" s="33" t="n">
        <f aca="false">D1043*INDEX(Products!$D$2:$D$49,MATCH(C1043,Products!$A$2:$A$49,0))*(1+INDEX(Assumptions!$B$16:$B$20,MATCH(B1043,Assumptions!$A$16:$A$20,0)))</f>
        <v>4799.52</v>
      </c>
      <c r="J1043" s="33" t="n">
        <f aca="false">H1043-I1043</f>
        <v>1680.48</v>
      </c>
      <c r="K1043" s="33" t="n">
        <f aca="false">IF(OR(E1043=0,E1043&gt;=7),0,D1043/(7-E1043)*E1043*INDEX(Products!$E$2:$E$49,MATCH(C1043,Products!$A$2:$A$49,0)))</f>
        <v>0</v>
      </c>
    </row>
    <row r="1044" customFormat="false" ht="15" hidden="false" customHeight="false" outlineLevel="0" collapsed="false">
      <c r="A1044" s="36" t="n">
        <v>46237</v>
      </c>
      <c r="B1044" s="24" t="s">
        <v>61</v>
      </c>
      <c r="C1044" s="24" t="s">
        <v>197</v>
      </c>
      <c r="D1044" s="33" t="n">
        <v>73</v>
      </c>
      <c r="E1044" s="24" t="n">
        <v>0</v>
      </c>
      <c r="F1044" s="37" t="n">
        <f aca="false">DATE(YEAR(A1044),MONTH(A1044),1)</f>
        <v>46235</v>
      </c>
      <c r="G1044" s="24" t="str">
        <f aca="false">INDEX(Products!$C$2:$C$49,MATCH(C1044,Products!$A$2:$A$49,0))</f>
        <v>Snacks &amp; Confectionery</v>
      </c>
      <c r="H1044" s="33" t="n">
        <f aca="false">D1044*INDEX(Products!$E$2:$E$49,MATCH(C1044,Products!$A$2:$A$49,0))</f>
        <v>6570</v>
      </c>
      <c r="I1044" s="33" t="n">
        <f aca="false">D1044*INDEX(Products!$D$2:$D$49,MATCH(C1044,Products!$A$2:$A$49,0))*(1+INDEX(Assumptions!$B$16:$B$20,MATCH(B1044,Assumptions!$A$16:$A$20,0)))</f>
        <v>4866.18</v>
      </c>
      <c r="J1044" s="33" t="n">
        <f aca="false">H1044-I1044</f>
        <v>1703.82</v>
      </c>
      <c r="K1044" s="33" t="n">
        <f aca="false">IF(OR(E1044=0,E1044&gt;=7),0,D1044/(7-E1044)*E1044*INDEX(Products!$E$2:$E$49,MATCH(C1044,Products!$A$2:$A$49,0)))</f>
        <v>0</v>
      </c>
    </row>
    <row r="1045" customFormat="false" ht="15" hidden="false" customHeight="false" outlineLevel="0" collapsed="false">
      <c r="A1045" s="36" t="n">
        <v>46244</v>
      </c>
      <c r="B1045" s="24" t="s">
        <v>61</v>
      </c>
      <c r="C1045" s="24" t="s">
        <v>197</v>
      </c>
      <c r="D1045" s="33" t="n">
        <v>58</v>
      </c>
      <c r="E1045" s="24" t="n">
        <v>0</v>
      </c>
      <c r="F1045" s="37" t="n">
        <f aca="false">DATE(YEAR(A1045),MONTH(A1045),1)</f>
        <v>46235</v>
      </c>
      <c r="G1045" s="24" t="str">
        <f aca="false">INDEX(Products!$C$2:$C$49,MATCH(C1045,Products!$A$2:$A$49,0))</f>
        <v>Snacks &amp; Confectionery</v>
      </c>
      <c r="H1045" s="33" t="n">
        <f aca="false">D1045*INDEX(Products!$E$2:$E$49,MATCH(C1045,Products!$A$2:$A$49,0))</f>
        <v>5220</v>
      </c>
      <c r="I1045" s="33" t="n">
        <f aca="false">D1045*INDEX(Products!$D$2:$D$49,MATCH(C1045,Products!$A$2:$A$49,0))*(1+INDEX(Assumptions!$B$16:$B$20,MATCH(B1045,Assumptions!$A$16:$A$20,0)))</f>
        <v>3866.28</v>
      </c>
      <c r="J1045" s="33" t="n">
        <f aca="false">H1045-I1045</f>
        <v>1353.72</v>
      </c>
      <c r="K1045" s="33" t="n">
        <f aca="false">IF(OR(E1045=0,E1045&gt;=7),0,D1045/(7-E1045)*E1045*INDEX(Products!$E$2:$E$49,MATCH(C1045,Products!$A$2:$A$49,0)))</f>
        <v>0</v>
      </c>
    </row>
    <row r="1046" customFormat="false" ht="15" hidden="false" customHeight="false" outlineLevel="0" collapsed="false">
      <c r="A1046" s="36" t="n">
        <v>46251</v>
      </c>
      <c r="B1046" s="24" t="s">
        <v>61</v>
      </c>
      <c r="C1046" s="24" t="s">
        <v>197</v>
      </c>
      <c r="D1046" s="33" t="n">
        <v>58</v>
      </c>
      <c r="E1046" s="24" t="n">
        <v>0</v>
      </c>
      <c r="F1046" s="37" t="n">
        <f aca="false">DATE(YEAR(A1046),MONTH(A1046),1)</f>
        <v>46235</v>
      </c>
      <c r="G1046" s="24" t="str">
        <f aca="false">INDEX(Products!$C$2:$C$49,MATCH(C1046,Products!$A$2:$A$49,0))</f>
        <v>Snacks &amp; Confectionery</v>
      </c>
      <c r="H1046" s="33" t="n">
        <f aca="false">D1046*INDEX(Products!$E$2:$E$49,MATCH(C1046,Products!$A$2:$A$49,0))</f>
        <v>5220</v>
      </c>
      <c r="I1046" s="33" t="n">
        <f aca="false">D1046*INDEX(Products!$D$2:$D$49,MATCH(C1046,Products!$A$2:$A$49,0))*(1+INDEX(Assumptions!$B$16:$B$20,MATCH(B1046,Assumptions!$A$16:$A$20,0)))</f>
        <v>3866.28</v>
      </c>
      <c r="J1046" s="33" t="n">
        <f aca="false">H1046-I1046</f>
        <v>1353.72</v>
      </c>
      <c r="K1046" s="33" t="n">
        <f aca="false">IF(OR(E1046=0,E1046&gt;=7),0,D1046/(7-E1046)*E1046*INDEX(Products!$E$2:$E$49,MATCH(C1046,Products!$A$2:$A$49,0)))</f>
        <v>0</v>
      </c>
    </row>
    <row r="1047" customFormat="false" ht="15" hidden="false" customHeight="false" outlineLevel="0" collapsed="false">
      <c r="A1047" s="36" t="n">
        <v>46258</v>
      </c>
      <c r="B1047" s="24" t="s">
        <v>61</v>
      </c>
      <c r="C1047" s="24" t="s">
        <v>197</v>
      </c>
      <c r="D1047" s="33" t="n">
        <v>86</v>
      </c>
      <c r="E1047" s="24" t="n">
        <v>0</v>
      </c>
      <c r="F1047" s="37" t="n">
        <f aca="false">DATE(YEAR(A1047),MONTH(A1047),1)</f>
        <v>46235</v>
      </c>
      <c r="G1047" s="24" t="str">
        <f aca="false">INDEX(Products!$C$2:$C$49,MATCH(C1047,Products!$A$2:$A$49,0))</f>
        <v>Snacks &amp; Confectionery</v>
      </c>
      <c r="H1047" s="33" t="n">
        <f aca="false">D1047*INDEX(Products!$E$2:$E$49,MATCH(C1047,Products!$A$2:$A$49,0))</f>
        <v>7740</v>
      </c>
      <c r="I1047" s="33" t="n">
        <f aca="false">D1047*INDEX(Products!$D$2:$D$49,MATCH(C1047,Products!$A$2:$A$49,0))*(1+INDEX(Assumptions!$B$16:$B$20,MATCH(B1047,Assumptions!$A$16:$A$20,0)))</f>
        <v>5732.76</v>
      </c>
      <c r="J1047" s="33" t="n">
        <f aca="false">H1047-I1047</f>
        <v>2007.24</v>
      </c>
      <c r="K1047" s="33" t="n">
        <f aca="false">IF(OR(E1047=0,E1047&gt;=7),0,D1047/(7-E1047)*E1047*INDEX(Products!$E$2:$E$49,MATCH(C1047,Products!$A$2:$A$49,0)))</f>
        <v>0</v>
      </c>
    </row>
    <row r="1048" customFormat="false" ht="15" hidden="false" customHeight="false" outlineLevel="0" collapsed="false">
      <c r="A1048" s="36" t="n">
        <v>46265</v>
      </c>
      <c r="B1048" s="24" t="s">
        <v>61</v>
      </c>
      <c r="C1048" s="24" t="s">
        <v>197</v>
      </c>
      <c r="D1048" s="33" t="n">
        <v>79</v>
      </c>
      <c r="E1048" s="24" t="n">
        <v>0</v>
      </c>
      <c r="F1048" s="37" t="n">
        <f aca="false">DATE(YEAR(A1048),MONTH(A1048),1)</f>
        <v>46235</v>
      </c>
      <c r="G1048" s="24" t="str">
        <f aca="false">INDEX(Products!$C$2:$C$49,MATCH(C1048,Products!$A$2:$A$49,0))</f>
        <v>Snacks &amp; Confectionery</v>
      </c>
      <c r="H1048" s="33" t="n">
        <f aca="false">D1048*INDEX(Products!$E$2:$E$49,MATCH(C1048,Products!$A$2:$A$49,0))</f>
        <v>7110</v>
      </c>
      <c r="I1048" s="33" t="n">
        <f aca="false">D1048*INDEX(Products!$D$2:$D$49,MATCH(C1048,Products!$A$2:$A$49,0))*(1+INDEX(Assumptions!$B$16:$B$20,MATCH(B1048,Assumptions!$A$16:$A$20,0)))</f>
        <v>5266.14</v>
      </c>
      <c r="J1048" s="33" t="n">
        <f aca="false">H1048-I1048</f>
        <v>1843.86</v>
      </c>
      <c r="K1048" s="33" t="n">
        <f aca="false">IF(OR(E1048=0,E1048&gt;=7),0,D1048/(7-E1048)*E1048*INDEX(Products!$E$2:$E$49,MATCH(C1048,Products!$A$2:$A$49,0)))</f>
        <v>0</v>
      </c>
    </row>
    <row r="1049" customFormat="false" ht="15" hidden="false" customHeight="false" outlineLevel="0" collapsed="false">
      <c r="A1049" s="36" t="n">
        <v>46272</v>
      </c>
      <c r="B1049" s="24" t="s">
        <v>61</v>
      </c>
      <c r="C1049" s="24" t="s">
        <v>197</v>
      </c>
      <c r="D1049" s="33" t="n">
        <v>79</v>
      </c>
      <c r="E1049" s="24" t="n">
        <v>0</v>
      </c>
      <c r="F1049" s="37" t="n">
        <f aca="false">DATE(YEAR(A1049),MONTH(A1049),1)</f>
        <v>46266</v>
      </c>
      <c r="G1049" s="24" t="str">
        <f aca="false">INDEX(Products!$C$2:$C$49,MATCH(C1049,Products!$A$2:$A$49,0))</f>
        <v>Snacks &amp; Confectionery</v>
      </c>
      <c r="H1049" s="33" t="n">
        <f aca="false">D1049*INDEX(Products!$E$2:$E$49,MATCH(C1049,Products!$A$2:$A$49,0))</f>
        <v>7110</v>
      </c>
      <c r="I1049" s="33" t="n">
        <f aca="false">D1049*INDEX(Products!$D$2:$D$49,MATCH(C1049,Products!$A$2:$A$49,0))*(1+INDEX(Assumptions!$B$16:$B$20,MATCH(B1049,Assumptions!$A$16:$A$20,0)))</f>
        <v>5266.14</v>
      </c>
      <c r="J1049" s="33" t="n">
        <f aca="false">H1049-I1049</f>
        <v>1843.86</v>
      </c>
      <c r="K1049" s="33" t="n">
        <f aca="false">IF(OR(E1049=0,E1049&gt;=7),0,D1049/(7-E1049)*E1049*INDEX(Products!$E$2:$E$49,MATCH(C1049,Products!$A$2:$A$49,0)))</f>
        <v>0</v>
      </c>
    </row>
    <row r="1050" customFormat="false" ht="15" hidden="false" customHeight="false" outlineLevel="0" collapsed="false">
      <c r="A1050" s="36" t="n">
        <v>46279</v>
      </c>
      <c r="B1050" s="24" t="s">
        <v>61</v>
      </c>
      <c r="C1050" s="24" t="s">
        <v>197</v>
      </c>
      <c r="D1050" s="33" t="n">
        <v>87</v>
      </c>
      <c r="E1050" s="24" t="n">
        <v>0</v>
      </c>
      <c r="F1050" s="37" t="n">
        <f aca="false">DATE(YEAR(A1050),MONTH(A1050),1)</f>
        <v>46266</v>
      </c>
      <c r="G1050" s="24" t="str">
        <f aca="false">INDEX(Products!$C$2:$C$49,MATCH(C1050,Products!$A$2:$A$49,0))</f>
        <v>Snacks &amp; Confectionery</v>
      </c>
      <c r="H1050" s="33" t="n">
        <f aca="false">D1050*INDEX(Products!$E$2:$E$49,MATCH(C1050,Products!$A$2:$A$49,0))</f>
        <v>7830</v>
      </c>
      <c r="I1050" s="33" t="n">
        <f aca="false">D1050*INDEX(Products!$D$2:$D$49,MATCH(C1050,Products!$A$2:$A$49,0))*(1+INDEX(Assumptions!$B$16:$B$20,MATCH(B1050,Assumptions!$A$16:$A$20,0)))</f>
        <v>5799.42</v>
      </c>
      <c r="J1050" s="33" t="n">
        <f aca="false">H1050-I1050</f>
        <v>2030.58</v>
      </c>
      <c r="K1050" s="33" t="n">
        <f aca="false">IF(OR(E1050=0,E1050&gt;=7),0,D1050/(7-E1050)*E1050*INDEX(Products!$E$2:$E$49,MATCH(C1050,Products!$A$2:$A$49,0)))</f>
        <v>0</v>
      </c>
    </row>
    <row r="1051" customFormat="false" ht="15" hidden="false" customHeight="false" outlineLevel="0" collapsed="false">
      <c r="A1051" s="36" t="n">
        <v>46286</v>
      </c>
      <c r="B1051" s="24" t="s">
        <v>61</v>
      </c>
      <c r="C1051" s="24" t="s">
        <v>197</v>
      </c>
      <c r="D1051" s="33" t="n">
        <v>80</v>
      </c>
      <c r="E1051" s="24" t="n">
        <v>0</v>
      </c>
      <c r="F1051" s="37" t="n">
        <f aca="false">DATE(YEAR(A1051),MONTH(A1051),1)</f>
        <v>46266</v>
      </c>
      <c r="G1051" s="24" t="str">
        <f aca="false">INDEX(Products!$C$2:$C$49,MATCH(C1051,Products!$A$2:$A$49,0))</f>
        <v>Snacks &amp; Confectionery</v>
      </c>
      <c r="H1051" s="33" t="n">
        <f aca="false">D1051*INDEX(Products!$E$2:$E$49,MATCH(C1051,Products!$A$2:$A$49,0))</f>
        <v>7200</v>
      </c>
      <c r="I1051" s="33" t="n">
        <f aca="false">D1051*INDEX(Products!$D$2:$D$49,MATCH(C1051,Products!$A$2:$A$49,0))*(1+INDEX(Assumptions!$B$16:$B$20,MATCH(B1051,Assumptions!$A$16:$A$20,0)))</f>
        <v>5332.8</v>
      </c>
      <c r="J1051" s="33" t="n">
        <f aca="false">H1051-I1051</f>
        <v>1867.2</v>
      </c>
      <c r="K1051" s="33" t="n">
        <f aca="false">IF(OR(E1051=0,E1051&gt;=7),0,D1051/(7-E1051)*E1051*INDEX(Products!$E$2:$E$49,MATCH(C1051,Products!$A$2:$A$49,0)))</f>
        <v>0</v>
      </c>
    </row>
    <row r="1052" customFormat="false" ht="15" hidden="false" customHeight="false" outlineLevel="0" collapsed="false">
      <c r="A1052" s="36" t="n">
        <v>46118</v>
      </c>
      <c r="B1052" s="24" t="s">
        <v>61</v>
      </c>
      <c r="C1052" s="24" t="s">
        <v>199</v>
      </c>
      <c r="D1052" s="33" t="n">
        <v>74</v>
      </c>
      <c r="E1052" s="24" t="n">
        <v>0</v>
      </c>
      <c r="F1052" s="37" t="n">
        <f aca="false">DATE(YEAR(A1052),MONTH(A1052),1)</f>
        <v>46113</v>
      </c>
      <c r="G1052" s="24" t="str">
        <f aca="false">INDEX(Products!$C$2:$C$49,MATCH(C1052,Products!$A$2:$A$49,0))</f>
        <v>Snacks &amp; Confectionery</v>
      </c>
      <c r="H1052" s="33" t="n">
        <f aca="false">D1052*INDEX(Products!$E$2:$E$49,MATCH(C1052,Products!$A$2:$A$49,0))</f>
        <v>11100</v>
      </c>
      <c r="I1052" s="33" t="n">
        <f aca="false">D1052*INDEX(Products!$D$2:$D$49,MATCH(C1052,Products!$A$2:$A$49,0))*(1+INDEX(Assumptions!$B$16:$B$20,MATCH(B1052,Assumptions!$A$16:$A$20,0)))</f>
        <v>8296.14</v>
      </c>
      <c r="J1052" s="33" t="n">
        <f aca="false">H1052-I1052</f>
        <v>2803.86</v>
      </c>
      <c r="K1052" s="33" t="n">
        <f aca="false">IF(OR(E1052=0,E1052&gt;=7),0,D1052/(7-E1052)*E1052*INDEX(Products!$E$2:$E$49,MATCH(C1052,Products!$A$2:$A$49,0)))</f>
        <v>0</v>
      </c>
    </row>
    <row r="1053" customFormat="false" ht="15" hidden="false" customHeight="false" outlineLevel="0" collapsed="false">
      <c r="A1053" s="36" t="n">
        <v>46125</v>
      </c>
      <c r="B1053" s="24" t="s">
        <v>61</v>
      </c>
      <c r="C1053" s="24" t="s">
        <v>199</v>
      </c>
      <c r="D1053" s="33" t="n">
        <v>79</v>
      </c>
      <c r="E1053" s="24" t="n">
        <v>0</v>
      </c>
      <c r="F1053" s="37" t="n">
        <f aca="false">DATE(YEAR(A1053),MONTH(A1053),1)</f>
        <v>46113</v>
      </c>
      <c r="G1053" s="24" t="str">
        <f aca="false">INDEX(Products!$C$2:$C$49,MATCH(C1053,Products!$A$2:$A$49,0))</f>
        <v>Snacks &amp; Confectionery</v>
      </c>
      <c r="H1053" s="33" t="n">
        <f aca="false">D1053*INDEX(Products!$E$2:$E$49,MATCH(C1053,Products!$A$2:$A$49,0))</f>
        <v>11850</v>
      </c>
      <c r="I1053" s="33" t="n">
        <f aca="false">D1053*INDEX(Products!$D$2:$D$49,MATCH(C1053,Products!$A$2:$A$49,0))*(1+INDEX(Assumptions!$B$16:$B$20,MATCH(B1053,Assumptions!$A$16:$A$20,0)))</f>
        <v>8856.69</v>
      </c>
      <c r="J1053" s="33" t="n">
        <f aca="false">H1053-I1053</f>
        <v>2993.31</v>
      </c>
      <c r="K1053" s="33" t="n">
        <f aca="false">IF(OR(E1053=0,E1053&gt;=7),0,D1053/(7-E1053)*E1053*INDEX(Products!$E$2:$E$49,MATCH(C1053,Products!$A$2:$A$49,0)))</f>
        <v>0</v>
      </c>
    </row>
    <row r="1054" customFormat="false" ht="15" hidden="false" customHeight="false" outlineLevel="0" collapsed="false">
      <c r="A1054" s="36" t="n">
        <v>46132</v>
      </c>
      <c r="B1054" s="24" t="s">
        <v>61</v>
      </c>
      <c r="C1054" s="24" t="s">
        <v>199</v>
      </c>
      <c r="D1054" s="33" t="n">
        <v>90</v>
      </c>
      <c r="E1054" s="24" t="n">
        <v>0</v>
      </c>
      <c r="F1054" s="37" t="n">
        <f aca="false">DATE(YEAR(A1054),MONTH(A1054),1)</f>
        <v>46113</v>
      </c>
      <c r="G1054" s="24" t="str">
        <f aca="false">INDEX(Products!$C$2:$C$49,MATCH(C1054,Products!$A$2:$A$49,0))</f>
        <v>Snacks &amp; Confectionery</v>
      </c>
      <c r="H1054" s="33" t="n">
        <f aca="false">D1054*INDEX(Products!$E$2:$E$49,MATCH(C1054,Products!$A$2:$A$49,0))</f>
        <v>13500</v>
      </c>
      <c r="I1054" s="33" t="n">
        <f aca="false">D1054*INDEX(Products!$D$2:$D$49,MATCH(C1054,Products!$A$2:$A$49,0))*(1+INDEX(Assumptions!$B$16:$B$20,MATCH(B1054,Assumptions!$A$16:$A$20,0)))</f>
        <v>10089.9</v>
      </c>
      <c r="J1054" s="33" t="n">
        <f aca="false">H1054-I1054</f>
        <v>3410.1</v>
      </c>
      <c r="K1054" s="33" t="n">
        <f aca="false">IF(OR(E1054=0,E1054&gt;=7),0,D1054/(7-E1054)*E1054*INDEX(Products!$E$2:$E$49,MATCH(C1054,Products!$A$2:$A$49,0)))</f>
        <v>0</v>
      </c>
    </row>
    <row r="1055" customFormat="false" ht="15" hidden="false" customHeight="false" outlineLevel="0" collapsed="false">
      <c r="A1055" s="36" t="n">
        <v>46139</v>
      </c>
      <c r="B1055" s="24" t="s">
        <v>61</v>
      </c>
      <c r="C1055" s="24" t="s">
        <v>199</v>
      </c>
      <c r="D1055" s="33" t="n">
        <v>83</v>
      </c>
      <c r="E1055" s="24" t="n">
        <v>0</v>
      </c>
      <c r="F1055" s="37" t="n">
        <f aca="false">DATE(YEAR(A1055),MONTH(A1055),1)</f>
        <v>46113</v>
      </c>
      <c r="G1055" s="24" t="str">
        <f aca="false">INDEX(Products!$C$2:$C$49,MATCH(C1055,Products!$A$2:$A$49,0))</f>
        <v>Snacks &amp; Confectionery</v>
      </c>
      <c r="H1055" s="33" t="n">
        <f aca="false">D1055*INDEX(Products!$E$2:$E$49,MATCH(C1055,Products!$A$2:$A$49,0))</f>
        <v>12450</v>
      </c>
      <c r="I1055" s="33" t="n">
        <f aca="false">D1055*INDEX(Products!$D$2:$D$49,MATCH(C1055,Products!$A$2:$A$49,0))*(1+INDEX(Assumptions!$B$16:$B$20,MATCH(B1055,Assumptions!$A$16:$A$20,0)))</f>
        <v>9305.13</v>
      </c>
      <c r="J1055" s="33" t="n">
        <f aca="false">H1055-I1055</f>
        <v>3144.87</v>
      </c>
      <c r="K1055" s="33" t="n">
        <f aca="false">IF(OR(E1055=0,E1055&gt;=7),0,D1055/(7-E1055)*E1055*INDEX(Products!$E$2:$E$49,MATCH(C1055,Products!$A$2:$A$49,0)))</f>
        <v>0</v>
      </c>
    </row>
    <row r="1056" customFormat="false" ht="15" hidden="false" customHeight="false" outlineLevel="0" collapsed="false">
      <c r="A1056" s="36" t="n">
        <v>46146</v>
      </c>
      <c r="B1056" s="24" t="s">
        <v>61</v>
      </c>
      <c r="C1056" s="24" t="s">
        <v>199</v>
      </c>
      <c r="D1056" s="33" t="n">
        <v>74</v>
      </c>
      <c r="E1056" s="24" t="n">
        <v>0</v>
      </c>
      <c r="F1056" s="37" t="n">
        <f aca="false">DATE(YEAR(A1056),MONTH(A1056),1)</f>
        <v>46143</v>
      </c>
      <c r="G1056" s="24" t="str">
        <f aca="false">INDEX(Products!$C$2:$C$49,MATCH(C1056,Products!$A$2:$A$49,0))</f>
        <v>Snacks &amp; Confectionery</v>
      </c>
      <c r="H1056" s="33" t="n">
        <f aca="false">D1056*INDEX(Products!$E$2:$E$49,MATCH(C1056,Products!$A$2:$A$49,0))</f>
        <v>11100</v>
      </c>
      <c r="I1056" s="33" t="n">
        <f aca="false">D1056*INDEX(Products!$D$2:$D$49,MATCH(C1056,Products!$A$2:$A$49,0))*(1+INDEX(Assumptions!$B$16:$B$20,MATCH(B1056,Assumptions!$A$16:$A$20,0)))</f>
        <v>8296.14</v>
      </c>
      <c r="J1056" s="33" t="n">
        <f aca="false">H1056-I1056</f>
        <v>2803.86</v>
      </c>
      <c r="K1056" s="33" t="n">
        <f aca="false">IF(OR(E1056=0,E1056&gt;=7),0,D1056/(7-E1056)*E1056*INDEX(Products!$E$2:$E$49,MATCH(C1056,Products!$A$2:$A$49,0)))</f>
        <v>0</v>
      </c>
    </row>
    <row r="1057" customFormat="false" ht="15" hidden="false" customHeight="false" outlineLevel="0" collapsed="false">
      <c r="A1057" s="36" t="n">
        <v>46153</v>
      </c>
      <c r="B1057" s="24" t="s">
        <v>61</v>
      </c>
      <c r="C1057" s="24" t="s">
        <v>199</v>
      </c>
      <c r="D1057" s="33" t="n">
        <v>74</v>
      </c>
      <c r="E1057" s="24" t="n">
        <v>0</v>
      </c>
      <c r="F1057" s="37" t="n">
        <f aca="false">DATE(YEAR(A1057),MONTH(A1057),1)</f>
        <v>46143</v>
      </c>
      <c r="G1057" s="24" t="str">
        <f aca="false">INDEX(Products!$C$2:$C$49,MATCH(C1057,Products!$A$2:$A$49,0))</f>
        <v>Snacks &amp; Confectionery</v>
      </c>
      <c r="H1057" s="33" t="n">
        <f aca="false">D1057*INDEX(Products!$E$2:$E$49,MATCH(C1057,Products!$A$2:$A$49,0))</f>
        <v>11100</v>
      </c>
      <c r="I1057" s="33" t="n">
        <f aca="false">D1057*INDEX(Products!$D$2:$D$49,MATCH(C1057,Products!$A$2:$A$49,0))*(1+INDEX(Assumptions!$B$16:$B$20,MATCH(B1057,Assumptions!$A$16:$A$20,0)))</f>
        <v>8296.14</v>
      </c>
      <c r="J1057" s="33" t="n">
        <f aca="false">H1057-I1057</f>
        <v>2803.86</v>
      </c>
      <c r="K1057" s="33" t="n">
        <f aca="false">IF(OR(E1057=0,E1057&gt;=7),0,D1057/(7-E1057)*E1057*INDEX(Products!$E$2:$E$49,MATCH(C1057,Products!$A$2:$A$49,0)))</f>
        <v>0</v>
      </c>
    </row>
    <row r="1058" customFormat="false" ht="15" hidden="false" customHeight="false" outlineLevel="0" collapsed="false">
      <c r="A1058" s="36" t="n">
        <v>46160</v>
      </c>
      <c r="B1058" s="24" t="s">
        <v>61</v>
      </c>
      <c r="C1058" s="24" t="s">
        <v>199</v>
      </c>
      <c r="D1058" s="33" t="n">
        <v>76</v>
      </c>
      <c r="E1058" s="24" t="n">
        <v>0</v>
      </c>
      <c r="F1058" s="37" t="n">
        <f aca="false">DATE(YEAR(A1058),MONTH(A1058),1)</f>
        <v>46143</v>
      </c>
      <c r="G1058" s="24" t="str">
        <f aca="false">INDEX(Products!$C$2:$C$49,MATCH(C1058,Products!$A$2:$A$49,0))</f>
        <v>Snacks &amp; Confectionery</v>
      </c>
      <c r="H1058" s="33" t="n">
        <f aca="false">D1058*INDEX(Products!$E$2:$E$49,MATCH(C1058,Products!$A$2:$A$49,0))</f>
        <v>11400</v>
      </c>
      <c r="I1058" s="33" t="n">
        <f aca="false">D1058*INDEX(Products!$D$2:$D$49,MATCH(C1058,Products!$A$2:$A$49,0))*(1+INDEX(Assumptions!$B$16:$B$20,MATCH(B1058,Assumptions!$A$16:$A$20,0)))</f>
        <v>8520.36</v>
      </c>
      <c r="J1058" s="33" t="n">
        <f aca="false">H1058-I1058</f>
        <v>2879.64</v>
      </c>
      <c r="K1058" s="33" t="n">
        <f aca="false">IF(OR(E1058=0,E1058&gt;=7),0,D1058/(7-E1058)*E1058*INDEX(Products!$E$2:$E$49,MATCH(C1058,Products!$A$2:$A$49,0)))</f>
        <v>0</v>
      </c>
    </row>
    <row r="1059" customFormat="false" ht="15" hidden="false" customHeight="false" outlineLevel="0" collapsed="false">
      <c r="A1059" s="36" t="n">
        <v>46167</v>
      </c>
      <c r="B1059" s="24" t="s">
        <v>61</v>
      </c>
      <c r="C1059" s="24" t="s">
        <v>199</v>
      </c>
      <c r="D1059" s="33" t="n">
        <v>88</v>
      </c>
      <c r="E1059" s="24" t="n">
        <v>0</v>
      </c>
      <c r="F1059" s="37" t="n">
        <f aca="false">DATE(YEAR(A1059),MONTH(A1059),1)</f>
        <v>46143</v>
      </c>
      <c r="G1059" s="24" t="str">
        <f aca="false">INDEX(Products!$C$2:$C$49,MATCH(C1059,Products!$A$2:$A$49,0))</f>
        <v>Snacks &amp; Confectionery</v>
      </c>
      <c r="H1059" s="33" t="n">
        <f aca="false">D1059*INDEX(Products!$E$2:$E$49,MATCH(C1059,Products!$A$2:$A$49,0))</f>
        <v>13200</v>
      </c>
      <c r="I1059" s="33" t="n">
        <f aca="false">D1059*INDEX(Products!$D$2:$D$49,MATCH(C1059,Products!$A$2:$A$49,0))*(1+INDEX(Assumptions!$B$16:$B$20,MATCH(B1059,Assumptions!$A$16:$A$20,0)))</f>
        <v>9865.68</v>
      </c>
      <c r="J1059" s="33" t="n">
        <f aca="false">H1059-I1059</f>
        <v>3334.32</v>
      </c>
      <c r="K1059" s="33" t="n">
        <f aca="false">IF(OR(E1059=0,E1059&gt;=7),0,D1059/(7-E1059)*E1059*INDEX(Products!$E$2:$E$49,MATCH(C1059,Products!$A$2:$A$49,0)))</f>
        <v>0</v>
      </c>
    </row>
    <row r="1060" customFormat="false" ht="15" hidden="false" customHeight="false" outlineLevel="0" collapsed="false">
      <c r="A1060" s="36" t="n">
        <v>46174</v>
      </c>
      <c r="B1060" s="24" t="s">
        <v>61</v>
      </c>
      <c r="C1060" s="24" t="s">
        <v>199</v>
      </c>
      <c r="D1060" s="33" t="n">
        <v>73</v>
      </c>
      <c r="E1060" s="24" t="n">
        <v>0</v>
      </c>
      <c r="F1060" s="37" t="n">
        <f aca="false">DATE(YEAR(A1060),MONTH(A1060),1)</f>
        <v>46174</v>
      </c>
      <c r="G1060" s="24" t="str">
        <f aca="false">INDEX(Products!$C$2:$C$49,MATCH(C1060,Products!$A$2:$A$49,0))</f>
        <v>Snacks &amp; Confectionery</v>
      </c>
      <c r="H1060" s="33" t="n">
        <f aca="false">D1060*INDEX(Products!$E$2:$E$49,MATCH(C1060,Products!$A$2:$A$49,0))</f>
        <v>10950</v>
      </c>
      <c r="I1060" s="33" t="n">
        <f aca="false">D1060*INDEX(Products!$D$2:$D$49,MATCH(C1060,Products!$A$2:$A$49,0))*(1+INDEX(Assumptions!$B$16:$B$20,MATCH(B1060,Assumptions!$A$16:$A$20,0)))</f>
        <v>8184.03</v>
      </c>
      <c r="J1060" s="33" t="n">
        <f aca="false">H1060-I1060</f>
        <v>2765.97</v>
      </c>
      <c r="K1060" s="33" t="n">
        <f aca="false">IF(OR(E1060=0,E1060&gt;=7),0,D1060/(7-E1060)*E1060*INDEX(Products!$E$2:$E$49,MATCH(C1060,Products!$A$2:$A$49,0)))</f>
        <v>0</v>
      </c>
    </row>
    <row r="1061" customFormat="false" ht="15" hidden="false" customHeight="false" outlineLevel="0" collapsed="false">
      <c r="A1061" s="36" t="n">
        <v>46181</v>
      </c>
      <c r="B1061" s="24" t="s">
        <v>61</v>
      </c>
      <c r="C1061" s="24" t="s">
        <v>199</v>
      </c>
      <c r="D1061" s="33" t="n">
        <v>21</v>
      </c>
      <c r="E1061" s="24" t="n">
        <v>5</v>
      </c>
      <c r="F1061" s="37" t="n">
        <f aca="false">DATE(YEAR(A1061),MONTH(A1061),1)</f>
        <v>46174</v>
      </c>
      <c r="G1061" s="24" t="str">
        <f aca="false">INDEX(Products!$C$2:$C$49,MATCH(C1061,Products!$A$2:$A$49,0))</f>
        <v>Snacks &amp; Confectionery</v>
      </c>
      <c r="H1061" s="33" t="n">
        <f aca="false">D1061*INDEX(Products!$E$2:$E$49,MATCH(C1061,Products!$A$2:$A$49,0))</f>
        <v>3150</v>
      </c>
      <c r="I1061" s="33" t="n">
        <f aca="false">D1061*INDEX(Products!$D$2:$D$49,MATCH(C1061,Products!$A$2:$A$49,0))*(1+INDEX(Assumptions!$B$16:$B$20,MATCH(B1061,Assumptions!$A$16:$A$20,0)))</f>
        <v>2354.31</v>
      </c>
      <c r="J1061" s="33" t="n">
        <f aca="false">H1061-I1061</f>
        <v>795.69</v>
      </c>
      <c r="K1061" s="33" t="n">
        <f aca="false">IF(OR(E1061=0,E1061&gt;=7),0,D1061/(7-E1061)*E1061*INDEX(Products!$E$2:$E$49,MATCH(C1061,Products!$A$2:$A$49,0)))</f>
        <v>7875</v>
      </c>
    </row>
    <row r="1062" customFormat="false" ht="15" hidden="false" customHeight="false" outlineLevel="0" collapsed="false">
      <c r="A1062" s="36" t="n">
        <v>46188</v>
      </c>
      <c r="B1062" s="24" t="s">
        <v>61</v>
      </c>
      <c r="C1062" s="24" t="s">
        <v>199</v>
      </c>
      <c r="D1062" s="33" t="n">
        <v>75</v>
      </c>
      <c r="E1062" s="24" t="n">
        <v>0</v>
      </c>
      <c r="F1062" s="37" t="n">
        <f aca="false">DATE(YEAR(A1062),MONTH(A1062),1)</f>
        <v>46174</v>
      </c>
      <c r="G1062" s="24" t="str">
        <f aca="false">INDEX(Products!$C$2:$C$49,MATCH(C1062,Products!$A$2:$A$49,0))</f>
        <v>Snacks &amp; Confectionery</v>
      </c>
      <c r="H1062" s="33" t="n">
        <f aca="false">D1062*INDEX(Products!$E$2:$E$49,MATCH(C1062,Products!$A$2:$A$49,0))</f>
        <v>11250</v>
      </c>
      <c r="I1062" s="33" t="n">
        <f aca="false">D1062*INDEX(Products!$D$2:$D$49,MATCH(C1062,Products!$A$2:$A$49,0))*(1+INDEX(Assumptions!$B$16:$B$20,MATCH(B1062,Assumptions!$A$16:$A$20,0)))</f>
        <v>8408.25</v>
      </c>
      <c r="J1062" s="33" t="n">
        <f aca="false">H1062-I1062</f>
        <v>2841.75</v>
      </c>
      <c r="K1062" s="33" t="n">
        <f aca="false">IF(OR(E1062=0,E1062&gt;=7),0,D1062/(7-E1062)*E1062*INDEX(Products!$E$2:$E$49,MATCH(C1062,Products!$A$2:$A$49,0)))</f>
        <v>0</v>
      </c>
    </row>
    <row r="1063" customFormat="false" ht="15" hidden="false" customHeight="false" outlineLevel="0" collapsed="false">
      <c r="A1063" s="36" t="n">
        <v>46195</v>
      </c>
      <c r="B1063" s="24" t="s">
        <v>61</v>
      </c>
      <c r="C1063" s="24" t="s">
        <v>199</v>
      </c>
      <c r="D1063" s="33" t="n">
        <v>74</v>
      </c>
      <c r="E1063" s="24" t="n">
        <v>0</v>
      </c>
      <c r="F1063" s="37" t="n">
        <f aca="false">DATE(YEAR(A1063),MONTH(A1063),1)</f>
        <v>46174</v>
      </c>
      <c r="G1063" s="24" t="str">
        <f aca="false">INDEX(Products!$C$2:$C$49,MATCH(C1063,Products!$A$2:$A$49,0))</f>
        <v>Snacks &amp; Confectionery</v>
      </c>
      <c r="H1063" s="33" t="n">
        <f aca="false">D1063*INDEX(Products!$E$2:$E$49,MATCH(C1063,Products!$A$2:$A$49,0))</f>
        <v>11100</v>
      </c>
      <c r="I1063" s="33" t="n">
        <f aca="false">D1063*INDEX(Products!$D$2:$D$49,MATCH(C1063,Products!$A$2:$A$49,0))*(1+INDEX(Assumptions!$B$16:$B$20,MATCH(B1063,Assumptions!$A$16:$A$20,0)))</f>
        <v>8296.14</v>
      </c>
      <c r="J1063" s="33" t="n">
        <f aca="false">H1063-I1063</f>
        <v>2803.86</v>
      </c>
      <c r="K1063" s="33" t="n">
        <f aca="false">IF(OR(E1063=0,E1063&gt;=7),0,D1063/(7-E1063)*E1063*INDEX(Products!$E$2:$E$49,MATCH(C1063,Products!$A$2:$A$49,0)))</f>
        <v>0</v>
      </c>
    </row>
    <row r="1064" customFormat="false" ht="15" hidden="false" customHeight="false" outlineLevel="0" collapsed="false">
      <c r="A1064" s="36" t="n">
        <v>46202</v>
      </c>
      <c r="B1064" s="24" t="s">
        <v>61</v>
      </c>
      <c r="C1064" s="24" t="s">
        <v>199</v>
      </c>
      <c r="D1064" s="33" t="n">
        <v>61</v>
      </c>
      <c r="E1064" s="24" t="n">
        <v>0</v>
      </c>
      <c r="F1064" s="37" t="n">
        <f aca="false">DATE(YEAR(A1064),MONTH(A1064),1)</f>
        <v>46174</v>
      </c>
      <c r="G1064" s="24" t="str">
        <f aca="false">INDEX(Products!$C$2:$C$49,MATCH(C1064,Products!$A$2:$A$49,0))</f>
        <v>Snacks &amp; Confectionery</v>
      </c>
      <c r="H1064" s="33" t="n">
        <f aca="false">D1064*INDEX(Products!$E$2:$E$49,MATCH(C1064,Products!$A$2:$A$49,0))</f>
        <v>9150</v>
      </c>
      <c r="I1064" s="33" t="n">
        <f aca="false">D1064*INDEX(Products!$D$2:$D$49,MATCH(C1064,Products!$A$2:$A$49,0))*(1+INDEX(Assumptions!$B$16:$B$20,MATCH(B1064,Assumptions!$A$16:$A$20,0)))</f>
        <v>6838.71</v>
      </c>
      <c r="J1064" s="33" t="n">
        <f aca="false">H1064-I1064</f>
        <v>2311.29</v>
      </c>
      <c r="K1064" s="33" t="n">
        <f aca="false">IF(OR(E1064=0,E1064&gt;=7),0,D1064/(7-E1064)*E1064*INDEX(Products!$E$2:$E$49,MATCH(C1064,Products!$A$2:$A$49,0)))</f>
        <v>0</v>
      </c>
    </row>
    <row r="1065" customFormat="false" ht="15" hidden="false" customHeight="false" outlineLevel="0" collapsed="false">
      <c r="A1065" s="36" t="n">
        <v>46209</v>
      </c>
      <c r="B1065" s="24" t="s">
        <v>61</v>
      </c>
      <c r="C1065" s="24" t="s">
        <v>199</v>
      </c>
      <c r="D1065" s="33" t="n">
        <v>66</v>
      </c>
      <c r="E1065" s="24" t="n">
        <v>0</v>
      </c>
      <c r="F1065" s="37" t="n">
        <f aca="false">DATE(YEAR(A1065),MONTH(A1065),1)</f>
        <v>46204</v>
      </c>
      <c r="G1065" s="24" t="str">
        <f aca="false">INDEX(Products!$C$2:$C$49,MATCH(C1065,Products!$A$2:$A$49,0))</f>
        <v>Snacks &amp; Confectionery</v>
      </c>
      <c r="H1065" s="33" t="n">
        <f aca="false">D1065*INDEX(Products!$E$2:$E$49,MATCH(C1065,Products!$A$2:$A$49,0))</f>
        <v>9900</v>
      </c>
      <c r="I1065" s="33" t="n">
        <f aca="false">D1065*INDEX(Products!$D$2:$D$49,MATCH(C1065,Products!$A$2:$A$49,0))*(1+INDEX(Assumptions!$B$16:$B$20,MATCH(B1065,Assumptions!$A$16:$A$20,0)))</f>
        <v>7399.26</v>
      </c>
      <c r="J1065" s="33" t="n">
        <f aca="false">H1065-I1065</f>
        <v>2500.74</v>
      </c>
      <c r="K1065" s="33" t="n">
        <f aca="false">IF(OR(E1065=0,E1065&gt;=7),0,D1065/(7-E1065)*E1065*INDEX(Products!$E$2:$E$49,MATCH(C1065,Products!$A$2:$A$49,0)))</f>
        <v>0</v>
      </c>
    </row>
    <row r="1066" customFormat="false" ht="15" hidden="false" customHeight="false" outlineLevel="0" collapsed="false">
      <c r="A1066" s="36" t="n">
        <v>46216</v>
      </c>
      <c r="B1066" s="24" t="s">
        <v>61</v>
      </c>
      <c r="C1066" s="24" t="s">
        <v>199</v>
      </c>
      <c r="D1066" s="33" t="n">
        <v>57</v>
      </c>
      <c r="E1066" s="24" t="n">
        <v>0</v>
      </c>
      <c r="F1066" s="37" t="n">
        <f aca="false">DATE(YEAR(A1066),MONTH(A1066),1)</f>
        <v>46204</v>
      </c>
      <c r="G1066" s="24" t="str">
        <f aca="false">INDEX(Products!$C$2:$C$49,MATCH(C1066,Products!$A$2:$A$49,0))</f>
        <v>Snacks &amp; Confectionery</v>
      </c>
      <c r="H1066" s="33" t="n">
        <f aca="false">D1066*INDEX(Products!$E$2:$E$49,MATCH(C1066,Products!$A$2:$A$49,0))</f>
        <v>8550</v>
      </c>
      <c r="I1066" s="33" t="n">
        <f aca="false">D1066*INDEX(Products!$D$2:$D$49,MATCH(C1066,Products!$A$2:$A$49,0))*(1+INDEX(Assumptions!$B$16:$B$20,MATCH(B1066,Assumptions!$A$16:$A$20,0)))</f>
        <v>6390.27</v>
      </c>
      <c r="J1066" s="33" t="n">
        <f aca="false">H1066-I1066</f>
        <v>2159.73</v>
      </c>
      <c r="K1066" s="33" t="n">
        <f aca="false">IF(OR(E1066=0,E1066&gt;=7),0,D1066/(7-E1066)*E1066*INDEX(Products!$E$2:$E$49,MATCH(C1066,Products!$A$2:$A$49,0)))</f>
        <v>0</v>
      </c>
    </row>
    <row r="1067" customFormat="false" ht="15" hidden="false" customHeight="false" outlineLevel="0" collapsed="false">
      <c r="A1067" s="36" t="n">
        <v>46223</v>
      </c>
      <c r="B1067" s="24" t="s">
        <v>61</v>
      </c>
      <c r="C1067" s="24" t="s">
        <v>199</v>
      </c>
      <c r="D1067" s="33" t="n">
        <v>66</v>
      </c>
      <c r="E1067" s="24" t="n">
        <v>0</v>
      </c>
      <c r="F1067" s="37" t="n">
        <f aca="false">DATE(YEAR(A1067),MONTH(A1067),1)</f>
        <v>46204</v>
      </c>
      <c r="G1067" s="24" t="str">
        <f aca="false">INDEX(Products!$C$2:$C$49,MATCH(C1067,Products!$A$2:$A$49,0))</f>
        <v>Snacks &amp; Confectionery</v>
      </c>
      <c r="H1067" s="33" t="n">
        <f aca="false">D1067*INDEX(Products!$E$2:$E$49,MATCH(C1067,Products!$A$2:$A$49,0))</f>
        <v>9900</v>
      </c>
      <c r="I1067" s="33" t="n">
        <f aca="false">D1067*INDEX(Products!$D$2:$D$49,MATCH(C1067,Products!$A$2:$A$49,0))*(1+INDEX(Assumptions!$B$16:$B$20,MATCH(B1067,Assumptions!$A$16:$A$20,0)))</f>
        <v>7399.26</v>
      </c>
      <c r="J1067" s="33" t="n">
        <f aca="false">H1067-I1067</f>
        <v>2500.74</v>
      </c>
      <c r="K1067" s="33" t="n">
        <f aca="false">IF(OR(E1067=0,E1067&gt;=7),0,D1067/(7-E1067)*E1067*INDEX(Products!$E$2:$E$49,MATCH(C1067,Products!$A$2:$A$49,0)))</f>
        <v>0</v>
      </c>
    </row>
    <row r="1068" customFormat="false" ht="15" hidden="false" customHeight="false" outlineLevel="0" collapsed="false">
      <c r="A1068" s="36" t="n">
        <v>46230</v>
      </c>
      <c r="B1068" s="24" t="s">
        <v>61</v>
      </c>
      <c r="C1068" s="24" t="s">
        <v>199</v>
      </c>
      <c r="D1068" s="33" t="n">
        <v>64</v>
      </c>
      <c r="E1068" s="24" t="n">
        <v>0</v>
      </c>
      <c r="F1068" s="37" t="n">
        <f aca="false">DATE(YEAR(A1068),MONTH(A1068),1)</f>
        <v>46204</v>
      </c>
      <c r="G1068" s="24" t="str">
        <f aca="false">INDEX(Products!$C$2:$C$49,MATCH(C1068,Products!$A$2:$A$49,0))</f>
        <v>Snacks &amp; Confectionery</v>
      </c>
      <c r="H1068" s="33" t="n">
        <f aca="false">D1068*INDEX(Products!$E$2:$E$49,MATCH(C1068,Products!$A$2:$A$49,0))</f>
        <v>9600</v>
      </c>
      <c r="I1068" s="33" t="n">
        <f aca="false">D1068*INDEX(Products!$D$2:$D$49,MATCH(C1068,Products!$A$2:$A$49,0))*(1+INDEX(Assumptions!$B$16:$B$20,MATCH(B1068,Assumptions!$A$16:$A$20,0)))</f>
        <v>7175.04</v>
      </c>
      <c r="J1068" s="33" t="n">
        <f aca="false">H1068-I1068</f>
        <v>2424.96</v>
      </c>
      <c r="K1068" s="33" t="n">
        <f aca="false">IF(OR(E1068=0,E1068&gt;=7),0,D1068/(7-E1068)*E1068*INDEX(Products!$E$2:$E$49,MATCH(C1068,Products!$A$2:$A$49,0)))</f>
        <v>0</v>
      </c>
    </row>
    <row r="1069" customFormat="false" ht="15" hidden="false" customHeight="false" outlineLevel="0" collapsed="false">
      <c r="A1069" s="36" t="n">
        <v>46237</v>
      </c>
      <c r="B1069" s="24" t="s">
        <v>61</v>
      </c>
      <c r="C1069" s="24" t="s">
        <v>199</v>
      </c>
      <c r="D1069" s="33" t="n">
        <v>49</v>
      </c>
      <c r="E1069" s="24" t="n">
        <v>0</v>
      </c>
      <c r="F1069" s="37" t="n">
        <f aca="false">DATE(YEAR(A1069),MONTH(A1069),1)</f>
        <v>46235</v>
      </c>
      <c r="G1069" s="24" t="str">
        <f aca="false">INDEX(Products!$C$2:$C$49,MATCH(C1069,Products!$A$2:$A$49,0))</f>
        <v>Snacks &amp; Confectionery</v>
      </c>
      <c r="H1069" s="33" t="n">
        <f aca="false">D1069*INDEX(Products!$E$2:$E$49,MATCH(C1069,Products!$A$2:$A$49,0))</f>
        <v>7350</v>
      </c>
      <c r="I1069" s="33" t="n">
        <f aca="false">D1069*INDEX(Products!$D$2:$D$49,MATCH(C1069,Products!$A$2:$A$49,0))*(1+INDEX(Assumptions!$B$16:$B$20,MATCH(B1069,Assumptions!$A$16:$A$20,0)))</f>
        <v>5493.39</v>
      </c>
      <c r="J1069" s="33" t="n">
        <f aca="false">H1069-I1069</f>
        <v>1856.61</v>
      </c>
      <c r="K1069" s="33" t="n">
        <f aca="false">IF(OR(E1069=0,E1069&gt;=7),0,D1069/(7-E1069)*E1069*INDEX(Products!$E$2:$E$49,MATCH(C1069,Products!$A$2:$A$49,0)))</f>
        <v>0</v>
      </c>
    </row>
    <row r="1070" customFormat="false" ht="15" hidden="false" customHeight="false" outlineLevel="0" collapsed="false">
      <c r="A1070" s="36" t="n">
        <v>46244</v>
      </c>
      <c r="B1070" s="24" t="s">
        <v>61</v>
      </c>
      <c r="C1070" s="24" t="s">
        <v>199</v>
      </c>
      <c r="D1070" s="33" t="n">
        <v>55</v>
      </c>
      <c r="E1070" s="24" t="n">
        <v>0</v>
      </c>
      <c r="F1070" s="37" t="n">
        <f aca="false">DATE(YEAR(A1070),MONTH(A1070),1)</f>
        <v>46235</v>
      </c>
      <c r="G1070" s="24" t="str">
        <f aca="false">INDEX(Products!$C$2:$C$49,MATCH(C1070,Products!$A$2:$A$49,0))</f>
        <v>Snacks &amp; Confectionery</v>
      </c>
      <c r="H1070" s="33" t="n">
        <f aca="false">D1070*INDEX(Products!$E$2:$E$49,MATCH(C1070,Products!$A$2:$A$49,0))</f>
        <v>8250</v>
      </c>
      <c r="I1070" s="33" t="n">
        <f aca="false">D1070*INDEX(Products!$D$2:$D$49,MATCH(C1070,Products!$A$2:$A$49,0))*(1+INDEX(Assumptions!$B$16:$B$20,MATCH(B1070,Assumptions!$A$16:$A$20,0)))</f>
        <v>6166.05</v>
      </c>
      <c r="J1070" s="33" t="n">
        <f aca="false">H1070-I1070</f>
        <v>2083.95</v>
      </c>
      <c r="K1070" s="33" t="n">
        <f aca="false">IF(OR(E1070=0,E1070&gt;=7),0,D1070/(7-E1070)*E1070*INDEX(Products!$E$2:$E$49,MATCH(C1070,Products!$A$2:$A$49,0)))</f>
        <v>0</v>
      </c>
    </row>
    <row r="1071" customFormat="false" ht="15" hidden="false" customHeight="false" outlineLevel="0" collapsed="false">
      <c r="A1071" s="36" t="n">
        <v>46251</v>
      </c>
      <c r="B1071" s="24" t="s">
        <v>61</v>
      </c>
      <c r="C1071" s="24" t="s">
        <v>199</v>
      </c>
      <c r="D1071" s="33" t="n">
        <v>52</v>
      </c>
      <c r="E1071" s="24" t="n">
        <v>0</v>
      </c>
      <c r="F1071" s="37" t="n">
        <f aca="false">DATE(YEAR(A1071),MONTH(A1071),1)</f>
        <v>46235</v>
      </c>
      <c r="G1071" s="24" t="str">
        <f aca="false">INDEX(Products!$C$2:$C$49,MATCH(C1071,Products!$A$2:$A$49,0))</f>
        <v>Snacks &amp; Confectionery</v>
      </c>
      <c r="H1071" s="33" t="n">
        <f aca="false">D1071*INDEX(Products!$E$2:$E$49,MATCH(C1071,Products!$A$2:$A$49,0))</f>
        <v>7800</v>
      </c>
      <c r="I1071" s="33" t="n">
        <f aca="false">D1071*INDEX(Products!$D$2:$D$49,MATCH(C1071,Products!$A$2:$A$49,0))*(1+INDEX(Assumptions!$B$16:$B$20,MATCH(B1071,Assumptions!$A$16:$A$20,0)))</f>
        <v>5829.72</v>
      </c>
      <c r="J1071" s="33" t="n">
        <f aca="false">H1071-I1071</f>
        <v>1970.28</v>
      </c>
      <c r="K1071" s="33" t="n">
        <f aca="false">IF(OR(E1071=0,E1071&gt;=7),0,D1071/(7-E1071)*E1071*INDEX(Products!$E$2:$E$49,MATCH(C1071,Products!$A$2:$A$49,0)))</f>
        <v>0</v>
      </c>
    </row>
    <row r="1072" customFormat="false" ht="15" hidden="false" customHeight="false" outlineLevel="0" collapsed="false">
      <c r="A1072" s="36" t="n">
        <v>46258</v>
      </c>
      <c r="B1072" s="24" t="s">
        <v>61</v>
      </c>
      <c r="C1072" s="24" t="s">
        <v>199</v>
      </c>
      <c r="D1072" s="33" t="n">
        <v>66</v>
      </c>
      <c r="E1072" s="24" t="n">
        <v>0</v>
      </c>
      <c r="F1072" s="37" t="n">
        <f aca="false">DATE(YEAR(A1072),MONTH(A1072),1)</f>
        <v>46235</v>
      </c>
      <c r="G1072" s="24" t="str">
        <f aca="false">INDEX(Products!$C$2:$C$49,MATCH(C1072,Products!$A$2:$A$49,0))</f>
        <v>Snacks &amp; Confectionery</v>
      </c>
      <c r="H1072" s="33" t="n">
        <f aca="false">D1072*INDEX(Products!$E$2:$E$49,MATCH(C1072,Products!$A$2:$A$49,0))</f>
        <v>9900</v>
      </c>
      <c r="I1072" s="33" t="n">
        <f aca="false">D1072*INDEX(Products!$D$2:$D$49,MATCH(C1072,Products!$A$2:$A$49,0))*(1+INDEX(Assumptions!$B$16:$B$20,MATCH(B1072,Assumptions!$A$16:$A$20,0)))</f>
        <v>7399.26</v>
      </c>
      <c r="J1072" s="33" t="n">
        <f aca="false">H1072-I1072</f>
        <v>2500.74</v>
      </c>
      <c r="K1072" s="33" t="n">
        <f aca="false">IF(OR(E1072=0,E1072&gt;=7),0,D1072/(7-E1072)*E1072*INDEX(Products!$E$2:$E$49,MATCH(C1072,Products!$A$2:$A$49,0)))</f>
        <v>0</v>
      </c>
    </row>
    <row r="1073" customFormat="false" ht="15" hidden="false" customHeight="false" outlineLevel="0" collapsed="false">
      <c r="A1073" s="36" t="n">
        <v>46265</v>
      </c>
      <c r="B1073" s="24" t="s">
        <v>61</v>
      </c>
      <c r="C1073" s="24" t="s">
        <v>199</v>
      </c>
      <c r="D1073" s="33" t="n">
        <v>61</v>
      </c>
      <c r="E1073" s="24" t="n">
        <v>0</v>
      </c>
      <c r="F1073" s="37" t="n">
        <f aca="false">DATE(YEAR(A1073),MONTH(A1073),1)</f>
        <v>46235</v>
      </c>
      <c r="G1073" s="24" t="str">
        <f aca="false">INDEX(Products!$C$2:$C$49,MATCH(C1073,Products!$A$2:$A$49,0))</f>
        <v>Snacks &amp; Confectionery</v>
      </c>
      <c r="H1073" s="33" t="n">
        <f aca="false">D1073*INDEX(Products!$E$2:$E$49,MATCH(C1073,Products!$A$2:$A$49,0))</f>
        <v>9150</v>
      </c>
      <c r="I1073" s="33" t="n">
        <f aca="false">D1073*INDEX(Products!$D$2:$D$49,MATCH(C1073,Products!$A$2:$A$49,0))*(1+INDEX(Assumptions!$B$16:$B$20,MATCH(B1073,Assumptions!$A$16:$A$20,0)))</f>
        <v>6838.71</v>
      </c>
      <c r="J1073" s="33" t="n">
        <f aca="false">H1073-I1073</f>
        <v>2311.29</v>
      </c>
      <c r="K1073" s="33" t="n">
        <f aca="false">IF(OR(E1073=0,E1073&gt;=7),0,D1073/(7-E1073)*E1073*INDEX(Products!$E$2:$E$49,MATCH(C1073,Products!$A$2:$A$49,0)))</f>
        <v>0</v>
      </c>
    </row>
    <row r="1074" customFormat="false" ht="15" hidden="false" customHeight="false" outlineLevel="0" collapsed="false">
      <c r="A1074" s="36" t="n">
        <v>46272</v>
      </c>
      <c r="B1074" s="24" t="s">
        <v>61</v>
      </c>
      <c r="C1074" s="24" t="s">
        <v>199</v>
      </c>
      <c r="D1074" s="33" t="n">
        <v>51</v>
      </c>
      <c r="E1074" s="24" t="n">
        <v>0</v>
      </c>
      <c r="F1074" s="37" t="n">
        <f aca="false">DATE(YEAR(A1074),MONTH(A1074),1)</f>
        <v>46266</v>
      </c>
      <c r="G1074" s="24" t="str">
        <f aca="false">INDEX(Products!$C$2:$C$49,MATCH(C1074,Products!$A$2:$A$49,0))</f>
        <v>Snacks &amp; Confectionery</v>
      </c>
      <c r="H1074" s="33" t="n">
        <f aca="false">D1074*INDEX(Products!$E$2:$E$49,MATCH(C1074,Products!$A$2:$A$49,0))</f>
        <v>7650</v>
      </c>
      <c r="I1074" s="33" t="n">
        <f aca="false">D1074*INDEX(Products!$D$2:$D$49,MATCH(C1074,Products!$A$2:$A$49,0))*(1+INDEX(Assumptions!$B$16:$B$20,MATCH(B1074,Assumptions!$A$16:$A$20,0)))</f>
        <v>5717.61</v>
      </c>
      <c r="J1074" s="33" t="n">
        <f aca="false">H1074-I1074</f>
        <v>1932.39</v>
      </c>
      <c r="K1074" s="33" t="n">
        <f aca="false">IF(OR(E1074=0,E1074&gt;=7),0,D1074/(7-E1074)*E1074*INDEX(Products!$E$2:$E$49,MATCH(C1074,Products!$A$2:$A$49,0)))</f>
        <v>0</v>
      </c>
    </row>
    <row r="1075" customFormat="false" ht="15" hidden="false" customHeight="false" outlineLevel="0" collapsed="false">
      <c r="A1075" s="36" t="n">
        <v>46279</v>
      </c>
      <c r="B1075" s="24" t="s">
        <v>61</v>
      </c>
      <c r="C1075" s="24" t="s">
        <v>199</v>
      </c>
      <c r="D1075" s="33" t="n">
        <v>54</v>
      </c>
      <c r="E1075" s="24" t="n">
        <v>0</v>
      </c>
      <c r="F1075" s="37" t="n">
        <f aca="false">DATE(YEAR(A1075),MONTH(A1075),1)</f>
        <v>46266</v>
      </c>
      <c r="G1075" s="24" t="str">
        <f aca="false">INDEX(Products!$C$2:$C$49,MATCH(C1075,Products!$A$2:$A$49,0))</f>
        <v>Snacks &amp; Confectionery</v>
      </c>
      <c r="H1075" s="33" t="n">
        <f aca="false">D1075*INDEX(Products!$E$2:$E$49,MATCH(C1075,Products!$A$2:$A$49,0))</f>
        <v>8100</v>
      </c>
      <c r="I1075" s="33" t="n">
        <f aca="false">D1075*INDEX(Products!$D$2:$D$49,MATCH(C1075,Products!$A$2:$A$49,0))*(1+INDEX(Assumptions!$B$16:$B$20,MATCH(B1075,Assumptions!$A$16:$A$20,0)))</f>
        <v>6053.94</v>
      </c>
      <c r="J1075" s="33" t="n">
        <f aca="false">H1075-I1075</f>
        <v>2046.06</v>
      </c>
      <c r="K1075" s="33" t="n">
        <f aca="false">IF(OR(E1075=0,E1075&gt;=7),0,D1075/(7-E1075)*E1075*INDEX(Products!$E$2:$E$49,MATCH(C1075,Products!$A$2:$A$49,0)))</f>
        <v>0</v>
      </c>
    </row>
    <row r="1076" customFormat="false" ht="15" hidden="false" customHeight="false" outlineLevel="0" collapsed="false">
      <c r="A1076" s="36" t="n">
        <v>46286</v>
      </c>
      <c r="B1076" s="24" t="s">
        <v>61</v>
      </c>
      <c r="C1076" s="24" t="s">
        <v>199</v>
      </c>
      <c r="D1076" s="33" t="n">
        <v>74</v>
      </c>
      <c r="E1076" s="24" t="n">
        <v>0</v>
      </c>
      <c r="F1076" s="37" t="n">
        <f aca="false">DATE(YEAR(A1076),MONTH(A1076),1)</f>
        <v>46266</v>
      </c>
      <c r="G1076" s="24" t="str">
        <f aca="false">INDEX(Products!$C$2:$C$49,MATCH(C1076,Products!$A$2:$A$49,0))</f>
        <v>Snacks &amp; Confectionery</v>
      </c>
      <c r="H1076" s="33" t="n">
        <f aca="false">D1076*INDEX(Products!$E$2:$E$49,MATCH(C1076,Products!$A$2:$A$49,0))</f>
        <v>11100</v>
      </c>
      <c r="I1076" s="33" t="n">
        <f aca="false">D1076*INDEX(Products!$D$2:$D$49,MATCH(C1076,Products!$A$2:$A$49,0))*(1+INDEX(Assumptions!$B$16:$B$20,MATCH(B1076,Assumptions!$A$16:$A$20,0)))</f>
        <v>8296.14</v>
      </c>
      <c r="J1076" s="33" t="n">
        <f aca="false">H1076-I1076</f>
        <v>2803.86</v>
      </c>
      <c r="K1076" s="33" t="n">
        <f aca="false">IF(OR(E1076=0,E1076&gt;=7),0,D1076/(7-E1076)*E1076*INDEX(Products!$E$2:$E$49,MATCH(C1076,Products!$A$2:$A$49,0)))</f>
        <v>0</v>
      </c>
    </row>
    <row r="1077" customFormat="false" ht="15" hidden="false" customHeight="false" outlineLevel="0" collapsed="false">
      <c r="A1077" s="36" t="n">
        <v>46118</v>
      </c>
      <c r="B1077" s="24" t="s">
        <v>61</v>
      </c>
      <c r="C1077" s="24" t="s">
        <v>201</v>
      </c>
      <c r="D1077" s="33" t="n">
        <v>150</v>
      </c>
      <c r="E1077" s="24" t="n">
        <v>0</v>
      </c>
      <c r="F1077" s="37" t="n">
        <f aca="false">DATE(YEAR(A1077),MONTH(A1077),1)</f>
        <v>46113</v>
      </c>
      <c r="G1077" s="24" t="str">
        <f aca="false">INDEX(Products!$C$2:$C$49,MATCH(C1077,Products!$A$2:$A$49,0))</f>
        <v>Snacks &amp; Confectionery</v>
      </c>
      <c r="H1077" s="33" t="n">
        <f aca="false">D1077*INDEX(Products!$E$2:$E$49,MATCH(C1077,Products!$A$2:$A$49,0))</f>
        <v>24000</v>
      </c>
      <c r="I1077" s="33" t="n">
        <f aca="false">D1077*INDEX(Products!$D$2:$D$49,MATCH(C1077,Products!$A$2:$A$49,0))*(1+INDEX(Assumptions!$B$16:$B$20,MATCH(B1077,Assumptions!$A$16:$A$20,0)))</f>
        <v>18180</v>
      </c>
      <c r="J1077" s="33" t="n">
        <f aca="false">H1077-I1077</f>
        <v>5820</v>
      </c>
      <c r="K1077" s="33" t="n">
        <f aca="false">IF(OR(E1077=0,E1077&gt;=7),0,D1077/(7-E1077)*E1077*INDEX(Products!$E$2:$E$49,MATCH(C1077,Products!$A$2:$A$49,0)))</f>
        <v>0</v>
      </c>
    </row>
    <row r="1078" customFormat="false" ht="15" hidden="false" customHeight="false" outlineLevel="0" collapsed="false">
      <c r="A1078" s="36" t="n">
        <v>46125</v>
      </c>
      <c r="B1078" s="24" t="s">
        <v>61</v>
      </c>
      <c r="C1078" s="24" t="s">
        <v>201</v>
      </c>
      <c r="D1078" s="33" t="n">
        <v>169</v>
      </c>
      <c r="E1078" s="24" t="n">
        <v>0</v>
      </c>
      <c r="F1078" s="37" t="n">
        <f aca="false">DATE(YEAR(A1078),MONTH(A1078),1)</f>
        <v>46113</v>
      </c>
      <c r="G1078" s="24" t="str">
        <f aca="false">INDEX(Products!$C$2:$C$49,MATCH(C1078,Products!$A$2:$A$49,0))</f>
        <v>Snacks &amp; Confectionery</v>
      </c>
      <c r="H1078" s="33" t="n">
        <f aca="false">D1078*INDEX(Products!$E$2:$E$49,MATCH(C1078,Products!$A$2:$A$49,0))</f>
        <v>27040</v>
      </c>
      <c r="I1078" s="33" t="n">
        <f aca="false">D1078*INDEX(Products!$D$2:$D$49,MATCH(C1078,Products!$A$2:$A$49,0))*(1+INDEX(Assumptions!$B$16:$B$20,MATCH(B1078,Assumptions!$A$16:$A$20,0)))</f>
        <v>20482.8</v>
      </c>
      <c r="J1078" s="33" t="n">
        <f aca="false">H1078-I1078</f>
        <v>6557.2</v>
      </c>
      <c r="K1078" s="33" t="n">
        <f aca="false">IF(OR(E1078=0,E1078&gt;=7),0,D1078/(7-E1078)*E1078*INDEX(Products!$E$2:$E$49,MATCH(C1078,Products!$A$2:$A$49,0)))</f>
        <v>0</v>
      </c>
    </row>
    <row r="1079" customFormat="false" ht="15" hidden="false" customHeight="false" outlineLevel="0" collapsed="false">
      <c r="A1079" s="36" t="n">
        <v>46132</v>
      </c>
      <c r="B1079" s="24" t="s">
        <v>61</v>
      </c>
      <c r="C1079" s="24" t="s">
        <v>201</v>
      </c>
      <c r="D1079" s="33" t="n">
        <v>168</v>
      </c>
      <c r="E1079" s="24" t="n">
        <v>0</v>
      </c>
      <c r="F1079" s="37" t="n">
        <f aca="false">DATE(YEAR(A1079),MONTH(A1079),1)</f>
        <v>46113</v>
      </c>
      <c r="G1079" s="24" t="str">
        <f aca="false">INDEX(Products!$C$2:$C$49,MATCH(C1079,Products!$A$2:$A$49,0))</f>
        <v>Snacks &amp; Confectionery</v>
      </c>
      <c r="H1079" s="33" t="n">
        <f aca="false">D1079*INDEX(Products!$E$2:$E$49,MATCH(C1079,Products!$A$2:$A$49,0))</f>
        <v>26880</v>
      </c>
      <c r="I1079" s="33" t="n">
        <f aca="false">D1079*INDEX(Products!$D$2:$D$49,MATCH(C1079,Products!$A$2:$A$49,0))*(1+INDEX(Assumptions!$B$16:$B$20,MATCH(B1079,Assumptions!$A$16:$A$20,0)))</f>
        <v>20361.6</v>
      </c>
      <c r="J1079" s="33" t="n">
        <f aca="false">H1079-I1079</f>
        <v>6518.4</v>
      </c>
      <c r="K1079" s="33" t="n">
        <f aca="false">IF(OR(E1079=0,E1079&gt;=7),0,D1079/(7-E1079)*E1079*INDEX(Products!$E$2:$E$49,MATCH(C1079,Products!$A$2:$A$49,0)))</f>
        <v>0</v>
      </c>
    </row>
    <row r="1080" customFormat="false" ht="15" hidden="false" customHeight="false" outlineLevel="0" collapsed="false">
      <c r="A1080" s="36" t="n">
        <v>46139</v>
      </c>
      <c r="B1080" s="24" t="s">
        <v>61</v>
      </c>
      <c r="C1080" s="24" t="s">
        <v>201</v>
      </c>
      <c r="D1080" s="33" t="n">
        <v>216</v>
      </c>
      <c r="E1080" s="24" t="n">
        <v>0</v>
      </c>
      <c r="F1080" s="37" t="n">
        <f aca="false">DATE(YEAR(A1080),MONTH(A1080),1)</f>
        <v>46113</v>
      </c>
      <c r="G1080" s="24" t="str">
        <f aca="false">INDEX(Products!$C$2:$C$49,MATCH(C1080,Products!$A$2:$A$49,0))</f>
        <v>Snacks &amp; Confectionery</v>
      </c>
      <c r="H1080" s="33" t="n">
        <f aca="false">D1080*INDEX(Products!$E$2:$E$49,MATCH(C1080,Products!$A$2:$A$49,0))</f>
        <v>34560</v>
      </c>
      <c r="I1080" s="33" t="n">
        <f aca="false">D1080*INDEX(Products!$D$2:$D$49,MATCH(C1080,Products!$A$2:$A$49,0))*(1+INDEX(Assumptions!$B$16:$B$20,MATCH(B1080,Assumptions!$A$16:$A$20,0)))</f>
        <v>26179.2</v>
      </c>
      <c r="J1080" s="33" t="n">
        <f aca="false">H1080-I1080</f>
        <v>8380.8</v>
      </c>
      <c r="K1080" s="33" t="n">
        <f aca="false">IF(OR(E1080=0,E1080&gt;=7),0,D1080/(7-E1080)*E1080*INDEX(Products!$E$2:$E$49,MATCH(C1080,Products!$A$2:$A$49,0)))</f>
        <v>0</v>
      </c>
    </row>
    <row r="1081" customFormat="false" ht="15" hidden="false" customHeight="false" outlineLevel="0" collapsed="false">
      <c r="A1081" s="36" t="n">
        <v>46146</v>
      </c>
      <c r="B1081" s="24" t="s">
        <v>61</v>
      </c>
      <c r="C1081" s="24" t="s">
        <v>201</v>
      </c>
      <c r="D1081" s="33" t="n">
        <v>188</v>
      </c>
      <c r="E1081" s="24" t="n">
        <v>0</v>
      </c>
      <c r="F1081" s="37" t="n">
        <f aca="false">DATE(YEAR(A1081),MONTH(A1081),1)</f>
        <v>46143</v>
      </c>
      <c r="G1081" s="24" t="str">
        <f aca="false">INDEX(Products!$C$2:$C$49,MATCH(C1081,Products!$A$2:$A$49,0))</f>
        <v>Snacks &amp; Confectionery</v>
      </c>
      <c r="H1081" s="33" t="n">
        <f aca="false">D1081*INDEX(Products!$E$2:$E$49,MATCH(C1081,Products!$A$2:$A$49,0))</f>
        <v>30080</v>
      </c>
      <c r="I1081" s="33" t="n">
        <f aca="false">D1081*INDEX(Products!$D$2:$D$49,MATCH(C1081,Products!$A$2:$A$49,0))*(1+INDEX(Assumptions!$B$16:$B$20,MATCH(B1081,Assumptions!$A$16:$A$20,0)))</f>
        <v>22785.6</v>
      </c>
      <c r="J1081" s="33" t="n">
        <f aca="false">H1081-I1081</f>
        <v>7294.4</v>
      </c>
      <c r="K1081" s="33" t="n">
        <f aca="false">IF(OR(E1081=0,E1081&gt;=7),0,D1081/(7-E1081)*E1081*INDEX(Products!$E$2:$E$49,MATCH(C1081,Products!$A$2:$A$49,0)))</f>
        <v>0</v>
      </c>
    </row>
    <row r="1082" customFormat="false" ht="15" hidden="false" customHeight="false" outlineLevel="0" collapsed="false">
      <c r="A1082" s="36" t="n">
        <v>46153</v>
      </c>
      <c r="B1082" s="24" t="s">
        <v>61</v>
      </c>
      <c r="C1082" s="24" t="s">
        <v>201</v>
      </c>
      <c r="D1082" s="33" t="n">
        <v>184</v>
      </c>
      <c r="E1082" s="24" t="n">
        <v>0</v>
      </c>
      <c r="F1082" s="37" t="n">
        <f aca="false">DATE(YEAR(A1082),MONTH(A1082),1)</f>
        <v>46143</v>
      </c>
      <c r="G1082" s="24" t="str">
        <f aca="false">INDEX(Products!$C$2:$C$49,MATCH(C1082,Products!$A$2:$A$49,0))</f>
        <v>Snacks &amp; Confectionery</v>
      </c>
      <c r="H1082" s="33" t="n">
        <f aca="false">D1082*INDEX(Products!$E$2:$E$49,MATCH(C1082,Products!$A$2:$A$49,0))</f>
        <v>29440</v>
      </c>
      <c r="I1082" s="33" t="n">
        <f aca="false">D1082*INDEX(Products!$D$2:$D$49,MATCH(C1082,Products!$A$2:$A$49,0))*(1+INDEX(Assumptions!$B$16:$B$20,MATCH(B1082,Assumptions!$A$16:$A$20,0)))</f>
        <v>22300.8</v>
      </c>
      <c r="J1082" s="33" t="n">
        <f aca="false">H1082-I1082</f>
        <v>7139.2</v>
      </c>
      <c r="K1082" s="33" t="n">
        <f aca="false">IF(OR(E1082=0,E1082&gt;=7),0,D1082/(7-E1082)*E1082*INDEX(Products!$E$2:$E$49,MATCH(C1082,Products!$A$2:$A$49,0)))</f>
        <v>0</v>
      </c>
    </row>
    <row r="1083" customFormat="false" ht="15" hidden="false" customHeight="false" outlineLevel="0" collapsed="false">
      <c r="A1083" s="36" t="n">
        <v>46160</v>
      </c>
      <c r="B1083" s="24" t="s">
        <v>61</v>
      </c>
      <c r="C1083" s="24" t="s">
        <v>201</v>
      </c>
      <c r="D1083" s="33" t="n">
        <v>173</v>
      </c>
      <c r="E1083" s="24" t="n">
        <v>0</v>
      </c>
      <c r="F1083" s="37" t="n">
        <f aca="false">DATE(YEAR(A1083),MONTH(A1083),1)</f>
        <v>46143</v>
      </c>
      <c r="G1083" s="24" t="str">
        <f aca="false">INDEX(Products!$C$2:$C$49,MATCH(C1083,Products!$A$2:$A$49,0))</f>
        <v>Snacks &amp; Confectionery</v>
      </c>
      <c r="H1083" s="33" t="n">
        <f aca="false">D1083*INDEX(Products!$E$2:$E$49,MATCH(C1083,Products!$A$2:$A$49,0))</f>
        <v>27680</v>
      </c>
      <c r="I1083" s="33" t="n">
        <f aca="false">D1083*INDEX(Products!$D$2:$D$49,MATCH(C1083,Products!$A$2:$A$49,0))*(1+INDEX(Assumptions!$B$16:$B$20,MATCH(B1083,Assumptions!$A$16:$A$20,0)))</f>
        <v>20967.6</v>
      </c>
      <c r="J1083" s="33" t="n">
        <f aca="false">H1083-I1083</f>
        <v>6712.4</v>
      </c>
      <c r="K1083" s="33" t="n">
        <f aca="false">IF(OR(E1083=0,E1083&gt;=7),0,D1083/(7-E1083)*E1083*INDEX(Products!$E$2:$E$49,MATCH(C1083,Products!$A$2:$A$49,0)))</f>
        <v>0</v>
      </c>
    </row>
    <row r="1084" customFormat="false" ht="15" hidden="false" customHeight="false" outlineLevel="0" collapsed="false">
      <c r="A1084" s="36" t="n">
        <v>46167</v>
      </c>
      <c r="B1084" s="24" t="s">
        <v>61</v>
      </c>
      <c r="C1084" s="24" t="s">
        <v>201</v>
      </c>
      <c r="D1084" s="33" t="n">
        <v>188</v>
      </c>
      <c r="E1084" s="24" t="n">
        <v>0</v>
      </c>
      <c r="F1084" s="37" t="n">
        <f aca="false">DATE(YEAR(A1084),MONTH(A1084),1)</f>
        <v>46143</v>
      </c>
      <c r="G1084" s="24" t="str">
        <f aca="false">INDEX(Products!$C$2:$C$49,MATCH(C1084,Products!$A$2:$A$49,0))</f>
        <v>Snacks &amp; Confectionery</v>
      </c>
      <c r="H1084" s="33" t="n">
        <f aca="false">D1084*INDEX(Products!$E$2:$E$49,MATCH(C1084,Products!$A$2:$A$49,0))</f>
        <v>30080</v>
      </c>
      <c r="I1084" s="33" t="n">
        <f aca="false">D1084*INDEX(Products!$D$2:$D$49,MATCH(C1084,Products!$A$2:$A$49,0))*(1+INDEX(Assumptions!$B$16:$B$20,MATCH(B1084,Assumptions!$A$16:$A$20,0)))</f>
        <v>22785.6</v>
      </c>
      <c r="J1084" s="33" t="n">
        <f aca="false">H1084-I1084</f>
        <v>7294.4</v>
      </c>
      <c r="K1084" s="33" t="n">
        <f aca="false">IF(OR(E1084=0,E1084&gt;=7),0,D1084/(7-E1084)*E1084*INDEX(Products!$E$2:$E$49,MATCH(C1084,Products!$A$2:$A$49,0)))</f>
        <v>0</v>
      </c>
    </row>
    <row r="1085" customFormat="false" ht="15" hidden="false" customHeight="false" outlineLevel="0" collapsed="false">
      <c r="A1085" s="36" t="n">
        <v>46174</v>
      </c>
      <c r="B1085" s="24" t="s">
        <v>61</v>
      </c>
      <c r="C1085" s="24" t="s">
        <v>201</v>
      </c>
      <c r="D1085" s="33" t="n">
        <v>163</v>
      </c>
      <c r="E1085" s="24" t="n">
        <v>0</v>
      </c>
      <c r="F1085" s="37" t="n">
        <f aca="false">DATE(YEAR(A1085),MONTH(A1085),1)</f>
        <v>46174</v>
      </c>
      <c r="G1085" s="24" t="str">
        <f aca="false">INDEX(Products!$C$2:$C$49,MATCH(C1085,Products!$A$2:$A$49,0))</f>
        <v>Snacks &amp; Confectionery</v>
      </c>
      <c r="H1085" s="33" t="n">
        <f aca="false">D1085*INDEX(Products!$E$2:$E$49,MATCH(C1085,Products!$A$2:$A$49,0))</f>
        <v>26080</v>
      </c>
      <c r="I1085" s="33" t="n">
        <f aca="false">D1085*INDEX(Products!$D$2:$D$49,MATCH(C1085,Products!$A$2:$A$49,0))*(1+INDEX(Assumptions!$B$16:$B$20,MATCH(B1085,Assumptions!$A$16:$A$20,0)))</f>
        <v>19755.6</v>
      </c>
      <c r="J1085" s="33" t="n">
        <f aca="false">H1085-I1085</f>
        <v>6324.4</v>
      </c>
      <c r="K1085" s="33" t="n">
        <f aca="false">IF(OR(E1085=0,E1085&gt;=7),0,D1085/(7-E1085)*E1085*INDEX(Products!$E$2:$E$49,MATCH(C1085,Products!$A$2:$A$49,0)))</f>
        <v>0</v>
      </c>
    </row>
    <row r="1086" customFormat="false" ht="15" hidden="false" customHeight="false" outlineLevel="0" collapsed="false">
      <c r="A1086" s="36" t="n">
        <v>46181</v>
      </c>
      <c r="B1086" s="24" t="s">
        <v>61</v>
      </c>
      <c r="C1086" s="24" t="s">
        <v>201</v>
      </c>
      <c r="D1086" s="33" t="n">
        <v>167</v>
      </c>
      <c r="E1086" s="24" t="n">
        <v>0</v>
      </c>
      <c r="F1086" s="37" t="n">
        <f aca="false">DATE(YEAR(A1086),MONTH(A1086),1)</f>
        <v>46174</v>
      </c>
      <c r="G1086" s="24" t="str">
        <f aca="false">INDEX(Products!$C$2:$C$49,MATCH(C1086,Products!$A$2:$A$49,0))</f>
        <v>Snacks &amp; Confectionery</v>
      </c>
      <c r="H1086" s="33" t="n">
        <f aca="false">D1086*INDEX(Products!$E$2:$E$49,MATCH(C1086,Products!$A$2:$A$49,0))</f>
        <v>26720</v>
      </c>
      <c r="I1086" s="33" t="n">
        <f aca="false">D1086*INDEX(Products!$D$2:$D$49,MATCH(C1086,Products!$A$2:$A$49,0))*(1+INDEX(Assumptions!$B$16:$B$20,MATCH(B1086,Assumptions!$A$16:$A$20,0)))</f>
        <v>20240.4</v>
      </c>
      <c r="J1086" s="33" t="n">
        <f aca="false">H1086-I1086</f>
        <v>6479.6</v>
      </c>
      <c r="K1086" s="33" t="n">
        <f aca="false">IF(OR(E1086=0,E1086&gt;=7),0,D1086/(7-E1086)*E1086*INDEX(Products!$E$2:$E$49,MATCH(C1086,Products!$A$2:$A$49,0)))</f>
        <v>0</v>
      </c>
    </row>
    <row r="1087" customFormat="false" ht="15" hidden="false" customHeight="false" outlineLevel="0" collapsed="false">
      <c r="A1087" s="36" t="n">
        <v>46188</v>
      </c>
      <c r="B1087" s="24" t="s">
        <v>61</v>
      </c>
      <c r="C1087" s="24" t="s">
        <v>201</v>
      </c>
      <c r="D1087" s="33" t="n">
        <v>164</v>
      </c>
      <c r="E1087" s="24" t="n">
        <v>0</v>
      </c>
      <c r="F1087" s="37" t="n">
        <f aca="false">DATE(YEAR(A1087),MONTH(A1087),1)</f>
        <v>46174</v>
      </c>
      <c r="G1087" s="24" t="str">
        <f aca="false">INDEX(Products!$C$2:$C$49,MATCH(C1087,Products!$A$2:$A$49,0))</f>
        <v>Snacks &amp; Confectionery</v>
      </c>
      <c r="H1087" s="33" t="n">
        <f aca="false">D1087*INDEX(Products!$E$2:$E$49,MATCH(C1087,Products!$A$2:$A$49,0))</f>
        <v>26240</v>
      </c>
      <c r="I1087" s="33" t="n">
        <f aca="false">D1087*INDEX(Products!$D$2:$D$49,MATCH(C1087,Products!$A$2:$A$49,0))*(1+INDEX(Assumptions!$B$16:$B$20,MATCH(B1087,Assumptions!$A$16:$A$20,0)))</f>
        <v>19876.8</v>
      </c>
      <c r="J1087" s="33" t="n">
        <f aca="false">H1087-I1087</f>
        <v>6363.2</v>
      </c>
      <c r="K1087" s="33" t="n">
        <f aca="false">IF(OR(E1087=0,E1087&gt;=7),0,D1087/(7-E1087)*E1087*INDEX(Products!$E$2:$E$49,MATCH(C1087,Products!$A$2:$A$49,0)))</f>
        <v>0</v>
      </c>
    </row>
    <row r="1088" customFormat="false" ht="15" hidden="false" customHeight="false" outlineLevel="0" collapsed="false">
      <c r="A1088" s="36" t="n">
        <v>46195</v>
      </c>
      <c r="B1088" s="24" t="s">
        <v>61</v>
      </c>
      <c r="C1088" s="24" t="s">
        <v>201</v>
      </c>
      <c r="D1088" s="33" t="n">
        <v>179</v>
      </c>
      <c r="E1088" s="24" t="n">
        <v>0</v>
      </c>
      <c r="F1088" s="37" t="n">
        <f aca="false">DATE(YEAR(A1088),MONTH(A1088),1)</f>
        <v>46174</v>
      </c>
      <c r="G1088" s="24" t="str">
        <f aca="false">INDEX(Products!$C$2:$C$49,MATCH(C1088,Products!$A$2:$A$49,0))</f>
        <v>Snacks &amp; Confectionery</v>
      </c>
      <c r="H1088" s="33" t="n">
        <f aca="false">D1088*INDEX(Products!$E$2:$E$49,MATCH(C1088,Products!$A$2:$A$49,0))</f>
        <v>28640</v>
      </c>
      <c r="I1088" s="33" t="n">
        <f aca="false">D1088*INDEX(Products!$D$2:$D$49,MATCH(C1088,Products!$A$2:$A$49,0))*(1+INDEX(Assumptions!$B$16:$B$20,MATCH(B1088,Assumptions!$A$16:$A$20,0)))</f>
        <v>21694.8</v>
      </c>
      <c r="J1088" s="33" t="n">
        <f aca="false">H1088-I1088</f>
        <v>6945.2</v>
      </c>
      <c r="K1088" s="33" t="n">
        <f aca="false">IF(OR(E1088=0,E1088&gt;=7),0,D1088/(7-E1088)*E1088*INDEX(Products!$E$2:$E$49,MATCH(C1088,Products!$A$2:$A$49,0)))</f>
        <v>0</v>
      </c>
    </row>
    <row r="1089" customFormat="false" ht="15" hidden="false" customHeight="false" outlineLevel="0" collapsed="false">
      <c r="A1089" s="36" t="n">
        <v>46202</v>
      </c>
      <c r="B1089" s="24" t="s">
        <v>61</v>
      </c>
      <c r="C1089" s="24" t="s">
        <v>201</v>
      </c>
      <c r="D1089" s="33" t="n">
        <v>184</v>
      </c>
      <c r="E1089" s="24" t="n">
        <v>0</v>
      </c>
      <c r="F1089" s="37" t="n">
        <f aca="false">DATE(YEAR(A1089),MONTH(A1089),1)</f>
        <v>46174</v>
      </c>
      <c r="G1089" s="24" t="str">
        <f aca="false">INDEX(Products!$C$2:$C$49,MATCH(C1089,Products!$A$2:$A$49,0))</f>
        <v>Snacks &amp; Confectionery</v>
      </c>
      <c r="H1089" s="33" t="n">
        <f aca="false">D1089*INDEX(Products!$E$2:$E$49,MATCH(C1089,Products!$A$2:$A$49,0))</f>
        <v>29440</v>
      </c>
      <c r="I1089" s="33" t="n">
        <f aca="false">D1089*INDEX(Products!$D$2:$D$49,MATCH(C1089,Products!$A$2:$A$49,0))*(1+INDEX(Assumptions!$B$16:$B$20,MATCH(B1089,Assumptions!$A$16:$A$20,0)))</f>
        <v>22300.8</v>
      </c>
      <c r="J1089" s="33" t="n">
        <f aca="false">H1089-I1089</f>
        <v>7139.2</v>
      </c>
      <c r="K1089" s="33" t="n">
        <f aca="false">IF(OR(E1089=0,E1089&gt;=7),0,D1089/(7-E1089)*E1089*INDEX(Products!$E$2:$E$49,MATCH(C1089,Products!$A$2:$A$49,0)))</f>
        <v>0</v>
      </c>
    </row>
    <row r="1090" customFormat="false" ht="15" hidden="false" customHeight="false" outlineLevel="0" collapsed="false">
      <c r="A1090" s="36" t="n">
        <v>46209</v>
      </c>
      <c r="B1090" s="24" t="s">
        <v>61</v>
      </c>
      <c r="C1090" s="24" t="s">
        <v>201</v>
      </c>
      <c r="D1090" s="33" t="n">
        <v>152</v>
      </c>
      <c r="E1090" s="24" t="n">
        <v>0</v>
      </c>
      <c r="F1090" s="37" t="n">
        <f aca="false">DATE(YEAR(A1090),MONTH(A1090),1)</f>
        <v>46204</v>
      </c>
      <c r="G1090" s="24" t="str">
        <f aca="false">INDEX(Products!$C$2:$C$49,MATCH(C1090,Products!$A$2:$A$49,0))</f>
        <v>Snacks &amp; Confectionery</v>
      </c>
      <c r="H1090" s="33" t="n">
        <f aca="false">D1090*INDEX(Products!$E$2:$E$49,MATCH(C1090,Products!$A$2:$A$49,0))</f>
        <v>24320</v>
      </c>
      <c r="I1090" s="33" t="n">
        <f aca="false">D1090*INDEX(Products!$D$2:$D$49,MATCH(C1090,Products!$A$2:$A$49,0))*(1+INDEX(Assumptions!$B$16:$B$20,MATCH(B1090,Assumptions!$A$16:$A$20,0)))</f>
        <v>18422.4</v>
      </c>
      <c r="J1090" s="33" t="n">
        <f aca="false">H1090-I1090</f>
        <v>5897.6</v>
      </c>
      <c r="K1090" s="33" t="n">
        <f aca="false">IF(OR(E1090=0,E1090&gt;=7),0,D1090/(7-E1090)*E1090*INDEX(Products!$E$2:$E$49,MATCH(C1090,Products!$A$2:$A$49,0)))</f>
        <v>0</v>
      </c>
    </row>
    <row r="1091" customFormat="false" ht="15" hidden="false" customHeight="false" outlineLevel="0" collapsed="false">
      <c r="A1091" s="36" t="n">
        <v>46216</v>
      </c>
      <c r="B1091" s="24" t="s">
        <v>61</v>
      </c>
      <c r="C1091" s="24" t="s">
        <v>201</v>
      </c>
      <c r="D1091" s="33" t="n">
        <v>162</v>
      </c>
      <c r="E1091" s="24" t="n">
        <v>0</v>
      </c>
      <c r="F1091" s="37" t="n">
        <f aca="false">DATE(YEAR(A1091),MONTH(A1091),1)</f>
        <v>46204</v>
      </c>
      <c r="G1091" s="24" t="str">
        <f aca="false">INDEX(Products!$C$2:$C$49,MATCH(C1091,Products!$A$2:$A$49,0))</f>
        <v>Snacks &amp; Confectionery</v>
      </c>
      <c r="H1091" s="33" t="n">
        <f aca="false">D1091*INDEX(Products!$E$2:$E$49,MATCH(C1091,Products!$A$2:$A$49,0))</f>
        <v>25920</v>
      </c>
      <c r="I1091" s="33" t="n">
        <f aca="false">D1091*INDEX(Products!$D$2:$D$49,MATCH(C1091,Products!$A$2:$A$49,0))*(1+INDEX(Assumptions!$B$16:$B$20,MATCH(B1091,Assumptions!$A$16:$A$20,0)))</f>
        <v>19634.4</v>
      </c>
      <c r="J1091" s="33" t="n">
        <f aca="false">H1091-I1091</f>
        <v>6285.6</v>
      </c>
      <c r="K1091" s="33" t="n">
        <f aca="false">IF(OR(E1091=0,E1091&gt;=7),0,D1091/(7-E1091)*E1091*INDEX(Products!$E$2:$E$49,MATCH(C1091,Products!$A$2:$A$49,0)))</f>
        <v>0</v>
      </c>
    </row>
    <row r="1092" customFormat="false" ht="15" hidden="false" customHeight="false" outlineLevel="0" collapsed="false">
      <c r="A1092" s="36" t="n">
        <v>46223</v>
      </c>
      <c r="B1092" s="24" t="s">
        <v>61</v>
      </c>
      <c r="C1092" s="24" t="s">
        <v>201</v>
      </c>
      <c r="D1092" s="33" t="n">
        <v>167</v>
      </c>
      <c r="E1092" s="24" t="n">
        <v>0</v>
      </c>
      <c r="F1092" s="37" t="n">
        <f aca="false">DATE(YEAR(A1092),MONTH(A1092),1)</f>
        <v>46204</v>
      </c>
      <c r="G1092" s="24" t="str">
        <f aca="false">INDEX(Products!$C$2:$C$49,MATCH(C1092,Products!$A$2:$A$49,0))</f>
        <v>Snacks &amp; Confectionery</v>
      </c>
      <c r="H1092" s="33" t="n">
        <f aca="false">D1092*INDEX(Products!$E$2:$E$49,MATCH(C1092,Products!$A$2:$A$49,0))</f>
        <v>26720</v>
      </c>
      <c r="I1092" s="33" t="n">
        <f aca="false">D1092*INDEX(Products!$D$2:$D$49,MATCH(C1092,Products!$A$2:$A$49,0))*(1+INDEX(Assumptions!$B$16:$B$20,MATCH(B1092,Assumptions!$A$16:$A$20,0)))</f>
        <v>20240.4</v>
      </c>
      <c r="J1092" s="33" t="n">
        <f aca="false">H1092-I1092</f>
        <v>6479.6</v>
      </c>
      <c r="K1092" s="33" t="n">
        <f aca="false">IF(OR(E1092=0,E1092&gt;=7),0,D1092/(7-E1092)*E1092*INDEX(Products!$E$2:$E$49,MATCH(C1092,Products!$A$2:$A$49,0)))</f>
        <v>0</v>
      </c>
    </row>
    <row r="1093" customFormat="false" ht="15" hidden="false" customHeight="false" outlineLevel="0" collapsed="false">
      <c r="A1093" s="36" t="n">
        <v>46230</v>
      </c>
      <c r="B1093" s="24" t="s">
        <v>61</v>
      </c>
      <c r="C1093" s="24" t="s">
        <v>201</v>
      </c>
      <c r="D1093" s="33" t="n">
        <v>157</v>
      </c>
      <c r="E1093" s="24" t="n">
        <v>0</v>
      </c>
      <c r="F1093" s="37" t="n">
        <f aca="false">DATE(YEAR(A1093),MONTH(A1093),1)</f>
        <v>46204</v>
      </c>
      <c r="G1093" s="24" t="str">
        <f aca="false">INDEX(Products!$C$2:$C$49,MATCH(C1093,Products!$A$2:$A$49,0))</f>
        <v>Snacks &amp; Confectionery</v>
      </c>
      <c r="H1093" s="33" t="n">
        <f aca="false">D1093*INDEX(Products!$E$2:$E$49,MATCH(C1093,Products!$A$2:$A$49,0))</f>
        <v>25120</v>
      </c>
      <c r="I1093" s="33" t="n">
        <f aca="false">D1093*INDEX(Products!$D$2:$D$49,MATCH(C1093,Products!$A$2:$A$49,0))*(1+INDEX(Assumptions!$B$16:$B$20,MATCH(B1093,Assumptions!$A$16:$A$20,0)))</f>
        <v>19028.4</v>
      </c>
      <c r="J1093" s="33" t="n">
        <f aca="false">H1093-I1093</f>
        <v>6091.6</v>
      </c>
      <c r="K1093" s="33" t="n">
        <f aca="false">IF(OR(E1093=0,E1093&gt;=7),0,D1093/(7-E1093)*E1093*INDEX(Products!$E$2:$E$49,MATCH(C1093,Products!$A$2:$A$49,0)))</f>
        <v>0</v>
      </c>
    </row>
    <row r="1094" customFormat="false" ht="15" hidden="false" customHeight="false" outlineLevel="0" collapsed="false">
      <c r="A1094" s="36" t="n">
        <v>46237</v>
      </c>
      <c r="B1094" s="24" t="s">
        <v>61</v>
      </c>
      <c r="C1094" s="24" t="s">
        <v>201</v>
      </c>
      <c r="D1094" s="33" t="n">
        <v>147</v>
      </c>
      <c r="E1094" s="24" t="n">
        <v>0</v>
      </c>
      <c r="F1094" s="37" t="n">
        <f aca="false">DATE(YEAR(A1094),MONTH(A1094),1)</f>
        <v>46235</v>
      </c>
      <c r="G1094" s="24" t="str">
        <f aca="false">INDEX(Products!$C$2:$C$49,MATCH(C1094,Products!$A$2:$A$49,0))</f>
        <v>Snacks &amp; Confectionery</v>
      </c>
      <c r="H1094" s="33" t="n">
        <f aca="false">D1094*INDEX(Products!$E$2:$E$49,MATCH(C1094,Products!$A$2:$A$49,0))</f>
        <v>23520</v>
      </c>
      <c r="I1094" s="33" t="n">
        <f aca="false">D1094*INDEX(Products!$D$2:$D$49,MATCH(C1094,Products!$A$2:$A$49,0))*(1+INDEX(Assumptions!$B$16:$B$20,MATCH(B1094,Assumptions!$A$16:$A$20,0)))</f>
        <v>17816.4</v>
      </c>
      <c r="J1094" s="33" t="n">
        <f aca="false">H1094-I1094</f>
        <v>5703.6</v>
      </c>
      <c r="K1094" s="33" t="n">
        <f aca="false">IF(OR(E1094=0,E1094&gt;=7),0,D1094/(7-E1094)*E1094*INDEX(Products!$E$2:$E$49,MATCH(C1094,Products!$A$2:$A$49,0)))</f>
        <v>0</v>
      </c>
    </row>
    <row r="1095" customFormat="false" ht="15" hidden="false" customHeight="false" outlineLevel="0" collapsed="false">
      <c r="A1095" s="36" t="n">
        <v>46244</v>
      </c>
      <c r="B1095" s="24" t="s">
        <v>61</v>
      </c>
      <c r="C1095" s="24" t="s">
        <v>201</v>
      </c>
      <c r="D1095" s="33" t="n">
        <v>148</v>
      </c>
      <c r="E1095" s="24" t="n">
        <v>0</v>
      </c>
      <c r="F1095" s="37" t="n">
        <f aca="false">DATE(YEAR(A1095),MONTH(A1095),1)</f>
        <v>46235</v>
      </c>
      <c r="G1095" s="24" t="str">
        <f aca="false">INDEX(Products!$C$2:$C$49,MATCH(C1095,Products!$A$2:$A$49,0))</f>
        <v>Snacks &amp; Confectionery</v>
      </c>
      <c r="H1095" s="33" t="n">
        <f aca="false">D1095*INDEX(Products!$E$2:$E$49,MATCH(C1095,Products!$A$2:$A$49,0))</f>
        <v>23680</v>
      </c>
      <c r="I1095" s="33" t="n">
        <f aca="false">D1095*INDEX(Products!$D$2:$D$49,MATCH(C1095,Products!$A$2:$A$49,0))*(1+INDEX(Assumptions!$B$16:$B$20,MATCH(B1095,Assumptions!$A$16:$A$20,0)))</f>
        <v>17937.6</v>
      </c>
      <c r="J1095" s="33" t="n">
        <f aca="false">H1095-I1095</f>
        <v>5742.4</v>
      </c>
      <c r="K1095" s="33" t="n">
        <f aca="false">IF(OR(E1095=0,E1095&gt;=7),0,D1095/(7-E1095)*E1095*INDEX(Products!$E$2:$E$49,MATCH(C1095,Products!$A$2:$A$49,0)))</f>
        <v>0</v>
      </c>
    </row>
    <row r="1096" customFormat="false" ht="15" hidden="false" customHeight="false" outlineLevel="0" collapsed="false">
      <c r="A1096" s="36" t="n">
        <v>46251</v>
      </c>
      <c r="B1096" s="24" t="s">
        <v>61</v>
      </c>
      <c r="C1096" s="24" t="s">
        <v>201</v>
      </c>
      <c r="D1096" s="33" t="n">
        <v>146</v>
      </c>
      <c r="E1096" s="24" t="n">
        <v>0</v>
      </c>
      <c r="F1096" s="37" t="n">
        <f aca="false">DATE(YEAR(A1096),MONTH(A1096),1)</f>
        <v>46235</v>
      </c>
      <c r="G1096" s="24" t="str">
        <f aca="false">INDEX(Products!$C$2:$C$49,MATCH(C1096,Products!$A$2:$A$49,0))</f>
        <v>Snacks &amp; Confectionery</v>
      </c>
      <c r="H1096" s="33" t="n">
        <f aca="false">D1096*INDEX(Products!$E$2:$E$49,MATCH(C1096,Products!$A$2:$A$49,0))</f>
        <v>23360</v>
      </c>
      <c r="I1096" s="33" t="n">
        <f aca="false">D1096*INDEX(Products!$D$2:$D$49,MATCH(C1096,Products!$A$2:$A$49,0))*(1+INDEX(Assumptions!$B$16:$B$20,MATCH(B1096,Assumptions!$A$16:$A$20,0)))</f>
        <v>17695.2</v>
      </c>
      <c r="J1096" s="33" t="n">
        <f aca="false">H1096-I1096</f>
        <v>5664.8</v>
      </c>
      <c r="K1096" s="33" t="n">
        <f aca="false">IF(OR(E1096=0,E1096&gt;=7),0,D1096/(7-E1096)*E1096*INDEX(Products!$E$2:$E$49,MATCH(C1096,Products!$A$2:$A$49,0)))</f>
        <v>0</v>
      </c>
    </row>
    <row r="1097" customFormat="false" ht="15" hidden="false" customHeight="false" outlineLevel="0" collapsed="false">
      <c r="A1097" s="36" t="n">
        <v>46258</v>
      </c>
      <c r="B1097" s="24" t="s">
        <v>61</v>
      </c>
      <c r="C1097" s="24" t="s">
        <v>201</v>
      </c>
      <c r="D1097" s="33" t="n">
        <v>164</v>
      </c>
      <c r="E1097" s="24" t="n">
        <v>0</v>
      </c>
      <c r="F1097" s="37" t="n">
        <f aca="false">DATE(YEAR(A1097),MONTH(A1097),1)</f>
        <v>46235</v>
      </c>
      <c r="G1097" s="24" t="str">
        <f aca="false">INDEX(Products!$C$2:$C$49,MATCH(C1097,Products!$A$2:$A$49,0))</f>
        <v>Snacks &amp; Confectionery</v>
      </c>
      <c r="H1097" s="33" t="n">
        <f aca="false">D1097*INDEX(Products!$E$2:$E$49,MATCH(C1097,Products!$A$2:$A$49,0))</f>
        <v>26240</v>
      </c>
      <c r="I1097" s="33" t="n">
        <f aca="false">D1097*INDEX(Products!$D$2:$D$49,MATCH(C1097,Products!$A$2:$A$49,0))*(1+INDEX(Assumptions!$B$16:$B$20,MATCH(B1097,Assumptions!$A$16:$A$20,0)))</f>
        <v>19876.8</v>
      </c>
      <c r="J1097" s="33" t="n">
        <f aca="false">H1097-I1097</f>
        <v>6363.2</v>
      </c>
      <c r="K1097" s="33" t="n">
        <f aca="false">IF(OR(E1097=0,E1097&gt;=7),0,D1097/(7-E1097)*E1097*INDEX(Products!$E$2:$E$49,MATCH(C1097,Products!$A$2:$A$49,0)))</f>
        <v>0</v>
      </c>
    </row>
    <row r="1098" customFormat="false" ht="15" hidden="false" customHeight="false" outlineLevel="0" collapsed="false">
      <c r="A1098" s="36" t="n">
        <v>46265</v>
      </c>
      <c r="B1098" s="24" t="s">
        <v>61</v>
      </c>
      <c r="C1098" s="24" t="s">
        <v>201</v>
      </c>
      <c r="D1098" s="33" t="n">
        <v>170</v>
      </c>
      <c r="E1098" s="24" t="n">
        <v>0</v>
      </c>
      <c r="F1098" s="37" t="n">
        <f aca="false">DATE(YEAR(A1098),MONTH(A1098),1)</f>
        <v>46235</v>
      </c>
      <c r="G1098" s="24" t="str">
        <f aca="false">INDEX(Products!$C$2:$C$49,MATCH(C1098,Products!$A$2:$A$49,0))</f>
        <v>Snacks &amp; Confectionery</v>
      </c>
      <c r="H1098" s="33" t="n">
        <f aca="false">D1098*INDEX(Products!$E$2:$E$49,MATCH(C1098,Products!$A$2:$A$49,0))</f>
        <v>27200</v>
      </c>
      <c r="I1098" s="33" t="n">
        <f aca="false">D1098*INDEX(Products!$D$2:$D$49,MATCH(C1098,Products!$A$2:$A$49,0))*(1+INDEX(Assumptions!$B$16:$B$20,MATCH(B1098,Assumptions!$A$16:$A$20,0)))</f>
        <v>20604</v>
      </c>
      <c r="J1098" s="33" t="n">
        <f aca="false">H1098-I1098</f>
        <v>6596</v>
      </c>
      <c r="K1098" s="33" t="n">
        <f aca="false">IF(OR(E1098=0,E1098&gt;=7),0,D1098/(7-E1098)*E1098*INDEX(Products!$E$2:$E$49,MATCH(C1098,Products!$A$2:$A$49,0)))</f>
        <v>0</v>
      </c>
    </row>
    <row r="1099" customFormat="false" ht="15" hidden="false" customHeight="false" outlineLevel="0" collapsed="false">
      <c r="A1099" s="36" t="n">
        <v>46272</v>
      </c>
      <c r="B1099" s="24" t="s">
        <v>61</v>
      </c>
      <c r="C1099" s="24" t="s">
        <v>201</v>
      </c>
      <c r="D1099" s="33" t="n">
        <v>180</v>
      </c>
      <c r="E1099" s="24" t="n">
        <v>0</v>
      </c>
      <c r="F1099" s="37" t="n">
        <f aca="false">DATE(YEAR(A1099),MONTH(A1099),1)</f>
        <v>46266</v>
      </c>
      <c r="G1099" s="24" t="str">
        <f aca="false">INDEX(Products!$C$2:$C$49,MATCH(C1099,Products!$A$2:$A$49,0))</f>
        <v>Snacks &amp; Confectionery</v>
      </c>
      <c r="H1099" s="33" t="n">
        <f aca="false">D1099*INDEX(Products!$E$2:$E$49,MATCH(C1099,Products!$A$2:$A$49,0))</f>
        <v>28800</v>
      </c>
      <c r="I1099" s="33" t="n">
        <f aca="false">D1099*INDEX(Products!$D$2:$D$49,MATCH(C1099,Products!$A$2:$A$49,0))*(1+INDEX(Assumptions!$B$16:$B$20,MATCH(B1099,Assumptions!$A$16:$A$20,0)))</f>
        <v>21816</v>
      </c>
      <c r="J1099" s="33" t="n">
        <f aca="false">H1099-I1099</f>
        <v>6984</v>
      </c>
      <c r="K1099" s="33" t="n">
        <f aca="false">IF(OR(E1099=0,E1099&gt;=7),0,D1099/(7-E1099)*E1099*INDEX(Products!$E$2:$E$49,MATCH(C1099,Products!$A$2:$A$49,0)))</f>
        <v>0</v>
      </c>
    </row>
    <row r="1100" customFormat="false" ht="15" hidden="false" customHeight="false" outlineLevel="0" collapsed="false">
      <c r="A1100" s="36" t="n">
        <v>46279</v>
      </c>
      <c r="B1100" s="24" t="s">
        <v>61</v>
      </c>
      <c r="C1100" s="24" t="s">
        <v>201</v>
      </c>
      <c r="D1100" s="33" t="n">
        <v>155</v>
      </c>
      <c r="E1100" s="24" t="n">
        <v>0</v>
      </c>
      <c r="F1100" s="37" t="n">
        <f aca="false">DATE(YEAR(A1100),MONTH(A1100),1)</f>
        <v>46266</v>
      </c>
      <c r="G1100" s="24" t="str">
        <f aca="false">INDEX(Products!$C$2:$C$49,MATCH(C1100,Products!$A$2:$A$49,0))</f>
        <v>Snacks &amp; Confectionery</v>
      </c>
      <c r="H1100" s="33" t="n">
        <f aca="false">D1100*INDEX(Products!$E$2:$E$49,MATCH(C1100,Products!$A$2:$A$49,0))</f>
        <v>24800</v>
      </c>
      <c r="I1100" s="33" t="n">
        <f aca="false">D1100*INDEX(Products!$D$2:$D$49,MATCH(C1100,Products!$A$2:$A$49,0))*(1+INDEX(Assumptions!$B$16:$B$20,MATCH(B1100,Assumptions!$A$16:$A$20,0)))</f>
        <v>18786</v>
      </c>
      <c r="J1100" s="33" t="n">
        <f aca="false">H1100-I1100</f>
        <v>6014</v>
      </c>
      <c r="K1100" s="33" t="n">
        <f aca="false">IF(OR(E1100=0,E1100&gt;=7),0,D1100/(7-E1100)*E1100*INDEX(Products!$E$2:$E$49,MATCH(C1100,Products!$A$2:$A$49,0)))</f>
        <v>0</v>
      </c>
    </row>
    <row r="1101" customFormat="false" ht="15" hidden="false" customHeight="false" outlineLevel="0" collapsed="false">
      <c r="A1101" s="36" t="n">
        <v>46286</v>
      </c>
      <c r="B1101" s="24" t="s">
        <v>61</v>
      </c>
      <c r="C1101" s="24" t="s">
        <v>201</v>
      </c>
      <c r="D1101" s="33" t="n">
        <v>183</v>
      </c>
      <c r="E1101" s="24" t="n">
        <v>0</v>
      </c>
      <c r="F1101" s="37" t="n">
        <f aca="false">DATE(YEAR(A1101),MONTH(A1101),1)</f>
        <v>46266</v>
      </c>
      <c r="G1101" s="24" t="str">
        <f aca="false">INDEX(Products!$C$2:$C$49,MATCH(C1101,Products!$A$2:$A$49,0))</f>
        <v>Snacks &amp; Confectionery</v>
      </c>
      <c r="H1101" s="33" t="n">
        <f aca="false">D1101*INDEX(Products!$E$2:$E$49,MATCH(C1101,Products!$A$2:$A$49,0))</f>
        <v>29280</v>
      </c>
      <c r="I1101" s="33" t="n">
        <f aca="false">D1101*INDEX(Products!$D$2:$D$49,MATCH(C1101,Products!$A$2:$A$49,0))*(1+INDEX(Assumptions!$B$16:$B$20,MATCH(B1101,Assumptions!$A$16:$A$20,0)))</f>
        <v>22179.6</v>
      </c>
      <c r="J1101" s="33" t="n">
        <f aca="false">H1101-I1101</f>
        <v>7100.4</v>
      </c>
      <c r="K1101" s="33" t="n">
        <f aca="false">IF(OR(E1101=0,E1101&gt;=7),0,D1101/(7-E1101)*E1101*INDEX(Products!$E$2:$E$49,MATCH(C1101,Products!$A$2:$A$49,0)))</f>
        <v>0</v>
      </c>
    </row>
    <row r="1102" customFormat="false" ht="15" hidden="false" customHeight="false" outlineLevel="0" collapsed="false">
      <c r="A1102" s="36" t="n">
        <v>46118</v>
      </c>
      <c r="B1102" s="24" t="s">
        <v>61</v>
      </c>
      <c r="C1102" s="24" t="s">
        <v>203</v>
      </c>
      <c r="D1102" s="33" t="n">
        <v>91</v>
      </c>
      <c r="E1102" s="24" t="n">
        <v>0</v>
      </c>
      <c r="F1102" s="37" t="n">
        <f aca="false">DATE(YEAR(A1102),MONTH(A1102),1)</f>
        <v>46113</v>
      </c>
      <c r="G1102" s="24" t="str">
        <f aca="false">INDEX(Products!$C$2:$C$49,MATCH(C1102,Products!$A$2:$A$49,0))</f>
        <v>Snacks &amp; Confectionery</v>
      </c>
      <c r="H1102" s="33" t="n">
        <f aca="false">D1102*INDEX(Products!$E$2:$E$49,MATCH(C1102,Products!$A$2:$A$49,0))</f>
        <v>5915</v>
      </c>
      <c r="I1102" s="33" t="n">
        <f aca="false">D1102*INDEX(Products!$D$2:$D$49,MATCH(C1102,Products!$A$2:$A$49,0))*(1+INDEX(Assumptions!$B$16:$B$20,MATCH(B1102,Assumptions!$A$16:$A$20,0)))</f>
        <v>4319.77</v>
      </c>
      <c r="J1102" s="33" t="n">
        <f aca="false">H1102-I1102</f>
        <v>1595.23</v>
      </c>
      <c r="K1102" s="33" t="n">
        <f aca="false">IF(OR(E1102=0,E1102&gt;=7),0,D1102/(7-E1102)*E1102*INDEX(Products!$E$2:$E$49,MATCH(C1102,Products!$A$2:$A$49,0)))</f>
        <v>0</v>
      </c>
    </row>
    <row r="1103" customFormat="false" ht="15" hidden="false" customHeight="false" outlineLevel="0" collapsed="false">
      <c r="A1103" s="36" t="n">
        <v>46125</v>
      </c>
      <c r="B1103" s="24" t="s">
        <v>61</v>
      </c>
      <c r="C1103" s="24" t="s">
        <v>203</v>
      </c>
      <c r="D1103" s="33" t="n">
        <v>82</v>
      </c>
      <c r="E1103" s="24" t="n">
        <v>0</v>
      </c>
      <c r="F1103" s="37" t="n">
        <f aca="false">DATE(YEAR(A1103),MONTH(A1103),1)</f>
        <v>46113</v>
      </c>
      <c r="G1103" s="24" t="str">
        <f aca="false">INDEX(Products!$C$2:$C$49,MATCH(C1103,Products!$A$2:$A$49,0))</f>
        <v>Snacks &amp; Confectionery</v>
      </c>
      <c r="H1103" s="33" t="n">
        <f aca="false">D1103*INDEX(Products!$E$2:$E$49,MATCH(C1103,Products!$A$2:$A$49,0))</f>
        <v>5330</v>
      </c>
      <c r="I1103" s="33" t="n">
        <f aca="false">D1103*INDEX(Products!$D$2:$D$49,MATCH(C1103,Products!$A$2:$A$49,0))*(1+INDEX(Assumptions!$B$16:$B$20,MATCH(B1103,Assumptions!$A$16:$A$20,0)))</f>
        <v>3892.54</v>
      </c>
      <c r="J1103" s="33" t="n">
        <f aca="false">H1103-I1103</f>
        <v>1437.46</v>
      </c>
      <c r="K1103" s="33" t="n">
        <f aca="false">IF(OR(E1103=0,E1103&gt;=7),0,D1103/(7-E1103)*E1103*INDEX(Products!$E$2:$E$49,MATCH(C1103,Products!$A$2:$A$49,0)))</f>
        <v>0</v>
      </c>
    </row>
    <row r="1104" customFormat="false" ht="15" hidden="false" customHeight="false" outlineLevel="0" collapsed="false">
      <c r="A1104" s="36" t="n">
        <v>46132</v>
      </c>
      <c r="B1104" s="24" t="s">
        <v>61</v>
      </c>
      <c r="C1104" s="24" t="s">
        <v>203</v>
      </c>
      <c r="D1104" s="33" t="n">
        <v>78</v>
      </c>
      <c r="E1104" s="24" t="n">
        <v>0</v>
      </c>
      <c r="F1104" s="37" t="n">
        <f aca="false">DATE(YEAR(A1104),MONTH(A1104),1)</f>
        <v>46113</v>
      </c>
      <c r="G1104" s="24" t="str">
        <f aca="false">INDEX(Products!$C$2:$C$49,MATCH(C1104,Products!$A$2:$A$49,0))</f>
        <v>Snacks &amp; Confectionery</v>
      </c>
      <c r="H1104" s="33" t="n">
        <f aca="false">D1104*INDEX(Products!$E$2:$E$49,MATCH(C1104,Products!$A$2:$A$49,0))</f>
        <v>5070</v>
      </c>
      <c r="I1104" s="33" t="n">
        <f aca="false">D1104*INDEX(Products!$D$2:$D$49,MATCH(C1104,Products!$A$2:$A$49,0))*(1+INDEX(Assumptions!$B$16:$B$20,MATCH(B1104,Assumptions!$A$16:$A$20,0)))</f>
        <v>3702.66</v>
      </c>
      <c r="J1104" s="33" t="n">
        <f aca="false">H1104-I1104</f>
        <v>1367.34</v>
      </c>
      <c r="K1104" s="33" t="n">
        <f aca="false">IF(OR(E1104=0,E1104&gt;=7),0,D1104/(7-E1104)*E1104*INDEX(Products!$E$2:$E$49,MATCH(C1104,Products!$A$2:$A$49,0)))</f>
        <v>0</v>
      </c>
    </row>
    <row r="1105" customFormat="false" ht="15" hidden="false" customHeight="false" outlineLevel="0" collapsed="false">
      <c r="A1105" s="36" t="n">
        <v>46139</v>
      </c>
      <c r="B1105" s="24" t="s">
        <v>61</v>
      </c>
      <c r="C1105" s="24" t="s">
        <v>203</v>
      </c>
      <c r="D1105" s="33" t="n">
        <v>74</v>
      </c>
      <c r="E1105" s="24" t="n">
        <v>0</v>
      </c>
      <c r="F1105" s="37" t="n">
        <f aca="false">DATE(YEAR(A1105),MONTH(A1105),1)</f>
        <v>46113</v>
      </c>
      <c r="G1105" s="24" t="str">
        <f aca="false">INDEX(Products!$C$2:$C$49,MATCH(C1105,Products!$A$2:$A$49,0))</f>
        <v>Snacks &amp; Confectionery</v>
      </c>
      <c r="H1105" s="33" t="n">
        <f aca="false">D1105*INDEX(Products!$E$2:$E$49,MATCH(C1105,Products!$A$2:$A$49,0))</f>
        <v>4810</v>
      </c>
      <c r="I1105" s="33" t="n">
        <f aca="false">D1105*INDEX(Products!$D$2:$D$49,MATCH(C1105,Products!$A$2:$A$49,0))*(1+INDEX(Assumptions!$B$16:$B$20,MATCH(B1105,Assumptions!$A$16:$A$20,0)))</f>
        <v>3512.78</v>
      </c>
      <c r="J1105" s="33" t="n">
        <f aca="false">H1105-I1105</f>
        <v>1297.22</v>
      </c>
      <c r="K1105" s="33" t="n">
        <f aca="false">IF(OR(E1105=0,E1105&gt;=7),0,D1105/(7-E1105)*E1105*INDEX(Products!$E$2:$E$49,MATCH(C1105,Products!$A$2:$A$49,0)))</f>
        <v>0</v>
      </c>
    </row>
    <row r="1106" customFormat="false" ht="15" hidden="false" customHeight="false" outlineLevel="0" collapsed="false">
      <c r="A1106" s="36" t="n">
        <v>46146</v>
      </c>
      <c r="B1106" s="24" t="s">
        <v>61</v>
      </c>
      <c r="C1106" s="24" t="s">
        <v>203</v>
      </c>
      <c r="D1106" s="33" t="n">
        <v>87</v>
      </c>
      <c r="E1106" s="24" t="n">
        <v>0</v>
      </c>
      <c r="F1106" s="37" t="n">
        <f aca="false">DATE(YEAR(A1106),MONTH(A1106),1)</f>
        <v>46143</v>
      </c>
      <c r="G1106" s="24" t="str">
        <f aca="false">INDEX(Products!$C$2:$C$49,MATCH(C1106,Products!$A$2:$A$49,0))</f>
        <v>Snacks &amp; Confectionery</v>
      </c>
      <c r="H1106" s="33" t="n">
        <f aca="false">D1106*INDEX(Products!$E$2:$E$49,MATCH(C1106,Products!$A$2:$A$49,0))</f>
        <v>5655</v>
      </c>
      <c r="I1106" s="33" t="n">
        <f aca="false">D1106*INDEX(Products!$D$2:$D$49,MATCH(C1106,Products!$A$2:$A$49,0))*(1+INDEX(Assumptions!$B$16:$B$20,MATCH(B1106,Assumptions!$A$16:$A$20,0)))</f>
        <v>4129.89</v>
      </c>
      <c r="J1106" s="33" t="n">
        <f aca="false">H1106-I1106</f>
        <v>1525.11</v>
      </c>
      <c r="K1106" s="33" t="n">
        <f aca="false">IF(OR(E1106=0,E1106&gt;=7),0,D1106/(7-E1106)*E1106*INDEX(Products!$E$2:$E$49,MATCH(C1106,Products!$A$2:$A$49,0)))</f>
        <v>0</v>
      </c>
    </row>
    <row r="1107" customFormat="false" ht="15" hidden="false" customHeight="false" outlineLevel="0" collapsed="false">
      <c r="A1107" s="36" t="n">
        <v>46153</v>
      </c>
      <c r="B1107" s="24" t="s">
        <v>61</v>
      </c>
      <c r="C1107" s="24" t="s">
        <v>203</v>
      </c>
      <c r="D1107" s="33" t="n">
        <v>80</v>
      </c>
      <c r="E1107" s="24" t="n">
        <v>0</v>
      </c>
      <c r="F1107" s="37" t="n">
        <f aca="false">DATE(YEAR(A1107),MONTH(A1107),1)</f>
        <v>46143</v>
      </c>
      <c r="G1107" s="24" t="str">
        <f aca="false">INDEX(Products!$C$2:$C$49,MATCH(C1107,Products!$A$2:$A$49,0))</f>
        <v>Snacks &amp; Confectionery</v>
      </c>
      <c r="H1107" s="33" t="n">
        <f aca="false">D1107*INDEX(Products!$E$2:$E$49,MATCH(C1107,Products!$A$2:$A$49,0))</f>
        <v>5200</v>
      </c>
      <c r="I1107" s="33" t="n">
        <f aca="false">D1107*INDEX(Products!$D$2:$D$49,MATCH(C1107,Products!$A$2:$A$49,0))*(1+INDEX(Assumptions!$B$16:$B$20,MATCH(B1107,Assumptions!$A$16:$A$20,0)))</f>
        <v>3797.6</v>
      </c>
      <c r="J1107" s="33" t="n">
        <f aca="false">H1107-I1107</f>
        <v>1402.4</v>
      </c>
      <c r="K1107" s="33" t="n">
        <f aca="false">IF(OR(E1107=0,E1107&gt;=7),0,D1107/(7-E1107)*E1107*INDEX(Products!$E$2:$E$49,MATCH(C1107,Products!$A$2:$A$49,0)))</f>
        <v>0</v>
      </c>
    </row>
    <row r="1108" customFormat="false" ht="15" hidden="false" customHeight="false" outlineLevel="0" collapsed="false">
      <c r="A1108" s="36" t="n">
        <v>46160</v>
      </c>
      <c r="B1108" s="24" t="s">
        <v>61</v>
      </c>
      <c r="C1108" s="24" t="s">
        <v>203</v>
      </c>
      <c r="D1108" s="33" t="n">
        <v>68</v>
      </c>
      <c r="E1108" s="24" t="n">
        <v>0</v>
      </c>
      <c r="F1108" s="37" t="n">
        <f aca="false">DATE(YEAR(A1108),MONTH(A1108),1)</f>
        <v>46143</v>
      </c>
      <c r="G1108" s="24" t="str">
        <f aca="false">INDEX(Products!$C$2:$C$49,MATCH(C1108,Products!$A$2:$A$49,0))</f>
        <v>Snacks &amp; Confectionery</v>
      </c>
      <c r="H1108" s="33" t="n">
        <f aca="false">D1108*INDEX(Products!$E$2:$E$49,MATCH(C1108,Products!$A$2:$A$49,0))</f>
        <v>4420</v>
      </c>
      <c r="I1108" s="33" t="n">
        <f aca="false">D1108*INDEX(Products!$D$2:$D$49,MATCH(C1108,Products!$A$2:$A$49,0))*(1+INDEX(Assumptions!$B$16:$B$20,MATCH(B1108,Assumptions!$A$16:$A$20,0)))</f>
        <v>3227.96</v>
      </c>
      <c r="J1108" s="33" t="n">
        <f aca="false">H1108-I1108</f>
        <v>1192.04</v>
      </c>
      <c r="K1108" s="33" t="n">
        <f aca="false">IF(OR(E1108=0,E1108&gt;=7),0,D1108/(7-E1108)*E1108*INDEX(Products!$E$2:$E$49,MATCH(C1108,Products!$A$2:$A$49,0)))</f>
        <v>0</v>
      </c>
    </row>
    <row r="1109" customFormat="false" ht="15" hidden="false" customHeight="false" outlineLevel="0" collapsed="false">
      <c r="A1109" s="36" t="n">
        <v>46167</v>
      </c>
      <c r="B1109" s="24" t="s">
        <v>61</v>
      </c>
      <c r="C1109" s="24" t="s">
        <v>203</v>
      </c>
      <c r="D1109" s="33" t="n">
        <v>109</v>
      </c>
      <c r="E1109" s="24" t="n">
        <v>0</v>
      </c>
      <c r="F1109" s="37" t="n">
        <f aca="false">DATE(YEAR(A1109),MONTH(A1109),1)</f>
        <v>46143</v>
      </c>
      <c r="G1109" s="24" t="str">
        <f aca="false">INDEX(Products!$C$2:$C$49,MATCH(C1109,Products!$A$2:$A$49,0))</f>
        <v>Snacks &amp; Confectionery</v>
      </c>
      <c r="H1109" s="33" t="n">
        <f aca="false">D1109*INDEX(Products!$E$2:$E$49,MATCH(C1109,Products!$A$2:$A$49,0))</f>
        <v>7085</v>
      </c>
      <c r="I1109" s="33" t="n">
        <f aca="false">D1109*INDEX(Products!$D$2:$D$49,MATCH(C1109,Products!$A$2:$A$49,0))*(1+INDEX(Assumptions!$B$16:$B$20,MATCH(B1109,Assumptions!$A$16:$A$20,0)))</f>
        <v>5174.23</v>
      </c>
      <c r="J1109" s="33" t="n">
        <f aca="false">H1109-I1109</f>
        <v>1910.77</v>
      </c>
      <c r="K1109" s="33" t="n">
        <f aca="false">IF(OR(E1109=0,E1109&gt;=7),0,D1109/(7-E1109)*E1109*INDEX(Products!$E$2:$E$49,MATCH(C1109,Products!$A$2:$A$49,0)))</f>
        <v>0</v>
      </c>
    </row>
    <row r="1110" customFormat="false" ht="15" hidden="false" customHeight="false" outlineLevel="0" collapsed="false">
      <c r="A1110" s="36" t="n">
        <v>46174</v>
      </c>
      <c r="B1110" s="24" t="s">
        <v>61</v>
      </c>
      <c r="C1110" s="24" t="s">
        <v>203</v>
      </c>
      <c r="D1110" s="33" t="n">
        <v>90</v>
      </c>
      <c r="E1110" s="24" t="n">
        <v>0</v>
      </c>
      <c r="F1110" s="37" t="n">
        <f aca="false">DATE(YEAR(A1110),MONTH(A1110),1)</f>
        <v>46174</v>
      </c>
      <c r="G1110" s="24" t="str">
        <f aca="false">INDEX(Products!$C$2:$C$49,MATCH(C1110,Products!$A$2:$A$49,0))</f>
        <v>Snacks &amp; Confectionery</v>
      </c>
      <c r="H1110" s="33" t="n">
        <f aca="false">D1110*INDEX(Products!$E$2:$E$49,MATCH(C1110,Products!$A$2:$A$49,0))</f>
        <v>5850</v>
      </c>
      <c r="I1110" s="33" t="n">
        <f aca="false">D1110*INDEX(Products!$D$2:$D$49,MATCH(C1110,Products!$A$2:$A$49,0))*(1+INDEX(Assumptions!$B$16:$B$20,MATCH(B1110,Assumptions!$A$16:$A$20,0)))</f>
        <v>4272.3</v>
      </c>
      <c r="J1110" s="33" t="n">
        <f aca="false">H1110-I1110</f>
        <v>1577.7</v>
      </c>
      <c r="K1110" s="33" t="n">
        <f aca="false">IF(OR(E1110=0,E1110&gt;=7),0,D1110/(7-E1110)*E1110*INDEX(Products!$E$2:$E$49,MATCH(C1110,Products!$A$2:$A$49,0)))</f>
        <v>0</v>
      </c>
    </row>
    <row r="1111" customFormat="false" ht="15" hidden="false" customHeight="false" outlineLevel="0" collapsed="false">
      <c r="A1111" s="36" t="n">
        <v>46181</v>
      </c>
      <c r="B1111" s="24" t="s">
        <v>61</v>
      </c>
      <c r="C1111" s="24" t="s">
        <v>203</v>
      </c>
      <c r="D1111" s="33" t="n">
        <v>89</v>
      </c>
      <c r="E1111" s="24" t="n">
        <v>0</v>
      </c>
      <c r="F1111" s="37" t="n">
        <f aca="false">DATE(YEAR(A1111),MONTH(A1111),1)</f>
        <v>46174</v>
      </c>
      <c r="G1111" s="24" t="str">
        <f aca="false">INDEX(Products!$C$2:$C$49,MATCH(C1111,Products!$A$2:$A$49,0))</f>
        <v>Snacks &amp; Confectionery</v>
      </c>
      <c r="H1111" s="33" t="n">
        <f aca="false">D1111*INDEX(Products!$E$2:$E$49,MATCH(C1111,Products!$A$2:$A$49,0))</f>
        <v>5785</v>
      </c>
      <c r="I1111" s="33" t="n">
        <f aca="false">D1111*INDEX(Products!$D$2:$D$49,MATCH(C1111,Products!$A$2:$A$49,0))*(1+INDEX(Assumptions!$B$16:$B$20,MATCH(B1111,Assumptions!$A$16:$A$20,0)))</f>
        <v>4224.83</v>
      </c>
      <c r="J1111" s="33" t="n">
        <f aca="false">H1111-I1111</f>
        <v>1560.17</v>
      </c>
      <c r="K1111" s="33" t="n">
        <f aca="false">IF(OR(E1111=0,E1111&gt;=7),0,D1111/(7-E1111)*E1111*INDEX(Products!$E$2:$E$49,MATCH(C1111,Products!$A$2:$A$49,0)))</f>
        <v>0</v>
      </c>
    </row>
    <row r="1112" customFormat="false" ht="15" hidden="false" customHeight="false" outlineLevel="0" collapsed="false">
      <c r="A1112" s="36" t="n">
        <v>46188</v>
      </c>
      <c r="B1112" s="24" t="s">
        <v>61</v>
      </c>
      <c r="C1112" s="24" t="s">
        <v>203</v>
      </c>
      <c r="D1112" s="33" t="n">
        <v>71</v>
      </c>
      <c r="E1112" s="24" t="n">
        <v>0</v>
      </c>
      <c r="F1112" s="37" t="n">
        <f aca="false">DATE(YEAR(A1112),MONTH(A1112),1)</f>
        <v>46174</v>
      </c>
      <c r="G1112" s="24" t="str">
        <f aca="false">INDEX(Products!$C$2:$C$49,MATCH(C1112,Products!$A$2:$A$49,0))</f>
        <v>Snacks &amp; Confectionery</v>
      </c>
      <c r="H1112" s="33" t="n">
        <f aca="false">D1112*INDEX(Products!$E$2:$E$49,MATCH(C1112,Products!$A$2:$A$49,0))</f>
        <v>4615</v>
      </c>
      <c r="I1112" s="33" t="n">
        <f aca="false">D1112*INDEX(Products!$D$2:$D$49,MATCH(C1112,Products!$A$2:$A$49,0))*(1+INDEX(Assumptions!$B$16:$B$20,MATCH(B1112,Assumptions!$A$16:$A$20,0)))</f>
        <v>3370.37</v>
      </c>
      <c r="J1112" s="33" t="n">
        <f aca="false">H1112-I1112</f>
        <v>1244.63</v>
      </c>
      <c r="K1112" s="33" t="n">
        <f aca="false">IF(OR(E1112=0,E1112&gt;=7),0,D1112/(7-E1112)*E1112*INDEX(Products!$E$2:$E$49,MATCH(C1112,Products!$A$2:$A$49,0)))</f>
        <v>0</v>
      </c>
    </row>
    <row r="1113" customFormat="false" ht="15" hidden="false" customHeight="false" outlineLevel="0" collapsed="false">
      <c r="A1113" s="36" t="n">
        <v>46195</v>
      </c>
      <c r="B1113" s="24" t="s">
        <v>61</v>
      </c>
      <c r="C1113" s="24" t="s">
        <v>203</v>
      </c>
      <c r="D1113" s="33" t="n">
        <v>77</v>
      </c>
      <c r="E1113" s="24" t="n">
        <v>0</v>
      </c>
      <c r="F1113" s="37" t="n">
        <f aca="false">DATE(YEAR(A1113),MONTH(A1113),1)</f>
        <v>46174</v>
      </c>
      <c r="G1113" s="24" t="str">
        <f aca="false">INDEX(Products!$C$2:$C$49,MATCH(C1113,Products!$A$2:$A$49,0))</f>
        <v>Snacks &amp; Confectionery</v>
      </c>
      <c r="H1113" s="33" t="n">
        <f aca="false">D1113*INDEX(Products!$E$2:$E$49,MATCH(C1113,Products!$A$2:$A$49,0))</f>
        <v>5005</v>
      </c>
      <c r="I1113" s="33" t="n">
        <f aca="false">D1113*INDEX(Products!$D$2:$D$49,MATCH(C1113,Products!$A$2:$A$49,0))*(1+INDEX(Assumptions!$B$16:$B$20,MATCH(B1113,Assumptions!$A$16:$A$20,0)))</f>
        <v>3655.19</v>
      </c>
      <c r="J1113" s="33" t="n">
        <f aca="false">H1113-I1113</f>
        <v>1349.81</v>
      </c>
      <c r="K1113" s="33" t="n">
        <f aca="false">IF(OR(E1113=0,E1113&gt;=7),0,D1113/(7-E1113)*E1113*INDEX(Products!$E$2:$E$49,MATCH(C1113,Products!$A$2:$A$49,0)))</f>
        <v>0</v>
      </c>
    </row>
    <row r="1114" customFormat="false" ht="15" hidden="false" customHeight="false" outlineLevel="0" collapsed="false">
      <c r="A1114" s="36" t="n">
        <v>46202</v>
      </c>
      <c r="B1114" s="24" t="s">
        <v>61</v>
      </c>
      <c r="C1114" s="24" t="s">
        <v>203</v>
      </c>
      <c r="D1114" s="33" t="n">
        <v>92</v>
      </c>
      <c r="E1114" s="24" t="n">
        <v>0</v>
      </c>
      <c r="F1114" s="37" t="n">
        <f aca="false">DATE(YEAR(A1114),MONTH(A1114),1)</f>
        <v>46174</v>
      </c>
      <c r="G1114" s="24" t="str">
        <f aca="false">INDEX(Products!$C$2:$C$49,MATCH(C1114,Products!$A$2:$A$49,0))</f>
        <v>Snacks &amp; Confectionery</v>
      </c>
      <c r="H1114" s="33" t="n">
        <f aca="false">D1114*INDEX(Products!$E$2:$E$49,MATCH(C1114,Products!$A$2:$A$49,0))</f>
        <v>5980</v>
      </c>
      <c r="I1114" s="33" t="n">
        <f aca="false">D1114*INDEX(Products!$D$2:$D$49,MATCH(C1114,Products!$A$2:$A$49,0))*(1+INDEX(Assumptions!$B$16:$B$20,MATCH(B1114,Assumptions!$A$16:$A$20,0)))</f>
        <v>4367.24</v>
      </c>
      <c r="J1114" s="33" t="n">
        <f aca="false">H1114-I1114</f>
        <v>1612.76</v>
      </c>
      <c r="K1114" s="33" t="n">
        <f aca="false">IF(OR(E1114=0,E1114&gt;=7),0,D1114/(7-E1114)*E1114*INDEX(Products!$E$2:$E$49,MATCH(C1114,Products!$A$2:$A$49,0)))</f>
        <v>0</v>
      </c>
    </row>
    <row r="1115" customFormat="false" ht="15" hidden="false" customHeight="false" outlineLevel="0" collapsed="false">
      <c r="A1115" s="36" t="n">
        <v>46209</v>
      </c>
      <c r="B1115" s="24" t="s">
        <v>61</v>
      </c>
      <c r="C1115" s="24" t="s">
        <v>203</v>
      </c>
      <c r="D1115" s="33" t="n">
        <v>76</v>
      </c>
      <c r="E1115" s="24" t="n">
        <v>0</v>
      </c>
      <c r="F1115" s="37" t="n">
        <f aca="false">DATE(YEAR(A1115),MONTH(A1115),1)</f>
        <v>46204</v>
      </c>
      <c r="G1115" s="24" t="str">
        <f aca="false">INDEX(Products!$C$2:$C$49,MATCH(C1115,Products!$A$2:$A$49,0))</f>
        <v>Snacks &amp; Confectionery</v>
      </c>
      <c r="H1115" s="33" t="n">
        <f aca="false">D1115*INDEX(Products!$E$2:$E$49,MATCH(C1115,Products!$A$2:$A$49,0))</f>
        <v>4940</v>
      </c>
      <c r="I1115" s="33" t="n">
        <f aca="false">D1115*INDEX(Products!$D$2:$D$49,MATCH(C1115,Products!$A$2:$A$49,0))*(1+INDEX(Assumptions!$B$16:$B$20,MATCH(B1115,Assumptions!$A$16:$A$20,0)))</f>
        <v>3607.72</v>
      </c>
      <c r="J1115" s="33" t="n">
        <f aca="false">H1115-I1115</f>
        <v>1332.28</v>
      </c>
      <c r="K1115" s="33" t="n">
        <f aca="false">IF(OR(E1115=0,E1115&gt;=7),0,D1115/(7-E1115)*E1115*INDEX(Products!$E$2:$E$49,MATCH(C1115,Products!$A$2:$A$49,0)))</f>
        <v>0</v>
      </c>
    </row>
    <row r="1116" customFormat="false" ht="15" hidden="false" customHeight="false" outlineLevel="0" collapsed="false">
      <c r="A1116" s="36" t="n">
        <v>46216</v>
      </c>
      <c r="B1116" s="24" t="s">
        <v>61</v>
      </c>
      <c r="C1116" s="24" t="s">
        <v>203</v>
      </c>
      <c r="D1116" s="33" t="n">
        <v>84</v>
      </c>
      <c r="E1116" s="24" t="n">
        <v>0</v>
      </c>
      <c r="F1116" s="37" t="n">
        <f aca="false">DATE(YEAR(A1116),MONTH(A1116),1)</f>
        <v>46204</v>
      </c>
      <c r="G1116" s="24" t="str">
        <f aca="false">INDEX(Products!$C$2:$C$49,MATCH(C1116,Products!$A$2:$A$49,0))</f>
        <v>Snacks &amp; Confectionery</v>
      </c>
      <c r="H1116" s="33" t="n">
        <f aca="false">D1116*INDEX(Products!$E$2:$E$49,MATCH(C1116,Products!$A$2:$A$49,0))</f>
        <v>5460</v>
      </c>
      <c r="I1116" s="33" t="n">
        <f aca="false">D1116*INDEX(Products!$D$2:$D$49,MATCH(C1116,Products!$A$2:$A$49,0))*(1+INDEX(Assumptions!$B$16:$B$20,MATCH(B1116,Assumptions!$A$16:$A$20,0)))</f>
        <v>3987.48</v>
      </c>
      <c r="J1116" s="33" t="n">
        <f aca="false">H1116-I1116</f>
        <v>1472.52</v>
      </c>
      <c r="K1116" s="33" t="n">
        <f aca="false">IF(OR(E1116=0,E1116&gt;=7),0,D1116/(7-E1116)*E1116*INDEX(Products!$E$2:$E$49,MATCH(C1116,Products!$A$2:$A$49,0)))</f>
        <v>0</v>
      </c>
    </row>
    <row r="1117" customFormat="false" ht="15" hidden="false" customHeight="false" outlineLevel="0" collapsed="false">
      <c r="A1117" s="36" t="n">
        <v>46223</v>
      </c>
      <c r="B1117" s="24" t="s">
        <v>61</v>
      </c>
      <c r="C1117" s="24" t="s">
        <v>203</v>
      </c>
      <c r="D1117" s="33" t="n">
        <v>88</v>
      </c>
      <c r="E1117" s="24" t="n">
        <v>0</v>
      </c>
      <c r="F1117" s="37" t="n">
        <f aca="false">DATE(YEAR(A1117),MONTH(A1117),1)</f>
        <v>46204</v>
      </c>
      <c r="G1117" s="24" t="str">
        <f aca="false">INDEX(Products!$C$2:$C$49,MATCH(C1117,Products!$A$2:$A$49,0))</f>
        <v>Snacks &amp; Confectionery</v>
      </c>
      <c r="H1117" s="33" t="n">
        <f aca="false">D1117*INDEX(Products!$E$2:$E$49,MATCH(C1117,Products!$A$2:$A$49,0))</f>
        <v>5720</v>
      </c>
      <c r="I1117" s="33" t="n">
        <f aca="false">D1117*INDEX(Products!$D$2:$D$49,MATCH(C1117,Products!$A$2:$A$49,0))*(1+INDEX(Assumptions!$B$16:$B$20,MATCH(B1117,Assumptions!$A$16:$A$20,0)))</f>
        <v>4177.36</v>
      </c>
      <c r="J1117" s="33" t="n">
        <f aca="false">H1117-I1117</f>
        <v>1542.64</v>
      </c>
      <c r="K1117" s="33" t="n">
        <f aca="false">IF(OR(E1117=0,E1117&gt;=7),0,D1117/(7-E1117)*E1117*INDEX(Products!$E$2:$E$49,MATCH(C1117,Products!$A$2:$A$49,0)))</f>
        <v>0</v>
      </c>
    </row>
    <row r="1118" customFormat="false" ht="15" hidden="false" customHeight="false" outlineLevel="0" collapsed="false">
      <c r="A1118" s="36" t="n">
        <v>46230</v>
      </c>
      <c r="B1118" s="24" t="s">
        <v>61</v>
      </c>
      <c r="C1118" s="24" t="s">
        <v>203</v>
      </c>
      <c r="D1118" s="33" t="n">
        <v>65</v>
      </c>
      <c r="E1118" s="24" t="n">
        <v>0</v>
      </c>
      <c r="F1118" s="37" t="n">
        <f aca="false">DATE(YEAR(A1118),MONTH(A1118),1)</f>
        <v>46204</v>
      </c>
      <c r="G1118" s="24" t="str">
        <f aca="false">INDEX(Products!$C$2:$C$49,MATCH(C1118,Products!$A$2:$A$49,0))</f>
        <v>Snacks &amp; Confectionery</v>
      </c>
      <c r="H1118" s="33" t="n">
        <f aca="false">D1118*INDEX(Products!$E$2:$E$49,MATCH(C1118,Products!$A$2:$A$49,0))</f>
        <v>4225</v>
      </c>
      <c r="I1118" s="33" t="n">
        <f aca="false">D1118*INDEX(Products!$D$2:$D$49,MATCH(C1118,Products!$A$2:$A$49,0))*(1+INDEX(Assumptions!$B$16:$B$20,MATCH(B1118,Assumptions!$A$16:$A$20,0)))</f>
        <v>3085.55</v>
      </c>
      <c r="J1118" s="33" t="n">
        <f aca="false">H1118-I1118</f>
        <v>1139.45</v>
      </c>
      <c r="K1118" s="33" t="n">
        <f aca="false">IF(OR(E1118=0,E1118&gt;=7),0,D1118/(7-E1118)*E1118*INDEX(Products!$E$2:$E$49,MATCH(C1118,Products!$A$2:$A$49,0)))</f>
        <v>0</v>
      </c>
    </row>
    <row r="1119" customFormat="false" ht="15" hidden="false" customHeight="false" outlineLevel="0" collapsed="false">
      <c r="A1119" s="36" t="n">
        <v>46237</v>
      </c>
      <c r="B1119" s="24" t="s">
        <v>61</v>
      </c>
      <c r="C1119" s="24" t="s">
        <v>203</v>
      </c>
      <c r="D1119" s="33" t="n">
        <v>73</v>
      </c>
      <c r="E1119" s="24" t="n">
        <v>0</v>
      </c>
      <c r="F1119" s="37" t="n">
        <f aca="false">DATE(YEAR(A1119),MONTH(A1119),1)</f>
        <v>46235</v>
      </c>
      <c r="G1119" s="24" t="str">
        <f aca="false">INDEX(Products!$C$2:$C$49,MATCH(C1119,Products!$A$2:$A$49,0))</f>
        <v>Snacks &amp; Confectionery</v>
      </c>
      <c r="H1119" s="33" t="n">
        <f aca="false">D1119*INDEX(Products!$E$2:$E$49,MATCH(C1119,Products!$A$2:$A$49,0))</f>
        <v>4745</v>
      </c>
      <c r="I1119" s="33" t="n">
        <f aca="false">D1119*INDEX(Products!$D$2:$D$49,MATCH(C1119,Products!$A$2:$A$49,0))*(1+INDEX(Assumptions!$B$16:$B$20,MATCH(B1119,Assumptions!$A$16:$A$20,0)))</f>
        <v>3465.31</v>
      </c>
      <c r="J1119" s="33" t="n">
        <f aca="false">H1119-I1119</f>
        <v>1279.69</v>
      </c>
      <c r="K1119" s="33" t="n">
        <f aca="false">IF(OR(E1119=0,E1119&gt;=7),0,D1119/(7-E1119)*E1119*INDEX(Products!$E$2:$E$49,MATCH(C1119,Products!$A$2:$A$49,0)))</f>
        <v>0</v>
      </c>
    </row>
    <row r="1120" customFormat="false" ht="15" hidden="false" customHeight="false" outlineLevel="0" collapsed="false">
      <c r="A1120" s="36" t="n">
        <v>46244</v>
      </c>
      <c r="B1120" s="24" t="s">
        <v>61</v>
      </c>
      <c r="C1120" s="24" t="s">
        <v>203</v>
      </c>
      <c r="D1120" s="33" t="n">
        <v>64</v>
      </c>
      <c r="E1120" s="24" t="n">
        <v>0</v>
      </c>
      <c r="F1120" s="37" t="n">
        <f aca="false">DATE(YEAR(A1120),MONTH(A1120),1)</f>
        <v>46235</v>
      </c>
      <c r="G1120" s="24" t="str">
        <f aca="false">INDEX(Products!$C$2:$C$49,MATCH(C1120,Products!$A$2:$A$49,0))</f>
        <v>Snacks &amp; Confectionery</v>
      </c>
      <c r="H1120" s="33" t="n">
        <f aca="false">D1120*INDEX(Products!$E$2:$E$49,MATCH(C1120,Products!$A$2:$A$49,0))</f>
        <v>4160</v>
      </c>
      <c r="I1120" s="33" t="n">
        <f aca="false">D1120*INDEX(Products!$D$2:$D$49,MATCH(C1120,Products!$A$2:$A$49,0))*(1+INDEX(Assumptions!$B$16:$B$20,MATCH(B1120,Assumptions!$A$16:$A$20,0)))</f>
        <v>3038.08</v>
      </c>
      <c r="J1120" s="33" t="n">
        <f aca="false">H1120-I1120</f>
        <v>1121.92</v>
      </c>
      <c r="K1120" s="33" t="n">
        <f aca="false">IF(OR(E1120=0,E1120&gt;=7),0,D1120/(7-E1120)*E1120*INDEX(Products!$E$2:$E$49,MATCH(C1120,Products!$A$2:$A$49,0)))</f>
        <v>0</v>
      </c>
    </row>
    <row r="1121" customFormat="false" ht="15" hidden="false" customHeight="false" outlineLevel="0" collapsed="false">
      <c r="A1121" s="36" t="n">
        <v>46251</v>
      </c>
      <c r="B1121" s="24" t="s">
        <v>61</v>
      </c>
      <c r="C1121" s="24" t="s">
        <v>203</v>
      </c>
      <c r="D1121" s="33" t="n">
        <v>69</v>
      </c>
      <c r="E1121" s="24" t="n">
        <v>0</v>
      </c>
      <c r="F1121" s="37" t="n">
        <f aca="false">DATE(YEAR(A1121),MONTH(A1121),1)</f>
        <v>46235</v>
      </c>
      <c r="G1121" s="24" t="str">
        <f aca="false">INDEX(Products!$C$2:$C$49,MATCH(C1121,Products!$A$2:$A$49,0))</f>
        <v>Snacks &amp; Confectionery</v>
      </c>
      <c r="H1121" s="33" t="n">
        <f aca="false">D1121*INDEX(Products!$E$2:$E$49,MATCH(C1121,Products!$A$2:$A$49,0))</f>
        <v>4485</v>
      </c>
      <c r="I1121" s="33" t="n">
        <f aca="false">D1121*INDEX(Products!$D$2:$D$49,MATCH(C1121,Products!$A$2:$A$49,0))*(1+INDEX(Assumptions!$B$16:$B$20,MATCH(B1121,Assumptions!$A$16:$A$20,0)))</f>
        <v>3275.43</v>
      </c>
      <c r="J1121" s="33" t="n">
        <f aca="false">H1121-I1121</f>
        <v>1209.57</v>
      </c>
      <c r="K1121" s="33" t="n">
        <f aca="false">IF(OR(E1121=0,E1121&gt;=7),0,D1121/(7-E1121)*E1121*INDEX(Products!$E$2:$E$49,MATCH(C1121,Products!$A$2:$A$49,0)))</f>
        <v>0</v>
      </c>
    </row>
    <row r="1122" customFormat="false" ht="15" hidden="false" customHeight="false" outlineLevel="0" collapsed="false">
      <c r="A1122" s="36" t="n">
        <v>46258</v>
      </c>
      <c r="B1122" s="24" t="s">
        <v>61</v>
      </c>
      <c r="C1122" s="24" t="s">
        <v>203</v>
      </c>
      <c r="D1122" s="33" t="n">
        <v>77</v>
      </c>
      <c r="E1122" s="24" t="n">
        <v>0</v>
      </c>
      <c r="F1122" s="37" t="n">
        <f aca="false">DATE(YEAR(A1122),MONTH(A1122),1)</f>
        <v>46235</v>
      </c>
      <c r="G1122" s="24" t="str">
        <f aca="false">INDEX(Products!$C$2:$C$49,MATCH(C1122,Products!$A$2:$A$49,0))</f>
        <v>Snacks &amp; Confectionery</v>
      </c>
      <c r="H1122" s="33" t="n">
        <f aca="false">D1122*INDEX(Products!$E$2:$E$49,MATCH(C1122,Products!$A$2:$A$49,0))</f>
        <v>5005</v>
      </c>
      <c r="I1122" s="33" t="n">
        <f aca="false">D1122*INDEX(Products!$D$2:$D$49,MATCH(C1122,Products!$A$2:$A$49,0))*(1+INDEX(Assumptions!$B$16:$B$20,MATCH(B1122,Assumptions!$A$16:$A$20,0)))</f>
        <v>3655.19</v>
      </c>
      <c r="J1122" s="33" t="n">
        <f aca="false">H1122-I1122</f>
        <v>1349.81</v>
      </c>
      <c r="K1122" s="33" t="n">
        <f aca="false">IF(OR(E1122=0,E1122&gt;=7),0,D1122/(7-E1122)*E1122*INDEX(Products!$E$2:$E$49,MATCH(C1122,Products!$A$2:$A$49,0)))</f>
        <v>0</v>
      </c>
    </row>
    <row r="1123" customFormat="false" ht="15" hidden="false" customHeight="false" outlineLevel="0" collapsed="false">
      <c r="A1123" s="36" t="n">
        <v>46265</v>
      </c>
      <c r="B1123" s="24" t="s">
        <v>61</v>
      </c>
      <c r="C1123" s="24" t="s">
        <v>203</v>
      </c>
      <c r="D1123" s="33" t="n">
        <v>66</v>
      </c>
      <c r="E1123" s="24" t="n">
        <v>0</v>
      </c>
      <c r="F1123" s="37" t="n">
        <f aca="false">DATE(YEAR(A1123),MONTH(A1123),1)</f>
        <v>46235</v>
      </c>
      <c r="G1123" s="24" t="str">
        <f aca="false">INDEX(Products!$C$2:$C$49,MATCH(C1123,Products!$A$2:$A$49,0))</f>
        <v>Snacks &amp; Confectionery</v>
      </c>
      <c r="H1123" s="33" t="n">
        <f aca="false">D1123*INDEX(Products!$E$2:$E$49,MATCH(C1123,Products!$A$2:$A$49,0))</f>
        <v>4290</v>
      </c>
      <c r="I1123" s="33" t="n">
        <f aca="false">D1123*INDEX(Products!$D$2:$D$49,MATCH(C1123,Products!$A$2:$A$49,0))*(1+INDEX(Assumptions!$B$16:$B$20,MATCH(B1123,Assumptions!$A$16:$A$20,0)))</f>
        <v>3133.02</v>
      </c>
      <c r="J1123" s="33" t="n">
        <f aca="false">H1123-I1123</f>
        <v>1156.98</v>
      </c>
      <c r="K1123" s="33" t="n">
        <f aca="false">IF(OR(E1123=0,E1123&gt;=7),0,D1123/(7-E1123)*E1123*INDEX(Products!$E$2:$E$49,MATCH(C1123,Products!$A$2:$A$49,0)))</f>
        <v>0</v>
      </c>
    </row>
    <row r="1124" customFormat="false" ht="15" hidden="false" customHeight="false" outlineLevel="0" collapsed="false">
      <c r="A1124" s="36" t="n">
        <v>46272</v>
      </c>
      <c r="B1124" s="24" t="s">
        <v>61</v>
      </c>
      <c r="C1124" s="24" t="s">
        <v>203</v>
      </c>
      <c r="D1124" s="33" t="n">
        <v>74</v>
      </c>
      <c r="E1124" s="24" t="n">
        <v>0</v>
      </c>
      <c r="F1124" s="37" t="n">
        <f aca="false">DATE(YEAR(A1124),MONTH(A1124),1)</f>
        <v>46266</v>
      </c>
      <c r="G1124" s="24" t="str">
        <f aca="false">INDEX(Products!$C$2:$C$49,MATCH(C1124,Products!$A$2:$A$49,0))</f>
        <v>Snacks &amp; Confectionery</v>
      </c>
      <c r="H1124" s="33" t="n">
        <f aca="false">D1124*INDEX(Products!$E$2:$E$49,MATCH(C1124,Products!$A$2:$A$49,0))</f>
        <v>4810</v>
      </c>
      <c r="I1124" s="33" t="n">
        <f aca="false">D1124*INDEX(Products!$D$2:$D$49,MATCH(C1124,Products!$A$2:$A$49,0))*(1+INDEX(Assumptions!$B$16:$B$20,MATCH(B1124,Assumptions!$A$16:$A$20,0)))</f>
        <v>3512.78</v>
      </c>
      <c r="J1124" s="33" t="n">
        <f aca="false">H1124-I1124</f>
        <v>1297.22</v>
      </c>
      <c r="K1124" s="33" t="n">
        <f aca="false">IF(OR(E1124=0,E1124&gt;=7),0,D1124/(7-E1124)*E1124*INDEX(Products!$E$2:$E$49,MATCH(C1124,Products!$A$2:$A$49,0)))</f>
        <v>0</v>
      </c>
    </row>
    <row r="1125" customFormat="false" ht="15" hidden="false" customHeight="false" outlineLevel="0" collapsed="false">
      <c r="A1125" s="36" t="n">
        <v>46279</v>
      </c>
      <c r="B1125" s="24" t="s">
        <v>61</v>
      </c>
      <c r="C1125" s="24" t="s">
        <v>203</v>
      </c>
      <c r="D1125" s="33" t="n">
        <v>83</v>
      </c>
      <c r="E1125" s="24" t="n">
        <v>0</v>
      </c>
      <c r="F1125" s="37" t="n">
        <f aca="false">DATE(YEAR(A1125),MONTH(A1125),1)</f>
        <v>46266</v>
      </c>
      <c r="G1125" s="24" t="str">
        <f aca="false">INDEX(Products!$C$2:$C$49,MATCH(C1125,Products!$A$2:$A$49,0))</f>
        <v>Snacks &amp; Confectionery</v>
      </c>
      <c r="H1125" s="33" t="n">
        <f aca="false">D1125*INDEX(Products!$E$2:$E$49,MATCH(C1125,Products!$A$2:$A$49,0))</f>
        <v>5395</v>
      </c>
      <c r="I1125" s="33" t="n">
        <f aca="false">D1125*INDEX(Products!$D$2:$D$49,MATCH(C1125,Products!$A$2:$A$49,0))*(1+INDEX(Assumptions!$B$16:$B$20,MATCH(B1125,Assumptions!$A$16:$A$20,0)))</f>
        <v>3940.01</v>
      </c>
      <c r="J1125" s="33" t="n">
        <f aca="false">H1125-I1125</f>
        <v>1454.99</v>
      </c>
      <c r="K1125" s="33" t="n">
        <f aca="false">IF(OR(E1125=0,E1125&gt;=7),0,D1125/(7-E1125)*E1125*INDEX(Products!$E$2:$E$49,MATCH(C1125,Products!$A$2:$A$49,0)))</f>
        <v>0</v>
      </c>
    </row>
    <row r="1126" customFormat="false" ht="15" hidden="false" customHeight="false" outlineLevel="0" collapsed="false">
      <c r="A1126" s="36" t="n">
        <v>46286</v>
      </c>
      <c r="B1126" s="24" t="s">
        <v>61</v>
      </c>
      <c r="C1126" s="24" t="s">
        <v>203</v>
      </c>
      <c r="D1126" s="33" t="n">
        <v>86</v>
      </c>
      <c r="E1126" s="24" t="n">
        <v>0</v>
      </c>
      <c r="F1126" s="37" t="n">
        <f aca="false">DATE(YEAR(A1126),MONTH(A1126),1)</f>
        <v>46266</v>
      </c>
      <c r="G1126" s="24" t="str">
        <f aca="false">INDEX(Products!$C$2:$C$49,MATCH(C1126,Products!$A$2:$A$49,0))</f>
        <v>Snacks &amp; Confectionery</v>
      </c>
      <c r="H1126" s="33" t="n">
        <f aca="false">D1126*INDEX(Products!$E$2:$E$49,MATCH(C1126,Products!$A$2:$A$49,0))</f>
        <v>5590</v>
      </c>
      <c r="I1126" s="33" t="n">
        <f aca="false">D1126*INDEX(Products!$D$2:$D$49,MATCH(C1126,Products!$A$2:$A$49,0))*(1+INDEX(Assumptions!$B$16:$B$20,MATCH(B1126,Assumptions!$A$16:$A$20,0)))</f>
        <v>4082.42</v>
      </c>
      <c r="J1126" s="33" t="n">
        <f aca="false">H1126-I1126</f>
        <v>1507.58</v>
      </c>
      <c r="K1126" s="33" t="n">
        <f aca="false">IF(OR(E1126=0,E1126&gt;=7),0,D1126/(7-E1126)*E1126*INDEX(Products!$E$2:$E$49,MATCH(C1126,Products!$A$2:$A$49,0)))</f>
        <v>0</v>
      </c>
    </row>
    <row r="1127" customFormat="false" ht="15" hidden="false" customHeight="false" outlineLevel="0" collapsed="false">
      <c r="A1127" s="36" t="n">
        <v>46118</v>
      </c>
      <c r="B1127" s="24" t="s">
        <v>61</v>
      </c>
      <c r="C1127" s="24" t="s">
        <v>205</v>
      </c>
      <c r="D1127" s="33" t="n">
        <v>98</v>
      </c>
      <c r="E1127" s="24" t="n">
        <v>0</v>
      </c>
      <c r="F1127" s="37" t="n">
        <f aca="false">DATE(YEAR(A1127),MONTH(A1127),1)</f>
        <v>46113</v>
      </c>
      <c r="G1127" s="24" t="str">
        <f aca="false">INDEX(Products!$C$2:$C$49,MATCH(C1127,Products!$A$2:$A$49,0))</f>
        <v>Snacks &amp; Confectionery</v>
      </c>
      <c r="H1127" s="33" t="n">
        <f aca="false">D1127*INDEX(Products!$E$2:$E$49,MATCH(C1127,Products!$A$2:$A$49,0))</f>
        <v>11760</v>
      </c>
      <c r="I1127" s="33" t="n">
        <f aca="false">D1127*INDEX(Products!$D$2:$D$49,MATCH(C1127,Products!$A$2:$A$49,0))*(1+INDEX(Assumptions!$B$16:$B$20,MATCH(B1127,Assumptions!$A$16:$A$20,0)))</f>
        <v>8017.38</v>
      </c>
      <c r="J1127" s="33" t="n">
        <f aca="false">H1127-I1127</f>
        <v>3742.62</v>
      </c>
      <c r="K1127" s="33" t="n">
        <f aca="false">IF(OR(E1127=0,E1127&gt;=7),0,D1127/(7-E1127)*E1127*INDEX(Products!$E$2:$E$49,MATCH(C1127,Products!$A$2:$A$49,0)))</f>
        <v>0</v>
      </c>
    </row>
    <row r="1128" customFormat="false" ht="15" hidden="false" customHeight="false" outlineLevel="0" collapsed="false">
      <c r="A1128" s="36" t="n">
        <v>46125</v>
      </c>
      <c r="B1128" s="24" t="s">
        <v>61</v>
      </c>
      <c r="C1128" s="24" t="s">
        <v>205</v>
      </c>
      <c r="D1128" s="33" t="n">
        <v>93</v>
      </c>
      <c r="E1128" s="24" t="n">
        <v>0</v>
      </c>
      <c r="F1128" s="37" t="n">
        <f aca="false">DATE(YEAR(A1128),MONTH(A1128),1)</f>
        <v>46113</v>
      </c>
      <c r="G1128" s="24" t="str">
        <f aca="false">INDEX(Products!$C$2:$C$49,MATCH(C1128,Products!$A$2:$A$49,0))</f>
        <v>Snacks &amp; Confectionery</v>
      </c>
      <c r="H1128" s="33" t="n">
        <f aca="false">D1128*INDEX(Products!$E$2:$E$49,MATCH(C1128,Products!$A$2:$A$49,0))</f>
        <v>11160</v>
      </c>
      <c r="I1128" s="33" t="n">
        <f aca="false">D1128*INDEX(Products!$D$2:$D$49,MATCH(C1128,Products!$A$2:$A$49,0))*(1+INDEX(Assumptions!$B$16:$B$20,MATCH(B1128,Assumptions!$A$16:$A$20,0)))</f>
        <v>7608.33</v>
      </c>
      <c r="J1128" s="33" t="n">
        <f aca="false">H1128-I1128</f>
        <v>3551.67</v>
      </c>
      <c r="K1128" s="33" t="n">
        <f aca="false">IF(OR(E1128=0,E1128&gt;=7),0,D1128/(7-E1128)*E1128*INDEX(Products!$E$2:$E$49,MATCH(C1128,Products!$A$2:$A$49,0)))</f>
        <v>0</v>
      </c>
    </row>
    <row r="1129" customFormat="false" ht="15" hidden="false" customHeight="false" outlineLevel="0" collapsed="false">
      <c r="A1129" s="36" t="n">
        <v>46132</v>
      </c>
      <c r="B1129" s="24" t="s">
        <v>61</v>
      </c>
      <c r="C1129" s="24" t="s">
        <v>205</v>
      </c>
      <c r="D1129" s="33" t="n">
        <v>113</v>
      </c>
      <c r="E1129" s="24" t="n">
        <v>0</v>
      </c>
      <c r="F1129" s="37" t="n">
        <f aca="false">DATE(YEAR(A1129),MONTH(A1129),1)</f>
        <v>46113</v>
      </c>
      <c r="G1129" s="24" t="str">
        <f aca="false">INDEX(Products!$C$2:$C$49,MATCH(C1129,Products!$A$2:$A$49,0))</f>
        <v>Snacks &amp; Confectionery</v>
      </c>
      <c r="H1129" s="33" t="n">
        <f aca="false">D1129*INDEX(Products!$E$2:$E$49,MATCH(C1129,Products!$A$2:$A$49,0))</f>
        <v>13560</v>
      </c>
      <c r="I1129" s="33" t="n">
        <f aca="false">D1129*INDEX(Products!$D$2:$D$49,MATCH(C1129,Products!$A$2:$A$49,0))*(1+INDEX(Assumptions!$B$16:$B$20,MATCH(B1129,Assumptions!$A$16:$A$20,0)))</f>
        <v>9244.53</v>
      </c>
      <c r="J1129" s="33" t="n">
        <f aca="false">H1129-I1129</f>
        <v>4315.47</v>
      </c>
      <c r="K1129" s="33" t="n">
        <f aca="false">IF(OR(E1129=0,E1129&gt;=7),0,D1129/(7-E1129)*E1129*INDEX(Products!$E$2:$E$49,MATCH(C1129,Products!$A$2:$A$49,0)))</f>
        <v>0</v>
      </c>
    </row>
    <row r="1130" customFormat="false" ht="15" hidden="false" customHeight="false" outlineLevel="0" collapsed="false">
      <c r="A1130" s="36" t="n">
        <v>46139</v>
      </c>
      <c r="B1130" s="24" t="s">
        <v>61</v>
      </c>
      <c r="C1130" s="24" t="s">
        <v>205</v>
      </c>
      <c r="D1130" s="33" t="n">
        <v>122</v>
      </c>
      <c r="E1130" s="24" t="n">
        <v>0</v>
      </c>
      <c r="F1130" s="37" t="n">
        <f aca="false">DATE(YEAR(A1130),MONTH(A1130),1)</f>
        <v>46113</v>
      </c>
      <c r="G1130" s="24" t="str">
        <f aca="false">INDEX(Products!$C$2:$C$49,MATCH(C1130,Products!$A$2:$A$49,0))</f>
        <v>Snacks &amp; Confectionery</v>
      </c>
      <c r="H1130" s="33" t="n">
        <f aca="false">D1130*INDEX(Products!$E$2:$E$49,MATCH(C1130,Products!$A$2:$A$49,0))</f>
        <v>14640</v>
      </c>
      <c r="I1130" s="33" t="n">
        <f aca="false">D1130*INDEX(Products!$D$2:$D$49,MATCH(C1130,Products!$A$2:$A$49,0))*(1+INDEX(Assumptions!$B$16:$B$20,MATCH(B1130,Assumptions!$A$16:$A$20,0)))</f>
        <v>9980.82</v>
      </c>
      <c r="J1130" s="33" t="n">
        <f aca="false">H1130-I1130</f>
        <v>4659.18</v>
      </c>
      <c r="K1130" s="33" t="n">
        <f aca="false">IF(OR(E1130=0,E1130&gt;=7),0,D1130/(7-E1130)*E1130*INDEX(Products!$E$2:$E$49,MATCH(C1130,Products!$A$2:$A$49,0)))</f>
        <v>0</v>
      </c>
    </row>
    <row r="1131" customFormat="false" ht="15" hidden="false" customHeight="false" outlineLevel="0" collapsed="false">
      <c r="A1131" s="36" t="n">
        <v>46146</v>
      </c>
      <c r="B1131" s="24" t="s">
        <v>61</v>
      </c>
      <c r="C1131" s="24" t="s">
        <v>205</v>
      </c>
      <c r="D1131" s="33" t="n">
        <v>188</v>
      </c>
      <c r="E1131" s="24" t="n">
        <v>0</v>
      </c>
      <c r="F1131" s="37" t="n">
        <f aca="false">DATE(YEAR(A1131),MONTH(A1131),1)</f>
        <v>46143</v>
      </c>
      <c r="G1131" s="24" t="str">
        <f aca="false">INDEX(Products!$C$2:$C$49,MATCH(C1131,Products!$A$2:$A$49,0))</f>
        <v>Snacks &amp; Confectionery</v>
      </c>
      <c r="H1131" s="33" t="n">
        <f aca="false">D1131*INDEX(Products!$E$2:$E$49,MATCH(C1131,Products!$A$2:$A$49,0))</f>
        <v>22560</v>
      </c>
      <c r="I1131" s="33" t="n">
        <f aca="false">D1131*INDEX(Products!$D$2:$D$49,MATCH(C1131,Products!$A$2:$A$49,0))*(1+INDEX(Assumptions!$B$16:$B$20,MATCH(B1131,Assumptions!$A$16:$A$20,0)))</f>
        <v>15380.28</v>
      </c>
      <c r="J1131" s="33" t="n">
        <f aca="false">H1131-I1131</f>
        <v>7179.72</v>
      </c>
      <c r="K1131" s="33" t="n">
        <f aca="false">IF(OR(E1131=0,E1131&gt;=7),0,D1131/(7-E1131)*E1131*INDEX(Products!$E$2:$E$49,MATCH(C1131,Products!$A$2:$A$49,0)))</f>
        <v>0</v>
      </c>
    </row>
    <row r="1132" customFormat="false" ht="15" hidden="false" customHeight="false" outlineLevel="0" collapsed="false">
      <c r="A1132" s="36" t="n">
        <v>46153</v>
      </c>
      <c r="B1132" s="24" t="s">
        <v>61</v>
      </c>
      <c r="C1132" s="24" t="s">
        <v>205</v>
      </c>
      <c r="D1132" s="33" t="n">
        <v>108</v>
      </c>
      <c r="E1132" s="24" t="n">
        <v>0</v>
      </c>
      <c r="F1132" s="37" t="n">
        <f aca="false">DATE(YEAR(A1132),MONTH(A1132),1)</f>
        <v>46143</v>
      </c>
      <c r="G1132" s="24" t="str">
        <f aca="false">INDEX(Products!$C$2:$C$49,MATCH(C1132,Products!$A$2:$A$49,0))</f>
        <v>Snacks &amp; Confectionery</v>
      </c>
      <c r="H1132" s="33" t="n">
        <f aca="false">D1132*INDEX(Products!$E$2:$E$49,MATCH(C1132,Products!$A$2:$A$49,0))</f>
        <v>12960</v>
      </c>
      <c r="I1132" s="33" t="n">
        <f aca="false">D1132*INDEX(Products!$D$2:$D$49,MATCH(C1132,Products!$A$2:$A$49,0))*(1+INDEX(Assumptions!$B$16:$B$20,MATCH(B1132,Assumptions!$A$16:$A$20,0)))</f>
        <v>8835.48</v>
      </c>
      <c r="J1132" s="33" t="n">
        <f aca="false">H1132-I1132</f>
        <v>4124.52</v>
      </c>
      <c r="K1132" s="33" t="n">
        <f aca="false">IF(OR(E1132=0,E1132&gt;=7),0,D1132/(7-E1132)*E1132*INDEX(Products!$E$2:$E$49,MATCH(C1132,Products!$A$2:$A$49,0)))</f>
        <v>0</v>
      </c>
    </row>
    <row r="1133" customFormat="false" ht="15" hidden="false" customHeight="false" outlineLevel="0" collapsed="false">
      <c r="A1133" s="36" t="n">
        <v>46160</v>
      </c>
      <c r="B1133" s="24" t="s">
        <v>61</v>
      </c>
      <c r="C1133" s="24" t="s">
        <v>205</v>
      </c>
      <c r="D1133" s="33" t="n">
        <v>102</v>
      </c>
      <c r="E1133" s="24" t="n">
        <v>0</v>
      </c>
      <c r="F1133" s="37" t="n">
        <f aca="false">DATE(YEAR(A1133),MONTH(A1133),1)</f>
        <v>46143</v>
      </c>
      <c r="G1133" s="24" t="str">
        <f aca="false">INDEX(Products!$C$2:$C$49,MATCH(C1133,Products!$A$2:$A$49,0))</f>
        <v>Snacks &amp; Confectionery</v>
      </c>
      <c r="H1133" s="33" t="n">
        <f aca="false">D1133*INDEX(Products!$E$2:$E$49,MATCH(C1133,Products!$A$2:$A$49,0))</f>
        <v>12240</v>
      </c>
      <c r="I1133" s="33" t="n">
        <f aca="false">D1133*INDEX(Products!$D$2:$D$49,MATCH(C1133,Products!$A$2:$A$49,0))*(1+INDEX(Assumptions!$B$16:$B$20,MATCH(B1133,Assumptions!$A$16:$A$20,0)))</f>
        <v>8344.62</v>
      </c>
      <c r="J1133" s="33" t="n">
        <f aca="false">H1133-I1133</f>
        <v>3895.38</v>
      </c>
      <c r="K1133" s="33" t="n">
        <f aca="false">IF(OR(E1133=0,E1133&gt;=7),0,D1133/(7-E1133)*E1133*INDEX(Products!$E$2:$E$49,MATCH(C1133,Products!$A$2:$A$49,0)))</f>
        <v>0</v>
      </c>
    </row>
    <row r="1134" customFormat="false" ht="15" hidden="false" customHeight="false" outlineLevel="0" collapsed="false">
      <c r="A1134" s="36" t="n">
        <v>46167</v>
      </c>
      <c r="B1134" s="24" t="s">
        <v>61</v>
      </c>
      <c r="C1134" s="24" t="s">
        <v>205</v>
      </c>
      <c r="D1134" s="33" t="n">
        <v>125</v>
      </c>
      <c r="E1134" s="24" t="n">
        <v>0</v>
      </c>
      <c r="F1134" s="37" t="n">
        <f aca="false">DATE(YEAR(A1134),MONTH(A1134),1)</f>
        <v>46143</v>
      </c>
      <c r="G1134" s="24" t="str">
        <f aca="false">INDEX(Products!$C$2:$C$49,MATCH(C1134,Products!$A$2:$A$49,0))</f>
        <v>Snacks &amp; Confectionery</v>
      </c>
      <c r="H1134" s="33" t="n">
        <f aca="false">D1134*INDEX(Products!$E$2:$E$49,MATCH(C1134,Products!$A$2:$A$49,0))</f>
        <v>15000</v>
      </c>
      <c r="I1134" s="33" t="n">
        <f aca="false">D1134*INDEX(Products!$D$2:$D$49,MATCH(C1134,Products!$A$2:$A$49,0))*(1+INDEX(Assumptions!$B$16:$B$20,MATCH(B1134,Assumptions!$A$16:$A$20,0)))</f>
        <v>10226.25</v>
      </c>
      <c r="J1134" s="33" t="n">
        <f aca="false">H1134-I1134</f>
        <v>4773.75</v>
      </c>
      <c r="K1134" s="33" t="n">
        <f aca="false">IF(OR(E1134=0,E1134&gt;=7),0,D1134/(7-E1134)*E1134*INDEX(Products!$E$2:$E$49,MATCH(C1134,Products!$A$2:$A$49,0)))</f>
        <v>0</v>
      </c>
    </row>
    <row r="1135" customFormat="false" ht="15" hidden="false" customHeight="false" outlineLevel="0" collapsed="false">
      <c r="A1135" s="36" t="n">
        <v>46174</v>
      </c>
      <c r="B1135" s="24" t="s">
        <v>61</v>
      </c>
      <c r="C1135" s="24" t="s">
        <v>205</v>
      </c>
      <c r="D1135" s="33" t="n">
        <v>120</v>
      </c>
      <c r="E1135" s="24" t="n">
        <v>0</v>
      </c>
      <c r="F1135" s="37" t="n">
        <f aca="false">DATE(YEAR(A1135),MONTH(A1135),1)</f>
        <v>46174</v>
      </c>
      <c r="G1135" s="24" t="str">
        <f aca="false">INDEX(Products!$C$2:$C$49,MATCH(C1135,Products!$A$2:$A$49,0))</f>
        <v>Snacks &amp; Confectionery</v>
      </c>
      <c r="H1135" s="33" t="n">
        <f aca="false">D1135*INDEX(Products!$E$2:$E$49,MATCH(C1135,Products!$A$2:$A$49,0))</f>
        <v>14400</v>
      </c>
      <c r="I1135" s="33" t="n">
        <f aca="false">D1135*INDEX(Products!$D$2:$D$49,MATCH(C1135,Products!$A$2:$A$49,0))*(1+INDEX(Assumptions!$B$16:$B$20,MATCH(B1135,Assumptions!$A$16:$A$20,0)))</f>
        <v>9817.2</v>
      </c>
      <c r="J1135" s="33" t="n">
        <f aca="false">H1135-I1135</f>
        <v>4582.8</v>
      </c>
      <c r="K1135" s="33" t="n">
        <f aca="false">IF(OR(E1135=0,E1135&gt;=7),0,D1135/(7-E1135)*E1135*INDEX(Products!$E$2:$E$49,MATCH(C1135,Products!$A$2:$A$49,0)))</f>
        <v>0</v>
      </c>
    </row>
    <row r="1136" customFormat="false" ht="15" hidden="false" customHeight="false" outlineLevel="0" collapsed="false">
      <c r="A1136" s="36" t="n">
        <v>46181</v>
      </c>
      <c r="B1136" s="24" t="s">
        <v>61</v>
      </c>
      <c r="C1136" s="24" t="s">
        <v>205</v>
      </c>
      <c r="D1136" s="33" t="n">
        <v>118</v>
      </c>
      <c r="E1136" s="24" t="n">
        <v>0</v>
      </c>
      <c r="F1136" s="37" t="n">
        <f aca="false">DATE(YEAR(A1136),MONTH(A1136),1)</f>
        <v>46174</v>
      </c>
      <c r="G1136" s="24" t="str">
        <f aca="false">INDEX(Products!$C$2:$C$49,MATCH(C1136,Products!$A$2:$A$49,0))</f>
        <v>Snacks &amp; Confectionery</v>
      </c>
      <c r="H1136" s="33" t="n">
        <f aca="false">D1136*INDEX(Products!$E$2:$E$49,MATCH(C1136,Products!$A$2:$A$49,0))</f>
        <v>14160</v>
      </c>
      <c r="I1136" s="33" t="n">
        <f aca="false">D1136*INDEX(Products!$D$2:$D$49,MATCH(C1136,Products!$A$2:$A$49,0))*(1+INDEX(Assumptions!$B$16:$B$20,MATCH(B1136,Assumptions!$A$16:$A$20,0)))</f>
        <v>9653.58</v>
      </c>
      <c r="J1136" s="33" t="n">
        <f aca="false">H1136-I1136</f>
        <v>4506.42</v>
      </c>
      <c r="K1136" s="33" t="n">
        <f aca="false">IF(OR(E1136=0,E1136&gt;=7),0,D1136/(7-E1136)*E1136*INDEX(Products!$E$2:$E$49,MATCH(C1136,Products!$A$2:$A$49,0)))</f>
        <v>0</v>
      </c>
    </row>
    <row r="1137" customFormat="false" ht="15" hidden="false" customHeight="false" outlineLevel="0" collapsed="false">
      <c r="A1137" s="36" t="n">
        <v>46188</v>
      </c>
      <c r="B1137" s="24" t="s">
        <v>61</v>
      </c>
      <c r="C1137" s="24" t="s">
        <v>205</v>
      </c>
      <c r="D1137" s="33" t="n">
        <v>91</v>
      </c>
      <c r="E1137" s="24" t="n">
        <v>0</v>
      </c>
      <c r="F1137" s="37" t="n">
        <f aca="false">DATE(YEAR(A1137),MONTH(A1137),1)</f>
        <v>46174</v>
      </c>
      <c r="G1137" s="24" t="str">
        <f aca="false">INDEX(Products!$C$2:$C$49,MATCH(C1137,Products!$A$2:$A$49,0))</f>
        <v>Snacks &amp; Confectionery</v>
      </c>
      <c r="H1137" s="33" t="n">
        <f aca="false">D1137*INDEX(Products!$E$2:$E$49,MATCH(C1137,Products!$A$2:$A$49,0))</f>
        <v>10920</v>
      </c>
      <c r="I1137" s="33" t="n">
        <f aca="false">D1137*INDEX(Products!$D$2:$D$49,MATCH(C1137,Products!$A$2:$A$49,0))*(1+INDEX(Assumptions!$B$16:$B$20,MATCH(B1137,Assumptions!$A$16:$A$20,0)))</f>
        <v>7444.71</v>
      </c>
      <c r="J1137" s="33" t="n">
        <f aca="false">H1137-I1137</f>
        <v>3475.29</v>
      </c>
      <c r="K1137" s="33" t="n">
        <f aca="false">IF(OR(E1137=0,E1137&gt;=7),0,D1137/(7-E1137)*E1137*INDEX(Products!$E$2:$E$49,MATCH(C1137,Products!$A$2:$A$49,0)))</f>
        <v>0</v>
      </c>
    </row>
    <row r="1138" customFormat="false" ht="15" hidden="false" customHeight="false" outlineLevel="0" collapsed="false">
      <c r="A1138" s="36" t="n">
        <v>46195</v>
      </c>
      <c r="B1138" s="24" t="s">
        <v>61</v>
      </c>
      <c r="C1138" s="24" t="s">
        <v>205</v>
      </c>
      <c r="D1138" s="33" t="n">
        <v>94</v>
      </c>
      <c r="E1138" s="24" t="n">
        <v>0</v>
      </c>
      <c r="F1138" s="37" t="n">
        <f aca="false">DATE(YEAR(A1138),MONTH(A1138),1)</f>
        <v>46174</v>
      </c>
      <c r="G1138" s="24" t="str">
        <f aca="false">INDEX(Products!$C$2:$C$49,MATCH(C1138,Products!$A$2:$A$49,0))</f>
        <v>Snacks &amp; Confectionery</v>
      </c>
      <c r="H1138" s="33" t="n">
        <f aca="false">D1138*INDEX(Products!$E$2:$E$49,MATCH(C1138,Products!$A$2:$A$49,0))</f>
        <v>11280</v>
      </c>
      <c r="I1138" s="33" t="n">
        <f aca="false">D1138*INDEX(Products!$D$2:$D$49,MATCH(C1138,Products!$A$2:$A$49,0))*(1+INDEX(Assumptions!$B$16:$B$20,MATCH(B1138,Assumptions!$A$16:$A$20,0)))</f>
        <v>7690.14</v>
      </c>
      <c r="J1138" s="33" t="n">
        <f aca="false">H1138-I1138</f>
        <v>3589.86</v>
      </c>
      <c r="K1138" s="33" t="n">
        <f aca="false">IF(OR(E1138=0,E1138&gt;=7),0,D1138/(7-E1138)*E1138*INDEX(Products!$E$2:$E$49,MATCH(C1138,Products!$A$2:$A$49,0)))</f>
        <v>0</v>
      </c>
    </row>
    <row r="1139" customFormat="false" ht="15" hidden="false" customHeight="false" outlineLevel="0" collapsed="false">
      <c r="A1139" s="36" t="n">
        <v>46202</v>
      </c>
      <c r="B1139" s="24" t="s">
        <v>61</v>
      </c>
      <c r="C1139" s="24" t="s">
        <v>205</v>
      </c>
      <c r="D1139" s="33" t="n">
        <v>107</v>
      </c>
      <c r="E1139" s="24" t="n">
        <v>0</v>
      </c>
      <c r="F1139" s="37" t="n">
        <f aca="false">DATE(YEAR(A1139),MONTH(A1139),1)</f>
        <v>46174</v>
      </c>
      <c r="G1139" s="24" t="str">
        <f aca="false">INDEX(Products!$C$2:$C$49,MATCH(C1139,Products!$A$2:$A$49,0))</f>
        <v>Snacks &amp; Confectionery</v>
      </c>
      <c r="H1139" s="33" t="n">
        <f aca="false">D1139*INDEX(Products!$E$2:$E$49,MATCH(C1139,Products!$A$2:$A$49,0))</f>
        <v>12840</v>
      </c>
      <c r="I1139" s="33" t="n">
        <f aca="false">D1139*INDEX(Products!$D$2:$D$49,MATCH(C1139,Products!$A$2:$A$49,0))*(1+INDEX(Assumptions!$B$16:$B$20,MATCH(B1139,Assumptions!$A$16:$A$20,0)))</f>
        <v>8753.67</v>
      </c>
      <c r="J1139" s="33" t="n">
        <f aca="false">H1139-I1139</f>
        <v>4086.33</v>
      </c>
      <c r="K1139" s="33" t="n">
        <f aca="false">IF(OR(E1139=0,E1139&gt;=7),0,D1139/(7-E1139)*E1139*INDEX(Products!$E$2:$E$49,MATCH(C1139,Products!$A$2:$A$49,0)))</f>
        <v>0</v>
      </c>
    </row>
    <row r="1140" customFormat="false" ht="15" hidden="false" customHeight="false" outlineLevel="0" collapsed="false">
      <c r="A1140" s="36" t="n">
        <v>46209</v>
      </c>
      <c r="B1140" s="24" t="s">
        <v>61</v>
      </c>
      <c r="C1140" s="24" t="s">
        <v>205</v>
      </c>
      <c r="D1140" s="33" t="n">
        <v>87</v>
      </c>
      <c r="E1140" s="24" t="n">
        <v>0</v>
      </c>
      <c r="F1140" s="37" t="n">
        <f aca="false">DATE(YEAR(A1140),MONTH(A1140),1)</f>
        <v>46204</v>
      </c>
      <c r="G1140" s="24" t="str">
        <f aca="false">INDEX(Products!$C$2:$C$49,MATCH(C1140,Products!$A$2:$A$49,0))</f>
        <v>Snacks &amp; Confectionery</v>
      </c>
      <c r="H1140" s="33" t="n">
        <f aca="false">D1140*INDEX(Products!$E$2:$E$49,MATCH(C1140,Products!$A$2:$A$49,0))</f>
        <v>10440</v>
      </c>
      <c r="I1140" s="33" t="n">
        <f aca="false">D1140*INDEX(Products!$D$2:$D$49,MATCH(C1140,Products!$A$2:$A$49,0))*(1+INDEX(Assumptions!$B$16:$B$20,MATCH(B1140,Assumptions!$A$16:$A$20,0)))</f>
        <v>7117.47</v>
      </c>
      <c r="J1140" s="33" t="n">
        <f aca="false">H1140-I1140</f>
        <v>3322.53</v>
      </c>
      <c r="K1140" s="33" t="n">
        <f aca="false">IF(OR(E1140=0,E1140&gt;=7),0,D1140/(7-E1140)*E1140*INDEX(Products!$E$2:$E$49,MATCH(C1140,Products!$A$2:$A$49,0)))</f>
        <v>0</v>
      </c>
    </row>
    <row r="1141" customFormat="false" ht="15" hidden="false" customHeight="false" outlineLevel="0" collapsed="false">
      <c r="A1141" s="36" t="n">
        <v>46216</v>
      </c>
      <c r="B1141" s="24" t="s">
        <v>61</v>
      </c>
      <c r="C1141" s="24" t="s">
        <v>205</v>
      </c>
      <c r="D1141" s="33" t="n">
        <v>86</v>
      </c>
      <c r="E1141" s="24" t="n">
        <v>0</v>
      </c>
      <c r="F1141" s="37" t="n">
        <f aca="false">DATE(YEAR(A1141),MONTH(A1141),1)</f>
        <v>46204</v>
      </c>
      <c r="G1141" s="24" t="str">
        <f aca="false">INDEX(Products!$C$2:$C$49,MATCH(C1141,Products!$A$2:$A$49,0))</f>
        <v>Snacks &amp; Confectionery</v>
      </c>
      <c r="H1141" s="33" t="n">
        <f aca="false">D1141*INDEX(Products!$E$2:$E$49,MATCH(C1141,Products!$A$2:$A$49,0))</f>
        <v>10320</v>
      </c>
      <c r="I1141" s="33" t="n">
        <f aca="false">D1141*INDEX(Products!$D$2:$D$49,MATCH(C1141,Products!$A$2:$A$49,0))*(1+INDEX(Assumptions!$B$16:$B$20,MATCH(B1141,Assumptions!$A$16:$A$20,0)))</f>
        <v>7035.66</v>
      </c>
      <c r="J1141" s="33" t="n">
        <f aca="false">H1141-I1141</f>
        <v>3284.34</v>
      </c>
      <c r="K1141" s="33" t="n">
        <f aca="false">IF(OR(E1141=0,E1141&gt;=7),0,D1141/(7-E1141)*E1141*INDEX(Products!$E$2:$E$49,MATCH(C1141,Products!$A$2:$A$49,0)))</f>
        <v>0</v>
      </c>
    </row>
    <row r="1142" customFormat="false" ht="15" hidden="false" customHeight="false" outlineLevel="0" collapsed="false">
      <c r="A1142" s="36" t="n">
        <v>46223</v>
      </c>
      <c r="B1142" s="24" t="s">
        <v>61</v>
      </c>
      <c r="C1142" s="24" t="s">
        <v>205</v>
      </c>
      <c r="D1142" s="33" t="n">
        <v>95</v>
      </c>
      <c r="E1142" s="24" t="n">
        <v>0</v>
      </c>
      <c r="F1142" s="37" t="n">
        <f aca="false">DATE(YEAR(A1142),MONTH(A1142),1)</f>
        <v>46204</v>
      </c>
      <c r="G1142" s="24" t="str">
        <f aca="false">INDEX(Products!$C$2:$C$49,MATCH(C1142,Products!$A$2:$A$49,0))</f>
        <v>Snacks &amp; Confectionery</v>
      </c>
      <c r="H1142" s="33" t="n">
        <f aca="false">D1142*INDEX(Products!$E$2:$E$49,MATCH(C1142,Products!$A$2:$A$49,0))</f>
        <v>11400</v>
      </c>
      <c r="I1142" s="33" t="n">
        <f aca="false">D1142*INDEX(Products!$D$2:$D$49,MATCH(C1142,Products!$A$2:$A$49,0))*(1+INDEX(Assumptions!$B$16:$B$20,MATCH(B1142,Assumptions!$A$16:$A$20,0)))</f>
        <v>7771.95</v>
      </c>
      <c r="J1142" s="33" t="n">
        <f aca="false">H1142-I1142</f>
        <v>3628.05</v>
      </c>
      <c r="K1142" s="33" t="n">
        <f aca="false">IF(OR(E1142=0,E1142&gt;=7),0,D1142/(7-E1142)*E1142*INDEX(Products!$E$2:$E$49,MATCH(C1142,Products!$A$2:$A$49,0)))</f>
        <v>0</v>
      </c>
    </row>
    <row r="1143" customFormat="false" ht="15" hidden="false" customHeight="false" outlineLevel="0" collapsed="false">
      <c r="A1143" s="36" t="n">
        <v>46230</v>
      </c>
      <c r="B1143" s="24" t="s">
        <v>61</v>
      </c>
      <c r="C1143" s="24" t="s">
        <v>205</v>
      </c>
      <c r="D1143" s="33" t="n">
        <v>88</v>
      </c>
      <c r="E1143" s="24" t="n">
        <v>0</v>
      </c>
      <c r="F1143" s="37" t="n">
        <f aca="false">DATE(YEAR(A1143),MONTH(A1143),1)</f>
        <v>46204</v>
      </c>
      <c r="G1143" s="24" t="str">
        <f aca="false">INDEX(Products!$C$2:$C$49,MATCH(C1143,Products!$A$2:$A$49,0))</f>
        <v>Snacks &amp; Confectionery</v>
      </c>
      <c r="H1143" s="33" t="n">
        <f aca="false">D1143*INDEX(Products!$E$2:$E$49,MATCH(C1143,Products!$A$2:$A$49,0))</f>
        <v>10560</v>
      </c>
      <c r="I1143" s="33" t="n">
        <f aca="false">D1143*INDEX(Products!$D$2:$D$49,MATCH(C1143,Products!$A$2:$A$49,0))*(1+INDEX(Assumptions!$B$16:$B$20,MATCH(B1143,Assumptions!$A$16:$A$20,0)))</f>
        <v>7199.28</v>
      </c>
      <c r="J1143" s="33" t="n">
        <f aca="false">H1143-I1143</f>
        <v>3360.72</v>
      </c>
      <c r="K1143" s="33" t="n">
        <f aca="false">IF(OR(E1143=0,E1143&gt;=7),0,D1143/(7-E1143)*E1143*INDEX(Products!$E$2:$E$49,MATCH(C1143,Products!$A$2:$A$49,0)))</f>
        <v>0</v>
      </c>
    </row>
    <row r="1144" customFormat="false" ht="15" hidden="false" customHeight="false" outlineLevel="0" collapsed="false">
      <c r="A1144" s="36" t="n">
        <v>46237</v>
      </c>
      <c r="B1144" s="24" t="s">
        <v>61</v>
      </c>
      <c r="C1144" s="24" t="s">
        <v>205</v>
      </c>
      <c r="D1144" s="33" t="n">
        <v>77</v>
      </c>
      <c r="E1144" s="24" t="n">
        <v>0</v>
      </c>
      <c r="F1144" s="37" t="n">
        <f aca="false">DATE(YEAR(A1144),MONTH(A1144),1)</f>
        <v>46235</v>
      </c>
      <c r="G1144" s="24" t="str">
        <f aca="false">INDEX(Products!$C$2:$C$49,MATCH(C1144,Products!$A$2:$A$49,0))</f>
        <v>Snacks &amp; Confectionery</v>
      </c>
      <c r="H1144" s="33" t="n">
        <f aca="false">D1144*INDEX(Products!$E$2:$E$49,MATCH(C1144,Products!$A$2:$A$49,0))</f>
        <v>9240</v>
      </c>
      <c r="I1144" s="33" t="n">
        <f aca="false">D1144*INDEX(Products!$D$2:$D$49,MATCH(C1144,Products!$A$2:$A$49,0))*(1+INDEX(Assumptions!$B$16:$B$20,MATCH(B1144,Assumptions!$A$16:$A$20,0)))</f>
        <v>6299.37</v>
      </c>
      <c r="J1144" s="33" t="n">
        <f aca="false">H1144-I1144</f>
        <v>2940.63</v>
      </c>
      <c r="K1144" s="33" t="n">
        <f aca="false">IF(OR(E1144=0,E1144&gt;=7),0,D1144/(7-E1144)*E1144*INDEX(Products!$E$2:$E$49,MATCH(C1144,Products!$A$2:$A$49,0)))</f>
        <v>0</v>
      </c>
    </row>
    <row r="1145" customFormat="false" ht="15" hidden="false" customHeight="false" outlineLevel="0" collapsed="false">
      <c r="A1145" s="36" t="n">
        <v>46244</v>
      </c>
      <c r="B1145" s="24" t="s">
        <v>61</v>
      </c>
      <c r="C1145" s="24" t="s">
        <v>205</v>
      </c>
      <c r="D1145" s="33" t="n">
        <v>98</v>
      </c>
      <c r="E1145" s="24" t="n">
        <v>0</v>
      </c>
      <c r="F1145" s="37" t="n">
        <f aca="false">DATE(YEAR(A1145),MONTH(A1145),1)</f>
        <v>46235</v>
      </c>
      <c r="G1145" s="24" t="str">
        <f aca="false">INDEX(Products!$C$2:$C$49,MATCH(C1145,Products!$A$2:$A$49,0))</f>
        <v>Snacks &amp; Confectionery</v>
      </c>
      <c r="H1145" s="33" t="n">
        <f aca="false">D1145*INDEX(Products!$E$2:$E$49,MATCH(C1145,Products!$A$2:$A$49,0))</f>
        <v>11760</v>
      </c>
      <c r="I1145" s="33" t="n">
        <f aca="false">D1145*INDEX(Products!$D$2:$D$49,MATCH(C1145,Products!$A$2:$A$49,0))*(1+INDEX(Assumptions!$B$16:$B$20,MATCH(B1145,Assumptions!$A$16:$A$20,0)))</f>
        <v>8017.38</v>
      </c>
      <c r="J1145" s="33" t="n">
        <f aca="false">H1145-I1145</f>
        <v>3742.62</v>
      </c>
      <c r="K1145" s="33" t="n">
        <f aca="false">IF(OR(E1145=0,E1145&gt;=7),0,D1145/(7-E1145)*E1145*INDEX(Products!$E$2:$E$49,MATCH(C1145,Products!$A$2:$A$49,0)))</f>
        <v>0</v>
      </c>
    </row>
    <row r="1146" customFormat="false" ht="15" hidden="false" customHeight="false" outlineLevel="0" collapsed="false">
      <c r="A1146" s="36" t="n">
        <v>46251</v>
      </c>
      <c r="B1146" s="24" t="s">
        <v>61</v>
      </c>
      <c r="C1146" s="24" t="s">
        <v>205</v>
      </c>
      <c r="D1146" s="33" t="n">
        <v>88</v>
      </c>
      <c r="E1146" s="24" t="n">
        <v>0</v>
      </c>
      <c r="F1146" s="37" t="n">
        <f aca="false">DATE(YEAR(A1146),MONTH(A1146),1)</f>
        <v>46235</v>
      </c>
      <c r="G1146" s="24" t="str">
        <f aca="false">INDEX(Products!$C$2:$C$49,MATCH(C1146,Products!$A$2:$A$49,0))</f>
        <v>Snacks &amp; Confectionery</v>
      </c>
      <c r="H1146" s="33" t="n">
        <f aca="false">D1146*INDEX(Products!$E$2:$E$49,MATCH(C1146,Products!$A$2:$A$49,0))</f>
        <v>10560</v>
      </c>
      <c r="I1146" s="33" t="n">
        <f aca="false">D1146*INDEX(Products!$D$2:$D$49,MATCH(C1146,Products!$A$2:$A$49,0))*(1+INDEX(Assumptions!$B$16:$B$20,MATCH(B1146,Assumptions!$A$16:$A$20,0)))</f>
        <v>7199.28</v>
      </c>
      <c r="J1146" s="33" t="n">
        <f aca="false">H1146-I1146</f>
        <v>3360.72</v>
      </c>
      <c r="K1146" s="33" t="n">
        <f aca="false">IF(OR(E1146=0,E1146&gt;=7),0,D1146/(7-E1146)*E1146*INDEX(Products!$E$2:$E$49,MATCH(C1146,Products!$A$2:$A$49,0)))</f>
        <v>0</v>
      </c>
    </row>
    <row r="1147" customFormat="false" ht="15" hidden="false" customHeight="false" outlineLevel="0" collapsed="false">
      <c r="A1147" s="36" t="n">
        <v>46258</v>
      </c>
      <c r="B1147" s="24" t="s">
        <v>61</v>
      </c>
      <c r="C1147" s="24" t="s">
        <v>205</v>
      </c>
      <c r="D1147" s="33" t="n">
        <v>119</v>
      </c>
      <c r="E1147" s="24" t="n">
        <v>0</v>
      </c>
      <c r="F1147" s="37" t="n">
        <f aca="false">DATE(YEAR(A1147),MONTH(A1147),1)</f>
        <v>46235</v>
      </c>
      <c r="G1147" s="24" t="str">
        <f aca="false">INDEX(Products!$C$2:$C$49,MATCH(C1147,Products!$A$2:$A$49,0))</f>
        <v>Snacks &amp; Confectionery</v>
      </c>
      <c r="H1147" s="33" t="n">
        <f aca="false">D1147*INDEX(Products!$E$2:$E$49,MATCH(C1147,Products!$A$2:$A$49,0))</f>
        <v>14280</v>
      </c>
      <c r="I1147" s="33" t="n">
        <f aca="false">D1147*INDEX(Products!$D$2:$D$49,MATCH(C1147,Products!$A$2:$A$49,0))*(1+INDEX(Assumptions!$B$16:$B$20,MATCH(B1147,Assumptions!$A$16:$A$20,0)))</f>
        <v>9735.39</v>
      </c>
      <c r="J1147" s="33" t="n">
        <f aca="false">H1147-I1147</f>
        <v>4544.61</v>
      </c>
      <c r="K1147" s="33" t="n">
        <f aca="false">IF(OR(E1147=0,E1147&gt;=7),0,D1147/(7-E1147)*E1147*INDEX(Products!$E$2:$E$49,MATCH(C1147,Products!$A$2:$A$49,0)))</f>
        <v>0</v>
      </c>
    </row>
    <row r="1148" customFormat="false" ht="15" hidden="false" customHeight="false" outlineLevel="0" collapsed="false">
      <c r="A1148" s="36" t="n">
        <v>46265</v>
      </c>
      <c r="B1148" s="24" t="s">
        <v>61</v>
      </c>
      <c r="C1148" s="24" t="s">
        <v>205</v>
      </c>
      <c r="D1148" s="33" t="n">
        <v>110</v>
      </c>
      <c r="E1148" s="24" t="n">
        <v>0</v>
      </c>
      <c r="F1148" s="37" t="n">
        <f aca="false">DATE(YEAR(A1148),MONTH(A1148),1)</f>
        <v>46235</v>
      </c>
      <c r="G1148" s="24" t="str">
        <f aca="false">INDEX(Products!$C$2:$C$49,MATCH(C1148,Products!$A$2:$A$49,0))</f>
        <v>Snacks &amp; Confectionery</v>
      </c>
      <c r="H1148" s="33" t="n">
        <f aca="false">D1148*INDEX(Products!$E$2:$E$49,MATCH(C1148,Products!$A$2:$A$49,0))</f>
        <v>13200</v>
      </c>
      <c r="I1148" s="33" t="n">
        <f aca="false">D1148*INDEX(Products!$D$2:$D$49,MATCH(C1148,Products!$A$2:$A$49,0))*(1+INDEX(Assumptions!$B$16:$B$20,MATCH(B1148,Assumptions!$A$16:$A$20,0)))</f>
        <v>8999.1</v>
      </c>
      <c r="J1148" s="33" t="n">
        <f aca="false">H1148-I1148</f>
        <v>4200.9</v>
      </c>
      <c r="K1148" s="33" t="n">
        <f aca="false">IF(OR(E1148=0,E1148&gt;=7),0,D1148/(7-E1148)*E1148*INDEX(Products!$E$2:$E$49,MATCH(C1148,Products!$A$2:$A$49,0)))</f>
        <v>0</v>
      </c>
    </row>
    <row r="1149" customFormat="false" ht="15" hidden="false" customHeight="false" outlineLevel="0" collapsed="false">
      <c r="A1149" s="36" t="n">
        <v>46272</v>
      </c>
      <c r="B1149" s="24" t="s">
        <v>61</v>
      </c>
      <c r="C1149" s="24" t="s">
        <v>205</v>
      </c>
      <c r="D1149" s="33" t="n">
        <v>115</v>
      </c>
      <c r="E1149" s="24" t="n">
        <v>0</v>
      </c>
      <c r="F1149" s="37" t="n">
        <f aca="false">DATE(YEAR(A1149),MONTH(A1149),1)</f>
        <v>46266</v>
      </c>
      <c r="G1149" s="24" t="str">
        <f aca="false">INDEX(Products!$C$2:$C$49,MATCH(C1149,Products!$A$2:$A$49,0))</f>
        <v>Snacks &amp; Confectionery</v>
      </c>
      <c r="H1149" s="33" t="n">
        <f aca="false">D1149*INDEX(Products!$E$2:$E$49,MATCH(C1149,Products!$A$2:$A$49,0))</f>
        <v>13800</v>
      </c>
      <c r="I1149" s="33" t="n">
        <f aca="false">D1149*INDEX(Products!$D$2:$D$49,MATCH(C1149,Products!$A$2:$A$49,0))*(1+INDEX(Assumptions!$B$16:$B$20,MATCH(B1149,Assumptions!$A$16:$A$20,0)))</f>
        <v>9408.15</v>
      </c>
      <c r="J1149" s="33" t="n">
        <f aca="false">H1149-I1149</f>
        <v>4391.85</v>
      </c>
      <c r="K1149" s="33" t="n">
        <f aca="false">IF(OR(E1149=0,E1149&gt;=7),0,D1149/(7-E1149)*E1149*INDEX(Products!$E$2:$E$49,MATCH(C1149,Products!$A$2:$A$49,0)))</f>
        <v>0</v>
      </c>
    </row>
    <row r="1150" customFormat="false" ht="15" hidden="false" customHeight="false" outlineLevel="0" collapsed="false">
      <c r="A1150" s="36" t="n">
        <v>46279</v>
      </c>
      <c r="B1150" s="24" t="s">
        <v>61</v>
      </c>
      <c r="C1150" s="24" t="s">
        <v>205</v>
      </c>
      <c r="D1150" s="33" t="n">
        <v>98</v>
      </c>
      <c r="E1150" s="24" t="n">
        <v>0</v>
      </c>
      <c r="F1150" s="37" t="n">
        <f aca="false">DATE(YEAR(A1150),MONTH(A1150),1)</f>
        <v>46266</v>
      </c>
      <c r="G1150" s="24" t="str">
        <f aca="false">INDEX(Products!$C$2:$C$49,MATCH(C1150,Products!$A$2:$A$49,0))</f>
        <v>Snacks &amp; Confectionery</v>
      </c>
      <c r="H1150" s="33" t="n">
        <f aca="false">D1150*INDEX(Products!$E$2:$E$49,MATCH(C1150,Products!$A$2:$A$49,0))</f>
        <v>11760</v>
      </c>
      <c r="I1150" s="33" t="n">
        <f aca="false">D1150*INDEX(Products!$D$2:$D$49,MATCH(C1150,Products!$A$2:$A$49,0))*(1+INDEX(Assumptions!$B$16:$B$20,MATCH(B1150,Assumptions!$A$16:$A$20,0)))</f>
        <v>8017.38</v>
      </c>
      <c r="J1150" s="33" t="n">
        <f aca="false">H1150-I1150</f>
        <v>3742.62</v>
      </c>
      <c r="K1150" s="33" t="n">
        <f aca="false">IF(OR(E1150=0,E1150&gt;=7),0,D1150/(7-E1150)*E1150*INDEX(Products!$E$2:$E$49,MATCH(C1150,Products!$A$2:$A$49,0)))</f>
        <v>0</v>
      </c>
    </row>
    <row r="1151" customFormat="false" ht="15" hidden="false" customHeight="false" outlineLevel="0" collapsed="false">
      <c r="A1151" s="36" t="n">
        <v>46286</v>
      </c>
      <c r="B1151" s="24" t="s">
        <v>61</v>
      </c>
      <c r="C1151" s="24" t="s">
        <v>205</v>
      </c>
      <c r="D1151" s="33" t="n">
        <v>114</v>
      </c>
      <c r="E1151" s="24" t="n">
        <v>0</v>
      </c>
      <c r="F1151" s="37" t="n">
        <f aca="false">DATE(YEAR(A1151),MONTH(A1151),1)</f>
        <v>46266</v>
      </c>
      <c r="G1151" s="24" t="str">
        <f aca="false">INDEX(Products!$C$2:$C$49,MATCH(C1151,Products!$A$2:$A$49,0))</f>
        <v>Snacks &amp; Confectionery</v>
      </c>
      <c r="H1151" s="33" t="n">
        <f aca="false">D1151*INDEX(Products!$E$2:$E$49,MATCH(C1151,Products!$A$2:$A$49,0))</f>
        <v>13680</v>
      </c>
      <c r="I1151" s="33" t="n">
        <f aca="false">D1151*INDEX(Products!$D$2:$D$49,MATCH(C1151,Products!$A$2:$A$49,0))*(1+INDEX(Assumptions!$B$16:$B$20,MATCH(B1151,Assumptions!$A$16:$A$20,0)))</f>
        <v>9326.34</v>
      </c>
      <c r="J1151" s="33" t="n">
        <f aca="false">H1151-I1151</f>
        <v>4353.66</v>
      </c>
      <c r="K1151" s="33" t="n">
        <f aca="false">IF(OR(E1151=0,E1151&gt;=7),0,D1151/(7-E1151)*E1151*INDEX(Products!$E$2:$E$49,MATCH(C1151,Products!$A$2:$A$49,0)))</f>
        <v>0</v>
      </c>
    </row>
    <row r="1152" customFormat="false" ht="15" hidden="false" customHeight="false" outlineLevel="0" collapsed="false">
      <c r="A1152" s="36" t="n">
        <v>46118</v>
      </c>
      <c r="B1152" s="24" t="s">
        <v>61</v>
      </c>
      <c r="C1152" s="24" t="s">
        <v>207</v>
      </c>
      <c r="D1152" s="33" t="n">
        <v>98</v>
      </c>
      <c r="E1152" s="24" t="n">
        <v>0</v>
      </c>
      <c r="F1152" s="37" t="n">
        <f aca="false">DATE(YEAR(A1152),MONTH(A1152),1)</f>
        <v>46113</v>
      </c>
      <c r="G1152" s="24" t="str">
        <f aca="false">INDEX(Products!$C$2:$C$49,MATCH(C1152,Products!$A$2:$A$49,0))</f>
        <v>Snacks &amp; Confectionery</v>
      </c>
      <c r="H1152" s="33" t="n">
        <f aca="false">D1152*INDEX(Products!$E$2:$E$49,MATCH(C1152,Products!$A$2:$A$49,0))</f>
        <v>17640</v>
      </c>
      <c r="I1152" s="33" t="n">
        <f aca="false">D1152*INDEX(Products!$D$2:$D$49,MATCH(C1152,Products!$A$2:$A$49,0))*(1+INDEX(Assumptions!$B$16:$B$20,MATCH(B1152,Assumptions!$A$16:$A$20,0)))</f>
        <v>12471.48</v>
      </c>
      <c r="J1152" s="33" t="n">
        <f aca="false">H1152-I1152</f>
        <v>5168.52</v>
      </c>
      <c r="K1152" s="33" t="n">
        <f aca="false">IF(OR(E1152=0,E1152&gt;=7),0,D1152/(7-E1152)*E1152*INDEX(Products!$E$2:$E$49,MATCH(C1152,Products!$A$2:$A$49,0)))</f>
        <v>0</v>
      </c>
    </row>
    <row r="1153" customFormat="false" ht="15" hidden="false" customHeight="false" outlineLevel="0" collapsed="false">
      <c r="A1153" s="36" t="n">
        <v>46125</v>
      </c>
      <c r="B1153" s="24" t="s">
        <v>61</v>
      </c>
      <c r="C1153" s="24" t="s">
        <v>207</v>
      </c>
      <c r="D1153" s="33" t="n">
        <v>85</v>
      </c>
      <c r="E1153" s="24" t="n">
        <v>0</v>
      </c>
      <c r="F1153" s="37" t="n">
        <f aca="false">DATE(YEAR(A1153),MONTH(A1153),1)</f>
        <v>46113</v>
      </c>
      <c r="G1153" s="24" t="str">
        <f aca="false">INDEX(Products!$C$2:$C$49,MATCH(C1153,Products!$A$2:$A$49,0))</f>
        <v>Snacks &amp; Confectionery</v>
      </c>
      <c r="H1153" s="33" t="n">
        <f aca="false">D1153*INDEX(Products!$E$2:$E$49,MATCH(C1153,Products!$A$2:$A$49,0))</f>
        <v>15300</v>
      </c>
      <c r="I1153" s="33" t="n">
        <f aca="false">D1153*INDEX(Products!$D$2:$D$49,MATCH(C1153,Products!$A$2:$A$49,0))*(1+INDEX(Assumptions!$B$16:$B$20,MATCH(B1153,Assumptions!$A$16:$A$20,0)))</f>
        <v>10817.1</v>
      </c>
      <c r="J1153" s="33" t="n">
        <f aca="false">H1153-I1153</f>
        <v>4482.9</v>
      </c>
      <c r="K1153" s="33" t="n">
        <f aca="false">IF(OR(E1153=0,E1153&gt;=7),0,D1153/(7-E1153)*E1153*INDEX(Products!$E$2:$E$49,MATCH(C1153,Products!$A$2:$A$49,0)))</f>
        <v>0</v>
      </c>
    </row>
    <row r="1154" customFormat="false" ht="15" hidden="false" customHeight="false" outlineLevel="0" collapsed="false">
      <c r="A1154" s="36" t="n">
        <v>46132</v>
      </c>
      <c r="B1154" s="24" t="s">
        <v>61</v>
      </c>
      <c r="C1154" s="24" t="s">
        <v>207</v>
      </c>
      <c r="D1154" s="33" t="n">
        <v>106</v>
      </c>
      <c r="E1154" s="24" t="n">
        <v>0</v>
      </c>
      <c r="F1154" s="37" t="n">
        <f aca="false">DATE(YEAR(A1154),MONTH(A1154),1)</f>
        <v>46113</v>
      </c>
      <c r="G1154" s="24" t="str">
        <f aca="false">INDEX(Products!$C$2:$C$49,MATCH(C1154,Products!$A$2:$A$49,0))</f>
        <v>Snacks &amp; Confectionery</v>
      </c>
      <c r="H1154" s="33" t="n">
        <f aca="false">D1154*INDEX(Products!$E$2:$E$49,MATCH(C1154,Products!$A$2:$A$49,0))</f>
        <v>19080</v>
      </c>
      <c r="I1154" s="33" t="n">
        <f aca="false">D1154*INDEX(Products!$D$2:$D$49,MATCH(C1154,Products!$A$2:$A$49,0))*(1+INDEX(Assumptions!$B$16:$B$20,MATCH(B1154,Assumptions!$A$16:$A$20,0)))</f>
        <v>13489.56</v>
      </c>
      <c r="J1154" s="33" t="n">
        <f aca="false">H1154-I1154</f>
        <v>5590.44</v>
      </c>
      <c r="K1154" s="33" t="n">
        <f aca="false">IF(OR(E1154=0,E1154&gt;=7),0,D1154/(7-E1154)*E1154*INDEX(Products!$E$2:$E$49,MATCH(C1154,Products!$A$2:$A$49,0)))</f>
        <v>0</v>
      </c>
    </row>
    <row r="1155" customFormat="false" ht="15" hidden="false" customHeight="false" outlineLevel="0" collapsed="false">
      <c r="A1155" s="36" t="n">
        <v>46139</v>
      </c>
      <c r="B1155" s="24" t="s">
        <v>61</v>
      </c>
      <c r="C1155" s="24" t="s">
        <v>207</v>
      </c>
      <c r="D1155" s="33" t="n">
        <v>105</v>
      </c>
      <c r="E1155" s="24" t="n">
        <v>0</v>
      </c>
      <c r="F1155" s="37" t="n">
        <f aca="false">DATE(YEAR(A1155),MONTH(A1155),1)</f>
        <v>46113</v>
      </c>
      <c r="G1155" s="24" t="str">
        <f aca="false">INDEX(Products!$C$2:$C$49,MATCH(C1155,Products!$A$2:$A$49,0))</f>
        <v>Snacks &amp; Confectionery</v>
      </c>
      <c r="H1155" s="33" t="n">
        <f aca="false">D1155*INDEX(Products!$E$2:$E$49,MATCH(C1155,Products!$A$2:$A$49,0))</f>
        <v>18900</v>
      </c>
      <c r="I1155" s="33" t="n">
        <f aca="false">D1155*INDEX(Products!$D$2:$D$49,MATCH(C1155,Products!$A$2:$A$49,0))*(1+INDEX(Assumptions!$B$16:$B$20,MATCH(B1155,Assumptions!$A$16:$A$20,0)))</f>
        <v>13362.3</v>
      </c>
      <c r="J1155" s="33" t="n">
        <f aca="false">H1155-I1155</f>
        <v>5537.7</v>
      </c>
      <c r="K1155" s="33" t="n">
        <f aca="false">IF(OR(E1155=0,E1155&gt;=7),0,D1155/(7-E1155)*E1155*INDEX(Products!$E$2:$E$49,MATCH(C1155,Products!$A$2:$A$49,0)))</f>
        <v>0</v>
      </c>
    </row>
    <row r="1156" customFormat="false" ht="15" hidden="false" customHeight="false" outlineLevel="0" collapsed="false">
      <c r="A1156" s="36" t="n">
        <v>46146</v>
      </c>
      <c r="B1156" s="24" t="s">
        <v>61</v>
      </c>
      <c r="C1156" s="24" t="s">
        <v>207</v>
      </c>
      <c r="D1156" s="33" t="n">
        <v>80</v>
      </c>
      <c r="E1156" s="24" t="n">
        <v>0</v>
      </c>
      <c r="F1156" s="37" t="n">
        <f aca="false">DATE(YEAR(A1156),MONTH(A1156),1)</f>
        <v>46143</v>
      </c>
      <c r="G1156" s="24" t="str">
        <f aca="false">INDEX(Products!$C$2:$C$49,MATCH(C1156,Products!$A$2:$A$49,0))</f>
        <v>Snacks &amp; Confectionery</v>
      </c>
      <c r="H1156" s="33" t="n">
        <f aca="false">D1156*INDEX(Products!$E$2:$E$49,MATCH(C1156,Products!$A$2:$A$49,0))</f>
        <v>14400</v>
      </c>
      <c r="I1156" s="33" t="n">
        <f aca="false">D1156*INDEX(Products!$D$2:$D$49,MATCH(C1156,Products!$A$2:$A$49,0))*(1+INDEX(Assumptions!$B$16:$B$20,MATCH(B1156,Assumptions!$A$16:$A$20,0)))</f>
        <v>10180.8</v>
      </c>
      <c r="J1156" s="33" t="n">
        <f aca="false">H1156-I1156</f>
        <v>4219.2</v>
      </c>
      <c r="K1156" s="33" t="n">
        <f aca="false">IF(OR(E1156=0,E1156&gt;=7),0,D1156/(7-E1156)*E1156*INDEX(Products!$E$2:$E$49,MATCH(C1156,Products!$A$2:$A$49,0)))</f>
        <v>0</v>
      </c>
    </row>
    <row r="1157" customFormat="false" ht="15" hidden="false" customHeight="false" outlineLevel="0" collapsed="false">
      <c r="A1157" s="36" t="n">
        <v>46153</v>
      </c>
      <c r="B1157" s="24" t="s">
        <v>61</v>
      </c>
      <c r="C1157" s="24" t="s">
        <v>207</v>
      </c>
      <c r="D1157" s="33" t="n">
        <v>78</v>
      </c>
      <c r="E1157" s="24" t="n">
        <v>0</v>
      </c>
      <c r="F1157" s="37" t="n">
        <f aca="false">DATE(YEAR(A1157),MONTH(A1157),1)</f>
        <v>46143</v>
      </c>
      <c r="G1157" s="24" t="str">
        <f aca="false">INDEX(Products!$C$2:$C$49,MATCH(C1157,Products!$A$2:$A$49,0))</f>
        <v>Snacks &amp; Confectionery</v>
      </c>
      <c r="H1157" s="33" t="n">
        <f aca="false">D1157*INDEX(Products!$E$2:$E$49,MATCH(C1157,Products!$A$2:$A$49,0))</f>
        <v>14040</v>
      </c>
      <c r="I1157" s="33" t="n">
        <f aca="false">D1157*INDEX(Products!$D$2:$D$49,MATCH(C1157,Products!$A$2:$A$49,0))*(1+INDEX(Assumptions!$B$16:$B$20,MATCH(B1157,Assumptions!$A$16:$A$20,0)))</f>
        <v>9926.28</v>
      </c>
      <c r="J1157" s="33" t="n">
        <f aca="false">H1157-I1157</f>
        <v>4113.72</v>
      </c>
      <c r="K1157" s="33" t="n">
        <f aca="false">IF(OR(E1157=0,E1157&gt;=7),0,D1157/(7-E1157)*E1157*INDEX(Products!$E$2:$E$49,MATCH(C1157,Products!$A$2:$A$49,0)))</f>
        <v>0</v>
      </c>
    </row>
    <row r="1158" customFormat="false" ht="15" hidden="false" customHeight="false" outlineLevel="0" collapsed="false">
      <c r="A1158" s="36" t="n">
        <v>46160</v>
      </c>
      <c r="B1158" s="24" t="s">
        <v>61</v>
      </c>
      <c r="C1158" s="24" t="s">
        <v>207</v>
      </c>
      <c r="D1158" s="33" t="n">
        <v>179</v>
      </c>
      <c r="E1158" s="24" t="n">
        <v>0</v>
      </c>
      <c r="F1158" s="37" t="n">
        <f aca="false">DATE(YEAR(A1158),MONTH(A1158),1)</f>
        <v>46143</v>
      </c>
      <c r="G1158" s="24" t="str">
        <f aca="false">INDEX(Products!$C$2:$C$49,MATCH(C1158,Products!$A$2:$A$49,0))</f>
        <v>Snacks &amp; Confectionery</v>
      </c>
      <c r="H1158" s="33" t="n">
        <f aca="false">D1158*INDEX(Products!$E$2:$E$49,MATCH(C1158,Products!$A$2:$A$49,0))</f>
        <v>32220</v>
      </c>
      <c r="I1158" s="33" t="n">
        <f aca="false">D1158*INDEX(Products!$D$2:$D$49,MATCH(C1158,Products!$A$2:$A$49,0))*(1+INDEX(Assumptions!$B$16:$B$20,MATCH(B1158,Assumptions!$A$16:$A$20,0)))</f>
        <v>22779.54</v>
      </c>
      <c r="J1158" s="33" t="n">
        <f aca="false">H1158-I1158</f>
        <v>9440.46</v>
      </c>
      <c r="K1158" s="33" t="n">
        <f aca="false">IF(OR(E1158=0,E1158&gt;=7),0,D1158/(7-E1158)*E1158*INDEX(Products!$E$2:$E$49,MATCH(C1158,Products!$A$2:$A$49,0)))</f>
        <v>0</v>
      </c>
    </row>
    <row r="1159" customFormat="false" ht="15" hidden="false" customHeight="false" outlineLevel="0" collapsed="false">
      <c r="A1159" s="36" t="n">
        <v>46167</v>
      </c>
      <c r="B1159" s="24" t="s">
        <v>61</v>
      </c>
      <c r="C1159" s="24" t="s">
        <v>207</v>
      </c>
      <c r="D1159" s="33" t="n">
        <v>116</v>
      </c>
      <c r="E1159" s="24" t="n">
        <v>0</v>
      </c>
      <c r="F1159" s="37" t="n">
        <f aca="false">DATE(YEAR(A1159),MONTH(A1159),1)</f>
        <v>46143</v>
      </c>
      <c r="G1159" s="24" t="str">
        <f aca="false">INDEX(Products!$C$2:$C$49,MATCH(C1159,Products!$A$2:$A$49,0))</f>
        <v>Snacks &amp; Confectionery</v>
      </c>
      <c r="H1159" s="33" t="n">
        <f aca="false">D1159*INDEX(Products!$E$2:$E$49,MATCH(C1159,Products!$A$2:$A$49,0))</f>
        <v>20880</v>
      </c>
      <c r="I1159" s="33" t="n">
        <f aca="false">D1159*INDEX(Products!$D$2:$D$49,MATCH(C1159,Products!$A$2:$A$49,0))*(1+INDEX(Assumptions!$B$16:$B$20,MATCH(B1159,Assumptions!$A$16:$A$20,0)))</f>
        <v>14762.16</v>
      </c>
      <c r="J1159" s="33" t="n">
        <f aca="false">H1159-I1159</f>
        <v>6117.84</v>
      </c>
      <c r="K1159" s="33" t="n">
        <f aca="false">IF(OR(E1159=0,E1159&gt;=7),0,D1159/(7-E1159)*E1159*INDEX(Products!$E$2:$E$49,MATCH(C1159,Products!$A$2:$A$49,0)))</f>
        <v>0</v>
      </c>
    </row>
    <row r="1160" customFormat="false" ht="15" hidden="false" customHeight="false" outlineLevel="0" collapsed="false">
      <c r="A1160" s="36" t="n">
        <v>46174</v>
      </c>
      <c r="B1160" s="24" t="s">
        <v>61</v>
      </c>
      <c r="C1160" s="24" t="s">
        <v>207</v>
      </c>
      <c r="D1160" s="33" t="n">
        <v>48</v>
      </c>
      <c r="E1160" s="24" t="n">
        <v>3</v>
      </c>
      <c r="F1160" s="37" t="n">
        <f aca="false">DATE(YEAR(A1160),MONTH(A1160),1)</f>
        <v>46174</v>
      </c>
      <c r="G1160" s="24" t="str">
        <f aca="false">INDEX(Products!$C$2:$C$49,MATCH(C1160,Products!$A$2:$A$49,0))</f>
        <v>Snacks &amp; Confectionery</v>
      </c>
      <c r="H1160" s="33" t="n">
        <f aca="false">D1160*INDEX(Products!$E$2:$E$49,MATCH(C1160,Products!$A$2:$A$49,0))</f>
        <v>8640</v>
      </c>
      <c r="I1160" s="33" t="n">
        <f aca="false">D1160*INDEX(Products!$D$2:$D$49,MATCH(C1160,Products!$A$2:$A$49,0))*(1+INDEX(Assumptions!$B$16:$B$20,MATCH(B1160,Assumptions!$A$16:$A$20,0)))</f>
        <v>6108.48</v>
      </c>
      <c r="J1160" s="33" t="n">
        <f aca="false">H1160-I1160</f>
        <v>2531.52</v>
      </c>
      <c r="K1160" s="33" t="n">
        <f aca="false">IF(OR(E1160=0,E1160&gt;=7),0,D1160/(7-E1160)*E1160*INDEX(Products!$E$2:$E$49,MATCH(C1160,Products!$A$2:$A$49,0)))</f>
        <v>6480</v>
      </c>
    </row>
    <row r="1161" customFormat="false" ht="15" hidden="false" customHeight="false" outlineLevel="0" collapsed="false">
      <c r="A1161" s="36" t="n">
        <v>46181</v>
      </c>
      <c r="B1161" s="24" t="s">
        <v>61</v>
      </c>
      <c r="C1161" s="24" t="s">
        <v>207</v>
      </c>
      <c r="D1161" s="33" t="n">
        <v>124</v>
      </c>
      <c r="E1161" s="24" t="n">
        <v>0</v>
      </c>
      <c r="F1161" s="37" t="n">
        <f aca="false">DATE(YEAR(A1161),MONTH(A1161),1)</f>
        <v>46174</v>
      </c>
      <c r="G1161" s="24" t="str">
        <f aca="false">INDEX(Products!$C$2:$C$49,MATCH(C1161,Products!$A$2:$A$49,0))</f>
        <v>Snacks &amp; Confectionery</v>
      </c>
      <c r="H1161" s="33" t="n">
        <f aca="false">D1161*INDEX(Products!$E$2:$E$49,MATCH(C1161,Products!$A$2:$A$49,0))</f>
        <v>22320</v>
      </c>
      <c r="I1161" s="33" t="n">
        <f aca="false">D1161*INDEX(Products!$D$2:$D$49,MATCH(C1161,Products!$A$2:$A$49,0))*(1+INDEX(Assumptions!$B$16:$B$20,MATCH(B1161,Assumptions!$A$16:$A$20,0)))</f>
        <v>15780.24</v>
      </c>
      <c r="J1161" s="33" t="n">
        <f aca="false">H1161-I1161</f>
        <v>6539.76</v>
      </c>
      <c r="K1161" s="33" t="n">
        <f aca="false">IF(OR(E1161=0,E1161&gt;=7),0,D1161/(7-E1161)*E1161*INDEX(Products!$E$2:$E$49,MATCH(C1161,Products!$A$2:$A$49,0)))</f>
        <v>0</v>
      </c>
    </row>
    <row r="1162" customFormat="false" ht="15" hidden="false" customHeight="false" outlineLevel="0" collapsed="false">
      <c r="A1162" s="36" t="n">
        <v>46188</v>
      </c>
      <c r="B1162" s="24" t="s">
        <v>61</v>
      </c>
      <c r="C1162" s="24" t="s">
        <v>207</v>
      </c>
      <c r="D1162" s="33" t="n">
        <v>84</v>
      </c>
      <c r="E1162" s="24" t="n">
        <v>0</v>
      </c>
      <c r="F1162" s="37" t="n">
        <f aca="false">DATE(YEAR(A1162),MONTH(A1162),1)</f>
        <v>46174</v>
      </c>
      <c r="G1162" s="24" t="str">
        <f aca="false">INDEX(Products!$C$2:$C$49,MATCH(C1162,Products!$A$2:$A$49,0))</f>
        <v>Snacks &amp; Confectionery</v>
      </c>
      <c r="H1162" s="33" t="n">
        <f aca="false">D1162*INDEX(Products!$E$2:$E$49,MATCH(C1162,Products!$A$2:$A$49,0))</f>
        <v>15120</v>
      </c>
      <c r="I1162" s="33" t="n">
        <f aca="false">D1162*INDEX(Products!$D$2:$D$49,MATCH(C1162,Products!$A$2:$A$49,0))*(1+INDEX(Assumptions!$B$16:$B$20,MATCH(B1162,Assumptions!$A$16:$A$20,0)))</f>
        <v>10689.84</v>
      </c>
      <c r="J1162" s="33" t="n">
        <f aca="false">H1162-I1162</f>
        <v>4430.16</v>
      </c>
      <c r="K1162" s="33" t="n">
        <f aca="false">IF(OR(E1162=0,E1162&gt;=7),0,D1162/(7-E1162)*E1162*INDEX(Products!$E$2:$E$49,MATCH(C1162,Products!$A$2:$A$49,0)))</f>
        <v>0</v>
      </c>
    </row>
    <row r="1163" customFormat="false" ht="15" hidden="false" customHeight="false" outlineLevel="0" collapsed="false">
      <c r="A1163" s="36" t="n">
        <v>46195</v>
      </c>
      <c r="B1163" s="24" t="s">
        <v>61</v>
      </c>
      <c r="C1163" s="24" t="s">
        <v>207</v>
      </c>
      <c r="D1163" s="33" t="n">
        <v>98</v>
      </c>
      <c r="E1163" s="24" t="n">
        <v>0</v>
      </c>
      <c r="F1163" s="37" t="n">
        <f aca="false">DATE(YEAR(A1163),MONTH(A1163),1)</f>
        <v>46174</v>
      </c>
      <c r="G1163" s="24" t="str">
        <f aca="false">INDEX(Products!$C$2:$C$49,MATCH(C1163,Products!$A$2:$A$49,0))</f>
        <v>Snacks &amp; Confectionery</v>
      </c>
      <c r="H1163" s="33" t="n">
        <f aca="false">D1163*INDEX(Products!$E$2:$E$49,MATCH(C1163,Products!$A$2:$A$49,0))</f>
        <v>17640</v>
      </c>
      <c r="I1163" s="33" t="n">
        <f aca="false">D1163*INDEX(Products!$D$2:$D$49,MATCH(C1163,Products!$A$2:$A$49,0))*(1+INDEX(Assumptions!$B$16:$B$20,MATCH(B1163,Assumptions!$A$16:$A$20,0)))</f>
        <v>12471.48</v>
      </c>
      <c r="J1163" s="33" t="n">
        <f aca="false">H1163-I1163</f>
        <v>5168.52</v>
      </c>
      <c r="K1163" s="33" t="n">
        <f aca="false">IF(OR(E1163=0,E1163&gt;=7),0,D1163/(7-E1163)*E1163*INDEX(Products!$E$2:$E$49,MATCH(C1163,Products!$A$2:$A$49,0)))</f>
        <v>0</v>
      </c>
    </row>
    <row r="1164" customFormat="false" ht="15" hidden="false" customHeight="false" outlineLevel="0" collapsed="false">
      <c r="A1164" s="36" t="n">
        <v>46202</v>
      </c>
      <c r="B1164" s="24" t="s">
        <v>61</v>
      </c>
      <c r="C1164" s="24" t="s">
        <v>207</v>
      </c>
      <c r="D1164" s="33" t="n">
        <v>108</v>
      </c>
      <c r="E1164" s="24" t="n">
        <v>0</v>
      </c>
      <c r="F1164" s="37" t="n">
        <f aca="false">DATE(YEAR(A1164),MONTH(A1164),1)</f>
        <v>46174</v>
      </c>
      <c r="G1164" s="24" t="str">
        <f aca="false">INDEX(Products!$C$2:$C$49,MATCH(C1164,Products!$A$2:$A$49,0))</f>
        <v>Snacks &amp; Confectionery</v>
      </c>
      <c r="H1164" s="33" t="n">
        <f aca="false">D1164*INDEX(Products!$E$2:$E$49,MATCH(C1164,Products!$A$2:$A$49,0))</f>
        <v>19440</v>
      </c>
      <c r="I1164" s="33" t="n">
        <f aca="false">D1164*INDEX(Products!$D$2:$D$49,MATCH(C1164,Products!$A$2:$A$49,0))*(1+INDEX(Assumptions!$B$16:$B$20,MATCH(B1164,Assumptions!$A$16:$A$20,0)))</f>
        <v>13744.08</v>
      </c>
      <c r="J1164" s="33" t="n">
        <f aca="false">H1164-I1164</f>
        <v>5695.92</v>
      </c>
      <c r="K1164" s="33" t="n">
        <f aca="false">IF(OR(E1164=0,E1164&gt;=7),0,D1164/(7-E1164)*E1164*INDEX(Products!$E$2:$E$49,MATCH(C1164,Products!$A$2:$A$49,0)))</f>
        <v>0</v>
      </c>
    </row>
    <row r="1165" customFormat="false" ht="15" hidden="false" customHeight="false" outlineLevel="0" collapsed="false">
      <c r="A1165" s="36" t="n">
        <v>46209</v>
      </c>
      <c r="B1165" s="24" t="s">
        <v>61</v>
      </c>
      <c r="C1165" s="24" t="s">
        <v>207</v>
      </c>
      <c r="D1165" s="33" t="n">
        <v>96</v>
      </c>
      <c r="E1165" s="24" t="n">
        <v>0</v>
      </c>
      <c r="F1165" s="37" t="n">
        <f aca="false">DATE(YEAR(A1165),MONTH(A1165),1)</f>
        <v>46204</v>
      </c>
      <c r="G1165" s="24" t="str">
        <f aca="false">INDEX(Products!$C$2:$C$49,MATCH(C1165,Products!$A$2:$A$49,0))</f>
        <v>Snacks &amp; Confectionery</v>
      </c>
      <c r="H1165" s="33" t="n">
        <f aca="false">D1165*INDEX(Products!$E$2:$E$49,MATCH(C1165,Products!$A$2:$A$49,0))</f>
        <v>17280</v>
      </c>
      <c r="I1165" s="33" t="n">
        <f aca="false">D1165*INDEX(Products!$D$2:$D$49,MATCH(C1165,Products!$A$2:$A$49,0))*(1+INDEX(Assumptions!$B$16:$B$20,MATCH(B1165,Assumptions!$A$16:$A$20,0)))</f>
        <v>12216.96</v>
      </c>
      <c r="J1165" s="33" t="n">
        <f aca="false">H1165-I1165</f>
        <v>5063.04</v>
      </c>
      <c r="K1165" s="33" t="n">
        <f aca="false">IF(OR(E1165=0,E1165&gt;=7),0,D1165/(7-E1165)*E1165*INDEX(Products!$E$2:$E$49,MATCH(C1165,Products!$A$2:$A$49,0)))</f>
        <v>0</v>
      </c>
    </row>
    <row r="1166" customFormat="false" ht="15" hidden="false" customHeight="false" outlineLevel="0" collapsed="false">
      <c r="A1166" s="36" t="n">
        <v>46216</v>
      </c>
      <c r="B1166" s="24" t="s">
        <v>61</v>
      </c>
      <c r="C1166" s="24" t="s">
        <v>207</v>
      </c>
      <c r="D1166" s="33" t="n">
        <v>92</v>
      </c>
      <c r="E1166" s="24" t="n">
        <v>0</v>
      </c>
      <c r="F1166" s="37" t="n">
        <f aca="false">DATE(YEAR(A1166),MONTH(A1166),1)</f>
        <v>46204</v>
      </c>
      <c r="G1166" s="24" t="str">
        <f aca="false">INDEX(Products!$C$2:$C$49,MATCH(C1166,Products!$A$2:$A$49,0))</f>
        <v>Snacks &amp; Confectionery</v>
      </c>
      <c r="H1166" s="33" t="n">
        <f aca="false">D1166*INDEX(Products!$E$2:$E$49,MATCH(C1166,Products!$A$2:$A$49,0))</f>
        <v>16560</v>
      </c>
      <c r="I1166" s="33" t="n">
        <f aca="false">D1166*INDEX(Products!$D$2:$D$49,MATCH(C1166,Products!$A$2:$A$49,0))*(1+INDEX(Assumptions!$B$16:$B$20,MATCH(B1166,Assumptions!$A$16:$A$20,0)))</f>
        <v>11707.92</v>
      </c>
      <c r="J1166" s="33" t="n">
        <f aca="false">H1166-I1166</f>
        <v>4852.08</v>
      </c>
      <c r="K1166" s="33" t="n">
        <f aca="false">IF(OR(E1166=0,E1166&gt;=7),0,D1166/(7-E1166)*E1166*INDEX(Products!$E$2:$E$49,MATCH(C1166,Products!$A$2:$A$49,0)))</f>
        <v>0</v>
      </c>
    </row>
    <row r="1167" customFormat="false" ht="15" hidden="false" customHeight="false" outlineLevel="0" collapsed="false">
      <c r="A1167" s="36" t="n">
        <v>46223</v>
      </c>
      <c r="B1167" s="24" t="s">
        <v>61</v>
      </c>
      <c r="C1167" s="24" t="s">
        <v>207</v>
      </c>
      <c r="D1167" s="33" t="n">
        <v>68</v>
      </c>
      <c r="E1167" s="24" t="n">
        <v>2</v>
      </c>
      <c r="F1167" s="37" t="n">
        <f aca="false">DATE(YEAR(A1167),MONTH(A1167),1)</f>
        <v>46204</v>
      </c>
      <c r="G1167" s="24" t="str">
        <f aca="false">INDEX(Products!$C$2:$C$49,MATCH(C1167,Products!$A$2:$A$49,0))</f>
        <v>Snacks &amp; Confectionery</v>
      </c>
      <c r="H1167" s="33" t="n">
        <f aca="false">D1167*INDEX(Products!$E$2:$E$49,MATCH(C1167,Products!$A$2:$A$49,0))</f>
        <v>12240</v>
      </c>
      <c r="I1167" s="33" t="n">
        <f aca="false">D1167*INDEX(Products!$D$2:$D$49,MATCH(C1167,Products!$A$2:$A$49,0))*(1+INDEX(Assumptions!$B$16:$B$20,MATCH(B1167,Assumptions!$A$16:$A$20,0)))</f>
        <v>8653.68</v>
      </c>
      <c r="J1167" s="33" t="n">
        <f aca="false">H1167-I1167</f>
        <v>3586.32</v>
      </c>
      <c r="K1167" s="33" t="n">
        <f aca="false">IF(OR(E1167=0,E1167&gt;=7),0,D1167/(7-E1167)*E1167*INDEX(Products!$E$2:$E$49,MATCH(C1167,Products!$A$2:$A$49,0)))</f>
        <v>4896</v>
      </c>
    </row>
    <row r="1168" customFormat="false" ht="15" hidden="false" customHeight="false" outlineLevel="0" collapsed="false">
      <c r="A1168" s="36" t="n">
        <v>46230</v>
      </c>
      <c r="B1168" s="24" t="s">
        <v>61</v>
      </c>
      <c r="C1168" s="24" t="s">
        <v>207</v>
      </c>
      <c r="D1168" s="33" t="n">
        <v>104</v>
      </c>
      <c r="E1168" s="24" t="n">
        <v>0</v>
      </c>
      <c r="F1168" s="37" t="n">
        <f aca="false">DATE(YEAR(A1168),MONTH(A1168),1)</f>
        <v>46204</v>
      </c>
      <c r="G1168" s="24" t="str">
        <f aca="false">INDEX(Products!$C$2:$C$49,MATCH(C1168,Products!$A$2:$A$49,0))</f>
        <v>Snacks &amp; Confectionery</v>
      </c>
      <c r="H1168" s="33" t="n">
        <f aca="false">D1168*INDEX(Products!$E$2:$E$49,MATCH(C1168,Products!$A$2:$A$49,0))</f>
        <v>18720</v>
      </c>
      <c r="I1168" s="33" t="n">
        <f aca="false">D1168*INDEX(Products!$D$2:$D$49,MATCH(C1168,Products!$A$2:$A$49,0))*(1+INDEX(Assumptions!$B$16:$B$20,MATCH(B1168,Assumptions!$A$16:$A$20,0)))</f>
        <v>13235.04</v>
      </c>
      <c r="J1168" s="33" t="n">
        <f aca="false">H1168-I1168</f>
        <v>5484.96</v>
      </c>
      <c r="K1168" s="33" t="n">
        <f aca="false">IF(OR(E1168=0,E1168&gt;=7),0,D1168/(7-E1168)*E1168*INDEX(Products!$E$2:$E$49,MATCH(C1168,Products!$A$2:$A$49,0)))</f>
        <v>0</v>
      </c>
    </row>
    <row r="1169" customFormat="false" ht="15" hidden="false" customHeight="false" outlineLevel="0" collapsed="false">
      <c r="A1169" s="36" t="n">
        <v>46237</v>
      </c>
      <c r="B1169" s="24" t="s">
        <v>61</v>
      </c>
      <c r="C1169" s="24" t="s">
        <v>207</v>
      </c>
      <c r="D1169" s="33" t="n">
        <v>82</v>
      </c>
      <c r="E1169" s="24" t="n">
        <v>0</v>
      </c>
      <c r="F1169" s="37" t="n">
        <f aca="false">DATE(YEAR(A1169),MONTH(A1169),1)</f>
        <v>46235</v>
      </c>
      <c r="G1169" s="24" t="str">
        <f aca="false">INDEX(Products!$C$2:$C$49,MATCH(C1169,Products!$A$2:$A$49,0))</f>
        <v>Snacks &amp; Confectionery</v>
      </c>
      <c r="H1169" s="33" t="n">
        <f aca="false">D1169*INDEX(Products!$E$2:$E$49,MATCH(C1169,Products!$A$2:$A$49,0))</f>
        <v>14760</v>
      </c>
      <c r="I1169" s="33" t="n">
        <f aca="false">D1169*INDEX(Products!$D$2:$D$49,MATCH(C1169,Products!$A$2:$A$49,0))*(1+INDEX(Assumptions!$B$16:$B$20,MATCH(B1169,Assumptions!$A$16:$A$20,0)))</f>
        <v>10435.32</v>
      </c>
      <c r="J1169" s="33" t="n">
        <f aca="false">H1169-I1169</f>
        <v>4324.68</v>
      </c>
      <c r="K1169" s="33" t="n">
        <f aca="false">IF(OR(E1169=0,E1169&gt;=7),0,D1169/(7-E1169)*E1169*INDEX(Products!$E$2:$E$49,MATCH(C1169,Products!$A$2:$A$49,0)))</f>
        <v>0</v>
      </c>
    </row>
    <row r="1170" customFormat="false" ht="15" hidden="false" customHeight="false" outlineLevel="0" collapsed="false">
      <c r="A1170" s="36" t="n">
        <v>46244</v>
      </c>
      <c r="B1170" s="24" t="s">
        <v>61</v>
      </c>
      <c r="C1170" s="24" t="s">
        <v>207</v>
      </c>
      <c r="D1170" s="33" t="n">
        <v>95</v>
      </c>
      <c r="E1170" s="24" t="n">
        <v>0</v>
      </c>
      <c r="F1170" s="37" t="n">
        <f aca="false">DATE(YEAR(A1170),MONTH(A1170),1)</f>
        <v>46235</v>
      </c>
      <c r="G1170" s="24" t="str">
        <f aca="false">INDEX(Products!$C$2:$C$49,MATCH(C1170,Products!$A$2:$A$49,0))</f>
        <v>Snacks &amp; Confectionery</v>
      </c>
      <c r="H1170" s="33" t="n">
        <f aca="false">D1170*INDEX(Products!$E$2:$E$49,MATCH(C1170,Products!$A$2:$A$49,0))</f>
        <v>17100</v>
      </c>
      <c r="I1170" s="33" t="n">
        <f aca="false">D1170*INDEX(Products!$D$2:$D$49,MATCH(C1170,Products!$A$2:$A$49,0))*(1+INDEX(Assumptions!$B$16:$B$20,MATCH(B1170,Assumptions!$A$16:$A$20,0)))</f>
        <v>12089.7</v>
      </c>
      <c r="J1170" s="33" t="n">
        <f aca="false">H1170-I1170</f>
        <v>5010.3</v>
      </c>
      <c r="K1170" s="33" t="n">
        <f aca="false">IF(OR(E1170=0,E1170&gt;=7),0,D1170/(7-E1170)*E1170*INDEX(Products!$E$2:$E$49,MATCH(C1170,Products!$A$2:$A$49,0)))</f>
        <v>0</v>
      </c>
    </row>
    <row r="1171" customFormat="false" ht="15" hidden="false" customHeight="false" outlineLevel="0" collapsed="false">
      <c r="A1171" s="36" t="n">
        <v>46251</v>
      </c>
      <c r="B1171" s="24" t="s">
        <v>61</v>
      </c>
      <c r="C1171" s="24" t="s">
        <v>207</v>
      </c>
      <c r="D1171" s="33" t="n">
        <v>87</v>
      </c>
      <c r="E1171" s="24" t="n">
        <v>0</v>
      </c>
      <c r="F1171" s="37" t="n">
        <f aca="false">DATE(YEAR(A1171),MONTH(A1171),1)</f>
        <v>46235</v>
      </c>
      <c r="G1171" s="24" t="str">
        <f aca="false">INDEX(Products!$C$2:$C$49,MATCH(C1171,Products!$A$2:$A$49,0))</f>
        <v>Snacks &amp; Confectionery</v>
      </c>
      <c r="H1171" s="33" t="n">
        <f aca="false">D1171*INDEX(Products!$E$2:$E$49,MATCH(C1171,Products!$A$2:$A$49,0))</f>
        <v>15660</v>
      </c>
      <c r="I1171" s="33" t="n">
        <f aca="false">D1171*INDEX(Products!$D$2:$D$49,MATCH(C1171,Products!$A$2:$A$49,0))*(1+INDEX(Assumptions!$B$16:$B$20,MATCH(B1171,Assumptions!$A$16:$A$20,0)))</f>
        <v>11071.62</v>
      </c>
      <c r="J1171" s="33" t="n">
        <f aca="false">H1171-I1171</f>
        <v>4588.38</v>
      </c>
      <c r="K1171" s="33" t="n">
        <f aca="false">IF(OR(E1171=0,E1171&gt;=7),0,D1171/(7-E1171)*E1171*INDEX(Products!$E$2:$E$49,MATCH(C1171,Products!$A$2:$A$49,0)))</f>
        <v>0</v>
      </c>
    </row>
    <row r="1172" customFormat="false" ht="15" hidden="false" customHeight="false" outlineLevel="0" collapsed="false">
      <c r="A1172" s="36" t="n">
        <v>46258</v>
      </c>
      <c r="B1172" s="24" t="s">
        <v>61</v>
      </c>
      <c r="C1172" s="24" t="s">
        <v>207</v>
      </c>
      <c r="D1172" s="33" t="n">
        <v>98</v>
      </c>
      <c r="E1172" s="24" t="n">
        <v>0</v>
      </c>
      <c r="F1172" s="37" t="n">
        <f aca="false">DATE(YEAR(A1172),MONTH(A1172),1)</f>
        <v>46235</v>
      </c>
      <c r="G1172" s="24" t="str">
        <f aca="false">INDEX(Products!$C$2:$C$49,MATCH(C1172,Products!$A$2:$A$49,0))</f>
        <v>Snacks &amp; Confectionery</v>
      </c>
      <c r="H1172" s="33" t="n">
        <f aca="false">D1172*INDEX(Products!$E$2:$E$49,MATCH(C1172,Products!$A$2:$A$49,0))</f>
        <v>17640</v>
      </c>
      <c r="I1172" s="33" t="n">
        <f aca="false">D1172*INDEX(Products!$D$2:$D$49,MATCH(C1172,Products!$A$2:$A$49,0))*(1+INDEX(Assumptions!$B$16:$B$20,MATCH(B1172,Assumptions!$A$16:$A$20,0)))</f>
        <v>12471.48</v>
      </c>
      <c r="J1172" s="33" t="n">
        <f aca="false">H1172-I1172</f>
        <v>5168.52</v>
      </c>
      <c r="K1172" s="33" t="n">
        <f aca="false">IF(OR(E1172=0,E1172&gt;=7),0,D1172/(7-E1172)*E1172*INDEX(Products!$E$2:$E$49,MATCH(C1172,Products!$A$2:$A$49,0)))</f>
        <v>0</v>
      </c>
    </row>
    <row r="1173" customFormat="false" ht="15" hidden="false" customHeight="false" outlineLevel="0" collapsed="false">
      <c r="A1173" s="36" t="n">
        <v>46265</v>
      </c>
      <c r="B1173" s="24" t="s">
        <v>61</v>
      </c>
      <c r="C1173" s="24" t="s">
        <v>207</v>
      </c>
      <c r="D1173" s="33" t="n">
        <v>111</v>
      </c>
      <c r="E1173" s="24" t="n">
        <v>0</v>
      </c>
      <c r="F1173" s="37" t="n">
        <f aca="false">DATE(YEAR(A1173),MONTH(A1173),1)</f>
        <v>46235</v>
      </c>
      <c r="G1173" s="24" t="str">
        <f aca="false">INDEX(Products!$C$2:$C$49,MATCH(C1173,Products!$A$2:$A$49,0))</f>
        <v>Snacks &amp; Confectionery</v>
      </c>
      <c r="H1173" s="33" t="n">
        <f aca="false">D1173*INDEX(Products!$E$2:$E$49,MATCH(C1173,Products!$A$2:$A$49,0))</f>
        <v>19980</v>
      </c>
      <c r="I1173" s="33" t="n">
        <f aca="false">D1173*INDEX(Products!$D$2:$D$49,MATCH(C1173,Products!$A$2:$A$49,0))*(1+INDEX(Assumptions!$B$16:$B$20,MATCH(B1173,Assumptions!$A$16:$A$20,0)))</f>
        <v>14125.86</v>
      </c>
      <c r="J1173" s="33" t="n">
        <f aca="false">H1173-I1173</f>
        <v>5854.14</v>
      </c>
      <c r="K1173" s="33" t="n">
        <f aca="false">IF(OR(E1173=0,E1173&gt;=7),0,D1173/(7-E1173)*E1173*INDEX(Products!$E$2:$E$49,MATCH(C1173,Products!$A$2:$A$49,0)))</f>
        <v>0</v>
      </c>
    </row>
    <row r="1174" customFormat="false" ht="15" hidden="false" customHeight="false" outlineLevel="0" collapsed="false">
      <c r="A1174" s="36" t="n">
        <v>46272</v>
      </c>
      <c r="B1174" s="24" t="s">
        <v>61</v>
      </c>
      <c r="C1174" s="24" t="s">
        <v>207</v>
      </c>
      <c r="D1174" s="33" t="n">
        <v>83</v>
      </c>
      <c r="E1174" s="24" t="n">
        <v>0</v>
      </c>
      <c r="F1174" s="37" t="n">
        <f aca="false">DATE(YEAR(A1174),MONTH(A1174),1)</f>
        <v>46266</v>
      </c>
      <c r="G1174" s="24" t="str">
        <f aca="false">INDEX(Products!$C$2:$C$49,MATCH(C1174,Products!$A$2:$A$49,0))</f>
        <v>Snacks &amp; Confectionery</v>
      </c>
      <c r="H1174" s="33" t="n">
        <f aca="false">D1174*INDEX(Products!$E$2:$E$49,MATCH(C1174,Products!$A$2:$A$49,0))</f>
        <v>14940</v>
      </c>
      <c r="I1174" s="33" t="n">
        <f aca="false">D1174*INDEX(Products!$D$2:$D$49,MATCH(C1174,Products!$A$2:$A$49,0))*(1+INDEX(Assumptions!$B$16:$B$20,MATCH(B1174,Assumptions!$A$16:$A$20,0)))</f>
        <v>10562.58</v>
      </c>
      <c r="J1174" s="33" t="n">
        <f aca="false">H1174-I1174</f>
        <v>4377.42</v>
      </c>
      <c r="K1174" s="33" t="n">
        <f aca="false">IF(OR(E1174=0,E1174&gt;=7),0,D1174/(7-E1174)*E1174*INDEX(Products!$E$2:$E$49,MATCH(C1174,Products!$A$2:$A$49,0)))</f>
        <v>0</v>
      </c>
    </row>
    <row r="1175" customFormat="false" ht="15" hidden="false" customHeight="false" outlineLevel="0" collapsed="false">
      <c r="A1175" s="36" t="n">
        <v>46279</v>
      </c>
      <c r="B1175" s="24" t="s">
        <v>61</v>
      </c>
      <c r="C1175" s="24" t="s">
        <v>207</v>
      </c>
      <c r="D1175" s="33" t="n">
        <v>161</v>
      </c>
      <c r="E1175" s="24" t="n">
        <v>0</v>
      </c>
      <c r="F1175" s="37" t="n">
        <f aca="false">DATE(YEAR(A1175),MONTH(A1175),1)</f>
        <v>46266</v>
      </c>
      <c r="G1175" s="24" t="str">
        <f aca="false">INDEX(Products!$C$2:$C$49,MATCH(C1175,Products!$A$2:$A$49,0))</f>
        <v>Snacks &amp; Confectionery</v>
      </c>
      <c r="H1175" s="33" t="n">
        <f aca="false">D1175*INDEX(Products!$E$2:$E$49,MATCH(C1175,Products!$A$2:$A$49,0))</f>
        <v>28980</v>
      </c>
      <c r="I1175" s="33" t="n">
        <f aca="false">D1175*INDEX(Products!$D$2:$D$49,MATCH(C1175,Products!$A$2:$A$49,0))*(1+INDEX(Assumptions!$B$16:$B$20,MATCH(B1175,Assumptions!$A$16:$A$20,0)))</f>
        <v>20488.86</v>
      </c>
      <c r="J1175" s="33" t="n">
        <f aca="false">H1175-I1175</f>
        <v>8491.14</v>
      </c>
      <c r="K1175" s="33" t="n">
        <f aca="false">IF(OR(E1175=0,E1175&gt;=7),0,D1175/(7-E1175)*E1175*INDEX(Products!$E$2:$E$49,MATCH(C1175,Products!$A$2:$A$49,0)))</f>
        <v>0</v>
      </c>
    </row>
    <row r="1176" customFormat="false" ht="15" hidden="false" customHeight="false" outlineLevel="0" collapsed="false">
      <c r="A1176" s="36" t="n">
        <v>46286</v>
      </c>
      <c r="B1176" s="24" t="s">
        <v>61</v>
      </c>
      <c r="C1176" s="24" t="s">
        <v>207</v>
      </c>
      <c r="D1176" s="33" t="n">
        <v>123</v>
      </c>
      <c r="E1176" s="24" t="n">
        <v>0</v>
      </c>
      <c r="F1176" s="37" t="n">
        <f aca="false">DATE(YEAR(A1176),MONTH(A1176),1)</f>
        <v>46266</v>
      </c>
      <c r="G1176" s="24" t="str">
        <f aca="false">INDEX(Products!$C$2:$C$49,MATCH(C1176,Products!$A$2:$A$49,0))</f>
        <v>Snacks &amp; Confectionery</v>
      </c>
      <c r="H1176" s="33" t="n">
        <f aca="false">D1176*INDEX(Products!$E$2:$E$49,MATCH(C1176,Products!$A$2:$A$49,0))</f>
        <v>22140</v>
      </c>
      <c r="I1176" s="33" t="n">
        <f aca="false">D1176*INDEX(Products!$D$2:$D$49,MATCH(C1176,Products!$A$2:$A$49,0))*(1+INDEX(Assumptions!$B$16:$B$20,MATCH(B1176,Assumptions!$A$16:$A$20,0)))</f>
        <v>15652.98</v>
      </c>
      <c r="J1176" s="33" t="n">
        <f aca="false">H1176-I1176</f>
        <v>6487.02</v>
      </c>
      <c r="K1176" s="33" t="n">
        <f aca="false">IF(OR(E1176=0,E1176&gt;=7),0,D1176/(7-E1176)*E1176*INDEX(Products!$E$2:$E$49,MATCH(C1176,Products!$A$2:$A$49,0)))</f>
        <v>0</v>
      </c>
    </row>
    <row r="1177" customFormat="false" ht="15" hidden="false" customHeight="false" outlineLevel="0" collapsed="false">
      <c r="A1177" s="36" t="n">
        <v>46118</v>
      </c>
      <c r="B1177" s="24" t="s">
        <v>61</v>
      </c>
      <c r="C1177" s="24" t="s">
        <v>209</v>
      </c>
      <c r="D1177" s="33" t="n">
        <v>136</v>
      </c>
      <c r="E1177" s="24" t="n">
        <v>0</v>
      </c>
      <c r="F1177" s="37" t="n">
        <f aca="false">DATE(YEAR(A1177),MONTH(A1177),1)</f>
        <v>46113</v>
      </c>
      <c r="G1177" s="24" t="str">
        <f aca="false">INDEX(Products!$C$2:$C$49,MATCH(C1177,Products!$A$2:$A$49,0))</f>
        <v>Snacks &amp; Confectionery</v>
      </c>
      <c r="H1177" s="33" t="n">
        <f aca="false">D1177*INDEX(Products!$E$2:$E$49,MATCH(C1177,Products!$A$2:$A$49,0))</f>
        <v>9520</v>
      </c>
      <c r="I1177" s="33" t="n">
        <f aca="false">D1177*INDEX(Products!$D$2:$D$49,MATCH(C1177,Products!$A$2:$A$49,0))*(1+INDEX(Assumptions!$B$16:$B$20,MATCH(B1177,Assumptions!$A$16:$A$20,0)))</f>
        <v>6455.92</v>
      </c>
      <c r="J1177" s="33" t="n">
        <f aca="false">H1177-I1177</f>
        <v>3064.08</v>
      </c>
      <c r="K1177" s="33" t="n">
        <f aca="false">IF(OR(E1177=0,E1177&gt;=7),0,D1177/(7-E1177)*E1177*INDEX(Products!$E$2:$E$49,MATCH(C1177,Products!$A$2:$A$49,0)))</f>
        <v>0</v>
      </c>
    </row>
    <row r="1178" customFormat="false" ht="15" hidden="false" customHeight="false" outlineLevel="0" collapsed="false">
      <c r="A1178" s="36" t="n">
        <v>46125</v>
      </c>
      <c r="B1178" s="24" t="s">
        <v>61</v>
      </c>
      <c r="C1178" s="24" t="s">
        <v>209</v>
      </c>
      <c r="D1178" s="33" t="n">
        <v>143</v>
      </c>
      <c r="E1178" s="24" t="n">
        <v>0</v>
      </c>
      <c r="F1178" s="37" t="n">
        <f aca="false">DATE(YEAR(A1178),MONTH(A1178),1)</f>
        <v>46113</v>
      </c>
      <c r="G1178" s="24" t="str">
        <f aca="false">INDEX(Products!$C$2:$C$49,MATCH(C1178,Products!$A$2:$A$49,0))</f>
        <v>Snacks &amp; Confectionery</v>
      </c>
      <c r="H1178" s="33" t="n">
        <f aca="false">D1178*INDEX(Products!$E$2:$E$49,MATCH(C1178,Products!$A$2:$A$49,0))</f>
        <v>10010</v>
      </c>
      <c r="I1178" s="33" t="n">
        <f aca="false">D1178*INDEX(Products!$D$2:$D$49,MATCH(C1178,Products!$A$2:$A$49,0))*(1+INDEX(Assumptions!$B$16:$B$20,MATCH(B1178,Assumptions!$A$16:$A$20,0)))</f>
        <v>6788.21</v>
      </c>
      <c r="J1178" s="33" t="n">
        <f aca="false">H1178-I1178</f>
        <v>3221.79</v>
      </c>
      <c r="K1178" s="33" t="n">
        <f aca="false">IF(OR(E1178=0,E1178&gt;=7),0,D1178/(7-E1178)*E1178*INDEX(Products!$E$2:$E$49,MATCH(C1178,Products!$A$2:$A$49,0)))</f>
        <v>0</v>
      </c>
    </row>
    <row r="1179" customFormat="false" ht="15" hidden="false" customHeight="false" outlineLevel="0" collapsed="false">
      <c r="A1179" s="36" t="n">
        <v>46132</v>
      </c>
      <c r="B1179" s="24" t="s">
        <v>61</v>
      </c>
      <c r="C1179" s="24" t="s">
        <v>209</v>
      </c>
      <c r="D1179" s="33" t="n">
        <v>151</v>
      </c>
      <c r="E1179" s="24" t="n">
        <v>0</v>
      </c>
      <c r="F1179" s="37" t="n">
        <f aca="false">DATE(YEAR(A1179),MONTH(A1179),1)</f>
        <v>46113</v>
      </c>
      <c r="G1179" s="24" t="str">
        <f aca="false">INDEX(Products!$C$2:$C$49,MATCH(C1179,Products!$A$2:$A$49,0))</f>
        <v>Snacks &amp; Confectionery</v>
      </c>
      <c r="H1179" s="33" t="n">
        <f aca="false">D1179*INDEX(Products!$E$2:$E$49,MATCH(C1179,Products!$A$2:$A$49,0))</f>
        <v>10570</v>
      </c>
      <c r="I1179" s="33" t="n">
        <f aca="false">D1179*INDEX(Products!$D$2:$D$49,MATCH(C1179,Products!$A$2:$A$49,0))*(1+INDEX(Assumptions!$B$16:$B$20,MATCH(B1179,Assumptions!$A$16:$A$20,0)))</f>
        <v>7167.97</v>
      </c>
      <c r="J1179" s="33" t="n">
        <f aca="false">H1179-I1179</f>
        <v>3402.03</v>
      </c>
      <c r="K1179" s="33" t="n">
        <f aca="false">IF(OR(E1179=0,E1179&gt;=7),0,D1179/(7-E1179)*E1179*INDEX(Products!$E$2:$E$49,MATCH(C1179,Products!$A$2:$A$49,0)))</f>
        <v>0</v>
      </c>
    </row>
    <row r="1180" customFormat="false" ht="15" hidden="false" customHeight="false" outlineLevel="0" collapsed="false">
      <c r="A1180" s="36" t="n">
        <v>46139</v>
      </c>
      <c r="B1180" s="24" t="s">
        <v>61</v>
      </c>
      <c r="C1180" s="24" t="s">
        <v>209</v>
      </c>
      <c r="D1180" s="33" t="n">
        <v>178</v>
      </c>
      <c r="E1180" s="24" t="n">
        <v>0</v>
      </c>
      <c r="F1180" s="37" t="n">
        <f aca="false">DATE(YEAR(A1180),MONTH(A1180),1)</f>
        <v>46113</v>
      </c>
      <c r="G1180" s="24" t="str">
        <f aca="false">INDEX(Products!$C$2:$C$49,MATCH(C1180,Products!$A$2:$A$49,0))</f>
        <v>Snacks &amp; Confectionery</v>
      </c>
      <c r="H1180" s="33" t="n">
        <f aca="false">D1180*INDEX(Products!$E$2:$E$49,MATCH(C1180,Products!$A$2:$A$49,0))</f>
        <v>12460</v>
      </c>
      <c r="I1180" s="33" t="n">
        <f aca="false">D1180*INDEX(Products!$D$2:$D$49,MATCH(C1180,Products!$A$2:$A$49,0))*(1+INDEX(Assumptions!$B$16:$B$20,MATCH(B1180,Assumptions!$A$16:$A$20,0)))</f>
        <v>8449.66</v>
      </c>
      <c r="J1180" s="33" t="n">
        <f aca="false">H1180-I1180</f>
        <v>4010.34</v>
      </c>
      <c r="K1180" s="33" t="n">
        <f aca="false">IF(OR(E1180=0,E1180&gt;=7),0,D1180/(7-E1180)*E1180*INDEX(Products!$E$2:$E$49,MATCH(C1180,Products!$A$2:$A$49,0)))</f>
        <v>0</v>
      </c>
    </row>
    <row r="1181" customFormat="false" ht="15" hidden="false" customHeight="false" outlineLevel="0" collapsed="false">
      <c r="A1181" s="36" t="n">
        <v>46146</v>
      </c>
      <c r="B1181" s="24" t="s">
        <v>61</v>
      </c>
      <c r="C1181" s="24" t="s">
        <v>209</v>
      </c>
      <c r="D1181" s="33" t="n">
        <v>133</v>
      </c>
      <c r="E1181" s="24" t="n">
        <v>0</v>
      </c>
      <c r="F1181" s="37" t="n">
        <f aca="false">DATE(YEAR(A1181),MONTH(A1181),1)</f>
        <v>46143</v>
      </c>
      <c r="G1181" s="24" t="str">
        <f aca="false">INDEX(Products!$C$2:$C$49,MATCH(C1181,Products!$A$2:$A$49,0))</f>
        <v>Snacks &amp; Confectionery</v>
      </c>
      <c r="H1181" s="33" t="n">
        <f aca="false">D1181*INDEX(Products!$E$2:$E$49,MATCH(C1181,Products!$A$2:$A$49,0))</f>
        <v>9310</v>
      </c>
      <c r="I1181" s="33" t="n">
        <f aca="false">D1181*INDEX(Products!$D$2:$D$49,MATCH(C1181,Products!$A$2:$A$49,0))*(1+INDEX(Assumptions!$B$16:$B$20,MATCH(B1181,Assumptions!$A$16:$A$20,0)))</f>
        <v>6313.51</v>
      </c>
      <c r="J1181" s="33" t="n">
        <f aca="false">H1181-I1181</f>
        <v>2996.49</v>
      </c>
      <c r="K1181" s="33" t="n">
        <f aca="false">IF(OR(E1181=0,E1181&gt;=7),0,D1181/(7-E1181)*E1181*INDEX(Products!$E$2:$E$49,MATCH(C1181,Products!$A$2:$A$49,0)))</f>
        <v>0</v>
      </c>
    </row>
    <row r="1182" customFormat="false" ht="15" hidden="false" customHeight="false" outlineLevel="0" collapsed="false">
      <c r="A1182" s="36" t="n">
        <v>46153</v>
      </c>
      <c r="B1182" s="24" t="s">
        <v>61</v>
      </c>
      <c r="C1182" s="24" t="s">
        <v>209</v>
      </c>
      <c r="D1182" s="33" t="n">
        <v>143</v>
      </c>
      <c r="E1182" s="24" t="n">
        <v>0</v>
      </c>
      <c r="F1182" s="37" t="n">
        <f aca="false">DATE(YEAR(A1182),MONTH(A1182),1)</f>
        <v>46143</v>
      </c>
      <c r="G1182" s="24" t="str">
        <f aca="false">INDEX(Products!$C$2:$C$49,MATCH(C1182,Products!$A$2:$A$49,0))</f>
        <v>Snacks &amp; Confectionery</v>
      </c>
      <c r="H1182" s="33" t="n">
        <f aca="false">D1182*INDEX(Products!$E$2:$E$49,MATCH(C1182,Products!$A$2:$A$49,0))</f>
        <v>10010</v>
      </c>
      <c r="I1182" s="33" t="n">
        <f aca="false">D1182*INDEX(Products!$D$2:$D$49,MATCH(C1182,Products!$A$2:$A$49,0))*(1+INDEX(Assumptions!$B$16:$B$20,MATCH(B1182,Assumptions!$A$16:$A$20,0)))</f>
        <v>6788.21</v>
      </c>
      <c r="J1182" s="33" t="n">
        <f aca="false">H1182-I1182</f>
        <v>3221.79</v>
      </c>
      <c r="K1182" s="33" t="n">
        <f aca="false">IF(OR(E1182=0,E1182&gt;=7),0,D1182/(7-E1182)*E1182*INDEX(Products!$E$2:$E$49,MATCH(C1182,Products!$A$2:$A$49,0)))</f>
        <v>0</v>
      </c>
    </row>
    <row r="1183" customFormat="false" ht="15" hidden="false" customHeight="false" outlineLevel="0" collapsed="false">
      <c r="A1183" s="36" t="n">
        <v>46160</v>
      </c>
      <c r="B1183" s="24" t="s">
        <v>61</v>
      </c>
      <c r="C1183" s="24" t="s">
        <v>209</v>
      </c>
      <c r="D1183" s="33" t="n">
        <v>126</v>
      </c>
      <c r="E1183" s="24" t="n">
        <v>0</v>
      </c>
      <c r="F1183" s="37" t="n">
        <f aca="false">DATE(YEAR(A1183),MONTH(A1183),1)</f>
        <v>46143</v>
      </c>
      <c r="G1183" s="24" t="str">
        <f aca="false">INDEX(Products!$C$2:$C$49,MATCH(C1183,Products!$A$2:$A$49,0))</f>
        <v>Snacks &amp; Confectionery</v>
      </c>
      <c r="H1183" s="33" t="n">
        <f aca="false">D1183*INDEX(Products!$E$2:$E$49,MATCH(C1183,Products!$A$2:$A$49,0))</f>
        <v>8820</v>
      </c>
      <c r="I1183" s="33" t="n">
        <f aca="false">D1183*INDEX(Products!$D$2:$D$49,MATCH(C1183,Products!$A$2:$A$49,0))*(1+INDEX(Assumptions!$B$16:$B$20,MATCH(B1183,Assumptions!$A$16:$A$20,0)))</f>
        <v>5981.22</v>
      </c>
      <c r="J1183" s="33" t="n">
        <f aca="false">H1183-I1183</f>
        <v>2838.78</v>
      </c>
      <c r="K1183" s="33" t="n">
        <f aca="false">IF(OR(E1183=0,E1183&gt;=7),0,D1183/(7-E1183)*E1183*INDEX(Products!$E$2:$E$49,MATCH(C1183,Products!$A$2:$A$49,0)))</f>
        <v>0</v>
      </c>
    </row>
    <row r="1184" customFormat="false" ht="15" hidden="false" customHeight="false" outlineLevel="0" collapsed="false">
      <c r="A1184" s="36" t="n">
        <v>46167</v>
      </c>
      <c r="B1184" s="24" t="s">
        <v>61</v>
      </c>
      <c r="C1184" s="24" t="s">
        <v>209</v>
      </c>
      <c r="D1184" s="33" t="n">
        <v>160</v>
      </c>
      <c r="E1184" s="24" t="n">
        <v>0</v>
      </c>
      <c r="F1184" s="37" t="n">
        <f aca="false">DATE(YEAR(A1184),MONTH(A1184),1)</f>
        <v>46143</v>
      </c>
      <c r="G1184" s="24" t="str">
        <f aca="false">INDEX(Products!$C$2:$C$49,MATCH(C1184,Products!$A$2:$A$49,0))</f>
        <v>Snacks &amp; Confectionery</v>
      </c>
      <c r="H1184" s="33" t="n">
        <f aca="false">D1184*INDEX(Products!$E$2:$E$49,MATCH(C1184,Products!$A$2:$A$49,0))</f>
        <v>11200</v>
      </c>
      <c r="I1184" s="33" t="n">
        <f aca="false">D1184*INDEX(Products!$D$2:$D$49,MATCH(C1184,Products!$A$2:$A$49,0))*(1+INDEX(Assumptions!$B$16:$B$20,MATCH(B1184,Assumptions!$A$16:$A$20,0)))</f>
        <v>7595.2</v>
      </c>
      <c r="J1184" s="33" t="n">
        <f aca="false">H1184-I1184</f>
        <v>3604.8</v>
      </c>
      <c r="K1184" s="33" t="n">
        <f aca="false">IF(OR(E1184=0,E1184&gt;=7),0,D1184/(7-E1184)*E1184*INDEX(Products!$E$2:$E$49,MATCH(C1184,Products!$A$2:$A$49,0)))</f>
        <v>0</v>
      </c>
    </row>
    <row r="1185" customFormat="false" ht="15" hidden="false" customHeight="false" outlineLevel="0" collapsed="false">
      <c r="A1185" s="36" t="n">
        <v>46174</v>
      </c>
      <c r="B1185" s="24" t="s">
        <v>61</v>
      </c>
      <c r="C1185" s="24" t="s">
        <v>209</v>
      </c>
      <c r="D1185" s="33" t="n">
        <v>163</v>
      </c>
      <c r="E1185" s="24" t="n">
        <v>0</v>
      </c>
      <c r="F1185" s="37" t="n">
        <f aca="false">DATE(YEAR(A1185),MONTH(A1185),1)</f>
        <v>46174</v>
      </c>
      <c r="G1185" s="24" t="str">
        <f aca="false">INDEX(Products!$C$2:$C$49,MATCH(C1185,Products!$A$2:$A$49,0))</f>
        <v>Snacks &amp; Confectionery</v>
      </c>
      <c r="H1185" s="33" t="n">
        <f aca="false">D1185*INDEX(Products!$E$2:$E$49,MATCH(C1185,Products!$A$2:$A$49,0))</f>
        <v>11410</v>
      </c>
      <c r="I1185" s="33" t="n">
        <f aca="false">D1185*INDEX(Products!$D$2:$D$49,MATCH(C1185,Products!$A$2:$A$49,0))*(1+INDEX(Assumptions!$B$16:$B$20,MATCH(B1185,Assumptions!$A$16:$A$20,0)))</f>
        <v>7737.61</v>
      </c>
      <c r="J1185" s="33" t="n">
        <f aca="false">H1185-I1185</f>
        <v>3672.39</v>
      </c>
      <c r="K1185" s="33" t="n">
        <f aca="false">IF(OR(E1185=0,E1185&gt;=7),0,D1185/(7-E1185)*E1185*INDEX(Products!$E$2:$E$49,MATCH(C1185,Products!$A$2:$A$49,0)))</f>
        <v>0</v>
      </c>
    </row>
    <row r="1186" customFormat="false" ht="15" hidden="false" customHeight="false" outlineLevel="0" collapsed="false">
      <c r="A1186" s="36" t="n">
        <v>46181</v>
      </c>
      <c r="B1186" s="24" t="s">
        <v>61</v>
      </c>
      <c r="C1186" s="24" t="s">
        <v>209</v>
      </c>
      <c r="D1186" s="33" t="n">
        <v>147</v>
      </c>
      <c r="E1186" s="24" t="n">
        <v>0</v>
      </c>
      <c r="F1186" s="37" t="n">
        <f aca="false">DATE(YEAR(A1186),MONTH(A1186),1)</f>
        <v>46174</v>
      </c>
      <c r="G1186" s="24" t="str">
        <f aca="false">INDEX(Products!$C$2:$C$49,MATCH(C1186,Products!$A$2:$A$49,0))</f>
        <v>Snacks &amp; Confectionery</v>
      </c>
      <c r="H1186" s="33" t="n">
        <f aca="false">D1186*INDEX(Products!$E$2:$E$49,MATCH(C1186,Products!$A$2:$A$49,0))</f>
        <v>10290</v>
      </c>
      <c r="I1186" s="33" t="n">
        <f aca="false">D1186*INDEX(Products!$D$2:$D$49,MATCH(C1186,Products!$A$2:$A$49,0))*(1+INDEX(Assumptions!$B$16:$B$20,MATCH(B1186,Assumptions!$A$16:$A$20,0)))</f>
        <v>6978.09</v>
      </c>
      <c r="J1186" s="33" t="n">
        <f aca="false">H1186-I1186</f>
        <v>3311.91</v>
      </c>
      <c r="K1186" s="33" t="n">
        <f aca="false">IF(OR(E1186=0,E1186&gt;=7),0,D1186/(7-E1186)*E1186*INDEX(Products!$E$2:$E$49,MATCH(C1186,Products!$A$2:$A$49,0)))</f>
        <v>0</v>
      </c>
    </row>
    <row r="1187" customFormat="false" ht="15" hidden="false" customHeight="false" outlineLevel="0" collapsed="false">
      <c r="A1187" s="36" t="n">
        <v>46188</v>
      </c>
      <c r="B1187" s="24" t="s">
        <v>61</v>
      </c>
      <c r="C1187" s="24" t="s">
        <v>209</v>
      </c>
      <c r="D1187" s="33" t="n">
        <v>166</v>
      </c>
      <c r="E1187" s="24" t="n">
        <v>0</v>
      </c>
      <c r="F1187" s="37" t="n">
        <f aca="false">DATE(YEAR(A1187),MONTH(A1187),1)</f>
        <v>46174</v>
      </c>
      <c r="G1187" s="24" t="str">
        <f aca="false">INDEX(Products!$C$2:$C$49,MATCH(C1187,Products!$A$2:$A$49,0))</f>
        <v>Snacks &amp; Confectionery</v>
      </c>
      <c r="H1187" s="33" t="n">
        <f aca="false">D1187*INDEX(Products!$E$2:$E$49,MATCH(C1187,Products!$A$2:$A$49,0))</f>
        <v>11620</v>
      </c>
      <c r="I1187" s="33" t="n">
        <f aca="false">D1187*INDEX(Products!$D$2:$D$49,MATCH(C1187,Products!$A$2:$A$49,0))*(1+INDEX(Assumptions!$B$16:$B$20,MATCH(B1187,Assumptions!$A$16:$A$20,0)))</f>
        <v>7880.02</v>
      </c>
      <c r="J1187" s="33" t="n">
        <f aca="false">H1187-I1187</f>
        <v>3739.98</v>
      </c>
      <c r="K1187" s="33" t="n">
        <f aca="false">IF(OR(E1187=0,E1187&gt;=7),0,D1187/(7-E1187)*E1187*INDEX(Products!$E$2:$E$49,MATCH(C1187,Products!$A$2:$A$49,0)))</f>
        <v>0</v>
      </c>
    </row>
    <row r="1188" customFormat="false" ht="15" hidden="false" customHeight="false" outlineLevel="0" collapsed="false">
      <c r="A1188" s="36" t="n">
        <v>46195</v>
      </c>
      <c r="B1188" s="24" t="s">
        <v>61</v>
      </c>
      <c r="C1188" s="24" t="s">
        <v>209</v>
      </c>
      <c r="D1188" s="33" t="n">
        <v>168</v>
      </c>
      <c r="E1188" s="24" t="n">
        <v>0</v>
      </c>
      <c r="F1188" s="37" t="n">
        <f aca="false">DATE(YEAR(A1188),MONTH(A1188),1)</f>
        <v>46174</v>
      </c>
      <c r="G1188" s="24" t="str">
        <f aca="false">INDEX(Products!$C$2:$C$49,MATCH(C1188,Products!$A$2:$A$49,0))</f>
        <v>Snacks &amp; Confectionery</v>
      </c>
      <c r="H1188" s="33" t="n">
        <f aca="false">D1188*INDEX(Products!$E$2:$E$49,MATCH(C1188,Products!$A$2:$A$49,0))</f>
        <v>11760</v>
      </c>
      <c r="I1188" s="33" t="n">
        <f aca="false">D1188*INDEX(Products!$D$2:$D$49,MATCH(C1188,Products!$A$2:$A$49,0))*(1+INDEX(Assumptions!$B$16:$B$20,MATCH(B1188,Assumptions!$A$16:$A$20,0)))</f>
        <v>7974.96</v>
      </c>
      <c r="J1188" s="33" t="n">
        <f aca="false">H1188-I1188</f>
        <v>3785.04</v>
      </c>
      <c r="K1188" s="33" t="n">
        <f aca="false">IF(OR(E1188=0,E1188&gt;=7),0,D1188/(7-E1188)*E1188*INDEX(Products!$E$2:$E$49,MATCH(C1188,Products!$A$2:$A$49,0)))</f>
        <v>0</v>
      </c>
    </row>
    <row r="1189" customFormat="false" ht="15" hidden="false" customHeight="false" outlineLevel="0" collapsed="false">
      <c r="A1189" s="36" t="n">
        <v>46202</v>
      </c>
      <c r="B1189" s="24" t="s">
        <v>61</v>
      </c>
      <c r="C1189" s="24" t="s">
        <v>209</v>
      </c>
      <c r="D1189" s="33" t="n">
        <v>155</v>
      </c>
      <c r="E1189" s="24" t="n">
        <v>0</v>
      </c>
      <c r="F1189" s="37" t="n">
        <f aca="false">DATE(YEAR(A1189),MONTH(A1189),1)</f>
        <v>46174</v>
      </c>
      <c r="G1189" s="24" t="str">
        <f aca="false">INDEX(Products!$C$2:$C$49,MATCH(C1189,Products!$A$2:$A$49,0))</f>
        <v>Snacks &amp; Confectionery</v>
      </c>
      <c r="H1189" s="33" t="n">
        <f aca="false">D1189*INDEX(Products!$E$2:$E$49,MATCH(C1189,Products!$A$2:$A$49,0))</f>
        <v>10850</v>
      </c>
      <c r="I1189" s="33" t="n">
        <f aca="false">D1189*INDEX(Products!$D$2:$D$49,MATCH(C1189,Products!$A$2:$A$49,0))*(1+INDEX(Assumptions!$B$16:$B$20,MATCH(B1189,Assumptions!$A$16:$A$20,0)))</f>
        <v>7357.85</v>
      </c>
      <c r="J1189" s="33" t="n">
        <f aca="false">H1189-I1189</f>
        <v>3492.15</v>
      </c>
      <c r="K1189" s="33" t="n">
        <f aca="false">IF(OR(E1189=0,E1189&gt;=7),0,D1189/(7-E1189)*E1189*INDEX(Products!$E$2:$E$49,MATCH(C1189,Products!$A$2:$A$49,0)))</f>
        <v>0</v>
      </c>
    </row>
    <row r="1190" customFormat="false" ht="15" hidden="false" customHeight="false" outlineLevel="0" collapsed="false">
      <c r="A1190" s="36" t="n">
        <v>46209</v>
      </c>
      <c r="B1190" s="24" t="s">
        <v>61</v>
      </c>
      <c r="C1190" s="24" t="s">
        <v>209</v>
      </c>
      <c r="D1190" s="33" t="n">
        <v>146</v>
      </c>
      <c r="E1190" s="24" t="n">
        <v>0</v>
      </c>
      <c r="F1190" s="37" t="n">
        <f aca="false">DATE(YEAR(A1190),MONTH(A1190),1)</f>
        <v>46204</v>
      </c>
      <c r="G1190" s="24" t="str">
        <f aca="false">INDEX(Products!$C$2:$C$49,MATCH(C1190,Products!$A$2:$A$49,0))</f>
        <v>Snacks &amp; Confectionery</v>
      </c>
      <c r="H1190" s="33" t="n">
        <f aca="false">D1190*INDEX(Products!$E$2:$E$49,MATCH(C1190,Products!$A$2:$A$49,0))</f>
        <v>10220</v>
      </c>
      <c r="I1190" s="33" t="n">
        <f aca="false">D1190*INDEX(Products!$D$2:$D$49,MATCH(C1190,Products!$A$2:$A$49,0))*(1+INDEX(Assumptions!$B$16:$B$20,MATCH(B1190,Assumptions!$A$16:$A$20,0)))</f>
        <v>6930.62</v>
      </c>
      <c r="J1190" s="33" t="n">
        <f aca="false">H1190-I1190</f>
        <v>3289.38</v>
      </c>
      <c r="K1190" s="33" t="n">
        <f aca="false">IF(OR(E1190=0,E1190&gt;=7),0,D1190/(7-E1190)*E1190*INDEX(Products!$E$2:$E$49,MATCH(C1190,Products!$A$2:$A$49,0)))</f>
        <v>0</v>
      </c>
    </row>
    <row r="1191" customFormat="false" ht="15" hidden="false" customHeight="false" outlineLevel="0" collapsed="false">
      <c r="A1191" s="36" t="n">
        <v>46216</v>
      </c>
      <c r="B1191" s="24" t="s">
        <v>61</v>
      </c>
      <c r="C1191" s="24" t="s">
        <v>209</v>
      </c>
      <c r="D1191" s="33" t="n">
        <v>176</v>
      </c>
      <c r="E1191" s="24" t="n">
        <v>0</v>
      </c>
      <c r="F1191" s="37" t="n">
        <f aca="false">DATE(YEAR(A1191),MONTH(A1191),1)</f>
        <v>46204</v>
      </c>
      <c r="G1191" s="24" t="str">
        <f aca="false">INDEX(Products!$C$2:$C$49,MATCH(C1191,Products!$A$2:$A$49,0))</f>
        <v>Snacks &amp; Confectionery</v>
      </c>
      <c r="H1191" s="33" t="n">
        <f aca="false">D1191*INDEX(Products!$E$2:$E$49,MATCH(C1191,Products!$A$2:$A$49,0))</f>
        <v>12320</v>
      </c>
      <c r="I1191" s="33" t="n">
        <f aca="false">D1191*INDEX(Products!$D$2:$D$49,MATCH(C1191,Products!$A$2:$A$49,0))*(1+INDEX(Assumptions!$B$16:$B$20,MATCH(B1191,Assumptions!$A$16:$A$20,0)))</f>
        <v>8354.72</v>
      </c>
      <c r="J1191" s="33" t="n">
        <f aca="false">H1191-I1191</f>
        <v>3965.28</v>
      </c>
      <c r="K1191" s="33" t="n">
        <f aca="false">IF(OR(E1191=0,E1191&gt;=7),0,D1191/(7-E1191)*E1191*INDEX(Products!$E$2:$E$49,MATCH(C1191,Products!$A$2:$A$49,0)))</f>
        <v>0</v>
      </c>
    </row>
    <row r="1192" customFormat="false" ht="15" hidden="false" customHeight="false" outlineLevel="0" collapsed="false">
      <c r="A1192" s="36" t="n">
        <v>46223</v>
      </c>
      <c r="B1192" s="24" t="s">
        <v>61</v>
      </c>
      <c r="C1192" s="24" t="s">
        <v>209</v>
      </c>
      <c r="D1192" s="33" t="n">
        <v>144</v>
      </c>
      <c r="E1192" s="24" t="n">
        <v>0</v>
      </c>
      <c r="F1192" s="37" t="n">
        <f aca="false">DATE(YEAR(A1192),MONTH(A1192),1)</f>
        <v>46204</v>
      </c>
      <c r="G1192" s="24" t="str">
        <f aca="false">INDEX(Products!$C$2:$C$49,MATCH(C1192,Products!$A$2:$A$49,0))</f>
        <v>Snacks &amp; Confectionery</v>
      </c>
      <c r="H1192" s="33" t="n">
        <f aca="false">D1192*INDEX(Products!$E$2:$E$49,MATCH(C1192,Products!$A$2:$A$49,0))</f>
        <v>10080</v>
      </c>
      <c r="I1192" s="33" t="n">
        <f aca="false">D1192*INDEX(Products!$D$2:$D$49,MATCH(C1192,Products!$A$2:$A$49,0))*(1+INDEX(Assumptions!$B$16:$B$20,MATCH(B1192,Assumptions!$A$16:$A$20,0)))</f>
        <v>6835.68</v>
      </c>
      <c r="J1192" s="33" t="n">
        <f aca="false">H1192-I1192</f>
        <v>3244.32</v>
      </c>
      <c r="K1192" s="33" t="n">
        <f aca="false">IF(OR(E1192=0,E1192&gt;=7),0,D1192/(7-E1192)*E1192*INDEX(Products!$E$2:$E$49,MATCH(C1192,Products!$A$2:$A$49,0)))</f>
        <v>0</v>
      </c>
    </row>
    <row r="1193" customFormat="false" ht="15" hidden="false" customHeight="false" outlineLevel="0" collapsed="false">
      <c r="A1193" s="36" t="n">
        <v>46230</v>
      </c>
      <c r="B1193" s="24" t="s">
        <v>61</v>
      </c>
      <c r="C1193" s="24" t="s">
        <v>209</v>
      </c>
      <c r="D1193" s="33" t="n">
        <v>146</v>
      </c>
      <c r="E1193" s="24" t="n">
        <v>0</v>
      </c>
      <c r="F1193" s="37" t="n">
        <f aca="false">DATE(YEAR(A1193),MONTH(A1193),1)</f>
        <v>46204</v>
      </c>
      <c r="G1193" s="24" t="str">
        <f aca="false">INDEX(Products!$C$2:$C$49,MATCH(C1193,Products!$A$2:$A$49,0))</f>
        <v>Snacks &amp; Confectionery</v>
      </c>
      <c r="H1193" s="33" t="n">
        <f aca="false">D1193*INDEX(Products!$E$2:$E$49,MATCH(C1193,Products!$A$2:$A$49,0))</f>
        <v>10220</v>
      </c>
      <c r="I1193" s="33" t="n">
        <f aca="false">D1193*INDEX(Products!$D$2:$D$49,MATCH(C1193,Products!$A$2:$A$49,0))*(1+INDEX(Assumptions!$B$16:$B$20,MATCH(B1193,Assumptions!$A$16:$A$20,0)))</f>
        <v>6930.62</v>
      </c>
      <c r="J1193" s="33" t="n">
        <f aca="false">H1193-I1193</f>
        <v>3289.38</v>
      </c>
      <c r="K1193" s="33" t="n">
        <f aca="false">IF(OR(E1193=0,E1193&gt;=7),0,D1193/(7-E1193)*E1193*INDEX(Products!$E$2:$E$49,MATCH(C1193,Products!$A$2:$A$49,0)))</f>
        <v>0</v>
      </c>
    </row>
    <row r="1194" customFormat="false" ht="15" hidden="false" customHeight="false" outlineLevel="0" collapsed="false">
      <c r="A1194" s="36" t="n">
        <v>46237</v>
      </c>
      <c r="B1194" s="24" t="s">
        <v>61</v>
      </c>
      <c r="C1194" s="24" t="s">
        <v>209</v>
      </c>
      <c r="D1194" s="33" t="n">
        <v>163</v>
      </c>
      <c r="E1194" s="24" t="n">
        <v>0</v>
      </c>
      <c r="F1194" s="37" t="n">
        <f aca="false">DATE(YEAR(A1194),MONTH(A1194),1)</f>
        <v>46235</v>
      </c>
      <c r="G1194" s="24" t="str">
        <f aca="false">INDEX(Products!$C$2:$C$49,MATCH(C1194,Products!$A$2:$A$49,0))</f>
        <v>Snacks &amp; Confectionery</v>
      </c>
      <c r="H1194" s="33" t="n">
        <f aca="false">D1194*INDEX(Products!$E$2:$E$49,MATCH(C1194,Products!$A$2:$A$49,0))</f>
        <v>11410</v>
      </c>
      <c r="I1194" s="33" t="n">
        <f aca="false">D1194*INDEX(Products!$D$2:$D$49,MATCH(C1194,Products!$A$2:$A$49,0))*(1+INDEX(Assumptions!$B$16:$B$20,MATCH(B1194,Assumptions!$A$16:$A$20,0)))</f>
        <v>7737.61</v>
      </c>
      <c r="J1194" s="33" t="n">
        <f aca="false">H1194-I1194</f>
        <v>3672.39</v>
      </c>
      <c r="K1194" s="33" t="n">
        <f aca="false">IF(OR(E1194=0,E1194&gt;=7),0,D1194/(7-E1194)*E1194*INDEX(Products!$E$2:$E$49,MATCH(C1194,Products!$A$2:$A$49,0)))</f>
        <v>0</v>
      </c>
    </row>
    <row r="1195" customFormat="false" ht="15" hidden="false" customHeight="false" outlineLevel="0" collapsed="false">
      <c r="A1195" s="36" t="n">
        <v>46244</v>
      </c>
      <c r="B1195" s="24" t="s">
        <v>61</v>
      </c>
      <c r="C1195" s="24" t="s">
        <v>209</v>
      </c>
      <c r="D1195" s="33" t="n">
        <v>150</v>
      </c>
      <c r="E1195" s="24" t="n">
        <v>0</v>
      </c>
      <c r="F1195" s="37" t="n">
        <f aca="false">DATE(YEAR(A1195),MONTH(A1195),1)</f>
        <v>46235</v>
      </c>
      <c r="G1195" s="24" t="str">
        <f aca="false">INDEX(Products!$C$2:$C$49,MATCH(C1195,Products!$A$2:$A$49,0))</f>
        <v>Snacks &amp; Confectionery</v>
      </c>
      <c r="H1195" s="33" t="n">
        <f aca="false">D1195*INDEX(Products!$E$2:$E$49,MATCH(C1195,Products!$A$2:$A$49,0))</f>
        <v>10500</v>
      </c>
      <c r="I1195" s="33" t="n">
        <f aca="false">D1195*INDEX(Products!$D$2:$D$49,MATCH(C1195,Products!$A$2:$A$49,0))*(1+INDEX(Assumptions!$B$16:$B$20,MATCH(B1195,Assumptions!$A$16:$A$20,0)))</f>
        <v>7120.5</v>
      </c>
      <c r="J1195" s="33" t="n">
        <f aca="false">H1195-I1195</f>
        <v>3379.5</v>
      </c>
      <c r="K1195" s="33" t="n">
        <f aca="false">IF(OR(E1195=0,E1195&gt;=7),0,D1195/(7-E1195)*E1195*INDEX(Products!$E$2:$E$49,MATCH(C1195,Products!$A$2:$A$49,0)))</f>
        <v>0</v>
      </c>
    </row>
    <row r="1196" customFormat="false" ht="15" hidden="false" customHeight="false" outlineLevel="0" collapsed="false">
      <c r="A1196" s="36" t="n">
        <v>46251</v>
      </c>
      <c r="B1196" s="24" t="s">
        <v>61</v>
      </c>
      <c r="C1196" s="24" t="s">
        <v>209</v>
      </c>
      <c r="D1196" s="33" t="n">
        <v>175</v>
      </c>
      <c r="E1196" s="24" t="n">
        <v>0</v>
      </c>
      <c r="F1196" s="37" t="n">
        <f aca="false">DATE(YEAR(A1196),MONTH(A1196),1)</f>
        <v>46235</v>
      </c>
      <c r="G1196" s="24" t="str">
        <f aca="false">INDEX(Products!$C$2:$C$49,MATCH(C1196,Products!$A$2:$A$49,0))</f>
        <v>Snacks &amp; Confectionery</v>
      </c>
      <c r="H1196" s="33" t="n">
        <f aca="false">D1196*INDEX(Products!$E$2:$E$49,MATCH(C1196,Products!$A$2:$A$49,0))</f>
        <v>12250</v>
      </c>
      <c r="I1196" s="33" t="n">
        <f aca="false">D1196*INDEX(Products!$D$2:$D$49,MATCH(C1196,Products!$A$2:$A$49,0))*(1+INDEX(Assumptions!$B$16:$B$20,MATCH(B1196,Assumptions!$A$16:$A$20,0)))</f>
        <v>8307.25</v>
      </c>
      <c r="J1196" s="33" t="n">
        <f aca="false">H1196-I1196</f>
        <v>3942.75</v>
      </c>
      <c r="K1196" s="33" t="n">
        <f aca="false">IF(OR(E1196=0,E1196&gt;=7),0,D1196/(7-E1196)*E1196*INDEX(Products!$E$2:$E$49,MATCH(C1196,Products!$A$2:$A$49,0)))</f>
        <v>0</v>
      </c>
    </row>
    <row r="1197" customFormat="false" ht="15" hidden="false" customHeight="false" outlineLevel="0" collapsed="false">
      <c r="A1197" s="36" t="n">
        <v>46258</v>
      </c>
      <c r="B1197" s="24" t="s">
        <v>61</v>
      </c>
      <c r="C1197" s="24" t="s">
        <v>209</v>
      </c>
      <c r="D1197" s="33" t="n">
        <v>171</v>
      </c>
      <c r="E1197" s="24" t="n">
        <v>0</v>
      </c>
      <c r="F1197" s="37" t="n">
        <f aca="false">DATE(YEAR(A1197),MONTH(A1197),1)</f>
        <v>46235</v>
      </c>
      <c r="G1197" s="24" t="str">
        <f aca="false">INDEX(Products!$C$2:$C$49,MATCH(C1197,Products!$A$2:$A$49,0))</f>
        <v>Snacks &amp; Confectionery</v>
      </c>
      <c r="H1197" s="33" t="n">
        <f aca="false">D1197*INDEX(Products!$E$2:$E$49,MATCH(C1197,Products!$A$2:$A$49,0))</f>
        <v>11970</v>
      </c>
      <c r="I1197" s="33" t="n">
        <f aca="false">D1197*INDEX(Products!$D$2:$D$49,MATCH(C1197,Products!$A$2:$A$49,0))*(1+INDEX(Assumptions!$B$16:$B$20,MATCH(B1197,Assumptions!$A$16:$A$20,0)))</f>
        <v>8117.37</v>
      </c>
      <c r="J1197" s="33" t="n">
        <f aca="false">H1197-I1197</f>
        <v>3852.63</v>
      </c>
      <c r="K1197" s="33" t="n">
        <f aca="false">IF(OR(E1197=0,E1197&gt;=7),0,D1197/(7-E1197)*E1197*INDEX(Products!$E$2:$E$49,MATCH(C1197,Products!$A$2:$A$49,0)))</f>
        <v>0</v>
      </c>
    </row>
    <row r="1198" customFormat="false" ht="15" hidden="false" customHeight="false" outlineLevel="0" collapsed="false">
      <c r="A1198" s="36" t="n">
        <v>46265</v>
      </c>
      <c r="B1198" s="24" t="s">
        <v>61</v>
      </c>
      <c r="C1198" s="24" t="s">
        <v>209</v>
      </c>
      <c r="D1198" s="33" t="n">
        <v>191</v>
      </c>
      <c r="E1198" s="24" t="n">
        <v>0</v>
      </c>
      <c r="F1198" s="37" t="n">
        <f aca="false">DATE(YEAR(A1198),MONTH(A1198),1)</f>
        <v>46235</v>
      </c>
      <c r="G1198" s="24" t="str">
        <f aca="false">INDEX(Products!$C$2:$C$49,MATCH(C1198,Products!$A$2:$A$49,0))</f>
        <v>Snacks &amp; Confectionery</v>
      </c>
      <c r="H1198" s="33" t="n">
        <f aca="false">D1198*INDEX(Products!$E$2:$E$49,MATCH(C1198,Products!$A$2:$A$49,0))</f>
        <v>13370</v>
      </c>
      <c r="I1198" s="33" t="n">
        <f aca="false">D1198*INDEX(Products!$D$2:$D$49,MATCH(C1198,Products!$A$2:$A$49,0))*(1+INDEX(Assumptions!$B$16:$B$20,MATCH(B1198,Assumptions!$A$16:$A$20,0)))</f>
        <v>9066.77</v>
      </c>
      <c r="J1198" s="33" t="n">
        <f aca="false">H1198-I1198</f>
        <v>4303.23</v>
      </c>
      <c r="K1198" s="33" t="n">
        <f aca="false">IF(OR(E1198=0,E1198&gt;=7),0,D1198/(7-E1198)*E1198*INDEX(Products!$E$2:$E$49,MATCH(C1198,Products!$A$2:$A$49,0)))</f>
        <v>0</v>
      </c>
    </row>
    <row r="1199" customFormat="false" ht="15" hidden="false" customHeight="false" outlineLevel="0" collapsed="false">
      <c r="A1199" s="36" t="n">
        <v>46272</v>
      </c>
      <c r="B1199" s="24" t="s">
        <v>61</v>
      </c>
      <c r="C1199" s="24" t="s">
        <v>209</v>
      </c>
      <c r="D1199" s="33" t="n">
        <v>309</v>
      </c>
      <c r="E1199" s="24" t="n">
        <v>0</v>
      </c>
      <c r="F1199" s="37" t="n">
        <f aca="false">DATE(YEAR(A1199),MONTH(A1199),1)</f>
        <v>46266</v>
      </c>
      <c r="G1199" s="24" t="str">
        <f aca="false">INDEX(Products!$C$2:$C$49,MATCH(C1199,Products!$A$2:$A$49,0))</f>
        <v>Snacks &amp; Confectionery</v>
      </c>
      <c r="H1199" s="33" t="n">
        <f aca="false">D1199*INDEX(Products!$E$2:$E$49,MATCH(C1199,Products!$A$2:$A$49,0))</f>
        <v>21630</v>
      </c>
      <c r="I1199" s="33" t="n">
        <f aca="false">D1199*INDEX(Products!$D$2:$D$49,MATCH(C1199,Products!$A$2:$A$49,0))*(1+INDEX(Assumptions!$B$16:$B$20,MATCH(B1199,Assumptions!$A$16:$A$20,0)))</f>
        <v>14668.23</v>
      </c>
      <c r="J1199" s="33" t="n">
        <f aca="false">H1199-I1199</f>
        <v>6961.77</v>
      </c>
      <c r="K1199" s="33" t="n">
        <f aca="false">IF(OR(E1199=0,E1199&gt;=7),0,D1199/(7-E1199)*E1199*INDEX(Products!$E$2:$E$49,MATCH(C1199,Products!$A$2:$A$49,0)))</f>
        <v>0</v>
      </c>
    </row>
    <row r="1200" customFormat="false" ht="15" hidden="false" customHeight="false" outlineLevel="0" collapsed="false">
      <c r="A1200" s="36" t="n">
        <v>46279</v>
      </c>
      <c r="B1200" s="24" t="s">
        <v>61</v>
      </c>
      <c r="C1200" s="24" t="s">
        <v>209</v>
      </c>
      <c r="D1200" s="33" t="n">
        <v>132</v>
      </c>
      <c r="E1200" s="24" t="n">
        <v>1</v>
      </c>
      <c r="F1200" s="37" t="n">
        <f aca="false">DATE(YEAR(A1200),MONTH(A1200),1)</f>
        <v>46266</v>
      </c>
      <c r="G1200" s="24" t="str">
        <f aca="false">INDEX(Products!$C$2:$C$49,MATCH(C1200,Products!$A$2:$A$49,0))</f>
        <v>Snacks &amp; Confectionery</v>
      </c>
      <c r="H1200" s="33" t="n">
        <f aca="false">D1200*INDEX(Products!$E$2:$E$49,MATCH(C1200,Products!$A$2:$A$49,0))</f>
        <v>9240</v>
      </c>
      <c r="I1200" s="33" t="n">
        <f aca="false">D1200*INDEX(Products!$D$2:$D$49,MATCH(C1200,Products!$A$2:$A$49,0))*(1+INDEX(Assumptions!$B$16:$B$20,MATCH(B1200,Assumptions!$A$16:$A$20,0)))</f>
        <v>6266.04</v>
      </c>
      <c r="J1200" s="33" t="n">
        <f aca="false">H1200-I1200</f>
        <v>2973.96</v>
      </c>
      <c r="K1200" s="33" t="n">
        <f aca="false">IF(OR(E1200=0,E1200&gt;=7),0,D1200/(7-E1200)*E1200*INDEX(Products!$E$2:$E$49,MATCH(C1200,Products!$A$2:$A$49,0)))</f>
        <v>1540</v>
      </c>
    </row>
    <row r="1201" customFormat="false" ht="15" hidden="false" customHeight="false" outlineLevel="0" collapsed="false">
      <c r="A1201" s="36" t="n">
        <v>46286</v>
      </c>
      <c r="B1201" s="24" t="s">
        <v>61</v>
      </c>
      <c r="C1201" s="24" t="s">
        <v>209</v>
      </c>
      <c r="D1201" s="33" t="n">
        <v>211</v>
      </c>
      <c r="E1201" s="24" t="n">
        <v>0</v>
      </c>
      <c r="F1201" s="37" t="n">
        <f aca="false">DATE(YEAR(A1201),MONTH(A1201),1)</f>
        <v>46266</v>
      </c>
      <c r="G1201" s="24" t="str">
        <f aca="false">INDEX(Products!$C$2:$C$49,MATCH(C1201,Products!$A$2:$A$49,0))</f>
        <v>Snacks &amp; Confectionery</v>
      </c>
      <c r="H1201" s="33" t="n">
        <f aca="false">D1201*INDEX(Products!$E$2:$E$49,MATCH(C1201,Products!$A$2:$A$49,0))</f>
        <v>14770</v>
      </c>
      <c r="I1201" s="33" t="n">
        <f aca="false">D1201*INDEX(Products!$D$2:$D$49,MATCH(C1201,Products!$A$2:$A$49,0))*(1+INDEX(Assumptions!$B$16:$B$20,MATCH(B1201,Assumptions!$A$16:$A$20,0)))</f>
        <v>10016.17</v>
      </c>
      <c r="J1201" s="33" t="n">
        <f aca="false">H1201-I1201</f>
        <v>4753.83</v>
      </c>
      <c r="K1201" s="33" t="n">
        <f aca="false">IF(OR(E1201=0,E1201&gt;=7),0,D1201/(7-E1201)*E1201*INDEX(Products!$E$2:$E$49,MATCH(C1201,Products!$A$2:$A$49,0)))</f>
        <v>0</v>
      </c>
    </row>
    <row r="1202" customFormat="false" ht="15" hidden="false" customHeight="false" outlineLevel="0" collapsed="false">
      <c r="A1202" s="36" t="n">
        <v>46118</v>
      </c>
      <c r="B1202" s="24" t="s">
        <v>62</v>
      </c>
      <c r="C1202" s="24" t="s">
        <v>115</v>
      </c>
      <c r="D1202" s="33" t="n">
        <v>112</v>
      </c>
      <c r="E1202" s="24" t="n">
        <v>0</v>
      </c>
      <c r="F1202" s="37" t="n">
        <f aca="false">DATE(YEAR(A1202),MONTH(A1202),1)</f>
        <v>46113</v>
      </c>
      <c r="G1202" s="24" t="str">
        <f aca="false">INDEX(Products!$C$2:$C$49,MATCH(C1202,Products!$A$2:$A$49,0))</f>
        <v>Grocery Staples</v>
      </c>
      <c r="H1202" s="33" t="n">
        <f aca="false">D1202*INDEX(Products!$E$2:$E$49,MATCH(C1202,Products!$A$2:$A$49,0))</f>
        <v>18480</v>
      </c>
      <c r="I1202" s="33" t="n">
        <f aca="false">D1202*INDEX(Products!$D$2:$D$49,MATCH(C1202,Products!$A$2:$A$49,0))*(1+INDEX(Assumptions!$B$16:$B$20,MATCH(B1202,Assumptions!$A$16:$A$20,0)))</f>
        <v>16257.024</v>
      </c>
      <c r="J1202" s="33" t="n">
        <f aca="false">H1202-I1202</f>
        <v>2222.976</v>
      </c>
      <c r="K1202" s="33" t="n">
        <f aca="false">IF(OR(E1202=0,E1202&gt;=7),0,D1202/(7-E1202)*E1202*INDEX(Products!$E$2:$E$49,MATCH(C1202,Products!$A$2:$A$49,0)))</f>
        <v>0</v>
      </c>
    </row>
    <row r="1203" customFormat="false" ht="15" hidden="false" customHeight="false" outlineLevel="0" collapsed="false">
      <c r="A1203" s="36" t="n">
        <v>46125</v>
      </c>
      <c r="B1203" s="24" t="s">
        <v>62</v>
      </c>
      <c r="C1203" s="24" t="s">
        <v>115</v>
      </c>
      <c r="D1203" s="33" t="n">
        <v>129</v>
      </c>
      <c r="E1203" s="24" t="n">
        <v>0</v>
      </c>
      <c r="F1203" s="37" t="n">
        <f aca="false">DATE(YEAR(A1203),MONTH(A1203),1)</f>
        <v>46113</v>
      </c>
      <c r="G1203" s="24" t="str">
        <f aca="false">INDEX(Products!$C$2:$C$49,MATCH(C1203,Products!$A$2:$A$49,0))</f>
        <v>Grocery Staples</v>
      </c>
      <c r="H1203" s="33" t="n">
        <f aca="false">D1203*INDEX(Products!$E$2:$E$49,MATCH(C1203,Products!$A$2:$A$49,0))</f>
        <v>21285</v>
      </c>
      <c r="I1203" s="33" t="n">
        <f aca="false">D1203*INDEX(Products!$D$2:$D$49,MATCH(C1203,Products!$A$2:$A$49,0))*(1+INDEX(Assumptions!$B$16:$B$20,MATCH(B1203,Assumptions!$A$16:$A$20,0)))</f>
        <v>18724.608</v>
      </c>
      <c r="J1203" s="33" t="n">
        <f aca="false">H1203-I1203</f>
        <v>2560.392</v>
      </c>
      <c r="K1203" s="33" t="n">
        <f aca="false">IF(OR(E1203=0,E1203&gt;=7),0,D1203/(7-E1203)*E1203*INDEX(Products!$E$2:$E$49,MATCH(C1203,Products!$A$2:$A$49,0)))</f>
        <v>0</v>
      </c>
    </row>
    <row r="1204" customFormat="false" ht="15" hidden="false" customHeight="false" outlineLevel="0" collapsed="false">
      <c r="A1204" s="36" t="n">
        <v>46132</v>
      </c>
      <c r="B1204" s="24" t="s">
        <v>62</v>
      </c>
      <c r="C1204" s="24" t="s">
        <v>115</v>
      </c>
      <c r="D1204" s="33" t="n">
        <v>167</v>
      </c>
      <c r="E1204" s="24" t="n">
        <v>0</v>
      </c>
      <c r="F1204" s="37" t="n">
        <f aca="false">DATE(YEAR(A1204),MONTH(A1204),1)</f>
        <v>46113</v>
      </c>
      <c r="G1204" s="24" t="str">
        <f aca="false">INDEX(Products!$C$2:$C$49,MATCH(C1204,Products!$A$2:$A$49,0))</f>
        <v>Grocery Staples</v>
      </c>
      <c r="H1204" s="33" t="n">
        <f aca="false">D1204*INDEX(Products!$E$2:$E$49,MATCH(C1204,Products!$A$2:$A$49,0))</f>
        <v>27555</v>
      </c>
      <c r="I1204" s="33" t="n">
        <f aca="false">D1204*INDEX(Products!$D$2:$D$49,MATCH(C1204,Products!$A$2:$A$49,0))*(1+INDEX(Assumptions!$B$16:$B$20,MATCH(B1204,Assumptions!$A$16:$A$20,0)))</f>
        <v>24240.384</v>
      </c>
      <c r="J1204" s="33" t="n">
        <f aca="false">H1204-I1204</f>
        <v>3314.616</v>
      </c>
      <c r="K1204" s="33" t="n">
        <f aca="false">IF(OR(E1204=0,E1204&gt;=7),0,D1204/(7-E1204)*E1204*INDEX(Products!$E$2:$E$49,MATCH(C1204,Products!$A$2:$A$49,0)))</f>
        <v>0</v>
      </c>
    </row>
    <row r="1205" customFormat="false" ht="15" hidden="false" customHeight="false" outlineLevel="0" collapsed="false">
      <c r="A1205" s="36" t="n">
        <v>46139</v>
      </c>
      <c r="B1205" s="24" t="s">
        <v>62</v>
      </c>
      <c r="C1205" s="24" t="s">
        <v>115</v>
      </c>
      <c r="D1205" s="33" t="n">
        <v>152</v>
      </c>
      <c r="E1205" s="24" t="n">
        <v>0</v>
      </c>
      <c r="F1205" s="37" t="n">
        <f aca="false">DATE(YEAR(A1205),MONTH(A1205),1)</f>
        <v>46113</v>
      </c>
      <c r="G1205" s="24" t="str">
        <f aca="false">INDEX(Products!$C$2:$C$49,MATCH(C1205,Products!$A$2:$A$49,0))</f>
        <v>Grocery Staples</v>
      </c>
      <c r="H1205" s="33" t="n">
        <f aca="false">D1205*INDEX(Products!$E$2:$E$49,MATCH(C1205,Products!$A$2:$A$49,0))</f>
        <v>25080</v>
      </c>
      <c r="I1205" s="33" t="n">
        <f aca="false">D1205*INDEX(Products!$D$2:$D$49,MATCH(C1205,Products!$A$2:$A$49,0))*(1+INDEX(Assumptions!$B$16:$B$20,MATCH(B1205,Assumptions!$A$16:$A$20,0)))</f>
        <v>22063.104</v>
      </c>
      <c r="J1205" s="33" t="n">
        <f aca="false">H1205-I1205</f>
        <v>3016.896</v>
      </c>
      <c r="K1205" s="33" t="n">
        <f aca="false">IF(OR(E1205=0,E1205&gt;=7),0,D1205/(7-E1205)*E1205*INDEX(Products!$E$2:$E$49,MATCH(C1205,Products!$A$2:$A$49,0)))</f>
        <v>0</v>
      </c>
    </row>
    <row r="1206" customFormat="false" ht="15" hidden="false" customHeight="false" outlineLevel="0" collapsed="false">
      <c r="A1206" s="36" t="n">
        <v>46146</v>
      </c>
      <c r="B1206" s="24" t="s">
        <v>62</v>
      </c>
      <c r="C1206" s="24" t="s">
        <v>115</v>
      </c>
      <c r="D1206" s="33" t="n">
        <v>125</v>
      </c>
      <c r="E1206" s="24" t="n">
        <v>0</v>
      </c>
      <c r="F1206" s="37" t="n">
        <f aca="false">DATE(YEAR(A1206),MONTH(A1206),1)</f>
        <v>46143</v>
      </c>
      <c r="G1206" s="24" t="str">
        <f aca="false">INDEX(Products!$C$2:$C$49,MATCH(C1206,Products!$A$2:$A$49,0))</f>
        <v>Grocery Staples</v>
      </c>
      <c r="H1206" s="33" t="n">
        <f aca="false">D1206*INDEX(Products!$E$2:$E$49,MATCH(C1206,Products!$A$2:$A$49,0))</f>
        <v>20625</v>
      </c>
      <c r="I1206" s="33" t="n">
        <f aca="false">D1206*INDEX(Products!$D$2:$D$49,MATCH(C1206,Products!$A$2:$A$49,0))*(1+INDEX(Assumptions!$B$16:$B$20,MATCH(B1206,Assumptions!$A$16:$A$20,0)))</f>
        <v>18144</v>
      </c>
      <c r="J1206" s="33" t="n">
        <f aca="false">H1206-I1206</f>
        <v>2481</v>
      </c>
      <c r="K1206" s="33" t="n">
        <f aca="false">IF(OR(E1206=0,E1206&gt;=7),0,D1206/(7-E1206)*E1206*INDEX(Products!$E$2:$E$49,MATCH(C1206,Products!$A$2:$A$49,0)))</f>
        <v>0</v>
      </c>
    </row>
    <row r="1207" customFormat="false" ht="15" hidden="false" customHeight="false" outlineLevel="0" collapsed="false">
      <c r="A1207" s="36" t="n">
        <v>46153</v>
      </c>
      <c r="B1207" s="24" t="s">
        <v>62</v>
      </c>
      <c r="C1207" s="24" t="s">
        <v>115</v>
      </c>
      <c r="D1207" s="33" t="n">
        <v>154</v>
      </c>
      <c r="E1207" s="24" t="n">
        <v>0</v>
      </c>
      <c r="F1207" s="37" t="n">
        <f aca="false">DATE(YEAR(A1207),MONTH(A1207),1)</f>
        <v>46143</v>
      </c>
      <c r="G1207" s="24" t="str">
        <f aca="false">INDEX(Products!$C$2:$C$49,MATCH(C1207,Products!$A$2:$A$49,0))</f>
        <v>Grocery Staples</v>
      </c>
      <c r="H1207" s="33" t="n">
        <f aca="false">D1207*INDEX(Products!$E$2:$E$49,MATCH(C1207,Products!$A$2:$A$49,0))</f>
        <v>25410</v>
      </c>
      <c r="I1207" s="33" t="n">
        <f aca="false">D1207*INDEX(Products!$D$2:$D$49,MATCH(C1207,Products!$A$2:$A$49,0))*(1+INDEX(Assumptions!$B$16:$B$20,MATCH(B1207,Assumptions!$A$16:$A$20,0)))</f>
        <v>22353.408</v>
      </c>
      <c r="J1207" s="33" t="n">
        <f aca="false">H1207-I1207</f>
        <v>3056.592</v>
      </c>
      <c r="K1207" s="33" t="n">
        <f aca="false">IF(OR(E1207=0,E1207&gt;=7),0,D1207/(7-E1207)*E1207*INDEX(Products!$E$2:$E$49,MATCH(C1207,Products!$A$2:$A$49,0)))</f>
        <v>0</v>
      </c>
    </row>
    <row r="1208" customFormat="false" ht="15" hidden="false" customHeight="false" outlineLevel="0" collapsed="false">
      <c r="A1208" s="36" t="n">
        <v>46160</v>
      </c>
      <c r="B1208" s="24" t="s">
        <v>62</v>
      </c>
      <c r="C1208" s="24" t="s">
        <v>115</v>
      </c>
      <c r="D1208" s="33" t="n">
        <v>149</v>
      </c>
      <c r="E1208" s="24" t="n">
        <v>0</v>
      </c>
      <c r="F1208" s="37" t="n">
        <f aca="false">DATE(YEAR(A1208),MONTH(A1208),1)</f>
        <v>46143</v>
      </c>
      <c r="G1208" s="24" t="str">
        <f aca="false">INDEX(Products!$C$2:$C$49,MATCH(C1208,Products!$A$2:$A$49,0))</f>
        <v>Grocery Staples</v>
      </c>
      <c r="H1208" s="33" t="n">
        <f aca="false">D1208*INDEX(Products!$E$2:$E$49,MATCH(C1208,Products!$A$2:$A$49,0))</f>
        <v>24585</v>
      </c>
      <c r="I1208" s="33" t="n">
        <f aca="false">D1208*INDEX(Products!$D$2:$D$49,MATCH(C1208,Products!$A$2:$A$49,0))*(1+INDEX(Assumptions!$B$16:$B$20,MATCH(B1208,Assumptions!$A$16:$A$20,0)))</f>
        <v>21627.648</v>
      </c>
      <c r="J1208" s="33" t="n">
        <f aca="false">H1208-I1208</f>
        <v>2957.352</v>
      </c>
      <c r="K1208" s="33" t="n">
        <f aca="false">IF(OR(E1208=0,E1208&gt;=7),0,D1208/(7-E1208)*E1208*INDEX(Products!$E$2:$E$49,MATCH(C1208,Products!$A$2:$A$49,0)))</f>
        <v>0</v>
      </c>
    </row>
    <row r="1209" customFormat="false" ht="15" hidden="false" customHeight="false" outlineLevel="0" collapsed="false">
      <c r="A1209" s="36" t="n">
        <v>46167</v>
      </c>
      <c r="B1209" s="24" t="s">
        <v>62</v>
      </c>
      <c r="C1209" s="24" t="s">
        <v>115</v>
      </c>
      <c r="D1209" s="33" t="n">
        <v>159</v>
      </c>
      <c r="E1209" s="24" t="n">
        <v>0</v>
      </c>
      <c r="F1209" s="37" t="n">
        <f aca="false">DATE(YEAR(A1209),MONTH(A1209),1)</f>
        <v>46143</v>
      </c>
      <c r="G1209" s="24" t="str">
        <f aca="false">INDEX(Products!$C$2:$C$49,MATCH(C1209,Products!$A$2:$A$49,0))</f>
        <v>Grocery Staples</v>
      </c>
      <c r="H1209" s="33" t="n">
        <f aca="false">D1209*INDEX(Products!$E$2:$E$49,MATCH(C1209,Products!$A$2:$A$49,0))</f>
        <v>26235</v>
      </c>
      <c r="I1209" s="33" t="n">
        <f aca="false">D1209*INDEX(Products!$D$2:$D$49,MATCH(C1209,Products!$A$2:$A$49,0))*(1+INDEX(Assumptions!$B$16:$B$20,MATCH(B1209,Assumptions!$A$16:$A$20,0)))</f>
        <v>23079.168</v>
      </c>
      <c r="J1209" s="33" t="n">
        <f aca="false">H1209-I1209</f>
        <v>3155.832</v>
      </c>
      <c r="K1209" s="33" t="n">
        <f aca="false">IF(OR(E1209=0,E1209&gt;=7),0,D1209/(7-E1209)*E1209*INDEX(Products!$E$2:$E$49,MATCH(C1209,Products!$A$2:$A$49,0)))</f>
        <v>0</v>
      </c>
    </row>
    <row r="1210" customFormat="false" ht="15" hidden="false" customHeight="false" outlineLevel="0" collapsed="false">
      <c r="A1210" s="36" t="n">
        <v>46174</v>
      </c>
      <c r="B1210" s="24" t="s">
        <v>62</v>
      </c>
      <c r="C1210" s="24" t="s">
        <v>115</v>
      </c>
      <c r="D1210" s="33" t="n">
        <v>124</v>
      </c>
      <c r="E1210" s="24" t="n">
        <v>1</v>
      </c>
      <c r="F1210" s="37" t="n">
        <f aca="false">DATE(YEAR(A1210),MONTH(A1210),1)</f>
        <v>46174</v>
      </c>
      <c r="G1210" s="24" t="str">
        <f aca="false">INDEX(Products!$C$2:$C$49,MATCH(C1210,Products!$A$2:$A$49,0))</f>
        <v>Grocery Staples</v>
      </c>
      <c r="H1210" s="33" t="n">
        <f aca="false">D1210*INDEX(Products!$E$2:$E$49,MATCH(C1210,Products!$A$2:$A$49,0))</f>
        <v>20460</v>
      </c>
      <c r="I1210" s="33" t="n">
        <f aca="false">D1210*INDEX(Products!$D$2:$D$49,MATCH(C1210,Products!$A$2:$A$49,0))*(1+INDEX(Assumptions!$B$16:$B$20,MATCH(B1210,Assumptions!$A$16:$A$20,0)))</f>
        <v>17998.848</v>
      </c>
      <c r="J1210" s="33" t="n">
        <f aca="false">H1210-I1210</f>
        <v>2461.152</v>
      </c>
      <c r="K1210" s="33" t="n">
        <f aca="false">IF(OR(E1210=0,E1210&gt;=7),0,D1210/(7-E1210)*E1210*INDEX(Products!$E$2:$E$49,MATCH(C1210,Products!$A$2:$A$49,0)))</f>
        <v>3410</v>
      </c>
    </row>
    <row r="1211" customFormat="false" ht="15" hidden="false" customHeight="false" outlineLevel="0" collapsed="false">
      <c r="A1211" s="36" t="n">
        <v>46181</v>
      </c>
      <c r="B1211" s="24" t="s">
        <v>62</v>
      </c>
      <c r="C1211" s="24" t="s">
        <v>115</v>
      </c>
      <c r="D1211" s="33" t="n">
        <v>133</v>
      </c>
      <c r="E1211" s="24" t="n">
        <v>0</v>
      </c>
      <c r="F1211" s="37" t="n">
        <f aca="false">DATE(YEAR(A1211),MONTH(A1211),1)</f>
        <v>46174</v>
      </c>
      <c r="G1211" s="24" t="str">
        <f aca="false">INDEX(Products!$C$2:$C$49,MATCH(C1211,Products!$A$2:$A$49,0))</f>
        <v>Grocery Staples</v>
      </c>
      <c r="H1211" s="33" t="n">
        <f aca="false">D1211*INDEX(Products!$E$2:$E$49,MATCH(C1211,Products!$A$2:$A$49,0))</f>
        <v>21945</v>
      </c>
      <c r="I1211" s="33" t="n">
        <f aca="false">D1211*INDEX(Products!$D$2:$D$49,MATCH(C1211,Products!$A$2:$A$49,0))*(1+INDEX(Assumptions!$B$16:$B$20,MATCH(B1211,Assumptions!$A$16:$A$20,0)))</f>
        <v>19305.216</v>
      </c>
      <c r="J1211" s="33" t="n">
        <f aca="false">H1211-I1211</f>
        <v>2639.784</v>
      </c>
      <c r="K1211" s="33" t="n">
        <f aca="false">IF(OR(E1211=0,E1211&gt;=7),0,D1211/(7-E1211)*E1211*INDEX(Products!$E$2:$E$49,MATCH(C1211,Products!$A$2:$A$49,0)))</f>
        <v>0</v>
      </c>
    </row>
    <row r="1212" customFormat="false" ht="15" hidden="false" customHeight="false" outlineLevel="0" collapsed="false">
      <c r="A1212" s="36" t="n">
        <v>46188</v>
      </c>
      <c r="B1212" s="24" t="s">
        <v>62</v>
      </c>
      <c r="C1212" s="24" t="s">
        <v>115</v>
      </c>
      <c r="D1212" s="33" t="n">
        <v>132</v>
      </c>
      <c r="E1212" s="24" t="n">
        <v>0</v>
      </c>
      <c r="F1212" s="37" t="n">
        <f aca="false">DATE(YEAR(A1212),MONTH(A1212),1)</f>
        <v>46174</v>
      </c>
      <c r="G1212" s="24" t="str">
        <f aca="false">INDEX(Products!$C$2:$C$49,MATCH(C1212,Products!$A$2:$A$49,0))</f>
        <v>Grocery Staples</v>
      </c>
      <c r="H1212" s="33" t="n">
        <f aca="false">D1212*INDEX(Products!$E$2:$E$49,MATCH(C1212,Products!$A$2:$A$49,0))</f>
        <v>21780</v>
      </c>
      <c r="I1212" s="33" t="n">
        <f aca="false">D1212*INDEX(Products!$D$2:$D$49,MATCH(C1212,Products!$A$2:$A$49,0))*(1+INDEX(Assumptions!$B$16:$B$20,MATCH(B1212,Assumptions!$A$16:$A$20,0)))</f>
        <v>19160.064</v>
      </c>
      <c r="J1212" s="33" t="n">
        <f aca="false">H1212-I1212</f>
        <v>2619.936</v>
      </c>
      <c r="K1212" s="33" t="n">
        <f aca="false">IF(OR(E1212=0,E1212&gt;=7),0,D1212/(7-E1212)*E1212*INDEX(Products!$E$2:$E$49,MATCH(C1212,Products!$A$2:$A$49,0)))</f>
        <v>0</v>
      </c>
    </row>
    <row r="1213" customFormat="false" ht="15" hidden="false" customHeight="false" outlineLevel="0" collapsed="false">
      <c r="A1213" s="36" t="n">
        <v>46195</v>
      </c>
      <c r="B1213" s="24" t="s">
        <v>62</v>
      </c>
      <c r="C1213" s="24" t="s">
        <v>115</v>
      </c>
      <c r="D1213" s="33" t="n">
        <v>145</v>
      </c>
      <c r="E1213" s="24" t="n">
        <v>0</v>
      </c>
      <c r="F1213" s="37" t="n">
        <f aca="false">DATE(YEAR(A1213),MONTH(A1213),1)</f>
        <v>46174</v>
      </c>
      <c r="G1213" s="24" t="str">
        <f aca="false">INDEX(Products!$C$2:$C$49,MATCH(C1213,Products!$A$2:$A$49,0))</f>
        <v>Grocery Staples</v>
      </c>
      <c r="H1213" s="33" t="n">
        <f aca="false">D1213*INDEX(Products!$E$2:$E$49,MATCH(C1213,Products!$A$2:$A$49,0))</f>
        <v>23925</v>
      </c>
      <c r="I1213" s="33" t="n">
        <f aca="false">D1213*INDEX(Products!$D$2:$D$49,MATCH(C1213,Products!$A$2:$A$49,0))*(1+INDEX(Assumptions!$B$16:$B$20,MATCH(B1213,Assumptions!$A$16:$A$20,0)))</f>
        <v>21047.04</v>
      </c>
      <c r="J1213" s="33" t="n">
        <f aca="false">H1213-I1213</f>
        <v>2877.96</v>
      </c>
      <c r="K1213" s="33" t="n">
        <f aca="false">IF(OR(E1213=0,E1213&gt;=7),0,D1213/(7-E1213)*E1213*INDEX(Products!$E$2:$E$49,MATCH(C1213,Products!$A$2:$A$49,0)))</f>
        <v>0</v>
      </c>
    </row>
    <row r="1214" customFormat="false" ht="15" hidden="false" customHeight="false" outlineLevel="0" collapsed="false">
      <c r="A1214" s="36" t="n">
        <v>46202</v>
      </c>
      <c r="B1214" s="24" t="s">
        <v>62</v>
      </c>
      <c r="C1214" s="24" t="s">
        <v>115</v>
      </c>
      <c r="D1214" s="33" t="n">
        <v>165</v>
      </c>
      <c r="E1214" s="24" t="n">
        <v>0</v>
      </c>
      <c r="F1214" s="37" t="n">
        <f aca="false">DATE(YEAR(A1214),MONTH(A1214),1)</f>
        <v>46174</v>
      </c>
      <c r="G1214" s="24" t="str">
        <f aca="false">INDEX(Products!$C$2:$C$49,MATCH(C1214,Products!$A$2:$A$49,0))</f>
        <v>Grocery Staples</v>
      </c>
      <c r="H1214" s="33" t="n">
        <f aca="false">D1214*INDEX(Products!$E$2:$E$49,MATCH(C1214,Products!$A$2:$A$49,0))</f>
        <v>27225</v>
      </c>
      <c r="I1214" s="33" t="n">
        <f aca="false">D1214*INDEX(Products!$D$2:$D$49,MATCH(C1214,Products!$A$2:$A$49,0))*(1+INDEX(Assumptions!$B$16:$B$20,MATCH(B1214,Assumptions!$A$16:$A$20,0)))</f>
        <v>23950.08</v>
      </c>
      <c r="J1214" s="33" t="n">
        <f aca="false">H1214-I1214</f>
        <v>3274.92</v>
      </c>
      <c r="K1214" s="33" t="n">
        <f aca="false">IF(OR(E1214=0,E1214&gt;=7),0,D1214/(7-E1214)*E1214*INDEX(Products!$E$2:$E$49,MATCH(C1214,Products!$A$2:$A$49,0)))</f>
        <v>0</v>
      </c>
    </row>
    <row r="1215" customFormat="false" ht="15" hidden="false" customHeight="false" outlineLevel="0" collapsed="false">
      <c r="A1215" s="36" t="n">
        <v>46209</v>
      </c>
      <c r="B1215" s="24" t="s">
        <v>62</v>
      </c>
      <c r="C1215" s="24" t="s">
        <v>115</v>
      </c>
      <c r="D1215" s="33" t="n">
        <v>110</v>
      </c>
      <c r="E1215" s="24" t="n">
        <v>0</v>
      </c>
      <c r="F1215" s="37" t="n">
        <f aca="false">DATE(YEAR(A1215),MONTH(A1215),1)</f>
        <v>46204</v>
      </c>
      <c r="G1215" s="24" t="str">
        <f aca="false">INDEX(Products!$C$2:$C$49,MATCH(C1215,Products!$A$2:$A$49,0))</f>
        <v>Grocery Staples</v>
      </c>
      <c r="H1215" s="33" t="n">
        <f aca="false">D1215*INDEX(Products!$E$2:$E$49,MATCH(C1215,Products!$A$2:$A$49,0))</f>
        <v>18150</v>
      </c>
      <c r="I1215" s="33" t="n">
        <f aca="false">D1215*INDEX(Products!$D$2:$D$49,MATCH(C1215,Products!$A$2:$A$49,0))*(1+INDEX(Assumptions!$B$16:$B$20,MATCH(B1215,Assumptions!$A$16:$A$20,0)))</f>
        <v>15966.72</v>
      </c>
      <c r="J1215" s="33" t="n">
        <f aca="false">H1215-I1215</f>
        <v>2183.28</v>
      </c>
      <c r="K1215" s="33" t="n">
        <f aca="false">IF(OR(E1215=0,E1215&gt;=7),0,D1215/(7-E1215)*E1215*INDEX(Products!$E$2:$E$49,MATCH(C1215,Products!$A$2:$A$49,0)))</f>
        <v>0</v>
      </c>
    </row>
    <row r="1216" customFormat="false" ht="15" hidden="false" customHeight="false" outlineLevel="0" collapsed="false">
      <c r="A1216" s="36" t="n">
        <v>46216</v>
      </c>
      <c r="B1216" s="24" t="s">
        <v>62</v>
      </c>
      <c r="C1216" s="24" t="s">
        <v>115</v>
      </c>
      <c r="D1216" s="33" t="n">
        <v>122</v>
      </c>
      <c r="E1216" s="24" t="n">
        <v>0</v>
      </c>
      <c r="F1216" s="37" t="n">
        <f aca="false">DATE(YEAR(A1216),MONTH(A1216),1)</f>
        <v>46204</v>
      </c>
      <c r="G1216" s="24" t="str">
        <f aca="false">INDEX(Products!$C$2:$C$49,MATCH(C1216,Products!$A$2:$A$49,0))</f>
        <v>Grocery Staples</v>
      </c>
      <c r="H1216" s="33" t="n">
        <f aca="false">D1216*INDEX(Products!$E$2:$E$49,MATCH(C1216,Products!$A$2:$A$49,0))</f>
        <v>20130</v>
      </c>
      <c r="I1216" s="33" t="n">
        <f aca="false">D1216*INDEX(Products!$D$2:$D$49,MATCH(C1216,Products!$A$2:$A$49,0))*(1+INDEX(Assumptions!$B$16:$B$20,MATCH(B1216,Assumptions!$A$16:$A$20,0)))</f>
        <v>17708.544</v>
      </c>
      <c r="J1216" s="33" t="n">
        <f aca="false">H1216-I1216</f>
        <v>2421.456</v>
      </c>
      <c r="K1216" s="33" t="n">
        <f aca="false">IF(OR(E1216=0,E1216&gt;=7),0,D1216/(7-E1216)*E1216*INDEX(Products!$E$2:$E$49,MATCH(C1216,Products!$A$2:$A$49,0)))</f>
        <v>0</v>
      </c>
    </row>
    <row r="1217" customFormat="false" ht="15" hidden="false" customHeight="false" outlineLevel="0" collapsed="false">
      <c r="A1217" s="36" t="n">
        <v>46223</v>
      </c>
      <c r="B1217" s="24" t="s">
        <v>62</v>
      </c>
      <c r="C1217" s="24" t="s">
        <v>115</v>
      </c>
      <c r="D1217" s="33" t="n">
        <v>136</v>
      </c>
      <c r="E1217" s="24" t="n">
        <v>0</v>
      </c>
      <c r="F1217" s="37" t="n">
        <f aca="false">DATE(YEAR(A1217),MONTH(A1217),1)</f>
        <v>46204</v>
      </c>
      <c r="G1217" s="24" t="str">
        <f aca="false">INDEX(Products!$C$2:$C$49,MATCH(C1217,Products!$A$2:$A$49,0))</f>
        <v>Grocery Staples</v>
      </c>
      <c r="H1217" s="33" t="n">
        <f aca="false">D1217*INDEX(Products!$E$2:$E$49,MATCH(C1217,Products!$A$2:$A$49,0))</f>
        <v>22440</v>
      </c>
      <c r="I1217" s="33" t="n">
        <f aca="false">D1217*INDEX(Products!$D$2:$D$49,MATCH(C1217,Products!$A$2:$A$49,0))*(1+INDEX(Assumptions!$B$16:$B$20,MATCH(B1217,Assumptions!$A$16:$A$20,0)))</f>
        <v>19740.672</v>
      </c>
      <c r="J1217" s="33" t="n">
        <f aca="false">H1217-I1217</f>
        <v>2699.328</v>
      </c>
      <c r="K1217" s="33" t="n">
        <f aca="false">IF(OR(E1217=0,E1217&gt;=7),0,D1217/(7-E1217)*E1217*INDEX(Products!$E$2:$E$49,MATCH(C1217,Products!$A$2:$A$49,0)))</f>
        <v>0</v>
      </c>
    </row>
    <row r="1218" customFormat="false" ht="15" hidden="false" customHeight="false" outlineLevel="0" collapsed="false">
      <c r="A1218" s="36" t="n">
        <v>46230</v>
      </c>
      <c r="B1218" s="24" t="s">
        <v>62</v>
      </c>
      <c r="C1218" s="24" t="s">
        <v>115</v>
      </c>
      <c r="D1218" s="33" t="n">
        <v>153</v>
      </c>
      <c r="E1218" s="24" t="n">
        <v>0</v>
      </c>
      <c r="F1218" s="37" t="n">
        <f aca="false">DATE(YEAR(A1218),MONTH(A1218),1)</f>
        <v>46204</v>
      </c>
      <c r="G1218" s="24" t="str">
        <f aca="false">INDEX(Products!$C$2:$C$49,MATCH(C1218,Products!$A$2:$A$49,0))</f>
        <v>Grocery Staples</v>
      </c>
      <c r="H1218" s="33" t="n">
        <f aca="false">D1218*INDEX(Products!$E$2:$E$49,MATCH(C1218,Products!$A$2:$A$49,0))</f>
        <v>25245</v>
      </c>
      <c r="I1218" s="33" t="n">
        <f aca="false">D1218*INDEX(Products!$D$2:$D$49,MATCH(C1218,Products!$A$2:$A$49,0))*(1+INDEX(Assumptions!$B$16:$B$20,MATCH(B1218,Assumptions!$A$16:$A$20,0)))</f>
        <v>22208.256</v>
      </c>
      <c r="J1218" s="33" t="n">
        <f aca="false">H1218-I1218</f>
        <v>3036.744</v>
      </c>
      <c r="K1218" s="33" t="n">
        <f aca="false">IF(OR(E1218=0,E1218&gt;=7),0,D1218/(7-E1218)*E1218*INDEX(Products!$E$2:$E$49,MATCH(C1218,Products!$A$2:$A$49,0)))</f>
        <v>0</v>
      </c>
    </row>
    <row r="1219" customFormat="false" ht="15" hidden="false" customHeight="false" outlineLevel="0" collapsed="false">
      <c r="A1219" s="36" t="n">
        <v>46237</v>
      </c>
      <c r="B1219" s="24" t="s">
        <v>62</v>
      </c>
      <c r="C1219" s="24" t="s">
        <v>115</v>
      </c>
      <c r="D1219" s="33" t="n">
        <v>109</v>
      </c>
      <c r="E1219" s="24" t="n">
        <v>0</v>
      </c>
      <c r="F1219" s="37" t="n">
        <f aca="false">DATE(YEAR(A1219),MONTH(A1219),1)</f>
        <v>46235</v>
      </c>
      <c r="G1219" s="24" t="str">
        <f aca="false">INDEX(Products!$C$2:$C$49,MATCH(C1219,Products!$A$2:$A$49,0))</f>
        <v>Grocery Staples</v>
      </c>
      <c r="H1219" s="33" t="n">
        <f aca="false">D1219*INDEX(Products!$E$2:$E$49,MATCH(C1219,Products!$A$2:$A$49,0))</f>
        <v>17985</v>
      </c>
      <c r="I1219" s="33" t="n">
        <f aca="false">D1219*INDEX(Products!$D$2:$D$49,MATCH(C1219,Products!$A$2:$A$49,0))*(1+INDEX(Assumptions!$B$16:$B$20,MATCH(B1219,Assumptions!$A$16:$A$20,0)))</f>
        <v>15821.568</v>
      </c>
      <c r="J1219" s="33" t="n">
        <f aca="false">H1219-I1219</f>
        <v>2163.432</v>
      </c>
      <c r="K1219" s="33" t="n">
        <f aca="false">IF(OR(E1219=0,E1219&gt;=7),0,D1219/(7-E1219)*E1219*INDEX(Products!$E$2:$E$49,MATCH(C1219,Products!$A$2:$A$49,0)))</f>
        <v>0</v>
      </c>
    </row>
    <row r="1220" customFormat="false" ht="15" hidden="false" customHeight="false" outlineLevel="0" collapsed="false">
      <c r="A1220" s="36" t="n">
        <v>46244</v>
      </c>
      <c r="B1220" s="24" t="s">
        <v>62</v>
      </c>
      <c r="C1220" s="24" t="s">
        <v>115</v>
      </c>
      <c r="D1220" s="33" t="n">
        <v>129</v>
      </c>
      <c r="E1220" s="24" t="n">
        <v>0</v>
      </c>
      <c r="F1220" s="37" t="n">
        <f aca="false">DATE(YEAR(A1220),MONTH(A1220),1)</f>
        <v>46235</v>
      </c>
      <c r="G1220" s="24" t="str">
        <f aca="false">INDEX(Products!$C$2:$C$49,MATCH(C1220,Products!$A$2:$A$49,0))</f>
        <v>Grocery Staples</v>
      </c>
      <c r="H1220" s="33" t="n">
        <f aca="false">D1220*INDEX(Products!$E$2:$E$49,MATCH(C1220,Products!$A$2:$A$49,0))</f>
        <v>21285</v>
      </c>
      <c r="I1220" s="33" t="n">
        <f aca="false">D1220*INDEX(Products!$D$2:$D$49,MATCH(C1220,Products!$A$2:$A$49,0))*(1+INDEX(Assumptions!$B$16:$B$20,MATCH(B1220,Assumptions!$A$16:$A$20,0)))</f>
        <v>18724.608</v>
      </c>
      <c r="J1220" s="33" t="n">
        <f aca="false">H1220-I1220</f>
        <v>2560.392</v>
      </c>
      <c r="K1220" s="33" t="n">
        <f aca="false">IF(OR(E1220=0,E1220&gt;=7),0,D1220/(7-E1220)*E1220*INDEX(Products!$E$2:$E$49,MATCH(C1220,Products!$A$2:$A$49,0)))</f>
        <v>0</v>
      </c>
    </row>
    <row r="1221" customFormat="false" ht="15" hidden="false" customHeight="false" outlineLevel="0" collapsed="false">
      <c r="A1221" s="36" t="n">
        <v>46251</v>
      </c>
      <c r="B1221" s="24" t="s">
        <v>62</v>
      </c>
      <c r="C1221" s="24" t="s">
        <v>115</v>
      </c>
      <c r="D1221" s="33" t="n">
        <v>120</v>
      </c>
      <c r="E1221" s="24" t="n">
        <v>0</v>
      </c>
      <c r="F1221" s="37" t="n">
        <f aca="false">DATE(YEAR(A1221),MONTH(A1221),1)</f>
        <v>46235</v>
      </c>
      <c r="G1221" s="24" t="str">
        <f aca="false">INDEX(Products!$C$2:$C$49,MATCH(C1221,Products!$A$2:$A$49,0))</f>
        <v>Grocery Staples</v>
      </c>
      <c r="H1221" s="33" t="n">
        <f aca="false">D1221*INDEX(Products!$E$2:$E$49,MATCH(C1221,Products!$A$2:$A$49,0))</f>
        <v>19800</v>
      </c>
      <c r="I1221" s="33" t="n">
        <f aca="false">D1221*INDEX(Products!$D$2:$D$49,MATCH(C1221,Products!$A$2:$A$49,0))*(1+INDEX(Assumptions!$B$16:$B$20,MATCH(B1221,Assumptions!$A$16:$A$20,0)))</f>
        <v>17418.24</v>
      </c>
      <c r="J1221" s="33" t="n">
        <f aca="false">H1221-I1221</f>
        <v>2381.76</v>
      </c>
      <c r="K1221" s="33" t="n">
        <f aca="false">IF(OR(E1221=0,E1221&gt;=7),0,D1221/(7-E1221)*E1221*INDEX(Products!$E$2:$E$49,MATCH(C1221,Products!$A$2:$A$49,0)))</f>
        <v>0</v>
      </c>
    </row>
    <row r="1222" customFormat="false" ht="15" hidden="false" customHeight="false" outlineLevel="0" collapsed="false">
      <c r="A1222" s="36" t="n">
        <v>46258</v>
      </c>
      <c r="B1222" s="24" t="s">
        <v>62</v>
      </c>
      <c r="C1222" s="24" t="s">
        <v>115</v>
      </c>
      <c r="D1222" s="33" t="n">
        <v>136</v>
      </c>
      <c r="E1222" s="24" t="n">
        <v>0</v>
      </c>
      <c r="F1222" s="37" t="n">
        <f aca="false">DATE(YEAR(A1222),MONTH(A1222),1)</f>
        <v>46235</v>
      </c>
      <c r="G1222" s="24" t="str">
        <f aca="false">INDEX(Products!$C$2:$C$49,MATCH(C1222,Products!$A$2:$A$49,0))</f>
        <v>Grocery Staples</v>
      </c>
      <c r="H1222" s="33" t="n">
        <f aca="false">D1222*INDEX(Products!$E$2:$E$49,MATCH(C1222,Products!$A$2:$A$49,0))</f>
        <v>22440</v>
      </c>
      <c r="I1222" s="33" t="n">
        <f aca="false">D1222*INDEX(Products!$D$2:$D$49,MATCH(C1222,Products!$A$2:$A$49,0))*(1+INDEX(Assumptions!$B$16:$B$20,MATCH(B1222,Assumptions!$A$16:$A$20,0)))</f>
        <v>19740.672</v>
      </c>
      <c r="J1222" s="33" t="n">
        <f aca="false">H1222-I1222</f>
        <v>2699.328</v>
      </c>
      <c r="K1222" s="33" t="n">
        <f aca="false">IF(OR(E1222=0,E1222&gt;=7),0,D1222/(7-E1222)*E1222*INDEX(Products!$E$2:$E$49,MATCH(C1222,Products!$A$2:$A$49,0)))</f>
        <v>0</v>
      </c>
    </row>
    <row r="1223" customFormat="false" ht="15" hidden="false" customHeight="false" outlineLevel="0" collapsed="false">
      <c r="A1223" s="36" t="n">
        <v>46265</v>
      </c>
      <c r="B1223" s="24" t="s">
        <v>62</v>
      </c>
      <c r="C1223" s="24" t="s">
        <v>115</v>
      </c>
      <c r="D1223" s="33" t="n">
        <v>155</v>
      </c>
      <c r="E1223" s="24" t="n">
        <v>0</v>
      </c>
      <c r="F1223" s="37" t="n">
        <f aca="false">DATE(YEAR(A1223),MONTH(A1223),1)</f>
        <v>46235</v>
      </c>
      <c r="G1223" s="24" t="str">
        <f aca="false">INDEX(Products!$C$2:$C$49,MATCH(C1223,Products!$A$2:$A$49,0))</f>
        <v>Grocery Staples</v>
      </c>
      <c r="H1223" s="33" t="n">
        <f aca="false">D1223*INDEX(Products!$E$2:$E$49,MATCH(C1223,Products!$A$2:$A$49,0))</f>
        <v>25575</v>
      </c>
      <c r="I1223" s="33" t="n">
        <f aca="false">D1223*INDEX(Products!$D$2:$D$49,MATCH(C1223,Products!$A$2:$A$49,0))*(1+INDEX(Assumptions!$B$16:$B$20,MATCH(B1223,Assumptions!$A$16:$A$20,0)))</f>
        <v>22498.56</v>
      </c>
      <c r="J1223" s="33" t="n">
        <f aca="false">H1223-I1223</f>
        <v>3076.44</v>
      </c>
      <c r="K1223" s="33" t="n">
        <f aca="false">IF(OR(E1223=0,E1223&gt;=7),0,D1223/(7-E1223)*E1223*INDEX(Products!$E$2:$E$49,MATCH(C1223,Products!$A$2:$A$49,0)))</f>
        <v>0</v>
      </c>
    </row>
    <row r="1224" customFormat="false" ht="15" hidden="false" customHeight="false" outlineLevel="0" collapsed="false">
      <c r="A1224" s="36" t="n">
        <v>46272</v>
      </c>
      <c r="B1224" s="24" t="s">
        <v>62</v>
      </c>
      <c r="C1224" s="24" t="s">
        <v>115</v>
      </c>
      <c r="D1224" s="33" t="n">
        <v>131</v>
      </c>
      <c r="E1224" s="24" t="n">
        <v>0</v>
      </c>
      <c r="F1224" s="37" t="n">
        <f aca="false">DATE(YEAR(A1224),MONTH(A1224),1)</f>
        <v>46266</v>
      </c>
      <c r="G1224" s="24" t="str">
        <f aca="false">INDEX(Products!$C$2:$C$49,MATCH(C1224,Products!$A$2:$A$49,0))</f>
        <v>Grocery Staples</v>
      </c>
      <c r="H1224" s="33" t="n">
        <f aca="false">D1224*INDEX(Products!$E$2:$E$49,MATCH(C1224,Products!$A$2:$A$49,0))</f>
        <v>21615</v>
      </c>
      <c r="I1224" s="33" t="n">
        <f aca="false">D1224*INDEX(Products!$D$2:$D$49,MATCH(C1224,Products!$A$2:$A$49,0))*(1+INDEX(Assumptions!$B$16:$B$20,MATCH(B1224,Assumptions!$A$16:$A$20,0)))</f>
        <v>19014.912</v>
      </c>
      <c r="J1224" s="33" t="n">
        <f aca="false">H1224-I1224</f>
        <v>2600.088</v>
      </c>
      <c r="K1224" s="33" t="n">
        <f aca="false">IF(OR(E1224=0,E1224&gt;=7),0,D1224/(7-E1224)*E1224*INDEX(Products!$E$2:$E$49,MATCH(C1224,Products!$A$2:$A$49,0)))</f>
        <v>0</v>
      </c>
    </row>
    <row r="1225" customFormat="false" ht="15" hidden="false" customHeight="false" outlineLevel="0" collapsed="false">
      <c r="A1225" s="36" t="n">
        <v>46279</v>
      </c>
      <c r="B1225" s="24" t="s">
        <v>62</v>
      </c>
      <c r="C1225" s="24" t="s">
        <v>115</v>
      </c>
      <c r="D1225" s="33" t="n">
        <v>61</v>
      </c>
      <c r="E1225" s="24" t="n">
        <v>4</v>
      </c>
      <c r="F1225" s="37" t="n">
        <f aca="false">DATE(YEAR(A1225),MONTH(A1225),1)</f>
        <v>46266</v>
      </c>
      <c r="G1225" s="24" t="str">
        <f aca="false">INDEX(Products!$C$2:$C$49,MATCH(C1225,Products!$A$2:$A$49,0))</f>
        <v>Grocery Staples</v>
      </c>
      <c r="H1225" s="33" t="n">
        <f aca="false">D1225*INDEX(Products!$E$2:$E$49,MATCH(C1225,Products!$A$2:$A$49,0))</f>
        <v>10065</v>
      </c>
      <c r="I1225" s="33" t="n">
        <f aca="false">D1225*INDEX(Products!$D$2:$D$49,MATCH(C1225,Products!$A$2:$A$49,0))*(1+INDEX(Assumptions!$B$16:$B$20,MATCH(B1225,Assumptions!$A$16:$A$20,0)))</f>
        <v>8854.272</v>
      </c>
      <c r="J1225" s="33" t="n">
        <f aca="false">H1225-I1225</f>
        <v>1210.728</v>
      </c>
      <c r="K1225" s="33" t="n">
        <f aca="false">IF(OR(E1225=0,E1225&gt;=7),0,D1225/(7-E1225)*E1225*INDEX(Products!$E$2:$E$49,MATCH(C1225,Products!$A$2:$A$49,0)))</f>
        <v>13420</v>
      </c>
    </row>
    <row r="1226" customFormat="false" ht="15" hidden="false" customHeight="false" outlineLevel="0" collapsed="false">
      <c r="A1226" s="36" t="n">
        <v>46286</v>
      </c>
      <c r="B1226" s="24" t="s">
        <v>62</v>
      </c>
      <c r="C1226" s="24" t="s">
        <v>115</v>
      </c>
      <c r="D1226" s="33" t="n">
        <v>170</v>
      </c>
      <c r="E1226" s="24" t="n">
        <v>0</v>
      </c>
      <c r="F1226" s="37" t="n">
        <f aca="false">DATE(YEAR(A1226),MONTH(A1226),1)</f>
        <v>46266</v>
      </c>
      <c r="G1226" s="24" t="str">
        <f aca="false">INDEX(Products!$C$2:$C$49,MATCH(C1226,Products!$A$2:$A$49,0))</f>
        <v>Grocery Staples</v>
      </c>
      <c r="H1226" s="33" t="n">
        <f aca="false">D1226*INDEX(Products!$E$2:$E$49,MATCH(C1226,Products!$A$2:$A$49,0))</f>
        <v>28050</v>
      </c>
      <c r="I1226" s="33" t="n">
        <f aca="false">D1226*INDEX(Products!$D$2:$D$49,MATCH(C1226,Products!$A$2:$A$49,0))*(1+INDEX(Assumptions!$B$16:$B$20,MATCH(B1226,Assumptions!$A$16:$A$20,0)))</f>
        <v>24675.84</v>
      </c>
      <c r="J1226" s="33" t="n">
        <f aca="false">H1226-I1226</f>
        <v>3374.16</v>
      </c>
      <c r="K1226" s="33" t="n">
        <f aca="false">IF(OR(E1226=0,E1226&gt;=7),0,D1226/(7-E1226)*E1226*INDEX(Products!$E$2:$E$49,MATCH(C1226,Products!$A$2:$A$49,0)))</f>
        <v>0</v>
      </c>
    </row>
    <row r="1227" customFormat="false" ht="15" hidden="false" customHeight="false" outlineLevel="0" collapsed="false">
      <c r="A1227" s="36" t="n">
        <v>46118</v>
      </c>
      <c r="B1227" s="24" t="s">
        <v>62</v>
      </c>
      <c r="C1227" s="24" t="s">
        <v>117</v>
      </c>
      <c r="D1227" s="33" t="n">
        <v>181</v>
      </c>
      <c r="E1227" s="24" t="n">
        <v>0</v>
      </c>
      <c r="F1227" s="37" t="n">
        <f aca="false">DATE(YEAR(A1227),MONTH(A1227),1)</f>
        <v>46113</v>
      </c>
      <c r="G1227" s="24" t="str">
        <f aca="false">INDEX(Products!$C$2:$C$49,MATCH(C1227,Products!$A$2:$A$49,0))</f>
        <v>Grocery Staples</v>
      </c>
      <c r="H1227" s="33" t="n">
        <f aca="false">D1227*INDEX(Products!$E$2:$E$49,MATCH(C1227,Products!$A$2:$A$49,0))</f>
        <v>34390</v>
      </c>
      <c r="I1227" s="33" t="n">
        <f aca="false">D1227*INDEX(Products!$D$2:$D$49,MATCH(C1227,Products!$A$2:$A$49,0))*(1+INDEX(Assumptions!$B$16:$B$20,MATCH(B1227,Assumptions!$A$16:$A$20,0)))</f>
        <v>30651.264</v>
      </c>
      <c r="J1227" s="33" t="n">
        <f aca="false">H1227-I1227</f>
        <v>3738.736</v>
      </c>
      <c r="K1227" s="33" t="n">
        <f aca="false">IF(OR(E1227=0,E1227&gt;=7),0,D1227/(7-E1227)*E1227*INDEX(Products!$E$2:$E$49,MATCH(C1227,Products!$A$2:$A$49,0)))</f>
        <v>0</v>
      </c>
    </row>
    <row r="1228" customFormat="false" ht="15" hidden="false" customHeight="false" outlineLevel="0" collapsed="false">
      <c r="A1228" s="36" t="n">
        <v>46125</v>
      </c>
      <c r="B1228" s="24" t="s">
        <v>62</v>
      </c>
      <c r="C1228" s="24" t="s">
        <v>117</v>
      </c>
      <c r="D1228" s="33" t="n">
        <v>108</v>
      </c>
      <c r="E1228" s="24" t="n">
        <v>0</v>
      </c>
      <c r="F1228" s="37" t="n">
        <f aca="false">DATE(YEAR(A1228),MONTH(A1228),1)</f>
        <v>46113</v>
      </c>
      <c r="G1228" s="24" t="str">
        <f aca="false">INDEX(Products!$C$2:$C$49,MATCH(C1228,Products!$A$2:$A$49,0))</f>
        <v>Grocery Staples</v>
      </c>
      <c r="H1228" s="33" t="n">
        <f aca="false">D1228*INDEX(Products!$E$2:$E$49,MATCH(C1228,Products!$A$2:$A$49,0))</f>
        <v>20520</v>
      </c>
      <c r="I1228" s="33" t="n">
        <f aca="false">D1228*INDEX(Products!$D$2:$D$49,MATCH(C1228,Products!$A$2:$A$49,0))*(1+INDEX(Assumptions!$B$16:$B$20,MATCH(B1228,Assumptions!$A$16:$A$20,0)))</f>
        <v>18289.152</v>
      </c>
      <c r="J1228" s="33" t="n">
        <f aca="false">H1228-I1228</f>
        <v>2230.848</v>
      </c>
      <c r="K1228" s="33" t="n">
        <f aca="false">IF(OR(E1228=0,E1228&gt;=7),0,D1228/(7-E1228)*E1228*INDEX(Products!$E$2:$E$49,MATCH(C1228,Products!$A$2:$A$49,0)))</f>
        <v>0</v>
      </c>
    </row>
    <row r="1229" customFormat="false" ht="15" hidden="false" customHeight="false" outlineLevel="0" collapsed="false">
      <c r="A1229" s="36" t="n">
        <v>46132</v>
      </c>
      <c r="B1229" s="24" t="s">
        <v>62</v>
      </c>
      <c r="C1229" s="24" t="s">
        <v>117</v>
      </c>
      <c r="D1229" s="33" t="n">
        <v>107</v>
      </c>
      <c r="E1229" s="24" t="n">
        <v>0</v>
      </c>
      <c r="F1229" s="37" t="n">
        <f aca="false">DATE(YEAR(A1229),MONTH(A1229),1)</f>
        <v>46113</v>
      </c>
      <c r="G1229" s="24" t="str">
        <f aca="false">INDEX(Products!$C$2:$C$49,MATCH(C1229,Products!$A$2:$A$49,0))</f>
        <v>Grocery Staples</v>
      </c>
      <c r="H1229" s="33" t="n">
        <f aca="false">D1229*INDEX(Products!$E$2:$E$49,MATCH(C1229,Products!$A$2:$A$49,0))</f>
        <v>20330</v>
      </c>
      <c r="I1229" s="33" t="n">
        <f aca="false">D1229*INDEX(Products!$D$2:$D$49,MATCH(C1229,Products!$A$2:$A$49,0))*(1+INDEX(Assumptions!$B$16:$B$20,MATCH(B1229,Assumptions!$A$16:$A$20,0)))</f>
        <v>18119.808</v>
      </c>
      <c r="J1229" s="33" t="n">
        <f aca="false">H1229-I1229</f>
        <v>2210.192</v>
      </c>
      <c r="K1229" s="33" t="n">
        <f aca="false">IF(OR(E1229=0,E1229&gt;=7),0,D1229/(7-E1229)*E1229*INDEX(Products!$E$2:$E$49,MATCH(C1229,Products!$A$2:$A$49,0)))</f>
        <v>0</v>
      </c>
    </row>
    <row r="1230" customFormat="false" ht="15" hidden="false" customHeight="false" outlineLevel="0" collapsed="false">
      <c r="A1230" s="36" t="n">
        <v>46139</v>
      </c>
      <c r="B1230" s="24" t="s">
        <v>62</v>
      </c>
      <c r="C1230" s="24" t="s">
        <v>117</v>
      </c>
      <c r="D1230" s="33" t="n">
        <v>114</v>
      </c>
      <c r="E1230" s="24" t="n">
        <v>1</v>
      </c>
      <c r="F1230" s="37" t="n">
        <f aca="false">DATE(YEAR(A1230),MONTH(A1230),1)</f>
        <v>46113</v>
      </c>
      <c r="G1230" s="24" t="str">
        <f aca="false">INDEX(Products!$C$2:$C$49,MATCH(C1230,Products!$A$2:$A$49,0))</f>
        <v>Grocery Staples</v>
      </c>
      <c r="H1230" s="33" t="n">
        <f aca="false">D1230*INDEX(Products!$E$2:$E$49,MATCH(C1230,Products!$A$2:$A$49,0))</f>
        <v>21660</v>
      </c>
      <c r="I1230" s="33" t="n">
        <f aca="false">D1230*INDEX(Products!$D$2:$D$49,MATCH(C1230,Products!$A$2:$A$49,0))*(1+INDEX(Assumptions!$B$16:$B$20,MATCH(B1230,Assumptions!$A$16:$A$20,0)))</f>
        <v>19305.216</v>
      </c>
      <c r="J1230" s="33" t="n">
        <f aca="false">H1230-I1230</f>
        <v>2354.784</v>
      </c>
      <c r="K1230" s="33" t="n">
        <f aca="false">IF(OR(E1230=0,E1230&gt;=7),0,D1230/(7-E1230)*E1230*INDEX(Products!$E$2:$E$49,MATCH(C1230,Products!$A$2:$A$49,0)))</f>
        <v>3610</v>
      </c>
    </row>
    <row r="1231" customFormat="false" ht="15" hidden="false" customHeight="false" outlineLevel="0" collapsed="false">
      <c r="A1231" s="36" t="n">
        <v>46146</v>
      </c>
      <c r="B1231" s="24" t="s">
        <v>62</v>
      </c>
      <c r="C1231" s="24" t="s">
        <v>117</v>
      </c>
      <c r="D1231" s="33" t="n">
        <v>123</v>
      </c>
      <c r="E1231" s="24" t="n">
        <v>0</v>
      </c>
      <c r="F1231" s="37" t="n">
        <f aca="false">DATE(YEAR(A1231),MONTH(A1231),1)</f>
        <v>46143</v>
      </c>
      <c r="G1231" s="24" t="str">
        <f aca="false">INDEX(Products!$C$2:$C$49,MATCH(C1231,Products!$A$2:$A$49,0))</f>
        <v>Grocery Staples</v>
      </c>
      <c r="H1231" s="33" t="n">
        <f aca="false">D1231*INDEX(Products!$E$2:$E$49,MATCH(C1231,Products!$A$2:$A$49,0))</f>
        <v>23370</v>
      </c>
      <c r="I1231" s="33" t="n">
        <f aca="false">D1231*INDEX(Products!$D$2:$D$49,MATCH(C1231,Products!$A$2:$A$49,0))*(1+INDEX(Assumptions!$B$16:$B$20,MATCH(B1231,Assumptions!$A$16:$A$20,0)))</f>
        <v>20829.312</v>
      </c>
      <c r="J1231" s="33" t="n">
        <f aca="false">H1231-I1231</f>
        <v>2540.688</v>
      </c>
      <c r="K1231" s="33" t="n">
        <f aca="false">IF(OR(E1231=0,E1231&gt;=7),0,D1231/(7-E1231)*E1231*INDEX(Products!$E$2:$E$49,MATCH(C1231,Products!$A$2:$A$49,0)))</f>
        <v>0</v>
      </c>
    </row>
    <row r="1232" customFormat="false" ht="15" hidden="false" customHeight="false" outlineLevel="0" collapsed="false">
      <c r="A1232" s="36" t="n">
        <v>46153</v>
      </c>
      <c r="B1232" s="24" t="s">
        <v>62</v>
      </c>
      <c r="C1232" s="24" t="s">
        <v>117</v>
      </c>
      <c r="D1232" s="33" t="n">
        <v>114</v>
      </c>
      <c r="E1232" s="24" t="n">
        <v>0</v>
      </c>
      <c r="F1232" s="37" t="n">
        <f aca="false">DATE(YEAR(A1232),MONTH(A1232),1)</f>
        <v>46143</v>
      </c>
      <c r="G1232" s="24" t="str">
        <f aca="false">INDEX(Products!$C$2:$C$49,MATCH(C1232,Products!$A$2:$A$49,0))</f>
        <v>Grocery Staples</v>
      </c>
      <c r="H1232" s="33" t="n">
        <f aca="false">D1232*INDEX(Products!$E$2:$E$49,MATCH(C1232,Products!$A$2:$A$49,0))</f>
        <v>21660</v>
      </c>
      <c r="I1232" s="33" t="n">
        <f aca="false">D1232*INDEX(Products!$D$2:$D$49,MATCH(C1232,Products!$A$2:$A$49,0))*(1+INDEX(Assumptions!$B$16:$B$20,MATCH(B1232,Assumptions!$A$16:$A$20,0)))</f>
        <v>19305.216</v>
      </c>
      <c r="J1232" s="33" t="n">
        <f aca="false">H1232-I1232</f>
        <v>2354.784</v>
      </c>
      <c r="K1232" s="33" t="n">
        <f aca="false">IF(OR(E1232=0,E1232&gt;=7),0,D1232/(7-E1232)*E1232*INDEX(Products!$E$2:$E$49,MATCH(C1232,Products!$A$2:$A$49,0)))</f>
        <v>0</v>
      </c>
    </row>
    <row r="1233" customFormat="false" ht="15" hidden="false" customHeight="false" outlineLevel="0" collapsed="false">
      <c r="A1233" s="36" t="n">
        <v>46160</v>
      </c>
      <c r="B1233" s="24" t="s">
        <v>62</v>
      </c>
      <c r="C1233" s="24" t="s">
        <v>117</v>
      </c>
      <c r="D1233" s="33" t="n">
        <v>123</v>
      </c>
      <c r="E1233" s="24" t="n">
        <v>0</v>
      </c>
      <c r="F1233" s="37" t="n">
        <f aca="false">DATE(YEAR(A1233),MONTH(A1233),1)</f>
        <v>46143</v>
      </c>
      <c r="G1233" s="24" t="str">
        <f aca="false">INDEX(Products!$C$2:$C$49,MATCH(C1233,Products!$A$2:$A$49,0))</f>
        <v>Grocery Staples</v>
      </c>
      <c r="H1233" s="33" t="n">
        <f aca="false">D1233*INDEX(Products!$E$2:$E$49,MATCH(C1233,Products!$A$2:$A$49,0))</f>
        <v>23370</v>
      </c>
      <c r="I1233" s="33" t="n">
        <f aca="false">D1233*INDEX(Products!$D$2:$D$49,MATCH(C1233,Products!$A$2:$A$49,0))*(1+INDEX(Assumptions!$B$16:$B$20,MATCH(B1233,Assumptions!$A$16:$A$20,0)))</f>
        <v>20829.312</v>
      </c>
      <c r="J1233" s="33" t="n">
        <f aca="false">H1233-I1233</f>
        <v>2540.688</v>
      </c>
      <c r="K1233" s="33" t="n">
        <f aca="false">IF(OR(E1233=0,E1233&gt;=7),0,D1233/(7-E1233)*E1233*INDEX(Products!$E$2:$E$49,MATCH(C1233,Products!$A$2:$A$49,0)))</f>
        <v>0</v>
      </c>
    </row>
    <row r="1234" customFormat="false" ht="15" hidden="false" customHeight="false" outlineLevel="0" collapsed="false">
      <c r="A1234" s="36" t="n">
        <v>46167</v>
      </c>
      <c r="B1234" s="24" t="s">
        <v>62</v>
      </c>
      <c r="C1234" s="24" t="s">
        <v>117</v>
      </c>
      <c r="D1234" s="33" t="n">
        <v>133</v>
      </c>
      <c r="E1234" s="24" t="n">
        <v>0</v>
      </c>
      <c r="F1234" s="37" t="n">
        <f aca="false">DATE(YEAR(A1234),MONTH(A1234),1)</f>
        <v>46143</v>
      </c>
      <c r="G1234" s="24" t="str">
        <f aca="false">INDEX(Products!$C$2:$C$49,MATCH(C1234,Products!$A$2:$A$49,0))</f>
        <v>Grocery Staples</v>
      </c>
      <c r="H1234" s="33" t="n">
        <f aca="false">D1234*INDEX(Products!$E$2:$E$49,MATCH(C1234,Products!$A$2:$A$49,0))</f>
        <v>25270</v>
      </c>
      <c r="I1234" s="33" t="n">
        <f aca="false">D1234*INDEX(Products!$D$2:$D$49,MATCH(C1234,Products!$A$2:$A$49,0))*(1+INDEX(Assumptions!$B$16:$B$20,MATCH(B1234,Assumptions!$A$16:$A$20,0)))</f>
        <v>22522.752</v>
      </c>
      <c r="J1234" s="33" t="n">
        <f aca="false">H1234-I1234</f>
        <v>2747.248</v>
      </c>
      <c r="K1234" s="33" t="n">
        <f aca="false">IF(OR(E1234=0,E1234&gt;=7),0,D1234/(7-E1234)*E1234*INDEX(Products!$E$2:$E$49,MATCH(C1234,Products!$A$2:$A$49,0)))</f>
        <v>0</v>
      </c>
    </row>
    <row r="1235" customFormat="false" ht="15" hidden="false" customHeight="false" outlineLevel="0" collapsed="false">
      <c r="A1235" s="36" t="n">
        <v>46174</v>
      </c>
      <c r="B1235" s="24" t="s">
        <v>62</v>
      </c>
      <c r="C1235" s="24" t="s">
        <v>117</v>
      </c>
      <c r="D1235" s="33" t="n">
        <v>100</v>
      </c>
      <c r="E1235" s="24" t="n">
        <v>0</v>
      </c>
      <c r="F1235" s="37" t="n">
        <f aca="false">DATE(YEAR(A1235),MONTH(A1235),1)</f>
        <v>46174</v>
      </c>
      <c r="G1235" s="24" t="str">
        <f aca="false">INDEX(Products!$C$2:$C$49,MATCH(C1235,Products!$A$2:$A$49,0))</f>
        <v>Grocery Staples</v>
      </c>
      <c r="H1235" s="33" t="n">
        <f aca="false">D1235*INDEX(Products!$E$2:$E$49,MATCH(C1235,Products!$A$2:$A$49,0))</f>
        <v>19000</v>
      </c>
      <c r="I1235" s="33" t="n">
        <f aca="false">D1235*INDEX(Products!$D$2:$D$49,MATCH(C1235,Products!$A$2:$A$49,0))*(1+INDEX(Assumptions!$B$16:$B$20,MATCH(B1235,Assumptions!$A$16:$A$20,0)))</f>
        <v>16934.4</v>
      </c>
      <c r="J1235" s="33" t="n">
        <f aca="false">H1235-I1235</f>
        <v>2065.6</v>
      </c>
      <c r="K1235" s="33" t="n">
        <f aca="false">IF(OR(E1235=0,E1235&gt;=7),0,D1235/(7-E1235)*E1235*INDEX(Products!$E$2:$E$49,MATCH(C1235,Products!$A$2:$A$49,0)))</f>
        <v>0</v>
      </c>
    </row>
    <row r="1236" customFormat="false" ht="15" hidden="false" customHeight="false" outlineLevel="0" collapsed="false">
      <c r="A1236" s="36" t="n">
        <v>46181</v>
      </c>
      <c r="B1236" s="24" t="s">
        <v>62</v>
      </c>
      <c r="C1236" s="24" t="s">
        <v>117</v>
      </c>
      <c r="D1236" s="33" t="n">
        <v>104</v>
      </c>
      <c r="E1236" s="24" t="n">
        <v>0</v>
      </c>
      <c r="F1236" s="37" t="n">
        <f aca="false">DATE(YEAR(A1236),MONTH(A1236),1)</f>
        <v>46174</v>
      </c>
      <c r="G1236" s="24" t="str">
        <f aca="false">INDEX(Products!$C$2:$C$49,MATCH(C1236,Products!$A$2:$A$49,0))</f>
        <v>Grocery Staples</v>
      </c>
      <c r="H1236" s="33" t="n">
        <f aca="false">D1236*INDEX(Products!$E$2:$E$49,MATCH(C1236,Products!$A$2:$A$49,0))</f>
        <v>19760</v>
      </c>
      <c r="I1236" s="33" t="n">
        <f aca="false">D1236*INDEX(Products!$D$2:$D$49,MATCH(C1236,Products!$A$2:$A$49,0))*(1+INDEX(Assumptions!$B$16:$B$20,MATCH(B1236,Assumptions!$A$16:$A$20,0)))</f>
        <v>17611.776</v>
      </c>
      <c r="J1236" s="33" t="n">
        <f aca="false">H1236-I1236</f>
        <v>2148.224</v>
      </c>
      <c r="K1236" s="33" t="n">
        <f aca="false">IF(OR(E1236=0,E1236&gt;=7),0,D1236/(7-E1236)*E1236*INDEX(Products!$E$2:$E$49,MATCH(C1236,Products!$A$2:$A$49,0)))</f>
        <v>0</v>
      </c>
    </row>
    <row r="1237" customFormat="false" ht="15" hidden="false" customHeight="false" outlineLevel="0" collapsed="false">
      <c r="A1237" s="36" t="n">
        <v>46188</v>
      </c>
      <c r="B1237" s="24" t="s">
        <v>62</v>
      </c>
      <c r="C1237" s="24" t="s">
        <v>117</v>
      </c>
      <c r="D1237" s="33" t="n">
        <v>140</v>
      </c>
      <c r="E1237" s="24" t="n">
        <v>0</v>
      </c>
      <c r="F1237" s="37" t="n">
        <f aca="false">DATE(YEAR(A1237),MONTH(A1237),1)</f>
        <v>46174</v>
      </c>
      <c r="G1237" s="24" t="str">
        <f aca="false">INDEX(Products!$C$2:$C$49,MATCH(C1237,Products!$A$2:$A$49,0))</f>
        <v>Grocery Staples</v>
      </c>
      <c r="H1237" s="33" t="n">
        <f aca="false">D1237*INDEX(Products!$E$2:$E$49,MATCH(C1237,Products!$A$2:$A$49,0))</f>
        <v>26600</v>
      </c>
      <c r="I1237" s="33" t="n">
        <f aca="false">D1237*INDEX(Products!$D$2:$D$49,MATCH(C1237,Products!$A$2:$A$49,0))*(1+INDEX(Assumptions!$B$16:$B$20,MATCH(B1237,Assumptions!$A$16:$A$20,0)))</f>
        <v>23708.16</v>
      </c>
      <c r="J1237" s="33" t="n">
        <f aca="false">H1237-I1237</f>
        <v>2891.84</v>
      </c>
      <c r="K1237" s="33" t="n">
        <f aca="false">IF(OR(E1237=0,E1237&gt;=7),0,D1237/(7-E1237)*E1237*INDEX(Products!$E$2:$E$49,MATCH(C1237,Products!$A$2:$A$49,0)))</f>
        <v>0</v>
      </c>
    </row>
    <row r="1238" customFormat="false" ht="15" hidden="false" customHeight="false" outlineLevel="0" collapsed="false">
      <c r="A1238" s="36" t="n">
        <v>46195</v>
      </c>
      <c r="B1238" s="24" t="s">
        <v>62</v>
      </c>
      <c r="C1238" s="24" t="s">
        <v>117</v>
      </c>
      <c r="D1238" s="33" t="n">
        <v>101</v>
      </c>
      <c r="E1238" s="24" t="n">
        <v>0</v>
      </c>
      <c r="F1238" s="37" t="n">
        <f aca="false">DATE(YEAR(A1238),MONTH(A1238),1)</f>
        <v>46174</v>
      </c>
      <c r="G1238" s="24" t="str">
        <f aca="false">INDEX(Products!$C$2:$C$49,MATCH(C1238,Products!$A$2:$A$49,0))</f>
        <v>Grocery Staples</v>
      </c>
      <c r="H1238" s="33" t="n">
        <f aca="false">D1238*INDEX(Products!$E$2:$E$49,MATCH(C1238,Products!$A$2:$A$49,0))</f>
        <v>19190</v>
      </c>
      <c r="I1238" s="33" t="n">
        <f aca="false">D1238*INDEX(Products!$D$2:$D$49,MATCH(C1238,Products!$A$2:$A$49,0))*(1+INDEX(Assumptions!$B$16:$B$20,MATCH(B1238,Assumptions!$A$16:$A$20,0)))</f>
        <v>17103.744</v>
      </c>
      <c r="J1238" s="33" t="n">
        <f aca="false">H1238-I1238</f>
        <v>2086.256</v>
      </c>
      <c r="K1238" s="33" t="n">
        <f aca="false">IF(OR(E1238=0,E1238&gt;=7),0,D1238/(7-E1238)*E1238*INDEX(Products!$E$2:$E$49,MATCH(C1238,Products!$A$2:$A$49,0)))</f>
        <v>0</v>
      </c>
    </row>
    <row r="1239" customFormat="false" ht="15" hidden="false" customHeight="false" outlineLevel="0" collapsed="false">
      <c r="A1239" s="36" t="n">
        <v>46202</v>
      </c>
      <c r="B1239" s="24" t="s">
        <v>62</v>
      </c>
      <c r="C1239" s="24" t="s">
        <v>117</v>
      </c>
      <c r="D1239" s="33" t="n">
        <v>123</v>
      </c>
      <c r="E1239" s="24" t="n">
        <v>0</v>
      </c>
      <c r="F1239" s="37" t="n">
        <f aca="false">DATE(YEAR(A1239),MONTH(A1239),1)</f>
        <v>46174</v>
      </c>
      <c r="G1239" s="24" t="str">
        <f aca="false">INDEX(Products!$C$2:$C$49,MATCH(C1239,Products!$A$2:$A$49,0))</f>
        <v>Grocery Staples</v>
      </c>
      <c r="H1239" s="33" t="n">
        <f aca="false">D1239*INDEX(Products!$E$2:$E$49,MATCH(C1239,Products!$A$2:$A$49,0))</f>
        <v>23370</v>
      </c>
      <c r="I1239" s="33" t="n">
        <f aca="false">D1239*INDEX(Products!$D$2:$D$49,MATCH(C1239,Products!$A$2:$A$49,0))*(1+INDEX(Assumptions!$B$16:$B$20,MATCH(B1239,Assumptions!$A$16:$A$20,0)))</f>
        <v>20829.312</v>
      </c>
      <c r="J1239" s="33" t="n">
        <f aca="false">H1239-I1239</f>
        <v>2540.688</v>
      </c>
      <c r="K1239" s="33" t="n">
        <f aca="false">IF(OR(E1239=0,E1239&gt;=7),0,D1239/(7-E1239)*E1239*INDEX(Products!$E$2:$E$49,MATCH(C1239,Products!$A$2:$A$49,0)))</f>
        <v>0</v>
      </c>
    </row>
    <row r="1240" customFormat="false" ht="15" hidden="false" customHeight="false" outlineLevel="0" collapsed="false">
      <c r="A1240" s="36" t="n">
        <v>46209</v>
      </c>
      <c r="B1240" s="24" t="s">
        <v>62</v>
      </c>
      <c r="C1240" s="24" t="s">
        <v>117</v>
      </c>
      <c r="D1240" s="33" t="n">
        <v>102</v>
      </c>
      <c r="E1240" s="24" t="n">
        <v>0</v>
      </c>
      <c r="F1240" s="37" t="n">
        <f aca="false">DATE(YEAR(A1240),MONTH(A1240),1)</f>
        <v>46204</v>
      </c>
      <c r="G1240" s="24" t="str">
        <f aca="false">INDEX(Products!$C$2:$C$49,MATCH(C1240,Products!$A$2:$A$49,0))</f>
        <v>Grocery Staples</v>
      </c>
      <c r="H1240" s="33" t="n">
        <f aca="false">D1240*INDEX(Products!$E$2:$E$49,MATCH(C1240,Products!$A$2:$A$49,0))</f>
        <v>19380</v>
      </c>
      <c r="I1240" s="33" t="n">
        <f aca="false">D1240*INDEX(Products!$D$2:$D$49,MATCH(C1240,Products!$A$2:$A$49,0))*(1+INDEX(Assumptions!$B$16:$B$20,MATCH(B1240,Assumptions!$A$16:$A$20,0)))</f>
        <v>17273.088</v>
      </c>
      <c r="J1240" s="33" t="n">
        <f aca="false">H1240-I1240</f>
        <v>2106.912</v>
      </c>
      <c r="K1240" s="33" t="n">
        <f aca="false">IF(OR(E1240=0,E1240&gt;=7),0,D1240/(7-E1240)*E1240*INDEX(Products!$E$2:$E$49,MATCH(C1240,Products!$A$2:$A$49,0)))</f>
        <v>0</v>
      </c>
    </row>
    <row r="1241" customFormat="false" ht="15" hidden="false" customHeight="false" outlineLevel="0" collapsed="false">
      <c r="A1241" s="36" t="n">
        <v>46216</v>
      </c>
      <c r="B1241" s="24" t="s">
        <v>62</v>
      </c>
      <c r="C1241" s="24" t="s">
        <v>117</v>
      </c>
      <c r="D1241" s="33" t="n">
        <v>102</v>
      </c>
      <c r="E1241" s="24" t="n">
        <v>0</v>
      </c>
      <c r="F1241" s="37" t="n">
        <f aca="false">DATE(YEAR(A1241),MONTH(A1241),1)</f>
        <v>46204</v>
      </c>
      <c r="G1241" s="24" t="str">
        <f aca="false">INDEX(Products!$C$2:$C$49,MATCH(C1241,Products!$A$2:$A$49,0))</f>
        <v>Grocery Staples</v>
      </c>
      <c r="H1241" s="33" t="n">
        <f aca="false">D1241*INDEX(Products!$E$2:$E$49,MATCH(C1241,Products!$A$2:$A$49,0))</f>
        <v>19380</v>
      </c>
      <c r="I1241" s="33" t="n">
        <f aca="false">D1241*INDEX(Products!$D$2:$D$49,MATCH(C1241,Products!$A$2:$A$49,0))*(1+INDEX(Assumptions!$B$16:$B$20,MATCH(B1241,Assumptions!$A$16:$A$20,0)))</f>
        <v>17273.088</v>
      </c>
      <c r="J1241" s="33" t="n">
        <f aca="false">H1241-I1241</f>
        <v>2106.912</v>
      </c>
      <c r="K1241" s="33" t="n">
        <f aca="false">IF(OR(E1241=0,E1241&gt;=7),0,D1241/(7-E1241)*E1241*INDEX(Products!$E$2:$E$49,MATCH(C1241,Products!$A$2:$A$49,0)))</f>
        <v>0</v>
      </c>
    </row>
    <row r="1242" customFormat="false" ht="15" hidden="false" customHeight="false" outlineLevel="0" collapsed="false">
      <c r="A1242" s="36" t="n">
        <v>46223</v>
      </c>
      <c r="B1242" s="24" t="s">
        <v>62</v>
      </c>
      <c r="C1242" s="24" t="s">
        <v>117</v>
      </c>
      <c r="D1242" s="33" t="n">
        <v>97</v>
      </c>
      <c r="E1242" s="24" t="n">
        <v>0</v>
      </c>
      <c r="F1242" s="37" t="n">
        <f aca="false">DATE(YEAR(A1242),MONTH(A1242),1)</f>
        <v>46204</v>
      </c>
      <c r="G1242" s="24" t="str">
        <f aca="false">INDEX(Products!$C$2:$C$49,MATCH(C1242,Products!$A$2:$A$49,0))</f>
        <v>Grocery Staples</v>
      </c>
      <c r="H1242" s="33" t="n">
        <f aca="false">D1242*INDEX(Products!$E$2:$E$49,MATCH(C1242,Products!$A$2:$A$49,0))</f>
        <v>18430</v>
      </c>
      <c r="I1242" s="33" t="n">
        <f aca="false">D1242*INDEX(Products!$D$2:$D$49,MATCH(C1242,Products!$A$2:$A$49,0))*(1+INDEX(Assumptions!$B$16:$B$20,MATCH(B1242,Assumptions!$A$16:$A$20,0)))</f>
        <v>16426.368</v>
      </c>
      <c r="J1242" s="33" t="n">
        <f aca="false">H1242-I1242</f>
        <v>2003.632</v>
      </c>
      <c r="K1242" s="33" t="n">
        <f aca="false">IF(OR(E1242=0,E1242&gt;=7),0,D1242/(7-E1242)*E1242*INDEX(Products!$E$2:$E$49,MATCH(C1242,Products!$A$2:$A$49,0)))</f>
        <v>0</v>
      </c>
    </row>
    <row r="1243" customFormat="false" ht="15" hidden="false" customHeight="false" outlineLevel="0" collapsed="false">
      <c r="A1243" s="36" t="n">
        <v>46230</v>
      </c>
      <c r="B1243" s="24" t="s">
        <v>62</v>
      </c>
      <c r="C1243" s="24" t="s">
        <v>117</v>
      </c>
      <c r="D1243" s="33" t="n">
        <v>117</v>
      </c>
      <c r="E1243" s="24" t="n">
        <v>0</v>
      </c>
      <c r="F1243" s="37" t="n">
        <f aca="false">DATE(YEAR(A1243),MONTH(A1243),1)</f>
        <v>46204</v>
      </c>
      <c r="G1243" s="24" t="str">
        <f aca="false">INDEX(Products!$C$2:$C$49,MATCH(C1243,Products!$A$2:$A$49,0))</f>
        <v>Grocery Staples</v>
      </c>
      <c r="H1243" s="33" t="n">
        <f aca="false">D1243*INDEX(Products!$E$2:$E$49,MATCH(C1243,Products!$A$2:$A$49,0))</f>
        <v>22230</v>
      </c>
      <c r="I1243" s="33" t="n">
        <f aca="false">D1243*INDEX(Products!$D$2:$D$49,MATCH(C1243,Products!$A$2:$A$49,0))*(1+INDEX(Assumptions!$B$16:$B$20,MATCH(B1243,Assumptions!$A$16:$A$20,0)))</f>
        <v>19813.248</v>
      </c>
      <c r="J1243" s="33" t="n">
        <f aca="false">H1243-I1243</f>
        <v>2416.752</v>
      </c>
      <c r="K1243" s="33" t="n">
        <f aca="false">IF(OR(E1243=0,E1243&gt;=7),0,D1243/(7-E1243)*E1243*INDEX(Products!$E$2:$E$49,MATCH(C1243,Products!$A$2:$A$49,0)))</f>
        <v>0</v>
      </c>
    </row>
    <row r="1244" customFormat="false" ht="15" hidden="false" customHeight="false" outlineLevel="0" collapsed="false">
      <c r="A1244" s="36" t="n">
        <v>46237</v>
      </c>
      <c r="B1244" s="24" t="s">
        <v>62</v>
      </c>
      <c r="C1244" s="24" t="s">
        <v>117</v>
      </c>
      <c r="D1244" s="33" t="n">
        <v>104</v>
      </c>
      <c r="E1244" s="24" t="n">
        <v>0</v>
      </c>
      <c r="F1244" s="37" t="n">
        <f aca="false">DATE(YEAR(A1244),MONTH(A1244),1)</f>
        <v>46235</v>
      </c>
      <c r="G1244" s="24" t="str">
        <f aca="false">INDEX(Products!$C$2:$C$49,MATCH(C1244,Products!$A$2:$A$49,0))</f>
        <v>Grocery Staples</v>
      </c>
      <c r="H1244" s="33" t="n">
        <f aca="false">D1244*INDEX(Products!$E$2:$E$49,MATCH(C1244,Products!$A$2:$A$49,0))</f>
        <v>19760</v>
      </c>
      <c r="I1244" s="33" t="n">
        <f aca="false">D1244*INDEX(Products!$D$2:$D$49,MATCH(C1244,Products!$A$2:$A$49,0))*(1+INDEX(Assumptions!$B$16:$B$20,MATCH(B1244,Assumptions!$A$16:$A$20,0)))</f>
        <v>17611.776</v>
      </c>
      <c r="J1244" s="33" t="n">
        <f aca="false">H1244-I1244</f>
        <v>2148.224</v>
      </c>
      <c r="K1244" s="33" t="n">
        <f aca="false">IF(OR(E1244=0,E1244&gt;=7),0,D1244/(7-E1244)*E1244*INDEX(Products!$E$2:$E$49,MATCH(C1244,Products!$A$2:$A$49,0)))</f>
        <v>0</v>
      </c>
    </row>
    <row r="1245" customFormat="false" ht="15" hidden="false" customHeight="false" outlineLevel="0" collapsed="false">
      <c r="A1245" s="36" t="n">
        <v>46244</v>
      </c>
      <c r="B1245" s="24" t="s">
        <v>62</v>
      </c>
      <c r="C1245" s="24" t="s">
        <v>117</v>
      </c>
      <c r="D1245" s="33" t="n">
        <v>95</v>
      </c>
      <c r="E1245" s="24" t="n">
        <v>0</v>
      </c>
      <c r="F1245" s="37" t="n">
        <f aca="false">DATE(YEAR(A1245),MONTH(A1245),1)</f>
        <v>46235</v>
      </c>
      <c r="G1245" s="24" t="str">
        <f aca="false">INDEX(Products!$C$2:$C$49,MATCH(C1245,Products!$A$2:$A$49,0))</f>
        <v>Grocery Staples</v>
      </c>
      <c r="H1245" s="33" t="n">
        <f aca="false">D1245*INDEX(Products!$E$2:$E$49,MATCH(C1245,Products!$A$2:$A$49,0))</f>
        <v>18050</v>
      </c>
      <c r="I1245" s="33" t="n">
        <f aca="false">D1245*INDEX(Products!$D$2:$D$49,MATCH(C1245,Products!$A$2:$A$49,0))*(1+INDEX(Assumptions!$B$16:$B$20,MATCH(B1245,Assumptions!$A$16:$A$20,0)))</f>
        <v>16087.68</v>
      </c>
      <c r="J1245" s="33" t="n">
        <f aca="false">H1245-I1245</f>
        <v>1962.32</v>
      </c>
      <c r="K1245" s="33" t="n">
        <f aca="false">IF(OR(E1245=0,E1245&gt;=7),0,D1245/(7-E1245)*E1245*INDEX(Products!$E$2:$E$49,MATCH(C1245,Products!$A$2:$A$49,0)))</f>
        <v>0</v>
      </c>
    </row>
    <row r="1246" customFormat="false" ht="15" hidden="false" customHeight="false" outlineLevel="0" collapsed="false">
      <c r="A1246" s="36" t="n">
        <v>46251</v>
      </c>
      <c r="B1246" s="24" t="s">
        <v>62</v>
      </c>
      <c r="C1246" s="24" t="s">
        <v>117</v>
      </c>
      <c r="D1246" s="33" t="n">
        <v>90</v>
      </c>
      <c r="E1246" s="24" t="n">
        <v>0</v>
      </c>
      <c r="F1246" s="37" t="n">
        <f aca="false">DATE(YEAR(A1246),MONTH(A1246),1)</f>
        <v>46235</v>
      </c>
      <c r="G1246" s="24" t="str">
        <f aca="false">INDEX(Products!$C$2:$C$49,MATCH(C1246,Products!$A$2:$A$49,0))</f>
        <v>Grocery Staples</v>
      </c>
      <c r="H1246" s="33" t="n">
        <f aca="false">D1246*INDEX(Products!$E$2:$E$49,MATCH(C1246,Products!$A$2:$A$49,0))</f>
        <v>17100</v>
      </c>
      <c r="I1246" s="33" t="n">
        <f aca="false">D1246*INDEX(Products!$D$2:$D$49,MATCH(C1246,Products!$A$2:$A$49,0))*(1+INDEX(Assumptions!$B$16:$B$20,MATCH(B1246,Assumptions!$A$16:$A$20,0)))</f>
        <v>15240.96</v>
      </c>
      <c r="J1246" s="33" t="n">
        <f aca="false">H1246-I1246</f>
        <v>1859.04</v>
      </c>
      <c r="K1246" s="33" t="n">
        <f aca="false">IF(OR(E1246=0,E1246&gt;=7),0,D1246/(7-E1246)*E1246*INDEX(Products!$E$2:$E$49,MATCH(C1246,Products!$A$2:$A$49,0)))</f>
        <v>0</v>
      </c>
    </row>
    <row r="1247" customFormat="false" ht="15" hidden="false" customHeight="false" outlineLevel="0" collapsed="false">
      <c r="A1247" s="36" t="n">
        <v>46258</v>
      </c>
      <c r="B1247" s="24" t="s">
        <v>62</v>
      </c>
      <c r="C1247" s="24" t="s">
        <v>117</v>
      </c>
      <c r="D1247" s="33" t="n">
        <v>69</v>
      </c>
      <c r="E1247" s="24" t="n">
        <v>3</v>
      </c>
      <c r="F1247" s="37" t="n">
        <f aca="false">DATE(YEAR(A1247),MONTH(A1247),1)</f>
        <v>46235</v>
      </c>
      <c r="G1247" s="24" t="str">
        <f aca="false">INDEX(Products!$C$2:$C$49,MATCH(C1247,Products!$A$2:$A$49,0))</f>
        <v>Grocery Staples</v>
      </c>
      <c r="H1247" s="33" t="n">
        <f aca="false">D1247*INDEX(Products!$E$2:$E$49,MATCH(C1247,Products!$A$2:$A$49,0))</f>
        <v>13110</v>
      </c>
      <c r="I1247" s="33" t="n">
        <f aca="false">D1247*INDEX(Products!$D$2:$D$49,MATCH(C1247,Products!$A$2:$A$49,0))*(1+INDEX(Assumptions!$B$16:$B$20,MATCH(B1247,Assumptions!$A$16:$A$20,0)))</f>
        <v>11684.736</v>
      </c>
      <c r="J1247" s="33" t="n">
        <f aca="false">H1247-I1247</f>
        <v>1425.264</v>
      </c>
      <c r="K1247" s="33" t="n">
        <f aca="false">IF(OR(E1247=0,E1247&gt;=7),0,D1247/(7-E1247)*E1247*INDEX(Products!$E$2:$E$49,MATCH(C1247,Products!$A$2:$A$49,0)))</f>
        <v>9832.5</v>
      </c>
    </row>
    <row r="1248" customFormat="false" ht="15" hidden="false" customHeight="false" outlineLevel="0" collapsed="false">
      <c r="A1248" s="36" t="n">
        <v>46265</v>
      </c>
      <c r="B1248" s="24" t="s">
        <v>62</v>
      </c>
      <c r="C1248" s="24" t="s">
        <v>117</v>
      </c>
      <c r="D1248" s="33" t="n">
        <v>141</v>
      </c>
      <c r="E1248" s="24" t="n">
        <v>0</v>
      </c>
      <c r="F1248" s="37" t="n">
        <f aca="false">DATE(YEAR(A1248),MONTH(A1248),1)</f>
        <v>46235</v>
      </c>
      <c r="G1248" s="24" t="str">
        <f aca="false">INDEX(Products!$C$2:$C$49,MATCH(C1248,Products!$A$2:$A$49,0))</f>
        <v>Grocery Staples</v>
      </c>
      <c r="H1248" s="33" t="n">
        <f aca="false">D1248*INDEX(Products!$E$2:$E$49,MATCH(C1248,Products!$A$2:$A$49,0))</f>
        <v>26790</v>
      </c>
      <c r="I1248" s="33" t="n">
        <f aca="false">D1248*INDEX(Products!$D$2:$D$49,MATCH(C1248,Products!$A$2:$A$49,0))*(1+INDEX(Assumptions!$B$16:$B$20,MATCH(B1248,Assumptions!$A$16:$A$20,0)))</f>
        <v>23877.504</v>
      </c>
      <c r="J1248" s="33" t="n">
        <f aca="false">H1248-I1248</f>
        <v>2912.496</v>
      </c>
      <c r="K1248" s="33" t="n">
        <f aca="false">IF(OR(E1248=0,E1248&gt;=7),0,D1248/(7-E1248)*E1248*INDEX(Products!$E$2:$E$49,MATCH(C1248,Products!$A$2:$A$49,0)))</f>
        <v>0</v>
      </c>
    </row>
    <row r="1249" customFormat="false" ht="15" hidden="false" customHeight="false" outlineLevel="0" collapsed="false">
      <c r="A1249" s="36" t="n">
        <v>46272</v>
      </c>
      <c r="B1249" s="24" t="s">
        <v>62</v>
      </c>
      <c r="C1249" s="24" t="s">
        <v>117</v>
      </c>
      <c r="D1249" s="33" t="n">
        <v>103</v>
      </c>
      <c r="E1249" s="24" t="n">
        <v>0</v>
      </c>
      <c r="F1249" s="37" t="n">
        <f aca="false">DATE(YEAR(A1249),MONTH(A1249),1)</f>
        <v>46266</v>
      </c>
      <c r="G1249" s="24" t="str">
        <f aca="false">INDEX(Products!$C$2:$C$49,MATCH(C1249,Products!$A$2:$A$49,0))</f>
        <v>Grocery Staples</v>
      </c>
      <c r="H1249" s="33" t="n">
        <f aca="false">D1249*INDEX(Products!$E$2:$E$49,MATCH(C1249,Products!$A$2:$A$49,0))</f>
        <v>19570</v>
      </c>
      <c r="I1249" s="33" t="n">
        <f aca="false">D1249*INDEX(Products!$D$2:$D$49,MATCH(C1249,Products!$A$2:$A$49,0))*(1+INDEX(Assumptions!$B$16:$B$20,MATCH(B1249,Assumptions!$A$16:$A$20,0)))</f>
        <v>17442.432</v>
      </c>
      <c r="J1249" s="33" t="n">
        <f aca="false">H1249-I1249</f>
        <v>2127.568</v>
      </c>
      <c r="K1249" s="33" t="n">
        <f aca="false">IF(OR(E1249=0,E1249&gt;=7),0,D1249/(7-E1249)*E1249*INDEX(Products!$E$2:$E$49,MATCH(C1249,Products!$A$2:$A$49,0)))</f>
        <v>0</v>
      </c>
    </row>
    <row r="1250" customFormat="false" ht="15" hidden="false" customHeight="false" outlineLevel="0" collapsed="false">
      <c r="A1250" s="36" t="n">
        <v>46279</v>
      </c>
      <c r="B1250" s="24" t="s">
        <v>62</v>
      </c>
      <c r="C1250" s="24" t="s">
        <v>117</v>
      </c>
      <c r="D1250" s="33" t="n">
        <v>111</v>
      </c>
      <c r="E1250" s="24" t="n">
        <v>0</v>
      </c>
      <c r="F1250" s="37" t="n">
        <f aca="false">DATE(YEAR(A1250),MONTH(A1250),1)</f>
        <v>46266</v>
      </c>
      <c r="G1250" s="24" t="str">
        <f aca="false">INDEX(Products!$C$2:$C$49,MATCH(C1250,Products!$A$2:$A$49,0))</f>
        <v>Grocery Staples</v>
      </c>
      <c r="H1250" s="33" t="n">
        <f aca="false">D1250*INDEX(Products!$E$2:$E$49,MATCH(C1250,Products!$A$2:$A$49,0))</f>
        <v>21090</v>
      </c>
      <c r="I1250" s="33" t="n">
        <f aca="false">D1250*INDEX(Products!$D$2:$D$49,MATCH(C1250,Products!$A$2:$A$49,0))*(1+INDEX(Assumptions!$B$16:$B$20,MATCH(B1250,Assumptions!$A$16:$A$20,0)))</f>
        <v>18797.184</v>
      </c>
      <c r="J1250" s="33" t="n">
        <f aca="false">H1250-I1250</f>
        <v>2292.816</v>
      </c>
      <c r="K1250" s="33" t="n">
        <f aca="false">IF(OR(E1250=0,E1250&gt;=7),0,D1250/(7-E1250)*E1250*INDEX(Products!$E$2:$E$49,MATCH(C1250,Products!$A$2:$A$49,0)))</f>
        <v>0</v>
      </c>
    </row>
    <row r="1251" customFormat="false" ht="15" hidden="false" customHeight="false" outlineLevel="0" collapsed="false">
      <c r="A1251" s="36" t="n">
        <v>46286</v>
      </c>
      <c r="B1251" s="24" t="s">
        <v>62</v>
      </c>
      <c r="C1251" s="24" t="s">
        <v>117</v>
      </c>
      <c r="D1251" s="33" t="n">
        <v>238</v>
      </c>
      <c r="E1251" s="24" t="n">
        <v>0</v>
      </c>
      <c r="F1251" s="37" t="n">
        <f aca="false">DATE(YEAR(A1251),MONTH(A1251),1)</f>
        <v>46266</v>
      </c>
      <c r="G1251" s="24" t="str">
        <f aca="false">INDEX(Products!$C$2:$C$49,MATCH(C1251,Products!$A$2:$A$49,0))</f>
        <v>Grocery Staples</v>
      </c>
      <c r="H1251" s="33" t="n">
        <f aca="false">D1251*INDEX(Products!$E$2:$E$49,MATCH(C1251,Products!$A$2:$A$49,0))</f>
        <v>45220</v>
      </c>
      <c r="I1251" s="33" t="n">
        <f aca="false">D1251*INDEX(Products!$D$2:$D$49,MATCH(C1251,Products!$A$2:$A$49,0))*(1+INDEX(Assumptions!$B$16:$B$20,MATCH(B1251,Assumptions!$A$16:$A$20,0)))</f>
        <v>40303.872</v>
      </c>
      <c r="J1251" s="33" t="n">
        <f aca="false">H1251-I1251</f>
        <v>4916.128</v>
      </c>
      <c r="K1251" s="33" t="n">
        <f aca="false">IF(OR(E1251=0,E1251&gt;=7),0,D1251/(7-E1251)*E1251*INDEX(Products!$E$2:$E$49,MATCH(C1251,Products!$A$2:$A$49,0)))</f>
        <v>0</v>
      </c>
    </row>
    <row r="1252" customFormat="false" ht="15" hidden="false" customHeight="false" outlineLevel="0" collapsed="false">
      <c r="A1252" s="36" t="n">
        <v>46118</v>
      </c>
      <c r="B1252" s="24" t="s">
        <v>62</v>
      </c>
      <c r="C1252" s="24" t="s">
        <v>119</v>
      </c>
      <c r="D1252" s="33" t="n">
        <v>65</v>
      </c>
      <c r="E1252" s="24" t="n">
        <v>1</v>
      </c>
      <c r="F1252" s="37" t="n">
        <f aca="false">DATE(YEAR(A1252),MONTH(A1252),1)</f>
        <v>46113</v>
      </c>
      <c r="G1252" s="24" t="str">
        <f aca="false">INDEX(Products!$C$2:$C$49,MATCH(C1252,Products!$A$2:$A$49,0))</f>
        <v>Grocery Staples</v>
      </c>
      <c r="H1252" s="33" t="n">
        <f aca="false">D1252*INDEX(Products!$E$2:$E$49,MATCH(C1252,Products!$A$2:$A$49,0))</f>
        <v>27300</v>
      </c>
      <c r="I1252" s="33" t="n">
        <f aca="false">D1252*INDEX(Products!$D$2:$D$49,MATCH(C1252,Products!$A$2:$A$49,0))*(1+INDEX(Assumptions!$B$16:$B$20,MATCH(B1252,Assumptions!$A$16:$A$20,0)))</f>
        <v>24635.52</v>
      </c>
      <c r="J1252" s="33" t="n">
        <f aca="false">H1252-I1252</f>
        <v>2664.48</v>
      </c>
      <c r="K1252" s="33" t="n">
        <f aca="false">IF(OR(E1252=0,E1252&gt;=7),0,D1252/(7-E1252)*E1252*INDEX(Products!$E$2:$E$49,MATCH(C1252,Products!$A$2:$A$49,0)))</f>
        <v>4550</v>
      </c>
    </row>
    <row r="1253" customFormat="false" ht="15" hidden="false" customHeight="false" outlineLevel="0" collapsed="false">
      <c r="A1253" s="36" t="n">
        <v>46125</v>
      </c>
      <c r="B1253" s="24" t="s">
        <v>62</v>
      </c>
      <c r="C1253" s="24" t="s">
        <v>119</v>
      </c>
      <c r="D1253" s="33" t="n">
        <v>81</v>
      </c>
      <c r="E1253" s="24" t="n">
        <v>0</v>
      </c>
      <c r="F1253" s="37" t="n">
        <f aca="false">DATE(YEAR(A1253),MONTH(A1253),1)</f>
        <v>46113</v>
      </c>
      <c r="G1253" s="24" t="str">
        <f aca="false">INDEX(Products!$C$2:$C$49,MATCH(C1253,Products!$A$2:$A$49,0))</f>
        <v>Grocery Staples</v>
      </c>
      <c r="H1253" s="33" t="n">
        <f aca="false">D1253*INDEX(Products!$E$2:$E$49,MATCH(C1253,Products!$A$2:$A$49,0))</f>
        <v>34020</v>
      </c>
      <c r="I1253" s="33" t="n">
        <f aca="false">D1253*INDEX(Products!$D$2:$D$49,MATCH(C1253,Products!$A$2:$A$49,0))*(1+INDEX(Assumptions!$B$16:$B$20,MATCH(B1253,Assumptions!$A$16:$A$20,0)))</f>
        <v>30699.648</v>
      </c>
      <c r="J1253" s="33" t="n">
        <f aca="false">H1253-I1253</f>
        <v>3320.352</v>
      </c>
      <c r="K1253" s="33" t="n">
        <f aca="false">IF(OR(E1253=0,E1253&gt;=7),0,D1253/(7-E1253)*E1253*INDEX(Products!$E$2:$E$49,MATCH(C1253,Products!$A$2:$A$49,0)))</f>
        <v>0</v>
      </c>
    </row>
    <row r="1254" customFormat="false" ht="15" hidden="false" customHeight="false" outlineLevel="0" collapsed="false">
      <c r="A1254" s="36" t="n">
        <v>46132</v>
      </c>
      <c r="B1254" s="24" t="s">
        <v>62</v>
      </c>
      <c r="C1254" s="24" t="s">
        <v>119</v>
      </c>
      <c r="D1254" s="33" t="n">
        <v>79</v>
      </c>
      <c r="E1254" s="24" t="n">
        <v>0</v>
      </c>
      <c r="F1254" s="37" t="n">
        <f aca="false">DATE(YEAR(A1254),MONTH(A1254),1)</f>
        <v>46113</v>
      </c>
      <c r="G1254" s="24" t="str">
        <f aca="false">INDEX(Products!$C$2:$C$49,MATCH(C1254,Products!$A$2:$A$49,0))</f>
        <v>Grocery Staples</v>
      </c>
      <c r="H1254" s="33" t="n">
        <f aca="false">D1254*INDEX(Products!$E$2:$E$49,MATCH(C1254,Products!$A$2:$A$49,0))</f>
        <v>33180</v>
      </c>
      <c r="I1254" s="33" t="n">
        <f aca="false">D1254*INDEX(Products!$D$2:$D$49,MATCH(C1254,Products!$A$2:$A$49,0))*(1+INDEX(Assumptions!$B$16:$B$20,MATCH(B1254,Assumptions!$A$16:$A$20,0)))</f>
        <v>29941.632</v>
      </c>
      <c r="J1254" s="33" t="n">
        <f aca="false">H1254-I1254</f>
        <v>3238.368</v>
      </c>
      <c r="K1254" s="33" t="n">
        <f aca="false">IF(OR(E1254=0,E1254&gt;=7),0,D1254/(7-E1254)*E1254*INDEX(Products!$E$2:$E$49,MATCH(C1254,Products!$A$2:$A$49,0)))</f>
        <v>0</v>
      </c>
    </row>
    <row r="1255" customFormat="false" ht="15" hidden="false" customHeight="false" outlineLevel="0" collapsed="false">
      <c r="A1255" s="36" t="n">
        <v>46139</v>
      </c>
      <c r="B1255" s="24" t="s">
        <v>62</v>
      </c>
      <c r="C1255" s="24" t="s">
        <v>119</v>
      </c>
      <c r="D1255" s="33" t="n">
        <v>91</v>
      </c>
      <c r="E1255" s="24" t="n">
        <v>0</v>
      </c>
      <c r="F1255" s="37" t="n">
        <f aca="false">DATE(YEAR(A1255),MONTH(A1255),1)</f>
        <v>46113</v>
      </c>
      <c r="G1255" s="24" t="str">
        <f aca="false">INDEX(Products!$C$2:$C$49,MATCH(C1255,Products!$A$2:$A$49,0))</f>
        <v>Grocery Staples</v>
      </c>
      <c r="H1255" s="33" t="n">
        <f aca="false">D1255*INDEX(Products!$E$2:$E$49,MATCH(C1255,Products!$A$2:$A$49,0))</f>
        <v>38220</v>
      </c>
      <c r="I1255" s="33" t="n">
        <f aca="false">D1255*INDEX(Products!$D$2:$D$49,MATCH(C1255,Products!$A$2:$A$49,0))*(1+INDEX(Assumptions!$B$16:$B$20,MATCH(B1255,Assumptions!$A$16:$A$20,0)))</f>
        <v>34489.728</v>
      </c>
      <c r="J1255" s="33" t="n">
        <f aca="false">H1255-I1255</f>
        <v>3730.272</v>
      </c>
      <c r="K1255" s="33" t="n">
        <f aca="false">IF(OR(E1255=0,E1255&gt;=7),0,D1255/(7-E1255)*E1255*INDEX(Products!$E$2:$E$49,MATCH(C1255,Products!$A$2:$A$49,0)))</f>
        <v>0</v>
      </c>
    </row>
    <row r="1256" customFormat="false" ht="15" hidden="false" customHeight="false" outlineLevel="0" collapsed="false">
      <c r="A1256" s="36" t="n">
        <v>46146</v>
      </c>
      <c r="B1256" s="24" t="s">
        <v>62</v>
      </c>
      <c r="C1256" s="24" t="s">
        <v>119</v>
      </c>
      <c r="D1256" s="33" t="n">
        <v>96</v>
      </c>
      <c r="E1256" s="24" t="n">
        <v>0</v>
      </c>
      <c r="F1256" s="37" t="n">
        <f aca="false">DATE(YEAR(A1256),MONTH(A1256),1)</f>
        <v>46143</v>
      </c>
      <c r="G1256" s="24" t="str">
        <f aca="false">INDEX(Products!$C$2:$C$49,MATCH(C1256,Products!$A$2:$A$49,0))</f>
        <v>Grocery Staples</v>
      </c>
      <c r="H1256" s="33" t="n">
        <f aca="false">D1256*INDEX(Products!$E$2:$E$49,MATCH(C1256,Products!$A$2:$A$49,0))</f>
        <v>40320</v>
      </c>
      <c r="I1256" s="33" t="n">
        <f aca="false">D1256*INDEX(Products!$D$2:$D$49,MATCH(C1256,Products!$A$2:$A$49,0))*(1+INDEX(Assumptions!$B$16:$B$20,MATCH(B1256,Assumptions!$A$16:$A$20,0)))</f>
        <v>36384.768</v>
      </c>
      <c r="J1256" s="33" t="n">
        <f aca="false">H1256-I1256</f>
        <v>3935.232</v>
      </c>
      <c r="K1256" s="33" t="n">
        <f aca="false">IF(OR(E1256=0,E1256&gt;=7),0,D1256/(7-E1256)*E1256*INDEX(Products!$E$2:$E$49,MATCH(C1256,Products!$A$2:$A$49,0)))</f>
        <v>0</v>
      </c>
    </row>
    <row r="1257" customFormat="false" ht="15" hidden="false" customHeight="false" outlineLevel="0" collapsed="false">
      <c r="A1257" s="36" t="n">
        <v>46153</v>
      </c>
      <c r="B1257" s="24" t="s">
        <v>62</v>
      </c>
      <c r="C1257" s="24" t="s">
        <v>119</v>
      </c>
      <c r="D1257" s="33" t="n">
        <v>70</v>
      </c>
      <c r="E1257" s="24" t="n">
        <v>0</v>
      </c>
      <c r="F1257" s="37" t="n">
        <f aca="false">DATE(YEAR(A1257),MONTH(A1257),1)</f>
        <v>46143</v>
      </c>
      <c r="G1257" s="24" t="str">
        <f aca="false">INDEX(Products!$C$2:$C$49,MATCH(C1257,Products!$A$2:$A$49,0))</f>
        <v>Grocery Staples</v>
      </c>
      <c r="H1257" s="33" t="n">
        <f aca="false">D1257*INDEX(Products!$E$2:$E$49,MATCH(C1257,Products!$A$2:$A$49,0))</f>
        <v>29400</v>
      </c>
      <c r="I1257" s="33" t="n">
        <f aca="false">D1257*INDEX(Products!$D$2:$D$49,MATCH(C1257,Products!$A$2:$A$49,0))*(1+INDEX(Assumptions!$B$16:$B$20,MATCH(B1257,Assumptions!$A$16:$A$20,0)))</f>
        <v>26530.56</v>
      </c>
      <c r="J1257" s="33" t="n">
        <f aca="false">H1257-I1257</f>
        <v>2869.44</v>
      </c>
      <c r="K1257" s="33" t="n">
        <f aca="false">IF(OR(E1257=0,E1257&gt;=7),0,D1257/(7-E1257)*E1257*INDEX(Products!$E$2:$E$49,MATCH(C1257,Products!$A$2:$A$49,0)))</f>
        <v>0</v>
      </c>
    </row>
    <row r="1258" customFormat="false" ht="15" hidden="false" customHeight="false" outlineLevel="0" collapsed="false">
      <c r="A1258" s="36" t="n">
        <v>46160</v>
      </c>
      <c r="B1258" s="24" t="s">
        <v>62</v>
      </c>
      <c r="C1258" s="24" t="s">
        <v>119</v>
      </c>
      <c r="D1258" s="33" t="n">
        <v>99</v>
      </c>
      <c r="E1258" s="24" t="n">
        <v>0</v>
      </c>
      <c r="F1258" s="37" t="n">
        <f aca="false">DATE(YEAR(A1258),MONTH(A1258),1)</f>
        <v>46143</v>
      </c>
      <c r="G1258" s="24" t="str">
        <f aca="false">INDEX(Products!$C$2:$C$49,MATCH(C1258,Products!$A$2:$A$49,0))</f>
        <v>Grocery Staples</v>
      </c>
      <c r="H1258" s="33" t="n">
        <f aca="false">D1258*INDEX(Products!$E$2:$E$49,MATCH(C1258,Products!$A$2:$A$49,0))</f>
        <v>41580</v>
      </c>
      <c r="I1258" s="33" t="n">
        <f aca="false">D1258*INDEX(Products!$D$2:$D$49,MATCH(C1258,Products!$A$2:$A$49,0))*(1+INDEX(Assumptions!$B$16:$B$20,MATCH(B1258,Assumptions!$A$16:$A$20,0)))</f>
        <v>37521.792</v>
      </c>
      <c r="J1258" s="33" t="n">
        <f aca="false">H1258-I1258</f>
        <v>4058.208</v>
      </c>
      <c r="K1258" s="33" t="n">
        <f aca="false">IF(OR(E1258=0,E1258&gt;=7),0,D1258/(7-E1258)*E1258*INDEX(Products!$E$2:$E$49,MATCH(C1258,Products!$A$2:$A$49,0)))</f>
        <v>0</v>
      </c>
    </row>
    <row r="1259" customFormat="false" ht="15" hidden="false" customHeight="false" outlineLevel="0" collapsed="false">
      <c r="A1259" s="36" t="n">
        <v>46167</v>
      </c>
      <c r="B1259" s="24" t="s">
        <v>62</v>
      </c>
      <c r="C1259" s="24" t="s">
        <v>119</v>
      </c>
      <c r="D1259" s="33" t="n">
        <v>84</v>
      </c>
      <c r="E1259" s="24" t="n">
        <v>0</v>
      </c>
      <c r="F1259" s="37" t="n">
        <f aca="false">DATE(YEAR(A1259),MONTH(A1259),1)</f>
        <v>46143</v>
      </c>
      <c r="G1259" s="24" t="str">
        <f aca="false">INDEX(Products!$C$2:$C$49,MATCH(C1259,Products!$A$2:$A$49,0))</f>
        <v>Grocery Staples</v>
      </c>
      <c r="H1259" s="33" t="n">
        <f aca="false">D1259*INDEX(Products!$E$2:$E$49,MATCH(C1259,Products!$A$2:$A$49,0))</f>
        <v>35280</v>
      </c>
      <c r="I1259" s="33" t="n">
        <f aca="false">D1259*INDEX(Products!$D$2:$D$49,MATCH(C1259,Products!$A$2:$A$49,0))*(1+INDEX(Assumptions!$B$16:$B$20,MATCH(B1259,Assumptions!$A$16:$A$20,0)))</f>
        <v>31836.672</v>
      </c>
      <c r="J1259" s="33" t="n">
        <f aca="false">H1259-I1259</f>
        <v>3443.328</v>
      </c>
      <c r="K1259" s="33" t="n">
        <f aca="false">IF(OR(E1259=0,E1259&gt;=7),0,D1259/(7-E1259)*E1259*INDEX(Products!$E$2:$E$49,MATCH(C1259,Products!$A$2:$A$49,0)))</f>
        <v>0</v>
      </c>
    </row>
    <row r="1260" customFormat="false" ht="15" hidden="false" customHeight="false" outlineLevel="0" collapsed="false">
      <c r="A1260" s="36" t="n">
        <v>46174</v>
      </c>
      <c r="B1260" s="24" t="s">
        <v>62</v>
      </c>
      <c r="C1260" s="24" t="s">
        <v>119</v>
      </c>
      <c r="D1260" s="33" t="n">
        <v>83</v>
      </c>
      <c r="E1260" s="24" t="n">
        <v>0</v>
      </c>
      <c r="F1260" s="37" t="n">
        <f aca="false">DATE(YEAR(A1260),MONTH(A1260),1)</f>
        <v>46174</v>
      </c>
      <c r="G1260" s="24" t="str">
        <f aca="false">INDEX(Products!$C$2:$C$49,MATCH(C1260,Products!$A$2:$A$49,0))</f>
        <v>Grocery Staples</v>
      </c>
      <c r="H1260" s="33" t="n">
        <f aca="false">D1260*INDEX(Products!$E$2:$E$49,MATCH(C1260,Products!$A$2:$A$49,0))</f>
        <v>34860</v>
      </c>
      <c r="I1260" s="33" t="n">
        <f aca="false">D1260*INDEX(Products!$D$2:$D$49,MATCH(C1260,Products!$A$2:$A$49,0))*(1+INDEX(Assumptions!$B$16:$B$20,MATCH(B1260,Assumptions!$A$16:$A$20,0)))</f>
        <v>31457.664</v>
      </c>
      <c r="J1260" s="33" t="n">
        <f aca="false">H1260-I1260</f>
        <v>3402.336</v>
      </c>
      <c r="K1260" s="33" t="n">
        <f aca="false">IF(OR(E1260=0,E1260&gt;=7),0,D1260/(7-E1260)*E1260*INDEX(Products!$E$2:$E$49,MATCH(C1260,Products!$A$2:$A$49,0)))</f>
        <v>0</v>
      </c>
    </row>
    <row r="1261" customFormat="false" ht="15" hidden="false" customHeight="false" outlineLevel="0" collapsed="false">
      <c r="A1261" s="36" t="n">
        <v>46181</v>
      </c>
      <c r="B1261" s="24" t="s">
        <v>62</v>
      </c>
      <c r="C1261" s="24" t="s">
        <v>119</v>
      </c>
      <c r="D1261" s="33" t="n">
        <v>88</v>
      </c>
      <c r="E1261" s="24" t="n">
        <v>0</v>
      </c>
      <c r="F1261" s="37" t="n">
        <f aca="false">DATE(YEAR(A1261),MONTH(A1261),1)</f>
        <v>46174</v>
      </c>
      <c r="G1261" s="24" t="str">
        <f aca="false">INDEX(Products!$C$2:$C$49,MATCH(C1261,Products!$A$2:$A$49,0))</f>
        <v>Grocery Staples</v>
      </c>
      <c r="H1261" s="33" t="n">
        <f aca="false">D1261*INDEX(Products!$E$2:$E$49,MATCH(C1261,Products!$A$2:$A$49,0))</f>
        <v>36960</v>
      </c>
      <c r="I1261" s="33" t="n">
        <f aca="false">D1261*INDEX(Products!$D$2:$D$49,MATCH(C1261,Products!$A$2:$A$49,0))*(1+INDEX(Assumptions!$B$16:$B$20,MATCH(B1261,Assumptions!$A$16:$A$20,0)))</f>
        <v>33352.704</v>
      </c>
      <c r="J1261" s="33" t="n">
        <f aca="false">H1261-I1261</f>
        <v>3607.296</v>
      </c>
      <c r="K1261" s="33" t="n">
        <f aca="false">IF(OR(E1261=0,E1261&gt;=7),0,D1261/(7-E1261)*E1261*INDEX(Products!$E$2:$E$49,MATCH(C1261,Products!$A$2:$A$49,0)))</f>
        <v>0</v>
      </c>
    </row>
    <row r="1262" customFormat="false" ht="15" hidden="false" customHeight="false" outlineLevel="0" collapsed="false">
      <c r="A1262" s="36" t="n">
        <v>46188</v>
      </c>
      <c r="B1262" s="24" t="s">
        <v>62</v>
      </c>
      <c r="C1262" s="24" t="s">
        <v>119</v>
      </c>
      <c r="D1262" s="33" t="n">
        <v>36</v>
      </c>
      <c r="E1262" s="24" t="n">
        <v>4</v>
      </c>
      <c r="F1262" s="37" t="n">
        <f aca="false">DATE(YEAR(A1262),MONTH(A1262),1)</f>
        <v>46174</v>
      </c>
      <c r="G1262" s="24" t="str">
        <f aca="false">INDEX(Products!$C$2:$C$49,MATCH(C1262,Products!$A$2:$A$49,0))</f>
        <v>Grocery Staples</v>
      </c>
      <c r="H1262" s="33" t="n">
        <f aca="false">D1262*INDEX(Products!$E$2:$E$49,MATCH(C1262,Products!$A$2:$A$49,0))</f>
        <v>15120</v>
      </c>
      <c r="I1262" s="33" t="n">
        <f aca="false">D1262*INDEX(Products!$D$2:$D$49,MATCH(C1262,Products!$A$2:$A$49,0))*(1+INDEX(Assumptions!$B$16:$B$20,MATCH(B1262,Assumptions!$A$16:$A$20,0)))</f>
        <v>13644.288</v>
      </c>
      <c r="J1262" s="33" t="n">
        <f aca="false">H1262-I1262</f>
        <v>1475.712</v>
      </c>
      <c r="K1262" s="33" t="n">
        <f aca="false">IF(OR(E1262=0,E1262&gt;=7),0,D1262/(7-E1262)*E1262*INDEX(Products!$E$2:$E$49,MATCH(C1262,Products!$A$2:$A$49,0)))</f>
        <v>20160</v>
      </c>
    </row>
    <row r="1263" customFormat="false" ht="15" hidden="false" customHeight="false" outlineLevel="0" collapsed="false">
      <c r="A1263" s="36" t="n">
        <v>46195</v>
      </c>
      <c r="B1263" s="24" t="s">
        <v>62</v>
      </c>
      <c r="C1263" s="24" t="s">
        <v>119</v>
      </c>
      <c r="D1263" s="33" t="n">
        <v>73</v>
      </c>
      <c r="E1263" s="24" t="n">
        <v>0</v>
      </c>
      <c r="F1263" s="37" t="n">
        <f aca="false">DATE(YEAR(A1263),MONTH(A1263),1)</f>
        <v>46174</v>
      </c>
      <c r="G1263" s="24" t="str">
        <f aca="false">INDEX(Products!$C$2:$C$49,MATCH(C1263,Products!$A$2:$A$49,0))</f>
        <v>Grocery Staples</v>
      </c>
      <c r="H1263" s="33" t="n">
        <f aca="false">D1263*INDEX(Products!$E$2:$E$49,MATCH(C1263,Products!$A$2:$A$49,0))</f>
        <v>30660</v>
      </c>
      <c r="I1263" s="33" t="n">
        <f aca="false">D1263*INDEX(Products!$D$2:$D$49,MATCH(C1263,Products!$A$2:$A$49,0))*(1+INDEX(Assumptions!$B$16:$B$20,MATCH(B1263,Assumptions!$A$16:$A$20,0)))</f>
        <v>27667.584</v>
      </c>
      <c r="J1263" s="33" t="n">
        <f aca="false">H1263-I1263</f>
        <v>2992.416</v>
      </c>
      <c r="K1263" s="33" t="n">
        <f aca="false">IF(OR(E1263=0,E1263&gt;=7),0,D1263/(7-E1263)*E1263*INDEX(Products!$E$2:$E$49,MATCH(C1263,Products!$A$2:$A$49,0)))</f>
        <v>0</v>
      </c>
    </row>
    <row r="1264" customFormat="false" ht="15" hidden="false" customHeight="false" outlineLevel="0" collapsed="false">
      <c r="A1264" s="36" t="n">
        <v>46202</v>
      </c>
      <c r="B1264" s="24" t="s">
        <v>62</v>
      </c>
      <c r="C1264" s="24" t="s">
        <v>119</v>
      </c>
      <c r="D1264" s="33" t="n">
        <v>103</v>
      </c>
      <c r="E1264" s="24" t="n">
        <v>0</v>
      </c>
      <c r="F1264" s="37" t="n">
        <f aca="false">DATE(YEAR(A1264),MONTH(A1264),1)</f>
        <v>46174</v>
      </c>
      <c r="G1264" s="24" t="str">
        <f aca="false">INDEX(Products!$C$2:$C$49,MATCH(C1264,Products!$A$2:$A$49,0))</f>
        <v>Grocery Staples</v>
      </c>
      <c r="H1264" s="33" t="n">
        <f aca="false">D1264*INDEX(Products!$E$2:$E$49,MATCH(C1264,Products!$A$2:$A$49,0))</f>
        <v>43260</v>
      </c>
      <c r="I1264" s="33" t="n">
        <f aca="false">D1264*INDEX(Products!$D$2:$D$49,MATCH(C1264,Products!$A$2:$A$49,0))*(1+INDEX(Assumptions!$B$16:$B$20,MATCH(B1264,Assumptions!$A$16:$A$20,0)))</f>
        <v>39037.824</v>
      </c>
      <c r="J1264" s="33" t="n">
        <f aca="false">H1264-I1264</f>
        <v>4222.176</v>
      </c>
      <c r="K1264" s="33" t="n">
        <f aca="false">IF(OR(E1264=0,E1264&gt;=7),0,D1264/(7-E1264)*E1264*INDEX(Products!$E$2:$E$49,MATCH(C1264,Products!$A$2:$A$49,0)))</f>
        <v>0</v>
      </c>
    </row>
    <row r="1265" customFormat="false" ht="15" hidden="false" customHeight="false" outlineLevel="0" collapsed="false">
      <c r="A1265" s="36" t="n">
        <v>46209</v>
      </c>
      <c r="B1265" s="24" t="s">
        <v>62</v>
      </c>
      <c r="C1265" s="24" t="s">
        <v>119</v>
      </c>
      <c r="D1265" s="33" t="n">
        <v>79</v>
      </c>
      <c r="E1265" s="24" t="n">
        <v>0</v>
      </c>
      <c r="F1265" s="37" t="n">
        <f aca="false">DATE(YEAR(A1265),MONTH(A1265),1)</f>
        <v>46204</v>
      </c>
      <c r="G1265" s="24" t="str">
        <f aca="false">INDEX(Products!$C$2:$C$49,MATCH(C1265,Products!$A$2:$A$49,0))</f>
        <v>Grocery Staples</v>
      </c>
      <c r="H1265" s="33" t="n">
        <f aca="false">D1265*INDEX(Products!$E$2:$E$49,MATCH(C1265,Products!$A$2:$A$49,0))</f>
        <v>33180</v>
      </c>
      <c r="I1265" s="33" t="n">
        <f aca="false">D1265*INDEX(Products!$D$2:$D$49,MATCH(C1265,Products!$A$2:$A$49,0))*(1+INDEX(Assumptions!$B$16:$B$20,MATCH(B1265,Assumptions!$A$16:$A$20,0)))</f>
        <v>29941.632</v>
      </c>
      <c r="J1265" s="33" t="n">
        <f aca="false">H1265-I1265</f>
        <v>3238.368</v>
      </c>
      <c r="K1265" s="33" t="n">
        <f aca="false">IF(OR(E1265=0,E1265&gt;=7),0,D1265/(7-E1265)*E1265*INDEX(Products!$E$2:$E$49,MATCH(C1265,Products!$A$2:$A$49,0)))</f>
        <v>0</v>
      </c>
    </row>
    <row r="1266" customFormat="false" ht="15" hidden="false" customHeight="false" outlineLevel="0" collapsed="false">
      <c r="A1266" s="36" t="n">
        <v>46216</v>
      </c>
      <c r="B1266" s="24" t="s">
        <v>62</v>
      </c>
      <c r="C1266" s="24" t="s">
        <v>119</v>
      </c>
      <c r="D1266" s="33" t="n">
        <v>75</v>
      </c>
      <c r="E1266" s="24" t="n">
        <v>0</v>
      </c>
      <c r="F1266" s="37" t="n">
        <f aca="false">DATE(YEAR(A1266),MONTH(A1266),1)</f>
        <v>46204</v>
      </c>
      <c r="G1266" s="24" t="str">
        <f aca="false">INDEX(Products!$C$2:$C$49,MATCH(C1266,Products!$A$2:$A$49,0))</f>
        <v>Grocery Staples</v>
      </c>
      <c r="H1266" s="33" t="n">
        <f aca="false">D1266*INDEX(Products!$E$2:$E$49,MATCH(C1266,Products!$A$2:$A$49,0))</f>
        <v>31500</v>
      </c>
      <c r="I1266" s="33" t="n">
        <f aca="false">D1266*INDEX(Products!$D$2:$D$49,MATCH(C1266,Products!$A$2:$A$49,0))*(1+INDEX(Assumptions!$B$16:$B$20,MATCH(B1266,Assumptions!$A$16:$A$20,0)))</f>
        <v>28425.6</v>
      </c>
      <c r="J1266" s="33" t="n">
        <f aca="false">H1266-I1266</f>
        <v>3074.4</v>
      </c>
      <c r="K1266" s="33" t="n">
        <f aca="false">IF(OR(E1266=0,E1266&gt;=7),0,D1266/(7-E1266)*E1266*INDEX(Products!$E$2:$E$49,MATCH(C1266,Products!$A$2:$A$49,0)))</f>
        <v>0</v>
      </c>
    </row>
    <row r="1267" customFormat="false" ht="15" hidden="false" customHeight="false" outlineLevel="0" collapsed="false">
      <c r="A1267" s="36" t="n">
        <v>46223</v>
      </c>
      <c r="B1267" s="24" t="s">
        <v>62</v>
      </c>
      <c r="C1267" s="24" t="s">
        <v>119</v>
      </c>
      <c r="D1267" s="33" t="n">
        <v>93</v>
      </c>
      <c r="E1267" s="24" t="n">
        <v>0</v>
      </c>
      <c r="F1267" s="37" t="n">
        <f aca="false">DATE(YEAR(A1267),MONTH(A1267),1)</f>
        <v>46204</v>
      </c>
      <c r="G1267" s="24" t="str">
        <f aca="false">INDEX(Products!$C$2:$C$49,MATCH(C1267,Products!$A$2:$A$49,0))</f>
        <v>Grocery Staples</v>
      </c>
      <c r="H1267" s="33" t="n">
        <f aca="false">D1267*INDEX(Products!$E$2:$E$49,MATCH(C1267,Products!$A$2:$A$49,0))</f>
        <v>39060</v>
      </c>
      <c r="I1267" s="33" t="n">
        <f aca="false">D1267*INDEX(Products!$D$2:$D$49,MATCH(C1267,Products!$A$2:$A$49,0))*(1+INDEX(Assumptions!$B$16:$B$20,MATCH(B1267,Assumptions!$A$16:$A$20,0)))</f>
        <v>35247.744</v>
      </c>
      <c r="J1267" s="33" t="n">
        <f aca="false">H1267-I1267</f>
        <v>3812.256</v>
      </c>
      <c r="K1267" s="33" t="n">
        <f aca="false">IF(OR(E1267=0,E1267&gt;=7),0,D1267/(7-E1267)*E1267*INDEX(Products!$E$2:$E$49,MATCH(C1267,Products!$A$2:$A$49,0)))</f>
        <v>0</v>
      </c>
    </row>
    <row r="1268" customFormat="false" ht="15" hidden="false" customHeight="false" outlineLevel="0" collapsed="false">
      <c r="A1268" s="36" t="n">
        <v>46230</v>
      </c>
      <c r="B1268" s="24" t="s">
        <v>62</v>
      </c>
      <c r="C1268" s="24" t="s">
        <v>119</v>
      </c>
      <c r="D1268" s="33" t="n">
        <v>72</v>
      </c>
      <c r="E1268" s="24" t="n">
        <v>0</v>
      </c>
      <c r="F1268" s="37" t="n">
        <f aca="false">DATE(YEAR(A1268),MONTH(A1268),1)</f>
        <v>46204</v>
      </c>
      <c r="G1268" s="24" t="str">
        <f aca="false">INDEX(Products!$C$2:$C$49,MATCH(C1268,Products!$A$2:$A$49,0))</f>
        <v>Grocery Staples</v>
      </c>
      <c r="H1268" s="33" t="n">
        <f aca="false">D1268*INDEX(Products!$E$2:$E$49,MATCH(C1268,Products!$A$2:$A$49,0))</f>
        <v>30240</v>
      </c>
      <c r="I1268" s="33" t="n">
        <f aca="false">D1268*INDEX(Products!$D$2:$D$49,MATCH(C1268,Products!$A$2:$A$49,0))*(1+INDEX(Assumptions!$B$16:$B$20,MATCH(B1268,Assumptions!$A$16:$A$20,0)))</f>
        <v>27288.576</v>
      </c>
      <c r="J1268" s="33" t="n">
        <f aca="false">H1268-I1268</f>
        <v>2951.424</v>
      </c>
      <c r="K1268" s="33" t="n">
        <f aca="false">IF(OR(E1268=0,E1268&gt;=7),0,D1268/(7-E1268)*E1268*INDEX(Products!$E$2:$E$49,MATCH(C1268,Products!$A$2:$A$49,0)))</f>
        <v>0</v>
      </c>
    </row>
    <row r="1269" customFormat="false" ht="15" hidden="false" customHeight="false" outlineLevel="0" collapsed="false">
      <c r="A1269" s="36" t="n">
        <v>46237</v>
      </c>
      <c r="B1269" s="24" t="s">
        <v>62</v>
      </c>
      <c r="C1269" s="24" t="s">
        <v>119</v>
      </c>
      <c r="D1269" s="33" t="n">
        <v>76</v>
      </c>
      <c r="E1269" s="24" t="n">
        <v>0</v>
      </c>
      <c r="F1269" s="37" t="n">
        <f aca="false">DATE(YEAR(A1269),MONTH(A1269),1)</f>
        <v>46235</v>
      </c>
      <c r="G1269" s="24" t="str">
        <f aca="false">INDEX(Products!$C$2:$C$49,MATCH(C1269,Products!$A$2:$A$49,0))</f>
        <v>Grocery Staples</v>
      </c>
      <c r="H1269" s="33" t="n">
        <f aca="false">D1269*INDEX(Products!$E$2:$E$49,MATCH(C1269,Products!$A$2:$A$49,0))</f>
        <v>31920</v>
      </c>
      <c r="I1269" s="33" t="n">
        <f aca="false">D1269*INDEX(Products!$D$2:$D$49,MATCH(C1269,Products!$A$2:$A$49,0))*(1+INDEX(Assumptions!$B$16:$B$20,MATCH(B1269,Assumptions!$A$16:$A$20,0)))</f>
        <v>28804.608</v>
      </c>
      <c r="J1269" s="33" t="n">
        <f aca="false">H1269-I1269</f>
        <v>3115.392</v>
      </c>
      <c r="K1269" s="33" t="n">
        <f aca="false">IF(OR(E1269=0,E1269&gt;=7),0,D1269/(7-E1269)*E1269*INDEX(Products!$E$2:$E$49,MATCH(C1269,Products!$A$2:$A$49,0)))</f>
        <v>0</v>
      </c>
    </row>
    <row r="1270" customFormat="false" ht="15" hidden="false" customHeight="false" outlineLevel="0" collapsed="false">
      <c r="A1270" s="36" t="n">
        <v>46244</v>
      </c>
      <c r="B1270" s="24" t="s">
        <v>62</v>
      </c>
      <c r="C1270" s="24" t="s">
        <v>119</v>
      </c>
      <c r="D1270" s="33" t="n">
        <v>60</v>
      </c>
      <c r="E1270" s="24" t="n">
        <v>0</v>
      </c>
      <c r="F1270" s="37" t="n">
        <f aca="false">DATE(YEAR(A1270),MONTH(A1270),1)</f>
        <v>46235</v>
      </c>
      <c r="G1270" s="24" t="str">
        <f aca="false">INDEX(Products!$C$2:$C$49,MATCH(C1270,Products!$A$2:$A$49,0))</f>
        <v>Grocery Staples</v>
      </c>
      <c r="H1270" s="33" t="n">
        <f aca="false">D1270*INDEX(Products!$E$2:$E$49,MATCH(C1270,Products!$A$2:$A$49,0))</f>
        <v>25200</v>
      </c>
      <c r="I1270" s="33" t="n">
        <f aca="false">D1270*INDEX(Products!$D$2:$D$49,MATCH(C1270,Products!$A$2:$A$49,0))*(1+INDEX(Assumptions!$B$16:$B$20,MATCH(B1270,Assumptions!$A$16:$A$20,0)))</f>
        <v>22740.48</v>
      </c>
      <c r="J1270" s="33" t="n">
        <f aca="false">H1270-I1270</f>
        <v>2459.52</v>
      </c>
      <c r="K1270" s="33" t="n">
        <f aca="false">IF(OR(E1270=0,E1270&gt;=7),0,D1270/(7-E1270)*E1270*INDEX(Products!$E$2:$E$49,MATCH(C1270,Products!$A$2:$A$49,0)))</f>
        <v>0</v>
      </c>
    </row>
    <row r="1271" customFormat="false" ht="15" hidden="false" customHeight="false" outlineLevel="0" collapsed="false">
      <c r="A1271" s="36" t="n">
        <v>46251</v>
      </c>
      <c r="B1271" s="24" t="s">
        <v>62</v>
      </c>
      <c r="C1271" s="24" t="s">
        <v>119</v>
      </c>
      <c r="D1271" s="33" t="n">
        <v>64</v>
      </c>
      <c r="E1271" s="24" t="n">
        <v>0</v>
      </c>
      <c r="F1271" s="37" t="n">
        <f aca="false">DATE(YEAR(A1271),MONTH(A1271),1)</f>
        <v>46235</v>
      </c>
      <c r="G1271" s="24" t="str">
        <f aca="false">INDEX(Products!$C$2:$C$49,MATCH(C1271,Products!$A$2:$A$49,0))</f>
        <v>Grocery Staples</v>
      </c>
      <c r="H1271" s="33" t="n">
        <f aca="false">D1271*INDEX(Products!$E$2:$E$49,MATCH(C1271,Products!$A$2:$A$49,0))</f>
        <v>26880</v>
      </c>
      <c r="I1271" s="33" t="n">
        <f aca="false">D1271*INDEX(Products!$D$2:$D$49,MATCH(C1271,Products!$A$2:$A$49,0))*(1+INDEX(Assumptions!$B$16:$B$20,MATCH(B1271,Assumptions!$A$16:$A$20,0)))</f>
        <v>24256.512</v>
      </c>
      <c r="J1271" s="33" t="n">
        <f aca="false">H1271-I1271</f>
        <v>2623.488</v>
      </c>
      <c r="K1271" s="33" t="n">
        <f aca="false">IF(OR(E1271=0,E1271&gt;=7),0,D1271/(7-E1271)*E1271*INDEX(Products!$E$2:$E$49,MATCH(C1271,Products!$A$2:$A$49,0)))</f>
        <v>0</v>
      </c>
    </row>
    <row r="1272" customFormat="false" ht="15" hidden="false" customHeight="false" outlineLevel="0" collapsed="false">
      <c r="A1272" s="36" t="n">
        <v>46258</v>
      </c>
      <c r="B1272" s="24" t="s">
        <v>62</v>
      </c>
      <c r="C1272" s="24" t="s">
        <v>119</v>
      </c>
      <c r="D1272" s="33" t="n">
        <v>86</v>
      </c>
      <c r="E1272" s="24" t="n">
        <v>0</v>
      </c>
      <c r="F1272" s="37" t="n">
        <f aca="false">DATE(YEAR(A1272),MONTH(A1272),1)</f>
        <v>46235</v>
      </c>
      <c r="G1272" s="24" t="str">
        <f aca="false">INDEX(Products!$C$2:$C$49,MATCH(C1272,Products!$A$2:$A$49,0))</f>
        <v>Grocery Staples</v>
      </c>
      <c r="H1272" s="33" t="n">
        <f aca="false">D1272*INDEX(Products!$E$2:$E$49,MATCH(C1272,Products!$A$2:$A$49,0))</f>
        <v>36120</v>
      </c>
      <c r="I1272" s="33" t="n">
        <f aca="false">D1272*INDEX(Products!$D$2:$D$49,MATCH(C1272,Products!$A$2:$A$49,0))*(1+INDEX(Assumptions!$B$16:$B$20,MATCH(B1272,Assumptions!$A$16:$A$20,0)))</f>
        <v>32594.688</v>
      </c>
      <c r="J1272" s="33" t="n">
        <f aca="false">H1272-I1272</f>
        <v>3525.312</v>
      </c>
      <c r="K1272" s="33" t="n">
        <f aca="false">IF(OR(E1272=0,E1272&gt;=7),0,D1272/(7-E1272)*E1272*INDEX(Products!$E$2:$E$49,MATCH(C1272,Products!$A$2:$A$49,0)))</f>
        <v>0</v>
      </c>
    </row>
    <row r="1273" customFormat="false" ht="15" hidden="false" customHeight="false" outlineLevel="0" collapsed="false">
      <c r="A1273" s="36" t="n">
        <v>46265</v>
      </c>
      <c r="B1273" s="24" t="s">
        <v>62</v>
      </c>
      <c r="C1273" s="24" t="s">
        <v>119</v>
      </c>
      <c r="D1273" s="33" t="n">
        <v>80</v>
      </c>
      <c r="E1273" s="24" t="n">
        <v>0</v>
      </c>
      <c r="F1273" s="37" t="n">
        <f aca="false">DATE(YEAR(A1273),MONTH(A1273),1)</f>
        <v>46235</v>
      </c>
      <c r="G1273" s="24" t="str">
        <f aca="false">INDEX(Products!$C$2:$C$49,MATCH(C1273,Products!$A$2:$A$49,0))</f>
        <v>Grocery Staples</v>
      </c>
      <c r="H1273" s="33" t="n">
        <f aca="false">D1273*INDEX(Products!$E$2:$E$49,MATCH(C1273,Products!$A$2:$A$49,0))</f>
        <v>33600</v>
      </c>
      <c r="I1273" s="33" t="n">
        <f aca="false">D1273*INDEX(Products!$D$2:$D$49,MATCH(C1273,Products!$A$2:$A$49,0))*(1+INDEX(Assumptions!$B$16:$B$20,MATCH(B1273,Assumptions!$A$16:$A$20,0)))</f>
        <v>30320.64</v>
      </c>
      <c r="J1273" s="33" t="n">
        <f aca="false">H1273-I1273</f>
        <v>3279.36</v>
      </c>
      <c r="K1273" s="33" t="n">
        <f aca="false">IF(OR(E1273=0,E1273&gt;=7),0,D1273/(7-E1273)*E1273*INDEX(Products!$E$2:$E$49,MATCH(C1273,Products!$A$2:$A$49,0)))</f>
        <v>0</v>
      </c>
    </row>
    <row r="1274" customFormat="false" ht="15" hidden="false" customHeight="false" outlineLevel="0" collapsed="false">
      <c r="A1274" s="36" t="n">
        <v>46272</v>
      </c>
      <c r="B1274" s="24" t="s">
        <v>62</v>
      </c>
      <c r="C1274" s="24" t="s">
        <v>119</v>
      </c>
      <c r="D1274" s="33" t="n">
        <v>70</v>
      </c>
      <c r="E1274" s="24" t="n">
        <v>0</v>
      </c>
      <c r="F1274" s="37" t="n">
        <f aca="false">DATE(YEAR(A1274),MONTH(A1274),1)</f>
        <v>46266</v>
      </c>
      <c r="G1274" s="24" t="str">
        <f aca="false">INDEX(Products!$C$2:$C$49,MATCH(C1274,Products!$A$2:$A$49,0))</f>
        <v>Grocery Staples</v>
      </c>
      <c r="H1274" s="33" t="n">
        <f aca="false">D1274*INDEX(Products!$E$2:$E$49,MATCH(C1274,Products!$A$2:$A$49,0))</f>
        <v>29400</v>
      </c>
      <c r="I1274" s="33" t="n">
        <f aca="false">D1274*INDEX(Products!$D$2:$D$49,MATCH(C1274,Products!$A$2:$A$49,0))*(1+INDEX(Assumptions!$B$16:$B$20,MATCH(B1274,Assumptions!$A$16:$A$20,0)))</f>
        <v>26530.56</v>
      </c>
      <c r="J1274" s="33" t="n">
        <f aca="false">H1274-I1274</f>
        <v>2869.44</v>
      </c>
      <c r="K1274" s="33" t="n">
        <f aca="false">IF(OR(E1274=0,E1274&gt;=7),0,D1274/(7-E1274)*E1274*INDEX(Products!$E$2:$E$49,MATCH(C1274,Products!$A$2:$A$49,0)))</f>
        <v>0</v>
      </c>
    </row>
    <row r="1275" customFormat="false" ht="15" hidden="false" customHeight="false" outlineLevel="0" collapsed="false">
      <c r="A1275" s="36" t="n">
        <v>46279</v>
      </c>
      <c r="B1275" s="24" t="s">
        <v>62</v>
      </c>
      <c r="C1275" s="24" t="s">
        <v>119</v>
      </c>
      <c r="D1275" s="33" t="n">
        <v>105</v>
      </c>
      <c r="E1275" s="24" t="n">
        <v>0</v>
      </c>
      <c r="F1275" s="37" t="n">
        <f aca="false">DATE(YEAR(A1275),MONTH(A1275),1)</f>
        <v>46266</v>
      </c>
      <c r="G1275" s="24" t="str">
        <f aca="false">INDEX(Products!$C$2:$C$49,MATCH(C1275,Products!$A$2:$A$49,0))</f>
        <v>Grocery Staples</v>
      </c>
      <c r="H1275" s="33" t="n">
        <f aca="false">D1275*INDEX(Products!$E$2:$E$49,MATCH(C1275,Products!$A$2:$A$49,0))</f>
        <v>44100</v>
      </c>
      <c r="I1275" s="33" t="n">
        <f aca="false">D1275*INDEX(Products!$D$2:$D$49,MATCH(C1275,Products!$A$2:$A$49,0))*(1+INDEX(Assumptions!$B$16:$B$20,MATCH(B1275,Assumptions!$A$16:$A$20,0)))</f>
        <v>39795.84</v>
      </c>
      <c r="J1275" s="33" t="n">
        <f aca="false">H1275-I1275</f>
        <v>4304.16</v>
      </c>
      <c r="K1275" s="33" t="n">
        <f aca="false">IF(OR(E1275=0,E1275&gt;=7),0,D1275/(7-E1275)*E1275*INDEX(Products!$E$2:$E$49,MATCH(C1275,Products!$A$2:$A$49,0)))</f>
        <v>0</v>
      </c>
    </row>
    <row r="1276" customFormat="false" ht="15" hidden="false" customHeight="false" outlineLevel="0" collapsed="false">
      <c r="A1276" s="36" t="n">
        <v>46286</v>
      </c>
      <c r="B1276" s="24" t="s">
        <v>62</v>
      </c>
      <c r="C1276" s="24" t="s">
        <v>119</v>
      </c>
      <c r="D1276" s="33" t="n">
        <v>92</v>
      </c>
      <c r="E1276" s="24" t="n">
        <v>0</v>
      </c>
      <c r="F1276" s="37" t="n">
        <f aca="false">DATE(YEAR(A1276),MONTH(A1276),1)</f>
        <v>46266</v>
      </c>
      <c r="G1276" s="24" t="str">
        <f aca="false">INDEX(Products!$C$2:$C$49,MATCH(C1276,Products!$A$2:$A$49,0))</f>
        <v>Grocery Staples</v>
      </c>
      <c r="H1276" s="33" t="n">
        <f aca="false">D1276*INDEX(Products!$E$2:$E$49,MATCH(C1276,Products!$A$2:$A$49,0))</f>
        <v>38640</v>
      </c>
      <c r="I1276" s="33" t="n">
        <f aca="false">D1276*INDEX(Products!$D$2:$D$49,MATCH(C1276,Products!$A$2:$A$49,0))*(1+INDEX(Assumptions!$B$16:$B$20,MATCH(B1276,Assumptions!$A$16:$A$20,0)))</f>
        <v>34868.736</v>
      </c>
      <c r="J1276" s="33" t="n">
        <f aca="false">H1276-I1276</f>
        <v>3771.264</v>
      </c>
      <c r="K1276" s="33" t="n">
        <f aca="false">IF(OR(E1276=0,E1276&gt;=7),0,D1276/(7-E1276)*E1276*INDEX(Products!$E$2:$E$49,MATCH(C1276,Products!$A$2:$A$49,0)))</f>
        <v>0</v>
      </c>
    </row>
    <row r="1277" customFormat="false" ht="15" hidden="false" customHeight="false" outlineLevel="0" collapsed="false">
      <c r="A1277" s="36" t="n">
        <v>46118</v>
      </c>
      <c r="B1277" s="24" t="s">
        <v>62</v>
      </c>
      <c r="C1277" s="24" t="s">
        <v>121</v>
      </c>
      <c r="D1277" s="33" t="n">
        <v>52</v>
      </c>
      <c r="E1277" s="24" t="n">
        <v>0</v>
      </c>
      <c r="F1277" s="37" t="n">
        <f aca="false">DATE(YEAR(A1277),MONTH(A1277),1)</f>
        <v>46113</v>
      </c>
      <c r="G1277" s="24" t="str">
        <f aca="false">INDEX(Products!$C$2:$C$49,MATCH(C1277,Products!$A$2:$A$49,0))</f>
        <v>Grocery Staples</v>
      </c>
      <c r="H1277" s="33" t="n">
        <f aca="false">D1277*INDEX(Products!$E$2:$E$49,MATCH(C1277,Products!$A$2:$A$49,0))</f>
        <v>9880</v>
      </c>
      <c r="I1277" s="33" t="n">
        <f aca="false">D1277*INDEX(Products!$D$2:$D$49,MATCH(C1277,Products!$A$2:$A$49,0))*(1+INDEX(Assumptions!$B$16:$B$20,MATCH(B1277,Assumptions!$A$16:$A$20,0)))</f>
        <v>8438.976</v>
      </c>
      <c r="J1277" s="33" t="n">
        <f aca="false">H1277-I1277</f>
        <v>1441.024</v>
      </c>
      <c r="K1277" s="33" t="n">
        <f aca="false">IF(OR(E1277=0,E1277&gt;=7),0,D1277/(7-E1277)*E1277*INDEX(Products!$E$2:$E$49,MATCH(C1277,Products!$A$2:$A$49,0)))</f>
        <v>0</v>
      </c>
    </row>
    <row r="1278" customFormat="false" ht="15" hidden="false" customHeight="false" outlineLevel="0" collapsed="false">
      <c r="A1278" s="36" t="n">
        <v>46125</v>
      </c>
      <c r="B1278" s="24" t="s">
        <v>62</v>
      </c>
      <c r="C1278" s="24" t="s">
        <v>121</v>
      </c>
      <c r="D1278" s="33" t="n">
        <v>43</v>
      </c>
      <c r="E1278" s="24" t="n">
        <v>0</v>
      </c>
      <c r="F1278" s="37" t="n">
        <f aca="false">DATE(YEAR(A1278),MONTH(A1278),1)</f>
        <v>46113</v>
      </c>
      <c r="G1278" s="24" t="str">
        <f aca="false">INDEX(Products!$C$2:$C$49,MATCH(C1278,Products!$A$2:$A$49,0))</f>
        <v>Grocery Staples</v>
      </c>
      <c r="H1278" s="33" t="n">
        <f aca="false">D1278*INDEX(Products!$E$2:$E$49,MATCH(C1278,Products!$A$2:$A$49,0))</f>
        <v>8170</v>
      </c>
      <c r="I1278" s="33" t="n">
        <f aca="false">D1278*INDEX(Products!$D$2:$D$49,MATCH(C1278,Products!$A$2:$A$49,0))*(1+INDEX(Assumptions!$B$16:$B$20,MATCH(B1278,Assumptions!$A$16:$A$20,0)))</f>
        <v>6978.384</v>
      </c>
      <c r="J1278" s="33" t="n">
        <f aca="false">H1278-I1278</f>
        <v>1191.616</v>
      </c>
      <c r="K1278" s="33" t="n">
        <f aca="false">IF(OR(E1278=0,E1278&gt;=7),0,D1278/(7-E1278)*E1278*INDEX(Products!$E$2:$E$49,MATCH(C1278,Products!$A$2:$A$49,0)))</f>
        <v>0</v>
      </c>
    </row>
    <row r="1279" customFormat="false" ht="15" hidden="false" customHeight="false" outlineLevel="0" collapsed="false">
      <c r="A1279" s="36" t="n">
        <v>46132</v>
      </c>
      <c r="B1279" s="24" t="s">
        <v>62</v>
      </c>
      <c r="C1279" s="24" t="s">
        <v>121</v>
      </c>
      <c r="D1279" s="33" t="n">
        <v>51</v>
      </c>
      <c r="E1279" s="24" t="n">
        <v>0</v>
      </c>
      <c r="F1279" s="37" t="n">
        <f aca="false">DATE(YEAR(A1279),MONTH(A1279),1)</f>
        <v>46113</v>
      </c>
      <c r="G1279" s="24" t="str">
        <f aca="false">INDEX(Products!$C$2:$C$49,MATCH(C1279,Products!$A$2:$A$49,0))</f>
        <v>Grocery Staples</v>
      </c>
      <c r="H1279" s="33" t="n">
        <f aca="false">D1279*INDEX(Products!$E$2:$E$49,MATCH(C1279,Products!$A$2:$A$49,0))</f>
        <v>9690</v>
      </c>
      <c r="I1279" s="33" t="n">
        <f aca="false">D1279*INDEX(Products!$D$2:$D$49,MATCH(C1279,Products!$A$2:$A$49,0))*(1+INDEX(Assumptions!$B$16:$B$20,MATCH(B1279,Assumptions!$A$16:$A$20,0)))</f>
        <v>8276.688</v>
      </c>
      <c r="J1279" s="33" t="n">
        <f aca="false">H1279-I1279</f>
        <v>1413.312</v>
      </c>
      <c r="K1279" s="33" t="n">
        <f aca="false">IF(OR(E1279=0,E1279&gt;=7),0,D1279/(7-E1279)*E1279*INDEX(Products!$E$2:$E$49,MATCH(C1279,Products!$A$2:$A$49,0)))</f>
        <v>0</v>
      </c>
    </row>
    <row r="1280" customFormat="false" ht="15" hidden="false" customHeight="false" outlineLevel="0" collapsed="false">
      <c r="A1280" s="36" t="n">
        <v>46139</v>
      </c>
      <c r="B1280" s="24" t="s">
        <v>62</v>
      </c>
      <c r="C1280" s="24" t="s">
        <v>121</v>
      </c>
      <c r="D1280" s="33" t="n">
        <v>65</v>
      </c>
      <c r="E1280" s="24" t="n">
        <v>0</v>
      </c>
      <c r="F1280" s="37" t="n">
        <f aca="false">DATE(YEAR(A1280),MONTH(A1280),1)</f>
        <v>46113</v>
      </c>
      <c r="G1280" s="24" t="str">
        <f aca="false">INDEX(Products!$C$2:$C$49,MATCH(C1280,Products!$A$2:$A$49,0))</f>
        <v>Grocery Staples</v>
      </c>
      <c r="H1280" s="33" t="n">
        <f aca="false">D1280*INDEX(Products!$E$2:$E$49,MATCH(C1280,Products!$A$2:$A$49,0))</f>
        <v>12350</v>
      </c>
      <c r="I1280" s="33" t="n">
        <f aca="false">D1280*INDEX(Products!$D$2:$D$49,MATCH(C1280,Products!$A$2:$A$49,0))*(1+INDEX(Assumptions!$B$16:$B$20,MATCH(B1280,Assumptions!$A$16:$A$20,0)))</f>
        <v>10548.72</v>
      </c>
      <c r="J1280" s="33" t="n">
        <f aca="false">H1280-I1280</f>
        <v>1801.28</v>
      </c>
      <c r="K1280" s="33" t="n">
        <f aca="false">IF(OR(E1280=0,E1280&gt;=7),0,D1280/(7-E1280)*E1280*INDEX(Products!$E$2:$E$49,MATCH(C1280,Products!$A$2:$A$49,0)))</f>
        <v>0</v>
      </c>
    </row>
    <row r="1281" customFormat="false" ht="15" hidden="false" customHeight="false" outlineLevel="0" collapsed="false">
      <c r="A1281" s="36" t="n">
        <v>46146</v>
      </c>
      <c r="B1281" s="24" t="s">
        <v>62</v>
      </c>
      <c r="C1281" s="24" t="s">
        <v>121</v>
      </c>
      <c r="D1281" s="33" t="n">
        <v>43</v>
      </c>
      <c r="E1281" s="24" t="n">
        <v>0</v>
      </c>
      <c r="F1281" s="37" t="n">
        <f aca="false">DATE(YEAR(A1281),MONTH(A1281),1)</f>
        <v>46143</v>
      </c>
      <c r="G1281" s="24" t="str">
        <f aca="false">INDEX(Products!$C$2:$C$49,MATCH(C1281,Products!$A$2:$A$49,0))</f>
        <v>Grocery Staples</v>
      </c>
      <c r="H1281" s="33" t="n">
        <f aca="false">D1281*INDEX(Products!$E$2:$E$49,MATCH(C1281,Products!$A$2:$A$49,0))</f>
        <v>8170</v>
      </c>
      <c r="I1281" s="33" t="n">
        <f aca="false">D1281*INDEX(Products!$D$2:$D$49,MATCH(C1281,Products!$A$2:$A$49,0))*(1+INDEX(Assumptions!$B$16:$B$20,MATCH(B1281,Assumptions!$A$16:$A$20,0)))</f>
        <v>6978.384</v>
      </c>
      <c r="J1281" s="33" t="n">
        <f aca="false">H1281-I1281</f>
        <v>1191.616</v>
      </c>
      <c r="K1281" s="33" t="n">
        <f aca="false">IF(OR(E1281=0,E1281&gt;=7),0,D1281/(7-E1281)*E1281*INDEX(Products!$E$2:$E$49,MATCH(C1281,Products!$A$2:$A$49,0)))</f>
        <v>0</v>
      </c>
    </row>
    <row r="1282" customFormat="false" ht="15" hidden="false" customHeight="false" outlineLevel="0" collapsed="false">
      <c r="A1282" s="36" t="n">
        <v>46153</v>
      </c>
      <c r="B1282" s="24" t="s">
        <v>62</v>
      </c>
      <c r="C1282" s="24" t="s">
        <v>121</v>
      </c>
      <c r="D1282" s="33" t="n">
        <v>63</v>
      </c>
      <c r="E1282" s="24" t="n">
        <v>0</v>
      </c>
      <c r="F1282" s="37" t="n">
        <f aca="false">DATE(YEAR(A1282),MONTH(A1282),1)</f>
        <v>46143</v>
      </c>
      <c r="G1282" s="24" t="str">
        <f aca="false">INDEX(Products!$C$2:$C$49,MATCH(C1282,Products!$A$2:$A$49,0))</f>
        <v>Grocery Staples</v>
      </c>
      <c r="H1282" s="33" t="n">
        <f aca="false">D1282*INDEX(Products!$E$2:$E$49,MATCH(C1282,Products!$A$2:$A$49,0))</f>
        <v>11970</v>
      </c>
      <c r="I1282" s="33" t="n">
        <f aca="false">D1282*INDEX(Products!$D$2:$D$49,MATCH(C1282,Products!$A$2:$A$49,0))*(1+INDEX(Assumptions!$B$16:$B$20,MATCH(B1282,Assumptions!$A$16:$A$20,0)))</f>
        <v>10224.144</v>
      </c>
      <c r="J1282" s="33" t="n">
        <f aca="false">H1282-I1282</f>
        <v>1745.856</v>
      </c>
      <c r="K1282" s="33" t="n">
        <f aca="false">IF(OR(E1282=0,E1282&gt;=7),0,D1282/(7-E1282)*E1282*INDEX(Products!$E$2:$E$49,MATCH(C1282,Products!$A$2:$A$49,0)))</f>
        <v>0</v>
      </c>
    </row>
    <row r="1283" customFormat="false" ht="15" hidden="false" customHeight="false" outlineLevel="0" collapsed="false">
      <c r="A1283" s="36" t="n">
        <v>46160</v>
      </c>
      <c r="B1283" s="24" t="s">
        <v>62</v>
      </c>
      <c r="C1283" s="24" t="s">
        <v>121</v>
      </c>
      <c r="D1283" s="33" t="n">
        <v>56</v>
      </c>
      <c r="E1283" s="24" t="n">
        <v>0</v>
      </c>
      <c r="F1283" s="37" t="n">
        <f aca="false">DATE(YEAR(A1283),MONTH(A1283),1)</f>
        <v>46143</v>
      </c>
      <c r="G1283" s="24" t="str">
        <f aca="false">INDEX(Products!$C$2:$C$49,MATCH(C1283,Products!$A$2:$A$49,0))</f>
        <v>Grocery Staples</v>
      </c>
      <c r="H1283" s="33" t="n">
        <f aca="false">D1283*INDEX(Products!$E$2:$E$49,MATCH(C1283,Products!$A$2:$A$49,0))</f>
        <v>10640</v>
      </c>
      <c r="I1283" s="33" t="n">
        <f aca="false">D1283*INDEX(Products!$D$2:$D$49,MATCH(C1283,Products!$A$2:$A$49,0))*(1+INDEX(Assumptions!$B$16:$B$20,MATCH(B1283,Assumptions!$A$16:$A$20,0)))</f>
        <v>9088.128</v>
      </c>
      <c r="J1283" s="33" t="n">
        <f aca="false">H1283-I1283</f>
        <v>1551.872</v>
      </c>
      <c r="K1283" s="33" t="n">
        <f aca="false">IF(OR(E1283=0,E1283&gt;=7),0,D1283/(7-E1283)*E1283*INDEX(Products!$E$2:$E$49,MATCH(C1283,Products!$A$2:$A$49,0)))</f>
        <v>0</v>
      </c>
    </row>
    <row r="1284" customFormat="false" ht="15" hidden="false" customHeight="false" outlineLevel="0" collapsed="false">
      <c r="A1284" s="36" t="n">
        <v>46167</v>
      </c>
      <c r="B1284" s="24" t="s">
        <v>62</v>
      </c>
      <c r="C1284" s="24" t="s">
        <v>121</v>
      </c>
      <c r="D1284" s="33" t="n">
        <v>60</v>
      </c>
      <c r="E1284" s="24" t="n">
        <v>0</v>
      </c>
      <c r="F1284" s="37" t="n">
        <f aca="false">DATE(YEAR(A1284),MONTH(A1284),1)</f>
        <v>46143</v>
      </c>
      <c r="G1284" s="24" t="str">
        <f aca="false">INDEX(Products!$C$2:$C$49,MATCH(C1284,Products!$A$2:$A$49,0))</f>
        <v>Grocery Staples</v>
      </c>
      <c r="H1284" s="33" t="n">
        <f aca="false">D1284*INDEX(Products!$E$2:$E$49,MATCH(C1284,Products!$A$2:$A$49,0))</f>
        <v>11400</v>
      </c>
      <c r="I1284" s="33" t="n">
        <f aca="false">D1284*INDEX(Products!$D$2:$D$49,MATCH(C1284,Products!$A$2:$A$49,0))*(1+INDEX(Assumptions!$B$16:$B$20,MATCH(B1284,Assumptions!$A$16:$A$20,0)))</f>
        <v>9737.28</v>
      </c>
      <c r="J1284" s="33" t="n">
        <f aca="false">H1284-I1284</f>
        <v>1662.72</v>
      </c>
      <c r="K1284" s="33" t="n">
        <f aca="false">IF(OR(E1284=0,E1284&gt;=7),0,D1284/(7-E1284)*E1284*INDEX(Products!$E$2:$E$49,MATCH(C1284,Products!$A$2:$A$49,0)))</f>
        <v>0</v>
      </c>
    </row>
    <row r="1285" customFormat="false" ht="15" hidden="false" customHeight="false" outlineLevel="0" collapsed="false">
      <c r="A1285" s="36" t="n">
        <v>46174</v>
      </c>
      <c r="B1285" s="24" t="s">
        <v>62</v>
      </c>
      <c r="C1285" s="24" t="s">
        <v>121</v>
      </c>
      <c r="D1285" s="33" t="n">
        <v>61</v>
      </c>
      <c r="E1285" s="24" t="n">
        <v>0</v>
      </c>
      <c r="F1285" s="37" t="n">
        <f aca="false">DATE(YEAR(A1285),MONTH(A1285),1)</f>
        <v>46174</v>
      </c>
      <c r="G1285" s="24" t="str">
        <f aca="false">INDEX(Products!$C$2:$C$49,MATCH(C1285,Products!$A$2:$A$49,0))</f>
        <v>Grocery Staples</v>
      </c>
      <c r="H1285" s="33" t="n">
        <f aca="false">D1285*INDEX(Products!$E$2:$E$49,MATCH(C1285,Products!$A$2:$A$49,0))</f>
        <v>11590</v>
      </c>
      <c r="I1285" s="33" t="n">
        <f aca="false">D1285*INDEX(Products!$D$2:$D$49,MATCH(C1285,Products!$A$2:$A$49,0))*(1+INDEX(Assumptions!$B$16:$B$20,MATCH(B1285,Assumptions!$A$16:$A$20,0)))</f>
        <v>9899.568</v>
      </c>
      <c r="J1285" s="33" t="n">
        <f aca="false">H1285-I1285</f>
        <v>1690.432</v>
      </c>
      <c r="K1285" s="33" t="n">
        <f aca="false">IF(OR(E1285=0,E1285&gt;=7),0,D1285/(7-E1285)*E1285*INDEX(Products!$E$2:$E$49,MATCH(C1285,Products!$A$2:$A$49,0)))</f>
        <v>0</v>
      </c>
    </row>
    <row r="1286" customFormat="false" ht="15" hidden="false" customHeight="false" outlineLevel="0" collapsed="false">
      <c r="A1286" s="36" t="n">
        <v>46181</v>
      </c>
      <c r="B1286" s="24" t="s">
        <v>62</v>
      </c>
      <c r="C1286" s="24" t="s">
        <v>121</v>
      </c>
      <c r="D1286" s="33" t="n">
        <v>40</v>
      </c>
      <c r="E1286" s="24" t="n">
        <v>0</v>
      </c>
      <c r="F1286" s="37" t="n">
        <f aca="false">DATE(YEAR(A1286),MONTH(A1286),1)</f>
        <v>46174</v>
      </c>
      <c r="G1286" s="24" t="str">
        <f aca="false">INDEX(Products!$C$2:$C$49,MATCH(C1286,Products!$A$2:$A$49,0))</f>
        <v>Grocery Staples</v>
      </c>
      <c r="H1286" s="33" t="n">
        <f aca="false">D1286*INDEX(Products!$E$2:$E$49,MATCH(C1286,Products!$A$2:$A$49,0))</f>
        <v>7600</v>
      </c>
      <c r="I1286" s="33" t="n">
        <f aca="false">D1286*INDEX(Products!$D$2:$D$49,MATCH(C1286,Products!$A$2:$A$49,0))*(1+INDEX(Assumptions!$B$16:$B$20,MATCH(B1286,Assumptions!$A$16:$A$20,0)))</f>
        <v>6491.52</v>
      </c>
      <c r="J1286" s="33" t="n">
        <f aca="false">H1286-I1286</f>
        <v>1108.48</v>
      </c>
      <c r="K1286" s="33" t="n">
        <f aca="false">IF(OR(E1286=0,E1286&gt;=7),0,D1286/(7-E1286)*E1286*INDEX(Products!$E$2:$E$49,MATCH(C1286,Products!$A$2:$A$49,0)))</f>
        <v>0</v>
      </c>
    </row>
    <row r="1287" customFormat="false" ht="15" hidden="false" customHeight="false" outlineLevel="0" collapsed="false">
      <c r="A1287" s="36" t="n">
        <v>46188</v>
      </c>
      <c r="B1287" s="24" t="s">
        <v>62</v>
      </c>
      <c r="C1287" s="24" t="s">
        <v>121</v>
      </c>
      <c r="D1287" s="33" t="n">
        <v>45</v>
      </c>
      <c r="E1287" s="24" t="n">
        <v>0</v>
      </c>
      <c r="F1287" s="37" t="n">
        <f aca="false">DATE(YEAR(A1287),MONTH(A1287),1)</f>
        <v>46174</v>
      </c>
      <c r="G1287" s="24" t="str">
        <f aca="false">INDEX(Products!$C$2:$C$49,MATCH(C1287,Products!$A$2:$A$49,0))</f>
        <v>Grocery Staples</v>
      </c>
      <c r="H1287" s="33" t="n">
        <f aca="false">D1287*INDEX(Products!$E$2:$E$49,MATCH(C1287,Products!$A$2:$A$49,0))</f>
        <v>8550</v>
      </c>
      <c r="I1287" s="33" t="n">
        <f aca="false">D1287*INDEX(Products!$D$2:$D$49,MATCH(C1287,Products!$A$2:$A$49,0))*(1+INDEX(Assumptions!$B$16:$B$20,MATCH(B1287,Assumptions!$A$16:$A$20,0)))</f>
        <v>7302.96</v>
      </c>
      <c r="J1287" s="33" t="n">
        <f aca="false">H1287-I1287</f>
        <v>1247.04</v>
      </c>
      <c r="K1287" s="33" t="n">
        <f aca="false">IF(OR(E1287=0,E1287&gt;=7),0,D1287/(7-E1287)*E1287*INDEX(Products!$E$2:$E$49,MATCH(C1287,Products!$A$2:$A$49,0)))</f>
        <v>0</v>
      </c>
    </row>
    <row r="1288" customFormat="false" ht="15" hidden="false" customHeight="false" outlineLevel="0" collapsed="false">
      <c r="A1288" s="36" t="n">
        <v>46195</v>
      </c>
      <c r="B1288" s="24" t="s">
        <v>62</v>
      </c>
      <c r="C1288" s="24" t="s">
        <v>121</v>
      </c>
      <c r="D1288" s="33" t="n">
        <v>97</v>
      </c>
      <c r="E1288" s="24" t="n">
        <v>0</v>
      </c>
      <c r="F1288" s="37" t="n">
        <f aca="false">DATE(YEAR(A1288),MONTH(A1288),1)</f>
        <v>46174</v>
      </c>
      <c r="G1288" s="24" t="str">
        <f aca="false">INDEX(Products!$C$2:$C$49,MATCH(C1288,Products!$A$2:$A$49,0))</f>
        <v>Grocery Staples</v>
      </c>
      <c r="H1288" s="33" t="n">
        <f aca="false">D1288*INDEX(Products!$E$2:$E$49,MATCH(C1288,Products!$A$2:$A$49,0))</f>
        <v>18430</v>
      </c>
      <c r="I1288" s="33" t="n">
        <f aca="false">D1288*INDEX(Products!$D$2:$D$49,MATCH(C1288,Products!$A$2:$A$49,0))*(1+INDEX(Assumptions!$B$16:$B$20,MATCH(B1288,Assumptions!$A$16:$A$20,0)))</f>
        <v>15741.936</v>
      </c>
      <c r="J1288" s="33" t="n">
        <f aca="false">H1288-I1288</f>
        <v>2688.064</v>
      </c>
      <c r="K1288" s="33" t="n">
        <f aca="false">IF(OR(E1288=0,E1288&gt;=7),0,D1288/(7-E1288)*E1288*INDEX(Products!$E$2:$E$49,MATCH(C1288,Products!$A$2:$A$49,0)))</f>
        <v>0</v>
      </c>
    </row>
    <row r="1289" customFormat="false" ht="15" hidden="false" customHeight="false" outlineLevel="0" collapsed="false">
      <c r="A1289" s="36" t="n">
        <v>46202</v>
      </c>
      <c r="B1289" s="24" t="s">
        <v>62</v>
      </c>
      <c r="C1289" s="24" t="s">
        <v>121</v>
      </c>
      <c r="D1289" s="33" t="n">
        <v>39</v>
      </c>
      <c r="E1289" s="24" t="n">
        <v>0</v>
      </c>
      <c r="F1289" s="37" t="n">
        <f aca="false">DATE(YEAR(A1289),MONTH(A1289),1)</f>
        <v>46174</v>
      </c>
      <c r="G1289" s="24" t="str">
        <f aca="false">INDEX(Products!$C$2:$C$49,MATCH(C1289,Products!$A$2:$A$49,0))</f>
        <v>Grocery Staples</v>
      </c>
      <c r="H1289" s="33" t="n">
        <f aca="false">D1289*INDEX(Products!$E$2:$E$49,MATCH(C1289,Products!$A$2:$A$49,0))</f>
        <v>7410</v>
      </c>
      <c r="I1289" s="33" t="n">
        <f aca="false">D1289*INDEX(Products!$D$2:$D$49,MATCH(C1289,Products!$A$2:$A$49,0))*(1+INDEX(Assumptions!$B$16:$B$20,MATCH(B1289,Assumptions!$A$16:$A$20,0)))</f>
        <v>6329.232</v>
      </c>
      <c r="J1289" s="33" t="n">
        <f aca="false">H1289-I1289</f>
        <v>1080.768</v>
      </c>
      <c r="K1289" s="33" t="n">
        <f aca="false">IF(OR(E1289=0,E1289&gt;=7),0,D1289/(7-E1289)*E1289*INDEX(Products!$E$2:$E$49,MATCH(C1289,Products!$A$2:$A$49,0)))</f>
        <v>0</v>
      </c>
    </row>
    <row r="1290" customFormat="false" ht="15" hidden="false" customHeight="false" outlineLevel="0" collapsed="false">
      <c r="A1290" s="36" t="n">
        <v>46209</v>
      </c>
      <c r="B1290" s="24" t="s">
        <v>62</v>
      </c>
      <c r="C1290" s="24" t="s">
        <v>121</v>
      </c>
      <c r="D1290" s="33" t="n">
        <v>50</v>
      </c>
      <c r="E1290" s="24" t="n">
        <v>0</v>
      </c>
      <c r="F1290" s="37" t="n">
        <f aca="false">DATE(YEAR(A1290),MONTH(A1290),1)</f>
        <v>46204</v>
      </c>
      <c r="G1290" s="24" t="str">
        <f aca="false">INDEX(Products!$C$2:$C$49,MATCH(C1290,Products!$A$2:$A$49,0))</f>
        <v>Grocery Staples</v>
      </c>
      <c r="H1290" s="33" t="n">
        <f aca="false">D1290*INDEX(Products!$E$2:$E$49,MATCH(C1290,Products!$A$2:$A$49,0))</f>
        <v>9500</v>
      </c>
      <c r="I1290" s="33" t="n">
        <f aca="false">D1290*INDEX(Products!$D$2:$D$49,MATCH(C1290,Products!$A$2:$A$49,0))*(1+INDEX(Assumptions!$B$16:$B$20,MATCH(B1290,Assumptions!$A$16:$A$20,0)))</f>
        <v>8114.4</v>
      </c>
      <c r="J1290" s="33" t="n">
        <f aca="false">H1290-I1290</f>
        <v>1385.6</v>
      </c>
      <c r="K1290" s="33" t="n">
        <f aca="false">IF(OR(E1290=0,E1290&gt;=7),0,D1290/(7-E1290)*E1290*INDEX(Products!$E$2:$E$49,MATCH(C1290,Products!$A$2:$A$49,0)))</f>
        <v>0</v>
      </c>
    </row>
    <row r="1291" customFormat="false" ht="15" hidden="false" customHeight="false" outlineLevel="0" collapsed="false">
      <c r="A1291" s="36" t="n">
        <v>46216</v>
      </c>
      <c r="B1291" s="24" t="s">
        <v>62</v>
      </c>
      <c r="C1291" s="24" t="s">
        <v>121</v>
      </c>
      <c r="D1291" s="33" t="n">
        <v>28</v>
      </c>
      <c r="E1291" s="24" t="n">
        <v>0</v>
      </c>
      <c r="F1291" s="37" t="n">
        <f aca="false">DATE(YEAR(A1291),MONTH(A1291),1)</f>
        <v>46204</v>
      </c>
      <c r="G1291" s="24" t="str">
        <f aca="false">INDEX(Products!$C$2:$C$49,MATCH(C1291,Products!$A$2:$A$49,0))</f>
        <v>Grocery Staples</v>
      </c>
      <c r="H1291" s="33" t="n">
        <f aca="false">D1291*INDEX(Products!$E$2:$E$49,MATCH(C1291,Products!$A$2:$A$49,0))</f>
        <v>5320</v>
      </c>
      <c r="I1291" s="33" t="n">
        <f aca="false">D1291*INDEX(Products!$D$2:$D$49,MATCH(C1291,Products!$A$2:$A$49,0))*(1+INDEX(Assumptions!$B$16:$B$20,MATCH(B1291,Assumptions!$A$16:$A$20,0)))</f>
        <v>4544.064</v>
      </c>
      <c r="J1291" s="33" t="n">
        <f aca="false">H1291-I1291</f>
        <v>775.936</v>
      </c>
      <c r="K1291" s="33" t="n">
        <f aca="false">IF(OR(E1291=0,E1291&gt;=7),0,D1291/(7-E1291)*E1291*INDEX(Products!$E$2:$E$49,MATCH(C1291,Products!$A$2:$A$49,0)))</f>
        <v>0</v>
      </c>
    </row>
    <row r="1292" customFormat="false" ht="15" hidden="false" customHeight="false" outlineLevel="0" collapsed="false">
      <c r="A1292" s="36" t="n">
        <v>46223</v>
      </c>
      <c r="B1292" s="24" t="s">
        <v>62</v>
      </c>
      <c r="C1292" s="24" t="s">
        <v>121</v>
      </c>
      <c r="D1292" s="33" t="n">
        <v>52</v>
      </c>
      <c r="E1292" s="24" t="n">
        <v>0</v>
      </c>
      <c r="F1292" s="37" t="n">
        <f aca="false">DATE(YEAR(A1292),MONTH(A1292),1)</f>
        <v>46204</v>
      </c>
      <c r="G1292" s="24" t="str">
        <f aca="false">INDEX(Products!$C$2:$C$49,MATCH(C1292,Products!$A$2:$A$49,0))</f>
        <v>Grocery Staples</v>
      </c>
      <c r="H1292" s="33" t="n">
        <f aca="false">D1292*INDEX(Products!$E$2:$E$49,MATCH(C1292,Products!$A$2:$A$49,0))</f>
        <v>9880</v>
      </c>
      <c r="I1292" s="33" t="n">
        <f aca="false">D1292*INDEX(Products!$D$2:$D$49,MATCH(C1292,Products!$A$2:$A$49,0))*(1+INDEX(Assumptions!$B$16:$B$20,MATCH(B1292,Assumptions!$A$16:$A$20,0)))</f>
        <v>8438.976</v>
      </c>
      <c r="J1292" s="33" t="n">
        <f aca="false">H1292-I1292</f>
        <v>1441.024</v>
      </c>
      <c r="K1292" s="33" t="n">
        <f aca="false">IF(OR(E1292=0,E1292&gt;=7),0,D1292/(7-E1292)*E1292*INDEX(Products!$E$2:$E$49,MATCH(C1292,Products!$A$2:$A$49,0)))</f>
        <v>0</v>
      </c>
    </row>
    <row r="1293" customFormat="false" ht="15" hidden="false" customHeight="false" outlineLevel="0" collapsed="false">
      <c r="A1293" s="36" t="n">
        <v>46230</v>
      </c>
      <c r="B1293" s="24" t="s">
        <v>62</v>
      </c>
      <c r="C1293" s="24" t="s">
        <v>121</v>
      </c>
      <c r="D1293" s="33" t="n">
        <v>53</v>
      </c>
      <c r="E1293" s="24" t="n">
        <v>0</v>
      </c>
      <c r="F1293" s="37" t="n">
        <f aca="false">DATE(YEAR(A1293),MONTH(A1293),1)</f>
        <v>46204</v>
      </c>
      <c r="G1293" s="24" t="str">
        <f aca="false">INDEX(Products!$C$2:$C$49,MATCH(C1293,Products!$A$2:$A$49,0))</f>
        <v>Grocery Staples</v>
      </c>
      <c r="H1293" s="33" t="n">
        <f aca="false">D1293*INDEX(Products!$E$2:$E$49,MATCH(C1293,Products!$A$2:$A$49,0))</f>
        <v>10070</v>
      </c>
      <c r="I1293" s="33" t="n">
        <f aca="false">D1293*INDEX(Products!$D$2:$D$49,MATCH(C1293,Products!$A$2:$A$49,0))*(1+INDEX(Assumptions!$B$16:$B$20,MATCH(B1293,Assumptions!$A$16:$A$20,0)))</f>
        <v>8601.264</v>
      </c>
      <c r="J1293" s="33" t="n">
        <f aca="false">H1293-I1293</f>
        <v>1468.736</v>
      </c>
      <c r="K1293" s="33" t="n">
        <f aca="false">IF(OR(E1293=0,E1293&gt;=7),0,D1293/(7-E1293)*E1293*INDEX(Products!$E$2:$E$49,MATCH(C1293,Products!$A$2:$A$49,0)))</f>
        <v>0</v>
      </c>
    </row>
    <row r="1294" customFormat="false" ht="15" hidden="false" customHeight="false" outlineLevel="0" collapsed="false">
      <c r="A1294" s="36" t="n">
        <v>46237</v>
      </c>
      <c r="B1294" s="24" t="s">
        <v>62</v>
      </c>
      <c r="C1294" s="24" t="s">
        <v>121</v>
      </c>
      <c r="D1294" s="33" t="n">
        <v>47</v>
      </c>
      <c r="E1294" s="24" t="n">
        <v>0</v>
      </c>
      <c r="F1294" s="37" t="n">
        <f aca="false">DATE(YEAR(A1294),MONTH(A1294),1)</f>
        <v>46235</v>
      </c>
      <c r="G1294" s="24" t="str">
        <f aca="false">INDEX(Products!$C$2:$C$49,MATCH(C1294,Products!$A$2:$A$49,0))</f>
        <v>Grocery Staples</v>
      </c>
      <c r="H1294" s="33" t="n">
        <f aca="false">D1294*INDEX(Products!$E$2:$E$49,MATCH(C1294,Products!$A$2:$A$49,0))</f>
        <v>8930</v>
      </c>
      <c r="I1294" s="33" t="n">
        <f aca="false">D1294*INDEX(Products!$D$2:$D$49,MATCH(C1294,Products!$A$2:$A$49,0))*(1+INDEX(Assumptions!$B$16:$B$20,MATCH(B1294,Assumptions!$A$16:$A$20,0)))</f>
        <v>7627.536</v>
      </c>
      <c r="J1294" s="33" t="n">
        <f aca="false">H1294-I1294</f>
        <v>1302.464</v>
      </c>
      <c r="K1294" s="33" t="n">
        <f aca="false">IF(OR(E1294=0,E1294&gt;=7),0,D1294/(7-E1294)*E1294*INDEX(Products!$E$2:$E$49,MATCH(C1294,Products!$A$2:$A$49,0)))</f>
        <v>0</v>
      </c>
    </row>
    <row r="1295" customFormat="false" ht="15" hidden="false" customHeight="false" outlineLevel="0" collapsed="false">
      <c r="A1295" s="36" t="n">
        <v>46244</v>
      </c>
      <c r="B1295" s="24" t="s">
        <v>62</v>
      </c>
      <c r="C1295" s="24" t="s">
        <v>121</v>
      </c>
      <c r="D1295" s="33" t="n">
        <v>36</v>
      </c>
      <c r="E1295" s="24" t="n">
        <v>0</v>
      </c>
      <c r="F1295" s="37" t="n">
        <f aca="false">DATE(YEAR(A1295),MONTH(A1295),1)</f>
        <v>46235</v>
      </c>
      <c r="G1295" s="24" t="str">
        <f aca="false">INDEX(Products!$C$2:$C$49,MATCH(C1295,Products!$A$2:$A$49,0))</f>
        <v>Grocery Staples</v>
      </c>
      <c r="H1295" s="33" t="n">
        <f aca="false">D1295*INDEX(Products!$E$2:$E$49,MATCH(C1295,Products!$A$2:$A$49,0))</f>
        <v>6840</v>
      </c>
      <c r="I1295" s="33" t="n">
        <f aca="false">D1295*INDEX(Products!$D$2:$D$49,MATCH(C1295,Products!$A$2:$A$49,0))*(1+INDEX(Assumptions!$B$16:$B$20,MATCH(B1295,Assumptions!$A$16:$A$20,0)))</f>
        <v>5842.368</v>
      </c>
      <c r="J1295" s="33" t="n">
        <f aca="false">H1295-I1295</f>
        <v>997.632</v>
      </c>
      <c r="K1295" s="33" t="n">
        <f aca="false">IF(OR(E1295=0,E1295&gt;=7),0,D1295/(7-E1295)*E1295*INDEX(Products!$E$2:$E$49,MATCH(C1295,Products!$A$2:$A$49,0)))</f>
        <v>0</v>
      </c>
    </row>
    <row r="1296" customFormat="false" ht="15" hidden="false" customHeight="false" outlineLevel="0" collapsed="false">
      <c r="A1296" s="36" t="n">
        <v>46251</v>
      </c>
      <c r="B1296" s="24" t="s">
        <v>62</v>
      </c>
      <c r="C1296" s="24" t="s">
        <v>121</v>
      </c>
      <c r="D1296" s="33" t="n">
        <v>23</v>
      </c>
      <c r="E1296" s="24" t="n">
        <v>4</v>
      </c>
      <c r="F1296" s="37" t="n">
        <f aca="false">DATE(YEAR(A1296),MONTH(A1296),1)</f>
        <v>46235</v>
      </c>
      <c r="G1296" s="24" t="str">
        <f aca="false">INDEX(Products!$C$2:$C$49,MATCH(C1296,Products!$A$2:$A$49,0))</f>
        <v>Grocery Staples</v>
      </c>
      <c r="H1296" s="33" t="n">
        <f aca="false">D1296*INDEX(Products!$E$2:$E$49,MATCH(C1296,Products!$A$2:$A$49,0))</f>
        <v>4370</v>
      </c>
      <c r="I1296" s="33" t="n">
        <f aca="false">D1296*INDEX(Products!$D$2:$D$49,MATCH(C1296,Products!$A$2:$A$49,0))*(1+INDEX(Assumptions!$B$16:$B$20,MATCH(B1296,Assumptions!$A$16:$A$20,0)))</f>
        <v>3732.624</v>
      </c>
      <c r="J1296" s="33" t="n">
        <f aca="false">H1296-I1296</f>
        <v>637.376</v>
      </c>
      <c r="K1296" s="33" t="n">
        <f aca="false">IF(OR(E1296=0,E1296&gt;=7),0,D1296/(7-E1296)*E1296*INDEX(Products!$E$2:$E$49,MATCH(C1296,Products!$A$2:$A$49,0)))</f>
        <v>5826.66666666667</v>
      </c>
    </row>
    <row r="1297" customFormat="false" ht="15" hidden="false" customHeight="false" outlineLevel="0" collapsed="false">
      <c r="A1297" s="36" t="n">
        <v>46258</v>
      </c>
      <c r="B1297" s="24" t="s">
        <v>62</v>
      </c>
      <c r="C1297" s="24" t="s">
        <v>121</v>
      </c>
      <c r="D1297" s="33" t="n">
        <v>33</v>
      </c>
      <c r="E1297" s="24" t="n">
        <v>2</v>
      </c>
      <c r="F1297" s="37" t="n">
        <f aca="false">DATE(YEAR(A1297),MONTH(A1297),1)</f>
        <v>46235</v>
      </c>
      <c r="G1297" s="24" t="str">
        <f aca="false">INDEX(Products!$C$2:$C$49,MATCH(C1297,Products!$A$2:$A$49,0))</f>
        <v>Grocery Staples</v>
      </c>
      <c r="H1297" s="33" t="n">
        <f aca="false">D1297*INDEX(Products!$E$2:$E$49,MATCH(C1297,Products!$A$2:$A$49,0))</f>
        <v>6270</v>
      </c>
      <c r="I1297" s="33" t="n">
        <f aca="false">D1297*INDEX(Products!$D$2:$D$49,MATCH(C1297,Products!$A$2:$A$49,0))*(1+INDEX(Assumptions!$B$16:$B$20,MATCH(B1297,Assumptions!$A$16:$A$20,0)))</f>
        <v>5355.504</v>
      </c>
      <c r="J1297" s="33" t="n">
        <f aca="false">H1297-I1297</f>
        <v>914.496</v>
      </c>
      <c r="K1297" s="33" t="n">
        <f aca="false">IF(OR(E1297=0,E1297&gt;=7),0,D1297/(7-E1297)*E1297*INDEX(Products!$E$2:$E$49,MATCH(C1297,Products!$A$2:$A$49,0)))</f>
        <v>2508</v>
      </c>
    </row>
    <row r="1298" customFormat="false" ht="15" hidden="false" customHeight="false" outlineLevel="0" collapsed="false">
      <c r="A1298" s="36" t="n">
        <v>46265</v>
      </c>
      <c r="B1298" s="24" t="s">
        <v>62</v>
      </c>
      <c r="C1298" s="24" t="s">
        <v>121</v>
      </c>
      <c r="D1298" s="33" t="n">
        <v>39</v>
      </c>
      <c r="E1298" s="24" t="n">
        <v>0</v>
      </c>
      <c r="F1298" s="37" t="n">
        <f aca="false">DATE(YEAR(A1298),MONTH(A1298),1)</f>
        <v>46235</v>
      </c>
      <c r="G1298" s="24" t="str">
        <f aca="false">INDEX(Products!$C$2:$C$49,MATCH(C1298,Products!$A$2:$A$49,0))</f>
        <v>Grocery Staples</v>
      </c>
      <c r="H1298" s="33" t="n">
        <f aca="false">D1298*INDEX(Products!$E$2:$E$49,MATCH(C1298,Products!$A$2:$A$49,0))</f>
        <v>7410</v>
      </c>
      <c r="I1298" s="33" t="n">
        <f aca="false">D1298*INDEX(Products!$D$2:$D$49,MATCH(C1298,Products!$A$2:$A$49,0))*(1+INDEX(Assumptions!$B$16:$B$20,MATCH(B1298,Assumptions!$A$16:$A$20,0)))</f>
        <v>6329.232</v>
      </c>
      <c r="J1298" s="33" t="n">
        <f aca="false">H1298-I1298</f>
        <v>1080.768</v>
      </c>
      <c r="K1298" s="33" t="n">
        <f aca="false">IF(OR(E1298=0,E1298&gt;=7),0,D1298/(7-E1298)*E1298*INDEX(Products!$E$2:$E$49,MATCH(C1298,Products!$A$2:$A$49,0)))</f>
        <v>0</v>
      </c>
    </row>
    <row r="1299" customFormat="false" ht="15" hidden="false" customHeight="false" outlineLevel="0" collapsed="false">
      <c r="A1299" s="36" t="n">
        <v>46272</v>
      </c>
      <c r="B1299" s="24" t="s">
        <v>62</v>
      </c>
      <c r="C1299" s="24" t="s">
        <v>121</v>
      </c>
      <c r="D1299" s="33" t="n">
        <v>53</v>
      </c>
      <c r="E1299" s="24" t="n">
        <v>0</v>
      </c>
      <c r="F1299" s="37" t="n">
        <f aca="false">DATE(YEAR(A1299),MONTH(A1299),1)</f>
        <v>46266</v>
      </c>
      <c r="G1299" s="24" t="str">
        <f aca="false">INDEX(Products!$C$2:$C$49,MATCH(C1299,Products!$A$2:$A$49,0))</f>
        <v>Grocery Staples</v>
      </c>
      <c r="H1299" s="33" t="n">
        <f aca="false">D1299*INDEX(Products!$E$2:$E$49,MATCH(C1299,Products!$A$2:$A$49,0))</f>
        <v>10070</v>
      </c>
      <c r="I1299" s="33" t="n">
        <f aca="false">D1299*INDEX(Products!$D$2:$D$49,MATCH(C1299,Products!$A$2:$A$49,0))*(1+INDEX(Assumptions!$B$16:$B$20,MATCH(B1299,Assumptions!$A$16:$A$20,0)))</f>
        <v>8601.264</v>
      </c>
      <c r="J1299" s="33" t="n">
        <f aca="false">H1299-I1299</f>
        <v>1468.736</v>
      </c>
      <c r="K1299" s="33" t="n">
        <f aca="false">IF(OR(E1299=0,E1299&gt;=7),0,D1299/(7-E1299)*E1299*INDEX(Products!$E$2:$E$49,MATCH(C1299,Products!$A$2:$A$49,0)))</f>
        <v>0</v>
      </c>
    </row>
    <row r="1300" customFormat="false" ht="15" hidden="false" customHeight="false" outlineLevel="0" collapsed="false">
      <c r="A1300" s="36" t="n">
        <v>46279</v>
      </c>
      <c r="B1300" s="24" t="s">
        <v>62</v>
      </c>
      <c r="C1300" s="24" t="s">
        <v>121</v>
      </c>
      <c r="D1300" s="33" t="n">
        <v>47</v>
      </c>
      <c r="E1300" s="24" t="n">
        <v>0</v>
      </c>
      <c r="F1300" s="37" t="n">
        <f aca="false">DATE(YEAR(A1300),MONTH(A1300),1)</f>
        <v>46266</v>
      </c>
      <c r="G1300" s="24" t="str">
        <f aca="false">INDEX(Products!$C$2:$C$49,MATCH(C1300,Products!$A$2:$A$49,0))</f>
        <v>Grocery Staples</v>
      </c>
      <c r="H1300" s="33" t="n">
        <f aca="false">D1300*INDEX(Products!$E$2:$E$49,MATCH(C1300,Products!$A$2:$A$49,0))</f>
        <v>8930</v>
      </c>
      <c r="I1300" s="33" t="n">
        <f aca="false">D1300*INDEX(Products!$D$2:$D$49,MATCH(C1300,Products!$A$2:$A$49,0))*(1+INDEX(Assumptions!$B$16:$B$20,MATCH(B1300,Assumptions!$A$16:$A$20,0)))</f>
        <v>7627.536</v>
      </c>
      <c r="J1300" s="33" t="n">
        <f aca="false">H1300-I1300</f>
        <v>1302.464</v>
      </c>
      <c r="K1300" s="33" t="n">
        <f aca="false">IF(OR(E1300=0,E1300&gt;=7),0,D1300/(7-E1300)*E1300*INDEX(Products!$E$2:$E$49,MATCH(C1300,Products!$A$2:$A$49,0)))</f>
        <v>0</v>
      </c>
    </row>
    <row r="1301" customFormat="false" ht="15" hidden="false" customHeight="false" outlineLevel="0" collapsed="false">
      <c r="A1301" s="36" t="n">
        <v>46286</v>
      </c>
      <c r="B1301" s="24" t="s">
        <v>62</v>
      </c>
      <c r="C1301" s="24" t="s">
        <v>121</v>
      </c>
      <c r="D1301" s="33" t="n">
        <v>46</v>
      </c>
      <c r="E1301" s="24" t="n">
        <v>0</v>
      </c>
      <c r="F1301" s="37" t="n">
        <f aca="false">DATE(YEAR(A1301),MONTH(A1301),1)</f>
        <v>46266</v>
      </c>
      <c r="G1301" s="24" t="str">
        <f aca="false">INDEX(Products!$C$2:$C$49,MATCH(C1301,Products!$A$2:$A$49,0))</f>
        <v>Grocery Staples</v>
      </c>
      <c r="H1301" s="33" t="n">
        <f aca="false">D1301*INDEX(Products!$E$2:$E$49,MATCH(C1301,Products!$A$2:$A$49,0))</f>
        <v>8740</v>
      </c>
      <c r="I1301" s="33" t="n">
        <f aca="false">D1301*INDEX(Products!$D$2:$D$49,MATCH(C1301,Products!$A$2:$A$49,0))*(1+INDEX(Assumptions!$B$16:$B$20,MATCH(B1301,Assumptions!$A$16:$A$20,0)))</f>
        <v>7465.248</v>
      </c>
      <c r="J1301" s="33" t="n">
        <f aca="false">H1301-I1301</f>
        <v>1274.752</v>
      </c>
      <c r="K1301" s="33" t="n">
        <f aca="false">IF(OR(E1301=0,E1301&gt;=7),0,D1301/(7-E1301)*E1301*INDEX(Products!$E$2:$E$49,MATCH(C1301,Products!$A$2:$A$49,0)))</f>
        <v>0</v>
      </c>
    </row>
    <row r="1302" customFormat="false" ht="15" hidden="false" customHeight="false" outlineLevel="0" collapsed="false">
      <c r="A1302" s="36" t="n">
        <v>46118</v>
      </c>
      <c r="B1302" s="24" t="s">
        <v>62</v>
      </c>
      <c r="C1302" s="24" t="s">
        <v>123</v>
      </c>
      <c r="D1302" s="33" t="n">
        <v>169</v>
      </c>
      <c r="E1302" s="24" t="n">
        <v>0</v>
      </c>
      <c r="F1302" s="37" t="n">
        <f aca="false">DATE(YEAR(A1302),MONTH(A1302),1)</f>
        <v>46113</v>
      </c>
      <c r="G1302" s="24" t="str">
        <f aca="false">INDEX(Products!$C$2:$C$49,MATCH(C1302,Products!$A$2:$A$49,0))</f>
        <v>Grocery Staples</v>
      </c>
      <c r="H1302" s="33" t="n">
        <f aca="false">D1302*INDEX(Products!$E$2:$E$49,MATCH(C1302,Products!$A$2:$A$49,0))</f>
        <v>57460</v>
      </c>
      <c r="I1302" s="33" t="n">
        <f aca="false">D1302*INDEX(Products!$D$2:$D$49,MATCH(C1302,Products!$A$2:$A$49,0))*(1+INDEX(Assumptions!$B$16:$B$20,MATCH(B1302,Assumptions!$A$16:$A$20,0)))</f>
        <v>50594.544</v>
      </c>
      <c r="J1302" s="33" t="n">
        <f aca="false">H1302-I1302</f>
        <v>6865.456</v>
      </c>
      <c r="K1302" s="33" t="n">
        <f aca="false">IF(OR(E1302=0,E1302&gt;=7),0,D1302/(7-E1302)*E1302*INDEX(Products!$E$2:$E$49,MATCH(C1302,Products!$A$2:$A$49,0)))</f>
        <v>0</v>
      </c>
    </row>
    <row r="1303" customFormat="false" ht="15" hidden="false" customHeight="false" outlineLevel="0" collapsed="false">
      <c r="A1303" s="36" t="n">
        <v>46125</v>
      </c>
      <c r="B1303" s="24" t="s">
        <v>62</v>
      </c>
      <c r="C1303" s="24" t="s">
        <v>123</v>
      </c>
      <c r="D1303" s="33" t="n">
        <v>160</v>
      </c>
      <c r="E1303" s="24" t="n">
        <v>0</v>
      </c>
      <c r="F1303" s="37" t="n">
        <f aca="false">DATE(YEAR(A1303),MONTH(A1303),1)</f>
        <v>46113</v>
      </c>
      <c r="G1303" s="24" t="str">
        <f aca="false">INDEX(Products!$C$2:$C$49,MATCH(C1303,Products!$A$2:$A$49,0))</f>
        <v>Grocery Staples</v>
      </c>
      <c r="H1303" s="33" t="n">
        <f aca="false">D1303*INDEX(Products!$E$2:$E$49,MATCH(C1303,Products!$A$2:$A$49,0))</f>
        <v>54400</v>
      </c>
      <c r="I1303" s="33" t="n">
        <f aca="false">D1303*INDEX(Products!$D$2:$D$49,MATCH(C1303,Products!$A$2:$A$49,0))*(1+INDEX(Assumptions!$B$16:$B$20,MATCH(B1303,Assumptions!$A$16:$A$20,0)))</f>
        <v>47900.16</v>
      </c>
      <c r="J1303" s="33" t="n">
        <f aca="false">H1303-I1303</f>
        <v>6499.84</v>
      </c>
      <c r="K1303" s="33" t="n">
        <f aca="false">IF(OR(E1303=0,E1303&gt;=7),0,D1303/(7-E1303)*E1303*INDEX(Products!$E$2:$E$49,MATCH(C1303,Products!$A$2:$A$49,0)))</f>
        <v>0</v>
      </c>
    </row>
    <row r="1304" customFormat="false" ht="15" hidden="false" customHeight="false" outlineLevel="0" collapsed="false">
      <c r="A1304" s="36" t="n">
        <v>46132</v>
      </c>
      <c r="B1304" s="24" t="s">
        <v>62</v>
      </c>
      <c r="C1304" s="24" t="s">
        <v>123</v>
      </c>
      <c r="D1304" s="33" t="n">
        <v>203</v>
      </c>
      <c r="E1304" s="24" t="n">
        <v>0</v>
      </c>
      <c r="F1304" s="37" t="n">
        <f aca="false">DATE(YEAR(A1304),MONTH(A1304),1)</f>
        <v>46113</v>
      </c>
      <c r="G1304" s="24" t="str">
        <f aca="false">INDEX(Products!$C$2:$C$49,MATCH(C1304,Products!$A$2:$A$49,0))</f>
        <v>Grocery Staples</v>
      </c>
      <c r="H1304" s="33" t="n">
        <f aca="false">D1304*INDEX(Products!$E$2:$E$49,MATCH(C1304,Products!$A$2:$A$49,0))</f>
        <v>69020</v>
      </c>
      <c r="I1304" s="33" t="n">
        <f aca="false">D1304*INDEX(Products!$D$2:$D$49,MATCH(C1304,Products!$A$2:$A$49,0))*(1+INDEX(Assumptions!$B$16:$B$20,MATCH(B1304,Assumptions!$A$16:$A$20,0)))</f>
        <v>60773.328</v>
      </c>
      <c r="J1304" s="33" t="n">
        <f aca="false">H1304-I1304</f>
        <v>8246.672</v>
      </c>
      <c r="K1304" s="33" t="n">
        <f aca="false">IF(OR(E1304=0,E1304&gt;=7),0,D1304/(7-E1304)*E1304*INDEX(Products!$E$2:$E$49,MATCH(C1304,Products!$A$2:$A$49,0)))</f>
        <v>0</v>
      </c>
    </row>
    <row r="1305" customFormat="false" ht="15" hidden="false" customHeight="false" outlineLevel="0" collapsed="false">
      <c r="A1305" s="36" t="n">
        <v>46139</v>
      </c>
      <c r="B1305" s="24" t="s">
        <v>62</v>
      </c>
      <c r="C1305" s="24" t="s">
        <v>123</v>
      </c>
      <c r="D1305" s="33" t="n">
        <v>182</v>
      </c>
      <c r="E1305" s="24" t="n">
        <v>0</v>
      </c>
      <c r="F1305" s="37" t="n">
        <f aca="false">DATE(YEAR(A1305),MONTH(A1305),1)</f>
        <v>46113</v>
      </c>
      <c r="G1305" s="24" t="str">
        <f aca="false">INDEX(Products!$C$2:$C$49,MATCH(C1305,Products!$A$2:$A$49,0))</f>
        <v>Grocery Staples</v>
      </c>
      <c r="H1305" s="33" t="n">
        <f aca="false">D1305*INDEX(Products!$E$2:$E$49,MATCH(C1305,Products!$A$2:$A$49,0))</f>
        <v>61880</v>
      </c>
      <c r="I1305" s="33" t="n">
        <f aca="false">D1305*INDEX(Products!$D$2:$D$49,MATCH(C1305,Products!$A$2:$A$49,0))*(1+INDEX(Assumptions!$B$16:$B$20,MATCH(B1305,Assumptions!$A$16:$A$20,0)))</f>
        <v>54486.432</v>
      </c>
      <c r="J1305" s="33" t="n">
        <f aca="false">H1305-I1305</f>
        <v>7393.568</v>
      </c>
      <c r="K1305" s="33" t="n">
        <f aca="false">IF(OR(E1305=0,E1305&gt;=7),0,D1305/(7-E1305)*E1305*INDEX(Products!$E$2:$E$49,MATCH(C1305,Products!$A$2:$A$49,0)))</f>
        <v>0</v>
      </c>
    </row>
    <row r="1306" customFormat="false" ht="15" hidden="false" customHeight="false" outlineLevel="0" collapsed="false">
      <c r="A1306" s="36" t="n">
        <v>46146</v>
      </c>
      <c r="B1306" s="24" t="s">
        <v>62</v>
      </c>
      <c r="C1306" s="24" t="s">
        <v>123</v>
      </c>
      <c r="D1306" s="33" t="n">
        <v>168</v>
      </c>
      <c r="E1306" s="24" t="n">
        <v>0</v>
      </c>
      <c r="F1306" s="37" t="n">
        <f aca="false">DATE(YEAR(A1306),MONTH(A1306),1)</f>
        <v>46143</v>
      </c>
      <c r="G1306" s="24" t="str">
        <f aca="false">INDEX(Products!$C$2:$C$49,MATCH(C1306,Products!$A$2:$A$49,0))</f>
        <v>Grocery Staples</v>
      </c>
      <c r="H1306" s="33" t="n">
        <f aca="false">D1306*INDEX(Products!$E$2:$E$49,MATCH(C1306,Products!$A$2:$A$49,0))</f>
        <v>57120</v>
      </c>
      <c r="I1306" s="33" t="n">
        <f aca="false">D1306*INDEX(Products!$D$2:$D$49,MATCH(C1306,Products!$A$2:$A$49,0))*(1+INDEX(Assumptions!$B$16:$B$20,MATCH(B1306,Assumptions!$A$16:$A$20,0)))</f>
        <v>50295.168</v>
      </c>
      <c r="J1306" s="33" t="n">
        <f aca="false">H1306-I1306</f>
        <v>6824.832</v>
      </c>
      <c r="K1306" s="33" t="n">
        <f aca="false">IF(OR(E1306=0,E1306&gt;=7),0,D1306/(7-E1306)*E1306*INDEX(Products!$E$2:$E$49,MATCH(C1306,Products!$A$2:$A$49,0)))</f>
        <v>0</v>
      </c>
    </row>
    <row r="1307" customFormat="false" ht="15" hidden="false" customHeight="false" outlineLevel="0" collapsed="false">
      <c r="A1307" s="36" t="n">
        <v>46153</v>
      </c>
      <c r="B1307" s="24" t="s">
        <v>62</v>
      </c>
      <c r="C1307" s="24" t="s">
        <v>123</v>
      </c>
      <c r="D1307" s="33" t="n">
        <v>174</v>
      </c>
      <c r="E1307" s="24" t="n">
        <v>0</v>
      </c>
      <c r="F1307" s="37" t="n">
        <f aca="false">DATE(YEAR(A1307),MONTH(A1307),1)</f>
        <v>46143</v>
      </c>
      <c r="G1307" s="24" t="str">
        <f aca="false">INDEX(Products!$C$2:$C$49,MATCH(C1307,Products!$A$2:$A$49,0))</f>
        <v>Grocery Staples</v>
      </c>
      <c r="H1307" s="33" t="n">
        <f aca="false">D1307*INDEX(Products!$E$2:$E$49,MATCH(C1307,Products!$A$2:$A$49,0))</f>
        <v>59160</v>
      </c>
      <c r="I1307" s="33" t="n">
        <f aca="false">D1307*INDEX(Products!$D$2:$D$49,MATCH(C1307,Products!$A$2:$A$49,0))*(1+INDEX(Assumptions!$B$16:$B$20,MATCH(B1307,Assumptions!$A$16:$A$20,0)))</f>
        <v>52091.424</v>
      </c>
      <c r="J1307" s="33" t="n">
        <f aca="false">H1307-I1307</f>
        <v>7068.576</v>
      </c>
      <c r="K1307" s="33" t="n">
        <f aca="false">IF(OR(E1307=0,E1307&gt;=7),0,D1307/(7-E1307)*E1307*INDEX(Products!$E$2:$E$49,MATCH(C1307,Products!$A$2:$A$49,0)))</f>
        <v>0</v>
      </c>
    </row>
    <row r="1308" customFormat="false" ht="15" hidden="false" customHeight="false" outlineLevel="0" collapsed="false">
      <c r="A1308" s="36" t="n">
        <v>46160</v>
      </c>
      <c r="B1308" s="24" t="s">
        <v>62</v>
      </c>
      <c r="C1308" s="24" t="s">
        <v>123</v>
      </c>
      <c r="D1308" s="33" t="n">
        <v>354</v>
      </c>
      <c r="E1308" s="24" t="n">
        <v>0</v>
      </c>
      <c r="F1308" s="37" t="n">
        <f aca="false">DATE(YEAR(A1308),MONTH(A1308),1)</f>
        <v>46143</v>
      </c>
      <c r="G1308" s="24" t="str">
        <f aca="false">INDEX(Products!$C$2:$C$49,MATCH(C1308,Products!$A$2:$A$49,0))</f>
        <v>Grocery Staples</v>
      </c>
      <c r="H1308" s="33" t="n">
        <f aca="false">D1308*INDEX(Products!$E$2:$E$49,MATCH(C1308,Products!$A$2:$A$49,0))</f>
        <v>120360</v>
      </c>
      <c r="I1308" s="33" t="n">
        <f aca="false">D1308*INDEX(Products!$D$2:$D$49,MATCH(C1308,Products!$A$2:$A$49,0))*(1+INDEX(Assumptions!$B$16:$B$20,MATCH(B1308,Assumptions!$A$16:$A$20,0)))</f>
        <v>105979.104</v>
      </c>
      <c r="J1308" s="33" t="n">
        <f aca="false">H1308-I1308</f>
        <v>14380.896</v>
      </c>
      <c r="K1308" s="33" t="n">
        <f aca="false">IF(OR(E1308=0,E1308&gt;=7),0,D1308/(7-E1308)*E1308*INDEX(Products!$E$2:$E$49,MATCH(C1308,Products!$A$2:$A$49,0)))</f>
        <v>0</v>
      </c>
    </row>
    <row r="1309" customFormat="false" ht="15" hidden="false" customHeight="false" outlineLevel="0" collapsed="false">
      <c r="A1309" s="36" t="n">
        <v>46167</v>
      </c>
      <c r="B1309" s="24" t="s">
        <v>62</v>
      </c>
      <c r="C1309" s="24" t="s">
        <v>123</v>
      </c>
      <c r="D1309" s="33" t="n">
        <v>213</v>
      </c>
      <c r="E1309" s="24" t="n">
        <v>0</v>
      </c>
      <c r="F1309" s="37" t="n">
        <f aca="false">DATE(YEAR(A1309),MONTH(A1309),1)</f>
        <v>46143</v>
      </c>
      <c r="G1309" s="24" t="str">
        <f aca="false">INDEX(Products!$C$2:$C$49,MATCH(C1309,Products!$A$2:$A$49,0))</f>
        <v>Grocery Staples</v>
      </c>
      <c r="H1309" s="33" t="n">
        <f aca="false">D1309*INDEX(Products!$E$2:$E$49,MATCH(C1309,Products!$A$2:$A$49,0))</f>
        <v>72420</v>
      </c>
      <c r="I1309" s="33" t="n">
        <f aca="false">D1309*INDEX(Products!$D$2:$D$49,MATCH(C1309,Products!$A$2:$A$49,0))*(1+INDEX(Assumptions!$B$16:$B$20,MATCH(B1309,Assumptions!$A$16:$A$20,0)))</f>
        <v>63767.088</v>
      </c>
      <c r="J1309" s="33" t="n">
        <f aca="false">H1309-I1309</f>
        <v>8652.912</v>
      </c>
      <c r="K1309" s="33" t="n">
        <f aca="false">IF(OR(E1309=0,E1309&gt;=7),0,D1309/(7-E1309)*E1309*INDEX(Products!$E$2:$E$49,MATCH(C1309,Products!$A$2:$A$49,0)))</f>
        <v>0</v>
      </c>
    </row>
    <row r="1310" customFormat="false" ht="15" hidden="false" customHeight="false" outlineLevel="0" collapsed="false">
      <c r="A1310" s="36" t="n">
        <v>46174</v>
      </c>
      <c r="B1310" s="24" t="s">
        <v>62</v>
      </c>
      <c r="C1310" s="24" t="s">
        <v>123</v>
      </c>
      <c r="D1310" s="33" t="n">
        <v>217</v>
      </c>
      <c r="E1310" s="24" t="n">
        <v>0</v>
      </c>
      <c r="F1310" s="37" t="n">
        <f aca="false">DATE(YEAR(A1310),MONTH(A1310),1)</f>
        <v>46174</v>
      </c>
      <c r="G1310" s="24" t="str">
        <f aca="false">INDEX(Products!$C$2:$C$49,MATCH(C1310,Products!$A$2:$A$49,0))</f>
        <v>Grocery Staples</v>
      </c>
      <c r="H1310" s="33" t="n">
        <f aca="false">D1310*INDEX(Products!$E$2:$E$49,MATCH(C1310,Products!$A$2:$A$49,0))</f>
        <v>73780</v>
      </c>
      <c r="I1310" s="33" t="n">
        <f aca="false">D1310*INDEX(Products!$D$2:$D$49,MATCH(C1310,Products!$A$2:$A$49,0))*(1+INDEX(Assumptions!$B$16:$B$20,MATCH(B1310,Assumptions!$A$16:$A$20,0)))</f>
        <v>64964.592</v>
      </c>
      <c r="J1310" s="33" t="n">
        <f aca="false">H1310-I1310</f>
        <v>8815.408</v>
      </c>
      <c r="K1310" s="33" t="n">
        <f aca="false">IF(OR(E1310=0,E1310&gt;=7),0,D1310/(7-E1310)*E1310*INDEX(Products!$E$2:$E$49,MATCH(C1310,Products!$A$2:$A$49,0)))</f>
        <v>0</v>
      </c>
    </row>
    <row r="1311" customFormat="false" ht="15" hidden="false" customHeight="false" outlineLevel="0" collapsed="false">
      <c r="A1311" s="36" t="n">
        <v>46181</v>
      </c>
      <c r="B1311" s="24" t="s">
        <v>62</v>
      </c>
      <c r="C1311" s="24" t="s">
        <v>123</v>
      </c>
      <c r="D1311" s="33" t="n">
        <v>189</v>
      </c>
      <c r="E1311" s="24" t="n">
        <v>0</v>
      </c>
      <c r="F1311" s="37" t="n">
        <f aca="false">DATE(YEAR(A1311),MONTH(A1311),1)</f>
        <v>46174</v>
      </c>
      <c r="G1311" s="24" t="str">
        <f aca="false">INDEX(Products!$C$2:$C$49,MATCH(C1311,Products!$A$2:$A$49,0))</f>
        <v>Grocery Staples</v>
      </c>
      <c r="H1311" s="33" t="n">
        <f aca="false">D1311*INDEX(Products!$E$2:$E$49,MATCH(C1311,Products!$A$2:$A$49,0))</f>
        <v>64260</v>
      </c>
      <c r="I1311" s="33" t="n">
        <f aca="false">D1311*INDEX(Products!$D$2:$D$49,MATCH(C1311,Products!$A$2:$A$49,0))*(1+INDEX(Assumptions!$B$16:$B$20,MATCH(B1311,Assumptions!$A$16:$A$20,0)))</f>
        <v>56582.064</v>
      </c>
      <c r="J1311" s="33" t="n">
        <f aca="false">H1311-I1311</f>
        <v>7677.936</v>
      </c>
      <c r="K1311" s="33" t="n">
        <f aca="false">IF(OR(E1311=0,E1311&gt;=7),0,D1311/(7-E1311)*E1311*INDEX(Products!$E$2:$E$49,MATCH(C1311,Products!$A$2:$A$49,0)))</f>
        <v>0</v>
      </c>
    </row>
    <row r="1312" customFormat="false" ht="15" hidden="false" customHeight="false" outlineLevel="0" collapsed="false">
      <c r="A1312" s="36" t="n">
        <v>46188</v>
      </c>
      <c r="B1312" s="24" t="s">
        <v>62</v>
      </c>
      <c r="C1312" s="24" t="s">
        <v>123</v>
      </c>
      <c r="D1312" s="33" t="n">
        <v>202</v>
      </c>
      <c r="E1312" s="24" t="n">
        <v>0</v>
      </c>
      <c r="F1312" s="37" t="n">
        <f aca="false">DATE(YEAR(A1312),MONTH(A1312),1)</f>
        <v>46174</v>
      </c>
      <c r="G1312" s="24" t="str">
        <f aca="false">INDEX(Products!$C$2:$C$49,MATCH(C1312,Products!$A$2:$A$49,0))</f>
        <v>Grocery Staples</v>
      </c>
      <c r="H1312" s="33" t="n">
        <f aca="false">D1312*INDEX(Products!$E$2:$E$49,MATCH(C1312,Products!$A$2:$A$49,0))</f>
        <v>68680</v>
      </c>
      <c r="I1312" s="33" t="n">
        <f aca="false">D1312*INDEX(Products!$D$2:$D$49,MATCH(C1312,Products!$A$2:$A$49,0))*(1+INDEX(Assumptions!$B$16:$B$20,MATCH(B1312,Assumptions!$A$16:$A$20,0)))</f>
        <v>60473.952</v>
      </c>
      <c r="J1312" s="33" t="n">
        <f aca="false">H1312-I1312</f>
        <v>8206.048</v>
      </c>
      <c r="K1312" s="33" t="n">
        <f aca="false">IF(OR(E1312=0,E1312&gt;=7),0,D1312/(7-E1312)*E1312*INDEX(Products!$E$2:$E$49,MATCH(C1312,Products!$A$2:$A$49,0)))</f>
        <v>0</v>
      </c>
    </row>
    <row r="1313" customFormat="false" ht="15" hidden="false" customHeight="false" outlineLevel="0" collapsed="false">
      <c r="A1313" s="36" t="n">
        <v>46195</v>
      </c>
      <c r="B1313" s="24" t="s">
        <v>62</v>
      </c>
      <c r="C1313" s="24" t="s">
        <v>123</v>
      </c>
      <c r="D1313" s="33" t="n">
        <v>227</v>
      </c>
      <c r="E1313" s="24" t="n">
        <v>0</v>
      </c>
      <c r="F1313" s="37" t="n">
        <f aca="false">DATE(YEAR(A1313),MONTH(A1313),1)</f>
        <v>46174</v>
      </c>
      <c r="G1313" s="24" t="str">
        <f aca="false">INDEX(Products!$C$2:$C$49,MATCH(C1313,Products!$A$2:$A$49,0))</f>
        <v>Grocery Staples</v>
      </c>
      <c r="H1313" s="33" t="n">
        <f aca="false">D1313*INDEX(Products!$E$2:$E$49,MATCH(C1313,Products!$A$2:$A$49,0))</f>
        <v>77180</v>
      </c>
      <c r="I1313" s="33" t="n">
        <f aca="false">D1313*INDEX(Products!$D$2:$D$49,MATCH(C1313,Products!$A$2:$A$49,0))*(1+INDEX(Assumptions!$B$16:$B$20,MATCH(B1313,Assumptions!$A$16:$A$20,0)))</f>
        <v>67958.352</v>
      </c>
      <c r="J1313" s="33" t="n">
        <f aca="false">H1313-I1313</f>
        <v>9221.648</v>
      </c>
      <c r="K1313" s="33" t="n">
        <f aca="false">IF(OR(E1313=0,E1313&gt;=7),0,D1313/(7-E1313)*E1313*INDEX(Products!$E$2:$E$49,MATCH(C1313,Products!$A$2:$A$49,0)))</f>
        <v>0</v>
      </c>
    </row>
    <row r="1314" customFormat="false" ht="15" hidden="false" customHeight="false" outlineLevel="0" collapsed="false">
      <c r="A1314" s="36" t="n">
        <v>46202</v>
      </c>
      <c r="B1314" s="24" t="s">
        <v>62</v>
      </c>
      <c r="C1314" s="24" t="s">
        <v>123</v>
      </c>
      <c r="D1314" s="33" t="n">
        <v>190</v>
      </c>
      <c r="E1314" s="24" t="n">
        <v>0</v>
      </c>
      <c r="F1314" s="37" t="n">
        <f aca="false">DATE(YEAR(A1314),MONTH(A1314),1)</f>
        <v>46174</v>
      </c>
      <c r="G1314" s="24" t="str">
        <f aca="false">INDEX(Products!$C$2:$C$49,MATCH(C1314,Products!$A$2:$A$49,0))</f>
        <v>Grocery Staples</v>
      </c>
      <c r="H1314" s="33" t="n">
        <f aca="false">D1314*INDEX(Products!$E$2:$E$49,MATCH(C1314,Products!$A$2:$A$49,0))</f>
        <v>64600</v>
      </c>
      <c r="I1314" s="33" t="n">
        <f aca="false">D1314*INDEX(Products!$D$2:$D$49,MATCH(C1314,Products!$A$2:$A$49,0))*(1+INDEX(Assumptions!$B$16:$B$20,MATCH(B1314,Assumptions!$A$16:$A$20,0)))</f>
        <v>56881.44</v>
      </c>
      <c r="J1314" s="33" t="n">
        <f aca="false">H1314-I1314</f>
        <v>7718.56</v>
      </c>
      <c r="K1314" s="33" t="n">
        <f aca="false">IF(OR(E1314=0,E1314&gt;=7),0,D1314/(7-E1314)*E1314*INDEX(Products!$E$2:$E$49,MATCH(C1314,Products!$A$2:$A$49,0)))</f>
        <v>0</v>
      </c>
    </row>
    <row r="1315" customFormat="false" ht="15" hidden="false" customHeight="false" outlineLevel="0" collapsed="false">
      <c r="A1315" s="36" t="n">
        <v>46209</v>
      </c>
      <c r="B1315" s="24" t="s">
        <v>62</v>
      </c>
      <c r="C1315" s="24" t="s">
        <v>123</v>
      </c>
      <c r="D1315" s="33" t="n">
        <v>175</v>
      </c>
      <c r="E1315" s="24" t="n">
        <v>0</v>
      </c>
      <c r="F1315" s="37" t="n">
        <f aca="false">DATE(YEAR(A1315),MONTH(A1315),1)</f>
        <v>46204</v>
      </c>
      <c r="G1315" s="24" t="str">
        <f aca="false">INDEX(Products!$C$2:$C$49,MATCH(C1315,Products!$A$2:$A$49,0))</f>
        <v>Grocery Staples</v>
      </c>
      <c r="H1315" s="33" t="n">
        <f aca="false">D1315*INDEX(Products!$E$2:$E$49,MATCH(C1315,Products!$A$2:$A$49,0))</f>
        <v>59500</v>
      </c>
      <c r="I1315" s="33" t="n">
        <f aca="false">D1315*INDEX(Products!$D$2:$D$49,MATCH(C1315,Products!$A$2:$A$49,0))*(1+INDEX(Assumptions!$B$16:$B$20,MATCH(B1315,Assumptions!$A$16:$A$20,0)))</f>
        <v>52390.8</v>
      </c>
      <c r="J1315" s="33" t="n">
        <f aca="false">H1315-I1315</f>
        <v>7109.2</v>
      </c>
      <c r="K1315" s="33" t="n">
        <f aca="false">IF(OR(E1315=0,E1315&gt;=7),0,D1315/(7-E1315)*E1315*INDEX(Products!$E$2:$E$49,MATCH(C1315,Products!$A$2:$A$49,0)))</f>
        <v>0</v>
      </c>
    </row>
    <row r="1316" customFormat="false" ht="15" hidden="false" customHeight="false" outlineLevel="0" collapsed="false">
      <c r="A1316" s="36" t="n">
        <v>46216</v>
      </c>
      <c r="B1316" s="24" t="s">
        <v>62</v>
      </c>
      <c r="C1316" s="24" t="s">
        <v>123</v>
      </c>
      <c r="D1316" s="33" t="n">
        <v>198</v>
      </c>
      <c r="E1316" s="24" t="n">
        <v>0</v>
      </c>
      <c r="F1316" s="37" t="n">
        <f aca="false">DATE(YEAR(A1316),MONTH(A1316),1)</f>
        <v>46204</v>
      </c>
      <c r="G1316" s="24" t="str">
        <f aca="false">INDEX(Products!$C$2:$C$49,MATCH(C1316,Products!$A$2:$A$49,0))</f>
        <v>Grocery Staples</v>
      </c>
      <c r="H1316" s="33" t="n">
        <f aca="false">D1316*INDEX(Products!$E$2:$E$49,MATCH(C1316,Products!$A$2:$A$49,0))</f>
        <v>67320</v>
      </c>
      <c r="I1316" s="33" t="n">
        <f aca="false">D1316*INDEX(Products!$D$2:$D$49,MATCH(C1316,Products!$A$2:$A$49,0))*(1+INDEX(Assumptions!$B$16:$B$20,MATCH(B1316,Assumptions!$A$16:$A$20,0)))</f>
        <v>59276.448</v>
      </c>
      <c r="J1316" s="33" t="n">
        <f aca="false">H1316-I1316</f>
        <v>8043.552</v>
      </c>
      <c r="K1316" s="33" t="n">
        <f aca="false">IF(OR(E1316=0,E1316&gt;=7),0,D1316/(7-E1316)*E1316*INDEX(Products!$E$2:$E$49,MATCH(C1316,Products!$A$2:$A$49,0)))</f>
        <v>0</v>
      </c>
    </row>
    <row r="1317" customFormat="false" ht="15" hidden="false" customHeight="false" outlineLevel="0" collapsed="false">
      <c r="A1317" s="36" t="n">
        <v>46223</v>
      </c>
      <c r="B1317" s="24" t="s">
        <v>62</v>
      </c>
      <c r="C1317" s="24" t="s">
        <v>123</v>
      </c>
      <c r="D1317" s="33" t="n">
        <v>204</v>
      </c>
      <c r="E1317" s="24" t="n">
        <v>0</v>
      </c>
      <c r="F1317" s="37" t="n">
        <f aca="false">DATE(YEAR(A1317),MONTH(A1317),1)</f>
        <v>46204</v>
      </c>
      <c r="G1317" s="24" t="str">
        <f aca="false">INDEX(Products!$C$2:$C$49,MATCH(C1317,Products!$A$2:$A$49,0))</f>
        <v>Grocery Staples</v>
      </c>
      <c r="H1317" s="33" t="n">
        <f aca="false">D1317*INDEX(Products!$E$2:$E$49,MATCH(C1317,Products!$A$2:$A$49,0))</f>
        <v>69360</v>
      </c>
      <c r="I1317" s="33" t="n">
        <f aca="false">D1317*INDEX(Products!$D$2:$D$49,MATCH(C1317,Products!$A$2:$A$49,0))*(1+INDEX(Assumptions!$B$16:$B$20,MATCH(B1317,Assumptions!$A$16:$A$20,0)))</f>
        <v>61072.704</v>
      </c>
      <c r="J1317" s="33" t="n">
        <f aca="false">H1317-I1317</f>
        <v>8287.296</v>
      </c>
      <c r="K1317" s="33" t="n">
        <f aca="false">IF(OR(E1317=0,E1317&gt;=7),0,D1317/(7-E1317)*E1317*INDEX(Products!$E$2:$E$49,MATCH(C1317,Products!$A$2:$A$49,0)))</f>
        <v>0</v>
      </c>
    </row>
    <row r="1318" customFormat="false" ht="15" hidden="false" customHeight="false" outlineLevel="0" collapsed="false">
      <c r="A1318" s="36" t="n">
        <v>46230</v>
      </c>
      <c r="B1318" s="24" t="s">
        <v>62</v>
      </c>
      <c r="C1318" s="24" t="s">
        <v>123</v>
      </c>
      <c r="D1318" s="33" t="n">
        <v>207</v>
      </c>
      <c r="E1318" s="24" t="n">
        <v>0</v>
      </c>
      <c r="F1318" s="37" t="n">
        <f aca="false">DATE(YEAR(A1318),MONTH(A1318),1)</f>
        <v>46204</v>
      </c>
      <c r="G1318" s="24" t="str">
        <f aca="false">INDEX(Products!$C$2:$C$49,MATCH(C1318,Products!$A$2:$A$49,0))</f>
        <v>Grocery Staples</v>
      </c>
      <c r="H1318" s="33" t="n">
        <f aca="false">D1318*INDEX(Products!$E$2:$E$49,MATCH(C1318,Products!$A$2:$A$49,0))</f>
        <v>70380</v>
      </c>
      <c r="I1318" s="33" t="n">
        <f aca="false">D1318*INDEX(Products!$D$2:$D$49,MATCH(C1318,Products!$A$2:$A$49,0))*(1+INDEX(Assumptions!$B$16:$B$20,MATCH(B1318,Assumptions!$A$16:$A$20,0)))</f>
        <v>61970.832</v>
      </c>
      <c r="J1318" s="33" t="n">
        <f aca="false">H1318-I1318</f>
        <v>8409.168</v>
      </c>
      <c r="K1318" s="33" t="n">
        <f aca="false">IF(OR(E1318=0,E1318&gt;=7),0,D1318/(7-E1318)*E1318*INDEX(Products!$E$2:$E$49,MATCH(C1318,Products!$A$2:$A$49,0)))</f>
        <v>0</v>
      </c>
    </row>
    <row r="1319" customFormat="false" ht="15" hidden="false" customHeight="false" outlineLevel="0" collapsed="false">
      <c r="A1319" s="36" t="n">
        <v>46237</v>
      </c>
      <c r="B1319" s="24" t="s">
        <v>62</v>
      </c>
      <c r="C1319" s="24" t="s">
        <v>123</v>
      </c>
      <c r="D1319" s="33" t="n">
        <v>198</v>
      </c>
      <c r="E1319" s="24" t="n">
        <v>0</v>
      </c>
      <c r="F1319" s="37" t="n">
        <f aca="false">DATE(YEAR(A1319),MONTH(A1319),1)</f>
        <v>46235</v>
      </c>
      <c r="G1319" s="24" t="str">
        <f aca="false">INDEX(Products!$C$2:$C$49,MATCH(C1319,Products!$A$2:$A$49,0))</f>
        <v>Grocery Staples</v>
      </c>
      <c r="H1319" s="33" t="n">
        <f aca="false">D1319*INDEX(Products!$E$2:$E$49,MATCH(C1319,Products!$A$2:$A$49,0))</f>
        <v>67320</v>
      </c>
      <c r="I1319" s="33" t="n">
        <f aca="false">D1319*INDEX(Products!$D$2:$D$49,MATCH(C1319,Products!$A$2:$A$49,0))*(1+INDEX(Assumptions!$B$16:$B$20,MATCH(B1319,Assumptions!$A$16:$A$20,0)))</f>
        <v>59276.448</v>
      </c>
      <c r="J1319" s="33" t="n">
        <f aca="false">H1319-I1319</f>
        <v>8043.552</v>
      </c>
      <c r="K1319" s="33" t="n">
        <f aca="false">IF(OR(E1319=0,E1319&gt;=7),0,D1319/(7-E1319)*E1319*INDEX(Products!$E$2:$E$49,MATCH(C1319,Products!$A$2:$A$49,0)))</f>
        <v>0</v>
      </c>
    </row>
    <row r="1320" customFormat="false" ht="15" hidden="false" customHeight="false" outlineLevel="0" collapsed="false">
      <c r="A1320" s="36" t="n">
        <v>46244</v>
      </c>
      <c r="B1320" s="24" t="s">
        <v>62</v>
      </c>
      <c r="C1320" s="24" t="s">
        <v>123</v>
      </c>
      <c r="D1320" s="33" t="n">
        <v>190</v>
      </c>
      <c r="E1320" s="24" t="n">
        <v>0</v>
      </c>
      <c r="F1320" s="37" t="n">
        <f aca="false">DATE(YEAR(A1320),MONTH(A1320),1)</f>
        <v>46235</v>
      </c>
      <c r="G1320" s="24" t="str">
        <f aca="false">INDEX(Products!$C$2:$C$49,MATCH(C1320,Products!$A$2:$A$49,0))</f>
        <v>Grocery Staples</v>
      </c>
      <c r="H1320" s="33" t="n">
        <f aca="false">D1320*INDEX(Products!$E$2:$E$49,MATCH(C1320,Products!$A$2:$A$49,0))</f>
        <v>64600</v>
      </c>
      <c r="I1320" s="33" t="n">
        <f aca="false">D1320*INDEX(Products!$D$2:$D$49,MATCH(C1320,Products!$A$2:$A$49,0))*(1+INDEX(Assumptions!$B$16:$B$20,MATCH(B1320,Assumptions!$A$16:$A$20,0)))</f>
        <v>56881.44</v>
      </c>
      <c r="J1320" s="33" t="n">
        <f aca="false">H1320-I1320</f>
        <v>7718.56</v>
      </c>
      <c r="K1320" s="33" t="n">
        <f aca="false">IF(OR(E1320=0,E1320&gt;=7),0,D1320/(7-E1320)*E1320*INDEX(Products!$E$2:$E$49,MATCH(C1320,Products!$A$2:$A$49,0)))</f>
        <v>0</v>
      </c>
    </row>
    <row r="1321" customFormat="false" ht="15" hidden="false" customHeight="false" outlineLevel="0" collapsed="false">
      <c r="A1321" s="36" t="n">
        <v>46251</v>
      </c>
      <c r="B1321" s="24" t="s">
        <v>62</v>
      </c>
      <c r="C1321" s="24" t="s">
        <v>123</v>
      </c>
      <c r="D1321" s="33" t="n">
        <v>227</v>
      </c>
      <c r="E1321" s="24" t="n">
        <v>0</v>
      </c>
      <c r="F1321" s="37" t="n">
        <f aca="false">DATE(YEAR(A1321),MONTH(A1321),1)</f>
        <v>46235</v>
      </c>
      <c r="G1321" s="24" t="str">
        <f aca="false">INDEX(Products!$C$2:$C$49,MATCH(C1321,Products!$A$2:$A$49,0))</f>
        <v>Grocery Staples</v>
      </c>
      <c r="H1321" s="33" t="n">
        <f aca="false">D1321*INDEX(Products!$E$2:$E$49,MATCH(C1321,Products!$A$2:$A$49,0))</f>
        <v>77180</v>
      </c>
      <c r="I1321" s="33" t="n">
        <f aca="false">D1321*INDEX(Products!$D$2:$D$49,MATCH(C1321,Products!$A$2:$A$49,0))*(1+INDEX(Assumptions!$B$16:$B$20,MATCH(B1321,Assumptions!$A$16:$A$20,0)))</f>
        <v>67958.352</v>
      </c>
      <c r="J1321" s="33" t="n">
        <f aca="false">H1321-I1321</f>
        <v>9221.648</v>
      </c>
      <c r="K1321" s="33" t="n">
        <f aca="false">IF(OR(E1321=0,E1321&gt;=7),0,D1321/(7-E1321)*E1321*INDEX(Products!$E$2:$E$49,MATCH(C1321,Products!$A$2:$A$49,0)))</f>
        <v>0</v>
      </c>
    </row>
    <row r="1322" customFormat="false" ht="15" hidden="false" customHeight="false" outlineLevel="0" collapsed="false">
      <c r="A1322" s="36" t="n">
        <v>46258</v>
      </c>
      <c r="B1322" s="24" t="s">
        <v>62</v>
      </c>
      <c r="C1322" s="24" t="s">
        <v>123</v>
      </c>
      <c r="D1322" s="33" t="n">
        <v>252</v>
      </c>
      <c r="E1322" s="24" t="n">
        <v>0</v>
      </c>
      <c r="F1322" s="37" t="n">
        <f aca="false">DATE(YEAR(A1322),MONTH(A1322),1)</f>
        <v>46235</v>
      </c>
      <c r="G1322" s="24" t="str">
        <f aca="false">INDEX(Products!$C$2:$C$49,MATCH(C1322,Products!$A$2:$A$49,0))</f>
        <v>Grocery Staples</v>
      </c>
      <c r="H1322" s="33" t="n">
        <f aca="false">D1322*INDEX(Products!$E$2:$E$49,MATCH(C1322,Products!$A$2:$A$49,0))</f>
        <v>85680</v>
      </c>
      <c r="I1322" s="33" t="n">
        <f aca="false">D1322*INDEX(Products!$D$2:$D$49,MATCH(C1322,Products!$A$2:$A$49,0))*(1+INDEX(Assumptions!$B$16:$B$20,MATCH(B1322,Assumptions!$A$16:$A$20,0)))</f>
        <v>75442.752</v>
      </c>
      <c r="J1322" s="33" t="n">
        <f aca="false">H1322-I1322</f>
        <v>10237.248</v>
      </c>
      <c r="K1322" s="33" t="n">
        <f aca="false">IF(OR(E1322=0,E1322&gt;=7),0,D1322/(7-E1322)*E1322*INDEX(Products!$E$2:$E$49,MATCH(C1322,Products!$A$2:$A$49,0)))</f>
        <v>0</v>
      </c>
    </row>
    <row r="1323" customFormat="false" ht="15" hidden="false" customHeight="false" outlineLevel="0" collapsed="false">
      <c r="A1323" s="36" t="n">
        <v>46265</v>
      </c>
      <c r="B1323" s="24" t="s">
        <v>62</v>
      </c>
      <c r="C1323" s="24" t="s">
        <v>123</v>
      </c>
      <c r="D1323" s="33" t="n">
        <v>257</v>
      </c>
      <c r="E1323" s="24" t="n">
        <v>0</v>
      </c>
      <c r="F1323" s="37" t="n">
        <f aca="false">DATE(YEAR(A1323),MONTH(A1323),1)</f>
        <v>46235</v>
      </c>
      <c r="G1323" s="24" t="str">
        <f aca="false">INDEX(Products!$C$2:$C$49,MATCH(C1323,Products!$A$2:$A$49,0))</f>
        <v>Grocery Staples</v>
      </c>
      <c r="H1323" s="33" t="n">
        <f aca="false">D1323*INDEX(Products!$E$2:$E$49,MATCH(C1323,Products!$A$2:$A$49,0))</f>
        <v>87380</v>
      </c>
      <c r="I1323" s="33" t="n">
        <f aca="false">D1323*INDEX(Products!$D$2:$D$49,MATCH(C1323,Products!$A$2:$A$49,0))*(1+INDEX(Assumptions!$B$16:$B$20,MATCH(B1323,Assumptions!$A$16:$A$20,0)))</f>
        <v>76939.632</v>
      </c>
      <c r="J1323" s="33" t="n">
        <f aca="false">H1323-I1323</f>
        <v>10440.368</v>
      </c>
      <c r="K1323" s="33" t="n">
        <f aca="false">IF(OR(E1323=0,E1323&gt;=7),0,D1323/(7-E1323)*E1323*INDEX(Products!$E$2:$E$49,MATCH(C1323,Products!$A$2:$A$49,0)))</f>
        <v>0</v>
      </c>
    </row>
    <row r="1324" customFormat="false" ht="15" hidden="false" customHeight="false" outlineLevel="0" collapsed="false">
      <c r="A1324" s="36" t="n">
        <v>46272</v>
      </c>
      <c r="B1324" s="24" t="s">
        <v>62</v>
      </c>
      <c r="C1324" s="24" t="s">
        <v>123</v>
      </c>
      <c r="D1324" s="33" t="n">
        <v>237</v>
      </c>
      <c r="E1324" s="24" t="n">
        <v>0</v>
      </c>
      <c r="F1324" s="37" t="n">
        <f aca="false">DATE(YEAR(A1324),MONTH(A1324),1)</f>
        <v>46266</v>
      </c>
      <c r="G1324" s="24" t="str">
        <f aca="false">INDEX(Products!$C$2:$C$49,MATCH(C1324,Products!$A$2:$A$49,0))</f>
        <v>Grocery Staples</v>
      </c>
      <c r="H1324" s="33" t="n">
        <f aca="false">D1324*INDEX(Products!$E$2:$E$49,MATCH(C1324,Products!$A$2:$A$49,0))</f>
        <v>80580</v>
      </c>
      <c r="I1324" s="33" t="n">
        <f aca="false">D1324*INDEX(Products!$D$2:$D$49,MATCH(C1324,Products!$A$2:$A$49,0))*(1+INDEX(Assumptions!$B$16:$B$20,MATCH(B1324,Assumptions!$A$16:$A$20,0)))</f>
        <v>70952.112</v>
      </c>
      <c r="J1324" s="33" t="n">
        <f aca="false">H1324-I1324</f>
        <v>9627.88800000001</v>
      </c>
      <c r="K1324" s="33" t="n">
        <f aca="false">IF(OR(E1324=0,E1324&gt;=7),0,D1324/(7-E1324)*E1324*INDEX(Products!$E$2:$E$49,MATCH(C1324,Products!$A$2:$A$49,0)))</f>
        <v>0</v>
      </c>
    </row>
    <row r="1325" customFormat="false" ht="15" hidden="false" customHeight="false" outlineLevel="0" collapsed="false">
      <c r="A1325" s="36" t="n">
        <v>46279</v>
      </c>
      <c r="B1325" s="24" t="s">
        <v>62</v>
      </c>
      <c r="C1325" s="24" t="s">
        <v>123</v>
      </c>
      <c r="D1325" s="33" t="n">
        <v>228</v>
      </c>
      <c r="E1325" s="24" t="n">
        <v>0</v>
      </c>
      <c r="F1325" s="37" t="n">
        <f aca="false">DATE(YEAR(A1325),MONTH(A1325),1)</f>
        <v>46266</v>
      </c>
      <c r="G1325" s="24" t="str">
        <f aca="false">INDEX(Products!$C$2:$C$49,MATCH(C1325,Products!$A$2:$A$49,0))</f>
        <v>Grocery Staples</v>
      </c>
      <c r="H1325" s="33" t="n">
        <f aca="false">D1325*INDEX(Products!$E$2:$E$49,MATCH(C1325,Products!$A$2:$A$49,0))</f>
        <v>77520</v>
      </c>
      <c r="I1325" s="33" t="n">
        <f aca="false">D1325*INDEX(Products!$D$2:$D$49,MATCH(C1325,Products!$A$2:$A$49,0))*(1+INDEX(Assumptions!$B$16:$B$20,MATCH(B1325,Assumptions!$A$16:$A$20,0)))</f>
        <v>68257.728</v>
      </c>
      <c r="J1325" s="33" t="n">
        <f aca="false">H1325-I1325</f>
        <v>9262.272</v>
      </c>
      <c r="K1325" s="33" t="n">
        <f aca="false">IF(OR(E1325=0,E1325&gt;=7),0,D1325/(7-E1325)*E1325*INDEX(Products!$E$2:$E$49,MATCH(C1325,Products!$A$2:$A$49,0)))</f>
        <v>0</v>
      </c>
    </row>
    <row r="1326" customFormat="false" ht="15" hidden="false" customHeight="false" outlineLevel="0" collapsed="false">
      <c r="A1326" s="36" t="n">
        <v>46286</v>
      </c>
      <c r="B1326" s="24" t="s">
        <v>62</v>
      </c>
      <c r="C1326" s="24" t="s">
        <v>123</v>
      </c>
      <c r="D1326" s="33" t="n">
        <v>293</v>
      </c>
      <c r="E1326" s="24" t="n">
        <v>0</v>
      </c>
      <c r="F1326" s="37" t="n">
        <f aca="false">DATE(YEAR(A1326),MONTH(A1326),1)</f>
        <v>46266</v>
      </c>
      <c r="G1326" s="24" t="str">
        <f aca="false">INDEX(Products!$C$2:$C$49,MATCH(C1326,Products!$A$2:$A$49,0))</f>
        <v>Grocery Staples</v>
      </c>
      <c r="H1326" s="33" t="n">
        <f aca="false">D1326*INDEX(Products!$E$2:$E$49,MATCH(C1326,Products!$A$2:$A$49,0))</f>
        <v>99620</v>
      </c>
      <c r="I1326" s="33" t="n">
        <f aca="false">D1326*INDEX(Products!$D$2:$D$49,MATCH(C1326,Products!$A$2:$A$49,0))*(1+INDEX(Assumptions!$B$16:$B$20,MATCH(B1326,Assumptions!$A$16:$A$20,0)))</f>
        <v>87717.168</v>
      </c>
      <c r="J1326" s="33" t="n">
        <f aca="false">H1326-I1326</f>
        <v>11902.832</v>
      </c>
      <c r="K1326" s="33" t="n">
        <f aca="false">IF(OR(E1326=0,E1326&gt;=7),0,D1326/(7-E1326)*E1326*INDEX(Products!$E$2:$E$49,MATCH(C1326,Products!$A$2:$A$49,0)))</f>
        <v>0</v>
      </c>
    </row>
    <row r="1327" customFormat="false" ht="15" hidden="false" customHeight="false" outlineLevel="0" collapsed="false">
      <c r="A1327" s="36" t="n">
        <v>46118</v>
      </c>
      <c r="B1327" s="24" t="s">
        <v>62</v>
      </c>
      <c r="C1327" s="24" t="s">
        <v>125</v>
      </c>
      <c r="D1327" s="33" t="n">
        <v>37</v>
      </c>
      <c r="E1327" s="24" t="n">
        <v>0</v>
      </c>
      <c r="F1327" s="37" t="n">
        <f aca="false">DATE(YEAR(A1327),MONTH(A1327),1)</f>
        <v>46113</v>
      </c>
      <c r="G1327" s="24" t="str">
        <f aca="false">INDEX(Products!$C$2:$C$49,MATCH(C1327,Products!$A$2:$A$49,0))</f>
        <v>Grocery Staples</v>
      </c>
      <c r="H1327" s="33" t="n">
        <f aca="false">D1327*INDEX(Products!$E$2:$E$49,MATCH(C1327,Products!$A$2:$A$49,0))</f>
        <v>1665</v>
      </c>
      <c r="I1327" s="33" t="n">
        <f aca="false">D1327*INDEX(Products!$D$2:$D$49,MATCH(C1327,Products!$A$2:$A$49,0))*(1+INDEX(Assumptions!$B$16:$B$20,MATCH(B1327,Assumptions!$A$16:$A$20,0)))</f>
        <v>1491.84</v>
      </c>
      <c r="J1327" s="33" t="n">
        <f aca="false">H1327-I1327</f>
        <v>173.16</v>
      </c>
      <c r="K1327" s="33" t="n">
        <f aca="false">IF(OR(E1327=0,E1327&gt;=7),0,D1327/(7-E1327)*E1327*INDEX(Products!$E$2:$E$49,MATCH(C1327,Products!$A$2:$A$49,0)))</f>
        <v>0</v>
      </c>
    </row>
    <row r="1328" customFormat="false" ht="15" hidden="false" customHeight="false" outlineLevel="0" collapsed="false">
      <c r="A1328" s="36" t="n">
        <v>46125</v>
      </c>
      <c r="B1328" s="24" t="s">
        <v>62</v>
      </c>
      <c r="C1328" s="24" t="s">
        <v>125</v>
      </c>
      <c r="D1328" s="33" t="n">
        <v>36</v>
      </c>
      <c r="E1328" s="24" t="n">
        <v>0</v>
      </c>
      <c r="F1328" s="37" t="n">
        <f aca="false">DATE(YEAR(A1328),MONTH(A1328),1)</f>
        <v>46113</v>
      </c>
      <c r="G1328" s="24" t="str">
        <f aca="false">INDEX(Products!$C$2:$C$49,MATCH(C1328,Products!$A$2:$A$49,0))</f>
        <v>Grocery Staples</v>
      </c>
      <c r="H1328" s="33" t="n">
        <f aca="false">D1328*INDEX(Products!$E$2:$E$49,MATCH(C1328,Products!$A$2:$A$49,0))</f>
        <v>1620</v>
      </c>
      <c r="I1328" s="33" t="n">
        <f aca="false">D1328*INDEX(Products!$D$2:$D$49,MATCH(C1328,Products!$A$2:$A$49,0))*(1+INDEX(Assumptions!$B$16:$B$20,MATCH(B1328,Assumptions!$A$16:$A$20,0)))</f>
        <v>1451.52</v>
      </c>
      <c r="J1328" s="33" t="n">
        <f aca="false">H1328-I1328</f>
        <v>168.48</v>
      </c>
      <c r="K1328" s="33" t="n">
        <f aca="false">IF(OR(E1328=0,E1328&gt;=7),0,D1328/(7-E1328)*E1328*INDEX(Products!$E$2:$E$49,MATCH(C1328,Products!$A$2:$A$49,0)))</f>
        <v>0</v>
      </c>
    </row>
    <row r="1329" customFormat="false" ht="15" hidden="false" customHeight="false" outlineLevel="0" collapsed="false">
      <c r="A1329" s="36" t="n">
        <v>46132</v>
      </c>
      <c r="B1329" s="24" t="s">
        <v>62</v>
      </c>
      <c r="C1329" s="24" t="s">
        <v>125</v>
      </c>
      <c r="D1329" s="33" t="n">
        <v>51</v>
      </c>
      <c r="E1329" s="24" t="n">
        <v>0</v>
      </c>
      <c r="F1329" s="37" t="n">
        <f aca="false">DATE(YEAR(A1329),MONTH(A1329),1)</f>
        <v>46113</v>
      </c>
      <c r="G1329" s="24" t="str">
        <f aca="false">INDEX(Products!$C$2:$C$49,MATCH(C1329,Products!$A$2:$A$49,0))</f>
        <v>Grocery Staples</v>
      </c>
      <c r="H1329" s="33" t="n">
        <f aca="false">D1329*INDEX(Products!$E$2:$E$49,MATCH(C1329,Products!$A$2:$A$49,0))</f>
        <v>2295</v>
      </c>
      <c r="I1329" s="33" t="n">
        <f aca="false">D1329*INDEX(Products!$D$2:$D$49,MATCH(C1329,Products!$A$2:$A$49,0))*(1+INDEX(Assumptions!$B$16:$B$20,MATCH(B1329,Assumptions!$A$16:$A$20,0)))</f>
        <v>2056.32</v>
      </c>
      <c r="J1329" s="33" t="n">
        <f aca="false">H1329-I1329</f>
        <v>238.68</v>
      </c>
      <c r="K1329" s="33" t="n">
        <f aca="false">IF(OR(E1329=0,E1329&gt;=7),0,D1329/(7-E1329)*E1329*INDEX(Products!$E$2:$E$49,MATCH(C1329,Products!$A$2:$A$49,0)))</f>
        <v>0</v>
      </c>
    </row>
    <row r="1330" customFormat="false" ht="15" hidden="false" customHeight="false" outlineLevel="0" collapsed="false">
      <c r="A1330" s="36" t="n">
        <v>46139</v>
      </c>
      <c r="B1330" s="24" t="s">
        <v>62</v>
      </c>
      <c r="C1330" s="24" t="s">
        <v>125</v>
      </c>
      <c r="D1330" s="33" t="n">
        <v>50</v>
      </c>
      <c r="E1330" s="24" t="n">
        <v>0</v>
      </c>
      <c r="F1330" s="37" t="n">
        <f aca="false">DATE(YEAR(A1330),MONTH(A1330),1)</f>
        <v>46113</v>
      </c>
      <c r="G1330" s="24" t="str">
        <f aca="false">INDEX(Products!$C$2:$C$49,MATCH(C1330,Products!$A$2:$A$49,0))</f>
        <v>Grocery Staples</v>
      </c>
      <c r="H1330" s="33" t="n">
        <f aca="false">D1330*INDEX(Products!$E$2:$E$49,MATCH(C1330,Products!$A$2:$A$49,0))</f>
        <v>2250</v>
      </c>
      <c r="I1330" s="33" t="n">
        <f aca="false">D1330*INDEX(Products!$D$2:$D$49,MATCH(C1330,Products!$A$2:$A$49,0))*(1+INDEX(Assumptions!$B$16:$B$20,MATCH(B1330,Assumptions!$A$16:$A$20,0)))</f>
        <v>2016</v>
      </c>
      <c r="J1330" s="33" t="n">
        <f aca="false">H1330-I1330</f>
        <v>234</v>
      </c>
      <c r="K1330" s="33" t="n">
        <f aca="false">IF(OR(E1330=0,E1330&gt;=7),0,D1330/(7-E1330)*E1330*INDEX(Products!$E$2:$E$49,MATCH(C1330,Products!$A$2:$A$49,0)))</f>
        <v>0</v>
      </c>
    </row>
    <row r="1331" customFormat="false" ht="15" hidden="false" customHeight="false" outlineLevel="0" collapsed="false">
      <c r="A1331" s="36" t="n">
        <v>46146</v>
      </c>
      <c r="B1331" s="24" t="s">
        <v>62</v>
      </c>
      <c r="C1331" s="24" t="s">
        <v>125</v>
      </c>
      <c r="D1331" s="33" t="n">
        <v>12</v>
      </c>
      <c r="E1331" s="24" t="n">
        <v>5</v>
      </c>
      <c r="F1331" s="37" t="n">
        <f aca="false">DATE(YEAR(A1331),MONTH(A1331),1)</f>
        <v>46143</v>
      </c>
      <c r="G1331" s="24" t="str">
        <f aca="false">INDEX(Products!$C$2:$C$49,MATCH(C1331,Products!$A$2:$A$49,0))</f>
        <v>Grocery Staples</v>
      </c>
      <c r="H1331" s="33" t="n">
        <f aca="false">D1331*INDEX(Products!$E$2:$E$49,MATCH(C1331,Products!$A$2:$A$49,0))</f>
        <v>540</v>
      </c>
      <c r="I1331" s="33" t="n">
        <f aca="false">D1331*INDEX(Products!$D$2:$D$49,MATCH(C1331,Products!$A$2:$A$49,0))*(1+INDEX(Assumptions!$B$16:$B$20,MATCH(B1331,Assumptions!$A$16:$A$20,0)))</f>
        <v>483.84</v>
      </c>
      <c r="J1331" s="33" t="n">
        <f aca="false">H1331-I1331</f>
        <v>56.16</v>
      </c>
      <c r="K1331" s="33" t="n">
        <f aca="false">IF(OR(E1331=0,E1331&gt;=7),0,D1331/(7-E1331)*E1331*INDEX(Products!$E$2:$E$49,MATCH(C1331,Products!$A$2:$A$49,0)))</f>
        <v>1350</v>
      </c>
    </row>
    <row r="1332" customFormat="false" ht="15" hidden="false" customHeight="false" outlineLevel="0" collapsed="false">
      <c r="A1332" s="36" t="n">
        <v>46153</v>
      </c>
      <c r="B1332" s="24" t="s">
        <v>62</v>
      </c>
      <c r="C1332" s="24" t="s">
        <v>125</v>
      </c>
      <c r="D1332" s="33" t="n">
        <v>22</v>
      </c>
      <c r="E1332" s="24" t="n">
        <v>3</v>
      </c>
      <c r="F1332" s="37" t="n">
        <f aca="false">DATE(YEAR(A1332),MONTH(A1332),1)</f>
        <v>46143</v>
      </c>
      <c r="G1332" s="24" t="str">
        <f aca="false">INDEX(Products!$C$2:$C$49,MATCH(C1332,Products!$A$2:$A$49,0))</f>
        <v>Grocery Staples</v>
      </c>
      <c r="H1332" s="33" t="n">
        <f aca="false">D1332*INDEX(Products!$E$2:$E$49,MATCH(C1332,Products!$A$2:$A$49,0))</f>
        <v>990</v>
      </c>
      <c r="I1332" s="33" t="n">
        <f aca="false">D1332*INDEX(Products!$D$2:$D$49,MATCH(C1332,Products!$A$2:$A$49,0))*(1+INDEX(Assumptions!$B$16:$B$20,MATCH(B1332,Assumptions!$A$16:$A$20,0)))</f>
        <v>887.04</v>
      </c>
      <c r="J1332" s="33" t="n">
        <f aca="false">H1332-I1332</f>
        <v>102.96</v>
      </c>
      <c r="K1332" s="33" t="n">
        <f aca="false">IF(OR(E1332=0,E1332&gt;=7),0,D1332/(7-E1332)*E1332*INDEX(Products!$E$2:$E$49,MATCH(C1332,Products!$A$2:$A$49,0)))</f>
        <v>742.5</v>
      </c>
    </row>
    <row r="1333" customFormat="false" ht="15" hidden="false" customHeight="false" outlineLevel="0" collapsed="false">
      <c r="A1333" s="36" t="n">
        <v>46160</v>
      </c>
      <c r="B1333" s="24" t="s">
        <v>62</v>
      </c>
      <c r="C1333" s="24" t="s">
        <v>125</v>
      </c>
      <c r="D1333" s="33" t="n">
        <v>48</v>
      </c>
      <c r="E1333" s="24" t="n">
        <v>0</v>
      </c>
      <c r="F1333" s="37" t="n">
        <f aca="false">DATE(YEAR(A1333),MONTH(A1333),1)</f>
        <v>46143</v>
      </c>
      <c r="G1333" s="24" t="str">
        <f aca="false">INDEX(Products!$C$2:$C$49,MATCH(C1333,Products!$A$2:$A$49,0))</f>
        <v>Grocery Staples</v>
      </c>
      <c r="H1333" s="33" t="n">
        <f aca="false">D1333*INDEX(Products!$E$2:$E$49,MATCH(C1333,Products!$A$2:$A$49,0))</f>
        <v>2160</v>
      </c>
      <c r="I1333" s="33" t="n">
        <f aca="false">D1333*INDEX(Products!$D$2:$D$49,MATCH(C1333,Products!$A$2:$A$49,0))*(1+INDEX(Assumptions!$B$16:$B$20,MATCH(B1333,Assumptions!$A$16:$A$20,0)))</f>
        <v>1935.36</v>
      </c>
      <c r="J1333" s="33" t="n">
        <f aca="false">H1333-I1333</f>
        <v>224.64</v>
      </c>
      <c r="K1333" s="33" t="n">
        <f aca="false">IF(OR(E1333=0,E1333&gt;=7),0,D1333/(7-E1333)*E1333*INDEX(Products!$E$2:$E$49,MATCH(C1333,Products!$A$2:$A$49,0)))</f>
        <v>0</v>
      </c>
    </row>
    <row r="1334" customFormat="false" ht="15" hidden="false" customHeight="false" outlineLevel="0" collapsed="false">
      <c r="A1334" s="36" t="n">
        <v>46167</v>
      </c>
      <c r="B1334" s="24" t="s">
        <v>62</v>
      </c>
      <c r="C1334" s="24" t="s">
        <v>125</v>
      </c>
      <c r="D1334" s="33" t="n">
        <v>48</v>
      </c>
      <c r="E1334" s="24" t="n">
        <v>0</v>
      </c>
      <c r="F1334" s="37" t="n">
        <f aca="false">DATE(YEAR(A1334),MONTH(A1334),1)</f>
        <v>46143</v>
      </c>
      <c r="G1334" s="24" t="str">
        <f aca="false">INDEX(Products!$C$2:$C$49,MATCH(C1334,Products!$A$2:$A$49,0))</f>
        <v>Grocery Staples</v>
      </c>
      <c r="H1334" s="33" t="n">
        <f aca="false">D1334*INDEX(Products!$E$2:$E$49,MATCH(C1334,Products!$A$2:$A$49,0))</f>
        <v>2160</v>
      </c>
      <c r="I1334" s="33" t="n">
        <f aca="false">D1334*INDEX(Products!$D$2:$D$49,MATCH(C1334,Products!$A$2:$A$49,0))*(1+INDEX(Assumptions!$B$16:$B$20,MATCH(B1334,Assumptions!$A$16:$A$20,0)))</f>
        <v>1935.36</v>
      </c>
      <c r="J1334" s="33" t="n">
        <f aca="false">H1334-I1334</f>
        <v>224.64</v>
      </c>
      <c r="K1334" s="33" t="n">
        <f aca="false">IF(OR(E1334=0,E1334&gt;=7),0,D1334/(7-E1334)*E1334*INDEX(Products!$E$2:$E$49,MATCH(C1334,Products!$A$2:$A$49,0)))</f>
        <v>0</v>
      </c>
    </row>
    <row r="1335" customFormat="false" ht="15" hidden="false" customHeight="false" outlineLevel="0" collapsed="false">
      <c r="A1335" s="36" t="n">
        <v>46174</v>
      </c>
      <c r="B1335" s="24" t="s">
        <v>62</v>
      </c>
      <c r="C1335" s="24" t="s">
        <v>125</v>
      </c>
      <c r="D1335" s="33" t="n">
        <v>47</v>
      </c>
      <c r="E1335" s="24" t="n">
        <v>0</v>
      </c>
      <c r="F1335" s="37" t="n">
        <f aca="false">DATE(YEAR(A1335),MONTH(A1335),1)</f>
        <v>46174</v>
      </c>
      <c r="G1335" s="24" t="str">
        <f aca="false">INDEX(Products!$C$2:$C$49,MATCH(C1335,Products!$A$2:$A$49,0))</f>
        <v>Grocery Staples</v>
      </c>
      <c r="H1335" s="33" t="n">
        <f aca="false">D1335*INDEX(Products!$E$2:$E$49,MATCH(C1335,Products!$A$2:$A$49,0))</f>
        <v>2115</v>
      </c>
      <c r="I1335" s="33" t="n">
        <f aca="false">D1335*INDEX(Products!$D$2:$D$49,MATCH(C1335,Products!$A$2:$A$49,0))*(1+INDEX(Assumptions!$B$16:$B$20,MATCH(B1335,Assumptions!$A$16:$A$20,0)))</f>
        <v>1895.04</v>
      </c>
      <c r="J1335" s="33" t="n">
        <f aca="false">H1335-I1335</f>
        <v>219.96</v>
      </c>
      <c r="K1335" s="33" t="n">
        <f aca="false">IF(OR(E1335=0,E1335&gt;=7),0,D1335/(7-E1335)*E1335*INDEX(Products!$E$2:$E$49,MATCH(C1335,Products!$A$2:$A$49,0)))</f>
        <v>0</v>
      </c>
    </row>
    <row r="1336" customFormat="false" ht="15" hidden="false" customHeight="false" outlineLevel="0" collapsed="false">
      <c r="A1336" s="36" t="n">
        <v>46181</v>
      </c>
      <c r="B1336" s="24" t="s">
        <v>62</v>
      </c>
      <c r="C1336" s="24" t="s">
        <v>125</v>
      </c>
      <c r="D1336" s="33" t="n">
        <v>33</v>
      </c>
      <c r="E1336" s="24" t="n">
        <v>0</v>
      </c>
      <c r="F1336" s="37" t="n">
        <f aca="false">DATE(YEAR(A1336),MONTH(A1336),1)</f>
        <v>46174</v>
      </c>
      <c r="G1336" s="24" t="str">
        <f aca="false">INDEX(Products!$C$2:$C$49,MATCH(C1336,Products!$A$2:$A$49,0))</f>
        <v>Grocery Staples</v>
      </c>
      <c r="H1336" s="33" t="n">
        <f aca="false">D1336*INDEX(Products!$E$2:$E$49,MATCH(C1336,Products!$A$2:$A$49,0))</f>
        <v>1485</v>
      </c>
      <c r="I1336" s="33" t="n">
        <f aca="false">D1336*INDEX(Products!$D$2:$D$49,MATCH(C1336,Products!$A$2:$A$49,0))*(1+INDEX(Assumptions!$B$16:$B$20,MATCH(B1336,Assumptions!$A$16:$A$20,0)))</f>
        <v>1330.56</v>
      </c>
      <c r="J1336" s="33" t="n">
        <f aca="false">H1336-I1336</f>
        <v>154.44</v>
      </c>
      <c r="K1336" s="33" t="n">
        <f aca="false">IF(OR(E1336=0,E1336&gt;=7),0,D1336/(7-E1336)*E1336*INDEX(Products!$E$2:$E$49,MATCH(C1336,Products!$A$2:$A$49,0)))</f>
        <v>0</v>
      </c>
    </row>
    <row r="1337" customFormat="false" ht="15" hidden="false" customHeight="false" outlineLevel="0" collapsed="false">
      <c r="A1337" s="36" t="n">
        <v>46188</v>
      </c>
      <c r="B1337" s="24" t="s">
        <v>62</v>
      </c>
      <c r="C1337" s="24" t="s">
        <v>125</v>
      </c>
      <c r="D1337" s="33" t="n">
        <v>29</v>
      </c>
      <c r="E1337" s="24" t="n">
        <v>0</v>
      </c>
      <c r="F1337" s="37" t="n">
        <f aca="false">DATE(YEAR(A1337),MONTH(A1337),1)</f>
        <v>46174</v>
      </c>
      <c r="G1337" s="24" t="str">
        <f aca="false">INDEX(Products!$C$2:$C$49,MATCH(C1337,Products!$A$2:$A$49,0))</f>
        <v>Grocery Staples</v>
      </c>
      <c r="H1337" s="33" t="n">
        <f aca="false">D1337*INDEX(Products!$E$2:$E$49,MATCH(C1337,Products!$A$2:$A$49,0))</f>
        <v>1305</v>
      </c>
      <c r="I1337" s="33" t="n">
        <f aca="false">D1337*INDEX(Products!$D$2:$D$49,MATCH(C1337,Products!$A$2:$A$49,0))*(1+INDEX(Assumptions!$B$16:$B$20,MATCH(B1337,Assumptions!$A$16:$A$20,0)))</f>
        <v>1169.28</v>
      </c>
      <c r="J1337" s="33" t="n">
        <f aca="false">H1337-I1337</f>
        <v>135.72</v>
      </c>
      <c r="K1337" s="33" t="n">
        <f aca="false">IF(OR(E1337=0,E1337&gt;=7),0,D1337/(7-E1337)*E1337*INDEX(Products!$E$2:$E$49,MATCH(C1337,Products!$A$2:$A$49,0)))</f>
        <v>0</v>
      </c>
    </row>
    <row r="1338" customFormat="false" ht="15" hidden="false" customHeight="false" outlineLevel="0" collapsed="false">
      <c r="A1338" s="36" t="n">
        <v>46195</v>
      </c>
      <c r="B1338" s="24" t="s">
        <v>62</v>
      </c>
      <c r="C1338" s="24" t="s">
        <v>125</v>
      </c>
      <c r="D1338" s="33" t="n">
        <v>40</v>
      </c>
      <c r="E1338" s="24" t="n">
        <v>0</v>
      </c>
      <c r="F1338" s="37" t="n">
        <f aca="false">DATE(YEAR(A1338),MONTH(A1338),1)</f>
        <v>46174</v>
      </c>
      <c r="G1338" s="24" t="str">
        <f aca="false">INDEX(Products!$C$2:$C$49,MATCH(C1338,Products!$A$2:$A$49,0))</f>
        <v>Grocery Staples</v>
      </c>
      <c r="H1338" s="33" t="n">
        <f aca="false">D1338*INDEX(Products!$E$2:$E$49,MATCH(C1338,Products!$A$2:$A$49,0))</f>
        <v>1800</v>
      </c>
      <c r="I1338" s="33" t="n">
        <f aca="false">D1338*INDEX(Products!$D$2:$D$49,MATCH(C1338,Products!$A$2:$A$49,0))*(1+INDEX(Assumptions!$B$16:$B$20,MATCH(B1338,Assumptions!$A$16:$A$20,0)))</f>
        <v>1612.8</v>
      </c>
      <c r="J1338" s="33" t="n">
        <f aca="false">H1338-I1338</f>
        <v>187.2</v>
      </c>
      <c r="K1338" s="33" t="n">
        <f aca="false">IF(OR(E1338=0,E1338&gt;=7),0,D1338/(7-E1338)*E1338*INDEX(Products!$E$2:$E$49,MATCH(C1338,Products!$A$2:$A$49,0)))</f>
        <v>0</v>
      </c>
    </row>
    <row r="1339" customFormat="false" ht="15" hidden="false" customHeight="false" outlineLevel="0" collapsed="false">
      <c r="A1339" s="36" t="n">
        <v>46202</v>
      </c>
      <c r="B1339" s="24" t="s">
        <v>62</v>
      </c>
      <c r="C1339" s="24" t="s">
        <v>125</v>
      </c>
      <c r="D1339" s="33" t="n">
        <v>35</v>
      </c>
      <c r="E1339" s="24" t="n">
        <v>0</v>
      </c>
      <c r="F1339" s="37" t="n">
        <f aca="false">DATE(YEAR(A1339),MONTH(A1339),1)</f>
        <v>46174</v>
      </c>
      <c r="G1339" s="24" t="str">
        <f aca="false">INDEX(Products!$C$2:$C$49,MATCH(C1339,Products!$A$2:$A$49,0))</f>
        <v>Grocery Staples</v>
      </c>
      <c r="H1339" s="33" t="n">
        <f aca="false">D1339*INDEX(Products!$E$2:$E$49,MATCH(C1339,Products!$A$2:$A$49,0))</f>
        <v>1575</v>
      </c>
      <c r="I1339" s="33" t="n">
        <f aca="false">D1339*INDEX(Products!$D$2:$D$49,MATCH(C1339,Products!$A$2:$A$49,0))*(1+INDEX(Assumptions!$B$16:$B$20,MATCH(B1339,Assumptions!$A$16:$A$20,0)))</f>
        <v>1411.2</v>
      </c>
      <c r="J1339" s="33" t="n">
        <f aca="false">H1339-I1339</f>
        <v>163.8</v>
      </c>
      <c r="K1339" s="33" t="n">
        <f aca="false">IF(OR(E1339=0,E1339&gt;=7),0,D1339/(7-E1339)*E1339*INDEX(Products!$E$2:$E$49,MATCH(C1339,Products!$A$2:$A$49,0)))</f>
        <v>0</v>
      </c>
    </row>
    <row r="1340" customFormat="false" ht="15" hidden="false" customHeight="false" outlineLevel="0" collapsed="false">
      <c r="A1340" s="36" t="n">
        <v>46209</v>
      </c>
      <c r="B1340" s="24" t="s">
        <v>62</v>
      </c>
      <c r="C1340" s="24" t="s">
        <v>125</v>
      </c>
      <c r="D1340" s="33" t="n">
        <v>25</v>
      </c>
      <c r="E1340" s="24" t="n">
        <v>0</v>
      </c>
      <c r="F1340" s="37" t="n">
        <f aca="false">DATE(YEAR(A1340),MONTH(A1340),1)</f>
        <v>46204</v>
      </c>
      <c r="G1340" s="24" t="str">
        <f aca="false">INDEX(Products!$C$2:$C$49,MATCH(C1340,Products!$A$2:$A$49,0))</f>
        <v>Grocery Staples</v>
      </c>
      <c r="H1340" s="33" t="n">
        <f aca="false">D1340*INDEX(Products!$E$2:$E$49,MATCH(C1340,Products!$A$2:$A$49,0))</f>
        <v>1125</v>
      </c>
      <c r="I1340" s="33" t="n">
        <f aca="false">D1340*INDEX(Products!$D$2:$D$49,MATCH(C1340,Products!$A$2:$A$49,0))*(1+INDEX(Assumptions!$B$16:$B$20,MATCH(B1340,Assumptions!$A$16:$A$20,0)))</f>
        <v>1008</v>
      </c>
      <c r="J1340" s="33" t="n">
        <f aca="false">H1340-I1340</f>
        <v>117</v>
      </c>
      <c r="K1340" s="33" t="n">
        <f aca="false">IF(OR(E1340=0,E1340&gt;=7),0,D1340/(7-E1340)*E1340*INDEX(Products!$E$2:$E$49,MATCH(C1340,Products!$A$2:$A$49,0)))</f>
        <v>0</v>
      </c>
    </row>
    <row r="1341" customFormat="false" ht="15" hidden="false" customHeight="false" outlineLevel="0" collapsed="false">
      <c r="A1341" s="36" t="n">
        <v>46216</v>
      </c>
      <c r="B1341" s="24" t="s">
        <v>62</v>
      </c>
      <c r="C1341" s="24" t="s">
        <v>125</v>
      </c>
      <c r="D1341" s="33" t="n">
        <v>31</v>
      </c>
      <c r="E1341" s="24" t="n">
        <v>0</v>
      </c>
      <c r="F1341" s="37" t="n">
        <f aca="false">DATE(YEAR(A1341),MONTH(A1341),1)</f>
        <v>46204</v>
      </c>
      <c r="G1341" s="24" t="str">
        <f aca="false">INDEX(Products!$C$2:$C$49,MATCH(C1341,Products!$A$2:$A$49,0))</f>
        <v>Grocery Staples</v>
      </c>
      <c r="H1341" s="33" t="n">
        <f aca="false">D1341*INDEX(Products!$E$2:$E$49,MATCH(C1341,Products!$A$2:$A$49,0))</f>
        <v>1395</v>
      </c>
      <c r="I1341" s="33" t="n">
        <f aca="false">D1341*INDEX(Products!$D$2:$D$49,MATCH(C1341,Products!$A$2:$A$49,0))*(1+INDEX(Assumptions!$B$16:$B$20,MATCH(B1341,Assumptions!$A$16:$A$20,0)))</f>
        <v>1249.92</v>
      </c>
      <c r="J1341" s="33" t="n">
        <f aca="false">H1341-I1341</f>
        <v>145.08</v>
      </c>
      <c r="K1341" s="33" t="n">
        <f aca="false">IF(OR(E1341=0,E1341&gt;=7),0,D1341/(7-E1341)*E1341*INDEX(Products!$E$2:$E$49,MATCH(C1341,Products!$A$2:$A$49,0)))</f>
        <v>0</v>
      </c>
    </row>
    <row r="1342" customFormat="false" ht="15" hidden="false" customHeight="false" outlineLevel="0" collapsed="false">
      <c r="A1342" s="36" t="n">
        <v>46223</v>
      </c>
      <c r="B1342" s="24" t="s">
        <v>62</v>
      </c>
      <c r="C1342" s="24" t="s">
        <v>125</v>
      </c>
      <c r="D1342" s="33" t="n">
        <v>30</v>
      </c>
      <c r="E1342" s="24" t="n">
        <v>0</v>
      </c>
      <c r="F1342" s="37" t="n">
        <f aca="false">DATE(YEAR(A1342),MONTH(A1342),1)</f>
        <v>46204</v>
      </c>
      <c r="G1342" s="24" t="str">
        <f aca="false">INDEX(Products!$C$2:$C$49,MATCH(C1342,Products!$A$2:$A$49,0))</f>
        <v>Grocery Staples</v>
      </c>
      <c r="H1342" s="33" t="n">
        <f aca="false">D1342*INDEX(Products!$E$2:$E$49,MATCH(C1342,Products!$A$2:$A$49,0))</f>
        <v>1350</v>
      </c>
      <c r="I1342" s="33" t="n">
        <f aca="false">D1342*INDEX(Products!$D$2:$D$49,MATCH(C1342,Products!$A$2:$A$49,0))*(1+INDEX(Assumptions!$B$16:$B$20,MATCH(B1342,Assumptions!$A$16:$A$20,0)))</f>
        <v>1209.6</v>
      </c>
      <c r="J1342" s="33" t="n">
        <f aca="false">H1342-I1342</f>
        <v>140.4</v>
      </c>
      <c r="K1342" s="33" t="n">
        <f aca="false">IF(OR(E1342=0,E1342&gt;=7),0,D1342/(7-E1342)*E1342*INDEX(Products!$E$2:$E$49,MATCH(C1342,Products!$A$2:$A$49,0)))</f>
        <v>0</v>
      </c>
    </row>
    <row r="1343" customFormat="false" ht="15" hidden="false" customHeight="false" outlineLevel="0" collapsed="false">
      <c r="A1343" s="36" t="n">
        <v>46230</v>
      </c>
      <c r="B1343" s="24" t="s">
        <v>62</v>
      </c>
      <c r="C1343" s="24" t="s">
        <v>125</v>
      </c>
      <c r="D1343" s="33" t="n">
        <v>30</v>
      </c>
      <c r="E1343" s="24" t="n">
        <v>0</v>
      </c>
      <c r="F1343" s="37" t="n">
        <f aca="false">DATE(YEAR(A1343),MONTH(A1343),1)</f>
        <v>46204</v>
      </c>
      <c r="G1343" s="24" t="str">
        <f aca="false">INDEX(Products!$C$2:$C$49,MATCH(C1343,Products!$A$2:$A$49,0))</f>
        <v>Grocery Staples</v>
      </c>
      <c r="H1343" s="33" t="n">
        <f aca="false">D1343*INDEX(Products!$E$2:$E$49,MATCH(C1343,Products!$A$2:$A$49,0))</f>
        <v>1350</v>
      </c>
      <c r="I1343" s="33" t="n">
        <f aca="false">D1343*INDEX(Products!$D$2:$D$49,MATCH(C1343,Products!$A$2:$A$49,0))*(1+INDEX(Assumptions!$B$16:$B$20,MATCH(B1343,Assumptions!$A$16:$A$20,0)))</f>
        <v>1209.6</v>
      </c>
      <c r="J1343" s="33" t="n">
        <f aca="false">H1343-I1343</f>
        <v>140.4</v>
      </c>
      <c r="K1343" s="33" t="n">
        <f aca="false">IF(OR(E1343=0,E1343&gt;=7),0,D1343/(7-E1343)*E1343*INDEX(Products!$E$2:$E$49,MATCH(C1343,Products!$A$2:$A$49,0)))</f>
        <v>0</v>
      </c>
    </row>
    <row r="1344" customFormat="false" ht="15" hidden="false" customHeight="false" outlineLevel="0" collapsed="false">
      <c r="A1344" s="36" t="n">
        <v>46237</v>
      </c>
      <c r="B1344" s="24" t="s">
        <v>62</v>
      </c>
      <c r="C1344" s="24" t="s">
        <v>125</v>
      </c>
      <c r="D1344" s="33" t="n">
        <v>29</v>
      </c>
      <c r="E1344" s="24" t="n">
        <v>0</v>
      </c>
      <c r="F1344" s="37" t="n">
        <f aca="false">DATE(YEAR(A1344),MONTH(A1344),1)</f>
        <v>46235</v>
      </c>
      <c r="G1344" s="24" t="str">
        <f aca="false">INDEX(Products!$C$2:$C$49,MATCH(C1344,Products!$A$2:$A$49,0))</f>
        <v>Grocery Staples</v>
      </c>
      <c r="H1344" s="33" t="n">
        <f aca="false">D1344*INDEX(Products!$E$2:$E$49,MATCH(C1344,Products!$A$2:$A$49,0))</f>
        <v>1305</v>
      </c>
      <c r="I1344" s="33" t="n">
        <f aca="false">D1344*INDEX(Products!$D$2:$D$49,MATCH(C1344,Products!$A$2:$A$49,0))*(1+INDEX(Assumptions!$B$16:$B$20,MATCH(B1344,Assumptions!$A$16:$A$20,0)))</f>
        <v>1169.28</v>
      </c>
      <c r="J1344" s="33" t="n">
        <f aca="false">H1344-I1344</f>
        <v>135.72</v>
      </c>
      <c r="K1344" s="33" t="n">
        <f aca="false">IF(OR(E1344=0,E1344&gt;=7),0,D1344/(7-E1344)*E1344*INDEX(Products!$E$2:$E$49,MATCH(C1344,Products!$A$2:$A$49,0)))</f>
        <v>0</v>
      </c>
    </row>
    <row r="1345" customFormat="false" ht="15" hidden="false" customHeight="false" outlineLevel="0" collapsed="false">
      <c r="A1345" s="36" t="n">
        <v>46244</v>
      </c>
      <c r="B1345" s="24" t="s">
        <v>62</v>
      </c>
      <c r="C1345" s="24" t="s">
        <v>125</v>
      </c>
      <c r="D1345" s="33" t="n">
        <v>40</v>
      </c>
      <c r="E1345" s="24" t="n">
        <v>0</v>
      </c>
      <c r="F1345" s="37" t="n">
        <f aca="false">DATE(YEAR(A1345),MONTH(A1345),1)</f>
        <v>46235</v>
      </c>
      <c r="G1345" s="24" t="str">
        <f aca="false">INDEX(Products!$C$2:$C$49,MATCH(C1345,Products!$A$2:$A$49,0))</f>
        <v>Grocery Staples</v>
      </c>
      <c r="H1345" s="33" t="n">
        <f aca="false">D1345*INDEX(Products!$E$2:$E$49,MATCH(C1345,Products!$A$2:$A$49,0))</f>
        <v>1800</v>
      </c>
      <c r="I1345" s="33" t="n">
        <f aca="false">D1345*INDEX(Products!$D$2:$D$49,MATCH(C1345,Products!$A$2:$A$49,0))*(1+INDEX(Assumptions!$B$16:$B$20,MATCH(B1345,Assumptions!$A$16:$A$20,0)))</f>
        <v>1612.8</v>
      </c>
      <c r="J1345" s="33" t="n">
        <f aca="false">H1345-I1345</f>
        <v>187.2</v>
      </c>
      <c r="K1345" s="33" t="n">
        <f aca="false">IF(OR(E1345=0,E1345&gt;=7),0,D1345/(7-E1345)*E1345*INDEX(Products!$E$2:$E$49,MATCH(C1345,Products!$A$2:$A$49,0)))</f>
        <v>0</v>
      </c>
    </row>
    <row r="1346" customFormat="false" ht="15" hidden="false" customHeight="false" outlineLevel="0" collapsed="false">
      <c r="A1346" s="36" t="n">
        <v>46251</v>
      </c>
      <c r="B1346" s="24" t="s">
        <v>62</v>
      </c>
      <c r="C1346" s="24" t="s">
        <v>125</v>
      </c>
      <c r="D1346" s="33" t="n">
        <v>38</v>
      </c>
      <c r="E1346" s="24" t="n">
        <v>0</v>
      </c>
      <c r="F1346" s="37" t="n">
        <f aca="false">DATE(YEAR(A1346),MONTH(A1346),1)</f>
        <v>46235</v>
      </c>
      <c r="G1346" s="24" t="str">
        <f aca="false">INDEX(Products!$C$2:$C$49,MATCH(C1346,Products!$A$2:$A$49,0))</f>
        <v>Grocery Staples</v>
      </c>
      <c r="H1346" s="33" t="n">
        <f aca="false">D1346*INDEX(Products!$E$2:$E$49,MATCH(C1346,Products!$A$2:$A$49,0))</f>
        <v>1710</v>
      </c>
      <c r="I1346" s="33" t="n">
        <f aca="false">D1346*INDEX(Products!$D$2:$D$49,MATCH(C1346,Products!$A$2:$A$49,0))*(1+INDEX(Assumptions!$B$16:$B$20,MATCH(B1346,Assumptions!$A$16:$A$20,0)))</f>
        <v>1532.16</v>
      </c>
      <c r="J1346" s="33" t="n">
        <f aca="false">H1346-I1346</f>
        <v>177.84</v>
      </c>
      <c r="K1346" s="33" t="n">
        <f aca="false">IF(OR(E1346=0,E1346&gt;=7),0,D1346/(7-E1346)*E1346*INDEX(Products!$E$2:$E$49,MATCH(C1346,Products!$A$2:$A$49,0)))</f>
        <v>0</v>
      </c>
    </row>
    <row r="1347" customFormat="false" ht="15" hidden="false" customHeight="false" outlineLevel="0" collapsed="false">
      <c r="A1347" s="36" t="n">
        <v>46258</v>
      </c>
      <c r="B1347" s="24" t="s">
        <v>62</v>
      </c>
      <c r="C1347" s="24" t="s">
        <v>125</v>
      </c>
      <c r="D1347" s="33" t="n">
        <v>17</v>
      </c>
      <c r="E1347" s="24" t="n">
        <v>0</v>
      </c>
      <c r="F1347" s="37" t="n">
        <f aca="false">DATE(YEAR(A1347),MONTH(A1347),1)</f>
        <v>46235</v>
      </c>
      <c r="G1347" s="24" t="str">
        <f aca="false">INDEX(Products!$C$2:$C$49,MATCH(C1347,Products!$A$2:$A$49,0))</f>
        <v>Grocery Staples</v>
      </c>
      <c r="H1347" s="33" t="n">
        <f aca="false">D1347*INDEX(Products!$E$2:$E$49,MATCH(C1347,Products!$A$2:$A$49,0))</f>
        <v>765</v>
      </c>
      <c r="I1347" s="33" t="n">
        <f aca="false">D1347*INDEX(Products!$D$2:$D$49,MATCH(C1347,Products!$A$2:$A$49,0))*(1+INDEX(Assumptions!$B$16:$B$20,MATCH(B1347,Assumptions!$A$16:$A$20,0)))</f>
        <v>685.44</v>
      </c>
      <c r="J1347" s="33" t="n">
        <f aca="false">H1347-I1347</f>
        <v>79.56</v>
      </c>
      <c r="K1347" s="33" t="n">
        <f aca="false">IF(OR(E1347=0,E1347&gt;=7),0,D1347/(7-E1347)*E1347*INDEX(Products!$E$2:$E$49,MATCH(C1347,Products!$A$2:$A$49,0)))</f>
        <v>0</v>
      </c>
    </row>
    <row r="1348" customFormat="false" ht="15" hidden="false" customHeight="false" outlineLevel="0" collapsed="false">
      <c r="A1348" s="36" t="n">
        <v>46265</v>
      </c>
      <c r="B1348" s="24" t="s">
        <v>62</v>
      </c>
      <c r="C1348" s="24" t="s">
        <v>125</v>
      </c>
      <c r="D1348" s="33" t="n">
        <v>11</v>
      </c>
      <c r="E1348" s="24" t="n">
        <v>5</v>
      </c>
      <c r="F1348" s="37" t="n">
        <f aca="false">DATE(YEAR(A1348),MONTH(A1348),1)</f>
        <v>46235</v>
      </c>
      <c r="G1348" s="24" t="str">
        <f aca="false">INDEX(Products!$C$2:$C$49,MATCH(C1348,Products!$A$2:$A$49,0))</f>
        <v>Grocery Staples</v>
      </c>
      <c r="H1348" s="33" t="n">
        <f aca="false">D1348*INDEX(Products!$E$2:$E$49,MATCH(C1348,Products!$A$2:$A$49,0))</f>
        <v>495</v>
      </c>
      <c r="I1348" s="33" t="n">
        <f aca="false">D1348*INDEX(Products!$D$2:$D$49,MATCH(C1348,Products!$A$2:$A$49,0))*(1+INDEX(Assumptions!$B$16:$B$20,MATCH(B1348,Assumptions!$A$16:$A$20,0)))</f>
        <v>443.52</v>
      </c>
      <c r="J1348" s="33" t="n">
        <f aca="false">H1348-I1348</f>
        <v>51.48</v>
      </c>
      <c r="K1348" s="33" t="n">
        <f aca="false">IF(OR(E1348=0,E1348&gt;=7),0,D1348/(7-E1348)*E1348*INDEX(Products!$E$2:$E$49,MATCH(C1348,Products!$A$2:$A$49,0)))</f>
        <v>1237.5</v>
      </c>
    </row>
    <row r="1349" customFormat="false" ht="15" hidden="false" customHeight="false" outlineLevel="0" collapsed="false">
      <c r="A1349" s="36" t="n">
        <v>46272</v>
      </c>
      <c r="B1349" s="24" t="s">
        <v>62</v>
      </c>
      <c r="C1349" s="24" t="s">
        <v>125</v>
      </c>
      <c r="D1349" s="33" t="n">
        <v>28</v>
      </c>
      <c r="E1349" s="24" t="n">
        <v>0</v>
      </c>
      <c r="F1349" s="37" t="n">
        <f aca="false">DATE(YEAR(A1349),MONTH(A1349),1)</f>
        <v>46266</v>
      </c>
      <c r="G1349" s="24" t="str">
        <f aca="false">INDEX(Products!$C$2:$C$49,MATCH(C1349,Products!$A$2:$A$49,0))</f>
        <v>Grocery Staples</v>
      </c>
      <c r="H1349" s="33" t="n">
        <f aca="false">D1349*INDEX(Products!$E$2:$E$49,MATCH(C1349,Products!$A$2:$A$49,0))</f>
        <v>1260</v>
      </c>
      <c r="I1349" s="33" t="n">
        <f aca="false">D1349*INDEX(Products!$D$2:$D$49,MATCH(C1349,Products!$A$2:$A$49,0))*(1+INDEX(Assumptions!$B$16:$B$20,MATCH(B1349,Assumptions!$A$16:$A$20,0)))</f>
        <v>1128.96</v>
      </c>
      <c r="J1349" s="33" t="n">
        <f aca="false">H1349-I1349</f>
        <v>131.04</v>
      </c>
      <c r="K1349" s="33" t="n">
        <f aca="false">IF(OR(E1349=0,E1349&gt;=7),0,D1349/(7-E1349)*E1349*INDEX(Products!$E$2:$E$49,MATCH(C1349,Products!$A$2:$A$49,0)))</f>
        <v>0</v>
      </c>
    </row>
    <row r="1350" customFormat="false" ht="15" hidden="false" customHeight="false" outlineLevel="0" collapsed="false">
      <c r="A1350" s="36" t="n">
        <v>46279</v>
      </c>
      <c r="B1350" s="24" t="s">
        <v>62</v>
      </c>
      <c r="C1350" s="24" t="s">
        <v>125</v>
      </c>
      <c r="D1350" s="33" t="n">
        <v>23</v>
      </c>
      <c r="E1350" s="24" t="n">
        <v>0</v>
      </c>
      <c r="F1350" s="37" t="n">
        <f aca="false">DATE(YEAR(A1350),MONTH(A1350),1)</f>
        <v>46266</v>
      </c>
      <c r="G1350" s="24" t="str">
        <f aca="false">INDEX(Products!$C$2:$C$49,MATCH(C1350,Products!$A$2:$A$49,0))</f>
        <v>Grocery Staples</v>
      </c>
      <c r="H1350" s="33" t="n">
        <f aca="false">D1350*INDEX(Products!$E$2:$E$49,MATCH(C1350,Products!$A$2:$A$49,0))</f>
        <v>1035</v>
      </c>
      <c r="I1350" s="33" t="n">
        <f aca="false">D1350*INDEX(Products!$D$2:$D$49,MATCH(C1350,Products!$A$2:$A$49,0))*(1+INDEX(Assumptions!$B$16:$B$20,MATCH(B1350,Assumptions!$A$16:$A$20,0)))</f>
        <v>927.36</v>
      </c>
      <c r="J1350" s="33" t="n">
        <f aca="false">H1350-I1350</f>
        <v>107.64</v>
      </c>
      <c r="K1350" s="33" t="n">
        <f aca="false">IF(OR(E1350=0,E1350&gt;=7),0,D1350/(7-E1350)*E1350*INDEX(Products!$E$2:$E$49,MATCH(C1350,Products!$A$2:$A$49,0)))</f>
        <v>0</v>
      </c>
    </row>
    <row r="1351" customFormat="false" ht="15" hidden="false" customHeight="false" outlineLevel="0" collapsed="false">
      <c r="A1351" s="36" t="n">
        <v>46286</v>
      </c>
      <c r="B1351" s="24" t="s">
        <v>62</v>
      </c>
      <c r="C1351" s="24" t="s">
        <v>125</v>
      </c>
      <c r="D1351" s="33" t="n">
        <v>30</v>
      </c>
      <c r="E1351" s="24" t="n">
        <v>0</v>
      </c>
      <c r="F1351" s="37" t="n">
        <f aca="false">DATE(YEAR(A1351),MONTH(A1351),1)</f>
        <v>46266</v>
      </c>
      <c r="G1351" s="24" t="str">
        <f aca="false">INDEX(Products!$C$2:$C$49,MATCH(C1351,Products!$A$2:$A$49,0))</f>
        <v>Grocery Staples</v>
      </c>
      <c r="H1351" s="33" t="n">
        <f aca="false">D1351*INDEX(Products!$E$2:$E$49,MATCH(C1351,Products!$A$2:$A$49,0))</f>
        <v>1350</v>
      </c>
      <c r="I1351" s="33" t="n">
        <f aca="false">D1351*INDEX(Products!$D$2:$D$49,MATCH(C1351,Products!$A$2:$A$49,0))*(1+INDEX(Assumptions!$B$16:$B$20,MATCH(B1351,Assumptions!$A$16:$A$20,0)))</f>
        <v>1209.6</v>
      </c>
      <c r="J1351" s="33" t="n">
        <f aca="false">H1351-I1351</f>
        <v>140.4</v>
      </c>
      <c r="K1351" s="33" t="n">
        <f aca="false">IF(OR(E1351=0,E1351&gt;=7),0,D1351/(7-E1351)*E1351*INDEX(Products!$E$2:$E$49,MATCH(C1351,Products!$A$2:$A$49,0)))</f>
        <v>0</v>
      </c>
    </row>
    <row r="1352" customFormat="false" ht="15" hidden="false" customHeight="false" outlineLevel="0" collapsed="false">
      <c r="A1352" s="36" t="n">
        <v>46118</v>
      </c>
      <c r="B1352" s="24" t="s">
        <v>62</v>
      </c>
      <c r="C1352" s="24" t="s">
        <v>127</v>
      </c>
      <c r="D1352" s="33" t="n">
        <v>127</v>
      </c>
      <c r="E1352" s="24" t="n">
        <v>0</v>
      </c>
      <c r="F1352" s="37" t="n">
        <f aca="false">DATE(YEAR(A1352),MONTH(A1352),1)</f>
        <v>46113</v>
      </c>
      <c r="G1352" s="24" t="str">
        <f aca="false">INDEX(Products!$C$2:$C$49,MATCH(C1352,Products!$A$2:$A$49,0))</f>
        <v>Grocery Staples</v>
      </c>
      <c r="H1352" s="33" t="n">
        <f aca="false">D1352*INDEX(Products!$E$2:$E$49,MATCH(C1352,Products!$A$2:$A$49,0))</f>
        <v>15240</v>
      </c>
      <c r="I1352" s="33" t="n">
        <f aca="false">D1352*INDEX(Products!$D$2:$D$49,MATCH(C1352,Products!$A$2:$A$49,0))*(1+INDEX(Assumptions!$B$16:$B$20,MATCH(B1352,Assumptions!$A$16:$A$20,0)))</f>
        <v>13185.648</v>
      </c>
      <c r="J1352" s="33" t="n">
        <f aca="false">H1352-I1352</f>
        <v>2054.352</v>
      </c>
      <c r="K1352" s="33" t="n">
        <f aca="false">IF(OR(E1352=0,E1352&gt;=7),0,D1352/(7-E1352)*E1352*INDEX(Products!$E$2:$E$49,MATCH(C1352,Products!$A$2:$A$49,0)))</f>
        <v>0</v>
      </c>
    </row>
    <row r="1353" customFormat="false" ht="15" hidden="false" customHeight="false" outlineLevel="0" collapsed="false">
      <c r="A1353" s="36" t="n">
        <v>46125</v>
      </c>
      <c r="B1353" s="24" t="s">
        <v>62</v>
      </c>
      <c r="C1353" s="24" t="s">
        <v>127</v>
      </c>
      <c r="D1353" s="33" t="n">
        <v>115</v>
      </c>
      <c r="E1353" s="24" t="n">
        <v>0</v>
      </c>
      <c r="F1353" s="37" t="n">
        <f aca="false">DATE(YEAR(A1353),MONTH(A1353),1)</f>
        <v>46113</v>
      </c>
      <c r="G1353" s="24" t="str">
        <f aca="false">INDEX(Products!$C$2:$C$49,MATCH(C1353,Products!$A$2:$A$49,0))</f>
        <v>Grocery Staples</v>
      </c>
      <c r="H1353" s="33" t="n">
        <f aca="false">D1353*INDEX(Products!$E$2:$E$49,MATCH(C1353,Products!$A$2:$A$49,0))</f>
        <v>13800</v>
      </c>
      <c r="I1353" s="33" t="n">
        <f aca="false">D1353*INDEX(Products!$D$2:$D$49,MATCH(C1353,Products!$A$2:$A$49,0))*(1+INDEX(Assumptions!$B$16:$B$20,MATCH(B1353,Assumptions!$A$16:$A$20,0)))</f>
        <v>11939.76</v>
      </c>
      <c r="J1353" s="33" t="n">
        <f aca="false">H1353-I1353</f>
        <v>1860.24</v>
      </c>
      <c r="K1353" s="33" t="n">
        <f aca="false">IF(OR(E1353=0,E1353&gt;=7),0,D1353/(7-E1353)*E1353*INDEX(Products!$E$2:$E$49,MATCH(C1353,Products!$A$2:$A$49,0)))</f>
        <v>0</v>
      </c>
    </row>
    <row r="1354" customFormat="false" ht="15" hidden="false" customHeight="false" outlineLevel="0" collapsed="false">
      <c r="A1354" s="36" t="n">
        <v>46132</v>
      </c>
      <c r="B1354" s="24" t="s">
        <v>62</v>
      </c>
      <c r="C1354" s="24" t="s">
        <v>127</v>
      </c>
      <c r="D1354" s="33" t="n">
        <v>141</v>
      </c>
      <c r="E1354" s="24" t="n">
        <v>0</v>
      </c>
      <c r="F1354" s="37" t="n">
        <f aca="false">DATE(YEAR(A1354),MONTH(A1354),1)</f>
        <v>46113</v>
      </c>
      <c r="G1354" s="24" t="str">
        <f aca="false">INDEX(Products!$C$2:$C$49,MATCH(C1354,Products!$A$2:$A$49,0))</f>
        <v>Grocery Staples</v>
      </c>
      <c r="H1354" s="33" t="n">
        <f aca="false">D1354*INDEX(Products!$E$2:$E$49,MATCH(C1354,Products!$A$2:$A$49,0))</f>
        <v>16920</v>
      </c>
      <c r="I1354" s="33" t="n">
        <f aca="false">D1354*INDEX(Products!$D$2:$D$49,MATCH(C1354,Products!$A$2:$A$49,0))*(1+INDEX(Assumptions!$B$16:$B$20,MATCH(B1354,Assumptions!$A$16:$A$20,0)))</f>
        <v>14639.184</v>
      </c>
      <c r="J1354" s="33" t="n">
        <f aca="false">H1354-I1354</f>
        <v>2280.816</v>
      </c>
      <c r="K1354" s="33" t="n">
        <f aca="false">IF(OR(E1354=0,E1354&gt;=7),0,D1354/(7-E1354)*E1354*INDEX(Products!$E$2:$E$49,MATCH(C1354,Products!$A$2:$A$49,0)))</f>
        <v>0</v>
      </c>
    </row>
    <row r="1355" customFormat="false" ht="15" hidden="false" customHeight="false" outlineLevel="0" collapsed="false">
      <c r="A1355" s="36" t="n">
        <v>46139</v>
      </c>
      <c r="B1355" s="24" t="s">
        <v>62</v>
      </c>
      <c r="C1355" s="24" t="s">
        <v>127</v>
      </c>
      <c r="D1355" s="33" t="n">
        <v>121</v>
      </c>
      <c r="E1355" s="24" t="n">
        <v>0</v>
      </c>
      <c r="F1355" s="37" t="n">
        <f aca="false">DATE(YEAR(A1355),MONTH(A1355),1)</f>
        <v>46113</v>
      </c>
      <c r="G1355" s="24" t="str">
        <f aca="false">INDEX(Products!$C$2:$C$49,MATCH(C1355,Products!$A$2:$A$49,0))</f>
        <v>Grocery Staples</v>
      </c>
      <c r="H1355" s="33" t="n">
        <f aca="false">D1355*INDEX(Products!$E$2:$E$49,MATCH(C1355,Products!$A$2:$A$49,0))</f>
        <v>14520</v>
      </c>
      <c r="I1355" s="33" t="n">
        <f aca="false">D1355*INDEX(Products!$D$2:$D$49,MATCH(C1355,Products!$A$2:$A$49,0))*(1+INDEX(Assumptions!$B$16:$B$20,MATCH(B1355,Assumptions!$A$16:$A$20,0)))</f>
        <v>12562.704</v>
      </c>
      <c r="J1355" s="33" t="n">
        <f aca="false">H1355-I1355</f>
        <v>1957.296</v>
      </c>
      <c r="K1355" s="33" t="n">
        <f aca="false">IF(OR(E1355=0,E1355&gt;=7),0,D1355/(7-E1355)*E1355*INDEX(Products!$E$2:$E$49,MATCH(C1355,Products!$A$2:$A$49,0)))</f>
        <v>0</v>
      </c>
    </row>
    <row r="1356" customFormat="false" ht="15" hidden="false" customHeight="false" outlineLevel="0" collapsed="false">
      <c r="A1356" s="36" t="n">
        <v>46146</v>
      </c>
      <c r="B1356" s="24" t="s">
        <v>62</v>
      </c>
      <c r="C1356" s="24" t="s">
        <v>127</v>
      </c>
      <c r="D1356" s="33" t="n">
        <v>137</v>
      </c>
      <c r="E1356" s="24" t="n">
        <v>0</v>
      </c>
      <c r="F1356" s="37" t="n">
        <f aca="false">DATE(YEAR(A1356),MONTH(A1356),1)</f>
        <v>46143</v>
      </c>
      <c r="G1356" s="24" t="str">
        <f aca="false">INDEX(Products!$C$2:$C$49,MATCH(C1356,Products!$A$2:$A$49,0))</f>
        <v>Grocery Staples</v>
      </c>
      <c r="H1356" s="33" t="n">
        <f aca="false">D1356*INDEX(Products!$E$2:$E$49,MATCH(C1356,Products!$A$2:$A$49,0))</f>
        <v>16440</v>
      </c>
      <c r="I1356" s="33" t="n">
        <f aca="false">D1356*INDEX(Products!$D$2:$D$49,MATCH(C1356,Products!$A$2:$A$49,0))*(1+INDEX(Assumptions!$B$16:$B$20,MATCH(B1356,Assumptions!$A$16:$A$20,0)))</f>
        <v>14223.888</v>
      </c>
      <c r="J1356" s="33" t="n">
        <f aca="false">H1356-I1356</f>
        <v>2216.112</v>
      </c>
      <c r="K1356" s="33" t="n">
        <f aca="false">IF(OR(E1356=0,E1356&gt;=7),0,D1356/(7-E1356)*E1356*INDEX(Products!$E$2:$E$49,MATCH(C1356,Products!$A$2:$A$49,0)))</f>
        <v>0</v>
      </c>
    </row>
    <row r="1357" customFormat="false" ht="15" hidden="false" customHeight="false" outlineLevel="0" collapsed="false">
      <c r="A1357" s="36" t="n">
        <v>46153</v>
      </c>
      <c r="B1357" s="24" t="s">
        <v>62</v>
      </c>
      <c r="C1357" s="24" t="s">
        <v>127</v>
      </c>
      <c r="D1357" s="33" t="n">
        <v>130</v>
      </c>
      <c r="E1357" s="24" t="n">
        <v>0</v>
      </c>
      <c r="F1357" s="37" t="n">
        <f aca="false">DATE(YEAR(A1357),MONTH(A1357),1)</f>
        <v>46143</v>
      </c>
      <c r="G1357" s="24" t="str">
        <f aca="false">INDEX(Products!$C$2:$C$49,MATCH(C1357,Products!$A$2:$A$49,0))</f>
        <v>Grocery Staples</v>
      </c>
      <c r="H1357" s="33" t="n">
        <f aca="false">D1357*INDEX(Products!$E$2:$E$49,MATCH(C1357,Products!$A$2:$A$49,0))</f>
        <v>15600</v>
      </c>
      <c r="I1357" s="33" t="n">
        <f aca="false">D1357*INDEX(Products!$D$2:$D$49,MATCH(C1357,Products!$A$2:$A$49,0))*(1+INDEX(Assumptions!$B$16:$B$20,MATCH(B1357,Assumptions!$A$16:$A$20,0)))</f>
        <v>13497.12</v>
      </c>
      <c r="J1357" s="33" t="n">
        <f aca="false">H1357-I1357</f>
        <v>2102.88</v>
      </c>
      <c r="K1357" s="33" t="n">
        <f aca="false">IF(OR(E1357=0,E1357&gt;=7),0,D1357/(7-E1357)*E1357*INDEX(Products!$E$2:$E$49,MATCH(C1357,Products!$A$2:$A$49,0)))</f>
        <v>0</v>
      </c>
    </row>
    <row r="1358" customFormat="false" ht="15" hidden="false" customHeight="false" outlineLevel="0" collapsed="false">
      <c r="A1358" s="36" t="n">
        <v>46160</v>
      </c>
      <c r="B1358" s="24" t="s">
        <v>62</v>
      </c>
      <c r="C1358" s="24" t="s">
        <v>127</v>
      </c>
      <c r="D1358" s="33" t="n">
        <v>140</v>
      </c>
      <c r="E1358" s="24" t="n">
        <v>0</v>
      </c>
      <c r="F1358" s="37" t="n">
        <f aca="false">DATE(YEAR(A1358),MONTH(A1358),1)</f>
        <v>46143</v>
      </c>
      <c r="G1358" s="24" t="str">
        <f aca="false">INDEX(Products!$C$2:$C$49,MATCH(C1358,Products!$A$2:$A$49,0))</f>
        <v>Grocery Staples</v>
      </c>
      <c r="H1358" s="33" t="n">
        <f aca="false">D1358*INDEX(Products!$E$2:$E$49,MATCH(C1358,Products!$A$2:$A$49,0))</f>
        <v>16800</v>
      </c>
      <c r="I1358" s="33" t="n">
        <f aca="false">D1358*INDEX(Products!$D$2:$D$49,MATCH(C1358,Products!$A$2:$A$49,0))*(1+INDEX(Assumptions!$B$16:$B$20,MATCH(B1358,Assumptions!$A$16:$A$20,0)))</f>
        <v>14535.36</v>
      </c>
      <c r="J1358" s="33" t="n">
        <f aca="false">H1358-I1358</f>
        <v>2264.64</v>
      </c>
      <c r="K1358" s="33" t="n">
        <f aca="false">IF(OR(E1358=0,E1358&gt;=7),0,D1358/(7-E1358)*E1358*INDEX(Products!$E$2:$E$49,MATCH(C1358,Products!$A$2:$A$49,0)))</f>
        <v>0</v>
      </c>
    </row>
    <row r="1359" customFormat="false" ht="15" hidden="false" customHeight="false" outlineLevel="0" collapsed="false">
      <c r="A1359" s="36" t="n">
        <v>46167</v>
      </c>
      <c r="B1359" s="24" t="s">
        <v>62</v>
      </c>
      <c r="C1359" s="24" t="s">
        <v>127</v>
      </c>
      <c r="D1359" s="33" t="n">
        <v>150</v>
      </c>
      <c r="E1359" s="24" t="n">
        <v>0</v>
      </c>
      <c r="F1359" s="37" t="n">
        <f aca="false">DATE(YEAR(A1359),MONTH(A1359),1)</f>
        <v>46143</v>
      </c>
      <c r="G1359" s="24" t="str">
        <f aca="false">INDEX(Products!$C$2:$C$49,MATCH(C1359,Products!$A$2:$A$49,0))</f>
        <v>Grocery Staples</v>
      </c>
      <c r="H1359" s="33" t="n">
        <f aca="false">D1359*INDEX(Products!$E$2:$E$49,MATCH(C1359,Products!$A$2:$A$49,0))</f>
        <v>18000</v>
      </c>
      <c r="I1359" s="33" t="n">
        <f aca="false">D1359*INDEX(Products!$D$2:$D$49,MATCH(C1359,Products!$A$2:$A$49,0))*(1+INDEX(Assumptions!$B$16:$B$20,MATCH(B1359,Assumptions!$A$16:$A$20,0)))</f>
        <v>15573.6</v>
      </c>
      <c r="J1359" s="33" t="n">
        <f aca="false">H1359-I1359</f>
        <v>2426.4</v>
      </c>
      <c r="K1359" s="33" t="n">
        <f aca="false">IF(OR(E1359=0,E1359&gt;=7),0,D1359/(7-E1359)*E1359*INDEX(Products!$E$2:$E$49,MATCH(C1359,Products!$A$2:$A$49,0)))</f>
        <v>0</v>
      </c>
    </row>
    <row r="1360" customFormat="false" ht="15" hidden="false" customHeight="false" outlineLevel="0" collapsed="false">
      <c r="A1360" s="36" t="n">
        <v>46174</v>
      </c>
      <c r="B1360" s="24" t="s">
        <v>62</v>
      </c>
      <c r="C1360" s="24" t="s">
        <v>127</v>
      </c>
      <c r="D1360" s="33" t="n">
        <v>127</v>
      </c>
      <c r="E1360" s="24" t="n">
        <v>0</v>
      </c>
      <c r="F1360" s="37" t="n">
        <f aca="false">DATE(YEAR(A1360),MONTH(A1360),1)</f>
        <v>46174</v>
      </c>
      <c r="G1360" s="24" t="str">
        <f aca="false">INDEX(Products!$C$2:$C$49,MATCH(C1360,Products!$A$2:$A$49,0))</f>
        <v>Grocery Staples</v>
      </c>
      <c r="H1360" s="33" t="n">
        <f aca="false">D1360*INDEX(Products!$E$2:$E$49,MATCH(C1360,Products!$A$2:$A$49,0))</f>
        <v>15240</v>
      </c>
      <c r="I1360" s="33" t="n">
        <f aca="false">D1360*INDEX(Products!$D$2:$D$49,MATCH(C1360,Products!$A$2:$A$49,0))*(1+INDEX(Assumptions!$B$16:$B$20,MATCH(B1360,Assumptions!$A$16:$A$20,0)))</f>
        <v>13185.648</v>
      </c>
      <c r="J1360" s="33" t="n">
        <f aca="false">H1360-I1360</f>
        <v>2054.352</v>
      </c>
      <c r="K1360" s="33" t="n">
        <f aca="false">IF(OR(E1360=0,E1360&gt;=7),0,D1360/(7-E1360)*E1360*INDEX(Products!$E$2:$E$49,MATCH(C1360,Products!$A$2:$A$49,0)))</f>
        <v>0</v>
      </c>
    </row>
    <row r="1361" customFormat="false" ht="15" hidden="false" customHeight="false" outlineLevel="0" collapsed="false">
      <c r="A1361" s="36" t="n">
        <v>46181</v>
      </c>
      <c r="B1361" s="24" t="s">
        <v>62</v>
      </c>
      <c r="C1361" s="24" t="s">
        <v>127</v>
      </c>
      <c r="D1361" s="33" t="n">
        <v>142</v>
      </c>
      <c r="E1361" s="24" t="n">
        <v>0</v>
      </c>
      <c r="F1361" s="37" t="n">
        <f aca="false">DATE(YEAR(A1361),MONTH(A1361),1)</f>
        <v>46174</v>
      </c>
      <c r="G1361" s="24" t="str">
        <f aca="false">INDEX(Products!$C$2:$C$49,MATCH(C1361,Products!$A$2:$A$49,0))</f>
        <v>Grocery Staples</v>
      </c>
      <c r="H1361" s="33" t="n">
        <f aca="false">D1361*INDEX(Products!$E$2:$E$49,MATCH(C1361,Products!$A$2:$A$49,0))</f>
        <v>17040</v>
      </c>
      <c r="I1361" s="33" t="n">
        <f aca="false">D1361*INDEX(Products!$D$2:$D$49,MATCH(C1361,Products!$A$2:$A$49,0))*(1+INDEX(Assumptions!$B$16:$B$20,MATCH(B1361,Assumptions!$A$16:$A$20,0)))</f>
        <v>14743.008</v>
      </c>
      <c r="J1361" s="33" t="n">
        <f aca="false">H1361-I1361</f>
        <v>2296.992</v>
      </c>
      <c r="K1361" s="33" t="n">
        <f aca="false">IF(OR(E1361=0,E1361&gt;=7),0,D1361/(7-E1361)*E1361*INDEX(Products!$E$2:$E$49,MATCH(C1361,Products!$A$2:$A$49,0)))</f>
        <v>0</v>
      </c>
    </row>
    <row r="1362" customFormat="false" ht="15" hidden="false" customHeight="false" outlineLevel="0" collapsed="false">
      <c r="A1362" s="36" t="n">
        <v>46188</v>
      </c>
      <c r="B1362" s="24" t="s">
        <v>62</v>
      </c>
      <c r="C1362" s="24" t="s">
        <v>127</v>
      </c>
      <c r="D1362" s="33" t="n">
        <v>124</v>
      </c>
      <c r="E1362" s="24" t="n">
        <v>0</v>
      </c>
      <c r="F1362" s="37" t="n">
        <f aca="false">DATE(YEAR(A1362),MONTH(A1362),1)</f>
        <v>46174</v>
      </c>
      <c r="G1362" s="24" t="str">
        <f aca="false">INDEX(Products!$C$2:$C$49,MATCH(C1362,Products!$A$2:$A$49,0))</f>
        <v>Grocery Staples</v>
      </c>
      <c r="H1362" s="33" t="n">
        <f aca="false">D1362*INDEX(Products!$E$2:$E$49,MATCH(C1362,Products!$A$2:$A$49,0))</f>
        <v>14880</v>
      </c>
      <c r="I1362" s="33" t="n">
        <f aca="false">D1362*INDEX(Products!$D$2:$D$49,MATCH(C1362,Products!$A$2:$A$49,0))*(1+INDEX(Assumptions!$B$16:$B$20,MATCH(B1362,Assumptions!$A$16:$A$20,0)))</f>
        <v>12874.176</v>
      </c>
      <c r="J1362" s="33" t="n">
        <f aca="false">H1362-I1362</f>
        <v>2005.824</v>
      </c>
      <c r="K1362" s="33" t="n">
        <f aca="false">IF(OR(E1362=0,E1362&gt;=7),0,D1362/(7-E1362)*E1362*INDEX(Products!$E$2:$E$49,MATCH(C1362,Products!$A$2:$A$49,0)))</f>
        <v>0</v>
      </c>
    </row>
    <row r="1363" customFormat="false" ht="15" hidden="false" customHeight="false" outlineLevel="0" collapsed="false">
      <c r="A1363" s="36" t="n">
        <v>46195</v>
      </c>
      <c r="B1363" s="24" t="s">
        <v>62</v>
      </c>
      <c r="C1363" s="24" t="s">
        <v>127</v>
      </c>
      <c r="D1363" s="33" t="n">
        <v>170</v>
      </c>
      <c r="E1363" s="24" t="n">
        <v>0</v>
      </c>
      <c r="F1363" s="37" t="n">
        <f aca="false">DATE(YEAR(A1363),MONTH(A1363),1)</f>
        <v>46174</v>
      </c>
      <c r="G1363" s="24" t="str">
        <f aca="false">INDEX(Products!$C$2:$C$49,MATCH(C1363,Products!$A$2:$A$49,0))</f>
        <v>Grocery Staples</v>
      </c>
      <c r="H1363" s="33" t="n">
        <f aca="false">D1363*INDEX(Products!$E$2:$E$49,MATCH(C1363,Products!$A$2:$A$49,0))</f>
        <v>20400</v>
      </c>
      <c r="I1363" s="33" t="n">
        <f aca="false">D1363*INDEX(Products!$D$2:$D$49,MATCH(C1363,Products!$A$2:$A$49,0))*(1+INDEX(Assumptions!$B$16:$B$20,MATCH(B1363,Assumptions!$A$16:$A$20,0)))</f>
        <v>17650.08</v>
      </c>
      <c r="J1363" s="33" t="n">
        <f aca="false">H1363-I1363</f>
        <v>2749.92</v>
      </c>
      <c r="K1363" s="33" t="n">
        <f aca="false">IF(OR(E1363=0,E1363&gt;=7),0,D1363/(7-E1363)*E1363*INDEX(Products!$E$2:$E$49,MATCH(C1363,Products!$A$2:$A$49,0)))</f>
        <v>0</v>
      </c>
    </row>
    <row r="1364" customFormat="false" ht="15" hidden="false" customHeight="false" outlineLevel="0" collapsed="false">
      <c r="A1364" s="36" t="n">
        <v>46202</v>
      </c>
      <c r="B1364" s="24" t="s">
        <v>62</v>
      </c>
      <c r="C1364" s="24" t="s">
        <v>127</v>
      </c>
      <c r="D1364" s="33" t="n">
        <v>159</v>
      </c>
      <c r="E1364" s="24" t="n">
        <v>0</v>
      </c>
      <c r="F1364" s="37" t="n">
        <f aca="false">DATE(YEAR(A1364),MONTH(A1364),1)</f>
        <v>46174</v>
      </c>
      <c r="G1364" s="24" t="str">
        <f aca="false">INDEX(Products!$C$2:$C$49,MATCH(C1364,Products!$A$2:$A$49,0))</f>
        <v>Grocery Staples</v>
      </c>
      <c r="H1364" s="33" t="n">
        <f aca="false">D1364*INDEX(Products!$E$2:$E$49,MATCH(C1364,Products!$A$2:$A$49,0))</f>
        <v>19080</v>
      </c>
      <c r="I1364" s="33" t="n">
        <f aca="false">D1364*INDEX(Products!$D$2:$D$49,MATCH(C1364,Products!$A$2:$A$49,0))*(1+INDEX(Assumptions!$B$16:$B$20,MATCH(B1364,Assumptions!$A$16:$A$20,0)))</f>
        <v>16508.016</v>
      </c>
      <c r="J1364" s="33" t="n">
        <f aca="false">H1364-I1364</f>
        <v>2571.984</v>
      </c>
      <c r="K1364" s="33" t="n">
        <f aca="false">IF(OR(E1364=0,E1364&gt;=7),0,D1364/(7-E1364)*E1364*INDEX(Products!$E$2:$E$49,MATCH(C1364,Products!$A$2:$A$49,0)))</f>
        <v>0</v>
      </c>
    </row>
    <row r="1365" customFormat="false" ht="15" hidden="false" customHeight="false" outlineLevel="0" collapsed="false">
      <c r="A1365" s="36" t="n">
        <v>46209</v>
      </c>
      <c r="B1365" s="24" t="s">
        <v>62</v>
      </c>
      <c r="C1365" s="24" t="s">
        <v>127</v>
      </c>
      <c r="D1365" s="33" t="n">
        <v>123</v>
      </c>
      <c r="E1365" s="24" t="n">
        <v>0</v>
      </c>
      <c r="F1365" s="37" t="n">
        <f aca="false">DATE(YEAR(A1365),MONTH(A1365),1)</f>
        <v>46204</v>
      </c>
      <c r="G1365" s="24" t="str">
        <f aca="false">INDEX(Products!$C$2:$C$49,MATCH(C1365,Products!$A$2:$A$49,0))</f>
        <v>Grocery Staples</v>
      </c>
      <c r="H1365" s="33" t="n">
        <f aca="false">D1365*INDEX(Products!$E$2:$E$49,MATCH(C1365,Products!$A$2:$A$49,0))</f>
        <v>14760</v>
      </c>
      <c r="I1365" s="33" t="n">
        <f aca="false">D1365*INDEX(Products!$D$2:$D$49,MATCH(C1365,Products!$A$2:$A$49,0))*(1+INDEX(Assumptions!$B$16:$B$20,MATCH(B1365,Assumptions!$A$16:$A$20,0)))</f>
        <v>12770.352</v>
      </c>
      <c r="J1365" s="33" t="n">
        <f aca="false">H1365-I1365</f>
        <v>1989.648</v>
      </c>
      <c r="K1365" s="33" t="n">
        <f aca="false">IF(OR(E1365=0,E1365&gt;=7),0,D1365/(7-E1365)*E1365*INDEX(Products!$E$2:$E$49,MATCH(C1365,Products!$A$2:$A$49,0)))</f>
        <v>0</v>
      </c>
    </row>
    <row r="1366" customFormat="false" ht="15" hidden="false" customHeight="false" outlineLevel="0" collapsed="false">
      <c r="A1366" s="36" t="n">
        <v>46216</v>
      </c>
      <c r="B1366" s="24" t="s">
        <v>62</v>
      </c>
      <c r="C1366" s="24" t="s">
        <v>127</v>
      </c>
      <c r="D1366" s="33" t="n">
        <v>139</v>
      </c>
      <c r="E1366" s="24" t="n">
        <v>0</v>
      </c>
      <c r="F1366" s="37" t="n">
        <f aca="false">DATE(YEAR(A1366),MONTH(A1366),1)</f>
        <v>46204</v>
      </c>
      <c r="G1366" s="24" t="str">
        <f aca="false">INDEX(Products!$C$2:$C$49,MATCH(C1366,Products!$A$2:$A$49,0))</f>
        <v>Grocery Staples</v>
      </c>
      <c r="H1366" s="33" t="n">
        <f aca="false">D1366*INDEX(Products!$E$2:$E$49,MATCH(C1366,Products!$A$2:$A$49,0))</f>
        <v>16680</v>
      </c>
      <c r="I1366" s="33" t="n">
        <f aca="false">D1366*INDEX(Products!$D$2:$D$49,MATCH(C1366,Products!$A$2:$A$49,0))*(1+INDEX(Assumptions!$B$16:$B$20,MATCH(B1366,Assumptions!$A$16:$A$20,0)))</f>
        <v>14431.536</v>
      </c>
      <c r="J1366" s="33" t="n">
        <f aca="false">H1366-I1366</f>
        <v>2248.464</v>
      </c>
      <c r="K1366" s="33" t="n">
        <f aca="false">IF(OR(E1366=0,E1366&gt;=7),0,D1366/(7-E1366)*E1366*INDEX(Products!$E$2:$E$49,MATCH(C1366,Products!$A$2:$A$49,0)))</f>
        <v>0</v>
      </c>
    </row>
    <row r="1367" customFormat="false" ht="15" hidden="false" customHeight="false" outlineLevel="0" collapsed="false">
      <c r="A1367" s="36" t="n">
        <v>46223</v>
      </c>
      <c r="B1367" s="24" t="s">
        <v>62</v>
      </c>
      <c r="C1367" s="24" t="s">
        <v>127</v>
      </c>
      <c r="D1367" s="33" t="n">
        <v>138</v>
      </c>
      <c r="E1367" s="24" t="n">
        <v>0</v>
      </c>
      <c r="F1367" s="37" t="n">
        <f aca="false">DATE(YEAR(A1367),MONTH(A1367),1)</f>
        <v>46204</v>
      </c>
      <c r="G1367" s="24" t="str">
        <f aca="false">INDEX(Products!$C$2:$C$49,MATCH(C1367,Products!$A$2:$A$49,0))</f>
        <v>Grocery Staples</v>
      </c>
      <c r="H1367" s="33" t="n">
        <f aca="false">D1367*INDEX(Products!$E$2:$E$49,MATCH(C1367,Products!$A$2:$A$49,0))</f>
        <v>16560</v>
      </c>
      <c r="I1367" s="33" t="n">
        <f aca="false">D1367*INDEX(Products!$D$2:$D$49,MATCH(C1367,Products!$A$2:$A$49,0))*(1+INDEX(Assumptions!$B$16:$B$20,MATCH(B1367,Assumptions!$A$16:$A$20,0)))</f>
        <v>14327.712</v>
      </c>
      <c r="J1367" s="33" t="n">
        <f aca="false">H1367-I1367</f>
        <v>2232.288</v>
      </c>
      <c r="K1367" s="33" t="n">
        <f aca="false">IF(OR(E1367=0,E1367&gt;=7),0,D1367/(7-E1367)*E1367*INDEX(Products!$E$2:$E$49,MATCH(C1367,Products!$A$2:$A$49,0)))</f>
        <v>0</v>
      </c>
    </row>
    <row r="1368" customFormat="false" ht="15" hidden="false" customHeight="false" outlineLevel="0" collapsed="false">
      <c r="A1368" s="36" t="n">
        <v>46230</v>
      </c>
      <c r="B1368" s="24" t="s">
        <v>62</v>
      </c>
      <c r="C1368" s="24" t="s">
        <v>127</v>
      </c>
      <c r="D1368" s="33" t="n">
        <v>100</v>
      </c>
      <c r="E1368" s="24" t="n">
        <v>2</v>
      </c>
      <c r="F1368" s="37" t="n">
        <f aca="false">DATE(YEAR(A1368),MONTH(A1368),1)</f>
        <v>46204</v>
      </c>
      <c r="G1368" s="24" t="str">
        <f aca="false">INDEX(Products!$C$2:$C$49,MATCH(C1368,Products!$A$2:$A$49,0))</f>
        <v>Grocery Staples</v>
      </c>
      <c r="H1368" s="33" t="n">
        <f aca="false">D1368*INDEX(Products!$E$2:$E$49,MATCH(C1368,Products!$A$2:$A$49,0))</f>
        <v>12000</v>
      </c>
      <c r="I1368" s="33" t="n">
        <f aca="false">D1368*INDEX(Products!$D$2:$D$49,MATCH(C1368,Products!$A$2:$A$49,0))*(1+INDEX(Assumptions!$B$16:$B$20,MATCH(B1368,Assumptions!$A$16:$A$20,0)))</f>
        <v>10382.4</v>
      </c>
      <c r="J1368" s="33" t="n">
        <f aca="false">H1368-I1368</f>
        <v>1617.6</v>
      </c>
      <c r="K1368" s="33" t="n">
        <f aca="false">IF(OR(E1368=0,E1368&gt;=7),0,D1368/(7-E1368)*E1368*INDEX(Products!$E$2:$E$49,MATCH(C1368,Products!$A$2:$A$49,0)))</f>
        <v>4800</v>
      </c>
    </row>
    <row r="1369" customFormat="false" ht="15" hidden="false" customHeight="false" outlineLevel="0" collapsed="false">
      <c r="A1369" s="36" t="n">
        <v>46237</v>
      </c>
      <c r="B1369" s="24" t="s">
        <v>62</v>
      </c>
      <c r="C1369" s="24" t="s">
        <v>127</v>
      </c>
      <c r="D1369" s="33" t="n">
        <v>133</v>
      </c>
      <c r="E1369" s="24" t="n">
        <v>0</v>
      </c>
      <c r="F1369" s="37" t="n">
        <f aca="false">DATE(YEAR(A1369),MONTH(A1369),1)</f>
        <v>46235</v>
      </c>
      <c r="G1369" s="24" t="str">
        <f aca="false">INDEX(Products!$C$2:$C$49,MATCH(C1369,Products!$A$2:$A$49,0))</f>
        <v>Grocery Staples</v>
      </c>
      <c r="H1369" s="33" t="n">
        <f aca="false">D1369*INDEX(Products!$E$2:$E$49,MATCH(C1369,Products!$A$2:$A$49,0))</f>
        <v>15960</v>
      </c>
      <c r="I1369" s="33" t="n">
        <f aca="false">D1369*INDEX(Products!$D$2:$D$49,MATCH(C1369,Products!$A$2:$A$49,0))*(1+INDEX(Assumptions!$B$16:$B$20,MATCH(B1369,Assumptions!$A$16:$A$20,0)))</f>
        <v>13808.592</v>
      </c>
      <c r="J1369" s="33" t="n">
        <f aca="false">H1369-I1369</f>
        <v>2151.408</v>
      </c>
      <c r="K1369" s="33" t="n">
        <f aca="false">IF(OR(E1369=0,E1369&gt;=7),0,D1369/(7-E1369)*E1369*INDEX(Products!$E$2:$E$49,MATCH(C1369,Products!$A$2:$A$49,0)))</f>
        <v>0</v>
      </c>
    </row>
    <row r="1370" customFormat="false" ht="15" hidden="false" customHeight="false" outlineLevel="0" collapsed="false">
      <c r="A1370" s="36" t="n">
        <v>46244</v>
      </c>
      <c r="B1370" s="24" t="s">
        <v>62</v>
      </c>
      <c r="C1370" s="24" t="s">
        <v>127</v>
      </c>
      <c r="D1370" s="33" t="n">
        <v>134</v>
      </c>
      <c r="E1370" s="24" t="n">
        <v>0</v>
      </c>
      <c r="F1370" s="37" t="n">
        <f aca="false">DATE(YEAR(A1370),MONTH(A1370),1)</f>
        <v>46235</v>
      </c>
      <c r="G1370" s="24" t="str">
        <f aca="false">INDEX(Products!$C$2:$C$49,MATCH(C1370,Products!$A$2:$A$49,0))</f>
        <v>Grocery Staples</v>
      </c>
      <c r="H1370" s="33" t="n">
        <f aca="false">D1370*INDEX(Products!$E$2:$E$49,MATCH(C1370,Products!$A$2:$A$49,0))</f>
        <v>16080</v>
      </c>
      <c r="I1370" s="33" t="n">
        <f aca="false">D1370*INDEX(Products!$D$2:$D$49,MATCH(C1370,Products!$A$2:$A$49,0))*(1+INDEX(Assumptions!$B$16:$B$20,MATCH(B1370,Assumptions!$A$16:$A$20,0)))</f>
        <v>13912.416</v>
      </c>
      <c r="J1370" s="33" t="n">
        <f aca="false">H1370-I1370</f>
        <v>2167.584</v>
      </c>
      <c r="K1370" s="33" t="n">
        <f aca="false">IF(OR(E1370=0,E1370&gt;=7),0,D1370/(7-E1370)*E1370*INDEX(Products!$E$2:$E$49,MATCH(C1370,Products!$A$2:$A$49,0)))</f>
        <v>0</v>
      </c>
    </row>
    <row r="1371" customFormat="false" ht="15" hidden="false" customHeight="false" outlineLevel="0" collapsed="false">
      <c r="A1371" s="36" t="n">
        <v>46251</v>
      </c>
      <c r="B1371" s="24" t="s">
        <v>62</v>
      </c>
      <c r="C1371" s="24" t="s">
        <v>127</v>
      </c>
      <c r="D1371" s="33" t="n">
        <v>143</v>
      </c>
      <c r="E1371" s="24" t="n">
        <v>0</v>
      </c>
      <c r="F1371" s="37" t="n">
        <f aca="false">DATE(YEAR(A1371),MONTH(A1371),1)</f>
        <v>46235</v>
      </c>
      <c r="G1371" s="24" t="str">
        <f aca="false">INDEX(Products!$C$2:$C$49,MATCH(C1371,Products!$A$2:$A$49,0))</f>
        <v>Grocery Staples</v>
      </c>
      <c r="H1371" s="33" t="n">
        <f aca="false">D1371*INDEX(Products!$E$2:$E$49,MATCH(C1371,Products!$A$2:$A$49,0))</f>
        <v>17160</v>
      </c>
      <c r="I1371" s="33" t="n">
        <f aca="false">D1371*INDEX(Products!$D$2:$D$49,MATCH(C1371,Products!$A$2:$A$49,0))*(1+INDEX(Assumptions!$B$16:$B$20,MATCH(B1371,Assumptions!$A$16:$A$20,0)))</f>
        <v>14846.832</v>
      </c>
      <c r="J1371" s="33" t="n">
        <f aca="false">H1371-I1371</f>
        <v>2313.168</v>
      </c>
      <c r="K1371" s="33" t="n">
        <f aca="false">IF(OR(E1371=0,E1371&gt;=7),0,D1371/(7-E1371)*E1371*INDEX(Products!$E$2:$E$49,MATCH(C1371,Products!$A$2:$A$49,0)))</f>
        <v>0</v>
      </c>
    </row>
    <row r="1372" customFormat="false" ht="15" hidden="false" customHeight="false" outlineLevel="0" collapsed="false">
      <c r="A1372" s="36" t="n">
        <v>46258</v>
      </c>
      <c r="B1372" s="24" t="s">
        <v>62</v>
      </c>
      <c r="C1372" s="24" t="s">
        <v>127</v>
      </c>
      <c r="D1372" s="33" t="n">
        <v>168</v>
      </c>
      <c r="E1372" s="24" t="n">
        <v>0</v>
      </c>
      <c r="F1372" s="37" t="n">
        <f aca="false">DATE(YEAR(A1372),MONTH(A1372),1)</f>
        <v>46235</v>
      </c>
      <c r="G1372" s="24" t="str">
        <f aca="false">INDEX(Products!$C$2:$C$49,MATCH(C1372,Products!$A$2:$A$49,0))</f>
        <v>Grocery Staples</v>
      </c>
      <c r="H1372" s="33" t="n">
        <f aca="false">D1372*INDEX(Products!$E$2:$E$49,MATCH(C1372,Products!$A$2:$A$49,0))</f>
        <v>20160</v>
      </c>
      <c r="I1372" s="33" t="n">
        <f aca="false">D1372*INDEX(Products!$D$2:$D$49,MATCH(C1372,Products!$A$2:$A$49,0))*(1+INDEX(Assumptions!$B$16:$B$20,MATCH(B1372,Assumptions!$A$16:$A$20,0)))</f>
        <v>17442.432</v>
      </c>
      <c r="J1372" s="33" t="n">
        <f aca="false">H1372-I1372</f>
        <v>2717.568</v>
      </c>
      <c r="K1372" s="33" t="n">
        <f aca="false">IF(OR(E1372=0,E1372&gt;=7),0,D1372/(7-E1372)*E1372*INDEX(Products!$E$2:$E$49,MATCH(C1372,Products!$A$2:$A$49,0)))</f>
        <v>0</v>
      </c>
    </row>
    <row r="1373" customFormat="false" ht="15" hidden="false" customHeight="false" outlineLevel="0" collapsed="false">
      <c r="A1373" s="36" t="n">
        <v>46265</v>
      </c>
      <c r="B1373" s="24" t="s">
        <v>62</v>
      </c>
      <c r="C1373" s="24" t="s">
        <v>127</v>
      </c>
      <c r="D1373" s="33" t="n">
        <v>165</v>
      </c>
      <c r="E1373" s="24" t="n">
        <v>0</v>
      </c>
      <c r="F1373" s="37" t="n">
        <f aca="false">DATE(YEAR(A1373),MONTH(A1373),1)</f>
        <v>46235</v>
      </c>
      <c r="G1373" s="24" t="str">
        <f aca="false">INDEX(Products!$C$2:$C$49,MATCH(C1373,Products!$A$2:$A$49,0))</f>
        <v>Grocery Staples</v>
      </c>
      <c r="H1373" s="33" t="n">
        <f aca="false">D1373*INDEX(Products!$E$2:$E$49,MATCH(C1373,Products!$A$2:$A$49,0))</f>
        <v>19800</v>
      </c>
      <c r="I1373" s="33" t="n">
        <f aca="false">D1373*INDEX(Products!$D$2:$D$49,MATCH(C1373,Products!$A$2:$A$49,0))*(1+INDEX(Assumptions!$B$16:$B$20,MATCH(B1373,Assumptions!$A$16:$A$20,0)))</f>
        <v>17130.96</v>
      </c>
      <c r="J1373" s="33" t="n">
        <f aca="false">H1373-I1373</f>
        <v>2669.04</v>
      </c>
      <c r="K1373" s="33" t="n">
        <f aca="false">IF(OR(E1373=0,E1373&gt;=7),0,D1373/(7-E1373)*E1373*INDEX(Products!$E$2:$E$49,MATCH(C1373,Products!$A$2:$A$49,0)))</f>
        <v>0</v>
      </c>
    </row>
    <row r="1374" customFormat="false" ht="15" hidden="false" customHeight="false" outlineLevel="0" collapsed="false">
      <c r="A1374" s="36" t="n">
        <v>46272</v>
      </c>
      <c r="B1374" s="24" t="s">
        <v>62</v>
      </c>
      <c r="C1374" s="24" t="s">
        <v>127</v>
      </c>
      <c r="D1374" s="33" t="n">
        <v>169</v>
      </c>
      <c r="E1374" s="24" t="n">
        <v>0</v>
      </c>
      <c r="F1374" s="37" t="n">
        <f aca="false">DATE(YEAR(A1374),MONTH(A1374),1)</f>
        <v>46266</v>
      </c>
      <c r="G1374" s="24" t="str">
        <f aca="false">INDEX(Products!$C$2:$C$49,MATCH(C1374,Products!$A$2:$A$49,0))</f>
        <v>Grocery Staples</v>
      </c>
      <c r="H1374" s="33" t="n">
        <f aca="false">D1374*INDEX(Products!$E$2:$E$49,MATCH(C1374,Products!$A$2:$A$49,0))</f>
        <v>20280</v>
      </c>
      <c r="I1374" s="33" t="n">
        <f aca="false">D1374*INDEX(Products!$D$2:$D$49,MATCH(C1374,Products!$A$2:$A$49,0))*(1+INDEX(Assumptions!$B$16:$B$20,MATCH(B1374,Assumptions!$A$16:$A$20,0)))</f>
        <v>17546.256</v>
      </c>
      <c r="J1374" s="33" t="n">
        <f aca="false">H1374-I1374</f>
        <v>2733.744</v>
      </c>
      <c r="K1374" s="33" t="n">
        <f aca="false">IF(OR(E1374=0,E1374&gt;=7),0,D1374/(7-E1374)*E1374*INDEX(Products!$E$2:$E$49,MATCH(C1374,Products!$A$2:$A$49,0)))</f>
        <v>0</v>
      </c>
    </row>
    <row r="1375" customFormat="false" ht="15" hidden="false" customHeight="false" outlineLevel="0" collapsed="false">
      <c r="A1375" s="36" t="n">
        <v>46279</v>
      </c>
      <c r="B1375" s="24" t="s">
        <v>62</v>
      </c>
      <c r="C1375" s="24" t="s">
        <v>127</v>
      </c>
      <c r="D1375" s="33" t="n">
        <v>159</v>
      </c>
      <c r="E1375" s="24" t="n">
        <v>0</v>
      </c>
      <c r="F1375" s="37" t="n">
        <f aca="false">DATE(YEAR(A1375),MONTH(A1375),1)</f>
        <v>46266</v>
      </c>
      <c r="G1375" s="24" t="str">
        <f aca="false">INDEX(Products!$C$2:$C$49,MATCH(C1375,Products!$A$2:$A$49,0))</f>
        <v>Grocery Staples</v>
      </c>
      <c r="H1375" s="33" t="n">
        <f aca="false">D1375*INDEX(Products!$E$2:$E$49,MATCH(C1375,Products!$A$2:$A$49,0))</f>
        <v>19080</v>
      </c>
      <c r="I1375" s="33" t="n">
        <f aca="false">D1375*INDEX(Products!$D$2:$D$49,MATCH(C1375,Products!$A$2:$A$49,0))*(1+INDEX(Assumptions!$B$16:$B$20,MATCH(B1375,Assumptions!$A$16:$A$20,0)))</f>
        <v>16508.016</v>
      </c>
      <c r="J1375" s="33" t="n">
        <f aca="false">H1375-I1375</f>
        <v>2571.984</v>
      </c>
      <c r="K1375" s="33" t="n">
        <f aca="false">IF(OR(E1375=0,E1375&gt;=7),0,D1375/(7-E1375)*E1375*INDEX(Products!$E$2:$E$49,MATCH(C1375,Products!$A$2:$A$49,0)))</f>
        <v>0</v>
      </c>
    </row>
    <row r="1376" customFormat="false" ht="15" hidden="false" customHeight="false" outlineLevel="0" collapsed="false">
      <c r="A1376" s="36" t="n">
        <v>46286</v>
      </c>
      <c r="B1376" s="24" t="s">
        <v>62</v>
      </c>
      <c r="C1376" s="24" t="s">
        <v>127</v>
      </c>
      <c r="D1376" s="33" t="n">
        <v>179</v>
      </c>
      <c r="E1376" s="24" t="n">
        <v>0</v>
      </c>
      <c r="F1376" s="37" t="n">
        <f aca="false">DATE(YEAR(A1376),MONTH(A1376),1)</f>
        <v>46266</v>
      </c>
      <c r="G1376" s="24" t="str">
        <f aca="false">INDEX(Products!$C$2:$C$49,MATCH(C1376,Products!$A$2:$A$49,0))</f>
        <v>Grocery Staples</v>
      </c>
      <c r="H1376" s="33" t="n">
        <f aca="false">D1376*INDEX(Products!$E$2:$E$49,MATCH(C1376,Products!$A$2:$A$49,0))</f>
        <v>21480</v>
      </c>
      <c r="I1376" s="33" t="n">
        <f aca="false">D1376*INDEX(Products!$D$2:$D$49,MATCH(C1376,Products!$A$2:$A$49,0))*(1+INDEX(Assumptions!$B$16:$B$20,MATCH(B1376,Assumptions!$A$16:$A$20,0)))</f>
        <v>18584.496</v>
      </c>
      <c r="J1376" s="33" t="n">
        <f aca="false">H1376-I1376</f>
        <v>2895.504</v>
      </c>
      <c r="K1376" s="33" t="n">
        <f aca="false">IF(OR(E1376=0,E1376&gt;=7),0,D1376/(7-E1376)*E1376*INDEX(Products!$E$2:$E$49,MATCH(C1376,Products!$A$2:$A$49,0)))</f>
        <v>0</v>
      </c>
    </row>
    <row r="1377" customFormat="false" ht="15" hidden="false" customHeight="false" outlineLevel="0" collapsed="false">
      <c r="A1377" s="36" t="n">
        <v>46118</v>
      </c>
      <c r="B1377" s="24" t="s">
        <v>62</v>
      </c>
      <c r="C1377" s="24" t="s">
        <v>129</v>
      </c>
      <c r="D1377" s="33" t="n">
        <v>177</v>
      </c>
      <c r="E1377" s="24" t="n">
        <v>0</v>
      </c>
      <c r="F1377" s="37" t="n">
        <f aca="false">DATE(YEAR(A1377),MONTH(A1377),1)</f>
        <v>46113</v>
      </c>
      <c r="G1377" s="24" t="str">
        <f aca="false">INDEX(Products!$C$2:$C$49,MATCH(C1377,Products!$A$2:$A$49,0))</f>
        <v>Grocery Staples</v>
      </c>
      <c r="H1377" s="33" t="n">
        <f aca="false">D1377*INDEX(Products!$E$2:$E$49,MATCH(C1377,Products!$A$2:$A$49,0))</f>
        <v>37170</v>
      </c>
      <c r="I1377" s="33" t="n">
        <f aca="false">D1377*INDEX(Products!$D$2:$D$49,MATCH(C1377,Products!$A$2:$A$49,0))*(1+INDEX(Assumptions!$B$16:$B$20,MATCH(B1377,Assumptions!$A$16:$A$20,0)))</f>
        <v>33185.376</v>
      </c>
      <c r="J1377" s="33" t="n">
        <f aca="false">H1377-I1377</f>
        <v>3984.624</v>
      </c>
      <c r="K1377" s="33" t="n">
        <f aca="false">IF(OR(E1377=0,E1377&gt;=7),0,D1377/(7-E1377)*E1377*INDEX(Products!$E$2:$E$49,MATCH(C1377,Products!$A$2:$A$49,0)))</f>
        <v>0</v>
      </c>
    </row>
    <row r="1378" customFormat="false" ht="15" hidden="false" customHeight="false" outlineLevel="0" collapsed="false">
      <c r="A1378" s="36" t="n">
        <v>46125</v>
      </c>
      <c r="B1378" s="24" t="s">
        <v>62</v>
      </c>
      <c r="C1378" s="24" t="s">
        <v>129</v>
      </c>
      <c r="D1378" s="33" t="n">
        <v>184</v>
      </c>
      <c r="E1378" s="24" t="n">
        <v>0</v>
      </c>
      <c r="F1378" s="37" t="n">
        <f aca="false">DATE(YEAR(A1378),MONTH(A1378),1)</f>
        <v>46113</v>
      </c>
      <c r="G1378" s="24" t="str">
        <f aca="false">INDEX(Products!$C$2:$C$49,MATCH(C1378,Products!$A$2:$A$49,0))</f>
        <v>Grocery Staples</v>
      </c>
      <c r="H1378" s="33" t="n">
        <f aca="false">D1378*INDEX(Products!$E$2:$E$49,MATCH(C1378,Products!$A$2:$A$49,0))</f>
        <v>38640</v>
      </c>
      <c r="I1378" s="33" t="n">
        <f aca="false">D1378*INDEX(Products!$D$2:$D$49,MATCH(C1378,Products!$A$2:$A$49,0))*(1+INDEX(Assumptions!$B$16:$B$20,MATCH(B1378,Assumptions!$A$16:$A$20,0)))</f>
        <v>34497.792</v>
      </c>
      <c r="J1378" s="33" t="n">
        <f aca="false">H1378-I1378</f>
        <v>4142.208</v>
      </c>
      <c r="K1378" s="33" t="n">
        <f aca="false">IF(OR(E1378=0,E1378&gt;=7),0,D1378/(7-E1378)*E1378*INDEX(Products!$E$2:$E$49,MATCH(C1378,Products!$A$2:$A$49,0)))</f>
        <v>0</v>
      </c>
    </row>
    <row r="1379" customFormat="false" ht="15" hidden="false" customHeight="false" outlineLevel="0" collapsed="false">
      <c r="A1379" s="36" t="n">
        <v>46132</v>
      </c>
      <c r="B1379" s="24" t="s">
        <v>62</v>
      </c>
      <c r="C1379" s="24" t="s">
        <v>129</v>
      </c>
      <c r="D1379" s="33" t="n">
        <v>221</v>
      </c>
      <c r="E1379" s="24" t="n">
        <v>0</v>
      </c>
      <c r="F1379" s="37" t="n">
        <f aca="false">DATE(YEAR(A1379),MONTH(A1379),1)</f>
        <v>46113</v>
      </c>
      <c r="G1379" s="24" t="str">
        <f aca="false">INDEX(Products!$C$2:$C$49,MATCH(C1379,Products!$A$2:$A$49,0))</f>
        <v>Grocery Staples</v>
      </c>
      <c r="H1379" s="33" t="n">
        <f aca="false">D1379*INDEX(Products!$E$2:$E$49,MATCH(C1379,Products!$A$2:$A$49,0))</f>
        <v>46410</v>
      </c>
      <c r="I1379" s="33" t="n">
        <f aca="false">D1379*INDEX(Products!$D$2:$D$49,MATCH(C1379,Products!$A$2:$A$49,0))*(1+INDEX(Assumptions!$B$16:$B$20,MATCH(B1379,Assumptions!$A$16:$A$20,0)))</f>
        <v>41434.848</v>
      </c>
      <c r="J1379" s="33" t="n">
        <f aca="false">H1379-I1379</f>
        <v>4975.152</v>
      </c>
      <c r="K1379" s="33" t="n">
        <f aca="false">IF(OR(E1379=0,E1379&gt;=7),0,D1379/(7-E1379)*E1379*INDEX(Products!$E$2:$E$49,MATCH(C1379,Products!$A$2:$A$49,0)))</f>
        <v>0</v>
      </c>
    </row>
    <row r="1380" customFormat="false" ht="15" hidden="false" customHeight="false" outlineLevel="0" collapsed="false">
      <c r="A1380" s="36" t="n">
        <v>46139</v>
      </c>
      <c r="B1380" s="24" t="s">
        <v>62</v>
      </c>
      <c r="C1380" s="24" t="s">
        <v>129</v>
      </c>
      <c r="D1380" s="33" t="n">
        <v>196</v>
      </c>
      <c r="E1380" s="24" t="n">
        <v>0</v>
      </c>
      <c r="F1380" s="37" t="n">
        <f aca="false">DATE(YEAR(A1380),MONTH(A1380),1)</f>
        <v>46113</v>
      </c>
      <c r="G1380" s="24" t="str">
        <f aca="false">INDEX(Products!$C$2:$C$49,MATCH(C1380,Products!$A$2:$A$49,0))</f>
        <v>Grocery Staples</v>
      </c>
      <c r="H1380" s="33" t="n">
        <f aca="false">D1380*INDEX(Products!$E$2:$E$49,MATCH(C1380,Products!$A$2:$A$49,0))</f>
        <v>41160</v>
      </c>
      <c r="I1380" s="33" t="n">
        <f aca="false">D1380*INDEX(Products!$D$2:$D$49,MATCH(C1380,Products!$A$2:$A$49,0))*(1+INDEX(Assumptions!$B$16:$B$20,MATCH(B1380,Assumptions!$A$16:$A$20,0)))</f>
        <v>36747.648</v>
      </c>
      <c r="J1380" s="33" t="n">
        <f aca="false">H1380-I1380</f>
        <v>4412.352</v>
      </c>
      <c r="K1380" s="33" t="n">
        <f aca="false">IF(OR(E1380=0,E1380&gt;=7),0,D1380/(7-E1380)*E1380*INDEX(Products!$E$2:$E$49,MATCH(C1380,Products!$A$2:$A$49,0)))</f>
        <v>0</v>
      </c>
    </row>
    <row r="1381" customFormat="false" ht="15" hidden="false" customHeight="false" outlineLevel="0" collapsed="false">
      <c r="A1381" s="36" t="n">
        <v>46146</v>
      </c>
      <c r="B1381" s="24" t="s">
        <v>62</v>
      </c>
      <c r="C1381" s="24" t="s">
        <v>129</v>
      </c>
      <c r="D1381" s="33" t="n">
        <v>175</v>
      </c>
      <c r="E1381" s="24" t="n">
        <v>0</v>
      </c>
      <c r="F1381" s="37" t="n">
        <f aca="false">DATE(YEAR(A1381),MONTH(A1381),1)</f>
        <v>46143</v>
      </c>
      <c r="G1381" s="24" t="str">
        <f aca="false">INDEX(Products!$C$2:$C$49,MATCH(C1381,Products!$A$2:$A$49,0))</f>
        <v>Grocery Staples</v>
      </c>
      <c r="H1381" s="33" t="n">
        <f aca="false">D1381*INDEX(Products!$E$2:$E$49,MATCH(C1381,Products!$A$2:$A$49,0))</f>
        <v>36750</v>
      </c>
      <c r="I1381" s="33" t="n">
        <f aca="false">D1381*INDEX(Products!$D$2:$D$49,MATCH(C1381,Products!$A$2:$A$49,0))*(1+INDEX(Assumptions!$B$16:$B$20,MATCH(B1381,Assumptions!$A$16:$A$20,0)))</f>
        <v>32810.4</v>
      </c>
      <c r="J1381" s="33" t="n">
        <f aca="false">H1381-I1381</f>
        <v>3939.6</v>
      </c>
      <c r="K1381" s="33" t="n">
        <f aca="false">IF(OR(E1381=0,E1381&gt;=7),0,D1381/(7-E1381)*E1381*INDEX(Products!$E$2:$E$49,MATCH(C1381,Products!$A$2:$A$49,0)))</f>
        <v>0</v>
      </c>
    </row>
    <row r="1382" customFormat="false" ht="15" hidden="false" customHeight="false" outlineLevel="0" collapsed="false">
      <c r="A1382" s="36" t="n">
        <v>46153</v>
      </c>
      <c r="B1382" s="24" t="s">
        <v>62</v>
      </c>
      <c r="C1382" s="24" t="s">
        <v>129</v>
      </c>
      <c r="D1382" s="33" t="n">
        <v>182</v>
      </c>
      <c r="E1382" s="24" t="n">
        <v>0</v>
      </c>
      <c r="F1382" s="37" t="n">
        <f aca="false">DATE(YEAR(A1382),MONTH(A1382),1)</f>
        <v>46143</v>
      </c>
      <c r="G1382" s="24" t="str">
        <f aca="false">INDEX(Products!$C$2:$C$49,MATCH(C1382,Products!$A$2:$A$49,0))</f>
        <v>Grocery Staples</v>
      </c>
      <c r="H1382" s="33" t="n">
        <f aca="false">D1382*INDEX(Products!$E$2:$E$49,MATCH(C1382,Products!$A$2:$A$49,0))</f>
        <v>38220</v>
      </c>
      <c r="I1382" s="33" t="n">
        <f aca="false">D1382*INDEX(Products!$D$2:$D$49,MATCH(C1382,Products!$A$2:$A$49,0))*(1+INDEX(Assumptions!$B$16:$B$20,MATCH(B1382,Assumptions!$A$16:$A$20,0)))</f>
        <v>34122.816</v>
      </c>
      <c r="J1382" s="33" t="n">
        <f aca="false">H1382-I1382</f>
        <v>4097.184</v>
      </c>
      <c r="K1382" s="33" t="n">
        <f aca="false">IF(OR(E1382=0,E1382&gt;=7),0,D1382/(7-E1382)*E1382*INDEX(Products!$E$2:$E$49,MATCH(C1382,Products!$A$2:$A$49,0)))</f>
        <v>0</v>
      </c>
    </row>
    <row r="1383" customFormat="false" ht="15" hidden="false" customHeight="false" outlineLevel="0" collapsed="false">
      <c r="A1383" s="36" t="n">
        <v>46160</v>
      </c>
      <c r="B1383" s="24" t="s">
        <v>62</v>
      </c>
      <c r="C1383" s="24" t="s">
        <v>129</v>
      </c>
      <c r="D1383" s="33" t="n">
        <v>185</v>
      </c>
      <c r="E1383" s="24" t="n">
        <v>0</v>
      </c>
      <c r="F1383" s="37" t="n">
        <f aca="false">DATE(YEAR(A1383),MONTH(A1383),1)</f>
        <v>46143</v>
      </c>
      <c r="G1383" s="24" t="str">
        <f aca="false">INDEX(Products!$C$2:$C$49,MATCH(C1383,Products!$A$2:$A$49,0))</f>
        <v>Grocery Staples</v>
      </c>
      <c r="H1383" s="33" t="n">
        <f aca="false">D1383*INDEX(Products!$E$2:$E$49,MATCH(C1383,Products!$A$2:$A$49,0))</f>
        <v>38850</v>
      </c>
      <c r="I1383" s="33" t="n">
        <f aca="false">D1383*INDEX(Products!$D$2:$D$49,MATCH(C1383,Products!$A$2:$A$49,0))*(1+INDEX(Assumptions!$B$16:$B$20,MATCH(B1383,Assumptions!$A$16:$A$20,0)))</f>
        <v>34685.28</v>
      </c>
      <c r="J1383" s="33" t="n">
        <f aca="false">H1383-I1383</f>
        <v>4164.72</v>
      </c>
      <c r="K1383" s="33" t="n">
        <f aca="false">IF(OR(E1383=0,E1383&gt;=7),0,D1383/(7-E1383)*E1383*INDEX(Products!$E$2:$E$49,MATCH(C1383,Products!$A$2:$A$49,0)))</f>
        <v>0</v>
      </c>
    </row>
    <row r="1384" customFormat="false" ht="15" hidden="false" customHeight="false" outlineLevel="0" collapsed="false">
      <c r="A1384" s="36" t="n">
        <v>46167</v>
      </c>
      <c r="B1384" s="24" t="s">
        <v>62</v>
      </c>
      <c r="C1384" s="24" t="s">
        <v>129</v>
      </c>
      <c r="D1384" s="33" t="n">
        <v>199</v>
      </c>
      <c r="E1384" s="24" t="n">
        <v>0</v>
      </c>
      <c r="F1384" s="37" t="n">
        <f aca="false">DATE(YEAR(A1384),MONTH(A1384),1)</f>
        <v>46143</v>
      </c>
      <c r="G1384" s="24" t="str">
        <f aca="false">INDEX(Products!$C$2:$C$49,MATCH(C1384,Products!$A$2:$A$49,0))</f>
        <v>Grocery Staples</v>
      </c>
      <c r="H1384" s="33" t="n">
        <f aca="false">D1384*INDEX(Products!$E$2:$E$49,MATCH(C1384,Products!$A$2:$A$49,0))</f>
        <v>41790</v>
      </c>
      <c r="I1384" s="33" t="n">
        <f aca="false">D1384*INDEX(Products!$D$2:$D$49,MATCH(C1384,Products!$A$2:$A$49,0))*(1+INDEX(Assumptions!$B$16:$B$20,MATCH(B1384,Assumptions!$A$16:$A$20,0)))</f>
        <v>37310.112</v>
      </c>
      <c r="J1384" s="33" t="n">
        <f aca="false">H1384-I1384</f>
        <v>4479.888</v>
      </c>
      <c r="K1384" s="33" t="n">
        <f aca="false">IF(OR(E1384=0,E1384&gt;=7),0,D1384/(7-E1384)*E1384*INDEX(Products!$E$2:$E$49,MATCH(C1384,Products!$A$2:$A$49,0)))</f>
        <v>0</v>
      </c>
    </row>
    <row r="1385" customFormat="false" ht="15" hidden="false" customHeight="false" outlineLevel="0" collapsed="false">
      <c r="A1385" s="36" t="n">
        <v>46174</v>
      </c>
      <c r="B1385" s="24" t="s">
        <v>62</v>
      </c>
      <c r="C1385" s="24" t="s">
        <v>129</v>
      </c>
      <c r="D1385" s="33" t="n">
        <v>172</v>
      </c>
      <c r="E1385" s="24" t="n">
        <v>0</v>
      </c>
      <c r="F1385" s="37" t="n">
        <f aca="false">DATE(YEAR(A1385),MONTH(A1385),1)</f>
        <v>46174</v>
      </c>
      <c r="G1385" s="24" t="str">
        <f aca="false">INDEX(Products!$C$2:$C$49,MATCH(C1385,Products!$A$2:$A$49,0))</f>
        <v>Grocery Staples</v>
      </c>
      <c r="H1385" s="33" t="n">
        <f aca="false">D1385*INDEX(Products!$E$2:$E$49,MATCH(C1385,Products!$A$2:$A$49,0))</f>
        <v>36120</v>
      </c>
      <c r="I1385" s="33" t="n">
        <f aca="false">D1385*INDEX(Products!$D$2:$D$49,MATCH(C1385,Products!$A$2:$A$49,0))*(1+INDEX(Assumptions!$B$16:$B$20,MATCH(B1385,Assumptions!$A$16:$A$20,0)))</f>
        <v>32247.936</v>
      </c>
      <c r="J1385" s="33" t="n">
        <f aca="false">H1385-I1385</f>
        <v>3872.064</v>
      </c>
      <c r="K1385" s="33" t="n">
        <f aca="false">IF(OR(E1385=0,E1385&gt;=7),0,D1385/(7-E1385)*E1385*INDEX(Products!$E$2:$E$49,MATCH(C1385,Products!$A$2:$A$49,0)))</f>
        <v>0</v>
      </c>
    </row>
    <row r="1386" customFormat="false" ht="15" hidden="false" customHeight="false" outlineLevel="0" collapsed="false">
      <c r="A1386" s="36" t="n">
        <v>46181</v>
      </c>
      <c r="B1386" s="24" t="s">
        <v>62</v>
      </c>
      <c r="C1386" s="24" t="s">
        <v>129</v>
      </c>
      <c r="D1386" s="33" t="n">
        <v>181</v>
      </c>
      <c r="E1386" s="24" t="n">
        <v>0</v>
      </c>
      <c r="F1386" s="37" t="n">
        <f aca="false">DATE(YEAR(A1386),MONTH(A1386),1)</f>
        <v>46174</v>
      </c>
      <c r="G1386" s="24" t="str">
        <f aca="false">INDEX(Products!$C$2:$C$49,MATCH(C1386,Products!$A$2:$A$49,0))</f>
        <v>Grocery Staples</v>
      </c>
      <c r="H1386" s="33" t="n">
        <f aca="false">D1386*INDEX(Products!$E$2:$E$49,MATCH(C1386,Products!$A$2:$A$49,0))</f>
        <v>38010</v>
      </c>
      <c r="I1386" s="33" t="n">
        <f aca="false">D1386*INDEX(Products!$D$2:$D$49,MATCH(C1386,Products!$A$2:$A$49,0))*(1+INDEX(Assumptions!$B$16:$B$20,MATCH(B1386,Assumptions!$A$16:$A$20,0)))</f>
        <v>33935.328</v>
      </c>
      <c r="J1386" s="33" t="n">
        <f aca="false">H1386-I1386</f>
        <v>4074.672</v>
      </c>
      <c r="K1386" s="33" t="n">
        <f aca="false">IF(OR(E1386=0,E1386&gt;=7),0,D1386/(7-E1386)*E1386*INDEX(Products!$E$2:$E$49,MATCH(C1386,Products!$A$2:$A$49,0)))</f>
        <v>0</v>
      </c>
    </row>
    <row r="1387" customFormat="false" ht="15" hidden="false" customHeight="false" outlineLevel="0" collapsed="false">
      <c r="A1387" s="36" t="n">
        <v>46188</v>
      </c>
      <c r="B1387" s="24" t="s">
        <v>62</v>
      </c>
      <c r="C1387" s="24" t="s">
        <v>129</v>
      </c>
      <c r="D1387" s="33" t="n">
        <v>165</v>
      </c>
      <c r="E1387" s="24" t="n">
        <v>0</v>
      </c>
      <c r="F1387" s="37" t="n">
        <f aca="false">DATE(YEAR(A1387),MONTH(A1387),1)</f>
        <v>46174</v>
      </c>
      <c r="G1387" s="24" t="str">
        <f aca="false">INDEX(Products!$C$2:$C$49,MATCH(C1387,Products!$A$2:$A$49,0))</f>
        <v>Grocery Staples</v>
      </c>
      <c r="H1387" s="33" t="n">
        <f aca="false">D1387*INDEX(Products!$E$2:$E$49,MATCH(C1387,Products!$A$2:$A$49,0))</f>
        <v>34650</v>
      </c>
      <c r="I1387" s="33" t="n">
        <f aca="false">D1387*INDEX(Products!$D$2:$D$49,MATCH(C1387,Products!$A$2:$A$49,0))*(1+INDEX(Assumptions!$B$16:$B$20,MATCH(B1387,Assumptions!$A$16:$A$20,0)))</f>
        <v>30935.52</v>
      </c>
      <c r="J1387" s="33" t="n">
        <f aca="false">H1387-I1387</f>
        <v>3714.48</v>
      </c>
      <c r="K1387" s="33" t="n">
        <f aca="false">IF(OR(E1387=0,E1387&gt;=7),0,D1387/(7-E1387)*E1387*INDEX(Products!$E$2:$E$49,MATCH(C1387,Products!$A$2:$A$49,0)))</f>
        <v>0</v>
      </c>
    </row>
    <row r="1388" customFormat="false" ht="15" hidden="false" customHeight="false" outlineLevel="0" collapsed="false">
      <c r="A1388" s="36" t="n">
        <v>46195</v>
      </c>
      <c r="B1388" s="24" t="s">
        <v>62</v>
      </c>
      <c r="C1388" s="24" t="s">
        <v>129</v>
      </c>
      <c r="D1388" s="33" t="n">
        <v>182</v>
      </c>
      <c r="E1388" s="24" t="n">
        <v>0</v>
      </c>
      <c r="F1388" s="37" t="n">
        <f aca="false">DATE(YEAR(A1388),MONTH(A1388),1)</f>
        <v>46174</v>
      </c>
      <c r="G1388" s="24" t="str">
        <f aca="false">INDEX(Products!$C$2:$C$49,MATCH(C1388,Products!$A$2:$A$49,0))</f>
        <v>Grocery Staples</v>
      </c>
      <c r="H1388" s="33" t="n">
        <f aca="false">D1388*INDEX(Products!$E$2:$E$49,MATCH(C1388,Products!$A$2:$A$49,0))</f>
        <v>38220</v>
      </c>
      <c r="I1388" s="33" t="n">
        <f aca="false">D1388*INDEX(Products!$D$2:$D$49,MATCH(C1388,Products!$A$2:$A$49,0))*(1+INDEX(Assumptions!$B$16:$B$20,MATCH(B1388,Assumptions!$A$16:$A$20,0)))</f>
        <v>34122.816</v>
      </c>
      <c r="J1388" s="33" t="n">
        <f aca="false">H1388-I1388</f>
        <v>4097.184</v>
      </c>
      <c r="K1388" s="33" t="n">
        <f aca="false">IF(OR(E1388=0,E1388&gt;=7),0,D1388/(7-E1388)*E1388*INDEX(Products!$E$2:$E$49,MATCH(C1388,Products!$A$2:$A$49,0)))</f>
        <v>0</v>
      </c>
    </row>
    <row r="1389" customFormat="false" ht="15" hidden="false" customHeight="false" outlineLevel="0" collapsed="false">
      <c r="A1389" s="36" t="n">
        <v>46202</v>
      </c>
      <c r="B1389" s="24" t="s">
        <v>62</v>
      </c>
      <c r="C1389" s="24" t="s">
        <v>129</v>
      </c>
      <c r="D1389" s="33" t="n">
        <v>174</v>
      </c>
      <c r="E1389" s="24" t="n">
        <v>0</v>
      </c>
      <c r="F1389" s="37" t="n">
        <f aca="false">DATE(YEAR(A1389),MONTH(A1389),1)</f>
        <v>46174</v>
      </c>
      <c r="G1389" s="24" t="str">
        <f aca="false">INDEX(Products!$C$2:$C$49,MATCH(C1389,Products!$A$2:$A$49,0))</f>
        <v>Grocery Staples</v>
      </c>
      <c r="H1389" s="33" t="n">
        <f aca="false">D1389*INDEX(Products!$E$2:$E$49,MATCH(C1389,Products!$A$2:$A$49,0))</f>
        <v>36540</v>
      </c>
      <c r="I1389" s="33" t="n">
        <f aca="false">D1389*INDEX(Products!$D$2:$D$49,MATCH(C1389,Products!$A$2:$A$49,0))*(1+INDEX(Assumptions!$B$16:$B$20,MATCH(B1389,Assumptions!$A$16:$A$20,0)))</f>
        <v>32622.912</v>
      </c>
      <c r="J1389" s="33" t="n">
        <f aca="false">H1389-I1389</f>
        <v>3917.088</v>
      </c>
      <c r="K1389" s="33" t="n">
        <f aca="false">IF(OR(E1389=0,E1389&gt;=7),0,D1389/(7-E1389)*E1389*INDEX(Products!$E$2:$E$49,MATCH(C1389,Products!$A$2:$A$49,0)))</f>
        <v>0</v>
      </c>
    </row>
    <row r="1390" customFormat="false" ht="15" hidden="false" customHeight="false" outlineLevel="0" collapsed="false">
      <c r="A1390" s="36" t="n">
        <v>46209</v>
      </c>
      <c r="B1390" s="24" t="s">
        <v>62</v>
      </c>
      <c r="C1390" s="24" t="s">
        <v>129</v>
      </c>
      <c r="D1390" s="33" t="n">
        <v>168</v>
      </c>
      <c r="E1390" s="24" t="n">
        <v>0</v>
      </c>
      <c r="F1390" s="37" t="n">
        <f aca="false">DATE(YEAR(A1390),MONTH(A1390),1)</f>
        <v>46204</v>
      </c>
      <c r="G1390" s="24" t="str">
        <f aca="false">INDEX(Products!$C$2:$C$49,MATCH(C1390,Products!$A$2:$A$49,0))</f>
        <v>Grocery Staples</v>
      </c>
      <c r="H1390" s="33" t="n">
        <f aca="false">D1390*INDEX(Products!$E$2:$E$49,MATCH(C1390,Products!$A$2:$A$49,0))</f>
        <v>35280</v>
      </c>
      <c r="I1390" s="33" t="n">
        <f aca="false">D1390*INDEX(Products!$D$2:$D$49,MATCH(C1390,Products!$A$2:$A$49,0))*(1+INDEX(Assumptions!$B$16:$B$20,MATCH(B1390,Assumptions!$A$16:$A$20,0)))</f>
        <v>31497.984</v>
      </c>
      <c r="J1390" s="33" t="n">
        <f aca="false">H1390-I1390</f>
        <v>3782.016</v>
      </c>
      <c r="K1390" s="33" t="n">
        <f aca="false">IF(OR(E1390=0,E1390&gt;=7),0,D1390/(7-E1390)*E1390*INDEX(Products!$E$2:$E$49,MATCH(C1390,Products!$A$2:$A$49,0)))</f>
        <v>0</v>
      </c>
    </row>
    <row r="1391" customFormat="false" ht="15" hidden="false" customHeight="false" outlineLevel="0" collapsed="false">
      <c r="A1391" s="36" t="n">
        <v>46216</v>
      </c>
      <c r="B1391" s="24" t="s">
        <v>62</v>
      </c>
      <c r="C1391" s="24" t="s">
        <v>129</v>
      </c>
      <c r="D1391" s="33" t="n">
        <v>180</v>
      </c>
      <c r="E1391" s="24" t="n">
        <v>0</v>
      </c>
      <c r="F1391" s="37" t="n">
        <f aca="false">DATE(YEAR(A1391),MONTH(A1391),1)</f>
        <v>46204</v>
      </c>
      <c r="G1391" s="24" t="str">
        <f aca="false">INDEX(Products!$C$2:$C$49,MATCH(C1391,Products!$A$2:$A$49,0))</f>
        <v>Grocery Staples</v>
      </c>
      <c r="H1391" s="33" t="n">
        <f aca="false">D1391*INDEX(Products!$E$2:$E$49,MATCH(C1391,Products!$A$2:$A$49,0))</f>
        <v>37800</v>
      </c>
      <c r="I1391" s="33" t="n">
        <f aca="false">D1391*INDEX(Products!$D$2:$D$49,MATCH(C1391,Products!$A$2:$A$49,0))*(1+INDEX(Assumptions!$B$16:$B$20,MATCH(B1391,Assumptions!$A$16:$A$20,0)))</f>
        <v>33747.84</v>
      </c>
      <c r="J1391" s="33" t="n">
        <f aca="false">H1391-I1391</f>
        <v>4052.16</v>
      </c>
      <c r="K1391" s="33" t="n">
        <f aca="false">IF(OR(E1391=0,E1391&gt;=7),0,D1391/(7-E1391)*E1391*INDEX(Products!$E$2:$E$49,MATCH(C1391,Products!$A$2:$A$49,0)))</f>
        <v>0</v>
      </c>
    </row>
    <row r="1392" customFormat="false" ht="15" hidden="false" customHeight="false" outlineLevel="0" collapsed="false">
      <c r="A1392" s="36" t="n">
        <v>46223</v>
      </c>
      <c r="B1392" s="24" t="s">
        <v>62</v>
      </c>
      <c r="C1392" s="24" t="s">
        <v>129</v>
      </c>
      <c r="D1392" s="33" t="n">
        <v>169</v>
      </c>
      <c r="E1392" s="24" t="n">
        <v>0</v>
      </c>
      <c r="F1392" s="37" t="n">
        <f aca="false">DATE(YEAR(A1392),MONTH(A1392),1)</f>
        <v>46204</v>
      </c>
      <c r="G1392" s="24" t="str">
        <f aca="false">INDEX(Products!$C$2:$C$49,MATCH(C1392,Products!$A$2:$A$49,0))</f>
        <v>Grocery Staples</v>
      </c>
      <c r="H1392" s="33" t="n">
        <f aca="false">D1392*INDEX(Products!$E$2:$E$49,MATCH(C1392,Products!$A$2:$A$49,0))</f>
        <v>35490</v>
      </c>
      <c r="I1392" s="33" t="n">
        <f aca="false">D1392*INDEX(Products!$D$2:$D$49,MATCH(C1392,Products!$A$2:$A$49,0))*(1+INDEX(Assumptions!$B$16:$B$20,MATCH(B1392,Assumptions!$A$16:$A$20,0)))</f>
        <v>31685.472</v>
      </c>
      <c r="J1392" s="33" t="n">
        <f aca="false">H1392-I1392</f>
        <v>3804.528</v>
      </c>
      <c r="K1392" s="33" t="n">
        <f aca="false">IF(OR(E1392=0,E1392&gt;=7),0,D1392/(7-E1392)*E1392*INDEX(Products!$E$2:$E$49,MATCH(C1392,Products!$A$2:$A$49,0)))</f>
        <v>0</v>
      </c>
    </row>
    <row r="1393" customFormat="false" ht="15" hidden="false" customHeight="false" outlineLevel="0" collapsed="false">
      <c r="A1393" s="36" t="n">
        <v>46230</v>
      </c>
      <c r="B1393" s="24" t="s">
        <v>62</v>
      </c>
      <c r="C1393" s="24" t="s">
        <v>129</v>
      </c>
      <c r="D1393" s="33" t="n">
        <v>182</v>
      </c>
      <c r="E1393" s="24" t="n">
        <v>0</v>
      </c>
      <c r="F1393" s="37" t="n">
        <f aca="false">DATE(YEAR(A1393),MONTH(A1393),1)</f>
        <v>46204</v>
      </c>
      <c r="G1393" s="24" t="str">
        <f aca="false">INDEX(Products!$C$2:$C$49,MATCH(C1393,Products!$A$2:$A$49,0))</f>
        <v>Grocery Staples</v>
      </c>
      <c r="H1393" s="33" t="n">
        <f aca="false">D1393*INDEX(Products!$E$2:$E$49,MATCH(C1393,Products!$A$2:$A$49,0))</f>
        <v>38220</v>
      </c>
      <c r="I1393" s="33" t="n">
        <f aca="false">D1393*INDEX(Products!$D$2:$D$49,MATCH(C1393,Products!$A$2:$A$49,0))*(1+INDEX(Assumptions!$B$16:$B$20,MATCH(B1393,Assumptions!$A$16:$A$20,0)))</f>
        <v>34122.816</v>
      </c>
      <c r="J1393" s="33" t="n">
        <f aca="false">H1393-I1393</f>
        <v>4097.184</v>
      </c>
      <c r="K1393" s="33" t="n">
        <f aca="false">IF(OR(E1393=0,E1393&gt;=7),0,D1393/(7-E1393)*E1393*INDEX(Products!$E$2:$E$49,MATCH(C1393,Products!$A$2:$A$49,0)))</f>
        <v>0</v>
      </c>
    </row>
    <row r="1394" customFormat="false" ht="15" hidden="false" customHeight="false" outlineLevel="0" collapsed="false">
      <c r="A1394" s="36" t="n">
        <v>46237</v>
      </c>
      <c r="B1394" s="24" t="s">
        <v>62</v>
      </c>
      <c r="C1394" s="24" t="s">
        <v>129</v>
      </c>
      <c r="D1394" s="33" t="n">
        <v>149</v>
      </c>
      <c r="E1394" s="24" t="n">
        <v>0</v>
      </c>
      <c r="F1394" s="37" t="n">
        <f aca="false">DATE(YEAR(A1394),MONTH(A1394),1)</f>
        <v>46235</v>
      </c>
      <c r="G1394" s="24" t="str">
        <f aca="false">INDEX(Products!$C$2:$C$49,MATCH(C1394,Products!$A$2:$A$49,0))</f>
        <v>Grocery Staples</v>
      </c>
      <c r="H1394" s="33" t="n">
        <f aca="false">D1394*INDEX(Products!$E$2:$E$49,MATCH(C1394,Products!$A$2:$A$49,0))</f>
        <v>31290</v>
      </c>
      <c r="I1394" s="33" t="n">
        <f aca="false">D1394*INDEX(Products!$D$2:$D$49,MATCH(C1394,Products!$A$2:$A$49,0))*(1+INDEX(Assumptions!$B$16:$B$20,MATCH(B1394,Assumptions!$A$16:$A$20,0)))</f>
        <v>27935.712</v>
      </c>
      <c r="J1394" s="33" t="n">
        <f aca="false">H1394-I1394</f>
        <v>3354.288</v>
      </c>
      <c r="K1394" s="33" t="n">
        <f aca="false">IF(OR(E1394=0,E1394&gt;=7),0,D1394/(7-E1394)*E1394*INDEX(Products!$E$2:$E$49,MATCH(C1394,Products!$A$2:$A$49,0)))</f>
        <v>0</v>
      </c>
    </row>
    <row r="1395" customFormat="false" ht="15" hidden="false" customHeight="false" outlineLevel="0" collapsed="false">
      <c r="A1395" s="36" t="n">
        <v>46244</v>
      </c>
      <c r="B1395" s="24" t="s">
        <v>62</v>
      </c>
      <c r="C1395" s="24" t="s">
        <v>129</v>
      </c>
      <c r="D1395" s="33" t="n">
        <v>172</v>
      </c>
      <c r="E1395" s="24" t="n">
        <v>0</v>
      </c>
      <c r="F1395" s="37" t="n">
        <f aca="false">DATE(YEAR(A1395),MONTH(A1395),1)</f>
        <v>46235</v>
      </c>
      <c r="G1395" s="24" t="str">
        <f aca="false">INDEX(Products!$C$2:$C$49,MATCH(C1395,Products!$A$2:$A$49,0))</f>
        <v>Grocery Staples</v>
      </c>
      <c r="H1395" s="33" t="n">
        <f aca="false">D1395*INDEX(Products!$E$2:$E$49,MATCH(C1395,Products!$A$2:$A$49,0))</f>
        <v>36120</v>
      </c>
      <c r="I1395" s="33" t="n">
        <f aca="false">D1395*INDEX(Products!$D$2:$D$49,MATCH(C1395,Products!$A$2:$A$49,0))*(1+INDEX(Assumptions!$B$16:$B$20,MATCH(B1395,Assumptions!$A$16:$A$20,0)))</f>
        <v>32247.936</v>
      </c>
      <c r="J1395" s="33" t="n">
        <f aca="false">H1395-I1395</f>
        <v>3872.064</v>
      </c>
      <c r="K1395" s="33" t="n">
        <f aca="false">IF(OR(E1395=0,E1395&gt;=7),0,D1395/(7-E1395)*E1395*INDEX(Products!$E$2:$E$49,MATCH(C1395,Products!$A$2:$A$49,0)))</f>
        <v>0</v>
      </c>
    </row>
    <row r="1396" customFormat="false" ht="15" hidden="false" customHeight="false" outlineLevel="0" collapsed="false">
      <c r="A1396" s="36" t="n">
        <v>46251</v>
      </c>
      <c r="B1396" s="24" t="s">
        <v>62</v>
      </c>
      <c r="C1396" s="24" t="s">
        <v>129</v>
      </c>
      <c r="D1396" s="33" t="n">
        <v>160</v>
      </c>
      <c r="E1396" s="24" t="n">
        <v>0</v>
      </c>
      <c r="F1396" s="37" t="n">
        <f aca="false">DATE(YEAR(A1396),MONTH(A1396),1)</f>
        <v>46235</v>
      </c>
      <c r="G1396" s="24" t="str">
        <f aca="false">INDEX(Products!$C$2:$C$49,MATCH(C1396,Products!$A$2:$A$49,0))</f>
        <v>Grocery Staples</v>
      </c>
      <c r="H1396" s="33" t="n">
        <f aca="false">D1396*INDEX(Products!$E$2:$E$49,MATCH(C1396,Products!$A$2:$A$49,0))</f>
        <v>33600</v>
      </c>
      <c r="I1396" s="33" t="n">
        <f aca="false">D1396*INDEX(Products!$D$2:$D$49,MATCH(C1396,Products!$A$2:$A$49,0))*(1+INDEX(Assumptions!$B$16:$B$20,MATCH(B1396,Assumptions!$A$16:$A$20,0)))</f>
        <v>29998.08</v>
      </c>
      <c r="J1396" s="33" t="n">
        <f aca="false">H1396-I1396</f>
        <v>3601.92</v>
      </c>
      <c r="K1396" s="33" t="n">
        <f aca="false">IF(OR(E1396=0,E1396&gt;=7),0,D1396/(7-E1396)*E1396*INDEX(Products!$E$2:$E$49,MATCH(C1396,Products!$A$2:$A$49,0)))</f>
        <v>0</v>
      </c>
    </row>
    <row r="1397" customFormat="false" ht="15" hidden="false" customHeight="false" outlineLevel="0" collapsed="false">
      <c r="A1397" s="36" t="n">
        <v>46258</v>
      </c>
      <c r="B1397" s="24" t="s">
        <v>62</v>
      </c>
      <c r="C1397" s="24" t="s">
        <v>129</v>
      </c>
      <c r="D1397" s="33" t="n">
        <v>180</v>
      </c>
      <c r="E1397" s="24" t="n">
        <v>0</v>
      </c>
      <c r="F1397" s="37" t="n">
        <f aca="false">DATE(YEAR(A1397),MONTH(A1397),1)</f>
        <v>46235</v>
      </c>
      <c r="G1397" s="24" t="str">
        <f aca="false">INDEX(Products!$C$2:$C$49,MATCH(C1397,Products!$A$2:$A$49,0))</f>
        <v>Grocery Staples</v>
      </c>
      <c r="H1397" s="33" t="n">
        <f aca="false">D1397*INDEX(Products!$E$2:$E$49,MATCH(C1397,Products!$A$2:$A$49,0))</f>
        <v>37800</v>
      </c>
      <c r="I1397" s="33" t="n">
        <f aca="false">D1397*INDEX(Products!$D$2:$D$49,MATCH(C1397,Products!$A$2:$A$49,0))*(1+INDEX(Assumptions!$B$16:$B$20,MATCH(B1397,Assumptions!$A$16:$A$20,0)))</f>
        <v>33747.84</v>
      </c>
      <c r="J1397" s="33" t="n">
        <f aca="false">H1397-I1397</f>
        <v>4052.16</v>
      </c>
      <c r="K1397" s="33" t="n">
        <f aca="false">IF(OR(E1397=0,E1397&gt;=7),0,D1397/(7-E1397)*E1397*INDEX(Products!$E$2:$E$49,MATCH(C1397,Products!$A$2:$A$49,0)))</f>
        <v>0</v>
      </c>
    </row>
    <row r="1398" customFormat="false" ht="15" hidden="false" customHeight="false" outlineLevel="0" collapsed="false">
      <c r="A1398" s="36" t="n">
        <v>46265</v>
      </c>
      <c r="B1398" s="24" t="s">
        <v>62</v>
      </c>
      <c r="C1398" s="24" t="s">
        <v>129</v>
      </c>
      <c r="D1398" s="33" t="n">
        <v>164</v>
      </c>
      <c r="E1398" s="24" t="n">
        <v>0</v>
      </c>
      <c r="F1398" s="37" t="n">
        <f aca="false">DATE(YEAR(A1398),MONTH(A1398),1)</f>
        <v>46235</v>
      </c>
      <c r="G1398" s="24" t="str">
        <f aca="false">INDEX(Products!$C$2:$C$49,MATCH(C1398,Products!$A$2:$A$49,0))</f>
        <v>Grocery Staples</v>
      </c>
      <c r="H1398" s="33" t="n">
        <f aca="false">D1398*INDEX(Products!$E$2:$E$49,MATCH(C1398,Products!$A$2:$A$49,0))</f>
        <v>34440</v>
      </c>
      <c r="I1398" s="33" t="n">
        <f aca="false">D1398*INDEX(Products!$D$2:$D$49,MATCH(C1398,Products!$A$2:$A$49,0))*(1+INDEX(Assumptions!$B$16:$B$20,MATCH(B1398,Assumptions!$A$16:$A$20,0)))</f>
        <v>30748.032</v>
      </c>
      <c r="J1398" s="33" t="n">
        <f aca="false">H1398-I1398</f>
        <v>3691.968</v>
      </c>
      <c r="K1398" s="33" t="n">
        <f aca="false">IF(OR(E1398=0,E1398&gt;=7),0,D1398/(7-E1398)*E1398*INDEX(Products!$E$2:$E$49,MATCH(C1398,Products!$A$2:$A$49,0)))</f>
        <v>0</v>
      </c>
    </row>
    <row r="1399" customFormat="false" ht="15" hidden="false" customHeight="false" outlineLevel="0" collapsed="false">
      <c r="A1399" s="36" t="n">
        <v>46272</v>
      </c>
      <c r="B1399" s="24" t="s">
        <v>62</v>
      </c>
      <c r="C1399" s="24" t="s">
        <v>129</v>
      </c>
      <c r="D1399" s="33" t="n">
        <v>167</v>
      </c>
      <c r="E1399" s="24" t="n">
        <v>0</v>
      </c>
      <c r="F1399" s="37" t="n">
        <f aca="false">DATE(YEAR(A1399),MONTH(A1399),1)</f>
        <v>46266</v>
      </c>
      <c r="G1399" s="24" t="str">
        <f aca="false">INDEX(Products!$C$2:$C$49,MATCH(C1399,Products!$A$2:$A$49,0))</f>
        <v>Grocery Staples</v>
      </c>
      <c r="H1399" s="33" t="n">
        <f aca="false">D1399*INDEX(Products!$E$2:$E$49,MATCH(C1399,Products!$A$2:$A$49,0))</f>
        <v>35070</v>
      </c>
      <c r="I1399" s="33" t="n">
        <f aca="false">D1399*INDEX(Products!$D$2:$D$49,MATCH(C1399,Products!$A$2:$A$49,0))*(1+INDEX(Assumptions!$B$16:$B$20,MATCH(B1399,Assumptions!$A$16:$A$20,0)))</f>
        <v>31310.496</v>
      </c>
      <c r="J1399" s="33" t="n">
        <f aca="false">H1399-I1399</f>
        <v>3759.504</v>
      </c>
      <c r="K1399" s="33" t="n">
        <f aca="false">IF(OR(E1399=0,E1399&gt;=7),0,D1399/(7-E1399)*E1399*INDEX(Products!$E$2:$E$49,MATCH(C1399,Products!$A$2:$A$49,0)))</f>
        <v>0</v>
      </c>
    </row>
    <row r="1400" customFormat="false" ht="15" hidden="false" customHeight="false" outlineLevel="0" collapsed="false">
      <c r="A1400" s="36" t="n">
        <v>46279</v>
      </c>
      <c r="B1400" s="24" t="s">
        <v>62</v>
      </c>
      <c r="C1400" s="24" t="s">
        <v>129</v>
      </c>
      <c r="D1400" s="33" t="n">
        <v>173</v>
      </c>
      <c r="E1400" s="24" t="n">
        <v>0</v>
      </c>
      <c r="F1400" s="37" t="n">
        <f aca="false">DATE(YEAR(A1400),MONTH(A1400),1)</f>
        <v>46266</v>
      </c>
      <c r="G1400" s="24" t="str">
        <f aca="false">INDEX(Products!$C$2:$C$49,MATCH(C1400,Products!$A$2:$A$49,0))</f>
        <v>Grocery Staples</v>
      </c>
      <c r="H1400" s="33" t="n">
        <f aca="false">D1400*INDEX(Products!$E$2:$E$49,MATCH(C1400,Products!$A$2:$A$49,0))</f>
        <v>36330</v>
      </c>
      <c r="I1400" s="33" t="n">
        <f aca="false">D1400*INDEX(Products!$D$2:$D$49,MATCH(C1400,Products!$A$2:$A$49,0))*(1+INDEX(Assumptions!$B$16:$B$20,MATCH(B1400,Assumptions!$A$16:$A$20,0)))</f>
        <v>32435.424</v>
      </c>
      <c r="J1400" s="33" t="n">
        <f aca="false">H1400-I1400</f>
        <v>3894.576</v>
      </c>
      <c r="K1400" s="33" t="n">
        <f aca="false">IF(OR(E1400=0,E1400&gt;=7),0,D1400/(7-E1400)*E1400*INDEX(Products!$E$2:$E$49,MATCH(C1400,Products!$A$2:$A$49,0)))</f>
        <v>0</v>
      </c>
    </row>
    <row r="1401" customFormat="false" ht="15" hidden="false" customHeight="false" outlineLevel="0" collapsed="false">
      <c r="A1401" s="36" t="n">
        <v>46286</v>
      </c>
      <c r="B1401" s="24" t="s">
        <v>62</v>
      </c>
      <c r="C1401" s="24" t="s">
        <v>129</v>
      </c>
      <c r="D1401" s="33" t="n">
        <v>197</v>
      </c>
      <c r="E1401" s="24" t="n">
        <v>0</v>
      </c>
      <c r="F1401" s="37" t="n">
        <f aca="false">DATE(YEAR(A1401),MONTH(A1401),1)</f>
        <v>46266</v>
      </c>
      <c r="G1401" s="24" t="str">
        <f aca="false">INDEX(Products!$C$2:$C$49,MATCH(C1401,Products!$A$2:$A$49,0))</f>
        <v>Grocery Staples</v>
      </c>
      <c r="H1401" s="33" t="n">
        <f aca="false">D1401*INDEX(Products!$E$2:$E$49,MATCH(C1401,Products!$A$2:$A$49,0))</f>
        <v>41370</v>
      </c>
      <c r="I1401" s="33" t="n">
        <f aca="false">D1401*INDEX(Products!$D$2:$D$49,MATCH(C1401,Products!$A$2:$A$49,0))*(1+INDEX(Assumptions!$B$16:$B$20,MATCH(B1401,Assumptions!$A$16:$A$20,0)))</f>
        <v>36935.136</v>
      </c>
      <c r="J1401" s="33" t="n">
        <f aca="false">H1401-I1401</f>
        <v>4434.864</v>
      </c>
      <c r="K1401" s="33" t="n">
        <f aca="false">IF(OR(E1401=0,E1401&gt;=7),0,D1401/(7-E1401)*E1401*INDEX(Products!$E$2:$E$49,MATCH(C1401,Products!$A$2:$A$49,0)))</f>
        <v>0</v>
      </c>
    </row>
    <row r="1402" customFormat="false" ht="15" hidden="false" customHeight="false" outlineLevel="0" collapsed="false">
      <c r="A1402" s="36" t="n">
        <v>46118</v>
      </c>
      <c r="B1402" s="24" t="s">
        <v>62</v>
      </c>
      <c r="C1402" s="24" t="s">
        <v>131</v>
      </c>
      <c r="D1402" s="33" t="n">
        <v>36</v>
      </c>
      <c r="E1402" s="24" t="n">
        <v>0</v>
      </c>
      <c r="F1402" s="37" t="n">
        <f aca="false">DATE(YEAR(A1402),MONTH(A1402),1)</f>
        <v>46113</v>
      </c>
      <c r="G1402" s="24" t="str">
        <f aca="false">INDEX(Products!$C$2:$C$49,MATCH(C1402,Products!$A$2:$A$49,0))</f>
        <v>Dairy &amp; Eggs</v>
      </c>
      <c r="H1402" s="33" t="n">
        <f aca="false">D1402*INDEX(Products!$E$2:$E$49,MATCH(C1402,Products!$A$2:$A$49,0))</f>
        <v>2340</v>
      </c>
      <c r="I1402" s="33" t="n">
        <f aca="false">D1402*INDEX(Products!$D$2:$D$49,MATCH(C1402,Products!$A$2:$A$49,0))*(1+INDEX(Assumptions!$B$16:$B$20,MATCH(B1402,Assumptions!$A$16:$A$20,0)))</f>
        <v>1850.688</v>
      </c>
      <c r="J1402" s="33" t="n">
        <f aca="false">H1402-I1402</f>
        <v>489.312</v>
      </c>
      <c r="K1402" s="33" t="n">
        <f aca="false">IF(OR(E1402=0,E1402&gt;=7),0,D1402/(7-E1402)*E1402*INDEX(Products!$E$2:$E$49,MATCH(C1402,Products!$A$2:$A$49,0)))</f>
        <v>0</v>
      </c>
    </row>
    <row r="1403" customFormat="false" ht="15" hidden="false" customHeight="false" outlineLevel="0" collapsed="false">
      <c r="A1403" s="36" t="n">
        <v>46125</v>
      </c>
      <c r="B1403" s="24" t="s">
        <v>62</v>
      </c>
      <c r="C1403" s="24" t="s">
        <v>131</v>
      </c>
      <c r="D1403" s="33" t="n">
        <v>22</v>
      </c>
      <c r="E1403" s="24" t="n">
        <v>0</v>
      </c>
      <c r="F1403" s="37" t="n">
        <f aca="false">DATE(YEAR(A1403),MONTH(A1403),1)</f>
        <v>46113</v>
      </c>
      <c r="G1403" s="24" t="str">
        <f aca="false">INDEX(Products!$C$2:$C$49,MATCH(C1403,Products!$A$2:$A$49,0))</f>
        <v>Dairy &amp; Eggs</v>
      </c>
      <c r="H1403" s="33" t="n">
        <f aca="false">D1403*INDEX(Products!$E$2:$E$49,MATCH(C1403,Products!$A$2:$A$49,0))</f>
        <v>1430</v>
      </c>
      <c r="I1403" s="33" t="n">
        <f aca="false">D1403*INDEX(Products!$D$2:$D$49,MATCH(C1403,Products!$A$2:$A$49,0))*(1+INDEX(Assumptions!$B$16:$B$20,MATCH(B1403,Assumptions!$A$16:$A$20,0)))</f>
        <v>1130.976</v>
      </c>
      <c r="J1403" s="33" t="n">
        <f aca="false">H1403-I1403</f>
        <v>299.024</v>
      </c>
      <c r="K1403" s="33" t="n">
        <f aca="false">IF(OR(E1403=0,E1403&gt;=7),0,D1403/(7-E1403)*E1403*INDEX(Products!$E$2:$E$49,MATCH(C1403,Products!$A$2:$A$49,0)))</f>
        <v>0</v>
      </c>
    </row>
    <row r="1404" customFormat="false" ht="15" hidden="false" customHeight="false" outlineLevel="0" collapsed="false">
      <c r="A1404" s="36" t="n">
        <v>46132</v>
      </c>
      <c r="B1404" s="24" t="s">
        <v>62</v>
      </c>
      <c r="C1404" s="24" t="s">
        <v>131</v>
      </c>
      <c r="D1404" s="33" t="n">
        <v>22</v>
      </c>
      <c r="E1404" s="24" t="n">
        <v>0</v>
      </c>
      <c r="F1404" s="37" t="n">
        <f aca="false">DATE(YEAR(A1404),MONTH(A1404),1)</f>
        <v>46113</v>
      </c>
      <c r="G1404" s="24" t="str">
        <f aca="false">INDEX(Products!$C$2:$C$49,MATCH(C1404,Products!$A$2:$A$49,0))</f>
        <v>Dairy &amp; Eggs</v>
      </c>
      <c r="H1404" s="33" t="n">
        <f aca="false">D1404*INDEX(Products!$E$2:$E$49,MATCH(C1404,Products!$A$2:$A$49,0))</f>
        <v>1430</v>
      </c>
      <c r="I1404" s="33" t="n">
        <f aca="false">D1404*INDEX(Products!$D$2:$D$49,MATCH(C1404,Products!$A$2:$A$49,0))*(1+INDEX(Assumptions!$B$16:$B$20,MATCH(B1404,Assumptions!$A$16:$A$20,0)))</f>
        <v>1130.976</v>
      </c>
      <c r="J1404" s="33" t="n">
        <f aca="false">H1404-I1404</f>
        <v>299.024</v>
      </c>
      <c r="K1404" s="33" t="n">
        <f aca="false">IF(OR(E1404=0,E1404&gt;=7),0,D1404/(7-E1404)*E1404*INDEX(Products!$E$2:$E$49,MATCH(C1404,Products!$A$2:$A$49,0)))</f>
        <v>0</v>
      </c>
    </row>
    <row r="1405" customFormat="false" ht="15" hidden="false" customHeight="false" outlineLevel="0" collapsed="false">
      <c r="A1405" s="36" t="n">
        <v>46139</v>
      </c>
      <c r="B1405" s="24" t="s">
        <v>62</v>
      </c>
      <c r="C1405" s="24" t="s">
        <v>131</v>
      </c>
      <c r="D1405" s="33" t="n">
        <v>28</v>
      </c>
      <c r="E1405" s="24" t="n">
        <v>0</v>
      </c>
      <c r="F1405" s="37" t="n">
        <f aca="false">DATE(YEAR(A1405),MONTH(A1405),1)</f>
        <v>46113</v>
      </c>
      <c r="G1405" s="24" t="str">
        <f aca="false">INDEX(Products!$C$2:$C$49,MATCH(C1405,Products!$A$2:$A$49,0))</f>
        <v>Dairy &amp; Eggs</v>
      </c>
      <c r="H1405" s="33" t="n">
        <f aca="false">D1405*INDEX(Products!$E$2:$E$49,MATCH(C1405,Products!$A$2:$A$49,0))</f>
        <v>1820</v>
      </c>
      <c r="I1405" s="33" t="n">
        <f aca="false">D1405*INDEX(Products!$D$2:$D$49,MATCH(C1405,Products!$A$2:$A$49,0))*(1+INDEX(Assumptions!$B$16:$B$20,MATCH(B1405,Assumptions!$A$16:$A$20,0)))</f>
        <v>1439.424</v>
      </c>
      <c r="J1405" s="33" t="n">
        <f aca="false">H1405-I1405</f>
        <v>380.576</v>
      </c>
      <c r="K1405" s="33" t="n">
        <f aca="false">IF(OR(E1405=0,E1405&gt;=7),0,D1405/(7-E1405)*E1405*INDEX(Products!$E$2:$E$49,MATCH(C1405,Products!$A$2:$A$49,0)))</f>
        <v>0</v>
      </c>
    </row>
    <row r="1406" customFormat="false" ht="15" hidden="false" customHeight="false" outlineLevel="0" collapsed="false">
      <c r="A1406" s="36" t="n">
        <v>46146</v>
      </c>
      <c r="B1406" s="24" t="s">
        <v>62</v>
      </c>
      <c r="C1406" s="24" t="s">
        <v>131</v>
      </c>
      <c r="D1406" s="33" t="n">
        <v>37</v>
      </c>
      <c r="E1406" s="24" t="n">
        <v>0</v>
      </c>
      <c r="F1406" s="37" t="n">
        <f aca="false">DATE(YEAR(A1406),MONTH(A1406),1)</f>
        <v>46143</v>
      </c>
      <c r="G1406" s="24" t="str">
        <f aca="false">INDEX(Products!$C$2:$C$49,MATCH(C1406,Products!$A$2:$A$49,0))</f>
        <v>Dairy &amp; Eggs</v>
      </c>
      <c r="H1406" s="33" t="n">
        <f aca="false">D1406*INDEX(Products!$E$2:$E$49,MATCH(C1406,Products!$A$2:$A$49,0))</f>
        <v>2405</v>
      </c>
      <c r="I1406" s="33" t="n">
        <f aca="false">D1406*INDEX(Products!$D$2:$D$49,MATCH(C1406,Products!$A$2:$A$49,0))*(1+INDEX(Assumptions!$B$16:$B$20,MATCH(B1406,Assumptions!$A$16:$A$20,0)))</f>
        <v>1902.096</v>
      </c>
      <c r="J1406" s="33" t="n">
        <f aca="false">H1406-I1406</f>
        <v>502.904</v>
      </c>
      <c r="K1406" s="33" t="n">
        <f aca="false">IF(OR(E1406=0,E1406&gt;=7),0,D1406/(7-E1406)*E1406*INDEX(Products!$E$2:$E$49,MATCH(C1406,Products!$A$2:$A$49,0)))</f>
        <v>0</v>
      </c>
    </row>
    <row r="1407" customFormat="false" ht="15" hidden="false" customHeight="false" outlineLevel="0" collapsed="false">
      <c r="A1407" s="36" t="n">
        <v>46153</v>
      </c>
      <c r="B1407" s="24" t="s">
        <v>62</v>
      </c>
      <c r="C1407" s="24" t="s">
        <v>131</v>
      </c>
      <c r="D1407" s="33" t="n">
        <v>26</v>
      </c>
      <c r="E1407" s="24" t="n">
        <v>0</v>
      </c>
      <c r="F1407" s="37" t="n">
        <f aca="false">DATE(YEAR(A1407),MONTH(A1407),1)</f>
        <v>46143</v>
      </c>
      <c r="G1407" s="24" t="str">
        <f aca="false">INDEX(Products!$C$2:$C$49,MATCH(C1407,Products!$A$2:$A$49,0))</f>
        <v>Dairy &amp; Eggs</v>
      </c>
      <c r="H1407" s="33" t="n">
        <f aca="false">D1407*INDEX(Products!$E$2:$E$49,MATCH(C1407,Products!$A$2:$A$49,0))</f>
        <v>1690</v>
      </c>
      <c r="I1407" s="33" t="n">
        <f aca="false">D1407*INDEX(Products!$D$2:$D$49,MATCH(C1407,Products!$A$2:$A$49,0))*(1+INDEX(Assumptions!$B$16:$B$20,MATCH(B1407,Assumptions!$A$16:$A$20,0)))</f>
        <v>1336.608</v>
      </c>
      <c r="J1407" s="33" t="n">
        <f aca="false">H1407-I1407</f>
        <v>353.392</v>
      </c>
      <c r="K1407" s="33" t="n">
        <f aca="false">IF(OR(E1407=0,E1407&gt;=7),0,D1407/(7-E1407)*E1407*INDEX(Products!$E$2:$E$49,MATCH(C1407,Products!$A$2:$A$49,0)))</f>
        <v>0</v>
      </c>
    </row>
    <row r="1408" customFormat="false" ht="15" hidden="false" customHeight="false" outlineLevel="0" collapsed="false">
      <c r="A1408" s="36" t="n">
        <v>46160</v>
      </c>
      <c r="B1408" s="24" t="s">
        <v>62</v>
      </c>
      <c r="C1408" s="24" t="s">
        <v>131</v>
      </c>
      <c r="D1408" s="33" t="n">
        <v>38</v>
      </c>
      <c r="E1408" s="24" t="n">
        <v>0</v>
      </c>
      <c r="F1408" s="37" t="n">
        <f aca="false">DATE(YEAR(A1408),MONTH(A1408),1)</f>
        <v>46143</v>
      </c>
      <c r="G1408" s="24" t="str">
        <f aca="false">INDEX(Products!$C$2:$C$49,MATCH(C1408,Products!$A$2:$A$49,0))</f>
        <v>Dairy &amp; Eggs</v>
      </c>
      <c r="H1408" s="33" t="n">
        <f aca="false">D1408*INDEX(Products!$E$2:$E$49,MATCH(C1408,Products!$A$2:$A$49,0))</f>
        <v>2470</v>
      </c>
      <c r="I1408" s="33" t="n">
        <f aca="false">D1408*INDEX(Products!$D$2:$D$49,MATCH(C1408,Products!$A$2:$A$49,0))*(1+INDEX(Assumptions!$B$16:$B$20,MATCH(B1408,Assumptions!$A$16:$A$20,0)))</f>
        <v>1953.504</v>
      </c>
      <c r="J1408" s="33" t="n">
        <f aca="false">H1408-I1408</f>
        <v>516.496</v>
      </c>
      <c r="K1408" s="33" t="n">
        <f aca="false">IF(OR(E1408=0,E1408&gt;=7),0,D1408/(7-E1408)*E1408*INDEX(Products!$E$2:$E$49,MATCH(C1408,Products!$A$2:$A$49,0)))</f>
        <v>0</v>
      </c>
    </row>
    <row r="1409" customFormat="false" ht="15" hidden="false" customHeight="false" outlineLevel="0" collapsed="false">
      <c r="A1409" s="36" t="n">
        <v>46167</v>
      </c>
      <c r="B1409" s="24" t="s">
        <v>62</v>
      </c>
      <c r="C1409" s="24" t="s">
        <v>131</v>
      </c>
      <c r="D1409" s="33" t="n">
        <v>34</v>
      </c>
      <c r="E1409" s="24" t="n">
        <v>0</v>
      </c>
      <c r="F1409" s="37" t="n">
        <f aca="false">DATE(YEAR(A1409),MONTH(A1409),1)</f>
        <v>46143</v>
      </c>
      <c r="G1409" s="24" t="str">
        <f aca="false">INDEX(Products!$C$2:$C$49,MATCH(C1409,Products!$A$2:$A$49,0))</f>
        <v>Dairy &amp; Eggs</v>
      </c>
      <c r="H1409" s="33" t="n">
        <f aca="false">D1409*INDEX(Products!$E$2:$E$49,MATCH(C1409,Products!$A$2:$A$49,0))</f>
        <v>2210</v>
      </c>
      <c r="I1409" s="33" t="n">
        <f aca="false">D1409*INDEX(Products!$D$2:$D$49,MATCH(C1409,Products!$A$2:$A$49,0))*(1+INDEX(Assumptions!$B$16:$B$20,MATCH(B1409,Assumptions!$A$16:$A$20,0)))</f>
        <v>1747.872</v>
      </c>
      <c r="J1409" s="33" t="n">
        <f aca="false">H1409-I1409</f>
        <v>462.128</v>
      </c>
      <c r="K1409" s="33" t="n">
        <f aca="false">IF(OR(E1409=0,E1409&gt;=7),0,D1409/(7-E1409)*E1409*INDEX(Products!$E$2:$E$49,MATCH(C1409,Products!$A$2:$A$49,0)))</f>
        <v>0</v>
      </c>
    </row>
    <row r="1410" customFormat="false" ht="15" hidden="false" customHeight="false" outlineLevel="0" collapsed="false">
      <c r="A1410" s="36" t="n">
        <v>46174</v>
      </c>
      <c r="B1410" s="24" t="s">
        <v>62</v>
      </c>
      <c r="C1410" s="24" t="s">
        <v>131</v>
      </c>
      <c r="D1410" s="33" t="n">
        <v>34</v>
      </c>
      <c r="E1410" s="24" t="n">
        <v>0</v>
      </c>
      <c r="F1410" s="37" t="n">
        <f aca="false">DATE(YEAR(A1410),MONTH(A1410),1)</f>
        <v>46174</v>
      </c>
      <c r="G1410" s="24" t="str">
        <f aca="false">INDEX(Products!$C$2:$C$49,MATCH(C1410,Products!$A$2:$A$49,0))</f>
        <v>Dairy &amp; Eggs</v>
      </c>
      <c r="H1410" s="33" t="n">
        <f aca="false">D1410*INDEX(Products!$E$2:$E$49,MATCH(C1410,Products!$A$2:$A$49,0))</f>
        <v>2210</v>
      </c>
      <c r="I1410" s="33" t="n">
        <f aca="false">D1410*INDEX(Products!$D$2:$D$49,MATCH(C1410,Products!$A$2:$A$49,0))*(1+INDEX(Assumptions!$B$16:$B$20,MATCH(B1410,Assumptions!$A$16:$A$20,0)))</f>
        <v>1747.872</v>
      </c>
      <c r="J1410" s="33" t="n">
        <f aca="false">H1410-I1410</f>
        <v>462.128</v>
      </c>
      <c r="K1410" s="33" t="n">
        <f aca="false">IF(OR(E1410=0,E1410&gt;=7),0,D1410/(7-E1410)*E1410*INDEX(Products!$E$2:$E$49,MATCH(C1410,Products!$A$2:$A$49,0)))</f>
        <v>0</v>
      </c>
    </row>
    <row r="1411" customFormat="false" ht="15" hidden="false" customHeight="false" outlineLevel="0" collapsed="false">
      <c r="A1411" s="36" t="n">
        <v>46181</v>
      </c>
      <c r="B1411" s="24" t="s">
        <v>62</v>
      </c>
      <c r="C1411" s="24" t="s">
        <v>131</v>
      </c>
      <c r="D1411" s="33" t="n">
        <v>28</v>
      </c>
      <c r="E1411" s="24" t="n">
        <v>0</v>
      </c>
      <c r="F1411" s="37" t="n">
        <f aca="false">DATE(YEAR(A1411),MONTH(A1411),1)</f>
        <v>46174</v>
      </c>
      <c r="G1411" s="24" t="str">
        <f aca="false">INDEX(Products!$C$2:$C$49,MATCH(C1411,Products!$A$2:$A$49,0))</f>
        <v>Dairy &amp; Eggs</v>
      </c>
      <c r="H1411" s="33" t="n">
        <f aca="false">D1411*INDEX(Products!$E$2:$E$49,MATCH(C1411,Products!$A$2:$A$49,0))</f>
        <v>1820</v>
      </c>
      <c r="I1411" s="33" t="n">
        <f aca="false">D1411*INDEX(Products!$D$2:$D$49,MATCH(C1411,Products!$A$2:$A$49,0))*(1+INDEX(Assumptions!$B$16:$B$20,MATCH(B1411,Assumptions!$A$16:$A$20,0)))</f>
        <v>1439.424</v>
      </c>
      <c r="J1411" s="33" t="n">
        <f aca="false">H1411-I1411</f>
        <v>380.576</v>
      </c>
      <c r="K1411" s="33" t="n">
        <f aca="false">IF(OR(E1411=0,E1411&gt;=7),0,D1411/(7-E1411)*E1411*INDEX(Products!$E$2:$E$49,MATCH(C1411,Products!$A$2:$A$49,0)))</f>
        <v>0</v>
      </c>
    </row>
    <row r="1412" customFormat="false" ht="15" hidden="false" customHeight="false" outlineLevel="0" collapsed="false">
      <c r="A1412" s="36" t="n">
        <v>46188</v>
      </c>
      <c r="B1412" s="24" t="s">
        <v>62</v>
      </c>
      <c r="C1412" s="24" t="s">
        <v>131</v>
      </c>
      <c r="D1412" s="33" t="n">
        <v>24</v>
      </c>
      <c r="E1412" s="24" t="n">
        <v>0</v>
      </c>
      <c r="F1412" s="37" t="n">
        <f aca="false">DATE(YEAR(A1412),MONTH(A1412),1)</f>
        <v>46174</v>
      </c>
      <c r="G1412" s="24" t="str">
        <f aca="false">INDEX(Products!$C$2:$C$49,MATCH(C1412,Products!$A$2:$A$49,0))</f>
        <v>Dairy &amp; Eggs</v>
      </c>
      <c r="H1412" s="33" t="n">
        <f aca="false">D1412*INDEX(Products!$E$2:$E$49,MATCH(C1412,Products!$A$2:$A$49,0))</f>
        <v>1560</v>
      </c>
      <c r="I1412" s="33" t="n">
        <f aca="false">D1412*INDEX(Products!$D$2:$D$49,MATCH(C1412,Products!$A$2:$A$49,0))*(1+INDEX(Assumptions!$B$16:$B$20,MATCH(B1412,Assumptions!$A$16:$A$20,0)))</f>
        <v>1233.792</v>
      </c>
      <c r="J1412" s="33" t="n">
        <f aca="false">H1412-I1412</f>
        <v>326.208</v>
      </c>
      <c r="K1412" s="33" t="n">
        <f aca="false">IF(OR(E1412=0,E1412&gt;=7),0,D1412/(7-E1412)*E1412*INDEX(Products!$E$2:$E$49,MATCH(C1412,Products!$A$2:$A$49,0)))</f>
        <v>0</v>
      </c>
    </row>
    <row r="1413" customFormat="false" ht="15" hidden="false" customHeight="false" outlineLevel="0" collapsed="false">
      <c r="A1413" s="36" t="n">
        <v>46195</v>
      </c>
      <c r="B1413" s="24" t="s">
        <v>62</v>
      </c>
      <c r="C1413" s="24" t="s">
        <v>131</v>
      </c>
      <c r="D1413" s="33" t="n">
        <v>37</v>
      </c>
      <c r="E1413" s="24" t="n">
        <v>0</v>
      </c>
      <c r="F1413" s="37" t="n">
        <f aca="false">DATE(YEAR(A1413),MONTH(A1413),1)</f>
        <v>46174</v>
      </c>
      <c r="G1413" s="24" t="str">
        <f aca="false">INDEX(Products!$C$2:$C$49,MATCH(C1413,Products!$A$2:$A$49,0))</f>
        <v>Dairy &amp; Eggs</v>
      </c>
      <c r="H1413" s="33" t="n">
        <f aca="false">D1413*INDEX(Products!$E$2:$E$49,MATCH(C1413,Products!$A$2:$A$49,0))</f>
        <v>2405</v>
      </c>
      <c r="I1413" s="33" t="n">
        <f aca="false">D1413*INDEX(Products!$D$2:$D$49,MATCH(C1413,Products!$A$2:$A$49,0))*(1+INDEX(Assumptions!$B$16:$B$20,MATCH(B1413,Assumptions!$A$16:$A$20,0)))</f>
        <v>1902.096</v>
      </c>
      <c r="J1413" s="33" t="n">
        <f aca="false">H1413-I1413</f>
        <v>502.904</v>
      </c>
      <c r="K1413" s="33" t="n">
        <f aca="false">IF(OR(E1413=0,E1413&gt;=7),0,D1413/(7-E1413)*E1413*INDEX(Products!$E$2:$E$49,MATCH(C1413,Products!$A$2:$A$49,0)))</f>
        <v>0</v>
      </c>
    </row>
    <row r="1414" customFormat="false" ht="15" hidden="false" customHeight="false" outlineLevel="0" collapsed="false">
      <c r="A1414" s="36" t="n">
        <v>46202</v>
      </c>
      <c r="B1414" s="24" t="s">
        <v>62</v>
      </c>
      <c r="C1414" s="24" t="s">
        <v>131</v>
      </c>
      <c r="D1414" s="33" t="n">
        <v>23</v>
      </c>
      <c r="E1414" s="24" t="n">
        <v>0</v>
      </c>
      <c r="F1414" s="37" t="n">
        <f aca="false">DATE(YEAR(A1414),MONTH(A1414),1)</f>
        <v>46174</v>
      </c>
      <c r="G1414" s="24" t="str">
        <f aca="false">INDEX(Products!$C$2:$C$49,MATCH(C1414,Products!$A$2:$A$49,0))</f>
        <v>Dairy &amp; Eggs</v>
      </c>
      <c r="H1414" s="33" t="n">
        <f aca="false">D1414*INDEX(Products!$E$2:$E$49,MATCH(C1414,Products!$A$2:$A$49,0))</f>
        <v>1495</v>
      </c>
      <c r="I1414" s="33" t="n">
        <f aca="false">D1414*INDEX(Products!$D$2:$D$49,MATCH(C1414,Products!$A$2:$A$49,0))*(1+INDEX(Assumptions!$B$16:$B$20,MATCH(B1414,Assumptions!$A$16:$A$20,0)))</f>
        <v>1182.384</v>
      </c>
      <c r="J1414" s="33" t="n">
        <f aca="false">H1414-I1414</f>
        <v>312.616</v>
      </c>
      <c r="K1414" s="33" t="n">
        <f aca="false">IF(OR(E1414=0,E1414&gt;=7),0,D1414/(7-E1414)*E1414*INDEX(Products!$E$2:$E$49,MATCH(C1414,Products!$A$2:$A$49,0)))</f>
        <v>0</v>
      </c>
    </row>
    <row r="1415" customFormat="false" ht="15" hidden="false" customHeight="false" outlineLevel="0" collapsed="false">
      <c r="A1415" s="36" t="n">
        <v>46209</v>
      </c>
      <c r="B1415" s="24" t="s">
        <v>62</v>
      </c>
      <c r="C1415" s="24" t="s">
        <v>131</v>
      </c>
      <c r="D1415" s="33" t="n">
        <v>25</v>
      </c>
      <c r="E1415" s="24" t="n">
        <v>0</v>
      </c>
      <c r="F1415" s="37" t="n">
        <f aca="false">DATE(YEAR(A1415),MONTH(A1415),1)</f>
        <v>46204</v>
      </c>
      <c r="G1415" s="24" t="str">
        <f aca="false">INDEX(Products!$C$2:$C$49,MATCH(C1415,Products!$A$2:$A$49,0))</f>
        <v>Dairy &amp; Eggs</v>
      </c>
      <c r="H1415" s="33" t="n">
        <f aca="false">D1415*INDEX(Products!$E$2:$E$49,MATCH(C1415,Products!$A$2:$A$49,0))</f>
        <v>1625</v>
      </c>
      <c r="I1415" s="33" t="n">
        <f aca="false">D1415*INDEX(Products!$D$2:$D$49,MATCH(C1415,Products!$A$2:$A$49,0))*(1+INDEX(Assumptions!$B$16:$B$20,MATCH(B1415,Assumptions!$A$16:$A$20,0)))</f>
        <v>1285.2</v>
      </c>
      <c r="J1415" s="33" t="n">
        <f aca="false">H1415-I1415</f>
        <v>339.8</v>
      </c>
      <c r="K1415" s="33" t="n">
        <f aca="false">IF(OR(E1415=0,E1415&gt;=7),0,D1415/(7-E1415)*E1415*INDEX(Products!$E$2:$E$49,MATCH(C1415,Products!$A$2:$A$49,0)))</f>
        <v>0</v>
      </c>
    </row>
    <row r="1416" customFormat="false" ht="15" hidden="false" customHeight="false" outlineLevel="0" collapsed="false">
      <c r="A1416" s="36" t="n">
        <v>46216</v>
      </c>
      <c r="B1416" s="24" t="s">
        <v>62</v>
      </c>
      <c r="C1416" s="24" t="s">
        <v>131</v>
      </c>
      <c r="D1416" s="33" t="n">
        <v>22</v>
      </c>
      <c r="E1416" s="24" t="n">
        <v>2</v>
      </c>
      <c r="F1416" s="37" t="n">
        <f aca="false">DATE(YEAR(A1416),MONTH(A1416),1)</f>
        <v>46204</v>
      </c>
      <c r="G1416" s="24" t="str">
        <f aca="false">INDEX(Products!$C$2:$C$49,MATCH(C1416,Products!$A$2:$A$49,0))</f>
        <v>Dairy &amp; Eggs</v>
      </c>
      <c r="H1416" s="33" t="n">
        <f aca="false">D1416*INDEX(Products!$E$2:$E$49,MATCH(C1416,Products!$A$2:$A$49,0))</f>
        <v>1430</v>
      </c>
      <c r="I1416" s="33" t="n">
        <f aca="false">D1416*INDEX(Products!$D$2:$D$49,MATCH(C1416,Products!$A$2:$A$49,0))*(1+INDEX(Assumptions!$B$16:$B$20,MATCH(B1416,Assumptions!$A$16:$A$20,0)))</f>
        <v>1130.976</v>
      </c>
      <c r="J1416" s="33" t="n">
        <f aca="false">H1416-I1416</f>
        <v>299.024</v>
      </c>
      <c r="K1416" s="33" t="n">
        <f aca="false">IF(OR(E1416=0,E1416&gt;=7),0,D1416/(7-E1416)*E1416*INDEX(Products!$E$2:$E$49,MATCH(C1416,Products!$A$2:$A$49,0)))</f>
        <v>572</v>
      </c>
    </row>
    <row r="1417" customFormat="false" ht="15" hidden="false" customHeight="false" outlineLevel="0" collapsed="false">
      <c r="A1417" s="36" t="n">
        <v>46223</v>
      </c>
      <c r="B1417" s="24" t="s">
        <v>62</v>
      </c>
      <c r="C1417" s="24" t="s">
        <v>131</v>
      </c>
      <c r="D1417" s="33" t="n">
        <v>39</v>
      </c>
      <c r="E1417" s="24" t="n">
        <v>0</v>
      </c>
      <c r="F1417" s="37" t="n">
        <f aca="false">DATE(YEAR(A1417),MONTH(A1417),1)</f>
        <v>46204</v>
      </c>
      <c r="G1417" s="24" t="str">
        <f aca="false">INDEX(Products!$C$2:$C$49,MATCH(C1417,Products!$A$2:$A$49,0))</f>
        <v>Dairy &amp; Eggs</v>
      </c>
      <c r="H1417" s="33" t="n">
        <f aca="false">D1417*INDEX(Products!$E$2:$E$49,MATCH(C1417,Products!$A$2:$A$49,0))</f>
        <v>2535</v>
      </c>
      <c r="I1417" s="33" t="n">
        <f aca="false">D1417*INDEX(Products!$D$2:$D$49,MATCH(C1417,Products!$A$2:$A$49,0))*(1+INDEX(Assumptions!$B$16:$B$20,MATCH(B1417,Assumptions!$A$16:$A$20,0)))</f>
        <v>2004.912</v>
      </c>
      <c r="J1417" s="33" t="n">
        <f aca="false">H1417-I1417</f>
        <v>530.088</v>
      </c>
      <c r="K1417" s="33" t="n">
        <f aca="false">IF(OR(E1417=0,E1417&gt;=7),0,D1417/(7-E1417)*E1417*INDEX(Products!$E$2:$E$49,MATCH(C1417,Products!$A$2:$A$49,0)))</f>
        <v>0</v>
      </c>
    </row>
    <row r="1418" customFormat="false" ht="15" hidden="false" customHeight="false" outlineLevel="0" collapsed="false">
      <c r="A1418" s="36" t="n">
        <v>46230</v>
      </c>
      <c r="B1418" s="24" t="s">
        <v>62</v>
      </c>
      <c r="C1418" s="24" t="s">
        <v>131</v>
      </c>
      <c r="D1418" s="33" t="n">
        <v>50</v>
      </c>
      <c r="E1418" s="24" t="n">
        <v>0</v>
      </c>
      <c r="F1418" s="37" t="n">
        <f aca="false">DATE(YEAR(A1418),MONTH(A1418),1)</f>
        <v>46204</v>
      </c>
      <c r="G1418" s="24" t="str">
        <f aca="false">INDEX(Products!$C$2:$C$49,MATCH(C1418,Products!$A$2:$A$49,0))</f>
        <v>Dairy &amp; Eggs</v>
      </c>
      <c r="H1418" s="33" t="n">
        <f aca="false">D1418*INDEX(Products!$E$2:$E$49,MATCH(C1418,Products!$A$2:$A$49,0))</f>
        <v>3250</v>
      </c>
      <c r="I1418" s="33" t="n">
        <f aca="false">D1418*INDEX(Products!$D$2:$D$49,MATCH(C1418,Products!$A$2:$A$49,0))*(1+INDEX(Assumptions!$B$16:$B$20,MATCH(B1418,Assumptions!$A$16:$A$20,0)))</f>
        <v>2570.4</v>
      </c>
      <c r="J1418" s="33" t="n">
        <f aca="false">H1418-I1418</f>
        <v>679.6</v>
      </c>
      <c r="K1418" s="33" t="n">
        <f aca="false">IF(OR(E1418=0,E1418&gt;=7),0,D1418/(7-E1418)*E1418*INDEX(Products!$E$2:$E$49,MATCH(C1418,Products!$A$2:$A$49,0)))</f>
        <v>0</v>
      </c>
    </row>
    <row r="1419" customFormat="false" ht="15" hidden="false" customHeight="false" outlineLevel="0" collapsed="false">
      <c r="A1419" s="36" t="n">
        <v>46237</v>
      </c>
      <c r="B1419" s="24" t="s">
        <v>62</v>
      </c>
      <c r="C1419" s="24" t="s">
        <v>131</v>
      </c>
      <c r="D1419" s="33" t="n">
        <v>26</v>
      </c>
      <c r="E1419" s="24" t="n">
        <v>0</v>
      </c>
      <c r="F1419" s="37" t="n">
        <f aca="false">DATE(YEAR(A1419),MONTH(A1419),1)</f>
        <v>46235</v>
      </c>
      <c r="G1419" s="24" t="str">
        <f aca="false">INDEX(Products!$C$2:$C$49,MATCH(C1419,Products!$A$2:$A$49,0))</f>
        <v>Dairy &amp; Eggs</v>
      </c>
      <c r="H1419" s="33" t="n">
        <f aca="false">D1419*INDEX(Products!$E$2:$E$49,MATCH(C1419,Products!$A$2:$A$49,0))</f>
        <v>1690</v>
      </c>
      <c r="I1419" s="33" t="n">
        <f aca="false">D1419*INDEX(Products!$D$2:$D$49,MATCH(C1419,Products!$A$2:$A$49,0))*(1+INDEX(Assumptions!$B$16:$B$20,MATCH(B1419,Assumptions!$A$16:$A$20,0)))</f>
        <v>1336.608</v>
      </c>
      <c r="J1419" s="33" t="n">
        <f aca="false">H1419-I1419</f>
        <v>353.392</v>
      </c>
      <c r="K1419" s="33" t="n">
        <f aca="false">IF(OR(E1419=0,E1419&gt;=7),0,D1419/(7-E1419)*E1419*INDEX(Products!$E$2:$E$49,MATCH(C1419,Products!$A$2:$A$49,0)))</f>
        <v>0</v>
      </c>
    </row>
    <row r="1420" customFormat="false" ht="15" hidden="false" customHeight="false" outlineLevel="0" collapsed="false">
      <c r="A1420" s="36" t="n">
        <v>46244</v>
      </c>
      <c r="B1420" s="24" t="s">
        <v>62</v>
      </c>
      <c r="C1420" s="24" t="s">
        <v>131</v>
      </c>
      <c r="D1420" s="33" t="n">
        <v>42</v>
      </c>
      <c r="E1420" s="24" t="n">
        <v>0</v>
      </c>
      <c r="F1420" s="37" t="n">
        <f aca="false">DATE(YEAR(A1420),MONTH(A1420),1)</f>
        <v>46235</v>
      </c>
      <c r="G1420" s="24" t="str">
        <f aca="false">INDEX(Products!$C$2:$C$49,MATCH(C1420,Products!$A$2:$A$49,0))</f>
        <v>Dairy &amp; Eggs</v>
      </c>
      <c r="H1420" s="33" t="n">
        <f aca="false">D1420*INDEX(Products!$E$2:$E$49,MATCH(C1420,Products!$A$2:$A$49,0))</f>
        <v>2730</v>
      </c>
      <c r="I1420" s="33" t="n">
        <f aca="false">D1420*INDEX(Products!$D$2:$D$49,MATCH(C1420,Products!$A$2:$A$49,0))*(1+INDEX(Assumptions!$B$16:$B$20,MATCH(B1420,Assumptions!$A$16:$A$20,0)))</f>
        <v>2159.136</v>
      </c>
      <c r="J1420" s="33" t="n">
        <f aca="false">H1420-I1420</f>
        <v>570.864</v>
      </c>
      <c r="K1420" s="33" t="n">
        <f aca="false">IF(OR(E1420=0,E1420&gt;=7),0,D1420/(7-E1420)*E1420*INDEX(Products!$E$2:$E$49,MATCH(C1420,Products!$A$2:$A$49,0)))</f>
        <v>0</v>
      </c>
    </row>
    <row r="1421" customFormat="false" ht="15" hidden="false" customHeight="false" outlineLevel="0" collapsed="false">
      <c r="A1421" s="36" t="n">
        <v>46251</v>
      </c>
      <c r="B1421" s="24" t="s">
        <v>62</v>
      </c>
      <c r="C1421" s="24" t="s">
        <v>131</v>
      </c>
      <c r="D1421" s="33" t="n">
        <v>25</v>
      </c>
      <c r="E1421" s="24" t="n">
        <v>0</v>
      </c>
      <c r="F1421" s="37" t="n">
        <f aca="false">DATE(YEAR(A1421),MONTH(A1421),1)</f>
        <v>46235</v>
      </c>
      <c r="G1421" s="24" t="str">
        <f aca="false">INDEX(Products!$C$2:$C$49,MATCH(C1421,Products!$A$2:$A$49,0))</f>
        <v>Dairy &amp; Eggs</v>
      </c>
      <c r="H1421" s="33" t="n">
        <f aca="false">D1421*INDEX(Products!$E$2:$E$49,MATCH(C1421,Products!$A$2:$A$49,0))</f>
        <v>1625</v>
      </c>
      <c r="I1421" s="33" t="n">
        <f aca="false">D1421*INDEX(Products!$D$2:$D$49,MATCH(C1421,Products!$A$2:$A$49,0))*(1+INDEX(Assumptions!$B$16:$B$20,MATCH(B1421,Assumptions!$A$16:$A$20,0)))</f>
        <v>1285.2</v>
      </c>
      <c r="J1421" s="33" t="n">
        <f aca="false">H1421-I1421</f>
        <v>339.8</v>
      </c>
      <c r="K1421" s="33" t="n">
        <f aca="false">IF(OR(E1421=0,E1421&gt;=7),0,D1421/(7-E1421)*E1421*INDEX(Products!$E$2:$E$49,MATCH(C1421,Products!$A$2:$A$49,0)))</f>
        <v>0</v>
      </c>
    </row>
    <row r="1422" customFormat="false" ht="15" hidden="false" customHeight="false" outlineLevel="0" collapsed="false">
      <c r="A1422" s="36" t="n">
        <v>46258</v>
      </c>
      <c r="B1422" s="24" t="s">
        <v>62</v>
      </c>
      <c r="C1422" s="24" t="s">
        <v>131</v>
      </c>
      <c r="D1422" s="33" t="n">
        <v>25</v>
      </c>
      <c r="E1422" s="24" t="n">
        <v>0</v>
      </c>
      <c r="F1422" s="37" t="n">
        <f aca="false">DATE(YEAR(A1422),MONTH(A1422),1)</f>
        <v>46235</v>
      </c>
      <c r="G1422" s="24" t="str">
        <f aca="false">INDEX(Products!$C$2:$C$49,MATCH(C1422,Products!$A$2:$A$49,0))</f>
        <v>Dairy &amp; Eggs</v>
      </c>
      <c r="H1422" s="33" t="n">
        <f aca="false">D1422*INDEX(Products!$E$2:$E$49,MATCH(C1422,Products!$A$2:$A$49,0))</f>
        <v>1625</v>
      </c>
      <c r="I1422" s="33" t="n">
        <f aca="false">D1422*INDEX(Products!$D$2:$D$49,MATCH(C1422,Products!$A$2:$A$49,0))*(1+INDEX(Assumptions!$B$16:$B$20,MATCH(B1422,Assumptions!$A$16:$A$20,0)))</f>
        <v>1285.2</v>
      </c>
      <c r="J1422" s="33" t="n">
        <f aca="false">H1422-I1422</f>
        <v>339.8</v>
      </c>
      <c r="K1422" s="33" t="n">
        <f aca="false">IF(OR(E1422=0,E1422&gt;=7),0,D1422/(7-E1422)*E1422*INDEX(Products!$E$2:$E$49,MATCH(C1422,Products!$A$2:$A$49,0)))</f>
        <v>0</v>
      </c>
    </row>
    <row r="1423" customFormat="false" ht="15" hidden="false" customHeight="false" outlineLevel="0" collapsed="false">
      <c r="A1423" s="36" t="n">
        <v>46265</v>
      </c>
      <c r="B1423" s="24" t="s">
        <v>62</v>
      </c>
      <c r="C1423" s="24" t="s">
        <v>131</v>
      </c>
      <c r="D1423" s="33" t="n">
        <v>14</v>
      </c>
      <c r="E1423" s="24" t="n">
        <v>4</v>
      </c>
      <c r="F1423" s="37" t="n">
        <f aca="false">DATE(YEAR(A1423),MONTH(A1423),1)</f>
        <v>46235</v>
      </c>
      <c r="G1423" s="24" t="str">
        <f aca="false">INDEX(Products!$C$2:$C$49,MATCH(C1423,Products!$A$2:$A$49,0))</f>
        <v>Dairy &amp; Eggs</v>
      </c>
      <c r="H1423" s="33" t="n">
        <f aca="false">D1423*INDEX(Products!$E$2:$E$49,MATCH(C1423,Products!$A$2:$A$49,0))</f>
        <v>910</v>
      </c>
      <c r="I1423" s="33" t="n">
        <f aca="false">D1423*INDEX(Products!$D$2:$D$49,MATCH(C1423,Products!$A$2:$A$49,0))*(1+INDEX(Assumptions!$B$16:$B$20,MATCH(B1423,Assumptions!$A$16:$A$20,0)))</f>
        <v>719.712</v>
      </c>
      <c r="J1423" s="33" t="n">
        <f aca="false">H1423-I1423</f>
        <v>190.288</v>
      </c>
      <c r="K1423" s="33" t="n">
        <f aca="false">IF(OR(E1423=0,E1423&gt;=7),0,D1423/(7-E1423)*E1423*INDEX(Products!$E$2:$E$49,MATCH(C1423,Products!$A$2:$A$49,0)))</f>
        <v>1213.33333333333</v>
      </c>
    </row>
    <row r="1424" customFormat="false" ht="15" hidden="false" customHeight="false" outlineLevel="0" collapsed="false">
      <c r="A1424" s="36" t="n">
        <v>46272</v>
      </c>
      <c r="B1424" s="24" t="s">
        <v>62</v>
      </c>
      <c r="C1424" s="24" t="s">
        <v>131</v>
      </c>
      <c r="D1424" s="33" t="n">
        <v>34</v>
      </c>
      <c r="E1424" s="24" t="n">
        <v>0</v>
      </c>
      <c r="F1424" s="37" t="n">
        <f aca="false">DATE(YEAR(A1424),MONTH(A1424),1)</f>
        <v>46266</v>
      </c>
      <c r="G1424" s="24" t="str">
        <f aca="false">INDEX(Products!$C$2:$C$49,MATCH(C1424,Products!$A$2:$A$49,0))</f>
        <v>Dairy &amp; Eggs</v>
      </c>
      <c r="H1424" s="33" t="n">
        <f aca="false">D1424*INDEX(Products!$E$2:$E$49,MATCH(C1424,Products!$A$2:$A$49,0))</f>
        <v>2210</v>
      </c>
      <c r="I1424" s="33" t="n">
        <f aca="false">D1424*INDEX(Products!$D$2:$D$49,MATCH(C1424,Products!$A$2:$A$49,0))*(1+INDEX(Assumptions!$B$16:$B$20,MATCH(B1424,Assumptions!$A$16:$A$20,0)))</f>
        <v>1747.872</v>
      </c>
      <c r="J1424" s="33" t="n">
        <f aca="false">H1424-I1424</f>
        <v>462.128</v>
      </c>
      <c r="K1424" s="33" t="n">
        <f aca="false">IF(OR(E1424=0,E1424&gt;=7),0,D1424/(7-E1424)*E1424*INDEX(Products!$E$2:$E$49,MATCH(C1424,Products!$A$2:$A$49,0)))</f>
        <v>0</v>
      </c>
    </row>
    <row r="1425" customFormat="false" ht="15" hidden="false" customHeight="false" outlineLevel="0" collapsed="false">
      <c r="A1425" s="36" t="n">
        <v>46279</v>
      </c>
      <c r="B1425" s="24" t="s">
        <v>62</v>
      </c>
      <c r="C1425" s="24" t="s">
        <v>131</v>
      </c>
      <c r="D1425" s="33" t="n">
        <v>39</v>
      </c>
      <c r="E1425" s="24" t="n">
        <v>0</v>
      </c>
      <c r="F1425" s="37" t="n">
        <f aca="false">DATE(YEAR(A1425),MONTH(A1425),1)</f>
        <v>46266</v>
      </c>
      <c r="G1425" s="24" t="str">
        <f aca="false">INDEX(Products!$C$2:$C$49,MATCH(C1425,Products!$A$2:$A$49,0))</f>
        <v>Dairy &amp; Eggs</v>
      </c>
      <c r="H1425" s="33" t="n">
        <f aca="false">D1425*INDEX(Products!$E$2:$E$49,MATCH(C1425,Products!$A$2:$A$49,0))</f>
        <v>2535</v>
      </c>
      <c r="I1425" s="33" t="n">
        <f aca="false">D1425*INDEX(Products!$D$2:$D$49,MATCH(C1425,Products!$A$2:$A$49,0))*(1+INDEX(Assumptions!$B$16:$B$20,MATCH(B1425,Assumptions!$A$16:$A$20,0)))</f>
        <v>2004.912</v>
      </c>
      <c r="J1425" s="33" t="n">
        <f aca="false">H1425-I1425</f>
        <v>530.088</v>
      </c>
      <c r="K1425" s="33" t="n">
        <f aca="false">IF(OR(E1425=0,E1425&gt;=7),0,D1425/(7-E1425)*E1425*INDEX(Products!$E$2:$E$49,MATCH(C1425,Products!$A$2:$A$49,0)))</f>
        <v>0</v>
      </c>
    </row>
    <row r="1426" customFormat="false" ht="15" hidden="false" customHeight="false" outlineLevel="0" collapsed="false">
      <c r="A1426" s="36" t="n">
        <v>46286</v>
      </c>
      <c r="B1426" s="24" t="s">
        <v>62</v>
      </c>
      <c r="C1426" s="24" t="s">
        <v>131</v>
      </c>
      <c r="D1426" s="33" t="n">
        <v>37</v>
      </c>
      <c r="E1426" s="24" t="n">
        <v>0</v>
      </c>
      <c r="F1426" s="37" t="n">
        <f aca="false">DATE(YEAR(A1426),MONTH(A1426),1)</f>
        <v>46266</v>
      </c>
      <c r="G1426" s="24" t="str">
        <f aca="false">INDEX(Products!$C$2:$C$49,MATCH(C1426,Products!$A$2:$A$49,0))</f>
        <v>Dairy &amp; Eggs</v>
      </c>
      <c r="H1426" s="33" t="n">
        <f aca="false">D1426*INDEX(Products!$E$2:$E$49,MATCH(C1426,Products!$A$2:$A$49,0))</f>
        <v>2405</v>
      </c>
      <c r="I1426" s="33" t="n">
        <f aca="false">D1426*INDEX(Products!$D$2:$D$49,MATCH(C1426,Products!$A$2:$A$49,0))*(1+INDEX(Assumptions!$B$16:$B$20,MATCH(B1426,Assumptions!$A$16:$A$20,0)))</f>
        <v>1902.096</v>
      </c>
      <c r="J1426" s="33" t="n">
        <f aca="false">H1426-I1426</f>
        <v>502.904</v>
      </c>
      <c r="K1426" s="33" t="n">
        <f aca="false">IF(OR(E1426=0,E1426&gt;=7),0,D1426/(7-E1426)*E1426*INDEX(Products!$E$2:$E$49,MATCH(C1426,Products!$A$2:$A$49,0)))</f>
        <v>0</v>
      </c>
    </row>
    <row r="1427" customFormat="false" ht="15" hidden="false" customHeight="false" outlineLevel="0" collapsed="false">
      <c r="A1427" s="36" t="n">
        <v>46118</v>
      </c>
      <c r="B1427" s="24" t="s">
        <v>62</v>
      </c>
      <c r="C1427" s="24" t="s">
        <v>133</v>
      </c>
      <c r="D1427" s="33" t="n">
        <v>79</v>
      </c>
      <c r="E1427" s="24" t="n">
        <v>0</v>
      </c>
      <c r="F1427" s="37" t="n">
        <f aca="false">DATE(YEAR(A1427),MONTH(A1427),1)</f>
        <v>46113</v>
      </c>
      <c r="G1427" s="24" t="str">
        <f aca="false">INDEX(Products!$C$2:$C$49,MATCH(C1427,Products!$A$2:$A$49,0))</f>
        <v>Dairy &amp; Eggs</v>
      </c>
      <c r="H1427" s="33" t="n">
        <f aca="false">D1427*INDEX(Products!$E$2:$E$49,MATCH(C1427,Products!$A$2:$A$49,0))</f>
        <v>9875</v>
      </c>
      <c r="I1427" s="33" t="n">
        <f aca="false">D1427*INDEX(Products!$D$2:$D$49,MATCH(C1427,Products!$A$2:$A$49,0))*(1+INDEX(Assumptions!$B$16:$B$20,MATCH(B1427,Assumptions!$A$16:$A$20,0)))</f>
        <v>8281.728</v>
      </c>
      <c r="J1427" s="33" t="n">
        <f aca="false">H1427-I1427</f>
        <v>1593.272</v>
      </c>
      <c r="K1427" s="33" t="n">
        <f aca="false">IF(OR(E1427=0,E1427&gt;=7),0,D1427/(7-E1427)*E1427*INDEX(Products!$E$2:$E$49,MATCH(C1427,Products!$A$2:$A$49,0)))</f>
        <v>0</v>
      </c>
    </row>
    <row r="1428" customFormat="false" ht="15" hidden="false" customHeight="false" outlineLevel="0" collapsed="false">
      <c r="A1428" s="36" t="n">
        <v>46125</v>
      </c>
      <c r="B1428" s="24" t="s">
        <v>62</v>
      </c>
      <c r="C1428" s="24" t="s">
        <v>133</v>
      </c>
      <c r="D1428" s="33" t="n">
        <v>57</v>
      </c>
      <c r="E1428" s="24" t="n">
        <v>0</v>
      </c>
      <c r="F1428" s="37" t="n">
        <f aca="false">DATE(YEAR(A1428),MONTH(A1428),1)</f>
        <v>46113</v>
      </c>
      <c r="G1428" s="24" t="str">
        <f aca="false">INDEX(Products!$C$2:$C$49,MATCH(C1428,Products!$A$2:$A$49,0))</f>
        <v>Dairy &amp; Eggs</v>
      </c>
      <c r="H1428" s="33" t="n">
        <f aca="false">D1428*INDEX(Products!$E$2:$E$49,MATCH(C1428,Products!$A$2:$A$49,0))</f>
        <v>7125</v>
      </c>
      <c r="I1428" s="33" t="n">
        <f aca="false">D1428*INDEX(Products!$D$2:$D$49,MATCH(C1428,Products!$A$2:$A$49,0))*(1+INDEX(Assumptions!$B$16:$B$20,MATCH(B1428,Assumptions!$A$16:$A$20,0)))</f>
        <v>5975.424</v>
      </c>
      <c r="J1428" s="33" t="n">
        <f aca="false">H1428-I1428</f>
        <v>1149.576</v>
      </c>
      <c r="K1428" s="33" t="n">
        <f aca="false">IF(OR(E1428=0,E1428&gt;=7),0,D1428/(7-E1428)*E1428*INDEX(Products!$E$2:$E$49,MATCH(C1428,Products!$A$2:$A$49,0)))</f>
        <v>0</v>
      </c>
    </row>
    <row r="1429" customFormat="false" ht="15" hidden="false" customHeight="false" outlineLevel="0" collapsed="false">
      <c r="A1429" s="36" t="n">
        <v>46132</v>
      </c>
      <c r="B1429" s="24" t="s">
        <v>62</v>
      </c>
      <c r="C1429" s="24" t="s">
        <v>133</v>
      </c>
      <c r="D1429" s="33" t="n">
        <v>78</v>
      </c>
      <c r="E1429" s="24" t="n">
        <v>0</v>
      </c>
      <c r="F1429" s="37" t="n">
        <f aca="false">DATE(YEAR(A1429),MONTH(A1429),1)</f>
        <v>46113</v>
      </c>
      <c r="G1429" s="24" t="str">
        <f aca="false">INDEX(Products!$C$2:$C$49,MATCH(C1429,Products!$A$2:$A$49,0))</f>
        <v>Dairy &amp; Eggs</v>
      </c>
      <c r="H1429" s="33" t="n">
        <f aca="false">D1429*INDEX(Products!$E$2:$E$49,MATCH(C1429,Products!$A$2:$A$49,0))</f>
        <v>9750</v>
      </c>
      <c r="I1429" s="33" t="n">
        <f aca="false">D1429*INDEX(Products!$D$2:$D$49,MATCH(C1429,Products!$A$2:$A$49,0))*(1+INDEX(Assumptions!$B$16:$B$20,MATCH(B1429,Assumptions!$A$16:$A$20,0)))</f>
        <v>8176.896</v>
      </c>
      <c r="J1429" s="33" t="n">
        <f aca="false">H1429-I1429</f>
        <v>1573.104</v>
      </c>
      <c r="K1429" s="33" t="n">
        <f aca="false">IF(OR(E1429=0,E1429&gt;=7),0,D1429/(7-E1429)*E1429*INDEX(Products!$E$2:$E$49,MATCH(C1429,Products!$A$2:$A$49,0)))</f>
        <v>0</v>
      </c>
    </row>
    <row r="1430" customFormat="false" ht="15" hidden="false" customHeight="false" outlineLevel="0" collapsed="false">
      <c r="A1430" s="36" t="n">
        <v>46139</v>
      </c>
      <c r="B1430" s="24" t="s">
        <v>62</v>
      </c>
      <c r="C1430" s="24" t="s">
        <v>133</v>
      </c>
      <c r="D1430" s="33" t="n">
        <v>92</v>
      </c>
      <c r="E1430" s="24" t="n">
        <v>0</v>
      </c>
      <c r="F1430" s="37" t="n">
        <f aca="false">DATE(YEAR(A1430),MONTH(A1430),1)</f>
        <v>46113</v>
      </c>
      <c r="G1430" s="24" t="str">
        <f aca="false">INDEX(Products!$C$2:$C$49,MATCH(C1430,Products!$A$2:$A$49,0))</f>
        <v>Dairy &amp; Eggs</v>
      </c>
      <c r="H1430" s="33" t="n">
        <f aca="false">D1430*INDEX(Products!$E$2:$E$49,MATCH(C1430,Products!$A$2:$A$49,0))</f>
        <v>11500</v>
      </c>
      <c r="I1430" s="33" t="n">
        <f aca="false">D1430*INDEX(Products!$D$2:$D$49,MATCH(C1430,Products!$A$2:$A$49,0))*(1+INDEX(Assumptions!$B$16:$B$20,MATCH(B1430,Assumptions!$A$16:$A$20,0)))</f>
        <v>9644.544</v>
      </c>
      <c r="J1430" s="33" t="n">
        <f aca="false">H1430-I1430</f>
        <v>1855.456</v>
      </c>
      <c r="K1430" s="33" t="n">
        <f aca="false">IF(OR(E1430=0,E1430&gt;=7),0,D1430/(7-E1430)*E1430*INDEX(Products!$E$2:$E$49,MATCH(C1430,Products!$A$2:$A$49,0)))</f>
        <v>0</v>
      </c>
    </row>
    <row r="1431" customFormat="false" ht="15" hidden="false" customHeight="false" outlineLevel="0" collapsed="false">
      <c r="A1431" s="36" t="n">
        <v>46146</v>
      </c>
      <c r="B1431" s="24" t="s">
        <v>62</v>
      </c>
      <c r="C1431" s="24" t="s">
        <v>133</v>
      </c>
      <c r="D1431" s="33" t="n">
        <v>64</v>
      </c>
      <c r="E1431" s="24" t="n">
        <v>0</v>
      </c>
      <c r="F1431" s="37" t="n">
        <f aca="false">DATE(YEAR(A1431),MONTH(A1431),1)</f>
        <v>46143</v>
      </c>
      <c r="G1431" s="24" t="str">
        <f aca="false">INDEX(Products!$C$2:$C$49,MATCH(C1431,Products!$A$2:$A$49,0))</f>
        <v>Dairy &amp; Eggs</v>
      </c>
      <c r="H1431" s="33" t="n">
        <f aca="false">D1431*INDEX(Products!$E$2:$E$49,MATCH(C1431,Products!$A$2:$A$49,0))</f>
        <v>8000</v>
      </c>
      <c r="I1431" s="33" t="n">
        <f aca="false">D1431*INDEX(Products!$D$2:$D$49,MATCH(C1431,Products!$A$2:$A$49,0))*(1+INDEX(Assumptions!$B$16:$B$20,MATCH(B1431,Assumptions!$A$16:$A$20,0)))</f>
        <v>6709.248</v>
      </c>
      <c r="J1431" s="33" t="n">
        <f aca="false">H1431-I1431</f>
        <v>1290.752</v>
      </c>
      <c r="K1431" s="33" t="n">
        <f aca="false">IF(OR(E1431=0,E1431&gt;=7),0,D1431/(7-E1431)*E1431*INDEX(Products!$E$2:$E$49,MATCH(C1431,Products!$A$2:$A$49,0)))</f>
        <v>0</v>
      </c>
    </row>
    <row r="1432" customFormat="false" ht="15" hidden="false" customHeight="false" outlineLevel="0" collapsed="false">
      <c r="A1432" s="36" t="n">
        <v>46153</v>
      </c>
      <c r="B1432" s="24" t="s">
        <v>62</v>
      </c>
      <c r="C1432" s="24" t="s">
        <v>133</v>
      </c>
      <c r="D1432" s="33" t="n">
        <v>71</v>
      </c>
      <c r="E1432" s="24" t="n">
        <v>0</v>
      </c>
      <c r="F1432" s="37" t="n">
        <f aca="false">DATE(YEAR(A1432),MONTH(A1432),1)</f>
        <v>46143</v>
      </c>
      <c r="G1432" s="24" t="str">
        <f aca="false">INDEX(Products!$C$2:$C$49,MATCH(C1432,Products!$A$2:$A$49,0))</f>
        <v>Dairy &amp; Eggs</v>
      </c>
      <c r="H1432" s="33" t="n">
        <f aca="false">D1432*INDEX(Products!$E$2:$E$49,MATCH(C1432,Products!$A$2:$A$49,0))</f>
        <v>8875</v>
      </c>
      <c r="I1432" s="33" t="n">
        <f aca="false">D1432*INDEX(Products!$D$2:$D$49,MATCH(C1432,Products!$A$2:$A$49,0))*(1+INDEX(Assumptions!$B$16:$B$20,MATCH(B1432,Assumptions!$A$16:$A$20,0)))</f>
        <v>7443.072</v>
      </c>
      <c r="J1432" s="33" t="n">
        <f aca="false">H1432-I1432</f>
        <v>1431.928</v>
      </c>
      <c r="K1432" s="33" t="n">
        <f aca="false">IF(OR(E1432=0,E1432&gt;=7),0,D1432/(7-E1432)*E1432*INDEX(Products!$E$2:$E$49,MATCH(C1432,Products!$A$2:$A$49,0)))</f>
        <v>0</v>
      </c>
    </row>
    <row r="1433" customFormat="false" ht="15" hidden="false" customHeight="false" outlineLevel="0" collapsed="false">
      <c r="A1433" s="36" t="n">
        <v>46160</v>
      </c>
      <c r="B1433" s="24" t="s">
        <v>62</v>
      </c>
      <c r="C1433" s="24" t="s">
        <v>133</v>
      </c>
      <c r="D1433" s="33" t="n">
        <v>68</v>
      </c>
      <c r="E1433" s="24" t="n">
        <v>0</v>
      </c>
      <c r="F1433" s="37" t="n">
        <f aca="false">DATE(YEAR(A1433),MONTH(A1433),1)</f>
        <v>46143</v>
      </c>
      <c r="G1433" s="24" t="str">
        <f aca="false">INDEX(Products!$C$2:$C$49,MATCH(C1433,Products!$A$2:$A$49,0))</f>
        <v>Dairy &amp; Eggs</v>
      </c>
      <c r="H1433" s="33" t="n">
        <f aca="false">D1433*INDEX(Products!$E$2:$E$49,MATCH(C1433,Products!$A$2:$A$49,0))</f>
        <v>8500</v>
      </c>
      <c r="I1433" s="33" t="n">
        <f aca="false">D1433*INDEX(Products!$D$2:$D$49,MATCH(C1433,Products!$A$2:$A$49,0))*(1+INDEX(Assumptions!$B$16:$B$20,MATCH(B1433,Assumptions!$A$16:$A$20,0)))</f>
        <v>7128.576</v>
      </c>
      <c r="J1433" s="33" t="n">
        <f aca="false">H1433-I1433</f>
        <v>1371.424</v>
      </c>
      <c r="K1433" s="33" t="n">
        <f aca="false">IF(OR(E1433=0,E1433&gt;=7),0,D1433/(7-E1433)*E1433*INDEX(Products!$E$2:$E$49,MATCH(C1433,Products!$A$2:$A$49,0)))</f>
        <v>0</v>
      </c>
    </row>
    <row r="1434" customFormat="false" ht="15" hidden="false" customHeight="false" outlineLevel="0" collapsed="false">
      <c r="A1434" s="36" t="n">
        <v>46167</v>
      </c>
      <c r="B1434" s="24" t="s">
        <v>62</v>
      </c>
      <c r="C1434" s="24" t="s">
        <v>133</v>
      </c>
      <c r="D1434" s="33" t="n">
        <v>82</v>
      </c>
      <c r="E1434" s="24" t="n">
        <v>0</v>
      </c>
      <c r="F1434" s="37" t="n">
        <f aca="false">DATE(YEAR(A1434),MONTH(A1434),1)</f>
        <v>46143</v>
      </c>
      <c r="G1434" s="24" t="str">
        <f aca="false">INDEX(Products!$C$2:$C$49,MATCH(C1434,Products!$A$2:$A$49,0))</f>
        <v>Dairy &amp; Eggs</v>
      </c>
      <c r="H1434" s="33" t="n">
        <f aca="false">D1434*INDEX(Products!$E$2:$E$49,MATCH(C1434,Products!$A$2:$A$49,0))</f>
        <v>10250</v>
      </c>
      <c r="I1434" s="33" t="n">
        <f aca="false">D1434*INDEX(Products!$D$2:$D$49,MATCH(C1434,Products!$A$2:$A$49,0))*(1+INDEX(Assumptions!$B$16:$B$20,MATCH(B1434,Assumptions!$A$16:$A$20,0)))</f>
        <v>8596.224</v>
      </c>
      <c r="J1434" s="33" t="n">
        <f aca="false">H1434-I1434</f>
        <v>1653.776</v>
      </c>
      <c r="K1434" s="33" t="n">
        <f aca="false">IF(OR(E1434=0,E1434&gt;=7),0,D1434/(7-E1434)*E1434*INDEX(Products!$E$2:$E$49,MATCH(C1434,Products!$A$2:$A$49,0)))</f>
        <v>0</v>
      </c>
    </row>
    <row r="1435" customFormat="false" ht="15" hidden="false" customHeight="false" outlineLevel="0" collapsed="false">
      <c r="A1435" s="36" t="n">
        <v>46174</v>
      </c>
      <c r="B1435" s="24" t="s">
        <v>62</v>
      </c>
      <c r="C1435" s="24" t="s">
        <v>133</v>
      </c>
      <c r="D1435" s="33" t="n">
        <v>67</v>
      </c>
      <c r="E1435" s="24" t="n">
        <v>0</v>
      </c>
      <c r="F1435" s="37" t="n">
        <f aca="false">DATE(YEAR(A1435),MONTH(A1435),1)</f>
        <v>46174</v>
      </c>
      <c r="G1435" s="24" t="str">
        <f aca="false">INDEX(Products!$C$2:$C$49,MATCH(C1435,Products!$A$2:$A$49,0))</f>
        <v>Dairy &amp; Eggs</v>
      </c>
      <c r="H1435" s="33" t="n">
        <f aca="false">D1435*INDEX(Products!$E$2:$E$49,MATCH(C1435,Products!$A$2:$A$49,0))</f>
        <v>8375</v>
      </c>
      <c r="I1435" s="33" t="n">
        <f aca="false">D1435*INDEX(Products!$D$2:$D$49,MATCH(C1435,Products!$A$2:$A$49,0))*(1+INDEX(Assumptions!$B$16:$B$20,MATCH(B1435,Assumptions!$A$16:$A$20,0)))</f>
        <v>7023.744</v>
      </c>
      <c r="J1435" s="33" t="n">
        <f aca="false">H1435-I1435</f>
        <v>1351.256</v>
      </c>
      <c r="K1435" s="33" t="n">
        <f aca="false">IF(OR(E1435=0,E1435&gt;=7),0,D1435/(7-E1435)*E1435*INDEX(Products!$E$2:$E$49,MATCH(C1435,Products!$A$2:$A$49,0)))</f>
        <v>0</v>
      </c>
    </row>
    <row r="1436" customFormat="false" ht="15" hidden="false" customHeight="false" outlineLevel="0" collapsed="false">
      <c r="A1436" s="36" t="n">
        <v>46181</v>
      </c>
      <c r="B1436" s="24" t="s">
        <v>62</v>
      </c>
      <c r="C1436" s="24" t="s">
        <v>133</v>
      </c>
      <c r="D1436" s="33" t="n">
        <v>61</v>
      </c>
      <c r="E1436" s="24" t="n">
        <v>0</v>
      </c>
      <c r="F1436" s="37" t="n">
        <f aca="false">DATE(YEAR(A1436),MONTH(A1436),1)</f>
        <v>46174</v>
      </c>
      <c r="G1436" s="24" t="str">
        <f aca="false">INDEX(Products!$C$2:$C$49,MATCH(C1436,Products!$A$2:$A$49,0))</f>
        <v>Dairy &amp; Eggs</v>
      </c>
      <c r="H1436" s="33" t="n">
        <f aca="false">D1436*INDEX(Products!$E$2:$E$49,MATCH(C1436,Products!$A$2:$A$49,0))</f>
        <v>7625</v>
      </c>
      <c r="I1436" s="33" t="n">
        <f aca="false">D1436*INDEX(Products!$D$2:$D$49,MATCH(C1436,Products!$A$2:$A$49,0))*(1+INDEX(Assumptions!$B$16:$B$20,MATCH(B1436,Assumptions!$A$16:$A$20,0)))</f>
        <v>6394.752</v>
      </c>
      <c r="J1436" s="33" t="n">
        <f aca="false">H1436-I1436</f>
        <v>1230.248</v>
      </c>
      <c r="K1436" s="33" t="n">
        <f aca="false">IF(OR(E1436=0,E1436&gt;=7),0,D1436/(7-E1436)*E1436*INDEX(Products!$E$2:$E$49,MATCH(C1436,Products!$A$2:$A$49,0)))</f>
        <v>0</v>
      </c>
    </row>
    <row r="1437" customFormat="false" ht="15" hidden="false" customHeight="false" outlineLevel="0" collapsed="false">
      <c r="A1437" s="36" t="n">
        <v>46188</v>
      </c>
      <c r="B1437" s="24" t="s">
        <v>62</v>
      </c>
      <c r="C1437" s="24" t="s">
        <v>133</v>
      </c>
      <c r="D1437" s="33" t="n">
        <v>17</v>
      </c>
      <c r="E1437" s="24" t="n">
        <v>5</v>
      </c>
      <c r="F1437" s="37" t="n">
        <f aca="false">DATE(YEAR(A1437),MONTH(A1437),1)</f>
        <v>46174</v>
      </c>
      <c r="G1437" s="24" t="str">
        <f aca="false">INDEX(Products!$C$2:$C$49,MATCH(C1437,Products!$A$2:$A$49,0))</f>
        <v>Dairy &amp; Eggs</v>
      </c>
      <c r="H1437" s="33" t="n">
        <f aca="false">D1437*INDEX(Products!$E$2:$E$49,MATCH(C1437,Products!$A$2:$A$49,0))</f>
        <v>2125</v>
      </c>
      <c r="I1437" s="33" t="n">
        <f aca="false">D1437*INDEX(Products!$D$2:$D$49,MATCH(C1437,Products!$A$2:$A$49,0))*(1+INDEX(Assumptions!$B$16:$B$20,MATCH(B1437,Assumptions!$A$16:$A$20,0)))</f>
        <v>1782.144</v>
      </c>
      <c r="J1437" s="33" t="n">
        <f aca="false">H1437-I1437</f>
        <v>342.856</v>
      </c>
      <c r="K1437" s="33" t="n">
        <f aca="false">IF(OR(E1437=0,E1437&gt;=7),0,D1437/(7-E1437)*E1437*INDEX(Products!$E$2:$E$49,MATCH(C1437,Products!$A$2:$A$49,0)))</f>
        <v>5312.5</v>
      </c>
    </row>
    <row r="1438" customFormat="false" ht="15" hidden="false" customHeight="false" outlineLevel="0" collapsed="false">
      <c r="A1438" s="36" t="n">
        <v>46195</v>
      </c>
      <c r="B1438" s="24" t="s">
        <v>62</v>
      </c>
      <c r="C1438" s="24" t="s">
        <v>133</v>
      </c>
      <c r="D1438" s="33" t="n">
        <v>76</v>
      </c>
      <c r="E1438" s="24" t="n">
        <v>0</v>
      </c>
      <c r="F1438" s="37" t="n">
        <f aca="false">DATE(YEAR(A1438),MONTH(A1438),1)</f>
        <v>46174</v>
      </c>
      <c r="G1438" s="24" t="str">
        <f aca="false">INDEX(Products!$C$2:$C$49,MATCH(C1438,Products!$A$2:$A$49,0))</f>
        <v>Dairy &amp; Eggs</v>
      </c>
      <c r="H1438" s="33" t="n">
        <f aca="false">D1438*INDEX(Products!$E$2:$E$49,MATCH(C1438,Products!$A$2:$A$49,0))</f>
        <v>9500</v>
      </c>
      <c r="I1438" s="33" t="n">
        <f aca="false">D1438*INDEX(Products!$D$2:$D$49,MATCH(C1438,Products!$A$2:$A$49,0))*(1+INDEX(Assumptions!$B$16:$B$20,MATCH(B1438,Assumptions!$A$16:$A$20,0)))</f>
        <v>7967.232</v>
      </c>
      <c r="J1438" s="33" t="n">
        <f aca="false">H1438-I1438</f>
        <v>1532.768</v>
      </c>
      <c r="K1438" s="33" t="n">
        <f aca="false">IF(OR(E1438=0,E1438&gt;=7),0,D1438/(7-E1438)*E1438*INDEX(Products!$E$2:$E$49,MATCH(C1438,Products!$A$2:$A$49,0)))</f>
        <v>0</v>
      </c>
    </row>
    <row r="1439" customFormat="false" ht="15" hidden="false" customHeight="false" outlineLevel="0" collapsed="false">
      <c r="A1439" s="36" t="n">
        <v>46202</v>
      </c>
      <c r="B1439" s="24" t="s">
        <v>62</v>
      </c>
      <c r="C1439" s="24" t="s">
        <v>133</v>
      </c>
      <c r="D1439" s="33" t="n">
        <v>70</v>
      </c>
      <c r="E1439" s="24" t="n">
        <v>0</v>
      </c>
      <c r="F1439" s="37" t="n">
        <f aca="false">DATE(YEAR(A1439),MONTH(A1439),1)</f>
        <v>46174</v>
      </c>
      <c r="G1439" s="24" t="str">
        <f aca="false">INDEX(Products!$C$2:$C$49,MATCH(C1439,Products!$A$2:$A$49,0))</f>
        <v>Dairy &amp; Eggs</v>
      </c>
      <c r="H1439" s="33" t="n">
        <f aca="false">D1439*INDEX(Products!$E$2:$E$49,MATCH(C1439,Products!$A$2:$A$49,0))</f>
        <v>8750</v>
      </c>
      <c r="I1439" s="33" t="n">
        <f aca="false">D1439*INDEX(Products!$D$2:$D$49,MATCH(C1439,Products!$A$2:$A$49,0))*(1+INDEX(Assumptions!$B$16:$B$20,MATCH(B1439,Assumptions!$A$16:$A$20,0)))</f>
        <v>7338.24</v>
      </c>
      <c r="J1439" s="33" t="n">
        <f aca="false">H1439-I1439</f>
        <v>1411.76</v>
      </c>
      <c r="K1439" s="33" t="n">
        <f aca="false">IF(OR(E1439=0,E1439&gt;=7),0,D1439/(7-E1439)*E1439*INDEX(Products!$E$2:$E$49,MATCH(C1439,Products!$A$2:$A$49,0)))</f>
        <v>0</v>
      </c>
    </row>
    <row r="1440" customFormat="false" ht="15" hidden="false" customHeight="false" outlineLevel="0" collapsed="false">
      <c r="A1440" s="36" t="n">
        <v>46209</v>
      </c>
      <c r="B1440" s="24" t="s">
        <v>62</v>
      </c>
      <c r="C1440" s="24" t="s">
        <v>133</v>
      </c>
      <c r="D1440" s="33" t="n">
        <v>80</v>
      </c>
      <c r="E1440" s="24" t="n">
        <v>0</v>
      </c>
      <c r="F1440" s="37" t="n">
        <f aca="false">DATE(YEAR(A1440),MONTH(A1440),1)</f>
        <v>46204</v>
      </c>
      <c r="G1440" s="24" t="str">
        <f aca="false">INDEX(Products!$C$2:$C$49,MATCH(C1440,Products!$A$2:$A$49,0))</f>
        <v>Dairy &amp; Eggs</v>
      </c>
      <c r="H1440" s="33" t="n">
        <f aca="false">D1440*INDEX(Products!$E$2:$E$49,MATCH(C1440,Products!$A$2:$A$49,0))</f>
        <v>10000</v>
      </c>
      <c r="I1440" s="33" t="n">
        <f aca="false">D1440*INDEX(Products!$D$2:$D$49,MATCH(C1440,Products!$A$2:$A$49,0))*(1+INDEX(Assumptions!$B$16:$B$20,MATCH(B1440,Assumptions!$A$16:$A$20,0)))</f>
        <v>8386.56</v>
      </c>
      <c r="J1440" s="33" t="n">
        <f aca="false">H1440-I1440</f>
        <v>1613.44</v>
      </c>
      <c r="K1440" s="33" t="n">
        <f aca="false">IF(OR(E1440=0,E1440&gt;=7),0,D1440/(7-E1440)*E1440*INDEX(Products!$E$2:$E$49,MATCH(C1440,Products!$A$2:$A$49,0)))</f>
        <v>0</v>
      </c>
    </row>
    <row r="1441" customFormat="false" ht="15" hidden="false" customHeight="false" outlineLevel="0" collapsed="false">
      <c r="A1441" s="36" t="n">
        <v>46216</v>
      </c>
      <c r="B1441" s="24" t="s">
        <v>62</v>
      </c>
      <c r="C1441" s="24" t="s">
        <v>133</v>
      </c>
      <c r="D1441" s="33" t="n">
        <v>86</v>
      </c>
      <c r="E1441" s="24" t="n">
        <v>0</v>
      </c>
      <c r="F1441" s="37" t="n">
        <f aca="false">DATE(YEAR(A1441),MONTH(A1441),1)</f>
        <v>46204</v>
      </c>
      <c r="G1441" s="24" t="str">
        <f aca="false">INDEX(Products!$C$2:$C$49,MATCH(C1441,Products!$A$2:$A$49,0))</f>
        <v>Dairy &amp; Eggs</v>
      </c>
      <c r="H1441" s="33" t="n">
        <f aca="false">D1441*INDEX(Products!$E$2:$E$49,MATCH(C1441,Products!$A$2:$A$49,0))</f>
        <v>10750</v>
      </c>
      <c r="I1441" s="33" t="n">
        <f aca="false">D1441*INDEX(Products!$D$2:$D$49,MATCH(C1441,Products!$A$2:$A$49,0))*(1+INDEX(Assumptions!$B$16:$B$20,MATCH(B1441,Assumptions!$A$16:$A$20,0)))</f>
        <v>9015.552</v>
      </c>
      <c r="J1441" s="33" t="n">
        <f aca="false">H1441-I1441</f>
        <v>1734.448</v>
      </c>
      <c r="K1441" s="33" t="n">
        <f aca="false">IF(OR(E1441=0,E1441&gt;=7),0,D1441/(7-E1441)*E1441*INDEX(Products!$E$2:$E$49,MATCH(C1441,Products!$A$2:$A$49,0)))</f>
        <v>0</v>
      </c>
    </row>
    <row r="1442" customFormat="false" ht="15" hidden="false" customHeight="false" outlineLevel="0" collapsed="false">
      <c r="A1442" s="36" t="n">
        <v>46223</v>
      </c>
      <c r="B1442" s="24" t="s">
        <v>62</v>
      </c>
      <c r="C1442" s="24" t="s">
        <v>133</v>
      </c>
      <c r="D1442" s="33" t="n">
        <v>73</v>
      </c>
      <c r="E1442" s="24" t="n">
        <v>0</v>
      </c>
      <c r="F1442" s="37" t="n">
        <f aca="false">DATE(YEAR(A1442),MONTH(A1442),1)</f>
        <v>46204</v>
      </c>
      <c r="G1442" s="24" t="str">
        <f aca="false">INDEX(Products!$C$2:$C$49,MATCH(C1442,Products!$A$2:$A$49,0))</f>
        <v>Dairy &amp; Eggs</v>
      </c>
      <c r="H1442" s="33" t="n">
        <f aca="false">D1442*INDEX(Products!$E$2:$E$49,MATCH(C1442,Products!$A$2:$A$49,0))</f>
        <v>9125</v>
      </c>
      <c r="I1442" s="33" t="n">
        <f aca="false">D1442*INDEX(Products!$D$2:$D$49,MATCH(C1442,Products!$A$2:$A$49,0))*(1+INDEX(Assumptions!$B$16:$B$20,MATCH(B1442,Assumptions!$A$16:$A$20,0)))</f>
        <v>7652.736</v>
      </c>
      <c r="J1442" s="33" t="n">
        <f aca="false">H1442-I1442</f>
        <v>1472.264</v>
      </c>
      <c r="K1442" s="33" t="n">
        <f aca="false">IF(OR(E1442=0,E1442&gt;=7),0,D1442/(7-E1442)*E1442*INDEX(Products!$E$2:$E$49,MATCH(C1442,Products!$A$2:$A$49,0)))</f>
        <v>0</v>
      </c>
    </row>
    <row r="1443" customFormat="false" ht="15" hidden="false" customHeight="false" outlineLevel="0" collapsed="false">
      <c r="A1443" s="36" t="n">
        <v>46230</v>
      </c>
      <c r="B1443" s="24" t="s">
        <v>62</v>
      </c>
      <c r="C1443" s="24" t="s">
        <v>133</v>
      </c>
      <c r="D1443" s="33" t="n">
        <v>66</v>
      </c>
      <c r="E1443" s="24" t="n">
        <v>0</v>
      </c>
      <c r="F1443" s="37" t="n">
        <f aca="false">DATE(YEAR(A1443),MONTH(A1443),1)</f>
        <v>46204</v>
      </c>
      <c r="G1443" s="24" t="str">
        <f aca="false">INDEX(Products!$C$2:$C$49,MATCH(C1443,Products!$A$2:$A$49,0))</f>
        <v>Dairy &amp; Eggs</v>
      </c>
      <c r="H1443" s="33" t="n">
        <f aca="false">D1443*INDEX(Products!$E$2:$E$49,MATCH(C1443,Products!$A$2:$A$49,0))</f>
        <v>8250</v>
      </c>
      <c r="I1443" s="33" t="n">
        <f aca="false">D1443*INDEX(Products!$D$2:$D$49,MATCH(C1443,Products!$A$2:$A$49,0))*(1+INDEX(Assumptions!$B$16:$B$20,MATCH(B1443,Assumptions!$A$16:$A$20,0)))</f>
        <v>6918.912</v>
      </c>
      <c r="J1443" s="33" t="n">
        <f aca="false">H1443-I1443</f>
        <v>1331.088</v>
      </c>
      <c r="K1443" s="33" t="n">
        <f aca="false">IF(OR(E1443=0,E1443&gt;=7),0,D1443/(7-E1443)*E1443*INDEX(Products!$E$2:$E$49,MATCH(C1443,Products!$A$2:$A$49,0)))</f>
        <v>0</v>
      </c>
    </row>
    <row r="1444" customFormat="false" ht="15" hidden="false" customHeight="false" outlineLevel="0" collapsed="false">
      <c r="A1444" s="36" t="n">
        <v>46237</v>
      </c>
      <c r="B1444" s="24" t="s">
        <v>62</v>
      </c>
      <c r="C1444" s="24" t="s">
        <v>133</v>
      </c>
      <c r="D1444" s="33" t="n">
        <v>57</v>
      </c>
      <c r="E1444" s="24" t="n">
        <v>0</v>
      </c>
      <c r="F1444" s="37" t="n">
        <f aca="false">DATE(YEAR(A1444),MONTH(A1444),1)</f>
        <v>46235</v>
      </c>
      <c r="G1444" s="24" t="str">
        <f aca="false">INDEX(Products!$C$2:$C$49,MATCH(C1444,Products!$A$2:$A$49,0))</f>
        <v>Dairy &amp; Eggs</v>
      </c>
      <c r="H1444" s="33" t="n">
        <f aca="false">D1444*INDEX(Products!$E$2:$E$49,MATCH(C1444,Products!$A$2:$A$49,0))</f>
        <v>7125</v>
      </c>
      <c r="I1444" s="33" t="n">
        <f aca="false">D1444*INDEX(Products!$D$2:$D$49,MATCH(C1444,Products!$A$2:$A$49,0))*(1+INDEX(Assumptions!$B$16:$B$20,MATCH(B1444,Assumptions!$A$16:$A$20,0)))</f>
        <v>5975.424</v>
      </c>
      <c r="J1444" s="33" t="n">
        <f aca="false">H1444-I1444</f>
        <v>1149.576</v>
      </c>
      <c r="K1444" s="33" t="n">
        <f aca="false">IF(OR(E1444=0,E1444&gt;=7),0,D1444/(7-E1444)*E1444*INDEX(Products!$E$2:$E$49,MATCH(C1444,Products!$A$2:$A$49,0)))</f>
        <v>0</v>
      </c>
    </row>
    <row r="1445" customFormat="false" ht="15" hidden="false" customHeight="false" outlineLevel="0" collapsed="false">
      <c r="A1445" s="36" t="n">
        <v>46244</v>
      </c>
      <c r="B1445" s="24" t="s">
        <v>62</v>
      </c>
      <c r="C1445" s="24" t="s">
        <v>133</v>
      </c>
      <c r="D1445" s="33" t="n">
        <v>65</v>
      </c>
      <c r="E1445" s="24" t="n">
        <v>0</v>
      </c>
      <c r="F1445" s="37" t="n">
        <f aca="false">DATE(YEAR(A1445),MONTH(A1445),1)</f>
        <v>46235</v>
      </c>
      <c r="G1445" s="24" t="str">
        <f aca="false">INDEX(Products!$C$2:$C$49,MATCH(C1445,Products!$A$2:$A$49,0))</f>
        <v>Dairy &amp; Eggs</v>
      </c>
      <c r="H1445" s="33" t="n">
        <f aca="false">D1445*INDEX(Products!$E$2:$E$49,MATCH(C1445,Products!$A$2:$A$49,0))</f>
        <v>8125</v>
      </c>
      <c r="I1445" s="33" t="n">
        <f aca="false">D1445*INDEX(Products!$D$2:$D$49,MATCH(C1445,Products!$A$2:$A$49,0))*(1+INDEX(Assumptions!$B$16:$B$20,MATCH(B1445,Assumptions!$A$16:$A$20,0)))</f>
        <v>6814.08</v>
      </c>
      <c r="J1445" s="33" t="n">
        <f aca="false">H1445-I1445</f>
        <v>1310.92</v>
      </c>
      <c r="K1445" s="33" t="n">
        <f aca="false">IF(OR(E1445=0,E1445&gt;=7),0,D1445/(7-E1445)*E1445*INDEX(Products!$E$2:$E$49,MATCH(C1445,Products!$A$2:$A$49,0)))</f>
        <v>0</v>
      </c>
    </row>
    <row r="1446" customFormat="false" ht="15" hidden="false" customHeight="false" outlineLevel="0" collapsed="false">
      <c r="A1446" s="36" t="n">
        <v>46251</v>
      </c>
      <c r="B1446" s="24" t="s">
        <v>62</v>
      </c>
      <c r="C1446" s="24" t="s">
        <v>133</v>
      </c>
      <c r="D1446" s="33" t="n">
        <v>72</v>
      </c>
      <c r="E1446" s="24" t="n">
        <v>0</v>
      </c>
      <c r="F1446" s="37" t="n">
        <f aca="false">DATE(YEAR(A1446),MONTH(A1446),1)</f>
        <v>46235</v>
      </c>
      <c r="G1446" s="24" t="str">
        <f aca="false">INDEX(Products!$C$2:$C$49,MATCH(C1446,Products!$A$2:$A$49,0))</f>
        <v>Dairy &amp; Eggs</v>
      </c>
      <c r="H1446" s="33" t="n">
        <f aca="false">D1446*INDEX(Products!$E$2:$E$49,MATCH(C1446,Products!$A$2:$A$49,0))</f>
        <v>9000</v>
      </c>
      <c r="I1446" s="33" t="n">
        <f aca="false">D1446*INDEX(Products!$D$2:$D$49,MATCH(C1446,Products!$A$2:$A$49,0))*(1+INDEX(Assumptions!$B$16:$B$20,MATCH(B1446,Assumptions!$A$16:$A$20,0)))</f>
        <v>7547.904</v>
      </c>
      <c r="J1446" s="33" t="n">
        <f aca="false">H1446-I1446</f>
        <v>1452.096</v>
      </c>
      <c r="K1446" s="33" t="n">
        <f aca="false">IF(OR(E1446=0,E1446&gt;=7),0,D1446/(7-E1446)*E1446*INDEX(Products!$E$2:$E$49,MATCH(C1446,Products!$A$2:$A$49,0)))</f>
        <v>0</v>
      </c>
    </row>
    <row r="1447" customFormat="false" ht="15" hidden="false" customHeight="false" outlineLevel="0" collapsed="false">
      <c r="A1447" s="36" t="n">
        <v>46258</v>
      </c>
      <c r="B1447" s="24" t="s">
        <v>62</v>
      </c>
      <c r="C1447" s="24" t="s">
        <v>133</v>
      </c>
      <c r="D1447" s="33" t="n">
        <v>67</v>
      </c>
      <c r="E1447" s="24" t="n">
        <v>0</v>
      </c>
      <c r="F1447" s="37" t="n">
        <f aca="false">DATE(YEAR(A1447),MONTH(A1447),1)</f>
        <v>46235</v>
      </c>
      <c r="G1447" s="24" t="str">
        <f aca="false">INDEX(Products!$C$2:$C$49,MATCH(C1447,Products!$A$2:$A$49,0))</f>
        <v>Dairy &amp; Eggs</v>
      </c>
      <c r="H1447" s="33" t="n">
        <f aca="false">D1447*INDEX(Products!$E$2:$E$49,MATCH(C1447,Products!$A$2:$A$49,0))</f>
        <v>8375</v>
      </c>
      <c r="I1447" s="33" t="n">
        <f aca="false">D1447*INDEX(Products!$D$2:$D$49,MATCH(C1447,Products!$A$2:$A$49,0))*(1+INDEX(Assumptions!$B$16:$B$20,MATCH(B1447,Assumptions!$A$16:$A$20,0)))</f>
        <v>7023.744</v>
      </c>
      <c r="J1447" s="33" t="n">
        <f aca="false">H1447-I1447</f>
        <v>1351.256</v>
      </c>
      <c r="K1447" s="33" t="n">
        <f aca="false">IF(OR(E1447=0,E1447&gt;=7),0,D1447/(7-E1447)*E1447*INDEX(Products!$E$2:$E$49,MATCH(C1447,Products!$A$2:$A$49,0)))</f>
        <v>0</v>
      </c>
    </row>
    <row r="1448" customFormat="false" ht="15" hidden="false" customHeight="false" outlineLevel="0" collapsed="false">
      <c r="A1448" s="36" t="n">
        <v>46265</v>
      </c>
      <c r="B1448" s="24" t="s">
        <v>62</v>
      </c>
      <c r="C1448" s="24" t="s">
        <v>133</v>
      </c>
      <c r="D1448" s="33" t="n">
        <v>63</v>
      </c>
      <c r="E1448" s="24" t="n">
        <v>0</v>
      </c>
      <c r="F1448" s="37" t="n">
        <f aca="false">DATE(YEAR(A1448),MONTH(A1448),1)</f>
        <v>46235</v>
      </c>
      <c r="G1448" s="24" t="str">
        <f aca="false">INDEX(Products!$C$2:$C$49,MATCH(C1448,Products!$A$2:$A$49,0))</f>
        <v>Dairy &amp; Eggs</v>
      </c>
      <c r="H1448" s="33" t="n">
        <f aca="false">D1448*INDEX(Products!$E$2:$E$49,MATCH(C1448,Products!$A$2:$A$49,0))</f>
        <v>7875</v>
      </c>
      <c r="I1448" s="33" t="n">
        <f aca="false">D1448*INDEX(Products!$D$2:$D$49,MATCH(C1448,Products!$A$2:$A$49,0))*(1+INDEX(Assumptions!$B$16:$B$20,MATCH(B1448,Assumptions!$A$16:$A$20,0)))</f>
        <v>6604.416</v>
      </c>
      <c r="J1448" s="33" t="n">
        <f aca="false">H1448-I1448</f>
        <v>1270.584</v>
      </c>
      <c r="K1448" s="33" t="n">
        <f aca="false">IF(OR(E1448=0,E1448&gt;=7),0,D1448/(7-E1448)*E1448*INDEX(Products!$E$2:$E$49,MATCH(C1448,Products!$A$2:$A$49,0)))</f>
        <v>0</v>
      </c>
    </row>
    <row r="1449" customFormat="false" ht="15" hidden="false" customHeight="false" outlineLevel="0" collapsed="false">
      <c r="A1449" s="36" t="n">
        <v>46272</v>
      </c>
      <c r="B1449" s="24" t="s">
        <v>62</v>
      </c>
      <c r="C1449" s="24" t="s">
        <v>133</v>
      </c>
      <c r="D1449" s="33" t="n">
        <v>60</v>
      </c>
      <c r="E1449" s="24" t="n">
        <v>0</v>
      </c>
      <c r="F1449" s="37" t="n">
        <f aca="false">DATE(YEAR(A1449),MONTH(A1449),1)</f>
        <v>46266</v>
      </c>
      <c r="G1449" s="24" t="str">
        <f aca="false">INDEX(Products!$C$2:$C$49,MATCH(C1449,Products!$A$2:$A$49,0))</f>
        <v>Dairy &amp; Eggs</v>
      </c>
      <c r="H1449" s="33" t="n">
        <f aca="false">D1449*INDEX(Products!$E$2:$E$49,MATCH(C1449,Products!$A$2:$A$49,0))</f>
        <v>7500</v>
      </c>
      <c r="I1449" s="33" t="n">
        <f aca="false">D1449*INDEX(Products!$D$2:$D$49,MATCH(C1449,Products!$A$2:$A$49,0))*(1+INDEX(Assumptions!$B$16:$B$20,MATCH(B1449,Assumptions!$A$16:$A$20,0)))</f>
        <v>6289.92</v>
      </c>
      <c r="J1449" s="33" t="n">
        <f aca="false">H1449-I1449</f>
        <v>1210.08</v>
      </c>
      <c r="K1449" s="33" t="n">
        <f aca="false">IF(OR(E1449=0,E1449&gt;=7),0,D1449/(7-E1449)*E1449*INDEX(Products!$E$2:$E$49,MATCH(C1449,Products!$A$2:$A$49,0)))</f>
        <v>0</v>
      </c>
    </row>
    <row r="1450" customFormat="false" ht="15" hidden="false" customHeight="false" outlineLevel="0" collapsed="false">
      <c r="A1450" s="36" t="n">
        <v>46279</v>
      </c>
      <c r="B1450" s="24" t="s">
        <v>62</v>
      </c>
      <c r="C1450" s="24" t="s">
        <v>133</v>
      </c>
      <c r="D1450" s="33" t="n">
        <v>78</v>
      </c>
      <c r="E1450" s="24" t="n">
        <v>0</v>
      </c>
      <c r="F1450" s="37" t="n">
        <f aca="false">DATE(YEAR(A1450),MONTH(A1450),1)</f>
        <v>46266</v>
      </c>
      <c r="G1450" s="24" t="str">
        <f aca="false">INDEX(Products!$C$2:$C$49,MATCH(C1450,Products!$A$2:$A$49,0))</f>
        <v>Dairy &amp; Eggs</v>
      </c>
      <c r="H1450" s="33" t="n">
        <f aca="false">D1450*INDEX(Products!$E$2:$E$49,MATCH(C1450,Products!$A$2:$A$49,0))</f>
        <v>9750</v>
      </c>
      <c r="I1450" s="33" t="n">
        <f aca="false">D1450*INDEX(Products!$D$2:$D$49,MATCH(C1450,Products!$A$2:$A$49,0))*(1+INDEX(Assumptions!$B$16:$B$20,MATCH(B1450,Assumptions!$A$16:$A$20,0)))</f>
        <v>8176.896</v>
      </c>
      <c r="J1450" s="33" t="n">
        <f aca="false">H1450-I1450</f>
        <v>1573.104</v>
      </c>
      <c r="K1450" s="33" t="n">
        <f aca="false">IF(OR(E1450=0,E1450&gt;=7),0,D1450/(7-E1450)*E1450*INDEX(Products!$E$2:$E$49,MATCH(C1450,Products!$A$2:$A$49,0)))</f>
        <v>0</v>
      </c>
    </row>
    <row r="1451" customFormat="false" ht="15" hidden="false" customHeight="false" outlineLevel="0" collapsed="false">
      <c r="A1451" s="36" t="n">
        <v>46286</v>
      </c>
      <c r="B1451" s="24" t="s">
        <v>62</v>
      </c>
      <c r="C1451" s="24" t="s">
        <v>133</v>
      </c>
      <c r="D1451" s="33" t="n">
        <v>74</v>
      </c>
      <c r="E1451" s="24" t="n">
        <v>0</v>
      </c>
      <c r="F1451" s="37" t="n">
        <f aca="false">DATE(YEAR(A1451),MONTH(A1451),1)</f>
        <v>46266</v>
      </c>
      <c r="G1451" s="24" t="str">
        <f aca="false">INDEX(Products!$C$2:$C$49,MATCH(C1451,Products!$A$2:$A$49,0))</f>
        <v>Dairy &amp; Eggs</v>
      </c>
      <c r="H1451" s="33" t="n">
        <f aca="false">D1451*INDEX(Products!$E$2:$E$49,MATCH(C1451,Products!$A$2:$A$49,0))</f>
        <v>9250</v>
      </c>
      <c r="I1451" s="33" t="n">
        <f aca="false">D1451*INDEX(Products!$D$2:$D$49,MATCH(C1451,Products!$A$2:$A$49,0))*(1+INDEX(Assumptions!$B$16:$B$20,MATCH(B1451,Assumptions!$A$16:$A$20,0)))</f>
        <v>7757.568</v>
      </c>
      <c r="J1451" s="33" t="n">
        <f aca="false">H1451-I1451</f>
        <v>1492.432</v>
      </c>
      <c r="K1451" s="33" t="n">
        <f aca="false">IF(OR(E1451=0,E1451&gt;=7),0,D1451/(7-E1451)*E1451*INDEX(Products!$E$2:$E$49,MATCH(C1451,Products!$A$2:$A$49,0)))</f>
        <v>0</v>
      </c>
    </row>
    <row r="1452" customFormat="false" ht="15" hidden="false" customHeight="false" outlineLevel="0" collapsed="false">
      <c r="A1452" s="36" t="n">
        <v>46118</v>
      </c>
      <c r="B1452" s="24" t="s">
        <v>62</v>
      </c>
      <c r="C1452" s="24" t="s">
        <v>135</v>
      </c>
      <c r="D1452" s="33" t="n">
        <v>38</v>
      </c>
      <c r="E1452" s="24" t="n">
        <v>0</v>
      </c>
      <c r="F1452" s="37" t="n">
        <f aca="false">DATE(YEAR(A1452),MONTH(A1452),1)</f>
        <v>46113</v>
      </c>
      <c r="G1452" s="24" t="str">
        <f aca="false">INDEX(Products!$C$2:$C$49,MATCH(C1452,Products!$A$2:$A$49,0))</f>
        <v>Dairy &amp; Eggs</v>
      </c>
      <c r="H1452" s="33" t="n">
        <f aca="false">D1452*INDEX(Products!$E$2:$E$49,MATCH(C1452,Products!$A$2:$A$49,0))</f>
        <v>4940</v>
      </c>
      <c r="I1452" s="33" t="n">
        <f aca="false">D1452*INDEX(Products!$D$2:$D$49,MATCH(C1452,Products!$A$2:$A$49,0))*(1+INDEX(Assumptions!$B$16:$B$20,MATCH(B1452,Assumptions!$A$16:$A$20,0)))</f>
        <v>4213.44</v>
      </c>
      <c r="J1452" s="33" t="n">
        <f aca="false">H1452-I1452</f>
        <v>726.56</v>
      </c>
      <c r="K1452" s="33" t="n">
        <f aca="false">IF(OR(E1452=0,E1452&gt;=7),0,D1452/(7-E1452)*E1452*INDEX(Products!$E$2:$E$49,MATCH(C1452,Products!$A$2:$A$49,0)))</f>
        <v>0</v>
      </c>
    </row>
    <row r="1453" customFormat="false" ht="15" hidden="false" customHeight="false" outlineLevel="0" collapsed="false">
      <c r="A1453" s="36" t="n">
        <v>46125</v>
      </c>
      <c r="B1453" s="24" t="s">
        <v>62</v>
      </c>
      <c r="C1453" s="24" t="s">
        <v>135</v>
      </c>
      <c r="D1453" s="33" t="n">
        <v>34</v>
      </c>
      <c r="E1453" s="24" t="n">
        <v>0</v>
      </c>
      <c r="F1453" s="37" t="n">
        <f aca="false">DATE(YEAR(A1453),MONTH(A1453),1)</f>
        <v>46113</v>
      </c>
      <c r="G1453" s="24" t="str">
        <f aca="false">INDEX(Products!$C$2:$C$49,MATCH(C1453,Products!$A$2:$A$49,0))</f>
        <v>Dairy &amp; Eggs</v>
      </c>
      <c r="H1453" s="33" t="n">
        <f aca="false">D1453*INDEX(Products!$E$2:$E$49,MATCH(C1453,Products!$A$2:$A$49,0))</f>
        <v>4420</v>
      </c>
      <c r="I1453" s="33" t="n">
        <f aca="false">D1453*INDEX(Products!$D$2:$D$49,MATCH(C1453,Products!$A$2:$A$49,0))*(1+INDEX(Assumptions!$B$16:$B$20,MATCH(B1453,Assumptions!$A$16:$A$20,0)))</f>
        <v>3769.92</v>
      </c>
      <c r="J1453" s="33" t="n">
        <f aca="false">H1453-I1453</f>
        <v>650.08</v>
      </c>
      <c r="K1453" s="33" t="n">
        <f aca="false">IF(OR(E1453=0,E1453&gt;=7),0,D1453/(7-E1453)*E1453*INDEX(Products!$E$2:$E$49,MATCH(C1453,Products!$A$2:$A$49,0)))</f>
        <v>0</v>
      </c>
    </row>
    <row r="1454" customFormat="false" ht="15" hidden="false" customHeight="false" outlineLevel="0" collapsed="false">
      <c r="A1454" s="36" t="n">
        <v>46132</v>
      </c>
      <c r="B1454" s="24" t="s">
        <v>62</v>
      </c>
      <c r="C1454" s="24" t="s">
        <v>135</v>
      </c>
      <c r="D1454" s="33" t="n">
        <v>46</v>
      </c>
      <c r="E1454" s="24" t="n">
        <v>0</v>
      </c>
      <c r="F1454" s="37" t="n">
        <f aca="false">DATE(YEAR(A1454),MONTH(A1454),1)</f>
        <v>46113</v>
      </c>
      <c r="G1454" s="24" t="str">
        <f aca="false">INDEX(Products!$C$2:$C$49,MATCH(C1454,Products!$A$2:$A$49,0))</f>
        <v>Dairy &amp; Eggs</v>
      </c>
      <c r="H1454" s="33" t="n">
        <f aca="false">D1454*INDEX(Products!$E$2:$E$49,MATCH(C1454,Products!$A$2:$A$49,0))</f>
        <v>5980</v>
      </c>
      <c r="I1454" s="33" t="n">
        <f aca="false">D1454*INDEX(Products!$D$2:$D$49,MATCH(C1454,Products!$A$2:$A$49,0))*(1+INDEX(Assumptions!$B$16:$B$20,MATCH(B1454,Assumptions!$A$16:$A$20,0)))</f>
        <v>5100.48</v>
      </c>
      <c r="J1454" s="33" t="n">
        <f aca="false">H1454-I1454</f>
        <v>879.52</v>
      </c>
      <c r="K1454" s="33" t="n">
        <f aca="false">IF(OR(E1454=0,E1454&gt;=7),0,D1454/(7-E1454)*E1454*INDEX(Products!$E$2:$E$49,MATCH(C1454,Products!$A$2:$A$49,0)))</f>
        <v>0</v>
      </c>
    </row>
    <row r="1455" customFormat="false" ht="15" hidden="false" customHeight="false" outlineLevel="0" collapsed="false">
      <c r="A1455" s="36" t="n">
        <v>46139</v>
      </c>
      <c r="B1455" s="24" t="s">
        <v>62</v>
      </c>
      <c r="C1455" s="24" t="s">
        <v>135</v>
      </c>
      <c r="D1455" s="33" t="n">
        <v>43</v>
      </c>
      <c r="E1455" s="24" t="n">
        <v>0</v>
      </c>
      <c r="F1455" s="37" t="n">
        <f aca="false">DATE(YEAR(A1455),MONTH(A1455),1)</f>
        <v>46113</v>
      </c>
      <c r="G1455" s="24" t="str">
        <f aca="false">INDEX(Products!$C$2:$C$49,MATCH(C1455,Products!$A$2:$A$49,0))</f>
        <v>Dairy &amp; Eggs</v>
      </c>
      <c r="H1455" s="33" t="n">
        <f aca="false">D1455*INDEX(Products!$E$2:$E$49,MATCH(C1455,Products!$A$2:$A$49,0))</f>
        <v>5590</v>
      </c>
      <c r="I1455" s="33" t="n">
        <f aca="false">D1455*INDEX(Products!$D$2:$D$49,MATCH(C1455,Products!$A$2:$A$49,0))*(1+INDEX(Assumptions!$B$16:$B$20,MATCH(B1455,Assumptions!$A$16:$A$20,0)))</f>
        <v>4767.84</v>
      </c>
      <c r="J1455" s="33" t="n">
        <f aca="false">H1455-I1455</f>
        <v>822.16</v>
      </c>
      <c r="K1455" s="33" t="n">
        <f aca="false">IF(OR(E1455=0,E1455&gt;=7),0,D1455/(7-E1455)*E1455*INDEX(Products!$E$2:$E$49,MATCH(C1455,Products!$A$2:$A$49,0)))</f>
        <v>0</v>
      </c>
    </row>
    <row r="1456" customFormat="false" ht="15" hidden="false" customHeight="false" outlineLevel="0" collapsed="false">
      <c r="A1456" s="36" t="n">
        <v>46146</v>
      </c>
      <c r="B1456" s="24" t="s">
        <v>62</v>
      </c>
      <c r="C1456" s="24" t="s">
        <v>135</v>
      </c>
      <c r="D1456" s="33" t="n">
        <v>41</v>
      </c>
      <c r="E1456" s="24" t="n">
        <v>0</v>
      </c>
      <c r="F1456" s="37" t="n">
        <f aca="false">DATE(YEAR(A1456),MONTH(A1456),1)</f>
        <v>46143</v>
      </c>
      <c r="G1456" s="24" t="str">
        <f aca="false">INDEX(Products!$C$2:$C$49,MATCH(C1456,Products!$A$2:$A$49,0))</f>
        <v>Dairy &amp; Eggs</v>
      </c>
      <c r="H1456" s="33" t="n">
        <f aca="false">D1456*INDEX(Products!$E$2:$E$49,MATCH(C1456,Products!$A$2:$A$49,0))</f>
        <v>5330</v>
      </c>
      <c r="I1456" s="33" t="n">
        <f aca="false">D1456*INDEX(Products!$D$2:$D$49,MATCH(C1456,Products!$A$2:$A$49,0))*(1+INDEX(Assumptions!$B$16:$B$20,MATCH(B1456,Assumptions!$A$16:$A$20,0)))</f>
        <v>4546.08</v>
      </c>
      <c r="J1456" s="33" t="n">
        <f aca="false">H1456-I1456</f>
        <v>783.92</v>
      </c>
      <c r="K1456" s="33" t="n">
        <f aca="false">IF(OR(E1456=0,E1456&gt;=7),0,D1456/(7-E1456)*E1456*INDEX(Products!$E$2:$E$49,MATCH(C1456,Products!$A$2:$A$49,0)))</f>
        <v>0</v>
      </c>
    </row>
    <row r="1457" customFormat="false" ht="15" hidden="false" customHeight="false" outlineLevel="0" collapsed="false">
      <c r="A1457" s="36" t="n">
        <v>46153</v>
      </c>
      <c r="B1457" s="24" t="s">
        <v>62</v>
      </c>
      <c r="C1457" s="24" t="s">
        <v>135</v>
      </c>
      <c r="D1457" s="33" t="n">
        <v>36</v>
      </c>
      <c r="E1457" s="24" t="n">
        <v>0</v>
      </c>
      <c r="F1457" s="37" t="n">
        <f aca="false">DATE(YEAR(A1457),MONTH(A1457),1)</f>
        <v>46143</v>
      </c>
      <c r="G1457" s="24" t="str">
        <f aca="false">INDEX(Products!$C$2:$C$49,MATCH(C1457,Products!$A$2:$A$49,0))</f>
        <v>Dairy &amp; Eggs</v>
      </c>
      <c r="H1457" s="33" t="n">
        <f aca="false">D1457*INDEX(Products!$E$2:$E$49,MATCH(C1457,Products!$A$2:$A$49,0))</f>
        <v>4680</v>
      </c>
      <c r="I1457" s="33" t="n">
        <f aca="false">D1457*INDEX(Products!$D$2:$D$49,MATCH(C1457,Products!$A$2:$A$49,0))*(1+INDEX(Assumptions!$B$16:$B$20,MATCH(B1457,Assumptions!$A$16:$A$20,0)))</f>
        <v>3991.68</v>
      </c>
      <c r="J1457" s="33" t="n">
        <f aca="false">H1457-I1457</f>
        <v>688.32</v>
      </c>
      <c r="K1457" s="33" t="n">
        <f aca="false">IF(OR(E1457=0,E1457&gt;=7),0,D1457/(7-E1457)*E1457*INDEX(Products!$E$2:$E$49,MATCH(C1457,Products!$A$2:$A$49,0)))</f>
        <v>0</v>
      </c>
    </row>
    <row r="1458" customFormat="false" ht="15" hidden="false" customHeight="false" outlineLevel="0" collapsed="false">
      <c r="A1458" s="36" t="n">
        <v>46160</v>
      </c>
      <c r="B1458" s="24" t="s">
        <v>62</v>
      </c>
      <c r="C1458" s="24" t="s">
        <v>135</v>
      </c>
      <c r="D1458" s="33" t="n">
        <v>37</v>
      </c>
      <c r="E1458" s="24" t="n">
        <v>0</v>
      </c>
      <c r="F1458" s="37" t="n">
        <f aca="false">DATE(YEAR(A1458),MONTH(A1458),1)</f>
        <v>46143</v>
      </c>
      <c r="G1458" s="24" t="str">
        <f aca="false">INDEX(Products!$C$2:$C$49,MATCH(C1458,Products!$A$2:$A$49,0))</f>
        <v>Dairy &amp; Eggs</v>
      </c>
      <c r="H1458" s="33" t="n">
        <f aca="false">D1458*INDEX(Products!$E$2:$E$49,MATCH(C1458,Products!$A$2:$A$49,0))</f>
        <v>4810</v>
      </c>
      <c r="I1458" s="33" t="n">
        <f aca="false">D1458*INDEX(Products!$D$2:$D$49,MATCH(C1458,Products!$A$2:$A$49,0))*(1+INDEX(Assumptions!$B$16:$B$20,MATCH(B1458,Assumptions!$A$16:$A$20,0)))</f>
        <v>4102.56</v>
      </c>
      <c r="J1458" s="33" t="n">
        <f aca="false">H1458-I1458</f>
        <v>707.44</v>
      </c>
      <c r="K1458" s="33" t="n">
        <f aca="false">IF(OR(E1458=0,E1458&gt;=7),0,D1458/(7-E1458)*E1458*INDEX(Products!$E$2:$E$49,MATCH(C1458,Products!$A$2:$A$49,0)))</f>
        <v>0</v>
      </c>
    </row>
    <row r="1459" customFormat="false" ht="15" hidden="false" customHeight="false" outlineLevel="0" collapsed="false">
      <c r="A1459" s="36" t="n">
        <v>46167</v>
      </c>
      <c r="B1459" s="24" t="s">
        <v>62</v>
      </c>
      <c r="C1459" s="24" t="s">
        <v>135</v>
      </c>
      <c r="D1459" s="33" t="n">
        <v>44</v>
      </c>
      <c r="E1459" s="24" t="n">
        <v>0</v>
      </c>
      <c r="F1459" s="37" t="n">
        <f aca="false">DATE(YEAR(A1459),MONTH(A1459),1)</f>
        <v>46143</v>
      </c>
      <c r="G1459" s="24" t="str">
        <f aca="false">INDEX(Products!$C$2:$C$49,MATCH(C1459,Products!$A$2:$A$49,0))</f>
        <v>Dairy &amp; Eggs</v>
      </c>
      <c r="H1459" s="33" t="n">
        <f aca="false">D1459*INDEX(Products!$E$2:$E$49,MATCH(C1459,Products!$A$2:$A$49,0))</f>
        <v>5720</v>
      </c>
      <c r="I1459" s="33" t="n">
        <f aca="false">D1459*INDEX(Products!$D$2:$D$49,MATCH(C1459,Products!$A$2:$A$49,0))*(1+INDEX(Assumptions!$B$16:$B$20,MATCH(B1459,Assumptions!$A$16:$A$20,0)))</f>
        <v>4878.72</v>
      </c>
      <c r="J1459" s="33" t="n">
        <f aca="false">H1459-I1459</f>
        <v>841.28</v>
      </c>
      <c r="K1459" s="33" t="n">
        <f aca="false">IF(OR(E1459=0,E1459&gt;=7),0,D1459/(7-E1459)*E1459*INDEX(Products!$E$2:$E$49,MATCH(C1459,Products!$A$2:$A$49,0)))</f>
        <v>0</v>
      </c>
    </row>
    <row r="1460" customFormat="false" ht="15" hidden="false" customHeight="false" outlineLevel="0" collapsed="false">
      <c r="A1460" s="36" t="n">
        <v>46174</v>
      </c>
      <c r="B1460" s="24" t="s">
        <v>62</v>
      </c>
      <c r="C1460" s="24" t="s">
        <v>135</v>
      </c>
      <c r="D1460" s="33" t="n">
        <v>51</v>
      </c>
      <c r="E1460" s="24" t="n">
        <v>0</v>
      </c>
      <c r="F1460" s="37" t="n">
        <f aca="false">DATE(YEAR(A1460),MONTH(A1460),1)</f>
        <v>46174</v>
      </c>
      <c r="G1460" s="24" t="str">
        <f aca="false">INDEX(Products!$C$2:$C$49,MATCH(C1460,Products!$A$2:$A$49,0))</f>
        <v>Dairy &amp; Eggs</v>
      </c>
      <c r="H1460" s="33" t="n">
        <f aca="false">D1460*INDEX(Products!$E$2:$E$49,MATCH(C1460,Products!$A$2:$A$49,0))</f>
        <v>6630</v>
      </c>
      <c r="I1460" s="33" t="n">
        <f aca="false">D1460*INDEX(Products!$D$2:$D$49,MATCH(C1460,Products!$A$2:$A$49,0))*(1+INDEX(Assumptions!$B$16:$B$20,MATCH(B1460,Assumptions!$A$16:$A$20,0)))</f>
        <v>5654.88</v>
      </c>
      <c r="J1460" s="33" t="n">
        <f aca="false">H1460-I1460</f>
        <v>975.12</v>
      </c>
      <c r="K1460" s="33" t="n">
        <f aca="false">IF(OR(E1460=0,E1460&gt;=7),0,D1460/(7-E1460)*E1460*INDEX(Products!$E$2:$E$49,MATCH(C1460,Products!$A$2:$A$49,0)))</f>
        <v>0</v>
      </c>
    </row>
    <row r="1461" customFormat="false" ht="15" hidden="false" customHeight="false" outlineLevel="0" collapsed="false">
      <c r="A1461" s="36" t="n">
        <v>46181</v>
      </c>
      <c r="B1461" s="24" t="s">
        <v>62</v>
      </c>
      <c r="C1461" s="24" t="s">
        <v>135</v>
      </c>
      <c r="D1461" s="33" t="n">
        <v>38</v>
      </c>
      <c r="E1461" s="24" t="n">
        <v>0</v>
      </c>
      <c r="F1461" s="37" t="n">
        <f aca="false">DATE(YEAR(A1461),MONTH(A1461),1)</f>
        <v>46174</v>
      </c>
      <c r="G1461" s="24" t="str">
        <f aca="false">INDEX(Products!$C$2:$C$49,MATCH(C1461,Products!$A$2:$A$49,0))</f>
        <v>Dairy &amp; Eggs</v>
      </c>
      <c r="H1461" s="33" t="n">
        <f aca="false">D1461*INDEX(Products!$E$2:$E$49,MATCH(C1461,Products!$A$2:$A$49,0))</f>
        <v>4940</v>
      </c>
      <c r="I1461" s="33" t="n">
        <f aca="false">D1461*INDEX(Products!$D$2:$D$49,MATCH(C1461,Products!$A$2:$A$49,0))*(1+INDEX(Assumptions!$B$16:$B$20,MATCH(B1461,Assumptions!$A$16:$A$20,0)))</f>
        <v>4213.44</v>
      </c>
      <c r="J1461" s="33" t="n">
        <f aca="false">H1461-I1461</f>
        <v>726.56</v>
      </c>
      <c r="K1461" s="33" t="n">
        <f aca="false">IF(OR(E1461=0,E1461&gt;=7),0,D1461/(7-E1461)*E1461*INDEX(Products!$E$2:$E$49,MATCH(C1461,Products!$A$2:$A$49,0)))</f>
        <v>0</v>
      </c>
    </row>
    <row r="1462" customFormat="false" ht="15" hidden="false" customHeight="false" outlineLevel="0" collapsed="false">
      <c r="A1462" s="36" t="n">
        <v>46188</v>
      </c>
      <c r="B1462" s="24" t="s">
        <v>62</v>
      </c>
      <c r="C1462" s="24" t="s">
        <v>135</v>
      </c>
      <c r="D1462" s="33" t="n">
        <v>12</v>
      </c>
      <c r="E1462" s="24" t="n">
        <v>5</v>
      </c>
      <c r="F1462" s="37" t="n">
        <f aca="false">DATE(YEAR(A1462),MONTH(A1462),1)</f>
        <v>46174</v>
      </c>
      <c r="G1462" s="24" t="str">
        <f aca="false">INDEX(Products!$C$2:$C$49,MATCH(C1462,Products!$A$2:$A$49,0))</f>
        <v>Dairy &amp; Eggs</v>
      </c>
      <c r="H1462" s="33" t="n">
        <f aca="false">D1462*INDEX(Products!$E$2:$E$49,MATCH(C1462,Products!$A$2:$A$49,0))</f>
        <v>1560</v>
      </c>
      <c r="I1462" s="33" t="n">
        <f aca="false">D1462*INDEX(Products!$D$2:$D$49,MATCH(C1462,Products!$A$2:$A$49,0))*(1+INDEX(Assumptions!$B$16:$B$20,MATCH(B1462,Assumptions!$A$16:$A$20,0)))</f>
        <v>1330.56</v>
      </c>
      <c r="J1462" s="33" t="n">
        <f aca="false">H1462-I1462</f>
        <v>229.44</v>
      </c>
      <c r="K1462" s="33" t="n">
        <f aca="false">IF(OR(E1462=0,E1462&gt;=7),0,D1462/(7-E1462)*E1462*INDEX(Products!$E$2:$E$49,MATCH(C1462,Products!$A$2:$A$49,0)))</f>
        <v>3900</v>
      </c>
    </row>
    <row r="1463" customFormat="false" ht="15" hidden="false" customHeight="false" outlineLevel="0" collapsed="false">
      <c r="A1463" s="36" t="n">
        <v>46195</v>
      </c>
      <c r="B1463" s="24" t="s">
        <v>62</v>
      </c>
      <c r="C1463" s="24" t="s">
        <v>135</v>
      </c>
      <c r="D1463" s="33" t="n">
        <v>36</v>
      </c>
      <c r="E1463" s="24" t="n">
        <v>0</v>
      </c>
      <c r="F1463" s="37" t="n">
        <f aca="false">DATE(YEAR(A1463),MONTH(A1463),1)</f>
        <v>46174</v>
      </c>
      <c r="G1463" s="24" t="str">
        <f aca="false">INDEX(Products!$C$2:$C$49,MATCH(C1463,Products!$A$2:$A$49,0))</f>
        <v>Dairy &amp; Eggs</v>
      </c>
      <c r="H1463" s="33" t="n">
        <f aca="false">D1463*INDEX(Products!$E$2:$E$49,MATCH(C1463,Products!$A$2:$A$49,0))</f>
        <v>4680</v>
      </c>
      <c r="I1463" s="33" t="n">
        <f aca="false">D1463*INDEX(Products!$D$2:$D$49,MATCH(C1463,Products!$A$2:$A$49,0))*(1+INDEX(Assumptions!$B$16:$B$20,MATCH(B1463,Assumptions!$A$16:$A$20,0)))</f>
        <v>3991.68</v>
      </c>
      <c r="J1463" s="33" t="n">
        <f aca="false">H1463-I1463</f>
        <v>688.32</v>
      </c>
      <c r="K1463" s="33" t="n">
        <f aca="false">IF(OR(E1463=0,E1463&gt;=7),0,D1463/(7-E1463)*E1463*INDEX(Products!$E$2:$E$49,MATCH(C1463,Products!$A$2:$A$49,0)))</f>
        <v>0</v>
      </c>
    </row>
    <row r="1464" customFormat="false" ht="15" hidden="false" customHeight="false" outlineLevel="0" collapsed="false">
      <c r="A1464" s="36" t="n">
        <v>46202</v>
      </c>
      <c r="B1464" s="24" t="s">
        <v>62</v>
      </c>
      <c r="C1464" s="24" t="s">
        <v>135</v>
      </c>
      <c r="D1464" s="33" t="n">
        <v>49</v>
      </c>
      <c r="E1464" s="24" t="n">
        <v>0</v>
      </c>
      <c r="F1464" s="37" t="n">
        <f aca="false">DATE(YEAR(A1464),MONTH(A1464),1)</f>
        <v>46174</v>
      </c>
      <c r="G1464" s="24" t="str">
        <f aca="false">INDEX(Products!$C$2:$C$49,MATCH(C1464,Products!$A$2:$A$49,0))</f>
        <v>Dairy &amp; Eggs</v>
      </c>
      <c r="H1464" s="33" t="n">
        <f aca="false">D1464*INDEX(Products!$E$2:$E$49,MATCH(C1464,Products!$A$2:$A$49,0))</f>
        <v>6370</v>
      </c>
      <c r="I1464" s="33" t="n">
        <f aca="false">D1464*INDEX(Products!$D$2:$D$49,MATCH(C1464,Products!$A$2:$A$49,0))*(1+INDEX(Assumptions!$B$16:$B$20,MATCH(B1464,Assumptions!$A$16:$A$20,0)))</f>
        <v>5433.12</v>
      </c>
      <c r="J1464" s="33" t="n">
        <f aca="false">H1464-I1464</f>
        <v>936.88</v>
      </c>
      <c r="K1464" s="33" t="n">
        <f aca="false">IF(OR(E1464=0,E1464&gt;=7),0,D1464/(7-E1464)*E1464*INDEX(Products!$E$2:$E$49,MATCH(C1464,Products!$A$2:$A$49,0)))</f>
        <v>0</v>
      </c>
    </row>
    <row r="1465" customFormat="false" ht="15" hidden="false" customHeight="false" outlineLevel="0" collapsed="false">
      <c r="A1465" s="36" t="n">
        <v>46209</v>
      </c>
      <c r="B1465" s="24" t="s">
        <v>62</v>
      </c>
      <c r="C1465" s="24" t="s">
        <v>135</v>
      </c>
      <c r="D1465" s="33" t="n">
        <v>39</v>
      </c>
      <c r="E1465" s="24" t="n">
        <v>0</v>
      </c>
      <c r="F1465" s="37" t="n">
        <f aca="false">DATE(YEAR(A1465),MONTH(A1465),1)</f>
        <v>46204</v>
      </c>
      <c r="G1465" s="24" t="str">
        <f aca="false">INDEX(Products!$C$2:$C$49,MATCH(C1465,Products!$A$2:$A$49,0))</f>
        <v>Dairy &amp; Eggs</v>
      </c>
      <c r="H1465" s="33" t="n">
        <f aca="false">D1465*INDEX(Products!$E$2:$E$49,MATCH(C1465,Products!$A$2:$A$49,0))</f>
        <v>5070</v>
      </c>
      <c r="I1465" s="33" t="n">
        <f aca="false">D1465*INDEX(Products!$D$2:$D$49,MATCH(C1465,Products!$A$2:$A$49,0))*(1+INDEX(Assumptions!$B$16:$B$20,MATCH(B1465,Assumptions!$A$16:$A$20,0)))</f>
        <v>4324.32</v>
      </c>
      <c r="J1465" s="33" t="n">
        <f aca="false">H1465-I1465</f>
        <v>745.68</v>
      </c>
      <c r="K1465" s="33" t="n">
        <f aca="false">IF(OR(E1465=0,E1465&gt;=7),0,D1465/(7-E1465)*E1465*INDEX(Products!$E$2:$E$49,MATCH(C1465,Products!$A$2:$A$49,0)))</f>
        <v>0</v>
      </c>
    </row>
    <row r="1466" customFormat="false" ht="15" hidden="false" customHeight="false" outlineLevel="0" collapsed="false">
      <c r="A1466" s="36" t="n">
        <v>46216</v>
      </c>
      <c r="B1466" s="24" t="s">
        <v>62</v>
      </c>
      <c r="C1466" s="24" t="s">
        <v>135</v>
      </c>
      <c r="D1466" s="33" t="n">
        <v>25</v>
      </c>
      <c r="E1466" s="24" t="n">
        <v>2</v>
      </c>
      <c r="F1466" s="37" t="n">
        <f aca="false">DATE(YEAR(A1466),MONTH(A1466),1)</f>
        <v>46204</v>
      </c>
      <c r="G1466" s="24" t="str">
        <f aca="false">INDEX(Products!$C$2:$C$49,MATCH(C1466,Products!$A$2:$A$49,0))</f>
        <v>Dairy &amp; Eggs</v>
      </c>
      <c r="H1466" s="33" t="n">
        <f aca="false">D1466*INDEX(Products!$E$2:$E$49,MATCH(C1466,Products!$A$2:$A$49,0))</f>
        <v>3250</v>
      </c>
      <c r="I1466" s="33" t="n">
        <f aca="false">D1466*INDEX(Products!$D$2:$D$49,MATCH(C1466,Products!$A$2:$A$49,0))*(1+INDEX(Assumptions!$B$16:$B$20,MATCH(B1466,Assumptions!$A$16:$A$20,0)))</f>
        <v>2772</v>
      </c>
      <c r="J1466" s="33" t="n">
        <f aca="false">H1466-I1466</f>
        <v>478</v>
      </c>
      <c r="K1466" s="33" t="n">
        <f aca="false">IF(OR(E1466=0,E1466&gt;=7),0,D1466/(7-E1466)*E1466*INDEX(Products!$E$2:$E$49,MATCH(C1466,Products!$A$2:$A$49,0)))</f>
        <v>1300</v>
      </c>
    </row>
    <row r="1467" customFormat="false" ht="15" hidden="false" customHeight="false" outlineLevel="0" collapsed="false">
      <c r="A1467" s="36" t="n">
        <v>46223</v>
      </c>
      <c r="B1467" s="24" t="s">
        <v>62</v>
      </c>
      <c r="C1467" s="24" t="s">
        <v>135</v>
      </c>
      <c r="D1467" s="33" t="n">
        <v>42</v>
      </c>
      <c r="E1467" s="24" t="n">
        <v>0</v>
      </c>
      <c r="F1467" s="37" t="n">
        <f aca="false">DATE(YEAR(A1467),MONTH(A1467),1)</f>
        <v>46204</v>
      </c>
      <c r="G1467" s="24" t="str">
        <f aca="false">INDEX(Products!$C$2:$C$49,MATCH(C1467,Products!$A$2:$A$49,0))</f>
        <v>Dairy &amp; Eggs</v>
      </c>
      <c r="H1467" s="33" t="n">
        <f aca="false">D1467*INDEX(Products!$E$2:$E$49,MATCH(C1467,Products!$A$2:$A$49,0))</f>
        <v>5460</v>
      </c>
      <c r="I1467" s="33" t="n">
        <f aca="false">D1467*INDEX(Products!$D$2:$D$49,MATCH(C1467,Products!$A$2:$A$49,0))*(1+INDEX(Assumptions!$B$16:$B$20,MATCH(B1467,Assumptions!$A$16:$A$20,0)))</f>
        <v>4656.96</v>
      </c>
      <c r="J1467" s="33" t="n">
        <f aca="false">H1467-I1467</f>
        <v>803.04</v>
      </c>
      <c r="K1467" s="33" t="n">
        <f aca="false">IF(OR(E1467=0,E1467&gt;=7),0,D1467/(7-E1467)*E1467*INDEX(Products!$E$2:$E$49,MATCH(C1467,Products!$A$2:$A$49,0)))</f>
        <v>0</v>
      </c>
    </row>
    <row r="1468" customFormat="false" ht="15" hidden="false" customHeight="false" outlineLevel="0" collapsed="false">
      <c r="A1468" s="36" t="n">
        <v>46230</v>
      </c>
      <c r="B1468" s="24" t="s">
        <v>62</v>
      </c>
      <c r="C1468" s="24" t="s">
        <v>135</v>
      </c>
      <c r="D1468" s="33" t="n">
        <v>30</v>
      </c>
      <c r="E1468" s="24" t="n">
        <v>0</v>
      </c>
      <c r="F1468" s="37" t="n">
        <f aca="false">DATE(YEAR(A1468),MONTH(A1468),1)</f>
        <v>46204</v>
      </c>
      <c r="G1468" s="24" t="str">
        <f aca="false">INDEX(Products!$C$2:$C$49,MATCH(C1468,Products!$A$2:$A$49,0))</f>
        <v>Dairy &amp; Eggs</v>
      </c>
      <c r="H1468" s="33" t="n">
        <f aca="false">D1468*INDEX(Products!$E$2:$E$49,MATCH(C1468,Products!$A$2:$A$49,0))</f>
        <v>3900</v>
      </c>
      <c r="I1468" s="33" t="n">
        <f aca="false">D1468*INDEX(Products!$D$2:$D$49,MATCH(C1468,Products!$A$2:$A$49,0))*(1+INDEX(Assumptions!$B$16:$B$20,MATCH(B1468,Assumptions!$A$16:$A$20,0)))</f>
        <v>3326.4</v>
      </c>
      <c r="J1468" s="33" t="n">
        <f aca="false">H1468-I1468</f>
        <v>573.6</v>
      </c>
      <c r="K1468" s="33" t="n">
        <f aca="false">IF(OR(E1468=0,E1468&gt;=7),0,D1468/(7-E1468)*E1468*INDEX(Products!$E$2:$E$49,MATCH(C1468,Products!$A$2:$A$49,0)))</f>
        <v>0</v>
      </c>
    </row>
    <row r="1469" customFormat="false" ht="15" hidden="false" customHeight="false" outlineLevel="0" collapsed="false">
      <c r="A1469" s="36" t="n">
        <v>46237</v>
      </c>
      <c r="B1469" s="24" t="s">
        <v>62</v>
      </c>
      <c r="C1469" s="24" t="s">
        <v>135</v>
      </c>
      <c r="D1469" s="33" t="n">
        <v>29</v>
      </c>
      <c r="E1469" s="24" t="n">
        <v>0</v>
      </c>
      <c r="F1469" s="37" t="n">
        <f aca="false">DATE(YEAR(A1469),MONTH(A1469),1)</f>
        <v>46235</v>
      </c>
      <c r="G1469" s="24" t="str">
        <f aca="false">INDEX(Products!$C$2:$C$49,MATCH(C1469,Products!$A$2:$A$49,0))</f>
        <v>Dairy &amp; Eggs</v>
      </c>
      <c r="H1469" s="33" t="n">
        <f aca="false">D1469*INDEX(Products!$E$2:$E$49,MATCH(C1469,Products!$A$2:$A$49,0))</f>
        <v>3770</v>
      </c>
      <c r="I1469" s="33" t="n">
        <f aca="false">D1469*INDEX(Products!$D$2:$D$49,MATCH(C1469,Products!$A$2:$A$49,0))*(1+INDEX(Assumptions!$B$16:$B$20,MATCH(B1469,Assumptions!$A$16:$A$20,0)))</f>
        <v>3215.52</v>
      </c>
      <c r="J1469" s="33" t="n">
        <f aca="false">H1469-I1469</f>
        <v>554.48</v>
      </c>
      <c r="K1469" s="33" t="n">
        <f aca="false">IF(OR(E1469=0,E1469&gt;=7),0,D1469/(7-E1469)*E1469*INDEX(Products!$E$2:$E$49,MATCH(C1469,Products!$A$2:$A$49,0)))</f>
        <v>0</v>
      </c>
    </row>
    <row r="1470" customFormat="false" ht="15" hidden="false" customHeight="false" outlineLevel="0" collapsed="false">
      <c r="A1470" s="36" t="n">
        <v>46244</v>
      </c>
      <c r="B1470" s="24" t="s">
        <v>62</v>
      </c>
      <c r="C1470" s="24" t="s">
        <v>135</v>
      </c>
      <c r="D1470" s="33" t="n">
        <v>37</v>
      </c>
      <c r="E1470" s="24" t="n">
        <v>0</v>
      </c>
      <c r="F1470" s="37" t="n">
        <f aca="false">DATE(YEAR(A1470),MONTH(A1470),1)</f>
        <v>46235</v>
      </c>
      <c r="G1470" s="24" t="str">
        <f aca="false">INDEX(Products!$C$2:$C$49,MATCH(C1470,Products!$A$2:$A$49,0))</f>
        <v>Dairy &amp; Eggs</v>
      </c>
      <c r="H1470" s="33" t="n">
        <f aca="false">D1470*INDEX(Products!$E$2:$E$49,MATCH(C1470,Products!$A$2:$A$49,0))</f>
        <v>4810</v>
      </c>
      <c r="I1470" s="33" t="n">
        <f aca="false">D1470*INDEX(Products!$D$2:$D$49,MATCH(C1470,Products!$A$2:$A$49,0))*(1+INDEX(Assumptions!$B$16:$B$20,MATCH(B1470,Assumptions!$A$16:$A$20,0)))</f>
        <v>4102.56</v>
      </c>
      <c r="J1470" s="33" t="n">
        <f aca="false">H1470-I1470</f>
        <v>707.44</v>
      </c>
      <c r="K1470" s="33" t="n">
        <f aca="false">IF(OR(E1470=0,E1470&gt;=7),0,D1470/(7-E1470)*E1470*INDEX(Products!$E$2:$E$49,MATCH(C1470,Products!$A$2:$A$49,0)))</f>
        <v>0</v>
      </c>
    </row>
    <row r="1471" customFormat="false" ht="15" hidden="false" customHeight="false" outlineLevel="0" collapsed="false">
      <c r="A1471" s="36" t="n">
        <v>46251</v>
      </c>
      <c r="B1471" s="24" t="s">
        <v>62</v>
      </c>
      <c r="C1471" s="24" t="s">
        <v>135</v>
      </c>
      <c r="D1471" s="33" t="n">
        <v>27</v>
      </c>
      <c r="E1471" s="24" t="n">
        <v>0</v>
      </c>
      <c r="F1471" s="37" t="n">
        <f aca="false">DATE(YEAR(A1471),MONTH(A1471),1)</f>
        <v>46235</v>
      </c>
      <c r="G1471" s="24" t="str">
        <f aca="false">INDEX(Products!$C$2:$C$49,MATCH(C1471,Products!$A$2:$A$49,0))</f>
        <v>Dairy &amp; Eggs</v>
      </c>
      <c r="H1471" s="33" t="n">
        <f aca="false">D1471*INDEX(Products!$E$2:$E$49,MATCH(C1471,Products!$A$2:$A$49,0))</f>
        <v>3510</v>
      </c>
      <c r="I1471" s="33" t="n">
        <f aca="false">D1471*INDEX(Products!$D$2:$D$49,MATCH(C1471,Products!$A$2:$A$49,0))*(1+INDEX(Assumptions!$B$16:$B$20,MATCH(B1471,Assumptions!$A$16:$A$20,0)))</f>
        <v>2993.76</v>
      </c>
      <c r="J1471" s="33" t="n">
        <f aca="false">H1471-I1471</f>
        <v>516.24</v>
      </c>
      <c r="K1471" s="33" t="n">
        <f aca="false">IF(OR(E1471=0,E1471&gt;=7),0,D1471/(7-E1471)*E1471*INDEX(Products!$E$2:$E$49,MATCH(C1471,Products!$A$2:$A$49,0)))</f>
        <v>0</v>
      </c>
    </row>
    <row r="1472" customFormat="false" ht="15" hidden="false" customHeight="false" outlineLevel="0" collapsed="false">
      <c r="A1472" s="36" t="n">
        <v>46258</v>
      </c>
      <c r="B1472" s="24" t="s">
        <v>62</v>
      </c>
      <c r="C1472" s="24" t="s">
        <v>135</v>
      </c>
      <c r="D1472" s="33" t="n">
        <v>48</v>
      </c>
      <c r="E1472" s="24" t="n">
        <v>0</v>
      </c>
      <c r="F1472" s="37" t="n">
        <f aca="false">DATE(YEAR(A1472),MONTH(A1472),1)</f>
        <v>46235</v>
      </c>
      <c r="G1472" s="24" t="str">
        <f aca="false">INDEX(Products!$C$2:$C$49,MATCH(C1472,Products!$A$2:$A$49,0))</f>
        <v>Dairy &amp; Eggs</v>
      </c>
      <c r="H1472" s="33" t="n">
        <f aca="false">D1472*INDEX(Products!$E$2:$E$49,MATCH(C1472,Products!$A$2:$A$49,0))</f>
        <v>6240</v>
      </c>
      <c r="I1472" s="33" t="n">
        <f aca="false">D1472*INDEX(Products!$D$2:$D$49,MATCH(C1472,Products!$A$2:$A$49,0))*(1+INDEX(Assumptions!$B$16:$B$20,MATCH(B1472,Assumptions!$A$16:$A$20,0)))</f>
        <v>5322.24</v>
      </c>
      <c r="J1472" s="33" t="n">
        <f aca="false">H1472-I1472</f>
        <v>917.76</v>
      </c>
      <c r="K1472" s="33" t="n">
        <f aca="false">IF(OR(E1472=0,E1472&gt;=7),0,D1472/(7-E1472)*E1472*INDEX(Products!$E$2:$E$49,MATCH(C1472,Products!$A$2:$A$49,0)))</f>
        <v>0</v>
      </c>
    </row>
    <row r="1473" customFormat="false" ht="15" hidden="false" customHeight="false" outlineLevel="0" collapsed="false">
      <c r="A1473" s="36" t="n">
        <v>46265</v>
      </c>
      <c r="B1473" s="24" t="s">
        <v>62</v>
      </c>
      <c r="C1473" s="24" t="s">
        <v>135</v>
      </c>
      <c r="D1473" s="33" t="n">
        <v>27</v>
      </c>
      <c r="E1473" s="24" t="n">
        <v>0</v>
      </c>
      <c r="F1473" s="37" t="n">
        <f aca="false">DATE(YEAR(A1473),MONTH(A1473),1)</f>
        <v>46235</v>
      </c>
      <c r="G1473" s="24" t="str">
        <f aca="false">INDEX(Products!$C$2:$C$49,MATCH(C1473,Products!$A$2:$A$49,0))</f>
        <v>Dairy &amp; Eggs</v>
      </c>
      <c r="H1473" s="33" t="n">
        <f aca="false">D1473*INDEX(Products!$E$2:$E$49,MATCH(C1473,Products!$A$2:$A$49,0))</f>
        <v>3510</v>
      </c>
      <c r="I1473" s="33" t="n">
        <f aca="false">D1473*INDEX(Products!$D$2:$D$49,MATCH(C1473,Products!$A$2:$A$49,0))*(1+INDEX(Assumptions!$B$16:$B$20,MATCH(B1473,Assumptions!$A$16:$A$20,0)))</f>
        <v>2993.76</v>
      </c>
      <c r="J1473" s="33" t="n">
        <f aca="false">H1473-I1473</f>
        <v>516.24</v>
      </c>
      <c r="K1473" s="33" t="n">
        <f aca="false">IF(OR(E1473=0,E1473&gt;=7),0,D1473/(7-E1473)*E1473*INDEX(Products!$E$2:$E$49,MATCH(C1473,Products!$A$2:$A$49,0)))</f>
        <v>0</v>
      </c>
    </row>
    <row r="1474" customFormat="false" ht="15" hidden="false" customHeight="false" outlineLevel="0" collapsed="false">
      <c r="A1474" s="36" t="n">
        <v>46272</v>
      </c>
      <c r="B1474" s="24" t="s">
        <v>62</v>
      </c>
      <c r="C1474" s="24" t="s">
        <v>135</v>
      </c>
      <c r="D1474" s="33" t="n">
        <v>33</v>
      </c>
      <c r="E1474" s="24" t="n">
        <v>0</v>
      </c>
      <c r="F1474" s="37" t="n">
        <f aca="false">DATE(YEAR(A1474),MONTH(A1474),1)</f>
        <v>46266</v>
      </c>
      <c r="G1474" s="24" t="str">
        <f aca="false">INDEX(Products!$C$2:$C$49,MATCH(C1474,Products!$A$2:$A$49,0))</f>
        <v>Dairy &amp; Eggs</v>
      </c>
      <c r="H1474" s="33" t="n">
        <f aca="false">D1474*INDEX(Products!$E$2:$E$49,MATCH(C1474,Products!$A$2:$A$49,0))</f>
        <v>4290</v>
      </c>
      <c r="I1474" s="33" t="n">
        <f aca="false">D1474*INDEX(Products!$D$2:$D$49,MATCH(C1474,Products!$A$2:$A$49,0))*(1+INDEX(Assumptions!$B$16:$B$20,MATCH(B1474,Assumptions!$A$16:$A$20,0)))</f>
        <v>3659.04</v>
      </c>
      <c r="J1474" s="33" t="n">
        <f aca="false">H1474-I1474</f>
        <v>630.96</v>
      </c>
      <c r="K1474" s="33" t="n">
        <f aca="false">IF(OR(E1474=0,E1474&gt;=7),0,D1474/(7-E1474)*E1474*INDEX(Products!$E$2:$E$49,MATCH(C1474,Products!$A$2:$A$49,0)))</f>
        <v>0</v>
      </c>
    </row>
    <row r="1475" customFormat="false" ht="15" hidden="false" customHeight="false" outlineLevel="0" collapsed="false">
      <c r="A1475" s="36" t="n">
        <v>46279</v>
      </c>
      <c r="B1475" s="24" t="s">
        <v>62</v>
      </c>
      <c r="C1475" s="24" t="s">
        <v>135</v>
      </c>
      <c r="D1475" s="33" t="n">
        <v>32</v>
      </c>
      <c r="E1475" s="24" t="n">
        <v>0</v>
      </c>
      <c r="F1475" s="37" t="n">
        <f aca="false">DATE(YEAR(A1475),MONTH(A1475),1)</f>
        <v>46266</v>
      </c>
      <c r="G1475" s="24" t="str">
        <f aca="false">INDEX(Products!$C$2:$C$49,MATCH(C1475,Products!$A$2:$A$49,0))</f>
        <v>Dairy &amp; Eggs</v>
      </c>
      <c r="H1475" s="33" t="n">
        <f aca="false">D1475*INDEX(Products!$E$2:$E$49,MATCH(C1475,Products!$A$2:$A$49,0))</f>
        <v>4160</v>
      </c>
      <c r="I1475" s="33" t="n">
        <f aca="false">D1475*INDEX(Products!$D$2:$D$49,MATCH(C1475,Products!$A$2:$A$49,0))*(1+INDEX(Assumptions!$B$16:$B$20,MATCH(B1475,Assumptions!$A$16:$A$20,0)))</f>
        <v>3548.16</v>
      </c>
      <c r="J1475" s="33" t="n">
        <f aca="false">H1475-I1475</f>
        <v>611.84</v>
      </c>
      <c r="K1475" s="33" t="n">
        <f aca="false">IF(OR(E1475=0,E1475&gt;=7),0,D1475/(7-E1475)*E1475*INDEX(Products!$E$2:$E$49,MATCH(C1475,Products!$A$2:$A$49,0)))</f>
        <v>0</v>
      </c>
    </row>
    <row r="1476" customFormat="false" ht="15" hidden="false" customHeight="false" outlineLevel="0" collapsed="false">
      <c r="A1476" s="36" t="n">
        <v>46286</v>
      </c>
      <c r="B1476" s="24" t="s">
        <v>62</v>
      </c>
      <c r="C1476" s="24" t="s">
        <v>135</v>
      </c>
      <c r="D1476" s="33" t="n">
        <v>47</v>
      </c>
      <c r="E1476" s="24" t="n">
        <v>0</v>
      </c>
      <c r="F1476" s="37" t="n">
        <f aca="false">DATE(YEAR(A1476),MONTH(A1476),1)</f>
        <v>46266</v>
      </c>
      <c r="G1476" s="24" t="str">
        <f aca="false">INDEX(Products!$C$2:$C$49,MATCH(C1476,Products!$A$2:$A$49,0))</f>
        <v>Dairy &amp; Eggs</v>
      </c>
      <c r="H1476" s="33" t="n">
        <f aca="false">D1476*INDEX(Products!$E$2:$E$49,MATCH(C1476,Products!$A$2:$A$49,0))</f>
        <v>6110</v>
      </c>
      <c r="I1476" s="33" t="n">
        <f aca="false">D1476*INDEX(Products!$D$2:$D$49,MATCH(C1476,Products!$A$2:$A$49,0))*(1+INDEX(Assumptions!$B$16:$B$20,MATCH(B1476,Assumptions!$A$16:$A$20,0)))</f>
        <v>5211.36</v>
      </c>
      <c r="J1476" s="33" t="n">
        <f aca="false">H1476-I1476</f>
        <v>898.64</v>
      </c>
      <c r="K1476" s="33" t="n">
        <f aca="false">IF(OR(E1476=0,E1476&gt;=7),0,D1476/(7-E1476)*E1476*INDEX(Products!$E$2:$E$49,MATCH(C1476,Products!$A$2:$A$49,0)))</f>
        <v>0</v>
      </c>
    </row>
    <row r="1477" customFormat="false" ht="15" hidden="false" customHeight="false" outlineLevel="0" collapsed="false">
      <c r="A1477" s="36" t="n">
        <v>46118</v>
      </c>
      <c r="B1477" s="24" t="s">
        <v>62</v>
      </c>
      <c r="C1477" s="24" t="s">
        <v>137</v>
      </c>
      <c r="D1477" s="33" t="n">
        <v>75</v>
      </c>
      <c r="E1477" s="24" t="n">
        <v>0</v>
      </c>
      <c r="F1477" s="37" t="n">
        <f aca="false">DATE(YEAR(A1477),MONTH(A1477),1)</f>
        <v>46113</v>
      </c>
      <c r="G1477" s="24" t="str">
        <f aca="false">INDEX(Products!$C$2:$C$49,MATCH(C1477,Products!$A$2:$A$49,0))</f>
        <v>Dairy &amp; Eggs</v>
      </c>
      <c r="H1477" s="33" t="n">
        <f aca="false">D1477*INDEX(Products!$E$2:$E$49,MATCH(C1477,Products!$A$2:$A$49,0))</f>
        <v>24000</v>
      </c>
      <c r="I1477" s="33" t="n">
        <f aca="false">D1477*INDEX(Products!$D$2:$D$49,MATCH(C1477,Products!$A$2:$A$49,0))*(1+INDEX(Assumptions!$B$16:$B$20,MATCH(B1477,Assumptions!$A$16:$A$20,0)))</f>
        <v>20260.8</v>
      </c>
      <c r="J1477" s="33" t="n">
        <f aca="false">H1477-I1477</f>
        <v>3739.2</v>
      </c>
      <c r="K1477" s="33" t="n">
        <f aca="false">IF(OR(E1477=0,E1477&gt;=7),0,D1477/(7-E1477)*E1477*INDEX(Products!$E$2:$E$49,MATCH(C1477,Products!$A$2:$A$49,0)))</f>
        <v>0</v>
      </c>
    </row>
    <row r="1478" customFormat="false" ht="15" hidden="false" customHeight="false" outlineLevel="0" collapsed="false">
      <c r="A1478" s="36" t="n">
        <v>46125</v>
      </c>
      <c r="B1478" s="24" t="s">
        <v>62</v>
      </c>
      <c r="C1478" s="24" t="s">
        <v>137</v>
      </c>
      <c r="D1478" s="33" t="n">
        <v>87</v>
      </c>
      <c r="E1478" s="24" t="n">
        <v>0</v>
      </c>
      <c r="F1478" s="37" t="n">
        <f aca="false">DATE(YEAR(A1478),MONTH(A1478),1)</f>
        <v>46113</v>
      </c>
      <c r="G1478" s="24" t="str">
        <f aca="false">INDEX(Products!$C$2:$C$49,MATCH(C1478,Products!$A$2:$A$49,0))</f>
        <v>Dairy &amp; Eggs</v>
      </c>
      <c r="H1478" s="33" t="n">
        <f aca="false">D1478*INDEX(Products!$E$2:$E$49,MATCH(C1478,Products!$A$2:$A$49,0))</f>
        <v>27840</v>
      </c>
      <c r="I1478" s="33" t="n">
        <f aca="false">D1478*INDEX(Products!$D$2:$D$49,MATCH(C1478,Products!$A$2:$A$49,0))*(1+INDEX(Assumptions!$B$16:$B$20,MATCH(B1478,Assumptions!$A$16:$A$20,0)))</f>
        <v>23502.528</v>
      </c>
      <c r="J1478" s="33" t="n">
        <f aca="false">H1478-I1478</f>
        <v>4337.472</v>
      </c>
      <c r="K1478" s="33" t="n">
        <f aca="false">IF(OR(E1478=0,E1478&gt;=7),0,D1478/(7-E1478)*E1478*INDEX(Products!$E$2:$E$49,MATCH(C1478,Products!$A$2:$A$49,0)))</f>
        <v>0</v>
      </c>
    </row>
    <row r="1479" customFormat="false" ht="15" hidden="false" customHeight="false" outlineLevel="0" collapsed="false">
      <c r="A1479" s="36" t="n">
        <v>46132</v>
      </c>
      <c r="B1479" s="24" t="s">
        <v>62</v>
      </c>
      <c r="C1479" s="24" t="s">
        <v>137</v>
      </c>
      <c r="D1479" s="33" t="n">
        <v>121</v>
      </c>
      <c r="E1479" s="24" t="n">
        <v>0</v>
      </c>
      <c r="F1479" s="37" t="n">
        <f aca="false">DATE(YEAR(A1479),MONTH(A1479),1)</f>
        <v>46113</v>
      </c>
      <c r="G1479" s="24" t="str">
        <f aca="false">INDEX(Products!$C$2:$C$49,MATCH(C1479,Products!$A$2:$A$49,0))</f>
        <v>Dairy &amp; Eggs</v>
      </c>
      <c r="H1479" s="33" t="n">
        <f aca="false">D1479*INDEX(Products!$E$2:$E$49,MATCH(C1479,Products!$A$2:$A$49,0))</f>
        <v>38720</v>
      </c>
      <c r="I1479" s="33" t="n">
        <f aca="false">D1479*INDEX(Products!$D$2:$D$49,MATCH(C1479,Products!$A$2:$A$49,0))*(1+INDEX(Assumptions!$B$16:$B$20,MATCH(B1479,Assumptions!$A$16:$A$20,0)))</f>
        <v>32687.424</v>
      </c>
      <c r="J1479" s="33" t="n">
        <f aca="false">H1479-I1479</f>
        <v>6032.576</v>
      </c>
      <c r="K1479" s="33" t="n">
        <f aca="false">IF(OR(E1479=0,E1479&gt;=7),0,D1479/(7-E1479)*E1479*INDEX(Products!$E$2:$E$49,MATCH(C1479,Products!$A$2:$A$49,0)))</f>
        <v>0</v>
      </c>
    </row>
    <row r="1480" customFormat="false" ht="15" hidden="false" customHeight="false" outlineLevel="0" collapsed="false">
      <c r="A1480" s="36" t="n">
        <v>46139</v>
      </c>
      <c r="B1480" s="24" t="s">
        <v>62</v>
      </c>
      <c r="C1480" s="24" t="s">
        <v>137</v>
      </c>
      <c r="D1480" s="33" t="n">
        <v>97</v>
      </c>
      <c r="E1480" s="24" t="n">
        <v>0</v>
      </c>
      <c r="F1480" s="37" t="n">
        <f aca="false">DATE(YEAR(A1480),MONTH(A1480),1)</f>
        <v>46113</v>
      </c>
      <c r="G1480" s="24" t="str">
        <f aca="false">INDEX(Products!$C$2:$C$49,MATCH(C1480,Products!$A$2:$A$49,0))</f>
        <v>Dairy &amp; Eggs</v>
      </c>
      <c r="H1480" s="33" t="n">
        <f aca="false">D1480*INDEX(Products!$E$2:$E$49,MATCH(C1480,Products!$A$2:$A$49,0))</f>
        <v>31040</v>
      </c>
      <c r="I1480" s="33" t="n">
        <f aca="false">D1480*INDEX(Products!$D$2:$D$49,MATCH(C1480,Products!$A$2:$A$49,0))*(1+INDEX(Assumptions!$B$16:$B$20,MATCH(B1480,Assumptions!$A$16:$A$20,0)))</f>
        <v>26203.968</v>
      </c>
      <c r="J1480" s="33" t="n">
        <f aca="false">H1480-I1480</f>
        <v>4836.032</v>
      </c>
      <c r="K1480" s="33" t="n">
        <f aca="false">IF(OR(E1480=0,E1480&gt;=7),0,D1480/(7-E1480)*E1480*INDEX(Products!$E$2:$E$49,MATCH(C1480,Products!$A$2:$A$49,0)))</f>
        <v>0</v>
      </c>
    </row>
    <row r="1481" customFormat="false" ht="15" hidden="false" customHeight="false" outlineLevel="0" collapsed="false">
      <c r="A1481" s="36" t="n">
        <v>46146</v>
      </c>
      <c r="B1481" s="24" t="s">
        <v>62</v>
      </c>
      <c r="C1481" s="24" t="s">
        <v>137</v>
      </c>
      <c r="D1481" s="33" t="n">
        <v>80</v>
      </c>
      <c r="E1481" s="24" t="n">
        <v>0</v>
      </c>
      <c r="F1481" s="37" t="n">
        <f aca="false">DATE(YEAR(A1481),MONTH(A1481),1)</f>
        <v>46143</v>
      </c>
      <c r="G1481" s="24" t="str">
        <f aca="false">INDEX(Products!$C$2:$C$49,MATCH(C1481,Products!$A$2:$A$49,0))</f>
        <v>Dairy &amp; Eggs</v>
      </c>
      <c r="H1481" s="33" t="n">
        <f aca="false">D1481*INDEX(Products!$E$2:$E$49,MATCH(C1481,Products!$A$2:$A$49,0))</f>
        <v>25600</v>
      </c>
      <c r="I1481" s="33" t="n">
        <f aca="false">D1481*INDEX(Products!$D$2:$D$49,MATCH(C1481,Products!$A$2:$A$49,0))*(1+INDEX(Assumptions!$B$16:$B$20,MATCH(B1481,Assumptions!$A$16:$A$20,0)))</f>
        <v>21611.52</v>
      </c>
      <c r="J1481" s="33" t="n">
        <f aca="false">H1481-I1481</f>
        <v>3988.48</v>
      </c>
      <c r="K1481" s="33" t="n">
        <f aca="false">IF(OR(E1481=0,E1481&gt;=7),0,D1481/(7-E1481)*E1481*INDEX(Products!$E$2:$E$49,MATCH(C1481,Products!$A$2:$A$49,0)))</f>
        <v>0</v>
      </c>
    </row>
    <row r="1482" customFormat="false" ht="15" hidden="false" customHeight="false" outlineLevel="0" collapsed="false">
      <c r="A1482" s="36" t="n">
        <v>46153</v>
      </c>
      <c r="B1482" s="24" t="s">
        <v>62</v>
      </c>
      <c r="C1482" s="24" t="s">
        <v>137</v>
      </c>
      <c r="D1482" s="33" t="n">
        <v>96</v>
      </c>
      <c r="E1482" s="24" t="n">
        <v>0</v>
      </c>
      <c r="F1482" s="37" t="n">
        <f aca="false">DATE(YEAR(A1482),MONTH(A1482),1)</f>
        <v>46143</v>
      </c>
      <c r="G1482" s="24" t="str">
        <f aca="false">INDEX(Products!$C$2:$C$49,MATCH(C1482,Products!$A$2:$A$49,0))</f>
        <v>Dairy &amp; Eggs</v>
      </c>
      <c r="H1482" s="33" t="n">
        <f aca="false">D1482*INDEX(Products!$E$2:$E$49,MATCH(C1482,Products!$A$2:$A$49,0))</f>
        <v>30720</v>
      </c>
      <c r="I1482" s="33" t="n">
        <f aca="false">D1482*INDEX(Products!$D$2:$D$49,MATCH(C1482,Products!$A$2:$A$49,0))*(1+INDEX(Assumptions!$B$16:$B$20,MATCH(B1482,Assumptions!$A$16:$A$20,0)))</f>
        <v>25933.824</v>
      </c>
      <c r="J1482" s="33" t="n">
        <f aca="false">H1482-I1482</f>
        <v>4786.176</v>
      </c>
      <c r="K1482" s="33" t="n">
        <f aca="false">IF(OR(E1482=0,E1482&gt;=7),0,D1482/(7-E1482)*E1482*INDEX(Products!$E$2:$E$49,MATCH(C1482,Products!$A$2:$A$49,0)))</f>
        <v>0</v>
      </c>
    </row>
    <row r="1483" customFormat="false" ht="15" hidden="false" customHeight="false" outlineLevel="0" collapsed="false">
      <c r="A1483" s="36" t="n">
        <v>46160</v>
      </c>
      <c r="B1483" s="24" t="s">
        <v>62</v>
      </c>
      <c r="C1483" s="24" t="s">
        <v>137</v>
      </c>
      <c r="D1483" s="33" t="n">
        <v>86</v>
      </c>
      <c r="E1483" s="24" t="n">
        <v>0</v>
      </c>
      <c r="F1483" s="37" t="n">
        <f aca="false">DATE(YEAR(A1483),MONTH(A1483),1)</f>
        <v>46143</v>
      </c>
      <c r="G1483" s="24" t="str">
        <f aca="false">INDEX(Products!$C$2:$C$49,MATCH(C1483,Products!$A$2:$A$49,0))</f>
        <v>Dairy &amp; Eggs</v>
      </c>
      <c r="H1483" s="33" t="n">
        <f aca="false">D1483*INDEX(Products!$E$2:$E$49,MATCH(C1483,Products!$A$2:$A$49,0))</f>
        <v>27520</v>
      </c>
      <c r="I1483" s="33" t="n">
        <f aca="false">D1483*INDEX(Products!$D$2:$D$49,MATCH(C1483,Products!$A$2:$A$49,0))*(1+INDEX(Assumptions!$B$16:$B$20,MATCH(B1483,Assumptions!$A$16:$A$20,0)))</f>
        <v>23232.384</v>
      </c>
      <c r="J1483" s="33" t="n">
        <f aca="false">H1483-I1483</f>
        <v>4287.616</v>
      </c>
      <c r="K1483" s="33" t="n">
        <f aca="false">IF(OR(E1483=0,E1483&gt;=7),0,D1483/(7-E1483)*E1483*INDEX(Products!$E$2:$E$49,MATCH(C1483,Products!$A$2:$A$49,0)))</f>
        <v>0</v>
      </c>
    </row>
    <row r="1484" customFormat="false" ht="15" hidden="false" customHeight="false" outlineLevel="0" collapsed="false">
      <c r="A1484" s="36" t="n">
        <v>46167</v>
      </c>
      <c r="B1484" s="24" t="s">
        <v>62</v>
      </c>
      <c r="C1484" s="24" t="s">
        <v>137</v>
      </c>
      <c r="D1484" s="33" t="n">
        <v>110</v>
      </c>
      <c r="E1484" s="24" t="n">
        <v>0</v>
      </c>
      <c r="F1484" s="37" t="n">
        <f aca="false">DATE(YEAR(A1484),MONTH(A1484),1)</f>
        <v>46143</v>
      </c>
      <c r="G1484" s="24" t="str">
        <f aca="false">INDEX(Products!$C$2:$C$49,MATCH(C1484,Products!$A$2:$A$49,0))</f>
        <v>Dairy &amp; Eggs</v>
      </c>
      <c r="H1484" s="33" t="n">
        <f aca="false">D1484*INDEX(Products!$E$2:$E$49,MATCH(C1484,Products!$A$2:$A$49,0))</f>
        <v>35200</v>
      </c>
      <c r="I1484" s="33" t="n">
        <f aca="false">D1484*INDEX(Products!$D$2:$D$49,MATCH(C1484,Products!$A$2:$A$49,0))*(1+INDEX(Assumptions!$B$16:$B$20,MATCH(B1484,Assumptions!$A$16:$A$20,0)))</f>
        <v>29715.84</v>
      </c>
      <c r="J1484" s="33" t="n">
        <f aca="false">H1484-I1484</f>
        <v>5484.16</v>
      </c>
      <c r="K1484" s="33" t="n">
        <f aca="false">IF(OR(E1484=0,E1484&gt;=7),0,D1484/(7-E1484)*E1484*INDEX(Products!$E$2:$E$49,MATCH(C1484,Products!$A$2:$A$49,0)))</f>
        <v>0</v>
      </c>
    </row>
    <row r="1485" customFormat="false" ht="15" hidden="false" customHeight="false" outlineLevel="0" collapsed="false">
      <c r="A1485" s="36" t="n">
        <v>46174</v>
      </c>
      <c r="B1485" s="24" t="s">
        <v>62</v>
      </c>
      <c r="C1485" s="24" t="s">
        <v>137</v>
      </c>
      <c r="D1485" s="33" t="n">
        <v>101</v>
      </c>
      <c r="E1485" s="24" t="n">
        <v>0</v>
      </c>
      <c r="F1485" s="37" t="n">
        <f aca="false">DATE(YEAR(A1485),MONTH(A1485),1)</f>
        <v>46174</v>
      </c>
      <c r="G1485" s="24" t="str">
        <f aca="false">INDEX(Products!$C$2:$C$49,MATCH(C1485,Products!$A$2:$A$49,0))</f>
        <v>Dairy &amp; Eggs</v>
      </c>
      <c r="H1485" s="33" t="n">
        <f aca="false">D1485*INDEX(Products!$E$2:$E$49,MATCH(C1485,Products!$A$2:$A$49,0))</f>
        <v>32320</v>
      </c>
      <c r="I1485" s="33" t="n">
        <f aca="false">D1485*INDEX(Products!$D$2:$D$49,MATCH(C1485,Products!$A$2:$A$49,0))*(1+INDEX(Assumptions!$B$16:$B$20,MATCH(B1485,Assumptions!$A$16:$A$20,0)))</f>
        <v>27284.544</v>
      </c>
      <c r="J1485" s="33" t="n">
        <f aca="false">H1485-I1485</f>
        <v>5035.456</v>
      </c>
      <c r="K1485" s="33" t="n">
        <f aca="false">IF(OR(E1485=0,E1485&gt;=7),0,D1485/(7-E1485)*E1485*INDEX(Products!$E$2:$E$49,MATCH(C1485,Products!$A$2:$A$49,0)))</f>
        <v>0</v>
      </c>
    </row>
    <row r="1486" customFormat="false" ht="15" hidden="false" customHeight="false" outlineLevel="0" collapsed="false">
      <c r="A1486" s="36" t="n">
        <v>46181</v>
      </c>
      <c r="B1486" s="24" t="s">
        <v>62</v>
      </c>
      <c r="C1486" s="24" t="s">
        <v>137</v>
      </c>
      <c r="D1486" s="33" t="n">
        <v>91</v>
      </c>
      <c r="E1486" s="24" t="n">
        <v>0</v>
      </c>
      <c r="F1486" s="37" t="n">
        <f aca="false">DATE(YEAR(A1486),MONTH(A1486),1)</f>
        <v>46174</v>
      </c>
      <c r="G1486" s="24" t="str">
        <f aca="false">INDEX(Products!$C$2:$C$49,MATCH(C1486,Products!$A$2:$A$49,0))</f>
        <v>Dairy &amp; Eggs</v>
      </c>
      <c r="H1486" s="33" t="n">
        <f aca="false">D1486*INDEX(Products!$E$2:$E$49,MATCH(C1486,Products!$A$2:$A$49,0))</f>
        <v>29120</v>
      </c>
      <c r="I1486" s="33" t="n">
        <f aca="false">D1486*INDEX(Products!$D$2:$D$49,MATCH(C1486,Products!$A$2:$A$49,0))*(1+INDEX(Assumptions!$B$16:$B$20,MATCH(B1486,Assumptions!$A$16:$A$20,0)))</f>
        <v>24583.104</v>
      </c>
      <c r="J1486" s="33" t="n">
        <f aca="false">H1486-I1486</f>
        <v>4536.896</v>
      </c>
      <c r="K1486" s="33" t="n">
        <f aca="false">IF(OR(E1486=0,E1486&gt;=7),0,D1486/(7-E1486)*E1486*INDEX(Products!$E$2:$E$49,MATCH(C1486,Products!$A$2:$A$49,0)))</f>
        <v>0</v>
      </c>
    </row>
    <row r="1487" customFormat="false" ht="15" hidden="false" customHeight="false" outlineLevel="0" collapsed="false">
      <c r="A1487" s="36" t="n">
        <v>46188</v>
      </c>
      <c r="B1487" s="24" t="s">
        <v>62</v>
      </c>
      <c r="C1487" s="24" t="s">
        <v>137</v>
      </c>
      <c r="D1487" s="33" t="n">
        <v>87</v>
      </c>
      <c r="E1487" s="24" t="n">
        <v>0</v>
      </c>
      <c r="F1487" s="37" t="n">
        <f aca="false">DATE(YEAR(A1487),MONTH(A1487),1)</f>
        <v>46174</v>
      </c>
      <c r="G1487" s="24" t="str">
        <f aca="false">INDEX(Products!$C$2:$C$49,MATCH(C1487,Products!$A$2:$A$49,0))</f>
        <v>Dairy &amp; Eggs</v>
      </c>
      <c r="H1487" s="33" t="n">
        <f aca="false">D1487*INDEX(Products!$E$2:$E$49,MATCH(C1487,Products!$A$2:$A$49,0))</f>
        <v>27840</v>
      </c>
      <c r="I1487" s="33" t="n">
        <f aca="false">D1487*INDEX(Products!$D$2:$D$49,MATCH(C1487,Products!$A$2:$A$49,0))*(1+INDEX(Assumptions!$B$16:$B$20,MATCH(B1487,Assumptions!$A$16:$A$20,0)))</f>
        <v>23502.528</v>
      </c>
      <c r="J1487" s="33" t="n">
        <f aca="false">H1487-I1487</f>
        <v>4337.472</v>
      </c>
      <c r="K1487" s="33" t="n">
        <f aca="false">IF(OR(E1487=0,E1487&gt;=7),0,D1487/(7-E1487)*E1487*INDEX(Products!$E$2:$E$49,MATCH(C1487,Products!$A$2:$A$49,0)))</f>
        <v>0</v>
      </c>
    </row>
    <row r="1488" customFormat="false" ht="15" hidden="false" customHeight="false" outlineLevel="0" collapsed="false">
      <c r="A1488" s="36" t="n">
        <v>46195</v>
      </c>
      <c r="B1488" s="24" t="s">
        <v>62</v>
      </c>
      <c r="C1488" s="24" t="s">
        <v>137</v>
      </c>
      <c r="D1488" s="33" t="n">
        <v>103</v>
      </c>
      <c r="E1488" s="24" t="n">
        <v>0</v>
      </c>
      <c r="F1488" s="37" t="n">
        <f aca="false">DATE(YEAR(A1488),MONTH(A1488),1)</f>
        <v>46174</v>
      </c>
      <c r="G1488" s="24" t="str">
        <f aca="false">INDEX(Products!$C$2:$C$49,MATCH(C1488,Products!$A$2:$A$49,0))</f>
        <v>Dairy &amp; Eggs</v>
      </c>
      <c r="H1488" s="33" t="n">
        <f aca="false">D1488*INDEX(Products!$E$2:$E$49,MATCH(C1488,Products!$A$2:$A$49,0))</f>
        <v>32960</v>
      </c>
      <c r="I1488" s="33" t="n">
        <f aca="false">D1488*INDEX(Products!$D$2:$D$49,MATCH(C1488,Products!$A$2:$A$49,0))*(1+INDEX(Assumptions!$B$16:$B$20,MATCH(B1488,Assumptions!$A$16:$A$20,0)))</f>
        <v>27824.832</v>
      </c>
      <c r="J1488" s="33" t="n">
        <f aca="false">H1488-I1488</f>
        <v>5135.168</v>
      </c>
      <c r="K1488" s="33" t="n">
        <f aca="false">IF(OR(E1488=0,E1488&gt;=7),0,D1488/(7-E1488)*E1488*INDEX(Products!$E$2:$E$49,MATCH(C1488,Products!$A$2:$A$49,0)))</f>
        <v>0</v>
      </c>
    </row>
    <row r="1489" customFormat="false" ht="15" hidden="false" customHeight="false" outlineLevel="0" collapsed="false">
      <c r="A1489" s="36" t="n">
        <v>46202</v>
      </c>
      <c r="B1489" s="24" t="s">
        <v>62</v>
      </c>
      <c r="C1489" s="24" t="s">
        <v>137</v>
      </c>
      <c r="D1489" s="33" t="n">
        <v>86</v>
      </c>
      <c r="E1489" s="24" t="n">
        <v>0</v>
      </c>
      <c r="F1489" s="37" t="n">
        <f aca="false">DATE(YEAR(A1489),MONTH(A1489),1)</f>
        <v>46174</v>
      </c>
      <c r="G1489" s="24" t="str">
        <f aca="false">INDEX(Products!$C$2:$C$49,MATCH(C1489,Products!$A$2:$A$49,0))</f>
        <v>Dairy &amp; Eggs</v>
      </c>
      <c r="H1489" s="33" t="n">
        <f aca="false">D1489*INDEX(Products!$E$2:$E$49,MATCH(C1489,Products!$A$2:$A$49,0))</f>
        <v>27520</v>
      </c>
      <c r="I1489" s="33" t="n">
        <f aca="false">D1489*INDEX(Products!$D$2:$D$49,MATCH(C1489,Products!$A$2:$A$49,0))*(1+INDEX(Assumptions!$B$16:$B$20,MATCH(B1489,Assumptions!$A$16:$A$20,0)))</f>
        <v>23232.384</v>
      </c>
      <c r="J1489" s="33" t="n">
        <f aca="false">H1489-I1489</f>
        <v>4287.616</v>
      </c>
      <c r="K1489" s="33" t="n">
        <f aca="false">IF(OR(E1489=0,E1489&gt;=7),0,D1489/(7-E1489)*E1489*INDEX(Products!$E$2:$E$49,MATCH(C1489,Products!$A$2:$A$49,0)))</f>
        <v>0</v>
      </c>
    </row>
    <row r="1490" customFormat="false" ht="15" hidden="false" customHeight="false" outlineLevel="0" collapsed="false">
      <c r="A1490" s="36" t="n">
        <v>46209</v>
      </c>
      <c r="B1490" s="24" t="s">
        <v>62</v>
      </c>
      <c r="C1490" s="24" t="s">
        <v>137</v>
      </c>
      <c r="D1490" s="33" t="n">
        <v>93</v>
      </c>
      <c r="E1490" s="24" t="n">
        <v>0</v>
      </c>
      <c r="F1490" s="37" t="n">
        <f aca="false">DATE(YEAR(A1490),MONTH(A1490),1)</f>
        <v>46204</v>
      </c>
      <c r="G1490" s="24" t="str">
        <f aca="false">INDEX(Products!$C$2:$C$49,MATCH(C1490,Products!$A$2:$A$49,0))</f>
        <v>Dairy &amp; Eggs</v>
      </c>
      <c r="H1490" s="33" t="n">
        <f aca="false">D1490*INDEX(Products!$E$2:$E$49,MATCH(C1490,Products!$A$2:$A$49,0))</f>
        <v>29760</v>
      </c>
      <c r="I1490" s="33" t="n">
        <f aca="false">D1490*INDEX(Products!$D$2:$D$49,MATCH(C1490,Products!$A$2:$A$49,0))*(1+INDEX(Assumptions!$B$16:$B$20,MATCH(B1490,Assumptions!$A$16:$A$20,0)))</f>
        <v>25123.392</v>
      </c>
      <c r="J1490" s="33" t="n">
        <f aca="false">H1490-I1490</f>
        <v>4636.608</v>
      </c>
      <c r="K1490" s="33" t="n">
        <f aca="false">IF(OR(E1490=0,E1490&gt;=7),0,D1490/(7-E1490)*E1490*INDEX(Products!$E$2:$E$49,MATCH(C1490,Products!$A$2:$A$49,0)))</f>
        <v>0</v>
      </c>
    </row>
    <row r="1491" customFormat="false" ht="15" hidden="false" customHeight="false" outlineLevel="0" collapsed="false">
      <c r="A1491" s="36" t="n">
        <v>46216</v>
      </c>
      <c r="B1491" s="24" t="s">
        <v>62</v>
      </c>
      <c r="C1491" s="24" t="s">
        <v>137</v>
      </c>
      <c r="D1491" s="33" t="n">
        <v>83</v>
      </c>
      <c r="E1491" s="24" t="n">
        <v>0</v>
      </c>
      <c r="F1491" s="37" t="n">
        <f aca="false">DATE(YEAR(A1491),MONTH(A1491),1)</f>
        <v>46204</v>
      </c>
      <c r="G1491" s="24" t="str">
        <f aca="false">INDEX(Products!$C$2:$C$49,MATCH(C1491,Products!$A$2:$A$49,0))</f>
        <v>Dairy &amp; Eggs</v>
      </c>
      <c r="H1491" s="33" t="n">
        <f aca="false">D1491*INDEX(Products!$E$2:$E$49,MATCH(C1491,Products!$A$2:$A$49,0))</f>
        <v>26560</v>
      </c>
      <c r="I1491" s="33" t="n">
        <f aca="false">D1491*INDEX(Products!$D$2:$D$49,MATCH(C1491,Products!$A$2:$A$49,0))*(1+INDEX(Assumptions!$B$16:$B$20,MATCH(B1491,Assumptions!$A$16:$A$20,0)))</f>
        <v>22421.952</v>
      </c>
      <c r="J1491" s="33" t="n">
        <f aca="false">H1491-I1491</f>
        <v>4138.048</v>
      </c>
      <c r="K1491" s="33" t="n">
        <f aca="false">IF(OR(E1491=0,E1491&gt;=7),0,D1491/(7-E1491)*E1491*INDEX(Products!$E$2:$E$49,MATCH(C1491,Products!$A$2:$A$49,0)))</f>
        <v>0</v>
      </c>
    </row>
    <row r="1492" customFormat="false" ht="15" hidden="false" customHeight="false" outlineLevel="0" collapsed="false">
      <c r="A1492" s="36" t="n">
        <v>46223</v>
      </c>
      <c r="B1492" s="24" t="s">
        <v>62</v>
      </c>
      <c r="C1492" s="24" t="s">
        <v>137</v>
      </c>
      <c r="D1492" s="33" t="n">
        <v>97</v>
      </c>
      <c r="E1492" s="24" t="n">
        <v>0</v>
      </c>
      <c r="F1492" s="37" t="n">
        <f aca="false">DATE(YEAR(A1492),MONTH(A1492),1)</f>
        <v>46204</v>
      </c>
      <c r="G1492" s="24" t="str">
        <f aca="false">INDEX(Products!$C$2:$C$49,MATCH(C1492,Products!$A$2:$A$49,0))</f>
        <v>Dairy &amp; Eggs</v>
      </c>
      <c r="H1492" s="33" t="n">
        <f aca="false">D1492*INDEX(Products!$E$2:$E$49,MATCH(C1492,Products!$A$2:$A$49,0))</f>
        <v>31040</v>
      </c>
      <c r="I1492" s="33" t="n">
        <f aca="false">D1492*INDEX(Products!$D$2:$D$49,MATCH(C1492,Products!$A$2:$A$49,0))*(1+INDEX(Assumptions!$B$16:$B$20,MATCH(B1492,Assumptions!$A$16:$A$20,0)))</f>
        <v>26203.968</v>
      </c>
      <c r="J1492" s="33" t="n">
        <f aca="false">H1492-I1492</f>
        <v>4836.032</v>
      </c>
      <c r="K1492" s="33" t="n">
        <f aca="false">IF(OR(E1492=0,E1492&gt;=7),0,D1492/(7-E1492)*E1492*INDEX(Products!$E$2:$E$49,MATCH(C1492,Products!$A$2:$A$49,0)))</f>
        <v>0</v>
      </c>
    </row>
    <row r="1493" customFormat="false" ht="15" hidden="false" customHeight="false" outlineLevel="0" collapsed="false">
      <c r="A1493" s="36" t="n">
        <v>46230</v>
      </c>
      <c r="B1493" s="24" t="s">
        <v>62</v>
      </c>
      <c r="C1493" s="24" t="s">
        <v>137</v>
      </c>
      <c r="D1493" s="33" t="n">
        <v>65</v>
      </c>
      <c r="E1493" s="24" t="n">
        <v>0</v>
      </c>
      <c r="F1493" s="37" t="n">
        <f aca="false">DATE(YEAR(A1493),MONTH(A1493),1)</f>
        <v>46204</v>
      </c>
      <c r="G1493" s="24" t="str">
        <f aca="false">INDEX(Products!$C$2:$C$49,MATCH(C1493,Products!$A$2:$A$49,0))</f>
        <v>Dairy &amp; Eggs</v>
      </c>
      <c r="H1493" s="33" t="n">
        <f aca="false">D1493*INDEX(Products!$E$2:$E$49,MATCH(C1493,Products!$A$2:$A$49,0))</f>
        <v>20800</v>
      </c>
      <c r="I1493" s="33" t="n">
        <f aca="false">D1493*INDEX(Products!$D$2:$D$49,MATCH(C1493,Products!$A$2:$A$49,0))*(1+INDEX(Assumptions!$B$16:$B$20,MATCH(B1493,Assumptions!$A$16:$A$20,0)))</f>
        <v>17559.36</v>
      </c>
      <c r="J1493" s="33" t="n">
        <f aca="false">H1493-I1493</f>
        <v>3240.64</v>
      </c>
      <c r="K1493" s="33" t="n">
        <f aca="false">IF(OR(E1493=0,E1493&gt;=7),0,D1493/(7-E1493)*E1493*INDEX(Products!$E$2:$E$49,MATCH(C1493,Products!$A$2:$A$49,0)))</f>
        <v>0</v>
      </c>
    </row>
    <row r="1494" customFormat="false" ht="15" hidden="false" customHeight="false" outlineLevel="0" collapsed="false">
      <c r="A1494" s="36" t="n">
        <v>46237</v>
      </c>
      <c r="B1494" s="24" t="s">
        <v>62</v>
      </c>
      <c r="C1494" s="24" t="s">
        <v>137</v>
      </c>
      <c r="D1494" s="33" t="n">
        <v>86</v>
      </c>
      <c r="E1494" s="24" t="n">
        <v>0</v>
      </c>
      <c r="F1494" s="37" t="n">
        <f aca="false">DATE(YEAR(A1494),MONTH(A1494),1)</f>
        <v>46235</v>
      </c>
      <c r="G1494" s="24" t="str">
        <f aca="false">INDEX(Products!$C$2:$C$49,MATCH(C1494,Products!$A$2:$A$49,0))</f>
        <v>Dairy &amp; Eggs</v>
      </c>
      <c r="H1494" s="33" t="n">
        <f aca="false">D1494*INDEX(Products!$E$2:$E$49,MATCH(C1494,Products!$A$2:$A$49,0))</f>
        <v>27520</v>
      </c>
      <c r="I1494" s="33" t="n">
        <f aca="false">D1494*INDEX(Products!$D$2:$D$49,MATCH(C1494,Products!$A$2:$A$49,0))*(1+INDEX(Assumptions!$B$16:$B$20,MATCH(B1494,Assumptions!$A$16:$A$20,0)))</f>
        <v>23232.384</v>
      </c>
      <c r="J1494" s="33" t="n">
        <f aca="false">H1494-I1494</f>
        <v>4287.616</v>
      </c>
      <c r="K1494" s="33" t="n">
        <f aca="false">IF(OR(E1494=0,E1494&gt;=7),0,D1494/(7-E1494)*E1494*INDEX(Products!$E$2:$E$49,MATCH(C1494,Products!$A$2:$A$49,0)))</f>
        <v>0</v>
      </c>
    </row>
    <row r="1495" customFormat="false" ht="15" hidden="false" customHeight="false" outlineLevel="0" collapsed="false">
      <c r="A1495" s="36" t="n">
        <v>46244</v>
      </c>
      <c r="B1495" s="24" t="s">
        <v>62</v>
      </c>
      <c r="C1495" s="24" t="s">
        <v>137</v>
      </c>
      <c r="D1495" s="33" t="n">
        <v>46</v>
      </c>
      <c r="E1495" s="24" t="n">
        <v>3</v>
      </c>
      <c r="F1495" s="37" t="n">
        <f aca="false">DATE(YEAR(A1495),MONTH(A1495),1)</f>
        <v>46235</v>
      </c>
      <c r="G1495" s="24" t="str">
        <f aca="false">INDEX(Products!$C$2:$C$49,MATCH(C1495,Products!$A$2:$A$49,0))</f>
        <v>Dairy &amp; Eggs</v>
      </c>
      <c r="H1495" s="33" t="n">
        <f aca="false">D1495*INDEX(Products!$E$2:$E$49,MATCH(C1495,Products!$A$2:$A$49,0))</f>
        <v>14720</v>
      </c>
      <c r="I1495" s="33" t="n">
        <f aca="false">D1495*INDEX(Products!$D$2:$D$49,MATCH(C1495,Products!$A$2:$A$49,0))*(1+INDEX(Assumptions!$B$16:$B$20,MATCH(B1495,Assumptions!$A$16:$A$20,0)))</f>
        <v>12426.624</v>
      </c>
      <c r="J1495" s="33" t="n">
        <f aca="false">H1495-I1495</f>
        <v>2293.376</v>
      </c>
      <c r="K1495" s="33" t="n">
        <f aca="false">IF(OR(E1495=0,E1495&gt;=7),0,D1495/(7-E1495)*E1495*INDEX(Products!$E$2:$E$49,MATCH(C1495,Products!$A$2:$A$49,0)))</f>
        <v>11040</v>
      </c>
    </row>
    <row r="1496" customFormat="false" ht="15" hidden="false" customHeight="false" outlineLevel="0" collapsed="false">
      <c r="A1496" s="36" t="n">
        <v>46251</v>
      </c>
      <c r="B1496" s="24" t="s">
        <v>62</v>
      </c>
      <c r="C1496" s="24" t="s">
        <v>137</v>
      </c>
      <c r="D1496" s="33" t="n">
        <v>90</v>
      </c>
      <c r="E1496" s="24" t="n">
        <v>0</v>
      </c>
      <c r="F1496" s="37" t="n">
        <f aca="false">DATE(YEAR(A1496),MONTH(A1496),1)</f>
        <v>46235</v>
      </c>
      <c r="G1496" s="24" t="str">
        <f aca="false">INDEX(Products!$C$2:$C$49,MATCH(C1496,Products!$A$2:$A$49,0))</f>
        <v>Dairy &amp; Eggs</v>
      </c>
      <c r="H1496" s="33" t="n">
        <f aca="false">D1496*INDEX(Products!$E$2:$E$49,MATCH(C1496,Products!$A$2:$A$49,0))</f>
        <v>28800</v>
      </c>
      <c r="I1496" s="33" t="n">
        <f aca="false">D1496*INDEX(Products!$D$2:$D$49,MATCH(C1496,Products!$A$2:$A$49,0))*(1+INDEX(Assumptions!$B$16:$B$20,MATCH(B1496,Assumptions!$A$16:$A$20,0)))</f>
        <v>24312.96</v>
      </c>
      <c r="J1496" s="33" t="n">
        <f aca="false">H1496-I1496</f>
        <v>4487.04</v>
      </c>
      <c r="K1496" s="33" t="n">
        <f aca="false">IF(OR(E1496=0,E1496&gt;=7),0,D1496/(7-E1496)*E1496*INDEX(Products!$E$2:$E$49,MATCH(C1496,Products!$A$2:$A$49,0)))</f>
        <v>0</v>
      </c>
    </row>
    <row r="1497" customFormat="false" ht="15" hidden="false" customHeight="false" outlineLevel="0" collapsed="false">
      <c r="A1497" s="36" t="n">
        <v>46258</v>
      </c>
      <c r="B1497" s="24" t="s">
        <v>62</v>
      </c>
      <c r="C1497" s="24" t="s">
        <v>137</v>
      </c>
      <c r="D1497" s="33" t="n">
        <v>103</v>
      </c>
      <c r="E1497" s="24" t="n">
        <v>0</v>
      </c>
      <c r="F1497" s="37" t="n">
        <f aca="false">DATE(YEAR(A1497),MONTH(A1497),1)</f>
        <v>46235</v>
      </c>
      <c r="G1497" s="24" t="str">
        <f aca="false">INDEX(Products!$C$2:$C$49,MATCH(C1497,Products!$A$2:$A$49,0))</f>
        <v>Dairy &amp; Eggs</v>
      </c>
      <c r="H1497" s="33" t="n">
        <f aca="false">D1497*INDEX(Products!$E$2:$E$49,MATCH(C1497,Products!$A$2:$A$49,0))</f>
        <v>32960</v>
      </c>
      <c r="I1497" s="33" t="n">
        <f aca="false">D1497*INDEX(Products!$D$2:$D$49,MATCH(C1497,Products!$A$2:$A$49,0))*(1+INDEX(Assumptions!$B$16:$B$20,MATCH(B1497,Assumptions!$A$16:$A$20,0)))</f>
        <v>27824.832</v>
      </c>
      <c r="J1497" s="33" t="n">
        <f aca="false">H1497-I1497</f>
        <v>5135.168</v>
      </c>
      <c r="K1497" s="33" t="n">
        <f aca="false">IF(OR(E1497=0,E1497&gt;=7),0,D1497/(7-E1497)*E1497*INDEX(Products!$E$2:$E$49,MATCH(C1497,Products!$A$2:$A$49,0)))</f>
        <v>0</v>
      </c>
    </row>
    <row r="1498" customFormat="false" ht="15" hidden="false" customHeight="false" outlineLevel="0" collapsed="false">
      <c r="A1498" s="36" t="n">
        <v>46265</v>
      </c>
      <c r="B1498" s="24" t="s">
        <v>62</v>
      </c>
      <c r="C1498" s="24" t="s">
        <v>137</v>
      </c>
      <c r="D1498" s="33" t="n">
        <v>91</v>
      </c>
      <c r="E1498" s="24" t="n">
        <v>0</v>
      </c>
      <c r="F1498" s="37" t="n">
        <f aca="false">DATE(YEAR(A1498),MONTH(A1498),1)</f>
        <v>46235</v>
      </c>
      <c r="G1498" s="24" t="str">
        <f aca="false">INDEX(Products!$C$2:$C$49,MATCH(C1498,Products!$A$2:$A$49,0))</f>
        <v>Dairy &amp; Eggs</v>
      </c>
      <c r="H1498" s="33" t="n">
        <f aca="false">D1498*INDEX(Products!$E$2:$E$49,MATCH(C1498,Products!$A$2:$A$49,0))</f>
        <v>29120</v>
      </c>
      <c r="I1498" s="33" t="n">
        <f aca="false">D1498*INDEX(Products!$D$2:$D$49,MATCH(C1498,Products!$A$2:$A$49,0))*(1+INDEX(Assumptions!$B$16:$B$20,MATCH(B1498,Assumptions!$A$16:$A$20,0)))</f>
        <v>24583.104</v>
      </c>
      <c r="J1498" s="33" t="n">
        <f aca="false">H1498-I1498</f>
        <v>4536.896</v>
      </c>
      <c r="K1498" s="33" t="n">
        <f aca="false">IF(OR(E1498=0,E1498&gt;=7),0,D1498/(7-E1498)*E1498*INDEX(Products!$E$2:$E$49,MATCH(C1498,Products!$A$2:$A$49,0)))</f>
        <v>0</v>
      </c>
    </row>
    <row r="1499" customFormat="false" ht="15" hidden="false" customHeight="false" outlineLevel="0" collapsed="false">
      <c r="A1499" s="36" t="n">
        <v>46272</v>
      </c>
      <c r="B1499" s="24" t="s">
        <v>62</v>
      </c>
      <c r="C1499" s="24" t="s">
        <v>137</v>
      </c>
      <c r="D1499" s="33" t="n">
        <v>87</v>
      </c>
      <c r="E1499" s="24" t="n">
        <v>0</v>
      </c>
      <c r="F1499" s="37" t="n">
        <f aca="false">DATE(YEAR(A1499),MONTH(A1499),1)</f>
        <v>46266</v>
      </c>
      <c r="G1499" s="24" t="str">
        <f aca="false">INDEX(Products!$C$2:$C$49,MATCH(C1499,Products!$A$2:$A$49,0))</f>
        <v>Dairy &amp; Eggs</v>
      </c>
      <c r="H1499" s="33" t="n">
        <f aca="false">D1499*INDEX(Products!$E$2:$E$49,MATCH(C1499,Products!$A$2:$A$49,0))</f>
        <v>27840</v>
      </c>
      <c r="I1499" s="33" t="n">
        <f aca="false">D1499*INDEX(Products!$D$2:$D$49,MATCH(C1499,Products!$A$2:$A$49,0))*(1+INDEX(Assumptions!$B$16:$B$20,MATCH(B1499,Assumptions!$A$16:$A$20,0)))</f>
        <v>23502.528</v>
      </c>
      <c r="J1499" s="33" t="n">
        <f aca="false">H1499-I1499</f>
        <v>4337.472</v>
      </c>
      <c r="K1499" s="33" t="n">
        <f aca="false">IF(OR(E1499=0,E1499&gt;=7),0,D1499/(7-E1499)*E1499*INDEX(Products!$E$2:$E$49,MATCH(C1499,Products!$A$2:$A$49,0)))</f>
        <v>0</v>
      </c>
    </row>
    <row r="1500" customFormat="false" ht="15" hidden="false" customHeight="false" outlineLevel="0" collapsed="false">
      <c r="A1500" s="36" t="n">
        <v>46279</v>
      </c>
      <c r="B1500" s="24" t="s">
        <v>62</v>
      </c>
      <c r="C1500" s="24" t="s">
        <v>137</v>
      </c>
      <c r="D1500" s="33" t="n">
        <v>73</v>
      </c>
      <c r="E1500" s="24" t="n">
        <v>0</v>
      </c>
      <c r="F1500" s="37" t="n">
        <f aca="false">DATE(YEAR(A1500),MONTH(A1500),1)</f>
        <v>46266</v>
      </c>
      <c r="G1500" s="24" t="str">
        <f aca="false">INDEX(Products!$C$2:$C$49,MATCH(C1500,Products!$A$2:$A$49,0))</f>
        <v>Dairy &amp; Eggs</v>
      </c>
      <c r="H1500" s="33" t="n">
        <f aca="false">D1500*INDEX(Products!$E$2:$E$49,MATCH(C1500,Products!$A$2:$A$49,0))</f>
        <v>23360</v>
      </c>
      <c r="I1500" s="33" t="n">
        <f aca="false">D1500*INDEX(Products!$D$2:$D$49,MATCH(C1500,Products!$A$2:$A$49,0))*(1+INDEX(Assumptions!$B$16:$B$20,MATCH(B1500,Assumptions!$A$16:$A$20,0)))</f>
        <v>19720.512</v>
      </c>
      <c r="J1500" s="33" t="n">
        <f aca="false">H1500-I1500</f>
        <v>3639.488</v>
      </c>
      <c r="K1500" s="33" t="n">
        <f aca="false">IF(OR(E1500=0,E1500&gt;=7),0,D1500/(7-E1500)*E1500*INDEX(Products!$E$2:$E$49,MATCH(C1500,Products!$A$2:$A$49,0)))</f>
        <v>0</v>
      </c>
    </row>
    <row r="1501" customFormat="false" ht="15" hidden="false" customHeight="false" outlineLevel="0" collapsed="false">
      <c r="A1501" s="36" t="n">
        <v>46286</v>
      </c>
      <c r="B1501" s="24" t="s">
        <v>62</v>
      </c>
      <c r="C1501" s="24" t="s">
        <v>137</v>
      </c>
      <c r="D1501" s="33" t="n">
        <v>94</v>
      </c>
      <c r="E1501" s="24" t="n">
        <v>0</v>
      </c>
      <c r="F1501" s="37" t="n">
        <f aca="false">DATE(YEAR(A1501),MONTH(A1501),1)</f>
        <v>46266</v>
      </c>
      <c r="G1501" s="24" t="str">
        <f aca="false">INDEX(Products!$C$2:$C$49,MATCH(C1501,Products!$A$2:$A$49,0))</f>
        <v>Dairy &amp; Eggs</v>
      </c>
      <c r="H1501" s="33" t="n">
        <f aca="false">D1501*INDEX(Products!$E$2:$E$49,MATCH(C1501,Products!$A$2:$A$49,0))</f>
        <v>30080</v>
      </c>
      <c r="I1501" s="33" t="n">
        <f aca="false">D1501*INDEX(Products!$D$2:$D$49,MATCH(C1501,Products!$A$2:$A$49,0))*(1+INDEX(Assumptions!$B$16:$B$20,MATCH(B1501,Assumptions!$A$16:$A$20,0)))</f>
        <v>25393.536</v>
      </c>
      <c r="J1501" s="33" t="n">
        <f aca="false">H1501-I1501</f>
        <v>4686.464</v>
      </c>
      <c r="K1501" s="33" t="n">
        <f aca="false">IF(OR(E1501=0,E1501&gt;=7),0,D1501/(7-E1501)*E1501*INDEX(Products!$E$2:$E$49,MATCH(C1501,Products!$A$2:$A$49,0)))</f>
        <v>0</v>
      </c>
    </row>
    <row r="1502" customFormat="false" ht="15" hidden="false" customHeight="false" outlineLevel="0" collapsed="false">
      <c r="A1502" s="36" t="n">
        <v>46118</v>
      </c>
      <c r="B1502" s="24" t="s">
        <v>62</v>
      </c>
      <c r="C1502" s="24" t="s">
        <v>139</v>
      </c>
      <c r="D1502" s="33" t="n">
        <v>168</v>
      </c>
      <c r="E1502" s="24" t="n">
        <v>0</v>
      </c>
      <c r="F1502" s="37" t="n">
        <f aca="false">DATE(YEAR(A1502),MONTH(A1502),1)</f>
        <v>46113</v>
      </c>
      <c r="G1502" s="24" t="str">
        <f aca="false">INDEX(Products!$C$2:$C$49,MATCH(C1502,Products!$A$2:$A$49,0))</f>
        <v>Dairy &amp; Eggs</v>
      </c>
      <c r="H1502" s="33" t="n">
        <f aca="false">D1502*INDEX(Products!$E$2:$E$49,MATCH(C1502,Products!$A$2:$A$49,0))</f>
        <v>87360</v>
      </c>
      <c r="I1502" s="33" t="n">
        <f aca="false">D1502*INDEX(Products!$D$2:$D$49,MATCH(C1502,Products!$A$2:$A$49,0))*(1+INDEX(Assumptions!$B$16:$B$20,MATCH(B1502,Assumptions!$A$16:$A$20,0)))</f>
        <v>72648.576</v>
      </c>
      <c r="J1502" s="33" t="n">
        <f aca="false">H1502-I1502</f>
        <v>14711.424</v>
      </c>
      <c r="K1502" s="33" t="n">
        <f aca="false">IF(OR(E1502=0,E1502&gt;=7),0,D1502/(7-E1502)*E1502*INDEX(Products!$E$2:$E$49,MATCH(C1502,Products!$A$2:$A$49,0)))</f>
        <v>0</v>
      </c>
    </row>
    <row r="1503" customFormat="false" ht="15" hidden="false" customHeight="false" outlineLevel="0" collapsed="false">
      <c r="A1503" s="36" t="n">
        <v>46125</v>
      </c>
      <c r="B1503" s="24" t="s">
        <v>62</v>
      </c>
      <c r="C1503" s="24" t="s">
        <v>139</v>
      </c>
      <c r="D1503" s="33" t="n">
        <v>186</v>
      </c>
      <c r="E1503" s="24" t="n">
        <v>0</v>
      </c>
      <c r="F1503" s="37" t="n">
        <f aca="false">DATE(YEAR(A1503),MONTH(A1503),1)</f>
        <v>46113</v>
      </c>
      <c r="G1503" s="24" t="str">
        <f aca="false">INDEX(Products!$C$2:$C$49,MATCH(C1503,Products!$A$2:$A$49,0))</f>
        <v>Dairy &amp; Eggs</v>
      </c>
      <c r="H1503" s="33" t="n">
        <f aca="false">D1503*INDEX(Products!$E$2:$E$49,MATCH(C1503,Products!$A$2:$A$49,0))</f>
        <v>96720</v>
      </c>
      <c r="I1503" s="33" t="n">
        <f aca="false">D1503*INDEX(Products!$D$2:$D$49,MATCH(C1503,Products!$A$2:$A$49,0))*(1+INDEX(Assumptions!$B$16:$B$20,MATCH(B1503,Assumptions!$A$16:$A$20,0)))</f>
        <v>80432.352</v>
      </c>
      <c r="J1503" s="33" t="n">
        <f aca="false">H1503-I1503</f>
        <v>16287.648</v>
      </c>
      <c r="K1503" s="33" t="n">
        <f aca="false">IF(OR(E1503=0,E1503&gt;=7),0,D1503/(7-E1503)*E1503*INDEX(Products!$E$2:$E$49,MATCH(C1503,Products!$A$2:$A$49,0)))</f>
        <v>0</v>
      </c>
    </row>
    <row r="1504" customFormat="false" ht="15" hidden="false" customHeight="false" outlineLevel="0" collapsed="false">
      <c r="A1504" s="36" t="n">
        <v>46132</v>
      </c>
      <c r="B1504" s="24" t="s">
        <v>62</v>
      </c>
      <c r="C1504" s="24" t="s">
        <v>139</v>
      </c>
      <c r="D1504" s="33" t="n">
        <v>186</v>
      </c>
      <c r="E1504" s="24" t="n">
        <v>0</v>
      </c>
      <c r="F1504" s="37" t="n">
        <f aca="false">DATE(YEAR(A1504),MONTH(A1504),1)</f>
        <v>46113</v>
      </c>
      <c r="G1504" s="24" t="str">
        <f aca="false">INDEX(Products!$C$2:$C$49,MATCH(C1504,Products!$A$2:$A$49,0))</f>
        <v>Dairy &amp; Eggs</v>
      </c>
      <c r="H1504" s="33" t="n">
        <f aca="false">D1504*INDEX(Products!$E$2:$E$49,MATCH(C1504,Products!$A$2:$A$49,0))</f>
        <v>96720</v>
      </c>
      <c r="I1504" s="33" t="n">
        <f aca="false">D1504*INDEX(Products!$D$2:$D$49,MATCH(C1504,Products!$A$2:$A$49,0))*(1+INDEX(Assumptions!$B$16:$B$20,MATCH(B1504,Assumptions!$A$16:$A$20,0)))</f>
        <v>80432.352</v>
      </c>
      <c r="J1504" s="33" t="n">
        <f aca="false">H1504-I1504</f>
        <v>16287.648</v>
      </c>
      <c r="K1504" s="33" t="n">
        <f aca="false">IF(OR(E1504=0,E1504&gt;=7),0,D1504/(7-E1504)*E1504*INDEX(Products!$E$2:$E$49,MATCH(C1504,Products!$A$2:$A$49,0)))</f>
        <v>0</v>
      </c>
    </row>
    <row r="1505" customFormat="false" ht="15" hidden="false" customHeight="false" outlineLevel="0" collapsed="false">
      <c r="A1505" s="36" t="n">
        <v>46139</v>
      </c>
      <c r="B1505" s="24" t="s">
        <v>62</v>
      </c>
      <c r="C1505" s="24" t="s">
        <v>139</v>
      </c>
      <c r="D1505" s="33" t="n">
        <v>188</v>
      </c>
      <c r="E1505" s="24" t="n">
        <v>0</v>
      </c>
      <c r="F1505" s="37" t="n">
        <f aca="false">DATE(YEAR(A1505),MONTH(A1505),1)</f>
        <v>46113</v>
      </c>
      <c r="G1505" s="24" t="str">
        <f aca="false">INDEX(Products!$C$2:$C$49,MATCH(C1505,Products!$A$2:$A$49,0))</f>
        <v>Dairy &amp; Eggs</v>
      </c>
      <c r="H1505" s="33" t="n">
        <f aca="false">D1505*INDEX(Products!$E$2:$E$49,MATCH(C1505,Products!$A$2:$A$49,0))</f>
        <v>97760</v>
      </c>
      <c r="I1505" s="33" t="n">
        <f aca="false">D1505*INDEX(Products!$D$2:$D$49,MATCH(C1505,Products!$A$2:$A$49,0))*(1+INDEX(Assumptions!$B$16:$B$20,MATCH(B1505,Assumptions!$A$16:$A$20,0)))</f>
        <v>81297.216</v>
      </c>
      <c r="J1505" s="33" t="n">
        <f aca="false">H1505-I1505</f>
        <v>16462.784</v>
      </c>
      <c r="K1505" s="33" t="n">
        <f aca="false">IF(OR(E1505=0,E1505&gt;=7),0,D1505/(7-E1505)*E1505*INDEX(Products!$E$2:$E$49,MATCH(C1505,Products!$A$2:$A$49,0)))</f>
        <v>0</v>
      </c>
    </row>
    <row r="1506" customFormat="false" ht="15" hidden="false" customHeight="false" outlineLevel="0" collapsed="false">
      <c r="A1506" s="36" t="n">
        <v>46146</v>
      </c>
      <c r="B1506" s="24" t="s">
        <v>62</v>
      </c>
      <c r="C1506" s="24" t="s">
        <v>139</v>
      </c>
      <c r="D1506" s="33" t="n">
        <v>160</v>
      </c>
      <c r="E1506" s="24" t="n">
        <v>0</v>
      </c>
      <c r="F1506" s="37" t="n">
        <f aca="false">DATE(YEAR(A1506),MONTH(A1506),1)</f>
        <v>46143</v>
      </c>
      <c r="G1506" s="24" t="str">
        <f aca="false">INDEX(Products!$C$2:$C$49,MATCH(C1506,Products!$A$2:$A$49,0))</f>
        <v>Dairy &amp; Eggs</v>
      </c>
      <c r="H1506" s="33" t="n">
        <f aca="false">D1506*INDEX(Products!$E$2:$E$49,MATCH(C1506,Products!$A$2:$A$49,0))</f>
        <v>83200</v>
      </c>
      <c r="I1506" s="33" t="n">
        <f aca="false">D1506*INDEX(Products!$D$2:$D$49,MATCH(C1506,Products!$A$2:$A$49,0))*(1+INDEX(Assumptions!$B$16:$B$20,MATCH(B1506,Assumptions!$A$16:$A$20,0)))</f>
        <v>69189.12</v>
      </c>
      <c r="J1506" s="33" t="n">
        <f aca="false">H1506-I1506</f>
        <v>14010.88</v>
      </c>
      <c r="K1506" s="33" t="n">
        <f aca="false">IF(OR(E1506=0,E1506&gt;=7),0,D1506/(7-E1506)*E1506*INDEX(Products!$E$2:$E$49,MATCH(C1506,Products!$A$2:$A$49,0)))</f>
        <v>0</v>
      </c>
    </row>
    <row r="1507" customFormat="false" ht="15" hidden="false" customHeight="false" outlineLevel="0" collapsed="false">
      <c r="A1507" s="36" t="n">
        <v>46153</v>
      </c>
      <c r="B1507" s="24" t="s">
        <v>62</v>
      </c>
      <c r="C1507" s="24" t="s">
        <v>139</v>
      </c>
      <c r="D1507" s="33" t="n">
        <v>176</v>
      </c>
      <c r="E1507" s="24" t="n">
        <v>0</v>
      </c>
      <c r="F1507" s="37" t="n">
        <f aca="false">DATE(YEAR(A1507),MONTH(A1507),1)</f>
        <v>46143</v>
      </c>
      <c r="G1507" s="24" t="str">
        <f aca="false">INDEX(Products!$C$2:$C$49,MATCH(C1507,Products!$A$2:$A$49,0))</f>
        <v>Dairy &amp; Eggs</v>
      </c>
      <c r="H1507" s="33" t="n">
        <f aca="false">D1507*INDEX(Products!$E$2:$E$49,MATCH(C1507,Products!$A$2:$A$49,0))</f>
        <v>91520</v>
      </c>
      <c r="I1507" s="33" t="n">
        <f aca="false">D1507*INDEX(Products!$D$2:$D$49,MATCH(C1507,Products!$A$2:$A$49,0))*(1+INDEX(Assumptions!$B$16:$B$20,MATCH(B1507,Assumptions!$A$16:$A$20,0)))</f>
        <v>76108.032</v>
      </c>
      <c r="J1507" s="33" t="n">
        <f aca="false">H1507-I1507</f>
        <v>15411.968</v>
      </c>
      <c r="K1507" s="33" t="n">
        <f aca="false">IF(OR(E1507=0,E1507&gt;=7),0,D1507/(7-E1507)*E1507*INDEX(Products!$E$2:$E$49,MATCH(C1507,Products!$A$2:$A$49,0)))</f>
        <v>0</v>
      </c>
    </row>
    <row r="1508" customFormat="false" ht="15" hidden="false" customHeight="false" outlineLevel="0" collapsed="false">
      <c r="A1508" s="36" t="n">
        <v>46160</v>
      </c>
      <c r="B1508" s="24" t="s">
        <v>62</v>
      </c>
      <c r="C1508" s="24" t="s">
        <v>139</v>
      </c>
      <c r="D1508" s="33" t="n">
        <v>184</v>
      </c>
      <c r="E1508" s="24" t="n">
        <v>0</v>
      </c>
      <c r="F1508" s="37" t="n">
        <f aca="false">DATE(YEAR(A1508),MONTH(A1508),1)</f>
        <v>46143</v>
      </c>
      <c r="G1508" s="24" t="str">
        <f aca="false">INDEX(Products!$C$2:$C$49,MATCH(C1508,Products!$A$2:$A$49,0))</f>
        <v>Dairy &amp; Eggs</v>
      </c>
      <c r="H1508" s="33" t="n">
        <f aca="false">D1508*INDEX(Products!$E$2:$E$49,MATCH(C1508,Products!$A$2:$A$49,0))</f>
        <v>95680</v>
      </c>
      <c r="I1508" s="33" t="n">
        <f aca="false">D1508*INDEX(Products!$D$2:$D$49,MATCH(C1508,Products!$A$2:$A$49,0))*(1+INDEX(Assumptions!$B$16:$B$20,MATCH(B1508,Assumptions!$A$16:$A$20,0)))</f>
        <v>79567.488</v>
      </c>
      <c r="J1508" s="33" t="n">
        <f aca="false">H1508-I1508</f>
        <v>16112.512</v>
      </c>
      <c r="K1508" s="33" t="n">
        <f aca="false">IF(OR(E1508=0,E1508&gt;=7),0,D1508/(7-E1508)*E1508*INDEX(Products!$E$2:$E$49,MATCH(C1508,Products!$A$2:$A$49,0)))</f>
        <v>0</v>
      </c>
    </row>
    <row r="1509" customFormat="false" ht="15" hidden="false" customHeight="false" outlineLevel="0" collapsed="false">
      <c r="A1509" s="36" t="n">
        <v>46167</v>
      </c>
      <c r="B1509" s="24" t="s">
        <v>62</v>
      </c>
      <c r="C1509" s="24" t="s">
        <v>139</v>
      </c>
      <c r="D1509" s="33" t="n">
        <v>205</v>
      </c>
      <c r="E1509" s="24" t="n">
        <v>0</v>
      </c>
      <c r="F1509" s="37" t="n">
        <f aca="false">DATE(YEAR(A1509),MONTH(A1509),1)</f>
        <v>46143</v>
      </c>
      <c r="G1509" s="24" t="str">
        <f aca="false">INDEX(Products!$C$2:$C$49,MATCH(C1509,Products!$A$2:$A$49,0))</f>
        <v>Dairy &amp; Eggs</v>
      </c>
      <c r="H1509" s="33" t="n">
        <f aca="false">D1509*INDEX(Products!$E$2:$E$49,MATCH(C1509,Products!$A$2:$A$49,0))</f>
        <v>106600</v>
      </c>
      <c r="I1509" s="33" t="n">
        <f aca="false">D1509*INDEX(Products!$D$2:$D$49,MATCH(C1509,Products!$A$2:$A$49,0))*(1+INDEX(Assumptions!$B$16:$B$20,MATCH(B1509,Assumptions!$A$16:$A$20,0)))</f>
        <v>88648.56</v>
      </c>
      <c r="J1509" s="33" t="n">
        <f aca="false">H1509-I1509</f>
        <v>17951.44</v>
      </c>
      <c r="K1509" s="33" t="n">
        <f aca="false">IF(OR(E1509=0,E1509&gt;=7),0,D1509/(7-E1509)*E1509*INDEX(Products!$E$2:$E$49,MATCH(C1509,Products!$A$2:$A$49,0)))</f>
        <v>0</v>
      </c>
    </row>
    <row r="1510" customFormat="false" ht="15" hidden="false" customHeight="false" outlineLevel="0" collapsed="false">
      <c r="A1510" s="36" t="n">
        <v>46174</v>
      </c>
      <c r="B1510" s="24" t="s">
        <v>62</v>
      </c>
      <c r="C1510" s="24" t="s">
        <v>139</v>
      </c>
      <c r="D1510" s="33" t="n">
        <v>175</v>
      </c>
      <c r="E1510" s="24" t="n">
        <v>0</v>
      </c>
      <c r="F1510" s="37" t="n">
        <f aca="false">DATE(YEAR(A1510),MONTH(A1510),1)</f>
        <v>46174</v>
      </c>
      <c r="G1510" s="24" t="str">
        <f aca="false">INDEX(Products!$C$2:$C$49,MATCH(C1510,Products!$A$2:$A$49,0))</f>
        <v>Dairy &amp; Eggs</v>
      </c>
      <c r="H1510" s="33" t="n">
        <f aca="false">D1510*INDEX(Products!$E$2:$E$49,MATCH(C1510,Products!$A$2:$A$49,0))</f>
        <v>91000</v>
      </c>
      <c r="I1510" s="33" t="n">
        <f aca="false">D1510*INDEX(Products!$D$2:$D$49,MATCH(C1510,Products!$A$2:$A$49,0))*(1+INDEX(Assumptions!$B$16:$B$20,MATCH(B1510,Assumptions!$A$16:$A$20,0)))</f>
        <v>75675.6</v>
      </c>
      <c r="J1510" s="33" t="n">
        <f aca="false">H1510-I1510</f>
        <v>15324.4</v>
      </c>
      <c r="K1510" s="33" t="n">
        <f aca="false">IF(OR(E1510=0,E1510&gt;=7),0,D1510/(7-E1510)*E1510*INDEX(Products!$E$2:$E$49,MATCH(C1510,Products!$A$2:$A$49,0)))</f>
        <v>0</v>
      </c>
    </row>
    <row r="1511" customFormat="false" ht="15" hidden="false" customHeight="false" outlineLevel="0" collapsed="false">
      <c r="A1511" s="36" t="n">
        <v>46181</v>
      </c>
      <c r="B1511" s="24" t="s">
        <v>62</v>
      </c>
      <c r="C1511" s="24" t="s">
        <v>139</v>
      </c>
      <c r="D1511" s="33" t="n">
        <v>189</v>
      </c>
      <c r="E1511" s="24" t="n">
        <v>0</v>
      </c>
      <c r="F1511" s="37" t="n">
        <f aca="false">DATE(YEAR(A1511),MONTH(A1511),1)</f>
        <v>46174</v>
      </c>
      <c r="G1511" s="24" t="str">
        <f aca="false">INDEX(Products!$C$2:$C$49,MATCH(C1511,Products!$A$2:$A$49,0))</f>
        <v>Dairy &amp; Eggs</v>
      </c>
      <c r="H1511" s="33" t="n">
        <f aca="false">D1511*INDEX(Products!$E$2:$E$49,MATCH(C1511,Products!$A$2:$A$49,0))</f>
        <v>98280</v>
      </c>
      <c r="I1511" s="33" t="n">
        <f aca="false">D1511*INDEX(Products!$D$2:$D$49,MATCH(C1511,Products!$A$2:$A$49,0))*(1+INDEX(Assumptions!$B$16:$B$20,MATCH(B1511,Assumptions!$A$16:$A$20,0)))</f>
        <v>81729.648</v>
      </c>
      <c r="J1511" s="33" t="n">
        <f aca="false">H1511-I1511</f>
        <v>16550.352</v>
      </c>
      <c r="K1511" s="33" t="n">
        <f aca="false">IF(OR(E1511=0,E1511&gt;=7),0,D1511/(7-E1511)*E1511*INDEX(Products!$E$2:$E$49,MATCH(C1511,Products!$A$2:$A$49,0)))</f>
        <v>0</v>
      </c>
    </row>
    <row r="1512" customFormat="false" ht="15" hidden="false" customHeight="false" outlineLevel="0" collapsed="false">
      <c r="A1512" s="36" t="n">
        <v>46188</v>
      </c>
      <c r="B1512" s="24" t="s">
        <v>62</v>
      </c>
      <c r="C1512" s="24" t="s">
        <v>139</v>
      </c>
      <c r="D1512" s="33" t="n">
        <v>173</v>
      </c>
      <c r="E1512" s="24" t="n">
        <v>0</v>
      </c>
      <c r="F1512" s="37" t="n">
        <f aca="false">DATE(YEAR(A1512),MONTH(A1512),1)</f>
        <v>46174</v>
      </c>
      <c r="G1512" s="24" t="str">
        <f aca="false">INDEX(Products!$C$2:$C$49,MATCH(C1512,Products!$A$2:$A$49,0))</f>
        <v>Dairy &amp; Eggs</v>
      </c>
      <c r="H1512" s="33" t="n">
        <f aca="false">D1512*INDEX(Products!$E$2:$E$49,MATCH(C1512,Products!$A$2:$A$49,0))</f>
        <v>89960</v>
      </c>
      <c r="I1512" s="33" t="n">
        <f aca="false">D1512*INDEX(Products!$D$2:$D$49,MATCH(C1512,Products!$A$2:$A$49,0))*(1+INDEX(Assumptions!$B$16:$B$20,MATCH(B1512,Assumptions!$A$16:$A$20,0)))</f>
        <v>74810.736</v>
      </c>
      <c r="J1512" s="33" t="n">
        <f aca="false">H1512-I1512</f>
        <v>15149.264</v>
      </c>
      <c r="K1512" s="33" t="n">
        <f aca="false">IF(OR(E1512=0,E1512&gt;=7),0,D1512/(7-E1512)*E1512*INDEX(Products!$E$2:$E$49,MATCH(C1512,Products!$A$2:$A$49,0)))</f>
        <v>0</v>
      </c>
    </row>
    <row r="1513" customFormat="false" ht="15" hidden="false" customHeight="false" outlineLevel="0" collapsed="false">
      <c r="A1513" s="36" t="n">
        <v>46195</v>
      </c>
      <c r="B1513" s="24" t="s">
        <v>62</v>
      </c>
      <c r="C1513" s="24" t="s">
        <v>139</v>
      </c>
      <c r="D1513" s="33" t="n">
        <v>201</v>
      </c>
      <c r="E1513" s="24" t="n">
        <v>0</v>
      </c>
      <c r="F1513" s="37" t="n">
        <f aca="false">DATE(YEAR(A1513),MONTH(A1513),1)</f>
        <v>46174</v>
      </c>
      <c r="G1513" s="24" t="str">
        <f aca="false">INDEX(Products!$C$2:$C$49,MATCH(C1513,Products!$A$2:$A$49,0))</f>
        <v>Dairy &amp; Eggs</v>
      </c>
      <c r="H1513" s="33" t="n">
        <f aca="false">D1513*INDEX(Products!$E$2:$E$49,MATCH(C1513,Products!$A$2:$A$49,0))</f>
        <v>104520</v>
      </c>
      <c r="I1513" s="33" t="n">
        <f aca="false">D1513*INDEX(Products!$D$2:$D$49,MATCH(C1513,Products!$A$2:$A$49,0))*(1+INDEX(Assumptions!$B$16:$B$20,MATCH(B1513,Assumptions!$A$16:$A$20,0)))</f>
        <v>86918.832</v>
      </c>
      <c r="J1513" s="33" t="n">
        <f aca="false">H1513-I1513</f>
        <v>17601.168</v>
      </c>
      <c r="K1513" s="33" t="n">
        <f aca="false">IF(OR(E1513=0,E1513&gt;=7),0,D1513/(7-E1513)*E1513*INDEX(Products!$E$2:$E$49,MATCH(C1513,Products!$A$2:$A$49,0)))</f>
        <v>0</v>
      </c>
    </row>
    <row r="1514" customFormat="false" ht="15" hidden="false" customHeight="false" outlineLevel="0" collapsed="false">
      <c r="A1514" s="36" t="n">
        <v>46202</v>
      </c>
      <c r="B1514" s="24" t="s">
        <v>62</v>
      </c>
      <c r="C1514" s="24" t="s">
        <v>139</v>
      </c>
      <c r="D1514" s="33" t="n">
        <v>201</v>
      </c>
      <c r="E1514" s="24" t="n">
        <v>0</v>
      </c>
      <c r="F1514" s="37" t="n">
        <f aca="false">DATE(YEAR(A1514),MONTH(A1514),1)</f>
        <v>46174</v>
      </c>
      <c r="G1514" s="24" t="str">
        <f aca="false">INDEX(Products!$C$2:$C$49,MATCH(C1514,Products!$A$2:$A$49,0))</f>
        <v>Dairy &amp; Eggs</v>
      </c>
      <c r="H1514" s="33" t="n">
        <f aca="false">D1514*INDEX(Products!$E$2:$E$49,MATCH(C1514,Products!$A$2:$A$49,0))</f>
        <v>104520</v>
      </c>
      <c r="I1514" s="33" t="n">
        <f aca="false">D1514*INDEX(Products!$D$2:$D$49,MATCH(C1514,Products!$A$2:$A$49,0))*(1+INDEX(Assumptions!$B$16:$B$20,MATCH(B1514,Assumptions!$A$16:$A$20,0)))</f>
        <v>86918.832</v>
      </c>
      <c r="J1514" s="33" t="n">
        <f aca="false">H1514-I1514</f>
        <v>17601.168</v>
      </c>
      <c r="K1514" s="33" t="n">
        <f aca="false">IF(OR(E1514=0,E1514&gt;=7),0,D1514/(7-E1514)*E1514*INDEX(Products!$E$2:$E$49,MATCH(C1514,Products!$A$2:$A$49,0)))</f>
        <v>0</v>
      </c>
    </row>
    <row r="1515" customFormat="false" ht="15" hidden="false" customHeight="false" outlineLevel="0" collapsed="false">
      <c r="A1515" s="36" t="n">
        <v>46209</v>
      </c>
      <c r="B1515" s="24" t="s">
        <v>62</v>
      </c>
      <c r="C1515" s="24" t="s">
        <v>139</v>
      </c>
      <c r="D1515" s="33" t="n">
        <v>179</v>
      </c>
      <c r="E1515" s="24" t="n">
        <v>0</v>
      </c>
      <c r="F1515" s="37" t="n">
        <f aca="false">DATE(YEAR(A1515),MONTH(A1515),1)</f>
        <v>46204</v>
      </c>
      <c r="G1515" s="24" t="str">
        <f aca="false">INDEX(Products!$C$2:$C$49,MATCH(C1515,Products!$A$2:$A$49,0))</f>
        <v>Dairy &amp; Eggs</v>
      </c>
      <c r="H1515" s="33" t="n">
        <f aca="false">D1515*INDEX(Products!$E$2:$E$49,MATCH(C1515,Products!$A$2:$A$49,0))</f>
        <v>93080</v>
      </c>
      <c r="I1515" s="33" t="n">
        <f aca="false">D1515*INDEX(Products!$D$2:$D$49,MATCH(C1515,Products!$A$2:$A$49,0))*(1+INDEX(Assumptions!$B$16:$B$20,MATCH(B1515,Assumptions!$A$16:$A$20,0)))</f>
        <v>77405.328</v>
      </c>
      <c r="J1515" s="33" t="n">
        <f aca="false">H1515-I1515</f>
        <v>15674.672</v>
      </c>
      <c r="K1515" s="33" t="n">
        <f aca="false">IF(OR(E1515=0,E1515&gt;=7),0,D1515/(7-E1515)*E1515*INDEX(Products!$E$2:$E$49,MATCH(C1515,Products!$A$2:$A$49,0)))</f>
        <v>0</v>
      </c>
    </row>
    <row r="1516" customFormat="false" ht="15" hidden="false" customHeight="false" outlineLevel="0" collapsed="false">
      <c r="A1516" s="36" t="n">
        <v>46216</v>
      </c>
      <c r="B1516" s="24" t="s">
        <v>62</v>
      </c>
      <c r="C1516" s="24" t="s">
        <v>139</v>
      </c>
      <c r="D1516" s="33" t="n">
        <v>167</v>
      </c>
      <c r="E1516" s="24" t="n">
        <v>0</v>
      </c>
      <c r="F1516" s="37" t="n">
        <f aca="false">DATE(YEAR(A1516),MONTH(A1516),1)</f>
        <v>46204</v>
      </c>
      <c r="G1516" s="24" t="str">
        <f aca="false">INDEX(Products!$C$2:$C$49,MATCH(C1516,Products!$A$2:$A$49,0))</f>
        <v>Dairy &amp; Eggs</v>
      </c>
      <c r="H1516" s="33" t="n">
        <f aca="false">D1516*INDEX(Products!$E$2:$E$49,MATCH(C1516,Products!$A$2:$A$49,0))</f>
        <v>86840</v>
      </c>
      <c r="I1516" s="33" t="n">
        <f aca="false">D1516*INDEX(Products!$D$2:$D$49,MATCH(C1516,Products!$A$2:$A$49,0))*(1+INDEX(Assumptions!$B$16:$B$20,MATCH(B1516,Assumptions!$A$16:$A$20,0)))</f>
        <v>72216.144</v>
      </c>
      <c r="J1516" s="33" t="n">
        <f aca="false">H1516-I1516</f>
        <v>14623.856</v>
      </c>
      <c r="K1516" s="33" t="n">
        <f aca="false">IF(OR(E1516=0,E1516&gt;=7),0,D1516/(7-E1516)*E1516*INDEX(Products!$E$2:$E$49,MATCH(C1516,Products!$A$2:$A$49,0)))</f>
        <v>0</v>
      </c>
    </row>
    <row r="1517" customFormat="false" ht="15" hidden="false" customHeight="false" outlineLevel="0" collapsed="false">
      <c r="A1517" s="36" t="n">
        <v>46223</v>
      </c>
      <c r="B1517" s="24" t="s">
        <v>62</v>
      </c>
      <c r="C1517" s="24" t="s">
        <v>139</v>
      </c>
      <c r="D1517" s="33" t="n">
        <v>164</v>
      </c>
      <c r="E1517" s="24" t="n">
        <v>0</v>
      </c>
      <c r="F1517" s="37" t="n">
        <f aca="false">DATE(YEAR(A1517),MONTH(A1517),1)</f>
        <v>46204</v>
      </c>
      <c r="G1517" s="24" t="str">
        <f aca="false">INDEX(Products!$C$2:$C$49,MATCH(C1517,Products!$A$2:$A$49,0))</f>
        <v>Dairy &amp; Eggs</v>
      </c>
      <c r="H1517" s="33" t="n">
        <f aca="false">D1517*INDEX(Products!$E$2:$E$49,MATCH(C1517,Products!$A$2:$A$49,0))</f>
        <v>85280</v>
      </c>
      <c r="I1517" s="33" t="n">
        <f aca="false">D1517*INDEX(Products!$D$2:$D$49,MATCH(C1517,Products!$A$2:$A$49,0))*(1+INDEX(Assumptions!$B$16:$B$20,MATCH(B1517,Assumptions!$A$16:$A$20,0)))</f>
        <v>70918.848</v>
      </c>
      <c r="J1517" s="33" t="n">
        <f aca="false">H1517-I1517</f>
        <v>14361.152</v>
      </c>
      <c r="K1517" s="33" t="n">
        <f aca="false">IF(OR(E1517=0,E1517&gt;=7),0,D1517/(7-E1517)*E1517*INDEX(Products!$E$2:$E$49,MATCH(C1517,Products!$A$2:$A$49,0)))</f>
        <v>0</v>
      </c>
    </row>
    <row r="1518" customFormat="false" ht="15" hidden="false" customHeight="false" outlineLevel="0" collapsed="false">
      <c r="A1518" s="36" t="n">
        <v>46230</v>
      </c>
      <c r="B1518" s="24" t="s">
        <v>62</v>
      </c>
      <c r="C1518" s="24" t="s">
        <v>139</v>
      </c>
      <c r="D1518" s="33" t="n">
        <v>160</v>
      </c>
      <c r="E1518" s="24" t="n">
        <v>0</v>
      </c>
      <c r="F1518" s="37" t="n">
        <f aca="false">DATE(YEAR(A1518),MONTH(A1518),1)</f>
        <v>46204</v>
      </c>
      <c r="G1518" s="24" t="str">
        <f aca="false">INDEX(Products!$C$2:$C$49,MATCH(C1518,Products!$A$2:$A$49,0))</f>
        <v>Dairy &amp; Eggs</v>
      </c>
      <c r="H1518" s="33" t="n">
        <f aca="false">D1518*INDEX(Products!$E$2:$E$49,MATCH(C1518,Products!$A$2:$A$49,0))</f>
        <v>83200</v>
      </c>
      <c r="I1518" s="33" t="n">
        <f aca="false">D1518*INDEX(Products!$D$2:$D$49,MATCH(C1518,Products!$A$2:$A$49,0))*(1+INDEX(Assumptions!$B$16:$B$20,MATCH(B1518,Assumptions!$A$16:$A$20,0)))</f>
        <v>69189.12</v>
      </c>
      <c r="J1518" s="33" t="n">
        <f aca="false">H1518-I1518</f>
        <v>14010.88</v>
      </c>
      <c r="K1518" s="33" t="n">
        <f aca="false">IF(OR(E1518=0,E1518&gt;=7),0,D1518/(7-E1518)*E1518*INDEX(Products!$E$2:$E$49,MATCH(C1518,Products!$A$2:$A$49,0)))</f>
        <v>0</v>
      </c>
    </row>
    <row r="1519" customFormat="false" ht="15" hidden="false" customHeight="false" outlineLevel="0" collapsed="false">
      <c r="A1519" s="36" t="n">
        <v>46237</v>
      </c>
      <c r="B1519" s="24" t="s">
        <v>62</v>
      </c>
      <c r="C1519" s="24" t="s">
        <v>139</v>
      </c>
      <c r="D1519" s="33" t="n">
        <v>144</v>
      </c>
      <c r="E1519" s="24" t="n">
        <v>0</v>
      </c>
      <c r="F1519" s="37" t="n">
        <f aca="false">DATE(YEAR(A1519),MONTH(A1519),1)</f>
        <v>46235</v>
      </c>
      <c r="G1519" s="24" t="str">
        <f aca="false">INDEX(Products!$C$2:$C$49,MATCH(C1519,Products!$A$2:$A$49,0))</f>
        <v>Dairy &amp; Eggs</v>
      </c>
      <c r="H1519" s="33" t="n">
        <f aca="false">D1519*INDEX(Products!$E$2:$E$49,MATCH(C1519,Products!$A$2:$A$49,0))</f>
        <v>74880</v>
      </c>
      <c r="I1519" s="33" t="n">
        <f aca="false">D1519*INDEX(Products!$D$2:$D$49,MATCH(C1519,Products!$A$2:$A$49,0))*(1+INDEX(Assumptions!$B$16:$B$20,MATCH(B1519,Assumptions!$A$16:$A$20,0)))</f>
        <v>62270.208</v>
      </c>
      <c r="J1519" s="33" t="n">
        <f aca="false">H1519-I1519</f>
        <v>12609.792</v>
      </c>
      <c r="K1519" s="33" t="n">
        <f aca="false">IF(OR(E1519=0,E1519&gt;=7),0,D1519/(7-E1519)*E1519*INDEX(Products!$E$2:$E$49,MATCH(C1519,Products!$A$2:$A$49,0)))</f>
        <v>0</v>
      </c>
    </row>
    <row r="1520" customFormat="false" ht="15" hidden="false" customHeight="false" outlineLevel="0" collapsed="false">
      <c r="A1520" s="36" t="n">
        <v>46244</v>
      </c>
      <c r="B1520" s="24" t="s">
        <v>62</v>
      </c>
      <c r="C1520" s="24" t="s">
        <v>139</v>
      </c>
      <c r="D1520" s="33" t="n">
        <v>146</v>
      </c>
      <c r="E1520" s="24" t="n">
        <v>0</v>
      </c>
      <c r="F1520" s="37" t="n">
        <f aca="false">DATE(YEAR(A1520),MONTH(A1520),1)</f>
        <v>46235</v>
      </c>
      <c r="G1520" s="24" t="str">
        <f aca="false">INDEX(Products!$C$2:$C$49,MATCH(C1520,Products!$A$2:$A$49,0))</f>
        <v>Dairy &amp; Eggs</v>
      </c>
      <c r="H1520" s="33" t="n">
        <f aca="false">D1520*INDEX(Products!$E$2:$E$49,MATCH(C1520,Products!$A$2:$A$49,0))</f>
        <v>75920</v>
      </c>
      <c r="I1520" s="33" t="n">
        <f aca="false">D1520*INDEX(Products!$D$2:$D$49,MATCH(C1520,Products!$A$2:$A$49,0))*(1+INDEX(Assumptions!$B$16:$B$20,MATCH(B1520,Assumptions!$A$16:$A$20,0)))</f>
        <v>63135.072</v>
      </c>
      <c r="J1520" s="33" t="n">
        <f aca="false">H1520-I1520</f>
        <v>12784.928</v>
      </c>
      <c r="K1520" s="33" t="n">
        <f aca="false">IF(OR(E1520=0,E1520&gt;=7),0,D1520/(7-E1520)*E1520*INDEX(Products!$E$2:$E$49,MATCH(C1520,Products!$A$2:$A$49,0)))</f>
        <v>0</v>
      </c>
    </row>
    <row r="1521" customFormat="false" ht="15" hidden="false" customHeight="false" outlineLevel="0" collapsed="false">
      <c r="A1521" s="36" t="n">
        <v>46251</v>
      </c>
      <c r="B1521" s="24" t="s">
        <v>62</v>
      </c>
      <c r="C1521" s="24" t="s">
        <v>139</v>
      </c>
      <c r="D1521" s="33" t="n">
        <v>141</v>
      </c>
      <c r="E1521" s="24" t="n">
        <v>0</v>
      </c>
      <c r="F1521" s="37" t="n">
        <f aca="false">DATE(YEAR(A1521),MONTH(A1521),1)</f>
        <v>46235</v>
      </c>
      <c r="G1521" s="24" t="str">
        <f aca="false">INDEX(Products!$C$2:$C$49,MATCH(C1521,Products!$A$2:$A$49,0))</f>
        <v>Dairy &amp; Eggs</v>
      </c>
      <c r="H1521" s="33" t="n">
        <f aca="false">D1521*INDEX(Products!$E$2:$E$49,MATCH(C1521,Products!$A$2:$A$49,0))</f>
        <v>73320</v>
      </c>
      <c r="I1521" s="33" t="n">
        <f aca="false">D1521*INDEX(Products!$D$2:$D$49,MATCH(C1521,Products!$A$2:$A$49,0))*(1+INDEX(Assumptions!$B$16:$B$20,MATCH(B1521,Assumptions!$A$16:$A$20,0)))</f>
        <v>60972.912</v>
      </c>
      <c r="J1521" s="33" t="n">
        <f aca="false">H1521-I1521</f>
        <v>12347.088</v>
      </c>
      <c r="K1521" s="33" t="n">
        <f aca="false">IF(OR(E1521=0,E1521&gt;=7),0,D1521/(7-E1521)*E1521*INDEX(Products!$E$2:$E$49,MATCH(C1521,Products!$A$2:$A$49,0)))</f>
        <v>0</v>
      </c>
    </row>
    <row r="1522" customFormat="false" ht="15" hidden="false" customHeight="false" outlineLevel="0" collapsed="false">
      <c r="A1522" s="36" t="n">
        <v>46258</v>
      </c>
      <c r="B1522" s="24" t="s">
        <v>62</v>
      </c>
      <c r="C1522" s="24" t="s">
        <v>139</v>
      </c>
      <c r="D1522" s="33" t="n">
        <v>190</v>
      </c>
      <c r="E1522" s="24" t="n">
        <v>0</v>
      </c>
      <c r="F1522" s="37" t="n">
        <f aca="false">DATE(YEAR(A1522),MONTH(A1522),1)</f>
        <v>46235</v>
      </c>
      <c r="G1522" s="24" t="str">
        <f aca="false">INDEX(Products!$C$2:$C$49,MATCH(C1522,Products!$A$2:$A$49,0))</f>
        <v>Dairy &amp; Eggs</v>
      </c>
      <c r="H1522" s="33" t="n">
        <f aca="false">D1522*INDEX(Products!$E$2:$E$49,MATCH(C1522,Products!$A$2:$A$49,0))</f>
        <v>98800</v>
      </c>
      <c r="I1522" s="33" t="n">
        <f aca="false">D1522*INDEX(Products!$D$2:$D$49,MATCH(C1522,Products!$A$2:$A$49,0))*(1+INDEX(Assumptions!$B$16:$B$20,MATCH(B1522,Assumptions!$A$16:$A$20,0)))</f>
        <v>82162.08</v>
      </c>
      <c r="J1522" s="33" t="n">
        <f aca="false">H1522-I1522</f>
        <v>16637.92</v>
      </c>
      <c r="K1522" s="33" t="n">
        <f aca="false">IF(OR(E1522=0,E1522&gt;=7),0,D1522/(7-E1522)*E1522*INDEX(Products!$E$2:$E$49,MATCH(C1522,Products!$A$2:$A$49,0)))</f>
        <v>0</v>
      </c>
    </row>
    <row r="1523" customFormat="false" ht="15" hidden="false" customHeight="false" outlineLevel="0" collapsed="false">
      <c r="A1523" s="36" t="n">
        <v>46265</v>
      </c>
      <c r="B1523" s="24" t="s">
        <v>62</v>
      </c>
      <c r="C1523" s="24" t="s">
        <v>139</v>
      </c>
      <c r="D1523" s="33" t="n">
        <v>178</v>
      </c>
      <c r="E1523" s="24" t="n">
        <v>0</v>
      </c>
      <c r="F1523" s="37" t="n">
        <f aca="false">DATE(YEAR(A1523),MONTH(A1523),1)</f>
        <v>46235</v>
      </c>
      <c r="G1523" s="24" t="str">
        <f aca="false">INDEX(Products!$C$2:$C$49,MATCH(C1523,Products!$A$2:$A$49,0))</f>
        <v>Dairy &amp; Eggs</v>
      </c>
      <c r="H1523" s="33" t="n">
        <f aca="false">D1523*INDEX(Products!$E$2:$E$49,MATCH(C1523,Products!$A$2:$A$49,0))</f>
        <v>92560</v>
      </c>
      <c r="I1523" s="33" t="n">
        <f aca="false">D1523*INDEX(Products!$D$2:$D$49,MATCH(C1523,Products!$A$2:$A$49,0))*(1+INDEX(Assumptions!$B$16:$B$20,MATCH(B1523,Assumptions!$A$16:$A$20,0)))</f>
        <v>76972.896</v>
      </c>
      <c r="J1523" s="33" t="n">
        <f aca="false">H1523-I1523</f>
        <v>15587.104</v>
      </c>
      <c r="K1523" s="33" t="n">
        <f aca="false">IF(OR(E1523=0,E1523&gt;=7),0,D1523/(7-E1523)*E1523*INDEX(Products!$E$2:$E$49,MATCH(C1523,Products!$A$2:$A$49,0)))</f>
        <v>0</v>
      </c>
    </row>
    <row r="1524" customFormat="false" ht="15" hidden="false" customHeight="false" outlineLevel="0" collapsed="false">
      <c r="A1524" s="36" t="n">
        <v>46272</v>
      </c>
      <c r="B1524" s="24" t="s">
        <v>62</v>
      </c>
      <c r="C1524" s="24" t="s">
        <v>139</v>
      </c>
      <c r="D1524" s="33" t="n">
        <v>186</v>
      </c>
      <c r="E1524" s="24" t="n">
        <v>0</v>
      </c>
      <c r="F1524" s="37" t="n">
        <f aca="false">DATE(YEAR(A1524),MONTH(A1524),1)</f>
        <v>46266</v>
      </c>
      <c r="G1524" s="24" t="str">
        <f aca="false">INDEX(Products!$C$2:$C$49,MATCH(C1524,Products!$A$2:$A$49,0))</f>
        <v>Dairy &amp; Eggs</v>
      </c>
      <c r="H1524" s="33" t="n">
        <f aca="false">D1524*INDEX(Products!$E$2:$E$49,MATCH(C1524,Products!$A$2:$A$49,0))</f>
        <v>96720</v>
      </c>
      <c r="I1524" s="33" t="n">
        <f aca="false">D1524*INDEX(Products!$D$2:$D$49,MATCH(C1524,Products!$A$2:$A$49,0))*(1+INDEX(Assumptions!$B$16:$B$20,MATCH(B1524,Assumptions!$A$16:$A$20,0)))</f>
        <v>80432.352</v>
      </c>
      <c r="J1524" s="33" t="n">
        <f aca="false">H1524-I1524</f>
        <v>16287.648</v>
      </c>
      <c r="K1524" s="33" t="n">
        <f aca="false">IF(OR(E1524=0,E1524&gt;=7),0,D1524/(7-E1524)*E1524*INDEX(Products!$E$2:$E$49,MATCH(C1524,Products!$A$2:$A$49,0)))</f>
        <v>0</v>
      </c>
    </row>
    <row r="1525" customFormat="false" ht="15" hidden="false" customHeight="false" outlineLevel="0" collapsed="false">
      <c r="A1525" s="36" t="n">
        <v>46279</v>
      </c>
      <c r="B1525" s="24" t="s">
        <v>62</v>
      </c>
      <c r="C1525" s="24" t="s">
        <v>139</v>
      </c>
      <c r="D1525" s="33" t="n">
        <v>152</v>
      </c>
      <c r="E1525" s="24" t="n">
        <v>0</v>
      </c>
      <c r="F1525" s="37" t="n">
        <f aca="false">DATE(YEAR(A1525),MONTH(A1525),1)</f>
        <v>46266</v>
      </c>
      <c r="G1525" s="24" t="str">
        <f aca="false">INDEX(Products!$C$2:$C$49,MATCH(C1525,Products!$A$2:$A$49,0))</f>
        <v>Dairy &amp; Eggs</v>
      </c>
      <c r="H1525" s="33" t="n">
        <f aca="false">D1525*INDEX(Products!$E$2:$E$49,MATCH(C1525,Products!$A$2:$A$49,0))</f>
        <v>79040</v>
      </c>
      <c r="I1525" s="33" t="n">
        <f aca="false">D1525*INDEX(Products!$D$2:$D$49,MATCH(C1525,Products!$A$2:$A$49,0))*(1+INDEX(Assumptions!$B$16:$B$20,MATCH(B1525,Assumptions!$A$16:$A$20,0)))</f>
        <v>65729.664</v>
      </c>
      <c r="J1525" s="33" t="n">
        <f aca="false">H1525-I1525</f>
        <v>13310.336</v>
      </c>
      <c r="K1525" s="33" t="n">
        <f aca="false">IF(OR(E1525=0,E1525&gt;=7),0,D1525/(7-E1525)*E1525*INDEX(Products!$E$2:$E$49,MATCH(C1525,Products!$A$2:$A$49,0)))</f>
        <v>0</v>
      </c>
    </row>
    <row r="1526" customFormat="false" ht="15" hidden="false" customHeight="false" outlineLevel="0" collapsed="false">
      <c r="A1526" s="36" t="n">
        <v>46286</v>
      </c>
      <c r="B1526" s="24" t="s">
        <v>62</v>
      </c>
      <c r="C1526" s="24" t="s">
        <v>139</v>
      </c>
      <c r="D1526" s="33" t="n">
        <v>195</v>
      </c>
      <c r="E1526" s="24" t="n">
        <v>0</v>
      </c>
      <c r="F1526" s="37" t="n">
        <f aca="false">DATE(YEAR(A1526),MONTH(A1526),1)</f>
        <v>46266</v>
      </c>
      <c r="G1526" s="24" t="str">
        <f aca="false">INDEX(Products!$C$2:$C$49,MATCH(C1526,Products!$A$2:$A$49,0))</f>
        <v>Dairy &amp; Eggs</v>
      </c>
      <c r="H1526" s="33" t="n">
        <f aca="false">D1526*INDEX(Products!$E$2:$E$49,MATCH(C1526,Products!$A$2:$A$49,0))</f>
        <v>101400</v>
      </c>
      <c r="I1526" s="33" t="n">
        <f aca="false">D1526*INDEX(Products!$D$2:$D$49,MATCH(C1526,Products!$A$2:$A$49,0))*(1+INDEX(Assumptions!$B$16:$B$20,MATCH(B1526,Assumptions!$A$16:$A$20,0)))</f>
        <v>84324.24</v>
      </c>
      <c r="J1526" s="33" t="n">
        <f aca="false">H1526-I1526</f>
        <v>17075.76</v>
      </c>
      <c r="K1526" s="33" t="n">
        <f aca="false">IF(OR(E1526=0,E1526&gt;=7),0,D1526/(7-E1526)*E1526*INDEX(Products!$E$2:$E$49,MATCH(C1526,Products!$A$2:$A$49,0)))</f>
        <v>0</v>
      </c>
    </row>
    <row r="1527" customFormat="false" ht="15" hidden="false" customHeight="false" outlineLevel="0" collapsed="false">
      <c r="A1527" s="36" t="n">
        <v>46118</v>
      </c>
      <c r="B1527" s="24" t="s">
        <v>62</v>
      </c>
      <c r="C1527" s="24" t="s">
        <v>141</v>
      </c>
      <c r="D1527" s="33" t="n">
        <v>245</v>
      </c>
      <c r="E1527" s="24" t="n">
        <v>0</v>
      </c>
      <c r="F1527" s="37" t="n">
        <f aca="false">DATE(YEAR(A1527),MONTH(A1527),1)</f>
        <v>46113</v>
      </c>
      <c r="G1527" s="24" t="str">
        <f aca="false">INDEX(Products!$C$2:$C$49,MATCH(C1527,Products!$A$2:$A$49,0))</f>
        <v>Dairy &amp; Eggs</v>
      </c>
      <c r="H1527" s="33" t="n">
        <f aca="false">D1527*INDEX(Products!$E$2:$E$49,MATCH(C1527,Products!$A$2:$A$49,0))</f>
        <v>100450</v>
      </c>
      <c r="I1527" s="33" t="n">
        <f aca="false">D1527*INDEX(Products!$D$2:$D$49,MATCH(C1527,Products!$A$2:$A$49,0))*(1+INDEX(Assumptions!$B$16:$B$20,MATCH(B1527,Assumptions!$A$16:$A$20,0)))</f>
        <v>82731.6</v>
      </c>
      <c r="J1527" s="33" t="n">
        <f aca="false">H1527-I1527</f>
        <v>17718.4</v>
      </c>
      <c r="K1527" s="33" t="n">
        <f aca="false">IF(OR(E1527=0,E1527&gt;=7),0,D1527/(7-E1527)*E1527*INDEX(Products!$E$2:$E$49,MATCH(C1527,Products!$A$2:$A$49,0)))</f>
        <v>0</v>
      </c>
    </row>
    <row r="1528" customFormat="false" ht="15" hidden="false" customHeight="false" outlineLevel="0" collapsed="false">
      <c r="A1528" s="36" t="n">
        <v>46125</v>
      </c>
      <c r="B1528" s="24" t="s">
        <v>62</v>
      </c>
      <c r="C1528" s="24" t="s">
        <v>141</v>
      </c>
      <c r="D1528" s="33" t="n">
        <v>228</v>
      </c>
      <c r="E1528" s="24" t="n">
        <v>0</v>
      </c>
      <c r="F1528" s="37" t="n">
        <f aca="false">DATE(YEAR(A1528),MONTH(A1528),1)</f>
        <v>46113</v>
      </c>
      <c r="G1528" s="24" t="str">
        <f aca="false">INDEX(Products!$C$2:$C$49,MATCH(C1528,Products!$A$2:$A$49,0))</f>
        <v>Dairy &amp; Eggs</v>
      </c>
      <c r="H1528" s="33" t="n">
        <f aca="false">D1528*INDEX(Products!$E$2:$E$49,MATCH(C1528,Products!$A$2:$A$49,0))</f>
        <v>93480</v>
      </c>
      <c r="I1528" s="33" t="n">
        <f aca="false">D1528*INDEX(Products!$D$2:$D$49,MATCH(C1528,Products!$A$2:$A$49,0))*(1+INDEX(Assumptions!$B$16:$B$20,MATCH(B1528,Assumptions!$A$16:$A$20,0)))</f>
        <v>76991.04</v>
      </c>
      <c r="J1528" s="33" t="n">
        <f aca="false">H1528-I1528</f>
        <v>16488.96</v>
      </c>
      <c r="K1528" s="33" t="n">
        <f aca="false">IF(OR(E1528=0,E1528&gt;=7),0,D1528/(7-E1528)*E1528*INDEX(Products!$E$2:$E$49,MATCH(C1528,Products!$A$2:$A$49,0)))</f>
        <v>0</v>
      </c>
    </row>
    <row r="1529" customFormat="false" ht="15" hidden="false" customHeight="false" outlineLevel="0" collapsed="false">
      <c r="A1529" s="36" t="n">
        <v>46132</v>
      </c>
      <c r="B1529" s="24" t="s">
        <v>62</v>
      </c>
      <c r="C1529" s="24" t="s">
        <v>141</v>
      </c>
      <c r="D1529" s="33" t="n">
        <v>267</v>
      </c>
      <c r="E1529" s="24" t="n">
        <v>0</v>
      </c>
      <c r="F1529" s="37" t="n">
        <f aca="false">DATE(YEAR(A1529),MONTH(A1529),1)</f>
        <v>46113</v>
      </c>
      <c r="G1529" s="24" t="str">
        <f aca="false">INDEX(Products!$C$2:$C$49,MATCH(C1529,Products!$A$2:$A$49,0))</f>
        <v>Dairy &amp; Eggs</v>
      </c>
      <c r="H1529" s="33" t="n">
        <f aca="false">D1529*INDEX(Products!$E$2:$E$49,MATCH(C1529,Products!$A$2:$A$49,0))</f>
        <v>109470</v>
      </c>
      <c r="I1529" s="33" t="n">
        <f aca="false">D1529*INDEX(Products!$D$2:$D$49,MATCH(C1529,Products!$A$2:$A$49,0))*(1+INDEX(Assumptions!$B$16:$B$20,MATCH(B1529,Assumptions!$A$16:$A$20,0)))</f>
        <v>90160.56</v>
      </c>
      <c r="J1529" s="33" t="n">
        <f aca="false">H1529-I1529</f>
        <v>19309.44</v>
      </c>
      <c r="K1529" s="33" t="n">
        <f aca="false">IF(OR(E1529=0,E1529&gt;=7),0,D1529/(7-E1529)*E1529*INDEX(Products!$E$2:$E$49,MATCH(C1529,Products!$A$2:$A$49,0)))</f>
        <v>0</v>
      </c>
    </row>
    <row r="1530" customFormat="false" ht="15" hidden="false" customHeight="false" outlineLevel="0" collapsed="false">
      <c r="A1530" s="36" t="n">
        <v>46139</v>
      </c>
      <c r="B1530" s="24" t="s">
        <v>62</v>
      </c>
      <c r="C1530" s="24" t="s">
        <v>141</v>
      </c>
      <c r="D1530" s="33" t="n">
        <v>292</v>
      </c>
      <c r="E1530" s="24" t="n">
        <v>0</v>
      </c>
      <c r="F1530" s="37" t="n">
        <f aca="false">DATE(YEAR(A1530),MONTH(A1530),1)</f>
        <v>46113</v>
      </c>
      <c r="G1530" s="24" t="str">
        <f aca="false">INDEX(Products!$C$2:$C$49,MATCH(C1530,Products!$A$2:$A$49,0))</f>
        <v>Dairy &amp; Eggs</v>
      </c>
      <c r="H1530" s="33" t="n">
        <f aca="false">D1530*INDEX(Products!$E$2:$E$49,MATCH(C1530,Products!$A$2:$A$49,0))</f>
        <v>119720</v>
      </c>
      <c r="I1530" s="33" t="n">
        <f aca="false">D1530*INDEX(Products!$D$2:$D$49,MATCH(C1530,Products!$A$2:$A$49,0))*(1+INDEX(Assumptions!$B$16:$B$20,MATCH(B1530,Assumptions!$A$16:$A$20,0)))</f>
        <v>98602.56</v>
      </c>
      <c r="J1530" s="33" t="n">
        <f aca="false">H1530-I1530</f>
        <v>21117.44</v>
      </c>
      <c r="K1530" s="33" t="n">
        <f aca="false">IF(OR(E1530=0,E1530&gt;=7),0,D1530/(7-E1530)*E1530*INDEX(Products!$E$2:$E$49,MATCH(C1530,Products!$A$2:$A$49,0)))</f>
        <v>0</v>
      </c>
    </row>
    <row r="1531" customFormat="false" ht="15" hidden="false" customHeight="false" outlineLevel="0" collapsed="false">
      <c r="A1531" s="36" t="n">
        <v>46146</v>
      </c>
      <c r="B1531" s="24" t="s">
        <v>62</v>
      </c>
      <c r="C1531" s="24" t="s">
        <v>141</v>
      </c>
      <c r="D1531" s="33" t="n">
        <v>216</v>
      </c>
      <c r="E1531" s="24" t="n">
        <v>0</v>
      </c>
      <c r="F1531" s="37" t="n">
        <f aca="false">DATE(YEAR(A1531),MONTH(A1531),1)</f>
        <v>46143</v>
      </c>
      <c r="G1531" s="24" t="str">
        <f aca="false">INDEX(Products!$C$2:$C$49,MATCH(C1531,Products!$A$2:$A$49,0))</f>
        <v>Dairy &amp; Eggs</v>
      </c>
      <c r="H1531" s="33" t="n">
        <f aca="false">D1531*INDEX(Products!$E$2:$E$49,MATCH(C1531,Products!$A$2:$A$49,0))</f>
        <v>88560</v>
      </c>
      <c r="I1531" s="33" t="n">
        <f aca="false">D1531*INDEX(Products!$D$2:$D$49,MATCH(C1531,Products!$A$2:$A$49,0))*(1+INDEX(Assumptions!$B$16:$B$20,MATCH(B1531,Assumptions!$A$16:$A$20,0)))</f>
        <v>72938.88</v>
      </c>
      <c r="J1531" s="33" t="n">
        <f aca="false">H1531-I1531</f>
        <v>15621.12</v>
      </c>
      <c r="K1531" s="33" t="n">
        <f aca="false">IF(OR(E1531=0,E1531&gt;=7),0,D1531/(7-E1531)*E1531*INDEX(Products!$E$2:$E$49,MATCH(C1531,Products!$A$2:$A$49,0)))</f>
        <v>0</v>
      </c>
    </row>
    <row r="1532" customFormat="false" ht="15" hidden="false" customHeight="false" outlineLevel="0" collapsed="false">
      <c r="A1532" s="36" t="n">
        <v>46153</v>
      </c>
      <c r="B1532" s="24" t="s">
        <v>62</v>
      </c>
      <c r="C1532" s="24" t="s">
        <v>141</v>
      </c>
      <c r="D1532" s="33" t="n">
        <v>257</v>
      </c>
      <c r="E1532" s="24" t="n">
        <v>0</v>
      </c>
      <c r="F1532" s="37" t="n">
        <f aca="false">DATE(YEAR(A1532),MONTH(A1532),1)</f>
        <v>46143</v>
      </c>
      <c r="G1532" s="24" t="str">
        <f aca="false">INDEX(Products!$C$2:$C$49,MATCH(C1532,Products!$A$2:$A$49,0))</f>
        <v>Dairy &amp; Eggs</v>
      </c>
      <c r="H1532" s="33" t="n">
        <f aca="false">D1532*INDEX(Products!$E$2:$E$49,MATCH(C1532,Products!$A$2:$A$49,0))</f>
        <v>105370</v>
      </c>
      <c r="I1532" s="33" t="n">
        <f aca="false">D1532*INDEX(Products!$D$2:$D$49,MATCH(C1532,Products!$A$2:$A$49,0))*(1+INDEX(Assumptions!$B$16:$B$20,MATCH(B1532,Assumptions!$A$16:$A$20,0)))</f>
        <v>86783.76</v>
      </c>
      <c r="J1532" s="33" t="n">
        <f aca="false">H1532-I1532</f>
        <v>18586.24</v>
      </c>
      <c r="K1532" s="33" t="n">
        <f aca="false">IF(OR(E1532=0,E1532&gt;=7),0,D1532/(7-E1532)*E1532*INDEX(Products!$E$2:$E$49,MATCH(C1532,Products!$A$2:$A$49,0)))</f>
        <v>0</v>
      </c>
    </row>
    <row r="1533" customFormat="false" ht="15" hidden="false" customHeight="false" outlineLevel="0" collapsed="false">
      <c r="A1533" s="36" t="n">
        <v>46160</v>
      </c>
      <c r="B1533" s="24" t="s">
        <v>62</v>
      </c>
      <c r="C1533" s="24" t="s">
        <v>141</v>
      </c>
      <c r="D1533" s="33" t="n">
        <v>227</v>
      </c>
      <c r="E1533" s="24" t="n">
        <v>0</v>
      </c>
      <c r="F1533" s="37" t="n">
        <f aca="false">DATE(YEAR(A1533),MONTH(A1533),1)</f>
        <v>46143</v>
      </c>
      <c r="G1533" s="24" t="str">
        <f aca="false">INDEX(Products!$C$2:$C$49,MATCH(C1533,Products!$A$2:$A$49,0))</f>
        <v>Dairy &amp; Eggs</v>
      </c>
      <c r="H1533" s="33" t="n">
        <f aca="false">D1533*INDEX(Products!$E$2:$E$49,MATCH(C1533,Products!$A$2:$A$49,0))</f>
        <v>93070</v>
      </c>
      <c r="I1533" s="33" t="n">
        <f aca="false">D1533*INDEX(Products!$D$2:$D$49,MATCH(C1533,Products!$A$2:$A$49,0))*(1+INDEX(Assumptions!$B$16:$B$20,MATCH(B1533,Assumptions!$A$16:$A$20,0)))</f>
        <v>76653.36</v>
      </c>
      <c r="J1533" s="33" t="n">
        <f aca="false">H1533-I1533</f>
        <v>16416.64</v>
      </c>
      <c r="K1533" s="33" t="n">
        <f aca="false">IF(OR(E1533=0,E1533&gt;=7),0,D1533/(7-E1533)*E1533*INDEX(Products!$E$2:$E$49,MATCH(C1533,Products!$A$2:$A$49,0)))</f>
        <v>0</v>
      </c>
    </row>
    <row r="1534" customFormat="false" ht="15" hidden="false" customHeight="false" outlineLevel="0" collapsed="false">
      <c r="A1534" s="36" t="n">
        <v>46167</v>
      </c>
      <c r="B1534" s="24" t="s">
        <v>62</v>
      </c>
      <c r="C1534" s="24" t="s">
        <v>141</v>
      </c>
      <c r="D1534" s="33" t="n">
        <v>296</v>
      </c>
      <c r="E1534" s="24" t="n">
        <v>0</v>
      </c>
      <c r="F1534" s="37" t="n">
        <f aca="false">DATE(YEAR(A1534),MONTH(A1534),1)</f>
        <v>46143</v>
      </c>
      <c r="G1534" s="24" t="str">
        <f aca="false">INDEX(Products!$C$2:$C$49,MATCH(C1534,Products!$A$2:$A$49,0))</f>
        <v>Dairy &amp; Eggs</v>
      </c>
      <c r="H1534" s="33" t="n">
        <f aca="false">D1534*INDEX(Products!$E$2:$E$49,MATCH(C1534,Products!$A$2:$A$49,0))</f>
        <v>121360</v>
      </c>
      <c r="I1534" s="33" t="n">
        <f aca="false">D1534*INDEX(Products!$D$2:$D$49,MATCH(C1534,Products!$A$2:$A$49,0))*(1+INDEX(Assumptions!$B$16:$B$20,MATCH(B1534,Assumptions!$A$16:$A$20,0)))</f>
        <v>99953.28</v>
      </c>
      <c r="J1534" s="33" t="n">
        <f aca="false">H1534-I1534</f>
        <v>21406.72</v>
      </c>
      <c r="K1534" s="33" t="n">
        <f aca="false">IF(OR(E1534=0,E1534&gt;=7),0,D1534/(7-E1534)*E1534*INDEX(Products!$E$2:$E$49,MATCH(C1534,Products!$A$2:$A$49,0)))</f>
        <v>0</v>
      </c>
    </row>
    <row r="1535" customFormat="false" ht="15" hidden="false" customHeight="false" outlineLevel="0" collapsed="false">
      <c r="A1535" s="36" t="n">
        <v>46174</v>
      </c>
      <c r="B1535" s="24" t="s">
        <v>62</v>
      </c>
      <c r="C1535" s="24" t="s">
        <v>141</v>
      </c>
      <c r="D1535" s="33" t="n">
        <v>232</v>
      </c>
      <c r="E1535" s="24" t="n">
        <v>0</v>
      </c>
      <c r="F1535" s="37" t="n">
        <f aca="false">DATE(YEAR(A1535),MONTH(A1535),1)</f>
        <v>46174</v>
      </c>
      <c r="G1535" s="24" t="str">
        <f aca="false">INDEX(Products!$C$2:$C$49,MATCH(C1535,Products!$A$2:$A$49,0))</f>
        <v>Dairy &amp; Eggs</v>
      </c>
      <c r="H1535" s="33" t="n">
        <f aca="false">D1535*INDEX(Products!$E$2:$E$49,MATCH(C1535,Products!$A$2:$A$49,0))</f>
        <v>95120</v>
      </c>
      <c r="I1535" s="33" t="n">
        <f aca="false">D1535*INDEX(Products!$D$2:$D$49,MATCH(C1535,Products!$A$2:$A$49,0))*(1+INDEX(Assumptions!$B$16:$B$20,MATCH(B1535,Assumptions!$A$16:$A$20,0)))</f>
        <v>78341.76</v>
      </c>
      <c r="J1535" s="33" t="n">
        <f aca="false">H1535-I1535</f>
        <v>16778.24</v>
      </c>
      <c r="K1535" s="33" t="n">
        <f aca="false">IF(OR(E1535=0,E1535&gt;=7),0,D1535/(7-E1535)*E1535*INDEX(Products!$E$2:$E$49,MATCH(C1535,Products!$A$2:$A$49,0)))</f>
        <v>0</v>
      </c>
    </row>
    <row r="1536" customFormat="false" ht="15" hidden="false" customHeight="false" outlineLevel="0" collapsed="false">
      <c r="A1536" s="36" t="n">
        <v>46181</v>
      </c>
      <c r="B1536" s="24" t="s">
        <v>62</v>
      </c>
      <c r="C1536" s="24" t="s">
        <v>141</v>
      </c>
      <c r="D1536" s="33" t="n">
        <v>157</v>
      </c>
      <c r="E1536" s="24" t="n">
        <v>2</v>
      </c>
      <c r="F1536" s="37" t="n">
        <f aca="false">DATE(YEAR(A1536),MONTH(A1536),1)</f>
        <v>46174</v>
      </c>
      <c r="G1536" s="24" t="str">
        <f aca="false">INDEX(Products!$C$2:$C$49,MATCH(C1536,Products!$A$2:$A$49,0))</f>
        <v>Dairy &amp; Eggs</v>
      </c>
      <c r="H1536" s="33" t="n">
        <f aca="false">D1536*INDEX(Products!$E$2:$E$49,MATCH(C1536,Products!$A$2:$A$49,0))</f>
        <v>64370</v>
      </c>
      <c r="I1536" s="33" t="n">
        <f aca="false">D1536*INDEX(Products!$D$2:$D$49,MATCH(C1536,Products!$A$2:$A$49,0))*(1+INDEX(Assumptions!$B$16:$B$20,MATCH(B1536,Assumptions!$A$16:$A$20,0)))</f>
        <v>53015.76</v>
      </c>
      <c r="J1536" s="33" t="n">
        <f aca="false">H1536-I1536</f>
        <v>11354.24</v>
      </c>
      <c r="K1536" s="33" t="n">
        <f aca="false">IF(OR(E1536=0,E1536&gt;=7),0,D1536/(7-E1536)*E1536*INDEX(Products!$E$2:$E$49,MATCH(C1536,Products!$A$2:$A$49,0)))</f>
        <v>25748</v>
      </c>
    </row>
    <row r="1537" customFormat="false" ht="15" hidden="false" customHeight="false" outlineLevel="0" collapsed="false">
      <c r="A1537" s="36" t="n">
        <v>46188</v>
      </c>
      <c r="B1537" s="24" t="s">
        <v>62</v>
      </c>
      <c r="C1537" s="24" t="s">
        <v>141</v>
      </c>
      <c r="D1537" s="33" t="n">
        <v>244</v>
      </c>
      <c r="E1537" s="24" t="n">
        <v>0</v>
      </c>
      <c r="F1537" s="37" t="n">
        <f aca="false">DATE(YEAR(A1537),MONTH(A1537),1)</f>
        <v>46174</v>
      </c>
      <c r="G1537" s="24" t="str">
        <f aca="false">INDEX(Products!$C$2:$C$49,MATCH(C1537,Products!$A$2:$A$49,0))</f>
        <v>Dairy &amp; Eggs</v>
      </c>
      <c r="H1537" s="33" t="n">
        <f aca="false">D1537*INDEX(Products!$E$2:$E$49,MATCH(C1537,Products!$A$2:$A$49,0))</f>
        <v>100040</v>
      </c>
      <c r="I1537" s="33" t="n">
        <f aca="false">D1537*INDEX(Products!$D$2:$D$49,MATCH(C1537,Products!$A$2:$A$49,0))*(1+INDEX(Assumptions!$B$16:$B$20,MATCH(B1537,Assumptions!$A$16:$A$20,0)))</f>
        <v>82393.92</v>
      </c>
      <c r="J1537" s="33" t="n">
        <f aca="false">H1537-I1537</f>
        <v>17646.08</v>
      </c>
      <c r="K1537" s="33" t="n">
        <f aca="false">IF(OR(E1537=0,E1537&gt;=7),0,D1537/(7-E1537)*E1537*INDEX(Products!$E$2:$E$49,MATCH(C1537,Products!$A$2:$A$49,0)))</f>
        <v>0</v>
      </c>
    </row>
    <row r="1538" customFormat="false" ht="15" hidden="false" customHeight="false" outlineLevel="0" collapsed="false">
      <c r="A1538" s="36" t="n">
        <v>46195</v>
      </c>
      <c r="B1538" s="24" t="s">
        <v>62</v>
      </c>
      <c r="C1538" s="24" t="s">
        <v>141</v>
      </c>
      <c r="D1538" s="33" t="n">
        <v>213</v>
      </c>
      <c r="E1538" s="24" t="n">
        <v>0</v>
      </c>
      <c r="F1538" s="37" t="n">
        <f aca="false">DATE(YEAR(A1538),MONTH(A1538),1)</f>
        <v>46174</v>
      </c>
      <c r="G1538" s="24" t="str">
        <f aca="false">INDEX(Products!$C$2:$C$49,MATCH(C1538,Products!$A$2:$A$49,0))</f>
        <v>Dairy &amp; Eggs</v>
      </c>
      <c r="H1538" s="33" t="n">
        <f aca="false">D1538*INDEX(Products!$E$2:$E$49,MATCH(C1538,Products!$A$2:$A$49,0))</f>
        <v>87330</v>
      </c>
      <c r="I1538" s="33" t="n">
        <f aca="false">D1538*INDEX(Products!$D$2:$D$49,MATCH(C1538,Products!$A$2:$A$49,0))*(1+INDEX(Assumptions!$B$16:$B$20,MATCH(B1538,Assumptions!$A$16:$A$20,0)))</f>
        <v>71925.84</v>
      </c>
      <c r="J1538" s="33" t="n">
        <f aca="false">H1538-I1538</f>
        <v>15404.16</v>
      </c>
      <c r="K1538" s="33" t="n">
        <f aca="false">IF(OR(E1538=0,E1538&gt;=7),0,D1538/(7-E1538)*E1538*INDEX(Products!$E$2:$E$49,MATCH(C1538,Products!$A$2:$A$49,0)))</f>
        <v>0</v>
      </c>
    </row>
    <row r="1539" customFormat="false" ht="15" hidden="false" customHeight="false" outlineLevel="0" collapsed="false">
      <c r="A1539" s="36" t="n">
        <v>46202</v>
      </c>
      <c r="B1539" s="24" t="s">
        <v>62</v>
      </c>
      <c r="C1539" s="24" t="s">
        <v>141</v>
      </c>
      <c r="D1539" s="33" t="n">
        <v>227</v>
      </c>
      <c r="E1539" s="24" t="n">
        <v>0</v>
      </c>
      <c r="F1539" s="37" t="n">
        <f aca="false">DATE(YEAR(A1539),MONTH(A1539),1)</f>
        <v>46174</v>
      </c>
      <c r="G1539" s="24" t="str">
        <f aca="false">INDEX(Products!$C$2:$C$49,MATCH(C1539,Products!$A$2:$A$49,0))</f>
        <v>Dairy &amp; Eggs</v>
      </c>
      <c r="H1539" s="33" t="n">
        <f aca="false">D1539*INDEX(Products!$E$2:$E$49,MATCH(C1539,Products!$A$2:$A$49,0))</f>
        <v>93070</v>
      </c>
      <c r="I1539" s="33" t="n">
        <f aca="false">D1539*INDEX(Products!$D$2:$D$49,MATCH(C1539,Products!$A$2:$A$49,0))*(1+INDEX(Assumptions!$B$16:$B$20,MATCH(B1539,Assumptions!$A$16:$A$20,0)))</f>
        <v>76653.36</v>
      </c>
      <c r="J1539" s="33" t="n">
        <f aca="false">H1539-I1539</f>
        <v>16416.64</v>
      </c>
      <c r="K1539" s="33" t="n">
        <f aca="false">IF(OR(E1539=0,E1539&gt;=7),0,D1539/(7-E1539)*E1539*INDEX(Products!$E$2:$E$49,MATCH(C1539,Products!$A$2:$A$49,0)))</f>
        <v>0</v>
      </c>
    </row>
    <row r="1540" customFormat="false" ht="15" hidden="false" customHeight="false" outlineLevel="0" collapsed="false">
      <c r="A1540" s="36" t="n">
        <v>46209</v>
      </c>
      <c r="B1540" s="24" t="s">
        <v>62</v>
      </c>
      <c r="C1540" s="24" t="s">
        <v>141</v>
      </c>
      <c r="D1540" s="33" t="n">
        <v>221</v>
      </c>
      <c r="E1540" s="24" t="n">
        <v>0</v>
      </c>
      <c r="F1540" s="37" t="n">
        <f aca="false">DATE(YEAR(A1540),MONTH(A1540),1)</f>
        <v>46204</v>
      </c>
      <c r="G1540" s="24" t="str">
        <f aca="false">INDEX(Products!$C$2:$C$49,MATCH(C1540,Products!$A$2:$A$49,0))</f>
        <v>Dairy &amp; Eggs</v>
      </c>
      <c r="H1540" s="33" t="n">
        <f aca="false">D1540*INDEX(Products!$E$2:$E$49,MATCH(C1540,Products!$A$2:$A$49,0))</f>
        <v>90610</v>
      </c>
      <c r="I1540" s="33" t="n">
        <f aca="false">D1540*INDEX(Products!$D$2:$D$49,MATCH(C1540,Products!$A$2:$A$49,0))*(1+INDEX(Assumptions!$B$16:$B$20,MATCH(B1540,Assumptions!$A$16:$A$20,0)))</f>
        <v>74627.28</v>
      </c>
      <c r="J1540" s="33" t="n">
        <f aca="false">H1540-I1540</f>
        <v>15982.72</v>
      </c>
      <c r="K1540" s="33" t="n">
        <f aca="false">IF(OR(E1540=0,E1540&gt;=7),0,D1540/(7-E1540)*E1540*INDEX(Products!$E$2:$E$49,MATCH(C1540,Products!$A$2:$A$49,0)))</f>
        <v>0</v>
      </c>
    </row>
    <row r="1541" customFormat="false" ht="15" hidden="false" customHeight="false" outlineLevel="0" collapsed="false">
      <c r="A1541" s="36" t="n">
        <v>46216</v>
      </c>
      <c r="B1541" s="24" t="s">
        <v>62</v>
      </c>
      <c r="C1541" s="24" t="s">
        <v>141</v>
      </c>
      <c r="D1541" s="33" t="n">
        <v>229</v>
      </c>
      <c r="E1541" s="24" t="n">
        <v>0</v>
      </c>
      <c r="F1541" s="37" t="n">
        <f aca="false">DATE(YEAR(A1541),MONTH(A1541),1)</f>
        <v>46204</v>
      </c>
      <c r="G1541" s="24" t="str">
        <f aca="false">INDEX(Products!$C$2:$C$49,MATCH(C1541,Products!$A$2:$A$49,0))</f>
        <v>Dairy &amp; Eggs</v>
      </c>
      <c r="H1541" s="33" t="n">
        <f aca="false">D1541*INDEX(Products!$E$2:$E$49,MATCH(C1541,Products!$A$2:$A$49,0))</f>
        <v>93890</v>
      </c>
      <c r="I1541" s="33" t="n">
        <f aca="false">D1541*INDEX(Products!$D$2:$D$49,MATCH(C1541,Products!$A$2:$A$49,0))*(1+INDEX(Assumptions!$B$16:$B$20,MATCH(B1541,Assumptions!$A$16:$A$20,0)))</f>
        <v>77328.72</v>
      </c>
      <c r="J1541" s="33" t="n">
        <f aca="false">H1541-I1541</f>
        <v>16561.28</v>
      </c>
      <c r="K1541" s="33" t="n">
        <f aca="false">IF(OR(E1541=0,E1541&gt;=7),0,D1541/(7-E1541)*E1541*INDEX(Products!$E$2:$E$49,MATCH(C1541,Products!$A$2:$A$49,0)))</f>
        <v>0</v>
      </c>
    </row>
    <row r="1542" customFormat="false" ht="15" hidden="false" customHeight="false" outlineLevel="0" collapsed="false">
      <c r="A1542" s="36" t="n">
        <v>46223</v>
      </c>
      <c r="B1542" s="24" t="s">
        <v>62</v>
      </c>
      <c r="C1542" s="24" t="s">
        <v>141</v>
      </c>
      <c r="D1542" s="33" t="n">
        <v>253</v>
      </c>
      <c r="E1542" s="24" t="n">
        <v>0</v>
      </c>
      <c r="F1542" s="37" t="n">
        <f aca="false">DATE(YEAR(A1542),MONTH(A1542),1)</f>
        <v>46204</v>
      </c>
      <c r="G1542" s="24" t="str">
        <f aca="false">INDEX(Products!$C$2:$C$49,MATCH(C1542,Products!$A$2:$A$49,0))</f>
        <v>Dairy &amp; Eggs</v>
      </c>
      <c r="H1542" s="33" t="n">
        <f aca="false">D1542*INDEX(Products!$E$2:$E$49,MATCH(C1542,Products!$A$2:$A$49,0))</f>
        <v>103730</v>
      </c>
      <c r="I1542" s="33" t="n">
        <f aca="false">D1542*INDEX(Products!$D$2:$D$49,MATCH(C1542,Products!$A$2:$A$49,0))*(1+INDEX(Assumptions!$B$16:$B$20,MATCH(B1542,Assumptions!$A$16:$A$20,0)))</f>
        <v>85433.04</v>
      </c>
      <c r="J1542" s="33" t="n">
        <f aca="false">H1542-I1542</f>
        <v>18296.96</v>
      </c>
      <c r="K1542" s="33" t="n">
        <f aca="false">IF(OR(E1542=0,E1542&gt;=7),0,D1542/(7-E1542)*E1542*INDEX(Products!$E$2:$E$49,MATCH(C1542,Products!$A$2:$A$49,0)))</f>
        <v>0</v>
      </c>
    </row>
    <row r="1543" customFormat="false" ht="15" hidden="false" customHeight="false" outlineLevel="0" collapsed="false">
      <c r="A1543" s="36" t="n">
        <v>46230</v>
      </c>
      <c r="B1543" s="24" t="s">
        <v>62</v>
      </c>
      <c r="C1543" s="24" t="s">
        <v>141</v>
      </c>
      <c r="D1543" s="33" t="n">
        <v>259</v>
      </c>
      <c r="E1543" s="24" t="n">
        <v>0</v>
      </c>
      <c r="F1543" s="37" t="n">
        <f aca="false">DATE(YEAR(A1543),MONTH(A1543),1)</f>
        <v>46204</v>
      </c>
      <c r="G1543" s="24" t="str">
        <f aca="false">INDEX(Products!$C$2:$C$49,MATCH(C1543,Products!$A$2:$A$49,0))</f>
        <v>Dairy &amp; Eggs</v>
      </c>
      <c r="H1543" s="33" t="n">
        <f aca="false">D1543*INDEX(Products!$E$2:$E$49,MATCH(C1543,Products!$A$2:$A$49,0))</f>
        <v>106190</v>
      </c>
      <c r="I1543" s="33" t="n">
        <f aca="false">D1543*INDEX(Products!$D$2:$D$49,MATCH(C1543,Products!$A$2:$A$49,0))*(1+INDEX(Assumptions!$B$16:$B$20,MATCH(B1543,Assumptions!$A$16:$A$20,0)))</f>
        <v>87459.12</v>
      </c>
      <c r="J1543" s="33" t="n">
        <f aca="false">H1543-I1543</f>
        <v>18730.88</v>
      </c>
      <c r="K1543" s="33" t="n">
        <f aca="false">IF(OR(E1543=0,E1543&gt;=7),0,D1543/(7-E1543)*E1543*INDEX(Products!$E$2:$E$49,MATCH(C1543,Products!$A$2:$A$49,0)))</f>
        <v>0</v>
      </c>
    </row>
    <row r="1544" customFormat="false" ht="15" hidden="false" customHeight="false" outlineLevel="0" collapsed="false">
      <c r="A1544" s="36" t="n">
        <v>46237</v>
      </c>
      <c r="B1544" s="24" t="s">
        <v>62</v>
      </c>
      <c r="C1544" s="24" t="s">
        <v>141</v>
      </c>
      <c r="D1544" s="33" t="n">
        <v>225</v>
      </c>
      <c r="E1544" s="24" t="n">
        <v>0</v>
      </c>
      <c r="F1544" s="37" t="n">
        <f aca="false">DATE(YEAR(A1544),MONTH(A1544),1)</f>
        <v>46235</v>
      </c>
      <c r="G1544" s="24" t="str">
        <f aca="false">INDEX(Products!$C$2:$C$49,MATCH(C1544,Products!$A$2:$A$49,0))</f>
        <v>Dairy &amp; Eggs</v>
      </c>
      <c r="H1544" s="33" t="n">
        <f aca="false">D1544*INDEX(Products!$E$2:$E$49,MATCH(C1544,Products!$A$2:$A$49,0))</f>
        <v>92250</v>
      </c>
      <c r="I1544" s="33" t="n">
        <f aca="false">D1544*INDEX(Products!$D$2:$D$49,MATCH(C1544,Products!$A$2:$A$49,0))*(1+INDEX(Assumptions!$B$16:$B$20,MATCH(B1544,Assumptions!$A$16:$A$20,0)))</f>
        <v>75978</v>
      </c>
      <c r="J1544" s="33" t="n">
        <f aca="false">H1544-I1544</f>
        <v>16272</v>
      </c>
      <c r="K1544" s="33" t="n">
        <f aca="false">IF(OR(E1544=0,E1544&gt;=7),0,D1544/(7-E1544)*E1544*INDEX(Products!$E$2:$E$49,MATCH(C1544,Products!$A$2:$A$49,0)))</f>
        <v>0</v>
      </c>
    </row>
    <row r="1545" customFormat="false" ht="15" hidden="false" customHeight="false" outlineLevel="0" collapsed="false">
      <c r="A1545" s="36" t="n">
        <v>46244</v>
      </c>
      <c r="B1545" s="24" t="s">
        <v>62</v>
      </c>
      <c r="C1545" s="24" t="s">
        <v>141</v>
      </c>
      <c r="D1545" s="33" t="n">
        <v>221</v>
      </c>
      <c r="E1545" s="24" t="n">
        <v>0</v>
      </c>
      <c r="F1545" s="37" t="n">
        <f aca="false">DATE(YEAR(A1545),MONTH(A1545),1)</f>
        <v>46235</v>
      </c>
      <c r="G1545" s="24" t="str">
        <f aca="false">INDEX(Products!$C$2:$C$49,MATCH(C1545,Products!$A$2:$A$49,0))</f>
        <v>Dairy &amp; Eggs</v>
      </c>
      <c r="H1545" s="33" t="n">
        <f aca="false">D1545*INDEX(Products!$E$2:$E$49,MATCH(C1545,Products!$A$2:$A$49,0))</f>
        <v>90610</v>
      </c>
      <c r="I1545" s="33" t="n">
        <f aca="false">D1545*INDEX(Products!$D$2:$D$49,MATCH(C1545,Products!$A$2:$A$49,0))*(1+INDEX(Assumptions!$B$16:$B$20,MATCH(B1545,Assumptions!$A$16:$A$20,0)))</f>
        <v>74627.28</v>
      </c>
      <c r="J1545" s="33" t="n">
        <f aca="false">H1545-I1545</f>
        <v>15982.72</v>
      </c>
      <c r="K1545" s="33" t="n">
        <f aca="false">IF(OR(E1545=0,E1545&gt;=7),0,D1545/(7-E1545)*E1545*INDEX(Products!$E$2:$E$49,MATCH(C1545,Products!$A$2:$A$49,0)))</f>
        <v>0</v>
      </c>
    </row>
    <row r="1546" customFormat="false" ht="15" hidden="false" customHeight="false" outlineLevel="0" collapsed="false">
      <c r="A1546" s="36" t="n">
        <v>46251</v>
      </c>
      <c r="B1546" s="24" t="s">
        <v>62</v>
      </c>
      <c r="C1546" s="24" t="s">
        <v>141</v>
      </c>
      <c r="D1546" s="33" t="n">
        <v>208</v>
      </c>
      <c r="E1546" s="24" t="n">
        <v>0</v>
      </c>
      <c r="F1546" s="37" t="n">
        <f aca="false">DATE(YEAR(A1546),MONTH(A1546),1)</f>
        <v>46235</v>
      </c>
      <c r="G1546" s="24" t="str">
        <f aca="false">INDEX(Products!$C$2:$C$49,MATCH(C1546,Products!$A$2:$A$49,0))</f>
        <v>Dairy &amp; Eggs</v>
      </c>
      <c r="H1546" s="33" t="n">
        <f aca="false">D1546*INDEX(Products!$E$2:$E$49,MATCH(C1546,Products!$A$2:$A$49,0))</f>
        <v>85280</v>
      </c>
      <c r="I1546" s="33" t="n">
        <f aca="false">D1546*INDEX(Products!$D$2:$D$49,MATCH(C1546,Products!$A$2:$A$49,0))*(1+INDEX(Assumptions!$B$16:$B$20,MATCH(B1546,Assumptions!$A$16:$A$20,0)))</f>
        <v>70237.44</v>
      </c>
      <c r="J1546" s="33" t="n">
        <f aca="false">H1546-I1546</f>
        <v>15042.56</v>
      </c>
      <c r="K1546" s="33" t="n">
        <f aca="false">IF(OR(E1546=0,E1546&gt;=7),0,D1546/(7-E1546)*E1546*INDEX(Products!$E$2:$E$49,MATCH(C1546,Products!$A$2:$A$49,0)))</f>
        <v>0</v>
      </c>
    </row>
    <row r="1547" customFormat="false" ht="15" hidden="false" customHeight="false" outlineLevel="0" collapsed="false">
      <c r="A1547" s="36" t="n">
        <v>46258</v>
      </c>
      <c r="B1547" s="24" t="s">
        <v>62</v>
      </c>
      <c r="C1547" s="24" t="s">
        <v>141</v>
      </c>
      <c r="D1547" s="33" t="n">
        <v>239</v>
      </c>
      <c r="E1547" s="24" t="n">
        <v>0</v>
      </c>
      <c r="F1547" s="37" t="n">
        <f aca="false">DATE(YEAR(A1547),MONTH(A1547),1)</f>
        <v>46235</v>
      </c>
      <c r="G1547" s="24" t="str">
        <f aca="false">INDEX(Products!$C$2:$C$49,MATCH(C1547,Products!$A$2:$A$49,0))</f>
        <v>Dairy &amp; Eggs</v>
      </c>
      <c r="H1547" s="33" t="n">
        <f aca="false">D1547*INDEX(Products!$E$2:$E$49,MATCH(C1547,Products!$A$2:$A$49,0))</f>
        <v>97990</v>
      </c>
      <c r="I1547" s="33" t="n">
        <f aca="false">D1547*INDEX(Products!$D$2:$D$49,MATCH(C1547,Products!$A$2:$A$49,0))*(1+INDEX(Assumptions!$B$16:$B$20,MATCH(B1547,Assumptions!$A$16:$A$20,0)))</f>
        <v>80705.52</v>
      </c>
      <c r="J1547" s="33" t="n">
        <f aca="false">H1547-I1547</f>
        <v>17284.48</v>
      </c>
      <c r="K1547" s="33" t="n">
        <f aca="false">IF(OR(E1547=0,E1547&gt;=7),0,D1547/(7-E1547)*E1547*INDEX(Products!$E$2:$E$49,MATCH(C1547,Products!$A$2:$A$49,0)))</f>
        <v>0</v>
      </c>
    </row>
    <row r="1548" customFormat="false" ht="15" hidden="false" customHeight="false" outlineLevel="0" collapsed="false">
      <c r="A1548" s="36" t="n">
        <v>46265</v>
      </c>
      <c r="B1548" s="24" t="s">
        <v>62</v>
      </c>
      <c r="C1548" s="24" t="s">
        <v>141</v>
      </c>
      <c r="D1548" s="33" t="n">
        <v>262</v>
      </c>
      <c r="E1548" s="24" t="n">
        <v>0</v>
      </c>
      <c r="F1548" s="37" t="n">
        <f aca="false">DATE(YEAR(A1548),MONTH(A1548),1)</f>
        <v>46235</v>
      </c>
      <c r="G1548" s="24" t="str">
        <f aca="false">INDEX(Products!$C$2:$C$49,MATCH(C1548,Products!$A$2:$A$49,0))</f>
        <v>Dairy &amp; Eggs</v>
      </c>
      <c r="H1548" s="33" t="n">
        <f aca="false">D1548*INDEX(Products!$E$2:$E$49,MATCH(C1548,Products!$A$2:$A$49,0))</f>
        <v>107420</v>
      </c>
      <c r="I1548" s="33" t="n">
        <f aca="false">D1548*INDEX(Products!$D$2:$D$49,MATCH(C1548,Products!$A$2:$A$49,0))*(1+INDEX(Assumptions!$B$16:$B$20,MATCH(B1548,Assumptions!$A$16:$A$20,0)))</f>
        <v>88472.16</v>
      </c>
      <c r="J1548" s="33" t="n">
        <f aca="false">H1548-I1548</f>
        <v>18947.84</v>
      </c>
      <c r="K1548" s="33" t="n">
        <f aca="false">IF(OR(E1548=0,E1548&gt;=7),0,D1548/(7-E1548)*E1548*INDEX(Products!$E$2:$E$49,MATCH(C1548,Products!$A$2:$A$49,0)))</f>
        <v>0</v>
      </c>
    </row>
    <row r="1549" customFormat="false" ht="15" hidden="false" customHeight="false" outlineLevel="0" collapsed="false">
      <c r="A1549" s="36" t="n">
        <v>46272</v>
      </c>
      <c r="B1549" s="24" t="s">
        <v>62</v>
      </c>
      <c r="C1549" s="24" t="s">
        <v>141</v>
      </c>
      <c r="D1549" s="33" t="n">
        <v>215</v>
      </c>
      <c r="E1549" s="24" t="n">
        <v>0</v>
      </c>
      <c r="F1549" s="37" t="n">
        <f aca="false">DATE(YEAR(A1549),MONTH(A1549),1)</f>
        <v>46266</v>
      </c>
      <c r="G1549" s="24" t="str">
        <f aca="false">INDEX(Products!$C$2:$C$49,MATCH(C1549,Products!$A$2:$A$49,0))</f>
        <v>Dairy &amp; Eggs</v>
      </c>
      <c r="H1549" s="33" t="n">
        <f aca="false">D1549*INDEX(Products!$E$2:$E$49,MATCH(C1549,Products!$A$2:$A$49,0))</f>
        <v>88150</v>
      </c>
      <c r="I1549" s="33" t="n">
        <f aca="false">D1549*INDEX(Products!$D$2:$D$49,MATCH(C1549,Products!$A$2:$A$49,0))*(1+INDEX(Assumptions!$B$16:$B$20,MATCH(B1549,Assumptions!$A$16:$A$20,0)))</f>
        <v>72601.2</v>
      </c>
      <c r="J1549" s="33" t="n">
        <f aca="false">H1549-I1549</f>
        <v>15548.8</v>
      </c>
      <c r="K1549" s="33" t="n">
        <f aca="false">IF(OR(E1549=0,E1549&gt;=7),0,D1549/(7-E1549)*E1549*INDEX(Products!$E$2:$E$49,MATCH(C1549,Products!$A$2:$A$49,0)))</f>
        <v>0</v>
      </c>
    </row>
    <row r="1550" customFormat="false" ht="15" hidden="false" customHeight="false" outlineLevel="0" collapsed="false">
      <c r="A1550" s="36" t="n">
        <v>46279</v>
      </c>
      <c r="B1550" s="24" t="s">
        <v>62</v>
      </c>
      <c r="C1550" s="24" t="s">
        <v>141</v>
      </c>
      <c r="D1550" s="33" t="n">
        <v>222</v>
      </c>
      <c r="E1550" s="24" t="n">
        <v>0</v>
      </c>
      <c r="F1550" s="37" t="n">
        <f aca="false">DATE(YEAR(A1550),MONTH(A1550),1)</f>
        <v>46266</v>
      </c>
      <c r="G1550" s="24" t="str">
        <f aca="false">INDEX(Products!$C$2:$C$49,MATCH(C1550,Products!$A$2:$A$49,0))</f>
        <v>Dairy &amp; Eggs</v>
      </c>
      <c r="H1550" s="33" t="n">
        <f aca="false">D1550*INDEX(Products!$E$2:$E$49,MATCH(C1550,Products!$A$2:$A$49,0))</f>
        <v>91020</v>
      </c>
      <c r="I1550" s="33" t="n">
        <f aca="false">D1550*INDEX(Products!$D$2:$D$49,MATCH(C1550,Products!$A$2:$A$49,0))*(1+INDEX(Assumptions!$B$16:$B$20,MATCH(B1550,Assumptions!$A$16:$A$20,0)))</f>
        <v>74964.96</v>
      </c>
      <c r="J1550" s="33" t="n">
        <f aca="false">H1550-I1550</f>
        <v>16055.04</v>
      </c>
      <c r="K1550" s="33" t="n">
        <f aca="false">IF(OR(E1550=0,E1550&gt;=7),0,D1550/(7-E1550)*E1550*INDEX(Products!$E$2:$E$49,MATCH(C1550,Products!$A$2:$A$49,0)))</f>
        <v>0</v>
      </c>
    </row>
    <row r="1551" customFormat="false" ht="15" hidden="false" customHeight="false" outlineLevel="0" collapsed="false">
      <c r="A1551" s="36" t="n">
        <v>46286</v>
      </c>
      <c r="B1551" s="24" t="s">
        <v>62</v>
      </c>
      <c r="C1551" s="24" t="s">
        <v>141</v>
      </c>
      <c r="D1551" s="33" t="n">
        <v>249</v>
      </c>
      <c r="E1551" s="24" t="n">
        <v>0</v>
      </c>
      <c r="F1551" s="37" t="n">
        <f aca="false">DATE(YEAR(A1551),MONTH(A1551),1)</f>
        <v>46266</v>
      </c>
      <c r="G1551" s="24" t="str">
        <f aca="false">INDEX(Products!$C$2:$C$49,MATCH(C1551,Products!$A$2:$A$49,0))</f>
        <v>Dairy &amp; Eggs</v>
      </c>
      <c r="H1551" s="33" t="n">
        <f aca="false">D1551*INDEX(Products!$E$2:$E$49,MATCH(C1551,Products!$A$2:$A$49,0))</f>
        <v>102090</v>
      </c>
      <c r="I1551" s="33" t="n">
        <f aca="false">D1551*INDEX(Products!$D$2:$D$49,MATCH(C1551,Products!$A$2:$A$49,0))*(1+INDEX(Assumptions!$B$16:$B$20,MATCH(B1551,Assumptions!$A$16:$A$20,0)))</f>
        <v>84082.32</v>
      </c>
      <c r="J1551" s="33" t="n">
        <f aca="false">H1551-I1551</f>
        <v>18007.68</v>
      </c>
      <c r="K1551" s="33" t="n">
        <f aca="false">IF(OR(E1551=0,E1551&gt;=7),0,D1551/(7-E1551)*E1551*INDEX(Products!$E$2:$E$49,MATCH(C1551,Products!$A$2:$A$49,0)))</f>
        <v>0</v>
      </c>
    </row>
    <row r="1552" customFormat="false" ht="15" hidden="false" customHeight="false" outlineLevel="0" collapsed="false">
      <c r="A1552" s="36" t="n">
        <v>46118</v>
      </c>
      <c r="B1552" s="24" t="s">
        <v>62</v>
      </c>
      <c r="C1552" s="24" t="s">
        <v>143</v>
      </c>
      <c r="D1552" s="33" t="n">
        <v>25</v>
      </c>
      <c r="E1552" s="24" t="n">
        <v>0</v>
      </c>
      <c r="F1552" s="37" t="n">
        <f aca="false">DATE(YEAR(A1552),MONTH(A1552),1)</f>
        <v>46113</v>
      </c>
      <c r="G1552" s="24" t="str">
        <f aca="false">INDEX(Products!$C$2:$C$49,MATCH(C1552,Products!$A$2:$A$49,0))</f>
        <v>Dairy &amp; Eggs</v>
      </c>
      <c r="H1552" s="33" t="n">
        <f aca="false">D1552*INDEX(Products!$E$2:$E$49,MATCH(C1552,Products!$A$2:$A$49,0))</f>
        <v>6000</v>
      </c>
      <c r="I1552" s="33" t="n">
        <f aca="false">D1552*INDEX(Products!$D$2:$D$49,MATCH(C1552,Products!$A$2:$A$49,0))*(1+INDEX(Assumptions!$B$16:$B$20,MATCH(B1552,Assumptions!$A$16:$A$20,0)))</f>
        <v>4762.8</v>
      </c>
      <c r="J1552" s="33" t="n">
        <f aca="false">H1552-I1552</f>
        <v>1237.2</v>
      </c>
      <c r="K1552" s="33" t="n">
        <f aca="false">IF(OR(E1552=0,E1552&gt;=7),0,D1552/(7-E1552)*E1552*INDEX(Products!$E$2:$E$49,MATCH(C1552,Products!$A$2:$A$49,0)))</f>
        <v>0</v>
      </c>
    </row>
    <row r="1553" customFormat="false" ht="15" hidden="false" customHeight="false" outlineLevel="0" collapsed="false">
      <c r="A1553" s="36" t="n">
        <v>46125</v>
      </c>
      <c r="B1553" s="24" t="s">
        <v>62</v>
      </c>
      <c r="C1553" s="24" t="s">
        <v>143</v>
      </c>
      <c r="D1553" s="33" t="n">
        <v>29</v>
      </c>
      <c r="E1553" s="24" t="n">
        <v>0</v>
      </c>
      <c r="F1553" s="37" t="n">
        <f aca="false">DATE(YEAR(A1553),MONTH(A1553),1)</f>
        <v>46113</v>
      </c>
      <c r="G1553" s="24" t="str">
        <f aca="false">INDEX(Products!$C$2:$C$49,MATCH(C1553,Products!$A$2:$A$49,0))</f>
        <v>Dairy &amp; Eggs</v>
      </c>
      <c r="H1553" s="33" t="n">
        <f aca="false">D1553*INDEX(Products!$E$2:$E$49,MATCH(C1553,Products!$A$2:$A$49,0))</f>
        <v>6960</v>
      </c>
      <c r="I1553" s="33" t="n">
        <f aca="false">D1553*INDEX(Products!$D$2:$D$49,MATCH(C1553,Products!$A$2:$A$49,0))*(1+INDEX(Assumptions!$B$16:$B$20,MATCH(B1553,Assumptions!$A$16:$A$20,0)))</f>
        <v>5524.848</v>
      </c>
      <c r="J1553" s="33" t="n">
        <f aca="false">H1553-I1553</f>
        <v>1435.152</v>
      </c>
      <c r="K1553" s="33" t="n">
        <f aca="false">IF(OR(E1553=0,E1553&gt;=7),0,D1553/(7-E1553)*E1553*INDEX(Products!$E$2:$E$49,MATCH(C1553,Products!$A$2:$A$49,0)))</f>
        <v>0</v>
      </c>
    </row>
    <row r="1554" customFormat="false" ht="15" hidden="false" customHeight="false" outlineLevel="0" collapsed="false">
      <c r="A1554" s="36" t="n">
        <v>46132</v>
      </c>
      <c r="B1554" s="24" t="s">
        <v>62</v>
      </c>
      <c r="C1554" s="24" t="s">
        <v>143</v>
      </c>
      <c r="D1554" s="33" t="n">
        <v>30</v>
      </c>
      <c r="E1554" s="24" t="n">
        <v>0</v>
      </c>
      <c r="F1554" s="37" t="n">
        <f aca="false">DATE(YEAR(A1554),MONTH(A1554),1)</f>
        <v>46113</v>
      </c>
      <c r="G1554" s="24" t="str">
        <f aca="false">INDEX(Products!$C$2:$C$49,MATCH(C1554,Products!$A$2:$A$49,0))</f>
        <v>Dairy &amp; Eggs</v>
      </c>
      <c r="H1554" s="33" t="n">
        <f aca="false">D1554*INDEX(Products!$E$2:$E$49,MATCH(C1554,Products!$A$2:$A$49,0))</f>
        <v>7200</v>
      </c>
      <c r="I1554" s="33" t="n">
        <f aca="false">D1554*INDEX(Products!$D$2:$D$49,MATCH(C1554,Products!$A$2:$A$49,0))*(1+INDEX(Assumptions!$B$16:$B$20,MATCH(B1554,Assumptions!$A$16:$A$20,0)))</f>
        <v>5715.36</v>
      </c>
      <c r="J1554" s="33" t="n">
        <f aca="false">H1554-I1554</f>
        <v>1484.64</v>
      </c>
      <c r="K1554" s="33" t="n">
        <f aca="false">IF(OR(E1554=0,E1554&gt;=7),0,D1554/(7-E1554)*E1554*INDEX(Products!$E$2:$E$49,MATCH(C1554,Products!$A$2:$A$49,0)))</f>
        <v>0</v>
      </c>
    </row>
    <row r="1555" customFormat="false" ht="15" hidden="false" customHeight="false" outlineLevel="0" collapsed="false">
      <c r="A1555" s="36" t="n">
        <v>46139</v>
      </c>
      <c r="B1555" s="24" t="s">
        <v>62</v>
      </c>
      <c r="C1555" s="24" t="s">
        <v>143</v>
      </c>
      <c r="D1555" s="33" t="n">
        <v>33</v>
      </c>
      <c r="E1555" s="24" t="n">
        <v>0</v>
      </c>
      <c r="F1555" s="37" t="n">
        <f aca="false">DATE(YEAR(A1555),MONTH(A1555),1)</f>
        <v>46113</v>
      </c>
      <c r="G1555" s="24" t="str">
        <f aca="false">INDEX(Products!$C$2:$C$49,MATCH(C1555,Products!$A$2:$A$49,0))</f>
        <v>Dairy &amp; Eggs</v>
      </c>
      <c r="H1555" s="33" t="n">
        <f aca="false">D1555*INDEX(Products!$E$2:$E$49,MATCH(C1555,Products!$A$2:$A$49,0))</f>
        <v>7920</v>
      </c>
      <c r="I1555" s="33" t="n">
        <f aca="false">D1555*INDEX(Products!$D$2:$D$49,MATCH(C1555,Products!$A$2:$A$49,0))*(1+INDEX(Assumptions!$B$16:$B$20,MATCH(B1555,Assumptions!$A$16:$A$20,0)))</f>
        <v>6286.896</v>
      </c>
      <c r="J1555" s="33" t="n">
        <f aca="false">H1555-I1555</f>
        <v>1633.104</v>
      </c>
      <c r="K1555" s="33" t="n">
        <f aca="false">IF(OR(E1555=0,E1555&gt;=7),0,D1555/(7-E1555)*E1555*INDEX(Products!$E$2:$E$49,MATCH(C1555,Products!$A$2:$A$49,0)))</f>
        <v>0</v>
      </c>
    </row>
    <row r="1556" customFormat="false" ht="15" hidden="false" customHeight="false" outlineLevel="0" collapsed="false">
      <c r="A1556" s="36" t="n">
        <v>46146</v>
      </c>
      <c r="B1556" s="24" t="s">
        <v>62</v>
      </c>
      <c r="C1556" s="24" t="s">
        <v>143</v>
      </c>
      <c r="D1556" s="33" t="n">
        <v>34</v>
      </c>
      <c r="E1556" s="24" t="n">
        <v>0</v>
      </c>
      <c r="F1556" s="37" t="n">
        <f aca="false">DATE(YEAR(A1556),MONTH(A1556),1)</f>
        <v>46143</v>
      </c>
      <c r="G1556" s="24" t="str">
        <f aca="false">INDEX(Products!$C$2:$C$49,MATCH(C1556,Products!$A$2:$A$49,0))</f>
        <v>Dairy &amp; Eggs</v>
      </c>
      <c r="H1556" s="33" t="n">
        <f aca="false">D1556*INDEX(Products!$E$2:$E$49,MATCH(C1556,Products!$A$2:$A$49,0))</f>
        <v>8160</v>
      </c>
      <c r="I1556" s="33" t="n">
        <f aca="false">D1556*INDEX(Products!$D$2:$D$49,MATCH(C1556,Products!$A$2:$A$49,0))*(1+INDEX(Assumptions!$B$16:$B$20,MATCH(B1556,Assumptions!$A$16:$A$20,0)))</f>
        <v>6477.408</v>
      </c>
      <c r="J1556" s="33" t="n">
        <f aca="false">H1556-I1556</f>
        <v>1682.592</v>
      </c>
      <c r="K1556" s="33" t="n">
        <f aca="false">IF(OR(E1556=0,E1556&gt;=7),0,D1556/(7-E1556)*E1556*INDEX(Products!$E$2:$E$49,MATCH(C1556,Products!$A$2:$A$49,0)))</f>
        <v>0</v>
      </c>
    </row>
    <row r="1557" customFormat="false" ht="15" hidden="false" customHeight="false" outlineLevel="0" collapsed="false">
      <c r="A1557" s="36" t="n">
        <v>46153</v>
      </c>
      <c r="B1557" s="24" t="s">
        <v>62</v>
      </c>
      <c r="C1557" s="24" t="s">
        <v>143</v>
      </c>
      <c r="D1557" s="33" t="n">
        <v>31</v>
      </c>
      <c r="E1557" s="24" t="n">
        <v>0</v>
      </c>
      <c r="F1557" s="37" t="n">
        <f aca="false">DATE(YEAR(A1557),MONTH(A1557),1)</f>
        <v>46143</v>
      </c>
      <c r="G1557" s="24" t="str">
        <f aca="false">INDEX(Products!$C$2:$C$49,MATCH(C1557,Products!$A$2:$A$49,0))</f>
        <v>Dairy &amp; Eggs</v>
      </c>
      <c r="H1557" s="33" t="n">
        <f aca="false">D1557*INDEX(Products!$E$2:$E$49,MATCH(C1557,Products!$A$2:$A$49,0))</f>
        <v>7440</v>
      </c>
      <c r="I1557" s="33" t="n">
        <f aca="false">D1557*INDEX(Products!$D$2:$D$49,MATCH(C1557,Products!$A$2:$A$49,0))*(1+INDEX(Assumptions!$B$16:$B$20,MATCH(B1557,Assumptions!$A$16:$A$20,0)))</f>
        <v>5905.872</v>
      </c>
      <c r="J1557" s="33" t="n">
        <f aca="false">H1557-I1557</f>
        <v>1534.128</v>
      </c>
      <c r="K1557" s="33" t="n">
        <f aca="false">IF(OR(E1557=0,E1557&gt;=7),0,D1557/(7-E1557)*E1557*INDEX(Products!$E$2:$E$49,MATCH(C1557,Products!$A$2:$A$49,0)))</f>
        <v>0</v>
      </c>
    </row>
    <row r="1558" customFormat="false" ht="15" hidden="false" customHeight="false" outlineLevel="0" collapsed="false">
      <c r="A1558" s="36" t="n">
        <v>46160</v>
      </c>
      <c r="B1558" s="24" t="s">
        <v>62</v>
      </c>
      <c r="C1558" s="24" t="s">
        <v>143</v>
      </c>
      <c r="D1558" s="33" t="n">
        <v>60</v>
      </c>
      <c r="E1558" s="24" t="n">
        <v>0</v>
      </c>
      <c r="F1558" s="37" t="n">
        <f aca="false">DATE(YEAR(A1558),MONTH(A1558),1)</f>
        <v>46143</v>
      </c>
      <c r="G1558" s="24" t="str">
        <f aca="false">INDEX(Products!$C$2:$C$49,MATCH(C1558,Products!$A$2:$A$49,0))</f>
        <v>Dairy &amp; Eggs</v>
      </c>
      <c r="H1558" s="33" t="n">
        <f aca="false">D1558*INDEX(Products!$E$2:$E$49,MATCH(C1558,Products!$A$2:$A$49,0))</f>
        <v>14400</v>
      </c>
      <c r="I1558" s="33" t="n">
        <f aca="false">D1558*INDEX(Products!$D$2:$D$49,MATCH(C1558,Products!$A$2:$A$49,0))*(1+INDEX(Assumptions!$B$16:$B$20,MATCH(B1558,Assumptions!$A$16:$A$20,0)))</f>
        <v>11430.72</v>
      </c>
      <c r="J1558" s="33" t="n">
        <f aca="false">H1558-I1558</f>
        <v>2969.28</v>
      </c>
      <c r="K1558" s="33" t="n">
        <f aca="false">IF(OR(E1558=0,E1558&gt;=7),0,D1558/(7-E1558)*E1558*INDEX(Products!$E$2:$E$49,MATCH(C1558,Products!$A$2:$A$49,0)))</f>
        <v>0</v>
      </c>
    </row>
    <row r="1559" customFormat="false" ht="15" hidden="false" customHeight="false" outlineLevel="0" collapsed="false">
      <c r="A1559" s="36" t="n">
        <v>46167</v>
      </c>
      <c r="B1559" s="24" t="s">
        <v>62</v>
      </c>
      <c r="C1559" s="24" t="s">
        <v>143</v>
      </c>
      <c r="D1559" s="33" t="n">
        <v>31</v>
      </c>
      <c r="E1559" s="24" t="n">
        <v>0</v>
      </c>
      <c r="F1559" s="37" t="n">
        <f aca="false">DATE(YEAR(A1559),MONTH(A1559),1)</f>
        <v>46143</v>
      </c>
      <c r="G1559" s="24" t="str">
        <f aca="false">INDEX(Products!$C$2:$C$49,MATCH(C1559,Products!$A$2:$A$49,0))</f>
        <v>Dairy &amp; Eggs</v>
      </c>
      <c r="H1559" s="33" t="n">
        <f aca="false">D1559*INDEX(Products!$E$2:$E$49,MATCH(C1559,Products!$A$2:$A$49,0))</f>
        <v>7440</v>
      </c>
      <c r="I1559" s="33" t="n">
        <f aca="false">D1559*INDEX(Products!$D$2:$D$49,MATCH(C1559,Products!$A$2:$A$49,0))*(1+INDEX(Assumptions!$B$16:$B$20,MATCH(B1559,Assumptions!$A$16:$A$20,0)))</f>
        <v>5905.872</v>
      </c>
      <c r="J1559" s="33" t="n">
        <f aca="false">H1559-I1559</f>
        <v>1534.128</v>
      </c>
      <c r="K1559" s="33" t="n">
        <f aca="false">IF(OR(E1559=0,E1559&gt;=7),0,D1559/(7-E1559)*E1559*INDEX(Products!$E$2:$E$49,MATCH(C1559,Products!$A$2:$A$49,0)))</f>
        <v>0</v>
      </c>
    </row>
    <row r="1560" customFormat="false" ht="15" hidden="false" customHeight="false" outlineLevel="0" collapsed="false">
      <c r="A1560" s="36" t="n">
        <v>46174</v>
      </c>
      <c r="B1560" s="24" t="s">
        <v>62</v>
      </c>
      <c r="C1560" s="24" t="s">
        <v>143</v>
      </c>
      <c r="D1560" s="33" t="n">
        <v>33</v>
      </c>
      <c r="E1560" s="24" t="n">
        <v>0</v>
      </c>
      <c r="F1560" s="37" t="n">
        <f aca="false">DATE(YEAR(A1560),MONTH(A1560),1)</f>
        <v>46174</v>
      </c>
      <c r="G1560" s="24" t="str">
        <f aca="false">INDEX(Products!$C$2:$C$49,MATCH(C1560,Products!$A$2:$A$49,0))</f>
        <v>Dairy &amp; Eggs</v>
      </c>
      <c r="H1560" s="33" t="n">
        <f aca="false">D1560*INDEX(Products!$E$2:$E$49,MATCH(C1560,Products!$A$2:$A$49,0))</f>
        <v>7920</v>
      </c>
      <c r="I1560" s="33" t="n">
        <f aca="false">D1560*INDEX(Products!$D$2:$D$49,MATCH(C1560,Products!$A$2:$A$49,0))*(1+INDEX(Assumptions!$B$16:$B$20,MATCH(B1560,Assumptions!$A$16:$A$20,0)))</f>
        <v>6286.896</v>
      </c>
      <c r="J1560" s="33" t="n">
        <f aca="false">H1560-I1560</f>
        <v>1633.104</v>
      </c>
      <c r="K1560" s="33" t="n">
        <f aca="false">IF(OR(E1560=0,E1560&gt;=7),0,D1560/(7-E1560)*E1560*INDEX(Products!$E$2:$E$49,MATCH(C1560,Products!$A$2:$A$49,0)))</f>
        <v>0</v>
      </c>
    </row>
    <row r="1561" customFormat="false" ht="15" hidden="false" customHeight="false" outlineLevel="0" collapsed="false">
      <c r="A1561" s="36" t="n">
        <v>46181</v>
      </c>
      <c r="B1561" s="24" t="s">
        <v>62</v>
      </c>
      <c r="C1561" s="24" t="s">
        <v>143</v>
      </c>
      <c r="D1561" s="33" t="n">
        <v>32</v>
      </c>
      <c r="E1561" s="24" t="n">
        <v>0</v>
      </c>
      <c r="F1561" s="37" t="n">
        <f aca="false">DATE(YEAR(A1561),MONTH(A1561),1)</f>
        <v>46174</v>
      </c>
      <c r="G1561" s="24" t="str">
        <f aca="false">INDEX(Products!$C$2:$C$49,MATCH(C1561,Products!$A$2:$A$49,0))</f>
        <v>Dairy &amp; Eggs</v>
      </c>
      <c r="H1561" s="33" t="n">
        <f aca="false">D1561*INDEX(Products!$E$2:$E$49,MATCH(C1561,Products!$A$2:$A$49,0))</f>
        <v>7680</v>
      </c>
      <c r="I1561" s="33" t="n">
        <f aca="false">D1561*INDEX(Products!$D$2:$D$49,MATCH(C1561,Products!$A$2:$A$49,0))*(1+INDEX(Assumptions!$B$16:$B$20,MATCH(B1561,Assumptions!$A$16:$A$20,0)))</f>
        <v>6096.384</v>
      </c>
      <c r="J1561" s="33" t="n">
        <f aca="false">H1561-I1561</f>
        <v>1583.616</v>
      </c>
      <c r="K1561" s="33" t="n">
        <f aca="false">IF(OR(E1561=0,E1561&gt;=7),0,D1561/(7-E1561)*E1561*INDEX(Products!$E$2:$E$49,MATCH(C1561,Products!$A$2:$A$49,0)))</f>
        <v>0</v>
      </c>
    </row>
    <row r="1562" customFormat="false" ht="15" hidden="false" customHeight="false" outlineLevel="0" collapsed="false">
      <c r="A1562" s="36" t="n">
        <v>46188</v>
      </c>
      <c r="B1562" s="24" t="s">
        <v>62</v>
      </c>
      <c r="C1562" s="24" t="s">
        <v>143</v>
      </c>
      <c r="D1562" s="33" t="n">
        <v>41</v>
      </c>
      <c r="E1562" s="24" t="n">
        <v>0</v>
      </c>
      <c r="F1562" s="37" t="n">
        <f aca="false">DATE(YEAR(A1562),MONTH(A1562),1)</f>
        <v>46174</v>
      </c>
      <c r="G1562" s="24" t="str">
        <f aca="false">INDEX(Products!$C$2:$C$49,MATCH(C1562,Products!$A$2:$A$49,0))</f>
        <v>Dairy &amp; Eggs</v>
      </c>
      <c r="H1562" s="33" t="n">
        <f aca="false">D1562*INDEX(Products!$E$2:$E$49,MATCH(C1562,Products!$A$2:$A$49,0))</f>
        <v>9840</v>
      </c>
      <c r="I1562" s="33" t="n">
        <f aca="false">D1562*INDEX(Products!$D$2:$D$49,MATCH(C1562,Products!$A$2:$A$49,0))*(1+INDEX(Assumptions!$B$16:$B$20,MATCH(B1562,Assumptions!$A$16:$A$20,0)))</f>
        <v>7810.992</v>
      </c>
      <c r="J1562" s="33" t="n">
        <f aca="false">H1562-I1562</f>
        <v>2029.008</v>
      </c>
      <c r="K1562" s="33" t="n">
        <f aca="false">IF(OR(E1562=0,E1562&gt;=7),0,D1562/(7-E1562)*E1562*INDEX(Products!$E$2:$E$49,MATCH(C1562,Products!$A$2:$A$49,0)))</f>
        <v>0</v>
      </c>
    </row>
    <row r="1563" customFormat="false" ht="15" hidden="false" customHeight="false" outlineLevel="0" collapsed="false">
      <c r="A1563" s="36" t="n">
        <v>46195</v>
      </c>
      <c r="B1563" s="24" t="s">
        <v>62</v>
      </c>
      <c r="C1563" s="24" t="s">
        <v>143</v>
      </c>
      <c r="D1563" s="33" t="n">
        <v>30</v>
      </c>
      <c r="E1563" s="24" t="n">
        <v>0</v>
      </c>
      <c r="F1563" s="37" t="n">
        <f aca="false">DATE(YEAR(A1563),MONTH(A1563),1)</f>
        <v>46174</v>
      </c>
      <c r="G1563" s="24" t="str">
        <f aca="false">INDEX(Products!$C$2:$C$49,MATCH(C1563,Products!$A$2:$A$49,0))</f>
        <v>Dairy &amp; Eggs</v>
      </c>
      <c r="H1563" s="33" t="n">
        <f aca="false">D1563*INDEX(Products!$E$2:$E$49,MATCH(C1563,Products!$A$2:$A$49,0))</f>
        <v>7200</v>
      </c>
      <c r="I1563" s="33" t="n">
        <f aca="false">D1563*INDEX(Products!$D$2:$D$49,MATCH(C1563,Products!$A$2:$A$49,0))*(1+INDEX(Assumptions!$B$16:$B$20,MATCH(B1563,Assumptions!$A$16:$A$20,0)))</f>
        <v>5715.36</v>
      </c>
      <c r="J1563" s="33" t="n">
        <f aca="false">H1563-I1563</f>
        <v>1484.64</v>
      </c>
      <c r="K1563" s="33" t="n">
        <f aca="false">IF(OR(E1563=0,E1563&gt;=7),0,D1563/(7-E1563)*E1563*INDEX(Products!$E$2:$E$49,MATCH(C1563,Products!$A$2:$A$49,0)))</f>
        <v>0</v>
      </c>
    </row>
    <row r="1564" customFormat="false" ht="15" hidden="false" customHeight="false" outlineLevel="0" collapsed="false">
      <c r="A1564" s="36" t="n">
        <v>46202</v>
      </c>
      <c r="B1564" s="24" t="s">
        <v>62</v>
      </c>
      <c r="C1564" s="24" t="s">
        <v>143</v>
      </c>
      <c r="D1564" s="33" t="n">
        <v>9</v>
      </c>
      <c r="E1564" s="24" t="n">
        <v>5</v>
      </c>
      <c r="F1564" s="37" t="n">
        <f aca="false">DATE(YEAR(A1564),MONTH(A1564),1)</f>
        <v>46174</v>
      </c>
      <c r="G1564" s="24" t="str">
        <f aca="false">INDEX(Products!$C$2:$C$49,MATCH(C1564,Products!$A$2:$A$49,0))</f>
        <v>Dairy &amp; Eggs</v>
      </c>
      <c r="H1564" s="33" t="n">
        <f aca="false">D1564*INDEX(Products!$E$2:$E$49,MATCH(C1564,Products!$A$2:$A$49,0))</f>
        <v>2160</v>
      </c>
      <c r="I1564" s="33" t="n">
        <f aca="false">D1564*INDEX(Products!$D$2:$D$49,MATCH(C1564,Products!$A$2:$A$49,0))*(1+INDEX(Assumptions!$B$16:$B$20,MATCH(B1564,Assumptions!$A$16:$A$20,0)))</f>
        <v>1714.608</v>
      </c>
      <c r="J1564" s="33" t="n">
        <f aca="false">H1564-I1564</f>
        <v>445.392</v>
      </c>
      <c r="K1564" s="33" t="n">
        <f aca="false">IF(OR(E1564=0,E1564&gt;=7),0,D1564/(7-E1564)*E1564*INDEX(Products!$E$2:$E$49,MATCH(C1564,Products!$A$2:$A$49,0)))</f>
        <v>5400</v>
      </c>
    </row>
    <row r="1565" customFormat="false" ht="15" hidden="false" customHeight="false" outlineLevel="0" collapsed="false">
      <c r="A1565" s="36" t="n">
        <v>46209</v>
      </c>
      <c r="B1565" s="24" t="s">
        <v>62</v>
      </c>
      <c r="C1565" s="24" t="s">
        <v>143</v>
      </c>
      <c r="D1565" s="33" t="n">
        <v>26</v>
      </c>
      <c r="E1565" s="24" t="n">
        <v>0</v>
      </c>
      <c r="F1565" s="37" t="n">
        <f aca="false">DATE(YEAR(A1565),MONTH(A1565),1)</f>
        <v>46204</v>
      </c>
      <c r="G1565" s="24" t="str">
        <f aca="false">INDEX(Products!$C$2:$C$49,MATCH(C1565,Products!$A$2:$A$49,0))</f>
        <v>Dairy &amp; Eggs</v>
      </c>
      <c r="H1565" s="33" t="n">
        <f aca="false">D1565*INDEX(Products!$E$2:$E$49,MATCH(C1565,Products!$A$2:$A$49,0))</f>
        <v>6240</v>
      </c>
      <c r="I1565" s="33" t="n">
        <f aca="false">D1565*INDEX(Products!$D$2:$D$49,MATCH(C1565,Products!$A$2:$A$49,0))*(1+INDEX(Assumptions!$B$16:$B$20,MATCH(B1565,Assumptions!$A$16:$A$20,0)))</f>
        <v>4953.312</v>
      </c>
      <c r="J1565" s="33" t="n">
        <f aca="false">H1565-I1565</f>
        <v>1286.688</v>
      </c>
      <c r="K1565" s="33" t="n">
        <f aca="false">IF(OR(E1565=0,E1565&gt;=7),0,D1565/(7-E1565)*E1565*INDEX(Products!$E$2:$E$49,MATCH(C1565,Products!$A$2:$A$49,0)))</f>
        <v>0</v>
      </c>
    </row>
    <row r="1566" customFormat="false" ht="15" hidden="false" customHeight="false" outlineLevel="0" collapsed="false">
      <c r="A1566" s="36" t="n">
        <v>46216</v>
      </c>
      <c r="B1566" s="24" t="s">
        <v>62</v>
      </c>
      <c r="C1566" s="24" t="s">
        <v>143</v>
      </c>
      <c r="D1566" s="33" t="n">
        <v>23</v>
      </c>
      <c r="E1566" s="24" t="n">
        <v>0</v>
      </c>
      <c r="F1566" s="37" t="n">
        <f aca="false">DATE(YEAR(A1566),MONTH(A1566),1)</f>
        <v>46204</v>
      </c>
      <c r="G1566" s="24" t="str">
        <f aca="false">INDEX(Products!$C$2:$C$49,MATCH(C1566,Products!$A$2:$A$49,0))</f>
        <v>Dairy &amp; Eggs</v>
      </c>
      <c r="H1566" s="33" t="n">
        <f aca="false">D1566*INDEX(Products!$E$2:$E$49,MATCH(C1566,Products!$A$2:$A$49,0))</f>
        <v>5520</v>
      </c>
      <c r="I1566" s="33" t="n">
        <f aca="false">D1566*INDEX(Products!$D$2:$D$49,MATCH(C1566,Products!$A$2:$A$49,0))*(1+INDEX(Assumptions!$B$16:$B$20,MATCH(B1566,Assumptions!$A$16:$A$20,0)))</f>
        <v>4381.776</v>
      </c>
      <c r="J1566" s="33" t="n">
        <f aca="false">H1566-I1566</f>
        <v>1138.224</v>
      </c>
      <c r="K1566" s="33" t="n">
        <f aca="false">IF(OR(E1566=0,E1566&gt;=7),0,D1566/(7-E1566)*E1566*INDEX(Products!$E$2:$E$49,MATCH(C1566,Products!$A$2:$A$49,0)))</f>
        <v>0</v>
      </c>
    </row>
    <row r="1567" customFormat="false" ht="15" hidden="false" customHeight="false" outlineLevel="0" collapsed="false">
      <c r="A1567" s="36" t="n">
        <v>46223</v>
      </c>
      <c r="B1567" s="24" t="s">
        <v>62</v>
      </c>
      <c r="C1567" s="24" t="s">
        <v>143</v>
      </c>
      <c r="D1567" s="33" t="n">
        <v>34</v>
      </c>
      <c r="E1567" s="24" t="n">
        <v>0</v>
      </c>
      <c r="F1567" s="37" t="n">
        <f aca="false">DATE(YEAR(A1567),MONTH(A1567),1)</f>
        <v>46204</v>
      </c>
      <c r="G1567" s="24" t="str">
        <f aca="false">INDEX(Products!$C$2:$C$49,MATCH(C1567,Products!$A$2:$A$49,0))</f>
        <v>Dairy &amp; Eggs</v>
      </c>
      <c r="H1567" s="33" t="n">
        <f aca="false">D1567*INDEX(Products!$E$2:$E$49,MATCH(C1567,Products!$A$2:$A$49,0))</f>
        <v>8160</v>
      </c>
      <c r="I1567" s="33" t="n">
        <f aca="false">D1567*INDEX(Products!$D$2:$D$49,MATCH(C1567,Products!$A$2:$A$49,0))*(1+INDEX(Assumptions!$B$16:$B$20,MATCH(B1567,Assumptions!$A$16:$A$20,0)))</f>
        <v>6477.408</v>
      </c>
      <c r="J1567" s="33" t="n">
        <f aca="false">H1567-I1567</f>
        <v>1682.592</v>
      </c>
      <c r="K1567" s="33" t="n">
        <f aca="false">IF(OR(E1567=0,E1567&gt;=7),0,D1567/(7-E1567)*E1567*INDEX(Products!$E$2:$E$49,MATCH(C1567,Products!$A$2:$A$49,0)))</f>
        <v>0</v>
      </c>
    </row>
    <row r="1568" customFormat="false" ht="15" hidden="false" customHeight="false" outlineLevel="0" collapsed="false">
      <c r="A1568" s="36" t="n">
        <v>46230</v>
      </c>
      <c r="B1568" s="24" t="s">
        <v>62</v>
      </c>
      <c r="C1568" s="24" t="s">
        <v>143</v>
      </c>
      <c r="D1568" s="33" t="n">
        <v>20</v>
      </c>
      <c r="E1568" s="24" t="n">
        <v>0</v>
      </c>
      <c r="F1568" s="37" t="n">
        <f aca="false">DATE(YEAR(A1568),MONTH(A1568),1)</f>
        <v>46204</v>
      </c>
      <c r="G1568" s="24" t="str">
        <f aca="false">INDEX(Products!$C$2:$C$49,MATCH(C1568,Products!$A$2:$A$49,0))</f>
        <v>Dairy &amp; Eggs</v>
      </c>
      <c r="H1568" s="33" t="n">
        <f aca="false">D1568*INDEX(Products!$E$2:$E$49,MATCH(C1568,Products!$A$2:$A$49,0))</f>
        <v>4800</v>
      </c>
      <c r="I1568" s="33" t="n">
        <f aca="false">D1568*INDEX(Products!$D$2:$D$49,MATCH(C1568,Products!$A$2:$A$49,0))*(1+INDEX(Assumptions!$B$16:$B$20,MATCH(B1568,Assumptions!$A$16:$A$20,0)))</f>
        <v>3810.24</v>
      </c>
      <c r="J1568" s="33" t="n">
        <f aca="false">H1568-I1568</f>
        <v>989.76</v>
      </c>
      <c r="K1568" s="33" t="n">
        <f aca="false">IF(OR(E1568=0,E1568&gt;=7),0,D1568/(7-E1568)*E1568*INDEX(Products!$E$2:$E$49,MATCH(C1568,Products!$A$2:$A$49,0)))</f>
        <v>0</v>
      </c>
    </row>
    <row r="1569" customFormat="false" ht="15" hidden="false" customHeight="false" outlineLevel="0" collapsed="false">
      <c r="A1569" s="36" t="n">
        <v>46237</v>
      </c>
      <c r="B1569" s="24" t="s">
        <v>62</v>
      </c>
      <c r="C1569" s="24" t="s">
        <v>143</v>
      </c>
      <c r="D1569" s="33" t="n">
        <v>22</v>
      </c>
      <c r="E1569" s="24" t="n">
        <v>0</v>
      </c>
      <c r="F1569" s="37" t="n">
        <f aca="false">DATE(YEAR(A1569),MONTH(A1569),1)</f>
        <v>46235</v>
      </c>
      <c r="G1569" s="24" t="str">
        <f aca="false">INDEX(Products!$C$2:$C$49,MATCH(C1569,Products!$A$2:$A$49,0))</f>
        <v>Dairy &amp; Eggs</v>
      </c>
      <c r="H1569" s="33" t="n">
        <f aca="false">D1569*INDEX(Products!$E$2:$E$49,MATCH(C1569,Products!$A$2:$A$49,0))</f>
        <v>5280</v>
      </c>
      <c r="I1569" s="33" t="n">
        <f aca="false">D1569*INDEX(Products!$D$2:$D$49,MATCH(C1569,Products!$A$2:$A$49,0))*(1+INDEX(Assumptions!$B$16:$B$20,MATCH(B1569,Assumptions!$A$16:$A$20,0)))</f>
        <v>4191.264</v>
      </c>
      <c r="J1569" s="33" t="n">
        <f aca="false">H1569-I1569</f>
        <v>1088.736</v>
      </c>
      <c r="K1569" s="33" t="n">
        <f aca="false">IF(OR(E1569=0,E1569&gt;=7),0,D1569/(7-E1569)*E1569*INDEX(Products!$E$2:$E$49,MATCH(C1569,Products!$A$2:$A$49,0)))</f>
        <v>0</v>
      </c>
    </row>
    <row r="1570" customFormat="false" ht="15" hidden="false" customHeight="false" outlineLevel="0" collapsed="false">
      <c r="A1570" s="36" t="n">
        <v>46244</v>
      </c>
      <c r="B1570" s="24" t="s">
        <v>62</v>
      </c>
      <c r="C1570" s="24" t="s">
        <v>143</v>
      </c>
      <c r="D1570" s="33" t="n">
        <v>34</v>
      </c>
      <c r="E1570" s="24" t="n">
        <v>0</v>
      </c>
      <c r="F1570" s="37" t="n">
        <f aca="false">DATE(YEAR(A1570),MONTH(A1570),1)</f>
        <v>46235</v>
      </c>
      <c r="G1570" s="24" t="str">
        <f aca="false">INDEX(Products!$C$2:$C$49,MATCH(C1570,Products!$A$2:$A$49,0))</f>
        <v>Dairy &amp; Eggs</v>
      </c>
      <c r="H1570" s="33" t="n">
        <f aca="false">D1570*INDEX(Products!$E$2:$E$49,MATCH(C1570,Products!$A$2:$A$49,0))</f>
        <v>8160</v>
      </c>
      <c r="I1570" s="33" t="n">
        <f aca="false">D1570*INDEX(Products!$D$2:$D$49,MATCH(C1570,Products!$A$2:$A$49,0))*(1+INDEX(Assumptions!$B$16:$B$20,MATCH(B1570,Assumptions!$A$16:$A$20,0)))</f>
        <v>6477.408</v>
      </c>
      <c r="J1570" s="33" t="n">
        <f aca="false">H1570-I1570</f>
        <v>1682.592</v>
      </c>
      <c r="K1570" s="33" t="n">
        <f aca="false">IF(OR(E1570=0,E1570&gt;=7),0,D1570/(7-E1570)*E1570*INDEX(Products!$E$2:$E$49,MATCH(C1570,Products!$A$2:$A$49,0)))</f>
        <v>0</v>
      </c>
    </row>
    <row r="1571" customFormat="false" ht="15" hidden="false" customHeight="false" outlineLevel="0" collapsed="false">
      <c r="A1571" s="36" t="n">
        <v>46251</v>
      </c>
      <c r="B1571" s="24" t="s">
        <v>62</v>
      </c>
      <c r="C1571" s="24" t="s">
        <v>143</v>
      </c>
      <c r="D1571" s="33" t="n">
        <v>27</v>
      </c>
      <c r="E1571" s="24" t="n">
        <v>0</v>
      </c>
      <c r="F1571" s="37" t="n">
        <f aca="false">DATE(YEAR(A1571),MONTH(A1571),1)</f>
        <v>46235</v>
      </c>
      <c r="G1571" s="24" t="str">
        <f aca="false">INDEX(Products!$C$2:$C$49,MATCH(C1571,Products!$A$2:$A$49,0))</f>
        <v>Dairy &amp; Eggs</v>
      </c>
      <c r="H1571" s="33" t="n">
        <f aca="false">D1571*INDEX(Products!$E$2:$E$49,MATCH(C1571,Products!$A$2:$A$49,0))</f>
        <v>6480</v>
      </c>
      <c r="I1571" s="33" t="n">
        <f aca="false">D1571*INDEX(Products!$D$2:$D$49,MATCH(C1571,Products!$A$2:$A$49,0))*(1+INDEX(Assumptions!$B$16:$B$20,MATCH(B1571,Assumptions!$A$16:$A$20,0)))</f>
        <v>5143.824</v>
      </c>
      <c r="J1571" s="33" t="n">
        <f aca="false">H1571-I1571</f>
        <v>1336.176</v>
      </c>
      <c r="K1571" s="33" t="n">
        <f aca="false">IF(OR(E1571=0,E1571&gt;=7),0,D1571/(7-E1571)*E1571*INDEX(Products!$E$2:$E$49,MATCH(C1571,Products!$A$2:$A$49,0)))</f>
        <v>0</v>
      </c>
    </row>
    <row r="1572" customFormat="false" ht="15" hidden="false" customHeight="false" outlineLevel="0" collapsed="false">
      <c r="A1572" s="36" t="n">
        <v>46258</v>
      </c>
      <c r="B1572" s="24" t="s">
        <v>62</v>
      </c>
      <c r="C1572" s="24" t="s">
        <v>143</v>
      </c>
      <c r="D1572" s="33" t="n">
        <v>37</v>
      </c>
      <c r="E1572" s="24" t="n">
        <v>0</v>
      </c>
      <c r="F1572" s="37" t="n">
        <f aca="false">DATE(YEAR(A1572),MONTH(A1572),1)</f>
        <v>46235</v>
      </c>
      <c r="G1572" s="24" t="str">
        <f aca="false">INDEX(Products!$C$2:$C$49,MATCH(C1572,Products!$A$2:$A$49,0))</f>
        <v>Dairy &amp; Eggs</v>
      </c>
      <c r="H1572" s="33" t="n">
        <f aca="false">D1572*INDEX(Products!$E$2:$E$49,MATCH(C1572,Products!$A$2:$A$49,0))</f>
        <v>8880</v>
      </c>
      <c r="I1572" s="33" t="n">
        <f aca="false">D1572*INDEX(Products!$D$2:$D$49,MATCH(C1572,Products!$A$2:$A$49,0))*(1+INDEX(Assumptions!$B$16:$B$20,MATCH(B1572,Assumptions!$A$16:$A$20,0)))</f>
        <v>7048.944</v>
      </c>
      <c r="J1572" s="33" t="n">
        <f aca="false">H1572-I1572</f>
        <v>1831.056</v>
      </c>
      <c r="K1572" s="33" t="n">
        <f aca="false">IF(OR(E1572=0,E1572&gt;=7),0,D1572/(7-E1572)*E1572*INDEX(Products!$E$2:$E$49,MATCH(C1572,Products!$A$2:$A$49,0)))</f>
        <v>0</v>
      </c>
    </row>
    <row r="1573" customFormat="false" ht="15" hidden="false" customHeight="false" outlineLevel="0" collapsed="false">
      <c r="A1573" s="36" t="n">
        <v>46265</v>
      </c>
      <c r="B1573" s="24" t="s">
        <v>62</v>
      </c>
      <c r="C1573" s="24" t="s">
        <v>143</v>
      </c>
      <c r="D1573" s="33" t="n">
        <v>37</v>
      </c>
      <c r="E1573" s="24" t="n">
        <v>0</v>
      </c>
      <c r="F1573" s="37" t="n">
        <f aca="false">DATE(YEAR(A1573),MONTH(A1573),1)</f>
        <v>46235</v>
      </c>
      <c r="G1573" s="24" t="str">
        <f aca="false">INDEX(Products!$C$2:$C$49,MATCH(C1573,Products!$A$2:$A$49,0))</f>
        <v>Dairy &amp; Eggs</v>
      </c>
      <c r="H1573" s="33" t="n">
        <f aca="false">D1573*INDEX(Products!$E$2:$E$49,MATCH(C1573,Products!$A$2:$A$49,0))</f>
        <v>8880</v>
      </c>
      <c r="I1573" s="33" t="n">
        <f aca="false">D1573*INDEX(Products!$D$2:$D$49,MATCH(C1573,Products!$A$2:$A$49,0))*(1+INDEX(Assumptions!$B$16:$B$20,MATCH(B1573,Assumptions!$A$16:$A$20,0)))</f>
        <v>7048.944</v>
      </c>
      <c r="J1573" s="33" t="n">
        <f aca="false">H1573-I1573</f>
        <v>1831.056</v>
      </c>
      <c r="K1573" s="33" t="n">
        <f aca="false">IF(OR(E1573=0,E1573&gt;=7),0,D1573/(7-E1573)*E1573*INDEX(Products!$E$2:$E$49,MATCH(C1573,Products!$A$2:$A$49,0)))</f>
        <v>0</v>
      </c>
    </row>
    <row r="1574" customFormat="false" ht="15" hidden="false" customHeight="false" outlineLevel="0" collapsed="false">
      <c r="A1574" s="36" t="n">
        <v>46272</v>
      </c>
      <c r="B1574" s="24" t="s">
        <v>62</v>
      </c>
      <c r="C1574" s="24" t="s">
        <v>143</v>
      </c>
      <c r="D1574" s="33" t="n">
        <v>17</v>
      </c>
      <c r="E1574" s="24" t="n">
        <v>0</v>
      </c>
      <c r="F1574" s="37" t="n">
        <f aca="false">DATE(YEAR(A1574),MONTH(A1574),1)</f>
        <v>46266</v>
      </c>
      <c r="G1574" s="24" t="str">
        <f aca="false">INDEX(Products!$C$2:$C$49,MATCH(C1574,Products!$A$2:$A$49,0))</f>
        <v>Dairy &amp; Eggs</v>
      </c>
      <c r="H1574" s="33" t="n">
        <f aca="false">D1574*INDEX(Products!$E$2:$E$49,MATCH(C1574,Products!$A$2:$A$49,0))</f>
        <v>4080</v>
      </c>
      <c r="I1574" s="33" t="n">
        <f aca="false">D1574*INDEX(Products!$D$2:$D$49,MATCH(C1574,Products!$A$2:$A$49,0))*(1+INDEX(Assumptions!$B$16:$B$20,MATCH(B1574,Assumptions!$A$16:$A$20,0)))</f>
        <v>3238.704</v>
      </c>
      <c r="J1574" s="33" t="n">
        <f aca="false">H1574-I1574</f>
        <v>841.296</v>
      </c>
      <c r="K1574" s="33" t="n">
        <f aca="false">IF(OR(E1574=0,E1574&gt;=7),0,D1574/(7-E1574)*E1574*INDEX(Products!$E$2:$E$49,MATCH(C1574,Products!$A$2:$A$49,0)))</f>
        <v>0</v>
      </c>
    </row>
    <row r="1575" customFormat="false" ht="15" hidden="false" customHeight="false" outlineLevel="0" collapsed="false">
      <c r="A1575" s="36" t="n">
        <v>46279</v>
      </c>
      <c r="B1575" s="24" t="s">
        <v>62</v>
      </c>
      <c r="C1575" s="24" t="s">
        <v>143</v>
      </c>
      <c r="D1575" s="33" t="n">
        <v>16</v>
      </c>
      <c r="E1575" s="24" t="n">
        <v>3</v>
      </c>
      <c r="F1575" s="37" t="n">
        <f aca="false">DATE(YEAR(A1575),MONTH(A1575),1)</f>
        <v>46266</v>
      </c>
      <c r="G1575" s="24" t="str">
        <f aca="false">INDEX(Products!$C$2:$C$49,MATCH(C1575,Products!$A$2:$A$49,0))</f>
        <v>Dairy &amp; Eggs</v>
      </c>
      <c r="H1575" s="33" t="n">
        <f aca="false">D1575*INDEX(Products!$E$2:$E$49,MATCH(C1575,Products!$A$2:$A$49,0))</f>
        <v>3840</v>
      </c>
      <c r="I1575" s="33" t="n">
        <f aca="false">D1575*INDEX(Products!$D$2:$D$49,MATCH(C1575,Products!$A$2:$A$49,0))*(1+INDEX(Assumptions!$B$16:$B$20,MATCH(B1575,Assumptions!$A$16:$A$20,0)))</f>
        <v>3048.192</v>
      </c>
      <c r="J1575" s="33" t="n">
        <f aca="false">H1575-I1575</f>
        <v>791.808</v>
      </c>
      <c r="K1575" s="33" t="n">
        <f aca="false">IF(OR(E1575=0,E1575&gt;=7),0,D1575/(7-E1575)*E1575*INDEX(Products!$E$2:$E$49,MATCH(C1575,Products!$A$2:$A$49,0)))</f>
        <v>2880</v>
      </c>
    </row>
    <row r="1576" customFormat="false" ht="15" hidden="false" customHeight="false" outlineLevel="0" collapsed="false">
      <c r="A1576" s="36" t="n">
        <v>46286</v>
      </c>
      <c r="B1576" s="24" t="s">
        <v>62</v>
      </c>
      <c r="C1576" s="24" t="s">
        <v>143</v>
      </c>
      <c r="D1576" s="33" t="n">
        <v>40</v>
      </c>
      <c r="E1576" s="24" t="n">
        <v>0</v>
      </c>
      <c r="F1576" s="37" t="n">
        <f aca="false">DATE(YEAR(A1576),MONTH(A1576),1)</f>
        <v>46266</v>
      </c>
      <c r="G1576" s="24" t="str">
        <f aca="false">INDEX(Products!$C$2:$C$49,MATCH(C1576,Products!$A$2:$A$49,0))</f>
        <v>Dairy &amp; Eggs</v>
      </c>
      <c r="H1576" s="33" t="n">
        <f aca="false">D1576*INDEX(Products!$E$2:$E$49,MATCH(C1576,Products!$A$2:$A$49,0))</f>
        <v>9600</v>
      </c>
      <c r="I1576" s="33" t="n">
        <f aca="false">D1576*INDEX(Products!$D$2:$D$49,MATCH(C1576,Products!$A$2:$A$49,0))*(1+INDEX(Assumptions!$B$16:$B$20,MATCH(B1576,Assumptions!$A$16:$A$20,0)))</f>
        <v>7620.48</v>
      </c>
      <c r="J1576" s="33" t="n">
        <f aca="false">H1576-I1576</f>
        <v>1979.52</v>
      </c>
      <c r="K1576" s="33" t="n">
        <f aca="false">IF(OR(E1576=0,E1576&gt;=7),0,D1576/(7-E1576)*E1576*INDEX(Products!$E$2:$E$49,MATCH(C1576,Products!$A$2:$A$49,0)))</f>
        <v>0</v>
      </c>
    </row>
    <row r="1577" customFormat="false" ht="15" hidden="false" customHeight="false" outlineLevel="0" collapsed="false">
      <c r="A1577" s="36" t="n">
        <v>46118</v>
      </c>
      <c r="B1577" s="24" t="s">
        <v>62</v>
      </c>
      <c r="C1577" s="24" t="s">
        <v>145</v>
      </c>
      <c r="D1577" s="33" t="n">
        <v>52</v>
      </c>
      <c r="E1577" s="24" t="n">
        <v>0</v>
      </c>
      <c r="F1577" s="37" t="n">
        <f aca="false">DATE(YEAR(A1577),MONTH(A1577),1)</f>
        <v>46113</v>
      </c>
      <c r="G1577" s="24" t="str">
        <f aca="false">INDEX(Products!$C$2:$C$49,MATCH(C1577,Products!$A$2:$A$49,0))</f>
        <v>Dairy &amp; Eggs</v>
      </c>
      <c r="H1577" s="33" t="n">
        <f aca="false">D1577*INDEX(Products!$E$2:$E$49,MATCH(C1577,Products!$A$2:$A$49,0))</f>
        <v>7280</v>
      </c>
      <c r="I1577" s="33" t="n">
        <f aca="false">D1577*INDEX(Products!$D$2:$D$49,MATCH(C1577,Products!$A$2:$A$49,0))*(1+INDEX(Assumptions!$B$16:$B$20,MATCH(B1577,Assumptions!$A$16:$A$20,0)))</f>
        <v>5870.592</v>
      </c>
      <c r="J1577" s="33" t="n">
        <f aca="false">H1577-I1577</f>
        <v>1409.408</v>
      </c>
      <c r="K1577" s="33" t="n">
        <f aca="false">IF(OR(E1577=0,E1577&gt;=7),0,D1577/(7-E1577)*E1577*INDEX(Products!$E$2:$E$49,MATCH(C1577,Products!$A$2:$A$49,0)))</f>
        <v>0</v>
      </c>
    </row>
    <row r="1578" customFormat="false" ht="15" hidden="false" customHeight="false" outlineLevel="0" collapsed="false">
      <c r="A1578" s="36" t="n">
        <v>46125</v>
      </c>
      <c r="B1578" s="24" t="s">
        <v>62</v>
      </c>
      <c r="C1578" s="24" t="s">
        <v>145</v>
      </c>
      <c r="D1578" s="33" t="n">
        <v>58</v>
      </c>
      <c r="E1578" s="24" t="n">
        <v>0</v>
      </c>
      <c r="F1578" s="37" t="n">
        <f aca="false">DATE(YEAR(A1578),MONTH(A1578),1)</f>
        <v>46113</v>
      </c>
      <c r="G1578" s="24" t="str">
        <f aca="false">INDEX(Products!$C$2:$C$49,MATCH(C1578,Products!$A$2:$A$49,0))</f>
        <v>Dairy &amp; Eggs</v>
      </c>
      <c r="H1578" s="33" t="n">
        <f aca="false">D1578*INDEX(Products!$E$2:$E$49,MATCH(C1578,Products!$A$2:$A$49,0))</f>
        <v>8120</v>
      </c>
      <c r="I1578" s="33" t="n">
        <f aca="false">D1578*INDEX(Products!$D$2:$D$49,MATCH(C1578,Products!$A$2:$A$49,0))*(1+INDEX(Assumptions!$B$16:$B$20,MATCH(B1578,Assumptions!$A$16:$A$20,0)))</f>
        <v>6547.968</v>
      </c>
      <c r="J1578" s="33" t="n">
        <f aca="false">H1578-I1578</f>
        <v>1572.032</v>
      </c>
      <c r="K1578" s="33" t="n">
        <f aca="false">IF(OR(E1578=0,E1578&gt;=7),0,D1578/(7-E1578)*E1578*INDEX(Products!$E$2:$E$49,MATCH(C1578,Products!$A$2:$A$49,0)))</f>
        <v>0</v>
      </c>
    </row>
    <row r="1579" customFormat="false" ht="15" hidden="false" customHeight="false" outlineLevel="0" collapsed="false">
      <c r="A1579" s="36" t="n">
        <v>46132</v>
      </c>
      <c r="B1579" s="24" t="s">
        <v>62</v>
      </c>
      <c r="C1579" s="24" t="s">
        <v>145</v>
      </c>
      <c r="D1579" s="33" t="n">
        <v>70</v>
      </c>
      <c r="E1579" s="24" t="n">
        <v>0</v>
      </c>
      <c r="F1579" s="37" t="n">
        <f aca="false">DATE(YEAR(A1579),MONTH(A1579),1)</f>
        <v>46113</v>
      </c>
      <c r="G1579" s="24" t="str">
        <f aca="false">INDEX(Products!$C$2:$C$49,MATCH(C1579,Products!$A$2:$A$49,0))</f>
        <v>Dairy &amp; Eggs</v>
      </c>
      <c r="H1579" s="33" t="n">
        <f aca="false">D1579*INDEX(Products!$E$2:$E$49,MATCH(C1579,Products!$A$2:$A$49,0))</f>
        <v>9800</v>
      </c>
      <c r="I1579" s="33" t="n">
        <f aca="false">D1579*INDEX(Products!$D$2:$D$49,MATCH(C1579,Products!$A$2:$A$49,0))*(1+INDEX(Assumptions!$B$16:$B$20,MATCH(B1579,Assumptions!$A$16:$A$20,0)))</f>
        <v>7902.72</v>
      </c>
      <c r="J1579" s="33" t="n">
        <f aca="false">H1579-I1579</f>
        <v>1897.28</v>
      </c>
      <c r="K1579" s="33" t="n">
        <f aca="false">IF(OR(E1579=0,E1579&gt;=7),0,D1579/(7-E1579)*E1579*INDEX(Products!$E$2:$E$49,MATCH(C1579,Products!$A$2:$A$49,0)))</f>
        <v>0</v>
      </c>
    </row>
    <row r="1580" customFormat="false" ht="15" hidden="false" customHeight="false" outlineLevel="0" collapsed="false">
      <c r="A1580" s="36" t="n">
        <v>46139</v>
      </c>
      <c r="B1580" s="24" t="s">
        <v>62</v>
      </c>
      <c r="C1580" s="24" t="s">
        <v>145</v>
      </c>
      <c r="D1580" s="33" t="n">
        <v>63</v>
      </c>
      <c r="E1580" s="24" t="n">
        <v>0</v>
      </c>
      <c r="F1580" s="37" t="n">
        <f aca="false">DATE(YEAR(A1580),MONTH(A1580),1)</f>
        <v>46113</v>
      </c>
      <c r="G1580" s="24" t="str">
        <f aca="false">INDEX(Products!$C$2:$C$49,MATCH(C1580,Products!$A$2:$A$49,0))</f>
        <v>Dairy &amp; Eggs</v>
      </c>
      <c r="H1580" s="33" t="n">
        <f aca="false">D1580*INDEX(Products!$E$2:$E$49,MATCH(C1580,Products!$A$2:$A$49,0))</f>
        <v>8820</v>
      </c>
      <c r="I1580" s="33" t="n">
        <f aca="false">D1580*INDEX(Products!$D$2:$D$49,MATCH(C1580,Products!$A$2:$A$49,0))*(1+INDEX(Assumptions!$B$16:$B$20,MATCH(B1580,Assumptions!$A$16:$A$20,0)))</f>
        <v>7112.448</v>
      </c>
      <c r="J1580" s="33" t="n">
        <f aca="false">H1580-I1580</f>
        <v>1707.552</v>
      </c>
      <c r="K1580" s="33" t="n">
        <f aca="false">IF(OR(E1580=0,E1580&gt;=7),0,D1580/(7-E1580)*E1580*INDEX(Products!$E$2:$E$49,MATCH(C1580,Products!$A$2:$A$49,0)))</f>
        <v>0</v>
      </c>
    </row>
    <row r="1581" customFormat="false" ht="15" hidden="false" customHeight="false" outlineLevel="0" collapsed="false">
      <c r="A1581" s="36" t="n">
        <v>46146</v>
      </c>
      <c r="B1581" s="24" t="s">
        <v>62</v>
      </c>
      <c r="C1581" s="24" t="s">
        <v>145</v>
      </c>
      <c r="D1581" s="33" t="n">
        <v>58</v>
      </c>
      <c r="E1581" s="24" t="n">
        <v>0</v>
      </c>
      <c r="F1581" s="37" t="n">
        <f aca="false">DATE(YEAR(A1581),MONTH(A1581),1)</f>
        <v>46143</v>
      </c>
      <c r="G1581" s="24" t="str">
        <f aca="false">INDEX(Products!$C$2:$C$49,MATCH(C1581,Products!$A$2:$A$49,0))</f>
        <v>Dairy &amp; Eggs</v>
      </c>
      <c r="H1581" s="33" t="n">
        <f aca="false">D1581*INDEX(Products!$E$2:$E$49,MATCH(C1581,Products!$A$2:$A$49,0))</f>
        <v>8120</v>
      </c>
      <c r="I1581" s="33" t="n">
        <f aca="false">D1581*INDEX(Products!$D$2:$D$49,MATCH(C1581,Products!$A$2:$A$49,0))*(1+INDEX(Assumptions!$B$16:$B$20,MATCH(B1581,Assumptions!$A$16:$A$20,0)))</f>
        <v>6547.968</v>
      </c>
      <c r="J1581" s="33" t="n">
        <f aca="false">H1581-I1581</f>
        <v>1572.032</v>
      </c>
      <c r="K1581" s="33" t="n">
        <f aca="false">IF(OR(E1581=0,E1581&gt;=7),0,D1581/(7-E1581)*E1581*INDEX(Products!$E$2:$E$49,MATCH(C1581,Products!$A$2:$A$49,0)))</f>
        <v>0</v>
      </c>
    </row>
    <row r="1582" customFormat="false" ht="15" hidden="false" customHeight="false" outlineLevel="0" collapsed="false">
      <c r="A1582" s="36" t="n">
        <v>46153</v>
      </c>
      <c r="B1582" s="24" t="s">
        <v>62</v>
      </c>
      <c r="C1582" s="24" t="s">
        <v>145</v>
      </c>
      <c r="D1582" s="33" t="n">
        <v>58</v>
      </c>
      <c r="E1582" s="24" t="n">
        <v>0</v>
      </c>
      <c r="F1582" s="37" t="n">
        <f aca="false">DATE(YEAR(A1582),MONTH(A1582),1)</f>
        <v>46143</v>
      </c>
      <c r="G1582" s="24" t="str">
        <f aca="false">INDEX(Products!$C$2:$C$49,MATCH(C1582,Products!$A$2:$A$49,0))</f>
        <v>Dairy &amp; Eggs</v>
      </c>
      <c r="H1582" s="33" t="n">
        <f aca="false">D1582*INDEX(Products!$E$2:$E$49,MATCH(C1582,Products!$A$2:$A$49,0))</f>
        <v>8120</v>
      </c>
      <c r="I1582" s="33" t="n">
        <f aca="false">D1582*INDEX(Products!$D$2:$D$49,MATCH(C1582,Products!$A$2:$A$49,0))*(1+INDEX(Assumptions!$B$16:$B$20,MATCH(B1582,Assumptions!$A$16:$A$20,0)))</f>
        <v>6547.968</v>
      </c>
      <c r="J1582" s="33" t="n">
        <f aca="false">H1582-I1582</f>
        <v>1572.032</v>
      </c>
      <c r="K1582" s="33" t="n">
        <f aca="false">IF(OR(E1582=0,E1582&gt;=7),0,D1582/(7-E1582)*E1582*INDEX(Products!$E$2:$E$49,MATCH(C1582,Products!$A$2:$A$49,0)))</f>
        <v>0</v>
      </c>
    </row>
    <row r="1583" customFormat="false" ht="15" hidden="false" customHeight="false" outlineLevel="0" collapsed="false">
      <c r="A1583" s="36" t="n">
        <v>46160</v>
      </c>
      <c r="B1583" s="24" t="s">
        <v>62</v>
      </c>
      <c r="C1583" s="24" t="s">
        <v>145</v>
      </c>
      <c r="D1583" s="33" t="n">
        <v>59</v>
      </c>
      <c r="E1583" s="24" t="n">
        <v>0</v>
      </c>
      <c r="F1583" s="37" t="n">
        <f aca="false">DATE(YEAR(A1583),MONTH(A1583),1)</f>
        <v>46143</v>
      </c>
      <c r="G1583" s="24" t="str">
        <f aca="false">INDEX(Products!$C$2:$C$49,MATCH(C1583,Products!$A$2:$A$49,0))</f>
        <v>Dairy &amp; Eggs</v>
      </c>
      <c r="H1583" s="33" t="n">
        <f aca="false">D1583*INDEX(Products!$E$2:$E$49,MATCH(C1583,Products!$A$2:$A$49,0))</f>
        <v>8260</v>
      </c>
      <c r="I1583" s="33" t="n">
        <f aca="false">D1583*INDEX(Products!$D$2:$D$49,MATCH(C1583,Products!$A$2:$A$49,0))*(1+INDEX(Assumptions!$B$16:$B$20,MATCH(B1583,Assumptions!$A$16:$A$20,0)))</f>
        <v>6660.864</v>
      </c>
      <c r="J1583" s="33" t="n">
        <f aca="false">H1583-I1583</f>
        <v>1599.136</v>
      </c>
      <c r="K1583" s="33" t="n">
        <f aca="false">IF(OR(E1583=0,E1583&gt;=7),0,D1583/(7-E1583)*E1583*INDEX(Products!$E$2:$E$49,MATCH(C1583,Products!$A$2:$A$49,0)))</f>
        <v>0</v>
      </c>
    </row>
    <row r="1584" customFormat="false" ht="15" hidden="false" customHeight="false" outlineLevel="0" collapsed="false">
      <c r="A1584" s="36" t="n">
        <v>46167</v>
      </c>
      <c r="B1584" s="24" t="s">
        <v>62</v>
      </c>
      <c r="C1584" s="24" t="s">
        <v>145</v>
      </c>
      <c r="D1584" s="33" t="n">
        <v>71</v>
      </c>
      <c r="E1584" s="24" t="n">
        <v>0</v>
      </c>
      <c r="F1584" s="37" t="n">
        <f aca="false">DATE(YEAR(A1584),MONTH(A1584),1)</f>
        <v>46143</v>
      </c>
      <c r="G1584" s="24" t="str">
        <f aca="false">INDEX(Products!$C$2:$C$49,MATCH(C1584,Products!$A$2:$A$49,0))</f>
        <v>Dairy &amp; Eggs</v>
      </c>
      <c r="H1584" s="33" t="n">
        <f aca="false">D1584*INDEX(Products!$E$2:$E$49,MATCH(C1584,Products!$A$2:$A$49,0))</f>
        <v>9940</v>
      </c>
      <c r="I1584" s="33" t="n">
        <f aca="false">D1584*INDEX(Products!$D$2:$D$49,MATCH(C1584,Products!$A$2:$A$49,0))*(1+INDEX(Assumptions!$B$16:$B$20,MATCH(B1584,Assumptions!$A$16:$A$20,0)))</f>
        <v>8015.616</v>
      </c>
      <c r="J1584" s="33" t="n">
        <f aca="false">H1584-I1584</f>
        <v>1924.384</v>
      </c>
      <c r="K1584" s="33" t="n">
        <f aca="false">IF(OR(E1584=0,E1584&gt;=7),0,D1584/(7-E1584)*E1584*INDEX(Products!$E$2:$E$49,MATCH(C1584,Products!$A$2:$A$49,0)))</f>
        <v>0</v>
      </c>
    </row>
    <row r="1585" customFormat="false" ht="15" hidden="false" customHeight="false" outlineLevel="0" collapsed="false">
      <c r="A1585" s="36" t="n">
        <v>46174</v>
      </c>
      <c r="B1585" s="24" t="s">
        <v>62</v>
      </c>
      <c r="C1585" s="24" t="s">
        <v>145</v>
      </c>
      <c r="D1585" s="33" t="n">
        <v>44</v>
      </c>
      <c r="E1585" s="24" t="n">
        <v>0</v>
      </c>
      <c r="F1585" s="37" t="n">
        <f aca="false">DATE(YEAR(A1585),MONTH(A1585),1)</f>
        <v>46174</v>
      </c>
      <c r="G1585" s="24" t="str">
        <f aca="false">INDEX(Products!$C$2:$C$49,MATCH(C1585,Products!$A$2:$A$49,0))</f>
        <v>Dairy &amp; Eggs</v>
      </c>
      <c r="H1585" s="33" t="n">
        <f aca="false">D1585*INDEX(Products!$E$2:$E$49,MATCH(C1585,Products!$A$2:$A$49,0))</f>
        <v>6160</v>
      </c>
      <c r="I1585" s="33" t="n">
        <f aca="false">D1585*INDEX(Products!$D$2:$D$49,MATCH(C1585,Products!$A$2:$A$49,0))*(1+INDEX(Assumptions!$B$16:$B$20,MATCH(B1585,Assumptions!$A$16:$A$20,0)))</f>
        <v>4967.424</v>
      </c>
      <c r="J1585" s="33" t="n">
        <f aca="false">H1585-I1585</f>
        <v>1192.576</v>
      </c>
      <c r="K1585" s="33" t="n">
        <f aca="false">IF(OR(E1585=0,E1585&gt;=7),0,D1585/(7-E1585)*E1585*INDEX(Products!$E$2:$E$49,MATCH(C1585,Products!$A$2:$A$49,0)))</f>
        <v>0</v>
      </c>
    </row>
    <row r="1586" customFormat="false" ht="15" hidden="false" customHeight="false" outlineLevel="0" collapsed="false">
      <c r="A1586" s="36" t="n">
        <v>46181</v>
      </c>
      <c r="B1586" s="24" t="s">
        <v>62</v>
      </c>
      <c r="C1586" s="24" t="s">
        <v>145</v>
      </c>
      <c r="D1586" s="33" t="n">
        <v>46</v>
      </c>
      <c r="E1586" s="24" t="n">
        <v>0</v>
      </c>
      <c r="F1586" s="37" t="n">
        <f aca="false">DATE(YEAR(A1586),MONTH(A1586),1)</f>
        <v>46174</v>
      </c>
      <c r="G1586" s="24" t="str">
        <f aca="false">INDEX(Products!$C$2:$C$49,MATCH(C1586,Products!$A$2:$A$49,0))</f>
        <v>Dairy &amp; Eggs</v>
      </c>
      <c r="H1586" s="33" t="n">
        <f aca="false">D1586*INDEX(Products!$E$2:$E$49,MATCH(C1586,Products!$A$2:$A$49,0))</f>
        <v>6440</v>
      </c>
      <c r="I1586" s="33" t="n">
        <f aca="false">D1586*INDEX(Products!$D$2:$D$49,MATCH(C1586,Products!$A$2:$A$49,0))*(1+INDEX(Assumptions!$B$16:$B$20,MATCH(B1586,Assumptions!$A$16:$A$20,0)))</f>
        <v>5193.216</v>
      </c>
      <c r="J1586" s="33" t="n">
        <f aca="false">H1586-I1586</f>
        <v>1246.784</v>
      </c>
      <c r="K1586" s="33" t="n">
        <f aca="false">IF(OR(E1586=0,E1586&gt;=7),0,D1586/(7-E1586)*E1586*INDEX(Products!$E$2:$E$49,MATCH(C1586,Products!$A$2:$A$49,0)))</f>
        <v>0</v>
      </c>
    </row>
    <row r="1587" customFormat="false" ht="15" hidden="false" customHeight="false" outlineLevel="0" collapsed="false">
      <c r="A1587" s="36" t="n">
        <v>46188</v>
      </c>
      <c r="B1587" s="24" t="s">
        <v>62</v>
      </c>
      <c r="C1587" s="24" t="s">
        <v>145</v>
      </c>
      <c r="D1587" s="33" t="n">
        <v>55</v>
      </c>
      <c r="E1587" s="24" t="n">
        <v>0</v>
      </c>
      <c r="F1587" s="37" t="n">
        <f aca="false">DATE(YEAR(A1587),MONTH(A1587),1)</f>
        <v>46174</v>
      </c>
      <c r="G1587" s="24" t="str">
        <f aca="false">INDEX(Products!$C$2:$C$49,MATCH(C1587,Products!$A$2:$A$49,0))</f>
        <v>Dairy &amp; Eggs</v>
      </c>
      <c r="H1587" s="33" t="n">
        <f aca="false">D1587*INDEX(Products!$E$2:$E$49,MATCH(C1587,Products!$A$2:$A$49,0))</f>
        <v>7700</v>
      </c>
      <c r="I1587" s="33" t="n">
        <f aca="false">D1587*INDEX(Products!$D$2:$D$49,MATCH(C1587,Products!$A$2:$A$49,0))*(1+INDEX(Assumptions!$B$16:$B$20,MATCH(B1587,Assumptions!$A$16:$A$20,0)))</f>
        <v>6209.28</v>
      </c>
      <c r="J1587" s="33" t="n">
        <f aca="false">H1587-I1587</f>
        <v>1490.72</v>
      </c>
      <c r="K1587" s="33" t="n">
        <f aca="false">IF(OR(E1587=0,E1587&gt;=7),0,D1587/(7-E1587)*E1587*INDEX(Products!$E$2:$E$49,MATCH(C1587,Products!$A$2:$A$49,0)))</f>
        <v>0</v>
      </c>
    </row>
    <row r="1588" customFormat="false" ht="15" hidden="false" customHeight="false" outlineLevel="0" collapsed="false">
      <c r="A1588" s="36" t="n">
        <v>46195</v>
      </c>
      <c r="B1588" s="24" t="s">
        <v>62</v>
      </c>
      <c r="C1588" s="24" t="s">
        <v>145</v>
      </c>
      <c r="D1588" s="33" t="n">
        <v>49</v>
      </c>
      <c r="E1588" s="24" t="n">
        <v>0</v>
      </c>
      <c r="F1588" s="37" t="n">
        <f aca="false">DATE(YEAR(A1588),MONTH(A1588),1)</f>
        <v>46174</v>
      </c>
      <c r="G1588" s="24" t="str">
        <f aca="false">INDEX(Products!$C$2:$C$49,MATCH(C1588,Products!$A$2:$A$49,0))</f>
        <v>Dairy &amp; Eggs</v>
      </c>
      <c r="H1588" s="33" t="n">
        <f aca="false">D1588*INDEX(Products!$E$2:$E$49,MATCH(C1588,Products!$A$2:$A$49,0))</f>
        <v>6860</v>
      </c>
      <c r="I1588" s="33" t="n">
        <f aca="false">D1588*INDEX(Products!$D$2:$D$49,MATCH(C1588,Products!$A$2:$A$49,0))*(1+INDEX(Assumptions!$B$16:$B$20,MATCH(B1588,Assumptions!$A$16:$A$20,0)))</f>
        <v>5531.904</v>
      </c>
      <c r="J1588" s="33" t="n">
        <f aca="false">H1588-I1588</f>
        <v>1328.096</v>
      </c>
      <c r="K1588" s="33" t="n">
        <f aca="false">IF(OR(E1588=0,E1588&gt;=7),0,D1588/(7-E1588)*E1588*INDEX(Products!$E$2:$E$49,MATCH(C1588,Products!$A$2:$A$49,0)))</f>
        <v>0</v>
      </c>
    </row>
    <row r="1589" customFormat="false" ht="15" hidden="false" customHeight="false" outlineLevel="0" collapsed="false">
      <c r="A1589" s="36" t="n">
        <v>46202</v>
      </c>
      <c r="B1589" s="24" t="s">
        <v>62</v>
      </c>
      <c r="C1589" s="24" t="s">
        <v>145</v>
      </c>
      <c r="D1589" s="33" t="n">
        <v>50</v>
      </c>
      <c r="E1589" s="24" t="n">
        <v>0</v>
      </c>
      <c r="F1589" s="37" t="n">
        <f aca="false">DATE(YEAR(A1589),MONTH(A1589),1)</f>
        <v>46174</v>
      </c>
      <c r="G1589" s="24" t="str">
        <f aca="false">INDEX(Products!$C$2:$C$49,MATCH(C1589,Products!$A$2:$A$49,0))</f>
        <v>Dairy &amp; Eggs</v>
      </c>
      <c r="H1589" s="33" t="n">
        <f aca="false">D1589*INDEX(Products!$E$2:$E$49,MATCH(C1589,Products!$A$2:$A$49,0))</f>
        <v>7000</v>
      </c>
      <c r="I1589" s="33" t="n">
        <f aca="false">D1589*INDEX(Products!$D$2:$D$49,MATCH(C1589,Products!$A$2:$A$49,0))*(1+INDEX(Assumptions!$B$16:$B$20,MATCH(B1589,Assumptions!$A$16:$A$20,0)))</f>
        <v>5644.8</v>
      </c>
      <c r="J1589" s="33" t="n">
        <f aca="false">H1589-I1589</f>
        <v>1355.2</v>
      </c>
      <c r="K1589" s="33" t="n">
        <f aca="false">IF(OR(E1589=0,E1589&gt;=7),0,D1589/(7-E1589)*E1589*INDEX(Products!$E$2:$E$49,MATCH(C1589,Products!$A$2:$A$49,0)))</f>
        <v>0</v>
      </c>
    </row>
    <row r="1590" customFormat="false" ht="15" hidden="false" customHeight="false" outlineLevel="0" collapsed="false">
      <c r="A1590" s="36" t="n">
        <v>46209</v>
      </c>
      <c r="B1590" s="24" t="s">
        <v>62</v>
      </c>
      <c r="C1590" s="24" t="s">
        <v>145</v>
      </c>
      <c r="D1590" s="33" t="n">
        <v>42</v>
      </c>
      <c r="E1590" s="24" t="n">
        <v>0</v>
      </c>
      <c r="F1590" s="37" t="n">
        <f aca="false">DATE(YEAR(A1590),MONTH(A1590),1)</f>
        <v>46204</v>
      </c>
      <c r="G1590" s="24" t="str">
        <f aca="false">INDEX(Products!$C$2:$C$49,MATCH(C1590,Products!$A$2:$A$49,0))</f>
        <v>Dairy &amp; Eggs</v>
      </c>
      <c r="H1590" s="33" t="n">
        <f aca="false">D1590*INDEX(Products!$E$2:$E$49,MATCH(C1590,Products!$A$2:$A$49,0))</f>
        <v>5880</v>
      </c>
      <c r="I1590" s="33" t="n">
        <f aca="false">D1590*INDEX(Products!$D$2:$D$49,MATCH(C1590,Products!$A$2:$A$49,0))*(1+INDEX(Assumptions!$B$16:$B$20,MATCH(B1590,Assumptions!$A$16:$A$20,0)))</f>
        <v>4741.632</v>
      </c>
      <c r="J1590" s="33" t="n">
        <f aca="false">H1590-I1590</f>
        <v>1138.368</v>
      </c>
      <c r="K1590" s="33" t="n">
        <f aca="false">IF(OR(E1590=0,E1590&gt;=7),0,D1590/(7-E1590)*E1590*INDEX(Products!$E$2:$E$49,MATCH(C1590,Products!$A$2:$A$49,0)))</f>
        <v>0</v>
      </c>
    </row>
    <row r="1591" customFormat="false" ht="15" hidden="false" customHeight="false" outlineLevel="0" collapsed="false">
      <c r="A1591" s="36" t="n">
        <v>46216</v>
      </c>
      <c r="B1591" s="24" t="s">
        <v>62</v>
      </c>
      <c r="C1591" s="24" t="s">
        <v>145</v>
      </c>
      <c r="D1591" s="33" t="n">
        <v>62</v>
      </c>
      <c r="E1591" s="24" t="n">
        <v>0</v>
      </c>
      <c r="F1591" s="37" t="n">
        <f aca="false">DATE(YEAR(A1591),MONTH(A1591),1)</f>
        <v>46204</v>
      </c>
      <c r="G1591" s="24" t="str">
        <f aca="false">INDEX(Products!$C$2:$C$49,MATCH(C1591,Products!$A$2:$A$49,0))</f>
        <v>Dairy &amp; Eggs</v>
      </c>
      <c r="H1591" s="33" t="n">
        <f aca="false">D1591*INDEX(Products!$E$2:$E$49,MATCH(C1591,Products!$A$2:$A$49,0))</f>
        <v>8680</v>
      </c>
      <c r="I1591" s="33" t="n">
        <f aca="false">D1591*INDEX(Products!$D$2:$D$49,MATCH(C1591,Products!$A$2:$A$49,0))*(1+INDEX(Assumptions!$B$16:$B$20,MATCH(B1591,Assumptions!$A$16:$A$20,0)))</f>
        <v>6999.552</v>
      </c>
      <c r="J1591" s="33" t="n">
        <f aca="false">H1591-I1591</f>
        <v>1680.448</v>
      </c>
      <c r="K1591" s="33" t="n">
        <f aca="false">IF(OR(E1591=0,E1591&gt;=7),0,D1591/(7-E1591)*E1591*INDEX(Products!$E$2:$E$49,MATCH(C1591,Products!$A$2:$A$49,0)))</f>
        <v>0</v>
      </c>
    </row>
    <row r="1592" customFormat="false" ht="15" hidden="false" customHeight="false" outlineLevel="0" collapsed="false">
      <c r="A1592" s="36" t="n">
        <v>46223</v>
      </c>
      <c r="B1592" s="24" t="s">
        <v>62</v>
      </c>
      <c r="C1592" s="24" t="s">
        <v>145</v>
      </c>
      <c r="D1592" s="33" t="n">
        <v>58</v>
      </c>
      <c r="E1592" s="24" t="n">
        <v>0</v>
      </c>
      <c r="F1592" s="37" t="n">
        <f aca="false">DATE(YEAR(A1592),MONTH(A1592),1)</f>
        <v>46204</v>
      </c>
      <c r="G1592" s="24" t="str">
        <f aca="false">INDEX(Products!$C$2:$C$49,MATCH(C1592,Products!$A$2:$A$49,0))</f>
        <v>Dairy &amp; Eggs</v>
      </c>
      <c r="H1592" s="33" t="n">
        <f aca="false">D1592*INDEX(Products!$E$2:$E$49,MATCH(C1592,Products!$A$2:$A$49,0))</f>
        <v>8120</v>
      </c>
      <c r="I1592" s="33" t="n">
        <f aca="false">D1592*INDEX(Products!$D$2:$D$49,MATCH(C1592,Products!$A$2:$A$49,0))*(1+INDEX(Assumptions!$B$16:$B$20,MATCH(B1592,Assumptions!$A$16:$A$20,0)))</f>
        <v>6547.968</v>
      </c>
      <c r="J1592" s="33" t="n">
        <f aca="false">H1592-I1592</f>
        <v>1572.032</v>
      </c>
      <c r="K1592" s="33" t="n">
        <f aca="false">IF(OR(E1592=0,E1592&gt;=7),0,D1592/(7-E1592)*E1592*INDEX(Products!$E$2:$E$49,MATCH(C1592,Products!$A$2:$A$49,0)))</f>
        <v>0</v>
      </c>
    </row>
    <row r="1593" customFormat="false" ht="15" hidden="false" customHeight="false" outlineLevel="0" collapsed="false">
      <c r="A1593" s="36" t="n">
        <v>46230</v>
      </c>
      <c r="B1593" s="24" t="s">
        <v>62</v>
      </c>
      <c r="C1593" s="24" t="s">
        <v>145</v>
      </c>
      <c r="D1593" s="33" t="n">
        <v>62</v>
      </c>
      <c r="E1593" s="24" t="n">
        <v>0</v>
      </c>
      <c r="F1593" s="37" t="n">
        <f aca="false">DATE(YEAR(A1593),MONTH(A1593),1)</f>
        <v>46204</v>
      </c>
      <c r="G1593" s="24" t="str">
        <f aca="false">INDEX(Products!$C$2:$C$49,MATCH(C1593,Products!$A$2:$A$49,0))</f>
        <v>Dairy &amp; Eggs</v>
      </c>
      <c r="H1593" s="33" t="n">
        <f aca="false">D1593*INDEX(Products!$E$2:$E$49,MATCH(C1593,Products!$A$2:$A$49,0))</f>
        <v>8680</v>
      </c>
      <c r="I1593" s="33" t="n">
        <f aca="false">D1593*INDEX(Products!$D$2:$D$49,MATCH(C1593,Products!$A$2:$A$49,0))*(1+INDEX(Assumptions!$B$16:$B$20,MATCH(B1593,Assumptions!$A$16:$A$20,0)))</f>
        <v>6999.552</v>
      </c>
      <c r="J1593" s="33" t="n">
        <f aca="false">H1593-I1593</f>
        <v>1680.448</v>
      </c>
      <c r="K1593" s="33" t="n">
        <f aca="false">IF(OR(E1593=0,E1593&gt;=7),0,D1593/(7-E1593)*E1593*INDEX(Products!$E$2:$E$49,MATCH(C1593,Products!$A$2:$A$49,0)))</f>
        <v>0</v>
      </c>
    </row>
    <row r="1594" customFormat="false" ht="15" hidden="false" customHeight="false" outlineLevel="0" collapsed="false">
      <c r="A1594" s="36" t="n">
        <v>46237</v>
      </c>
      <c r="B1594" s="24" t="s">
        <v>62</v>
      </c>
      <c r="C1594" s="24" t="s">
        <v>145</v>
      </c>
      <c r="D1594" s="33" t="n">
        <v>53</v>
      </c>
      <c r="E1594" s="24" t="n">
        <v>0</v>
      </c>
      <c r="F1594" s="37" t="n">
        <f aca="false">DATE(YEAR(A1594),MONTH(A1594),1)</f>
        <v>46235</v>
      </c>
      <c r="G1594" s="24" t="str">
        <f aca="false">INDEX(Products!$C$2:$C$49,MATCH(C1594,Products!$A$2:$A$49,0))</f>
        <v>Dairy &amp; Eggs</v>
      </c>
      <c r="H1594" s="33" t="n">
        <f aca="false">D1594*INDEX(Products!$E$2:$E$49,MATCH(C1594,Products!$A$2:$A$49,0))</f>
        <v>7420</v>
      </c>
      <c r="I1594" s="33" t="n">
        <f aca="false">D1594*INDEX(Products!$D$2:$D$49,MATCH(C1594,Products!$A$2:$A$49,0))*(1+INDEX(Assumptions!$B$16:$B$20,MATCH(B1594,Assumptions!$A$16:$A$20,0)))</f>
        <v>5983.488</v>
      </c>
      <c r="J1594" s="33" t="n">
        <f aca="false">H1594-I1594</f>
        <v>1436.512</v>
      </c>
      <c r="K1594" s="33" t="n">
        <f aca="false">IF(OR(E1594=0,E1594&gt;=7),0,D1594/(7-E1594)*E1594*INDEX(Products!$E$2:$E$49,MATCH(C1594,Products!$A$2:$A$49,0)))</f>
        <v>0</v>
      </c>
    </row>
    <row r="1595" customFormat="false" ht="15" hidden="false" customHeight="false" outlineLevel="0" collapsed="false">
      <c r="A1595" s="36" t="n">
        <v>46244</v>
      </c>
      <c r="B1595" s="24" t="s">
        <v>62</v>
      </c>
      <c r="C1595" s="24" t="s">
        <v>145</v>
      </c>
      <c r="D1595" s="33" t="n">
        <v>11</v>
      </c>
      <c r="E1595" s="24" t="n">
        <v>5</v>
      </c>
      <c r="F1595" s="37" t="n">
        <f aca="false">DATE(YEAR(A1595),MONTH(A1595),1)</f>
        <v>46235</v>
      </c>
      <c r="G1595" s="24" t="str">
        <f aca="false">INDEX(Products!$C$2:$C$49,MATCH(C1595,Products!$A$2:$A$49,0))</f>
        <v>Dairy &amp; Eggs</v>
      </c>
      <c r="H1595" s="33" t="n">
        <f aca="false">D1595*INDEX(Products!$E$2:$E$49,MATCH(C1595,Products!$A$2:$A$49,0))</f>
        <v>1540</v>
      </c>
      <c r="I1595" s="33" t="n">
        <f aca="false">D1595*INDEX(Products!$D$2:$D$49,MATCH(C1595,Products!$A$2:$A$49,0))*(1+INDEX(Assumptions!$B$16:$B$20,MATCH(B1595,Assumptions!$A$16:$A$20,0)))</f>
        <v>1241.856</v>
      </c>
      <c r="J1595" s="33" t="n">
        <f aca="false">H1595-I1595</f>
        <v>298.144</v>
      </c>
      <c r="K1595" s="33" t="n">
        <f aca="false">IF(OR(E1595=0,E1595&gt;=7),0,D1595/(7-E1595)*E1595*INDEX(Products!$E$2:$E$49,MATCH(C1595,Products!$A$2:$A$49,0)))</f>
        <v>3850</v>
      </c>
    </row>
    <row r="1596" customFormat="false" ht="15" hidden="false" customHeight="false" outlineLevel="0" collapsed="false">
      <c r="A1596" s="36" t="n">
        <v>46251</v>
      </c>
      <c r="B1596" s="24" t="s">
        <v>62</v>
      </c>
      <c r="C1596" s="24" t="s">
        <v>145</v>
      </c>
      <c r="D1596" s="33" t="n">
        <v>62</v>
      </c>
      <c r="E1596" s="24" t="n">
        <v>0</v>
      </c>
      <c r="F1596" s="37" t="n">
        <f aca="false">DATE(YEAR(A1596),MONTH(A1596),1)</f>
        <v>46235</v>
      </c>
      <c r="G1596" s="24" t="str">
        <f aca="false">INDEX(Products!$C$2:$C$49,MATCH(C1596,Products!$A$2:$A$49,0))</f>
        <v>Dairy &amp; Eggs</v>
      </c>
      <c r="H1596" s="33" t="n">
        <f aca="false">D1596*INDEX(Products!$E$2:$E$49,MATCH(C1596,Products!$A$2:$A$49,0))</f>
        <v>8680</v>
      </c>
      <c r="I1596" s="33" t="n">
        <f aca="false">D1596*INDEX(Products!$D$2:$D$49,MATCH(C1596,Products!$A$2:$A$49,0))*(1+INDEX(Assumptions!$B$16:$B$20,MATCH(B1596,Assumptions!$A$16:$A$20,0)))</f>
        <v>6999.552</v>
      </c>
      <c r="J1596" s="33" t="n">
        <f aca="false">H1596-I1596</f>
        <v>1680.448</v>
      </c>
      <c r="K1596" s="33" t="n">
        <f aca="false">IF(OR(E1596=0,E1596&gt;=7),0,D1596/(7-E1596)*E1596*INDEX(Products!$E$2:$E$49,MATCH(C1596,Products!$A$2:$A$49,0)))</f>
        <v>0</v>
      </c>
    </row>
    <row r="1597" customFormat="false" ht="15" hidden="false" customHeight="false" outlineLevel="0" collapsed="false">
      <c r="A1597" s="36" t="n">
        <v>46258</v>
      </c>
      <c r="B1597" s="24" t="s">
        <v>62</v>
      </c>
      <c r="C1597" s="24" t="s">
        <v>145</v>
      </c>
      <c r="D1597" s="33" t="n">
        <v>64</v>
      </c>
      <c r="E1597" s="24" t="n">
        <v>0</v>
      </c>
      <c r="F1597" s="37" t="n">
        <f aca="false">DATE(YEAR(A1597),MONTH(A1597),1)</f>
        <v>46235</v>
      </c>
      <c r="G1597" s="24" t="str">
        <f aca="false">INDEX(Products!$C$2:$C$49,MATCH(C1597,Products!$A$2:$A$49,0))</f>
        <v>Dairy &amp; Eggs</v>
      </c>
      <c r="H1597" s="33" t="n">
        <f aca="false">D1597*INDEX(Products!$E$2:$E$49,MATCH(C1597,Products!$A$2:$A$49,0))</f>
        <v>8960</v>
      </c>
      <c r="I1597" s="33" t="n">
        <f aca="false">D1597*INDEX(Products!$D$2:$D$49,MATCH(C1597,Products!$A$2:$A$49,0))*(1+INDEX(Assumptions!$B$16:$B$20,MATCH(B1597,Assumptions!$A$16:$A$20,0)))</f>
        <v>7225.344</v>
      </c>
      <c r="J1597" s="33" t="n">
        <f aca="false">H1597-I1597</f>
        <v>1734.656</v>
      </c>
      <c r="K1597" s="33" t="n">
        <f aca="false">IF(OR(E1597=0,E1597&gt;=7),0,D1597/(7-E1597)*E1597*INDEX(Products!$E$2:$E$49,MATCH(C1597,Products!$A$2:$A$49,0)))</f>
        <v>0</v>
      </c>
    </row>
    <row r="1598" customFormat="false" ht="15" hidden="false" customHeight="false" outlineLevel="0" collapsed="false">
      <c r="A1598" s="36" t="n">
        <v>46265</v>
      </c>
      <c r="B1598" s="24" t="s">
        <v>62</v>
      </c>
      <c r="C1598" s="24" t="s">
        <v>145</v>
      </c>
      <c r="D1598" s="33" t="n">
        <v>69</v>
      </c>
      <c r="E1598" s="24" t="n">
        <v>0</v>
      </c>
      <c r="F1598" s="37" t="n">
        <f aca="false">DATE(YEAR(A1598),MONTH(A1598),1)</f>
        <v>46235</v>
      </c>
      <c r="G1598" s="24" t="str">
        <f aca="false">INDEX(Products!$C$2:$C$49,MATCH(C1598,Products!$A$2:$A$49,0))</f>
        <v>Dairy &amp; Eggs</v>
      </c>
      <c r="H1598" s="33" t="n">
        <f aca="false">D1598*INDEX(Products!$E$2:$E$49,MATCH(C1598,Products!$A$2:$A$49,0))</f>
        <v>9660</v>
      </c>
      <c r="I1598" s="33" t="n">
        <f aca="false">D1598*INDEX(Products!$D$2:$D$49,MATCH(C1598,Products!$A$2:$A$49,0))*(1+INDEX(Assumptions!$B$16:$B$20,MATCH(B1598,Assumptions!$A$16:$A$20,0)))</f>
        <v>7789.824</v>
      </c>
      <c r="J1598" s="33" t="n">
        <f aca="false">H1598-I1598</f>
        <v>1870.176</v>
      </c>
      <c r="K1598" s="33" t="n">
        <f aca="false">IF(OR(E1598=0,E1598&gt;=7),0,D1598/(7-E1598)*E1598*INDEX(Products!$E$2:$E$49,MATCH(C1598,Products!$A$2:$A$49,0)))</f>
        <v>0</v>
      </c>
    </row>
    <row r="1599" customFormat="false" ht="15" hidden="false" customHeight="false" outlineLevel="0" collapsed="false">
      <c r="A1599" s="36" t="n">
        <v>46272</v>
      </c>
      <c r="B1599" s="24" t="s">
        <v>62</v>
      </c>
      <c r="C1599" s="24" t="s">
        <v>145</v>
      </c>
      <c r="D1599" s="33" t="n">
        <v>62</v>
      </c>
      <c r="E1599" s="24" t="n">
        <v>0</v>
      </c>
      <c r="F1599" s="37" t="n">
        <f aca="false">DATE(YEAR(A1599),MONTH(A1599),1)</f>
        <v>46266</v>
      </c>
      <c r="G1599" s="24" t="str">
        <f aca="false">INDEX(Products!$C$2:$C$49,MATCH(C1599,Products!$A$2:$A$49,0))</f>
        <v>Dairy &amp; Eggs</v>
      </c>
      <c r="H1599" s="33" t="n">
        <f aca="false">D1599*INDEX(Products!$E$2:$E$49,MATCH(C1599,Products!$A$2:$A$49,0))</f>
        <v>8680</v>
      </c>
      <c r="I1599" s="33" t="n">
        <f aca="false">D1599*INDEX(Products!$D$2:$D$49,MATCH(C1599,Products!$A$2:$A$49,0))*(1+INDEX(Assumptions!$B$16:$B$20,MATCH(B1599,Assumptions!$A$16:$A$20,0)))</f>
        <v>6999.552</v>
      </c>
      <c r="J1599" s="33" t="n">
        <f aca="false">H1599-I1599</f>
        <v>1680.448</v>
      </c>
      <c r="K1599" s="33" t="n">
        <f aca="false">IF(OR(E1599=0,E1599&gt;=7),0,D1599/(7-E1599)*E1599*INDEX(Products!$E$2:$E$49,MATCH(C1599,Products!$A$2:$A$49,0)))</f>
        <v>0</v>
      </c>
    </row>
    <row r="1600" customFormat="false" ht="15" hidden="false" customHeight="false" outlineLevel="0" collapsed="false">
      <c r="A1600" s="36" t="n">
        <v>46279</v>
      </c>
      <c r="B1600" s="24" t="s">
        <v>62</v>
      </c>
      <c r="C1600" s="24" t="s">
        <v>145</v>
      </c>
      <c r="D1600" s="33" t="n">
        <v>52</v>
      </c>
      <c r="E1600" s="24" t="n">
        <v>0</v>
      </c>
      <c r="F1600" s="37" t="n">
        <f aca="false">DATE(YEAR(A1600),MONTH(A1600),1)</f>
        <v>46266</v>
      </c>
      <c r="G1600" s="24" t="str">
        <f aca="false">INDEX(Products!$C$2:$C$49,MATCH(C1600,Products!$A$2:$A$49,0))</f>
        <v>Dairy &amp; Eggs</v>
      </c>
      <c r="H1600" s="33" t="n">
        <f aca="false">D1600*INDEX(Products!$E$2:$E$49,MATCH(C1600,Products!$A$2:$A$49,0))</f>
        <v>7280</v>
      </c>
      <c r="I1600" s="33" t="n">
        <f aca="false">D1600*INDEX(Products!$D$2:$D$49,MATCH(C1600,Products!$A$2:$A$49,0))*(1+INDEX(Assumptions!$B$16:$B$20,MATCH(B1600,Assumptions!$A$16:$A$20,0)))</f>
        <v>5870.592</v>
      </c>
      <c r="J1600" s="33" t="n">
        <f aca="false">H1600-I1600</f>
        <v>1409.408</v>
      </c>
      <c r="K1600" s="33" t="n">
        <f aca="false">IF(OR(E1600=0,E1600&gt;=7),0,D1600/(7-E1600)*E1600*INDEX(Products!$E$2:$E$49,MATCH(C1600,Products!$A$2:$A$49,0)))</f>
        <v>0</v>
      </c>
    </row>
    <row r="1601" customFormat="false" ht="15" hidden="false" customHeight="false" outlineLevel="0" collapsed="false">
      <c r="A1601" s="36" t="n">
        <v>46286</v>
      </c>
      <c r="B1601" s="24" t="s">
        <v>62</v>
      </c>
      <c r="C1601" s="24" t="s">
        <v>145</v>
      </c>
      <c r="D1601" s="33" t="n">
        <v>65</v>
      </c>
      <c r="E1601" s="24" t="n">
        <v>0</v>
      </c>
      <c r="F1601" s="37" t="n">
        <f aca="false">DATE(YEAR(A1601),MONTH(A1601),1)</f>
        <v>46266</v>
      </c>
      <c r="G1601" s="24" t="str">
        <f aca="false">INDEX(Products!$C$2:$C$49,MATCH(C1601,Products!$A$2:$A$49,0))</f>
        <v>Dairy &amp; Eggs</v>
      </c>
      <c r="H1601" s="33" t="n">
        <f aca="false">D1601*INDEX(Products!$E$2:$E$49,MATCH(C1601,Products!$A$2:$A$49,0))</f>
        <v>9100</v>
      </c>
      <c r="I1601" s="33" t="n">
        <f aca="false">D1601*INDEX(Products!$D$2:$D$49,MATCH(C1601,Products!$A$2:$A$49,0))*(1+INDEX(Assumptions!$B$16:$B$20,MATCH(B1601,Assumptions!$A$16:$A$20,0)))</f>
        <v>7338.24</v>
      </c>
      <c r="J1601" s="33" t="n">
        <f aca="false">H1601-I1601</f>
        <v>1761.76</v>
      </c>
      <c r="K1601" s="33" t="n">
        <f aca="false">IF(OR(E1601=0,E1601&gt;=7),0,D1601/(7-E1601)*E1601*INDEX(Products!$E$2:$E$49,MATCH(C1601,Products!$A$2:$A$49,0)))</f>
        <v>0</v>
      </c>
    </row>
    <row r="1602" customFormat="false" ht="15" hidden="false" customHeight="false" outlineLevel="0" collapsed="false">
      <c r="A1602" s="36" t="n">
        <v>46118</v>
      </c>
      <c r="B1602" s="24" t="s">
        <v>62</v>
      </c>
      <c r="C1602" s="24" t="s">
        <v>147</v>
      </c>
      <c r="D1602" s="33" t="n">
        <v>176</v>
      </c>
      <c r="E1602" s="24" t="n">
        <v>0</v>
      </c>
      <c r="F1602" s="37" t="n">
        <f aca="false">DATE(YEAR(A1602),MONTH(A1602),1)</f>
        <v>46113</v>
      </c>
      <c r="G1602" s="24" t="str">
        <f aca="false">INDEX(Products!$C$2:$C$49,MATCH(C1602,Products!$A$2:$A$49,0))</f>
        <v>Beverages</v>
      </c>
      <c r="H1602" s="33" t="n">
        <f aca="false">D1602*INDEX(Products!$E$2:$E$49,MATCH(C1602,Products!$A$2:$A$49,0))</f>
        <v>12320</v>
      </c>
      <c r="I1602" s="33" t="n">
        <f aca="false">D1602*INDEX(Products!$D$2:$D$49,MATCH(C1602,Products!$A$2:$A$49,0))*(1+INDEX(Assumptions!$B$16:$B$20,MATCH(B1602,Assumptions!$A$16:$A$20,0)))</f>
        <v>9580.032</v>
      </c>
      <c r="J1602" s="33" t="n">
        <f aca="false">H1602-I1602</f>
        <v>2739.968</v>
      </c>
      <c r="K1602" s="33" t="n">
        <f aca="false">IF(OR(E1602=0,E1602&gt;=7),0,D1602/(7-E1602)*E1602*INDEX(Products!$E$2:$E$49,MATCH(C1602,Products!$A$2:$A$49,0)))</f>
        <v>0</v>
      </c>
    </row>
    <row r="1603" customFormat="false" ht="15" hidden="false" customHeight="false" outlineLevel="0" collapsed="false">
      <c r="A1603" s="36" t="n">
        <v>46125</v>
      </c>
      <c r="B1603" s="24" t="s">
        <v>62</v>
      </c>
      <c r="C1603" s="24" t="s">
        <v>147</v>
      </c>
      <c r="D1603" s="33" t="n">
        <v>192</v>
      </c>
      <c r="E1603" s="24" t="n">
        <v>0</v>
      </c>
      <c r="F1603" s="37" t="n">
        <f aca="false">DATE(YEAR(A1603),MONTH(A1603),1)</f>
        <v>46113</v>
      </c>
      <c r="G1603" s="24" t="str">
        <f aca="false">INDEX(Products!$C$2:$C$49,MATCH(C1603,Products!$A$2:$A$49,0))</f>
        <v>Beverages</v>
      </c>
      <c r="H1603" s="33" t="n">
        <f aca="false">D1603*INDEX(Products!$E$2:$E$49,MATCH(C1603,Products!$A$2:$A$49,0))</f>
        <v>13440</v>
      </c>
      <c r="I1603" s="33" t="n">
        <f aca="false">D1603*INDEX(Products!$D$2:$D$49,MATCH(C1603,Products!$A$2:$A$49,0))*(1+INDEX(Assumptions!$B$16:$B$20,MATCH(B1603,Assumptions!$A$16:$A$20,0)))</f>
        <v>10450.944</v>
      </c>
      <c r="J1603" s="33" t="n">
        <f aca="false">H1603-I1603</f>
        <v>2989.056</v>
      </c>
      <c r="K1603" s="33" t="n">
        <f aca="false">IF(OR(E1603=0,E1603&gt;=7),0,D1603/(7-E1603)*E1603*INDEX(Products!$E$2:$E$49,MATCH(C1603,Products!$A$2:$A$49,0)))</f>
        <v>0</v>
      </c>
    </row>
    <row r="1604" customFormat="false" ht="15" hidden="false" customHeight="false" outlineLevel="0" collapsed="false">
      <c r="A1604" s="36" t="n">
        <v>46132</v>
      </c>
      <c r="B1604" s="24" t="s">
        <v>62</v>
      </c>
      <c r="C1604" s="24" t="s">
        <v>147</v>
      </c>
      <c r="D1604" s="33" t="n">
        <v>205</v>
      </c>
      <c r="E1604" s="24" t="n">
        <v>0</v>
      </c>
      <c r="F1604" s="37" t="n">
        <f aca="false">DATE(YEAR(A1604),MONTH(A1604),1)</f>
        <v>46113</v>
      </c>
      <c r="G1604" s="24" t="str">
        <f aca="false">INDEX(Products!$C$2:$C$49,MATCH(C1604,Products!$A$2:$A$49,0))</f>
        <v>Beverages</v>
      </c>
      <c r="H1604" s="33" t="n">
        <f aca="false">D1604*INDEX(Products!$E$2:$E$49,MATCH(C1604,Products!$A$2:$A$49,0))</f>
        <v>14350</v>
      </c>
      <c r="I1604" s="33" t="n">
        <f aca="false">D1604*INDEX(Products!$D$2:$D$49,MATCH(C1604,Products!$A$2:$A$49,0))*(1+INDEX(Assumptions!$B$16:$B$20,MATCH(B1604,Assumptions!$A$16:$A$20,0)))</f>
        <v>11158.56</v>
      </c>
      <c r="J1604" s="33" t="n">
        <f aca="false">H1604-I1604</f>
        <v>3191.44</v>
      </c>
      <c r="K1604" s="33" t="n">
        <f aca="false">IF(OR(E1604=0,E1604&gt;=7),0,D1604/(7-E1604)*E1604*INDEX(Products!$E$2:$E$49,MATCH(C1604,Products!$A$2:$A$49,0)))</f>
        <v>0</v>
      </c>
    </row>
    <row r="1605" customFormat="false" ht="15" hidden="false" customHeight="false" outlineLevel="0" collapsed="false">
      <c r="A1605" s="36" t="n">
        <v>46139</v>
      </c>
      <c r="B1605" s="24" t="s">
        <v>62</v>
      </c>
      <c r="C1605" s="24" t="s">
        <v>147</v>
      </c>
      <c r="D1605" s="33" t="n">
        <v>228</v>
      </c>
      <c r="E1605" s="24" t="n">
        <v>0</v>
      </c>
      <c r="F1605" s="37" t="n">
        <f aca="false">DATE(YEAR(A1605),MONTH(A1605),1)</f>
        <v>46113</v>
      </c>
      <c r="G1605" s="24" t="str">
        <f aca="false">INDEX(Products!$C$2:$C$49,MATCH(C1605,Products!$A$2:$A$49,0))</f>
        <v>Beverages</v>
      </c>
      <c r="H1605" s="33" t="n">
        <f aca="false">D1605*INDEX(Products!$E$2:$E$49,MATCH(C1605,Products!$A$2:$A$49,0))</f>
        <v>15960</v>
      </c>
      <c r="I1605" s="33" t="n">
        <f aca="false">D1605*INDEX(Products!$D$2:$D$49,MATCH(C1605,Products!$A$2:$A$49,0))*(1+INDEX(Assumptions!$B$16:$B$20,MATCH(B1605,Assumptions!$A$16:$A$20,0)))</f>
        <v>12410.496</v>
      </c>
      <c r="J1605" s="33" t="n">
        <f aca="false">H1605-I1605</f>
        <v>3549.504</v>
      </c>
      <c r="K1605" s="33" t="n">
        <f aca="false">IF(OR(E1605=0,E1605&gt;=7),0,D1605/(7-E1605)*E1605*INDEX(Products!$E$2:$E$49,MATCH(C1605,Products!$A$2:$A$49,0)))</f>
        <v>0</v>
      </c>
    </row>
    <row r="1606" customFormat="false" ht="15" hidden="false" customHeight="false" outlineLevel="0" collapsed="false">
      <c r="A1606" s="36" t="n">
        <v>46146</v>
      </c>
      <c r="B1606" s="24" t="s">
        <v>62</v>
      </c>
      <c r="C1606" s="24" t="s">
        <v>147</v>
      </c>
      <c r="D1606" s="33" t="n">
        <v>207</v>
      </c>
      <c r="E1606" s="24" t="n">
        <v>0</v>
      </c>
      <c r="F1606" s="37" t="n">
        <f aca="false">DATE(YEAR(A1606),MONTH(A1606),1)</f>
        <v>46143</v>
      </c>
      <c r="G1606" s="24" t="str">
        <f aca="false">INDEX(Products!$C$2:$C$49,MATCH(C1606,Products!$A$2:$A$49,0))</f>
        <v>Beverages</v>
      </c>
      <c r="H1606" s="33" t="n">
        <f aca="false">D1606*INDEX(Products!$E$2:$E$49,MATCH(C1606,Products!$A$2:$A$49,0))</f>
        <v>14490</v>
      </c>
      <c r="I1606" s="33" t="n">
        <f aca="false">D1606*INDEX(Products!$D$2:$D$49,MATCH(C1606,Products!$A$2:$A$49,0))*(1+INDEX(Assumptions!$B$16:$B$20,MATCH(B1606,Assumptions!$A$16:$A$20,0)))</f>
        <v>11267.424</v>
      </c>
      <c r="J1606" s="33" t="n">
        <f aca="false">H1606-I1606</f>
        <v>3222.576</v>
      </c>
      <c r="K1606" s="33" t="n">
        <f aca="false">IF(OR(E1606=0,E1606&gt;=7),0,D1606/(7-E1606)*E1606*INDEX(Products!$E$2:$E$49,MATCH(C1606,Products!$A$2:$A$49,0)))</f>
        <v>0</v>
      </c>
    </row>
    <row r="1607" customFormat="false" ht="15" hidden="false" customHeight="false" outlineLevel="0" collapsed="false">
      <c r="A1607" s="36" t="n">
        <v>46153</v>
      </c>
      <c r="B1607" s="24" t="s">
        <v>62</v>
      </c>
      <c r="C1607" s="24" t="s">
        <v>147</v>
      </c>
      <c r="D1607" s="33" t="n">
        <v>364</v>
      </c>
      <c r="E1607" s="24" t="n">
        <v>0</v>
      </c>
      <c r="F1607" s="37" t="n">
        <f aca="false">DATE(YEAR(A1607),MONTH(A1607),1)</f>
        <v>46143</v>
      </c>
      <c r="G1607" s="24" t="str">
        <f aca="false">INDEX(Products!$C$2:$C$49,MATCH(C1607,Products!$A$2:$A$49,0))</f>
        <v>Beverages</v>
      </c>
      <c r="H1607" s="33" t="n">
        <f aca="false">D1607*INDEX(Products!$E$2:$E$49,MATCH(C1607,Products!$A$2:$A$49,0))</f>
        <v>25480</v>
      </c>
      <c r="I1607" s="33" t="n">
        <f aca="false">D1607*INDEX(Products!$D$2:$D$49,MATCH(C1607,Products!$A$2:$A$49,0))*(1+INDEX(Assumptions!$B$16:$B$20,MATCH(B1607,Assumptions!$A$16:$A$20,0)))</f>
        <v>19813.248</v>
      </c>
      <c r="J1607" s="33" t="n">
        <f aca="false">H1607-I1607</f>
        <v>5666.752</v>
      </c>
      <c r="K1607" s="33" t="n">
        <f aca="false">IF(OR(E1607=0,E1607&gt;=7),0,D1607/(7-E1607)*E1607*INDEX(Products!$E$2:$E$49,MATCH(C1607,Products!$A$2:$A$49,0)))</f>
        <v>0</v>
      </c>
    </row>
    <row r="1608" customFormat="false" ht="15" hidden="false" customHeight="false" outlineLevel="0" collapsed="false">
      <c r="A1608" s="36" t="n">
        <v>46160</v>
      </c>
      <c r="B1608" s="24" t="s">
        <v>62</v>
      </c>
      <c r="C1608" s="24" t="s">
        <v>147</v>
      </c>
      <c r="D1608" s="33" t="n">
        <v>206</v>
      </c>
      <c r="E1608" s="24" t="n">
        <v>0</v>
      </c>
      <c r="F1608" s="37" t="n">
        <f aca="false">DATE(YEAR(A1608),MONTH(A1608),1)</f>
        <v>46143</v>
      </c>
      <c r="G1608" s="24" t="str">
        <f aca="false">INDEX(Products!$C$2:$C$49,MATCH(C1608,Products!$A$2:$A$49,0))</f>
        <v>Beverages</v>
      </c>
      <c r="H1608" s="33" t="n">
        <f aca="false">D1608*INDEX(Products!$E$2:$E$49,MATCH(C1608,Products!$A$2:$A$49,0))</f>
        <v>14420</v>
      </c>
      <c r="I1608" s="33" t="n">
        <f aca="false">D1608*INDEX(Products!$D$2:$D$49,MATCH(C1608,Products!$A$2:$A$49,0))*(1+INDEX(Assumptions!$B$16:$B$20,MATCH(B1608,Assumptions!$A$16:$A$20,0)))</f>
        <v>11212.992</v>
      </c>
      <c r="J1608" s="33" t="n">
        <f aca="false">H1608-I1608</f>
        <v>3207.008</v>
      </c>
      <c r="K1608" s="33" t="n">
        <f aca="false">IF(OR(E1608=0,E1608&gt;=7),0,D1608/(7-E1608)*E1608*INDEX(Products!$E$2:$E$49,MATCH(C1608,Products!$A$2:$A$49,0)))</f>
        <v>0</v>
      </c>
    </row>
    <row r="1609" customFormat="false" ht="15" hidden="false" customHeight="false" outlineLevel="0" collapsed="false">
      <c r="A1609" s="36" t="n">
        <v>46167</v>
      </c>
      <c r="B1609" s="24" t="s">
        <v>62</v>
      </c>
      <c r="C1609" s="24" t="s">
        <v>147</v>
      </c>
      <c r="D1609" s="33" t="n">
        <v>238</v>
      </c>
      <c r="E1609" s="24" t="n">
        <v>0</v>
      </c>
      <c r="F1609" s="37" t="n">
        <f aca="false">DATE(YEAR(A1609),MONTH(A1609),1)</f>
        <v>46143</v>
      </c>
      <c r="G1609" s="24" t="str">
        <f aca="false">INDEX(Products!$C$2:$C$49,MATCH(C1609,Products!$A$2:$A$49,0))</f>
        <v>Beverages</v>
      </c>
      <c r="H1609" s="33" t="n">
        <f aca="false">D1609*INDEX(Products!$E$2:$E$49,MATCH(C1609,Products!$A$2:$A$49,0))</f>
        <v>16660</v>
      </c>
      <c r="I1609" s="33" t="n">
        <f aca="false">D1609*INDEX(Products!$D$2:$D$49,MATCH(C1609,Products!$A$2:$A$49,0))*(1+INDEX(Assumptions!$B$16:$B$20,MATCH(B1609,Assumptions!$A$16:$A$20,0)))</f>
        <v>12954.816</v>
      </c>
      <c r="J1609" s="33" t="n">
        <f aca="false">H1609-I1609</f>
        <v>3705.184</v>
      </c>
      <c r="K1609" s="33" t="n">
        <f aca="false">IF(OR(E1609=0,E1609&gt;=7),0,D1609/(7-E1609)*E1609*INDEX(Products!$E$2:$E$49,MATCH(C1609,Products!$A$2:$A$49,0)))</f>
        <v>0</v>
      </c>
    </row>
    <row r="1610" customFormat="false" ht="15" hidden="false" customHeight="false" outlineLevel="0" collapsed="false">
      <c r="A1610" s="36" t="n">
        <v>46174</v>
      </c>
      <c r="B1610" s="24" t="s">
        <v>62</v>
      </c>
      <c r="C1610" s="24" t="s">
        <v>147</v>
      </c>
      <c r="D1610" s="33" t="n">
        <v>206</v>
      </c>
      <c r="E1610" s="24" t="n">
        <v>0</v>
      </c>
      <c r="F1610" s="37" t="n">
        <f aca="false">DATE(YEAR(A1610),MONTH(A1610),1)</f>
        <v>46174</v>
      </c>
      <c r="G1610" s="24" t="str">
        <f aca="false">INDEX(Products!$C$2:$C$49,MATCH(C1610,Products!$A$2:$A$49,0))</f>
        <v>Beverages</v>
      </c>
      <c r="H1610" s="33" t="n">
        <f aca="false">D1610*INDEX(Products!$E$2:$E$49,MATCH(C1610,Products!$A$2:$A$49,0))</f>
        <v>14420</v>
      </c>
      <c r="I1610" s="33" t="n">
        <f aca="false">D1610*INDEX(Products!$D$2:$D$49,MATCH(C1610,Products!$A$2:$A$49,0))*(1+INDEX(Assumptions!$B$16:$B$20,MATCH(B1610,Assumptions!$A$16:$A$20,0)))</f>
        <v>11212.992</v>
      </c>
      <c r="J1610" s="33" t="n">
        <f aca="false">H1610-I1610</f>
        <v>3207.008</v>
      </c>
      <c r="K1610" s="33" t="n">
        <f aca="false">IF(OR(E1610=0,E1610&gt;=7),0,D1610/(7-E1610)*E1610*INDEX(Products!$E$2:$E$49,MATCH(C1610,Products!$A$2:$A$49,0)))</f>
        <v>0</v>
      </c>
    </row>
    <row r="1611" customFormat="false" ht="15" hidden="false" customHeight="false" outlineLevel="0" collapsed="false">
      <c r="A1611" s="36" t="n">
        <v>46181</v>
      </c>
      <c r="B1611" s="24" t="s">
        <v>62</v>
      </c>
      <c r="C1611" s="24" t="s">
        <v>147</v>
      </c>
      <c r="D1611" s="33" t="n">
        <v>206</v>
      </c>
      <c r="E1611" s="24" t="n">
        <v>0</v>
      </c>
      <c r="F1611" s="37" t="n">
        <f aca="false">DATE(YEAR(A1611),MONTH(A1611),1)</f>
        <v>46174</v>
      </c>
      <c r="G1611" s="24" t="str">
        <f aca="false">INDEX(Products!$C$2:$C$49,MATCH(C1611,Products!$A$2:$A$49,0))</f>
        <v>Beverages</v>
      </c>
      <c r="H1611" s="33" t="n">
        <f aca="false">D1611*INDEX(Products!$E$2:$E$49,MATCH(C1611,Products!$A$2:$A$49,0))</f>
        <v>14420</v>
      </c>
      <c r="I1611" s="33" t="n">
        <f aca="false">D1611*INDEX(Products!$D$2:$D$49,MATCH(C1611,Products!$A$2:$A$49,0))*(1+INDEX(Assumptions!$B$16:$B$20,MATCH(B1611,Assumptions!$A$16:$A$20,0)))</f>
        <v>11212.992</v>
      </c>
      <c r="J1611" s="33" t="n">
        <f aca="false">H1611-I1611</f>
        <v>3207.008</v>
      </c>
      <c r="K1611" s="33" t="n">
        <f aca="false">IF(OR(E1611=0,E1611&gt;=7),0,D1611/(7-E1611)*E1611*INDEX(Products!$E$2:$E$49,MATCH(C1611,Products!$A$2:$A$49,0)))</f>
        <v>0</v>
      </c>
    </row>
    <row r="1612" customFormat="false" ht="15" hidden="false" customHeight="false" outlineLevel="0" collapsed="false">
      <c r="A1612" s="36" t="n">
        <v>46188</v>
      </c>
      <c r="B1612" s="24" t="s">
        <v>62</v>
      </c>
      <c r="C1612" s="24" t="s">
        <v>147</v>
      </c>
      <c r="D1612" s="33" t="n">
        <v>218</v>
      </c>
      <c r="E1612" s="24" t="n">
        <v>0</v>
      </c>
      <c r="F1612" s="37" t="n">
        <f aca="false">DATE(YEAR(A1612),MONTH(A1612),1)</f>
        <v>46174</v>
      </c>
      <c r="G1612" s="24" t="str">
        <f aca="false">INDEX(Products!$C$2:$C$49,MATCH(C1612,Products!$A$2:$A$49,0))</f>
        <v>Beverages</v>
      </c>
      <c r="H1612" s="33" t="n">
        <f aca="false">D1612*INDEX(Products!$E$2:$E$49,MATCH(C1612,Products!$A$2:$A$49,0))</f>
        <v>15260</v>
      </c>
      <c r="I1612" s="33" t="n">
        <f aca="false">D1612*INDEX(Products!$D$2:$D$49,MATCH(C1612,Products!$A$2:$A$49,0))*(1+INDEX(Assumptions!$B$16:$B$20,MATCH(B1612,Assumptions!$A$16:$A$20,0)))</f>
        <v>11866.176</v>
      </c>
      <c r="J1612" s="33" t="n">
        <f aca="false">H1612-I1612</f>
        <v>3393.824</v>
      </c>
      <c r="K1612" s="33" t="n">
        <f aca="false">IF(OR(E1612=0,E1612&gt;=7),0,D1612/(7-E1612)*E1612*INDEX(Products!$E$2:$E$49,MATCH(C1612,Products!$A$2:$A$49,0)))</f>
        <v>0</v>
      </c>
    </row>
    <row r="1613" customFormat="false" ht="15" hidden="false" customHeight="false" outlineLevel="0" collapsed="false">
      <c r="A1613" s="36" t="n">
        <v>46195</v>
      </c>
      <c r="B1613" s="24" t="s">
        <v>62</v>
      </c>
      <c r="C1613" s="24" t="s">
        <v>147</v>
      </c>
      <c r="D1613" s="33" t="n">
        <v>230</v>
      </c>
      <c r="E1613" s="24" t="n">
        <v>0</v>
      </c>
      <c r="F1613" s="37" t="n">
        <f aca="false">DATE(YEAR(A1613),MONTH(A1613),1)</f>
        <v>46174</v>
      </c>
      <c r="G1613" s="24" t="str">
        <f aca="false">INDEX(Products!$C$2:$C$49,MATCH(C1613,Products!$A$2:$A$49,0))</f>
        <v>Beverages</v>
      </c>
      <c r="H1613" s="33" t="n">
        <f aca="false">D1613*INDEX(Products!$E$2:$E$49,MATCH(C1613,Products!$A$2:$A$49,0))</f>
        <v>16100</v>
      </c>
      <c r="I1613" s="33" t="n">
        <f aca="false">D1613*INDEX(Products!$D$2:$D$49,MATCH(C1613,Products!$A$2:$A$49,0))*(1+INDEX(Assumptions!$B$16:$B$20,MATCH(B1613,Assumptions!$A$16:$A$20,0)))</f>
        <v>12519.36</v>
      </c>
      <c r="J1613" s="33" t="n">
        <f aca="false">H1613-I1613</f>
        <v>3580.64</v>
      </c>
      <c r="K1613" s="33" t="n">
        <f aca="false">IF(OR(E1613=0,E1613&gt;=7),0,D1613/(7-E1613)*E1613*INDEX(Products!$E$2:$E$49,MATCH(C1613,Products!$A$2:$A$49,0)))</f>
        <v>0</v>
      </c>
    </row>
    <row r="1614" customFormat="false" ht="15" hidden="false" customHeight="false" outlineLevel="0" collapsed="false">
      <c r="A1614" s="36" t="n">
        <v>46202</v>
      </c>
      <c r="B1614" s="24" t="s">
        <v>62</v>
      </c>
      <c r="C1614" s="24" t="s">
        <v>147</v>
      </c>
      <c r="D1614" s="33" t="n">
        <v>242</v>
      </c>
      <c r="E1614" s="24" t="n">
        <v>0</v>
      </c>
      <c r="F1614" s="37" t="n">
        <f aca="false">DATE(YEAR(A1614),MONTH(A1614),1)</f>
        <v>46174</v>
      </c>
      <c r="G1614" s="24" t="str">
        <f aca="false">INDEX(Products!$C$2:$C$49,MATCH(C1614,Products!$A$2:$A$49,0))</f>
        <v>Beverages</v>
      </c>
      <c r="H1614" s="33" t="n">
        <f aca="false">D1614*INDEX(Products!$E$2:$E$49,MATCH(C1614,Products!$A$2:$A$49,0))</f>
        <v>16940</v>
      </c>
      <c r="I1614" s="33" t="n">
        <f aca="false">D1614*INDEX(Products!$D$2:$D$49,MATCH(C1614,Products!$A$2:$A$49,0))*(1+INDEX(Assumptions!$B$16:$B$20,MATCH(B1614,Assumptions!$A$16:$A$20,0)))</f>
        <v>13172.544</v>
      </c>
      <c r="J1614" s="33" t="n">
        <f aca="false">H1614-I1614</f>
        <v>3767.456</v>
      </c>
      <c r="K1614" s="33" t="n">
        <f aca="false">IF(OR(E1614=0,E1614&gt;=7),0,D1614/(7-E1614)*E1614*INDEX(Products!$E$2:$E$49,MATCH(C1614,Products!$A$2:$A$49,0)))</f>
        <v>0</v>
      </c>
    </row>
    <row r="1615" customFormat="false" ht="15" hidden="false" customHeight="false" outlineLevel="0" collapsed="false">
      <c r="A1615" s="36" t="n">
        <v>46209</v>
      </c>
      <c r="B1615" s="24" t="s">
        <v>62</v>
      </c>
      <c r="C1615" s="24" t="s">
        <v>147</v>
      </c>
      <c r="D1615" s="33" t="n">
        <v>221</v>
      </c>
      <c r="E1615" s="24" t="n">
        <v>0</v>
      </c>
      <c r="F1615" s="37" t="n">
        <f aca="false">DATE(YEAR(A1615),MONTH(A1615),1)</f>
        <v>46204</v>
      </c>
      <c r="G1615" s="24" t="str">
        <f aca="false">INDEX(Products!$C$2:$C$49,MATCH(C1615,Products!$A$2:$A$49,0))</f>
        <v>Beverages</v>
      </c>
      <c r="H1615" s="33" t="n">
        <f aca="false">D1615*INDEX(Products!$E$2:$E$49,MATCH(C1615,Products!$A$2:$A$49,0))</f>
        <v>15470</v>
      </c>
      <c r="I1615" s="33" t="n">
        <f aca="false">D1615*INDEX(Products!$D$2:$D$49,MATCH(C1615,Products!$A$2:$A$49,0))*(1+INDEX(Assumptions!$B$16:$B$20,MATCH(B1615,Assumptions!$A$16:$A$20,0)))</f>
        <v>12029.472</v>
      </c>
      <c r="J1615" s="33" t="n">
        <f aca="false">H1615-I1615</f>
        <v>3440.528</v>
      </c>
      <c r="K1615" s="33" t="n">
        <f aca="false">IF(OR(E1615=0,E1615&gt;=7),0,D1615/(7-E1615)*E1615*INDEX(Products!$E$2:$E$49,MATCH(C1615,Products!$A$2:$A$49,0)))</f>
        <v>0</v>
      </c>
    </row>
    <row r="1616" customFormat="false" ht="15" hidden="false" customHeight="false" outlineLevel="0" collapsed="false">
      <c r="A1616" s="36" t="n">
        <v>46216</v>
      </c>
      <c r="B1616" s="24" t="s">
        <v>62</v>
      </c>
      <c r="C1616" s="24" t="s">
        <v>147</v>
      </c>
      <c r="D1616" s="33" t="n">
        <v>205</v>
      </c>
      <c r="E1616" s="24" t="n">
        <v>0</v>
      </c>
      <c r="F1616" s="37" t="n">
        <f aca="false">DATE(YEAR(A1616),MONTH(A1616),1)</f>
        <v>46204</v>
      </c>
      <c r="G1616" s="24" t="str">
        <f aca="false">INDEX(Products!$C$2:$C$49,MATCH(C1616,Products!$A$2:$A$49,0))</f>
        <v>Beverages</v>
      </c>
      <c r="H1616" s="33" t="n">
        <f aca="false">D1616*INDEX(Products!$E$2:$E$49,MATCH(C1616,Products!$A$2:$A$49,0))</f>
        <v>14350</v>
      </c>
      <c r="I1616" s="33" t="n">
        <f aca="false">D1616*INDEX(Products!$D$2:$D$49,MATCH(C1616,Products!$A$2:$A$49,0))*(1+INDEX(Assumptions!$B$16:$B$20,MATCH(B1616,Assumptions!$A$16:$A$20,0)))</f>
        <v>11158.56</v>
      </c>
      <c r="J1616" s="33" t="n">
        <f aca="false">H1616-I1616</f>
        <v>3191.44</v>
      </c>
      <c r="K1616" s="33" t="n">
        <f aca="false">IF(OR(E1616=0,E1616&gt;=7),0,D1616/(7-E1616)*E1616*INDEX(Products!$E$2:$E$49,MATCH(C1616,Products!$A$2:$A$49,0)))</f>
        <v>0</v>
      </c>
    </row>
    <row r="1617" customFormat="false" ht="15" hidden="false" customHeight="false" outlineLevel="0" collapsed="false">
      <c r="A1617" s="36" t="n">
        <v>46223</v>
      </c>
      <c r="B1617" s="24" t="s">
        <v>62</v>
      </c>
      <c r="C1617" s="24" t="s">
        <v>147</v>
      </c>
      <c r="D1617" s="33" t="n">
        <v>238</v>
      </c>
      <c r="E1617" s="24" t="n">
        <v>0</v>
      </c>
      <c r="F1617" s="37" t="n">
        <f aca="false">DATE(YEAR(A1617),MONTH(A1617),1)</f>
        <v>46204</v>
      </c>
      <c r="G1617" s="24" t="str">
        <f aca="false">INDEX(Products!$C$2:$C$49,MATCH(C1617,Products!$A$2:$A$49,0))</f>
        <v>Beverages</v>
      </c>
      <c r="H1617" s="33" t="n">
        <f aca="false">D1617*INDEX(Products!$E$2:$E$49,MATCH(C1617,Products!$A$2:$A$49,0))</f>
        <v>16660</v>
      </c>
      <c r="I1617" s="33" t="n">
        <f aca="false">D1617*INDEX(Products!$D$2:$D$49,MATCH(C1617,Products!$A$2:$A$49,0))*(1+INDEX(Assumptions!$B$16:$B$20,MATCH(B1617,Assumptions!$A$16:$A$20,0)))</f>
        <v>12954.816</v>
      </c>
      <c r="J1617" s="33" t="n">
        <f aca="false">H1617-I1617</f>
        <v>3705.184</v>
      </c>
      <c r="K1617" s="33" t="n">
        <f aca="false">IF(OR(E1617=0,E1617&gt;=7),0,D1617/(7-E1617)*E1617*INDEX(Products!$E$2:$E$49,MATCH(C1617,Products!$A$2:$A$49,0)))</f>
        <v>0</v>
      </c>
    </row>
    <row r="1618" customFormat="false" ht="15" hidden="false" customHeight="false" outlineLevel="0" collapsed="false">
      <c r="A1618" s="36" t="n">
        <v>46230</v>
      </c>
      <c r="B1618" s="24" t="s">
        <v>62</v>
      </c>
      <c r="C1618" s="24" t="s">
        <v>147</v>
      </c>
      <c r="D1618" s="33" t="n">
        <v>244</v>
      </c>
      <c r="E1618" s="24" t="n">
        <v>0</v>
      </c>
      <c r="F1618" s="37" t="n">
        <f aca="false">DATE(YEAR(A1618),MONTH(A1618),1)</f>
        <v>46204</v>
      </c>
      <c r="G1618" s="24" t="str">
        <f aca="false">INDEX(Products!$C$2:$C$49,MATCH(C1618,Products!$A$2:$A$49,0))</f>
        <v>Beverages</v>
      </c>
      <c r="H1618" s="33" t="n">
        <f aca="false">D1618*INDEX(Products!$E$2:$E$49,MATCH(C1618,Products!$A$2:$A$49,0))</f>
        <v>17080</v>
      </c>
      <c r="I1618" s="33" t="n">
        <f aca="false">D1618*INDEX(Products!$D$2:$D$49,MATCH(C1618,Products!$A$2:$A$49,0))*(1+INDEX(Assumptions!$B$16:$B$20,MATCH(B1618,Assumptions!$A$16:$A$20,0)))</f>
        <v>13281.408</v>
      </c>
      <c r="J1618" s="33" t="n">
        <f aca="false">H1618-I1618</f>
        <v>3798.592</v>
      </c>
      <c r="K1618" s="33" t="n">
        <f aca="false">IF(OR(E1618=0,E1618&gt;=7),0,D1618/(7-E1618)*E1618*INDEX(Products!$E$2:$E$49,MATCH(C1618,Products!$A$2:$A$49,0)))</f>
        <v>0</v>
      </c>
    </row>
    <row r="1619" customFormat="false" ht="15" hidden="false" customHeight="false" outlineLevel="0" collapsed="false">
      <c r="A1619" s="36" t="n">
        <v>46237</v>
      </c>
      <c r="B1619" s="24" t="s">
        <v>62</v>
      </c>
      <c r="C1619" s="24" t="s">
        <v>147</v>
      </c>
      <c r="D1619" s="33" t="n">
        <v>238</v>
      </c>
      <c r="E1619" s="24" t="n">
        <v>0</v>
      </c>
      <c r="F1619" s="37" t="n">
        <f aca="false">DATE(YEAR(A1619),MONTH(A1619),1)</f>
        <v>46235</v>
      </c>
      <c r="G1619" s="24" t="str">
        <f aca="false">INDEX(Products!$C$2:$C$49,MATCH(C1619,Products!$A$2:$A$49,0))</f>
        <v>Beverages</v>
      </c>
      <c r="H1619" s="33" t="n">
        <f aca="false">D1619*INDEX(Products!$E$2:$E$49,MATCH(C1619,Products!$A$2:$A$49,0))</f>
        <v>16660</v>
      </c>
      <c r="I1619" s="33" t="n">
        <f aca="false">D1619*INDEX(Products!$D$2:$D$49,MATCH(C1619,Products!$A$2:$A$49,0))*(1+INDEX(Assumptions!$B$16:$B$20,MATCH(B1619,Assumptions!$A$16:$A$20,0)))</f>
        <v>12954.816</v>
      </c>
      <c r="J1619" s="33" t="n">
        <f aca="false">H1619-I1619</f>
        <v>3705.184</v>
      </c>
      <c r="K1619" s="33" t="n">
        <f aca="false">IF(OR(E1619=0,E1619&gt;=7),0,D1619/(7-E1619)*E1619*INDEX(Products!$E$2:$E$49,MATCH(C1619,Products!$A$2:$A$49,0)))</f>
        <v>0</v>
      </c>
    </row>
    <row r="1620" customFormat="false" ht="15" hidden="false" customHeight="false" outlineLevel="0" collapsed="false">
      <c r="A1620" s="36" t="n">
        <v>46244</v>
      </c>
      <c r="B1620" s="24" t="s">
        <v>62</v>
      </c>
      <c r="C1620" s="24" t="s">
        <v>147</v>
      </c>
      <c r="D1620" s="33" t="n">
        <v>240</v>
      </c>
      <c r="E1620" s="24" t="n">
        <v>0</v>
      </c>
      <c r="F1620" s="37" t="n">
        <f aca="false">DATE(YEAR(A1620),MONTH(A1620),1)</f>
        <v>46235</v>
      </c>
      <c r="G1620" s="24" t="str">
        <f aca="false">INDEX(Products!$C$2:$C$49,MATCH(C1620,Products!$A$2:$A$49,0))</f>
        <v>Beverages</v>
      </c>
      <c r="H1620" s="33" t="n">
        <f aca="false">D1620*INDEX(Products!$E$2:$E$49,MATCH(C1620,Products!$A$2:$A$49,0))</f>
        <v>16800</v>
      </c>
      <c r="I1620" s="33" t="n">
        <f aca="false">D1620*INDEX(Products!$D$2:$D$49,MATCH(C1620,Products!$A$2:$A$49,0))*(1+INDEX(Assumptions!$B$16:$B$20,MATCH(B1620,Assumptions!$A$16:$A$20,0)))</f>
        <v>13063.68</v>
      </c>
      <c r="J1620" s="33" t="n">
        <f aca="false">H1620-I1620</f>
        <v>3736.32</v>
      </c>
      <c r="K1620" s="33" t="n">
        <f aca="false">IF(OR(E1620=0,E1620&gt;=7),0,D1620/(7-E1620)*E1620*INDEX(Products!$E$2:$E$49,MATCH(C1620,Products!$A$2:$A$49,0)))</f>
        <v>0</v>
      </c>
    </row>
    <row r="1621" customFormat="false" ht="15" hidden="false" customHeight="false" outlineLevel="0" collapsed="false">
      <c r="A1621" s="36" t="n">
        <v>46251</v>
      </c>
      <c r="B1621" s="24" t="s">
        <v>62</v>
      </c>
      <c r="C1621" s="24" t="s">
        <v>147</v>
      </c>
      <c r="D1621" s="33" t="n">
        <v>241</v>
      </c>
      <c r="E1621" s="24" t="n">
        <v>0</v>
      </c>
      <c r="F1621" s="37" t="n">
        <f aca="false">DATE(YEAR(A1621),MONTH(A1621),1)</f>
        <v>46235</v>
      </c>
      <c r="G1621" s="24" t="str">
        <f aca="false">INDEX(Products!$C$2:$C$49,MATCH(C1621,Products!$A$2:$A$49,0))</f>
        <v>Beverages</v>
      </c>
      <c r="H1621" s="33" t="n">
        <f aca="false">D1621*INDEX(Products!$E$2:$E$49,MATCH(C1621,Products!$A$2:$A$49,0))</f>
        <v>16870</v>
      </c>
      <c r="I1621" s="33" t="n">
        <f aca="false">D1621*INDEX(Products!$D$2:$D$49,MATCH(C1621,Products!$A$2:$A$49,0))*(1+INDEX(Assumptions!$B$16:$B$20,MATCH(B1621,Assumptions!$A$16:$A$20,0)))</f>
        <v>13118.112</v>
      </c>
      <c r="J1621" s="33" t="n">
        <f aca="false">H1621-I1621</f>
        <v>3751.888</v>
      </c>
      <c r="K1621" s="33" t="n">
        <f aca="false">IF(OR(E1621=0,E1621&gt;=7),0,D1621/(7-E1621)*E1621*INDEX(Products!$E$2:$E$49,MATCH(C1621,Products!$A$2:$A$49,0)))</f>
        <v>0</v>
      </c>
    </row>
    <row r="1622" customFormat="false" ht="15" hidden="false" customHeight="false" outlineLevel="0" collapsed="false">
      <c r="A1622" s="36" t="n">
        <v>46258</v>
      </c>
      <c r="B1622" s="24" t="s">
        <v>62</v>
      </c>
      <c r="C1622" s="24" t="s">
        <v>147</v>
      </c>
      <c r="D1622" s="33" t="n">
        <v>250</v>
      </c>
      <c r="E1622" s="24" t="n">
        <v>0</v>
      </c>
      <c r="F1622" s="37" t="n">
        <f aca="false">DATE(YEAR(A1622),MONTH(A1622),1)</f>
        <v>46235</v>
      </c>
      <c r="G1622" s="24" t="str">
        <f aca="false">INDEX(Products!$C$2:$C$49,MATCH(C1622,Products!$A$2:$A$49,0))</f>
        <v>Beverages</v>
      </c>
      <c r="H1622" s="33" t="n">
        <f aca="false">D1622*INDEX(Products!$E$2:$E$49,MATCH(C1622,Products!$A$2:$A$49,0))</f>
        <v>17500</v>
      </c>
      <c r="I1622" s="33" t="n">
        <f aca="false">D1622*INDEX(Products!$D$2:$D$49,MATCH(C1622,Products!$A$2:$A$49,0))*(1+INDEX(Assumptions!$B$16:$B$20,MATCH(B1622,Assumptions!$A$16:$A$20,0)))</f>
        <v>13608</v>
      </c>
      <c r="J1622" s="33" t="n">
        <f aca="false">H1622-I1622</f>
        <v>3892</v>
      </c>
      <c r="K1622" s="33" t="n">
        <f aca="false">IF(OR(E1622=0,E1622&gt;=7),0,D1622/(7-E1622)*E1622*INDEX(Products!$E$2:$E$49,MATCH(C1622,Products!$A$2:$A$49,0)))</f>
        <v>0</v>
      </c>
    </row>
    <row r="1623" customFormat="false" ht="15" hidden="false" customHeight="false" outlineLevel="0" collapsed="false">
      <c r="A1623" s="36" t="n">
        <v>46265</v>
      </c>
      <c r="B1623" s="24" t="s">
        <v>62</v>
      </c>
      <c r="C1623" s="24" t="s">
        <v>147</v>
      </c>
      <c r="D1623" s="33" t="n">
        <v>246</v>
      </c>
      <c r="E1623" s="24" t="n">
        <v>0</v>
      </c>
      <c r="F1623" s="37" t="n">
        <f aca="false">DATE(YEAR(A1623),MONTH(A1623),1)</f>
        <v>46235</v>
      </c>
      <c r="G1623" s="24" t="str">
        <f aca="false">INDEX(Products!$C$2:$C$49,MATCH(C1623,Products!$A$2:$A$49,0))</f>
        <v>Beverages</v>
      </c>
      <c r="H1623" s="33" t="n">
        <f aca="false">D1623*INDEX(Products!$E$2:$E$49,MATCH(C1623,Products!$A$2:$A$49,0))</f>
        <v>17220</v>
      </c>
      <c r="I1623" s="33" t="n">
        <f aca="false">D1623*INDEX(Products!$D$2:$D$49,MATCH(C1623,Products!$A$2:$A$49,0))*(1+INDEX(Assumptions!$B$16:$B$20,MATCH(B1623,Assumptions!$A$16:$A$20,0)))</f>
        <v>13390.272</v>
      </c>
      <c r="J1623" s="33" t="n">
        <f aca="false">H1623-I1623</f>
        <v>3829.728</v>
      </c>
      <c r="K1623" s="33" t="n">
        <f aca="false">IF(OR(E1623=0,E1623&gt;=7),0,D1623/(7-E1623)*E1623*INDEX(Products!$E$2:$E$49,MATCH(C1623,Products!$A$2:$A$49,0)))</f>
        <v>0</v>
      </c>
    </row>
    <row r="1624" customFormat="false" ht="15" hidden="false" customHeight="false" outlineLevel="0" collapsed="false">
      <c r="A1624" s="36" t="n">
        <v>46272</v>
      </c>
      <c r="B1624" s="24" t="s">
        <v>62</v>
      </c>
      <c r="C1624" s="24" t="s">
        <v>147</v>
      </c>
      <c r="D1624" s="33" t="n">
        <v>269</v>
      </c>
      <c r="E1624" s="24" t="n">
        <v>0</v>
      </c>
      <c r="F1624" s="37" t="n">
        <f aca="false">DATE(YEAR(A1624),MONTH(A1624),1)</f>
        <v>46266</v>
      </c>
      <c r="G1624" s="24" t="str">
        <f aca="false">INDEX(Products!$C$2:$C$49,MATCH(C1624,Products!$A$2:$A$49,0))</f>
        <v>Beverages</v>
      </c>
      <c r="H1624" s="33" t="n">
        <f aca="false">D1624*INDEX(Products!$E$2:$E$49,MATCH(C1624,Products!$A$2:$A$49,0))</f>
        <v>18830</v>
      </c>
      <c r="I1624" s="33" t="n">
        <f aca="false">D1624*INDEX(Products!$D$2:$D$49,MATCH(C1624,Products!$A$2:$A$49,0))*(1+INDEX(Assumptions!$B$16:$B$20,MATCH(B1624,Assumptions!$A$16:$A$20,0)))</f>
        <v>14642.208</v>
      </c>
      <c r="J1624" s="33" t="n">
        <f aca="false">H1624-I1624</f>
        <v>4187.792</v>
      </c>
      <c r="K1624" s="33" t="n">
        <f aca="false">IF(OR(E1624=0,E1624&gt;=7),0,D1624/(7-E1624)*E1624*INDEX(Products!$E$2:$E$49,MATCH(C1624,Products!$A$2:$A$49,0)))</f>
        <v>0</v>
      </c>
    </row>
    <row r="1625" customFormat="false" ht="15" hidden="false" customHeight="false" outlineLevel="0" collapsed="false">
      <c r="A1625" s="36" t="n">
        <v>46279</v>
      </c>
      <c r="B1625" s="24" t="s">
        <v>62</v>
      </c>
      <c r="C1625" s="24" t="s">
        <v>147</v>
      </c>
      <c r="D1625" s="33" t="n">
        <v>253</v>
      </c>
      <c r="E1625" s="24" t="n">
        <v>0</v>
      </c>
      <c r="F1625" s="37" t="n">
        <f aca="false">DATE(YEAR(A1625),MONTH(A1625),1)</f>
        <v>46266</v>
      </c>
      <c r="G1625" s="24" t="str">
        <f aca="false">INDEX(Products!$C$2:$C$49,MATCH(C1625,Products!$A$2:$A$49,0))</f>
        <v>Beverages</v>
      </c>
      <c r="H1625" s="33" t="n">
        <f aca="false">D1625*INDEX(Products!$E$2:$E$49,MATCH(C1625,Products!$A$2:$A$49,0))</f>
        <v>17710</v>
      </c>
      <c r="I1625" s="33" t="n">
        <f aca="false">D1625*INDEX(Products!$D$2:$D$49,MATCH(C1625,Products!$A$2:$A$49,0))*(1+INDEX(Assumptions!$B$16:$B$20,MATCH(B1625,Assumptions!$A$16:$A$20,0)))</f>
        <v>13771.296</v>
      </c>
      <c r="J1625" s="33" t="n">
        <f aca="false">H1625-I1625</f>
        <v>3938.704</v>
      </c>
      <c r="K1625" s="33" t="n">
        <f aca="false">IF(OR(E1625=0,E1625&gt;=7),0,D1625/(7-E1625)*E1625*INDEX(Products!$E$2:$E$49,MATCH(C1625,Products!$A$2:$A$49,0)))</f>
        <v>0</v>
      </c>
    </row>
    <row r="1626" customFormat="false" ht="15" hidden="false" customHeight="false" outlineLevel="0" collapsed="false">
      <c r="A1626" s="36" t="n">
        <v>46286</v>
      </c>
      <c r="B1626" s="24" t="s">
        <v>62</v>
      </c>
      <c r="C1626" s="24" t="s">
        <v>147</v>
      </c>
      <c r="D1626" s="33" t="n">
        <v>275</v>
      </c>
      <c r="E1626" s="24" t="n">
        <v>1</v>
      </c>
      <c r="F1626" s="37" t="n">
        <f aca="false">DATE(YEAR(A1626),MONTH(A1626),1)</f>
        <v>46266</v>
      </c>
      <c r="G1626" s="24" t="str">
        <f aca="false">INDEX(Products!$C$2:$C$49,MATCH(C1626,Products!$A$2:$A$49,0))</f>
        <v>Beverages</v>
      </c>
      <c r="H1626" s="33" t="n">
        <f aca="false">D1626*INDEX(Products!$E$2:$E$49,MATCH(C1626,Products!$A$2:$A$49,0))</f>
        <v>19250</v>
      </c>
      <c r="I1626" s="33" t="n">
        <f aca="false">D1626*INDEX(Products!$D$2:$D$49,MATCH(C1626,Products!$A$2:$A$49,0))*(1+INDEX(Assumptions!$B$16:$B$20,MATCH(B1626,Assumptions!$A$16:$A$20,0)))</f>
        <v>14968.8</v>
      </c>
      <c r="J1626" s="33" t="n">
        <f aca="false">H1626-I1626</f>
        <v>4281.2</v>
      </c>
      <c r="K1626" s="33" t="n">
        <f aca="false">IF(OR(E1626=0,E1626&gt;=7),0,D1626/(7-E1626)*E1626*INDEX(Products!$E$2:$E$49,MATCH(C1626,Products!$A$2:$A$49,0)))</f>
        <v>3208.33333333333</v>
      </c>
    </row>
    <row r="1627" customFormat="false" ht="15" hidden="false" customHeight="false" outlineLevel="0" collapsed="false">
      <c r="A1627" s="36" t="n">
        <v>46118</v>
      </c>
      <c r="B1627" s="24" t="s">
        <v>62</v>
      </c>
      <c r="C1627" s="24" t="s">
        <v>149</v>
      </c>
      <c r="D1627" s="33" t="n">
        <v>325</v>
      </c>
      <c r="E1627" s="24" t="n">
        <v>0</v>
      </c>
      <c r="F1627" s="37" t="n">
        <f aca="false">DATE(YEAR(A1627),MONTH(A1627),1)</f>
        <v>46113</v>
      </c>
      <c r="G1627" s="24" t="str">
        <f aca="false">INDEX(Products!$C$2:$C$49,MATCH(C1627,Products!$A$2:$A$49,0))</f>
        <v>Beverages</v>
      </c>
      <c r="H1627" s="33" t="n">
        <f aca="false">D1627*INDEX(Products!$E$2:$E$49,MATCH(C1627,Products!$A$2:$A$49,0))</f>
        <v>61750</v>
      </c>
      <c r="I1627" s="33" t="n">
        <f aca="false">D1627*INDEX(Products!$D$2:$D$49,MATCH(C1627,Products!$A$2:$A$49,0))*(1+INDEX(Assumptions!$B$16:$B$20,MATCH(B1627,Assumptions!$A$16:$A$20,0)))</f>
        <v>49795.2</v>
      </c>
      <c r="J1627" s="33" t="n">
        <f aca="false">H1627-I1627</f>
        <v>11954.8</v>
      </c>
      <c r="K1627" s="33" t="n">
        <f aca="false">IF(OR(E1627=0,E1627&gt;=7),0,D1627/(7-E1627)*E1627*INDEX(Products!$E$2:$E$49,MATCH(C1627,Products!$A$2:$A$49,0)))</f>
        <v>0</v>
      </c>
    </row>
    <row r="1628" customFormat="false" ht="15" hidden="false" customHeight="false" outlineLevel="0" collapsed="false">
      <c r="A1628" s="36" t="n">
        <v>46125</v>
      </c>
      <c r="B1628" s="24" t="s">
        <v>62</v>
      </c>
      <c r="C1628" s="24" t="s">
        <v>149</v>
      </c>
      <c r="D1628" s="33" t="n">
        <v>302</v>
      </c>
      <c r="E1628" s="24" t="n">
        <v>0</v>
      </c>
      <c r="F1628" s="37" t="n">
        <f aca="false">DATE(YEAR(A1628),MONTH(A1628),1)</f>
        <v>46113</v>
      </c>
      <c r="G1628" s="24" t="str">
        <f aca="false">INDEX(Products!$C$2:$C$49,MATCH(C1628,Products!$A$2:$A$49,0))</f>
        <v>Beverages</v>
      </c>
      <c r="H1628" s="33" t="n">
        <f aca="false">D1628*INDEX(Products!$E$2:$E$49,MATCH(C1628,Products!$A$2:$A$49,0))</f>
        <v>57380</v>
      </c>
      <c r="I1628" s="33" t="n">
        <f aca="false">D1628*INDEX(Products!$D$2:$D$49,MATCH(C1628,Products!$A$2:$A$49,0))*(1+INDEX(Assumptions!$B$16:$B$20,MATCH(B1628,Assumptions!$A$16:$A$20,0)))</f>
        <v>46271.232</v>
      </c>
      <c r="J1628" s="33" t="n">
        <f aca="false">H1628-I1628</f>
        <v>11108.768</v>
      </c>
      <c r="K1628" s="33" t="n">
        <f aca="false">IF(OR(E1628=0,E1628&gt;=7),0,D1628/(7-E1628)*E1628*INDEX(Products!$E$2:$E$49,MATCH(C1628,Products!$A$2:$A$49,0)))</f>
        <v>0</v>
      </c>
    </row>
    <row r="1629" customFormat="false" ht="15" hidden="false" customHeight="false" outlineLevel="0" collapsed="false">
      <c r="A1629" s="36" t="n">
        <v>46132</v>
      </c>
      <c r="B1629" s="24" t="s">
        <v>62</v>
      </c>
      <c r="C1629" s="24" t="s">
        <v>149</v>
      </c>
      <c r="D1629" s="33" t="n">
        <v>330</v>
      </c>
      <c r="E1629" s="24" t="n">
        <v>0</v>
      </c>
      <c r="F1629" s="37" t="n">
        <f aca="false">DATE(YEAR(A1629),MONTH(A1629),1)</f>
        <v>46113</v>
      </c>
      <c r="G1629" s="24" t="str">
        <f aca="false">INDEX(Products!$C$2:$C$49,MATCH(C1629,Products!$A$2:$A$49,0))</f>
        <v>Beverages</v>
      </c>
      <c r="H1629" s="33" t="n">
        <f aca="false">D1629*INDEX(Products!$E$2:$E$49,MATCH(C1629,Products!$A$2:$A$49,0))</f>
        <v>62700</v>
      </c>
      <c r="I1629" s="33" t="n">
        <f aca="false">D1629*INDEX(Products!$D$2:$D$49,MATCH(C1629,Products!$A$2:$A$49,0))*(1+INDEX(Assumptions!$B$16:$B$20,MATCH(B1629,Assumptions!$A$16:$A$20,0)))</f>
        <v>50561.28</v>
      </c>
      <c r="J1629" s="33" t="n">
        <f aca="false">H1629-I1629</f>
        <v>12138.72</v>
      </c>
      <c r="K1629" s="33" t="n">
        <f aca="false">IF(OR(E1629=0,E1629&gt;=7),0,D1629/(7-E1629)*E1629*INDEX(Products!$E$2:$E$49,MATCH(C1629,Products!$A$2:$A$49,0)))</f>
        <v>0</v>
      </c>
    </row>
    <row r="1630" customFormat="false" ht="15" hidden="false" customHeight="false" outlineLevel="0" collapsed="false">
      <c r="A1630" s="36" t="n">
        <v>46139</v>
      </c>
      <c r="B1630" s="24" t="s">
        <v>62</v>
      </c>
      <c r="C1630" s="24" t="s">
        <v>149</v>
      </c>
      <c r="D1630" s="33" t="n">
        <v>585</v>
      </c>
      <c r="E1630" s="24" t="n">
        <v>0</v>
      </c>
      <c r="F1630" s="37" t="n">
        <f aca="false">DATE(YEAR(A1630),MONTH(A1630),1)</f>
        <v>46113</v>
      </c>
      <c r="G1630" s="24" t="str">
        <f aca="false">INDEX(Products!$C$2:$C$49,MATCH(C1630,Products!$A$2:$A$49,0))</f>
        <v>Beverages</v>
      </c>
      <c r="H1630" s="33" t="n">
        <f aca="false">D1630*INDEX(Products!$E$2:$E$49,MATCH(C1630,Products!$A$2:$A$49,0))</f>
        <v>111150</v>
      </c>
      <c r="I1630" s="33" t="n">
        <f aca="false">D1630*INDEX(Products!$D$2:$D$49,MATCH(C1630,Products!$A$2:$A$49,0))*(1+INDEX(Assumptions!$B$16:$B$20,MATCH(B1630,Assumptions!$A$16:$A$20,0)))</f>
        <v>89631.36</v>
      </c>
      <c r="J1630" s="33" t="n">
        <f aca="false">H1630-I1630</f>
        <v>21518.64</v>
      </c>
      <c r="K1630" s="33" t="n">
        <f aca="false">IF(OR(E1630=0,E1630&gt;=7),0,D1630/(7-E1630)*E1630*INDEX(Products!$E$2:$E$49,MATCH(C1630,Products!$A$2:$A$49,0)))</f>
        <v>0</v>
      </c>
    </row>
    <row r="1631" customFormat="false" ht="15" hidden="false" customHeight="false" outlineLevel="0" collapsed="false">
      <c r="A1631" s="36" t="n">
        <v>46146</v>
      </c>
      <c r="B1631" s="24" t="s">
        <v>62</v>
      </c>
      <c r="C1631" s="24" t="s">
        <v>149</v>
      </c>
      <c r="D1631" s="33" t="n">
        <v>289</v>
      </c>
      <c r="E1631" s="24" t="n">
        <v>0</v>
      </c>
      <c r="F1631" s="37" t="n">
        <f aca="false">DATE(YEAR(A1631),MONTH(A1631),1)</f>
        <v>46143</v>
      </c>
      <c r="G1631" s="24" t="str">
        <f aca="false">INDEX(Products!$C$2:$C$49,MATCH(C1631,Products!$A$2:$A$49,0))</f>
        <v>Beverages</v>
      </c>
      <c r="H1631" s="33" t="n">
        <f aca="false">D1631*INDEX(Products!$E$2:$E$49,MATCH(C1631,Products!$A$2:$A$49,0))</f>
        <v>54910</v>
      </c>
      <c r="I1631" s="33" t="n">
        <f aca="false">D1631*INDEX(Products!$D$2:$D$49,MATCH(C1631,Products!$A$2:$A$49,0))*(1+INDEX(Assumptions!$B$16:$B$20,MATCH(B1631,Assumptions!$A$16:$A$20,0)))</f>
        <v>44279.424</v>
      </c>
      <c r="J1631" s="33" t="n">
        <f aca="false">H1631-I1631</f>
        <v>10630.576</v>
      </c>
      <c r="K1631" s="33" t="n">
        <f aca="false">IF(OR(E1631=0,E1631&gt;=7),0,D1631/(7-E1631)*E1631*INDEX(Products!$E$2:$E$49,MATCH(C1631,Products!$A$2:$A$49,0)))</f>
        <v>0</v>
      </c>
    </row>
    <row r="1632" customFormat="false" ht="15" hidden="false" customHeight="false" outlineLevel="0" collapsed="false">
      <c r="A1632" s="36" t="n">
        <v>46153</v>
      </c>
      <c r="B1632" s="24" t="s">
        <v>62</v>
      </c>
      <c r="C1632" s="24" t="s">
        <v>149</v>
      </c>
      <c r="D1632" s="33" t="n">
        <v>325</v>
      </c>
      <c r="E1632" s="24" t="n">
        <v>0</v>
      </c>
      <c r="F1632" s="37" t="n">
        <f aca="false">DATE(YEAR(A1632),MONTH(A1632),1)</f>
        <v>46143</v>
      </c>
      <c r="G1632" s="24" t="str">
        <f aca="false">INDEX(Products!$C$2:$C$49,MATCH(C1632,Products!$A$2:$A$49,0))</f>
        <v>Beverages</v>
      </c>
      <c r="H1632" s="33" t="n">
        <f aca="false">D1632*INDEX(Products!$E$2:$E$49,MATCH(C1632,Products!$A$2:$A$49,0))</f>
        <v>61750</v>
      </c>
      <c r="I1632" s="33" t="n">
        <f aca="false">D1632*INDEX(Products!$D$2:$D$49,MATCH(C1632,Products!$A$2:$A$49,0))*(1+INDEX(Assumptions!$B$16:$B$20,MATCH(B1632,Assumptions!$A$16:$A$20,0)))</f>
        <v>49795.2</v>
      </c>
      <c r="J1632" s="33" t="n">
        <f aca="false">H1632-I1632</f>
        <v>11954.8</v>
      </c>
      <c r="K1632" s="33" t="n">
        <f aca="false">IF(OR(E1632=0,E1632&gt;=7),0,D1632/(7-E1632)*E1632*INDEX(Products!$E$2:$E$49,MATCH(C1632,Products!$A$2:$A$49,0)))</f>
        <v>0</v>
      </c>
    </row>
    <row r="1633" customFormat="false" ht="15" hidden="false" customHeight="false" outlineLevel="0" collapsed="false">
      <c r="A1633" s="36" t="n">
        <v>46160</v>
      </c>
      <c r="B1633" s="24" t="s">
        <v>62</v>
      </c>
      <c r="C1633" s="24" t="s">
        <v>149</v>
      </c>
      <c r="D1633" s="33" t="n">
        <v>263</v>
      </c>
      <c r="E1633" s="24" t="n">
        <v>0</v>
      </c>
      <c r="F1633" s="37" t="n">
        <f aca="false">DATE(YEAR(A1633),MONTH(A1633),1)</f>
        <v>46143</v>
      </c>
      <c r="G1633" s="24" t="str">
        <f aca="false">INDEX(Products!$C$2:$C$49,MATCH(C1633,Products!$A$2:$A$49,0))</f>
        <v>Beverages</v>
      </c>
      <c r="H1633" s="33" t="n">
        <f aca="false">D1633*INDEX(Products!$E$2:$E$49,MATCH(C1633,Products!$A$2:$A$49,0))</f>
        <v>49970</v>
      </c>
      <c r="I1633" s="33" t="n">
        <f aca="false">D1633*INDEX(Products!$D$2:$D$49,MATCH(C1633,Products!$A$2:$A$49,0))*(1+INDEX(Assumptions!$B$16:$B$20,MATCH(B1633,Assumptions!$A$16:$A$20,0)))</f>
        <v>40295.808</v>
      </c>
      <c r="J1633" s="33" t="n">
        <f aca="false">H1633-I1633</f>
        <v>9674.192</v>
      </c>
      <c r="K1633" s="33" t="n">
        <f aca="false">IF(OR(E1633=0,E1633&gt;=7),0,D1633/(7-E1633)*E1633*INDEX(Products!$E$2:$E$49,MATCH(C1633,Products!$A$2:$A$49,0)))</f>
        <v>0</v>
      </c>
    </row>
    <row r="1634" customFormat="false" ht="15" hidden="false" customHeight="false" outlineLevel="0" collapsed="false">
      <c r="A1634" s="36" t="n">
        <v>46167</v>
      </c>
      <c r="B1634" s="24" t="s">
        <v>62</v>
      </c>
      <c r="C1634" s="24" t="s">
        <v>149</v>
      </c>
      <c r="D1634" s="33" t="n">
        <v>300</v>
      </c>
      <c r="E1634" s="24" t="n">
        <v>0</v>
      </c>
      <c r="F1634" s="37" t="n">
        <f aca="false">DATE(YEAR(A1634),MONTH(A1634),1)</f>
        <v>46143</v>
      </c>
      <c r="G1634" s="24" t="str">
        <f aca="false">INDEX(Products!$C$2:$C$49,MATCH(C1634,Products!$A$2:$A$49,0))</f>
        <v>Beverages</v>
      </c>
      <c r="H1634" s="33" t="n">
        <f aca="false">D1634*INDEX(Products!$E$2:$E$49,MATCH(C1634,Products!$A$2:$A$49,0))</f>
        <v>57000</v>
      </c>
      <c r="I1634" s="33" t="n">
        <f aca="false">D1634*INDEX(Products!$D$2:$D$49,MATCH(C1634,Products!$A$2:$A$49,0))*(1+INDEX(Assumptions!$B$16:$B$20,MATCH(B1634,Assumptions!$A$16:$A$20,0)))</f>
        <v>45964.8</v>
      </c>
      <c r="J1634" s="33" t="n">
        <f aca="false">H1634-I1634</f>
        <v>11035.2</v>
      </c>
      <c r="K1634" s="33" t="n">
        <f aca="false">IF(OR(E1634=0,E1634&gt;=7),0,D1634/(7-E1634)*E1634*INDEX(Products!$E$2:$E$49,MATCH(C1634,Products!$A$2:$A$49,0)))</f>
        <v>0</v>
      </c>
    </row>
    <row r="1635" customFormat="false" ht="15" hidden="false" customHeight="false" outlineLevel="0" collapsed="false">
      <c r="A1635" s="36" t="n">
        <v>46174</v>
      </c>
      <c r="B1635" s="24" t="s">
        <v>62</v>
      </c>
      <c r="C1635" s="24" t="s">
        <v>149</v>
      </c>
      <c r="D1635" s="33" t="n">
        <v>255</v>
      </c>
      <c r="E1635" s="24" t="n">
        <v>0</v>
      </c>
      <c r="F1635" s="37" t="n">
        <f aca="false">DATE(YEAR(A1635),MONTH(A1635),1)</f>
        <v>46174</v>
      </c>
      <c r="G1635" s="24" t="str">
        <f aca="false">INDEX(Products!$C$2:$C$49,MATCH(C1635,Products!$A$2:$A$49,0))</f>
        <v>Beverages</v>
      </c>
      <c r="H1635" s="33" t="n">
        <f aca="false">D1635*INDEX(Products!$E$2:$E$49,MATCH(C1635,Products!$A$2:$A$49,0))</f>
        <v>48450</v>
      </c>
      <c r="I1635" s="33" t="n">
        <f aca="false">D1635*INDEX(Products!$D$2:$D$49,MATCH(C1635,Products!$A$2:$A$49,0))*(1+INDEX(Assumptions!$B$16:$B$20,MATCH(B1635,Assumptions!$A$16:$A$20,0)))</f>
        <v>39070.08</v>
      </c>
      <c r="J1635" s="33" t="n">
        <f aca="false">H1635-I1635</f>
        <v>9379.92</v>
      </c>
      <c r="K1635" s="33" t="n">
        <f aca="false">IF(OR(E1635=0,E1635&gt;=7),0,D1635/(7-E1635)*E1635*INDEX(Products!$E$2:$E$49,MATCH(C1635,Products!$A$2:$A$49,0)))</f>
        <v>0</v>
      </c>
    </row>
    <row r="1636" customFormat="false" ht="15" hidden="false" customHeight="false" outlineLevel="0" collapsed="false">
      <c r="A1636" s="36" t="n">
        <v>46181</v>
      </c>
      <c r="B1636" s="24" t="s">
        <v>62</v>
      </c>
      <c r="C1636" s="24" t="s">
        <v>149</v>
      </c>
      <c r="D1636" s="33" t="n">
        <v>288</v>
      </c>
      <c r="E1636" s="24" t="n">
        <v>0</v>
      </c>
      <c r="F1636" s="37" t="n">
        <f aca="false">DATE(YEAR(A1636),MONTH(A1636),1)</f>
        <v>46174</v>
      </c>
      <c r="G1636" s="24" t="str">
        <f aca="false">INDEX(Products!$C$2:$C$49,MATCH(C1636,Products!$A$2:$A$49,0))</f>
        <v>Beverages</v>
      </c>
      <c r="H1636" s="33" t="n">
        <f aca="false">D1636*INDEX(Products!$E$2:$E$49,MATCH(C1636,Products!$A$2:$A$49,0))</f>
        <v>54720</v>
      </c>
      <c r="I1636" s="33" t="n">
        <f aca="false">D1636*INDEX(Products!$D$2:$D$49,MATCH(C1636,Products!$A$2:$A$49,0))*(1+INDEX(Assumptions!$B$16:$B$20,MATCH(B1636,Assumptions!$A$16:$A$20,0)))</f>
        <v>44126.208</v>
      </c>
      <c r="J1636" s="33" t="n">
        <f aca="false">H1636-I1636</f>
        <v>10593.792</v>
      </c>
      <c r="K1636" s="33" t="n">
        <f aca="false">IF(OR(E1636=0,E1636&gt;=7),0,D1636/(7-E1636)*E1636*INDEX(Products!$E$2:$E$49,MATCH(C1636,Products!$A$2:$A$49,0)))</f>
        <v>0</v>
      </c>
    </row>
    <row r="1637" customFormat="false" ht="15" hidden="false" customHeight="false" outlineLevel="0" collapsed="false">
      <c r="A1637" s="36" t="n">
        <v>46188</v>
      </c>
      <c r="B1637" s="24" t="s">
        <v>62</v>
      </c>
      <c r="C1637" s="24" t="s">
        <v>149</v>
      </c>
      <c r="D1637" s="33" t="n">
        <v>239</v>
      </c>
      <c r="E1637" s="24" t="n">
        <v>0</v>
      </c>
      <c r="F1637" s="37" t="n">
        <f aca="false">DATE(YEAR(A1637),MONTH(A1637),1)</f>
        <v>46174</v>
      </c>
      <c r="G1637" s="24" t="str">
        <f aca="false">INDEX(Products!$C$2:$C$49,MATCH(C1637,Products!$A$2:$A$49,0))</f>
        <v>Beverages</v>
      </c>
      <c r="H1637" s="33" t="n">
        <f aca="false">D1637*INDEX(Products!$E$2:$E$49,MATCH(C1637,Products!$A$2:$A$49,0))</f>
        <v>45410</v>
      </c>
      <c r="I1637" s="33" t="n">
        <f aca="false">D1637*INDEX(Products!$D$2:$D$49,MATCH(C1637,Products!$A$2:$A$49,0))*(1+INDEX(Assumptions!$B$16:$B$20,MATCH(B1637,Assumptions!$A$16:$A$20,0)))</f>
        <v>36618.624</v>
      </c>
      <c r="J1637" s="33" t="n">
        <f aca="false">H1637-I1637</f>
        <v>8791.376</v>
      </c>
      <c r="K1637" s="33" t="n">
        <f aca="false">IF(OR(E1637=0,E1637&gt;=7),0,D1637/(7-E1637)*E1637*INDEX(Products!$E$2:$E$49,MATCH(C1637,Products!$A$2:$A$49,0)))</f>
        <v>0</v>
      </c>
    </row>
    <row r="1638" customFormat="false" ht="15" hidden="false" customHeight="false" outlineLevel="0" collapsed="false">
      <c r="A1638" s="36" t="n">
        <v>46195</v>
      </c>
      <c r="B1638" s="24" t="s">
        <v>62</v>
      </c>
      <c r="C1638" s="24" t="s">
        <v>149</v>
      </c>
      <c r="D1638" s="33" t="n">
        <v>285</v>
      </c>
      <c r="E1638" s="24" t="n">
        <v>0</v>
      </c>
      <c r="F1638" s="37" t="n">
        <f aca="false">DATE(YEAR(A1638),MONTH(A1638),1)</f>
        <v>46174</v>
      </c>
      <c r="G1638" s="24" t="str">
        <f aca="false">INDEX(Products!$C$2:$C$49,MATCH(C1638,Products!$A$2:$A$49,0))</f>
        <v>Beverages</v>
      </c>
      <c r="H1638" s="33" t="n">
        <f aca="false">D1638*INDEX(Products!$E$2:$E$49,MATCH(C1638,Products!$A$2:$A$49,0))</f>
        <v>54150</v>
      </c>
      <c r="I1638" s="33" t="n">
        <f aca="false">D1638*INDEX(Products!$D$2:$D$49,MATCH(C1638,Products!$A$2:$A$49,0))*(1+INDEX(Assumptions!$B$16:$B$20,MATCH(B1638,Assumptions!$A$16:$A$20,0)))</f>
        <v>43666.56</v>
      </c>
      <c r="J1638" s="33" t="n">
        <f aca="false">H1638-I1638</f>
        <v>10483.44</v>
      </c>
      <c r="K1638" s="33" t="n">
        <f aca="false">IF(OR(E1638=0,E1638&gt;=7),0,D1638/(7-E1638)*E1638*INDEX(Products!$E$2:$E$49,MATCH(C1638,Products!$A$2:$A$49,0)))</f>
        <v>0</v>
      </c>
    </row>
    <row r="1639" customFormat="false" ht="15" hidden="false" customHeight="false" outlineLevel="0" collapsed="false">
      <c r="A1639" s="36" t="n">
        <v>46202</v>
      </c>
      <c r="B1639" s="24" t="s">
        <v>62</v>
      </c>
      <c r="C1639" s="24" t="s">
        <v>149</v>
      </c>
      <c r="D1639" s="33" t="n">
        <v>253</v>
      </c>
      <c r="E1639" s="24" t="n">
        <v>0</v>
      </c>
      <c r="F1639" s="37" t="n">
        <f aca="false">DATE(YEAR(A1639),MONTH(A1639),1)</f>
        <v>46174</v>
      </c>
      <c r="G1639" s="24" t="str">
        <f aca="false">INDEX(Products!$C$2:$C$49,MATCH(C1639,Products!$A$2:$A$49,0))</f>
        <v>Beverages</v>
      </c>
      <c r="H1639" s="33" t="n">
        <f aca="false">D1639*INDEX(Products!$E$2:$E$49,MATCH(C1639,Products!$A$2:$A$49,0))</f>
        <v>48070</v>
      </c>
      <c r="I1639" s="33" t="n">
        <f aca="false">D1639*INDEX(Products!$D$2:$D$49,MATCH(C1639,Products!$A$2:$A$49,0))*(1+INDEX(Assumptions!$B$16:$B$20,MATCH(B1639,Assumptions!$A$16:$A$20,0)))</f>
        <v>38763.648</v>
      </c>
      <c r="J1639" s="33" t="n">
        <f aca="false">H1639-I1639</f>
        <v>9306.352</v>
      </c>
      <c r="K1639" s="33" t="n">
        <f aca="false">IF(OR(E1639=0,E1639&gt;=7),0,D1639/(7-E1639)*E1639*INDEX(Products!$E$2:$E$49,MATCH(C1639,Products!$A$2:$A$49,0)))</f>
        <v>0</v>
      </c>
    </row>
    <row r="1640" customFormat="false" ht="15" hidden="false" customHeight="false" outlineLevel="0" collapsed="false">
      <c r="A1640" s="36" t="n">
        <v>46209</v>
      </c>
      <c r="B1640" s="24" t="s">
        <v>62</v>
      </c>
      <c r="C1640" s="24" t="s">
        <v>149</v>
      </c>
      <c r="D1640" s="33" t="n">
        <v>435</v>
      </c>
      <c r="E1640" s="24" t="n">
        <v>0</v>
      </c>
      <c r="F1640" s="37" t="n">
        <f aca="false">DATE(YEAR(A1640),MONTH(A1640),1)</f>
        <v>46204</v>
      </c>
      <c r="G1640" s="24" t="str">
        <f aca="false">INDEX(Products!$C$2:$C$49,MATCH(C1640,Products!$A$2:$A$49,0))</f>
        <v>Beverages</v>
      </c>
      <c r="H1640" s="33" t="n">
        <f aca="false">D1640*INDEX(Products!$E$2:$E$49,MATCH(C1640,Products!$A$2:$A$49,0))</f>
        <v>82650</v>
      </c>
      <c r="I1640" s="33" t="n">
        <f aca="false">D1640*INDEX(Products!$D$2:$D$49,MATCH(C1640,Products!$A$2:$A$49,0))*(1+INDEX(Assumptions!$B$16:$B$20,MATCH(B1640,Assumptions!$A$16:$A$20,0)))</f>
        <v>66648.96</v>
      </c>
      <c r="J1640" s="33" t="n">
        <f aca="false">H1640-I1640</f>
        <v>16001.04</v>
      </c>
      <c r="K1640" s="33" t="n">
        <f aca="false">IF(OR(E1640=0,E1640&gt;=7),0,D1640/(7-E1640)*E1640*INDEX(Products!$E$2:$E$49,MATCH(C1640,Products!$A$2:$A$49,0)))</f>
        <v>0</v>
      </c>
    </row>
    <row r="1641" customFormat="false" ht="15" hidden="false" customHeight="false" outlineLevel="0" collapsed="false">
      <c r="A1641" s="36" t="n">
        <v>46216</v>
      </c>
      <c r="B1641" s="24" t="s">
        <v>62</v>
      </c>
      <c r="C1641" s="24" t="s">
        <v>149</v>
      </c>
      <c r="D1641" s="33" t="n">
        <v>221</v>
      </c>
      <c r="E1641" s="24" t="n">
        <v>0</v>
      </c>
      <c r="F1641" s="37" t="n">
        <f aca="false">DATE(YEAR(A1641),MONTH(A1641),1)</f>
        <v>46204</v>
      </c>
      <c r="G1641" s="24" t="str">
        <f aca="false">INDEX(Products!$C$2:$C$49,MATCH(C1641,Products!$A$2:$A$49,0))</f>
        <v>Beverages</v>
      </c>
      <c r="H1641" s="33" t="n">
        <f aca="false">D1641*INDEX(Products!$E$2:$E$49,MATCH(C1641,Products!$A$2:$A$49,0))</f>
        <v>41990</v>
      </c>
      <c r="I1641" s="33" t="n">
        <f aca="false">D1641*INDEX(Products!$D$2:$D$49,MATCH(C1641,Products!$A$2:$A$49,0))*(1+INDEX(Assumptions!$B$16:$B$20,MATCH(B1641,Assumptions!$A$16:$A$20,0)))</f>
        <v>33860.736</v>
      </c>
      <c r="J1641" s="33" t="n">
        <f aca="false">H1641-I1641</f>
        <v>8129.264</v>
      </c>
      <c r="K1641" s="33" t="n">
        <f aca="false">IF(OR(E1641=0,E1641&gt;=7),0,D1641/(7-E1641)*E1641*INDEX(Products!$E$2:$E$49,MATCH(C1641,Products!$A$2:$A$49,0)))</f>
        <v>0</v>
      </c>
    </row>
    <row r="1642" customFormat="false" ht="15" hidden="false" customHeight="false" outlineLevel="0" collapsed="false">
      <c r="A1642" s="36" t="n">
        <v>46223</v>
      </c>
      <c r="B1642" s="24" t="s">
        <v>62</v>
      </c>
      <c r="C1642" s="24" t="s">
        <v>149</v>
      </c>
      <c r="D1642" s="33" t="n">
        <v>259</v>
      </c>
      <c r="E1642" s="24" t="n">
        <v>0</v>
      </c>
      <c r="F1642" s="37" t="n">
        <f aca="false">DATE(YEAR(A1642),MONTH(A1642),1)</f>
        <v>46204</v>
      </c>
      <c r="G1642" s="24" t="str">
        <f aca="false">INDEX(Products!$C$2:$C$49,MATCH(C1642,Products!$A$2:$A$49,0))</f>
        <v>Beverages</v>
      </c>
      <c r="H1642" s="33" t="n">
        <f aca="false">D1642*INDEX(Products!$E$2:$E$49,MATCH(C1642,Products!$A$2:$A$49,0))</f>
        <v>49210</v>
      </c>
      <c r="I1642" s="33" t="n">
        <f aca="false">D1642*INDEX(Products!$D$2:$D$49,MATCH(C1642,Products!$A$2:$A$49,0))*(1+INDEX(Assumptions!$B$16:$B$20,MATCH(B1642,Assumptions!$A$16:$A$20,0)))</f>
        <v>39682.944</v>
      </c>
      <c r="J1642" s="33" t="n">
        <f aca="false">H1642-I1642</f>
        <v>9527.056</v>
      </c>
      <c r="K1642" s="33" t="n">
        <f aca="false">IF(OR(E1642=0,E1642&gt;=7),0,D1642/(7-E1642)*E1642*INDEX(Products!$E$2:$E$49,MATCH(C1642,Products!$A$2:$A$49,0)))</f>
        <v>0</v>
      </c>
    </row>
    <row r="1643" customFormat="false" ht="15" hidden="false" customHeight="false" outlineLevel="0" collapsed="false">
      <c r="A1643" s="36" t="n">
        <v>46230</v>
      </c>
      <c r="B1643" s="24" t="s">
        <v>62</v>
      </c>
      <c r="C1643" s="24" t="s">
        <v>149</v>
      </c>
      <c r="D1643" s="33" t="n">
        <v>225</v>
      </c>
      <c r="E1643" s="24" t="n">
        <v>0</v>
      </c>
      <c r="F1643" s="37" t="n">
        <f aca="false">DATE(YEAR(A1643),MONTH(A1643),1)</f>
        <v>46204</v>
      </c>
      <c r="G1643" s="24" t="str">
        <f aca="false">INDEX(Products!$C$2:$C$49,MATCH(C1643,Products!$A$2:$A$49,0))</f>
        <v>Beverages</v>
      </c>
      <c r="H1643" s="33" t="n">
        <f aca="false">D1643*INDEX(Products!$E$2:$E$49,MATCH(C1643,Products!$A$2:$A$49,0))</f>
        <v>42750</v>
      </c>
      <c r="I1643" s="33" t="n">
        <f aca="false">D1643*INDEX(Products!$D$2:$D$49,MATCH(C1643,Products!$A$2:$A$49,0))*(1+INDEX(Assumptions!$B$16:$B$20,MATCH(B1643,Assumptions!$A$16:$A$20,0)))</f>
        <v>34473.6</v>
      </c>
      <c r="J1643" s="33" t="n">
        <f aca="false">H1643-I1643</f>
        <v>8276.4</v>
      </c>
      <c r="K1643" s="33" t="n">
        <f aca="false">IF(OR(E1643=0,E1643&gt;=7),0,D1643/(7-E1643)*E1643*INDEX(Products!$E$2:$E$49,MATCH(C1643,Products!$A$2:$A$49,0)))</f>
        <v>0</v>
      </c>
    </row>
    <row r="1644" customFormat="false" ht="15" hidden="false" customHeight="false" outlineLevel="0" collapsed="false">
      <c r="A1644" s="36" t="n">
        <v>46237</v>
      </c>
      <c r="B1644" s="24" t="s">
        <v>62</v>
      </c>
      <c r="C1644" s="24" t="s">
        <v>149</v>
      </c>
      <c r="D1644" s="33" t="n">
        <v>190</v>
      </c>
      <c r="E1644" s="24" t="n">
        <v>0</v>
      </c>
      <c r="F1644" s="37" t="n">
        <f aca="false">DATE(YEAR(A1644),MONTH(A1644),1)</f>
        <v>46235</v>
      </c>
      <c r="G1644" s="24" t="str">
        <f aca="false">INDEX(Products!$C$2:$C$49,MATCH(C1644,Products!$A$2:$A$49,0))</f>
        <v>Beverages</v>
      </c>
      <c r="H1644" s="33" t="n">
        <f aca="false">D1644*INDEX(Products!$E$2:$E$49,MATCH(C1644,Products!$A$2:$A$49,0))</f>
        <v>36100</v>
      </c>
      <c r="I1644" s="33" t="n">
        <f aca="false">D1644*INDEX(Products!$D$2:$D$49,MATCH(C1644,Products!$A$2:$A$49,0))*(1+INDEX(Assumptions!$B$16:$B$20,MATCH(B1644,Assumptions!$A$16:$A$20,0)))</f>
        <v>29111.04</v>
      </c>
      <c r="J1644" s="33" t="n">
        <f aca="false">H1644-I1644</f>
        <v>6988.96</v>
      </c>
      <c r="K1644" s="33" t="n">
        <f aca="false">IF(OR(E1644=0,E1644&gt;=7),0,D1644/(7-E1644)*E1644*INDEX(Products!$E$2:$E$49,MATCH(C1644,Products!$A$2:$A$49,0)))</f>
        <v>0</v>
      </c>
    </row>
    <row r="1645" customFormat="false" ht="15" hidden="false" customHeight="false" outlineLevel="0" collapsed="false">
      <c r="A1645" s="36" t="n">
        <v>46244</v>
      </c>
      <c r="B1645" s="24" t="s">
        <v>62</v>
      </c>
      <c r="C1645" s="24" t="s">
        <v>149</v>
      </c>
      <c r="D1645" s="33" t="n">
        <v>182</v>
      </c>
      <c r="E1645" s="24" t="n">
        <v>0</v>
      </c>
      <c r="F1645" s="37" t="n">
        <f aca="false">DATE(YEAR(A1645),MONTH(A1645),1)</f>
        <v>46235</v>
      </c>
      <c r="G1645" s="24" t="str">
        <f aca="false">INDEX(Products!$C$2:$C$49,MATCH(C1645,Products!$A$2:$A$49,0))</f>
        <v>Beverages</v>
      </c>
      <c r="H1645" s="33" t="n">
        <f aca="false">D1645*INDEX(Products!$E$2:$E$49,MATCH(C1645,Products!$A$2:$A$49,0))</f>
        <v>34580</v>
      </c>
      <c r="I1645" s="33" t="n">
        <f aca="false">D1645*INDEX(Products!$D$2:$D$49,MATCH(C1645,Products!$A$2:$A$49,0))*(1+INDEX(Assumptions!$B$16:$B$20,MATCH(B1645,Assumptions!$A$16:$A$20,0)))</f>
        <v>27885.312</v>
      </c>
      <c r="J1645" s="33" t="n">
        <f aca="false">H1645-I1645</f>
        <v>6694.688</v>
      </c>
      <c r="K1645" s="33" t="n">
        <f aca="false">IF(OR(E1645=0,E1645&gt;=7),0,D1645/(7-E1645)*E1645*INDEX(Products!$E$2:$E$49,MATCH(C1645,Products!$A$2:$A$49,0)))</f>
        <v>0</v>
      </c>
    </row>
    <row r="1646" customFormat="false" ht="15" hidden="false" customHeight="false" outlineLevel="0" collapsed="false">
      <c r="A1646" s="36" t="n">
        <v>46251</v>
      </c>
      <c r="B1646" s="24" t="s">
        <v>62</v>
      </c>
      <c r="C1646" s="24" t="s">
        <v>149</v>
      </c>
      <c r="D1646" s="33" t="n">
        <v>192</v>
      </c>
      <c r="E1646" s="24" t="n">
        <v>0</v>
      </c>
      <c r="F1646" s="37" t="n">
        <f aca="false">DATE(YEAR(A1646),MONTH(A1646),1)</f>
        <v>46235</v>
      </c>
      <c r="G1646" s="24" t="str">
        <f aca="false">INDEX(Products!$C$2:$C$49,MATCH(C1646,Products!$A$2:$A$49,0))</f>
        <v>Beverages</v>
      </c>
      <c r="H1646" s="33" t="n">
        <f aca="false">D1646*INDEX(Products!$E$2:$E$49,MATCH(C1646,Products!$A$2:$A$49,0))</f>
        <v>36480</v>
      </c>
      <c r="I1646" s="33" t="n">
        <f aca="false">D1646*INDEX(Products!$D$2:$D$49,MATCH(C1646,Products!$A$2:$A$49,0))*(1+INDEX(Assumptions!$B$16:$B$20,MATCH(B1646,Assumptions!$A$16:$A$20,0)))</f>
        <v>29417.472</v>
      </c>
      <c r="J1646" s="33" t="n">
        <f aca="false">H1646-I1646</f>
        <v>7062.528</v>
      </c>
      <c r="K1646" s="33" t="n">
        <f aca="false">IF(OR(E1646=0,E1646&gt;=7),0,D1646/(7-E1646)*E1646*INDEX(Products!$E$2:$E$49,MATCH(C1646,Products!$A$2:$A$49,0)))</f>
        <v>0</v>
      </c>
    </row>
    <row r="1647" customFormat="false" ht="15" hidden="false" customHeight="false" outlineLevel="0" collapsed="false">
      <c r="A1647" s="36" t="n">
        <v>46258</v>
      </c>
      <c r="B1647" s="24" t="s">
        <v>62</v>
      </c>
      <c r="C1647" s="24" t="s">
        <v>149</v>
      </c>
      <c r="D1647" s="33" t="n">
        <v>191</v>
      </c>
      <c r="E1647" s="24" t="n">
        <v>0</v>
      </c>
      <c r="F1647" s="37" t="n">
        <f aca="false">DATE(YEAR(A1647),MONTH(A1647),1)</f>
        <v>46235</v>
      </c>
      <c r="G1647" s="24" t="str">
        <f aca="false">INDEX(Products!$C$2:$C$49,MATCH(C1647,Products!$A$2:$A$49,0))</f>
        <v>Beverages</v>
      </c>
      <c r="H1647" s="33" t="n">
        <f aca="false">D1647*INDEX(Products!$E$2:$E$49,MATCH(C1647,Products!$A$2:$A$49,0))</f>
        <v>36290</v>
      </c>
      <c r="I1647" s="33" t="n">
        <f aca="false">D1647*INDEX(Products!$D$2:$D$49,MATCH(C1647,Products!$A$2:$A$49,0))*(1+INDEX(Assumptions!$B$16:$B$20,MATCH(B1647,Assumptions!$A$16:$A$20,0)))</f>
        <v>29264.256</v>
      </c>
      <c r="J1647" s="33" t="n">
        <f aca="false">H1647-I1647</f>
        <v>7025.744</v>
      </c>
      <c r="K1647" s="33" t="n">
        <f aca="false">IF(OR(E1647=0,E1647&gt;=7),0,D1647/(7-E1647)*E1647*INDEX(Products!$E$2:$E$49,MATCH(C1647,Products!$A$2:$A$49,0)))</f>
        <v>0</v>
      </c>
    </row>
    <row r="1648" customFormat="false" ht="15" hidden="false" customHeight="false" outlineLevel="0" collapsed="false">
      <c r="A1648" s="36" t="n">
        <v>46265</v>
      </c>
      <c r="B1648" s="24" t="s">
        <v>62</v>
      </c>
      <c r="C1648" s="24" t="s">
        <v>149</v>
      </c>
      <c r="D1648" s="33" t="n">
        <v>183</v>
      </c>
      <c r="E1648" s="24" t="n">
        <v>0</v>
      </c>
      <c r="F1648" s="37" t="n">
        <f aca="false">DATE(YEAR(A1648),MONTH(A1648),1)</f>
        <v>46235</v>
      </c>
      <c r="G1648" s="24" t="str">
        <f aca="false">INDEX(Products!$C$2:$C$49,MATCH(C1648,Products!$A$2:$A$49,0))</f>
        <v>Beverages</v>
      </c>
      <c r="H1648" s="33" t="n">
        <f aca="false">D1648*INDEX(Products!$E$2:$E$49,MATCH(C1648,Products!$A$2:$A$49,0))</f>
        <v>34770</v>
      </c>
      <c r="I1648" s="33" t="n">
        <f aca="false">D1648*INDEX(Products!$D$2:$D$49,MATCH(C1648,Products!$A$2:$A$49,0))*(1+INDEX(Assumptions!$B$16:$B$20,MATCH(B1648,Assumptions!$A$16:$A$20,0)))</f>
        <v>28038.528</v>
      </c>
      <c r="J1648" s="33" t="n">
        <f aca="false">H1648-I1648</f>
        <v>6731.472</v>
      </c>
      <c r="K1648" s="33" t="n">
        <f aca="false">IF(OR(E1648=0,E1648&gt;=7),0,D1648/(7-E1648)*E1648*INDEX(Products!$E$2:$E$49,MATCH(C1648,Products!$A$2:$A$49,0)))</f>
        <v>0</v>
      </c>
    </row>
    <row r="1649" customFormat="false" ht="15" hidden="false" customHeight="false" outlineLevel="0" collapsed="false">
      <c r="A1649" s="36" t="n">
        <v>46272</v>
      </c>
      <c r="B1649" s="24" t="s">
        <v>62</v>
      </c>
      <c r="C1649" s="24" t="s">
        <v>149</v>
      </c>
      <c r="D1649" s="33" t="n">
        <v>196</v>
      </c>
      <c r="E1649" s="24" t="n">
        <v>0</v>
      </c>
      <c r="F1649" s="37" t="n">
        <f aca="false">DATE(YEAR(A1649),MONTH(A1649),1)</f>
        <v>46266</v>
      </c>
      <c r="G1649" s="24" t="str">
        <f aca="false">INDEX(Products!$C$2:$C$49,MATCH(C1649,Products!$A$2:$A$49,0))</f>
        <v>Beverages</v>
      </c>
      <c r="H1649" s="33" t="n">
        <f aca="false">D1649*INDEX(Products!$E$2:$E$49,MATCH(C1649,Products!$A$2:$A$49,0))</f>
        <v>37240</v>
      </c>
      <c r="I1649" s="33" t="n">
        <f aca="false">D1649*INDEX(Products!$D$2:$D$49,MATCH(C1649,Products!$A$2:$A$49,0))*(1+INDEX(Assumptions!$B$16:$B$20,MATCH(B1649,Assumptions!$A$16:$A$20,0)))</f>
        <v>30030.336</v>
      </c>
      <c r="J1649" s="33" t="n">
        <f aca="false">H1649-I1649</f>
        <v>7209.664</v>
      </c>
      <c r="K1649" s="33" t="n">
        <f aca="false">IF(OR(E1649=0,E1649&gt;=7),0,D1649/(7-E1649)*E1649*INDEX(Products!$E$2:$E$49,MATCH(C1649,Products!$A$2:$A$49,0)))</f>
        <v>0</v>
      </c>
    </row>
    <row r="1650" customFormat="false" ht="15" hidden="false" customHeight="false" outlineLevel="0" collapsed="false">
      <c r="A1650" s="36" t="n">
        <v>46279</v>
      </c>
      <c r="B1650" s="24" t="s">
        <v>62</v>
      </c>
      <c r="C1650" s="24" t="s">
        <v>149</v>
      </c>
      <c r="D1650" s="33" t="n">
        <v>179</v>
      </c>
      <c r="E1650" s="24" t="n">
        <v>0</v>
      </c>
      <c r="F1650" s="37" t="n">
        <f aca="false">DATE(YEAR(A1650),MONTH(A1650),1)</f>
        <v>46266</v>
      </c>
      <c r="G1650" s="24" t="str">
        <f aca="false">INDEX(Products!$C$2:$C$49,MATCH(C1650,Products!$A$2:$A$49,0))</f>
        <v>Beverages</v>
      </c>
      <c r="H1650" s="33" t="n">
        <f aca="false">D1650*INDEX(Products!$E$2:$E$49,MATCH(C1650,Products!$A$2:$A$49,0))</f>
        <v>34010</v>
      </c>
      <c r="I1650" s="33" t="n">
        <f aca="false">D1650*INDEX(Products!$D$2:$D$49,MATCH(C1650,Products!$A$2:$A$49,0))*(1+INDEX(Assumptions!$B$16:$B$20,MATCH(B1650,Assumptions!$A$16:$A$20,0)))</f>
        <v>27425.664</v>
      </c>
      <c r="J1650" s="33" t="n">
        <f aca="false">H1650-I1650</f>
        <v>6584.336</v>
      </c>
      <c r="K1650" s="33" t="n">
        <f aca="false">IF(OR(E1650=0,E1650&gt;=7),0,D1650/(7-E1650)*E1650*INDEX(Products!$E$2:$E$49,MATCH(C1650,Products!$A$2:$A$49,0)))</f>
        <v>0</v>
      </c>
    </row>
    <row r="1651" customFormat="false" ht="15" hidden="false" customHeight="false" outlineLevel="0" collapsed="false">
      <c r="A1651" s="36" t="n">
        <v>46286</v>
      </c>
      <c r="B1651" s="24" t="s">
        <v>62</v>
      </c>
      <c r="C1651" s="24" t="s">
        <v>149</v>
      </c>
      <c r="D1651" s="33" t="n">
        <v>374</v>
      </c>
      <c r="E1651" s="24" t="n">
        <v>0</v>
      </c>
      <c r="F1651" s="37" t="n">
        <f aca="false">DATE(YEAR(A1651),MONTH(A1651),1)</f>
        <v>46266</v>
      </c>
      <c r="G1651" s="24" t="str">
        <f aca="false">INDEX(Products!$C$2:$C$49,MATCH(C1651,Products!$A$2:$A$49,0))</f>
        <v>Beverages</v>
      </c>
      <c r="H1651" s="33" t="n">
        <f aca="false">D1651*INDEX(Products!$E$2:$E$49,MATCH(C1651,Products!$A$2:$A$49,0))</f>
        <v>71060</v>
      </c>
      <c r="I1651" s="33" t="n">
        <f aca="false">D1651*INDEX(Products!$D$2:$D$49,MATCH(C1651,Products!$A$2:$A$49,0))*(1+INDEX(Assumptions!$B$16:$B$20,MATCH(B1651,Assumptions!$A$16:$A$20,0)))</f>
        <v>57302.784</v>
      </c>
      <c r="J1651" s="33" t="n">
        <f aca="false">H1651-I1651</f>
        <v>13757.216</v>
      </c>
      <c r="K1651" s="33" t="n">
        <f aca="false">IF(OR(E1651=0,E1651&gt;=7),0,D1651/(7-E1651)*E1651*INDEX(Products!$E$2:$E$49,MATCH(C1651,Products!$A$2:$A$49,0)))</f>
        <v>0</v>
      </c>
    </row>
    <row r="1652" customFormat="false" ht="15" hidden="false" customHeight="false" outlineLevel="0" collapsed="false">
      <c r="A1652" s="36" t="n">
        <v>46118</v>
      </c>
      <c r="B1652" s="24" t="s">
        <v>62</v>
      </c>
      <c r="C1652" s="24" t="s">
        <v>151</v>
      </c>
      <c r="D1652" s="33" t="n">
        <v>163</v>
      </c>
      <c r="E1652" s="24" t="n">
        <v>0</v>
      </c>
      <c r="F1652" s="37" t="n">
        <f aca="false">DATE(YEAR(A1652),MONTH(A1652),1)</f>
        <v>46113</v>
      </c>
      <c r="G1652" s="24" t="str">
        <f aca="false">INDEX(Products!$C$2:$C$49,MATCH(C1652,Products!$A$2:$A$49,0))</f>
        <v>Beverages</v>
      </c>
      <c r="H1652" s="33" t="n">
        <f aca="false">D1652*INDEX(Products!$E$2:$E$49,MATCH(C1652,Products!$A$2:$A$49,0))</f>
        <v>30970</v>
      </c>
      <c r="I1652" s="33" t="n">
        <f aca="false">D1652*INDEX(Products!$D$2:$D$49,MATCH(C1652,Products!$A$2:$A$49,0))*(1+INDEX(Assumptions!$B$16:$B$20,MATCH(B1652,Assumptions!$A$16:$A$20,0)))</f>
        <v>24481.296</v>
      </c>
      <c r="J1652" s="33" t="n">
        <f aca="false">H1652-I1652</f>
        <v>6488.704</v>
      </c>
      <c r="K1652" s="33" t="n">
        <f aca="false">IF(OR(E1652=0,E1652&gt;=7),0,D1652/(7-E1652)*E1652*INDEX(Products!$E$2:$E$49,MATCH(C1652,Products!$A$2:$A$49,0)))</f>
        <v>0</v>
      </c>
    </row>
    <row r="1653" customFormat="false" ht="15" hidden="false" customHeight="false" outlineLevel="0" collapsed="false">
      <c r="A1653" s="36" t="n">
        <v>46125</v>
      </c>
      <c r="B1653" s="24" t="s">
        <v>62</v>
      </c>
      <c r="C1653" s="24" t="s">
        <v>151</v>
      </c>
      <c r="D1653" s="33" t="n">
        <v>172</v>
      </c>
      <c r="E1653" s="24" t="n">
        <v>0</v>
      </c>
      <c r="F1653" s="37" t="n">
        <f aca="false">DATE(YEAR(A1653),MONTH(A1653),1)</f>
        <v>46113</v>
      </c>
      <c r="G1653" s="24" t="str">
        <f aca="false">INDEX(Products!$C$2:$C$49,MATCH(C1653,Products!$A$2:$A$49,0))</f>
        <v>Beverages</v>
      </c>
      <c r="H1653" s="33" t="n">
        <f aca="false">D1653*INDEX(Products!$E$2:$E$49,MATCH(C1653,Products!$A$2:$A$49,0))</f>
        <v>32680</v>
      </c>
      <c r="I1653" s="33" t="n">
        <f aca="false">D1653*INDEX(Products!$D$2:$D$49,MATCH(C1653,Products!$A$2:$A$49,0))*(1+INDEX(Assumptions!$B$16:$B$20,MATCH(B1653,Assumptions!$A$16:$A$20,0)))</f>
        <v>25833.024</v>
      </c>
      <c r="J1653" s="33" t="n">
        <f aca="false">H1653-I1653</f>
        <v>6846.976</v>
      </c>
      <c r="K1653" s="33" t="n">
        <f aca="false">IF(OR(E1653=0,E1653&gt;=7),0,D1653/(7-E1653)*E1653*INDEX(Products!$E$2:$E$49,MATCH(C1653,Products!$A$2:$A$49,0)))</f>
        <v>0</v>
      </c>
    </row>
    <row r="1654" customFormat="false" ht="15" hidden="false" customHeight="false" outlineLevel="0" collapsed="false">
      <c r="A1654" s="36" t="n">
        <v>46132</v>
      </c>
      <c r="B1654" s="24" t="s">
        <v>62</v>
      </c>
      <c r="C1654" s="24" t="s">
        <v>151</v>
      </c>
      <c r="D1654" s="33" t="n">
        <v>180</v>
      </c>
      <c r="E1654" s="24" t="n">
        <v>0</v>
      </c>
      <c r="F1654" s="37" t="n">
        <f aca="false">DATE(YEAR(A1654),MONTH(A1654),1)</f>
        <v>46113</v>
      </c>
      <c r="G1654" s="24" t="str">
        <f aca="false">INDEX(Products!$C$2:$C$49,MATCH(C1654,Products!$A$2:$A$49,0))</f>
        <v>Beverages</v>
      </c>
      <c r="H1654" s="33" t="n">
        <f aca="false">D1654*INDEX(Products!$E$2:$E$49,MATCH(C1654,Products!$A$2:$A$49,0))</f>
        <v>34200</v>
      </c>
      <c r="I1654" s="33" t="n">
        <f aca="false">D1654*INDEX(Products!$D$2:$D$49,MATCH(C1654,Products!$A$2:$A$49,0))*(1+INDEX(Assumptions!$B$16:$B$20,MATCH(B1654,Assumptions!$A$16:$A$20,0)))</f>
        <v>27034.56</v>
      </c>
      <c r="J1654" s="33" t="n">
        <f aca="false">H1654-I1654</f>
        <v>7165.44</v>
      </c>
      <c r="K1654" s="33" t="n">
        <f aca="false">IF(OR(E1654=0,E1654&gt;=7),0,D1654/(7-E1654)*E1654*INDEX(Products!$E$2:$E$49,MATCH(C1654,Products!$A$2:$A$49,0)))</f>
        <v>0</v>
      </c>
    </row>
    <row r="1655" customFormat="false" ht="15" hidden="false" customHeight="false" outlineLevel="0" collapsed="false">
      <c r="A1655" s="36" t="n">
        <v>46139</v>
      </c>
      <c r="B1655" s="24" t="s">
        <v>62</v>
      </c>
      <c r="C1655" s="24" t="s">
        <v>151</v>
      </c>
      <c r="D1655" s="33" t="n">
        <v>178</v>
      </c>
      <c r="E1655" s="24" t="n">
        <v>0</v>
      </c>
      <c r="F1655" s="37" t="n">
        <f aca="false">DATE(YEAR(A1655),MONTH(A1655),1)</f>
        <v>46113</v>
      </c>
      <c r="G1655" s="24" t="str">
        <f aca="false">INDEX(Products!$C$2:$C$49,MATCH(C1655,Products!$A$2:$A$49,0))</f>
        <v>Beverages</v>
      </c>
      <c r="H1655" s="33" t="n">
        <f aca="false">D1655*INDEX(Products!$E$2:$E$49,MATCH(C1655,Products!$A$2:$A$49,0))</f>
        <v>33820</v>
      </c>
      <c r="I1655" s="33" t="n">
        <f aca="false">D1655*INDEX(Products!$D$2:$D$49,MATCH(C1655,Products!$A$2:$A$49,0))*(1+INDEX(Assumptions!$B$16:$B$20,MATCH(B1655,Assumptions!$A$16:$A$20,0)))</f>
        <v>26734.176</v>
      </c>
      <c r="J1655" s="33" t="n">
        <f aca="false">H1655-I1655</f>
        <v>7085.824</v>
      </c>
      <c r="K1655" s="33" t="n">
        <f aca="false">IF(OR(E1655=0,E1655&gt;=7),0,D1655/(7-E1655)*E1655*INDEX(Products!$E$2:$E$49,MATCH(C1655,Products!$A$2:$A$49,0)))</f>
        <v>0</v>
      </c>
    </row>
    <row r="1656" customFormat="false" ht="15" hidden="false" customHeight="false" outlineLevel="0" collapsed="false">
      <c r="A1656" s="36" t="n">
        <v>46146</v>
      </c>
      <c r="B1656" s="24" t="s">
        <v>62</v>
      </c>
      <c r="C1656" s="24" t="s">
        <v>151</v>
      </c>
      <c r="D1656" s="33" t="n">
        <v>186</v>
      </c>
      <c r="E1656" s="24" t="n">
        <v>0</v>
      </c>
      <c r="F1656" s="37" t="n">
        <f aca="false">DATE(YEAR(A1656),MONTH(A1656),1)</f>
        <v>46143</v>
      </c>
      <c r="G1656" s="24" t="str">
        <f aca="false">INDEX(Products!$C$2:$C$49,MATCH(C1656,Products!$A$2:$A$49,0))</f>
        <v>Beverages</v>
      </c>
      <c r="H1656" s="33" t="n">
        <f aca="false">D1656*INDEX(Products!$E$2:$E$49,MATCH(C1656,Products!$A$2:$A$49,0))</f>
        <v>35340</v>
      </c>
      <c r="I1656" s="33" t="n">
        <f aca="false">D1656*INDEX(Products!$D$2:$D$49,MATCH(C1656,Products!$A$2:$A$49,0))*(1+INDEX(Assumptions!$B$16:$B$20,MATCH(B1656,Assumptions!$A$16:$A$20,0)))</f>
        <v>27935.712</v>
      </c>
      <c r="J1656" s="33" t="n">
        <f aca="false">H1656-I1656</f>
        <v>7404.288</v>
      </c>
      <c r="K1656" s="33" t="n">
        <f aca="false">IF(OR(E1656=0,E1656&gt;=7),0,D1656/(7-E1656)*E1656*INDEX(Products!$E$2:$E$49,MATCH(C1656,Products!$A$2:$A$49,0)))</f>
        <v>0</v>
      </c>
    </row>
    <row r="1657" customFormat="false" ht="15" hidden="false" customHeight="false" outlineLevel="0" collapsed="false">
      <c r="A1657" s="36" t="n">
        <v>46153</v>
      </c>
      <c r="B1657" s="24" t="s">
        <v>62</v>
      </c>
      <c r="C1657" s="24" t="s">
        <v>151</v>
      </c>
      <c r="D1657" s="33" t="n">
        <v>167</v>
      </c>
      <c r="E1657" s="24" t="n">
        <v>0</v>
      </c>
      <c r="F1657" s="37" t="n">
        <f aca="false">DATE(YEAR(A1657),MONTH(A1657),1)</f>
        <v>46143</v>
      </c>
      <c r="G1657" s="24" t="str">
        <f aca="false">INDEX(Products!$C$2:$C$49,MATCH(C1657,Products!$A$2:$A$49,0))</f>
        <v>Beverages</v>
      </c>
      <c r="H1657" s="33" t="n">
        <f aca="false">D1657*INDEX(Products!$E$2:$E$49,MATCH(C1657,Products!$A$2:$A$49,0))</f>
        <v>31730</v>
      </c>
      <c r="I1657" s="33" t="n">
        <f aca="false">D1657*INDEX(Products!$D$2:$D$49,MATCH(C1657,Products!$A$2:$A$49,0))*(1+INDEX(Assumptions!$B$16:$B$20,MATCH(B1657,Assumptions!$A$16:$A$20,0)))</f>
        <v>25082.064</v>
      </c>
      <c r="J1657" s="33" t="n">
        <f aca="false">H1657-I1657</f>
        <v>6647.936</v>
      </c>
      <c r="K1657" s="33" t="n">
        <f aca="false">IF(OR(E1657=0,E1657&gt;=7),0,D1657/(7-E1657)*E1657*INDEX(Products!$E$2:$E$49,MATCH(C1657,Products!$A$2:$A$49,0)))</f>
        <v>0</v>
      </c>
    </row>
    <row r="1658" customFormat="false" ht="15" hidden="false" customHeight="false" outlineLevel="0" collapsed="false">
      <c r="A1658" s="36" t="n">
        <v>46160</v>
      </c>
      <c r="B1658" s="24" t="s">
        <v>62</v>
      </c>
      <c r="C1658" s="24" t="s">
        <v>151</v>
      </c>
      <c r="D1658" s="33" t="n">
        <v>175</v>
      </c>
      <c r="E1658" s="24" t="n">
        <v>0</v>
      </c>
      <c r="F1658" s="37" t="n">
        <f aca="false">DATE(YEAR(A1658),MONTH(A1658),1)</f>
        <v>46143</v>
      </c>
      <c r="G1658" s="24" t="str">
        <f aca="false">INDEX(Products!$C$2:$C$49,MATCH(C1658,Products!$A$2:$A$49,0))</f>
        <v>Beverages</v>
      </c>
      <c r="H1658" s="33" t="n">
        <f aca="false">D1658*INDEX(Products!$E$2:$E$49,MATCH(C1658,Products!$A$2:$A$49,0))</f>
        <v>33250</v>
      </c>
      <c r="I1658" s="33" t="n">
        <f aca="false">D1658*INDEX(Products!$D$2:$D$49,MATCH(C1658,Products!$A$2:$A$49,0))*(1+INDEX(Assumptions!$B$16:$B$20,MATCH(B1658,Assumptions!$A$16:$A$20,0)))</f>
        <v>26283.6</v>
      </c>
      <c r="J1658" s="33" t="n">
        <f aca="false">H1658-I1658</f>
        <v>6966.4</v>
      </c>
      <c r="K1658" s="33" t="n">
        <f aca="false">IF(OR(E1658=0,E1658&gt;=7),0,D1658/(7-E1658)*E1658*INDEX(Products!$E$2:$E$49,MATCH(C1658,Products!$A$2:$A$49,0)))</f>
        <v>0</v>
      </c>
    </row>
    <row r="1659" customFormat="false" ht="15" hidden="false" customHeight="false" outlineLevel="0" collapsed="false">
      <c r="A1659" s="36" t="n">
        <v>46167</v>
      </c>
      <c r="B1659" s="24" t="s">
        <v>62</v>
      </c>
      <c r="C1659" s="24" t="s">
        <v>151</v>
      </c>
      <c r="D1659" s="33" t="n">
        <v>182</v>
      </c>
      <c r="E1659" s="24" t="n">
        <v>0</v>
      </c>
      <c r="F1659" s="37" t="n">
        <f aca="false">DATE(YEAR(A1659),MONTH(A1659),1)</f>
        <v>46143</v>
      </c>
      <c r="G1659" s="24" t="str">
        <f aca="false">INDEX(Products!$C$2:$C$49,MATCH(C1659,Products!$A$2:$A$49,0))</f>
        <v>Beverages</v>
      </c>
      <c r="H1659" s="33" t="n">
        <f aca="false">D1659*INDEX(Products!$E$2:$E$49,MATCH(C1659,Products!$A$2:$A$49,0))</f>
        <v>34580</v>
      </c>
      <c r="I1659" s="33" t="n">
        <f aca="false">D1659*INDEX(Products!$D$2:$D$49,MATCH(C1659,Products!$A$2:$A$49,0))*(1+INDEX(Assumptions!$B$16:$B$20,MATCH(B1659,Assumptions!$A$16:$A$20,0)))</f>
        <v>27334.944</v>
      </c>
      <c r="J1659" s="33" t="n">
        <f aca="false">H1659-I1659</f>
        <v>7245.056</v>
      </c>
      <c r="K1659" s="33" t="n">
        <f aca="false">IF(OR(E1659=0,E1659&gt;=7),0,D1659/(7-E1659)*E1659*INDEX(Products!$E$2:$E$49,MATCH(C1659,Products!$A$2:$A$49,0)))</f>
        <v>0</v>
      </c>
    </row>
    <row r="1660" customFormat="false" ht="15" hidden="false" customHeight="false" outlineLevel="0" collapsed="false">
      <c r="A1660" s="36" t="n">
        <v>46174</v>
      </c>
      <c r="B1660" s="24" t="s">
        <v>62</v>
      </c>
      <c r="C1660" s="24" t="s">
        <v>151</v>
      </c>
      <c r="D1660" s="33" t="n">
        <v>189</v>
      </c>
      <c r="E1660" s="24" t="n">
        <v>0</v>
      </c>
      <c r="F1660" s="37" t="n">
        <f aca="false">DATE(YEAR(A1660),MONTH(A1660),1)</f>
        <v>46174</v>
      </c>
      <c r="G1660" s="24" t="str">
        <f aca="false">INDEX(Products!$C$2:$C$49,MATCH(C1660,Products!$A$2:$A$49,0))</f>
        <v>Beverages</v>
      </c>
      <c r="H1660" s="33" t="n">
        <f aca="false">D1660*INDEX(Products!$E$2:$E$49,MATCH(C1660,Products!$A$2:$A$49,0))</f>
        <v>35910</v>
      </c>
      <c r="I1660" s="33" t="n">
        <f aca="false">D1660*INDEX(Products!$D$2:$D$49,MATCH(C1660,Products!$A$2:$A$49,0))*(1+INDEX(Assumptions!$B$16:$B$20,MATCH(B1660,Assumptions!$A$16:$A$20,0)))</f>
        <v>28386.288</v>
      </c>
      <c r="J1660" s="33" t="n">
        <f aca="false">H1660-I1660</f>
        <v>7523.712</v>
      </c>
      <c r="K1660" s="33" t="n">
        <f aca="false">IF(OR(E1660=0,E1660&gt;=7),0,D1660/(7-E1660)*E1660*INDEX(Products!$E$2:$E$49,MATCH(C1660,Products!$A$2:$A$49,0)))</f>
        <v>0</v>
      </c>
    </row>
    <row r="1661" customFormat="false" ht="15" hidden="false" customHeight="false" outlineLevel="0" collapsed="false">
      <c r="A1661" s="36" t="n">
        <v>46181</v>
      </c>
      <c r="B1661" s="24" t="s">
        <v>62</v>
      </c>
      <c r="C1661" s="24" t="s">
        <v>151</v>
      </c>
      <c r="D1661" s="33" t="n">
        <v>356</v>
      </c>
      <c r="E1661" s="24" t="n">
        <v>0</v>
      </c>
      <c r="F1661" s="37" t="n">
        <f aca="false">DATE(YEAR(A1661),MONTH(A1661),1)</f>
        <v>46174</v>
      </c>
      <c r="G1661" s="24" t="str">
        <f aca="false">INDEX(Products!$C$2:$C$49,MATCH(C1661,Products!$A$2:$A$49,0))</f>
        <v>Beverages</v>
      </c>
      <c r="H1661" s="33" t="n">
        <f aca="false">D1661*INDEX(Products!$E$2:$E$49,MATCH(C1661,Products!$A$2:$A$49,0))</f>
        <v>67640</v>
      </c>
      <c r="I1661" s="33" t="n">
        <f aca="false">D1661*INDEX(Products!$D$2:$D$49,MATCH(C1661,Products!$A$2:$A$49,0))*(1+INDEX(Assumptions!$B$16:$B$20,MATCH(B1661,Assumptions!$A$16:$A$20,0)))</f>
        <v>53468.352</v>
      </c>
      <c r="J1661" s="33" t="n">
        <f aca="false">H1661-I1661</f>
        <v>14171.648</v>
      </c>
      <c r="K1661" s="33" t="n">
        <f aca="false">IF(OR(E1661=0,E1661&gt;=7),0,D1661/(7-E1661)*E1661*INDEX(Products!$E$2:$E$49,MATCH(C1661,Products!$A$2:$A$49,0)))</f>
        <v>0</v>
      </c>
    </row>
    <row r="1662" customFormat="false" ht="15" hidden="false" customHeight="false" outlineLevel="0" collapsed="false">
      <c r="A1662" s="36" t="n">
        <v>46188</v>
      </c>
      <c r="B1662" s="24" t="s">
        <v>62</v>
      </c>
      <c r="C1662" s="24" t="s">
        <v>151</v>
      </c>
      <c r="D1662" s="33" t="n">
        <v>156</v>
      </c>
      <c r="E1662" s="24" t="n">
        <v>0</v>
      </c>
      <c r="F1662" s="37" t="n">
        <f aca="false">DATE(YEAR(A1662),MONTH(A1662),1)</f>
        <v>46174</v>
      </c>
      <c r="G1662" s="24" t="str">
        <f aca="false">INDEX(Products!$C$2:$C$49,MATCH(C1662,Products!$A$2:$A$49,0))</f>
        <v>Beverages</v>
      </c>
      <c r="H1662" s="33" t="n">
        <f aca="false">D1662*INDEX(Products!$E$2:$E$49,MATCH(C1662,Products!$A$2:$A$49,0))</f>
        <v>29640</v>
      </c>
      <c r="I1662" s="33" t="n">
        <f aca="false">D1662*INDEX(Products!$D$2:$D$49,MATCH(C1662,Products!$A$2:$A$49,0))*(1+INDEX(Assumptions!$B$16:$B$20,MATCH(B1662,Assumptions!$A$16:$A$20,0)))</f>
        <v>23429.952</v>
      </c>
      <c r="J1662" s="33" t="n">
        <f aca="false">H1662-I1662</f>
        <v>6210.048</v>
      </c>
      <c r="K1662" s="33" t="n">
        <f aca="false">IF(OR(E1662=0,E1662&gt;=7),0,D1662/(7-E1662)*E1662*INDEX(Products!$E$2:$E$49,MATCH(C1662,Products!$A$2:$A$49,0)))</f>
        <v>0</v>
      </c>
    </row>
    <row r="1663" customFormat="false" ht="15" hidden="false" customHeight="false" outlineLevel="0" collapsed="false">
      <c r="A1663" s="36" t="n">
        <v>46195</v>
      </c>
      <c r="B1663" s="24" t="s">
        <v>62</v>
      </c>
      <c r="C1663" s="24" t="s">
        <v>151</v>
      </c>
      <c r="D1663" s="33" t="n">
        <v>171</v>
      </c>
      <c r="E1663" s="24" t="n">
        <v>0</v>
      </c>
      <c r="F1663" s="37" t="n">
        <f aca="false">DATE(YEAR(A1663),MONTH(A1663),1)</f>
        <v>46174</v>
      </c>
      <c r="G1663" s="24" t="str">
        <f aca="false">INDEX(Products!$C$2:$C$49,MATCH(C1663,Products!$A$2:$A$49,0))</f>
        <v>Beverages</v>
      </c>
      <c r="H1663" s="33" t="n">
        <f aca="false">D1663*INDEX(Products!$E$2:$E$49,MATCH(C1663,Products!$A$2:$A$49,0))</f>
        <v>32490</v>
      </c>
      <c r="I1663" s="33" t="n">
        <f aca="false">D1663*INDEX(Products!$D$2:$D$49,MATCH(C1663,Products!$A$2:$A$49,0))*(1+INDEX(Assumptions!$B$16:$B$20,MATCH(B1663,Assumptions!$A$16:$A$20,0)))</f>
        <v>25682.832</v>
      </c>
      <c r="J1663" s="33" t="n">
        <f aca="false">H1663-I1663</f>
        <v>6807.168</v>
      </c>
      <c r="K1663" s="33" t="n">
        <f aca="false">IF(OR(E1663=0,E1663&gt;=7),0,D1663/(7-E1663)*E1663*INDEX(Products!$E$2:$E$49,MATCH(C1663,Products!$A$2:$A$49,0)))</f>
        <v>0</v>
      </c>
    </row>
    <row r="1664" customFormat="false" ht="15" hidden="false" customHeight="false" outlineLevel="0" collapsed="false">
      <c r="A1664" s="36" t="n">
        <v>46202</v>
      </c>
      <c r="B1664" s="24" t="s">
        <v>62</v>
      </c>
      <c r="C1664" s="24" t="s">
        <v>151</v>
      </c>
      <c r="D1664" s="33" t="n">
        <v>176</v>
      </c>
      <c r="E1664" s="24" t="n">
        <v>0</v>
      </c>
      <c r="F1664" s="37" t="n">
        <f aca="false">DATE(YEAR(A1664),MONTH(A1664),1)</f>
        <v>46174</v>
      </c>
      <c r="G1664" s="24" t="str">
        <f aca="false">INDEX(Products!$C$2:$C$49,MATCH(C1664,Products!$A$2:$A$49,0))</f>
        <v>Beverages</v>
      </c>
      <c r="H1664" s="33" t="n">
        <f aca="false">D1664*INDEX(Products!$E$2:$E$49,MATCH(C1664,Products!$A$2:$A$49,0))</f>
        <v>33440</v>
      </c>
      <c r="I1664" s="33" t="n">
        <f aca="false">D1664*INDEX(Products!$D$2:$D$49,MATCH(C1664,Products!$A$2:$A$49,0))*(1+INDEX(Assumptions!$B$16:$B$20,MATCH(B1664,Assumptions!$A$16:$A$20,0)))</f>
        <v>26433.792</v>
      </c>
      <c r="J1664" s="33" t="n">
        <f aca="false">H1664-I1664</f>
        <v>7006.208</v>
      </c>
      <c r="K1664" s="33" t="n">
        <f aca="false">IF(OR(E1664=0,E1664&gt;=7),0,D1664/(7-E1664)*E1664*INDEX(Products!$E$2:$E$49,MATCH(C1664,Products!$A$2:$A$49,0)))</f>
        <v>0</v>
      </c>
    </row>
    <row r="1665" customFormat="false" ht="15" hidden="false" customHeight="false" outlineLevel="0" collapsed="false">
      <c r="A1665" s="36" t="n">
        <v>46209</v>
      </c>
      <c r="B1665" s="24" t="s">
        <v>62</v>
      </c>
      <c r="C1665" s="24" t="s">
        <v>151</v>
      </c>
      <c r="D1665" s="33" t="n">
        <v>165</v>
      </c>
      <c r="E1665" s="24" t="n">
        <v>0</v>
      </c>
      <c r="F1665" s="37" t="n">
        <f aca="false">DATE(YEAR(A1665),MONTH(A1665),1)</f>
        <v>46204</v>
      </c>
      <c r="G1665" s="24" t="str">
        <f aca="false">INDEX(Products!$C$2:$C$49,MATCH(C1665,Products!$A$2:$A$49,0))</f>
        <v>Beverages</v>
      </c>
      <c r="H1665" s="33" t="n">
        <f aca="false">D1665*INDEX(Products!$E$2:$E$49,MATCH(C1665,Products!$A$2:$A$49,0))</f>
        <v>31350</v>
      </c>
      <c r="I1665" s="33" t="n">
        <f aca="false">D1665*INDEX(Products!$D$2:$D$49,MATCH(C1665,Products!$A$2:$A$49,0))*(1+INDEX(Assumptions!$B$16:$B$20,MATCH(B1665,Assumptions!$A$16:$A$20,0)))</f>
        <v>24781.68</v>
      </c>
      <c r="J1665" s="33" t="n">
        <f aca="false">H1665-I1665</f>
        <v>6568.32</v>
      </c>
      <c r="K1665" s="33" t="n">
        <f aca="false">IF(OR(E1665=0,E1665&gt;=7),0,D1665/(7-E1665)*E1665*INDEX(Products!$E$2:$E$49,MATCH(C1665,Products!$A$2:$A$49,0)))</f>
        <v>0</v>
      </c>
    </row>
    <row r="1666" customFormat="false" ht="15" hidden="false" customHeight="false" outlineLevel="0" collapsed="false">
      <c r="A1666" s="36" t="n">
        <v>46216</v>
      </c>
      <c r="B1666" s="24" t="s">
        <v>62</v>
      </c>
      <c r="C1666" s="24" t="s">
        <v>151</v>
      </c>
      <c r="D1666" s="33" t="n">
        <v>149</v>
      </c>
      <c r="E1666" s="24" t="n">
        <v>0</v>
      </c>
      <c r="F1666" s="37" t="n">
        <f aca="false">DATE(YEAR(A1666),MONTH(A1666),1)</f>
        <v>46204</v>
      </c>
      <c r="G1666" s="24" t="str">
        <f aca="false">INDEX(Products!$C$2:$C$49,MATCH(C1666,Products!$A$2:$A$49,0))</f>
        <v>Beverages</v>
      </c>
      <c r="H1666" s="33" t="n">
        <f aca="false">D1666*INDEX(Products!$E$2:$E$49,MATCH(C1666,Products!$A$2:$A$49,0))</f>
        <v>28310</v>
      </c>
      <c r="I1666" s="33" t="n">
        <f aca="false">D1666*INDEX(Products!$D$2:$D$49,MATCH(C1666,Products!$A$2:$A$49,0))*(1+INDEX(Assumptions!$B$16:$B$20,MATCH(B1666,Assumptions!$A$16:$A$20,0)))</f>
        <v>22378.608</v>
      </c>
      <c r="J1666" s="33" t="n">
        <f aca="false">H1666-I1666</f>
        <v>5931.392</v>
      </c>
      <c r="K1666" s="33" t="n">
        <f aca="false">IF(OR(E1666=0,E1666&gt;=7),0,D1666/(7-E1666)*E1666*INDEX(Products!$E$2:$E$49,MATCH(C1666,Products!$A$2:$A$49,0)))</f>
        <v>0</v>
      </c>
    </row>
    <row r="1667" customFormat="false" ht="15" hidden="false" customHeight="false" outlineLevel="0" collapsed="false">
      <c r="A1667" s="36" t="n">
        <v>46223</v>
      </c>
      <c r="B1667" s="24" t="s">
        <v>62</v>
      </c>
      <c r="C1667" s="24" t="s">
        <v>151</v>
      </c>
      <c r="D1667" s="33" t="n">
        <v>144</v>
      </c>
      <c r="E1667" s="24" t="n">
        <v>0</v>
      </c>
      <c r="F1667" s="37" t="n">
        <f aca="false">DATE(YEAR(A1667),MONTH(A1667),1)</f>
        <v>46204</v>
      </c>
      <c r="G1667" s="24" t="str">
        <f aca="false">INDEX(Products!$C$2:$C$49,MATCH(C1667,Products!$A$2:$A$49,0))</f>
        <v>Beverages</v>
      </c>
      <c r="H1667" s="33" t="n">
        <f aca="false">D1667*INDEX(Products!$E$2:$E$49,MATCH(C1667,Products!$A$2:$A$49,0))</f>
        <v>27360</v>
      </c>
      <c r="I1667" s="33" t="n">
        <f aca="false">D1667*INDEX(Products!$D$2:$D$49,MATCH(C1667,Products!$A$2:$A$49,0))*(1+INDEX(Assumptions!$B$16:$B$20,MATCH(B1667,Assumptions!$A$16:$A$20,0)))</f>
        <v>21627.648</v>
      </c>
      <c r="J1667" s="33" t="n">
        <f aca="false">H1667-I1667</f>
        <v>5732.352</v>
      </c>
      <c r="K1667" s="33" t="n">
        <f aca="false">IF(OR(E1667=0,E1667&gt;=7),0,D1667/(7-E1667)*E1667*INDEX(Products!$E$2:$E$49,MATCH(C1667,Products!$A$2:$A$49,0)))</f>
        <v>0</v>
      </c>
    </row>
    <row r="1668" customFormat="false" ht="15" hidden="false" customHeight="false" outlineLevel="0" collapsed="false">
      <c r="A1668" s="36" t="n">
        <v>46230</v>
      </c>
      <c r="B1668" s="24" t="s">
        <v>62</v>
      </c>
      <c r="C1668" s="24" t="s">
        <v>151</v>
      </c>
      <c r="D1668" s="33" t="n">
        <v>150</v>
      </c>
      <c r="E1668" s="24" t="n">
        <v>0</v>
      </c>
      <c r="F1668" s="37" t="n">
        <f aca="false">DATE(YEAR(A1668),MONTH(A1668),1)</f>
        <v>46204</v>
      </c>
      <c r="G1668" s="24" t="str">
        <f aca="false">INDEX(Products!$C$2:$C$49,MATCH(C1668,Products!$A$2:$A$49,0))</f>
        <v>Beverages</v>
      </c>
      <c r="H1668" s="33" t="n">
        <f aca="false">D1668*INDEX(Products!$E$2:$E$49,MATCH(C1668,Products!$A$2:$A$49,0))</f>
        <v>28500</v>
      </c>
      <c r="I1668" s="33" t="n">
        <f aca="false">D1668*INDEX(Products!$D$2:$D$49,MATCH(C1668,Products!$A$2:$A$49,0))*(1+INDEX(Assumptions!$B$16:$B$20,MATCH(B1668,Assumptions!$A$16:$A$20,0)))</f>
        <v>22528.8</v>
      </c>
      <c r="J1668" s="33" t="n">
        <f aca="false">H1668-I1668</f>
        <v>5971.2</v>
      </c>
      <c r="K1668" s="33" t="n">
        <f aca="false">IF(OR(E1668=0,E1668&gt;=7),0,D1668/(7-E1668)*E1668*INDEX(Products!$E$2:$E$49,MATCH(C1668,Products!$A$2:$A$49,0)))</f>
        <v>0</v>
      </c>
    </row>
    <row r="1669" customFormat="false" ht="15" hidden="false" customHeight="false" outlineLevel="0" collapsed="false">
      <c r="A1669" s="36" t="n">
        <v>46237</v>
      </c>
      <c r="B1669" s="24" t="s">
        <v>62</v>
      </c>
      <c r="C1669" s="24" t="s">
        <v>151</v>
      </c>
      <c r="D1669" s="33" t="n">
        <v>151</v>
      </c>
      <c r="E1669" s="24" t="n">
        <v>0</v>
      </c>
      <c r="F1669" s="37" t="n">
        <f aca="false">DATE(YEAR(A1669),MONTH(A1669),1)</f>
        <v>46235</v>
      </c>
      <c r="G1669" s="24" t="str">
        <f aca="false">INDEX(Products!$C$2:$C$49,MATCH(C1669,Products!$A$2:$A$49,0))</f>
        <v>Beverages</v>
      </c>
      <c r="H1669" s="33" t="n">
        <f aca="false">D1669*INDEX(Products!$E$2:$E$49,MATCH(C1669,Products!$A$2:$A$49,0))</f>
        <v>28690</v>
      </c>
      <c r="I1669" s="33" t="n">
        <f aca="false">D1669*INDEX(Products!$D$2:$D$49,MATCH(C1669,Products!$A$2:$A$49,0))*(1+INDEX(Assumptions!$B$16:$B$20,MATCH(B1669,Assumptions!$A$16:$A$20,0)))</f>
        <v>22678.992</v>
      </c>
      <c r="J1669" s="33" t="n">
        <f aca="false">H1669-I1669</f>
        <v>6011.008</v>
      </c>
      <c r="K1669" s="33" t="n">
        <f aca="false">IF(OR(E1669=0,E1669&gt;=7),0,D1669/(7-E1669)*E1669*INDEX(Products!$E$2:$E$49,MATCH(C1669,Products!$A$2:$A$49,0)))</f>
        <v>0</v>
      </c>
    </row>
    <row r="1670" customFormat="false" ht="15" hidden="false" customHeight="false" outlineLevel="0" collapsed="false">
      <c r="A1670" s="36" t="n">
        <v>46244</v>
      </c>
      <c r="B1670" s="24" t="s">
        <v>62</v>
      </c>
      <c r="C1670" s="24" t="s">
        <v>151</v>
      </c>
      <c r="D1670" s="33" t="n">
        <v>142</v>
      </c>
      <c r="E1670" s="24" t="n">
        <v>0</v>
      </c>
      <c r="F1670" s="37" t="n">
        <f aca="false">DATE(YEAR(A1670),MONTH(A1670),1)</f>
        <v>46235</v>
      </c>
      <c r="G1670" s="24" t="str">
        <f aca="false">INDEX(Products!$C$2:$C$49,MATCH(C1670,Products!$A$2:$A$49,0))</f>
        <v>Beverages</v>
      </c>
      <c r="H1670" s="33" t="n">
        <f aca="false">D1670*INDEX(Products!$E$2:$E$49,MATCH(C1670,Products!$A$2:$A$49,0))</f>
        <v>26980</v>
      </c>
      <c r="I1670" s="33" t="n">
        <f aca="false">D1670*INDEX(Products!$D$2:$D$49,MATCH(C1670,Products!$A$2:$A$49,0))*(1+INDEX(Assumptions!$B$16:$B$20,MATCH(B1670,Assumptions!$A$16:$A$20,0)))</f>
        <v>21327.264</v>
      </c>
      <c r="J1670" s="33" t="n">
        <f aca="false">H1670-I1670</f>
        <v>5652.736</v>
      </c>
      <c r="K1670" s="33" t="n">
        <f aca="false">IF(OR(E1670=0,E1670&gt;=7),0,D1670/(7-E1670)*E1670*INDEX(Products!$E$2:$E$49,MATCH(C1670,Products!$A$2:$A$49,0)))</f>
        <v>0</v>
      </c>
    </row>
    <row r="1671" customFormat="false" ht="15" hidden="false" customHeight="false" outlineLevel="0" collapsed="false">
      <c r="A1671" s="36" t="n">
        <v>46251</v>
      </c>
      <c r="B1671" s="24" t="s">
        <v>62</v>
      </c>
      <c r="C1671" s="24" t="s">
        <v>151</v>
      </c>
      <c r="D1671" s="33" t="n">
        <v>153</v>
      </c>
      <c r="E1671" s="24" t="n">
        <v>0</v>
      </c>
      <c r="F1671" s="37" t="n">
        <f aca="false">DATE(YEAR(A1671),MONTH(A1671),1)</f>
        <v>46235</v>
      </c>
      <c r="G1671" s="24" t="str">
        <f aca="false">INDEX(Products!$C$2:$C$49,MATCH(C1671,Products!$A$2:$A$49,0))</f>
        <v>Beverages</v>
      </c>
      <c r="H1671" s="33" t="n">
        <f aca="false">D1671*INDEX(Products!$E$2:$E$49,MATCH(C1671,Products!$A$2:$A$49,0))</f>
        <v>29070</v>
      </c>
      <c r="I1671" s="33" t="n">
        <f aca="false">D1671*INDEX(Products!$D$2:$D$49,MATCH(C1671,Products!$A$2:$A$49,0))*(1+INDEX(Assumptions!$B$16:$B$20,MATCH(B1671,Assumptions!$A$16:$A$20,0)))</f>
        <v>22979.376</v>
      </c>
      <c r="J1671" s="33" t="n">
        <f aca="false">H1671-I1671</f>
        <v>6090.624</v>
      </c>
      <c r="K1671" s="33" t="n">
        <f aca="false">IF(OR(E1671=0,E1671&gt;=7),0,D1671/(7-E1671)*E1671*INDEX(Products!$E$2:$E$49,MATCH(C1671,Products!$A$2:$A$49,0)))</f>
        <v>0</v>
      </c>
    </row>
    <row r="1672" customFormat="false" ht="15" hidden="false" customHeight="false" outlineLevel="0" collapsed="false">
      <c r="A1672" s="36" t="n">
        <v>46258</v>
      </c>
      <c r="B1672" s="24" t="s">
        <v>62</v>
      </c>
      <c r="C1672" s="24" t="s">
        <v>151</v>
      </c>
      <c r="D1672" s="33" t="n">
        <v>141</v>
      </c>
      <c r="E1672" s="24" t="n">
        <v>0</v>
      </c>
      <c r="F1672" s="37" t="n">
        <f aca="false">DATE(YEAR(A1672),MONTH(A1672),1)</f>
        <v>46235</v>
      </c>
      <c r="G1672" s="24" t="str">
        <f aca="false">INDEX(Products!$C$2:$C$49,MATCH(C1672,Products!$A$2:$A$49,0))</f>
        <v>Beverages</v>
      </c>
      <c r="H1672" s="33" t="n">
        <f aca="false">D1672*INDEX(Products!$E$2:$E$49,MATCH(C1672,Products!$A$2:$A$49,0))</f>
        <v>26790</v>
      </c>
      <c r="I1672" s="33" t="n">
        <f aca="false">D1672*INDEX(Products!$D$2:$D$49,MATCH(C1672,Products!$A$2:$A$49,0))*(1+INDEX(Assumptions!$B$16:$B$20,MATCH(B1672,Assumptions!$A$16:$A$20,0)))</f>
        <v>21177.072</v>
      </c>
      <c r="J1672" s="33" t="n">
        <f aca="false">H1672-I1672</f>
        <v>5612.928</v>
      </c>
      <c r="K1672" s="33" t="n">
        <f aca="false">IF(OR(E1672=0,E1672&gt;=7),0,D1672/(7-E1672)*E1672*INDEX(Products!$E$2:$E$49,MATCH(C1672,Products!$A$2:$A$49,0)))</f>
        <v>0</v>
      </c>
    </row>
    <row r="1673" customFormat="false" ht="15" hidden="false" customHeight="false" outlineLevel="0" collapsed="false">
      <c r="A1673" s="36" t="n">
        <v>46265</v>
      </c>
      <c r="B1673" s="24" t="s">
        <v>62</v>
      </c>
      <c r="C1673" s="24" t="s">
        <v>151</v>
      </c>
      <c r="D1673" s="33" t="n">
        <v>159</v>
      </c>
      <c r="E1673" s="24" t="n">
        <v>0</v>
      </c>
      <c r="F1673" s="37" t="n">
        <f aca="false">DATE(YEAR(A1673),MONTH(A1673),1)</f>
        <v>46235</v>
      </c>
      <c r="G1673" s="24" t="str">
        <f aca="false">INDEX(Products!$C$2:$C$49,MATCH(C1673,Products!$A$2:$A$49,0))</f>
        <v>Beverages</v>
      </c>
      <c r="H1673" s="33" t="n">
        <f aca="false">D1673*INDEX(Products!$E$2:$E$49,MATCH(C1673,Products!$A$2:$A$49,0))</f>
        <v>30210</v>
      </c>
      <c r="I1673" s="33" t="n">
        <f aca="false">D1673*INDEX(Products!$D$2:$D$49,MATCH(C1673,Products!$A$2:$A$49,0))*(1+INDEX(Assumptions!$B$16:$B$20,MATCH(B1673,Assumptions!$A$16:$A$20,0)))</f>
        <v>23880.528</v>
      </c>
      <c r="J1673" s="33" t="n">
        <f aca="false">H1673-I1673</f>
        <v>6329.472</v>
      </c>
      <c r="K1673" s="33" t="n">
        <f aca="false">IF(OR(E1673=0,E1673&gt;=7),0,D1673/(7-E1673)*E1673*INDEX(Products!$E$2:$E$49,MATCH(C1673,Products!$A$2:$A$49,0)))</f>
        <v>0</v>
      </c>
    </row>
    <row r="1674" customFormat="false" ht="15" hidden="false" customHeight="false" outlineLevel="0" collapsed="false">
      <c r="A1674" s="36" t="n">
        <v>46272</v>
      </c>
      <c r="B1674" s="24" t="s">
        <v>62</v>
      </c>
      <c r="C1674" s="24" t="s">
        <v>151</v>
      </c>
      <c r="D1674" s="33" t="n">
        <v>164</v>
      </c>
      <c r="E1674" s="24" t="n">
        <v>0</v>
      </c>
      <c r="F1674" s="37" t="n">
        <f aca="false">DATE(YEAR(A1674),MONTH(A1674),1)</f>
        <v>46266</v>
      </c>
      <c r="G1674" s="24" t="str">
        <f aca="false">INDEX(Products!$C$2:$C$49,MATCH(C1674,Products!$A$2:$A$49,0))</f>
        <v>Beverages</v>
      </c>
      <c r="H1674" s="33" t="n">
        <f aca="false">D1674*INDEX(Products!$E$2:$E$49,MATCH(C1674,Products!$A$2:$A$49,0))</f>
        <v>31160</v>
      </c>
      <c r="I1674" s="33" t="n">
        <f aca="false">D1674*INDEX(Products!$D$2:$D$49,MATCH(C1674,Products!$A$2:$A$49,0))*(1+INDEX(Assumptions!$B$16:$B$20,MATCH(B1674,Assumptions!$A$16:$A$20,0)))</f>
        <v>24631.488</v>
      </c>
      <c r="J1674" s="33" t="n">
        <f aca="false">H1674-I1674</f>
        <v>6528.512</v>
      </c>
      <c r="K1674" s="33" t="n">
        <f aca="false">IF(OR(E1674=0,E1674&gt;=7),0,D1674/(7-E1674)*E1674*INDEX(Products!$E$2:$E$49,MATCH(C1674,Products!$A$2:$A$49,0)))</f>
        <v>0</v>
      </c>
    </row>
    <row r="1675" customFormat="false" ht="15" hidden="false" customHeight="false" outlineLevel="0" collapsed="false">
      <c r="A1675" s="36" t="n">
        <v>46279</v>
      </c>
      <c r="B1675" s="24" t="s">
        <v>62</v>
      </c>
      <c r="C1675" s="24" t="s">
        <v>151</v>
      </c>
      <c r="D1675" s="33" t="n">
        <v>156</v>
      </c>
      <c r="E1675" s="24" t="n">
        <v>0</v>
      </c>
      <c r="F1675" s="37" t="n">
        <f aca="false">DATE(YEAR(A1675),MONTH(A1675),1)</f>
        <v>46266</v>
      </c>
      <c r="G1675" s="24" t="str">
        <f aca="false">INDEX(Products!$C$2:$C$49,MATCH(C1675,Products!$A$2:$A$49,0))</f>
        <v>Beverages</v>
      </c>
      <c r="H1675" s="33" t="n">
        <f aca="false">D1675*INDEX(Products!$E$2:$E$49,MATCH(C1675,Products!$A$2:$A$49,0))</f>
        <v>29640</v>
      </c>
      <c r="I1675" s="33" t="n">
        <f aca="false">D1675*INDEX(Products!$D$2:$D$49,MATCH(C1675,Products!$A$2:$A$49,0))*(1+INDEX(Assumptions!$B$16:$B$20,MATCH(B1675,Assumptions!$A$16:$A$20,0)))</f>
        <v>23429.952</v>
      </c>
      <c r="J1675" s="33" t="n">
        <f aca="false">H1675-I1675</f>
        <v>6210.048</v>
      </c>
      <c r="K1675" s="33" t="n">
        <f aca="false">IF(OR(E1675=0,E1675&gt;=7),0,D1675/(7-E1675)*E1675*INDEX(Products!$E$2:$E$49,MATCH(C1675,Products!$A$2:$A$49,0)))</f>
        <v>0</v>
      </c>
    </row>
    <row r="1676" customFormat="false" ht="15" hidden="false" customHeight="false" outlineLevel="0" collapsed="false">
      <c r="A1676" s="36" t="n">
        <v>46286</v>
      </c>
      <c r="B1676" s="24" t="s">
        <v>62</v>
      </c>
      <c r="C1676" s="24" t="s">
        <v>151</v>
      </c>
      <c r="D1676" s="33" t="n">
        <v>190</v>
      </c>
      <c r="E1676" s="24" t="n">
        <v>0</v>
      </c>
      <c r="F1676" s="37" t="n">
        <f aca="false">DATE(YEAR(A1676),MONTH(A1676),1)</f>
        <v>46266</v>
      </c>
      <c r="G1676" s="24" t="str">
        <f aca="false">INDEX(Products!$C$2:$C$49,MATCH(C1676,Products!$A$2:$A$49,0))</f>
        <v>Beverages</v>
      </c>
      <c r="H1676" s="33" t="n">
        <f aca="false">D1676*INDEX(Products!$E$2:$E$49,MATCH(C1676,Products!$A$2:$A$49,0))</f>
        <v>36100</v>
      </c>
      <c r="I1676" s="33" t="n">
        <f aca="false">D1676*INDEX(Products!$D$2:$D$49,MATCH(C1676,Products!$A$2:$A$49,0))*(1+INDEX(Assumptions!$B$16:$B$20,MATCH(B1676,Assumptions!$A$16:$A$20,0)))</f>
        <v>28536.48</v>
      </c>
      <c r="J1676" s="33" t="n">
        <f aca="false">H1676-I1676</f>
        <v>7563.52</v>
      </c>
      <c r="K1676" s="33" t="n">
        <f aca="false">IF(OR(E1676=0,E1676&gt;=7),0,D1676/(7-E1676)*E1676*INDEX(Products!$E$2:$E$49,MATCH(C1676,Products!$A$2:$A$49,0)))</f>
        <v>0</v>
      </c>
    </row>
    <row r="1677" customFormat="false" ht="15" hidden="false" customHeight="false" outlineLevel="0" collapsed="false">
      <c r="A1677" s="36" t="n">
        <v>46118</v>
      </c>
      <c r="B1677" s="24" t="s">
        <v>62</v>
      </c>
      <c r="C1677" s="24" t="s">
        <v>153</v>
      </c>
      <c r="D1677" s="33" t="n">
        <v>86</v>
      </c>
      <c r="E1677" s="24" t="n">
        <v>0</v>
      </c>
      <c r="F1677" s="37" t="n">
        <f aca="false">DATE(YEAR(A1677),MONTH(A1677),1)</f>
        <v>46113</v>
      </c>
      <c r="G1677" s="24" t="str">
        <f aca="false">INDEX(Products!$C$2:$C$49,MATCH(C1677,Products!$A$2:$A$49,0))</f>
        <v>Beverages</v>
      </c>
      <c r="H1677" s="33" t="n">
        <f aca="false">D1677*INDEX(Products!$E$2:$E$49,MATCH(C1677,Products!$A$2:$A$49,0))</f>
        <v>4300</v>
      </c>
      <c r="I1677" s="33" t="n">
        <f aca="false">D1677*INDEX(Products!$D$2:$D$49,MATCH(C1677,Products!$A$2:$A$49,0))*(1+INDEX(Assumptions!$B$16:$B$20,MATCH(B1677,Assumptions!$A$16:$A$20,0)))</f>
        <v>3034.08</v>
      </c>
      <c r="J1677" s="33" t="n">
        <f aca="false">H1677-I1677</f>
        <v>1265.92</v>
      </c>
      <c r="K1677" s="33" t="n">
        <f aca="false">IF(OR(E1677=0,E1677&gt;=7),0,D1677/(7-E1677)*E1677*INDEX(Products!$E$2:$E$49,MATCH(C1677,Products!$A$2:$A$49,0)))</f>
        <v>0</v>
      </c>
    </row>
    <row r="1678" customFormat="false" ht="15" hidden="false" customHeight="false" outlineLevel="0" collapsed="false">
      <c r="A1678" s="36" t="n">
        <v>46125</v>
      </c>
      <c r="B1678" s="24" t="s">
        <v>62</v>
      </c>
      <c r="C1678" s="24" t="s">
        <v>153</v>
      </c>
      <c r="D1678" s="33" t="n">
        <v>31</v>
      </c>
      <c r="E1678" s="24" t="n">
        <v>4</v>
      </c>
      <c r="F1678" s="37" t="n">
        <f aca="false">DATE(YEAR(A1678),MONTH(A1678),1)</f>
        <v>46113</v>
      </c>
      <c r="G1678" s="24" t="str">
        <f aca="false">INDEX(Products!$C$2:$C$49,MATCH(C1678,Products!$A$2:$A$49,0))</f>
        <v>Beverages</v>
      </c>
      <c r="H1678" s="33" t="n">
        <f aca="false">D1678*INDEX(Products!$E$2:$E$49,MATCH(C1678,Products!$A$2:$A$49,0))</f>
        <v>1550</v>
      </c>
      <c r="I1678" s="33" t="n">
        <f aca="false">D1678*INDEX(Products!$D$2:$D$49,MATCH(C1678,Products!$A$2:$A$49,0))*(1+INDEX(Assumptions!$B$16:$B$20,MATCH(B1678,Assumptions!$A$16:$A$20,0)))</f>
        <v>1093.68</v>
      </c>
      <c r="J1678" s="33" t="n">
        <f aca="false">H1678-I1678</f>
        <v>456.32</v>
      </c>
      <c r="K1678" s="33" t="n">
        <f aca="false">IF(OR(E1678=0,E1678&gt;=7),0,D1678/(7-E1678)*E1678*INDEX(Products!$E$2:$E$49,MATCH(C1678,Products!$A$2:$A$49,0)))</f>
        <v>2066.66666666667</v>
      </c>
    </row>
    <row r="1679" customFormat="false" ht="15" hidden="false" customHeight="false" outlineLevel="0" collapsed="false">
      <c r="A1679" s="36" t="n">
        <v>46132</v>
      </c>
      <c r="B1679" s="24" t="s">
        <v>62</v>
      </c>
      <c r="C1679" s="24" t="s">
        <v>153</v>
      </c>
      <c r="D1679" s="33" t="n">
        <v>89</v>
      </c>
      <c r="E1679" s="24" t="n">
        <v>0</v>
      </c>
      <c r="F1679" s="37" t="n">
        <f aca="false">DATE(YEAR(A1679),MONTH(A1679),1)</f>
        <v>46113</v>
      </c>
      <c r="G1679" s="24" t="str">
        <f aca="false">INDEX(Products!$C$2:$C$49,MATCH(C1679,Products!$A$2:$A$49,0))</f>
        <v>Beverages</v>
      </c>
      <c r="H1679" s="33" t="n">
        <f aca="false">D1679*INDEX(Products!$E$2:$E$49,MATCH(C1679,Products!$A$2:$A$49,0))</f>
        <v>4450</v>
      </c>
      <c r="I1679" s="33" t="n">
        <f aca="false">D1679*INDEX(Products!$D$2:$D$49,MATCH(C1679,Products!$A$2:$A$49,0))*(1+INDEX(Assumptions!$B$16:$B$20,MATCH(B1679,Assumptions!$A$16:$A$20,0)))</f>
        <v>3139.92</v>
      </c>
      <c r="J1679" s="33" t="n">
        <f aca="false">H1679-I1679</f>
        <v>1310.08</v>
      </c>
      <c r="K1679" s="33" t="n">
        <f aca="false">IF(OR(E1679=0,E1679&gt;=7),0,D1679/(7-E1679)*E1679*INDEX(Products!$E$2:$E$49,MATCH(C1679,Products!$A$2:$A$49,0)))</f>
        <v>0</v>
      </c>
    </row>
    <row r="1680" customFormat="false" ht="15" hidden="false" customHeight="false" outlineLevel="0" collapsed="false">
      <c r="A1680" s="36" t="n">
        <v>46139</v>
      </c>
      <c r="B1680" s="24" t="s">
        <v>62</v>
      </c>
      <c r="C1680" s="24" t="s">
        <v>153</v>
      </c>
      <c r="D1680" s="33" t="n">
        <v>98</v>
      </c>
      <c r="E1680" s="24" t="n">
        <v>0</v>
      </c>
      <c r="F1680" s="37" t="n">
        <f aca="false">DATE(YEAR(A1680),MONTH(A1680),1)</f>
        <v>46113</v>
      </c>
      <c r="G1680" s="24" t="str">
        <f aca="false">INDEX(Products!$C$2:$C$49,MATCH(C1680,Products!$A$2:$A$49,0))</f>
        <v>Beverages</v>
      </c>
      <c r="H1680" s="33" t="n">
        <f aca="false">D1680*INDEX(Products!$E$2:$E$49,MATCH(C1680,Products!$A$2:$A$49,0))</f>
        <v>4900</v>
      </c>
      <c r="I1680" s="33" t="n">
        <f aca="false">D1680*INDEX(Products!$D$2:$D$49,MATCH(C1680,Products!$A$2:$A$49,0))*(1+INDEX(Assumptions!$B$16:$B$20,MATCH(B1680,Assumptions!$A$16:$A$20,0)))</f>
        <v>3457.44</v>
      </c>
      <c r="J1680" s="33" t="n">
        <f aca="false">H1680-I1680</f>
        <v>1442.56</v>
      </c>
      <c r="K1680" s="33" t="n">
        <f aca="false">IF(OR(E1680=0,E1680&gt;=7),0,D1680/(7-E1680)*E1680*INDEX(Products!$E$2:$E$49,MATCH(C1680,Products!$A$2:$A$49,0)))</f>
        <v>0</v>
      </c>
    </row>
    <row r="1681" customFormat="false" ht="15" hidden="false" customHeight="false" outlineLevel="0" collapsed="false">
      <c r="A1681" s="36" t="n">
        <v>46146</v>
      </c>
      <c r="B1681" s="24" t="s">
        <v>62</v>
      </c>
      <c r="C1681" s="24" t="s">
        <v>153</v>
      </c>
      <c r="D1681" s="33" t="n">
        <v>102</v>
      </c>
      <c r="E1681" s="24" t="n">
        <v>0</v>
      </c>
      <c r="F1681" s="37" t="n">
        <f aca="false">DATE(YEAR(A1681),MONTH(A1681),1)</f>
        <v>46143</v>
      </c>
      <c r="G1681" s="24" t="str">
        <f aca="false">INDEX(Products!$C$2:$C$49,MATCH(C1681,Products!$A$2:$A$49,0))</f>
        <v>Beverages</v>
      </c>
      <c r="H1681" s="33" t="n">
        <f aca="false">D1681*INDEX(Products!$E$2:$E$49,MATCH(C1681,Products!$A$2:$A$49,0))</f>
        <v>5100</v>
      </c>
      <c r="I1681" s="33" t="n">
        <f aca="false">D1681*INDEX(Products!$D$2:$D$49,MATCH(C1681,Products!$A$2:$A$49,0))*(1+INDEX(Assumptions!$B$16:$B$20,MATCH(B1681,Assumptions!$A$16:$A$20,0)))</f>
        <v>3598.56</v>
      </c>
      <c r="J1681" s="33" t="n">
        <f aca="false">H1681-I1681</f>
        <v>1501.44</v>
      </c>
      <c r="K1681" s="33" t="n">
        <f aca="false">IF(OR(E1681=0,E1681&gt;=7),0,D1681/(7-E1681)*E1681*INDEX(Products!$E$2:$E$49,MATCH(C1681,Products!$A$2:$A$49,0)))</f>
        <v>0</v>
      </c>
    </row>
    <row r="1682" customFormat="false" ht="15" hidden="false" customHeight="false" outlineLevel="0" collapsed="false">
      <c r="A1682" s="36" t="n">
        <v>46153</v>
      </c>
      <c r="B1682" s="24" t="s">
        <v>62</v>
      </c>
      <c r="C1682" s="24" t="s">
        <v>153</v>
      </c>
      <c r="D1682" s="33" t="n">
        <v>70</v>
      </c>
      <c r="E1682" s="24" t="n">
        <v>0</v>
      </c>
      <c r="F1682" s="37" t="n">
        <f aca="false">DATE(YEAR(A1682),MONTH(A1682),1)</f>
        <v>46143</v>
      </c>
      <c r="G1682" s="24" t="str">
        <f aca="false">INDEX(Products!$C$2:$C$49,MATCH(C1682,Products!$A$2:$A$49,0))</f>
        <v>Beverages</v>
      </c>
      <c r="H1682" s="33" t="n">
        <f aca="false">D1682*INDEX(Products!$E$2:$E$49,MATCH(C1682,Products!$A$2:$A$49,0))</f>
        <v>3500</v>
      </c>
      <c r="I1682" s="33" t="n">
        <f aca="false">D1682*INDEX(Products!$D$2:$D$49,MATCH(C1682,Products!$A$2:$A$49,0))*(1+INDEX(Assumptions!$B$16:$B$20,MATCH(B1682,Assumptions!$A$16:$A$20,0)))</f>
        <v>2469.6</v>
      </c>
      <c r="J1682" s="33" t="n">
        <f aca="false">H1682-I1682</f>
        <v>1030.4</v>
      </c>
      <c r="K1682" s="33" t="n">
        <f aca="false">IF(OR(E1682=0,E1682&gt;=7),0,D1682/(7-E1682)*E1682*INDEX(Products!$E$2:$E$49,MATCH(C1682,Products!$A$2:$A$49,0)))</f>
        <v>0</v>
      </c>
    </row>
    <row r="1683" customFormat="false" ht="15" hidden="false" customHeight="false" outlineLevel="0" collapsed="false">
      <c r="A1683" s="36" t="n">
        <v>46160</v>
      </c>
      <c r="B1683" s="24" t="s">
        <v>62</v>
      </c>
      <c r="C1683" s="24" t="s">
        <v>153</v>
      </c>
      <c r="D1683" s="33" t="n">
        <v>107</v>
      </c>
      <c r="E1683" s="24" t="n">
        <v>0</v>
      </c>
      <c r="F1683" s="37" t="n">
        <f aca="false">DATE(YEAR(A1683),MONTH(A1683),1)</f>
        <v>46143</v>
      </c>
      <c r="G1683" s="24" t="str">
        <f aca="false">INDEX(Products!$C$2:$C$49,MATCH(C1683,Products!$A$2:$A$49,0))</f>
        <v>Beverages</v>
      </c>
      <c r="H1683" s="33" t="n">
        <f aca="false">D1683*INDEX(Products!$E$2:$E$49,MATCH(C1683,Products!$A$2:$A$49,0))</f>
        <v>5350</v>
      </c>
      <c r="I1683" s="33" t="n">
        <f aca="false">D1683*INDEX(Products!$D$2:$D$49,MATCH(C1683,Products!$A$2:$A$49,0))*(1+INDEX(Assumptions!$B$16:$B$20,MATCH(B1683,Assumptions!$A$16:$A$20,0)))</f>
        <v>3774.96</v>
      </c>
      <c r="J1683" s="33" t="n">
        <f aca="false">H1683-I1683</f>
        <v>1575.04</v>
      </c>
      <c r="K1683" s="33" t="n">
        <f aca="false">IF(OR(E1683=0,E1683&gt;=7),0,D1683/(7-E1683)*E1683*INDEX(Products!$E$2:$E$49,MATCH(C1683,Products!$A$2:$A$49,0)))</f>
        <v>0</v>
      </c>
    </row>
    <row r="1684" customFormat="false" ht="15" hidden="false" customHeight="false" outlineLevel="0" collapsed="false">
      <c r="A1684" s="36" t="n">
        <v>46167</v>
      </c>
      <c r="B1684" s="24" t="s">
        <v>62</v>
      </c>
      <c r="C1684" s="24" t="s">
        <v>153</v>
      </c>
      <c r="D1684" s="33" t="n">
        <v>109</v>
      </c>
      <c r="E1684" s="24" t="n">
        <v>0</v>
      </c>
      <c r="F1684" s="37" t="n">
        <f aca="false">DATE(YEAR(A1684),MONTH(A1684),1)</f>
        <v>46143</v>
      </c>
      <c r="G1684" s="24" t="str">
        <f aca="false">INDEX(Products!$C$2:$C$49,MATCH(C1684,Products!$A$2:$A$49,0))</f>
        <v>Beverages</v>
      </c>
      <c r="H1684" s="33" t="n">
        <f aca="false">D1684*INDEX(Products!$E$2:$E$49,MATCH(C1684,Products!$A$2:$A$49,0))</f>
        <v>5450</v>
      </c>
      <c r="I1684" s="33" t="n">
        <f aca="false">D1684*INDEX(Products!$D$2:$D$49,MATCH(C1684,Products!$A$2:$A$49,0))*(1+INDEX(Assumptions!$B$16:$B$20,MATCH(B1684,Assumptions!$A$16:$A$20,0)))</f>
        <v>3845.52</v>
      </c>
      <c r="J1684" s="33" t="n">
        <f aca="false">H1684-I1684</f>
        <v>1604.48</v>
      </c>
      <c r="K1684" s="33" t="n">
        <f aca="false">IF(OR(E1684=0,E1684&gt;=7),0,D1684/(7-E1684)*E1684*INDEX(Products!$E$2:$E$49,MATCH(C1684,Products!$A$2:$A$49,0)))</f>
        <v>0</v>
      </c>
    </row>
    <row r="1685" customFormat="false" ht="15" hidden="false" customHeight="false" outlineLevel="0" collapsed="false">
      <c r="A1685" s="36" t="n">
        <v>46174</v>
      </c>
      <c r="B1685" s="24" t="s">
        <v>62</v>
      </c>
      <c r="C1685" s="24" t="s">
        <v>153</v>
      </c>
      <c r="D1685" s="33" t="n">
        <v>84</v>
      </c>
      <c r="E1685" s="24" t="n">
        <v>0</v>
      </c>
      <c r="F1685" s="37" t="n">
        <f aca="false">DATE(YEAR(A1685),MONTH(A1685),1)</f>
        <v>46174</v>
      </c>
      <c r="G1685" s="24" t="str">
        <f aca="false">INDEX(Products!$C$2:$C$49,MATCH(C1685,Products!$A$2:$A$49,0))</f>
        <v>Beverages</v>
      </c>
      <c r="H1685" s="33" t="n">
        <f aca="false">D1685*INDEX(Products!$E$2:$E$49,MATCH(C1685,Products!$A$2:$A$49,0))</f>
        <v>4200</v>
      </c>
      <c r="I1685" s="33" t="n">
        <f aca="false">D1685*INDEX(Products!$D$2:$D$49,MATCH(C1685,Products!$A$2:$A$49,0))*(1+INDEX(Assumptions!$B$16:$B$20,MATCH(B1685,Assumptions!$A$16:$A$20,0)))</f>
        <v>2963.52</v>
      </c>
      <c r="J1685" s="33" t="n">
        <f aca="false">H1685-I1685</f>
        <v>1236.48</v>
      </c>
      <c r="K1685" s="33" t="n">
        <f aca="false">IF(OR(E1685=0,E1685&gt;=7),0,D1685/(7-E1685)*E1685*INDEX(Products!$E$2:$E$49,MATCH(C1685,Products!$A$2:$A$49,0)))</f>
        <v>0</v>
      </c>
    </row>
    <row r="1686" customFormat="false" ht="15" hidden="false" customHeight="false" outlineLevel="0" collapsed="false">
      <c r="A1686" s="36" t="n">
        <v>46181</v>
      </c>
      <c r="B1686" s="24" t="s">
        <v>62</v>
      </c>
      <c r="C1686" s="24" t="s">
        <v>153</v>
      </c>
      <c r="D1686" s="33" t="n">
        <v>83</v>
      </c>
      <c r="E1686" s="24" t="n">
        <v>0</v>
      </c>
      <c r="F1686" s="37" t="n">
        <f aca="false">DATE(YEAR(A1686),MONTH(A1686),1)</f>
        <v>46174</v>
      </c>
      <c r="G1686" s="24" t="str">
        <f aca="false">INDEX(Products!$C$2:$C$49,MATCH(C1686,Products!$A$2:$A$49,0))</f>
        <v>Beverages</v>
      </c>
      <c r="H1686" s="33" t="n">
        <f aca="false">D1686*INDEX(Products!$E$2:$E$49,MATCH(C1686,Products!$A$2:$A$49,0))</f>
        <v>4150</v>
      </c>
      <c r="I1686" s="33" t="n">
        <f aca="false">D1686*INDEX(Products!$D$2:$D$49,MATCH(C1686,Products!$A$2:$A$49,0))*(1+INDEX(Assumptions!$B$16:$B$20,MATCH(B1686,Assumptions!$A$16:$A$20,0)))</f>
        <v>2928.24</v>
      </c>
      <c r="J1686" s="33" t="n">
        <f aca="false">H1686-I1686</f>
        <v>1221.76</v>
      </c>
      <c r="K1686" s="33" t="n">
        <f aca="false">IF(OR(E1686=0,E1686&gt;=7),0,D1686/(7-E1686)*E1686*INDEX(Products!$E$2:$E$49,MATCH(C1686,Products!$A$2:$A$49,0)))</f>
        <v>0</v>
      </c>
    </row>
    <row r="1687" customFormat="false" ht="15" hidden="false" customHeight="false" outlineLevel="0" collapsed="false">
      <c r="A1687" s="36" t="n">
        <v>46188</v>
      </c>
      <c r="B1687" s="24" t="s">
        <v>62</v>
      </c>
      <c r="C1687" s="24" t="s">
        <v>153</v>
      </c>
      <c r="D1687" s="33" t="n">
        <v>76</v>
      </c>
      <c r="E1687" s="24" t="n">
        <v>0</v>
      </c>
      <c r="F1687" s="37" t="n">
        <f aca="false">DATE(YEAR(A1687),MONTH(A1687),1)</f>
        <v>46174</v>
      </c>
      <c r="G1687" s="24" t="str">
        <f aca="false">INDEX(Products!$C$2:$C$49,MATCH(C1687,Products!$A$2:$A$49,0))</f>
        <v>Beverages</v>
      </c>
      <c r="H1687" s="33" t="n">
        <f aca="false">D1687*INDEX(Products!$E$2:$E$49,MATCH(C1687,Products!$A$2:$A$49,0))</f>
        <v>3800</v>
      </c>
      <c r="I1687" s="33" t="n">
        <f aca="false">D1687*INDEX(Products!$D$2:$D$49,MATCH(C1687,Products!$A$2:$A$49,0))*(1+INDEX(Assumptions!$B$16:$B$20,MATCH(B1687,Assumptions!$A$16:$A$20,0)))</f>
        <v>2681.28</v>
      </c>
      <c r="J1687" s="33" t="n">
        <f aca="false">H1687-I1687</f>
        <v>1118.72</v>
      </c>
      <c r="K1687" s="33" t="n">
        <f aca="false">IF(OR(E1687=0,E1687&gt;=7),0,D1687/(7-E1687)*E1687*INDEX(Products!$E$2:$E$49,MATCH(C1687,Products!$A$2:$A$49,0)))</f>
        <v>0</v>
      </c>
    </row>
    <row r="1688" customFormat="false" ht="15" hidden="false" customHeight="false" outlineLevel="0" collapsed="false">
      <c r="A1688" s="36" t="n">
        <v>46195</v>
      </c>
      <c r="B1688" s="24" t="s">
        <v>62</v>
      </c>
      <c r="C1688" s="24" t="s">
        <v>153</v>
      </c>
      <c r="D1688" s="33" t="n">
        <v>95</v>
      </c>
      <c r="E1688" s="24" t="n">
        <v>0</v>
      </c>
      <c r="F1688" s="37" t="n">
        <f aca="false">DATE(YEAR(A1688),MONTH(A1688),1)</f>
        <v>46174</v>
      </c>
      <c r="G1688" s="24" t="str">
        <f aca="false">INDEX(Products!$C$2:$C$49,MATCH(C1688,Products!$A$2:$A$49,0))</f>
        <v>Beverages</v>
      </c>
      <c r="H1688" s="33" t="n">
        <f aca="false">D1688*INDEX(Products!$E$2:$E$49,MATCH(C1688,Products!$A$2:$A$49,0))</f>
        <v>4750</v>
      </c>
      <c r="I1688" s="33" t="n">
        <f aca="false">D1688*INDEX(Products!$D$2:$D$49,MATCH(C1688,Products!$A$2:$A$49,0))*(1+INDEX(Assumptions!$B$16:$B$20,MATCH(B1688,Assumptions!$A$16:$A$20,0)))</f>
        <v>3351.6</v>
      </c>
      <c r="J1688" s="33" t="n">
        <f aca="false">H1688-I1688</f>
        <v>1398.4</v>
      </c>
      <c r="K1688" s="33" t="n">
        <f aca="false">IF(OR(E1688=0,E1688&gt;=7),0,D1688/(7-E1688)*E1688*INDEX(Products!$E$2:$E$49,MATCH(C1688,Products!$A$2:$A$49,0)))</f>
        <v>0</v>
      </c>
    </row>
    <row r="1689" customFormat="false" ht="15" hidden="false" customHeight="false" outlineLevel="0" collapsed="false">
      <c r="A1689" s="36" t="n">
        <v>46202</v>
      </c>
      <c r="B1689" s="24" t="s">
        <v>62</v>
      </c>
      <c r="C1689" s="24" t="s">
        <v>153</v>
      </c>
      <c r="D1689" s="33" t="n">
        <v>83</v>
      </c>
      <c r="E1689" s="24" t="n">
        <v>0</v>
      </c>
      <c r="F1689" s="37" t="n">
        <f aca="false">DATE(YEAR(A1689),MONTH(A1689),1)</f>
        <v>46174</v>
      </c>
      <c r="G1689" s="24" t="str">
        <f aca="false">INDEX(Products!$C$2:$C$49,MATCH(C1689,Products!$A$2:$A$49,0))</f>
        <v>Beverages</v>
      </c>
      <c r="H1689" s="33" t="n">
        <f aca="false">D1689*INDEX(Products!$E$2:$E$49,MATCH(C1689,Products!$A$2:$A$49,0))</f>
        <v>4150</v>
      </c>
      <c r="I1689" s="33" t="n">
        <f aca="false">D1689*INDEX(Products!$D$2:$D$49,MATCH(C1689,Products!$A$2:$A$49,0))*(1+INDEX(Assumptions!$B$16:$B$20,MATCH(B1689,Assumptions!$A$16:$A$20,0)))</f>
        <v>2928.24</v>
      </c>
      <c r="J1689" s="33" t="n">
        <f aca="false">H1689-I1689</f>
        <v>1221.76</v>
      </c>
      <c r="K1689" s="33" t="n">
        <f aca="false">IF(OR(E1689=0,E1689&gt;=7),0,D1689/(7-E1689)*E1689*INDEX(Products!$E$2:$E$49,MATCH(C1689,Products!$A$2:$A$49,0)))</f>
        <v>0</v>
      </c>
    </row>
    <row r="1690" customFormat="false" ht="15" hidden="false" customHeight="false" outlineLevel="0" collapsed="false">
      <c r="A1690" s="36" t="n">
        <v>46209</v>
      </c>
      <c r="B1690" s="24" t="s">
        <v>62</v>
      </c>
      <c r="C1690" s="24" t="s">
        <v>153</v>
      </c>
      <c r="D1690" s="33" t="n">
        <v>82</v>
      </c>
      <c r="E1690" s="24" t="n">
        <v>0</v>
      </c>
      <c r="F1690" s="37" t="n">
        <f aca="false">DATE(YEAR(A1690),MONTH(A1690),1)</f>
        <v>46204</v>
      </c>
      <c r="G1690" s="24" t="str">
        <f aca="false">INDEX(Products!$C$2:$C$49,MATCH(C1690,Products!$A$2:$A$49,0))</f>
        <v>Beverages</v>
      </c>
      <c r="H1690" s="33" t="n">
        <f aca="false">D1690*INDEX(Products!$E$2:$E$49,MATCH(C1690,Products!$A$2:$A$49,0))</f>
        <v>4100</v>
      </c>
      <c r="I1690" s="33" t="n">
        <f aca="false">D1690*INDEX(Products!$D$2:$D$49,MATCH(C1690,Products!$A$2:$A$49,0))*(1+INDEX(Assumptions!$B$16:$B$20,MATCH(B1690,Assumptions!$A$16:$A$20,0)))</f>
        <v>2892.96</v>
      </c>
      <c r="J1690" s="33" t="n">
        <f aca="false">H1690-I1690</f>
        <v>1207.04</v>
      </c>
      <c r="K1690" s="33" t="n">
        <f aca="false">IF(OR(E1690=0,E1690&gt;=7),0,D1690/(7-E1690)*E1690*INDEX(Products!$E$2:$E$49,MATCH(C1690,Products!$A$2:$A$49,0)))</f>
        <v>0</v>
      </c>
    </row>
    <row r="1691" customFormat="false" ht="15" hidden="false" customHeight="false" outlineLevel="0" collapsed="false">
      <c r="A1691" s="36" t="n">
        <v>46216</v>
      </c>
      <c r="B1691" s="24" t="s">
        <v>62</v>
      </c>
      <c r="C1691" s="24" t="s">
        <v>153</v>
      </c>
      <c r="D1691" s="33" t="n">
        <v>80</v>
      </c>
      <c r="E1691" s="24" t="n">
        <v>0</v>
      </c>
      <c r="F1691" s="37" t="n">
        <f aca="false">DATE(YEAR(A1691),MONTH(A1691),1)</f>
        <v>46204</v>
      </c>
      <c r="G1691" s="24" t="str">
        <f aca="false">INDEX(Products!$C$2:$C$49,MATCH(C1691,Products!$A$2:$A$49,0))</f>
        <v>Beverages</v>
      </c>
      <c r="H1691" s="33" t="n">
        <f aca="false">D1691*INDEX(Products!$E$2:$E$49,MATCH(C1691,Products!$A$2:$A$49,0))</f>
        <v>4000</v>
      </c>
      <c r="I1691" s="33" t="n">
        <f aca="false">D1691*INDEX(Products!$D$2:$D$49,MATCH(C1691,Products!$A$2:$A$49,0))*(1+INDEX(Assumptions!$B$16:$B$20,MATCH(B1691,Assumptions!$A$16:$A$20,0)))</f>
        <v>2822.4</v>
      </c>
      <c r="J1691" s="33" t="n">
        <f aca="false">H1691-I1691</f>
        <v>1177.6</v>
      </c>
      <c r="K1691" s="33" t="n">
        <f aca="false">IF(OR(E1691=0,E1691&gt;=7),0,D1691/(7-E1691)*E1691*INDEX(Products!$E$2:$E$49,MATCH(C1691,Products!$A$2:$A$49,0)))</f>
        <v>0</v>
      </c>
    </row>
    <row r="1692" customFormat="false" ht="15" hidden="false" customHeight="false" outlineLevel="0" collapsed="false">
      <c r="A1692" s="36" t="n">
        <v>46223</v>
      </c>
      <c r="B1692" s="24" t="s">
        <v>62</v>
      </c>
      <c r="C1692" s="24" t="s">
        <v>153</v>
      </c>
      <c r="D1692" s="33" t="n">
        <v>94</v>
      </c>
      <c r="E1692" s="24" t="n">
        <v>0</v>
      </c>
      <c r="F1692" s="37" t="n">
        <f aca="false">DATE(YEAR(A1692),MONTH(A1692),1)</f>
        <v>46204</v>
      </c>
      <c r="G1692" s="24" t="str">
        <f aca="false">INDEX(Products!$C$2:$C$49,MATCH(C1692,Products!$A$2:$A$49,0))</f>
        <v>Beverages</v>
      </c>
      <c r="H1692" s="33" t="n">
        <f aca="false">D1692*INDEX(Products!$E$2:$E$49,MATCH(C1692,Products!$A$2:$A$49,0))</f>
        <v>4700</v>
      </c>
      <c r="I1692" s="33" t="n">
        <f aca="false">D1692*INDEX(Products!$D$2:$D$49,MATCH(C1692,Products!$A$2:$A$49,0))*(1+INDEX(Assumptions!$B$16:$B$20,MATCH(B1692,Assumptions!$A$16:$A$20,0)))</f>
        <v>3316.32</v>
      </c>
      <c r="J1692" s="33" t="n">
        <f aca="false">H1692-I1692</f>
        <v>1383.68</v>
      </c>
      <c r="K1692" s="33" t="n">
        <f aca="false">IF(OR(E1692=0,E1692&gt;=7),0,D1692/(7-E1692)*E1692*INDEX(Products!$E$2:$E$49,MATCH(C1692,Products!$A$2:$A$49,0)))</f>
        <v>0</v>
      </c>
    </row>
    <row r="1693" customFormat="false" ht="15" hidden="false" customHeight="false" outlineLevel="0" collapsed="false">
      <c r="A1693" s="36" t="n">
        <v>46230</v>
      </c>
      <c r="B1693" s="24" t="s">
        <v>62</v>
      </c>
      <c r="C1693" s="24" t="s">
        <v>153</v>
      </c>
      <c r="D1693" s="33" t="n">
        <v>72</v>
      </c>
      <c r="E1693" s="24" t="n">
        <v>0</v>
      </c>
      <c r="F1693" s="37" t="n">
        <f aca="false">DATE(YEAR(A1693),MONTH(A1693),1)</f>
        <v>46204</v>
      </c>
      <c r="G1693" s="24" t="str">
        <f aca="false">INDEX(Products!$C$2:$C$49,MATCH(C1693,Products!$A$2:$A$49,0))</f>
        <v>Beverages</v>
      </c>
      <c r="H1693" s="33" t="n">
        <f aca="false">D1693*INDEX(Products!$E$2:$E$49,MATCH(C1693,Products!$A$2:$A$49,0))</f>
        <v>3600</v>
      </c>
      <c r="I1693" s="33" t="n">
        <f aca="false">D1693*INDEX(Products!$D$2:$D$49,MATCH(C1693,Products!$A$2:$A$49,0))*(1+INDEX(Assumptions!$B$16:$B$20,MATCH(B1693,Assumptions!$A$16:$A$20,0)))</f>
        <v>2540.16</v>
      </c>
      <c r="J1693" s="33" t="n">
        <f aca="false">H1693-I1693</f>
        <v>1059.84</v>
      </c>
      <c r="K1693" s="33" t="n">
        <f aca="false">IF(OR(E1693=0,E1693&gt;=7),0,D1693/(7-E1693)*E1693*INDEX(Products!$E$2:$E$49,MATCH(C1693,Products!$A$2:$A$49,0)))</f>
        <v>0</v>
      </c>
    </row>
    <row r="1694" customFormat="false" ht="15" hidden="false" customHeight="false" outlineLevel="0" collapsed="false">
      <c r="A1694" s="36" t="n">
        <v>46237</v>
      </c>
      <c r="B1694" s="24" t="s">
        <v>62</v>
      </c>
      <c r="C1694" s="24" t="s">
        <v>153</v>
      </c>
      <c r="D1694" s="33" t="n">
        <v>76</v>
      </c>
      <c r="E1694" s="24" t="n">
        <v>0</v>
      </c>
      <c r="F1694" s="37" t="n">
        <f aca="false">DATE(YEAR(A1694),MONTH(A1694),1)</f>
        <v>46235</v>
      </c>
      <c r="G1694" s="24" t="str">
        <f aca="false">INDEX(Products!$C$2:$C$49,MATCH(C1694,Products!$A$2:$A$49,0))</f>
        <v>Beverages</v>
      </c>
      <c r="H1694" s="33" t="n">
        <f aca="false">D1694*INDEX(Products!$E$2:$E$49,MATCH(C1694,Products!$A$2:$A$49,0))</f>
        <v>3800</v>
      </c>
      <c r="I1694" s="33" t="n">
        <f aca="false">D1694*INDEX(Products!$D$2:$D$49,MATCH(C1694,Products!$A$2:$A$49,0))*(1+INDEX(Assumptions!$B$16:$B$20,MATCH(B1694,Assumptions!$A$16:$A$20,0)))</f>
        <v>2681.28</v>
      </c>
      <c r="J1694" s="33" t="n">
        <f aca="false">H1694-I1694</f>
        <v>1118.72</v>
      </c>
      <c r="K1694" s="33" t="n">
        <f aca="false">IF(OR(E1694=0,E1694&gt;=7),0,D1694/(7-E1694)*E1694*INDEX(Products!$E$2:$E$49,MATCH(C1694,Products!$A$2:$A$49,0)))</f>
        <v>0</v>
      </c>
    </row>
    <row r="1695" customFormat="false" ht="15" hidden="false" customHeight="false" outlineLevel="0" collapsed="false">
      <c r="A1695" s="36" t="n">
        <v>46244</v>
      </c>
      <c r="B1695" s="24" t="s">
        <v>62</v>
      </c>
      <c r="C1695" s="24" t="s">
        <v>153</v>
      </c>
      <c r="D1695" s="33" t="n">
        <v>71</v>
      </c>
      <c r="E1695" s="24" t="n">
        <v>0</v>
      </c>
      <c r="F1695" s="37" t="n">
        <f aca="false">DATE(YEAR(A1695),MONTH(A1695),1)</f>
        <v>46235</v>
      </c>
      <c r="G1695" s="24" t="str">
        <f aca="false">INDEX(Products!$C$2:$C$49,MATCH(C1695,Products!$A$2:$A$49,0))</f>
        <v>Beverages</v>
      </c>
      <c r="H1695" s="33" t="n">
        <f aca="false">D1695*INDEX(Products!$E$2:$E$49,MATCH(C1695,Products!$A$2:$A$49,0))</f>
        <v>3550</v>
      </c>
      <c r="I1695" s="33" t="n">
        <f aca="false">D1695*INDEX(Products!$D$2:$D$49,MATCH(C1695,Products!$A$2:$A$49,0))*(1+INDEX(Assumptions!$B$16:$B$20,MATCH(B1695,Assumptions!$A$16:$A$20,0)))</f>
        <v>2504.88</v>
      </c>
      <c r="J1695" s="33" t="n">
        <f aca="false">H1695-I1695</f>
        <v>1045.12</v>
      </c>
      <c r="K1695" s="33" t="n">
        <f aca="false">IF(OR(E1695=0,E1695&gt;=7),0,D1695/(7-E1695)*E1695*INDEX(Products!$E$2:$E$49,MATCH(C1695,Products!$A$2:$A$49,0)))</f>
        <v>0</v>
      </c>
    </row>
    <row r="1696" customFormat="false" ht="15" hidden="false" customHeight="false" outlineLevel="0" collapsed="false">
      <c r="A1696" s="36" t="n">
        <v>46251</v>
      </c>
      <c r="B1696" s="24" t="s">
        <v>62</v>
      </c>
      <c r="C1696" s="24" t="s">
        <v>153</v>
      </c>
      <c r="D1696" s="33" t="n">
        <v>100</v>
      </c>
      <c r="E1696" s="24" t="n">
        <v>0</v>
      </c>
      <c r="F1696" s="37" t="n">
        <f aca="false">DATE(YEAR(A1696),MONTH(A1696),1)</f>
        <v>46235</v>
      </c>
      <c r="G1696" s="24" t="str">
        <f aca="false">INDEX(Products!$C$2:$C$49,MATCH(C1696,Products!$A$2:$A$49,0))</f>
        <v>Beverages</v>
      </c>
      <c r="H1696" s="33" t="n">
        <f aca="false">D1696*INDEX(Products!$E$2:$E$49,MATCH(C1696,Products!$A$2:$A$49,0))</f>
        <v>5000</v>
      </c>
      <c r="I1696" s="33" t="n">
        <f aca="false">D1696*INDEX(Products!$D$2:$D$49,MATCH(C1696,Products!$A$2:$A$49,0))*(1+INDEX(Assumptions!$B$16:$B$20,MATCH(B1696,Assumptions!$A$16:$A$20,0)))</f>
        <v>3528</v>
      </c>
      <c r="J1696" s="33" t="n">
        <f aca="false">H1696-I1696</f>
        <v>1472</v>
      </c>
      <c r="K1696" s="33" t="n">
        <f aca="false">IF(OR(E1696=0,E1696&gt;=7),0,D1696/(7-E1696)*E1696*INDEX(Products!$E$2:$E$49,MATCH(C1696,Products!$A$2:$A$49,0)))</f>
        <v>0</v>
      </c>
    </row>
    <row r="1697" customFormat="false" ht="15" hidden="false" customHeight="false" outlineLevel="0" collapsed="false">
      <c r="A1697" s="36" t="n">
        <v>46258</v>
      </c>
      <c r="B1697" s="24" t="s">
        <v>62</v>
      </c>
      <c r="C1697" s="24" t="s">
        <v>153</v>
      </c>
      <c r="D1697" s="33" t="n">
        <v>116</v>
      </c>
      <c r="E1697" s="24" t="n">
        <v>0</v>
      </c>
      <c r="F1697" s="37" t="n">
        <f aca="false">DATE(YEAR(A1697),MONTH(A1697),1)</f>
        <v>46235</v>
      </c>
      <c r="G1697" s="24" t="str">
        <f aca="false">INDEX(Products!$C$2:$C$49,MATCH(C1697,Products!$A$2:$A$49,0))</f>
        <v>Beverages</v>
      </c>
      <c r="H1697" s="33" t="n">
        <f aca="false">D1697*INDEX(Products!$E$2:$E$49,MATCH(C1697,Products!$A$2:$A$49,0))</f>
        <v>5800</v>
      </c>
      <c r="I1697" s="33" t="n">
        <f aca="false">D1697*INDEX(Products!$D$2:$D$49,MATCH(C1697,Products!$A$2:$A$49,0))*(1+INDEX(Assumptions!$B$16:$B$20,MATCH(B1697,Assumptions!$A$16:$A$20,0)))</f>
        <v>4092.48</v>
      </c>
      <c r="J1697" s="33" t="n">
        <f aca="false">H1697-I1697</f>
        <v>1707.52</v>
      </c>
      <c r="K1697" s="33" t="n">
        <f aca="false">IF(OR(E1697=0,E1697&gt;=7),0,D1697/(7-E1697)*E1697*INDEX(Products!$E$2:$E$49,MATCH(C1697,Products!$A$2:$A$49,0)))</f>
        <v>0</v>
      </c>
    </row>
    <row r="1698" customFormat="false" ht="15" hidden="false" customHeight="false" outlineLevel="0" collapsed="false">
      <c r="A1698" s="36" t="n">
        <v>46265</v>
      </c>
      <c r="B1698" s="24" t="s">
        <v>62</v>
      </c>
      <c r="C1698" s="24" t="s">
        <v>153</v>
      </c>
      <c r="D1698" s="33" t="n">
        <v>172</v>
      </c>
      <c r="E1698" s="24" t="n">
        <v>0</v>
      </c>
      <c r="F1698" s="37" t="n">
        <f aca="false">DATE(YEAR(A1698),MONTH(A1698),1)</f>
        <v>46235</v>
      </c>
      <c r="G1698" s="24" t="str">
        <f aca="false">INDEX(Products!$C$2:$C$49,MATCH(C1698,Products!$A$2:$A$49,0))</f>
        <v>Beverages</v>
      </c>
      <c r="H1698" s="33" t="n">
        <f aca="false">D1698*INDEX(Products!$E$2:$E$49,MATCH(C1698,Products!$A$2:$A$49,0))</f>
        <v>8600</v>
      </c>
      <c r="I1698" s="33" t="n">
        <f aca="false">D1698*INDEX(Products!$D$2:$D$49,MATCH(C1698,Products!$A$2:$A$49,0))*(1+INDEX(Assumptions!$B$16:$B$20,MATCH(B1698,Assumptions!$A$16:$A$20,0)))</f>
        <v>6068.16</v>
      </c>
      <c r="J1698" s="33" t="n">
        <f aca="false">H1698-I1698</f>
        <v>2531.84</v>
      </c>
      <c r="K1698" s="33" t="n">
        <f aca="false">IF(OR(E1698=0,E1698&gt;=7),0,D1698/(7-E1698)*E1698*INDEX(Products!$E$2:$E$49,MATCH(C1698,Products!$A$2:$A$49,0)))</f>
        <v>0</v>
      </c>
    </row>
    <row r="1699" customFormat="false" ht="15" hidden="false" customHeight="false" outlineLevel="0" collapsed="false">
      <c r="A1699" s="36" t="n">
        <v>46272</v>
      </c>
      <c r="B1699" s="24" t="s">
        <v>62</v>
      </c>
      <c r="C1699" s="24" t="s">
        <v>153</v>
      </c>
      <c r="D1699" s="33" t="n">
        <v>71</v>
      </c>
      <c r="E1699" s="24" t="n">
        <v>0</v>
      </c>
      <c r="F1699" s="37" t="n">
        <f aca="false">DATE(YEAR(A1699),MONTH(A1699),1)</f>
        <v>46266</v>
      </c>
      <c r="G1699" s="24" t="str">
        <f aca="false">INDEX(Products!$C$2:$C$49,MATCH(C1699,Products!$A$2:$A$49,0))</f>
        <v>Beverages</v>
      </c>
      <c r="H1699" s="33" t="n">
        <f aca="false">D1699*INDEX(Products!$E$2:$E$49,MATCH(C1699,Products!$A$2:$A$49,0))</f>
        <v>3550</v>
      </c>
      <c r="I1699" s="33" t="n">
        <f aca="false">D1699*INDEX(Products!$D$2:$D$49,MATCH(C1699,Products!$A$2:$A$49,0))*(1+INDEX(Assumptions!$B$16:$B$20,MATCH(B1699,Assumptions!$A$16:$A$20,0)))</f>
        <v>2504.88</v>
      </c>
      <c r="J1699" s="33" t="n">
        <f aca="false">H1699-I1699</f>
        <v>1045.12</v>
      </c>
      <c r="K1699" s="33" t="n">
        <f aca="false">IF(OR(E1699=0,E1699&gt;=7),0,D1699/(7-E1699)*E1699*INDEX(Products!$E$2:$E$49,MATCH(C1699,Products!$A$2:$A$49,0)))</f>
        <v>0</v>
      </c>
    </row>
    <row r="1700" customFormat="false" ht="15" hidden="false" customHeight="false" outlineLevel="0" collapsed="false">
      <c r="A1700" s="36" t="n">
        <v>46279</v>
      </c>
      <c r="B1700" s="24" t="s">
        <v>62</v>
      </c>
      <c r="C1700" s="24" t="s">
        <v>153</v>
      </c>
      <c r="D1700" s="33" t="n">
        <v>88</v>
      </c>
      <c r="E1700" s="24" t="n">
        <v>0</v>
      </c>
      <c r="F1700" s="37" t="n">
        <f aca="false">DATE(YEAR(A1700),MONTH(A1700),1)</f>
        <v>46266</v>
      </c>
      <c r="G1700" s="24" t="str">
        <f aca="false">INDEX(Products!$C$2:$C$49,MATCH(C1700,Products!$A$2:$A$49,0))</f>
        <v>Beverages</v>
      </c>
      <c r="H1700" s="33" t="n">
        <f aca="false">D1700*INDEX(Products!$E$2:$E$49,MATCH(C1700,Products!$A$2:$A$49,0))</f>
        <v>4400</v>
      </c>
      <c r="I1700" s="33" t="n">
        <f aca="false">D1700*INDEX(Products!$D$2:$D$49,MATCH(C1700,Products!$A$2:$A$49,0))*(1+INDEX(Assumptions!$B$16:$B$20,MATCH(B1700,Assumptions!$A$16:$A$20,0)))</f>
        <v>3104.64</v>
      </c>
      <c r="J1700" s="33" t="n">
        <f aca="false">H1700-I1700</f>
        <v>1295.36</v>
      </c>
      <c r="K1700" s="33" t="n">
        <f aca="false">IF(OR(E1700=0,E1700&gt;=7),0,D1700/(7-E1700)*E1700*INDEX(Products!$E$2:$E$49,MATCH(C1700,Products!$A$2:$A$49,0)))</f>
        <v>0</v>
      </c>
    </row>
    <row r="1701" customFormat="false" ht="15" hidden="false" customHeight="false" outlineLevel="0" collapsed="false">
      <c r="A1701" s="36" t="n">
        <v>46286</v>
      </c>
      <c r="B1701" s="24" t="s">
        <v>62</v>
      </c>
      <c r="C1701" s="24" t="s">
        <v>153</v>
      </c>
      <c r="D1701" s="33" t="n">
        <v>102</v>
      </c>
      <c r="E1701" s="24" t="n">
        <v>0</v>
      </c>
      <c r="F1701" s="37" t="n">
        <f aca="false">DATE(YEAR(A1701),MONTH(A1701),1)</f>
        <v>46266</v>
      </c>
      <c r="G1701" s="24" t="str">
        <f aca="false">INDEX(Products!$C$2:$C$49,MATCH(C1701,Products!$A$2:$A$49,0))</f>
        <v>Beverages</v>
      </c>
      <c r="H1701" s="33" t="n">
        <f aca="false">D1701*INDEX(Products!$E$2:$E$49,MATCH(C1701,Products!$A$2:$A$49,0))</f>
        <v>5100</v>
      </c>
      <c r="I1701" s="33" t="n">
        <f aca="false">D1701*INDEX(Products!$D$2:$D$49,MATCH(C1701,Products!$A$2:$A$49,0))*(1+INDEX(Assumptions!$B$16:$B$20,MATCH(B1701,Assumptions!$A$16:$A$20,0)))</f>
        <v>3598.56</v>
      </c>
      <c r="J1701" s="33" t="n">
        <f aca="false">H1701-I1701</f>
        <v>1501.44</v>
      </c>
      <c r="K1701" s="33" t="n">
        <f aca="false">IF(OR(E1701=0,E1701&gt;=7),0,D1701/(7-E1701)*E1701*INDEX(Products!$E$2:$E$49,MATCH(C1701,Products!$A$2:$A$49,0)))</f>
        <v>0</v>
      </c>
    </row>
    <row r="1702" customFormat="false" ht="15" hidden="false" customHeight="false" outlineLevel="0" collapsed="false">
      <c r="A1702" s="36" t="n">
        <v>46118</v>
      </c>
      <c r="B1702" s="24" t="s">
        <v>62</v>
      </c>
      <c r="C1702" s="24" t="s">
        <v>155</v>
      </c>
      <c r="D1702" s="33" t="n">
        <v>153</v>
      </c>
      <c r="E1702" s="24" t="n">
        <v>0</v>
      </c>
      <c r="F1702" s="37" t="n">
        <f aca="false">DATE(YEAR(A1702),MONTH(A1702),1)</f>
        <v>46113</v>
      </c>
      <c r="G1702" s="24" t="str">
        <f aca="false">INDEX(Products!$C$2:$C$49,MATCH(C1702,Products!$A$2:$A$49,0))</f>
        <v>Beverages</v>
      </c>
      <c r="H1702" s="33" t="n">
        <f aca="false">D1702*INDEX(Products!$E$2:$E$49,MATCH(C1702,Products!$A$2:$A$49,0))</f>
        <v>5355</v>
      </c>
      <c r="I1702" s="33" t="n">
        <f aca="false">D1702*INDEX(Products!$D$2:$D$49,MATCH(C1702,Products!$A$2:$A$49,0))*(1+INDEX(Assumptions!$B$16:$B$20,MATCH(B1702,Assumptions!$A$16:$A$20,0)))</f>
        <v>4009.824</v>
      </c>
      <c r="J1702" s="33" t="n">
        <f aca="false">H1702-I1702</f>
        <v>1345.176</v>
      </c>
      <c r="K1702" s="33" t="n">
        <f aca="false">IF(OR(E1702=0,E1702&gt;=7),0,D1702/(7-E1702)*E1702*INDEX(Products!$E$2:$E$49,MATCH(C1702,Products!$A$2:$A$49,0)))</f>
        <v>0</v>
      </c>
    </row>
    <row r="1703" customFormat="false" ht="15" hidden="false" customHeight="false" outlineLevel="0" collapsed="false">
      <c r="A1703" s="36" t="n">
        <v>46125</v>
      </c>
      <c r="B1703" s="24" t="s">
        <v>62</v>
      </c>
      <c r="C1703" s="24" t="s">
        <v>155</v>
      </c>
      <c r="D1703" s="33" t="n">
        <v>144</v>
      </c>
      <c r="E1703" s="24" t="n">
        <v>0</v>
      </c>
      <c r="F1703" s="37" t="n">
        <f aca="false">DATE(YEAR(A1703),MONTH(A1703),1)</f>
        <v>46113</v>
      </c>
      <c r="G1703" s="24" t="str">
        <f aca="false">INDEX(Products!$C$2:$C$49,MATCH(C1703,Products!$A$2:$A$49,0))</f>
        <v>Beverages</v>
      </c>
      <c r="H1703" s="33" t="n">
        <f aca="false">D1703*INDEX(Products!$E$2:$E$49,MATCH(C1703,Products!$A$2:$A$49,0))</f>
        <v>5040</v>
      </c>
      <c r="I1703" s="33" t="n">
        <f aca="false">D1703*INDEX(Products!$D$2:$D$49,MATCH(C1703,Products!$A$2:$A$49,0))*(1+INDEX(Assumptions!$B$16:$B$20,MATCH(B1703,Assumptions!$A$16:$A$20,0)))</f>
        <v>3773.952</v>
      </c>
      <c r="J1703" s="33" t="n">
        <f aca="false">H1703-I1703</f>
        <v>1266.048</v>
      </c>
      <c r="K1703" s="33" t="n">
        <f aca="false">IF(OR(E1703=0,E1703&gt;=7),0,D1703/(7-E1703)*E1703*INDEX(Products!$E$2:$E$49,MATCH(C1703,Products!$A$2:$A$49,0)))</f>
        <v>0</v>
      </c>
    </row>
    <row r="1704" customFormat="false" ht="15" hidden="false" customHeight="false" outlineLevel="0" collapsed="false">
      <c r="A1704" s="36" t="n">
        <v>46132</v>
      </c>
      <c r="B1704" s="24" t="s">
        <v>62</v>
      </c>
      <c r="C1704" s="24" t="s">
        <v>155</v>
      </c>
      <c r="D1704" s="33" t="n">
        <v>182</v>
      </c>
      <c r="E1704" s="24" t="n">
        <v>0</v>
      </c>
      <c r="F1704" s="37" t="n">
        <f aca="false">DATE(YEAR(A1704),MONTH(A1704),1)</f>
        <v>46113</v>
      </c>
      <c r="G1704" s="24" t="str">
        <f aca="false">INDEX(Products!$C$2:$C$49,MATCH(C1704,Products!$A$2:$A$49,0))</f>
        <v>Beverages</v>
      </c>
      <c r="H1704" s="33" t="n">
        <f aca="false">D1704*INDEX(Products!$E$2:$E$49,MATCH(C1704,Products!$A$2:$A$49,0))</f>
        <v>6370</v>
      </c>
      <c r="I1704" s="33" t="n">
        <f aca="false">D1704*INDEX(Products!$D$2:$D$49,MATCH(C1704,Products!$A$2:$A$49,0))*(1+INDEX(Assumptions!$B$16:$B$20,MATCH(B1704,Assumptions!$A$16:$A$20,0)))</f>
        <v>4769.856</v>
      </c>
      <c r="J1704" s="33" t="n">
        <f aca="false">H1704-I1704</f>
        <v>1600.144</v>
      </c>
      <c r="K1704" s="33" t="n">
        <f aca="false">IF(OR(E1704=0,E1704&gt;=7),0,D1704/(7-E1704)*E1704*INDEX(Products!$E$2:$E$49,MATCH(C1704,Products!$A$2:$A$49,0)))</f>
        <v>0</v>
      </c>
    </row>
    <row r="1705" customFormat="false" ht="15" hidden="false" customHeight="false" outlineLevel="0" collapsed="false">
      <c r="A1705" s="36" t="n">
        <v>46139</v>
      </c>
      <c r="B1705" s="24" t="s">
        <v>62</v>
      </c>
      <c r="C1705" s="24" t="s">
        <v>155</v>
      </c>
      <c r="D1705" s="33" t="n">
        <v>174</v>
      </c>
      <c r="E1705" s="24" t="n">
        <v>0</v>
      </c>
      <c r="F1705" s="37" t="n">
        <f aca="false">DATE(YEAR(A1705),MONTH(A1705),1)</f>
        <v>46113</v>
      </c>
      <c r="G1705" s="24" t="str">
        <f aca="false">INDEX(Products!$C$2:$C$49,MATCH(C1705,Products!$A$2:$A$49,0))</f>
        <v>Beverages</v>
      </c>
      <c r="H1705" s="33" t="n">
        <f aca="false">D1705*INDEX(Products!$E$2:$E$49,MATCH(C1705,Products!$A$2:$A$49,0))</f>
        <v>6090</v>
      </c>
      <c r="I1705" s="33" t="n">
        <f aca="false">D1705*INDEX(Products!$D$2:$D$49,MATCH(C1705,Products!$A$2:$A$49,0))*(1+INDEX(Assumptions!$B$16:$B$20,MATCH(B1705,Assumptions!$A$16:$A$20,0)))</f>
        <v>4560.192</v>
      </c>
      <c r="J1705" s="33" t="n">
        <f aca="false">H1705-I1705</f>
        <v>1529.808</v>
      </c>
      <c r="K1705" s="33" t="n">
        <f aca="false">IF(OR(E1705=0,E1705&gt;=7),0,D1705/(7-E1705)*E1705*INDEX(Products!$E$2:$E$49,MATCH(C1705,Products!$A$2:$A$49,0)))</f>
        <v>0</v>
      </c>
    </row>
    <row r="1706" customFormat="false" ht="15" hidden="false" customHeight="false" outlineLevel="0" collapsed="false">
      <c r="A1706" s="36" t="n">
        <v>46146</v>
      </c>
      <c r="B1706" s="24" t="s">
        <v>62</v>
      </c>
      <c r="C1706" s="24" t="s">
        <v>155</v>
      </c>
      <c r="D1706" s="33" t="n">
        <v>167</v>
      </c>
      <c r="E1706" s="24" t="n">
        <v>0</v>
      </c>
      <c r="F1706" s="37" t="n">
        <f aca="false">DATE(YEAR(A1706),MONTH(A1706),1)</f>
        <v>46143</v>
      </c>
      <c r="G1706" s="24" t="str">
        <f aca="false">INDEX(Products!$C$2:$C$49,MATCH(C1706,Products!$A$2:$A$49,0))</f>
        <v>Beverages</v>
      </c>
      <c r="H1706" s="33" t="n">
        <f aca="false">D1706*INDEX(Products!$E$2:$E$49,MATCH(C1706,Products!$A$2:$A$49,0))</f>
        <v>5845</v>
      </c>
      <c r="I1706" s="33" t="n">
        <f aca="false">D1706*INDEX(Products!$D$2:$D$49,MATCH(C1706,Products!$A$2:$A$49,0))*(1+INDEX(Assumptions!$B$16:$B$20,MATCH(B1706,Assumptions!$A$16:$A$20,0)))</f>
        <v>4376.736</v>
      </c>
      <c r="J1706" s="33" t="n">
        <f aca="false">H1706-I1706</f>
        <v>1468.264</v>
      </c>
      <c r="K1706" s="33" t="n">
        <f aca="false">IF(OR(E1706=0,E1706&gt;=7),0,D1706/(7-E1706)*E1706*INDEX(Products!$E$2:$E$49,MATCH(C1706,Products!$A$2:$A$49,0)))</f>
        <v>0</v>
      </c>
    </row>
    <row r="1707" customFormat="false" ht="15" hidden="false" customHeight="false" outlineLevel="0" collapsed="false">
      <c r="A1707" s="36" t="n">
        <v>46153</v>
      </c>
      <c r="B1707" s="24" t="s">
        <v>62</v>
      </c>
      <c r="C1707" s="24" t="s">
        <v>155</v>
      </c>
      <c r="D1707" s="33" t="n">
        <v>140</v>
      </c>
      <c r="E1707" s="24" t="n">
        <v>0</v>
      </c>
      <c r="F1707" s="37" t="n">
        <f aca="false">DATE(YEAR(A1707),MONTH(A1707),1)</f>
        <v>46143</v>
      </c>
      <c r="G1707" s="24" t="str">
        <f aca="false">INDEX(Products!$C$2:$C$49,MATCH(C1707,Products!$A$2:$A$49,0))</f>
        <v>Beverages</v>
      </c>
      <c r="H1707" s="33" t="n">
        <f aca="false">D1707*INDEX(Products!$E$2:$E$49,MATCH(C1707,Products!$A$2:$A$49,0))</f>
        <v>4900</v>
      </c>
      <c r="I1707" s="33" t="n">
        <f aca="false">D1707*INDEX(Products!$D$2:$D$49,MATCH(C1707,Products!$A$2:$A$49,0))*(1+INDEX(Assumptions!$B$16:$B$20,MATCH(B1707,Assumptions!$A$16:$A$20,0)))</f>
        <v>3669.12</v>
      </c>
      <c r="J1707" s="33" t="n">
        <f aca="false">H1707-I1707</f>
        <v>1230.88</v>
      </c>
      <c r="K1707" s="33" t="n">
        <f aca="false">IF(OR(E1707=0,E1707&gt;=7),0,D1707/(7-E1707)*E1707*INDEX(Products!$E$2:$E$49,MATCH(C1707,Products!$A$2:$A$49,0)))</f>
        <v>0</v>
      </c>
    </row>
    <row r="1708" customFormat="false" ht="15" hidden="false" customHeight="false" outlineLevel="0" collapsed="false">
      <c r="A1708" s="36" t="n">
        <v>46160</v>
      </c>
      <c r="B1708" s="24" t="s">
        <v>62</v>
      </c>
      <c r="C1708" s="24" t="s">
        <v>155</v>
      </c>
      <c r="D1708" s="33" t="n">
        <v>160</v>
      </c>
      <c r="E1708" s="24" t="n">
        <v>0</v>
      </c>
      <c r="F1708" s="37" t="n">
        <f aca="false">DATE(YEAR(A1708),MONTH(A1708),1)</f>
        <v>46143</v>
      </c>
      <c r="G1708" s="24" t="str">
        <f aca="false">INDEX(Products!$C$2:$C$49,MATCH(C1708,Products!$A$2:$A$49,0))</f>
        <v>Beverages</v>
      </c>
      <c r="H1708" s="33" t="n">
        <f aca="false">D1708*INDEX(Products!$E$2:$E$49,MATCH(C1708,Products!$A$2:$A$49,0))</f>
        <v>5600</v>
      </c>
      <c r="I1708" s="33" t="n">
        <f aca="false">D1708*INDEX(Products!$D$2:$D$49,MATCH(C1708,Products!$A$2:$A$49,0))*(1+INDEX(Assumptions!$B$16:$B$20,MATCH(B1708,Assumptions!$A$16:$A$20,0)))</f>
        <v>4193.28</v>
      </c>
      <c r="J1708" s="33" t="n">
        <f aca="false">H1708-I1708</f>
        <v>1406.72</v>
      </c>
      <c r="K1708" s="33" t="n">
        <f aca="false">IF(OR(E1708=0,E1708&gt;=7),0,D1708/(7-E1708)*E1708*INDEX(Products!$E$2:$E$49,MATCH(C1708,Products!$A$2:$A$49,0)))</f>
        <v>0</v>
      </c>
    </row>
    <row r="1709" customFormat="false" ht="15" hidden="false" customHeight="false" outlineLevel="0" collapsed="false">
      <c r="A1709" s="36" t="n">
        <v>46167</v>
      </c>
      <c r="B1709" s="24" t="s">
        <v>62</v>
      </c>
      <c r="C1709" s="24" t="s">
        <v>155</v>
      </c>
      <c r="D1709" s="33" t="n">
        <v>167</v>
      </c>
      <c r="E1709" s="24" t="n">
        <v>0</v>
      </c>
      <c r="F1709" s="37" t="n">
        <f aca="false">DATE(YEAR(A1709),MONTH(A1709),1)</f>
        <v>46143</v>
      </c>
      <c r="G1709" s="24" t="str">
        <f aca="false">INDEX(Products!$C$2:$C$49,MATCH(C1709,Products!$A$2:$A$49,0))</f>
        <v>Beverages</v>
      </c>
      <c r="H1709" s="33" t="n">
        <f aca="false">D1709*INDEX(Products!$E$2:$E$49,MATCH(C1709,Products!$A$2:$A$49,0))</f>
        <v>5845</v>
      </c>
      <c r="I1709" s="33" t="n">
        <f aca="false">D1709*INDEX(Products!$D$2:$D$49,MATCH(C1709,Products!$A$2:$A$49,0))*(1+INDEX(Assumptions!$B$16:$B$20,MATCH(B1709,Assumptions!$A$16:$A$20,0)))</f>
        <v>4376.736</v>
      </c>
      <c r="J1709" s="33" t="n">
        <f aca="false">H1709-I1709</f>
        <v>1468.264</v>
      </c>
      <c r="K1709" s="33" t="n">
        <f aca="false">IF(OR(E1709=0,E1709&gt;=7),0,D1709/(7-E1709)*E1709*INDEX(Products!$E$2:$E$49,MATCH(C1709,Products!$A$2:$A$49,0)))</f>
        <v>0</v>
      </c>
    </row>
    <row r="1710" customFormat="false" ht="15" hidden="false" customHeight="false" outlineLevel="0" collapsed="false">
      <c r="A1710" s="36" t="n">
        <v>46174</v>
      </c>
      <c r="B1710" s="24" t="s">
        <v>62</v>
      </c>
      <c r="C1710" s="24" t="s">
        <v>155</v>
      </c>
      <c r="D1710" s="33" t="n">
        <v>148</v>
      </c>
      <c r="E1710" s="24" t="n">
        <v>0</v>
      </c>
      <c r="F1710" s="37" t="n">
        <f aca="false">DATE(YEAR(A1710),MONTH(A1710),1)</f>
        <v>46174</v>
      </c>
      <c r="G1710" s="24" t="str">
        <f aca="false">INDEX(Products!$C$2:$C$49,MATCH(C1710,Products!$A$2:$A$49,0))</f>
        <v>Beverages</v>
      </c>
      <c r="H1710" s="33" t="n">
        <f aca="false">D1710*INDEX(Products!$E$2:$E$49,MATCH(C1710,Products!$A$2:$A$49,0))</f>
        <v>5180</v>
      </c>
      <c r="I1710" s="33" t="n">
        <f aca="false">D1710*INDEX(Products!$D$2:$D$49,MATCH(C1710,Products!$A$2:$A$49,0))*(1+INDEX(Assumptions!$B$16:$B$20,MATCH(B1710,Assumptions!$A$16:$A$20,0)))</f>
        <v>3878.784</v>
      </c>
      <c r="J1710" s="33" t="n">
        <f aca="false">H1710-I1710</f>
        <v>1301.216</v>
      </c>
      <c r="K1710" s="33" t="n">
        <f aca="false">IF(OR(E1710=0,E1710&gt;=7),0,D1710/(7-E1710)*E1710*INDEX(Products!$E$2:$E$49,MATCH(C1710,Products!$A$2:$A$49,0)))</f>
        <v>0</v>
      </c>
    </row>
    <row r="1711" customFormat="false" ht="15" hidden="false" customHeight="false" outlineLevel="0" collapsed="false">
      <c r="A1711" s="36" t="n">
        <v>46181</v>
      </c>
      <c r="B1711" s="24" t="s">
        <v>62</v>
      </c>
      <c r="C1711" s="24" t="s">
        <v>155</v>
      </c>
      <c r="D1711" s="33" t="n">
        <v>143</v>
      </c>
      <c r="E1711" s="24" t="n">
        <v>0</v>
      </c>
      <c r="F1711" s="37" t="n">
        <f aca="false">DATE(YEAR(A1711),MONTH(A1711),1)</f>
        <v>46174</v>
      </c>
      <c r="G1711" s="24" t="str">
        <f aca="false">INDEX(Products!$C$2:$C$49,MATCH(C1711,Products!$A$2:$A$49,0))</f>
        <v>Beverages</v>
      </c>
      <c r="H1711" s="33" t="n">
        <f aca="false">D1711*INDEX(Products!$E$2:$E$49,MATCH(C1711,Products!$A$2:$A$49,0))</f>
        <v>5005</v>
      </c>
      <c r="I1711" s="33" t="n">
        <f aca="false">D1711*INDEX(Products!$D$2:$D$49,MATCH(C1711,Products!$A$2:$A$49,0))*(1+INDEX(Assumptions!$B$16:$B$20,MATCH(B1711,Assumptions!$A$16:$A$20,0)))</f>
        <v>3747.744</v>
      </c>
      <c r="J1711" s="33" t="n">
        <f aca="false">H1711-I1711</f>
        <v>1257.256</v>
      </c>
      <c r="K1711" s="33" t="n">
        <f aca="false">IF(OR(E1711=0,E1711&gt;=7),0,D1711/(7-E1711)*E1711*INDEX(Products!$E$2:$E$49,MATCH(C1711,Products!$A$2:$A$49,0)))</f>
        <v>0</v>
      </c>
    </row>
    <row r="1712" customFormat="false" ht="15" hidden="false" customHeight="false" outlineLevel="0" collapsed="false">
      <c r="A1712" s="36" t="n">
        <v>46188</v>
      </c>
      <c r="B1712" s="24" t="s">
        <v>62</v>
      </c>
      <c r="C1712" s="24" t="s">
        <v>155</v>
      </c>
      <c r="D1712" s="33" t="n">
        <v>144</v>
      </c>
      <c r="E1712" s="24" t="n">
        <v>0</v>
      </c>
      <c r="F1712" s="37" t="n">
        <f aca="false">DATE(YEAR(A1712),MONTH(A1712),1)</f>
        <v>46174</v>
      </c>
      <c r="G1712" s="24" t="str">
        <f aca="false">INDEX(Products!$C$2:$C$49,MATCH(C1712,Products!$A$2:$A$49,0))</f>
        <v>Beverages</v>
      </c>
      <c r="H1712" s="33" t="n">
        <f aca="false">D1712*INDEX(Products!$E$2:$E$49,MATCH(C1712,Products!$A$2:$A$49,0))</f>
        <v>5040</v>
      </c>
      <c r="I1712" s="33" t="n">
        <f aca="false">D1712*INDEX(Products!$D$2:$D$49,MATCH(C1712,Products!$A$2:$A$49,0))*(1+INDEX(Assumptions!$B$16:$B$20,MATCH(B1712,Assumptions!$A$16:$A$20,0)))</f>
        <v>3773.952</v>
      </c>
      <c r="J1712" s="33" t="n">
        <f aca="false">H1712-I1712</f>
        <v>1266.048</v>
      </c>
      <c r="K1712" s="33" t="n">
        <f aca="false">IF(OR(E1712=0,E1712&gt;=7),0,D1712/(7-E1712)*E1712*INDEX(Products!$E$2:$E$49,MATCH(C1712,Products!$A$2:$A$49,0)))</f>
        <v>0</v>
      </c>
    </row>
    <row r="1713" customFormat="false" ht="15" hidden="false" customHeight="false" outlineLevel="0" collapsed="false">
      <c r="A1713" s="36" t="n">
        <v>46195</v>
      </c>
      <c r="B1713" s="24" t="s">
        <v>62</v>
      </c>
      <c r="C1713" s="24" t="s">
        <v>155</v>
      </c>
      <c r="D1713" s="33" t="n">
        <v>159</v>
      </c>
      <c r="E1713" s="24" t="n">
        <v>0</v>
      </c>
      <c r="F1713" s="37" t="n">
        <f aca="false">DATE(YEAR(A1713),MONTH(A1713),1)</f>
        <v>46174</v>
      </c>
      <c r="G1713" s="24" t="str">
        <f aca="false">INDEX(Products!$C$2:$C$49,MATCH(C1713,Products!$A$2:$A$49,0))</f>
        <v>Beverages</v>
      </c>
      <c r="H1713" s="33" t="n">
        <f aca="false">D1713*INDEX(Products!$E$2:$E$49,MATCH(C1713,Products!$A$2:$A$49,0))</f>
        <v>5565</v>
      </c>
      <c r="I1713" s="33" t="n">
        <f aca="false">D1713*INDEX(Products!$D$2:$D$49,MATCH(C1713,Products!$A$2:$A$49,0))*(1+INDEX(Assumptions!$B$16:$B$20,MATCH(B1713,Assumptions!$A$16:$A$20,0)))</f>
        <v>4167.072</v>
      </c>
      <c r="J1713" s="33" t="n">
        <f aca="false">H1713-I1713</f>
        <v>1397.928</v>
      </c>
      <c r="K1713" s="33" t="n">
        <f aca="false">IF(OR(E1713=0,E1713&gt;=7),0,D1713/(7-E1713)*E1713*INDEX(Products!$E$2:$E$49,MATCH(C1713,Products!$A$2:$A$49,0)))</f>
        <v>0</v>
      </c>
    </row>
    <row r="1714" customFormat="false" ht="15" hidden="false" customHeight="false" outlineLevel="0" collapsed="false">
      <c r="A1714" s="36" t="n">
        <v>46202</v>
      </c>
      <c r="B1714" s="24" t="s">
        <v>62</v>
      </c>
      <c r="C1714" s="24" t="s">
        <v>155</v>
      </c>
      <c r="D1714" s="33" t="n">
        <v>186</v>
      </c>
      <c r="E1714" s="24" t="n">
        <v>0</v>
      </c>
      <c r="F1714" s="37" t="n">
        <f aca="false">DATE(YEAR(A1714),MONTH(A1714),1)</f>
        <v>46174</v>
      </c>
      <c r="G1714" s="24" t="str">
        <f aca="false">INDEX(Products!$C$2:$C$49,MATCH(C1714,Products!$A$2:$A$49,0))</f>
        <v>Beverages</v>
      </c>
      <c r="H1714" s="33" t="n">
        <f aca="false">D1714*INDEX(Products!$E$2:$E$49,MATCH(C1714,Products!$A$2:$A$49,0))</f>
        <v>6510</v>
      </c>
      <c r="I1714" s="33" t="n">
        <f aca="false">D1714*INDEX(Products!$D$2:$D$49,MATCH(C1714,Products!$A$2:$A$49,0))*(1+INDEX(Assumptions!$B$16:$B$20,MATCH(B1714,Assumptions!$A$16:$A$20,0)))</f>
        <v>4874.688</v>
      </c>
      <c r="J1714" s="33" t="n">
        <f aca="false">H1714-I1714</f>
        <v>1635.312</v>
      </c>
      <c r="K1714" s="33" t="n">
        <f aca="false">IF(OR(E1714=0,E1714&gt;=7),0,D1714/(7-E1714)*E1714*INDEX(Products!$E$2:$E$49,MATCH(C1714,Products!$A$2:$A$49,0)))</f>
        <v>0</v>
      </c>
    </row>
    <row r="1715" customFormat="false" ht="15" hidden="false" customHeight="false" outlineLevel="0" collapsed="false">
      <c r="A1715" s="36" t="n">
        <v>46209</v>
      </c>
      <c r="B1715" s="24" t="s">
        <v>62</v>
      </c>
      <c r="C1715" s="24" t="s">
        <v>155</v>
      </c>
      <c r="D1715" s="33" t="n">
        <v>150</v>
      </c>
      <c r="E1715" s="24" t="n">
        <v>0</v>
      </c>
      <c r="F1715" s="37" t="n">
        <f aca="false">DATE(YEAR(A1715),MONTH(A1715),1)</f>
        <v>46204</v>
      </c>
      <c r="G1715" s="24" t="str">
        <f aca="false">INDEX(Products!$C$2:$C$49,MATCH(C1715,Products!$A$2:$A$49,0))</f>
        <v>Beverages</v>
      </c>
      <c r="H1715" s="33" t="n">
        <f aca="false">D1715*INDEX(Products!$E$2:$E$49,MATCH(C1715,Products!$A$2:$A$49,0))</f>
        <v>5250</v>
      </c>
      <c r="I1715" s="33" t="n">
        <f aca="false">D1715*INDEX(Products!$D$2:$D$49,MATCH(C1715,Products!$A$2:$A$49,0))*(1+INDEX(Assumptions!$B$16:$B$20,MATCH(B1715,Assumptions!$A$16:$A$20,0)))</f>
        <v>3931.2</v>
      </c>
      <c r="J1715" s="33" t="n">
        <f aca="false">H1715-I1715</f>
        <v>1318.8</v>
      </c>
      <c r="K1715" s="33" t="n">
        <f aca="false">IF(OR(E1715=0,E1715&gt;=7),0,D1715/(7-E1715)*E1715*INDEX(Products!$E$2:$E$49,MATCH(C1715,Products!$A$2:$A$49,0)))</f>
        <v>0</v>
      </c>
    </row>
    <row r="1716" customFormat="false" ht="15" hidden="false" customHeight="false" outlineLevel="0" collapsed="false">
      <c r="A1716" s="36" t="n">
        <v>46216</v>
      </c>
      <c r="B1716" s="24" t="s">
        <v>62</v>
      </c>
      <c r="C1716" s="24" t="s">
        <v>155</v>
      </c>
      <c r="D1716" s="33" t="n">
        <v>142</v>
      </c>
      <c r="E1716" s="24" t="n">
        <v>0</v>
      </c>
      <c r="F1716" s="37" t="n">
        <f aca="false">DATE(YEAR(A1716),MONTH(A1716),1)</f>
        <v>46204</v>
      </c>
      <c r="G1716" s="24" t="str">
        <f aca="false">INDEX(Products!$C$2:$C$49,MATCH(C1716,Products!$A$2:$A$49,0))</f>
        <v>Beverages</v>
      </c>
      <c r="H1716" s="33" t="n">
        <f aca="false">D1716*INDEX(Products!$E$2:$E$49,MATCH(C1716,Products!$A$2:$A$49,0))</f>
        <v>4970</v>
      </c>
      <c r="I1716" s="33" t="n">
        <f aca="false">D1716*INDEX(Products!$D$2:$D$49,MATCH(C1716,Products!$A$2:$A$49,0))*(1+INDEX(Assumptions!$B$16:$B$20,MATCH(B1716,Assumptions!$A$16:$A$20,0)))</f>
        <v>3721.536</v>
      </c>
      <c r="J1716" s="33" t="n">
        <f aca="false">H1716-I1716</f>
        <v>1248.464</v>
      </c>
      <c r="K1716" s="33" t="n">
        <f aca="false">IF(OR(E1716=0,E1716&gt;=7),0,D1716/(7-E1716)*E1716*INDEX(Products!$E$2:$E$49,MATCH(C1716,Products!$A$2:$A$49,0)))</f>
        <v>0</v>
      </c>
    </row>
    <row r="1717" customFormat="false" ht="15" hidden="false" customHeight="false" outlineLevel="0" collapsed="false">
      <c r="A1717" s="36" t="n">
        <v>46223</v>
      </c>
      <c r="B1717" s="24" t="s">
        <v>62</v>
      </c>
      <c r="C1717" s="24" t="s">
        <v>155</v>
      </c>
      <c r="D1717" s="33" t="n">
        <v>149</v>
      </c>
      <c r="E1717" s="24" t="n">
        <v>0</v>
      </c>
      <c r="F1717" s="37" t="n">
        <f aca="false">DATE(YEAR(A1717),MONTH(A1717),1)</f>
        <v>46204</v>
      </c>
      <c r="G1717" s="24" t="str">
        <f aca="false">INDEX(Products!$C$2:$C$49,MATCH(C1717,Products!$A$2:$A$49,0))</f>
        <v>Beverages</v>
      </c>
      <c r="H1717" s="33" t="n">
        <f aca="false">D1717*INDEX(Products!$E$2:$E$49,MATCH(C1717,Products!$A$2:$A$49,0))</f>
        <v>5215</v>
      </c>
      <c r="I1717" s="33" t="n">
        <f aca="false">D1717*INDEX(Products!$D$2:$D$49,MATCH(C1717,Products!$A$2:$A$49,0))*(1+INDEX(Assumptions!$B$16:$B$20,MATCH(B1717,Assumptions!$A$16:$A$20,0)))</f>
        <v>3904.992</v>
      </c>
      <c r="J1717" s="33" t="n">
        <f aca="false">H1717-I1717</f>
        <v>1310.008</v>
      </c>
      <c r="K1717" s="33" t="n">
        <f aca="false">IF(OR(E1717=0,E1717&gt;=7),0,D1717/(7-E1717)*E1717*INDEX(Products!$E$2:$E$49,MATCH(C1717,Products!$A$2:$A$49,0)))</f>
        <v>0</v>
      </c>
    </row>
    <row r="1718" customFormat="false" ht="15" hidden="false" customHeight="false" outlineLevel="0" collapsed="false">
      <c r="A1718" s="36" t="n">
        <v>46230</v>
      </c>
      <c r="B1718" s="24" t="s">
        <v>62</v>
      </c>
      <c r="C1718" s="24" t="s">
        <v>155</v>
      </c>
      <c r="D1718" s="33" t="n">
        <v>156</v>
      </c>
      <c r="E1718" s="24" t="n">
        <v>0</v>
      </c>
      <c r="F1718" s="37" t="n">
        <f aca="false">DATE(YEAR(A1718),MONTH(A1718),1)</f>
        <v>46204</v>
      </c>
      <c r="G1718" s="24" t="str">
        <f aca="false">INDEX(Products!$C$2:$C$49,MATCH(C1718,Products!$A$2:$A$49,0))</f>
        <v>Beverages</v>
      </c>
      <c r="H1718" s="33" t="n">
        <f aca="false">D1718*INDEX(Products!$E$2:$E$49,MATCH(C1718,Products!$A$2:$A$49,0))</f>
        <v>5460</v>
      </c>
      <c r="I1718" s="33" t="n">
        <f aca="false">D1718*INDEX(Products!$D$2:$D$49,MATCH(C1718,Products!$A$2:$A$49,0))*(1+INDEX(Assumptions!$B$16:$B$20,MATCH(B1718,Assumptions!$A$16:$A$20,0)))</f>
        <v>4088.448</v>
      </c>
      <c r="J1718" s="33" t="n">
        <f aca="false">H1718-I1718</f>
        <v>1371.552</v>
      </c>
      <c r="K1718" s="33" t="n">
        <f aca="false">IF(OR(E1718=0,E1718&gt;=7),0,D1718/(7-E1718)*E1718*INDEX(Products!$E$2:$E$49,MATCH(C1718,Products!$A$2:$A$49,0)))</f>
        <v>0</v>
      </c>
    </row>
    <row r="1719" customFormat="false" ht="15" hidden="false" customHeight="false" outlineLevel="0" collapsed="false">
      <c r="A1719" s="36" t="n">
        <v>46237</v>
      </c>
      <c r="B1719" s="24" t="s">
        <v>62</v>
      </c>
      <c r="C1719" s="24" t="s">
        <v>155</v>
      </c>
      <c r="D1719" s="33" t="n">
        <v>119</v>
      </c>
      <c r="E1719" s="24" t="n">
        <v>0</v>
      </c>
      <c r="F1719" s="37" t="n">
        <f aca="false">DATE(YEAR(A1719),MONTH(A1719),1)</f>
        <v>46235</v>
      </c>
      <c r="G1719" s="24" t="str">
        <f aca="false">INDEX(Products!$C$2:$C$49,MATCH(C1719,Products!$A$2:$A$49,0))</f>
        <v>Beverages</v>
      </c>
      <c r="H1719" s="33" t="n">
        <f aca="false">D1719*INDEX(Products!$E$2:$E$49,MATCH(C1719,Products!$A$2:$A$49,0))</f>
        <v>4165</v>
      </c>
      <c r="I1719" s="33" t="n">
        <f aca="false">D1719*INDEX(Products!$D$2:$D$49,MATCH(C1719,Products!$A$2:$A$49,0))*(1+INDEX(Assumptions!$B$16:$B$20,MATCH(B1719,Assumptions!$A$16:$A$20,0)))</f>
        <v>3118.752</v>
      </c>
      <c r="J1719" s="33" t="n">
        <f aca="false">H1719-I1719</f>
        <v>1046.248</v>
      </c>
      <c r="K1719" s="33" t="n">
        <f aca="false">IF(OR(E1719=0,E1719&gt;=7),0,D1719/(7-E1719)*E1719*INDEX(Products!$E$2:$E$49,MATCH(C1719,Products!$A$2:$A$49,0)))</f>
        <v>0</v>
      </c>
    </row>
    <row r="1720" customFormat="false" ht="15" hidden="false" customHeight="false" outlineLevel="0" collapsed="false">
      <c r="A1720" s="36" t="n">
        <v>46244</v>
      </c>
      <c r="B1720" s="24" t="s">
        <v>62</v>
      </c>
      <c r="C1720" s="24" t="s">
        <v>155</v>
      </c>
      <c r="D1720" s="33" t="n">
        <v>135</v>
      </c>
      <c r="E1720" s="24" t="n">
        <v>0</v>
      </c>
      <c r="F1720" s="37" t="n">
        <f aca="false">DATE(YEAR(A1720),MONTH(A1720),1)</f>
        <v>46235</v>
      </c>
      <c r="G1720" s="24" t="str">
        <f aca="false">INDEX(Products!$C$2:$C$49,MATCH(C1720,Products!$A$2:$A$49,0))</f>
        <v>Beverages</v>
      </c>
      <c r="H1720" s="33" t="n">
        <f aca="false">D1720*INDEX(Products!$E$2:$E$49,MATCH(C1720,Products!$A$2:$A$49,0))</f>
        <v>4725</v>
      </c>
      <c r="I1720" s="33" t="n">
        <f aca="false">D1720*INDEX(Products!$D$2:$D$49,MATCH(C1720,Products!$A$2:$A$49,0))*(1+INDEX(Assumptions!$B$16:$B$20,MATCH(B1720,Assumptions!$A$16:$A$20,0)))</f>
        <v>3538.08</v>
      </c>
      <c r="J1720" s="33" t="n">
        <f aca="false">H1720-I1720</f>
        <v>1186.92</v>
      </c>
      <c r="K1720" s="33" t="n">
        <f aca="false">IF(OR(E1720=0,E1720&gt;=7),0,D1720/(7-E1720)*E1720*INDEX(Products!$E$2:$E$49,MATCH(C1720,Products!$A$2:$A$49,0)))</f>
        <v>0</v>
      </c>
    </row>
    <row r="1721" customFormat="false" ht="15" hidden="false" customHeight="false" outlineLevel="0" collapsed="false">
      <c r="A1721" s="36" t="n">
        <v>46251</v>
      </c>
      <c r="B1721" s="24" t="s">
        <v>62</v>
      </c>
      <c r="C1721" s="24" t="s">
        <v>155</v>
      </c>
      <c r="D1721" s="33" t="n">
        <v>131</v>
      </c>
      <c r="E1721" s="24" t="n">
        <v>0</v>
      </c>
      <c r="F1721" s="37" t="n">
        <f aca="false">DATE(YEAR(A1721),MONTH(A1721),1)</f>
        <v>46235</v>
      </c>
      <c r="G1721" s="24" t="str">
        <f aca="false">INDEX(Products!$C$2:$C$49,MATCH(C1721,Products!$A$2:$A$49,0))</f>
        <v>Beverages</v>
      </c>
      <c r="H1721" s="33" t="n">
        <f aca="false">D1721*INDEX(Products!$E$2:$E$49,MATCH(C1721,Products!$A$2:$A$49,0))</f>
        <v>4585</v>
      </c>
      <c r="I1721" s="33" t="n">
        <f aca="false">D1721*INDEX(Products!$D$2:$D$49,MATCH(C1721,Products!$A$2:$A$49,0))*(1+INDEX(Assumptions!$B$16:$B$20,MATCH(B1721,Assumptions!$A$16:$A$20,0)))</f>
        <v>3433.248</v>
      </c>
      <c r="J1721" s="33" t="n">
        <f aca="false">H1721-I1721</f>
        <v>1151.752</v>
      </c>
      <c r="K1721" s="33" t="n">
        <f aca="false">IF(OR(E1721=0,E1721&gt;=7),0,D1721/(7-E1721)*E1721*INDEX(Products!$E$2:$E$49,MATCH(C1721,Products!$A$2:$A$49,0)))</f>
        <v>0</v>
      </c>
    </row>
    <row r="1722" customFormat="false" ht="15" hidden="false" customHeight="false" outlineLevel="0" collapsed="false">
      <c r="A1722" s="36" t="n">
        <v>46258</v>
      </c>
      <c r="B1722" s="24" t="s">
        <v>62</v>
      </c>
      <c r="C1722" s="24" t="s">
        <v>155</v>
      </c>
      <c r="D1722" s="33" t="n">
        <v>134</v>
      </c>
      <c r="E1722" s="24" t="n">
        <v>0</v>
      </c>
      <c r="F1722" s="37" t="n">
        <f aca="false">DATE(YEAR(A1722),MONTH(A1722),1)</f>
        <v>46235</v>
      </c>
      <c r="G1722" s="24" t="str">
        <f aca="false">INDEX(Products!$C$2:$C$49,MATCH(C1722,Products!$A$2:$A$49,0))</f>
        <v>Beverages</v>
      </c>
      <c r="H1722" s="33" t="n">
        <f aca="false">D1722*INDEX(Products!$E$2:$E$49,MATCH(C1722,Products!$A$2:$A$49,0))</f>
        <v>4690</v>
      </c>
      <c r="I1722" s="33" t="n">
        <f aca="false">D1722*INDEX(Products!$D$2:$D$49,MATCH(C1722,Products!$A$2:$A$49,0))*(1+INDEX(Assumptions!$B$16:$B$20,MATCH(B1722,Assumptions!$A$16:$A$20,0)))</f>
        <v>3511.872</v>
      </c>
      <c r="J1722" s="33" t="n">
        <f aca="false">H1722-I1722</f>
        <v>1178.128</v>
      </c>
      <c r="K1722" s="33" t="n">
        <f aca="false">IF(OR(E1722=0,E1722&gt;=7),0,D1722/(7-E1722)*E1722*INDEX(Products!$E$2:$E$49,MATCH(C1722,Products!$A$2:$A$49,0)))</f>
        <v>0</v>
      </c>
    </row>
    <row r="1723" customFormat="false" ht="15" hidden="false" customHeight="false" outlineLevel="0" collapsed="false">
      <c r="A1723" s="36" t="n">
        <v>46265</v>
      </c>
      <c r="B1723" s="24" t="s">
        <v>62</v>
      </c>
      <c r="C1723" s="24" t="s">
        <v>155</v>
      </c>
      <c r="D1723" s="33" t="n">
        <v>145</v>
      </c>
      <c r="E1723" s="24" t="n">
        <v>0</v>
      </c>
      <c r="F1723" s="37" t="n">
        <f aca="false">DATE(YEAR(A1723),MONTH(A1723),1)</f>
        <v>46235</v>
      </c>
      <c r="G1723" s="24" t="str">
        <f aca="false">INDEX(Products!$C$2:$C$49,MATCH(C1723,Products!$A$2:$A$49,0))</f>
        <v>Beverages</v>
      </c>
      <c r="H1723" s="33" t="n">
        <f aca="false">D1723*INDEX(Products!$E$2:$E$49,MATCH(C1723,Products!$A$2:$A$49,0))</f>
        <v>5075</v>
      </c>
      <c r="I1723" s="33" t="n">
        <f aca="false">D1723*INDEX(Products!$D$2:$D$49,MATCH(C1723,Products!$A$2:$A$49,0))*(1+INDEX(Assumptions!$B$16:$B$20,MATCH(B1723,Assumptions!$A$16:$A$20,0)))</f>
        <v>3800.16</v>
      </c>
      <c r="J1723" s="33" t="n">
        <f aca="false">H1723-I1723</f>
        <v>1274.84</v>
      </c>
      <c r="K1723" s="33" t="n">
        <f aca="false">IF(OR(E1723=0,E1723&gt;=7),0,D1723/(7-E1723)*E1723*INDEX(Products!$E$2:$E$49,MATCH(C1723,Products!$A$2:$A$49,0)))</f>
        <v>0</v>
      </c>
    </row>
    <row r="1724" customFormat="false" ht="15" hidden="false" customHeight="false" outlineLevel="0" collapsed="false">
      <c r="A1724" s="36" t="n">
        <v>46272</v>
      </c>
      <c r="B1724" s="24" t="s">
        <v>62</v>
      </c>
      <c r="C1724" s="24" t="s">
        <v>155</v>
      </c>
      <c r="D1724" s="33" t="n">
        <v>124</v>
      </c>
      <c r="E1724" s="24" t="n">
        <v>0</v>
      </c>
      <c r="F1724" s="37" t="n">
        <f aca="false">DATE(YEAR(A1724),MONTH(A1724),1)</f>
        <v>46266</v>
      </c>
      <c r="G1724" s="24" t="str">
        <f aca="false">INDEX(Products!$C$2:$C$49,MATCH(C1724,Products!$A$2:$A$49,0))</f>
        <v>Beverages</v>
      </c>
      <c r="H1724" s="33" t="n">
        <f aca="false">D1724*INDEX(Products!$E$2:$E$49,MATCH(C1724,Products!$A$2:$A$49,0))</f>
        <v>4340</v>
      </c>
      <c r="I1724" s="33" t="n">
        <f aca="false">D1724*INDEX(Products!$D$2:$D$49,MATCH(C1724,Products!$A$2:$A$49,0))*(1+INDEX(Assumptions!$B$16:$B$20,MATCH(B1724,Assumptions!$A$16:$A$20,0)))</f>
        <v>3249.792</v>
      </c>
      <c r="J1724" s="33" t="n">
        <f aca="false">H1724-I1724</f>
        <v>1090.208</v>
      </c>
      <c r="K1724" s="33" t="n">
        <f aca="false">IF(OR(E1724=0,E1724&gt;=7),0,D1724/(7-E1724)*E1724*INDEX(Products!$E$2:$E$49,MATCH(C1724,Products!$A$2:$A$49,0)))</f>
        <v>0</v>
      </c>
    </row>
    <row r="1725" customFormat="false" ht="15" hidden="false" customHeight="false" outlineLevel="0" collapsed="false">
      <c r="A1725" s="36" t="n">
        <v>46279</v>
      </c>
      <c r="B1725" s="24" t="s">
        <v>62</v>
      </c>
      <c r="C1725" s="24" t="s">
        <v>155</v>
      </c>
      <c r="D1725" s="33" t="n">
        <v>165</v>
      </c>
      <c r="E1725" s="24" t="n">
        <v>0</v>
      </c>
      <c r="F1725" s="37" t="n">
        <f aca="false">DATE(YEAR(A1725),MONTH(A1725),1)</f>
        <v>46266</v>
      </c>
      <c r="G1725" s="24" t="str">
        <f aca="false">INDEX(Products!$C$2:$C$49,MATCH(C1725,Products!$A$2:$A$49,0))</f>
        <v>Beverages</v>
      </c>
      <c r="H1725" s="33" t="n">
        <f aca="false">D1725*INDEX(Products!$E$2:$E$49,MATCH(C1725,Products!$A$2:$A$49,0))</f>
        <v>5775</v>
      </c>
      <c r="I1725" s="33" t="n">
        <f aca="false">D1725*INDEX(Products!$D$2:$D$49,MATCH(C1725,Products!$A$2:$A$49,0))*(1+INDEX(Assumptions!$B$16:$B$20,MATCH(B1725,Assumptions!$A$16:$A$20,0)))</f>
        <v>4324.32</v>
      </c>
      <c r="J1725" s="33" t="n">
        <f aca="false">H1725-I1725</f>
        <v>1450.68</v>
      </c>
      <c r="K1725" s="33" t="n">
        <f aca="false">IF(OR(E1725=0,E1725&gt;=7),0,D1725/(7-E1725)*E1725*INDEX(Products!$E$2:$E$49,MATCH(C1725,Products!$A$2:$A$49,0)))</f>
        <v>0</v>
      </c>
    </row>
    <row r="1726" customFormat="false" ht="15" hidden="false" customHeight="false" outlineLevel="0" collapsed="false">
      <c r="A1726" s="36" t="n">
        <v>46286</v>
      </c>
      <c r="B1726" s="24" t="s">
        <v>62</v>
      </c>
      <c r="C1726" s="24" t="s">
        <v>155</v>
      </c>
      <c r="D1726" s="33" t="n">
        <v>187</v>
      </c>
      <c r="E1726" s="24" t="n">
        <v>0</v>
      </c>
      <c r="F1726" s="37" t="n">
        <f aca="false">DATE(YEAR(A1726),MONTH(A1726),1)</f>
        <v>46266</v>
      </c>
      <c r="G1726" s="24" t="str">
        <f aca="false">INDEX(Products!$C$2:$C$49,MATCH(C1726,Products!$A$2:$A$49,0))</f>
        <v>Beverages</v>
      </c>
      <c r="H1726" s="33" t="n">
        <f aca="false">D1726*INDEX(Products!$E$2:$E$49,MATCH(C1726,Products!$A$2:$A$49,0))</f>
        <v>6545</v>
      </c>
      <c r="I1726" s="33" t="n">
        <f aca="false">D1726*INDEX(Products!$D$2:$D$49,MATCH(C1726,Products!$A$2:$A$49,0))*(1+INDEX(Assumptions!$B$16:$B$20,MATCH(B1726,Assumptions!$A$16:$A$20,0)))</f>
        <v>4900.896</v>
      </c>
      <c r="J1726" s="33" t="n">
        <f aca="false">H1726-I1726</f>
        <v>1644.104</v>
      </c>
      <c r="K1726" s="33" t="n">
        <f aca="false">IF(OR(E1726=0,E1726&gt;=7),0,D1726/(7-E1726)*E1726*INDEX(Products!$E$2:$E$49,MATCH(C1726,Products!$A$2:$A$49,0)))</f>
        <v>0</v>
      </c>
    </row>
    <row r="1727" customFormat="false" ht="15" hidden="false" customHeight="false" outlineLevel="0" collapsed="false">
      <c r="A1727" s="36" t="n">
        <v>46118</v>
      </c>
      <c r="B1727" s="24" t="s">
        <v>62</v>
      </c>
      <c r="C1727" s="24" t="s">
        <v>157</v>
      </c>
      <c r="D1727" s="33" t="n">
        <v>134</v>
      </c>
      <c r="E1727" s="24" t="n">
        <v>0</v>
      </c>
      <c r="F1727" s="37" t="n">
        <f aca="false">DATE(YEAR(A1727),MONTH(A1727),1)</f>
        <v>46113</v>
      </c>
      <c r="G1727" s="24" t="str">
        <f aca="false">INDEX(Products!$C$2:$C$49,MATCH(C1727,Products!$A$2:$A$49,0))</f>
        <v>Beverages</v>
      </c>
      <c r="H1727" s="33" t="n">
        <f aca="false">D1727*INDEX(Products!$E$2:$E$49,MATCH(C1727,Products!$A$2:$A$49,0))</f>
        <v>16080</v>
      </c>
      <c r="I1727" s="33" t="n">
        <f aca="false">D1727*INDEX(Products!$D$2:$D$49,MATCH(C1727,Products!$A$2:$A$49,0))*(1+INDEX(Assumptions!$B$16:$B$20,MATCH(B1727,Assumptions!$A$16:$A$20,0)))</f>
        <v>11886.336</v>
      </c>
      <c r="J1727" s="33" t="n">
        <f aca="false">H1727-I1727</f>
        <v>4193.664</v>
      </c>
      <c r="K1727" s="33" t="n">
        <f aca="false">IF(OR(E1727=0,E1727&gt;=7),0,D1727/(7-E1727)*E1727*INDEX(Products!$E$2:$E$49,MATCH(C1727,Products!$A$2:$A$49,0)))</f>
        <v>0</v>
      </c>
    </row>
    <row r="1728" customFormat="false" ht="15" hidden="false" customHeight="false" outlineLevel="0" collapsed="false">
      <c r="A1728" s="36" t="n">
        <v>46125</v>
      </c>
      <c r="B1728" s="24" t="s">
        <v>62</v>
      </c>
      <c r="C1728" s="24" t="s">
        <v>157</v>
      </c>
      <c r="D1728" s="33" t="n">
        <v>113</v>
      </c>
      <c r="E1728" s="24" t="n">
        <v>0</v>
      </c>
      <c r="F1728" s="37" t="n">
        <f aca="false">DATE(YEAR(A1728),MONTH(A1728),1)</f>
        <v>46113</v>
      </c>
      <c r="G1728" s="24" t="str">
        <f aca="false">INDEX(Products!$C$2:$C$49,MATCH(C1728,Products!$A$2:$A$49,0))</f>
        <v>Beverages</v>
      </c>
      <c r="H1728" s="33" t="n">
        <f aca="false">D1728*INDEX(Products!$E$2:$E$49,MATCH(C1728,Products!$A$2:$A$49,0))</f>
        <v>13560</v>
      </c>
      <c r="I1728" s="33" t="n">
        <f aca="false">D1728*INDEX(Products!$D$2:$D$49,MATCH(C1728,Products!$A$2:$A$49,0))*(1+INDEX(Assumptions!$B$16:$B$20,MATCH(B1728,Assumptions!$A$16:$A$20,0)))</f>
        <v>10023.552</v>
      </c>
      <c r="J1728" s="33" t="n">
        <f aca="false">H1728-I1728</f>
        <v>3536.448</v>
      </c>
      <c r="K1728" s="33" t="n">
        <f aca="false">IF(OR(E1728=0,E1728&gt;=7),0,D1728/(7-E1728)*E1728*INDEX(Products!$E$2:$E$49,MATCH(C1728,Products!$A$2:$A$49,0)))</f>
        <v>0</v>
      </c>
    </row>
    <row r="1729" customFormat="false" ht="15" hidden="false" customHeight="false" outlineLevel="0" collapsed="false">
      <c r="A1729" s="36" t="n">
        <v>46132</v>
      </c>
      <c r="B1729" s="24" t="s">
        <v>62</v>
      </c>
      <c r="C1729" s="24" t="s">
        <v>157</v>
      </c>
      <c r="D1729" s="33" t="n">
        <v>137</v>
      </c>
      <c r="E1729" s="24" t="n">
        <v>0</v>
      </c>
      <c r="F1729" s="37" t="n">
        <f aca="false">DATE(YEAR(A1729),MONTH(A1729),1)</f>
        <v>46113</v>
      </c>
      <c r="G1729" s="24" t="str">
        <f aca="false">INDEX(Products!$C$2:$C$49,MATCH(C1729,Products!$A$2:$A$49,0))</f>
        <v>Beverages</v>
      </c>
      <c r="H1729" s="33" t="n">
        <f aca="false">D1729*INDEX(Products!$E$2:$E$49,MATCH(C1729,Products!$A$2:$A$49,0))</f>
        <v>16440</v>
      </c>
      <c r="I1729" s="33" t="n">
        <f aca="false">D1729*INDEX(Products!$D$2:$D$49,MATCH(C1729,Products!$A$2:$A$49,0))*(1+INDEX(Assumptions!$B$16:$B$20,MATCH(B1729,Assumptions!$A$16:$A$20,0)))</f>
        <v>12152.448</v>
      </c>
      <c r="J1729" s="33" t="n">
        <f aca="false">H1729-I1729</f>
        <v>4287.552</v>
      </c>
      <c r="K1729" s="33" t="n">
        <f aca="false">IF(OR(E1729=0,E1729&gt;=7),0,D1729/(7-E1729)*E1729*INDEX(Products!$E$2:$E$49,MATCH(C1729,Products!$A$2:$A$49,0)))</f>
        <v>0</v>
      </c>
    </row>
    <row r="1730" customFormat="false" ht="15" hidden="false" customHeight="false" outlineLevel="0" collapsed="false">
      <c r="A1730" s="36" t="n">
        <v>46139</v>
      </c>
      <c r="B1730" s="24" t="s">
        <v>62</v>
      </c>
      <c r="C1730" s="24" t="s">
        <v>157</v>
      </c>
      <c r="D1730" s="33" t="n">
        <v>128</v>
      </c>
      <c r="E1730" s="24" t="n">
        <v>0</v>
      </c>
      <c r="F1730" s="37" t="n">
        <f aca="false">DATE(YEAR(A1730),MONTH(A1730),1)</f>
        <v>46113</v>
      </c>
      <c r="G1730" s="24" t="str">
        <f aca="false">INDEX(Products!$C$2:$C$49,MATCH(C1730,Products!$A$2:$A$49,0))</f>
        <v>Beverages</v>
      </c>
      <c r="H1730" s="33" t="n">
        <f aca="false">D1730*INDEX(Products!$E$2:$E$49,MATCH(C1730,Products!$A$2:$A$49,0))</f>
        <v>15360</v>
      </c>
      <c r="I1730" s="33" t="n">
        <f aca="false">D1730*INDEX(Products!$D$2:$D$49,MATCH(C1730,Products!$A$2:$A$49,0))*(1+INDEX(Assumptions!$B$16:$B$20,MATCH(B1730,Assumptions!$A$16:$A$20,0)))</f>
        <v>11354.112</v>
      </c>
      <c r="J1730" s="33" t="n">
        <f aca="false">H1730-I1730</f>
        <v>4005.888</v>
      </c>
      <c r="K1730" s="33" t="n">
        <f aca="false">IF(OR(E1730=0,E1730&gt;=7),0,D1730/(7-E1730)*E1730*INDEX(Products!$E$2:$E$49,MATCH(C1730,Products!$A$2:$A$49,0)))</f>
        <v>0</v>
      </c>
    </row>
    <row r="1731" customFormat="false" ht="15" hidden="false" customHeight="false" outlineLevel="0" collapsed="false">
      <c r="A1731" s="36" t="n">
        <v>46146</v>
      </c>
      <c r="B1731" s="24" t="s">
        <v>62</v>
      </c>
      <c r="C1731" s="24" t="s">
        <v>157</v>
      </c>
      <c r="D1731" s="33" t="n">
        <v>126</v>
      </c>
      <c r="E1731" s="24" t="n">
        <v>0</v>
      </c>
      <c r="F1731" s="37" t="n">
        <f aca="false">DATE(YEAR(A1731),MONTH(A1731),1)</f>
        <v>46143</v>
      </c>
      <c r="G1731" s="24" t="str">
        <f aca="false">INDEX(Products!$C$2:$C$49,MATCH(C1731,Products!$A$2:$A$49,0))</f>
        <v>Beverages</v>
      </c>
      <c r="H1731" s="33" t="n">
        <f aca="false">D1731*INDEX(Products!$E$2:$E$49,MATCH(C1731,Products!$A$2:$A$49,0))</f>
        <v>15120</v>
      </c>
      <c r="I1731" s="33" t="n">
        <f aca="false">D1731*INDEX(Products!$D$2:$D$49,MATCH(C1731,Products!$A$2:$A$49,0))*(1+INDEX(Assumptions!$B$16:$B$20,MATCH(B1731,Assumptions!$A$16:$A$20,0)))</f>
        <v>11176.704</v>
      </c>
      <c r="J1731" s="33" t="n">
        <f aca="false">H1731-I1731</f>
        <v>3943.296</v>
      </c>
      <c r="K1731" s="33" t="n">
        <f aca="false">IF(OR(E1731=0,E1731&gt;=7),0,D1731/(7-E1731)*E1731*INDEX(Products!$E$2:$E$49,MATCH(C1731,Products!$A$2:$A$49,0)))</f>
        <v>0</v>
      </c>
    </row>
    <row r="1732" customFormat="false" ht="15" hidden="false" customHeight="false" outlineLevel="0" collapsed="false">
      <c r="A1732" s="36" t="n">
        <v>46153</v>
      </c>
      <c r="B1732" s="24" t="s">
        <v>62</v>
      </c>
      <c r="C1732" s="24" t="s">
        <v>157</v>
      </c>
      <c r="D1732" s="33" t="n">
        <v>102</v>
      </c>
      <c r="E1732" s="24" t="n">
        <v>0</v>
      </c>
      <c r="F1732" s="37" t="n">
        <f aca="false">DATE(YEAR(A1732),MONTH(A1732),1)</f>
        <v>46143</v>
      </c>
      <c r="G1732" s="24" t="str">
        <f aca="false">INDEX(Products!$C$2:$C$49,MATCH(C1732,Products!$A$2:$A$49,0))</f>
        <v>Beverages</v>
      </c>
      <c r="H1732" s="33" t="n">
        <f aca="false">D1732*INDEX(Products!$E$2:$E$49,MATCH(C1732,Products!$A$2:$A$49,0))</f>
        <v>12240</v>
      </c>
      <c r="I1732" s="33" t="n">
        <f aca="false">D1732*INDEX(Products!$D$2:$D$49,MATCH(C1732,Products!$A$2:$A$49,0))*(1+INDEX(Assumptions!$B$16:$B$20,MATCH(B1732,Assumptions!$A$16:$A$20,0)))</f>
        <v>9047.808</v>
      </c>
      <c r="J1732" s="33" t="n">
        <f aca="false">H1732-I1732</f>
        <v>3192.192</v>
      </c>
      <c r="K1732" s="33" t="n">
        <f aca="false">IF(OR(E1732=0,E1732&gt;=7),0,D1732/(7-E1732)*E1732*INDEX(Products!$E$2:$E$49,MATCH(C1732,Products!$A$2:$A$49,0)))</f>
        <v>0</v>
      </c>
    </row>
    <row r="1733" customFormat="false" ht="15" hidden="false" customHeight="false" outlineLevel="0" collapsed="false">
      <c r="A1733" s="36" t="n">
        <v>46160</v>
      </c>
      <c r="B1733" s="24" t="s">
        <v>62</v>
      </c>
      <c r="C1733" s="24" t="s">
        <v>157</v>
      </c>
      <c r="D1733" s="33" t="n">
        <v>136</v>
      </c>
      <c r="E1733" s="24" t="n">
        <v>0</v>
      </c>
      <c r="F1733" s="37" t="n">
        <f aca="false">DATE(YEAR(A1733),MONTH(A1733),1)</f>
        <v>46143</v>
      </c>
      <c r="G1733" s="24" t="str">
        <f aca="false">INDEX(Products!$C$2:$C$49,MATCH(C1733,Products!$A$2:$A$49,0))</f>
        <v>Beverages</v>
      </c>
      <c r="H1733" s="33" t="n">
        <f aca="false">D1733*INDEX(Products!$E$2:$E$49,MATCH(C1733,Products!$A$2:$A$49,0))</f>
        <v>16320</v>
      </c>
      <c r="I1733" s="33" t="n">
        <f aca="false">D1733*INDEX(Products!$D$2:$D$49,MATCH(C1733,Products!$A$2:$A$49,0))*(1+INDEX(Assumptions!$B$16:$B$20,MATCH(B1733,Assumptions!$A$16:$A$20,0)))</f>
        <v>12063.744</v>
      </c>
      <c r="J1733" s="33" t="n">
        <f aca="false">H1733-I1733</f>
        <v>4256.256</v>
      </c>
      <c r="K1733" s="33" t="n">
        <f aca="false">IF(OR(E1733=0,E1733&gt;=7),0,D1733/(7-E1733)*E1733*INDEX(Products!$E$2:$E$49,MATCH(C1733,Products!$A$2:$A$49,0)))</f>
        <v>0</v>
      </c>
    </row>
    <row r="1734" customFormat="false" ht="15" hidden="false" customHeight="false" outlineLevel="0" collapsed="false">
      <c r="A1734" s="36" t="n">
        <v>46167</v>
      </c>
      <c r="B1734" s="24" t="s">
        <v>62</v>
      </c>
      <c r="C1734" s="24" t="s">
        <v>157</v>
      </c>
      <c r="D1734" s="33" t="n">
        <v>168</v>
      </c>
      <c r="E1734" s="24" t="n">
        <v>0</v>
      </c>
      <c r="F1734" s="37" t="n">
        <f aca="false">DATE(YEAR(A1734),MONTH(A1734),1)</f>
        <v>46143</v>
      </c>
      <c r="G1734" s="24" t="str">
        <f aca="false">INDEX(Products!$C$2:$C$49,MATCH(C1734,Products!$A$2:$A$49,0))</f>
        <v>Beverages</v>
      </c>
      <c r="H1734" s="33" t="n">
        <f aca="false">D1734*INDEX(Products!$E$2:$E$49,MATCH(C1734,Products!$A$2:$A$49,0))</f>
        <v>20160</v>
      </c>
      <c r="I1734" s="33" t="n">
        <f aca="false">D1734*INDEX(Products!$D$2:$D$49,MATCH(C1734,Products!$A$2:$A$49,0))*(1+INDEX(Assumptions!$B$16:$B$20,MATCH(B1734,Assumptions!$A$16:$A$20,0)))</f>
        <v>14902.272</v>
      </c>
      <c r="J1734" s="33" t="n">
        <f aca="false">H1734-I1734</f>
        <v>5257.728</v>
      </c>
      <c r="K1734" s="33" t="n">
        <f aca="false">IF(OR(E1734=0,E1734&gt;=7),0,D1734/(7-E1734)*E1734*INDEX(Products!$E$2:$E$49,MATCH(C1734,Products!$A$2:$A$49,0)))</f>
        <v>0</v>
      </c>
    </row>
    <row r="1735" customFormat="false" ht="15" hidden="false" customHeight="false" outlineLevel="0" collapsed="false">
      <c r="A1735" s="36" t="n">
        <v>46174</v>
      </c>
      <c r="B1735" s="24" t="s">
        <v>62</v>
      </c>
      <c r="C1735" s="24" t="s">
        <v>157</v>
      </c>
      <c r="D1735" s="33" t="n">
        <v>97</v>
      </c>
      <c r="E1735" s="24" t="n">
        <v>2</v>
      </c>
      <c r="F1735" s="37" t="n">
        <f aca="false">DATE(YEAR(A1735),MONTH(A1735),1)</f>
        <v>46174</v>
      </c>
      <c r="G1735" s="24" t="str">
        <f aca="false">INDEX(Products!$C$2:$C$49,MATCH(C1735,Products!$A$2:$A$49,0))</f>
        <v>Beverages</v>
      </c>
      <c r="H1735" s="33" t="n">
        <f aca="false">D1735*INDEX(Products!$E$2:$E$49,MATCH(C1735,Products!$A$2:$A$49,0))</f>
        <v>11640</v>
      </c>
      <c r="I1735" s="33" t="n">
        <f aca="false">D1735*INDEX(Products!$D$2:$D$49,MATCH(C1735,Products!$A$2:$A$49,0))*(1+INDEX(Assumptions!$B$16:$B$20,MATCH(B1735,Assumptions!$A$16:$A$20,0)))</f>
        <v>8604.288</v>
      </c>
      <c r="J1735" s="33" t="n">
        <f aca="false">H1735-I1735</f>
        <v>3035.712</v>
      </c>
      <c r="K1735" s="33" t="n">
        <f aca="false">IF(OR(E1735=0,E1735&gt;=7),0,D1735/(7-E1735)*E1735*INDEX(Products!$E$2:$E$49,MATCH(C1735,Products!$A$2:$A$49,0)))</f>
        <v>4656</v>
      </c>
    </row>
    <row r="1736" customFormat="false" ht="15" hidden="false" customHeight="false" outlineLevel="0" collapsed="false">
      <c r="A1736" s="36" t="n">
        <v>46181</v>
      </c>
      <c r="B1736" s="24" t="s">
        <v>62</v>
      </c>
      <c r="C1736" s="24" t="s">
        <v>157</v>
      </c>
      <c r="D1736" s="33" t="n">
        <v>140</v>
      </c>
      <c r="E1736" s="24" t="n">
        <v>0</v>
      </c>
      <c r="F1736" s="37" t="n">
        <f aca="false">DATE(YEAR(A1736),MONTH(A1736),1)</f>
        <v>46174</v>
      </c>
      <c r="G1736" s="24" t="str">
        <f aca="false">INDEX(Products!$C$2:$C$49,MATCH(C1736,Products!$A$2:$A$49,0))</f>
        <v>Beverages</v>
      </c>
      <c r="H1736" s="33" t="n">
        <f aca="false">D1736*INDEX(Products!$E$2:$E$49,MATCH(C1736,Products!$A$2:$A$49,0))</f>
        <v>16800</v>
      </c>
      <c r="I1736" s="33" t="n">
        <f aca="false">D1736*INDEX(Products!$D$2:$D$49,MATCH(C1736,Products!$A$2:$A$49,0))*(1+INDEX(Assumptions!$B$16:$B$20,MATCH(B1736,Assumptions!$A$16:$A$20,0)))</f>
        <v>12418.56</v>
      </c>
      <c r="J1736" s="33" t="n">
        <f aca="false">H1736-I1736</f>
        <v>4381.44</v>
      </c>
      <c r="K1736" s="33" t="n">
        <f aca="false">IF(OR(E1736=0,E1736&gt;=7),0,D1736/(7-E1736)*E1736*INDEX(Products!$E$2:$E$49,MATCH(C1736,Products!$A$2:$A$49,0)))</f>
        <v>0</v>
      </c>
    </row>
    <row r="1737" customFormat="false" ht="15" hidden="false" customHeight="false" outlineLevel="0" collapsed="false">
      <c r="A1737" s="36" t="n">
        <v>46188</v>
      </c>
      <c r="B1737" s="24" t="s">
        <v>62</v>
      </c>
      <c r="C1737" s="24" t="s">
        <v>157</v>
      </c>
      <c r="D1737" s="33" t="n">
        <v>123</v>
      </c>
      <c r="E1737" s="24" t="n">
        <v>0</v>
      </c>
      <c r="F1737" s="37" t="n">
        <f aca="false">DATE(YEAR(A1737),MONTH(A1737),1)</f>
        <v>46174</v>
      </c>
      <c r="G1737" s="24" t="str">
        <f aca="false">INDEX(Products!$C$2:$C$49,MATCH(C1737,Products!$A$2:$A$49,0))</f>
        <v>Beverages</v>
      </c>
      <c r="H1737" s="33" t="n">
        <f aca="false">D1737*INDEX(Products!$E$2:$E$49,MATCH(C1737,Products!$A$2:$A$49,0))</f>
        <v>14760</v>
      </c>
      <c r="I1737" s="33" t="n">
        <f aca="false">D1737*INDEX(Products!$D$2:$D$49,MATCH(C1737,Products!$A$2:$A$49,0))*(1+INDEX(Assumptions!$B$16:$B$20,MATCH(B1737,Assumptions!$A$16:$A$20,0)))</f>
        <v>10910.592</v>
      </c>
      <c r="J1737" s="33" t="n">
        <f aca="false">H1737-I1737</f>
        <v>3849.408</v>
      </c>
      <c r="K1737" s="33" t="n">
        <f aca="false">IF(OR(E1737=0,E1737&gt;=7),0,D1737/(7-E1737)*E1737*INDEX(Products!$E$2:$E$49,MATCH(C1737,Products!$A$2:$A$49,0)))</f>
        <v>0</v>
      </c>
    </row>
    <row r="1738" customFormat="false" ht="15" hidden="false" customHeight="false" outlineLevel="0" collapsed="false">
      <c r="A1738" s="36" t="n">
        <v>46195</v>
      </c>
      <c r="B1738" s="24" t="s">
        <v>62</v>
      </c>
      <c r="C1738" s="24" t="s">
        <v>157</v>
      </c>
      <c r="D1738" s="33" t="n">
        <v>141</v>
      </c>
      <c r="E1738" s="24" t="n">
        <v>0</v>
      </c>
      <c r="F1738" s="37" t="n">
        <f aca="false">DATE(YEAR(A1738),MONTH(A1738),1)</f>
        <v>46174</v>
      </c>
      <c r="G1738" s="24" t="str">
        <f aca="false">INDEX(Products!$C$2:$C$49,MATCH(C1738,Products!$A$2:$A$49,0))</f>
        <v>Beverages</v>
      </c>
      <c r="H1738" s="33" t="n">
        <f aca="false">D1738*INDEX(Products!$E$2:$E$49,MATCH(C1738,Products!$A$2:$A$49,0))</f>
        <v>16920</v>
      </c>
      <c r="I1738" s="33" t="n">
        <f aca="false">D1738*INDEX(Products!$D$2:$D$49,MATCH(C1738,Products!$A$2:$A$49,0))*(1+INDEX(Assumptions!$B$16:$B$20,MATCH(B1738,Assumptions!$A$16:$A$20,0)))</f>
        <v>12507.264</v>
      </c>
      <c r="J1738" s="33" t="n">
        <f aca="false">H1738-I1738</f>
        <v>4412.736</v>
      </c>
      <c r="K1738" s="33" t="n">
        <f aca="false">IF(OR(E1738=0,E1738&gt;=7),0,D1738/(7-E1738)*E1738*INDEX(Products!$E$2:$E$49,MATCH(C1738,Products!$A$2:$A$49,0)))</f>
        <v>0</v>
      </c>
    </row>
    <row r="1739" customFormat="false" ht="15" hidden="false" customHeight="false" outlineLevel="0" collapsed="false">
      <c r="A1739" s="36" t="n">
        <v>46202</v>
      </c>
      <c r="B1739" s="24" t="s">
        <v>62</v>
      </c>
      <c r="C1739" s="24" t="s">
        <v>157</v>
      </c>
      <c r="D1739" s="33" t="n">
        <v>128</v>
      </c>
      <c r="E1739" s="24" t="n">
        <v>0</v>
      </c>
      <c r="F1739" s="37" t="n">
        <f aca="false">DATE(YEAR(A1739),MONTH(A1739),1)</f>
        <v>46174</v>
      </c>
      <c r="G1739" s="24" t="str">
        <f aca="false">INDEX(Products!$C$2:$C$49,MATCH(C1739,Products!$A$2:$A$49,0))</f>
        <v>Beverages</v>
      </c>
      <c r="H1739" s="33" t="n">
        <f aca="false">D1739*INDEX(Products!$E$2:$E$49,MATCH(C1739,Products!$A$2:$A$49,0))</f>
        <v>15360</v>
      </c>
      <c r="I1739" s="33" t="n">
        <f aca="false">D1739*INDEX(Products!$D$2:$D$49,MATCH(C1739,Products!$A$2:$A$49,0))*(1+INDEX(Assumptions!$B$16:$B$20,MATCH(B1739,Assumptions!$A$16:$A$20,0)))</f>
        <v>11354.112</v>
      </c>
      <c r="J1739" s="33" t="n">
        <f aca="false">H1739-I1739</f>
        <v>4005.888</v>
      </c>
      <c r="K1739" s="33" t="n">
        <f aca="false">IF(OR(E1739=0,E1739&gt;=7),0,D1739/(7-E1739)*E1739*INDEX(Products!$E$2:$E$49,MATCH(C1739,Products!$A$2:$A$49,0)))</f>
        <v>0</v>
      </c>
    </row>
    <row r="1740" customFormat="false" ht="15" hidden="false" customHeight="false" outlineLevel="0" collapsed="false">
      <c r="A1740" s="36" t="n">
        <v>46209</v>
      </c>
      <c r="B1740" s="24" t="s">
        <v>62</v>
      </c>
      <c r="C1740" s="24" t="s">
        <v>157</v>
      </c>
      <c r="D1740" s="33" t="n">
        <v>113</v>
      </c>
      <c r="E1740" s="24" t="n">
        <v>0</v>
      </c>
      <c r="F1740" s="37" t="n">
        <f aca="false">DATE(YEAR(A1740),MONTH(A1740),1)</f>
        <v>46204</v>
      </c>
      <c r="G1740" s="24" t="str">
        <f aca="false">INDEX(Products!$C$2:$C$49,MATCH(C1740,Products!$A$2:$A$49,0))</f>
        <v>Beverages</v>
      </c>
      <c r="H1740" s="33" t="n">
        <f aca="false">D1740*INDEX(Products!$E$2:$E$49,MATCH(C1740,Products!$A$2:$A$49,0))</f>
        <v>13560</v>
      </c>
      <c r="I1740" s="33" t="n">
        <f aca="false">D1740*INDEX(Products!$D$2:$D$49,MATCH(C1740,Products!$A$2:$A$49,0))*(1+INDEX(Assumptions!$B$16:$B$20,MATCH(B1740,Assumptions!$A$16:$A$20,0)))</f>
        <v>10023.552</v>
      </c>
      <c r="J1740" s="33" t="n">
        <f aca="false">H1740-I1740</f>
        <v>3536.448</v>
      </c>
      <c r="K1740" s="33" t="n">
        <f aca="false">IF(OR(E1740=0,E1740&gt;=7),0,D1740/(7-E1740)*E1740*INDEX(Products!$E$2:$E$49,MATCH(C1740,Products!$A$2:$A$49,0)))</f>
        <v>0</v>
      </c>
    </row>
    <row r="1741" customFormat="false" ht="15" hidden="false" customHeight="false" outlineLevel="0" collapsed="false">
      <c r="A1741" s="36" t="n">
        <v>46216</v>
      </c>
      <c r="B1741" s="24" t="s">
        <v>62</v>
      </c>
      <c r="C1741" s="24" t="s">
        <v>157</v>
      </c>
      <c r="D1741" s="33" t="n">
        <v>47</v>
      </c>
      <c r="E1741" s="24" t="n">
        <v>4</v>
      </c>
      <c r="F1741" s="37" t="n">
        <f aca="false">DATE(YEAR(A1741),MONTH(A1741),1)</f>
        <v>46204</v>
      </c>
      <c r="G1741" s="24" t="str">
        <f aca="false">INDEX(Products!$C$2:$C$49,MATCH(C1741,Products!$A$2:$A$49,0))</f>
        <v>Beverages</v>
      </c>
      <c r="H1741" s="33" t="n">
        <f aca="false">D1741*INDEX(Products!$E$2:$E$49,MATCH(C1741,Products!$A$2:$A$49,0))</f>
        <v>5640</v>
      </c>
      <c r="I1741" s="33" t="n">
        <f aca="false">D1741*INDEX(Products!$D$2:$D$49,MATCH(C1741,Products!$A$2:$A$49,0))*(1+INDEX(Assumptions!$B$16:$B$20,MATCH(B1741,Assumptions!$A$16:$A$20,0)))</f>
        <v>4169.088</v>
      </c>
      <c r="J1741" s="33" t="n">
        <f aca="false">H1741-I1741</f>
        <v>1470.912</v>
      </c>
      <c r="K1741" s="33" t="n">
        <f aca="false">IF(OR(E1741=0,E1741&gt;=7),0,D1741/(7-E1741)*E1741*INDEX(Products!$E$2:$E$49,MATCH(C1741,Products!$A$2:$A$49,0)))</f>
        <v>7520</v>
      </c>
    </row>
    <row r="1742" customFormat="false" ht="15" hidden="false" customHeight="false" outlineLevel="0" collapsed="false">
      <c r="A1742" s="36" t="n">
        <v>46223</v>
      </c>
      <c r="B1742" s="24" t="s">
        <v>62</v>
      </c>
      <c r="C1742" s="24" t="s">
        <v>157</v>
      </c>
      <c r="D1742" s="33" t="n">
        <v>148</v>
      </c>
      <c r="E1742" s="24" t="n">
        <v>0</v>
      </c>
      <c r="F1742" s="37" t="n">
        <f aca="false">DATE(YEAR(A1742),MONTH(A1742),1)</f>
        <v>46204</v>
      </c>
      <c r="G1742" s="24" t="str">
        <f aca="false">INDEX(Products!$C$2:$C$49,MATCH(C1742,Products!$A$2:$A$49,0))</f>
        <v>Beverages</v>
      </c>
      <c r="H1742" s="33" t="n">
        <f aca="false">D1742*INDEX(Products!$E$2:$E$49,MATCH(C1742,Products!$A$2:$A$49,0))</f>
        <v>17760</v>
      </c>
      <c r="I1742" s="33" t="n">
        <f aca="false">D1742*INDEX(Products!$D$2:$D$49,MATCH(C1742,Products!$A$2:$A$49,0))*(1+INDEX(Assumptions!$B$16:$B$20,MATCH(B1742,Assumptions!$A$16:$A$20,0)))</f>
        <v>13128.192</v>
      </c>
      <c r="J1742" s="33" t="n">
        <f aca="false">H1742-I1742</f>
        <v>4631.808</v>
      </c>
      <c r="K1742" s="33" t="n">
        <f aca="false">IF(OR(E1742=0,E1742&gt;=7),0,D1742/(7-E1742)*E1742*INDEX(Products!$E$2:$E$49,MATCH(C1742,Products!$A$2:$A$49,0)))</f>
        <v>0</v>
      </c>
    </row>
    <row r="1743" customFormat="false" ht="15" hidden="false" customHeight="false" outlineLevel="0" collapsed="false">
      <c r="A1743" s="36" t="n">
        <v>46230</v>
      </c>
      <c r="B1743" s="24" t="s">
        <v>62</v>
      </c>
      <c r="C1743" s="24" t="s">
        <v>157</v>
      </c>
      <c r="D1743" s="33" t="n">
        <v>121</v>
      </c>
      <c r="E1743" s="24" t="n">
        <v>0</v>
      </c>
      <c r="F1743" s="37" t="n">
        <f aca="false">DATE(YEAR(A1743),MONTH(A1743),1)</f>
        <v>46204</v>
      </c>
      <c r="G1743" s="24" t="str">
        <f aca="false">INDEX(Products!$C$2:$C$49,MATCH(C1743,Products!$A$2:$A$49,0))</f>
        <v>Beverages</v>
      </c>
      <c r="H1743" s="33" t="n">
        <f aca="false">D1743*INDEX(Products!$E$2:$E$49,MATCH(C1743,Products!$A$2:$A$49,0))</f>
        <v>14520</v>
      </c>
      <c r="I1743" s="33" t="n">
        <f aca="false">D1743*INDEX(Products!$D$2:$D$49,MATCH(C1743,Products!$A$2:$A$49,0))*(1+INDEX(Assumptions!$B$16:$B$20,MATCH(B1743,Assumptions!$A$16:$A$20,0)))</f>
        <v>10733.184</v>
      </c>
      <c r="J1743" s="33" t="n">
        <f aca="false">H1743-I1743</f>
        <v>3786.816</v>
      </c>
      <c r="K1743" s="33" t="n">
        <f aca="false">IF(OR(E1743=0,E1743&gt;=7),0,D1743/(7-E1743)*E1743*INDEX(Products!$E$2:$E$49,MATCH(C1743,Products!$A$2:$A$49,0)))</f>
        <v>0</v>
      </c>
    </row>
    <row r="1744" customFormat="false" ht="15" hidden="false" customHeight="false" outlineLevel="0" collapsed="false">
      <c r="A1744" s="36" t="n">
        <v>46237</v>
      </c>
      <c r="B1744" s="24" t="s">
        <v>62</v>
      </c>
      <c r="C1744" s="24" t="s">
        <v>157</v>
      </c>
      <c r="D1744" s="33" t="n">
        <v>127</v>
      </c>
      <c r="E1744" s="24" t="n">
        <v>0</v>
      </c>
      <c r="F1744" s="37" t="n">
        <f aca="false">DATE(YEAR(A1744),MONTH(A1744),1)</f>
        <v>46235</v>
      </c>
      <c r="G1744" s="24" t="str">
        <f aca="false">INDEX(Products!$C$2:$C$49,MATCH(C1744,Products!$A$2:$A$49,0))</f>
        <v>Beverages</v>
      </c>
      <c r="H1744" s="33" t="n">
        <f aca="false">D1744*INDEX(Products!$E$2:$E$49,MATCH(C1744,Products!$A$2:$A$49,0))</f>
        <v>15240</v>
      </c>
      <c r="I1744" s="33" t="n">
        <f aca="false">D1744*INDEX(Products!$D$2:$D$49,MATCH(C1744,Products!$A$2:$A$49,0))*(1+INDEX(Assumptions!$B$16:$B$20,MATCH(B1744,Assumptions!$A$16:$A$20,0)))</f>
        <v>11265.408</v>
      </c>
      <c r="J1744" s="33" t="n">
        <f aca="false">H1744-I1744</f>
        <v>3974.592</v>
      </c>
      <c r="K1744" s="33" t="n">
        <f aca="false">IF(OR(E1744=0,E1744&gt;=7),0,D1744/(7-E1744)*E1744*INDEX(Products!$E$2:$E$49,MATCH(C1744,Products!$A$2:$A$49,0)))</f>
        <v>0</v>
      </c>
    </row>
    <row r="1745" customFormat="false" ht="15" hidden="false" customHeight="false" outlineLevel="0" collapsed="false">
      <c r="A1745" s="36" t="n">
        <v>46244</v>
      </c>
      <c r="B1745" s="24" t="s">
        <v>62</v>
      </c>
      <c r="C1745" s="24" t="s">
        <v>157</v>
      </c>
      <c r="D1745" s="33" t="n">
        <v>117</v>
      </c>
      <c r="E1745" s="24" t="n">
        <v>0</v>
      </c>
      <c r="F1745" s="37" t="n">
        <f aca="false">DATE(YEAR(A1745),MONTH(A1745),1)</f>
        <v>46235</v>
      </c>
      <c r="G1745" s="24" t="str">
        <f aca="false">INDEX(Products!$C$2:$C$49,MATCH(C1745,Products!$A$2:$A$49,0))</f>
        <v>Beverages</v>
      </c>
      <c r="H1745" s="33" t="n">
        <f aca="false">D1745*INDEX(Products!$E$2:$E$49,MATCH(C1745,Products!$A$2:$A$49,0))</f>
        <v>14040</v>
      </c>
      <c r="I1745" s="33" t="n">
        <f aca="false">D1745*INDEX(Products!$D$2:$D$49,MATCH(C1745,Products!$A$2:$A$49,0))*(1+INDEX(Assumptions!$B$16:$B$20,MATCH(B1745,Assumptions!$A$16:$A$20,0)))</f>
        <v>10378.368</v>
      </c>
      <c r="J1745" s="33" t="n">
        <f aca="false">H1745-I1745</f>
        <v>3661.632</v>
      </c>
      <c r="K1745" s="33" t="n">
        <f aca="false">IF(OR(E1745=0,E1745&gt;=7),0,D1745/(7-E1745)*E1745*INDEX(Products!$E$2:$E$49,MATCH(C1745,Products!$A$2:$A$49,0)))</f>
        <v>0</v>
      </c>
    </row>
    <row r="1746" customFormat="false" ht="15" hidden="false" customHeight="false" outlineLevel="0" collapsed="false">
      <c r="A1746" s="36" t="n">
        <v>46251</v>
      </c>
      <c r="B1746" s="24" t="s">
        <v>62</v>
      </c>
      <c r="C1746" s="24" t="s">
        <v>157</v>
      </c>
      <c r="D1746" s="33" t="n">
        <v>105</v>
      </c>
      <c r="E1746" s="24" t="n">
        <v>0</v>
      </c>
      <c r="F1746" s="37" t="n">
        <f aca="false">DATE(YEAR(A1746),MONTH(A1746),1)</f>
        <v>46235</v>
      </c>
      <c r="G1746" s="24" t="str">
        <f aca="false">INDEX(Products!$C$2:$C$49,MATCH(C1746,Products!$A$2:$A$49,0))</f>
        <v>Beverages</v>
      </c>
      <c r="H1746" s="33" t="n">
        <f aca="false">D1746*INDEX(Products!$E$2:$E$49,MATCH(C1746,Products!$A$2:$A$49,0))</f>
        <v>12600</v>
      </c>
      <c r="I1746" s="33" t="n">
        <f aca="false">D1746*INDEX(Products!$D$2:$D$49,MATCH(C1746,Products!$A$2:$A$49,0))*(1+INDEX(Assumptions!$B$16:$B$20,MATCH(B1746,Assumptions!$A$16:$A$20,0)))</f>
        <v>9313.92</v>
      </c>
      <c r="J1746" s="33" t="n">
        <f aca="false">H1746-I1746</f>
        <v>3286.08</v>
      </c>
      <c r="K1746" s="33" t="n">
        <f aca="false">IF(OR(E1746=0,E1746&gt;=7),0,D1746/(7-E1746)*E1746*INDEX(Products!$E$2:$E$49,MATCH(C1746,Products!$A$2:$A$49,0)))</f>
        <v>0</v>
      </c>
    </row>
    <row r="1747" customFormat="false" ht="15" hidden="false" customHeight="false" outlineLevel="0" collapsed="false">
      <c r="A1747" s="36" t="n">
        <v>46258</v>
      </c>
      <c r="B1747" s="24" t="s">
        <v>62</v>
      </c>
      <c r="C1747" s="24" t="s">
        <v>157</v>
      </c>
      <c r="D1747" s="33" t="n">
        <v>138</v>
      </c>
      <c r="E1747" s="24" t="n">
        <v>0</v>
      </c>
      <c r="F1747" s="37" t="n">
        <f aca="false">DATE(YEAR(A1747),MONTH(A1747),1)</f>
        <v>46235</v>
      </c>
      <c r="G1747" s="24" t="str">
        <f aca="false">INDEX(Products!$C$2:$C$49,MATCH(C1747,Products!$A$2:$A$49,0))</f>
        <v>Beverages</v>
      </c>
      <c r="H1747" s="33" t="n">
        <f aca="false">D1747*INDEX(Products!$E$2:$E$49,MATCH(C1747,Products!$A$2:$A$49,0))</f>
        <v>16560</v>
      </c>
      <c r="I1747" s="33" t="n">
        <f aca="false">D1747*INDEX(Products!$D$2:$D$49,MATCH(C1747,Products!$A$2:$A$49,0))*(1+INDEX(Assumptions!$B$16:$B$20,MATCH(B1747,Assumptions!$A$16:$A$20,0)))</f>
        <v>12241.152</v>
      </c>
      <c r="J1747" s="33" t="n">
        <f aca="false">H1747-I1747</f>
        <v>4318.848</v>
      </c>
      <c r="K1747" s="33" t="n">
        <f aca="false">IF(OR(E1747=0,E1747&gt;=7),0,D1747/(7-E1747)*E1747*INDEX(Products!$E$2:$E$49,MATCH(C1747,Products!$A$2:$A$49,0)))</f>
        <v>0</v>
      </c>
    </row>
    <row r="1748" customFormat="false" ht="15" hidden="false" customHeight="false" outlineLevel="0" collapsed="false">
      <c r="A1748" s="36" t="n">
        <v>46265</v>
      </c>
      <c r="B1748" s="24" t="s">
        <v>62</v>
      </c>
      <c r="C1748" s="24" t="s">
        <v>157</v>
      </c>
      <c r="D1748" s="33" t="n">
        <v>127</v>
      </c>
      <c r="E1748" s="24" t="n">
        <v>0</v>
      </c>
      <c r="F1748" s="37" t="n">
        <f aca="false">DATE(YEAR(A1748),MONTH(A1748),1)</f>
        <v>46235</v>
      </c>
      <c r="G1748" s="24" t="str">
        <f aca="false">INDEX(Products!$C$2:$C$49,MATCH(C1748,Products!$A$2:$A$49,0))</f>
        <v>Beverages</v>
      </c>
      <c r="H1748" s="33" t="n">
        <f aca="false">D1748*INDEX(Products!$E$2:$E$49,MATCH(C1748,Products!$A$2:$A$49,0))</f>
        <v>15240</v>
      </c>
      <c r="I1748" s="33" t="n">
        <f aca="false">D1748*INDEX(Products!$D$2:$D$49,MATCH(C1748,Products!$A$2:$A$49,0))*(1+INDEX(Assumptions!$B$16:$B$20,MATCH(B1748,Assumptions!$A$16:$A$20,0)))</f>
        <v>11265.408</v>
      </c>
      <c r="J1748" s="33" t="n">
        <f aca="false">H1748-I1748</f>
        <v>3974.592</v>
      </c>
      <c r="K1748" s="33" t="n">
        <f aca="false">IF(OR(E1748=0,E1748&gt;=7),0,D1748/(7-E1748)*E1748*INDEX(Products!$E$2:$E$49,MATCH(C1748,Products!$A$2:$A$49,0)))</f>
        <v>0</v>
      </c>
    </row>
    <row r="1749" customFormat="false" ht="15" hidden="false" customHeight="false" outlineLevel="0" collapsed="false">
      <c r="A1749" s="36" t="n">
        <v>46272</v>
      </c>
      <c r="B1749" s="24" t="s">
        <v>62</v>
      </c>
      <c r="C1749" s="24" t="s">
        <v>157</v>
      </c>
      <c r="D1749" s="33" t="n">
        <v>149</v>
      </c>
      <c r="E1749" s="24" t="n">
        <v>0</v>
      </c>
      <c r="F1749" s="37" t="n">
        <f aca="false">DATE(YEAR(A1749),MONTH(A1749),1)</f>
        <v>46266</v>
      </c>
      <c r="G1749" s="24" t="str">
        <f aca="false">INDEX(Products!$C$2:$C$49,MATCH(C1749,Products!$A$2:$A$49,0))</f>
        <v>Beverages</v>
      </c>
      <c r="H1749" s="33" t="n">
        <f aca="false">D1749*INDEX(Products!$E$2:$E$49,MATCH(C1749,Products!$A$2:$A$49,0))</f>
        <v>17880</v>
      </c>
      <c r="I1749" s="33" t="n">
        <f aca="false">D1749*INDEX(Products!$D$2:$D$49,MATCH(C1749,Products!$A$2:$A$49,0))*(1+INDEX(Assumptions!$B$16:$B$20,MATCH(B1749,Assumptions!$A$16:$A$20,0)))</f>
        <v>13216.896</v>
      </c>
      <c r="J1749" s="33" t="n">
        <f aca="false">H1749-I1749</f>
        <v>4663.104</v>
      </c>
      <c r="K1749" s="33" t="n">
        <f aca="false">IF(OR(E1749=0,E1749&gt;=7),0,D1749/(7-E1749)*E1749*INDEX(Products!$E$2:$E$49,MATCH(C1749,Products!$A$2:$A$49,0)))</f>
        <v>0</v>
      </c>
    </row>
    <row r="1750" customFormat="false" ht="15" hidden="false" customHeight="false" outlineLevel="0" collapsed="false">
      <c r="A1750" s="36" t="n">
        <v>46279</v>
      </c>
      <c r="B1750" s="24" t="s">
        <v>62</v>
      </c>
      <c r="C1750" s="24" t="s">
        <v>157</v>
      </c>
      <c r="D1750" s="33" t="n">
        <v>138</v>
      </c>
      <c r="E1750" s="24" t="n">
        <v>0</v>
      </c>
      <c r="F1750" s="37" t="n">
        <f aca="false">DATE(YEAR(A1750),MONTH(A1750),1)</f>
        <v>46266</v>
      </c>
      <c r="G1750" s="24" t="str">
        <f aca="false">INDEX(Products!$C$2:$C$49,MATCH(C1750,Products!$A$2:$A$49,0))</f>
        <v>Beverages</v>
      </c>
      <c r="H1750" s="33" t="n">
        <f aca="false">D1750*INDEX(Products!$E$2:$E$49,MATCH(C1750,Products!$A$2:$A$49,0))</f>
        <v>16560</v>
      </c>
      <c r="I1750" s="33" t="n">
        <f aca="false">D1750*INDEX(Products!$D$2:$D$49,MATCH(C1750,Products!$A$2:$A$49,0))*(1+INDEX(Assumptions!$B$16:$B$20,MATCH(B1750,Assumptions!$A$16:$A$20,0)))</f>
        <v>12241.152</v>
      </c>
      <c r="J1750" s="33" t="n">
        <f aca="false">H1750-I1750</f>
        <v>4318.848</v>
      </c>
      <c r="K1750" s="33" t="n">
        <f aca="false">IF(OR(E1750=0,E1750&gt;=7),0,D1750/(7-E1750)*E1750*INDEX(Products!$E$2:$E$49,MATCH(C1750,Products!$A$2:$A$49,0)))</f>
        <v>0</v>
      </c>
    </row>
    <row r="1751" customFormat="false" ht="15" hidden="false" customHeight="false" outlineLevel="0" collapsed="false">
      <c r="A1751" s="36" t="n">
        <v>46286</v>
      </c>
      <c r="B1751" s="24" t="s">
        <v>62</v>
      </c>
      <c r="C1751" s="24" t="s">
        <v>157</v>
      </c>
      <c r="D1751" s="33" t="n">
        <v>157</v>
      </c>
      <c r="E1751" s="24" t="n">
        <v>0</v>
      </c>
      <c r="F1751" s="37" t="n">
        <f aca="false">DATE(YEAR(A1751),MONTH(A1751),1)</f>
        <v>46266</v>
      </c>
      <c r="G1751" s="24" t="str">
        <f aca="false">INDEX(Products!$C$2:$C$49,MATCH(C1751,Products!$A$2:$A$49,0))</f>
        <v>Beverages</v>
      </c>
      <c r="H1751" s="33" t="n">
        <f aca="false">D1751*INDEX(Products!$E$2:$E$49,MATCH(C1751,Products!$A$2:$A$49,0))</f>
        <v>18840</v>
      </c>
      <c r="I1751" s="33" t="n">
        <f aca="false">D1751*INDEX(Products!$D$2:$D$49,MATCH(C1751,Products!$A$2:$A$49,0))*(1+INDEX(Assumptions!$B$16:$B$20,MATCH(B1751,Assumptions!$A$16:$A$20,0)))</f>
        <v>13926.528</v>
      </c>
      <c r="J1751" s="33" t="n">
        <f aca="false">H1751-I1751</f>
        <v>4913.472</v>
      </c>
      <c r="K1751" s="33" t="n">
        <f aca="false">IF(OR(E1751=0,E1751&gt;=7),0,D1751/(7-E1751)*E1751*INDEX(Products!$E$2:$E$49,MATCH(C1751,Products!$A$2:$A$49,0)))</f>
        <v>0</v>
      </c>
    </row>
    <row r="1752" customFormat="false" ht="15" hidden="false" customHeight="false" outlineLevel="0" collapsed="false">
      <c r="A1752" s="36" t="n">
        <v>46118</v>
      </c>
      <c r="B1752" s="24" t="s">
        <v>62</v>
      </c>
      <c r="C1752" s="24" t="s">
        <v>159</v>
      </c>
      <c r="D1752" s="33" t="n">
        <v>106</v>
      </c>
      <c r="E1752" s="24" t="n">
        <v>0</v>
      </c>
      <c r="F1752" s="37" t="n">
        <f aca="false">DATE(YEAR(A1752),MONTH(A1752),1)</f>
        <v>46113</v>
      </c>
      <c r="G1752" s="24" t="str">
        <f aca="false">INDEX(Products!$C$2:$C$49,MATCH(C1752,Products!$A$2:$A$49,0))</f>
        <v>Beverages</v>
      </c>
      <c r="H1752" s="33" t="n">
        <f aca="false">D1752*INDEX(Products!$E$2:$E$49,MATCH(C1752,Products!$A$2:$A$49,0))</f>
        <v>47700</v>
      </c>
      <c r="I1752" s="33" t="n">
        <f aca="false">D1752*INDEX(Products!$D$2:$D$49,MATCH(C1752,Products!$A$2:$A$49,0))*(1+INDEX(Assumptions!$B$16:$B$20,MATCH(B1752,Assumptions!$A$16:$A$20,0)))</f>
        <v>38251.584</v>
      </c>
      <c r="J1752" s="33" t="n">
        <f aca="false">H1752-I1752</f>
        <v>9448.416</v>
      </c>
      <c r="K1752" s="33" t="n">
        <f aca="false">IF(OR(E1752=0,E1752&gt;=7),0,D1752/(7-E1752)*E1752*INDEX(Products!$E$2:$E$49,MATCH(C1752,Products!$A$2:$A$49,0)))</f>
        <v>0</v>
      </c>
    </row>
    <row r="1753" customFormat="false" ht="15" hidden="false" customHeight="false" outlineLevel="0" collapsed="false">
      <c r="A1753" s="36" t="n">
        <v>46125</v>
      </c>
      <c r="B1753" s="24" t="s">
        <v>62</v>
      </c>
      <c r="C1753" s="24" t="s">
        <v>159</v>
      </c>
      <c r="D1753" s="33" t="n">
        <v>116</v>
      </c>
      <c r="E1753" s="24" t="n">
        <v>0</v>
      </c>
      <c r="F1753" s="37" t="n">
        <f aca="false">DATE(YEAR(A1753),MONTH(A1753),1)</f>
        <v>46113</v>
      </c>
      <c r="G1753" s="24" t="str">
        <f aca="false">INDEX(Products!$C$2:$C$49,MATCH(C1753,Products!$A$2:$A$49,0))</f>
        <v>Beverages</v>
      </c>
      <c r="H1753" s="33" t="n">
        <f aca="false">D1753*INDEX(Products!$E$2:$E$49,MATCH(C1753,Products!$A$2:$A$49,0))</f>
        <v>52200</v>
      </c>
      <c r="I1753" s="33" t="n">
        <f aca="false">D1753*INDEX(Products!$D$2:$D$49,MATCH(C1753,Products!$A$2:$A$49,0))*(1+INDEX(Assumptions!$B$16:$B$20,MATCH(B1753,Assumptions!$A$16:$A$20,0)))</f>
        <v>41860.224</v>
      </c>
      <c r="J1753" s="33" t="n">
        <f aca="false">H1753-I1753</f>
        <v>10339.776</v>
      </c>
      <c r="K1753" s="33" t="n">
        <f aca="false">IF(OR(E1753=0,E1753&gt;=7),0,D1753/(7-E1753)*E1753*INDEX(Products!$E$2:$E$49,MATCH(C1753,Products!$A$2:$A$49,0)))</f>
        <v>0</v>
      </c>
    </row>
    <row r="1754" customFormat="false" ht="15" hidden="false" customHeight="false" outlineLevel="0" collapsed="false">
      <c r="A1754" s="36" t="n">
        <v>46132</v>
      </c>
      <c r="B1754" s="24" t="s">
        <v>62</v>
      </c>
      <c r="C1754" s="24" t="s">
        <v>159</v>
      </c>
      <c r="D1754" s="33" t="n">
        <v>126</v>
      </c>
      <c r="E1754" s="24" t="n">
        <v>0</v>
      </c>
      <c r="F1754" s="37" t="n">
        <f aca="false">DATE(YEAR(A1754),MONTH(A1754),1)</f>
        <v>46113</v>
      </c>
      <c r="G1754" s="24" t="str">
        <f aca="false">INDEX(Products!$C$2:$C$49,MATCH(C1754,Products!$A$2:$A$49,0))</f>
        <v>Beverages</v>
      </c>
      <c r="H1754" s="33" t="n">
        <f aca="false">D1754*INDEX(Products!$E$2:$E$49,MATCH(C1754,Products!$A$2:$A$49,0))</f>
        <v>56700</v>
      </c>
      <c r="I1754" s="33" t="n">
        <f aca="false">D1754*INDEX(Products!$D$2:$D$49,MATCH(C1754,Products!$A$2:$A$49,0))*(1+INDEX(Assumptions!$B$16:$B$20,MATCH(B1754,Assumptions!$A$16:$A$20,0)))</f>
        <v>45468.864</v>
      </c>
      <c r="J1754" s="33" t="n">
        <f aca="false">H1754-I1754</f>
        <v>11231.136</v>
      </c>
      <c r="K1754" s="33" t="n">
        <f aca="false">IF(OR(E1754=0,E1754&gt;=7),0,D1754/(7-E1754)*E1754*INDEX(Products!$E$2:$E$49,MATCH(C1754,Products!$A$2:$A$49,0)))</f>
        <v>0</v>
      </c>
    </row>
    <row r="1755" customFormat="false" ht="15" hidden="false" customHeight="false" outlineLevel="0" collapsed="false">
      <c r="A1755" s="36" t="n">
        <v>46139</v>
      </c>
      <c r="B1755" s="24" t="s">
        <v>62</v>
      </c>
      <c r="C1755" s="24" t="s">
        <v>159</v>
      </c>
      <c r="D1755" s="33" t="n">
        <v>146</v>
      </c>
      <c r="E1755" s="24" t="n">
        <v>0</v>
      </c>
      <c r="F1755" s="37" t="n">
        <f aca="false">DATE(YEAR(A1755),MONTH(A1755),1)</f>
        <v>46113</v>
      </c>
      <c r="G1755" s="24" t="str">
        <f aca="false">INDEX(Products!$C$2:$C$49,MATCH(C1755,Products!$A$2:$A$49,0))</f>
        <v>Beverages</v>
      </c>
      <c r="H1755" s="33" t="n">
        <f aca="false">D1755*INDEX(Products!$E$2:$E$49,MATCH(C1755,Products!$A$2:$A$49,0))</f>
        <v>65700</v>
      </c>
      <c r="I1755" s="33" t="n">
        <f aca="false">D1755*INDEX(Products!$D$2:$D$49,MATCH(C1755,Products!$A$2:$A$49,0))*(1+INDEX(Assumptions!$B$16:$B$20,MATCH(B1755,Assumptions!$A$16:$A$20,0)))</f>
        <v>52686.144</v>
      </c>
      <c r="J1755" s="33" t="n">
        <f aca="false">H1755-I1755</f>
        <v>13013.856</v>
      </c>
      <c r="K1755" s="33" t="n">
        <f aca="false">IF(OR(E1755=0,E1755&gt;=7),0,D1755/(7-E1755)*E1755*INDEX(Products!$E$2:$E$49,MATCH(C1755,Products!$A$2:$A$49,0)))</f>
        <v>0</v>
      </c>
    </row>
    <row r="1756" customFormat="false" ht="15" hidden="false" customHeight="false" outlineLevel="0" collapsed="false">
      <c r="A1756" s="36" t="n">
        <v>46146</v>
      </c>
      <c r="B1756" s="24" t="s">
        <v>62</v>
      </c>
      <c r="C1756" s="24" t="s">
        <v>159</v>
      </c>
      <c r="D1756" s="33" t="n">
        <v>133</v>
      </c>
      <c r="E1756" s="24" t="n">
        <v>0</v>
      </c>
      <c r="F1756" s="37" t="n">
        <f aca="false">DATE(YEAR(A1756),MONTH(A1756),1)</f>
        <v>46143</v>
      </c>
      <c r="G1756" s="24" t="str">
        <f aca="false">INDEX(Products!$C$2:$C$49,MATCH(C1756,Products!$A$2:$A$49,0))</f>
        <v>Beverages</v>
      </c>
      <c r="H1756" s="33" t="n">
        <f aca="false">D1756*INDEX(Products!$E$2:$E$49,MATCH(C1756,Products!$A$2:$A$49,0))</f>
        <v>59850</v>
      </c>
      <c r="I1756" s="33" t="n">
        <f aca="false">D1756*INDEX(Products!$D$2:$D$49,MATCH(C1756,Products!$A$2:$A$49,0))*(1+INDEX(Assumptions!$B$16:$B$20,MATCH(B1756,Assumptions!$A$16:$A$20,0)))</f>
        <v>47994.912</v>
      </c>
      <c r="J1756" s="33" t="n">
        <f aca="false">H1756-I1756</f>
        <v>11855.088</v>
      </c>
      <c r="K1756" s="33" t="n">
        <f aca="false">IF(OR(E1756=0,E1756&gt;=7),0,D1756/(7-E1756)*E1756*INDEX(Products!$E$2:$E$49,MATCH(C1756,Products!$A$2:$A$49,0)))</f>
        <v>0</v>
      </c>
    </row>
    <row r="1757" customFormat="false" ht="15" hidden="false" customHeight="false" outlineLevel="0" collapsed="false">
      <c r="A1757" s="36" t="n">
        <v>46153</v>
      </c>
      <c r="B1757" s="24" t="s">
        <v>62</v>
      </c>
      <c r="C1757" s="24" t="s">
        <v>159</v>
      </c>
      <c r="D1757" s="33" t="n">
        <v>121</v>
      </c>
      <c r="E1757" s="24" t="n">
        <v>0</v>
      </c>
      <c r="F1757" s="37" t="n">
        <f aca="false">DATE(YEAR(A1757),MONTH(A1757),1)</f>
        <v>46143</v>
      </c>
      <c r="G1757" s="24" t="str">
        <f aca="false">INDEX(Products!$C$2:$C$49,MATCH(C1757,Products!$A$2:$A$49,0))</f>
        <v>Beverages</v>
      </c>
      <c r="H1757" s="33" t="n">
        <f aca="false">D1757*INDEX(Products!$E$2:$E$49,MATCH(C1757,Products!$A$2:$A$49,0))</f>
        <v>54450</v>
      </c>
      <c r="I1757" s="33" t="n">
        <f aca="false">D1757*INDEX(Products!$D$2:$D$49,MATCH(C1757,Products!$A$2:$A$49,0))*(1+INDEX(Assumptions!$B$16:$B$20,MATCH(B1757,Assumptions!$A$16:$A$20,0)))</f>
        <v>43664.544</v>
      </c>
      <c r="J1757" s="33" t="n">
        <f aca="false">H1757-I1757</f>
        <v>10785.456</v>
      </c>
      <c r="K1757" s="33" t="n">
        <f aca="false">IF(OR(E1757=0,E1757&gt;=7),0,D1757/(7-E1757)*E1757*INDEX(Products!$E$2:$E$49,MATCH(C1757,Products!$A$2:$A$49,0)))</f>
        <v>0</v>
      </c>
    </row>
    <row r="1758" customFormat="false" ht="15" hidden="false" customHeight="false" outlineLevel="0" collapsed="false">
      <c r="A1758" s="36" t="n">
        <v>46160</v>
      </c>
      <c r="B1758" s="24" t="s">
        <v>62</v>
      </c>
      <c r="C1758" s="24" t="s">
        <v>159</v>
      </c>
      <c r="D1758" s="33" t="n">
        <v>199</v>
      </c>
      <c r="E1758" s="24" t="n">
        <v>0</v>
      </c>
      <c r="F1758" s="37" t="n">
        <f aca="false">DATE(YEAR(A1758),MONTH(A1758),1)</f>
        <v>46143</v>
      </c>
      <c r="G1758" s="24" t="str">
        <f aca="false">INDEX(Products!$C$2:$C$49,MATCH(C1758,Products!$A$2:$A$49,0))</f>
        <v>Beverages</v>
      </c>
      <c r="H1758" s="33" t="n">
        <f aca="false">D1758*INDEX(Products!$E$2:$E$49,MATCH(C1758,Products!$A$2:$A$49,0))</f>
        <v>89550</v>
      </c>
      <c r="I1758" s="33" t="n">
        <f aca="false">D1758*INDEX(Products!$D$2:$D$49,MATCH(C1758,Products!$A$2:$A$49,0))*(1+INDEX(Assumptions!$B$16:$B$20,MATCH(B1758,Assumptions!$A$16:$A$20,0)))</f>
        <v>71811.936</v>
      </c>
      <c r="J1758" s="33" t="n">
        <f aca="false">H1758-I1758</f>
        <v>17738.064</v>
      </c>
      <c r="K1758" s="33" t="n">
        <f aca="false">IF(OR(E1758=0,E1758&gt;=7),0,D1758/(7-E1758)*E1758*INDEX(Products!$E$2:$E$49,MATCH(C1758,Products!$A$2:$A$49,0)))</f>
        <v>0</v>
      </c>
    </row>
    <row r="1759" customFormat="false" ht="15" hidden="false" customHeight="false" outlineLevel="0" collapsed="false">
      <c r="A1759" s="36" t="n">
        <v>46167</v>
      </c>
      <c r="B1759" s="24" t="s">
        <v>62</v>
      </c>
      <c r="C1759" s="24" t="s">
        <v>159</v>
      </c>
      <c r="D1759" s="33" t="n">
        <v>132</v>
      </c>
      <c r="E1759" s="24" t="n">
        <v>0</v>
      </c>
      <c r="F1759" s="37" t="n">
        <f aca="false">DATE(YEAR(A1759),MONTH(A1759),1)</f>
        <v>46143</v>
      </c>
      <c r="G1759" s="24" t="str">
        <f aca="false">INDEX(Products!$C$2:$C$49,MATCH(C1759,Products!$A$2:$A$49,0))</f>
        <v>Beverages</v>
      </c>
      <c r="H1759" s="33" t="n">
        <f aca="false">D1759*INDEX(Products!$E$2:$E$49,MATCH(C1759,Products!$A$2:$A$49,0))</f>
        <v>59400</v>
      </c>
      <c r="I1759" s="33" t="n">
        <f aca="false">D1759*INDEX(Products!$D$2:$D$49,MATCH(C1759,Products!$A$2:$A$49,0))*(1+INDEX(Assumptions!$B$16:$B$20,MATCH(B1759,Assumptions!$A$16:$A$20,0)))</f>
        <v>47634.048</v>
      </c>
      <c r="J1759" s="33" t="n">
        <f aca="false">H1759-I1759</f>
        <v>11765.952</v>
      </c>
      <c r="K1759" s="33" t="n">
        <f aca="false">IF(OR(E1759=0,E1759&gt;=7),0,D1759/(7-E1759)*E1759*INDEX(Products!$E$2:$E$49,MATCH(C1759,Products!$A$2:$A$49,0)))</f>
        <v>0</v>
      </c>
    </row>
    <row r="1760" customFormat="false" ht="15" hidden="false" customHeight="false" outlineLevel="0" collapsed="false">
      <c r="A1760" s="36" t="n">
        <v>46174</v>
      </c>
      <c r="B1760" s="24" t="s">
        <v>62</v>
      </c>
      <c r="C1760" s="24" t="s">
        <v>159</v>
      </c>
      <c r="D1760" s="33" t="n">
        <v>104</v>
      </c>
      <c r="E1760" s="24" t="n">
        <v>0</v>
      </c>
      <c r="F1760" s="37" t="n">
        <f aca="false">DATE(YEAR(A1760),MONTH(A1760),1)</f>
        <v>46174</v>
      </c>
      <c r="G1760" s="24" t="str">
        <f aca="false">INDEX(Products!$C$2:$C$49,MATCH(C1760,Products!$A$2:$A$49,0))</f>
        <v>Beverages</v>
      </c>
      <c r="H1760" s="33" t="n">
        <f aca="false">D1760*INDEX(Products!$E$2:$E$49,MATCH(C1760,Products!$A$2:$A$49,0))</f>
        <v>46800</v>
      </c>
      <c r="I1760" s="33" t="n">
        <f aca="false">D1760*INDEX(Products!$D$2:$D$49,MATCH(C1760,Products!$A$2:$A$49,0))*(1+INDEX(Assumptions!$B$16:$B$20,MATCH(B1760,Assumptions!$A$16:$A$20,0)))</f>
        <v>37529.856</v>
      </c>
      <c r="J1760" s="33" t="n">
        <f aca="false">H1760-I1760</f>
        <v>9270.144</v>
      </c>
      <c r="K1760" s="33" t="n">
        <f aca="false">IF(OR(E1760=0,E1760&gt;=7),0,D1760/(7-E1760)*E1760*INDEX(Products!$E$2:$E$49,MATCH(C1760,Products!$A$2:$A$49,0)))</f>
        <v>0</v>
      </c>
    </row>
    <row r="1761" customFormat="false" ht="15" hidden="false" customHeight="false" outlineLevel="0" collapsed="false">
      <c r="A1761" s="36" t="n">
        <v>46181</v>
      </c>
      <c r="B1761" s="24" t="s">
        <v>62</v>
      </c>
      <c r="C1761" s="24" t="s">
        <v>159</v>
      </c>
      <c r="D1761" s="33" t="n">
        <v>100</v>
      </c>
      <c r="E1761" s="24" t="n">
        <v>0</v>
      </c>
      <c r="F1761" s="37" t="n">
        <f aca="false">DATE(YEAR(A1761),MONTH(A1761),1)</f>
        <v>46174</v>
      </c>
      <c r="G1761" s="24" t="str">
        <f aca="false">INDEX(Products!$C$2:$C$49,MATCH(C1761,Products!$A$2:$A$49,0))</f>
        <v>Beverages</v>
      </c>
      <c r="H1761" s="33" t="n">
        <f aca="false">D1761*INDEX(Products!$E$2:$E$49,MATCH(C1761,Products!$A$2:$A$49,0))</f>
        <v>45000</v>
      </c>
      <c r="I1761" s="33" t="n">
        <f aca="false">D1761*INDEX(Products!$D$2:$D$49,MATCH(C1761,Products!$A$2:$A$49,0))*(1+INDEX(Assumptions!$B$16:$B$20,MATCH(B1761,Assumptions!$A$16:$A$20,0)))</f>
        <v>36086.4</v>
      </c>
      <c r="J1761" s="33" t="n">
        <f aca="false">H1761-I1761</f>
        <v>8913.6</v>
      </c>
      <c r="K1761" s="33" t="n">
        <f aca="false">IF(OR(E1761=0,E1761&gt;=7),0,D1761/(7-E1761)*E1761*INDEX(Products!$E$2:$E$49,MATCH(C1761,Products!$A$2:$A$49,0)))</f>
        <v>0</v>
      </c>
    </row>
    <row r="1762" customFormat="false" ht="15" hidden="false" customHeight="false" outlineLevel="0" collapsed="false">
      <c r="A1762" s="36" t="n">
        <v>46188</v>
      </c>
      <c r="B1762" s="24" t="s">
        <v>62</v>
      </c>
      <c r="C1762" s="24" t="s">
        <v>159</v>
      </c>
      <c r="D1762" s="33" t="n">
        <v>120</v>
      </c>
      <c r="E1762" s="24" t="n">
        <v>0</v>
      </c>
      <c r="F1762" s="37" t="n">
        <f aca="false">DATE(YEAR(A1762),MONTH(A1762),1)</f>
        <v>46174</v>
      </c>
      <c r="G1762" s="24" t="str">
        <f aca="false">INDEX(Products!$C$2:$C$49,MATCH(C1762,Products!$A$2:$A$49,0))</f>
        <v>Beverages</v>
      </c>
      <c r="H1762" s="33" t="n">
        <f aca="false">D1762*INDEX(Products!$E$2:$E$49,MATCH(C1762,Products!$A$2:$A$49,0))</f>
        <v>54000</v>
      </c>
      <c r="I1762" s="33" t="n">
        <f aca="false">D1762*INDEX(Products!$D$2:$D$49,MATCH(C1762,Products!$A$2:$A$49,0))*(1+INDEX(Assumptions!$B$16:$B$20,MATCH(B1762,Assumptions!$A$16:$A$20,0)))</f>
        <v>43303.68</v>
      </c>
      <c r="J1762" s="33" t="n">
        <f aca="false">H1762-I1762</f>
        <v>10696.32</v>
      </c>
      <c r="K1762" s="33" t="n">
        <f aca="false">IF(OR(E1762=0,E1762&gt;=7),0,D1762/(7-E1762)*E1762*INDEX(Products!$E$2:$E$49,MATCH(C1762,Products!$A$2:$A$49,0)))</f>
        <v>0</v>
      </c>
    </row>
    <row r="1763" customFormat="false" ht="15" hidden="false" customHeight="false" outlineLevel="0" collapsed="false">
      <c r="A1763" s="36" t="n">
        <v>46195</v>
      </c>
      <c r="B1763" s="24" t="s">
        <v>62</v>
      </c>
      <c r="C1763" s="24" t="s">
        <v>159</v>
      </c>
      <c r="D1763" s="33" t="n">
        <v>118</v>
      </c>
      <c r="E1763" s="24" t="n">
        <v>0</v>
      </c>
      <c r="F1763" s="37" t="n">
        <f aca="false">DATE(YEAR(A1763),MONTH(A1763),1)</f>
        <v>46174</v>
      </c>
      <c r="G1763" s="24" t="str">
        <f aca="false">INDEX(Products!$C$2:$C$49,MATCH(C1763,Products!$A$2:$A$49,0))</f>
        <v>Beverages</v>
      </c>
      <c r="H1763" s="33" t="n">
        <f aca="false">D1763*INDEX(Products!$E$2:$E$49,MATCH(C1763,Products!$A$2:$A$49,0))</f>
        <v>53100</v>
      </c>
      <c r="I1763" s="33" t="n">
        <f aca="false">D1763*INDEX(Products!$D$2:$D$49,MATCH(C1763,Products!$A$2:$A$49,0))*(1+INDEX(Assumptions!$B$16:$B$20,MATCH(B1763,Assumptions!$A$16:$A$20,0)))</f>
        <v>42581.952</v>
      </c>
      <c r="J1763" s="33" t="n">
        <f aca="false">H1763-I1763</f>
        <v>10518.048</v>
      </c>
      <c r="K1763" s="33" t="n">
        <f aca="false">IF(OR(E1763=0,E1763&gt;=7),0,D1763/(7-E1763)*E1763*INDEX(Products!$E$2:$E$49,MATCH(C1763,Products!$A$2:$A$49,0)))</f>
        <v>0</v>
      </c>
    </row>
    <row r="1764" customFormat="false" ht="15" hidden="false" customHeight="false" outlineLevel="0" collapsed="false">
      <c r="A1764" s="36" t="n">
        <v>46202</v>
      </c>
      <c r="B1764" s="24" t="s">
        <v>62</v>
      </c>
      <c r="C1764" s="24" t="s">
        <v>159</v>
      </c>
      <c r="D1764" s="33" t="n">
        <v>111</v>
      </c>
      <c r="E1764" s="24" t="n">
        <v>1</v>
      </c>
      <c r="F1764" s="37" t="n">
        <f aca="false">DATE(YEAR(A1764),MONTH(A1764),1)</f>
        <v>46174</v>
      </c>
      <c r="G1764" s="24" t="str">
        <f aca="false">INDEX(Products!$C$2:$C$49,MATCH(C1764,Products!$A$2:$A$49,0))</f>
        <v>Beverages</v>
      </c>
      <c r="H1764" s="33" t="n">
        <f aca="false">D1764*INDEX(Products!$E$2:$E$49,MATCH(C1764,Products!$A$2:$A$49,0))</f>
        <v>49950</v>
      </c>
      <c r="I1764" s="33" t="n">
        <f aca="false">D1764*INDEX(Products!$D$2:$D$49,MATCH(C1764,Products!$A$2:$A$49,0))*(1+INDEX(Assumptions!$B$16:$B$20,MATCH(B1764,Assumptions!$A$16:$A$20,0)))</f>
        <v>40055.904</v>
      </c>
      <c r="J1764" s="33" t="n">
        <f aca="false">H1764-I1764</f>
        <v>9894.096</v>
      </c>
      <c r="K1764" s="33" t="n">
        <f aca="false">IF(OR(E1764=0,E1764&gt;=7),0,D1764/(7-E1764)*E1764*INDEX(Products!$E$2:$E$49,MATCH(C1764,Products!$A$2:$A$49,0)))</f>
        <v>8325</v>
      </c>
    </row>
    <row r="1765" customFormat="false" ht="15" hidden="false" customHeight="false" outlineLevel="0" collapsed="false">
      <c r="A1765" s="36" t="n">
        <v>46209</v>
      </c>
      <c r="B1765" s="24" t="s">
        <v>62</v>
      </c>
      <c r="C1765" s="24" t="s">
        <v>159</v>
      </c>
      <c r="D1765" s="33" t="n">
        <v>109</v>
      </c>
      <c r="E1765" s="24" t="n">
        <v>0</v>
      </c>
      <c r="F1765" s="37" t="n">
        <f aca="false">DATE(YEAR(A1765),MONTH(A1765),1)</f>
        <v>46204</v>
      </c>
      <c r="G1765" s="24" t="str">
        <f aca="false">INDEX(Products!$C$2:$C$49,MATCH(C1765,Products!$A$2:$A$49,0))</f>
        <v>Beverages</v>
      </c>
      <c r="H1765" s="33" t="n">
        <f aca="false">D1765*INDEX(Products!$E$2:$E$49,MATCH(C1765,Products!$A$2:$A$49,0))</f>
        <v>49050</v>
      </c>
      <c r="I1765" s="33" t="n">
        <f aca="false">D1765*INDEX(Products!$D$2:$D$49,MATCH(C1765,Products!$A$2:$A$49,0))*(1+INDEX(Assumptions!$B$16:$B$20,MATCH(B1765,Assumptions!$A$16:$A$20,0)))</f>
        <v>39334.176</v>
      </c>
      <c r="J1765" s="33" t="n">
        <f aca="false">H1765-I1765</f>
        <v>9715.824</v>
      </c>
      <c r="K1765" s="33" t="n">
        <f aca="false">IF(OR(E1765=0,E1765&gt;=7),0,D1765/(7-E1765)*E1765*INDEX(Products!$E$2:$E$49,MATCH(C1765,Products!$A$2:$A$49,0)))</f>
        <v>0</v>
      </c>
    </row>
    <row r="1766" customFormat="false" ht="15" hidden="false" customHeight="false" outlineLevel="0" collapsed="false">
      <c r="A1766" s="36" t="n">
        <v>46216</v>
      </c>
      <c r="B1766" s="24" t="s">
        <v>62</v>
      </c>
      <c r="C1766" s="24" t="s">
        <v>159</v>
      </c>
      <c r="D1766" s="33" t="n">
        <v>103</v>
      </c>
      <c r="E1766" s="24" t="n">
        <v>0</v>
      </c>
      <c r="F1766" s="37" t="n">
        <f aca="false">DATE(YEAR(A1766),MONTH(A1766),1)</f>
        <v>46204</v>
      </c>
      <c r="G1766" s="24" t="str">
        <f aca="false">INDEX(Products!$C$2:$C$49,MATCH(C1766,Products!$A$2:$A$49,0))</f>
        <v>Beverages</v>
      </c>
      <c r="H1766" s="33" t="n">
        <f aca="false">D1766*INDEX(Products!$E$2:$E$49,MATCH(C1766,Products!$A$2:$A$49,0))</f>
        <v>46350</v>
      </c>
      <c r="I1766" s="33" t="n">
        <f aca="false">D1766*INDEX(Products!$D$2:$D$49,MATCH(C1766,Products!$A$2:$A$49,0))*(1+INDEX(Assumptions!$B$16:$B$20,MATCH(B1766,Assumptions!$A$16:$A$20,0)))</f>
        <v>37168.992</v>
      </c>
      <c r="J1766" s="33" t="n">
        <f aca="false">H1766-I1766</f>
        <v>9181.008</v>
      </c>
      <c r="K1766" s="33" t="n">
        <f aca="false">IF(OR(E1766=0,E1766&gt;=7),0,D1766/(7-E1766)*E1766*INDEX(Products!$E$2:$E$49,MATCH(C1766,Products!$A$2:$A$49,0)))</f>
        <v>0</v>
      </c>
    </row>
    <row r="1767" customFormat="false" ht="15" hidden="false" customHeight="false" outlineLevel="0" collapsed="false">
      <c r="A1767" s="36" t="n">
        <v>46223</v>
      </c>
      <c r="B1767" s="24" t="s">
        <v>62</v>
      </c>
      <c r="C1767" s="24" t="s">
        <v>159</v>
      </c>
      <c r="D1767" s="33" t="n">
        <v>103</v>
      </c>
      <c r="E1767" s="24" t="n">
        <v>0</v>
      </c>
      <c r="F1767" s="37" t="n">
        <f aca="false">DATE(YEAR(A1767),MONTH(A1767),1)</f>
        <v>46204</v>
      </c>
      <c r="G1767" s="24" t="str">
        <f aca="false">INDEX(Products!$C$2:$C$49,MATCH(C1767,Products!$A$2:$A$49,0))</f>
        <v>Beverages</v>
      </c>
      <c r="H1767" s="33" t="n">
        <f aca="false">D1767*INDEX(Products!$E$2:$E$49,MATCH(C1767,Products!$A$2:$A$49,0))</f>
        <v>46350</v>
      </c>
      <c r="I1767" s="33" t="n">
        <f aca="false">D1767*INDEX(Products!$D$2:$D$49,MATCH(C1767,Products!$A$2:$A$49,0))*(1+INDEX(Assumptions!$B$16:$B$20,MATCH(B1767,Assumptions!$A$16:$A$20,0)))</f>
        <v>37168.992</v>
      </c>
      <c r="J1767" s="33" t="n">
        <f aca="false">H1767-I1767</f>
        <v>9181.008</v>
      </c>
      <c r="K1767" s="33" t="n">
        <f aca="false">IF(OR(E1767=0,E1767&gt;=7),0,D1767/(7-E1767)*E1767*INDEX(Products!$E$2:$E$49,MATCH(C1767,Products!$A$2:$A$49,0)))</f>
        <v>0</v>
      </c>
    </row>
    <row r="1768" customFormat="false" ht="15" hidden="false" customHeight="false" outlineLevel="0" collapsed="false">
      <c r="A1768" s="36" t="n">
        <v>46230</v>
      </c>
      <c r="B1768" s="24" t="s">
        <v>62</v>
      </c>
      <c r="C1768" s="24" t="s">
        <v>159</v>
      </c>
      <c r="D1768" s="33" t="n">
        <v>141</v>
      </c>
      <c r="E1768" s="24" t="n">
        <v>0</v>
      </c>
      <c r="F1768" s="37" t="n">
        <f aca="false">DATE(YEAR(A1768),MONTH(A1768),1)</f>
        <v>46204</v>
      </c>
      <c r="G1768" s="24" t="str">
        <f aca="false">INDEX(Products!$C$2:$C$49,MATCH(C1768,Products!$A$2:$A$49,0))</f>
        <v>Beverages</v>
      </c>
      <c r="H1768" s="33" t="n">
        <f aca="false">D1768*INDEX(Products!$E$2:$E$49,MATCH(C1768,Products!$A$2:$A$49,0))</f>
        <v>63450</v>
      </c>
      <c r="I1768" s="33" t="n">
        <f aca="false">D1768*INDEX(Products!$D$2:$D$49,MATCH(C1768,Products!$A$2:$A$49,0))*(1+INDEX(Assumptions!$B$16:$B$20,MATCH(B1768,Assumptions!$A$16:$A$20,0)))</f>
        <v>50881.824</v>
      </c>
      <c r="J1768" s="33" t="n">
        <f aca="false">H1768-I1768</f>
        <v>12568.176</v>
      </c>
      <c r="K1768" s="33" t="n">
        <f aca="false">IF(OR(E1768=0,E1768&gt;=7),0,D1768/(7-E1768)*E1768*INDEX(Products!$E$2:$E$49,MATCH(C1768,Products!$A$2:$A$49,0)))</f>
        <v>0</v>
      </c>
    </row>
    <row r="1769" customFormat="false" ht="15" hidden="false" customHeight="false" outlineLevel="0" collapsed="false">
      <c r="A1769" s="36" t="n">
        <v>46237</v>
      </c>
      <c r="B1769" s="24" t="s">
        <v>62</v>
      </c>
      <c r="C1769" s="24" t="s">
        <v>159</v>
      </c>
      <c r="D1769" s="33" t="n">
        <v>98</v>
      </c>
      <c r="E1769" s="24" t="n">
        <v>0</v>
      </c>
      <c r="F1769" s="37" t="n">
        <f aca="false">DATE(YEAR(A1769),MONTH(A1769),1)</f>
        <v>46235</v>
      </c>
      <c r="G1769" s="24" t="str">
        <f aca="false">INDEX(Products!$C$2:$C$49,MATCH(C1769,Products!$A$2:$A$49,0))</f>
        <v>Beverages</v>
      </c>
      <c r="H1769" s="33" t="n">
        <f aca="false">D1769*INDEX(Products!$E$2:$E$49,MATCH(C1769,Products!$A$2:$A$49,0))</f>
        <v>44100</v>
      </c>
      <c r="I1769" s="33" t="n">
        <f aca="false">D1769*INDEX(Products!$D$2:$D$49,MATCH(C1769,Products!$A$2:$A$49,0))*(1+INDEX(Assumptions!$B$16:$B$20,MATCH(B1769,Assumptions!$A$16:$A$20,0)))</f>
        <v>35364.672</v>
      </c>
      <c r="J1769" s="33" t="n">
        <f aca="false">H1769-I1769</f>
        <v>8735.328</v>
      </c>
      <c r="K1769" s="33" t="n">
        <f aca="false">IF(OR(E1769=0,E1769&gt;=7),0,D1769/(7-E1769)*E1769*INDEX(Products!$E$2:$E$49,MATCH(C1769,Products!$A$2:$A$49,0)))</f>
        <v>0</v>
      </c>
    </row>
    <row r="1770" customFormat="false" ht="15" hidden="false" customHeight="false" outlineLevel="0" collapsed="false">
      <c r="A1770" s="36" t="n">
        <v>46244</v>
      </c>
      <c r="B1770" s="24" t="s">
        <v>62</v>
      </c>
      <c r="C1770" s="24" t="s">
        <v>159</v>
      </c>
      <c r="D1770" s="33" t="n">
        <v>61</v>
      </c>
      <c r="E1770" s="24" t="n">
        <v>3</v>
      </c>
      <c r="F1770" s="37" t="n">
        <f aca="false">DATE(YEAR(A1770),MONTH(A1770),1)</f>
        <v>46235</v>
      </c>
      <c r="G1770" s="24" t="str">
        <f aca="false">INDEX(Products!$C$2:$C$49,MATCH(C1770,Products!$A$2:$A$49,0))</f>
        <v>Beverages</v>
      </c>
      <c r="H1770" s="33" t="n">
        <f aca="false">D1770*INDEX(Products!$E$2:$E$49,MATCH(C1770,Products!$A$2:$A$49,0))</f>
        <v>27450</v>
      </c>
      <c r="I1770" s="33" t="n">
        <f aca="false">D1770*INDEX(Products!$D$2:$D$49,MATCH(C1770,Products!$A$2:$A$49,0))*(1+INDEX(Assumptions!$B$16:$B$20,MATCH(B1770,Assumptions!$A$16:$A$20,0)))</f>
        <v>22012.704</v>
      </c>
      <c r="J1770" s="33" t="n">
        <f aca="false">H1770-I1770</f>
        <v>5437.296</v>
      </c>
      <c r="K1770" s="33" t="n">
        <f aca="false">IF(OR(E1770=0,E1770&gt;=7),0,D1770/(7-E1770)*E1770*INDEX(Products!$E$2:$E$49,MATCH(C1770,Products!$A$2:$A$49,0)))</f>
        <v>20587.5</v>
      </c>
    </row>
    <row r="1771" customFormat="false" ht="15" hidden="false" customHeight="false" outlineLevel="0" collapsed="false">
      <c r="A1771" s="36" t="n">
        <v>46251</v>
      </c>
      <c r="B1771" s="24" t="s">
        <v>62</v>
      </c>
      <c r="C1771" s="24" t="s">
        <v>159</v>
      </c>
      <c r="D1771" s="33" t="n">
        <v>118</v>
      </c>
      <c r="E1771" s="24" t="n">
        <v>0</v>
      </c>
      <c r="F1771" s="37" t="n">
        <f aca="false">DATE(YEAR(A1771),MONTH(A1771),1)</f>
        <v>46235</v>
      </c>
      <c r="G1771" s="24" t="str">
        <f aca="false">INDEX(Products!$C$2:$C$49,MATCH(C1771,Products!$A$2:$A$49,0))</f>
        <v>Beverages</v>
      </c>
      <c r="H1771" s="33" t="n">
        <f aca="false">D1771*INDEX(Products!$E$2:$E$49,MATCH(C1771,Products!$A$2:$A$49,0))</f>
        <v>53100</v>
      </c>
      <c r="I1771" s="33" t="n">
        <f aca="false">D1771*INDEX(Products!$D$2:$D$49,MATCH(C1771,Products!$A$2:$A$49,0))*(1+INDEX(Assumptions!$B$16:$B$20,MATCH(B1771,Assumptions!$A$16:$A$20,0)))</f>
        <v>42581.952</v>
      </c>
      <c r="J1771" s="33" t="n">
        <f aca="false">H1771-I1771</f>
        <v>10518.048</v>
      </c>
      <c r="K1771" s="33" t="n">
        <f aca="false">IF(OR(E1771=0,E1771&gt;=7),0,D1771/(7-E1771)*E1771*INDEX(Products!$E$2:$E$49,MATCH(C1771,Products!$A$2:$A$49,0)))</f>
        <v>0</v>
      </c>
    </row>
    <row r="1772" customFormat="false" ht="15" hidden="false" customHeight="false" outlineLevel="0" collapsed="false">
      <c r="A1772" s="36" t="n">
        <v>46258</v>
      </c>
      <c r="B1772" s="24" t="s">
        <v>62</v>
      </c>
      <c r="C1772" s="24" t="s">
        <v>159</v>
      </c>
      <c r="D1772" s="33" t="n">
        <v>126</v>
      </c>
      <c r="E1772" s="24" t="n">
        <v>0</v>
      </c>
      <c r="F1772" s="37" t="n">
        <f aca="false">DATE(YEAR(A1772),MONTH(A1772),1)</f>
        <v>46235</v>
      </c>
      <c r="G1772" s="24" t="str">
        <f aca="false">INDEX(Products!$C$2:$C$49,MATCH(C1772,Products!$A$2:$A$49,0))</f>
        <v>Beverages</v>
      </c>
      <c r="H1772" s="33" t="n">
        <f aca="false">D1772*INDEX(Products!$E$2:$E$49,MATCH(C1772,Products!$A$2:$A$49,0))</f>
        <v>56700</v>
      </c>
      <c r="I1772" s="33" t="n">
        <f aca="false">D1772*INDEX(Products!$D$2:$D$49,MATCH(C1772,Products!$A$2:$A$49,0))*(1+INDEX(Assumptions!$B$16:$B$20,MATCH(B1772,Assumptions!$A$16:$A$20,0)))</f>
        <v>45468.864</v>
      </c>
      <c r="J1772" s="33" t="n">
        <f aca="false">H1772-I1772</f>
        <v>11231.136</v>
      </c>
      <c r="K1772" s="33" t="n">
        <f aca="false">IF(OR(E1772=0,E1772&gt;=7),0,D1772/(7-E1772)*E1772*INDEX(Products!$E$2:$E$49,MATCH(C1772,Products!$A$2:$A$49,0)))</f>
        <v>0</v>
      </c>
    </row>
    <row r="1773" customFormat="false" ht="15" hidden="false" customHeight="false" outlineLevel="0" collapsed="false">
      <c r="A1773" s="36" t="n">
        <v>46265</v>
      </c>
      <c r="B1773" s="24" t="s">
        <v>62</v>
      </c>
      <c r="C1773" s="24" t="s">
        <v>159</v>
      </c>
      <c r="D1773" s="33" t="n">
        <v>141</v>
      </c>
      <c r="E1773" s="24" t="n">
        <v>0</v>
      </c>
      <c r="F1773" s="37" t="n">
        <f aca="false">DATE(YEAR(A1773),MONTH(A1773),1)</f>
        <v>46235</v>
      </c>
      <c r="G1773" s="24" t="str">
        <f aca="false">INDEX(Products!$C$2:$C$49,MATCH(C1773,Products!$A$2:$A$49,0))</f>
        <v>Beverages</v>
      </c>
      <c r="H1773" s="33" t="n">
        <f aca="false">D1773*INDEX(Products!$E$2:$E$49,MATCH(C1773,Products!$A$2:$A$49,0))</f>
        <v>63450</v>
      </c>
      <c r="I1773" s="33" t="n">
        <f aca="false">D1773*INDEX(Products!$D$2:$D$49,MATCH(C1773,Products!$A$2:$A$49,0))*(1+INDEX(Assumptions!$B$16:$B$20,MATCH(B1773,Assumptions!$A$16:$A$20,0)))</f>
        <v>50881.824</v>
      </c>
      <c r="J1773" s="33" t="n">
        <f aca="false">H1773-I1773</f>
        <v>12568.176</v>
      </c>
      <c r="K1773" s="33" t="n">
        <f aca="false">IF(OR(E1773=0,E1773&gt;=7),0,D1773/(7-E1773)*E1773*INDEX(Products!$E$2:$E$49,MATCH(C1773,Products!$A$2:$A$49,0)))</f>
        <v>0</v>
      </c>
    </row>
    <row r="1774" customFormat="false" ht="15" hidden="false" customHeight="false" outlineLevel="0" collapsed="false">
      <c r="A1774" s="36" t="n">
        <v>46272</v>
      </c>
      <c r="B1774" s="24" t="s">
        <v>62</v>
      </c>
      <c r="C1774" s="24" t="s">
        <v>159</v>
      </c>
      <c r="D1774" s="33" t="n">
        <v>112</v>
      </c>
      <c r="E1774" s="24" t="n">
        <v>0</v>
      </c>
      <c r="F1774" s="37" t="n">
        <f aca="false">DATE(YEAR(A1774),MONTH(A1774),1)</f>
        <v>46266</v>
      </c>
      <c r="G1774" s="24" t="str">
        <f aca="false">INDEX(Products!$C$2:$C$49,MATCH(C1774,Products!$A$2:$A$49,0))</f>
        <v>Beverages</v>
      </c>
      <c r="H1774" s="33" t="n">
        <f aca="false">D1774*INDEX(Products!$E$2:$E$49,MATCH(C1774,Products!$A$2:$A$49,0))</f>
        <v>50400</v>
      </c>
      <c r="I1774" s="33" t="n">
        <f aca="false">D1774*INDEX(Products!$D$2:$D$49,MATCH(C1774,Products!$A$2:$A$49,0))*(1+INDEX(Assumptions!$B$16:$B$20,MATCH(B1774,Assumptions!$A$16:$A$20,0)))</f>
        <v>40416.768</v>
      </c>
      <c r="J1774" s="33" t="n">
        <f aca="false">H1774-I1774</f>
        <v>9983.232</v>
      </c>
      <c r="K1774" s="33" t="n">
        <f aca="false">IF(OR(E1774=0,E1774&gt;=7),0,D1774/(7-E1774)*E1774*INDEX(Products!$E$2:$E$49,MATCH(C1774,Products!$A$2:$A$49,0)))</f>
        <v>0</v>
      </c>
    </row>
    <row r="1775" customFormat="false" ht="15" hidden="false" customHeight="false" outlineLevel="0" collapsed="false">
      <c r="A1775" s="36" t="n">
        <v>46279</v>
      </c>
      <c r="B1775" s="24" t="s">
        <v>62</v>
      </c>
      <c r="C1775" s="24" t="s">
        <v>159</v>
      </c>
      <c r="D1775" s="33" t="n">
        <v>114</v>
      </c>
      <c r="E1775" s="24" t="n">
        <v>0</v>
      </c>
      <c r="F1775" s="37" t="n">
        <f aca="false">DATE(YEAR(A1775),MONTH(A1775),1)</f>
        <v>46266</v>
      </c>
      <c r="G1775" s="24" t="str">
        <f aca="false">INDEX(Products!$C$2:$C$49,MATCH(C1775,Products!$A$2:$A$49,0))</f>
        <v>Beverages</v>
      </c>
      <c r="H1775" s="33" t="n">
        <f aca="false">D1775*INDEX(Products!$E$2:$E$49,MATCH(C1775,Products!$A$2:$A$49,0))</f>
        <v>51300</v>
      </c>
      <c r="I1775" s="33" t="n">
        <f aca="false">D1775*INDEX(Products!$D$2:$D$49,MATCH(C1775,Products!$A$2:$A$49,0))*(1+INDEX(Assumptions!$B$16:$B$20,MATCH(B1775,Assumptions!$A$16:$A$20,0)))</f>
        <v>41138.496</v>
      </c>
      <c r="J1775" s="33" t="n">
        <f aca="false">H1775-I1775</f>
        <v>10161.504</v>
      </c>
      <c r="K1775" s="33" t="n">
        <f aca="false">IF(OR(E1775=0,E1775&gt;=7),0,D1775/(7-E1775)*E1775*INDEX(Products!$E$2:$E$49,MATCH(C1775,Products!$A$2:$A$49,0)))</f>
        <v>0</v>
      </c>
    </row>
    <row r="1776" customFormat="false" ht="15" hidden="false" customHeight="false" outlineLevel="0" collapsed="false">
      <c r="A1776" s="36" t="n">
        <v>46286</v>
      </c>
      <c r="B1776" s="24" t="s">
        <v>62</v>
      </c>
      <c r="C1776" s="24" t="s">
        <v>159</v>
      </c>
      <c r="D1776" s="33" t="n">
        <v>113</v>
      </c>
      <c r="E1776" s="24" t="n">
        <v>0</v>
      </c>
      <c r="F1776" s="37" t="n">
        <f aca="false">DATE(YEAR(A1776),MONTH(A1776),1)</f>
        <v>46266</v>
      </c>
      <c r="G1776" s="24" t="str">
        <f aca="false">INDEX(Products!$C$2:$C$49,MATCH(C1776,Products!$A$2:$A$49,0))</f>
        <v>Beverages</v>
      </c>
      <c r="H1776" s="33" t="n">
        <f aca="false">D1776*INDEX(Products!$E$2:$E$49,MATCH(C1776,Products!$A$2:$A$49,0))</f>
        <v>50850</v>
      </c>
      <c r="I1776" s="33" t="n">
        <f aca="false">D1776*INDEX(Products!$D$2:$D$49,MATCH(C1776,Products!$A$2:$A$49,0))*(1+INDEX(Assumptions!$B$16:$B$20,MATCH(B1776,Assumptions!$A$16:$A$20,0)))</f>
        <v>40777.632</v>
      </c>
      <c r="J1776" s="33" t="n">
        <f aca="false">H1776-I1776</f>
        <v>10072.368</v>
      </c>
      <c r="K1776" s="33" t="n">
        <f aca="false">IF(OR(E1776=0,E1776&gt;=7),0,D1776/(7-E1776)*E1776*INDEX(Products!$E$2:$E$49,MATCH(C1776,Products!$A$2:$A$49,0)))</f>
        <v>0</v>
      </c>
    </row>
    <row r="1777" customFormat="false" ht="15" hidden="false" customHeight="false" outlineLevel="0" collapsed="false">
      <c r="A1777" s="36" t="n">
        <v>46118</v>
      </c>
      <c r="B1777" s="24" t="s">
        <v>62</v>
      </c>
      <c r="C1777" s="24" t="s">
        <v>161</v>
      </c>
      <c r="D1777" s="33" t="n">
        <v>76</v>
      </c>
      <c r="E1777" s="24" t="n">
        <v>0</v>
      </c>
      <c r="F1777" s="37" t="n">
        <f aca="false">DATE(YEAR(A1777),MONTH(A1777),1)</f>
        <v>46113</v>
      </c>
      <c r="G1777" s="24" t="str">
        <f aca="false">INDEX(Products!$C$2:$C$49,MATCH(C1777,Products!$A$2:$A$49,0))</f>
        <v>Beverages</v>
      </c>
      <c r="H1777" s="33" t="n">
        <f aca="false">D1777*INDEX(Products!$E$2:$E$49,MATCH(C1777,Products!$A$2:$A$49,0))</f>
        <v>28880</v>
      </c>
      <c r="I1777" s="33" t="n">
        <f aca="false">D1777*INDEX(Products!$D$2:$D$49,MATCH(C1777,Products!$A$2:$A$49,0))*(1+INDEX(Assumptions!$B$16:$B$20,MATCH(B1777,Assumptions!$A$16:$A$20,0)))</f>
        <v>23212.224</v>
      </c>
      <c r="J1777" s="33" t="n">
        <f aca="false">H1777-I1777</f>
        <v>5667.776</v>
      </c>
      <c r="K1777" s="33" t="n">
        <f aca="false">IF(OR(E1777=0,E1777&gt;=7),0,D1777/(7-E1777)*E1777*INDEX(Products!$E$2:$E$49,MATCH(C1777,Products!$A$2:$A$49,0)))</f>
        <v>0</v>
      </c>
    </row>
    <row r="1778" customFormat="false" ht="15" hidden="false" customHeight="false" outlineLevel="0" collapsed="false">
      <c r="A1778" s="36" t="n">
        <v>46125</v>
      </c>
      <c r="B1778" s="24" t="s">
        <v>62</v>
      </c>
      <c r="C1778" s="24" t="s">
        <v>161</v>
      </c>
      <c r="D1778" s="33" t="n">
        <v>81</v>
      </c>
      <c r="E1778" s="24" t="n">
        <v>0</v>
      </c>
      <c r="F1778" s="37" t="n">
        <f aca="false">DATE(YEAR(A1778),MONTH(A1778),1)</f>
        <v>46113</v>
      </c>
      <c r="G1778" s="24" t="str">
        <f aca="false">INDEX(Products!$C$2:$C$49,MATCH(C1778,Products!$A$2:$A$49,0))</f>
        <v>Beverages</v>
      </c>
      <c r="H1778" s="33" t="n">
        <f aca="false">D1778*INDEX(Products!$E$2:$E$49,MATCH(C1778,Products!$A$2:$A$49,0))</f>
        <v>30780</v>
      </c>
      <c r="I1778" s="33" t="n">
        <f aca="false">D1778*INDEX(Products!$D$2:$D$49,MATCH(C1778,Products!$A$2:$A$49,0))*(1+INDEX(Assumptions!$B$16:$B$20,MATCH(B1778,Assumptions!$A$16:$A$20,0)))</f>
        <v>24739.344</v>
      </c>
      <c r="J1778" s="33" t="n">
        <f aca="false">H1778-I1778</f>
        <v>6040.656</v>
      </c>
      <c r="K1778" s="33" t="n">
        <f aca="false">IF(OR(E1778=0,E1778&gt;=7),0,D1778/(7-E1778)*E1778*INDEX(Products!$E$2:$E$49,MATCH(C1778,Products!$A$2:$A$49,0)))</f>
        <v>0</v>
      </c>
    </row>
    <row r="1779" customFormat="false" ht="15" hidden="false" customHeight="false" outlineLevel="0" collapsed="false">
      <c r="A1779" s="36" t="n">
        <v>46132</v>
      </c>
      <c r="B1779" s="24" t="s">
        <v>62</v>
      </c>
      <c r="C1779" s="24" t="s">
        <v>161</v>
      </c>
      <c r="D1779" s="33" t="n">
        <v>97</v>
      </c>
      <c r="E1779" s="24" t="n">
        <v>0</v>
      </c>
      <c r="F1779" s="37" t="n">
        <f aca="false">DATE(YEAR(A1779),MONTH(A1779),1)</f>
        <v>46113</v>
      </c>
      <c r="G1779" s="24" t="str">
        <f aca="false">INDEX(Products!$C$2:$C$49,MATCH(C1779,Products!$A$2:$A$49,0))</f>
        <v>Beverages</v>
      </c>
      <c r="H1779" s="33" t="n">
        <f aca="false">D1779*INDEX(Products!$E$2:$E$49,MATCH(C1779,Products!$A$2:$A$49,0))</f>
        <v>36860</v>
      </c>
      <c r="I1779" s="33" t="n">
        <f aca="false">D1779*INDEX(Products!$D$2:$D$49,MATCH(C1779,Products!$A$2:$A$49,0))*(1+INDEX(Assumptions!$B$16:$B$20,MATCH(B1779,Assumptions!$A$16:$A$20,0)))</f>
        <v>29626.128</v>
      </c>
      <c r="J1779" s="33" t="n">
        <f aca="false">H1779-I1779</f>
        <v>7233.872</v>
      </c>
      <c r="K1779" s="33" t="n">
        <f aca="false">IF(OR(E1779=0,E1779&gt;=7),0,D1779/(7-E1779)*E1779*INDEX(Products!$E$2:$E$49,MATCH(C1779,Products!$A$2:$A$49,0)))</f>
        <v>0</v>
      </c>
    </row>
    <row r="1780" customFormat="false" ht="15" hidden="false" customHeight="false" outlineLevel="0" collapsed="false">
      <c r="A1780" s="36" t="n">
        <v>46139</v>
      </c>
      <c r="B1780" s="24" t="s">
        <v>62</v>
      </c>
      <c r="C1780" s="24" t="s">
        <v>161</v>
      </c>
      <c r="D1780" s="33" t="n">
        <v>152</v>
      </c>
      <c r="E1780" s="24" t="n">
        <v>0</v>
      </c>
      <c r="F1780" s="37" t="n">
        <f aca="false">DATE(YEAR(A1780),MONTH(A1780),1)</f>
        <v>46113</v>
      </c>
      <c r="G1780" s="24" t="str">
        <f aca="false">INDEX(Products!$C$2:$C$49,MATCH(C1780,Products!$A$2:$A$49,0))</f>
        <v>Beverages</v>
      </c>
      <c r="H1780" s="33" t="n">
        <f aca="false">D1780*INDEX(Products!$E$2:$E$49,MATCH(C1780,Products!$A$2:$A$49,0))</f>
        <v>57760</v>
      </c>
      <c r="I1780" s="33" t="n">
        <f aca="false">D1780*INDEX(Products!$D$2:$D$49,MATCH(C1780,Products!$A$2:$A$49,0))*(1+INDEX(Assumptions!$B$16:$B$20,MATCH(B1780,Assumptions!$A$16:$A$20,0)))</f>
        <v>46424.448</v>
      </c>
      <c r="J1780" s="33" t="n">
        <f aca="false">H1780-I1780</f>
        <v>11335.552</v>
      </c>
      <c r="K1780" s="33" t="n">
        <f aca="false">IF(OR(E1780=0,E1780&gt;=7),0,D1780/(7-E1780)*E1780*INDEX(Products!$E$2:$E$49,MATCH(C1780,Products!$A$2:$A$49,0)))</f>
        <v>0</v>
      </c>
    </row>
    <row r="1781" customFormat="false" ht="15" hidden="false" customHeight="false" outlineLevel="0" collapsed="false">
      <c r="A1781" s="36" t="n">
        <v>46146</v>
      </c>
      <c r="B1781" s="24" t="s">
        <v>62</v>
      </c>
      <c r="C1781" s="24" t="s">
        <v>161</v>
      </c>
      <c r="D1781" s="33" t="n">
        <v>65</v>
      </c>
      <c r="E1781" s="24" t="n">
        <v>3</v>
      </c>
      <c r="F1781" s="37" t="n">
        <f aca="false">DATE(YEAR(A1781),MONTH(A1781),1)</f>
        <v>46143</v>
      </c>
      <c r="G1781" s="24" t="str">
        <f aca="false">INDEX(Products!$C$2:$C$49,MATCH(C1781,Products!$A$2:$A$49,0))</f>
        <v>Beverages</v>
      </c>
      <c r="H1781" s="33" t="n">
        <f aca="false">D1781*INDEX(Products!$E$2:$E$49,MATCH(C1781,Products!$A$2:$A$49,0))</f>
        <v>24700</v>
      </c>
      <c r="I1781" s="33" t="n">
        <f aca="false">D1781*INDEX(Products!$D$2:$D$49,MATCH(C1781,Products!$A$2:$A$49,0))*(1+INDEX(Assumptions!$B$16:$B$20,MATCH(B1781,Assumptions!$A$16:$A$20,0)))</f>
        <v>19852.56</v>
      </c>
      <c r="J1781" s="33" t="n">
        <f aca="false">H1781-I1781</f>
        <v>4847.44</v>
      </c>
      <c r="K1781" s="33" t="n">
        <f aca="false">IF(OR(E1781=0,E1781&gt;=7),0,D1781/(7-E1781)*E1781*INDEX(Products!$E$2:$E$49,MATCH(C1781,Products!$A$2:$A$49,0)))</f>
        <v>18525</v>
      </c>
    </row>
    <row r="1782" customFormat="false" ht="15" hidden="false" customHeight="false" outlineLevel="0" collapsed="false">
      <c r="A1782" s="36" t="n">
        <v>46153</v>
      </c>
      <c r="B1782" s="24" t="s">
        <v>62</v>
      </c>
      <c r="C1782" s="24" t="s">
        <v>161</v>
      </c>
      <c r="D1782" s="33" t="n">
        <v>87</v>
      </c>
      <c r="E1782" s="24" t="n">
        <v>0</v>
      </c>
      <c r="F1782" s="37" t="n">
        <f aca="false">DATE(YEAR(A1782),MONTH(A1782),1)</f>
        <v>46143</v>
      </c>
      <c r="G1782" s="24" t="str">
        <f aca="false">INDEX(Products!$C$2:$C$49,MATCH(C1782,Products!$A$2:$A$49,0))</f>
        <v>Beverages</v>
      </c>
      <c r="H1782" s="33" t="n">
        <f aca="false">D1782*INDEX(Products!$E$2:$E$49,MATCH(C1782,Products!$A$2:$A$49,0))</f>
        <v>33060</v>
      </c>
      <c r="I1782" s="33" t="n">
        <f aca="false">D1782*INDEX(Products!$D$2:$D$49,MATCH(C1782,Products!$A$2:$A$49,0))*(1+INDEX(Assumptions!$B$16:$B$20,MATCH(B1782,Assumptions!$A$16:$A$20,0)))</f>
        <v>26571.888</v>
      </c>
      <c r="J1782" s="33" t="n">
        <f aca="false">H1782-I1782</f>
        <v>6488.112</v>
      </c>
      <c r="K1782" s="33" t="n">
        <f aca="false">IF(OR(E1782=0,E1782&gt;=7),0,D1782/(7-E1782)*E1782*INDEX(Products!$E$2:$E$49,MATCH(C1782,Products!$A$2:$A$49,0)))</f>
        <v>0</v>
      </c>
    </row>
    <row r="1783" customFormat="false" ht="15" hidden="false" customHeight="false" outlineLevel="0" collapsed="false">
      <c r="A1783" s="36" t="n">
        <v>46160</v>
      </c>
      <c r="B1783" s="24" t="s">
        <v>62</v>
      </c>
      <c r="C1783" s="24" t="s">
        <v>161</v>
      </c>
      <c r="D1783" s="33" t="n">
        <v>80</v>
      </c>
      <c r="E1783" s="24" t="n">
        <v>0</v>
      </c>
      <c r="F1783" s="37" t="n">
        <f aca="false">DATE(YEAR(A1783),MONTH(A1783),1)</f>
        <v>46143</v>
      </c>
      <c r="G1783" s="24" t="str">
        <f aca="false">INDEX(Products!$C$2:$C$49,MATCH(C1783,Products!$A$2:$A$49,0))</f>
        <v>Beverages</v>
      </c>
      <c r="H1783" s="33" t="n">
        <f aca="false">D1783*INDEX(Products!$E$2:$E$49,MATCH(C1783,Products!$A$2:$A$49,0))</f>
        <v>30400</v>
      </c>
      <c r="I1783" s="33" t="n">
        <f aca="false">D1783*INDEX(Products!$D$2:$D$49,MATCH(C1783,Products!$A$2:$A$49,0))*(1+INDEX(Assumptions!$B$16:$B$20,MATCH(B1783,Assumptions!$A$16:$A$20,0)))</f>
        <v>24433.92</v>
      </c>
      <c r="J1783" s="33" t="n">
        <f aca="false">H1783-I1783</f>
        <v>5966.08</v>
      </c>
      <c r="K1783" s="33" t="n">
        <f aca="false">IF(OR(E1783=0,E1783&gt;=7),0,D1783/(7-E1783)*E1783*INDEX(Products!$E$2:$E$49,MATCH(C1783,Products!$A$2:$A$49,0)))</f>
        <v>0</v>
      </c>
    </row>
    <row r="1784" customFormat="false" ht="15" hidden="false" customHeight="false" outlineLevel="0" collapsed="false">
      <c r="A1784" s="36" t="n">
        <v>46167</v>
      </c>
      <c r="B1784" s="24" t="s">
        <v>62</v>
      </c>
      <c r="C1784" s="24" t="s">
        <v>161</v>
      </c>
      <c r="D1784" s="33" t="n">
        <v>80</v>
      </c>
      <c r="E1784" s="24" t="n">
        <v>0</v>
      </c>
      <c r="F1784" s="37" t="n">
        <f aca="false">DATE(YEAR(A1784),MONTH(A1784),1)</f>
        <v>46143</v>
      </c>
      <c r="G1784" s="24" t="str">
        <f aca="false">INDEX(Products!$C$2:$C$49,MATCH(C1784,Products!$A$2:$A$49,0))</f>
        <v>Beverages</v>
      </c>
      <c r="H1784" s="33" t="n">
        <f aca="false">D1784*INDEX(Products!$E$2:$E$49,MATCH(C1784,Products!$A$2:$A$49,0))</f>
        <v>30400</v>
      </c>
      <c r="I1784" s="33" t="n">
        <f aca="false">D1784*INDEX(Products!$D$2:$D$49,MATCH(C1784,Products!$A$2:$A$49,0))*(1+INDEX(Assumptions!$B$16:$B$20,MATCH(B1784,Assumptions!$A$16:$A$20,0)))</f>
        <v>24433.92</v>
      </c>
      <c r="J1784" s="33" t="n">
        <f aca="false">H1784-I1784</f>
        <v>5966.08</v>
      </c>
      <c r="K1784" s="33" t="n">
        <f aca="false">IF(OR(E1784=0,E1784&gt;=7),0,D1784/(7-E1784)*E1784*INDEX(Products!$E$2:$E$49,MATCH(C1784,Products!$A$2:$A$49,0)))</f>
        <v>0</v>
      </c>
    </row>
    <row r="1785" customFormat="false" ht="15" hidden="false" customHeight="false" outlineLevel="0" collapsed="false">
      <c r="A1785" s="36" t="n">
        <v>46174</v>
      </c>
      <c r="B1785" s="24" t="s">
        <v>62</v>
      </c>
      <c r="C1785" s="24" t="s">
        <v>161</v>
      </c>
      <c r="D1785" s="33" t="n">
        <v>95</v>
      </c>
      <c r="E1785" s="24" t="n">
        <v>0</v>
      </c>
      <c r="F1785" s="37" t="n">
        <f aca="false">DATE(YEAR(A1785),MONTH(A1785),1)</f>
        <v>46174</v>
      </c>
      <c r="G1785" s="24" t="str">
        <f aca="false">INDEX(Products!$C$2:$C$49,MATCH(C1785,Products!$A$2:$A$49,0))</f>
        <v>Beverages</v>
      </c>
      <c r="H1785" s="33" t="n">
        <f aca="false">D1785*INDEX(Products!$E$2:$E$49,MATCH(C1785,Products!$A$2:$A$49,0))</f>
        <v>36100</v>
      </c>
      <c r="I1785" s="33" t="n">
        <f aca="false">D1785*INDEX(Products!$D$2:$D$49,MATCH(C1785,Products!$A$2:$A$49,0))*(1+INDEX(Assumptions!$B$16:$B$20,MATCH(B1785,Assumptions!$A$16:$A$20,0)))</f>
        <v>29015.28</v>
      </c>
      <c r="J1785" s="33" t="n">
        <f aca="false">H1785-I1785</f>
        <v>7084.72</v>
      </c>
      <c r="K1785" s="33" t="n">
        <f aca="false">IF(OR(E1785=0,E1785&gt;=7),0,D1785/(7-E1785)*E1785*INDEX(Products!$E$2:$E$49,MATCH(C1785,Products!$A$2:$A$49,0)))</f>
        <v>0</v>
      </c>
    </row>
    <row r="1786" customFormat="false" ht="15" hidden="false" customHeight="false" outlineLevel="0" collapsed="false">
      <c r="A1786" s="36" t="n">
        <v>46181</v>
      </c>
      <c r="B1786" s="24" t="s">
        <v>62</v>
      </c>
      <c r="C1786" s="24" t="s">
        <v>161</v>
      </c>
      <c r="D1786" s="33" t="n">
        <v>105</v>
      </c>
      <c r="E1786" s="24" t="n">
        <v>0</v>
      </c>
      <c r="F1786" s="37" t="n">
        <f aca="false">DATE(YEAR(A1786),MONTH(A1786),1)</f>
        <v>46174</v>
      </c>
      <c r="G1786" s="24" t="str">
        <f aca="false">INDEX(Products!$C$2:$C$49,MATCH(C1786,Products!$A$2:$A$49,0))</f>
        <v>Beverages</v>
      </c>
      <c r="H1786" s="33" t="n">
        <f aca="false">D1786*INDEX(Products!$E$2:$E$49,MATCH(C1786,Products!$A$2:$A$49,0))</f>
        <v>39900</v>
      </c>
      <c r="I1786" s="33" t="n">
        <f aca="false">D1786*INDEX(Products!$D$2:$D$49,MATCH(C1786,Products!$A$2:$A$49,0))*(1+INDEX(Assumptions!$B$16:$B$20,MATCH(B1786,Assumptions!$A$16:$A$20,0)))</f>
        <v>32069.52</v>
      </c>
      <c r="J1786" s="33" t="n">
        <f aca="false">H1786-I1786</f>
        <v>7830.48</v>
      </c>
      <c r="K1786" s="33" t="n">
        <f aca="false">IF(OR(E1786=0,E1786&gt;=7),0,D1786/(7-E1786)*E1786*INDEX(Products!$E$2:$E$49,MATCH(C1786,Products!$A$2:$A$49,0)))</f>
        <v>0</v>
      </c>
    </row>
    <row r="1787" customFormat="false" ht="15" hidden="false" customHeight="false" outlineLevel="0" collapsed="false">
      <c r="A1787" s="36" t="n">
        <v>46188</v>
      </c>
      <c r="B1787" s="24" t="s">
        <v>62</v>
      </c>
      <c r="C1787" s="24" t="s">
        <v>161</v>
      </c>
      <c r="D1787" s="33" t="n">
        <v>89</v>
      </c>
      <c r="E1787" s="24" t="n">
        <v>0</v>
      </c>
      <c r="F1787" s="37" t="n">
        <f aca="false">DATE(YEAR(A1787),MONTH(A1787),1)</f>
        <v>46174</v>
      </c>
      <c r="G1787" s="24" t="str">
        <f aca="false">INDEX(Products!$C$2:$C$49,MATCH(C1787,Products!$A$2:$A$49,0))</f>
        <v>Beverages</v>
      </c>
      <c r="H1787" s="33" t="n">
        <f aca="false">D1787*INDEX(Products!$E$2:$E$49,MATCH(C1787,Products!$A$2:$A$49,0))</f>
        <v>33820</v>
      </c>
      <c r="I1787" s="33" t="n">
        <f aca="false">D1787*INDEX(Products!$D$2:$D$49,MATCH(C1787,Products!$A$2:$A$49,0))*(1+INDEX(Assumptions!$B$16:$B$20,MATCH(B1787,Assumptions!$A$16:$A$20,0)))</f>
        <v>27182.736</v>
      </c>
      <c r="J1787" s="33" t="n">
        <f aca="false">H1787-I1787</f>
        <v>6637.264</v>
      </c>
      <c r="K1787" s="33" t="n">
        <f aca="false">IF(OR(E1787=0,E1787&gt;=7),0,D1787/(7-E1787)*E1787*INDEX(Products!$E$2:$E$49,MATCH(C1787,Products!$A$2:$A$49,0)))</f>
        <v>0</v>
      </c>
    </row>
    <row r="1788" customFormat="false" ht="15" hidden="false" customHeight="false" outlineLevel="0" collapsed="false">
      <c r="A1788" s="36" t="n">
        <v>46195</v>
      </c>
      <c r="B1788" s="24" t="s">
        <v>62</v>
      </c>
      <c r="C1788" s="24" t="s">
        <v>161</v>
      </c>
      <c r="D1788" s="33" t="n">
        <v>98</v>
      </c>
      <c r="E1788" s="24" t="n">
        <v>0</v>
      </c>
      <c r="F1788" s="37" t="n">
        <f aca="false">DATE(YEAR(A1788),MONTH(A1788),1)</f>
        <v>46174</v>
      </c>
      <c r="G1788" s="24" t="str">
        <f aca="false">INDEX(Products!$C$2:$C$49,MATCH(C1788,Products!$A$2:$A$49,0))</f>
        <v>Beverages</v>
      </c>
      <c r="H1788" s="33" t="n">
        <f aca="false">D1788*INDEX(Products!$E$2:$E$49,MATCH(C1788,Products!$A$2:$A$49,0))</f>
        <v>37240</v>
      </c>
      <c r="I1788" s="33" t="n">
        <f aca="false">D1788*INDEX(Products!$D$2:$D$49,MATCH(C1788,Products!$A$2:$A$49,0))*(1+INDEX(Assumptions!$B$16:$B$20,MATCH(B1788,Assumptions!$A$16:$A$20,0)))</f>
        <v>29931.552</v>
      </c>
      <c r="J1788" s="33" t="n">
        <f aca="false">H1788-I1788</f>
        <v>7308.448</v>
      </c>
      <c r="K1788" s="33" t="n">
        <f aca="false">IF(OR(E1788=0,E1788&gt;=7),0,D1788/(7-E1788)*E1788*INDEX(Products!$E$2:$E$49,MATCH(C1788,Products!$A$2:$A$49,0)))</f>
        <v>0</v>
      </c>
    </row>
    <row r="1789" customFormat="false" ht="15" hidden="false" customHeight="false" outlineLevel="0" collapsed="false">
      <c r="A1789" s="36" t="n">
        <v>46202</v>
      </c>
      <c r="B1789" s="24" t="s">
        <v>62</v>
      </c>
      <c r="C1789" s="24" t="s">
        <v>161</v>
      </c>
      <c r="D1789" s="33" t="n">
        <v>84</v>
      </c>
      <c r="E1789" s="24" t="n">
        <v>0</v>
      </c>
      <c r="F1789" s="37" t="n">
        <f aca="false">DATE(YEAR(A1789),MONTH(A1789),1)</f>
        <v>46174</v>
      </c>
      <c r="G1789" s="24" t="str">
        <f aca="false">INDEX(Products!$C$2:$C$49,MATCH(C1789,Products!$A$2:$A$49,0))</f>
        <v>Beverages</v>
      </c>
      <c r="H1789" s="33" t="n">
        <f aca="false">D1789*INDEX(Products!$E$2:$E$49,MATCH(C1789,Products!$A$2:$A$49,0))</f>
        <v>31920</v>
      </c>
      <c r="I1789" s="33" t="n">
        <f aca="false">D1789*INDEX(Products!$D$2:$D$49,MATCH(C1789,Products!$A$2:$A$49,0))*(1+INDEX(Assumptions!$B$16:$B$20,MATCH(B1789,Assumptions!$A$16:$A$20,0)))</f>
        <v>25655.616</v>
      </c>
      <c r="J1789" s="33" t="n">
        <f aca="false">H1789-I1789</f>
        <v>6264.384</v>
      </c>
      <c r="K1789" s="33" t="n">
        <f aca="false">IF(OR(E1789=0,E1789&gt;=7),0,D1789/(7-E1789)*E1789*INDEX(Products!$E$2:$E$49,MATCH(C1789,Products!$A$2:$A$49,0)))</f>
        <v>0</v>
      </c>
    </row>
    <row r="1790" customFormat="false" ht="15" hidden="false" customHeight="false" outlineLevel="0" collapsed="false">
      <c r="A1790" s="36" t="n">
        <v>46209</v>
      </c>
      <c r="B1790" s="24" t="s">
        <v>62</v>
      </c>
      <c r="C1790" s="24" t="s">
        <v>161</v>
      </c>
      <c r="D1790" s="33" t="n">
        <v>76</v>
      </c>
      <c r="E1790" s="24" t="n">
        <v>0</v>
      </c>
      <c r="F1790" s="37" t="n">
        <f aca="false">DATE(YEAR(A1790),MONTH(A1790),1)</f>
        <v>46204</v>
      </c>
      <c r="G1790" s="24" t="str">
        <f aca="false">INDEX(Products!$C$2:$C$49,MATCH(C1790,Products!$A$2:$A$49,0))</f>
        <v>Beverages</v>
      </c>
      <c r="H1790" s="33" t="n">
        <f aca="false">D1790*INDEX(Products!$E$2:$E$49,MATCH(C1790,Products!$A$2:$A$49,0))</f>
        <v>28880</v>
      </c>
      <c r="I1790" s="33" t="n">
        <f aca="false">D1790*INDEX(Products!$D$2:$D$49,MATCH(C1790,Products!$A$2:$A$49,0))*(1+INDEX(Assumptions!$B$16:$B$20,MATCH(B1790,Assumptions!$A$16:$A$20,0)))</f>
        <v>23212.224</v>
      </c>
      <c r="J1790" s="33" t="n">
        <f aca="false">H1790-I1790</f>
        <v>5667.776</v>
      </c>
      <c r="K1790" s="33" t="n">
        <f aca="false">IF(OR(E1790=0,E1790&gt;=7),0,D1790/(7-E1790)*E1790*INDEX(Products!$E$2:$E$49,MATCH(C1790,Products!$A$2:$A$49,0)))</f>
        <v>0</v>
      </c>
    </row>
    <row r="1791" customFormat="false" ht="15" hidden="false" customHeight="false" outlineLevel="0" collapsed="false">
      <c r="A1791" s="36" t="n">
        <v>46216</v>
      </c>
      <c r="B1791" s="24" t="s">
        <v>62</v>
      </c>
      <c r="C1791" s="24" t="s">
        <v>161</v>
      </c>
      <c r="D1791" s="33" t="n">
        <v>70</v>
      </c>
      <c r="E1791" s="24" t="n">
        <v>0</v>
      </c>
      <c r="F1791" s="37" t="n">
        <f aca="false">DATE(YEAR(A1791),MONTH(A1791),1)</f>
        <v>46204</v>
      </c>
      <c r="G1791" s="24" t="str">
        <f aca="false">INDEX(Products!$C$2:$C$49,MATCH(C1791,Products!$A$2:$A$49,0))</f>
        <v>Beverages</v>
      </c>
      <c r="H1791" s="33" t="n">
        <f aca="false">D1791*INDEX(Products!$E$2:$E$49,MATCH(C1791,Products!$A$2:$A$49,0))</f>
        <v>26600</v>
      </c>
      <c r="I1791" s="33" t="n">
        <f aca="false">D1791*INDEX(Products!$D$2:$D$49,MATCH(C1791,Products!$A$2:$A$49,0))*(1+INDEX(Assumptions!$B$16:$B$20,MATCH(B1791,Assumptions!$A$16:$A$20,0)))</f>
        <v>21379.68</v>
      </c>
      <c r="J1791" s="33" t="n">
        <f aca="false">H1791-I1791</f>
        <v>5220.32</v>
      </c>
      <c r="K1791" s="33" t="n">
        <f aca="false">IF(OR(E1791=0,E1791&gt;=7),0,D1791/(7-E1791)*E1791*INDEX(Products!$E$2:$E$49,MATCH(C1791,Products!$A$2:$A$49,0)))</f>
        <v>0</v>
      </c>
    </row>
    <row r="1792" customFormat="false" ht="15" hidden="false" customHeight="false" outlineLevel="0" collapsed="false">
      <c r="A1792" s="36" t="n">
        <v>46223</v>
      </c>
      <c r="B1792" s="24" t="s">
        <v>62</v>
      </c>
      <c r="C1792" s="24" t="s">
        <v>161</v>
      </c>
      <c r="D1792" s="33" t="n">
        <v>93</v>
      </c>
      <c r="E1792" s="24" t="n">
        <v>0</v>
      </c>
      <c r="F1792" s="37" t="n">
        <f aca="false">DATE(YEAR(A1792),MONTH(A1792),1)</f>
        <v>46204</v>
      </c>
      <c r="G1792" s="24" t="str">
        <f aca="false">INDEX(Products!$C$2:$C$49,MATCH(C1792,Products!$A$2:$A$49,0))</f>
        <v>Beverages</v>
      </c>
      <c r="H1792" s="33" t="n">
        <f aca="false">D1792*INDEX(Products!$E$2:$E$49,MATCH(C1792,Products!$A$2:$A$49,0))</f>
        <v>35340</v>
      </c>
      <c r="I1792" s="33" t="n">
        <f aca="false">D1792*INDEX(Products!$D$2:$D$49,MATCH(C1792,Products!$A$2:$A$49,0))*(1+INDEX(Assumptions!$B$16:$B$20,MATCH(B1792,Assumptions!$A$16:$A$20,0)))</f>
        <v>28404.432</v>
      </c>
      <c r="J1792" s="33" t="n">
        <f aca="false">H1792-I1792</f>
        <v>6935.568</v>
      </c>
      <c r="K1792" s="33" t="n">
        <f aca="false">IF(OR(E1792=0,E1792&gt;=7),0,D1792/(7-E1792)*E1792*INDEX(Products!$E$2:$E$49,MATCH(C1792,Products!$A$2:$A$49,0)))</f>
        <v>0</v>
      </c>
    </row>
    <row r="1793" customFormat="false" ht="15" hidden="false" customHeight="false" outlineLevel="0" collapsed="false">
      <c r="A1793" s="36" t="n">
        <v>46230</v>
      </c>
      <c r="B1793" s="24" t="s">
        <v>62</v>
      </c>
      <c r="C1793" s="24" t="s">
        <v>161</v>
      </c>
      <c r="D1793" s="33" t="n">
        <v>77</v>
      </c>
      <c r="E1793" s="24" t="n">
        <v>0</v>
      </c>
      <c r="F1793" s="37" t="n">
        <f aca="false">DATE(YEAR(A1793),MONTH(A1793),1)</f>
        <v>46204</v>
      </c>
      <c r="G1793" s="24" t="str">
        <f aca="false">INDEX(Products!$C$2:$C$49,MATCH(C1793,Products!$A$2:$A$49,0))</f>
        <v>Beverages</v>
      </c>
      <c r="H1793" s="33" t="n">
        <f aca="false">D1793*INDEX(Products!$E$2:$E$49,MATCH(C1793,Products!$A$2:$A$49,0))</f>
        <v>29260</v>
      </c>
      <c r="I1793" s="33" t="n">
        <f aca="false">D1793*INDEX(Products!$D$2:$D$49,MATCH(C1793,Products!$A$2:$A$49,0))*(1+INDEX(Assumptions!$B$16:$B$20,MATCH(B1793,Assumptions!$A$16:$A$20,0)))</f>
        <v>23517.648</v>
      </c>
      <c r="J1793" s="33" t="n">
        <f aca="false">H1793-I1793</f>
        <v>5742.352</v>
      </c>
      <c r="K1793" s="33" t="n">
        <f aca="false">IF(OR(E1793=0,E1793&gt;=7),0,D1793/(7-E1793)*E1793*INDEX(Products!$E$2:$E$49,MATCH(C1793,Products!$A$2:$A$49,0)))</f>
        <v>0</v>
      </c>
    </row>
    <row r="1794" customFormat="false" ht="15" hidden="false" customHeight="false" outlineLevel="0" collapsed="false">
      <c r="A1794" s="36" t="n">
        <v>46237</v>
      </c>
      <c r="B1794" s="24" t="s">
        <v>62</v>
      </c>
      <c r="C1794" s="24" t="s">
        <v>161</v>
      </c>
      <c r="D1794" s="33" t="n">
        <v>99</v>
      </c>
      <c r="E1794" s="24" t="n">
        <v>0</v>
      </c>
      <c r="F1794" s="37" t="n">
        <f aca="false">DATE(YEAR(A1794),MONTH(A1794),1)</f>
        <v>46235</v>
      </c>
      <c r="G1794" s="24" t="str">
        <f aca="false">INDEX(Products!$C$2:$C$49,MATCH(C1794,Products!$A$2:$A$49,0))</f>
        <v>Beverages</v>
      </c>
      <c r="H1794" s="33" t="n">
        <f aca="false">D1794*INDEX(Products!$E$2:$E$49,MATCH(C1794,Products!$A$2:$A$49,0))</f>
        <v>37620</v>
      </c>
      <c r="I1794" s="33" t="n">
        <f aca="false">D1794*INDEX(Products!$D$2:$D$49,MATCH(C1794,Products!$A$2:$A$49,0))*(1+INDEX(Assumptions!$B$16:$B$20,MATCH(B1794,Assumptions!$A$16:$A$20,0)))</f>
        <v>30236.976</v>
      </c>
      <c r="J1794" s="33" t="n">
        <f aca="false">H1794-I1794</f>
        <v>7383.024</v>
      </c>
      <c r="K1794" s="33" t="n">
        <f aca="false">IF(OR(E1794=0,E1794&gt;=7),0,D1794/(7-E1794)*E1794*INDEX(Products!$E$2:$E$49,MATCH(C1794,Products!$A$2:$A$49,0)))</f>
        <v>0</v>
      </c>
    </row>
    <row r="1795" customFormat="false" ht="15" hidden="false" customHeight="false" outlineLevel="0" collapsed="false">
      <c r="A1795" s="36" t="n">
        <v>46244</v>
      </c>
      <c r="B1795" s="24" t="s">
        <v>62</v>
      </c>
      <c r="C1795" s="24" t="s">
        <v>161</v>
      </c>
      <c r="D1795" s="33" t="n">
        <v>72</v>
      </c>
      <c r="E1795" s="24" t="n">
        <v>0</v>
      </c>
      <c r="F1795" s="37" t="n">
        <f aca="false">DATE(YEAR(A1795),MONTH(A1795),1)</f>
        <v>46235</v>
      </c>
      <c r="G1795" s="24" t="str">
        <f aca="false">INDEX(Products!$C$2:$C$49,MATCH(C1795,Products!$A$2:$A$49,0))</f>
        <v>Beverages</v>
      </c>
      <c r="H1795" s="33" t="n">
        <f aca="false">D1795*INDEX(Products!$E$2:$E$49,MATCH(C1795,Products!$A$2:$A$49,0))</f>
        <v>27360</v>
      </c>
      <c r="I1795" s="33" t="n">
        <f aca="false">D1795*INDEX(Products!$D$2:$D$49,MATCH(C1795,Products!$A$2:$A$49,0))*(1+INDEX(Assumptions!$B$16:$B$20,MATCH(B1795,Assumptions!$A$16:$A$20,0)))</f>
        <v>21990.528</v>
      </c>
      <c r="J1795" s="33" t="n">
        <f aca="false">H1795-I1795</f>
        <v>5369.472</v>
      </c>
      <c r="K1795" s="33" t="n">
        <f aca="false">IF(OR(E1795=0,E1795&gt;=7),0,D1795/(7-E1795)*E1795*INDEX(Products!$E$2:$E$49,MATCH(C1795,Products!$A$2:$A$49,0)))</f>
        <v>0</v>
      </c>
    </row>
    <row r="1796" customFormat="false" ht="15" hidden="false" customHeight="false" outlineLevel="0" collapsed="false">
      <c r="A1796" s="36" t="n">
        <v>46251</v>
      </c>
      <c r="B1796" s="24" t="s">
        <v>62</v>
      </c>
      <c r="C1796" s="24" t="s">
        <v>161</v>
      </c>
      <c r="D1796" s="33" t="n">
        <v>90</v>
      </c>
      <c r="E1796" s="24" t="n">
        <v>0</v>
      </c>
      <c r="F1796" s="37" t="n">
        <f aca="false">DATE(YEAR(A1796),MONTH(A1796),1)</f>
        <v>46235</v>
      </c>
      <c r="G1796" s="24" t="str">
        <f aca="false">INDEX(Products!$C$2:$C$49,MATCH(C1796,Products!$A$2:$A$49,0))</f>
        <v>Beverages</v>
      </c>
      <c r="H1796" s="33" t="n">
        <f aca="false">D1796*INDEX(Products!$E$2:$E$49,MATCH(C1796,Products!$A$2:$A$49,0))</f>
        <v>34200</v>
      </c>
      <c r="I1796" s="33" t="n">
        <f aca="false">D1796*INDEX(Products!$D$2:$D$49,MATCH(C1796,Products!$A$2:$A$49,0))*(1+INDEX(Assumptions!$B$16:$B$20,MATCH(B1796,Assumptions!$A$16:$A$20,0)))</f>
        <v>27488.16</v>
      </c>
      <c r="J1796" s="33" t="n">
        <f aca="false">H1796-I1796</f>
        <v>6711.84</v>
      </c>
      <c r="K1796" s="33" t="n">
        <f aca="false">IF(OR(E1796=0,E1796&gt;=7),0,D1796/(7-E1796)*E1796*INDEX(Products!$E$2:$E$49,MATCH(C1796,Products!$A$2:$A$49,0)))</f>
        <v>0</v>
      </c>
    </row>
    <row r="1797" customFormat="false" ht="15" hidden="false" customHeight="false" outlineLevel="0" collapsed="false">
      <c r="A1797" s="36" t="n">
        <v>46258</v>
      </c>
      <c r="B1797" s="24" t="s">
        <v>62</v>
      </c>
      <c r="C1797" s="24" t="s">
        <v>161</v>
      </c>
      <c r="D1797" s="33" t="n">
        <v>85</v>
      </c>
      <c r="E1797" s="24" t="n">
        <v>0</v>
      </c>
      <c r="F1797" s="37" t="n">
        <f aca="false">DATE(YEAR(A1797),MONTH(A1797),1)</f>
        <v>46235</v>
      </c>
      <c r="G1797" s="24" t="str">
        <f aca="false">INDEX(Products!$C$2:$C$49,MATCH(C1797,Products!$A$2:$A$49,0))</f>
        <v>Beverages</v>
      </c>
      <c r="H1797" s="33" t="n">
        <f aca="false">D1797*INDEX(Products!$E$2:$E$49,MATCH(C1797,Products!$A$2:$A$49,0))</f>
        <v>32300</v>
      </c>
      <c r="I1797" s="33" t="n">
        <f aca="false">D1797*INDEX(Products!$D$2:$D$49,MATCH(C1797,Products!$A$2:$A$49,0))*(1+INDEX(Assumptions!$B$16:$B$20,MATCH(B1797,Assumptions!$A$16:$A$20,0)))</f>
        <v>25961.04</v>
      </c>
      <c r="J1797" s="33" t="n">
        <f aca="false">H1797-I1797</f>
        <v>6338.96</v>
      </c>
      <c r="K1797" s="33" t="n">
        <f aca="false">IF(OR(E1797=0,E1797&gt;=7),0,D1797/(7-E1797)*E1797*INDEX(Products!$E$2:$E$49,MATCH(C1797,Products!$A$2:$A$49,0)))</f>
        <v>0</v>
      </c>
    </row>
    <row r="1798" customFormat="false" ht="15" hidden="false" customHeight="false" outlineLevel="0" collapsed="false">
      <c r="A1798" s="36" t="n">
        <v>46265</v>
      </c>
      <c r="B1798" s="24" t="s">
        <v>62</v>
      </c>
      <c r="C1798" s="24" t="s">
        <v>161</v>
      </c>
      <c r="D1798" s="33" t="n">
        <v>84</v>
      </c>
      <c r="E1798" s="24" t="n">
        <v>1</v>
      </c>
      <c r="F1798" s="37" t="n">
        <f aca="false">DATE(YEAR(A1798),MONTH(A1798),1)</f>
        <v>46235</v>
      </c>
      <c r="G1798" s="24" t="str">
        <f aca="false">INDEX(Products!$C$2:$C$49,MATCH(C1798,Products!$A$2:$A$49,0))</f>
        <v>Beverages</v>
      </c>
      <c r="H1798" s="33" t="n">
        <f aca="false">D1798*INDEX(Products!$E$2:$E$49,MATCH(C1798,Products!$A$2:$A$49,0))</f>
        <v>31920</v>
      </c>
      <c r="I1798" s="33" t="n">
        <f aca="false">D1798*INDEX(Products!$D$2:$D$49,MATCH(C1798,Products!$A$2:$A$49,0))*(1+INDEX(Assumptions!$B$16:$B$20,MATCH(B1798,Assumptions!$A$16:$A$20,0)))</f>
        <v>25655.616</v>
      </c>
      <c r="J1798" s="33" t="n">
        <f aca="false">H1798-I1798</f>
        <v>6264.384</v>
      </c>
      <c r="K1798" s="33" t="n">
        <f aca="false">IF(OR(E1798=0,E1798&gt;=7),0,D1798/(7-E1798)*E1798*INDEX(Products!$E$2:$E$49,MATCH(C1798,Products!$A$2:$A$49,0)))</f>
        <v>5320</v>
      </c>
    </row>
    <row r="1799" customFormat="false" ht="15" hidden="false" customHeight="false" outlineLevel="0" collapsed="false">
      <c r="A1799" s="36" t="n">
        <v>46272</v>
      </c>
      <c r="B1799" s="24" t="s">
        <v>62</v>
      </c>
      <c r="C1799" s="24" t="s">
        <v>161</v>
      </c>
      <c r="D1799" s="33" t="n">
        <v>79</v>
      </c>
      <c r="E1799" s="24" t="n">
        <v>0</v>
      </c>
      <c r="F1799" s="37" t="n">
        <f aca="false">DATE(YEAR(A1799),MONTH(A1799),1)</f>
        <v>46266</v>
      </c>
      <c r="G1799" s="24" t="str">
        <f aca="false">INDEX(Products!$C$2:$C$49,MATCH(C1799,Products!$A$2:$A$49,0))</f>
        <v>Beverages</v>
      </c>
      <c r="H1799" s="33" t="n">
        <f aca="false">D1799*INDEX(Products!$E$2:$E$49,MATCH(C1799,Products!$A$2:$A$49,0))</f>
        <v>30020</v>
      </c>
      <c r="I1799" s="33" t="n">
        <f aca="false">D1799*INDEX(Products!$D$2:$D$49,MATCH(C1799,Products!$A$2:$A$49,0))*(1+INDEX(Assumptions!$B$16:$B$20,MATCH(B1799,Assumptions!$A$16:$A$20,0)))</f>
        <v>24128.496</v>
      </c>
      <c r="J1799" s="33" t="n">
        <f aca="false">H1799-I1799</f>
        <v>5891.504</v>
      </c>
      <c r="K1799" s="33" t="n">
        <f aca="false">IF(OR(E1799=0,E1799&gt;=7),0,D1799/(7-E1799)*E1799*INDEX(Products!$E$2:$E$49,MATCH(C1799,Products!$A$2:$A$49,0)))</f>
        <v>0</v>
      </c>
    </row>
    <row r="1800" customFormat="false" ht="15" hidden="false" customHeight="false" outlineLevel="0" collapsed="false">
      <c r="A1800" s="36" t="n">
        <v>46279</v>
      </c>
      <c r="B1800" s="24" t="s">
        <v>62</v>
      </c>
      <c r="C1800" s="24" t="s">
        <v>161</v>
      </c>
      <c r="D1800" s="33" t="n">
        <v>82</v>
      </c>
      <c r="E1800" s="24" t="n">
        <v>0</v>
      </c>
      <c r="F1800" s="37" t="n">
        <f aca="false">DATE(YEAR(A1800),MONTH(A1800),1)</f>
        <v>46266</v>
      </c>
      <c r="G1800" s="24" t="str">
        <f aca="false">INDEX(Products!$C$2:$C$49,MATCH(C1800,Products!$A$2:$A$49,0))</f>
        <v>Beverages</v>
      </c>
      <c r="H1800" s="33" t="n">
        <f aca="false">D1800*INDEX(Products!$E$2:$E$49,MATCH(C1800,Products!$A$2:$A$49,0))</f>
        <v>31160</v>
      </c>
      <c r="I1800" s="33" t="n">
        <f aca="false">D1800*INDEX(Products!$D$2:$D$49,MATCH(C1800,Products!$A$2:$A$49,0))*(1+INDEX(Assumptions!$B$16:$B$20,MATCH(B1800,Assumptions!$A$16:$A$20,0)))</f>
        <v>25044.768</v>
      </c>
      <c r="J1800" s="33" t="n">
        <f aca="false">H1800-I1800</f>
        <v>6115.232</v>
      </c>
      <c r="K1800" s="33" t="n">
        <f aca="false">IF(OR(E1800=0,E1800&gt;=7),0,D1800/(7-E1800)*E1800*INDEX(Products!$E$2:$E$49,MATCH(C1800,Products!$A$2:$A$49,0)))</f>
        <v>0</v>
      </c>
    </row>
    <row r="1801" customFormat="false" ht="15" hidden="false" customHeight="false" outlineLevel="0" collapsed="false">
      <c r="A1801" s="36" t="n">
        <v>46286</v>
      </c>
      <c r="B1801" s="24" t="s">
        <v>62</v>
      </c>
      <c r="C1801" s="24" t="s">
        <v>161</v>
      </c>
      <c r="D1801" s="33" t="n">
        <v>78</v>
      </c>
      <c r="E1801" s="24" t="n">
        <v>0</v>
      </c>
      <c r="F1801" s="37" t="n">
        <f aca="false">DATE(YEAR(A1801),MONTH(A1801),1)</f>
        <v>46266</v>
      </c>
      <c r="G1801" s="24" t="str">
        <f aca="false">INDEX(Products!$C$2:$C$49,MATCH(C1801,Products!$A$2:$A$49,0))</f>
        <v>Beverages</v>
      </c>
      <c r="H1801" s="33" t="n">
        <f aca="false">D1801*INDEX(Products!$E$2:$E$49,MATCH(C1801,Products!$A$2:$A$49,0))</f>
        <v>29640</v>
      </c>
      <c r="I1801" s="33" t="n">
        <f aca="false">D1801*INDEX(Products!$D$2:$D$49,MATCH(C1801,Products!$A$2:$A$49,0))*(1+INDEX(Assumptions!$B$16:$B$20,MATCH(B1801,Assumptions!$A$16:$A$20,0)))</f>
        <v>23823.072</v>
      </c>
      <c r="J1801" s="33" t="n">
        <f aca="false">H1801-I1801</f>
        <v>5816.928</v>
      </c>
      <c r="K1801" s="33" t="n">
        <f aca="false">IF(OR(E1801=0,E1801&gt;=7),0,D1801/(7-E1801)*E1801*INDEX(Products!$E$2:$E$49,MATCH(C1801,Products!$A$2:$A$49,0)))</f>
        <v>0</v>
      </c>
    </row>
    <row r="1802" customFormat="false" ht="15" hidden="false" customHeight="false" outlineLevel="0" collapsed="false">
      <c r="A1802" s="36" t="n">
        <v>46118</v>
      </c>
      <c r="B1802" s="24" t="s">
        <v>62</v>
      </c>
      <c r="C1802" s="24" t="s">
        <v>163</v>
      </c>
      <c r="D1802" s="33" t="n">
        <v>75</v>
      </c>
      <c r="E1802" s="24" t="n">
        <v>0</v>
      </c>
      <c r="F1802" s="37" t="n">
        <f aca="false">DATE(YEAR(A1802),MONTH(A1802),1)</f>
        <v>46113</v>
      </c>
      <c r="G1802" s="24" t="str">
        <f aca="false">INDEX(Products!$C$2:$C$49,MATCH(C1802,Products!$A$2:$A$49,0))</f>
        <v>Household</v>
      </c>
      <c r="H1802" s="33" t="n">
        <f aca="false">D1802*INDEX(Products!$E$2:$E$49,MATCH(C1802,Products!$A$2:$A$49,0))</f>
        <v>24750</v>
      </c>
      <c r="I1802" s="33" t="n">
        <f aca="false">D1802*INDEX(Products!$D$2:$D$49,MATCH(C1802,Products!$A$2:$A$49,0))*(1+INDEX(Assumptions!$B$16:$B$20,MATCH(B1802,Assumptions!$A$16:$A$20,0)))</f>
        <v>17312.4</v>
      </c>
      <c r="J1802" s="33" t="n">
        <f aca="false">H1802-I1802</f>
        <v>7437.6</v>
      </c>
      <c r="K1802" s="33" t="n">
        <f aca="false">IF(OR(E1802=0,E1802&gt;=7),0,D1802/(7-E1802)*E1802*INDEX(Products!$E$2:$E$49,MATCH(C1802,Products!$A$2:$A$49,0)))</f>
        <v>0</v>
      </c>
    </row>
    <row r="1803" customFormat="false" ht="15" hidden="false" customHeight="false" outlineLevel="0" collapsed="false">
      <c r="A1803" s="36" t="n">
        <v>46125</v>
      </c>
      <c r="B1803" s="24" t="s">
        <v>62</v>
      </c>
      <c r="C1803" s="24" t="s">
        <v>163</v>
      </c>
      <c r="D1803" s="33" t="n">
        <v>79</v>
      </c>
      <c r="E1803" s="24" t="n">
        <v>0</v>
      </c>
      <c r="F1803" s="37" t="n">
        <f aca="false">DATE(YEAR(A1803),MONTH(A1803),1)</f>
        <v>46113</v>
      </c>
      <c r="G1803" s="24" t="str">
        <f aca="false">INDEX(Products!$C$2:$C$49,MATCH(C1803,Products!$A$2:$A$49,0))</f>
        <v>Household</v>
      </c>
      <c r="H1803" s="33" t="n">
        <f aca="false">D1803*INDEX(Products!$E$2:$E$49,MATCH(C1803,Products!$A$2:$A$49,0))</f>
        <v>26070</v>
      </c>
      <c r="I1803" s="33" t="n">
        <f aca="false">D1803*INDEX(Products!$D$2:$D$49,MATCH(C1803,Products!$A$2:$A$49,0))*(1+INDEX(Assumptions!$B$16:$B$20,MATCH(B1803,Assumptions!$A$16:$A$20,0)))</f>
        <v>18235.728</v>
      </c>
      <c r="J1803" s="33" t="n">
        <f aca="false">H1803-I1803</f>
        <v>7834.272</v>
      </c>
      <c r="K1803" s="33" t="n">
        <f aca="false">IF(OR(E1803=0,E1803&gt;=7),0,D1803/(7-E1803)*E1803*INDEX(Products!$E$2:$E$49,MATCH(C1803,Products!$A$2:$A$49,0)))</f>
        <v>0</v>
      </c>
    </row>
    <row r="1804" customFormat="false" ht="15" hidden="false" customHeight="false" outlineLevel="0" collapsed="false">
      <c r="A1804" s="36" t="n">
        <v>46132</v>
      </c>
      <c r="B1804" s="24" t="s">
        <v>62</v>
      </c>
      <c r="C1804" s="24" t="s">
        <v>163</v>
      </c>
      <c r="D1804" s="33" t="n">
        <v>90</v>
      </c>
      <c r="E1804" s="24" t="n">
        <v>0</v>
      </c>
      <c r="F1804" s="37" t="n">
        <f aca="false">DATE(YEAR(A1804),MONTH(A1804),1)</f>
        <v>46113</v>
      </c>
      <c r="G1804" s="24" t="str">
        <f aca="false">INDEX(Products!$C$2:$C$49,MATCH(C1804,Products!$A$2:$A$49,0))</f>
        <v>Household</v>
      </c>
      <c r="H1804" s="33" t="n">
        <f aca="false">D1804*INDEX(Products!$E$2:$E$49,MATCH(C1804,Products!$A$2:$A$49,0))</f>
        <v>29700</v>
      </c>
      <c r="I1804" s="33" t="n">
        <f aca="false">D1804*INDEX(Products!$D$2:$D$49,MATCH(C1804,Products!$A$2:$A$49,0))*(1+INDEX(Assumptions!$B$16:$B$20,MATCH(B1804,Assumptions!$A$16:$A$20,0)))</f>
        <v>20774.88</v>
      </c>
      <c r="J1804" s="33" t="n">
        <f aca="false">H1804-I1804</f>
        <v>8925.12</v>
      </c>
      <c r="K1804" s="33" t="n">
        <f aca="false">IF(OR(E1804=0,E1804&gt;=7),0,D1804/(7-E1804)*E1804*INDEX(Products!$E$2:$E$49,MATCH(C1804,Products!$A$2:$A$49,0)))</f>
        <v>0</v>
      </c>
    </row>
    <row r="1805" customFormat="false" ht="15" hidden="false" customHeight="false" outlineLevel="0" collapsed="false">
      <c r="A1805" s="36" t="n">
        <v>46139</v>
      </c>
      <c r="B1805" s="24" t="s">
        <v>62</v>
      </c>
      <c r="C1805" s="24" t="s">
        <v>163</v>
      </c>
      <c r="D1805" s="33" t="n">
        <v>85</v>
      </c>
      <c r="E1805" s="24" t="n">
        <v>0</v>
      </c>
      <c r="F1805" s="37" t="n">
        <f aca="false">DATE(YEAR(A1805),MONTH(A1805),1)</f>
        <v>46113</v>
      </c>
      <c r="G1805" s="24" t="str">
        <f aca="false">INDEX(Products!$C$2:$C$49,MATCH(C1805,Products!$A$2:$A$49,0))</f>
        <v>Household</v>
      </c>
      <c r="H1805" s="33" t="n">
        <f aca="false">D1805*INDEX(Products!$E$2:$E$49,MATCH(C1805,Products!$A$2:$A$49,0))</f>
        <v>28050</v>
      </c>
      <c r="I1805" s="33" t="n">
        <f aca="false">D1805*INDEX(Products!$D$2:$D$49,MATCH(C1805,Products!$A$2:$A$49,0))*(1+INDEX(Assumptions!$B$16:$B$20,MATCH(B1805,Assumptions!$A$16:$A$20,0)))</f>
        <v>19620.72</v>
      </c>
      <c r="J1805" s="33" t="n">
        <f aca="false">H1805-I1805</f>
        <v>8429.28</v>
      </c>
      <c r="K1805" s="33" t="n">
        <f aca="false">IF(OR(E1805=0,E1805&gt;=7),0,D1805/(7-E1805)*E1805*INDEX(Products!$E$2:$E$49,MATCH(C1805,Products!$A$2:$A$49,0)))</f>
        <v>0</v>
      </c>
    </row>
    <row r="1806" customFormat="false" ht="15" hidden="false" customHeight="false" outlineLevel="0" collapsed="false">
      <c r="A1806" s="36" t="n">
        <v>46146</v>
      </c>
      <c r="B1806" s="24" t="s">
        <v>62</v>
      </c>
      <c r="C1806" s="24" t="s">
        <v>163</v>
      </c>
      <c r="D1806" s="33" t="n">
        <v>78</v>
      </c>
      <c r="E1806" s="24" t="n">
        <v>0</v>
      </c>
      <c r="F1806" s="37" t="n">
        <f aca="false">DATE(YEAR(A1806),MONTH(A1806),1)</f>
        <v>46143</v>
      </c>
      <c r="G1806" s="24" t="str">
        <f aca="false">INDEX(Products!$C$2:$C$49,MATCH(C1806,Products!$A$2:$A$49,0))</f>
        <v>Household</v>
      </c>
      <c r="H1806" s="33" t="n">
        <f aca="false">D1806*INDEX(Products!$E$2:$E$49,MATCH(C1806,Products!$A$2:$A$49,0))</f>
        <v>25740</v>
      </c>
      <c r="I1806" s="33" t="n">
        <f aca="false">D1806*INDEX(Products!$D$2:$D$49,MATCH(C1806,Products!$A$2:$A$49,0))*(1+INDEX(Assumptions!$B$16:$B$20,MATCH(B1806,Assumptions!$A$16:$A$20,0)))</f>
        <v>18004.896</v>
      </c>
      <c r="J1806" s="33" t="n">
        <f aca="false">H1806-I1806</f>
        <v>7735.104</v>
      </c>
      <c r="K1806" s="33" t="n">
        <f aca="false">IF(OR(E1806=0,E1806&gt;=7),0,D1806/(7-E1806)*E1806*INDEX(Products!$E$2:$E$49,MATCH(C1806,Products!$A$2:$A$49,0)))</f>
        <v>0</v>
      </c>
    </row>
    <row r="1807" customFormat="false" ht="15" hidden="false" customHeight="false" outlineLevel="0" collapsed="false">
      <c r="A1807" s="36" t="n">
        <v>46153</v>
      </c>
      <c r="B1807" s="24" t="s">
        <v>62</v>
      </c>
      <c r="C1807" s="24" t="s">
        <v>163</v>
      </c>
      <c r="D1807" s="33" t="n">
        <v>76</v>
      </c>
      <c r="E1807" s="24" t="n">
        <v>0</v>
      </c>
      <c r="F1807" s="37" t="n">
        <f aca="false">DATE(YEAR(A1807),MONTH(A1807),1)</f>
        <v>46143</v>
      </c>
      <c r="G1807" s="24" t="str">
        <f aca="false">INDEX(Products!$C$2:$C$49,MATCH(C1807,Products!$A$2:$A$49,0))</f>
        <v>Household</v>
      </c>
      <c r="H1807" s="33" t="n">
        <f aca="false">D1807*INDEX(Products!$E$2:$E$49,MATCH(C1807,Products!$A$2:$A$49,0))</f>
        <v>25080</v>
      </c>
      <c r="I1807" s="33" t="n">
        <f aca="false">D1807*INDEX(Products!$D$2:$D$49,MATCH(C1807,Products!$A$2:$A$49,0))*(1+INDEX(Assumptions!$B$16:$B$20,MATCH(B1807,Assumptions!$A$16:$A$20,0)))</f>
        <v>17543.232</v>
      </c>
      <c r="J1807" s="33" t="n">
        <f aca="false">H1807-I1807</f>
        <v>7536.768</v>
      </c>
      <c r="K1807" s="33" t="n">
        <f aca="false">IF(OR(E1807=0,E1807&gt;=7),0,D1807/(7-E1807)*E1807*INDEX(Products!$E$2:$E$49,MATCH(C1807,Products!$A$2:$A$49,0)))</f>
        <v>0</v>
      </c>
    </row>
    <row r="1808" customFormat="false" ht="15" hidden="false" customHeight="false" outlineLevel="0" collapsed="false">
      <c r="A1808" s="36" t="n">
        <v>46160</v>
      </c>
      <c r="B1808" s="24" t="s">
        <v>62</v>
      </c>
      <c r="C1808" s="24" t="s">
        <v>163</v>
      </c>
      <c r="D1808" s="33" t="n">
        <v>74</v>
      </c>
      <c r="E1808" s="24" t="n">
        <v>0</v>
      </c>
      <c r="F1808" s="37" t="n">
        <f aca="false">DATE(YEAR(A1808),MONTH(A1808),1)</f>
        <v>46143</v>
      </c>
      <c r="G1808" s="24" t="str">
        <f aca="false">INDEX(Products!$C$2:$C$49,MATCH(C1808,Products!$A$2:$A$49,0))</f>
        <v>Household</v>
      </c>
      <c r="H1808" s="33" t="n">
        <f aca="false">D1808*INDEX(Products!$E$2:$E$49,MATCH(C1808,Products!$A$2:$A$49,0))</f>
        <v>24420</v>
      </c>
      <c r="I1808" s="33" t="n">
        <f aca="false">D1808*INDEX(Products!$D$2:$D$49,MATCH(C1808,Products!$A$2:$A$49,0))*(1+INDEX(Assumptions!$B$16:$B$20,MATCH(B1808,Assumptions!$A$16:$A$20,0)))</f>
        <v>17081.568</v>
      </c>
      <c r="J1808" s="33" t="n">
        <f aca="false">H1808-I1808</f>
        <v>7338.432</v>
      </c>
      <c r="K1808" s="33" t="n">
        <f aca="false">IF(OR(E1808=0,E1808&gt;=7),0,D1808/(7-E1808)*E1808*INDEX(Products!$E$2:$E$49,MATCH(C1808,Products!$A$2:$A$49,0)))</f>
        <v>0</v>
      </c>
    </row>
    <row r="1809" customFormat="false" ht="15" hidden="false" customHeight="false" outlineLevel="0" collapsed="false">
      <c r="A1809" s="36" t="n">
        <v>46167</v>
      </c>
      <c r="B1809" s="24" t="s">
        <v>62</v>
      </c>
      <c r="C1809" s="24" t="s">
        <v>163</v>
      </c>
      <c r="D1809" s="33" t="n">
        <v>83</v>
      </c>
      <c r="E1809" s="24" t="n">
        <v>0</v>
      </c>
      <c r="F1809" s="37" t="n">
        <f aca="false">DATE(YEAR(A1809),MONTH(A1809),1)</f>
        <v>46143</v>
      </c>
      <c r="G1809" s="24" t="str">
        <f aca="false">INDEX(Products!$C$2:$C$49,MATCH(C1809,Products!$A$2:$A$49,0))</f>
        <v>Household</v>
      </c>
      <c r="H1809" s="33" t="n">
        <f aca="false">D1809*INDEX(Products!$E$2:$E$49,MATCH(C1809,Products!$A$2:$A$49,0))</f>
        <v>27390</v>
      </c>
      <c r="I1809" s="33" t="n">
        <f aca="false">D1809*INDEX(Products!$D$2:$D$49,MATCH(C1809,Products!$A$2:$A$49,0))*(1+INDEX(Assumptions!$B$16:$B$20,MATCH(B1809,Assumptions!$A$16:$A$20,0)))</f>
        <v>19159.056</v>
      </c>
      <c r="J1809" s="33" t="n">
        <f aca="false">H1809-I1809</f>
        <v>8230.944</v>
      </c>
      <c r="K1809" s="33" t="n">
        <f aca="false">IF(OR(E1809=0,E1809&gt;=7),0,D1809/(7-E1809)*E1809*INDEX(Products!$E$2:$E$49,MATCH(C1809,Products!$A$2:$A$49,0)))</f>
        <v>0</v>
      </c>
    </row>
    <row r="1810" customFormat="false" ht="15" hidden="false" customHeight="false" outlineLevel="0" collapsed="false">
      <c r="A1810" s="36" t="n">
        <v>46174</v>
      </c>
      <c r="B1810" s="24" t="s">
        <v>62</v>
      </c>
      <c r="C1810" s="24" t="s">
        <v>163</v>
      </c>
      <c r="D1810" s="33" t="n">
        <v>86</v>
      </c>
      <c r="E1810" s="24" t="n">
        <v>0</v>
      </c>
      <c r="F1810" s="37" t="n">
        <f aca="false">DATE(YEAR(A1810),MONTH(A1810),1)</f>
        <v>46174</v>
      </c>
      <c r="G1810" s="24" t="str">
        <f aca="false">INDEX(Products!$C$2:$C$49,MATCH(C1810,Products!$A$2:$A$49,0))</f>
        <v>Household</v>
      </c>
      <c r="H1810" s="33" t="n">
        <f aca="false">D1810*INDEX(Products!$E$2:$E$49,MATCH(C1810,Products!$A$2:$A$49,0))</f>
        <v>28380</v>
      </c>
      <c r="I1810" s="33" t="n">
        <f aca="false">D1810*INDEX(Products!$D$2:$D$49,MATCH(C1810,Products!$A$2:$A$49,0))*(1+INDEX(Assumptions!$B$16:$B$20,MATCH(B1810,Assumptions!$A$16:$A$20,0)))</f>
        <v>19851.552</v>
      </c>
      <c r="J1810" s="33" t="n">
        <f aca="false">H1810-I1810</f>
        <v>8528.448</v>
      </c>
      <c r="K1810" s="33" t="n">
        <f aca="false">IF(OR(E1810=0,E1810&gt;=7),0,D1810/(7-E1810)*E1810*INDEX(Products!$E$2:$E$49,MATCH(C1810,Products!$A$2:$A$49,0)))</f>
        <v>0</v>
      </c>
    </row>
    <row r="1811" customFormat="false" ht="15" hidden="false" customHeight="false" outlineLevel="0" collapsed="false">
      <c r="A1811" s="36" t="n">
        <v>46181</v>
      </c>
      <c r="B1811" s="24" t="s">
        <v>62</v>
      </c>
      <c r="C1811" s="24" t="s">
        <v>163</v>
      </c>
      <c r="D1811" s="33" t="n">
        <v>75</v>
      </c>
      <c r="E1811" s="24" t="n">
        <v>0</v>
      </c>
      <c r="F1811" s="37" t="n">
        <f aca="false">DATE(YEAR(A1811),MONTH(A1811),1)</f>
        <v>46174</v>
      </c>
      <c r="G1811" s="24" t="str">
        <f aca="false">INDEX(Products!$C$2:$C$49,MATCH(C1811,Products!$A$2:$A$49,0))</f>
        <v>Household</v>
      </c>
      <c r="H1811" s="33" t="n">
        <f aca="false">D1811*INDEX(Products!$E$2:$E$49,MATCH(C1811,Products!$A$2:$A$49,0))</f>
        <v>24750</v>
      </c>
      <c r="I1811" s="33" t="n">
        <f aca="false">D1811*INDEX(Products!$D$2:$D$49,MATCH(C1811,Products!$A$2:$A$49,0))*(1+INDEX(Assumptions!$B$16:$B$20,MATCH(B1811,Assumptions!$A$16:$A$20,0)))</f>
        <v>17312.4</v>
      </c>
      <c r="J1811" s="33" t="n">
        <f aca="false">H1811-I1811</f>
        <v>7437.6</v>
      </c>
      <c r="K1811" s="33" t="n">
        <f aca="false">IF(OR(E1811=0,E1811&gt;=7),0,D1811/(7-E1811)*E1811*INDEX(Products!$E$2:$E$49,MATCH(C1811,Products!$A$2:$A$49,0)))</f>
        <v>0</v>
      </c>
    </row>
    <row r="1812" customFormat="false" ht="15" hidden="false" customHeight="false" outlineLevel="0" collapsed="false">
      <c r="A1812" s="36" t="n">
        <v>46188</v>
      </c>
      <c r="B1812" s="24" t="s">
        <v>62</v>
      </c>
      <c r="C1812" s="24" t="s">
        <v>163</v>
      </c>
      <c r="D1812" s="33" t="n">
        <v>56</v>
      </c>
      <c r="E1812" s="24" t="n">
        <v>0</v>
      </c>
      <c r="F1812" s="37" t="n">
        <f aca="false">DATE(YEAR(A1812),MONTH(A1812),1)</f>
        <v>46174</v>
      </c>
      <c r="G1812" s="24" t="str">
        <f aca="false">INDEX(Products!$C$2:$C$49,MATCH(C1812,Products!$A$2:$A$49,0))</f>
        <v>Household</v>
      </c>
      <c r="H1812" s="33" t="n">
        <f aca="false">D1812*INDEX(Products!$E$2:$E$49,MATCH(C1812,Products!$A$2:$A$49,0))</f>
        <v>18480</v>
      </c>
      <c r="I1812" s="33" t="n">
        <f aca="false">D1812*INDEX(Products!$D$2:$D$49,MATCH(C1812,Products!$A$2:$A$49,0))*(1+INDEX(Assumptions!$B$16:$B$20,MATCH(B1812,Assumptions!$A$16:$A$20,0)))</f>
        <v>12926.592</v>
      </c>
      <c r="J1812" s="33" t="n">
        <f aca="false">H1812-I1812</f>
        <v>5553.408</v>
      </c>
      <c r="K1812" s="33" t="n">
        <f aca="false">IF(OR(E1812=0,E1812&gt;=7),0,D1812/(7-E1812)*E1812*INDEX(Products!$E$2:$E$49,MATCH(C1812,Products!$A$2:$A$49,0)))</f>
        <v>0</v>
      </c>
    </row>
    <row r="1813" customFormat="false" ht="15" hidden="false" customHeight="false" outlineLevel="0" collapsed="false">
      <c r="A1813" s="36" t="n">
        <v>46195</v>
      </c>
      <c r="B1813" s="24" t="s">
        <v>62</v>
      </c>
      <c r="C1813" s="24" t="s">
        <v>163</v>
      </c>
      <c r="D1813" s="33" t="n">
        <v>86</v>
      </c>
      <c r="E1813" s="24" t="n">
        <v>0</v>
      </c>
      <c r="F1813" s="37" t="n">
        <f aca="false">DATE(YEAR(A1813),MONTH(A1813),1)</f>
        <v>46174</v>
      </c>
      <c r="G1813" s="24" t="str">
        <f aca="false">INDEX(Products!$C$2:$C$49,MATCH(C1813,Products!$A$2:$A$49,0))</f>
        <v>Household</v>
      </c>
      <c r="H1813" s="33" t="n">
        <f aca="false">D1813*INDEX(Products!$E$2:$E$49,MATCH(C1813,Products!$A$2:$A$49,0))</f>
        <v>28380</v>
      </c>
      <c r="I1813" s="33" t="n">
        <f aca="false">D1813*INDEX(Products!$D$2:$D$49,MATCH(C1813,Products!$A$2:$A$49,0))*(1+INDEX(Assumptions!$B$16:$B$20,MATCH(B1813,Assumptions!$A$16:$A$20,0)))</f>
        <v>19851.552</v>
      </c>
      <c r="J1813" s="33" t="n">
        <f aca="false">H1813-I1813</f>
        <v>8528.448</v>
      </c>
      <c r="K1813" s="33" t="n">
        <f aca="false">IF(OR(E1813=0,E1813&gt;=7),0,D1813/(7-E1813)*E1813*INDEX(Products!$E$2:$E$49,MATCH(C1813,Products!$A$2:$A$49,0)))</f>
        <v>0</v>
      </c>
    </row>
    <row r="1814" customFormat="false" ht="15" hidden="false" customHeight="false" outlineLevel="0" collapsed="false">
      <c r="A1814" s="36" t="n">
        <v>46202</v>
      </c>
      <c r="B1814" s="24" t="s">
        <v>62</v>
      </c>
      <c r="C1814" s="24" t="s">
        <v>163</v>
      </c>
      <c r="D1814" s="33" t="n">
        <v>60</v>
      </c>
      <c r="E1814" s="24" t="n">
        <v>2</v>
      </c>
      <c r="F1814" s="37" t="n">
        <f aca="false">DATE(YEAR(A1814),MONTH(A1814),1)</f>
        <v>46174</v>
      </c>
      <c r="G1814" s="24" t="str">
        <f aca="false">INDEX(Products!$C$2:$C$49,MATCH(C1814,Products!$A$2:$A$49,0))</f>
        <v>Household</v>
      </c>
      <c r="H1814" s="33" t="n">
        <f aca="false">D1814*INDEX(Products!$E$2:$E$49,MATCH(C1814,Products!$A$2:$A$49,0))</f>
        <v>19800</v>
      </c>
      <c r="I1814" s="33" t="n">
        <f aca="false">D1814*INDEX(Products!$D$2:$D$49,MATCH(C1814,Products!$A$2:$A$49,0))*(1+INDEX(Assumptions!$B$16:$B$20,MATCH(B1814,Assumptions!$A$16:$A$20,0)))</f>
        <v>13849.92</v>
      </c>
      <c r="J1814" s="33" t="n">
        <f aca="false">H1814-I1814</f>
        <v>5950.08</v>
      </c>
      <c r="K1814" s="33" t="n">
        <f aca="false">IF(OR(E1814=0,E1814&gt;=7),0,D1814/(7-E1814)*E1814*INDEX(Products!$E$2:$E$49,MATCH(C1814,Products!$A$2:$A$49,0)))</f>
        <v>7920</v>
      </c>
    </row>
    <row r="1815" customFormat="false" ht="15" hidden="false" customHeight="false" outlineLevel="0" collapsed="false">
      <c r="A1815" s="36" t="n">
        <v>46209</v>
      </c>
      <c r="B1815" s="24" t="s">
        <v>62</v>
      </c>
      <c r="C1815" s="24" t="s">
        <v>163</v>
      </c>
      <c r="D1815" s="33" t="n">
        <v>79</v>
      </c>
      <c r="E1815" s="24" t="n">
        <v>0</v>
      </c>
      <c r="F1815" s="37" t="n">
        <f aca="false">DATE(YEAR(A1815),MONTH(A1815),1)</f>
        <v>46204</v>
      </c>
      <c r="G1815" s="24" t="str">
        <f aca="false">INDEX(Products!$C$2:$C$49,MATCH(C1815,Products!$A$2:$A$49,0))</f>
        <v>Household</v>
      </c>
      <c r="H1815" s="33" t="n">
        <f aca="false">D1815*INDEX(Products!$E$2:$E$49,MATCH(C1815,Products!$A$2:$A$49,0))</f>
        <v>26070</v>
      </c>
      <c r="I1815" s="33" t="n">
        <f aca="false">D1815*INDEX(Products!$D$2:$D$49,MATCH(C1815,Products!$A$2:$A$49,0))*(1+INDEX(Assumptions!$B$16:$B$20,MATCH(B1815,Assumptions!$A$16:$A$20,0)))</f>
        <v>18235.728</v>
      </c>
      <c r="J1815" s="33" t="n">
        <f aca="false">H1815-I1815</f>
        <v>7834.272</v>
      </c>
      <c r="K1815" s="33" t="n">
        <f aca="false">IF(OR(E1815=0,E1815&gt;=7),0,D1815/(7-E1815)*E1815*INDEX(Products!$E$2:$E$49,MATCH(C1815,Products!$A$2:$A$49,0)))</f>
        <v>0</v>
      </c>
    </row>
    <row r="1816" customFormat="false" ht="15" hidden="false" customHeight="false" outlineLevel="0" collapsed="false">
      <c r="A1816" s="36" t="n">
        <v>46216</v>
      </c>
      <c r="B1816" s="24" t="s">
        <v>62</v>
      </c>
      <c r="C1816" s="24" t="s">
        <v>163</v>
      </c>
      <c r="D1816" s="33" t="n">
        <v>65</v>
      </c>
      <c r="E1816" s="24" t="n">
        <v>0</v>
      </c>
      <c r="F1816" s="37" t="n">
        <f aca="false">DATE(YEAR(A1816),MONTH(A1816),1)</f>
        <v>46204</v>
      </c>
      <c r="G1816" s="24" t="str">
        <f aca="false">INDEX(Products!$C$2:$C$49,MATCH(C1816,Products!$A$2:$A$49,0))</f>
        <v>Household</v>
      </c>
      <c r="H1816" s="33" t="n">
        <f aca="false">D1816*INDEX(Products!$E$2:$E$49,MATCH(C1816,Products!$A$2:$A$49,0))</f>
        <v>21450</v>
      </c>
      <c r="I1816" s="33" t="n">
        <f aca="false">D1816*INDEX(Products!$D$2:$D$49,MATCH(C1816,Products!$A$2:$A$49,0))*(1+INDEX(Assumptions!$B$16:$B$20,MATCH(B1816,Assumptions!$A$16:$A$20,0)))</f>
        <v>15004.08</v>
      </c>
      <c r="J1816" s="33" t="n">
        <f aca="false">H1816-I1816</f>
        <v>6445.92</v>
      </c>
      <c r="K1816" s="33" t="n">
        <f aca="false">IF(OR(E1816=0,E1816&gt;=7),0,D1816/(7-E1816)*E1816*INDEX(Products!$E$2:$E$49,MATCH(C1816,Products!$A$2:$A$49,0)))</f>
        <v>0</v>
      </c>
    </row>
    <row r="1817" customFormat="false" ht="15" hidden="false" customHeight="false" outlineLevel="0" collapsed="false">
      <c r="A1817" s="36" t="n">
        <v>46223</v>
      </c>
      <c r="B1817" s="24" t="s">
        <v>62</v>
      </c>
      <c r="C1817" s="24" t="s">
        <v>163</v>
      </c>
      <c r="D1817" s="33" t="n">
        <v>69</v>
      </c>
      <c r="E1817" s="24" t="n">
        <v>0</v>
      </c>
      <c r="F1817" s="37" t="n">
        <f aca="false">DATE(YEAR(A1817),MONTH(A1817),1)</f>
        <v>46204</v>
      </c>
      <c r="G1817" s="24" t="str">
        <f aca="false">INDEX(Products!$C$2:$C$49,MATCH(C1817,Products!$A$2:$A$49,0))</f>
        <v>Household</v>
      </c>
      <c r="H1817" s="33" t="n">
        <f aca="false">D1817*INDEX(Products!$E$2:$E$49,MATCH(C1817,Products!$A$2:$A$49,0))</f>
        <v>22770</v>
      </c>
      <c r="I1817" s="33" t="n">
        <f aca="false">D1817*INDEX(Products!$D$2:$D$49,MATCH(C1817,Products!$A$2:$A$49,0))*(1+INDEX(Assumptions!$B$16:$B$20,MATCH(B1817,Assumptions!$A$16:$A$20,0)))</f>
        <v>15927.408</v>
      </c>
      <c r="J1817" s="33" t="n">
        <f aca="false">H1817-I1817</f>
        <v>6842.592</v>
      </c>
      <c r="K1817" s="33" t="n">
        <f aca="false">IF(OR(E1817=0,E1817&gt;=7),0,D1817/(7-E1817)*E1817*INDEX(Products!$E$2:$E$49,MATCH(C1817,Products!$A$2:$A$49,0)))</f>
        <v>0</v>
      </c>
    </row>
    <row r="1818" customFormat="false" ht="15" hidden="false" customHeight="false" outlineLevel="0" collapsed="false">
      <c r="A1818" s="36" t="n">
        <v>46230</v>
      </c>
      <c r="B1818" s="24" t="s">
        <v>62</v>
      </c>
      <c r="C1818" s="24" t="s">
        <v>163</v>
      </c>
      <c r="D1818" s="33" t="n">
        <v>79</v>
      </c>
      <c r="E1818" s="24" t="n">
        <v>0</v>
      </c>
      <c r="F1818" s="37" t="n">
        <f aca="false">DATE(YEAR(A1818),MONTH(A1818),1)</f>
        <v>46204</v>
      </c>
      <c r="G1818" s="24" t="str">
        <f aca="false">INDEX(Products!$C$2:$C$49,MATCH(C1818,Products!$A$2:$A$49,0))</f>
        <v>Household</v>
      </c>
      <c r="H1818" s="33" t="n">
        <f aca="false">D1818*INDEX(Products!$E$2:$E$49,MATCH(C1818,Products!$A$2:$A$49,0))</f>
        <v>26070</v>
      </c>
      <c r="I1818" s="33" t="n">
        <f aca="false">D1818*INDEX(Products!$D$2:$D$49,MATCH(C1818,Products!$A$2:$A$49,0))*(1+INDEX(Assumptions!$B$16:$B$20,MATCH(B1818,Assumptions!$A$16:$A$20,0)))</f>
        <v>18235.728</v>
      </c>
      <c r="J1818" s="33" t="n">
        <f aca="false">H1818-I1818</f>
        <v>7834.272</v>
      </c>
      <c r="K1818" s="33" t="n">
        <f aca="false">IF(OR(E1818=0,E1818&gt;=7),0,D1818/(7-E1818)*E1818*INDEX(Products!$E$2:$E$49,MATCH(C1818,Products!$A$2:$A$49,0)))</f>
        <v>0</v>
      </c>
    </row>
    <row r="1819" customFormat="false" ht="15" hidden="false" customHeight="false" outlineLevel="0" collapsed="false">
      <c r="A1819" s="36" t="n">
        <v>46237</v>
      </c>
      <c r="B1819" s="24" t="s">
        <v>62</v>
      </c>
      <c r="C1819" s="24" t="s">
        <v>163</v>
      </c>
      <c r="D1819" s="33" t="n">
        <v>60</v>
      </c>
      <c r="E1819" s="24" t="n">
        <v>0</v>
      </c>
      <c r="F1819" s="37" t="n">
        <f aca="false">DATE(YEAR(A1819),MONTH(A1819),1)</f>
        <v>46235</v>
      </c>
      <c r="G1819" s="24" t="str">
        <f aca="false">INDEX(Products!$C$2:$C$49,MATCH(C1819,Products!$A$2:$A$49,0))</f>
        <v>Household</v>
      </c>
      <c r="H1819" s="33" t="n">
        <f aca="false">D1819*INDEX(Products!$E$2:$E$49,MATCH(C1819,Products!$A$2:$A$49,0))</f>
        <v>19800</v>
      </c>
      <c r="I1819" s="33" t="n">
        <f aca="false">D1819*INDEX(Products!$D$2:$D$49,MATCH(C1819,Products!$A$2:$A$49,0))*(1+INDEX(Assumptions!$B$16:$B$20,MATCH(B1819,Assumptions!$A$16:$A$20,0)))</f>
        <v>13849.92</v>
      </c>
      <c r="J1819" s="33" t="n">
        <f aca="false">H1819-I1819</f>
        <v>5950.08</v>
      </c>
      <c r="K1819" s="33" t="n">
        <f aca="false">IF(OR(E1819=0,E1819&gt;=7),0,D1819/(7-E1819)*E1819*INDEX(Products!$E$2:$E$49,MATCH(C1819,Products!$A$2:$A$49,0)))</f>
        <v>0</v>
      </c>
    </row>
    <row r="1820" customFormat="false" ht="15" hidden="false" customHeight="false" outlineLevel="0" collapsed="false">
      <c r="A1820" s="36" t="n">
        <v>46244</v>
      </c>
      <c r="B1820" s="24" t="s">
        <v>62</v>
      </c>
      <c r="C1820" s="24" t="s">
        <v>163</v>
      </c>
      <c r="D1820" s="33" t="n">
        <v>73</v>
      </c>
      <c r="E1820" s="24" t="n">
        <v>0</v>
      </c>
      <c r="F1820" s="37" t="n">
        <f aca="false">DATE(YEAR(A1820),MONTH(A1820),1)</f>
        <v>46235</v>
      </c>
      <c r="G1820" s="24" t="str">
        <f aca="false">INDEX(Products!$C$2:$C$49,MATCH(C1820,Products!$A$2:$A$49,0))</f>
        <v>Household</v>
      </c>
      <c r="H1820" s="33" t="n">
        <f aca="false">D1820*INDEX(Products!$E$2:$E$49,MATCH(C1820,Products!$A$2:$A$49,0))</f>
        <v>24090</v>
      </c>
      <c r="I1820" s="33" t="n">
        <f aca="false">D1820*INDEX(Products!$D$2:$D$49,MATCH(C1820,Products!$A$2:$A$49,0))*(1+INDEX(Assumptions!$B$16:$B$20,MATCH(B1820,Assumptions!$A$16:$A$20,0)))</f>
        <v>16850.736</v>
      </c>
      <c r="J1820" s="33" t="n">
        <f aca="false">H1820-I1820</f>
        <v>7239.264</v>
      </c>
      <c r="K1820" s="33" t="n">
        <f aca="false">IF(OR(E1820=0,E1820&gt;=7),0,D1820/(7-E1820)*E1820*INDEX(Products!$E$2:$E$49,MATCH(C1820,Products!$A$2:$A$49,0)))</f>
        <v>0</v>
      </c>
    </row>
    <row r="1821" customFormat="false" ht="15" hidden="false" customHeight="false" outlineLevel="0" collapsed="false">
      <c r="A1821" s="36" t="n">
        <v>46251</v>
      </c>
      <c r="B1821" s="24" t="s">
        <v>62</v>
      </c>
      <c r="C1821" s="24" t="s">
        <v>163</v>
      </c>
      <c r="D1821" s="33" t="n">
        <v>74</v>
      </c>
      <c r="E1821" s="24" t="n">
        <v>0</v>
      </c>
      <c r="F1821" s="37" t="n">
        <f aca="false">DATE(YEAR(A1821),MONTH(A1821),1)</f>
        <v>46235</v>
      </c>
      <c r="G1821" s="24" t="str">
        <f aca="false">INDEX(Products!$C$2:$C$49,MATCH(C1821,Products!$A$2:$A$49,0))</f>
        <v>Household</v>
      </c>
      <c r="H1821" s="33" t="n">
        <f aca="false">D1821*INDEX(Products!$E$2:$E$49,MATCH(C1821,Products!$A$2:$A$49,0))</f>
        <v>24420</v>
      </c>
      <c r="I1821" s="33" t="n">
        <f aca="false">D1821*INDEX(Products!$D$2:$D$49,MATCH(C1821,Products!$A$2:$A$49,0))*(1+INDEX(Assumptions!$B$16:$B$20,MATCH(B1821,Assumptions!$A$16:$A$20,0)))</f>
        <v>17081.568</v>
      </c>
      <c r="J1821" s="33" t="n">
        <f aca="false">H1821-I1821</f>
        <v>7338.432</v>
      </c>
      <c r="K1821" s="33" t="n">
        <f aca="false">IF(OR(E1821=0,E1821&gt;=7),0,D1821/(7-E1821)*E1821*INDEX(Products!$E$2:$E$49,MATCH(C1821,Products!$A$2:$A$49,0)))</f>
        <v>0</v>
      </c>
    </row>
    <row r="1822" customFormat="false" ht="15" hidden="false" customHeight="false" outlineLevel="0" collapsed="false">
      <c r="A1822" s="36" t="n">
        <v>46258</v>
      </c>
      <c r="B1822" s="24" t="s">
        <v>62</v>
      </c>
      <c r="C1822" s="24" t="s">
        <v>163</v>
      </c>
      <c r="D1822" s="33" t="n">
        <v>77</v>
      </c>
      <c r="E1822" s="24" t="n">
        <v>0</v>
      </c>
      <c r="F1822" s="37" t="n">
        <f aca="false">DATE(YEAR(A1822),MONTH(A1822),1)</f>
        <v>46235</v>
      </c>
      <c r="G1822" s="24" t="str">
        <f aca="false">INDEX(Products!$C$2:$C$49,MATCH(C1822,Products!$A$2:$A$49,0))</f>
        <v>Household</v>
      </c>
      <c r="H1822" s="33" t="n">
        <f aca="false">D1822*INDEX(Products!$E$2:$E$49,MATCH(C1822,Products!$A$2:$A$49,0))</f>
        <v>25410</v>
      </c>
      <c r="I1822" s="33" t="n">
        <f aca="false">D1822*INDEX(Products!$D$2:$D$49,MATCH(C1822,Products!$A$2:$A$49,0))*(1+INDEX(Assumptions!$B$16:$B$20,MATCH(B1822,Assumptions!$A$16:$A$20,0)))</f>
        <v>17774.064</v>
      </c>
      <c r="J1822" s="33" t="n">
        <f aca="false">H1822-I1822</f>
        <v>7635.936</v>
      </c>
      <c r="K1822" s="33" t="n">
        <f aca="false">IF(OR(E1822=0,E1822&gt;=7),0,D1822/(7-E1822)*E1822*INDEX(Products!$E$2:$E$49,MATCH(C1822,Products!$A$2:$A$49,0)))</f>
        <v>0</v>
      </c>
    </row>
    <row r="1823" customFormat="false" ht="15" hidden="false" customHeight="false" outlineLevel="0" collapsed="false">
      <c r="A1823" s="36" t="n">
        <v>46265</v>
      </c>
      <c r="B1823" s="24" t="s">
        <v>62</v>
      </c>
      <c r="C1823" s="24" t="s">
        <v>163</v>
      </c>
      <c r="D1823" s="33" t="n">
        <v>86</v>
      </c>
      <c r="E1823" s="24" t="n">
        <v>0</v>
      </c>
      <c r="F1823" s="37" t="n">
        <f aca="false">DATE(YEAR(A1823),MONTH(A1823),1)</f>
        <v>46235</v>
      </c>
      <c r="G1823" s="24" t="str">
        <f aca="false">INDEX(Products!$C$2:$C$49,MATCH(C1823,Products!$A$2:$A$49,0))</f>
        <v>Household</v>
      </c>
      <c r="H1823" s="33" t="n">
        <f aca="false">D1823*INDEX(Products!$E$2:$E$49,MATCH(C1823,Products!$A$2:$A$49,0))</f>
        <v>28380</v>
      </c>
      <c r="I1823" s="33" t="n">
        <f aca="false">D1823*INDEX(Products!$D$2:$D$49,MATCH(C1823,Products!$A$2:$A$49,0))*(1+INDEX(Assumptions!$B$16:$B$20,MATCH(B1823,Assumptions!$A$16:$A$20,0)))</f>
        <v>19851.552</v>
      </c>
      <c r="J1823" s="33" t="n">
        <f aca="false">H1823-I1823</f>
        <v>8528.448</v>
      </c>
      <c r="K1823" s="33" t="n">
        <f aca="false">IF(OR(E1823=0,E1823&gt;=7),0,D1823/(7-E1823)*E1823*INDEX(Products!$E$2:$E$49,MATCH(C1823,Products!$A$2:$A$49,0)))</f>
        <v>0</v>
      </c>
    </row>
    <row r="1824" customFormat="false" ht="15" hidden="false" customHeight="false" outlineLevel="0" collapsed="false">
      <c r="A1824" s="36" t="n">
        <v>46272</v>
      </c>
      <c r="B1824" s="24" t="s">
        <v>62</v>
      </c>
      <c r="C1824" s="24" t="s">
        <v>163</v>
      </c>
      <c r="D1824" s="33" t="n">
        <v>73</v>
      </c>
      <c r="E1824" s="24" t="n">
        <v>0</v>
      </c>
      <c r="F1824" s="37" t="n">
        <f aca="false">DATE(YEAR(A1824),MONTH(A1824),1)</f>
        <v>46266</v>
      </c>
      <c r="G1824" s="24" t="str">
        <f aca="false">INDEX(Products!$C$2:$C$49,MATCH(C1824,Products!$A$2:$A$49,0))</f>
        <v>Household</v>
      </c>
      <c r="H1824" s="33" t="n">
        <f aca="false">D1824*INDEX(Products!$E$2:$E$49,MATCH(C1824,Products!$A$2:$A$49,0))</f>
        <v>24090</v>
      </c>
      <c r="I1824" s="33" t="n">
        <f aca="false">D1824*INDEX(Products!$D$2:$D$49,MATCH(C1824,Products!$A$2:$A$49,0))*(1+INDEX(Assumptions!$B$16:$B$20,MATCH(B1824,Assumptions!$A$16:$A$20,0)))</f>
        <v>16850.736</v>
      </c>
      <c r="J1824" s="33" t="n">
        <f aca="false">H1824-I1824</f>
        <v>7239.264</v>
      </c>
      <c r="K1824" s="33" t="n">
        <f aca="false">IF(OR(E1824=0,E1824&gt;=7),0,D1824/(7-E1824)*E1824*INDEX(Products!$E$2:$E$49,MATCH(C1824,Products!$A$2:$A$49,0)))</f>
        <v>0</v>
      </c>
    </row>
    <row r="1825" customFormat="false" ht="15" hidden="false" customHeight="false" outlineLevel="0" collapsed="false">
      <c r="A1825" s="36" t="n">
        <v>46279</v>
      </c>
      <c r="B1825" s="24" t="s">
        <v>62</v>
      </c>
      <c r="C1825" s="24" t="s">
        <v>163</v>
      </c>
      <c r="D1825" s="33" t="n">
        <v>68</v>
      </c>
      <c r="E1825" s="24" t="n">
        <v>0</v>
      </c>
      <c r="F1825" s="37" t="n">
        <f aca="false">DATE(YEAR(A1825),MONTH(A1825),1)</f>
        <v>46266</v>
      </c>
      <c r="G1825" s="24" t="str">
        <f aca="false">INDEX(Products!$C$2:$C$49,MATCH(C1825,Products!$A$2:$A$49,0))</f>
        <v>Household</v>
      </c>
      <c r="H1825" s="33" t="n">
        <f aca="false">D1825*INDEX(Products!$E$2:$E$49,MATCH(C1825,Products!$A$2:$A$49,0))</f>
        <v>22440</v>
      </c>
      <c r="I1825" s="33" t="n">
        <f aca="false">D1825*INDEX(Products!$D$2:$D$49,MATCH(C1825,Products!$A$2:$A$49,0))*(1+INDEX(Assumptions!$B$16:$B$20,MATCH(B1825,Assumptions!$A$16:$A$20,0)))</f>
        <v>15696.576</v>
      </c>
      <c r="J1825" s="33" t="n">
        <f aca="false">H1825-I1825</f>
        <v>6743.424</v>
      </c>
      <c r="K1825" s="33" t="n">
        <f aca="false">IF(OR(E1825=0,E1825&gt;=7),0,D1825/(7-E1825)*E1825*INDEX(Products!$E$2:$E$49,MATCH(C1825,Products!$A$2:$A$49,0)))</f>
        <v>0</v>
      </c>
    </row>
    <row r="1826" customFormat="false" ht="15" hidden="false" customHeight="false" outlineLevel="0" collapsed="false">
      <c r="A1826" s="36" t="n">
        <v>46286</v>
      </c>
      <c r="B1826" s="24" t="s">
        <v>62</v>
      </c>
      <c r="C1826" s="24" t="s">
        <v>163</v>
      </c>
      <c r="D1826" s="33" t="n">
        <v>96</v>
      </c>
      <c r="E1826" s="24" t="n">
        <v>0</v>
      </c>
      <c r="F1826" s="37" t="n">
        <f aca="false">DATE(YEAR(A1826),MONTH(A1826),1)</f>
        <v>46266</v>
      </c>
      <c r="G1826" s="24" t="str">
        <f aca="false">INDEX(Products!$C$2:$C$49,MATCH(C1826,Products!$A$2:$A$49,0))</f>
        <v>Household</v>
      </c>
      <c r="H1826" s="33" t="n">
        <f aca="false">D1826*INDEX(Products!$E$2:$E$49,MATCH(C1826,Products!$A$2:$A$49,0))</f>
        <v>31680</v>
      </c>
      <c r="I1826" s="33" t="n">
        <f aca="false">D1826*INDEX(Products!$D$2:$D$49,MATCH(C1826,Products!$A$2:$A$49,0))*(1+INDEX(Assumptions!$B$16:$B$20,MATCH(B1826,Assumptions!$A$16:$A$20,0)))</f>
        <v>22159.872</v>
      </c>
      <c r="J1826" s="33" t="n">
        <f aca="false">H1826-I1826</f>
        <v>9520.128</v>
      </c>
      <c r="K1826" s="33" t="n">
        <f aca="false">IF(OR(E1826=0,E1826&gt;=7),0,D1826/(7-E1826)*E1826*INDEX(Products!$E$2:$E$49,MATCH(C1826,Products!$A$2:$A$49,0)))</f>
        <v>0</v>
      </c>
    </row>
    <row r="1827" customFormat="false" ht="15" hidden="false" customHeight="false" outlineLevel="0" collapsed="false">
      <c r="A1827" s="36" t="n">
        <v>46118</v>
      </c>
      <c r="B1827" s="24" t="s">
        <v>62</v>
      </c>
      <c r="C1827" s="24" t="s">
        <v>165</v>
      </c>
      <c r="D1827" s="33" t="n">
        <v>53</v>
      </c>
      <c r="E1827" s="24" t="n">
        <v>0</v>
      </c>
      <c r="F1827" s="37" t="n">
        <f aca="false">DATE(YEAR(A1827),MONTH(A1827),1)</f>
        <v>46113</v>
      </c>
      <c r="G1827" s="24" t="str">
        <f aca="false">INDEX(Products!$C$2:$C$49,MATCH(C1827,Products!$A$2:$A$49,0))</f>
        <v>Household</v>
      </c>
      <c r="H1827" s="33" t="n">
        <f aca="false">D1827*INDEX(Products!$E$2:$E$49,MATCH(C1827,Products!$A$2:$A$49,0))</f>
        <v>10070</v>
      </c>
      <c r="I1827" s="33" t="n">
        <f aca="false">D1827*INDEX(Products!$D$2:$D$49,MATCH(C1827,Products!$A$2:$A$49,0))*(1+INDEX(Assumptions!$B$16:$B$20,MATCH(B1827,Assumptions!$A$16:$A$20,0)))</f>
        <v>7319.088</v>
      </c>
      <c r="J1827" s="33" t="n">
        <f aca="false">H1827-I1827</f>
        <v>2750.912</v>
      </c>
      <c r="K1827" s="33" t="n">
        <f aca="false">IF(OR(E1827=0,E1827&gt;=7),0,D1827/(7-E1827)*E1827*INDEX(Products!$E$2:$E$49,MATCH(C1827,Products!$A$2:$A$49,0)))</f>
        <v>0</v>
      </c>
    </row>
    <row r="1828" customFormat="false" ht="15" hidden="false" customHeight="false" outlineLevel="0" collapsed="false">
      <c r="A1828" s="36" t="n">
        <v>46125</v>
      </c>
      <c r="B1828" s="24" t="s">
        <v>62</v>
      </c>
      <c r="C1828" s="24" t="s">
        <v>165</v>
      </c>
      <c r="D1828" s="33" t="n">
        <v>64</v>
      </c>
      <c r="E1828" s="24" t="n">
        <v>0</v>
      </c>
      <c r="F1828" s="37" t="n">
        <f aca="false">DATE(YEAR(A1828),MONTH(A1828),1)</f>
        <v>46113</v>
      </c>
      <c r="G1828" s="24" t="str">
        <f aca="false">INDEX(Products!$C$2:$C$49,MATCH(C1828,Products!$A$2:$A$49,0))</f>
        <v>Household</v>
      </c>
      <c r="H1828" s="33" t="n">
        <f aca="false">D1828*INDEX(Products!$E$2:$E$49,MATCH(C1828,Products!$A$2:$A$49,0))</f>
        <v>12160</v>
      </c>
      <c r="I1828" s="33" t="n">
        <f aca="false">D1828*INDEX(Products!$D$2:$D$49,MATCH(C1828,Products!$A$2:$A$49,0))*(1+INDEX(Assumptions!$B$16:$B$20,MATCH(B1828,Assumptions!$A$16:$A$20,0)))</f>
        <v>8838.144</v>
      </c>
      <c r="J1828" s="33" t="n">
        <f aca="false">H1828-I1828</f>
        <v>3321.856</v>
      </c>
      <c r="K1828" s="33" t="n">
        <f aca="false">IF(OR(E1828=0,E1828&gt;=7),0,D1828/(7-E1828)*E1828*INDEX(Products!$E$2:$E$49,MATCH(C1828,Products!$A$2:$A$49,0)))</f>
        <v>0</v>
      </c>
    </row>
    <row r="1829" customFormat="false" ht="15" hidden="false" customHeight="false" outlineLevel="0" collapsed="false">
      <c r="A1829" s="36" t="n">
        <v>46132</v>
      </c>
      <c r="B1829" s="24" t="s">
        <v>62</v>
      </c>
      <c r="C1829" s="24" t="s">
        <v>165</v>
      </c>
      <c r="D1829" s="33" t="n">
        <v>82</v>
      </c>
      <c r="E1829" s="24" t="n">
        <v>0</v>
      </c>
      <c r="F1829" s="37" t="n">
        <f aca="false">DATE(YEAR(A1829),MONTH(A1829),1)</f>
        <v>46113</v>
      </c>
      <c r="G1829" s="24" t="str">
        <f aca="false">INDEX(Products!$C$2:$C$49,MATCH(C1829,Products!$A$2:$A$49,0))</f>
        <v>Household</v>
      </c>
      <c r="H1829" s="33" t="n">
        <f aca="false">D1829*INDEX(Products!$E$2:$E$49,MATCH(C1829,Products!$A$2:$A$49,0))</f>
        <v>15580</v>
      </c>
      <c r="I1829" s="33" t="n">
        <f aca="false">D1829*INDEX(Products!$D$2:$D$49,MATCH(C1829,Products!$A$2:$A$49,0))*(1+INDEX(Assumptions!$B$16:$B$20,MATCH(B1829,Assumptions!$A$16:$A$20,0)))</f>
        <v>11323.872</v>
      </c>
      <c r="J1829" s="33" t="n">
        <f aca="false">H1829-I1829</f>
        <v>4256.128</v>
      </c>
      <c r="K1829" s="33" t="n">
        <f aca="false">IF(OR(E1829=0,E1829&gt;=7),0,D1829/(7-E1829)*E1829*INDEX(Products!$E$2:$E$49,MATCH(C1829,Products!$A$2:$A$49,0)))</f>
        <v>0</v>
      </c>
    </row>
    <row r="1830" customFormat="false" ht="15" hidden="false" customHeight="false" outlineLevel="0" collapsed="false">
      <c r="A1830" s="36" t="n">
        <v>46139</v>
      </c>
      <c r="B1830" s="24" t="s">
        <v>62</v>
      </c>
      <c r="C1830" s="24" t="s">
        <v>165</v>
      </c>
      <c r="D1830" s="33" t="n">
        <v>72</v>
      </c>
      <c r="E1830" s="24" t="n">
        <v>0</v>
      </c>
      <c r="F1830" s="37" t="n">
        <f aca="false">DATE(YEAR(A1830),MONTH(A1830),1)</f>
        <v>46113</v>
      </c>
      <c r="G1830" s="24" t="str">
        <f aca="false">INDEX(Products!$C$2:$C$49,MATCH(C1830,Products!$A$2:$A$49,0))</f>
        <v>Household</v>
      </c>
      <c r="H1830" s="33" t="n">
        <f aca="false">D1830*INDEX(Products!$E$2:$E$49,MATCH(C1830,Products!$A$2:$A$49,0))</f>
        <v>13680</v>
      </c>
      <c r="I1830" s="33" t="n">
        <f aca="false">D1830*INDEX(Products!$D$2:$D$49,MATCH(C1830,Products!$A$2:$A$49,0))*(1+INDEX(Assumptions!$B$16:$B$20,MATCH(B1830,Assumptions!$A$16:$A$20,0)))</f>
        <v>9942.912</v>
      </c>
      <c r="J1830" s="33" t="n">
        <f aca="false">H1830-I1830</f>
        <v>3737.088</v>
      </c>
      <c r="K1830" s="33" t="n">
        <f aca="false">IF(OR(E1830=0,E1830&gt;=7),0,D1830/(7-E1830)*E1830*INDEX(Products!$E$2:$E$49,MATCH(C1830,Products!$A$2:$A$49,0)))</f>
        <v>0</v>
      </c>
    </row>
    <row r="1831" customFormat="false" ht="15" hidden="false" customHeight="false" outlineLevel="0" collapsed="false">
      <c r="A1831" s="36" t="n">
        <v>46146</v>
      </c>
      <c r="B1831" s="24" t="s">
        <v>62</v>
      </c>
      <c r="C1831" s="24" t="s">
        <v>165</v>
      </c>
      <c r="D1831" s="33" t="n">
        <v>90</v>
      </c>
      <c r="E1831" s="24" t="n">
        <v>0</v>
      </c>
      <c r="F1831" s="37" t="n">
        <f aca="false">DATE(YEAR(A1831),MONTH(A1831),1)</f>
        <v>46143</v>
      </c>
      <c r="G1831" s="24" t="str">
        <f aca="false">INDEX(Products!$C$2:$C$49,MATCH(C1831,Products!$A$2:$A$49,0))</f>
        <v>Household</v>
      </c>
      <c r="H1831" s="33" t="n">
        <f aca="false">D1831*INDEX(Products!$E$2:$E$49,MATCH(C1831,Products!$A$2:$A$49,0))</f>
        <v>17100</v>
      </c>
      <c r="I1831" s="33" t="n">
        <f aca="false">D1831*INDEX(Products!$D$2:$D$49,MATCH(C1831,Products!$A$2:$A$49,0))*(1+INDEX(Assumptions!$B$16:$B$20,MATCH(B1831,Assumptions!$A$16:$A$20,0)))</f>
        <v>12428.64</v>
      </c>
      <c r="J1831" s="33" t="n">
        <f aca="false">H1831-I1831</f>
        <v>4671.36</v>
      </c>
      <c r="K1831" s="33" t="n">
        <f aca="false">IF(OR(E1831=0,E1831&gt;=7),0,D1831/(7-E1831)*E1831*INDEX(Products!$E$2:$E$49,MATCH(C1831,Products!$A$2:$A$49,0)))</f>
        <v>0</v>
      </c>
    </row>
    <row r="1832" customFormat="false" ht="15" hidden="false" customHeight="false" outlineLevel="0" collapsed="false">
      <c r="A1832" s="36" t="n">
        <v>46153</v>
      </c>
      <c r="B1832" s="24" t="s">
        <v>62</v>
      </c>
      <c r="C1832" s="24" t="s">
        <v>165</v>
      </c>
      <c r="D1832" s="33" t="n">
        <v>67</v>
      </c>
      <c r="E1832" s="24" t="n">
        <v>0</v>
      </c>
      <c r="F1832" s="37" t="n">
        <f aca="false">DATE(YEAR(A1832),MONTH(A1832),1)</f>
        <v>46143</v>
      </c>
      <c r="G1832" s="24" t="str">
        <f aca="false">INDEX(Products!$C$2:$C$49,MATCH(C1832,Products!$A$2:$A$49,0))</f>
        <v>Household</v>
      </c>
      <c r="H1832" s="33" t="n">
        <f aca="false">D1832*INDEX(Products!$E$2:$E$49,MATCH(C1832,Products!$A$2:$A$49,0))</f>
        <v>12730</v>
      </c>
      <c r="I1832" s="33" t="n">
        <f aca="false">D1832*INDEX(Products!$D$2:$D$49,MATCH(C1832,Products!$A$2:$A$49,0))*(1+INDEX(Assumptions!$B$16:$B$20,MATCH(B1832,Assumptions!$A$16:$A$20,0)))</f>
        <v>9252.432</v>
      </c>
      <c r="J1832" s="33" t="n">
        <f aca="false">H1832-I1832</f>
        <v>3477.568</v>
      </c>
      <c r="K1832" s="33" t="n">
        <f aca="false">IF(OR(E1832=0,E1832&gt;=7),0,D1832/(7-E1832)*E1832*INDEX(Products!$E$2:$E$49,MATCH(C1832,Products!$A$2:$A$49,0)))</f>
        <v>0</v>
      </c>
    </row>
    <row r="1833" customFormat="false" ht="15" hidden="false" customHeight="false" outlineLevel="0" collapsed="false">
      <c r="A1833" s="36" t="n">
        <v>46160</v>
      </c>
      <c r="B1833" s="24" t="s">
        <v>62</v>
      </c>
      <c r="C1833" s="24" t="s">
        <v>165</v>
      </c>
      <c r="D1833" s="33" t="n">
        <v>85</v>
      </c>
      <c r="E1833" s="24" t="n">
        <v>0</v>
      </c>
      <c r="F1833" s="37" t="n">
        <f aca="false">DATE(YEAR(A1833),MONTH(A1833),1)</f>
        <v>46143</v>
      </c>
      <c r="G1833" s="24" t="str">
        <f aca="false">INDEX(Products!$C$2:$C$49,MATCH(C1833,Products!$A$2:$A$49,0))</f>
        <v>Household</v>
      </c>
      <c r="H1833" s="33" t="n">
        <f aca="false">D1833*INDEX(Products!$E$2:$E$49,MATCH(C1833,Products!$A$2:$A$49,0))</f>
        <v>16150</v>
      </c>
      <c r="I1833" s="33" t="n">
        <f aca="false">D1833*INDEX(Products!$D$2:$D$49,MATCH(C1833,Products!$A$2:$A$49,0))*(1+INDEX(Assumptions!$B$16:$B$20,MATCH(B1833,Assumptions!$A$16:$A$20,0)))</f>
        <v>11738.16</v>
      </c>
      <c r="J1833" s="33" t="n">
        <f aca="false">H1833-I1833</f>
        <v>4411.84</v>
      </c>
      <c r="K1833" s="33" t="n">
        <f aca="false">IF(OR(E1833=0,E1833&gt;=7),0,D1833/(7-E1833)*E1833*INDEX(Products!$E$2:$E$49,MATCH(C1833,Products!$A$2:$A$49,0)))</f>
        <v>0</v>
      </c>
    </row>
    <row r="1834" customFormat="false" ht="15" hidden="false" customHeight="false" outlineLevel="0" collapsed="false">
      <c r="A1834" s="36" t="n">
        <v>46167</v>
      </c>
      <c r="B1834" s="24" t="s">
        <v>62</v>
      </c>
      <c r="C1834" s="24" t="s">
        <v>165</v>
      </c>
      <c r="D1834" s="33" t="n">
        <v>82</v>
      </c>
      <c r="E1834" s="24" t="n">
        <v>0</v>
      </c>
      <c r="F1834" s="37" t="n">
        <f aca="false">DATE(YEAR(A1834),MONTH(A1834),1)</f>
        <v>46143</v>
      </c>
      <c r="G1834" s="24" t="str">
        <f aca="false">INDEX(Products!$C$2:$C$49,MATCH(C1834,Products!$A$2:$A$49,0))</f>
        <v>Household</v>
      </c>
      <c r="H1834" s="33" t="n">
        <f aca="false">D1834*INDEX(Products!$E$2:$E$49,MATCH(C1834,Products!$A$2:$A$49,0))</f>
        <v>15580</v>
      </c>
      <c r="I1834" s="33" t="n">
        <f aca="false">D1834*INDEX(Products!$D$2:$D$49,MATCH(C1834,Products!$A$2:$A$49,0))*(1+INDEX(Assumptions!$B$16:$B$20,MATCH(B1834,Assumptions!$A$16:$A$20,0)))</f>
        <v>11323.872</v>
      </c>
      <c r="J1834" s="33" t="n">
        <f aca="false">H1834-I1834</f>
        <v>4256.128</v>
      </c>
      <c r="K1834" s="33" t="n">
        <f aca="false">IF(OR(E1834=0,E1834&gt;=7),0,D1834/(7-E1834)*E1834*INDEX(Products!$E$2:$E$49,MATCH(C1834,Products!$A$2:$A$49,0)))</f>
        <v>0</v>
      </c>
    </row>
    <row r="1835" customFormat="false" ht="15" hidden="false" customHeight="false" outlineLevel="0" collapsed="false">
      <c r="A1835" s="36" t="n">
        <v>46174</v>
      </c>
      <c r="B1835" s="24" t="s">
        <v>62</v>
      </c>
      <c r="C1835" s="24" t="s">
        <v>165</v>
      </c>
      <c r="D1835" s="33" t="n">
        <v>78</v>
      </c>
      <c r="E1835" s="24" t="n">
        <v>0</v>
      </c>
      <c r="F1835" s="37" t="n">
        <f aca="false">DATE(YEAR(A1835),MONTH(A1835),1)</f>
        <v>46174</v>
      </c>
      <c r="G1835" s="24" t="str">
        <f aca="false">INDEX(Products!$C$2:$C$49,MATCH(C1835,Products!$A$2:$A$49,0))</f>
        <v>Household</v>
      </c>
      <c r="H1835" s="33" t="n">
        <f aca="false">D1835*INDEX(Products!$E$2:$E$49,MATCH(C1835,Products!$A$2:$A$49,0))</f>
        <v>14820</v>
      </c>
      <c r="I1835" s="33" t="n">
        <f aca="false">D1835*INDEX(Products!$D$2:$D$49,MATCH(C1835,Products!$A$2:$A$49,0))*(1+INDEX(Assumptions!$B$16:$B$20,MATCH(B1835,Assumptions!$A$16:$A$20,0)))</f>
        <v>10771.488</v>
      </c>
      <c r="J1835" s="33" t="n">
        <f aca="false">H1835-I1835</f>
        <v>4048.512</v>
      </c>
      <c r="K1835" s="33" t="n">
        <f aca="false">IF(OR(E1835=0,E1835&gt;=7),0,D1835/(7-E1835)*E1835*INDEX(Products!$E$2:$E$49,MATCH(C1835,Products!$A$2:$A$49,0)))</f>
        <v>0</v>
      </c>
    </row>
    <row r="1836" customFormat="false" ht="15" hidden="false" customHeight="false" outlineLevel="0" collapsed="false">
      <c r="A1836" s="36" t="n">
        <v>46181</v>
      </c>
      <c r="B1836" s="24" t="s">
        <v>62</v>
      </c>
      <c r="C1836" s="24" t="s">
        <v>165</v>
      </c>
      <c r="D1836" s="33" t="n">
        <v>60</v>
      </c>
      <c r="E1836" s="24" t="n">
        <v>0</v>
      </c>
      <c r="F1836" s="37" t="n">
        <f aca="false">DATE(YEAR(A1836),MONTH(A1836),1)</f>
        <v>46174</v>
      </c>
      <c r="G1836" s="24" t="str">
        <f aca="false">INDEX(Products!$C$2:$C$49,MATCH(C1836,Products!$A$2:$A$49,0))</f>
        <v>Household</v>
      </c>
      <c r="H1836" s="33" t="n">
        <f aca="false">D1836*INDEX(Products!$E$2:$E$49,MATCH(C1836,Products!$A$2:$A$49,0))</f>
        <v>11400</v>
      </c>
      <c r="I1836" s="33" t="n">
        <f aca="false">D1836*INDEX(Products!$D$2:$D$49,MATCH(C1836,Products!$A$2:$A$49,0))*(1+INDEX(Assumptions!$B$16:$B$20,MATCH(B1836,Assumptions!$A$16:$A$20,0)))</f>
        <v>8285.76</v>
      </c>
      <c r="J1836" s="33" t="n">
        <f aca="false">H1836-I1836</f>
        <v>3114.24</v>
      </c>
      <c r="K1836" s="33" t="n">
        <f aca="false">IF(OR(E1836=0,E1836&gt;=7),0,D1836/(7-E1836)*E1836*INDEX(Products!$E$2:$E$49,MATCH(C1836,Products!$A$2:$A$49,0)))</f>
        <v>0</v>
      </c>
    </row>
    <row r="1837" customFormat="false" ht="15" hidden="false" customHeight="false" outlineLevel="0" collapsed="false">
      <c r="A1837" s="36" t="n">
        <v>46188</v>
      </c>
      <c r="B1837" s="24" t="s">
        <v>62</v>
      </c>
      <c r="C1837" s="24" t="s">
        <v>165</v>
      </c>
      <c r="D1837" s="33" t="n">
        <v>65</v>
      </c>
      <c r="E1837" s="24" t="n">
        <v>0</v>
      </c>
      <c r="F1837" s="37" t="n">
        <f aca="false">DATE(YEAR(A1837),MONTH(A1837),1)</f>
        <v>46174</v>
      </c>
      <c r="G1837" s="24" t="str">
        <f aca="false">INDEX(Products!$C$2:$C$49,MATCH(C1837,Products!$A$2:$A$49,0))</f>
        <v>Household</v>
      </c>
      <c r="H1837" s="33" t="n">
        <f aca="false">D1837*INDEX(Products!$E$2:$E$49,MATCH(C1837,Products!$A$2:$A$49,0))</f>
        <v>12350</v>
      </c>
      <c r="I1837" s="33" t="n">
        <f aca="false">D1837*INDEX(Products!$D$2:$D$49,MATCH(C1837,Products!$A$2:$A$49,0))*(1+INDEX(Assumptions!$B$16:$B$20,MATCH(B1837,Assumptions!$A$16:$A$20,0)))</f>
        <v>8976.24</v>
      </c>
      <c r="J1837" s="33" t="n">
        <f aca="false">H1837-I1837</f>
        <v>3373.76</v>
      </c>
      <c r="K1837" s="33" t="n">
        <f aca="false">IF(OR(E1837=0,E1837&gt;=7),0,D1837/(7-E1837)*E1837*INDEX(Products!$E$2:$E$49,MATCH(C1837,Products!$A$2:$A$49,0)))</f>
        <v>0</v>
      </c>
    </row>
    <row r="1838" customFormat="false" ht="15" hidden="false" customHeight="false" outlineLevel="0" collapsed="false">
      <c r="A1838" s="36" t="n">
        <v>46195</v>
      </c>
      <c r="B1838" s="24" t="s">
        <v>62</v>
      </c>
      <c r="C1838" s="24" t="s">
        <v>165</v>
      </c>
      <c r="D1838" s="33" t="n">
        <v>69</v>
      </c>
      <c r="E1838" s="24" t="n">
        <v>0</v>
      </c>
      <c r="F1838" s="37" t="n">
        <f aca="false">DATE(YEAR(A1838),MONTH(A1838),1)</f>
        <v>46174</v>
      </c>
      <c r="G1838" s="24" t="str">
        <f aca="false">INDEX(Products!$C$2:$C$49,MATCH(C1838,Products!$A$2:$A$49,0))</f>
        <v>Household</v>
      </c>
      <c r="H1838" s="33" t="n">
        <f aca="false">D1838*INDEX(Products!$E$2:$E$49,MATCH(C1838,Products!$A$2:$A$49,0))</f>
        <v>13110</v>
      </c>
      <c r="I1838" s="33" t="n">
        <f aca="false">D1838*INDEX(Products!$D$2:$D$49,MATCH(C1838,Products!$A$2:$A$49,0))*(1+INDEX(Assumptions!$B$16:$B$20,MATCH(B1838,Assumptions!$A$16:$A$20,0)))</f>
        <v>9528.624</v>
      </c>
      <c r="J1838" s="33" t="n">
        <f aca="false">H1838-I1838</f>
        <v>3581.376</v>
      </c>
      <c r="K1838" s="33" t="n">
        <f aca="false">IF(OR(E1838=0,E1838&gt;=7),0,D1838/(7-E1838)*E1838*INDEX(Products!$E$2:$E$49,MATCH(C1838,Products!$A$2:$A$49,0)))</f>
        <v>0</v>
      </c>
    </row>
    <row r="1839" customFormat="false" ht="15" hidden="false" customHeight="false" outlineLevel="0" collapsed="false">
      <c r="A1839" s="36" t="n">
        <v>46202</v>
      </c>
      <c r="B1839" s="24" t="s">
        <v>62</v>
      </c>
      <c r="C1839" s="24" t="s">
        <v>165</v>
      </c>
      <c r="D1839" s="33" t="n">
        <v>74</v>
      </c>
      <c r="E1839" s="24" t="n">
        <v>0</v>
      </c>
      <c r="F1839" s="37" t="n">
        <f aca="false">DATE(YEAR(A1839),MONTH(A1839),1)</f>
        <v>46174</v>
      </c>
      <c r="G1839" s="24" t="str">
        <f aca="false">INDEX(Products!$C$2:$C$49,MATCH(C1839,Products!$A$2:$A$49,0))</f>
        <v>Household</v>
      </c>
      <c r="H1839" s="33" t="n">
        <f aca="false">D1839*INDEX(Products!$E$2:$E$49,MATCH(C1839,Products!$A$2:$A$49,0))</f>
        <v>14060</v>
      </c>
      <c r="I1839" s="33" t="n">
        <f aca="false">D1839*INDEX(Products!$D$2:$D$49,MATCH(C1839,Products!$A$2:$A$49,0))*(1+INDEX(Assumptions!$B$16:$B$20,MATCH(B1839,Assumptions!$A$16:$A$20,0)))</f>
        <v>10219.104</v>
      </c>
      <c r="J1839" s="33" t="n">
        <f aca="false">H1839-I1839</f>
        <v>3840.896</v>
      </c>
      <c r="K1839" s="33" t="n">
        <f aca="false">IF(OR(E1839=0,E1839&gt;=7),0,D1839/(7-E1839)*E1839*INDEX(Products!$E$2:$E$49,MATCH(C1839,Products!$A$2:$A$49,0)))</f>
        <v>0</v>
      </c>
    </row>
    <row r="1840" customFormat="false" ht="15" hidden="false" customHeight="false" outlineLevel="0" collapsed="false">
      <c r="A1840" s="36" t="n">
        <v>46209</v>
      </c>
      <c r="B1840" s="24" t="s">
        <v>62</v>
      </c>
      <c r="C1840" s="24" t="s">
        <v>165</v>
      </c>
      <c r="D1840" s="33" t="n">
        <v>64</v>
      </c>
      <c r="E1840" s="24" t="n">
        <v>0</v>
      </c>
      <c r="F1840" s="37" t="n">
        <f aca="false">DATE(YEAR(A1840),MONTH(A1840),1)</f>
        <v>46204</v>
      </c>
      <c r="G1840" s="24" t="str">
        <f aca="false">INDEX(Products!$C$2:$C$49,MATCH(C1840,Products!$A$2:$A$49,0))</f>
        <v>Household</v>
      </c>
      <c r="H1840" s="33" t="n">
        <f aca="false">D1840*INDEX(Products!$E$2:$E$49,MATCH(C1840,Products!$A$2:$A$49,0))</f>
        <v>12160</v>
      </c>
      <c r="I1840" s="33" t="n">
        <f aca="false">D1840*INDEX(Products!$D$2:$D$49,MATCH(C1840,Products!$A$2:$A$49,0))*(1+INDEX(Assumptions!$B$16:$B$20,MATCH(B1840,Assumptions!$A$16:$A$20,0)))</f>
        <v>8838.144</v>
      </c>
      <c r="J1840" s="33" t="n">
        <f aca="false">H1840-I1840</f>
        <v>3321.856</v>
      </c>
      <c r="K1840" s="33" t="n">
        <f aca="false">IF(OR(E1840=0,E1840&gt;=7),0,D1840/(7-E1840)*E1840*INDEX(Products!$E$2:$E$49,MATCH(C1840,Products!$A$2:$A$49,0)))</f>
        <v>0</v>
      </c>
    </row>
    <row r="1841" customFormat="false" ht="15" hidden="false" customHeight="false" outlineLevel="0" collapsed="false">
      <c r="A1841" s="36" t="n">
        <v>46216</v>
      </c>
      <c r="B1841" s="24" t="s">
        <v>62</v>
      </c>
      <c r="C1841" s="24" t="s">
        <v>165</v>
      </c>
      <c r="D1841" s="33" t="n">
        <v>70</v>
      </c>
      <c r="E1841" s="24" t="n">
        <v>0</v>
      </c>
      <c r="F1841" s="37" t="n">
        <f aca="false">DATE(YEAR(A1841),MONTH(A1841),1)</f>
        <v>46204</v>
      </c>
      <c r="G1841" s="24" t="str">
        <f aca="false">INDEX(Products!$C$2:$C$49,MATCH(C1841,Products!$A$2:$A$49,0))</f>
        <v>Household</v>
      </c>
      <c r="H1841" s="33" t="n">
        <f aca="false">D1841*INDEX(Products!$E$2:$E$49,MATCH(C1841,Products!$A$2:$A$49,0))</f>
        <v>13300</v>
      </c>
      <c r="I1841" s="33" t="n">
        <f aca="false">D1841*INDEX(Products!$D$2:$D$49,MATCH(C1841,Products!$A$2:$A$49,0))*(1+INDEX(Assumptions!$B$16:$B$20,MATCH(B1841,Assumptions!$A$16:$A$20,0)))</f>
        <v>9666.72</v>
      </c>
      <c r="J1841" s="33" t="n">
        <f aca="false">H1841-I1841</f>
        <v>3633.28</v>
      </c>
      <c r="K1841" s="33" t="n">
        <f aca="false">IF(OR(E1841=0,E1841&gt;=7),0,D1841/(7-E1841)*E1841*INDEX(Products!$E$2:$E$49,MATCH(C1841,Products!$A$2:$A$49,0)))</f>
        <v>0</v>
      </c>
    </row>
    <row r="1842" customFormat="false" ht="15" hidden="false" customHeight="false" outlineLevel="0" collapsed="false">
      <c r="A1842" s="36" t="n">
        <v>46223</v>
      </c>
      <c r="B1842" s="24" t="s">
        <v>62</v>
      </c>
      <c r="C1842" s="24" t="s">
        <v>165</v>
      </c>
      <c r="D1842" s="33" t="n">
        <v>81</v>
      </c>
      <c r="E1842" s="24" t="n">
        <v>0</v>
      </c>
      <c r="F1842" s="37" t="n">
        <f aca="false">DATE(YEAR(A1842),MONTH(A1842),1)</f>
        <v>46204</v>
      </c>
      <c r="G1842" s="24" t="str">
        <f aca="false">INDEX(Products!$C$2:$C$49,MATCH(C1842,Products!$A$2:$A$49,0))</f>
        <v>Household</v>
      </c>
      <c r="H1842" s="33" t="n">
        <f aca="false">D1842*INDEX(Products!$E$2:$E$49,MATCH(C1842,Products!$A$2:$A$49,0))</f>
        <v>15390</v>
      </c>
      <c r="I1842" s="33" t="n">
        <f aca="false">D1842*INDEX(Products!$D$2:$D$49,MATCH(C1842,Products!$A$2:$A$49,0))*(1+INDEX(Assumptions!$B$16:$B$20,MATCH(B1842,Assumptions!$A$16:$A$20,0)))</f>
        <v>11185.776</v>
      </c>
      <c r="J1842" s="33" t="n">
        <f aca="false">H1842-I1842</f>
        <v>4204.224</v>
      </c>
      <c r="K1842" s="33" t="n">
        <f aca="false">IF(OR(E1842=0,E1842&gt;=7),0,D1842/(7-E1842)*E1842*INDEX(Products!$E$2:$E$49,MATCH(C1842,Products!$A$2:$A$49,0)))</f>
        <v>0</v>
      </c>
    </row>
    <row r="1843" customFormat="false" ht="15" hidden="false" customHeight="false" outlineLevel="0" collapsed="false">
      <c r="A1843" s="36" t="n">
        <v>46230</v>
      </c>
      <c r="B1843" s="24" t="s">
        <v>62</v>
      </c>
      <c r="C1843" s="24" t="s">
        <v>165</v>
      </c>
      <c r="D1843" s="33" t="n">
        <v>75</v>
      </c>
      <c r="E1843" s="24" t="n">
        <v>0</v>
      </c>
      <c r="F1843" s="37" t="n">
        <f aca="false">DATE(YEAR(A1843),MONTH(A1843),1)</f>
        <v>46204</v>
      </c>
      <c r="G1843" s="24" t="str">
        <f aca="false">INDEX(Products!$C$2:$C$49,MATCH(C1843,Products!$A$2:$A$49,0))</f>
        <v>Household</v>
      </c>
      <c r="H1843" s="33" t="n">
        <f aca="false">D1843*INDEX(Products!$E$2:$E$49,MATCH(C1843,Products!$A$2:$A$49,0))</f>
        <v>14250</v>
      </c>
      <c r="I1843" s="33" t="n">
        <f aca="false">D1843*INDEX(Products!$D$2:$D$49,MATCH(C1843,Products!$A$2:$A$49,0))*(1+INDEX(Assumptions!$B$16:$B$20,MATCH(B1843,Assumptions!$A$16:$A$20,0)))</f>
        <v>10357.2</v>
      </c>
      <c r="J1843" s="33" t="n">
        <f aca="false">H1843-I1843</f>
        <v>3892.8</v>
      </c>
      <c r="K1843" s="33" t="n">
        <f aca="false">IF(OR(E1843=0,E1843&gt;=7),0,D1843/(7-E1843)*E1843*INDEX(Products!$E$2:$E$49,MATCH(C1843,Products!$A$2:$A$49,0)))</f>
        <v>0</v>
      </c>
    </row>
    <row r="1844" customFormat="false" ht="15" hidden="false" customHeight="false" outlineLevel="0" collapsed="false">
      <c r="A1844" s="36" t="n">
        <v>46237</v>
      </c>
      <c r="B1844" s="24" t="s">
        <v>62</v>
      </c>
      <c r="C1844" s="24" t="s">
        <v>165</v>
      </c>
      <c r="D1844" s="33" t="n">
        <v>57</v>
      </c>
      <c r="E1844" s="24" t="n">
        <v>0</v>
      </c>
      <c r="F1844" s="37" t="n">
        <f aca="false">DATE(YEAR(A1844),MONTH(A1844),1)</f>
        <v>46235</v>
      </c>
      <c r="G1844" s="24" t="str">
        <f aca="false">INDEX(Products!$C$2:$C$49,MATCH(C1844,Products!$A$2:$A$49,0))</f>
        <v>Household</v>
      </c>
      <c r="H1844" s="33" t="n">
        <f aca="false">D1844*INDEX(Products!$E$2:$E$49,MATCH(C1844,Products!$A$2:$A$49,0))</f>
        <v>10830</v>
      </c>
      <c r="I1844" s="33" t="n">
        <f aca="false">D1844*INDEX(Products!$D$2:$D$49,MATCH(C1844,Products!$A$2:$A$49,0))*(1+INDEX(Assumptions!$B$16:$B$20,MATCH(B1844,Assumptions!$A$16:$A$20,0)))</f>
        <v>7871.472</v>
      </c>
      <c r="J1844" s="33" t="n">
        <f aca="false">H1844-I1844</f>
        <v>2958.528</v>
      </c>
      <c r="K1844" s="33" t="n">
        <f aca="false">IF(OR(E1844=0,E1844&gt;=7),0,D1844/(7-E1844)*E1844*INDEX(Products!$E$2:$E$49,MATCH(C1844,Products!$A$2:$A$49,0)))</f>
        <v>0</v>
      </c>
    </row>
    <row r="1845" customFormat="false" ht="15" hidden="false" customHeight="false" outlineLevel="0" collapsed="false">
      <c r="A1845" s="36" t="n">
        <v>46244</v>
      </c>
      <c r="B1845" s="24" t="s">
        <v>62</v>
      </c>
      <c r="C1845" s="24" t="s">
        <v>165</v>
      </c>
      <c r="D1845" s="33" t="n">
        <v>65</v>
      </c>
      <c r="E1845" s="24" t="n">
        <v>0</v>
      </c>
      <c r="F1845" s="37" t="n">
        <f aca="false">DATE(YEAR(A1845),MONTH(A1845),1)</f>
        <v>46235</v>
      </c>
      <c r="G1845" s="24" t="str">
        <f aca="false">INDEX(Products!$C$2:$C$49,MATCH(C1845,Products!$A$2:$A$49,0))</f>
        <v>Household</v>
      </c>
      <c r="H1845" s="33" t="n">
        <f aca="false">D1845*INDEX(Products!$E$2:$E$49,MATCH(C1845,Products!$A$2:$A$49,0))</f>
        <v>12350</v>
      </c>
      <c r="I1845" s="33" t="n">
        <f aca="false">D1845*INDEX(Products!$D$2:$D$49,MATCH(C1845,Products!$A$2:$A$49,0))*(1+INDEX(Assumptions!$B$16:$B$20,MATCH(B1845,Assumptions!$A$16:$A$20,0)))</f>
        <v>8976.24</v>
      </c>
      <c r="J1845" s="33" t="n">
        <f aca="false">H1845-I1845</f>
        <v>3373.76</v>
      </c>
      <c r="K1845" s="33" t="n">
        <f aca="false">IF(OR(E1845=0,E1845&gt;=7),0,D1845/(7-E1845)*E1845*INDEX(Products!$E$2:$E$49,MATCH(C1845,Products!$A$2:$A$49,0)))</f>
        <v>0</v>
      </c>
    </row>
    <row r="1846" customFormat="false" ht="15" hidden="false" customHeight="false" outlineLevel="0" collapsed="false">
      <c r="A1846" s="36" t="n">
        <v>46251</v>
      </c>
      <c r="B1846" s="24" t="s">
        <v>62</v>
      </c>
      <c r="C1846" s="24" t="s">
        <v>165</v>
      </c>
      <c r="D1846" s="33" t="n">
        <v>65</v>
      </c>
      <c r="E1846" s="24" t="n">
        <v>0</v>
      </c>
      <c r="F1846" s="37" t="n">
        <f aca="false">DATE(YEAR(A1846),MONTH(A1846),1)</f>
        <v>46235</v>
      </c>
      <c r="G1846" s="24" t="str">
        <f aca="false">INDEX(Products!$C$2:$C$49,MATCH(C1846,Products!$A$2:$A$49,0))</f>
        <v>Household</v>
      </c>
      <c r="H1846" s="33" t="n">
        <f aca="false">D1846*INDEX(Products!$E$2:$E$49,MATCH(C1846,Products!$A$2:$A$49,0))</f>
        <v>12350</v>
      </c>
      <c r="I1846" s="33" t="n">
        <f aca="false">D1846*INDEX(Products!$D$2:$D$49,MATCH(C1846,Products!$A$2:$A$49,0))*(1+INDEX(Assumptions!$B$16:$B$20,MATCH(B1846,Assumptions!$A$16:$A$20,0)))</f>
        <v>8976.24</v>
      </c>
      <c r="J1846" s="33" t="n">
        <f aca="false">H1846-I1846</f>
        <v>3373.76</v>
      </c>
      <c r="K1846" s="33" t="n">
        <f aca="false">IF(OR(E1846=0,E1846&gt;=7),0,D1846/(7-E1846)*E1846*INDEX(Products!$E$2:$E$49,MATCH(C1846,Products!$A$2:$A$49,0)))</f>
        <v>0</v>
      </c>
    </row>
    <row r="1847" customFormat="false" ht="15" hidden="false" customHeight="false" outlineLevel="0" collapsed="false">
      <c r="A1847" s="36" t="n">
        <v>46258</v>
      </c>
      <c r="B1847" s="24" t="s">
        <v>62</v>
      </c>
      <c r="C1847" s="24" t="s">
        <v>165</v>
      </c>
      <c r="D1847" s="33" t="n">
        <v>77</v>
      </c>
      <c r="E1847" s="24" t="n">
        <v>0</v>
      </c>
      <c r="F1847" s="37" t="n">
        <f aca="false">DATE(YEAR(A1847),MONTH(A1847),1)</f>
        <v>46235</v>
      </c>
      <c r="G1847" s="24" t="str">
        <f aca="false">INDEX(Products!$C$2:$C$49,MATCH(C1847,Products!$A$2:$A$49,0))</f>
        <v>Household</v>
      </c>
      <c r="H1847" s="33" t="n">
        <f aca="false">D1847*INDEX(Products!$E$2:$E$49,MATCH(C1847,Products!$A$2:$A$49,0))</f>
        <v>14630</v>
      </c>
      <c r="I1847" s="33" t="n">
        <f aca="false">D1847*INDEX(Products!$D$2:$D$49,MATCH(C1847,Products!$A$2:$A$49,0))*(1+INDEX(Assumptions!$B$16:$B$20,MATCH(B1847,Assumptions!$A$16:$A$20,0)))</f>
        <v>10633.392</v>
      </c>
      <c r="J1847" s="33" t="n">
        <f aca="false">H1847-I1847</f>
        <v>3996.608</v>
      </c>
      <c r="K1847" s="33" t="n">
        <f aca="false">IF(OR(E1847=0,E1847&gt;=7),0,D1847/(7-E1847)*E1847*INDEX(Products!$E$2:$E$49,MATCH(C1847,Products!$A$2:$A$49,0)))</f>
        <v>0</v>
      </c>
    </row>
    <row r="1848" customFormat="false" ht="15" hidden="false" customHeight="false" outlineLevel="0" collapsed="false">
      <c r="A1848" s="36" t="n">
        <v>46265</v>
      </c>
      <c r="B1848" s="24" t="s">
        <v>62</v>
      </c>
      <c r="C1848" s="24" t="s">
        <v>165</v>
      </c>
      <c r="D1848" s="33" t="n">
        <v>68</v>
      </c>
      <c r="E1848" s="24" t="n">
        <v>0</v>
      </c>
      <c r="F1848" s="37" t="n">
        <f aca="false">DATE(YEAR(A1848),MONTH(A1848),1)</f>
        <v>46235</v>
      </c>
      <c r="G1848" s="24" t="str">
        <f aca="false">INDEX(Products!$C$2:$C$49,MATCH(C1848,Products!$A$2:$A$49,0))</f>
        <v>Household</v>
      </c>
      <c r="H1848" s="33" t="n">
        <f aca="false">D1848*INDEX(Products!$E$2:$E$49,MATCH(C1848,Products!$A$2:$A$49,0))</f>
        <v>12920</v>
      </c>
      <c r="I1848" s="33" t="n">
        <f aca="false">D1848*INDEX(Products!$D$2:$D$49,MATCH(C1848,Products!$A$2:$A$49,0))*(1+INDEX(Assumptions!$B$16:$B$20,MATCH(B1848,Assumptions!$A$16:$A$20,0)))</f>
        <v>9390.528</v>
      </c>
      <c r="J1848" s="33" t="n">
        <f aca="false">H1848-I1848</f>
        <v>3529.472</v>
      </c>
      <c r="K1848" s="33" t="n">
        <f aca="false">IF(OR(E1848=0,E1848&gt;=7),0,D1848/(7-E1848)*E1848*INDEX(Products!$E$2:$E$49,MATCH(C1848,Products!$A$2:$A$49,0)))</f>
        <v>0</v>
      </c>
    </row>
    <row r="1849" customFormat="false" ht="15" hidden="false" customHeight="false" outlineLevel="0" collapsed="false">
      <c r="A1849" s="36" t="n">
        <v>46272</v>
      </c>
      <c r="B1849" s="24" t="s">
        <v>62</v>
      </c>
      <c r="C1849" s="24" t="s">
        <v>165</v>
      </c>
      <c r="D1849" s="33" t="n">
        <v>70</v>
      </c>
      <c r="E1849" s="24" t="n">
        <v>0</v>
      </c>
      <c r="F1849" s="37" t="n">
        <f aca="false">DATE(YEAR(A1849),MONTH(A1849),1)</f>
        <v>46266</v>
      </c>
      <c r="G1849" s="24" t="str">
        <f aca="false">INDEX(Products!$C$2:$C$49,MATCH(C1849,Products!$A$2:$A$49,0))</f>
        <v>Household</v>
      </c>
      <c r="H1849" s="33" t="n">
        <f aca="false">D1849*INDEX(Products!$E$2:$E$49,MATCH(C1849,Products!$A$2:$A$49,0))</f>
        <v>13300</v>
      </c>
      <c r="I1849" s="33" t="n">
        <f aca="false">D1849*INDEX(Products!$D$2:$D$49,MATCH(C1849,Products!$A$2:$A$49,0))*(1+INDEX(Assumptions!$B$16:$B$20,MATCH(B1849,Assumptions!$A$16:$A$20,0)))</f>
        <v>9666.72</v>
      </c>
      <c r="J1849" s="33" t="n">
        <f aca="false">H1849-I1849</f>
        <v>3633.28</v>
      </c>
      <c r="K1849" s="33" t="n">
        <f aca="false">IF(OR(E1849=0,E1849&gt;=7),0,D1849/(7-E1849)*E1849*INDEX(Products!$E$2:$E$49,MATCH(C1849,Products!$A$2:$A$49,0)))</f>
        <v>0</v>
      </c>
    </row>
    <row r="1850" customFormat="false" ht="15" hidden="false" customHeight="false" outlineLevel="0" collapsed="false">
      <c r="A1850" s="36" t="n">
        <v>46279</v>
      </c>
      <c r="B1850" s="24" t="s">
        <v>62</v>
      </c>
      <c r="C1850" s="24" t="s">
        <v>165</v>
      </c>
      <c r="D1850" s="33" t="n">
        <v>75</v>
      </c>
      <c r="E1850" s="24" t="n">
        <v>0</v>
      </c>
      <c r="F1850" s="37" t="n">
        <f aca="false">DATE(YEAR(A1850),MONTH(A1850),1)</f>
        <v>46266</v>
      </c>
      <c r="G1850" s="24" t="str">
        <f aca="false">INDEX(Products!$C$2:$C$49,MATCH(C1850,Products!$A$2:$A$49,0))</f>
        <v>Household</v>
      </c>
      <c r="H1850" s="33" t="n">
        <f aca="false">D1850*INDEX(Products!$E$2:$E$49,MATCH(C1850,Products!$A$2:$A$49,0))</f>
        <v>14250</v>
      </c>
      <c r="I1850" s="33" t="n">
        <f aca="false">D1850*INDEX(Products!$D$2:$D$49,MATCH(C1850,Products!$A$2:$A$49,0))*(1+INDEX(Assumptions!$B$16:$B$20,MATCH(B1850,Assumptions!$A$16:$A$20,0)))</f>
        <v>10357.2</v>
      </c>
      <c r="J1850" s="33" t="n">
        <f aca="false">H1850-I1850</f>
        <v>3892.8</v>
      </c>
      <c r="K1850" s="33" t="n">
        <f aca="false">IF(OR(E1850=0,E1850&gt;=7),0,D1850/(7-E1850)*E1850*INDEX(Products!$E$2:$E$49,MATCH(C1850,Products!$A$2:$A$49,0)))</f>
        <v>0</v>
      </c>
    </row>
    <row r="1851" customFormat="false" ht="15" hidden="false" customHeight="false" outlineLevel="0" collapsed="false">
      <c r="A1851" s="36" t="n">
        <v>46286</v>
      </c>
      <c r="B1851" s="24" t="s">
        <v>62</v>
      </c>
      <c r="C1851" s="24" t="s">
        <v>165</v>
      </c>
      <c r="D1851" s="33" t="n">
        <v>132</v>
      </c>
      <c r="E1851" s="24" t="n">
        <v>0</v>
      </c>
      <c r="F1851" s="37" t="n">
        <f aca="false">DATE(YEAR(A1851),MONTH(A1851),1)</f>
        <v>46266</v>
      </c>
      <c r="G1851" s="24" t="str">
        <f aca="false">INDEX(Products!$C$2:$C$49,MATCH(C1851,Products!$A$2:$A$49,0))</f>
        <v>Household</v>
      </c>
      <c r="H1851" s="33" t="n">
        <f aca="false">D1851*INDEX(Products!$E$2:$E$49,MATCH(C1851,Products!$A$2:$A$49,0))</f>
        <v>25080</v>
      </c>
      <c r="I1851" s="33" t="n">
        <f aca="false">D1851*INDEX(Products!$D$2:$D$49,MATCH(C1851,Products!$A$2:$A$49,0))*(1+INDEX(Assumptions!$B$16:$B$20,MATCH(B1851,Assumptions!$A$16:$A$20,0)))</f>
        <v>18228.672</v>
      </c>
      <c r="J1851" s="33" t="n">
        <f aca="false">H1851-I1851</f>
        <v>6851.328</v>
      </c>
      <c r="K1851" s="33" t="n">
        <f aca="false">IF(OR(E1851=0,E1851&gt;=7),0,D1851/(7-E1851)*E1851*INDEX(Products!$E$2:$E$49,MATCH(C1851,Products!$A$2:$A$49,0)))</f>
        <v>0</v>
      </c>
    </row>
    <row r="1852" customFormat="false" ht="15" hidden="false" customHeight="false" outlineLevel="0" collapsed="false">
      <c r="A1852" s="36" t="n">
        <v>46118</v>
      </c>
      <c r="B1852" s="24" t="s">
        <v>62</v>
      </c>
      <c r="C1852" s="24" t="s">
        <v>167</v>
      </c>
      <c r="D1852" s="33" t="n">
        <v>59</v>
      </c>
      <c r="E1852" s="24" t="n">
        <v>0</v>
      </c>
      <c r="F1852" s="37" t="n">
        <f aca="false">DATE(YEAR(A1852),MONTH(A1852),1)</f>
        <v>46113</v>
      </c>
      <c r="G1852" s="24" t="str">
        <f aca="false">INDEX(Products!$C$2:$C$49,MATCH(C1852,Products!$A$2:$A$49,0))</f>
        <v>Household</v>
      </c>
      <c r="H1852" s="33" t="n">
        <f aca="false">D1852*INDEX(Products!$E$2:$E$49,MATCH(C1852,Products!$A$2:$A$49,0))</f>
        <v>8850</v>
      </c>
      <c r="I1852" s="33" t="n">
        <f aca="false">D1852*INDEX(Products!$D$2:$D$49,MATCH(C1852,Products!$A$2:$A$49,0))*(1+INDEX(Assumptions!$B$16:$B$20,MATCH(B1852,Assumptions!$A$16:$A$20,0)))</f>
        <v>6660.864</v>
      </c>
      <c r="J1852" s="33" t="n">
        <f aca="false">H1852-I1852</f>
        <v>2189.136</v>
      </c>
      <c r="K1852" s="33" t="n">
        <f aca="false">IF(OR(E1852=0,E1852&gt;=7),0,D1852/(7-E1852)*E1852*INDEX(Products!$E$2:$E$49,MATCH(C1852,Products!$A$2:$A$49,0)))</f>
        <v>0</v>
      </c>
    </row>
    <row r="1853" customFormat="false" ht="15" hidden="false" customHeight="false" outlineLevel="0" collapsed="false">
      <c r="A1853" s="36" t="n">
        <v>46125</v>
      </c>
      <c r="B1853" s="24" t="s">
        <v>62</v>
      </c>
      <c r="C1853" s="24" t="s">
        <v>167</v>
      </c>
      <c r="D1853" s="33" t="n">
        <v>57</v>
      </c>
      <c r="E1853" s="24" t="n">
        <v>0</v>
      </c>
      <c r="F1853" s="37" t="n">
        <f aca="false">DATE(YEAR(A1853),MONTH(A1853),1)</f>
        <v>46113</v>
      </c>
      <c r="G1853" s="24" t="str">
        <f aca="false">INDEX(Products!$C$2:$C$49,MATCH(C1853,Products!$A$2:$A$49,0))</f>
        <v>Household</v>
      </c>
      <c r="H1853" s="33" t="n">
        <f aca="false">D1853*INDEX(Products!$E$2:$E$49,MATCH(C1853,Products!$A$2:$A$49,0))</f>
        <v>8550</v>
      </c>
      <c r="I1853" s="33" t="n">
        <f aca="false">D1853*INDEX(Products!$D$2:$D$49,MATCH(C1853,Products!$A$2:$A$49,0))*(1+INDEX(Assumptions!$B$16:$B$20,MATCH(B1853,Assumptions!$A$16:$A$20,0)))</f>
        <v>6435.072</v>
      </c>
      <c r="J1853" s="33" t="n">
        <f aca="false">H1853-I1853</f>
        <v>2114.928</v>
      </c>
      <c r="K1853" s="33" t="n">
        <f aca="false">IF(OR(E1853=0,E1853&gt;=7),0,D1853/(7-E1853)*E1853*INDEX(Products!$E$2:$E$49,MATCH(C1853,Products!$A$2:$A$49,0)))</f>
        <v>0</v>
      </c>
    </row>
    <row r="1854" customFormat="false" ht="15" hidden="false" customHeight="false" outlineLevel="0" collapsed="false">
      <c r="A1854" s="36" t="n">
        <v>46132</v>
      </c>
      <c r="B1854" s="24" t="s">
        <v>62</v>
      </c>
      <c r="C1854" s="24" t="s">
        <v>167</v>
      </c>
      <c r="D1854" s="33" t="n">
        <v>48</v>
      </c>
      <c r="E1854" s="24" t="n">
        <v>0</v>
      </c>
      <c r="F1854" s="37" t="n">
        <f aca="false">DATE(YEAR(A1854),MONTH(A1854),1)</f>
        <v>46113</v>
      </c>
      <c r="G1854" s="24" t="str">
        <f aca="false">INDEX(Products!$C$2:$C$49,MATCH(C1854,Products!$A$2:$A$49,0))</f>
        <v>Household</v>
      </c>
      <c r="H1854" s="33" t="n">
        <f aca="false">D1854*INDEX(Products!$E$2:$E$49,MATCH(C1854,Products!$A$2:$A$49,0))</f>
        <v>7200</v>
      </c>
      <c r="I1854" s="33" t="n">
        <f aca="false">D1854*INDEX(Products!$D$2:$D$49,MATCH(C1854,Products!$A$2:$A$49,0))*(1+INDEX(Assumptions!$B$16:$B$20,MATCH(B1854,Assumptions!$A$16:$A$20,0)))</f>
        <v>5419.008</v>
      </c>
      <c r="J1854" s="33" t="n">
        <f aca="false">H1854-I1854</f>
        <v>1780.992</v>
      </c>
      <c r="K1854" s="33" t="n">
        <f aca="false">IF(OR(E1854=0,E1854&gt;=7),0,D1854/(7-E1854)*E1854*INDEX(Products!$E$2:$E$49,MATCH(C1854,Products!$A$2:$A$49,0)))</f>
        <v>0</v>
      </c>
    </row>
    <row r="1855" customFormat="false" ht="15" hidden="false" customHeight="false" outlineLevel="0" collapsed="false">
      <c r="A1855" s="36" t="n">
        <v>46139</v>
      </c>
      <c r="B1855" s="24" t="s">
        <v>62</v>
      </c>
      <c r="C1855" s="24" t="s">
        <v>167</v>
      </c>
      <c r="D1855" s="33" t="n">
        <v>62</v>
      </c>
      <c r="E1855" s="24" t="n">
        <v>0</v>
      </c>
      <c r="F1855" s="37" t="n">
        <f aca="false">DATE(YEAR(A1855),MONTH(A1855),1)</f>
        <v>46113</v>
      </c>
      <c r="G1855" s="24" t="str">
        <f aca="false">INDEX(Products!$C$2:$C$49,MATCH(C1855,Products!$A$2:$A$49,0))</f>
        <v>Household</v>
      </c>
      <c r="H1855" s="33" t="n">
        <f aca="false">D1855*INDEX(Products!$E$2:$E$49,MATCH(C1855,Products!$A$2:$A$49,0))</f>
        <v>9300</v>
      </c>
      <c r="I1855" s="33" t="n">
        <f aca="false">D1855*INDEX(Products!$D$2:$D$49,MATCH(C1855,Products!$A$2:$A$49,0))*(1+INDEX(Assumptions!$B$16:$B$20,MATCH(B1855,Assumptions!$A$16:$A$20,0)))</f>
        <v>6999.552</v>
      </c>
      <c r="J1855" s="33" t="n">
        <f aca="false">H1855-I1855</f>
        <v>2300.448</v>
      </c>
      <c r="K1855" s="33" t="n">
        <f aca="false">IF(OR(E1855=0,E1855&gt;=7),0,D1855/(7-E1855)*E1855*INDEX(Products!$E$2:$E$49,MATCH(C1855,Products!$A$2:$A$49,0)))</f>
        <v>0</v>
      </c>
    </row>
    <row r="1856" customFormat="false" ht="15" hidden="false" customHeight="false" outlineLevel="0" collapsed="false">
      <c r="A1856" s="36" t="n">
        <v>46146</v>
      </c>
      <c r="B1856" s="24" t="s">
        <v>62</v>
      </c>
      <c r="C1856" s="24" t="s">
        <v>167</v>
      </c>
      <c r="D1856" s="33" t="n">
        <v>55</v>
      </c>
      <c r="E1856" s="24" t="n">
        <v>0</v>
      </c>
      <c r="F1856" s="37" t="n">
        <f aca="false">DATE(YEAR(A1856),MONTH(A1856),1)</f>
        <v>46143</v>
      </c>
      <c r="G1856" s="24" t="str">
        <f aca="false">INDEX(Products!$C$2:$C$49,MATCH(C1856,Products!$A$2:$A$49,0))</f>
        <v>Household</v>
      </c>
      <c r="H1856" s="33" t="n">
        <f aca="false">D1856*INDEX(Products!$E$2:$E$49,MATCH(C1856,Products!$A$2:$A$49,0))</f>
        <v>8250</v>
      </c>
      <c r="I1856" s="33" t="n">
        <f aca="false">D1856*INDEX(Products!$D$2:$D$49,MATCH(C1856,Products!$A$2:$A$49,0))*(1+INDEX(Assumptions!$B$16:$B$20,MATCH(B1856,Assumptions!$A$16:$A$20,0)))</f>
        <v>6209.28</v>
      </c>
      <c r="J1856" s="33" t="n">
        <f aca="false">H1856-I1856</f>
        <v>2040.72</v>
      </c>
      <c r="K1856" s="33" t="n">
        <f aca="false">IF(OR(E1856=0,E1856&gt;=7),0,D1856/(7-E1856)*E1856*INDEX(Products!$E$2:$E$49,MATCH(C1856,Products!$A$2:$A$49,0)))</f>
        <v>0</v>
      </c>
    </row>
    <row r="1857" customFormat="false" ht="15" hidden="false" customHeight="false" outlineLevel="0" collapsed="false">
      <c r="A1857" s="36" t="n">
        <v>46153</v>
      </c>
      <c r="B1857" s="24" t="s">
        <v>62</v>
      </c>
      <c r="C1857" s="24" t="s">
        <v>167</v>
      </c>
      <c r="D1857" s="33" t="n">
        <v>57</v>
      </c>
      <c r="E1857" s="24" t="n">
        <v>0</v>
      </c>
      <c r="F1857" s="37" t="n">
        <f aca="false">DATE(YEAR(A1857),MONTH(A1857),1)</f>
        <v>46143</v>
      </c>
      <c r="G1857" s="24" t="str">
        <f aca="false">INDEX(Products!$C$2:$C$49,MATCH(C1857,Products!$A$2:$A$49,0))</f>
        <v>Household</v>
      </c>
      <c r="H1857" s="33" t="n">
        <f aca="false">D1857*INDEX(Products!$E$2:$E$49,MATCH(C1857,Products!$A$2:$A$49,0))</f>
        <v>8550</v>
      </c>
      <c r="I1857" s="33" t="n">
        <f aca="false">D1857*INDEX(Products!$D$2:$D$49,MATCH(C1857,Products!$A$2:$A$49,0))*(1+INDEX(Assumptions!$B$16:$B$20,MATCH(B1857,Assumptions!$A$16:$A$20,0)))</f>
        <v>6435.072</v>
      </c>
      <c r="J1857" s="33" t="n">
        <f aca="false">H1857-I1857</f>
        <v>2114.928</v>
      </c>
      <c r="K1857" s="33" t="n">
        <f aca="false">IF(OR(E1857=0,E1857&gt;=7),0,D1857/(7-E1857)*E1857*INDEX(Products!$E$2:$E$49,MATCH(C1857,Products!$A$2:$A$49,0)))</f>
        <v>0</v>
      </c>
    </row>
    <row r="1858" customFormat="false" ht="15" hidden="false" customHeight="false" outlineLevel="0" collapsed="false">
      <c r="A1858" s="36" t="n">
        <v>46160</v>
      </c>
      <c r="B1858" s="24" t="s">
        <v>62</v>
      </c>
      <c r="C1858" s="24" t="s">
        <v>167</v>
      </c>
      <c r="D1858" s="33" t="n">
        <v>49</v>
      </c>
      <c r="E1858" s="24" t="n">
        <v>0</v>
      </c>
      <c r="F1858" s="37" t="n">
        <f aca="false">DATE(YEAR(A1858),MONTH(A1858),1)</f>
        <v>46143</v>
      </c>
      <c r="G1858" s="24" t="str">
        <f aca="false">INDEX(Products!$C$2:$C$49,MATCH(C1858,Products!$A$2:$A$49,0))</f>
        <v>Household</v>
      </c>
      <c r="H1858" s="33" t="n">
        <f aca="false">D1858*INDEX(Products!$E$2:$E$49,MATCH(C1858,Products!$A$2:$A$49,0))</f>
        <v>7350</v>
      </c>
      <c r="I1858" s="33" t="n">
        <f aca="false">D1858*INDEX(Products!$D$2:$D$49,MATCH(C1858,Products!$A$2:$A$49,0))*(1+INDEX(Assumptions!$B$16:$B$20,MATCH(B1858,Assumptions!$A$16:$A$20,0)))</f>
        <v>5531.904</v>
      </c>
      <c r="J1858" s="33" t="n">
        <f aca="false">H1858-I1858</f>
        <v>1818.096</v>
      </c>
      <c r="K1858" s="33" t="n">
        <f aca="false">IF(OR(E1858=0,E1858&gt;=7),0,D1858/(7-E1858)*E1858*INDEX(Products!$E$2:$E$49,MATCH(C1858,Products!$A$2:$A$49,0)))</f>
        <v>0</v>
      </c>
    </row>
    <row r="1859" customFormat="false" ht="15" hidden="false" customHeight="false" outlineLevel="0" collapsed="false">
      <c r="A1859" s="36" t="n">
        <v>46167</v>
      </c>
      <c r="B1859" s="24" t="s">
        <v>62</v>
      </c>
      <c r="C1859" s="24" t="s">
        <v>167</v>
      </c>
      <c r="D1859" s="33" t="n">
        <v>59</v>
      </c>
      <c r="E1859" s="24" t="n">
        <v>0</v>
      </c>
      <c r="F1859" s="37" t="n">
        <f aca="false">DATE(YEAR(A1859),MONTH(A1859),1)</f>
        <v>46143</v>
      </c>
      <c r="G1859" s="24" t="str">
        <f aca="false">INDEX(Products!$C$2:$C$49,MATCH(C1859,Products!$A$2:$A$49,0))</f>
        <v>Household</v>
      </c>
      <c r="H1859" s="33" t="n">
        <f aca="false">D1859*INDEX(Products!$E$2:$E$49,MATCH(C1859,Products!$A$2:$A$49,0))</f>
        <v>8850</v>
      </c>
      <c r="I1859" s="33" t="n">
        <f aca="false">D1859*INDEX(Products!$D$2:$D$49,MATCH(C1859,Products!$A$2:$A$49,0))*(1+INDEX(Assumptions!$B$16:$B$20,MATCH(B1859,Assumptions!$A$16:$A$20,0)))</f>
        <v>6660.864</v>
      </c>
      <c r="J1859" s="33" t="n">
        <f aca="false">H1859-I1859</f>
        <v>2189.136</v>
      </c>
      <c r="K1859" s="33" t="n">
        <f aca="false">IF(OR(E1859=0,E1859&gt;=7),0,D1859/(7-E1859)*E1859*INDEX(Products!$E$2:$E$49,MATCH(C1859,Products!$A$2:$A$49,0)))</f>
        <v>0</v>
      </c>
    </row>
    <row r="1860" customFormat="false" ht="15" hidden="false" customHeight="false" outlineLevel="0" collapsed="false">
      <c r="A1860" s="36" t="n">
        <v>46174</v>
      </c>
      <c r="B1860" s="24" t="s">
        <v>62</v>
      </c>
      <c r="C1860" s="24" t="s">
        <v>167</v>
      </c>
      <c r="D1860" s="33" t="n">
        <v>69</v>
      </c>
      <c r="E1860" s="24" t="n">
        <v>0</v>
      </c>
      <c r="F1860" s="37" t="n">
        <f aca="false">DATE(YEAR(A1860),MONTH(A1860),1)</f>
        <v>46174</v>
      </c>
      <c r="G1860" s="24" t="str">
        <f aca="false">INDEX(Products!$C$2:$C$49,MATCH(C1860,Products!$A$2:$A$49,0))</f>
        <v>Household</v>
      </c>
      <c r="H1860" s="33" t="n">
        <f aca="false">D1860*INDEX(Products!$E$2:$E$49,MATCH(C1860,Products!$A$2:$A$49,0))</f>
        <v>10350</v>
      </c>
      <c r="I1860" s="33" t="n">
        <f aca="false">D1860*INDEX(Products!$D$2:$D$49,MATCH(C1860,Products!$A$2:$A$49,0))*(1+INDEX(Assumptions!$B$16:$B$20,MATCH(B1860,Assumptions!$A$16:$A$20,0)))</f>
        <v>7789.824</v>
      </c>
      <c r="J1860" s="33" t="n">
        <f aca="false">H1860-I1860</f>
        <v>2560.176</v>
      </c>
      <c r="K1860" s="33" t="n">
        <f aca="false">IF(OR(E1860=0,E1860&gt;=7),0,D1860/(7-E1860)*E1860*INDEX(Products!$E$2:$E$49,MATCH(C1860,Products!$A$2:$A$49,0)))</f>
        <v>0</v>
      </c>
    </row>
    <row r="1861" customFormat="false" ht="15" hidden="false" customHeight="false" outlineLevel="0" collapsed="false">
      <c r="A1861" s="36" t="n">
        <v>46181</v>
      </c>
      <c r="B1861" s="24" t="s">
        <v>62</v>
      </c>
      <c r="C1861" s="24" t="s">
        <v>167</v>
      </c>
      <c r="D1861" s="33" t="n">
        <v>53</v>
      </c>
      <c r="E1861" s="24" t="n">
        <v>0</v>
      </c>
      <c r="F1861" s="37" t="n">
        <f aca="false">DATE(YEAR(A1861),MONTH(A1861),1)</f>
        <v>46174</v>
      </c>
      <c r="G1861" s="24" t="str">
        <f aca="false">INDEX(Products!$C$2:$C$49,MATCH(C1861,Products!$A$2:$A$49,0))</f>
        <v>Household</v>
      </c>
      <c r="H1861" s="33" t="n">
        <f aca="false">D1861*INDEX(Products!$E$2:$E$49,MATCH(C1861,Products!$A$2:$A$49,0))</f>
        <v>7950</v>
      </c>
      <c r="I1861" s="33" t="n">
        <f aca="false">D1861*INDEX(Products!$D$2:$D$49,MATCH(C1861,Products!$A$2:$A$49,0))*(1+INDEX(Assumptions!$B$16:$B$20,MATCH(B1861,Assumptions!$A$16:$A$20,0)))</f>
        <v>5983.488</v>
      </c>
      <c r="J1861" s="33" t="n">
        <f aca="false">H1861-I1861</f>
        <v>1966.512</v>
      </c>
      <c r="K1861" s="33" t="n">
        <f aca="false">IF(OR(E1861=0,E1861&gt;=7),0,D1861/(7-E1861)*E1861*INDEX(Products!$E$2:$E$49,MATCH(C1861,Products!$A$2:$A$49,0)))</f>
        <v>0</v>
      </c>
    </row>
    <row r="1862" customFormat="false" ht="15" hidden="false" customHeight="false" outlineLevel="0" collapsed="false">
      <c r="A1862" s="36" t="n">
        <v>46188</v>
      </c>
      <c r="B1862" s="24" t="s">
        <v>62</v>
      </c>
      <c r="C1862" s="24" t="s">
        <v>167</v>
      </c>
      <c r="D1862" s="33" t="n">
        <v>54</v>
      </c>
      <c r="E1862" s="24" t="n">
        <v>0</v>
      </c>
      <c r="F1862" s="37" t="n">
        <f aca="false">DATE(YEAR(A1862),MONTH(A1862),1)</f>
        <v>46174</v>
      </c>
      <c r="G1862" s="24" t="str">
        <f aca="false">INDEX(Products!$C$2:$C$49,MATCH(C1862,Products!$A$2:$A$49,0))</f>
        <v>Household</v>
      </c>
      <c r="H1862" s="33" t="n">
        <f aca="false">D1862*INDEX(Products!$E$2:$E$49,MATCH(C1862,Products!$A$2:$A$49,0))</f>
        <v>8100</v>
      </c>
      <c r="I1862" s="33" t="n">
        <f aca="false">D1862*INDEX(Products!$D$2:$D$49,MATCH(C1862,Products!$A$2:$A$49,0))*(1+INDEX(Assumptions!$B$16:$B$20,MATCH(B1862,Assumptions!$A$16:$A$20,0)))</f>
        <v>6096.384</v>
      </c>
      <c r="J1862" s="33" t="n">
        <f aca="false">H1862-I1862</f>
        <v>2003.616</v>
      </c>
      <c r="K1862" s="33" t="n">
        <f aca="false">IF(OR(E1862=0,E1862&gt;=7),0,D1862/(7-E1862)*E1862*INDEX(Products!$E$2:$E$49,MATCH(C1862,Products!$A$2:$A$49,0)))</f>
        <v>0</v>
      </c>
    </row>
    <row r="1863" customFormat="false" ht="15" hidden="false" customHeight="false" outlineLevel="0" collapsed="false">
      <c r="A1863" s="36" t="n">
        <v>46195</v>
      </c>
      <c r="B1863" s="24" t="s">
        <v>62</v>
      </c>
      <c r="C1863" s="24" t="s">
        <v>167</v>
      </c>
      <c r="D1863" s="33" t="n">
        <v>48</v>
      </c>
      <c r="E1863" s="24" t="n">
        <v>0</v>
      </c>
      <c r="F1863" s="37" t="n">
        <f aca="false">DATE(YEAR(A1863),MONTH(A1863),1)</f>
        <v>46174</v>
      </c>
      <c r="G1863" s="24" t="str">
        <f aca="false">INDEX(Products!$C$2:$C$49,MATCH(C1863,Products!$A$2:$A$49,0))</f>
        <v>Household</v>
      </c>
      <c r="H1863" s="33" t="n">
        <f aca="false">D1863*INDEX(Products!$E$2:$E$49,MATCH(C1863,Products!$A$2:$A$49,0))</f>
        <v>7200</v>
      </c>
      <c r="I1863" s="33" t="n">
        <f aca="false">D1863*INDEX(Products!$D$2:$D$49,MATCH(C1863,Products!$A$2:$A$49,0))*(1+INDEX(Assumptions!$B$16:$B$20,MATCH(B1863,Assumptions!$A$16:$A$20,0)))</f>
        <v>5419.008</v>
      </c>
      <c r="J1863" s="33" t="n">
        <f aca="false">H1863-I1863</f>
        <v>1780.992</v>
      </c>
      <c r="K1863" s="33" t="n">
        <f aca="false">IF(OR(E1863=0,E1863&gt;=7),0,D1863/(7-E1863)*E1863*INDEX(Products!$E$2:$E$49,MATCH(C1863,Products!$A$2:$A$49,0)))</f>
        <v>0</v>
      </c>
    </row>
    <row r="1864" customFormat="false" ht="15" hidden="false" customHeight="false" outlineLevel="0" collapsed="false">
      <c r="A1864" s="36" t="n">
        <v>46202</v>
      </c>
      <c r="B1864" s="24" t="s">
        <v>62</v>
      </c>
      <c r="C1864" s="24" t="s">
        <v>167</v>
      </c>
      <c r="D1864" s="33" t="n">
        <v>57</v>
      </c>
      <c r="E1864" s="24" t="n">
        <v>1</v>
      </c>
      <c r="F1864" s="37" t="n">
        <f aca="false">DATE(YEAR(A1864),MONTH(A1864),1)</f>
        <v>46174</v>
      </c>
      <c r="G1864" s="24" t="str">
        <f aca="false">INDEX(Products!$C$2:$C$49,MATCH(C1864,Products!$A$2:$A$49,0))</f>
        <v>Household</v>
      </c>
      <c r="H1864" s="33" t="n">
        <f aca="false">D1864*INDEX(Products!$E$2:$E$49,MATCH(C1864,Products!$A$2:$A$49,0))</f>
        <v>8550</v>
      </c>
      <c r="I1864" s="33" t="n">
        <f aca="false">D1864*INDEX(Products!$D$2:$D$49,MATCH(C1864,Products!$A$2:$A$49,0))*(1+INDEX(Assumptions!$B$16:$B$20,MATCH(B1864,Assumptions!$A$16:$A$20,0)))</f>
        <v>6435.072</v>
      </c>
      <c r="J1864" s="33" t="n">
        <f aca="false">H1864-I1864</f>
        <v>2114.928</v>
      </c>
      <c r="K1864" s="33" t="n">
        <f aca="false">IF(OR(E1864=0,E1864&gt;=7),0,D1864/(7-E1864)*E1864*INDEX(Products!$E$2:$E$49,MATCH(C1864,Products!$A$2:$A$49,0)))</f>
        <v>1425</v>
      </c>
    </row>
    <row r="1865" customFormat="false" ht="15" hidden="false" customHeight="false" outlineLevel="0" collapsed="false">
      <c r="A1865" s="36" t="n">
        <v>46209</v>
      </c>
      <c r="B1865" s="24" t="s">
        <v>62</v>
      </c>
      <c r="C1865" s="24" t="s">
        <v>167</v>
      </c>
      <c r="D1865" s="33" t="n">
        <v>59</v>
      </c>
      <c r="E1865" s="24" t="n">
        <v>0</v>
      </c>
      <c r="F1865" s="37" t="n">
        <f aca="false">DATE(YEAR(A1865),MONTH(A1865),1)</f>
        <v>46204</v>
      </c>
      <c r="G1865" s="24" t="str">
        <f aca="false">INDEX(Products!$C$2:$C$49,MATCH(C1865,Products!$A$2:$A$49,0))</f>
        <v>Household</v>
      </c>
      <c r="H1865" s="33" t="n">
        <f aca="false">D1865*INDEX(Products!$E$2:$E$49,MATCH(C1865,Products!$A$2:$A$49,0))</f>
        <v>8850</v>
      </c>
      <c r="I1865" s="33" t="n">
        <f aca="false">D1865*INDEX(Products!$D$2:$D$49,MATCH(C1865,Products!$A$2:$A$49,0))*(1+INDEX(Assumptions!$B$16:$B$20,MATCH(B1865,Assumptions!$A$16:$A$20,0)))</f>
        <v>6660.864</v>
      </c>
      <c r="J1865" s="33" t="n">
        <f aca="false">H1865-I1865</f>
        <v>2189.136</v>
      </c>
      <c r="K1865" s="33" t="n">
        <f aca="false">IF(OR(E1865=0,E1865&gt;=7),0,D1865/(7-E1865)*E1865*INDEX(Products!$E$2:$E$49,MATCH(C1865,Products!$A$2:$A$49,0)))</f>
        <v>0</v>
      </c>
    </row>
    <row r="1866" customFormat="false" ht="15" hidden="false" customHeight="false" outlineLevel="0" collapsed="false">
      <c r="A1866" s="36" t="n">
        <v>46216</v>
      </c>
      <c r="B1866" s="24" t="s">
        <v>62</v>
      </c>
      <c r="C1866" s="24" t="s">
        <v>167</v>
      </c>
      <c r="D1866" s="33" t="n">
        <v>44</v>
      </c>
      <c r="E1866" s="24" t="n">
        <v>0</v>
      </c>
      <c r="F1866" s="37" t="n">
        <f aca="false">DATE(YEAR(A1866),MONTH(A1866),1)</f>
        <v>46204</v>
      </c>
      <c r="G1866" s="24" t="str">
        <f aca="false">INDEX(Products!$C$2:$C$49,MATCH(C1866,Products!$A$2:$A$49,0))</f>
        <v>Household</v>
      </c>
      <c r="H1866" s="33" t="n">
        <f aca="false">D1866*INDEX(Products!$E$2:$E$49,MATCH(C1866,Products!$A$2:$A$49,0))</f>
        <v>6600</v>
      </c>
      <c r="I1866" s="33" t="n">
        <f aca="false">D1866*INDEX(Products!$D$2:$D$49,MATCH(C1866,Products!$A$2:$A$49,0))*(1+INDEX(Assumptions!$B$16:$B$20,MATCH(B1866,Assumptions!$A$16:$A$20,0)))</f>
        <v>4967.424</v>
      </c>
      <c r="J1866" s="33" t="n">
        <f aca="false">H1866-I1866</f>
        <v>1632.576</v>
      </c>
      <c r="K1866" s="33" t="n">
        <f aca="false">IF(OR(E1866=0,E1866&gt;=7),0,D1866/(7-E1866)*E1866*INDEX(Products!$E$2:$E$49,MATCH(C1866,Products!$A$2:$A$49,0)))</f>
        <v>0</v>
      </c>
    </row>
    <row r="1867" customFormat="false" ht="15" hidden="false" customHeight="false" outlineLevel="0" collapsed="false">
      <c r="A1867" s="36" t="n">
        <v>46223</v>
      </c>
      <c r="B1867" s="24" t="s">
        <v>62</v>
      </c>
      <c r="C1867" s="24" t="s">
        <v>167</v>
      </c>
      <c r="D1867" s="33" t="n">
        <v>62</v>
      </c>
      <c r="E1867" s="24" t="n">
        <v>0</v>
      </c>
      <c r="F1867" s="37" t="n">
        <f aca="false">DATE(YEAR(A1867),MONTH(A1867),1)</f>
        <v>46204</v>
      </c>
      <c r="G1867" s="24" t="str">
        <f aca="false">INDEX(Products!$C$2:$C$49,MATCH(C1867,Products!$A$2:$A$49,0))</f>
        <v>Household</v>
      </c>
      <c r="H1867" s="33" t="n">
        <f aca="false">D1867*INDEX(Products!$E$2:$E$49,MATCH(C1867,Products!$A$2:$A$49,0))</f>
        <v>9300</v>
      </c>
      <c r="I1867" s="33" t="n">
        <f aca="false">D1867*INDEX(Products!$D$2:$D$49,MATCH(C1867,Products!$A$2:$A$49,0))*(1+INDEX(Assumptions!$B$16:$B$20,MATCH(B1867,Assumptions!$A$16:$A$20,0)))</f>
        <v>6999.552</v>
      </c>
      <c r="J1867" s="33" t="n">
        <f aca="false">H1867-I1867</f>
        <v>2300.448</v>
      </c>
      <c r="K1867" s="33" t="n">
        <f aca="false">IF(OR(E1867=0,E1867&gt;=7),0,D1867/(7-E1867)*E1867*INDEX(Products!$E$2:$E$49,MATCH(C1867,Products!$A$2:$A$49,0)))</f>
        <v>0</v>
      </c>
    </row>
    <row r="1868" customFormat="false" ht="15" hidden="false" customHeight="false" outlineLevel="0" collapsed="false">
      <c r="A1868" s="36" t="n">
        <v>46230</v>
      </c>
      <c r="B1868" s="24" t="s">
        <v>62</v>
      </c>
      <c r="C1868" s="24" t="s">
        <v>167</v>
      </c>
      <c r="D1868" s="33" t="n">
        <v>58</v>
      </c>
      <c r="E1868" s="24" t="n">
        <v>0</v>
      </c>
      <c r="F1868" s="37" t="n">
        <f aca="false">DATE(YEAR(A1868),MONTH(A1868),1)</f>
        <v>46204</v>
      </c>
      <c r="G1868" s="24" t="str">
        <f aca="false">INDEX(Products!$C$2:$C$49,MATCH(C1868,Products!$A$2:$A$49,0))</f>
        <v>Household</v>
      </c>
      <c r="H1868" s="33" t="n">
        <f aca="false">D1868*INDEX(Products!$E$2:$E$49,MATCH(C1868,Products!$A$2:$A$49,0))</f>
        <v>8700</v>
      </c>
      <c r="I1868" s="33" t="n">
        <f aca="false">D1868*INDEX(Products!$D$2:$D$49,MATCH(C1868,Products!$A$2:$A$49,0))*(1+INDEX(Assumptions!$B$16:$B$20,MATCH(B1868,Assumptions!$A$16:$A$20,0)))</f>
        <v>6547.968</v>
      </c>
      <c r="J1868" s="33" t="n">
        <f aca="false">H1868-I1868</f>
        <v>2152.032</v>
      </c>
      <c r="K1868" s="33" t="n">
        <f aca="false">IF(OR(E1868=0,E1868&gt;=7),0,D1868/(7-E1868)*E1868*INDEX(Products!$E$2:$E$49,MATCH(C1868,Products!$A$2:$A$49,0)))</f>
        <v>0</v>
      </c>
    </row>
    <row r="1869" customFormat="false" ht="15" hidden="false" customHeight="false" outlineLevel="0" collapsed="false">
      <c r="A1869" s="36" t="n">
        <v>46237</v>
      </c>
      <c r="B1869" s="24" t="s">
        <v>62</v>
      </c>
      <c r="C1869" s="24" t="s">
        <v>167</v>
      </c>
      <c r="D1869" s="33" t="n">
        <v>45</v>
      </c>
      <c r="E1869" s="24" t="n">
        <v>0</v>
      </c>
      <c r="F1869" s="37" t="n">
        <f aca="false">DATE(YEAR(A1869),MONTH(A1869),1)</f>
        <v>46235</v>
      </c>
      <c r="G1869" s="24" t="str">
        <f aca="false">INDEX(Products!$C$2:$C$49,MATCH(C1869,Products!$A$2:$A$49,0))</f>
        <v>Household</v>
      </c>
      <c r="H1869" s="33" t="n">
        <f aca="false">D1869*INDEX(Products!$E$2:$E$49,MATCH(C1869,Products!$A$2:$A$49,0))</f>
        <v>6750</v>
      </c>
      <c r="I1869" s="33" t="n">
        <f aca="false">D1869*INDEX(Products!$D$2:$D$49,MATCH(C1869,Products!$A$2:$A$49,0))*(1+INDEX(Assumptions!$B$16:$B$20,MATCH(B1869,Assumptions!$A$16:$A$20,0)))</f>
        <v>5080.32</v>
      </c>
      <c r="J1869" s="33" t="n">
        <f aca="false">H1869-I1869</f>
        <v>1669.68</v>
      </c>
      <c r="K1869" s="33" t="n">
        <f aca="false">IF(OR(E1869=0,E1869&gt;=7),0,D1869/(7-E1869)*E1869*INDEX(Products!$E$2:$E$49,MATCH(C1869,Products!$A$2:$A$49,0)))</f>
        <v>0</v>
      </c>
    </row>
    <row r="1870" customFormat="false" ht="15" hidden="false" customHeight="false" outlineLevel="0" collapsed="false">
      <c r="A1870" s="36" t="n">
        <v>46244</v>
      </c>
      <c r="B1870" s="24" t="s">
        <v>62</v>
      </c>
      <c r="C1870" s="24" t="s">
        <v>167</v>
      </c>
      <c r="D1870" s="33" t="n">
        <v>44</v>
      </c>
      <c r="E1870" s="24" t="n">
        <v>0</v>
      </c>
      <c r="F1870" s="37" t="n">
        <f aca="false">DATE(YEAR(A1870),MONTH(A1870),1)</f>
        <v>46235</v>
      </c>
      <c r="G1870" s="24" t="str">
        <f aca="false">INDEX(Products!$C$2:$C$49,MATCH(C1870,Products!$A$2:$A$49,0))</f>
        <v>Household</v>
      </c>
      <c r="H1870" s="33" t="n">
        <f aca="false">D1870*INDEX(Products!$E$2:$E$49,MATCH(C1870,Products!$A$2:$A$49,0))</f>
        <v>6600</v>
      </c>
      <c r="I1870" s="33" t="n">
        <f aca="false">D1870*INDEX(Products!$D$2:$D$49,MATCH(C1870,Products!$A$2:$A$49,0))*(1+INDEX(Assumptions!$B$16:$B$20,MATCH(B1870,Assumptions!$A$16:$A$20,0)))</f>
        <v>4967.424</v>
      </c>
      <c r="J1870" s="33" t="n">
        <f aca="false">H1870-I1870</f>
        <v>1632.576</v>
      </c>
      <c r="K1870" s="33" t="n">
        <f aca="false">IF(OR(E1870=0,E1870&gt;=7),0,D1870/(7-E1870)*E1870*INDEX(Products!$E$2:$E$49,MATCH(C1870,Products!$A$2:$A$49,0)))</f>
        <v>0</v>
      </c>
    </row>
    <row r="1871" customFormat="false" ht="15" hidden="false" customHeight="false" outlineLevel="0" collapsed="false">
      <c r="A1871" s="36" t="n">
        <v>46251</v>
      </c>
      <c r="B1871" s="24" t="s">
        <v>62</v>
      </c>
      <c r="C1871" s="24" t="s">
        <v>167</v>
      </c>
      <c r="D1871" s="33" t="n">
        <v>53</v>
      </c>
      <c r="E1871" s="24" t="n">
        <v>0</v>
      </c>
      <c r="F1871" s="37" t="n">
        <f aca="false">DATE(YEAR(A1871),MONTH(A1871),1)</f>
        <v>46235</v>
      </c>
      <c r="G1871" s="24" t="str">
        <f aca="false">INDEX(Products!$C$2:$C$49,MATCH(C1871,Products!$A$2:$A$49,0))</f>
        <v>Household</v>
      </c>
      <c r="H1871" s="33" t="n">
        <f aca="false">D1871*INDEX(Products!$E$2:$E$49,MATCH(C1871,Products!$A$2:$A$49,0))</f>
        <v>7950</v>
      </c>
      <c r="I1871" s="33" t="n">
        <f aca="false">D1871*INDEX(Products!$D$2:$D$49,MATCH(C1871,Products!$A$2:$A$49,0))*(1+INDEX(Assumptions!$B$16:$B$20,MATCH(B1871,Assumptions!$A$16:$A$20,0)))</f>
        <v>5983.488</v>
      </c>
      <c r="J1871" s="33" t="n">
        <f aca="false">H1871-I1871</f>
        <v>1966.512</v>
      </c>
      <c r="K1871" s="33" t="n">
        <f aca="false">IF(OR(E1871=0,E1871&gt;=7),0,D1871/(7-E1871)*E1871*INDEX(Products!$E$2:$E$49,MATCH(C1871,Products!$A$2:$A$49,0)))</f>
        <v>0</v>
      </c>
    </row>
    <row r="1872" customFormat="false" ht="15" hidden="false" customHeight="false" outlineLevel="0" collapsed="false">
      <c r="A1872" s="36" t="n">
        <v>46258</v>
      </c>
      <c r="B1872" s="24" t="s">
        <v>62</v>
      </c>
      <c r="C1872" s="24" t="s">
        <v>167</v>
      </c>
      <c r="D1872" s="33" t="n">
        <v>54</v>
      </c>
      <c r="E1872" s="24" t="n">
        <v>0</v>
      </c>
      <c r="F1872" s="37" t="n">
        <f aca="false">DATE(YEAR(A1872),MONTH(A1872),1)</f>
        <v>46235</v>
      </c>
      <c r="G1872" s="24" t="str">
        <f aca="false">INDEX(Products!$C$2:$C$49,MATCH(C1872,Products!$A$2:$A$49,0))</f>
        <v>Household</v>
      </c>
      <c r="H1872" s="33" t="n">
        <f aca="false">D1872*INDEX(Products!$E$2:$E$49,MATCH(C1872,Products!$A$2:$A$49,0))</f>
        <v>8100</v>
      </c>
      <c r="I1872" s="33" t="n">
        <f aca="false">D1872*INDEX(Products!$D$2:$D$49,MATCH(C1872,Products!$A$2:$A$49,0))*(1+INDEX(Assumptions!$B$16:$B$20,MATCH(B1872,Assumptions!$A$16:$A$20,0)))</f>
        <v>6096.384</v>
      </c>
      <c r="J1872" s="33" t="n">
        <f aca="false">H1872-I1872</f>
        <v>2003.616</v>
      </c>
      <c r="K1872" s="33" t="n">
        <f aca="false">IF(OR(E1872=0,E1872&gt;=7),0,D1872/(7-E1872)*E1872*INDEX(Products!$E$2:$E$49,MATCH(C1872,Products!$A$2:$A$49,0)))</f>
        <v>0</v>
      </c>
    </row>
    <row r="1873" customFormat="false" ht="15" hidden="false" customHeight="false" outlineLevel="0" collapsed="false">
      <c r="A1873" s="36" t="n">
        <v>46265</v>
      </c>
      <c r="B1873" s="24" t="s">
        <v>62</v>
      </c>
      <c r="C1873" s="24" t="s">
        <v>167</v>
      </c>
      <c r="D1873" s="33" t="n">
        <v>47</v>
      </c>
      <c r="E1873" s="24" t="n">
        <v>0</v>
      </c>
      <c r="F1873" s="37" t="n">
        <f aca="false">DATE(YEAR(A1873),MONTH(A1873),1)</f>
        <v>46235</v>
      </c>
      <c r="G1873" s="24" t="str">
        <f aca="false">INDEX(Products!$C$2:$C$49,MATCH(C1873,Products!$A$2:$A$49,0))</f>
        <v>Household</v>
      </c>
      <c r="H1873" s="33" t="n">
        <f aca="false">D1873*INDEX(Products!$E$2:$E$49,MATCH(C1873,Products!$A$2:$A$49,0))</f>
        <v>7050</v>
      </c>
      <c r="I1873" s="33" t="n">
        <f aca="false">D1873*INDEX(Products!$D$2:$D$49,MATCH(C1873,Products!$A$2:$A$49,0))*(1+INDEX(Assumptions!$B$16:$B$20,MATCH(B1873,Assumptions!$A$16:$A$20,0)))</f>
        <v>5306.112</v>
      </c>
      <c r="J1873" s="33" t="n">
        <f aca="false">H1873-I1873</f>
        <v>1743.888</v>
      </c>
      <c r="K1873" s="33" t="n">
        <f aca="false">IF(OR(E1873=0,E1873&gt;=7),0,D1873/(7-E1873)*E1873*INDEX(Products!$E$2:$E$49,MATCH(C1873,Products!$A$2:$A$49,0)))</f>
        <v>0</v>
      </c>
    </row>
    <row r="1874" customFormat="false" ht="15" hidden="false" customHeight="false" outlineLevel="0" collapsed="false">
      <c r="A1874" s="36" t="n">
        <v>46272</v>
      </c>
      <c r="B1874" s="24" t="s">
        <v>62</v>
      </c>
      <c r="C1874" s="24" t="s">
        <v>167</v>
      </c>
      <c r="D1874" s="33" t="n">
        <v>54</v>
      </c>
      <c r="E1874" s="24" t="n">
        <v>0</v>
      </c>
      <c r="F1874" s="37" t="n">
        <f aca="false">DATE(YEAR(A1874),MONTH(A1874),1)</f>
        <v>46266</v>
      </c>
      <c r="G1874" s="24" t="str">
        <f aca="false">INDEX(Products!$C$2:$C$49,MATCH(C1874,Products!$A$2:$A$49,0))</f>
        <v>Household</v>
      </c>
      <c r="H1874" s="33" t="n">
        <f aca="false">D1874*INDEX(Products!$E$2:$E$49,MATCH(C1874,Products!$A$2:$A$49,0))</f>
        <v>8100</v>
      </c>
      <c r="I1874" s="33" t="n">
        <f aca="false">D1874*INDEX(Products!$D$2:$D$49,MATCH(C1874,Products!$A$2:$A$49,0))*(1+INDEX(Assumptions!$B$16:$B$20,MATCH(B1874,Assumptions!$A$16:$A$20,0)))</f>
        <v>6096.384</v>
      </c>
      <c r="J1874" s="33" t="n">
        <f aca="false">H1874-I1874</f>
        <v>2003.616</v>
      </c>
      <c r="K1874" s="33" t="n">
        <f aca="false">IF(OR(E1874=0,E1874&gt;=7),0,D1874/(7-E1874)*E1874*INDEX(Products!$E$2:$E$49,MATCH(C1874,Products!$A$2:$A$49,0)))</f>
        <v>0</v>
      </c>
    </row>
    <row r="1875" customFormat="false" ht="15" hidden="false" customHeight="false" outlineLevel="0" collapsed="false">
      <c r="A1875" s="36" t="n">
        <v>46279</v>
      </c>
      <c r="B1875" s="24" t="s">
        <v>62</v>
      </c>
      <c r="C1875" s="24" t="s">
        <v>167</v>
      </c>
      <c r="D1875" s="33" t="n">
        <v>60</v>
      </c>
      <c r="E1875" s="24" t="n">
        <v>0</v>
      </c>
      <c r="F1875" s="37" t="n">
        <f aca="false">DATE(YEAR(A1875),MONTH(A1875),1)</f>
        <v>46266</v>
      </c>
      <c r="G1875" s="24" t="str">
        <f aca="false">INDEX(Products!$C$2:$C$49,MATCH(C1875,Products!$A$2:$A$49,0))</f>
        <v>Household</v>
      </c>
      <c r="H1875" s="33" t="n">
        <f aca="false">D1875*INDEX(Products!$E$2:$E$49,MATCH(C1875,Products!$A$2:$A$49,0))</f>
        <v>9000</v>
      </c>
      <c r="I1875" s="33" t="n">
        <f aca="false">D1875*INDEX(Products!$D$2:$D$49,MATCH(C1875,Products!$A$2:$A$49,0))*(1+INDEX(Assumptions!$B$16:$B$20,MATCH(B1875,Assumptions!$A$16:$A$20,0)))</f>
        <v>6773.76</v>
      </c>
      <c r="J1875" s="33" t="n">
        <f aca="false">H1875-I1875</f>
        <v>2226.24</v>
      </c>
      <c r="K1875" s="33" t="n">
        <f aca="false">IF(OR(E1875=0,E1875&gt;=7),0,D1875/(7-E1875)*E1875*INDEX(Products!$E$2:$E$49,MATCH(C1875,Products!$A$2:$A$49,0)))</f>
        <v>0</v>
      </c>
    </row>
    <row r="1876" customFormat="false" ht="15" hidden="false" customHeight="false" outlineLevel="0" collapsed="false">
      <c r="A1876" s="36" t="n">
        <v>46286</v>
      </c>
      <c r="B1876" s="24" t="s">
        <v>62</v>
      </c>
      <c r="C1876" s="24" t="s">
        <v>167</v>
      </c>
      <c r="D1876" s="33" t="n">
        <v>60</v>
      </c>
      <c r="E1876" s="24" t="n">
        <v>0</v>
      </c>
      <c r="F1876" s="37" t="n">
        <f aca="false">DATE(YEAR(A1876),MONTH(A1876),1)</f>
        <v>46266</v>
      </c>
      <c r="G1876" s="24" t="str">
        <f aca="false">INDEX(Products!$C$2:$C$49,MATCH(C1876,Products!$A$2:$A$49,0))</f>
        <v>Household</v>
      </c>
      <c r="H1876" s="33" t="n">
        <f aca="false">D1876*INDEX(Products!$E$2:$E$49,MATCH(C1876,Products!$A$2:$A$49,0))</f>
        <v>9000</v>
      </c>
      <c r="I1876" s="33" t="n">
        <f aca="false">D1876*INDEX(Products!$D$2:$D$49,MATCH(C1876,Products!$A$2:$A$49,0))*(1+INDEX(Assumptions!$B$16:$B$20,MATCH(B1876,Assumptions!$A$16:$A$20,0)))</f>
        <v>6773.76</v>
      </c>
      <c r="J1876" s="33" t="n">
        <f aca="false">H1876-I1876</f>
        <v>2226.24</v>
      </c>
      <c r="K1876" s="33" t="n">
        <f aca="false">IF(OR(E1876=0,E1876&gt;=7),0,D1876/(7-E1876)*E1876*INDEX(Products!$E$2:$E$49,MATCH(C1876,Products!$A$2:$A$49,0)))</f>
        <v>0</v>
      </c>
    </row>
    <row r="1877" customFormat="false" ht="15" hidden="false" customHeight="false" outlineLevel="0" collapsed="false">
      <c r="A1877" s="36" t="n">
        <v>46118</v>
      </c>
      <c r="B1877" s="24" t="s">
        <v>62</v>
      </c>
      <c r="C1877" s="24" t="s">
        <v>169</v>
      </c>
      <c r="D1877" s="33" t="n">
        <v>58</v>
      </c>
      <c r="E1877" s="24" t="n">
        <v>0</v>
      </c>
      <c r="F1877" s="37" t="n">
        <f aca="false">DATE(YEAR(A1877),MONTH(A1877),1)</f>
        <v>46113</v>
      </c>
      <c r="G1877" s="24" t="str">
        <f aca="false">INDEX(Products!$C$2:$C$49,MATCH(C1877,Products!$A$2:$A$49,0))</f>
        <v>Household</v>
      </c>
      <c r="H1877" s="33" t="n">
        <f aca="false">D1877*INDEX(Products!$E$2:$E$49,MATCH(C1877,Products!$A$2:$A$49,0))</f>
        <v>24360</v>
      </c>
      <c r="I1877" s="33" t="n">
        <f aca="false">D1877*INDEX(Products!$D$2:$D$49,MATCH(C1877,Products!$A$2:$A$49,0))*(1+INDEX(Assumptions!$B$16:$B$20,MATCH(B1877,Assumptions!$A$16:$A$20,0)))</f>
        <v>18357.696</v>
      </c>
      <c r="J1877" s="33" t="n">
        <f aca="false">H1877-I1877</f>
        <v>6002.304</v>
      </c>
      <c r="K1877" s="33" t="n">
        <f aca="false">IF(OR(E1877=0,E1877&gt;=7),0,D1877/(7-E1877)*E1877*INDEX(Products!$E$2:$E$49,MATCH(C1877,Products!$A$2:$A$49,0)))</f>
        <v>0</v>
      </c>
    </row>
    <row r="1878" customFormat="false" ht="15" hidden="false" customHeight="false" outlineLevel="0" collapsed="false">
      <c r="A1878" s="36" t="n">
        <v>46125</v>
      </c>
      <c r="B1878" s="24" t="s">
        <v>62</v>
      </c>
      <c r="C1878" s="24" t="s">
        <v>169</v>
      </c>
      <c r="D1878" s="33" t="n">
        <v>37</v>
      </c>
      <c r="E1878" s="24" t="n">
        <v>0</v>
      </c>
      <c r="F1878" s="37" t="n">
        <f aca="false">DATE(YEAR(A1878),MONTH(A1878),1)</f>
        <v>46113</v>
      </c>
      <c r="G1878" s="24" t="str">
        <f aca="false">INDEX(Products!$C$2:$C$49,MATCH(C1878,Products!$A$2:$A$49,0))</f>
        <v>Household</v>
      </c>
      <c r="H1878" s="33" t="n">
        <f aca="false">D1878*INDEX(Products!$E$2:$E$49,MATCH(C1878,Products!$A$2:$A$49,0))</f>
        <v>15540</v>
      </c>
      <c r="I1878" s="33" t="n">
        <f aca="false">D1878*INDEX(Products!$D$2:$D$49,MATCH(C1878,Products!$A$2:$A$49,0))*(1+INDEX(Assumptions!$B$16:$B$20,MATCH(B1878,Assumptions!$A$16:$A$20,0)))</f>
        <v>11710.944</v>
      </c>
      <c r="J1878" s="33" t="n">
        <f aca="false">H1878-I1878</f>
        <v>3829.056</v>
      </c>
      <c r="K1878" s="33" t="n">
        <f aca="false">IF(OR(E1878=0,E1878&gt;=7),0,D1878/(7-E1878)*E1878*INDEX(Products!$E$2:$E$49,MATCH(C1878,Products!$A$2:$A$49,0)))</f>
        <v>0</v>
      </c>
    </row>
    <row r="1879" customFormat="false" ht="15" hidden="false" customHeight="false" outlineLevel="0" collapsed="false">
      <c r="A1879" s="36" t="n">
        <v>46132</v>
      </c>
      <c r="B1879" s="24" t="s">
        <v>62</v>
      </c>
      <c r="C1879" s="24" t="s">
        <v>169</v>
      </c>
      <c r="D1879" s="33" t="n">
        <v>49</v>
      </c>
      <c r="E1879" s="24" t="n">
        <v>0</v>
      </c>
      <c r="F1879" s="37" t="n">
        <f aca="false">DATE(YEAR(A1879),MONTH(A1879),1)</f>
        <v>46113</v>
      </c>
      <c r="G1879" s="24" t="str">
        <f aca="false">INDEX(Products!$C$2:$C$49,MATCH(C1879,Products!$A$2:$A$49,0))</f>
        <v>Household</v>
      </c>
      <c r="H1879" s="33" t="n">
        <f aca="false">D1879*INDEX(Products!$E$2:$E$49,MATCH(C1879,Products!$A$2:$A$49,0))</f>
        <v>20580</v>
      </c>
      <c r="I1879" s="33" t="n">
        <f aca="false">D1879*INDEX(Products!$D$2:$D$49,MATCH(C1879,Products!$A$2:$A$49,0))*(1+INDEX(Assumptions!$B$16:$B$20,MATCH(B1879,Assumptions!$A$16:$A$20,0)))</f>
        <v>15509.088</v>
      </c>
      <c r="J1879" s="33" t="n">
        <f aca="false">H1879-I1879</f>
        <v>5070.912</v>
      </c>
      <c r="K1879" s="33" t="n">
        <f aca="false">IF(OR(E1879=0,E1879&gt;=7),0,D1879/(7-E1879)*E1879*INDEX(Products!$E$2:$E$49,MATCH(C1879,Products!$A$2:$A$49,0)))</f>
        <v>0</v>
      </c>
    </row>
    <row r="1880" customFormat="false" ht="15" hidden="false" customHeight="false" outlineLevel="0" collapsed="false">
      <c r="A1880" s="36" t="n">
        <v>46139</v>
      </c>
      <c r="B1880" s="24" t="s">
        <v>62</v>
      </c>
      <c r="C1880" s="24" t="s">
        <v>169</v>
      </c>
      <c r="D1880" s="33" t="n">
        <v>117</v>
      </c>
      <c r="E1880" s="24" t="n">
        <v>0</v>
      </c>
      <c r="F1880" s="37" t="n">
        <f aca="false">DATE(YEAR(A1880),MONTH(A1880),1)</f>
        <v>46113</v>
      </c>
      <c r="G1880" s="24" t="str">
        <f aca="false">INDEX(Products!$C$2:$C$49,MATCH(C1880,Products!$A$2:$A$49,0))</f>
        <v>Household</v>
      </c>
      <c r="H1880" s="33" t="n">
        <f aca="false">D1880*INDEX(Products!$E$2:$E$49,MATCH(C1880,Products!$A$2:$A$49,0))</f>
        <v>49140</v>
      </c>
      <c r="I1880" s="33" t="n">
        <f aca="false">D1880*INDEX(Products!$D$2:$D$49,MATCH(C1880,Products!$A$2:$A$49,0))*(1+INDEX(Assumptions!$B$16:$B$20,MATCH(B1880,Assumptions!$A$16:$A$20,0)))</f>
        <v>37031.904</v>
      </c>
      <c r="J1880" s="33" t="n">
        <f aca="false">H1880-I1880</f>
        <v>12108.096</v>
      </c>
      <c r="K1880" s="33" t="n">
        <f aca="false">IF(OR(E1880=0,E1880&gt;=7),0,D1880/(7-E1880)*E1880*INDEX(Products!$E$2:$E$49,MATCH(C1880,Products!$A$2:$A$49,0)))</f>
        <v>0</v>
      </c>
    </row>
    <row r="1881" customFormat="false" ht="15" hidden="false" customHeight="false" outlineLevel="0" collapsed="false">
      <c r="A1881" s="36" t="n">
        <v>46146</v>
      </c>
      <c r="B1881" s="24" t="s">
        <v>62</v>
      </c>
      <c r="C1881" s="24" t="s">
        <v>169</v>
      </c>
      <c r="D1881" s="33" t="n">
        <v>37</v>
      </c>
      <c r="E1881" s="24" t="n">
        <v>0</v>
      </c>
      <c r="F1881" s="37" t="n">
        <f aca="false">DATE(YEAR(A1881),MONTH(A1881),1)</f>
        <v>46143</v>
      </c>
      <c r="G1881" s="24" t="str">
        <f aca="false">INDEX(Products!$C$2:$C$49,MATCH(C1881,Products!$A$2:$A$49,0))</f>
        <v>Household</v>
      </c>
      <c r="H1881" s="33" t="n">
        <f aca="false">D1881*INDEX(Products!$E$2:$E$49,MATCH(C1881,Products!$A$2:$A$49,0))</f>
        <v>15540</v>
      </c>
      <c r="I1881" s="33" t="n">
        <f aca="false">D1881*INDEX(Products!$D$2:$D$49,MATCH(C1881,Products!$A$2:$A$49,0))*(1+INDEX(Assumptions!$B$16:$B$20,MATCH(B1881,Assumptions!$A$16:$A$20,0)))</f>
        <v>11710.944</v>
      </c>
      <c r="J1881" s="33" t="n">
        <f aca="false">H1881-I1881</f>
        <v>3829.056</v>
      </c>
      <c r="K1881" s="33" t="n">
        <f aca="false">IF(OR(E1881=0,E1881&gt;=7),0,D1881/(7-E1881)*E1881*INDEX(Products!$E$2:$E$49,MATCH(C1881,Products!$A$2:$A$49,0)))</f>
        <v>0</v>
      </c>
    </row>
    <row r="1882" customFormat="false" ht="15" hidden="false" customHeight="false" outlineLevel="0" collapsed="false">
      <c r="A1882" s="36" t="n">
        <v>46153</v>
      </c>
      <c r="B1882" s="24" t="s">
        <v>62</v>
      </c>
      <c r="C1882" s="24" t="s">
        <v>169</v>
      </c>
      <c r="D1882" s="33" t="n">
        <v>51</v>
      </c>
      <c r="E1882" s="24" t="n">
        <v>0</v>
      </c>
      <c r="F1882" s="37" t="n">
        <f aca="false">DATE(YEAR(A1882),MONTH(A1882),1)</f>
        <v>46143</v>
      </c>
      <c r="G1882" s="24" t="str">
        <f aca="false">INDEX(Products!$C$2:$C$49,MATCH(C1882,Products!$A$2:$A$49,0))</f>
        <v>Household</v>
      </c>
      <c r="H1882" s="33" t="n">
        <f aca="false">D1882*INDEX(Products!$E$2:$E$49,MATCH(C1882,Products!$A$2:$A$49,0))</f>
        <v>21420</v>
      </c>
      <c r="I1882" s="33" t="n">
        <f aca="false">D1882*INDEX(Products!$D$2:$D$49,MATCH(C1882,Products!$A$2:$A$49,0))*(1+INDEX(Assumptions!$B$16:$B$20,MATCH(B1882,Assumptions!$A$16:$A$20,0)))</f>
        <v>16142.112</v>
      </c>
      <c r="J1882" s="33" t="n">
        <f aca="false">H1882-I1882</f>
        <v>5277.888</v>
      </c>
      <c r="K1882" s="33" t="n">
        <f aca="false">IF(OR(E1882=0,E1882&gt;=7),0,D1882/(7-E1882)*E1882*INDEX(Products!$E$2:$E$49,MATCH(C1882,Products!$A$2:$A$49,0)))</f>
        <v>0</v>
      </c>
    </row>
    <row r="1883" customFormat="false" ht="15" hidden="false" customHeight="false" outlineLevel="0" collapsed="false">
      <c r="A1883" s="36" t="n">
        <v>46160</v>
      </c>
      <c r="B1883" s="24" t="s">
        <v>62</v>
      </c>
      <c r="C1883" s="24" t="s">
        <v>169</v>
      </c>
      <c r="D1883" s="33" t="n">
        <v>51</v>
      </c>
      <c r="E1883" s="24" t="n">
        <v>0</v>
      </c>
      <c r="F1883" s="37" t="n">
        <f aca="false">DATE(YEAR(A1883),MONTH(A1883),1)</f>
        <v>46143</v>
      </c>
      <c r="G1883" s="24" t="str">
        <f aca="false">INDEX(Products!$C$2:$C$49,MATCH(C1883,Products!$A$2:$A$49,0))</f>
        <v>Household</v>
      </c>
      <c r="H1883" s="33" t="n">
        <f aca="false">D1883*INDEX(Products!$E$2:$E$49,MATCH(C1883,Products!$A$2:$A$49,0))</f>
        <v>21420</v>
      </c>
      <c r="I1883" s="33" t="n">
        <f aca="false">D1883*INDEX(Products!$D$2:$D$49,MATCH(C1883,Products!$A$2:$A$49,0))*(1+INDEX(Assumptions!$B$16:$B$20,MATCH(B1883,Assumptions!$A$16:$A$20,0)))</f>
        <v>16142.112</v>
      </c>
      <c r="J1883" s="33" t="n">
        <f aca="false">H1883-I1883</f>
        <v>5277.888</v>
      </c>
      <c r="K1883" s="33" t="n">
        <f aca="false">IF(OR(E1883=0,E1883&gt;=7),0,D1883/(7-E1883)*E1883*INDEX(Products!$E$2:$E$49,MATCH(C1883,Products!$A$2:$A$49,0)))</f>
        <v>0</v>
      </c>
    </row>
    <row r="1884" customFormat="false" ht="15" hidden="false" customHeight="false" outlineLevel="0" collapsed="false">
      <c r="A1884" s="36" t="n">
        <v>46167</v>
      </c>
      <c r="B1884" s="24" t="s">
        <v>62</v>
      </c>
      <c r="C1884" s="24" t="s">
        <v>169</v>
      </c>
      <c r="D1884" s="33" t="n">
        <v>46</v>
      </c>
      <c r="E1884" s="24" t="n">
        <v>0</v>
      </c>
      <c r="F1884" s="37" t="n">
        <f aca="false">DATE(YEAR(A1884),MONTH(A1884),1)</f>
        <v>46143</v>
      </c>
      <c r="G1884" s="24" t="str">
        <f aca="false">INDEX(Products!$C$2:$C$49,MATCH(C1884,Products!$A$2:$A$49,0))</f>
        <v>Household</v>
      </c>
      <c r="H1884" s="33" t="n">
        <f aca="false">D1884*INDEX(Products!$E$2:$E$49,MATCH(C1884,Products!$A$2:$A$49,0))</f>
        <v>19320</v>
      </c>
      <c r="I1884" s="33" t="n">
        <f aca="false">D1884*INDEX(Products!$D$2:$D$49,MATCH(C1884,Products!$A$2:$A$49,0))*(1+INDEX(Assumptions!$B$16:$B$20,MATCH(B1884,Assumptions!$A$16:$A$20,0)))</f>
        <v>14559.552</v>
      </c>
      <c r="J1884" s="33" t="n">
        <f aca="false">H1884-I1884</f>
        <v>4760.448</v>
      </c>
      <c r="K1884" s="33" t="n">
        <f aca="false">IF(OR(E1884=0,E1884&gt;=7),0,D1884/(7-E1884)*E1884*INDEX(Products!$E$2:$E$49,MATCH(C1884,Products!$A$2:$A$49,0)))</f>
        <v>0</v>
      </c>
    </row>
    <row r="1885" customFormat="false" ht="15" hidden="false" customHeight="false" outlineLevel="0" collapsed="false">
      <c r="A1885" s="36" t="n">
        <v>46174</v>
      </c>
      <c r="B1885" s="24" t="s">
        <v>62</v>
      </c>
      <c r="C1885" s="24" t="s">
        <v>169</v>
      </c>
      <c r="D1885" s="33" t="n">
        <v>56</v>
      </c>
      <c r="E1885" s="24" t="n">
        <v>0</v>
      </c>
      <c r="F1885" s="37" t="n">
        <f aca="false">DATE(YEAR(A1885),MONTH(A1885),1)</f>
        <v>46174</v>
      </c>
      <c r="G1885" s="24" t="str">
        <f aca="false">INDEX(Products!$C$2:$C$49,MATCH(C1885,Products!$A$2:$A$49,0))</f>
        <v>Household</v>
      </c>
      <c r="H1885" s="33" t="n">
        <f aca="false">D1885*INDEX(Products!$E$2:$E$49,MATCH(C1885,Products!$A$2:$A$49,0))</f>
        <v>23520</v>
      </c>
      <c r="I1885" s="33" t="n">
        <f aca="false">D1885*INDEX(Products!$D$2:$D$49,MATCH(C1885,Products!$A$2:$A$49,0))*(1+INDEX(Assumptions!$B$16:$B$20,MATCH(B1885,Assumptions!$A$16:$A$20,0)))</f>
        <v>17724.672</v>
      </c>
      <c r="J1885" s="33" t="n">
        <f aca="false">H1885-I1885</f>
        <v>5795.328</v>
      </c>
      <c r="K1885" s="33" t="n">
        <f aca="false">IF(OR(E1885=0,E1885&gt;=7),0,D1885/(7-E1885)*E1885*INDEX(Products!$E$2:$E$49,MATCH(C1885,Products!$A$2:$A$49,0)))</f>
        <v>0</v>
      </c>
    </row>
    <row r="1886" customFormat="false" ht="15" hidden="false" customHeight="false" outlineLevel="0" collapsed="false">
      <c r="A1886" s="36" t="n">
        <v>46181</v>
      </c>
      <c r="B1886" s="24" t="s">
        <v>62</v>
      </c>
      <c r="C1886" s="24" t="s">
        <v>169</v>
      </c>
      <c r="D1886" s="33" t="n">
        <v>45</v>
      </c>
      <c r="E1886" s="24" t="n">
        <v>0</v>
      </c>
      <c r="F1886" s="37" t="n">
        <f aca="false">DATE(YEAR(A1886),MONTH(A1886),1)</f>
        <v>46174</v>
      </c>
      <c r="G1886" s="24" t="str">
        <f aca="false">INDEX(Products!$C$2:$C$49,MATCH(C1886,Products!$A$2:$A$49,0))</f>
        <v>Household</v>
      </c>
      <c r="H1886" s="33" t="n">
        <f aca="false">D1886*INDEX(Products!$E$2:$E$49,MATCH(C1886,Products!$A$2:$A$49,0))</f>
        <v>18900</v>
      </c>
      <c r="I1886" s="33" t="n">
        <f aca="false">D1886*INDEX(Products!$D$2:$D$49,MATCH(C1886,Products!$A$2:$A$49,0))*(1+INDEX(Assumptions!$B$16:$B$20,MATCH(B1886,Assumptions!$A$16:$A$20,0)))</f>
        <v>14243.04</v>
      </c>
      <c r="J1886" s="33" t="n">
        <f aca="false">H1886-I1886</f>
        <v>4656.96</v>
      </c>
      <c r="K1886" s="33" t="n">
        <f aca="false">IF(OR(E1886=0,E1886&gt;=7),0,D1886/(7-E1886)*E1886*INDEX(Products!$E$2:$E$49,MATCH(C1886,Products!$A$2:$A$49,0)))</f>
        <v>0</v>
      </c>
    </row>
    <row r="1887" customFormat="false" ht="15" hidden="false" customHeight="false" outlineLevel="0" collapsed="false">
      <c r="A1887" s="36" t="n">
        <v>46188</v>
      </c>
      <c r="B1887" s="24" t="s">
        <v>62</v>
      </c>
      <c r="C1887" s="24" t="s">
        <v>169</v>
      </c>
      <c r="D1887" s="33" t="n">
        <v>37</v>
      </c>
      <c r="E1887" s="24" t="n">
        <v>0</v>
      </c>
      <c r="F1887" s="37" t="n">
        <f aca="false">DATE(YEAR(A1887),MONTH(A1887),1)</f>
        <v>46174</v>
      </c>
      <c r="G1887" s="24" t="str">
        <f aca="false">INDEX(Products!$C$2:$C$49,MATCH(C1887,Products!$A$2:$A$49,0))</f>
        <v>Household</v>
      </c>
      <c r="H1887" s="33" t="n">
        <f aca="false">D1887*INDEX(Products!$E$2:$E$49,MATCH(C1887,Products!$A$2:$A$49,0))</f>
        <v>15540</v>
      </c>
      <c r="I1887" s="33" t="n">
        <f aca="false">D1887*INDEX(Products!$D$2:$D$49,MATCH(C1887,Products!$A$2:$A$49,0))*(1+INDEX(Assumptions!$B$16:$B$20,MATCH(B1887,Assumptions!$A$16:$A$20,0)))</f>
        <v>11710.944</v>
      </c>
      <c r="J1887" s="33" t="n">
        <f aca="false">H1887-I1887</f>
        <v>3829.056</v>
      </c>
      <c r="K1887" s="33" t="n">
        <f aca="false">IF(OR(E1887=0,E1887&gt;=7),0,D1887/(7-E1887)*E1887*INDEX(Products!$E$2:$E$49,MATCH(C1887,Products!$A$2:$A$49,0)))</f>
        <v>0</v>
      </c>
    </row>
    <row r="1888" customFormat="false" ht="15" hidden="false" customHeight="false" outlineLevel="0" collapsed="false">
      <c r="A1888" s="36" t="n">
        <v>46195</v>
      </c>
      <c r="B1888" s="24" t="s">
        <v>62</v>
      </c>
      <c r="C1888" s="24" t="s">
        <v>169</v>
      </c>
      <c r="D1888" s="33" t="n">
        <v>39</v>
      </c>
      <c r="E1888" s="24" t="n">
        <v>0</v>
      </c>
      <c r="F1888" s="37" t="n">
        <f aca="false">DATE(YEAR(A1888),MONTH(A1888),1)</f>
        <v>46174</v>
      </c>
      <c r="G1888" s="24" t="str">
        <f aca="false">INDEX(Products!$C$2:$C$49,MATCH(C1888,Products!$A$2:$A$49,0))</f>
        <v>Household</v>
      </c>
      <c r="H1888" s="33" t="n">
        <f aca="false">D1888*INDEX(Products!$E$2:$E$49,MATCH(C1888,Products!$A$2:$A$49,0))</f>
        <v>16380</v>
      </c>
      <c r="I1888" s="33" t="n">
        <f aca="false">D1888*INDEX(Products!$D$2:$D$49,MATCH(C1888,Products!$A$2:$A$49,0))*(1+INDEX(Assumptions!$B$16:$B$20,MATCH(B1888,Assumptions!$A$16:$A$20,0)))</f>
        <v>12343.968</v>
      </c>
      <c r="J1888" s="33" t="n">
        <f aca="false">H1888-I1888</f>
        <v>4036.032</v>
      </c>
      <c r="K1888" s="33" t="n">
        <f aca="false">IF(OR(E1888=0,E1888&gt;=7),0,D1888/(7-E1888)*E1888*INDEX(Products!$E$2:$E$49,MATCH(C1888,Products!$A$2:$A$49,0)))</f>
        <v>0</v>
      </c>
    </row>
    <row r="1889" customFormat="false" ht="15" hidden="false" customHeight="false" outlineLevel="0" collapsed="false">
      <c r="A1889" s="36" t="n">
        <v>46202</v>
      </c>
      <c r="B1889" s="24" t="s">
        <v>62</v>
      </c>
      <c r="C1889" s="24" t="s">
        <v>169</v>
      </c>
      <c r="D1889" s="33" t="n">
        <v>41</v>
      </c>
      <c r="E1889" s="24" t="n">
        <v>0</v>
      </c>
      <c r="F1889" s="37" t="n">
        <f aca="false">DATE(YEAR(A1889),MONTH(A1889),1)</f>
        <v>46174</v>
      </c>
      <c r="G1889" s="24" t="str">
        <f aca="false">INDEX(Products!$C$2:$C$49,MATCH(C1889,Products!$A$2:$A$49,0))</f>
        <v>Household</v>
      </c>
      <c r="H1889" s="33" t="n">
        <f aca="false">D1889*INDEX(Products!$E$2:$E$49,MATCH(C1889,Products!$A$2:$A$49,0))</f>
        <v>17220</v>
      </c>
      <c r="I1889" s="33" t="n">
        <f aca="false">D1889*INDEX(Products!$D$2:$D$49,MATCH(C1889,Products!$A$2:$A$49,0))*(1+INDEX(Assumptions!$B$16:$B$20,MATCH(B1889,Assumptions!$A$16:$A$20,0)))</f>
        <v>12976.992</v>
      </c>
      <c r="J1889" s="33" t="n">
        <f aca="false">H1889-I1889</f>
        <v>4243.008</v>
      </c>
      <c r="K1889" s="33" t="n">
        <f aca="false">IF(OR(E1889=0,E1889&gt;=7),0,D1889/(7-E1889)*E1889*INDEX(Products!$E$2:$E$49,MATCH(C1889,Products!$A$2:$A$49,0)))</f>
        <v>0</v>
      </c>
    </row>
    <row r="1890" customFormat="false" ht="15" hidden="false" customHeight="false" outlineLevel="0" collapsed="false">
      <c r="A1890" s="36" t="n">
        <v>46209</v>
      </c>
      <c r="B1890" s="24" t="s">
        <v>62</v>
      </c>
      <c r="C1890" s="24" t="s">
        <v>169</v>
      </c>
      <c r="D1890" s="33" t="n">
        <v>31</v>
      </c>
      <c r="E1890" s="24" t="n">
        <v>0</v>
      </c>
      <c r="F1890" s="37" t="n">
        <f aca="false">DATE(YEAR(A1890),MONTH(A1890),1)</f>
        <v>46204</v>
      </c>
      <c r="G1890" s="24" t="str">
        <f aca="false">INDEX(Products!$C$2:$C$49,MATCH(C1890,Products!$A$2:$A$49,0))</f>
        <v>Household</v>
      </c>
      <c r="H1890" s="33" t="n">
        <f aca="false">D1890*INDEX(Products!$E$2:$E$49,MATCH(C1890,Products!$A$2:$A$49,0))</f>
        <v>13020</v>
      </c>
      <c r="I1890" s="33" t="n">
        <f aca="false">D1890*INDEX(Products!$D$2:$D$49,MATCH(C1890,Products!$A$2:$A$49,0))*(1+INDEX(Assumptions!$B$16:$B$20,MATCH(B1890,Assumptions!$A$16:$A$20,0)))</f>
        <v>9811.872</v>
      </c>
      <c r="J1890" s="33" t="n">
        <f aca="false">H1890-I1890</f>
        <v>3208.128</v>
      </c>
      <c r="K1890" s="33" t="n">
        <f aca="false">IF(OR(E1890=0,E1890&gt;=7),0,D1890/(7-E1890)*E1890*INDEX(Products!$E$2:$E$49,MATCH(C1890,Products!$A$2:$A$49,0)))</f>
        <v>0</v>
      </c>
    </row>
    <row r="1891" customFormat="false" ht="15" hidden="false" customHeight="false" outlineLevel="0" collapsed="false">
      <c r="A1891" s="36" t="n">
        <v>46216</v>
      </c>
      <c r="B1891" s="24" t="s">
        <v>62</v>
      </c>
      <c r="C1891" s="24" t="s">
        <v>169</v>
      </c>
      <c r="D1891" s="33" t="n">
        <v>44</v>
      </c>
      <c r="E1891" s="24" t="n">
        <v>0</v>
      </c>
      <c r="F1891" s="37" t="n">
        <f aca="false">DATE(YEAR(A1891),MONTH(A1891),1)</f>
        <v>46204</v>
      </c>
      <c r="G1891" s="24" t="str">
        <f aca="false">INDEX(Products!$C$2:$C$49,MATCH(C1891,Products!$A$2:$A$49,0))</f>
        <v>Household</v>
      </c>
      <c r="H1891" s="33" t="n">
        <f aca="false">D1891*INDEX(Products!$E$2:$E$49,MATCH(C1891,Products!$A$2:$A$49,0))</f>
        <v>18480</v>
      </c>
      <c r="I1891" s="33" t="n">
        <f aca="false">D1891*INDEX(Products!$D$2:$D$49,MATCH(C1891,Products!$A$2:$A$49,0))*(1+INDEX(Assumptions!$B$16:$B$20,MATCH(B1891,Assumptions!$A$16:$A$20,0)))</f>
        <v>13926.528</v>
      </c>
      <c r="J1891" s="33" t="n">
        <f aca="false">H1891-I1891</f>
        <v>4553.472</v>
      </c>
      <c r="K1891" s="33" t="n">
        <f aca="false">IF(OR(E1891=0,E1891&gt;=7),0,D1891/(7-E1891)*E1891*INDEX(Products!$E$2:$E$49,MATCH(C1891,Products!$A$2:$A$49,0)))</f>
        <v>0</v>
      </c>
    </row>
    <row r="1892" customFormat="false" ht="15" hidden="false" customHeight="false" outlineLevel="0" collapsed="false">
      <c r="A1892" s="36" t="n">
        <v>46223</v>
      </c>
      <c r="B1892" s="24" t="s">
        <v>62</v>
      </c>
      <c r="C1892" s="24" t="s">
        <v>169</v>
      </c>
      <c r="D1892" s="33" t="n">
        <v>45</v>
      </c>
      <c r="E1892" s="24" t="n">
        <v>0</v>
      </c>
      <c r="F1892" s="37" t="n">
        <f aca="false">DATE(YEAR(A1892),MONTH(A1892),1)</f>
        <v>46204</v>
      </c>
      <c r="G1892" s="24" t="str">
        <f aca="false">INDEX(Products!$C$2:$C$49,MATCH(C1892,Products!$A$2:$A$49,0))</f>
        <v>Household</v>
      </c>
      <c r="H1892" s="33" t="n">
        <f aca="false">D1892*INDEX(Products!$E$2:$E$49,MATCH(C1892,Products!$A$2:$A$49,0))</f>
        <v>18900</v>
      </c>
      <c r="I1892" s="33" t="n">
        <f aca="false">D1892*INDEX(Products!$D$2:$D$49,MATCH(C1892,Products!$A$2:$A$49,0))*(1+INDEX(Assumptions!$B$16:$B$20,MATCH(B1892,Assumptions!$A$16:$A$20,0)))</f>
        <v>14243.04</v>
      </c>
      <c r="J1892" s="33" t="n">
        <f aca="false">H1892-I1892</f>
        <v>4656.96</v>
      </c>
      <c r="K1892" s="33" t="n">
        <f aca="false">IF(OR(E1892=0,E1892&gt;=7),0,D1892/(7-E1892)*E1892*INDEX(Products!$E$2:$E$49,MATCH(C1892,Products!$A$2:$A$49,0)))</f>
        <v>0</v>
      </c>
    </row>
    <row r="1893" customFormat="false" ht="15" hidden="false" customHeight="false" outlineLevel="0" collapsed="false">
      <c r="A1893" s="36" t="n">
        <v>46230</v>
      </c>
      <c r="B1893" s="24" t="s">
        <v>62</v>
      </c>
      <c r="C1893" s="24" t="s">
        <v>169</v>
      </c>
      <c r="D1893" s="33" t="n">
        <v>34</v>
      </c>
      <c r="E1893" s="24" t="n">
        <v>0</v>
      </c>
      <c r="F1893" s="37" t="n">
        <f aca="false">DATE(YEAR(A1893),MONTH(A1893),1)</f>
        <v>46204</v>
      </c>
      <c r="G1893" s="24" t="str">
        <f aca="false">INDEX(Products!$C$2:$C$49,MATCH(C1893,Products!$A$2:$A$49,0))</f>
        <v>Household</v>
      </c>
      <c r="H1893" s="33" t="n">
        <f aca="false">D1893*INDEX(Products!$E$2:$E$49,MATCH(C1893,Products!$A$2:$A$49,0))</f>
        <v>14280</v>
      </c>
      <c r="I1893" s="33" t="n">
        <f aca="false">D1893*INDEX(Products!$D$2:$D$49,MATCH(C1893,Products!$A$2:$A$49,0))*(1+INDEX(Assumptions!$B$16:$B$20,MATCH(B1893,Assumptions!$A$16:$A$20,0)))</f>
        <v>10761.408</v>
      </c>
      <c r="J1893" s="33" t="n">
        <f aca="false">H1893-I1893</f>
        <v>3518.592</v>
      </c>
      <c r="K1893" s="33" t="n">
        <f aca="false">IF(OR(E1893=0,E1893&gt;=7),0,D1893/(7-E1893)*E1893*INDEX(Products!$E$2:$E$49,MATCH(C1893,Products!$A$2:$A$49,0)))</f>
        <v>0</v>
      </c>
    </row>
    <row r="1894" customFormat="false" ht="15" hidden="false" customHeight="false" outlineLevel="0" collapsed="false">
      <c r="A1894" s="36" t="n">
        <v>46237</v>
      </c>
      <c r="B1894" s="24" t="s">
        <v>62</v>
      </c>
      <c r="C1894" s="24" t="s">
        <v>169</v>
      </c>
      <c r="D1894" s="33" t="n">
        <v>39</v>
      </c>
      <c r="E1894" s="24" t="n">
        <v>0</v>
      </c>
      <c r="F1894" s="37" t="n">
        <f aca="false">DATE(YEAR(A1894),MONTH(A1894),1)</f>
        <v>46235</v>
      </c>
      <c r="G1894" s="24" t="str">
        <f aca="false">INDEX(Products!$C$2:$C$49,MATCH(C1894,Products!$A$2:$A$49,0))</f>
        <v>Household</v>
      </c>
      <c r="H1894" s="33" t="n">
        <f aca="false">D1894*INDEX(Products!$E$2:$E$49,MATCH(C1894,Products!$A$2:$A$49,0))</f>
        <v>16380</v>
      </c>
      <c r="I1894" s="33" t="n">
        <f aca="false">D1894*INDEX(Products!$D$2:$D$49,MATCH(C1894,Products!$A$2:$A$49,0))*(1+INDEX(Assumptions!$B$16:$B$20,MATCH(B1894,Assumptions!$A$16:$A$20,0)))</f>
        <v>12343.968</v>
      </c>
      <c r="J1894" s="33" t="n">
        <f aca="false">H1894-I1894</f>
        <v>4036.032</v>
      </c>
      <c r="K1894" s="33" t="n">
        <f aca="false">IF(OR(E1894=0,E1894&gt;=7),0,D1894/(7-E1894)*E1894*INDEX(Products!$E$2:$E$49,MATCH(C1894,Products!$A$2:$A$49,0)))</f>
        <v>0</v>
      </c>
    </row>
    <row r="1895" customFormat="false" ht="15" hidden="false" customHeight="false" outlineLevel="0" collapsed="false">
      <c r="A1895" s="36" t="n">
        <v>46244</v>
      </c>
      <c r="B1895" s="24" t="s">
        <v>62</v>
      </c>
      <c r="C1895" s="24" t="s">
        <v>169</v>
      </c>
      <c r="D1895" s="33" t="n">
        <v>28</v>
      </c>
      <c r="E1895" s="24" t="n">
        <v>0</v>
      </c>
      <c r="F1895" s="37" t="n">
        <f aca="false">DATE(YEAR(A1895),MONTH(A1895),1)</f>
        <v>46235</v>
      </c>
      <c r="G1895" s="24" t="str">
        <f aca="false">INDEX(Products!$C$2:$C$49,MATCH(C1895,Products!$A$2:$A$49,0))</f>
        <v>Household</v>
      </c>
      <c r="H1895" s="33" t="n">
        <f aca="false">D1895*INDEX(Products!$E$2:$E$49,MATCH(C1895,Products!$A$2:$A$49,0))</f>
        <v>11760</v>
      </c>
      <c r="I1895" s="33" t="n">
        <f aca="false">D1895*INDEX(Products!$D$2:$D$49,MATCH(C1895,Products!$A$2:$A$49,0))*(1+INDEX(Assumptions!$B$16:$B$20,MATCH(B1895,Assumptions!$A$16:$A$20,0)))</f>
        <v>8862.336</v>
      </c>
      <c r="J1895" s="33" t="n">
        <f aca="false">H1895-I1895</f>
        <v>2897.664</v>
      </c>
      <c r="K1895" s="33" t="n">
        <f aca="false">IF(OR(E1895=0,E1895&gt;=7),0,D1895/(7-E1895)*E1895*INDEX(Products!$E$2:$E$49,MATCH(C1895,Products!$A$2:$A$49,0)))</f>
        <v>0</v>
      </c>
    </row>
    <row r="1896" customFormat="false" ht="15" hidden="false" customHeight="false" outlineLevel="0" collapsed="false">
      <c r="A1896" s="36" t="n">
        <v>46251</v>
      </c>
      <c r="B1896" s="24" t="s">
        <v>62</v>
      </c>
      <c r="C1896" s="24" t="s">
        <v>169</v>
      </c>
      <c r="D1896" s="33" t="n">
        <v>28</v>
      </c>
      <c r="E1896" s="24" t="n">
        <v>0</v>
      </c>
      <c r="F1896" s="37" t="n">
        <f aca="false">DATE(YEAR(A1896),MONTH(A1896),1)</f>
        <v>46235</v>
      </c>
      <c r="G1896" s="24" t="str">
        <f aca="false">INDEX(Products!$C$2:$C$49,MATCH(C1896,Products!$A$2:$A$49,0))</f>
        <v>Household</v>
      </c>
      <c r="H1896" s="33" t="n">
        <f aca="false">D1896*INDEX(Products!$E$2:$E$49,MATCH(C1896,Products!$A$2:$A$49,0))</f>
        <v>11760</v>
      </c>
      <c r="I1896" s="33" t="n">
        <f aca="false">D1896*INDEX(Products!$D$2:$D$49,MATCH(C1896,Products!$A$2:$A$49,0))*(1+INDEX(Assumptions!$B$16:$B$20,MATCH(B1896,Assumptions!$A$16:$A$20,0)))</f>
        <v>8862.336</v>
      </c>
      <c r="J1896" s="33" t="n">
        <f aca="false">H1896-I1896</f>
        <v>2897.664</v>
      </c>
      <c r="K1896" s="33" t="n">
        <f aca="false">IF(OR(E1896=0,E1896&gt;=7),0,D1896/(7-E1896)*E1896*INDEX(Products!$E$2:$E$49,MATCH(C1896,Products!$A$2:$A$49,0)))</f>
        <v>0</v>
      </c>
    </row>
    <row r="1897" customFormat="false" ht="15" hidden="false" customHeight="false" outlineLevel="0" collapsed="false">
      <c r="A1897" s="36" t="n">
        <v>46258</v>
      </c>
      <c r="B1897" s="24" t="s">
        <v>62</v>
      </c>
      <c r="C1897" s="24" t="s">
        <v>169</v>
      </c>
      <c r="D1897" s="33" t="n">
        <v>36</v>
      </c>
      <c r="E1897" s="24" t="n">
        <v>0</v>
      </c>
      <c r="F1897" s="37" t="n">
        <f aca="false">DATE(YEAR(A1897),MONTH(A1897),1)</f>
        <v>46235</v>
      </c>
      <c r="G1897" s="24" t="str">
        <f aca="false">INDEX(Products!$C$2:$C$49,MATCH(C1897,Products!$A$2:$A$49,0))</f>
        <v>Household</v>
      </c>
      <c r="H1897" s="33" t="n">
        <f aca="false">D1897*INDEX(Products!$E$2:$E$49,MATCH(C1897,Products!$A$2:$A$49,0))</f>
        <v>15120</v>
      </c>
      <c r="I1897" s="33" t="n">
        <f aca="false">D1897*INDEX(Products!$D$2:$D$49,MATCH(C1897,Products!$A$2:$A$49,0))*(1+INDEX(Assumptions!$B$16:$B$20,MATCH(B1897,Assumptions!$A$16:$A$20,0)))</f>
        <v>11394.432</v>
      </c>
      <c r="J1897" s="33" t="n">
        <f aca="false">H1897-I1897</f>
        <v>3725.568</v>
      </c>
      <c r="K1897" s="33" t="n">
        <f aca="false">IF(OR(E1897=0,E1897&gt;=7),0,D1897/(7-E1897)*E1897*INDEX(Products!$E$2:$E$49,MATCH(C1897,Products!$A$2:$A$49,0)))</f>
        <v>0</v>
      </c>
    </row>
    <row r="1898" customFormat="false" ht="15" hidden="false" customHeight="false" outlineLevel="0" collapsed="false">
      <c r="A1898" s="36" t="n">
        <v>46265</v>
      </c>
      <c r="B1898" s="24" t="s">
        <v>62</v>
      </c>
      <c r="C1898" s="24" t="s">
        <v>169</v>
      </c>
      <c r="D1898" s="33" t="n">
        <v>43</v>
      </c>
      <c r="E1898" s="24" t="n">
        <v>0</v>
      </c>
      <c r="F1898" s="37" t="n">
        <f aca="false">DATE(YEAR(A1898),MONTH(A1898),1)</f>
        <v>46235</v>
      </c>
      <c r="G1898" s="24" t="str">
        <f aca="false">INDEX(Products!$C$2:$C$49,MATCH(C1898,Products!$A$2:$A$49,0))</f>
        <v>Household</v>
      </c>
      <c r="H1898" s="33" t="n">
        <f aca="false">D1898*INDEX(Products!$E$2:$E$49,MATCH(C1898,Products!$A$2:$A$49,0))</f>
        <v>18060</v>
      </c>
      <c r="I1898" s="33" t="n">
        <f aca="false">D1898*INDEX(Products!$D$2:$D$49,MATCH(C1898,Products!$A$2:$A$49,0))*(1+INDEX(Assumptions!$B$16:$B$20,MATCH(B1898,Assumptions!$A$16:$A$20,0)))</f>
        <v>13610.016</v>
      </c>
      <c r="J1898" s="33" t="n">
        <f aca="false">H1898-I1898</f>
        <v>4449.984</v>
      </c>
      <c r="K1898" s="33" t="n">
        <f aca="false">IF(OR(E1898=0,E1898&gt;=7),0,D1898/(7-E1898)*E1898*INDEX(Products!$E$2:$E$49,MATCH(C1898,Products!$A$2:$A$49,0)))</f>
        <v>0</v>
      </c>
    </row>
    <row r="1899" customFormat="false" ht="15" hidden="false" customHeight="false" outlineLevel="0" collapsed="false">
      <c r="A1899" s="36" t="n">
        <v>46272</v>
      </c>
      <c r="B1899" s="24" t="s">
        <v>62</v>
      </c>
      <c r="C1899" s="24" t="s">
        <v>169</v>
      </c>
      <c r="D1899" s="33" t="n">
        <v>35</v>
      </c>
      <c r="E1899" s="24" t="n">
        <v>0</v>
      </c>
      <c r="F1899" s="37" t="n">
        <f aca="false">DATE(YEAR(A1899),MONTH(A1899),1)</f>
        <v>46266</v>
      </c>
      <c r="G1899" s="24" t="str">
        <f aca="false">INDEX(Products!$C$2:$C$49,MATCH(C1899,Products!$A$2:$A$49,0))</f>
        <v>Household</v>
      </c>
      <c r="H1899" s="33" t="n">
        <f aca="false">D1899*INDEX(Products!$E$2:$E$49,MATCH(C1899,Products!$A$2:$A$49,0))</f>
        <v>14700</v>
      </c>
      <c r="I1899" s="33" t="n">
        <f aca="false">D1899*INDEX(Products!$D$2:$D$49,MATCH(C1899,Products!$A$2:$A$49,0))*(1+INDEX(Assumptions!$B$16:$B$20,MATCH(B1899,Assumptions!$A$16:$A$20,0)))</f>
        <v>11077.92</v>
      </c>
      <c r="J1899" s="33" t="n">
        <f aca="false">H1899-I1899</f>
        <v>3622.08</v>
      </c>
      <c r="K1899" s="33" t="n">
        <f aca="false">IF(OR(E1899=0,E1899&gt;=7),0,D1899/(7-E1899)*E1899*INDEX(Products!$E$2:$E$49,MATCH(C1899,Products!$A$2:$A$49,0)))</f>
        <v>0</v>
      </c>
    </row>
    <row r="1900" customFormat="false" ht="15" hidden="false" customHeight="false" outlineLevel="0" collapsed="false">
      <c r="A1900" s="36" t="n">
        <v>46279</v>
      </c>
      <c r="B1900" s="24" t="s">
        <v>62</v>
      </c>
      <c r="C1900" s="24" t="s">
        <v>169</v>
      </c>
      <c r="D1900" s="33" t="n">
        <v>40</v>
      </c>
      <c r="E1900" s="24" t="n">
        <v>0</v>
      </c>
      <c r="F1900" s="37" t="n">
        <f aca="false">DATE(YEAR(A1900),MONTH(A1900),1)</f>
        <v>46266</v>
      </c>
      <c r="G1900" s="24" t="str">
        <f aca="false">INDEX(Products!$C$2:$C$49,MATCH(C1900,Products!$A$2:$A$49,0))</f>
        <v>Household</v>
      </c>
      <c r="H1900" s="33" t="n">
        <f aca="false">D1900*INDEX(Products!$E$2:$E$49,MATCH(C1900,Products!$A$2:$A$49,0))</f>
        <v>16800</v>
      </c>
      <c r="I1900" s="33" t="n">
        <f aca="false">D1900*INDEX(Products!$D$2:$D$49,MATCH(C1900,Products!$A$2:$A$49,0))*(1+INDEX(Assumptions!$B$16:$B$20,MATCH(B1900,Assumptions!$A$16:$A$20,0)))</f>
        <v>12660.48</v>
      </c>
      <c r="J1900" s="33" t="n">
        <f aca="false">H1900-I1900</f>
        <v>4139.52</v>
      </c>
      <c r="K1900" s="33" t="n">
        <f aca="false">IF(OR(E1900=0,E1900&gt;=7),0,D1900/(7-E1900)*E1900*INDEX(Products!$E$2:$E$49,MATCH(C1900,Products!$A$2:$A$49,0)))</f>
        <v>0</v>
      </c>
    </row>
    <row r="1901" customFormat="false" ht="15" hidden="false" customHeight="false" outlineLevel="0" collapsed="false">
      <c r="A1901" s="36" t="n">
        <v>46286</v>
      </c>
      <c r="B1901" s="24" t="s">
        <v>62</v>
      </c>
      <c r="C1901" s="24" t="s">
        <v>169</v>
      </c>
      <c r="D1901" s="33" t="n">
        <v>30</v>
      </c>
      <c r="E1901" s="24" t="n">
        <v>0</v>
      </c>
      <c r="F1901" s="37" t="n">
        <f aca="false">DATE(YEAR(A1901),MONTH(A1901),1)</f>
        <v>46266</v>
      </c>
      <c r="G1901" s="24" t="str">
        <f aca="false">INDEX(Products!$C$2:$C$49,MATCH(C1901,Products!$A$2:$A$49,0))</f>
        <v>Household</v>
      </c>
      <c r="H1901" s="33" t="n">
        <f aca="false">D1901*INDEX(Products!$E$2:$E$49,MATCH(C1901,Products!$A$2:$A$49,0))</f>
        <v>12600</v>
      </c>
      <c r="I1901" s="33" t="n">
        <f aca="false">D1901*INDEX(Products!$D$2:$D$49,MATCH(C1901,Products!$A$2:$A$49,0))*(1+INDEX(Assumptions!$B$16:$B$20,MATCH(B1901,Assumptions!$A$16:$A$20,0)))</f>
        <v>9495.36</v>
      </c>
      <c r="J1901" s="33" t="n">
        <f aca="false">H1901-I1901</f>
        <v>3104.64</v>
      </c>
      <c r="K1901" s="33" t="n">
        <f aca="false">IF(OR(E1901=0,E1901&gt;=7),0,D1901/(7-E1901)*E1901*INDEX(Products!$E$2:$E$49,MATCH(C1901,Products!$A$2:$A$49,0)))</f>
        <v>0</v>
      </c>
    </row>
    <row r="1902" customFormat="false" ht="15" hidden="false" customHeight="false" outlineLevel="0" collapsed="false">
      <c r="A1902" s="36" t="n">
        <v>46118</v>
      </c>
      <c r="B1902" s="24" t="s">
        <v>62</v>
      </c>
      <c r="C1902" s="24" t="s">
        <v>171</v>
      </c>
      <c r="D1902" s="33" t="n">
        <v>32</v>
      </c>
      <c r="E1902" s="24" t="n">
        <v>0</v>
      </c>
      <c r="F1902" s="37" t="n">
        <f aca="false">DATE(YEAR(A1902),MONTH(A1902),1)</f>
        <v>46113</v>
      </c>
      <c r="G1902" s="24" t="str">
        <f aca="false">INDEX(Products!$C$2:$C$49,MATCH(C1902,Products!$A$2:$A$49,0))</f>
        <v>Household</v>
      </c>
      <c r="H1902" s="33" t="n">
        <f aca="false">D1902*INDEX(Products!$E$2:$E$49,MATCH(C1902,Products!$A$2:$A$49,0))</f>
        <v>4800</v>
      </c>
      <c r="I1902" s="33" t="n">
        <f aca="false">D1902*INDEX(Products!$D$2:$D$49,MATCH(C1902,Products!$A$2:$A$49,0))*(1+INDEX(Assumptions!$B$16:$B$20,MATCH(B1902,Assumptions!$A$16:$A$20,0)))</f>
        <v>3741.696</v>
      </c>
      <c r="J1902" s="33" t="n">
        <f aca="false">H1902-I1902</f>
        <v>1058.304</v>
      </c>
      <c r="K1902" s="33" t="n">
        <f aca="false">IF(OR(E1902=0,E1902&gt;=7),0,D1902/(7-E1902)*E1902*INDEX(Products!$E$2:$E$49,MATCH(C1902,Products!$A$2:$A$49,0)))</f>
        <v>0</v>
      </c>
    </row>
    <row r="1903" customFormat="false" ht="15" hidden="false" customHeight="false" outlineLevel="0" collapsed="false">
      <c r="A1903" s="36" t="n">
        <v>46125</v>
      </c>
      <c r="B1903" s="24" t="s">
        <v>62</v>
      </c>
      <c r="C1903" s="24" t="s">
        <v>171</v>
      </c>
      <c r="D1903" s="33" t="n">
        <v>21</v>
      </c>
      <c r="E1903" s="24" t="n">
        <v>1</v>
      </c>
      <c r="F1903" s="37" t="n">
        <f aca="false">DATE(YEAR(A1903),MONTH(A1903),1)</f>
        <v>46113</v>
      </c>
      <c r="G1903" s="24" t="str">
        <f aca="false">INDEX(Products!$C$2:$C$49,MATCH(C1903,Products!$A$2:$A$49,0))</f>
        <v>Household</v>
      </c>
      <c r="H1903" s="33" t="n">
        <f aca="false">D1903*INDEX(Products!$E$2:$E$49,MATCH(C1903,Products!$A$2:$A$49,0))</f>
        <v>3150</v>
      </c>
      <c r="I1903" s="33" t="n">
        <f aca="false">D1903*INDEX(Products!$D$2:$D$49,MATCH(C1903,Products!$A$2:$A$49,0))*(1+INDEX(Assumptions!$B$16:$B$20,MATCH(B1903,Assumptions!$A$16:$A$20,0)))</f>
        <v>2455.488</v>
      </c>
      <c r="J1903" s="33" t="n">
        <f aca="false">H1903-I1903</f>
        <v>694.512</v>
      </c>
      <c r="K1903" s="33" t="n">
        <f aca="false">IF(OR(E1903=0,E1903&gt;=7),0,D1903/(7-E1903)*E1903*INDEX(Products!$E$2:$E$49,MATCH(C1903,Products!$A$2:$A$49,0)))</f>
        <v>525</v>
      </c>
    </row>
    <row r="1904" customFormat="false" ht="15" hidden="false" customHeight="false" outlineLevel="0" collapsed="false">
      <c r="A1904" s="36" t="n">
        <v>46132</v>
      </c>
      <c r="B1904" s="24" t="s">
        <v>62</v>
      </c>
      <c r="C1904" s="24" t="s">
        <v>171</v>
      </c>
      <c r="D1904" s="33" t="n">
        <v>33</v>
      </c>
      <c r="E1904" s="24" t="n">
        <v>0</v>
      </c>
      <c r="F1904" s="37" t="n">
        <f aca="false">DATE(YEAR(A1904),MONTH(A1904),1)</f>
        <v>46113</v>
      </c>
      <c r="G1904" s="24" t="str">
        <f aca="false">INDEX(Products!$C$2:$C$49,MATCH(C1904,Products!$A$2:$A$49,0))</f>
        <v>Household</v>
      </c>
      <c r="H1904" s="33" t="n">
        <f aca="false">D1904*INDEX(Products!$E$2:$E$49,MATCH(C1904,Products!$A$2:$A$49,0))</f>
        <v>4950</v>
      </c>
      <c r="I1904" s="33" t="n">
        <f aca="false">D1904*INDEX(Products!$D$2:$D$49,MATCH(C1904,Products!$A$2:$A$49,0))*(1+INDEX(Assumptions!$B$16:$B$20,MATCH(B1904,Assumptions!$A$16:$A$20,0)))</f>
        <v>3858.624</v>
      </c>
      <c r="J1904" s="33" t="n">
        <f aca="false">H1904-I1904</f>
        <v>1091.376</v>
      </c>
      <c r="K1904" s="33" t="n">
        <f aca="false">IF(OR(E1904=0,E1904&gt;=7),0,D1904/(7-E1904)*E1904*INDEX(Products!$E$2:$E$49,MATCH(C1904,Products!$A$2:$A$49,0)))</f>
        <v>0</v>
      </c>
    </row>
    <row r="1905" customFormat="false" ht="15" hidden="false" customHeight="false" outlineLevel="0" collapsed="false">
      <c r="A1905" s="36" t="n">
        <v>46139</v>
      </c>
      <c r="B1905" s="24" t="s">
        <v>62</v>
      </c>
      <c r="C1905" s="24" t="s">
        <v>171</v>
      </c>
      <c r="D1905" s="33" t="n">
        <v>33</v>
      </c>
      <c r="E1905" s="24" t="n">
        <v>0</v>
      </c>
      <c r="F1905" s="37" t="n">
        <f aca="false">DATE(YEAR(A1905),MONTH(A1905),1)</f>
        <v>46113</v>
      </c>
      <c r="G1905" s="24" t="str">
        <f aca="false">INDEX(Products!$C$2:$C$49,MATCH(C1905,Products!$A$2:$A$49,0))</f>
        <v>Household</v>
      </c>
      <c r="H1905" s="33" t="n">
        <f aca="false">D1905*INDEX(Products!$E$2:$E$49,MATCH(C1905,Products!$A$2:$A$49,0))</f>
        <v>4950</v>
      </c>
      <c r="I1905" s="33" t="n">
        <f aca="false">D1905*INDEX(Products!$D$2:$D$49,MATCH(C1905,Products!$A$2:$A$49,0))*(1+INDEX(Assumptions!$B$16:$B$20,MATCH(B1905,Assumptions!$A$16:$A$20,0)))</f>
        <v>3858.624</v>
      </c>
      <c r="J1905" s="33" t="n">
        <f aca="false">H1905-I1905</f>
        <v>1091.376</v>
      </c>
      <c r="K1905" s="33" t="n">
        <f aca="false">IF(OR(E1905=0,E1905&gt;=7),0,D1905/(7-E1905)*E1905*INDEX(Products!$E$2:$E$49,MATCH(C1905,Products!$A$2:$A$49,0)))</f>
        <v>0</v>
      </c>
    </row>
    <row r="1906" customFormat="false" ht="15" hidden="false" customHeight="false" outlineLevel="0" collapsed="false">
      <c r="A1906" s="36" t="n">
        <v>46146</v>
      </c>
      <c r="B1906" s="24" t="s">
        <v>62</v>
      </c>
      <c r="C1906" s="24" t="s">
        <v>171</v>
      </c>
      <c r="D1906" s="33" t="n">
        <v>34</v>
      </c>
      <c r="E1906" s="24" t="n">
        <v>0</v>
      </c>
      <c r="F1906" s="37" t="n">
        <f aca="false">DATE(YEAR(A1906),MONTH(A1906),1)</f>
        <v>46143</v>
      </c>
      <c r="G1906" s="24" t="str">
        <f aca="false">INDEX(Products!$C$2:$C$49,MATCH(C1906,Products!$A$2:$A$49,0))</f>
        <v>Household</v>
      </c>
      <c r="H1906" s="33" t="n">
        <f aca="false">D1906*INDEX(Products!$E$2:$E$49,MATCH(C1906,Products!$A$2:$A$49,0))</f>
        <v>5100</v>
      </c>
      <c r="I1906" s="33" t="n">
        <f aca="false">D1906*INDEX(Products!$D$2:$D$49,MATCH(C1906,Products!$A$2:$A$49,0))*(1+INDEX(Assumptions!$B$16:$B$20,MATCH(B1906,Assumptions!$A$16:$A$20,0)))</f>
        <v>3975.552</v>
      </c>
      <c r="J1906" s="33" t="n">
        <f aca="false">H1906-I1906</f>
        <v>1124.448</v>
      </c>
      <c r="K1906" s="33" t="n">
        <f aca="false">IF(OR(E1906=0,E1906&gt;=7),0,D1906/(7-E1906)*E1906*INDEX(Products!$E$2:$E$49,MATCH(C1906,Products!$A$2:$A$49,0)))</f>
        <v>0</v>
      </c>
    </row>
    <row r="1907" customFormat="false" ht="15" hidden="false" customHeight="false" outlineLevel="0" collapsed="false">
      <c r="A1907" s="36" t="n">
        <v>46153</v>
      </c>
      <c r="B1907" s="24" t="s">
        <v>62</v>
      </c>
      <c r="C1907" s="24" t="s">
        <v>171</v>
      </c>
      <c r="D1907" s="33" t="n">
        <v>25</v>
      </c>
      <c r="E1907" s="24" t="n">
        <v>0</v>
      </c>
      <c r="F1907" s="37" t="n">
        <f aca="false">DATE(YEAR(A1907),MONTH(A1907),1)</f>
        <v>46143</v>
      </c>
      <c r="G1907" s="24" t="str">
        <f aca="false">INDEX(Products!$C$2:$C$49,MATCH(C1907,Products!$A$2:$A$49,0))</f>
        <v>Household</v>
      </c>
      <c r="H1907" s="33" t="n">
        <f aca="false">D1907*INDEX(Products!$E$2:$E$49,MATCH(C1907,Products!$A$2:$A$49,0))</f>
        <v>3750</v>
      </c>
      <c r="I1907" s="33" t="n">
        <f aca="false">D1907*INDEX(Products!$D$2:$D$49,MATCH(C1907,Products!$A$2:$A$49,0))*(1+INDEX(Assumptions!$B$16:$B$20,MATCH(B1907,Assumptions!$A$16:$A$20,0)))</f>
        <v>2923.2</v>
      </c>
      <c r="J1907" s="33" t="n">
        <f aca="false">H1907-I1907</f>
        <v>826.8</v>
      </c>
      <c r="K1907" s="33" t="n">
        <f aca="false">IF(OR(E1907=0,E1907&gt;=7),0,D1907/(7-E1907)*E1907*INDEX(Products!$E$2:$E$49,MATCH(C1907,Products!$A$2:$A$49,0)))</f>
        <v>0</v>
      </c>
    </row>
    <row r="1908" customFormat="false" ht="15" hidden="false" customHeight="false" outlineLevel="0" collapsed="false">
      <c r="A1908" s="36" t="n">
        <v>46160</v>
      </c>
      <c r="B1908" s="24" t="s">
        <v>62</v>
      </c>
      <c r="C1908" s="24" t="s">
        <v>171</v>
      </c>
      <c r="D1908" s="33" t="n">
        <v>34</v>
      </c>
      <c r="E1908" s="24" t="n">
        <v>0</v>
      </c>
      <c r="F1908" s="37" t="n">
        <f aca="false">DATE(YEAR(A1908),MONTH(A1908),1)</f>
        <v>46143</v>
      </c>
      <c r="G1908" s="24" t="str">
        <f aca="false">INDEX(Products!$C$2:$C$49,MATCH(C1908,Products!$A$2:$A$49,0))</f>
        <v>Household</v>
      </c>
      <c r="H1908" s="33" t="n">
        <f aca="false">D1908*INDEX(Products!$E$2:$E$49,MATCH(C1908,Products!$A$2:$A$49,0))</f>
        <v>5100</v>
      </c>
      <c r="I1908" s="33" t="n">
        <f aca="false">D1908*INDEX(Products!$D$2:$D$49,MATCH(C1908,Products!$A$2:$A$49,0))*(1+INDEX(Assumptions!$B$16:$B$20,MATCH(B1908,Assumptions!$A$16:$A$20,0)))</f>
        <v>3975.552</v>
      </c>
      <c r="J1908" s="33" t="n">
        <f aca="false">H1908-I1908</f>
        <v>1124.448</v>
      </c>
      <c r="K1908" s="33" t="n">
        <f aca="false">IF(OR(E1908=0,E1908&gt;=7),0,D1908/(7-E1908)*E1908*INDEX(Products!$E$2:$E$49,MATCH(C1908,Products!$A$2:$A$49,0)))</f>
        <v>0</v>
      </c>
    </row>
    <row r="1909" customFormat="false" ht="15" hidden="false" customHeight="false" outlineLevel="0" collapsed="false">
      <c r="A1909" s="36" t="n">
        <v>46167</v>
      </c>
      <c r="B1909" s="24" t="s">
        <v>62</v>
      </c>
      <c r="C1909" s="24" t="s">
        <v>171</v>
      </c>
      <c r="D1909" s="33" t="n">
        <v>40</v>
      </c>
      <c r="E1909" s="24" t="n">
        <v>0</v>
      </c>
      <c r="F1909" s="37" t="n">
        <f aca="false">DATE(YEAR(A1909),MONTH(A1909),1)</f>
        <v>46143</v>
      </c>
      <c r="G1909" s="24" t="str">
        <f aca="false">INDEX(Products!$C$2:$C$49,MATCH(C1909,Products!$A$2:$A$49,0))</f>
        <v>Household</v>
      </c>
      <c r="H1909" s="33" t="n">
        <f aca="false">D1909*INDEX(Products!$E$2:$E$49,MATCH(C1909,Products!$A$2:$A$49,0))</f>
        <v>6000</v>
      </c>
      <c r="I1909" s="33" t="n">
        <f aca="false">D1909*INDEX(Products!$D$2:$D$49,MATCH(C1909,Products!$A$2:$A$49,0))*(1+INDEX(Assumptions!$B$16:$B$20,MATCH(B1909,Assumptions!$A$16:$A$20,0)))</f>
        <v>4677.12</v>
      </c>
      <c r="J1909" s="33" t="n">
        <f aca="false">H1909-I1909</f>
        <v>1322.88</v>
      </c>
      <c r="K1909" s="33" t="n">
        <f aca="false">IF(OR(E1909=0,E1909&gt;=7),0,D1909/(7-E1909)*E1909*INDEX(Products!$E$2:$E$49,MATCH(C1909,Products!$A$2:$A$49,0)))</f>
        <v>0</v>
      </c>
    </row>
    <row r="1910" customFormat="false" ht="15" hidden="false" customHeight="false" outlineLevel="0" collapsed="false">
      <c r="A1910" s="36" t="n">
        <v>46174</v>
      </c>
      <c r="B1910" s="24" t="s">
        <v>62</v>
      </c>
      <c r="C1910" s="24" t="s">
        <v>171</v>
      </c>
      <c r="D1910" s="33" t="n">
        <v>35</v>
      </c>
      <c r="E1910" s="24" t="n">
        <v>0</v>
      </c>
      <c r="F1910" s="37" t="n">
        <f aca="false">DATE(YEAR(A1910),MONTH(A1910),1)</f>
        <v>46174</v>
      </c>
      <c r="G1910" s="24" t="str">
        <f aca="false">INDEX(Products!$C$2:$C$49,MATCH(C1910,Products!$A$2:$A$49,0))</f>
        <v>Household</v>
      </c>
      <c r="H1910" s="33" t="n">
        <f aca="false">D1910*INDEX(Products!$E$2:$E$49,MATCH(C1910,Products!$A$2:$A$49,0))</f>
        <v>5250</v>
      </c>
      <c r="I1910" s="33" t="n">
        <f aca="false">D1910*INDEX(Products!$D$2:$D$49,MATCH(C1910,Products!$A$2:$A$49,0))*(1+INDEX(Assumptions!$B$16:$B$20,MATCH(B1910,Assumptions!$A$16:$A$20,0)))</f>
        <v>4092.48</v>
      </c>
      <c r="J1910" s="33" t="n">
        <f aca="false">H1910-I1910</f>
        <v>1157.52</v>
      </c>
      <c r="K1910" s="33" t="n">
        <f aca="false">IF(OR(E1910=0,E1910&gt;=7),0,D1910/(7-E1910)*E1910*INDEX(Products!$E$2:$E$49,MATCH(C1910,Products!$A$2:$A$49,0)))</f>
        <v>0</v>
      </c>
    </row>
    <row r="1911" customFormat="false" ht="15" hidden="false" customHeight="false" outlineLevel="0" collapsed="false">
      <c r="A1911" s="36" t="n">
        <v>46181</v>
      </c>
      <c r="B1911" s="24" t="s">
        <v>62</v>
      </c>
      <c r="C1911" s="24" t="s">
        <v>171</v>
      </c>
      <c r="D1911" s="33" t="n">
        <v>32</v>
      </c>
      <c r="E1911" s="24" t="n">
        <v>0</v>
      </c>
      <c r="F1911" s="37" t="n">
        <f aca="false">DATE(YEAR(A1911),MONTH(A1911),1)</f>
        <v>46174</v>
      </c>
      <c r="G1911" s="24" t="str">
        <f aca="false">INDEX(Products!$C$2:$C$49,MATCH(C1911,Products!$A$2:$A$49,0))</f>
        <v>Household</v>
      </c>
      <c r="H1911" s="33" t="n">
        <f aca="false">D1911*INDEX(Products!$E$2:$E$49,MATCH(C1911,Products!$A$2:$A$49,0))</f>
        <v>4800</v>
      </c>
      <c r="I1911" s="33" t="n">
        <f aca="false">D1911*INDEX(Products!$D$2:$D$49,MATCH(C1911,Products!$A$2:$A$49,0))*(1+INDEX(Assumptions!$B$16:$B$20,MATCH(B1911,Assumptions!$A$16:$A$20,0)))</f>
        <v>3741.696</v>
      </c>
      <c r="J1911" s="33" t="n">
        <f aca="false">H1911-I1911</f>
        <v>1058.304</v>
      </c>
      <c r="K1911" s="33" t="n">
        <f aca="false">IF(OR(E1911=0,E1911&gt;=7),0,D1911/(7-E1911)*E1911*INDEX(Products!$E$2:$E$49,MATCH(C1911,Products!$A$2:$A$49,0)))</f>
        <v>0</v>
      </c>
    </row>
    <row r="1912" customFormat="false" ht="15" hidden="false" customHeight="false" outlineLevel="0" collapsed="false">
      <c r="A1912" s="36" t="n">
        <v>46188</v>
      </c>
      <c r="B1912" s="24" t="s">
        <v>62</v>
      </c>
      <c r="C1912" s="24" t="s">
        <v>171</v>
      </c>
      <c r="D1912" s="33" t="n">
        <v>26</v>
      </c>
      <c r="E1912" s="24" t="n">
        <v>0</v>
      </c>
      <c r="F1912" s="37" t="n">
        <f aca="false">DATE(YEAR(A1912),MONTH(A1912),1)</f>
        <v>46174</v>
      </c>
      <c r="G1912" s="24" t="str">
        <f aca="false">INDEX(Products!$C$2:$C$49,MATCH(C1912,Products!$A$2:$A$49,0))</f>
        <v>Household</v>
      </c>
      <c r="H1912" s="33" t="n">
        <f aca="false">D1912*INDEX(Products!$E$2:$E$49,MATCH(C1912,Products!$A$2:$A$49,0))</f>
        <v>3900</v>
      </c>
      <c r="I1912" s="33" t="n">
        <f aca="false">D1912*INDEX(Products!$D$2:$D$49,MATCH(C1912,Products!$A$2:$A$49,0))*(1+INDEX(Assumptions!$B$16:$B$20,MATCH(B1912,Assumptions!$A$16:$A$20,0)))</f>
        <v>3040.128</v>
      </c>
      <c r="J1912" s="33" t="n">
        <f aca="false">H1912-I1912</f>
        <v>859.872</v>
      </c>
      <c r="K1912" s="33" t="n">
        <f aca="false">IF(OR(E1912=0,E1912&gt;=7),0,D1912/(7-E1912)*E1912*INDEX(Products!$E$2:$E$49,MATCH(C1912,Products!$A$2:$A$49,0)))</f>
        <v>0</v>
      </c>
    </row>
    <row r="1913" customFormat="false" ht="15" hidden="false" customHeight="false" outlineLevel="0" collapsed="false">
      <c r="A1913" s="36" t="n">
        <v>46195</v>
      </c>
      <c r="B1913" s="24" t="s">
        <v>62</v>
      </c>
      <c r="C1913" s="24" t="s">
        <v>171</v>
      </c>
      <c r="D1913" s="33" t="n">
        <v>37</v>
      </c>
      <c r="E1913" s="24" t="n">
        <v>0</v>
      </c>
      <c r="F1913" s="37" t="n">
        <f aca="false">DATE(YEAR(A1913),MONTH(A1913),1)</f>
        <v>46174</v>
      </c>
      <c r="G1913" s="24" t="str">
        <f aca="false">INDEX(Products!$C$2:$C$49,MATCH(C1913,Products!$A$2:$A$49,0))</f>
        <v>Household</v>
      </c>
      <c r="H1913" s="33" t="n">
        <f aca="false">D1913*INDEX(Products!$E$2:$E$49,MATCH(C1913,Products!$A$2:$A$49,0))</f>
        <v>5550</v>
      </c>
      <c r="I1913" s="33" t="n">
        <f aca="false">D1913*INDEX(Products!$D$2:$D$49,MATCH(C1913,Products!$A$2:$A$49,0))*(1+INDEX(Assumptions!$B$16:$B$20,MATCH(B1913,Assumptions!$A$16:$A$20,0)))</f>
        <v>4326.336</v>
      </c>
      <c r="J1913" s="33" t="n">
        <f aca="false">H1913-I1913</f>
        <v>1223.664</v>
      </c>
      <c r="K1913" s="33" t="n">
        <f aca="false">IF(OR(E1913=0,E1913&gt;=7),0,D1913/(7-E1913)*E1913*INDEX(Products!$E$2:$E$49,MATCH(C1913,Products!$A$2:$A$49,0)))</f>
        <v>0</v>
      </c>
    </row>
    <row r="1914" customFormat="false" ht="15" hidden="false" customHeight="false" outlineLevel="0" collapsed="false">
      <c r="A1914" s="36" t="n">
        <v>46202</v>
      </c>
      <c r="B1914" s="24" t="s">
        <v>62</v>
      </c>
      <c r="C1914" s="24" t="s">
        <v>171</v>
      </c>
      <c r="D1914" s="33" t="n">
        <v>36</v>
      </c>
      <c r="E1914" s="24" t="n">
        <v>0</v>
      </c>
      <c r="F1914" s="37" t="n">
        <f aca="false">DATE(YEAR(A1914),MONTH(A1914),1)</f>
        <v>46174</v>
      </c>
      <c r="G1914" s="24" t="str">
        <f aca="false">INDEX(Products!$C$2:$C$49,MATCH(C1914,Products!$A$2:$A$49,0))</f>
        <v>Household</v>
      </c>
      <c r="H1914" s="33" t="n">
        <f aca="false">D1914*INDEX(Products!$E$2:$E$49,MATCH(C1914,Products!$A$2:$A$49,0))</f>
        <v>5400</v>
      </c>
      <c r="I1914" s="33" t="n">
        <f aca="false">D1914*INDEX(Products!$D$2:$D$49,MATCH(C1914,Products!$A$2:$A$49,0))*(1+INDEX(Assumptions!$B$16:$B$20,MATCH(B1914,Assumptions!$A$16:$A$20,0)))</f>
        <v>4209.408</v>
      </c>
      <c r="J1914" s="33" t="n">
        <f aca="false">H1914-I1914</f>
        <v>1190.592</v>
      </c>
      <c r="K1914" s="33" t="n">
        <f aca="false">IF(OR(E1914=0,E1914&gt;=7),0,D1914/(7-E1914)*E1914*INDEX(Products!$E$2:$E$49,MATCH(C1914,Products!$A$2:$A$49,0)))</f>
        <v>0</v>
      </c>
    </row>
    <row r="1915" customFormat="false" ht="15" hidden="false" customHeight="false" outlineLevel="0" collapsed="false">
      <c r="A1915" s="36" t="n">
        <v>46209</v>
      </c>
      <c r="B1915" s="24" t="s">
        <v>62</v>
      </c>
      <c r="C1915" s="24" t="s">
        <v>171</v>
      </c>
      <c r="D1915" s="33" t="n">
        <v>30</v>
      </c>
      <c r="E1915" s="24" t="n">
        <v>0</v>
      </c>
      <c r="F1915" s="37" t="n">
        <f aca="false">DATE(YEAR(A1915),MONTH(A1915),1)</f>
        <v>46204</v>
      </c>
      <c r="G1915" s="24" t="str">
        <f aca="false">INDEX(Products!$C$2:$C$49,MATCH(C1915,Products!$A$2:$A$49,0))</f>
        <v>Household</v>
      </c>
      <c r="H1915" s="33" t="n">
        <f aca="false">D1915*INDEX(Products!$E$2:$E$49,MATCH(C1915,Products!$A$2:$A$49,0))</f>
        <v>4500</v>
      </c>
      <c r="I1915" s="33" t="n">
        <f aca="false">D1915*INDEX(Products!$D$2:$D$49,MATCH(C1915,Products!$A$2:$A$49,0))*(1+INDEX(Assumptions!$B$16:$B$20,MATCH(B1915,Assumptions!$A$16:$A$20,0)))</f>
        <v>3507.84</v>
      </c>
      <c r="J1915" s="33" t="n">
        <f aca="false">H1915-I1915</f>
        <v>992.16</v>
      </c>
      <c r="K1915" s="33" t="n">
        <f aca="false">IF(OR(E1915=0,E1915&gt;=7),0,D1915/(7-E1915)*E1915*INDEX(Products!$E$2:$E$49,MATCH(C1915,Products!$A$2:$A$49,0)))</f>
        <v>0</v>
      </c>
    </row>
    <row r="1916" customFormat="false" ht="15" hidden="false" customHeight="false" outlineLevel="0" collapsed="false">
      <c r="A1916" s="36" t="n">
        <v>46216</v>
      </c>
      <c r="B1916" s="24" t="s">
        <v>62</v>
      </c>
      <c r="C1916" s="24" t="s">
        <v>171</v>
      </c>
      <c r="D1916" s="33" t="n">
        <v>25</v>
      </c>
      <c r="E1916" s="24" t="n">
        <v>0</v>
      </c>
      <c r="F1916" s="37" t="n">
        <f aca="false">DATE(YEAR(A1916),MONTH(A1916),1)</f>
        <v>46204</v>
      </c>
      <c r="G1916" s="24" t="str">
        <f aca="false">INDEX(Products!$C$2:$C$49,MATCH(C1916,Products!$A$2:$A$49,0))</f>
        <v>Household</v>
      </c>
      <c r="H1916" s="33" t="n">
        <f aca="false">D1916*INDEX(Products!$E$2:$E$49,MATCH(C1916,Products!$A$2:$A$49,0))</f>
        <v>3750</v>
      </c>
      <c r="I1916" s="33" t="n">
        <f aca="false">D1916*INDEX(Products!$D$2:$D$49,MATCH(C1916,Products!$A$2:$A$49,0))*(1+INDEX(Assumptions!$B$16:$B$20,MATCH(B1916,Assumptions!$A$16:$A$20,0)))</f>
        <v>2923.2</v>
      </c>
      <c r="J1916" s="33" t="n">
        <f aca="false">H1916-I1916</f>
        <v>826.8</v>
      </c>
      <c r="K1916" s="33" t="n">
        <f aca="false">IF(OR(E1916=0,E1916&gt;=7),0,D1916/(7-E1916)*E1916*INDEX(Products!$E$2:$E$49,MATCH(C1916,Products!$A$2:$A$49,0)))</f>
        <v>0</v>
      </c>
    </row>
    <row r="1917" customFormat="false" ht="15" hidden="false" customHeight="false" outlineLevel="0" collapsed="false">
      <c r="A1917" s="36" t="n">
        <v>46223</v>
      </c>
      <c r="B1917" s="24" t="s">
        <v>62</v>
      </c>
      <c r="C1917" s="24" t="s">
        <v>171</v>
      </c>
      <c r="D1917" s="33" t="n">
        <v>21</v>
      </c>
      <c r="E1917" s="24" t="n">
        <v>0</v>
      </c>
      <c r="F1917" s="37" t="n">
        <f aca="false">DATE(YEAR(A1917),MONTH(A1917),1)</f>
        <v>46204</v>
      </c>
      <c r="G1917" s="24" t="str">
        <f aca="false">INDEX(Products!$C$2:$C$49,MATCH(C1917,Products!$A$2:$A$49,0))</f>
        <v>Household</v>
      </c>
      <c r="H1917" s="33" t="n">
        <f aca="false">D1917*INDEX(Products!$E$2:$E$49,MATCH(C1917,Products!$A$2:$A$49,0))</f>
        <v>3150</v>
      </c>
      <c r="I1917" s="33" t="n">
        <f aca="false">D1917*INDEX(Products!$D$2:$D$49,MATCH(C1917,Products!$A$2:$A$49,0))*(1+INDEX(Assumptions!$B$16:$B$20,MATCH(B1917,Assumptions!$A$16:$A$20,0)))</f>
        <v>2455.488</v>
      </c>
      <c r="J1917" s="33" t="n">
        <f aca="false">H1917-I1917</f>
        <v>694.512</v>
      </c>
      <c r="K1917" s="33" t="n">
        <f aca="false">IF(OR(E1917=0,E1917&gt;=7),0,D1917/(7-E1917)*E1917*INDEX(Products!$E$2:$E$49,MATCH(C1917,Products!$A$2:$A$49,0)))</f>
        <v>0</v>
      </c>
    </row>
    <row r="1918" customFormat="false" ht="15" hidden="false" customHeight="false" outlineLevel="0" collapsed="false">
      <c r="A1918" s="36" t="n">
        <v>46230</v>
      </c>
      <c r="B1918" s="24" t="s">
        <v>62</v>
      </c>
      <c r="C1918" s="24" t="s">
        <v>171</v>
      </c>
      <c r="D1918" s="33" t="n">
        <v>38</v>
      </c>
      <c r="E1918" s="24" t="n">
        <v>0</v>
      </c>
      <c r="F1918" s="37" t="n">
        <f aca="false">DATE(YEAR(A1918),MONTH(A1918),1)</f>
        <v>46204</v>
      </c>
      <c r="G1918" s="24" t="str">
        <f aca="false">INDEX(Products!$C$2:$C$49,MATCH(C1918,Products!$A$2:$A$49,0))</f>
        <v>Household</v>
      </c>
      <c r="H1918" s="33" t="n">
        <f aca="false">D1918*INDEX(Products!$E$2:$E$49,MATCH(C1918,Products!$A$2:$A$49,0))</f>
        <v>5700</v>
      </c>
      <c r="I1918" s="33" t="n">
        <f aca="false">D1918*INDEX(Products!$D$2:$D$49,MATCH(C1918,Products!$A$2:$A$49,0))*(1+INDEX(Assumptions!$B$16:$B$20,MATCH(B1918,Assumptions!$A$16:$A$20,0)))</f>
        <v>4443.264</v>
      </c>
      <c r="J1918" s="33" t="n">
        <f aca="false">H1918-I1918</f>
        <v>1256.736</v>
      </c>
      <c r="K1918" s="33" t="n">
        <f aca="false">IF(OR(E1918=0,E1918&gt;=7),0,D1918/(7-E1918)*E1918*INDEX(Products!$E$2:$E$49,MATCH(C1918,Products!$A$2:$A$49,0)))</f>
        <v>0</v>
      </c>
    </row>
    <row r="1919" customFormat="false" ht="15" hidden="false" customHeight="false" outlineLevel="0" collapsed="false">
      <c r="A1919" s="36" t="n">
        <v>46237</v>
      </c>
      <c r="B1919" s="24" t="s">
        <v>62</v>
      </c>
      <c r="C1919" s="24" t="s">
        <v>171</v>
      </c>
      <c r="D1919" s="33" t="n">
        <v>23</v>
      </c>
      <c r="E1919" s="24" t="n">
        <v>0</v>
      </c>
      <c r="F1919" s="37" t="n">
        <f aca="false">DATE(YEAR(A1919),MONTH(A1919),1)</f>
        <v>46235</v>
      </c>
      <c r="G1919" s="24" t="str">
        <f aca="false">INDEX(Products!$C$2:$C$49,MATCH(C1919,Products!$A$2:$A$49,0))</f>
        <v>Household</v>
      </c>
      <c r="H1919" s="33" t="n">
        <f aca="false">D1919*INDEX(Products!$E$2:$E$49,MATCH(C1919,Products!$A$2:$A$49,0))</f>
        <v>3450</v>
      </c>
      <c r="I1919" s="33" t="n">
        <f aca="false">D1919*INDEX(Products!$D$2:$D$49,MATCH(C1919,Products!$A$2:$A$49,0))*(1+INDEX(Assumptions!$B$16:$B$20,MATCH(B1919,Assumptions!$A$16:$A$20,0)))</f>
        <v>2689.344</v>
      </c>
      <c r="J1919" s="33" t="n">
        <f aca="false">H1919-I1919</f>
        <v>760.656</v>
      </c>
      <c r="K1919" s="33" t="n">
        <f aca="false">IF(OR(E1919=0,E1919&gt;=7),0,D1919/(7-E1919)*E1919*INDEX(Products!$E$2:$E$49,MATCH(C1919,Products!$A$2:$A$49,0)))</f>
        <v>0</v>
      </c>
    </row>
    <row r="1920" customFormat="false" ht="15" hidden="false" customHeight="false" outlineLevel="0" collapsed="false">
      <c r="A1920" s="36" t="n">
        <v>46244</v>
      </c>
      <c r="B1920" s="24" t="s">
        <v>62</v>
      </c>
      <c r="C1920" s="24" t="s">
        <v>171</v>
      </c>
      <c r="D1920" s="33" t="n">
        <v>16</v>
      </c>
      <c r="E1920" s="24" t="n">
        <v>0</v>
      </c>
      <c r="F1920" s="37" t="n">
        <f aca="false">DATE(YEAR(A1920),MONTH(A1920),1)</f>
        <v>46235</v>
      </c>
      <c r="G1920" s="24" t="str">
        <f aca="false">INDEX(Products!$C$2:$C$49,MATCH(C1920,Products!$A$2:$A$49,0))</f>
        <v>Household</v>
      </c>
      <c r="H1920" s="33" t="n">
        <f aca="false">D1920*INDEX(Products!$E$2:$E$49,MATCH(C1920,Products!$A$2:$A$49,0))</f>
        <v>2400</v>
      </c>
      <c r="I1920" s="33" t="n">
        <f aca="false">D1920*INDEX(Products!$D$2:$D$49,MATCH(C1920,Products!$A$2:$A$49,0))*(1+INDEX(Assumptions!$B$16:$B$20,MATCH(B1920,Assumptions!$A$16:$A$20,0)))</f>
        <v>1870.848</v>
      </c>
      <c r="J1920" s="33" t="n">
        <f aca="false">H1920-I1920</f>
        <v>529.152</v>
      </c>
      <c r="K1920" s="33" t="n">
        <f aca="false">IF(OR(E1920=0,E1920&gt;=7),0,D1920/(7-E1920)*E1920*INDEX(Products!$E$2:$E$49,MATCH(C1920,Products!$A$2:$A$49,0)))</f>
        <v>0</v>
      </c>
    </row>
    <row r="1921" customFormat="false" ht="15" hidden="false" customHeight="false" outlineLevel="0" collapsed="false">
      <c r="A1921" s="36" t="n">
        <v>46251</v>
      </c>
      <c r="B1921" s="24" t="s">
        <v>62</v>
      </c>
      <c r="C1921" s="24" t="s">
        <v>171</v>
      </c>
      <c r="D1921" s="33" t="n">
        <v>20</v>
      </c>
      <c r="E1921" s="24" t="n">
        <v>0</v>
      </c>
      <c r="F1921" s="37" t="n">
        <f aca="false">DATE(YEAR(A1921),MONTH(A1921),1)</f>
        <v>46235</v>
      </c>
      <c r="G1921" s="24" t="str">
        <f aca="false">INDEX(Products!$C$2:$C$49,MATCH(C1921,Products!$A$2:$A$49,0))</f>
        <v>Household</v>
      </c>
      <c r="H1921" s="33" t="n">
        <f aca="false">D1921*INDEX(Products!$E$2:$E$49,MATCH(C1921,Products!$A$2:$A$49,0))</f>
        <v>3000</v>
      </c>
      <c r="I1921" s="33" t="n">
        <f aca="false">D1921*INDEX(Products!$D$2:$D$49,MATCH(C1921,Products!$A$2:$A$49,0))*(1+INDEX(Assumptions!$B$16:$B$20,MATCH(B1921,Assumptions!$A$16:$A$20,0)))</f>
        <v>2338.56</v>
      </c>
      <c r="J1921" s="33" t="n">
        <f aca="false">H1921-I1921</f>
        <v>661.44</v>
      </c>
      <c r="K1921" s="33" t="n">
        <f aca="false">IF(OR(E1921=0,E1921&gt;=7),0,D1921/(7-E1921)*E1921*INDEX(Products!$E$2:$E$49,MATCH(C1921,Products!$A$2:$A$49,0)))</f>
        <v>0</v>
      </c>
    </row>
    <row r="1922" customFormat="false" ht="15" hidden="false" customHeight="false" outlineLevel="0" collapsed="false">
      <c r="A1922" s="36" t="n">
        <v>46258</v>
      </c>
      <c r="B1922" s="24" t="s">
        <v>62</v>
      </c>
      <c r="C1922" s="24" t="s">
        <v>171</v>
      </c>
      <c r="D1922" s="33" t="n">
        <v>25</v>
      </c>
      <c r="E1922" s="24" t="n">
        <v>0</v>
      </c>
      <c r="F1922" s="37" t="n">
        <f aca="false">DATE(YEAR(A1922),MONTH(A1922),1)</f>
        <v>46235</v>
      </c>
      <c r="G1922" s="24" t="str">
        <f aca="false">INDEX(Products!$C$2:$C$49,MATCH(C1922,Products!$A$2:$A$49,0))</f>
        <v>Household</v>
      </c>
      <c r="H1922" s="33" t="n">
        <f aca="false">D1922*INDEX(Products!$E$2:$E$49,MATCH(C1922,Products!$A$2:$A$49,0))</f>
        <v>3750</v>
      </c>
      <c r="I1922" s="33" t="n">
        <f aca="false">D1922*INDEX(Products!$D$2:$D$49,MATCH(C1922,Products!$A$2:$A$49,0))*(1+INDEX(Assumptions!$B$16:$B$20,MATCH(B1922,Assumptions!$A$16:$A$20,0)))</f>
        <v>2923.2</v>
      </c>
      <c r="J1922" s="33" t="n">
        <f aca="false">H1922-I1922</f>
        <v>826.8</v>
      </c>
      <c r="K1922" s="33" t="n">
        <f aca="false">IF(OR(E1922=0,E1922&gt;=7),0,D1922/(7-E1922)*E1922*INDEX(Products!$E$2:$E$49,MATCH(C1922,Products!$A$2:$A$49,0)))</f>
        <v>0</v>
      </c>
    </row>
    <row r="1923" customFormat="false" ht="15" hidden="false" customHeight="false" outlineLevel="0" collapsed="false">
      <c r="A1923" s="36" t="n">
        <v>46265</v>
      </c>
      <c r="B1923" s="24" t="s">
        <v>62</v>
      </c>
      <c r="C1923" s="24" t="s">
        <v>171</v>
      </c>
      <c r="D1923" s="33" t="n">
        <v>19</v>
      </c>
      <c r="E1923" s="24" t="n">
        <v>0</v>
      </c>
      <c r="F1923" s="37" t="n">
        <f aca="false">DATE(YEAR(A1923),MONTH(A1923),1)</f>
        <v>46235</v>
      </c>
      <c r="G1923" s="24" t="str">
        <f aca="false">INDEX(Products!$C$2:$C$49,MATCH(C1923,Products!$A$2:$A$49,0))</f>
        <v>Household</v>
      </c>
      <c r="H1923" s="33" t="n">
        <f aca="false">D1923*INDEX(Products!$E$2:$E$49,MATCH(C1923,Products!$A$2:$A$49,0))</f>
        <v>2850</v>
      </c>
      <c r="I1923" s="33" t="n">
        <f aca="false">D1923*INDEX(Products!$D$2:$D$49,MATCH(C1923,Products!$A$2:$A$49,0))*(1+INDEX(Assumptions!$B$16:$B$20,MATCH(B1923,Assumptions!$A$16:$A$20,0)))</f>
        <v>2221.632</v>
      </c>
      <c r="J1923" s="33" t="n">
        <f aca="false">H1923-I1923</f>
        <v>628.368</v>
      </c>
      <c r="K1923" s="33" t="n">
        <f aca="false">IF(OR(E1923=0,E1923&gt;=7),0,D1923/(7-E1923)*E1923*INDEX(Products!$E$2:$E$49,MATCH(C1923,Products!$A$2:$A$49,0)))</f>
        <v>0</v>
      </c>
    </row>
    <row r="1924" customFormat="false" ht="15" hidden="false" customHeight="false" outlineLevel="0" collapsed="false">
      <c r="A1924" s="36" t="n">
        <v>46272</v>
      </c>
      <c r="B1924" s="24" t="s">
        <v>62</v>
      </c>
      <c r="C1924" s="24" t="s">
        <v>171</v>
      </c>
      <c r="D1924" s="33" t="n">
        <v>16</v>
      </c>
      <c r="E1924" s="24" t="n">
        <v>4</v>
      </c>
      <c r="F1924" s="37" t="n">
        <f aca="false">DATE(YEAR(A1924),MONTH(A1924),1)</f>
        <v>46266</v>
      </c>
      <c r="G1924" s="24" t="str">
        <f aca="false">INDEX(Products!$C$2:$C$49,MATCH(C1924,Products!$A$2:$A$49,0))</f>
        <v>Household</v>
      </c>
      <c r="H1924" s="33" t="n">
        <f aca="false">D1924*INDEX(Products!$E$2:$E$49,MATCH(C1924,Products!$A$2:$A$49,0))</f>
        <v>2400</v>
      </c>
      <c r="I1924" s="33" t="n">
        <f aca="false">D1924*INDEX(Products!$D$2:$D$49,MATCH(C1924,Products!$A$2:$A$49,0))*(1+INDEX(Assumptions!$B$16:$B$20,MATCH(B1924,Assumptions!$A$16:$A$20,0)))</f>
        <v>1870.848</v>
      </c>
      <c r="J1924" s="33" t="n">
        <f aca="false">H1924-I1924</f>
        <v>529.152</v>
      </c>
      <c r="K1924" s="33" t="n">
        <f aca="false">IF(OR(E1924=0,E1924&gt;=7),0,D1924/(7-E1924)*E1924*INDEX(Products!$E$2:$E$49,MATCH(C1924,Products!$A$2:$A$49,0)))</f>
        <v>3200</v>
      </c>
    </row>
    <row r="1925" customFormat="false" ht="15" hidden="false" customHeight="false" outlineLevel="0" collapsed="false">
      <c r="A1925" s="36" t="n">
        <v>46279</v>
      </c>
      <c r="B1925" s="24" t="s">
        <v>62</v>
      </c>
      <c r="C1925" s="24" t="s">
        <v>171</v>
      </c>
      <c r="D1925" s="33" t="n">
        <v>24</v>
      </c>
      <c r="E1925" s="24" t="n">
        <v>0</v>
      </c>
      <c r="F1925" s="37" t="n">
        <f aca="false">DATE(YEAR(A1925),MONTH(A1925),1)</f>
        <v>46266</v>
      </c>
      <c r="G1925" s="24" t="str">
        <f aca="false">INDEX(Products!$C$2:$C$49,MATCH(C1925,Products!$A$2:$A$49,0))</f>
        <v>Household</v>
      </c>
      <c r="H1925" s="33" t="n">
        <f aca="false">D1925*INDEX(Products!$E$2:$E$49,MATCH(C1925,Products!$A$2:$A$49,0))</f>
        <v>3600</v>
      </c>
      <c r="I1925" s="33" t="n">
        <f aca="false">D1925*INDEX(Products!$D$2:$D$49,MATCH(C1925,Products!$A$2:$A$49,0))*(1+INDEX(Assumptions!$B$16:$B$20,MATCH(B1925,Assumptions!$A$16:$A$20,0)))</f>
        <v>2806.272</v>
      </c>
      <c r="J1925" s="33" t="n">
        <f aca="false">H1925-I1925</f>
        <v>793.728</v>
      </c>
      <c r="K1925" s="33" t="n">
        <f aca="false">IF(OR(E1925=0,E1925&gt;=7),0,D1925/(7-E1925)*E1925*INDEX(Products!$E$2:$E$49,MATCH(C1925,Products!$A$2:$A$49,0)))</f>
        <v>0</v>
      </c>
    </row>
    <row r="1926" customFormat="false" ht="15" hidden="false" customHeight="false" outlineLevel="0" collapsed="false">
      <c r="A1926" s="36" t="n">
        <v>46286</v>
      </c>
      <c r="B1926" s="24" t="s">
        <v>62</v>
      </c>
      <c r="C1926" s="24" t="s">
        <v>171</v>
      </c>
      <c r="D1926" s="33" t="n">
        <v>55</v>
      </c>
      <c r="E1926" s="24" t="n">
        <v>0</v>
      </c>
      <c r="F1926" s="37" t="n">
        <f aca="false">DATE(YEAR(A1926),MONTH(A1926),1)</f>
        <v>46266</v>
      </c>
      <c r="G1926" s="24" t="str">
        <f aca="false">INDEX(Products!$C$2:$C$49,MATCH(C1926,Products!$A$2:$A$49,0))</f>
        <v>Household</v>
      </c>
      <c r="H1926" s="33" t="n">
        <f aca="false">D1926*INDEX(Products!$E$2:$E$49,MATCH(C1926,Products!$A$2:$A$49,0))</f>
        <v>8250</v>
      </c>
      <c r="I1926" s="33" t="n">
        <f aca="false">D1926*INDEX(Products!$D$2:$D$49,MATCH(C1926,Products!$A$2:$A$49,0))*(1+INDEX(Assumptions!$B$16:$B$20,MATCH(B1926,Assumptions!$A$16:$A$20,0)))</f>
        <v>6431.04</v>
      </c>
      <c r="J1926" s="33" t="n">
        <f aca="false">H1926-I1926</f>
        <v>1818.96</v>
      </c>
      <c r="K1926" s="33" t="n">
        <f aca="false">IF(OR(E1926=0,E1926&gt;=7),0,D1926/(7-E1926)*E1926*INDEX(Products!$E$2:$E$49,MATCH(C1926,Products!$A$2:$A$49,0)))</f>
        <v>0</v>
      </c>
    </row>
    <row r="1927" customFormat="false" ht="15" hidden="false" customHeight="false" outlineLevel="0" collapsed="false">
      <c r="A1927" s="36" t="n">
        <v>46118</v>
      </c>
      <c r="B1927" s="24" t="s">
        <v>62</v>
      </c>
      <c r="C1927" s="24" t="s">
        <v>173</v>
      </c>
      <c r="D1927" s="33" t="n">
        <v>44</v>
      </c>
      <c r="E1927" s="24" t="n">
        <v>0</v>
      </c>
      <c r="F1927" s="37" t="n">
        <f aca="false">DATE(YEAR(A1927),MONTH(A1927),1)</f>
        <v>46113</v>
      </c>
      <c r="G1927" s="24" t="str">
        <f aca="false">INDEX(Products!$C$2:$C$49,MATCH(C1927,Products!$A$2:$A$49,0))</f>
        <v>Household</v>
      </c>
      <c r="H1927" s="33" t="n">
        <f aca="false">D1927*INDEX(Products!$E$2:$E$49,MATCH(C1927,Products!$A$2:$A$49,0))</f>
        <v>11440</v>
      </c>
      <c r="I1927" s="33" t="n">
        <f aca="false">D1927*INDEX(Products!$D$2:$D$49,MATCH(C1927,Products!$A$2:$A$49,0))*(1+INDEX(Assumptions!$B$16:$B$20,MATCH(B1927,Assumptions!$A$16:$A$20,0)))</f>
        <v>8781.696</v>
      </c>
      <c r="J1927" s="33" t="n">
        <f aca="false">H1927-I1927</f>
        <v>2658.304</v>
      </c>
      <c r="K1927" s="33" t="n">
        <f aca="false">IF(OR(E1927=0,E1927&gt;=7),0,D1927/(7-E1927)*E1927*INDEX(Products!$E$2:$E$49,MATCH(C1927,Products!$A$2:$A$49,0)))</f>
        <v>0</v>
      </c>
    </row>
    <row r="1928" customFormat="false" ht="15" hidden="false" customHeight="false" outlineLevel="0" collapsed="false">
      <c r="A1928" s="36" t="n">
        <v>46125</v>
      </c>
      <c r="B1928" s="24" t="s">
        <v>62</v>
      </c>
      <c r="C1928" s="24" t="s">
        <v>173</v>
      </c>
      <c r="D1928" s="33" t="n">
        <v>33</v>
      </c>
      <c r="E1928" s="24" t="n">
        <v>0</v>
      </c>
      <c r="F1928" s="37" t="n">
        <f aca="false">DATE(YEAR(A1928),MONTH(A1928),1)</f>
        <v>46113</v>
      </c>
      <c r="G1928" s="24" t="str">
        <f aca="false">INDEX(Products!$C$2:$C$49,MATCH(C1928,Products!$A$2:$A$49,0))</f>
        <v>Household</v>
      </c>
      <c r="H1928" s="33" t="n">
        <f aca="false">D1928*INDEX(Products!$E$2:$E$49,MATCH(C1928,Products!$A$2:$A$49,0))</f>
        <v>8580</v>
      </c>
      <c r="I1928" s="33" t="n">
        <f aca="false">D1928*INDEX(Products!$D$2:$D$49,MATCH(C1928,Products!$A$2:$A$49,0))*(1+INDEX(Assumptions!$B$16:$B$20,MATCH(B1928,Assumptions!$A$16:$A$20,0)))</f>
        <v>6586.272</v>
      </c>
      <c r="J1928" s="33" t="n">
        <f aca="false">H1928-I1928</f>
        <v>1993.728</v>
      </c>
      <c r="K1928" s="33" t="n">
        <f aca="false">IF(OR(E1928=0,E1928&gt;=7),0,D1928/(7-E1928)*E1928*INDEX(Products!$E$2:$E$49,MATCH(C1928,Products!$A$2:$A$49,0)))</f>
        <v>0</v>
      </c>
    </row>
    <row r="1929" customFormat="false" ht="15" hidden="false" customHeight="false" outlineLevel="0" collapsed="false">
      <c r="A1929" s="36" t="n">
        <v>46132</v>
      </c>
      <c r="B1929" s="24" t="s">
        <v>62</v>
      </c>
      <c r="C1929" s="24" t="s">
        <v>173</v>
      </c>
      <c r="D1929" s="33" t="n">
        <v>46</v>
      </c>
      <c r="E1929" s="24" t="n">
        <v>0</v>
      </c>
      <c r="F1929" s="37" t="n">
        <f aca="false">DATE(YEAR(A1929),MONTH(A1929),1)</f>
        <v>46113</v>
      </c>
      <c r="G1929" s="24" t="str">
        <f aca="false">INDEX(Products!$C$2:$C$49,MATCH(C1929,Products!$A$2:$A$49,0))</f>
        <v>Household</v>
      </c>
      <c r="H1929" s="33" t="n">
        <f aca="false">D1929*INDEX(Products!$E$2:$E$49,MATCH(C1929,Products!$A$2:$A$49,0))</f>
        <v>11960</v>
      </c>
      <c r="I1929" s="33" t="n">
        <f aca="false">D1929*INDEX(Products!$D$2:$D$49,MATCH(C1929,Products!$A$2:$A$49,0))*(1+INDEX(Assumptions!$B$16:$B$20,MATCH(B1929,Assumptions!$A$16:$A$20,0)))</f>
        <v>9180.864</v>
      </c>
      <c r="J1929" s="33" t="n">
        <f aca="false">H1929-I1929</f>
        <v>2779.136</v>
      </c>
      <c r="K1929" s="33" t="n">
        <f aca="false">IF(OR(E1929=0,E1929&gt;=7),0,D1929/(7-E1929)*E1929*INDEX(Products!$E$2:$E$49,MATCH(C1929,Products!$A$2:$A$49,0)))</f>
        <v>0</v>
      </c>
    </row>
    <row r="1930" customFormat="false" ht="15" hidden="false" customHeight="false" outlineLevel="0" collapsed="false">
      <c r="A1930" s="36" t="n">
        <v>46139</v>
      </c>
      <c r="B1930" s="24" t="s">
        <v>62</v>
      </c>
      <c r="C1930" s="24" t="s">
        <v>173</v>
      </c>
      <c r="D1930" s="33" t="n">
        <v>59</v>
      </c>
      <c r="E1930" s="24" t="n">
        <v>0</v>
      </c>
      <c r="F1930" s="37" t="n">
        <f aca="false">DATE(YEAR(A1930),MONTH(A1930),1)</f>
        <v>46113</v>
      </c>
      <c r="G1930" s="24" t="str">
        <f aca="false">INDEX(Products!$C$2:$C$49,MATCH(C1930,Products!$A$2:$A$49,0))</f>
        <v>Household</v>
      </c>
      <c r="H1930" s="33" t="n">
        <f aca="false">D1930*INDEX(Products!$E$2:$E$49,MATCH(C1930,Products!$A$2:$A$49,0))</f>
        <v>15340</v>
      </c>
      <c r="I1930" s="33" t="n">
        <f aca="false">D1930*INDEX(Products!$D$2:$D$49,MATCH(C1930,Products!$A$2:$A$49,0))*(1+INDEX(Assumptions!$B$16:$B$20,MATCH(B1930,Assumptions!$A$16:$A$20,0)))</f>
        <v>11775.456</v>
      </c>
      <c r="J1930" s="33" t="n">
        <f aca="false">H1930-I1930</f>
        <v>3564.544</v>
      </c>
      <c r="K1930" s="33" t="n">
        <f aca="false">IF(OR(E1930=0,E1930&gt;=7),0,D1930/(7-E1930)*E1930*INDEX(Products!$E$2:$E$49,MATCH(C1930,Products!$A$2:$A$49,0)))</f>
        <v>0</v>
      </c>
    </row>
    <row r="1931" customFormat="false" ht="15" hidden="false" customHeight="false" outlineLevel="0" collapsed="false">
      <c r="A1931" s="36" t="n">
        <v>46146</v>
      </c>
      <c r="B1931" s="24" t="s">
        <v>62</v>
      </c>
      <c r="C1931" s="24" t="s">
        <v>173</v>
      </c>
      <c r="D1931" s="33" t="n">
        <v>46</v>
      </c>
      <c r="E1931" s="24" t="n">
        <v>0</v>
      </c>
      <c r="F1931" s="37" t="n">
        <f aca="false">DATE(YEAR(A1931),MONTH(A1931),1)</f>
        <v>46143</v>
      </c>
      <c r="G1931" s="24" t="str">
        <f aca="false">INDEX(Products!$C$2:$C$49,MATCH(C1931,Products!$A$2:$A$49,0))</f>
        <v>Household</v>
      </c>
      <c r="H1931" s="33" t="n">
        <f aca="false">D1931*INDEX(Products!$E$2:$E$49,MATCH(C1931,Products!$A$2:$A$49,0))</f>
        <v>11960</v>
      </c>
      <c r="I1931" s="33" t="n">
        <f aca="false">D1931*INDEX(Products!$D$2:$D$49,MATCH(C1931,Products!$A$2:$A$49,0))*(1+INDEX(Assumptions!$B$16:$B$20,MATCH(B1931,Assumptions!$A$16:$A$20,0)))</f>
        <v>9180.864</v>
      </c>
      <c r="J1931" s="33" t="n">
        <f aca="false">H1931-I1931</f>
        <v>2779.136</v>
      </c>
      <c r="K1931" s="33" t="n">
        <f aca="false">IF(OR(E1931=0,E1931&gt;=7),0,D1931/(7-E1931)*E1931*INDEX(Products!$E$2:$E$49,MATCH(C1931,Products!$A$2:$A$49,0)))</f>
        <v>0</v>
      </c>
    </row>
    <row r="1932" customFormat="false" ht="15" hidden="false" customHeight="false" outlineLevel="0" collapsed="false">
      <c r="A1932" s="36" t="n">
        <v>46153</v>
      </c>
      <c r="B1932" s="24" t="s">
        <v>62</v>
      </c>
      <c r="C1932" s="24" t="s">
        <v>173</v>
      </c>
      <c r="D1932" s="33" t="n">
        <v>34</v>
      </c>
      <c r="E1932" s="24" t="n">
        <v>0</v>
      </c>
      <c r="F1932" s="37" t="n">
        <f aca="false">DATE(YEAR(A1932),MONTH(A1932),1)</f>
        <v>46143</v>
      </c>
      <c r="G1932" s="24" t="str">
        <f aca="false">INDEX(Products!$C$2:$C$49,MATCH(C1932,Products!$A$2:$A$49,0))</f>
        <v>Household</v>
      </c>
      <c r="H1932" s="33" t="n">
        <f aca="false">D1932*INDEX(Products!$E$2:$E$49,MATCH(C1932,Products!$A$2:$A$49,0))</f>
        <v>8840</v>
      </c>
      <c r="I1932" s="33" t="n">
        <f aca="false">D1932*INDEX(Products!$D$2:$D$49,MATCH(C1932,Products!$A$2:$A$49,0))*(1+INDEX(Assumptions!$B$16:$B$20,MATCH(B1932,Assumptions!$A$16:$A$20,0)))</f>
        <v>6785.856</v>
      </c>
      <c r="J1932" s="33" t="n">
        <f aca="false">H1932-I1932</f>
        <v>2054.144</v>
      </c>
      <c r="K1932" s="33" t="n">
        <f aca="false">IF(OR(E1932=0,E1932&gt;=7),0,D1932/(7-E1932)*E1932*INDEX(Products!$E$2:$E$49,MATCH(C1932,Products!$A$2:$A$49,0)))</f>
        <v>0</v>
      </c>
    </row>
    <row r="1933" customFormat="false" ht="15" hidden="false" customHeight="false" outlineLevel="0" collapsed="false">
      <c r="A1933" s="36" t="n">
        <v>46160</v>
      </c>
      <c r="B1933" s="24" t="s">
        <v>62</v>
      </c>
      <c r="C1933" s="24" t="s">
        <v>173</v>
      </c>
      <c r="D1933" s="33" t="n">
        <v>41</v>
      </c>
      <c r="E1933" s="24" t="n">
        <v>0</v>
      </c>
      <c r="F1933" s="37" t="n">
        <f aca="false">DATE(YEAR(A1933),MONTH(A1933),1)</f>
        <v>46143</v>
      </c>
      <c r="G1933" s="24" t="str">
        <f aca="false">INDEX(Products!$C$2:$C$49,MATCH(C1933,Products!$A$2:$A$49,0))</f>
        <v>Household</v>
      </c>
      <c r="H1933" s="33" t="n">
        <f aca="false">D1933*INDEX(Products!$E$2:$E$49,MATCH(C1933,Products!$A$2:$A$49,0))</f>
        <v>10660</v>
      </c>
      <c r="I1933" s="33" t="n">
        <f aca="false">D1933*INDEX(Products!$D$2:$D$49,MATCH(C1933,Products!$A$2:$A$49,0))*(1+INDEX(Assumptions!$B$16:$B$20,MATCH(B1933,Assumptions!$A$16:$A$20,0)))</f>
        <v>8182.944</v>
      </c>
      <c r="J1933" s="33" t="n">
        <f aca="false">H1933-I1933</f>
        <v>2477.056</v>
      </c>
      <c r="K1933" s="33" t="n">
        <f aca="false">IF(OR(E1933=0,E1933&gt;=7),0,D1933/(7-E1933)*E1933*INDEX(Products!$E$2:$E$49,MATCH(C1933,Products!$A$2:$A$49,0)))</f>
        <v>0</v>
      </c>
    </row>
    <row r="1934" customFormat="false" ht="15" hidden="false" customHeight="false" outlineLevel="0" collapsed="false">
      <c r="A1934" s="36" t="n">
        <v>46167</v>
      </c>
      <c r="B1934" s="24" t="s">
        <v>62</v>
      </c>
      <c r="C1934" s="24" t="s">
        <v>173</v>
      </c>
      <c r="D1934" s="33" t="n">
        <v>59</v>
      </c>
      <c r="E1934" s="24" t="n">
        <v>0</v>
      </c>
      <c r="F1934" s="37" t="n">
        <f aca="false">DATE(YEAR(A1934),MONTH(A1934),1)</f>
        <v>46143</v>
      </c>
      <c r="G1934" s="24" t="str">
        <f aca="false">INDEX(Products!$C$2:$C$49,MATCH(C1934,Products!$A$2:$A$49,0))</f>
        <v>Household</v>
      </c>
      <c r="H1934" s="33" t="n">
        <f aca="false">D1934*INDEX(Products!$E$2:$E$49,MATCH(C1934,Products!$A$2:$A$49,0))</f>
        <v>15340</v>
      </c>
      <c r="I1934" s="33" t="n">
        <f aca="false">D1934*INDEX(Products!$D$2:$D$49,MATCH(C1934,Products!$A$2:$A$49,0))*(1+INDEX(Assumptions!$B$16:$B$20,MATCH(B1934,Assumptions!$A$16:$A$20,0)))</f>
        <v>11775.456</v>
      </c>
      <c r="J1934" s="33" t="n">
        <f aca="false">H1934-I1934</f>
        <v>3564.544</v>
      </c>
      <c r="K1934" s="33" t="n">
        <f aca="false">IF(OR(E1934=0,E1934&gt;=7),0,D1934/(7-E1934)*E1934*INDEX(Products!$E$2:$E$49,MATCH(C1934,Products!$A$2:$A$49,0)))</f>
        <v>0</v>
      </c>
    </row>
    <row r="1935" customFormat="false" ht="15" hidden="false" customHeight="false" outlineLevel="0" collapsed="false">
      <c r="A1935" s="36" t="n">
        <v>46174</v>
      </c>
      <c r="B1935" s="24" t="s">
        <v>62</v>
      </c>
      <c r="C1935" s="24" t="s">
        <v>173</v>
      </c>
      <c r="D1935" s="33" t="n">
        <v>52</v>
      </c>
      <c r="E1935" s="24" t="n">
        <v>0</v>
      </c>
      <c r="F1935" s="37" t="n">
        <f aca="false">DATE(YEAR(A1935),MONTH(A1935),1)</f>
        <v>46174</v>
      </c>
      <c r="G1935" s="24" t="str">
        <f aca="false">INDEX(Products!$C$2:$C$49,MATCH(C1935,Products!$A$2:$A$49,0))</f>
        <v>Household</v>
      </c>
      <c r="H1935" s="33" t="n">
        <f aca="false">D1935*INDEX(Products!$E$2:$E$49,MATCH(C1935,Products!$A$2:$A$49,0))</f>
        <v>13520</v>
      </c>
      <c r="I1935" s="33" t="n">
        <f aca="false">D1935*INDEX(Products!$D$2:$D$49,MATCH(C1935,Products!$A$2:$A$49,0))*(1+INDEX(Assumptions!$B$16:$B$20,MATCH(B1935,Assumptions!$A$16:$A$20,0)))</f>
        <v>10378.368</v>
      </c>
      <c r="J1935" s="33" t="n">
        <f aca="false">H1935-I1935</f>
        <v>3141.632</v>
      </c>
      <c r="K1935" s="33" t="n">
        <f aca="false">IF(OR(E1935=0,E1935&gt;=7),0,D1935/(7-E1935)*E1935*INDEX(Products!$E$2:$E$49,MATCH(C1935,Products!$A$2:$A$49,0)))</f>
        <v>0</v>
      </c>
    </row>
    <row r="1936" customFormat="false" ht="15" hidden="false" customHeight="false" outlineLevel="0" collapsed="false">
      <c r="A1936" s="36" t="n">
        <v>46181</v>
      </c>
      <c r="B1936" s="24" t="s">
        <v>62</v>
      </c>
      <c r="C1936" s="24" t="s">
        <v>173</v>
      </c>
      <c r="D1936" s="33" t="n">
        <v>61</v>
      </c>
      <c r="E1936" s="24" t="n">
        <v>0</v>
      </c>
      <c r="F1936" s="37" t="n">
        <f aca="false">DATE(YEAR(A1936),MONTH(A1936),1)</f>
        <v>46174</v>
      </c>
      <c r="G1936" s="24" t="str">
        <f aca="false">INDEX(Products!$C$2:$C$49,MATCH(C1936,Products!$A$2:$A$49,0))</f>
        <v>Household</v>
      </c>
      <c r="H1936" s="33" t="n">
        <f aca="false">D1936*INDEX(Products!$E$2:$E$49,MATCH(C1936,Products!$A$2:$A$49,0))</f>
        <v>15860</v>
      </c>
      <c r="I1936" s="33" t="n">
        <f aca="false">D1936*INDEX(Products!$D$2:$D$49,MATCH(C1936,Products!$A$2:$A$49,0))*(1+INDEX(Assumptions!$B$16:$B$20,MATCH(B1936,Assumptions!$A$16:$A$20,0)))</f>
        <v>12174.624</v>
      </c>
      <c r="J1936" s="33" t="n">
        <f aca="false">H1936-I1936</f>
        <v>3685.376</v>
      </c>
      <c r="K1936" s="33" t="n">
        <f aca="false">IF(OR(E1936=0,E1936&gt;=7),0,D1936/(7-E1936)*E1936*INDEX(Products!$E$2:$E$49,MATCH(C1936,Products!$A$2:$A$49,0)))</f>
        <v>0</v>
      </c>
    </row>
    <row r="1937" customFormat="false" ht="15" hidden="false" customHeight="false" outlineLevel="0" collapsed="false">
      <c r="A1937" s="36" t="n">
        <v>46188</v>
      </c>
      <c r="B1937" s="24" t="s">
        <v>62</v>
      </c>
      <c r="C1937" s="24" t="s">
        <v>173</v>
      </c>
      <c r="D1937" s="33" t="n">
        <v>35</v>
      </c>
      <c r="E1937" s="24" t="n">
        <v>0</v>
      </c>
      <c r="F1937" s="37" t="n">
        <f aca="false">DATE(YEAR(A1937),MONTH(A1937),1)</f>
        <v>46174</v>
      </c>
      <c r="G1937" s="24" t="str">
        <f aca="false">INDEX(Products!$C$2:$C$49,MATCH(C1937,Products!$A$2:$A$49,0))</f>
        <v>Household</v>
      </c>
      <c r="H1937" s="33" t="n">
        <f aca="false">D1937*INDEX(Products!$E$2:$E$49,MATCH(C1937,Products!$A$2:$A$49,0))</f>
        <v>9100</v>
      </c>
      <c r="I1937" s="33" t="n">
        <f aca="false">D1937*INDEX(Products!$D$2:$D$49,MATCH(C1937,Products!$A$2:$A$49,0))*(1+INDEX(Assumptions!$B$16:$B$20,MATCH(B1937,Assumptions!$A$16:$A$20,0)))</f>
        <v>6985.44</v>
      </c>
      <c r="J1937" s="33" t="n">
        <f aca="false">H1937-I1937</f>
        <v>2114.56</v>
      </c>
      <c r="K1937" s="33" t="n">
        <f aca="false">IF(OR(E1937=0,E1937&gt;=7),0,D1937/(7-E1937)*E1937*INDEX(Products!$E$2:$E$49,MATCH(C1937,Products!$A$2:$A$49,0)))</f>
        <v>0</v>
      </c>
    </row>
    <row r="1938" customFormat="false" ht="15" hidden="false" customHeight="false" outlineLevel="0" collapsed="false">
      <c r="A1938" s="36" t="n">
        <v>46195</v>
      </c>
      <c r="B1938" s="24" t="s">
        <v>62</v>
      </c>
      <c r="C1938" s="24" t="s">
        <v>173</v>
      </c>
      <c r="D1938" s="33" t="n">
        <v>58</v>
      </c>
      <c r="E1938" s="24" t="n">
        <v>0</v>
      </c>
      <c r="F1938" s="37" t="n">
        <f aca="false">DATE(YEAR(A1938),MONTH(A1938),1)</f>
        <v>46174</v>
      </c>
      <c r="G1938" s="24" t="str">
        <f aca="false">INDEX(Products!$C$2:$C$49,MATCH(C1938,Products!$A$2:$A$49,0))</f>
        <v>Household</v>
      </c>
      <c r="H1938" s="33" t="n">
        <f aca="false">D1938*INDEX(Products!$E$2:$E$49,MATCH(C1938,Products!$A$2:$A$49,0))</f>
        <v>15080</v>
      </c>
      <c r="I1938" s="33" t="n">
        <f aca="false">D1938*INDEX(Products!$D$2:$D$49,MATCH(C1938,Products!$A$2:$A$49,0))*(1+INDEX(Assumptions!$B$16:$B$20,MATCH(B1938,Assumptions!$A$16:$A$20,0)))</f>
        <v>11575.872</v>
      </c>
      <c r="J1938" s="33" t="n">
        <f aca="false">H1938-I1938</f>
        <v>3504.128</v>
      </c>
      <c r="K1938" s="33" t="n">
        <f aca="false">IF(OR(E1938=0,E1938&gt;=7),0,D1938/(7-E1938)*E1938*INDEX(Products!$E$2:$E$49,MATCH(C1938,Products!$A$2:$A$49,0)))</f>
        <v>0</v>
      </c>
    </row>
    <row r="1939" customFormat="false" ht="15" hidden="false" customHeight="false" outlineLevel="0" collapsed="false">
      <c r="A1939" s="36" t="n">
        <v>46202</v>
      </c>
      <c r="B1939" s="24" t="s">
        <v>62</v>
      </c>
      <c r="C1939" s="24" t="s">
        <v>173</v>
      </c>
      <c r="D1939" s="33" t="n">
        <v>55</v>
      </c>
      <c r="E1939" s="24" t="n">
        <v>0</v>
      </c>
      <c r="F1939" s="37" t="n">
        <f aca="false">DATE(YEAR(A1939),MONTH(A1939),1)</f>
        <v>46174</v>
      </c>
      <c r="G1939" s="24" t="str">
        <f aca="false">INDEX(Products!$C$2:$C$49,MATCH(C1939,Products!$A$2:$A$49,0))</f>
        <v>Household</v>
      </c>
      <c r="H1939" s="33" t="n">
        <f aca="false">D1939*INDEX(Products!$E$2:$E$49,MATCH(C1939,Products!$A$2:$A$49,0))</f>
        <v>14300</v>
      </c>
      <c r="I1939" s="33" t="n">
        <f aca="false">D1939*INDEX(Products!$D$2:$D$49,MATCH(C1939,Products!$A$2:$A$49,0))*(1+INDEX(Assumptions!$B$16:$B$20,MATCH(B1939,Assumptions!$A$16:$A$20,0)))</f>
        <v>10977.12</v>
      </c>
      <c r="J1939" s="33" t="n">
        <f aca="false">H1939-I1939</f>
        <v>3322.88</v>
      </c>
      <c r="K1939" s="33" t="n">
        <f aca="false">IF(OR(E1939=0,E1939&gt;=7),0,D1939/(7-E1939)*E1939*INDEX(Products!$E$2:$E$49,MATCH(C1939,Products!$A$2:$A$49,0)))</f>
        <v>0</v>
      </c>
    </row>
    <row r="1940" customFormat="false" ht="15" hidden="false" customHeight="false" outlineLevel="0" collapsed="false">
      <c r="A1940" s="36" t="n">
        <v>46209</v>
      </c>
      <c r="B1940" s="24" t="s">
        <v>62</v>
      </c>
      <c r="C1940" s="24" t="s">
        <v>173</v>
      </c>
      <c r="D1940" s="33" t="n">
        <v>43</v>
      </c>
      <c r="E1940" s="24" t="n">
        <v>0</v>
      </c>
      <c r="F1940" s="37" t="n">
        <f aca="false">DATE(YEAR(A1940),MONTH(A1940),1)</f>
        <v>46204</v>
      </c>
      <c r="G1940" s="24" t="str">
        <f aca="false">INDEX(Products!$C$2:$C$49,MATCH(C1940,Products!$A$2:$A$49,0))</f>
        <v>Household</v>
      </c>
      <c r="H1940" s="33" t="n">
        <f aca="false">D1940*INDEX(Products!$E$2:$E$49,MATCH(C1940,Products!$A$2:$A$49,0))</f>
        <v>11180</v>
      </c>
      <c r="I1940" s="33" t="n">
        <f aca="false">D1940*INDEX(Products!$D$2:$D$49,MATCH(C1940,Products!$A$2:$A$49,0))*(1+INDEX(Assumptions!$B$16:$B$20,MATCH(B1940,Assumptions!$A$16:$A$20,0)))</f>
        <v>8582.112</v>
      </c>
      <c r="J1940" s="33" t="n">
        <f aca="false">H1940-I1940</f>
        <v>2597.888</v>
      </c>
      <c r="K1940" s="33" t="n">
        <f aca="false">IF(OR(E1940=0,E1940&gt;=7),0,D1940/(7-E1940)*E1940*INDEX(Products!$E$2:$E$49,MATCH(C1940,Products!$A$2:$A$49,0)))</f>
        <v>0</v>
      </c>
    </row>
    <row r="1941" customFormat="false" ht="15" hidden="false" customHeight="false" outlineLevel="0" collapsed="false">
      <c r="A1941" s="36" t="n">
        <v>46216</v>
      </c>
      <c r="B1941" s="24" t="s">
        <v>62</v>
      </c>
      <c r="C1941" s="24" t="s">
        <v>173</v>
      </c>
      <c r="D1941" s="33" t="n">
        <v>51</v>
      </c>
      <c r="E1941" s="24" t="n">
        <v>0</v>
      </c>
      <c r="F1941" s="37" t="n">
        <f aca="false">DATE(YEAR(A1941),MONTH(A1941),1)</f>
        <v>46204</v>
      </c>
      <c r="G1941" s="24" t="str">
        <f aca="false">INDEX(Products!$C$2:$C$49,MATCH(C1941,Products!$A$2:$A$49,0))</f>
        <v>Household</v>
      </c>
      <c r="H1941" s="33" t="n">
        <f aca="false">D1941*INDEX(Products!$E$2:$E$49,MATCH(C1941,Products!$A$2:$A$49,0))</f>
        <v>13260</v>
      </c>
      <c r="I1941" s="33" t="n">
        <f aca="false">D1941*INDEX(Products!$D$2:$D$49,MATCH(C1941,Products!$A$2:$A$49,0))*(1+INDEX(Assumptions!$B$16:$B$20,MATCH(B1941,Assumptions!$A$16:$A$20,0)))</f>
        <v>10178.784</v>
      </c>
      <c r="J1941" s="33" t="n">
        <f aca="false">H1941-I1941</f>
        <v>3081.216</v>
      </c>
      <c r="K1941" s="33" t="n">
        <f aca="false">IF(OR(E1941=0,E1941&gt;=7),0,D1941/(7-E1941)*E1941*INDEX(Products!$E$2:$E$49,MATCH(C1941,Products!$A$2:$A$49,0)))</f>
        <v>0</v>
      </c>
    </row>
    <row r="1942" customFormat="false" ht="15" hidden="false" customHeight="false" outlineLevel="0" collapsed="false">
      <c r="A1942" s="36" t="n">
        <v>46223</v>
      </c>
      <c r="B1942" s="24" t="s">
        <v>62</v>
      </c>
      <c r="C1942" s="24" t="s">
        <v>173</v>
      </c>
      <c r="D1942" s="33" t="n">
        <v>44</v>
      </c>
      <c r="E1942" s="24" t="n">
        <v>0</v>
      </c>
      <c r="F1942" s="37" t="n">
        <f aca="false">DATE(YEAR(A1942),MONTH(A1942),1)</f>
        <v>46204</v>
      </c>
      <c r="G1942" s="24" t="str">
        <f aca="false">INDEX(Products!$C$2:$C$49,MATCH(C1942,Products!$A$2:$A$49,0))</f>
        <v>Household</v>
      </c>
      <c r="H1942" s="33" t="n">
        <f aca="false">D1942*INDEX(Products!$E$2:$E$49,MATCH(C1942,Products!$A$2:$A$49,0))</f>
        <v>11440</v>
      </c>
      <c r="I1942" s="33" t="n">
        <f aca="false">D1942*INDEX(Products!$D$2:$D$49,MATCH(C1942,Products!$A$2:$A$49,0))*(1+INDEX(Assumptions!$B$16:$B$20,MATCH(B1942,Assumptions!$A$16:$A$20,0)))</f>
        <v>8781.696</v>
      </c>
      <c r="J1942" s="33" t="n">
        <f aca="false">H1942-I1942</f>
        <v>2658.304</v>
      </c>
      <c r="K1942" s="33" t="n">
        <f aca="false">IF(OR(E1942=0,E1942&gt;=7),0,D1942/(7-E1942)*E1942*INDEX(Products!$E$2:$E$49,MATCH(C1942,Products!$A$2:$A$49,0)))</f>
        <v>0</v>
      </c>
    </row>
    <row r="1943" customFormat="false" ht="15" hidden="false" customHeight="false" outlineLevel="0" collapsed="false">
      <c r="A1943" s="36" t="n">
        <v>46230</v>
      </c>
      <c r="B1943" s="24" t="s">
        <v>62</v>
      </c>
      <c r="C1943" s="24" t="s">
        <v>173</v>
      </c>
      <c r="D1943" s="33" t="n">
        <v>44</v>
      </c>
      <c r="E1943" s="24" t="n">
        <v>0</v>
      </c>
      <c r="F1943" s="37" t="n">
        <f aca="false">DATE(YEAR(A1943),MONTH(A1943),1)</f>
        <v>46204</v>
      </c>
      <c r="G1943" s="24" t="str">
        <f aca="false">INDEX(Products!$C$2:$C$49,MATCH(C1943,Products!$A$2:$A$49,0))</f>
        <v>Household</v>
      </c>
      <c r="H1943" s="33" t="n">
        <f aca="false">D1943*INDEX(Products!$E$2:$E$49,MATCH(C1943,Products!$A$2:$A$49,0))</f>
        <v>11440</v>
      </c>
      <c r="I1943" s="33" t="n">
        <f aca="false">D1943*INDEX(Products!$D$2:$D$49,MATCH(C1943,Products!$A$2:$A$49,0))*(1+INDEX(Assumptions!$B$16:$B$20,MATCH(B1943,Assumptions!$A$16:$A$20,0)))</f>
        <v>8781.696</v>
      </c>
      <c r="J1943" s="33" t="n">
        <f aca="false">H1943-I1943</f>
        <v>2658.304</v>
      </c>
      <c r="K1943" s="33" t="n">
        <f aca="false">IF(OR(E1943=0,E1943&gt;=7),0,D1943/(7-E1943)*E1943*INDEX(Products!$E$2:$E$49,MATCH(C1943,Products!$A$2:$A$49,0)))</f>
        <v>0</v>
      </c>
    </row>
    <row r="1944" customFormat="false" ht="15" hidden="false" customHeight="false" outlineLevel="0" collapsed="false">
      <c r="A1944" s="36" t="n">
        <v>46237</v>
      </c>
      <c r="B1944" s="24" t="s">
        <v>62</v>
      </c>
      <c r="C1944" s="24" t="s">
        <v>173</v>
      </c>
      <c r="D1944" s="33" t="n">
        <v>29</v>
      </c>
      <c r="E1944" s="24" t="n">
        <v>0</v>
      </c>
      <c r="F1944" s="37" t="n">
        <f aca="false">DATE(YEAR(A1944),MONTH(A1944),1)</f>
        <v>46235</v>
      </c>
      <c r="G1944" s="24" t="str">
        <f aca="false">INDEX(Products!$C$2:$C$49,MATCH(C1944,Products!$A$2:$A$49,0))</f>
        <v>Household</v>
      </c>
      <c r="H1944" s="33" t="n">
        <f aca="false">D1944*INDEX(Products!$E$2:$E$49,MATCH(C1944,Products!$A$2:$A$49,0))</f>
        <v>7540</v>
      </c>
      <c r="I1944" s="33" t="n">
        <f aca="false">D1944*INDEX(Products!$D$2:$D$49,MATCH(C1944,Products!$A$2:$A$49,0))*(1+INDEX(Assumptions!$B$16:$B$20,MATCH(B1944,Assumptions!$A$16:$A$20,0)))</f>
        <v>5787.936</v>
      </c>
      <c r="J1944" s="33" t="n">
        <f aca="false">H1944-I1944</f>
        <v>1752.064</v>
      </c>
      <c r="K1944" s="33" t="n">
        <f aca="false">IF(OR(E1944=0,E1944&gt;=7),0,D1944/(7-E1944)*E1944*INDEX(Products!$E$2:$E$49,MATCH(C1944,Products!$A$2:$A$49,0)))</f>
        <v>0</v>
      </c>
    </row>
    <row r="1945" customFormat="false" ht="15" hidden="false" customHeight="false" outlineLevel="0" collapsed="false">
      <c r="A1945" s="36" t="n">
        <v>46244</v>
      </c>
      <c r="B1945" s="24" t="s">
        <v>62</v>
      </c>
      <c r="C1945" s="24" t="s">
        <v>173</v>
      </c>
      <c r="D1945" s="33" t="n">
        <v>38</v>
      </c>
      <c r="E1945" s="24" t="n">
        <v>0</v>
      </c>
      <c r="F1945" s="37" t="n">
        <f aca="false">DATE(YEAR(A1945),MONTH(A1945),1)</f>
        <v>46235</v>
      </c>
      <c r="G1945" s="24" t="str">
        <f aca="false">INDEX(Products!$C$2:$C$49,MATCH(C1945,Products!$A$2:$A$49,0))</f>
        <v>Household</v>
      </c>
      <c r="H1945" s="33" t="n">
        <f aca="false">D1945*INDEX(Products!$E$2:$E$49,MATCH(C1945,Products!$A$2:$A$49,0))</f>
        <v>9880</v>
      </c>
      <c r="I1945" s="33" t="n">
        <f aca="false">D1945*INDEX(Products!$D$2:$D$49,MATCH(C1945,Products!$A$2:$A$49,0))*(1+INDEX(Assumptions!$B$16:$B$20,MATCH(B1945,Assumptions!$A$16:$A$20,0)))</f>
        <v>7584.192</v>
      </c>
      <c r="J1945" s="33" t="n">
        <f aca="false">H1945-I1945</f>
        <v>2295.808</v>
      </c>
      <c r="K1945" s="33" t="n">
        <f aca="false">IF(OR(E1945=0,E1945&gt;=7),0,D1945/(7-E1945)*E1945*INDEX(Products!$E$2:$E$49,MATCH(C1945,Products!$A$2:$A$49,0)))</f>
        <v>0</v>
      </c>
    </row>
    <row r="1946" customFormat="false" ht="15" hidden="false" customHeight="false" outlineLevel="0" collapsed="false">
      <c r="A1946" s="36" t="n">
        <v>46251</v>
      </c>
      <c r="B1946" s="24" t="s">
        <v>62</v>
      </c>
      <c r="C1946" s="24" t="s">
        <v>173</v>
      </c>
      <c r="D1946" s="33" t="n">
        <v>52</v>
      </c>
      <c r="E1946" s="24" t="n">
        <v>0</v>
      </c>
      <c r="F1946" s="37" t="n">
        <f aca="false">DATE(YEAR(A1946),MONTH(A1946),1)</f>
        <v>46235</v>
      </c>
      <c r="G1946" s="24" t="str">
        <f aca="false">INDEX(Products!$C$2:$C$49,MATCH(C1946,Products!$A$2:$A$49,0))</f>
        <v>Household</v>
      </c>
      <c r="H1946" s="33" t="n">
        <f aca="false">D1946*INDEX(Products!$E$2:$E$49,MATCH(C1946,Products!$A$2:$A$49,0))</f>
        <v>13520</v>
      </c>
      <c r="I1946" s="33" t="n">
        <f aca="false">D1946*INDEX(Products!$D$2:$D$49,MATCH(C1946,Products!$A$2:$A$49,0))*(1+INDEX(Assumptions!$B$16:$B$20,MATCH(B1946,Assumptions!$A$16:$A$20,0)))</f>
        <v>10378.368</v>
      </c>
      <c r="J1946" s="33" t="n">
        <f aca="false">H1946-I1946</f>
        <v>3141.632</v>
      </c>
      <c r="K1946" s="33" t="n">
        <f aca="false">IF(OR(E1946=0,E1946&gt;=7),0,D1946/(7-E1946)*E1946*INDEX(Products!$E$2:$E$49,MATCH(C1946,Products!$A$2:$A$49,0)))</f>
        <v>0</v>
      </c>
    </row>
    <row r="1947" customFormat="false" ht="15" hidden="false" customHeight="false" outlineLevel="0" collapsed="false">
      <c r="A1947" s="36" t="n">
        <v>46258</v>
      </c>
      <c r="B1947" s="24" t="s">
        <v>62</v>
      </c>
      <c r="C1947" s="24" t="s">
        <v>173</v>
      </c>
      <c r="D1947" s="33" t="n">
        <v>51</v>
      </c>
      <c r="E1947" s="24" t="n">
        <v>0</v>
      </c>
      <c r="F1947" s="37" t="n">
        <f aca="false">DATE(YEAR(A1947),MONTH(A1947),1)</f>
        <v>46235</v>
      </c>
      <c r="G1947" s="24" t="str">
        <f aca="false">INDEX(Products!$C$2:$C$49,MATCH(C1947,Products!$A$2:$A$49,0))</f>
        <v>Household</v>
      </c>
      <c r="H1947" s="33" t="n">
        <f aca="false">D1947*INDEX(Products!$E$2:$E$49,MATCH(C1947,Products!$A$2:$A$49,0))</f>
        <v>13260</v>
      </c>
      <c r="I1947" s="33" t="n">
        <f aca="false">D1947*INDEX(Products!$D$2:$D$49,MATCH(C1947,Products!$A$2:$A$49,0))*(1+INDEX(Assumptions!$B$16:$B$20,MATCH(B1947,Assumptions!$A$16:$A$20,0)))</f>
        <v>10178.784</v>
      </c>
      <c r="J1947" s="33" t="n">
        <f aca="false">H1947-I1947</f>
        <v>3081.216</v>
      </c>
      <c r="K1947" s="33" t="n">
        <f aca="false">IF(OR(E1947=0,E1947&gt;=7),0,D1947/(7-E1947)*E1947*INDEX(Products!$E$2:$E$49,MATCH(C1947,Products!$A$2:$A$49,0)))</f>
        <v>0</v>
      </c>
    </row>
    <row r="1948" customFormat="false" ht="15" hidden="false" customHeight="false" outlineLevel="0" collapsed="false">
      <c r="A1948" s="36" t="n">
        <v>46265</v>
      </c>
      <c r="B1948" s="24" t="s">
        <v>62</v>
      </c>
      <c r="C1948" s="24" t="s">
        <v>173</v>
      </c>
      <c r="D1948" s="33" t="n">
        <v>55</v>
      </c>
      <c r="E1948" s="24" t="n">
        <v>0</v>
      </c>
      <c r="F1948" s="37" t="n">
        <f aca="false">DATE(YEAR(A1948),MONTH(A1948),1)</f>
        <v>46235</v>
      </c>
      <c r="G1948" s="24" t="str">
        <f aca="false">INDEX(Products!$C$2:$C$49,MATCH(C1948,Products!$A$2:$A$49,0))</f>
        <v>Household</v>
      </c>
      <c r="H1948" s="33" t="n">
        <f aca="false">D1948*INDEX(Products!$E$2:$E$49,MATCH(C1948,Products!$A$2:$A$49,0))</f>
        <v>14300</v>
      </c>
      <c r="I1948" s="33" t="n">
        <f aca="false">D1948*INDEX(Products!$D$2:$D$49,MATCH(C1948,Products!$A$2:$A$49,0))*(1+INDEX(Assumptions!$B$16:$B$20,MATCH(B1948,Assumptions!$A$16:$A$20,0)))</f>
        <v>10977.12</v>
      </c>
      <c r="J1948" s="33" t="n">
        <f aca="false">H1948-I1948</f>
        <v>3322.88</v>
      </c>
      <c r="K1948" s="33" t="n">
        <f aca="false">IF(OR(E1948=0,E1948&gt;=7),0,D1948/(7-E1948)*E1948*INDEX(Products!$E$2:$E$49,MATCH(C1948,Products!$A$2:$A$49,0)))</f>
        <v>0</v>
      </c>
    </row>
    <row r="1949" customFormat="false" ht="15" hidden="false" customHeight="false" outlineLevel="0" collapsed="false">
      <c r="A1949" s="36" t="n">
        <v>46272</v>
      </c>
      <c r="B1949" s="24" t="s">
        <v>62</v>
      </c>
      <c r="C1949" s="24" t="s">
        <v>173</v>
      </c>
      <c r="D1949" s="33" t="n">
        <v>40</v>
      </c>
      <c r="E1949" s="24" t="n">
        <v>0</v>
      </c>
      <c r="F1949" s="37" t="n">
        <f aca="false">DATE(YEAR(A1949),MONTH(A1949),1)</f>
        <v>46266</v>
      </c>
      <c r="G1949" s="24" t="str">
        <f aca="false">INDEX(Products!$C$2:$C$49,MATCH(C1949,Products!$A$2:$A$49,0))</f>
        <v>Household</v>
      </c>
      <c r="H1949" s="33" t="n">
        <f aca="false">D1949*INDEX(Products!$E$2:$E$49,MATCH(C1949,Products!$A$2:$A$49,0))</f>
        <v>10400</v>
      </c>
      <c r="I1949" s="33" t="n">
        <f aca="false">D1949*INDEX(Products!$D$2:$D$49,MATCH(C1949,Products!$A$2:$A$49,0))*(1+INDEX(Assumptions!$B$16:$B$20,MATCH(B1949,Assumptions!$A$16:$A$20,0)))</f>
        <v>7983.36</v>
      </c>
      <c r="J1949" s="33" t="n">
        <f aca="false">H1949-I1949</f>
        <v>2416.64</v>
      </c>
      <c r="K1949" s="33" t="n">
        <f aca="false">IF(OR(E1949=0,E1949&gt;=7),0,D1949/(7-E1949)*E1949*INDEX(Products!$E$2:$E$49,MATCH(C1949,Products!$A$2:$A$49,0)))</f>
        <v>0</v>
      </c>
    </row>
    <row r="1950" customFormat="false" ht="15" hidden="false" customHeight="false" outlineLevel="0" collapsed="false">
      <c r="A1950" s="36" t="n">
        <v>46279</v>
      </c>
      <c r="B1950" s="24" t="s">
        <v>62</v>
      </c>
      <c r="C1950" s="24" t="s">
        <v>173</v>
      </c>
      <c r="D1950" s="33" t="n">
        <v>36</v>
      </c>
      <c r="E1950" s="24" t="n">
        <v>0</v>
      </c>
      <c r="F1950" s="37" t="n">
        <f aca="false">DATE(YEAR(A1950),MONTH(A1950),1)</f>
        <v>46266</v>
      </c>
      <c r="G1950" s="24" t="str">
        <f aca="false">INDEX(Products!$C$2:$C$49,MATCH(C1950,Products!$A$2:$A$49,0))</f>
        <v>Household</v>
      </c>
      <c r="H1950" s="33" t="n">
        <f aca="false">D1950*INDEX(Products!$E$2:$E$49,MATCH(C1950,Products!$A$2:$A$49,0))</f>
        <v>9360</v>
      </c>
      <c r="I1950" s="33" t="n">
        <f aca="false">D1950*INDEX(Products!$D$2:$D$49,MATCH(C1950,Products!$A$2:$A$49,0))*(1+INDEX(Assumptions!$B$16:$B$20,MATCH(B1950,Assumptions!$A$16:$A$20,0)))</f>
        <v>7185.024</v>
      </c>
      <c r="J1950" s="33" t="n">
        <f aca="false">H1950-I1950</f>
        <v>2174.976</v>
      </c>
      <c r="K1950" s="33" t="n">
        <f aca="false">IF(OR(E1950=0,E1950&gt;=7),0,D1950/(7-E1950)*E1950*INDEX(Products!$E$2:$E$49,MATCH(C1950,Products!$A$2:$A$49,0)))</f>
        <v>0</v>
      </c>
    </row>
    <row r="1951" customFormat="false" ht="15" hidden="false" customHeight="false" outlineLevel="0" collapsed="false">
      <c r="A1951" s="36" t="n">
        <v>46286</v>
      </c>
      <c r="B1951" s="24" t="s">
        <v>62</v>
      </c>
      <c r="C1951" s="24" t="s">
        <v>173</v>
      </c>
      <c r="D1951" s="33" t="n">
        <v>44</v>
      </c>
      <c r="E1951" s="24" t="n">
        <v>0</v>
      </c>
      <c r="F1951" s="37" t="n">
        <f aca="false">DATE(YEAR(A1951),MONTH(A1951),1)</f>
        <v>46266</v>
      </c>
      <c r="G1951" s="24" t="str">
        <f aca="false">INDEX(Products!$C$2:$C$49,MATCH(C1951,Products!$A$2:$A$49,0))</f>
        <v>Household</v>
      </c>
      <c r="H1951" s="33" t="n">
        <f aca="false">D1951*INDEX(Products!$E$2:$E$49,MATCH(C1951,Products!$A$2:$A$49,0))</f>
        <v>11440</v>
      </c>
      <c r="I1951" s="33" t="n">
        <f aca="false">D1951*INDEX(Products!$D$2:$D$49,MATCH(C1951,Products!$A$2:$A$49,0))*(1+INDEX(Assumptions!$B$16:$B$20,MATCH(B1951,Assumptions!$A$16:$A$20,0)))</f>
        <v>8781.696</v>
      </c>
      <c r="J1951" s="33" t="n">
        <f aca="false">H1951-I1951</f>
        <v>2658.304</v>
      </c>
      <c r="K1951" s="33" t="n">
        <f aca="false">IF(OR(E1951=0,E1951&gt;=7),0,D1951/(7-E1951)*E1951*INDEX(Products!$E$2:$E$49,MATCH(C1951,Products!$A$2:$A$49,0)))</f>
        <v>0</v>
      </c>
    </row>
    <row r="1952" customFormat="false" ht="15" hidden="false" customHeight="false" outlineLevel="0" collapsed="false">
      <c r="A1952" s="36" t="n">
        <v>46118</v>
      </c>
      <c r="B1952" s="24" t="s">
        <v>62</v>
      </c>
      <c r="C1952" s="24" t="s">
        <v>175</v>
      </c>
      <c r="D1952" s="33" t="n">
        <v>106</v>
      </c>
      <c r="E1952" s="24" t="n">
        <v>0</v>
      </c>
      <c r="F1952" s="37" t="n">
        <f aca="false">DATE(YEAR(A1952),MONTH(A1952),1)</f>
        <v>46113</v>
      </c>
      <c r="G1952" s="24" t="str">
        <f aca="false">INDEX(Products!$C$2:$C$49,MATCH(C1952,Products!$A$2:$A$49,0))</f>
        <v>Household</v>
      </c>
      <c r="H1952" s="33" t="n">
        <f aca="false">D1952*INDEX(Products!$E$2:$E$49,MATCH(C1952,Products!$A$2:$A$49,0))</f>
        <v>6360</v>
      </c>
      <c r="I1952" s="33" t="n">
        <f aca="false">D1952*INDEX(Products!$D$2:$D$49,MATCH(C1952,Products!$A$2:$A$49,0))*(1+INDEX(Assumptions!$B$16:$B$20,MATCH(B1952,Assumptions!$A$16:$A$20,0)))</f>
        <v>5021.856</v>
      </c>
      <c r="J1952" s="33" t="n">
        <f aca="false">H1952-I1952</f>
        <v>1338.144</v>
      </c>
      <c r="K1952" s="33" t="n">
        <f aca="false">IF(OR(E1952=0,E1952&gt;=7),0,D1952/(7-E1952)*E1952*INDEX(Products!$E$2:$E$49,MATCH(C1952,Products!$A$2:$A$49,0)))</f>
        <v>0</v>
      </c>
    </row>
    <row r="1953" customFormat="false" ht="15" hidden="false" customHeight="false" outlineLevel="0" collapsed="false">
      <c r="A1953" s="36" t="n">
        <v>46125</v>
      </c>
      <c r="B1953" s="24" t="s">
        <v>62</v>
      </c>
      <c r="C1953" s="24" t="s">
        <v>175</v>
      </c>
      <c r="D1953" s="33" t="n">
        <v>120</v>
      </c>
      <c r="E1953" s="24" t="n">
        <v>0</v>
      </c>
      <c r="F1953" s="37" t="n">
        <f aca="false">DATE(YEAR(A1953),MONTH(A1953),1)</f>
        <v>46113</v>
      </c>
      <c r="G1953" s="24" t="str">
        <f aca="false">INDEX(Products!$C$2:$C$49,MATCH(C1953,Products!$A$2:$A$49,0))</f>
        <v>Household</v>
      </c>
      <c r="H1953" s="33" t="n">
        <f aca="false">D1953*INDEX(Products!$E$2:$E$49,MATCH(C1953,Products!$A$2:$A$49,0))</f>
        <v>7200</v>
      </c>
      <c r="I1953" s="33" t="n">
        <f aca="false">D1953*INDEX(Products!$D$2:$D$49,MATCH(C1953,Products!$A$2:$A$49,0))*(1+INDEX(Assumptions!$B$16:$B$20,MATCH(B1953,Assumptions!$A$16:$A$20,0)))</f>
        <v>5685.12</v>
      </c>
      <c r="J1953" s="33" t="n">
        <f aca="false">H1953-I1953</f>
        <v>1514.88</v>
      </c>
      <c r="K1953" s="33" t="n">
        <f aca="false">IF(OR(E1953=0,E1953&gt;=7),0,D1953/(7-E1953)*E1953*INDEX(Products!$E$2:$E$49,MATCH(C1953,Products!$A$2:$A$49,0)))</f>
        <v>0</v>
      </c>
    </row>
    <row r="1954" customFormat="false" ht="15" hidden="false" customHeight="false" outlineLevel="0" collapsed="false">
      <c r="A1954" s="36" t="n">
        <v>46132</v>
      </c>
      <c r="B1954" s="24" t="s">
        <v>62</v>
      </c>
      <c r="C1954" s="24" t="s">
        <v>175</v>
      </c>
      <c r="D1954" s="33" t="n">
        <v>121</v>
      </c>
      <c r="E1954" s="24" t="n">
        <v>0</v>
      </c>
      <c r="F1954" s="37" t="n">
        <f aca="false">DATE(YEAR(A1954),MONTH(A1954),1)</f>
        <v>46113</v>
      </c>
      <c r="G1954" s="24" t="str">
        <f aca="false">INDEX(Products!$C$2:$C$49,MATCH(C1954,Products!$A$2:$A$49,0))</f>
        <v>Household</v>
      </c>
      <c r="H1954" s="33" t="n">
        <f aca="false">D1954*INDEX(Products!$E$2:$E$49,MATCH(C1954,Products!$A$2:$A$49,0))</f>
        <v>7260</v>
      </c>
      <c r="I1954" s="33" t="n">
        <f aca="false">D1954*INDEX(Products!$D$2:$D$49,MATCH(C1954,Products!$A$2:$A$49,0))*(1+INDEX(Assumptions!$B$16:$B$20,MATCH(B1954,Assumptions!$A$16:$A$20,0)))</f>
        <v>5732.496</v>
      </c>
      <c r="J1954" s="33" t="n">
        <f aca="false">H1954-I1954</f>
        <v>1527.504</v>
      </c>
      <c r="K1954" s="33" t="n">
        <f aca="false">IF(OR(E1954=0,E1954&gt;=7),0,D1954/(7-E1954)*E1954*INDEX(Products!$E$2:$E$49,MATCH(C1954,Products!$A$2:$A$49,0)))</f>
        <v>0</v>
      </c>
    </row>
    <row r="1955" customFormat="false" ht="15" hidden="false" customHeight="false" outlineLevel="0" collapsed="false">
      <c r="A1955" s="36" t="n">
        <v>46139</v>
      </c>
      <c r="B1955" s="24" t="s">
        <v>62</v>
      </c>
      <c r="C1955" s="24" t="s">
        <v>175</v>
      </c>
      <c r="D1955" s="33" t="n">
        <v>138</v>
      </c>
      <c r="E1955" s="24" t="n">
        <v>0</v>
      </c>
      <c r="F1955" s="37" t="n">
        <f aca="false">DATE(YEAR(A1955),MONTH(A1955),1)</f>
        <v>46113</v>
      </c>
      <c r="G1955" s="24" t="str">
        <f aca="false">INDEX(Products!$C$2:$C$49,MATCH(C1955,Products!$A$2:$A$49,0))</f>
        <v>Household</v>
      </c>
      <c r="H1955" s="33" t="n">
        <f aca="false">D1955*INDEX(Products!$E$2:$E$49,MATCH(C1955,Products!$A$2:$A$49,0))</f>
        <v>8280</v>
      </c>
      <c r="I1955" s="33" t="n">
        <f aca="false">D1955*INDEX(Products!$D$2:$D$49,MATCH(C1955,Products!$A$2:$A$49,0))*(1+INDEX(Assumptions!$B$16:$B$20,MATCH(B1955,Assumptions!$A$16:$A$20,0)))</f>
        <v>6537.888</v>
      </c>
      <c r="J1955" s="33" t="n">
        <f aca="false">H1955-I1955</f>
        <v>1742.112</v>
      </c>
      <c r="K1955" s="33" t="n">
        <f aca="false">IF(OR(E1955=0,E1955&gt;=7),0,D1955/(7-E1955)*E1955*INDEX(Products!$E$2:$E$49,MATCH(C1955,Products!$A$2:$A$49,0)))</f>
        <v>0</v>
      </c>
    </row>
    <row r="1956" customFormat="false" ht="15" hidden="false" customHeight="false" outlineLevel="0" collapsed="false">
      <c r="A1956" s="36" t="n">
        <v>46146</v>
      </c>
      <c r="B1956" s="24" t="s">
        <v>62</v>
      </c>
      <c r="C1956" s="24" t="s">
        <v>175</v>
      </c>
      <c r="D1956" s="33" t="n">
        <v>123</v>
      </c>
      <c r="E1956" s="24" t="n">
        <v>0</v>
      </c>
      <c r="F1956" s="37" t="n">
        <f aca="false">DATE(YEAR(A1956),MONTH(A1956),1)</f>
        <v>46143</v>
      </c>
      <c r="G1956" s="24" t="str">
        <f aca="false">INDEX(Products!$C$2:$C$49,MATCH(C1956,Products!$A$2:$A$49,0))</f>
        <v>Household</v>
      </c>
      <c r="H1956" s="33" t="n">
        <f aca="false">D1956*INDEX(Products!$E$2:$E$49,MATCH(C1956,Products!$A$2:$A$49,0))</f>
        <v>7380</v>
      </c>
      <c r="I1956" s="33" t="n">
        <f aca="false">D1956*INDEX(Products!$D$2:$D$49,MATCH(C1956,Products!$A$2:$A$49,0))*(1+INDEX(Assumptions!$B$16:$B$20,MATCH(B1956,Assumptions!$A$16:$A$20,0)))</f>
        <v>5827.248</v>
      </c>
      <c r="J1956" s="33" t="n">
        <f aca="false">H1956-I1956</f>
        <v>1552.752</v>
      </c>
      <c r="K1956" s="33" t="n">
        <f aca="false">IF(OR(E1956=0,E1956&gt;=7),0,D1956/(7-E1956)*E1956*INDEX(Products!$E$2:$E$49,MATCH(C1956,Products!$A$2:$A$49,0)))</f>
        <v>0</v>
      </c>
    </row>
    <row r="1957" customFormat="false" ht="15" hidden="false" customHeight="false" outlineLevel="0" collapsed="false">
      <c r="A1957" s="36" t="n">
        <v>46153</v>
      </c>
      <c r="B1957" s="24" t="s">
        <v>62</v>
      </c>
      <c r="C1957" s="24" t="s">
        <v>175</v>
      </c>
      <c r="D1957" s="33" t="n">
        <v>115</v>
      </c>
      <c r="E1957" s="24" t="n">
        <v>0</v>
      </c>
      <c r="F1957" s="37" t="n">
        <f aca="false">DATE(YEAR(A1957),MONTH(A1957),1)</f>
        <v>46143</v>
      </c>
      <c r="G1957" s="24" t="str">
        <f aca="false">INDEX(Products!$C$2:$C$49,MATCH(C1957,Products!$A$2:$A$49,0))</f>
        <v>Household</v>
      </c>
      <c r="H1957" s="33" t="n">
        <f aca="false">D1957*INDEX(Products!$E$2:$E$49,MATCH(C1957,Products!$A$2:$A$49,0))</f>
        <v>6900</v>
      </c>
      <c r="I1957" s="33" t="n">
        <f aca="false">D1957*INDEX(Products!$D$2:$D$49,MATCH(C1957,Products!$A$2:$A$49,0))*(1+INDEX(Assumptions!$B$16:$B$20,MATCH(B1957,Assumptions!$A$16:$A$20,0)))</f>
        <v>5448.24</v>
      </c>
      <c r="J1957" s="33" t="n">
        <f aca="false">H1957-I1957</f>
        <v>1451.76</v>
      </c>
      <c r="K1957" s="33" t="n">
        <f aca="false">IF(OR(E1957=0,E1957&gt;=7),0,D1957/(7-E1957)*E1957*INDEX(Products!$E$2:$E$49,MATCH(C1957,Products!$A$2:$A$49,0)))</f>
        <v>0</v>
      </c>
    </row>
    <row r="1958" customFormat="false" ht="15" hidden="false" customHeight="false" outlineLevel="0" collapsed="false">
      <c r="A1958" s="36" t="n">
        <v>46160</v>
      </c>
      <c r="B1958" s="24" t="s">
        <v>62</v>
      </c>
      <c r="C1958" s="24" t="s">
        <v>175</v>
      </c>
      <c r="D1958" s="33" t="n">
        <v>141</v>
      </c>
      <c r="E1958" s="24" t="n">
        <v>0</v>
      </c>
      <c r="F1958" s="37" t="n">
        <f aca="false">DATE(YEAR(A1958),MONTH(A1958),1)</f>
        <v>46143</v>
      </c>
      <c r="G1958" s="24" t="str">
        <f aca="false">INDEX(Products!$C$2:$C$49,MATCH(C1958,Products!$A$2:$A$49,0))</f>
        <v>Household</v>
      </c>
      <c r="H1958" s="33" t="n">
        <f aca="false">D1958*INDEX(Products!$E$2:$E$49,MATCH(C1958,Products!$A$2:$A$49,0))</f>
        <v>8460</v>
      </c>
      <c r="I1958" s="33" t="n">
        <f aca="false">D1958*INDEX(Products!$D$2:$D$49,MATCH(C1958,Products!$A$2:$A$49,0))*(1+INDEX(Assumptions!$B$16:$B$20,MATCH(B1958,Assumptions!$A$16:$A$20,0)))</f>
        <v>6680.016</v>
      </c>
      <c r="J1958" s="33" t="n">
        <f aca="false">H1958-I1958</f>
        <v>1779.984</v>
      </c>
      <c r="K1958" s="33" t="n">
        <f aca="false">IF(OR(E1958=0,E1958&gt;=7),0,D1958/(7-E1958)*E1958*INDEX(Products!$E$2:$E$49,MATCH(C1958,Products!$A$2:$A$49,0)))</f>
        <v>0</v>
      </c>
    </row>
    <row r="1959" customFormat="false" ht="15" hidden="false" customHeight="false" outlineLevel="0" collapsed="false">
      <c r="A1959" s="36" t="n">
        <v>46167</v>
      </c>
      <c r="B1959" s="24" t="s">
        <v>62</v>
      </c>
      <c r="C1959" s="24" t="s">
        <v>175</v>
      </c>
      <c r="D1959" s="33" t="n">
        <v>133</v>
      </c>
      <c r="E1959" s="24" t="n">
        <v>0</v>
      </c>
      <c r="F1959" s="37" t="n">
        <f aca="false">DATE(YEAR(A1959),MONTH(A1959),1)</f>
        <v>46143</v>
      </c>
      <c r="G1959" s="24" t="str">
        <f aca="false">INDEX(Products!$C$2:$C$49,MATCH(C1959,Products!$A$2:$A$49,0))</f>
        <v>Household</v>
      </c>
      <c r="H1959" s="33" t="n">
        <f aca="false">D1959*INDEX(Products!$E$2:$E$49,MATCH(C1959,Products!$A$2:$A$49,0))</f>
        <v>7980</v>
      </c>
      <c r="I1959" s="33" t="n">
        <f aca="false">D1959*INDEX(Products!$D$2:$D$49,MATCH(C1959,Products!$A$2:$A$49,0))*(1+INDEX(Assumptions!$B$16:$B$20,MATCH(B1959,Assumptions!$A$16:$A$20,0)))</f>
        <v>6301.008</v>
      </c>
      <c r="J1959" s="33" t="n">
        <f aca="false">H1959-I1959</f>
        <v>1678.992</v>
      </c>
      <c r="K1959" s="33" t="n">
        <f aca="false">IF(OR(E1959=0,E1959&gt;=7),0,D1959/(7-E1959)*E1959*INDEX(Products!$E$2:$E$49,MATCH(C1959,Products!$A$2:$A$49,0)))</f>
        <v>0</v>
      </c>
    </row>
    <row r="1960" customFormat="false" ht="15" hidden="false" customHeight="false" outlineLevel="0" collapsed="false">
      <c r="A1960" s="36" t="n">
        <v>46174</v>
      </c>
      <c r="B1960" s="24" t="s">
        <v>62</v>
      </c>
      <c r="C1960" s="24" t="s">
        <v>175</v>
      </c>
      <c r="D1960" s="33" t="n">
        <v>134</v>
      </c>
      <c r="E1960" s="24" t="n">
        <v>0</v>
      </c>
      <c r="F1960" s="37" t="n">
        <f aca="false">DATE(YEAR(A1960),MONTH(A1960),1)</f>
        <v>46174</v>
      </c>
      <c r="G1960" s="24" t="str">
        <f aca="false">INDEX(Products!$C$2:$C$49,MATCH(C1960,Products!$A$2:$A$49,0))</f>
        <v>Household</v>
      </c>
      <c r="H1960" s="33" t="n">
        <f aca="false">D1960*INDEX(Products!$E$2:$E$49,MATCH(C1960,Products!$A$2:$A$49,0))</f>
        <v>8040</v>
      </c>
      <c r="I1960" s="33" t="n">
        <f aca="false">D1960*INDEX(Products!$D$2:$D$49,MATCH(C1960,Products!$A$2:$A$49,0))*(1+INDEX(Assumptions!$B$16:$B$20,MATCH(B1960,Assumptions!$A$16:$A$20,0)))</f>
        <v>6348.384</v>
      </c>
      <c r="J1960" s="33" t="n">
        <f aca="false">H1960-I1960</f>
        <v>1691.616</v>
      </c>
      <c r="K1960" s="33" t="n">
        <f aca="false">IF(OR(E1960=0,E1960&gt;=7),0,D1960/(7-E1960)*E1960*INDEX(Products!$E$2:$E$49,MATCH(C1960,Products!$A$2:$A$49,0)))</f>
        <v>0</v>
      </c>
    </row>
    <row r="1961" customFormat="false" ht="15" hidden="false" customHeight="false" outlineLevel="0" collapsed="false">
      <c r="A1961" s="36" t="n">
        <v>46181</v>
      </c>
      <c r="B1961" s="24" t="s">
        <v>62</v>
      </c>
      <c r="C1961" s="24" t="s">
        <v>175</v>
      </c>
      <c r="D1961" s="33" t="n">
        <v>78</v>
      </c>
      <c r="E1961" s="24" t="n">
        <v>3</v>
      </c>
      <c r="F1961" s="37" t="n">
        <f aca="false">DATE(YEAR(A1961),MONTH(A1961),1)</f>
        <v>46174</v>
      </c>
      <c r="G1961" s="24" t="str">
        <f aca="false">INDEX(Products!$C$2:$C$49,MATCH(C1961,Products!$A$2:$A$49,0))</f>
        <v>Household</v>
      </c>
      <c r="H1961" s="33" t="n">
        <f aca="false">D1961*INDEX(Products!$E$2:$E$49,MATCH(C1961,Products!$A$2:$A$49,0))</f>
        <v>4680</v>
      </c>
      <c r="I1961" s="33" t="n">
        <f aca="false">D1961*INDEX(Products!$D$2:$D$49,MATCH(C1961,Products!$A$2:$A$49,0))*(1+INDEX(Assumptions!$B$16:$B$20,MATCH(B1961,Assumptions!$A$16:$A$20,0)))</f>
        <v>3695.328</v>
      </c>
      <c r="J1961" s="33" t="n">
        <f aca="false">H1961-I1961</f>
        <v>984.672</v>
      </c>
      <c r="K1961" s="33" t="n">
        <f aca="false">IF(OR(E1961=0,E1961&gt;=7),0,D1961/(7-E1961)*E1961*INDEX(Products!$E$2:$E$49,MATCH(C1961,Products!$A$2:$A$49,0)))</f>
        <v>3510</v>
      </c>
    </row>
    <row r="1962" customFormat="false" ht="15" hidden="false" customHeight="false" outlineLevel="0" collapsed="false">
      <c r="A1962" s="36" t="n">
        <v>46188</v>
      </c>
      <c r="B1962" s="24" t="s">
        <v>62</v>
      </c>
      <c r="C1962" s="24" t="s">
        <v>175</v>
      </c>
      <c r="D1962" s="33" t="n">
        <v>106</v>
      </c>
      <c r="E1962" s="24" t="n">
        <v>0</v>
      </c>
      <c r="F1962" s="37" t="n">
        <f aca="false">DATE(YEAR(A1962),MONTH(A1962),1)</f>
        <v>46174</v>
      </c>
      <c r="G1962" s="24" t="str">
        <f aca="false">INDEX(Products!$C$2:$C$49,MATCH(C1962,Products!$A$2:$A$49,0))</f>
        <v>Household</v>
      </c>
      <c r="H1962" s="33" t="n">
        <f aca="false">D1962*INDEX(Products!$E$2:$E$49,MATCH(C1962,Products!$A$2:$A$49,0))</f>
        <v>6360</v>
      </c>
      <c r="I1962" s="33" t="n">
        <f aca="false">D1962*INDEX(Products!$D$2:$D$49,MATCH(C1962,Products!$A$2:$A$49,0))*(1+INDEX(Assumptions!$B$16:$B$20,MATCH(B1962,Assumptions!$A$16:$A$20,0)))</f>
        <v>5021.856</v>
      </c>
      <c r="J1962" s="33" t="n">
        <f aca="false">H1962-I1962</f>
        <v>1338.144</v>
      </c>
      <c r="K1962" s="33" t="n">
        <f aca="false">IF(OR(E1962=0,E1962&gt;=7),0,D1962/(7-E1962)*E1962*INDEX(Products!$E$2:$E$49,MATCH(C1962,Products!$A$2:$A$49,0)))</f>
        <v>0</v>
      </c>
    </row>
    <row r="1963" customFormat="false" ht="15" hidden="false" customHeight="false" outlineLevel="0" collapsed="false">
      <c r="A1963" s="36" t="n">
        <v>46195</v>
      </c>
      <c r="B1963" s="24" t="s">
        <v>62</v>
      </c>
      <c r="C1963" s="24" t="s">
        <v>175</v>
      </c>
      <c r="D1963" s="33" t="n">
        <v>137</v>
      </c>
      <c r="E1963" s="24" t="n">
        <v>0</v>
      </c>
      <c r="F1963" s="37" t="n">
        <f aca="false">DATE(YEAR(A1963),MONTH(A1963),1)</f>
        <v>46174</v>
      </c>
      <c r="G1963" s="24" t="str">
        <f aca="false">INDEX(Products!$C$2:$C$49,MATCH(C1963,Products!$A$2:$A$49,0))</f>
        <v>Household</v>
      </c>
      <c r="H1963" s="33" t="n">
        <f aca="false">D1963*INDEX(Products!$E$2:$E$49,MATCH(C1963,Products!$A$2:$A$49,0))</f>
        <v>8220</v>
      </c>
      <c r="I1963" s="33" t="n">
        <f aca="false">D1963*INDEX(Products!$D$2:$D$49,MATCH(C1963,Products!$A$2:$A$49,0))*(1+INDEX(Assumptions!$B$16:$B$20,MATCH(B1963,Assumptions!$A$16:$A$20,0)))</f>
        <v>6490.512</v>
      </c>
      <c r="J1963" s="33" t="n">
        <f aca="false">H1963-I1963</f>
        <v>1729.488</v>
      </c>
      <c r="K1963" s="33" t="n">
        <f aca="false">IF(OR(E1963=0,E1963&gt;=7),0,D1963/(7-E1963)*E1963*INDEX(Products!$E$2:$E$49,MATCH(C1963,Products!$A$2:$A$49,0)))</f>
        <v>0</v>
      </c>
    </row>
    <row r="1964" customFormat="false" ht="15" hidden="false" customHeight="false" outlineLevel="0" collapsed="false">
      <c r="A1964" s="36" t="n">
        <v>46202</v>
      </c>
      <c r="B1964" s="24" t="s">
        <v>62</v>
      </c>
      <c r="C1964" s="24" t="s">
        <v>175</v>
      </c>
      <c r="D1964" s="33" t="n">
        <v>119</v>
      </c>
      <c r="E1964" s="24" t="n">
        <v>0</v>
      </c>
      <c r="F1964" s="37" t="n">
        <f aca="false">DATE(YEAR(A1964),MONTH(A1964),1)</f>
        <v>46174</v>
      </c>
      <c r="G1964" s="24" t="str">
        <f aca="false">INDEX(Products!$C$2:$C$49,MATCH(C1964,Products!$A$2:$A$49,0))</f>
        <v>Household</v>
      </c>
      <c r="H1964" s="33" t="n">
        <f aca="false">D1964*INDEX(Products!$E$2:$E$49,MATCH(C1964,Products!$A$2:$A$49,0))</f>
        <v>7140</v>
      </c>
      <c r="I1964" s="33" t="n">
        <f aca="false">D1964*INDEX(Products!$D$2:$D$49,MATCH(C1964,Products!$A$2:$A$49,0))*(1+INDEX(Assumptions!$B$16:$B$20,MATCH(B1964,Assumptions!$A$16:$A$20,0)))</f>
        <v>5637.744</v>
      </c>
      <c r="J1964" s="33" t="n">
        <f aca="false">H1964-I1964</f>
        <v>1502.256</v>
      </c>
      <c r="K1964" s="33" t="n">
        <f aca="false">IF(OR(E1964=0,E1964&gt;=7),0,D1964/(7-E1964)*E1964*INDEX(Products!$E$2:$E$49,MATCH(C1964,Products!$A$2:$A$49,0)))</f>
        <v>0</v>
      </c>
    </row>
    <row r="1965" customFormat="false" ht="15" hidden="false" customHeight="false" outlineLevel="0" collapsed="false">
      <c r="A1965" s="36" t="n">
        <v>46209</v>
      </c>
      <c r="B1965" s="24" t="s">
        <v>62</v>
      </c>
      <c r="C1965" s="24" t="s">
        <v>175</v>
      </c>
      <c r="D1965" s="33" t="n">
        <v>94</v>
      </c>
      <c r="E1965" s="24" t="n">
        <v>0</v>
      </c>
      <c r="F1965" s="37" t="n">
        <f aca="false">DATE(YEAR(A1965),MONTH(A1965),1)</f>
        <v>46204</v>
      </c>
      <c r="G1965" s="24" t="str">
        <f aca="false">INDEX(Products!$C$2:$C$49,MATCH(C1965,Products!$A$2:$A$49,0))</f>
        <v>Household</v>
      </c>
      <c r="H1965" s="33" t="n">
        <f aca="false">D1965*INDEX(Products!$E$2:$E$49,MATCH(C1965,Products!$A$2:$A$49,0))</f>
        <v>5640</v>
      </c>
      <c r="I1965" s="33" t="n">
        <f aca="false">D1965*INDEX(Products!$D$2:$D$49,MATCH(C1965,Products!$A$2:$A$49,0))*(1+INDEX(Assumptions!$B$16:$B$20,MATCH(B1965,Assumptions!$A$16:$A$20,0)))</f>
        <v>4453.344</v>
      </c>
      <c r="J1965" s="33" t="n">
        <f aca="false">H1965-I1965</f>
        <v>1186.656</v>
      </c>
      <c r="K1965" s="33" t="n">
        <f aca="false">IF(OR(E1965=0,E1965&gt;=7),0,D1965/(7-E1965)*E1965*INDEX(Products!$E$2:$E$49,MATCH(C1965,Products!$A$2:$A$49,0)))</f>
        <v>0</v>
      </c>
    </row>
    <row r="1966" customFormat="false" ht="15" hidden="false" customHeight="false" outlineLevel="0" collapsed="false">
      <c r="A1966" s="36" t="n">
        <v>46216</v>
      </c>
      <c r="B1966" s="24" t="s">
        <v>62</v>
      </c>
      <c r="C1966" s="24" t="s">
        <v>175</v>
      </c>
      <c r="D1966" s="33" t="n">
        <v>105</v>
      </c>
      <c r="E1966" s="24" t="n">
        <v>0</v>
      </c>
      <c r="F1966" s="37" t="n">
        <f aca="false">DATE(YEAR(A1966),MONTH(A1966),1)</f>
        <v>46204</v>
      </c>
      <c r="G1966" s="24" t="str">
        <f aca="false">INDEX(Products!$C$2:$C$49,MATCH(C1966,Products!$A$2:$A$49,0))</f>
        <v>Household</v>
      </c>
      <c r="H1966" s="33" t="n">
        <f aca="false">D1966*INDEX(Products!$E$2:$E$49,MATCH(C1966,Products!$A$2:$A$49,0))</f>
        <v>6300</v>
      </c>
      <c r="I1966" s="33" t="n">
        <f aca="false">D1966*INDEX(Products!$D$2:$D$49,MATCH(C1966,Products!$A$2:$A$49,0))*(1+INDEX(Assumptions!$B$16:$B$20,MATCH(B1966,Assumptions!$A$16:$A$20,0)))</f>
        <v>4974.48</v>
      </c>
      <c r="J1966" s="33" t="n">
        <f aca="false">H1966-I1966</f>
        <v>1325.52</v>
      </c>
      <c r="K1966" s="33" t="n">
        <f aca="false">IF(OR(E1966=0,E1966&gt;=7),0,D1966/(7-E1966)*E1966*INDEX(Products!$E$2:$E$49,MATCH(C1966,Products!$A$2:$A$49,0)))</f>
        <v>0</v>
      </c>
    </row>
    <row r="1967" customFormat="false" ht="15" hidden="false" customHeight="false" outlineLevel="0" collapsed="false">
      <c r="A1967" s="36" t="n">
        <v>46223</v>
      </c>
      <c r="B1967" s="24" t="s">
        <v>62</v>
      </c>
      <c r="C1967" s="24" t="s">
        <v>175</v>
      </c>
      <c r="D1967" s="33" t="n">
        <v>97</v>
      </c>
      <c r="E1967" s="24" t="n">
        <v>0</v>
      </c>
      <c r="F1967" s="37" t="n">
        <f aca="false">DATE(YEAR(A1967),MONTH(A1967),1)</f>
        <v>46204</v>
      </c>
      <c r="G1967" s="24" t="str">
        <f aca="false">INDEX(Products!$C$2:$C$49,MATCH(C1967,Products!$A$2:$A$49,0))</f>
        <v>Household</v>
      </c>
      <c r="H1967" s="33" t="n">
        <f aca="false">D1967*INDEX(Products!$E$2:$E$49,MATCH(C1967,Products!$A$2:$A$49,0))</f>
        <v>5820</v>
      </c>
      <c r="I1967" s="33" t="n">
        <f aca="false">D1967*INDEX(Products!$D$2:$D$49,MATCH(C1967,Products!$A$2:$A$49,0))*(1+INDEX(Assumptions!$B$16:$B$20,MATCH(B1967,Assumptions!$A$16:$A$20,0)))</f>
        <v>4595.472</v>
      </c>
      <c r="J1967" s="33" t="n">
        <f aca="false">H1967-I1967</f>
        <v>1224.528</v>
      </c>
      <c r="K1967" s="33" t="n">
        <f aca="false">IF(OR(E1967=0,E1967&gt;=7),0,D1967/(7-E1967)*E1967*INDEX(Products!$E$2:$E$49,MATCH(C1967,Products!$A$2:$A$49,0)))</f>
        <v>0</v>
      </c>
    </row>
    <row r="1968" customFormat="false" ht="15" hidden="false" customHeight="false" outlineLevel="0" collapsed="false">
      <c r="A1968" s="36" t="n">
        <v>46230</v>
      </c>
      <c r="B1968" s="24" t="s">
        <v>62</v>
      </c>
      <c r="C1968" s="24" t="s">
        <v>175</v>
      </c>
      <c r="D1968" s="33" t="n">
        <v>125</v>
      </c>
      <c r="E1968" s="24" t="n">
        <v>0</v>
      </c>
      <c r="F1968" s="37" t="n">
        <f aca="false">DATE(YEAR(A1968),MONTH(A1968),1)</f>
        <v>46204</v>
      </c>
      <c r="G1968" s="24" t="str">
        <f aca="false">INDEX(Products!$C$2:$C$49,MATCH(C1968,Products!$A$2:$A$49,0))</f>
        <v>Household</v>
      </c>
      <c r="H1968" s="33" t="n">
        <f aca="false">D1968*INDEX(Products!$E$2:$E$49,MATCH(C1968,Products!$A$2:$A$49,0))</f>
        <v>7500</v>
      </c>
      <c r="I1968" s="33" t="n">
        <f aca="false">D1968*INDEX(Products!$D$2:$D$49,MATCH(C1968,Products!$A$2:$A$49,0))*(1+INDEX(Assumptions!$B$16:$B$20,MATCH(B1968,Assumptions!$A$16:$A$20,0)))</f>
        <v>5922</v>
      </c>
      <c r="J1968" s="33" t="n">
        <f aca="false">H1968-I1968</f>
        <v>1578</v>
      </c>
      <c r="K1968" s="33" t="n">
        <f aca="false">IF(OR(E1968=0,E1968&gt;=7),0,D1968/(7-E1968)*E1968*INDEX(Products!$E$2:$E$49,MATCH(C1968,Products!$A$2:$A$49,0)))</f>
        <v>0</v>
      </c>
    </row>
    <row r="1969" customFormat="false" ht="15" hidden="false" customHeight="false" outlineLevel="0" collapsed="false">
      <c r="A1969" s="36" t="n">
        <v>46237</v>
      </c>
      <c r="B1969" s="24" t="s">
        <v>62</v>
      </c>
      <c r="C1969" s="24" t="s">
        <v>175</v>
      </c>
      <c r="D1969" s="33" t="n">
        <v>92</v>
      </c>
      <c r="E1969" s="24" t="n">
        <v>0</v>
      </c>
      <c r="F1969" s="37" t="n">
        <f aca="false">DATE(YEAR(A1969),MONTH(A1969),1)</f>
        <v>46235</v>
      </c>
      <c r="G1969" s="24" t="str">
        <f aca="false">INDEX(Products!$C$2:$C$49,MATCH(C1969,Products!$A$2:$A$49,0))</f>
        <v>Household</v>
      </c>
      <c r="H1969" s="33" t="n">
        <f aca="false">D1969*INDEX(Products!$E$2:$E$49,MATCH(C1969,Products!$A$2:$A$49,0))</f>
        <v>5520</v>
      </c>
      <c r="I1969" s="33" t="n">
        <f aca="false">D1969*INDEX(Products!$D$2:$D$49,MATCH(C1969,Products!$A$2:$A$49,0))*(1+INDEX(Assumptions!$B$16:$B$20,MATCH(B1969,Assumptions!$A$16:$A$20,0)))</f>
        <v>4358.592</v>
      </c>
      <c r="J1969" s="33" t="n">
        <f aca="false">H1969-I1969</f>
        <v>1161.408</v>
      </c>
      <c r="K1969" s="33" t="n">
        <f aca="false">IF(OR(E1969=0,E1969&gt;=7),0,D1969/(7-E1969)*E1969*INDEX(Products!$E$2:$E$49,MATCH(C1969,Products!$A$2:$A$49,0)))</f>
        <v>0</v>
      </c>
    </row>
    <row r="1970" customFormat="false" ht="15" hidden="false" customHeight="false" outlineLevel="0" collapsed="false">
      <c r="A1970" s="36" t="n">
        <v>46244</v>
      </c>
      <c r="B1970" s="24" t="s">
        <v>62</v>
      </c>
      <c r="C1970" s="24" t="s">
        <v>175</v>
      </c>
      <c r="D1970" s="33" t="n">
        <v>107</v>
      </c>
      <c r="E1970" s="24" t="n">
        <v>0</v>
      </c>
      <c r="F1970" s="37" t="n">
        <f aca="false">DATE(YEAR(A1970),MONTH(A1970),1)</f>
        <v>46235</v>
      </c>
      <c r="G1970" s="24" t="str">
        <f aca="false">INDEX(Products!$C$2:$C$49,MATCH(C1970,Products!$A$2:$A$49,0))</f>
        <v>Household</v>
      </c>
      <c r="H1970" s="33" t="n">
        <f aca="false">D1970*INDEX(Products!$E$2:$E$49,MATCH(C1970,Products!$A$2:$A$49,0))</f>
        <v>6420</v>
      </c>
      <c r="I1970" s="33" t="n">
        <f aca="false">D1970*INDEX(Products!$D$2:$D$49,MATCH(C1970,Products!$A$2:$A$49,0))*(1+INDEX(Assumptions!$B$16:$B$20,MATCH(B1970,Assumptions!$A$16:$A$20,0)))</f>
        <v>5069.232</v>
      </c>
      <c r="J1970" s="33" t="n">
        <f aca="false">H1970-I1970</f>
        <v>1350.768</v>
      </c>
      <c r="K1970" s="33" t="n">
        <f aca="false">IF(OR(E1970=0,E1970&gt;=7),0,D1970/(7-E1970)*E1970*INDEX(Products!$E$2:$E$49,MATCH(C1970,Products!$A$2:$A$49,0)))</f>
        <v>0</v>
      </c>
    </row>
    <row r="1971" customFormat="false" ht="15" hidden="false" customHeight="false" outlineLevel="0" collapsed="false">
      <c r="A1971" s="36" t="n">
        <v>46251</v>
      </c>
      <c r="B1971" s="24" t="s">
        <v>62</v>
      </c>
      <c r="C1971" s="24" t="s">
        <v>175</v>
      </c>
      <c r="D1971" s="33" t="n">
        <v>115</v>
      </c>
      <c r="E1971" s="24" t="n">
        <v>0</v>
      </c>
      <c r="F1971" s="37" t="n">
        <f aca="false">DATE(YEAR(A1971),MONTH(A1971),1)</f>
        <v>46235</v>
      </c>
      <c r="G1971" s="24" t="str">
        <f aca="false">INDEX(Products!$C$2:$C$49,MATCH(C1971,Products!$A$2:$A$49,0))</f>
        <v>Household</v>
      </c>
      <c r="H1971" s="33" t="n">
        <f aca="false">D1971*INDEX(Products!$E$2:$E$49,MATCH(C1971,Products!$A$2:$A$49,0))</f>
        <v>6900</v>
      </c>
      <c r="I1971" s="33" t="n">
        <f aca="false">D1971*INDEX(Products!$D$2:$D$49,MATCH(C1971,Products!$A$2:$A$49,0))*(1+INDEX(Assumptions!$B$16:$B$20,MATCH(B1971,Assumptions!$A$16:$A$20,0)))</f>
        <v>5448.24</v>
      </c>
      <c r="J1971" s="33" t="n">
        <f aca="false">H1971-I1971</f>
        <v>1451.76</v>
      </c>
      <c r="K1971" s="33" t="n">
        <f aca="false">IF(OR(E1971=0,E1971&gt;=7),0,D1971/(7-E1971)*E1971*INDEX(Products!$E$2:$E$49,MATCH(C1971,Products!$A$2:$A$49,0)))</f>
        <v>0</v>
      </c>
    </row>
    <row r="1972" customFormat="false" ht="15" hidden="false" customHeight="false" outlineLevel="0" collapsed="false">
      <c r="A1972" s="36" t="n">
        <v>46258</v>
      </c>
      <c r="B1972" s="24" t="s">
        <v>62</v>
      </c>
      <c r="C1972" s="24" t="s">
        <v>175</v>
      </c>
      <c r="D1972" s="33" t="n">
        <v>117</v>
      </c>
      <c r="E1972" s="24" t="n">
        <v>0</v>
      </c>
      <c r="F1972" s="37" t="n">
        <f aca="false">DATE(YEAR(A1972),MONTH(A1972),1)</f>
        <v>46235</v>
      </c>
      <c r="G1972" s="24" t="str">
        <f aca="false">INDEX(Products!$C$2:$C$49,MATCH(C1972,Products!$A$2:$A$49,0))</f>
        <v>Household</v>
      </c>
      <c r="H1972" s="33" t="n">
        <f aca="false">D1972*INDEX(Products!$E$2:$E$49,MATCH(C1972,Products!$A$2:$A$49,0))</f>
        <v>7020</v>
      </c>
      <c r="I1972" s="33" t="n">
        <f aca="false">D1972*INDEX(Products!$D$2:$D$49,MATCH(C1972,Products!$A$2:$A$49,0))*(1+INDEX(Assumptions!$B$16:$B$20,MATCH(B1972,Assumptions!$A$16:$A$20,0)))</f>
        <v>5542.992</v>
      </c>
      <c r="J1972" s="33" t="n">
        <f aca="false">H1972-I1972</f>
        <v>1477.008</v>
      </c>
      <c r="K1972" s="33" t="n">
        <f aca="false">IF(OR(E1972=0,E1972&gt;=7),0,D1972/(7-E1972)*E1972*INDEX(Products!$E$2:$E$49,MATCH(C1972,Products!$A$2:$A$49,0)))</f>
        <v>0</v>
      </c>
    </row>
    <row r="1973" customFormat="false" ht="15" hidden="false" customHeight="false" outlineLevel="0" collapsed="false">
      <c r="A1973" s="36" t="n">
        <v>46265</v>
      </c>
      <c r="B1973" s="24" t="s">
        <v>62</v>
      </c>
      <c r="C1973" s="24" t="s">
        <v>175</v>
      </c>
      <c r="D1973" s="33" t="n">
        <v>127</v>
      </c>
      <c r="E1973" s="24" t="n">
        <v>0</v>
      </c>
      <c r="F1973" s="37" t="n">
        <f aca="false">DATE(YEAR(A1973),MONTH(A1973),1)</f>
        <v>46235</v>
      </c>
      <c r="G1973" s="24" t="str">
        <f aca="false">INDEX(Products!$C$2:$C$49,MATCH(C1973,Products!$A$2:$A$49,0))</f>
        <v>Household</v>
      </c>
      <c r="H1973" s="33" t="n">
        <f aca="false">D1973*INDEX(Products!$E$2:$E$49,MATCH(C1973,Products!$A$2:$A$49,0))</f>
        <v>7620</v>
      </c>
      <c r="I1973" s="33" t="n">
        <f aca="false">D1973*INDEX(Products!$D$2:$D$49,MATCH(C1973,Products!$A$2:$A$49,0))*(1+INDEX(Assumptions!$B$16:$B$20,MATCH(B1973,Assumptions!$A$16:$A$20,0)))</f>
        <v>6016.752</v>
      </c>
      <c r="J1973" s="33" t="n">
        <f aca="false">H1973-I1973</f>
        <v>1603.248</v>
      </c>
      <c r="K1973" s="33" t="n">
        <f aca="false">IF(OR(E1973=0,E1973&gt;=7),0,D1973/(7-E1973)*E1973*INDEX(Products!$E$2:$E$49,MATCH(C1973,Products!$A$2:$A$49,0)))</f>
        <v>0</v>
      </c>
    </row>
    <row r="1974" customFormat="false" ht="15" hidden="false" customHeight="false" outlineLevel="0" collapsed="false">
      <c r="A1974" s="36" t="n">
        <v>46272</v>
      </c>
      <c r="B1974" s="24" t="s">
        <v>62</v>
      </c>
      <c r="C1974" s="24" t="s">
        <v>175</v>
      </c>
      <c r="D1974" s="33" t="n">
        <v>108</v>
      </c>
      <c r="E1974" s="24" t="n">
        <v>0</v>
      </c>
      <c r="F1974" s="37" t="n">
        <f aca="false">DATE(YEAR(A1974),MONTH(A1974),1)</f>
        <v>46266</v>
      </c>
      <c r="G1974" s="24" t="str">
        <f aca="false">INDEX(Products!$C$2:$C$49,MATCH(C1974,Products!$A$2:$A$49,0))</f>
        <v>Household</v>
      </c>
      <c r="H1974" s="33" t="n">
        <f aca="false">D1974*INDEX(Products!$E$2:$E$49,MATCH(C1974,Products!$A$2:$A$49,0))</f>
        <v>6480</v>
      </c>
      <c r="I1974" s="33" t="n">
        <f aca="false">D1974*INDEX(Products!$D$2:$D$49,MATCH(C1974,Products!$A$2:$A$49,0))*(1+INDEX(Assumptions!$B$16:$B$20,MATCH(B1974,Assumptions!$A$16:$A$20,0)))</f>
        <v>5116.608</v>
      </c>
      <c r="J1974" s="33" t="n">
        <f aca="false">H1974-I1974</f>
        <v>1363.392</v>
      </c>
      <c r="K1974" s="33" t="n">
        <f aca="false">IF(OR(E1974=0,E1974&gt;=7),0,D1974/(7-E1974)*E1974*INDEX(Products!$E$2:$E$49,MATCH(C1974,Products!$A$2:$A$49,0)))</f>
        <v>0</v>
      </c>
    </row>
    <row r="1975" customFormat="false" ht="15" hidden="false" customHeight="false" outlineLevel="0" collapsed="false">
      <c r="A1975" s="36" t="n">
        <v>46279</v>
      </c>
      <c r="B1975" s="24" t="s">
        <v>62</v>
      </c>
      <c r="C1975" s="24" t="s">
        <v>175</v>
      </c>
      <c r="D1975" s="33" t="n">
        <v>117</v>
      </c>
      <c r="E1975" s="24" t="n">
        <v>0</v>
      </c>
      <c r="F1975" s="37" t="n">
        <f aca="false">DATE(YEAR(A1975),MONTH(A1975),1)</f>
        <v>46266</v>
      </c>
      <c r="G1975" s="24" t="str">
        <f aca="false">INDEX(Products!$C$2:$C$49,MATCH(C1975,Products!$A$2:$A$49,0))</f>
        <v>Household</v>
      </c>
      <c r="H1975" s="33" t="n">
        <f aca="false">D1975*INDEX(Products!$E$2:$E$49,MATCH(C1975,Products!$A$2:$A$49,0))</f>
        <v>7020</v>
      </c>
      <c r="I1975" s="33" t="n">
        <f aca="false">D1975*INDEX(Products!$D$2:$D$49,MATCH(C1975,Products!$A$2:$A$49,0))*(1+INDEX(Assumptions!$B$16:$B$20,MATCH(B1975,Assumptions!$A$16:$A$20,0)))</f>
        <v>5542.992</v>
      </c>
      <c r="J1975" s="33" t="n">
        <f aca="false">H1975-I1975</f>
        <v>1477.008</v>
      </c>
      <c r="K1975" s="33" t="n">
        <f aca="false">IF(OR(E1975=0,E1975&gt;=7),0,D1975/(7-E1975)*E1975*INDEX(Products!$E$2:$E$49,MATCH(C1975,Products!$A$2:$A$49,0)))</f>
        <v>0</v>
      </c>
    </row>
    <row r="1976" customFormat="false" ht="15" hidden="false" customHeight="false" outlineLevel="0" collapsed="false">
      <c r="A1976" s="36" t="n">
        <v>46286</v>
      </c>
      <c r="B1976" s="24" t="s">
        <v>62</v>
      </c>
      <c r="C1976" s="24" t="s">
        <v>175</v>
      </c>
      <c r="D1976" s="33" t="n">
        <v>124</v>
      </c>
      <c r="E1976" s="24" t="n">
        <v>0</v>
      </c>
      <c r="F1976" s="37" t="n">
        <f aca="false">DATE(YEAR(A1976),MONTH(A1976),1)</f>
        <v>46266</v>
      </c>
      <c r="G1976" s="24" t="str">
        <f aca="false">INDEX(Products!$C$2:$C$49,MATCH(C1976,Products!$A$2:$A$49,0))</f>
        <v>Household</v>
      </c>
      <c r="H1976" s="33" t="n">
        <f aca="false">D1976*INDEX(Products!$E$2:$E$49,MATCH(C1976,Products!$A$2:$A$49,0))</f>
        <v>7440</v>
      </c>
      <c r="I1976" s="33" t="n">
        <f aca="false">D1976*INDEX(Products!$D$2:$D$49,MATCH(C1976,Products!$A$2:$A$49,0))*(1+INDEX(Assumptions!$B$16:$B$20,MATCH(B1976,Assumptions!$A$16:$A$20,0)))</f>
        <v>5874.624</v>
      </c>
      <c r="J1976" s="33" t="n">
        <f aca="false">H1976-I1976</f>
        <v>1565.376</v>
      </c>
      <c r="K1976" s="33" t="n">
        <f aca="false">IF(OR(E1976=0,E1976&gt;=7),0,D1976/(7-E1976)*E1976*INDEX(Products!$E$2:$E$49,MATCH(C1976,Products!$A$2:$A$49,0)))</f>
        <v>0</v>
      </c>
    </row>
    <row r="1977" customFormat="false" ht="15" hidden="false" customHeight="false" outlineLevel="0" collapsed="false">
      <c r="A1977" s="36" t="n">
        <v>46118</v>
      </c>
      <c r="B1977" s="24" t="s">
        <v>62</v>
      </c>
      <c r="C1977" s="24" t="s">
        <v>177</v>
      </c>
      <c r="D1977" s="33" t="n">
        <v>55</v>
      </c>
      <c r="E1977" s="24" t="n">
        <v>0</v>
      </c>
      <c r="F1977" s="37" t="n">
        <f aca="false">DATE(YEAR(A1977),MONTH(A1977),1)</f>
        <v>46113</v>
      </c>
      <c r="G1977" s="24" t="str">
        <f aca="false">INDEX(Products!$C$2:$C$49,MATCH(C1977,Products!$A$2:$A$49,0))</f>
        <v>Household</v>
      </c>
      <c r="H1977" s="33" t="n">
        <f aca="false">D1977*INDEX(Products!$E$2:$E$49,MATCH(C1977,Products!$A$2:$A$49,0))</f>
        <v>5500</v>
      </c>
      <c r="I1977" s="33" t="n">
        <f aca="false">D1977*INDEX(Products!$D$2:$D$49,MATCH(C1977,Products!$A$2:$A$49,0))*(1+INDEX(Assumptions!$B$16:$B$20,MATCH(B1977,Assumptions!$A$16:$A$20,0)))</f>
        <v>3880.8</v>
      </c>
      <c r="J1977" s="33" t="n">
        <f aca="false">H1977-I1977</f>
        <v>1619.2</v>
      </c>
      <c r="K1977" s="33" t="n">
        <f aca="false">IF(OR(E1977=0,E1977&gt;=7),0,D1977/(7-E1977)*E1977*INDEX(Products!$E$2:$E$49,MATCH(C1977,Products!$A$2:$A$49,0)))</f>
        <v>0</v>
      </c>
    </row>
    <row r="1978" customFormat="false" ht="15" hidden="false" customHeight="false" outlineLevel="0" collapsed="false">
      <c r="A1978" s="36" t="n">
        <v>46125</v>
      </c>
      <c r="B1978" s="24" t="s">
        <v>62</v>
      </c>
      <c r="C1978" s="24" t="s">
        <v>177</v>
      </c>
      <c r="D1978" s="33" t="n">
        <v>49</v>
      </c>
      <c r="E1978" s="24" t="n">
        <v>0</v>
      </c>
      <c r="F1978" s="37" t="n">
        <f aca="false">DATE(YEAR(A1978),MONTH(A1978),1)</f>
        <v>46113</v>
      </c>
      <c r="G1978" s="24" t="str">
        <f aca="false">INDEX(Products!$C$2:$C$49,MATCH(C1978,Products!$A$2:$A$49,0))</f>
        <v>Household</v>
      </c>
      <c r="H1978" s="33" t="n">
        <f aca="false">D1978*INDEX(Products!$E$2:$E$49,MATCH(C1978,Products!$A$2:$A$49,0))</f>
        <v>4900</v>
      </c>
      <c r="I1978" s="33" t="n">
        <f aca="false">D1978*INDEX(Products!$D$2:$D$49,MATCH(C1978,Products!$A$2:$A$49,0))*(1+INDEX(Assumptions!$B$16:$B$20,MATCH(B1978,Assumptions!$A$16:$A$20,0)))</f>
        <v>3457.44</v>
      </c>
      <c r="J1978" s="33" t="n">
        <f aca="false">H1978-I1978</f>
        <v>1442.56</v>
      </c>
      <c r="K1978" s="33" t="n">
        <f aca="false">IF(OR(E1978=0,E1978&gt;=7),0,D1978/(7-E1978)*E1978*INDEX(Products!$E$2:$E$49,MATCH(C1978,Products!$A$2:$A$49,0)))</f>
        <v>0</v>
      </c>
    </row>
    <row r="1979" customFormat="false" ht="15" hidden="false" customHeight="false" outlineLevel="0" collapsed="false">
      <c r="A1979" s="36" t="n">
        <v>46132</v>
      </c>
      <c r="B1979" s="24" t="s">
        <v>62</v>
      </c>
      <c r="C1979" s="24" t="s">
        <v>177</v>
      </c>
      <c r="D1979" s="33" t="n">
        <v>52</v>
      </c>
      <c r="E1979" s="24" t="n">
        <v>0</v>
      </c>
      <c r="F1979" s="37" t="n">
        <f aca="false">DATE(YEAR(A1979),MONTH(A1979),1)</f>
        <v>46113</v>
      </c>
      <c r="G1979" s="24" t="str">
        <f aca="false">INDEX(Products!$C$2:$C$49,MATCH(C1979,Products!$A$2:$A$49,0))</f>
        <v>Household</v>
      </c>
      <c r="H1979" s="33" t="n">
        <f aca="false">D1979*INDEX(Products!$E$2:$E$49,MATCH(C1979,Products!$A$2:$A$49,0))</f>
        <v>5200</v>
      </c>
      <c r="I1979" s="33" t="n">
        <f aca="false">D1979*INDEX(Products!$D$2:$D$49,MATCH(C1979,Products!$A$2:$A$49,0))*(1+INDEX(Assumptions!$B$16:$B$20,MATCH(B1979,Assumptions!$A$16:$A$20,0)))</f>
        <v>3669.12</v>
      </c>
      <c r="J1979" s="33" t="n">
        <f aca="false">H1979-I1979</f>
        <v>1530.88</v>
      </c>
      <c r="K1979" s="33" t="n">
        <f aca="false">IF(OR(E1979=0,E1979&gt;=7),0,D1979/(7-E1979)*E1979*INDEX(Products!$E$2:$E$49,MATCH(C1979,Products!$A$2:$A$49,0)))</f>
        <v>0</v>
      </c>
    </row>
    <row r="1980" customFormat="false" ht="15" hidden="false" customHeight="false" outlineLevel="0" collapsed="false">
      <c r="A1980" s="36" t="n">
        <v>46139</v>
      </c>
      <c r="B1980" s="24" t="s">
        <v>62</v>
      </c>
      <c r="C1980" s="24" t="s">
        <v>177</v>
      </c>
      <c r="D1980" s="33" t="n">
        <v>72</v>
      </c>
      <c r="E1980" s="24" t="n">
        <v>0</v>
      </c>
      <c r="F1980" s="37" t="n">
        <f aca="false">DATE(YEAR(A1980),MONTH(A1980),1)</f>
        <v>46113</v>
      </c>
      <c r="G1980" s="24" t="str">
        <f aca="false">INDEX(Products!$C$2:$C$49,MATCH(C1980,Products!$A$2:$A$49,0))</f>
        <v>Household</v>
      </c>
      <c r="H1980" s="33" t="n">
        <f aca="false">D1980*INDEX(Products!$E$2:$E$49,MATCH(C1980,Products!$A$2:$A$49,0))</f>
        <v>7200</v>
      </c>
      <c r="I1980" s="33" t="n">
        <f aca="false">D1980*INDEX(Products!$D$2:$D$49,MATCH(C1980,Products!$A$2:$A$49,0))*(1+INDEX(Assumptions!$B$16:$B$20,MATCH(B1980,Assumptions!$A$16:$A$20,0)))</f>
        <v>5080.32</v>
      </c>
      <c r="J1980" s="33" t="n">
        <f aca="false">H1980-I1980</f>
        <v>2119.68</v>
      </c>
      <c r="K1980" s="33" t="n">
        <f aca="false">IF(OR(E1980=0,E1980&gt;=7),0,D1980/(7-E1980)*E1980*INDEX(Products!$E$2:$E$49,MATCH(C1980,Products!$A$2:$A$49,0)))</f>
        <v>0</v>
      </c>
    </row>
    <row r="1981" customFormat="false" ht="15" hidden="false" customHeight="false" outlineLevel="0" collapsed="false">
      <c r="A1981" s="36" t="n">
        <v>46146</v>
      </c>
      <c r="B1981" s="24" t="s">
        <v>62</v>
      </c>
      <c r="C1981" s="24" t="s">
        <v>177</v>
      </c>
      <c r="D1981" s="33" t="n">
        <v>69</v>
      </c>
      <c r="E1981" s="24" t="n">
        <v>0</v>
      </c>
      <c r="F1981" s="37" t="n">
        <f aca="false">DATE(YEAR(A1981),MONTH(A1981),1)</f>
        <v>46143</v>
      </c>
      <c r="G1981" s="24" t="str">
        <f aca="false">INDEX(Products!$C$2:$C$49,MATCH(C1981,Products!$A$2:$A$49,0))</f>
        <v>Household</v>
      </c>
      <c r="H1981" s="33" t="n">
        <f aca="false">D1981*INDEX(Products!$E$2:$E$49,MATCH(C1981,Products!$A$2:$A$49,0))</f>
        <v>6900</v>
      </c>
      <c r="I1981" s="33" t="n">
        <f aca="false">D1981*INDEX(Products!$D$2:$D$49,MATCH(C1981,Products!$A$2:$A$49,0))*(1+INDEX(Assumptions!$B$16:$B$20,MATCH(B1981,Assumptions!$A$16:$A$20,0)))</f>
        <v>4868.64</v>
      </c>
      <c r="J1981" s="33" t="n">
        <f aca="false">H1981-I1981</f>
        <v>2031.36</v>
      </c>
      <c r="K1981" s="33" t="n">
        <f aca="false">IF(OR(E1981=0,E1981&gt;=7),0,D1981/(7-E1981)*E1981*INDEX(Products!$E$2:$E$49,MATCH(C1981,Products!$A$2:$A$49,0)))</f>
        <v>0</v>
      </c>
    </row>
    <row r="1982" customFormat="false" ht="15" hidden="false" customHeight="false" outlineLevel="0" collapsed="false">
      <c r="A1982" s="36" t="n">
        <v>46153</v>
      </c>
      <c r="B1982" s="24" t="s">
        <v>62</v>
      </c>
      <c r="C1982" s="24" t="s">
        <v>177</v>
      </c>
      <c r="D1982" s="33" t="n">
        <v>54</v>
      </c>
      <c r="E1982" s="24" t="n">
        <v>0</v>
      </c>
      <c r="F1982" s="37" t="n">
        <f aca="false">DATE(YEAR(A1982),MONTH(A1982),1)</f>
        <v>46143</v>
      </c>
      <c r="G1982" s="24" t="str">
        <f aca="false">INDEX(Products!$C$2:$C$49,MATCH(C1982,Products!$A$2:$A$49,0))</f>
        <v>Household</v>
      </c>
      <c r="H1982" s="33" t="n">
        <f aca="false">D1982*INDEX(Products!$E$2:$E$49,MATCH(C1982,Products!$A$2:$A$49,0))</f>
        <v>5400</v>
      </c>
      <c r="I1982" s="33" t="n">
        <f aca="false">D1982*INDEX(Products!$D$2:$D$49,MATCH(C1982,Products!$A$2:$A$49,0))*(1+INDEX(Assumptions!$B$16:$B$20,MATCH(B1982,Assumptions!$A$16:$A$20,0)))</f>
        <v>3810.24</v>
      </c>
      <c r="J1982" s="33" t="n">
        <f aca="false">H1982-I1982</f>
        <v>1589.76</v>
      </c>
      <c r="K1982" s="33" t="n">
        <f aca="false">IF(OR(E1982=0,E1982&gt;=7),0,D1982/(7-E1982)*E1982*INDEX(Products!$E$2:$E$49,MATCH(C1982,Products!$A$2:$A$49,0)))</f>
        <v>0</v>
      </c>
    </row>
    <row r="1983" customFormat="false" ht="15" hidden="false" customHeight="false" outlineLevel="0" collapsed="false">
      <c r="A1983" s="36" t="n">
        <v>46160</v>
      </c>
      <c r="B1983" s="24" t="s">
        <v>62</v>
      </c>
      <c r="C1983" s="24" t="s">
        <v>177</v>
      </c>
      <c r="D1983" s="33" t="n">
        <v>62</v>
      </c>
      <c r="E1983" s="24" t="n">
        <v>0</v>
      </c>
      <c r="F1983" s="37" t="n">
        <f aca="false">DATE(YEAR(A1983),MONTH(A1983),1)</f>
        <v>46143</v>
      </c>
      <c r="G1983" s="24" t="str">
        <f aca="false">INDEX(Products!$C$2:$C$49,MATCH(C1983,Products!$A$2:$A$49,0))</f>
        <v>Household</v>
      </c>
      <c r="H1983" s="33" t="n">
        <f aca="false">D1983*INDEX(Products!$E$2:$E$49,MATCH(C1983,Products!$A$2:$A$49,0))</f>
        <v>6200</v>
      </c>
      <c r="I1983" s="33" t="n">
        <f aca="false">D1983*INDEX(Products!$D$2:$D$49,MATCH(C1983,Products!$A$2:$A$49,0))*(1+INDEX(Assumptions!$B$16:$B$20,MATCH(B1983,Assumptions!$A$16:$A$20,0)))</f>
        <v>4374.72</v>
      </c>
      <c r="J1983" s="33" t="n">
        <f aca="false">H1983-I1983</f>
        <v>1825.28</v>
      </c>
      <c r="K1983" s="33" t="n">
        <f aca="false">IF(OR(E1983=0,E1983&gt;=7),0,D1983/(7-E1983)*E1983*INDEX(Products!$E$2:$E$49,MATCH(C1983,Products!$A$2:$A$49,0)))</f>
        <v>0</v>
      </c>
    </row>
    <row r="1984" customFormat="false" ht="15" hidden="false" customHeight="false" outlineLevel="0" collapsed="false">
      <c r="A1984" s="36" t="n">
        <v>46167</v>
      </c>
      <c r="B1984" s="24" t="s">
        <v>62</v>
      </c>
      <c r="C1984" s="24" t="s">
        <v>177</v>
      </c>
      <c r="D1984" s="33" t="n">
        <v>58</v>
      </c>
      <c r="E1984" s="24" t="n">
        <v>0</v>
      </c>
      <c r="F1984" s="37" t="n">
        <f aca="false">DATE(YEAR(A1984),MONTH(A1984),1)</f>
        <v>46143</v>
      </c>
      <c r="G1984" s="24" t="str">
        <f aca="false">INDEX(Products!$C$2:$C$49,MATCH(C1984,Products!$A$2:$A$49,0))</f>
        <v>Household</v>
      </c>
      <c r="H1984" s="33" t="n">
        <f aca="false">D1984*INDEX(Products!$E$2:$E$49,MATCH(C1984,Products!$A$2:$A$49,0))</f>
        <v>5800</v>
      </c>
      <c r="I1984" s="33" t="n">
        <f aca="false">D1984*INDEX(Products!$D$2:$D$49,MATCH(C1984,Products!$A$2:$A$49,0))*(1+INDEX(Assumptions!$B$16:$B$20,MATCH(B1984,Assumptions!$A$16:$A$20,0)))</f>
        <v>4092.48</v>
      </c>
      <c r="J1984" s="33" t="n">
        <f aca="false">H1984-I1984</f>
        <v>1707.52</v>
      </c>
      <c r="K1984" s="33" t="n">
        <f aca="false">IF(OR(E1984=0,E1984&gt;=7),0,D1984/(7-E1984)*E1984*INDEX(Products!$E$2:$E$49,MATCH(C1984,Products!$A$2:$A$49,0)))</f>
        <v>0</v>
      </c>
    </row>
    <row r="1985" customFormat="false" ht="15" hidden="false" customHeight="false" outlineLevel="0" collapsed="false">
      <c r="A1985" s="36" t="n">
        <v>46174</v>
      </c>
      <c r="B1985" s="24" t="s">
        <v>62</v>
      </c>
      <c r="C1985" s="24" t="s">
        <v>177</v>
      </c>
      <c r="D1985" s="33" t="n">
        <v>44</v>
      </c>
      <c r="E1985" s="24" t="n">
        <v>0</v>
      </c>
      <c r="F1985" s="37" t="n">
        <f aca="false">DATE(YEAR(A1985),MONTH(A1985),1)</f>
        <v>46174</v>
      </c>
      <c r="G1985" s="24" t="str">
        <f aca="false">INDEX(Products!$C$2:$C$49,MATCH(C1985,Products!$A$2:$A$49,0))</f>
        <v>Household</v>
      </c>
      <c r="H1985" s="33" t="n">
        <f aca="false">D1985*INDEX(Products!$E$2:$E$49,MATCH(C1985,Products!$A$2:$A$49,0))</f>
        <v>4400</v>
      </c>
      <c r="I1985" s="33" t="n">
        <f aca="false">D1985*INDEX(Products!$D$2:$D$49,MATCH(C1985,Products!$A$2:$A$49,0))*(1+INDEX(Assumptions!$B$16:$B$20,MATCH(B1985,Assumptions!$A$16:$A$20,0)))</f>
        <v>3104.64</v>
      </c>
      <c r="J1985" s="33" t="n">
        <f aca="false">H1985-I1985</f>
        <v>1295.36</v>
      </c>
      <c r="K1985" s="33" t="n">
        <f aca="false">IF(OR(E1985=0,E1985&gt;=7),0,D1985/(7-E1985)*E1985*INDEX(Products!$E$2:$E$49,MATCH(C1985,Products!$A$2:$A$49,0)))</f>
        <v>0</v>
      </c>
    </row>
    <row r="1986" customFormat="false" ht="15" hidden="false" customHeight="false" outlineLevel="0" collapsed="false">
      <c r="A1986" s="36" t="n">
        <v>46181</v>
      </c>
      <c r="B1986" s="24" t="s">
        <v>62</v>
      </c>
      <c r="C1986" s="24" t="s">
        <v>177</v>
      </c>
      <c r="D1986" s="33" t="n">
        <v>42</v>
      </c>
      <c r="E1986" s="24" t="n">
        <v>0</v>
      </c>
      <c r="F1986" s="37" t="n">
        <f aca="false">DATE(YEAR(A1986),MONTH(A1986),1)</f>
        <v>46174</v>
      </c>
      <c r="G1986" s="24" t="str">
        <f aca="false">INDEX(Products!$C$2:$C$49,MATCH(C1986,Products!$A$2:$A$49,0))</f>
        <v>Household</v>
      </c>
      <c r="H1986" s="33" t="n">
        <f aca="false">D1986*INDEX(Products!$E$2:$E$49,MATCH(C1986,Products!$A$2:$A$49,0))</f>
        <v>4200</v>
      </c>
      <c r="I1986" s="33" t="n">
        <f aca="false">D1986*INDEX(Products!$D$2:$D$49,MATCH(C1986,Products!$A$2:$A$49,0))*(1+INDEX(Assumptions!$B$16:$B$20,MATCH(B1986,Assumptions!$A$16:$A$20,0)))</f>
        <v>2963.52</v>
      </c>
      <c r="J1986" s="33" t="n">
        <f aca="false">H1986-I1986</f>
        <v>1236.48</v>
      </c>
      <c r="K1986" s="33" t="n">
        <f aca="false">IF(OR(E1986=0,E1986&gt;=7),0,D1986/(7-E1986)*E1986*INDEX(Products!$E$2:$E$49,MATCH(C1986,Products!$A$2:$A$49,0)))</f>
        <v>0</v>
      </c>
    </row>
    <row r="1987" customFormat="false" ht="15" hidden="false" customHeight="false" outlineLevel="0" collapsed="false">
      <c r="A1987" s="36" t="n">
        <v>46188</v>
      </c>
      <c r="B1987" s="24" t="s">
        <v>62</v>
      </c>
      <c r="C1987" s="24" t="s">
        <v>177</v>
      </c>
      <c r="D1987" s="33" t="n">
        <v>59</v>
      </c>
      <c r="E1987" s="24" t="n">
        <v>0</v>
      </c>
      <c r="F1987" s="37" t="n">
        <f aca="false">DATE(YEAR(A1987),MONTH(A1987),1)</f>
        <v>46174</v>
      </c>
      <c r="G1987" s="24" t="str">
        <f aca="false">INDEX(Products!$C$2:$C$49,MATCH(C1987,Products!$A$2:$A$49,0))</f>
        <v>Household</v>
      </c>
      <c r="H1987" s="33" t="n">
        <f aca="false">D1987*INDEX(Products!$E$2:$E$49,MATCH(C1987,Products!$A$2:$A$49,0))</f>
        <v>5900</v>
      </c>
      <c r="I1987" s="33" t="n">
        <f aca="false">D1987*INDEX(Products!$D$2:$D$49,MATCH(C1987,Products!$A$2:$A$49,0))*(1+INDEX(Assumptions!$B$16:$B$20,MATCH(B1987,Assumptions!$A$16:$A$20,0)))</f>
        <v>4163.04</v>
      </c>
      <c r="J1987" s="33" t="n">
        <f aca="false">H1987-I1987</f>
        <v>1736.96</v>
      </c>
      <c r="K1987" s="33" t="n">
        <f aca="false">IF(OR(E1987=0,E1987&gt;=7),0,D1987/(7-E1987)*E1987*INDEX(Products!$E$2:$E$49,MATCH(C1987,Products!$A$2:$A$49,0)))</f>
        <v>0</v>
      </c>
    </row>
    <row r="1988" customFormat="false" ht="15" hidden="false" customHeight="false" outlineLevel="0" collapsed="false">
      <c r="A1988" s="36" t="n">
        <v>46195</v>
      </c>
      <c r="B1988" s="24" t="s">
        <v>62</v>
      </c>
      <c r="C1988" s="24" t="s">
        <v>177</v>
      </c>
      <c r="D1988" s="33" t="n">
        <v>42</v>
      </c>
      <c r="E1988" s="24" t="n">
        <v>0</v>
      </c>
      <c r="F1988" s="37" t="n">
        <f aca="false">DATE(YEAR(A1988),MONTH(A1988),1)</f>
        <v>46174</v>
      </c>
      <c r="G1988" s="24" t="str">
        <f aca="false">INDEX(Products!$C$2:$C$49,MATCH(C1988,Products!$A$2:$A$49,0))</f>
        <v>Household</v>
      </c>
      <c r="H1988" s="33" t="n">
        <f aca="false">D1988*INDEX(Products!$E$2:$E$49,MATCH(C1988,Products!$A$2:$A$49,0))</f>
        <v>4200</v>
      </c>
      <c r="I1988" s="33" t="n">
        <f aca="false">D1988*INDEX(Products!$D$2:$D$49,MATCH(C1988,Products!$A$2:$A$49,0))*(1+INDEX(Assumptions!$B$16:$B$20,MATCH(B1988,Assumptions!$A$16:$A$20,0)))</f>
        <v>2963.52</v>
      </c>
      <c r="J1988" s="33" t="n">
        <f aca="false">H1988-I1988</f>
        <v>1236.48</v>
      </c>
      <c r="K1988" s="33" t="n">
        <f aca="false">IF(OR(E1988=0,E1988&gt;=7),0,D1988/(7-E1988)*E1988*INDEX(Products!$E$2:$E$49,MATCH(C1988,Products!$A$2:$A$49,0)))</f>
        <v>0</v>
      </c>
    </row>
    <row r="1989" customFormat="false" ht="15" hidden="false" customHeight="false" outlineLevel="0" collapsed="false">
      <c r="A1989" s="36" t="n">
        <v>46202</v>
      </c>
      <c r="B1989" s="24" t="s">
        <v>62</v>
      </c>
      <c r="C1989" s="24" t="s">
        <v>177</v>
      </c>
      <c r="D1989" s="33" t="n">
        <v>54</v>
      </c>
      <c r="E1989" s="24" t="n">
        <v>0</v>
      </c>
      <c r="F1989" s="37" t="n">
        <f aca="false">DATE(YEAR(A1989),MONTH(A1989),1)</f>
        <v>46174</v>
      </c>
      <c r="G1989" s="24" t="str">
        <f aca="false">INDEX(Products!$C$2:$C$49,MATCH(C1989,Products!$A$2:$A$49,0))</f>
        <v>Household</v>
      </c>
      <c r="H1989" s="33" t="n">
        <f aca="false">D1989*INDEX(Products!$E$2:$E$49,MATCH(C1989,Products!$A$2:$A$49,0))</f>
        <v>5400</v>
      </c>
      <c r="I1989" s="33" t="n">
        <f aca="false">D1989*INDEX(Products!$D$2:$D$49,MATCH(C1989,Products!$A$2:$A$49,0))*(1+INDEX(Assumptions!$B$16:$B$20,MATCH(B1989,Assumptions!$A$16:$A$20,0)))</f>
        <v>3810.24</v>
      </c>
      <c r="J1989" s="33" t="n">
        <f aca="false">H1989-I1989</f>
        <v>1589.76</v>
      </c>
      <c r="K1989" s="33" t="n">
        <f aca="false">IF(OR(E1989=0,E1989&gt;=7),0,D1989/(7-E1989)*E1989*INDEX(Products!$E$2:$E$49,MATCH(C1989,Products!$A$2:$A$49,0)))</f>
        <v>0</v>
      </c>
    </row>
    <row r="1990" customFormat="false" ht="15" hidden="false" customHeight="false" outlineLevel="0" collapsed="false">
      <c r="A1990" s="36" t="n">
        <v>46209</v>
      </c>
      <c r="B1990" s="24" t="s">
        <v>62</v>
      </c>
      <c r="C1990" s="24" t="s">
        <v>177</v>
      </c>
      <c r="D1990" s="33" t="n">
        <v>43</v>
      </c>
      <c r="E1990" s="24" t="n">
        <v>0</v>
      </c>
      <c r="F1990" s="37" t="n">
        <f aca="false">DATE(YEAR(A1990),MONTH(A1990),1)</f>
        <v>46204</v>
      </c>
      <c r="G1990" s="24" t="str">
        <f aca="false">INDEX(Products!$C$2:$C$49,MATCH(C1990,Products!$A$2:$A$49,0))</f>
        <v>Household</v>
      </c>
      <c r="H1990" s="33" t="n">
        <f aca="false">D1990*INDEX(Products!$E$2:$E$49,MATCH(C1990,Products!$A$2:$A$49,0))</f>
        <v>4300</v>
      </c>
      <c r="I1990" s="33" t="n">
        <f aca="false">D1990*INDEX(Products!$D$2:$D$49,MATCH(C1990,Products!$A$2:$A$49,0))*(1+INDEX(Assumptions!$B$16:$B$20,MATCH(B1990,Assumptions!$A$16:$A$20,0)))</f>
        <v>3034.08</v>
      </c>
      <c r="J1990" s="33" t="n">
        <f aca="false">H1990-I1990</f>
        <v>1265.92</v>
      </c>
      <c r="K1990" s="33" t="n">
        <f aca="false">IF(OR(E1990=0,E1990&gt;=7),0,D1990/(7-E1990)*E1990*INDEX(Products!$E$2:$E$49,MATCH(C1990,Products!$A$2:$A$49,0)))</f>
        <v>0</v>
      </c>
    </row>
    <row r="1991" customFormat="false" ht="15" hidden="false" customHeight="false" outlineLevel="0" collapsed="false">
      <c r="A1991" s="36" t="n">
        <v>46216</v>
      </c>
      <c r="B1991" s="24" t="s">
        <v>62</v>
      </c>
      <c r="C1991" s="24" t="s">
        <v>177</v>
      </c>
      <c r="D1991" s="33" t="n">
        <v>45</v>
      </c>
      <c r="E1991" s="24" t="n">
        <v>0</v>
      </c>
      <c r="F1991" s="37" t="n">
        <f aca="false">DATE(YEAR(A1991),MONTH(A1991),1)</f>
        <v>46204</v>
      </c>
      <c r="G1991" s="24" t="str">
        <f aca="false">INDEX(Products!$C$2:$C$49,MATCH(C1991,Products!$A$2:$A$49,0))</f>
        <v>Household</v>
      </c>
      <c r="H1991" s="33" t="n">
        <f aca="false">D1991*INDEX(Products!$E$2:$E$49,MATCH(C1991,Products!$A$2:$A$49,0))</f>
        <v>4500</v>
      </c>
      <c r="I1991" s="33" t="n">
        <f aca="false">D1991*INDEX(Products!$D$2:$D$49,MATCH(C1991,Products!$A$2:$A$49,0))*(1+INDEX(Assumptions!$B$16:$B$20,MATCH(B1991,Assumptions!$A$16:$A$20,0)))</f>
        <v>3175.2</v>
      </c>
      <c r="J1991" s="33" t="n">
        <f aca="false">H1991-I1991</f>
        <v>1324.8</v>
      </c>
      <c r="K1991" s="33" t="n">
        <f aca="false">IF(OR(E1991=0,E1991&gt;=7),0,D1991/(7-E1991)*E1991*INDEX(Products!$E$2:$E$49,MATCH(C1991,Products!$A$2:$A$49,0)))</f>
        <v>0</v>
      </c>
    </row>
    <row r="1992" customFormat="false" ht="15" hidden="false" customHeight="false" outlineLevel="0" collapsed="false">
      <c r="A1992" s="36" t="n">
        <v>46223</v>
      </c>
      <c r="B1992" s="24" t="s">
        <v>62</v>
      </c>
      <c r="C1992" s="24" t="s">
        <v>177</v>
      </c>
      <c r="D1992" s="33" t="n">
        <v>56</v>
      </c>
      <c r="E1992" s="24" t="n">
        <v>0</v>
      </c>
      <c r="F1992" s="37" t="n">
        <f aca="false">DATE(YEAR(A1992),MONTH(A1992),1)</f>
        <v>46204</v>
      </c>
      <c r="G1992" s="24" t="str">
        <f aca="false">INDEX(Products!$C$2:$C$49,MATCH(C1992,Products!$A$2:$A$49,0))</f>
        <v>Household</v>
      </c>
      <c r="H1992" s="33" t="n">
        <f aca="false">D1992*INDEX(Products!$E$2:$E$49,MATCH(C1992,Products!$A$2:$A$49,0))</f>
        <v>5600</v>
      </c>
      <c r="I1992" s="33" t="n">
        <f aca="false">D1992*INDEX(Products!$D$2:$D$49,MATCH(C1992,Products!$A$2:$A$49,0))*(1+INDEX(Assumptions!$B$16:$B$20,MATCH(B1992,Assumptions!$A$16:$A$20,0)))</f>
        <v>3951.36</v>
      </c>
      <c r="J1992" s="33" t="n">
        <f aca="false">H1992-I1992</f>
        <v>1648.64</v>
      </c>
      <c r="K1992" s="33" t="n">
        <f aca="false">IF(OR(E1992=0,E1992&gt;=7),0,D1992/(7-E1992)*E1992*INDEX(Products!$E$2:$E$49,MATCH(C1992,Products!$A$2:$A$49,0)))</f>
        <v>0</v>
      </c>
    </row>
    <row r="1993" customFormat="false" ht="15" hidden="false" customHeight="false" outlineLevel="0" collapsed="false">
      <c r="A1993" s="36" t="n">
        <v>46230</v>
      </c>
      <c r="B1993" s="24" t="s">
        <v>62</v>
      </c>
      <c r="C1993" s="24" t="s">
        <v>177</v>
      </c>
      <c r="D1993" s="33" t="n">
        <v>65</v>
      </c>
      <c r="E1993" s="24" t="n">
        <v>0</v>
      </c>
      <c r="F1993" s="37" t="n">
        <f aca="false">DATE(YEAR(A1993),MONTH(A1993),1)</f>
        <v>46204</v>
      </c>
      <c r="G1993" s="24" t="str">
        <f aca="false">INDEX(Products!$C$2:$C$49,MATCH(C1993,Products!$A$2:$A$49,0))</f>
        <v>Household</v>
      </c>
      <c r="H1993" s="33" t="n">
        <f aca="false">D1993*INDEX(Products!$E$2:$E$49,MATCH(C1993,Products!$A$2:$A$49,0))</f>
        <v>6500</v>
      </c>
      <c r="I1993" s="33" t="n">
        <f aca="false">D1993*INDEX(Products!$D$2:$D$49,MATCH(C1993,Products!$A$2:$A$49,0))*(1+INDEX(Assumptions!$B$16:$B$20,MATCH(B1993,Assumptions!$A$16:$A$20,0)))</f>
        <v>4586.4</v>
      </c>
      <c r="J1993" s="33" t="n">
        <f aca="false">H1993-I1993</f>
        <v>1913.6</v>
      </c>
      <c r="K1993" s="33" t="n">
        <f aca="false">IF(OR(E1993=0,E1993&gt;=7),0,D1993/(7-E1993)*E1993*INDEX(Products!$E$2:$E$49,MATCH(C1993,Products!$A$2:$A$49,0)))</f>
        <v>0</v>
      </c>
    </row>
    <row r="1994" customFormat="false" ht="15" hidden="false" customHeight="false" outlineLevel="0" collapsed="false">
      <c r="A1994" s="36" t="n">
        <v>46237</v>
      </c>
      <c r="B1994" s="24" t="s">
        <v>62</v>
      </c>
      <c r="C1994" s="24" t="s">
        <v>177</v>
      </c>
      <c r="D1994" s="33" t="n">
        <v>43</v>
      </c>
      <c r="E1994" s="24" t="n">
        <v>0</v>
      </c>
      <c r="F1994" s="37" t="n">
        <f aca="false">DATE(YEAR(A1994),MONTH(A1994),1)</f>
        <v>46235</v>
      </c>
      <c r="G1994" s="24" t="str">
        <f aca="false">INDEX(Products!$C$2:$C$49,MATCH(C1994,Products!$A$2:$A$49,0))</f>
        <v>Household</v>
      </c>
      <c r="H1994" s="33" t="n">
        <f aca="false">D1994*INDEX(Products!$E$2:$E$49,MATCH(C1994,Products!$A$2:$A$49,0))</f>
        <v>4300</v>
      </c>
      <c r="I1994" s="33" t="n">
        <f aca="false">D1994*INDEX(Products!$D$2:$D$49,MATCH(C1994,Products!$A$2:$A$49,0))*(1+INDEX(Assumptions!$B$16:$B$20,MATCH(B1994,Assumptions!$A$16:$A$20,0)))</f>
        <v>3034.08</v>
      </c>
      <c r="J1994" s="33" t="n">
        <f aca="false">H1994-I1994</f>
        <v>1265.92</v>
      </c>
      <c r="K1994" s="33" t="n">
        <f aca="false">IF(OR(E1994=0,E1994&gt;=7),0,D1994/(7-E1994)*E1994*INDEX(Products!$E$2:$E$49,MATCH(C1994,Products!$A$2:$A$49,0)))</f>
        <v>0</v>
      </c>
    </row>
    <row r="1995" customFormat="false" ht="15" hidden="false" customHeight="false" outlineLevel="0" collapsed="false">
      <c r="A1995" s="36" t="n">
        <v>46244</v>
      </c>
      <c r="B1995" s="24" t="s">
        <v>62</v>
      </c>
      <c r="C1995" s="24" t="s">
        <v>177</v>
      </c>
      <c r="D1995" s="33" t="n">
        <v>42</v>
      </c>
      <c r="E1995" s="24" t="n">
        <v>0</v>
      </c>
      <c r="F1995" s="37" t="n">
        <f aca="false">DATE(YEAR(A1995),MONTH(A1995),1)</f>
        <v>46235</v>
      </c>
      <c r="G1995" s="24" t="str">
        <f aca="false">INDEX(Products!$C$2:$C$49,MATCH(C1995,Products!$A$2:$A$49,0))</f>
        <v>Household</v>
      </c>
      <c r="H1995" s="33" t="n">
        <f aca="false">D1995*INDEX(Products!$E$2:$E$49,MATCH(C1995,Products!$A$2:$A$49,0))</f>
        <v>4200</v>
      </c>
      <c r="I1995" s="33" t="n">
        <f aca="false">D1995*INDEX(Products!$D$2:$D$49,MATCH(C1995,Products!$A$2:$A$49,0))*(1+INDEX(Assumptions!$B$16:$B$20,MATCH(B1995,Assumptions!$A$16:$A$20,0)))</f>
        <v>2963.52</v>
      </c>
      <c r="J1995" s="33" t="n">
        <f aca="false">H1995-I1995</f>
        <v>1236.48</v>
      </c>
      <c r="K1995" s="33" t="n">
        <f aca="false">IF(OR(E1995=0,E1995&gt;=7),0,D1995/(7-E1995)*E1995*INDEX(Products!$E$2:$E$49,MATCH(C1995,Products!$A$2:$A$49,0)))</f>
        <v>0</v>
      </c>
    </row>
    <row r="1996" customFormat="false" ht="15" hidden="false" customHeight="false" outlineLevel="0" collapsed="false">
      <c r="A1996" s="36" t="n">
        <v>46251</v>
      </c>
      <c r="B1996" s="24" t="s">
        <v>62</v>
      </c>
      <c r="C1996" s="24" t="s">
        <v>177</v>
      </c>
      <c r="D1996" s="33" t="n">
        <v>47</v>
      </c>
      <c r="E1996" s="24" t="n">
        <v>0</v>
      </c>
      <c r="F1996" s="37" t="n">
        <f aca="false">DATE(YEAR(A1996),MONTH(A1996),1)</f>
        <v>46235</v>
      </c>
      <c r="G1996" s="24" t="str">
        <f aca="false">INDEX(Products!$C$2:$C$49,MATCH(C1996,Products!$A$2:$A$49,0))</f>
        <v>Household</v>
      </c>
      <c r="H1996" s="33" t="n">
        <f aca="false">D1996*INDEX(Products!$E$2:$E$49,MATCH(C1996,Products!$A$2:$A$49,0))</f>
        <v>4700</v>
      </c>
      <c r="I1996" s="33" t="n">
        <f aca="false">D1996*INDEX(Products!$D$2:$D$49,MATCH(C1996,Products!$A$2:$A$49,0))*(1+INDEX(Assumptions!$B$16:$B$20,MATCH(B1996,Assumptions!$A$16:$A$20,0)))</f>
        <v>3316.32</v>
      </c>
      <c r="J1996" s="33" t="n">
        <f aca="false">H1996-I1996</f>
        <v>1383.68</v>
      </c>
      <c r="K1996" s="33" t="n">
        <f aca="false">IF(OR(E1996=0,E1996&gt;=7),0,D1996/(7-E1996)*E1996*INDEX(Products!$E$2:$E$49,MATCH(C1996,Products!$A$2:$A$49,0)))</f>
        <v>0</v>
      </c>
    </row>
    <row r="1997" customFormat="false" ht="15" hidden="false" customHeight="false" outlineLevel="0" collapsed="false">
      <c r="A1997" s="36" t="n">
        <v>46258</v>
      </c>
      <c r="B1997" s="24" t="s">
        <v>62</v>
      </c>
      <c r="C1997" s="24" t="s">
        <v>177</v>
      </c>
      <c r="D1997" s="33" t="n">
        <v>61</v>
      </c>
      <c r="E1997" s="24" t="n">
        <v>0</v>
      </c>
      <c r="F1997" s="37" t="n">
        <f aca="false">DATE(YEAR(A1997),MONTH(A1997),1)</f>
        <v>46235</v>
      </c>
      <c r="G1997" s="24" t="str">
        <f aca="false">INDEX(Products!$C$2:$C$49,MATCH(C1997,Products!$A$2:$A$49,0))</f>
        <v>Household</v>
      </c>
      <c r="H1997" s="33" t="n">
        <f aca="false">D1997*INDEX(Products!$E$2:$E$49,MATCH(C1997,Products!$A$2:$A$49,0))</f>
        <v>6100</v>
      </c>
      <c r="I1997" s="33" t="n">
        <f aca="false">D1997*INDEX(Products!$D$2:$D$49,MATCH(C1997,Products!$A$2:$A$49,0))*(1+INDEX(Assumptions!$B$16:$B$20,MATCH(B1997,Assumptions!$A$16:$A$20,0)))</f>
        <v>4304.16</v>
      </c>
      <c r="J1997" s="33" t="n">
        <f aca="false">H1997-I1997</f>
        <v>1795.84</v>
      </c>
      <c r="K1997" s="33" t="n">
        <f aca="false">IF(OR(E1997=0,E1997&gt;=7),0,D1997/(7-E1997)*E1997*INDEX(Products!$E$2:$E$49,MATCH(C1997,Products!$A$2:$A$49,0)))</f>
        <v>0</v>
      </c>
    </row>
    <row r="1998" customFormat="false" ht="15" hidden="false" customHeight="false" outlineLevel="0" collapsed="false">
      <c r="A1998" s="36" t="n">
        <v>46265</v>
      </c>
      <c r="B1998" s="24" t="s">
        <v>62</v>
      </c>
      <c r="C1998" s="24" t="s">
        <v>177</v>
      </c>
      <c r="D1998" s="33" t="n">
        <v>64</v>
      </c>
      <c r="E1998" s="24" t="n">
        <v>0</v>
      </c>
      <c r="F1998" s="37" t="n">
        <f aca="false">DATE(YEAR(A1998),MONTH(A1998),1)</f>
        <v>46235</v>
      </c>
      <c r="G1998" s="24" t="str">
        <f aca="false">INDEX(Products!$C$2:$C$49,MATCH(C1998,Products!$A$2:$A$49,0))</f>
        <v>Household</v>
      </c>
      <c r="H1998" s="33" t="n">
        <f aca="false">D1998*INDEX(Products!$E$2:$E$49,MATCH(C1998,Products!$A$2:$A$49,0))</f>
        <v>6400</v>
      </c>
      <c r="I1998" s="33" t="n">
        <f aca="false">D1998*INDEX(Products!$D$2:$D$49,MATCH(C1998,Products!$A$2:$A$49,0))*(1+INDEX(Assumptions!$B$16:$B$20,MATCH(B1998,Assumptions!$A$16:$A$20,0)))</f>
        <v>4515.84</v>
      </c>
      <c r="J1998" s="33" t="n">
        <f aca="false">H1998-I1998</f>
        <v>1884.16</v>
      </c>
      <c r="K1998" s="33" t="n">
        <f aca="false">IF(OR(E1998=0,E1998&gt;=7),0,D1998/(7-E1998)*E1998*INDEX(Products!$E$2:$E$49,MATCH(C1998,Products!$A$2:$A$49,0)))</f>
        <v>0</v>
      </c>
    </row>
    <row r="1999" customFormat="false" ht="15" hidden="false" customHeight="false" outlineLevel="0" collapsed="false">
      <c r="A1999" s="36" t="n">
        <v>46272</v>
      </c>
      <c r="B1999" s="24" t="s">
        <v>62</v>
      </c>
      <c r="C1999" s="24" t="s">
        <v>177</v>
      </c>
      <c r="D1999" s="33" t="n">
        <v>49</v>
      </c>
      <c r="E1999" s="24" t="n">
        <v>0</v>
      </c>
      <c r="F1999" s="37" t="n">
        <f aca="false">DATE(YEAR(A1999),MONTH(A1999),1)</f>
        <v>46266</v>
      </c>
      <c r="G1999" s="24" t="str">
        <f aca="false">INDEX(Products!$C$2:$C$49,MATCH(C1999,Products!$A$2:$A$49,0))</f>
        <v>Household</v>
      </c>
      <c r="H1999" s="33" t="n">
        <f aca="false">D1999*INDEX(Products!$E$2:$E$49,MATCH(C1999,Products!$A$2:$A$49,0))</f>
        <v>4900</v>
      </c>
      <c r="I1999" s="33" t="n">
        <f aca="false">D1999*INDEX(Products!$D$2:$D$49,MATCH(C1999,Products!$A$2:$A$49,0))*(1+INDEX(Assumptions!$B$16:$B$20,MATCH(B1999,Assumptions!$A$16:$A$20,0)))</f>
        <v>3457.44</v>
      </c>
      <c r="J1999" s="33" t="n">
        <f aca="false">H1999-I1999</f>
        <v>1442.56</v>
      </c>
      <c r="K1999" s="33" t="n">
        <f aca="false">IF(OR(E1999=0,E1999&gt;=7),0,D1999/(7-E1999)*E1999*INDEX(Products!$E$2:$E$49,MATCH(C1999,Products!$A$2:$A$49,0)))</f>
        <v>0</v>
      </c>
    </row>
    <row r="2000" customFormat="false" ht="15" hidden="false" customHeight="false" outlineLevel="0" collapsed="false">
      <c r="A2000" s="36" t="n">
        <v>46279</v>
      </c>
      <c r="B2000" s="24" t="s">
        <v>62</v>
      </c>
      <c r="C2000" s="24" t="s">
        <v>177</v>
      </c>
      <c r="D2000" s="33" t="n">
        <v>61</v>
      </c>
      <c r="E2000" s="24" t="n">
        <v>0</v>
      </c>
      <c r="F2000" s="37" t="n">
        <f aca="false">DATE(YEAR(A2000),MONTH(A2000),1)</f>
        <v>46266</v>
      </c>
      <c r="G2000" s="24" t="str">
        <f aca="false">INDEX(Products!$C$2:$C$49,MATCH(C2000,Products!$A$2:$A$49,0))</f>
        <v>Household</v>
      </c>
      <c r="H2000" s="33" t="n">
        <f aca="false">D2000*INDEX(Products!$E$2:$E$49,MATCH(C2000,Products!$A$2:$A$49,0))</f>
        <v>6100</v>
      </c>
      <c r="I2000" s="33" t="n">
        <f aca="false">D2000*INDEX(Products!$D$2:$D$49,MATCH(C2000,Products!$A$2:$A$49,0))*(1+INDEX(Assumptions!$B$16:$B$20,MATCH(B2000,Assumptions!$A$16:$A$20,0)))</f>
        <v>4304.16</v>
      </c>
      <c r="J2000" s="33" t="n">
        <f aca="false">H2000-I2000</f>
        <v>1795.84</v>
      </c>
      <c r="K2000" s="33" t="n">
        <f aca="false">IF(OR(E2000=0,E2000&gt;=7),0,D2000/(7-E2000)*E2000*INDEX(Products!$E$2:$E$49,MATCH(C2000,Products!$A$2:$A$49,0)))</f>
        <v>0</v>
      </c>
    </row>
    <row r="2001" customFormat="false" ht="15" hidden="false" customHeight="false" outlineLevel="0" collapsed="false">
      <c r="A2001" s="36" t="n">
        <v>46286</v>
      </c>
      <c r="B2001" s="24" t="s">
        <v>62</v>
      </c>
      <c r="C2001" s="24" t="s">
        <v>177</v>
      </c>
      <c r="D2001" s="33" t="n">
        <v>58</v>
      </c>
      <c r="E2001" s="24" t="n">
        <v>0</v>
      </c>
      <c r="F2001" s="37" t="n">
        <f aca="false">DATE(YEAR(A2001),MONTH(A2001),1)</f>
        <v>46266</v>
      </c>
      <c r="G2001" s="24" t="str">
        <f aca="false">INDEX(Products!$C$2:$C$49,MATCH(C2001,Products!$A$2:$A$49,0))</f>
        <v>Household</v>
      </c>
      <c r="H2001" s="33" t="n">
        <f aca="false">D2001*INDEX(Products!$E$2:$E$49,MATCH(C2001,Products!$A$2:$A$49,0))</f>
        <v>5800</v>
      </c>
      <c r="I2001" s="33" t="n">
        <f aca="false">D2001*INDEX(Products!$D$2:$D$49,MATCH(C2001,Products!$A$2:$A$49,0))*(1+INDEX(Assumptions!$B$16:$B$20,MATCH(B2001,Assumptions!$A$16:$A$20,0)))</f>
        <v>4092.48</v>
      </c>
      <c r="J2001" s="33" t="n">
        <f aca="false">H2001-I2001</f>
        <v>1707.52</v>
      </c>
      <c r="K2001" s="33" t="n">
        <f aca="false">IF(OR(E2001=0,E2001&gt;=7),0,D2001/(7-E2001)*E2001*INDEX(Products!$E$2:$E$49,MATCH(C2001,Products!$A$2:$A$49,0)))</f>
        <v>0</v>
      </c>
    </row>
    <row r="2002" customFormat="false" ht="15" hidden="false" customHeight="false" outlineLevel="0" collapsed="false">
      <c r="A2002" s="36" t="n">
        <v>46118</v>
      </c>
      <c r="B2002" s="24" t="s">
        <v>62</v>
      </c>
      <c r="C2002" s="24" t="s">
        <v>179</v>
      </c>
      <c r="D2002" s="33" t="n">
        <v>15</v>
      </c>
      <c r="E2002" s="24" t="n">
        <v>0</v>
      </c>
      <c r="F2002" s="37" t="n">
        <f aca="false">DATE(YEAR(A2002),MONTH(A2002),1)</f>
        <v>46113</v>
      </c>
      <c r="G2002" s="24" t="str">
        <f aca="false">INDEX(Products!$C$2:$C$49,MATCH(C2002,Products!$A$2:$A$49,0))</f>
        <v>Personal Care</v>
      </c>
      <c r="H2002" s="33" t="n">
        <f aca="false">D2002*INDEX(Products!$E$2:$E$49,MATCH(C2002,Products!$A$2:$A$49,0))</f>
        <v>2700</v>
      </c>
      <c r="I2002" s="33" t="n">
        <f aca="false">D2002*INDEX(Products!$D$2:$D$49,MATCH(C2002,Products!$A$2:$A$49,0))*(1+INDEX(Assumptions!$B$16:$B$20,MATCH(B2002,Assumptions!$A$16:$A$20,0)))</f>
        <v>1814.4</v>
      </c>
      <c r="J2002" s="33" t="n">
        <f aca="false">H2002-I2002</f>
        <v>885.6</v>
      </c>
      <c r="K2002" s="33" t="n">
        <f aca="false">IF(OR(E2002=0,E2002&gt;=7),0,D2002/(7-E2002)*E2002*INDEX(Products!$E$2:$E$49,MATCH(C2002,Products!$A$2:$A$49,0)))</f>
        <v>0</v>
      </c>
    </row>
    <row r="2003" customFormat="false" ht="15" hidden="false" customHeight="false" outlineLevel="0" collapsed="false">
      <c r="A2003" s="36" t="n">
        <v>46125</v>
      </c>
      <c r="B2003" s="24" t="s">
        <v>62</v>
      </c>
      <c r="C2003" s="24" t="s">
        <v>179</v>
      </c>
      <c r="D2003" s="33" t="n">
        <v>9</v>
      </c>
      <c r="E2003" s="24" t="n">
        <v>0</v>
      </c>
      <c r="F2003" s="37" t="n">
        <f aca="false">DATE(YEAR(A2003),MONTH(A2003),1)</f>
        <v>46113</v>
      </c>
      <c r="G2003" s="24" t="str">
        <f aca="false">INDEX(Products!$C$2:$C$49,MATCH(C2003,Products!$A$2:$A$49,0))</f>
        <v>Personal Care</v>
      </c>
      <c r="H2003" s="33" t="n">
        <f aca="false">D2003*INDEX(Products!$E$2:$E$49,MATCH(C2003,Products!$A$2:$A$49,0))</f>
        <v>1620</v>
      </c>
      <c r="I2003" s="33" t="n">
        <f aca="false">D2003*INDEX(Products!$D$2:$D$49,MATCH(C2003,Products!$A$2:$A$49,0))*(1+INDEX(Assumptions!$B$16:$B$20,MATCH(B2003,Assumptions!$A$16:$A$20,0)))</f>
        <v>1088.64</v>
      </c>
      <c r="J2003" s="33" t="n">
        <f aca="false">H2003-I2003</f>
        <v>531.36</v>
      </c>
      <c r="K2003" s="33" t="n">
        <f aca="false">IF(OR(E2003=0,E2003&gt;=7),0,D2003/(7-E2003)*E2003*INDEX(Products!$E$2:$E$49,MATCH(C2003,Products!$A$2:$A$49,0)))</f>
        <v>0</v>
      </c>
    </row>
    <row r="2004" customFormat="false" ht="15" hidden="false" customHeight="false" outlineLevel="0" collapsed="false">
      <c r="A2004" s="36" t="n">
        <v>46132</v>
      </c>
      <c r="B2004" s="24" t="s">
        <v>62</v>
      </c>
      <c r="C2004" s="24" t="s">
        <v>179</v>
      </c>
      <c r="D2004" s="33" t="n">
        <v>17</v>
      </c>
      <c r="E2004" s="24" t="n">
        <v>0</v>
      </c>
      <c r="F2004" s="37" t="n">
        <f aca="false">DATE(YEAR(A2004),MONTH(A2004),1)</f>
        <v>46113</v>
      </c>
      <c r="G2004" s="24" t="str">
        <f aca="false">INDEX(Products!$C$2:$C$49,MATCH(C2004,Products!$A$2:$A$49,0))</f>
        <v>Personal Care</v>
      </c>
      <c r="H2004" s="33" t="n">
        <f aca="false">D2004*INDEX(Products!$E$2:$E$49,MATCH(C2004,Products!$A$2:$A$49,0))</f>
        <v>3060</v>
      </c>
      <c r="I2004" s="33" t="n">
        <f aca="false">D2004*INDEX(Products!$D$2:$D$49,MATCH(C2004,Products!$A$2:$A$49,0))*(1+INDEX(Assumptions!$B$16:$B$20,MATCH(B2004,Assumptions!$A$16:$A$20,0)))</f>
        <v>2056.32</v>
      </c>
      <c r="J2004" s="33" t="n">
        <f aca="false">H2004-I2004</f>
        <v>1003.68</v>
      </c>
      <c r="K2004" s="33" t="n">
        <f aca="false">IF(OR(E2004=0,E2004&gt;=7),0,D2004/(7-E2004)*E2004*INDEX(Products!$E$2:$E$49,MATCH(C2004,Products!$A$2:$A$49,0)))</f>
        <v>0</v>
      </c>
    </row>
    <row r="2005" customFormat="false" ht="15" hidden="false" customHeight="false" outlineLevel="0" collapsed="false">
      <c r="A2005" s="36" t="n">
        <v>46139</v>
      </c>
      <c r="B2005" s="24" t="s">
        <v>62</v>
      </c>
      <c r="C2005" s="24" t="s">
        <v>179</v>
      </c>
      <c r="D2005" s="33" t="n">
        <v>19</v>
      </c>
      <c r="E2005" s="24" t="n">
        <v>0</v>
      </c>
      <c r="F2005" s="37" t="n">
        <f aca="false">DATE(YEAR(A2005),MONTH(A2005),1)</f>
        <v>46113</v>
      </c>
      <c r="G2005" s="24" t="str">
        <f aca="false">INDEX(Products!$C$2:$C$49,MATCH(C2005,Products!$A$2:$A$49,0))</f>
        <v>Personal Care</v>
      </c>
      <c r="H2005" s="33" t="n">
        <f aca="false">D2005*INDEX(Products!$E$2:$E$49,MATCH(C2005,Products!$A$2:$A$49,0))</f>
        <v>3420</v>
      </c>
      <c r="I2005" s="33" t="n">
        <f aca="false">D2005*INDEX(Products!$D$2:$D$49,MATCH(C2005,Products!$A$2:$A$49,0))*(1+INDEX(Assumptions!$B$16:$B$20,MATCH(B2005,Assumptions!$A$16:$A$20,0)))</f>
        <v>2298.24</v>
      </c>
      <c r="J2005" s="33" t="n">
        <f aca="false">H2005-I2005</f>
        <v>1121.76</v>
      </c>
      <c r="K2005" s="33" t="n">
        <f aca="false">IF(OR(E2005=0,E2005&gt;=7),0,D2005/(7-E2005)*E2005*INDEX(Products!$E$2:$E$49,MATCH(C2005,Products!$A$2:$A$49,0)))</f>
        <v>0</v>
      </c>
    </row>
    <row r="2006" customFormat="false" ht="15" hidden="false" customHeight="false" outlineLevel="0" collapsed="false">
      <c r="A2006" s="36" t="n">
        <v>46146</v>
      </c>
      <c r="B2006" s="24" t="s">
        <v>62</v>
      </c>
      <c r="C2006" s="24" t="s">
        <v>179</v>
      </c>
      <c r="D2006" s="33" t="n">
        <v>22</v>
      </c>
      <c r="E2006" s="24" t="n">
        <v>0</v>
      </c>
      <c r="F2006" s="37" t="n">
        <f aca="false">DATE(YEAR(A2006),MONTH(A2006),1)</f>
        <v>46143</v>
      </c>
      <c r="G2006" s="24" t="str">
        <f aca="false">INDEX(Products!$C$2:$C$49,MATCH(C2006,Products!$A$2:$A$49,0))</f>
        <v>Personal Care</v>
      </c>
      <c r="H2006" s="33" t="n">
        <f aca="false">D2006*INDEX(Products!$E$2:$E$49,MATCH(C2006,Products!$A$2:$A$49,0))</f>
        <v>3960</v>
      </c>
      <c r="I2006" s="33" t="n">
        <f aca="false">D2006*INDEX(Products!$D$2:$D$49,MATCH(C2006,Products!$A$2:$A$49,0))*(1+INDEX(Assumptions!$B$16:$B$20,MATCH(B2006,Assumptions!$A$16:$A$20,0)))</f>
        <v>2661.12</v>
      </c>
      <c r="J2006" s="33" t="n">
        <f aca="false">H2006-I2006</f>
        <v>1298.88</v>
      </c>
      <c r="K2006" s="33" t="n">
        <f aca="false">IF(OR(E2006=0,E2006&gt;=7),0,D2006/(7-E2006)*E2006*INDEX(Products!$E$2:$E$49,MATCH(C2006,Products!$A$2:$A$49,0)))</f>
        <v>0</v>
      </c>
    </row>
    <row r="2007" customFormat="false" ht="15" hidden="false" customHeight="false" outlineLevel="0" collapsed="false">
      <c r="A2007" s="36" t="n">
        <v>46153</v>
      </c>
      <c r="B2007" s="24" t="s">
        <v>62</v>
      </c>
      <c r="C2007" s="24" t="s">
        <v>179</v>
      </c>
      <c r="D2007" s="33" t="n">
        <v>9</v>
      </c>
      <c r="E2007" s="24" t="n">
        <v>0</v>
      </c>
      <c r="F2007" s="37" t="n">
        <f aca="false">DATE(YEAR(A2007),MONTH(A2007),1)</f>
        <v>46143</v>
      </c>
      <c r="G2007" s="24" t="str">
        <f aca="false">INDEX(Products!$C$2:$C$49,MATCH(C2007,Products!$A$2:$A$49,0))</f>
        <v>Personal Care</v>
      </c>
      <c r="H2007" s="33" t="n">
        <f aca="false">D2007*INDEX(Products!$E$2:$E$49,MATCH(C2007,Products!$A$2:$A$49,0))</f>
        <v>1620</v>
      </c>
      <c r="I2007" s="33" t="n">
        <f aca="false">D2007*INDEX(Products!$D$2:$D$49,MATCH(C2007,Products!$A$2:$A$49,0))*(1+INDEX(Assumptions!$B$16:$B$20,MATCH(B2007,Assumptions!$A$16:$A$20,0)))</f>
        <v>1088.64</v>
      </c>
      <c r="J2007" s="33" t="n">
        <f aca="false">H2007-I2007</f>
        <v>531.36</v>
      </c>
      <c r="K2007" s="33" t="n">
        <f aca="false">IF(OR(E2007=0,E2007&gt;=7),0,D2007/(7-E2007)*E2007*INDEX(Products!$E$2:$E$49,MATCH(C2007,Products!$A$2:$A$49,0)))</f>
        <v>0</v>
      </c>
    </row>
    <row r="2008" customFormat="false" ht="15" hidden="false" customHeight="false" outlineLevel="0" collapsed="false">
      <c r="A2008" s="36" t="n">
        <v>46160</v>
      </c>
      <c r="B2008" s="24" t="s">
        <v>62</v>
      </c>
      <c r="C2008" s="24" t="s">
        <v>179</v>
      </c>
      <c r="D2008" s="33" t="n">
        <v>19</v>
      </c>
      <c r="E2008" s="24" t="n">
        <v>0</v>
      </c>
      <c r="F2008" s="37" t="n">
        <f aca="false">DATE(YEAR(A2008),MONTH(A2008),1)</f>
        <v>46143</v>
      </c>
      <c r="G2008" s="24" t="str">
        <f aca="false">INDEX(Products!$C$2:$C$49,MATCH(C2008,Products!$A$2:$A$49,0))</f>
        <v>Personal Care</v>
      </c>
      <c r="H2008" s="33" t="n">
        <f aca="false">D2008*INDEX(Products!$E$2:$E$49,MATCH(C2008,Products!$A$2:$A$49,0))</f>
        <v>3420</v>
      </c>
      <c r="I2008" s="33" t="n">
        <f aca="false">D2008*INDEX(Products!$D$2:$D$49,MATCH(C2008,Products!$A$2:$A$49,0))*(1+INDEX(Assumptions!$B$16:$B$20,MATCH(B2008,Assumptions!$A$16:$A$20,0)))</f>
        <v>2298.24</v>
      </c>
      <c r="J2008" s="33" t="n">
        <f aca="false">H2008-I2008</f>
        <v>1121.76</v>
      </c>
      <c r="K2008" s="33" t="n">
        <f aca="false">IF(OR(E2008=0,E2008&gt;=7),0,D2008/(7-E2008)*E2008*INDEX(Products!$E$2:$E$49,MATCH(C2008,Products!$A$2:$A$49,0)))</f>
        <v>0</v>
      </c>
    </row>
    <row r="2009" customFormat="false" ht="15" hidden="false" customHeight="false" outlineLevel="0" collapsed="false">
      <c r="A2009" s="36" t="n">
        <v>46167</v>
      </c>
      <c r="B2009" s="24" t="s">
        <v>62</v>
      </c>
      <c r="C2009" s="24" t="s">
        <v>179</v>
      </c>
      <c r="D2009" s="33" t="n">
        <v>17</v>
      </c>
      <c r="E2009" s="24" t="n">
        <v>0</v>
      </c>
      <c r="F2009" s="37" t="n">
        <f aca="false">DATE(YEAR(A2009),MONTH(A2009),1)</f>
        <v>46143</v>
      </c>
      <c r="G2009" s="24" t="str">
        <f aca="false">INDEX(Products!$C$2:$C$49,MATCH(C2009,Products!$A$2:$A$49,0))</f>
        <v>Personal Care</v>
      </c>
      <c r="H2009" s="33" t="n">
        <f aca="false">D2009*INDEX(Products!$E$2:$E$49,MATCH(C2009,Products!$A$2:$A$49,0))</f>
        <v>3060</v>
      </c>
      <c r="I2009" s="33" t="n">
        <f aca="false">D2009*INDEX(Products!$D$2:$D$49,MATCH(C2009,Products!$A$2:$A$49,0))*(1+INDEX(Assumptions!$B$16:$B$20,MATCH(B2009,Assumptions!$A$16:$A$20,0)))</f>
        <v>2056.32</v>
      </c>
      <c r="J2009" s="33" t="n">
        <f aca="false">H2009-I2009</f>
        <v>1003.68</v>
      </c>
      <c r="K2009" s="33" t="n">
        <f aca="false">IF(OR(E2009=0,E2009&gt;=7),0,D2009/(7-E2009)*E2009*INDEX(Products!$E$2:$E$49,MATCH(C2009,Products!$A$2:$A$49,0)))</f>
        <v>0</v>
      </c>
    </row>
    <row r="2010" customFormat="false" ht="15" hidden="false" customHeight="false" outlineLevel="0" collapsed="false">
      <c r="A2010" s="36" t="n">
        <v>46174</v>
      </c>
      <c r="B2010" s="24" t="s">
        <v>62</v>
      </c>
      <c r="C2010" s="24" t="s">
        <v>179</v>
      </c>
      <c r="D2010" s="33" t="n">
        <v>47</v>
      </c>
      <c r="E2010" s="24" t="n">
        <v>0</v>
      </c>
      <c r="F2010" s="37" t="n">
        <f aca="false">DATE(YEAR(A2010),MONTH(A2010),1)</f>
        <v>46174</v>
      </c>
      <c r="G2010" s="24" t="str">
        <f aca="false">INDEX(Products!$C$2:$C$49,MATCH(C2010,Products!$A$2:$A$49,0))</f>
        <v>Personal Care</v>
      </c>
      <c r="H2010" s="33" t="n">
        <f aca="false">D2010*INDEX(Products!$E$2:$E$49,MATCH(C2010,Products!$A$2:$A$49,0))</f>
        <v>8460</v>
      </c>
      <c r="I2010" s="33" t="n">
        <f aca="false">D2010*INDEX(Products!$D$2:$D$49,MATCH(C2010,Products!$A$2:$A$49,0))*(1+INDEX(Assumptions!$B$16:$B$20,MATCH(B2010,Assumptions!$A$16:$A$20,0)))</f>
        <v>5685.12</v>
      </c>
      <c r="J2010" s="33" t="n">
        <f aca="false">H2010-I2010</f>
        <v>2774.88</v>
      </c>
      <c r="K2010" s="33" t="n">
        <f aca="false">IF(OR(E2010=0,E2010&gt;=7),0,D2010/(7-E2010)*E2010*INDEX(Products!$E$2:$E$49,MATCH(C2010,Products!$A$2:$A$49,0)))</f>
        <v>0</v>
      </c>
    </row>
    <row r="2011" customFormat="false" ht="15" hidden="false" customHeight="false" outlineLevel="0" collapsed="false">
      <c r="A2011" s="36" t="n">
        <v>46181</v>
      </c>
      <c r="B2011" s="24" t="s">
        <v>62</v>
      </c>
      <c r="C2011" s="24" t="s">
        <v>179</v>
      </c>
      <c r="D2011" s="33" t="n">
        <v>34</v>
      </c>
      <c r="E2011" s="24" t="n">
        <v>0</v>
      </c>
      <c r="F2011" s="37" t="n">
        <f aca="false">DATE(YEAR(A2011),MONTH(A2011),1)</f>
        <v>46174</v>
      </c>
      <c r="G2011" s="24" t="str">
        <f aca="false">INDEX(Products!$C$2:$C$49,MATCH(C2011,Products!$A$2:$A$49,0))</f>
        <v>Personal Care</v>
      </c>
      <c r="H2011" s="33" t="n">
        <f aca="false">D2011*INDEX(Products!$E$2:$E$49,MATCH(C2011,Products!$A$2:$A$49,0))</f>
        <v>6120</v>
      </c>
      <c r="I2011" s="33" t="n">
        <f aca="false">D2011*INDEX(Products!$D$2:$D$49,MATCH(C2011,Products!$A$2:$A$49,0))*(1+INDEX(Assumptions!$B$16:$B$20,MATCH(B2011,Assumptions!$A$16:$A$20,0)))</f>
        <v>4112.64</v>
      </c>
      <c r="J2011" s="33" t="n">
        <f aca="false">H2011-I2011</f>
        <v>2007.36</v>
      </c>
      <c r="K2011" s="33" t="n">
        <f aca="false">IF(OR(E2011=0,E2011&gt;=7),0,D2011/(7-E2011)*E2011*INDEX(Products!$E$2:$E$49,MATCH(C2011,Products!$A$2:$A$49,0)))</f>
        <v>0</v>
      </c>
    </row>
    <row r="2012" customFormat="false" ht="15" hidden="false" customHeight="false" outlineLevel="0" collapsed="false">
      <c r="A2012" s="36" t="n">
        <v>46188</v>
      </c>
      <c r="B2012" s="24" t="s">
        <v>62</v>
      </c>
      <c r="C2012" s="24" t="s">
        <v>179</v>
      </c>
      <c r="D2012" s="33" t="n">
        <v>28</v>
      </c>
      <c r="E2012" s="24" t="n">
        <v>0</v>
      </c>
      <c r="F2012" s="37" t="n">
        <f aca="false">DATE(YEAR(A2012),MONTH(A2012),1)</f>
        <v>46174</v>
      </c>
      <c r="G2012" s="24" t="str">
        <f aca="false">INDEX(Products!$C$2:$C$49,MATCH(C2012,Products!$A$2:$A$49,0))</f>
        <v>Personal Care</v>
      </c>
      <c r="H2012" s="33" t="n">
        <f aca="false">D2012*INDEX(Products!$E$2:$E$49,MATCH(C2012,Products!$A$2:$A$49,0))</f>
        <v>5040</v>
      </c>
      <c r="I2012" s="33" t="n">
        <f aca="false">D2012*INDEX(Products!$D$2:$D$49,MATCH(C2012,Products!$A$2:$A$49,0))*(1+INDEX(Assumptions!$B$16:$B$20,MATCH(B2012,Assumptions!$A$16:$A$20,0)))</f>
        <v>3386.88</v>
      </c>
      <c r="J2012" s="33" t="n">
        <f aca="false">H2012-I2012</f>
        <v>1653.12</v>
      </c>
      <c r="K2012" s="33" t="n">
        <f aca="false">IF(OR(E2012=0,E2012&gt;=7),0,D2012/(7-E2012)*E2012*INDEX(Products!$E$2:$E$49,MATCH(C2012,Products!$A$2:$A$49,0)))</f>
        <v>0</v>
      </c>
    </row>
    <row r="2013" customFormat="false" ht="15" hidden="false" customHeight="false" outlineLevel="0" collapsed="false">
      <c r="A2013" s="36" t="n">
        <v>46195</v>
      </c>
      <c r="B2013" s="24" t="s">
        <v>62</v>
      </c>
      <c r="C2013" s="24" t="s">
        <v>179</v>
      </c>
      <c r="D2013" s="33" t="n">
        <v>21</v>
      </c>
      <c r="E2013" s="24" t="n">
        <v>0</v>
      </c>
      <c r="F2013" s="37" t="n">
        <f aca="false">DATE(YEAR(A2013),MONTH(A2013),1)</f>
        <v>46174</v>
      </c>
      <c r="G2013" s="24" t="str">
        <f aca="false">INDEX(Products!$C$2:$C$49,MATCH(C2013,Products!$A$2:$A$49,0))</f>
        <v>Personal Care</v>
      </c>
      <c r="H2013" s="33" t="n">
        <f aca="false">D2013*INDEX(Products!$E$2:$E$49,MATCH(C2013,Products!$A$2:$A$49,0))</f>
        <v>3780</v>
      </c>
      <c r="I2013" s="33" t="n">
        <f aca="false">D2013*INDEX(Products!$D$2:$D$49,MATCH(C2013,Products!$A$2:$A$49,0))*(1+INDEX(Assumptions!$B$16:$B$20,MATCH(B2013,Assumptions!$A$16:$A$20,0)))</f>
        <v>2540.16</v>
      </c>
      <c r="J2013" s="33" t="n">
        <f aca="false">H2013-I2013</f>
        <v>1239.84</v>
      </c>
      <c r="K2013" s="33" t="n">
        <f aca="false">IF(OR(E2013=0,E2013&gt;=7),0,D2013/(7-E2013)*E2013*INDEX(Products!$E$2:$E$49,MATCH(C2013,Products!$A$2:$A$49,0)))</f>
        <v>0</v>
      </c>
    </row>
    <row r="2014" customFormat="false" ht="15" hidden="false" customHeight="false" outlineLevel="0" collapsed="false">
      <c r="A2014" s="36" t="n">
        <v>46202</v>
      </c>
      <c r="B2014" s="24" t="s">
        <v>62</v>
      </c>
      <c r="C2014" s="24" t="s">
        <v>179</v>
      </c>
      <c r="D2014" s="33" t="n">
        <v>9</v>
      </c>
      <c r="E2014" s="24" t="n">
        <v>0</v>
      </c>
      <c r="F2014" s="37" t="n">
        <f aca="false">DATE(YEAR(A2014),MONTH(A2014),1)</f>
        <v>46174</v>
      </c>
      <c r="G2014" s="24" t="str">
        <f aca="false">INDEX(Products!$C$2:$C$49,MATCH(C2014,Products!$A$2:$A$49,0))</f>
        <v>Personal Care</v>
      </c>
      <c r="H2014" s="33" t="n">
        <f aca="false">D2014*INDEX(Products!$E$2:$E$49,MATCH(C2014,Products!$A$2:$A$49,0))</f>
        <v>1620</v>
      </c>
      <c r="I2014" s="33" t="n">
        <f aca="false">D2014*INDEX(Products!$D$2:$D$49,MATCH(C2014,Products!$A$2:$A$49,0))*(1+INDEX(Assumptions!$B$16:$B$20,MATCH(B2014,Assumptions!$A$16:$A$20,0)))</f>
        <v>1088.64</v>
      </c>
      <c r="J2014" s="33" t="n">
        <f aca="false">H2014-I2014</f>
        <v>531.36</v>
      </c>
      <c r="K2014" s="33" t="n">
        <f aca="false">IF(OR(E2014=0,E2014&gt;=7),0,D2014/(7-E2014)*E2014*INDEX(Products!$E$2:$E$49,MATCH(C2014,Products!$A$2:$A$49,0)))</f>
        <v>0</v>
      </c>
    </row>
    <row r="2015" customFormat="false" ht="15" hidden="false" customHeight="false" outlineLevel="0" collapsed="false">
      <c r="A2015" s="36" t="n">
        <v>46209</v>
      </c>
      <c r="B2015" s="24" t="s">
        <v>62</v>
      </c>
      <c r="C2015" s="24" t="s">
        <v>179</v>
      </c>
      <c r="D2015" s="33" t="n">
        <v>14</v>
      </c>
      <c r="E2015" s="24" t="n">
        <v>0</v>
      </c>
      <c r="F2015" s="37" t="n">
        <f aca="false">DATE(YEAR(A2015),MONTH(A2015),1)</f>
        <v>46204</v>
      </c>
      <c r="G2015" s="24" t="str">
        <f aca="false">INDEX(Products!$C$2:$C$49,MATCH(C2015,Products!$A$2:$A$49,0))</f>
        <v>Personal Care</v>
      </c>
      <c r="H2015" s="33" t="n">
        <f aca="false">D2015*INDEX(Products!$E$2:$E$49,MATCH(C2015,Products!$A$2:$A$49,0))</f>
        <v>2520</v>
      </c>
      <c r="I2015" s="33" t="n">
        <f aca="false">D2015*INDEX(Products!$D$2:$D$49,MATCH(C2015,Products!$A$2:$A$49,0))*(1+INDEX(Assumptions!$B$16:$B$20,MATCH(B2015,Assumptions!$A$16:$A$20,0)))</f>
        <v>1693.44</v>
      </c>
      <c r="J2015" s="33" t="n">
        <f aca="false">H2015-I2015</f>
        <v>826.56</v>
      </c>
      <c r="K2015" s="33" t="n">
        <f aca="false">IF(OR(E2015=0,E2015&gt;=7),0,D2015/(7-E2015)*E2015*INDEX(Products!$E$2:$E$49,MATCH(C2015,Products!$A$2:$A$49,0)))</f>
        <v>0</v>
      </c>
    </row>
    <row r="2016" customFormat="false" ht="15" hidden="false" customHeight="false" outlineLevel="0" collapsed="false">
      <c r="A2016" s="36" t="n">
        <v>46216</v>
      </c>
      <c r="B2016" s="24" t="s">
        <v>62</v>
      </c>
      <c r="C2016" s="24" t="s">
        <v>179</v>
      </c>
      <c r="D2016" s="33" t="n">
        <v>15</v>
      </c>
      <c r="E2016" s="24" t="n">
        <v>0</v>
      </c>
      <c r="F2016" s="37" t="n">
        <f aca="false">DATE(YEAR(A2016),MONTH(A2016),1)</f>
        <v>46204</v>
      </c>
      <c r="G2016" s="24" t="str">
        <f aca="false">INDEX(Products!$C$2:$C$49,MATCH(C2016,Products!$A$2:$A$49,0))</f>
        <v>Personal Care</v>
      </c>
      <c r="H2016" s="33" t="n">
        <f aca="false">D2016*INDEX(Products!$E$2:$E$49,MATCH(C2016,Products!$A$2:$A$49,0))</f>
        <v>2700</v>
      </c>
      <c r="I2016" s="33" t="n">
        <f aca="false">D2016*INDEX(Products!$D$2:$D$49,MATCH(C2016,Products!$A$2:$A$49,0))*(1+INDEX(Assumptions!$B$16:$B$20,MATCH(B2016,Assumptions!$A$16:$A$20,0)))</f>
        <v>1814.4</v>
      </c>
      <c r="J2016" s="33" t="n">
        <f aca="false">H2016-I2016</f>
        <v>885.6</v>
      </c>
      <c r="K2016" s="33" t="n">
        <f aca="false">IF(OR(E2016=0,E2016&gt;=7),0,D2016/(7-E2016)*E2016*INDEX(Products!$E$2:$E$49,MATCH(C2016,Products!$A$2:$A$49,0)))</f>
        <v>0</v>
      </c>
    </row>
    <row r="2017" customFormat="false" ht="15" hidden="false" customHeight="false" outlineLevel="0" collapsed="false">
      <c r="A2017" s="36" t="n">
        <v>46223</v>
      </c>
      <c r="B2017" s="24" t="s">
        <v>62</v>
      </c>
      <c r="C2017" s="24" t="s">
        <v>179</v>
      </c>
      <c r="D2017" s="33" t="n">
        <v>12</v>
      </c>
      <c r="E2017" s="24" t="n">
        <v>0</v>
      </c>
      <c r="F2017" s="37" t="n">
        <f aca="false">DATE(YEAR(A2017),MONTH(A2017),1)</f>
        <v>46204</v>
      </c>
      <c r="G2017" s="24" t="str">
        <f aca="false">INDEX(Products!$C$2:$C$49,MATCH(C2017,Products!$A$2:$A$49,0))</f>
        <v>Personal Care</v>
      </c>
      <c r="H2017" s="33" t="n">
        <f aca="false">D2017*INDEX(Products!$E$2:$E$49,MATCH(C2017,Products!$A$2:$A$49,0))</f>
        <v>2160</v>
      </c>
      <c r="I2017" s="33" t="n">
        <f aca="false">D2017*INDEX(Products!$D$2:$D$49,MATCH(C2017,Products!$A$2:$A$49,0))*(1+INDEX(Assumptions!$B$16:$B$20,MATCH(B2017,Assumptions!$A$16:$A$20,0)))</f>
        <v>1451.52</v>
      </c>
      <c r="J2017" s="33" t="n">
        <f aca="false">H2017-I2017</f>
        <v>708.48</v>
      </c>
      <c r="K2017" s="33" t="n">
        <f aca="false">IF(OR(E2017=0,E2017&gt;=7),0,D2017/(7-E2017)*E2017*INDEX(Products!$E$2:$E$49,MATCH(C2017,Products!$A$2:$A$49,0)))</f>
        <v>0</v>
      </c>
    </row>
    <row r="2018" customFormat="false" ht="15" hidden="false" customHeight="false" outlineLevel="0" collapsed="false">
      <c r="A2018" s="36" t="n">
        <v>46230</v>
      </c>
      <c r="B2018" s="24" t="s">
        <v>62</v>
      </c>
      <c r="C2018" s="24" t="s">
        <v>179</v>
      </c>
      <c r="D2018" s="33" t="n">
        <v>19</v>
      </c>
      <c r="E2018" s="24" t="n">
        <v>0</v>
      </c>
      <c r="F2018" s="37" t="n">
        <f aca="false">DATE(YEAR(A2018),MONTH(A2018),1)</f>
        <v>46204</v>
      </c>
      <c r="G2018" s="24" t="str">
        <f aca="false">INDEX(Products!$C$2:$C$49,MATCH(C2018,Products!$A$2:$A$49,0))</f>
        <v>Personal Care</v>
      </c>
      <c r="H2018" s="33" t="n">
        <f aca="false">D2018*INDEX(Products!$E$2:$E$49,MATCH(C2018,Products!$A$2:$A$49,0))</f>
        <v>3420</v>
      </c>
      <c r="I2018" s="33" t="n">
        <f aca="false">D2018*INDEX(Products!$D$2:$D$49,MATCH(C2018,Products!$A$2:$A$49,0))*(1+INDEX(Assumptions!$B$16:$B$20,MATCH(B2018,Assumptions!$A$16:$A$20,0)))</f>
        <v>2298.24</v>
      </c>
      <c r="J2018" s="33" t="n">
        <f aca="false">H2018-I2018</f>
        <v>1121.76</v>
      </c>
      <c r="K2018" s="33" t="n">
        <f aca="false">IF(OR(E2018=0,E2018&gt;=7),0,D2018/(7-E2018)*E2018*INDEX(Products!$E$2:$E$49,MATCH(C2018,Products!$A$2:$A$49,0)))</f>
        <v>0</v>
      </c>
    </row>
    <row r="2019" customFormat="false" ht="15" hidden="false" customHeight="false" outlineLevel="0" collapsed="false">
      <c r="A2019" s="36" t="n">
        <v>46237</v>
      </c>
      <c r="B2019" s="24" t="s">
        <v>62</v>
      </c>
      <c r="C2019" s="24" t="s">
        <v>179</v>
      </c>
      <c r="D2019" s="33" t="n">
        <v>16</v>
      </c>
      <c r="E2019" s="24" t="n">
        <v>0</v>
      </c>
      <c r="F2019" s="37" t="n">
        <f aca="false">DATE(YEAR(A2019),MONTH(A2019),1)</f>
        <v>46235</v>
      </c>
      <c r="G2019" s="24" t="str">
        <f aca="false">INDEX(Products!$C$2:$C$49,MATCH(C2019,Products!$A$2:$A$49,0))</f>
        <v>Personal Care</v>
      </c>
      <c r="H2019" s="33" t="n">
        <f aca="false">D2019*INDEX(Products!$E$2:$E$49,MATCH(C2019,Products!$A$2:$A$49,0))</f>
        <v>2880</v>
      </c>
      <c r="I2019" s="33" t="n">
        <f aca="false">D2019*INDEX(Products!$D$2:$D$49,MATCH(C2019,Products!$A$2:$A$49,0))*(1+INDEX(Assumptions!$B$16:$B$20,MATCH(B2019,Assumptions!$A$16:$A$20,0)))</f>
        <v>1935.36</v>
      </c>
      <c r="J2019" s="33" t="n">
        <f aca="false">H2019-I2019</f>
        <v>944.64</v>
      </c>
      <c r="K2019" s="33" t="n">
        <f aca="false">IF(OR(E2019=0,E2019&gt;=7),0,D2019/(7-E2019)*E2019*INDEX(Products!$E$2:$E$49,MATCH(C2019,Products!$A$2:$A$49,0)))</f>
        <v>0</v>
      </c>
    </row>
    <row r="2020" customFormat="false" ht="15" hidden="false" customHeight="false" outlineLevel="0" collapsed="false">
      <c r="A2020" s="36" t="n">
        <v>46244</v>
      </c>
      <c r="B2020" s="24" t="s">
        <v>62</v>
      </c>
      <c r="C2020" s="24" t="s">
        <v>179</v>
      </c>
      <c r="D2020" s="33" t="n">
        <v>15</v>
      </c>
      <c r="E2020" s="24" t="n">
        <v>0</v>
      </c>
      <c r="F2020" s="37" t="n">
        <f aca="false">DATE(YEAR(A2020),MONTH(A2020),1)</f>
        <v>46235</v>
      </c>
      <c r="G2020" s="24" t="str">
        <f aca="false">INDEX(Products!$C$2:$C$49,MATCH(C2020,Products!$A$2:$A$49,0))</f>
        <v>Personal Care</v>
      </c>
      <c r="H2020" s="33" t="n">
        <f aca="false">D2020*INDEX(Products!$E$2:$E$49,MATCH(C2020,Products!$A$2:$A$49,0))</f>
        <v>2700</v>
      </c>
      <c r="I2020" s="33" t="n">
        <f aca="false">D2020*INDEX(Products!$D$2:$D$49,MATCH(C2020,Products!$A$2:$A$49,0))*(1+INDEX(Assumptions!$B$16:$B$20,MATCH(B2020,Assumptions!$A$16:$A$20,0)))</f>
        <v>1814.4</v>
      </c>
      <c r="J2020" s="33" t="n">
        <f aca="false">H2020-I2020</f>
        <v>885.6</v>
      </c>
      <c r="K2020" s="33" t="n">
        <f aca="false">IF(OR(E2020=0,E2020&gt;=7),0,D2020/(7-E2020)*E2020*INDEX(Products!$E$2:$E$49,MATCH(C2020,Products!$A$2:$A$49,0)))</f>
        <v>0</v>
      </c>
    </row>
    <row r="2021" customFormat="false" ht="15" hidden="false" customHeight="false" outlineLevel="0" collapsed="false">
      <c r="A2021" s="36" t="n">
        <v>46251</v>
      </c>
      <c r="B2021" s="24" t="s">
        <v>62</v>
      </c>
      <c r="C2021" s="24" t="s">
        <v>179</v>
      </c>
      <c r="D2021" s="33" t="n">
        <v>17</v>
      </c>
      <c r="E2021" s="24" t="n">
        <v>0</v>
      </c>
      <c r="F2021" s="37" t="n">
        <f aca="false">DATE(YEAR(A2021),MONTH(A2021),1)</f>
        <v>46235</v>
      </c>
      <c r="G2021" s="24" t="str">
        <f aca="false">INDEX(Products!$C$2:$C$49,MATCH(C2021,Products!$A$2:$A$49,0))</f>
        <v>Personal Care</v>
      </c>
      <c r="H2021" s="33" t="n">
        <f aca="false">D2021*INDEX(Products!$E$2:$E$49,MATCH(C2021,Products!$A$2:$A$49,0))</f>
        <v>3060</v>
      </c>
      <c r="I2021" s="33" t="n">
        <f aca="false">D2021*INDEX(Products!$D$2:$D$49,MATCH(C2021,Products!$A$2:$A$49,0))*(1+INDEX(Assumptions!$B$16:$B$20,MATCH(B2021,Assumptions!$A$16:$A$20,0)))</f>
        <v>2056.32</v>
      </c>
      <c r="J2021" s="33" t="n">
        <f aca="false">H2021-I2021</f>
        <v>1003.68</v>
      </c>
      <c r="K2021" s="33" t="n">
        <f aca="false">IF(OR(E2021=0,E2021&gt;=7),0,D2021/(7-E2021)*E2021*INDEX(Products!$E$2:$E$49,MATCH(C2021,Products!$A$2:$A$49,0)))</f>
        <v>0</v>
      </c>
    </row>
    <row r="2022" customFormat="false" ht="15" hidden="false" customHeight="false" outlineLevel="0" collapsed="false">
      <c r="A2022" s="36" t="n">
        <v>46258</v>
      </c>
      <c r="B2022" s="24" t="s">
        <v>62</v>
      </c>
      <c r="C2022" s="24" t="s">
        <v>179</v>
      </c>
      <c r="D2022" s="33" t="n">
        <v>14</v>
      </c>
      <c r="E2022" s="24" t="n">
        <v>0</v>
      </c>
      <c r="F2022" s="37" t="n">
        <f aca="false">DATE(YEAR(A2022),MONTH(A2022),1)</f>
        <v>46235</v>
      </c>
      <c r="G2022" s="24" t="str">
        <f aca="false">INDEX(Products!$C$2:$C$49,MATCH(C2022,Products!$A$2:$A$49,0))</f>
        <v>Personal Care</v>
      </c>
      <c r="H2022" s="33" t="n">
        <f aca="false">D2022*INDEX(Products!$E$2:$E$49,MATCH(C2022,Products!$A$2:$A$49,0))</f>
        <v>2520</v>
      </c>
      <c r="I2022" s="33" t="n">
        <f aca="false">D2022*INDEX(Products!$D$2:$D$49,MATCH(C2022,Products!$A$2:$A$49,0))*(1+INDEX(Assumptions!$B$16:$B$20,MATCH(B2022,Assumptions!$A$16:$A$20,0)))</f>
        <v>1693.44</v>
      </c>
      <c r="J2022" s="33" t="n">
        <f aca="false">H2022-I2022</f>
        <v>826.56</v>
      </c>
      <c r="K2022" s="33" t="n">
        <f aca="false">IF(OR(E2022=0,E2022&gt;=7),0,D2022/(7-E2022)*E2022*INDEX(Products!$E$2:$E$49,MATCH(C2022,Products!$A$2:$A$49,0)))</f>
        <v>0</v>
      </c>
    </row>
    <row r="2023" customFormat="false" ht="15" hidden="false" customHeight="false" outlineLevel="0" collapsed="false">
      <c r="A2023" s="36" t="n">
        <v>46265</v>
      </c>
      <c r="B2023" s="24" t="s">
        <v>62</v>
      </c>
      <c r="C2023" s="24" t="s">
        <v>179</v>
      </c>
      <c r="D2023" s="33" t="n">
        <v>11</v>
      </c>
      <c r="E2023" s="24" t="n">
        <v>0</v>
      </c>
      <c r="F2023" s="37" t="n">
        <f aca="false">DATE(YEAR(A2023),MONTH(A2023),1)</f>
        <v>46235</v>
      </c>
      <c r="G2023" s="24" t="str">
        <f aca="false">INDEX(Products!$C$2:$C$49,MATCH(C2023,Products!$A$2:$A$49,0))</f>
        <v>Personal Care</v>
      </c>
      <c r="H2023" s="33" t="n">
        <f aca="false">D2023*INDEX(Products!$E$2:$E$49,MATCH(C2023,Products!$A$2:$A$49,0))</f>
        <v>1980</v>
      </c>
      <c r="I2023" s="33" t="n">
        <f aca="false">D2023*INDEX(Products!$D$2:$D$49,MATCH(C2023,Products!$A$2:$A$49,0))*(1+INDEX(Assumptions!$B$16:$B$20,MATCH(B2023,Assumptions!$A$16:$A$20,0)))</f>
        <v>1330.56</v>
      </c>
      <c r="J2023" s="33" t="n">
        <f aca="false">H2023-I2023</f>
        <v>649.44</v>
      </c>
      <c r="K2023" s="33" t="n">
        <f aca="false">IF(OR(E2023=0,E2023&gt;=7),0,D2023/(7-E2023)*E2023*INDEX(Products!$E$2:$E$49,MATCH(C2023,Products!$A$2:$A$49,0)))</f>
        <v>0</v>
      </c>
    </row>
    <row r="2024" customFormat="false" ht="15" hidden="false" customHeight="false" outlineLevel="0" collapsed="false">
      <c r="A2024" s="36" t="n">
        <v>46272</v>
      </c>
      <c r="B2024" s="24" t="s">
        <v>62</v>
      </c>
      <c r="C2024" s="24" t="s">
        <v>179</v>
      </c>
      <c r="D2024" s="33" t="n">
        <v>17</v>
      </c>
      <c r="E2024" s="24" t="n">
        <v>0</v>
      </c>
      <c r="F2024" s="37" t="n">
        <f aca="false">DATE(YEAR(A2024),MONTH(A2024),1)</f>
        <v>46266</v>
      </c>
      <c r="G2024" s="24" t="str">
        <f aca="false">INDEX(Products!$C$2:$C$49,MATCH(C2024,Products!$A$2:$A$49,0))</f>
        <v>Personal Care</v>
      </c>
      <c r="H2024" s="33" t="n">
        <f aca="false">D2024*INDEX(Products!$E$2:$E$49,MATCH(C2024,Products!$A$2:$A$49,0))</f>
        <v>3060</v>
      </c>
      <c r="I2024" s="33" t="n">
        <f aca="false">D2024*INDEX(Products!$D$2:$D$49,MATCH(C2024,Products!$A$2:$A$49,0))*(1+INDEX(Assumptions!$B$16:$B$20,MATCH(B2024,Assumptions!$A$16:$A$20,0)))</f>
        <v>2056.32</v>
      </c>
      <c r="J2024" s="33" t="n">
        <f aca="false">H2024-I2024</f>
        <v>1003.68</v>
      </c>
      <c r="K2024" s="33" t="n">
        <f aca="false">IF(OR(E2024=0,E2024&gt;=7),0,D2024/(7-E2024)*E2024*INDEX(Products!$E$2:$E$49,MATCH(C2024,Products!$A$2:$A$49,0)))</f>
        <v>0</v>
      </c>
    </row>
    <row r="2025" customFormat="false" ht="15" hidden="false" customHeight="false" outlineLevel="0" collapsed="false">
      <c r="A2025" s="36" t="n">
        <v>46279</v>
      </c>
      <c r="B2025" s="24" t="s">
        <v>62</v>
      </c>
      <c r="C2025" s="24" t="s">
        <v>179</v>
      </c>
      <c r="D2025" s="33" t="n">
        <v>10</v>
      </c>
      <c r="E2025" s="24" t="n">
        <v>0</v>
      </c>
      <c r="F2025" s="37" t="n">
        <f aca="false">DATE(YEAR(A2025),MONTH(A2025),1)</f>
        <v>46266</v>
      </c>
      <c r="G2025" s="24" t="str">
        <f aca="false">INDEX(Products!$C$2:$C$49,MATCH(C2025,Products!$A$2:$A$49,0))</f>
        <v>Personal Care</v>
      </c>
      <c r="H2025" s="33" t="n">
        <f aca="false">D2025*INDEX(Products!$E$2:$E$49,MATCH(C2025,Products!$A$2:$A$49,0))</f>
        <v>1800</v>
      </c>
      <c r="I2025" s="33" t="n">
        <f aca="false">D2025*INDEX(Products!$D$2:$D$49,MATCH(C2025,Products!$A$2:$A$49,0))*(1+INDEX(Assumptions!$B$16:$B$20,MATCH(B2025,Assumptions!$A$16:$A$20,0)))</f>
        <v>1209.6</v>
      </c>
      <c r="J2025" s="33" t="n">
        <f aca="false">H2025-I2025</f>
        <v>590.4</v>
      </c>
      <c r="K2025" s="33" t="n">
        <f aca="false">IF(OR(E2025=0,E2025&gt;=7),0,D2025/(7-E2025)*E2025*INDEX(Products!$E$2:$E$49,MATCH(C2025,Products!$A$2:$A$49,0)))</f>
        <v>0</v>
      </c>
    </row>
    <row r="2026" customFormat="false" ht="15" hidden="false" customHeight="false" outlineLevel="0" collapsed="false">
      <c r="A2026" s="36" t="n">
        <v>46286</v>
      </c>
      <c r="B2026" s="24" t="s">
        <v>62</v>
      </c>
      <c r="C2026" s="24" t="s">
        <v>179</v>
      </c>
      <c r="D2026" s="33" t="n">
        <v>14</v>
      </c>
      <c r="E2026" s="24" t="n">
        <v>0</v>
      </c>
      <c r="F2026" s="37" t="n">
        <f aca="false">DATE(YEAR(A2026),MONTH(A2026),1)</f>
        <v>46266</v>
      </c>
      <c r="G2026" s="24" t="str">
        <f aca="false">INDEX(Products!$C$2:$C$49,MATCH(C2026,Products!$A$2:$A$49,0))</f>
        <v>Personal Care</v>
      </c>
      <c r="H2026" s="33" t="n">
        <f aca="false">D2026*INDEX(Products!$E$2:$E$49,MATCH(C2026,Products!$A$2:$A$49,0))</f>
        <v>2520</v>
      </c>
      <c r="I2026" s="33" t="n">
        <f aca="false">D2026*INDEX(Products!$D$2:$D$49,MATCH(C2026,Products!$A$2:$A$49,0))*(1+INDEX(Assumptions!$B$16:$B$20,MATCH(B2026,Assumptions!$A$16:$A$20,0)))</f>
        <v>1693.44</v>
      </c>
      <c r="J2026" s="33" t="n">
        <f aca="false">H2026-I2026</f>
        <v>826.56</v>
      </c>
      <c r="K2026" s="33" t="n">
        <f aca="false">IF(OR(E2026=0,E2026&gt;=7),0,D2026/(7-E2026)*E2026*INDEX(Products!$E$2:$E$49,MATCH(C2026,Products!$A$2:$A$49,0)))</f>
        <v>0</v>
      </c>
    </row>
    <row r="2027" customFormat="false" ht="15" hidden="false" customHeight="false" outlineLevel="0" collapsed="false">
      <c r="A2027" s="36" t="n">
        <v>46118</v>
      </c>
      <c r="B2027" s="24" t="s">
        <v>62</v>
      </c>
      <c r="C2027" s="24" t="s">
        <v>181</v>
      </c>
      <c r="D2027" s="33" t="n">
        <v>70</v>
      </c>
      <c r="E2027" s="24" t="n">
        <v>0</v>
      </c>
      <c r="F2027" s="37" t="n">
        <f aca="false">DATE(YEAR(A2027),MONTH(A2027),1)</f>
        <v>46113</v>
      </c>
      <c r="G2027" s="24" t="str">
        <f aca="false">INDEX(Products!$C$2:$C$49,MATCH(C2027,Products!$A$2:$A$49,0))</f>
        <v>Personal Care</v>
      </c>
      <c r="H2027" s="33" t="n">
        <f aca="false">D2027*INDEX(Products!$E$2:$E$49,MATCH(C2027,Products!$A$2:$A$49,0))</f>
        <v>24500</v>
      </c>
      <c r="I2027" s="33" t="n">
        <f aca="false">D2027*INDEX(Products!$D$2:$D$49,MATCH(C2027,Products!$A$2:$A$49,0))*(1+INDEX(Assumptions!$B$16:$B$20,MATCH(B2027,Assumptions!$A$16:$A$20,0)))</f>
        <v>17428.32</v>
      </c>
      <c r="J2027" s="33" t="n">
        <f aca="false">H2027-I2027</f>
        <v>7071.68</v>
      </c>
      <c r="K2027" s="33" t="n">
        <f aca="false">IF(OR(E2027=0,E2027&gt;=7),0,D2027/(7-E2027)*E2027*INDEX(Products!$E$2:$E$49,MATCH(C2027,Products!$A$2:$A$49,0)))</f>
        <v>0</v>
      </c>
    </row>
    <row r="2028" customFormat="false" ht="15" hidden="false" customHeight="false" outlineLevel="0" collapsed="false">
      <c r="A2028" s="36" t="n">
        <v>46125</v>
      </c>
      <c r="B2028" s="24" t="s">
        <v>62</v>
      </c>
      <c r="C2028" s="24" t="s">
        <v>181</v>
      </c>
      <c r="D2028" s="33" t="n">
        <v>75</v>
      </c>
      <c r="E2028" s="24" t="n">
        <v>0</v>
      </c>
      <c r="F2028" s="37" t="n">
        <f aca="false">DATE(YEAR(A2028),MONTH(A2028),1)</f>
        <v>46113</v>
      </c>
      <c r="G2028" s="24" t="str">
        <f aca="false">INDEX(Products!$C$2:$C$49,MATCH(C2028,Products!$A$2:$A$49,0))</f>
        <v>Personal Care</v>
      </c>
      <c r="H2028" s="33" t="n">
        <f aca="false">D2028*INDEX(Products!$E$2:$E$49,MATCH(C2028,Products!$A$2:$A$49,0))</f>
        <v>26250</v>
      </c>
      <c r="I2028" s="33" t="n">
        <f aca="false">D2028*INDEX(Products!$D$2:$D$49,MATCH(C2028,Products!$A$2:$A$49,0))*(1+INDEX(Assumptions!$B$16:$B$20,MATCH(B2028,Assumptions!$A$16:$A$20,0)))</f>
        <v>18673.2</v>
      </c>
      <c r="J2028" s="33" t="n">
        <f aca="false">H2028-I2028</f>
        <v>7576.8</v>
      </c>
      <c r="K2028" s="33" t="n">
        <f aca="false">IF(OR(E2028=0,E2028&gt;=7),0,D2028/(7-E2028)*E2028*INDEX(Products!$E$2:$E$49,MATCH(C2028,Products!$A$2:$A$49,0)))</f>
        <v>0</v>
      </c>
    </row>
    <row r="2029" customFormat="false" ht="15" hidden="false" customHeight="false" outlineLevel="0" collapsed="false">
      <c r="A2029" s="36" t="n">
        <v>46132</v>
      </c>
      <c r="B2029" s="24" t="s">
        <v>62</v>
      </c>
      <c r="C2029" s="24" t="s">
        <v>181</v>
      </c>
      <c r="D2029" s="33" t="n">
        <v>81</v>
      </c>
      <c r="E2029" s="24" t="n">
        <v>0</v>
      </c>
      <c r="F2029" s="37" t="n">
        <f aca="false">DATE(YEAR(A2029),MONTH(A2029),1)</f>
        <v>46113</v>
      </c>
      <c r="G2029" s="24" t="str">
        <f aca="false">INDEX(Products!$C$2:$C$49,MATCH(C2029,Products!$A$2:$A$49,0))</f>
        <v>Personal Care</v>
      </c>
      <c r="H2029" s="33" t="n">
        <f aca="false">D2029*INDEX(Products!$E$2:$E$49,MATCH(C2029,Products!$A$2:$A$49,0))</f>
        <v>28350</v>
      </c>
      <c r="I2029" s="33" t="n">
        <f aca="false">D2029*INDEX(Products!$D$2:$D$49,MATCH(C2029,Products!$A$2:$A$49,0))*(1+INDEX(Assumptions!$B$16:$B$20,MATCH(B2029,Assumptions!$A$16:$A$20,0)))</f>
        <v>20167.056</v>
      </c>
      <c r="J2029" s="33" t="n">
        <f aca="false">H2029-I2029</f>
        <v>8182.944</v>
      </c>
      <c r="K2029" s="33" t="n">
        <f aca="false">IF(OR(E2029=0,E2029&gt;=7),0,D2029/(7-E2029)*E2029*INDEX(Products!$E$2:$E$49,MATCH(C2029,Products!$A$2:$A$49,0)))</f>
        <v>0</v>
      </c>
    </row>
    <row r="2030" customFormat="false" ht="15" hidden="false" customHeight="false" outlineLevel="0" collapsed="false">
      <c r="A2030" s="36" t="n">
        <v>46139</v>
      </c>
      <c r="B2030" s="24" t="s">
        <v>62</v>
      </c>
      <c r="C2030" s="24" t="s">
        <v>181</v>
      </c>
      <c r="D2030" s="33" t="n">
        <v>103</v>
      </c>
      <c r="E2030" s="24" t="n">
        <v>0</v>
      </c>
      <c r="F2030" s="37" t="n">
        <f aca="false">DATE(YEAR(A2030),MONTH(A2030),1)</f>
        <v>46113</v>
      </c>
      <c r="G2030" s="24" t="str">
        <f aca="false">INDEX(Products!$C$2:$C$49,MATCH(C2030,Products!$A$2:$A$49,0))</f>
        <v>Personal Care</v>
      </c>
      <c r="H2030" s="33" t="n">
        <f aca="false">D2030*INDEX(Products!$E$2:$E$49,MATCH(C2030,Products!$A$2:$A$49,0))</f>
        <v>36050</v>
      </c>
      <c r="I2030" s="33" t="n">
        <f aca="false">D2030*INDEX(Products!$D$2:$D$49,MATCH(C2030,Products!$A$2:$A$49,0))*(1+INDEX(Assumptions!$B$16:$B$20,MATCH(B2030,Assumptions!$A$16:$A$20,0)))</f>
        <v>25644.528</v>
      </c>
      <c r="J2030" s="33" t="n">
        <f aca="false">H2030-I2030</f>
        <v>10405.472</v>
      </c>
      <c r="K2030" s="33" t="n">
        <f aca="false">IF(OR(E2030=0,E2030&gt;=7),0,D2030/(7-E2030)*E2030*INDEX(Products!$E$2:$E$49,MATCH(C2030,Products!$A$2:$A$49,0)))</f>
        <v>0</v>
      </c>
    </row>
    <row r="2031" customFormat="false" ht="15" hidden="false" customHeight="false" outlineLevel="0" collapsed="false">
      <c r="A2031" s="36" t="n">
        <v>46146</v>
      </c>
      <c r="B2031" s="24" t="s">
        <v>62</v>
      </c>
      <c r="C2031" s="24" t="s">
        <v>181</v>
      </c>
      <c r="D2031" s="33" t="n">
        <v>86</v>
      </c>
      <c r="E2031" s="24" t="n">
        <v>0</v>
      </c>
      <c r="F2031" s="37" t="n">
        <f aca="false">DATE(YEAR(A2031),MONTH(A2031),1)</f>
        <v>46143</v>
      </c>
      <c r="G2031" s="24" t="str">
        <f aca="false">INDEX(Products!$C$2:$C$49,MATCH(C2031,Products!$A$2:$A$49,0))</f>
        <v>Personal Care</v>
      </c>
      <c r="H2031" s="33" t="n">
        <f aca="false">D2031*INDEX(Products!$E$2:$E$49,MATCH(C2031,Products!$A$2:$A$49,0))</f>
        <v>30100</v>
      </c>
      <c r="I2031" s="33" t="n">
        <f aca="false">D2031*INDEX(Products!$D$2:$D$49,MATCH(C2031,Products!$A$2:$A$49,0))*(1+INDEX(Assumptions!$B$16:$B$20,MATCH(B2031,Assumptions!$A$16:$A$20,0)))</f>
        <v>21411.936</v>
      </c>
      <c r="J2031" s="33" t="n">
        <f aca="false">H2031-I2031</f>
        <v>8688.064</v>
      </c>
      <c r="K2031" s="33" t="n">
        <f aca="false">IF(OR(E2031=0,E2031&gt;=7),0,D2031/(7-E2031)*E2031*INDEX(Products!$E$2:$E$49,MATCH(C2031,Products!$A$2:$A$49,0)))</f>
        <v>0</v>
      </c>
    </row>
    <row r="2032" customFormat="false" ht="15" hidden="false" customHeight="false" outlineLevel="0" collapsed="false">
      <c r="A2032" s="36" t="n">
        <v>46153</v>
      </c>
      <c r="B2032" s="24" t="s">
        <v>62</v>
      </c>
      <c r="C2032" s="24" t="s">
        <v>181</v>
      </c>
      <c r="D2032" s="33" t="n">
        <v>49</v>
      </c>
      <c r="E2032" s="24" t="n">
        <v>3</v>
      </c>
      <c r="F2032" s="37" t="n">
        <f aca="false">DATE(YEAR(A2032),MONTH(A2032),1)</f>
        <v>46143</v>
      </c>
      <c r="G2032" s="24" t="str">
        <f aca="false">INDEX(Products!$C$2:$C$49,MATCH(C2032,Products!$A$2:$A$49,0))</f>
        <v>Personal Care</v>
      </c>
      <c r="H2032" s="33" t="n">
        <f aca="false">D2032*INDEX(Products!$E$2:$E$49,MATCH(C2032,Products!$A$2:$A$49,0))</f>
        <v>17150</v>
      </c>
      <c r="I2032" s="33" t="n">
        <f aca="false">D2032*INDEX(Products!$D$2:$D$49,MATCH(C2032,Products!$A$2:$A$49,0))*(1+INDEX(Assumptions!$B$16:$B$20,MATCH(B2032,Assumptions!$A$16:$A$20,0)))</f>
        <v>12199.824</v>
      </c>
      <c r="J2032" s="33" t="n">
        <f aca="false">H2032-I2032</f>
        <v>4950.176</v>
      </c>
      <c r="K2032" s="33" t="n">
        <f aca="false">IF(OR(E2032=0,E2032&gt;=7),0,D2032/(7-E2032)*E2032*INDEX(Products!$E$2:$E$49,MATCH(C2032,Products!$A$2:$A$49,0)))</f>
        <v>12862.5</v>
      </c>
    </row>
    <row r="2033" customFormat="false" ht="15" hidden="false" customHeight="false" outlineLevel="0" collapsed="false">
      <c r="A2033" s="36" t="n">
        <v>46160</v>
      </c>
      <c r="B2033" s="24" t="s">
        <v>62</v>
      </c>
      <c r="C2033" s="24" t="s">
        <v>181</v>
      </c>
      <c r="D2033" s="33" t="n">
        <v>82</v>
      </c>
      <c r="E2033" s="24" t="n">
        <v>0</v>
      </c>
      <c r="F2033" s="37" t="n">
        <f aca="false">DATE(YEAR(A2033),MONTH(A2033),1)</f>
        <v>46143</v>
      </c>
      <c r="G2033" s="24" t="str">
        <f aca="false">INDEX(Products!$C$2:$C$49,MATCH(C2033,Products!$A$2:$A$49,0))</f>
        <v>Personal Care</v>
      </c>
      <c r="H2033" s="33" t="n">
        <f aca="false">D2033*INDEX(Products!$E$2:$E$49,MATCH(C2033,Products!$A$2:$A$49,0))</f>
        <v>28700</v>
      </c>
      <c r="I2033" s="33" t="n">
        <f aca="false">D2033*INDEX(Products!$D$2:$D$49,MATCH(C2033,Products!$A$2:$A$49,0))*(1+INDEX(Assumptions!$B$16:$B$20,MATCH(B2033,Assumptions!$A$16:$A$20,0)))</f>
        <v>20416.032</v>
      </c>
      <c r="J2033" s="33" t="n">
        <f aca="false">H2033-I2033</f>
        <v>8283.968</v>
      </c>
      <c r="K2033" s="33" t="n">
        <f aca="false">IF(OR(E2033=0,E2033&gt;=7),0,D2033/(7-E2033)*E2033*INDEX(Products!$E$2:$E$49,MATCH(C2033,Products!$A$2:$A$49,0)))</f>
        <v>0</v>
      </c>
    </row>
    <row r="2034" customFormat="false" ht="15" hidden="false" customHeight="false" outlineLevel="0" collapsed="false">
      <c r="A2034" s="36" t="n">
        <v>46167</v>
      </c>
      <c r="B2034" s="24" t="s">
        <v>62</v>
      </c>
      <c r="C2034" s="24" t="s">
        <v>181</v>
      </c>
      <c r="D2034" s="33" t="n">
        <v>121</v>
      </c>
      <c r="E2034" s="24" t="n">
        <v>0</v>
      </c>
      <c r="F2034" s="37" t="n">
        <f aca="false">DATE(YEAR(A2034),MONTH(A2034),1)</f>
        <v>46143</v>
      </c>
      <c r="G2034" s="24" t="str">
        <f aca="false">INDEX(Products!$C$2:$C$49,MATCH(C2034,Products!$A$2:$A$49,0))</f>
        <v>Personal Care</v>
      </c>
      <c r="H2034" s="33" t="n">
        <f aca="false">D2034*INDEX(Products!$E$2:$E$49,MATCH(C2034,Products!$A$2:$A$49,0))</f>
        <v>42350</v>
      </c>
      <c r="I2034" s="33" t="n">
        <f aca="false">D2034*INDEX(Products!$D$2:$D$49,MATCH(C2034,Products!$A$2:$A$49,0))*(1+INDEX(Assumptions!$B$16:$B$20,MATCH(B2034,Assumptions!$A$16:$A$20,0)))</f>
        <v>30126.096</v>
      </c>
      <c r="J2034" s="33" t="n">
        <f aca="false">H2034-I2034</f>
        <v>12223.904</v>
      </c>
      <c r="K2034" s="33" t="n">
        <f aca="false">IF(OR(E2034=0,E2034&gt;=7),0,D2034/(7-E2034)*E2034*INDEX(Products!$E$2:$E$49,MATCH(C2034,Products!$A$2:$A$49,0)))</f>
        <v>0</v>
      </c>
    </row>
    <row r="2035" customFormat="false" ht="15" hidden="false" customHeight="false" outlineLevel="0" collapsed="false">
      <c r="A2035" s="36" t="n">
        <v>46174</v>
      </c>
      <c r="B2035" s="24" t="s">
        <v>62</v>
      </c>
      <c r="C2035" s="24" t="s">
        <v>181</v>
      </c>
      <c r="D2035" s="33" t="n">
        <v>83</v>
      </c>
      <c r="E2035" s="24" t="n">
        <v>0</v>
      </c>
      <c r="F2035" s="37" t="n">
        <f aca="false">DATE(YEAR(A2035),MONTH(A2035),1)</f>
        <v>46174</v>
      </c>
      <c r="G2035" s="24" t="str">
        <f aca="false">INDEX(Products!$C$2:$C$49,MATCH(C2035,Products!$A$2:$A$49,0))</f>
        <v>Personal Care</v>
      </c>
      <c r="H2035" s="33" t="n">
        <f aca="false">D2035*INDEX(Products!$E$2:$E$49,MATCH(C2035,Products!$A$2:$A$49,0))</f>
        <v>29050</v>
      </c>
      <c r="I2035" s="33" t="n">
        <f aca="false">D2035*INDEX(Products!$D$2:$D$49,MATCH(C2035,Products!$A$2:$A$49,0))*(1+INDEX(Assumptions!$B$16:$B$20,MATCH(B2035,Assumptions!$A$16:$A$20,0)))</f>
        <v>20665.008</v>
      </c>
      <c r="J2035" s="33" t="n">
        <f aca="false">H2035-I2035</f>
        <v>8384.992</v>
      </c>
      <c r="K2035" s="33" t="n">
        <f aca="false">IF(OR(E2035=0,E2035&gt;=7),0,D2035/(7-E2035)*E2035*INDEX(Products!$E$2:$E$49,MATCH(C2035,Products!$A$2:$A$49,0)))</f>
        <v>0</v>
      </c>
    </row>
    <row r="2036" customFormat="false" ht="15" hidden="false" customHeight="false" outlineLevel="0" collapsed="false">
      <c r="A2036" s="36" t="n">
        <v>46181</v>
      </c>
      <c r="B2036" s="24" t="s">
        <v>62</v>
      </c>
      <c r="C2036" s="24" t="s">
        <v>181</v>
      </c>
      <c r="D2036" s="33" t="n">
        <v>83</v>
      </c>
      <c r="E2036" s="24" t="n">
        <v>0</v>
      </c>
      <c r="F2036" s="37" t="n">
        <f aca="false">DATE(YEAR(A2036),MONTH(A2036),1)</f>
        <v>46174</v>
      </c>
      <c r="G2036" s="24" t="str">
        <f aca="false">INDEX(Products!$C$2:$C$49,MATCH(C2036,Products!$A$2:$A$49,0))</f>
        <v>Personal Care</v>
      </c>
      <c r="H2036" s="33" t="n">
        <f aca="false">D2036*INDEX(Products!$E$2:$E$49,MATCH(C2036,Products!$A$2:$A$49,0))</f>
        <v>29050</v>
      </c>
      <c r="I2036" s="33" t="n">
        <f aca="false">D2036*INDEX(Products!$D$2:$D$49,MATCH(C2036,Products!$A$2:$A$49,0))*(1+INDEX(Assumptions!$B$16:$B$20,MATCH(B2036,Assumptions!$A$16:$A$20,0)))</f>
        <v>20665.008</v>
      </c>
      <c r="J2036" s="33" t="n">
        <f aca="false">H2036-I2036</f>
        <v>8384.992</v>
      </c>
      <c r="K2036" s="33" t="n">
        <f aca="false">IF(OR(E2036=0,E2036&gt;=7),0,D2036/(7-E2036)*E2036*INDEX(Products!$E$2:$E$49,MATCH(C2036,Products!$A$2:$A$49,0)))</f>
        <v>0</v>
      </c>
    </row>
    <row r="2037" customFormat="false" ht="15" hidden="false" customHeight="false" outlineLevel="0" collapsed="false">
      <c r="A2037" s="36" t="n">
        <v>46188</v>
      </c>
      <c r="B2037" s="24" t="s">
        <v>62</v>
      </c>
      <c r="C2037" s="24" t="s">
        <v>181</v>
      </c>
      <c r="D2037" s="33" t="n">
        <v>81</v>
      </c>
      <c r="E2037" s="24" t="n">
        <v>0</v>
      </c>
      <c r="F2037" s="37" t="n">
        <f aca="false">DATE(YEAR(A2037),MONTH(A2037),1)</f>
        <v>46174</v>
      </c>
      <c r="G2037" s="24" t="str">
        <f aca="false">INDEX(Products!$C$2:$C$49,MATCH(C2037,Products!$A$2:$A$49,0))</f>
        <v>Personal Care</v>
      </c>
      <c r="H2037" s="33" t="n">
        <f aca="false">D2037*INDEX(Products!$E$2:$E$49,MATCH(C2037,Products!$A$2:$A$49,0))</f>
        <v>28350</v>
      </c>
      <c r="I2037" s="33" t="n">
        <f aca="false">D2037*INDEX(Products!$D$2:$D$49,MATCH(C2037,Products!$A$2:$A$49,0))*(1+INDEX(Assumptions!$B$16:$B$20,MATCH(B2037,Assumptions!$A$16:$A$20,0)))</f>
        <v>20167.056</v>
      </c>
      <c r="J2037" s="33" t="n">
        <f aca="false">H2037-I2037</f>
        <v>8182.944</v>
      </c>
      <c r="K2037" s="33" t="n">
        <f aca="false">IF(OR(E2037=0,E2037&gt;=7),0,D2037/(7-E2037)*E2037*INDEX(Products!$E$2:$E$49,MATCH(C2037,Products!$A$2:$A$49,0)))</f>
        <v>0</v>
      </c>
    </row>
    <row r="2038" customFormat="false" ht="15" hidden="false" customHeight="false" outlineLevel="0" collapsed="false">
      <c r="A2038" s="36" t="n">
        <v>46195</v>
      </c>
      <c r="B2038" s="24" t="s">
        <v>62</v>
      </c>
      <c r="C2038" s="24" t="s">
        <v>181</v>
      </c>
      <c r="D2038" s="33" t="n">
        <v>82</v>
      </c>
      <c r="E2038" s="24" t="n">
        <v>0</v>
      </c>
      <c r="F2038" s="37" t="n">
        <f aca="false">DATE(YEAR(A2038),MONTH(A2038),1)</f>
        <v>46174</v>
      </c>
      <c r="G2038" s="24" t="str">
        <f aca="false">INDEX(Products!$C$2:$C$49,MATCH(C2038,Products!$A$2:$A$49,0))</f>
        <v>Personal Care</v>
      </c>
      <c r="H2038" s="33" t="n">
        <f aca="false">D2038*INDEX(Products!$E$2:$E$49,MATCH(C2038,Products!$A$2:$A$49,0))</f>
        <v>28700</v>
      </c>
      <c r="I2038" s="33" t="n">
        <f aca="false">D2038*INDEX(Products!$D$2:$D$49,MATCH(C2038,Products!$A$2:$A$49,0))*(1+INDEX(Assumptions!$B$16:$B$20,MATCH(B2038,Assumptions!$A$16:$A$20,0)))</f>
        <v>20416.032</v>
      </c>
      <c r="J2038" s="33" t="n">
        <f aca="false">H2038-I2038</f>
        <v>8283.968</v>
      </c>
      <c r="K2038" s="33" t="n">
        <f aca="false">IF(OR(E2038=0,E2038&gt;=7),0,D2038/(7-E2038)*E2038*INDEX(Products!$E$2:$E$49,MATCH(C2038,Products!$A$2:$A$49,0)))</f>
        <v>0</v>
      </c>
    </row>
    <row r="2039" customFormat="false" ht="15" hidden="false" customHeight="false" outlineLevel="0" collapsed="false">
      <c r="A2039" s="36" t="n">
        <v>46202</v>
      </c>
      <c r="B2039" s="24" t="s">
        <v>62</v>
      </c>
      <c r="C2039" s="24" t="s">
        <v>181</v>
      </c>
      <c r="D2039" s="33" t="n">
        <v>89</v>
      </c>
      <c r="E2039" s="24" t="n">
        <v>0</v>
      </c>
      <c r="F2039" s="37" t="n">
        <f aca="false">DATE(YEAR(A2039),MONTH(A2039),1)</f>
        <v>46174</v>
      </c>
      <c r="G2039" s="24" t="str">
        <f aca="false">INDEX(Products!$C$2:$C$49,MATCH(C2039,Products!$A$2:$A$49,0))</f>
        <v>Personal Care</v>
      </c>
      <c r="H2039" s="33" t="n">
        <f aca="false">D2039*INDEX(Products!$E$2:$E$49,MATCH(C2039,Products!$A$2:$A$49,0))</f>
        <v>31150</v>
      </c>
      <c r="I2039" s="33" t="n">
        <f aca="false">D2039*INDEX(Products!$D$2:$D$49,MATCH(C2039,Products!$A$2:$A$49,0))*(1+INDEX(Assumptions!$B$16:$B$20,MATCH(B2039,Assumptions!$A$16:$A$20,0)))</f>
        <v>22158.864</v>
      </c>
      <c r="J2039" s="33" t="n">
        <f aca="false">H2039-I2039</f>
        <v>8991.136</v>
      </c>
      <c r="K2039" s="33" t="n">
        <f aca="false">IF(OR(E2039=0,E2039&gt;=7),0,D2039/(7-E2039)*E2039*INDEX(Products!$E$2:$E$49,MATCH(C2039,Products!$A$2:$A$49,0)))</f>
        <v>0</v>
      </c>
    </row>
    <row r="2040" customFormat="false" ht="15" hidden="false" customHeight="false" outlineLevel="0" collapsed="false">
      <c r="A2040" s="36" t="n">
        <v>46209</v>
      </c>
      <c r="B2040" s="24" t="s">
        <v>62</v>
      </c>
      <c r="C2040" s="24" t="s">
        <v>181</v>
      </c>
      <c r="D2040" s="33" t="n">
        <v>62</v>
      </c>
      <c r="E2040" s="24" t="n">
        <v>1</v>
      </c>
      <c r="F2040" s="37" t="n">
        <f aca="false">DATE(YEAR(A2040),MONTH(A2040),1)</f>
        <v>46204</v>
      </c>
      <c r="G2040" s="24" t="str">
        <f aca="false">INDEX(Products!$C$2:$C$49,MATCH(C2040,Products!$A$2:$A$49,0))</f>
        <v>Personal Care</v>
      </c>
      <c r="H2040" s="33" t="n">
        <f aca="false">D2040*INDEX(Products!$E$2:$E$49,MATCH(C2040,Products!$A$2:$A$49,0))</f>
        <v>21700</v>
      </c>
      <c r="I2040" s="33" t="n">
        <f aca="false">D2040*INDEX(Products!$D$2:$D$49,MATCH(C2040,Products!$A$2:$A$49,0))*(1+INDEX(Assumptions!$B$16:$B$20,MATCH(B2040,Assumptions!$A$16:$A$20,0)))</f>
        <v>15436.512</v>
      </c>
      <c r="J2040" s="33" t="n">
        <f aca="false">H2040-I2040</f>
        <v>6263.488</v>
      </c>
      <c r="K2040" s="33" t="n">
        <f aca="false">IF(OR(E2040=0,E2040&gt;=7),0,D2040/(7-E2040)*E2040*INDEX(Products!$E$2:$E$49,MATCH(C2040,Products!$A$2:$A$49,0)))</f>
        <v>3616.66666666667</v>
      </c>
    </row>
    <row r="2041" customFormat="false" ht="15" hidden="false" customHeight="false" outlineLevel="0" collapsed="false">
      <c r="A2041" s="36" t="n">
        <v>46216</v>
      </c>
      <c r="B2041" s="24" t="s">
        <v>62</v>
      </c>
      <c r="C2041" s="24" t="s">
        <v>181</v>
      </c>
      <c r="D2041" s="33" t="n">
        <v>74</v>
      </c>
      <c r="E2041" s="24" t="n">
        <v>0</v>
      </c>
      <c r="F2041" s="37" t="n">
        <f aca="false">DATE(YEAR(A2041),MONTH(A2041),1)</f>
        <v>46204</v>
      </c>
      <c r="G2041" s="24" t="str">
        <f aca="false">INDEX(Products!$C$2:$C$49,MATCH(C2041,Products!$A$2:$A$49,0))</f>
        <v>Personal Care</v>
      </c>
      <c r="H2041" s="33" t="n">
        <f aca="false">D2041*INDEX(Products!$E$2:$E$49,MATCH(C2041,Products!$A$2:$A$49,0))</f>
        <v>25900</v>
      </c>
      <c r="I2041" s="33" t="n">
        <f aca="false">D2041*INDEX(Products!$D$2:$D$49,MATCH(C2041,Products!$A$2:$A$49,0))*(1+INDEX(Assumptions!$B$16:$B$20,MATCH(B2041,Assumptions!$A$16:$A$20,0)))</f>
        <v>18424.224</v>
      </c>
      <c r="J2041" s="33" t="n">
        <f aca="false">H2041-I2041</f>
        <v>7475.776</v>
      </c>
      <c r="K2041" s="33" t="n">
        <f aca="false">IF(OR(E2041=0,E2041&gt;=7),0,D2041/(7-E2041)*E2041*INDEX(Products!$E$2:$E$49,MATCH(C2041,Products!$A$2:$A$49,0)))</f>
        <v>0</v>
      </c>
    </row>
    <row r="2042" customFormat="false" ht="15" hidden="false" customHeight="false" outlineLevel="0" collapsed="false">
      <c r="A2042" s="36" t="n">
        <v>46223</v>
      </c>
      <c r="B2042" s="24" t="s">
        <v>62</v>
      </c>
      <c r="C2042" s="24" t="s">
        <v>181</v>
      </c>
      <c r="D2042" s="33" t="n">
        <v>79</v>
      </c>
      <c r="E2042" s="24" t="n">
        <v>0</v>
      </c>
      <c r="F2042" s="37" t="n">
        <f aca="false">DATE(YEAR(A2042),MONTH(A2042),1)</f>
        <v>46204</v>
      </c>
      <c r="G2042" s="24" t="str">
        <f aca="false">INDEX(Products!$C$2:$C$49,MATCH(C2042,Products!$A$2:$A$49,0))</f>
        <v>Personal Care</v>
      </c>
      <c r="H2042" s="33" t="n">
        <f aca="false">D2042*INDEX(Products!$E$2:$E$49,MATCH(C2042,Products!$A$2:$A$49,0))</f>
        <v>27650</v>
      </c>
      <c r="I2042" s="33" t="n">
        <f aca="false">D2042*INDEX(Products!$D$2:$D$49,MATCH(C2042,Products!$A$2:$A$49,0))*(1+INDEX(Assumptions!$B$16:$B$20,MATCH(B2042,Assumptions!$A$16:$A$20,0)))</f>
        <v>19669.104</v>
      </c>
      <c r="J2042" s="33" t="n">
        <f aca="false">H2042-I2042</f>
        <v>7980.896</v>
      </c>
      <c r="K2042" s="33" t="n">
        <f aca="false">IF(OR(E2042=0,E2042&gt;=7),0,D2042/(7-E2042)*E2042*INDEX(Products!$E$2:$E$49,MATCH(C2042,Products!$A$2:$A$49,0)))</f>
        <v>0</v>
      </c>
    </row>
    <row r="2043" customFormat="false" ht="15" hidden="false" customHeight="false" outlineLevel="0" collapsed="false">
      <c r="A2043" s="36" t="n">
        <v>46230</v>
      </c>
      <c r="B2043" s="24" t="s">
        <v>62</v>
      </c>
      <c r="C2043" s="24" t="s">
        <v>181</v>
      </c>
      <c r="D2043" s="33" t="n">
        <v>172</v>
      </c>
      <c r="E2043" s="24" t="n">
        <v>0</v>
      </c>
      <c r="F2043" s="37" t="n">
        <f aca="false">DATE(YEAR(A2043),MONTH(A2043),1)</f>
        <v>46204</v>
      </c>
      <c r="G2043" s="24" t="str">
        <f aca="false">INDEX(Products!$C$2:$C$49,MATCH(C2043,Products!$A$2:$A$49,0))</f>
        <v>Personal Care</v>
      </c>
      <c r="H2043" s="33" t="n">
        <f aca="false">D2043*INDEX(Products!$E$2:$E$49,MATCH(C2043,Products!$A$2:$A$49,0))</f>
        <v>60200</v>
      </c>
      <c r="I2043" s="33" t="n">
        <f aca="false">D2043*INDEX(Products!$D$2:$D$49,MATCH(C2043,Products!$A$2:$A$49,0))*(1+INDEX(Assumptions!$B$16:$B$20,MATCH(B2043,Assumptions!$A$16:$A$20,0)))</f>
        <v>42823.872</v>
      </c>
      <c r="J2043" s="33" t="n">
        <f aca="false">H2043-I2043</f>
        <v>17376.128</v>
      </c>
      <c r="K2043" s="33" t="n">
        <f aca="false">IF(OR(E2043=0,E2043&gt;=7),0,D2043/(7-E2043)*E2043*INDEX(Products!$E$2:$E$49,MATCH(C2043,Products!$A$2:$A$49,0)))</f>
        <v>0</v>
      </c>
    </row>
    <row r="2044" customFormat="false" ht="15" hidden="false" customHeight="false" outlineLevel="0" collapsed="false">
      <c r="A2044" s="36" t="n">
        <v>46237</v>
      </c>
      <c r="B2044" s="24" t="s">
        <v>62</v>
      </c>
      <c r="C2044" s="24" t="s">
        <v>181</v>
      </c>
      <c r="D2044" s="33" t="n">
        <v>82</v>
      </c>
      <c r="E2044" s="24" t="n">
        <v>0</v>
      </c>
      <c r="F2044" s="37" t="n">
        <f aca="false">DATE(YEAR(A2044),MONTH(A2044),1)</f>
        <v>46235</v>
      </c>
      <c r="G2044" s="24" t="str">
        <f aca="false">INDEX(Products!$C$2:$C$49,MATCH(C2044,Products!$A$2:$A$49,0))</f>
        <v>Personal Care</v>
      </c>
      <c r="H2044" s="33" t="n">
        <f aca="false">D2044*INDEX(Products!$E$2:$E$49,MATCH(C2044,Products!$A$2:$A$49,0))</f>
        <v>28700</v>
      </c>
      <c r="I2044" s="33" t="n">
        <f aca="false">D2044*INDEX(Products!$D$2:$D$49,MATCH(C2044,Products!$A$2:$A$49,0))*(1+INDEX(Assumptions!$B$16:$B$20,MATCH(B2044,Assumptions!$A$16:$A$20,0)))</f>
        <v>20416.032</v>
      </c>
      <c r="J2044" s="33" t="n">
        <f aca="false">H2044-I2044</f>
        <v>8283.968</v>
      </c>
      <c r="K2044" s="33" t="n">
        <f aca="false">IF(OR(E2044=0,E2044&gt;=7),0,D2044/(7-E2044)*E2044*INDEX(Products!$E$2:$E$49,MATCH(C2044,Products!$A$2:$A$49,0)))</f>
        <v>0</v>
      </c>
    </row>
    <row r="2045" customFormat="false" ht="15" hidden="false" customHeight="false" outlineLevel="0" collapsed="false">
      <c r="A2045" s="36" t="n">
        <v>46244</v>
      </c>
      <c r="B2045" s="24" t="s">
        <v>62</v>
      </c>
      <c r="C2045" s="24" t="s">
        <v>181</v>
      </c>
      <c r="D2045" s="33" t="n">
        <v>66</v>
      </c>
      <c r="E2045" s="24" t="n">
        <v>0</v>
      </c>
      <c r="F2045" s="37" t="n">
        <f aca="false">DATE(YEAR(A2045),MONTH(A2045),1)</f>
        <v>46235</v>
      </c>
      <c r="G2045" s="24" t="str">
        <f aca="false">INDEX(Products!$C$2:$C$49,MATCH(C2045,Products!$A$2:$A$49,0))</f>
        <v>Personal Care</v>
      </c>
      <c r="H2045" s="33" t="n">
        <f aca="false">D2045*INDEX(Products!$E$2:$E$49,MATCH(C2045,Products!$A$2:$A$49,0))</f>
        <v>23100</v>
      </c>
      <c r="I2045" s="33" t="n">
        <f aca="false">D2045*INDEX(Products!$D$2:$D$49,MATCH(C2045,Products!$A$2:$A$49,0))*(1+INDEX(Assumptions!$B$16:$B$20,MATCH(B2045,Assumptions!$A$16:$A$20,0)))</f>
        <v>16432.416</v>
      </c>
      <c r="J2045" s="33" t="n">
        <f aca="false">H2045-I2045</f>
        <v>6667.584</v>
      </c>
      <c r="K2045" s="33" t="n">
        <f aca="false">IF(OR(E2045=0,E2045&gt;=7),0,D2045/(7-E2045)*E2045*INDEX(Products!$E$2:$E$49,MATCH(C2045,Products!$A$2:$A$49,0)))</f>
        <v>0</v>
      </c>
    </row>
    <row r="2046" customFormat="false" ht="15" hidden="false" customHeight="false" outlineLevel="0" collapsed="false">
      <c r="A2046" s="36" t="n">
        <v>46251</v>
      </c>
      <c r="B2046" s="24" t="s">
        <v>62</v>
      </c>
      <c r="C2046" s="24" t="s">
        <v>181</v>
      </c>
      <c r="D2046" s="33" t="n">
        <v>63</v>
      </c>
      <c r="E2046" s="24" t="n">
        <v>0</v>
      </c>
      <c r="F2046" s="37" t="n">
        <f aca="false">DATE(YEAR(A2046),MONTH(A2046),1)</f>
        <v>46235</v>
      </c>
      <c r="G2046" s="24" t="str">
        <f aca="false">INDEX(Products!$C$2:$C$49,MATCH(C2046,Products!$A$2:$A$49,0))</f>
        <v>Personal Care</v>
      </c>
      <c r="H2046" s="33" t="n">
        <f aca="false">D2046*INDEX(Products!$E$2:$E$49,MATCH(C2046,Products!$A$2:$A$49,0))</f>
        <v>22050</v>
      </c>
      <c r="I2046" s="33" t="n">
        <f aca="false">D2046*INDEX(Products!$D$2:$D$49,MATCH(C2046,Products!$A$2:$A$49,0))*(1+INDEX(Assumptions!$B$16:$B$20,MATCH(B2046,Assumptions!$A$16:$A$20,0)))</f>
        <v>15685.488</v>
      </c>
      <c r="J2046" s="33" t="n">
        <f aca="false">H2046-I2046</f>
        <v>6364.512</v>
      </c>
      <c r="K2046" s="33" t="n">
        <f aca="false">IF(OR(E2046=0,E2046&gt;=7),0,D2046/(7-E2046)*E2046*INDEX(Products!$E$2:$E$49,MATCH(C2046,Products!$A$2:$A$49,0)))</f>
        <v>0</v>
      </c>
    </row>
    <row r="2047" customFormat="false" ht="15" hidden="false" customHeight="false" outlineLevel="0" collapsed="false">
      <c r="A2047" s="36" t="n">
        <v>46258</v>
      </c>
      <c r="B2047" s="24" t="s">
        <v>62</v>
      </c>
      <c r="C2047" s="24" t="s">
        <v>181</v>
      </c>
      <c r="D2047" s="33" t="n">
        <v>69</v>
      </c>
      <c r="E2047" s="24" t="n">
        <v>0</v>
      </c>
      <c r="F2047" s="37" t="n">
        <f aca="false">DATE(YEAR(A2047),MONTH(A2047),1)</f>
        <v>46235</v>
      </c>
      <c r="G2047" s="24" t="str">
        <f aca="false">INDEX(Products!$C$2:$C$49,MATCH(C2047,Products!$A$2:$A$49,0))</f>
        <v>Personal Care</v>
      </c>
      <c r="H2047" s="33" t="n">
        <f aca="false">D2047*INDEX(Products!$E$2:$E$49,MATCH(C2047,Products!$A$2:$A$49,0))</f>
        <v>24150</v>
      </c>
      <c r="I2047" s="33" t="n">
        <f aca="false">D2047*INDEX(Products!$D$2:$D$49,MATCH(C2047,Products!$A$2:$A$49,0))*(1+INDEX(Assumptions!$B$16:$B$20,MATCH(B2047,Assumptions!$A$16:$A$20,0)))</f>
        <v>17179.344</v>
      </c>
      <c r="J2047" s="33" t="n">
        <f aca="false">H2047-I2047</f>
        <v>6970.656</v>
      </c>
      <c r="K2047" s="33" t="n">
        <f aca="false">IF(OR(E2047=0,E2047&gt;=7),0,D2047/(7-E2047)*E2047*INDEX(Products!$E$2:$E$49,MATCH(C2047,Products!$A$2:$A$49,0)))</f>
        <v>0</v>
      </c>
    </row>
    <row r="2048" customFormat="false" ht="15" hidden="false" customHeight="false" outlineLevel="0" collapsed="false">
      <c r="A2048" s="36" t="n">
        <v>46265</v>
      </c>
      <c r="B2048" s="24" t="s">
        <v>62</v>
      </c>
      <c r="C2048" s="24" t="s">
        <v>181</v>
      </c>
      <c r="D2048" s="33" t="n">
        <v>81</v>
      </c>
      <c r="E2048" s="24" t="n">
        <v>0</v>
      </c>
      <c r="F2048" s="37" t="n">
        <f aca="false">DATE(YEAR(A2048),MONTH(A2048),1)</f>
        <v>46235</v>
      </c>
      <c r="G2048" s="24" t="str">
        <f aca="false">INDEX(Products!$C$2:$C$49,MATCH(C2048,Products!$A$2:$A$49,0))</f>
        <v>Personal Care</v>
      </c>
      <c r="H2048" s="33" t="n">
        <f aca="false">D2048*INDEX(Products!$E$2:$E$49,MATCH(C2048,Products!$A$2:$A$49,0))</f>
        <v>28350</v>
      </c>
      <c r="I2048" s="33" t="n">
        <f aca="false">D2048*INDEX(Products!$D$2:$D$49,MATCH(C2048,Products!$A$2:$A$49,0))*(1+INDEX(Assumptions!$B$16:$B$20,MATCH(B2048,Assumptions!$A$16:$A$20,0)))</f>
        <v>20167.056</v>
      </c>
      <c r="J2048" s="33" t="n">
        <f aca="false">H2048-I2048</f>
        <v>8182.944</v>
      </c>
      <c r="K2048" s="33" t="n">
        <f aca="false">IF(OR(E2048=0,E2048&gt;=7),0,D2048/(7-E2048)*E2048*INDEX(Products!$E$2:$E$49,MATCH(C2048,Products!$A$2:$A$49,0)))</f>
        <v>0</v>
      </c>
    </row>
    <row r="2049" customFormat="false" ht="15" hidden="false" customHeight="false" outlineLevel="0" collapsed="false">
      <c r="A2049" s="36" t="n">
        <v>46272</v>
      </c>
      <c r="B2049" s="24" t="s">
        <v>62</v>
      </c>
      <c r="C2049" s="24" t="s">
        <v>181</v>
      </c>
      <c r="D2049" s="33" t="n">
        <v>75</v>
      </c>
      <c r="E2049" s="24" t="n">
        <v>0</v>
      </c>
      <c r="F2049" s="37" t="n">
        <f aca="false">DATE(YEAR(A2049),MONTH(A2049),1)</f>
        <v>46266</v>
      </c>
      <c r="G2049" s="24" t="str">
        <f aca="false">INDEX(Products!$C$2:$C$49,MATCH(C2049,Products!$A$2:$A$49,0))</f>
        <v>Personal Care</v>
      </c>
      <c r="H2049" s="33" t="n">
        <f aca="false">D2049*INDEX(Products!$E$2:$E$49,MATCH(C2049,Products!$A$2:$A$49,0))</f>
        <v>26250</v>
      </c>
      <c r="I2049" s="33" t="n">
        <f aca="false">D2049*INDEX(Products!$D$2:$D$49,MATCH(C2049,Products!$A$2:$A$49,0))*(1+INDEX(Assumptions!$B$16:$B$20,MATCH(B2049,Assumptions!$A$16:$A$20,0)))</f>
        <v>18673.2</v>
      </c>
      <c r="J2049" s="33" t="n">
        <f aca="false">H2049-I2049</f>
        <v>7576.8</v>
      </c>
      <c r="K2049" s="33" t="n">
        <f aca="false">IF(OR(E2049=0,E2049&gt;=7),0,D2049/(7-E2049)*E2049*INDEX(Products!$E$2:$E$49,MATCH(C2049,Products!$A$2:$A$49,0)))</f>
        <v>0</v>
      </c>
    </row>
    <row r="2050" customFormat="false" ht="15" hidden="false" customHeight="false" outlineLevel="0" collapsed="false">
      <c r="A2050" s="36" t="n">
        <v>46279</v>
      </c>
      <c r="B2050" s="24" t="s">
        <v>62</v>
      </c>
      <c r="C2050" s="24" t="s">
        <v>181</v>
      </c>
      <c r="D2050" s="33" t="n">
        <v>57</v>
      </c>
      <c r="E2050" s="24" t="n">
        <v>0</v>
      </c>
      <c r="F2050" s="37" t="n">
        <f aca="false">DATE(YEAR(A2050),MONTH(A2050),1)</f>
        <v>46266</v>
      </c>
      <c r="G2050" s="24" t="str">
        <f aca="false">INDEX(Products!$C$2:$C$49,MATCH(C2050,Products!$A$2:$A$49,0))</f>
        <v>Personal Care</v>
      </c>
      <c r="H2050" s="33" t="n">
        <f aca="false">D2050*INDEX(Products!$E$2:$E$49,MATCH(C2050,Products!$A$2:$A$49,0))</f>
        <v>19950</v>
      </c>
      <c r="I2050" s="33" t="n">
        <f aca="false">D2050*INDEX(Products!$D$2:$D$49,MATCH(C2050,Products!$A$2:$A$49,0))*(1+INDEX(Assumptions!$B$16:$B$20,MATCH(B2050,Assumptions!$A$16:$A$20,0)))</f>
        <v>14191.632</v>
      </c>
      <c r="J2050" s="33" t="n">
        <f aca="false">H2050-I2050</f>
        <v>5758.368</v>
      </c>
      <c r="K2050" s="33" t="n">
        <f aca="false">IF(OR(E2050=0,E2050&gt;=7),0,D2050/(7-E2050)*E2050*INDEX(Products!$E$2:$E$49,MATCH(C2050,Products!$A$2:$A$49,0)))</f>
        <v>0</v>
      </c>
    </row>
    <row r="2051" customFormat="false" ht="15" hidden="false" customHeight="false" outlineLevel="0" collapsed="false">
      <c r="A2051" s="36" t="n">
        <v>46286</v>
      </c>
      <c r="B2051" s="24" t="s">
        <v>62</v>
      </c>
      <c r="C2051" s="24" t="s">
        <v>181</v>
      </c>
      <c r="D2051" s="33" t="n">
        <v>97</v>
      </c>
      <c r="E2051" s="24" t="n">
        <v>0</v>
      </c>
      <c r="F2051" s="37" t="n">
        <f aca="false">DATE(YEAR(A2051),MONTH(A2051),1)</f>
        <v>46266</v>
      </c>
      <c r="G2051" s="24" t="str">
        <f aca="false">INDEX(Products!$C$2:$C$49,MATCH(C2051,Products!$A$2:$A$49,0))</f>
        <v>Personal Care</v>
      </c>
      <c r="H2051" s="33" t="n">
        <f aca="false">D2051*INDEX(Products!$E$2:$E$49,MATCH(C2051,Products!$A$2:$A$49,0))</f>
        <v>33950</v>
      </c>
      <c r="I2051" s="33" t="n">
        <f aca="false">D2051*INDEX(Products!$D$2:$D$49,MATCH(C2051,Products!$A$2:$A$49,0))*(1+INDEX(Assumptions!$B$16:$B$20,MATCH(B2051,Assumptions!$A$16:$A$20,0)))</f>
        <v>24150.672</v>
      </c>
      <c r="J2051" s="33" t="n">
        <f aca="false">H2051-I2051</f>
        <v>9799.328</v>
      </c>
      <c r="K2051" s="33" t="n">
        <f aca="false">IF(OR(E2051=0,E2051&gt;=7),0,D2051/(7-E2051)*E2051*INDEX(Products!$E$2:$E$49,MATCH(C2051,Products!$A$2:$A$49,0)))</f>
        <v>0</v>
      </c>
    </row>
    <row r="2052" customFormat="false" ht="15" hidden="false" customHeight="false" outlineLevel="0" collapsed="false">
      <c r="A2052" s="36" t="n">
        <v>46118</v>
      </c>
      <c r="B2052" s="24" t="s">
        <v>62</v>
      </c>
      <c r="C2052" s="24" t="s">
        <v>183</v>
      </c>
      <c r="D2052" s="33" t="n">
        <v>76</v>
      </c>
      <c r="E2052" s="24" t="n">
        <v>0</v>
      </c>
      <c r="F2052" s="37" t="n">
        <f aca="false">DATE(YEAR(A2052),MONTH(A2052),1)</f>
        <v>46113</v>
      </c>
      <c r="G2052" s="24" t="str">
        <f aca="false">INDEX(Products!$C$2:$C$49,MATCH(C2052,Products!$A$2:$A$49,0))</f>
        <v>Personal Care</v>
      </c>
      <c r="H2052" s="33" t="n">
        <f aca="false">D2052*INDEX(Products!$E$2:$E$49,MATCH(C2052,Products!$A$2:$A$49,0))</f>
        <v>25080</v>
      </c>
      <c r="I2052" s="33" t="n">
        <f aca="false">D2052*INDEX(Products!$D$2:$D$49,MATCH(C2052,Products!$A$2:$A$49,0))*(1+INDEX(Assumptions!$B$16:$B$20,MATCH(B2052,Assumptions!$A$16:$A$20,0)))</f>
        <v>15934.464</v>
      </c>
      <c r="J2052" s="33" t="n">
        <f aca="false">H2052-I2052</f>
        <v>9145.536</v>
      </c>
      <c r="K2052" s="33" t="n">
        <f aca="false">IF(OR(E2052=0,E2052&gt;=7),0,D2052/(7-E2052)*E2052*INDEX(Products!$E$2:$E$49,MATCH(C2052,Products!$A$2:$A$49,0)))</f>
        <v>0</v>
      </c>
    </row>
    <row r="2053" customFormat="false" ht="15" hidden="false" customHeight="false" outlineLevel="0" collapsed="false">
      <c r="A2053" s="36" t="n">
        <v>46125</v>
      </c>
      <c r="B2053" s="24" t="s">
        <v>62</v>
      </c>
      <c r="C2053" s="24" t="s">
        <v>183</v>
      </c>
      <c r="D2053" s="33" t="n">
        <v>60</v>
      </c>
      <c r="E2053" s="24" t="n">
        <v>0</v>
      </c>
      <c r="F2053" s="37" t="n">
        <f aca="false">DATE(YEAR(A2053),MONTH(A2053),1)</f>
        <v>46113</v>
      </c>
      <c r="G2053" s="24" t="str">
        <f aca="false">INDEX(Products!$C$2:$C$49,MATCH(C2053,Products!$A$2:$A$49,0))</f>
        <v>Personal Care</v>
      </c>
      <c r="H2053" s="33" t="n">
        <f aca="false">D2053*INDEX(Products!$E$2:$E$49,MATCH(C2053,Products!$A$2:$A$49,0))</f>
        <v>19800</v>
      </c>
      <c r="I2053" s="33" t="n">
        <f aca="false">D2053*INDEX(Products!$D$2:$D$49,MATCH(C2053,Products!$A$2:$A$49,0))*(1+INDEX(Assumptions!$B$16:$B$20,MATCH(B2053,Assumptions!$A$16:$A$20,0)))</f>
        <v>12579.84</v>
      </c>
      <c r="J2053" s="33" t="n">
        <f aca="false">H2053-I2053</f>
        <v>7220.16</v>
      </c>
      <c r="K2053" s="33" t="n">
        <f aca="false">IF(OR(E2053=0,E2053&gt;=7),0,D2053/(7-E2053)*E2053*INDEX(Products!$E$2:$E$49,MATCH(C2053,Products!$A$2:$A$49,0)))</f>
        <v>0</v>
      </c>
    </row>
    <row r="2054" customFormat="false" ht="15" hidden="false" customHeight="false" outlineLevel="0" collapsed="false">
      <c r="A2054" s="36" t="n">
        <v>46132</v>
      </c>
      <c r="B2054" s="24" t="s">
        <v>62</v>
      </c>
      <c r="C2054" s="24" t="s">
        <v>183</v>
      </c>
      <c r="D2054" s="33" t="n">
        <v>58</v>
      </c>
      <c r="E2054" s="24" t="n">
        <v>0</v>
      </c>
      <c r="F2054" s="37" t="n">
        <f aca="false">DATE(YEAR(A2054),MONTH(A2054),1)</f>
        <v>46113</v>
      </c>
      <c r="G2054" s="24" t="str">
        <f aca="false">INDEX(Products!$C$2:$C$49,MATCH(C2054,Products!$A$2:$A$49,0))</f>
        <v>Personal Care</v>
      </c>
      <c r="H2054" s="33" t="n">
        <f aca="false">D2054*INDEX(Products!$E$2:$E$49,MATCH(C2054,Products!$A$2:$A$49,0))</f>
        <v>19140</v>
      </c>
      <c r="I2054" s="33" t="n">
        <f aca="false">D2054*INDEX(Products!$D$2:$D$49,MATCH(C2054,Products!$A$2:$A$49,0))*(1+INDEX(Assumptions!$B$16:$B$20,MATCH(B2054,Assumptions!$A$16:$A$20,0)))</f>
        <v>12160.512</v>
      </c>
      <c r="J2054" s="33" t="n">
        <f aca="false">H2054-I2054</f>
        <v>6979.488</v>
      </c>
      <c r="K2054" s="33" t="n">
        <f aca="false">IF(OR(E2054=0,E2054&gt;=7),0,D2054/(7-E2054)*E2054*INDEX(Products!$E$2:$E$49,MATCH(C2054,Products!$A$2:$A$49,0)))</f>
        <v>0</v>
      </c>
    </row>
    <row r="2055" customFormat="false" ht="15" hidden="false" customHeight="false" outlineLevel="0" collapsed="false">
      <c r="A2055" s="36" t="n">
        <v>46139</v>
      </c>
      <c r="B2055" s="24" t="s">
        <v>62</v>
      </c>
      <c r="C2055" s="24" t="s">
        <v>183</v>
      </c>
      <c r="D2055" s="33" t="n">
        <v>57</v>
      </c>
      <c r="E2055" s="24" t="n">
        <v>0</v>
      </c>
      <c r="F2055" s="37" t="n">
        <f aca="false">DATE(YEAR(A2055),MONTH(A2055),1)</f>
        <v>46113</v>
      </c>
      <c r="G2055" s="24" t="str">
        <f aca="false">INDEX(Products!$C$2:$C$49,MATCH(C2055,Products!$A$2:$A$49,0))</f>
        <v>Personal Care</v>
      </c>
      <c r="H2055" s="33" t="n">
        <f aca="false">D2055*INDEX(Products!$E$2:$E$49,MATCH(C2055,Products!$A$2:$A$49,0))</f>
        <v>18810</v>
      </c>
      <c r="I2055" s="33" t="n">
        <f aca="false">D2055*INDEX(Products!$D$2:$D$49,MATCH(C2055,Products!$A$2:$A$49,0))*(1+INDEX(Assumptions!$B$16:$B$20,MATCH(B2055,Assumptions!$A$16:$A$20,0)))</f>
        <v>11950.848</v>
      </c>
      <c r="J2055" s="33" t="n">
        <f aca="false">H2055-I2055</f>
        <v>6859.152</v>
      </c>
      <c r="K2055" s="33" t="n">
        <f aca="false">IF(OR(E2055=0,E2055&gt;=7),0,D2055/(7-E2055)*E2055*INDEX(Products!$E$2:$E$49,MATCH(C2055,Products!$A$2:$A$49,0)))</f>
        <v>0</v>
      </c>
    </row>
    <row r="2056" customFormat="false" ht="15" hidden="false" customHeight="false" outlineLevel="0" collapsed="false">
      <c r="A2056" s="36" t="n">
        <v>46146</v>
      </c>
      <c r="B2056" s="24" t="s">
        <v>62</v>
      </c>
      <c r="C2056" s="24" t="s">
        <v>183</v>
      </c>
      <c r="D2056" s="33" t="n">
        <v>60</v>
      </c>
      <c r="E2056" s="24" t="n">
        <v>0</v>
      </c>
      <c r="F2056" s="37" t="n">
        <f aca="false">DATE(YEAR(A2056),MONTH(A2056),1)</f>
        <v>46143</v>
      </c>
      <c r="G2056" s="24" t="str">
        <f aca="false">INDEX(Products!$C$2:$C$49,MATCH(C2056,Products!$A$2:$A$49,0))</f>
        <v>Personal Care</v>
      </c>
      <c r="H2056" s="33" t="n">
        <f aca="false">D2056*INDEX(Products!$E$2:$E$49,MATCH(C2056,Products!$A$2:$A$49,0))</f>
        <v>19800</v>
      </c>
      <c r="I2056" s="33" t="n">
        <f aca="false">D2056*INDEX(Products!$D$2:$D$49,MATCH(C2056,Products!$A$2:$A$49,0))*(1+INDEX(Assumptions!$B$16:$B$20,MATCH(B2056,Assumptions!$A$16:$A$20,0)))</f>
        <v>12579.84</v>
      </c>
      <c r="J2056" s="33" t="n">
        <f aca="false">H2056-I2056</f>
        <v>7220.16</v>
      </c>
      <c r="K2056" s="33" t="n">
        <f aca="false">IF(OR(E2056=0,E2056&gt;=7),0,D2056/(7-E2056)*E2056*INDEX(Products!$E$2:$E$49,MATCH(C2056,Products!$A$2:$A$49,0)))</f>
        <v>0</v>
      </c>
    </row>
    <row r="2057" customFormat="false" ht="15" hidden="false" customHeight="false" outlineLevel="0" collapsed="false">
      <c r="A2057" s="36" t="n">
        <v>46153</v>
      </c>
      <c r="B2057" s="24" t="s">
        <v>62</v>
      </c>
      <c r="C2057" s="24" t="s">
        <v>183</v>
      </c>
      <c r="D2057" s="33" t="n">
        <v>78</v>
      </c>
      <c r="E2057" s="24" t="n">
        <v>0</v>
      </c>
      <c r="F2057" s="37" t="n">
        <f aca="false">DATE(YEAR(A2057),MONTH(A2057),1)</f>
        <v>46143</v>
      </c>
      <c r="G2057" s="24" t="str">
        <f aca="false">INDEX(Products!$C$2:$C$49,MATCH(C2057,Products!$A$2:$A$49,0))</f>
        <v>Personal Care</v>
      </c>
      <c r="H2057" s="33" t="n">
        <f aca="false">D2057*INDEX(Products!$E$2:$E$49,MATCH(C2057,Products!$A$2:$A$49,0))</f>
        <v>25740</v>
      </c>
      <c r="I2057" s="33" t="n">
        <f aca="false">D2057*INDEX(Products!$D$2:$D$49,MATCH(C2057,Products!$A$2:$A$49,0))*(1+INDEX(Assumptions!$B$16:$B$20,MATCH(B2057,Assumptions!$A$16:$A$20,0)))</f>
        <v>16353.792</v>
      </c>
      <c r="J2057" s="33" t="n">
        <f aca="false">H2057-I2057</f>
        <v>9386.208</v>
      </c>
      <c r="K2057" s="33" t="n">
        <f aca="false">IF(OR(E2057=0,E2057&gt;=7),0,D2057/(7-E2057)*E2057*INDEX(Products!$E$2:$E$49,MATCH(C2057,Products!$A$2:$A$49,0)))</f>
        <v>0</v>
      </c>
    </row>
    <row r="2058" customFormat="false" ht="15" hidden="false" customHeight="false" outlineLevel="0" collapsed="false">
      <c r="A2058" s="36" t="n">
        <v>46160</v>
      </c>
      <c r="B2058" s="24" t="s">
        <v>62</v>
      </c>
      <c r="C2058" s="24" t="s">
        <v>183</v>
      </c>
      <c r="D2058" s="33" t="n">
        <v>50</v>
      </c>
      <c r="E2058" s="24" t="n">
        <v>0</v>
      </c>
      <c r="F2058" s="37" t="n">
        <f aca="false">DATE(YEAR(A2058),MONTH(A2058),1)</f>
        <v>46143</v>
      </c>
      <c r="G2058" s="24" t="str">
        <f aca="false">INDEX(Products!$C$2:$C$49,MATCH(C2058,Products!$A$2:$A$49,0))</f>
        <v>Personal Care</v>
      </c>
      <c r="H2058" s="33" t="n">
        <f aca="false">D2058*INDEX(Products!$E$2:$E$49,MATCH(C2058,Products!$A$2:$A$49,0))</f>
        <v>16500</v>
      </c>
      <c r="I2058" s="33" t="n">
        <f aca="false">D2058*INDEX(Products!$D$2:$D$49,MATCH(C2058,Products!$A$2:$A$49,0))*(1+INDEX(Assumptions!$B$16:$B$20,MATCH(B2058,Assumptions!$A$16:$A$20,0)))</f>
        <v>10483.2</v>
      </c>
      <c r="J2058" s="33" t="n">
        <f aca="false">H2058-I2058</f>
        <v>6016.8</v>
      </c>
      <c r="K2058" s="33" t="n">
        <f aca="false">IF(OR(E2058=0,E2058&gt;=7),0,D2058/(7-E2058)*E2058*INDEX(Products!$E$2:$E$49,MATCH(C2058,Products!$A$2:$A$49,0)))</f>
        <v>0</v>
      </c>
    </row>
    <row r="2059" customFormat="false" ht="15" hidden="false" customHeight="false" outlineLevel="0" collapsed="false">
      <c r="A2059" s="36" t="n">
        <v>46167</v>
      </c>
      <c r="B2059" s="24" t="s">
        <v>62</v>
      </c>
      <c r="C2059" s="24" t="s">
        <v>183</v>
      </c>
      <c r="D2059" s="33" t="n">
        <v>58</v>
      </c>
      <c r="E2059" s="24" t="n">
        <v>0</v>
      </c>
      <c r="F2059" s="37" t="n">
        <f aca="false">DATE(YEAR(A2059),MONTH(A2059),1)</f>
        <v>46143</v>
      </c>
      <c r="G2059" s="24" t="str">
        <f aca="false">INDEX(Products!$C$2:$C$49,MATCH(C2059,Products!$A$2:$A$49,0))</f>
        <v>Personal Care</v>
      </c>
      <c r="H2059" s="33" t="n">
        <f aca="false">D2059*INDEX(Products!$E$2:$E$49,MATCH(C2059,Products!$A$2:$A$49,0))</f>
        <v>19140</v>
      </c>
      <c r="I2059" s="33" t="n">
        <f aca="false">D2059*INDEX(Products!$D$2:$D$49,MATCH(C2059,Products!$A$2:$A$49,0))*(1+INDEX(Assumptions!$B$16:$B$20,MATCH(B2059,Assumptions!$A$16:$A$20,0)))</f>
        <v>12160.512</v>
      </c>
      <c r="J2059" s="33" t="n">
        <f aca="false">H2059-I2059</f>
        <v>6979.488</v>
      </c>
      <c r="K2059" s="33" t="n">
        <f aca="false">IF(OR(E2059=0,E2059&gt;=7),0,D2059/(7-E2059)*E2059*INDEX(Products!$E$2:$E$49,MATCH(C2059,Products!$A$2:$A$49,0)))</f>
        <v>0</v>
      </c>
    </row>
    <row r="2060" customFormat="false" ht="15" hidden="false" customHeight="false" outlineLevel="0" collapsed="false">
      <c r="A2060" s="36" t="n">
        <v>46174</v>
      </c>
      <c r="B2060" s="24" t="s">
        <v>62</v>
      </c>
      <c r="C2060" s="24" t="s">
        <v>183</v>
      </c>
      <c r="D2060" s="33" t="n">
        <v>40</v>
      </c>
      <c r="E2060" s="24" t="n">
        <v>0</v>
      </c>
      <c r="F2060" s="37" t="n">
        <f aca="false">DATE(YEAR(A2060),MONTH(A2060),1)</f>
        <v>46174</v>
      </c>
      <c r="G2060" s="24" t="str">
        <f aca="false">INDEX(Products!$C$2:$C$49,MATCH(C2060,Products!$A$2:$A$49,0))</f>
        <v>Personal Care</v>
      </c>
      <c r="H2060" s="33" t="n">
        <f aca="false">D2060*INDEX(Products!$E$2:$E$49,MATCH(C2060,Products!$A$2:$A$49,0))</f>
        <v>13200</v>
      </c>
      <c r="I2060" s="33" t="n">
        <f aca="false">D2060*INDEX(Products!$D$2:$D$49,MATCH(C2060,Products!$A$2:$A$49,0))*(1+INDEX(Assumptions!$B$16:$B$20,MATCH(B2060,Assumptions!$A$16:$A$20,0)))</f>
        <v>8386.56</v>
      </c>
      <c r="J2060" s="33" t="n">
        <f aca="false">H2060-I2060</f>
        <v>4813.44</v>
      </c>
      <c r="K2060" s="33" t="n">
        <f aca="false">IF(OR(E2060=0,E2060&gt;=7),0,D2060/(7-E2060)*E2060*INDEX(Products!$E$2:$E$49,MATCH(C2060,Products!$A$2:$A$49,0)))</f>
        <v>0</v>
      </c>
    </row>
    <row r="2061" customFormat="false" ht="15" hidden="false" customHeight="false" outlineLevel="0" collapsed="false">
      <c r="A2061" s="36" t="n">
        <v>46181</v>
      </c>
      <c r="B2061" s="24" t="s">
        <v>62</v>
      </c>
      <c r="C2061" s="24" t="s">
        <v>183</v>
      </c>
      <c r="D2061" s="33" t="n">
        <v>59</v>
      </c>
      <c r="E2061" s="24" t="n">
        <v>0</v>
      </c>
      <c r="F2061" s="37" t="n">
        <f aca="false">DATE(YEAR(A2061),MONTH(A2061),1)</f>
        <v>46174</v>
      </c>
      <c r="G2061" s="24" t="str">
        <f aca="false">INDEX(Products!$C$2:$C$49,MATCH(C2061,Products!$A$2:$A$49,0))</f>
        <v>Personal Care</v>
      </c>
      <c r="H2061" s="33" t="n">
        <f aca="false">D2061*INDEX(Products!$E$2:$E$49,MATCH(C2061,Products!$A$2:$A$49,0))</f>
        <v>19470</v>
      </c>
      <c r="I2061" s="33" t="n">
        <f aca="false">D2061*INDEX(Products!$D$2:$D$49,MATCH(C2061,Products!$A$2:$A$49,0))*(1+INDEX(Assumptions!$B$16:$B$20,MATCH(B2061,Assumptions!$A$16:$A$20,0)))</f>
        <v>12370.176</v>
      </c>
      <c r="J2061" s="33" t="n">
        <f aca="false">H2061-I2061</f>
        <v>7099.824</v>
      </c>
      <c r="K2061" s="33" t="n">
        <f aca="false">IF(OR(E2061=0,E2061&gt;=7),0,D2061/(7-E2061)*E2061*INDEX(Products!$E$2:$E$49,MATCH(C2061,Products!$A$2:$A$49,0)))</f>
        <v>0</v>
      </c>
    </row>
    <row r="2062" customFormat="false" ht="15" hidden="false" customHeight="false" outlineLevel="0" collapsed="false">
      <c r="A2062" s="36" t="n">
        <v>46188</v>
      </c>
      <c r="B2062" s="24" t="s">
        <v>62</v>
      </c>
      <c r="C2062" s="24" t="s">
        <v>183</v>
      </c>
      <c r="D2062" s="33" t="n">
        <v>62</v>
      </c>
      <c r="E2062" s="24" t="n">
        <v>0</v>
      </c>
      <c r="F2062" s="37" t="n">
        <f aca="false">DATE(YEAR(A2062),MONTH(A2062),1)</f>
        <v>46174</v>
      </c>
      <c r="G2062" s="24" t="str">
        <f aca="false">INDEX(Products!$C$2:$C$49,MATCH(C2062,Products!$A$2:$A$49,0))</f>
        <v>Personal Care</v>
      </c>
      <c r="H2062" s="33" t="n">
        <f aca="false">D2062*INDEX(Products!$E$2:$E$49,MATCH(C2062,Products!$A$2:$A$49,0))</f>
        <v>20460</v>
      </c>
      <c r="I2062" s="33" t="n">
        <f aca="false">D2062*INDEX(Products!$D$2:$D$49,MATCH(C2062,Products!$A$2:$A$49,0))*(1+INDEX(Assumptions!$B$16:$B$20,MATCH(B2062,Assumptions!$A$16:$A$20,0)))</f>
        <v>12999.168</v>
      </c>
      <c r="J2062" s="33" t="n">
        <f aca="false">H2062-I2062</f>
        <v>7460.832</v>
      </c>
      <c r="K2062" s="33" t="n">
        <f aca="false">IF(OR(E2062=0,E2062&gt;=7),0,D2062/(7-E2062)*E2062*INDEX(Products!$E$2:$E$49,MATCH(C2062,Products!$A$2:$A$49,0)))</f>
        <v>0</v>
      </c>
    </row>
    <row r="2063" customFormat="false" ht="15" hidden="false" customHeight="false" outlineLevel="0" collapsed="false">
      <c r="A2063" s="36" t="n">
        <v>46195</v>
      </c>
      <c r="B2063" s="24" t="s">
        <v>62</v>
      </c>
      <c r="C2063" s="24" t="s">
        <v>183</v>
      </c>
      <c r="D2063" s="33" t="n">
        <v>51</v>
      </c>
      <c r="E2063" s="24" t="n">
        <v>0</v>
      </c>
      <c r="F2063" s="37" t="n">
        <f aca="false">DATE(YEAR(A2063),MONTH(A2063),1)</f>
        <v>46174</v>
      </c>
      <c r="G2063" s="24" t="str">
        <f aca="false">INDEX(Products!$C$2:$C$49,MATCH(C2063,Products!$A$2:$A$49,0))</f>
        <v>Personal Care</v>
      </c>
      <c r="H2063" s="33" t="n">
        <f aca="false">D2063*INDEX(Products!$E$2:$E$49,MATCH(C2063,Products!$A$2:$A$49,0))</f>
        <v>16830</v>
      </c>
      <c r="I2063" s="33" t="n">
        <f aca="false">D2063*INDEX(Products!$D$2:$D$49,MATCH(C2063,Products!$A$2:$A$49,0))*(1+INDEX(Assumptions!$B$16:$B$20,MATCH(B2063,Assumptions!$A$16:$A$20,0)))</f>
        <v>10692.864</v>
      </c>
      <c r="J2063" s="33" t="n">
        <f aca="false">H2063-I2063</f>
        <v>6137.136</v>
      </c>
      <c r="K2063" s="33" t="n">
        <f aca="false">IF(OR(E2063=0,E2063&gt;=7),0,D2063/(7-E2063)*E2063*INDEX(Products!$E$2:$E$49,MATCH(C2063,Products!$A$2:$A$49,0)))</f>
        <v>0</v>
      </c>
    </row>
    <row r="2064" customFormat="false" ht="15" hidden="false" customHeight="false" outlineLevel="0" collapsed="false">
      <c r="A2064" s="36" t="n">
        <v>46202</v>
      </c>
      <c r="B2064" s="24" t="s">
        <v>62</v>
      </c>
      <c r="C2064" s="24" t="s">
        <v>183</v>
      </c>
      <c r="D2064" s="33" t="n">
        <v>56</v>
      </c>
      <c r="E2064" s="24" t="n">
        <v>0</v>
      </c>
      <c r="F2064" s="37" t="n">
        <f aca="false">DATE(YEAR(A2064),MONTH(A2064),1)</f>
        <v>46174</v>
      </c>
      <c r="G2064" s="24" t="str">
        <f aca="false">INDEX(Products!$C$2:$C$49,MATCH(C2064,Products!$A$2:$A$49,0))</f>
        <v>Personal Care</v>
      </c>
      <c r="H2064" s="33" t="n">
        <f aca="false">D2064*INDEX(Products!$E$2:$E$49,MATCH(C2064,Products!$A$2:$A$49,0))</f>
        <v>18480</v>
      </c>
      <c r="I2064" s="33" t="n">
        <f aca="false">D2064*INDEX(Products!$D$2:$D$49,MATCH(C2064,Products!$A$2:$A$49,0))*(1+INDEX(Assumptions!$B$16:$B$20,MATCH(B2064,Assumptions!$A$16:$A$20,0)))</f>
        <v>11741.184</v>
      </c>
      <c r="J2064" s="33" t="n">
        <f aca="false">H2064-I2064</f>
        <v>6738.816</v>
      </c>
      <c r="K2064" s="33" t="n">
        <f aca="false">IF(OR(E2064=0,E2064&gt;=7),0,D2064/(7-E2064)*E2064*INDEX(Products!$E$2:$E$49,MATCH(C2064,Products!$A$2:$A$49,0)))</f>
        <v>0</v>
      </c>
    </row>
    <row r="2065" customFormat="false" ht="15" hidden="false" customHeight="false" outlineLevel="0" collapsed="false">
      <c r="A2065" s="36" t="n">
        <v>46209</v>
      </c>
      <c r="B2065" s="24" t="s">
        <v>62</v>
      </c>
      <c r="C2065" s="24" t="s">
        <v>183</v>
      </c>
      <c r="D2065" s="33" t="n">
        <v>44</v>
      </c>
      <c r="E2065" s="24" t="n">
        <v>0</v>
      </c>
      <c r="F2065" s="37" t="n">
        <f aca="false">DATE(YEAR(A2065),MONTH(A2065),1)</f>
        <v>46204</v>
      </c>
      <c r="G2065" s="24" t="str">
        <f aca="false">INDEX(Products!$C$2:$C$49,MATCH(C2065,Products!$A$2:$A$49,0))</f>
        <v>Personal Care</v>
      </c>
      <c r="H2065" s="33" t="n">
        <f aca="false">D2065*INDEX(Products!$E$2:$E$49,MATCH(C2065,Products!$A$2:$A$49,0))</f>
        <v>14520</v>
      </c>
      <c r="I2065" s="33" t="n">
        <f aca="false">D2065*INDEX(Products!$D$2:$D$49,MATCH(C2065,Products!$A$2:$A$49,0))*(1+INDEX(Assumptions!$B$16:$B$20,MATCH(B2065,Assumptions!$A$16:$A$20,0)))</f>
        <v>9225.216</v>
      </c>
      <c r="J2065" s="33" t="n">
        <f aca="false">H2065-I2065</f>
        <v>5294.784</v>
      </c>
      <c r="K2065" s="33" t="n">
        <f aca="false">IF(OR(E2065=0,E2065&gt;=7),0,D2065/(7-E2065)*E2065*INDEX(Products!$E$2:$E$49,MATCH(C2065,Products!$A$2:$A$49,0)))</f>
        <v>0</v>
      </c>
    </row>
    <row r="2066" customFormat="false" ht="15" hidden="false" customHeight="false" outlineLevel="0" collapsed="false">
      <c r="A2066" s="36" t="n">
        <v>46216</v>
      </c>
      <c r="B2066" s="24" t="s">
        <v>62</v>
      </c>
      <c r="C2066" s="24" t="s">
        <v>183</v>
      </c>
      <c r="D2066" s="33" t="n">
        <v>38</v>
      </c>
      <c r="E2066" s="24" t="n">
        <v>0</v>
      </c>
      <c r="F2066" s="37" t="n">
        <f aca="false">DATE(YEAR(A2066),MONTH(A2066),1)</f>
        <v>46204</v>
      </c>
      <c r="G2066" s="24" t="str">
        <f aca="false">INDEX(Products!$C$2:$C$49,MATCH(C2066,Products!$A$2:$A$49,0))</f>
        <v>Personal Care</v>
      </c>
      <c r="H2066" s="33" t="n">
        <f aca="false">D2066*INDEX(Products!$E$2:$E$49,MATCH(C2066,Products!$A$2:$A$49,0))</f>
        <v>12540</v>
      </c>
      <c r="I2066" s="33" t="n">
        <f aca="false">D2066*INDEX(Products!$D$2:$D$49,MATCH(C2066,Products!$A$2:$A$49,0))*(1+INDEX(Assumptions!$B$16:$B$20,MATCH(B2066,Assumptions!$A$16:$A$20,0)))</f>
        <v>7967.232</v>
      </c>
      <c r="J2066" s="33" t="n">
        <f aca="false">H2066-I2066</f>
        <v>4572.768</v>
      </c>
      <c r="K2066" s="33" t="n">
        <f aca="false">IF(OR(E2066=0,E2066&gt;=7),0,D2066/(7-E2066)*E2066*INDEX(Products!$E$2:$E$49,MATCH(C2066,Products!$A$2:$A$49,0)))</f>
        <v>0</v>
      </c>
    </row>
    <row r="2067" customFormat="false" ht="15" hidden="false" customHeight="false" outlineLevel="0" collapsed="false">
      <c r="A2067" s="36" t="n">
        <v>46223</v>
      </c>
      <c r="B2067" s="24" t="s">
        <v>62</v>
      </c>
      <c r="C2067" s="24" t="s">
        <v>183</v>
      </c>
      <c r="D2067" s="33" t="n">
        <v>55</v>
      </c>
      <c r="E2067" s="24" t="n">
        <v>0</v>
      </c>
      <c r="F2067" s="37" t="n">
        <f aca="false">DATE(YEAR(A2067),MONTH(A2067),1)</f>
        <v>46204</v>
      </c>
      <c r="G2067" s="24" t="str">
        <f aca="false">INDEX(Products!$C$2:$C$49,MATCH(C2067,Products!$A$2:$A$49,0))</f>
        <v>Personal Care</v>
      </c>
      <c r="H2067" s="33" t="n">
        <f aca="false">D2067*INDEX(Products!$E$2:$E$49,MATCH(C2067,Products!$A$2:$A$49,0))</f>
        <v>18150</v>
      </c>
      <c r="I2067" s="33" t="n">
        <f aca="false">D2067*INDEX(Products!$D$2:$D$49,MATCH(C2067,Products!$A$2:$A$49,0))*(1+INDEX(Assumptions!$B$16:$B$20,MATCH(B2067,Assumptions!$A$16:$A$20,0)))</f>
        <v>11531.52</v>
      </c>
      <c r="J2067" s="33" t="n">
        <f aca="false">H2067-I2067</f>
        <v>6618.48</v>
      </c>
      <c r="K2067" s="33" t="n">
        <f aca="false">IF(OR(E2067=0,E2067&gt;=7),0,D2067/(7-E2067)*E2067*INDEX(Products!$E$2:$E$49,MATCH(C2067,Products!$A$2:$A$49,0)))</f>
        <v>0</v>
      </c>
    </row>
    <row r="2068" customFormat="false" ht="15" hidden="false" customHeight="false" outlineLevel="0" collapsed="false">
      <c r="A2068" s="36" t="n">
        <v>46230</v>
      </c>
      <c r="B2068" s="24" t="s">
        <v>62</v>
      </c>
      <c r="C2068" s="24" t="s">
        <v>183</v>
      </c>
      <c r="D2068" s="33" t="n">
        <v>56</v>
      </c>
      <c r="E2068" s="24" t="n">
        <v>0</v>
      </c>
      <c r="F2068" s="37" t="n">
        <f aca="false">DATE(YEAR(A2068),MONTH(A2068),1)</f>
        <v>46204</v>
      </c>
      <c r="G2068" s="24" t="str">
        <f aca="false">INDEX(Products!$C$2:$C$49,MATCH(C2068,Products!$A$2:$A$49,0))</f>
        <v>Personal Care</v>
      </c>
      <c r="H2068" s="33" t="n">
        <f aca="false">D2068*INDEX(Products!$E$2:$E$49,MATCH(C2068,Products!$A$2:$A$49,0))</f>
        <v>18480</v>
      </c>
      <c r="I2068" s="33" t="n">
        <f aca="false">D2068*INDEX(Products!$D$2:$D$49,MATCH(C2068,Products!$A$2:$A$49,0))*(1+INDEX(Assumptions!$B$16:$B$20,MATCH(B2068,Assumptions!$A$16:$A$20,0)))</f>
        <v>11741.184</v>
      </c>
      <c r="J2068" s="33" t="n">
        <f aca="false">H2068-I2068</f>
        <v>6738.816</v>
      </c>
      <c r="K2068" s="33" t="n">
        <f aca="false">IF(OR(E2068=0,E2068&gt;=7),0,D2068/(7-E2068)*E2068*INDEX(Products!$E$2:$E$49,MATCH(C2068,Products!$A$2:$A$49,0)))</f>
        <v>0</v>
      </c>
    </row>
    <row r="2069" customFormat="false" ht="15" hidden="false" customHeight="false" outlineLevel="0" collapsed="false">
      <c r="A2069" s="36" t="n">
        <v>46237</v>
      </c>
      <c r="B2069" s="24" t="s">
        <v>62</v>
      </c>
      <c r="C2069" s="24" t="s">
        <v>183</v>
      </c>
      <c r="D2069" s="33" t="n">
        <v>56</v>
      </c>
      <c r="E2069" s="24" t="n">
        <v>0</v>
      </c>
      <c r="F2069" s="37" t="n">
        <f aca="false">DATE(YEAR(A2069),MONTH(A2069),1)</f>
        <v>46235</v>
      </c>
      <c r="G2069" s="24" t="str">
        <f aca="false">INDEX(Products!$C$2:$C$49,MATCH(C2069,Products!$A$2:$A$49,0))</f>
        <v>Personal Care</v>
      </c>
      <c r="H2069" s="33" t="n">
        <f aca="false">D2069*INDEX(Products!$E$2:$E$49,MATCH(C2069,Products!$A$2:$A$49,0))</f>
        <v>18480</v>
      </c>
      <c r="I2069" s="33" t="n">
        <f aca="false">D2069*INDEX(Products!$D$2:$D$49,MATCH(C2069,Products!$A$2:$A$49,0))*(1+INDEX(Assumptions!$B$16:$B$20,MATCH(B2069,Assumptions!$A$16:$A$20,0)))</f>
        <v>11741.184</v>
      </c>
      <c r="J2069" s="33" t="n">
        <f aca="false">H2069-I2069</f>
        <v>6738.816</v>
      </c>
      <c r="K2069" s="33" t="n">
        <f aca="false">IF(OR(E2069=0,E2069&gt;=7),0,D2069/(7-E2069)*E2069*INDEX(Products!$E$2:$E$49,MATCH(C2069,Products!$A$2:$A$49,0)))</f>
        <v>0</v>
      </c>
    </row>
    <row r="2070" customFormat="false" ht="15" hidden="false" customHeight="false" outlineLevel="0" collapsed="false">
      <c r="A2070" s="36" t="n">
        <v>46244</v>
      </c>
      <c r="B2070" s="24" t="s">
        <v>62</v>
      </c>
      <c r="C2070" s="24" t="s">
        <v>183</v>
      </c>
      <c r="D2070" s="33" t="n">
        <v>44</v>
      </c>
      <c r="E2070" s="24" t="n">
        <v>0</v>
      </c>
      <c r="F2070" s="37" t="n">
        <f aca="false">DATE(YEAR(A2070),MONTH(A2070),1)</f>
        <v>46235</v>
      </c>
      <c r="G2070" s="24" t="str">
        <f aca="false">INDEX(Products!$C$2:$C$49,MATCH(C2070,Products!$A$2:$A$49,0))</f>
        <v>Personal Care</v>
      </c>
      <c r="H2070" s="33" t="n">
        <f aca="false">D2070*INDEX(Products!$E$2:$E$49,MATCH(C2070,Products!$A$2:$A$49,0))</f>
        <v>14520</v>
      </c>
      <c r="I2070" s="33" t="n">
        <f aca="false">D2070*INDEX(Products!$D$2:$D$49,MATCH(C2070,Products!$A$2:$A$49,0))*(1+INDEX(Assumptions!$B$16:$B$20,MATCH(B2070,Assumptions!$A$16:$A$20,0)))</f>
        <v>9225.216</v>
      </c>
      <c r="J2070" s="33" t="n">
        <f aca="false">H2070-I2070</f>
        <v>5294.784</v>
      </c>
      <c r="K2070" s="33" t="n">
        <f aca="false">IF(OR(E2070=0,E2070&gt;=7),0,D2070/(7-E2070)*E2070*INDEX(Products!$E$2:$E$49,MATCH(C2070,Products!$A$2:$A$49,0)))</f>
        <v>0</v>
      </c>
    </row>
    <row r="2071" customFormat="false" ht="15" hidden="false" customHeight="false" outlineLevel="0" collapsed="false">
      <c r="A2071" s="36" t="n">
        <v>46251</v>
      </c>
      <c r="B2071" s="24" t="s">
        <v>62</v>
      </c>
      <c r="C2071" s="24" t="s">
        <v>183</v>
      </c>
      <c r="D2071" s="33" t="n">
        <v>40</v>
      </c>
      <c r="E2071" s="24" t="n">
        <v>0</v>
      </c>
      <c r="F2071" s="37" t="n">
        <f aca="false">DATE(YEAR(A2071),MONTH(A2071),1)</f>
        <v>46235</v>
      </c>
      <c r="G2071" s="24" t="str">
        <f aca="false">INDEX(Products!$C$2:$C$49,MATCH(C2071,Products!$A$2:$A$49,0))</f>
        <v>Personal Care</v>
      </c>
      <c r="H2071" s="33" t="n">
        <f aca="false">D2071*INDEX(Products!$E$2:$E$49,MATCH(C2071,Products!$A$2:$A$49,0))</f>
        <v>13200</v>
      </c>
      <c r="I2071" s="33" t="n">
        <f aca="false">D2071*INDEX(Products!$D$2:$D$49,MATCH(C2071,Products!$A$2:$A$49,0))*(1+INDEX(Assumptions!$B$16:$B$20,MATCH(B2071,Assumptions!$A$16:$A$20,0)))</f>
        <v>8386.56</v>
      </c>
      <c r="J2071" s="33" t="n">
        <f aca="false">H2071-I2071</f>
        <v>4813.44</v>
      </c>
      <c r="K2071" s="33" t="n">
        <f aca="false">IF(OR(E2071=0,E2071&gt;=7),0,D2071/(7-E2071)*E2071*INDEX(Products!$E$2:$E$49,MATCH(C2071,Products!$A$2:$A$49,0)))</f>
        <v>0</v>
      </c>
    </row>
    <row r="2072" customFormat="false" ht="15" hidden="false" customHeight="false" outlineLevel="0" collapsed="false">
      <c r="A2072" s="36" t="n">
        <v>46258</v>
      </c>
      <c r="B2072" s="24" t="s">
        <v>62</v>
      </c>
      <c r="C2072" s="24" t="s">
        <v>183</v>
      </c>
      <c r="D2072" s="33" t="n">
        <v>62</v>
      </c>
      <c r="E2072" s="24" t="n">
        <v>0</v>
      </c>
      <c r="F2072" s="37" t="n">
        <f aca="false">DATE(YEAR(A2072),MONTH(A2072),1)</f>
        <v>46235</v>
      </c>
      <c r="G2072" s="24" t="str">
        <f aca="false">INDEX(Products!$C$2:$C$49,MATCH(C2072,Products!$A$2:$A$49,0))</f>
        <v>Personal Care</v>
      </c>
      <c r="H2072" s="33" t="n">
        <f aca="false">D2072*INDEX(Products!$E$2:$E$49,MATCH(C2072,Products!$A$2:$A$49,0))</f>
        <v>20460</v>
      </c>
      <c r="I2072" s="33" t="n">
        <f aca="false">D2072*INDEX(Products!$D$2:$D$49,MATCH(C2072,Products!$A$2:$A$49,0))*(1+INDEX(Assumptions!$B$16:$B$20,MATCH(B2072,Assumptions!$A$16:$A$20,0)))</f>
        <v>12999.168</v>
      </c>
      <c r="J2072" s="33" t="n">
        <f aca="false">H2072-I2072</f>
        <v>7460.832</v>
      </c>
      <c r="K2072" s="33" t="n">
        <f aca="false">IF(OR(E2072=0,E2072&gt;=7),0,D2072/(7-E2072)*E2072*INDEX(Products!$E$2:$E$49,MATCH(C2072,Products!$A$2:$A$49,0)))</f>
        <v>0</v>
      </c>
    </row>
    <row r="2073" customFormat="false" ht="15" hidden="false" customHeight="false" outlineLevel="0" collapsed="false">
      <c r="A2073" s="36" t="n">
        <v>46265</v>
      </c>
      <c r="B2073" s="24" t="s">
        <v>62</v>
      </c>
      <c r="C2073" s="24" t="s">
        <v>183</v>
      </c>
      <c r="D2073" s="33" t="n">
        <v>55</v>
      </c>
      <c r="E2073" s="24" t="n">
        <v>0</v>
      </c>
      <c r="F2073" s="37" t="n">
        <f aca="false">DATE(YEAR(A2073),MONTH(A2073),1)</f>
        <v>46235</v>
      </c>
      <c r="G2073" s="24" t="str">
        <f aca="false">INDEX(Products!$C$2:$C$49,MATCH(C2073,Products!$A$2:$A$49,0))</f>
        <v>Personal Care</v>
      </c>
      <c r="H2073" s="33" t="n">
        <f aca="false">D2073*INDEX(Products!$E$2:$E$49,MATCH(C2073,Products!$A$2:$A$49,0))</f>
        <v>18150</v>
      </c>
      <c r="I2073" s="33" t="n">
        <f aca="false">D2073*INDEX(Products!$D$2:$D$49,MATCH(C2073,Products!$A$2:$A$49,0))*(1+INDEX(Assumptions!$B$16:$B$20,MATCH(B2073,Assumptions!$A$16:$A$20,0)))</f>
        <v>11531.52</v>
      </c>
      <c r="J2073" s="33" t="n">
        <f aca="false">H2073-I2073</f>
        <v>6618.48</v>
      </c>
      <c r="K2073" s="33" t="n">
        <f aca="false">IF(OR(E2073=0,E2073&gt;=7),0,D2073/(7-E2073)*E2073*INDEX(Products!$E$2:$E$49,MATCH(C2073,Products!$A$2:$A$49,0)))</f>
        <v>0</v>
      </c>
    </row>
    <row r="2074" customFormat="false" ht="15" hidden="false" customHeight="false" outlineLevel="0" collapsed="false">
      <c r="A2074" s="36" t="n">
        <v>46272</v>
      </c>
      <c r="B2074" s="24" t="s">
        <v>62</v>
      </c>
      <c r="C2074" s="24" t="s">
        <v>183</v>
      </c>
      <c r="D2074" s="33" t="n">
        <v>52</v>
      </c>
      <c r="E2074" s="24" t="n">
        <v>0</v>
      </c>
      <c r="F2074" s="37" t="n">
        <f aca="false">DATE(YEAR(A2074),MONTH(A2074),1)</f>
        <v>46266</v>
      </c>
      <c r="G2074" s="24" t="str">
        <f aca="false">INDEX(Products!$C$2:$C$49,MATCH(C2074,Products!$A$2:$A$49,0))</f>
        <v>Personal Care</v>
      </c>
      <c r="H2074" s="33" t="n">
        <f aca="false">D2074*INDEX(Products!$E$2:$E$49,MATCH(C2074,Products!$A$2:$A$49,0))</f>
        <v>17160</v>
      </c>
      <c r="I2074" s="33" t="n">
        <f aca="false">D2074*INDEX(Products!$D$2:$D$49,MATCH(C2074,Products!$A$2:$A$49,0))*(1+INDEX(Assumptions!$B$16:$B$20,MATCH(B2074,Assumptions!$A$16:$A$20,0)))</f>
        <v>10902.528</v>
      </c>
      <c r="J2074" s="33" t="n">
        <f aca="false">H2074-I2074</f>
        <v>6257.472</v>
      </c>
      <c r="K2074" s="33" t="n">
        <f aca="false">IF(OR(E2074=0,E2074&gt;=7),0,D2074/(7-E2074)*E2074*INDEX(Products!$E$2:$E$49,MATCH(C2074,Products!$A$2:$A$49,0)))</f>
        <v>0</v>
      </c>
    </row>
    <row r="2075" customFormat="false" ht="15" hidden="false" customHeight="false" outlineLevel="0" collapsed="false">
      <c r="A2075" s="36" t="n">
        <v>46279</v>
      </c>
      <c r="B2075" s="24" t="s">
        <v>62</v>
      </c>
      <c r="C2075" s="24" t="s">
        <v>183</v>
      </c>
      <c r="D2075" s="33" t="n">
        <v>95</v>
      </c>
      <c r="E2075" s="24" t="n">
        <v>0</v>
      </c>
      <c r="F2075" s="37" t="n">
        <f aca="false">DATE(YEAR(A2075),MONTH(A2075),1)</f>
        <v>46266</v>
      </c>
      <c r="G2075" s="24" t="str">
        <f aca="false">INDEX(Products!$C$2:$C$49,MATCH(C2075,Products!$A$2:$A$49,0))</f>
        <v>Personal Care</v>
      </c>
      <c r="H2075" s="33" t="n">
        <f aca="false">D2075*INDEX(Products!$E$2:$E$49,MATCH(C2075,Products!$A$2:$A$49,0))</f>
        <v>31350</v>
      </c>
      <c r="I2075" s="33" t="n">
        <f aca="false">D2075*INDEX(Products!$D$2:$D$49,MATCH(C2075,Products!$A$2:$A$49,0))*(1+INDEX(Assumptions!$B$16:$B$20,MATCH(B2075,Assumptions!$A$16:$A$20,0)))</f>
        <v>19918.08</v>
      </c>
      <c r="J2075" s="33" t="n">
        <f aca="false">H2075-I2075</f>
        <v>11431.92</v>
      </c>
      <c r="K2075" s="33" t="n">
        <f aca="false">IF(OR(E2075=0,E2075&gt;=7),0,D2075/(7-E2075)*E2075*INDEX(Products!$E$2:$E$49,MATCH(C2075,Products!$A$2:$A$49,0)))</f>
        <v>0</v>
      </c>
    </row>
    <row r="2076" customFormat="false" ht="15" hidden="false" customHeight="false" outlineLevel="0" collapsed="false">
      <c r="A2076" s="36" t="n">
        <v>46286</v>
      </c>
      <c r="B2076" s="24" t="s">
        <v>62</v>
      </c>
      <c r="C2076" s="24" t="s">
        <v>183</v>
      </c>
      <c r="D2076" s="33" t="n">
        <v>56</v>
      </c>
      <c r="E2076" s="24" t="n">
        <v>0</v>
      </c>
      <c r="F2076" s="37" t="n">
        <f aca="false">DATE(YEAR(A2076),MONTH(A2076),1)</f>
        <v>46266</v>
      </c>
      <c r="G2076" s="24" t="str">
        <f aca="false">INDEX(Products!$C$2:$C$49,MATCH(C2076,Products!$A$2:$A$49,0))</f>
        <v>Personal Care</v>
      </c>
      <c r="H2076" s="33" t="n">
        <f aca="false">D2076*INDEX(Products!$E$2:$E$49,MATCH(C2076,Products!$A$2:$A$49,0))</f>
        <v>18480</v>
      </c>
      <c r="I2076" s="33" t="n">
        <f aca="false">D2076*INDEX(Products!$D$2:$D$49,MATCH(C2076,Products!$A$2:$A$49,0))*(1+INDEX(Assumptions!$B$16:$B$20,MATCH(B2076,Assumptions!$A$16:$A$20,0)))</f>
        <v>11741.184</v>
      </c>
      <c r="J2076" s="33" t="n">
        <f aca="false">H2076-I2076</f>
        <v>6738.816</v>
      </c>
      <c r="K2076" s="33" t="n">
        <f aca="false">IF(OR(E2076=0,E2076&gt;=7),0,D2076/(7-E2076)*E2076*INDEX(Products!$E$2:$E$49,MATCH(C2076,Products!$A$2:$A$49,0)))</f>
        <v>0</v>
      </c>
    </row>
    <row r="2077" customFormat="false" ht="15" hidden="false" customHeight="false" outlineLevel="0" collapsed="false">
      <c r="A2077" s="36" t="n">
        <v>46118</v>
      </c>
      <c r="B2077" s="24" t="s">
        <v>62</v>
      </c>
      <c r="C2077" s="24" t="s">
        <v>185</v>
      </c>
      <c r="D2077" s="33" t="n">
        <v>116</v>
      </c>
      <c r="E2077" s="24" t="n">
        <v>0</v>
      </c>
      <c r="F2077" s="37" t="n">
        <f aca="false">DATE(YEAR(A2077),MONTH(A2077),1)</f>
        <v>46113</v>
      </c>
      <c r="G2077" s="24" t="str">
        <f aca="false">INDEX(Products!$C$2:$C$49,MATCH(C2077,Products!$A$2:$A$49,0))</f>
        <v>Personal Care</v>
      </c>
      <c r="H2077" s="33" t="n">
        <f aca="false">D2077*INDEX(Products!$E$2:$E$49,MATCH(C2077,Products!$A$2:$A$49,0))</f>
        <v>32480</v>
      </c>
      <c r="I2077" s="33" t="n">
        <f aca="false">D2077*INDEX(Products!$D$2:$D$49,MATCH(C2077,Products!$A$2:$A$49,0))*(1+INDEX(Assumptions!$B$16:$B$20,MATCH(B2077,Assumptions!$A$16:$A$20,0)))</f>
        <v>22800.96</v>
      </c>
      <c r="J2077" s="33" t="n">
        <f aca="false">H2077-I2077</f>
        <v>9679.04</v>
      </c>
      <c r="K2077" s="33" t="n">
        <f aca="false">IF(OR(E2077=0,E2077&gt;=7),0,D2077/(7-E2077)*E2077*INDEX(Products!$E$2:$E$49,MATCH(C2077,Products!$A$2:$A$49,0)))</f>
        <v>0</v>
      </c>
    </row>
    <row r="2078" customFormat="false" ht="15" hidden="false" customHeight="false" outlineLevel="0" collapsed="false">
      <c r="A2078" s="36" t="n">
        <v>46125</v>
      </c>
      <c r="B2078" s="24" t="s">
        <v>62</v>
      </c>
      <c r="C2078" s="24" t="s">
        <v>185</v>
      </c>
      <c r="D2078" s="33" t="n">
        <v>136</v>
      </c>
      <c r="E2078" s="24" t="n">
        <v>0</v>
      </c>
      <c r="F2078" s="37" t="n">
        <f aca="false">DATE(YEAR(A2078),MONTH(A2078),1)</f>
        <v>46113</v>
      </c>
      <c r="G2078" s="24" t="str">
        <f aca="false">INDEX(Products!$C$2:$C$49,MATCH(C2078,Products!$A$2:$A$49,0))</f>
        <v>Personal Care</v>
      </c>
      <c r="H2078" s="33" t="n">
        <f aca="false">D2078*INDEX(Products!$E$2:$E$49,MATCH(C2078,Products!$A$2:$A$49,0))</f>
        <v>38080</v>
      </c>
      <c r="I2078" s="33" t="n">
        <f aca="false">D2078*INDEX(Products!$D$2:$D$49,MATCH(C2078,Products!$A$2:$A$49,0))*(1+INDEX(Assumptions!$B$16:$B$20,MATCH(B2078,Assumptions!$A$16:$A$20,0)))</f>
        <v>26732.16</v>
      </c>
      <c r="J2078" s="33" t="n">
        <f aca="false">H2078-I2078</f>
        <v>11347.84</v>
      </c>
      <c r="K2078" s="33" t="n">
        <f aca="false">IF(OR(E2078=0,E2078&gt;=7),0,D2078/(7-E2078)*E2078*INDEX(Products!$E$2:$E$49,MATCH(C2078,Products!$A$2:$A$49,0)))</f>
        <v>0</v>
      </c>
    </row>
    <row r="2079" customFormat="false" ht="15" hidden="false" customHeight="false" outlineLevel="0" collapsed="false">
      <c r="A2079" s="36" t="n">
        <v>46132</v>
      </c>
      <c r="B2079" s="24" t="s">
        <v>62</v>
      </c>
      <c r="C2079" s="24" t="s">
        <v>185</v>
      </c>
      <c r="D2079" s="33" t="n">
        <v>165</v>
      </c>
      <c r="E2079" s="24" t="n">
        <v>0</v>
      </c>
      <c r="F2079" s="37" t="n">
        <f aca="false">DATE(YEAR(A2079),MONTH(A2079),1)</f>
        <v>46113</v>
      </c>
      <c r="G2079" s="24" t="str">
        <f aca="false">INDEX(Products!$C$2:$C$49,MATCH(C2079,Products!$A$2:$A$49,0))</f>
        <v>Personal Care</v>
      </c>
      <c r="H2079" s="33" t="n">
        <f aca="false">D2079*INDEX(Products!$E$2:$E$49,MATCH(C2079,Products!$A$2:$A$49,0))</f>
        <v>46200</v>
      </c>
      <c r="I2079" s="33" t="n">
        <f aca="false">D2079*INDEX(Products!$D$2:$D$49,MATCH(C2079,Products!$A$2:$A$49,0))*(1+INDEX(Assumptions!$B$16:$B$20,MATCH(B2079,Assumptions!$A$16:$A$20,0)))</f>
        <v>32432.4</v>
      </c>
      <c r="J2079" s="33" t="n">
        <f aca="false">H2079-I2079</f>
        <v>13767.6</v>
      </c>
      <c r="K2079" s="33" t="n">
        <f aca="false">IF(OR(E2079=0,E2079&gt;=7),0,D2079/(7-E2079)*E2079*INDEX(Products!$E$2:$E$49,MATCH(C2079,Products!$A$2:$A$49,0)))</f>
        <v>0</v>
      </c>
    </row>
    <row r="2080" customFormat="false" ht="15" hidden="false" customHeight="false" outlineLevel="0" collapsed="false">
      <c r="A2080" s="36" t="n">
        <v>46139</v>
      </c>
      <c r="B2080" s="24" t="s">
        <v>62</v>
      </c>
      <c r="C2080" s="24" t="s">
        <v>185</v>
      </c>
      <c r="D2080" s="33" t="n">
        <v>151</v>
      </c>
      <c r="E2080" s="24" t="n">
        <v>0</v>
      </c>
      <c r="F2080" s="37" t="n">
        <f aca="false">DATE(YEAR(A2080),MONTH(A2080),1)</f>
        <v>46113</v>
      </c>
      <c r="G2080" s="24" t="str">
        <f aca="false">INDEX(Products!$C$2:$C$49,MATCH(C2080,Products!$A$2:$A$49,0))</f>
        <v>Personal Care</v>
      </c>
      <c r="H2080" s="33" t="n">
        <f aca="false">D2080*INDEX(Products!$E$2:$E$49,MATCH(C2080,Products!$A$2:$A$49,0))</f>
        <v>42280</v>
      </c>
      <c r="I2080" s="33" t="n">
        <f aca="false">D2080*INDEX(Products!$D$2:$D$49,MATCH(C2080,Products!$A$2:$A$49,0))*(1+INDEX(Assumptions!$B$16:$B$20,MATCH(B2080,Assumptions!$A$16:$A$20,0)))</f>
        <v>29680.56</v>
      </c>
      <c r="J2080" s="33" t="n">
        <f aca="false">H2080-I2080</f>
        <v>12599.44</v>
      </c>
      <c r="K2080" s="33" t="n">
        <f aca="false">IF(OR(E2080=0,E2080&gt;=7),0,D2080/(7-E2080)*E2080*INDEX(Products!$E$2:$E$49,MATCH(C2080,Products!$A$2:$A$49,0)))</f>
        <v>0</v>
      </c>
    </row>
    <row r="2081" customFormat="false" ht="15" hidden="false" customHeight="false" outlineLevel="0" collapsed="false">
      <c r="A2081" s="36" t="n">
        <v>46146</v>
      </c>
      <c r="B2081" s="24" t="s">
        <v>62</v>
      </c>
      <c r="C2081" s="24" t="s">
        <v>185</v>
      </c>
      <c r="D2081" s="33" t="n">
        <v>112</v>
      </c>
      <c r="E2081" s="24" t="n">
        <v>0</v>
      </c>
      <c r="F2081" s="37" t="n">
        <f aca="false">DATE(YEAR(A2081),MONTH(A2081),1)</f>
        <v>46143</v>
      </c>
      <c r="G2081" s="24" t="str">
        <f aca="false">INDEX(Products!$C$2:$C$49,MATCH(C2081,Products!$A$2:$A$49,0))</f>
        <v>Personal Care</v>
      </c>
      <c r="H2081" s="33" t="n">
        <f aca="false">D2081*INDEX(Products!$E$2:$E$49,MATCH(C2081,Products!$A$2:$A$49,0))</f>
        <v>31360</v>
      </c>
      <c r="I2081" s="33" t="n">
        <f aca="false">D2081*INDEX(Products!$D$2:$D$49,MATCH(C2081,Products!$A$2:$A$49,0))*(1+INDEX(Assumptions!$B$16:$B$20,MATCH(B2081,Assumptions!$A$16:$A$20,0)))</f>
        <v>22014.72</v>
      </c>
      <c r="J2081" s="33" t="n">
        <f aca="false">H2081-I2081</f>
        <v>9345.28</v>
      </c>
      <c r="K2081" s="33" t="n">
        <f aca="false">IF(OR(E2081=0,E2081&gt;=7),0,D2081/(7-E2081)*E2081*INDEX(Products!$E$2:$E$49,MATCH(C2081,Products!$A$2:$A$49,0)))</f>
        <v>0</v>
      </c>
    </row>
    <row r="2082" customFormat="false" ht="15" hidden="false" customHeight="false" outlineLevel="0" collapsed="false">
      <c r="A2082" s="36" t="n">
        <v>46153</v>
      </c>
      <c r="B2082" s="24" t="s">
        <v>62</v>
      </c>
      <c r="C2082" s="24" t="s">
        <v>185</v>
      </c>
      <c r="D2082" s="33" t="n">
        <v>117</v>
      </c>
      <c r="E2082" s="24" t="n">
        <v>0</v>
      </c>
      <c r="F2082" s="37" t="n">
        <f aca="false">DATE(YEAR(A2082),MONTH(A2082),1)</f>
        <v>46143</v>
      </c>
      <c r="G2082" s="24" t="str">
        <f aca="false">INDEX(Products!$C$2:$C$49,MATCH(C2082,Products!$A$2:$A$49,0))</f>
        <v>Personal Care</v>
      </c>
      <c r="H2082" s="33" t="n">
        <f aca="false">D2082*INDEX(Products!$E$2:$E$49,MATCH(C2082,Products!$A$2:$A$49,0))</f>
        <v>32760</v>
      </c>
      <c r="I2082" s="33" t="n">
        <f aca="false">D2082*INDEX(Products!$D$2:$D$49,MATCH(C2082,Products!$A$2:$A$49,0))*(1+INDEX(Assumptions!$B$16:$B$20,MATCH(B2082,Assumptions!$A$16:$A$20,0)))</f>
        <v>22997.52</v>
      </c>
      <c r="J2082" s="33" t="n">
        <f aca="false">H2082-I2082</f>
        <v>9762.48</v>
      </c>
      <c r="K2082" s="33" t="n">
        <f aca="false">IF(OR(E2082=0,E2082&gt;=7),0,D2082/(7-E2082)*E2082*INDEX(Products!$E$2:$E$49,MATCH(C2082,Products!$A$2:$A$49,0)))</f>
        <v>0</v>
      </c>
    </row>
    <row r="2083" customFormat="false" ht="15" hidden="false" customHeight="false" outlineLevel="0" collapsed="false">
      <c r="A2083" s="36" t="n">
        <v>46160</v>
      </c>
      <c r="B2083" s="24" t="s">
        <v>62</v>
      </c>
      <c r="C2083" s="24" t="s">
        <v>185</v>
      </c>
      <c r="D2083" s="33" t="n">
        <v>135</v>
      </c>
      <c r="E2083" s="24" t="n">
        <v>0</v>
      </c>
      <c r="F2083" s="37" t="n">
        <f aca="false">DATE(YEAR(A2083),MONTH(A2083),1)</f>
        <v>46143</v>
      </c>
      <c r="G2083" s="24" t="str">
        <f aca="false">INDEX(Products!$C$2:$C$49,MATCH(C2083,Products!$A$2:$A$49,0))</f>
        <v>Personal Care</v>
      </c>
      <c r="H2083" s="33" t="n">
        <f aca="false">D2083*INDEX(Products!$E$2:$E$49,MATCH(C2083,Products!$A$2:$A$49,0))</f>
        <v>37800</v>
      </c>
      <c r="I2083" s="33" t="n">
        <f aca="false">D2083*INDEX(Products!$D$2:$D$49,MATCH(C2083,Products!$A$2:$A$49,0))*(1+INDEX(Assumptions!$B$16:$B$20,MATCH(B2083,Assumptions!$A$16:$A$20,0)))</f>
        <v>26535.6</v>
      </c>
      <c r="J2083" s="33" t="n">
        <f aca="false">H2083-I2083</f>
        <v>11264.4</v>
      </c>
      <c r="K2083" s="33" t="n">
        <f aca="false">IF(OR(E2083=0,E2083&gt;=7),0,D2083/(7-E2083)*E2083*INDEX(Products!$E$2:$E$49,MATCH(C2083,Products!$A$2:$A$49,0)))</f>
        <v>0</v>
      </c>
    </row>
    <row r="2084" customFormat="false" ht="15" hidden="false" customHeight="false" outlineLevel="0" collapsed="false">
      <c r="A2084" s="36" t="n">
        <v>46167</v>
      </c>
      <c r="B2084" s="24" t="s">
        <v>62</v>
      </c>
      <c r="C2084" s="24" t="s">
        <v>185</v>
      </c>
      <c r="D2084" s="33" t="n">
        <v>261</v>
      </c>
      <c r="E2084" s="24" t="n">
        <v>0</v>
      </c>
      <c r="F2084" s="37" t="n">
        <f aca="false">DATE(YEAR(A2084),MONTH(A2084),1)</f>
        <v>46143</v>
      </c>
      <c r="G2084" s="24" t="str">
        <f aca="false">INDEX(Products!$C$2:$C$49,MATCH(C2084,Products!$A$2:$A$49,0))</f>
        <v>Personal Care</v>
      </c>
      <c r="H2084" s="33" t="n">
        <f aca="false">D2084*INDEX(Products!$E$2:$E$49,MATCH(C2084,Products!$A$2:$A$49,0))</f>
        <v>73080</v>
      </c>
      <c r="I2084" s="33" t="n">
        <f aca="false">D2084*INDEX(Products!$D$2:$D$49,MATCH(C2084,Products!$A$2:$A$49,0))*(1+INDEX(Assumptions!$B$16:$B$20,MATCH(B2084,Assumptions!$A$16:$A$20,0)))</f>
        <v>51302.16</v>
      </c>
      <c r="J2084" s="33" t="n">
        <f aca="false">H2084-I2084</f>
        <v>21777.84</v>
      </c>
      <c r="K2084" s="33" t="n">
        <f aca="false">IF(OR(E2084=0,E2084&gt;=7),0,D2084/(7-E2084)*E2084*INDEX(Products!$E$2:$E$49,MATCH(C2084,Products!$A$2:$A$49,0)))</f>
        <v>0</v>
      </c>
    </row>
    <row r="2085" customFormat="false" ht="15" hidden="false" customHeight="false" outlineLevel="0" collapsed="false">
      <c r="A2085" s="36" t="n">
        <v>46174</v>
      </c>
      <c r="B2085" s="24" t="s">
        <v>62</v>
      </c>
      <c r="C2085" s="24" t="s">
        <v>185</v>
      </c>
      <c r="D2085" s="33" t="n">
        <v>115</v>
      </c>
      <c r="E2085" s="24" t="n">
        <v>0</v>
      </c>
      <c r="F2085" s="37" t="n">
        <f aca="false">DATE(YEAR(A2085),MONTH(A2085),1)</f>
        <v>46174</v>
      </c>
      <c r="G2085" s="24" t="str">
        <f aca="false">INDEX(Products!$C$2:$C$49,MATCH(C2085,Products!$A$2:$A$49,0))</f>
        <v>Personal Care</v>
      </c>
      <c r="H2085" s="33" t="n">
        <f aca="false">D2085*INDEX(Products!$E$2:$E$49,MATCH(C2085,Products!$A$2:$A$49,0))</f>
        <v>32200</v>
      </c>
      <c r="I2085" s="33" t="n">
        <f aca="false">D2085*INDEX(Products!$D$2:$D$49,MATCH(C2085,Products!$A$2:$A$49,0))*(1+INDEX(Assumptions!$B$16:$B$20,MATCH(B2085,Assumptions!$A$16:$A$20,0)))</f>
        <v>22604.4</v>
      </c>
      <c r="J2085" s="33" t="n">
        <f aca="false">H2085-I2085</f>
        <v>9595.6</v>
      </c>
      <c r="K2085" s="33" t="n">
        <f aca="false">IF(OR(E2085=0,E2085&gt;=7),0,D2085/(7-E2085)*E2085*INDEX(Products!$E$2:$E$49,MATCH(C2085,Products!$A$2:$A$49,0)))</f>
        <v>0</v>
      </c>
    </row>
    <row r="2086" customFormat="false" ht="15" hidden="false" customHeight="false" outlineLevel="0" collapsed="false">
      <c r="A2086" s="36" t="n">
        <v>46181</v>
      </c>
      <c r="B2086" s="24" t="s">
        <v>62</v>
      </c>
      <c r="C2086" s="24" t="s">
        <v>185</v>
      </c>
      <c r="D2086" s="33" t="n">
        <v>136</v>
      </c>
      <c r="E2086" s="24" t="n">
        <v>0</v>
      </c>
      <c r="F2086" s="37" t="n">
        <f aca="false">DATE(YEAR(A2086),MONTH(A2086),1)</f>
        <v>46174</v>
      </c>
      <c r="G2086" s="24" t="str">
        <f aca="false">INDEX(Products!$C$2:$C$49,MATCH(C2086,Products!$A$2:$A$49,0))</f>
        <v>Personal Care</v>
      </c>
      <c r="H2086" s="33" t="n">
        <f aca="false">D2086*INDEX(Products!$E$2:$E$49,MATCH(C2086,Products!$A$2:$A$49,0))</f>
        <v>38080</v>
      </c>
      <c r="I2086" s="33" t="n">
        <f aca="false">D2086*INDEX(Products!$D$2:$D$49,MATCH(C2086,Products!$A$2:$A$49,0))*(1+INDEX(Assumptions!$B$16:$B$20,MATCH(B2086,Assumptions!$A$16:$A$20,0)))</f>
        <v>26732.16</v>
      </c>
      <c r="J2086" s="33" t="n">
        <f aca="false">H2086-I2086</f>
        <v>11347.84</v>
      </c>
      <c r="K2086" s="33" t="n">
        <f aca="false">IF(OR(E2086=0,E2086&gt;=7),0,D2086/(7-E2086)*E2086*INDEX(Products!$E$2:$E$49,MATCH(C2086,Products!$A$2:$A$49,0)))</f>
        <v>0</v>
      </c>
    </row>
    <row r="2087" customFormat="false" ht="15" hidden="false" customHeight="false" outlineLevel="0" collapsed="false">
      <c r="A2087" s="36" t="n">
        <v>46188</v>
      </c>
      <c r="B2087" s="24" t="s">
        <v>62</v>
      </c>
      <c r="C2087" s="24" t="s">
        <v>185</v>
      </c>
      <c r="D2087" s="33" t="n">
        <v>103</v>
      </c>
      <c r="E2087" s="24" t="n">
        <v>0</v>
      </c>
      <c r="F2087" s="37" t="n">
        <f aca="false">DATE(YEAR(A2087),MONTH(A2087),1)</f>
        <v>46174</v>
      </c>
      <c r="G2087" s="24" t="str">
        <f aca="false">INDEX(Products!$C$2:$C$49,MATCH(C2087,Products!$A$2:$A$49,0))</f>
        <v>Personal Care</v>
      </c>
      <c r="H2087" s="33" t="n">
        <f aca="false">D2087*INDEX(Products!$E$2:$E$49,MATCH(C2087,Products!$A$2:$A$49,0))</f>
        <v>28840</v>
      </c>
      <c r="I2087" s="33" t="n">
        <f aca="false">D2087*INDEX(Products!$D$2:$D$49,MATCH(C2087,Products!$A$2:$A$49,0))*(1+INDEX(Assumptions!$B$16:$B$20,MATCH(B2087,Assumptions!$A$16:$A$20,0)))</f>
        <v>20245.68</v>
      </c>
      <c r="J2087" s="33" t="n">
        <f aca="false">H2087-I2087</f>
        <v>8594.32</v>
      </c>
      <c r="K2087" s="33" t="n">
        <f aca="false">IF(OR(E2087=0,E2087&gt;=7),0,D2087/(7-E2087)*E2087*INDEX(Products!$E$2:$E$49,MATCH(C2087,Products!$A$2:$A$49,0)))</f>
        <v>0</v>
      </c>
    </row>
    <row r="2088" customFormat="false" ht="15" hidden="false" customHeight="false" outlineLevel="0" collapsed="false">
      <c r="A2088" s="36" t="n">
        <v>46195</v>
      </c>
      <c r="B2088" s="24" t="s">
        <v>62</v>
      </c>
      <c r="C2088" s="24" t="s">
        <v>185</v>
      </c>
      <c r="D2088" s="33" t="n">
        <v>153</v>
      </c>
      <c r="E2088" s="24" t="n">
        <v>0</v>
      </c>
      <c r="F2088" s="37" t="n">
        <f aca="false">DATE(YEAR(A2088),MONTH(A2088),1)</f>
        <v>46174</v>
      </c>
      <c r="G2088" s="24" t="str">
        <f aca="false">INDEX(Products!$C$2:$C$49,MATCH(C2088,Products!$A$2:$A$49,0))</f>
        <v>Personal Care</v>
      </c>
      <c r="H2088" s="33" t="n">
        <f aca="false">D2088*INDEX(Products!$E$2:$E$49,MATCH(C2088,Products!$A$2:$A$49,0))</f>
        <v>42840</v>
      </c>
      <c r="I2088" s="33" t="n">
        <f aca="false">D2088*INDEX(Products!$D$2:$D$49,MATCH(C2088,Products!$A$2:$A$49,0))*(1+INDEX(Assumptions!$B$16:$B$20,MATCH(B2088,Assumptions!$A$16:$A$20,0)))</f>
        <v>30073.68</v>
      </c>
      <c r="J2088" s="33" t="n">
        <f aca="false">H2088-I2088</f>
        <v>12766.32</v>
      </c>
      <c r="K2088" s="33" t="n">
        <f aca="false">IF(OR(E2088=0,E2088&gt;=7),0,D2088/(7-E2088)*E2088*INDEX(Products!$E$2:$E$49,MATCH(C2088,Products!$A$2:$A$49,0)))</f>
        <v>0</v>
      </c>
    </row>
    <row r="2089" customFormat="false" ht="15" hidden="false" customHeight="false" outlineLevel="0" collapsed="false">
      <c r="A2089" s="36" t="n">
        <v>46202</v>
      </c>
      <c r="B2089" s="24" t="s">
        <v>62</v>
      </c>
      <c r="C2089" s="24" t="s">
        <v>185</v>
      </c>
      <c r="D2089" s="33" t="n">
        <v>141</v>
      </c>
      <c r="E2089" s="24" t="n">
        <v>0</v>
      </c>
      <c r="F2089" s="37" t="n">
        <f aca="false">DATE(YEAR(A2089),MONTH(A2089),1)</f>
        <v>46174</v>
      </c>
      <c r="G2089" s="24" t="str">
        <f aca="false">INDEX(Products!$C$2:$C$49,MATCH(C2089,Products!$A$2:$A$49,0))</f>
        <v>Personal Care</v>
      </c>
      <c r="H2089" s="33" t="n">
        <f aca="false">D2089*INDEX(Products!$E$2:$E$49,MATCH(C2089,Products!$A$2:$A$49,0))</f>
        <v>39480</v>
      </c>
      <c r="I2089" s="33" t="n">
        <f aca="false">D2089*INDEX(Products!$D$2:$D$49,MATCH(C2089,Products!$A$2:$A$49,0))*(1+INDEX(Assumptions!$B$16:$B$20,MATCH(B2089,Assumptions!$A$16:$A$20,0)))</f>
        <v>27714.96</v>
      </c>
      <c r="J2089" s="33" t="n">
        <f aca="false">H2089-I2089</f>
        <v>11765.04</v>
      </c>
      <c r="K2089" s="33" t="n">
        <f aca="false">IF(OR(E2089=0,E2089&gt;=7),0,D2089/(7-E2089)*E2089*INDEX(Products!$E$2:$E$49,MATCH(C2089,Products!$A$2:$A$49,0)))</f>
        <v>0</v>
      </c>
    </row>
    <row r="2090" customFormat="false" ht="15" hidden="false" customHeight="false" outlineLevel="0" collapsed="false">
      <c r="A2090" s="36" t="n">
        <v>46209</v>
      </c>
      <c r="B2090" s="24" t="s">
        <v>62</v>
      </c>
      <c r="C2090" s="24" t="s">
        <v>185</v>
      </c>
      <c r="D2090" s="33" t="n">
        <v>113</v>
      </c>
      <c r="E2090" s="24" t="n">
        <v>0</v>
      </c>
      <c r="F2090" s="37" t="n">
        <f aca="false">DATE(YEAR(A2090),MONTH(A2090),1)</f>
        <v>46204</v>
      </c>
      <c r="G2090" s="24" t="str">
        <f aca="false">INDEX(Products!$C$2:$C$49,MATCH(C2090,Products!$A$2:$A$49,0))</f>
        <v>Personal Care</v>
      </c>
      <c r="H2090" s="33" t="n">
        <f aca="false">D2090*INDEX(Products!$E$2:$E$49,MATCH(C2090,Products!$A$2:$A$49,0))</f>
        <v>31640</v>
      </c>
      <c r="I2090" s="33" t="n">
        <f aca="false">D2090*INDEX(Products!$D$2:$D$49,MATCH(C2090,Products!$A$2:$A$49,0))*(1+INDEX(Assumptions!$B$16:$B$20,MATCH(B2090,Assumptions!$A$16:$A$20,0)))</f>
        <v>22211.28</v>
      </c>
      <c r="J2090" s="33" t="n">
        <f aca="false">H2090-I2090</f>
        <v>9428.72</v>
      </c>
      <c r="K2090" s="33" t="n">
        <f aca="false">IF(OR(E2090=0,E2090&gt;=7),0,D2090/(7-E2090)*E2090*INDEX(Products!$E$2:$E$49,MATCH(C2090,Products!$A$2:$A$49,0)))</f>
        <v>0</v>
      </c>
    </row>
    <row r="2091" customFormat="false" ht="15" hidden="false" customHeight="false" outlineLevel="0" collapsed="false">
      <c r="A2091" s="36" t="n">
        <v>46216</v>
      </c>
      <c r="B2091" s="24" t="s">
        <v>62</v>
      </c>
      <c r="C2091" s="24" t="s">
        <v>185</v>
      </c>
      <c r="D2091" s="33" t="n">
        <v>119</v>
      </c>
      <c r="E2091" s="24" t="n">
        <v>0</v>
      </c>
      <c r="F2091" s="37" t="n">
        <f aca="false">DATE(YEAR(A2091),MONTH(A2091),1)</f>
        <v>46204</v>
      </c>
      <c r="G2091" s="24" t="str">
        <f aca="false">INDEX(Products!$C$2:$C$49,MATCH(C2091,Products!$A$2:$A$49,0))</f>
        <v>Personal Care</v>
      </c>
      <c r="H2091" s="33" t="n">
        <f aca="false">D2091*INDEX(Products!$E$2:$E$49,MATCH(C2091,Products!$A$2:$A$49,0))</f>
        <v>33320</v>
      </c>
      <c r="I2091" s="33" t="n">
        <f aca="false">D2091*INDEX(Products!$D$2:$D$49,MATCH(C2091,Products!$A$2:$A$49,0))*(1+INDEX(Assumptions!$B$16:$B$20,MATCH(B2091,Assumptions!$A$16:$A$20,0)))</f>
        <v>23390.64</v>
      </c>
      <c r="J2091" s="33" t="n">
        <f aca="false">H2091-I2091</f>
        <v>9929.36</v>
      </c>
      <c r="K2091" s="33" t="n">
        <f aca="false">IF(OR(E2091=0,E2091&gt;=7),0,D2091/(7-E2091)*E2091*INDEX(Products!$E$2:$E$49,MATCH(C2091,Products!$A$2:$A$49,0)))</f>
        <v>0</v>
      </c>
    </row>
    <row r="2092" customFormat="false" ht="15" hidden="false" customHeight="false" outlineLevel="0" collapsed="false">
      <c r="A2092" s="36" t="n">
        <v>46223</v>
      </c>
      <c r="B2092" s="24" t="s">
        <v>62</v>
      </c>
      <c r="C2092" s="24" t="s">
        <v>185</v>
      </c>
      <c r="D2092" s="33" t="n">
        <v>132</v>
      </c>
      <c r="E2092" s="24" t="n">
        <v>0</v>
      </c>
      <c r="F2092" s="37" t="n">
        <f aca="false">DATE(YEAR(A2092),MONTH(A2092),1)</f>
        <v>46204</v>
      </c>
      <c r="G2092" s="24" t="str">
        <f aca="false">INDEX(Products!$C$2:$C$49,MATCH(C2092,Products!$A$2:$A$49,0))</f>
        <v>Personal Care</v>
      </c>
      <c r="H2092" s="33" t="n">
        <f aca="false">D2092*INDEX(Products!$E$2:$E$49,MATCH(C2092,Products!$A$2:$A$49,0))</f>
        <v>36960</v>
      </c>
      <c r="I2092" s="33" t="n">
        <f aca="false">D2092*INDEX(Products!$D$2:$D$49,MATCH(C2092,Products!$A$2:$A$49,0))*(1+INDEX(Assumptions!$B$16:$B$20,MATCH(B2092,Assumptions!$A$16:$A$20,0)))</f>
        <v>25945.92</v>
      </c>
      <c r="J2092" s="33" t="n">
        <f aca="false">H2092-I2092</f>
        <v>11014.08</v>
      </c>
      <c r="K2092" s="33" t="n">
        <f aca="false">IF(OR(E2092=0,E2092&gt;=7),0,D2092/(7-E2092)*E2092*INDEX(Products!$E$2:$E$49,MATCH(C2092,Products!$A$2:$A$49,0)))</f>
        <v>0</v>
      </c>
    </row>
    <row r="2093" customFormat="false" ht="15" hidden="false" customHeight="false" outlineLevel="0" collapsed="false">
      <c r="A2093" s="36" t="n">
        <v>46230</v>
      </c>
      <c r="B2093" s="24" t="s">
        <v>62</v>
      </c>
      <c r="C2093" s="24" t="s">
        <v>185</v>
      </c>
      <c r="D2093" s="33" t="n">
        <v>147</v>
      </c>
      <c r="E2093" s="24" t="n">
        <v>0</v>
      </c>
      <c r="F2093" s="37" t="n">
        <f aca="false">DATE(YEAR(A2093),MONTH(A2093),1)</f>
        <v>46204</v>
      </c>
      <c r="G2093" s="24" t="str">
        <f aca="false">INDEX(Products!$C$2:$C$49,MATCH(C2093,Products!$A$2:$A$49,0))</f>
        <v>Personal Care</v>
      </c>
      <c r="H2093" s="33" t="n">
        <f aca="false">D2093*INDEX(Products!$E$2:$E$49,MATCH(C2093,Products!$A$2:$A$49,0))</f>
        <v>41160</v>
      </c>
      <c r="I2093" s="33" t="n">
        <f aca="false">D2093*INDEX(Products!$D$2:$D$49,MATCH(C2093,Products!$A$2:$A$49,0))*(1+INDEX(Assumptions!$B$16:$B$20,MATCH(B2093,Assumptions!$A$16:$A$20,0)))</f>
        <v>28894.32</v>
      </c>
      <c r="J2093" s="33" t="n">
        <f aca="false">H2093-I2093</f>
        <v>12265.68</v>
      </c>
      <c r="K2093" s="33" t="n">
        <f aca="false">IF(OR(E2093=0,E2093&gt;=7),0,D2093/(7-E2093)*E2093*INDEX(Products!$E$2:$E$49,MATCH(C2093,Products!$A$2:$A$49,0)))</f>
        <v>0</v>
      </c>
    </row>
    <row r="2094" customFormat="false" ht="15" hidden="false" customHeight="false" outlineLevel="0" collapsed="false">
      <c r="A2094" s="36" t="n">
        <v>46237</v>
      </c>
      <c r="B2094" s="24" t="s">
        <v>62</v>
      </c>
      <c r="C2094" s="24" t="s">
        <v>185</v>
      </c>
      <c r="D2094" s="33" t="n">
        <v>120</v>
      </c>
      <c r="E2094" s="24" t="n">
        <v>0</v>
      </c>
      <c r="F2094" s="37" t="n">
        <f aca="false">DATE(YEAR(A2094),MONTH(A2094),1)</f>
        <v>46235</v>
      </c>
      <c r="G2094" s="24" t="str">
        <f aca="false">INDEX(Products!$C$2:$C$49,MATCH(C2094,Products!$A$2:$A$49,0))</f>
        <v>Personal Care</v>
      </c>
      <c r="H2094" s="33" t="n">
        <f aca="false">D2094*INDEX(Products!$E$2:$E$49,MATCH(C2094,Products!$A$2:$A$49,0))</f>
        <v>33600</v>
      </c>
      <c r="I2094" s="33" t="n">
        <f aca="false">D2094*INDEX(Products!$D$2:$D$49,MATCH(C2094,Products!$A$2:$A$49,0))*(1+INDEX(Assumptions!$B$16:$B$20,MATCH(B2094,Assumptions!$A$16:$A$20,0)))</f>
        <v>23587.2</v>
      </c>
      <c r="J2094" s="33" t="n">
        <f aca="false">H2094-I2094</f>
        <v>10012.8</v>
      </c>
      <c r="K2094" s="33" t="n">
        <f aca="false">IF(OR(E2094=0,E2094&gt;=7),0,D2094/(7-E2094)*E2094*INDEX(Products!$E$2:$E$49,MATCH(C2094,Products!$A$2:$A$49,0)))</f>
        <v>0</v>
      </c>
    </row>
    <row r="2095" customFormat="false" ht="15" hidden="false" customHeight="false" outlineLevel="0" collapsed="false">
      <c r="A2095" s="36" t="n">
        <v>46244</v>
      </c>
      <c r="B2095" s="24" t="s">
        <v>62</v>
      </c>
      <c r="C2095" s="24" t="s">
        <v>185</v>
      </c>
      <c r="D2095" s="33" t="n">
        <v>130</v>
      </c>
      <c r="E2095" s="24" t="n">
        <v>0</v>
      </c>
      <c r="F2095" s="37" t="n">
        <f aca="false">DATE(YEAR(A2095),MONTH(A2095),1)</f>
        <v>46235</v>
      </c>
      <c r="G2095" s="24" t="str">
        <f aca="false">INDEX(Products!$C$2:$C$49,MATCH(C2095,Products!$A$2:$A$49,0))</f>
        <v>Personal Care</v>
      </c>
      <c r="H2095" s="33" t="n">
        <f aca="false">D2095*INDEX(Products!$E$2:$E$49,MATCH(C2095,Products!$A$2:$A$49,0))</f>
        <v>36400</v>
      </c>
      <c r="I2095" s="33" t="n">
        <f aca="false">D2095*INDEX(Products!$D$2:$D$49,MATCH(C2095,Products!$A$2:$A$49,0))*(1+INDEX(Assumptions!$B$16:$B$20,MATCH(B2095,Assumptions!$A$16:$A$20,0)))</f>
        <v>25552.8</v>
      </c>
      <c r="J2095" s="33" t="n">
        <f aca="false">H2095-I2095</f>
        <v>10847.2</v>
      </c>
      <c r="K2095" s="33" t="n">
        <f aca="false">IF(OR(E2095=0,E2095&gt;=7),0,D2095/(7-E2095)*E2095*INDEX(Products!$E$2:$E$49,MATCH(C2095,Products!$A$2:$A$49,0)))</f>
        <v>0</v>
      </c>
    </row>
    <row r="2096" customFormat="false" ht="15" hidden="false" customHeight="false" outlineLevel="0" collapsed="false">
      <c r="A2096" s="36" t="n">
        <v>46251</v>
      </c>
      <c r="B2096" s="24" t="s">
        <v>62</v>
      </c>
      <c r="C2096" s="24" t="s">
        <v>185</v>
      </c>
      <c r="D2096" s="33" t="n">
        <v>114</v>
      </c>
      <c r="E2096" s="24" t="n">
        <v>0</v>
      </c>
      <c r="F2096" s="37" t="n">
        <f aca="false">DATE(YEAR(A2096),MONTH(A2096),1)</f>
        <v>46235</v>
      </c>
      <c r="G2096" s="24" t="str">
        <f aca="false">INDEX(Products!$C$2:$C$49,MATCH(C2096,Products!$A$2:$A$49,0))</f>
        <v>Personal Care</v>
      </c>
      <c r="H2096" s="33" t="n">
        <f aca="false">D2096*INDEX(Products!$E$2:$E$49,MATCH(C2096,Products!$A$2:$A$49,0))</f>
        <v>31920</v>
      </c>
      <c r="I2096" s="33" t="n">
        <f aca="false">D2096*INDEX(Products!$D$2:$D$49,MATCH(C2096,Products!$A$2:$A$49,0))*(1+INDEX(Assumptions!$B$16:$B$20,MATCH(B2096,Assumptions!$A$16:$A$20,0)))</f>
        <v>22407.84</v>
      </c>
      <c r="J2096" s="33" t="n">
        <f aca="false">H2096-I2096</f>
        <v>9512.16</v>
      </c>
      <c r="K2096" s="33" t="n">
        <f aca="false">IF(OR(E2096=0,E2096&gt;=7),0,D2096/(7-E2096)*E2096*INDEX(Products!$E$2:$E$49,MATCH(C2096,Products!$A$2:$A$49,0)))</f>
        <v>0</v>
      </c>
    </row>
    <row r="2097" customFormat="false" ht="15" hidden="false" customHeight="false" outlineLevel="0" collapsed="false">
      <c r="A2097" s="36" t="n">
        <v>46258</v>
      </c>
      <c r="B2097" s="24" t="s">
        <v>62</v>
      </c>
      <c r="C2097" s="24" t="s">
        <v>185</v>
      </c>
      <c r="D2097" s="33" t="n">
        <v>132</v>
      </c>
      <c r="E2097" s="24" t="n">
        <v>0</v>
      </c>
      <c r="F2097" s="37" t="n">
        <f aca="false">DATE(YEAR(A2097),MONTH(A2097),1)</f>
        <v>46235</v>
      </c>
      <c r="G2097" s="24" t="str">
        <f aca="false">INDEX(Products!$C$2:$C$49,MATCH(C2097,Products!$A$2:$A$49,0))</f>
        <v>Personal Care</v>
      </c>
      <c r="H2097" s="33" t="n">
        <f aca="false">D2097*INDEX(Products!$E$2:$E$49,MATCH(C2097,Products!$A$2:$A$49,0))</f>
        <v>36960</v>
      </c>
      <c r="I2097" s="33" t="n">
        <f aca="false">D2097*INDEX(Products!$D$2:$D$49,MATCH(C2097,Products!$A$2:$A$49,0))*(1+INDEX(Assumptions!$B$16:$B$20,MATCH(B2097,Assumptions!$A$16:$A$20,0)))</f>
        <v>25945.92</v>
      </c>
      <c r="J2097" s="33" t="n">
        <f aca="false">H2097-I2097</f>
        <v>11014.08</v>
      </c>
      <c r="K2097" s="33" t="n">
        <f aca="false">IF(OR(E2097=0,E2097&gt;=7),0,D2097/(7-E2097)*E2097*INDEX(Products!$E$2:$E$49,MATCH(C2097,Products!$A$2:$A$49,0)))</f>
        <v>0</v>
      </c>
    </row>
    <row r="2098" customFormat="false" ht="15" hidden="false" customHeight="false" outlineLevel="0" collapsed="false">
      <c r="A2098" s="36" t="n">
        <v>46265</v>
      </c>
      <c r="B2098" s="24" t="s">
        <v>62</v>
      </c>
      <c r="C2098" s="24" t="s">
        <v>185</v>
      </c>
      <c r="D2098" s="33" t="n">
        <v>124</v>
      </c>
      <c r="E2098" s="24" t="n">
        <v>0</v>
      </c>
      <c r="F2098" s="37" t="n">
        <f aca="false">DATE(YEAR(A2098),MONTH(A2098),1)</f>
        <v>46235</v>
      </c>
      <c r="G2098" s="24" t="str">
        <f aca="false">INDEX(Products!$C$2:$C$49,MATCH(C2098,Products!$A$2:$A$49,0))</f>
        <v>Personal Care</v>
      </c>
      <c r="H2098" s="33" t="n">
        <f aca="false">D2098*INDEX(Products!$E$2:$E$49,MATCH(C2098,Products!$A$2:$A$49,0))</f>
        <v>34720</v>
      </c>
      <c r="I2098" s="33" t="n">
        <f aca="false">D2098*INDEX(Products!$D$2:$D$49,MATCH(C2098,Products!$A$2:$A$49,0))*(1+INDEX(Assumptions!$B$16:$B$20,MATCH(B2098,Assumptions!$A$16:$A$20,0)))</f>
        <v>24373.44</v>
      </c>
      <c r="J2098" s="33" t="n">
        <f aca="false">H2098-I2098</f>
        <v>10346.56</v>
      </c>
      <c r="K2098" s="33" t="n">
        <f aca="false">IF(OR(E2098=0,E2098&gt;=7),0,D2098/(7-E2098)*E2098*INDEX(Products!$E$2:$E$49,MATCH(C2098,Products!$A$2:$A$49,0)))</f>
        <v>0</v>
      </c>
    </row>
    <row r="2099" customFormat="false" ht="15" hidden="false" customHeight="false" outlineLevel="0" collapsed="false">
      <c r="A2099" s="36" t="n">
        <v>46272</v>
      </c>
      <c r="B2099" s="24" t="s">
        <v>62</v>
      </c>
      <c r="C2099" s="24" t="s">
        <v>185</v>
      </c>
      <c r="D2099" s="33" t="n">
        <v>108</v>
      </c>
      <c r="E2099" s="24" t="n">
        <v>0</v>
      </c>
      <c r="F2099" s="37" t="n">
        <f aca="false">DATE(YEAR(A2099),MONTH(A2099),1)</f>
        <v>46266</v>
      </c>
      <c r="G2099" s="24" t="str">
        <f aca="false">INDEX(Products!$C$2:$C$49,MATCH(C2099,Products!$A$2:$A$49,0))</f>
        <v>Personal Care</v>
      </c>
      <c r="H2099" s="33" t="n">
        <f aca="false">D2099*INDEX(Products!$E$2:$E$49,MATCH(C2099,Products!$A$2:$A$49,0))</f>
        <v>30240</v>
      </c>
      <c r="I2099" s="33" t="n">
        <f aca="false">D2099*INDEX(Products!$D$2:$D$49,MATCH(C2099,Products!$A$2:$A$49,0))*(1+INDEX(Assumptions!$B$16:$B$20,MATCH(B2099,Assumptions!$A$16:$A$20,0)))</f>
        <v>21228.48</v>
      </c>
      <c r="J2099" s="33" t="n">
        <f aca="false">H2099-I2099</f>
        <v>9011.52</v>
      </c>
      <c r="K2099" s="33" t="n">
        <f aca="false">IF(OR(E2099=0,E2099&gt;=7),0,D2099/(7-E2099)*E2099*INDEX(Products!$E$2:$E$49,MATCH(C2099,Products!$A$2:$A$49,0)))</f>
        <v>0</v>
      </c>
    </row>
    <row r="2100" customFormat="false" ht="15" hidden="false" customHeight="false" outlineLevel="0" collapsed="false">
      <c r="A2100" s="36" t="n">
        <v>46279</v>
      </c>
      <c r="B2100" s="24" t="s">
        <v>62</v>
      </c>
      <c r="C2100" s="24" t="s">
        <v>185</v>
      </c>
      <c r="D2100" s="33" t="n">
        <v>128</v>
      </c>
      <c r="E2100" s="24" t="n">
        <v>0</v>
      </c>
      <c r="F2100" s="37" t="n">
        <f aca="false">DATE(YEAR(A2100),MONTH(A2100),1)</f>
        <v>46266</v>
      </c>
      <c r="G2100" s="24" t="str">
        <f aca="false">INDEX(Products!$C$2:$C$49,MATCH(C2100,Products!$A$2:$A$49,0))</f>
        <v>Personal Care</v>
      </c>
      <c r="H2100" s="33" t="n">
        <f aca="false">D2100*INDEX(Products!$E$2:$E$49,MATCH(C2100,Products!$A$2:$A$49,0))</f>
        <v>35840</v>
      </c>
      <c r="I2100" s="33" t="n">
        <f aca="false">D2100*INDEX(Products!$D$2:$D$49,MATCH(C2100,Products!$A$2:$A$49,0))*(1+INDEX(Assumptions!$B$16:$B$20,MATCH(B2100,Assumptions!$A$16:$A$20,0)))</f>
        <v>25159.68</v>
      </c>
      <c r="J2100" s="33" t="n">
        <f aca="false">H2100-I2100</f>
        <v>10680.32</v>
      </c>
      <c r="K2100" s="33" t="n">
        <f aca="false">IF(OR(E2100=0,E2100&gt;=7),0,D2100/(7-E2100)*E2100*INDEX(Products!$E$2:$E$49,MATCH(C2100,Products!$A$2:$A$49,0)))</f>
        <v>0</v>
      </c>
    </row>
    <row r="2101" customFormat="false" ht="15" hidden="false" customHeight="false" outlineLevel="0" collapsed="false">
      <c r="A2101" s="36" t="n">
        <v>46286</v>
      </c>
      <c r="B2101" s="24" t="s">
        <v>62</v>
      </c>
      <c r="C2101" s="24" t="s">
        <v>185</v>
      </c>
      <c r="D2101" s="33" t="n">
        <v>143</v>
      </c>
      <c r="E2101" s="24" t="n">
        <v>0</v>
      </c>
      <c r="F2101" s="37" t="n">
        <f aca="false">DATE(YEAR(A2101),MONTH(A2101),1)</f>
        <v>46266</v>
      </c>
      <c r="G2101" s="24" t="str">
        <f aca="false">INDEX(Products!$C$2:$C$49,MATCH(C2101,Products!$A$2:$A$49,0))</f>
        <v>Personal Care</v>
      </c>
      <c r="H2101" s="33" t="n">
        <f aca="false">D2101*INDEX(Products!$E$2:$E$49,MATCH(C2101,Products!$A$2:$A$49,0))</f>
        <v>40040</v>
      </c>
      <c r="I2101" s="33" t="n">
        <f aca="false">D2101*INDEX(Products!$D$2:$D$49,MATCH(C2101,Products!$A$2:$A$49,0))*(1+INDEX(Assumptions!$B$16:$B$20,MATCH(B2101,Assumptions!$A$16:$A$20,0)))</f>
        <v>28108.08</v>
      </c>
      <c r="J2101" s="33" t="n">
        <f aca="false">H2101-I2101</f>
        <v>11931.92</v>
      </c>
      <c r="K2101" s="33" t="n">
        <f aca="false">IF(OR(E2101=0,E2101&gt;=7),0,D2101/(7-E2101)*E2101*INDEX(Products!$E$2:$E$49,MATCH(C2101,Products!$A$2:$A$49,0)))</f>
        <v>0</v>
      </c>
    </row>
    <row r="2102" customFormat="false" ht="15" hidden="false" customHeight="false" outlineLevel="0" collapsed="false">
      <c r="A2102" s="36" t="n">
        <v>46118</v>
      </c>
      <c r="B2102" s="24" t="s">
        <v>62</v>
      </c>
      <c r="C2102" s="24" t="s">
        <v>187</v>
      </c>
      <c r="D2102" s="33" t="n">
        <v>43</v>
      </c>
      <c r="E2102" s="24" t="n">
        <v>0</v>
      </c>
      <c r="F2102" s="37" t="n">
        <f aca="false">DATE(YEAR(A2102),MONTH(A2102),1)</f>
        <v>46113</v>
      </c>
      <c r="G2102" s="24" t="str">
        <f aca="false">INDEX(Products!$C$2:$C$49,MATCH(C2102,Products!$A$2:$A$49,0))</f>
        <v>Personal Care</v>
      </c>
      <c r="H2102" s="33" t="n">
        <f aca="false">D2102*INDEX(Products!$E$2:$E$49,MATCH(C2102,Products!$A$2:$A$49,0))</f>
        <v>6880</v>
      </c>
      <c r="I2102" s="33" t="n">
        <f aca="false">D2102*INDEX(Products!$D$2:$D$49,MATCH(C2102,Products!$A$2:$A$49,0))*(1+INDEX(Assumptions!$B$16:$B$20,MATCH(B2102,Assumptions!$A$16:$A$20,0)))</f>
        <v>4941.216</v>
      </c>
      <c r="J2102" s="33" t="n">
        <f aca="false">H2102-I2102</f>
        <v>1938.784</v>
      </c>
      <c r="K2102" s="33" t="n">
        <f aca="false">IF(OR(E2102=0,E2102&gt;=7),0,D2102/(7-E2102)*E2102*INDEX(Products!$E$2:$E$49,MATCH(C2102,Products!$A$2:$A$49,0)))</f>
        <v>0</v>
      </c>
    </row>
    <row r="2103" customFormat="false" ht="15" hidden="false" customHeight="false" outlineLevel="0" collapsed="false">
      <c r="A2103" s="36" t="n">
        <v>46125</v>
      </c>
      <c r="B2103" s="24" t="s">
        <v>62</v>
      </c>
      <c r="C2103" s="24" t="s">
        <v>187</v>
      </c>
      <c r="D2103" s="33" t="n">
        <v>16</v>
      </c>
      <c r="E2103" s="24" t="n">
        <v>4</v>
      </c>
      <c r="F2103" s="37" t="n">
        <f aca="false">DATE(YEAR(A2103),MONTH(A2103),1)</f>
        <v>46113</v>
      </c>
      <c r="G2103" s="24" t="str">
        <f aca="false">INDEX(Products!$C$2:$C$49,MATCH(C2103,Products!$A$2:$A$49,0))</f>
        <v>Personal Care</v>
      </c>
      <c r="H2103" s="33" t="n">
        <f aca="false">D2103*INDEX(Products!$E$2:$E$49,MATCH(C2103,Products!$A$2:$A$49,0))</f>
        <v>2560</v>
      </c>
      <c r="I2103" s="33" t="n">
        <f aca="false">D2103*INDEX(Products!$D$2:$D$49,MATCH(C2103,Products!$A$2:$A$49,0))*(1+INDEX(Assumptions!$B$16:$B$20,MATCH(B2103,Assumptions!$A$16:$A$20,0)))</f>
        <v>1838.592</v>
      </c>
      <c r="J2103" s="33" t="n">
        <f aca="false">H2103-I2103</f>
        <v>721.408</v>
      </c>
      <c r="K2103" s="33" t="n">
        <f aca="false">IF(OR(E2103=0,E2103&gt;=7),0,D2103/(7-E2103)*E2103*INDEX(Products!$E$2:$E$49,MATCH(C2103,Products!$A$2:$A$49,0)))</f>
        <v>3413.33333333333</v>
      </c>
    </row>
    <row r="2104" customFormat="false" ht="15" hidden="false" customHeight="false" outlineLevel="0" collapsed="false">
      <c r="A2104" s="36" t="n">
        <v>46132</v>
      </c>
      <c r="B2104" s="24" t="s">
        <v>62</v>
      </c>
      <c r="C2104" s="24" t="s">
        <v>187</v>
      </c>
      <c r="D2104" s="33" t="n">
        <v>40</v>
      </c>
      <c r="E2104" s="24" t="n">
        <v>0</v>
      </c>
      <c r="F2104" s="37" t="n">
        <f aca="false">DATE(YEAR(A2104),MONTH(A2104),1)</f>
        <v>46113</v>
      </c>
      <c r="G2104" s="24" t="str">
        <f aca="false">INDEX(Products!$C$2:$C$49,MATCH(C2104,Products!$A$2:$A$49,0))</f>
        <v>Personal Care</v>
      </c>
      <c r="H2104" s="33" t="n">
        <f aca="false">D2104*INDEX(Products!$E$2:$E$49,MATCH(C2104,Products!$A$2:$A$49,0))</f>
        <v>6400</v>
      </c>
      <c r="I2104" s="33" t="n">
        <f aca="false">D2104*INDEX(Products!$D$2:$D$49,MATCH(C2104,Products!$A$2:$A$49,0))*(1+INDEX(Assumptions!$B$16:$B$20,MATCH(B2104,Assumptions!$A$16:$A$20,0)))</f>
        <v>4596.48</v>
      </c>
      <c r="J2104" s="33" t="n">
        <f aca="false">H2104-I2104</f>
        <v>1803.52</v>
      </c>
      <c r="K2104" s="33" t="n">
        <f aca="false">IF(OR(E2104=0,E2104&gt;=7),0,D2104/(7-E2104)*E2104*INDEX(Products!$E$2:$E$49,MATCH(C2104,Products!$A$2:$A$49,0)))</f>
        <v>0</v>
      </c>
    </row>
    <row r="2105" customFormat="false" ht="15" hidden="false" customHeight="false" outlineLevel="0" collapsed="false">
      <c r="A2105" s="36" t="n">
        <v>46139</v>
      </c>
      <c r="B2105" s="24" t="s">
        <v>62</v>
      </c>
      <c r="C2105" s="24" t="s">
        <v>187</v>
      </c>
      <c r="D2105" s="33" t="n">
        <v>40</v>
      </c>
      <c r="E2105" s="24" t="n">
        <v>0</v>
      </c>
      <c r="F2105" s="37" t="n">
        <f aca="false">DATE(YEAR(A2105),MONTH(A2105),1)</f>
        <v>46113</v>
      </c>
      <c r="G2105" s="24" t="str">
        <f aca="false">INDEX(Products!$C$2:$C$49,MATCH(C2105,Products!$A$2:$A$49,0))</f>
        <v>Personal Care</v>
      </c>
      <c r="H2105" s="33" t="n">
        <f aca="false">D2105*INDEX(Products!$E$2:$E$49,MATCH(C2105,Products!$A$2:$A$49,0))</f>
        <v>6400</v>
      </c>
      <c r="I2105" s="33" t="n">
        <f aca="false">D2105*INDEX(Products!$D$2:$D$49,MATCH(C2105,Products!$A$2:$A$49,0))*(1+INDEX(Assumptions!$B$16:$B$20,MATCH(B2105,Assumptions!$A$16:$A$20,0)))</f>
        <v>4596.48</v>
      </c>
      <c r="J2105" s="33" t="n">
        <f aca="false">H2105-I2105</f>
        <v>1803.52</v>
      </c>
      <c r="K2105" s="33" t="n">
        <f aca="false">IF(OR(E2105=0,E2105&gt;=7),0,D2105/(7-E2105)*E2105*INDEX(Products!$E$2:$E$49,MATCH(C2105,Products!$A$2:$A$49,0)))</f>
        <v>0</v>
      </c>
    </row>
    <row r="2106" customFormat="false" ht="15" hidden="false" customHeight="false" outlineLevel="0" collapsed="false">
      <c r="A2106" s="36" t="n">
        <v>46146</v>
      </c>
      <c r="B2106" s="24" t="s">
        <v>62</v>
      </c>
      <c r="C2106" s="24" t="s">
        <v>187</v>
      </c>
      <c r="D2106" s="33" t="n">
        <v>41</v>
      </c>
      <c r="E2106" s="24" t="n">
        <v>1</v>
      </c>
      <c r="F2106" s="37" t="n">
        <f aca="false">DATE(YEAR(A2106),MONTH(A2106),1)</f>
        <v>46143</v>
      </c>
      <c r="G2106" s="24" t="str">
        <f aca="false">INDEX(Products!$C$2:$C$49,MATCH(C2106,Products!$A$2:$A$49,0))</f>
        <v>Personal Care</v>
      </c>
      <c r="H2106" s="33" t="n">
        <f aca="false">D2106*INDEX(Products!$E$2:$E$49,MATCH(C2106,Products!$A$2:$A$49,0))</f>
        <v>6560</v>
      </c>
      <c r="I2106" s="33" t="n">
        <f aca="false">D2106*INDEX(Products!$D$2:$D$49,MATCH(C2106,Products!$A$2:$A$49,0))*(1+INDEX(Assumptions!$B$16:$B$20,MATCH(B2106,Assumptions!$A$16:$A$20,0)))</f>
        <v>4711.392</v>
      </c>
      <c r="J2106" s="33" t="n">
        <f aca="false">H2106-I2106</f>
        <v>1848.608</v>
      </c>
      <c r="K2106" s="33" t="n">
        <f aca="false">IF(OR(E2106=0,E2106&gt;=7),0,D2106/(7-E2106)*E2106*INDEX(Products!$E$2:$E$49,MATCH(C2106,Products!$A$2:$A$49,0)))</f>
        <v>1093.33333333333</v>
      </c>
    </row>
    <row r="2107" customFormat="false" ht="15" hidden="false" customHeight="false" outlineLevel="0" collapsed="false">
      <c r="A2107" s="36" t="n">
        <v>46153</v>
      </c>
      <c r="B2107" s="24" t="s">
        <v>62</v>
      </c>
      <c r="C2107" s="24" t="s">
        <v>187</v>
      </c>
      <c r="D2107" s="33" t="n">
        <v>40</v>
      </c>
      <c r="E2107" s="24" t="n">
        <v>0</v>
      </c>
      <c r="F2107" s="37" t="n">
        <f aca="false">DATE(YEAR(A2107),MONTH(A2107),1)</f>
        <v>46143</v>
      </c>
      <c r="G2107" s="24" t="str">
        <f aca="false">INDEX(Products!$C$2:$C$49,MATCH(C2107,Products!$A$2:$A$49,0))</f>
        <v>Personal Care</v>
      </c>
      <c r="H2107" s="33" t="n">
        <f aca="false">D2107*INDEX(Products!$E$2:$E$49,MATCH(C2107,Products!$A$2:$A$49,0))</f>
        <v>6400</v>
      </c>
      <c r="I2107" s="33" t="n">
        <f aca="false">D2107*INDEX(Products!$D$2:$D$49,MATCH(C2107,Products!$A$2:$A$49,0))*(1+INDEX(Assumptions!$B$16:$B$20,MATCH(B2107,Assumptions!$A$16:$A$20,0)))</f>
        <v>4596.48</v>
      </c>
      <c r="J2107" s="33" t="n">
        <f aca="false">H2107-I2107</f>
        <v>1803.52</v>
      </c>
      <c r="K2107" s="33" t="n">
        <f aca="false">IF(OR(E2107=0,E2107&gt;=7),0,D2107/(7-E2107)*E2107*INDEX(Products!$E$2:$E$49,MATCH(C2107,Products!$A$2:$A$49,0)))</f>
        <v>0</v>
      </c>
    </row>
    <row r="2108" customFormat="false" ht="15" hidden="false" customHeight="false" outlineLevel="0" collapsed="false">
      <c r="A2108" s="36" t="n">
        <v>46160</v>
      </c>
      <c r="B2108" s="24" t="s">
        <v>62</v>
      </c>
      <c r="C2108" s="24" t="s">
        <v>187</v>
      </c>
      <c r="D2108" s="33" t="n">
        <v>31</v>
      </c>
      <c r="E2108" s="24" t="n">
        <v>0</v>
      </c>
      <c r="F2108" s="37" t="n">
        <f aca="false">DATE(YEAR(A2108),MONTH(A2108),1)</f>
        <v>46143</v>
      </c>
      <c r="G2108" s="24" t="str">
        <f aca="false">INDEX(Products!$C$2:$C$49,MATCH(C2108,Products!$A$2:$A$49,0))</f>
        <v>Personal Care</v>
      </c>
      <c r="H2108" s="33" t="n">
        <f aca="false">D2108*INDEX(Products!$E$2:$E$49,MATCH(C2108,Products!$A$2:$A$49,0))</f>
        <v>4960</v>
      </c>
      <c r="I2108" s="33" t="n">
        <f aca="false">D2108*INDEX(Products!$D$2:$D$49,MATCH(C2108,Products!$A$2:$A$49,0))*(1+INDEX(Assumptions!$B$16:$B$20,MATCH(B2108,Assumptions!$A$16:$A$20,0)))</f>
        <v>3562.272</v>
      </c>
      <c r="J2108" s="33" t="n">
        <f aca="false">H2108-I2108</f>
        <v>1397.728</v>
      </c>
      <c r="K2108" s="33" t="n">
        <f aca="false">IF(OR(E2108=0,E2108&gt;=7),0,D2108/(7-E2108)*E2108*INDEX(Products!$E$2:$E$49,MATCH(C2108,Products!$A$2:$A$49,0)))</f>
        <v>0</v>
      </c>
    </row>
    <row r="2109" customFormat="false" ht="15" hidden="false" customHeight="false" outlineLevel="0" collapsed="false">
      <c r="A2109" s="36" t="n">
        <v>46167</v>
      </c>
      <c r="B2109" s="24" t="s">
        <v>62</v>
      </c>
      <c r="C2109" s="24" t="s">
        <v>187</v>
      </c>
      <c r="D2109" s="33" t="n">
        <v>47</v>
      </c>
      <c r="E2109" s="24" t="n">
        <v>0</v>
      </c>
      <c r="F2109" s="37" t="n">
        <f aca="false">DATE(YEAR(A2109),MONTH(A2109),1)</f>
        <v>46143</v>
      </c>
      <c r="G2109" s="24" t="str">
        <f aca="false">INDEX(Products!$C$2:$C$49,MATCH(C2109,Products!$A$2:$A$49,0))</f>
        <v>Personal Care</v>
      </c>
      <c r="H2109" s="33" t="n">
        <f aca="false">D2109*INDEX(Products!$E$2:$E$49,MATCH(C2109,Products!$A$2:$A$49,0))</f>
        <v>7520</v>
      </c>
      <c r="I2109" s="33" t="n">
        <f aca="false">D2109*INDEX(Products!$D$2:$D$49,MATCH(C2109,Products!$A$2:$A$49,0))*(1+INDEX(Assumptions!$B$16:$B$20,MATCH(B2109,Assumptions!$A$16:$A$20,0)))</f>
        <v>5400.864</v>
      </c>
      <c r="J2109" s="33" t="n">
        <f aca="false">H2109-I2109</f>
        <v>2119.136</v>
      </c>
      <c r="K2109" s="33" t="n">
        <f aca="false">IF(OR(E2109=0,E2109&gt;=7),0,D2109/(7-E2109)*E2109*INDEX(Products!$E$2:$E$49,MATCH(C2109,Products!$A$2:$A$49,0)))</f>
        <v>0</v>
      </c>
    </row>
    <row r="2110" customFormat="false" ht="15" hidden="false" customHeight="false" outlineLevel="0" collapsed="false">
      <c r="A2110" s="36" t="n">
        <v>46174</v>
      </c>
      <c r="B2110" s="24" t="s">
        <v>62</v>
      </c>
      <c r="C2110" s="24" t="s">
        <v>187</v>
      </c>
      <c r="D2110" s="33" t="n">
        <v>39</v>
      </c>
      <c r="E2110" s="24" t="n">
        <v>0</v>
      </c>
      <c r="F2110" s="37" t="n">
        <f aca="false">DATE(YEAR(A2110),MONTH(A2110),1)</f>
        <v>46174</v>
      </c>
      <c r="G2110" s="24" t="str">
        <f aca="false">INDEX(Products!$C$2:$C$49,MATCH(C2110,Products!$A$2:$A$49,0))</f>
        <v>Personal Care</v>
      </c>
      <c r="H2110" s="33" t="n">
        <f aca="false">D2110*INDEX(Products!$E$2:$E$49,MATCH(C2110,Products!$A$2:$A$49,0))</f>
        <v>6240</v>
      </c>
      <c r="I2110" s="33" t="n">
        <f aca="false">D2110*INDEX(Products!$D$2:$D$49,MATCH(C2110,Products!$A$2:$A$49,0))*(1+INDEX(Assumptions!$B$16:$B$20,MATCH(B2110,Assumptions!$A$16:$A$20,0)))</f>
        <v>4481.568</v>
      </c>
      <c r="J2110" s="33" t="n">
        <f aca="false">H2110-I2110</f>
        <v>1758.432</v>
      </c>
      <c r="K2110" s="33" t="n">
        <f aca="false">IF(OR(E2110=0,E2110&gt;=7),0,D2110/(7-E2110)*E2110*INDEX(Products!$E$2:$E$49,MATCH(C2110,Products!$A$2:$A$49,0)))</f>
        <v>0</v>
      </c>
    </row>
    <row r="2111" customFormat="false" ht="15" hidden="false" customHeight="false" outlineLevel="0" collapsed="false">
      <c r="A2111" s="36" t="n">
        <v>46181</v>
      </c>
      <c r="B2111" s="24" t="s">
        <v>62</v>
      </c>
      <c r="C2111" s="24" t="s">
        <v>187</v>
      </c>
      <c r="D2111" s="33" t="n">
        <v>33</v>
      </c>
      <c r="E2111" s="24" t="n">
        <v>0</v>
      </c>
      <c r="F2111" s="37" t="n">
        <f aca="false">DATE(YEAR(A2111),MONTH(A2111),1)</f>
        <v>46174</v>
      </c>
      <c r="G2111" s="24" t="str">
        <f aca="false">INDEX(Products!$C$2:$C$49,MATCH(C2111,Products!$A$2:$A$49,0))</f>
        <v>Personal Care</v>
      </c>
      <c r="H2111" s="33" t="n">
        <f aca="false">D2111*INDEX(Products!$E$2:$E$49,MATCH(C2111,Products!$A$2:$A$49,0))</f>
        <v>5280</v>
      </c>
      <c r="I2111" s="33" t="n">
        <f aca="false">D2111*INDEX(Products!$D$2:$D$49,MATCH(C2111,Products!$A$2:$A$49,0))*(1+INDEX(Assumptions!$B$16:$B$20,MATCH(B2111,Assumptions!$A$16:$A$20,0)))</f>
        <v>3792.096</v>
      </c>
      <c r="J2111" s="33" t="n">
        <f aca="false">H2111-I2111</f>
        <v>1487.904</v>
      </c>
      <c r="K2111" s="33" t="n">
        <f aca="false">IF(OR(E2111=0,E2111&gt;=7),0,D2111/(7-E2111)*E2111*INDEX(Products!$E$2:$E$49,MATCH(C2111,Products!$A$2:$A$49,0)))</f>
        <v>0</v>
      </c>
    </row>
    <row r="2112" customFormat="false" ht="15" hidden="false" customHeight="false" outlineLevel="0" collapsed="false">
      <c r="A2112" s="36" t="n">
        <v>46188</v>
      </c>
      <c r="B2112" s="24" t="s">
        <v>62</v>
      </c>
      <c r="C2112" s="24" t="s">
        <v>187</v>
      </c>
      <c r="D2112" s="33" t="n">
        <v>31</v>
      </c>
      <c r="E2112" s="24" t="n">
        <v>0</v>
      </c>
      <c r="F2112" s="37" t="n">
        <f aca="false">DATE(YEAR(A2112),MONTH(A2112),1)</f>
        <v>46174</v>
      </c>
      <c r="G2112" s="24" t="str">
        <f aca="false">INDEX(Products!$C$2:$C$49,MATCH(C2112,Products!$A$2:$A$49,0))</f>
        <v>Personal Care</v>
      </c>
      <c r="H2112" s="33" t="n">
        <f aca="false">D2112*INDEX(Products!$E$2:$E$49,MATCH(C2112,Products!$A$2:$A$49,0))</f>
        <v>4960</v>
      </c>
      <c r="I2112" s="33" t="n">
        <f aca="false">D2112*INDEX(Products!$D$2:$D$49,MATCH(C2112,Products!$A$2:$A$49,0))*(1+INDEX(Assumptions!$B$16:$B$20,MATCH(B2112,Assumptions!$A$16:$A$20,0)))</f>
        <v>3562.272</v>
      </c>
      <c r="J2112" s="33" t="n">
        <f aca="false">H2112-I2112</f>
        <v>1397.728</v>
      </c>
      <c r="K2112" s="33" t="n">
        <f aca="false">IF(OR(E2112=0,E2112&gt;=7),0,D2112/(7-E2112)*E2112*INDEX(Products!$E$2:$E$49,MATCH(C2112,Products!$A$2:$A$49,0)))</f>
        <v>0</v>
      </c>
    </row>
    <row r="2113" customFormat="false" ht="15" hidden="false" customHeight="false" outlineLevel="0" collapsed="false">
      <c r="A2113" s="36" t="n">
        <v>46195</v>
      </c>
      <c r="B2113" s="24" t="s">
        <v>62</v>
      </c>
      <c r="C2113" s="24" t="s">
        <v>187</v>
      </c>
      <c r="D2113" s="33" t="n">
        <v>40</v>
      </c>
      <c r="E2113" s="24" t="n">
        <v>0</v>
      </c>
      <c r="F2113" s="37" t="n">
        <f aca="false">DATE(YEAR(A2113),MONTH(A2113),1)</f>
        <v>46174</v>
      </c>
      <c r="G2113" s="24" t="str">
        <f aca="false">INDEX(Products!$C$2:$C$49,MATCH(C2113,Products!$A$2:$A$49,0))</f>
        <v>Personal Care</v>
      </c>
      <c r="H2113" s="33" t="n">
        <f aca="false">D2113*INDEX(Products!$E$2:$E$49,MATCH(C2113,Products!$A$2:$A$49,0))</f>
        <v>6400</v>
      </c>
      <c r="I2113" s="33" t="n">
        <f aca="false">D2113*INDEX(Products!$D$2:$D$49,MATCH(C2113,Products!$A$2:$A$49,0))*(1+INDEX(Assumptions!$B$16:$B$20,MATCH(B2113,Assumptions!$A$16:$A$20,0)))</f>
        <v>4596.48</v>
      </c>
      <c r="J2113" s="33" t="n">
        <f aca="false">H2113-I2113</f>
        <v>1803.52</v>
      </c>
      <c r="K2113" s="33" t="n">
        <f aca="false">IF(OR(E2113=0,E2113&gt;=7),0,D2113/(7-E2113)*E2113*INDEX(Products!$E$2:$E$49,MATCH(C2113,Products!$A$2:$A$49,0)))</f>
        <v>0</v>
      </c>
    </row>
    <row r="2114" customFormat="false" ht="15" hidden="false" customHeight="false" outlineLevel="0" collapsed="false">
      <c r="A2114" s="36" t="n">
        <v>46202</v>
      </c>
      <c r="B2114" s="24" t="s">
        <v>62</v>
      </c>
      <c r="C2114" s="24" t="s">
        <v>187</v>
      </c>
      <c r="D2114" s="33" t="n">
        <v>49</v>
      </c>
      <c r="E2114" s="24" t="n">
        <v>0</v>
      </c>
      <c r="F2114" s="37" t="n">
        <f aca="false">DATE(YEAR(A2114),MONTH(A2114),1)</f>
        <v>46174</v>
      </c>
      <c r="G2114" s="24" t="str">
        <f aca="false">INDEX(Products!$C$2:$C$49,MATCH(C2114,Products!$A$2:$A$49,0))</f>
        <v>Personal Care</v>
      </c>
      <c r="H2114" s="33" t="n">
        <f aca="false">D2114*INDEX(Products!$E$2:$E$49,MATCH(C2114,Products!$A$2:$A$49,0))</f>
        <v>7840</v>
      </c>
      <c r="I2114" s="33" t="n">
        <f aca="false">D2114*INDEX(Products!$D$2:$D$49,MATCH(C2114,Products!$A$2:$A$49,0))*(1+INDEX(Assumptions!$B$16:$B$20,MATCH(B2114,Assumptions!$A$16:$A$20,0)))</f>
        <v>5630.688</v>
      </c>
      <c r="J2114" s="33" t="n">
        <f aca="false">H2114-I2114</f>
        <v>2209.312</v>
      </c>
      <c r="K2114" s="33" t="n">
        <f aca="false">IF(OR(E2114=0,E2114&gt;=7),0,D2114/(7-E2114)*E2114*INDEX(Products!$E$2:$E$49,MATCH(C2114,Products!$A$2:$A$49,0)))</f>
        <v>0</v>
      </c>
    </row>
    <row r="2115" customFormat="false" ht="15" hidden="false" customHeight="false" outlineLevel="0" collapsed="false">
      <c r="A2115" s="36" t="n">
        <v>46209</v>
      </c>
      <c r="B2115" s="24" t="s">
        <v>62</v>
      </c>
      <c r="C2115" s="24" t="s">
        <v>187</v>
      </c>
      <c r="D2115" s="33" t="n">
        <v>43</v>
      </c>
      <c r="E2115" s="24" t="n">
        <v>0</v>
      </c>
      <c r="F2115" s="37" t="n">
        <f aca="false">DATE(YEAR(A2115),MONTH(A2115),1)</f>
        <v>46204</v>
      </c>
      <c r="G2115" s="24" t="str">
        <f aca="false">INDEX(Products!$C$2:$C$49,MATCH(C2115,Products!$A$2:$A$49,0))</f>
        <v>Personal Care</v>
      </c>
      <c r="H2115" s="33" t="n">
        <f aca="false">D2115*INDEX(Products!$E$2:$E$49,MATCH(C2115,Products!$A$2:$A$49,0))</f>
        <v>6880</v>
      </c>
      <c r="I2115" s="33" t="n">
        <f aca="false">D2115*INDEX(Products!$D$2:$D$49,MATCH(C2115,Products!$A$2:$A$49,0))*(1+INDEX(Assumptions!$B$16:$B$20,MATCH(B2115,Assumptions!$A$16:$A$20,0)))</f>
        <v>4941.216</v>
      </c>
      <c r="J2115" s="33" t="n">
        <f aca="false">H2115-I2115</f>
        <v>1938.784</v>
      </c>
      <c r="K2115" s="33" t="n">
        <f aca="false">IF(OR(E2115=0,E2115&gt;=7),0,D2115/(7-E2115)*E2115*INDEX(Products!$E$2:$E$49,MATCH(C2115,Products!$A$2:$A$49,0)))</f>
        <v>0</v>
      </c>
    </row>
    <row r="2116" customFormat="false" ht="15" hidden="false" customHeight="false" outlineLevel="0" collapsed="false">
      <c r="A2116" s="36" t="n">
        <v>46216</v>
      </c>
      <c r="B2116" s="24" t="s">
        <v>62</v>
      </c>
      <c r="C2116" s="24" t="s">
        <v>187</v>
      </c>
      <c r="D2116" s="33" t="n">
        <v>39</v>
      </c>
      <c r="E2116" s="24" t="n">
        <v>0</v>
      </c>
      <c r="F2116" s="37" t="n">
        <f aca="false">DATE(YEAR(A2116),MONTH(A2116),1)</f>
        <v>46204</v>
      </c>
      <c r="G2116" s="24" t="str">
        <f aca="false">INDEX(Products!$C$2:$C$49,MATCH(C2116,Products!$A$2:$A$49,0))</f>
        <v>Personal Care</v>
      </c>
      <c r="H2116" s="33" t="n">
        <f aca="false">D2116*INDEX(Products!$E$2:$E$49,MATCH(C2116,Products!$A$2:$A$49,0))</f>
        <v>6240</v>
      </c>
      <c r="I2116" s="33" t="n">
        <f aca="false">D2116*INDEX(Products!$D$2:$D$49,MATCH(C2116,Products!$A$2:$A$49,0))*(1+INDEX(Assumptions!$B$16:$B$20,MATCH(B2116,Assumptions!$A$16:$A$20,0)))</f>
        <v>4481.568</v>
      </c>
      <c r="J2116" s="33" t="n">
        <f aca="false">H2116-I2116</f>
        <v>1758.432</v>
      </c>
      <c r="K2116" s="33" t="n">
        <f aca="false">IF(OR(E2116=0,E2116&gt;=7),0,D2116/(7-E2116)*E2116*INDEX(Products!$E$2:$E$49,MATCH(C2116,Products!$A$2:$A$49,0)))</f>
        <v>0</v>
      </c>
    </row>
    <row r="2117" customFormat="false" ht="15" hidden="false" customHeight="false" outlineLevel="0" collapsed="false">
      <c r="A2117" s="36" t="n">
        <v>46223</v>
      </c>
      <c r="B2117" s="24" t="s">
        <v>62</v>
      </c>
      <c r="C2117" s="24" t="s">
        <v>187</v>
      </c>
      <c r="D2117" s="33" t="n">
        <v>47</v>
      </c>
      <c r="E2117" s="24" t="n">
        <v>0</v>
      </c>
      <c r="F2117" s="37" t="n">
        <f aca="false">DATE(YEAR(A2117),MONTH(A2117),1)</f>
        <v>46204</v>
      </c>
      <c r="G2117" s="24" t="str">
        <f aca="false">INDEX(Products!$C$2:$C$49,MATCH(C2117,Products!$A$2:$A$49,0))</f>
        <v>Personal Care</v>
      </c>
      <c r="H2117" s="33" t="n">
        <f aca="false">D2117*INDEX(Products!$E$2:$E$49,MATCH(C2117,Products!$A$2:$A$49,0))</f>
        <v>7520</v>
      </c>
      <c r="I2117" s="33" t="n">
        <f aca="false">D2117*INDEX(Products!$D$2:$D$49,MATCH(C2117,Products!$A$2:$A$49,0))*(1+INDEX(Assumptions!$B$16:$B$20,MATCH(B2117,Assumptions!$A$16:$A$20,0)))</f>
        <v>5400.864</v>
      </c>
      <c r="J2117" s="33" t="n">
        <f aca="false">H2117-I2117</f>
        <v>2119.136</v>
      </c>
      <c r="K2117" s="33" t="n">
        <f aca="false">IF(OR(E2117=0,E2117&gt;=7),0,D2117/(7-E2117)*E2117*INDEX(Products!$E$2:$E$49,MATCH(C2117,Products!$A$2:$A$49,0)))</f>
        <v>0</v>
      </c>
    </row>
    <row r="2118" customFormat="false" ht="15" hidden="false" customHeight="false" outlineLevel="0" collapsed="false">
      <c r="A2118" s="36" t="n">
        <v>46230</v>
      </c>
      <c r="B2118" s="24" t="s">
        <v>62</v>
      </c>
      <c r="C2118" s="24" t="s">
        <v>187</v>
      </c>
      <c r="D2118" s="33" t="n">
        <v>30</v>
      </c>
      <c r="E2118" s="24" t="n">
        <v>0</v>
      </c>
      <c r="F2118" s="37" t="n">
        <f aca="false">DATE(YEAR(A2118),MONTH(A2118),1)</f>
        <v>46204</v>
      </c>
      <c r="G2118" s="24" t="str">
        <f aca="false">INDEX(Products!$C$2:$C$49,MATCH(C2118,Products!$A$2:$A$49,0))</f>
        <v>Personal Care</v>
      </c>
      <c r="H2118" s="33" t="n">
        <f aca="false">D2118*INDEX(Products!$E$2:$E$49,MATCH(C2118,Products!$A$2:$A$49,0))</f>
        <v>4800</v>
      </c>
      <c r="I2118" s="33" t="n">
        <f aca="false">D2118*INDEX(Products!$D$2:$D$49,MATCH(C2118,Products!$A$2:$A$49,0))*(1+INDEX(Assumptions!$B$16:$B$20,MATCH(B2118,Assumptions!$A$16:$A$20,0)))</f>
        <v>3447.36</v>
      </c>
      <c r="J2118" s="33" t="n">
        <f aca="false">H2118-I2118</f>
        <v>1352.64</v>
      </c>
      <c r="K2118" s="33" t="n">
        <f aca="false">IF(OR(E2118=0,E2118&gt;=7),0,D2118/(7-E2118)*E2118*INDEX(Products!$E$2:$E$49,MATCH(C2118,Products!$A$2:$A$49,0)))</f>
        <v>0</v>
      </c>
    </row>
    <row r="2119" customFormat="false" ht="15" hidden="false" customHeight="false" outlineLevel="0" collapsed="false">
      <c r="A2119" s="36" t="n">
        <v>46237</v>
      </c>
      <c r="B2119" s="24" t="s">
        <v>62</v>
      </c>
      <c r="C2119" s="24" t="s">
        <v>187</v>
      </c>
      <c r="D2119" s="33" t="n">
        <v>32</v>
      </c>
      <c r="E2119" s="24" t="n">
        <v>0</v>
      </c>
      <c r="F2119" s="37" t="n">
        <f aca="false">DATE(YEAR(A2119),MONTH(A2119),1)</f>
        <v>46235</v>
      </c>
      <c r="G2119" s="24" t="str">
        <f aca="false">INDEX(Products!$C$2:$C$49,MATCH(C2119,Products!$A$2:$A$49,0))</f>
        <v>Personal Care</v>
      </c>
      <c r="H2119" s="33" t="n">
        <f aca="false">D2119*INDEX(Products!$E$2:$E$49,MATCH(C2119,Products!$A$2:$A$49,0))</f>
        <v>5120</v>
      </c>
      <c r="I2119" s="33" t="n">
        <f aca="false">D2119*INDEX(Products!$D$2:$D$49,MATCH(C2119,Products!$A$2:$A$49,0))*(1+INDEX(Assumptions!$B$16:$B$20,MATCH(B2119,Assumptions!$A$16:$A$20,0)))</f>
        <v>3677.184</v>
      </c>
      <c r="J2119" s="33" t="n">
        <f aca="false">H2119-I2119</f>
        <v>1442.816</v>
      </c>
      <c r="K2119" s="33" t="n">
        <f aca="false">IF(OR(E2119=0,E2119&gt;=7),0,D2119/(7-E2119)*E2119*INDEX(Products!$E$2:$E$49,MATCH(C2119,Products!$A$2:$A$49,0)))</f>
        <v>0</v>
      </c>
    </row>
    <row r="2120" customFormat="false" ht="15" hidden="false" customHeight="false" outlineLevel="0" collapsed="false">
      <c r="A2120" s="36" t="n">
        <v>46244</v>
      </c>
      <c r="B2120" s="24" t="s">
        <v>62</v>
      </c>
      <c r="C2120" s="24" t="s">
        <v>187</v>
      </c>
      <c r="D2120" s="33" t="n">
        <v>41</v>
      </c>
      <c r="E2120" s="24" t="n">
        <v>0</v>
      </c>
      <c r="F2120" s="37" t="n">
        <f aca="false">DATE(YEAR(A2120),MONTH(A2120),1)</f>
        <v>46235</v>
      </c>
      <c r="G2120" s="24" t="str">
        <f aca="false">INDEX(Products!$C$2:$C$49,MATCH(C2120,Products!$A$2:$A$49,0))</f>
        <v>Personal Care</v>
      </c>
      <c r="H2120" s="33" t="n">
        <f aca="false">D2120*INDEX(Products!$E$2:$E$49,MATCH(C2120,Products!$A$2:$A$49,0))</f>
        <v>6560</v>
      </c>
      <c r="I2120" s="33" t="n">
        <f aca="false">D2120*INDEX(Products!$D$2:$D$49,MATCH(C2120,Products!$A$2:$A$49,0))*(1+INDEX(Assumptions!$B$16:$B$20,MATCH(B2120,Assumptions!$A$16:$A$20,0)))</f>
        <v>4711.392</v>
      </c>
      <c r="J2120" s="33" t="n">
        <f aca="false">H2120-I2120</f>
        <v>1848.608</v>
      </c>
      <c r="K2120" s="33" t="n">
        <f aca="false">IF(OR(E2120=0,E2120&gt;=7),0,D2120/(7-E2120)*E2120*INDEX(Products!$E$2:$E$49,MATCH(C2120,Products!$A$2:$A$49,0)))</f>
        <v>0</v>
      </c>
    </row>
    <row r="2121" customFormat="false" ht="15" hidden="false" customHeight="false" outlineLevel="0" collapsed="false">
      <c r="A2121" s="36" t="n">
        <v>46251</v>
      </c>
      <c r="B2121" s="24" t="s">
        <v>62</v>
      </c>
      <c r="C2121" s="24" t="s">
        <v>187</v>
      </c>
      <c r="D2121" s="33" t="n">
        <v>40</v>
      </c>
      <c r="E2121" s="24" t="n">
        <v>0</v>
      </c>
      <c r="F2121" s="37" t="n">
        <f aca="false">DATE(YEAR(A2121),MONTH(A2121),1)</f>
        <v>46235</v>
      </c>
      <c r="G2121" s="24" t="str">
        <f aca="false">INDEX(Products!$C$2:$C$49,MATCH(C2121,Products!$A$2:$A$49,0))</f>
        <v>Personal Care</v>
      </c>
      <c r="H2121" s="33" t="n">
        <f aca="false">D2121*INDEX(Products!$E$2:$E$49,MATCH(C2121,Products!$A$2:$A$49,0))</f>
        <v>6400</v>
      </c>
      <c r="I2121" s="33" t="n">
        <f aca="false">D2121*INDEX(Products!$D$2:$D$49,MATCH(C2121,Products!$A$2:$A$49,0))*(1+INDEX(Assumptions!$B$16:$B$20,MATCH(B2121,Assumptions!$A$16:$A$20,0)))</f>
        <v>4596.48</v>
      </c>
      <c r="J2121" s="33" t="n">
        <f aca="false">H2121-I2121</f>
        <v>1803.52</v>
      </c>
      <c r="K2121" s="33" t="n">
        <f aca="false">IF(OR(E2121=0,E2121&gt;=7),0,D2121/(7-E2121)*E2121*INDEX(Products!$E$2:$E$49,MATCH(C2121,Products!$A$2:$A$49,0)))</f>
        <v>0</v>
      </c>
    </row>
    <row r="2122" customFormat="false" ht="15" hidden="false" customHeight="false" outlineLevel="0" collapsed="false">
      <c r="A2122" s="36" t="n">
        <v>46258</v>
      </c>
      <c r="B2122" s="24" t="s">
        <v>62</v>
      </c>
      <c r="C2122" s="24" t="s">
        <v>187</v>
      </c>
      <c r="D2122" s="33" t="n">
        <v>72</v>
      </c>
      <c r="E2122" s="24" t="n">
        <v>0</v>
      </c>
      <c r="F2122" s="37" t="n">
        <f aca="false">DATE(YEAR(A2122),MONTH(A2122),1)</f>
        <v>46235</v>
      </c>
      <c r="G2122" s="24" t="str">
        <f aca="false">INDEX(Products!$C$2:$C$49,MATCH(C2122,Products!$A$2:$A$49,0))</f>
        <v>Personal Care</v>
      </c>
      <c r="H2122" s="33" t="n">
        <f aca="false">D2122*INDEX(Products!$E$2:$E$49,MATCH(C2122,Products!$A$2:$A$49,0))</f>
        <v>11520</v>
      </c>
      <c r="I2122" s="33" t="n">
        <f aca="false">D2122*INDEX(Products!$D$2:$D$49,MATCH(C2122,Products!$A$2:$A$49,0))*(1+INDEX(Assumptions!$B$16:$B$20,MATCH(B2122,Assumptions!$A$16:$A$20,0)))</f>
        <v>8273.664</v>
      </c>
      <c r="J2122" s="33" t="n">
        <f aca="false">H2122-I2122</f>
        <v>3246.336</v>
      </c>
      <c r="K2122" s="33" t="n">
        <f aca="false">IF(OR(E2122=0,E2122&gt;=7),0,D2122/(7-E2122)*E2122*INDEX(Products!$E$2:$E$49,MATCH(C2122,Products!$A$2:$A$49,0)))</f>
        <v>0</v>
      </c>
    </row>
    <row r="2123" customFormat="false" ht="15" hidden="false" customHeight="false" outlineLevel="0" collapsed="false">
      <c r="A2123" s="36" t="n">
        <v>46265</v>
      </c>
      <c r="B2123" s="24" t="s">
        <v>62</v>
      </c>
      <c r="C2123" s="24" t="s">
        <v>187</v>
      </c>
      <c r="D2123" s="33" t="n">
        <v>35</v>
      </c>
      <c r="E2123" s="24" t="n">
        <v>0</v>
      </c>
      <c r="F2123" s="37" t="n">
        <f aca="false">DATE(YEAR(A2123),MONTH(A2123),1)</f>
        <v>46235</v>
      </c>
      <c r="G2123" s="24" t="str">
        <f aca="false">INDEX(Products!$C$2:$C$49,MATCH(C2123,Products!$A$2:$A$49,0))</f>
        <v>Personal Care</v>
      </c>
      <c r="H2123" s="33" t="n">
        <f aca="false">D2123*INDEX(Products!$E$2:$E$49,MATCH(C2123,Products!$A$2:$A$49,0))</f>
        <v>5600</v>
      </c>
      <c r="I2123" s="33" t="n">
        <f aca="false">D2123*INDEX(Products!$D$2:$D$49,MATCH(C2123,Products!$A$2:$A$49,0))*(1+INDEX(Assumptions!$B$16:$B$20,MATCH(B2123,Assumptions!$A$16:$A$20,0)))</f>
        <v>4021.92</v>
      </c>
      <c r="J2123" s="33" t="n">
        <f aca="false">H2123-I2123</f>
        <v>1578.08</v>
      </c>
      <c r="K2123" s="33" t="n">
        <f aca="false">IF(OR(E2123=0,E2123&gt;=7),0,D2123/(7-E2123)*E2123*INDEX(Products!$E$2:$E$49,MATCH(C2123,Products!$A$2:$A$49,0)))</f>
        <v>0</v>
      </c>
    </row>
    <row r="2124" customFormat="false" ht="15" hidden="false" customHeight="false" outlineLevel="0" collapsed="false">
      <c r="A2124" s="36" t="n">
        <v>46272</v>
      </c>
      <c r="B2124" s="24" t="s">
        <v>62</v>
      </c>
      <c r="C2124" s="24" t="s">
        <v>187</v>
      </c>
      <c r="D2124" s="33" t="n">
        <v>38</v>
      </c>
      <c r="E2124" s="24" t="n">
        <v>0</v>
      </c>
      <c r="F2124" s="37" t="n">
        <f aca="false">DATE(YEAR(A2124),MONTH(A2124),1)</f>
        <v>46266</v>
      </c>
      <c r="G2124" s="24" t="str">
        <f aca="false">INDEX(Products!$C$2:$C$49,MATCH(C2124,Products!$A$2:$A$49,0))</f>
        <v>Personal Care</v>
      </c>
      <c r="H2124" s="33" t="n">
        <f aca="false">D2124*INDEX(Products!$E$2:$E$49,MATCH(C2124,Products!$A$2:$A$49,0))</f>
        <v>6080</v>
      </c>
      <c r="I2124" s="33" t="n">
        <f aca="false">D2124*INDEX(Products!$D$2:$D$49,MATCH(C2124,Products!$A$2:$A$49,0))*(1+INDEX(Assumptions!$B$16:$B$20,MATCH(B2124,Assumptions!$A$16:$A$20,0)))</f>
        <v>4366.656</v>
      </c>
      <c r="J2124" s="33" t="n">
        <f aca="false">H2124-I2124</f>
        <v>1713.344</v>
      </c>
      <c r="K2124" s="33" t="n">
        <f aca="false">IF(OR(E2124=0,E2124&gt;=7),0,D2124/(7-E2124)*E2124*INDEX(Products!$E$2:$E$49,MATCH(C2124,Products!$A$2:$A$49,0)))</f>
        <v>0</v>
      </c>
    </row>
    <row r="2125" customFormat="false" ht="15" hidden="false" customHeight="false" outlineLevel="0" collapsed="false">
      <c r="A2125" s="36" t="n">
        <v>46279</v>
      </c>
      <c r="B2125" s="24" t="s">
        <v>62</v>
      </c>
      <c r="C2125" s="24" t="s">
        <v>187</v>
      </c>
      <c r="D2125" s="33" t="n">
        <v>40</v>
      </c>
      <c r="E2125" s="24" t="n">
        <v>0</v>
      </c>
      <c r="F2125" s="37" t="n">
        <f aca="false">DATE(YEAR(A2125),MONTH(A2125),1)</f>
        <v>46266</v>
      </c>
      <c r="G2125" s="24" t="str">
        <f aca="false">INDEX(Products!$C$2:$C$49,MATCH(C2125,Products!$A$2:$A$49,0))</f>
        <v>Personal Care</v>
      </c>
      <c r="H2125" s="33" t="n">
        <f aca="false">D2125*INDEX(Products!$E$2:$E$49,MATCH(C2125,Products!$A$2:$A$49,0))</f>
        <v>6400</v>
      </c>
      <c r="I2125" s="33" t="n">
        <f aca="false">D2125*INDEX(Products!$D$2:$D$49,MATCH(C2125,Products!$A$2:$A$49,0))*(1+INDEX(Assumptions!$B$16:$B$20,MATCH(B2125,Assumptions!$A$16:$A$20,0)))</f>
        <v>4596.48</v>
      </c>
      <c r="J2125" s="33" t="n">
        <f aca="false">H2125-I2125</f>
        <v>1803.52</v>
      </c>
      <c r="K2125" s="33" t="n">
        <f aca="false">IF(OR(E2125=0,E2125&gt;=7),0,D2125/(7-E2125)*E2125*INDEX(Products!$E$2:$E$49,MATCH(C2125,Products!$A$2:$A$49,0)))</f>
        <v>0</v>
      </c>
    </row>
    <row r="2126" customFormat="false" ht="15" hidden="false" customHeight="false" outlineLevel="0" collapsed="false">
      <c r="A2126" s="36" t="n">
        <v>46286</v>
      </c>
      <c r="B2126" s="24" t="s">
        <v>62</v>
      </c>
      <c r="C2126" s="24" t="s">
        <v>187</v>
      </c>
      <c r="D2126" s="33" t="n">
        <v>40</v>
      </c>
      <c r="E2126" s="24" t="n">
        <v>0</v>
      </c>
      <c r="F2126" s="37" t="n">
        <f aca="false">DATE(YEAR(A2126),MONTH(A2126),1)</f>
        <v>46266</v>
      </c>
      <c r="G2126" s="24" t="str">
        <f aca="false">INDEX(Products!$C$2:$C$49,MATCH(C2126,Products!$A$2:$A$49,0))</f>
        <v>Personal Care</v>
      </c>
      <c r="H2126" s="33" t="n">
        <f aca="false">D2126*INDEX(Products!$E$2:$E$49,MATCH(C2126,Products!$A$2:$A$49,0))</f>
        <v>6400</v>
      </c>
      <c r="I2126" s="33" t="n">
        <f aca="false">D2126*INDEX(Products!$D$2:$D$49,MATCH(C2126,Products!$A$2:$A$49,0))*(1+INDEX(Assumptions!$B$16:$B$20,MATCH(B2126,Assumptions!$A$16:$A$20,0)))</f>
        <v>4596.48</v>
      </c>
      <c r="J2126" s="33" t="n">
        <f aca="false">H2126-I2126</f>
        <v>1803.52</v>
      </c>
      <c r="K2126" s="33" t="n">
        <f aca="false">IF(OR(E2126=0,E2126&gt;=7),0,D2126/(7-E2126)*E2126*INDEX(Products!$E$2:$E$49,MATCH(C2126,Products!$A$2:$A$49,0)))</f>
        <v>0</v>
      </c>
    </row>
    <row r="2127" customFormat="false" ht="15" hidden="false" customHeight="false" outlineLevel="0" collapsed="false">
      <c r="A2127" s="36" t="n">
        <v>46118</v>
      </c>
      <c r="B2127" s="24" t="s">
        <v>62</v>
      </c>
      <c r="C2127" s="24" t="s">
        <v>189</v>
      </c>
      <c r="D2127" s="33" t="n">
        <v>24</v>
      </c>
      <c r="E2127" s="24" t="n">
        <v>0</v>
      </c>
      <c r="F2127" s="37" t="n">
        <f aca="false">DATE(YEAR(A2127),MONTH(A2127),1)</f>
        <v>46113</v>
      </c>
      <c r="G2127" s="24" t="str">
        <f aca="false">INDEX(Products!$C$2:$C$49,MATCH(C2127,Products!$A$2:$A$49,0))</f>
        <v>Personal Care</v>
      </c>
      <c r="H2127" s="33" t="n">
        <f aca="false">D2127*INDEX(Products!$E$2:$E$49,MATCH(C2127,Products!$A$2:$A$49,0))</f>
        <v>8640</v>
      </c>
      <c r="I2127" s="33" t="n">
        <f aca="false">D2127*INDEX(Products!$D$2:$D$49,MATCH(C2127,Products!$A$2:$A$49,0))*(1+INDEX(Assumptions!$B$16:$B$20,MATCH(B2127,Assumptions!$A$16:$A$20,0)))</f>
        <v>5636.736</v>
      </c>
      <c r="J2127" s="33" t="n">
        <f aca="false">H2127-I2127</f>
        <v>3003.264</v>
      </c>
      <c r="K2127" s="33" t="n">
        <f aca="false">IF(OR(E2127=0,E2127&gt;=7),0,D2127/(7-E2127)*E2127*INDEX(Products!$E$2:$E$49,MATCH(C2127,Products!$A$2:$A$49,0)))</f>
        <v>0</v>
      </c>
    </row>
    <row r="2128" customFormat="false" ht="15" hidden="false" customHeight="false" outlineLevel="0" collapsed="false">
      <c r="A2128" s="36" t="n">
        <v>46125</v>
      </c>
      <c r="B2128" s="24" t="s">
        <v>62</v>
      </c>
      <c r="C2128" s="24" t="s">
        <v>189</v>
      </c>
      <c r="D2128" s="33" t="n">
        <v>13</v>
      </c>
      <c r="E2128" s="24" t="n">
        <v>1</v>
      </c>
      <c r="F2128" s="37" t="n">
        <f aca="false">DATE(YEAR(A2128),MONTH(A2128),1)</f>
        <v>46113</v>
      </c>
      <c r="G2128" s="24" t="str">
        <f aca="false">INDEX(Products!$C$2:$C$49,MATCH(C2128,Products!$A$2:$A$49,0))</f>
        <v>Personal Care</v>
      </c>
      <c r="H2128" s="33" t="n">
        <f aca="false">D2128*INDEX(Products!$E$2:$E$49,MATCH(C2128,Products!$A$2:$A$49,0))</f>
        <v>4680</v>
      </c>
      <c r="I2128" s="33" t="n">
        <f aca="false">D2128*INDEX(Products!$D$2:$D$49,MATCH(C2128,Products!$A$2:$A$49,0))*(1+INDEX(Assumptions!$B$16:$B$20,MATCH(B2128,Assumptions!$A$16:$A$20,0)))</f>
        <v>3053.232</v>
      </c>
      <c r="J2128" s="33" t="n">
        <f aca="false">H2128-I2128</f>
        <v>1626.768</v>
      </c>
      <c r="K2128" s="33" t="n">
        <f aca="false">IF(OR(E2128=0,E2128&gt;=7),0,D2128/(7-E2128)*E2128*INDEX(Products!$E$2:$E$49,MATCH(C2128,Products!$A$2:$A$49,0)))</f>
        <v>780</v>
      </c>
    </row>
    <row r="2129" customFormat="false" ht="15" hidden="false" customHeight="false" outlineLevel="0" collapsed="false">
      <c r="A2129" s="36" t="n">
        <v>46132</v>
      </c>
      <c r="B2129" s="24" t="s">
        <v>62</v>
      </c>
      <c r="C2129" s="24" t="s">
        <v>189</v>
      </c>
      <c r="D2129" s="33" t="n">
        <v>40</v>
      </c>
      <c r="E2129" s="24" t="n">
        <v>0</v>
      </c>
      <c r="F2129" s="37" t="n">
        <f aca="false">DATE(YEAR(A2129),MONTH(A2129),1)</f>
        <v>46113</v>
      </c>
      <c r="G2129" s="24" t="str">
        <f aca="false">INDEX(Products!$C$2:$C$49,MATCH(C2129,Products!$A$2:$A$49,0))</f>
        <v>Personal Care</v>
      </c>
      <c r="H2129" s="33" t="n">
        <f aca="false">D2129*INDEX(Products!$E$2:$E$49,MATCH(C2129,Products!$A$2:$A$49,0))</f>
        <v>14400</v>
      </c>
      <c r="I2129" s="33" t="n">
        <f aca="false">D2129*INDEX(Products!$D$2:$D$49,MATCH(C2129,Products!$A$2:$A$49,0))*(1+INDEX(Assumptions!$B$16:$B$20,MATCH(B2129,Assumptions!$A$16:$A$20,0)))</f>
        <v>9394.56</v>
      </c>
      <c r="J2129" s="33" t="n">
        <f aca="false">H2129-I2129</f>
        <v>5005.44</v>
      </c>
      <c r="K2129" s="33" t="n">
        <f aca="false">IF(OR(E2129=0,E2129&gt;=7),0,D2129/(7-E2129)*E2129*INDEX(Products!$E$2:$E$49,MATCH(C2129,Products!$A$2:$A$49,0)))</f>
        <v>0</v>
      </c>
    </row>
    <row r="2130" customFormat="false" ht="15" hidden="false" customHeight="false" outlineLevel="0" collapsed="false">
      <c r="A2130" s="36" t="n">
        <v>46139</v>
      </c>
      <c r="B2130" s="24" t="s">
        <v>62</v>
      </c>
      <c r="C2130" s="24" t="s">
        <v>189</v>
      </c>
      <c r="D2130" s="33" t="n">
        <v>37</v>
      </c>
      <c r="E2130" s="24" t="n">
        <v>0</v>
      </c>
      <c r="F2130" s="37" t="n">
        <f aca="false">DATE(YEAR(A2130),MONTH(A2130),1)</f>
        <v>46113</v>
      </c>
      <c r="G2130" s="24" t="str">
        <f aca="false">INDEX(Products!$C$2:$C$49,MATCH(C2130,Products!$A$2:$A$49,0))</f>
        <v>Personal Care</v>
      </c>
      <c r="H2130" s="33" t="n">
        <f aca="false">D2130*INDEX(Products!$E$2:$E$49,MATCH(C2130,Products!$A$2:$A$49,0))</f>
        <v>13320</v>
      </c>
      <c r="I2130" s="33" t="n">
        <f aca="false">D2130*INDEX(Products!$D$2:$D$49,MATCH(C2130,Products!$A$2:$A$49,0))*(1+INDEX(Assumptions!$B$16:$B$20,MATCH(B2130,Assumptions!$A$16:$A$20,0)))</f>
        <v>8689.968</v>
      </c>
      <c r="J2130" s="33" t="n">
        <f aca="false">H2130-I2130</f>
        <v>4630.032</v>
      </c>
      <c r="K2130" s="33" t="n">
        <f aca="false">IF(OR(E2130=0,E2130&gt;=7),0,D2130/(7-E2130)*E2130*INDEX(Products!$E$2:$E$49,MATCH(C2130,Products!$A$2:$A$49,0)))</f>
        <v>0</v>
      </c>
    </row>
    <row r="2131" customFormat="false" ht="15" hidden="false" customHeight="false" outlineLevel="0" collapsed="false">
      <c r="A2131" s="36" t="n">
        <v>46146</v>
      </c>
      <c r="B2131" s="24" t="s">
        <v>62</v>
      </c>
      <c r="C2131" s="24" t="s">
        <v>189</v>
      </c>
      <c r="D2131" s="33" t="n">
        <v>25</v>
      </c>
      <c r="E2131" s="24" t="n">
        <v>0</v>
      </c>
      <c r="F2131" s="37" t="n">
        <f aca="false">DATE(YEAR(A2131),MONTH(A2131),1)</f>
        <v>46143</v>
      </c>
      <c r="G2131" s="24" t="str">
        <f aca="false">INDEX(Products!$C$2:$C$49,MATCH(C2131,Products!$A$2:$A$49,0))</f>
        <v>Personal Care</v>
      </c>
      <c r="H2131" s="33" t="n">
        <f aca="false">D2131*INDEX(Products!$E$2:$E$49,MATCH(C2131,Products!$A$2:$A$49,0))</f>
        <v>9000</v>
      </c>
      <c r="I2131" s="33" t="n">
        <f aca="false">D2131*INDEX(Products!$D$2:$D$49,MATCH(C2131,Products!$A$2:$A$49,0))*(1+INDEX(Assumptions!$B$16:$B$20,MATCH(B2131,Assumptions!$A$16:$A$20,0)))</f>
        <v>5871.6</v>
      </c>
      <c r="J2131" s="33" t="n">
        <f aca="false">H2131-I2131</f>
        <v>3128.4</v>
      </c>
      <c r="K2131" s="33" t="n">
        <f aca="false">IF(OR(E2131=0,E2131&gt;=7),0,D2131/(7-E2131)*E2131*INDEX(Products!$E$2:$E$49,MATCH(C2131,Products!$A$2:$A$49,0)))</f>
        <v>0</v>
      </c>
    </row>
    <row r="2132" customFormat="false" ht="15" hidden="false" customHeight="false" outlineLevel="0" collapsed="false">
      <c r="A2132" s="36" t="n">
        <v>46153</v>
      </c>
      <c r="B2132" s="24" t="s">
        <v>62</v>
      </c>
      <c r="C2132" s="24" t="s">
        <v>189</v>
      </c>
      <c r="D2132" s="33" t="n">
        <v>31</v>
      </c>
      <c r="E2132" s="24" t="n">
        <v>0</v>
      </c>
      <c r="F2132" s="37" t="n">
        <f aca="false">DATE(YEAR(A2132),MONTH(A2132),1)</f>
        <v>46143</v>
      </c>
      <c r="G2132" s="24" t="str">
        <f aca="false">INDEX(Products!$C$2:$C$49,MATCH(C2132,Products!$A$2:$A$49,0))</f>
        <v>Personal Care</v>
      </c>
      <c r="H2132" s="33" t="n">
        <f aca="false">D2132*INDEX(Products!$E$2:$E$49,MATCH(C2132,Products!$A$2:$A$49,0))</f>
        <v>11160</v>
      </c>
      <c r="I2132" s="33" t="n">
        <f aca="false">D2132*INDEX(Products!$D$2:$D$49,MATCH(C2132,Products!$A$2:$A$49,0))*(1+INDEX(Assumptions!$B$16:$B$20,MATCH(B2132,Assumptions!$A$16:$A$20,0)))</f>
        <v>7280.784</v>
      </c>
      <c r="J2132" s="33" t="n">
        <f aca="false">H2132-I2132</f>
        <v>3879.216</v>
      </c>
      <c r="K2132" s="33" t="n">
        <f aca="false">IF(OR(E2132=0,E2132&gt;=7),0,D2132/(7-E2132)*E2132*INDEX(Products!$E$2:$E$49,MATCH(C2132,Products!$A$2:$A$49,0)))</f>
        <v>0</v>
      </c>
    </row>
    <row r="2133" customFormat="false" ht="15" hidden="false" customHeight="false" outlineLevel="0" collapsed="false">
      <c r="A2133" s="36" t="n">
        <v>46160</v>
      </c>
      <c r="B2133" s="24" t="s">
        <v>62</v>
      </c>
      <c r="C2133" s="24" t="s">
        <v>189</v>
      </c>
      <c r="D2133" s="33" t="n">
        <v>51</v>
      </c>
      <c r="E2133" s="24" t="n">
        <v>0</v>
      </c>
      <c r="F2133" s="37" t="n">
        <f aca="false">DATE(YEAR(A2133),MONTH(A2133),1)</f>
        <v>46143</v>
      </c>
      <c r="G2133" s="24" t="str">
        <f aca="false">INDEX(Products!$C$2:$C$49,MATCH(C2133,Products!$A$2:$A$49,0))</f>
        <v>Personal Care</v>
      </c>
      <c r="H2133" s="33" t="n">
        <f aca="false">D2133*INDEX(Products!$E$2:$E$49,MATCH(C2133,Products!$A$2:$A$49,0))</f>
        <v>18360</v>
      </c>
      <c r="I2133" s="33" t="n">
        <f aca="false">D2133*INDEX(Products!$D$2:$D$49,MATCH(C2133,Products!$A$2:$A$49,0))*(1+INDEX(Assumptions!$B$16:$B$20,MATCH(B2133,Assumptions!$A$16:$A$20,0)))</f>
        <v>11978.064</v>
      </c>
      <c r="J2133" s="33" t="n">
        <f aca="false">H2133-I2133</f>
        <v>6381.936</v>
      </c>
      <c r="K2133" s="33" t="n">
        <f aca="false">IF(OR(E2133=0,E2133&gt;=7),0,D2133/(7-E2133)*E2133*INDEX(Products!$E$2:$E$49,MATCH(C2133,Products!$A$2:$A$49,0)))</f>
        <v>0</v>
      </c>
    </row>
    <row r="2134" customFormat="false" ht="15" hidden="false" customHeight="false" outlineLevel="0" collapsed="false">
      <c r="A2134" s="36" t="n">
        <v>46167</v>
      </c>
      <c r="B2134" s="24" t="s">
        <v>62</v>
      </c>
      <c r="C2134" s="24" t="s">
        <v>189</v>
      </c>
      <c r="D2134" s="33" t="n">
        <v>28</v>
      </c>
      <c r="E2134" s="24" t="n">
        <v>0</v>
      </c>
      <c r="F2134" s="37" t="n">
        <f aca="false">DATE(YEAR(A2134),MONTH(A2134),1)</f>
        <v>46143</v>
      </c>
      <c r="G2134" s="24" t="str">
        <f aca="false">INDEX(Products!$C$2:$C$49,MATCH(C2134,Products!$A$2:$A$49,0))</f>
        <v>Personal Care</v>
      </c>
      <c r="H2134" s="33" t="n">
        <f aca="false">D2134*INDEX(Products!$E$2:$E$49,MATCH(C2134,Products!$A$2:$A$49,0))</f>
        <v>10080</v>
      </c>
      <c r="I2134" s="33" t="n">
        <f aca="false">D2134*INDEX(Products!$D$2:$D$49,MATCH(C2134,Products!$A$2:$A$49,0))*(1+INDEX(Assumptions!$B$16:$B$20,MATCH(B2134,Assumptions!$A$16:$A$20,0)))</f>
        <v>6576.192</v>
      </c>
      <c r="J2134" s="33" t="n">
        <f aca="false">H2134-I2134</f>
        <v>3503.808</v>
      </c>
      <c r="K2134" s="33" t="n">
        <f aca="false">IF(OR(E2134=0,E2134&gt;=7),0,D2134/(7-E2134)*E2134*INDEX(Products!$E$2:$E$49,MATCH(C2134,Products!$A$2:$A$49,0)))</f>
        <v>0</v>
      </c>
    </row>
    <row r="2135" customFormat="false" ht="15" hidden="false" customHeight="false" outlineLevel="0" collapsed="false">
      <c r="A2135" s="36" t="n">
        <v>46174</v>
      </c>
      <c r="B2135" s="24" t="s">
        <v>62</v>
      </c>
      <c r="C2135" s="24" t="s">
        <v>189</v>
      </c>
      <c r="D2135" s="33" t="n">
        <v>37</v>
      </c>
      <c r="E2135" s="24" t="n">
        <v>0</v>
      </c>
      <c r="F2135" s="37" t="n">
        <f aca="false">DATE(YEAR(A2135),MONTH(A2135),1)</f>
        <v>46174</v>
      </c>
      <c r="G2135" s="24" t="str">
        <f aca="false">INDEX(Products!$C$2:$C$49,MATCH(C2135,Products!$A$2:$A$49,0))</f>
        <v>Personal Care</v>
      </c>
      <c r="H2135" s="33" t="n">
        <f aca="false">D2135*INDEX(Products!$E$2:$E$49,MATCH(C2135,Products!$A$2:$A$49,0))</f>
        <v>13320</v>
      </c>
      <c r="I2135" s="33" t="n">
        <f aca="false">D2135*INDEX(Products!$D$2:$D$49,MATCH(C2135,Products!$A$2:$A$49,0))*(1+INDEX(Assumptions!$B$16:$B$20,MATCH(B2135,Assumptions!$A$16:$A$20,0)))</f>
        <v>8689.968</v>
      </c>
      <c r="J2135" s="33" t="n">
        <f aca="false">H2135-I2135</f>
        <v>4630.032</v>
      </c>
      <c r="K2135" s="33" t="n">
        <f aca="false">IF(OR(E2135=0,E2135&gt;=7),0,D2135/(7-E2135)*E2135*INDEX(Products!$E$2:$E$49,MATCH(C2135,Products!$A$2:$A$49,0)))</f>
        <v>0</v>
      </c>
    </row>
    <row r="2136" customFormat="false" ht="15" hidden="false" customHeight="false" outlineLevel="0" collapsed="false">
      <c r="A2136" s="36" t="n">
        <v>46181</v>
      </c>
      <c r="B2136" s="24" t="s">
        <v>62</v>
      </c>
      <c r="C2136" s="24" t="s">
        <v>189</v>
      </c>
      <c r="D2136" s="33" t="n">
        <v>28</v>
      </c>
      <c r="E2136" s="24" t="n">
        <v>0</v>
      </c>
      <c r="F2136" s="37" t="n">
        <f aca="false">DATE(YEAR(A2136),MONTH(A2136),1)</f>
        <v>46174</v>
      </c>
      <c r="G2136" s="24" t="str">
        <f aca="false">INDEX(Products!$C$2:$C$49,MATCH(C2136,Products!$A$2:$A$49,0))</f>
        <v>Personal Care</v>
      </c>
      <c r="H2136" s="33" t="n">
        <f aca="false">D2136*INDEX(Products!$E$2:$E$49,MATCH(C2136,Products!$A$2:$A$49,0))</f>
        <v>10080</v>
      </c>
      <c r="I2136" s="33" t="n">
        <f aca="false">D2136*INDEX(Products!$D$2:$D$49,MATCH(C2136,Products!$A$2:$A$49,0))*(1+INDEX(Assumptions!$B$16:$B$20,MATCH(B2136,Assumptions!$A$16:$A$20,0)))</f>
        <v>6576.192</v>
      </c>
      <c r="J2136" s="33" t="n">
        <f aca="false">H2136-I2136</f>
        <v>3503.808</v>
      </c>
      <c r="K2136" s="33" t="n">
        <f aca="false">IF(OR(E2136=0,E2136&gt;=7),0,D2136/(7-E2136)*E2136*INDEX(Products!$E$2:$E$49,MATCH(C2136,Products!$A$2:$A$49,0)))</f>
        <v>0</v>
      </c>
    </row>
    <row r="2137" customFormat="false" ht="15" hidden="false" customHeight="false" outlineLevel="0" collapsed="false">
      <c r="A2137" s="36" t="n">
        <v>46188</v>
      </c>
      <c r="B2137" s="24" t="s">
        <v>62</v>
      </c>
      <c r="C2137" s="24" t="s">
        <v>189</v>
      </c>
      <c r="D2137" s="33" t="n">
        <v>28</v>
      </c>
      <c r="E2137" s="24" t="n">
        <v>0</v>
      </c>
      <c r="F2137" s="37" t="n">
        <f aca="false">DATE(YEAR(A2137),MONTH(A2137),1)</f>
        <v>46174</v>
      </c>
      <c r="G2137" s="24" t="str">
        <f aca="false">INDEX(Products!$C$2:$C$49,MATCH(C2137,Products!$A$2:$A$49,0))</f>
        <v>Personal Care</v>
      </c>
      <c r="H2137" s="33" t="n">
        <f aca="false">D2137*INDEX(Products!$E$2:$E$49,MATCH(C2137,Products!$A$2:$A$49,0))</f>
        <v>10080</v>
      </c>
      <c r="I2137" s="33" t="n">
        <f aca="false">D2137*INDEX(Products!$D$2:$D$49,MATCH(C2137,Products!$A$2:$A$49,0))*(1+INDEX(Assumptions!$B$16:$B$20,MATCH(B2137,Assumptions!$A$16:$A$20,0)))</f>
        <v>6576.192</v>
      </c>
      <c r="J2137" s="33" t="n">
        <f aca="false">H2137-I2137</f>
        <v>3503.808</v>
      </c>
      <c r="K2137" s="33" t="n">
        <f aca="false">IF(OR(E2137=0,E2137&gt;=7),0,D2137/(7-E2137)*E2137*INDEX(Products!$E$2:$E$49,MATCH(C2137,Products!$A$2:$A$49,0)))</f>
        <v>0</v>
      </c>
    </row>
    <row r="2138" customFormat="false" ht="15" hidden="false" customHeight="false" outlineLevel="0" collapsed="false">
      <c r="A2138" s="36" t="n">
        <v>46195</v>
      </c>
      <c r="B2138" s="24" t="s">
        <v>62</v>
      </c>
      <c r="C2138" s="24" t="s">
        <v>189</v>
      </c>
      <c r="D2138" s="33" t="n">
        <v>29</v>
      </c>
      <c r="E2138" s="24" t="n">
        <v>0</v>
      </c>
      <c r="F2138" s="37" t="n">
        <f aca="false">DATE(YEAR(A2138),MONTH(A2138),1)</f>
        <v>46174</v>
      </c>
      <c r="G2138" s="24" t="str">
        <f aca="false">INDEX(Products!$C$2:$C$49,MATCH(C2138,Products!$A$2:$A$49,0))</f>
        <v>Personal Care</v>
      </c>
      <c r="H2138" s="33" t="n">
        <f aca="false">D2138*INDEX(Products!$E$2:$E$49,MATCH(C2138,Products!$A$2:$A$49,0))</f>
        <v>10440</v>
      </c>
      <c r="I2138" s="33" t="n">
        <f aca="false">D2138*INDEX(Products!$D$2:$D$49,MATCH(C2138,Products!$A$2:$A$49,0))*(1+INDEX(Assumptions!$B$16:$B$20,MATCH(B2138,Assumptions!$A$16:$A$20,0)))</f>
        <v>6811.056</v>
      </c>
      <c r="J2138" s="33" t="n">
        <f aca="false">H2138-I2138</f>
        <v>3628.944</v>
      </c>
      <c r="K2138" s="33" t="n">
        <f aca="false">IF(OR(E2138=0,E2138&gt;=7),0,D2138/(7-E2138)*E2138*INDEX(Products!$E$2:$E$49,MATCH(C2138,Products!$A$2:$A$49,0)))</f>
        <v>0</v>
      </c>
    </row>
    <row r="2139" customFormat="false" ht="15" hidden="false" customHeight="false" outlineLevel="0" collapsed="false">
      <c r="A2139" s="36" t="n">
        <v>46202</v>
      </c>
      <c r="B2139" s="24" t="s">
        <v>62</v>
      </c>
      <c r="C2139" s="24" t="s">
        <v>189</v>
      </c>
      <c r="D2139" s="33" t="n">
        <v>28</v>
      </c>
      <c r="E2139" s="24" t="n">
        <v>0</v>
      </c>
      <c r="F2139" s="37" t="n">
        <f aca="false">DATE(YEAR(A2139),MONTH(A2139),1)</f>
        <v>46174</v>
      </c>
      <c r="G2139" s="24" t="str">
        <f aca="false">INDEX(Products!$C$2:$C$49,MATCH(C2139,Products!$A$2:$A$49,0))</f>
        <v>Personal Care</v>
      </c>
      <c r="H2139" s="33" t="n">
        <f aca="false">D2139*INDEX(Products!$E$2:$E$49,MATCH(C2139,Products!$A$2:$A$49,0))</f>
        <v>10080</v>
      </c>
      <c r="I2139" s="33" t="n">
        <f aca="false">D2139*INDEX(Products!$D$2:$D$49,MATCH(C2139,Products!$A$2:$A$49,0))*(1+INDEX(Assumptions!$B$16:$B$20,MATCH(B2139,Assumptions!$A$16:$A$20,0)))</f>
        <v>6576.192</v>
      </c>
      <c r="J2139" s="33" t="n">
        <f aca="false">H2139-I2139</f>
        <v>3503.808</v>
      </c>
      <c r="K2139" s="33" t="n">
        <f aca="false">IF(OR(E2139=0,E2139&gt;=7),0,D2139/(7-E2139)*E2139*INDEX(Products!$E$2:$E$49,MATCH(C2139,Products!$A$2:$A$49,0)))</f>
        <v>0</v>
      </c>
    </row>
    <row r="2140" customFormat="false" ht="15" hidden="false" customHeight="false" outlineLevel="0" collapsed="false">
      <c r="A2140" s="36" t="n">
        <v>46209</v>
      </c>
      <c r="B2140" s="24" t="s">
        <v>62</v>
      </c>
      <c r="C2140" s="24" t="s">
        <v>189</v>
      </c>
      <c r="D2140" s="33" t="n">
        <v>30</v>
      </c>
      <c r="E2140" s="24" t="n">
        <v>0</v>
      </c>
      <c r="F2140" s="37" t="n">
        <f aca="false">DATE(YEAR(A2140),MONTH(A2140),1)</f>
        <v>46204</v>
      </c>
      <c r="G2140" s="24" t="str">
        <f aca="false">INDEX(Products!$C$2:$C$49,MATCH(C2140,Products!$A$2:$A$49,0))</f>
        <v>Personal Care</v>
      </c>
      <c r="H2140" s="33" t="n">
        <f aca="false">D2140*INDEX(Products!$E$2:$E$49,MATCH(C2140,Products!$A$2:$A$49,0))</f>
        <v>10800</v>
      </c>
      <c r="I2140" s="33" t="n">
        <f aca="false">D2140*INDEX(Products!$D$2:$D$49,MATCH(C2140,Products!$A$2:$A$49,0))*(1+INDEX(Assumptions!$B$16:$B$20,MATCH(B2140,Assumptions!$A$16:$A$20,0)))</f>
        <v>7045.92</v>
      </c>
      <c r="J2140" s="33" t="n">
        <f aca="false">H2140-I2140</f>
        <v>3754.08</v>
      </c>
      <c r="K2140" s="33" t="n">
        <f aca="false">IF(OR(E2140=0,E2140&gt;=7),0,D2140/(7-E2140)*E2140*INDEX(Products!$E$2:$E$49,MATCH(C2140,Products!$A$2:$A$49,0)))</f>
        <v>0</v>
      </c>
    </row>
    <row r="2141" customFormat="false" ht="15" hidden="false" customHeight="false" outlineLevel="0" collapsed="false">
      <c r="A2141" s="36" t="n">
        <v>46216</v>
      </c>
      <c r="B2141" s="24" t="s">
        <v>62</v>
      </c>
      <c r="C2141" s="24" t="s">
        <v>189</v>
      </c>
      <c r="D2141" s="33" t="n">
        <v>18</v>
      </c>
      <c r="E2141" s="24" t="n">
        <v>0</v>
      </c>
      <c r="F2141" s="37" t="n">
        <f aca="false">DATE(YEAR(A2141),MONTH(A2141),1)</f>
        <v>46204</v>
      </c>
      <c r="G2141" s="24" t="str">
        <f aca="false">INDEX(Products!$C$2:$C$49,MATCH(C2141,Products!$A$2:$A$49,0))</f>
        <v>Personal Care</v>
      </c>
      <c r="H2141" s="33" t="n">
        <f aca="false">D2141*INDEX(Products!$E$2:$E$49,MATCH(C2141,Products!$A$2:$A$49,0))</f>
        <v>6480</v>
      </c>
      <c r="I2141" s="33" t="n">
        <f aca="false">D2141*INDEX(Products!$D$2:$D$49,MATCH(C2141,Products!$A$2:$A$49,0))*(1+INDEX(Assumptions!$B$16:$B$20,MATCH(B2141,Assumptions!$A$16:$A$20,0)))</f>
        <v>4227.552</v>
      </c>
      <c r="J2141" s="33" t="n">
        <f aca="false">H2141-I2141</f>
        <v>2252.448</v>
      </c>
      <c r="K2141" s="33" t="n">
        <f aca="false">IF(OR(E2141=0,E2141&gt;=7),0,D2141/(7-E2141)*E2141*INDEX(Products!$E$2:$E$49,MATCH(C2141,Products!$A$2:$A$49,0)))</f>
        <v>0</v>
      </c>
    </row>
    <row r="2142" customFormat="false" ht="15" hidden="false" customHeight="false" outlineLevel="0" collapsed="false">
      <c r="A2142" s="36" t="n">
        <v>46223</v>
      </c>
      <c r="B2142" s="24" t="s">
        <v>62</v>
      </c>
      <c r="C2142" s="24" t="s">
        <v>189</v>
      </c>
      <c r="D2142" s="33" t="n">
        <v>25</v>
      </c>
      <c r="E2142" s="24" t="n">
        <v>0</v>
      </c>
      <c r="F2142" s="37" t="n">
        <f aca="false">DATE(YEAR(A2142),MONTH(A2142),1)</f>
        <v>46204</v>
      </c>
      <c r="G2142" s="24" t="str">
        <f aca="false">INDEX(Products!$C$2:$C$49,MATCH(C2142,Products!$A$2:$A$49,0))</f>
        <v>Personal Care</v>
      </c>
      <c r="H2142" s="33" t="n">
        <f aca="false">D2142*INDEX(Products!$E$2:$E$49,MATCH(C2142,Products!$A$2:$A$49,0))</f>
        <v>9000</v>
      </c>
      <c r="I2142" s="33" t="n">
        <f aca="false">D2142*INDEX(Products!$D$2:$D$49,MATCH(C2142,Products!$A$2:$A$49,0))*(1+INDEX(Assumptions!$B$16:$B$20,MATCH(B2142,Assumptions!$A$16:$A$20,0)))</f>
        <v>5871.6</v>
      </c>
      <c r="J2142" s="33" t="n">
        <f aca="false">H2142-I2142</f>
        <v>3128.4</v>
      </c>
      <c r="K2142" s="33" t="n">
        <f aca="false">IF(OR(E2142=0,E2142&gt;=7),0,D2142/(7-E2142)*E2142*INDEX(Products!$E$2:$E$49,MATCH(C2142,Products!$A$2:$A$49,0)))</f>
        <v>0</v>
      </c>
    </row>
    <row r="2143" customFormat="false" ht="15" hidden="false" customHeight="false" outlineLevel="0" collapsed="false">
      <c r="A2143" s="36" t="n">
        <v>46230</v>
      </c>
      <c r="B2143" s="24" t="s">
        <v>62</v>
      </c>
      <c r="C2143" s="24" t="s">
        <v>189</v>
      </c>
      <c r="D2143" s="33" t="n">
        <v>25</v>
      </c>
      <c r="E2143" s="24" t="n">
        <v>0</v>
      </c>
      <c r="F2143" s="37" t="n">
        <f aca="false">DATE(YEAR(A2143),MONTH(A2143),1)</f>
        <v>46204</v>
      </c>
      <c r="G2143" s="24" t="str">
        <f aca="false">INDEX(Products!$C$2:$C$49,MATCH(C2143,Products!$A$2:$A$49,0))</f>
        <v>Personal Care</v>
      </c>
      <c r="H2143" s="33" t="n">
        <f aca="false">D2143*INDEX(Products!$E$2:$E$49,MATCH(C2143,Products!$A$2:$A$49,0))</f>
        <v>9000</v>
      </c>
      <c r="I2143" s="33" t="n">
        <f aca="false">D2143*INDEX(Products!$D$2:$D$49,MATCH(C2143,Products!$A$2:$A$49,0))*(1+INDEX(Assumptions!$B$16:$B$20,MATCH(B2143,Assumptions!$A$16:$A$20,0)))</f>
        <v>5871.6</v>
      </c>
      <c r="J2143" s="33" t="n">
        <f aca="false">H2143-I2143</f>
        <v>3128.4</v>
      </c>
      <c r="K2143" s="33" t="n">
        <f aca="false">IF(OR(E2143=0,E2143&gt;=7),0,D2143/(7-E2143)*E2143*INDEX(Products!$E$2:$E$49,MATCH(C2143,Products!$A$2:$A$49,0)))</f>
        <v>0</v>
      </c>
    </row>
    <row r="2144" customFormat="false" ht="15" hidden="false" customHeight="false" outlineLevel="0" collapsed="false">
      <c r="A2144" s="36" t="n">
        <v>46237</v>
      </c>
      <c r="B2144" s="24" t="s">
        <v>62</v>
      </c>
      <c r="C2144" s="24" t="s">
        <v>189</v>
      </c>
      <c r="D2144" s="33" t="n">
        <v>47</v>
      </c>
      <c r="E2144" s="24" t="n">
        <v>0</v>
      </c>
      <c r="F2144" s="37" t="n">
        <f aca="false">DATE(YEAR(A2144),MONTH(A2144),1)</f>
        <v>46235</v>
      </c>
      <c r="G2144" s="24" t="str">
        <f aca="false">INDEX(Products!$C$2:$C$49,MATCH(C2144,Products!$A$2:$A$49,0))</f>
        <v>Personal Care</v>
      </c>
      <c r="H2144" s="33" t="n">
        <f aca="false">D2144*INDEX(Products!$E$2:$E$49,MATCH(C2144,Products!$A$2:$A$49,0))</f>
        <v>16920</v>
      </c>
      <c r="I2144" s="33" t="n">
        <f aca="false">D2144*INDEX(Products!$D$2:$D$49,MATCH(C2144,Products!$A$2:$A$49,0))*(1+INDEX(Assumptions!$B$16:$B$20,MATCH(B2144,Assumptions!$A$16:$A$20,0)))</f>
        <v>11038.608</v>
      </c>
      <c r="J2144" s="33" t="n">
        <f aca="false">H2144-I2144</f>
        <v>5881.392</v>
      </c>
      <c r="K2144" s="33" t="n">
        <f aca="false">IF(OR(E2144=0,E2144&gt;=7),0,D2144/(7-E2144)*E2144*INDEX(Products!$E$2:$E$49,MATCH(C2144,Products!$A$2:$A$49,0)))</f>
        <v>0</v>
      </c>
    </row>
    <row r="2145" customFormat="false" ht="15" hidden="false" customHeight="false" outlineLevel="0" collapsed="false">
      <c r="A2145" s="36" t="n">
        <v>46244</v>
      </c>
      <c r="B2145" s="24" t="s">
        <v>62</v>
      </c>
      <c r="C2145" s="24" t="s">
        <v>189</v>
      </c>
      <c r="D2145" s="33" t="n">
        <v>24</v>
      </c>
      <c r="E2145" s="24" t="n">
        <v>0</v>
      </c>
      <c r="F2145" s="37" t="n">
        <f aca="false">DATE(YEAR(A2145),MONTH(A2145),1)</f>
        <v>46235</v>
      </c>
      <c r="G2145" s="24" t="str">
        <f aca="false">INDEX(Products!$C$2:$C$49,MATCH(C2145,Products!$A$2:$A$49,0))</f>
        <v>Personal Care</v>
      </c>
      <c r="H2145" s="33" t="n">
        <f aca="false">D2145*INDEX(Products!$E$2:$E$49,MATCH(C2145,Products!$A$2:$A$49,0))</f>
        <v>8640</v>
      </c>
      <c r="I2145" s="33" t="n">
        <f aca="false">D2145*INDEX(Products!$D$2:$D$49,MATCH(C2145,Products!$A$2:$A$49,0))*(1+INDEX(Assumptions!$B$16:$B$20,MATCH(B2145,Assumptions!$A$16:$A$20,0)))</f>
        <v>5636.736</v>
      </c>
      <c r="J2145" s="33" t="n">
        <f aca="false">H2145-I2145</f>
        <v>3003.264</v>
      </c>
      <c r="K2145" s="33" t="n">
        <f aca="false">IF(OR(E2145=0,E2145&gt;=7),0,D2145/(7-E2145)*E2145*INDEX(Products!$E$2:$E$49,MATCH(C2145,Products!$A$2:$A$49,0)))</f>
        <v>0</v>
      </c>
    </row>
    <row r="2146" customFormat="false" ht="15" hidden="false" customHeight="false" outlineLevel="0" collapsed="false">
      <c r="A2146" s="36" t="n">
        <v>46251</v>
      </c>
      <c r="B2146" s="24" t="s">
        <v>62</v>
      </c>
      <c r="C2146" s="24" t="s">
        <v>189</v>
      </c>
      <c r="D2146" s="33" t="n">
        <v>33</v>
      </c>
      <c r="E2146" s="24" t="n">
        <v>0</v>
      </c>
      <c r="F2146" s="37" t="n">
        <f aca="false">DATE(YEAR(A2146),MONTH(A2146),1)</f>
        <v>46235</v>
      </c>
      <c r="G2146" s="24" t="str">
        <f aca="false">INDEX(Products!$C$2:$C$49,MATCH(C2146,Products!$A$2:$A$49,0))</f>
        <v>Personal Care</v>
      </c>
      <c r="H2146" s="33" t="n">
        <f aca="false">D2146*INDEX(Products!$E$2:$E$49,MATCH(C2146,Products!$A$2:$A$49,0))</f>
        <v>11880</v>
      </c>
      <c r="I2146" s="33" t="n">
        <f aca="false">D2146*INDEX(Products!$D$2:$D$49,MATCH(C2146,Products!$A$2:$A$49,0))*(1+INDEX(Assumptions!$B$16:$B$20,MATCH(B2146,Assumptions!$A$16:$A$20,0)))</f>
        <v>7750.512</v>
      </c>
      <c r="J2146" s="33" t="n">
        <f aca="false">H2146-I2146</f>
        <v>4129.488</v>
      </c>
      <c r="K2146" s="33" t="n">
        <f aca="false">IF(OR(E2146=0,E2146&gt;=7),0,D2146/(7-E2146)*E2146*INDEX(Products!$E$2:$E$49,MATCH(C2146,Products!$A$2:$A$49,0)))</f>
        <v>0</v>
      </c>
    </row>
    <row r="2147" customFormat="false" ht="15" hidden="false" customHeight="false" outlineLevel="0" collapsed="false">
      <c r="A2147" s="36" t="n">
        <v>46258</v>
      </c>
      <c r="B2147" s="24" t="s">
        <v>62</v>
      </c>
      <c r="C2147" s="24" t="s">
        <v>189</v>
      </c>
      <c r="D2147" s="33" t="n">
        <v>24</v>
      </c>
      <c r="E2147" s="24" t="n">
        <v>0</v>
      </c>
      <c r="F2147" s="37" t="n">
        <f aca="false">DATE(YEAR(A2147),MONTH(A2147),1)</f>
        <v>46235</v>
      </c>
      <c r="G2147" s="24" t="str">
        <f aca="false">INDEX(Products!$C$2:$C$49,MATCH(C2147,Products!$A$2:$A$49,0))</f>
        <v>Personal Care</v>
      </c>
      <c r="H2147" s="33" t="n">
        <f aca="false">D2147*INDEX(Products!$E$2:$E$49,MATCH(C2147,Products!$A$2:$A$49,0))</f>
        <v>8640</v>
      </c>
      <c r="I2147" s="33" t="n">
        <f aca="false">D2147*INDEX(Products!$D$2:$D$49,MATCH(C2147,Products!$A$2:$A$49,0))*(1+INDEX(Assumptions!$B$16:$B$20,MATCH(B2147,Assumptions!$A$16:$A$20,0)))</f>
        <v>5636.736</v>
      </c>
      <c r="J2147" s="33" t="n">
        <f aca="false">H2147-I2147</f>
        <v>3003.264</v>
      </c>
      <c r="K2147" s="33" t="n">
        <f aca="false">IF(OR(E2147=0,E2147&gt;=7),0,D2147/(7-E2147)*E2147*INDEX(Products!$E$2:$E$49,MATCH(C2147,Products!$A$2:$A$49,0)))</f>
        <v>0</v>
      </c>
    </row>
    <row r="2148" customFormat="false" ht="15" hidden="false" customHeight="false" outlineLevel="0" collapsed="false">
      <c r="A2148" s="36" t="n">
        <v>46265</v>
      </c>
      <c r="B2148" s="24" t="s">
        <v>62</v>
      </c>
      <c r="C2148" s="24" t="s">
        <v>189</v>
      </c>
      <c r="D2148" s="33" t="n">
        <v>35</v>
      </c>
      <c r="E2148" s="24" t="n">
        <v>0</v>
      </c>
      <c r="F2148" s="37" t="n">
        <f aca="false">DATE(YEAR(A2148),MONTH(A2148),1)</f>
        <v>46235</v>
      </c>
      <c r="G2148" s="24" t="str">
        <f aca="false">INDEX(Products!$C$2:$C$49,MATCH(C2148,Products!$A$2:$A$49,0))</f>
        <v>Personal Care</v>
      </c>
      <c r="H2148" s="33" t="n">
        <f aca="false">D2148*INDEX(Products!$E$2:$E$49,MATCH(C2148,Products!$A$2:$A$49,0))</f>
        <v>12600</v>
      </c>
      <c r="I2148" s="33" t="n">
        <f aca="false">D2148*INDEX(Products!$D$2:$D$49,MATCH(C2148,Products!$A$2:$A$49,0))*(1+INDEX(Assumptions!$B$16:$B$20,MATCH(B2148,Assumptions!$A$16:$A$20,0)))</f>
        <v>8220.24</v>
      </c>
      <c r="J2148" s="33" t="n">
        <f aca="false">H2148-I2148</f>
        <v>4379.76</v>
      </c>
      <c r="K2148" s="33" t="n">
        <f aca="false">IF(OR(E2148=0,E2148&gt;=7),0,D2148/(7-E2148)*E2148*INDEX(Products!$E$2:$E$49,MATCH(C2148,Products!$A$2:$A$49,0)))</f>
        <v>0</v>
      </c>
    </row>
    <row r="2149" customFormat="false" ht="15" hidden="false" customHeight="false" outlineLevel="0" collapsed="false">
      <c r="A2149" s="36" t="n">
        <v>46272</v>
      </c>
      <c r="B2149" s="24" t="s">
        <v>62</v>
      </c>
      <c r="C2149" s="24" t="s">
        <v>189</v>
      </c>
      <c r="D2149" s="33" t="n">
        <v>30</v>
      </c>
      <c r="E2149" s="24" t="n">
        <v>0</v>
      </c>
      <c r="F2149" s="37" t="n">
        <f aca="false">DATE(YEAR(A2149),MONTH(A2149),1)</f>
        <v>46266</v>
      </c>
      <c r="G2149" s="24" t="str">
        <f aca="false">INDEX(Products!$C$2:$C$49,MATCH(C2149,Products!$A$2:$A$49,0))</f>
        <v>Personal Care</v>
      </c>
      <c r="H2149" s="33" t="n">
        <f aca="false">D2149*INDEX(Products!$E$2:$E$49,MATCH(C2149,Products!$A$2:$A$49,0))</f>
        <v>10800</v>
      </c>
      <c r="I2149" s="33" t="n">
        <f aca="false">D2149*INDEX(Products!$D$2:$D$49,MATCH(C2149,Products!$A$2:$A$49,0))*(1+INDEX(Assumptions!$B$16:$B$20,MATCH(B2149,Assumptions!$A$16:$A$20,0)))</f>
        <v>7045.92</v>
      </c>
      <c r="J2149" s="33" t="n">
        <f aca="false">H2149-I2149</f>
        <v>3754.08</v>
      </c>
      <c r="K2149" s="33" t="n">
        <f aca="false">IF(OR(E2149=0,E2149&gt;=7),0,D2149/(7-E2149)*E2149*INDEX(Products!$E$2:$E$49,MATCH(C2149,Products!$A$2:$A$49,0)))</f>
        <v>0</v>
      </c>
    </row>
    <row r="2150" customFormat="false" ht="15" hidden="false" customHeight="false" outlineLevel="0" collapsed="false">
      <c r="A2150" s="36" t="n">
        <v>46279</v>
      </c>
      <c r="B2150" s="24" t="s">
        <v>62</v>
      </c>
      <c r="C2150" s="24" t="s">
        <v>189</v>
      </c>
      <c r="D2150" s="33" t="n">
        <v>34</v>
      </c>
      <c r="E2150" s="24" t="n">
        <v>0</v>
      </c>
      <c r="F2150" s="37" t="n">
        <f aca="false">DATE(YEAR(A2150),MONTH(A2150),1)</f>
        <v>46266</v>
      </c>
      <c r="G2150" s="24" t="str">
        <f aca="false">INDEX(Products!$C$2:$C$49,MATCH(C2150,Products!$A$2:$A$49,0))</f>
        <v>Personal Care</v>
      </c>
      <c r="H2150" s="33" t="n">
        <f aca="false">D2150*INDEX(Products!$E$2:$E$49,MATCH(C2150,Products!$A$2:$A$49,0))</f>
        <v>12240</v>
      </c>
      <c r="I2150" s="33" t="n">
        <f aca="false">D2150*INDEX(Products!$D$2:$D$49,MATCH(C2150,Products!$A$2:$A$49,0))*(1+INDEX(Assumptions!$B$16:$B$20,MATCH(B2150,Assumptions!$A$16:$A$20,0)))</f>
        <v>7985.376</v>
      </c>
      <c r="J2150" s="33" t="n">
        <f aca="false">H2150-I2150</f>
        <v>4254.624</v>
      </c>
      <c r="K2150" s="33" t="n">
        <f aca="false">IF(OR(E2150=0,E2150&gt;=7),0,D2150/(7-E2150)*E2150*INDEX(Products!$E$2:$E$49,MATCH(C2150,Products!$A$2:$A$49,0)))</f>
        <v>0</v>
      </c>
    </row>
    <row r="2151" customFormat="false" ht="15" hidden="false" customHeight="false" outlineLevel="0" collapsed="false">
      <c r="A2151" s="36" t="n">
        <v>46286</v>
      </c>
      <c r="B2151" s="24" t="s">
        <v>62</v>
      </c>
      <c r="C2151" s="24" t="s">
        <v>189</v>
      </c>
      <c r="D2151" s="33" t="n">
        <v>49</v>
      </c>
      <c r="E2151" s="24" t="n">
        <v>0</v>
      </c>
      <c r="F2151" s="37" t="n">
        <f aca="false">DATE(YEAR(A2151),MONTH(A2151),1)</f>
        <v>46266</v>
      </c>
      <c r="G2151" s="24" t="str">
        <f aca="false">INDEX(Products!$C$2:$C$49,MATCH(C2151,Products!$A$2:$A$49,0))</f>
        <v>Personal Care</v>
      </c>
      <c r="H2151" s="33" t="n">
        <f aca="false">D2151*INDEX(Products!$E$2:$E$49,MATCH(C2151,Products!$A$2:$A$49,0))</f>
        <v>17640</v>
      </c>
      <c r="I2151" s="33" t="n">
        <f aca="false">D2151*INDEX(Products!$D$2:$D$49,MATCH(C2151,Products!$A$2:$A$49,0))*(1+INDEX(Assumptions!$B$16:$B$20,MATCH(B2151,Assumptions!$A$16:$A$20,0)))</f>
        <v>11508.336</v>
      </c>
      <c r="J2151" s="33" t="n">
        <f aca="false">H2151-I2151</f>
        <v>6131.664</v>
      </c>
      <c r="K2151" s="33" t="n">
        <f aca="false">IF(OR(E2151=0,E2151&gt;=7),0,D2151/(7-E2151)*E2151*INDEX(Products!$E$2:$E$49,MATCH(C2151,Products!$A$2:$A$49,0)))</f>
        <v>0</v>
      </c>
    </row>
    <row r="2152" customFormat="false" ht="15" hidden="false" customHeight="false" outlineLevel="0" collapsed="false">
      <c r="A2152" s="36" t="n">
        <v>46118</v>
      </c>
      <c r="B2152" s="24" t="s">
        <v>62</v>
      </c>
      <c r="C2152" s="24" t="s">
        <v>191</v>
      </c>
      <c r="D2152" s="33" t="n">
        <v>17</v>
      </c>
      <c r="E2152" s="24" t="n">
        <v>0</v>
      </c>
      <c r="F2152" s="37" t="n">
        <f aca="false">DATE(YEAR(A2152),MONTH(A2152),1)</f>
        <v>46113</v>
      </c>
      <c r="G2152" s="24" t="str">
        <f aca="false">INDEX(Products!$C$2:$C$49,MATCH(C2152,Products!$A$2:$A$49,0))</f>
        <v>Personal Care</v>
      </c>
      <c r="H2152" s="33" t="n">
        <f aca="false">D2152*INDEX(Products!$E$2:$E$49,MATCH(C2152,Products!$A$2:$A$49,0))</f>
        <v>3570</v>
      </c>
      <c r="I2152" s="33" t="n">
        <f aca="false">D2152*INDEX(Products!$D$2:$D$49,MATCH(C2152,Products!$A$2:$A$49,0))*(1+INDEX(Assumptions!$B$16:$B$20,MATCH(B2152,Assumptions!$A$16:$A$20,0)))</f>
        <v>2210.544</v>
      </c>
      <c r="J2152" s="33" t="n">
        <f aca="false">H2152-I2152</f>
        <v>1359.456</v>
      </c>
      <c r="K2152" s="33" t="n">
        <f aca="false">IF(OR(E2152=0,E2152&gt;=7),0,D2152/(7-E2152)*E2152*INDEX(Products!$E$2:$E$49,MATCH(C2152,Products!$A$2:$A$49,0)))</f>
        <v>0</v>
      </c>
    </row>
    <row r="2153" customFormat="false" ht="15" hidden="false" customHeight="false" outlineLevel="0" collapsed="false">
      <c r="A2153" s="36" t="n">
        <v>46125</v>
      </c>
      <c r="B2153" s="24" t="s">
        <v>62</v>
      </c>
      <c r="C2153" s="24" t="s">
        <v>191</v>
      </c>
      <c r="D2153" s="33" t="n">
        <v>20</v>
      </c>
      <c r="E2153" s="24" t="n">
        <v>0</v>
      </c>
      <c r="F2153" s="37" t="n">
        <f aca="false">DATE(YEAR(A2153),MONTH(A2153),1)</f>
        <v>46113</v>
      </c>
      <c r="G2153" s="24" t="str">
        <f aca="false">INDEX(Products!$C$2:$C$49,MATCH(C2153,Products!$A$2:$A$49,0))</f>
        <v>Personal Care</v>
      </c>
      <c r="H2153" s="33" t="n">
        <f aca="false">D2153*INDEX(Products!$E$2:$E$49,MATCH(C2153,Products!$A$2:$A$49,0))</f>
        <v>4200</v>
      </c>
      <c r="I2153" s="33" t="n">
        <f aca="false">D2153*INDEX(Products!$D$2:$D$49,MATCH(C2153,Products!$A$2:$A$49,0))*(1+INDEX(Assumptions!$B$16:$B$20,MATCH(B2153,Assumptions!$A$16:$A$20,0)))</f>
        <v>2600.64</v>
      </c>
      <c r="J2153" s="33" t="n">
        <f aca="false">H2153-I2153</f>
        <v>1599.36</v>
      </c>
      <c r="K2153" s="33" t="n">
        <f aca="false">IF(OR(E2153=0,E2153&gt;=7),0,D2153/(7-E2153)*E2153*INDEX(Products!$E$2:$E$49,MATCH(C2153,Products!$A$2:$A$49,0)))</f>
        <v>0</v>
      </c>
    </row>
    <row r="2154" customFormat="false" ht="15" hidden="false" customHeight="false" outlineLevel="0" collapsed="false">
      <c r="A2154" s="36" t="n">
        <v>46132</v>
      </c>
      <c r="B2154" s="24" t="s">
        <v>62</v>
      </c>
      <c r="C2154" s="24" t="s">
        <v>191</v>
      </c>
      <c r="D2154" s="33" t="n">
        <v>17</v>
      </c>
      <c r="E2154" s="24" t="n">
        <v>0</v>
      </c>
      <c r="F2154" s="37" t="n">
        <f aca="false">DATE(YEAR(A2154),MONTH(A2154),1)</f>
        <v>46113</v>
      </c>
      <c r="G2154" s="24" t="str">
        <f aca="false">INDEX(Products!$C$2:$C$49,MATCH(C2154,Products!$A$2:$A$49,0))</f>
        <v>Personal Care</v>
      </c>
      <c r="H2154" s="33" t="n">
        <f aca="false">D2154*INDEX(Products!$E$2:$E$49,MATCH(C2154,Products!$A$2:$A$49,0))</f>
        <v>3570</v>
      </c>
      <c r="I2154" s="33" t="n">
        <f aca="false">D2154*INDEX(Products!$D$2:$D$49,MATCH(C2154,Products!$A$2:$A$49,0))*(1+INDEX(Assumptions!$B$16:$B$20,MATCH(B2154,Assumptions!$A$16:$A$20,0)))</f>
        <v>2210.544</v>
      </c>
      <c r="J2154" s="33" t="n">
        <f aca="false">H2154-I2154</f>
        <v>1359.456</v>
      </c>
      <c r="K2154" s="33" t="n">
        <f aca="false">IF(OR(E2154=0,E2154&gt;=7),0,D2154/(7-E2154)*E2154*INDEX(Products!$E$2:$E$49,MATCH(C2154,Products!$A$2:$A$49,0)))</f>
        <v>0</v>
      </c>
    </row>
    <row r="2155" customFormat="false" ht="15" hidden="false" customHeight="false" outlineLevel="0" collapsed="false">
      <c r="A2155" s="36" t="n">
        <v>46139</v>
      </c>
      <c r="B2155" s="24" t="s">
        <v>62</v>
      </c>
      <c r="C2155" s="24" t="s">
        <v>191</v>
      </c>
      <c r="D2155" s="33" t="n">
        <v>14</v>
      </c>
      <c r="E2155" s="24" t="n">
        <v>0</v>
      </c>
      <c r="F2155" s="37" t="n">
        <f aca="false">DATE(YEAR(A2155),MONTH(A2155),1)</f>
        <v>46113</v>
      </c>
      <c r="G2155" s="24" t="str">
        <f aca="false">INDEX(Products!$C$2:$C$49,MATCH(C2155,Products!$A$2:$A$49,0))</f>
        <v>Personal Care</v>
      </c>
      <c r="H2155" s="33" t="n">
        <f aca="false">D2155*INDEX(Products!$E$2:$E$49,MATCH(C2155,Products!$A$2:$A$49,0))</f>
        <v>2940</v>
      </c>
      <c r="I2155" s="33" t="n">
        <f aca="false">D2155*INDEX(Products!$D$2:$D$49,MATCH(C2155,Products!$A$2:$A$49,0))*(1+INDEX(Assumptions!$B$16:$B$20,MATCH(B2155,Assumptions!$A$16:$A$20,0)))</f>
        <v>1820.448</v>
      </c>
      <c r="J2155" s="33" t="n">
        <f aca="false">H2155-I2155</f>
        <v>1119.552</v>
      </c>
      <c r="K2155" s="33" t="n">
        <f aca="false">IF(OR(E2155=0,E2155&gt;=7),0,D2155/(7-E2155)*E2155*INDEX(Products!$E$2:$E$49,MATCH(C2155,Products!$A$2:$A$49,0)))</f>
        <v>0</v>
      </c>
    </row>
    <row r="2156" customFormat="false" ht="15" hidden="false" customHeight="false" outlineLevel="0" collapsed="false">
      <c r="A2156" s="36" t="n">
        <v>46146</v>
      </c>
      <c r="B2156" s="24" t="s">
        <v>62</v>
      </c>
      <c r="C2156" s="24" t="s">
        <v>191</v>
      </c>
      <c r="D2156" s="33" t="n">
        <v>16</v>
      </c>
      <c r="E2156" s="24" t="n">
        <v>0</v>
      </c>
      <c r="F2156" s="37" t="n">
        <f aca="false">DATE(YEAR(A2156),MONTH(A2156),1)</f>
        <v>46143</v>
      </c>
      <c r="G2156" s="24" t="str">
        <f aca="false">INDEX(Products!$C$2:$C$49,MATCH(C2156,Products!$A$2:$A$49,0))</f>
        <v>Personal Care</v>
      </c>
      <c r="H2156" s="33" t="n">
        <f aca="false">D2156*INDEX(Products!$E$2:$E$49,MATCH(C2156,Products!$A$2:$A$49,0))</f>
        <v>3360</v>
      </c>
      <c r="I2156" s="33" t="n">
        <f aca="false">D2156*INDEX(Products!$D$2:$D$49,MATCH(C2156,Products!$A$2:$A$49,0))*(1+INDEX(Assumptions!$B$16:$B$20,MATCH(B2156,Assumptions!$A$16:$A$20,0)))</f>
        <v>2080.512</v>
      </c>
      <c r="J2156" s="33" t="n">
        <f aca="false">H2156-I2156</f>
        <v>1279.488</v>
      </c>
      <c r="K2156" s="33" t="n">
        <f aca="false">IF(OR(E2156=0,E2156&gt;=7),0,D2156/(7-E2156)*E2156*INDEX(Products!$E$2:$E$49,MATCH(C2156,Products!$A$2:$A$49,0)))</f>
        <v>0</v>
      </c>
    </row>
    <row r="2157" customFormat="false" ht="15" hidden="false" customHeight="false" outlineLevel="0" collapsed="false">
      <c r="A2157" s="36" t="n">
        <v>46153</v>
      </c>
      <c r="B2157" s="24" t="s">
        <v>62</v>
      </c>
      <c r="C2157" s="24" t="s">
        <v>191</v>
      </c>
      <c r="D2157" s="33" t="n">
        <v>18</v>
      </c>
      <c r="E2157" s="24" t="n">
        <v>0</v>
      </c>
      <c r="F2157" s="37" t="n">
        <f aca="false">DATE(YEAR(A2157),MONTH(A2157),1)</f>
        <v>46143</v>
      </c>
      <c r="G2157" s="24" t="str">
        <f aca="false">INDEX(Products!$C$2:$C$49,MATCH(C2157,Products!$A$2:$A$49,0))</f>
        <v>Personal Care</v>
      </c>
      <c r="H2157" s="33" t="n">
        <f aca="false">D2157*INDEX(Products!$E$2:$E$49,MATCH(C2157,Products!$A$2:$A$49,0))</f>
        <v>3780</v>
      </c>
      <c r="I2157" s="33" t="n">
        <f aca="false">D2157*INDEX(Products!$D$2:$D$49,MATCH(C2157,Products!$A$2:$A$49,0))*(1+INDEX(Assumptions!$B$16:$B$20,MATCH(B2157,Assumptions!$A$16:$A$20,0)))</f>
        <v>2340.576</v>
      </c>
      <c r="J2157" s="33" t="n">
        <f aca="false">H2157-I2157</f>
        <v>1439.424</v>
      </c>
      <c r="K2157" s="33" t="n">
        <f aca="false">IF(OR(E2157=0,E2157&gt;=7),0,D2157/(7-E2157)*E2157*INDEX(Products!$E$2:$E$49,MATCH(C2157,Products!$A$2:$A$49,0)))</f>
        <v>0</v>
      </c>
    </row>
    <row r="2158" customFormat="false" ht="15" hidden="false" customHeight="false" outlineLevel="0" collapsed="false">
      <c r="A2158" s="36" t="n">
        <v>46160</v>
      </c>
      <c r="B2158" s="24" t="s">
        <v>62</v>
      </c>
      <c r="C2158" s="24" t="s">
        <v>191</v>
      </c>
      <c r="D2158" s="33" t="n">
        <v>37</v>
      </c>
      <c r="E2158" s="24" t="n">
        <v>0</v>
      </c>
      <c r="F2158" s="37" t="n">
        <f aca="false">DATE(YEAR(A2158),MONTH(A2158),1)</f>
        <v>46143</v>
      </c>
      <c r="G2158" s="24" t="str">
        <f aca="false">INDEX(Products!$C$2:$C$49,MATCH(C2158,Products!$A$2:$A$49,0))</f>
        <v>Personal Care</v>
      </c>
      <c r="H2158" s="33" t="n">
        <f aca="false">D2158*INDEX(Products!$E$2:$E$49,MATCH(C2158,Products!$A$2:$A$49,0))</f>
        <v>7770</v>
      </c>
      <c r="I2158" s="33" t="n">
        <f aca="false">D2158*INDEX(Products!$D$2:$D$49,MATCH(C2158,Products!$A$2:$A$49,0))*(1+INDEX(Assumptions!$B$16:$B$20,MATCH(B2158,Assumptions!$A$16:$A$20,0)))</f>
        <v>4811.184</v>
      </c>
      <c r="J2158" s="33" t="n">
        <f aca="false">H2158-I2158</f>
        <v>2958.816</v>
      </c>
      <c r="K2158" s="33" t="n">
        <f aca="false">IF(OR(E2158=0,E2158&gt;=7),0,D2158/(7-E2158)*E2158*INDEX(Products!$E$2:$E$49,MATCH(C2158,Products!$A$2:$A$49,0)))</f>
        <v>0</v>
      </c>
    </row>
    <row r="2159" customFormat="false" ht="15" hidden="false" customHeight="false" outlineLevel="0" collapsed="false">
      <c r="A2159" s="36" t="n">
        <v>46167</v>
      </c>
      <c r="B2159" s="24" t="s">
        <v>62</v>
      </c>
      <c r="C2159" s="24" t="s">
        <v>191</v>
      </c>
      <c r="D2159" s="33" t="n">
        <v>12</v>
      </c>
      <c r="E2159" s="24" t="n">
        <v>0</v>
      </c>
      <c r="F2159" s="37" t="n">
        <f aca="false">DATE(YEAR(A2159),MONTH(A2159),1)</f>
        <v>46143</v>
      </c>
      <c r="G2159" s="24" t="str">
        <f aca="false">INDEX(Products!$C$2:$C$49,MATCH(C2159,Products!$A$2:$A$49,0))</f>
        <v>Personal Care</v>
      </c>
      <c r="H2159" s="33" t="n">
        <f aca="false">D2159*INDEX(Products!$E$2:$E$49,MATCH(C2159,Products!$A$2:$A$49,0))</f>
        <v>2520</v>
      </c>
      <c r="I2159" s="33" t="n">
        <f aca="false">D2159*INDEX(Products!$D$2:$D$49,MATCH(C2159,Products!$A$2:$A$49,0))*(1+INDEX(Assumptions!$B$16:$B$20,MATCH(B2159,Assumptions!$A$16:$A$20,0)))</f>
        <v>1560.384</v>
      </c>
      <c r="J2159" s="33" t="n">
        <f aca="false">H2159-I2159</f>
        <v>959.616</v>
      </c>
      <c r="K2159" s="33" t="n">
        <f aca="false">IF(OR(E2159=0,E2159&gt;=7),0,D2159/(7-E2159)*E2159*INDEX(Products!$E$2:$E$49,MATCH(C2159,Products!$A$2:$A$49,0)))</f>
        <v>0</v>
      </c>
    </row>
    <row r="2160" customFormat="false" ht="15" hidden="false" customHeight="false" outlineLevel="0" collapsed="false">
      <c r="A2160" s="36" t="n">
        <v>46174</v>
      </c>
      <c r="B2160" s="24" t="s">
        <v>62</v>
      </c>
      <c r="C2160" s="24" t="s">
        <v>191</v>
      </c>
      <c r="D2160" s="33" t="n">
        <v>15</v>
      </c>
      <c r="E2160" s="24" t="n">
        <v>0</v>
      </c>
      <c r="F2160" s="37" t="n">
        <f aca="false">DATE(YEAR(A2160),MONTH(A2160),1)</f>
        <v>46174</v>
      </c>
      <c r="G2160" s="24" t="str">
        <f aca="false">INDEX(Products!$C$2:$C$49,MATCH(C2160,Products!$A$2:$A$49,0))</f>
        <v>Personal Care</v>
      </c>
      <c r="H2160" s="33" t="n">
        <f aca="false">D2160*INDEX(Products!$E$2:$E$49,MATCH(C2160,Products!$A$2:$A$49,0))</f>
        <v>3150</v>
      </c>
      <c r="I2160" s="33" t="n">
        <f aca="false">D2160*INDEX(Products!$D$2:$D$49,MATCH(C2160,Products!$A$2:$A$49,0))*(1+INDEX(Assumptions!$B$16:$B$20,MATCH(B2160,Assumptions!$A$16:$A$20,0)))</f>
        <v>1950.48</v>
      </c>
      <c r="J2160" s="33" t="n">
        <f aca="false">H2160-I2160</f>
        <v>1199.52</v>
      </c>
      <c r="K2160" s="33" t="n">
        <f aca="false">IF(OR(E2160=0,E2160&gt;=7),0,D2160/(7-E2160)*E2160*INDEX(Products!$E$2:$E$49,MATCH(C2160,Products!$A$2:$A$49,0)))</f>
        <v>0</v>
      </c>
    </row>
    <row r="2161" customFormat="false" ht="15" hidden="false" customHeight="false" outlineLevel="0" collapsed="false">
      <c r="A2161" s="36" t="n">
        <v>46181</v>
      </c>
      <c r="B2161" s="24" t="s">
        <v>62</v>
      </c>
      <c r="C2161" s="24" t="s">
        <v>191</v>
      </c>
      <c r="D2161" s="33" t="n">
        <v>21</v>
      </c>
      <c r="E2161" s="24" t="n">
        <v>0</v>
      </c>
      <c r="F2161" s="37" t="n">
        <f aca="false">DATE(YEAR(A2161),MONTH(A2161),1)</f>
        <v>46174</v>
      </c>
      <c r="G2161" s="24" t="str">
        <f aca="false">INDEX(Products!$C$2:$C$49,MATCH(C2161,Products!$A$2:$A$49,0))</f>
        <v>Personal Care</v>
      </c>
      <c r="H2161" s="33" t="n">
        <f aca="false">D2161*INDEX(Products!$E$2:$E$49,MATCH(C2161,Products!$A$2:$A$49,0))</f>
        <v>4410</v>
      </c>
      <c r="I2161" s="33" t="n">
        <f aca="false">D2161*INDEX(Products!$D$2:$D$49,MATCH(C2161,Products!$A$2:$A$49,0))*(1+INDEX(Assumptions!$B$16:$B$20,MATCH(B2161,Assumptions!$A$16:$A$20,0)))</f>
        <v>2730.672</v>
      </c>
      <c r="J2161" s="33" t="n">
        <f aca="false">H2161-I2161</f>
        <v>1679.328</v>
      </c>
      <c r="K2161" s="33" t="n">
        <f aca="false">IF(OR(E2161=0,E2161&gt;=7),0,D2161/(7-E2161)*E2161*INDEX(Products!$E$2:$E$49,MATCH(C2161,Products!$A$2:$A$49,0)))</f>
        <v>0</v>
      </c>
    </row>
    <row r="2162" customFormat="false" ht="15" hidden="false" customHeight="false" outlineLevel="0" collapsed="false">
      <c r="A2162" s="36" t="n">
        <v>46188</v>
      </c>
      <c r="B2162" s="24" t="s">
        <v>62</v>
      </c>
      <c r="C2162" s="24" t="s">
        <v>191</v>
      </c>
      <c r="D2162" s="33" t="n">
        <v>9</v>
      </c>
      <c r="E2162" s="24" t="n">
        <v>0</v>
      </c>
      <c r="F2162" s="37" t="n">
        <f aca="false">DATE(YEAR(A2162),MONTH(A2162),1)</f>
        <v>46174</v>
      </c>
      <c r="G2162" s="24" t="str">
        <f aca="false">INDEX(Products!$C$2:$C$49,MATCH(C2162,Products!$A$2:$A$49,0))</f>
        <v>Personal Care</v>
      </c>
      <c r="H2162" s="33" t="n">
        <f aca="false">D2162*INDEX(Products!$E$2:$E$49,MATCH(C2162,Products!$A$2:$A$49,0))</f>
        <v>1890</v>
      </c>
      <c r="I2162" s="33" t="n">
        <f aca="false">D2162*INDEX(Products!$D$2:$D$49,MATCH(C2162,Products!$A$2:$A$49,0))*(1+INDEX(Assumptions!$B$16:$B$20,MATCH(B2162,Assumptions!$A$16:$A$20,0)))</f>
        <v>1170.288</v>
      </c>
      <c r="J2162" s="33" t="n">
        <f aca="false">H2162-I2162</f>
        <v>719.712</v>
      </c>
      <c r="K2162" s="33" t="n">
        <f aca="false">IF(OR(E2162=0,E2162&gt;=7),0,D2162/(7-E2162)*E2162*INDEX(Products!$E$2:$E$49,MATCH(C2162,Products!$A$2:$A$49,0)))</f>
        <v>0</v>
      </c>
    </row>
    <row r="2163" customFormat="false" ht="15" hidden="false" customHeight="false" outlineLevel="0" collapsed="false">
      <c r="A2163" s="36" t="n">
        <v>46195</v>
      </c>
      <c r="B2163" s="24" t="s">
        <v>62</v>
      </c>
      <c r="C2163" s="24" t="s">
        <v>191</v>
      </c>
      <c r="D2163" s="33" t="n">
        <v>25</v>
      </c>
      <c r="E2163" s="24" t="n">
        <v>0</v>
      </c>
      <c r="F2163" s="37" t="n">
        <f aca="false">DATE(YEAR(A2163),MONTH(A2163),1)</f>
        <v>46174</v>
      </c>
      <c r="G2163" s="24" t="str">
        <f aca="false">INDEX(Products!$C$2:$C$49,MATCH(C2163,Products!$A$2:$A$49,0))</f>
        <v>Personal Care</v>
      </c>
      <c r="H2163" s="33" t="n">
        <f aca="false">D2163*INDEX(Products!$E$2:$E$49,MATCH(C2163,Products!$A$2:$A$49,0))</f>
        <v>5250</v>
      </c>
      <c r="I2163" s="33" t="n">
        <f aca="false">D2163*INDEX(Products!$D$2:$D$49,MATCH(C2163,Products!$A$2:$A$49,0))*(1+INDEX(Assumptions!$B$16:$B$20,MATCH(B2163,Assumptions!$A$16:$A$20,0)))</f>
        <v>3250.8</v>
      </c>
      <c r="J2163" s="33" t="n">
        <f aca="false">H2163-I2163</f>
        <v>1999.2</v>
      </c>
      <c r="K2163" s="33" t="n">
        <f aca="false">IF(OR(E2163=0,E2163&gt;=7),0,D2163/(7-E2163)*E2163*INDEX(Products!$E$2:$E$49,MATCH(C2163,Products!$A$2:$A$49,0)))</f>
        <v>0</v>
      </c>
    </row>
    <row r="2164" customFormat="false" ht="15" hidden="false" customHeight="false" outlineLevel="0" collapsed="false">
      <c r="A2164" s="36" t="n">
        <v>46202</v>
      </c>
      <c r="B2164" s="24" t="s">
        <v>62</v>
      </c>
      <c r="C2164" s="24" t="s">
        <v>191</v>
      </c>
      <c r="D2164" s="33" t="n">
        <v>13</v>
      </c>
      <c r="E2164" s="24" t="n">
        <v>0</v>
      </c>
      <c r="F2164" s="37" t="n">
        <f aca="false">DATE(YEAR(A2164),MONTH(A2164),1)</f>
        <v>46174</v>
      </c>
      <c r="G2164" s="24" t="str">
        <f aca="false">INDEX(Products!$C$2:$C$49,MATCH(C2164,Products!$A$2:$A$49,0))</f>
        <v>Personal Care</v>
      </c>
      <c r="H2164" s="33" t="n">
        <f aca="false">D2164*INDEX(Products!$E$2:$E$49,MATCH(C2164,Products!$A$2:$A$49,0))</f>
        <v>2730</v>
      </c>
      <c r="I2164" s="33" t="n">
        <f aca="false">D2164*INDEX(Products!$D$2:$D$49,MATCH(C2164,Products!$A$2:$A$49,0))*(1+INDEX(Assumptions!$B$16:$B$20,MATCH(B2164,Assumptions!$A$16:$A$20,0)))</f>
        <v>1690.416</v>
      </c>
      <c r="J2164" s="33" t="n">
        <f aca="false">H2164-I2164</f>
        <v>1039.584</v>
      </c>
      <c r="K2164" s="33" t="n">
        <f aca="false">IF(OR(E2164=0,E2164&gt;=7),0,D2164/(7-E2164)*E2164*INDEX(Products!$E$2:$E$49,MATCH(C2164,Products!$A$2:$A$49,0)))</f>
        <v>0</v>
      </c>
    </row>
    <row r="2165" customFormat="false" ht="15" hidden="false" customHeight="false" outlineLevel="0" collapsed="false">
      <c r="A2165" s="36" t="n">
        <v>46209</v>
      </c>
      <c r="B2165" s="24" t="s">
        <v>62</v>
      </c>
      <c r="C2165" s="24" t="s">
        <v>191</v>
      </c>
      <c r="D2165" s="33" t="n">
        <v>17</v>
      </c>
      <c r="E2165" s="24" t="n">
        <v>0</v>
      </c>
      <c r="F2165" s="37" t="n">
        <f aca="false">DATE(YEAR(A2165),MONTH(A2165),1)</f>
        <v>46204</v>
      </c>
      <c r="G2165" s="24" t="str">
        <f aca="false">INDEX(Products!$C$2:$C$49,MATCH(C2165,Products!$A$2:$A$49,0))</f>
        <v>Personal Care</v>
      </c>
      <c r="H2165" s="33" t="n">
        <f aca="false">D2165*INDEX(Products!$E$2:$E$49,MATCH(C2165,Products!$A$2:$A$49,0))</f>
        <v>3570</v>
      </c>
      <c r="I2165" s="33" t="n">
        <f aca="false">D2165*INDEX(Products!$D$2:$D$49,MATCH(C2165,Products!$A$2:$A$49,0))*(1+INDEX(Assumptions!$B$16:$B$20,MATCH(B2165,Assumptions!$A$16:$A$20,0)))</f>
        <v>2210.544</v>
      </c>
      <c r="J2165" s="33" t="n">
        <f aca="false">H2165-I2165</f>
        <v>1359.456</v>
      </c>
      <c r="K2165" s="33" t="n">
        <f aca="false">IF(OR(E2165=0,E2165&gt;=7),0,D2165/(7-E2165)*E2165*INDEX(Products!$E$2:$E$49,MATCH(C2165,Products!$A$2:$A$49,0)))</f>
        <v>0</v>
      </c>
    </row>
    <row r="2166" customFormat="false" ht="15" hidden="false" customHeight="false" outlineLevel="0" collapsed="false">
      <c r="A2166" s="36" t="n">
        <v>46216</v>
      </c>
      <c r="B2166" s="24" t="s">
        <v>62</v>
      </c>
      <c r="C2166" s="24" t="s">
        <v>191</v>
      </c>
      <c r="D2166" s="33" t="n">
        <v>13</v>
      </c>
      <c r="E2166" s="24" t="n">
        <v>0</v>
      </c>
      <c r="F2166" s="37" t="n">
        <f aca="false">DATE(YEAR(A2166),MONTH(A2166),1)</f>
        <v>46204</v>
      </c>
      <c r="G2166" s="24" t="str">
        <f aca="false">INDEX(Products!$C$2:$C$49,MATCH(C2166,Products!$A$2:$A$49,0))</f>
        <v>Personal Care</v>
      </c>
      <c r="H2166" s="33" t="n">
        <f aca="false">D2166*INDEX(Products!$E$2:$E$49,MATCH(C2166,Products!$A$2:$A$49,0))</f>
        <v>2730</v>
      </c>
      <c r="I2166" s="33" t="n">
        <f aca="false">D2166*INDEX(Products!$D$2:$D$49,MATCH(C2166,Products!$A$2:$A$49,0))*(1+INDEX(Assumptions!$B$16:$B$20,MATCH(B2166,Assumptions!$A$16:$A$20,0)))</f>
        <v>1690.416</v>
      </c>
      <c r="J2166" s="33" t="n">
        <f aca="false">H2166-I2166</f>
        <v>1039.584</v>
      </c>
      <c r="K2166" s="33" t="n">
        <f aca="false">IF(OR(E2166=0,E2166&gt;=7),0,D2166/(7-E2166)*E2166*INDEX(Products!$E$2:$E$49,MATCH(C2166,Products!$A$2:$A$49,0)))</f>
        <v>0</v>
      </c>
    </row>
    <row r="2167" customFormat="false" ht="15" hidden="false" customHeight="false" outlineLevel="0" collapsed="false">
      <c r="A2167" s="36" t="n">
        <v>46223</v>
      </c>
      <c r="B2167" s="24" t="s">
        <v>62</v>
      </c>
      <c r="C2167" s="24" t="s">
        <v>191</v>
      </c>
      <c r="D2167" s="33" t="n">
        <v>14</v>
      </c>
      <c r="E2167" s="24" t="n">
        <v>0</v>
      </c>
      <c r="F2167" s="37" t="n">
        <f aca="false">DATE(YEAR(A2167),MONTH(A2167),1)</f>
        <v>46204</v>
      </c>
      <c r="G2167" s="24" t="str">
        <f aca="false">INDEX(Products!$C$2:$C$49,MATCH(C2167,Products!$A$2:$A$49,0))</f>
        <v>Personal Care</v>
      </c>
      <c r="H2167" s="33" t="n">
        <f aca="false">D2167*INDEX(Products!$E$2:$E$49,MATCH(C2167,Products!$A$2:$A$49,0))</f>
        <v>2940</v>
      </c>
      <c r="I2167" s="33" t="n">
        <f aca="false">D2167*INDEX(Products!$D$2:$D$49,MATCH(C2167,Products!$A$2:$A$49,0))*(1+INDEX(Assumptions!$B$16:$B$20,MATCH(B2167,Assumptions!$A$16:$A$20,0)))</f>
        <v>1820.448</v>
      </c>
      <c r="J2167" s="33" t="n">
        <f aca="false">H2167-I2167</f>
        <v>1119.552</v>
      </c>
      <c r="K2167" s="33" t="n">
        <f aca="false">IF(OR(E2167=0,E2167&gt;=7),0,D2167/(7-E2167)*E2167*INDEX(Products!$E$2:$E$49,MATCH(C2167,Products!$A$2:$A$49,0)))</f>
        <v>0</v>
      </c>
    </row>
    <row r="2168" customFormat="false" ht="15" hidden="false" customHeight="false" outlineLevel="0" collapsed="false">
      <c r="A2168" s="36" t="n">
        <v>46230</v>
      </c>
      <c r="B2168" s="24" t="s">
        <v>62</v>
      </c>
      <c r="C2168" s="24" t="s">
        <v>191</v>
      </c>
      <c r="D2168" s="33" t="n">
        <v>12</v>
      </c>
      <c r="E2168" s="24" t="n">
        <v>0</v>
      </c>
      <c r="F2168" s="37" t="n">
        <f aca="false">DATE(YEAR(A2168),MONTH(A2168),1)</f>
        <v>46204</v>
      </c>
      <c r="G2168" s="24" t="str">
        <f aca="false">INDEX(Products!$C$2:$C$49,MATCH(C2168,Products!$A$2:$A$49,0))</f>
        <v>Personal Care</v>
      </c>
      <c r="H2168" s="33" t="n">
        <f aca="false">D2168*INDEX(Products!$E$2:$E$49,MATCH(C2168,Products!$A$2:$A$49,0))</f>
        <v>2520</v>
      </c>
      <c r="I2168" s="33" t="n">
        <f aca="false">D2168*INDEX(Products!$D$2:$D$49,MATCH(C2168,Products!$A$2:$A$49,0))*(1+INDEX(Assumptions!$B$16:$B$20,MATCH(B2168,Assumptions!$A$16:$A$20,0)))</f>
        <v>1560.384</v>
      </c>
      <c r="J2168" s="33" t="n">
        <f aca="false">H2168-I2168</f>
        <v>959.616</v>
      </c>
      <c r="K2168" s="33" t="n">
        <f aca="false">IF(OR(E2168=0,E2168&gt;=7),0,D2168/(7-E2168)*E2168*INDEX(Products!$E$2:$E$49,MATCH(C2168,Products!$A$2:$A$49,0)))</f>
        <v>0</v>
      </c>
    </row>
    <row r="2169" customFormat="false" ht="15" hidden="false" customHeight="false" outlineLevel="0" collapsed="false">
      <c r="A2169" s="36" t="n">
        <v>46237</v>
      </c>
      <c r="B2169" s="24" t="s">
        <v>62</v>
      </c>
      <c r="C2169" s="24" t="s">
        <v>191</v>
      </c>
      <c r="D2169" s="33" t="n">
        <v>18</v>
      </c>
      <c r="E2169" s="24" t="n">
        <v>0</v>
      </c>
      <c r="F2169" s="37" t="n">
        <f aca="false">DATE(YEAR(A2169),MONTH(A2169),1)</f>
        <v>46235</v>
      </c>
      <c r="G2169" s="24" t="str">
        <f aca="false">INDEX(Products!$C$2:$C$49,MATCH(C2169,Products!$A$2:$A$49,0))</f>
        <v>Personal Care</v>
      </c>
      <c r="H2169" s="33" t="n">
        <f aca="false">D2169*INDEX(Products!$E$2:$E$49,MATCH(C2169,Products!$A$2:$A$49,0))</f>
        <v>3780</v>
      </c>
      <c r="I2169" s="33" t="n">
        <f aca="false">D2169*INDEX(Products!$D$2:$D$49,MATCH(C2169,Products!$A$2:$A$49,0))*(1+INDEX(Assumptions!$B$16:$B$20,MATCH(B2169,Assumptions!$A$16:$A$20,0)))</f>
        <v>2340.576</v>
      </c>
      <c r="J2169" s="33" t="n">
        <f aca="false">H2169-I2169</f>
        <v>1439.424</v>
      </c>
      <c r="K2169" s="33" t="n">
        <f aca="false">IF(OR(E2169=0,E2169&gt;=7),0,D2169/(7-E2169)*E2169*INDEX(Products!$E$2:$E$49,MATCH(C2169,Products!$A$2:$A$49,0)))</f>
        <v>0</v>
      </c>
    </row>
    <row r="2170" customFormat="false" ht="15" hidden="false" customHeight="false" outlineLevel="0" collapsed="false">
      <c r="A2170" s="36" t="n">
        <v>46244</v>
      </c>
      <c r="B2170" s="24" t="s">
        <v>62</v>
      </c>
      <c r="C2170" s="24" t="s">
        <v>191</v>
      </c>
      <c r="D2170" s="33" t="n">
        <v>16</v>
      </c>
      <c r="E2170" s="24" t="n">
        <v>0</v>
      </c>
      <c r="F2170" s="37" t="n">
        <f aca="false">DATE(YEAR(A2170),MONTH(A2170),1)</f>
        <v>46235</v>
      </c>
      <c r="G2170" s="24" t="str">
        <f aca="false">INDEX(Products!$C$2:$C$49,MATCH(C2170,Products!$A$2:$A$49,0))</f>
        <v>Personal Care</v>
      </c>
      <c r="H2170" s="33" t="n">
        <f aca="false">D2170*INDEX(Products!$E$2:$E$49,MATCH(C2170,Products!$A$2:$A$49,0))</f>
        <v>3360</v>
      </c>
      <c r="I2170" s="33" t="n">
        <f aca="false">D2170*INDEX(Products!$D$2:$D$49,MATCH(C2170,Products!$A$2:$A$49,0))*(1+INDEX(Assumptions!$B$16:$B$20,MATCH(B2170,Assumptions!$A$16:$A$20,0)))</f>
        <v>2080.512</v>
      </c>
      <c r="J2170" s="33" t="n">
        <f aca="false">H2170-I2170</f>
        <v>1279.488</v>
      </c>
      <c r="K2170" s="33" t="n">
        <f aca="false">IF(OR(E2170=0,E2170&gt;=7),0,D2170/(7-E2170)*E2170*INDEX(Products!$E$2:$E$49,MATCH(C2170,Products!$A$2:$A$49,0)))</f>
        <v>0</v>
      </c>
    </row>
    <row r="2171" customFormat="false" ht="15" hidden="false" customHeight="false" outlineLevel="0" collapsed="false">
      <c r="A2171" s="36" t="n">
        <v>46251</v>
      </c>
      <c r="B2171" s="24" t="s">
        <v>62</v>
      </c>
      <c r="C2171" s="24" t="s">
        <v>191</v>
      </c>
      <c r="D2171" s="33" t="n">
        <v>13</v>
      </c>
      <c r="E2171" s="24" t="n">
        <v>0</v>
      </c>
      <c r="F2171" s="37" t="n">
        <f aca="false">DATE(YEAR(A2171),MONTH(A2171),1)</f>
        <v>46235</v>
      </c>
      <c r="G2171" s="24" t="str">
        <f aca="false">INDEX(Products!$C$2:$C$49,MATCH(C2171,Products!$A$2:$A$49,0))</f>
        <v>Personal Care</v>
      </c>
      <c r="H2171" s="33" t="n">
        <f aca="false">D2171*INDEX(Products!$E$2:$E$49,MATCH(C2171,Products!$A$2:$A$49,0))</f>
        <v>2730</v>
      </c>
      <c r="I2171" s="33" t="n">
        <f aca="false">D2171*INDEX(Products!$D$2:$D$49,MATCH(C2171,Products!$A$2:$A$49,0))*(1+INDEX(Assumptions!$B$16:$B$20,MATCH(B2171,Assumptions!$A$16:$A$20,0)))</f>
        <v>1690.416</v>
      </c>
      <c r="J2171" s="33" t="n">
        <f aca="false">H2171-I2171</f>
        <v>1039.584</v>
      </c>
      <c r="K2171" s="33" t="n">
        <f aca="false">IF(OR(E2171=0,E2171&gt;=7),0,D2171/(7-E2171)*E2171*INDEX(Products!$E$2:$E$49,MATCH(C2171,Products!$A$2:$A$49,0)))</f>
        <v>0</v>
      </c>
    </row>
    <row r="2172" customFormat="false" ht="15" hidden="false" customHeight="false" outlineLevel="0" collapsed="false">
      <c r="A2172" s="36" t="n">
        <v>46258</v>
      </c>
      <c r="B2172" s="24" t="s">
        <v>62</v>
      </c>
      <c r="C2172" s="24" t="s">
        <v>191</v>
      </c>
      <c r="D2172" s="33" t="n">
        <v>13</v>
      </c>
      <c r="E2172" s="24" t="n">
        <v>0</v>
      </c>
      <c r="F2172" s="37" t="n">
        <f aca="false">DATE(YEAR(A2172),MONTH(A2172),1)</f>
        <v>46235</v>
      </c>
      <c r="G2172" s="24" t="str">
        <f aca="false">INDEX(Products!$C$2:$C$49,MATCH(C2172,Products!$A$2:$A$49,0))</f>
        <v>Personal Care</v>
      </c>
      <c r="H2172" s="33" t="n">
        <f aca="false">D2172*INDEX(Products!$E$2:$E$49,MATCH(C2172,Products!$A$2:$A$49,0))</f>
        <v>2730</v>
      </c>
      <c r="I2172" s="33" t="n">
        <f aca="false">D2172*INDEX(Products!$D$2:$D$49,MATCH(C2172,Products!$A$2:$A$49,0))*(1+INDEX(Assumptions!$B$16:$B$20,MATCH(B2172,Assumptions!$A$16:$A$20,0)))</f>
        <v>1690.416</v>
      </c>
      <c r="J2172" s="33" t="n">
        <f aca="false">H2172-I2172</f>
        <v>1039.584</v>
      </c>
      <c r="K2172" s="33" t="n">
        <f aca="false">IF(OR(E2172=0,E2172&gt;=7),0,D2172/(7-E2172)*E2172*INDEX(Products!$E$2:$E$49,MATCH(C2172,Products!$A$2:$A$49,0)))</f>
        <v>0</v>
      </c>
    </row>
    <row r="2173" customFormat="false" ht="15" hidden="false" customHeight="false" outlineLevel="0" collapsed="false">
      <c r="A2173" s="36" t="n">
        <v>46265</v>
      </c>
      <c r="B2173" s="24" t="s">
        <v>62</v>
      </c>
      <c r="C2173" s="24" t="s">
        <v>191</v>
      </c>
      <c r="D2173" s="33" t="n">
        <v>13</v>
      </c>
      <c r="E2173" s="24" t="n">
        <v>0</v>
      </c>
      <c r="F2173" s="37" t="n">
        <f aca="false">DATE(YEAR(A2173),MONTH(A2173),1)</f>
        <v>46235</v>
      </c>
      <c r="G2173" s="24" t="str">
        <f aca="false">INDEX(Products!$C$2:$C$49,MATCH(C2173,Products!$A$2:$A$49,0))</f>
        <v>Personal Care</v>
      </c>
      <c r="H2173" s="33" t="n">
        <f aca="false">D2173*INDEX(Products!$E$2:$E$49,MATCH(C2173,Products!$A$2:$A$49,0))</f>
        <v>2730</v>
      </c>
      <c r="I2173" s="33" t="n">
        <f aca="false">D2173*INDEX(Products!$D$2:$D$49,MATCH(C2173,Products!$A$2:$A$49,0))*(1+INDEX(Assumptions!$B$16:$B$20,MATCH(B2173,Assumptions!$A$16:$A$20,0)))</f>
        <v>1690.416</v>
      </c>
      <c r="J2173" s="33" t="n">
        <f aca="false">H2173-I2173</f>
        <v>1039.584</v>
      </c>
      <c r="K2173" s="33" t="n">
        <f aca="false">IF(OR(E2173=0,E2173&gt;=7),0,D2173/(7-E2173)*E2173*INDEX(Products!$E$2:$E$49,MATCH(C2173,Products!$A$2:$A$49,0)))</f>
        <v>0</v>
      </c>
    </row>
    <row r="2174" customFormat="false" ht="15" hidden="false" customHeight="false" outlineLevel="0" collapsed="false">
      <c r="A2174" s="36" t="n">
        <v>46272</v>
      </c>
      <c r="B2174" s="24" t="s">
        <v>62</v>
      </c>
      <c r="C2174" s="24" t="s">
        <v>191</v>
      </c>
      <c r="D2174" s="33" t="n">
        <v>11</v>
      </c>
      <c r="E2174" s="24" t="n">
        <v>0</v>
      </c>
      <c r="F2174" s="37" t="n">
        <f aca="false">DATE(YEAR(A2174),MONTH(A2174),1)</f>
        <v>46266</v>
      </c>
      <c r="G2174" s="24" t="str">
        <f aca="false">INDEX(Products!$C$2:$C$49,MATCH(C2174,Products!$A$2:$A$49,0))</f>
        <v>Personal Care</v>
      </c>
      <c r="H2174" s="33" t="n">
        <f aca="false">D2174*INDEX(Products!$E$2:$E$49,MATCH(C2174,Products!$A$2:$A$49,0))</f>
        <v>2310</v>
      </c>
      <c r="I2174" s="33" t="n">
        <f aca="false">D2174*INDEX(Products!$D$2:$D$49,MATCH(C2174,Products!$A$2:$A$49,0))*(1+INDEX(Assumptions!$B$16:$B$20,MATCH(B2174,Assumptions!$A$16:$A$20,0)))</f>
        <v>1430.352</v>
      </c>
      <c r="J2174" s="33" t="n">
        <f aca="false">H2174-I2174</f>
        <v>879.648</v>
      </c>
      <c r="K2174" s="33" t="n">
        <f aca="false">IF(OR(E2174=0,E2174&gt;=7),0,D2174/(7-E2174)*E2174*INDEX(Products!$E$2:$E$49,MATCH(C2174,Products!$A$2:$A$49,0)))</f>
        <v>0</v>
      </c>
    </row>
    <row r="2175" customFormat="false" ht="15" hidden="false" customHeight="false" outlineLevel="0" collapsed="false">
      <c r="A2175" s="36" t="n">
        <v>46279</v>
      </c>
      <c r="B2175" s="24" t="s">
        <v>62</v>
      </c>
      <c r="C2175" s="24" t="s">
        <v>191</v>
      </c>
      <c r="D2175" s="33" t="n">
        <v>19</v>
      </c>
      <c r="E2175" s="24" t="n">
        <v>0</v>
      </c>
      <c r="F2175" s="37" t="n">
        <f aca="false">DATE(YEAR(A2175),MONTH(A2175),1)</f>
        <v>46266</v>
      </c>
      <c r="G2175" s="24" t="str">
        <f aca="false">INDEX(Products!$C$2:$C$49,MATCH(C2175,Products!$A$2:$A$49,0))</f>
        <v>Personal Care</v>
      </c>
      <c r="H2175" s="33" t="n">
        <f aca="false">D2175*INDEX(Products!$E$2:$E$49,MATCH(C2175,Products!$A$2:$A$49,0))</f>
        <v>3990</v>
      </c>
      <c r="I2175" s="33" t="n">
        <f aca="false">D2175*INDEX(Products!$D$2:$D$49,MATCH(C2175,Products!$A$2:$A$49,0))*(1+INDEX(Assumptions!$B$16:$B$20,MATCH(B2175,Assumptions!$A$16:$A$20,0)))</f>
        <v>2470.608</v>
      </c>
      <c r="J2175" s="33" t="n">
        <f aca="false">H2175-I2175</f>
        <v>1519.392</v>
      </c>
      <c r="K2175" s="33" t="n">
        <f aca="false">IF(OR(E2175=0,E2175&gt;=7),0,D2175/(7-E2175)*E2175*INDEX(Products!$E$2:$E$49,MATCH(C2175,Products!$A$2:$A$49,0)))</f>
        <v>0</v>
      </c>
    </row>
    <row r="2176" customFormat="false" ht="15" hidden="false" customHeight="false" outlineLevel="0" collapsed="false">
      <c r="A2176" s="36" t="n">
        <v>46286</v>
      </c>
      <c r="B2176" s="24" t="s">
        <v>62</v>
      </c>
      <c r="C2176" s="24" t="s">
        <v>191</v>
      </c>
      <c r="D2176" s="33" t="n">
        <v>18</v>
      </c>
      <c r="E2176" s="24" t="n">
        <v>0</v>
      </c>
      <c r="F2176" s="37" t="n">
        <f aca="false">DATE(YEAR(A2176),MONTH(A2176),1)</f>
        <v>46266</v>
      </c>
      <c r="G2176" s="24" t="str">
        <f aca="false">INDEX(Products!$C$2:$C$49,MATCH(C2176,Products!$A$2:$A$49,0))</f>
        <v>Personal Care</v>
      </c>
      <c r="H2176" s="33" t="n">
        <f aca="false">D2176*INDEX(Products!$E$2:$E$49,MATCH(C2176,Products!$A$2:$A$49,0))</f>
        <v>3780</v>
      </c>
      <c r="I2176" s="33" t="n">
        <f aca="false">D2176*INDEX(Products!$D$2:$D$49,MATCH(C2176,Products!$A$2:$A$49,0))*(1+INDEX(Assumptions!$B$16:$B$20,MATCH(B2176,Assumptions!$A$16:$A$20,0)))</f>
        <v>2340.576</v>
      </c>
      <c r="J2176" s="33" t="n">
        <f aca="false">H2176-I2176</f>
        <v>1439.424</v>
      </c>
      <c r="K2176" s="33" t="n">
        <f aca="false">IF(OR(E2176=0,E2176&gt;=7),0,D2176/(7-E2176)*E2176*INDEX(Products!$E$2:$E$49,MATCH(C2176,Products!$A$2:$A$49,0)))</f>
        <v>0</v>
      </c>
    </row>
    <row r="2177" customFormat="false" ht="15" hidden="false" customHeight="false" outlineLevel="0" collapsed="false">
      <c r="A2177" s="36" t="n">
        <v>46118</v>
      </c>
      <c r="B2177" s="24" t="s">
        <v>62</v>
      </c>
      <c r="C2177" s="24" t="s">
        <v>193</v>
      </c>
      <c r="D2177" s="33" t="n">
        <v>67</v>
      </c>
      <c r="E2177" s="24" t="n">
        <v>0</v>
      </c>
      <c r="F2177" s="37" t="n">
        <f aca="false">DATE(YEAR(A2177),MONTH(A2177),1)</f>
        <v>46113</v>
      </c>
      <c r="G2177" s="24" t="str">
        <f aca="false">INDEX(Products!$C$2:$C$49,MATCH(C2177,Products!$A$2:$A$49,0))</f>
        <v>Personal Care</v>
      </c>
      <c r="H2177" s="33" t="n">
        <f aca="false">D2177*INDEX(Products!$E$2:$E$49,MATCH(C2177,Products!$A$2:$A$49,0))</f>
        <v>14740</v>
      </c>
      <c r="I2177" s="33" t="n">
        <f aca="false">D2177*INDEX(Products!$D$2:$D$49,MATCH(C2177,Products!$A$2:$A$49,0))*(1+INDEX(Assumptions!$B$16:$B$20,MATCH(B2177,Assumptions!$A$16:$A$20,0)))</f>
        <v>10670.688</v>
      </c>
      <c r="J2177" s="33" t="n">
        <f aca="false">H2177-I2177</f>
        <v>4069.312</v>
      </c>
      <c r="K2177" s="33" t="n">
        <f aca="false">IF(OR(E2177=0,E2177&gt;=7),0,D2177/(7-E2177)*E2177*INDEX(Products!$E$2:$E$49,MATCH(C2177,Products!$A$2:$A$49,0)))</f>
        <v>0</v>
      </c>
    </row>
    <row r="2178" customFormat="false" ht="15" hidden="false" customHeight="false" outlineLevel="0" collapsed="false">
      <c r="A2178" s="36" t="n">
        <v>46125</v>
      </c>
      <c r="B2178" s="24" t="s">
        <v>62</v>
      </c>
      <c r="C2178" s="24" t="s">
        <v>193</v>
      </c>
      <c r="D2178" s="33" t="n">
        <v>69</v>
      </c>
      <c r="E2178" s="24" t="n">
        <v>0</v>
      </c>
      <c r="F2178" s="37" t="n">
        <f aca="false">DATE(YEAR(A2178),MONTH(A2178),1)</f>
        <v>46113</v>
      </c>
      <c r="G2178" s="24" t="str">
        <f aca="false">INDEX(Products!$C$2:$C$49,MATCH(C2178,Products!$A$2:$A$49,0))</f>
        <v>Personal Care</v>
      </c>
      <c r="H2178" s="33" t="n">
        <f aca="false">D2178*INDEX(Products!$E$2:$E$49,MATCH(C2178,Products!$A$2:$A$49,0))</f>
        <v>15180</v>
      </c>
      <c r="I2178" s="33" t="n">
        <f aca="false">D2178*INDEX(Products!$D$2:$D$49,MATCH(C2178,Products!$A$2:$A$49,0))*(1+INDEX(Assumptions!$B$16:$B$20,MATCH(B2178,Assumptions!$A$16:$A$20,0)))</f>
        <v>10989.216</v>
      </c>
      <c r="J2178" s="33" t="n">
        <f aca="false">H2178-I2178</f>
        <v>4190.784</v>
      </c>
      <c r="K2178" s="33" t="n">
        <f aca="false">IF(OR(E2178=0,E2178&gt;=7),0,D2178/(7-E2178)*E2178*INDEX(Products!$E$2:$E$49,MATCH(C2178,Products!$A$2:$A$49,0)))</f>
        <v>0</v>
      </c>
    </row>
    <row r="2179" customFormat="false" ht="15" hidden="false" customHeight="false" outlineLevel="0" collapsed="false">
      <c r="A2179" s="36" t="n">
        <v>46132</v>
      </c>
      <c r="B2179" s="24" t="s">
        <v>62</v>
      </c>
      <c r="C2179" s="24" t="s">
        <v>193</v>
      </c>
      <c r="D2179" s="33" t="n">
        <v>84</v>
      </c>
      <c r="E2179" s="24" t="n">
        <v>0</v>
      </c>
      <c r="F2179" s="37" t="n">
        <f aca="false">DATE(YEAR(A2179),MONTH(A2179),1)</f>
        <v>46113</v>
      </c>
      <c r="G2179" s="24" t="str">
        <f aca="false">INDEX(Products!$C$2:$C$49,MATCH(C2179,Products!$A$2:$A$49,0))</f>
        <v>Personal Care</v>
      </c>
      <c r="H2179" s="33" t="n">
        <f aca="false">D2179*INDEX(Products!$E$2:$E$49,MATCH(C2179,Products!$A$2:$A$49,0))</f>
        <v>18480</v>
      </c>
      <c r="I2179" s="33" t="n">
        <f aca="false">D2179*INDEX(Products!$D$2:$D$49,MATCH(C2179,Products!$A$2:$A$49,0))*(1+INDEX(Assumptions!$B$16:$B$20,MATCH(B2179,Assumptions!$A$16:$A$20,0)))</f>
        <v>13378.176</v>
      </c>
      <c r="J2179" s="33" t="n">
        <f aca="false">H2179-I2179</f>
        <v>5101.824</v>
      </c>
      <c r="K2179" s="33" t="n">
        <f aca="false">IF(OR(E2179=0,E2179&gt;=7),0,D2179/(7-E2179)*E2179*INDEX(Products!$E$2:$E$49,MATCH(C2179,Products!$A$2:$A$49,0)))</f>
        <v>0</v>
      </c>
    </row>
    <row r="2180" customFormat="false" ht="15" hidden="false" customHeight="false" outlineLevel="0" collapsed="false">
      <c r="A2180" s="36" t="n">
        <v>46139</v>
      </c>
      <c r="B2180" s="24" t="s">
        <v>62</v>
      </c>
      <c r="C2180" s="24" t="s">
        <v>193</v>
      </c>
      <c r="D2180" s="33" t="n">
        <v>96</v>
      </c>
      <c r="E2180" s="24" t="n">
        <v>0</v>
      </c>
      <c r="F2180" s="37" t="n">
        <f aca="false">DATE(YEAR(A2180),MONTH(A2180),1)</f>
        <v>46113</v>
      </c>
      <c r="G2180" s="24" t="str">
        <f aca="false">INDEX(Products!$C$2:$C$49,MATCH(C2180,Products!$A$2:$A$49,0))</f>
        <v>Personal Care</v>
      </c>
      <c r="H2180" s="33" t="n">
        <f aca="false">D2180*INDEX(Products!$E$2:$E$49,MATCH(C2180,Products!$A$2:$A$49,0))</f>
        <v>21120</v>
      </c>
      <c r="I2180" s="33" t="n">
        <f aca="false">D2180*INDEX(Products!$D$2:$D$49,MATCH(C2180,Products!$A$2:$A$49,0))*(1+INDEX(Assumptions!$B$16:$B$20,MATCH(B2180,Assumptions!$A$16:$A$20,0)))</f>
        <v>15289.344</v>
      </c>
      <c r="J2180" s="33" t="n">
        <f aca="false">H2180-I2180</f>
        <v>5830.656</v>
      </c>
      <c r="K2180" s="33" t="n">
        <f aca="false">IF(OR(E2180=0,E2180&gt;=7),0,D2180/(7-E2180)*E2180*INDEX(Products!$E$2:$E$49,MATCH(C2180,Products!$A$2:$A$49,0)))</f>
        <v>0</v>
      </c>
    </row>
    <row r="2181" customFormat="false" ht="15" hidden="false" customHeight="false" outlineLevel="0" collapsed="false">
      <c r="A2181" s="36" t="n">
        <v>46146</v>
      </c>
      <c r="B2181" s="24" t="s">
        <v>62</v>
      </c>
      <c r="C2181" s="24" t="s">
        <v>193</v>
      </c>
      <c r="D2181" s="33" t="n">
        <v>87</v>
      </c>
      <c r="E2181" s="24" t="n">
        <v>0</v>
      </c>
      <c r="F2181" s="37" t="n">
        <f aca="false">DATE(YEAR(A2181),MONTH(A2181),1)</f>
        <v>46143</v>
      </c>
      <c r="G2181" s="24" t="str">
        <f aca="false">INDEX(Products!$C$2:$C$49,MATCH(C2181,Products!$A$2:$A$49,0))</f>
        <v>Personal Care</v>
      </c>
      <c r="H2181" s="33" t="n">
        <f aca="false">D2181*INDEX(Products!$E$2:$E$49,MATCH(C2181,Products!$A$2:$A$49,0))</f>
        <v>19140</v>
      </c>
      <c r="I2181" s="33" t="n">
        <f aca="false">D2181*INDEX(Products!$D$2:$D$49,MATCH(C2181,Products!$A$2:$A$49,0))*(1+INDEX(Assumptions!$B$16:$B$20,MATCH(B2181,Assumptions!$A$16:$A$20,0)))</f>
        <v>13855.968</v>
      </c>
      <c r="J2181" s="33" t="n">
        <f aca="false">H2181-I2181</f>
        <v>5284.032</v>
      </c>
      <c r="K2181" s="33" t="n">
        <f aca="false">IF(OR(E2181=0,E2181&gt;=7),0,D2181/(7-E2181)*E2181*INDEX(Products!$E$2:$E$49,MATCH(C2181,Products!$A$2:$A$49,0)))</f>
        <v>0</v>
      </c>
    </row>
    <row r="2182" customFormat="false" ht="15" hidden="false" customHeight="false" outlineLevel="0" collapsed="false">
      <c r="A2182" s="36" t="n">
        <v>46153</v>
      </c>
      <c r="B2182" s="24" t="s">
        <v>62</v>
      </c>
      <c r="C2182" s="24" t="s">
        <v>193</v>
      </c>
      <c r="D2182" s="33" t="n">
        <v>82</v>
      </c>
      <c r="E2182" s="24" t="n">
        <v>0</v>
      </c>
      <c r="F2182" s="37" t="n">
        <f aca="false">DATE(YEAR(A2182),MONTH(A2182),1)</f>
        <v>46143</v>
      </c>
      <c r="G2182" s="24" t="str">
        <f aca="false">INDEX(Products!$C$2:$C$49,MATCH(C2182,Products!$A$2:$A$49,0))</f>
        <v>Personal Care</v>
      </c>
      <c r="H2182" s="33" t="n">
        <f aca="false">D2182*INDEX(Products!$E$2:$E$49,MATCH(C2182,Products!$A$2:$A$49,0))</f>
        <v>18040</v>
      </c>
      <c r="I2182" s="33" t="n">
        <f aca="false">D2182*INDEX(Products!$D$2:$D$49,MATCH(C2182,Products!$A$2:$A$49,0))*(1+INDEX(Assumptions!$B$16:$B$20,MATCH(B2182,Assumptions!$A$16:$A$20,0)))</f>
        <v>13059.648</v>
      </c>
      <c r="J2182" s="33" t="n">
        <f aca="false">H2182-I2182</f>
        <v>4980.352</v>
      </c>
      <c r="K2182" s="33" t="n">
        <f aca="false">IF(OR(E2182=0,E2182&gt;=7),0,D2182/(7-E2182)*E2182*INDEX(Products!$E$2:$E$49,MATCH(C2182,Products!$A$2:$A$49,0)))</f>
        <v>0</v>
      </c>
    </row>
    <row r="2183" customFormat="false" ht="15" hidden="false" customHeight="false" outlineLevel="0" collapsed="false">
      <c r="A2183" s="36" t="n">
        <v>46160</v>
      </c>
      <c r="B2183" s="24" t="s">
        <v>62</v>
      </c>
      <c r="C2183" s="24" t="s">
        <v>193</v>
      </c>
      <c r="D2183" s="33" t="n">
        <v>85</v>
      </c>
      <c r="E2183" s="24" t="n">
        <v>0</v>
      </c>
      <c r="F2183" s="37" t="n">
        <f aca="false">DATE(YEAR(A2183),MONTH(A2183),1)</f>
        <v>46143</v>
      </c>
      <c r="G2183" s="24" t="str">
        <f aca="false">INDEX(Products!$C$2:$C$49,MATCH(C2183,Products!$A$2:$A$49,0))</f>
        <v>Personal Care</v>
      </c>
      <c r="H2183" s="33" t="n">
        <f aca="false">D2183*INDEX(Products!$E$2:$E$49,MATCH(C2183,Products!$A$2:$A$49,0))</f>
        <v>18700</v>
      </c>
      <c r="I2183" s="33" t="n">
        <f aca="false">D2183*INDEX(Products!$D$2:$D$49,MATCH(C2183,Products!$A$2:$A$49,0))*(1+INDEX(Assumptions!$B$16:$B$20,MATCH(B2183,Assumptions!$A$16:$A$20,0)))</f>
        <v>13537.44</v>
      </c>
      <c r="J2183" s="33" t="n">
        <f aca="false">H2183-I2183</f>
        <v>5162.56</v>
      </c>
      <c r="K2183" s="33" t="n">
        <f aca="false">IF(OR(E2183=0,E2183&gt;=7),0,D2183/(7-E2183)*E2183*INDEX(Products!$E$2:$E$49,MATCH(C2183,Products!$A$2:$A$49,0)))</f>
        <v>0</v>
      </c>
    </row>
    <row r="2184" customFormat="false" ht="15" hidden="false" customHeight="false" outlineLevel="0" collapsed="false">
      <c r="A2184" s="36" t="n">
        <v>46167</v>
      </c>
      <c r="B2184" s="24" t="s">
        <v>62</v>
      </c>
      <c r="C2184" s="24" t="s">
        <v>193</v>
      </c>
      <c r="D2184" s="33" t="n">
        <v>98</v>
      </c>
      <c r="E2184" s="24" t="n">
        <v>0</v>
      </c>
      <c r="F2184" s="37" t="n">
        <f aca="false">DATE(YEAR(A2184),MONTH(A2184),1)</f>
        <v>46143</v>
      </c>
      <c r="G2184" s="24" t="str">
        <f aca="false">INDEX(Products!$C$2:$C$49,MATCH(C2184,Products!$A$2:$A$49,0))</f>
        <v>Personal Care</v>
      </c>
      <c r="H2184" s="33" t="n">
        <f aca="false">D2184*INDEX(Products!$E$2:$E$49,MATCH(C2184,Products!$A$2:$A$49,0))</f>
        <v>21560</v>
      </c>
      <c r="I2184" s="33" t="n">
        <f aca="false">D2184*INDEX(Products!$D$2:$D$49,MATCH(C2184,Products!$A$2:$A$49,0))*(1+INDEX(Assumptions!$B$16:$B$20,MATCH(B2184,Assumptions!$A$16:$A$20,0)))</f>
        <v>15607.872</v>
      </c>
      <c r="J2184" s="33" t="n">
        <f aca="false">H2184-I2184</f>
        <v>5952.128</v>
      </c>
      <c r="K2184" s="33" t="n">
        <f aca="false">IF(OR(E2184=0,E2184&gt;=7),0,D2184/(7-E2184)*E2184*INDEX(Products!$E$2:$E$49,MATCH(C2184,Products!$A$2:$A$49,0)))</f>
        <v>0</v>
      </c>
    </row>
    <row r="2185" customFormat="false" ht="15" hidden="false" customHeight="false" outlineLevel="0" collapsed="false">
      <c r="A2185" s="36" t="n">
        <v>46174</v>
      </c>
      <c r="B2185" s="24" t="s">
        <v>62</v>
      </c>
      <c r="C2185" s="24" t="s">
        <v>193</v>
      </c>
      <c r="D2185" s="33" t="n">
        <v>154</v>
      </c>
      <c r="E2185" s="24" t="n">
        <v>0</v>
      </c>
      <c r="F2185" s="37" t="n">
        <f aca="false">DATE(YEAR(A2185),MONTH(A2185),1)</f>
        <v>46174</v>
      </c>
      <c r="G2185" s="24" t="str">
        <f aca="false">INDEX(Products!$C$2:$C$49,MATCH(C2185,Products!$A$2:$A$49,0))</f>
        <v>Personal Care</v>
      </c>
      <c r="H2185" s="33" t="n">
        <f aca="false">D2185*INDEX(Products!$E$2:$E$49,MATCH(C2185,Products!$A$2:$A$49,0))</f>
        <v>33880</v>
      </c>
      <c r="I2185" s="33" t="n">
        <f aca="false">D2185*INDEX(Products!$D$2:$D$49,MATCH(C2185,Products!$A$2:$A$49,0))*(1+INDEX(Assumptions!$B$16:$B$20,MATCH(B2185,Assumptions!$A$16:$A$20,0)))</f>
        <v>24526.656</v>
      </c>
      <c r="J2185" s="33" t="n">
        <f aca="false">H2185-I2185</f>
        <v>9353.344</v>
      </c>
      <c r="K2185" s="33" t="n">
        <f aca="false">IF(OR(E2185=0,E2185&gt;=7),0,D2185/(7-E2185)*E2185*INDEX(Products!$E$2:$E$49,MATCH(C2185,Products!$A$2:$A$49,0)))</f>
        <v>0</v>
      </c>
    </row>
    <row r="2186" customFormat="false" ht="15" hidden="false" customHeight="false" outlineLevel="0" collapsed="false">
      <c r="A2186" s="36" t="n">
        <v>46181</v>
      </c>
      <c r="B2186" s="24" t="s">
        <v>62</v>
      </c>
      <c r="C2186" s="24" t="s">
        <v>193</v>
      </c>
      <c r="D2186" s="33" t="n">
        <v>81</v>
      </c>
      <c r="E2186" s="24" t="n">
        <v>0</v>
      </c>
      <c r="F2186" s="37" t="n">
        <f aca="false">DATE(YEAR(A2186),MONTH(A2186),1)</f>
        <v>46174</v>
      </c>
      <c r="G2186" s="24" t="str">
        <f aca="false">INDEX(Products!$C$2:$C$49,MATCH(C2186,Products!$A$2:$A$49,0))</f>
        <v>Personal Care</v>
      </c>
      <c r="H2186" s="33" t="n">
        <f aca="false">D2186*INDEX(Products!$E$2:$E$49,MATCH(C2186,Products!$A$2:$A$49,0))</f>
        <v>17820</v>
      </c>
      <c r="I2186" s="33" t="n">
        <f aca="false">D2186*INDEX(Products!$D$2:$D$49,MATCH(C2186,Products!$A$2:$A$49,0))*(1+INDEX(Assumptions!$B$16:$B$20,MATCH(B2186,Assumptions!$A$16:$A$20,0)))</f>
        <v>12900.384</v>
      </c>
      <c r="J2186" s="33" t="n">
        <f aca="false">H2186-I2186</f>
        <v>4919.616</v>
      </c>
      <c r="K2186" s="33" t="n">
        <f aca="false">IF(OR(E2186=0,E2186&gt;=7),0,D2186/(7-E2186)*E2186*INDEX(Products!$E$2:$E$49,MATCH(C2186,Products!$A$2:$A$49,0)))</f>
        <v>0</v>
      </c>
    </row>
    <row r="2187" customFormat="false" ht="15" hidden="false" customHeight="false" outlineLevel="0" collapsed="false">
      <c r="A2187" s="36" t="n">
        <v>46188</v>
      </c>
      <c r="B2187" s="24" t="s">
        <v>62</v>
      </c>
      <c r="C2187" s="24" t="s">
        <v>193</v>
      </c>
      <c r="D2187" s="33" t="n">
        <v>82</v>
      </c>
      <c r="E2187" s="24" t="n">
        <v>0</v>
      </c>
      <c r="F2187" s="37" t="n">
        <f aca="false">DATE(YEAR(A2187),MONTH(A2187),1)</f>
        <v>46174</v>
      </c>
      <c r="G2187" s="24" t="str">
        <f aca="false">INDEX(Products!$C$2:$C$49,MATCH(C2187,Products!$A$2:$A$49,0))</f>
        <v>Personal Care</v>
      </c>
      <c r="H2187" s="33" t="n">
        <f aca="false">D2187*INDEX(Products!$E$2:$E$49,MATCH(C2187,Products!$A$2:$A$49,0))</f>
        <v>18040</v>
      </c>
      <c r="I2187" s="33" t="n">
        <f aca="false">D2187*INDEX(Products!$D$2:$D$49,MATCH(C2187,Products!$A$2:$A$49,0))*(1+INDEX(Assumptions!$B$16:$B$20,MATCH(B2187,Assumptions!$A$16:$A$20,0)))</f>
        <v>13059.648</v>
      </c>
      <c r="J2187" s="33" t="n">
        <f aca="false">H2187-I2187</f>
        <v>4980.352</v>
      </c>
      <c r="K2187" s="33" t="n">
        <f aca="false">IF(OR(E2187=0,E2187&gt;=7),0,D2187/(7-E2187)*E2187*INDEX(Products!$E$2:$E$49,MATCH(C2187,Products!$A$2:$A$49,0)))</f>
        <v>0</v>
      </c>
    </row>
    <row r="2188" customFormat="false" ht="15" hidden="false" customHeight="false" outlineLevel="0" collapsed="false">
      <c r="A2188" s="36" t="n">
        <v>46195</v>
      </c>
      <c r="B2188" s="24" t="s">
        <v>62</v>
      </c>
      <c r="C2188" s="24" t="s">
        <v>193</v>
      </c>
      <c r="D2188" s="33" t="n">
        <v>36</v>
      </c>
      <c r="E2188" s="24" t="n">
        <v>4</v>
      </c>
      <c r="F2188" s="37" t="n">
        <f aca="false">DATE(YEAR(A2188),MONTH(A2188),1)</f>
        <v>46174</v>
      </c>
      <c r="G2188" s="24" t="str">
        <f aca="false">INDEX(Products!$C$2:$C$49,MATCH(C2188,Products!$A$2:$A$49,0))</f>
        <v>Personal Care</v>
      </c>
      <c r="H2188" s="33" t="n">
        <f aca="false">D2188*INDEX(Products!$E$2:$E$49,MATCH(C2188,Products!$A$2:$A$49,0))</f>
        <v>7920</v>
      </c>
      <c r="I2188" s="33" t="n">
        <f aca="false">D2188*INDEX(Products!$D$2:$D$49,MATCH(C2188,Products!$A$2:$A$49,0))*(1+INDEX(Assumptions!$B$16:$B$20,MATCH(B2188,Assumptions!$A$16:$A$20,0)))</f>
        <v>5733.504</v>
      </c>
      <c r="J2188" s="33" t="n">
        <f aca="false">H2188-I2188</f>
        <v>2186.496</v>
      </c>
      <c r="K2188" s="33" t="n">
        <f aca="false">IF(OR(E2188=0,E2188&gt;=7),0,D2188/(7-E2188)*E2188*INDEX(Products!$E$2:$E$49,MATCH(C2188,Products!$A$2:$A$49,0)))</f>
        <v>10560</v>
      </c>
    </row>
    <row r="2189" customFormat="false" ht="15" hidden="false" customHeight="false" outlineLevel="0" collapsed="false">
      <c r="A2189" s="36" t="n">
        <v>46202</v>
      </c>
      <c r="B2189" s="24" t="s">
        <v>62</v>
      </c>
      <c r="C2189" s="24" t="s">
        <v>193</v>
      </c>
      <c r="D2189" s="33" t="n">
        <v>95</v>
      </c>
      <c r="E2189" s="24" t="n">
        <v>0</v>
      </c>
      <c r="F2189" s="37" t="n">
        <f aca="false">DATE(YEAR(A2189),MONTH(A2189),1)</f>
        <v>46174</v>
      </c>
      <c r="G2189" s="24" t="str">
        <f aca="false">INDEX(Products!$C$2:$C$49,MATCH(C2189,Products!$A$2:$A$49,0))</f>
        <v>Personal Care</v>
      </c>
      <c r="H2189" s="33" t="n">
        <f aca="false">D2189*INDEX(Products!$E$2:$E$49,MATCH(C2189,Products!$A$2:$A$49,0))</f>
        <v>20900</v>
      </c>
      <c r="I2189" s="33" t="n">
        <f aca="false">D2189*INDEX(Products!$D$2:$D$49,MATCH(C2189,Products!$A$2:$A$49,0))*(1+INDEX(Assumptions!$B$16:$B$20,MATCH(B2189,Assumptions!$A$16:$A$20,0)))</f>
        <v>15130.08</v>
      </c>
      <c r="J2189" s="33" t="n">
        <f aca="false">H2189-I2189</f>
        <v>5769.92</v>
      </c>
      <c r="K2189" s="33" t="n">
        <f aca="false">IF(OR(E2189=0,E2189&gt;=7),0,D2189/(7-E2189)*E2189*INDEX(Products!$E$2:$E$49,MATCH(C2189,Products!$A$2:$A$49,0)))</f>
        <v>0</v>
      </c>
    </row>
    <row r="2190" customFormat="false" ht="15" hidden="false" customHeight="false" outlineLevel="0" collapsed="false">
      <c r="A2190" s="36" t="n">
        <v>46209</v>
      </c>
      <c r="B2190" s="24" t="s">
        <v>62</v>
      </c>
      <c r="C2190" s="24" t="s">
        <v>193</v>
      </c>
      <c r="D2190" s="33" t="n">
        <v>64</v>
      </c>
      <c r="E2190" s="24" t="n">
        <v>0</v>
      </c>
      <c r="F2190" s="37" t="n">
        <f aca="false">DATE(YEAR(A2190),MONTH(A2190),1)</f>
        <v>46204</v>
      </c>
      <c r="G2190" s="24" t="str">
        <f aca="false">INDEX(Products!$C$2:$C$49,MATCH(C2190,Products!$A$2:$A$49,0))</f>
        <v>Personal Care</v>
      </c>
      <c r="H2190" s="33" t="n">
        <f aca="false">D2190*INDEX(Products!$E$2:$E$49,MATCH(C2190,Products!$A$2:$A$49,0))</f>
        <v>14080</v>
      </c>
      <c r="I2190" s="33" t="n">
        <f aca="false">D2190*INDEX(Products!$D$2:$D$49,MATCH(C2190,Products!$A$2:$A$49,0))*(1+INDEX(Assumptions!$B$16:$B$20,MATCH(B2190,Assumptions!$A$16:$A$20,0)))</f>
        <v>10192.896</v>
      </c>
      <c r="J2190" s="33" t="n">
        <f aca="false">H2190-I2190</f>
        <v>3887.104</v>
      </c>
      <c r="K2190" s="33" t="n">
        <f aca="false">IF(OR(E2190=0,E2190&gt;=7),0,D2190/(7-E2190)*E2190*INDEX(Products!$E$2:$E$49,MATCH(C2190,Products!$A$2:$A$49,0)))</f>
        <v>0</v>
      </c>
    </row>
    <row r="2191" customFormat="false" ht="15" hidden="false" customHeight="false" outlineLevel="0" collapsed="false">
      <c r="A2191" s="36" t="n">
        <v>46216</v>
      </c>
      <c r="B2191" s="24" t="s">
        <v>62</v>
      </c>
      <c r="C2191" s="24" t="s">
        <v>193</v>
      </c>
      <c r="D2191" s="33" t="n">
        <v>77</v>
      </c>
      <c r="E2191" s="24" t="n">
        <v>0</v>
      </c>
      <c r="F2191" s="37" t="n">
        <f aca="false">DATE(YEAR(A2191),MONTH(A2191),1)</f>
        <v>46204</v>
      </c>
      <c r="G2191" s="24" t="str">
        <f aca="false">INDEX(Products!$C$2:$C$49,MATCH(C2191,Products!$A$2:$A$49,0))</f>
        <v>Personal Care</v>
      </c>
      <c r="H2191" s="33" t="n">
        <f aca="false">D2191*INDEX(Products!$E$2:$E$49,MATCH(C2191,Products!$A$2:$A$49,0))</f>
        <v>16940</v>
      </c>
      <c r="I2191" s="33" t="n">
        <f aca="false">D2191*INDEX(Products!$D$2:$D$49,MATCH(C2191,Products!$A$2:$A$49,0))*(1+INDEX(Assumptions!$B$16:$B$20,MATCH(B2191,Assumptions!$A$16:$A$20,0)))</f>
        <v>12263.328</v>
      </c>
      <c r="J2191" s="33" t="n">
        <f aca="false">H2191-I2191</f>
        <v>4676.672</v>
      </c>
      <c r="K2191" s="33" t="n">
        <f aca="false">IF(OR(E2191=0,E2191&gt;=7),0,D2191/(7-E2191)*E2191*INDEX(Products!$E$2:$E$49,MATCH(C2191,Products!$A$2:$A$49,0)))</f>
        <v>0</v>
      </c>
    </row>
    <row r="2192" customFormat="false" ht="15" hidden="false" customHeight="false" outlineLevel="0" collapsed="false">
      <c r="A2192" s="36" t="n">
        <v>46223</v>
      </c>
      <c r="B2192" s="24" t="s">
        <v>62</v>
      </c>
      <c r="C2192" s="24" t="s">
        <v>193</v>
      </c>
      <c r="D2192" s="33" t="n">
        <v>73</v>
      </c>
      <c r="E2192" s="24" t="n">
        <v>0</v>
      </c>
      <c r="F2192" s="37" t="n">
        <f aca="false">DATE(YEAR(A2192),MONTH(A2192),1)</f>
        <v>46204</v>
      </c>
      <c r="G2192" s="24" t="str">
        <f aca="false">INDEX(Products!$C$2:$C$49,MATCH(C2192,Products!$A$2:$A$49,0))</f>
        <v>Personal Care</v>
      </c>
      <c r="H2192" s="33" t="n">
        <f aca="false">D2192*INDEX(Products!$E$2:$E$49,MATCH(C2192,Products!$A$2:$A$49,0))</f>
        <v>16060</v>
      </c>
      <c r="I2192" s="33" t="n">
        <f aca="false">D2192*INDEX(Products!$D$2:$D$49,MATCH(C2192,Products!$A$2:$A$49,0))*(1+INDEX(Assumptions!$B$16:$B$20,MATCH(B2192,Assumptions!$A$16:$A$20,0)))</f>
        <v>11626.272</v>
      </c>
      <c r="J2192" s="33" t="n">
        <f aca="false">H2192-I2192</f>
        <v>4433.728</v>
      </c>
      <c r="K2192" s="33" t="n">
        <f aca="false">IF(OR(E2192=0,E2192&gt;=7),0,D2192/(7-E2192)*E2192*INDEX(Products!$E$2:$E$49,MATCH(C2192,Products!$A$2:$A$49,0)))</f>
        <v>0</v>
      </c>
    </row>
    <row r="2193" customFormat="false" ht="15" hidden="false" customHeight="false" outlineLevel="0" collapsed="false">
      <c r="A2193" s="36" t="n">
        <v>46230</v>
      </c>
      <c r="B2193" s="24" t="s">
        <v>62</v>
      </c>
      <c r="C2193" s="24" t="s">
        <v>193</v>
      </c>
      <c r="D2193" s="33" t="n">
        <v>80</v>
      </c>
      <c r="E2193" s="24" t="n">
        <v>0</v>
      </c>
      <c r="F2193" s="37" t="n">
        <f aca="false">DATE(YEAR(A2193),MONTH(A2193),1)</f>
        <v>46204</v>
      </c>
      <c r="G2193" s="24" t="str">
        <f aca="false">INDEX(Products!$C$2:$C$49,MATCH(C2193,Products!$A$2:$A$49,0))</f>
        <v>Personal Care</v>
      </c>
      <c r="H2193" s="33" t="n">
        <f aca="false">D2193*INDEX(Products!$E$2:$E$49,MATCH(C2193,Products!$A$2:$A$49,0))</f>
        <v>17600</v>
      </c>
      <c r="I2193" s="33" t="n">
        <f aca="false">D2193*INDEX(Products!$D$2:$D$49,MATCH(C2193,Products!$A$2:$A$49,0))*(1+INDEX(Assumptions!$B$16:$B$20,MATCH(B2193,Assumptions!$A$16:$A$20,0)))</f>
        <v>12741.12</v>
      </c>
      <c r="J2193" s="33" t="n">
        <f aca="false">H2193-I2193</f>
        <v>4858.88</v>
      </c>
      <c r="K2193" s="33" t="n">
        <f aca="false">IF(OR(E2193=0,E2193&gt;=7),0,D2193/(7-E2193)*E2193*INDEX(Products!$E$2:$E$49,MATCH(C2193,Products!$A$2:$A$49,0)))</f>
        <v>0</v>
      </c>
    </row>
    <row r="2194" customFormat="false" ht="15" hidden="false" customHeight="false" outlineLevel="0" collapsed="false">
      <c r="A2194" s="36" t="n">
        <v>46237</v>
      </c>
      <c r="B2194" s="24" t="s">
        <v>62</v>
      </c>
      <c r="C2194" s="24" t="s">
        <v>193</v>
      </c>
      <c r="D2194" s="33" t="n">
        <v>69</v>
      </c>
      <c r="E2194" s="24" t="n">
        <v>0</v>
      </c>
      <c r="F2194" s="37" t="n">
        <f aca="false">DATE(YEAR(A2194),MONTH(A2194),1)</f>
        <v>46235</v>
      </c>
      <c r="G2194" s="24" t="str">
        <f aca="false">INDEX(Products!$C$2:$C$49,MATCH(C2194,Products!$A$2:$A$49,0))</f>
        <v>Personal Care</v>
      </c>
      <c r="H2194" s="33" t="n">
        <f aca="false">D2194*INDEX(Products!$E$2:$E$49,MATCH(C2194,Products!$A$2:$A$49,0))</f>
        <v>15180</v>
      </c>
      <c r="I2194" s="33" t="n">
        <f aca="false">D2194*INDEX(Products!$D$2:$D$49,MATCH(C2194,Products!$A$2:$A$49,0))*(1+INDEX(Assumptions!$B$16:$B$20,MATCH(B2194,Assumptions!$A$16:$A$20,0)))</f>
        <v>10989.216</v>
      </c>
      <c r="J2194" s="33" t="n">
        <f aca="false">H2194-I2194</f>
        <v>4190.784</v>
      </c>
      <c r="K2194" s="33" t="n">
        <f aca="false">IF(OR(E2194=0,E2194&gt;=7),0,D2194/(7-E2194)*E2194*INDEX(Products!$E$2:$E$49,MATCH(C2194,Products!$A$2:$A$49,0)))</f>
        <v>0</v>
      </c>
    </row>
    <row r="2195" customFormat="false" ht="15" hidden="false" customHeight="false" outlineLevel="0" collapsed="false">
      <c r="A2195" s="36" t="n">
        <v>46244</v>
      </c>
      <c r="B2195" s="24" t="s">
        <v>62</v>
      </c>
      <c r="C2195" s="24" t="s">
        <v>193</v>
      </c>
      <c r="D2195" s="33" t="n">
        <v>72</v>
      </c>
      <c r="E2195" s="24" t="n">
        <v>0</v>
      </c>
      <c r="F2195" s="37" t="n">
        <f aca="false">DATE(YEAR(A2195),MONTH(A2195),1)</f>
        <v>46235</v>
      </c>
      <c r="G2195" s="24" t="str">
        <f aca="false">INDEX(Products!$C$2:$C$49,MATCH(C2195,Products!$A$2:$A$49,0))</f>
        <v>Personal Care</v>
      </c>
      <c r="H2195" s="33" t="n">
        <f aca="false">D2195*INDEX(Products!$E$2:$E$49,MATCH(C2195,Products!$A$2:$A$49,0))</f>
        <v>15840</v>
      </c>
      <c r="I2195" s="33" t="n">
        <f aca="false">D2195*INDEX(Products!$D$2:$D$49,MATCH(C2195,Products!$A$2:$A$49,0))*(1+INDEX(Assumptions!$B$16:$B$20,MATCH(B2195,Assumptions!$A$16:$A$20,0)))</f>
        <v>11467.008</v>
      </c>
      <c r="J2195" s="33" t="n">
        <f aca="false">H2195-I2195</f>
        <v>4372.992</v>
      </c>
      <c r="K2195" s="33" t="n">
        <f aca="false">IF(OR(E2195=0,E2195&gt;=7),0,D2195/(7-E2195)*E2195*INDEX(Products!$E$2:$E$49,MATCH(C2195,Products!$A$2:$A$49,0)))</f>
        <v>0</v>
      </c>
    </row>
    <row r="2196" customFormat="false" ht="15" hidden="false" customHeight="false" outlineLevel="0" collapsed="false">
      <c r="A2196" s="36" t="n">
        <v>46251</v>
      </c>
      <c r="B2196" s="24" t="s">
        <v>62</v>
      </c>
      <c r="C2196" s="24" t="s">
        <v>193</v>
      </c>
      <c r="D2196" s="33" t="n">
        <v>78</v>
      </c>
      <c r="E2196" s="24" t="n">
        <v>0</v>
      </c>
      <c r="F2196" s="37" t="n">
        <f aca="false">DATE(YEAR(A2196),MONTH(A2196),1)</f>
        <v>46235</v>
      </c>
      <c r="G2196" s="24" t="str">
        <f aca="false">INDEX(Products!$C$2:$C$49,MATCH(C2196,Products!$A$2:$A$49,0))</f>
        <v>Personal Care</v>
      </c>
      <c r="H2196" s="33" t="n">
        <f aca="false">D2196*INDEX(Products!$E$2:$E$49,MATCH(C2196,Products!$A$2:$A$49,0))</f>
        <v>17160</v>
      </c>
      <c r="I2196" s="33" t="n">
        <f aca="false">D2196*INDEX(Products!$D$2:$D$49,MATCH(C2196,Products!$A$2:$A$49,0))*(1+INDEX(Assumptions!$B$16:$B$20,MATCH(B2196,Assumptions!$A$16:$A$20,0)))</f>
        <v>12422.592</v>
      </c>
      <c r="J2196" s="33" t="n">
        <f aca="false">H2196-I2196</f>
        <v>4737.408</v>
      </c>
      <c r="K2196" s="33" t="n">
        <f aca="false">IF(OR(E2196=0,E2196&gt;=7),0,D2196/(7-E2196)*E2196*INDEX(Products!$E$2:$E$49,MATCH(C2196,Products!$A$2:$A$49,0)))</f>
        <v>0</v>
      </c>
    </row>
    <row r="2197" customFormat="false" ht="15" hidden="false" customHeight="false" outlineLevel="0" collapsed="false">
      <c r="A2197" s="36" t="n">
        <v>46258</v>
      </c>
      <c r="B2197" s="24" t="s">
        <v>62</v>
      </c>
      <c r="C2197" s="24" t="s">
        <v>193</v>
      </c>
      <c r="D2197" s="33" t="n">
        <v>67</v>
      </c>
      <c r="E2197" s="24" t="n">
        <v>0</v>
      </c>
      <c r="F2197" s="37" t="n">
        <f aca="false">DATE(YEAR(A2197),MONTH(A2197),1)</f>
        <v>46235</v>
      </c>
      <c r="G2197" s="24" t="str">
        <f aca="false">INDEX(Products!$C$2:$C$49,MATCH(C2197,Products!$A$2:$A$49,0))</f>
        <v>Personal Care</v>
      </c>
      <c r="H2197" s="33" t="n">
        <f aca="false">D2197*INDEX(Products!$E$2:$E$49,MATCH(C2197,Products!$A$2:$A$49,0))</f>
        <v>14740</v>
      </c>
      <c r="I2197" s="33" t="n">
        <f aca="false">D2197*INDEX(Products!$D$2:$D$49,MATCH(C2197,Products!$A$2:$A$49,0))*(1+INDEX(Assumptions!$B$16:$B$20,MATCH(B2197,Assumptions!$A$16:$A$20,0)))</f>
        <v>10670.688</v>
      </c>
      <c r="J2197" s="33" t="n">
        <f aca="false">H2197-I2197</f>
        <v>4069.312</v>
      </c>
      <c r="K2197" s="33" t="n">
        <f aca="false">IF(OR(E2197=0,E2197&gt;=7),0,D2197/(7-E2197)*E2197*INDEX(Products!$E$2:$E$49,MATCH(C2197,Products!$A$2:$A$49,0)))</f>
        <v>0</v>
      </c>
    </row>
    <row r="2198" customFormat="false" ht="15" hidden="false" customHeight="false" outlineLevel="0" collapsed="false">
      <c r="A2198" s="36" t="n">
        <v>46265</v>
      </c>
      <c r="B2198" s="24" t="s">
        <v>62</v>
      </c>
      <c r="C2198" s="24" t="s">
        <v>193</v>
      </c>
      <c r="D2198" s="33" t="n">
        <v>78</v>
      </c>
      <c r="E2198" s="24" t="n">
        <v>0</v>
      </c>
      <c r="F2198" s="37" t="n">
        <f aca="false">DATE(YEAR(A2198),MONTH(A2198),1)</f>
        <v>46235</v>
      </c>
      <c r="G2198" s="24" t="str">
        <f aca="false">INDEX(Products!$C$2:$C$49,MATCH(C2198,Products!$A$2:$A$49,0))</f>
        <v>Personal Care</v>
      </c>
      <c r="H2198" s="33" t="n">
        <f aca="false">D2198*INDEX(Products!$E$2:$E$49,MATCH(C2198,Products!$A$2:$A$49,0))</f>
        <v>17160</v>
      </c>
      <c r="I2198" s="33" t="n">
        <f aca="false">D2198*INDEX(Products!$D$2:$D$49,MATCH(C2198,Products!$A$2:$A$49,0))*(1+INDEX(Assumptions!$B$16:$B$20,MATCH(B2198,Assumptions!$A$16:$A$20,0)))</f>
        <v>12422.592</v>
      </c>
      <c r="J2198" s="33" t="n">
        <f aca="false">H2198-I2198</f>
        <v>4737.408</v>
      </c>
      <c r="K2198" s="33" t="n">
        <f aca="false">IF(OR(E2198=0,E2198&gt;=7),0,D2198/(7-E2198)*E2198*INDEX(Products!$E$2:$E$49,MATCH(C2198,Products!$A$2:$A$49,0)))</f>
        <v>0</v>
      </c>
    </row>
    <row r="2199" customFormat="false" ht="15" hidden="false" customHeight="false" outlineLevel="0" collapsed="false">
      <c r="A2199" s="36" t="n">
        <v>46272</v>
      </c>
      <c r="B2199" s="24" t="s">
        <v>62</v>
      </c>
      <c r="C2199" s="24" t="s">
        <v>193</v>
      </c>
      <c r="D2199" s="33" t="n">
        <v>142</v>
      </c>
      <c r="E2199" s="24" t="n">
        <v>0</v>
      </c>
      <c r="F2199" s="37" t="n">
        <f aca="false">DATE(YEAR(A2199),MONTH(A2199),1)</f>
        <v>46266</v>
      </c>
      <c r="G2199" s="24" t="str">
        <f aca="false">INDEX(Products!$C$2:$C$49,MATCH(C2199,Products!$A$2:$A$49,0))</f>
        <v>Personal Care</v>
      </c>
      <c r="H2199" s="33" t="n">
        <f aca="false">D2199*INDEX(Products!$E$2:$E$49,MATCH(C2199,Products!$A$2:$A$49,0))</f>
        <v>31240</v>
      </c>
      <c r="I2199" s="33" t="n">
        <f aca="false">D2199*INDEX(Products!$D$2:$D$49,MATCH(C2199,Products!$A$2:$A$49,0))*(1+INDEX(Assumptions!$B$16:$B$20,MATCH(B2199,Assumptions!$A$16:$A$20,0)))</f>
        <v>22615.488</v>
      </c>
      <c r="J2199" s="33" t="n">
        <f aca="false">H2199-I2199</f>
        <v>8624.512</v>
      </c>
      <c r="K2199" s="33" t="n">
        <f aca="false">IF(OR(E2199=0,E2199&gt;=7),0,D2199/(7-E2199)*E2199*INDEX(Products!$E$2:$E$49,MATCH(C2199,Products!$A$2:$A$49,0)))</f>
        <v>0</v>
      </c>
    </row>
    <row r="2200" customFormat="false" ht="15" hidden="false" customHeight="false" outlineLevel="0" collapsed="false">
      <c r="A2200" s="36" t="n">
        <v>46279</v>
      </c>
      <c r="B2200" s="24" t="s">
        <v>62</v>
      </c>
      <c r="C2200" s="24" t="s">
        <v>193</v>
      </c>
      <c r="D2200" s="33" t="n">
        <v>69</v>
      </c>
      <c r="E2200" s="24" t="n">
        <v>0</v>
      </c>
      <c r="F2200" s="37" t="n">
        <f aca="false">DATE(YEAR(A2200),MONTH(A2200),1)</f>
        <v>46266</v>
      </c>
      <c r="G2200" s="24" t="str">
        <f aca="false">INDEX(Products!$C$2:$C$49,MATCH(C2200,Products!$A$2:$A$49,0))</f>
        <v>Personal Care</v>
      </c>
      <c r="H2200" s="33" t="n">
        <f aca="false">D2200*INDEX(Products!$E$2:$E$49,MATCH(C2200,Products!$A$2:$A$49,0))</f>
        <v>15180</v>
      </c>
      <c r="I2200" s="33" t="n">
        <f aca="false">D2200*INDEX(Products!$D$2:$D$49,MATCH(C2200,Products!$A$2:$A$49,0))*(1+INDEX(Assumptions!$B$16:$B$20,MATCH(B2200,Assumptions!$A$16:$A$20,0)))</f>
        <v>10989.216</v>
      </c>
      <c r="J2200" s="33" t="n">
        <f aca="false">H2200-I2200</f>
        <v>4190.784</v>
      </c>
      <c r="K2200" s="33" t="n">
        <f aca="false">IF(OR(E2200=0,E2200&gt;=7),0,D2200/(7-E2200)*E2200*INDEX(Products!$E$2:$E$49,MATCH(C2200,Products!$A$2:$A$49,0)))</f>
        <v>0</v>
      </c>
    </row>
    <row r="2201" customFormat="false" ht="15" hidden="false" customHeight="false" outlineLevel="0" collapsed="false">
      <c r="A2201" s="36" t="n">
        <v>46286</v>
      </c>
      <c r="B2201" s="24" t="s">
        <v>62</v>
      </c>
      <c r="C2201" s="24" t="s">
        <v>193</v>
      </c>
      <c r="D2201" s="33" t="n">
        <v>81</v>
      </c>
      <c r="E2201" s="24" t="n">
        <v>0</v>
      </c>
      <c r="F2201" s="37" t="n">
        <f aca="false">DATE(YEAR(A2201),MONTH(A2201),1)</f>
        <v>46266</v>
      </c>
      <c r="G2201" s="24" t="str">
        <f aca="false">INDEX(Products!$C$2:$C$49,MATCH(C2201,Products!$A$2:$A$49,0))</f>
        <v>Personal Care</v>
      </c>
      <c r="H2201" s="33" t="n">
        <f aca="false">D2201*INDEX(Products!$E$2:$E$49,MATCH(C2201,Products!$A$2:$A$49,0))</f>
        <v>17820</v>
      </c>
      <c r="I2201" s="33" t="n">
        <f aca="false">D2201*INDEX(Products!$D$2:$D$49,MATCH(C2201,Products!$A$2:$A$49,0))*(1+INDEX(Assumptions!$B$16:$B$20,MATCH(B2201,Assumptions!$A$16:$A$20,0)))</f>
        <v>12900.384</v>
      </c>
      <c r="J2201" s="33" t="n">
        <f aca="false">H2201-I2201</f>
        <v>4919.616</v>
      </c>
      <c r="K2201" s="33" t="n">
        <f aca="false">IF(OR(E2201=0,E2201&gt;=7),0,D2201/(7-E2201)*E2201*INDEX(Products!$E$2:$E$49,MATCH(C2201,Products!$A$2:$A$49,0)))</f>
        <v>0</v>
      </c>
    </row>
    <row r="2202" customFormat="false" ht="15" hidden="false" customHeight="false" outlineLevel="0" collapsed="false">
      <c r="A2202" s="36" t="n">
        <v>46118</v>
      </c>
      <c r="B2202" s="24" t="s">
        <v>62</v>
      </c>
      <c r="C2202" s="24" t="s">
        <v>195</v>
      </c>
      <c r="D2202" s="33" t="n">
        <v>139</v>
      </c>
      <c r="E2202" s="24" t="n">
        <v>4</v>
      </c>
      <c r="F2202" s="37" t="n">
        <f aca="false">DATE(YEAR(A2202),MONTH(A2202),1)</f>
        <v>46113</v>
      </c>
      <c r="G2202" s="24" t="str">
        <f aca="false">INDEX(Products!$C$2:$C$49,MATCH(C2202,Products!$A$2:$A$49,0))</f>
        <v>Snacks &amp; Confectionery</v>
      </c>
      <c r="H2202" s="33" t="n">
        <f aca="false">D2202*INDEX(Products!$E$2:$E$49,MATCH(C2202,Products!$A$2:$A$49,0))</f>
        <v>15290</v>
      </c>
      <c r="I2202" s="33" t="n">
        <f aca="false">D2202*INDEX(Products!$D$2:$D$49,MATCH(C2202,Products!$A$2:$A$49,0))*(1+INDEX(Assumptions!$B$16:$B$20,MATCH(B2202,Assumptions!$A$16:$A$20,0)))</f>
        <v>10368.288</v>
      </c>
      <c r="J2202" s="33" t="n">
        <f aca="false">H2202-I2202</f>
        <v>4921.712</v>
      </c>
      <c r="K2202" s="33" t="n">
        <f aca="false">IF(OR(E2202=0,E2202&gt;=7),0,D2202/(7-E2202)*E2202*INDEX(Products!$E$2:$E$49,MATCH(C2202,Products!$A$2:$A$49,0)))</f>
        <v>20386.6666666667</v>
      </c>
    </row>
    <row r="2203" customFormat="false" ht="15" hidden="false" customHeight="false" outlineLevel="0" collapsed="false">
      <c r="A2203" s="36" t="n">
        <v>46125</v>
      </c>
      <c r="B2203" s="24" t="s">
        <v>62</v>
      </c>
      <c r="C2203" s="24" t="s">
        <v>195</v>
      </c>
      <c r="D2203" s="33" t="n">
        <v>339</v>
      </c>
      <c r="E2203" s="24" t="n">
        <v>0</v>
      </c>
      <c r="F2203" s="37" t="n">
        <f aca="false">DATE(YEAR(A2203),MONTH(A2203),1)</f>
        <v>46113</v>
      </c>
      <c r="G2203" s="24" t="str">
        <f aca="false">INDEX(Products!$C$2:$C$49,MATCH(C2203,Products!$A$2:$A$49,0))</f>
        <v>Snacks &amp; Confectionery</v>
      </c>
      <c r="H2203" s="33" t="n">
        <f aca="false">D2203*INDEX(Products!$E$2:$E$49,MATCH(C2203,Products!$A$2:$A$49,0))</f>
        <v>37290</v>
      </c>
      <c r="I2203" s="33" t="n">
        <f aca="false">D2203*INDEX(Products!$D$2:$D$49,MATCH(C2203,Products!$A$2:$A$49,0))*(1+INDEX(Assumptions!$B$16:$B$20,MATCH(B2203,Assumptions!$A$16:$A$20,0)))</f>
        <v>25286.688</v>
      </c>
      <c r="J2203" s="33" t="n">
        <f aca="false">H2203-I2203</f>
        <v>12003.312</v>
      </c>
      <c r="K2203" s="33" t="n">
        <f aca="false">IF(OR(E2203=0,E2203&gt;=7),0,D2203/(7-E2203)*E2203*INDEX(Products!$E$2:$E$49,MATCH(C2203,Products!$A$2:$A$49,0)))</f>
        <v>0</v>
      </c>
    </row>
    <row r="2204" customFormat="false" ht="15" hidden="false" customHeight="false" outlineLevel="0" collapsed="false">
      <c r="A2204" s="36" t="n">
        <v>46132</v>
      </c>
      <c r="B2204" s="24" t="s">
        <v>62</v>
      </c>
      <c r="C2204" s="24" t="s">
        <v>195</v>
      </c>
      <c r="D2204" s="33" t="n">
        <v>370</v>
      </c>
      <c r="E2204" s="24" t="n">
        <v>0</v>
      </c>
      <c r="F2204" s="37" t="n">
        <f aca="false">DATE(YEAR(A2204),MONTH(A2204),1)</f>
        <v>46113</v>
      </c>
      <c r="G2204" s="24" t="str">
        <f aca="false">INDEX(Products!$C$2:$C$49,MATCH(C2204,Products!$A$2:$A$49,0))</f>
        <v>Snacks &amp; Confectionery</v>
      </c>
      <c r="H2204" s="33" t="n">
        <f aca="false">D2204*INDEX(Products!$E$2:$E$49,MATCH(C2204,Products!$A$2:$A$49,0))</f>
        <v>40700</v>
      </c>
      <c r="I2204" s="33" t="n">
        <f aca="false">D2204*INDEX(Products!$D$2:$D$49,MATCH(C2204,Products!$A$2:$A$49,0))*(1+INDEX(Assumptions!$B$16:$B$20,MATCH(B2204,Assumptions!$A$16:$A$20,0)))</f>
        <v>27599.04</v>
      </c>
      <c r="J2204" s="33" t="n">
        <f aca="false">H2204-I2204</f>
        <v>13100.96</v>
      </c>
      <c r="K2204" s="33" t="n">
        <f aca="false">IF(OR(E2204=0,E2204&gt;=7),0,D2204/(7-E2204)*E2204*INDEX(Products!$E$2:$E$49,MATCH(C2204,Products!$A$2:$A$49,0)))</f>
        <v>0</v>
      </c>
    </row>
    <row r="2205" customFormat="false" ht="15" hidden="false" customHeight="false" outlineLevel="0" collapsed="false">
      <c r="A2205" s="36" t="n">
        <v>46139</v>
      </c>
      <c r="B2205" s="24" t="s">
        <v>62</v>
      </c>
      <c r="C2205" s="24" t="s">
        <v>195</v>
      </c>
      <c r="D2205" s="33" t="n">
        <v>354</v>
      </c>
      <c r="E2205" s="24" t="n">
        <v>0</v>
      </c>
      <c r="F2205" s="37" t="n">
        <f aca="false">DATE(YEAR(A2205),MONTH(A2205),1)</f>
        <v>46113</v>
      </c>
      <c r="G2205" s="24" t="str">
        <f aca="false">INDEX(Products!$C$2:$C$49,MATCH(C2205,Products!$A$2:$A$49,0))</f>
        <v>Snacks &amp; Confectionery</v>
      </c>
      <c r="H2205" s="33" t="n">
        <f aca="false">D2205*INDEX(Products!$E$2:$E$49,MATCH(C2205,Products!$A$2:$A$49,0))</f>
        <v>38940</v>
      </c>
      <c r="I2205" s="33" t="n">
        <f aca="false">D2205*INDEX(Products!$D$2:$D$49,MATCH(C2205,Products!$A$2:$A$49,0))*(1+INDEX(Assumptions!$B$16:$B$20,MATCH(B2205,Assumptions!$A$16:$A$20,0)))</f>
        <v>26405.568</v>
      </c>
      <c r="J2205" s="33" t="n">
        <f aca="false">H2205-I2205</f>
        <v>12534.432</v>
      </c>
      <c r="K2205" s="33" t="n">
        <f aca="false">IF(OR(E2205=0,E2205&gt;=7),0,D2205/(7-E2205)*E2205*INDEX(Products!$E$2:$E$49,MATCH(C2205,Products!$A$2:$A$49,0)))</f>
        <v>0</v>
      </c>
    </row>
    <row r="2206" customFormat="false" ht="15" hidden="false" customHeight="false" outlineLevel="0" collapsed="false">
      <c r="A2206" s="36" t="n">
        <v>46146</v>
      </c>
      <c r="B2206" s="24" t="s">
        <v>62</v>
      </c>
      <c r="C2206" s="24" t="s">
        <v>195</v>
      </c>
      <c r="D2206" s="33" t="n">
        <v>373</v>
      </c>
      <c r="E2206" s="24" t="n">
        <v>0</v>
      </c>
      <c r="F2206" s="37" t="n">
        <f aca="false">DATE(YEAR(A2206),MONTH(A2206),1)</f>
        <v>46143</v>
      </c>
      <c r="G2206" s="24" t="str">
        <f aca="false">INDEX(Products!$C$2:$C$49,MATCH(C2206,Products!$A$2:$A$49,0))</f>
        <v>Snacks &amp; Confectionery</v>
      </c>
      <c r="H2206" s="33" t="n">
        <f aca="false">D2206*INDEX(Products!$E$2:$E$49,MATCH(C2206,Products!$A$2:$A$49,0))</f>
        <v>41030</v>
      </c>
      <c r="I2206" s="33" t="n">
        <f aca="false">D2206*INDEX(Products!$D$2:$D$49,MATCH(C2206,Products!$A$2:$A$49,0))*(1+INDEX(Assumptions!$B$16:$B$20,MATCH(B2206,Assumptions!$A$16:$A$20,0)))</f>
        <v>27822.816</v>
      </c>
      <c r="J2206" s="33" t="n">
        <f aca="false">H2206-I2206</f>
        <v>13207.184</v>
      </c>
      <c r="K2206" s="33" t="n">
        <f aca="false">IF(OR(E2206=0,E2206&gt;=7),0,D2206/(7-E2206)*E2206*INDEX(Products!$E$2:$E$49,MATCH(C2206,Products!$A$2:$A$49,0)))</f>
        <v>0</v>
      </c>
    </row>
    <row r="2207" customFormat="false" ht="15" hidden="false" customHeight="false" outlineLevel="0" collapsed="false">
      <c r="A2207" s="36" t="n">
        <v>46153</v>
      </c>
      <c r="B2207" s="24" t="s">
        <v>62</v>
      </c>
      <c r="C2207" s="24" t="s">
        <v>195</v>
      </c>
      <c r="D2207" s="33" t="n">
        <v>402</v>
      </c>
      <c r="E2207" s="24" t="n">
        <v>0</v>
      </c>
      <c r="F2207" s="37" t="n">
        <f aca="false">DATE(YEAR(A2207),MONTH(A2207),1)</f>
        <v>46143</v>
      </c>
      <c r="G2207" s="24" t="str">
        <f aca="false">INDEX(Products!$C$2:$C$49,MATCH(C2207,Products!$A$2:$A$49,0))</f>
        <v>Snacks &amp; Confectionery</v>
      </c>
      <c r="H2207" s="33" t="n">
        <f aca="false">D2207*INDEX(Products!$E$2:$E$49,MATCH(C2207,Products!$A$2:$A$49,0))</f>
        <v>44220</v>
      </c>
      <c r="I2207" s="33" t="n">
        <f aca="false">D2207*INDEX(Products!$D$2:$D$49,MATCH(C2207,Products!$A$2:$A$49,0))*(1+INDEX(Assumptions!$B$16:$B$20,MATCH(B2207,Assumptions!$A$16:$A$20,0)))</f>
        <v>29985.984</v>
      </c>
      <c r="J2207" s="33" t="n">
        <f aca="false">H2207-I2207</f>
        <v>14234.016</v>
      </c>
      <c r="K2207" s="33" t="n">
        <f aca="false">IF(OR(E2207=0,E2207&gt;=7),0,D2207/(7-E2207)*E2207*INDEX(Products!$E$2:$E$49,MATCH(C2207,Products!$A$2:$A$49,0)))</f>
        <v>0</v>
      </c>
    </row>
    <row r="2208" customFormat="false" ht="15" hidden="false" customHeight="false" outlineLevel="0" collapsed="false">
      <c r="A2208" s="36" t="n">
        <v>46160</v>
      </c>
      <c r="B2208" s="24" t="s">
        <v>62</v>
      </c>
      <c r="C2208" s="24" t="s">
        <v>195</v>
      </c>
      <c r="D2208" s="33" t="n">
        <v>332</v>
      </c>
      <c r="E2208" s="24" t="n">
        <v>0</v>
      </c>
      <c r="F2208" s="37" t="n">
        <f aca="false">DATE(YEAR(A2208),MONTH(A2208),1)</f>
        <v>46143</v>
      </c>
      <c r="G2208" s="24" t="str">
        <f aca="false">INDEX(Products!$C$2:$C$49,MATCH(C2208,Products!$A$2:$A$49,0))</f>
        <v>Snacks &amp; Confectionery</v>
      </c>
      <c r="H2208" s="33" t="n">
        <f aca="false">D2208*INDEX(Products!$E$2:$E$49,MATCH(C2208,Products!$A$2:$A$49,0))</f>
        <v>36520</v>
      </c>
      <c r="I2208" s="33" t="n">
        <f aca="false">D2208*INDEX(Products!$D$2:$D$49,MATCH(C2208,Products!$A$2:$A$49,0))*(1+INDEX(Assumptions!$B$16:$B$20,MATCH(B2208,Assumptions!$A$16:$A$20,0)))</f>
        <v>24764.544</v>
      </c>
      <c r="J2208" s="33" t="n">
        <f aca="false">H2208-I2208</f>
        <v>11755.456</v>
      </c>
      <c r="K2208" s="33" t="n">
        <f aca="false">IF(OR(E2208=0,E2208&gt;=7),0,D2208/(7-E2208)*E2208*INDEX(Products!$E$2:$E$49,MATCH(C2208,Products!$A$2:$A$49,0)))</f>
        <v>0</v>
      </c>
    </row>
    <row r="2209" customFormat="false" ht="15" hidden="false" customHeight="false" outlineLevel="0" collapsed="false">
      <c r="A2209" s="36" t="n">
        <v>46167</v>
      </c>
      <c r="B2209" s="24" t="s">
        <v>62</v>
      </c>
      <c r="C2209" s="24" t="s">
        <v>195</v>
      </c>
      <c r="D2209" s="33" t="n">
        <v>429</v>
      </c>
      <c r="E2209" s="24" t="n">
        <v>0</v>
      </c>
      <c r="F2209" s="37" t="n">
        <f aca="false">DATE(YEAR(A2209),MONTH(A2209),1)</f>
        <v>46143</v>
      </c>
      <c r="G2209" s="24" t="str">
        <f aca="false">INDEX(Products!$C$2:$C$49,MATCH(C2209,Products!$A$2:$A$49,0))</f>
        <v>Snacks &amp; Confectionery</v>
      </c>
      <c r="H2209" s="33" t="n">
        <f aca="false">D2209*INDEX(Products!$E$2:$E$49,MATCH(C2209,Products!$A$2:$A$49,0))</f>
        <v>47190</v>
      </c>
      <c r="I2209" s="33" t="n">
        <f aca="false">D2209*INDEX(Products!$D$2:$D$49,MATCH(C2209,Products!$A$2:$A$49,0))*(1+INDEX(Assumptions!$B$16:$B$20,MATCH(B2209,Assumptions!$A$16:$A$20,0)))</f>
        <v>31999.968</v>
      </c>
      <c r="J2209" s="33" t="n">
        <f aca="false">H2209-I2209</f>
        <v>15190.032</v>
      </c>
      <c r="K2209" s="33" t="n">
        <f aca="false">IF(OR(E2209=0,E2209&gt;=7),0,D2209/(7-E2209)*E2209*INDEX(Products!$E$2:$E$49,MATCH(C2209,Products!$A$2:$A$49,0)))</f>
        <v>0</v>
      </c>
    </row>
    <row r="2210" customFormat="false" ht="15" hidden="false" customHeight="false" outlineLevel="0" collapsed="false">
      <c r="A2210" s="36" t="n">
        <v>46174</v>
      </c>
      <c r="B2210" s="24" t="s">
        <v>62</v>
      </c>
      <c r="C2210" s="24" t="s">
        <v>195</v>
      </c>
      <c r="D2210" s="33" t="n">
        <v>332</v>
      </c>
      <c r="E2210" s="24" t="n">
        <v>0</v>
      </c>
      <c r="F2210" s="37" t="n">
        <f aca="false">DATE(YEAR(A2210),MONTH(A2210),1)</f>
        <v>46174</v>
      </c>
      <c r="G2210" s="24" t="str">
        <f aca="false">INDEX(Products!$C$2:$C$49,MATCH(C2210,Products!$A$2:$A$49,0))</f>
        <v>Snacks &amp; Confectionery</v>
      </c>
      <c r="H2210" s="33" t="n">
        <f aca="false">D2210*INDEX(Products!$E$2:$E$49,MATCH(C2210,Products!$A$2:$A$49,0))</f>
        <v>36520</v>
      </c>
      <c r="I2210" s="33" t="n">
        <f aca="false">D2210*INDEX(Products!$D$2:$D$49,MATCH(C2210,Products!$A$2:$A$49,0))*(1+INDEX(Assumptions!$B$16:$B$20,MATCH(B2210,Assumptions!$A$16:$A$20,0)))</f>
        <v>24764.544</v>
      </c>
      <c r="J2210" s="33" t="n">
        <f aca="false">H2210-I2210</f>
        <v>11755.456</v>
      </c>
      <c r="K2210" s="33" t="n">
        <f aca="false">IF(OR(E2210=0,E2210&gt;=7),0,D2210/(7-E2210)*E2210*INDEX(Products!$E$2:$E$49,MATCH(C2210,Products!$A$2:$A$49,0)))</f>
        <v>0</v>
      </c>
    </row>
    <row r="2211" customFormat="false" ht="15" hidden="false" customHeight="false" outlineLevel="0" collapsed="false">
      <c r="A2211" s="36" t="n">
        <v>46181</v>
      </c>
      <c r="B2211" s="24" t="s">
        <v>62</v>
      </c>
      <c r="C2211" s="24" t="s">
        <v>195</v>
      </c>
      <c r="D2211" s="33" t="n">
        <v>362</v>
      </c>
      <c r="E2211" s="24" t="n">
        <v>0</v>
      </c>
      <c r="F2211" s="37" t="n">
        <f aca="false">DATE(YEAR(A2211),MONTH(A2211),1)</f>
        <v>46174</v>
      </c>
      <c r="G2211" s="24" t="str">
        <f aca="false">INDEX(Products!$C$2:$C$49,MATCH(C2211,Products!$A$2:$A$49,0))</f>
        <v>Snacks &amp; Confectionery</v>
      </c>
      <c r="H2211" s="33" t="n">
        <f aca="false">D2211*INDEX(Products!$E$2:$E$49,MATCH(C2211,Products!$A$2:$A$49,0))</f>
        <v>39820</v>
      </c>
      <c r="I2211" s="33" t="n">
        <f aca="false">D2211*INDEX(Products!$D$2:$D$49,MATCH(C2211,Products!$A$2:$A$49,0))*(1+INDEX(Assumptions!$B$16:$B$20,MATCH(B2211,Assumptions!$A$16:$A$20,0)))</f>
        <v>27002.304</v>
      </c>
      <c r="J2211" s="33" t="n">
        <f aca="false">H2211-I2211</f>
        <v>12817.696</v>
      </c>
      <c r="K2211" s="33" t="n">
        <f aca="false">IF(OR(E2211=0,E2211&gt;=7),0,D2211/(7-E2211)*E2211*INDEX(Products!$E$2:$E$49,MATCH(C2211,Products!$A$2:$A$49,0)))</f>
        <v>0</v>
      </c>
    </row>
    <row r="2212" customFormat="false" ht="15" hidden="false" customHeight="false" outlineLevel="0" collapsed="false">
      <c r="A2212" s="36" t="n">
        <v>46188</v>
      </c>
      <c r="B2212" s="24" t="s">
        <v>62</v>
      </c>
      <c r="C2212" s="24" t="s">
        <v>195</v>
      </c>
      <c r="D2212" s="33" t="n">
        <v>300</v>
      </c>
      <c r="E2212" s="24" t="n">
        <v>0</v>
      </c>
      <c r="F2212" s="37" t="n">
        <f aca="false">DATE(YEAR(A2212),MONTH(A2212),1)</f>
        <v>46174</v>
      </c>
      <c r="G2212" s="24" t="str">
        <f aca="false">INDEX(Products!$C$2:$C$49,MATCH(C2212,Products!$A$2:$A$49,0))</f>
        <v>Snacks &amp; Confectionery</v>
      </c>
      <c r="H2212" s="33" t="n">
        <f aca="false">D2212*INDEX(Products!$E$2:$E$49,MATCH(C2212,Products!$A$2:$A$49,0))</f>
        <v>33000</v>
      </c>
      <c r="I2212" s="33" t="n">
        <f aca="false">D2212*INDEX(Products!$D$2:$D$49,MATCH(C2212,Products!$A$2:$A$49,0))*(1+INDEX(Assumptions!$B$16:$B$20,MATCH(B2212,Assumptions!$A$16:$A$20,0)))</f>
        <v>22377.6</v>
      </c>
      <c r="J2212" s="33" t="n">
        <f aca="false">H2212-I2212</f>
        <v>10622.4</v>
      </c>
      <c r="K2212" s="33" t="n">
        <f aca="false">IF(OR(E2212=0,E2212&gt;=7),0,D2212/(7-E2212)*E2212*INDEX(Products!$E$2:$E$49,MATCH(C2212,Products!$A$2:$A$49,0)))</f>
        <v>0</v>
      </c>
    </row>
    <row r="2213" customFormat="false" ht="15" hidden="false" customHeight="false" outlineLevel="0" collapsed="false">
      <c r="A2213" s="36" t="n">
        <v>46195</v>
      </c>
      <c r="B2213" s="24" t="s">
        <v>62</v>
      </c>
      <c r="C2213" s="24" t="s">
        <v>195</v>
      </c>
      <c r="D2213" s="33" t="n">
        <v>363</v>
      </c>
      <c r="E2213" s="24" t="n">
        <v>0</v>
      </c>
      <c r="F2213" s="37" t="n">
        <f aca="false">DATE(YEAR(A2213),MONTH(A2213),1)</f>
        <v>46174</v>
      </c>
      <c r="G2213" s="24" t="str">
        <f aca="false">INDEX(Products!$C$2:$C$49,MATCH(C2213,Products!$A$2:$A$49,0))</f>
        <v>Snacks &amp; Confectionery</v>
      </c>
      <c r="H2213" s="33" t="n">
        <f aca="false">D2213*INDEX(Products!$E$2:$E$49,MATCH(C2213,Products!$A$2:$A$49,0))</f>
        <v>39930</v>
      </c>
      <c r="I2213" s="33" t="n">
        <f aca="false">D2213*INDEX(Products!$D$2:$D$49,MATCH(C2213,Products!$A$2:$A$49,0))*(1+INDEX(Assumptions!$B$16:$B$20,MATCH(B2213,Assumptions!$A$16:$A$20,0)))</f>
        <v>27076.896</v>
      </c>
      <c r="J2213" s="33" t="n">
        <f aca="false">H2213-I2213</f>
        <v>12853.104</v>
      </c>
      <c r="K2213" s="33" t="n">
        <f aca="false">IF(OR(E2213=0,E2213&gt;=7),0,D2213/(7-E2213)*E2213*INDEX(Products!$E$2:$E$49,MATCH(C2213,Products!$A$2:$A$49,0)))</f>
        <v>0</v>
      </c>
    </row>
    <row r="2214" customFormat="false" ht="15" hidden="false" customHeight="false" outlineLevel="0" collapsed="false">
      <c r="A2214" s="36" t="n">
        <v>46202</v>
      </c>
      <c r="B2214" s="24" t="s">
        <v>62</v>
      </c>
      <c r="C2214" s="24" t="s">
        <v>195</v>
      </c>
      <c r="D2214" s="33" t="n">
        <v>644</v>
      </c>
      <c r="E2214" s="24" t="n">
        <v>0</v>
      </c>
      <c r="F2214" s="37" t="n">
        <f aca="false">DATE(YEAR(A2214),MONTH(A2214),1)</f>
        <v>46174</v>
      </c>
      <c r="G2214" s="24" t="str">
        <f aca="false">INDEX(Products!$C$2:$C$49,MATCH(C2214,Products!$A$2:$A$49,0))</f>
        <v>Snacks &amp; Confectionery</v>
      </c>
      <c r="H2214" s="33" t="n">
        <f aca="false">D2214*INDEX(Products!$E$2:$E$49,MATCH(C2214,Products!$A$2:$A$49,0))</f>
        <v>70840</v>
      </c>
      <c r="I2214" s="33" t="n">
        <f aca="false">D2214*INDEX(Products!$D$2:$D$49,MATCH(C2214,Products!$A$2:$A$49,0))*(1+INDEX(Assumptions!$B$16:$B$20,MATCH(B2214,Assumptions!$A$16:$A$20,0)))</f>
        <v>48037.248</v>
      </c>
      <c r="J2214" s="33" t="n">
        <f aca="false">H2214-I2214</f>
        <v>22802.752</v>
      </c>
      <c r="K2214" s="33" t="n">
        <f aca="false">IF(OR(E2214=0,E2214&gt;=7),0,D2214/(7-E2214)*E2214*INDEX(Products!$E$2:$E$49,MATCH(C2214,Products!$A$2:$A$49,0)))</f>
        <v>0</v>
      </c>
    </row>
    <row r="2215" customFormat="false" ht="15" hidden="false" customHeight="false" outlineLevel="0" collapsed="false">
      <c r="A2215" s="36" t="n">
        <v>46209</v>
      </c>
      <c r="B2215" s="24" t="s">
        <v>62</v>
      </c>
      <c r="C2215" s="24" t="s">
        <v>195</v>
      </c>
      <c r="D2215" s="33" t="n">
        <v>345</v>
      </c>
      <c r="E2215" s="24" t="n">
        <v>0</v>
      </c>
      <c r="F2215" s="37" t="n">
        <f aca="false">DATE(YEAR(A2215),MONTH(A2215),1)</f>
        <v>46204</v>
      </c>
      <c r="G2215" s="24" t="str">
        <f aca="false">INDEX(Products!$C$2:$C$49,MATCH(C2215,Products!$A$2:$A$49,0))</f>
        <v>Snacks &amp; Confectionery</v>
      </c>
      <c r="H2215" s="33" t="n">
        <f aca="false">D2215*INDEX(Products!$E$2:$E$49,MATCH(C2215,Products!$A$2:$A$49,0))</f>
        <v>37950</v>
      </c>
      <c r="I2215" s="33" t="n">
        <f aca="false">D2215*INDEX(Products!$D$2:$D$49,MATCH(C2215,Products!$A$2:$A$49,0))*(1+INDEX(Assumptions!$B$16:$B$20,MATCH(B2215,Assumptions!$A$16:$A$20,0)))</f>
        <v>25734.24</v>
      </c>
      <c r="J2215" s="33" t="n">
        <f aca="false">H2215-I2215</f>
        <v>12215.76</v>
      </c>
      <c r="K2215" s="33" t="n">
        <f aca="false">IF(OR(E2215=0,E2215&gt;=7),0,D2215/(7-E2215)*E2215*INDEX(Products!$E$2:$E$49,MATCH(C2215,Products!$A$2:$A$49,0)))</f>
        <v>0</v>
      </c>
    </row>
    <row r="2216" customFormat="false" ht="15" hidden="false" customHeight="false" outlineLevel="0" collapsed="false">
      <c r="A2216" s="36" t="n">
        <v>46216</v>
      </c>
      <c r="B2216" s="24" t="s">
        <v>62</v>
      </c>
      <c r="C2216" s="24" t="s">
        <v>195</v>
      </c>
      <c r="D2216" s="33" t="n">
        <v>299</v>
      </c>
      <c r="E2216" s="24" t="n">
        <v>0</v>
      </c>
      <c r="F2216" s="37" t="n">
        <f aca="false">DATE(YEAR(A2216),MONTH(A2216),1)</f>
        <v>46204</v>
      </c>
      <c r="G2216" s="24" t="str">
        <f aca="false">INDEX(Products!$C$2:$C$49,MATCH(C2216,Products!$A$2:$A$49,0))</f>
        <v>Snacks &amp; Confectionery</v>
      </c>
      <c r="H2216" s="33" t="n">
        <f aca="false">D2216*INDEX(Products!$E$2:$E$49,MATCH(C2216,Products!$A$2:$A$49,0))</f>
        <v>32890</v>
      </c>
      <c r="I2216" s="33" t="n">
        <f aca="false">D2216*INDEX(Products!$D$2:$D$49,MATCH(C2216,Products!$A$2:$A$49,0))*(1+INDEX(Assumptions!$B$16:$B$20,MATCH(B2216,Assumptions!$A$16:$A$20,0)))</f>
        <v>22303.008</v>
      </c>
      <c r="J2216" s="33" t="n">
        <f aca="false">H2216-I2216</f>
        <v>10586.992</v>
      </c>
      <c r="K2216" s="33" t="n">
        <f aca="false">IF(OR(E2216=0,E2216&gt;=7),0,D2216/(7-E2216)*E2216*INDEX(Products!$E$2:$E$49,MATCH(C2216,Products!$A$2:$A$49,0)))</f>
        <v>0</v>
      </c>
    </row>
    <row r="2217" customFormat="false" ht="15" hidden="false" customHeight="false" outlineLevel="0" collapsed="false">
      <c r="A2217" s="36" t="n">
        <v>46223</v>
      </c>
      <c r="B2217" s="24" t="s">
        <v>62</v>
      </c>
      <c r="C2217" s="24" t="s">
        <v>195</v>
      </c>
      <c r="D2217" s="33" t="n">
        <v>347</v>
      </c>
      <c r="E2217" s="24" t="n">
        <v>0</v>
      </c>
      <c r="F2217" s="37" t="n">
        <f aca="false">DATE(YEAR(A2217),MONTH(A2217),1)</f>
        <v>46204</v>
      </c>
      <c r="G2217" s="24" t="str">
        <f aca="false">INDEX(Products!$C$2:$C$49,MATCH(C2217,Products!$A$2:$A$49,0))</f>
        <v>Snacks &amp; Confectionery</v>
      </c>
      <c r="H2217" s="33" t="n">
        <f aca="false">D2217*INDEX(Products!$E$2:$E$49,MATCH(C2217,Products!$A$2:$A$49,0))</f>
        <v>38170</v>
      </c>
      <c r="I2217" s="33" t="n">
        <f aca="false">D2217*INDEX(Products!$D$2:$D$49,MATCH(C2217,Products!$A$2:$A$49,0))*(1+INDEX(Assumptions!$B$16:$B$20,MATCH(B2217,Assumptions!$A$16:$A$20,0)))</f>
        <v>25883.424</v>
      </c>
      <c r="J2217" s="33" t="n">
        <f aca="false">H2217-I2217</f>
        <v>12286.576</v>
      </c>
      <c r="K2217" s="33" t="n">
        <f aca="false">IF(OR(E2217=0,E2217&gt;=7),0,D2217/(7-E2217)*E2217*INDEX(Products!$E$2:$E$49,MATCH(C2217,Products!$A$2:$A$49,0)))</f>
        <v>0</v>
      </c>
    </row>
    <row r="2218" customFormat="false" ht="15" hidden="false" customHeight="false" outlineLevel="0" collapsed="false">
      <c r="A2218" s="36" t="n">
        <v>46230</v>
      </c>
      <c r="B2218" s="24" t="s">
        <v>62</v>
      </c>
      <c r="C2218" s="24" t="s">
        <v>195</v>
      </c>
      <c r="D2218" s="33" t="n">
        <v>331</v>
      </c>
      <c r="E2218" s="24" t="n">
        <v>0</v>
      </c>
      <c r="F2218" s="37" t="n">
        <f aca="false">DATE(YEAR(A2218),MONTH(A2218),1)</f>
        <v>46204</v>
      </c>
      <c r="G2218" s="24" t="str">
        <f aca="false">INDEX(Products!$C$2:$C$49,MATCH(C2218,Products!$A$2:$A$49,0))</f>
        <v>Snacks &amp; Confectionery</v>
      </c>
      <c r="H2218" s="33" t="n">
        <f aca="false">D2218*INDEX(Products!$E$2:$E$49,MATCH(C2218,Products!$A$2:$A$49,0))</f>
        <v>36410</v>
      </c>
      <c r="I2218" s="33" t="n">
        <f aca="false">D2218*INDEX(Products!$D$2:$D$49,MATCH(C2218,Products!$A$2:$A$49,0))*(1+INDEX(Assumptions!$B$16:$B$20,MATCH(B2218,Assumptions!$A$16:$A$20,0)))</f>
        <v>24689.952</v>
      </c>
      <c r="J2218" s="33" t="n">
        <f aca="false">H2218-I2218</f>
        <v>11720.048</v>
      </c>
      <c r="K2218" s="33" t="n">
        <f aca="false">IF(OR(E2218=0,E2218&gt;=7),0,D2218/(7-E2218)*E2218*INDEX(Products!$E$2:$E$49,MATCH(C2218,Products!$A$2:$A$49,0)))</f>
        <v>0</v>
      </c>
    </row>
    <row r="2219" customFormat="false" ht="15" hidden="false" customHeight="false" outlineLevel="0" collapsed="false">
      <c r="A2219" s="36" t="n">
        <v>46237</v>
      </c>
      <c r="B2219" s="24" t="s">
        <v>62</v>
      </c>
      <c r="C2219" s="24" t="s">
        <v>195</v>
      </c>
      <c r="D2219" s="33" t="n">
        <v>323</v>
      </c>
      <c r="E2219" s="24" t="n">
        <v>0</v>
      </c>
      <c r="F2219" s="37" t="n">
        <f aca="false">DATE(YEAR(A2219),MONTH(A2219),1)</f>
        <v>46235</v>
      </c>
      <c r="G2219" s="24" t="str">
        <f aca="false">INDEX(Products!$C$2:$C$49,MATCH(C2219,Products!$A$2:$A$49,0))</f>
        <v>Snacks &amp; Confectionery</v>
      </c>
      <c r="H2219" s="33" t="n">
        <f aca="false">D2219*INDEX(Products!$E$2:$E$49,MATCH(C2219,Products!$A$2:$A$49,0))</f>
        <v>35530</v>
      </c>
      <c r="I2219" s="33" t="n">
        <f aca="false">D2219*INDEX(Products!$D$2:$D$49,MATCH(C2219,Products!$A$2:$A$49,0))*(1+INDEX(Assumptions!$B$16:$B$20,MATCH(B2219,Assumptions!$A$16:$A$20,0)))</f>
        <v>24093.216</v>
      </c>
      <c r="J2219" s="33" t="n">
        <f aca="false">H2219-I2219</f>
        <v>11436.784</v>
      </c>
      <c r="K2219" s="33" t="n">
        <f aca="false">IF(OR(E2219=0,E2219&gt;=7),0,D2219/(7-E2219)*E2219*INDEX(Products!$E$2:$E$49,MATCH(C2219,Products!$A$2:$A$49,0)))</f>
        <v>0</v>
      </c>
    </row>
    <row r="2220" customFormat="false" ht="15" hidden="false" customHeight="false" outlineLevel="0" collapsed="false">
      <c r="A2220" s="36" t="n">
        <v>46244</v>
      </c>
      <c r="B2220" s="24" t="s">
        <v>62</v>
      </c>
      <c r="C2220" s="24" t="s">
        <v>195</v>
      </c>
      <c r="D2220" s="33" t="n">
        <v>293</v>
      </c>
      <c r="E2220" s="24" t="n">
        <v>0</v>
      </c>
      <c r="F2220" s="37" t="n">
        <f aca="false">DATE(YEAR(A2220),MONTH(A2220),1)</f>
        <v>46235</v>
      </c>
      <c r="G2220" s="24" t="str">
        <f aca="false">INDEX(Products!$C$2:$C$49,MATCH(C2220,Products!$A$2:$A$49,0))</f>
        <v>Snacks &amp; Confectionery</v>
      </c>
      <c r="H2220" s="33" t="n">
        <f aca="false">D2220*INDEX(Products!$E$2:$E$49,MATCH(C2220,Products!$A$2:$A$49,0))</f>
        <v>32230</v>
      </c>
      <c r="I2220" s="33" t="n">
        <f aca="false">D2220*INDEX(Products!$D$2:$D$49,MATCH(C2220,Products!$A$2:$A$49,0))*(1+INDEX(Assumptions!$B$16:$B$20,MATCH(B2220,Assumptions!$A$16:$A$20,0)))</f>
        <v>21855.456</v>
      </c>
      <c r="J2220" s="33" t="n">
        <f aca="false">H2220-I2220</f>
        <v>10374.544</v>
      </c>
      <c r="K2220" s="33" t="n">
        <f aca="false">IF(OR(E2220=0,E2220&gt;=7),0,D2220/(7-E2220)*E2220*INDEX(Products!$E$2:$E$49,MATCH(C2220,Products!$A$2:$A$49,0)))</f>
        <v>0</v>
      </c>
    </row>
    <row r="2221" customFormat="false" ht="15" hidden="false" customHeight="false" outlineLevel="0" collapsed="false">
      <c r="A2221" s="36" t="n">
        <v>46251</v>
      </c>
      <c r="B2221" s="24" t="s">
        <v>62</v>
      </c>
      <c r="C2221" s="24" t="s">
        <v>195</v>
      </c>
      <c r="D2221" s="33" t="n">
        <v>328</v>
      </c>
      <c r="E2221" s="24" t="n">
        <v>0</v>
      </c>
      <c r="F2221" s="37" t="n">
        <f aca="false">DATE(YEAR(A2221),MONTH(A2221),1)</f>
        <v>46235</v>
      </c>
      <c r="G2221" s="24" t="str">
        <f aca="false">INDEX(Products!$C$2:$C$49,MATCH(C2221,Products!$A$2:$A$49,0))</f>
        <v>Snacks &amp; Confectionery</v>
      </c>
      <c r="H2221" s="33" t="n">
        <f aca="false">D2221*INDEX(Products!$E$2:$E$49,MATCH(C2221,Products!$A$2:$A$49,0))</f>
        <v>36080</v>
      </c>
      <c r="I2221" s="33" t="n">
        <f aca="false">D2221*INDEX(Products!$D$2:$D$49,MATCH(C2221,Products!$A$2:$A$49,0))*(1+INDEX(Assumptions!$B$16:$B$20,MATCH(B2221,Assumptions!$A$16:$A$20,0)))</f>
        <v>24466.176</v>
      </c>
      <c r="J2221" s="33" t="n">
        <f aca="false">H2221-I2221</f>
        <v>11613.824</v>
      </c>
      <c r="K2221" s="33" t="n">
        <f aca="false">IF(OR(E2221=0,E2221&gt;=7),0,D2221/(7-E2221)*E2221*INDEX(Products!$E$2:$E$49,MATCH(C2221,Products!$A$2:$A$49,0)))</f>
        <v>0</v>
      </c>
    </row>
    <row r="2222" customFormat="false" ht="15" hidden="false" customHeight="false" outlineLevel="0" collapsed="false">
      <c r="A2222" s="36" t="n">
        <v>46258</v>
      </c>
      <c r="B2222" s="24" t="s">
        <v>62</v>
      </c>
      <c r="C2222" s="24" t="s">
        <v>195</v>
      </c>
      <c r="D2222" s="33" t="n">
        <v>368</v>
      </c>
      <c r="E2222" s="24" t="n">
        <v>0</v>
      </c>
      <c r="F2222" s="37" t="n">
        <f aca="false">DATE(YEAR(A2222),MONTH(A2222),1)</f>
        <v>46235</v>
      </c>
      <c r="G2222" s="24" t="str">
        <f aca="false">INDEX(Products!$C$2:$C$49,MATCH(C2222,Products!$A$2:$A$49,0))</f>
        <v>Snacks &amp; Confectionery</v>
      </c>
      <c r="H2222" s="33" t="n">
        <f aca="false">D2222*INDEX(Products!$E$2:$E$49,MATCH(C2222,Products!$A$2:$A$49,0))</f>
        <v>40480</v>
      </c>
      <c r="I2222" s="33" t="n">
        <f aca="false">D2222*INDEX(Products!$D$2:$D$49,MATCH(C2222,Products!$A$2:$A$49,0))*(1+INDEX(Assumptions!$B$16:$B$20,MATCH(B2222,Assumptions!$A$16:$A$20,0)))</f>
        <v>27449.856</v>
      </c>
      <c r="J2222" s="33" t="n">
        <f aca="false">H2222-I2222</f>
        <v>13030.144</v>
      </c>
      <c r="K2222" s="33" t="n">
        <f aca="false">IF(OR(E2222=0,E2222&gt;=7),0,D2222/(7-E2222)*E2222*INDEX(Products!$E$2:$E$49,MATCH(C2222,Products!$A$2:$A$49,0)))</f>
        <v>0</v>
      </c>
    </row>
    <row r="2223" customFormat="false" ht="15" hidden="false" customHeight="false" outlineLevel="0" collapsed="false">
      <c r="A2223" s="36" t="n">
        <v>46265</v>
      </c>
      <c r="B2223" s="24" t="s">
        <v>62</v>
      </c>
      <c r="C2223" s="24" t="s">
        <v>195</v>
      </c>
      <c r="D2223" s="33" t="n">
        <v>354</v>
      </c>
      <c r="E2223" s="24" t="n">
        <v>0</v>
      </c>
      <c r="F2223" s="37" t="n">
        <f aca="false">DATE(YEAR(A2223),MONTH(A2223),1)</f>
        <v>46235</v>
      </c>
      <c r="G2223" s="24" t="str">
        <f aca="false">INDEX(Products!$C$2:$C$49,MATCH(C2223,Products!$A$2:$A$49,0))</f>
        <v>Snacks &amp; Confectionery</v>
      </c>
      <c r="H2223" s="33" t="n">
        <f aca="false">D2223*INDEX(Products!$E$2:$E$49,MATCH(C2223,Products!$A$2:$A$49,0))</f>
        <v>38940</v>
      </c>
      <c r="I2223" s="33" t="n">
        <f aca="false">D2223*INDEX(Products!$D$2:$D$49,MATCH(C2223,Products!$A$2:$A$49,0))*(1+INDEX(Assumptions!$B$16:$B$20,MATCH(B2223,Assumptions!$A$16:$A$20,0)))</f>
        <v>26405.568</v>
      </c>
      <c r="J2223" s="33" t="n">
        <f aca="false">H2223-I2223</f>
        <v>12534.432</v>
      </c>
      <c r="K2223" s="33" t="n">
        <f aca="false">IF(OR(E2223=0,E2223&gt;=7),0,D2223/(7-E2223)*E2223*INDEX(Products!$E$2:$E$49,MATCH(C2223,Products!$A$2:$A$49,0)))</f>
        <v>0</v>
      </c>
    </row>
    <row r="2224" customFormat="false" ht="15" hidden="false" customHeight="false" outlineLevel="0" collapsed="false">
      <c r="A2224" s="36" t="n">
        <v>46272</v>
      </c>
      <c r="B2224" s="24" t="s">
        <v>62</v>
      </c>
      <c r="C2224" s="24" t="s">
        <v>195</v>
      </c>
      <c r="D2224" s="33" t="n">
        <v>338</v>
      </c>
      <c r="E2224" s="24" t="n">
        <v>0</v>
      </c>
      <c r="F2224" s="37" t="n">
        <f aca="false">DATE(YEAR(A2224),MONTH(A2224),1)</f>
        <v>46266</v>
      </c>
      <c r="G2224" s="24" t="str">
        <f aca="false">INDEX(Products!$C$2:$C$49,MATCH(C2224,Products!$A$2:$A$49,0))</f>
        <v>Snacks &amp; Confectionery</v>
      </c>
      <c r="H2224" s="33" t="n">
        <f aca="false">D2224*INDEX(Products!$E$2:$E$49,MATCH(C2224,Products!$A$2:$A$49,0))</f>
        <v>37180</v>
      </c>
      <c r="I2224" s="33" t="n">
        <f aca="false">D2224*INDEX(Products!$D$2:$D$49,MATCH(C2224,Products!$A$2:$A$49,0))*(1+INDEX(Assumptions!$B$16:$B$20,MATCH(B2224,Assumptions!$A$16:$A$20,0)))</f>
        <v>25212.096</v>
      </c>
      <c r="J2224" s="33" t="n">
        <f aca="false">H2224-I2224</f>
        <v>11967.904</v>
      </c>
      <c r="K2224" s="33" t="n">
        <f aca="false">IF(OR(E2224=0,E2224&gt;=7),0,D2224/(7-E2224)*E2224*INDEX(Products!$E$2:$E$49,MATCH(C2224,Products!$A$2:$A$49,0)))</f>
        <v>0</v>
      </c>
    </row>
    <row r="2225" customFormat="false" ht="15" hidden="false" customHeight="false" outlineLevel="0" collapsed="false">
      <c r="A2225" s="36" t="n">
        <v>46279</v>
      </c>
      <c r="B2225" s="24" t="s">
        <v>62</v>
      </c>
      <c r="C2225" s="24" t="s">
        <v>195</v>
      </c>
      <c r="D2225" s="33" t="n">
        <v>316</v>
      </c>
      <c r="E2225" s="24" t="n">
        <v>0</v>
      </c>
      <c r="F2225" s="37" t="n">
        <f aca="false">DATE(YEAR(A2225),MONTH(A2225),1)</f>
        <v>46266</v>
      </c>
      <c r="G2225" s="24" t="str">
        <f aca="false">INDEX(Products!$C$2:$C$49,MATCH(C2225,Products!$A$2:$A$49,0))</f>
        <v>Snacks &amp; Confectionery</v>
      </c>
      <c r="H2225" s="33" t="n">
        <f aca="false">D2225*INDEX(Products!$E$2:$E$49,MATCH(C2225,Products!$A$2:$A$49,0))</f>
        <v>34760</v>
      </c>
      <c r="I2225" s="33" t="n">
        <f aca="false">D2225*INDEX(Products!$D$2:$D$49,MATCH(C2225,Products!$A$2:$A$49,0))*(1+INDEX(Assumptions!$B$16:$B$20,MATCH(B2225,Assumptions!$A$16:$A$20,0)))</f>
        <v>23571.072</v>
      </c>
      <c r="J2225" s="33" t="n">
        <f aca="false">H2225-I2225</f>
        <v>11188.928</v>
      </c>
      <c r="K2225" s="33" t="n">
        <f aca="false">IF(OR(E2225=0,E2225&gt;=7),0,D2225/(7-E2225)*E2225*INDEX(Products!$E$2:$E$49,MATCH(C2225,Products!$A$2:$A$49,0)))</f>
        <v>0</v>
      </c>
    </row>
    <row r="2226" customFormat="false" ht="15" hidden="false" customHeight="false" outlineLevel="0" collapsed="false">
      <c r="A2226" s="36" t="n">
        <v>46286</v>
      </c>
      <c r="B2226" s="24" t="s">
        <v>62</v>
      </c>
      <c r="C2226" s="24" t="s">
        <v>195</v>
      </c>
      <c r="D2226" s="33" t="n">
        <v>364</v>
      </c>
      <c r="E2226" s="24" t="n">
        <v>0</v>
      </c>
      <c r="F2226" s="37" t="n">
        <f aca="false">DATE(YEAR(A2226),MONTH(A2226),1)</f>
        <v>46266</v>
      </c>
      <c r="G2226" s="24" t="str">
        <f aca="false">INDEX(Products!$C$2:$C$49,MATCH(C2226,Products!$A$2:$A$49,0))</f>
        <v>Snacks &amp; Confectionery</v>
      </c>
      <c r="H2226" s="33" t="n">
        <f aca="false">D2226*INDEX(Products!$E$2:$E$49,MATCH(C2226,Products!$A$2:$A$49,0))</f>
        <v>40040</v>
      </c>
      <c r="I2226" s="33" t="n">
        <f aca="false">D2226*INDEX(Products!$D$2:$D$49,MATCH(C2226,Products!$A$2:$A$49,0))*(1+INDEX(Assumptions!$B$16:$B$20,MATCH(B2226,Assumptions!$A$16:$A$20,0)))</f>
        <v>27151.488</v>
      </c>
      <c r="J2226" s="33" t="n">
        <f aca="false">H2226-I2226</f>
        <v>12888.512</v>
      </c>
      <c r="K2226" s="33" t="n">
        <f aca="false">IF(OR(E2226=0,E2226&gt;=7),0,D2226/(7-E2226)*E2226*INDEX(Products!$E$2:$E$49,MATCH(C2226,Products!$A$2:$A$49,0)))</f>
        <v>0</v>
      </c>
    </row>
    <row r="2227" customFormat="false" ht="15" hidden="false" customHeight="false" outlineLevel="0" collapsed="false">
      <c r="A2227" s="36" t="n">
        <v>46118</v>
      </c>
      <c r="B2227" s="24" t="s">
        <v>62</v>
      </c>
      <c r="C2227" s="24" t="s">
        <v>197</v>
      </c>
      <c r="D2227" s="33" t="n">
        <v>53</v>
      </c>
      <c r="E2227" s="24" t="n">
        <v>0</v>
      </c>
      <c r="F2227" s="37" t="n">
        <f aca="false">DATE(YEAR(A2227),MONTH(A2227),1)</f>
        <v>46113</v>
      </c>
      <c r="G2227" s="24" t="str">
        <f aca="false">INDEX(Products!$C$2:$C$49,MATCH(C2227,Products!$A$2:$A$49,0))</f>
        <v>Snacks &amp; Confectionery</v>
      </c>
      <c r="H2227" s="33" t="n">
        <f aca="false">D2227*INDEX(Products!$E$2:$E$49,MATCH(C2227,Products!$A$2:$A$49,0))</f>
        <v>4770</v>
      </c>
      <c r="I2227" s="33" t="n">
        <f aca="false">D2227*INDEX(Products!$D$2:$D$49,MATCH(C2227,Products!$A$2:$A$49,0))*(1+INDEX(Assumptions!$B$16:$B$20,MATCH(B2227,Assumptions!$A$16:$A$20,0)))</f>
        <v>3525.984</v>
      </c>
      <c r="J2227" s="33" t="n">
        <f aca="false">H2227-I2227</f>
        <v>1244.016</v>
      </c>
      <c r="K2227" s="33" t="n">
        <f aca="false">IF(OR(E2227=0,E2227&gt;=7),0,D2227/(7-E2227)*E2227*INDEX(Products!$E$2:$E$49,MATCH(C2227,Products!$A$2:$A$49,0)))</f>
        <v>0</v>
      </c>
    </row>
    <row r="2228" customFormat="false" ht="15" hidden="false" customHeight="false" outlineLevel="0" collapsed="false">
      <c r="A2228" s="36" t="n">
        <v>46125</v>
      </c>
      <c r="B2228" s="24" t="s">
        <v>62</v>
      </c>
      <c r="C2228" s="24" t="s">
        <v>197</v>
      </c>
      <c r="D2228" s="33" t="n">
        <v>53</v>
      </c>
      <c r="E2228" s="24" t="n">
        <v>0</v>
      </c>
      <c r="F2228" s="37" t="n">
        <f aca="false">DATE(YEAR(A2228),MONTH(A2228),1)</f>
        <v>46113</v>
      </c>
      <c r="G2228" s="24" t="str">
        <f aca="false">INDEX(Products!$C$2:$C$49,MATCH(C2228,Products!$A$2:$A$49,0))</f>
        <v>Snacks &amp; Confectionery</v>
      </c>
      <c r="H2228" s="33" t="n">
        <f aca="false">D2228*INDEX(Products!$E$2:$E$49,MATCH(C2228,Products!$A$2:$A$49,0))</f>
        <v>4770</v>
      </c>
      <c r="I2228" s="33" t="n">
        <f aca="false">D2228*INDEX(Products!$D$2:$D$49,MATCH(C2228,Products!$A$2:$A$49,0))*(1+INDEX(Assumptions!$B$16:$B$20,MATCH(B2228,Assumptions!$A$16:$A$20,0)))</f>
        <v>3525.984</v>
      </c>
      <c r="J2228" s="33" t="n">
        <f aca="false">H2228-I2228</f>
        <v>1244.016</v>
      </c>
      <c r="K2228" s="33" t="n">
        <f aca="false">IF(OR(E2228=0,E2228&gt;=7),0,D2228/(7-E2228)*E2228*INDEX(Products!$E$2:$E$49,MATCH(C2228,Products!$A$2:$A$49,0)))</f>
        <v>0</v>
      </c>
    </row>
    <row r="2229" customFormat="false" ht="15" hidden="false" customHeight="false" outlineLevel="0" collapsed="false">
      <c r="A2229" s="36" t="n">
        <v>46132</v>
      </c>
      <c r="B2229" s="24" t="s">
        <v>62</v>
      </c>
      <c r="C2229" s="24" t="s">
        <v>197</v>
      </c>
      <c r="D2229" s="33" t="n">
        <v>47</v>
      </c>
      <c r="E2229" s="24" t="n">
        <v>0</v>
      </c>
      <c r="F2229" s="37" t="n">
        <f aca="false">DATE(YEAR(A2229),MONTH(A2229),1)</f>
        <v>46113</v>
      </c>
      <c r="G2229" s="24" t="str">
        <f aca="false">INDEX(Products!$C$2:$C$49,MATCH(C2229,Products!$A$2:$A$49,0))</f>
        <v>Snacks &amp; Confectionery</v>
      </c>
      <c r="H2229" s="33" t="n">
        <f aca="false">D2229*INDEX(Products!$E$2:$E$49,MATCH(C2229,Products!$A$2:$A$49,0))</f>
        <v>4230</v>
      </c>
      <c r="I2229" s="33" t="n">
        <f aca="false">D2229*INDEX(Products!$D$2:$D$49,MATCH(C2229,Products!$A$2:$A$49,0))*(1+INDEX(Assumptions!$B$16:$B$20,MATCH(B2229,Assumptions!$A$16:$A$20,0)))</f>
        <v>3126.816</v>
      </c>
      <c r="J2229" s="33" t="n">
        <f aca="false">H2229-I2229</f>
        <v>1103.184</v>
      </c>
      <c r="K2229" s="33" t="n">
        <f aca="false">IF(OR(E2229=0,E2229&gt;=7),0,D2229/(7-E2229)*E2229*INDEX(Products!$E$2:$E$49,MATCH(C2229,Products!$A$2:$A$49,0)))</f>
        <v>0</v>
      </c>
    </row>
    <row r="2230" customFormat="false" ht="15" hidden="false" customHeight="false" outlineLevel="0" collapsed="false">
      <c r="A2230" s="36" t="n">
        <v>46139</v>
      </c>
      <c r="B2230" s="24" t="s">
        <v>62</v>
      </c>
      <c r="C2230" s="24" t="s">
        <v>197</v>
      </c>
      <c r="D2230" s="33" t="n">
        <v>54</v>
      </c>
      <c r="E2230" s="24" t="n">
        <v>0</v>
      </c>
      <c r="F2230" s="37" t="n">
        <f aca="false">DATE(YEAR(A2230),MONTH(A2230),1)</f>
        <v>46113</v>
      </c>
      <c r="G2230" s="24" t="str">
        <f aca="false">INDEX(Products!$C$2:$C$49,MATCH(C2230,Products!$A$2:$A$49,0))</f>
        <v>Snacks &amp; Confectionery</v>
      </c>
      <c r="H2230" s="33" t="n">
        <f aca="false">D2230*INDEX(Products!$E$2:$E$49,MATCH(C2230,Products!$A$2:$A$49,0))</f>
        <v>4860</v>
      </c>
      <c r="I2230" s="33" t="n">
        <f aca="false">D2230*INDEX(Products!$D$2:$D$49,MATCH(C2230,Products!$A$2:$A$49,0))*(1+INDEX(Assumptions!$B$16:$B$20,MATCH(B2230,Assumptions!$A$16:$A$20,0)))</f>
        <v>3592.512</v>
      </c>
      <c r="J2230" s="33" t="n">
        <f aca="false">H2230-I2230</f>
        <v>1267.488</v>
      </c>
      <c r="K2230" s="33" t="n">
        <f aca="false">IF(OR(E2230=0,E2230&gt;=7),0,D2230/(7-E2230)*E2230*INDEX(Products!$E$2:$E$49,MATCH(C2230,Products!$A$2:$A$49,0)))</f>
        <v>0</v>
      </c>
    </row>
    <row r="2231" customFormat="false" ht="15" hidden="false" customHeight="false" outlineLevel="0" collapsed="false">
      <c r="A2231" s="36" t="n">
        <v>46146</v>
      </c>
      <c r="B2231" s="24" t="s">
        <v>62</v>
      </c>
      <c r="C2231" s="24" t="s">
        <v>197</v>
      </c>
      <c r="D2231" s="33" t="n">
        <v>50</v>
      </c>
      <c r="E2231" s="24" t="n">
        <v>0</v>
      </c>
      <c r="F2231" s="37" t="n">
        <f aca="false">DATE(YEAR(A2231),MONTH(A2231),1)</f>
        <v>46143</v>
      </c>
      <c r="G2231" s="24" t="str">
        <f aca="false">INDEX(Products!$C$2:$C$49,MATCH(C2231,Products!$A$2:$A$49,0))</f>
        <v>Snacks &amp; Confectionery</v>
      </c>
      <c r="H2231" s="33" t="n">
        <f aca="false">D2231*INDEX(Products!$E$2:$E$49,MATCH(C2231,Products!$A$2:$A$49,0))</f>
        <v>4500</v>
      </c>
      <c r="I2231" s="33" t="n">
        <f aca="false">D2231*INDEX(Products!$D$2:$D$49,MATCH(C2231,Products!$A$2:$A$49,0))*(1+INDEX(Assumptions!$B$16:$B$20,MATCH(B2231,Assumptions!$A$16:$A$20,0)))</f>
        <v>3326.4</v>
      </c>
      <c r="J2231" s="33" t="n">
        <f aca="false">H2231-I2231</f>
        <v>1173.6</v>
      </c>
      <c r="K2231" s="33" t="n">
        <f aca="false">IF(OR(E2231=0,E2231&gt;=7),0,D2231/(7-E2231)*E2231*INDEX(Products!$E$2:$E$49,MATCH(C2231,Products!$A$2:$A$49,0)))</f>
        <v>0</v>
      </c>
    </row>
    <row r="2232" customFormat="false" ht="15" hidden="false" customHeight="false" outlineLevel="0" collapsed="false">
      <c r="A2232" s="36" t="n">
        <v>46153</v>
      </c>
      <c r="B2232" s="24" t="s">
        <v>62</v>
      </c>
      <c r="C2232" s="24" t="s">
        <v>197</v>
      </c>
      <c r="D2232" s="33" t="n">
        <v>60</v>
      </c>
      <c r="E2232" s="24" t="n">
        <v>0</v>
      </c>
      <c r="F2232" s="37" t="n">
        <f aca="false">DATE(YEAR(A2232),MONTH(A2232),1)</f>
        <v>46143</v>
      </c>
      <c r="G2232" s="24" t="str">
        <f aca="false">INDEX(Products!$C$2:$C$49,MATCH(C2232,Products!$A$2:$A$49,0))</f>
        <v>Snacks &amp; Confectionery</v>
      </c>
      <c r="H2232" s="33" t="n">
        <f aca="false">D2232*INDEX(Products!$E$2:$E$49,MATCH(C2232,Products!$A$2:$A$49,0))</f>
        <v>5400</v>
      </c>
      <c r="I2232" s="33" t="n">
        <f aca="false">D2232*INDEX(Products!$D$2:$D$49,MATCH(C2232,Products!$A$2:$A$49,0))*(1+INDEX(Assumptions!$B$16:$B$20,MATCH(B2232,Assumptions!$A$16:$A$20,0)))</f>
        <v>3991.68</v>
      </c>
      <c r="J2232" s="33" t="n">
        <f aca="false">H2232-I2232</f>
        <v>1408.32</v>
      </c>
      <c r="K2232" s="33" t="n">
        <f aca="false">IF(OR(E2232=0,E2232&gt;=7),0,D2232/(7-E2232)*E2232*INDEX(Products!$E$2:$E$49,MATCH(C2232,Products!$A$2:$A$49,0)))</f>
        <v>0</v>
      </c>
    </row>
    <row r="2233" customFormat="false" ht="15" hidden="false" customHeight="false" outlineLevel="0" collapsed="false">
      <c r="A2233" s="36" t="n">
        <v>46160</v>
      </c>
      <c r="B2233" s="24" t="s">
        <v>62</v>
      </c>
      <c r="C2233" s="24" t="s">
        <v>197</v>
      </c>
      <c r="D2233" s="33" t="n">
        <v>60</v>
      </c>
      <c r="E2233" s="24" t="n">
        <v>0</v>
      </c>
      <c r="F2233" s="37" t="n">
        <f aca="false">DATE(YEAR(A2233),MONTH(A2233),1)</f>
        <v>46143</v>
      </c>
      <c r="G2233" s="24" t="str">
        <f aca="false">INDEX(Products!$C$2:$C$49,MATCH(C2233,Products!$A$2:$A$49,0))</f>
        <v>Snacks &amp; Confectionery</v>
      </c>
      <c r="H2233" s="33" t="n">
        <f aca="false">D2233*INDEX(Products!$E$2:$E$49,MATCH(C2233,Products!$A$2:$A$49,0))</f>
        <v>5400</v>
      </c>
      <c r="I2233" s="33" t="n">
        <f aca="false">D2233*INDEX(Products!$D$2:$D$49,MATCH(C2233,Products!$A$2:$A$49,0))*(1+INDEX(Assumptions!$B$16:$B$20,MATCH(B2233,Assumptions!$A$16:$A$20,0)))</f>
        <v>3991.68</v>
      </c>
      <c r="J2233" s="33" t="n">
        <f aca="false">H2233-I2233</f>
        <v>1408.32</v>
      </c>
      <c r="K2233" s="33" t="n">
        <f aca="false">IF(OR(E2233=0,E2233&gt;=7),0,D2233/(7-E2233)*E2233*INDEX(Products!$E$2:$E$49,MATCH(C2233,Products!$A$2:$A$49,0)))</f>
        <v>0</v>
      </c>
    </row>
    <row r="2234" customFormat="false" ht="15" hidden="false" customHeight="false" outlineLevel="0" collapsed="false">
      <c r="A2234" s="36" t="n">
        <v>46167</v>
      </c>
      <c r="B2234" s="24" t="s">
        <v>62</v>
      </c>
      <c r="C2234" s="24" t="s">
        <v>197</v>
      </c>
      <c r="D2234" s="33" t="n">
        <v>64</v>
      </c>
      <c r="E2234" s="24" t="n">
        <v>0</v>
      </c>
      <c r="F2234" s="37" t="n">
        <f aca="false">DATE(YEAR(A2234),MONTH(A2234),1)</f>
        <v>46143</v>
      </c>
      <c r="G2234" s="24" t="str">
        <f aca="false">INDEX(Products!$C$2:$C$49,MATCH(C2234,Products!$A$2:$A$49,0))</f>
        <v>Snacks &amp; Confectionery</v>
      </c>
      <c r="H2234" s="33" t="n">
        <f aca="false">D2234*INDEX(Products!$E$2:$E$49,MATCH(C2234,Products!$A$2:$A$49,0))</f>
        <v>5760</v>
      </c>
      <c r="I2234" s="33" t="n">
        <f aca="false">D2234*INDEX(Products!$D$2:$D$49,MATCH(C2234,Products!$A$2:$A$49,0))*(1+INDEX(Assumptions!$B$16:$B$20,MATCH(B2234,Assumptions!$A$16:$A$20,0)))</f>
        <v>4257.792</v>
      </c>
      <c r="J2234" s="33" t="n">
        <f aca="false">H2234-I2234</f>
        <v>1502.208</v>
      </c>
      <c r="K2234" s="33" t="n">
        <f aca="false">IF(OR(E2234=0,E2234&gt;=7),0,D2234/(7-E2234)*E2234*INDEX(Products!$E$2:$E$49,MATCH(C2234,Products!$A$2:$A$49,0)))</f>
        <v>0</v>
      </c>
    </row>
    <row r="2235" customFormat="false" ht="15" hidden="false" customHeight="false" outlineLevel="0" collapsed="false">
      <c r="A2235" s="36" t="n">
        <v>46174</v>
      </c>
      <c r="B2235" s="24" t="s">
        <v>62</v>
      </c>
      <c r="C2235" s="24" t="s">
        <v>197</v>
      </c>
      <c r="D2235" s="33" t="n">
        <v>52</v>
      </c>
      <c r="E2235" s="24" t="n">
        <v>0</v>
      </c>
      <c r="F2235" s="37" t="n">
        <f aca="false">DATE(YEAR(A2235),MONTH(A2235),1)</f>
        <v>46174</v>
      </c>
      <c r="G2235" s="24" t="str">
        <f aca="false">INDEX(Products!$C$2:$C$49,MATCH(C2235,Products!$A$2:$A$49,0))</f>
        <v>Snacks &amp; Confectionery</v>
      </c>
      <c r="H2235" s="33" t="n">
        <f aca="false">D2235*INDEX(Products!$E$2:$E$49,MATCH(C2235,Products!$A$2:$A$49,0))</f>
        <v>4680</v>
      </c>
      <c r="I2235" s="33" t="n">
        <f aca="false">D2235*INDEX(Products!$D$2:$D$49,MATCH(C2235,Products!$A$2:$A$49,0))*(1+INDEX(Assumptions!$B$16:$B$20,MATCH(B2235,Assumptions!$A$16:$A$20,0)))</f>
        <v>3459.456</v>
      </c>
      <c r="J2235" s="33" t="n">
        <f aca="false">H2235-I2235</f>
        <v>1220.544</v>
      </c>
      <c r="K2235" s="33" t="n">
        <f aca="false">IF(OR(E2235=0,E2235&gt;=7),0,D2235/(7-E2235)*E2235*INDEX(Products!$E$2:$E$49,MATCH(C2235,Products!$A$2:$A$49,0)))</f>
        <v>0</v>
      </c>
    </row>
    <row r="2236" customFormat="false" ht="15" hidden="false" customHeight="false" outlineLevel="0" collapsed="false">
      <c r="A2236" s="36" t="n">
        <v>46181</v>
      </c>
      <c r="B2236" s="24" t="s">
        <v>62</v>
      </c>
      <c r="C2236" s="24" t="s">
        <v>197</v>
      </c>
      <c r="D2236" s="33" t="n">
        <v>59</v>
      </c>
      <c r="E2236" s="24" t="n">
        <v>0</v>
      </c>
      <c r="F2236" s="37" t="n">
        <f aca="false">DATE(YEAR(A2236),MONTH(A2236),1)</f>
        <v>46174</v>
      </c>
      <c r="G2236" s="24" t="str">
        <f aca="false">INDEX(Products!$C$2:$C$49,MATCH(C2236,Products!$A$2:$A$49,0))</f>
        <v>Snacks &amp; Confectionery</v>
      </c>
      <c r="H2236" s="33" t="n">
        <f aca="false">D2236*INDEX(Products!$E$2:$E$49,MATCH(C2236,Products!$A$2:$A$49,0))</f>
        <v>5310</v>
      </c>
      <c r="I2236" s="33" t="n">
        <f aca="false">D2236*INDEX(Products!$D$2:$D$49,MATCH(C2236,Products!$A$2:$A$49,0))*(1+INDEX(Assumptions!$B$16:$B$20,MATCH(B2236,Assumptions!$A$16:$A$20,0)))</f>
        <v>3925.152</v>
      </c>
      <c r="J2236" s="33" t="n">
        <f aca="false">H2236-I2236</f>
        <v>1384.848</v>
      </c>
      <c r="K2236" s="33" t="n">
        <f aca="false">IF(OR(E2236=0,E2236&gt;=7),0,D2236/(7-E2236)*E2236*INDEX(Products!$E$2:$E$49,MATCH(C2236,Products!$A$2:$A$49,0)))</f>
        <v>0</v>
      </c>
    </row>
    <row r="2237" customFormat="false" ht="15" hidden="false" customHeight="false" outlineLevel="0" collapsed="false">
      <c r="A2237" s="36" t="n">
        <v>46188</v>
      </c>
      <c r="B2237" s="24" t="s">
        <v>62</v>
      </c>
      <c r="C2237" s="24" t="s">
        <v>197</v>
      </c>
      <c r="D2237" s="33" t="n">
        <v>55</v>
      </c>
      <c r="E2237" s="24" t="n">
        <v>0</v>
      </c>
      <c r="F2237" s="37" t="n">
        <f aca="false">DATE(YEAR(A2237),MONTH(A2237),1)</f>
        <v>46174</v>
      </c>
      <c r="G2237" s="24" t="str">
        <f aca="false">INDEX(Products!$C$2:$C$49,MATCH(C2237,Products!$A$2:$A$49,0))</f>
        <v>Snacks &amp; Confectionery</v>
      </c>
      <c r="H2237" s="33" t="n">
        <f aca="false">D2237*INDEX(Products!$E$2:$E$49,MATCH(C2237,Products!$A$2:$A$49,0))</f>
        <v>4950</v>
      </c>
      <c r="I2237" s="33" t="n">
        <f aca="false">D2237*INDEX(Products!$D$2:$D$49,MATCH(C2237,Products!$A$2:$A$49,0))*(1+INDEX(Assumptions!$B$16:$B$20,MATCH(B2237,Assumptions!$A$16:$A$20,0)))</f>
        <v>3659.04</v>
      </c>
      <c r="J2237" s="33" t="n">
        <f aca="false">H2237-I2237</f>
        <v>1290.96</v>
      </c>
      <c r="K2237" s="33" t="n">
        <f aca="false">IF(OR(E2237=0,E2237&gt;=7),0,D2237/(7-E2237)*E2237*INDEX(Products!$E$2:$E$49,MATCH(C2237,Products!$A$2:$A$49,0)))</f>
        <v>0</v>
      </c>
    </row>
    <row r="2238" customFormat="false" ht="15" hidden="false" customHeight="false" outlineLevel="0" collapsed="false">
      <c r="A2238" s="36" t="n">
        <v>46195</v>
      </c>
      <c r="B2238" s="24" t="s">
        <v>62</v>
      </c>
      <c r="C2238" s="24" t="s">
        <v>197</v>
      </c>
      <c r="D2238" s="33" t="n">
        <v>68</v>
      </c>
      <c r="E2238" s="24" t="n">
        <v>0</v>
      </c>
      <c r="F2238" s="37" t="n">
        <f aca="false">DATE(YEAR(A2238),MONTH(A2238),1)</f>
        <v>46174</v>
      </c>
      <c r="G2238" s="24" t="str">
        <f aca="false">INDEX(Products!$C$2:$C$49,MATCH(C2238,Products!$A$2:$A$49,0))</f>
        <v>Snacks &amp; Confectionery</v>
      </c>
      <c r="H2238" s="33" t="n">
        <f aca="false">D2238*INDEX(Products!$E$2:$E$49,MATCH(C2238,Products!$A$2:$A$49,0))</f>
        <v>6120</v>
      </c>
      <c r="I2238" s="33" t="n">
        <f aca="false">D2238*INDEX(Products!$D$2:$D$49,MATCH(C2238,Products!$A$2:$A$49,0))*(1+INDEX(Assumptions!$B$16:$B$20,MATCH(B2238,Assumptions!$A$16:$A$20,0)))</f>
        <v>4523.904</v>
      </c>
      <c r="J2238" s="33" t="n">
        <f aca="false">H2238-I2238</f>
        <v>1596.096</v>
      </c>
      <c r="K2238" s="33" t="n">
        <f aca="false">IF(OR(E2238=0,E2238&gt;=7),0,D2238/(7-E2238)*E2238*INDEX(Products!$E$2:$E$49,MATCH(C2238,Products!$A$2:$A$49,0)))</f>
        <v>0</v>
      </c>
    </row>
    <row r="2239" customFormat="false" ht="15" hidden="false" customHeight="false" outlineLevel="0" collapsed="false">
      <c r="A2239" s="36" t="n">
        <v>46202</v>
      </c>
      <c r="B2239" s="24" t="s">
        <v>62</v>
      </c>
      <c r="C2239" s="24" t="s">
        <v>197</v>
      </c>
      <c r="D2239" s="33" t="n">
        <v>48</v>
      </c>
      <c r="E2239" s="24" t="n">
        <v>0</v>
      </c>
      <c r="F2239" s="37" t="n">
        <f aca="false">DATE(YEAR(A2239),MONTH(A2239),1)</f>
        <v>46174</v>
      </c>
      <c r="G2239" s="24" t="str">
        <f aca="false">INDEX(Products!$C$2:$C$49,MATCH(C2239,Products!$A$2:$A$49,0))</f>
        <v>Snacks &amp; Confectionery</v>
      </c>
      <c r="H2239" s="33" t="n">
        <f aca="false">D2239*INDEX(Products!$E$2:$E$49,MATCH(C2239,Products!$A$2:$A$49,0))</f>
        <v>4320</v>
      </c>
      <c r="I2239" s="33" t="n">
        <f aca="false">D2239*INDEX(Products!$D$2:$D$49,MATCH(C2239,Products!$A$2:$A$49,0))*(1+INDEX(Assumptions!$B$16:$B$20,MATCH(B2239,Assumptions!$A$16:$A$20,0)))</f>
        <v>3193.344</v>
      </c>
      <c r="J2239" s="33" t="n">
        <f aca="false">H2239-I2239</f>
        <v>1126.656</v>
      </c>
      <c r="K2239" s="33" t="n">
        <f aca="false">IF(OR(E2239=0,E2239&gt;=7),0,D2239/(7-E2239)*E2239*INDEX(Products!$E$2:$E$49,MATCH(C2239,Products!$A$2:$A$49,0)))</f>
        <v>0</v>
      </c>
    </row>
    <row r="2240" customFormat="false" ht="15" hidden="false" customHeight="false" outlineLevel="0" collapsed="false">
      <c r="A2240" s="36" t="n">
        <v>46209</v>
      </c>
      <c r="B2240" s="24" t="s">
        <v>62</v>
      </c>
      <c r="C2240" s="24" t="s">
        <v>197</v>
      </c>
      <c r="D2240" s="33" t="n">
        <v>80</v>
      </c>
      <c r="E2240" s="24" t="n">
        <v>0</v>
      </c>
      <c r="F2240" s="37" t="n">
        <f aca="false">DATE(YEAR(A2240),MONTH(A2240),1)</f>
        <v>46204</v>
      </c>
      <c r="G2240" s="24" t="str">
        <f aca="false">INDEX(Products!$C$2:$C$49,MATCH(C2240,Products!$A$2:$A$49,0))</f>
        <v>Snacks &amp; Confectionery</v>
      </c>
      <c r="H2240" s="33" t="n">
        <f aca="false">D2240*INDEX(Products!$E$2:$E$49,MATCH(C2240,Products!$A$2:$A$49,0))</f>
        <v>7200</v>
      </c>
      <c r="I2240" s="33" t="n">
        <f aca="false">D2240*INDEX(Products!$D$2:$D$49,MATCH(C2240,Products!$A$2:$A$49,0))*(1+INDEX(Assumptions!$B$16:$B$20,MATCH(B2240,Assumptions!$A$16:$A$20,0)))</f>
        <v>5322.24</v>
      </c>
      <c r="J2240" s="33" t="n">
        <f aca="false">H2240-I2240</f>
        <v>1877.76</v>
      </c>
      <c r="K2240" s="33" t="n">
        <f aca="false">IF(OR(E2240=0,E2240&gt;=7),0,D2240/(7-E2240)*E2240*INDEX(Products!$E$2:$E$49,MATCH(C2240,Products!$A$2:$A$49,0)))</f>
        <v>0</v>
      </c>
    </row>
    <row r="2241" customFormat="false" ht="15" hidden="false" customHeight="false" outlineLevel="0" collapsed="false">
      <c r="A2241" s="36" t="n">
        <v>46216</v>
      </c>
      <c r="B2241" s="24" t="s">
        <v>62</v>
      </c>
      <c r="C2241" s="24" t="s">
        <v>197</v>
      </c>
      <c r="D2241" s="33" t="n">
        <v>44</v>
      </c>
      <c r="E2241" s="24" t="n">
        <v>0</v>
      </c>
      <c r="F2241" s="37" t="n">
        <f aca="false">DATE(YEAR(A2241),MONTH(A2241),1)</f>
        <v>46204</v>
      </c>
      <c r="G2241" s="24" t="str">
        <f aca="false">INDEX(Products!$C$2:$C$49,MATCH(C2241,Products!$A$2:$A$49,0))</f>
        <v>Snacks &amp; Confectionery</v>
      </c>
      <c r="H2241" s="33" t="n">
        <f aca="false">D2241*INDEX(Products!$E$2:$E$49,MATCH(C2241,Products!$A$2:$A$49,0))</f>
        <v>3960</v>
      </c>
      <c r="I2241" s="33" t="n">
        <f aca="false">D2241*INDEX(Products!$D$2:$D$49,MATCH(C2241,Products!$A$2:$A$49,0))*(1+INDEX(Assumptions!$B$16:$B$20,MATCH(B2241,Assumptions!$A$16:$A$20,0)))</f>
        <v>2927.232</v>
      </c>
      <c r="J2241" s="33" t="n">
        <f aca="false">H2241-I2241</f>
        <v>1032.768</v>
      </c>
      <c r="K2241" s="33" t="n">
        <f aca="false">IF(OR(E2241=0,E2241&gt;=7),0,D2241/(7-E2241)*E2241*INDEX(Products!$E$2:$E$49,MATCH(C2241,Products!$A$2:$A$49,0)))</f>
        <v>0</v>
      </c>
    </row>
    <row r="2242" customFormat="false" ht="15" hidden="false" customHeight="false" outlineLevel="0" collapsed="false">
      <c r="A2242" s="36" t="n">
        <v>46223</v>
      </c>
      <c r="B2242" s="24" t="s">
        <v>62</v>
      </c>
      <c r="C2242" s="24" t="s">
        <v>197</v>
      </c>
      <c r="D2242" s="33" t="n">
        <v>48</v>
      </c>
      <c r="E2242" s="24" t="n">
        <v>0</v>
      </c>
      <c r="F2242" s="37" t="n">
        <f aca="false">DATE(YEAR(A2242),MONTH(A2242),1)</f>
        <v>46204</v>
      </c>
      <c r="G2242" s="24" t="str">
        <f aca="false">INDEX(Products!$C$2:$C$49,MATCH(C2242,Products!$A$2:$A$49,0))</f>
        <v>Snacks &amp; Confectionery</v>
      </c>
      <c r="H2242" s="33" t="n">
        <f aca="false">D2242*INDEX(Products!$E$2:$E$49,MATCH(C2242,Products!$A$2:$A$49,0))</f>
        <v>4320</v>
      </c>
      <c r="I2242" s="33" t="n">
        <f aca="false">D2242*INDEX(Products!$D$2:$D$49,MATCH(C2242,Products!$A$2:$A$49,0))*(1+INDEX(Assumptions!$B$16:$B$20,MATCH(B2242,Assumptions!$A$16:$A$20,0)))</f>
        <v>3193.344</v>
      </c>
      <c r="J2242" s="33" t="n">
        <f aca="false">H2242-I2242</f>
        <v>1126.656</v>
      </c>
      <c r="K2242" s="33" t="n">
        <f aca="false">IF(OR(E2242=0,E2242&gt;=7),0,D2242/(7-E2242)*E2242*INDEX(Products!$E$2:$E$49,MATCH(C2242,Products!$A$2:$A$49,0)))</f>
        <v>0</v>
      </c>
    </row>
    <row r="2243" customFormat="false" ht="15" hidden="false" customHeight="false" outlineLevel="0" collapsed="false">
      <c r="A2243" s="36" t="n">
        <v>46230</v>
      </c>
      <c r="B2243" s="24" t="s">
        <v>62</v>
      </c>
      <c r="C2243" s="24" t="s">
        <v>197</v>
      </c>
      <c r="D2243" s="33" t="n">
        <v>44</v>
      </c>
      <c r="E2243" s="24" t="n">
        <v>0</v>
      </c>
      <c r="F2243" s="37" t="n">
        <f aca="false">DATE(YEAR(A2243),MONTH(A2243),1)</f>
        <v>46204</v>
      </c>
      <c r="G2243" s="24" t="str">
        <f aca="false">INDEX(Products!$C$2:$C$49,MATCH(C2243,Products!$A$2:$A$49,0))</f>
        <v>Snacks &amp; Confectionery</v>
      </c>
      <c r="H2243" s="33" t="n">
        <f aca="false">D2243*INDEX(Products!$E$2:$E$49,MATCH(C2243,Products!$A$2:$A$49,0))</f>
        <v>3960</v>
      </c>
      <c r="I2243" s="33" t="n">
        <f aca="false">D2243*INDEX(Products!$D$2:$D$49,MATCH(C2243,Products!$A$2:$A$49,0))*(1+INDEX(Assumptions!$B$16:$B$20,MATCH(B2243,Assumptions!$A$16:$A$20,0)))</f>
        <v>2927.232</v>
      </c>
      <c r="J2243" s="33" t="n">
        <f aca="false">H2243-I2243</f>
        <v>1032.768</v>
      </c>
      <c r="K2243" s="33" t="n">
        <f aca="false">IF(OR(E2243=0,E2243&gt;=7),0,D2243/(7-E2243)*E2243*INDEX(Products!$E$2:$E$49,MATCH(C2243,Products!$A$2:$A$49,0)))</f>
        <v>0</v>
      </c>
    </row>
    <row r="2244" customFormat="false" ht="15" hidden="false" customHeight="false" outlineLevel="0" collapsed="false">
      <c r="A2244" s="36" t="n">
        <v>46237</v>
      </c>
      <c r="B2244" s="24" t="s">
        <v>62</v>
      </c>
      <c r="C2244" s="24" t="s">
        <v>197</v>
      </c>
      <c r="D2244" s="33" t="n">
        <v>17</v>
      </c>
      <c r="E2244" s="24" t="n">
        <v>5</v>
      </c>
      <c r="F2244" s="37" t="n">
        <f aca="false">DATE(YEAR(A2244),MONTH(A2244),1)</f>
        <v>46235</v>
      </c>
      <c r="G2244" s="24" t="str">
        <f aca="false">INDEX(Products!$C$2:$C$49,MATCH(C2244,Products!$A$2:$A$49,0))</f>
        <v>Snacks &amp; Confectionery</v>
      </c>
      <c r="H2244" s="33" t="n">
        <f aca="false">D2244*INDEX(Products!$E$2:$E$49,MATCH(C2244,Products!$A$2:$A$49,0))</f>
        <v>1530</v>
      </c>
      <c r="I2244" s="33" t="n">
        <f aca="false">D2244*INDEX(Products!$D$2:$D$49,MATCH(C2244,Products!$A$2:$A$49,0))*(1+INDEX(Assumptions!$B$16:$B$20,MATCH(B2244,Assumptions!$A$16:$A$20,0)))</f>
        <v>1130.976</v>
      </c>
      <c r="J2244" s="33" t="n">
        <f aca="false">H2244-I2244</f>
        <v>399.024</v>
      </c>
      <c r="K2244" s="33" t="n">
        <f aca="false">IF(OR(E2244=0,E2244&gt;=7),0,D2244/(7-E2244)*E2244*INDEX(Products!$E$2:$E$49,MATCH(C2244,Products!$A$2:$A$49,0)))</f>
        <v>3825</v>
      </c>
    </row>
    <row r="2245" customFormat="false" ht="15" hidden="false" customHeight="false" outlineLevel="0" collapsed="false">
      <c r="A2245" s="36" t="n">
        <v>46244</v>
      </c>
      <c r="B2245" s="24" t="s">
        <v>62</v>
      </c>
      <c r="C2245" s="24" t="s">
        <v>197</v>
      </c>
      <c r="D2245" s="33" t="n">
        <v>46</v>
      </c>
      <c r="E2245" s="24" t="n">
        <v>0</v>
      </c>
      <c r="F2245" s="37" t="n">
        <f aca="false">DATE(YEAR(A2245),MONTH(A2245),1)</f>
        <v>46235</v>
      </c>
      <c r="G2245" s="24" t="str">
        <f aca="false">INDEX(Products!$C$2:$C$49,MATCH(C2245,Products!$A$2:$A$49,0))</f>
        <v>Snacks &amp; Confectionery</v>
      </c>
      <c r="H2245" s="33" t="n">
        <f aca="false">D2245*INDEX(Products!$E$2:$E$49,MATCH(C2245,Products!$A$2:$A$49,0))</f>
        <v>4140</v>
      </c>
      <c r="I2245" s="33" t="n">
        <f aca="false">D2245*INDEX(Products!$D$2:$D$49,MATCH(C2245,Products!$A$2:$A$49,0))*(1+INDEX(Assumptions!$B$16:$B$20,MATCH(B2245,Assumptions!$A$16:$A$20,0)))</f>
        <v>3060.288</v>
      </c>
      <c r="J2245" s="33" t="n">
        <f aca="false">H2245-I2245</f>
        <v>1079.712</v>
      </c>
      <c r="K2245" s="33" t="n">
        <f aca="false">IF(OR(E2245=0,E2245&gt;=7),0,D2245/(7-E2245)*E2245*INDEX(Products!$E$2:$E$49,MATCH(C2245,Products!$A$2:$A$49,0)))</f>
        <v>0</v>
      </c>
    </row>
    <row r="2246" customFormat="false" ht="15" hidden="false" customHeight="false" outlineLevel="0" collapsed="false">
      <c r="A2246" s="36" t="n">
        <v>46251</v>
      </c>
      <c r="B2246" s="24" t="s">
        <v>62</v>
      </c>
      <c r="C2246" s="24" t="s">
        <v>197</v>
      </c>
      <c r="D2246" s="33" t="n">
        <v>36</v>
      </c>
      <c r="E2246" s="24" t="n">
        <v>0</v>
      </c>
      <c r="F2246" s="37" t="n">
        <f aca="false">DATE(YEAR(A2246),MONTH(A2246),1)</f>
        <v>46235</v>
      </c>
      <c r="G2246" s="24" t="str">
        <f aca="false">INDEX(Products!$C$2:$C$49,MATCH(C2246,Products!$A$2:$A$49,0))</f>
        <v>Snacks &amp; Confectionery</v>
      </c>
      <c r="H2246" s="33" t="n">
        <f aca="false">D2246*INDEX(Products!$E$2:$E$49,MATCH(C2246,Products!$A$2:$A$49,0))</f>
        <v>3240</v>
      </c>
      <c r="I2246" s="33" t="n">
        <f aca="false">D2246*INDEX(Products!$D$2:$D$49,MATCH(C2246,Products!$A$2:$A$49,0))*(1+INDEX(Assumptions!$B$16:$B$20,MATCH(B2246,Assumptions!$A$16:$A$20,0)))</f>
        <v>2395.008</v>
      </c>
      <c r="J2246" s="33" t="n">
        <f aca="false">H2246-I2246</f>
        <v>844.992</v>
      </c>
      <c r="K2246" s="33" t="n">
        <f aca="false">IF(OR(E2246=0,E2246&gt;=7),0,D2246/(7-E2246)*E2246*INDEX(Products!$E$2:$E$49,MATCH(C2246,Products!$A$2:$A$49,0)))</f>
        <v>0</v>
      </c>
    </row>
    <row r="2247" customFormat="false" ht="15" hidden="false" customHeight="false" outlineLevel="0" collapsed="false">
      <c r="A2247" s="36" t="n">
        <v>46258</v>
      </c>
      <c r="B2247" s="24" t="s">
        <v>62</v>
      </c>
      <c r="C2247" s="24" t="s">
        <v>197</v>
      </c>
      <c r="D2247" s="33" t="n">
        <v>71</v>
      </c>
      <c r="E2247" s="24" t="n">
        <v>0</v>
      </c>
      <c r="F2247" s="37" t="n">
        <f aca="false">DATE(YEAR(A2247),MONTH(A2247),1)</f>
        <v>46235</v>
      </c>
      <c r="G2247" s="24" t="str">
        <f aca="false">INDEX(Products!$C$2:$C$49,MATCH(C2247,Products!$A$2:$A$49,0))</f>
        <v>Snacks &amp; Confectionery</v>
      </c>
      <c r="H2247" s="33" t="n">
        <f aca="false">D2247*INDEX(Products!$E$2:$E$49,MATCH(C2247,Products!$A$2:$A$49,0))</f>
        <v>6390</v>
      </c>
      <c r="I2247" s="33" t="n">
        <f aca="false">D2247*INDEX(Products!$D$2:$D$49,MATCH(C2247,Products!$A$2:$A$49,0))*(1+INDEX(Assumptions!$B$16:$B$20,MATCH(B2247,Assumptions!$A$16:$A$20,0)))</f>
        <v>4723.488</v>
      </c>
      <c r="J2247" s="33" t="n">
        <f aca="false">H2247-I2247</f>
        <v>1666.512</v>
      </c>
      <c r="K2247" s="33" t="n">
        <f aca="false">IF(OR(E2247=0,E2247&gt;=7),0,D2247/(7-E2247)*E2247*INDEX(Products!$E$2:$E$49,MATCH(C2247,Products!$A$2:$A$49,0)))</f>
        <v>0</v>
      </c>
    </row>
    <row r="2248" customFormat="false" ht="15" hidden="false" customHeight="false" outlineLevel="0" collapsed="false">
      <c r="A2248" s="36" t="n">
        <v>46265</v>
      </c>
      <c r="B2248" s="24" t="s">
        <v>62</v>
      </c>
      <c r="C2248" s="24" t="s">
        <v>197</v>
      </c>
      <c r="D2248" s="33" t="n">
        <v>68</v>
      </c>
      <c r="E2248" s="24" t="n">
        <v>0</v>
      </c>
      <c r="F2248" s="37" t="n">
        <f aca="false">DATE(YEAR(A2248),MONTH(A2248),1)</f>
        <v>46235</v>
      </c>
      <c r="G2248" s="24" t="str">
        <f aca="false">INDEX(Products!$C$2:$C$49,MATCH(C2248,Products!$A$2:$A$49,0))</f>
        <v>Snacks &amp; Confectionery</v>
      </c>
      <c r="H2248" s="33" t="n">
        <f aca="false">D2248*INDEX(Products!$E$2:$E$49,MATCH(C2248,Products!$A$2:$A$49,0))</f>
        <v>6120</v>
      </c>
      <c r="I2248" s="33" t="n">
        <f aca="false">D2248*INDEX(Products!$D$2:$D$49,MATCH(C2248,Products!$A$2:$A$49,0))*(1+INDEX(Assumptions!$B$16:$B$20,MATCH(B2248,Assumptions!$A$16:$A$20,0)))</f>
        <v>4523.904</v>
      </c>
      <c r="J2248" s="33" t="n">
        <f aca="false">H2248-I2248</f>
        <v>1596.096</v>
      </c>
      <c r="K2248" s="33" t="n">
        <f aca="false">IF(OR(E2248=0,E2248&gt;=7),0,D2248/(7-E2248)*E2248*INDEX(Products!$E$2:$E$49,MATCH(C2248,Products!$A$2:$A$49,0)))</f>
        <v>0</v>
      </c>
    </row>
    <row r="2249" customFormat="false" ht="15" hidden="false" customHeight="false" outlineLevel="0" collapsed="false">
      <c r="A2249" s="36" t="n">
        <v>46272</v>
      </c>
      <c r="B2249" s="24" t="s">
        <v>62</v>
      </c>
      <c r="C2249" s="24" t="s">
        <v>197</v>
      </c>
      <c r="D2249" s="33" t="n">
        <v>56</v>
      </c>
      <c r="E2249" s="24" t="n">
        <v>0</v>
      </c>
      <c r="F2249" s="37" t="n">
        <f aca="false">DATE(YEAR(A2249),MONTH(A2249),1)</f>
        <v>46266</v>
      </c>
      <c r="G2249" s="24" t="str">
        <f aca="false">INDEX(Products!$C$2:$C$49,MATCH(C2249,Products!$A$2:$A$49,0))</f>
        <v>Snacks &amp; Confectionery</v>
      </c>
      <c r="H2249" s="33" t="n">
        <f aca="false">D2249*INDEX(Products!$E$2:$E$49,MATCH(C2249,Products!$A$2:$A$49,0))</f>
        <v>5040</v>
      </c>
      <c r="I2249" s="33" t="n">
        <f aca="false">D2249*INDEX(Products!$D$2:$D$49,MATCH(C2249,Products!$A$2:$A$49,0))*(1+INDEX(Assumptions!$B$16:$B$20,MATCH(B2249,Assumptions!$A$16:$A$20,0)))</f>
        <v>3725.568</v>
      </c>
      <c r="J2249" s="33" t="n">
        <f aca="false">H2249-I2249</f>
        <v>1314.432</v>
      </c>
      <c r="K2249" s="33" t="n">
        <f aca="false">IF(OR(E2249=0,E2249&gt;=7),0,D2249/(7-E2249)*E2249*INDEX(Products!$E$2:$E$49,MATCH(C2249,Products!$A$2:$A$49,0)))</f>
        <v>0</v>
      </c>
    </row>
    <row r="2250" customFormat="false" ht="15" hidden="false" customHeight="false" outlineLevel="0" collapsed="false">
      <c r="A2250" s="36" t="n">
        <v>46279</v>
      </c>
      <c r="B2250" s="24" t="s">
        <v>62</v>
      </c>
      <c r="C2250" s="24" t="s">
        <v>197</v>
      </c>
      <c r="D2250" s="33" t="n">
        <v>51</v>
      </c>
      <c r="E2250" s="24" t="n">
        <v>0</v>
      </c>
      <c r="F2250" s="37" t="n">
        <f aca="false">DATE(YEAR(A2250),MONTH(A2250),1)</f>
        <v>46266</v>
      </c>
      <c r="G2250" s="24" t="str">
        <f aca="false">INDEX(Products!$C$2:$C$49,MATCH(C2250,Products!$A$2:$A$49,0))</f>
        <v>Snacks &amp; Confectionery</v>
      </c>
      <c r="H2250" s="33" t="n">
        <f aca="false">D2250*INDEX(Products!$E$2:$E$49,MATCH(C2250,Products!$A$2:$A$49,0))</f>
        <v>4590</v>
      </c>
      <c r="I2250" s="33" t="n">
        <f aca="false">D2250*INDEX(Products!$D$2:$D$49,MATCH(C2250,Products!$A$2:$A$49,0))*(1+INDEX(Assumptions!$B$16:$B$20,MATCH(B2250,Assumptions!$A$16:$A$20,0)))</f>
        <v>3392.928</v>
      </c>
      <c r="J2250" s="33" t="n">
        <f aca="false">H2250-I2250</f>
        <v>1197.072</v>
      </c>
      <c r="K2250" s="33" t="n">
        <f aca="false">IF(OR(E2250=0,E2250&gt;=7),0,D2250/(7-E2250)*E2250*INDEX(Products!$E$2:$E$49,MATCH(C2250,Products!$A$2:$A$49,0)))</f>
        <v>0</v>
      </c>
    </row>
    <row r="2251" customFormat="false" ht="15" hidden="false" customHeight="false" outlineLevel="0" collapsed="false">
      <c r="A2251" s="36" t="n">
        <v>46286</v>
      </c>
      <c r="B2251" s="24" t="s">
        <v>62</v>
      </c>
      <c r="C2251" s="24" t="s">
        <v>197</v>
      </c>
      <c r="D2251" s="33" t="n">
        <v>60</v>
      </c>
      <c r="E2251" s="24" t="n">
        <v>0</v>
      </c>
      <c r="F2251" s="37" t="n">
        <f aca="false">DATE(YEAR(A2251),MONTH(A2251),1)</f>
        <v>46266</v>
      </c>
      <c r="G2251" s="24" t="str">
        <f aca="false">INDEX(Products!$C$2:$C$49,MATCH(C2251,Products!$A$2:$A$49,0))</f>
        <v>Snacks &amp; Confectionery</v>
      </c>
      <c r="H2251" s="33" t="n">
        <f aca="false">D2251*INDEX(Products!$E$2:$E$49,MATCH(C2251,Products!$A$2:$A$49,0))</f>
        <v>5400</v>
      </c>
      <c r="I2251" s="33" t="n">
        <f aca="false">D2251*INDEX(Products!$D$2:$D$49,MATCH(C2251,Products!$A$2:$A$49,0))*(1+INDEX(Assumptions!$B$16:$B$20,MATCH(B2251,Assumptions!$A$16:$A$20,0)))</f>
        <v>3991.68</v>
      </c>
      <c r="J2251" s="33" t="n">
        <f aca="false">H2251-I2251</f>
        <v>1408.32</v>
      </c>
      <c r="K2251" s="33" t="n">
        <f aca="false">IF(OR(E2251=0,E2251&gt;=7),0,D2251/(7-E2251)*E2251*INDEX(Products!$E$2:$E$49,MATCH(C2251,Products!$A$2:$A$49,0)))</f>
        <v>0</v>
      </c>
    </row>
    <row r="2252" customFormat="false" ht="15" hidden="false" customHeight="false" outlineLevel="0" collapsed="false">
      <c r="A2252" s="36" t="n">
        <v>46118</v>
      </c>
      <c r="B2252" s="24" t="s">
        <v>62</v>
      </c>
      <c r="C2252" s="24" t="s">
        <v>199</v>
      </c>
      <c r="D2252" s="33" t="n">
        <v>68</v>
      </c>
      <c r="E2252" s="24" t="n">
        <v>0</v>
      </c>
      <c r="F2252" s="37" t="n">
        <f aca="false">DATE(YEAR(A2252),MONTH(A2252),1)</f>
        <v>46113</v>
      </c>
      <c r="G2252" s="24" t="str">
        <f aca="false">INDEX(Products!$C$2:$C$49,MATCH(C2252,Products!$A$2:$A$49,0))</f>
        <v>Snacks &amp; Confectionery</v>
      </c>
      <c r="H2252" s="33" t="n">
        <f aca="false">D2252*INDEX(Products!$E$2:$E$49,MATCH(C2252,Products!$A$2:$A$49,0))</f>
        <v>10200</v>
      </c>
      <c r="I2252" s="33" t="n">
        <f aca="false">D2252*INDEX(Products!$D$2:$D$49,MATCH(C2252,Products!$A$2:$A$49,0))*(1+INDEX(Assumptions!$B$16:$B$20,MATCH(B2252,Assumptions!$A$16:$A$20,0)))</f>
        <v>7608.384</v>
      </c>
      <c r="J2252" s="33" t="n">
        <f aca="false">H2252-I2252</f>
        <v>2591.616</v>
      </c>
      <c r="K2252" s="33" t="n">
        <f aca="false">IF(OR(E2252=0,E2252&gt;=7),0,D2252/(7-E2252)*E2252*INDEX(Products!$E$2:$E$49,MATCH(C2252,Products!$A$2:$A$49,0)))</f>
        <v>0</v>
      </c>
    </row>
    <row r="2253" customFormat="false" ht="15" hidden="false" customHeight="false" outlineLevel="0" collapsed="false">
      <c r="A2253" s="36" t="n">
        <v>46125</v>
      </c>
      <c r="B2253" s="24" t="s">
        <v>62</v>
      </c>
      <c r="C2253" s="24" t="s">
        <v>199</v>
      </c>
      <c r="D2253" s="33" t="n">
        <v>64</v>
      </c>
      <c r="E2253" s="24" t="n">
        <v>0</v>
      </c>
      <c r="F2253" s="37" t="n">
        <f aca="false">DATE(YEAR(A2253),MONTH(A2253),1)</f>
        <v>46113</v>
      </c>
      <c r="G2253" s="24" t="str">
        <f aca="false">INDEX(Products!$C$2:$C$49,MATCH(C2253,Products!$A$2:$A$49,0))</f>
        <v>Snacks &amp; Confectionery</v>
      </c>
      <c r="H2253" s="33" t="n">
        <f aca="false">D2253*INDEX(Products!$E$2:$E$49,MATCH(C2253,Products!$A$2:$A$49,0))</f>
        <v>9600</v>
      </c>
      <c r="I2253" s="33" t="n">
        <f aca="false">D2253*INDEX(Products!$D$2:$D$49,MATCH(C2253,Products!$A$2:$A$49,0))*(1+INDEX(Assumptions!$B$16:$B$20,MATCH(B2253,Assumptions!$A$16:$A$20,0)))</f>
        <v>7160.832</v>
      </c>
      <c r="J2253" s="33" t="n">
        <f aca="false">H2253-I2253</f>
        <v>2439.168</v>
      </c>
      <c r="K2253" s="33" t="n">
        <f aca="false">IF(OR(E2253=0,E2253&gt;=7),0,D2253/(7-E2253)*E2253*INDEX(Products!$E$2:$E$49,MATCH(C2253,Products!$A$2:$A$49,0)))</f>
        <v>0</v>
      </c>
    </row>
    <row r="2254" customFormat="false" ht="15" hidden="false" customHeight="false" outlineLevel="0" collapsed="false">
      <c r="A2254" s="36" t="n">
        <v>46132</v>
      </c>
      <c r="B2254" s="24" t="s">
        <v>62</v>
      </c>
      <c r="C2254" s="24" t="s">
        <v>199</v>
      </c>
      <c r="D2254" s="33" t="n">
        <v>51</v>
      </c>
      <c r="E2254" s="24" t="n">
        <v>0</v>
      </c>
      <c r="F2254" s="37" t="n">
        <f aca="false">DATE(YEAR(A2254),MONTH(A2254),1)</f>
        <v>46113</v>
      </c>
      <c r="G2254" s="24" t="str">
        <f aca="false">INDEX(Products!$C$2:$C$49,MATCH(C2254,Products!$A$2:$A$49,0))</f>
        <v>Snacks &amp; Confectionery</v>
      </c>
      <c r="H2254" s="33" t="n">
        <f aca="false">D2254*INDEX(Products!$E$2:$E$49,MATCH(C2254,Products!$A$2:$A$49,0))</f>
        <v>7650</v>
      </c>
      <c r="I2254" s="33" t="n">
        <f aca="false">D2254*INDEX(Products!$D$2:$D$49,MATCH(C2254,Products!$A$2:$A$49,0))*(1+INDEX(Assumptions!$B$16:$B$20,MATCH(B2254,Assumptions!$A$16:$A$20,0)))</f>
        <v>5706.288</v>
      </c>
      <c r="J2254" s="33" t="n">
        <f aca="false">H2254-I2254</f>
        <v>1943.712</v>
      </c>
      <c r="K2254" s="33" t="n">
        <f aca="false">IF(OR(E2254=0,E2254&gt;=7),0,D2254/(7-E2254)*E2254*INDEX(Products!$E$2:$E$49,MATCH(C2254,Products!$A$2:$A$49,0)))</f>
        <v>0</v>
      </c>
    </row>
    <row r="2255" customFormat="false" ht="15" hidden="false" customHeight="false" outlineLevel="0" collapsed="false">
      <c r="A2255" s="36" t="n">
        <v>46139</v>
      </c>
      <c r="B2255" s="24" t="s">
        <v>62</v>
      </c>
      <c r="C2255" s="24" t="s">
        <v>199</v>
      </c>
      <c r="D2255" s="33" t="n">
        <v>56</v>
      </c>
      <c r="E2255" s="24" t="n">
        <v>0</v>
      </c>
      <c r="F2255" s="37" t="n">
        <f aca="false">DATE(YEAR(A2255),MONTH(A2255),1)</f>
        <v>46113</v>
      </c>
      <c r="G2255" s="24" t="str">
        <f aca="false">INDEX(Products!$C$2:$C$49,MATCH(C2255,Products!$A$2:$A$49,0))</f>
        <v>Snacks &amp; Confectionery</v>
      </c>
      <c r="H2255" s="33" t="n">
        <f aca="false">D2255*INDEX(Products!$E$2:$E$49,MATCH(C2255,Products!$A$2:$A$49,0))</f>
        <v>8400</v>
      </c>
      <c r="I2255" s="33" t="n">
        <f aca="false">D2255*INDEX(Products!$D$2:$D$49,MATCH(C2255,Products!$A$2:$A$49,0))*(1+INDEX(Assumptions!$B$16:$B$20,MATCH(B2255,Assumptions!$A$16:$A$20,0)))</f>
        <v>6265.728</v>
      </c>
      <c r="J2255" s="33" t="n">
        <f aca="false">H2255-I2255</f>
        <v>2134.272</v>
      </c>
      <c r="K2255" s="33" t="n">
        <f aca="false">IF(OR(E2255=0,E2255&gt;=7),0,D2255/(7-E2255)*E2255*INDEX(Products!$E$2:$E$49,MATCH(C2255,Products!$A$2:$A$49,0)))</f>
        <v>0</v>
      </c>
    </row>
    <row r="2256" customFormat="false" ht="15" hidden="false" customHeight="false" outlineLevel="0" collapsed="false">
      <c r="A2256" s="36" t="n">
        <v>46146</v>
      </c>
      <c r="B2256" s="24" t="s">
        <v>62</v>
      </c>
      <c r="C2256" s="24" t="s">
        <v>199</v>
      </c>
      <c r="D2256" s="33" t="n">
        <v>58</v>
      </c>
      <c r="E2256" s="24" t="n">
        <v>0</v>
      </c>
      <c r="F2256" s="37" t="n">
        <f aca="false">DATE(YEAR(A2256),MONTH(A2256),1)</f>
        <v>46143</v>
      </c>
      <c r="G2256" s="24" t="str">
        <f aca="false">INDEX(Products!$C$2:$C$49,MATCH(C2256,Products!$A$2:$A$49,0))</f>
        <v>Snacks &amp; Confectionery</v>
      </c>
      <c r="H2256" s="33" t="n">
        <f aca="false">D2256*INDEX(Products!$E$2:$E$49,MATCH(C2256,Products!$A$2:$A$49,0))</f>
        <v>8700</v>
      </c>
      <c r="I2256" s="33" t="n">
        <f aca="false">D2256*INDEX(Products!$D$2:$D$49,MATCH(C2256,Products!$A$2:$A$49,0))*(1+INDEX(Assumptions!$B$16:$B$20,MATCH(B2256,Assumptions!$A$16:$A$20,0)))</f>
        <v>6489.504</v>
      </c>
      <c r="J2256" s="33" t="n">
        <f aca="false">H2256-I2256</f>
        <v>2210.496</v>
      </c>
      <c r="K2256" s="33" t="n">
        <f aca="false">IF(OR(E2256=0,E2256&gt;=7),0,D2256/(7-E2256)*E2256*INDEX(Products!$E$2:$E$49,MATCH(C2256,Products!$A$2:$A$49,0)))</f>
        <v>0</v>
      </c>
    </row>
    <row r="2257" customFormat="false" ht="15" hidden="false" customHeight="false" outlineLevel="0" collapsed="false">
      <c r="A2257" s="36" t="n">
        <v>46153</v>
      </c>
      <c r="B2257" s="24" t="s">
        <v>62</v>
      </c>
      <c r="C2257" s="24" t="s">
        <v>199</v>
      </c>
      <c r="D2257" s="33" t="n">
        <v>16</v>
      </c>
      <c r="E2257" s="24" t="n">
        <v>5</v>
      </c>
      <c r="F2257" s="37" t="n">
        <f aca="false">DATE(YEAR(A2257),MONTH(A2257),1)</f>
        <v>46143</v>
      </c>
      <c r="G2257" s="24" t="str">
        <f aca="false">INDEX(Products!$C$2:$C$49,MATCH(C2257,Products!$A$2:$A$49,0))</f>
        <v>Snacks &amp; Confectionery</v>
      </c>
      <c r="H2257" s="33" t="n">
        <f aca="false">D2257*INDEX(Products!$E$2:$E$49,MATCH(C2257,Products!$A$2:$A$49,0))</f>
        <v>2400</v>
      </c>
      <c r="I2257" s="33" t="n">
        <f aca="false">D2257*INDEX(Products!$D$2:$D$49,MATCH(C2257,Products!$A$2:$A$49,0))*(1+INDEX(Assumptions!$B$16:$B$20,MATCH(B2257,Assumptions!$A$16:$A$20,0)))</f>
        <v>1790.208</v>
      </c>
      <c r="J2257" s="33" t="n">
        <f aca="false">H2257-I2257</f>
        <v>609.792</v>
      </c>
      <c r="K2257" s="33" t="n">
        <f aca="false">IF(OR(E2257=0,E2257&gt;=7),0,D2257/(7-E2257)*E2257*INDEX(Products!$E$2:$E$49,MATCH(C2257,Products!$A$2:$A$49,0)))</f>
        <v>6000</v>
      </c>
    </row>
    <row r="2258" customFormat="false" ht="15" hidden="false" customHeight="false" outlineLevel="0" collapsed="false">
      <c r="A2258" s="36" t="n">
        <v>46160</v>
      </c>
      <c r="B2258" s="24" t="s">
        <v>62</v>
      </c>
      <c r="C2258" s="24" t="s">
        <v>199</v>
      </c>
      <c r="D2258" s="33" t="n">
        <v>38</v>
      </c>
      <c r="E2258" s="24" t="n">
        <v>0</v>
      </c>
      <c r="F2258" s="37" t="n">
        <f aca="false">DATE(YEAR(A2258),MONTH(A2258),1)</f>
        <v>46143</v>
      </c>
      <c r="G2258" s="24" t="str">
        <f aca="false">INDEX(Products!$C$2:$C$49,MATCH(C2258,Products!$A$2:$A$49,0))</f>
        <v>Snacks &amp; Confectionery</v>
      </c>
      <c r="H2258" s="33" t="n">
        <f aca="false">D2258*INDEX(Products!$E$2:$E$49,MATCH(C2258,Products!$A$2:$A$49,0))</f>
        <v>5700</v>
      </c>
      <c r="I2258" s="33" t="n">
        <f aca="false">D2258*INDEX(Products!$D$2:$D$49,MATCH(C2258,Products!$A$2:$A$49,0))*(1+INDEX(Assumptions!$B$16:$B$20,MATCH(B2258,Assumptions!$A$16:$A$20,0)))</f>
        <v>4251.744</v>
      </c>
      <c r="J2258" s="33" t="n">
        <f aca="false">H2258-I2258</f>
        <v>1448.256</v>
      </c>
      <c r="K2258" s="33" t="n">
        <f aca="false">IF(OR(E2258=0,E2258&gt;=7),0,D2258/(7-E2258)*E2258*INDEX(Products!$E$2:$E$49,MATCH(C2258,Products!$A$2:$A$49,0)))</f>
        <v>0</v>
      </c>
    </row>
    <row r="2259" customFormat="false" ht="15" hidden="false" customHeight="false" outlineLevel="0" collapsed="false">
      <c r="A2259" s="36" t="n">
        <v>46167</v>
      </c>
      <c r="B2259" s="24" t="s">
        <v>62</v>
      </c>
      <c r="C2259" s="24" t="s">
        <v>199</v>
      </c>
      <c r="D2259" s="33" t="n">
        <v>64</v>
      </c>
      <c r="E2259" s="24" t="n">
        <v>0</v>
      </c>
      <c r="F2259" s="37" t="n">
        <f aca="false">DATE(YEAR(A2259),MONTH(A2259),1)</f>
        <v>46143</v>
      </c>
      <c r="G2259" s="24" t="str">
        <f aca="false">INDEX(Products!$C$2:$C$49,MATCH(C2259,Products!$A$2:$A$49,0))</f>
        <v>Snacks &amp; Confectionery</v>
      </c>
      <c r="H2259" s="33" t="n">
        <f aca="false">D2259*INDEX(Products!$E$2:$E$49,MATCH(C2259,Products!$A$2:$A$49,0))</f>
        <v>9600</v>
      </c>
      <c r="I2259" s="33" t="n">
        <f aca="false">D2259*INDEX(Products!$D$2:$D$49,MATCH(C2259,Products!$A$2:$A$49,0))*(1+INDEX(Assumptions!$B$16:$B$20,MATCH(B2259,Assumptions!$A$16:$A$20,0)))</f>
        <v>7160.832</v>
      </c>
      <c r="J2259" s="33" t="n">
        <f aca="false">H2259-I2259</f>
        <v>2439.168</v>
      </c>
      <c r="K2259" s="33" t="n">
        <f aca="false">IF(OR(E2259=0,E2259&gt;=7),0,D2259/(7-E2259)*E2259*INDEX(Products!$E$2:$E$49,MATCH(C2259,Products!$A$2:$A$49,0)))</f>
        <v>0</v>
      </c>
    </row>
    <row r="2260" customFormat="false" ht="15" hidden="false" customHeight="false" outlineLevel="0" collapsed="false">
      <c r="A2260" s="36" t="n">
        <v>46174</v>
      </c>
      <c r="B2260" s="24" t="s">
        <v>62</v>
      </c>
      <c r="C2260" s="24" t="s">
        <v>199</v>
      </c>
      <c r="D2260" s="33" t="n">
        <v>54</v>
      </c>
      <c r="E2260" s="24" t="n">
        <v>0</v>
      </c>
      <c r="F2260" s="37" t="n">
        <f aca="false">DATE(YEAR(A2260),MONTH(A2260),1)</f>
        <v>46174</v>
      </c>
      <c r="G2260" s="24" t="str">
        <f aca="false">INDEX(Products!$C$2:$C$49,MATCH(C2260,Products!$A$2:$A$49,0))</f>
        <v>Snacks &amp; Confectionery</v>
      </c>
      <c r="H2260" s="33" t="n">
        <f aca="false">D2260*INDEX(Products!$E$2:$E$49,MATCH(C2260,Products!$A$2:$A$49,0))</f>
        <v>8100</v>
      </c>
      <c r="I2260" s="33" t="n">
        <f aca="false">D2260*INDEX(Products!$D$2:$D$49,MATCH(C2260,Products!$A$2:$A$49,0))*(1+INDEX(Assumptions!$B$16:$B$20,MATCH(B2260,Assumptions!$A$16:$A$20,0)))</f>
        <v>6041.952</v>
      </c>
      <c r="J2260" s="33" t="n">
        <f aca="false">H2260-I2260</f>
        <v>2058.048</v>
      </c>
      <c r="K2260" s="33" t="n">
        <f aca="false">IF(OR(E2260=0,E2260&gt;=7),0,D2260/(7-E2260)*E2260*INDEX(Products!$E$2:$E$49,MATCH(C2260,Products!$A$2:$A$49,0)))</f>
        <v>0</v>
      </c>
    </row>
    <row r="2261" customFormat="false" ht="15" hidden="false" customHeight="false" outlineLevel="0" collapsed="false">
      <c r="A2261" s="36" t="n">
        <v>46181</v>
      </c>
      <c r="B2261" s="24" t="s">
        <v>62</v>
      </c>
      <c r="C2261" s="24" t="s">
        <v>199</v>
      </c>
      <c r="D2261" s="33" t="n">
        <v>55</v>
      </c>
      <c r="E2261" s="24" t="n">
        <v>0</v>
      </c>
      <c r="F2261" s="37" t="n">
        <f aca="false">DATE(YEAR(A2261),MONTH(A2261),1)</f>
        <v>46174</v>
      </c>
      <c r="G2261" s="24" t="str">
        <f aca="false">INDEX(Products!$C$2:$C$49,MATCH(C2261,Products!$A$2:$A$49,0))</f>
        <v>Snacks &amp; Confectionery</v>
      </c>
      <c r="H2261" s="33" t="n">
        <f aca="false">D2261*INDEX(Products!$E$2:$E$49,MATCH(C2261,Products!$A$2:$A$49,0))</f>
        <v>8250</v>
      </c>
      <c r="I2261" s="33" t="n">
        <f aca="false">D2261*INDEX(Products!$D$2:$D$49,MATCH(C2261,Products!$A$2:$A$49,0))*(1+INDEX(Assumptions!$B$16:$B$20,MATCH(B2261,Assumptions!$A$16:$A$20,0)))</f>
        <v>6153.84</v>
      </c>
      <c r="J2261" s="33" t="n">
        <f aca="false">H2261-I2261</f>
        <v>2096.16</v>
      </c>
      <c r="K2261" s="33" t="n">
        <f aca="false">IF(OR(E2261=0,E2261&gt;=7),0,D2261/(7-E2261)*E2261*INDEX(Products!$E$2:$E$49,MATCH(C2261,Products!$A$2:$A$49,0)))</f>
        <v>0</v>
      </c>
    </row>
    <row r="2262" customFormat="false" ht="15" hidden="false" customHeight="false" outlineLevel="0" collapsed="false">
      <c r="A2262" s="36" t="n">
        <v>46188</v>
      </c>
      <c r="B2262" s="24" t="s">
        <v>62</v>
      </c>
      <c r="C2262" s="24" t="s">
        <v>199</v>
      </c>
      <c r="D2262" s="33" t="n">
        <v>52</v>
      </c>
      <c r="E2262" s="24" t="n">
        <v>0</v>
      </c>
      <c r="F2262" s="37" t="n">
        <f aca="false">DATE(YEAR(A2262),MONTH(A2262),1)</f>
        <v>46174</v>
      </c>
      <c r="G2262" s="24" t="str">
        <f aca="false">INDEX(Products!$C$2:$C$49,MATCH(C2262,Products!$A$2:$A$49,0))</f>
        <v>Snacks &amp; Confectionery</v>
      </c>
      <c r="H2262" s="33" t="n">
        <f aca="false">D2262*INDEX(Products!$E$2:$E$49,MATCH(C2262,Products!$A$2:$A$49,0))</f>
        <v>7800</v>
      </c>
      <c r="I2262" s="33" t="n">
        <f aca="false">D2262*INDEX(Products!$D$2:$D$49,MATCH(C2262,Products!$A$2:$A$49,0))*(1+INDEX(Assumptions!$B$16:$B$20,MATCH(B2262,Assumptions!$A$16:$A$20,0)))</f>
        <v>5818.176</v>
      </c>
      <c r="J2262" s="33" t="n">
        <f aca="false">H2262-I2262</f>
        <v>1981.824</v>
      </c>
      <c r="K2262" s="33" t="n">
        <f aca="false">IF(OR(E2262=0,E2262&gt;=7),0,D2262/(7-E2262)*E2262*INDEX(Products!$E$2:$E$49,MATCH(C2262,Products!$A$2:$A$49,0)))</f>
        <v>0</v>
      </c>
    </row>
    <row r="2263" customFormat="false" ht="15" hidden="false" customHeight="false" outlineLevel="0" collapsed="false">
      <c r="A2263" s="36" t="n">
        <v>46195</v>
      </c>
      <c r="B2263" s="24" t="s">
        <v>62</v>
      </c>
      <c r="C2263" s="24" t="s">
        <v>199</v>
      </c>
      <c r="D2263" s="33" t="n">
        <v>45</v>
      </c>
      <c r="E2263" s="24" t="n">
        <v>0</v>
      </c>
      <c r="F2263" s="37" t="n">
        <f aca="false">DATE(YEAR(A2263),MONTH(A2263),1)</f>
        <v>46174</v>
      </c>
      <c r="G2263" s="24" t="str">
        <f aca="false">INDEX(Products!$C$2:$C$49,MATCH(C2263,Products!$A$2:$A$49,0))</f>
        <v>Snacks &amp; Confectionery</v>
      </c>
      <c r="H2263" s="33" t="n">
        <f aca="false">D2263*INDEX(Products!$E$2:$E$49,MATCH(C2263,Products!$A$2:$A$49,0))</f>
        <v>6750</v>
      </c>
      <c r="I2263" s="33" t="n">
        <f aca="false">D2263*INDEX(Products!$D$2:$D$49,MATCH(C2263,Products!$A$2:$A$49,0))*(1+INDEX(Assumptions!$B$16:$B$20,MATCH(B2263,Assumptions!$A$16:$A$20,0)))</f>
        <v>5034.96</v>
      </c>
      <c r="J2263" s="33" t="n">
        <f aca="false">H2263-I2263</f>
        <v>1715.04</v>
      </c>
      <c r="K2263" s="33" t="n">
        <f aca="false">IF(OR(E2263=0,E2263&gt;=7),0,D2263/(7-E2263)*E2263*INDEX(Products!$E$2:$E$49,MATCH(C2263,Products!$A$2:$A$49,0)))</f>
        <v>0</v>
      </c>
    </row>
    <row r="2264" customFormat="false" ht="15" hidden="false" customHeight="false" outlineLevel="0" collapsed="false">
      <c r="A2264" s="36" t="n">
        <v>46202</v>
      </c>
      <c r="B2264" s="24" t="s">
        <v>62</v>
      </c>
      <c r="C2264" s="24" t="s">
        <v>199</v>
      </c>
      <c r="D2264" s="33" t="n">
        <v>53</v>
      </c>
      <c r="E2264" s="24" t="n">
        <v>0</v>
      </c>
      <c r="F2264" s="37" t="n">
        <f aca="false">DATE(YEAR(A2264),MONTH(A2264),1)</f>
        <v>46174</v>
      </c>
      <c r="G2264" s="24" t="str">
        <f aca="false">INDEX(Products!$C$2:$C$49,MATCH(C2264,Products!$A$2:$A$49,0))</f>
        <v>Snacks &amp; Confectionery</v>
      </c>
      <c r="H2264" s="33" t="n">
        <f aca="false">D2264*INDEX(Products!$E$2:$E$49,MATCH(C2264,Products!$A$2:$A$49,0))</f>
        <v>7950</v>
      </c>
      <c r="I2264" s="33" t="n">
        <f aca="false">D2264*INDEX(Products!$D$2:$D$49,MATCH(C2264,Products!$A$2:$A$49,0))*(1+INDEX(Assumptions!$B$16:$B$20,MATCH(B2264,Assumptions!$A$16:$A$20,0)))</f>
        <v>5930.064</v>
      </c>
      <c r="J2264" s="33" t="n">
        <f aca="false">H2264-I2264</f>
        <v>2019.936</v>
      </c>
      <c r="K2264" s="33" t="n">
        <f aca="false">IF(OR(E2264=0,E2264&gt;=7),0,D2264/(7-E2264)*E2264*INDEX(Products!$E$2:$E$49,MATCH(C2264,Products!$A$2:$A$49,0)))</f>
        <v>0</v>
      </c>
    </row>
    <row r="2265" customFormat="false" ht="15" hidden="false" customHeight="false" outlineLevel="0" collapsed="false">
      <c r="A2265" s="36" t="n">
        <v>46209</v>
      </c>
      <c r="B2265" s="24" t="s">
        <v>62</v>
      </c>
      <c r="C2265" s="24" t="s">
        <v>199</v>
      </c>
      <c r="D2265" s="33" t="n">
        <v>42</v>
      </c>
      <c r="E2265" s="24" t="n">
        <v>0</v>
      </c>
      <c r="F2265" s="37" t="n">
        <f aca="false">DATE(YEAR(A2265),MONTH(A2265),1)</f>
        <v>46204</v>
      </c>
      <c r="G2265" s="24" t="str">
        <f aca="false">INDEX(Products!$C$2:$C$49,MATCH(C2265,Products!$A$2:$A$49,0))</f>
        <v>Snacks &amp; Confectionery</v>
      </c>
      <c r="H2265" s="33" t="n">
        <f aca="false">D2265*INDEX(Products!$E$2:$E$49,MATCH(C2265,Products!$A$2:$A$49,0))</f>
        <v>6300</v>
      </c>
      <c r="I2265" s="33" t="n">
        <f aca="false">D2265*INDEX(Products!$D$2:$D$49,MATCH(C2265,Products!$A$2:$A$49,0))*(1+INDEX(Assumptions!$B$16:$B$20,MATCH(B2265,Assumptions!$A$16:$A$20,0)))</f>
        <v>4699.296</v>
      </c>
      <c r="J2265" s="33" t="n">
        <f aca="false">H2265-I2265</f>
        <v>1600.704</v>
      </c>
      <c r="K2265" s="33" t="n">
        <f aca="false">IF(OR(E2265=0,E2265&gt;=7),0,D2265/(7-E2265)*E2265*INDEX(Products!$E$2:$E$49,MATCH(C2265,Products!$A$2:$A$49,0)))</f>
        <v>0</v>
      </c>
    </row>
    <row r="2266" customFormat="false" ht="15" hidden="false" customHeight="false" outlineLevel="0" collapsed="false">
      <c r="A2266" s="36" t="n">
        <v>46216</v>
      </c>
      <c r="B2266" s="24" t="s">
        <v>62</v>
      </c>
      <c r="C2266" s="24" t="s">
        <v>199</v>
      </c>
      <c r="D2266" s="33" t="n">
        <v>36</v>
      </c>
      <c r="E2266" s="24" t="n">
        <v>0</v>
      </c>
      <c r="F2266" s="37" t="n">
        <f aca="false">DATE(YEAR(A2266),MONTH(A2266),1)</f>
        <v>46204</v>
      </c>
      <c r="G2266" s="24" t="str">
        <f aca="false">INDEX(Products!$C$2:$C$49,MATCH(C2266,Products!$A$2:$A$49,0))</f>
        <v>Snacks &amp; Confectionery</v>
      </c>
      <c r="H2266" s="33" t="n">
        <f aca="false">D2266*INDEX(Products!$E$2:$E$49,MATCH(C2266,Products!$A$2:$A$49,0))</f>
        <v>5400</v>
      </c>
      <c r="I2266" s="33" t="n">
        <f aca="false">D2266*INDEX(Products!$D$2:$D$49,MATCH(C2266,Products!$A$2:$A$49,0))*(1+INDEX(Assumptions!$B$16:$B$20,MATCH(B2266,Assumptions!$A$16:$A$20,0)))</f>
        <v>4027.968</v>
      </c>
      <c r="J2266" s="33" t="n">
        <f aca="false">H2266-I2266</f>
        <v>1372.032</v>
      </c>
      <c r="K2266" s="33" t="n">
        <f aca="false">IF(OR(E2266=0,E2266&gt;=7),0,D2266/(7-E2266)*E2266*INDEX(Products!$E$2:$E$49,MATCH(C2266,Products!$A$2:$A$49,0)))</f>
        <v>0</v>
      </c>
    </row>
    <row r="2267" customFormat="false" ht="15" hidden="false" customHeight="false" outlineLevel="0" collapsed="false">
      <c r="A2267" s="36" t="n">
        <v>46223</v>
      </c>
      <c r="B2267" s="24" t="s">
        <v>62</v>
      </c>
      <c r="C2267" s="24" t="s">
        <v>199</v>
      </c>
      <c r="D2267" s="33" t="n">
        <v>43</v>
      </c>
      <c r="E2267" s="24" t="n">
        <v>0</v>
      </c>
      <c r="F2267" s="37" t="n">
        <f aca="false">DATE(YEAR(A2267),MONTH(A2267),1)</f>
        <v>46204</v>
      </c>
      <c r="G2267" s="24" t="str">
        <f aca="false">INDEX(Products!$C$2:$C$49,MATCH(C2267,Products!$A$2:$A$49,0))</f>
        <v>Snacks &amp; Confectionery</v>
      </c>
      <c r="H2267" s="33" t="n">
        <f aca="false">D2267*INDEX(Products!$E$2:$E$49,MATCH(C2267,Products!$A$2:$A$49,0))</f>
        <v>6450</v>
      </c>
      <c r="I2267" s="33" t="n">
        <f aca="false">D2267*INDEX(Products!$D$2:$D$49,MATCH(C2267,Products!$A$2:$A$49,0))*(1+INDEX(Assumptions!$B$16:$B$20,MATCH(B2267,Assumptions!$A$16:$A$20,0)))</f>
        <v>4811.184</v>
      </c>
      <c r="J2267" s="33" t="n">
        <f aca="false">H2267-I2267</f>
        <v>1638.816</v>
      </c>
      <c r="K2267" s="33" t="n">
        <f aca="false">IF(OR(E2267=0,E2267&gt;=7),0,D2267/(7-E2267)*E2267*INDEX(Products!$E$2:$E$49,MATCH(C2267,Products!$A$2:$A$49,0)))</f>
        <v>0</v>
      </c>
    </row>
    <row r="2268" customFormat="false" ht="15" hidden="false" customHeight="false" outlineLevel="0" collapsed="false">
      <c r="A2268" s="36" t="n">
        <v>46230</v>
      </c>
      <c r="B2268" s="24" t="s">
        <v>62</v>
      </c>
      <c r="C2268" s="24" t="s">
        <v>199</v>
      </c>
      <c r="D2268" s="33" t="n">
        <v>48</v>
      </c>
      <c r="E2268" s="24" t="n">
        <v>0</v>
      </c>
      <c r="F2268" s="37" t="n">
        <f aca="false">DATE(YEAR(A2268),MONTH(A2268),1)</f>
        <v>46204</v>
      </c>
      <c r="G2268" s="24" t="str">
        <f aca="false">INDEX(Products!$C$2:$C$49,MATCH(C2268,Products!$A$2:$A$49,0))</f>
        <v>Snacks &amp; Confectionery</v>
      </c>
      <c r="H2268" s="33" t="n">
        <f aca="false">D2268*INDEX(Products!$E$2:$E$49,MATCH(C2268,Products!$A$2:$A$49,0))</f>
        <v>7200</v>
      </c>
      <c r="I2268" s="33" t="n">
        <f aca="false">D2268*INDEX(Products!$D$2:$D$49,MATCH(C2268,Products!$A$2:$A$49,0))*(1+INDEX(Assumptions!$B$16:$B$20,MATCH(B2268,Assumptions!$A$16:$A$20,0)))</f>
        <v>5370.624</v>
      </c>
      <c r="J2268" s="33" t="n">
        <f aca="false">H2268-I2268</f>
        <v>1829.376</v>
      </c>
      <c r="K2268" s="33" t="n">
        <f aca="false">IF(OR(E2268=0,E2268&gt;=7),0,D2268/(7-E2268)*E2268*INDEX(Products!$E$2:$E$49,MATCH(C2268,Products!$A$2:$A$49,0)))</f>
        <v>0</v>
      </c>
    </row>
    <row r="2269" customFormat="false" ht="15" hidden="false" customHeight="false" outlineLevel="0" collapsed="false">
      <c r="A2269" s="36" t="n">
        <v>46237</v>
      </c>
      <c r="B2269" s="24" t="s">
        <v>62</v>
      </c>
      <c r="C2269" s="24" t="s">
        <v>199</v>
      </c>
      <c r="D2269" s="33" t="n">
        <v>28</v>
      </c>
      <c r="E2269" s="24" t="n">
        <v>0</v>
      </c>
      <c r="F2269" s="37" t="n">
        <f aca="false">DATE(YEAR(A2269),MONTH(A2269),1)</f>
        <v>46235</v>
      </c>
      <c r="G2269" s="24" t="str">
        <f aca="false">INDEX(Products!$C$2:$C$49,MATCH(C2269,Products!$A$2:$A$49,0))</f>
        <v>Snacks &amp; Confectionery</v>
      </c>
      <c r="H2269" s="33" t="n">
        <f aca="false">D2269*INDEX(Products!$E$2:$E$49,MATCH(C2269,Products!$A$2:$A$49,0))</f>
        <v>4200</v>
      </c>
      <c r="I2269" s="33" t="n">
        <f aca="false">D2269*INDEX(Products!$D$2:$D$49,MATCH(C2269,Products!$A$2:$A$49,0))*(1+INDEX(Assumptions!$B$16:$B$20,MATCH(B2269,Assumptions!$A$16:$A$20,0)))</f>
        <v>3132.864</v>
      </c>
      <c r="J2269" s="33" t="n">
        <f aca="false">H2269-I2269</f>
        <v>1067.136</v>
      </c>
      <c r="K2269" s="33" t="n">
        <f aca="false">IF(OR(E2269=0,E2269&gt;=7),0,D2269/(7-E2269)*E2269*INDEX(Products!$E$2:$E$49,MATCH(C2269,Products!$A$2:$A$49,0)))</f>
        <v>0</v>
      </c>
    </row>
    <row r="2270" customFormat="false" ht="15" hidden="false" customHeight="false" outlineLevel="0" collapsed="false">
      <c r="A2270" s="36" t="n">
        <v>46244</v>
      </c>
      <c r="B2270" s="24" t="s">
        <v>62</v>
      </c>
      <c r="C2270" s="24" t="s">
        <v>199</v>
      </c>
      <c r="D2270" s="33" t="n">
        <v>40</v>
      </c>
      <c r="E2270" s="24" t="n">
        <v>0</v>
      </c>
      <c r="F2270" s="37" t="n">
        <f aca="false">DATE(YEAR(A2270),MONTH(A2270),1)</f>
        <v>46235</v>
      </c>
      <c r="G2270" s="24" t="str">
        <f aca="false">INDEX(Products!$C$2:$C$49,MATCH(C2270,Products!$A$2:$A$49,0))</f>
        <v>Snacks &amp; Confectionery</v>
      </c>
      <c r="H2270" s="33" t="n">
        <f aca="false">D2270*INDEX(Products!$E$2:$E$49,MATCH(C2270,Products!$A$2:$A$49,0))</f>
        <v>6000</v>
      </c>
      <c r="I2270" s="33" t="n">
        <f aca="false">D2270*INDEX(Products!$D$2:$D$49,MATCH(C2270,Products!$A$2:$A$49,0))*(1+INDEX(Assumptions!$B$16:$B$20,MATCH(B2270,Assumptions!$A$16:$A$20,0)))</f>
        <v>4475.52</v>
      </c>
      <c r="J2270" s="33" t="n">
        <f aca="false">H2270-I2270</f>
        <v>1524.48</v>
      </c>
      <c r="K2270" s="33" t="n">
        <f aca="false">IF(OR(E2270=0,E2270&gt;=7),0,D2270/(7-E2270)*E2270*INDEX(Products!$E$2:$E$49,MATCH(C2270,Products!$A$2:$A$49,0)))</f>
        <v>0</v>
      </c>
    </row>
    <row r="2271" customFormat="false" ht="15" hidden="false" customHeight="false" outlineLevel="0" collapsed="false">
      <c r="A2271" s="36" t="n">
        <v>46251</v>
      </c>
      <c r="B2271" s="24" t="s">
        <v>62</v>
      </c>
      <c r="C2271" s="24" t="s">
        <v>199</v>
      </c>
      <c r="D2271" s="33" t="n">
        <v>33</v>
      </c>
      <c r="E2271" s="24" t="n">
        <v>0</v>
      </c>
      <c r="F2271" s="37" t="n">
        <f aca="false">DATE(YEAR(A2271),MONTH(A2271),1)</f>
        <v>46235</v>
      </c>
      <c r="G2271" s="24" t="str">
        <f aca="false">INDEX(Products!$C$2:$C$49,MATCH(C2271,Products!$A$2:$A$49,0))</f>
        <v>Snacks &amp; Confectionery</v>
      </c>
      <c r="H2271" s="33" t="n">
        <f aca="false">D2271*INDEX(Products!$E$2:$E$49,MATCH(C2271,Products!$A$2:$A$49,0))</f>
        <v>4950</v>
      </c>
      <c r="I2271" s="33" t="n">
        <f aca="false">D2271*INDEX(Products!$D$2:$D$49,MATCH(C2271,Products!$A$2:$A$49,0))*(1+INDEX(Assumptions!$B$16:$B$20,MATCH(B2271,Assumptions!$A$16:$A$20,0)))</f>
        <v>3692.304</v>
      </c>
      <c r="J2271" s="33" t="n">
        <f aca="false">H2271-I2271</f>
        <v>1257.696</v>
      </c>
      <c r="K2271" s="33" t="n">
        <f aca="false">IF(OR(E2271=0,E2271&gt;=7),0,D2271/(7-E2271)*E2271*INDEX(Products!$E$2:$E$49,MATCH(C2271,Products!$A$2:$A$49,0)))</f>
        <v>0</v>
      </c>
    </row>
    <row r="2272" customFormat="false" ht="15" hidden="false" customHeight="false" outlineLevel="0" collapsed="false">
      <c r="A2272" s="36" t="n">
        <v>46258</v>
      </c>
      <c r="B2272" s="24" t="s">
        <v>62</v>
      </c>
      <c r="C2272" s="24" t="s">
        <v>199</v>
      </c>
      <c r="D2272" s="33" t="n">
        <v>35</v>
      </c>
      <c r="E2272" s="24" t="n">
        <v>0</v>
      </c>
      <c r="F2272" s="37" t="n">
        <f aca="false">DATE(YEAR(A2272),MONTH(A2272),1)</f>
        <v>46235</v>
      </c>
      <c r="G2272" s="24" t="str">
        <f aca="false">INDEX(Products!$C$2:$C$49,MATCH(C2272,Products!$A$2:$A$49,0))</f>
        <v>Snacks &amp; Confectionery</v>
      </c>
      <c r="H2272" s="33" t="n">
        <f aca="false">D2272*INDEX(Products!$E$2:$E$49,MATCH(C2272,Products!$A$2:$A$49,0))</f>
        <v>5250</v>
      </c>
      <c r="I2272" s="33" t="n">
        <f aca="false">D2272*INDEX(Products!$D$2:$D$49,MATCH(C2272,Products!$A$2:$A$49,0))*(1+INDEX(Assumptions!$B$16:$B$20,MATCH(B2272,Assumptions!$A$16:$A$20,0)))</f>
        <v>3916.08</v>
      </c>
      <c r="J2272" s="33" t="n">
        <f aca="false">H2272-I2272</f>
        <v>1333.92</v>
      </c>
      <c r="K2272" s="33" t="n">
        <f aca="false">IF(OR(E2272=0,E2272&gt;=7),0,D2272/(7-E2272)*E2272*INDEX(Products!$E$2:$E$49,MATCH(C2272,Products!$A$2:$A$49,0)))</f>
        <v>0</v>
      </c>
    </row>
    <row r="2273" customFormat="false" ht="15" hidden="false" customHeight="false" outlineLevel="0" collapsed="false">
      <c r="A2273" s="36" t="n">
        <v>46265</v>
      </c>
      <c r="B2273" s="24" t="s">
        <v>62</v>
      </c>
      <c r="C2273" s="24" t="s">
        <v>199</v>
      </c>
      <c r="D2273" s="33" t="n">
        <v>46</v>
      </c>
      <c r="E2273" s="24" t="n">
        <v>0</v>
      </c>
      <c r="F2273" s="37" t="n">
        <f aca="false">DATE(YEAR(A2273),MONTH(A2273),1)</f>
        <v>46235</v>
      </c>
      <c r="G2273" s="24" t="str">
        <f aca="false">INDEX(Products!$C$2:$C$49,MATCH(C2273,Products!$A$2:$A$49,0))</f>
        <v>Snacks &amp; Confectionery</v>
      </c>
      <c r="H2273" s="33" t="n">
        <f aca="false">D2273*INDEX(Products!$E$2:$E$49,MATCH(C2273,Products!$A$2:$A$49,0))</f>
        <v>6900</v>
      </c>
      <c r="I2273" s="33" t="n">
        <f aca="false">D2273*INDEX(Products!$D$2:$D$49,MATCH(C2273,Products!$A$2:$A$49,0))*(1+INDEX(Assumptions!$B$16:$B$20,MATCH(B2273,Assumptions!$A$16:$A$20,0)))</f>
        <v>5146.848</v>
      </c>
      <c r="J2273" s="33" t="n">
        <f aca="false">H2273-I2273</f>
        <v>1753.152</v>
      </c>
      <c r="K2273" s="33" t="n">
        <f aca="false">IF(OR(E2273=0,E2273&gt;=7),0,D2273/(7-E2273)*E2273*INDEX(Products!$E$2:$E$49,MATCH(C2273,Products!$A$2:$A$49,0)))</f>
        <v>0</v>
      </c>
    </row>
    <row r="2274" customFormat="false" ht="15" hidden="false" customHeight="false" outlineLevel="0" collapsed="false">
      <c r="A2274" s="36" t="n">
        <v>46272</v>
      </c>
      <c r="B2274" s="24" t="s">
        <v>62</v>
      </c>
      <c r="C2274" s="24" t="s">
        <v>199</v>
      </c>
      <c r="D2274" s="33" t="n">
        <v>29</v>
      </c>
      <c r="E2274" s="24" t="n">
        <v>0</v>
      </c>
      <c r="F2274" s="37" t="n">
        <f aca="false">DATE(YEAR(A2274),MONTH(A2274),1)</f>
        <v>46266</v>
      </c>
      <c r="G2274" s="24" t="str">
        <f aca="false">INDEX(Products!$C$2:$C$49,MATCH(C2274,Products!$A$2:$A$49,0))</f>
        <v>Snacks &amp; Confectionery</v>
      </c>
      <c r="H2274" s="33" t="n">
        <f aca="false">D2274*INDEX(Products!$E$2:$E$49,MATCH(C2274,Products!$A$2:$A$49,0))</f>
        <v>4350</v>
      </c>
      <c r="I2274" s="33" t="n">
        <f aca="false">D2274*INDEX(Products!$D$2:$D$49,MATCH(C2274,Products!$A$2:$A$49,0))*(1+INDEX(Assumptions!$B$16:$B$20,MATCH(B2274,Assumptions!$A$16:$A$20,0)))</f>
        <v>3244.752</v>
      </c>
      <c r="J2274" s="33" t="n">
        <f aca="false">H2274-I2274</f>
        <v>1105.248</v>
      </c>
      <c r="K2274" s="33" t="n">
        <f aca="false">IF(OR(E2274=0,E2274&gt;=7),0,D2274/(7-E2274)*E2274*INDEX(Products!$E$2:$E$49,MATCH(C2274,Products!$A$2:$A$49,0)))</f>
        <v>0</v>
      </c>
    </row>
    <row r="2275" customFormat="false" ht="15" hidden="false" customHeight="false" outlineLevel="0" collapsed="false">
      <c r="A2275" s="36" t="n">
        <v>46279</v>
      </c>
      <c r="B2275" s="24" t="s">
        <v>62</v>
      </c>
      <c r="C2275" s="24" t="s">
        <v>199</v>
      </c>
      <c r="D2275" s="33" t="n">
        <v>34</v>
      </c>
      <c r="E2275" s="24" t="n">
        <v>0</v>
      </c>
      <c r="F2275" s="37" t="n">
        <f aca="false">DATE(YEAR(A2275),MONTH(A2275),1)</f>
        <v>46266</v>
      </c>
      <c r="G2275" s="24" t="str">
        <f aca="false">INDEX(Products!$C$2:$C$49,MATCH(C2275,Products!$A$2:$A$49,0))</f>
        <v>Snacks &amp; Confectionery</v>
      </c>
      <c r="H2275" s="33" t="n">
        <f aca="false">D2275*INDEX(Products!$E$2:$E$49,MATCH(C2275,Products!$A$2:$A$49,0))</f>
        <v>5100</v>
      </c>
      <c r="I2275" s="33" t="n">
        <f aca="false">D2275*INDEX(Products!$D$2:$D$49,MATCH(C2275,Products!$A$2:$A$49,0))*(1+INDEX(Assumptions!$B$16:$B$20,MATCH(B2275,Assumptions!$A$16:$A$20,0)))</f>
        <v>3804.192</v>
      </c>
      <c r="J2275" s="33" t="n">
        <f aca="false">H2275-I2275</f>
        <v>1295.808</v>
      </c>
      <c r="K2275" s="33" t="n">
        <f aca="false">IF(OR(E2275=0,E2275&gt;=7),0,D2275/(7-E2275)*E2275*INDEX(Products!$E$2:$E$49,MATCH(C2275,Products!$A$2:$A$49,0)))</f>
        <v>0</v>
      </c>
    </row>
    <row r="2276" customFormat="false" ht="15" hidden="false" customHeight="false" outlineLevel="0" collapsed="false">
      <c r="A2276" s="36" t="n">
        <v>46286</v>
      </c>
      <c r="B2276" s="24" t="s">
        <v>62</v>
      </c>
      <c r="C2276" s="24" t="s">
        <v>199</v>
      </c>
      <c r="D2276" s="33" t="n">
        <v>39</v>
      </c>
      <c r="E2276" s="24" t="n">
        <v>0</v>
      </c>
      <c r="F2276" s="37" t="n">
        <f aca="false">DATE(YEAR(A2276),MONTH(A2276),1)</f>
        <v>46266</v>
      </c>
      <c r="G2276" s="24" t="str">
        <f aca="false">INDEX(Products!$C$2:$C$49,MATCH(C2276,Products!$A$2:$A$49,0))</f>
        <v>Snacks &amp; Confectionery</v>
      </c>
      <c r="H2276" s="33" t="n">
        <f aca="false">D2276*INDEX(Products!$E$2:$E$49,MATCH(C2276,Products!$A$2:$A$49,0))</f>
        <v>5850</v>
      </c>
      <c r="I2276" s="33" t="n">
        <f aca="false">D2276*INDEX(Products!$D$2:$D$49,MATCH(C2276,Products!$A$2:$A$49,0))*(1+INDEX(Assumptions!$B$16:$B$20,MATCH(B2276,Assumptions!$A$16:$A$20,0)))</f>
        <v>4363.632</v>
      </c>
      <c r="J2276" s="33" t="n">
        <f aca="false">H2276-I2276</f>
        <v>1486.368</v>
      </c>
      <c r="K2276" s="33" t="n">
        <f aca="false">IF(OR(E2276=0,E2276&gt;=7),0,D2276/(7-E2276)*E2276*INDEX(Products!$E$2:$E$49,MATCH(C2276,Products!$A$2:$A$49,0)))</f>
        <v>0</v>
      </c>
    </row>
    <row r="2277" customFormat="false" ht="15" hidden="false" customHeight="false" outlineLevel="0" collapsed="false">
      <c r="A2277" s="36" t="n">
        <v>46118</v>
      </c>
      <c r="B2277" s="24" t="s">
        <v>62</v>
      </c>
      <c r="C2277" s="24" t="s">
        <v>201</v>
      </c>
      <c r="D2277" s="33" t="n">
        <v>109</v>
      </c>
      <c r="E2277" s="24" t="n">
        <v>0</v>
      </c>
      <c r="F2277" s="37" t="n">
        <f aca="false">DATE(YEAR(A2277),MONTH(A2277),1)</f>
        <v>46113</v>
      </c>
      <c r="G2277" s="24" t="str">
        <f aca="false">INDEX(Products!$C$2:$C$49,MATCH(C2277,Products!$A$2:$A$49,0))</f>
        <v>Snacks &amp; Confectionery</v>
      </c>
      <c r="H2277" s="33" t="n">
        <f aca="false">D2277*INDEX(Products!$E$2:$E$49,MATCH(C2277,Products!$A$2:$A$49,0))</f>
        <v>17440</v>
      </c>
      <c r="I2277" s="33" t="n">
        <f aca="false">D2277*INDEX(Products!$D$2:$D$49,MATCH(C2277,Products!$A$2:$A$49,0))*(1+INDEX(Assumptions!$B$16:$B$20,MATCH(B2277,Assumptions!$A$16:$A$20,0)))</f>
        <v>13184.64</v>
      </c>
      <c r="J2277" s="33" t="n">
        <f aca="false">H2277-I2277</f>
        <v>4255.36</v>
      </c>
      <c r="K2277" s="33" t="n">
        <f aca="false">IF(OR(E2277=0,E2277&gt;=7),0,D2277/(7-E2277)*E2277*INDEX(Products!$E$2:$E$49,MATCH(C2277,Products!$A$2:$A$49,0)))</f>
        <v>0</v>
      </c>
    </row>
    <row r="2278" customFormat="false" ht="15" hidden="false" customHeight="false" outlineLevel="0" collapsed="false">
      <c r="A2278" s="36" t="n">
        <v>46125</v>
      </c>
      <c r="B2278" s="24" t="s">
        <v>62</v>
      </c>
      <c r="C2278" s="24" t="s">
        <v>201</v>
      </c>
      <c r="D2278" s="33" t="n">
        <v>132</v>
      </c>
      <c r="E2278" s="24" t="n">
        <v>0</v>
      </c>
      <c r="F2278" s="37" t="n">
        <f aca="false">DATE(YEAR(A2278),MONTH(A2278),1)</f>
        <v>46113</v>
      </c>
      <c r="G2278" s="24" t="str">
        <f aca="false">INDEX(Products!$C$2:$C$49,MATCH(C2278,Products!$A$2:$A$49,0))</f>
        <v>Snacks &amp; Confectionery</v>
      </c>
      <c r="H2278" s="33" t="n">
        <f aca="false">D2278*INDEX(Products!$E$2:$E$49,MATCH(C2278,Products!$A$2:$A$49,0))</f>
        <v>21120</v>
      </c>
      <c r="I2278" s="33" t="n">
        <f aca="false">D2278*INDEX(Products!$D$2:$D$49,MATCH(C2278,Products!$A$2:$A$49,0))*(1+INDEX(Assumptions!$B$16:$B$20,MATCH(B2278,Assumptions!$A$16:$A$20,0)))</f>
        <v>15966.72</v>
      </c>
      <c r="J2278" s="33" t="n">
        <f aca="false">H2278-I2278</f>
        <v>5153.28</v>
      </c>
      <c r="K2278" s="33" t="n">
        <f aca="false">IF(OR(E2278=0,E2278&gt;=7),0,D2278/(7-E2278)*E2278*INDEX(Products!$E$2:$E$49,MATCH(C2278,Products!$A$2:$A$49,0)))</f>
        <v>0</v>
      </c>
    </row>
    <row r="2279" customFormat="false" ht="15" hidden="false" customHeight="false" outlineLevel="0" collapsed="false">
      <c r="A2279" s="36" t="n">
        <v>46132</v>
      </c>
      <c r="B2279" s="24" t="s">
        <v>62</v>
      </c>
      <c r="C2279" s="24" t="s">
        <v>201</v>
      </c>
      <c r="D2279" s="33" t="n">
        <v>129</v>
      </c>
      <c r="E2279" s="24" t="n">
        <v>0</v>
      </c>
      <c r="F2279" s="37" t="n">
        <f aca="false">DATE(YEAR(A2279),MONTH(A2279),1)</f>
        <v>46113</v>
      </c>
      <c r="G2279" s="24" t="str">
        <f aca="false">INDEX(Products!$C$2:$C$49,MATCH(C2279,Products!$A$2:$A$49,0))</f>
        <v>Snacks &amp; Confectionery</v>
      </c>
      <c r="H2279" s="33" t="n">
        <f aca="false">D2279*INDEX(Products!$E$2:$E$49,MATCH(C2279,Products!$A$2:$A$49,0))</f>
        <v>20640</v>
      </c>
      <c r="I2279" s="33" t="n">
        <f aca="false">D2279*INDEX(Products!$D$2:$D$49,MATCH(C2279,Products!$A$2:$A$49,0))*(1+INDEX(Assumptions!$B$16:$B$20,MATCH(B2279,Assumptions!$A$16:$A$20,0)))</f>
        <v>15603.84</v>
      </c>
      <c r="J2279" s="33" t="n">
        <f aca="false">H2279-I2279</f>
        <v>5036.16</v>
      </c>
      <c r="K2279" s="33" t="n">
        <f aca="false">IF(OR(E2279=0,E2279&gt;=7),0,D2279/(7-E2279)*E2279*INDEX(Products!$E$2:$E$49,MATCH(C2279,Products!$A$2:$A$49,0)))</f>
        <v>0</v>
      </c>
    </row>
    <row r="2280" customFormat="false" ht="15" hidden="false" customHeight="false" outlineLevel="0" collapsed="false">
      <c r="A2280" s="36" t="n">
        <v>46139</v>
      </c>
      <c r="B2280" s="24" t="s">
        <v>62</v>
      </c>
      <c r="C2280" s="24" t="s">
        <v>201</v>
      </c>
      <c r="D2280" s="33" t="n">
        <v>137</v>
      </c>
      <c r="E2280" s="24" t="n">
        <v>0</v>
      </c>
      <c r="F2280" s="37" t="n">
        <f aca="false">DATE(YEAR(A2280),MONTH(A2280),1)</f>
        <v>46113</v>
      </c>
      <c r="G2280" s="24" t="str">
        <f aca="false">INDEX(Products!$C$2:$C$49,MATCH(C2280,Products!$A$2:$A$49,0))</f>
        <v>Snacks &amp; Confectionery</v>
      </c>
      <c r="H2280" s="33" t="n">
        <f aca="false">D2280*INDEX(Products!$E$2:$E$49,MATCH(C2280,Products!$A$2:$A$49,0))</f>
        <v>21920</v>
      </c>
      <c r="I2280" s="33" t="n">
        <f aca="false">D2280*INDEX(Products!$D$2:$D$49,MATCH(C2280,Products!$A$2:$A$49,0))*(1+INDEX(Assumptions!$B$16:$B$20,MATCH(B2280,Assumptions!$A$16:$A$20,0)))</f>
        <v>16571.52</v>
      </c>
      <c r="J2280" s="33" t="n">
        <f aca="false">H2280-I2280</f>
        <v>5348.48</v>
      </c>
      <c r="K2280" s="33" t="n">
        <f aca="false">IF(OR(E2280=0,E2280&gt;=7),0,D2280/(7-E2280)*E2280*INDEX(Products!$E$2:$E$49,MATCH(C2280,Products!$A$2:$A$49,0)))</f>
        <v>0</v>
      </c>
    </row>
    <row r="2281" customFormat="false" ht="15" hidden="false" customHeight="false" outlineLevel="0" collapsed="false">
      <c r="A2281" s="36" t="n">
        <v>46146</v>
      </c>
      <c r="B2281" s="24" t="s">
        <v>62</v>
      </c>
      <c r="C2281" s="24" t="s">
        <v>201</v>
      </c>
      <c r="D2281" s="33" t="n">
        <v>137</v>
      </c>
      <c r="E2281" s="24" t="n">
        <v>0</v>
      </c>
      <c r="F2281" s="37" t="n">
        <f aca="false">DATE(YEAR(A2281),MONTH(A2281),1)</f>
        <v>46143</v>
      </c>
      <c r="G2281" s="24" t="str">
        <f aca="false">INDEX(Products!$C$2:$C$49,MATCH(C2281,Products!$A$2:$A$49,0))</f>
        <v>Snacks &amp; Confectionery</v>
      </c>
      <c r="H2281" s="33" t="n">
        <f aca="false">D2281*INDEX(Products!$E$2:$E$49,MATCH(C2281,Products!$A$2:$A$49,0))</f>
        <v>21920</v>
      </c>
      <c r="I2281" s="33" t="n">
        <f aca="false">D2281*INDEX(Products!$D$2:$D$49,MATCH(C2281,Products!$A$2:$A$49,0))*(1+INDEX(Assumptions!$B$16:$B$20,MATCH(B2281,Assumptions!$A$16:$A$20,0)))</f>
        <v>16571.52</v>
      </c>
      <c r="J2281" s="33" t="n">
        <f aca="false">H2281-I2281</f>
        <v>5348.48</v>
      </c>
      <c r="K2281" s="33" t="n">
        <f aca="false">IF(OR(E2281=0,E2281&gt;=7),0,D2281/(7-E2281)*E2281*INDEX(Products!$E$2:$E$49,MATCH(C2281,Products!$A$2:$A$49,0)))</f>
        <v>0</v>
      </c>
    </row>
    <row r="2282" customFormat="false" ht="15" hidden="false" customHeight="false" outlineLevel="0" collapsed="false">
      <c r="A2282" s="36" t="n">
        <v>46153</v>
      </c>
      <c r="B2282" s="24" t="s">
        <v>62</v>
      </c>
      <c r="C2282" s="24" t="s">
        <v>201</v>
      </c>
      <c r="D2282" s="33" t="n">
        <v>121</v>
      </c>
      <c r="E2282" s="24" t="n">
        <v>0</v>
      </c>
      <c r="F2282" s="37" t="n">
        <f aca="false">DATE(YEAR(A2282),MONTH(A2282),1)</f>
        <v>46143</v>
      </c>
      <c r="G2282" s="24" t="str">
        <f aca="false">INDEX(Products!$C$2:$C$49,MATCH(C2282,Products!$A$2:$A$49,0))</f>
        <v>Snacks &amp; Confectionery</v>
      </c>
      <c r="H2282" s="33" t="n">
        <f aca="false">D2282*INDEX(Products!$E$2:$E$49,MATCH(C2282,Products!$A$2:$A$49,0))</f>
        <v>19360</v>
      </c>
      <c r="I2282" s="33" t="n">
        <f aca="false">D2282*INDEX(Products!$D$2:$D$49,MATCH(C2282,Products!$A$2:$A$49,0))*(1+INDEX(Assumptions!$B$16:$B$20,MATCH(B2282,Assumptions!$A$16:$A$20,0)))</f>
        <v>14636.16</v>
      </c>
      <c r="J2282" s="33" t="n">
        <f aca="false">H2282-I2282</f>
        <v>4723.84</v>
      </c>
      <c r="K2282" s="33" t="n">
        <f aca="false">IF(OR(E2282=0,E2282&gt;=7),0,D2282/(7-E2282)*E2282*INDEX(Products!$E$2:$E$49,MATCH(C2282,Products!$A$2:$A$49,0)))</f>
        <v>0</v>
      </c>
    </row>
    <row r="2283" customFormat="false" ht="15" hidden="false" customHeight="false" outlineLevel="0" collapsed="false">
      <c r="A2283" s="36" t="n">
        <v>46160</v>
      </c>
      <c r="B2283" s="24" t="s">
        <v>62</v>
      </c>
      <c r="C2283" s="24" t="s">
        <v>201</v>
      </c>
      <c r="D2283" s="33" t="n">
        <v>124</v>
      </c>
      <c r="E2283" s="24" t="n">
        <v>0</v>
      </c>
      <c r="F2283" s="37" t="n">
        <f aca="false">DATE(YEAR(A2283),MONTH(A2283),1)</f>
        <v>46143</v>
      </c>
      <c r="G2283" s="24" t="str">
        <f aca="false">INDEX(Products!$C$2:$C$49,MATCH(C2283,Products!$A$2:$A$49,0))</f>
        <v>Snacks &amp; Confectionery</v>
      </c>
      <c r="H2283" s="33" t="n">
        <f aca="false">D2283*INDEX(Products!$E$2:$E$49,MATCH(C2283,Products!$A$2:$A$49,0))</f>
        <v>19840</v>
      </c>
      <c r="I2283" s="33" t="n">
        <f aca="false">D2283*INDEX(Products!$D$2:$D$49,MATCH(C2283,Products!$A$2:$A$49,0))*(1+INDEX(Assumptions!$B$16:$B$20,MATCH(B2283,Assumptions!$A$16:$A$20,0)))</f>
        <v>14999.04</v>
      </c>
      <c r="J2283" s="33" t="n">
        <f aca="false">H2283-I2283</f>
        <v>4840.96</v>
      </c>
      <c r="K2283" s="33" t="n">
        <f aca="false">IF(OR(E2283=0,E2283&gt;=7),0,D2283/(7-E2283)*E2283*INDEX(Products!$E$2:$E$49,MATCH(C2283,Products!$A$2:$A$49,0)))</f>
        <v>0</v>
      </c>
    </row>
    <row r="2284" customFormat="false" ht="15" hidden="false" customHeight="false" outlineLevel="0" collapsed="false">
      <c r="A2284" s="36" t="n">
        <v>46167</v>
      </c>
      <c r="B2284" s="24" t="s">
        <v>62</v>
      </c>
      <c r="C2284" s="24" t="s">
        <v>201</v>
      </c>
      <c r="D2284" s="33" t="n">
        <v>37</v>
      </c>
      <c r="E2284" s="24" t="n">
        <v>5</v>
      </c>
      <c r="F2284" s="37" t="n">
        <f aca="false">DATE(YEAR(A2284),MONTH(A2284),1)</f>
        <v>46143</v>
      </c>
      <c r="G2284" s="24" t="str">
        <f aca="false">INDEX(Products!$C$2:$C$49,MATCH(C2284,Products!$A$2:$A$49,0))</f>
        <v>Snacks &amp; Confectionery</v>
      </c>
      <c r="H2284" s="33" t="n">
        <f aca="false">D2284*INDEX(Products!$E$2:$E$49,MATCH(C2284,Products!$A$2:$A$49,0))</f>
        <v>5920</v>
      </c>
      <c r="I2284" s="33" t="n">
        <f aca="false">D2284*INDEX(Products!$D$2:$D$49,MATCH(C2284,Products!$A$2:$A$49,0))*(1+INDEX(Assumptions!$B$16:$B$20,MATCH(B2284,Assumptions!$A$16:$A$20,0)))</f>
        <v>4475.52</v>
      </c>
      <c r="J2284" s="33" t="n">
        <f aca="false">H2284-I2284</f>
        <v>1444.48</v>
      </c>
      <c r="K2284" s="33" t="n">
        <f aca="false">IF(OR(E2284=0,E2284&gt;=7),0,D2284/(7-E2284)*E2284*INDEX(Products!$E$2:$E$49,MATCH(C2284,Products!$A$2:$A$49,0)))</f>
        <v>14800</v>
      </c>
    </row>
    <row r="2285" customFormat="false" ht="15" hidden="false" customHeight="false" outlineLevel="0" collapsed="false">
      <c r="A2285" s="36" t="n">
        <v>46174</v>
      </c>
      <c r="B2285" s="24" t="s">
        <v>62</v>
      </c>
      <c r="C2285" s="24" t="s">
        <v>201</v>
      </c>
      <c r="D2285" s="33" t="n">
        <v>132</v>
      </c>
      <c r="E2285" s="24" t="n">
        <v>0</v>
      </c>
      <c r="F2285" s="37" t="n">
        <f aca="false">DATE(YEAR(A2285),MONTH(A2285),1)</f>
        <v>46174</v>
      </c>
      <c r="G2285" s="24" t="str">
        <f aca="false">INDEX(Products!$C$2:$C$49,MATCH(C2285,Products!$A$2:$A$49,0))</f>
        <v>Snacks &amp; Confectionery</v>
      </c>
      <c r="H2285" s="33" t="n">
        <f aca="false">D2285*INDEX(Products!$E$2:$E$49,MATCH(C2285,Products!$A$2:$A$49,0))</f>
        <v>21120</v>
      </c>
      <c r="I2285" s="33" t="n">
        <f aca="false">D2285*INDEX(Products!$D$2:$D$49,MATCH(C2285,Products!$A$2:$A$49,0))*(1+INDEX(Assumptions!$B$16:$B$20,MATCH(B2285,Assumptions!$A$16:$A$20,0)))</f>
        <v>15966.72</v>
      </c>
      <c r="J2285" s="33" t="n">
        <f aca="false">H2285-I2285</f>
        <v>5153.28</v>
      </c>
      <c r="K2285" s="33" t="n">
        <f aca="false">IF(OR(E2285=0,E2285&gt;=7),0,D2285/(7-E2285)*E2285*INDEX(Products!$E$2:$E$49,MATCH(C2285,Products!$A$2:$A$49,0)))</f>
        <v>0</v>
      </c>
    </row>
    <row r="2286" customFormat="false" ht="15" hidden="false" customHeight="false" outlineLevel="0" collapsed="false">
      <c r="A2286" s="36" t="n">
        <v>46181</v>
      </c>
      <c r="B2286" s="24" t="s">
        <v>62</v>
      </c>
      <c r="C2286" s="24" t="s">
        <v>201</v>
      </c>
      <c r="D2286" s="33" t="n">
        <v>101</v>
      </c>
      <c r="E2286" s="24" t="n">
        <v>0</v>
      </c>
      <c r="F2286" s="37" t="n">
        <f aca="false">DATE(YEAR(A2286),MONTH(A2286),1)</f>
        <v>46174</v>
      </c>
      <c r="G2286" s="24" t="str">
        <f aca="false">INDEX(Products!$C$2:$C$49,MATCH(C2286,Products!$A$2:$A$49,0))</f>
        <v>Snacks &amp; Confectionery</v>
      </c>
      <c r="H2286" s="33" t="n">
        <f aca="false">D2286*INDEX(Products!$E$2:$E$49,MATCH(C2286,Products!$A$2:$A$49,0))</f>
        <v>16160</v>
      </c>
      <c r="I2286" s="33" t="n">
        <f aca="false">D2286*INDEX(Products!$D$2:$D$49,MATCH(C2286,Products!$A$2:$A$49,0))*(1+INDEX(Assumptions!$B$16:$B$20,MATCH(B2286,Assumptions!$A$16:$A$20,0)))</f>
        <v>12216.96</v>
      </c>
      <c r="J2286" s="33" t="n">
        <f aca="false">H2286-I2286</f>
        <v>3943.04</v>
      </c>
      <c r="K2286" s="33" t="n">
        <f aca="false">IF(OR(E2286=0,E2286&gt;=7),0,D2286/(7-E2286)*E2286*INDEX(Products!$E$2:$E$49,MATCH(C2286,Products!$A$2:$A$49,0)))</f>
        <v>0</v>
      </c>
    </row>
    <row r="2287" customFormat="false" ht="15" hidden="false" customHeight="false" outlineLevel="0" collapsed="false">
      <c r="A2287" s="36" t="n">
        <v>46188</v>
      </c>
      <c r="B2287" s="24" t="s">
        <v>62</v>
      </c>
      <c r="C2287" s="24" t="s">
        <v>201</v>
      </c>
      <c r="D2287" s="33" t="n">
        <v>127</v>
      </c>
      <c r="E2287" s="24" t="n">
        <v>0</v>
      </c>
      <c r="F2287" s="37" t="n">
        <f aca="false">DATE(YEAR(A2287),MONTH(A2287),1)</f>
        <v>46174</v>
      </c>
      <c r="G2287" s="24" t="str">
        <f aca="false">INDEX(Products!$C$2:$C$49,MATCH(C2287,Products!$A$2:$A$49,0))</f>
        <v>Snacks &amp; Confectionery</v>
      </c>
      <c r="H2287" s="33" t="n">
        <f aca="false">D2287*INDEX(Products!$E$2:$E$49,MATCH(C2287,Products!$A$2:$A$49,0))</f>
        <v>20320</v>
      </c>
      <c r="I2287" s="33" t="n">
        <f aca="false">D2287*INDEX(Products!$D$2:$D$49,MATCH(C2287,Products!$A$2:$A$49,0))*(1+INDEX(Assumptions!$B$16:$B$20,MATCH(B2287,Assumptions!$A$16:$A$20,0)))</f>
        <v>15361.92</v>
      </c>
      <c r="J2287" s="33" t="n">
        <f aca="false">H2287-I2287</f>
        <v>4958.08</v>
      </c>
      <c r="K2287" s="33" t="n">
        <f aca="false">IF(OR(E2287=0,E2287&gt;=7),0,D2287/(7-E2287)*E2287*INDEX(Products!$E$2:$E$49,MATCH(C2287,Products!$A$2:$A$49,0)))</f>
        <v>0</v>
      </c>
    </row>
    <row r="2288" customFormat="false" ht="15" hidden="false" customHeight="false" outlineLevel="0" collapsed="false">
      <c r="A2288" s="36" t="n">
        <v>46195</v>
      </c>
      <c r="B2288" s="24" t="s">
        <v>62</v>
      </c>
      <c r="C2288" s="24" t="s">
        <v>201</v>
      </c>
      <c r="D2288" s="33" t="n">
        <v>93</v>
      </c>
      <c r="E2288" s="24" t="n">
        <v>0</v>
      </c>
      <c r="F2288" s="37" t="n">
        <f aca="false">DATE(YEAR(A2288),MONTH(A2288),1)</f>
        <v>46174</v>
      </c>
      <c r="G2288" s="24" t="str">
        <f aca="false">INDEX(Products!$C$2:$C$49,MATCH(C2288,Products!$A$2:$A$49,0))</f>
        <v>Snacks &amp; Confectionery</v>
      </c>
      <c r="H2288" s="33" t="n">
        <f aca="false">D2288*INDEX(Products!$E$2:$E$49,MATCH(C2288,Products!$A$2:$A$49,0))</f>
        <v>14880</v>
      </c>
      <c r="I2288" s="33" t="n">
        <f aca="false">D2288*INDEX(Products!$D$2:$D$49,MATCH(C2288,Products!$A$2:$A$49,0))*(1+INDEX(Assumptions!$B$16:$B$20,MATCH(B2288,Assumptions!$A$16:$A$20,0)))</f>
        <v>11249.28</v>
      </c>
      <c r="J2288" s="33" t="n">
        <f aca="false">H2288-I2288</f>
        <v>3630.72</v>
      </c>
      <c r="K2288" s="33" t="n">
        <f aca="false">IF(OR(E2288=0,E2288&gt;=7),0,D2288/(7-E2288)*E2288*INDEX(Products!$E$2:$E$49,MATCH(C2288,Products!$A$2:$A$49,0)))</f>
        <v>0</v>
      </c>
    </row>
    <row r="2289" customFormat="false" ht="15" hidden="false" customHeight="false" outlineLevel="0" collapsed="false">
      <c r="A2289" s="36" t="n">
        <v>46202</v>
      </c>
      <c r="B2289" s="24" t="s">
        <v>62</v>
      </c>
      <c r="C2289" s="24" t="s">
        <v>201</v>
      </c>
      <c r="D2289" s="33" t="n">
        <v>115</v>
      </c>
      <c r="E2289" s="24" t="n">
        <v>0</v>
      </c>
      <c r="F2289" s="37" t="n">
        <f aca="false">DATE(YEAR(A2289),MONTH(A2289),1)</f>
        <v>46174</v>
      </c>
      <c r="G2289" s="24" t="str">
        <f aca="false">INDEX(Products!$C$2:$C$49,MATCH(C2289,Products!$A$2:$A$49,0))</f>
        <v>Snacks &amp; Confectionery</v>
      </c>
      <c r="H2289" s="33" t="n">
        <f aca="false">D2289*INDEX(Products!$E$2:$E$49,MATCH(C2289,Products!$A$2:$A$49,0))</f>
        <v>18400</v>
      </c>
      <c r="I2289" s="33" t="n">
        <f aca="false">D2289*INDEX(Products!$D$2:$D$49,MATCH(C2289,Products!$A$2:$A$49,0))*(1+INDEX(Assumptions!$B$16:$B$20,MATCH(B2289,Assumptions!$A$16:$A$20,0)))</f>
        <v>13910.4</v>
      </c>
      <c r="J2289" s="33" t="n">
        <f aca="false">H2289-I2289</f>
        <v>4489.6</v>
      </c>
      <c r="K2289" s="33" t="n">
        <f aca="false">IF(OR(E2289=0,E2289&gt;=7),0,D2289/(7-E2289)*E2289*INDEX(Products!$E$2:$E$49,MATCH(C2289,Products!$A$2:$A$49,0)))</f>
        <v>0</v>
      </c>
    </row>
    <row r="2290" customFormat="false" ht="15" hidden="false" customHeight="false" outlineLevel="0" collapsed="false">
      <c r="A2290" s="36" t="n">
        <v>46209</v>
      </c>
      <c r="B2290" s="24" t="s">
        <v>62</v>
      </c>
      <c r="C2290" s="24" t="s">
        <v>201</v>
      </c>
      <c r="D2290" s="33" t="n">
        <v>100</v>
      </c>
      <c r="E2290" s="24" t="n">
        <v>0</v>
      </c>
      <c r="F2290" s="37" t="n">
        <f aca="false">DATE(YEAR(A2290),MONTH(A2290),1)</f>
        <v>46204</v>
      </c>
      <c r="G2290" s="24" t="str">
        <f aca="false">INDEX(Products!$C$2:$C$49,MATCH(C2290,Products!$A$2:$A$49,0))</f>
        <v>Snacks &amp; Confectionery</v>
      </c>
      <c r="H2290" s="33" t="n">
        <f aca="false">D2290*INDEX(Products!$E$2:$E$49,MATCH(C2290,Products!$A$2:$A$49,0))</f>
        <v>16000</v>
      </c>
      <c r="I2290" s="33" t="n">
        <f aca="false">D2290*INDEX(Products!$D$2:$D$49,MATCH(C2290,Products!$A$2:$A$49,0))*(1+INDEX(Assumptions!$B$16:$B$20,MATCH(B2290,Assumptions!$A$16:$A$20,0)))</f>
        <v>12096</v>
      </c>
      <c r="J2290" s="33" t="n">
        <f aca="false">H2290-I2290</f>
        <v>3904</v>
      </c>
      <c r="K2290" s="33" t="n">
        <f aca="false">IF(OR(E2290=0,E2290&gt;=7),0,D2290/(7-E2290)*E2290*INDEX(Products!$E$2:$E$49,MATCH(C2290,Products!$A$2:$A$49,0)))</f>
        <v>0</v>
      </c>
    </row>
    <row r="2291" customFormat="false" ht="15" hidden="false" customHeight="false" outlineLevel="0" collapsed="false">
      <c r="A2291" s="36" t="n">
        <v>46216</v>
      </c>
      <c r="B2291" s="24" t="s">
        <v>62</v>
      </c>
      <c r="C2291" s="24" t="s">
        <v>201</v>
      </c>
      <c r="D2291" s="33" t="n">
        <v>98</v>
      </c>
      <c r="E2291" s="24" t="n">
        <v>0</v>
      </c>
      <c r="F2291" s="37" t="n">
        <f aca="false">DATE(YEAR(A2291),MONTH(A2291),1)</f>
        <v>46204</v>
      </c>
      <c r="G2291" s="24" t="str">
        <f aca="false">INDEX(Products!$C$2:$C$49,MATCH(C2291,Products!$A$2:$A$49,0))</f>
        <v>Snacks &amp; Confectionery</v>
      </c>
      <c r="H2291" s="33" t="n">
        <f aca="false">D2291*INDEX(Products!$E$2:$E$49,MATCH(C2291,Products!$A$2:$A$49,0))</f>
        <v>15680</v>
      </c>
      <c r="I2291" s="33" t="n">
        <f aca="false">D2291*INDEX(Products!$D$2:$D$49,MATCH(C2291,Products!$A$2:$A$49,0))*(1+INDEX(Assumptions!$B$16:$B$20,MATCH(B2291,Assumptions!$A$16:$A$20,0)))</f>
        <v>11854.08</v>
      </c>
      <c r="J2291" s="33" t="n">
        <f aca="false">H2291-I2291</f>
        <v>3825.92</v>
      </c>
      <c r="K2291" s="33" t="n">
        <f aca="false">IF(OR(E2291=0,E2291&gt;=7),0,D2291/(7-E2291)*E2291*INDEX(Products!$E$2:$E$49,MATCH(C2291,Products!$A$2:$A$49,0)))</f>
        <v>0</v>
      </c>
    </row>
    <row r="2292" customFormat="false" ht="15" hidden="false" customHeight="false" outlineLevel="0" collapsed="false">
      <c r="A2292" s="36" t="n">
        <v>46223</v>
      </c>
      <c r="B2292" s="24" t="s">
        <v>62</v>
      </c>
      <c r="C2292" s="24" t="s">
        <v>201</v>
      </c>
      <c r="D2292" s="33" t="n">
        <v>137</v>
      </c>
      <c r="E2292" s="24" t="n">
        <v>0</v>
      </c>
      <c r="F2292" s="37" t="n">
        <f aca="false">DATE(YEAR(A2292),MONTH(A2292),1)</f>
        <v>46204</v>
      </c>
      <c r="G2292" s="24" t="str">
        <f aca="false">INDEX(Products!$C$2:$C$49,MATCH(C2292,Products!$A$2:$A$49,0))</f>
        <v>Snacks &amp; Confectionery</v>
      </c>
      <c r="H2292" s="33" t="n">
        <f aca="false">D2292*INDEX(Products!$E$2:$E$49,MATCH(C2292,Products!$A$2:$A$49,0))</f>
        <v>21920</v>
      </c>
      <c r="I2292" s="33" t="n">
        <f aca="false">D2292*INDEX(Products!$D$2:$D$49,MATCH(C2292,Products!$A$2:$A$49,0))*(1+INDEX(Assumptions!$B$16:$B$20,MATCH(B2292,Assumptions!$A$16:$A$20,0)))</f>
        <v>16571.52</v>
      </c>
      <c r="J2292" s="33" t="n">
        <f aca="false">H2292-I2292</f>
        <v>5348.48</v>
      </c>
      <c r="K2292" s="33" t="n">
        <f aca="false">IF(OR(E2292=0,E2292&gt;=7),0,D2292/(7-E2292)*E2292*INDEX(Products!$E$2:$E$49,MATCH(C2292,Products!$A$2:$A$49,0)))</f>
        <v>0</v>
      </c>
    </row>
    <row r="2293" customFormat="false" ht="15" hidden="false" customHeight="false" outlineLevel="0" collapsed="false">
      <c r="A2293" s="36" t="n">
        <v>46230</v>
      </c>
      <c r="B2293" s="24" t="s">
        <v>62</v>
      </c>
      <c r="C2293" s="24" t="s">
        <v>201</v>
      </c>
      <c r="D2293" s="33" t="n">
        <v>98</v>
      </c>
      <c r="E2293" s="24" t="n">
        <v>1</v>
      </c>
      <c r="F2293" s="37" t="n">
        <f aca="false">DATE(YEAR(A2293),MONTH(A2293),1)</f>
        <v>46204</v>
      </c>
      <c r="G2293" s="24" t="str">
        <f aca="false">INDEX(Products!$C$2:$C$49,MATCH(C2293,Products!$A$2:$A$49,0))</f>
        <v>Snacks &amp; Confectionery</v>
      </c>
      <c r="H2293" s="33" t="n">
        <f aca="false">D2293*INDEX(Products!$E$2:$E$49,MATCH(C2293,Products!$A$2:$A$49,0))</f>
        <v>15680</v>
      </c>
      <c r="I2293" s="33" t="n">
        <f aca="false">D2293*INDEX(Products!$D$2:$D$49,MATCH(C2293,Products!$A$2:$A$49,0))*(1+INDEX(Assumptions!$B$16:$B$20,MATCH(B2293,Assumptions!$A$16:$A$20,0)))</f>
        <v>11854.08</v>
      </c>
      <c r="J2293" s="33" t="n">
        <f aca="false">H2293-I2293</f>
        <v>3825.92</v>
      </c>
      <c r="K2293" s="33" t="n">
        <f aca="false">IF(OR(E2293=0,E2293&gt;=7),0,D2293/(7-E2293)*E2293*INDEX(Products!$E$2:$E$49,MATCH(C2293,Products!$A$2:$A$49,0)))</f>
        <v>2613.33333333333</v>
      </c>
    </row>
    <row r="2294" customFormat="false" ht="15" hidden="false" customHeight="false" outlineLevel="0" collapsed="false">
      <c r="A2294" s="36" t="n">
        <v>46237</v>
      </c>
      <c r="B2294" s="24" t="s">
        <v>62</v>
      </c>
      <c r="C2294" s="24" t="s">
        <v>201</v>
      </c>
      <c r="D2294" s="33" t="n">
        <v>58</v>
      </c>
      <c r="E2294" s="24" t="n">
        <v>3</v>
      </c>
      <c r="F2294" s="37" t="n">
        <f aca="false">DATE(YEAR(A2294),MONTH(A2294),1)</f>
        <v>46235</v>
      </c>
      <c r="G2294" s="24" t="str">
        <f aca="false">INDEX(Products!$C$2:$C$49,MATCH(C2294,Products!$A$2:$A$49,0))</f>
        <v>Snacks &amp; Confectionery</v>
      </c>
      <c r="H2294" s="33" t="n">
        <f aca="false">D2294*INDEX(Products!$E$2:$E$49,MATCH(C2294,Products!$A$2:$A$49,0))</f>
        <v>9280</v>
      </c>
      <c r="I2294" s="33" t="n">
        <f aca="false">D2294*INDEX(Products!$D$2:$D$49,MATCH(C2294,Products!$A$2:$A$49,0))*(1+INDEX(Assumptions!$B$16:$B$20,MATCH(B2294,Assumptions!$A$16:$A$20,0)))</f>
        <v>7015.68</v>
      </c>
      <c r="J2294" s="33" t="n">
        <f aca="false">H2294-I2294</f>
        <v>2264.32</v>
      </c>
      <c r="K2294" s="33" t="n">
        <f aca="false">IF(OR(E2294=0,E2294&gt;=7),0,D2294/(7-E2294)*E2294*INDEX(Products!$E$2:$E$49,MATCH(C2294,Products!$A$2:$A$49,0)))</f>
        <v>6960</v>
      </c>
    </row>
    <row r="2295" customFormat="false" ht="15" hidden="false" customHeight="false" outlineLevel="0" collapsed="false">
      <c r="A2295" s="36" t="n">
        <v>46244</v>
      </c>
      <c r="B2295" s="24" t="s">
        <v>62</v>
      </c>
      <c r="C2295" s="24" t="s">
        <v>201</v>
      </c>
      <c r="D2295" s="33" t="n">
        <v>90</v>
      </c>
      <c r="E2295" s="24" t="n">
        <v>0</v>
      </c>
      <c r="F2295" s="37" t="n">
        <f aca="false">DATE(YEAR(A2295),MONTH(A2295),1)</f>
        <v>46235</v>
      </c>
      <c r="G2295" s="24" t="str">
        <f aca="false">INDEX(Products!$C$2:$C$49,MATCH(C2295,Products!$A$2:$A$49,0))</f>
        <v>Snacks &amp; Confectionery</v>
      </c>
      <c r="H2295" s="33" t="n">
        <f aca="false">D2295*INDEX(Products!$E$2:$E$49,MATCH(C2295,Products!$A$2:$A$49,0))</f>
        <v>14400</v>
      </c>
      <c r="I2295" s="33" t="n">
        <f aca="false">D2295*INDEX(Products!$D$2:$D$49,MATCH(C2295,Products!$A$2:$A$49,0))*(1+INDEX(Assumptions!$B$16:$B$20,MATCH(B2295,Assumptions!$A$16:$A$20,0)))</f>
        <v>10886.4</v>
      </c>
      <c r="J2295" s="33" t="n">
        <f aca="false">H2295-I2295</f>
        <v>3513.6</v>
      </c>
      <c r="K2295" s="33" t="n">
        <f aca="false">IF(OR(E2295=0,E2295&gt;=7),0,D2295/(7-E2295)*E2295*INDEX(Products!$E$2:$E$49,MATCH(C2295,Products!$A$2:$A$49,0)))</f>
        <v>0</v>
      </c>
    </row>
    <row r="2296" customFormat="false" ht="15" hidden="false" customHeight="false" outlineLevel="0" collapsed="false">
      <c r="A2296" s="36" t="n">
        <v>46251</v>
      </c>
      <c r="B2296" s="24" t="s">
        <v>62</v>
      </c>
      <c r="C2296" s="24" t="s">
        <v>201</v>
      </c>
      <c r="D2296" s="33" t="n">
        <v>96</v>
      </c>
      <c r="E2296" s="24" t="n">
        <v>0</v>
      </c>
      <c r="F2296" s="37" t="n">
        <f aca="false">DATE(YEAR(A2296),MONTH(A2296),1)</f>
        <v>46235</v>
      </c>
      <c r="G2296" s="24" t="str">
        <f aca="false">INDEX(Products!$C$2:$C$49,MATCH(C2296,Products!$A$2:$A$49,0))</f>
        <v>Snacks &amp; Confectionery</v>
      </c>
      <c r="H2296" s="33" t="n">
        <f aca="false">D2296*INDEX(Products!$E$2:$E$49,MATCH(C2296,Products!$A$2:$A$49,0))</f>
        <v>15360</v>
      </c>
      <c r="I2296" s="33" t="n">
        <f aca="false">D2296*INDEX(Products!$D$2:$D$49,MATCH(C2296,Products!$A$2:$A$49,0))*(1+INDEX(Assumptions!$B$16:$B$20,MATCH(B2296,Assumptions!$A$16:$A$20,0)))</f>
        <v>11612.16</v>
      </c>
      <c r="J2296" s="33" t="n">
        <f aca="false">H2296-I2296</f>
        <v>3747.84</v>
      </c>
      <c r="K2296" s="33" t="n">
        <f aca="false">IF(OR(E2296=0,E2296&gt;=7),0,D2296/(7-E2296)*E2296*INDEX(Products!$E$2:$E$49,MATCH(C2296,Products!$A$2:$A$49,0)))</f>
        <v>0</v>
      </c>
    </row>
    <row r="2297" customFormat="false" ht="15" hidden="false" customHeight="false" outlineLevel="0" collapsed="false">
      <c r="A2297" s="36" t="n">
        <v>46258</v>
      </c>
      <c r="B2297" s="24" t="s">
        <v>62</v>
      </c>
      <c r="C2297" s="24" t="s">
        <v>201</v>
      </c>
      <c r="D2297" s="33" t="n">
        <v>108</v>
      </c>
      <c r="E2297" s="24" t="n">
        <v>1</v>
      </c>
      <c r="F2297" s="37" t="n">
        <f aca="false">DATE(YEAR(A2297),MONTH(A2297),1)</f>
        <v>46235</v>
      </c>
      <c r="G2297" s="24" t="str">
        <f aca="false">INDEX(Products!$C$2:$C$49,MATCH(C2297,Products!$A$2:$A$49,0))</f>
        <v>Snacks &amp; Confectionery</v>
      </c>
      <c r="H2297" s="33" t="n">
        <f aca="false">D2297*INDEX(Products!$E$2:$E$49,MATCH(C2297,Products!$A$2:$A$49,0))</f>
        <v>17280</v>
      </c>
      <c r="I2297" s="33" t="n">
        <f aca="false">D2297*INDEX(Products!$D$2:$D$49,MATCH(C2297,Products!$A$2:$A$49,0))*(1+INDEX(Assumptions!$B$16:$B$20,MATCH(B2297,Assumptions!$A$16:$A$20,0)))</f>
        <v>13063.68</v>
      </c>
      <c r="J2297" s="33" t="n">
        <f aca="false">H2297-I2297</f>
        <v>4216.32</v>
      </c>
      <c r="K2297" s="33" t="n">
        <f aca="false">IF(OR(E2297=0,E2297&gt;=7),0,D2297/(7-E2297)*E2297*INDEX(Products!$E$2:$E$49,MATCH(C2297,Products!$A$2:$A$49,0)))</f>
        <v>2880</v>
      </c>
    </row>
    <row r="2298" customFormat="false" ht="15" hidden="false" customHeight="false" outlineLevel="0" collapsed="false">
      <c r="A2298" s="36" t="n">
        <v>46265</v>
      </c>
      <c r="B2298" s="24" t="s">
        <v>62</v>
      </c>
      <c r="C2298" s="24" t="s">
        <v>201</v>
      </c>
      <c r="D2298" s="33" t="n">
        <v>122</v>
      </c>
      <c r="E2298" s="24" t="n">
        <v>0</v>
      </c>
      <c r="F2298" s="37" t="n">
        <f aca="false">DATE(YEAR(A2298),MONTH(A2298),1)</f>
        <v>46235</v>
      </c>
      <c r="G2298" s="24" t="str">
        <f aca="false">INDEX(Products!$C$2:$C$49,MATCH(C2298,Products!$A$2:$A$49,0))</f>
        <v>Snacks &amp; Confectionery</v>
      </c>
      <c r="H2298" s="33" t="n">
        <f aca="false">D2298*INDEX(Products!$E$2:$E$49,MATCH(C2298,Products!$A$2:$A$49,0))</f>
        <v>19520</v>
      </c>
      <c r="I2298" s="33" t="n">
        <f aca="false">D2298*INDEX(Products!$D$2:$D$49,MATCH(C2298,Products!$A$2:$A$49,0))*(1+INDEX(Assumptions!$B$16:$B$20,MATCH(B2298,Assumptions!$A$16:$A$20,0)))</f>
        <v>14757.12</v>
      </c>
      <c r="J2298" s="33" t="n">
        <f aca="false">H2298-I2298</f>
        <v>4762.88</v>
      </c>
      <c r="K2298" s="33" t="n">
        <f aca="false">IF(OR(E2298=0,E2298&gt;=7),0,D2298/(7-E2298)*E2298*INDEX(Products!$E$2:$E$49,MATCH(C2298,Products!$A$2:$A$49,0)))</f>
        <v>0</v>
      </c>
    </row>
    <row r="2299" customFormat="false" ht="15" hidden="false" customHeight="false" outlineLevel="0" collapsed="false">
      <c r="A2299" s="36" t="n">
        <v>46272</v>
      </c>
      <c r="B2299" s="24" t="s">
        <v>62</v>
      </c>
      <c r="C2299" s="24" t="s">
        <v>201</v>
      </c>
      <c r="D2299" s="33" t="n">
        <v>126</v>
      </c>
      <c r="E2299" s="24" t="n">
        <v>0</v>
      </c>
      <c r="F2299" s="37" t="n">
        <f aca="false">DATE(YEAR(A2299),MONTH(A2299),1)</f>
        <v>46266</v>
      </c>
      <c r="G2299" s="24" t="str">
        <f aca="false">INDEX(Products!$C$2:$C$49,MATCH(C2299,Products!$A$2:$A$49,0))</f>
        <v>Snacks &amp; Confectionery</v>
      </c>
      <c r="H2299" s="33" t="n">
        <f aca="false">D2299*INDEX(Products!$E$2:$E$49,MATCH(C2299,Products!$A$2:$A$49,0))</f>
        <v>20160</v>
      </c>
      <c r="I2299" s="33" t="n">
        <f aca="false">D2299*INDEX(Products!$D$2:$D$49,MATCH(C2299,Products!$A$2:$A$49,0))*(1+INDEX(Assumptions!$B$16:$B$20,MATCH(B2299,Assumptions!$A$16:$A$20,0)))</f>
        <v>15240.96</v>
      </c>
      <c r="J2299" s="33" t="n">
        <f aca="false">H2299-I2299</f>
        <v>4919.04</v>
      </c>
      <c r="K2299" s="33" t="n">
        <f aca="false">IF(OR(E2299=0,E2299&gt;=7),0,D2299/(7-E2299)*E2299*INDEX(Products!$E$2:$E$49,MATCH(C2299,Products!$A$2:$A$49,0)))</f>
        <v>0</v>
      </c>
    </row>
    <row r="2300" customFormat="false" ht="15" hidden="false" customHeight="false" outlineLevel="0" collapsed="false">
      <c r="A2300" s="36" t="n">
        <v>46279</v>
      </c>
      <c r="B2300" s="24" t="s">
        <v>62</v>
      </c>
      <c r="C2300" s="24" t="s">
        <v>201</v>
      </c>
      <c r="D2300" s="33" t="n">
        <v>113</v>
      </c>
      <c r="E2300" s="24" t="n">
        <v>0</v>
      </c>
      <c r="F2300" s="37" t="n">
        <f aca="false">DATE(YEAR(A2300),MONTH(A2300),1)</f>
        <v>46266</v>
      </c>
      <c r="G2300" s="24" t="str">
        <f aca="false">INDEX(Products!$C$2:$C$49,MATCH(C2300,Products!$A$2:$A$49,0))</f>
        <v>Snacks &amp; Confectionery</v>
      </c>
      <c r="H2300" s="33" t="n">
        <f aca="false">D2300*INDEX(Products!$E$2:$E$49,MATCH(C2300,Products!$A$2:$A$49,0))</f>
        <v>18080</v>
      </c>
      <c r="I2300" s="33" t="n">
        <f aca="false">D2300*INDEX(Products!$D$2:$D$49,MATCH(C2300,Products!$A$2:$A$49,0))*(1+INDEX(Assumptions!$B$16:$B$20,MATCH(B2300,Assumptions!$A$16:$A$20,0)))</f>
        <v>13668.48</v>
      </c>
      <c r="J2300" s="33" t="n">
        <f aca="false">H2300-I2300</f>
        <v>4411.52</v>
      </c>
      <c r="K2300" s="33" t="n">
        <f aca="false">IF(OR(E2300=0,E2300&gt;=7),0,D2300/(7-E2300)*E2300*INDEX(Products!$E$2:$E$49,MATCH(C2300,Products!$A$2:$A$49,0)))</f>
        <v>0</v>
      </c>
    </row>
    <row r="2301" customFormat="false" ht="15" hidden="false" customHeight="false" outlineLevel="0" collapsed="false">
      <c r="A2301" s="36" t="n">
        <v>46286</v>
      </c>
      <c r="B2301" s="24" t="s">
        <v>62</v>
      </c>
      <c r="C2301" s="24" t="s">
        <v>201</v>
      </c>
      <c r="D2301" s="33" t="n">
        <v>132</v>
      </c>
      <c r="E2301" s="24" t="n">
        <v>0</v>
      </c>
      <c r="F2301" s="37" t="n">
        <f aca="false">DATE(YEAR(A2301),MONTH(A2301),1)</f>
        <v>46266</v>
      </c>
      <c r="G2301" s="24" t="str">
        <f aca="false">INDEX(Products!$C$2:$C$49,MATCH(C2301,Products!$A$2:$A$49,0))</f>
        <v>Snacks &amp; Confectionery</v>
      </c>
      <c r="H2301" s="33" t="n">
        <f aca="false">D2301*INDEX(Products!$E$2:$E$49,MATCH(C2301,Products!$A$2:$A$49,0))</f>
        <v>21120</v>
      </c>
      <c r="I2301" s="33" t="n">
        <f aca="false">D2301*INDEX(Products!$D$2:$D$49,MATCH(C2301,Products!$A$2:$A$49,0))*(1+INDEX(Assumptions!$B$16:$B$20,MATCH(B2301,Assumptions!$A$16:$A$20,0)))</f>
        <v>15966.72</v>
      </c>
      <c r="J2301" s="33" t="n">
        <f aca="false">H2301-I2301</f>
        <v>5153.28</v>
      </c>
      <c r="K2301" s="33" t="n">
        <f aca="false">IF(OR(E2301=0,E2301&gt;=7),0,D2301/(7-E2301)*E2301*INDEX(Products!$E$2:$E$49,MATCH(C2301,Products!$A$2:$A$49,0)))</f>
        <v>0</v>
      </c>
    </row>
    <row r="2302" customFormat="false" ht="15" hidden="false" customHeight="false" outlineLevel="0" collapsed="false">
      <c r="A2302" s="36" t="n">
        <v>46118</v>
      </c>
      <c r="B2302" s="24" t="s">
        <v>62</v>
      </c>
      <c r="C2302" s="24" t="s">
        <v>203</v>
      </c>
      <c r="D2302" s="33" t="n">
        <v>51</v>
      </c>
      <c r="E2302" s="24" t="n">
        <v>0</v>
      </c>
      <c r="F2302" s="37" t="n">
        <f aca="false">DATE(YEAR(A2302),MONTH(A2302),1)</f>
        <v>46113</v>
      </c>
      <c r="G2302" s="24" t="str">
        <f aca="false">INDEX(Products!$C$2:$C$49,MATCH(C2302,Products!$A$2:$A$49,0))</f>
        <v>Snacks &amp; Confectionery</v>
      </c>
      <c r="H2302" s="33" t="n">
        <f aca="false">D2302*INDEX(Products!$E$2:$E$49,MATCH(C2302,Products!$A$2:$A$49,0))</f>
        <v>3315</v>
      </c>
      <c r="I2302" s="33" t="n">
        <f aca="false">D2302*INDEX(Products!$D$2:$D$49,MATCH(C2302,Products!$A$2:$A$49,0))*(1+INDEX(Assumptions!$B$16:$B$20,MATCH(B2302,Assumptions!$A$16:$A$20,0)))</f>
        <v>2416.176</v>
      </c>
      <c r="J2302" s="33" t="n">
        <f aca="false">H2302-I2302</f>
        <v>898.824</v>
      </c>
      <c r="K2302" s="33" t="n">
        <f aca="false">IF(OR(E2302=0,E2302&gt;=7),0,D2302/(7-E2302)*E2302*INDEX(Products!$E$2:$E$49,MATCH(C2302,Products!$A$2:$A$49,0)))</f>
        <v>0</v>
      </c>
    </row>
    <row r="2303" customFormat="false" ht="15" hidden="false" customHeight="false" outlineLevel="0" collapsed="false">
      <c r="A2303" s="36" t="n">
        <v>46125</v>
      </c>
      <c r="B2303" s="24" t="s">
        <v>62</v>
      </c>
      <c r="C2303" s="24" t="s">
        <v>203</v>
      </c>
      <c r="D2303" s="33" t="n">
        <v>45</v>
      </c>
      <c r="E2303" s="24" t="n">
        <v>0</v>
      </c>
      <c r="F2303" s="37" t="n">
        <f aca="false">DATE(YEAR(A2303),MONTH(A2303),1)</f>
        <v>46113</v>
      </c>
      <c r="G2303" s="24" t="str">
        <f aca="false">INDEX(Products!$C$2:$C$49,MATCH(C2303,Products!$A$2:$A$49,0))</f>
        <v>Snacks &amp; Confectionery</v>
      </c>
      <c r="H2303" s="33" t="n">
        <f aca="false">D2303*INDEX(Products!$E$2:$E$49,MATCH(C2303,Products!$A$2:$A$49,0))</f>
        <v>2925</v>
      </c>
      <c r="I2303" s="33" t="n">
        <f aca="false">D2303*INDEX(Products!$D$2:$D$49,MATCH(C2303,Products!$A$2:$A$49,0))*(1+INDEX(Assumptions!$B$16:$B$20,MATCH(B2303,Assumptions!$A$16:$A$20,0)))</f>
        <v>2131.92</v>
      </c>
      <c r="J2303" s="33" t="n">
        <f aca="false">H2303-I2303</f>
        <v>793.08</v>
      </c>
      <c r="K2303" s="33" t="n">
        <f aca="false">IF(OR(E2303=0,E2303&gt;=7),0,D2303/(7-E2303)*E2303*INDEX(Products!$E$2:$E$49,MATCH(C2303,Products!$A$2:$A$49,0)))</f>
        <v>0</v>
      </c>
    </row>
    <row r="2304" customFormat="false" ht="15" hidden="false" customHeight="false" outlineLevel="0" collapsed="false">
      <c r="A2304" s="36" t="n">
        <v>46132</v>
      </c>
      <c r="B2304" s="24" t="s">
        <v>62</v>
      </c>
      <c r="C2304" s="24" t="s">
        <v>203</v>
      </c>
      <c r="D2304" s="33" t="n">
        <v>73</v>
      </c>
      <c r="E2304" s="24" t="n">
        <v>0</v>
      </c>
      <c r="F2304" s="37" t="n">
        <f aca="false">DATE(YEAR(A2304),MONTH(A2304),1)</f>
        <v>46113</v>
      </c>
      <c r="G2304" s="24" t="str">
        <f aca="false">INDEX(Products!$C$2:$C$49,MATCH(C2304,Products!$A$2:$A$49,0))</f>
        <v>Snacks &amp; Confectionery</v>
      </c>
      <c r="H2304" s="33" t="n">
        <f aca="false">D2304*INDEX(Products!$E$2:$E$49,MATCH(C2304,Products!$A$2:$A$49,0))</f>
        <v>4745</v>
      </c>
      <c r="I2304" s="33" t="n">
        <f aca="false">D2304*INDEX(Products!$D$2:$D$49,MATCH(C2304,Products!$A$2:$A$49,0))*(1+INDEX(Assumptions!$B$16:$B$20,MATCH(B2304,Assumptions!$A$16:$A$20,0)))</f>
        <v>3458.448</v>
      </c>
      <c r="J2304" s="33" t="n">
        <f aca="false">H2304-I2304</f>
        <v>1286.552</v>
      </c>
      <c r="K2304" s="33" t="n">
        <f aca="false">IF(OR(E2304=0,E2304&gt;=7),0,D2304/(7-E2304)*E2304*INDEX(Products!$E$2:$E$49,MATCH(C2304,Products!$A$2:$A$49,0)))</f>
        <v>0</v>
      </c>
    </row>
    <row r="2305" customFormat="false" ht="15" hidden="false" customHeight="false" outlineLevel="0" collapsed="false">
      <c r="A2305" s="36" t="n">
        <v>46139</v>
      </c>
      <c r="B2305" s="24" t="s">
        <v>62</v>
      </c>
      <c r="C2305" s="24" t="s">
        <v>203</v>
      </c>
      <c r="D2305" s="33" t="n">
        <v>58</v>
      </c>
      <c r="E2305" s="24" t="n">
        <v>0</v>
      </c>
      <c r="F2305" s="37" t="n">
        <f aca="false">DATE(YEAR(A2305),MONTH(A2305),1)</f>
        <v>46113</v>
      </c>
      <c r="G2305" s="24" t="str">
        <f aca="false">INDEX(Products!$C$2:$C$49,MATCH(C2305,Products!$A$2:$A$49,0))</f>
        <v>Snacks &amp; Confectionery</v>
      </c>
      <c r="H2305" s="33" t="n">
        <f aca="false">D2305*INDEX(Products!$E$2:$E$49,MATCH(C2305,Products!$A$2:$A$49,0))</f>
        <v>3770</v>
      </c>
      <c r="I2305" s="33" t="n">
        <f aca="false">D2305*INDEX(Products!$D$2:$D$49,MATCH(C2305,Products!$A$2:$A$49,0))*(1+INDEX(Assumptions!$B$16:$B$20,MATCH(B2305,Assumptions!$A$16:$A$20,0)))</f>
        <v>2747.808</v>
      </c>
      <c r="J2305" s="33" t="n">
        <f aca="false">H2305-I2305</f>
        <v>1022.192</v>
      </c>
      <c r="K2305" s="33" t="n">
        <f aca="false">IF(OR(E2305=0,E2305&gt;=7),0,D2305/(7-E2305)*E2305*INDEX(Products!$E$2:$E$49,MATCH(C2305,Products!$A$2:$A$49,0)))</f>
        <v>0</v>
      </c>
    </row>
    <row r="2306" customFormat="false" ht="15" hidden="false" customHeight="false" outlineLevel="0" collapsed="false">
      <c r="A2306" s="36" t="n">
        <v>46146</v>
      </c>
      <c r="B2306" s="24" t="s">
        <v>62</v>
      </c>
      <c r="C2306" s="24" t="s">
        <v>203</v>
      </c>
      <c r="D2306" s="33" t="n">
        <v>49</v>
      </c>
      <c r="E2306" s="24" t="n">
        <v>0</v>
      </c>
      <c r="F2306" s="37" t="n">
        <f aca="false">DATE(YEAR(A2306),MONTH(A2306),1)</f>
        <v>46143</v>
      </c>
      <c r="G2306" s="24" t="str">
        <f aca="false">INDEX(Products!$C$2:$C$49,MATCH(C2306,Products!$A$2:$A$49,0))</f>
        <v>Snacks &amp; Confectionery</v>
      </c>
      <c r="H2306" s="33" t="n">
        <f aca="false">D2306*INDEX(Products!$E$2:$E$49,MATCH(C2306,Products!$A$2:$A$49,0))</f>
        <v>3185</v>
      </c>
      <c r="I2306" s="33" t="n">
        <f aca="false">D2306*INDEX(Products!$D$2:$D$49,MATCH(C2306,Products!$A$2:$A$49,0))*(1+INDEX(Assumptions!$B$16:$B$20,MATCH(B2306,Assumptions!$A$16:$A$20,0)))</f>
        <v>2321.424</v>
      </c>
      <c r="J2306" s="33" t="n">
        <f aca="false">H2306-I2306</f>
        <v>863.576</v>
      </c>
      <c r="K2306" s="33" t="n">
        <f aca="false">IF(OR(E2306=0,E2306&gt;=7),0,D2306/(7-E2306)*E2306*INDEX(Products!$E$2:$E$49,MATCH(C2306,Products!$A$2:$A$49,0)))</f>
        <v>0</v>
      </c>
    </row>
    <row r="2307" customFormat="false" ht="15" hidden="false" customHeight="false" outlineLevel="0" collapsed="false">
      <c r="A2307" s="36" t="n">
        <v>46153</v>
      </c>
      <c r="B2307" s="24" t="s">
        <v>62</v>
      </c>
      <c r="C2307" s="24" t="s">
        <v>203</v>
      </c>
      <c r="D2307" s="33" t="n">
        <v>54</v>
      </c>
      <c r="E2307" s="24" t="n">
        <v>0</v>
      </c>
      <c r="F2307" s="37" t="n">
        <f aca="false">DATE(YEAR(A2307),MONTH(A2307),1)</f>
        <v>46143</v>
      </c>
      <c r="G2307" s="24" t="str">
        <f aca="false">INDEX(Products!$C$2:$C$49,MATCH(C2307,Products!$A$2:$A$49,0))</f>
        <v>Snacks &amp; Confectionery</v>
      </c>
      <c r="H2307" s="33" t="n">
        <f aca="false">D2307*INDEX(Products!$E$2:$E$49,MATCH(C2307,Products!$A$2:$A$49,0))</f>
        <v>3510</v>
      </c>
      <c r="I2307" s="33" t="n">
        <f aca="false">D2307*INDEX(Products!$D$2:$D$49,MATCH(C2307,Products!$A$2:$A$49,0))*(1+INDEX(Assumptions!$B$16:$B$20,MATCH(B2307,Assumptions!$A$16:$A$20,0)))</f>
        <v>2558.304</v>
      </c>
      <c r="J2307" s="33" t="n">
        <f aca="false">H2307-I2307</f>
        <v>951.696</v>
      </c>
      <c r="K2307" s="33" t="n">
        <f aca="false">IF(OR(E2307=0,E2307&gt;=7),0,D2307/(7-E2307)*E2307*INDEX(Products!$E$2:$E$49,MATCH(C2307,Products!$A$2:$A$49,0)))</f>
        <v>0</v>
      </c>
    </row>
    <row r="2308" customFormat="false" ht="15" hidden="false" customHeight="false" outlineLevel="0" collapsed="false">
      <c r="A2308" s="36" t="n">
        <v>46160</v>
      </c>
      <c r="B2308" s="24" t="s">
        <v>62</v>
      </c>
      <c r="C2308" s="24" t="s">
        <v>203</v>
      </c>
      <c r="D2308" s="33" t="n">
        <v>63</v>
      </c>
      <c r="E2308" s="24" t="n">
        <v>0</v>
      </c>
      <c r="F2308" s="37" t="n">
        <f aca="false">DATE(YEAR(A2308),MONTH(A2308),1)</f>
        <v>46143</v>
      </c>
      <c r="G2308" s="24" t="str">
        <f aca="false">INDEX(Products!$C$2:$C$49,MATCH(C2308,Products!$A$2:$A$49,0))</f>
        <v>Snacks &amp; Confectionery</v>
      </c>
      <c r="H2308" s="33" t="n">
        <f aca="false">D2308*INDEX(Products!$E$2:$E$49,MATCH(C2308,Products!$A$2:$A$49,0))</f>
        <v>4095</v>
      </c>
      <c r="I2308" s="33" t="n">
        <f aca="false">D2308*INDEX(Products!$D$2:$D$49,MATCH(C2308,Products!$A$2:$A$49,0))*(1+INDEX(Assumptions!$B$16:$B$20,MATCH(B2308,Assumptions!$A$16:$A$20,0)))</f>
        <v>2984.688</v>
      </c>
      <c r="J2308" s="33" t="n">
        <f aca="false">H2308-I2308</f>
        <v>1110.312</v>
      </c>
      <c r="K2308" s="33" t="n">
        <f aca="false">IF(OR(E2308=0,E2308&gt;=7),0,D2308/(7-E2308)*E2308*INDEX(Products!$E$2:$E$49,MATCH(C2308,Products!$A$2:$A$49,0)))</f>
        <v>0</v>
      </c>
    </row>
    <row r="2309" customFormat="false" ht="15" hidden="false" customHeight="false" outlineLevel="0" collapsed="false">
      <c r="A2309" s="36" t="n">
        <v>46167</v>
      </c>
      <c r="B2309" s="24" t="s">
        <v>62</v>
      </c>
      <c r="C2309" s="24" t="s">
        <v>203</v>
      </c>
      <c r="D2309" s="33" t="n">
        <v>57</v>
      </c>
      <c r="E2309" s="24" t="n">
        <v>0</v>
      </c>
      <c r="F2309" s="37" t="n">
        <f aca="false">DATE(YEAR(A2309),MONTH(A2309),1)</f>
        <v>46143</v>
      </c>
      <c r="G2309" s="24" t="str">
        <f aca="false">INDEX(Products!$C$2:$C$49,MATCH(C2309,Products!$A$2:$A$49,0))</f>
        <v>Snacks &amp; Confectionery</v>
      </c>
      <c r="H2309" s="33" t="n">
        <f aca="false">D2309*INDEX(Products!$E$2:$E$49,MATCH(C2309,Products!$A$2:$A$49,0))</f>
        <v>3705</v>
      </c>
      <c r="I2309" s="33" t="n">
        <f aca="false">D2309*INDEX(Products!$D$2:$D$49,MATCH(C2309,Products!$A$2:$A$49,0))*(1+INDEX(Assumptions!$B$16:$B$20,MATCH(B2309,Assumptions!$A$16:$A$20,0)))</f>
        <v>2700.432</v>
      </c>
      <c r="J2309" s="33" t="n">
        <f aca="false">H2309-I2309</f>
        <v>1004.568</v>
      </c>
      <c r="K2309" s="33" t="n">
        <f aca="false">IF(OR(E2309=0,E2309&gt;=7),0,D2309/(7-E2309)*E2309*INDEX(Products!$E$2:$E$49,MATCH(C2309,Products!$A$2:$A$49,0)))</f>
        <v>0</v>
      </c>
    </row>
    <row r="2310" customFormat="false" ht="15" hidden="false" customHeight="false" outlineLevel="0" collapsed="false">
      <c r="A2310" s="36" t="n">
        <v>46174</v>
      </c>
      <c r="B2310" s="24" t="s">
        <v>62</v>
      </c>
      <c r="C2310" s="24" t="s">
        <v>203</v>
      </c>
      <c r="D2310" s="33" t="n">
        <v>47</v>
      </c>
      <c r="E2310" s="24" t="n">
        <v>0</v>
      </c>
      <c r="F2310" s="37" t="n">
        <f aca="false">DATE(YEAR(A2310),MONTH(A2310),1)</f>
        <v>46174</v>
      </c>
      <c r="G2310" s="24" t="str">
        <f aca="false">INDEX(Products!$C$2:$C$49,MATCH(C2310,Products!$A$2:$A$49,0))</f>
        <v>Snacks &amp; Confectionery</v>
      </c>
      <c r="H2310" s="33" t="n">
        <f aca="false">D2310*INDEX(Products!$E$2:$E$49,MATCH(C2310,Products!$A$2:$A$49,0))</f>
        <v>3055</v>
      </c>
      <c r="I2310" s="33" t="n">
        <f aca="false">D2310*INDEX(Products!$D$2:$D$49,MATCH(C2310,Products!$A$2:$A$49,0))*(1+INDEX(Assumptions!$B$16:$B$20,MATCH(B2310,Assumptions!$A$16:$A$20,0)))</f>
        <v>2226.672</v>
      </c>
      <c r="J2310" s="33" t="n">
        <f aca="false">H2310-I2310</f>
        <v>828.328</v>
      </c>
      <c r="K2310" s="33" t="n">
        <f aca="false">IF(OR(E2310=0,E2310&gt;=7),0,D2310/(7-E2310)*E2310*INDEX(Products!$E$2:$E$49,MATCH(C2310,Products!$A$2:$A$49,0)))</f>
        <v>0</v>
      </c>
    </row>
    <row r="2311" customFormat="false" ht="15" hidden="false" customHeight="false" outlineLevel="0" collapsed="false">
      <c r="A2311" s="36" t="n">
        <v>46181</v>
      </c>
      <c r="B2311" s="24" t="s">
        <v>62</v>
      </c>
      <c r="C2311" s="24" t="s">
        <v>203</v>
      </c>
      <c r="D2311" s="33" t="n">
        <v>48</v>
      </c>
      <c r="E2311" s="24" t="n">
        <v>0</v>
      </c>
      <c r="F2311" s="37" t="n">
        <f aca="false">DATE(YEAR(A2311),MONTH(A2311),1)</f>
        <v>46174</v>
      </c>
      <c r="G2311" s="24" t="str">
        <f aca="false">INDEX(Products!$C$2:$C$49,MATCH(C2311,Products!$A$2:$A$49,0))</f>
        <v>Snacks &amp; Confectionery</v>
      </c>
      <c r="H2311" s="33" t="n">
        <f aca="false">D2311*INDEX(Products!$E$2:$E$49,MATCH(C2311,Products!$A$2:$A$49,0))</f>
        <v>3120</v>
      </c>
      <c r="I2311" s="33" t="n">
        <f aca="false">D2311*INDEX(Products!$D$2:$D$49,MATCH(C2311,Products!$A$2:$A$49,0))*(1+INDEX(Assumptions!$B$16:$B$20,MATCH(B2311,Assumptions!$A$16:$A$20,0)))</f>
        <v>2274.048</v>
      </c>
      <c r="J2311" s="33" t="n">
        <f aca="false">H2311-I2311</f>
        <v>845.952</v>
      </c>
      <c r="K2311" s="33" t="n">
        <f aca="false">IF(OR(E2311=0,E2311&gt;=7),0,D2311/(7-E2311)*E2311*INDEX(Products!$E$2:$E$49,MATCH(C2311,Products!$A$2:$A$49,0)))</f>
        <v>0</v>
      </c>
    </row>
    <row r="2312" customFormat="false" ht="15" hidden="false" customHeight="false" outlineLevel="0" collapsed="false">
      <c r="A2312" s="36" t="n">
        <v>46188</v>
      </c>
      <c r="B2312" s="24" t="s">
        <v>62</v>
      </c>
      <c r="C2312" s="24" t="s">
        <v>203</v>
      </c>
      <c r="D2312" s="33" t="n">
        <v>46</v>
      </c>
      <c r="E2312" s="24" t="n">
        <v>0</v>
      </c>
      <c r="F2312" s="37" t="n">
        <f aca="false">DATE(YEAR(A2312),MONTH(A2312),1)</f>
        <v>46174</v>
      </c>
      <c r="G2312" s="24" t="str">
        <f aca="false">INDEX(Products!$C$2:$C$49,MATCH(C2312,Products!$A$2:$A$49,0))</f>
        <v>Snacks &amp; Confectionery</v>
      </c>
      <c r="H2312" s="33" t="n">
        <f aca="false">D2312*INDEX(Products!$E$2:$E$49,MATCH(C2312,Products!$A$2:$A$49,0))</f>
        <v>2990</v>
      </c>
      <c r="I2312" s="33" t="n">
        <f aca="false">D2312*INDEX(Products!$D$2:$D$49,MATCH(C2312,Products!$A$2:$A$49,0))*(1+INDEX(Assumptions!$B$16:$B$20,MATCH(B2312,Assumptions!$A$16:$A$20,0)))</f>
        <v>2179.296</v>
      </c>
      <c r="J2312" s="33" t="n">
        <f aca="false">H2312-I2312</f>
        <v>810.704</v>
      </c>
      <c r="K2312" s="33" t="n">
        <f aca="false">IF(OR(E2312=0,E2312&gt;=7),0,D2312/(7-E2312)*E2312*INDEX(Products!$E$2:$E$49,MATCH(C2312,Products!$A$2:$A$49,0)))</f>
        <v>0</v>
      </c>
    </row>
    <row r="2313" customFormat="false" ht="15" hidden="false" customHeight="false" outlineLevel="0" collapsed="false">
      <c r="A2313" s="36" t="n">
        <v>46195</v>
      </c>
      <c r="B2313" s="24" t="s">
        <v>62</v>
      </c>
      <c r="C2313" s="24" t="s">
        <v>203</v>
      </c>
      <c r="D2313" s="33" t="n">
        <v>49</v>
      </c>
      <c r="E2313" s="24" t="n">
        <v>0</v>
      </c>
      <c r="F2313" s="37" t="n">
        <f aca="false">DATE(YEAR(A2313),MONTH(A2313),1)</f>
        <v>46174</v>
      </c>
      <c r="G2313" s="24" t="str">
        <f aca="false">INDEX(Products!$C$2:$C$49,MATCH(C2313,Products!$A$2:$A$49,0))</f>
        <v>Snacks &amp; Confectionery</v>
      </c>
      <c r="H2313" s="33" t="n">
        <f aca="false">D2313*INDEX(Products!$E$2:$E$49,MATCH(C2313,Products!$A$2:$A$49,0))</f>
        <v>3185</v>
      </c>
      <c r="I2313" s="33" t="n">
        <f aca="false">D2313*INDEX(Products!$D$2:$D$49,MATCH(C2313,Products!$A$2:$A$49,0))*(1+INDEX(Assumptions!$B$16:$B$20,MATCH(B2313,Assumptions!$A$16:$A$20,0)))</f>
        <v>2321.424</v>
      </c>
      <c r="J2313" s="33" t="n">
        <f aca="false">H2313-I2313</f>
        <v>863.576</v>
      </c>
      <c r="K2313" s="33" t="n">
        <f aca="false">IF(OR(E2313=0,E2313&gt;=7),0,D2313/(7-E2313)*E2313*INDEX(Products!$E$2:$E$49,MATCH(C2313,Products!$A$2:$A$49,0)))</f>
        <v>0</v>
      </c>
    </row>
    <row r="2314" customFormat="false" ht="15" hidden="false" customHeight="false" outlineLevel="0" collapsed="false">
      <c r="A2314" s="36" t="n">
        <v>46202</v>
      </c>
      <c r="B2314" s="24" t="s">
        <v>62</v>
      </c>
      <c r="C2314" s="24" t="s">
        <v>203</v>
      </c>
      <c r="D2314" s="33" t="n">
        <v>69</v>
      </c>
      <c r="E2314" s="24" t="n">
        <v>0</v>
      </c>
      <c r="F2314" s="37" t="n">
        <f aca="false">DATE(YEAR(A2314),MONTH(A2314),1)</f>
        <v>46174</v>
      </c>
      <c r="G2314" s="24" t="str">
        <f aca="false">INDEX(Products!$C$2:$C$49,MATCH(C2314,Products!$A$2:$A$49,0))</f>
        <v>Snacks &amp; Confectionery</v>
      </c>
      <c r="H2314" s="33" t="n">
        <f aca="false">D2314*INDEX(Products!$E$2:$E$49,MATCH(C2314,Products!$A$2:$A$49,0))</f>
        <v>4485</v>
      </c>
      <c r="I2314" s="33" t="n">
        <f aca="false">D2314*INDEX(Products!$D$2:$D$49,MATCH(C2314,Products!$A$2:$A$49,0))*(1+INDEX(Assumptions!$B$16:$B$20,MATCH(B2314,Assumptions!$A$16:$A$20,0)))</f>
        <v>3268.944</v>
      </c>
      <c r="J2314" s="33" t="n">
        <f aca="false">H2314-I2314</f>
        <v>1216.056</v>
      </c>
      <c r="K2314" s="33" t="n">
        <f aca="false">IF(OR(E2314=0,E2314&gt;=7),0,D2314/(7-E2314)*E2314*INDEX(Products!$E$2:$E$49,MATCH(C2314,Products!$A$2:$A$49,0)))</f>
        <v>0</v>
      </c>
    </row>
    <row r="2315" customFormat="false" ht="15" hidden="false" customHeight="false" outlineLevel="0" collapsed="false">
      <c r="A2315" s="36" t="n">
        <v>46209</v>
      </c>
      <c r="B2315" s="24" t="s">
        <v>62</v>
      </c>
      <c r="C2315" s="24" t="s">
        <v>203</v>
      </c>
      <c r="D2315" s="33" t="n">
        <v>54</v>
      </c>
      <c r="E2315" s="24" t="n">
        <v>0</v>
      </c>
      <c r="F2315" s="37" t="n">
        <f aca="false">DATE(YEAR(A2315),MONTH(A2315),1)</f>
        <v>46204</v>
      </c>
      <c r="G2315" s="24" t="str">
        <f aca="false">INDEX(Products!$C$2:$C$49,MATCH(C2315,Products!$A$2:$A$49,0))</f>
        <v>Snacks &amp; Confectionery</v>
      </c>
      <c r="H2315" s="33" t="n">
        <f aca="false">D2315*INDEX(Products!$E$2:$E$49,MATCH(C2315,Products!$A$2:$A$49,0))</f>
        <v>3510</v>
      </c>
      <c r="I2315" s="33" t="n">
        <f aca="false">D2315*INDEX(Products!$D$2:$D$49,MATCH(C2315,Products!$A$2:$A$49,0))*(1+INDEX(Assumptions!$B$16:$B$20,MATCH(B2315,Assumptions!$A$16:$A$20,0)))</f>
        <v>2558.304</v>
      </c>
      <c r="J2315" s="33" t="n">
        <f aca="false">H2315-I2315</f>
        <v>951.696</v>
      </c>
      <c r="K2315" s="33" t="n">
        <f aca="false">IF(OR(E2315=0,E2315&gt;=7),0,D2315/(7-E2315)*E2315*INDEX(Products!$E$2:$E$49,MATCH(C2315,Products!$A$2:$A$49,0)))</f>
        <v>0</v>
      </c>
    </row>
    <row r="2316" customFormat="false" ht="15" hidden="false" customHeight="false" outlineLevel="0" collapsed="false">
      <c r="A2316" s="36" t="n">
        <v>46216</v>
      </c>
      <c r="B2316" s="24" t="s">
        <v>62</v>
      </c>
      <c r="C2316" s="24" t="s">
        <v>203</v>
      </c>
      <c r="D2316" s="33" t="n">
        <v>50</v>
      </c>
      <c r="E2316" s="24" t="n">
        <v>0</v>
      </c>
      <c r="F2316" s="37" t="n">
        <f aca="false">DATE(YEAR(A2316),MONTH(A2316),1)</f>
        <v>46204</v>
      </c>
      <c r="G2316" s="24" t="str">
        <f aca="false">INDEX(Products!$C$2:$C$49,MATCH(C2316,Products!$A$2:$A$49,0))</f>
        <v>Snacks &amp; Confectionery</v>
      </c>
      <c r="H2316" s="33" t="n">
        <f aca="false">D2316*INDEX(Products!$E$2:$E$49,MATCH(C2316,Products!$A$2:$A$49,0))</f>
        <v>3250</v>
      </c>
      <c r="I2316" s="33" t="n">
        <f aca="false">D2316*INDEX(Products!$D$2:$D$49,MATCH(C2316,Products!$A$2:$A$49,0))*(1+INDEX(Assumptions!$B$16:$B$20,MATCH(B2316,Assumptions!$A$16:$A$20,0)))</f>
        <v>2368.8</v>
      </c>
      <c r="J2316" s="33" t="n">
        <f aca="false">H2316-I2316</f>
        <v>881.2</v>
      </c>
      <c r="K2316" s="33" t="n">
        <f aca="false">IF(OR(E2316=0,E2316&gt;=7),0,D2316/(7-E2316)*E2316*INDEX(Products!$E$2:$E$49,MATCH(C2316,Products!$A$2:$A$49,0)))</f>
        <v>0</v>
      </c>
    </row>
    <row r="2317" customFormat="false" ht="15" hidden="false" customHeight="false" outlineLevel="0" collapsed="false">
      <c r="A2317" s="36" t="n">
        <v>46223</v>
      </c>
      <c r="B2317" s="24" t="s">
        <v>62</v>
      </c>
      <c r="C2317" s="24" t="s">
        <v>203</v>
      </c>
      <c r="D2317" s="33" t="n">
        <v>43</v>
      </c>
      <c r="E2317" s="24" t="n">
        <v>0</v>
      </c>
      <c r="F2317" s="37" t="n">
        <f aca="false">DATE(YEAR(A2317),MONTH(A2317),1)</f>
        <v>46204</v>
      </c>
      <c r="G2317" s="24" t="str">
        <f aca="false">INDEX(Products!$C$2:$C$49,MATCH(C2317,Products!$A$2:$A$49,0))</f>
        <v>Snacks &amp; Confectionery</v>
      </c>
      <c r="H2317" s="33" t="n">
        <f aca="false">D2317*INDEX(Products!$E$2:$E$49,MATCH(C2317,Products!$A$2:$A$49,0))</f>
        <v>2795</v>
      </c>
      <c r="I2317" s="33" t="n">
        <f aca="false">D2317*INDEX(Products!$D$2:$D$49,MATCH(C2317,Products!$A$2:$A$49,0))*(1+INDEX(Assumptions!$B$16:$B$20,MATCH(B2317,Assumptions!$A$16:$A$20,0)))</f>
        <v>2037.168</v>
      </c>
      <c r="J2317" s="33" t="n">
        <f aca="false">H2317-I2317</f>
        <v>757.832</v>
      </c>
      <c r="K2317" s="33" t="n">
        <f aca="false">IF(OR(E2317=0,E2317&gt;=7),0,D2317/(7-E2317)*E2317*INDEX(Products!$E$2:$E$49,MATCH(C2317,Products!$A$2:$A$49,0)))</f>
        <v>0</v>
      </c>
    </row>
    <row r="2318" customFormat="false" ht="15" hidden="false" customHeight="false" outlineLevel="0" collapsed="false">
      <c r="A2318" s="36" t="n">
        <v>46230</v>
      </c>
      <c r="B2318" s="24" t="s">
        <v>62</v>
      </c>
      <c r="C2318" s="24" t="s">
        <v>203</v>
      </c>
      <c r="D2318" s="33" t="n">
        <v>51</v>
      </c>
      <c r="E2318" s="24" t="n">
        <v>0</v>
      </c>
      <c r="F2318" s="37" t="n">
        <f aca="false">DATE(YEAR(A2318),MONTH(A2318),1)</f>
        <v>46204</v>
      </c>
      <c r="G2318" s="24" t="str">
        <f aca="false">INDEX(Products!$C$2:$C$49,MATCH(C2318,Products!$A$2:$A$49,0))</f>
        <v>Snacks &amp; Confectionery</v>
      </c>
      <c r="H2318" s="33" t="n">
        <f aca="false">D2318*INDEX(Products!$E$2:$E$49,MATCH(C2318,Products!$A$2:$A$49,0))</f>
        <v>3315</v>
      </c>
      <c r="I2318" s="33" t="n">
        <f aca="false">D2318*INDEX(Products!$D$2:$D$49,MATCH(C2318,Products!$A$2:$A$49,0))*(1+INDEX(Assumptions!$B$16:$B$20,MATCH(B2318,Assumptions!$A$16:$A$20,0)))</f>
        <v>2416.176</v>
      </c>
      <c r="J2318" s="33" t="n">
        <f aca="false">H2318-I2318</f>
        <v>898.824</v>
      </c>
      <c r="K2318" s="33" t="n">
        <f aca="false">IF(OR(E2318=0,E2318&gt;=7),0,D2318/(7-E2318)*E2318*INDEX(Products!$E$2:$E$49,MATCH(C2318,Products!$A$2:$A$49,0)))</f>
        <v>0</v>
      </c>
    </row>
    <row r="2319" customFormat="false" ht="15" hidden="false" customHeight="false" outlineLevel="0" collapsed="false">
      <c r="A2319" s="36" t="n">
        <v>46237</v>
      </c>
      <c r="B2319" s="24" t="s">
        <v>62</v>
      </c>
      <c r="C2319" s="24" t="s">
        <v>203</v>
      </c>
      <c r="D2319" s="33" t="n">
        <v>43</v>
      </c>
      <c r="E2319" s="24" t="n">
        <v>0</v>
      </c>
      <c r="F2319" s="37" t="n">
        <f aca="false">DATE(YEAR(A2319),MONTH(A2319),1)</f>
        <v>46235</v>
      </c>
      <c r="G2319" s="24" t="str">
        <f aca="false">INDEX(Products!$C$2:$C$49,MATCH(C2319,Products!$A$2:$A$49,0))</f>
        <v>Snacks &amp; Confectionery</v>
      </c>
      <c r="H2319" s="33" t="n">
        <f aca="false">D2319*INDEX(Products!$E$2:$E$49,MATCH(C2319,Products!$A$2:$A$49,0))</f>
        <v>2795</v>
      </c>
      <c r="I2319" s="33" t="n">
        <f aca="false">D2319*INDEX(Products!$D$2:$D$49,MATCH(C2319,Products!$A$2:$A$49,0))*(1+INDEX(Assumptions!$B$16:$B$20,MATCH(B2319,Assumptions!$A$16:$A$20,0)))</f>
        <v>2037.168</v>
      </c>
      <c r="J2319" s="33" t="n">
        <f aca="false">H2319-I2319</f>
        <v>757.832</v>
      </c>
      <c r="K2319" s="33" t="n">
        <f aca="false">IF(OR(E2319=0,E2319&gt;=7),0,D2319/(7-E2319)*E2319*INDEX(Products!$E$2:$E$49,MATCH(C2319,Products!$A$2:$A$49,0)))</f>
        <v>0</v>
      </c>
    </row>
    <row r="2320" customFormat="false" ht="15" hidden="false" customHeight="false" outlineLevel="0" collapsed="false">
      <c r="A2320" s="36" t="n">
        <v>46244</v>
      </c>
      <c r="B2320" s="24" t="s">
        <v>62</v>
      </c>
      <c r="C2320" s="24" t="s">
        <v>203</v>
      </c>
      <c r="D2320" s="33" t="n">
        <v>47</v>
      </c>
      <c r="E2320" s="24" t="n">
        <v>0</v>
      </c>
      <c r="F2320" s="37" t="n">
        <f aca="false">DATE(YEAR(A2320),MONTH(A2320),1)</f>
        <v>46235</v>
      </c>
      <c r="G2320" s="24" t="str">
        <f aca="false">INDEX(Products!$C$2:$C$49,MATCH(C2320,Products!$A$2:$A$49,0))</f>
        <v>Snacks &amp; Confectionery</v>
      </c>
      <c r="H2320" s="33" t="n">
        <f aca="false">D2320*INDEX(Products!$E$2:$E$49,MATCH(C2320,Products!$A$2:$A$49,0))</f>
        <v>3055</v>
      </c>
      <c r="I2320" s="33" t="n">
        <f aca="false">D2320*INDEX(Products!$D$2:$D$49,MATCH(C2320,Products!$A$2:$A$49,0))*(1+INDEX(Assumptions!$B$16:$B$20,MATCH(B2320,Assumptions!$A$16:$A$20,0)))</f>
        <v>2226.672</v>
      </c>
      <c r="J2320" s="33" t="n">
        <f aca="false">H2320-I2320</f>
        <v>828.328</v>
      </c>
      <c r="K2320" s="33" t="n">
        <f aca="false">IF(OR(E2320=0,E2320&gt;=7),0,D2320/(7-E2320)*E2320*INDEX(Products!$E$2:$E$49,MATCH(C2320,Products!$A$2:$A$49,0)))</f>
        <v>0</v>
      </c>
    </row>
    <row r="2321" customFormat="false" ht="15" hidden="false" customHeight="false" outlineLevel="0" collapsed="false">
      <c r="A2321" s="36" t="n">
        <v>46251</v>
      </c>
      <c r="B2321" s="24" t="s">
        <v>62</v>
      </c>
      <c r="C2321" s="24" t="s">
        <v>203</v>
      </c>
      <c r="D2321" s="33" t="n">
        <v>56</v>
      </c>
      <c r="E2321" s="24" t="n">
        <v>0</v>
      </c>
      <c r="F2321" s="37" t="n">
        <f aca="false">DATE(YEAR(A2321),MONTH(A2321),1)</f>
        <v>46235</v>
      </c>
      <c r="G2321" s="24" t="str">
        <f aca="false">INDEX(Products!$C$2:$C$49,MATCH(C2321,Products!$A$2:$A$49,0))</f>
        <v>Snacks &amp; Confectionery</v>
      </c>
      <c r="H2321" s="33" t="n">
        <f aca="false">D2321*INDEX(Products!$E$2:$E$49,MATCH(C2321,Products!$A$2:$A$49,0))</f>
        <v>3640</v>
      </c>
      <c r="I2321" s="33" t="n">
        <f aca="false">D2321*INDEX(Products!$D$2:$D$49,MATCH(C2321,Products!$A$2:$A$49,0))*(1+INDEX(Assumptions!$B$16:$B$20,MATCH(B2321,Assumptions!$A$16:$A$20,0)))</f>
        <v>2653.056</v>
      </c>
      <c r="J2321" s="33" t="n">
        <f aca="false">H2321-I2321</f>
        <v>986.944</v>
      </c>
      <c r="K2321" s="33" t="n">
        <f aca="false">IF(OR(E2321=0,E2321&gt;=7),0,D2321/(7-E2321)*E2321*INDEX(Products!$E$2:$E$49,MATCH(C2321,Products!$A$2:$A$49,0)))</f>
        <v>0</v>
      </c>
    </row>
    <row r="2322" customFormat="false" ht="15" hidden="false" customHeight="false" outlineLevel="0" collapsed="false">
      <c r="A2322" s="36" t="n">
        <v>46258</v>
      </c>
      <c r="B2322" s="24" t="s">
        <v>62</v>
      </c>
      <c r="C2322" s="24" t="s">
        <v>203</v>
      </c>
      <c r="D2322" s="33" t="n">
        <v>56</v>
      </c>
      <c r="E2322" s="24" t="n">
        <v>0</v>
      </c>
      <c r="F2322" s="37" t="n">
        <f aca="false">DATE(YEAR(A2322),MONTH(A2322),1)</f>
        <v>46235</v>
      </c>
      <c r="G2322" s="24" t="str">
        <f aca="false">INDEX(Products!$C$2:$C$49,MATCH(C2322,Products!$A$2:$A$49,0))</f>
        <v>Snacks &amp; Confectionery</v>
      </c>
      <c r="H2322" s="33" t="n">
        <f aca="false">D2322*INDEX(Products!$E$2:$E$49,MATCH(C2322,Products!$A$2:$A$49,0))</f>
        <v>3640</v>
      </c>
      <c r="I2322" s="33" t="n">
        <f aca="false">D2322*INDEX(Products!$D$2:$D$49,MATCH(C2322,Products!$A$2:$A$49,0))*(1+INDEX(Assumptions!$B$16:$B$20,MATCH(B2322,Assumptions!$A$16:$A$20,0)))</f>
        <v>2653.056</v>
      </c>
      <c r="J2322" s="33" t="n">
        <f aca="false">H2322-I2322</f>
        <v>986.944</v>
      </c>
      <c r="K2322" s="33" t="n">
        <f aca="false">IF(OR(E2322=0,E2322&gt;=7),0,D2322/(7-E2322)*E2322*INDEX(Products!$E$2:$E$49,MATCH(C2322,Products!$A$2:$A$49,0)))</f>
        <v>0</v>
      </c>
    </row>
    <row r="2323" customFormat="false" ht="15" hidden="false" customHeight="false" outlineLevel="0" collapsed="false">
      <c r="A2323" s="36" t="n">
        <v>46265</v>
      </c>
      <c r="B2323" s="24" t="s">
        <v>62</v>
      </c>
      <c r="C2323" s="24" t="s">
        <v>203</v>
      </c>
      <c r="D2323" s="33" t="n">
        <v>50</v>
      </c>
      <c r="E2323" s="24" t="n">
        <v>0</v>
      </c>
      <c r="F2323" s="37" t="n">
        <f aca="false">DATE(YEAR(A2323),MONTH(A2323),1)</f>
        <v>46235</v>
      </c>
      <c r="G2323" s="24" t="str">
        <f aca="false">INDEX(Products!$C$2:$C$49,MATCH(C2323,Products!$A$2:$A$49,0))</f>
        <v>Snacks &amp; Confectionery</v>
      </c>
      <c r="H2323" s="33" t="n">
        <f aca="false">D2323*INDEX(Products!$E$2:$E$49,MATCH(C2323,Products!$A$2:$A$49,0))</f>
        <v>3250</v>
      </c>
      <c r="I2323" s="33" t="n">
        <f aca="false">D2323*INDEX(Products!$D$2:$D$49,MATCH(C2323,Products!$A$2:$A$49,0))*(1+INDEX(Assumptions!$B$16:$B$20,MATCH(B2323,Assumptions!$A$16:$A$20,0)))</f>
        <v>2368.8</v>
      </c>
      <c r="J2323" s="33" t="n">
        <f aca="false">H2323-I2323</f>
        <v>881.2</v>
      </c>
      <c r="K2323" s="33" t="n">
        <f aca="false">IF(OR(E2323=0,E2323&gt;=7),0,D2323/(7-E2323)*E2323*INDEX(Products!$E$2:$E$49,MATCH(C2323,Products!$A$2:$A$49,0)))</f>
        <v>0</v>
      </c>
    </row>
    <row r="2324" customFormat="false" ht="15" hidden="false" customHeight="false" outlineLevel="0" collapsed="false">
      <c r="A2324" s="36" t="n">
        <v>46272</v>
      </c>
      <c r="B2324" s="24" t="s">
        <v>62</v>
      </c>
      <c r="C2324" s="24" t="s">
        <v>203</v>
      </c>
      <c r="D2324" s="33" t="n">
        <v>45</v>
      </c>
      <c r="E2324" s="24" t="n">
        <v>0</v>
      </c>
      <c r="F2324" s="37" t="n">
        <f aca="false">DATE(YEAR(A2324),MONTH(A2324),1)</f>
        <v>46266</v>
      </c>
      <c r="G2324" s="24" t="str">
        <f aca="false">INDEX(Products!$C$2:$C$49,MATCH(C2324,Products!$A$2:$A$49,0))</f>
        <v>Snacks &amp; Confectionery</v>
      </c>
      <c r="H2324" s="33" t="n">
        <f aca="false">D2324*INDEX(Products!$E$2:$E$49,MATCH(C2324,Products!$A$2:$A$49,0))</f>
        <v>2925</v>
      </c>
      <c r="I2324" s="33" t="n">
        <f aca="false">D2324*INDEX(Products!$D$2:$D$49,MATCH(C2324,Products!$A$2:$A$49,0))*(1+INDEX(Assumptions!$B$16:$B$20,MATCH(B2324,Assumptions!$A$16:$A$20,0)))</f>
        <v>2131.92</v>
      </c>
      <c r="J2324" s="33" t="n">
        <f aca="false">H2324-I2324</f>
        <v>793.08</v>
      </c>
      <c r="K2324" s="33" t="n">
        <f aca="false">IF(OR(E2324=0,E2324&gt;=7),0,D2324/(7-E2324)*E2324*INDEX(Products!$E$2:$E$49,MATCH(C2324,Products!$A$2:$A$49,0)))</f>
        <v>0</v>
      </c>
    </row>
    <row r="2325" customFormat="false" ht="15" hidden="false" customHeight="false" outlineLevel="0" collapsed="false">
      <c r="A2325" s="36" t="n">
        <v>46279</v>
      </c>
      <c r="B2325" s="24" t="s">
        <v>62</v>
      </c>
      <c r="C2325" s="24" t="s">
        <v>203</v>
      </c>
      <c r="D2325" s="33" t="n">
        <v>67</v>
      </c>
      <c r="E2325" s="24" t="n">
        <v>0</v>
      </c>
      <c r="F2325" s="37" t="n">
        <f aca="false">DATE(YEAR(A2325),MONTH(A2325),1)</f>
        <v>46266</v>
      </c>
      <c r="G2325" s="24" t="str">
        <f aca="false">INDEX(Products!$C$2:$C$49,MATCH(C2325,Products!$A$2:$A$49,0))</f>
        <v>Snacks &amp; Confectionery</v>
      </c>
      <c r="H2325" s="33" t="n">
        <f aca="false">D2325*INDEX(Products!$E$2:$E$49,MATCH(C2325,Products!$A$2:$A$49,0))</f>
        <v>4355</v>
      </c>
      <c r="I2325" s="33" t="n">
        <f aca="false">D2325*INDEX(Products!$D$2:$D$49,MATCH(C2325,Products!$A$2:$A$49,0))*(1+INDEX(Assumptions!$B$16:$B$20,MATCH(B2325,Assumptions!$A$16:$A$20,0)))</f>
        <v>3174.192</v>
      </c>
      <c r="J2325" s="33" t="n">
        <f aca="false">H2325-I2325</f>
        <v>1180.808</v>
      </c>
      <c r="K2325" s="33" t="n">
        <f aca="false">IF(OR(E2325=0,E2325&gt;=7),0,D2325/(7-E2325)*E2325*INDEX(Products!$E$2:$E$49,MATCH(C2325,Products!$A$2:$A$49,0)))</f>
        <v>0</v>
      </c>
    </row>
    <row r="2326" customFormat="false" ht="15" hidden="false" customHeight="false" outlineLevel="0" collapsed="false">
      <c r="A2326" s="36" t="n">
        <v>46286</v>
      </c>
      <c r="B2326" s="24" t="s">
        <v>62</v>
      </c>
      <c r="C2326" s="24" t="s">
        <v>203</v>
      </c>
      <c r="D2326" s="33" t="n">
        <v>55</v>
      </c>
      <c r="E2326" s="24" t="n">
        <v>0</v>
      </c>
      <c r="F2326" s="37" t="n">
        <f aca="false">DATE(YEAR(A2326),MONTH(A2326),1)</f>
        <v>46266</v>
      </c>
      <c r="G2326" s="24" t="str">
        <f aca="false">INDEX(Products!$C$2:$C$49,MATCH(C2326,Products!$A$2:$A$49,0))</f>
        <v>Snacks &amp; Confectionery</v>
      </c>
      <c r="H2326" s="33" t="n">
        <f aca="false">D2326*INDEX(Products!$E$2:$E$49,MATCH(C2326,Products!$A$2:$A$49,0))</f>
        <v>3575</v>
      </c>
      <c r="I2326" s="33" t="n">
        <f aca="false">D2326*INDEX(Products!$D$2:$D$49,MATCH(C2326,Products!$A$2:$A$49,0))*(1+INDEX(Assumptions!$B$16:$B$20,MATCH(B2326,Assumptions!$A$16:$A$20,0)))</f>
        <v>2605.68</v>
      </c>
      <c r="J2326" s="33" t="n">
        <f aca="false">H2326-I2326</f>
        <v>969.32</v>
      </c>
      <c r="K2326" s="33" t="n">
        <f aca="false">IF(OR(E2326=0,E2326&gt;=7),0,D2326/(7-E2326)*E2326*INDEX(Products!$E$2:$E$49,MATCH(C2326,Products!$A$2:$A$49,0)))</f>
        <v>0</v>
      </c>
    </row>
    <row r="2327" customFormat="false" ht="15" hidden="false" customHeight="false" outlineLevel="0" collapsed="false">
      <c r="A2327" s="36" t="n">
        <v>46118</v>
      </c>
      <c r="B2327" s="24" t="s">
        <v>62</v>
      </c>
      <c r="C2327" s="24" t="s">
        <v>205</v>
      </c>
      <c r="D2327" s="33" t="n">
        <v>65</v>
      </c>
      <c r="E2327" s="24" t="n">
        <v>0</v>
      </c>
      <c r="F2327" s="37" t="n">
        <f aca="false">DATE(YEAR(A2327),MONTH(A2327),1)</f>
        <v>46113</v>
      </c>
      <c r="G2327" s="24" t="str">
        <f aca="false">INDEX(Products!$C$2:$C$49,MATCH(C2327,Products!$A$2:$A$49,0))</f>
        <v>Snacks &amp; Confectionery</v>
      </c>
      <c r="H2327" s="33" t="n">
        <f aca="false">D2327*INDEX(Products!$E$2:$E$49,MATCH(C2327,Products!$A$2:$A$49,0))</f>
        <v>7800</v>
      </c>
      <c r="I2327" s="33" t="n">
        <f aca="false">D2327*INDEX(Products!$D$2:$D$49,MATCH(C2327,Products!$A$2:$A$49,0))*(1+INDEX(Assumptions!$B$16:$B$20,MATCH(B2327,Assumptions!$A$16:$A$20,0)))</f>
        <v>5307.12</v>
      </c>
      <c r="J2327" s="33" t="n">
        <f aca="false">H2327-I2327</f>
        <v>2492.88</v>
      </c>
      <c r="K2327" s="33" t="n">
        <f aca="false">IF(OR(E2327=0,E2327&gt;=7),0,D2327/(7-E2327)*E2327*INDEX(Products!$E$2:$E$49,MATCH(C2327,Products!$A$2:$A$49,0)))</f>
        <v>0</v>
      </c>
    </row>
    <row r="2328" customFormat="false" ht="15" hidden="false" customHeight="false" outlineLevel="0" collapsed="false">
      <c r="A2328" s="36" t="n">
        <v>46125</v>
      </c>
      <c r="B2328" s="24" t="s">
        <v>62</v>
      </c>
      <c r="C2328" s="24" t="s">
        <v>205</v>
      </c>
      <c r="D2328" s="33" t="n">
        <v>67</v>
      </c>
      <c r="E2328" s="24" t="n">
        <v>0</v>
      </c>
      <c r="F2328" s="37" t="n">
        <f aca="false">DATE(YEAR(A2328),MONTH(A2328),1)</f>
        <v>46113</v>
      </c>
      <c r="G2328" s="24" t="str">
        <f aca="false">INDEX(Products!$C$2:$C$49,MATCH(C2328,Products!$A$2:$A$49,0))</f>
        <v>Snacks &amp; Confectionery</v>
      </c>
      <c r="H2328" s="33" t="n">
        <f aca="false">D2328*INDEX(Products!$E$2:$E$49,MATCH(C2328,Products!$A$2:$A$49,0))</f>
        <v>8040</v>
      </c>
      <c r="I2328" s="33" t="n">
        <f aca="false">D2328*INDEX(Products!$D$2:$D$49,MATCH(C2328,Products!$A$2:$A$49,0))*(1+INDEX(Assumptions!$B$16:$B$20,MATCH(B2328,Assumptions!$A$16:$A$20,0)))</f>
        <v>5470.416</v>
      </c>
      <c r="J2328" s="33" t="n">
        <f aca="false">H2328-I2328</f>
        <v>2569.584</v>
      </c>
      <c r="K2328" s="33" t="n">
        <f aca="false">IF(OR(E2328=0,E2328&gt;=7),0,D2328/(7-E2328)*E2328*INDEX(Products!$E$2:$E$49,MATCH(C2328,Products!$A$2:$A$49,0)))</f>
        <v>0</v>
      </c>
    </row>
    <row r="2329" customFormat="false" ht="15" hidden="false" customHeight="false" outlineLevel="0" collapsed="false">
      <c r="A2329" s="36" t="n">
        <v>46132</v>
      </c>
      <c r="B2329" s="24" t="s">
        <v>62</v>
      </c>
      <c r="C2329" s="24" t="s">
        <v>205</v>
      </c>
      <c r="D2329" s="33" t="n">
        <v>77</v>
      </c>
      <c r="E2329" s="24" t="n">
        <v>0</v>
      </c>
      <c r="F2329" s="37" t="n">
        <f aca="false">DATE(YEAR(A2329),MONTH(A2329),1)</f>
        <v>46113</v>
      </c>
      <c r="G2329" s="24" t="str">
        <f aca="false">INDEX(Products!$C$2:$C$49,MATCH(C2329,Products!$A$2:$A$49,0))</f>
        <v>Snacks &amp; Confectionery</v>
      </c>
      <c r="H2329" s="33" t="n">
        <f aca="false">D2329*INDEX(Products!$E$2:$E$49,MATCH(C2329,Products!$A$2:$A$49,0))</f>
        <v>9240</v>
      </c>
      <c r="I2329" s="33" t="n">
        <f aca="false">D2329*INDEX(Products!$D$2:$D$49,MATCH(C2329,Products!$A$2:$A$49,0))*(1+INDEX(Assumptions!$B$16:$B$20,MATCH(B2329,Assumptions!$A$16:$A$20,0)))</f>
        <v>6286.896</v>
      </c>
      <c r="J2329" s="33" t="n">
        <f aca="false">H2329-I2329</f>
        <v>2953.104</v>
      </c>
      <c r="K2329" s="33" t="n">
        <f aca="false">IF(OR(E2329=0,E2329&gt;=7),0,D2329/(7-E2329)*E2329*INDEX(Products!$E$2:$E$49,MATCH(C2329,Products!$A$2:$A$49,0)))</f>
        <v>0</v>
      </c>
    </row>
    <row r="2330" customFormat="false" ht="15" hidden="false" customHeight="false" outlineLevel="0" collapsed="false">
      <c r="A2330" s="36" t="n">
        <v>46139</v>
      </c>
      <c r="B2330" s="24" t="s">
        <v>62</v>
      </c>
      <c r="C2330" s="24" t="s">
        <v>205</v>
      </c>
      <c r="D2330" s="33" t="n">
        <v>76</v>
      </c>
      <c r="E2330" s="24" t="n">
        <v>0</v>
      </c>
      <c r="F2330" s="37" t="n">
        <f aca="false">DATE(YEAR(A2330),MONTH(A2330),1)</f>
        <v>46113</v>
      </c>
      <c r="G2330" s="24" t="str">
        <f aca="false">INDEX(Products!$C$2:$C$49,MATCH(C2330,Products!$A$2:$A$49,0))</f>
        <v>Snacks &amp; Confectionery</v>
      </c>
      <c r="H2330" s="33" t="n">
        <f aca="false">D2330*INDEX(Products!$E$2:$E$49,MATCH(C2330,Products!$A$2:$A$49,0))</f>
        <v>9120</v>
      </c>
      <c r="I2330" s="33" t="n">
        <f aca="false">D2330*INDEX(Products!$D$2:$D$49,MATCH(C2330,Products!$A$2:$A$49,0))*(1+INDEX(Assumptions!$B$16:$B$20,MATCH(B2330,Assumptions!$A$16:$A$20,0)))</f>
        <v>6205.248</v>
      </c>
      <c r="J2330" s="33" t="n">
        <f aca="false">H2330-I2330</f>
        <v>2914.752</v>
      </c>
      <c r="K2330" s="33" t="n">
        <f aca="false">IF(OR(E2330=0,E2330&gt;=7),0,D2330/(7-E2330)*E2330*INDEX(Products!$E$2:$E$49,MATCH(C2330,Products!$A$2:$A$49,0)))</f>
        <v>0</v>
      </c>
    </row>
    <row r="2331" customFormat="false" ht="15" hidden="false" customHeight="false" outlineLevel="0" collapsed="false">
      <c r="A2331" s="36" t="n">
        <v>46146</v>
      </c>
      <c r="B2331" s="24" t="s">
        <v>62</v>
      </c>
      <c r="C2331" s="24" t="s">
        <v>205</v>
      </c>
      <c r="D2331" s="33" t="n">
        <v>70</v>
      </c>
      <c r="E2331" s="24" t="n">
        <v>0</v>
      </c>
      <c r="F2331" s="37" t="n">
        <f aca="false">DATE(YEAR(A2331),MONTH(A2331),1)</f>
        <v>46143</v>
      </c>
      <c r="G2331" s="24" t="str">
        <f aca="false">INDEX(Products!$C$2:$C$49,MATCH(C2331,Products!$A$2:$A$49,0))</f>
        <v>Snacks &amp; Confectionery</v>
      </c>
      <c r="H2331" s="33" t="n">
        <f aca="false">D2331*INDEX(Products!$E$2:$E$49,MATCH(C2331,Products!$A$2:$A$49,0))</f>
        <v>8400</v>
      </c>
      <c r="I2331" s="33" t="n">
        <f aca="false">D2331*INDEX(Products!$D$2:$D$49,MATCH(C2331,Products!$A$2:$A$49,0))*(1+INDEX(Assumptions!$B$16:$B$20,MATCH(B2331,Assumptions!$A$16:$A$20,0)))</f>
        <v>5715.36</v>
      </c>
      <c r="J2331" s="33" t="n">
        <f aca="false">H2331-I2331</f>
        <v>2684.64</v>
      </c>
      <c r="K2331" s="33" t="n">
        <f aca="false">IF(OR(E2331=0,E2331&gt;=7),0,D2331/(7-E2331)*E2331*INDEX(Products!$E$2:$E$49,MATCH(C2331,Products!$A$2:$A$49,0)))</f>
        <v>0</v>
      </c>
    </row>
    <row r="2332" customFormat="false" ht="15" hidden="false" customHeight="false" outlineLevel="0" collapsed="false">
      <c r="A2332" s="36" t="n">
        <v>46153</v>
      </c>
      <c r="B2332" s="24" t="s">
        <v>62</v>
      </c>
      <c r="C2332" s="24" t="s">
        <v>205</v>
      </c>
      <c r="D2332" s="33" t="n">
        <v>77</v>
      </c>
      <c r="E2332" s="24" t="n">
        <v>0</v>
      </c>
      <c r="F2332" s="37" t="n">
        <f aca="false">DATE(YEAR(A2332),MONTH(A2332),1)</f>
        <v>46143</v>
      </c>
      <c r="G2332" s="24" t="str">
        <f aca="false">INDEX(Products!$C$2:$C$49,MATCH(C2332,Products!$A$2:$A$49,0))</f>
        <v>Snacks &amp; Confectionery</v>
      </c>
      <c r="H2332" s="33" t="n">
        <f aca="false">D2332*INDEX(Products!$E$2:$E$49,MATCH(C2332,Products!$A$2:$A$49,0))</f>
        <v>9240</v>
      </c>
      <c r="I2332" s="33" t="n">
        <f aca="false">D2332*INDEX(Products!$D$2:$D$49,MATCH(C2332,Products!$A$2:$A$49,0))*(1+INDEX(Assumptions!$B$16:$B$20,MATCH(B2332,Assumptions!$A$16:$A$20,0)))</f>
        <v>6286.896</v>
      </c>
      <c r="J2332" s="33" t="n">
        <f aca="false">H2332-I2332</f>
        <v>2953.104</v>
      </c>
      <c r="K2332" s="33" t="n">
        <f aca="false">IF(OR(E2332=0,E2332&gt;=7),0,D2332/(7-E2332)*E2332*INDEX(Products!$E$2:$E$49,MATCH(C2332,Products!$A$2:$A$49,0)))</f>
        <v>0</v>
      </c>
    </row>
    <row r="2333" customFormat="false" ht="15" hidden="false" customHeight="false" outlineLevel="0" collapsed="false">
      <c r="A2333" s="36" t="n">
        <v>46160</v>
      </c>
      <c r="B2333" s="24" t="s">
        <v>62</v>
      </c>
      <c r="C2333" s="24" t="s">
        <v>205</v>
      </c>
      <c r="D2333" s="33" t="n">
        <v>73</v>
      </c>
      <c r="E2333" s="24" t="n">
        <v>0</v>
      </c>
      <c r="F2333" s="37" t="n">
        <f aca="false">DATE(YEAR(A2333),MONTH(A2333),1)</f>
        <v>46143</v>
      </c>
      <c r="G2333" s="24" t="str">
        <f aca="false">INDEX(Products!$C$2:$C$49,MATCH(C2333,Products!$A$2:$A$49,0))</f>
        <v>Snacks &amp; Confectionery</v>
      </c>
      <c r="H2333" s="33" t="n">
        <f aca="false">D2333*INDEX(Products!$E$2:$E$49,MATCH(C2333,Products!$A$2:$A$49,0))</f>
        <v>8760</v>
      </c>
      <c r="I2333" s="33" t="n">
        <f aca="false">D2333*INDEX(Products!$D$2:$D$49,MATCH(C2333,Products!$A$2:$A$49,0))*(1+INDEX(Assumptions!$B$16:$B$20,MATCH(B2333,Assumptions!$A$16:$A$20,0)))</f>
        <v>5960.304</v>
      </c>
      <c r="J2333" s="33" t="n">
        <f aca="false">H2333-I2333</f>
        <v>2799.696</v>
      </c>
      <c r="K2333" s="33" t="n">
        <f aca="false">IF(OR(E2333=0,E2333&gt;=7),0,D2333/(7-E2333)*E2333*INDEX(Products!$E$2:$E$49,MATCH(C2333,Products!$A$2:$A$49,0)))</f>
        <v>0</v>
      </c>
    </row>
    <row r="2334" customFormat="false" ht="15" hidden="false" customHeight="false" outlineLevel="0" collapsed="false">
      <c r="A2334" s="36" t="n">
        <v>46167</v>
      </c>
      <c r="B2334" s="24" t="s">
        <v>62</v>
      </c>
      <c r="C2334" s="24" t="s">
        <v>205</v>
      </c>
      <c r="D2334" s="33" t="n">
        <v>82</v>
      </c>
      <c r="E2334" s="24" t="n">
        <v>0</v>
      </c>
      <c r="F2334" s="37" t="n">
        <f aca="false">DATE(YEAR(A2334),MONTH(A2334),1)</f>
        <v>46143</v>
      </c>
      <c r="G2334" s="24" t="str">
        <f aca="false">INDEX(Products!$C$2:$C$49,MATCH(C2334,Products!$A$2:$A$49,0))</f>
        <v>Snacks &amp; Confectionery</v>
      </c>
      <c r="H2334" s="33" t="n">
        <f aca="false">D2334*INDEX(Products!$E$2:$E$49,MATCH(C2334,Products!$A$2:$A$49,0))</f>
        <v>9840</v>
      </c>
      <c r="I2334" s="33" t="n">
        <f aca="false">D2334*INDEX(Products!$D$2:$D$49,MATCH(C2334,Products!$A$2:$A$49,0))*(1+INDEX(Assumptions!$B$16:$B$20,MATCH(B2334,Assumptions!$A$16:$A$20,0)))</f>
        <v>6695.136</v>
      </c>
      <c r="J2334" s="33" t="n">
        <f aca="false">H2334-I2334</f>
        <v>3144.864</v>
      </c>
      <c r="K2334" s="33" t="n">
        <f aca="false">IF(OR(E2334=0,E2334&gt;=7),0,D2334/(7-E2334)*E2334*INDEX(Products!$E$2:$E$49,MATCH(C2334,Products!$A$2:$A$49,0)))</f>
        <v>0</v>
      </c>
    </row>
    <row r="2335" customFormat="false" ht="15" hidden="false" customHeight="false" outlineLevel="0" collapsed="false">
      <c r="A2335" s="36" t="n">
        <v>46174</v>
      </c>
      <c r="B2335" s="24" t="s">
        <v>62</v>
      </c>
      <c r="C2335" s="24" t="s">
        <v>205</v>
      </c>
      <c r="D2335" s="33" t="n">
        <v>81</v>
      </c>
      <c r="E2335" s="24" t="n">
        <v>0</v>
      </c>
      <c r="F2335" s="37" t="n">
        <f aca="false">DATE(YEAR(A2335),MONTH(A2335),1)</f>
        <v>46174</v>
      </c>
      <c r="G2335" s="24" t="str">
        <f aca="false">INDEX(Products!$C$2:$C$49,MATCH(C2335,Products!$A$2:$A$49,0))</f>
        <v>Snacks &amp; Confectionery</v>
      </c>
      <c r="H2335" s="33" t="n">
        <f aca="false">D2335*INDEX(Products!$E$2:$E$49,MATCH(C2335,Products!$A$2:$A$49,0))</f>
        <v>9720</v>
      </c>
      <c r="I2335" s="33" t="n">
        <f aca="false">D2335*INDEX(Products!$D$2:$D$49,MATCH(C2335,Products!$A$2:$A$49,0))*(1+INDEX(Assumptions!$B$16:$B$20,MATCH(B2335,Assumptions!$A$16:$A$20,0)))</f>
        <v>6613.488</v>
      </c>
      <c r="J2335" s="33" t="n">
        <f aca="false">H2335-I2335</f>
        <v>3106.512</v>
      </c>
      <c r="K2335" s="33" t="n">
        <f aca="false">IF(OR(E2335=0,E2335&gt;=7),0,D2335/(7-E2335)*E2335*INDEX(Products!$E$2:$E$49,MATCH(C2335,Products!$A$2:$A$49,0)))</f>
        <v>0</v>
      </c>
    </row>
    <row r="2336" customFormat="false" ht="15" hidden="false" customHeight="false" outlineLevel="0" collapsed="false">
      <c r="A2336" s="36" t="n">
        <v>46181</v>
      </c>
      <c r="B2336" s="24" t="s">
        <v>62</v>
      </c>
      <c r="C2336" s="24" t="s">
        <v>205</v>
      </c>
      <c r="D2336" s="33" t="n">
        <v>79</v>
      </c>
      <c r="E2336" s="24" t="n">
        <v>0</v>
      </c>
      <c r="F2336" s="37" t="n">
        <f aca="false">DATE(YEAR(A2336),MONTH(A2336),1)</f>
        <v>46174</v>
      </c>
      <c r="G2336" s="24" t="str">
        <f aca="false">INDEX(Products!$C$2:$C$49,MATCH(C2336,Products!$A$2:$A$49,0))</f>
        <v>Snacks &amp; Confectionery</v>
      </c>
      <c r="H2336" s="33" t="n">
        <f aca="false">D2336*INDEX(Products!$E$2:$E$49,MATCH(C2336,Products!$A$2:$A$49,0))</f>
        <v>9480</v>
      </c>
      <c r="I2336" s="33" t="n">
        <f aca="false">D2336*INDEX(Products!$D$2:$D$49,MATCH(C2336,Products!$A$2:$A$49,0))*(1+INDEX(Assumptions!$B$16:$B$20,MATCH(B2336,Assumptions!$A$16:$A$20,0)))</f>
        <v>6450.192</v>
      </c>
      <c r="J2336" s="33" t="n">
        <f aca="false">H2336-I2336</f>
        <v>3029.808</v>
      </c>
      <c r="K2336" s="33" t="n">
        <f aca="false">IF(OR(E2336=0,E2336&gt;=7),0,D2336/(7-E2336)*E2336*INDEX(Products!$E$2:$E$49,MATCH(C2336,Products!$A$2:$A$49,0)))</f>
        <v>0</v>
      </c>
    </row>
    <row r="2337" customFormat="false" ht="15" hidden="false" customHeight="false" outlineLevel="0" collapsed="false">
      <c r="A2337" s="36" t="n">
        <v>46188</v>
      </c>
      <c r="B2337" s="24" t="s">
        <v>62</v>
      </c>
      <c r="C2337" s="24" t="s">
        <v>205</v>
      </c>
      <c r="D2337" s="33" t="n">
        <v>90</v>
      </c>
      <c r="E2337" s="24" t="n">
        <v>0</v>
      </c>
      <c r="F2337" s="37" t="n">
        <f aca="false">DATE(YEAR(A2337),MONTH(A2337),1)</f>
        <v>46174</v>
      </c>
      <c r="G2337" s="24" t="str">
        <f aca="false">INDEX(Products!$C$2:$C$49,MATCH(C2337,Products!$A$2:$A$49,0))</f>
        <v>Snacks &amp; Confectionery</v>
      </c>
      <c r="H2337" s="33" t="n">
        <f aca="false">D2337*INDEX(Products!$E$2:$E$49,MATCH(C2337,Products!$A$2:$A$49,0))</f>
        <v>10800</v>
      </c>
      <c r="I2337" s="33" t="n">
        <f aca="false">D2337*INDEX(Products!$D$2:$D$49,MATCH(C2337,Products!$A$2:$A$49,0))*(1+INDEX(Assumptions!$B$16:$B$20,MATCH(B2337,Assumptions!$A$16:$A$20,0)))</f>
        <v>7348.32</v>
      </c>
      <c r="J2337" s="33" t="n">
        <f aca="false">H2337-I2337</f>
        <v>3451.68</v>
      </c>
      <c r="K2337" s="33" t="n">
        <f aca="false">IF(OR(E2337=0,E2337&gt;=7),0,D2337/(7-E2337)*E2337*INDEX(Products!$E$2:$E$49,MATCH(C2337,Products!$A$2:$A$49,0)))</f>
        <v>0</v>
      </c>
    </row>
    <row r="2338" customFormat="false" ht="15" hidden="false" customHeight="false" outlineLevel="0" collapsed="false">
      <c r="A2338" s="36" t="n">
        <v>46195</v>
      </c>
      <c r="B2338" s="24" t="s">
        <v>62</v>
      </c>
      <c r="C2338" s="24" t="s">
        <v>205</v>
      </c>
      <c r="D2338" s="33" t="n">
        <v>79</v>
      </c>
      <c r="E2338" s="24" t="n">
        <v>0</v>
      </c>
      <c r="F2338" s="37" t="n">
        <f aca="false">DATE(YEAR(A2338),MONTH(A2338),1)</f>
        <v>46174</v>
      </c>
      <c r="G2338" s="24" t="str">
        <f aca="false">INDEX(Products!$C$2:$C$49,MATCH(C2338,Products!$A$2:$A$49,0))</f>
        <v>Snacks &amp; Confectionery</v>
      </c>
      <c r="H2338" s="33" t="n">
        <f aca="false">D2338*INDEX(Products!$E$2:$E$49,MATCH(C2338,Products!$A$2:$A$49,0))</f>
        <v>9480</v>
      </c>
      <c r="I2338" s="33" t="n">
        <f aca="false">D2338*INDEX(Products!$D$2:$D$49,MATCH(C2338,Products!$A$2:$A$49,0))*(1+INDEX(Assumptions!$B$16:$B$20,MATCH(B2338,Assumptions!$A$16:$A$20,0)))</f>
        <v>6450.192</v>
      </c>
      <c r="J2338" s="33" t="n">
        <f aca="false">H2338-I2338</f>
        <v>3029.808</v>
      </c>
      <c r="K2338" s="33" t="n">
        <f aca="false">IF(OR(E2338=0,E2338&gt;=7),0,D2338/(7-E2338)*E2338*INDEX(Products!$E$2:$E$49,MATCH(C2338,Products!$A$2:$A$49,0)))</f>
        <v>0</v>
      </c>
    </row>
    <row r="2339" customFormat="false" ht="15" hidden="false" customHeight="false" outlineLevel="0" collapsed="false">
      <c r="A2339" s="36" t="n">
        <v>46202</v>
      </c>
      <c r="B2339" s="24" t="s">
        <v>62</v>
      </c>
      <c r="C2339" s="24" t="s">
        <v>205</v>
      </c>
      <c r="D2339" s="33" t="n">
        <v>93</v>
      </c>
      <c r="E2339" s="24" t="n">
        <v>0</v>
      </c>
      <c r="F2339" s="37" t="n">
        <f aca="false">DATE(YEAR(A2339),MONTH(A2339),1)</f>
        <v>46174</v>
      </c>
      <c r="G2339" s="24" t="str">
        <f aca="false">INDEX(Products!$C$2:$C$49,MATCH(C2339,Products!$A$2:$A$49,0))</f>
        <v>Snacks &amp; Confectionery</v>
      </c>
      <c r="H2339" s="33" t="n">
        <f aca="false">D2339*INDEX(Products!$E$2:$E$49,MATCH(C2339,Products!$A$2:$A$49,0))</f>
        <v>11160</v>
      </c>
      <c r="I2339" s="33" t="n">
        <f aca="false">D2339*INDEX(Products!$D$2:$D$49,MATCH(C2339,Products!$A$2:$A$49,0))*(1+INDEX(Assumptions!$B$16:$B$20,MATCH(B2339,Assumptions!$A$16:$A$20,0)))</f>
        <v>7593.264</v>
      </c>
      <c r="J2339" s="33" t="n">
        <f aca="false">H2339-I2339</f>
        <v>3566.736</v>
      </c>
      <c r="K2339" s="33" t="n">
        <f aca="false">IF(OR(E2339=0,E2339&gt;=7),0,D2339/(7-E2339)*E2339*INDEX(Products!$E$2:$E$49,MATCH(C2339,Products!$A$2:$A$49,0)))</f>
        <v>0</v>
      </c>
    </row>
    <row r="2340" customFormat="false" ht="15" hidden="false" customHeight="false" outlineLevel="0" collapsed="false">
      <c r="A2340" s="36" t="n">
        <v>46209</v>
      </c>
      <c r="B2340" s="24" t="s">
        <v>62</v>
      </c>
      <c r="C2340" s="24" t="s">
        <v>205</v>
      </c>
      <c r="D2340" s="33" t="n">
        <v>58</v>
      </c>
      <c r="E2340" s="24" t="n">
        <v>0</v>
      </c>
      <c r="F2340" s="37" t="n">
        <f aca="false">DATE(YEAR(A2340),MONTH(A2340),1)</f>
        <v>46204</v>
      </c>
      <c r="G2340" s="24" t="str">
        <f aca="false">INDEX(Products!$C$2:$C$49,MATCH(C2340,Products!$A$2:$A$49,0))</f>
        <v>Snacks &amp; Confectionery</v>
      </c>
      <c r="H2340" s="33" t="n">
        <f aca="false">D2340*INDEX(Products!$E$2:$E$49,MATCH(C2340,Products!$A$2:$A$49,0))</f>
        <v>6960</v>
      </c>
      <c r="I2340" s="33" t="n">
        <f aca="false">D2340*INDEX(Products!$D$2:$D$49,MATCH(C2340,Products!$A$2:$A$49,0))*(1+INDEX(Assumptions!$B$16:$B$20,MATCH(B2340,Assumptions!$A$16:$A$20,0)))</f>
        <v>4735.584</v>
      </c>
      <c r="J2340" s="33" t="n">
        <f aca="false">H2340-I2340</f>
        <v>2224.416</v>
      </c>
      <c r="K2340" s="33" t="n">
        <f aca="false">IF(OR(E2340=0,E2340&gt;=7),0,D2340/(7-E2340)*E2340*INDEX(Products!$E$2:$E$49,MATCH(C2340,Products!$A$2:$A$49,0)))</f>
        <v>0</v>
      </c>
    </row>
    <row r="2341" customFormat="false" ht="15" hidden="false" customHeight="false" outlineLevel="0" collapsed="false">
      <c r="A2341" s="36" t="n">
        <v>46216</v>
      </c>
      <c r="B2341" s="24" t="s">
        <v>62</v>
      </c>
      <c r="C2341" s="24" t="s">
        <v>205</v>
      </c>
      <c r="D2341" s="33" t="n">
        <v>64</v>
      </c>
      <c r="E2341" s="24" t="n">
        <v>0</v>
      </c>
      <c r="F2341" s="37" t="n">
        <f aca="false">DATE(YEAR(A2341),MONTH(A2341),1)</f>
        <v>46204</v>
      </c>
      <c r="G2341" s="24" t="str">
        <f aca="false">INDEX(Products!$C$2:$C$49,MATCH(C2341,Products!$A$2:$A$49,0))</f>
        <v>Snacks &amp; Confectionery</v>
      </c>
      <c r="H2341" s="33" t="n">
        <f aca="false">D2341*INDEX(Products!$E$2:$E$49,MATCH(C2341,Products!$A$2:$A$49,0))</f>
        <v>7680</v>
      </c>
      <c r="I2341" s="33" t="n">
        <f aca="false">D2341*INDEX(Products!$D$2:$D$49,MATCH(C2341,Products!$A$2:$A$49,0))*(1+INDEX(Assumptions!$B$16:$B$20,MATCH(B2341,Assumptions!$A$16:$A$20,0)))</f>
        <v>5225.472</v>
      </c>
      <c r="J2341" s="33" t="n">
        <f aca="false">H2341-I2341</f>
        <v>2454.528</v>
      </c>
      <c r="K2341" s="33" t="n">
        <f aca="false">IF(OR(E2341=0,E2341&gt;=7),0,D2341/(7-E2341)*E2341*INDEX(Products!$E$2:$E$49,MATCH(C2341,Products!$A$2:$A$49,0)))</f>
        <v>0</v>
      </c>
    </row>
    <row r="2342" customFormat="false" ht="15" hidden="false" customHeight="false" outlineLevel="0" collapsed="false">
      <c r="A2342" s="36" t="n">
        <v>46223</v>
      </c>
      <c r="B2342" s="24" t="s">
        <v>62</v>
      </c>
      <c r="C2342" s="24" t="s">
        <v>205</v>
      </c>
      <c r="D2342" s="33" t="n">
        <v>81</v>
      </c>
      <c r="E2342" s="24" t="n">
        <v>0</v>
      </c>
      <c r="F2342" s="37" t="n">
        <f aca="false">DATE(YEAR(A2342),MONTH(A2342),1)</f>
        <v>46204</v>
      </c>
      <c r="G2342" s="24" t="str">
        <f aca="false">INDEX(Products!$C$2:$C$49,MATCH(C2342,Products!$A$2:$A$49,0))</f>
        <v>Snacks &amp; Confectionery</v>
      </c>
      <c r="H2342" s="33" t="n">
        <f aca="false">D2342*INDEX(Products!$E$2:$E$49,MATCH(C2342,Products!$A$2:$A$49,0))</f>
        <v>9720</v>
      </c>
      <c r="I2342" s="33" t="n">
        <f aca="false">D2342*INDEX(Products!$D$2:$D$49,MATCH(C2342,Products!$A$2:$A$49,0))*(1+INDEX(Assumptions!$B$16:$B$20,MATCH(B2342,Assumptions!$A$16:$A$20,0)))</f>
        <v>6613.488</v>
      </c>
      <c r="J2342" s="33" t="n">
        <f aca="false">H2342-I2342</f>
        <v>3106.512</v>
      </c>
      <c r="K2342" s="33" t="n">
        <f aca="false">IF(OR(E2342=0,E2342&gt;=7),0,D2342/(7-E2342)*E2342*INDEX(Products!$E$2:$E$49,MATCH(C2342,Products!$A$2:$A$49,0)))</f>
        <v>0</v>
      </c>
    </row>
    <row r="2343" customFormat="false" ht="15" hidden="false" customHeight="false" outlineLevel="0" collapsed="false">
      <c r="A2343" s="36" t="n">
        <v>46230</v>
      </c>
      <c r="B2343" s="24" t="s">
        <v>62</v>
      </c>
      <c r="C2343" s="24" t="s">
        <v>205</v>
      </c>
      <c r="D2343" s="33" t="n">
        <v>56</v>
      </c>
      <c r="E2343" s="24" t="n">
        <v>0</v>
      </c>
      <c r="F2343" s="37" t="n">
        <f aca="false">DATE(YEAR(A2343),MONTH(A2343),1)</f>
        <v>46204</v>
      </c>
      <c r="G2343" s="24" t="str">
        <f aca="false">INDEX(Products!$C$2:$C$49,MATCH(C2343,Products!$A$2:$A$49,0))</f>
        <v>Snacks &amp; Confectionery</v>
      </c>
      <c r="H2343" s="33" t="n">
        <f aca="false">D2343*INDEX(Products!$E$2:$E$49,MATCH(C2343,Products!$A$2:$A$49,0))</f>
        <v>6720</v>
      </c>
      <c r="I2343" s="33" t="n">
        <f aca="false">D2343*INDEX(Products!$D$2:$D$49,MATCH(C2343,Products!$A$2:$A$49,0))*(1+INDEX(Assumptions!$B$16:$B$20,MATCH(B2343,Assumptions!$A$16:$A$20,0)))</f>
        <v>4572.288</v>
      </c>
      <c r="J2343" s="33" t="n">
        <f aca="false">H2343-I2343</f>
        <v>2147.712</v>
      </c>
      <c r="K2343" s="33" t="n">
        <f aca="false">IF(OR(E2343=0,E2343&gt;=7),0,D2343/(7-E2343)*E2343*INDEX(Products!$E$2:$E$49,MATCH(C2343,Products!$A$2:$A$49,0)))</f>
        <v>0</v>
      </c>
    </row>
    <row r="2344" customFormat="false" ht="15" hidden="false" customHeight="false" outlineLevel="0" collapsed="false">
      <c r="A2344" s="36" t="n">
        <v>46237</v>
      </c>
      <c r="B2344" s="24" t="s">
        <v>62</v>
      </c>
      <c r="C2344" s="24" t="s">
        <v>205</v>
      </c>
      <c r="D2344" s="33" t="n">
        <v>60</v>
      </c>
      <c r="E2344" s="24" t="n">
        <v>0</v>
      </c>
      <c r="F2344" s="37" t="n">
        <f aca="false">DATE(YEAR(A2344),MONTH(A2344),1)</f>
        <v>46235</v>
      </c>
      <c r="G2344" s="24" t="str">
        <f aca="false">INDEX(Products!$C$2:$C$49,MATCH(C2344,Products!$A$2:$A$49,0))</f>
        <v>Snacks &amp; Confectionery</v>
      </c>
      <c r="H2344" s="33" t="n">
        <f aca="false">D2344*INDEX(Products!$E$2:$E$49,MATCH(C2344,Products!$A$2:$A$49,0))</f>
        <v>7200</v>
      </c>
      <c r="I2344" s="33" t="n">
        <f aca="false">D2344*INDEX(Products!$D$2:$D$49,MATCH(C2344,Products!$A$2:$A$49,0))*(1+INDEX(Assumptions!$B$16:$B$20,MATCH(B2344,Assumptions!$A$16:$A$20,0)))</f>
        <v>4898.88</v>
      </c>
      <c r="J2344" s="33" t="n">
        <f aca="false">H2344-I2344</f>
        <v>2301.12</v>
      </c>
      <c r="K2344" s="33" t="n">
        <f aca="false">IF(OR(E2344=0,E2344&gt;=7),0,D2344/(7-E2344)*E2344*INDEX(Products!$E$2:$E$49,MATCH(C2344,Products!$A$2:$A$49,0)))</f>
        <v>0</v>
      </c>
    </row>
    <row r="2345" customFormat="false" ht="15" hidden="false" customHeight="false" outlineLevel="0" collapsed="false">
      <c r="A2345" s="36" t="n">
        <v>46244</v>
      </c>
      <c r="B2345" s="24" t="s">
        <v>62</v>
      </c>
      <c r="C2345" s="24" t="s">
        <v>205</v>
      </c>
      <c r="D2345" s="33" t="n">
        <v>74</v>
      </c>
      <c r="E2345" s="24" t="n">
        <v>0</v>
      </c>
      <c r="F2345" s="37" t="n">
        <f aca="false">DATE(YEAR(A2345),MONTH(A2345),1)</f>
        <v>46235</v>
      </c>
      <c r="G2345" s="24" t="str">
        <f aca="false">INDEX(Products!$C$2:$C$49,MATCH(C2345,Products!$A$2:$A$49,0))</f>
        <v>Snacks &amp; Confectionery</v>
      </c>
      <c r="H2345" s="33" t="n">
        <f aca="false">D2345*INDEX(Products!$E$2:$E$49,MATCH(C2345,Products!$A$2:$A$49,0))</f>
        <v>8880</v>
      </c>
      <c r="I2345" s="33" t="n">
        <f aca="false">D2345*INDEX(Products!$D$2:$D$49,MATCH(C2345,Products!$A$2:$A$49,0))*(1+INDEX(Assumptions!$B$16:$B$20,MATCH(B2345,Assumptions!$A$16:$A$20,0)))</f>
        <v>6041.952</v>
      </c>
      <c r="J2345" s="33" t="n">
        <f aca="false">H2345-I2345</f>
        <v>2838.048</v>
      </c>
      <c r="K2345" s="33" t="n">
        <f aca="false">IF(OR(E2345=0,E2345&gt;=7),0,D2345/(7-E2345)*E2345*INDEX(Products!$E$2:$E$49,MATCH(C2345,Products!$A$2:$A$49,0)))</f>
        <v>0</v>
      </c>
    </row>
    <row r="2346" customFormat="false" ht="15" hidden="false" customHeight="false" outlineLevel="0" collapsed="false">
      <c r="A2346" s="36" t="n">
        <v>46251</v>
      </c>
      <c r="B2346" s="24" t="s">
        <v>62</v>
      </c>
      <c r="C2346" s="24" t="s">
        <v>205</v>
      </c>
      <c r="D2346" s="33" t="n">
        <v>73</v>
      </c>
      <c r="E2346" s="24" t="n">
        <v>0</v>
      </c>
      <c r="F2346" s="37" t="n">
        <f aca="false">DATE(YEAR(A2346),MONTH(A2346),1)</f>
        <v>46235</v>
      </c>
      <c r="G2346" s="24" t="str">
        <f aca="false">INDEX(Products!$C$2:$C$49,MATCH(C2346,Products!$A$2:$A$49,0))</f>
        <v>Snacks &amp; Confectionery</v>
      </c>
      <c r="H2346" s="33" t="n">
        <f aca="false">D2346*INDEX(Products!$E$2:$E$49,MATCH(C2346,Products!$A$2:$A$49,0))</f>
        <v>8760</v>
      </c>
      <c r="I2346" s="33" t="n">
        <f aca="false">D2346*INDEX(Products!$D$2:$D$49,MATCH(C2346,Products!$A$2:$A$49,0))*(1+INDEX(Assumptions!$B$16:$B$20,MATCH(B2346,Assumptions!$A$16:$A$20,0)))</f>
        <v>5960.304</v>
      </c>
      <c r="J2346" s="33" t="n">
        <f aca="false">H2346-I2346</f>
        <v>2799.696</v>
      </c>
      <c r="K2346" s="33" t="n">
        <f aca="false">IF(OR(E2346=0,E2346&gt;=7),0,D2346/(7-E2346)*E2346*INDEX(Products!$E$2:$E$49,MATCH(C2346,Products!$A$2:$A$49,0)))</f>
        <v>0</v>
      </c>
    </row>
    <row r="2347" customFormat="false" ht="15" hidden="false" customHeight="false" outlineLevel="0" collapsed="false">
      <c r="A2347" s="36" t="n">
        <v>46258</v>
      </c>
      <c r="B2347" s="24" t="s">
        <v>62</v>
      </c>
      <c r="C2347" s="24" t="s">
        <v>205</v>
      </c>
      <c r="D2347" s="33" t="n">
        <v>72</v>
      </c>
      <c r="E2347" s="24" t="n">
        <v>0</v>
      </c>
      <c r="F2347" s="37" t="n">
        <f aca="false">DATE(YEAR(A2347),MONTH(A2347),1)</f>
        <v>46235</v>
      </c>
      <c r="G2347" s="24" t="str">
        <f aca="false">INDEX(Products!$C$2:$C$49,MATCH(C2347,Products!$A$2:$A$49,0))</f>
        <v>Snacks &amp; Confectionery</v>
      </c>
      <c r="H2347" s="33" t="n">
        <f aca="false">D2347*INDEX(Products!$E$2:$E$49,MATCH(C2347,Products!$A$2:$A$49,0))</f>
        <v>8640</v>
      </c>
      <c r="I2347" s="33" t="n">
        <f aca="false">D2347*INDEX(Products!$D$2:$D$49,MATCH(C2347,Products!$A$2:$A$49,0))*(1+INDEX(Assumptions!$B$16:$B$20,MATCH(B2347,Assumptions!$A$16:$A$20,0)))</f>
        <v>5878.656</v>
      </c>
      <c r="J2347" s="33" t="n">
        <f aca="false">H2347-I2347</f>
        <v>2761.344</v>
      </c>
      <c r="K2347" s="33" t="n">
        <f aca="false">IF(OR(E2347=0,E2347&gt;=7),0,D2347/(7-E2347)*E2347*INDEX(Products!$E$2:$E$49,MATCH(C2347,Products!$A$2:$A$49,0)))</f>
        <v>0</v>
      </c>
    </row>
    <row r="2348" customFormat="false" ht="15" hidden="false" customHeight="false" outlineLevel="0" collapsed="false">
      <c r="A2348" s="36" t="n">
        <v>46265</v>
      </c>
      <c r="B2348" s="24" t="s">
        <v>62</v>
      </c>
      <c r="C2348" s="24" t="s">
        <v>205</v>
      </c>
      <c r="D2348" s="33" t="n">
        <v>137</v>
      </c>
      <c r="E2348" s="24" t="n">
        <v>0</v>
      </c>
      <c r="F2348" s="37" t="n">
        <f aca="false">DATE(YEAR(A2348),MONTH(A2348),1)</f>
        <v>46235</v>
      </c>
      <c r="G2348" s="24" t="str">
        <f aca="false">INDEX(Products!$C$2:$C$49,MATCH(C2348,Products!$A$2:$A$49,0))</f>
        <v>Snacks &amp; Confectionery</v>
      </c>
      <c r="H2348" s="33" t="n">
        <f aca="false">D2348*INDEX(Products!$E$2:$E$49,MATCH(C2348,Products!$A$2:$A$49,0))</f>
        <v>16440</v>
      </c>
      <c r="I2348" s="33" t="n">
        <f aca="false">D2348*INDEX(Products!$D$2:$D$49,MATCH(C2348,Products!$A$2:$A$49,0))*(1+INDEX(Assumptions!$B$16:$B$20,MATCH(B2348,Assumptions!$A$16:$A$20,0)))</f>
        <v>11185.776</v>
      </c>
      <c r="J2348" s="33" t="n">
        <f aca="false">H2348-I2348</f>
        <v>5254.224</v>
      </c>
      <c r="K2348" s="33" t="n">
        <f aca="false">IF(OR(E2348=0,E2348&gt;=7),0,D2348/(7-E2348)*E2348*INDEX(Products!$E$2:$E$49,MATCH(C2348,Products!$A$2:$A$49,0)))</f>
        <v>0</v>
      </c>
    </row>
    <row r="2349" customFormat="false" ht="15" hidden="false" customHeight="false" outlineLevel="0" collapsed="false">
      <c r="A2349" s="36" t="n">
        <v>46272</v>
      </c>
      <c r="B2349" s="24" t="s">
        <v>62</v>
      </c>
      <c r="C2349" s="24" t="s">
        <v>205</v>
      </c>
      <c r="D2349" s="33" t="n">
        <v>32</v>
      </c>
      <c r="E2349" s="24" t="n">
        <v>4</v>
      </c>
      <c r="F2349" s="37" t="n">
        <f aca="false">DATE(YEAR(A2349),MONTH(A2349),1)</f>
        <v>46266</v>
      </c>
      <c r="G2349" s="24" t="str">
        <f aca="false">INDEX(Products!$C$2:$C$49,MATCH(C2349,Products!$A$2:$A$49,0))</f>
        <v>Snacks &amp; Confectionery</v>
      </c>
      <c r="H2349" s="33" t="n">
        <f aca="false">D2349*INDEX(Products!$E$2:$E$49,MATCH(C2349,Products!$A$2:$A$49,0))</f>
        <v>3840</v>
      </c>
      <c r="I2349" s="33" t="n">
        <f aca="false">D2349*INDEX(Products!$D$2:$D$49,MATCH(C2349,Products!$A$2:$A$49,0))*(1+INDEX(Assumptions!$B$16:$B$20,MATCH(B2349,Assumptions!$A$16:$A$20,0)))</f>
        <v>2612.736</v>
      </c>
      <c r="J2349" s="33" t="n">
        <f aca="false">H2349-I2349</f>
        <v>1227.264</v>
      </c>
      <c r="K2349" s="33" t="n">
        <f aca="false">IF(OR(E2349=0,E2349&gt;=7),0,D2349/(7-E2349)*E2349*INDEX(Products!$E$2:$E$49,MATCH(C2349,Products!$A$2:$A$49,0)))</f>
        <v>5120</v>
      </c>
    </row>
    <row r="2350" customFormat="false" ht="15" hidden="false" customHeight="false" outlineLevel="0" collapsed="false">
      <c r="A2350" s="36" t="n">
        <v>46279</v>
      </c>
      <c r="B2350" s="24" t="s">
        <v>62</v>
      </c>
      <c r="C2350" s="24" t="s">
        <v>205</v>
      </c>
      <c r="D2350" s="33" t="n">
        <v>68</v>
      </c>
      <c r="E2350" s="24" t="n">
        <v>0</v>
      </c>
      <c r="F2350" s="37" t="n">
        <f aca="false">DATE(YEAR(A2350),MONTH(A2350),1)</f>
        <v>46266</v>
      </c>
      <c r="G2350" s="24" t="str">
        <f aca="false">INDEX(Products!$C$2:$C$49,MATCH(C2350,Products!$A$2:$A$49,0))</f>
        <v>Snacks &amp; Confectionery</v>
      </c>
      <c r="H2350" s="33" t="n">
        <f aca="false">D2350*INDEX(Products!$E$2:$E$49,MATCH(C2350,Products!$A$2:$A$49,0))</f>
        <v>8160</v>
      </c>
      <c r="I2350" s="33" t="n">
        <f aca="false">D2350*INDEX(Products!$D$2:$D$49,MATCH(C2350,Products!$A$2:$A$49,0))*(1+INDEX(Assumptions!$B$16:$B$20,MATCH(B2350,Assumptions!$A$16:$A$20,0)))</f>
        <v>5552.064</v>
      </c>
      <c r="J2350" s="33" t="n">
        <f aca="false">H2350-I2350</f>
        <v>2607.936</v>
      </c>
      <c r="K2350" s="33" t="n">
        <f aca="false">IF(OR(E2350=0,E2350&gt;=7),0,D2350/(7-E2350)*E2350*INDEX(Products!$E$2:$E$49,MATCH(C2350,Products!$A$2:$A$49,0)))</f>
        <v>0</v>
      </c>
    </row>
    <row r="2351" customFormat="false" ht="15" hidden="false" customHeight="false" outlineLevel="0" collapsed="false">
      <c r="A2351" s="36" t="n">
        <v>46286</v>
      </c>
      <c r="B2351" s="24" t="s">
        <v>62</v>
      </c>
      <c r="C2351" s="24" t="s">
        <v>205</v>
      </c>
      <c r="D2351" s="33" t="n">
        <v>73</v>
      </c>
      <c r="E2351" s="24" t="n">
        <v>0</v>
      </c>
      <c r="F2351" s="37" t="n">
        <f aca="false">DATE(YEAR(A2351),MONTH(A2351),1)</f>
        <v>46266</v>
      </c>
      <c r="G2351" s="24" t="str">
        <f aca="false">INDEX(Products!$C$2:$C$49,MATCH(C2351,Products!$A$2:$A$49,0))</f>
        <v>Snacks &amp; Confectionery</v>
      </c>
      <c r="H2351" s="33" t="n">
        <f aca="false">D2351*INDEX(Products!$E$2:$E$49,MATCH(C2351,Products!$A$2:$A$49,0))</f>
        <v>8760</v>
      </c>
      <c r="I2351" s="33" t="n">
        <f aca="false">D2351*INDEX(Products!$D$2:$D$49,MATCH(C2351,Products!$A$2:$A$49,0))*(1+INDEX(Assumptions!$B$16:$B$20,MATCH(B2351,Assumptions!$A$16:$A$20,0)))</f>
        <v>5960.304</v>
      </c>
      <c r="J2351" s="33" t="n">
        <f aca="false">H2351-I2351</f>
        <v>2799.696</v>
      </c>
      <c r="K2351" s="33" t="n">
        <f aca="false">IF(OR(E2351=0,E2351&gt;=7),0,D2351/(7-E2351)*E2351*INDEX(Products!$E$2:$E$49,MATCH(C2351,Products!$A$2:$A$49,0)))</f>
        <v>0</v>
      </c>
    </row>
    <row r="2352" customFormat="false" ht="15" hidden="false" customHeight="false" outlineLevel="0" collapsed="false">
      <c r="A2352" s="36" t="n">
        <v>46118</v>
      </c>
      <c r="B2352" s="24" t="s">
        <v>62</v>
      </c>
      <c r="C2352" s="24" t="s">
        <v>207</v>
      </c>
      <c r="D2352" s="33" t="n">
        <v>26</v>
      </c>
      <c r="E2352" s="24" t="n">
        <v>4</v>
      </c>
      <c r="F2352" s="37" t="n">
        <f aca="false">DATE(YEAR(A2352),MONTH(A2352),1)</f>
        <v>46113</v>
      </c>
      <c r="G2352" s="24" t="str">
        <f aca="false">INDEX(Products!$C$2:$C$49,MATCH(C2352,Products!$A$2:$A$49,0))</f>
        <v>Snacks &amp; Confectionery</v>
      </c>
      <c r="H2352" s="33" t="n">
        <f aca="false">D2352*INDEX(Products!$E$2:$E$49,MATCH(C2352,Products!$A$2:$A$49,0))</f>
        <v>4680</v>
      </c>
      <c r="I2352" s="33" t="n">
        <f aca="false">D2352*INDEX(Products!$D$2:$D$49,MATCH(C2352,Products!$A$2:$A$49,0))*(1+INDEX(Assumptions!$B$16:$B$20,MATCH(B2352,Assumptions!$A$16:$A$20,0)))</f>
        <v>3302.208</v>
      </c>
      <c r="J2352" s="33" t="n">
        <f aca="false">H2352-I2352</f>
        <v>1377.792</v>
      </c>
      <c r="K2352" s="33" t="n">
        <f aca="false">IF(OR(E2352=0,E2352&gt;=7),0,D2352/(7-E2352)*E2352*INDEX(Products!$E$2:$E$49,MATCH(C2352,Products!$A$2:$A$49,0)))</f>
        <v>6240</v>
      </c>
    </row>
    <row r="2353" customFormat="false" ht="15" hidden="false" customHeight="false" outlineLevel="0" collapsed="false">
      <c r="A2353" s="36" t="n">
        <v>46125</v>
      </c>
      <c r="B2353" s="24" t="s">
        <v>62</v>
      </c>
      <c r="C2353" s="24" t="s">
        <v>207</v>
      </c>
      <c r="D2353" s="33" t="n">
        <v>97</v>
      </c>
      <c r="E2353" s="24" t="n">
        <v>0</v>
      </c>
      <c r="F2353" s="37" t="n">
        <f aca="false">DATE(YEAR(A2353),MONTH(A2353),1)</f>
        <v>46113</v>
      </c>
      <c r="G2353" s="24" t="str">
        <f aca="false">INDEX(Products!$C$2:$C$49,MATCH(C2353,Products!$A$2:$A$49,0))</f>
        <v>Snacks &amp; Confectionery</v>
      </c>
      <c r="H2353" s="33" t="n">
        <f aca="false">D2353*INDEX(Products!$E$2:$E$49,MATCH(C2353,Products!$A$2:$A$49,0))</f>
        <v>17460</v>
      </c>
      <c r="I2353" s="33" t="n">
        <f aca="false">D2353*INDEX(Products!$D$2:$D$49,MATCH(C2353,Products!$A$2:$A$49,0))*(1+INDEX(Assumptions!$B$16:$B$20,MATCH(B2353,Assumptions!$A$16:$A$20,0)))</f>
        <v>12319.776</v>
      </c>
      <c r="J2353" s="33" t="n">
        <f aca="false">H2353-I2353</f>
        <v>5140.224</v>
      </c>
      <c r="K2353" s="33" t="n">
        <f aca="false">IF(OR(E2353=0,E2353&gt;=7),0,D2353/(7-E2353)*E2353*INDEX(Products!$E$2:$E$49,MATCH(C2353,Products!$A$2:$A$49,0)))</f>
        <v>0</v>
      </c>
    </row>
    <row r="2354" customFormat="false" ht="15" hidden="false" customHeight="false" outlineLevel="0" collapsed="false">
      <c r="A2354" s="36" t="n">
        <v>46132</v>
      </c>
      <c r="B2354" s="24" t="s">
        <v>62</v>
      </c>
      <c r="C2354" s="24" t="s">
        <v>207</v>
      </c>
      <c r="D2354" s="33" t="n">
        <v>77</v>
      </c>
      <c r="E2354" s="24" t="n">
        <v>0</v>
      </c>
      <c r="F2354" s="37" t="n">
        <f aca="false">DATE(YEAR(A2354),MONTH(A2354),1)</f>
        <v>46113</v>
      </c>
      <c r="G2354" s="24" t="str">
        <f aca="false">INDEX(Products!$C$2:$C$49,MATCH(C2354,Products!$A$2:$A$49,0))</f>
        <v>Snacks &amp; Confectionery</v>
      </c>
      <c r="H2354" s="33" t="n">
        <f aca="false">D2354*INDEX(Products!$E$2:$E$49,MATCH(C2354,Products!$A$2:$A$49,0))</f>
        <v>13860</v>
      </c>
      <c r="I2354" s="33" t="n">
        <f aca="false">D2354*INDEX(Products!$D$2:$D$49,MATCH(C2354,Products!$A$2:$A$49,0))*(1+INDEX(Assumptions!$B$16:$B$20,MATCH(B2354,Assumptions!$A$16:$A$20,0)))</f>
        <v>9779.616</v>
      </c>
      <c r="J2354" s="33" t="n">
        <f aca="false">H2354-I2354</f>
        <v>4080.384</v>
      </c>
      <c r="K2354" s="33" t="n">
        <f aca="false">IF(OR(E2354=0,E2354&gt;=7),0,D2354/(7-E2354)*E2354*INDEX(Products!$E$2:$E$49,MATCH(C2354,Products!$A$2:$A$49,0)))</f>
        <v>0</v>
      </c>
    </row>
    <row r="2355" customFormat="false" ht="15" hidden="false" customHeight="false" outlineLevel="0" collapsed="false">
      <c r="A2355" s="36" t="n">
        <v>46139</v>
      </c>
      <c r="B2355" s="24" t="s">
        <v>62</v>
      </c>
      <c r="C2355" s="24" t="s">
        <v>207</v>
      </c>
      <c r="D2355" s="33" t="n">
        <v>143</v>
      </c>
      <c r="E2355" s="24" t="n">
        <v>0</v>
      </c>
      <c r="F2355" s="37" t="n">
        <f aca="false">DATE(YEAR(A2355),MONTH(A2355),1)</f>
        <v>46113</v>
      </c>
      <c r="G2355" s="24" t="str">
        <f aca="false">INDEX(Products!$C$2:$C$49,MATCH(C2355,Products!$A$2:$A$49,0))</f>
        <v>Snacks &amp; Confectionery</v>
      </c>
      <c r="H2355" s="33" t="n">
        <f aca="false">D2355*INDEX(Products!$E$2:$E$49,MATCH(C2355,Products!$A$2:$A$49,0))</f>
        <v>25740</v>
      </c>
      <c r="I2355" s="33" t="n">
        <f aca="false">D2355*INDEX(Products!$D$2:$D$49,MATCH(C2355,Products!$A$2:$A$49,0))*(1+INDEX(Assumptions!$B$16:$B$20,MATCH(B2355,Assumptions!$A$16:$A$20,0)))</f>
        <v>18162.144</v>
      </c>
      <c r="J2355" s="33" t="n">
        <f aca="false">H2355-I2355</f>
        <v>7577.856</v>
      </c>
      <c r="K2355" s="33" t="n">
        <f aca="false">IF(OR(E2355=0,E2355&gt;=7),0,D2355/(7-E2355)*E2355*INDEX(Products!$E$2:$E$49,MATCH(C2355,Products!$A$2:$A$49,0)))</f>
        <v>0</v>
      </c>
    </row>
    <row r="2356" customFormat="false" ht="15" hidden="false" customHeight="false" outlineLevel="0" collapsed="false">
      <c r="A2356" s="36" t="n">
        <v>46146</v>
      </c>
      <c r="B2356" s="24" t="s">
        <v>62</v>
      </c>
      <c r="C2356" s="24" t="s">
        <v>207</v>
      </c>
      <c r="D2356" s="33" t="n">
        <v>77</v>
      </c>
      <c r="E2356" s="24" t="n">
        <v>0</v>
      </c>
      <c r="F2356" s="37" t="n">
        <f aca="false">DATE(YEAR(A2356),MONTH(A2356),1)</f>
        <v>46143</v>
      </c>
      <c r="G2356" s="24" t="str">
        <f aca="false">INDEX(Products!$C$2:$C$49,MATCH(C2356,Products!$A$2:$A$49,0))</f>
        <v>Snacks &amp; Confectionery</v>
      </c>
      <c r="H2356" s="33" t="n">
        <f aca="false">D2356*INDEX(Products!$E$2:$E$49,MATCH(C2356,Products!$A$2:$A$49,0))</f>
        <v>13860</v>
      </c>
      <c r="I2356" s="33" t="n">
        <f aca="false">D2356*INDEX(Products!$D$2:$D$49,MATCH(C2356,Products!$A$2:$A$49,0))*(1+INDEX(Assumptions!$B$16:$B$20,MATCH(B2356,Assumptions!$A$16:$A$20,0)))</f>
        <v>9779.616</v>
      </c>
      <c r="J2356" s="33" t="n">
        <f aca="false">H2356-I2356</f>
        <v>4080.384</v>
      </c>
      <c r="K2356" s="33" t="n">
        <f aca="false">IF(OR(E2356=0,E2356&gt;=7),0,D2356/(7-E2356)*E2356*INDEX(Products!$E$2:$E$49,MATCH(C2356,Products!$A$2:$A$49,0)))</f>
        <v>0</v>
      </c>
    </row>
    <row r="2357" customFormat="false" ht="15" hidden="false" customHeight="false" outlineLevel="0" collapsed="false">
      <c r="A2357" s="36" t="n">
        <v>46153</v>
      </c>
      <c r="B2357" s="24" t="s">
        <v>62</v>
      </c>
      <c r="C2357" s="24" t="s">
        <v>207</v>
      </c>
      <c r="D2357" s="33" t="n">
        <v>72</v>
      </c>
      <c r="E2357" s="24" t="n">
        <v>0</v>
      </c>
      <c r="F2357" s="37" t="n">
        <f aca="false">DATE(YEAR(A2357),MONTH(A2357),1)</f>
        <v>46143</v>
      </c>
      <c r="G2357" s="24" t="str">
        <f aca="false">INDEX(Products!$C$2:$C$49,MATCH(C2357,Products!$A$2:$A$49,0))</f>
        <v>Snacks &amp; Confectionery</v>
      </c>
      <c r="H2357" s="33" t="n">
        <f aca="false">D2357*INDEX(Products!$E$2:$E$49,MATCH(C2357,Products!$A$2:$A$49,0))</f>
        <v>12960</v>
      </c>
      <c r="I2357" s="33" t="n">
        <f aca="false">D2357*INDEX(Products!$D$2:$D$49,MATCH(C2357,Products!$A$2:$A$49,0))*(1+INDEX(Assumptions!$B$16:$B$20,MATCH(B2357,Assumptions!$A$16:$A$20,0)))</f>
        <v>9144.576</v>
      </c>
      <c r="J2357" s="33" t="n">
        <f aca="false">H2357-I2357</f>
        <v>3815.424</v>
      </c>
      <c r="K2357" s="33" t="n">
        <f aca="false">IF(OR(E2357=0,E2357&gt;=7),0,D2357/(7-E2357)*E2357*INDEX(Products!$E$2:$E$49,MATCH(C2357,Products!$A$2:$A$49,0)))</f>
        <v>0</v>
      </c>
    </row>
    <row r="2358" customFormat="false" ht="15" hidden="false" customHeight="false" outlineLevel="0" collapsed="false">
      <c r="A2358" s="36" t="n">
        <v>46160</v>
      </c>
      <c r="B2358" s="24" t="s">
        <v>62</v>
      </c>
      <c r="C2358" s="24" t="s">
        <v>207</v>
      </c>
      <c r="D2358" s="33" t="n">
        <v>81</v>
      </c>
      <c r="E2358" s="24" t="n">
        <v>0</v>
      </c>
      <c r="F2358" s="37" t="n">
        <f aca="false">DATE(YEAR(A2358),MONTH(A2358),1)</f>
        <v>46143</v>
      </c>
      <c r="G2358" s="24" t="str">
        <f aca="false">INDEX(Products!$C$2:$C$49,MATCH(C2358,Products!$A$2:$A$49,0))</f>
        <v>Snacks &amp; Confectionery</v>
      </c>
      <c r="H2358" s="33" t="n">
        <f aca="false">D2358*INDEX(Products!$E$2:$E$49,MATCH(C2358,Products!$A$2:$A$49,0))</f>
        <v>14580</v>
      </c>
      <c r="I2358" s="33" t="n">
        <f aca="false">D2358*INDEX(Products!$D$2:$D$49,MATCH(C2358,Products!$A$2:$A$49,0))*(1+INDEX(Assumptions!$B$16:$B$20,MATCH(B2358,Assumptions!$A$16:$A$20,0)))</f>
        <v>10287.648</v>
      </c>
      <c r="J2358" s="33" t="n">
        <f aca="false">H2358-I2358</f>
        <v>4292.352</v>
      </c>
      <c r="K2358" s="33" t="n">
        <f aca="false">IF(OR(E2358=0,E2358&gt;=7),0,D2358/(7-E2358)*E2358*INDEX(Products!$E$2:$E$49,MATCH(C2358,Products!$A$2:$A$49,0)))</f>
        <v>0</v>
      </c>
    </row>
    <row r="2359" customFormat="false" ht="15" hidden="false" customHeight="false" outlineLevel="0" collapsed="false">
      <c r="A2359" s="36" t="n">
        <v>46167</v>
      </c>
      <c r="B2359" s="24" t="s">
        <v>62</v>
      </c>
      <c r="C2359" s="24" t="s">
        <v>207</v>
      </c>
      <c r="D2359" s="33" t="n">
        <v>91</v>
      </c>
      <c r="E2359" s="24" t="n">
        <v>0</v>
      </c>
      <c r="F2359" s="37" t="n">
        <f aca="false">DATE(YEAR(A2359),MONTH(A2359),1)</f>
        <v>46143</v>
      </c>
      <c r="G2359" s="24" t="str">
        <f aca="false">INDEX(Products!$C$2:$C$49,MATCH(C2359,Products!$A$2:$A$49,0))</f>
        <v>Snacks &amp; Confectionery</v>
      </c>
      <c r="H2359" s="33" t="n">
        <f aca="false">D2359*INDEX(Products!$E$2:$E$49,MATCH(C2359,Products!$A$2:$A$49,0))</f>
        <v>16380</v>
      </c>
      <c r="I2359" s="33" t="n">
        <f aca="false">D2359*INDEX(Products!$D$2:$D$49,MATCH(C2359,Products!$A$2:$A$49,0))*(1+INDEX(Assumptions!$B$16:$B$20,MATCH(B2359,Assumptions!$A$16:$A$20,0)))</f>
        <v>11557.728</v>
      </c>
      <c r="J2359" s="33" t="n">
        <f aca="false">H2359-I2359</f>
        <v>4822.272</v>
      </c>
      <c r="K2359" s="33" t="n">
        <f aca="false">IF(OR(E2359=0,E2359&gt;=7),0,D2359/(7-E2359)*E2359*INDEX(Products!$E$2:$E$49,MATCH(C2359,Products!$A$2:$A$49,0)))</f>
        <v>0</v>
      </c>
    </row>
    <row r="2360" customFormat="false" ht="15" hidden="false" customHeight="false" outlineLevel="0" collapsed="false">
      <c r="A2360" s="36" t="n">
        <v>46174</v>
      </c>
      <c r="B2360" s="24" t="s">
        <v>62</v>
      </c>
      <c r="C2360" s="24" t="s">
        <v>207</v>
      </c>
      <c r="D2360" s="33" t="n">
        <v>74</v>
      </c>
      <c r="E2360" s="24" t="n">
        <v>0</v>
      </c>
      <c r="F2360" s="37" t="n">
        <f aca="false">DATE(YEAR(A2360),MONTH(A2360),1)</f>
        <v>46174</v>
      </c>
      <c r="G2360" s="24" t="str">
        <f aca="false">INDEX(Products!$C$2:$C$49,MATCH(C2360,Products!$A$2:$A$49,0))</f>
        <v>Snacks &amp; Confectionery</v>
      </c>
      <c r="H2360" s="33" t="n">
        <f aca="false">D2360*INDEX(Products!$E$2:$E$49,MATCH(C2360,Products!$A$2:$A$49,0))</f>
        <v>13320</v>
      </c>
      <c r="I2360" s="33" t="n">
        <f aca="false">D2360*INDEX(Products!$D$2:$D$49,MATCH(C2360,Products!$A$2:$A$49,0))*(1+INDEX(Assumptions!$B$16:$B$20,MATCH(B2360,Assumptions!$A$16:$A$20,0)))</f>
        <v>9398.592</v>
      </c>
      <c r="J2360" s="33" t="n">
        <f aca="false">H2360-I2360</f>
        <v>3921.408</v>
      </c>
      <c r="K2360" s="33" t="n">
        <f aca="false">IF(OR(E2360=0,E2360&gt;=7),0,D2360/(7-E2360)*E2360*INDEX(Products!$E$2:$E$49,MATCH(C2360,Products!$A$2:$A$49,0)))</f>
        <v>0</v>
      </c>
    </row>
    <row r="2361" customFormat="false" ht="15" hidden="false" customHeight="false" outlineLevel="0" collapsed="false">
      <c r="A2361" s="36" t="n">
        <v>46181</v>
      </c>
      <c r="B2361" s="24" t="s">
        <v>62</v>
      </c>
      <c r="C2361" s="24" t="s">
        <v>207</v>
      </c>
      <c r="D2361" s="33" t="n">
        <v>125</v>
      </c>
      <c r="E2361" s="24" t="n">
        <v>0</v>
      </c>
      <c r="F2361" s="37" t="n">
        <f aca="false">DATE(YEAR(A2361),MONTH(A2361),1)</f>
        <v>46174</v>
      </c>
      <c r="G2361" s="24" t="str">
        <f aca="false">INDEX(Products!$C$2:$C$49,MATCH(C2361,Products!$A$2:$A$49,0))</f>
        <v>Snacks &amp; Confectionery</v>
      </c>
      <c r="H2361" s="33" t="n">
        <f aca="false">D2361*INDEX(Products!$E$2:$E$49,MATCH(C2361,Products!$A$2:$A$49,0))</f>
        <v>22500</v>
      </c>
      <c r="I2361" s="33" t="n">
        <f aca="false">D2361*INDEX(Products!$D$2:$D$49,MATCH(C2361,Products!$A$2:$A$49,0))*(1+INDEX(Assumptions!$B$16:$B$20,MATCH(B2361,Assumptions!$A$16:$A$20,0)))</f>
        <v>15876</v>
      </c>
      <c r="J2361" s="33" t="n">
        <f aca="false">H2361-I2361</f>
        <v>6624</v>
      </c>
      <c r="K2361" s="33" t="n">
        <f aca="false">IF(OR(E2361=0,E2361&gt;=7),0,D2361/(7-E2361)*E2361*INDEX(Products!$E$2:$E$49,MATCH(C2361,Products!$A$2:$A$49,0)))</f>
        <v>0</v>
      </c>
    </row>
    <row r="2362" customFormat="false" ht="15" hidden="false" customHeight="false" outlineLevel="0" collapsed="false">
      <c r="A2362" s="36" t="n">
        <v>46188</v>
      </c>
      <c r="B2362" s="24" t="s">
        <v>62</v>
      </c>
      <c r="C2362" s="24" t="s">
        <v>207</v>
      </c>
      <c r="D2362" s="33" t="n">
        <v>54</v>
      </c>
      <c r="E2362" s="24" t="n">
        <v>0</v>
      </c>
      <c r="F2362" s="37" t="n">
        <f aca="false">DATE(YEAR(A2362),MONTH(A2362),1)</f>
        <v>46174</v>
      </c>
      <c r="G2362" s="24" t="str">
        <f aca="false">INDEX(Products!$C$2:$C$49,MATCH(C2362,Products!$A$2:$A$49,0))</f>
        <v>Snacks &amp; Confectionery</v>
      </c>
      <c r="H2362" s="33" t="n">
        <f aca="false">D2362*INDEX(Products!$E$2:$E$49,MATCH(C2362,Products!$A$2:$A$49,0))</f>
        <v>9720</v>
      </c>
      <c r="I2362" s="33" t="n">
        <f aca="false">D2362*INDEX(Products!$D$2:$D$49,MATCH(C2362,Products!$A$2:$A$49,0))*(1+INDEX(Assumptions!$B$16:$B$20,MATCH(B2362,Assumptions!$A$16:$A$20,0)))</f>
        <v>6858.432</v>
      </c>
      <c r="J2362" s="33" t="n">
        <f aca="false">H2362-I2362</f>
        <v>2861.568</v>
      </c>
      <c r="K2362" s="33" t="n">
        <f aca="false">IF(OR(E2362=0,E2362&gt;=7),0,D2362/(7-E2362)*E2362*INDEX(Products!$E$2:$E$49,MATCH(C2362,Products!$A$2:$A$49,0)))</f>
        <v>0</v>
      </c>
    </row>
    <row r="2363" customFormat="false" ht="15" hidden="false" customHeight="false" outlineLevel="0" collapsed="false">
      <c r="A2363" s="36" t="n">
        <v>46195</v>
      </c>
      <c r="B2363" s="24" t="s">
        <v>62</v>
      </c>
      <c r="C2363" s="24" t="s">
        <v>207</v>
      </c>
      <c r="D2363" s="33" t="n">
        <v>72</v>
      </c>
      <c r="E2363" s="24" t="n">
        <v>0</v>
      </c>
      <c r="F2363" s="37" t="n">
        <f aca="false">DATE(YEAR(A2363),MONTH(A2363),1)</f>
        <v>46174</v>
      </c>
      <c r="G2363" s="24" t="str">
        <f aca="false">INDEX(Products!$C$2:$C$49,MATCH(C2363,Products!$A$2:$A$49,0))</f>
        <v>Snacks &amp; Confectionery</v>
      </c>
      <c r="H2363" s="33" t="n">
        <f aca="false">D2363*INDEX(Products!$E$2:$E$49,MATCH(C2363,Products!$A$2:$A$49,0))</f>
        <v>12960</v>
      </c>
      <c r="I2363" s="33" t="n">
        <f aca="false">D2363*INDEX(Products!$D$2:$D$49,MATCH(C2363,Products!$A$2:$A$49,0))*(1+INDEX(Assumptions!$B$16:$B$20,MATCH(B2363,Assumptions!$A$16:$A$20,0)))</f>
        <v>9144.576</v>
      </c>
      <c r="J2363" s="33" t="n">
        <f aca="false">H2363-I2363</f>
        <v>3815.424</v>
      </c>
      <c r="K2363" s="33" t="n">
        <f aca="false">IF(OR(E2363=0,E2363&gt;=7),0,D2363/(7-E2363)*E2363*INDEX(Products!$E$2:$E$49,MATCH(C2363,Products!$A$2:$A$49,0)))</f>
        <v>0</v>
      </c>
    </row>
    <row r="2364" customFormat="false" ht="15" hidden="false" customHeight="false" outlineLevel="0" collapsed="false">
      <c r="A2364" s="36" t="n">
        <v>46202</v>
      </c>
      <c r="B2364" s="24" t="s">
        <v>62</v>
      </c>
      <c r="C2364" s="24" t="s">
        <v>207</v>
      </c>
      <c r="D2364" s="33" t="n">
        <v>60</v>
      </c>
      <c r="E2364" s="24" t="n">
        <v>0</v>
      </c>
      <c r="F2364" s="37" t="n">
        <f aca="false">DATE(YEAR(A2364),MONTH(A2364),1)</f>
        <v>46174</v>
      </c>
      <c r="G2364" s="24" t="str">
        <f aca="false">INDEX(Products!$C$2:$C$49,MATCH(C2364,Products!$A$2:$A$49,0))</f>
        <v>Snacks &amp; Confectionery</v>
      </c>
      <c r="H2364" s="33" t="n">
        <f aca="false">D2364*INDEX(Products!$E$2:$E$49,MATCH(C2364,Products!$A$2:$A$49,0))</f>
        <v>10800</v>
      </c>
      <c r="I2364" s="33" t="n">
        <f aca="false">D2364*INDEX(Products!$D$2:$D$49,MATCH(C2364,Products!$A$2:$A$49,0))*(1+INDEX(Assumptions!$B$16:$B$20,MATCH(B2364,Assumptions!$A$16:$A$20,0)))</f>
        <v>7620.48</v>
      </c>
      <c r="J2364" s="33" t="n">
        <f aca="false">H2364-I2364</f>
        <v>3179.52</v>
      </c>
      <c r="K2364" s="33" t="n">
        <f aca="false">IF(OR(E2364=0,E2364&gt;=7),0,D2364/(7-E2364)*E2364*INDEX(Products!$E$2:$E$49,MATCH(C2364,Products!$A$2:$A$49,0)))</f>
        <v>0</v>
      </c>
    </row>
    <row r="2365" customFormat="false" ht="15" hidden="false" customHeight="false" outlineLevel="0" collapsed="false">
      <c r="A2365" s="36" t="n">
        <v>46209</v>
      </c>
      <c r="B2365" s="24" t="s">
        <v>62</v>
      </c>
      <c r="C2365" s="24" t="s">
        <v>207</v>
      </c>
      <c r="D2365" s="33" t="n">
        <v>53</v>
      </c>
      <c r="E2365" s="24" t="n">
        <v>0</v>
      </c>
      <c r="F2365" s="37" t="n">
        <f aca="false">DATE(YEAR(A2365),MONTH(A2365),1)</f>
        <v>46204</v>
      </c>
      <c r="G2365" s="24" t="str">
        <f aca="false">INDEX(Products!$C$2:$C$49,MATCH(C2365,Products!$A$2:$A$49,0))</f>
        <v>Snacks &amp; Confectionery</v>
      </c>
      <c r="H2365" s="33" t="n">
        <f aca="false">D2365*INDEX(Products!$E$2:$E$49,MATCH(C2365,Products!$A$2:$A$49,0))</f>
        <v>9540</v>
      </c>
      <c r="I2365" s="33" t="n">
        <f aca="false">D2365*INDEX(Products!$D$2:$D$49,MATCH(C2365,Products!$A$2:$A$49,0))*(1+INDEX(Assumptions!$B$16:$B$20,MATCH(B2365,Assumptions!$A$16:$A$20,0)))</f>
        <v>6731.424</v>
      </c>
      <c r="J2365" s="33" t="n">
        <f aca="false">H2365-I2365</f>
        <v>2808.576</v>
      </c>
      <c r="K2365" s="33" t="n">
        <f aca="false">IF(OR(E2365=0,E2365&gt;=7),0,D2365/(7-E2365)*E2365*INDEX(Products!$E$2:$E$49,MATCH(C2365,Products!$A$2:$A$49,0)))</f>
        <v>0</v>
      </c>
    </row>
    <row r="2366" customFormat="false" ht="15" hidden="false" customHeight="false" outlineLevel="0" collapsed="false">
      <c r="A2366" s="36" t="n">
        <v>46216</v>
      </c>
      <c r="B2366" s="24" t="s">
        <v>62</v>
      </c>
      <c r="C2366" s="24" t="s">
        <v>207</v>
      </c>
      <c r="D2366" s="33" t="n">
        <v>44</v>
      </c>
      <c r="E2366" s="24" t="n">
        <v>0</v>
      </c>
      <c r="F2366" s="37" t="n">
        <f aca="false">DATE(YEAR(A2366),MONTH(A2366),1)</f>
        <v>46204</v>
      </c>
      <c r="G2366" s="24" t="str">
        <f aca="false">INDEX(Products!$C$2:$C$49,MATCH(C2366,Products!$A$2:$A$49,0))</f>
        <v>Snacks &amp; Confectionery</v>
      </c>
      <c r="H2366" s="33" t="n">
        <f aca="false">D2366*INDEX(Products!$E$2:$E$49,MATCH(C2366,Products!$A$2:$A$49,0))</f>
        <v>7920</v>
      </c>
      <c r="I2366" s="33" t="n">
        <f aca="false">D2366*INDEX(Products!$D$2:$D$49,MATCH(C2366,Products!$A$2:$A$49,0))*(1+INDEX(Assumptions!$B$16:$B$20,MATCH(B2366,Assumptions!$A$16:$A$20,0)))</f>
        <v>5588.352</v>
      </c>
      <c r="J2366" s="33" t="n">
        <f aca="false">H2366-I2366</f>
        <v>2331.648</v>
      </c>
      <c r="K2366" s="33" t="n">
        <f aca="false">IF(OR(E2366=0,E2366&gt;=7),0,D2366/(7-E2366)*E2366*INDEX(Products!$E$2:$E$49,MATCH(C2366,Products!$A$2:$A$49,0)))</f>
        <v>0</v>
      </c>
    </row>
    <row r="2367" customFormat="false" ht="15" hidden="false" customHeight="false" outlineLevel="0" collapsed="false">
      <c r="A2367" s="36" t="n">
        <v>46223</v>
      </c>
      <c r="B2367" s="24" t="s">
        <v>62</v>
      </c>
      <c r="C2367" s="24" t="s">
        <v>207</v>
      </c>
      <c r="D2367" s="33" t="n">
        <v>96</v>
      </c>
      <c r="E2367" s="24" t="n">
        <v>0</v>
      </c>
      <c r="F2367" s="37" t="n">
        <f aca="false">DATE(YEAR(A2367),MONTH(A2367),1)</f>
        <v>46204</v>
      </c>
      <c r="G2367" s="24" t="str">
        <f aca="false">INDEX(Products!$C$2:$C$49,MATCH(C2367,Products!$A$2:$A$49,0))</f>
        <v>Snacks &amp; Confectionery</v>
      </c>
      <c r="H2367" s="33" t="n">
        <f aca="false">D2367*INDEX(Products!$E$2:$E$49,MATCH(C2367,Products!$A$2:$A$49,0))</f>
        <v>17280</v>
      </c>
      <c r="I2367" s="33" t="n">
        <f aca="false">D2367*INDEX(Products!$D$2:$D$49,MATCH(C2367,Products!$A$2:$A$49,0))*(1+INDEX(Assumptions!$B$16:$B$20,MATCH(B2367,Assumptions!$A$16:$A$20,0)))</f>
        <v>12192.768</v>
      </c>
      <c r="J2367" s="33" t="n">
        <f aca="false">H2367-I2367</f>
        <v>5087.232</v>
      </c>
      <c r="K2367" s="33" t="n">
        <f aca="false">IF(OR(E2367=0,E2367&gt;=7),0,D2367/(7-E2367)*E2367*INDEX(Products!$E$2:$E$49,MATCH(C2367,Products!$A$2:$A$49,0)))</f>
        <v>0</v>
      </c>
    </row>
    <row r="2368" customFormat="false" ht="15" hidden="false" customHeight="false" outlineLevel="0" collapsed="false">
      <c r="A2368" s="36" t="n">
        <v>46230</v>
      </c>
      <c r="B2368" s="24" t="s">
        <v>62</v>
      </c>
      <c r="C2368" s="24" t="s">
        <v>207</v>
      </c>
      <c r="D2368" s="33" t="n">
        <v>82</v>
      </c>
      <c r="E2368" s="24" t="n">
        <v>0</v>
      </c>
      <c r="F2368" s="37" t="n">
        <f aca="false">DATE(YEAR(A2368),MONTH(A2368),1)</f>
        <v>46204</v>
      </c>
      <c r="G2368" s="24" t="str">
        <f aca="false">INDEX(Products!$C$2:$C$49,MATCH(C2368,Products!$A$2:$A$49,0))</f>
        <v>Snacks &amp; Confectionery</v>
      </c>
      <c r="H2368" s="33" t="n">
        <f aca="false">D2368*INDEX(Products!$E$2:$E$49,MATCH(C2368,Products!$A$2:$A$49,0))</f>
        <v>14760</v>
      </c>
      <c r="I2368" s="33" t="n">
        <f aca="false">D2368*INDEX(Products!$D$2:$D$49,MATCH(C2368,Products!$A$2:$A$49,0))*(1+INDEX(Assumptions!$B$16:$B$20,MATCH(B2368,Assumptions!$A$16:$A$20,0)))</f>
        <v>10414.656</v>
      </c>
      <c r="J2368" s="33" t="n">
        <f aca="false">H2368-I2368</f>
        <v>4345.344</v>
      </c>
      <c r="K2368" s="33" t="n">
        <f aca="false">IF(OR(E2368=0,E2368&gt;=7),0,D2368/(7-E2368)*E2368*INDEX(Products!$E$2:$E$49,MATCH(C2368,Products!$A$2:$A$49,0)))</f>
        <v>0</v>
      </c>
    </row>
    <row r="2369" customFormat="false" ht="15" hidden="false" customHeight="false" outlineLevel="0" collapsed="false">
      <c r="A2369" s="36" t="n">
        <v>46237</v>
      </c>
      <c r="B2369" s="24" t="s">
        <v>62</v>
      </c>
      <c r="C2369" s="24" t="s">
        <v>207</v>
      </c>
      <c r="D2369" s="33" t="n">
        <v>65</v>
      </c>
      <c r="E2369" s="24" t="n">
        <v>0</v>
      </c>
      <c r="F2369" s="37" t="n">
        <f aca="false">DATE(YEAR(A2369),MONTH(A2369),1)</f>
        <v>46235</v>
      </c>
      <c r="G2369" s="24" t="str">
        <f aca="false">INDEX(Products!$C$2:$C$49,MATCH(C2369,Products!$A$2:$A$49,0))</f>
        <v>Snacks &amp; Confectionery</v>
      </c>
      <c r="H2369" s="33" t="n">
        <f aca="false">D2369*INDEX(Products!$E$2:$E$49,MATCH(C2369,Products!$A$2:$A$49,0))</f>
        <v>11700</v>
      </c>
      <c r="I2369" s="33" t="n">
        <f aca="false">D2369*INDEX(Products!$D$2:$D$49,MATCH(C2369,Products!$A$2:$A$49,0))*(1+INDEX(Assumptions!$B$16:$B$20,MATCH(B2369,Assumptions!$A$16:$A$20,0)))</f>
        <v>8255.52</v>
      </c>
      <c r="J2369" s="33" t="n">
        <f aca="false">H2369-I2369</f>
        <v>3444.48</v>
      </c>
      <c r="K2369" s="33" t="n">
        <f aca="false">IF(OR(E2369=0,E2369&gt;=7),0,D2369/(7-E2369)*E2369*INDEX(Products!$E$2:$E$49,MATCH(C2369,Products!$A$2:$A$49,0)))</f>
        <v>0</v>
      </c>
    </row>
    <row r="2370" customFormat="false" ht="15" hidden="false" customHeight="false" outlineLevel="0" collapsed="false">
      <c r="A2370" s="36" t="n">
        <v>46244</v>
      </c>
      <c r="B2370" s="24" t="s">
        <v>62</v>
      </c>
      <c r="C2370" s="24" t="s">
        <v>207</v>
      </c>
      <c r="D2370" s="33" t="n">
        <v>71</v>
      </c>
      <c r="E2370" s="24" t="n">
        <v>0</v>
      </c>
      <c r="F2370" s="37" t="n">
        <f aca="false">DATE(YEAR(A2370),MONTH(A2370),1)</f>
        <v>46235</v>
      </c>
      <c r="G2370" s="24" t="str">
        <f aca="false">INDEX(Products!$C$2:$C$49,MATCH(C2370,Products!$A$2:$A$49,0))</f>
        <v>Snacks &amp; Confectionery</v>
      </c>
      <c r="H2370" s="33" t="n">
        <f aca="false">D2370*INDEX(Products!$E$2:$E$49,MATCH(C2370,Products!$A$2:$A$49,0))</f>
        <v>12780</v>
      </c>
      <c r="I2370" s="33" t="n">
        <f aca="false">D2370*INDEX(Products!$D$2:$D$49,MATCH(C2370,Products!$A$2:$A$49,0))*(1+INDEX(Assumptions!$B$16:$B$20,MATCH(B2370,Assumptions!$A$16:$A$20,0)))</f>
        <v>9017.568</v>
      </c>
      <c r="J2370" s="33" t="n">
        <f aca="false">H2370-I2370</f>
        <v>3762.432</v>
      </c>
      <c r="K2370" s="33" t="n">
        <f aca="false">IF(OR(E2370=0,E2370&gt;=7),0,D2370/(7-E2370)*E2370*INDEX(Products!$E$2:$E$49,MATCH(C2370,Products!$A$2:$A$49,0)))</f>
        <v>0</v>
      </c>
    </row>
    <row r="2371" customFormat="false" ht="15" hidden="false" customHeight="false" outlineLevel="0" collapsed="false">
      <c r="A2371" s="36" t="n">
        <v>46251</v>
      </c>
      <c r="B2371" s="24" t="s">
        <v>62</v>
      </c>
      <c r="C2371" s="24" t="s">
        <v>207</v>
      </c>
      <c r="D2371" s="33" t="n">
        <v>70</v>
      </c>
      <c r="E2371" s="24" t="n">
        <v>0</v>
      </c>
      <c r="F2371" s="37" t="n">
        <f aca="false">DATE(YEAR(A2371),MONTH(A2371),1)</f>
        <v>46235</v>
      </c>
      <c r="G2371" s="24" t="str">
        <f aca="false">INDEX(Products!$C$2:$C$49,MATCH(C2371,Products!$A$2:$A$49,0))</f>
        <v>Snacks &amp; Confectionery</v>
      </c>
      <c r="H2371" s="33" t="n">
        <f aca="false">D2371*INDEX(Products!$E$2:$E$49,MATCH(C2371,Products!$A$2:$A$49,0))</f>
        <v>12600</v>
      </c>
      <c r="I2371" s="33" t="n">
        <f aca="false">D2371*INDEX(Products!$D$2:$D$49,MATCH(C2371,Products!$A$2:$A$49,0))*(1+INDEX(Assumptions!$B$16:$B$20,MATCH(B2371,Assumptions!$A$16:$A$20,0)))</f>
        <v>8890.56</v>
      </c>
      <c r="J2371" s="33" t="n">
        <f aca="false">H2371-I2371</f>
        <v>3709.44</v>
      </c>
      <c r="K2371" s="33" t="n">
        <f aca="false">IF(OR(E2371=0,E2371&gt;=7),0,D2371/(7-E2371)*E2371*INDEX(Products!$E$2:$E$49,MATCH(C2371,Products!$A$2:$A$49,0)))</f>
        <v>0</v>
      </c>
    </row>
    <row r="2372" customFormat="false" ht="15" hidden="false" customHeight="false" outlineLevel="0" collapsed="false">
      <c r="A2372" s="36" t="n">
        <v>46258</v>
      </c>
      <c r="B2372" s="24" t="s">
        <v>62</v>
      </c>
      <c r="C2372" s="24" t="s">
        <v>207</v>
      </c>
      <c r="D2372" s="33" t="n">
        <v>80</v>
      </c>
      <c r="E2372" s="24" t="n">
        <v>0</v>
      </c>
      <c r="F2372" s="37" t="n">
        <f aca="false">DATE(YEAR(A2372),MONTH(A2372),1)</f>
        <v>46235</v>
      </c>
      <c r="G2372" s="24" t="str">
        <f aca="false">INDEX(Products!$C$2:$C$49,MATCH(C2372,Products!$A$2:$A$49,0))</f>
        <v>Snacks &amp; Confectionery</v>
      </c>
      <c r="H2372" s="33" t="n">
        <f aca="false">D2372*INDEX(Products!$E$2:$E$49,MATCH(C2372,Products!$A$2:$A$49,0))</f>
        <v>14400</v>
      </c>
      <c r="I2372" s="33" t="n">
        <f aca="false">D2372*INDEX(Products!$D$2:$D$49,MATCH(C2372,Products!$A$2:$A$49,0))*(1+INDEX(Assumptions!$B$16:$B$20,MATCH(B2372,Assumptions!$A$16:$A$20,0)))</f>
        <v>10160.64</v>
      </c>
      <c r="J2372" s="33" t="n">
        <f aca="false">H2372-I2372</f>
        <v>4239.36</v>
      </c>
      <c r="K2372" s="33" t="n">
        <f aca="false">IF(OR(E2372=0,E2372&gt;=7),0,D2372/(7-E2372)*E2372*INDEX(Products!$E$2:$E$49,MATCH(C2372,Products!$A$2:$A$49,0)))</f>
        <v>0</v>
      </c>
    </row>
    <row r="2373" customFormat="false" ht="15" hidden="false" customHeight="false" outlineLevel="0" collapsed="false">
      <c r="A2373" s="36" t="n">
        <v>46265</v>
      </c>
      <c r="B2373" s="24" t="s">
        <v>62</v>
      </c>
      <c r="C2373" s="24" t="s">
        <v>207</v>
      </c>
      <c r="D2373" s="33" t="n">
        <v>77</v>
      </c>
      <c r="E2373" s="24" t="n">
        <v>0</v>
      </c>
      <c r="F2373" s="37" t="n">
        <f aca="false">DATE(YEAR(A2373),MONTH(A2373),1)</f>
        <v>46235</v>
      </c>
      <c r="G2373" s="24" t="str">
        <f aca="false">INDEX(Products!$C$2:$C$49,MATCH(C2373,Products!$A$2:$A$49,0))</f>
        <v>Snacks &amp; Confectionery</v>
      </c>
      <c r="H2373" s="33" t="n">
        <f aca="false">D2373*INDEX(Products!$E$2:$E$49,MATCH(C2373,Products!$A$2:$A$49,0))</f>
        <v>13860</v>
      </c>
      <c r="I2373" s="33" t="n">
        <f aca="false">D2373*INDEX(Products!$D$2:$D$49,MATCH(C2373,Products!$A$2:$A$49,0))*(1+INDEX(Assumptions!$B$16:$B$20,MATCH(B2373,Assumptions!$A$16:$A$20,0)))</f>
        <v>9779.616</v>
      </c>
      <c r="J2373" s="33" t="n">
        <f aca="false">H2373-I2373</f>
        <v>4080.384</v>
      </c>
      <c r="K2373" s="33" t="n">
        <f aca="false">IF(OR(E2373=0,E2373&gt;=7),0,D2373/(7-E2373)*E2373*INDEX(Products!$E$2:$E$49,MATCH(C2373,Products!$A$2:$A$49,0)))</f>
        <v>0</v>
      </c>
    </row>
    <row r="2374" customFormat="false" ht="15" hidden="false" customHeight="false" outlineLevel="0" collapsed="false">
      <c r="A2374" s="36" t="n">
        <v>46272</v>
      </c>
      <c r="B2374" s="24" t="s">
        <v>62</v>
      </c>
      <c r="C2374" s="24" t="s">
        <v>207</v>
      </c>
      <c r="D2374" s="33" t="n">
        <v>60</v>
      </c>
      <c r="E2374" s="24" t="n">
        <v>0</v>
      </c>
      <c r="F2374" s="37" t="n">
        <f aca="false">DATE(YEAR(A2374),MONTH(A2374),1)</f>
        <v>46266</v>
      </c>
      <c r="G2374" s="24" t="str">
        <f aca="false">INDEX(Products!$C$2:$C$49,MATCH(C2374,Products!$A$2:$A$49,0))</f>
        <v>Snacks &amp; Confectionery</v>
      </c>
      <c r="H2374" s="33" t="n">
        <f aca="false">D2374*INDEX(Products!$E$2:$E$49,MATCH(C2374,Products!$A$2:$A$49,0))</f>
        <v>10800</v>
      </c>
      <c r="I2374" s="33" t="n">
        <f aca="false">D2374*INDEX(Products!$D$2:$D$49,MATCH(C2374,Products!$A$2:$A$49,0))*(1+INDEX(Assumptions!$B$16:$B$20,MATCH(B2374,Assumptions!$A$16:$A$20,0)))</f>
        <v>7620.48</v>
      </c>
      <c r="J2374" s="33" t="n">
        <f aca="false">H2374-I2374</f>
        <v>3179.52</v>
      </c>
      <c r="K2374" s="33" t="n">
        <f aca="false">IF(OR(E2374=0,E2374&gt;=7),0,D2374/(7-E2374)*E2374*INDEX(Products!$E$2:$E$49,MATCH(C2374,Products!$A$2:$A$49,0)))</f>
        <v>0</v>
      </c>
    </row>
    <row r="2375" customFormat="false" ht="15" hidden="false" customHeight="false" outlineLevel="0" collapsed="false">
      <c r="A2375" s="36" t="n">
        <v>46279</v>
      </c>
      <c r="B2375" s="24" t="s">
        <v>62</v>
      </c>
      <c r="C2375" s="24" t="s">
        <v>207</v>
      </c>
      <c r="D2375" s="33" t="n">
        <v>65</v>
      </c>
      <c r="E2375" s="24" t="n">
        <v>0</v>
      </c>
      <c r="F2375" s="37" t="n">
        <f aca="false">DATE(YEAR(A2375),MONTH(A2375),1)</f>
        <v>46266</v>
      </c>
      <c r="G2375" s="24" t="str">
        <f aca="false">INDEX(Products!$C$2:$C$49,MATCH(C2375,Products!$A$2:$A$49,0))</f>
        <v>Snacks &amp; Confectionery</v>
      </c>
      <c r="H2375" s="33" t="n">
        <f aca="false">D2375*INDEX(Products!$E$2:$E$49,MATCH(C2375,Products!$A$2:$A$49,0))</f>
        <v>11700</v>
      </c>
      <c r="I2375" s="33" t="n">
        <f aca="false">D2375*INDEX(Products!$D$2:$D$49,MATCH(C2375,Products!$A$2:$A$49,0))*(1+INDEX(Assumptions!$B$16:$B$20,MATCH(B2375,Assumptions!$A$16:$A$20,0)))</f>
        <v>8255.52</v>
      </c>
      <c r="J2375" s="33" t="n">
        <f aca="false">H2375-I2375</f>
        <v>3444.48</v>
      </c>
      <c r="K2375" s="33" t="n">
        <f aca="false">IF(OR(E2375=0,E2375&gt;=7),0,D2375/(7-E2375)*E2375*INDEX(Products!$E$2:$E$49,MATCH(C2375,Products!$A$2:$A$49,0)))</f>
        <v>0</v>
      </c>
    </row>
    <row r="2376" customFormat="false" ht="15" hidden="false" customHeight="false" outlineLevel="0" collapsed="false">
      <c r="A2376" s="36" t="n">
        <v>46286</v>
      </c>
      <c r="B2376" s="24" t="s">
        <v>62</v>
      </c>
      <c r="C2376" s="24" t="s">
        <v>207</v>
      </c>
      <c r="D2376" s="33" t="n">
        <v>74</v>
      </c>
      <c r="E2376" s="24" t="n">
        <v>0</v>
      </c>
      <c r="F2376" s="37" t="n">
        <f aca="false">DATE(YEAR(A2376),MONTH(A2376),1)</f>
        <v>46266</v>
      </c>
      <c r="G2376" s="24" t="str">
        <f aca="false">INDEX(Products!$C$2:$C$49,MATCH(C2376,Products!$A$2:$A$49,0))</f>
        <v>Snacks &amp; Confectionery</v>
      </c>
      <c r="H2376" s="33" t="n">
        <f aca="false">D2376*INDEX(Products!$E$2:$E$49,MATCH(C2376,Products!$A$2:$A$49,0))</f>
        <v>13320</v>
      </c>
      <c r="I2376" s="33" t="n">
        <f aca="false">D2376*INDEX(Products!$D$2:$D$49,MATCH(C2376,Products!$A$2:$A$49,0))*(1+INDEX(Assumptions!$B$16:$B$20,MATCH(B2376,Assumptions!$A$16:$A$20,0)))</f>
        <v>9398.592</v>
      </c>
      <c r="J2376" s="33" t="n">
        <f aca="false">H2376-I2376</f>
        <v>3921.408</v>
      </c>
      <c r="K2376" s="33" t="n">
        <f aca="false">IF(OR(E2376=0,E2376&gt;=7),0,D2376/(7-E2376)*E2376*INDEX(Products!$E$2:$E$49,MATCH(C2376,Products!$A$2:$A$49,0)))</f>
        <v>0</v>
      </c>
    </row>
    <row r="2377" customFormat="false" ht="15" hidden="false" customHeight="false" outlineLevel="0" collapsed="false">
      <c r="A2377" s="36" t="n">
        <v>46118</v>
      </c>
      <c r="B2377" s="24" t="s">
        <v>62</v>
      </c>
      <c r="C2377" s="24" t="s">
        <v>209</v>
      </c>
      <c r="D2377" s="33" t="n">
        <v>85</v>
      </c>
      <c r="E2377" s="24" t="n">
        <v>0</v>
      </c>
      <c r="F2377" s="37" t="n">
        <f aca="false">DATE(YEAR(A2377),MONTH(A2377),1)</f>
        <v>46113</v>
      </c>
      <c r="G2377" s="24" t="str">
        <f aca="false">INDEX(Products!$C$2:$C$49,MATCH(C2377,Products!$A$2:$A$49,0))</f>
        <v>Snacks &amp; Confectionery</v>
      </c>
      <c r="H2377" s="33" t="n">
        <f aca="false">D2377*INDEX(Products!$E$2:$E$49,MATCH(C2377,Products!$A$2:$A$49,0))</f>
        <v>5950</v>
      </c>
      <c r="I2377" s="33" t="n">
        <f aca="false">D2377*INDEX(Products!$D$2:$D$49,MATCH(C2377,Products!$A$2:$A$49,0))*(1+INDEX(Assumptions!$B$16:$B$20,MATCH(B2377,Assumptions!$A$16:$A$20,0)))</f>
        <v>4026.96</v>
      </c>
      <c r="J2377" s="33" t="n">
        <f aca="false">H2377-I2377</f>
        <v>1923.04</v>
      </c>
      <c r="K2377" s="33" t="n">
        <f aca="false">IF(OR(E2377=0,E2377&gt;=7),0,D2377/(7-E2377)*E2377*INDEX(Products!$E$2:$E$49,MATCH(C2377,Products!$A$2:$A$49,0)))</f>
        <v>0</v>
      </c>
    </row>
    <row r="2378" customFormat="false" ht="15" hidden="false" customHeight="false" outlineLevel="0" collapsed="false">
      <c r="A2378" s="36" t="n">
        <v>46125</v>
      </c>
      <c r="B2378" s="24" t="s">
        <v>62</v>
      </c>
      <c r="C2378" s="24" t="s">
        <v>209</v>
      </c>
      <c r="D2378" s="33" t="n">
        <v>104</v>
      </c>
      <c r="E2378" s="24" t="n">
        <v>0</v>
      </c>
      <c r="F2378" s="37" t="n">
        <f aca="false">DATE(YEAR(A2378),MONTH(A2378),1)</f>
        <v>46113</v>
      </c>
      <c r="G2378" s="24" t="str">
        <f aca="false">INDEX(Products!$C$2:$C$49,MATCH(C2378,Products!$A$2:$A$49,0))</f>
        <v>Snacks &amp; Confectionery</v>
      </c>
      <c r="H2378" s="33" t="n">
        <f aca="false">D2378*INDEX(Products!$E$2:$E$49,MATCH(C2378,Products!$A$2:$A$49,0))</f>
        <v>7280</v>
      </c>
      <c r="I2378" s="33" t="n">
        <f aca="false">D2378*INDEX(Products!$D$2:$D$49,MATCH(C2378,Products!$A$2:$A$49,0))*(1+INDEX(Assumptions!$B$16:$B$20,MATCH(B2378,Assumptions!$A$16:$A$20,0)))</f>
        <v>4927.104</v>
      </c>
      <c r="J2378" s="33" t="n">
        <f aca="false">H2378-I2378</f>
        <v>2352.896</v>
      </c>
      <c r="K2378" s="33" t="n">
        <f aca="false">IF(OR(E2378=0,E2378&gt;=7),0,D2378/(7-E2378)*E2378*INDEX(Products!$E$2:$E$49,MATCH(C2378,Products!$A$2:$A$49,0)))</f>
        <v>0</v>
      </c>
    </row>
    <row r="2379" customFormat="false" ht="15" hidden="false" customHeight="false" outlineLevel="0" collapsed="false">
      <c r="A2379" s="36" t="n">
        <v>46132</v>
      </c>
      <c r="B2379" s="24" t="s">
        <v>62</v>
      </c>
      <c r="C2379" s="24" t="s">
        <v>209</v>
      </c>
      <c r="D2379" s="33" t="n">
        <v>93</v>
      </c>
      <c r="E2379" s="24" t="n">
        <v>0</v>
      </c>
      <c r="F2379" s="37" t="n">
        <f aca="false">DATE(YEAR(A2379),MONTH(A2379),1)</f>
        <v>46113</v>
      </c>
      <c r="G2379" s="24" t="str">
        <f aca="false">INDEX(Products!$C$2:$C$49,MATCH(C2379,Products!$A$2:$A$49,0))</f>
        <v>Snacks &amp; Confectionery</v>
      </c>
      <c r="H2379" s="33" t="n">
        <f aca="false">D2379*INDEX(Products!$E$2:$E$49,MATCH(C2379,Products!$A$2:$A$49,0))</f>
        <v>6510</v>
      </c>
      <c r="I2379" s="33" t="n">
        <f aca="false">D2379*INDEX(Products!$D$2:$D$49,MATCH(C2379,Products!$A$2:$A$49,0))*(1+INDEX(Assumptions!$B$16:$B$20,MATCH(B2379,Assumptions!$A$16:$A$20,0)))</f>
        <v>4405.968</v>
      </c>
      <c r="J2379" s="33" t="n">
        <f aca="false">H2379-I2379</f>
        <v>2104.032</v>
      </c>
      <c r="K2379" s="33" t="n">
        <f aca="false">IF(OR(E2379=0,E2379&gt;=7),0,D2379/(7-E2379)*E2379*INDEX(Products!$E$2:$E$49,MATCH(C2379,Products!$A$2:$A$49,0)))</f>
        <v>0</v>
      </c>
    </row>
    <row r="2380" customFormat="false" ht="15" hidden="false" customHeight="false" outlineLevel="0" collapsed="false">
      <c r="A2380" s="36" t="n">
        <v>46139</v>
      </c>
      <c r="B2380" s="24" t="s">
        <v>62</v>
      </c>
      <c r="C2380" s="24" t="s">
        <v>209</v>
      </c>
      <c r="D2380" s="33" t="n">
        <v>114</v>
      </c>
      <c r="E2380" s="24" t="n">
        <v>0</v>
      </c>
      <c r="F2380" s="37" t="n">
        <f aca="false">DATE(YEAR(A2380),MONTH(A2380),1)</f>
        <v>46113</v>
      </c>
      <c r="G2380" s="24" t="str">
        <f aca="false">INDEX(Products!$C$2:$C$49,MATCH(C2380,Products!$A$2:$A$49,0))</f>
        <v>Snacks &amp; Confectionery</v>
      </c>
      <c r="H2380" s="33" t="n">
        <f aca="false">D2380*INDEX(Products!$E$2:$E$49,MATCH(C2380,Products!$A$2:$A$49,0))</f>
        <v>7980</v>
      </c>
      <c r="I2380" s="33" t="n">
        <f aca="false">D2380*INDEX(Products!$D$2:$D$49,MATCH(C2380,Products!$A$2:$A$49,0))*(1+INDEX(Assumptions!$B$16:$B$20,MATCH(B2380,Assumptions!$A$16:$A$20,0)))</f>
        <v>5400.864</v>
      </c>
      <c r="J2380" s="33" t="n">
        <f aca="false">H2380-I2380</f>
        <v>2579.136</v>
      </c>
      <c r="K2380" s="33" t="n">
        <f aca="false">IF(OR(E2380=0,E2380&gt;=7),0,D2380/(7-E2380)*E2380*INDEX(Products!$E$2:$E$49,MATCH(C2380,Products!$A$2:$A$49,0)))</f>
        <v>0</v>
      </c>
    </row>
    <row r="2381" customFormat="false" ht="15" hidden="false" customHeight="false" outlineLevel="0" collapsed="false">
      <c r="A2381" s="36" t="n">
        <v>46146</v>
      </c>
      <c r="B2381" s="24" t="s">
        <v>62</v>
      </c>
      <c r="C2381" s="24" t="s">
        <v>209</v>
      </c>
      <c r="D2381" s="33" t="n">
        <v>119</v>
      </c>
      <c r="E2381" s="24" t="n">
        <v>0</v>
      </c>
      <c r="F2381" s="37" t="n">
        <f aca="false">DATE(YEAR(A2381),MONTH(A2381),1)</f>
        <v>46143</v>
      </c>
      <c r="G2381" s="24" t="str">
        <f aca="false">INDEX(Products!$C$2:$C$49,MATCH(C2381,Products!$A$2:$A$49,0))</f>
        <v>Snacks &amp; Confectionery</v>
      </c>
      <c r="H2381" s="33" t="n">
        <f aca="false">D2381*INDEX(Products!$E$2:$E$49,MATCH(C2381,Products!$A$2:$A$49,0))</f>
        <v>8330</v>
      </c>
      <c r="I2381" s="33" t="n">
        <f aca="false">D2381*INDEX(Products!$D$2:$D$49,MATCH(C2381,Products!$A$2:$A$49,0))*(1+INDEX(Assumptions!$B$16:$B$20,MATCH(B2381,Assumptions!$A$16:$A$20,0)))</f>
        <v>5637.744</v>
      </c>
      <c r="J2381" s="33" t="n">
        <f aca="false">H2381-I2381</f>
        <v>2692.256</v>
      </c>
      <c r="K2381" s="33" t="n">
        <f aca="false">IF(OR(E2381=0,E2381&gt;=7),0,D2381/(7-E2381)*E2381*INDEX(Products!$E$2:$E$49,MATCH(C2381,Products!$A$2:$A$49,0)))</f>
        <v>0</v>
      </c>
    </row>
    <row r="2382" customFormat="false" ht="15" hidden="false" customHeight="false" outlineLevel="0" collapsed="false">
      <c r="A2382" s="36" t="n">
        <v>46153</v>
      </c>
      <c r="B2382" s="24" t="s">
        <v>62</v>
      </c>
      <c r="C2382" s="24" t="s">
        <v>209</v>
      </c>
      <c r="D2382" s="33" t="n">
        <v>121</v>
      </c>
      <c r="E2382" s="24" t="n">
        <v>0</v>
      </c>
      <c r="F2382" s="37" t="n">
        <f aca="false">DATE(YEAR(A2382),MONTH(A2382),1)</f>
        <v>46143</v>
      </c>
      <c r="G2382" s="24" t="str">
        <f aca="false">INDEX(Products!$C$2:$C$49,MATCH(C2382,Products!$A$2:$A$49,0))</f>
        <v>Snacks &amp; Confectionery</v>
      </c>
      <c r="H2382" s="33" t="n">
        <f aca="false">D2382*INDEX(Products!$E$2:$E$49,MATCH(C2382,Products!$A$2:$A$49,0))</f>
        <v>8470</v>
      </c>
      <c r="I2382" s="33" t="n">
        <f aca="false">D2382*INDEX(Products!$D$2:$D$49,MATCH(C2382,Products!$A$2:$A$49,0))*(1+INDEX(Assumptions!$B$16:$B$20,MATCH(B2382,Assumptions!$A$16:$A$20,0)))</f>
        <v>5732.496</v>
      </c>
      <c r="J2382" s="33" t="n">
        <f aca="false">H2382-I2382</f>
        <v>2737.504</v>
      </c>
      <c r="K2382" s="33" t="n">
        <f aca="false">IF(OR(E2382=0,E2382&gt;=7),0,D2382/(7-E2382)*E2382*INDEX(Products!$E$2:$E$49,MATCH(C2382,Products!$A$2:$A$49,0)))</f>
        <v>0</v>
      </c>
    </row>
    <row r="2383" customFormat="false" ht="15" hidden="false" customHeight="false" outlineLevel="0" collapsed="false">
      <c r="A2383" s="36" t="n">
        <v>46160</v>
      </c>
      <c r="B2383" s="24" t="s">
        <v>62</v>
      </c>
      <c r="C2383" s="24" t="s">
        <v>209</v>
      </c>
      <c r="D2383" s="33" t="n">
        <v>113</v>
      </c>
      <c r="E2383" s="24" t="n">
        <v>0</v>
      </c>
      <c r="F2383" s="37" t="n">
        <f aca="false">DATE(YEAR(A2383),MONTH(A2383),1)</f>
        <v>46143</v>
      </c>
      <c r="G2383" s="24" t="str">
        <f aca="false">INDEX(Products!$C$2:$C$49,MATCH(C2383,Products!$A$2:$A$49,0))</f>
        <v>Snacks &amp; Confectionery</v>
      </c>
      <c r="H2383" s="33" t="n">
        <f aca="false">D2383*INDEX(Products!$E$2:$E$49,MATCH(C2383,Products!$A$2:$A$49,0))</f>
        <v>7910</v>
      </c>
      <c r="I2383" s="33" t="n">
        <f aca="false">D2383*INDEX(Products!$D$2:$D$49,MATCH(C2383,Products!$A$2:$A$49,0))*(1+INDEX(Assumptions!$B$16:$B$20,MATCH(B2383,Assumptions!$A$16:$A$20,0)))</f>
        <v>5353.488</v>
      </c>
      <c r="J2383" s="33" t="n">
        <f aca="false">H2383-I2383</f>
        <v>2556.512</v>
      </c>
      <c r="K2383" s="33" t="n">
        <f aca="false">IF(OR(E2383=0,E2383&gt;=7),0,D2383/(7-E2383)*E2383*INDEX(Products!$E$2:$E$49,MATCH(C2383,Products!$A$2:$A$49,0)))</f>
        <v>0</v>
      </c>
    </row>
    <row r="2384" customFormat="false" ht="15" hidden="false" customHeight="false" outlineLevel="0" collapsed="false">
      <c r="A2384" s="36" t="n">
        <v>46167</v>
      </c>
      <c r="B2384" s="24" t="s">
        <v>62</v>
      </c>
      <c r="C2384" s="24" t="s">
        <v>209</v>
      </c>
      <c r="D2384" s="33" t="n">
        <v>124</v>
      </c>
      <c r="E2384" s="24" t="n">
        <v>0</v>
      </c>
      <c r="F2384" s="37" t="n">
        <f aca="false">DATE(YEAR(A2384),MONTH(A2384),1)</f>
        <v>46143</v>
      </c>
      <c r="G2384" s="24" t="str">
        <f aca="false">INDEX(Products!$C$2:$C$49,MATCH(C2384,Products!$A$2:$A$49,0))</f>
        <v>Snacks &amp; Confectionery</v>
      </c>
      <c r="H2384" s="33" t="n">
        <f aca="false">D2384*INDEX(Products!$E$2:$E$49,MATCH(C2384,Products!$A$2:$A$49,0))</f>
        <v>8680</v>
      </c>
      <c r="I2384" s="33" t="n">
        <f aca="false">D2384*INDEX(Products!$D$2:$D$49,MATCH(C2384,Products!$A$2:$A$49,0))*(1+INDEX(Assumptions!$B$16:$B$20,MATCH(B2384,Assumptions!$A$16:$A$20,0)))</f>
        <v>5874.624</v>
      </c>
      <c r="J2384" s="33" t="n">
        <f aca="false">H2384-I2384</f>
        <v>2805.376</v>
      </c>
      <c r="K2384" s="33" t="n">
        <f aca="false">IF(OR(E2384=0,E2384&gt;=7),0,D2384/(7-E2384)*E2384*INDEX(Products!$E$2:$E$49,MATCH(C2384,Products!$A$2:$A$49,0)))</f>
        <v>0</v>
      </c>
    </row>
    <row r="2385" customFormat="false" ht="15" hidden="false" customHeight="false" outlineLevel="0" collapsed="false">
      <c r="A2385" s="36" t="n">
        <v>46174</v>
      </c>
      <c r="B2385" s="24" t="s">
        <v>62</v>
      </c>
      <c r="C2385" s="24" t="s">
        <v>209</v>
      </c>
      <c r="D2385" s="33" t="n">
        <v>109</v>
      </c>
      <c r="E2385" s="24" t="n">
        <v>0</v>
      </c>
      <c r="F2385" s="37" t="n">
        <f aca="false">DATE(YEAR(A2385),MONTH(A2385),1)</f>
        <v>46174</v>
      </c>
      <c r="G2385" s="24" t="str">
        <f aca="false">INDEX(Products!$C$2:$C$49,MATCH(C2385,Products!$A$2:$A$49,0))</f>
        <v>Snacks &amp; Confectionery</v>
      </c>
      <c r="H2385" s="33" t="n">
        <f aca="false">D2385*INDEX(Products!$E$2:$E$49,MATCH(C2385,Products!$A$2:$A$49,0))</f>
        <v>7630</v>
      </c>
      <c r="I2385" s="33" t="n">
        <f aca="false">D2385*INDEX(Products!$D$2:$D$49,MATCH(C2385,Products!$A$2:$A$49,0))*(1+INDEX(Assumptions!$B$16:$B$20,MATCH(B2385,Assumptions!$A$16:$A$20,0)))</f>
        <v>5163.984</v>
      </c>
      <c r="J2385" s="33" t="n">
        <f aca="false">H2385-I2385</f>
        <v>2466.016</v>
      </c>
      <c r="K2385" s="33" t="n">
        <f aca="false">IF(OR(E2385=0,E2385&gt;=7),0,D2385/(7-E2385)*E2385*INDEX(Products!$E$2:$E$49,MATCH(C2385,Products!$A$2:$A$49,0)))</f>
        <v>0</v>
      </c>
    </row>
    <row r="2386" customFormat="false" ht="15" hidden="false" customHeight="false" outlineLevel="0" collapsed="false">
      <c r="A2386" s="36" t="n">
        <v>46181</v>
      </c>
      <c r="B2386" s="24" t="s">
        <v>62</v>
      </c>
      <c r="C2386" s="24" t="s">
        <v>209</v>
      </c>
      <c r="D2386" s="33" t="n">
        <v>97</v>
      </c>
      <c r="E2386" s="24" t="n">
        <v>0</v>
      </c>
      <c r="F2386" s="37" t="n">
        <f aca="false">DATE(YEAR(A2386),MONTH(A2386),1)</f>
        <v>46174</v>
      </c>
      <c r="G2386" s="24" t="str">
        <f aca="false">INDEX(Products!$C$2:$C$49,MATCH(C2386,Products!$A$2:$A$49,0))</f>
        <v>Snacks &amp; Confectionery</v>
      </c>
      <c r="H2386" s="33" t="n">
        <f aca="false">D2386*INDEX(Products!$E$2:$E$49,MATCH(C2386,Products!$A$2:$A$49,0))</f>
        <v>6790</v>
      </c>
      <c r="I2386" s="33" t="n">
        <f aca="false">D2386*INDEX(Products!$D$2:$D$49,MATCH(C2386,Products!$A$2:$A$49,0))*(1+INDEX(Assumptions!$B$16:$B$20,MATCH(B2386,Assumptions!$A$16:$A$20,0)))</f>
        <v>4595.472</v>
      </c>
      <c r="J2386" s="33" t="n">
        <f aca="false">H2386-I2386</f>
        <v>2194.528</v>
      </c>
      <c r="K2386" s="33" t="n">
        <f aca="false">IF(OR(E2386=0,E2386&gt;=7),0,D2386/(7-E2386)*E2386*INDEX(Products!$E$2:$E$49,MATCH(C2386,Products!$A$2:$A$49,0)))</f>
        <v>0</v>
      </c>
    </row>
    <row r="2387" customFormat="false" ht="15" hidden="false" customHeight="false" outlineLevel="0" collapsed="false">
      <c r="A2387" s="36" t="n">
        <v>46188</v>
      </c>
      <c r="B2387" s="24" t="s">
        <v>62</v>
      </c>
      <c r="C2387" s="24" t="s">
        <v>209</v>
      </c>
      <c r="D2387" s="33" t="n">
        <v>106</v>
      </c>
      <c r="E2387" s="24" t="n">
        <v>0</v>
      </c>
      <c r="F2387" s="37" t="n">
        <f aca="false">DATE(YEAR(A2387),MONTH(A2387),1)</f>
        <v>46174</v>
      </c>
      <c r="G2387" s="24" t="str">
        <f aca="false">INDEX(Products!$C$2:$C$49,MATCH(C2387,Products!$A$2:$A$49,0))</f>
        <v>Snacks &amp; Confectionery</v>
      </c>
      <c r="H2387" s="33" t="n">
        <f aca="false">D2387*INDEX(Products!$E$2:$E$49,MATCH(C2387,Products!$A$2:$A$49,0))</f>
        <v>7420</v>
      </c>
      <c r="I2387" s="33" t="n">
        <f aca="false">D2387*INDEX(Products!$D$2:$D$49,MATCH(C2387,Products!$A$2:$A$49,0))*(1+INDEX(Assumptions!$B$16:$B$20,MATCH(B2387,Assumptions!$A$16:$A$20,0)))</f>
        <v>5021.856</v>
      </c>
      <c r="J2387" s="33" t="n">
        <f aca="false">H2387-I2387</f>
        <v>2398.144</v>
      </c>
      <c r="K2387" s="33" t="n">
        <f aca="false">IF(OR(E2387=0,E2387&gt;=7),0,D2387/(7-E2387)*E2387*INDEX(Products!$E$2:$E$49,MATCH(C2387,Products!$A$2:$A$49,0)))</f>
        <v>0</v>
      </c>
    </row>
    <row r="2388" customFormat="false" ht="15" hidden="false" customHeight="false" outlineLevel="0" collapsed="false">
      <c r="A2388" s="36" t="n">
        <v>46195</v>
      </c>
      <c r="B2388" s="24" t="s">
        <v>62</v>
      </c>
      <c r="C2388" s="24" t="s">
        <v>209</v>
      </c>
      <c r="D2388" s="33" t="n">
        <v>116</v>
      </c>
      <c r="E2388" s="24" t="n">
        <v>0</v>
      </c>
      <c r="F2388" s="37" t="n">
        <f aca="false">DATE(YEAR(A2388),MONTH(A2388),1)</f>
        <v>46174</v>
      </c>
      <c r="G2388" s="24" t="str">
        <f aca="false">INDEX(Products!$C$2:$C$49,MATCH(C2388,Products!$A$2:$A$49,0))</f>
        <v>Snacks &amp; Confectionery</v>
      </c>
      <c r="H2388" s="33" t="n">
        <f aca="false">D2388*INDEX(Products!$E$2:$E$49,MATCH(C2388,Products!$A$2:$A$49,0))</f>
        <v>8120</v>
      </c>
      <c r="I2388" s="33" t="n">
        <f aca="false">D2388*INDEX(Products!$D$2:$D$49,MATCH(C2388,Products!$A$2:$A$49,0))*(1+INDEX(Assumptions!$B$16:$B$20,MATCH(B2388,Assumptions!$A$16:$A$20,0)))</f>
        <v>5495.616</v>
      </c>
      <c r="J2388" s="33" t="n">
        <f aca="false">H2388-I2388</f>
        <v>2624.384</v>
      </c>
      <c r="K2388" s="33" t="n">
        <f aca="false">IF(OR(E2388=0,E2388&gt;=7),0,D2388/(7-E2388)*E2388*INDEX(Products!$E$2:$E$49,MATCH(C2388,Products!$A$2:$A$49,0)))</f>
        <v>0</v>
      </c>
    </row>
    <row r="2389" customFormat="false" ht="15" hidden="false" customHeight="false" outlineLevel="0" collapsed="false">
      <c r="A2389" s="36" t="n">
        <v>46202</v>
      </c>
      <c r="B2389" s="24" t="s">
        <v>62</v>
      </c>
      <c r="C2389" s="24" t="s">
        <v>209</v>
      </c>
      <c r="D2389" s="33" t="n">
        <v>108</v>
      </c>
      <c r="E2389" s="24" t="n">
        <v>0</v>
      </c>
      <c r="F2389" s="37" t="n">
        <f aca="false">DATE(YEAR(A2389),MONTH(A2389),1)</f>
        <v>46174</v>
      </c>
      <c r="G2389" s="24" t="str">
        <f aca="false">INDEX(Products!$C$2:$C$49,MATCH(C2389,Products!$A$2:$A$49,0))</f>
        <v>Snacks &amp; Confectionery</v>
      </c>
      <c r="H2389" s="33" t="n">
        <f aca="false">D2389*INDEX(Products!$E$2:$E$49,MATCH(C2389,Products!$A$2:$A$49,0))</f>
        <v>7560</v>
      </c>
      <c r="I2389" s="33" t="n">
        <f aca="false">D2389*INDEX(Products!$D$2:$D$49,MATCH(C2389,Products!$A$2:$A$49,0))*(1+INDEX(Assumptions!$B$16:$B$20,MATCH(B2389,Assumptions!$A$16:$A$20,0)))</f>
        <v>5116.608</v>
      </c>
      <c r="J2389" s="33" t="n">
        <f aca="false">H2389-I2389</f>
        <v>2443.392</v>
      </c>
      <c r="K2389" s="33" t="n">
        <f aca="false">IF(OR(E2389=0,E2389&gt;=7),0,D2389/(7-E2389)*E2389*INDEX(Products!$E$2:$E$49,MATCH(C2389,Products!$A$2:$A$49,0)))</f>
        <v>0</v>
      </c>
    </row>
    <row r="2390" customFormat="false" ht="15" hidden="false" customHeight="false" outlineLevel="0" collapsed="false">
      <c r="A2390" s="36" t="n">
        <v>46209</v>
      </c>
      <c r="B2390" s="24" t="s">
        <v>62</v>
      </c>
      <c r="C2390" s="24" t="s">
        <v>209</v>
      </c>
      <c r="D2390" s="33" t="n">
        <v>111</v>
      </c>
      <c r="E2390" s="24" t="n">
        <v>0</v>
      </c>
      <c r="F2390" s="37" t="n">
        <f aca="false">DATE(YEAR(A2390),MONTH(A2390),1)</f>
        <v>46204</v>
      </c>
      <c r="G2390" s="24" t="str">
        <f aca="false">INDEX(Products!$C$2:$C$49,MATCH(C2390,Products!$A$2:$A$49,0))</f>
        <v>Snacks &amp; Confectionery</v>
      </c>
      <c r="H2390" s="33" t="n">
        <f aca="false">D2390*INDEX(Products!$E$2:$E$49,MATCH(C2390,Products!$A$2:$A$49,0))</f>
        <v>7770</v>
      </c>
      <c r="I2390" s="33" t="n">
        <f aca="false">D2390*INDEX(Products!$D$2:$D$49,MATCH(C2390,Products!$A$2:$A$49,0))*(1+INDEX(Assumptions!$B$16:$B$20,MATCH(B2390,Assumptions!$A$16:$A$20,0)))</f>
        <v>5258.736</v>
      </c>
      <c r="J2390" s="33" t="n">
        <f aca="false">H2390-I2390</f>
        <v>2511.264</v>
      </c>
      <c r="K2390" s="33" t="n">
        <f aca="false">IF(OR(E2390=0,E2390&gt;=7),0,D2390/(7-E2390)*E2390*INDEX(Products!$E$2:$E$49,MATCH(C2390,Products!$A$2:$A$49,0)))</f>
        <v>0</v>
      </c>
    </row>
    <row r="2391" customFormat="false" ht="15" hidden="false" customHeight="false" outlineLevel="0" collapsed="false">
      <c r="A2391" s="36" t="n">
        <v>46216</v>
      </c>
      <c r="B2391" s="24" t="s">
        <v>62</v>
      </c>
      <c r="C2391" s="24" t="s">
        <v>209</v>
      </c>
      <c r="D2391" s="33" t="n">
        <v>123</v>
      </c>
      <c r="E2391" s="24" t="n">
        <v>0</v>
      </c>
      <c r="F2391" s="37" t="n">
        <f aca="false">DATE(YEAR(A2391),MONTH(A2391),1)</f>
        <v>46204</v>
      </c>
      <c r="G2391" s="24" t="str">
        <f aca="false">INDEX(Products!$C$2:$C$49,MATCH(C2391,Products!$A$2:$A$49,0))</f>
        <v>Snacks &amp; Confectionery</v>
      </c>
      <c r="H2391" s="33" t="n">
        <f aca="false">D2391*INDEX(Products!$E$2:$E$49,MATCH(C2391,Products!$A$2:$A$49,0))</f>
        <v>8610</v>
      </c>
      <c r="I2391" s="33" t="n">
        <f aca="false">D2391*INDEX(Products!$D$2:$D$49,MATCH(C2391,Products!$A$2:$A$49,0))*(1+INDEX(Assumptions!$B$16:$B$20,MATCH(B2391,Assumptions!$A$16:$A$20,0)))</f>
        <v>5827.248</v>
      </c>
      <c r="J2391" s="33" t="n">
        <f aca="false">H2391-I2391</f>
        <v>2782.752</v>
      </c>
      <c r="K2391" s="33" t="n">
        <f aca="false">IF(OR(E2391=0,E2391&gt;=7),0,D2391/(7-E2391)*E2391*INDEX(Products!$E$2:$E$49,MATCH(C2391,Products!$A$2:$A$49,0)))</f>
        <v>0</v>
      </c>
    </row>
    <row r="2392" customFormat="false" ht="15" hidden="false" customHeight="false" outlineLevel="0" collapsed="false">
      <c r="A2392" s="36" t="n">
        <v>46223</v>
      </c>
      <c r="B2392" s="24" t="s">
        <v>62</v>
      </c>
      <c r="C2392" s="24" t="s">
        <v>209</v>
      </c>
      <c r="D2392" s="33" t="n">
        <v>104</v>
      </c>
      <c r="E2392" s="24" t="n">
        <v>0</v>
      </c>
      <c r="F2392" s="37" t="n">
        <f aca="false">DATE(YEAR(A2392),MONTH(A2392),1)</f>
        <v>46204</v>
      </c>
      <c r="G2392" s="24" t="str">
        <f aca="false">INDEX(Products!$C$2:$C$49,MATCH(C2392,Products!$A$2:$A$49,0))</f>
        <v>Snacks &amp; Confectionery</v>
      </c>
      <c r="H2392" s="33" t="n">
        <f aca="false">D2392*INDEX(Products!$E$2:$E$49,MATCH(C2392,Products!$A$2:$A$49,0))</f>
        <v>7280</v>
      </c>
      <c r="I2392" s="33" t="n">
        <f aca="false">D2392*INDEX(Products!$D$2:$D$49,MATCH(C2392,Products!$A$2:$A$49,0))*(1+INDEX(Assumptions!$B$16:$B$20,MATCH(B2392,Assumptions!$A$16:$A$20,0)))</f>
        <v>4927.104</v>
      </c>
      <c r="J2392" s="33" t="n">
        <f aca="false">H2392-I2392</f>
        <v>2352.896</v>
      </c>
      <c r="K2392" s="33" t="n">
        <f aca="false">IF(OR(E2392=0,E2392&gt;=7),0,D2392/(7-E2392)*E2392*INDEX(Products!$E$2:$E$49,MATCH(C2392,Products!$A$2:$A$49,0)))</f>
        <v>0</v>
      </c>
    </row>
    <row r="2393" customFormat="false" ht="15" hidden="false" customHeight="false" outlineLevel="0" collapsed="false">
      <c r="A2393" s="36" t="n">
        <v>46230</v>
      </c>
      <c r="B2393" s="24" t="s">
        <v>62</v>
      </c>
      <c r="C2393" s="24" t="s">
        <v>209</v>
      </c>
      <c r="D2393" s="33" t="n">
        <v>114</v>
      </c>
      <c r="E2393" s="24" t="n">
        <v>0</v>
      </c>
      <c r="F2393" s="37" t="n">
        <f aca="false">DATE(YEAR(A2393),MONTH(A2393),1)</f>
        <v>46204</v>
      </c>
      <c r="G2393" s="24" t="str">
        <f aca="false">INDEX(Products!$C$2:$C$49,MATCH(C2393,Products!$A$2:$A$49,0))</f>
        <v>Snacks &amp; Confectionery</v>
      </c>
      <c r="H2393" s="33" t="n">
        <f aca="false">D2393*INDEX(Products!$E$2:$E$49,MATCH(C2393,Products!$A$2:$A$49,0))</f>
        <v>7980</v>
      </c>
      <c r="I2393" s="33" t="n">
        <f aca="false">D2393*INDEX(Products!$D$2:$D$49,MATCH(C2393,Products!$A$2:$A$49,0))*(1+INDEX(Assumptions!$B$16:$B$20,MATCH(B2393,Assumptions!$A$16:$A$20,0)))</f>
        <v>5400.864</v>
      </c>
      <c r="J2393" s="33" t="n">
        <f aca="false">H2393-I2393</f>
        <v>2579.136</v>
      </c>
      <c r="K2393" s="33" t="n">
        <f aca="false">IF(OR(E2393=0,E2393&gt;=7),0,D2393/(7-E2393)*E2393*INDEX(Products!$E$2:$E$49,MATCH(C2393,Products!$A$2:$A$49,0)))</f>
        <v>0</v>
      </c>
    </row>
    <row r="2394" customFormat="false" ht="15" hidden="false" customHeight="false" outlineLevel="0" collapsed="false">
      <c r="A2394" s="36" t="n">
        <v>46237</v>
      </c>
      <c r="B2394" s="24" t="s">
        <v>62</v>
      </c>
      <c r="C2394" s="24" t="s">
        <v>209</v>
      </c>
      <c r="D2394" s="33" t="n">
        <v>92</v>
      </c>
      <c r="E2394" s="24" t="n">
        <v>0</v>
      </c>
      <c r="F2394" s="37" t="n">
        <f aca="false">DATE(YEAR(A2394),MONTH(A2394),1)</f>
        <v>46235</v>
      </c>
      <c r="G2394" s="24" t="str">
        <f aca="false">INDEX(Products!$C$2:$C$49,MATCH(C2394,Products!$A$2:$A$49,0))</f>
        <v>Snacks &amp; Confectionery</v>
      </c>
      <c r="H2394" s="33" t="n">
        <f aca="false">D2394*INDEX(Products!$E$2:$E$49,MATCH(C2394,Products!$A$2:$A$49,0))</f>
        <v>6440</v>
      </c>
      <c r="I2394" s="33" t="n">
        <f aca="false">D2394*INDEX(Products!$D$2:$D$49,MATCH(C2394,Products!$A$2:$A$49,0))*(1+INDEX(Assumptions!$B$16:$B$20,MATCH(B2394,Assumptions!$A$16:$A$20,0)))</f>
        <v>4358.592</v>
      </c>
      <c r="J2394" s="33" t="n">
        <f aca="false">H2394-I2394</f>
        <v>2081.408</v>
      </c>
      <c r="K2394" s="33" t="n">
        <f aca="false">IF(OR(E2394=0,E2394&gt;=7),0,D2394/(7-E2394)*E2394*INDEX(Products!$E$2:$E$49,MATCH(C2394,Products!$A$2:$A$49,0)))</f>
        <v>0</v>
      </c>
    </row>
    <row r="2395" customFormat="false" ht="15" hidden="false" customHeight="false" outlineLevel="0" collapsed="false">
      <c r="A2395" s="36" t="n">
        <v>46244</v>
      </c>
      <c r="B2395" s="24" t="s">
        <v>62</v>
      </c>
      <c r="C2395" s="24" t="s">
        <v>209</v>
      </c>
      <c r="D2395" s="33" t="n">
        <v>95</v>
      </c>
      <c r="E2395" s="24" t="n">
        <v>0</v>
      </c>
      <c r="F2395" s="37" t="n">
        <f aca="false">DATE(YEAR(A2395),MONTH(A2395),1)</f>
        <v>46235</v>
      </c>
      <c r="G2395" s="24" t="str">
        <f aca="false">INDEX(Products!$C$2:$C$49,MATCH(C2395,Products!$A$2:$A$49,0))</f>
        <v>Snacks &amp; Confectionery</v>
      </c>
      <c r="H2395" s="33" t="n">
        <f aca="false">D2395*INDEX(Products!$E$2:$E$49,MATCH(C2395,Products!$A$2:$A$49,0))</f>
        <v>6650</v>
      </c>
      <c r="I2395" s="33" t="n">
        <f aca="false">D2395*INDEX(Products!$D$2:$D$49,MATCH(C2395,Products!$A$2:$A$49,0))*(1+INDEX(Assumptions!$B$16:$B$20,MATCH(B2395,Assumptions!$A$16:$A$20,0)))</f>
        <v>4500.72</v>
      </c>
      <c r="J2395" s="33" t="n">
        <f aca="false">H2395-I2395</f>
        <v>2149.28</v>
      </c>
      <c r="K2395" s="33" t="n">
        <f aca="false">IF(OR(E2395=0,E2395&gt;=7),0,D2395/(7-E2395)*E2395*INDEX(Products!$E$2:$E$49,MATCH(C2395,Products!$A$2:$A$49,0)))</f>
        <v>0</v>
      </c>
    </row>
    <row r="2396" customFormat="false" ht="15" hidden="false" customHeight="false" outlineLevel="0" collapsed="false">
      <c r="A2396" s="36" t="n">
        <v>46251</v>
      </c>
      <c r="B2396" s="24" t="s">
        <v>62</v>
      </c>
      <c r="C2396" s="24" t="s">
        <v>209</v>
      </c>
      <c r="D2396" s="33" t="n">
        <v>120</v>
      </c>
      <c r="E2396" s="24" t="n">
        <v>0</v>
      </c>
      <c r="F2396" s="37" t="n">
        <f aca="false">DATE(YEAR(A2396),MONTH(A2396),1)</f>
        <v>46235</v>
      </c>
      <c r="G2396" s="24" t="str">
        <f aca="false">INDEX(Products!$C$2:$C$49,MATCH(C2396,Products!$A$2:$A$49,0))</f>
        <v>Snacks &amp; Confectionery</v>
      </c>
      <c r="H2396" s="33" t="n">
        <f aca="false">D2396*INDEX(Products!$E$2:$E$49,MATCH(C2396,Products!$A$2:$A$49,0))</f>
        <v>8400</v>
      </c>
      <c r="I2396" s="33" t="n">
        <f aca="false">D2396*INDEX(Products!$D$2:$D$49,MATCH(C2396,Products!$A$2:$A$49,0))*(1+INDEX(Assumptions!$B$16:$B$20,MATCH(B2396,Assumptions!$A$16:$A$20,0)))</f>
        <v>5685.12</v>
      </c>
      <c r="J2396" s="33" t="n">
        <f aca="false">H2396-I2396</f>
        <v>2714.88</v>
      </c>
      <c r="K2396" s="33" t="n">
        <f aca="false">IF(OR(E2396=0,E2396&gt;=7),0,D2396/(7-E2396)*E2396*INDEX(Products!$E$2:$E$49,MATCH(C2396,Products!$A$2:$A$49,0)))</f>
        <v>0</v>
      </c>
    </row>
    <row r="2397" customFormat="false" ht="15" hidden="false" customHeight="false" outlineLevel="0" collapsed="false">
      <c r="A2397" s="36" t="n">
        <v>46258</v>
      </c>
      <c r="B2397" s="24" t="s">
        <v>62</v>
      </c>
      <c r="C2397" s="24" t="s">
        <v>209</v>
      </c>
      <c r="D2397" s="33" t="n">
        <v>121</v>
      </c>
      <c r="E2397" s="24" t="n">
        <v>0</v>
      </c>
      <c r="F2397" s="37" t="n">
        <f aca="false">DATE(YEAR(A2397),MONTH(A2397),1)</f>
        <v>46235</v>
      </c>
      <c r="G2397" s="24" t="str">
        <f aca="false">INDEX(Products!$C$2:$C$49,MATCH(C2397,Products!$A$2:$A$49,0))</f>
        <v>Snacks &amp; Confectionery</v>
      </c>
      <c r="H2397" s="33" t="n">
        <f aca="false">D2397*INDEX(Products!$E$2:$E$49,MATCH(C2397,Products!$A$2:$A$49,0))</f>
        <v>8470</v>
      </c>
      <c r="I2397" s="33" t="n">
        <f aca="false">D2397*INDEX(Products!$D$2:$D$49,MATCH(C2397,Products!$A$2:$A$49,0))*(1+INDEX(Assumptions!$B$16:$B$20,MATCH(B2397,Assumptions!$A$16:$A$20,0)))</f>
        <v>5732.496</v>
      </c>
      <c r="J2397" s="33" t="n">
        <f aca="false">H2397-I2397</f>
        <v>2737.504</v>
      </c>
      <c r="K2397" s="33" t="n">
        <f aca="false">IF(OR(E2397=0,E2397&gt;=7),0,D2397/(7-E2397)*E2397*INDEX(Products!$E$2:$E$49,MATCH(C2397,Products!$A$2:$A$49,0)))</f>
        <v>0</v>
      </c>
    </row>
    <row r="2398" customFormat="false" ht="15" hidden="false" customHeight="false" outlineLevel="0" collapsed="false">
      <c r="A2398" s="36" t="n">
        <v>46265</v>
      </c>
      <c r="B2398" s="24" t="s">
        <v>62</v>
      </c>
      <c r="C2398" s="24" t="s">
        <v>209</v>
      </c>
      <c r="D2398" s="33" t="n">
        <v>124</v>
      </c>
      <c r="E2398" s="24" t="n">
        <v>0</v>
      </c>
      <c r="F2398" s="37" t="n">
        <f aca="false">DATE(YEAR(A2398),MONTH(A2398),1)</f>
        <v>46235</v>
      </c>
      <c r="G2398" s="24" t="str">
        <f aca="false">INDEX(Products!$C$2:$C$49,MATCH(C2398,Products!$A$2:$A$49,0))</f>
        <v>Snacks &amp; Confectionery</v>
      </c>
      <c r="H2398" s="33" t="n">
        <f aca="false">D2398*INDEX(Products!$E$2:$E$49,MATCH(C2398,Products!$A$2:$A$49,0))</f>
        <v>8680</v>
      </c>
      <c r="I2398" s="33" t="n">
        <f aca="false">D2398*INDEX(Products!$D$2:$D$49,MATCH(C2398,Products!$A$2:$A$49,0))*(1+INDEX(Assumptions!$B$16:$B$20,MATCH(B2398,Assumptions!$A$16:$A$20,0)))</f>
        <v>5874.624</v>
      </c>
      <c r="J2398" s="33" t="n">
        <f aca="false">H2398-I2398</f>
        <v>2805.376</v>
      </c>
      <c r="K2398" s="33" t="n">
        <f aca="false">IF(OR(E2398=0,E2398&gt;=7),0,D2398/(7-E2398)*E2398*INDEX(Products!$E$2:$E$49,MATCH(C2398,Products!$A$2:$A$49,0)))</f>
        <v>0</v>
      </c>
    </row>
    <row r="2399" customFormat="false" ht="15" hidden="false" customHeight="false" outlineLevel="0" collapsed="false">
      <c r="A2399" s="36" t="n">
        <v>46272</v>
      </c>
      <c r="B2399" s="24" t="s">
        <v>62</v>
      </c>
      <c r="C2399" s="24" t="s">
        <v>209</v>
      </c>
      <c r="D2399" s="33" t="n">
        <v>145</v>
      </c>
      <c r="E2399" s="24" t="n">
        <v>0</v>
      </c>
      <c r="F2399" s="37" t="n">
        <f aca="false">DATE(YEAR(A2399),MONTH(A2399),1)</f>
        <v>46266</v>
      </c>
      <c r="G2399" s="24" t="str">
        <f aca="false">INDEX(Products!$C$2:$C$49,MATCH(C2399,Products!$A$2:$A$49,0))</f>
        <v>Snacks &amp; Confectionery</v>
      </c>
      <c r="H2399" s="33" t="n">
        <f aca="false">D2399*INDEX(Products!$E$2:$E$49,MATCH(C2399,Products!$A$2:$A$49,0))</f>
        <v>10150</v>
      </c>
      <c r="I2399" s="33" t="n">
        <f aca="false">D2399*INDEX(Products!$D$2:$D$49,MATCH(C2399,Products!$A$2:$A$49,0))*(1+INDEX(Assumptions!$B$16:$B$20,MATCH(B2399,Assumptions!$A$16:$A$20,0)))</f>
        <v>6869.52</v>
      </c>
      <c r="J2399" s="33" t="n">
        <f aca="false">H2399-I2399</f>
        <v>3280.48</v>
      </c>
      <c r="K2399" s="33" t="n">
        <f aca="false">IF(OR(E2399=0,E2399&gt;=7),0,D2399/(7-E2399)*E2399*INDEX(Products!$E$2:$E$49,MATCH(C2399,Products!$A$2:$A$49,0)))</f>
        <v>0</v>
      </c>
    </row>
    <row r="2400" customFormat="false" ht="15" hidden="false" customHeight="false" outlineLevel="0" collapsed="false">
      <c r="A2400" s="36" t="n">
        <v>46279</v>
      </c>
      <c r="B2400" s="24" t="s">
        <v>62</v>
      </c>
      <c r="C2400" s="24" t="s">
        <v>209</v>
      </c>
      <c r="D2400" s="33" t="n">
        <v>132</v>
      </c>
      <c r="E2400" s="24" t="n">
        <v>0</v>
      </c>
      <c r="F2400" s="37" t="n">
        <f aca="false">DATE(YEAR(A2400),MONTH(A2400),1)</f>
        <v>46266</v>
      </c>
      <c r="G2400" s="24" t="str">
        <f aca="false">INDEX(Products!$C$2:$C$49,MATCH(C2400,Products!$A$2:$A$49,0))</f>
        <v>Snacks &amp; Confectionery</v>
      </c>
      <c r="H2400" s="33" t="n">
        <f aca="false">D2400*INDEX(Products!$E$2:$E$49,MATCH(C2400,Products!$A$2:$A$49,0))</f>
        <v>9240</v>
      </c>
      <c r="I2400" s="33" t="n">
        <f aca="false">D2400*INDEX(Products!$D$2:$D$49,MATCH(C2400,Products!$A$2:$A$49,0))*(1+INDEX(Assumptions!$B$16:$B$20,MATCH(B2400,Assumptions!$A$16:$A$20,0)))</f>
        <v>6253.632</v>
      </c>
      <c r="J2400" s="33" t="n">
        <f aca="false">H2400-I2400</f>
        <v>2986.368</v>
      </c>
      <c r="K2400" s="33" t="n">
        <f aca="false">IF(OR(E2400=0,E2400&gt;=7),0,D2400/(7-E2400)*E2400*INDEX(Products!$E$2:$E$49,MATCH(C2400,Products!$A$2:$A$49,0)))</f>
        <v>0</v>
      </c>
    </row>
    <row r="2401" customFormat="false" ht="15" hidden="false" customHeight="false" outlineLevel="0" collapsed="false">
      <c r="A2401" s="36" t="n">
        <v>46286</v>
      </c>
      <c r="B2401" s="24" t="s">
        <v>62</v>
      </c>
      <c r="C2401" s="24" t="s">
        <v>209</v>
      </c>
      <c r="D2401" s="33" t="n">
        <v>127</v>
      </c>
      <c r="E2401" s="24" t="n">
        <v>0</v>
      </c>
      <c r="F2401" s="37" t="n">
        <f aca="false">DATE(YEAR(A2401),MONTH(A2401),1)</f>
        <v>46266</v>
      </c>
      <c r="G2401" s="24" t="str">
        <f aca="false">INDEX(Products!$C$2:$C$49,MATCH(C2401,Products!$A$2:$A$49,0))</f>
        <v>Snacks &amp; Confectionery</v>
      </c>
      <c r="H2401" s="33" t="n">
        <f aca="false">D2401*INDEX(Products!$E$2:$E$49,MATCH(C2401,Products!$A$2:$A$49,0))</f>
        <v>8890</v>
      </c>
      <c r="I2401" s="33" t="n">
        <f aca="false">D2401*INDEX(Products!$D$2:$D$49,MATCH(C2401,Products!$A$2:$A$49,0))*(1+INDEX(Assumptions!$B$16:$B$20,MATCH(B2401,Assumptions!$A$16:$A$20,0)))</f>
        <v>6016.752</v>
      </c>
      <c r="J2401" s="33" t="n">
        <f aca="false">H2401-I2401</f>
        <v>2873.248</v>
      </c>
      <c r="K2401" s="33" t="n">
        <f aca="false">IF(OR(E2401=0,E2401&gt;=7),0,D2401/(7-E2401)*E2401*INDEX(Products!$E$2:$E$49,MATCH(C2401,Products!$A$2:$A$49,0)))</f>
        <v>0</v>
      </c>
    </row>
    <row r="2402" customFormat="false" ht="15" hidden="false" customHeight="false" outlineLevel="0" collapsed="false">
      <c r="A2402" s="36" t="n">
        <v>46118</v>
      </c>
      <c r="B2402" s="24" t="s">
        <v>63</v>
      </c>
      <c r="C2402" s="24" t="s">
        <v>115</v>
      </c>
      <c r="D2402" s="33" t="n">
        <v>154</v>
      </c>
      <c r="E2402" s="24" t="n">
        <v>0</v>
      </c>
      <c r="F2402" s="37" t="n">
        <f aca="false">DATE(YEAR(A2402),MONTH(A2402),1)</f>
        <v>46113</v>
      </c>
      <c r="G2402" s="24" t="str">
        <f aca="false">INDEX(Products!$C$2:$C$49,MATCH(C2402,Products!$A$2:$A$49,0))</f>
        <v>Grocery Staples</v>
      </c>
      <c r="H2402" s="33" t="n">
        <f aca="false">D2402*INDEX(Products!$E$2:$E$49,MATCH(C2402,Products!$A$2:$A$49,0))</f>
        <v>25410</v>
      </c>
      <c r="I2402" s="33" t="n">
        <f aca="false">D2402*INDEX(Products!$D$2:$D$49,MATCH(C2402,Products!$A$2:$A$49,0))*(1+INDEX(Assumptions!$B$16:$B$20,MATCH(B2402,Assumptions!$A$16:$A$20,0)))</f>
        <v>22530.816</v>
      </c>
      <c r="J2402" s="33" t="n">
        <f aca="false">H2402-I2402</f>
        <v>2879.184</v>
      </c>
      <c r="K2402" s="33" t="n">
        <f aca="false">IF(OR(E2402=0,E2402&gt;=7),0,D2402/(7-E2402)*E2402*INDEX(Products!$E$2:$E$49,MATCH(C2402,Products!$A$2:$A$49,0)))</f>
        <v>0</v>
      </c>
    </row>
    <row r="2403" customFormat="false" ht="15" hidden="false" customHeight="false" outlineLevel="0" collapsed="false">
      <c r="A2403" s="36" t="n">
        <v>46125</v>
      </c>
      <c r="B2403" s="24" t="s">
        <v>63</v>
      </c>
      <c r="C2403" s="24" t="s">
        <v>115</v>
      </c>
      <c r="D2403" s="33" t="n">
        <v>146</v>
      </c>
      <c r="E2403" s="24" t="n">
        <v>0</v>
      </c>
      <c r="F2403" s="37" t="n">
        <f aca="false">DATE(YEAR(A2403),MONTH(A2403),1)</f>
        <v>46113</v>
      </c>
      <c r="G2403" s="24" t="str">
        <f aca="false">INDEX(Products!$C$2:$C$49,MATCH(C2403,Products!$A$2:$A$49,0))</f>
        <v>Grocery Staples</v>
      </c>
      <c r="H2403" s="33" t="n">
        <f aca="false">D2403*INDEX(Products!$E$2:$E$49,MATCH(C2403,Products!$A$2:$A$49,0))</f>
        <v>24090</v>
      </c>
      <c r="I2403" s="33" t="n">
        <f aca="false">D2403*INDEX(Products!$D$2:$D$49,MATCH(C2403,Products!$A$2:$A$49,0))*(1+INDEX(Assumptions!$B$16:$B$20,MATCH(B2403,Assumptions!$A$16:$A$20,0)))</f>
        <v>21360.384</v>
      </c>
      <c r="J2403" s="33" t="n">
        <f aca="false">H2403-I2403</f>
        <v>2729.616</v>
      </c>
      <c r="K2403" s="33" t="n">
        <f aca="false">IF(OR(E2403=0,E2403&gt;=7),0,D2403/(7-E2403)*E2403*INDEX(Products!$E$2:$E$49,MATCH(C2403,Products!$A$2:$A$49,0)))</f>
        <v>0</v>
      </c>
    </row>
    <row r="2404" customFormat="false" ht="15" hidden="false" customHeight="false" outlineLevel="0" collapsed="false">
      <c r="A2404" s="36" t="n">
        <v>46132</v>
      </c>
      <c r="B2404" s="24" t="s">
        <v>63</v>
      </c>
      <c r="C2404" s="24" t="s">
        <v>115</v>
      </c>
      <c r="D2404" s="33" t="n">
        <v>164</v>
      </c>
      <c r="E2404" s="24" t="n">
        <v>0</v>
      </c>
      <c r="F2404" s="37" t="n">
        <f aca="false">DATE(YEAR(A2404),MONTH(A2404),1)</f>
        <v>46113</v>
      </c>
      <c r="G2404" s="24" t="str">
        <f aca="false">INDEX(Products!$C$2:$C$49,MATCH(C2404,Products!$A$2:$A$49,0))</f>
        <v>Grocery Staples</v>
      </c>
      <c r="H2404" s="33" t="n">
        <f aca="false">D2404*INDEX(Products!$E$2:$E$49,MATCH(C2404,Products!$A$2:$A$49,0))</f>
        <v>27060</v>
      </c>
      <c r="I2404" s="33" t="n">
        <f aca="false">D2404*INDEX(Products!$D$2:$D$49,MATCH(C2404,Products!$A$2:$A$49,0))*(1+INDEX(Assumptions!$B$16:$B$20,MATCH(B2404,Assumptions!$A$16:$A$20,0)))</f>
        <v>23993.856</v>
      </c>
      <c r="J2404" s="33" t="n">
        <f aca="false">H2404-I2404</f>
        <v>3066.144</v>
      </c>
      <c r="K2404" s="33" t="n">
        <f aca="false">IF(OR(E2404=0,E2404&gt;=7),0,D2404/(7-E2404)*E2404*INDEX(Products!$E$2:$E$49,MATCH(C2404,Products!$A$2:$A$49,0)))</f>
        <v>0</v>
      </c>
    </row>
    <row r="2405" customFormat="false" ht="15" hidden="false" customHeight="false" outlineLevel="0" collapsed="false">
      <c r="A2405" s="36" t="n">
        <v>46139</v>
      </c>
      <c r="B2405" s="24" t="s">
        <v>63</v>
      </c>
      <c r="C2405" s="24" t="s">
        <v>115</v>
      </c>
      <c r="D2405" s="33" t="n">
        <v>159</v>
      </c>
      <c r="E2405" s="24" t="n">
        <v>0</v>
      </c>
      <c r="F2405" s="37" t="n">
        <f aca="false">DATE(YEAR(A2405),MONTH(A2405),1)</f>
        <v>46113</v>
      </c>
      <c r="G2405" s="24" t="str">
        <f aca="false">INDEX(Products!$C$2:$C$49,MATCH(C2405,Products!$A$2:$A$49,0))</f>
        <v>Grocery Staples</v>
      </c>
      <c r="H2405" s="33" t="n">
        <f aca="false">D2405*INDEX(Products!$E$2:$E$49,MATCH(C2405,Products!$A$2:$A$49,0))</f>
        <v>26235</v>
      </c>
      <c r="I2405" s="33" t="n">
        <f aca="false">D2405*INDEX(Products!$D$2:$D$49,MATCH(C2405,Products!$A$2:$A$49,0))*(1+INDEX(Assumptions!$B$16:$B$20,MATCH(B2405,Assumptions!$A$16:$A$20,0)))</f>
        <v>23262.336</v>
      </c>
      <c r="J2405" s="33" t="n">
        <f aca="false">H2405-I2405</f>
        <v>2972.664</v>
      </c>
      <c r="K2405" s="33" t="n">
        <f aca="false">IF(OR(E2405=0,E2405&gt;=7),0,D2405/(7-E2405)*E2405*INDEX(Products!$E$2:$E$49,MATCH(C2405,Products!$A$2:$A$49,0)))</f>
        <v>0</v>
      </c>
    </row>
    <row r="2406" customFormat="false" ht="15" hidden="false" customHeight="false" outlineLevel="0" collapsed="false">
      <c r="A2406" s="36" t="n">
        <v>46146</v>
      </c>
      <c r="B2406" s="24" t="s">
        <v>63</v>
      </c>
      <c r="C2406" s="24" t="s">
        <v>115</v>
      </c>
      <c r="D2406" s="33" t="n">
        <v>150</v>
      </c>
      <c r="E2406" s="24" t="n">
        <v>0</v>
      </c>
      <c r="F2406" s="37" t="n">
        <f aca="false">DATE(YEAR(A2406),MONTH(A2406),1)</f>
        <v>46143</v>
      </c>
      <c r="G2406" s="24" t="str">
        <f aca="false">INDEX(Products!$C$2:$C$49,MATCH(C2406,Products!$A$2:$A$49,0))</f>
        <v>Grocery Staples</v>
      </c>
      <c r="H2406" s="33" t="n">
        <f aca="false">D2406*INDEX(Products!$E$2:$E$49,MATCH(C2406,Products!$A$2:$A$49,0))</f>
        <v>24750</v>
      </c>
      <c r="I2406" s="33" t="n">
        <f aca="false">D2406*INDEX(Products!$D$2:$D$49,MATCH(C2406,Products!$A$2:$A$49,0))*(1+INDEX(Assumptions!$B$16:$B$20,MATCH(B2406,Assumptions!$A$16:$A$20,0)))</f>
        <v>21945.6</v>
      </c>
      <c r="J2406" s="33" t="n">
        <f aca="false">H2406-I2406</f>
        <v>2804.4</v>
      </c>
      <c r="K2406" s="33" t="n">
        <f aca="false">IF(OR(E2406=0,E2406&gt;=7),0,D2406/(7-E2406)*E2406*INDEX(Products!$E$2:$E$49,MATCH(C2406,Products!$A$2:$A$49,0)))</f>
        <v>0</v>
      </c>
    </row>
    <row r="2407" customFormat="false" ht="15" hidden="false" customHeight="false" outlineLevel="0" collapsed="false">
      <c r="A2407" s="36" t="n">
        <v>46153</v>
      </c>
      <c r="B2407" s="24" t="s">
        <v>63</v>
      </c>
      <c r="C2407" s="24" t="s">
        <v>115</v>
      </c>
      <c r="D2407" s="33" t="n">
        <v>153</v>
      </c>
      <c r="E2407" s="24" t="n">
        <v>0</v>
      </c>
      <c r="F2407" s="37" t="n">
        <f aca="false">DATE(YEAR(A2407),MONTH(A2407),1)</f>
        <v>46143</v>
      </c>
      <c r="G2407" s="24" t="str">
        <f aca="false">INDEX(Products!$C$2:$C$49,MATCH(C2407,Products!$A$2:$A$49,0))</f>
        <v>Grocery Staples</v>
      </c>
      <c r="H2407" s="33" t="n">
        <f aca="false">D2407*INDEX(Products!$E$2:$E$49,MATCH(C2407,Products!$A$2:$A$49,0))</f>
        <v>25245</v>
      </c>
      <c r="I2407" s="33" t="n">
        <f aca="false">D2407*INDEX(Products!$D$2:$D$49,MATCH(C2407,Products!$A$2:$A$49,0))*(1+INDEX(Assumptions!$B$16:$B$20,MATCH(B2407,Assumptions!$A$16:$A$20,0)))</f>
        <v>22384.512</v>
      </c>
      <c r="J2407" s="33" t="n">
        <f aca="false">H2407-I2407</f>
        <v>2860.488</v>
      </c>
      <c r="K2407" s="33" t="n">
        <f aca="false">IF(OR(E2407=0,E2407&gt;=7),0,D2407/(7-E2407)*E2407*INDEX(Products!$E$2:$E$49,MATCH(C2407,Products!$A$2:$A$49,0)))</f>
        <v>0</v>
      </c>
    </row>
    <row r="2408" customFormat="false" ht="15" hidden="false" customHeight="false" outlineLevel="0" collapsed="false">
      <c r="A2408" s="36" t="n">
        <v>46160</v>
      </c>
      <c r="B2408" s="24" t="s">
        <v>63</v>
      </c>
      <c r="C2408" s="24" t="s">
        <v>115</v>
      </c>
      <c r="D2408" s="33" t="n">
        <v>144</v>
      </c>
      <c r="E2408" s="24" t="n">
        <v>0</v>
      </c>
      <c r="F2408" s="37" t="n">
        <f aca="false">DATE(YEAR(A2408),MONTH(A2408),1)</f>
        <v>46143</v>
      </c>
      <c r="G2408" s="24" t="str">
        <f aca="false">INDEX(Products!$C$2:$C$49,MATCH(C2408,Products!$A$2:$A$49,0))</f>
        <v>Grocery Staples</v>
      </c>
      <c r="H2408" s="33" t="n">
        <f aca="false">D2408*INDEX(Products!$E$2:$E$49,MATCH(C2408,Products!$A$2:$A$49,0))</f>
        <v>23760</v>
      </c>
      <c r="I2408" s="33" t="n">
        <f aca="false">D2408*INDEX(Products!$D$2:$D$49,MATCH(C2408,Products!$A$2:$A$49,0))*(1+INDEX(Assumptions!$B$16:$B$20,MATCH(B2408,Assumptions!$A$16:$A$20,0)))</f>
        <v>21067.776</v>
      </c>
      <c r="J2408" s="33" t="n">
        <f aca="false">H2408-I2408</f>
        <v>2692.224</v>
      </c>
      <c r="K2408" s="33" t="n">
        <f aca="false">IF(OR(E2408=0,E2408&gt;=7),0,D2408/(7-E2408)*E2408*INDEX(Products!$E$2:$E$49,MATCH(C2408,Products!$A$2:$A$49,0)))</f>
        <v>0</v>
      </c>
    </row>
    <row r="2409" customFormat="false" ht="15" hidden="false" customHeight="false" outlineLevel="0" collapsed="false">
      <c r="A2409" s="36" t="n">
        <v>46167</v>
      </c>
      <c r="B2409" s="24" t="s">
        <v>63</v>
      </c>
      <c r="C2409" s="24" t="s">
        <v>115</v>
      </c>
      <c r="D2409" s="33" t="n">
        <v>161</v>
      </c>
      <c r="E2409" s="24" t="n">
        <v>0</v>
      </c>
      <c r="F2409" s="37" t="n">
        <f aca="false">DATE(YEAR(A2409),MONTH(A2409),1)</f>
        <v>46143</v>
      </c>
      <c r="G2409" s="24" t="str">
        <f aca="false">INDEX(Products!$C$2:$C$49,MATCH(C2409,Products!$A$2:$A$49,0))</f>
        <v>Grocery Staples</v>
      </c>
      <c r="H2409" s="33" t="n">
        <f aca="false">D2409*INDEX(Products!$E$2:$E$49,MATCH(C2409,Products!$A$2:$A$49,0))</f>
        <v>26565</v>
      </c>
      <c r="I2409" s="33" t="n">
        <f aca="false">D2409*INDEX(Products!$D$2:$D$49,MATCH(C2409,Products!$A$2:$A$49,0))*(1+INDEX(Assumptions!$B$16:$B$20,MATCH(B2409,Assumptions!$A$16:$A$20,0)))</f>
        <v>23554.944</v>
      </c>
      <c r="J2409" s="33" t="n">
        <f aca="false">H2409-I2409</f>
        <v>3010.056</v>
      </c>
      <c r="K2409" s="33" t="n">
        <f aca="false">IF(OR(E2409=0,E2409&gt;=7),0,D2409/(7-E2409)*E2409*INDEX(Products!$E$2:$E$49,MATCH(C2409,Products!$A$2:$A$49,0)))</f>
        <v>0</v>
      </c>
    </row>
    <row r="2410" customFormat="false" ht="15" hidden="false" customHeight="false" outlineLevel="0" collapsed="false">
      <c r="A2410" s="36" t="n">
        <v>46174</v>
      </c>
      <c r="B2410" s="24" t="s">
        <v>63</v>
      </c>
      <c r="C2410" s="24" t="s">
        <v>115</v>
      </c>
      <c r="D2410" s="33" t="n">
        <v>158</v>
      </c>
      <c r="E2410" s="24" t="n">
        <v>0</v>
      </c>
      <c r="F2410" s="37" t="n">
        <f aca="false">DATE(YEAR(A2410),MONTH(A2410),1)</f>
        <v>46174</v>
      </c>
      <c r="G2410" s="24" t="str">
        <f aca="false">INDEX(Products!$C$2:$C$49,MATCH(C2410,Products!$A$2:$A$49,0))</f>
        <v>Grocery Staples</v>
      </c>
      <c r="H2410" s="33" t="n">
        <f aca="false">D2410*INDEX(Products!$E$2:$E$49,MATCH(C2410,Products!$A$2:$A$49,0))</f>
        <v>26070</v>
      </c>
      <c r="I2410" s="33" t="n">
        <f aca="false">D2410*INDEX(Products!$D$2:$D$49,MATCH(C2410,Products!$A$2:$A$49,0))*(1+INDEX(Assumptions!$B$16:$B$20,MATCH(B2410,Assumptions!$A$16:$A$20,0)))</f>
        <v>23116.032</v>
      </c>
      <c r="J2410" s="33" t="n">
        <f aca="false">H2410-I2410</f>
        <v>2953.968</v>
      </c>
      <c r="K2410" s="33" t="n">
        <f aca="false">IF(OR(E2410=0,E2410&gt;=7),0,D2410/(7-E2410)*E2410*INDEX(Products!$E$2:$E$49,MATCH(C2410,Products!$A$2:$A$49,0)))</f>
        <v>0</v>
      </c>
    </row>
    <row r="2411" customFormat="false" ht="15" hidden="false" customHeight="false" outlineLevel="0" collapsed="false">
      <c r="A2411" s="36" t="n">
        <v>46181</v>
      </c>
      <c r="B2411" s="24" t="s">
        <v>63</v>
      </c>
      <c r="C2411" s="24" t="s">
        <v>115</v>
      </c>
      <c r="D2411" s="33" t="n">
        <v>143</v>
      </c>
      <c r="E2411" s="24" t="n">
        <v>0</v>
      </c>
      <c r="F2411" s="37" t="n">
        <f aca="false">DATE(YEAR(A2411),MONTH(A2411),1)</f>
        <v>46174</v>
      </c>
      <c r="G2411" s="24" t="str">
        <f aca="false">INDEX(Products!$C$2:$C$49,MATCH(C2411,Products!$A$2:$A$49,0))</f>
        <v>Grocery Staples</v>
      </c>
      <c r="H2411" s="33" t="n">
        <f aca="false">D2411*INDEX(Products!$E$2:$E$49,MATCH(C2411,Products!$A$2:$A$49,0))</f>
        <v>23595</v>
      </c>
      <c r="I2411" s="33" t="n">
        <f aca="false">D2411*INDEX(Products!$D$2:$D$49,MATCH(C2411,Products!$A$2:$A$49,0))*(1+INDEX(Assumptions!$B$16:$B$20,MATCH(B2411,Assumptions!$A$16:$A$20,0)))</f>
        <v>20921.472</v>
      </c>
      <c r="J2411" s="33" t="n">
        <f aca="false">H2411-I2411</f>
        <v>2673.528</v>
      </c>
      <c r="K2411" s="33" t="n">
        <f aca="false">IF(OR(E2411=0,E2411&gt;=7),0,D2411/(7-E2411)*E2411*INDEX(Products!$E$2:$E$49,MATCH(C2411,Products!$A$2:$A$49,0)))</f>
        <v>0</v>
      </c>
    </row>
    <row r="2412" customFormat="false" ht="15" hidden="false" customHeight="false" outlineLevel="0" collapsed="false">
      <c r="A2412" s="36" t="n">
        <v>46188</v>
      </c>
      <c r="B2412" s="24" t="s">
        <v>63</v>
      </c>
      <c r="C2412" s="24" t="s">
        <v>115</v>
      </c>
      <c r="D2412" s="33" t="n">
        <v>162</v>
      </c>
      <c r="E2412" s="24" t="n">
        <v>0</v>
      </c>
      <c r="F2412" s="37" t="n">
        <f aca="false">DATE(YEAR(A2412),MONTH(A2412),1)</f>
        <v>46174</v>
      </c>
      <c r="G2412" s="24" t="str">
        <f aca="false">INDEX(Products!$C$2:$C$49,MATCH(C2412,Products!$A$2:$A$49,0))</f>
        <v>Grocery Staples</v>
      </c>
      <c r="H2412" s="33" t="n">
        <f aca="false">D2412*INDEX(Products!$E$2:$E$49,MATCH(C2412,Products!$A$2:$A$49,0))</f>
        <v>26730</v>
      </c>
      <c r="I2412" s="33" t="n">
        <f aca="false">D2412*INDEX(Products!$D$2:$D$49,MATCH(C2412,Products!$A$2:$A$49,0))*(1+INDEX(Assumptions!$B$16:$B$20,MATCH(B2412,Assumptions!$A$16:$A$20,0)))</f>
        <v>23701.248</v>
      </c>
      <c r="J2412" s="33" t="n">
        <f aca="false">H2412-I2412</f>
        <v>3028.752</v>
      </c>
      <c r="K2412" s="33" t="n">
        <f aca="false">IF(OR(E2412=0,E2412&gt;=7),0,D2412/(7-E2412)*E2412*INDEX(Products!$E$2:$E$49,MATCH(C2412,Products!$A$2:$A$49,0)))</f>
        <v>0</v>
      </c>
    </row>
    <row r="2413" customFormat="false" ht="15" hidden="false" customHeight="false" outlineLevel="0" collapsed="false">
      <c r="A2413" s="36" t="n">
        <v>46195</v>
      </c>
      <c r="B2413" s="24" t="s">
        <v>63</v>
      </c>
      <c r="C2413" s="24" t="s">
        <v>115</v>
      </c>
      <c r="D2413" s="33" t="n">
        <v>145</v>
      </c>
      <c r="E2413" s="24" t="n">
        <v>0</v>
      </c>
      <c r="F2413" s="37" t="n">
        <f aca="false">DATE(YEAR(A2413),MONTH(A2413),1)</f>
        <v>46174</v>
      </c>
      <c r="G2413" s="24" t="str">
        <f aca="false">INDEX(Products!$C$2:$C$49,MATCH(C2413,Products!$A$2:$A$49,0))</f>
        <v>Grocery Staples</v>
      </c>
      <c r="H2413" s="33" t="n">
        <f aca="false">D2413*INDEX(Products!$E$2:$E$49,MATCH(C2413,Products!$A$2:$A$49,0))</f>
        <v>23925</v>
      </c>
      <c r="I2413" s="33" t="n">
        <f aca="false">D2413*INDEX(Products!$D$2:$D$49,MATCH(C2413,Products!$A$2:$A$49,0))*(1+INDEX(Assumptions!$B$16:$B$20,MATCH(B2413,Assumptions!$A$16:$A$20,0)))</f>
        <v>21214.08</v>
      </c>
      <c r="J2413" s="33" t="n">
        <f aca="false">H2413-I2413</f>
        <v>2710.92</v>
      </c>
      <c r="K2413" s="33" t="n">
        <f aca="false">IF(OR(E2413=0,E2413&gt;=7),0,D2413/(7-E2413)*E2413*INDEX(Products!$E$2:$E$49,MATCH(C2413,Products!$A$2:$A$49,0)))</f>
        <v>0</v>
      </c>
    </row>
    <row r="2414" customFormat="false" ht="15" hidden="false" customHeight="false" outlineLevel="0" collapsed="false">
      <c r="A2414" s="36" t="n">
        <v>46202</v>
      </c>
      <c r="B2414" s="24" t="s">
        <v>63</v>
      </c>
      <c r="C2414" s="24" t="s">
        <v>115</v>
      </c>
      <c r="D2414" s="33" t="n">
        <v>165</v>
      </c>
      <c r="E2414" s="24" t="n">
        <v>0</v>
      </c>
      <c r="F2414" s="37" t="n">
        <f aca="false">DATE(YEAR(A2414),MONTH(A2414),1)</f>
        <v>46174</v>
      </c>
      <c r="G2414" s="24" t="str">
        <f aca="false">INDEX(Products!$C$2:$C$49,MATCH(C2414,Products!$A$2:$A$49,0))</f>
        <v>Grocery Staples</v>
      </c>
      <c r="H2414" s="33" t="n">
        <f aca="false">D2414*INDEX(Products!$E$2:$E$49,MATCH(C2414,Products!$A$2:$A$49,0))</f>
        <v>27225</v>
      </c>
      <c r="I2414" s="33" t="n">
        <f aca="false">D2414*INDEX(Products!$D$2:$D$49,MATCH(C2414,Products!$A$2:$A$49,0))*(1+INDEX(Assumptions!$B$16:$B$20,MATCH(B2414,Assumptions!$A$16:$A$20,0)))</f>
        <v>24140.16</v>
      </c>
      <c r="J2414" s="33" t="n">
        <f aca="false">H2414-I2414</f>
        <v>3084.84</v>
      </c>
      <c r="K2414" s="33" t="n">
        <f aca="false">IF(OR(E2414=0,E2414&gt;=7),0,D2414/(7-E2414)*E2414*INDEX(Products!$E$2:$E$49,MATCH(C2414,Products!$A$2:$A$49,0)))</f>
        <v>0</v>
      </c>
    </row>
    <row r="2415" customFormat="false" ht="15" hidden="false" customHeight="false" outlineLevel="0" collapsed="false">
      <c r="A2415" s="36" t="n">
        <v>46209</v>
      </c>
      <c r="B2415" s="24" t="s">
        <v>63</v>
      </c>
      <c r="C2415" s="24" t="s">
        <v>115</v>
      </c>
      <c r="D2415" s="33" t="n">
        <v>132</v>
      </c>
      <c r="E2415" s="24" t="n">
        <v>0</v>
      </c>
      <c r="F2415" s="37" t="n">
        <f aca="false">DATE(YEAR(A2415),MONTH(A2415),1)</f>
        <v>46204</v>
      </c>
      <c r="G2415" s="24" t="str">
        <f aca="false">INDEX(Products!$C$2:$C$49,MATCH(C2415,Products!$A$2:$A$49,0))</f>
        <v>Grocery Staples</v>
      </c>
      <c r="H2415" s="33" t="n">
        <f aca="false">D2415*INDEX(Products!$E$2:$E$49,MATCH(C2415,Products!$A$2:$A$49,0))</f>
        <v>21780</v>
      </c>
      <c r="I2415" s="33" t="n">
        <f aca="false">D2415*INDEX(Products!$D$2:$D$49,MATCH(C2415,Products!$A$2:$A$49,0))*(1+INDEX(Assumptions!$B$16:$B$20,MATCH(B2415,Assumptions!$A$16:$A$20,0)))</f>
        <v>19312.128</v>
      </c>
      <c r="J2415" s="33" t="n">
        <f aca="false">H2415-I2415</f>
        <v>2467.872</v>
      </c>
      <c r="K2415" s="33" t="n">
        <f aca="false">IF(OR(E2415=0,E2415&gt;=7),0,D2415/(7-E2415)*E2415*INDEX(Products!$E$2:$E$49,MATCH(C2415,Products!$A$2:$A$49,0)))</f>
        <v>0</v>
      </c>
    </row>
    <row r="2416" customFormat="false" ht="15" hidden="false" customHeight="false" outlineLevel="0" collapsed="false">
      <c r="A2416" s="36" t="n">
        <v>46216</v>
      </c>
      <c r="B2416" s="24" t="s">
        <v>63</v>
      </c>
      <c r="C2416" s="24" t="s">
        <v>115</v>
      </c>
      <c r="D2416" s="33" t="n">
        <v>108</v>
      </c>
      <c r="E2416" s="24" t="n">
        <v>1</v>
      </c>
      <c r="F2416" s="37" t="n">
        <f aca="false">DATE(YEAR(A2416),MONTH(A2416),1)</f>
        <v>46204</v>
      </c>
      <c r="G2416" s="24" t="str">
        <f aca="false">INDEX(Products!$C$2:$C$49,MATCH(C2416,Products!$A$2:$A$49,0))</f>
        <v>Grocery Staples</v>
      </c>
      <c r="H2416" s="33" t="n">
        <f aca="false">D2416*INDEX(Products!$E$2:$E$49,MATCH(C2416,Products!$A$2:$A$49,0))</f>
        <v>17820</v>
      </c>
      <c r="I2416" s="33" t="n">
        <f aca="false">D2416*INDEX(Products!$D$2:$D$49,MATCH(C2416,Products!$A$2:$A$49,0))*(1+INDEX(Assumptions!$B$16:$B$20,MATCH(B2416,Assumptions!$A$16:$A$20,0)))</f>
        <v>15800.832</v>
      </c>
      <c r="J2416" s="33" t="n">
        <f aca="false">H2416-I2416</f>
        <v>2019.168</v>
      </c>
      <c r="K2416" s="33" t="n">
        <f aca="false">IF(OR(E2416=0,E2416&gt;=7),0,D2416/(7-E2416)*E2416*INDEX(Products!$E$2:$E$49,MATCH(C2416,Products!$A$2:$A$49,0)))</f>
        <v>2970</v>
      </c>
    </row>
    <row r="2417" customFormat="false" ht="15" hidden="false" customHeight="false" outlineLevel="0" collapsed="false">
      <c r="A2417" s="36" t="n">
        <v>46223</v>
      </c>
      <c r="B2417" s="24" t="s">
        <v>63</v>
      </c>
      <c r="C2417" s="24" t="s">
        <v>115</v>
      </c>
      <c r="D2417" s="33" t="n">
        <v>152</v>
      </c>
      <c r="E2417" s="24" t="n">
        <v>0</v>
      </c>
      <c r="F2417" s="37" t="n">
        <f aca="false">DATE(YEAR(A2417),MONTH(A2417),1)</f>
        <v>46204</v>
      </c>
      <c r="G2417" s="24" t="str">
        <f aca="false">INDEX(Products!$C$2:$C$49,MATCH(C2417,Products!$A$2:$A$49,0))</f>
        <v>Grocery Staples</v>
      </c>
      <c r="H2417" s="33" t="n">
        <f aca="false">D2417*INDEX(Products!$E$2:$E$49,MATCH(C2417,Products!$A$2:$A$49,0))</f>
        <v>25080</v>
      </c>
      <c r="I2417" s="33" t="n">
        <f aca="false">D2417*INDEX(Products!$D$2:$D$49,MATCH(C2417,Products!$A$2:$A$49,0))*(1+INDEX(Assumptions!$B$16:$B$20,MATCH(B2417,Assumptions!$A$16:$A$20,0)))</f>
        <v>22238.208</v>
      </c>
      <c r="J2417" s="33" t="n">
        <f aca="false">H2417-I2417</f>
        <v>2841.792</v>
      </c>
      <c r="K2417" s="33" t="n">
        <f aca="false">IF(OR(E2417=0,E2417&gt;=7),0,D2417/(7-E2417)*E2417*INDEX(Products!$E$2:$E$49,MATCH(C2417,Products!$A$2:$A$49,0)))</f>
        <v>0</v>
      </c>
    </row>
    <row r="2418" customFormat="false" ht="15" hidden="false" customHeight="false" outlineLevel="0" collapsed="false">
      <c r="A2418" s="36" t="n">
        <v>46230</v>
      </c>
      <c r="B2418" s="24" t="s">
        <v>63</v>
      </c>
      <c r="C2418" s="24" t="s">
        <v>115</v>
      </c>
      <c r="D2418" s="33" t="n">
        <v>131</v>
      </c>
      <c r="E2418" s="24" t="n">
        <v>0</v>
      </c>
      <c r="F2418" s="37" t="n">
        <f aca="false">DATE(YEAR(A2418),MONTH(A2418),1)</f>
        <v>46204</v>
      </c>
      <c r="G2418" s="24" t="str">
        <f aca="false">INDEX(Products!$C$2:$C$49,MATCH(C2418,Products!$A$2:$A$49,0))</f>
        <v>Grocery Staples</v>
      </c>
      <c r="H2418" s="33" t="n">
        <f aca="false">D2418*INDEX(Products!$E$2:$E$49,MATCH(C2418,Products!$A$2:$A$49,0))</f>
        <v>21615</v>
      </c>
      <c r="I2418" s="33" t="n">
        <f aca="false">D2418*INDEX(Products!$D$2:$D$49,MATCH(C2418,Products!$A$2:$A$49,0))*(1+INDEX(Assumptions!$B$16:$B$20,MATCH(B2418,Assumptions!$A$16:$A$20,0)))</f>
        <v>19165.824</v>
      </c>
      <c r="J2418" s="33" t="n">
        <f aca="false">H2418-I2418</f>
        <v>2449.176</v>
      </c>
      <c r="K2418" s="33" t="n">
        <f aca="false">IF(OR(E2418=0,E2418&gt;=7),0,D2418/(7-E2418)*E2418*INDEX(Products!$E$2:$E$49,MATCH(C2418,Products!$A$2:$A$49,0)))</f>
        <v>0</v>
      </c>
    </row>
    <row r="2419" customFormat="false" ht="15" hidden="false" customHeight="false" outlineLevel="0" collapsed="false">
      <c r="A2419" s="36" t="n">
        <v>46237</v>
      </c>
      <c r="B2419" s="24" t="s">
        <v>63</v>
      </c>
      <c r="C2419" s="24" t="s">
        <v>115</v>
      </c>
      <c r="D2419" s="33" t="n">
        <v>141</v>
      </c>
      <c r="E2419" s="24" t="n">
        <v>0</v>
      </c>
      <c r="F2419" s="37" t="n">
        <f aca="false">DATE(YEAR(A2419),MONTH(A2419),1)</f>
        <v>46235</v>
      </c>
      <c r="G2419" s="24" t="str">
        <f aca="false">INDEX(Products!$C$2:$C$49,MATCH(C2419,Products!$A$2:$A$49,0))</f>
        <v>Grocery Staples</v>
      </c>
      <c r="H2419" s="33" t="n">
        <f aca="false">D2419*INDEX(Products!$E$2:$E$49,MATCH(C2419,Products!$A$2:$A$49,0))</f>
        <v>23265</v>
      </c>
      <c r="I2419" s="33" t="n">
        <f aca="false">D2419*INDEX(Products!$D$2:$D$49,MATCH(C2419,Products!$A$2:$A$49,0))*(1+INDEX(Assumptions!$B$16:$B$20,MATCH(B2419,Assumptions!$A$16:$A$20,0)))</f>
        <v>20628.864</v>
      </c>
      <c r="J2419" s="33" t="n">
        <f aca="false">H2419-I2419</f>
        <v>2636.136</v>
      </c>
      <c r="K2419" s="33" t="n">
        <f aca="false">IF(OR(E2419=0,E2419&gt;=7),0,D2419/(7-E2419)*E2419*INDEX(Products!$E$2:$E$49,MATCH(C2419,Products!$A$2:$A$49,0)))</f>
        <v>0</v>
      </c>
    </row>
    <row r="2420" customFormat="false" ht="15" hidden="false" customHeight="false" outlineLevel="0" collapsed="false">
      <c r="A2420" s="36" t="n">
        <v>46244</v>
      </c>
      <c r="B2420" s="24" t="s">
        <v>63</v>
      </c>
      <c r="C2420" s="24" t="s">
        <v>115</v>
      </c>
      <c r="D2420" s="33" t="n">
        <v>140</v>
      </c>
      <c r="E2420" s="24" t="n">
        <v>0</v>
      </c>
      <c r="F2420" s="37" t="n">
        <f aca="false">DATE(YEAR(A2420),MONTH(A2420),1)</f>
        <v>46235</v>
      </c>
      <c r="G2420" s="24" t="str">
        <f aca="false">INDEX(Products!$C$2:$C$49,MATCH(C2420,Products!$A$2:$A$49,0))</f>
        <v>Grocery Staples</v>
      </c>
      <c r="H2420" s="33" t="n">
        <f aca="false">D2420*INDEX(Products!$E$2:$E$49,MATCH(C2420,Products!$A$2:$A$49,0))</f>
        <v>23100</v>
      </c>
      <c r="I2420" s="33" t="n">
        <f aca="false">D2420*INDEX(Products!$D$2:$D$49,MATCH(C2420,Products!$A$2:$A$49,0))*(1+INDEX(Assumptions!$B$16:$B$20,MATCH(B2420,Assumptions!$A$16:$A$20,0)))</f>
        <v>20482.56</v>
      </c>
      <c r="J2420" s="33" t="n">
        <f aca="false">H2420-I2420</f>
        <v>2617.44</v>
      </c>
      <c r="K2420" s="33" t="n">
        <f aca="false">IF(OR(E2420=0,E2420&gt;=7),0,D2420/(7-E2420)*E2420*INDEX(Products!$E$2:$E$49,MATCH(C2420,Products!$A$2:$A$49,0)))</f>
        <v>0</v>
      </c>
    </row>
    <row r="2421" customFormat="false" ht="15" hidden="false" customHeight="false" outlineLevel="0" collapsed="false">
      <c r="A2421" s="36" t="n">
        <v>46251</v>
      </c>
      <c r="B2421" s="24" t="s">
        <v>63</v>
      </c>
      <c r="C2421" s="24" t="s">
        <v>115</v>
      </c>
      <c r="D2421" s="33" t="n">
        <v>129</v>
      </c>
      <c r="E2421" s="24" t="n">
        <v>0</v>
      </c>
      <c r="F2421" s="37" t="n">
        <f aca="false">DATE(YEAR(A2421),MONTH(A2421),1)</f>
        <v>46235</v>
      </c>
      <c r="G2421" s="24" t="str">
        <f aca="false">INDEX(Products!$C$2:$C$49,MATCH(C2421,Products!$A$2:$A$49,0))</f>
        <v>Grocery Staples</v>
      </c>
      <c r="H2421" s="33" t="n">
        <f aca="false">D2421*INDEX(Products!$E$2:$E$49,MATCH(C2421,Products!$A$2:$A$49,0))</f>
        <v>21285</v>
      </c>
      <c r="I2421" s="33" t="n">
        <f aca="false">D2421*INDEX(Products!$D$2:$D$49,MATCH(C2421,Products!$A$2:$A$49,0))*(1+INDEX(Assumptions!$B$16:$B$20,MATCH(B2421,Assumptions!$A$16:$A$20,0)))</f>
        <v>18873.216</v>
      </c>
      <c r="J2421" s="33" t="n">
        <f aca="false">H2421-I2421</f>
        <v>2411.784</v>
      </c>
      <c r="K2421" s="33" t="n">
        <f aca="false">IF(OR(E2421=0,E2421&gt;=7),0,D2421/(7-E2421)*E2421*INDEX(Products!$E$2:$E$49,MATCH(C2421,Products!$A$2:$A$49,0)))</f>
        <v>0</v>
      </c>
    </row>
    <row r="2422" customFormat="false" ht="15" hidden="false" customHeight="false" outlineLevel="0" collapsed="false">
      <c r="A2422" s="36" t="n">
        <v>46258</v>
      </c>
      <c r="B2422" s="24" t="s">
        <v>63</v>
      </c>
      <c r="C2422" s="24" t="s">
        <v>115</v>
      </c>
      <c r="D2422" s="33" t="n">
        <v>161</v>
      </c>
      <c r="E2422" s="24" t="n">
        <v>0</v>
      </c>
      <c r="F2422" s="37" t="n">
        <f aca="false">DATE(YEAR(A2422),MONTH(A2422),1)</f>
        <v>46235</v>
      </c>
      <c r="G2422" s="24" t="str">
        <f aca="false">INDEX(Products!$C$2:$C$49,MATCH(C2422,Products!$A$2:$A$49,0))</f>
        <v>Grocery Staples</v>
      </c>
      <c r="H2422" s="33" t="n">
        <f aca="false">D2422*INDEX(Products!$E$2:$E$49,MATCH(C2422,Products!$A$2:$A$49,0))</f>
        <v>26565</v>
      </c>
      <c r="I2422" s="33" t="n">
        <f aca="false">D2422*INDEX(Products!$D$2:$D$49,MATCH(C2422,Products!$A$2:$A$49,0))*(1+INDEX(Assumptions!$B$16:$B$20,MATCH(B2422,Assumptions!$A$16:$A$20,0)))</f>
        <v>23554.944</v>
      </c>
      <c r="J2422" s="33" t="n">
        <f aca="false">H2422-I2422</f>
        <v>3010.056</v>
      </c>
      <c r="K2422" s="33" t="n">
        <f aca="false">IF(OR(E2422=0,E2422&gt;=7),0,D2422/(7-E2422)*E2422*INDEX(Products!$E$2:$E$49,MATCH(C2422,Products!$A$2:$A$49,0)))</f>
        <v>0</v>
      </c>
    </row>
    <row r="2423" customFormat="false" ht="15" hidden="false" customHeight="false" outlineLevel="0" collapsed="false">
      <c r="A2423" s="36" t="n">
        <v>46265</v>
      </c>
      <c r="B2423" s="24" t="s">
        <v>63</v>
      </c>
      <c r="C2423" s="24" t="s">
        <v>115</v>
      </c>
      <c r="D2423" s="33" t="n">
        <v>166</v>
      </c>
      <c r="E2423" s="24" t="n">
        <v>0</v>
      </c>
      <c r="F2423" s="37" t="n">
        <f aca="false">DATE(YEAR(A2423),MONTH(A2423),1)</f>
        <v>46235</v>
      </c>
      <c r="G2423" s="24" t="str">
        <f aca="false">INDEX(Products!$C$2:$C$49,MATCH(C2423,Products!$A$2:$A$49,0))</f>
        <v>Grocery Staples</v>
      </c>
      <c r="H2423" s="33" t="n">
        <f aca="false">D2423*INDEX(Products!$E$2:$E$49,MATCH(C2423,Products!$A$2:$A$49,0))</f>
        <v>27390</v>
      </c>
      <c r="I2423" s="33" t="n">
        <f aca="false">D2423*INDEX(Products!$D$2:$D$49,MATCH(C2423,Products!$A$2:$A$49,0))*(1+INDEX(Assumptions!$B$16:$B$20,MATCH(B2423,Assumptions!$A$16:$A$20,0)))</f>
        <v>24286.464</v>
      </c>
      <c r="J2423" s="33" t="n">
        <f aca="false">H2423-I2423</f>
        <v>3103.536</v>
      </c>
      <c r="K2423" s="33" t="n">
        <f aca="false">IF(OR(E2423=0,E2423&gt;=7),0,D2423/(7-E2423)*E2423*INDEX(Products!$E$2:$E$49,MATCH(C2423,Products!$A$2:$A$49,0)))</f>
        <v>0</v>
      </c>
    </row>
    <row r="2424" customFormat="false" ht="15" hidden="false" customHeight="false" outlineLevel="0" collapsed="false">
      <c r="A2424" s="36" t="n">
        <v>46272</v>
      </c>
      <c r="B2424" s="24" t="s">
        <v>63</v>
      </c>
      <c r="C2424" s="24" t="s">
        <v>115</v>
      </c>
      <c r="D2424" s="33" t="n">
        <v>152</v>
      </c>
      <c r="E2424" s="24" t="n">
        <v>0</v>
      </c>
      <c r="F2424" s="37" t="n">
        <f aca="false">DATE(YEAR(A2424),MONTH(A2424),1)</f>
        <v>46266</v>
      </c>
      <c r="G2424" s="24" t="str">
        <f aca="false">INDEX(Products!$C$2:$C$49,MATCH(C2424,Products!$A$2:$A$49,0))</f>
        <v>Grocery Staples</v>
      </c>
      <c r="H2424" s="33" t="n">
        <f aca="false">D2424*INDEX(Products!$E$2:$E$49,MATCH(C2424,Products!$A$2:$A$49,0))</f>
        <v>25080</v>
      </c>
      <c r="I2424" s="33" t="n">
        <f aca="false">D2424*INDEX(Products!$D$2:$D$49,MATCH(C2424,Products!$A$2:$A$49,0))*(1+INDEX(Assumptions!$B$16:$B$20,MATCH(B2424,Assumptions!$A$16:$A$20,0)))</f>
        <v>22238.208</v>
      </c>
      <c r="J2424" s="33" t="n">
        <f aca="false">H2424-I2424</f>
        <v>2841.792</v>
      </c>
      <c r="K2424" s="33" t="n">
        <f aca="false">IF(OR(E2424=0,E2424&gt;=7),0,D2424/(7-E2424)*E2424*INDEX(Products!$E$2:$E$49,MATCH(C2424,Products!$A$2:$A$49,0)))</f>
        <v>0</v>
      </c>
    </row>
    <row r="2425" customFormat="false" ht="15" hidden="false" customHeight="false" outlineLevel="0" collapsed="false">
      <c r="A2425" s="36" t="n">
        <v>46279</v>
      </c>
      <c r="B2425" s="24" t="s">
        <v>63</v>
      </c>
      <c r="C2425" s="24" t="s">
        <v>115</v>
      </c>
      <c r="D2425" s="33" t="n">
        <v>154</v>
      </c>
      <c r="E2425" s="24" t="n">
        <v>0</v>
      </c>
      <c r="F2425" s="37" t="n">
        <f aca="false">DATE(YEAR(A2425),MONTH(A2425),1)</f>
        <v>46266</v>
      </c>
      <c r="G2425" s="24" t="str">
        <f aca="false">INDEX(Products!$C$2:$C$49,MATCH(C2425,Products!$A$2:$A$49,0))</f>
        <v>Grocery Staples</v>
      </c>
      <c r="H2425" s="33" t="n">
        <f aca="false">D2425*INDEX(Products!$E$2:$E$49,MATCH(C2425,Products!$A$2:$A$49,0))</f>
        <v>25410</v>
      </c>
      <c r="I2425" s="33" t="n">
        <f aca="false">D2425*INDEX(Products!$D$2:$D$49,MATCH(C2425,Products!$A$2:$A$49,0))*(1+INDEX(Assumptions!$B$16:$B$20,MATCH(B2425,Assumptions!$A$16:$A$20,0)))</f>
        <v>22530.816</v>
      </c>
      <c r="J2425" s="33" t="n">
        <f aca="false">H2425-I2425</f>
        <v>2879.184</v>
      </c>
      <c r="K2425" s="33" t="n">
        <f aca="false">IF(OR(E2425=0,E2425&gt;=7),0,D2425/(7-E2425)*E2425*INDEX(Products!$E$2:$E$49,MATCH(C2425,Products!$A$2:$A$49,0)))</f>
        <v>0</v>
      </c>
    </row>
    <row r="2426" customFormat="false" ht="15" hidden="false" customHeight="false" outlineLevel="0" collapsed="false">
      <c r="A2426" s="36" t="n">
        <v>46286</v>
      </c>
      <c r="B2426" s="24" t="s">
        <v>63</v>
      </c>
      <c r="C2426" s="24" t="s">
        <v>115</v>
      </c>
      <c r="D2426" s="33" t="n">
        <v>159</v>
      </c>
      <c r="E2426" s="24" t="n">
        <v>0</v>
      </c>
      <c r="F2426" s="37" t="n">
        <f aca="false">DATE(YEAR(A2426),MONTH(A2426),1)</f>
        <v>46266</v>
      </c>
      <c r="G2426" s="24" t="str">
        <f aca="false">INDEX(Products!$C$2:$C$49,MATCH(C2426,Products!$A$2:$A$49,0))</f>
        <v>Grocery Staples</v>
      </c>
      <c r="H2426" s="33" t="n">
        <f aca="false">D2426*INDEX(Products!$E$2:$E$49,MATCH(C2426,Products!$A$2:$A$49,0))</f>
        <v>26235</v>
      </c>
      <c r="I2426" s="33" t="n">
        <f aca="false">D2426*INDEX(Products!$D$2:$D$49,MATCH(C2426,Products!$A$2:$A$49,0))*(1+INDEX(Assumptions!$B$16:$B$20,MATCH(B2426,Assumptions!$A$16:$A$20,0)))</f>
        <v>23262.336</v>
      </c>
      <c r="J2426" s="33" t="n">
        <f aca="false">H2426-I2426</f>
        <v>2972.664</v>
      </c>
      <c r="K2426" s="33" t="n">
        <f aca="false">IF(OR(E2426=0,E2426&gt;=7),0,D2426/(7-E2426)*E2426*INDEX(Products!$E$2:$E$49,MATCH(C2426,Products!$A$2:$A$49,0)))</f>
        <v>0</v>
      </c>
    </row>
    <row r="2427" customFormat="false" ht="15" hidden="false" customHeight="false" outlineLevel="0" collapsed="false">
      <c r="A2427" s="36" t="n">
        <v>46118</v>
      </c>
      <c r="B2427" s="24" t="s">
        <v>63</v>
      </c>
      <c r="C2427" s="24" t="s">
        <v>117</v>
      </c>
      <c r="D2427" s="33" t="n">
        <v>130</v>
      </c>
      <c r="E2427" s="24" t="n">
        <v>0</v>
      </c>
      <c r="F2427" s="37" t="n">
        <f aca="false">DATE(YEAR(A2427),MONTH(A2427),1)</f>
        <v>46113</v>
      </c>
      <c r="G2427" s="24" t="str">
        <f aca="false">INDEX(Products!$C$2:$C$49,MATCH(C2427,Products!$A$2:$A$49,0))</f>
        <v>Grocery Staples</v>
      </c>
      <c r="H2427" s="33" t="n">
        <f aca="false">D2427*INDEX(Products!$E$2:$E$49,MATCH(C2427,Products!$A$2:$A$49,0))</f>
        <v>24700</v>
      </c>
      <c r="I2427" s="33" t="n">
        <f aca="false">D2427*INDEX(Products!$D$2:$D$49,MATCH(C2427,Products!$A$2:$A$49,0))*(1+INDEX(Assumptions!$B$16:$B$20,MATCH(B2427,Assumptions!$A$16:$A$20,0)))</f>
        <v>22189.44</v>
      </c>
      <c r="J2427" s="33" t="n">
        <f aca="false">H2427-I2427</f>
        <v>2510.56</v>
      </c>
      <c r="K2427" s="33" t="n">
        <f aca="false">IF(OR(E2427=0,E2427&gt;=7),0,D2427/(7-E2427)*E2427*INDEX(Products!$E$2:$E$49,MATCH(C2427,Products!$A$2:$A$49,0)))</f>
        <v>0</v>
      </c>
    </row>
    <row r="2428" customFormat="false" ht="15" hidden="false" customHeight="false" outlineLevel="0" collapsed="false">
      <c r="A2428" s="36" t="n">
        <v>46125</v>
      </c>
      <c r="B2428" s="24" t="s">
        <v>63</v>
      </c>
      <c r="C2428" s="24" t="s">
        <v>117</v>
      </c>
      <c r="D2428" s="33" t="n">
        <v>119</v>
      </c>
      <c r="E2428" s="24" t="n">
        <v>0</v>
      </c>
      <c r="F2428" s="37" t="n">
        <f aca="false">DATE(YEAR(A2428),MONTH(A2428),1)</f>
        <v>46113</v>
      </c>
      <c r="G2428" s="24" t="str">
        <f aca="false">INDEX(Products!$C$2:$C$49,MATCH(C2428,Products!$A$2:$A$49,0))</f>
        <v>Grocery Staples</v>
      </c>
      <c r="H2428" s="33" t="n">
        <f aca="false">D2428*INDEX(Products!$E$2:$E$49,MATCH(C2428,Products!$A$2:$A$49,0))</f>
        <v>22610</v>
      </c>
      <c r="I2428" s="33" t="n">
        <f aca="false">D2428*INDEX(Products!$D$2:$D$49,MATCH(C2428,Products!$A$2:$A$49,0))*(1+INDEX(Assumptions!$B$16:$B$20,MATCH(B2428,Assumptions!$A$16:$A$20,0)))</f>
        <v>20311.872</v>
      </c>
      <c r="J2428" s="33" t="n">
        <f aca="false">H2428-I2428</f>
        <v>2298.128</v>
      </c>
      <c r="K2428" s="33" t="n">
        <f aca="false">IF(OR(E2428=0,E2428&gt;=7),0,D2428/(7-E2428)*E2428*INDEX(Products!$E$2:$E$49,MATCH(C2428,Products!$A$2:$A$49,0)))</f>
        <v>0</v>
      </c>
    </row>
    <row r="2429" customFormat="false" ht="15" hidden="false" customHeight="false" outlineLevel="0" collapsed="false">
      <c r="A2429" s="36" t="n">
        <v>46132</v>
      </c>
      <c r="B2429" s="24" t="s">
        <v>63</v>
      </c>
      <c r="C2429" s="24" t="s">
        <v>117</v>
      </c>
      <c r="D2429" s="33" t="n">
        <v>139</v>
      </c>
      <c r="E2429" s="24" t="n">
        <v>0</v>
      </c>
      <c r="F2429" s="37" t="n">
        <f aca="false">DATE(YEAR(A2429),MONTH(A2429),1)</f>
        <v>46113</v>
      </c>
      <c r="G2429" s="24" t="str">
        <f aca="false">INDEX(Products!$C$2:$C$49,MATCH(C2429,Products!$A$2:$A$49,0))</f>
        <v>Grocery Staples</v>
      </c>
      <c r="H2429" s="33" t="n">
        <f aca="false">D2429*INDEX(Products!$E$2:$E$49,MATCH(C2429,Products!$A$2:$A$49,0))</f>
        <v>26410</v>
      </c>
      <c r="I2429" s="33" t="n">
        <f aca="false">D2429*INDEX(Products!$D$2:$D$49,MATCH(C2429,Products!$A$2:$A$49,0))*(1+INDEX(Assumptions!$B$16:$B$20,MATCH(B2429,Assumptions!$A$16:$A$20,0)))</f>
        <v>23725.632</v>
      </c>
      <c r="J2429" s="33" t="n">
        <f aca="false">H2429-I2429</f>
        <v>2684.368</v>
      </c>
      <c r="K2429" s="33" t="n">
        <f aca="false">IF(OR(E2429=0,E2429&gt;=7),0,D2429/(7-E2429)*E2429*INDEX(Products!$E$2:$E$49,MATCH(C2429,Products!$A$2:$A$49,0)))</f>
        <v>0</v>
      </c>
    </row>
    <row r="2430" customFormat="false" ht="15" hidden="false" customHeight="false" outlineLevel="0" collapsed="false">
      <c r="A2430" s="36" t="n">
        <v>46139</v>
      </c>
      <c r="B2430" s="24" t="s">
        <v>63</v>
      </c>
      <c r="C2430" s="24" t="s">
        <v>117</v>
      </c>
      <c r="D2430" s="33" t="n">
        <v>131</v>
      </c>
      <c r="E2430" s="24" t="n">
        <v>0</v>
      </c>
      <c r="F2430" s="37" t="n">
        <f aca="false">DATE(YEAR(A2430),MONTH(A2430),1)</f>
        <v>46113</v>
      </c>
      <c r="G2430" s="24" t="str">
        <f aca="false">INDEX(Products!$C$2:$C$49,MATCH(C2430,Products!$A$2:$A$49,0))</f>
        <v>Grocery Staples</v>
      </c>
      <c r="H2430" s="33" t="n">
        <f aca="false">D2430*INDEX(Products!$E$2:$E$49,MATCH(C2430,Products!$A$2:$A$49,0))</f>
        <v>24890</v>
      </c>
      <c r="I2430" s="33" t="n">
        <f aca="false">D2430*INDEX(Products!$D$2:$D$49,MATCH(C2430,Products!$A$2:$A$49,0))*(1+INDEX(Assumptions!$B$16:$B$20,MATCH(B2430,Assumptions!$A$16:$A$20,0)))</f>
        <v>22360.128</v>
      </c>
      <c r="J2430" s="33" t="n">
        <f aca="false">H2430-I2430</f>
        <v>2529.872</v>
      </c>
      <c r="K2430" s="33" t="n">
        <f aca="false">IF(OR(E2430=0,E2430&gt;=7),0,D2430/(7-E2430)*E2430*INDEX(Products!$E$2:$E$49,MATCH(C2430,Products!$A$2:$A$49,0)))</f>
        <v>0</v>
      </c>
    </row>
    <row r="2431" customFormat="false" ht="15" hidden="false" customHeight="false" outlineLevel="0" collapsed="false">
      <c r="A2431" s="36" t="n">
        <v>46146</v>
      </c>
      <c r="B2431" s="24" t="s">
        <v>63</v>
      </c>
      <c r="C2431" s="24" t="s">
        <v>117</v>
      </c>
      <c r="D2431" s="33" t="n">
        <v>132</v>
      </c>
      <c r="E2431" s="24" t="n">
        <v>0</v>
      </c>
      <c r="F2431" s="37" t="n">
        <f aca="false">DATE(YEAR(A2431),MONTH(A2431),1)</f>
        <v>46143</v>
      </c>
      <c r="G2431" s="24" t="str">
        <f aca="false">INDEX(Products!$C$2:$C$49,MATCH(C2431,Products!$A$2:$A$49,0))</f>
        <v>Grocery Staples</v>
      </c>
      <c r="H2431" s="33" t="n">
        <f aca="false">D2431*INDEX(Products!$E$2:$E$49,MATCH(C2431,Products!$A$2:$A$49,0))</f>
        <v>25080</v>
      </c>
      <c r="I2431" s="33" t="n">
        <f aca="false">D2431*INDEX(Products!$D$2:$D$49,MATCH(C2431,Products!$A$2:$A$49,0))*(1+INDEX(Assumptions!$B$16:$B$20,MATCH(B2431,Assumptions!$A$16:$A$20,0)))</f>
        <v>22530.816</v>
      </c>
      <c r="J2431" s="33" t="n">
        <f aca="false">H2431-I2431</f>
        <v>2549.184</v>
      </c>
      <c r="K2431" s="33" t="n">
        <f aca="false">IF(OR(E2431=0,E2431&gt;=7),0,D2431/(7-E2431)*E2431*INDEX(Products!$E$2:$E$49,MATCH(C2431,Products!$A$2:$A$49,0)))</f>
        <v>0</v>
      </c>
    </row>
    <row r="2432" customFormat="false" ht="15" hidden="false" customHeight="false" outlineLevel="0" collapsed="false">
      <c r="A2432" s="36" t="n">
        <v>46153</v>
      </c>
      <c r="B2432" s="24" t="s">
        <v>63</v>
      </c>
      <c r="C2432" s="24" t="s">
        <v>117</v>
      </c>
      <c r="D2432" s="33" t="n">
        <v>134</v>
      </c>
      <c r="E2432" s="24" t="n">
        <v>0</v>
      </c>
      <c r="F2432" s="37" t="n">
        <f aca="false">DATE(YEAR(A2432),MONTH(A2432),1)</f>
        <v>46143</v>
      </c>
      <c r="G2432" s="24" t="str">
        <f aca="false">INDEX(Products!$C$2:$C$49,MATCH(C2432,Products!$A$2:$A$49,0))</f>
        <v>Grocery Staples</v>
      </c>
      <c r="H2432" s="33" t="n">
        <f aca="false">D2432*INDEX(Products!$E$2:$E$49,MATCH(C2432,Products!$A$2:$A$49,0))</f>
        <v>25460</v>
      </c>
      <c r="I2432" s="33" t="n">
        <f aca="false">D2432*INDEX(Products!$D$2:$D$49,MATCH(C2432,Products!$A$2:$A$49,0))*(1+INDEX(Assumptions!$B$16:$B$20,MATCH(B2432,Assumptions!$A$16:$A$20,0)))</f>
        <v>22872.192</v>
      </c>
      <c r="J2432" s="33" t="n">
        <f aca="false">H2432-I2432</f>
        <v>2587.808</v>
      </c>
      <c r="K2432" s="33" t="n">
        <f aca="false">IF(OR(E2432=0,E2432&gt;=7),0,D2432/(7-E2432)*E2432*INDEX(Products!$E$2:$E$49,MATCH(C2432,Products!$A$2:$A$49,0)))</f>
        <v>0</v>
      </c>
    </row>
    <row r="2433" customFormat="false" ht="15" hidden="false" customHeight="false" outlineLevel="0" collapsed="false">
      <c r="A2433" s="36" t="n">
        <v>46160</v>
      </c>
      <c r="B2433" s="24" t="s">
        <v>63</v>
      </c>
      <c r="C2433" s="24" t="s">
        <v>117</v>
      </c>
      <c r="D2433" s="33" t="n">
        <v>110</v>
      </c>
      <c r="E2433" s="24" t="n">
        <v>0</v>
      </c>
      <c r="F2433" s="37" t="n">
        <f aca="false">DATE(YEAR(A2433),MONTH(A2433),1)</f>
        <v>46143</v>
      </c>
      <c r="G2433" s="24" t="str">
        <f aca="false">INDEX(Products!$C$2:$C$49,MATCH(C2433,Products!$A$2:$A$49,0))</f>
        <v>Grocery Staples</v>
      </c>
      <c r="H2433" s="33" t="n">
        <f aca="false">D2433*INDEX(Products!$E$2:$E$49,MATCH(C2433,Products!$A$2:$A$49,0))</f>
        <v>20900</v>
      </c>
      <c r="I2433" s="33" t="n">
        <f aca="false">D2433*INDEX(Products!$D$2:$D$49,MATCH(C2433,Products!$A$2:$A$49,0))*(1+INDEX(Assumptions!$B$16:$B$20,MATCH(B2433,Assumptions!$A$16:$A$20,0)))</f>
        <v>18775.68</v>
      </c>
      <c r="J2433" s="33" t="n">
        <f aca="false">H2433-I2433</f>
        <v>2124.32</v>
      </c>
      <c r="K2433" s="33" t="n">
        <f aca="false">IF(OR(E2433=0,E2433&gt;=7),0,D2433/(7-E2433)*E2433*INDEX(Products!$E$2:$E$49,MATCH(C2433,Products!$A$2:$A$49,0)))</f>
        <v>0</v>
      </c>
    </row>
    <row r="2434" customFormat="false" ht="15" hidden="false" customHeight="false" outlineLevel="0" collapsed="false">
      <c r="A2434" s="36" t="n">
        <v>46167</v>
      </c>
      <c r="B2434" s="24" t="s">
        <v>63</v>
      </c>
      <c r="C2434" s="24" t="s">
        <v>117</v>
      </c>
      <c r="D2434" s="33" t="n">
        <v>123</v>
      </c>
      <c r="E2434" s="24" t="n">
        <v>0</v>
      </c>
      <c r="F2434" s="37" t="n">
        <f aca="false">DATE(YEAR(A2434),MONTH(A2434),1)</f>
        <v>46143</v>
      </c>
      <c r="G2434" s="24" t="str">
        <f aca="false">INDEX(Products!$C$2:$C$49,MATCH(C2434,Products!$A$2:$A$49,0))</f>
        <v>Grocery Staples</v>
      </c>
      <c r="H2434" s="33" t="n">
        <f aca="false">D2434*INDEX(Products!$E$2:$E$49,MATCH(C2434,Products!$A$2:$A$49,0))</f>
        <v>23370</v>
      </c>
      <c r="I2434" s="33" t="n">
        <f aca="false">D2434*INDEX(Products!$D$2:$D$49,MATCH(C2434,Products!$A$2:$A$49,0))*(1+INDEX(Assumptions!$B$16:$B$20,MATCH(B2434,Assumptions!$A$16:$A$20,0)))</f>
        <v>20994.624</v>
      </c>
      <c r="J2434" s="33" t="n">
        <f aca="false">H2434-I2434</f>
        <v>2375.376</v>
      </c>
      <c r="K2434" s="33" t="n">
        <f aca="false">IF(OR(E2434=0,E2434&gt;=7),0,D2434/(7-E2434)*E2434*INDEX(Products!$E$2:$E$49,MATCH(C2434,Products!$A$2:$A$49,0)))</f>
        <v>0</v>
      </c>
    </row>
    <row r="2435" customFormat="false" ht="15" hidden="false" customHeight="false" outlineLevel="0" collapsed="false">
      <c r="A2435" s="36" t="n">
        <v>46174</v>
      </c>
      <c r="B2435" s="24" t="s">
        <v>63</v>
      </c>
      <c r="C2435" s="24" t="s">
        <v>117</v>
      </c>
      <c r="D2435" s="33" t="n">
        <v>103</v>
      </c>
      <c r="E2435" s="24" t="n">
        <v>0</v>
      </c>
      <c r="F2435" s="37" t="n">
        <f aca="false">DATE(YEAR(A2435),MONTH(A2435),1)</f>
        <v>46174</v>
      </c>
      <c r="G2435" s="24" t="str">
        <f aca="false">INDEX(Products!$C$2:$C$49,MATCH(C2435,Products!$A$2:$A$49,0))</f>
        <v>Grocery Staples</v>
      </c>
      <c r="H2435" s="33" t="n">
        <f aca="false">D2435*INDEX(Products!$E$2:$E$49,MATCH(C2435,Products!$A$2:$A$49,0))</f>
        <v>19570</v>
      </c>
      <c r="I2435" s="33" t="n">
        <f aca="false">D2435*INDEX(Products!$D$2:$D$49,MATCH(C2435,Products!$A$2:$A$49,0))*(1+INDEX(Assumptions!$B$16:$B$20,MATCH(B2435,Assumptions!$A$16:$A$20,0)))</f>
        <v>17580.864</v>
      </c>
      <c r="J2435" s="33" t="n">
        <f aca="false">H2435-I2435</f>
        <v>1989.136</v>
      </c>
      <c r="K2435" s="33" t="n">
        <f aca="false">IF(OR(E2435=0,E2435&gt;=7),0,D2435/(7-E2435)*E2435*INDEX(Products!$E$2:$E$49,MATCH(C2435,Products!$A$2:$A$49,0)))</f>
        <v>0</v>
      </c>
    </row>
    <row r="2436" customFormat="false" ht="15" hidden="false" customHeight="false" outlineLevel="0" collapsed="false">
      <c r="A2436" s="36" t="n">
        <v>46181</v>
      </c>
      <c r="B2436" s="24" t="s">
        <v>63</v>
      </c>
      <c r="C2436" s="24" t="s">
        <v>117</v>
      </c>
      <c r="D2436" s="33" t="n">
        <v>131</v>
      </c>
      <c r="E2436" s="24" t="n">
        <v>0</v>
      </c>
      <c r="F2436" s="37" t="n">
        <f aca="false">DATE(YEAR(A2436),MONTH(A2436),1)</f>
        <v>46174</v>
      </c>
      <c r="G2436" s="24" t="str">
        <f aca="false">INDEX(Products!$C$2:$C$49,MATCH(C2436,Products!$A$2:$A$49,0))</f>
        <v>Grocery Staples</v>
      </c>
      <c r="H2436" s="33" t="n">
        <f aca="false">D2436*INDEX(Products!$E$2:$E$49,MATCH(C2436,Products!$A$2:$A$49,0))</f>
        <v>24890</v>
      </c>
      <c r="I2436" s="33" t="n">
        <f aca="false">D2436*INDEX(Products!$D$2:$D$49,MATCH(C2436,Products!$A$2:$A$49,0))*(1+INDEX(Assumptions!$B$16:$B$20,MATCH(B2436,Assumptions!$A$16:$A$20,0)))</f>
        <v>22360.128</v>
      </c>
      <c r="J2436" s="33" t="n">
        <f aca="false">H2436-I2436</f>
        <v>2529.872</v>
      </c>
      <c r="K2436" s="33" t="n">
        <f aca="false">IF(OR(E2436=0,E2436&gt;=7),0,D2436/(7-E2436)*E2436*INDEX(Products!$E$2:$E$49,MATCH(C2436,Products!$A$2:$A$49,0)))</f>
        <v>0</v>
      </c>
    </row>
    <row r="2437" customFormat="false" ht="15" hidden="false" customHeight="false" outlineLevel="0" collapsed="false">
      <c r="A2437" s="36" t="n">
        <v>46188</v>
      </c>
      <c r="B2437" s="24" t="s">
        <v>63</v>
      </c>
      <c r="C2437" s="24" t="s">
        <v>117</v>
      </c>
      <c r="D2437" s="33" t="n">
        <v>115</v>
      </c>
      <c r="E2437" s="24" t="n">
        <v>0</v>
      </c>
      <c r="F2437" s="37" t="n">
        <f aca="false">DATE(YEAR(A2437),MONTH(A2437),1)</f>
        <v>46174</v>
      </c>
      <c r="G2437" s="24" t="str">
        <f aca="false">INDEX(Products!$C$2:$C$49,MATCH(C2437,Products!$A$2:$A$49,0))</f>
        <v>Grocery Staples</v>
      </c>
      <c r="H2437" s="33" t="n">
        <f aca="false">D2437*INDEX(Products!$E$2:$E$49,MATCH(C2437,Products!$A$2:$A$49,0))</f>
        <v>21850</v>
      </c>
      <c r="I2437" s="33" t="n">
        <f aca="false">D2437*INDEX(Products!$D$2:$D$49,MATCH(C2437,Products!$A$2:$A$49,0))*(1+INDEX(Assumptions!$B$16:$B$20,MATCH(B2437,Assumptions!$A$16:$A$20,0)))</f>
        <v>19629.12</v>
      </c>
      <c r="J2437" s="33" t="n">
        <f aca="false">H2437-I2437</f>
        <v>2220.88</v>
      </c>
      <c r="K2437" s="33" t="n">
        <f aca="false">IF(OR(E2437=0,E2437&gt;=7),0,D2437/(7-E2437)*E2437*INDEX(Products!$E$2:$E$49,MATCH(C2437,Products!$A$2:$A$49,0)))</f>
        <v>0</v>
      </c>
    </row>
    <row r="2438" customFormat="false" ht="15" hidden="false" customHeight="false" outlineLevel="0" collapsed="false">
      <c r="A2438" s="36" t="n">
        <v>46195</v>
      </c>
      <c r="B2438" s="24" t="s">
        <v>63</v>
      </c>
      <c r="C2438" s="24" t="s">
        <v>117</v>
      </c>
      <c r="D2438" s="33" t="n">
        <v>130</v>
      </c>
      <c r="E2438" s="24" t="n">
        <v>0</v>
      </c>
      <c r="F2438" s="37" t="n">
        <f aca="false">DATE(YEAR(A2438),MONTH(A2438),1)</f>
        <v>46174</v>
      </c>
      <c r="G2438" s="24" t="str">
        <f aca="false">INDEX(Products!$C$2:$C$49,MATCH(C2438,Products!$A$2:$A$49,0))</f>
        <v>Grocery Staples</v>
      </c>
      <c r="H2438" s="33" t="n">
        <f aca="false">D2438*INDEX(Products!$E$2:$E$49,MATCH(C2438,Products!$A$2:$A$49,0))</f>
        <v>24700</v>
      </c>
      <c r="I2438" s="33" t="n">
        <f aca="false">D2438*INDEX(Products!$D$2:$D$49,MATCH(C2438,Products!$A$2:$A$49,0))*(1+INDEX(Assumptions!$B$16:$B$20,MATCH(B2438,Assumptions!$A$16:$A$20,0)))</f>
        <v>22189.44</v>
      </c>
      <c r="J2438" s="33" t="n">
        <f aca="false">H2438-I2438</f>
        <v>2510.56</v>
      </c>
      <c r="K2438" s="33" t="n">
        <f aca="false">IF(OR(E2438=0,E2438&gt;=7),0,D2438/(7-E2438)*E2438*INDEX(Products!$E$2:$E$49,MATCH(C2438,Products!$A$2:$A$49,0)))</f>
        <v>0</v>
      </c>
    </row>
    <row r="2439" customFormat="false" ht="15" hidden="false" customHeight="false" outlineLevel="0" collapsed="false">
      <c r="A2439" s="36" t="n">
        <v>46202</v>
      </c>
      <c r="B2439" s="24" t="s">
        <v>63</v>
      </c>
      <c r="C2439" s="24" t="s">
        <v>117</v>
      </c>
      <c r="D2439" s="33" t="n">
        <v>134</v>
      </c>
      <c r="E2439" s="24" t="n">
        <v>0</v>
      </c>
      <c r="F2439" s="37" t="n">
        <f aca="false">DATE(YEAR(A2439),MONTH(A2439),1)</f>
        <v>46174</v>
      </c>
      <c r="G2439" s="24" t="str">
        <f aca="false">INDEX(Products!$C$2:$C$49,MATCH(C2439,Products!$A$2:$A$49,0))</f>
        <v>Grocery Staples</v>
      </c>
      <c r="H2439" s="33" t="n">
        <f aca="false">D2439*INDEX(Products!$E$2:$E$49,MATCH(C2439,Products!$A$2:$A$49,0))</f>
        <v>25460</v>
      </c>
      <c r="I2439" s="33" t="n">
        <f aca="false">D2439*INDEX(Products!$D$2:$D$49,MATCH(C2439,Products!$A$2:$A$49,0))*(1+INDEX(Assumptions!$B$16:$B$20,MATCH(B2439,Assumptions!$A$16:$A$20,0)))</f>
        <v>22872.192</v>
      </c>
      <c r="J2439" s="33" t="n">
        <f aca="false">H2439-I2439</f>
        <v>2587.808</v>
      </c>
      <c r="K2439" s="33" t="n">
        <f aca="false">IF(OR(E2439=0,E2439&gt;=7),0,D2439/(7-E2439)*E2439*INDEX(Products!$E$2:$E$49,MATCH(C2439,Products!$A$2:$A$49,0)))</f>
        <v>0</v>
      </c>
    </row>
    <row r="2440" customFormat="false" ht="15" hidden="false" customHeight="false" outlineLevel="0" collapsed="false">
      <c r="A2440" s="36" t="n">
        <v>46209</v>
      </c>
      <c r="B2440" s="24" t="s">
        <v>63</v>
      </c>
      <c r="C2440" s="24" t="s">
        <v>117</v>
      </c>
      <c r="D2440" s="33" t="n">
        <v>108</v>
      </c>
      <c r="E2440" s="24" t="n">
        <v>0</v>
      </c>
      <c r="F2440" s="37" t="n">
        <f aca="false">DATE(YEAR(A2440),MONTH(A2440),1)</f>
        <v>46204</v>
      </c>
      <c r="G2440" s="24" t="str">
        <f aca="false">INDEX(Products!$C$2:$C$49,MATCH(C2440,Products!$A$2:$A$49,0))</f>
        <v>Grocery Staples</v>
      </c>
      <c r="H2440" s="33" t="n">
        <f aca="false">D2440*INDEX(Products!$E$2:$E$49,MATCH(C2440,Products!$A$2:$A$49,0))</f>
        <v>20520</v>
      </c>
      <c r="I2440" s="33" t="n">
        <f aca="false">D2440*INDEX(Products!$D$2:$D$49,MATCH(C2440,Products!$A$2:$A$49,0))*(1+INDEX(Assumptions!$B$16:$B$20,MATCH(B2440,Assumptions!$A$16:$A$20,0)))</f>
        <v>18434.304</v>
      </c>
      <c r="J2440" s="33" t="n">
        <f aca="false">H2440-I2440</f>
        <v>2085.696</v>
      </c>
      <c r="K2440" s="33" t="n">
        <f aca="false">IF(OR(E2440=0,E2440&gt;=7),0,D2440/(7-E2440)*E2440*INDEX(Products!$E$2:$E$49,MATCH(C2440,Products!$A$2:$A$49,0)))</f>
        <v>0</v>
      </c>
    </row>
    <row r="2441" customFormat="false" ht="15" hidden="false" customHeight="false" outlineLevel="0" collapsed="false">
      <c r="A2441" s="36" t="n">
        <v>46216</v>
      </c>
      <c r="B2441" s="24" t="s">
        <v>63</v>
      </c>
      <c r="C2441" s="24" t="s">
        <v>117</v>
      </c>
      <c r="D2441" s="33" t="n">
        <v>105</v>
      </c>
      <c r="E2441" s="24" t="n">
        <v>0</v>
      </c>
      <c r="F2441" s="37" t="n">
        <f aca="false">DATE(YEAR(A2441),MONTH(A2441),1)</f>
        <v>46204</v>
      </c>
      <c r="G2441" s="24" t="str">
        <f aca="false">INDEX(Products!$C$2:$C$49,MATCH(C2441,Products!$A$2:$A$49,0))</f>
        <v>Grocery Staples</v>
      </c>
      <c r="H2441" s="33" t="n">
        <f aca="false">D2441*INDEX(Products!$E$2:$E$49,MATCH(C2441,Products!$A$2:$A$49,0))</f>
        <v>19950</v>
      </c>
      <c r="I2441" s="33" t="n">
        <f aca="false">D2441*INDEX(Products!$D$2:$D$49,MATCH(C2441,Products!$A$2:$A$49,0))*(1+INDEX(Assumptions!$B$16:$B$20,MATCH(B2441,Assumptions!$A$16:$A$20,0)))</f>
        <v>17922.24</v>
      </c>
      <c r="J2441" s="33" t="n">
        <f aca="false">H2441-I2441</f>
        <v>2027.76</v>
      </c>
      <c r="K2441" s="33" t="n">
        <f aca="false">IF(OR(E2441=0,E2441&gt;=7),0,D2441/(7-E2441)*E2441*INDEX(Products!$E$2:$E$49,MATCH(C2441,Products!$A$2:$A$49,0)))</f>
        <v>0</v>
      </c>
    </row>
    <row r="2442" customFormat="false" ht="15" hidden="false" customHeight="false" outlineLevel="0" collapsed="false">
      <c r="A2442" s="36" t="n">
        <v>46223</v>
      </c>
      <c r="B2442" s="24" t="s">
        <v>63</v>
      </c>
      <c r="C2442" s="24" t="s">
        <v>117</v>
      </c>
      <c r="D2442" s="33" t="n">
        <v>93</v>
      </c>
      <c r="E2442" s="24" t="n">
        <v>0</v>
      </c>
      <c r="F2442" s="37" t="n">
        <f aca="false">DATE(YEAR(A2442),MONTH(A2442),1)</f>
        <v>46204</v>
      </c>
      <c r="G2442" s="24" t="str">
        <f aca="false">INDEX(Products!$C$2:$C$49,MATCH(C2442,Products!$A$2:$A$49,0))</f>
        <v>Grocery Staples</v>
      </c>
      <c r="H2442" s="33" t="n">
        <f aca="false">D2442*INDEX(Products!$E$2:$E$49,MATCH(C2442,Products!$A$2:$A$49,0))</f>
        <v>17670</v>
      </c>
      <c r="I2442" s="33" t="n">
        <f aca="false">D2442*INDEX(Products!$D$2:$D$49,MATCH(C2442,Products!$A$2:$A$49,0))*(1+INDEX(Assumptions!$B$16:$B$20,MATCH(B2442,Assumptions!$A$16:$A$20,0)))</f>
        <v>15873.984</v>
      </c>
      <c r="J2442" s="33" t="n">
        <f aca="false">H2442-I2442</f>
        <v>1796.016</v>
      </c>
      <c r="K2442" s="33" t="n">
        <f aca="false">IF(OR(E2442=0,E2442&gt;=7),0,D2442/(7-E2442)*E2442*INDEX(Products!$E$2:$E$49,MATCH(C2442,Products!$A$2:$A$49,0)))</f>
        <v>0</v>
      </c>
    </row>
    <row r="2443" customFormat="false" ht="15" hidden="false" customHeight="false" outlineLevel="0" collapsed="false">
      <c r="A2443" s="36" t="n">
        <v>46230</v>
      </c>
      <c r="B2443" s="24" t="s">
        <v>63</v>
      </c>
      <c r="C2443" s="24" t="s">
        <v>117</v>
      </c>
      <c r="D2443" s="33" t="n">
        <v>130</v>
      </c>
      <c r="E2443" s="24" t="n">
        <v>0</v>
      </c>
      <c r="F2443" s="37" t="n">
        <f aca="false">DATE(YEAR(A2443),MONTH(A2443),1)</f>
        <v>46204</v>
      </c>
      <c r="G2443" s="24" t="str">
        <f aca="false">INDEX(Products!$C$2:$C$49,MATCH(C2443,Products!$A$2:$A$49,0))</f>
        <v>Grocery Staples</v>
      </c>
      <c r="H2443" s="33" t="n">
        <f aca="false">D2443*INDEX(Products!$E$2:$E$49,MATCH(C2443,Products!$A$2:$A$49,0))</f>
        <v>24700</v>
      </c>
      <c r="I2443" s="33" t="n">
        <f aca="false">D2443*INDEX(Products!$D$2:$D$49,MATCH(C2443,Products!$A$2:$A$49,0))*(1+INDEX(Assumptions!$B$16:$B$20,MATCH(B2443,Assumptions!$A$16:$A$20,0)))</f>
        <v>22189.44</v>
      </c>
      <c r="J2443" s="33" t="n">
        <f aca="false">H2443-I2443</f>
        <v>2510.56</v>
      </c>
      <c r="K2443" s="33" t="n">
        <f aca="false">IF(OR(E2443=0,E2443&gt;=7),0,D2443/(7-E2443)*E2443*INDEX(Products!$E$2:$E$49,MATCH(C2443,Products!$A$2:$A$49,0)))</f>
        <v>0</v>
      </c>
    </row>
    <row r="2444" customFormat="false" ht="15" hidden="false" customHeight="false" outlineLevel="0" collapsed="false">
      <c r="A2444" s="36" t="n">
        <v>46237</v>
      </c>
      <c r="B2444" s="24" t="s">
        <v>63</v>
      </c>
      <c r="C2444" s="24" t="s">
        <v>117</v>
      </c>
      <c r="D2444" s="33" t="n">
        <v>86</v>
      </c>
      <c r="E2444" s="24" t="n">
        <v>0</v>
      </c>
      <c r="F2444" s="37" t="n">
        <f aca="false">DATE(YEAR(A2444),MONTH(A2444),1)</f>
        <v>46235</v>
      </c>
      <c r="G2444" s="24" t="str">
        <f aca="false">INDEX(Products!$C$2:$C$49,MATCH(C2444,Products!$A$2:$A$49,0))</f>
        <v>Grocery Staples</v>
      </c>
      <c r="H2444" s="33" t="n">
        <f aca="false">D2444*INDEX(Products!$E$2:$E$49,MATCH(C2444,Products!$A$2:$A$49,0))</f>
        <v>16340</v>
      </c>
      <c r="I2444" s="33" t="n">
        <f aca="false">D2444*INDEX(Products!$D$2:$D$49,MATCH(C2444,Products!$A$2:$A$49,0))*(1+INDEX(Assumptions!$B$16:$B$20,MATCH(B2444,Assumptions!$A$16:$A$20,0)))</f>
        <v>14679.168</v>
      </c>
      <c r="J2444" s="33" t="n">
        <f aca="false">H2444-I2444</f>
        <v>1660.832</v>
      </c>
      <c r="K2444" s="33" t="n">
        <f aca="false">IF(OR(E2444=0,E2444&gt;=7),0,D2444/(7-E2444)*E2444*INDEX(Products!$E$2:$E$49,MATCH(C2444,Products!$A$2:$A$49,0)))</f>
        <v>0</v>
      </c>
    </row>
    <row r="2445" customFormat="false" ht="15" hidden="false" customHeight="false" outlineLevel="0" collapsed="false">
      <c r="A2445" s="36" t="n">
        <v>46244</v>
      </c>
      <c r="B2445" s="24" t="s">
        <v>63</v>
      </c>
      <c r="C2445" s="24" t="s">
        <v>117</v>
      </c>
      <c r="D2445" s="33" t="n">
        <v>39</v>
      </c>
      <c r="E2445" s="24" t="n">
        <v>4</v>
      </c>
      <c r="F2445" s="37" t="n">
        <f aca="false">DATE(YEAR(A2445),MONTH(A2445),1)</f>
        <v>46235</v>
      </c>
      <c r="G2445" s="24" t="str">
        <f aca="false">INDEX(Products!$C$2:$C$49,MATCH(C2445,Products!$A$2:$A$49,0))</f>
        <v>Grocery Staples</v>
      </c>
      <c r="H2445" s="33" t="n">
        <f aca="false">D2445*INDEX(Products!$E$2:$E$49,MATCH(C2445,Products!$A$2:$A$49,0))</f>
        <v>7410</v>
      </c>
      <c r="I2445" s="33" t="n">
        <f aca="false">D2445*INDEX(Products!$D$2:$D$49,MATCH(C2445,Products!$A$2:$A$49,0))*(1+INDEX(Assumptions!$B$16:$B$20,MATCH(B2445,Assumptions!$A$16:$A$20,0)))</f>
        <v>6656.832</v>
      </c>
      <c r="J2445" s="33" t="n">
        <f aca="false">H2445-I2445</f>
        <v>753.168</v>
      </c>
      <c r="K2445" s="33" t="n">
        <f aca="false">IF(OR(E2445=0,E2445&gt;=7),0,D2445/(7-E2445)*E2445*INDEX(Products!$E$2:$E$49,MATCH(C2445,Products!$A$2:$A$49,0)))</f>
        <v>9880</v>
      </c>
    </row>
    <row r="2446" customFormat="false" ht="15" hidden="false" customHeight="false" outlineLevel="0" collapsed="false">
      <c r="A2446" s="36" t="n">
        <v>46251</v>
      </c>
      <c r="B2446" s="24" t="s">
        <v>63</v>
      </c>
      <c r="C2446" s="24" t="s">
        <v>117</v>
      </c>
      <c r="D2446" s="33" t="n">
        <v>88</v>
      </c>
      <c r="E2446" s="24" t="n">
        <v>1</v>
      </c>
      <c r="F2446" s="37" t="n">
        <f aca="false">DATE(YEAR(A2446),MONTH(A2446),1)</f>
        <v>46235</v>
      </c>
      <c r="G2446" s="24" t="str">
        <f aca="false">INDEX(Products!$C$2:$C$49,MATCH(C2446,Products!$A$2:$A$49,0))</f>
        <v>Grocery Staples</v>
      </c>
      <c r="H2446" s="33" t="n">
        <f aca="false">D2446*INDEX(Products!$E$2:$E$49,MATCH(C2446,Products!$A$2:$A$49,0))</f>
        <v>16720</v>
      </c>
      <c r="I2446" s="33" t="n">
        <f aca="false">D2446*INDEX(Products!$D$2:$D$49,MATCH(C2446,Products!$A$2:$A$49,0))*(1+INDEX(Assumptions!$B$16:$B$20,MATCH(B2446,Assumptions!$A$16:$A$20,0)))</f>
        <v>15020.544</v>
      </c>
      <c r="J2446" s="33" t="n">
        <f aca="false">H2446-I2446</f>
        <v>1699.456</v>
      </c>
      <c r="K2446" s="33" t="n">
        <f aca="false">IF(OR(E2446=0,E2446&gt;=7),0,D2446/(7-E2446)*E2446*INDEX(Products!$E$2:$E$49,MATCH(C2446,Products!$A$2:$A$49,0)))</f>
        <v>2786.66666666667</v>
      </c>
    </row>
    <row r="2447" customFormat="false" ht="15" hidden="false" customHeight="false" outlineLevel="0" collapsed="false">
      <c r="A2447" s="36" t="n">
        <v>46258</v>
      </c>
      <c r="B2447" s="24" t="s">
        <v>63</v>
      </c>
      <c r="C2447" s="24" t="s">
        <v>117</v>
      </c>
      <c r="D2447" s="33" t="n">
        <v>95</v>
      </c>
      <c r="E2447" s="24" t="n">
        <v>2</v>
      </c>
      <c r="F2447" s="37" t="n">
        <f aca="false">DATE(YEAR(A2447),MONTH(A2447),1)</f>
        <v>46235</v>
      </c>
      <c r="G2447" s="24" t="str">
        <f aca="false">INDEX(Products!$C$2:$C$49,MATCH(C2447,Products!$A$2:$A$49,0))</f>
        <v>Grocery Staples</v>
      </c>
      <c r="H2447" s="33" t="n">
        <f aca="false">D2447*INDEX(Products!$E$2:$E$49,MATCH(C2447,Products!$A$2:$A$49,0))</f>
        <v>18050</v>
      </c>
      <c r="I2447" s="33" t="n">
        <f aca="false">D2447*INDEX(Products!$D$2:$D$49,MATCH(C2447,Products!$A$2:$A$49,0))*(1+INDEX(Assumptions!$B$16:$B$20,MATCH(B2447,Assumptions!$A$16:$A$20,0)))</f>
        <v>16215.36</v>
      </c>
      <c r="J2447" s="33" t="n">
        <f aca="false">H2447-I2447</f>
        <v>1834.64</v>
      </c>
      <c r="K2447" s="33" t="n">
        <f aca="false">IF(OR(E2447=0,E2447&gt;=7),0,D2447/(7-E2447)*E2447*INDEX(Products!$E$2:$E$49,MATCH(C2447,Products!$A$2:$A$49,0)))</f>
        <v>7220</v>
      </c>
    </row>
    <row r="2448" customFormat="false" ht="15" hidden="false" customHeight="false" outlineLevel="0" collapsed="false">
      <c r="A2448" s="36" t="n">
        <v>46265</v>
      </c>
      <c r="B2448" s="24" t="s">
        <v>63</v>
      </c>
      <c r="C2448" s="24" t="s">
        <v>117</v>
      </c>
      <c r="D2448" s="33" t="n">
        <v>120</v>
      </c>
      <c r="E2448" s="24" t="n">
        <v>0</v>
      </c>
      <c r="F2448" s="37" t="n">
        <f aca="false">DATE(YEAR(A2448),MONTH(A2448),1)</f>
        <v>46235</v>
      </c>
      <c r="G2448" s="24" t="str">
        <f aca="false">INDEX(Products!$C$2:$C$49,MATCH(C2448,Products!$A$2:$A$49,0))</f>
        <v>Grocery Staples</v>
      </c>
      <c r="H2448" s="33" t="n">
        <f aca="false">D2448*INDEX(Products!$E$2:$E$49,MATCH(C2448,Products!$A$2:$A$49,0))</f>
        <v>22800</v>
      </c>
      <c r="I2448" s="33" t="n">
        <f aca="false">D2448*INDEX(Products!$D$2:$D$49,MATCH(C2448,Products!$A$2:$A$49,0))*(1+INDEX(Assumptions!$B$16:$B$20,MATCH(B2448,Assumptions!$A$16:$A$20,0)))</f>
        <v>20482.56</v>
      </c>
      <c r="J2448" s="33" t="n">
        <f aca="false">H2448-I2448</f>
        <v>2317.44</v>
      </c>
      <c r="K2448" s="33" t="n">
        <f aca="false">IF(OR(E2448=0,E2448&gt;=7),0,D2448/(7-E2448)*E2448*INDEX(Products!$E$2:$E$49,MATCH(C2448,Products!$A$2:$A$49,0)))</f>
        <v>0</v>
      </c>
    </row>
    <row r="2449" customFormat="false" ht="15" hidden="false" customHeight="false" outlineLevel="0" collapsed="false">
      <c r="A2449" s="36" t="n">
        <v>46272</v>
      </c>
      <c r="B2449" s="24" t="s">
        <v>63</v>
      </c>
      <c r="C2449" s="24" t="s">
        <v>117</v>
      </c>
      <c r="D2449" s="33" t="n">
        <v>97</v>
      </c>
      <c r="E2449" s="24" t="n">
        <v>0</v>
      </c>
      <c r="F2449" s="37" t="n">
        <f aca="false">DATE(YEAR(A2449),MONTH(A2449),1)</f>
        <v>46266</v>
      </c>
      <c r="G2449" s="24" t="str">
        <f aca="false">INDEX(Products!$C$2:$C$49,MATCH(C2449,Products!$A$2:$A$49,0))</f>
        <v>Grocery Staples</v>
      </c>
      <c r="H2449" s="33" t="n">
        <f aca="false">D2449*INDEX(Products!$E$2:$E$49,MATCH(C2449,Products!$A$2:$A$49,0))</f>
        <v>18430</v>
      </c>
      <c r="I2449" s="33" t="n">
        <f aca="false">D2449*INDEX(Products!$D$2:$D$49,MATCH(C2449,Products!$A$2:$A$49,0))*(1+INDEX(Assumptions!$B$16:$B$20,MATCH(B2449,Assumptions!$A$16:$A$20,0)))</f>
        <v>16556.736</v>
      </c>
      <c r="J2449" s="33" t="n">
        <f aca="false">H2449-I2449</f>
        <v>1873.264</v>
      </c>
      <c r="K2449" s="33" t="n">
        <f aca="false">IF(OR(E2449=0,E2449&gt;=7),0,D2449/(7-E2449)*E2449*INDEX(Products!$E$2:$E$49,MATCH(C2449,Products!$A$2:$A$49,0)))</f>
        <v>0</v>
      </c>
    </row>
    <row r="2450" customFormat="false" ht="15" hidden="false" customHeight="false" outlineLevel="0" collapsed="false">
      <c r="A2450" s="36" t="n">
        <v>46279</v>
      </c>
      <c r="B2450" s="24" t="s">
        <v>63</v>
      </c>
      <c r="C2450" s="24" t="s">
        <v>117</v>
      </c>
      <c r="D2450" s="33" t="n">
        <v>121</v>
      </c>
      <c r="E2450" s="24" t="n">
        <v>0</v>
      </c>
      <c r="F2450" s="37" t="n">
        <f aca="false">DATE(YEAR(A2450),MONTH(A2450),1)</f>
        <v>46266</v>
      </c>
      <c r="G2450" s="24" t="str">
        <f aca="false">INDEX(Products!$C$2:$C$49,MATCH(C2450,Products!$A$2:$A$49,0))</f>
        <v>Grocery Staples</v>
      </c>
      <c r="H2450" s="33" t="n">
        <f aca="false">D2450*INDEX(Products!$E$2:$E$49,MATCH(C2450,Products!$A$2:$A$49,0))</f>
        <v>22990</v>
      </c>
      <c r="I2450" s="33" t="n">
        <f aca="false">D2450*INDEX(Products!$D$2:$D$49,MATCH(C2450,Products!$A$2:$A$49,0))*(1+INDEX(Assumptions!$B$16:$B$20,MATCH(B2450,Assumptions!$A$16:$A$20,0)))</f>
        <v>20653.248</v>
      </c>
      <c r="J2450" s="33" t="n">
        <f aca="false">H2450-I2450</f>
        <v>2336.752</v>
      </c>
      <c r="K2450" s="33" t="n">
        <f aca="false">IF(OR(E2450=0,E2450&gt;=7),0,D2450/(7-E2450)*E2450*INDEX(Products!$E$2:$E$49,MATCH(C2450,Products!$A$2:$A$49,0)))</f>
        <v>0</v>
      </c>
    </row>
    <row r="2451" customFormat="false" ht="15" hidden="false" customHeight="false" outlineLevel="0" collapsed="false">
      <c r="A2451" s="36" t="n">
        <v>46286</v>
      </c>
      <c r="B2451" s="24" t="s">
        <v>63</v>
      </c>
      <c r="C2451" s="24" t="s">
        <v>117</v>
      </c>
      <c r="D2451" s="33" t="n">
        <v>116</v>
      </c>
      <c r="E2451" s="24" t="n">
        <v>0</v>
      </c>
      <c r="F2451" s="37" t="n">
        <f aca="false">DATE(YEAR(A2451),MONTH(A2451),1)</f>
        <v>46266</v>
      </c>
      <c r="G2451" s="24" t="str">
        <f aca="false">INDEX(Products!$C$2:$C$49,MATCH(C2451,Products!$A$2:$A$49,0))</f>
        <v>Grocery Staples</v>
      </c>
      <c r="H2451" s="33" t="n">
        <f aca="false">D2451*INDEX(Products!$E$2:$E$49,MATCH(C2451,Products!$A$2:$A$49,0))</f>
        <v>22040</v>
      </c>
      <c r="I2451" s="33" t="n">
        <f aca="false">D2451*INDEX(Products!$D$2:$D$49,MATCH(C2451,Products!$A$2:$A$49,0))*(1+INDEX(Assumptions!$B$16:$B$20,MATCH(B2451,Assumptions!$A$16:$A$20,0)))</f>
        <v>19799.808</v>
      </c>
      <c r="J2451" s="33" t="n">
        <f aca="false">H2451-I2451</f>
        <v>2240.192</v>
      </c>
      <c r="K2451" s="33" t="n">
        <f aca="false">IF(OR(E2451=0,E2451&gt;=7),0,D2451/(7-E2451)*E2451*INDEX(Products!$E$2:$E$49,MATCH(C2451,Products!$A$2:$A$49,0)))</f>
        <v>0</v>
      </c>
    </row>
    <row r="2452" customFormat="false" ht="15" hidden="false" customHeight="false" outlineLevel="0" collapsed="false">
      <c r="A2452" s="36" t="n">
        <v>46118</v>
      </c>
      <c r="B2452" s="24" t="s">
        <v>63</v>
      </c>
      <c r="C2452" s="24" t="s">
        <v>119</v>
      </c>
      <c r="D2452" s="33" t="n">
        <v>85</v>
      </c>
      <c r="E2452" s="24" t="n">
        <v>0</v>
      </c>
      <c r="F2452" s="37" t="n">
        <f aca="false">DATE(YEAR(A2452),MONTH(A2452),1)</f>
        <v>46113</v>
      </c>
      <c r="G2452" s="24" t="str">
        <f aca="false">INDEX(Products!$C$2:$C$49,MATCH(C2452,Products!$A$2:$A$49,0))</f>
        <v>Grocery Staples</v>
      </c>
      <c r="H2452" s="33" t="n">
        <f aca="false">D2452*INDEX(Products!$E$2:$E$49,MATCH(C2452,Products!$A$2:$A$49,0))</f>
        <v>35700</v>
      </c>
      <c r="I2452" s="33" t="n">
        <f aca="false">D2452*INDEX(Products!$D$2:$D$49,MATCH(C2452,Products!$A$2:$A$49,0))*(1+INDEX(Assumptions!$B$16:$B$20,MATCH(B2452,Assumptions!$A$16:$A$20,0)))</f>
        <v>32471.36</v>
      </c>
      <c r="J2452" s="33" t="n">
        <f aca="false">H2452-I2452</f>
        <v>3228.64</v>
      </c>
      <c r="K2452" s="33" t="n">
        <f aca="false">IF(OR(E2452=0,E2452&gt;=7),0,D2452/(7-E2452)*E2452*INDEX(Products!$E$2:$E$49,MATCH(C2452,Products!$A$2:$A$49,0)))</f>
        <v>0</v>
      </c>
    </row>
    <row r="2453" customFormat="false" ht="15" hidden="false" customHeight="false" outlineLevel="0" collapsed="false">
      <c r="A2453" s="36" t="n">
        <v>46125</v>
      </c>
      <c r="B2453" s="24" t="s">
        <v>63</v>
      </c>
      <c r="C2453" s="24" t="s">
        <v>119</v>
      </c>
      <c r="D2453" s="33" t="n">
        <v>91</v>
      </c>
      <c r="E2453" s="24" t="n">
        <v>0</v>
      </c>
      <c r="F2453" s="37" t="n">
        <f aca="false">DATE(YEAR(A2453),MONTH(A2453),1)</f>
        <v>46113</v>
      </c>
      <c r="G2453" s="24" t="str">
        <f aca="false">INDEX(Products!$C$2:$C$49,MATCH(C2453,Products!$A$2:$A$49,0))</f>
        <v>Grocery Staples</v>
      </c>
      <c r="H2453" s="33" t="n">
        <f aca="false">D2453*INDEX(Products!$E$2:$E$49,MATCH(C2453,Products!$A$2:$A$49,0))</f>
        <v>38220</v>
      </c>
      <c r="I2453" s="33" t="n">
        <f aca="false">D2453*INDEX(Products!$D$2:$D$49,MATCH(C2453,Products!$A$2:$A$49,0))*(1+INDEX(Assumptions!$B$16:$B$20,MATCH(B2453,Assumptions!$A$16:$A$20,0)))</f>
        <v>34763.456</v>
      </c>
      <c r="J2453" s="33" t="n">
        <f aca="false">H2453-I2453</f>
        <v>3456.544</v>
      </c>
      <c r="K2453" s="33" t="n">
        <f aca="false">IF(OR(E2453=0,E2453&gt;=7),0,D2453/(7-E2453)*E2453*INDEX(Products!$E$2:$E$49,MATCH(C2453,Products!$A$2:$A$49,0)))</f>
        <v>0</v>
      </c>
    </row>
    <row r="2454" customFormat="false" ht="15" hidden="false" customHeight="false" outlineLevel="0" collapsed="false">
      <c r="A2454" s="36" t="n">
        <v>46132</v>
      </c>
      <c r="B2454" s="24" t="s">
        <v>63</v>
      </c>
      <c r="C2454" s="24" t="s">
        <v>119</v>
      </c>
      <c r="D2454" s="33" t="n">
        <v>100</v>
      </c>
      <c r="E2454" s="24" t="n">
        <v>0</v>
      </c>
      <c r="F2454" s="37" t="n">
        <f aca="false">DATE(YEAR(A2454),MONTH(A2454),1)</f>
        <v>46113</v>
      </c>
      <c r="G2454" s="24" t="str">
        <f aca="false">INDEX(Products!$C$2:$C$49,MATCH(C2454,Products!$A$2:$A$49,0))</f>
        <v>Grocery Staples</v>
      </c>
      <c r="H2454" s="33" t="n">
        <f aca="false">D2454*INDEX(Products!$E$2:$E$49,MATCH(C2454,Products!$A$2:$A$49,0))</f>
        <v>42000</v>
      </c>
      <c r="I2454" s="33" t="n">
        <f aca="false">D2454*INDEX(Products!$D$2:$D$49,MATCH(C2454,Products!$A$2:$A$49,0))*(1+INDEX(Assumptions!$B$16:$B$20,MATCH(B2454,Assumptions!$A$16:$A$20,0)))</f>
        <v>38201.6</v>
      </c>
      <c r="J2454" s="33" t="n">
        <f aca="false">H2454-I2454</f>
        <v>3798.4</v>
      </c>
      <c r="K2454" s="33" t="n">
        <f aca="false">IF(OR(E2454=0,E2454&gt;=7),0,D2454/(7-E2454)*E2454*INDEX(Products!$E$2:$E$49,MATCH(C2454,Products!$A$2:$A$49,0)))</f>
        <v>0</v>
      </c>
    </row>
    <row r="2455" customFormat="false" ht="15" hidden="false" customHeight="false" outlineLevel="0" collapsed="false">
      <c r="A2455" s="36" t="n">
        <v>46139</v>
      </c>
      <c r="B2455" s="24" t="s">
        <v>63</v>
      </c>
      <c r="C2455" s="24" t="s">
        <v>119</v>
      </c>
      <c r="D2455" s="33" t="n">
        <v>111</v>
      </c>
      <c r="E2455" s="24" t="n">
        <v>0</v>
      </c>
      <c r="F2455" s="37" t="n">
        <f aca="false">DATE(YEAR(A2455),MONTH(A2455),1)</f>
        <v>46113</v>
      </c>
      <c r="G2455" s="24" t="str">
        <f aca="false">INDEX(Products!$C$2:$C$49,MATCH(C2455,Products!$A$2:$A$49,0))</f>
        <v>Grocery Staples</v>
      </c>
      <c r="H2455" s="33" t="n">
        <f aca="false">D2455*INDEX(Products!$E$2:$E$49,MATCH(C2455,Products!$A$2:$A$49,0))</f>
        <v>46620</v>
      </c>
      <c r="I2455" s="33" t="n">
        <f aca="false">D2455*INDEX(Products!$D$2:$D$49,MATCH(C2455,Products!$A$2:$A$49,0))*(1+INDEX(Assumptions!$B$16:$B$20,MATCH(B2455,Assumptions!$A$16:$A$20,0)))</f>
        <v>42403.776</v>
      </c>
      <c r="J2455" s="33" t="n">
        <f aca="false">H2455-I2455</f>
        <v>4216.224</v>
      </c>
      <c r="K2455" s="33" t="n">
        <f aca="false">IF(OR(E2455=0,E2455&gt;=7),0,D2455/(7-E2455)*E2455*INDEX(Products!$E$2:$E$49,MATCH(C2455,Products!$A$2:$A$49,0)))</f>
        <v>0</v>
      </c>
    </row>
    <row r="2456" customFormat="false" ht="15" hidden="false" customHeight="false" outlineLevel="0" collapsed="false">
      <c r="A2456" s="36" t="n">
        <v>46146</v>
      </c>
      <c r="B2456" s="24" t="s">
        <v>63</v>
      </c>
      <c r="C2456" s="24" t="s">
        <v>119</v>
      </c>
      <c r="D2456" s="33" t="n">
        <v>100</v>
      </c>
      <c r="E2456" s="24" t="n">
        <v>0</v>
      </c>
      <c r="F2456" s="37" t="n">
        <f aca="false">DATE(YEAR(A2456),MONTH(A2456),1)</f>
        <v>46143</v>
      </c>
      <c r="G2456" s="24" t="str">
        <f aca="false">INDEX(Products!$C$2:$C$49,MATCH(C2456,Products!$A$2:$A$49,0))</f>
        <v>Grocery Staples</v>
      </c>
      <c r="H2456" s="33" t="n">
        <f aca="false">D2456*INDEX(Products!$E$2:$E$49,MATCH(C2456,Products!$A$2:$A$49,0))</f>
        <v>42000</v>
      </c>
      <c r="I2456" s="33" t="n">
        <f aca="false">D2456*INDEX(Products!$D$2:$D$49,MATCH(C2456,Products!$A$2:$A$49,0))*(1+INDEX(Assumptions!$B$16:$B$20,MATCH(B2456,Assumptions!$A$16:$A$20,0)))</f>
        <v>38201.6</v>
      </c>
      <c r="J2456" s="33" t="n">
        <f aca="false">H2456-I2456</f>
        <v>3798.4</v>
      </c>
      <c r="K2456" s="33" t="n">
        <f aca="false">IF(OR(E2456=0,E2456&gt;=7),0,D2456/(7-E2456)*E2456*INDEX(Products!$E$2:$E$49,MATCH(C2456,Products!$A$2:$A$49,0)))</f>
        <v>0</v>
      </c>
    </row>
    <row r="2457" customFormat="false" ht="15" hidden="false" customHeight="false" outlineLevel="0" collapsed="false">
      <c r="A2457" s="36" t="n">
        <v>46153</v>
      </c>
      <c r="B2457" s="24" t="s">
        <v>63</v>
      </c>
      <c r="C2457" s="24" t="s">
        <v>119</v>
      </c>
      <c r="D2457" s="33" t="n">
        <v>93</v>
      </c>
      <c r="E2457" s="24" t="n">
        <v>0</v>
      </c>
      <c r="F2457" s="37" t="n">
        <f aca="false">DATE(YEAR(A2457),MONTH(A2457),1)</f>
        <v>46143</v>
      </c>
      <c r="G2457" s="24" t="str">
        <f aca="false">INDEX(Products!$C$2:$C$49,MATCH(C2457,Products!$A$2:$A$49,0))</f>
        <v>Grocery Staples</v>
      </c>
      <c r="H2457" s="33" t="n">
        <f aca="false">D2457*INDEX(Products!$E$2:$E$49,MATCH(C2457,Products!$A$2:$A$49,0))</f>
        <v>39060</v>
      </c>
      <c r="I2457" s="33" t="n">
        <f aca="false">D2457*INDEX(Products!$D$2:$D$49,MATCH(C2457,Products!$A$2:$A$49,0))*(1+INDEX(Assumptions!$B$16:$B$20,MATCH(B2457,Assumptions!$A$16:$A$20,0)))</f>
        <v>35527.488</v>
      </c>
      <c r="J2457" s="33" t="n">
        <f aca="false">H2457-I2457</f>
        <v>3532.512</v>
      </c>
      <c r="K2457" s="33" t="n">
        <f aca="false">IF(OR(E2457=0,E2457&gt;=7),0,D2457/(7-E2457)*E2457*INDEX(Products!$E$2:$E$49,MATCH(C2457,Products!$A$2:$A$49,0)))</f>
        <v>0</v>
      </c>
    </row>
    <row r="2458" customFormat="false" ht="15" hidden="false" customHeight="false" outlineLevel="0" collapsed="false">
      <c r="A2458" s="36" t="n">
        <v>46160</v>
      </c>
      <c r="B2458" s="24" t="s">
        <v>63</v>
      </c>
      <c r="C2458" s="24" t="s">
        <v>119</v>
      </c>
      <c r="D2458" s="33" t="n">
        <v>110</v>
      </c>
      <c r="E2458" s="24" t="n">
        <v>0</v>
      </c>
      <c r="F2458" s="37" t="n">
        <f aca="false">DATE(YEAR(A2458),MONTH(A2458),1)</f>
        <v>46143</v>
      </c>
      <c r="G2458" s="24" t="str">
        <f aca="false">INDEX(Products!$C$2:$C$49,MATCH(C2458,Products!$A$2:$A$49,0))</f>
        <v>Grocery Staples</v>
      </c>
      <c r="H2458" s="33" t="n">
        <f aca="false">D2458*INDEX(Products!$E$2:$E$49,MATCH(C2458,Products!$A$2:$A$49,0))</f>
        <v>46200</v>
      </c>
      <c r="I2458" s="33" t="n">
        <f aca="false">D2458*INDEX(Products!$D$2:$D$49,MATCH(C2458,Products!$A$2:$A$49,0))*(1+INDEX(Assumptions!$B$16:$B$20,MATCH(B2458,Assumptions!$A$16:$A$20,0)))</f>
        <v>42021.76</v>
      </c>
      <c r="J2458" s="33" t="n">
        <f aca="false">H2458-I2458</f>
        <v>4178.24</v>
      </c>
      <c r="K2458" s="33" t="n">
        <f aca="false">IF(OR(E2458=0,E2458&gt;=7),0,D2458/(7-E2458)*E2458*INDEX(Products!$E$2:$E$49,MATCH(C2458,Products!$A$2:$A$49,0)))</f>
        <v>0</v>
      </c>
    </row>
    <row r="2459" customFormat="false" ht="15" hidden="false" customHeight="false" outlineLevel="0" collapsed="false">
      <c r="A2459" s="36" t="n">
        <v>46167</v>
      </c>
      <c r="B2459" s="24" t="s">
        <v>63</v>
      </c>
      <c r="C2459" s="24" t="s">
        <v>119</v>
      </c>
      <c r="D2459" s="33" t="n">
        <v>104</v>
      </c>
      <c r="E2459" s="24" t="n">
        <v>0</v>
      </c>
      <c r="F2459" s="37" t="n">
        <f aca="false">DATE(YEAR(A2459),MONTH(A2459),1)</f>
        <v>46143</v>
      </c>
      <c r="G2459" s="24" t="str">
        <f aca="false">INDEX(Products!$C$2:$C$49,MATCH(C2459,Products!$A$2:$A$49,0))</f>
        <v>Grocery Staples</v>
      </c>
      <c r="H2459" s="33" t="n">
        <f aca="false">D2459*INDEX(Products!$E$2:$E$49,MATCH(C2459,Products!$A$2:$A$49,0))</f>
        <v>43680</v>
      </c>
      <c r="I2459" s="33" t="n">
        <f aca="false">D2459*INDEX(Products!$D$2:$D$49,MATCH(C2459,Products!$A$2:$A$49,0))*(1+INDEX(Assumptions!$B$16:$B$20,MATCH(B2459,Assumptions!$A$16:$A$20,0)))</f>
        <v>39729.664</v>
      </c>
      <c r="J2459" s="33" t="n">
        <f aca="false">H2459-I2459</f>
        <v>3950.336</v>
      </c>
      <c r="K2459" s="33" t="n">
        <f aca="false">IF(OR(E2459=0,E2459&gt;=7),0,D2459/(7-E2459)*E2459*INDEX(Products!$E$2:$E$49,MATCH(C2459,Products!$A$2:$A$49,0)))</f>
        <v>0</v>
      </c>
    </row>
    <row r="2460" customFormat="false" ht="15" hidden="false" customHeight="false" outlineLevel="0" collapsed="false">
      <c r="A2460" s="36" t="n">
        <v>46174</v>
      </c>
      <c r="B2460" s="24" t="s">
        <v>63</v>
      </c>
      <c r="C2460" s="24" t="s">
        <v>119</v>
      </c>
      <c r="D2460" s="33" t="n">
        <v>92</v>
      </c>
      <c r="E2460" s="24" t="n">
        <v>0</v>
      </c>
      <c r="F2460" s="37" t="n">
        <f aca="false">DATE(YEAR(A2460),MONTH(A2460),1)</f>
        <v>46174</v>
      </c>
      <c r="G2460" s="24" t="str">
        <f aca="false">INDEX(Products!$C$2:$C$49,MATCH(C2460,Products!$A$2:$A$49,0))</f>
        <v>Grocery Staples</v>
      </c>
      <c r="H2460" s="33" t="n">
        <f aca="false">D2460*INDEX(Products!$E$2:$E$49,MATCH(C2460,Products!$A$2:$A$49,0))</f>
        <v>38640</v>
      </c>
      <c r="I2460" s="33" t="n">
        <f aca="false">D2460*INDEX(Products!$D$2:$D$49,MATCH(C2460,Products!$A$2:$A$49,0))*(1+INDEX(Assumptions!$B$16:$B$20,MATCH(B2460,Assumptions!$A$16:$A$20,0)))</f>
        <v>35145.472</v>
      </c>
      <c r="J2460" s="33" t="n">
        <f aca="false">H2460-I2460</f>
        <v>3494.528</v>
      </c>
      <c r="K2460" s="33" t="n">
        <f aca="false">IF(OR(E2460=0,E2460&gt;=7),0,D2460/(7-E2460)*E2460*INDEX(Products!$E$2:$E$49,MATCH(C2460,Products!$A$2:$A$49,0)))</f>
        <v>0</v>
      </c>
    </row>
    <row r="2461" customFormat="false" ht="15" hidden="false" customHeight="false" outlineLevel="0" collapsed="false">
      <c r="A2461" s="36" t="n">
        <v>46181</v>
      </c>
      <c r="B2461" s="24" t="s">
        <v>63</v>
      </c>
      <c r="C2461" s="24" t="s">
        <v>119</v>
      </c>
      <c r="D2461" s="33" t="n">
        <v>71</v>
      </c>
      <c r="E2461" s="24" t="n">
        <v>1</v>
      </c>
      <c r="F2461" s="37" t="n">
        <f aca="false">DATE(YEAR(A2461),MONTH(A2461),1)</f>
        <v>46174</v>
      </c>
      <c r="G2461" s="24" t="str">
        <f aca="false">INDEX(Products!$C$2:$C$49,MATCH(C2461,Products!$A$2:$A$49,0))</f>
        <v>Grocery Staples</v>
      </c>
      <c r="H2461" s="33" t="n">
        <f aca="false">D2461*INDEX(Products!$E$2:$E$49,MATCH(C2461,Products!$A$2:$A$49,0))</f>
        <v>29820</v>
      </c>
      <c r="I2461" s="33" t="n">
        <f aca="false">D2461*INDEX(Products!$D$2:$D$49,MATCH(C2461,Products!$A$2:$A$49,0))*(1+INDEX(Assumptions!$B$16:$B$20,MATCH(B2461,Assumptions!$A$16:$A$20,0)))</f>
        <v>27123.136</v>
      </c>
      <c r="J2461" s="33" t="n">
        <f aca="false">H2461-I2461</f>
        <v>2696.864</v>
      </c>
      <c r="K2461" s="33" t="n">
        <f aca="false">IF(OR(E2461=0,E2461&gt;=7),0,D2461/(7-E2461)*E2461*INDEX(Products!$E$2:$E$49,MATCH(C2461,Products!$A$2:$A$49,0)))</f>
        <v>4970</v>
      </c>
    </row>
    <row r="2462" customFormat="false" ht="15" hidden="false" customHeight="false" outlineLevel="0" collapsed="false">
      <c r="A2462" s="36" t="n">
        <v>46188</v>
      </c>
      <c r="B2462" s="24" t="s">
        <v>63</v>
      </c>
      <c r="C2462" s="24" t="s">
        <v>119</v>
      </c>
      <c r="D2462" s="33" t="n">
        <v>76</v>
      </c>
      <c r="E2462" s="24" t="n">
        <v>0</v>
      </c>
      <c r="F2462" s="37" t="n">
        <f aca="false">DATE(YEAR(A2462),MONTH(A2462),1)</f>
        <v>46174</v>
      </c>
      <c r="G2462" s="24" t="str">
        <f aca="false">INDEX(Products!$C$2:$C$49,MATCH(C2462,Products!$A$2:$A$49,0))</f>
        <v>Grocery Staples</v>
      </c>
      <c r="H2462" s="33" t="n">
        <f aca="false">D2462*INDEX(Products!$E$2:$E$49,MATCH(C2462,Products!$A$2:$A$49,0))</f>
        <v>31920</v>
      </c>
      <c r="I2462" s="33" t="n">
        <f aca="false">D2462*INDEX(Products!$D$2:$D$49,MATCH(C2462,Products!$A$2:$A$49,0))*(1+INDEX(Assumptions!$B$16:$B$20,MATCH(B2462,Assumptions!$A$16:$A$20,0)))</f>
        <v>29033.216</v>
      </c>
      <c r="J2462" s="33" t="n">
        <f aca="false">H2462-I2462</f>
        <v>2886.784</v>
      </c>
      <c r="K2462" s="33" t="n">
        <f aca="false">IF(OR(E2462=0,E2462&gt;=7),0,D2462/(7-E2462)*E2462*INDEX(Products!$E$2:$E$49,MATCH(C2462,Products!$A$2:$A$49,0)))</f>
        <v>0</v>
      </c>
    </row>
    <row r="2463" customFormat="false" ht="15" hidden="false" customHeight="false" outlineLevel="0" collapsed="false">
      <c r="A2463" s="36" t="n">
        <v>46195</v>
      </c>
      <c r="B2463" s="24" t="s">
        <v>63</v>
      </c>
      <c r="C2463" s="24" t="s">
        <v>119</v>
      </c>
      <c r="D2463" s="33" t="n">
        <v>46</v>
      </c>
      <c r="E2463" s="24" t="n">
        <v>3</v>
      </c>
      <c r="F2463" s="37" t="n">
        <f aca="false">DATE(YEAR(A2463),MONTH(A2463),1)</f>
        <v>46174</v>
      </c>
      <c r="G2463" s="24" t="str">
        <f aca="false">INDEX(Products!$C$2:$C$49,MATCH(C2463,Products!$A$2:$A$49,0))</f>
        <v>Grocery Staples</v>
      </c>
      <c r="H2463" s="33" t="n">
        <f aca="false">D2463*INDEX(Products!$E$2:$E$49,MATCH(C2463,Products!$A$2:$A$49,0))</f>
        <v>19320</v>
      </c>
      <c r="I2463" s="33" t="n">
        <f aca="false">D2463*INDEX(Products!$D$2:$D$49,MATCH(C2463,Products!$A$2:$A$49,0))*(1+INDEX(Assumptions!$B$16:$B$20,MATCH(B2463,Assumptions!$A$16:$A$20,0)))</f>
        <v>17572.736</v>
      </c>
      <c r="J2463" s="33" t="n">
        <f aca="false">H2463-I2463</f>
        <v>1747.264</v>
      </c>
      <c r="K2463" s="33" t="n">
        <f aca="false">IF(OR(E2463=0,E2463&gt;=7),0,D2463/(7-E2463)*E2463*INDEX(Products!$E$2:$E$49,MATCH(C2463,Products!$A$2:$A$49,0)))</f>
        <v>14490</v>
      </c>
    </row>
    <row r="2464" customFormat="false" ht="15" hidden="false" customHeight="false" outlineLevel="0" collapsed="false">
      <c r="A2464" s="36" t="n">
        <v>46202</v>
      </c>
      <c r="B2464" s="24" t="s">
        <v>63</v>
      </c>
      <c r="C2464" s="24" t="s">
        <v>119</v>
      </c>
      <c r="D2464" s="33" t="n">
        <v>91</v>
      </c>
      <c r="E2464" s="24" t="n">
        <v>0</v>
      </c>
      <c r="F2464" s="37" t="n">
        <f aca="false">DATE(YEAR(A2464),MONTH(A2464),1)</f>
        <v>46174</v>
      </c>
      <c r="G2464" s="24" t="str">
        <f aca="false">INDEX(Products!$C$2:$C$49,MATCH(C2464,Products!$A$2:$A$49,0))</f>
        <v>Grocery Staples</v>
      </c>
      <c r="H2464" s="33" t="n">
        <f aca="false">D2464*INDEX(Products!$E$2:$E$49,MATCH(C2464,Products!$A$2:$A$49,0))</f>
        <v>38220</v>
      </c>
      <c r="I2464" s="33" t="n">
        <f aca="false">D2464*INDEX(Products!$D$2:$D$49,MATCH(C2464,Products!$A$2:$A$49,0))*(1+INDEX(Assumptions!$B$16:$B$20,MATCH(B2464,Assumptions!$A$16:$A$20,0)))</f>
        <v>34763.456</v>
      </c>
      <c r="J2464" s="33" t="n">
        <f aca="false">H2464-I2464</f>
        <v>3456.544</v>
      </c>
      <c r="K2464" s="33" t="n">
        <f aca="false">IF(OR(E2464=0,E2464&gt;=7),0,D2464/(7-E2464)*E2464*INDEX(Products!$E$2:$E$49,MATCH(C2464,Products!$A$2:$A$49,0)))</f>
        <v>0</v>
      </c>
    </row>
    <row r="2465" customFormat="false" ht="15" hidden="false" customHeight="false" outlineLevel="0" collapsed="false">
      <c r="A2465" s="36" t="n">
        <v>46209</v>
      </c>
      <c r="B2465" s="24" t="s">
        <v>63</v>
      </c>
      <c r="C2465" s="24" t="s">
        <v>119</v>
      </c>
      <c r="D2465" s="33" t="n">
        <v>91</v>
      </c>
      <c r="E2465" s="24" t="n">
        <v>0</v>
      </c>
      <c r="F2465" s="37" t="n">
        <f aca="false">DATE(YEAR(A2465),MONTH(A2465),1)</f>
        <v>46204</v>
      </c>
      <c r="G2465" s="24" t="str">
        <f aca="false">INDEX(Products!$C$2:$C$49,MATCH(C2465,Products!$A$2:$A$49,0))</f>
        <v>Grocery Staples</v>
      </c>
      <c r="H2465" s="33" t="n">
        <f aca="false">D2465*INDEX(Products!$E$2:$E$49,MATCH(C2465,Products!$A$2:$A$49,0))</f>
        <v>38220</v>
      </c>
      <c r="I2465" s="33" t="n">
        <f aca="false">D2465*INDEX(Products!$D$2:$D$49,MATCH(C2465,Products!$A$2:$A$49,0))*(1+INDEX(Assumptions!$B$16:$B$20,MATCH(B2465,Assumptions!$A$16:$A$20,0)))</f>
        <v>34763.456</v>
      </c>
      <c r="J2465" s="33" t="n">
        <f aca="false">H2465-I2465</f>
        <v>3456.544</v>
      </c>
      <c r="K2465" s="33" t="n">
        <f aca="false">IF(OR(E2465=0,E2465&gt;=7),0,D2465/(7-E2465)*E2465*INDEX(Products!$E$2:$E$49,MATCH(C2465,Products!$A$2:$A$49,0)))</f>
        <v>0</v>
      </c>
    </row>
    <row r="2466" customFormat="false" ht="15" hidden="false" customHeight="false" outlineLevel="0" collapsed="false">
      <c r="A2466" s="36" t="n">
        <v>46216</v>
      </c>
      <c r="B2466" s="24" t="s">
        <v>63</v>
      </c>
      <c r="C2466" s="24" t="s">
        <v>119</v>
      </c>
      <c r="D2466" s="33" t="n">
        <v>73</v>
      </c>
      <c r="E2466" s="24" t="n">
        <v>0</v>
      </c>
      <c r="F2466" s="37" t="n">
        <f aca="false">DATE(YEAR(A2466),MONTH(A2466),1)</f>
        <v>46204</v>
      </c>
      <c r="G2466" s="24" t="str">
        <f aca="false">INDEX(Products!$C$2:$C$49,MATCH(C2466,Products!$A$2:$A$49,0))</f>
        <v>Grocery Staples</v>
      </c>
      <c r="H2466" s="33" t="n">
        <f aca="false">D2466*INDEX(Products!$E$2:$E$49,MATCH(C2466,Products!$A$2:$A$49,0))</f>
        <v>30660</v>
      </c>
      <c r="I2466" s="33" t="n">
        <f aca="false">D2466*INDEX(Products!$D$2:$D$49,MATCH(C2466,Products!$A$2:$A$49,0))*(1+INDEX(Assumptions!$B$16:$B$20,MATCH(B2466,Assumptions!$A$16:$A$20,0)))</f>
        <v>27887.168</v>
      </c>
      <c r="J2466" s="33" t="n">
        <f aca="false">H2466-I2466</f>
        <v>2772.832</v>
      </c>
      <c r="K2466" s="33" t="n">
        <f aca="false">IF(OR(E2466=0,E2466&gt;=7),0,D2466/(7-E2466)*E2466*INDEX(Products!$E$2:$E$49,MATCH(C2466,Products!$A$2:$A$49,0)))</f>
        <v>0</v>
      </c>
    </row>
    <row r="2467" customFormat="false" ht="15" hidden="false" customHeight="false" outlineLevel="0" collapsed="false">
      <c r="A2467" s="36" t="n">
        <v>46223</v>
      </c>
      <c r="B2467" s="24" t="s">
        <v>63</v>
      </c>
      <c r="C2467" s="24" t="s">
        <v>119</v>
      </c>
      <c r="D2467" s="33" t="n">
        <v>23</v>
      </c>
      <c r="E2467" s="24" t="n">
        <v>5</v>
      </c>
      <c r="F2467" s="37" t="n">
        <f aca="false">DATE(YEAR(A2467),MONTH(A2467),1)</f>
        <v>46204</v>
      </c>
      <c r="G2467" s="24" t="str">
        <f aca="false">INDEX(Products!$C$2:$C$49,MATCH(C2467,Products!$A$2:$A$49,0))</f>
        <v>Grocery Staples</v>
      </c>
      <c r="H2467" s="33" t="n">
        <f aca="false">D2467*INDEX(Products!$E$2:$E$49,MATCH(C2467,Products!$A$2:$A$49,0))</f>
        <v>9660</v>
      </c>
      <c r="I2467" s="33" t="n">
        <f aca="false">D2467*INDEX(Products!$D$2:$D$49,MATCH(C2467,Products!$A$2:$A$49,0))*(1+INDEX(Assumptions!$B$16:$B$20,MATCH(B2467,Assumptions!$A$16:$A$20,0)))</f>
        <v>8786.368</v>
      </c>
      <c r="J2467" s="33" t="n">
        <f aca="false">H2467-I2467</f>
        <v>873.632</v>
      </c>
      <c r="K2467" s="33" t="n">
        <f aca="false">IF(OR(E2467=0,E2467&gt;=7),0,D2467/(7-E2467)*E2467*INDEX(Products!$E$2:$E$49,MATCH(C2467,Products!$A$2:$A$49,0)))</f>
        <v>24150</v>
      </c>
    </row>
    <row r="2468" customFormat="false" ht="15" hidden="false" customHeight="false" outlineLevel="0" collapsed="false">
      <c r="A2468" s="36" t="n">
        <v>46230</v>
      </c>
      <c r="B2468" s="24" t="s">
        <v>63</v>
      </c>
      <c r="C2468" s="24" t="s">
        <v>119</v>
      </c>
      <c r="D2468" s="33" t="n">
        <v>81</v>
      </c>
      <c r="E2468" s="24" t="n">
        <v>0</v>
      </c>
      <c r="F2468" s="37" t="n">
        <f aca="false">DATE(YEAR(A2468),MONTH(A2468),1)</f>
        <v>46204</v>
      </c>
      <c r="G2468" s="24" t="str">
        <f aca="false">INDEX(Products!$C$2:$C$49,MATCH(C2468,Products!$A$2:$A$49,0))</f>
        <v>Grocery Staples</v>
      </c>
      <c r="H2468" s="33" t="n">
        <f aca="false">D2468*INDEX(Products!$E$2:$E$49,MATCH(C2468,Products!$A$2:$A$49,0))</f>
        <v>34020</v>
      </c>
      <c r="I2468" s="33" t="n">
        <f aca="false">D2468*INDEX(Products!$D$2:$D$49,MATCH(C2468,Products!$A$2:$A$49,0))*(1+INDEX(Assumptions!$B$16:$B$20,MATCH(B2468,Assumptions!$A$16:$A$20,0)))</f>
        <v>30943.296</v>
      </c>
      <c r="J2468" s="33" t="n">
        <f aca="false">H2468-I2468</f>
        <v>3076.704</v>
      </c>
      <c r="K2468" s="33" t="n">
        <f aca="false">IF(OR(E2468=0,E2468&gt;=7),0,D2468/(7-E2468)*E2468*INDEX(Products!$E$2:$E$49,MATCH(C2468,Products!$A$2:$A$49,0)))</f>
        <v>0</v>
      </c>
    </row>
    <row r="2469" customFormat="false" ht="15" hidden="false" customHeight="false" outlineLevel="0" collapsed="false">
      <c r="A2469" s="36" t="n">
        <v>46237</v>
      </c>
      <c r="B2469" s="24" t="s">
        <v>63</v>
      </c>
      <c r="C2469" s="24" t="s">
        <v>119</v>
      </c>
      <c r="D2469" s="33" t="n">
        <v>59</v>
      </c>
      <c r="E2469" s="24" t="n">
        <v>0</v>
      </c>
      <c r="F2469" s="37" t="n">
        <f aca="false">DATE(YEAR(A2469),MONTH(A2469),1)</f>
        <v>46235</v>
      </c>
      <c r="G2469" s="24" t="str">
        <f aca="false">INDEX(Products!$C$2:$C$49,MATCH(C2469,Products!$A$2:$A$49,0))</f>
        <v>Grocery Staples</v>
      </c>
      <c r="H2469" s="33" t="n">
        <f aca="false">D2469*INDEX(Products!$E$2:$E$49,MATCH(C2469,Products!$A$2:$A$49,0))</f>
        <v>24780</v>
      </c>
      <c r="I2469" s="33" t="n">
        <f aca="false">D2469*INDEX(Products!$D$2:$D$49,MATCH(C2469,Products!$A$2:$A$49,0))*(1+INDEX(Assumptions!$B$16:$B$20,MATCH(B2469,Assumptions!$A$16:$A$20,0)))</f>
        <v>22538.944</v>
      </c>
      <c r="J2469" s="33" t="n">
        <f aca="false">H2469-I2469</f>
        <v>2241.056</v>
      </c>
      <c r="K2469" s="33" t="n">
        <f aca="false">IF(OR(E2469=0,E2469&gt;=7),0,D2469/(7-E2469)*E2469*INDEX(Products!$E$2:$E$49,MATCH(C2469,Products!$A$2:$A$49,0)))</f>
        <v>0</v>
      </c>
    </row>
    <row r="2470" customFormat="false" ht="15" hidden="false" customHeight="false" outlineLevel="0" collapsed="false">
      <c r="A2470" s="36" t="n">
        <v>46244</v>
      </c>
      <c r="B2470" s="24" t="s">
        <v>63</v>
      </c>
      <c r="C2470" s="24" t="s">
        <v>119</v>
      </c>
      <c r="D2470" s="33" t="n">
        <v>93</v>
      </c>
      <c r="E2470" s="24" t="n">
        <v>0</v>
      </c>
      <c r="F2470" s="37" t="n">
        <f aca="false">DATE(YEAR(A2470),MONTH(A2470),1)</f>
        <v>46235</v>
      </c>
      <c r="G2470" s="24" t="str">
        <f aca="false">INDEX(Products!$C$2:$C$49,MATCH(C2470,Products!$A$2:$A$49,0))</f>
        <v>Grocery Staples</v>
      </c>
      <c r="H2470" s="33" t="n">
        <f aca="false">D2470*INDEX(Products!$E$2:$E$49,MATCH(C2470,Products!$A$2:$A$49,0))</f>
        <v>39060</v>
      </c>
      <c r="I2470" s="33" t="n">
        <f aca="false">D2470*INDEX(Products!$D$2:$D$49,MATCH(C2470,Products!$A$2:$A$49,0))*(1+INDEX(Assumptions!$B$16:$B$20,MATCH(B2470,Assumptions!$A$16:$A$20,0)))</f>
        <v>35527.488</v>
      </c>
      <c r="J2470" s="33" t="n">
        <f aca="false">H2470-I2470</f>
        <v>3532.512</v>
      </c>
      <c r="K2470" s="33" t="n">
        <f aca="false">IF(OR(E2470=0,E2470&gt;=7),0,D2470/(7-E2470)*E2470*INDEX(Products!$E$2:$E$49,MATCH(C2470,Products!$A$2:$A$49,0)))</f>
        <v>0</v>
      </c>
    </row>
    <row r="2471" customFormat="false" ht="15" hidden="false" customHeight="false" outlineLevel="0" collapsed="false">
      <c r="A2471" s="36" t="n">
        <v>46251</v>
      </c>
      <c r="B2471" s="24" t="s">
        <v>63</v>
      </c>
      <c r="C2471" s="24" t="s">
        <v>119</v>
      </c>
      <c r="D2471" s="33" t="n">
        <v>37</v>
      </c>
      <c r="E2471" s="24" t="n">
        <v>4</v>
      </c>
      <c r="F2471" s="37" t="n">
        <f aca="false">DATE(YEAR(A2471),MONTH(A2471),1)</f>
        <v>46235</v>
      </c>
      <c r="G2471" s="24" t="str">
        <f aca="false">INDEX(Products!$C$2:$C$49,MATCH(C2471,Products!$A$2:$A$49,0))</f>
        <v>Grocery Staples</v>
      </c>
      <c r="H2471" s="33" t="n">
        <f aca="false">D2471*INDEX(Products!$E$2:$E$49,MATCH(C2471,Products!$A$2:$A$49,0))</f>
        <v>15540</v>
      </c>
      <c r="I2471" s="33" t="n">
        <f aca="false">D2471*INDEX(Products!$D$2:$D$49,MATCH(C2471,Products!$A$2:$A$49,0))*(1+INDEX(Assumptions!$B$16:$B$20,MATCH(B2471,Assumptions!$A$16:$A$20,0)))</f>
        <v>14134.592</v>
      </c>
      <c r="J2471" s="33" t="n">
        <f aca="false">H2471-I2471</f>
        <v>1405.408</v>
      </c>
      <c r="K2471" s="33" t="n">
        <f aca="false">IF(OR(E2471=0,E2471&gt;=7),0,D2471/(7-E2471)*E2471*INDEX(Products!$E$2:$E$49,MATCH(C2471,Products!$A$2:$A$49,0)))</f>
        <v>20720</v>
      </c>
    </row>
    <row r="2472" customFormat="false" ht="15" hidden="false" customHeight="false" outlineLevel="0" collapsed="false">
      <c r="A2472" s="36" t="n">
        <v>46258</v>
      </c>
      <c r="B2472" s="24" t="s">
        <v>63</v>
      </c>
      <c r="C2472" s="24" t="s">
        <v>119</v>
      </c>
      <c r="D2472" s="33" t="n">
        <v>80</v>
      </c>
      <c r="E2472" s="24" t="n">
        <v>0</v>
      </c>
      <c r="F2472" s="37" t="n">
        <f aca="false">DATE(YEAR(A2472),MONTH(A2472),1)</f>
        <v>46235</v>
      </c>
      <c r="G2472" s="24" t="str">
        <f aca="false">INDEX(Products!$C$2:$C$49,MATCH(C2472,Products!$A$2:$A$49,0))</f>
        <v>Grocery Staples</v>
      </c>
      <c r="H2472" s="33" t="n">
        <f aca="false">D2472*INDEX(Products!$E$2:$E$49,MATCH(C2472,Products!$A$2:$A$49,0))</f>
        <v>33600</v>
      </c>
      <c r="I2472" s="33" t="n">
        <f aca="false">D2472*INDEX(Products!$D$2:$D$49,MATCH(C2472,Products!$A$2:$A$49,0))*(1+INDEX(Assumptions!$B$16:$B$20,MATCH(B2472,Assumptions!$A$16:$A$20,0)))</f>
        <v>30561.28</v>
      </c>
      <c r="J2472" s="33" t="n">
        <f aca="false">H2472-I2472</f>
        <v>3038.72</v>
      </c>
      <c r="K2472" s="33" t="n">
        <f aca="false">IF(OR(E2472=0,E2472&gt;=7),0,D2472/(7-E2472)*E2472*INDEX(Products!$E$2:$E$49,MATCH(C2472,Products!$A$2:$A$49,0)))</f>
        <v>0</v>
      </c>
    </row>
    <row r="2473" customFormat="false" ht="15" hidden="false" customHeight="false" outlineLevel="0" collapsed="false">
      <c r="A2473" s="36" t="n">
        <v>46265</v>
      </c>
      <c r="B2473" s="24" t="s">
        <v>63</v>
      </c>
      <c r="C2473" s="24" t="s">
        <v>119</v>
      </c>
      <c r="D2473" s="33" t="n">
        <v>95</v>
      </c>
      <c r="E2473" s="24" t="n">
        <v>0</v>
      </c>
      <c r="F2473" s="37" t="n">
        <f aca="false">DATE(YEAR(A2473),MONTH(A2473),1)</f>
        <v>46235</v>
      </c>
      <c r="G2473" s="24" t="str">
        <f aca="false">INDEX(Products!$C$2:$C$49,MATCH(C2473,Products!$A$2:$A$49,0))</f>
        <v>Grocery Staples</v>
      </c>
      <c r="H2473" s="33" t="n">
        <f aca="false">D2473*INDEX(Products!$E$2:$E$49,MATCH(C2473,Products!$A$2:$A$49,0))</f>
        <v>39900</v>
      </c>
      <c r="I2473" s="33" t="n">
        <f aca="false">D2473*INDEX(Products!$D$2:$D$49,MATCH(C2473,Products!$A$2:$A$49,0))*(1+INDEX(Assumptions!$B$16:$B$20,MATCH(B2473,Assumptions!$A$16:$A$20,0)))</f>
        <v>36291.52</v>
      </c>
      <c r="J2473" s="33" t="n">
        <f aca="false">H2473-I2473</f>
        <v>3608.48</v>
      </c>
      <c r="K2473" s="33" t="n">
        <f aca="false">IF(OR(E2473=0,E2473&gt;=7),0,D2473/(7-E2473)*E2473*INDEX(Products!$E$2:$E$49,MATCH(C2473,Products!$A$2:$A$49,0)))</f>
        <v>0</v>
      </c>
    </row>
    <row r="2474" customFormat="false" ht="15" hidden="false" customHeight="false" outlineLevel="0" collapsed="false">
      <c r="A2474" s="36" t="n">
        <v>46272</v>
      </c>
      <c r="B2474" s="24" t="s">
        <v>63</v>
      </c>
      <c r="C2474" s="24" t="s">
        <v>119</v>
      </c>
      <c r="D2474" s="33" t="n">
        <v>80</v>
      </c>
      <c r="E2474" s="24" t="n">
        <v>0</v>
      </c>
      <c r="F2474" s="37" t="n">
        <f aca="false">DATE(YEAR(A2474),MONTH(A2474),1)</f>
        <v>46266</v>
      </c>
      <c r="G2474" s="24" t="str">
        <f aca="false">INDEX(Products!$C$2:$C$49,MATCH(C2474,Products!$A$2:$A$49,0))</f>
        <v>Grocery Staples</v>
      </c>
      <c r="H2474" s="33" t="n">
        <f aca="false">D2474*INDEX(Products!$E$2:$E$49,MATCH(C2474,Products!$A$2:$A$49,0))</f>
        <v>33600</v>
      </c>
      <c r="I2474" s="33" t="n">
        <f aca="false">D2474*INDEX(Products!$D$2:$D$49,MATCH(C2474,Products!$A$2:$A$49,0))*(1+INDEX(Assumptions!$B$16:$B$20,MATCH(B2474,Assumptions!$A$16:$A$20,0)))</f>
        <v>30561.28</v>
      </c>
      <c r="J2474" s="33" t="n">
        <f aca="false">H2474-I2474</f>
        <v>3038.72</v>
      </c>
      <c r="K2474" s="33" t="n">
        <f aca="false">IF(OR(E2474=0,E2474&gt;=7),0,D2474/(7-E2474)*E2474*INDEX(Products!$E$2:$E$49,MATCH(C2474,Products!$A$2:$A$49,0)))</f>
        <v>0</v>
      </c>
    </row>
    <row r="2475" customFormat="false" ht="15" hidden="false" customHeight="false" outlineLevel="0" collapsed="false">
      <c r="A2475" s="36" t="n">
        <v>46279</v>
      </c>
      <c r="B2475" s="24" t="s">
        <v>63</v>
      </c>
      <c r="C2475" s="24" t="s">
        <v>119</v>
      </c>
      <c r="D2475" s="33" t="n">
        <v>84</v>
      </c>
      <c r="E2475" s="24" t="n">
        <v>0</v>
      </c>
      <c r="F2475" s="37" t="n">
        <f aca="false">DATE(YEAR(A2475),MONTH(A2475),1)</f>
        <v>46266</v>
      </c>
      <c r="G2475" s="24" t="str">
        <f aca="false">INDEX(Products!$C$2:$C$49,MATCH(C2475,Products!$A$2:$A$49,0))</f>
        <v>Grocery Staples</v>
      </c>
      <c r="H2475" s="33" t="n">
        <f aca="false">D2475*INDEX(Products!$E$2:$E$49,MATCH(C2475,Products!$A$2:$A$49,0))</f>
        <v>35280</v>
      </c>
      <c r="I2475" s="33" t="n">
        <f aca="false">D2475*INDEX(Products!$D$2:$D$49,MATCH(C2475,Products!$A$2:$A$49,0))*(1+INDEX(Assumptions!$B$16:$B$20,MATCH(B2475,Assumptions!$A$16:$A$20,0)))</f>
        <v>32089.344</v>
      </c>
      <c r="J2475" s="33" t="n">
        <f aca="false">H2475-I2475</f>
        <v>3190.656</v>
      </c>
      <c r="K2475" s="33" t="n">
        <f aca="false">IF(OR(E2475=0,E2475&gt;=7),0,D2475/(7-E2475)*E2475*INDEX(Products!$E$2:$E$49,MATCH(C2475,Products!$A$2:$A$49,0)))</f>
        <v>0</v>
      </c>
    </row>
    <row r="2476" customFormat="false" ht="15" hidden="false" customHeight="false" outlineLevel="0" collapsed="false">
      <c r="A2476" s="36" t="n">
        <v>46286</v>
      </c>
      <c r="B2476" s="24" t="s">
        <v>63</v>
      </c>
      <c r="C2476" s="24" t="s">
        <v>119</v>
      </c>
      <c r="D2476" s="33" t="n">
        <v>96</v>
      </c>
      <c r="E2476" s="24" t="n">
        <v>0</v>
      </c>
      <c r="F2476" s="37" t="n">
        <f aca="false">DATE(YEAR(A2476),MONTH(A2476),1)</f>
        <v>46266</v>
      </c>
      <c r="G2476" s="24" t="str">
        <f aca="false">INDEX(Products!$C$2:$C$49,MATCH(C2476,Products!$A$2:$A$49,0))</f>
        <v>Grocery Staples</v>
      </c>
      <c r="H2476" s="33" t="n">
        <f aca="false">D2476*INDEX(Products!$E$2:$E$49,MATCH(C2476,Products!$A$2:$A$49,0))</f>
        <v>40320</v>
      </c>
      <c r="I2476" s="33" t="n">
        <f aca="false">D2476*INDEX(Products!$D$2:$D$49,MATCH(C2476,Products!$A$2:$A$49,0))*(1+INDEX(Assumptions!$B$16:$B$20,MATCH(B2476,Assumptions!$A$16:$A$20,0)))</f>
        <v>36673.536</v>
      </c>
      <c r="J2476" s="33" t="n">
        <f aca="false">H2476-I2476</f>
        <v>3646.464</v>
      </c>
      <c r="K2476" s="33" t="n">
        <f aca="false">IF(OR(E2476=0,E2476&gt;=7),0,D2476/(7-E2476)*E2476*INDEX(Products!$E$2:$E$49,MATCH(C2476,Products!$A$2:$A$49,0)))</f>
        <v>0</v>
      </c>
    </row>
    <row r="2477" customFormat="false" ht="15" hidden="false" customHeight="false" outlineLevel="0" collapsed="false">
      <c r="A2477" s="36" t="n">
        <v>46118</v>
      </c>
      <c r="B2477" s="24" t="s">
        <v>63</v>
      </c>
      <c r="C2477" s="24" t="s">
        <v>121</v>
      </c>
      <c r="D2477" s="33" t="n">
        <v>61</v>
      </c>
      <c r="E2477" s="24" t="n">
        <v>0</v>
      </c>
      <c r="F2477" s="37" t="n">
        <f aca="false">DATE(YEAR(A2477),MONTH(A2477),1)</f>
        <v>46113</v>
      </c>
      <c r="G2477" s="24" t="str">
        <f aca="false">INDEX(Products!$C$2:$C$49,MATCH(C2477,Products!$A$2:$A$49,0))</f>
        <v>Grocery Staples</v>
      </c>
      <c r="H2477" s="33" t="n">
        <f aca="false">D2477*INDEX(Products!$E$2:$E$49,MATCH(C2477,Products!$A$2:$A$49,0))</f>
        <v>11590</v>
      </c>
      <c r="I2477" s="33" t="n">
        <f aca="false">D2477*INDEX(Products!$D$2:$D$49,MATCH(C2477,Products!$A$2:$A$49,0))*(1+INDEX(Assumptions!$B$16:$B$20,MATCH(B2477,Assumptions!$A$16:$A$20,0)))</f>
        <v>9978.136</v>
      </c>
      <c r="J2477" s="33" t="n">
        <f aca="false">H2477-I2477</f>
        <v>1611.864</v>
      </c>
      <c r="K2477" s="33" t="n">
        <f aca="false">IF(OR(E2477=0,E2477&gt;=7),0,D2477/(7-E2477)*E2477*INDEX(Products!$E$2:$E$49,MATCH(C2477,Products!$A$2:$A$49,0)))</f>
        <v>0</v>
      </c>
    </row>
    <row r="2478" customFormat="false" ht="15" hidden="false" customHeight="false" outlineLevel="0" collapsed="false">
      <c r="A2478" s="36" t="n">
        <v>46125</v>
      </c>
      <c r="B2478" s="24" t="s">
        <v>63</v>
      </c>
      <c r="C2478" s="24" t="s">
        <v>121</v>
      </c>
      <c r="D2478" s="33" t="n">
        <v>41</v>
      </c>
      <c r="E2478" s="24" t="n">
        <v>0</v>
      </c>
      <c r="F2478" s="37" t="n">
        <f aca="false">DATE(YEAR(A2478),MONTH(A2478),1)</f>
        <v>46113</v>
      </c>
      <c r="G2478" s="24" t="str">
        <f aca="false">INDEX(Products!$C$2:$C$49,MATCH(C2478,Products!$A$2:$A$49,0))</f>
        <v>Grocery Staples</v>
      </c>
      <c r="H2478" s="33" t="n">
        <f aca="false">D2478*INDEX(Products!$E$2:$E$49,MATCH(C2478,Products!$A$2:$A$49,0))</f>
        <v>7790</v>
      </c>
      <c r="I2478" s="33" t="n">
        <f aca="false">D2478*INDEX(Products!$D$2:$D$49,MATCH(C2478,Products!$A$2:$A$49,0))*(1+INDEX(Assumptions!$B$16:$B$20,MATCH(B2478,Assumptions!$A$16:$A$20,0)))</f>
        <v>6706.616</v>
      </c>
      <c r="J2478" s="33" t="n">
        <f aca="false">H2478-I2478</f>
        <v>1083.384</v>
      </c>
      <c r="K2478" s="33" t="n">
        <f aca="false">IF(OR(E2478=0,E2478&gt;=7),0,D2478/(7-E2478)*E2478*INDEX(Products!$E$2:$E$49,MATCH(C2478,Products!$A$2:$A$49,0)))</f>
        <v>0</v>
      </c>
    </row>
    <row r="2479" customFormat="false" ht="15" hidden="false" customHeight="false" outlineLevel="0" collapsed="false">
      <c r="A2479" s="36" t="n">
        <v>46132</v>
      </c>
      <c r="B2479" s="24" t="s">
        <v>63</v>
      </c>
      <c r="C2479" s="24" t="s">
        <v>121</v>
      </c>
      <c r="D2479" s="33" t="n">
        <v>62</v>
      </c>
      <c r="E2479" s="24" t="n">
        <v>0</v>
      </c>
      <c r="F2479" s="37" t="n">
        <f aca="false">DATE(YEAR(A2479),MONTH(A2479),1)</f>
        <v>46113</v>
      </c>
      <c r="G2479" s="24" t="str">
        <f aca="false">INDEX(Products!$C$2:$C$49,MATCH(C2479,Products!$A$2:$A$49,0))</f>
        <v>Grocery Staples</v>
      </c>
      <c r="H2479" s="33" t="n">
        <f aca="false">D2479*INDEX(Products!$E$2:$E$49,MATCH(C2479,Products!$A$2:$A$49,0))</f>
        <v>11780</v>
      </c>
      <c r="I2479" s="33" t="n">
        <f aca="false">D2479*INDEX(Products!$D$2:$D$49,MATCH(C2479,Products!$A$2:$A$49,0))*(1+INDEX(Assumptions!$B$16:$B$20,MATCH(B2479,Assumptions!$A$16:$A$20,0)))</f>
        <v>10141.712</v>
      </c>
      <c r="J2479" s="33" t="n">
        <f aca="false">H2479-I2479</f>
        <v>1638.288</v>
      </c>
      <c r="K2479" s="33" t="n">
        <f aca="false">IF(OR(E2479=0,E2479&gt;=7),0,D2479/(7-E2479)*E2479*INDEX(Products!$E$2:$E$49,MATCH(C2479,Products!$A$2:$A$49,0)))</f>
        <v>0</v>
      </c>
    </row>
    <row r="2480" customFormat="false" ht="15" hidden="false" customHeight="false" outlineLevel="0" collapsed="false">
      <c r="A2480" s="36" t="n">
        <v>46139</v>
      </c>
      <c r="B2480" s="24" t="s">
        <v>63</v>
      </c>
      <c r="C2480" s="24" t="s">
        <v>121</v>
      </c>
      <c r="D2480" s="33" t="n">
        <v>65</v>
      </c>
      <c r="E2480" s="24" t="n">
        <v>0</v>
      </c>
      <c r="F2480" s="37" t="n">
        <f aca="false">DATE(YEAR(A2480),MONTH(A2480),1)</f>
        <v>46113</v>
      </c>
      <c r="G2480" s="24" t="str">
        <f aca="false">INDEX(Products!$C$2:$C$49,MATCH(C2480,Products!$A$2:$A$49,0))</f>
        <v>Grocery Staples</v>
      </c>
      <c r="H2480" s="33" t="n">
        <f aca="false">D2480*INDEX(Products!$E$2:$E$49,MATCH(C2480,Products!$A$2:$A$49,0))</f>
        <v>12350</v>
      </c>
      <c r="I2480" s="33" t="n">
        <f aca="false">D2480*INDEX(Products!$D$2:$D$49,MATCH(C2480,Products!$A$2:$A$49,0))*(1+INDEX(Assumptions!$B$16:$B$20,MATCH(B2480,Assumptions!$A$16:$A$20,0)))</f>
        <v>10632.44</v>
      </c>
      <c r="J2480" s="33" t="n">
        <f aca="false">H2480-I2480</f>
        <v>1717.56</v>
      </c>
      <c r="K2480" s="33" t="n">
        <f aca="false">IF(OR(E2480=0,E2480&gt;=7),0,D2480/(7-E2480)*E2480*INDEX(Products!$E$2:$E$49,MATCH(C2480,Products!$A$2:$A$49,0)))</f>
        <v>0</v>
      </c>
    </row>
    <row r="2481" customFormat="false" ht="15" hidden="false" customHeight="false" outlineLevel="0" collapsed="false">
      <c r="A2481" s="36" t="n">
        <v>46146</v>
      </c>
      <c r="B2481" s="24" t="s">
        <v>63</v>
      </c>
      <c r="C2481" s="24" t="s">
        <v>121</v>
      </c>
      <c r="D2481" s="33" t="n">
        <v>46</v>
      </c>
      <c r="E2481" s="24" t="n">
        <v>0</v>
      </c>
      <c r="F2481" s="37" t="n">
        <f aca="false">DATE(YEAR(A2481),MONTH(A2481),1)</f>
        <v>46143</v>
      </c>
      <c r="G2481" s="24" t="str">
        <f aca="false">INDEX(Products!$C$2:$C$49,MATCH(C2481,Products!$A$2:$A$49,0))</f>
        <v>Grocery Staples</v>
      </c>
      <c r="H2481" s="33" t="n">
        <f aca="false">D2481*INDEX(Products!$E$2:$E$49,MATCH(C2481,Products!$A$2:$A$49,0))</f>
        <v>8740</v>
      </c>
      <c r="I2481" s="33" t="n">
        <f aca="false">D2481*INDEX(Products!$D$2:$D$49,MATCH(C2481,Products!$A$2:$A$49,0))*(1+INDEX(Assumptions!$B$16:$B$20,MATCH(B2481,Assumptions!$A$16:$A$20,0)))</f>
        <v>7524.496</v>
      </c>
      <c r="J2481" s="33" t="n">
        <f aca="false">H2481-I2481</f>
        <v>1215.504</v>
      </c>
      <c r="K2481" s="33" t="n">
        <f aca="false">IF(OR(E2481=0,E2481&gt;=7),0,D2481/(7-E2481)*E2481*INDEX(Products!$E$2:$E$49,MATCH(C2481,Products!$A$2:$A$49,0)))</f>
        <v>0</v>
      </c>
    </row>
    <row r="2482" customFormat="false" ht="15" hidden="false" customHeight="false" outlineLevel="0" collapsed="false">
      <c r="A2482" s="36" t="n">
        <v>46153</v>
      </c>
      <c r="B2482" s="24" t="s">
        <v>63</v>
      </c>
      <c r="C2482" s="24" t="s">
        <v>121</v>
      </c>
      <c r="D2482" s="33" t="n">
        <v>60</v>
      </c>
      <c r="E2482" s="24" t="n">
        <v>0</v>
      </c>
      <c r="F2482" s="37" t="n">
        <f aca="false">DATE(YEAR(A2482),MONTH(A2482),1)</f>
        <v>46143</v>
      </c>
      <c r="G2482" s="24" t="str">
        <f aca="false">INDEX(Products!$C$2:$C$49,MATCH(C2482,Products!$A$2:$A$49,0))</f>
        <v>Grocery Staples</v>
      </c>
      <c r="H2482" s="33" t="n">
        <f aca="false">D2482*INDEX(Products!$E$2:$E$49,MATCH(C2482,Products!$A$2:$A$49,0))</f>
        <v>11400</v>
      </c>
      <c r="I2482" s="33" t="n">
        <f aca="false">D2482*INDEX(Products!$D$2:$D$49,MATCH(C2482,Products!$A$2:$A$49,0))*(1+INDEX(Assumptions!$B$16:$B$20,MATCH(B2482,Assumptions!$A$16:$A$20,0)))</f>
        <v>9814.56</v>
      </c>
      <c r="J2482" s="33" t="n">
        <f aca="false">H2482-I2482</f>
        <v>1585.44</v>
      </c>
      <c r="K2482" s="33" t="n">
        <f aca="false">IF(OR(E2482=0,E2482&gt;=7),0,D2482/(7-E2482)*E2482*INDEX(Products!$E$2:$E$49,MATCH(C2482,Products!$A$2:$A$49,0)))</f>
        <v>0</v>
      </c>
    </row>
    <row r="2483" customFormat="false" ht="15" hidden="false" customHeight="false" outlineLevel="0" collapsed="false">
      <c r="A2483" s="36" t="n">
        <v>46160</v>
      </c>
      <c r="B2483" s="24" t="s">
        <v>63</v>
      </c>
      <c r="C2483" s="24" t="s">
        <v>121</v>
      </c>
      <c r="D2483" s="33" t="n">
        <v>69</v>
      </c>
      <c r="E2483" s="24" t="n">
        <v>0</v>
      </c>
      <c r="F2483" s="37" t="n">
        <f aca="false">DATE(YEAR(A2483),MONTH(A2483),1)</f>
        <v>46143</v>
      </c>
      <c r="G2483" s="24" t="str">
        <f aca="false">INDEX(Products!$C$2:$C$49,MATCH(C2483,Products!$A$2:$A$49,0))</f>
        <v>Grocery Staples</v>
      </c>
      <c r="H2483" s="33" t="n">
        <f aca="false">D2483*INDEX(Products!$E$2:$E$49,MATCH(C2483,Products!$A$2:$A$49,0))</f>
        <v>13110</v>
      </c>
      <c r="I2483" s="33" t="n">
        <f aca="false">D2483*INDEX(Products!$D$2:$D$49,MATCH(C2483,Products!$A$2:$A$49,0))*(1+INDEX(Assumptions!$B$16:$B$20,MATCH(B2483,Assumptions!$A$16:$A$20,0)))</f>
        <v>11286.744</v>
      </c>
      <c r="J2483" s="33" t="n">
        <f aca="false">H2483-I2483</f>
        <v>1823.256</v>
      </c>
      <c r="K2483" s="33" t="n">
        <f aca="false">IF(OR(E2483=0,E2483&gt;=7),0,D2483/(7-E2483)*E2483*INDEX(Products!$E$2:$E$49,MATCH(C2483,Products!$A$2:$A$49,0)))</f>
        <v>0</v>
      </c>
    </row>
    <row r="2484" customFormat="false" ht="15" hidden="false" customHeight="false" outlineLevel="0" collapsed="false">
      <c r="A2484" s="36" t="n">
        <v>46167</v>
      </c>
      <c r="B2484" s="24" t="s">
        <v>63</v>
      </c>
      <c r="C2484" s="24" t="s">
        <v>121</v>
      </c>
      <c r="D2484" s="33" t="n">
        <v>72</v>
      </c>
      <c r="E2484" s="24" t="n">
        <v>0</v>
      </c>
      <c r="F2484" s="37" t="n">
        <f aca="false">DATE(YEAR(A2484),MONTH(A2484),1)</f>
        <v>46143</v>
      </c>
      <c r="G2484" s="24" t="str">
        <f aca="false">INDEX(Products!$C$2:$C$49,MATCH(C2484,Products!$A$2:$A$49,0))</f>
        <v>Grocery Staples</v>
      </c>
      <c r="H2484" s="33" t="n">
        <f aca="false">D2484*INDEX(Products!$E$2:$E$49,MATCH(C2484,Products!$A$2:$A$49,0))</f>
        <v>13680</v>
      </c>
      <c r="I2484" s="33" t="n">
        <f aca="false">D2484*INDEX(Products!$D$2:$D$49,MATCH(C2484,Products!$A$2:$A$49,0))*(1+INDEX(Assumptions!$B$16:$B$20,MATCH(B2484,Assumptions!$A$16:$A$20,0)))</f>
        <v>11777.472</v>
      </c>
      <c r="J2484" s="33" t="n">
        <f aca="false">H2484-I2484</f>
        <v>1902.528</v>
      </c>
      <c r="K2484" s="33" t="n">
        <f aca="false">IF(OR(E2484=0,E2484&gt;=7),0,D2484/(7-E2484)*E2484*INDEX(Products!$E$2:$E$49,MATCH(C2484,Products!$A$2:$A$49,0)))</f>
        <v>0</v>
      </c>
    </row>
    <row r="2485" customFormat="false" ht="15" hidden="false" customHeight="false" outlineLevel="0" collapsed="false">
      <c r="A2485" s="36" t="n">
        <v>46174</v>
      </c>
      <c r="B2485" s="24" t="s">
        <v>63</v>
      </c>
      <c r="C2485" s="24" t="s">
        <v>121</v>
      </c>
      <c r="D2485" s="33" t="n">
        <v>64</v>
      </c>
      <c r="E2485" s="24" t="n">
        <v>0</v>
      </c>
      <c r="F2485" s="37" t="n">
        <f aca="false">DATE(YEAR(A2485),MONTH(A2485),1)</f>
        <v>46174</v>
      </c>
      <c r="G2485" s="24" t="str">
        <f aca="false">INDEX(Products!$C$2:$C$49,MATCH(C2485,Products!$A$2:$A$49,0))</f>
        <v>Grocery Staples</v>
      </c>
      <c r="H2485" s="33" t="n">
        <f aca="false">D2485*INDEX(Products!$E$2:$E$49,MATCH(C2485,Products!$A$2:$A$49,0))</f>
        <v>12160</v>
      </c>
      <c r="I2485" s="33" t="n">
        <f aca="false">D2485*INDEX(Products!$D$2:$D$49,MATCH(C2485,Products!$A$2:$A$49,0))*(1+INDEX(Assumptions!$B$16:$B$20,MATCH(B2485,Assumptions!$A$16:$A$20,0)))</f>
        <v>10468.864</v>
      </c>
      <c r="J2485" s="33" t="n">
        <f aca="false">H2485-I2485</f>
        <v>1691.136</v>
      </c>
      <c r="K2485" s="33" t="n">
        <f aca="false">IF(OR(E2485=0,E2485&gt;=7),0,D2485/(7-E2485)*E2485*INDEX(Products!$E$2:$E$49,MATCH(C2485,Products!$A$2:$A$49,0)))</f>
        <v>0</v>
      </c>
    </row>
    <row r="2486" customFormat="false" ht="15" hidden="false" customHeight="false" outlineLevel="0" collapsed="false">
      <c r="A2486" s="36" t="n">
        <v>46181</v>
      </c>
      <c r="B2486" s="24" t="s">
        <v>63</v>
      </c>
      <c r="C2486" s="24" t="s">
        <v>121</v>
      </c>
      <c r="D2486" s="33" t="n">
        <v>55</v>
      </c>
      <c r="E2486" s="24" t="n">
        <v>0</v>
      </c>
      <c r="F2486" s="37" t="n">
        <f aca="false">DATE(YEAR(A2486),MONTH(A2486),1)</f>
        <v>46174</v>
      </c>
      <c r="G2486" s="24" t="str">
        <f aca="false">INDEX(Products!$C$2:$C$49,MATCH(C2486,Products!$A$2:$A$49,0))</f>
        <v>Grocery Staples</v>
      </c>
      <c r="H2486" s="33" t="n">
        <f aca="false">D2486*INDEX(Products!$E$2:$E$49,MATCH(C2486,Products!$A$2:$A$49,0))</f>
        <v>10450</v>
      </c>
      <c r="I2486" s="33" t="n">
        <f aca="false">D2486*INDEX(Products!$D$2:$D$49,MATCH(C2486,Products!$A$2:$A$49,0))*(1+INDEX(Assumptions!$B$16:$B$20,MATCH(B2486,Assumptions!$A$16:$A$20,0)))</f>
        <v>8996.68</v>
      </c>
      <c r="J2486" s="33" t="n">
        <f aca="false">H2486-I2486</f>
        <v>1453.32</v>
      </c>
      <c r="K2486" s="33" t="n">
        <f aca="false">IF(OR(E2486=0,E2486&gt;=7),0,D2486/(7-E2486)*E2486*INDEX(Products!$E$2:$E$49,MATCH(C2486,Products!$A$2:$A$49,0)))</f>
        <v>0</v>
      </c>
    </row>
    <row r="2487" customFormat="false" ht="15" hidden="false" customHeight="false" outlineLevel="0" collapsed="false">
      <c r="A2487" s="36" t="n">
        <v>46188</v>
      </c>
      <c r="B2487" s="24" t="s">
        <v>63</v>
      </c>
      <c r="C2487" s="24" t="s">
        <v>121</v>
      </c>
      <c r="D2487" s="33" t="n">
        <v>54</v>
      </c>
      <c r="E2487" s="24" t="n">
        <v>0</v>
      </c>
      <c r="F2487" s="37" t="n">
        <f aca="false">DATE(YEAR(A2487),MONTH(A2487),1)</f>
        <v>46174</v>
      </c>
      <c r="G2487" s="24" t="str">
        <f aca="false">INDEX(Products!$C$2:$C$49,MATCH(C2487,Products!$A$2:$A$49,0))</f>
        <v>Grocery Staples</v>
      </c>
      <c r="H2487" s="33" t="n">
        <f aca="false">D2487*INDEX(Products!$E$2:$E$49,MATCH(C2487,Products!$A$2:$A$49,0))</f>
        <v>10260</v>
      </c>
      <c r="I2487" s="33" t="n">
        <f aca="false">D2487*INDEX(Products!$D$2:$D$49,MATCH(C2487,Products!$A$2:$A$49,0))*(1+INDEX(Assumptions!$B$16:$B$20,MATCH(B2487,Assumptions!$A$16:$A$20,0)))</f>
        <v>8833.104</v>
      </c>
      <c r="J2487" s="33" t="n">
        <f aca="false">H2487-I2487</f>
        <v>1426.896</v>
      </c>
      <c r="K2487" s="33" t="n">
        <f aca="false">IF(OR(E2487=0,E2487&gt;=7),0,D2487/(7-E2487)*E2487*INDEX(Products!$E$2:$E$49,MATCH(C2487,Products!$A$2:$A$49,0)))</f>
        <v>0</v>
      </c>
    </row>
    <row r="2488" customFormat="false" ht="15" hidden="false" customHeight="false" outlineLevel="0" collapsed="false">
      <c r="A2488" s="36" t="n">
        <v>46195</v>
      </c>
      <c r="B2488" s="24" t="s">
        <v>63</v>
      </c>
      <c r="C2488" s="24" t="s">
        <v>121</v>
      </c>
      <c r="D2488" s="33" t="n">
        <v>81</v>
      </c>
      <c r="E2488" s="24" t="n">
        <v>0</v>
      </c>
      <c r="F2488" s="37" t="n">
        <f aca="false">DATE(YEAR(A2488),MONTH(A2488),1)</f>
        <v>46174</v>
      </c>
      <c r="G2488" s="24" t="str">
        <f aca="false">INDEX(Products!$C$2:$C$49,MATCH(C2488,Products!$A$2:$A$49,0))</f>
        <v>Grocery Staples</v>
      </c>
      <c r="H2488" s="33" t="n">
        <f aca="false">D2488*INDEX(Products!$E$2:$E$49,MATCH(C2488,Products!$A$2:$A$49,0))</f>
        <v>15390</v>
      </c>
      <c r="I2488" s="33" t="n">
        <f aca="false">D2488*INDEX(Products!$D$2:$D$49,MATCH(C2488,Products!$A$2:$A$49,0))*(1+INDEX(Assumptions!$B$16:$B$20,MATCH(B2488,Assumptions!$A$16:$A$20,0)))</f>
        <v>13249.656</v>
      </c>
      <c r="J2488" s="33" t="n">
        <f aca="false">H2488-I2488</f>
        <v>2140.344</v>
      </c>
      <c r="K2488" s="33" t="n">
        <f aca="false">IF(OR(E2488=0,E2488&gt;=7),0,D2488/(7-E2488)*E2488*INDEX(Products!$E$2:$E$49,MATCH(C2488,Products!$A$2:$A$49,0)))</f>
        <v>0</v>
      </c>
    </row>
    <row r="2489" customFormat="false" ht="15" hidden="false" customHeight="false" outlineLevel="0" collapsed="false">
      <c r="A2489" s="36" t="n">
        <v>46202</v>
      </c>
      <c r="B2489" s="24" t="s">
        <v>63</v>
      </c>
      <c r="C2489" s="24" t="s">
        <v>121</v>
      </c>
      <c r="D2489" s="33" t="n">
        <v>51</v>
      </c>
      <c r="E2489" s="24" t="n">
        <v>0</v>
      </c>
      <c r="F2489" s="37" t="n">
        <f aca="false">DATE(YEAR(A2489),MONTH(A2489),1)</f>
        <v>46174</v>
      </c>
      <c r="G2489" s="24" t="str">
        <f aca="false">INDEX(Products!$C$2:$C$49,MATCH(C2489,Products!$A$2:$A$49,0))</f>
        <v>Grocery Staples</v>
      </c>
      <c r="H2489" s="33" t="n">
        <f aca="false">D2489*INDEX(Products!$E$2:$E$49,MATCH(C2489,Products!$A$2:$A$49,0))</f>
        <v>9690</v>
      </c>
      <c r="I2489" s="33" t="n">
        <f aca="false">D2489*INDEX(Products!$D$2:$D$49,MATCH(C2489,Products!$A$2:$A$49,0))*(1+INDEX(Assumptions!$B$16:$B$20,MATCH(B2489,Assumptions!$A$16:$A$20,0)))</f>
        <v>8342.376</v>
      </c>
      <c r="J2489" s="33" t="n">
        <f aca="false">H2489-I2489</f>
        <v>1347.624</v>
      </c>
      <c r="K2489" s="33" t="n">
        <f aca="false">IF(OR(E2489=0,E2489&gt;=7),0,D2489/(7-E2489)*E2489*INDEX(Products!$E$2:$E$49,MATCH(C2489,Products!$A$2:$A$49,0)))</f>
        <v>0</v>
      </c>
    </row>
    <row r="2490" customFormat="false" ht="15" hidden="false" customHeight="false" outlineLevel="0" collapsed="false">
      <c r="A2490" s="36" t="n">
        <v>46209</v>
      </c>
      <c r="B2490" s="24" t="s">
        <v>63</v>
      </c>
      <c r="C2490" s="24" t="s">
        <v>121</v>
      </c>
      <c r="D2490" s="33" t="n">
        <v>53</v>
      </c>
      <c r="E2490" s="24" t="n">
        <v>0</v>
      </c>
      <c r="F2490" s="37" t="n">
        <f aca="false">DATE(YEAR(A2490),MONTH(A2490),1)</f>
        <v>46204</v>
      </c>
      <c r="G2490" s="24" t="str">
        <f aca="false">INDEX(Products!$C$2:$C$49,MATCH(C2490,Products!$A$2:$A$49,0))</f>
        <v>Grocery Staples</v>
      </c>
      <c r="H2490" s="33" t="n">
        <f aca="false">D2490*INDEX(Products!$E$2:$E$49,MATCH(C2490,Products!$A$2:$A$49,0))</f>
        <v>10070</v>
      </c>
      <c r="I2490" s="33" t="n">
        <f aca="false">D2490*INDEX(Products!$D$2:$D$49,MATCH(C2490,Products!$A$2:$A$49,0))*(1+INDEX(Assumptions!$B$16:$B$20,MATCH(B2490,Assumptions!$A$16:$A$20,0)))</f>
        <v>8669.528</v>
      </c>
      <c r="J2490" s="33" t="n">
        <f aca="false">H2490-I2490</f>
        <v>1400.472</v>
      </c>
      <c r="K2490" s="33" t="n">
        <f aca="false">IF(OR(E2490=0,E2490&gt;=7),0,D2490/(7-E2490)*E2490*INDEX(Products!$E$2:$E$49,MATCH(C2490,Products!$A$2:$A$49,0)))</f>
        <v>0</v>
      </c>
    </row>
    <row r="2491" customFormat="false" ht="15" hidden="false" customHeight="false" outlineLevel="0" collapsed="false">
      <c r="A2491" s="36" t="n">
        <v>46216</v>
      </c>
      <c r="B2491" s="24" t="s">
        <v>63</v>
      </c>
      <c r="C2491" s="24" t="s">
        <v>121</v>
      </c>
      <c r="D2491" s="33" t="n">
        <v>44</v>
      </c>
      <c r="E2491" s="24" t="n">
        <v>0</v>
      </c>
      <c r="F2491" s="37" t="n">
        <f aca="false">DATE(YEAR(A2491),MONTH(A2491),1)</f>
        <v>46204</v>
      </c>
      <c r="G2491" s="24" t="str">
        <f aca="false">INDEX(Products!$C$2:$C$49,MATCH(C2491,Products!$A$2:$A$49,0))</f>
        <v>Grocery Staples</v>
      </c>
      <c r="H2491" s="33" t="n">
        <f aca="false">D2491*INDEX(Products!$E$2:$E$49,MATCH(C2491,Products!$A$2:$A$49,0))</f>
        <v>8360</v>
      </c>
      <c r="I2491" s="33" t="n">
        <f aca="false">D2491*INDEX(Products!$D$2:$D$49,MATCH(C2491,Products!$A$2:$A$49,0))*(1+INDEX(Assumptions!$B$16:$B$20,MATCH(B2491,Assumptions!$A$16:$A$20,0)))</f>
        <v>7197.344</v>
      </c>
      <c r="J2491" s="33" t="n">
        <f aca="false">H2491-I2491</f>
        <v>1162.656</v>
      </c>
      <c r="K2491" s="33" t="n">
        <f aca="false">IF(OR(E2491=0,E2491&gt;=7),0,D2491/(7-E2491)*E2491*INDEX(Products!$E$2:$E$49,MATCH(C2491,Products!$A$2:$A$49,0)))</f>
        <v>0</v>
      </c>
    </row>
    <row r="2492" customFormat="false" ht="15" hidden="false" customHeight="false" outlineLevel="0" collapsed="false">
      <c r="A2492" s="36" t="n">
        <v>46223</v>
      </c>
      <c r="B2492" s="24" t="s">
        <v>63</v>
      </c>
      <c r="C2492" s="24" t="s">
        <v>121</v>
      </c>
      <c r="D2492" s="33" t="n">
        <v>33</v>
      </c>
      <c r="E2492" s="24" t="n">
        <v>2</v>
      </c>
      <c r="F2492" s="37" t="n">
        <f aca="false">DATE(YEAR(A2492),MONTH(A2492),1)</f>
        <v>46204</v>
      </c>
      <c r="G2492" s="24" t="str">
        <f aca="false">INDEX(Products!$C$2:$C$49,MATCH(C2492,Products!$A$2:$A$49,0))</f>
        <v>Grocery Staples</v>
      </c>
      <c r="H2492" s="33" t="n">
        <f aca="false">D2492*INDEX(Products!$E$2:$E$49,MATCH(C2492,Products!$A$2:$A$49,0))</f>
        <v>6270</v>
      </c>
      <c r="I2492" s="33" t="n">
        <f aca="false">D2492*INDEX(Products!$D$2:$D$49,MATCH(C2492,Products!$A$2:$A$49,0))*(1+INDEX(Assumptions!$B$16:$B$20,MATCH(B2492,Assumptions!$A$16:$A$20,0)))</f>
        <v>5398.008</v>
      </c>
      <c r="J2492" s="33" t="n">
        <f aca="false">H2492-I2492</f>
        <v>871.992</v>
      </c>
      <c r="K2492" s="33" t="n">
        <f aca="false">IF(OR(E2492=0,E2492&gt;=7),0,D2492/(7-E2492)*E2492*INDEX(Products!$E$2:$E$49,MATCH(C2492,Products!$A$2:$A$49,0)))</f>
        <v>2508</v>
      </c>
    </row>
    <row r="2493" customFormat="false" ht="15" hidden="false" customHeight="false" outlineLevel="0" collapsed="false">
      <c r="A2493" s="36" t="n">
        <v>46230</v>
      </c>
      <c r="B2493" s="24" t="s">
        <v>63</v>
      </c>
      <c r="C2493" s="24" t="s">
        <v>121</v>
      </c>
      <c r="D2493" s="33" t="n">
        <v>43</v>
      </c>
      <c r="E2493" s="24" t="n">
        <v>0</v>
      </c>
      <c r="F2493" s="37" t="n">
        <f aca="false">DATE(YEAR(A2493),MONTH(A2493),1)</f>
        <v>46204</v>
      </c>
      <c r="G2493" s="24" t="str">
        <f aca="false">INDEX(Products!$C$2:$C$49,MATCH(C2493,Products!$A$2:$A$49,0))</f>
        <v>Grocery Staples</v>
      </c>
      <c r="H2493" s="33" t="n">
        <f aca="false">D2493*INDEX(Products!$E$2:$E$49,MATCH(C2493,Products!$A$2:$A$49,0))</f>
        <v>8170</v>
      </c>
      <c r="I2493" s="33" t="n">
        <f aca="false">D2493*INDEX(Products!$D$2:$D$49,MATCH(C2493,Products!$A$2:$A$49,0))*(1+INDEX(Assumptions!$B$16:$B$20,MATCH(B2493,Assumptions!$A$16:$A$20,0)))</f>
        <v>7033.768</v>
      </c>
      <c r="J2493" s="33" t="n">
        <f aca="false">H2493-I2493</f>
        <v>1136.232</v>
      </c>
      <c r="K2493" s="33" t="n">
        <f aca="false">IF(OR(E2493=0,E2493&gt;=7),0,D2493/(7-E2493)*E2493*INDEX(Products!$E$2:$E$49,MATCH(C2493,Products!$A$2:$A$49,0)))</f>
        <v>0</v>
      </c>
    </row>
    <row r="2494" customFormat="false" ht="15" hidden="false" customHeight="false" outlineLevel="0" collapsed="false">
      <c r="A2494" s="36" t="n">
        <v>46237</v>
      </c>
      <c r="B2494" s="24" t="s">
        <v>63</v>
      </c>
      <c r="C2494" s="24" t="s">
        <v>121</v>
      </c>
      <c r="D2494" s="33" t="n">
        <v>54</v>
      </c>
      <c r="E2494" s="24" t="n">
        <v>0</v>
      </c>
      <c r="F2494" s="37" t="n">
        <f aca="false">DATE(YEAR(A2494),MONTH(A2494),1)</f>
        <v>46235</v>
      </c>
      <c r="G2494" s="24" t="str">
        <f aca="false">INDEX(Products!$C$2:$C$49,MATCH(C2494,Products!$A$2:$A$49,0))</f>
        <v>Grocery Staples</v>
      </c>
      <c r="H2494" s="33" t="n">
        <f aca="false">D2494*INDEX(Products!$E$2:$E$49,MATCH(C2494,Products!$A$2:$A$49,0))</f>
        <v>10260</v>
      </c>
      <c r="I2494" s="33" t="n">
        <f aca="false">D2494*INDEX(Products!$D$2:$D$49,MATCH(C2494,Products!$A$2:$A$49,0))*(1+INDEX(Assumptions!$B$16:$B$20,MATCH(B2494,Assumptions!$A$16:$A$20,0)))</f>
        <v>8833.104</v>
      </c>
      <c r="J2494" s="33" t="n">
        <f aca="false">H2494-I2494</f>
        <v>1426.896</v>
      </c>
      <c r="K2494" s="33" t="n">
        <f aca="false">IF(OR(E2494=0,E2494&gt;=7),0,D2494/(7-E2494)*E2494*INDEX(Products!$E$2:$E$49,MATCH(C2494,Products!$A$2:$A$49,0)))</f>
        <v>0</v>
      </c>
    </row>
    <row r="2495" customFormat="false" ht="15" hidden="false" customHeight="false" outlineLevel="0" collapsed="false">
      <c r="A2495" s="36" t="n">
        <v>46244</v>
      </c>
      <c r="B2495" s="24" t="s">
        <v>63</v>
      </c>
      <c r="C2495" s="24" t="s">
        <v>121</v>
      </c>
      <c r="D2495" s="33" t="n">
        <v>42</v>
      </c>
      <c r="E2495" s="24" t="n">
        <v>0</v>
      </c>
      <c r="F2495" s="37" t="n">
        <f aca="false">DATE(YEAR(A2495),MONTH(A2495),1)</f>
        <v>46235</v>
      </c>
      <c r="G2495" s="24" t="str">
        <f aca="false">INDEX(Products!$C$2:$C$49,MATCH(C2495,Products!$A$2:$A$49,0))</f>
        <v>Grocery Staples</v>
      </c>
      <c r="H2495" s="33" t="n">
        <f aca="false">D2495*INDEX(Products!$E$2:$E$49,MATCH(C2495,Products!$A$2:$A$49,0))</f>
        <v>7980</v>
      </c>
      <c r="I2495" s="33" t="n">
        <f aca="false">D2495*INDEX(Products!$D$2:$D$49,MATCH(C2495,Products!$A$2:$A$49,0))*(1+INDEX(Assumptions!$B$16:$B$20,MATCH(B2495,Assumptions!$A$16:$A$20,0)))</f>
        <v>6870.192</v>
      </c>
      <c r="J2495" s="33" t="n">
        <f aca="false">H2495-I2495</f>
        <v>1109.808</v>
      </c>
      <c r="K2495" s="33" t="n">
        <f aca="false">IF(OR(E2495=0,E2495&gt;=7),0,D2495/(7-E2495)*E2495*INDEX(Products!$E$2:$E$49,MATCH(C2495,Products!$A$2:$A$49,0)))</f>
        <v>0</v>
      </c>
    </row>
    <row r="2496" customFormat="false" ht="15" hidden="false" customHeight="false" outlineLevel="0" collapsed="false">
      <c r="A2496" s="36" t="n">
        <v>46251</v>
      </c>
      <c r="B2496" s="24" t="s">
        <v>63</v>
      </c>
      <c r="C2496" s="24" t="s">
        <v>121</v>
      </c>
      <c r="D2496" s="33" t="n">
        <v>36</v>
      </c>
      <c r="E2496" s="24" t="n">
        <v>0</v>
      </c>
      <c r="F2496" s="37" t="n">
        <f aca="false">DATE(YEAR(A2496),MONTH(A2496),1)</f>
        <v>46235</v>
      </c>
      <c r="G2496" s="24" t="str">
        <f aca="false">INDEX(Products!$C$2:$C$49,MATCH(C2496,Products!$A$2:$A$49,0))</f>
        <v>Grocery Staples</v>
      </c>
      <c r="H2496" s="33" t="n">
        <f aca="false">D2496*INDEX(Products!$E$2:$E$49,MATCH(C2496,Products!$A$2:$A$49,0))</f>
        <v>6840</v>
      </c>
      <c r="I2496" s="33" t="n">
        <f aca="false">D2496*INDEX(Products!$D$2:$D$49,MATCH(C2496,Products!$A$2:$A$49,0))*(1+INDEX(Assumptions!$B$16:$B$20,MATCH(B2496,Assumptions!$A$16:$A$20,0)))</f>
        <v>5888.736</v>
      </c>
      <c r="J2496" s="33" t="n">
        <f aca="false">H2496-I2496</f>
        <v>951.264</v>
      </c>
      <c r="K2496" s="33" t="n">
        <f aca="false">IF(OR(E2496=0,E2496&gt;=7),0,D2496/(7-E2496)*E2496*INDEX(Products!$E$2:$E$49,MATCH(C2496,Products!$A$2:$A$49,0)))</f>
        <v>0</v>
      </c>
    </row>
    <row r="2497" customFormat="false" ht="15" hidden="false" customHeight="false" outlineLevel="0" collapsed="false">
      <c r="A2497" s="36" t="n">
        <v>46258</v>
      </c>
      <c r="B2497" s="24" t="s">
        <v>63</v>
      </c>
      <c r="C2497" s="24" t="s">
        <v>121</v>
      </c>
      <c r="D2497" s="33" t="n">
        <v>51</v>
      </c>
      <c r="E2497" s="24" t="n">
        <v>0</v>
      </c>
      <c r="F2497" s="37" t="n">
        <f aca="false">DATE(YEAR(A2497),MONTH(A2497),1)</f>
        <v>46235</v>
      </c>
      <c r="G2497" s="24" t="str">
        <f aca="false">INDEX(Products!$C$2:$C$49,MATCH(C2497,Products!$A$2:$A$49,0))</f>
        <v>Grocery Staples</v>
      </c>
      <c r="H2497" s="33" t="n">
        <f aca="false">D2497*INDEX(Products!$E$2:$E$49,MATCH(C2497,Products!$A$2:$A$49,0))</f>
        <v>9690</v>
      </c>
      <c r="I2497" s="33" t="n">
        <f aca="false">D2497*INDEX(Products!$D$2:$D$49,MATCH(C2497,Products!$A$2:$A$49,0))*(1+INDEX(Assumptions!$B$16:$B$20,MATCH(B2497,Assumptions!$A$16:$A$20,0)))</f>
        <v>8342.376</v>
      </c>
      <c r="J2497" s="33" t="n">
        <f aca="false">H2497-I2497</f>
        <v>1347.624</v>
      </c>
      <c r="K2497" s="33" t="n">
        <f aca="false">IF(OR(E2497=0,E2497&gt;=7),0,D2497/(7-E2497)*E2497*INDEX(Products!$E$2:$E$49,MATCH(C2497,Products!$A$2:$A$49,0)))</f>
        <v>0</v>
      </c>
    </row>
    <row r="2498" customFormat="false" ht="15" hidden="false" customHeight="false" outlineLevel="0" collapsed="false">
      <c r="A2498" s="36" t="n">
        <v>46265</v>
      </c>
      <c r="B2498" s="24" t="s">
        <v>63</v>
      </c>
      <c r="C2498" s="24" t="s">
        <v>121</v>
      </c>
      <c r="D2498" s="33" t="n">
        <v>44</v>
      </c>
      <c r="E2498" s="24" t="n">
        <v>0</v>
      </c>
      <c r="F2498" s="37" t="n">
        <f aca="false">DATE(YEAR(A2498),MONTH(A2498),1)</f>
        <v>46235</v>
      </c>
      <c r="G2498" s="24" t="str">
        <f aca="false">INDEX(Products!$C$2:$C$49,MATCH(C2498,Products!$A$2:$A$49,0))</f>
        <v>Grocery Staples</v>
      </c>
      <c r="H2498" s="33" t="n">
        <f aca="false">D2498*INDEX(Products!$E$2:$E$49,MATCH(C2498,Products!$A$2:$A$49,0))</f>
        <v>8360</v>
      </c>
      <c r="I2498" s="33" t="n">
        <f aca="false">D2498*INDEX(Products!$D$2:$D$49,MATCH(C2498,Products!$A$2:$A$49,0))*(1+INDEX(Assumptions!$B$16:$B$20,MATCH(B2498,Assumptions!$A$16:$A$20,0)))</f>
        <v>7197.344</v>
      </c>
      <c r="J2498" s="33" t="n">
        <f aca="false">H2498-I2498</f>
        <v>1162.656</v>
      </c>
      <c r="K2498" s="33" t="n">
        <f aca="false">IF(OR(E2498=0,E2498&gt;=7),0,D2498/(7-E2498)*E2498*INDEX(Products!$E$2:$E$49,MATCH(C2498,Products!$A$2:$A$49,0)))</f>
        <v>0</v>
      </c>
    </row>
    <row r="2499" customFormat="false" ht="15" hidden="false" customHeight="false" outlineLevel="0" collapsed="false">
      <c r="A2499" s="36" t="n">
        <v>46272</v>
      </c>
      <c r="B2499" s="24" t="s">
        <v>63</v>
      </c>
      <c r="C2499" s="24" t="s">
        <v>121</v>
      </c>
      <c r="D2499" s="33" t="n">
        <v>56</v>
      </c>
      <c r="E2499" s="24" t="n">
        <v>0</v>
      </c>
      <c r="F2499" s="37" t="n">
        <f aca="false">DATE(YEAR(A2499),MONTH(A2499),1)</f>
        <v>46266</v>
      </c>
      <c r="G2499" s="24" t="str">
        <f aca="false">INDEX(Products!$C$2:$C$49,MATCH(C2499,Products!$A$2:$A$49,0))</f>
        <v>Grocery Staples</v>
      </c>
      <c r="H2499" s="33" t="n">
        <f aca="false">D2499*INDEX(Products!$E$2:$E$49,MATCH(C2499,Products!$A$2:$A$49,0))</f>
        <v>10640</v>
      </c>
      <c r="I2499" s="33" t="n">
        <f aca="false">D2499*INDEX(Products!$D$2:$D$49,MATCH(C2499,Products!$A$2:$A$49,0))*(1+INDEX(Assumptions!$B$16:$B$20,MATCH(B2499,Assumptions!$A$16:$A$20,0)))</f>
        <v>9160.256</v>
      </c>
      <c r="J2499" s="33" t="n">
        <f aca="false">H2499-I2499</f>
        <v>1479.744</v>
      </c>
      <c r="K2499" s="33" t="n">
        <f aca="false">IF(OR(E2499=0,E2499&gt;=7),0,D2499/(7-E2499)*E2499*INDEX(Products!$E$2:$E$49,MATCH(C2499,Products!$A$2:$A$49,0)))</f>
        <v>0</v>
      </c>
    </row>
    <row r="2500" customFormat="false" ht="15" hidden="false" customHeight="false" outlineLevel="0" collapsed="false">
      <c r="A2500" s="36" t="n">
        <v>46279</v>
      </c>
      <c r="B2500" s="24" t="s">
        <v>63</v>
      </c>
      <c r="C2500" s="24" t="s">
        <v>121</v>
      </c>
      <c r="D2500" s="33" t="n">
        <v>61</v>
      </c>
      <c r="E2500" s="24" t="n">
        <v>0</v>
      </c>
      <c r="F2500" s="37" t="n">
        <f aca="false">DATE(YEAR(A2500),MONTH(A2500),1)</f>
        <v>46266</v>
      </c>
      <c r="G2500" s="24" t="str">
        <f aca="false">INDEX(Products!$C$2:$C$49,MATCH(C2500,Products!$A$2:$A$49,0))</f>
        <v>Grocery Staples</v>
      </c>
      <c r="H2500" s="33" t="n">
        <f aca="false">D2500*INDEX(Products!$E$2:$E$49,MATCH(C2500,Products!$A$2:$A$49,0))</f>
        <v>11590</v>
      </c>
      <c r="I2500" s="33" t="n">
        <f aca="false">D2500*INDEX(Products!$D$2:$D$49,MATCH(C2500,Products!$A$2:$A$49,0))*(1+INDEX(Assumptions!$B$16:$B$20,MATCH(B2500,Assumptions!$A$16:$A$20,0)))</f>
        <v>9978.136</v>
      </c>
      <c r="J2500" s="33" t="n">
        <f aca="false">H2500-I2500</f>
        <v>1611.864</v>
      </c>
      <c r="K2500" s="33" t="n">
        <f aca="false">IF(OR(E2500=0,E2500&gt;=7),0,D2500/(7-E2500)*E2500*INDEX(Products!$E$2:$E$49,MATCH(C2500,Products!$A$2:$A$49,0)))</f>
        <v>0</v>
      </c>
    </row>
    <row r="2501" customFormat="false" ht="15" hidden="false" customHeight="false" outlineLevel="0" collapsed="false">
      <c r="A2501" s="36" t="n">
        <v>46286</v>
      </c>
      <c r="B2501" s="24" t="s">
        <v>63</v>
      </c>
      <c r="C2501" s="24" t="s">
        <v>121</v>
      </c>
      <c r="D2501" s="33" t="n">
        <v>57</v>
      </c>
      <c r="E2501" s="24" t="n">
        <v>0</v>
      </c>
      <c r="F2501" s="37" t="n">
        <f aca="false">DATE(YEAR(A2501),MONTH(A2501),1)</f>
        <v>46266</v>
      </c>
      <c r="G2501" s="24" t="str">
        <f aca="false">INDEX(Products!$C$2:$C$49,MATCH(C2501,Products!$A$2:$A$49,0))</f>
        <v>Grocery Staples</v>
      </c>
      <c r="H2501" s="33" t="n">
        <f aca="false">D2501*INDEX(Products!$E$2:$E$49,MATCH(C2501,Products!$A$2:$A$49,0))</f>
        <v>10830</v>
      </c>
      <c r="I2501" s="33" t="n">
        <f aca="false">D2501*INDEX(Products!$D$2:$D$49,MATCH(C2501,Products!$A$2:$A$49,0))*(1+INDEX(Assumptions!$B$16:$B$20,MATCH(B2501,Assumptions!$A$16:$A$20,0)))</f>
        <v>9323.832</v>
      </c>
      <c r="J2501" s="33" t="n">
        <f aca="false">H2501-I2501</f>
        <v>1506.168</v>
      </c>
      <c r="K2501" s="33" t="n">
        <f aca="false">IF(OR(E2501=0,E2501&gt;=7),0,D2501/(7-E2501)*E2501*INDEX(Products!$E$2:$E$49,MATCH(C2501,Products!$A$2:$A$49,0)))</f>
        <v>0</v>
      </c>
    </row>
    <row r="2502" customFormat="false" ht="15" hidden="false" customHeight="false" outlineLevel="0" collapsed="false">
      <c r="A2502" s="36" t="n">
        <v>46118</v>
      </c>
      <c r="B2502" s="24" t="s">
        <v>63</v>
      </c>
      <c r="C2502" s="24" t="s">
        <v>123</v>
      </c>
      <c r="D2502" s="33" t="n">
        <v>188</v>
      </c>
      <c r="E2502" s="24" t="n">
        <v>0</v>
      </c>
      <c r="F2502" s="37" t="n">
        <f aca="false">DATE(YEAR(A2502),MONTH(A2502),1)</f>
        <v>46113</v>
      </c>
      <c r="G2502" s="24" t="str">
        <f aca="false">INDEX(Products!$C$2:$C$49,MATCH(C2502,Products!$A$2:$A$49,0))</f>
        <v>Grocery Staples</v>
      </c>
      <c r="H2502" s="33" t="n">
        <f aca="false">D2502*INDEX(Products!$E$2:$E$49,MATCH(C2502,Products!$A$2:$A$49,0))</f>
        <v>63920</v>
      </c>
      <c r="I2502" s="33" t="n">
        <f aca="false">D2502*INDEX(Products!$D$2:$D$49,MATCH(C2502,Products!$A$2:$A$49,0))*(1+INDEX(Assumptions!$B$16:$B$20,MATCH(B2502,Assumptions!$A$16:$A$20,0)))</f>
        <v>56729.376</v>
      </c>
      <c r="J2502" s="33" t="n">
        <f aca="false">H2502-I2502</f>
        <v>7190.624</v>
      </c>
      <c r="K2502" s="33" t="n">
        <f aca="false">IF(OR(E2502=0,E2502&gt;=7),0,D2502/(7-E2502)*E2502*INDEX(Products!$E$2:$E$49,MATCH(C2502,Products!$A$2:$A$49,0)))</f>
        <v>0</v>
      </c>
    </row>
    <row r="2503" customFormat="false" ht="15" hidden="false" customHeight="false" outlineLevel="0" collapsed="false">
      <c r="A2503" s="36" t="n">
        <v>46125</v>
      </c>
      <c r="B2503" s="24" t="s">
        <v>63</v>
      </c>
      <c r="C2503" s="24" t="s">
        <v>123</v>
      </c>
      <c r="D2503" s="33" t="n">
        <v>192</v>
      </c>
      <c r="E2503" s="24" t="n">
        <v>0</v>
      </c>
      <c r="F2503" s="37" t="n">
        <f aca="false">DATE(YEAR(A2503),MONTH(A2503),1)</f>
        <v>46113</v>
      </c>
      <c r="G2503" s="24" t="str">
        <f aca="false">INDEX(Products!$C$2:$C$49,MATCH(C2503,Products!$A$2:$A$49,0))</f>
        <v>Grocery Staples</v>
      </c>
      <c r="H2503" s="33" t="n">
        <f aca="false">D2503*INDEX(Products!$E$2:$E$49,MATCH(C2503,Products!$A$2:$A$49,0))</f>
        <v>65280</v>
      </c>
      <c r="I2503" s="33" t="n">
        <f aca="false">D2503*INDEX(Products!$D$2:$D$49,MATCH(C2503,Products!$A$2:$A$49,0))*(1+INDEX(Assumptions!$B$16:$B$20,MATCH(B2503,Assumptions!$A$16:$A$20,0)))</f>
        <v>57936.384</v>
      </c>
      <c r="J2503" s="33" t="n">
        <f aca="false">H2503-I2503</f>
        <v>7343.616</v>
      </c>
      <c r="K2503" s="33" t="n">
        <f aca="false">IF(OR(E2503=0,E2503&gt;=7),0,D2503/(7-E2503)*E2503*INDEX(Products!$E$2:$E$49,MATCH(C2503,Products!$A$2:$A$49,0)))</f>
        <v>0</v>
      </c>
    </row>
    <row r="2504" customFormat="false" ht="15" hidden="false" customHeight="false" outlineLevel="0" collapsed="false">
      <c r="A2504" s="36" t="n">
        <v>46132</v>
      </c>
      <c r="B2504" s="24" t="s">
        <v>63</v>
      </c>
      <c r="C2504" s="24" t="s">
        <v>123</v>
      </c>
      <c r="D2504" s="33" t="n">
        <v>215</v>
      </c>
      <c r="E2504" s="24" t="n">
        <v>0</v>
      </c>
      <c r="F2504" s="37" t="n">
        <f aca="false">DATE(YEAR(A2504),MONTH(A2504),1)</f>
        <v>46113</v>
      </c>
      <c r="G2504" s="24" t="str">
        <f aca="false">INDEX(Products!$C$2:$C$49,MATCH(C2504,Products!$A$2:$A$49,0))</f>
        <v>Grocery Staples</v>
      </c>
      <c r="H2504" s="33" t="n">
        <f aca="false">D2504*INDEX(Products!$E$2:$E$49,MATCH(C2504,Products!$A$2:$A$49,0))</f>
        <v>73100</v>
      </c>
      <c r="I2504" s="33" t="n">
        <f aca="false">D2504*INDEX(Products!$D$2:$D$49,MATCH(C2504,Products!$A$2:$A$49,0))*(1+INDEX(Assumptions!$B$16:$B$20,MATCH(B2504,Assumptions!$A$16:$A$20,0)))</f>
        <v>64876.68</v>
      </c>
      <c r="J2504" s="33" t="n">
        <f aca="false">H2504-I2504</f>
        <v>8223.32</v>
      </c>
      <c r="K2504" s="33" t="n">
        <f aca="false">IF(OR(E2504=0,E2504&gt;=7),0,D2504/(7-E2504)*E2504*INDEX(Products!$E$2:$E$49,MATCH(C2504,Products!$A$2:$A$49,0)))</f>
        <v>0</v>
      </c>
    </row>
    <row r="2505" customFormat="false" ht="15" hidden="false" customHeight="false" outlineLevel="0" collapsed="false">
      <c r="A2505" s="36" t="n">
        <v>46139</v>
      </c>
      <c r="B2505" s="24" t="s">
        <v>63</v>
      </c>
      <c r="C2505" s="24" t="s">
        <v>123</v>
      </c>
      <c r="D2505" s="33" t="n">
        <v>212</v>
      </c>
      <c r="E2505" s="24" t="n">
        <v>0</v>
      </c>
      <c r="F2505" s="37" t="n">
        <f aca="false">DATE(YEAR(A2505),MONTH(A2505),1)</f>
        <v>46113</v>
      </c>
      <c r="G2505" s="24" t="str">
        <f aca="false">INDEX(Products!$C$2:$C$49,MATCH(C2505,Products!$A$2:$A$49,0))</f>
        <v>Grocery Staples</v>
      </c>
      <c r="H2505" s="33" t="n">
        <f aca="false">D2505*INDEX(Products!$E$2:$E$49,MATCH(C2505,Products!$A$2:$A$49,0))</f>
        <v>72080</v>
      </c>
      <c r="I2505" s="33" t="n">
        <f aca="false">D2505*INDEX(Products!$D$2:$D$49,MATCH(C2505,Products!$A$2:$A$49,0))*(1+INDEX(Assumptions!$B$16:$B$20,MATCH(B2505,Assumptions!$A$16:$A$20,0)))</f>
        <v>63971.424</v>
      </c>
      <c r="J2505" s="33" t="n">
        <f aca="false">H2505-I2505</f>
        <v>8108.576</v>
      </c>
      <c r="K2505" s="33" t="n">
        <f aca="false">IF(OR(E2505=0,E2505&gt;=7),0,D2505/(7-E2505)*E2505*INDEX(Products!$E$2:$E$49,MATCH(C2505,Products!$A$2:$A$49,0)))</f>
        <v>0</v>
      </c>
    </row>
    <row r="2506" customFormat="false" ht="15" hidden="false" customHeight="false" outlineLevel="0" collapsed="false">
      <c r="A2506" s="36" t="n">
        <v>46146</v>
      </c>
      <c r="B2506" s="24" t="s">
        <v>63</v>
      </c>
      <c r="C2506" s="24" t="s">
        <v>123</v>
      </c>
      <c r="D2506" s="33" t="n">
        <v>104</v>
      </c>
      <c r="E2506" s="24" t="n">
        <v>3</v>
      </c>
      <c r="F2506" s="37" t="n">
        <f aca="false">DATE(YEAR(A2506),MONTH(A2506),1)</f>
        <v>46143</v>
      </c>
      <c r="G2506" s="24" t="str">
        <f aca="false">INDEX(Products!$C$2:$C$49,MATCH(C2506,Products!$A$2:$A$49,0))</f>
        <v>Grocery Staples</v>
      </c>
      <c r="H2506" s="33" t="n">
        <f aca="false">D2506*INDEX(Products!$E$2:$E$49,MATCH(C2506,Products!$A$2:$A$49,0))</f>
        <v>35360</v>
      </c>
      <c r="I2506" s="33" t="n">
        <f aca="false">D2506*INDEX(Products!$D$2:$D$49,MATCH(C2506,Products!$A$2:$A$49,0))*(1+INDEX(Assumptions!$B$16:$B$20,MATCH(B2506,Assumptions!$A$16:$A$20,0)))</f>
        <v>31382.208</v>
      </c>
      <c r="J2506" s="33" t="n">
        <f aca="false">H2506-I2506</f>
        <v>3977.792</v>
      </c>
      <c r="K2506" s="33" t="n">
        <f aca="false">IF(OR(E2506=0,E2506&gt;=7),0,D2506/(7-E2506)*E2506*INDEX(Products!$E$2:$E$49,MATCH(C2506,Products!$A$2:$A$49,0)))</f>
        <v>26520</v>
      </c>
    </row>
    <row r="2507" customFormat="false" ht="15" hidden="false" customHeight="false" outlineLevel="0" collapsed="false">
      <c r="A2507" s="36" t="n">
        <v>46153</v>
      </c>
      <c r="B2507" s="24" t="s">
        <v>63</v>
      </c>
      <c r="C2507" s="24" t="s">
        <v>123</v>
      </c>
      <c r="D2507" s="33" t="n">
        <v>202</v>
      </c>
      <c r="E2507" s="24" t="n">
        <v>0</v>
      </c>
      <c r="F2507" s="37" t="n">
        <f aca="false">DATE(YEAR(A2507),MONTH(A2507),1)</f>
        <v>46143</v>
      </c>
      <c r="G2507" s="24" t="str">
        <f aca="false">INDEX(Products!$C$2:$C$49,MATCH(C2507,Products!$A$2:$A$49,0))</f>
        <v>Grocery Staples</v>
      </c>
      <c r="H2507" s="33" t="n">
        <f aca="false">D2507*INDEX(Products!$E$2:$E$49,MATCH(C2507,Products!$A$2:$A$49,0))</f>
        <v>68680</v>
      </c>
      <c r="I2507" s="33" t="n">
        <f aca="false">D2507*INDEX(Products!$D$2:$D$49,MATCH(C2507,Products!$A$2:$A$49,0))*(1+INDEX(Assumptions!$B$16:$B$20,MATCH(B2507,Assumptions!$A$16:$A$20,0)))</f>
        <v>60953.904</v>
      </c>
      <c r="J2507" s="33" t="n">
        <f aca="false">H2507-I2507</f>
        <v>7726.096</v>
      </c>
      <c r="K2507" s="33" t="n">
        <f aca="false">IF(OR(E2507=0,E2507&gt;=7),0,D2507/(7-E2507)*E2507*INDEX(Products!$E$2:$E$49,MATCH(C2507,Products!$A$2:$A$49,0)))</f>
        <v>0</v>
      </c>
    </row>
    <row r="2508" customFormat="false" ht="15" hidden="false" customHeight="false" outlineLevel="0" collapsed="false">
      <c r="A2508" s="36" t="n">
        <v>46160</v>
      </c>
      <c r="B2508" s="24" t="s">
        <v>63</v>
      </c>
      <c r="C2508" s="24" t="s">
        <v>123</v>
      </c>
      <c r="D2508" s="33" t="n">
        <v>197</v>
      </c>
      <c r="E2508" s="24" t="n">
        <v>0</v>
      </c>
      <c r="F2508" s="37" t="n">
        <f aca="false">DATE(YEAR(A2508),MONTH(A2508),1)</f>
        <v>46143</v>
      </c>
      <c r="G2508" s="24" t="str">
        <f aca="false">INDEX(Products!$C$2:$C$49,MATCH(C2508,Products!$A$2:$A$49,0))</f>
        <v>Grocery Staples</v>
      </c>
      <c r="H2508" s="33" t="n">
        <f aca="false">D2508*INDEX(Products!$E$2:$E$49,MATCH(C2508,Products!$A$2:$A$49,0))</f>
        <v>66980</v>
      </c>
      <c r="I2508" s="33" t="n">
        <f aca="false">D2508*INDEX(Products!$D$2:$D$49,MATCH(C2508,Products!$A$2:$A$49,0))*(1+INDEX(Assumptions!$B$16:$B$20,MATCH(B2508,Assumptions!$A$16:$A$20,0)))</f>
        <v>59445.144</v>
      </c>
      <c r="J2508" s="33" t="n">
        <f aca="false">H2508-I2508</f>
        <v>7534.856</v>
      </c>
      <c r="K2508" s="33" t="n">
        <f aca="false">IF(OR(E2508=0,E2508&gt;=7),0,D2508/(7-E2508)*E2508*INDEX(Products!$E$2:$E$49,MATCH(C2508,Products!$A$2:$A$49,0)))</f>
        <v>0</v>
      </c>
    </row>
    <row r="2509" customFormat="false" ht="15" hidden="false" customHeight="false" outlineLevel="0" collapsed="false">
      <c r="A2509" s="36" t="n">
        <v>46167</v>
      </c>
      <c r="B2509" s="24" t="s">
        <v>63</v>
      </c>
      <c r="C2509" s="24" t="s">
        <v>123</v>
      </c>
      <c r="D2509" s="33" t="n">
        <v>216</v>
      </c>
      <c r="E2509" s="24" t="n">
        <v>0</v>
      </c>
      <c r="F2509" s="37" t="n">
        <f aca="false">DATE(YEAR(A2509),MONTH(A2509),1)</f>
        <v>46143</v>
      </c>
      <c r="G2509" s="24" t="str">
        <f aca="false">INDEX(Products!$C$2:$C$49,MATCH(C2509,Products!$A$2:$A$49,0))</f>
        <v>Grocery Staples</v>
      </c>
      <c r="H2509" s="33" t="n">
        <f aca="false">D2509*INDEX(Products!$E$2:$E$49,MATCH(C2509,Products!$A$2:$A$49,0))</f>
        <v>73440</v>
      </c>
      <c r="I2509" s="33" t="n">
        <f aca="false">D2509*INDEX(Products!$D$2:$D$49,MATCH(C2509,Products!$A$2:$A$49,0))*(1+INDEX(Assumptions!$B$16:$B$20,MATCH(B2509,Assumptions!$A$16:$A$20,0)))</f>
        <v>65178.432</v>
      </c>
      <c r="J2509" s="33" t="n">
        <f aca="false">H2509-I2509</f>
        <v>8261.568</v>
      </c>
      <c r="K2509" s="33" t="n">
        <f aca="false">IF(OR(E2509=0,E2509&gt;=7),0,D2509/(7-E2509)*E2509*INDEX(Products!$E$2:$E$49,MATCH(C2509,Products!$A$2:$A$49,0)))</f>
        <v>0</v>
      </c>
    </row>
    <row r="2510" customFormat="false" ht="15" hidden="false" customHeight="false" outlineLevel="0" collapsed="false">
      <c r="A2510" s="36" t="n">
        <v>46174</v>
      </c>
      <c r="B2510" s="24" t="s">
        <v>63</v>
      </c>
      <c r="C2510" s="24" t="s">
        <v>123</v>
      </c>
      <c r="D2510" s="33" t="n">
        <v>196</v>
      </c>
      <c r="E2510" s="24" t="n">
        <v>0</v>
      </c>
      <c r="F2510" s="37" t="n">
        <f aca="false">DATE(YEAR(A2510),MONTH(A2510),1)</f>
        <v>46174</v>
      </c>
      <c r="G2510" s="24" t="str">
        <f aca="false">INDEX(Products!$C$2:$C$49,MATCH(C2510,Products!$A$2:$A$49,0))</f>
        <v>Grocery Staples</v>
      </c>
      <c r="H2510" s="33" t="n">
        <f aca="false">D2510*INDEX(Products!$E$2:$E$49,MATCH(C2510,Products!$A$2:$A$49,0))</f>
        <v>66640</v>
      </c>
      <c r="I2510" s="33" t="n">
        <f aca="false">D2510*INDEX(Products!$D$2:$D$49,MATCH(C2510,Products!$A$2:$A$49,0))*(1+INDEX(Assumptions!$B$16:$B$20,MATCH(B2510,Assumptions!$A$16:$A$20,0)))</f>
        <v>59143.392</v>
      </c>
      <c r="J2510" s="33" t="n">
        <f aca="false">H2510-I2510</f>
        <v>7496.608</v>
      </c>
      <c r="K2510" s="33" t="n">
        <f aca="false">IF(OR(E2510=0,E2510&gt;=7),0,D2510/(7-E2510)*E2510*INDEX(Products!$E$2:$E$49,MATCH(C2510,Products!$A$2:$A$49,0)))</f>
        <v>0</v>
      </c>
    </row>
    <row r="2511" customFormat="false" ht="15" hidden="false" customHeight="false" outlineLevel="0" collapsed="false">
      <c r="A2511" s="36" t="n">
        <v>46181</v>
      </c>
      <c r="B2511" s="24" t="s">
        <v>63</v>
      </c>
      <c r="C2511" s="24" t="s">
        <v>123</v>
      </c>
      <c r="D2511" s="33" t="n">
        <v>226</v>
      </c>
      <c r="E2511" s="24" t="n">
        <v>0</v>
      </c>
      <c r="F2511" s="37" t="n">
        <f aca="false">DATE(YEAR(A2511),MONTH(A2511),1)</f>
        <v>46174</v>
      </c>
      <c r="G2511" s="24" t="str">
        <f aca="false">INDEX(Products!$C$2:$C$49,MATCH(C2511,Products!$A$2:$A$49,0))</f>
        <v>Grocery Staples</v>
      </c>
      <c r="H2511" s="33" t="n">
        <f aca="false">D2511*INDEX(Products!$E$2:$E$49,MATCH(C2511,Products!$A$2:$A$49,0))</f>
        <v>76840</v>
      </c>
      <c r="I2511" s="33" t="n">
        <f aca="false">D2511*INDEX(Products!$D$2:$D$49,MATCH(C2511,Products!$A$2:$A$49,0))*(1+INDEX(Assumptions!$B$16:$B$20,MATCH(B2511,Assumptions!$A$16:$A$20,0)))</f>
        <v>68195.952</v>
      </c>
      <c r="J2511" s="33" t="n">
        <f aca="false">H2511-I2511</f>
        <v>8644.048</v>
      </c>
      <c r="K2511" s="33" t="n">
        <f aca="false">IF(OR(E2511=0,E2511&gt;=7),0,D2511/(7-E2511)*E2511*INDEX(Products!$E$2:$E$49,MATCH(C2511,Products!$A$2:$A$49,0)))</f>
        <v>0</v>
      </c>
    </row>
    <row r="2512" customFormat="false" ht="15" hidden="false" customHeight="false" outlineLevel="0" collapsed="false">
      <c r="A2512" s="36" t="n">
        <v>46188</v>
      </c>
      <c r="B2512" s="24" t="s">
        <v>63</v>
      </c>
      <c r="C2512" s="24" t="s">
        <v>123</v>
      </c>
      <c r="D2512" s="33" t="n">
        <v>202</v>
      </c>
      <c r="E2512" s="24" t="n">
        <v>0</v>
      </c>
      <c r="F2512" s="37" t="n">
        <f aca="false">DATE(YEAR(A2512),MONTH(A2512),1)</f>
        <v>46174</v>
      </c>
      <c r="G2512" s="24" t="str">
        <f aca="false">INDEX(Products!$C$2:$C$49,MATCH(C2512,Products!$A$2:$A$49,0))</f>
        <v>Grocery Staples</v>
      </c>
      <c r="H2512" s="33" t="n">
        <f aca="false">D2512*INDEX(Products!$E$2:$E$49,MATCH(C2512,Products!$A$2:$A$49,0))</f>
        <v>68680</v>
      </c>
      <c r="I2512" s="33" t="n">
        <f aca="false">D2512*INDEX(Products!$D$2:$D$49,MATCH(C2512,Products!$A$2:$A$49,0))*(1+INDEX(Assumptions!$B$16:$B$20,MATCH(B2512,Assumptions!$A$16:$A$20,0)))</f>
        <v>60953.904</v>
      </c>
      <c r="J2512" s="33" t="n">
        <f aca="false">H2512-I2512</f>
        <v>7726.096</v>
      </c>
      <c r="K2512" s="33" t="n">
        <f aca="false">IF(OR(E2512=0,E2512&gt;=7),0,D2512/(7-E2512)*E2512*INDEX(Products!$E$2:$E$49,MATCH(C2512,Products!$A$2:$A$49,0)))</f>
        <v>0</v>
      </c>
    </row>
    <row r="2513" customFormat="false" ht="15" hidden="false" customHeight="false" outlineLevel="0" collapsed="false">
      <c r="A2513" s="36" t="n">
        <v>46195</v>
      </c>
      <c r="B2513" s="24" t="s">
        <v>63</v>
      </c>
      <c r="C2513" s="24" t="s">
        <v>123</v>
      </c>
      <c r="D2513" s="33" t="n">
        <v>230</v>
      </c>
      <c r="E2513" s="24" t="n">
        <v>0</v>
      </c>
      <c r="F2513" s="37" t="n">
        <f aca="false">DATE(YEAR(A2513),MONTH(A2513),1)</f>
        <v>46174</v>
      </c>
      <c r="G2513" s="24" t="str">
        <f aca="false">INDEX(Products!$C$2:$C$49,MATCH(C2513,Products!$A$2:$A$49,0))</f>
        <v>Grocery Staples</v>
      </c>
      <c r="H2513" s="33" t="n">
        <f aca="false">D2513*INDEX(Products!$E$2:$E$49,MATCH(C2513,Products!$A$2:$A$49,0))</f>
        <v>78200</v>
      </c>
      <c r="I2513" s="33" t="n">
        <f aca="false">D2513*INDEX(Products!$D$2:$D$49,MATCH(C2513,Products!$A$2:$A$49,0))*(1+INDEX(Assumptions!$B$16:$B$20,MATCH(B2513,Assumptions!$A$16:$A$20,0)))</f>
        <v>69402.96</v>
      </c>
      <c r="J2513" s="33" t="n">
        <f aca="false">H2513-I2513</f>
        <v>8797.03999999999</v>
      </c>
      <c r="K2513" s="33" t="n">
        <f aca="false">IF(OR(E2513=0,E2513&gt;=7),0,D2513/(7-E2513)*E2513*INDEX(Products!$E$2:$E$49,MATCH(C2513,Products!$A$2:$A$49,0)))</f>
        <v>0</v>
      </c>
    </row>
    <row r="2514" customFormat="false" ht="15" hidden="false" customHeight="false" outlineLevel="0" collapsed="false">
      <c r="A2514" s="36" t="n">
        <v>46202</v>
      </c>
      <c r="B2514" s="24" t="s">
        <v>63</v>
      </c>
      <c r="C2514" s="24" t="s">
        <v>123</v>
      </c>
      <c r="D2514" s="33" t="n">
        <v>215</v>
      </c>
      <c r="E2514" s="24" t="n">
        <v>0</v>
      </c>
      <c r="F2514" s="37" t="n">
        <f aca="false">DATE(YEAR(A2514),MONTH(A2514),1)</f>
        <v>46174</v>
      </c>
      <c r="G2514" s="24" t="str">
        <f aca="false">INDEX(Products!$C$2:$C$49,MATCH(C2514,Products!$A$2:$A$49,0))</f>
        <v>Grocery Staples</v>
      </c>
      <c r="H2514" s="33" t="n">
        <f aca="false">D2514*INDEX(Products!$E$2:$E$49,MATCH(C2514,Products!$A$2:$A$49,0))</f>
        <v>73100</v>
      </c>
      <c r="I2514" s="33" t="n">
        <f aca="false">D2514*INDEX(Products!$D$2:$D$49,MATCH(C2514,Products!$A$2:$A$49,0))*(1+INDEX(Assumptions!$B$16:$B$20,MATCH(B2514,Assumptions!$A$16:$A$20,0)))</f>
        <v>64876.68</v>
      </c>
      <c r="J2514" s="33" t="n">
        <f aca="false">H2514-I2514</f>
        <v>8223.32</v>
      </c>
      <c r="K2514" s="33" t="n">
        <f aca="false">IF(OR(E2514=0,E2514&gt;=7),0,D2514/(7-E2514)*E2514*INDEX(Products!$E$2:$E$49,MATCH(C2514,Products!$A$2:$A$49,0)))</f>
        <v>0</v>
      </c>
    </row>
    <row r="2515" customFormat="false" ht="15" hidden="false" customHeight="false" outlineLevel="0" collapsed="false">
      <c r="A2515" s="36" t="n">
        <v>46209</v>
      </c>
      <c r="B2515" s="24" t="s">
        <v>63</v>
      </c>
      <c r="C2515" s="24" t="s">
        <v>123</v>
      </c>
      <c r="D2515" s="33" t="n">
        <v>195</v>
      </c>
      <c r="E2515" s="24" t="n">
        <v>0</v>
      </c>
      <c r="F2515" s="37" t="n">
        <f aca="false">DATE(YEAR(A2515),MONTH(A2515),1)</f>
        <v>46204</v>
      </c>
      <c r="G2515" s="24" t="str">
        <f aca="false">INDEX(Products!$C$2:$C$49,MATCH(C2515,Products!$A$2:$A$49,0))</f>
        <v>Grocery Staples</v>
      </c>
      <c r="H2515" s="33" t="n">
        <f aca="false">D2515*INDEX(Products!$E$2:$E$49,MATCH(C2515,Products!$A$2:$A$49,0))</f>
        <v>66300</v>
      </c>
      <c r="I2515" s="33" t="n">
        <f aca="false">D2515*INDEX(Products!$D$2:$D$49,MATCH(C2515,Products!$A$2:$A$49,0))*(1+INDEX(Assumptions!$B$16:$B$20,MATCH(B2515,Assumptions!$A$16:$A$20,0)))</f>
        <v>58841.64</v>
      </c>
      <c r="J2515" s="33" t="n">
        <f aca="false">H2515-I2515</f>
        <v>7458.36</v>
      </c>
      <c r="K2515" s="33" t="n">
        <f aca="false">IF(OR(E2515=0,E2515&gt;=7),0,D2515/(7-E2515)*E2515*INDEX(Products!$E$2:$E$49,MATCH(C2515,Products!$A$2:$A$49,0)))</f>
        <v>0</v>
      </c>
    </row>
    <row r="2516" customFormat="false" ht="15" hidden="false" customHeight="false" outlineLevel="0" collapsed="false">
      <c r="A2516" s="36" t="n">
        <v>46216</v>
      </c>
      <c r="B2516" s="24" t="s">
        <v>63</v>
      </c>
      <c r="C2516" s="24" t="s">
        <v>123</v>
      </c>
      <c r="D2516" s="33" t="n">
        <v>205</v>
      </c>
      <c r="E2516" s="24" t="n">
        <v>0</v>
      </c>
      <c r="F2516" s="37" t="n">
        <f aca="false">DATE(YEAR(A2516),MONTH(A2516),1)</f>
        <v>46204</v>
      </c>
      <c r="G2516" s="24" t="str">
        <f aca="false">INDEX(Products!$C$2:$C$49,MATCH(C2516,Products!$A$2:$A$49,0))</f>
        <v>Grocery Staples</v>
      </c>
      <c r="H2516" s="33" t="n">
        <f aca="false">D2516*INDEX(Products!$E$2:$E$49,MATCH(C2516,Products!$A$2:$A$49,0))</f>
        <v>69700</v>
      </c>
      <c r="I2516" s="33" t="n">
        <f aca="false">D2516*INDEX(Products!$D$2:$D$49,MATCH(C2516,Products!$A$2:$A$49,0))*(1+INDEX(Assumptions!$B$16:$B$20,MATCH(B2516,Assumptions!$A$16:$A$20,0)))</f>
        <v>61859.16</v>
      </c>
      <c r="J2516" s="33" t="n">
        <f aca="false">H2516-I2516</f>
        <v>7840.84</v>
      </c>
      <c r="K2516" s="33" t="n">
        <f aca="false">IF(OR(E2516=0,E2516&gt;=7),0,D2516/(7-E2516)*E2516*INDEX(Products!$E$2:$E$49,MATCH(C2516,Products!$A$2:$A$49,0)))</f>
        <v>0</v>
      </c>
    </row>
    <row r="2517" customFormat="false" ht="15" hidden="false" customHeight="false" outlineLevel="0" collapsed="false">
      <c r="A2517" s="36" t="n">
        <v>46223</v>
      </c>
      <c r="B2517" s="24" t="s">
        <v>63</v>
      </c>
      <c r="C2517" s="24" t="s">
        <v>123</v>
      </c>
      <c r="D2517" s="33" t="n">
        <v>230</v>
      </c>
      <c r="E2517" s="24" t="n">
        <v>0</v>
      </c>
      <c r="F2517" s="37" t="n">
        <f aca="false">DATE(YEAR(A2517),MONTH(A2517),1)</f>
        <v>46204</v>
      </c>
      <c r="G2517" s="24" t="str">
        <f aca="false">INDEX(Products!$C$2:$C$49,MATCH(C2517,Products!$A$2:$A$49,0))</f>
        <v>Grocery Staples</v>
      </c>
      <c r="H2517" s="33" t="n">
        <f aca="false">D2517*INDEX(Products!$E$2:$E$49,MATCH(C2517,Products!$A$2:$A$49,0))</f>
        <v>78200</v>
      </c>
      <c r="I2517" s="33" t="n">
        <f aca="false">D2517*INDEX(Products!$D$2:$D$49,MATCH(C2517,Products!$A$2:$A$49,0))*(1+INDEX(Assumptions!$B$16:$B$20,MATCH(B2517,Assumptions!$A$16:$A$20,0)))</f>
        <v>69402.96</v>
      </c>
      <c r="J2517" s="33" t="n">
        <f aca="false">H2517-I2517</f>
        <v>8797.03999999999</v>
      </c>
      <c r="K2517" s="33" t="n">
        <f aca="false">IF(OR(E2517=0,E2517&gt;=7),0,D2517/(7-E2517)*E2517*INDEX(Products!$E$2:$E$49,MATCH(C2517,Products!$A$2:$A$49,0)))</f>
        <v>0</v>
      </c>
    </row>
    <row r="2518" customFormat="false" ht="15" hidden="false" customHeight="false" outlineLevel="0" collapsed="false">
      <c r="A2518" s="36" t="n">
        <v>46230</v>
      </c>
      <c r="B2518" s="24" t="s">
        <v>63</v>
      </c>
      <c r="C2518" s="24" t="s">
        <v>123</v>
      </c>
      <c r="D2518" s="33" t="n">
        <v>98</v>
      </c>
      <c r="E2518" s="24" t="n">
        <v>4</v>
      </c>
      <c r="F2518" s="37" t="n">
        <f aca="false">DATE(YEAR(A2518),MONTH(A2518),1)</f>
        <v>46204</v>
      </c>
      <c r="G2518" s="24" t="str">
        <f aca="false">INDEX(Products!$C$2:$C$49,MATCH(C2518,Products!$A$2:$A$49,0))</f>
        <v>Grocery Staples</v>
      </c>
      <c r="H2518" s="33" t="n">
        <f aca="false">D2518*INDEX(Products!$E$2:$E$49,MATCH(C2518,Products!$A$2:$A$49,0))</f>
        <v>33320</v>
      </c>
      <c r="I2518" s="33" t="n">
        <f aca="false">D2518*INDEX(Products!$D$2:$D$49,MATCH(C2518,Products!$A$2:$A$49,0))*(1+INDEX(Assumptions!$B$16:$B$20,MATCH(B2518,Assumptions!$A$16:$A$20,0)))</f>
        <v>29571.696</v>
      </c>
      <c r="J2518" s="33" t="n">
        <f aca="false">H2518-I2518</f>
        <v>3748.304</v>
      </c>
      <c r="K2518" s="33" t="n">
        <f aca="false">IF(OR(E2518=0,E2518&gt;=7),0,D2518/(7-E2518)*E2518*INDEX(Products!$E$2:$E$49,MATCH(C2518,Products!$A$2:$A$49,0)))</f>
        <v>44426.6666666667</v>
      </c>
    </row>
    <row r="2519" customFormat="false" ht="15" hidden="false" customHeight="false" outlineLevel="0" collapsed="false">
      <c r="A2519" s="36" t="n">
        <v>46237</v>
      </c>
      <c r="B2519" s="24" t="s">
        <v>63</v>
      </c>
      <c r="C2519" s="24" t="s">
        <v>123</v>
      </c>
      <c r="D2519" s="33" t="n">
        <v>210</v>
      </c>
      <c r="E2519" s="24" t="n">
        <v>0</v>
      </c>
      <c r="F2519" s="37" t="n">
        <f aca="false">DATE(YEAR(A2519),MONTH(A2519),1)</f>
        <v>46235</v>
      </c>
      <c r="G2519" s="24" t="str">
        <f aca="false">INDEX(Products!$C$2:$C$49,MATCH(C2519,Products!$A$2:$A$49,0))</f>
        <v>Grocery Staples</v>
      </c>
      <c r="H2519" s="33" t="n">
        <f aca="false">D2519*INDEX(Products!$E$2:$E$49,MATCH(C2519,Products!$A$2:$A$49,0))</f>
        <v>71400</v>
      </c>
      <c r="I2519" s="33" t="n">
        <f aca="false">D2519*INDEX(Products!$D$2:$D$49,MATCH(C2519,Products!$A$2:$A$49,0))*(1+INDEX(Assumptions!$B$16:$B$20,MATCH(B2519,Assumptions!$A$16:$A$20,0)))</f>
        <v>63367.92</v>
      </c>
      <c r="J2519" s="33" t="n">
        <f aca="false">H2519-I2519</f>
        <v>8032.08</v>
      </c>
      <c r="K2519" s="33" t="n">
        <f aca="false">IF(OR(E2519=0,E2519&gt;=7),0,D2519/(7-E2519)*E2519*INDEX(Products!$E$2:$E$49,MATCH(C2519,Products!$A$2:$A$49,0)))</f>
        <v>0</v>
      </c>
    </row>
    <row r="2520" customFormat="false" ht="15" hidden="false" customHeight="false" outlineLevel="0" collapsed="false">
      <c r="A2520" s="36" t="n">
        <v>46244</v>
      </c>
      <c r="B2520" s="24" t="s">
        <v>63</v>
      </c>
      <c r="C2520" s="24" t="s">
        <v>123</v>
      </c>
      <c r="D2520" s="33" t="n">
        <v>217</v>
      </c>
      <c r="E2520" s="24" t="n">
        <v>0</v>
      </c>
      <c r="F2520" s="37" t="n">
        <f aca="false">DATE(YEAR(A2520),MONTH(A2520),1)</f>
        <v>46235</v>
      </c>
      <c r="G2520" s="24" t="str">
        <f aca="false">INDEX(Products!$C$2:$C$49,MATCH(C2520,Products!$A$2:$A$49,0))</f>
        <v>Grocery Staples</v>
      </c>
      <c r="H2520" s="33" t="n">
        <f aca="false">D2520*INDEX(Products!$E$2:$E$49,MATCH(C2520,Products!$A$2:$A$49,0))</f>
        <v>73780</v>
      </c>
      <c r="I2520" s="33" t="n">
        <f aca="false">D2520*INDEX(Products!$D$2:$D$49,MATCH(C2520,Products!$A$2:$A$49,0))*(1+INDEX(Assumptions!$B$16:$B$20,MATCH(B2520,Assumptions!$A$16:$A$20,0)))</f>
        <v>65480.184</v>
      </c>
      <c r="J2520" s="33" t="n">
        <f aca="false">H2520-I2520</f>
        <v>8299.816</v>
      </c>
      <c r="K2520" s="33" t="n">
        <f aca="false">IF(OR(E2520=0,E2520&gt;=7),0,D2520/(7-E2520)*E2520*INDEX(Products!$E$2:$E$49,MATCH(C2520,Products!$A$2:$A$49,0)))</f>
        <v>0</v>
      </c>
    </row>
    <row r="2521" customFormat="false" ht="15" hidden="false" customHeight="false" outlineLevel="0" collapsed="false">
      <c r="A2521" s="36" t="n">
        <v>46251</v>
      </c>
      <c r="B2521" s="24" t="s">
        <v>63</v>
      </c>
      <c r="C2521" s="24" t="s">
        <v>123</v>
      </c>
      <c r="D2521" s="33" t="n">
        <v>226</v>
      </c>
      <c r="E2521" s="24" t="n">
        <v>0</v>
      </c>
      <c r="F2521" s="37" t="n">
        <f aca="false">DATE(YEAR(A2521),MONTH(A2521),1)</f>
        <v>46235</v>
      </c>
      <c r="G2521" s="24" t="str">
        <f aca="false">INDEX(Products!$C$2:$C$49,MATCH(C2521,Products!$A$2:$A$49,0))</f>
        <v>Grocery Staples</v>
      </c>
      <c r="H2521" s="33" t="n">
        <f aca="false">D2521*INDEX(Products!$E$2:$E$49,MATCH(C2521,Products!$A$2:$A$49,0))</f>
        <v>76840</v>
      </c>
      <c r="I2521" s="33" t="n">
        <f aca="false">D2521*INDEX(Products!$D$2:$D$49,MATCH(C2521,Products!$A$2:$A$49,0))*(1+INDEX(Assumptions!$B$16:$B$20,MATCH(B2521,Assumptions!$A$16:$A$20,0)))</f>
        <v>68195.952</v>
      </c>
      <c r="J2521" s="33" t="n">
        <f aca="false">H2521-I2521</f>
        <v>8644.048</v>
      </c>
      <c r="K2521" s="33" t="n">
        <f aca="false">IF(OR(E2521=0,E2521&gt;=7),0,D2521/(7-E2521)*E2521*INDEX(Products!$E$2:$E$49,MATCH(C2521,Products!$A$2:$A$49,0)))</f>
        <v>0</v>
      </c>
    </row>
    <row r="2522" customFormat="false" ht="15" hidden="false" customHeight="false" outlineLevel="0" collapsed="false">
      <c r="A2522" s="36" t="n">
        <v>46258</v>
      </c>
      <c r="B2522" s="24" t="s">
        <v>63</v>
      </c>
      <c r="C2522" s="24" t="s">
        <v>123</v>
      </c>
      <c r="D2522" s="33" t="n">
        <v>258</v>
      </c>
      <c r="E2522" s="24" t="n">
        <v>0</v>
      </c>
      <c r="F2522" s="37" t="n">
        <f aca="false">DATE(YEAR(A2522),MONTH(A2522),1)</f>
        <v>46235</v>
      </c>
      <c r="G2522" s="24" t="str">
        <f aca="false">INDEX(Products!$C$2:$C$49,MATCH(C2522,Products!$A$2:$A$49,0))</f>
        <v>Grocery Staples</v>
      </c>
      <c r="H2522" s="33" t="n">
        <f aca="false">D2522*INDEX(Products!$E$2:$E$49,MATCH(C2522,Products!$A$2:$A$49,0))</f>
        <v>87720</v>
      </c>
      <c r="I2522" s="33" t="n">
        <f aca="false">D2522*INDEX(Products!$D$2:$D$49,MATCH(C2522,Products!$A$2:$A$49,0))*(1+INDEX(Assumptions!$B$16:$B$20,MATCH(B2522,Assumptions!$A$16:$A$20,0)))</f>
        <v>77852.016</v>
      </c>
      <c r="J2522" s="33" t="n">
        <f aca="false">H2522-I2522</f>
        <v>9867.984</v>
      </c>
      <c r="K2522" s="33" t="n">
        <f aca="false">IF(OR(E2522=0,E2522&gt;=7),0,D2522/(7-E2522)*E2522*INDEX(Products!$E$2:$E$49,MATCH(C2522,Products!$A$2:$A$49,0)))</f>
        <v>0</v>
      </c>
    </row>
    <row r="2523" customFormat="false" ht="15" hidden="false" customHeight="false" outlineLevel="0" collapsed="false">
      <c r="A2523" s="36" t="n">
        <v>46265</v>
      </c>
      <c r="B2523" s="24" t="s">
        <v>63</v>
      </c>
      <c r="C2523" s="24" t="s">
        <v>123</v>
      </c>
      <c r="D2523" s="33" t="n">
        <v>250</v>
      </c>
      <c r="E2523" s="24" t="n">
        <v>0</v>
      </c>
      <c r="F2523" s="37" t="n">
        <f aca="false">DATE(YEAR(A2523),MONTH(A2523),1)</f>
        <v>46235</v>
      </c>
      <c r="G2523" s="24" t="str">
        <f aca="false">INDEX(Products!$C$2:$C$49,MATCH(C2523,Products!$A$2:$A$49,0))</f>
        <v>Grocery Staples</v>
      </c>
      <c r="H2523" s="33" t="n">
        <f aca="false">D2523*INDEX(Products!$E$2:$E$49,MATCH(C2523,Products!$A$2:$A$49,0))</f>
        <v>85000</v>
      </c>
      <c r="I2523" s="33" t="n">
        <f aca="false">D2523*INDEX(Products!$D$2:$D$49,MATCH(C2523,Products!$A$2:$A$49,0))*(1+INDEX(Assumptions!$B$16:$B$20,MATCH(B2523,Assumptions!$A$16:$A$20,0)))</f>
        <v>75438</v>
      </c>
      <c r="J2523" s="33" t="n">
        <f aca="false">H2523-I2523</f>
        <v>9562</v>
      </c>
      <c r="K2523" s="33" t="n">
        <f aca="false">IF(OR(E2523=0,E2523&gt;=7),0,D2523/(7-E2523)*E2523*INDEX(Products!$E$2:$E$49,MATCH(C2523,Products!$A$2:$A$49,0)))</f>
        <v>0</v>
      </c>
    </row>
    <row r="2524" customFormat="false" ht="15" hidden="false" customHeight="false" outlineLevel="0" collapsed="false">
      <c r="A2524" s="36" t="n">
        <v>46272</v>
      </c>
      <c r="B2524" s="24" t="s">
        <v>63</v>
      </c>
      <c r="C2524" s="24" t="s">
        <v>123</v>
      </c>
      <c r="D2524" s="33" t="n">
        <v>229</v>
      </c>
      <c r="E2524" s="24" t="n">
        <v>0</v>
      </c>
      <c r="F2524" s="37" t="n">
        <f aca="false">DATE(YEAR(A2524),MONTH(A2524),1)</f>
        <v>46266</v>
      </c>
      <c r="G2524" s="24" t="str">
        <f aca="false">INDEX(Products!$C$2:$C$49,MATCH(C2524,Products!$A$2:$A$49,0))</f>
        <v>Grocery Staples</v>
      </c>
      <c r="H2524" s="33" t="n">
        <f aca="false">D2524*INDEX(Products!$E$2:$E$49,MATCH(C2524,Products!$A$2:$A$49,0))</f>
        <v>77860</v>
      </c>
      <c r="I2524" s="33" t="n">
        <f aca="false">D2524*INDEX(Products!$D$2:$D$49,MATCH(C2524,Products!$A$2:$A$49,0))*(1+INDEX(Assumptions!$B$16:$B$20,MATCH(B2524,Assumptions!$A$16:$A$20,0)))</f>
        <v>69101.208</v>
      </c>
      <c r="J2524" s="33" t="n">
        <f aca="false">H2524-I2524</f>
        <v>8758.792</v>
      </c>
      <c r="K2524" s="33" t="n">
        <f aca="false">IF(OR(E2524=0,E2524&gt;=7),0,D2524/(7-E2524)*E2524*INDEX(Products!$E$2:$E$49,MATCH(C2524,Products!$A$2:$A$49,0)))</f>
        <v>0</v>
      </c>
    </row>
    <row r="2525" customFormat="false" ht="15" hidden="false" customHeight="false" outlineLevel="0" collapsed="false">
      <c r="A2525" s="36" t="n">
        <v>46279</v>
      </c>
      <c r="B2525" s="24" t="s">
        <v>63</v>
      </c>
      <c r="C2525" s="24" t="s">
        <v>123</v>
      </c>
      <c r="D2525" s="33" t="n">
        <v>247</v>
      </c>
      <c r="E2525" s="24" t="n">
        <v>0</v>
      </c>
      <c r="F2525" s="37" t="n">
        <f aca="false">DATE(YEAR(A2525),MONTH(A2525),1)</f>
        <v>46266</v>
      </c>
      <c r="G2525" s="24" t="str">
        <f aca="false">INDEX(Products!$C$2:$C$49,MATCH(C2525,Products!$A$2:$A$49,0))</f>
        <v>Grocery Staples</v>
      </c>
      <c r="H2525" s="33" t="n">
        <f aca="false">D2525*INDEX(Products!$E$2:$E$49,MATCH(C2525,Products!$A$2:$A$49,0))</f>
        <v>83980</v>
      </c>
      <c r="I2525" s="33" t="n">
        <f aca="false">D2525*INDEX(Products!$D$2:$D$49,MATCH(C2525,Products!$A$2:$A$49,0))*(1+INDEX(Assumptions!$B$16:$B$20,MATCH(B2525,Assumptions!$A$16:$A$20,0)))</f>
        <v>74532.744</v>
      </c>
      <c r="J2525" s="33" t="n">
        <f aca="false">H2525-I2525</f>
        <v>9447.25599999999</v>
      </c>
      <c r="K2525" s="33" t="n">
        <f aca="false">IF(OR(E2525=0,E2525&gt;=7),0,D2525/(7-E2525)*E2525*INDEX(Products!$E$2:$E$49,MATCH(C2525,Products!$A$2:$A$49,0)))</f>
        <v>0</v>
      </c>
    </row>
    <row r="2526" customFormat="false" ht="15" hidden="false" customHeight="false" outlineLevel="0" collapsed="false">
      <c r="A2526" s="36" t="n">
        <v>46286</v>
      </c>
      <c r="B2526" s="24" t="s">
        <v>63</v>
      </c>
      <c r="C2526" s="24" t="s">
        <v>123</v>
      </c>
      <c r="D2526" s="33" t="n">
        <v>288</v>
      </c>
      <c r="E2526" s="24" t="n">
        <v>0</v>
      </c>
      <c r="F2526" s="37" t="n">
        <f aca="false">DATE(YEAR(A2526),MONTH(A2526),1)</f>
        <v>46266</v>
      </c>
      <c r="G2526" s="24" t="str">
        <f aca="false">INDEX(Products!$C$2:$C$49,MATCH(C2526,Products!$A$2:$A$49,0))</f>
        <v>Grocery Staples</v>
      </c>
      <c r="H2526" s="33" t="n">
        <f aca="false">D2526*INDEX(Products!$E$2:$E$49,MATCH(C2526,Products!$A$2:$A$49,0))</f>
        <v>97920</v>
      </c>
      <c r="I2526" s="33" t="n">
        <f aca="false">D2526*INDEX(Products!$D$2:$D$49,MATCH(C2526,Products!$A$2:$A$49,0))*(1+INDEX(Assumptions!$B$16:$B$20,MATCH(B2526,Assumptions!$A$16:$A$20,0)))</f>
        <v>86904.576</v>
      </c>
      <c r="J2526" s="33" t="n">
        <f aca="false">H2526-I2526</f>
        <v>11015.424</v>
      </c>
      <c r="K2526" s="33" t="n">
        <f aca="false">IF(OR(E2526=0,E2526&gt;=7),0,D2526/(7-E2526)*E2526*INDEX(Products!$E$2:$E$49,MATCH(C2526,Products!$A$2:$A$49,0)))</f>
        <v>0</v>
      </c>
    </row>
    <row r="2527" customFormat="false" ht="15" hidden="false" customHeight="false" outlineLevel="0" collapsed="false">
      <c r="A2527" s="36" t="n">
        <v>46118</v>
      </c>
      <c r="B2527" s="24" t="s">
        <v>63</v>
      </c>
      <c r="C2527" s="24" t="s">
        <v>125</v>
      </c>
      <c r="D2527" s="33" t="n">
        <v>43</v>
      </c>
      <c r="E2527" s="24" t="n">
        <v>0</v>
      </c>
      <c r="F2527" s="37" t="n">
        <f aca="false">DATE(YEAR(A2527),MONTH(A2527),1)</f>
        <v>46113</v>
      </c>
      <c r="G2527" s="24" t="str">
        <f aca="false">INDEX(Products!$C$2:$C$49,MATCH(C2527,Products!$A$2:$A$49,0))</f>
        <v>Grocery Staples</v>
      </c>
      <c r="H2527" s="33" t="n">
        <f aca="false">D2527*INDEX(Products!$E$2:$E$49,MATCH(C2527,Products!$A$2:$A$49,0))</f>
        <v>1935</v>
      </c>
      <c r="I2527" s="33" t="n">
        <f aca="false">D2527*INDEX(Products!$D$2:$D$49,MATCH(C2527,Products!$A$2:$A$49,0))*(1+INDEX(Assumptions!$B$16:$B$20,MATCH(B2527,Assumptions!$A$16:$A$20,0)))</f>
        <v>1747.52</v>
      </c>
      <c r="J2527" s="33" t="n">
        <f aca="false">H2527-I2527</f>
        <v>187.48</v>
      </c>
      <c r="K2527" s="33" t="n">
        <f aca="false">IF(OR(E2527=0,E2527&gt;=7),0,D2527/(7-E2527)*E2527*INDEX(Products!$E$2:$E$49,MATCH(C2527,Products!$A$2:$A$49,0)))</f>
        <v>0</v>
      </c>
    </row>
    <row r="2528" customFormat="false" ht="15" hidden="false" customHeight="false" outlineLevel="0" collapsed="false">
      <c r="A2528" s="36" t="n">
        <v>46125</v>
      </c>
      <c r="B2528" s="24" t="s">
        <v>63</v>
      </c>
      <c r="C2528" s="24" t="s">
        <v>125</v>
      </c>
      <c r="D2528" s="33" t="n">
        <v>52</v>
      </c>
      <c r="E2528" s="24" t="n">
        <v>0</v>
      </c>
      <c r="F2528" s="37" t="n">
        <f aca="false">DATE(YEAR(A2528),MONTH(A2528),1)</f>
        <v>46113</v>
      </c>
      <c r="G2528" s="24" t="str">
        <f aca="false">INDEX(Products!$C$2:$C$49,MATCH(C2528,Products!$A$2:$A$49,0))</f>
        <v>Grocery Staples</v>
      </c>
      <c r="H2528" s="33" t="n">
        <f aca="false">D2528*INDEX(Products!$E$2:$E$49,MATCH(C2528,Products!$A$2:$A$49,0))</f>
        <v>2340</v>
      </c>
      <c r="I2528" s="33" t="n">
        <f aca="false">D2528*INDEX(Products!$D$2:$D$49,MATCH(C2528,Products!$A$2:$A$49,0))*(1+INDEX(Assumptions!$B$16:$B$20,MATCH(B2528,Assumptions!$A$16:$A$20,0)))</f>
        <v>2113.28</v>
      </c>
      <c r="J2528" s="33" t="n">
        <f aca="false">H2528-I2528</f>
        <v>226.72</v>
      </c>
      <c r="K2528" s="33" t="n">
        <f aca="false">IF(OR(E2528=0,E2528&gt;=7),0,D2528/(7-E2528)*E2528*INDEX(Products!$E$2:$E$49,MATCH(C2528,Products!$A$2:$A$49,0)))</f>
        <v>0</v>
      </c>
    </row>
    <row r="2529" customFormat="false" ht="15" hidden="false" customHeight="false" outlineLevel="0" collapsed="false">
      <c r="A2529" s="36" t="n">
        <v>46132</v>
      </c>
      <c r="B2529" s="24" t="s">
        <v>63</v>
      </c>
      <c r="C2529" s="24" t="s">
        <v>125</v>
      </c>
      <c r="D2529" s="33" t="n">
        <v>79</v>
      </c>
      <c r="E2529" s="24" t="n">
        <v>0</v>
      </c>
      <c r="F2529" s="37" t="n">
        <f aca="false">DATE(YEAR(A2529),MONTH(A2529),1)</f>
        <v>46113</v>
      </c>
      <c r="G2529" s="24" t="str">
        <f aca="false">INDEX(Products!$C$2:$C$49,MATCH(C2529,Products!$A$2:$A$49,0))</f>
        <v>Grocery Staples</v>
      </c>
      <c r="H2529" s="33" t="n">
        <f aca="false">D2529*INDEX(Products!$E$2:$E$49,MATCH(C2529,Products!$A$2:$A$49,0))</f>
        <v>3555</v>
      </c>
      <c r="I2529" s="33" t="n">
        <f aca="false">D2529*INDEX(Products!$D$2:$D$49,MATCH(C2529,Products!$A$2:$A$49,0))*(1+INDEX(Assumptions!$B$16:$B$20,MATCH(B2529,Assumptions!$A$16:$A$20,0)))</f>
        <v>3210.56</v>
      </c>
      <c r="J2529" s="33" t="n">
        <f aca="false">H2529-I2529</f>
        <v>344.44</v>
      </c>
      <c r="K2529" s="33" t="n">
        <f aca="false">IF(OR(E2529=0,E2529&gt;=7),0,D2529/(7-E2529)*E2529*INDEX(Products!$E$2:$E$49,MATCH(C2529,Products!$A$2:$A$49,0)))</f>
        <v>0</v>
      </c>
    </row>
    <row r="2530" customFormat="false" ht="15" hidden="false" customHeight="false" outlineLevel="0" collapsed="false">
      <c r="A2530" s="36" t="n">
        <v>46139</v>
      </c>
      <c r="B2530" s="24" t="s">
        <v>63</v>
      </c>
      <c r="C2530" s="24" t="s">
        <v>125</v>
      </c>
      <c r="D2530" s="33" t="n">
        <v>48</v>
      </c>
      <c r="E2530" s="24" t="n">
        <v>0</v>
      </c>
      <c r="F2530" s="37" t="n">
        <f aca="false">DATE(YEAR(A2530),MONTH(A2530),1)</f>
        <v>46113</v>
      </c>
      <c r="G2530" s="24" t="str">
        <f aca="false">INDEX(Products!$C$2:$C$49,MATCH(C2530,Products!$A$2:$A$49,0))</f>
        <v>Grocery Staples</v>
      </c>
      <c r="H2530" s="33" t="n">
        <f aca="false">D2530*INDEX(Products!$E$2:$E$49,MATCH(C2530,Products!$A$2:$A$49,0))</f>
        <v>2160</v>
      </c>
      <c r="I2530" s="33" t="n">
        <f aca="false">D2530*INDEX(Products!$D$2:$D$49,MATCH(C2530,Products!$A$2:$A$49,0))*(1+INDEX(Assumptions!$B$16:$B$20,MATCH(B2530,Assumptions!$A$16:$A$20,0)))</f>
        <v>1950.72</v>
      </c>
      <c r="J2530" s="33" t="n">
        <f aca="false">H2530-I2530</f>
        <v>209.28</v>
      </c>
      <c r="K2530" s="33" t="n">
        <f aca="false">IF(OR(E2530=0,E2530&gt;=7),0,D2530/(7-E2530)*E2530*INDEX(Products!$E$2:$E$49,MATCH(C2530,Products!$A$2:$A$49,0)))</f>
        <v>0</v>
      </c>
    </row>
    <row r="2531" customFormat="false" ht="15" hidden="false" customHeight="false" outlineLevel="0" collapsed="false">
      <c r="A2531" s="36" t="n">
        <v>46146</v>
      </c>
      <c r="B2531" s="24" t="s">
        <v>63</v>
      </c>
      <c r="C2531" s="24" t="s">
        <v>125</v>
      </c>
      <c r="D2531" s="33" t="n">
        <v>47</v>
      </c>
      <c r="E2531" s="24" t="n">
        <v>0</v>
      </c>
      <c r="F2531" s="37" t="n">
        <f aca="false">DATE(YEAR(A2531),MONTH(A2531),1)</f>
        <v>46143</v>
      </c>
      <c r="G2531" s="24" t="str">
        <f aca="false">INDEX(Products!$C$2:$C$49,MATCH(C2531,Products!$A$2:$A$49,0))</f>
        <v>Grocery Staples</v>
      </c>
      <c r="H2531" s="33" t="n">
        <f aca="false">D2531*INDEX(Products!$E$2:$E$49,MATCH(C2531,Products!$A$2:$A$49,0))</f>
        <v>2115</v>
      </c>
      <c r="I2531" s="33" t="n">
        <f aca="false">D2531*INDEX(Products!$D$2:$D$49,MATCH(C2531,Products!$A$2:$A$49,0))*(1+INDEX(Assumptions!$B$16:$B$20,MATCH(B2531,Assumptions!$A$16:$A$20,0)))</f>
        <v>1910.08</v>
      </c>
      <c r="J2531" s="33" t="n">
        <f aca="false">H2531-I2531</f>
        <v>204.92</v>
      </c>
      <c r="K2531" s="33" t="n">
        <f aca="false">IF(OR(E2531=0,E2531&gt;=7),0,D2531/(7-E2531)*E2531*INDEX(Products!$E$2:$E$49,MATCH(C2531,Products!$A$2:$A$49,0)))</f>
        <v>0</v>
      </c>
    </row>
    <row r="2532" customFormat="false" ht="15" hidden="false" customHeight="false" outlineLevel="0" collapsed="false">
      <c r="A2532" s="36" t="n">
        <v>46153</v>
      </c>
      <c r="B2532" s="24" t="s">
        <v>63</v>
      </c>
      <c r="C2532" s="24" t="s">
        <v>125</v>
      </c>
      <c r="D2532" s="33" t="n">
        <v>43</v>
      </c>
      <c r="E2532" s="24" t="n">
        <v>0</v>
      </c>
      <c r="F2532" s="37" t="n">
        <f aca="false">DATE(YEAR(A2532),MONTH(A2532),1)</f>
        <v>46143</v>
      </c>
      <c r="G2532" s="24" t="str">
        <f aca="false">INDEX(Products!$C$2:$C$49,MATCH(C2532,Products!$A$2:$A$49,0))</f>
        <v>Grocery Staples</v>
      </c>
      <c r="H2532" s="33" t="n">
        <f aca="false">D2532*INDEX(Products!$E$2:$E$49,MATCH(C2532,Products!$A$2:$A$49,0))</f>
        <v>1935</v>
      </c>
      <c r="I2532" s="33" t="n">
        <f aca="false">D2532*INDEX(Products!$D$2:$D$49,MATCH(C2532,Products!$A$2:$A$49,0))*(1+INDEX(Assumptions!$B$16:$B$20,MATCH(B2532,Assumptions!$A$16:$A$20,0)))</f>
        <v>1747.52</v>
      </c>
      <c r="J2532" s="33" t="n">
        <f aca="false">H2532-I2532</f>
        <v>187.48</v>
      </c>
      <c r="K2532" s="33" t="n">
        <f aca="false">IF(OR(E2532=0,E2532&gt;=7),0,D2532/(7-E2532)*E2532*INDEX(Products!$E$2:$E$49,MATCH(C2532,Products!$A$2:$A$49,0)))</f>
        <v>0</v>
      </c>
    </row>
    <row r="2533" customFormat="false" ht="15" hidden="false" customHeight="false" outlineLevel="0" collapsed="false">
      <c r="A2533" s="36" t="n">
        <v>46160</v>
      </c>
      <c r="B2533" s="24" t="s">
        <v>63</v>
      </c>
      <c r="C2533" s="24" t="s">
        <v>125</v>
      </c>
      <c r="D2533" s="33" t="n">
        <v>46</v>
      </c>
      <c r="E2533" s="24" t="n">
        <v>0</v>
      </c>
      <c r="F2533" s="37" t="n">
        <f aca="false">DATE(YEAR(A2533),MONTH(A2533),1)</f>
        <v>46143</v>
      </c>
      <c r="G2533" s="24" t="str">
        <f aca="false">INDEX(Products!$C$2:$C$49,MATCH(C2533,Products!$A$2:$A$49,0))</f>
        <v>Grocery Staples</v>
      </c>
      <c r="H2533" s="33" t="n">
        <f aca="false">D2533*INDEX(Products!$E$2:$E$49,MATCH(C2533,Products!$A$2:$A$49,0))</f>
        <v>2070</v>
      </c>
      <c r="I2533" s="33" t="n">
        <f aca="false">D2533*INDEX(Products!$D$2:$D$49,MATCH(C2533,Products!$A$2:$A$49,0))*(1+INDEX(Assumptions!$B$16:$B$20,MATCH(B2533,Assumptions!$A$16:$A$20,0)))</f>
        <v>1869.44</v>
      </c>
      <c r="J2533" s="33" t="n">
        <f aca="false">H2533-I2533</f>
        <v>200.56</v>
      </c>
      <c r="K2533" s="33" t="n">
        <f aca="false">IF(OR(E2533=0,E2533&gt;=7),0,D2533/(7-E2533)*E2533*INDEX(Products!$E$2:$E$49,MATCH(C2533,Products!$A$2:$A$49,0)))</f>
        <v>0</v>
      </c>
    </row>
    <row r="2534" customFormat="false" ht="15" hidden="false" customHeight="false" outlineLevel="0" collapsed="false">
      <c r="A2534" s="36" t="n">
        <v>46167</v>
      </c>
      <c r="B2534" s="24" t="s">
        <v>63</v>
      </c>
      <c r="C2534" s="24" t="s">
        <v>125</v>
      </c>
      <c r="D2534" s="33" t="n">
        <v>45</v>
      </c>
      <c r="E2534" s="24" t="n">
        <v>0</v>
      </c>
      <c r="F2534" s="37" t="n">
        <f aca="false">DATE(YEAR(A2534),MONTH(A2534),1)</f>
        <v>46143</v>
      </c>
      <c r="G2534" s="24" t="str">
        <f aca="false">INDEX(Products!$C$2:$C$49,MATCH(C2534,Products!$A$2:$A$49,0))</f>
        <v>Grocery Staples</v>
      </c>
      <c r="H2534" s="33" t="n">
        <f aca="false">D2534*INDEX(Products!$E$2:$E$49,MATCH(C2534,Products!$A$2:$A$49,0))</f>
        <v>2025</v>
      </c>
      <c r="I2534" s="33" t="n">
        <f aca="false">D2534*INDEX(Products!$D$2:$D$49,MATCH(C2534,Products!$A$2:$A$49,0))*(1+INDEX(Assumptions!$B$16:$B$20,MATCH(B2534,Assumptions!$A$16:$A$20,0)))</f>
        <v>1828.8</v>
      </c>
      <c r="J2534" s="33" t="n">
        <f aca="false">H2534-I2534</f>
        <v>196.2</v>
      </c>
      <c r="K2534" s="33" t="n">
        <f aca="false">IF(OR(E2534=0,E2534&gt;=7),0,D2534/(7-E2534)*E2534*INDEX(Products!$E$2:$E$49,MATCH(C2534,Products!$A$2:$A$49,0)))</f>
        <v>0</v>
      </c>
    </row>
    <row r="2535" customFormat="false" ht="15" hidden="false" customHeight="false" outlineLevel="0" collapsed="false">
      <c r="A2535" s="36" t="n">
        <v>46174</v>
      </c>
      <c r="B2535" s="24" t="s">
        <v>63</v>
      </c>
      <c r="C2535" s="24" t="s">
        <v>125</v>
      </c>
      <c r="D2535" s="33" t="n">
        <v>34</v>
      </c>
      <c r="E2535" s="24" t="n">
        <v>0</v>
      </c>
      <c r="F2535" s="37" t="n">
        <f aca="false">DATE(YEAR(A2535),MONTH(A2535),1)</f>
        <v>46174</v>
      </c>
      <c r="G2535" s="24" t="str">
        <f aca="false">INDEX(Products!$C$2:$C$49,MATCH(C2535,Products!$A$2:$A$49,0))</f>
        <v>Grocery Staples</v>
      </c>
      <c r="H2535" s="33" t="n">
        <f aca="false">D2535*INDEX(Products!$E$2:$E$49,MATCH(C2535,Products!$A$2:$A$49,0))</f>
        <v>1530</v>
      </c>
      <c r="I2535" s="33" t="n">
        <f aca="false">D2535*INDEX(Products!$D$2:$D$49,MATCH(C2535,Products!$A$2:$A$49,0))*(1+INDEX(Assumptions!$B$16:$B$20,MATCH(B2535,Assumptions!$A$16:$A$20,0)))</f>
        <v>1381.76</v>
      </c>
      <c r="J2535" s="33" t="n">
        <f aca="false">H2535-I2535</f>
        <v>148.24</v>
      </c>
      <c r="K2535" s="33" t="n">
        <f aca="false">IF(OR(E2535=0,E2535&gt;=7),0,D2535/(7-E2535)*E2535*INDEX(Products!$E$2:$E$49,MATCH(C2535,Products!$A$2:$A$49,0)))</f>
        <v>0</v>
      </c>
    </row>
    <row r="2536" customFormat="false" ht="15" hidden="false" customHeight="false" outlineLevel="0" collapsed="false">
      <c r="A2536" s="36" t="n">
        <v>46181</v>
      </c>
      <c r="B2536" s="24" t="s">
        <v>63</v>
      </c>
      <c r="C2536" s="24" t="s">
        <v>125</v>
      </c>
      <c r="D2536" s="33" t="n">
        <v>25</v>
      </c>
      <c r="E2536" s="24" t="n">
        <v>0</v>
      </c>
      <c r="F2536" s="37" t="n">
        <f aca="false">DATE(YEAR(A2536),MONTH(A2536),1)</f>
        <v>46174</v>
      </c>
      <c r="G2536" s="24" t="str">
        <f aca="false">INDEX(Products!$C$2:$C$49,MATCH(C2536,Products!$A$2:$A$49,0))</f>
        <v>Grocery Staples</v>
      </c>
      <c r="H2536" s="33" t="n">
        <f aca="false">D2536*INDEX(Products!$E$2:$E$49,MATCH(C2536,Products!$A$2:$A$49,0))</f>
        <v>1125</v>
      </c>
      <c r="I2536" s="33" t="n">
        <f aca="false">D2536*INDEX(Products!$D$2:$D$49,MATCH(C2536,Products!$A$2:$A$49,0))*(1+INDEX(Assumptions!$B$16:$B$20,MATCH(B2536,Assumptions!$A$16:$A$20,0)))</f>
        <v>1016</v>
      </c>
      <c r="J2536" s="33" t="n">
        <f aca="false">H2536-I2536</f>
        <v>109</v>
      </c>
      <c r="K2536" s="33" t="n">
        <f aca="false">IF(OR(E2536=0,E2536&gt;=7),0,D2536/(7-E2536)*E2536*INDEX(Products!$E$2:$E$49,MATCH(C2536,Products!$A$2:$A$49,0)))</f>
        <v>0</v>
      </c>
    </row>
    <row r="2537" customFormat="false" ht="15" hidden="false" customHeight="false" outlineLevel="0" collapsed="false">
      <c r="A2537" s="36" t="n">
        <v>46188</v>
      </c>
      <c r="B2537" s="24" t="s">
        <v>63</v>
      </c>
      <c r="C2537" s="24" t="s">
        <v>125</v>
      </c>
      <c r="D2537" s="33" t="n">
        <v>48</v>
      </c>
      <c r="E2537" s="24" t="n">
        <v>0</v>
      </c>
      <c r="F2537" s="37" t="n">
        <f aca="false">DATE(YEAR(A2537),MONTH(A2537),1)</f>
        <v>46174</v>
      </c>
      <c r="G2537" s="24" t="str">
        <f aca="false">INDEX(Products!$C$2:$C$49,MATCH(C2537,Products!$A$2:$A$49,0))</f>
        <v>Grocery Staples</v>
      </c>
      <c r="H2537" s="33" t="n">
        <f aca="false">D2537*INDEX(Products!$E$2:$E$49,MATCH(C2537,Products!$A$2:$A$49,0))</f>
        <v>2160</v>
      </c>
      <c r="I2537" s="33" t="n">
        <f aca="false">D2537*INDEX(Products!$D$2:$D$49,MATCH(C2537,Products!$A$2:$A$49,0))*(1+INDEX(Assumptions!$B$16:$B$20,MATCH(B2537,Assumptions!$A$16:$A$20,0)))</f>
        <v>1950.72</v>
      </c>
      <c r="J2537" s="33" t="n">
        <f aca="false">H2537-I2537</f>
        <v>209.28</v>
      </c>
      <c r="K2537" s="33" t="n">
        <f aca="false">IF(OR(E2537=0,E2537&gt;=7),0,D2537/(7-E2537)*E2537*INDEX(Products!$E$2:$E$49,MATCH(C2537,Products!$A$2:$A$49,0)))</f>
        <v>0</v>
      </c>
    </row>
    <row r="2538" customFormat="false" ht="15" hidden="false" customHeight="false" outlineLevel="0" collapsed="false">
      <c r="A2538" s="36" t="n">
        <v>46195</v>
      </c>
      <c r="B2538" s="24" t="s">
        <v>63</v>
      </c>
      <c r="C2538" s="24" t="s">
        <v>125</v>
      </c>
      <c r="D2538" s="33" t="n">
        <v>44</v>
      </c>
      <c r="E2538" s="24" t="n">
        <v>0</v>
      </c>
      <c r="F2538" s="37" t="n">
        <f aca="false">DATE(YEAR(A2538),MONTH(A2538),1)</f>
        <v>46174</v>
      </c>
      <c r="G2538" s="24" t="str">
        <f aca="false">INDEX(Products!$C$2:$C$49,MATCH(C2538,Products!$A$2:$A$49,0))</f>
        <v>Grocery Staples</v>
      </c>
      <c r="H2538" s="33" t="n">
        <f aca="false">D2538*INDEX(Products!$E$2:$E$49,MATCH(C2538,Products!$A$2:$A$49,0))</f>
        <v>1980</v>
      </c>
      <c r="I2538" s="33" t="n">
        <f aca="false">D2538*INDEX(Products!$D$2:$D$49,MATCH(C2538,Products!$A$2:$A$49,0))*(1+INDEX(Assumptions!$B$16:$B$20,MATCH(B2538,Assumptions!$A$16:$A$20,0)))</f>
        <v>1788.16</v>
      </c>
      <c r="J2538" s="33" t="n">
        <f aca="false">H2538-I2538</f>
        <v>191.84</v>
      </c>
      <c r="K2538" s="33" t="n">
        <f aca="false">IF(OR(E2538=0,E2538&gt;=7),0,D2538/(7-E2538)*E2538*INDEX(Products!$E$2:$E$49,MATCH(C2538,Products!$A$2:$A$49,0)))</f>
        <v>0</v>
      </c>
    </row>
    <row r="2539" customFormat="false" ht="15" hidden="false" customHeight="false" outlineLevel="0" collapsed="false">
      <c r="A2539" s="36" t="n">
        <v>46202</v>
      </c>
      <c r="B2539" s="24" t="s">
        <v>63</v>
      </c>
      <c r="C2539" s="24" t="s">
        <v>125</v>
      </c>
      <c r="D2539" s="33" t="n">
        <v>28</v>
      </c>
      <c r="E2539" s="24" t="n">
        <v>0</v>
      </c>
      <c r="F2539" s="37" t="n">
        <f aca="false">DATE(YEAR(A2539),MONTH(A2539),1)</f>
        <v>46174</v>
      </c>
      <c r="G2539" s="24" t="str">
        <f aca="false">INDEX(Products!$C$2:$C$49,MATCH(C2539,Products!$A$2:$A$49,0))</f>
        <v>Grocery Staples</v>
      </c>
      <c r="H2539" s="33" t="n">
        <f aca="false">D2539*INDEX(Products!$E$2:$E$49,MATCH(C2539,Products!$A$2:$A$49,0))</f>
        <v>1260</v>
      </c>
      <c r="I2539" s="33" t="n">
        <f aca="false">D2539*INDEX(Products!$D$2:$D$49,MATCH(C2539,Products!$A$2:$A$49,0))*(1+INDEX(Assumptions!$B$16:$B$20,MATCH(B2539,Assumptions!$A$16:$A$20,0)))</f>
        <v>1137.92</v>
      </c>
      <c r="J2539" s="33" t="n">
        <f aca="false">H2539-I2539</f>
        <v>122.08</v>
      </c>
      <c r="K2539" s="33" t="n">
        <f aca="false">IF(OR(E2539=0,E2539&gt;=7),0,D2539/(7-E2539)*E2539*INDEX(Products!$E$2:$E$49,MATCH(C2539,Products!$A$2:$A$49,0)))</f>
        <v>0</v>
      </c>
    </row>
    <row r="2540" customFormat="false" ht="15" hidden="false" customHeight="false" outlineLevel="0" collapsed="false">
      <c r="A2540" s="36" t="n">
        <v>46209</v>
      </c>
      <c r="B2540" s="24" t="s">
        <v>63</v>
      </c>
      <c r="C2540" s="24" t="s">
        <v>125</v>
      </c>
      <c r="D2540" s="33" t="n">
        <v>31</v>
      </c>
      <c r="E2540" s="24" t="n">
        <v>0</v>
      </c>
      <c r="F2540" s="37" t="n">
        <f aca="false">DATE(YEAR(A2540),MONTH(A2540),1)</f>
        <v>46204</v>
      </c>
      <c r="G2540" s="24" t="str">
        <f aca="false">INDEX(Products!$C$2:$C$49,MATCH(C2540,Products!$A$2:$A$49,0))</f>
        <v>Grocery Staples</v>
      </c>
      <c r="H2540" s="33" t="n">
        <f aca="false">D2540*INDEX(Products!$E$2:$E$49,MATCH(C2540,Products!$A$2:$A$49,0))</f>
        <v>1395</v>
      </c>
      <c r="I2540" s="33" t="n">
        <f aca="false">D2540*INDEX(Products!$D$2:$D$49,MATCH(C2540,Products!$A$2:$A$49,0))*(1+INDEX(Assumptions!$B$16:$B$20,MATCH(B2540,Assumptions!$A$16:$A$20,0)))</f>
        <v>1259.84</v>
      </c>
      <c r="J2540" s="33" t="n">
        <f aca="false">H2540-I2540</f>
        <v>135.16</v>
      </c>
      <c r="K2540" s="33" t="n">
        <f aca="false">IF(OR(E2540=0,E2540&gt;=7),0,D2540/(7-E2540)*E2540*INDEX(Products!$E$2:$E$49,MATCH(C2540,Products!$A$2:$A$49,0)))</f>
        <v>0</v>
      </c>
    </row>
    <row r="2541" customFormat="false" ht="15" hidden="false" customHeight="false" outlineLevel="0" collapsed="false">
      <c r="A2541" s="36" t="n">
        <v>46216</v>
      </c>
      <c r="B2541" s="24" t="s">
        <v>63</v>
      </c>
      <c r="C2541" s="24" t="s">
        <v>125</v>
      </c>
      <c r="D2541" s="33" t="n">
        <v>61</v>
      </c>
      <c r="E2541" s="24" t="n">
        <v>0</v>
      </c>
      <c r="F2541" s="37" t="n">
        <f aca="false">DATE(YEAR(A2541),MONTH(A2541),1)</f>
        <v>46204</v>
      </c>
      <c r="G2541" s="24" t="str">
        <f aca="false">INDEX(Products!$C$2:$C$49,MATCH(C2541,Products!$A$2:$A$49,0))</f>
        <v>Grocery Staples</v>
      </c>
      <c r="H2541" s="33" t="n">
        <f aca="false">D2541*INDEX(Products!$E$2:$E$49,MATCH(C2541,Products!$A$2:$A$49,0))</f>
        <v>2745</v>
      </c>
      <c r="I2541" s="33" t="n">
        <f aca="false">D2541*INDEX(Products!$D$2:$D$49,MATCH(C2541,Products!$A$2:$A$49,0))*(1+INDEX(Assumptions!$B$16:$B$20,MATCH(B2541,Assumptions!$A$16:$A$20,0)))</f>
        <v>2479.04</v>
      </c>
      <c r="J2541" s="33" t="n">
        <f aca="false">H2541-I2541</f>
        <v>265.96</v>
      </c>
      <c r="K2541" s="33" t="n">
        <f aca="false">IF(OR(E2541=0,E2541&gt;=7),0,D2541/(7-E2541)*E2541*INDEX(Products!$E$2:$E$49,MATCH(C2541,Products!$A$2:$A$49,0)))</f>
        <v>0</v>
      </c>
    </row>
    <row r="2542" customFormat="false" ht="15" hidden="false" customHeight="false" outlineLevel="0" collapsed="false">
      <c r="A2542" s="36" t="n">
        <v>46223</v>
      </c>
      <c r="B2542" s="24" t="s">
        <v>63</v>
      </c>
      <c r="C2542" s="24" t="s">
        <v>125</v>
      </c>
      <c r="D2542" s="33" t="n">
        <v>34</v>
      </c>
      <c r="E2542" s="24" t="n">
        <v>0</v>
      </c>
      <c r="F2542" s="37" t="n">
        <f aca="false">DATE(YEAR(A2542),MONTH(A2542),1)</f>
        <v>46204</v>
      </c>
      <c r="G2542" s="24" t="str">
        <f aca="false">INDEX(Products!$C$2:$C$49,MATCH(C2542,Products!$A$2:$A$49,0))</f>
        <v>Grocery Staples</v>
      </c>
      <c r="H2542" s="33" t="n">
        <f aca="false">D2542*INDEX(Products!$E$2:$E$49,MATCH(C2542,Products!$A$2:$A$49,0))</f>
        <v>1530</v>
      </c>
      <c r="I2542" s="33" t="n">
        <f aca="false">D2542*INDEX(Products!$D$2:$D$49,MATCH(C2542,Products!$A$2:$A$49,0))*(1+INDEX(Assumptions!$B$16:$B$20,MATCH(B2542,Assumptions!$A$16:$A$20,0)))</f>
        <v>1381.76</v>
      </c>
      <c r="J2542" s="33" t="n">
        <f aca="false">H2542-I2542</f>
        <v>148.24</v>
      </c>
      <c r="K2542" s="33" t="n">
        <f aca="false">IF(OR(E2542=0,E2542&gt;=7),0,D2542/(7-E2542)*E2542*INDEX(Products!$E$2:$E$49,MATCH(C2542,Products!$A$2:$A$49,0)))</f>
        <v>0</v>
      </c>
    </row>
    <row r="2543" customFormat="false" ht="15" hidden="false" customHeight="false" outlineLevel="0" collapsed="false">
      <c r="A2543" s="36" t="n">
        <v>46230</v>
      </c>
      <c r="B2543" s="24" t="s">
        <v>63</v>
      </c>
      <c r="C2543" s="24" t="s">
        <v>125</v>
      </c>
      <c r="D2543" s="33" t="n">
        <v>28</v>
      </c>
      <c r="E2543" s="24" t="n">
        <v>0</v>
      </c>
      <c r="F2543" s="37" t="n">
        <f aca="false">DATE(YEAR(A2543),MONTH(A2543),1)</f>
        <v>46204</v>
      </c>
      <c r="G2543" s="24" t="str">
        <f aca="false">INDEX(Products!$C$2:$C$49,MATCH(C2543,Products!$A$2:$A$49,0))</f>
        <v>Grocery Staples</v>
      </c>
      <c r="H2543" s="33" t="n">
        <f aca="false">D2543*INDEX(Products!$E$2:$E$49,MATCH(C2543,Products!$A$2:$A$49,0))</f>
        <v>1260</v>
      </c>
      <c r="I2543" s="33" t="n">
        <f aca="false">D2543*INDEX(Products!$D$2:$D$49,MATCH(C2543,Products!$A$2:$A$49,0))*(1+INDEX(Assumptions!$B$16:$B$20,MATCH(B2543,Assumptions!$A$16:$A$20,0)))</f>
        <v>1137.92</v>
      </c>
      <c r="J2543" s="33" t="n">
        <f aca="false">H2543-I2543</f>
        <v>122.08</v>
      </c>
      <c r="K2543" s="33" t="n">
        <f aca="false">IF(OR(E2543=0,E2543&gt;=7),0,D2543/(7-E2543)*E2543*INDEX(Products!$E$2:$E$49,MATCH(C2543,Products!$A$2:$A$49,0)))</f>
        <v>0</v>
      </c>
    </row>
    <row r="2544" customFormat="false" ht="15" hidden="false" customHeight="false" outlineLevel="0" collapsed="false">
      <c r="A2544" s="36" t="n">
        <v>46237</v>
      </c>
      <c r="B2544" s="24" t="s">
        <v>63</v>
      </c>
      <c r="C2544" s="24" t="s">
        <v>125</v>
      </c>
      <c r="D2544" s="33" t="n">
        <v>33</v>
      </c>
      <c r="E2544" s="24" t="n">
        <v>0</v>
      </c>
      <c r="F2544" s="37" t="n">
        <f aca="false">DATE(YEAR(A2544),MONTH(A2544),1)</f>
        <v>46235</v>
      </c>
      <c r="G2544" s="24" t="str">
        <f aca="false">INDEX(Products!$C$2:$C$49,MATCH(C2544,Products!$A$2:$A$49,0))</f>
        <v>Grocery Staples</v>
      </c>
      <c r="H2544" s="33" t="n">
        <f aca="false">D2544*INDEX(Products!$E$2:$E$49,MATCH(C2544,Products!$A$2:$A$49,0))</f>
        <v>1485</v>
      </c>
      <c r="I2544" s="33" t="n">
        <f aca="false">D2544*INDEX(Products!$D$2:$D$49,MATCH(C2544,Products!$A$2:$A$49,0))*(1+INDEX(Assumptions!$B$16:$B$20,MATCH(B2544,Assumptions!$A$16:$A$20,0)))</f>
        <v>1341.12</v>
      </c>
      <c r="J2544" s="33" t="n">
        <f aca="false">H2544-I2544</f>
        <v>143.88</v>
      </c>
      <c r="K2544" s="33" t="n">
        <f aca="false">IF(OR(E2544=0,E2544&gt;=7),0,D2544/(7-E2544)*E2544*INDEX(Products!$E$2:$E$49,MATCH(C2544,Products!$A$2:$A$49,0)))</f>
        <v>0</v>
      </c>
    </row>
    <row r="2545" customFormat="false" ht="15" hidden="false" customHeight="false" outlineLevel="0" collapsed="false">
      <c r="A2545" s="36" t="n">
        <v>46244</v>
      </c>
      <c r="B2545" s="24" t="s">
        <v>63</v>
      </c>
      <c r="C2545" s="24" t="s">
        <v>125</v>
      </c>
      <c r="D2545" s="33" t="n">
        <v>35</v>
      </c>
      <c r="E2545" s="24" t="n">
        <v>0</v>
      </c>
      <c r="F2545" s="37" t="n">
        <f aca="false">DATE(YEAR(A2545),MONTH(A2545),1)</f>
        <v>46235</v>
      </c>
      <c r="G2545" s="24" t="str">
        <f aca="false">INDEX(Products!$C$2:$C$49,MATCH(C2545,Products!$A$2:$A$49,0))</f>
        <v>Grocery Staples</v>
      </c>
      <c r="H2545" s="33" t="n">
        <f aca="false">D2545*INDEX(Products!$E$2:$E$49,MATCH(C2545,Products!$A$2:$A$49,0))</f>
        <v>1575</v>
      </c>
      <c r="I2545" s="33" t="n">
        <f aca="false">D2545*INDEX(Products!$D$2:$D$49,MATCH(C2545,Products!$A$2:$A$49,0))*(1+INDEX(Assumptions!$B$16:$B$20,MATCH(B2545,Assumptions!$A$16:$A$20,0)))</f>
        <v>1422.4</v>
      </c>
      <c r="J2545" s="33" t="n">
        <f aca="false">H2545-I2545</f>
        <v>152.6</v>
      </c>
      <c r="K2545" s="33" t="n">
        <f aca="false">IF(OR(E2545=0,E2545&gt;=7),0,D2545/(7-E2545)*E2545*INDEX(Products!$E$2:$E$49,MATCH(C2545,Products!$A$2:$A$49,0)))</f>
        <v>0</v>
      </c>
    </row>
    <row r="2546" customFormat="false" ht="15" hidden="false" customHeight="false" outlineLevel="0" collapsed="false">
      <c r="A2546" s="36" t="n">
        <v>46251</v>
      </c>
      <c r="B2546" s="24" t="s">
        <v>63</v>
      </c>
      <c r="C2546" s="24" t="s">
        <v>125</v>
      </c>
      <c r="D2546" s="33" t="n">
        <v>24</v>
      </c>
      <c r="E2546" s="24" t="n">
        <v>0</v>
      </c>
      <c r="F2546" s="37" t="n">
        <f aca="false">DATE(YEAR(A2546),MONTH(A2546),1)</f>
        <v>46235</v>
      </c>
      <c r="G2546" s="24" t="str">
        <f aca="false">INDEX(Products!$C$2:$C$49,MATCH(C2546,Products!$A$2:$A$49,0))</f>
        <v>Grocery Staples</v>
      </c>
      <c r="H2546" s="33" t="n">
        <f aca="false">D2546*INDEX(Products!$E$2:$E$49,MATCH(C2546,Products!$A$2:$A$49,0))</f>
        <v>1080</v>
      </c>
      <c r="I2546" s="33" t="n">
        <f aca="false">D2546*INDEX(Products!$D$2:$D$49,MATCH(C2546,Products!$A$2:$A$49,0))*(1+INDEX(Assumptions!$B$16:$B$20,MATCH(B2546,Assumptions!$A$16:$A$20,0)))</f>
        <v>975.36</v>
      </c>
      <c r="J2546" s="33" t="n">
        <f aca="false">H2546-I2546</f>
        <v>104.64</v>
      </c>
      <c r="K2546" s="33" t="n">
        <f aca="false">IF(OR(E2546=0,E2546&gt;=7),0,D2546/(7-E2546)*E2546*INDEX(Products!$E$2:$E$49,MATCH(C2546,Products!$A$2:$A$49,0)))</f>
        <v>0</v>
      </c>
    </row>
    <row r="2547" customFormat="false" ht="15" hidden="false" customHeight="false" outlineLevel="0" collapsed="false">
      <c r="A2547" s="36" t="n">
        <v>46258</v>
      </c>
      <c r="B2547" s="24" t="s">
        <v>63</v>
      </c>
      <c r="C2547" s="24" t="s">
        <v>125</v>
      </c>
      <c r="D2547" s="33" t="n">
        <v>30</v>
      </c>
      <c r="E2547" s="24" t="n">
        <v>0</v>
      </c>
      <c r="F2547" s="37" t="n">
        <f aca="false">DATE(YEAR(A2547),MONTH(A2547),1)</f>
        <v>46235</v>
      </c>
      <c r="G2547" s="24" t="str">
        <f aca="false">INDEX(Products!$C$2:$C$49,MATCH(C2547,Products!$A$2:$A$49,0))</f>
        <v>Grocery Staples</v>
      </c>
      <c r="H2547" s="33" t="n">
        <f aca="false">D2547*INDEX(Products!$E$2:$E$49,MATCH(C2547,Products!$A$2:$A$49,0))</f>
        <v>1350</v>
      </c>
      <c r="I2547" s="33" t="n">
        <f aca="false">D2547*INDEX(Products!$D$2:$D$49,MATCH(C2547,Products!$A$2:$A$49,0))*(1+INDEX(Assumptions!$B$16:$B$20,MATCH(B2547,Assumptions!$A$16:$A$20,0)))</f>
        <v>1219.2</v>
      </c>
      <c r="J2547" s="33" t="n">
        <f aca="false">H2547-I2547</f>
        <v>130.8</v>
      </c>
      <c r="K2547" s="33" t="n">
        <f aca="false">IF(OR(E2547=0,E2547&gt;=7),0,D2547/(7-E2547)*E2547*INDEX(Products!$E$2:$E$49,MATCH(C2547,Products!$A$2:$A$49,0)))</f>
        <v>0</v>
      </c>
    </row>
    <row r="2548" customFormat="false" ht="15" hidden="false" customHeight="false" outlineLevel="0" collapsed="false">
      <c r="A2548" s="36" t="n">
        <v>46265</v>
      </c>
      <c r="B2548" s="24" t="s">
        <v>63</v>
      </c>
      <c r="C2548" s="24" t="s">
        <v>125</v>
      </c>
      <c r="D2548" s="33" t="n">
        <v>34</v>
      </c>
      <c r="E2548" s="24" t="n">
        <v>0</v>
      </c>
      <c r="F2548" s="37" t="n">
        <f aca="false">DATE(YEAR(A2548),MONTH(A2548),1)</f>
        <v>46235</v>
      </c>
      <c r="G2548" s="24" t="str">
        <f aca="false">INDEX(Products!$C$2:$C$49,MATCH(C2548,Products!$A$2:$A$49,0))</f>
        <v>Grocery Staples</v>
      </c>
      <c r="H2548" s="33" t="n">
        <f aca="false">D2548*INDEX(Products!$E$2:$E$49,MATCH(C2548,Products!$A$2:$A$49,0))</f>
        <v>1530</v>
      </c>
      <c r="I2548" s="33" t="n">
        <f aca="false">D2548*INDEX(Products!$D$2:$D$49,MATCH(C2548,Products!$A$2:$A$49,0))*(1+INDEX(Assumptions!$B$16:$B$20,MATCH(B2548,Assumptions!$A$16:$A$20,0)))</f>
        <v>1381.76</v>
      </c>
      <c r="J2548" s="33" t="n">
        <f aca="false">H2548-I2548</f>
        <v>148.24</v>
      </c>
      <c r="K2548" s="33" t="n">
        <f aca="false">IF(OR(E2548=0,E2548&gt;=7),0,D2548/(7-E2548)*E2548*INDEX(Products!$E$2:$E$49,MATCH(C2548,Products!$A$2:$A$49,0)))</f>
        <v>0</v>
      </c>
    </row>
    <row r="2549" customFormat="false" ht="15" hidden="false" customHeight="false" outlineLevel="0" collapsed="false">
      <c r="A2549" s="36" t="n">
        <v>46272</v>
      </c>
      <c r="B2549" s="24" t="s">
        <v>63</v>
      </c>
      <c r="C2549" s="24" t="s">
        <v>125</v>
      </c>
      <c r="D2549" s="33" t="n">
        <v>32</v>
      </c>
      <c r="E2549" s="24" t="n">
        <v>0</v>
      </c>
      <c r="F2549" s="37" t="n">
        <f aca="false">DATE(YEAR(A2549),MONTH(A2549),1)</f>
        <v>46266</v>
      </c>
      <c r="G2549" s="24" t="str">
        <f aca="false">INDEX(Products!$C$2:$C$49,MATCH(C2549,Products!$A$2:$A$49,0))</f>
        <v>Grocery Staples</v>
      </c>
      <c r="H2549" s="33" t="n">
        <f aca="false">D2549*INDEX(Products!$E$2:$E$49,MATCH(C2549,Products!$A$2:$A$49,0))</f>
        <v>1440</v>
      </c>
      <c r="I2549" s="33" t="n">
        <f aca="false">D2549*INDEX(Products!$D$2:$D$49,MATCH(C2549,Products!$A$2:$A$49,0))*(1+INDEX(Assumptions!$B$16:$B$20,MATCH(B2549,Assumptions!$A$16:$A$20,0)))</f>
        <v>1300.48</v>
      </c>
      <c r="J2549" s="33" t="n">
        <f aca="false">H2549-I2549</f>
        <v>139.52</v>
      </c>
      <c r="K2549" s="33" t="n">
        <f aca="false">IF(OR(E2549=0,E2549&gt;=7),0,D2549/(7-E2549)*E2549*INDEX(Products!$E$2:$E$49,MATCH(C2549,Products!$A$2:$A$49,0)))</f>
        <v>0</v>
      </c>
    </row>
    <row r="2550" customFormat="false" ht="15" hidden="false" customHeight="false" outlineLevel="0" collapsed="false">
      <c r="A2550" s="36" t="n">
        <v>46279</v>
      </c>
      <c r="B2550" s="24" t="s">
        <v>63</v>
      </c>
      <c r="C2550" s="24" t="s">
        <v>125</v>
      </c>
      <c r="D2550" s="33" t="n">
        <v>29</v>
      </c>
      <c r="E2550" s="24" t="n">
        <v>0</v>
      </c>
      <c r="F2550" s="37" t="n">
        <f aca="false">DATE(YEAR(A2550),MONTH(A2550),1)</f>
        <v>46266</v>
      </c>
      <c r="G2550" s="24" t="str">
        <f aca="false">INDEX(Products!$C$2:$C$49,MATCH(C2550,Products!$A$2:$A$49,0))</f>
        <v>Grocery Staples</v>
      </c>
      <c r="H2550" s="33" t="n">
        <f aca="false">D2550*INDEX(Products!$E$2:$E$49,MATCH(C2550,Products!$A$2:$A$49,0))</f>
        <v>1305</v>
      </c>
      <c r="I2550" s="33" t="n">
        <f aca="false">D2550*INDEX(Products!$D$2:$D$49,MATCH(C2550,Products!$A$2:$A$49,0))*(1+INDEX(Assumptions!$B$16:$B$20,MATCH(B2550,Assumptions!$A$16:$A$20,0)))</f>
        <v>1178.56</v>
      </c>
      <c r="J2550" s="33" t="n">
        <f aca="false">H2550-I2550</f>
        <v>126.44</v>
      </c>
      <c r="K2550" s="33" t="n">
        <f aca="false">IF(OR(E2550=0,E2550&gt;=7),0,D2550/(7-E2550)*E2550*INDEX(Products!$E$2:$E$49,MATCH(C2550,Products!$A$2:$A$49,0)))</f>
        <v>0</v>
      </c>
    </row>
    <row r="2551" customFormat="false" ht="15" hidden="false" customHeight="false" outlineLevel="0" collapsed="false">
      <c r="A2551" s="36" t="n">
        <v>46286</v>
      </c>
      <c r="B2551" s="24" t="s">
        <v>63</v>
      </c>
      <c r="C2551" s="24" t="s">
        <v>125</v>
      </c>
      <c r="D2551" s="33" t="n">
        <v>38</v>
      </c>
      <c r="E2551" s="24" t="n">
        <v>0</v>
      </c>
      <c r="F2551" s="37" t="n">
        <f aca="false">DATE(YEAR(A2551),MONTH(A2551),1)</f>
        <v>46266</v>
      </c>
      <c r="G2551" s="24" t="str">
        <f aca="false">INDEX(Products!$C$2:$C$49,MATCH(C2551,Products!$A$2:$A$49,0))</f>
        <v>Grocery Staples</v>
      </c>
      <c r="H2551" s="33" t="n">
        <f aca="false">D2551*INDEX(Products!$E$2:$E$49,MATCH(C2551,Products!$A$2:$A$49,0))</f>
        <v>1710</v>
      </c>
      <c r="I2551" s="33" t="n">
        <f aca="false">D2551*INDEX(Products!$D$2:$D$49,MATCH(C2551,Products!$A$2:$A$49,0))*(1+INDEX(Assumptions!$B$16:$B$20,MATCH(B2551,Assumptions!$A$16:$A$20,0)))</f>
        <v>1544.32</v>
      </c>
      <c r="J2551" s="33" t="n">
        <f aca="false">H2551-I2551</f>
        <v>165.68</v>
      </c>
      <c r="K2551" s="33" t="n">
        <f aca="false">IF(OR(E2551=0,E2551&gt;=7),0,D2551/(7-E2551)*E2551*INDEX(Products!$E$2:$E$49,MATCH(C2551,Products!$A$2:$A$49,0)))</f>
        <v>0</v>
      </c>
    </row>
    <row r="2552" customFormat="false" ht="15" hidden="false" customHeight="false" outlineLevel="0" collapsed="false">
      <c r="A2552" s="36" t="n">
        <v>46118</v>
      </c>
      <c r="B2552" s="24" t="s">
        <v>63</v>
      </c>
      <c r="C2552" s="24" t="s">
        <v>127</v>
      </c>
      <c r="D2552" s="33" t="n">
        <v>115</v>
      </c>
      <c r="E2552" s="24" t="n">
        <v>0</v>
      </c>
      <c r="F2552" s="37" t="n">
        <f aca="false">DATE(YEAR(A2552),MONTH(A2552),1)</f>
        <v>46113</v>
      </c>
      <c r="G2552" s="24" t="str">
        <f aca="false">INDEX(Products!$C$2:$C$49,MATCH(C2552,Products!$A$2:$A$49,0))</f>
        <v>Grocery Staples</v>
      </c>
      <c r="H2552" s="33" t="n">
        <f aca="false">D2552*INDEX(Products!$E$2:$E$49,MATCH(C2552,Products!$A$2:$A$49,0))</f>
        <v>13800</v>
      </c>
      <c r="I2552" s="33" t="n">
        <f aca="false">D2552*INDEX(Products!$D$2:$D$49,MATCH(C2552,Products!$A$2:$A$49,0))*(1+INDEX(Assumptions!$B$16:$B$20,MATCH(B2552,Assumptions!$A$16:$A$20,0)))</f>
        <v>12034.52</v>
      </c>
      <c r="J2552" s="33" t="n">
        <f aca="false">H2552-I2552</f>
        <v>1765.48</v>
      </c>
      <c r="K2552" s="33" t="n">
        <f aca="false">IF(OR(E2552=0,E2552&gt;=7),0,D2552/(7-E2552)*E2552*INDEX(Products!$E$2:$E$49,MATCH(C2552,Products!$A$2:$A$49,0)))</f>
        <v>0</v>
      </c>
    </row>
    <row r="2553" customFormat="false" ht="15" hidden="false" customHeight="false" outlineLevel="0" collapsed="false">
      <c r="A2553" s="36" t="n">
        <v>46125</v>
      </c>
      <c r="B2553" s="24" t="s">
        <v>63</v>
      </c>
      <c r="C2553" s="24" t="s">
        <v>127</v>
      </c>
      <c r="D2553" s="33" t="n">
        <v>125</v>
      </c>
      <c r="E2553" s="24" t="n">
        <v>0</v>
      </c>
      <c r="F2553" s="37" t="n">
        <f aca="false">DATE(YEAR(A2553),MONTH(A2553),1)</f>
        <v>46113</v>
      </c>
      <c r="G2553" s="24" t="str">
        <f aca="false">INDEX(Products!$C$2:$C$49,MATCH(C2553,Products!$A$2:$A$49,0))</f>
        <v>Grocery Staples</v>
      </c>
      <c r="H2553" s="33" t="n">
        <f aca="false">D2553*INDEX(Products!$E$2:$E$49,MATCH(C2553,Products!$A$2:$A$49,0))</f>
        <v>15000</v>
      </c>
      <c r="I2553" s="33" t="n">
        <f aca="false">D2553*INDEX(Products!$D$2:$D$49,MATCH(C2553,Products!$A$2:$A$49,0))*(1+INDEX(Assumptions!$B$16:$B$20,MATCH(B2553,Assumptions!$A$16:$A$20,0)))</f>
        <v>13081</v>
      </c>
      <c r="J2553" s="33" t="n">
        <f aca="false">H2553-I2553</f>
        <v>1919</v>
      </c>
      <c r="K2553" s="33" t="n">
        <f aca="false">IF(OR(E2553=0,E2553&gt;=7),0,D2553/(7-E2553)*E2553*INDEX(Products!$E$2:$E$49,MATCH(C2553,Products!$A$2:$A$49,0)))</f>
        <v>0</v>
      </c>
    </row>
    <row r="2554" customFormat="false" ht="15" hidden="false" customHeight="false" outlineLevel="0" collapsed="false">
      <c r="A2554" s="36" t="n">
        <v>46132</v>
      </c>
      <c r="B2554" s="24" t="s">
        <v>63</v>
      </c>
      <c r="C2554" s="24" t="s">
        <v>127</v>
      </c>
      <c r="D2554" s="33" t="n">
        <v>131</v>
      </c>
      <c r="E2554" s="24" t="n">
        <v>0</v>
      </c>
      <c r="F2554" s="37" t="n">
        <f aca="false">DATE(YEAR(A2554),MONTH(A2554),1)</f>
        <v>46113</v>
      </c>
      <c r="G2554" s="24" t="str">
        <f aca="false">INDEX(Products!$C$2:$C$49,MATCH(C2554,Products!$A$2:$A$49,0))</f>
        <v>Grocery Staples</v>
      </c>
      <c r="H2554" s="33" t="n">
        <f aca="false">D2554*INDEX(Products!$E$2:$E$49,MATCH(C2554,Products!$A$2:$A$49,0))</f>
        <v>15720</v>
      </c>
      <c r="I2554" s="33" t="n">
        <f aca="false">D2554*INDEX(Products!$D$2:$D$49,MATCH(C2554,Products!$A$2:$A$49,0))*(1+INDEX(Assumptions!$B$16:$B$20,MATCH(B2554,Assumptions!$A$16:$A$20,0)))</f>
        <v>13708.888</v>
      </c>
      <c r="J2554" s="33" t="n">
        <f aca="false">H2554-I2554</f>
        <v>2011.112</v>
      </c>
      <c r="K2554" s="33" t="n">
        <f aca="false">IF(OR(E2554=0,E2554&gt;=7),0,D2554/(7-E2554)*E2554*INDEX(Products!$E$2:$E$49,MATCH(C2554,Products!$A$2:$A$49,0)))</f>
        <v>0</v>
      </c>
    </row>
    <row r="2555" customFormat="false" ht="15" hidden="false" customHeight="false" outlineLevel="0" collapsed="false">
      <c r="A2555" s="36" t="n">
        <v>46139</v>
      </c>
      <c r="B2555" s="24" t="s">
        <v>63</v>
      </c>
      <c r="C2555" s="24" t="s">
        <v>127</v>
      </c>
      <c r="D2555" s="33" t="n">
        <v>147</v>
      </c>
      <c r="E2555" s="24" t="n">
        <v>0</v>
      </c>
      <c r="F2555" s="37" t="n">
        <f aca="false">DATE(YEAR(A2555),MONTH(A2555),1)</f>
        <v>46113</v>
      </c>
      <c r="G2555" s="24" t="str">
        <f aca="false">INDEX(Products!$C$2:$C$49,MATCH(C2555,Products!$A$2:$A$49,0))</f>
        <v>Grocery Staples</v>
      </c>
      <c r="H2555" s="33" t="n">
        <f aca="false">D2555*INDEX(Products!$E$2:$E$49,MATCH(C2555,Products!$A$2:$A$49,0))</f>
        <v>17640</v>
      </c>
      <c r="I2555" s="33" t="n">
        <f aca="false">D2555*INDEX(Products!$D$2:$D$49,MATCH(C2555,Products!$A$2:$A$49,0))*(1+INDEX(Assumptions!$B$16:$B$20,MATCH(B2555,Assumptions!$A$16:$A$20,0)))</f>
        <v>15383.256</v>
      </c>
      <c r="J2555" s="33" t="n">
        <f aca="false">H2555-I2555</f>
        <v>2256.744</v>
      </c>
      <c r="K2555" s="33" t="n">
        <f aca="false">IF(OR(E2555=0,E2555&gt;=7),0,D2555/(7-E2555)*E2555*INDEX(Products!$E$2:$E$49,MATCH(C2555,Products!$A$2:$A$49,0)))</f>
        <v>0</v>
      </c>
    </row>
    <row r="2556" customFormat="false" ht="15" hidden="false" customHeight="false" outlineLevel="0" collapsed="false">
      <c r="A2556" s="36" t="n">
        <v>46146</v>
      </c>
      <c r="B2556" s="24" t="s">
        <v>63</v>
      </c>
      <c r="C2556" s="24" t="s">
        <v>127</v>
      </c>
      <c r="D2556" s="33" t="n">
        <v>120</v>
      </c>
      <c r="E2556" s="24" t="n">
        <v>0</v>
      </c>
      <c r="F2556" s="37" t="n">
        <f aca="false">DATE(YEAR(A2556),MONTH(A2556),1)</f>
        <v>46143</v>
      </c>
      <c r="G2556" s="24" t="str">
        <f aca="false">INDEX(Products!$C$2:$C$49,MATCH(C2556,Products!$A$2:$A$49,0))</f>
        <v>Grocery Staples</v>
      </c>
      <c r="H2556" s="33" t="n">
        <f aca="false">D2556*INDEX(Products!$E$2:$E$49,MATCH(C2556,Products!$A$2:$A$49,0))</f>
        <v>14400</v>
      </c>
      <c r="I2556" s="33" t="n">
        <f aca="false">D2556*INDEX(Products!$D$2:$D$49,MATCH(C2556,Products!$A$2:$A$49,0))*(1+INDEX(Assumptions!$B$16:$B$20,MATCH(B2556,Assumptions!$A$16:$A$20,0)))</f>
        <v>12557.76</v>
      </c>
      <c r="J2556" s="33" t="n">
        <f aca="false">H2556-I2556</f>
        <v>1842.24</v>
      </c>
      <c r="K2556" s="33" t="n">
        <f aca="false">IF(OR(E2556=0,E2556&gt;=7),0,D2556/(7-E2556)*E2556*INDEX(Products!$E$2:$E$49,MATCH(C2556,Products!$A$2:$A$49,0)))</f>
        <v>0</v>
      </c>
    </row>
    <row r="2557" customFormat="false" ht="15" hidden="false" customHeight="false" outlineLevel="0" collapsed="false">
      <c r="A2557" s="36" t="n">
        <v>46153</v>
      </c>
      <c r="B2557" s="24" t="s">
        <v>63</v>
      </c>
      <c r="C2557" s="24" t="s">
        <v>127</v>
      </c>
      <c r="D2557" s="33" t="n">
        <v>64</v>
      </c>
      <c r="E2557" s="24" t="n">
        <v>3</v>
      </c>
      <c r="F2557" s="37" t="n">
        <f aca="false">DATE(YEAR(A2557),MONTH(A2557),1)</f>
        <v>46143</v>
      </c>
      <c r="G2557" s="24" t="str">
        <f aca="false">INDEX(Products!$C$2:$C$49,MATCH(C2557,Products!$A$2:$A$49,0))</f>
        <v>Grocery Staples</v>
      </c>
      <c r="H2557" s="33" t="n">
        <f aca="false">D2557*INDEX(Products!$E$2:$E$49,MATCH(C2557,Products!$A$2:$A$49,0))</f>
        <v>7680</v>
      </c>
      <c r="I2557" s="33" t="n">
        <f aca="false">D2557*INDEX(Products!$D$2:$D$49,MATCH(C2557,Products!$A$2:$A$49,0))*(1+INDEX(Assumptions!$B$16:$B$20,MATCH(B2557,Assumptions!$A$16:$A$20,0)))</f>
        <v>6697.472</v>
      </c>
      <c r="J2557" s="33" t="n">
        <f aca="false">H2557-I2557</f>
        <v>982.528</v>
      </c>
      <c r="K2557" s="33" t="n">
        <f aca="false">IF(OR(E2557=0,E2557&gt;=7),0,D2557/(7-E2557)*E2557*INDEX(Products!$E$2:$E$49,MATCH(C2557,Products!$A$2:$A$49,0)))</f>
        <v>5760</v>
      </c>
    </row>
    <row r="2558" customFormat="false" ht="15" hidden="false" customHeight="false" outlineLevel="0" collapsed="false">
      <c r="A2558" s="36" t="n">
        <v>46160</v>
      </c>
      <c r="B2558" s="24" t="s">
        <v>63</v>
      </c>
      <c r="C2558" s="24" t="s">
        <v>127</v>
      </c>
      <c r="D2558" s="33" t="n">
        <v>135</v>
      </c>
      <c r="E2558" s="24" t="n">
        <v>0</v>
      </c>
      <c r="F2558" s="37" t="n">
        <f aca="false">DATE(YEAR(A2558),MONTH(A2558),1)</f>
        <v>46143</v>
      </c>
      <c r="G2558" s="24" t="str">
        <f aca="false">INDEX(Products!$C$2:$C$49,MATCH(C2558,Products!$A$2:$A$49,0))</f>
        <v>Grocery Staples</v>
      </c>
      <c r="H2558" s="33" t="n">
        <f aca="false">D2558*INDEX(Products!$E$2:$E$49,MATCH(C2558,Products!$A$2:$A$49,0))</f>
        <v>16200</v>
      </c>
      <c r="I2558" s="33" t="n">
        <f aca="false">D2558*INDEX(Products!$D$2:$D$49,MATCH(C2558,Products!$A$2:$A$49,0))*(1+INDEX(Assumptions!$B$16:$B$20,MATCH(B2558,Assumptions!$A$16:$A$20,0)))</f>
        <v>14127.48</v>
      </c>
      <c r="J2558" s="33" t="n">
        <f aca="false">H2558-I2558</f>
        <v>2072.52</v>
      </c>
      <c r="K2558" s="33" t="n">
        <f aca="false">IF(OR(E2558=0,E2558&gt;=7),0,D2558/(7-E2558)*E2558*INDEX(Products!$E$2:$E$49,MATCH(C2558,Products!$A$2:$A$49,0)))</f>
        <v>0</v>
      </c>
    </row>
    <row r="2559" customFormat="false" ht="15" hidden="false" customHeight="false" outlineLevel="0" collapsed="false">
      <c r="A2559" s="36" t="n">
        <v>46167</v>
      </c>
      <c r="B2559" s="24" t="s">
        <v>63</v>
      </c>
      <c r="C2559" s="24" t="s">
        <v>127</v>
      </c>
      <c r="D2559" s="33" t="n">
        <v>171</v>
      </c>
      <c r="E2559" s="24" t="n">
        <v>0</v>
      </c>
      <c r="F2559" s="37" t="n">
        <f aca="false">DATE(YEAR(A2559),MONTH(A2559),1)</f>
        <v>46143</v>
      </c>
      <c r="G2559" s="24" t="str">
        <f aca="false">INDEX(Products!$C$2:$C$49,MATCH(C2559,Products!$A$2:$A$49,0))</f>
        <v>Grocery Staples</v>
      </c>
      <c r="H2559" s="33" t="n">
        <f aca="false">D2559*INDEX(Products!$E$2:$E$49,MATCH(C2559,Products!$A$2:$A$49,0))</f>
        <v>20520</v>
      </c>
      <c r="I2559" s="33" t="n">
        <f aca="false">D2559*INDEX(Products!$D$2:$D$49,MATCH(C2559,Products!$A$2:$A$49,0))*(1+INDEX(Assumptions!$B$16:$B$20,MATCH(B2559,Assumptions!$A$16:$A$20,0)))</f>
        <v>17894.808</v>
      </c>
      <c r="J2559" s="33" t="n">
        <f aca="false">H2559-I2559</f>
        <v>2625.192</v>
      </c>
      <c r="K2559" s="33" t="n">
        <f aca="false">IF(OR(E2559=0,E2559&gt;=7),0,D2559/(7-E2559)*E2559*INDEX(Products!$E$2:$E$49,MATCH(C2559,Products!$A$2:$A$49,0)))</f>
        <v>0</v>
      </c>
    </row>
    <row r="2560" customFormat="false" ht="15" hidden="false" customHeight="false" outlineLevel="0" collapsed="false">
      <c r="A2560" s="36" t="n">
        <v>46174</v>
      </c>
      <c r="B2560" s="24" t="s">
        <v>63</v>
      </c>
      <c r="C2560" s="24" t="s">
        <v>127</v>
      </c>
      <c r="D2560" s="33" t="n">
        <v>124</v>
      </c>
      <c r="E2560" s="24" t="n">
        <v>0</v>
      </c>
      <c r="F2560" s="37" t="n">
        <f aca="false">DATE(YEAR(A2560),MONTH(A2560),1)</f>
        <v>46174</v>
      </c>
      <c r="G2560" s="24" t="str">
        <f aca="false">INDEX(Products!$C$2:$C$49,MATCH(C2560,Products!$A$2:$A$49,0))</f>
        <v>Grocery Staples</v>
      </c>
      <c r="H2560" s="33" t="n">
        <f aca="false">D2560*INDEX(Products!$E$2:$E$49,MATCH(C2560,Products!$A$2:$A$49,0))</f>
        <v>14880</v>
      </c>
      <c r="I2560" s="33" t="n">
        <f aca="false">D2560*INDEX(Products!$D$2:$D$49,MATCH(C2560,Products!$A$2:$A$49,0))*(1+INDEX(Assumptions!$B$16:$B$20,MATCH(B2560,Assumptions!$A$16:$A$20,0)))</f>
        <v>12976.352</v>
      </c>
      <c r="J2560" s="33" t="n">
        <f aca="false">H2560-I2560</f>
        <v>1903.648</v>
      </c>
      <c r="K2560" s="33" t="n">
        <f aca="false">IF(OR(E2560=0,E2560&gt;=7),0,D2560/(7-E2560)*E2560*INDEX(Products!$E$2:$E$49,MATCH(C2560,Products!$A$2:$A$49,0)))</f>
        <v>0</v>
      </c>
    </row>
    <row r="2561" customFormat="false" ht="15" hidden="false" customHeight="false" outlineLevel="0" collapsed="false">
      <c r="A2561" s="36" t="n">
        <v>46181</v>
      </c>
      <c r="B2561" s="24" t="s">
        <v>63</v>
      </c>
      <c r="C2561" s="24" t="s">
        <v>127</v>
      </c>
      <c r="D2561" s="33" t="n">
        <v>139</v>
      </c>
      <c r="E2561" s="24" t="n">
        <v>0</v>
      </c>
      <c r="F2561" s="37" t="n">
        <f aca="false">DATE(YEAR(A2561),MONTH(A2561),1)</f>
        <v>46174</v>
      </c>
      <c r="G2561" s="24" t="str">
        <f aca="false">INDEX(Products!$C$2:$C$49,MATCH(C2561,Products!$A$2:$A$49,0))</f>
        <v>Grocery Staples</v>
      </c>
      <c r="H2561" s="33" t="n">
        <f aca="false">D2561*INDEX(Products!$E$2:$E$49,MATCH(C2561,Products!$A$2:$A$49,0))</f>
        <v>16680</v>
      </c>
      <c r="I2561" s="33" t="n">
        <f aca="false">D2561*INDEX(Products!$D$2:$D$49,MATCH(C2561,Products!$A$2:$A$49,0))*(1+INDEX(Assumptions!$B$16:$B$20,MATCH(B2561,Assumptions!$A$16:$A$20,0)))</f>
        <v>14546.072</v>
      </c>
      <c r="J2561" s="33" t="n">
        <f aca="false">H2561-I2561</f>
        <v>2133.928</v>
      </c>
      <c r="K2561" s="33" t="n">
        <f aca="false">IF(OR(E2561=0,E2561&gt;=7),0,D2561/(7-E2561)*E2561*INDEX(Products!$E$2:$E$49,MATCH(C2561,Products!$A$2:$A$49,0)))</f>
        <v>0</v>
      </c>
    </row>
    <row r="2562" customFormat="false" ht="15" hidden="false" customHeight="false" outlineLevel="0" collapsed="false">
      <c r="A2562" s="36" t="n">
        <v>46188</v>
      </c>
      <c r="B2562" s="24" t="s">
        <v>63</v>
      </c>
      <c r="C2562" s="24" t="s">
        <v>127</v>
      </c>
      <c r="D2562" s="33" t="n">
        <v>153</v>
      </c>
      <c r="E2562" s="24" t="n">
        <v>0</v>
      </c>
      <c r="F2562" s="37" t="n">
        <f aca="false">DATE(YEAR(A2562),MONTH(A2562),1)</f>
        <v>46174</v>
      </c>
      <c r="G2562" s="24" t="str">
        <f aca="false">INDEX(Products!$C$2:$C$49,MATCH(C2562,Products!$A$2:$A$49,0))</f>
        <v>Grocery Staples</v>
      </c>
      <c r="H2562" s="33" t="n">
        <f aca="false">D2562*INDEX(Products!$E$2:$E$49,MATCH(C2562,Products!$A$2:$A$49,0))</f>
        <v>18360</v>
      </c>
      <c r="I2562" s="33" t="n">
        <f aca="false">D2562*INDEX(Products!$D$2:$D$49,MATCH(C2562,Products!$A$2:$A$49,0))*(1+INDEX(Assumptions!$B$16:$B$20,MATCH(B2562,Assumptions!$A$16:$A$20,0)))</f>
        <v>16011.144</v>
      </c>
      <c r="J2562" s="33" t="n">
        <f aca="false">H2562-I2562</f>
        <v>2348.856</v>
      </c>
      <c r="K2562" s="33" t="n">
        <f aca="false">IF(OR(E2562=0,E2562&gt;=7),0,D2562/(7-E2562)*E2562*INDEX(Products!$E$2:$E$49,MATCH(C2562,Products!$A$2:$A$49,0)))</f>
        <v>0</v>
      </c>
    </row>
    <row r="2563" customFormat="false" ht="15" hidden="false" customHeight="false" outlineLevel="0" collapsed="false">
      <c r="A2563" s="36" t="n">
        <v>46195</v>
      </c>
      <c r="B2563" s="24" t="s">
        <v>63</v>
      </c>
      <c r="C2563" s="24" t="s">
        <v>127</v>
      </c>
      <c r="D2563" s="33" t="n">
        <v>170</v>
      </c>
      <c r="E2563" s="24" t="n">
        <v>0</v>
      </c>
      <c r="F2563" s="37" t="n">
        <f aca="false">DATE(YEAR(A2563),MONTH(A2563),1)</f>
        <v>46174</v>
      </c>
      <c r="G2563" s="24" t="str">
        <f aca="false">INDEX(Products!$C$2:$C$49,MATCH(C2563,Products!$A$2:$A$49,0))</f>
        <v>Grocery Staples</v>
      </c>
      <c r="H2563" s="33" t="n">
        <f aca="false">D2563*INDEX(Products!$E$2:$E$49,MATCH(C2563,Products!$A$2:$A$49,0))</f>
        <v>20400</v>
      </c>
      <c r="I2563" s="33" t="n">
        <f aca="false">D2563*INDEX(Products!$D$2:$D$49,MATCH(C2563,Products!$A$2:$A$49,0))*(1+INDEX(Assumptions!$B$16:$B$20,MATCH(B2563,Assumptions!$A$16:$A$20,0)))</f>
        <v>17790.16</v>
      </c>
      <c r="J2563" s="33" t="n">
        <f aca="false">H2563-I2563</f>
        <v>2609.84</v>
      </c>
      <c r="K2563" s="33" t="n">
        <f aca="false">IF(OR(E2563=0,E2563&gt;=7),0,D2563/(7-E2563)*E2563*INDEX(Products!$E$2:$E$49,MATCH(C2563,Products!$A$2:$A$49,0)))</f>
        <v>0</v>
      </c>
    </row>
    <row r="2564" customFormat="false" ht="15" hidden="false" customHeight="false" outlineLevel="0" collapsed="false">
      <c r="A2564" s="36" t="n">
        <v>46202</v>
      </c>
      <c r="B2564" s="24" t="s">
        <v>63</v>
      </c>
      <c r="C2564" s="24" t="s">
        <v>127</v>
      </c>
      <c r="D2564" s="33" t="n">
        <v>170</v>
      </c>
      <c r="E2564" s="24" t="n">
        <v>0</v>
      </c>
      <c r="F2564" s="37" t="n">
        <f aca="false">DATE(YEAR(A2564),MONTH(A2564),1)</f>
        <v>46174</v>
      </c>
      <c r="G2564" s="24" t="str">
        <f aca="false">INDEX(Products!$C$2:$C$49,MATCH(C2564,Products!$A$2:$A$49,0))</f>
        <v>Grocery Staples</v>
      </c>
      <c r="H2564" s="33" t="n">
        <f aca="false">D2564*INDEX(Products!$E$2:$E$49,MATCH(C2564,Products!$A$2:$A$49,0))</f>
        <v>20400</v>
      </c>
      <c r="I2564" s="33" t="n">
        <f aca="false">D2564*INDEX(Products!$D$2:$D$49,MATCH(C2564,Products!$A$2:$A$49,0))*(1+INDEX(Assumptions!$B$16:$B$20,MATCH(B2564,Assumptions!$A$16:$A$20,0)))</f>
        <v>17790.16</v>
      </c>
      <c r="J2564" s="33" t="n">
        <f aca="false">H2564-I2564</f>
        <v>2609.84</v>
      </c>
      <c r="K2564" s="33" t="n">
        <f aca="false">IF(OR(E2564=0,E2564&gt;=7),0,D2564/(7-E2564)*E2564*INDEX(Products!$E$2:$E$49,MATCH(C2564,Products!$A$2:$A$49,0)))</f>
        <v>0</v>
      </c>
    </row>
    <row r="2565" customFormat="false" ht="15" hidden="false" customHeight="false" outlineLevel="0" collapsed="false">
      <c r="A2565" s="36" t="n">
        <v>46209</v>
      </c>
      <c r="B2565" s="24" t="s">
        <v>63</v>
      </c>
      <c r="C2565" s="24" t="s">
        <v>127</v>
      </c>
      <c r="D2565" s="33" t="n">
        <v>132</v>
      </c>
      <c r="E2565" s="24" t="n">
        <v>0</v>
      </c>
      <c r="F2565" s="37" t="n">
        <f aca="false">DATE(YEAR(A2565),MONTH(A2565),1)</f>
        <v>46204</v>
      </c>
      <c r="G2565" s="24" t="str">
        <f aca="false">INDEX(Products!$C$2:$C$49,MATCH(C2565,Products!$A$2:$A$49,0))</f>
        <v>Grocery Staples</v>
      </c>
      <c r="H2565" s="33" t="n">
        <f aca="false">D2565*INDEX(Products!$E$2:$E$49,MATCH(C2565,Products!$A$2:$A$49,0))</f>
        <v>15840</v>
      </c>
      <c r="I2565" s="33" t="n">
        <f aca="false">D2565*INDEX(Products!$D$2:$D$49,MATCH(C2565,Products!$A$2:$A$49,0))*(1+INDEX(Assumptions!$B$16:$B$20,MATCH(B2565,Assumptions!$A$16:$A$20,0)))</f>
        <v>13813.536</v>
      </c>
      <c r="J2565" s="33" t="n">
        <f aca="false">H2565-I2565</f>
        <v>2026.464</v>
      </c>
      <c r="K2565" s="33" t="n">
        <f aca="false">IF(OR(E2565=0,E2565&gt;=7),0,D2565/(7-E2565)*E2565*INDEX(Products!$E$2:$E$49,MATCH(C2565,Products!$A$2:$A$49,0)))</f>
        <v>0</v>
      </c>
    </row>
    <row r="2566" customFormat="false" ht="15" hidden="false" customHeight="false" outlineLevel="0" collapsed="false">
      <c r="A2566" s="36" t="n">
        <v>46216</v>
      </c>
      <c r="B2566" s="24" t="s">
        <v>63</v>
      </c>
      <c r="C2566" s="24" t="s">
        <v>127</v>
      </c>
      <c r="D2566" s="33" t="n">
        <v>74</v>
      </c>
      <c r="E2566" s="24" t="n">
        <v>3</v>
      </c>
      <c r="F2566" s="37" t="n">
        <f aca="false">DATE(YEAR(A2566),MONTH(A2566),1)</f>
        <v>46204</v>
      </c>
      <c r="G2566" s="24" t="str">
        <f aca="false">INDEX(Products!$C$2:$C$49,MATCH(C2566,Products!$A$2:$A$49,0))</f>
        <v>Grocery Staples</v>
      </c>
      <c r="H2566" s="33" t="n">
        <f aca="false">D2566*INDEX(Products!$E$2:$E$49,MATCH(C2566,Products!$A$2:$A$49,0))</f>
        <v>8880</v>
      </c>
      <c r="I2566" s="33" t="n">
        <f aca="false">D2566*INDEX(Products!$D$2:$D$49,MATCH(C2566,Products!$A$2:$A$49,0))*(1+INDEX(Assumptions!$B$16:$B$20,MATCH(B2566,Assumptions!$A$16:$A$20,0)))</f>
        <v>7743.952</v>
      </c>
      <c r="J2566" s="33" t="n">
        <f aca="false">H2566-I2566</f>
        <v>1136.048</v>
      </c>
      <c r="K2566" s="33" t="n">
        <f aca="false">IF(OR(E2566=0,E2566&gt;=7),0,D2566/(7-E2566)*E2566*INDEX(Products!$E$2:$E$49,MATCH(C2566,Products!$A$2:$A$49,0)))</f>
        <v>6660</v>
      </c>
    </row>
    <row r="2567" customFormat="false" ht="15" hidden="false" customHeight="false" outlineLevel="0" collapsed="false">
      <c r="A2567" s="36" t="n">
        <v>46223</v>
      </c>
      <c r="B2567" s="24" t="s">
        <v>63</v>
      </c>
      <c r="C2567" s="24" t="s">
        <v>127</v>
      </c>
      <c r="D2567" s="33" t="n">
        <v>154</v>
      </c>
      <c r="E2567" s="24" t="n">
        <v>0</v>
      </c>
      <c r="F2567" s="37" t="n">
        <f aca="false">DATE(YEAR(A2567),MONTH(A2567),1)</f>
        <v>46204</v>
      </c>
      <c r="G2567" s="24" t="str">
        <f aca="false">INDEX(Products!$C$2:$C$49,MATCH(C2567,Products!$A$2:$A$49,0))</f>
        <v>Grocery Staples</v>
      </c>
      <c r="H2567" s="33" t="n">
        <f aca="false">D2567*INDEX(Products!$E$2:$E$49,MATCH(C2567,Products!$A$2:$A$49,0))</f>
        <v>18480</v>
      </c>
      <c r="I2567" s="33" t="n">
        <f aca="false">D2567*INDEX(Products!$D$2:$D$49,MATCH(C2567,Products!$A$2:$A$49,0))*(1+INDEX(Assumptions!$B$16:$B$20,MATCH(B2567,Assumptions!$A$16:$A$20,0)))</f>
        <v>16115.792</v>
      </c>
      <c r="J2567" s="33" t="n">
        <f aca="false">H2567-I2567</f>
        <v>2364.208</v>
      </c>
      <c r="K2567" s="33" t="n">
        <f aca="false">IF(OR(E2567=0,E2567&gt;=7),0,D2567/(7-E2567)*E2567*INDEX(Products!$E$2:$E$49,MATCH(C2567,Products!$A$2:$A$49,0)))</f>
        <v>0</v>
      </c>
    </row>
    <row r="2568" customFormat="false" ht="15" hidden="false" customHeight="false" outlineLevel="0" collapsed="false">
      <c r="A2568" s="36" t="n">
        <v>46230</v>
      </c>
      <c r="B2568" s="24" t="s">
        <v>63</v>
      </c>
      <c r="C2568" s="24" t="s">
        <v>127</v>
      </c>
      <c r="D2568" s="33" t="n">
        <v>147</v>
      </c>
      <c r="E2568" s="24" t="n">
        <v>0</v>
      </c>
      <c r="F2568" s="37" t="n">
        <f aca="false">DATE(YEAR(A2568),MONTH(A2568),1)</f>
        <v>46204</v>
      </c>
      <c r="G2568" s="24" t="str">
        <f aca="false">INDEX(Products!$C$2:$C$49,MATCH(C2568,Products!$A$2:$A$49,0))</f>
        <v>Grocery Staples</v>
      </c>
      <c r="H2568" s="33" t="n">
        <f aca="false">D2568*INDEX(Products!$E$2:$E$49,MATCH(C2568,Products!$A$2:$A$49,0))</f>
        <v>17640</v>
      </c>
      <c r="I2568" s="33" t="n">
        <f aca="false">D2568*INDEX(Products!$D$2:$D$49,MATCH(C2568,Products!$A$2:$A$49,0))*(1+INDEX(Assumptions!$B$16:$B$20,MATCH(B2568,Assumptions!$A$16:$A$20,0)))</f>
        <v>15383.256</v>
      </c>
      <c r="J2568" s="33" t="n">
        <f aca="false">H2568-I2568</f>
        <v>2256.744</v>
      </c>
      <c r="K2568" s="33" t="n">
        <f aca="false">IF(OR(E2568=0,E2568&gt;=7),0,D2568/(7-E2568)*E2568*INDEX(Products!$E$2:$E$49,MATCH(C2568,Products!$A$2:$A$49,0)))</f>
        <v>0</v>
      </c>
    </row>
    <row r="2569" customFormat="false" ht="15" hidden="false" customHeight="false" outlineLevel="0" collapsed="false">
      <c r="A2569" s="36" t="n">
        <v>46237</v>
      </c>
      <c r="B2569" s="24" t="s">
        <v>63</v>
      </c>
      <c r="C2569" s="24" t="s">
        <v>127</v>
      </c>
      <c r="D2569" s="33" t="n">
        <v>154</v>
      </c>
      <c r="E2569" s="24" t="n">
        <v>0</v>
      </c>
      <c r="F2569" s="37" t="n">
        <f aca="false">DATE(YEAR(A2569),MONTH(A2569),1)</f>
        <v>46235</v>
      </c>
      <c r="G2569" s="24" t="str">
        <f aca="false">INDEX(Products!$C$2:$C$49,MATCH(C2569,Products!$A$2:$A$49,0))</f>
        <v>Grocery Staples</v>
      </c>
      <c r="H2569" s="33" t="n">
        <f aca="false">D2569*INDEX(Products!$E$2:$E$49,MATCH(C2569,Products!$A$2:$A$49,0))</f>
        <v>18480</v>
      </c>
      <c r="I2569" s="33" t="n">
        <f aca="false">D2569*INDEX(Products!$D$2:$D$49,MATCH(C2569,Products!$A$2:$A$49,0))*(1+INDEX(Assumptions!$B$16:$B$20,MATCH(B2569,Assumptions!$A$16:$A$20,0)))</f>
        <v>16115.792</v>
      </c>
      <c r="J2569" s="33" t="n">
        <f aca="false">H2569-I2569</f>
        <v>2364.208</v>
      </c>
      <c r="K2569" s="33" t="n">
        <f aca="false">IF(OR(E2569=0,E2569&gt;=7),0,D2569/(7-E2569)*E2569*INDEX(Products!$E$2:$E$49,MATCH(C2569,Products!$A$2:$A$49,0)))</f>
        <v>0</v>
      </c>
    </row>
    <row r="2570" customFormat="false" ht="15" hidden="false" customHeight="false" outlineLevel="0" collapsed="false">
      <c r="A2570" s="36" t="n">
        <v>46244</v>
      </c>
      <c r="B2570" s="24" t="s">
        <v>63</v>
      </c>
      <c r="C2570" s="24" t="s">
        <v>127</v>
      </c>
      <c r="D2570" s="33" t="n">
        <v>153</v>
      </c>
      <c r="E2570" s="24" t="n">
        <v>0</v>
      </c>
      <c r="F2570" s="37" t="n">
        <f aca="false">DATE(YEAR(A2570),MONTH(A2570),1)</f>
        <v>46235</v>
      </c>
      <c r="G2570" s="24" t="str">
        <f aca="false">INDEX(Products!$C$2:$C$49,MATCH(C2570,Products!$A$2:$A$49,0))</f>
        <v>Grocery Staples</v>
      </c>
      <c r="H2570" s="33" t="n">
        <f aca="false">D2570*INDEX(Products!$E$2:$E$49,MATCH(C2570,Products!$A$2:$A$49,0))</f>
        <v>18360</v>
      </c>
      <c r="I2570" s="33" t="n">
        <f aca="false">D2570*INDEX(Products!$D$2:$D$49,MATCH(C2570,Products!$A$2:$A$49,0))*(1+INDEX(Assumptions!$B$16:$B$20,MATCH(B2570,Assumptions!$A$16:$A$20,0)))</f>
        <v>16011.144</v>
      </c>
      <c r="J2570" s="33" t="n">
        <f aca="false">H2570-I2570</f>
        <v>2348.856</v>
      </c>
      <c r="K2570" s="33" t="n">
        <f aca="false">IF(OR(E2570=0,E2570&gt;=7),0,D2570/(7-E2570)*E2570*INDEX(Products!$E$2:$E$49,MATCH(C2570,Products!$A$2:$A$49,0)))</f>
        <v>0</v>
      </c>
    </row>
    <row r="2571" customFormat="false" ht="15" hidden="false" customHeight="false" outlineLevel="0" collapsed="false">
      <c r="A2571" s="36" t="n">
        <v>46251</v>
      </c>
      <c r="B2571" s="24" t="s">
        <v>63</v>
      </c>
      <c r="C2571" s="24" t="s">
        <v>127</v>
      </c>
      <c r="D2571" s="33" t="n">
        <v>123</v>
      </c>
      <c r="E2571" s="24" t="n">
        <v>0</v>
      </c>
      <c r="F2571" s="37" t="n">
        <f aca="false">DATE(YEAR(A2571),MONTH(A2571),1)</f>
        <v>46235</v>
      </c>
      <c r="G2571" s="24" t="str">
        <f aca="false">INDEX(Products!$C$2:$C$49,MATCH(C2571,Products!$A$2:$A$49,0))</f>
        <v>Grocery Staples</v>
      </c>
      <c r="H2571" s="33" t="n">
        <f aca="false">D2571*INDEX(Products!$E$2:$E$49,MATCH(C2571,Products!$A$2:$A$49,0))</f>
        <v>14760</v>
      </c>
      <c r="I2571" s="33" t="n">
        <f aca="false">D2571*INDEX(Products!$D$2:$D$49,MATCH(C2571,Products!$A$2:$A$49,0))*(1+INDEX(Assumptions!$B$16:$B$20,MATCH(B2571,Assumptions!$A$16:$A$20,0)))</f>
        <v>12871.704</v>
      </c>
      <c r="J2571" s="33" t="n">
        <f aca="false">H2571-I2571</f>
        <v>1888.296</v>
      </c>
      <c r="K2571" s="33" t="n">
        <f aca="false">IF(OR(E2571=0,E2571&gt;=7),0,D2571/(7-E2571)*E2571*INDEX(Products!$E$2:$E$49,MATCH(C2571,Products!$A$2:$A$49,0)))</f>
        <v>0</v>
      </c>
    </row>
    <row r="2572" customFormat="false" ht="15" hidden="false" customHeight="false" outlineLevel="0" collapsed="false">
      <c r="A2572" s="36" t="n">
        <v>46258</v>
      </c>
      <c r="B2572" s="24" t="s">
        <v>63</v>
      </c>
      <c r="C2572" s="24" t="s">
        <v>127</v>
      </c>
      <c r="D2572" s="33" t="n">
        <v>169</v>
      </c>
      <c r="E2572" s="24" t="n">
        <v>0</v>
      </c>
      <c r="F2572" s="37" t="n">
        <f aca="false">DATE(YEAR(A2572),MONTH(A2572),1)</f>
        <v>46235</v>
      </c>
      <c r="G2572" s="24" t="str">
        <f aca="false">INDEX(Products!$C$2:$C$49,MATCH(C2572,Products!$A$2:$A$49,0))</f>
        <v>Grocery Staples</v>
      </c>
      <c r="H2572" s="33" t="n">
        <f aca="false">D2572*INDEX(Products!$E$2:$E$49,MATCH(C2572,Products!$A$2:$A$49,0))</f>
        <v>20280</v>
      </c>
      <c r="I2572" s="33" t="n">
        <f aca="false">D2572*INDEX(Products!$D$2:$D$49,MATCH(C2572,Products!$A$2:$A$49,0))*(1+INDEX(Assumptions!$B$16:$B$20,MATCH(B2572,Assumptions!$A$16:$A$20,0)))</f>
        <v>17685.512</v>
      </c>
      <c r="J2572" s="33" t="n">
        <f aca="false">H2572-I2572</f>
        <v>2594.488</v>
      </c>
      <c r="K2572" s="33" t="n">
        <f aca="false">IF(OR(E2572=0,E2572&gt;=7),0,D2572/(7-E2572)*E2572*INDEX(Products!$E$2:$E$49,MATCH(C2572,Products!$A$2:$A$49,0)))</f>
        <v>0</v>
      </c>
    </row>
    <row r="2573" customFormat="false" ht="15" hidden="false" customHeight="false" outlineLevel="0" collapsed="false">
      <c r="A2573" s="36" t="n">
        <v>46265</v>
      </c>
      <c r="B2573" s="24" t="s">
        <v>63</v>
      </c>
      <c r="C2573" s="24" t="s">
        <v>127</v>
      </c>
      <c r="D2573" s="33" t="n">
        <v>183</v>
      </c>
      <c r="E2573" s="24" t="n">
        <v>0</v>
      </c>
      <c r="F2573" s="37" t="n">
        <f aca="false">DATE(YEAR(A2573),MONTH(A2573),1)</f>
        <v>46235</v>
      </c>
      <c r="G2573" s="24" t="str">
        <f aca="false">INDEX(Products!$C$2:$C$49,MATCH(C2573,Products!$A$2:$A$49,0))</f>
        <v>Grocery Staples</v>
      </c>
      <c r="H2573" s="33" t="n">
        <f aca="false">D2573*INDEX(Products!$E$2:$E$49,MATCH(C2573,Products!$A$2:$A$49,0))</f>
        <v>21960</v>
      </c>
      <c r="I2573" s="33" t="n">
        <f aca="false">D2573*INDEX(Products!$D$2:$D$49,MATCH(C2573,Products!$A$2:$A$49,0))*(1+INDEX(Assumptions!$B$16:$B$20,MATCH(B2573,Assumptions!$A$16:$A$20,0)))</f>
        <v>19150.584</v>
      </c>
      <c r="J2573" s="33" t="n">
        <f aca="false">H2573-I2573</f>
        <v>2809.416</v>
      </c>
      <c r="K2573" s="33" t="n">
        <f aca="false">IF(OR(E2573=0,E2573&gt;=7),0,D2573/(7-E2573)*E2573*INDEX(Products!$E$2:$E$49,MATCH(C2573,Products!$A$2:$A$49,0)))</f>
        <v>0</v>
      </c>
    </row>
    <row r="2574" customFormat="false" ht="15" hidden="false" customHeight="false" outlineLevel="0" collapsed="false">
      <c r="A2574" s="36" t="n">
        <v>46272</v>
      </c>
      <c r="B2574" s="24" t="s">
        <v>63</v>
      </c>
      <c r="C2574" s="24" t="s">
        <v>127</v>
      </c>
      <c r="D2574" s="33" t="n">
        <v>152</v>
      </c>
      <c r="E2574" s="24" t="n">
        <v>0</v>
      </c>
      <c r="F2574" s="37" t="n">
        <f aca="false">DATE(YEAR(A2574),MONTH(A2574),1)</f>
        <v>46266</v>
      </c>
      <c r="G2574" s="24" t="str">
        <f aca="false">INDEX(Products!$C$2:$C$49,MATCH(C2574,Products!$A$2:$A$49,0))</f>
        <v>Grocery Staples</v>
      </c>
      <c r="H2574" s="33" t="n">
        <f aca="false">D2574*INDEX(Products!$E$2:$E$49,MATCH(C2574,Products!$A$2:$A$49,0))</f>
        <v>18240</v>
      </c>
      <c r="I2574" s="33" t="n">
        <f aca="false">D2574*INDEX(Products!$D$2:$D$49,MATCH(C2574,Products!$A$2:$A$49,0))*(1+INDEX(Assumptions!$B$16:$B$20,MATCH(B2574,Assumptions!$A$16:$A$20,0)))</f>
        <v>15906.496</v>
      </c>
      <c r="J2574" s="33" t="n">
        <f aca="false">H2574-I2574</f>
        <v>2333.504</v>
      </c>
      <c r="K2574" s="33" t="n">
        <f aca="false">IF(OR(E2574=0,E2574&gt;=7),0,D2574/(7-E2574)*E2574*INDEX(Products!$E$2:$E$49,MATCH(C2574,Products!$A$2:$A$49,0)))</f>
        <v>0</v>
      </c>
    </row>
    <row r="2575" customFormat="false" ht="15" hidden="false" customHeight="false" outlineLevel="0" collapsed="false">
      <c r="A2575" s="36" t="n">
        <v>46279</v>
      </c>
      <c r="B2575" s="24" t="s">
        <v>63</v>
      </c>
      <c r="C2575" s="24" t="s">
        <v>127</v>
      </c>
      <c r="D2575" s="33" t="n">
        <v>183</v>
      </c>
      <c r="E2575" s="24" t="n">
        <v>0</v>
      </c>
      <c r="F2575" s="37" t="n">
        <f aca="false">DATE(YEAR(A2575),MONTH(A2575),1)</f>
        <v>46266</v>
      </c>
      <c r="G2575" s="24" t="str">
        <f aca="false">INDEX(Products!$C$2:$C$49,MATCH(C2575,Products!$A$2:$A$49,0))</f>
        <v>Grocery Staples</v>
      </c>
      <c r="H2575" s="33" t="n">
        <f aca="false">D2575*INDEX(Products!$E$2:$E$49,MATCH(C2575,Products!$A$2:$A$49,0))</f>
        <v>21960</v>
      </c>
      <c r="I2575" s="33" t="n">
        <f aca="false">D2575*INDEX(Products!$D$2:$D$49,MATCH(C2575,Products!$A$2:$A$49,0))*(1+INDEX(Assumptions!$B$16:$B$20,MATCH(B2575,Assumptions!$A$16:$A$20,0)))</f>
        <v>19150.584</v>
      </c>
      <c r="J2575" s="33" t="n">
        <f aca="false">H2575-I2575</f>
        <v>2809.416</v>
      </c>
      <c r="K2575" s="33" t="n">
        <f aca="false">IF(OR(E2575=0,E2575&gt;=7),0,D2575/(7-E2575)*E2575*INDEX(Products!$E$2:$E$49,MATCH(C2575,Products!$A$2:$A$49,0)))</f>
        <v>0</v>
      </c>
    </row>
    <row r="2576" customFormat="false" ht="15" hidden="false" customHeight="false" outlineLevel="0" collapsed="false">
      <c r="A2576" s="36" t="n">
        <v>46286</v>
      </c>
      <c r="B2576" s="24" t="s">
        <v>63</v>
      </c>
      <c r="C2576" s="24" t="s">
        <v>127</v>
      </c>
      <c r="D2576" s="33" t="n">
        <v>362</v>
      </c>
      <c r="E2576" s="24" t="n">
        <v>0</v>
      </c>
      <c r="F2576" s="37" t="n">
        <f aca="false">DATE(YEAR(A2576),MONTH(A2576),1)</f>
        <v>46266</v>
      </c>
      <c r="G2576" s="24" t="str">
        <f aca="false">INDEX(Products!$C$2:$C$49,MATCH(C2576,Products!$A$2:$A$49,0))</f>
        <v>Grocery Staples</v>
      </c>
      <c r="H2576" s="33" t="n">
        <f aca="false">D2576*INDEX(Products!$E$2:$E$49,MATCH(C2576,Products!$A$2:$A$49,0))</f>
        <v>43440</v>
      </c>
      <c r="I2576" s="33" t="n">
        <f aca="false">D2576*INDEX(Products!$D$2:$D$49,MATCH(C2576,Products!$A$2:$A$49,0))*(1+INDEX(Assumptions!$B$16:$B$20,MATCH(B2576,Assumptions!$A$16:$A$20,0)))</f>
        <v>37882.576</v>
      </c>
      <c r="J2576" s="33" t="n">
        <f aca="false">H2576-I2576</f>
        <v>5557.424</v>
      </c>
      <c r="K2576" s="33" t="n">
        <f aca="false">IF(OR(E2576=0,E2576&gt;=7),0,D2576/(7-E2576)*E2576*INDEX(Products!$E$2:$E$49,MATCH(C2576,Products!$A$2:$A$49,0)))</f>
        <v>0</v>
      </c>
    </row>
    <row r="2577" customFormat="false" ht="15" hidden="false" customHeight="false" outlineLevel="0" collapsed="false">
      <c r="A2577" s="36" t="n">
        <v>46118</v>
      </c>
      <c r="B2577" s="24" t="s">
        <v>63</v>
      </c>
      <c r="C2577" s="24" t="s">
        <v>129</v>
      </c>
      <c r="D2577" s="33" t="n">
        <v>203</v>
      </c>
      <c r="E2577" s="24" t="n">
        <v>0</v>
      </c>
      <c r="F2577" s="37" t="n">
        <f aca="false">DATE(YEAR(A2577),MONTH(A2577),1)</f>
        <v>46113</v>
      </c>
      <c r="G2577" s="24" t="str">
        <f aca="false">INDEX(Products!$C$2:$C$49,MATCH(C2577,Products!$A$2:$A$49,0))</f>
        <v>Grocery Staples</v>
      </c>
      <c r="H2577" s="33" t="n">
        <f aca="false">D2577*INDEX(Products!$E$2:$E$49,MATCH(C2577,Products!$A$2:$A$49,0))</f>
        <v>42630</v>
      </c>
      <c r="I2577" s="33" t="n">
        <f aca="false">D2577*INDEX(Products!$D$2:$D$49,MATCH(C2577,Products!$A$2:$A$49,0))*(1+INDEX(Assumptions!$B$16:$B$20,MATCH(B2577,Assumptions!$A$16:$A$20,0)))</f>
        <v>38362.128</v>
      </c>
      <c r="J2577" s="33" t="n">
        <f aca="false">H2577-I2577</f>
        <v>4267.872</v>
      </c>
      <c r="K2577" s="33" t="n">
        <f aca="false">IF(OR(E2577=0,E2577&gt;=7),0,D2577/(7-E2577)*E2577*INDEX(Products!$E$2:$E$49,MATCH(C2577,Products!$A$2:$A$49,0)))</f>
        <v>0</v>
      </c>
    </row>
    <row r="2578" customFormat="false" ht="15" hidden="false" customHeight="false" outlineLevel="0" collapsed="false">
      <c r="A2578" s="36" t="n">
        <v>46125</v>
      </c>
      <c r="B2578" s="24" t="s">
        <v>63</v>
      </c>
      <c r="C2578" s="24" t="s">
        <v>129</v>
      </c>
      <c r="D2578" s="33" t="n">
        <v>182</v>
      </c>
      <c r="E2578" s="24" t="n">
        <v>0</v>
      </c>
      <c r="F2578" s="37" t="n">
        <f aca="false">DATE(YEAR(A2578),MONTH(A2578),1)</f>
        <v>46113</v>
      </c>
      <c r="G2578" s="24" t="str">
        <f aca="false">INDEX(Products!$C$2:$C$49,MATCH(C2578,Products!$A$2:$A$49,0))</f>
        <v>Grocery Staples</v>
      </c>
      <c r="H2578" s="33" t="n">
        <f aca="false">D2578*INDEX(Products!$E$2:$E$49,MATCH(C2578,Products!$A$2:$A$49,0))</f>
        <v>38220</v>
      </c>
      <c r="I2578" s="33" t="n">
        <f aca="false">D2578*INDEX(Products!$D$2:$D$49,MATCH(C2578,Products!$A$2:$A$49,0))*(1+INDEX(Assumptions!$B$16:$B$20,MATCH(B2578,Assumptions!$A$16:$A$20,0)))</f>
        <v>34393.632</v>
      </c>
      <c r="J2578" s="33" t="n">
        <f aca="false">H2578-I2578</f>
        <v>3826.368</v>
      </c>
      <c r="K2578" s="33" t="n">
        <f aca="false">IF(OR(E2578=0,E2578&gt;=7),0,D2578/(7-E2578)*E2578*INDEX(Products!$E$2:$E$49,MATCH(C2578,Products!$A$2:$A$49,0)))</f>
        <v>0</v>
      </c>
    </row>
    <row r="2579" customFormat="false" ht="15" hidden="false" customHeight="false" outlineLevel="0" collapsed="false">
      <c r="A2579" s="36" t="n">
        <v>46132</v>
      </c>
      <c r="B2579" s="24" t="s">
        <v>63</v>
      </c>
      <c r="C2579" s="24" t="s">
        <v>129</v>
      </c>
      <c r="D2579" s="33" t="n">
        <v>223</v>
      </c>
      <c r="E2579" s="24" t="n">
        <v>0</v>
      </c>
      <c r="F2579" s="37" t="n">
        <f aca="false">DATE(YEAR(A2579),MONTH(A2579),1)</f>
        <v>46113</v>
      </c>
      <c r="G2579" s="24" t="str">
        <f aca="false">INDEX(Products!$C$2:$C$49,MATCH(C2579,Products!$A$2:$A$49,0))</f>
        <v>Grocery Staples</v>
      </c>
      <c r="H2579" s="33" t="n">
        <f aca="false">D2579*INDEX(Products!$E$2:$E$49,MATCH(C2579,Products!$A$2:$A$49,0))</f>
        <v>46830</v>
      </c>
      <c r="I2579" s="33" t="n">
        <f aca="false">D2579*INDEX(Products!$D$2:$D$49,MATCH(C2579,Products!$A$2:$A$49,0))*(1+INDEX(Assumptions!$B$16:$B$20,MATCH(B2579,Assumptions!$A$16:$A$20,0)))</f>
        <v>42141.648</v>
      </c>
      <c r="J2579" s="33" t="n">
        <f aca="false">H2579-I2579</f>
        <v>4688.352</v>
      </c>
      <c r="K2579" s="33" t="n">
        <f aca="false">IF(OR(E2579=0,E2579&gt;=7),0,D2579/(7-E2579)*E2579*INDEX(Products!$E$2:$E$49,MATCH(C2579,Products!$A$2:$A$49,0)))</f>
        <v>0</v>
      </c>
    </row>
    <row r="2580" customFormat="false" ht="15" hidden="false" customHeight="false" outlineLevel="0" collapsed="false">
      <c r="A2580" s="36" t="n">
        <v>46139</v>
      </c>
      <c r="B2580" s="24" t="s">
        <v>63</v>
      </c>
      <c r="C2580" s="24" t="s">
        <v>129</v>
      </c>
      <c r="D2580" s="33" t="n">
        <v>223</v>
      </c>
      <c r="E2580" s="24" t="n">
        <v>0</v>
      </c>
      <c r="F2580" s="37" t="n">
        <f aca="false">DATE(YEAR(A2580),MONTH(A2580),1)</f>
        <v>46113</v>
      </c>
      <c r="G2580" s="24" t="str">
        <f aca="false">INDEX(Products!$C$2:$C$49,MATCH(C2580,Products!$A$2:$A$49,0))</f>
        <v>Grocery Staples</v>
      </c>
      <c r="H2580" s="33" t="n">
        <f aca="false">D2580*INDEX(Products!$E$2:$E$49,MATCH(C2580,Products!$A$2:$A$49,0))</f>
        <v>46830</v>
      </c>
      <c r="I2580" s="33" t="n">
        <f aca="false">D2580*INDEX(Products!$D$2:$D$49,MATCH(C2580,Products!$A$2:$A$49,0))*(1+INDEX(Assumptions!$B$16:$B$20,MATCH(B2580,Assumptions!$A$16:$A$20,0)))</f>
        <v>42141.648</v>
      </c>
      <c r="J2580" s="33" t="n">
        <f aca="false">H2580-I2580</f>
        <v>4688.352</v>
      </c>
      <c r="K2580" s="33" t="n">
        <f aca="false">IF(OR(E2580=0,E2580&gt;=7),0,D2580/(7-E2580)*E2580*INDEX(Products!$E$2:$E$49,MATCH(C2580,Products!$A$2:$A$49,0)))</f>
        <v>0</v>
      </c>
    </row>
    <row r="2581" customFormat="false" ht="15" hidden="false" customHeight="false" outlineLevel="0" collapsed="false">
      <c r="A2581" s="36" t="n">
        <v>46146</v>
      </c>
      <c r="B2581" s="24" t="s">
        <v>63</v>
      </c>
      <c r="C2581" s="24" t="s">
        <v>129</v>
      </c>
      <c r="D2581" s="33" t="n">
        <v>178</v>
      </c>
      <c r="E2581" s="24" t="n">
        <v>0</v>
      </c>
      <c r="F2581" s="37" t="n">
        <f aca="false">DATE(YEAR(A2581),MONTH(A2581),1)</f>
        <v>46143</v>
      </c>
      <c r="G2581" s="24" t="str">
        <f aca="false">INDEX(Products!$C$2:$C$49,MATCH(C2581,Products!$A$2:$A$49,0))</f>
        <v>Grocery Staples</v>
      </c>
      <c r="H2581" s="33" t="n">
        <f aca="false">D2581*INDEX(Products!$E$2:$E$49,MATCH(C2581,Products!$A$2:$A$49,0))</f>
        <v>37380</v>
      </c>
      <c r="I2581" s="33" t="n">
        <f aca="false">D2581*INDEX(Products!$D$2:$D$49,MATCH(C2581,Products!$A$2:$A$49,0))*(1+INDEX(Assumptions!$B$16:$B$20,MATCH(B2581,Assumptions!$A$16:$A$20,0)))</f>
        <v>33637.728</v>
      </c>
      <c r="J2581" s="33" t="n">
        <f aca="false">H2581-I2581</f>
        <v>3742.272</v>
      </c>
      <c r="K2581" s="33" t="n">
        <f aca="false">IF(OR(E2581=0,E2581&gt;=7),0,D2581/(7-E2581)*E2581*INDEX(Products!$E$2:$E$49,MATCH(C2581,Products!$A$2:$A$49,0)))</f>
        <v>0</v>
      </c>
    </row>
    <row r="2582" customFormat="false" ht="15" hidden="false" customHeight="false" outlineLevel="0" collapsed="false">
      <c r="A2582" s="36" t="n">
        <v>46153</v>
      </c>
      <c r="B2582" s="24" t="s">
        <v>63</v>
      </c>
      <c r="C2582" s="24" t="s">
        <v>129</v>
      </c>
      <c r="D2582" s="33" t="n">
        <v>50</v>
      </c>
      <c r="E2582" s="24" t="n">
        <v>5</v>
      </c>
      <c r="F2582" s="37" t="n">
        <f aca="false">DATE(YEAR(A2582),MONTH(A2582),1)</f>
        <v>46143</v>
      </c>
      <c r="G2582" s="24" t="str">
        <f aca="false">INDEX(Products!$C$2:$C$49,MATCH(C2582,Products!$A$2:$A$49,0))</f>
        <v>Grocery Staples</v>
      </c>
      <c r="H2582" s="33" t="n">
        <f aca="false">D2582*INDEX(Products!$E$2:$E$49,MATCH(C2582,Products!$A$2:$A$49,0))</f>
        <v>10500</v>
      </c>
      <c r="I2582" s="33" t="n">
        <f aca="false">D2582*INDEX(Products!$D$2:$D$49,MATCH(C2582,Products!$A$2:$A$49,0))*(1+INDEX(Assumptions!$B$16:$B$20,MATCH(B2582,Assumptions!$A$16:$A$20,0)))</f>
        <v>9448.8</v>
      </c>
      <c r="J2582" s="33" t="n">
        <f aca="false">H2582-I2582</f>
        <v>1051.2</v>
      </c>
      <c r="K2582" s="33" t="n">
        <f aca="false">IF(OR(E2582=0,E2582&gt;=7),0,D2582/(7-E2582)*E2582*INDEX(Products!$E$2:$E$49,MATCH(C2582,Products!$A$2:$A$49,0)))</f>
        <v>26250</v>
      </c>
    </row>
    <row r="2583" customFormat="false" ht="15" hidden="false" customHeight="false" outlineLevel="0" collapsed="false">
      <c r="A2583" s="36" t="n">
        <v>46160</v>
      </c>
      <c r="B2583" s="24" t="s">
        <v>63</v>
      </c>
      <c r="C2583" s="24" t="s">
        <v>129</v>
      </c>
      <c r="D2583" s="33" t="n">
        <v>201</v>
      </c>
      <c r="E2583" s="24" t="n">
        <v>0</v>
      </c>
      <c r="F2583" s="37" t="n">
        <f aca="false">DATE(YEAR(A2583),MONTH(A2583),1)</f>
        <v>46143</v>
      </c>
      <c r="G2583" s="24" t="str">
        <f aca="false">INDEX(Products!$C$2:$C$49,MATCH(C2583,Products!$A$2:$A$49,0))</f>
        <v>Grocery Staples</v>
      </c>
      <c r="H2583" s="33" t="n">
        <f aca="false">D2583*INDEX(Products!$E$2:$E$49,MATCH(C2583,Products!$A$2:$A$49,0))</f>
        <v>42210</v>
      </c>
      <c r="I2583" s="33" t="n">
        <f aca="false">D2583*INDEX(Products!$D$2:$D$49,MATCH(C2583,Products!$A$2:$A$49,0))*(1+INDEX(Assumptions!$B$16:$B$20,MATCH(B2583,Assumptions!$A$16:$A$20,0)))</f>
        <v>37984.176</v>
      </c>
      <c r="J2583" s="33" t="n">
        <f aca="false">H2583-I2583</f>
        <v>4225.824</v>
      </c>
      <c r="K2583" s="33" t="n">
        <f aca="false">IF(OR(E2583=0,E2583&gt;=7),0,D2583/(7-E2583)*E2583*INDEX(Products!$E$2:$E$49,MATCH(C2583,Products!$A$2:$A$49,0)))</f>
        <v>0</v>
      </c>
    </row>
    <row r="2584" customFormat="false" ht="15" hidden="false" customHeight="false" outlineLevel="0" collapsed="false">
      <c r="A2584" s="36" t="n">
        <v>46167</v>
      </c>
      <c r="B2584" s="24" t="s">
        <v>63</v>
      </c>
      <c r="C2584" s="24" t="s">
        <v>129</v>
      </c>
      <c r="D2584" s="33" t="n">
        <v>192</v>
      </c>
      <c r="E2584" s="24" t="n">
        <v>0</v>
      </c>
      <c r="F2584" s="37" t="n">
        <f aca="false">DATE(YEAR(A2584),MONTH(A2584),1)</f>
        <v>46143</v>
      </c>
      <c r="G2584" s="24" t="str">
        <f aca="false">INDEX(Products!$C$2:$C$49,MATCH(C2584,Products!$A$2:$A$49,0))</f>
        <v>Grocery Staples</v>
      </c>
      <c r="H2584" s="33" t="n">
        <f aca="false">D2584*INDEX(Products!$E$2:$E$49,MATCH(C2584,Products!$A$2:$A$49,0))</f>
        <v>40320</v>
      </c>
      <c r="I2584" s="33" t="n">
        <f aca="false">D2584*INDEX(Products!$D$2:$D$49,MATCH(C2584,Products!$A$2:$A$49,0))*(1+INDEX(Assumptions!$B$16:$B$20,MATCH(B2584,Assumptions!$A$16:$A$20,0)))</f>
        <v>36283.392</v>
      </c>
      <c r="J2584" s="33" t="n">
        <f aca="false">H2584-I2584</f>
        <v>4036.608</v>
      </c>
      <c r="K2584" s="33" t="n">
        <f aca="false">IF(OR(E2584=0,E2584&gt;=7),0,D2584/(7-E2584)*E2584*INDEX(Products!$E$2:$E$49,MATCH(C2584,Products!$A$2:$A$49,0)))</f>
        <v>0</v>
      </c>
    </row>
    <row r="2585" customFormat="false" ht="15" hidden="false" customHeight="false" outlineLevel="0" collapsed="false">
      <c r="A2585" s="36" t="n">
        <v>46174</v>
      </c>
      <c r="B2585" s="24" t="s">
        <v>63</v>
      </c>
      <c r="C2585" s="24" t="s">
        <v>129</v>
      </c>
      <c r="D2585" s="33" t="n">
        <v>178</v>
      </c>
      <c r="E2585" s="24" t="n">
        <v>0</v>
      </c>
      <c r="F2585" s="37" t="n">
        <f aca="false">DATE(YEAR(A2585),MONTH(A2585),1)</f>
        <v>46174</v>
      </c>
      <c r="G2585" s="24" t="str">
        <f aca="false">INDEX(Products!$C$2:$C$49,MATCH(C2585,Products!$A$2:$A$49,0))</f>
        <v>Grocery Staples</v>
      </c>
      <c r="H2585" s="33" t="n">
        <f aca="false">D2585*INDEX(Products!$E$2:$E$49,MATCH(C2585,Products!$A$2:$A$49,0))</f>
        <v>37380</v>
      </c>
      <c r="I2585" s="33" t="n">
        <f aca="false">D2585*INDEX(Products!$D$2:$D$49,MATCH(C2585,Products!$A$2:$A$49,0))*(1+INDEX(Assumptions!$B$16:$B$20,MATCH(B2585,Assumptions!$A$16:$A$20,0)))</f>
        <v>33637.728</v>
      </c>
      <c r="J2585" s="33" t="n">
        <f aca="false">H2585-I2585</f>
        <v>3742.272</v>
      </c>
      <c r="K2585" s="33" t="n">
        <f aca="false">IF(OR(E2585=0,E2585&gt;=7),0,D2585/(7-E2585)*E2585*INDEX(Products!$E$2:$E$49,MATCH(C2585,Products!$A$2:$A$49,0)))</f>
        <v>0</v>
      </c>
    </row>
    <row r="2586" customFormat="false" ht="15" hidden="false" customHeight="false" outlineLevel="0" collapsed="false">
      <c r="A2586" s="36" t="n">
        <v>46181</v>
      </c>
      <c r="B2586" s="24" t="s">
        <v>63</v>
      </c>
      <c r="C2586" s="24" t="s">
        <v>129</v>
      </c>
      <c r="D2586" s="33" t="n">
        <v>168</v>
      </c>
      <c r="E2586" s="24" t="n">
        <v>0</v>
      </c>
      <c r="F2586" s="37" t="n">
        <f aca="false">DATE(YEAR(A2586),MONTH(A2586),1)</f>
        <v>46174</v>
      </c>
      <c r="G2586" s="24" t="str">
        <f aca="false">INDEX(Products!$C$2:$C$49,MATCH(C2586,Products!$A$2:$A$49,0))</f>
        <v>Grocery Staples</v>
      </c>
      <c r="H2586" s="33" t="n">
        <f aca="false">D2586*INDEX(Products!$E$2:$E$49,MATCH(C2586,Products!$A$2:$A$49,0))</f>
        <v>35280</v>
      </c>
      <c r="I2586" s="33" t="n">
        <f aca="false">D2586*INDEX(Products!$D$2:$D$49,MATCH(C2586,Products!$A$2:$A$49,0))*(1+INDEX(Assumptions!$B$16:$B$20,MATCH(B2586,Assumptions!$A$16:$A$20,0)))</f>
        <v>31747.968</v>
      </c>
      <c r="J2586" s="33" t="n">
        <f aca="false">H2586-I2586</f>
        <v>3532.032</v>
      </c>
      <c r="K2586" s="33" t="n">
        <f aca="false">IF(OR(E2586=0,E2586&gt;=7),0,D2586/(7-E2586)*E2586*INDEX(Products!$E$2:$E$49,MATCH(C2586,Products!$A$2:$A$49,0)))</f>
        <v>0</v>
      </c>
    </row>
    <row r="2587" customFormat="false" ht="15" hidden="false" customHeight="false" outlineLevel="0" collapsed="false">
      <c r="A2587" s="36" t="n">
        <v>46188</v>
      </c>
      <c r="B2587" s="24" t="s">
        <v>63</v>
      </c>
      <c r="C2587" s="24" t="s">
        <v>129</v>
      </c>
      <c r="D2587" s="33" t="n">
        <v>199</v>
      </c>
      <c r="E2587" s="24" t="n">
        <v>0</v>
      </c>
      <c r="F2587" s="37" t="n">
        <f aca="false">DATE(YEAR(A2587),MONTH(A2587),1)</f>
        <v>46174</v>
      </c>
      <c r="G2587" s="24" t="str">
        <f aca="false">INDEX(Products!$C$2:$C$49,MATCH(C2587,Products!$A$2:$A$49,0))</f>
        <v>Grocery Staples</v>
      </c>
      <c r="H2587" s="33" t="n">
        <f aca="false">D2587*INDEX(Products!$E$2:$E$49,MATCH(C2587,Products!$A$2:$A$49,0))</f>
        <v>41790</v>
      </c>
      <c r="I2587" s="33" t="n">
        <f aca="false">D2587*INDEX(Products!$D$2:$D$49,MATCH(C2587,Products!$A$2:$A$49,0))*(1+INDEX(Assumptions!$B$16:$B$20,MATCH(B2587,Assumptions!$A$16:$A$20,0)))</f>
        <v>37606.224</v>
      </c>
      <c r="J2587" s="33" t="n">
        <f aca="false">H2587-I2587</f>
        <v>4183.776</v>
      </c>
      <c r="K2587" s="33" t="n">
        <f aca="false">IF(OR(E2587=0,E2587&gt;=7),0,D2587/(7-E2587)*E2587*INDEX(Products!$E$2:$E$49,MATCH(C2587,Products!$A$2:$A$49,0)))</f>
        <v>0</v>
      </c>
    </row>
    <row r="2588" customFormat="false" ht="15" hidden="false" customHeight="false" outlineLevel="0" collapsed="false">
      <c r="A2588" s="36" t="n">
        <v>46195</v>
      </c>
      <c r="B2588" s="24" t="s">
        <v>63</v>
      </c>
      <c r="C2588" s="24" t="s">
        <v>129</v>
      </c>
      <c r="D2588" s="33" t="n">
        <v>180</v>
      </c>
      <c r="E2588" s="24" t="n">
        <v>0</v>
      </c>
      <c r="F2588" s="37" t="n">
        <f aca="false">DATE(YEAR(A2588),MONTH(A2588),1)</f>
        <v>46174</v>
      </c>
      <c r="G2588" s="24" t="str">
        <f aca="false">INDEX(Products!$C$2:$C$49,MATCH(C2588,Products!$A$2:$A$49,0))</f>
        <v>Grocery Staples</v>
      </c>
      <c r="H2588" s="33" t="n">
        <f aca="false">D2588*INDEX(Products!$E$2:$E$49,MATCH(C2588,Products!$A$2:$A$49,0))</f>
        <v>37800</v>
      </c>
      <c r="I2588" s="33" t="n">
        <f aca="false">D2588*INDEX(Products!$D$2:$D$49,MATCH(C2588,Products!$A$2:$A$49,0))*(1+INDEX(Assumptions!$B$16:$B$20,MATCH(B2588,Assumptions!$A$16:$A$20,0)))</f>
        <v>34015.68</v>
      </c>
      <c r="J2588" s="33" t="n">
        <f aca="false">H2588-I2588</f>
        <v>3784.32</v>
      </c>
      <c r="K2588" s="33" t="n">
        <f aca="false">IF(OR(E2588=0,E2588&gt;=7),0,D2588/(7-E2588)*E2588*INDEX(Products!$E$2:$E$49,MATCH(C2588,Products!$A$2:$A$49,0)))</f>
        <v>0</v>
      </c>
    </row>
    <row r="2589" customFormat="false" ht="15" hidden="false" customHeight="false" outlineLevel="0" collapsed="false">
      <c r="A2589" s="36" t="n">
        <v>46202</v>
      </c>
      <c r="B2589" s="24" t="s">
        <v>63</v>
      </c>
      <c r="C2589" s="24" t="s">
        <v>129</v>
      </c>
      <c r="D2589" s="33" t="n">
        <v>188</v>
      </c>
      <c r="E2589" s="24" t="n">
        <v>0</v>
      </c>
      <c r="F2589" s="37" t="n">
        <f aca="false">DATE(YEAR(A2589),MONTH(A2589),1)</f>
        <v>46174</v>
      </c>
      <c r="G2589" s="24" t="str">
        <f aca="false">INDEX(Products!$C$2:$C$49,MATCH(C2589,Products!$A$2:$A$49,0))</f>
        <v>Grocery Staples</v>
      </c>
      <c r="H2589" s="33" t="n">
        <f aca="false">D2589*INDEX(Products!$E$2:$E$49,MATCH(C2589,Products!$A$2:$A$49,0))</f>
        <v>39480</v>
      </c>
      <c r="I2589" s="33" t="n">
        <f aca="false">D2589*INDEX(Products!$D$2:$D$49,MATCH(C2589,Products!$A$2:$A$49,0))*(1+INDEX(Assumptions!$B$16:$B$20,MATCH(B2589,Assumptions!$A$16:$A$20,0)))</f>
        <v>35527.488</v>
      </c>
      <c r="J2589" s="33" t="n">
        <f aca="false">H2589-I2589</f>
        <v>3952.512</v>
      </c>
      <c r="K2589" s="33" t="n">
        <f aca="false">IF(OR(E2589=0,E2589&gt;=7),0,D2589/(7-E2589)*E2589*INDEX(Products!$E$2:$E$49,MATCH(C2589,Products!$A$2:$A$49,0)))</f>
        <v>0</v>
      </c>
    </row>
    <row r="2590" customFormat="false" ht="15" hidden="false" customHeight="false" outlineLevel="0" collapsed="false">
      <c r="A2590" s="36" t="n">
        <v>46209</v>
      </c>
      <c r="B2590" s="24" t="s">
        <v>63</v>
      </c>
      <c r="C2590" s="24" t="s">
        <v>129</v>
      </c>
      <c r="D2590" s="33" t="n">
        <v>190</v>
      </c>
      <c r="E2590" s="24" t="n">
        <v>0</v>
      </c>
      <c r="F2590" s="37" t="n">
        <f aca="false">DATE(YEAR(A2590),MONTH(A2590),1)</f>
        <v>46204</v>
      </c>
      <c r="G2590" s="24" t="str">
        <f aca="false">INDEX(Products!$C$2:$C$49,MATCH(C2590,Products!$A$2:$A$49,0))</f>
        <v>Grocery Staples</v>
      </c>
      <c r="H2590" s="33" t="n">
        <f aca="false">D2590*INDEX(Products!$E$2:$E$49,MATCH(C2590,Products!$A$2:$A$49,0))</f>
        <v>39900</v>
      </c>
      <c r="I2590" s="33" t="n">
        <f aca="false">D2590*INDEX(Products!$D$2:$D$49,MATCH(C2590,Products!$A$2:$A$49,0))*(1+INDEX(Assumptions!$B$16:$B$20,MATCH(B2590,Assumptions!$A$16:$A$20,0)))</f>
        <v>35905.44</v>
      </c>
      <c r="J2590" s="33" t="n">
        <f aca="false">H2590-I2590</f>
        <v>3994.56</v>
      </c>
      <c r="K2590" s="33" t="n">
        <f aca="false">IF(OR(E2590=0,E2590&gt;=7),0,D2590/(7-E2590)*E2590*INDEX(Products!$E$2:$E$49,MATCH(C2590,Products!$A$2:$A$49,0)))</f>
        <v>0</v>
      </c>
    </row>
    <row r="2591" customFormat="false" ht="15" hidden="false" customHeight="false" outlineLevel="0" collapsed="false">
      <c r="A2591" s="36" t="n">
        <v>46216</v>
      </c>
      <c r="B2591" s="24" t="s">
        <v>63</v>
      </c>
      <c r="C2591" s="24" t="s">
        <v>129</v>
      </c>
      <c r="D2591" s="33" t="n">
        <v>167</v>
      </c>
      <c r="E2591" s="24" t="n">
        <v>0</v>
      </c>
      <c r="F2591" s="37" t="n">
        <f aca="false">DATE(YEAR(A2591),MONTH(A2591),1)</f>
        <v>46204</v>
      </c>
      <c r="G2591" s="24" t="str">
        <f aca="false">INDEX(Products!$C$2:$C$49,MATCH(C2591,Products!$A$2:$A$49,0))</f>
        <v>Grocery Staples</v>
      </c>
      <c r="H2591" s="33" t="n">
        <f aca="false">D2591*INDEX(Products!$E$2:$E$49,MATCH(C2591,Products!$A$2:$A$49,0))</f>
        <v>35070</v>
      </c>
      <c r="I2591" s="33" t="n">
        <f aca="false">D2591*INDEX(Products!$D$2:$D$49,MATCH(C2591,Products!$A$2:$A$49,0))*(1+INDEX(Assumptions!$B$16:$B$20,MATCH(B2591,Assumptions!$A$16:$A$20,0)))</f>
        <v>31558.992</v>
      </c>
      <c r="J2591" s="33" t="n">
        <f aca="false">H2591-I2591</f>
        <v>3511.008</v>
      </c>
      <c r="K2591" s="33" t="n">
        <f aca="false">IF(OR(E2591=0,E2591&gt;=7),0,D2591/(7-E2591)*E2591*INDEX(Products!$E$2:$E$49,MATCH(C2591,Products!$A$2:$A$49,0)))</f>
        <v>0</v>
      </c>
    </row>
    <row r="2592" customFormat="false" ht="15" hidden="false" customHeight="false" outlineLevel="0" collapsed="false">
      <c r="A2592" s="36" t="n">
        <v>46223</v>
      </c>
      <c r="B2592" s="24" t="s">
        <v>63</v>
      </c>
      <c r="C2592" s="24" t="s">
        <v>129</v>
      </c>
      <c r="D2592" s="33" t="n">
        <v>190</v>
      </c>
      <c r="E2592" s="24" t="n">
        <v>0</v>
      </c>
      <c r="F2592" s="37" t="n">
        <f aca="false">DATE(YEAR(A2592),MONTH(A2592),1)</f>
        <v>46204</v>
      </c>
      <c r="G2592" s="24" t="str">
        <f aca="false">INDEX(Products!$C$2:$C$49,MATCH(C2592,Products!$A$2:$A$49,0))</f>
        <v>Grocery Staples</v>
      </c>
      <c r="H2592" s="33" t="n">
        <f aca="false">D2592*INDEX(Products!$E$2:$E$49,MATCH(C2592,Products!$A$2:$A$49,0))</f>
        <v>39900</v>
      </c>
      <c r="I2592" s="33" t="n">
        <f aca="false">D2592*INDEX(Products!$D$2:$D$49,MATCH(C2592,Products!$A$2:$A$49,0))*(1+INDEX(Assumptions!$B$16:$B$20,MATCH(B2592,Assumptions!$A$16:$A$20,0)))</f>
        <v>35905.44</v>
      </c>
      <c r="J2592" s="33" t="n">
        <f aca="false">H2592-I2592</f>
        <v>3994.56</v>
      </c>
      <c r="K2592" s="33" t="n">
        <f aca="false">IF(OR(E2592=0,E2592&gt;=7),0,D2592/(7-E2592)*E2592*INDEX(Products!$E$2:$E$49,MATCH(C2592,Products!$A$2:$A$49,0)))</f>
        <v>0</v>
      </c>
    </row>
    <row r="2593" customFormat="false" ht="15" hidden="false" customHeight="false" outlineLevel="0" collapsed="false">
      <c r="A2593" s="36" t="n">
        <v>46230</v>
      </c>
      <c r="B2593" s="24" t="s">
        <v>63</v>
      </c>
      <c r="C2593" s="24" t="s">
        <v>129</v>
      </c>
      <c r="D2593" s="33" t="n">
        <v>183</v>
      </c>
      <c r="E2593" s="24" t="n">
        <v>0</v>
      </c>
      <c r="F2593" s="37" t="n">
        <f aca="false">DATE(YEAR(A2593),MONTH(A2593),1)</f>
        <v>46204</v>
      </c>
      <c r="G2593" s="24" t="str">
        <f aca="false">INDEX(Products!$C$2:$C$49,MATCH(C2593,Products!$A$2:$A$49,0))</f>
        <v>Grocery Staples</v>
      </c>
      <c r="H2593" s="33" t="n">
        <f aca="false">D2593*INDEX(Products!$E$2:$E$49,MATCH(C2593,Products!$A$2:$A$49,0))</f>
        <v>38430</v>
      </c>
      <c r="I2593" s="33" t="n">
        <f aca="false">D2593*INDEX(Products!$D$2:$D$49,MATCH(C2593,Products!$A$2:$A$49,0))*(1+INDEX(Assumptions!$B$16:$B$20,MATCH(B2593,Assumptions!$A$16:$A$20,0)))</f>
        <v>34582.608</v>
      </c>
      <c r="J2593" s="33" t="n">
        <f aca="false">H2593-I2593</f>
        <v>3847.392</v>
      </c>
      <c r="K2593" s="33" t="n">
        <f aca="false">IF(OR(E2593=0,E2593&gt;=7),0,D2593/(7-E2593)*E2593*INDEX(Products!$E$2:$E$49,MATCH(C2593,Products!$A$2:$A$49,0)))</f>
        <v>0</v>
      </c>
    </row>
    <row r="2594" customFormat="false" ht="15" hidden="false" customHeight="false" outlineLevel="0" collapsed="false">
      <c r="A2594" s="36" t="n">
        <v>46237</v>
      </c>
      <c r="B2594" s="24" t="s">
        <v>63</v>
      </c>
      <c r="C2594" s="24" t="s">
        <v>129</v>
      </c>
      <c r="D2594" s="33" t="n">
        <v>167</v>
      </c>
      <c r="E2594" s="24" t="n">
        <v>0</v>
      </c>
      <c r="F2594" s="37" t="n">
        <f aca="false">DATE(YEAR(A2594),MONTH(A2594),1)</f>
        <v>46235</v>
      </c>
      <c r="G2594" s="24" t="str">
        <f aca="false">INDEX(Products!$C$2:$C$49,MATCH(C2594,Products!$A$2:$A$49,0))</f>
        <v>Grocery Staples</v>
      </c>
      <c r="H2594" s="33" t="n">
        <f aca="false">D2594*INDEX(Products!$E$2:$E$49,MATCH(C2594,Products!$A$2:$A$49,0))</f>
        <v>35070</v>
      </c>
      <c r="I2594" s="33" t="n">
        <f aca="false">D2594*INDEX(Products!$D$2:$D$49,MATCH(C2594,Products!$A$2:$A$49,0))*(1+INDEX(Assumptions!$B$16:$B$20,MATCH(B2594,Assumptions!$A$16:$A$20,0)))</f>
        <v>31558.992</v>
      </c>
      <c r="J2594" s="33" t="n">
        <f aca="false">H2594-I2594</f>
        <v>3511.008</v>
      </c>
      <c r="K2594" s="33" t="n">
        <f aca="false">IF(OR(E2594=0,E2594&gt;=7),0,D2594/(7-E2594)*E2594*INDEX(Products!$E$2:$E$49,MATCH(C2594,Products!$A$2:$A$49,0)))</f>
        <v>0</v>
      </c>
    </row>
    <row r="2595" customFormat="false" ht="15" hidden="false" customHeight="false" outlineLevel="0" collapsed="false">
      <c r="A2595" s="36" t="n">
        <v>46244</v>
      </c>
      <c r="B2595" s="24" t="s">
        <v>63</v>
      </c>
      <c r="C2595" s="24" t="s">
        <v>129</v>
      </c>
      <c r="D2595" s="33" t="n">
        <v>166</v>
      </c>
      <c r="E2595" s="24" t="n">
        <v>0</v>
      </c>
      <c r="F2595" s="37" t="n">
        <f aca="false">DATE(YEAR(A2595),MONTH(A2595),1)</f>
        <v>46235</v>
      </c>
      <c r="G2595" s="24" t="str">
        <f aca="false">INDEX(Products!$C$2:$C$49,MATCH(C2595,Products!$A$2:$A$49,0))</f>
        <v>Grocery Staples</v>
      </c>
      <c r="H2595" s="33" t="n">
        <f aca="false">D2595*INDEX(Products!$E$2:$E$49,MATCH(C2595,Products!$A$2:$A$49,0))</f>
        <v>34860</v>
      </c>
      <c r="I2595" s="33" t="n">
        <f aca="false">D2595*INDEX(Products!$D$2:$D$49,MATCH(C2595,Products!$A$2:$A$49,0))*(1+INDEX(Assumptions!$B$16:$B$20,MATCH(B2595,Assumptions!$A$16:$A$20,0)))</f>
        <v>31370.016</v>
      </c>
      <c r="J2595" s="33" t="n">
        <f aca="false">H2595-I2595</f>
        <v>3489.984</v>
      </c>
      <c r="K2595" s="33" t="n">
        <f aca="false">IF(OR(E2595=0,E2595&gt;=7),0,D2595/(7-E2595)*E2595*INDEX(Products!$E$2:$E$49,MATCH(C2595,Products!$A$2:$A$49,0)))</f>
        <v>0</v>
      </c>
    </row>
    <row r="2596" customFormat="false" ht="15" hidden="false" customHeight="false" outlineLevel="0" collapsed="false">
      <c r="A2596" s="36" t="n">
        <v>46251</v>
      </c>
      <c r="B2596" s="24" t="s">
        <v>63</v>
      </c>
      <c r="C2596" s="24" t="s">
        <v>129</v>
      </c>
      <c r="D2596" s="33" t="n">
        <v>179</v>
      </c>
      <c r="E2596" s="24" t="n">
        <v>0</v>
      </c>
      <c r="F2596" s="37" t="n">
        <f aca="false">DATE(YEAR(A2596),MONTH(A2596),1)</f>
        <v>46235</v>
      </c>
      <c r="G2596" s="24" t="str">
        <f aca="false">INDEX(Products!$C$2:$C$49,MATCH(C2596,Products!$A$2:$A$49,0))</f>
        <v>Grocery Staples</v>
      </c>
      <c r="H2596" s="33" t="n">
        <f aca="false">D2596*INDEX(Products!$E$2:$E$49,MATCH(C2596,Products!$A$2:$A$49,0))</f>
        <v>37590</v>
      </c>
      <c r="I2596" s="33" t="n">
        <f aca="false">D2596*INDEX(Products!$D$2:$D$49,MATCH(C2596,Products!$A$2:$A$49,0))*(1+INDEX(Assumptions!$B$16:$B$20,MATCH(B2596,Assumptions!$A$16:$A$20,0)))</f>
        <v>33826.704</v>
      </c>
      <c r="J2596" s="33" t="n">
        <f aca="false">H2596-I2596</f>
        <v>3763.296</v>
      </c>
      <c r="K2596" s="33" t="n">
        <f aca="false">IF(OR(E2596=0,E2596&gt;=7),0,D2596/(7-E2596)*E2596*INDEX(Products!$E$2:$E$49,MATCH(C2596,Products!$A$2:$A$49,0)))</f>
        <v>0</v>
      </c>
    </row>
    <row r="2597" customFormat="false" ht="15" hidden="false" customHeight="false" outlineLevel="0" collapsed="false">
      <c r="A2597" s="36" t="n">
        <v>46258</v>
      </c>
      <c r="B2597" s="24" t="s">
        <v>63</v>
      </c>
      <c r="C2597" s="24" t="s">
        <v>129</v>
      </c>
      <c r="D2597" s="33" t="n">
        <v>166</v>
      </c>
      <c r="E2597" s="24" t="n">
        <v>1</v>
      </c>
      <c r="F2597" s="37" t="n">
        <f aca="false">DATE(YEAR(A2597),MONTH(A2597),1)</f>
        <v>46235</v>
      </c>
      <c r="G2597" s="24" t="str">
        <f aca="false">INDEX(Products!$C$2:$C$49,MATCH(C2597,Products!$A$2:$A$49,0))</f>
        <v>Grocery Staples</v>
      </c>
      <c r="H2597" s="33" t="n">
        <f aca="false">D2597*INDEX(Products!$E$2:$E$49,MATCH(C2597,Products!$A$2:$A$49,0))</f>
        <v>34860</v>
      </c>
      <c r="I2597" s="33" t="n">
        <f aca="false">D2597*INDEX(Products!$D$2:$D$49,MATCH(C2597,Products!$A$2:$A$49,0))*(1+INDEX(Assumptions!$B$16:$B$20,MATCH(B2597,Assumptions!$A$16:$A$20,0)))</f>
        <v>31370.016</v>
      </c>
      <c r="J2597" s="33" t="n">
        <f aca="false">H2597-I2597</f>
        <v>3489.984</v>
      </c>
      <c r="K2597" s="33" t="n">
        <f aca="false">IF(OR(E2597=0,E2597&gt;=7),0,D2597/(7-E2597)*E2597*INDEX(Products!$E$2:$E$49,MATCH(C2597,Products!$A$2:$A$49,0)))</f>
        <v>5810</v>
      </c>
    </row>
    <row r="2598" customFormat="false" ht="15" hidden="false" customHeight="false" outlineLevel="0" collapsed="false">
      <c r="A2598" s="36" t="n">
        <v>46265</v>
      </c>
      <c r="B2598" s="24" t="s">
        <v>63</v>
      </c>
      <c r="C2598" s="24" t="s">
        <v>129</v>
      </c>
      <c r="D2598" s="33" t="n">
        <v>187</v>
      </c>
      <c r="E2598" s="24" t="n">
        <v>0</v>
      </c>
      <c r="F2598" s="37" t="n">
        <f aca="false">DATE(YEAR(A2598),MONTH(A2598),1)</f>
        <v>46235</v>
      </c>
      <c r="G2598" s="24" t="str">
        <f aca="false">INDEX(Products!$C$2:$C$49,MATCH(C2598,Products!$A$2:$A$49,0))</f>
        <v>Grocery Staples</v>
      </c>
      <c r="H2598" s="33" t="n">
        <f aca="false">D2598*INDEX(Products!$E$2:$E$49,MATCH(C2598,Products!$A$2:$A$49,0))</f>
        <v>39270</v>
      </c>
      <c r="I2598" s="33" t="n">
        <f aca="false">D2598*INDEX(Products!$D$2:$D$49,MATCH(C2598,Products!$A$2:$A$49,0))*(1+INDEX(Assumptions!$B$16:$B$20,MATCH(B2598,Assumptions!$A$16:$A$20,0)))</f>
        <v>35338.512</v>
      </c>
      <c r="J2598" s="33" t="n">
        <f aca="false">H2598-I2598</f>
        <v>3931.488</v>
      </c>
      <c r="K2598" s="33" t="n">
        <f aca="false">IF(OR(E2598=0,E2598&gt;=7),0,D2598/(7-E2598)*E2598*INDEX(Products!$E$2:$E$49,MATCH(C2598,Products!$A$2:$A$49,0)))</f>
        <v>0</v>
      </c>
    </row>
    <row r="2599" customFormat="false" ht="15" hidden="false" customHeight="false" outlineLevel="0" collapsed="false">
      <c r="A2599" s="36" t="n">
        <v>46272</v>
      </c>
      <c r="B2599" s="24" t="s">
        <v>63</v>
      </c>
      <c r="C2599" s="24" t="s">
        <v>129</v>
      </c>
      <c r="D2599" s="33" t="n">
        <v>201</v>
      </c>
      <c r="E2599" s="24" t="n">
        <v>0</v>
      </c>
      <c r="F2599" s="37" t="n">
        <f aca="false">DATE(YEAR(A2599),MONTH(A2599),1)</f>
        <v>46266</v>
      </c>
      <c r="G2599" s="24" t="str">
        <f aca="false">INDEX(Products!$C$2:$C$49,MATCH(C2599,Products!$A$2:$A$49,0))</f>
        <v>Grocery Staples</v>
      </c>
      <c r="H2599" s="33" t="n">
        <f aca="false">D2599*INDEX(Products!$E$2:$E$49,MATCH(C2599,Products!$A$2:$A$49,0))</f>
        <v>42210</v>
      </c>
      <c r="I2599" s="33" t="n">
        <f aca="false">D2599*INDEX(Products!$D$2:$D$49,MATCH(C2599,Products!$A$2:$A$49,0))*(1+INDEX(Assumptions!$B$16:$B$20,MATCH(B2599,Assumptions!$A$16:$A$20,0)))</f>
        <v>37984.176</v>
      </c>
      <c r="J2599" s="33" t="n">
        <f aca="false">H2599-I2599</f>
        <v>4225.824</v>
      </c>
      <c r="K2599" s="33" t="n">
        <f aca="false">IF(OR(E2599=0,E2599&gt;=7),0,D2599/(7-E2599)*E2599*INDEX(Products!$E$2:$E$49,MATCH(C2599,Products!$A$2:$A$49,0)))</f>
        <v>0</v>
      </c>
    </row>
    <row r="2600" customFormat="false" ht="15" hidden="false" customHeight="false" outlineLevel="0" collapsed="false">
      <c r="A2600" s="36" t="n">
        <v>46279</v>
      </c>
      <c r="B2600" s="24" t="s">
        <v>63</v>
      </c>
      <c r="C2600" s="24" t="s">
        <v>129</v>
      </c>
      <c r="D2600" s="33" t="n">
        <v>172</v>
      </c>
      <c r="E2600" s="24" t="n">
        <v>0</v>
      </c>
      <c r="F2600" s="37" t="n">
        <f aca="false">DATE(YEAR(A2600),MONTH(A2600),1)</f>
        <v>46266</v>
      </c>
      <c r="G2600" s="24" t="str">
        <f aca="false">INDEX(Products!$C$2:$C$49,MATCH(C2600,Products!$A$2:$A$49,0))</f>
        <v>Grocery Staples</v>
      </c>
      <c r="H2600" s="33" t="n">
        <f aca="false">D2600*INDEX(Products!$E$2:$E$49,MATCH(C2600,Products!$A$2:$A$49,0))</f>
        <v>36120</v>
      </c>
      <c r="I2600" s="33" t="n">
        <f aca="false">D2600*INDEX(Products!$D$2:$D$49,MATCH(C2600,Products!$A$2:$A$49,0))*(1+INDEX(Assumptions!$B$16:$B$20,MATCH(B2600,Assumptions!$A$16:$A$20,0)))</f>
        <v>32503.872</v>
      </c>
      <c r="J2600" s="33" t="n">
        <f aca="false">H2600-I2600</f>
        <v>3616.128</v>
      </c>
      <c r="K2600" s="33" t="n">
        <f aca="false">IF(OR(E2600=0,E2600&gt;=7),0,D2600/(7-E2600)*E2600*INDEX(Products!$E$2:$E$49,MATCH(C2600,Products!$A$2:$A$49,0)))</f>
        <v>0</v>
      </c>
    </row>
    <row r="2601" customFormat="false" ht="15" hidden="false" customHeight="false" outlineLevel="0" collapsed="false">
      <c r="A2601" s="36" t="n">
        <v>46286</v>
      </c>
      <c r="B2601" s="24" t="s">
        <v>63</v>
      </c>
      <c r="C2601" s="24" t="s">
        <v>129</v>
      </c>
      <c r="D2601" s="33" t="n">
        <v>199</v>
      </c>
      <c r="E2601" s="24" t="n">
        <v>0</v>
      </c>
      <c r="F2601" s="37" t="n">
        <f aca="false">DATE(YEAR(A2601),MONTH(A2601),1)</f>
        <v>46266</v>
      </c>
      <c r="G2601" s="24" t="str">
        <f aca="false">INDEX(Products!$C$2:$C$49,MATCH(C2601,Products!$A$2:$A$49,0))</f>
        <v>Grocery Staples</v>
      </c>
      <c r="H2601" s="33" t="n">
        <f aca="false">D2601*INDEX(Products!$E$2:$E$49,MATCH(C2601,Products!$A$2:$A$49,0))</f>
        <v>41790</v>
      </c>
      <c r="I2601" s="33" t="n">
        <f aca="false">D2601*INDEX(Products!$D$2:$D$49,MATCH(C2601,Products!$A$2:$A$49,0))*(1+INDEX(Assumptions!$B$16:$B$20,MATCH(B2601,Assumptions!$A$16:$A$20,0)))</f>
        <v>37606.224</v>
      </c>
      <c r="J2601" s="33" t="n">
        <f aca="false">H2601-I2601</f>
        <v>4183.776</v>
      </c>
      <c r="K2601" s="33" t="n">
        <f aca="false">IF(OR(E2601=0,E2601&gt;=7),0,D2601/(7-E2601)*E2601*INDEX(Products!$E$2:$E$49,MATCH(C2601,Products!$A$2:$A$49,0)))</f>
        <v>0</v>
      </c>
    </row>
    <row r="2602" customFormat="false" ht="15" hidden="false" customHeight="false" outlineLevel="0" collapsed="false">
      <c r="A2602" s="36" t="n">
        <v>46118</v>
      </c>
      <c r="B2602" s="24" t="s">
        <v>63</v>
      </c>
      <c r="C2602" s="24" t="s">
        <v>131</v>
      </c>
      <c r="D2602" s="33" t="n">
        <v>32</v>
      </c>
      <c r="E2602" s="24" t="n">
        <v>0</v>
      </c>
      <c r="F2602" s="37" t="n">
        <f aca="false">DATE(YEAR(A2602),MONTH(A2602),1)</f>
        <v>46113</v>
      </c>
      <c r="G2602" s="24" t="str">
        <f aca="false">INDEX(Products!$C$2:$C$49,MATCH(C2602,Products!$A$2:$A$49,0))</f>
        <v>Dairy &amp; Eggs</v>
      </c>
      <c r="H2602" s="33" t="n">
        <f aca="false">D2602*INDEX(Products!$E$2:$E$49,MATCH(C2602,Products!$A$2:$A$49,0))</f>
        <v>2080</v>
      </c>
      <c r="I2602" s="33" t="n">
        <f aca="false">D2602*INDEX(Products!$D$2:$D$49,MATCH(C2602,Products!$A$2:$A$49,0))*(1+INDEX(Assumptions!$B$16:$B$20,MATCH(B2602,Assumptions!$A$16:$A$20,0)))</f>
        <v>1658.112</v>
      </c>
      <c r="J2602" s="33" t="n">
        <f aca="false">H2602-I2602</f>
        <v>421.888</v>
      </c>
      <c r="K2602" s="33" t="n">
        <f aca="false">IF(OR(E2602=0,E2602&gt;=7),0,D2602/(7-E2602)*E2602*INDEX(Products!$E$2:$E$49,MATCH(C2602,Products!$A$2:$A$49,0)))</f>
        <v>0</v>
      </c>
    </row>
    <row r="2603" customFormat="false" ht="15" hidden="false" customHeight="false" outlineLevel="0" collapsed="false">
      <c r="A2603" s="36" t="n">
        <v>46125</v>
      </c>
      <c r="B2603" s="24" t="s">
        <v>63</v>
      </c>
      <c r="C2603" s="24" t="s">
        <v>131</v>
      </c>
      <c r="D2603" s="33" t="n">
        <v>25</v>
      </c>
      <c r="E2603" s="24" t="n">
        <v>0</v>
      </c>
      <c r="F2603" s="37" t="n">
        <f aca="false">DATE(YEAR(A2603),MONTH(A2603),1)</f>
        <v>46113</v>
      </c>
      <c r="G2603" s="24" t="str">
        <f aca="false">INDEX(Products!$C$2:$C$49,MATCH(C2603,Products!$A$2:$A$49,0))</f>
        <v>Dairy &amp; Eggs</v>
      </c>
      <c r="H2603" s="33" t="n">
        <f aca="false">D2603*INDEX(Products!$E$2:$E$49,MATCH(C2603,Products!$A$2:$A$49,0))</f>
        <v>1625</v>
      </c>
      <c r="I2603" s="33" t="n">
        <f aca="false">D2603*INDEX(Products!$D$2:$D$49,MATCH(C2603,Products!$A$2:$A$49,0))*(1+INDEX(Assumptions!$B$16:$B$20,MATCH(B2603,Assumptions!$A$16:$A$20,0)))</f>
        <v>1295.4</v>
      </c>
      <c r="J2603" s="33" t="n">
        <f aca="false">H2603-I2603</f>
        <v>329.6</v>
      </c>
      <c r="K2603" s="33" t="n">
        <f aca="false">IF(OR(E2603=0,E2603&gt;=7),0,D2603/(7-E2603)*E2603*INDEX(Products!$E$2:$E$49,MATCH(C2603,Products!$A$2:$A$49,0)))</f>
        <v>0</v>
      </c>
    </row>
    <row r="2604" customFormat="false" ht="15" hidden="false" customHeight="false" outlineLevel="0" collapsed="false">
      <c r="A2604" s="36" t="n">
        <v>46132</v>
      </c>
      <c r="B2604" s="24" t="s">
        <v>63</v>
      </c>
      <c r="C2604" s="24" t="s">
        <v>131</v>
      </c>
      <c r="D2604" s="33" t="n">
        <v>28</v>
      </c>
      <c r="E2604" s="24" t="n">
        <v>0</v>
      </c>
      <c r="F2604" s="37" t="n">
        <f aca="false">DATE(YEAR(A2604),MONTH(A2604),1)</f>
        <v>46113</v>
      </c>
      <c r="G2604" s="24" t="str">
        <f aca="false">INDEX(Products!$C$2:$C$49,MATCH(C2604,Products!$A$2:$A$49,0))</f>
        <v>Dairy &amp; Eggs</v>
      </c>
      <c r="H2604" s="33" t="n">
        <f aca="false">D2604*INDEX(Products!$E$2:$E$49,MATCH(C2604,Products!$A$2:$A$49,0))</f>
        <v>1820</v>
      </c>
      <c r="I2604" s="33" t="n">
        <f aca="false">D2604*INDEX(Products!$D$2:$D$49,MATCH(C2604,Products!$A$2:$A$49,0))*(1+INDEX(Assumptions!$B$16:$B$20,MATCH(B2604,Assumptions!$A$16:$A$20,0)))</f>
        <v>1450.848</v>
      </c>
      <c r="J2604" s="33" t="n">
        <f aca="false">H2604-I2604</f>
        <v>369.152</v>
      </c>
      <c r="K2604" s="33" t="n">
        <f aca="false">IF(OR(E2604=0,E2604&gt;=7),0,D2604/(7-E2604)*E2604*INDEX(Products!$E$2:$E$49,MATCH(C2604,Products!$A$2:$A$49,0)))</f>
        <v>0</v>
      </c>
    </row>
    <row r="2605" customFormat="false" ht="15" hidden="false" customHeight="false" outlineLevel="0" collapsed="false">
      <c r="A2605" s="36" t="n">
        <v>46139</v>
      </c>
      <c r="B2605" s="24" t="s">
        <v>63</v>
      </c>
      <c r="C2605" s="24" t="s">
        <v>131</v>
      </c>
      <c r="D2605" s="33" t="n">
        <v>27</v>
      </c>
      <c r="E2605" s="24" t="n">
        <v>0</v>
      </c>
      <c r="F2605" s="37" t="n">
        <f aca="false">DATE(YEAR(A2605),MONTH(A2605),1)</f>
        <v>46113</v>
      </c>
      <c r="G2605" s="24" t="str">
        <f aca="false">INDEX(Products!$C$2:$C$49,MATCH(C2605,Products!$A$2:$A$49,0))</f>
        <v>Dairy &amp; Eggs</v>
      </c>
      <c r="H2605" s="33" t="n">
        <f aca="false">D2605*INDEX(Products!$E$2:$E$49,MATCH(C2605,Products!$A$2:$A$49,0))</f>
        <v>1755</v>
      </c>
      <c r="I2605" s="33" t="n">
        <f aca="false">D2605*INDEX(Products!$D$2:$D$49,MATCH(C2605,Products!$A$2:$A$49,0))*(1+INDEX(Assumptions!$B$16:$B$20,MATCH(B2605,Assumptions!$A$16:$A$20,0)))</f>
        <v>1399.032</v>
      </c>
      <c r="J2605" s="33" t="n">
        <f aca="false">H2605-I2605</f>
        <v>355.968</v>
      </c>
      <c r="K2605" s="33" t="n">
        <f aca="false">IF(OR(E2605=0,E2605&gt;=7),0,D2605/(7-E2605)*E2605*INDEX(Products!$E$2:$E$49,MATCH(C2605,Products!$A$2:$A$49,0)))</f>
        <v>0</v>
      </c>
    </row>
    <row r="2606" customFormat="false" ht="15" hidden="false" customHeight="false" outlineLevel="0" collapsed="false">
      <c r="A2606" s="36" t="n">
        <v>46146</v>
      </c>
      <c r="B2606" s="24" t="s">
        <v>63</v>
      </c>
      <c r="C2606" s="24" t="s">
        <v>131</v>
      </c>
      <c r="D2606" s="33" t="n">
        <v>31</v>
      </c>
      <c r="E2606" s="24" t="n">
        <v>0</v>
      </c>
      <c r="F2606" s="37" t="n">
        <f aca="false">DATE(YEAR(A2606),MONTH(A2606),1)</f>
        <v>46143</v>
      </c>
      <c r="G2606" s="24" t="str">
        <f aca="false">INDEX(Products!$C$2:$C$49,MATCH(C2606,Products!$A$2:$A$49,0))</f>
        <v>Dairy &amp; Eggs</v>
      </c>
      <c r="H2606" s="33" t="n">
        <f aca="false">D2606*INDEX(Products!$E$2:$E$49,MATCH(C2606,Products!$A$2:$A$49,0))</f>
        <v>2015</v>
      </c>
      <c r="I2606" s="33" t="n">
        <f aca="false">D2606*INDEX(Products!$D$2:$D$49,MATCH(C2606,Products!$A$2:$A$49,0))*(1+INDEX(Assumptions!$B$16:$B$20,MATCH(B2606,Assumptions!$A$16:$A$20,0)))</f>
        <v>1606.296</v>
      </c>
      <c r="J2606" s="33" t="n">
        <f aca="false">H2606-I2606</f>
        <v>408.704</v>
      </c>
      <c r="K2606" s="33" t="n">
        <f aca="false">IF(OR(E2606=0,E2606&gt;=7),0,D2606/(7-E2606)*E2606*INDEX(Products!$E$2:$E$49,MATCH(C2606,Products!$A$2:$A$49,0)))</f>
        <v>0</v>
      </c>
    </row>
    <row r="2607" customFormat="false" ht="15" hidden="false" customHeight="false" outlineLevel="0" collapsed="false">
      <c r="A2607" s="36" t="n">
        <v>46153</v>
      </c>
      <c r="B2607" s="24" t="s">
        <v>63</v>
      </c>
      <c r="C2607" s="24" t="s">
        <v>131</v>
      </c>
      <c r="D2607" s="33" t="n">
        <v>30</v>
      </c>
      <c r="E2607" s="24" t="n">
        <v>0</v>
      </c>
      <c r="F2607" s="37" t="n">
        <f aca="false">DATE(YEAR(A2607),MONTH(A2607),1)</f>
        <v>46143</v>
      </c>
      <c r="G2607" s="24" t="str">
        <f aca="false">INDEX(Products!$C$2:$C$49,MATCH(C2607,Products!$A$2:$A$49,0))</f>
        <v>Dairy &amp; Eggs</v>
      </c>
      <c r="H2607" s="33" t="n">
        <f aca="false">D2607*INDEX(Products!$E$2:$E$49,MATCH(C2607,Products!$A$2:$A$49,0))</f>
        <v>1950</v>
      </c>
      <c r="I2607" s="33" t="n">
        <f aca="false">D2607*INDEX(Products!$D$2:$D$49,MATCH(C2607,Products!$A$2:$A$49,0))*(1+INDEX(Assumptions!$B$16:$B$20,MATCH(B2607,Assumptions!$A$16:$A$20,0)))</f>
        <v>1554.48</v>
      </c>
      <c r="J2607" s="33" t="n">
        <f aca="false">H2607-I2607</f>
        <v>395.52</v>
      </c>
      <c r="K2607" s="33" t="n">
        <f aca="false">IF(OR(E2607=0,E2607&gt;=7),0,D2607/(7-E2607)*E2607*INDEX(Products!$E$2:$E$49,MATCH(C2607,Products!$A$2:$A$49,0)))</f>
        <v>0</v>
      </c>
    </row>
    <row r="2608" customFormat="false" ht="15" hidden="false" customHeight="false" outlineLevel="0" collapsed="false">
      <c r="A2608" s="36" t="n">
        <v>46160</v>
      </c>
      <c r="B2608" s="24" t="s">
        <v>63</v>
      </c>
      <c r="C2608" s="24" t="s">
        <v>131</v>
      </c>
      <c r="D2608" s="33" t="n">
        <v>28</v>
      </c>
      <c r="E2608" s="24" t="n">
        <v>0</v>
      </c>
      <c r="F2608" s="37" t="n">
        <f aca="false">DATE(YEAR(A2608),MONTH(A2608),1)</f>
        <v>46143</v>
      </c>
      <c r="G2608" s="24" t="str">
        <f aca="false">INDEX(Products!$C$2:$C$49,MATCH(C2608,Products!$A$2:$A$49,0))</f>
        <v>Dairy &amp; Eggs</v>
      </c>
      <c r="H2608" s="33" t="n">
        <f aca="false">D2608*INDEX(Products!$E$2:$E$49,MATCH(C2608,Products!$A$2:$A$49,0))</f>
        <v>1820</v>
      </c>
      <c r="I2608" s="33" t="n">
        <f aca="false">D2608*INDEX(Products!$D$2:$D$49,MATCH(C2608,Products!$A$2:$A$49,0))*(1+INDEX(Assumptions!$B$16:$B$20,MATCH(B2608,Assumptions!$A$16:$A$20,0)))</f>
        <v>1450.848</v>
      </c>
      <c r="J2608" s="33" t="n">
        <f aca="false">H2608-I2608</f>
        <v>369.152</v>
      </c>
      <c r="K2608" s="33" t="n">
        <f aca="false">IF(OR(E2608=0,E2608&gt;=7),0,D2608/(7-E2608)*E2608*INDEX(Products!$E$2:$E$49,MATCH(C2608,Products!$A$2:$A$49,0)))</f>
        <v>0</v>
      </c>
    </row>
    <row r="2609" customFormat="false" ht="15" hidden="false" customHeight="false" outlineLevel="0" collapsed="false">
      <c r="A2609" s="36" t="n">
        <v>46167</v>
      </c>
      <c r="B2609" s="24" t="s">
        <v>63</v>
      </c>
      <c r="C2609" s="24" t="s">
        <v>131</v>
      </c>
      <c r="D2609" s="33" t="n">
        <v>29</v>
      </c>
      <c r="E2609" s="24" t="n">
        <v>0</v>
      </c>
      <c r="F2609" s="37" t="n">
        <f aca="false">DATE(YEAR(A2609),MONTH(A2609),1)</f>
        <v>46143</v>
      </c>
      <c r="G2609" s="24" t="str">
        <f aca="false">INDEX(Products!$C$2:$C$49,MATCH(C2609,Products!$A$2:$A$49,0))</f>
        <v>Dairy &amp; Eggs</v>
      </c>
      <c r="H2609" s="33" t="n">
        <f aca="false">D2609*INDEX(Products!$E$2:$E$49,MATCH(C2609,Products!$A$2:$A$49,0))</f>
        <v>1885</v>
      </c>
      <c r="I2609" s="33" t="n">
        <f aca="false">D2609*INDEX(Products!$D$2:$D$49,MATCH(C2609,Products!$A$2:$A$49,0))*(1+INDEX(Assumptions!$B$16:$B$20,MATCH(B2609,Assumptions!$A$16:$A$20,0)))</f>
        <v>1502.664</v>
      </c>
      <c r="J2609" s="33" t="n">
        <f aca="false">H2609-I2609</f>
        <v>382.336</v>
      </c>
      <c r="K2609" s="33" t="n">
        <f aca="false">IF(OR(E2609=0,E2609&gt;=7),0,D2609/(7-E2609)*E2609*INDEX(Products!$E$2:$E$49,MATCH(C2609,Products!$A$2:$A$49,0)))</f>
        <v>0</v>
      </c>
    </row>
    <row r="2610" customFormat="false" ht="15" hidden="false" customHeight="false" outlineLevel="0" collapsed="false">
      <c r="A2610" s="36" t="n">
        <v>46174</v>
      </c>
      <c r="B2610" s="24" t="s">
        <v>63</v>
      </c>
      <c r="C2610" s="24" t="s">
        <v>131</v>
      </c>
      <c r="D2610" s="33" t="n">
        <v>27</v>
      </c>
      <c r="E2610" s="24" t="n">
        <v>0</v>
      </c>
      <c r="F2610" s="37" t="n">
        <f aca="false">DATE(YEAR(A2610),MONTH(A2610),1)</f>
        <v>46174</v>
      </c>
      <c r="G2610" s="24" t="str">
        <f aca="false">INDEX(Products!$C$2:$C$49,MATCH(C2610,Products!$A$2:$A$49,0))</f>
        <v>Dairy &amp; Eggs</v>
      </c>
      <c r="H2610" s="33" t="n">
        <f aca="false">D2610*INDEX(Products!$E$2:$E$49,MATCH(C2610,Products!$A$2:$A$49,0))</f>
        <v>1755</v>
      </c>
      <c r="I2610" s="33" t="n">
        <f aca="false">D2610*INDEX(Products!$D$2:$D$49,MATCH(C2610,Products!$A$2:$A$49,0))*(1+INDEX(Assumptions!$B$16:$B$20,MATCH(B2610,Assumptions!$A$16:$A$20,0)))</f>
        <v>1399.032</v>
      </c>
      <c r="J2610" s="33" t="n">
        <f aca="false">H2610-I2610</f>
        <v>355.968</v>
      </c>
      <c r="K2610" s="33" t="n">
        <f aca="false">IF(OR(E2610=0,E2610&gt;=7),0,D2610/(7-E2610)*E2610*INDEX(Products!$E$2:$E$49,MATCH(C2610,Products!$A$2:$A$49,0)))</f>
        <v>0</v>
      </c>
    </row>
    <row r="2611" customFormat="false" ht="15" hidden="false" customHeight="false" outlineLevel="0" collapsed="false">
      <c r="A2611" s="36" t="n">
        <v>46181</v>
      </c>
      <c r="B2611" s="24" t="s">
        <v>63</v>
      </c>
      <c r="C2611" s="24" t="s">
        <v>131</v>
      </c>
      <c r="D2611" s="33" t="n">
        <v>20</v>
      </c>
      <c r="E2611" s="24" t="n">
        <v>0</v>
      </c>
      <c r="F2611" s="37" t="n">
        <f aca="false">DATE(YEAR(A2611),MONTH(A2611),1)</f>
        <v>46174</v>
      </c>
      <c r="G2611" s="24" t="str">
        <f aca="false">INDEX(Products!$C$2:$C$49,MATCH(C2611,Products!$A$2:$A$49,0))</f>
        <v>Dairy &amp; Eggs</v>
      </c>
      <c r="H2611" s="33" t="n">
        <f aca="false">D2611*INDEX(Products!$E$2:$E$49,MATCH(C2611,Products!$A$2:$A$49,0))</f>
        <v>1300</v>
      </c>
      <c r="I2611" s="33" t="n">
        <f aca="false">D2611*INDEX(Products!$D$2:$D$49,MATCH(C2611,Products!$A$2:$A$49,0))*(1+INDEX(Assumptions!$B$16:$B$20,MATCH(B2611,Assumptions!$A$16:$A$20,0)))</f>
        <v>1036.32</v>
      </c>
      <c r="J2611" s="33" t="n">
        <f aca="false">H2611-I2611</f>
        <v>263.68</v>
      </c>
      <c r="K2611" s="33" t="n">
        <f aca="false">IF(OR(E2611=0,E2611&gt;=7),0,D2611/(7-E2611)*E2611*INDEX(Products!$E$2:$E$49,MATCH(C2611,Products!$A$2:$A$49,0)))</f>
        <v>0</v>
      </c>
    </row>
    <row r="2612" customFormat="false" ht="15" hidden="false" customHeight="false" outlineLevel="0" collapsed="false">
      <c r="A2612" s="36" t="n">
        <v>46188</v>
      </c>
      <c r="B2612" s="24" t="s">
        <v>63</v>
      </c>
      <c r="C2612" s="24" t="s">
        <v>131</v>
      </c>
      <c r="D2612" s="33" t="n">
        <v>23</v>
      </c>
      <c r="E2612" s="24" t="n">
        <v>0</v>
      </c>
      <c r="F2612" s="37" t="n">
        <f aca="false">DATE(YEAR(A2612),MONTH(A2612),1)</f>
        <v>46174</v>
      </c>
      <c r="G2612" s="24" t="str">
        <f aca="false">INDEX(Products!$C$2:$C$49,MATCH(C2612,Products!$A$2:$A$49,0))</f>
        <v>Dairy &amp; Eggs</v>
      </c>
      <c r="H2612" s="33" t="n">
        <f aca="false">D2612*INDEX(Products!$E$2:$E$49,MATCH(C2612,Products!$A$2:$A$49,0))</f>
        <v>1495</v>
      </c>
      <c r="I2612" s="33" t="n">
        <f aca="false">D2612*INDEX(Products!$D$2:$D$49,MATCH(C2612,Products!$A$2:$A$49,0))*(1+INDEX(Assumptions!$B$16:$B$20,MATCH(B2612,Assumptions!$A$16:$A$20,0)))</f>
        <v>1191.768</v>
      </c>
      <c r="J2612" s="33" t="n">
        <f aca="false">H2612-I2612</f>
        <v>303.232</v>
      </c>
      <c r="K2612" s="33" t="n">
        <f aca="false">IF(OR(E2612=0,E2612&gt;=7),0,D2612/(7-E2612)*E2612*INDEX(Products!$E$2:$E$49,MATCH(C2612,Products!$A$2:$A$49,0)))</f>
        <v>0</v>
      </c>
    </row>
    <row r="2613" customFormat="false" ht="15" hidden="false" customHeight="false" outlineLevel="0" collapsed="false">
      <c r="A2613" s="36" t="n">
        <v>46195</v>
      </c>
      <c r="B2613" s="24" t="s">
        <v>63</v>
      </c>
      <c r="C2613" s="24" t="s">
        <v>131</v>
      </c>
      <c r="D2613" s="33" t="n">
        <v>35</v>
      </c>
      <c r="E2613" s="24" t="n">
        <v>0</v>
      </c>
      <c r="F2613" s="37" t="n">
        <f aca="false">DATE(YEAR(A2613),MONTH(A2613),1)</f>
        <v>46174</v>
      </c>
      <c r="G2613" s="24" t="str">
        <f aca="false">INDEX(Products!$C$2:$C$49,MATCH(C2613,Products!$A$2:$A$49,0))</f>
        <v>Dairy &amp; Eggs</v>
      </c>
      <c r="H2613" s="33" t="n">
        <f aca="false">D2613*INDEX(Products!$E$2:$E$49,MATCH(C2613,Products!$A$2:$A$49,0))</f>
        <v>2275</v>
      </c>
      <c r="I2613" s="33" t="n">
        <f aca="false">D2613*INDEX(Products!$D$2:$D$49,MATCH(C2613,Products!$A$2:$A$49,0))*(1+INDEX(Assumptions!$B$16:$B$20,MATCH(B2613,Assumptions!$A$16:$A$20,0)))</f>
        <v>1813.56</v>
      </c>
      <c r="J2613" s="33" t="n">
        <f aca="false">H2613-I2613</f>
        <v>461.44</v>
      </c>
      <c r="K2613" s="33" t="n">
        <f aca="false">IF(OR(E2613=0,E2613&gt;=7),0,D2613/(7-E2613)*E2613*INDEX(Products!$E$2:$E$49,MATCH(C2613,Products!$A$2:$A$49,0)))</f>
        <v>0</v>
      </c>
    </row>
    <row r="2614" customFormat="false" ht="15" hidden="false" customHeight="false" outlineLevel="0" collapsed="false">
      <c r="A2614" s="36" t="n">
        <v>46202</v>
      </c>
      <c r="B2614" s="24" t="s">
        <v>63</v>
      </c>
      <c r="C2614" s="24" t="s">
        <v>131</v>
      </c>
      <c r="D2614" s="33" t="n">
        <v>28</v>
      </c>
      <c r="E2614" s="24" t="n">
        <v>0</v>
      </c>
      <c r="F2614" s="37" t="n">
        <f aca="false">DATE(YEAR(A2614),MONTH(A2614),1)</f>
        <v>46174</v>
      </c>
      <c r="G2614" s="24" t="str">
        <f aca="false">INDEX(Products!$C$2:$C$49,MATCH(C2614,Products!$A$2:$A$49,0))</f>
        <v>Dairy &amp; Eggs</v>
      </c>
      <c r="H2614" s="33" t="n">
        <f aca="false">D2614*INDEX(Products!$E$2:$E$49,MATCH(C2614,Products!$A$2:$A$49,0))</f>
        <v>1820</v>
      </c>
      <c r="I2614" s="33" t="n">
        <f aca="false">D2614*INDEX(Products!$D$2:$D$49,MATCH(C2614,Products!$A$2:$A$49,0))*(1+INDEX(Assumptions!$B$16:$B$20,MATCH(B2614,Assumptions!$A$16:$A$20,0)))</f>
        <v>1450.848</v>
      </c>
      <c r="J2614" s="33" t="n">
        <f aca="false">H2614-I2614</f>
        <v>369.152</v>
      </c>
      <c r="K2614" s="33" t="n">
        <f aca="false">IF(OR(E2614=0,E2614&gt;=7),0,D2614/(7-E2614)*E2614*INDEX(Products!$E$2:$E$49,MATCH(C2614,Products!$A$2:$A$49,0)))</f>
        <v>0</v>
      </c>
    </row>
    <row r="2615" customFormat="false" ht="15" hidden="false" customHeight="false" outlineLevel="0" collapsed="false">
      <c r="A2615" s="36" t="n">
        <v>46209</v>
      </c>
      <c r="B2615" s="24" t="s">
        <v>63</v>
      </c>
      <c r="C2615" s="24" t="s">
        <v>131</v>
      </c>
      <c r="D2615" s="33" t="n">
        <v>22</v>
      </c>
      <c r="E2615" s="24" t="n">
        <v>0</v>
      </c>
      <c r="F2615" s="37" t="n">
        <f aca="false">DATE(YEAR(A2615),MONTH(A2615),1)</f>
        <v>46204</v>
      </c>
      <c r="G2615" s="24" t="str">
        <f aca="false">INDEX(Products!$C$2:$C$49,MATCH(C2615,Products!$A$2:$A$49,0))</f>
        <v>Dairy &amp; Eggs</v>
      </c>
      <c r="H2615" s="33" t="n">
        <f aca="false">D2615*INDEX(Products!$E$2:$E$49,MATCH(C2615,Products!$A$2:$A$49,0))</f>
        <v>1430</v>
      </c>
      <c r="I2615" s="33" t="n">
        <f aca="false">D2615*INDEX(Products!$D$2:$D$49,MATCH(C2615,Products!$A$2:$A$49,0))*(1+INDEX(Assumptions!$B$16:$B$20,MATCH(B2615,Assumptions!$A$16:$A$20,0)))</f>
        <v>1139.952</v>
      </c>
      <c r="J2615" s="33" t="n">
        <f aca="false">H2615-I2615</f>
        <v>290.048</v>
      </c>
      <c r="K2615" s="33" t="n">
        <f aca="false">IF(OR(E2615=0,E2615&gt;=7),0,D2615/(7-E2615)*E2615*INDEX(Products!$E$2:$E$49,MATCH(C2615,Products!$A$2:$A$49,0)))</f>
        <v>0</v>
      </c>
    </row>
    <row r="2616" customFormat="false" ht="15" hidden="false" customHeight="false" outlineLevel="0" collapsed="false">
      <c r="A2616" s="36" t="n">
        <v>46216</v>
      </c>
      <c r="B2616" s="24" t="s">
        <v>63</v>
      </c>
      <c r="C2616" s="24" t="s">
        <v>131</v>
      </c>
      <c r="D2616" s="33" t="n">
        <v>21</v>
      </c>
      <c r="E2616" s="24" t="n">
        <v>0</v>
      </c>
      <c r="F2616" s="37" t="n">
        <f aca="false">DATE(YEAR(A2616),MONTH(A2616),1)</f>
        <v>46204</v>
      </c>
      <c r="G2616" s="24" t="str">
        <f aca="false">INDEX(Products!$C$2:$C$49,MATCH(C2616,Products!$A$2:$A$49,0))</f>
        <v>Dairy &amp; Eggs</v>
      </c>
      <c r="H2616" s="33" t="n">
        <f aca="false">D2616*INDEX(Products!$E$2:$E$49,MATCH(C2616,Products!$A$2:$A$49,0))</f>
        <v>1365</v>
      </c>
      <c r="I2616" s="33" t="n">
        <f aca="false">D2616*INDEX(Products!$D$2:$D$49,MATCH(C2616,Products!$A$2:$A$49,0))*(1+INDEX(Assumptions!$B$16:$B$20,MATCH(B2616,Assumptions!$A$16:$A$20,0)))</f>
        <v>1088.136</v>
      </c>
      <c r="J2616" s="33" t="n">
        <f aca="false">H2616-I2616</f>
        <v>276.864</v>
      </c>
      <c r="K2616" s="33" t="n">
        <f aca="false">IF(OR(E2616=0,E2616&gt;=7),0,D2616/(7-E2616)*E2616*INDEX(Products!$E$2:$E$49,MATCH(C2616,Products!$A$2:$A$49,0)))</f>
        <v>0</v>
      </c>
    </row>
    <row r="2617" customFormat="false" ht="15" hidden="false" customHeight="false" outlineLevel="0" collapsed="false">
      <c r="A2617" s="36" t="n">
        <v>46223</v>
      </c>
      <c r="B2617" s="24" t="s">
        <v>63</v>
      </c>
      <c r="C2617" s="24" t="s">
        <v>131</v>
      </c>
      <c r="D2617" s="33" t="n">
        <v>35</v>
      </c>
      <c r="E2617" s="24" t="n">
        <v>0</v>
      </c>
      <c r="F2617" s="37" t="n">
        <f aca="false">DATE(YEAR(A2617),MONTH(A2617),1)</f>
        <v>46204</v>
      </c>
      <c r="G2617" s="24" t="str">
        <f aca="false">INDEX(Products!$C$2:$C$49,MATCH(C2617,Products!$A$2:$A$49,0))</f>
        <v>Dairy &amp; Eggs</v>
      </c>
      <c r="H2617" s="33" t="n">
        <f aca="false">D2617*INDEX(Products!$E$2:$E$49,MATCH(C2617,Products!$A$2:$A$49,0))</f>
        <v>2275</v>
      </c>
      <c r="I2617" s="33" t="n">
        <f aca="false">D2617*INDEX(Products!$D$2:$D$49,MATCH(C2617,Products!$A$2:$A$49,0))*(1+INDEX(Assumptions!$B$16:$B$20,MATCH(B2617,Assumptions!$A$16:$A$20,0)))</f>
        <v>1813.56</v>
      </c>
      <c r="J2617" s="33" t="n">
        <f aca="false">H2617-I2617</f>
        <v>461.44</v>
      </c>
      <c r="K2617" s="33" t="n">
        <f aca="false">IF(OR(E2617=0,E2617&gt;=7),0,D2617/(7-E2617)*E2617*INDEX(Products!$E$2:$E$49,MATCH(C2617,Products!$A$2:$A$49,0)))</f>
        <v>0</v>
      </c>
    </row>
    <row r="2618" customFormat="false" ht="15" hidden="false" customHeight="false" outlineLevel="0" collapsed="false">
      <c r="A2618" s="36" t="n">
        <v>46230</v>
      </c>
      <c r="B2618" s="24" t="s">
        <v>63</v>
      </c>
      <c r="C2618" s="24" t="s">
        <v>131</v>
      </c>
      <c r="D2618" s="33" t="n">
        <v>30</v>
      </c>
      <c r="E2618" s="24" t="n">
        <v>0</v>
      </c>
      <c r="F2618" s="37" t="n">
        <f aca="false">DATE(YEAR(A2618),MONTH(A2618),1)</f>
        <v>46204</v>
      </c>
      <c r="G2618" s="24" t="str">
        <f aca="false">INDEX(Products!$C$2:$C$49,MATCH(C2618,Products!$A$2:$A$49,0))</f>
        <v>Dairy &amp; Eggs</v>
      </c>
      <c r="H2618" s="33" t="n">
        <f aca="false">D2618*INDEX(Products!$E$2:$E$49,MATCH(C2618,Products!$A$2:$A$49,0))</f>
        <v>1950</v>
      </c>
      <c r="I2618" s="33" t="n">
        <f aca="false">D2618*INDEX(Products!$D$2:$D$49,MATCH(C2618,Products!$A$2:$A$49,0))*(1+INDEX(Assumptions!$B$16:$B$20,MATCH(B2618,Assumptions!$A$16:$A$20,0)))</f>
        <v>1554.48</v>
      </c>
      <c r="J2618" s="33" t="n">
        <f aca="false">H2618-I2618</f>
        <v>395.52</v>
      </c>
      <c r="K2618" s="33" t="n">
        <f aca="false">IF(OR(E2618=0,E2618&gt;=7),0,D2618/(7-E2618)*E2618*INDEX(Products!$E$2:$E$49,MATCH(C2618,Products!$A$2:$A$49,0)))</f>
        <v>0</v>
      </c>
    </row>
    <row r="2619" customFormat="false" ht="15" hidden="false" customHeight="false" outlineLevel="0" collapsed="false">
      <c r="A2619" s="36" t="n">
        <v>46237</v>
      </c>
      <c r="B2619" s="24" t="s">
        <v>63</v>
      </c>
      <c r="C2619" s="24" t="s">
        <v>131</v>
      </c>
      <c r="D2619" s="33" t="n">
        <v>24</v>
      </c>
      <c r="E2619" s="24" t="n">
        <v>0</v>
      </c>
      <c r="F2619" s="37" t="n">
        <f aca="false">DATE(YEAR(A2619),MONTH(A2619),1)</f>
        <v>46235</v>
      </c>
      <c r="G2619" s="24" t="str">
        <f aca="false">INDEX(Products!$C$2:$C$49,MATCH(C2619,Products!$A$2:$A$49,0))</f>
        <v>Dairy &amp; Eggs</v>
      </c>
      <c r="H2619" s="33" t="n">
        <f aca="false">D2619*INDEX(Products!$E$2:$E$49,MATCH(C2619,Products!$A$2:$A$49,0))</f>
        <v>1560</v>
      </c>
      <c r="I2619" s="33" t="n">
        <f aca="false">D2619*INDEX(Products!$D$2:$D$49,MATCH(C2619,Products!$A$2:$A$49,0))*(1+INDEX(Assumptions!$B$16:$B$20,MATCH(B2619,Assumptions!$A$16:$A$20,0)))</f>
        <v>1243.584</v>
      </c>
      <c r="J2619" s="33" t="n">
        <f aca="false">H2619-I2619</f>
        <v>316.416</v>
      </c>
      <c r="K2619" s="33" t="n">
        <f aca="false">IF(OR(E2619=0,E2619&gt;=7),0,D2619/(7-E2619)*E2619*INDEX(Products!$E$2:$E$49,MATCH(C2619,Products!$A$2:$A$49,0)))</f>
        <v>0</v>
      </c>
    </row>
    <row r="2620" customFormat="false" ht="15" hidden="false" customHeight="false" outlineLevel="0" collapsed="false">
      <c r="A2620" s="36" t="n">
        <v>46244</v>
      </c>
      <c r="B2620" s="24" t="s">
        <v>63</v>
      </c>
      <c r="C2620" s="24" t="s">
        <v>131</v>
      </c>
      <c r="D2620" s="33" t="n">
        <v>17</v>
      </c>
      <c r="E2620" s="24" t="n">
        <v>0</v>
      </c>
      <c r="F2620" s="37" t="n">
        <f aca="false">DATE(YEAR(A2620),MONTH(A2620),1)</f>
        <v>46235</v>
      </c>
      <c r="G2620" s="24" t="str">
        <f aca="false">INDEX(Products!$C$2:$C$49,MATCH(C2620,Products!$A$2:$A$49,0))</f>
        <v>Dairy &amp; Eggs</v>
      </c>
      <c r="H2620" s="33" t="n">
        <f aca="false">D2620*INDEX(Products!$E$2:$E$49,MATCH(C2620,Products!$A$2:$A$49,0))</f>
        <v>1105</v>
      </c>
      <c r="I2620" s="33" t="n">
        <f aca="false">D2620*INDEX(Products!$D$2:$D$49,MATCH(C2620,Products!$A$2:$A$49,0))*(1+INDEX(Assumptions!$B$16:$B$20,MATCH(B2620,Assumptions!$A$16:$A$20,0)))</f>
        <v>880.872</v>
      </c>
      <c r="J2620" s="33" t="n">
        <f aca="false">H2620-I2620</f>
        <v>224.128</v>
      </c>
      <c r="K2620" s="33" t="n">
        <f aca="false">IF(OR(E2620=0,E2620&gt;=7),0,D2620/(7-E2620)*E2620*INDEX(Products!$E$2:$E$49,MATCH(C2620,Products!$A$2:$A$49,0)))</f>
        <v>0</v>
      </c>
    </row>
    <row r="2621" customFormat="false" ht="15" hidden="false" customHeight="false" outlineLevel="0" collapsed="false">
      <c r="A2621" s="36" t="n">
        <v>46251</v>
      </c>
      <c r="B2621" s="24" t="s">
        <v>63</v>
      </c>
      <c r="C2621" s="24" t="s">
        <v>131</v>
      </c>
      <c r="D2621" s="33" t="n">
        <v>21</v>
      </c>
      <c r="E2621" s="24" t="n">
        <v>0</v>
      </c>
      <c r="F2621" s="37" t="n">
        <f aca="false">DATE(YEAR(A2621),MONTH(A2621),1)</f>
        <v>46235</v>
      </c>
      <c r="G2621" s="24" t="str">
        <f aca="false">INDEX(Products!$C$2:$C$49,MATCH(C2621,Products!$A$2:$A$49,0))</f>
        <v>Dairy &amp; Eggs</v>
      </c>
      <c r="H2621" s="33" t="n">
        <f aca="false">D2621*INDEX(Products!$E$2:$E$49,MATCH(C2621,Products!$A$2:$A$49,0))</f>
        <v>1365</v>
      </c>
      <c r="I2621" s="33" t="n">
        <f aca="false">D2621*INDEX(Products!$D$2:$D$49,MATCH(C2621,Products!$A$2:$A$49,0))*(1+INDEX(Assumptions!$B$16:$B$20,MATCH(B2621,Assumptions!$A$16:$A$20,0)))</f>
        <v>1088.136</v>
      </c>
      <c r="J2621" s="33" t="n">
        <f aca="false">H2621-I2621</f>
        <v>276.864</v>
      </c>
      <c r="K2621" s="33" t="n">
        <f aca="false">IF(OR(E2621=0,E2621&gt;=7),0,D2621/(7-E2621)*E2621*INDEX(Products!$E$2:$E$49,MATCH(C2621,Products!$A$2:$A$49,0)))</f>
        <v>0</v>
      </c>
    </row>
    <row r="2622" customFormat="false" ht="15" hidden="false" customHeight="false" outlineLevel="0" collapsed="false">
      <c r="A2622" s="36" t="n">
        <v>46258</v>
      </c>
      <c r="B2622" s="24" t="s">
        <v>63</v>
      </c>
      <c r="C2622" s="24" t="s">
        <v>131</v>
      </c>
      <c r="D2622" s="33" t="n">
        <v>20</v>
      </c>
      <c r="E2622" s="24" t="n">
        <v>0</v>
      </c>
      <c r="F2622" s="37" t="n">
        <f aca="false">DATE(YEAR(A2622),MONTH(A2622),1)</f>
        <v>46235</v>
      </c>
      <c r="G2622" s="24" t="str">
        <f aca="false">INDEX(Products!$C$2:$C$49,MATCH(C2622,Products!$A$2:$A$49,0))</f>
        <v>Dairy &amp; Eggs</v>
      </c>
      <c r="H2622" s="33" t="n">
        <f aca="false">D2622*INDEX(Products!$E$2:$E$49,MATCH(C2622,Products!$A$2:$A$49,0))</f>
        <v>1300</v>
      </c>
      <c r="I2622" s="33" t="n">
        <f aca="false">D2622*INDEX(Products!$D$2:$D$49,MATCH(C2622,Products!$A$2:$A$49,0))*(1+INDEX(Assumptions!$B$16:$B$20,MATCH(B2622,Assumptions!$A$16:$A$20,0)))</f>
        <v>1036.32</v>
      </c>
      <c r="J2622" s="33" t="n">
        <f aca="false">H2622-I2622</f>
        <v>263.68</v>
      </c>
      <c r="K2622" s="33" t="n">
        <f aca="false">IF(OR(E2622=0,E2622&gt;=7),0,D2622/(7-E2622)*E2622*INDEX(Products!$E$2:$E$49,MATCH(C2622,Products!$A$2:$A$49,0)))</f>
        <v>0</v>
      </c>
    </row>
    <row r="2623" customFormat="false" ht="15" hidden="false" customHeight="false" outlineLevel="0" collapsed="false">
      <c r="A2623" s="36" t="n">
        <v>46265</v>
      </c>
      <c r="B2623" s="24" t="s">
        <v>63</v>
      </c>
      <c r="C2623" s="24" t="s">
        <v>131</v>
      </c>
      <c r="D2623" s="33" t="n">
        <v>24</v>
      </c>
      <c r="E2623" s="24" t="n">
        <v>0</v>
      </c>
      <c r="F2623" s="37" t="n">
        <f aca="false">DATE(YEAR(A2623),MONTH(A2623),1)</f>
        <v>46235</v>
      </c>
      <c r="G2623" s="24" t="str">
        <f aca="false">INDEX(Products!$C$2:$C$49,MATCH(C2623,Products!$A$2:$A$49,0))</f>
        <v>Dairy &amp; Eggs</v>
      </c>
      <c r="H2623" s="33" t="n">
        <f aca="false">D2623*INDEX(Products!$E$2:$E$49,MATCH(C2623,Products!$A$2:$A$49,0))</f>
        <v>1560</v>
      </c>
      <c r="I2623" s="33" t="n">
        <f aca="false">D2623*INDEX(Products!$D$2:$D$49,MATCH(C2623,Products!$A$2:$A$49,0))*(1+INDEX(Assumptions!$B$16:$B$20,MATCH(B2623,Assumptions!$A$16:$A$20,0)))</f>
        <v>1243.584</v>
      </c>
      <c r="J2623" s="33" t="n">
        <f aca="false">H2623-I2623</f>
        <v>316.416</v>
      </c>
      <c r="K2623" s="33" t="n">
        <f aca="false">IF(OR(E2623=0,E2623&gt;=7),0,D2623/(7-E2623)*E2623*INDEX(Products!$E$2:$E$49,MATCH(C2623,Products!$A$2:$A$49,0)))</f>
        <v>0</v>
      </c>
    </row>
    <row r="2624" customFormat="false" ht="15" hidden="false" customHeight="false" outlineLevel="0" collapsed="false">
      <c r="A2624" s="36" t="n">
        <v>46272</v>
      </c>
      <c r="B2624" s="24" t="s">
        <v>63</v>
      </c>
      <c r="C2624" s="24" t="s">
        <v>131</v>
      </c>
      <c r="D2624" s="33" t="n">
        <v>21</v>
      </c>
      <c r="E2624" s="24" t="n">
        <v>0</v>
      </c>
      <c r="F2624" s="37" t="n">
        <f aca="false">DATE(YEAR(A2624),MONTH(A2624),1)</f>
        <v>46266</v>
      </c>
      <c r="G2624" s="24" t="str">
        <f aca="false">INDEX(Products!$C$2:$C$49,MATCH(C2624,Products!$A$2:$A$49,0))</f>
        <v>Dairy &amp; Eggs</v>
      </c>
      <c r="H2624" s="33" t="n">
        <f aca="false">D2624*INDEX(Products!$E$2:$E$49,MATCH(C2624,Products!$A$2:$A$49,0))</f>
        <v>1365</v>
      </c>
      <c r="I2624" s="33" t="n">
        <f aca="false">D2624*INDEX(Products!$D$2:$D$49,MATCH(C2624,Products!$A$2:$A$49,0))*(1+INDEX(Assumptions!$B$16:$B$20,MATCH(B2624,Assumptions!$A$16:$A$20,0)))</f>
        <v>1088.136</v>
      </c>
      <c r="J2624" s="33" t="n">
        <f aca="false">H2624-I2624</f>
        <v>276.864</v>
      </c>
      <c r="K2624" s="33" t="n">
        <f aca="false">IF(OR(E2624=0,E2624&gt;=7),0,D2624/(7-E2624)*E2624*INDEX(Products!$E$2:$E$49,MATCH(C2624,Products!$A$2:$A$49,0)))</f>
        <v>0</v>
      </c>
    </row>
    <row r="2625" customFormat="false" ht="15" hidden="false" customHeight="false" outlineLevel="0" collapsed="false">
      <c r="A2625" s="36" t="n">
        <v>46279</v>
      </c>
      <c r="B2625" s="24" t="s">
        <v>63</v>
      </c>
      <c r="C2625" s="24" t="s">
        <v>131</v>
      </c>
      <c r="D2625" s="33" t="n">
        <v>22</v>
      </c>
      <c r="E2625" s="24" t="n">
        <v>0</v>
      </c>
      <c r="F2625" s="37" t="n">
        <f aca="false">DATE(YEAR(A2625),MONTH(A2625),1)</f>
        <v>46266</v>
      </c>
      <c r="G2625" s="24" t="str">
        <f aca="false">INDEX(Products!$C$2:$C$49,MATCH(C2625,Products!$A$2:$A$49,0))</f>
        <v>Dairy &amp; Eggs</v>
      </c>
      <c r="H2625" s="33" t="n">
        <f aca="false">D2625*INDEX(Products!$E$2:$E$49,MATCH(C2625,Products!$A$2:$A$49,0))</f>
        <v>1430</v>
      </c>
      <c r="I2625" s="33" t="n">
        <f aca="false">D2625*INDEX(Products!$D$2:$D$49,MATCH(C2625,Products!$A$2:$A$49,0))*(1+INDEX(Assumptions!$B$16:$B$20,MATCH(B2625,Assumptions!$A$16:$A$20,0)))</f>
        <v>1139.952</v>
      </c>
      <c r="J2625" s="33" t="n">
        <f aca="false">H2625-I2625</f>
        <v>290.048</v>
      </c>
      <c r="K2625" s="33" t="n">
        <f aca="false">IF(OR(E2625=0,E2625&gt;=7),0,D2625/(7-E2625)*E2625*INDEX(Products!$E$2:$E$49,MATCH(C2625,Products!$A$2:$A$49,0)))</f>
        <v>0</v>
      </c>
    </row>
    <row r="2626" customFormat="false" ht="15" hidden="false" customHeight="false" outlineLevel="0" collapsed="false">
      <c r="A2626" s="36" t="n">
        <v>46286</v>
      </c>
      <c r="B2626" s="24" t="s">
        <v>63</v>
      </c>
      <c r="C2626" s="24" t="s">
        <v>131</v>
      </c>
      <c r="D2626" s="33" t="n">
        <v>18</v>
      </c>
      <c r="E2626" s="24" t="n">
        <v>0</v>
      </c>
      <c r="F2626" s="37" t="n">
        <f aca="false">DATE(YEAR(A2626),MONTH(A2626),1)</f>
        <v>46266</v>
      </c>
      <c r="G2626" s="24" t="str">
        <f aca="false">INDEX(Products!$C$2:$C$49,MATCH(C2626,Products!$A$2:$A$49,0))</f>
        <v>Dairy &amp; Eggs</v>
      </c>
      <c r="H2626" s="33" t="n">
        <f aca="false">D2626*INDEX(Products!$E$2:$E$49,MATCH(C2626,Products!$A$2:$A$49,0))</f>
        <v>1170</v>
      </c>
      <c r="I2626" s="33" t="n">
        <f aca="false">D2626*INDEX(Products!$D$2:$D$49,MATCH(C2626,Products!$A$2:$A$49,0))*(1+INDEX(Assumptions!$B$16:$B$20,MATCH(B2626,Assumptions!$A$16:$A$20,0)))</f>
        <v>932.688</v>
      </c>
      <c r="J2626" s="33" t="n">
        <f aca="false">H2626-I2626</f>
        <v>237.312</v>
      </c>
      <c r="K2626" s="33" t="n">
        <f aca="false">IF(OR(E2626=0,E2626&gt;=7),0,D2626/(7-E2626)*E2626*INDEX(Products!$E$2:$E$49,MATCH(C2626,Products!$A$2:$A$49,0)))</f>
        <v>0</v>
      </c>
    </row>
    <row r="2627" customFormat="false" ht="15" hidden="false" customHeight="false" outlineLevel="0" collapsed="false">
      <c r="A2627" s="36" t="n">
        <v>46118</v>
      </c>
      <c r="B2627" s="24" t="s">
        <v>63</v>
      </c>
      <c r="C2627" s="24" t="s">
        <v>133</v>
      </c>
      <c r="D2627" s="33" t="n">
        <v>41</v>
      </c>
      <c r="E2627" s="24" t="n">
        <v>0</v>
      </c>
      <c r="F2627" s="37" t="n">
        <f aca="false">DATE(YEAR(A2627),MONTH(A2627),1)</f>
        <v>46113</v>
      </c>
      <c r="G2627" s="24" t="str">
        <f aca="false">INDEX(Products!$C$2:$C$49,MATCH(C2627,Products!$A$2:$A$49,0))</f>
        <v>Dairy &amp; Eggs</v>
      </c>
      <c r="H2627" s="33" t="n">
        <f aca="false">D2627*INDEX(Products!$E$2:$E$49,MATCH(C2627,Products!$A$2:$A$49,0))</f>
        <v>5125</v>
      </c>
      <c r="I2627" s="33" t="n">
        <f aca="false">D2627*INDEX(Products!$D$2:$D$49,MATCH(C2627,Products!$A$2:$A$49,0))*(1+INDEX(Assumptions!$B$16:$B$20,MATCH(B2627,Assumptions!$A$16:$A$20,0)))</f>
        <v>4332.224</v>
      </c>
      <c r="J2627" s="33" t="n">
        <f aca="false">H2627-I2627</f>
        <v>792.776</v>
      </c>
      <c r="K2627" s="33" t="n">
        <f aca="false">IF(OR(E2627=0,E2627&gt;=7),0,D2627/(7-E2627)*E2627*INDEX(Products!$E$2:$E$49,MATCH(C2627,Products!$A$2:$A$49,0)))</f>
        <v>0</v>
      </c>
    </row>
    <row r="2628" customFormat="false" ht="15" hidden="false" customHeight="false" outlineLevel="0" collapsed="false">
      <c r="A2628" s="36" t="n">
        <v>46125</v>
      </c>
      <c r="B2628" s="24" t="s">
        <v>63</v>
      </c>
      <c r="C2628" s="24" t="s">
        <v>133</v>
      </c>
      <c r="D2628" s="33" t="n">
        <v>47</v>
      </c>
      <c r="E2628" s="24" t="n">
        <v>0</v>
      </c>
      <c r="F2628" s="37" t="n">
        <f aca="false">DATE(YEAR(A2628),MONTH(A2628),1)</f>
        <v>46113</v>
      </c>
      <c r="G2628" s="24" t="str">
        <f aca="false">INDEX(Products!$C$2:$C$49,MATCH(C2628,Products!$A$2:$A$49,0))</f>
        <v>Dairy &amp; Eggs</v>
      </c>
      <c r="H2628" s="33" t="n">
        <f aca="false">D2628*INDEX(Products!$E$2:$E$49,MATCH(C2628,Products!$A$2:$A$49,0))</f>
        <v>5875</v>
      </c>
      <c r="I2628" s="33" t="n">
        <f aca="false">D2628*INDEX(Products!$D$2:$D$49,MATCH(C2628,Products!$A$2:$A$49,0))*(1+INDEX(Assumptions!$B$16:$B$20,MATCH(B2628,Assumptions!$A$16:$A$20,0)))</f>
        <v>4966.208</v>
      </c>
      <c r="J2628" s="33" t="n">
        <f aca="false">H2628-I2628</f>
        <v>908.792</v>
      </c>
      <c r="K2628" s="33" t="n">
        <f aca="false">IF(OR(E2628=0,E2628&gt;=7),0,D2628/(7-E2628)*E2628*INDEX(Products!$E$2:$E$49,MATCH(C2628,Products!$A$2:$A$49,0)))</f>
        <v>0</v>
      </c>
    </row>
    <row r="2629" customFormat="false" ht="15" hidden="false" customHeight="false" outlineLevel="0" collapsed="false">
      <c r="A2629" s="36" t="n">
        <v>46132</v>
      </c>
      <c r="B2629" s="24" t="s">
        <v>63</v>
      </c>
      <c r="C2629" s="24" t="s">
        <v>133</v>
      </c>
      <c r="D2629" s="33" t="n">
        <v>65</v>
      </c>
      <c r="E2629" s="24" t="n">
        <v>0</v>
      </c>
      <c r="F2629" s="37" t="n">
        <f aca="false">DATE(YEAR(A2629),MONTH(A2629),1)</f>
        <v>46113</v>
      </c>
      <c r="G2629" s="24" t="str">
        <f aca="false">INDEX(Products!$C$2:$C$49,MATCH(C2629,Products!$A$2:$A$49,0))</f>
        <v>Dairy &amp; Eggs</v>
      </c>
      <c r="H2629" s="33" t="n">
        <f aca="false">D2629*INDEX(Products!$E$2:$E$49,MATCH(C2629,Products!$A$2:$A$49,0))</f>
        <v>8125</v>
      </c>
      <c r="I2629" s="33" t="n">
        <f aca="false">D2629*INDEX(Products!$D$2:$D$49,MATCH(C2629,Products!$A$2:$A$49,0))*(1+INDEX(Assumptions!$B$16:$B$20,MATCH(B2629,Assumptions!$A$16:$A$20,0)))</f>
        <v>6868.16</v>
      </c>
      <c r="J2629" s="33" t="n">
        <f aca="false">H2629-I2629</f>
        <v>1256.84</v>
      </c>
      <c r="K2629" s="33" t="n">
        <f aca="false">IF(OR(E2629=0,E2629&gt;=7),0,D2629/(7-E2629)*E2629*INDEX(Products!$E$2:$E$49,MATCH(C2629,Products!$A$2:$A$49,0)))</f>
        <v>0</v>
      </c>
    </row>
    <row r="2630" customFormat="false" ht="15" hidden="false" customHeight="false" outlineLevel="0" collapsed="false">
      <c r="A2630" s="36" t="n">
        <v>46139</v>
      </c>
      <c r="B2630" s="24" t="s">
        <v>63</v>
      </c>
      <c r="C2630" s="24" t="s">
        <v>133</v>
      </c>
      <c r="D2630" s="33" t="n">
        <v>55</v>
      </c>
      <c r="E2630" s="24" t="n">
        <v>0</v>
      </c>
      <c r="F2630" s="37" t="n">
        <f aca="false">DATE(YEAR(A2630),MONTH(A2630),1)</f>
        <v>46113</v>
      </c>
      <c r="G2630" s="24" t="str">
        <f aca="false">INDEX(Products!$C$2:$C$49,MATCH(C2630,Products!$A$2:$A$49,0))</f>
        <v>Dairy &amp; Eggs</v>
      </c>
      <c r="H2630" s="33" t="n">
        <f aca="false">D2630*INDEX(Products!$E$2:$E$49,MATCH(C2630,Products!$A$2:$A$49,0))</f>
        <v>6875</v>
      </c>
      <c r="I2630" s="33" t="n">
        <f aca="false">D2630*INDEX(Products!$D$2:$D$49,MATCH(C2630,Products!$A$2:$A$49,0))*(1+INDEX(Assumptions!$B$16:$B$20,MATCH(B2630,Assumptions!$A$16:$A$20,0)))</f>
        <v>5811.52</v>
      </c>
      <c r="J2630" s="33" t="n">
        <f aca="false">H2630-I2630</f>
        <v>1063.48</v>
      </c>
      <c r="K2630" s="33" t="n">
        <f aca="false">IF(OR(E2630=0,E2630&gt;=7),0,D2630/(7-E2630)*E2630*INDEX(Products!$E$2:$E$49,MATCH(C2630,Products!$A$2:$A$49,0)))</f>
        <v>0</v>
      </c>
    </row>
    <row r="2631" customFormat="false" ht="15" hidden="false" customHeight="false" outlineLevel="0" collapsed="false">
      <c r="A2631" s="36" t="n">
        <v>46146</v>
      </c>
      <c r="B2631" s="24" t="s">
        <v>63</v>
      </c>
      <c r="C2631" s="24" t="s">
        <v>133</v>
      </c>
      <c r="D2631" s="33" t="n">
        <v>60</v>
      </c>
      <c r="E2631" s="24" t="n">
        <v>1</v>
      </c>
      <c r="F2631" s="37" t="n">
        <f aca="false">DATE(YEAR(A2631),MONTH(A2631),1)</f>
        <v>46143</v>
      </c>
      <c r="G2631" s="24" t="str">
        <f aca="false">INDEX(Products!$C$2:$C$49,MATCH(C2631,Products!$A$2:$A$49,0))</f>
        <v>Dairy &amp; Eggs</v>
      </c>
      <c r="H2631" s="33" t="n">
        <f aca="false">D2631*INDEX(Products!$E$2:$E$49,MATCH(C2631,Products!$A$2:$A$49,0))</f>
        <v>7500</v>
      </c>
      <c r="I2631" s="33" t="n">
        <f aca="false">D2631*INDEX(Products!$D$2:$D$49,MATCH(C2631,Products!$A$2:$A$49,0))*(1+INDEX(Assumptions!$B$16:$B$20,MATCH(B2631,Assumptions!$A$16:$A$20,0)))</f>
        <v>6339.84</v>
      </c>
      <c r="J2631" s="33" t="n">
        <f aca="false">H2631-I2631</f>
        <v>1160.16</v>
      </c>
      <c r="K2631" s="33" t="n">
        <f aca="false">IF(OR(E2631=0,E2631&gt;=7),0,D2631/(7-E2631)*E2631*INDEX(Products!$E$2:$E$49,MATCH(C2631,Products!$A$2:$A$49,0)))</f>
        <v>1250</v>
      </c>
    </row>
    <row r="2632" customFormat="false" ht="15" hidden="false" customHeight="false" outlineLevel="0" collapsed="false">
      <c r="A2632" s="36" t="n">
        <v>46153</v>
      </c>
      <c r="B2632" s="24" t="s">
        <v>63</v>
      </c>
      <c r="C2632" s="24" t="s">
        <v>133</v>
      </c>
      <c r="D2632" s="33" t="n">
        <v>52</v>
      </c>
      <c r="E2632" s="24" t="n">
        <v>0</v>
      </c>
      <c r="F2632" s="37" t="n">
        <f aca="false">DATE(YEAR(A2632),MONTH(A2632),1)</f>
        <v>46143</v>
      </c>
      <c r="G2632" s="24" t="str">
        <f aca="false">INDEX(Products!$C$2:$C$49,MATCH(C2632,Products!$A$2:$A$49,0))</f>
        <v>Dairy &amp; Eggs</v>
      </c>
      <c r="H2632" s="33" t="n">
        <f aca="false">D2632*INDEX(Products!$E$2:$E$49,MATCH(C2632,Products!$A$2:$A$49,0))</f>
        <v>6500</v>
      </c>
      <c r="I2632" s="33" t="n">
        <f aca="false">D2632*INDEX(Products!$D$2:$D$49,MATCH(C2632,Products!$A$2:$A$49,0))*(1+INDEX(Assumptions!$B$16:$B$20,MATCH(B2632,Assumptions!$A$16:$A$20,0)))</f>
        <v>5494.528</v>
      </c>
      <c r="J2632" s="33" t="n">
        <f aca="false">H2632-I2632</f>
        <v>1005.472</v>
      </c>
      <c r="K2632" s="33" t="n">
        <f aca="false">IF(OR(E2632=0,E2632&gt;=7),0,D2632/(7-E2632)*E2632*INDEX(Products!$E$2:$E$49,MATCH(C2632,Products!$A$2:$A$49,0)))</f>
        <v>0</v>
      </c>
    </row>
    <row r="2633" customFormat="false" ht="15" hidden="false" customHeight="false" outlineLevel="0" collapsed="false">
      <c r="A2633" s="36" t="n">
        <v>46160</v>
      </c>
      <c r="B2633" s="24" t="s">
        <v>63</v>
      </c>
      <c r="C2633" s="24" t="s">
        <v>133</v>
      </c>
      <c r="D2633" s="33" t="n">
        <v>47</v>
      </c>
      <c r="E2633" s="24" t="n">
        <v>2</v>
      </c>
      <c r="F2633" s="37" t="n">
        <f aca="false">DATE(YEAR(A2633),MONTH(A2633),1)</f>
        <v>46143</v>
      </c>
      <c r="G2633" s="24" t="str">
        <f aca="false">INDEX(Products!$C$2:$C$49,MATCH(C2633,Products!$A$2:$A$49,0))</f>
        <v>Dairy &amp; Eggs</v>
      </c>
      <c r="H2633" s="33" t="n">
        <f aca="false">D2633*INDEX(Products!$E$2:$E$49,MATCH(C2633,Products!$A$2:$A$49,0))</f>
        <v>5875</v>
      </c>
      <c r="I2633" s="33" t="n">
        <f aca="false">D2633*INDEX(Products!$D$2:$D$49,MATCH(C2633,Products!$A$2:$A$49,0))*(1+INDEX(Assumptions!$B$16:$B$20,MATCH(B2633,Assumptions!$A$16:$A$20,0)))</f>
        <v>4966.208</v>
      </c>
      <c r="J2633" s="33" t="n">
        <f aca="false">H2633-I2633</f>
        <v>908.792</v>
      </c>
      <c r="K2633" s="33" t="n">
        <f aca="false">IF(OR(E2633=0,E2633&gt;=7),0,D2633/(7-E2633)*E2633*INDEX(Products!$E$2:$E$49,MATCH(C2633,Products!$A$2:$A$49,0)))</f>
        <v>2350</v>
      </c>
    </row>
    <row r="2634" customFormat="false" ht="15" hidden="false" customHeight="false" outlineLevel="0" collapsed="false">
      <c r="A2634" s="36" t="n">
        <v>46167</v>
      </c>
      <c r="B2634" s="24" t="s">
        <v>63</v>
      </c>
      <c r="C2634" s="24" t="s">
        <v>133</v>
      </c>
      <c r="D2634" s="33" t="n">
        <v>62</v>
      </c>
      <c r="E2634" s="24" t="n">
        <v>0</v>
      </c>
      <c r="F2634" s="37" t="n">
        <f aca="false">DATE(YEAR(A2634),MONTH(A2634),1)</f>
        <v>46143</v>
      </c>
      <c r="G2634" s="24" t="str">
        <f aca="false">INDEX(Products!$C$2:$C$49,MATCH(C2634,Products!$A$2:$A$49,0))</f>
        <v>Dairy &amp; Eggs</v>
      </c>
      <c r="H2634" s="33" t="n">
        <f aca="false">D2634*INDEX(Products!$E$2:$E$49,MATCH(C2634,Products!$A$2:$A$49,0))</f>
        <v>7750</v>
      </c>
      <c r="I2634" s="33" t="n">
        <f aca="false">D2634*INDEX(Products!$D$2:$D$49,MATCH(C2634,Products!$A$2:$A$49,0))*(1+INDEX(Assumptions!$B$16:$B$20,MATCH(B2634,Assumptions!$A$16:$A$20,0)))</f>
        <v>6551.168</v>
      </c>
      <c r="J2634" s="33" t="n">
        <f aca="false">H2634-I2634</f>
        <v>1198.832</v>
      </c>
      <c r="K2634" s="33" t="n">
        <f aca="false">IF(OR(E2634=0,E2634&gt;=7),0,D2634/(7-E2634)*E2634*INDEX(Products!$E$2:$E$49,MATCH(C2634,Products!$A$2:$A$49,0)))</f>
        <v>0</v>
      </c>
    </row>
    <row r="2635" customFormat="false" ht="15" hidden="false" customHeight="false" outlineLevel="0" collapsed="false">
      <c r="A2635" s="36" t="n">
        <v>46174</v>
      </c>
      <c r="B2635" s="24" t="s">
        <v>63</v>
      </c>
      <c r="C2635" s="24" t="s">
        <v>133</v>
      </c>
      <c r="D2635" s="33" t="n">
        <v>67</v>
      </c>
      <c r="E2635" s="24" t="n">
        <v>0</v>
      </c>
      <c r="F2635" s="37" t="n">
        <f aca="false">DATE(YEAR(A2635),MONTH(A2635),1)</f>
        <v>46174</v>
      </c>
      <c r="G2635" s="24" t="str">
        <f aca="false">INDEX(Products!$C$2:$C$49,MATCH(C2635,Products!$A$2:$A$49,0))</f>
        <v>Dairy &amp; Eggs</v>
      </c>
      <c r="H2635" s="33" t="n">
        <f aca="false">D2635*INDEX(Products!$E$2:$E$49,MATCH(C2635,Products!$A$2:$A$49,0))</f>
        <v>8375</v>
      </c>
      <c r="I2635" s="33" t="n">
        <f aca="false">D2635*INDEX(Products!$D$2:$D$49,MATCH(C2635,Products!$A$2:$A$49,0))*(1+INDEX(Assumptions!$B$16:$B$20,MATCH(B2635,Assumptions!$A$16:$A$20,0)))</f>
        <v>7079.488</v>
      </c>
      <c r="J2635" s="33" t="n">
        <f aca="false">H2635-I2635</f>
        <v>1295.512</v>
      </c>
      <c r="K2635" s="33" t="n">
        <f aca="false">IF(OR(E2635=0,E2635&gt;=7),0,D2635/(7-E2635)*E2635*INDEX(Products!$E$2:$E$49,MATCH(C2635,Products!$A$2:$A$49,0)))</f>
        <v>0</v>
      </c>
    </row>
    <row r="2636" customFormat="false" ht="15" hidden="false" customHeight="false" outlineLevel="0" collapsed="false">
      <c r="A2636" s="36" t="n">
        <v>46181</v>
      </c>
      <c r="B2636" s="24" t="s">
        <v>63</v>
      </c>
      <c r="C2636" s="24" t="s">
        <v>133</v>
      </c>
      <c r="D2636" s="33" t="n">
        <v>56</v>
      </c>
      <c r="E2636" s="24" t="n">
        <v>0</v>
      </c>
      <c r="F2636" s="37" t="n">
        <f aca="false">DATE(YEAR(A2636),MONTH(A2636),1)</f>
        <v>46174</v>
      </c>
      <c r="G2636" s="24" t="str">
        <f aca="false">INDEX(Products!$C$2:$C$49,MATCH(C2636,Products!$A$2:$A$49,0))</f>
        <v>Dairy &amp; Eggs</v>
      </c>
      <c r="H2636" s="33" t="n">
        <f aca="false">D2636*INDEX(Products!$E$2:$E$49,MATCH(C2636,Products!$A$2:$A$49,0))</f>
        <v>7000</v>
      </c>
      <c r="I2636" s="33" t="n">
        <f aca="false">D2636*INDEX(Products!$D$2:$D$49,MATCH(C2636,Products!$A$2:$A$49,0))*(1+INDEX(Assumptions!$B$16:$B$20,MATCH(B2636,Assumptions!$A$16:$A$20,0)))</f>
        <v>5917.184</v>
      </c>
      <c r="J2636" s="33" t="n">
        <f aca="false">H2636-I2636</f>
        <v>1082.816</v>
      </c>
      <c r="K2636" s="33" t="n">
        <f aca="false">IF(OR(E2636=0,E2636&gt;=7),0,D2636/(7-E2636)*E2636*INDEX(Products!$E$2:$E$49,MATCH(C2636,Products!$A$2:$A$49,0)))</f>
        <v>0</v>
      </c>
    </row>
    <row r="2637" customFormat="false" ht="15" hidden="false" customHeight="false" outlineLevel="0" collapsed="false">
      <c r="A2637" s="36" t="n">
        <v>46188</v>
      </c>
      <c r="B2637" s="24" t="s">
        <v>63</v>
      </c>
      <c r="C2637" s="24" t="s">
        <v>133</v>
      </c>
      <c r="D2637" s="33" t="n">
        <v>49</v>
      </c>
      <c r="E2637" s="24" t="n">
        <v>0</v>
      </c>
      <c r="F2637" s="37" t="n">
        <f aca="false">DATE(YEAR(A2637),MONTH(A2637),1)</f>
        <v>46174</v>
      </c>
      <c r="G2637" s="24" t="str">
        <f aca="false">INDEX(Products!$C$2:$C$49,MATCH(C2637,Products!$A$2:$A$49,0))</f>
        <v>Dairy &amp; Eggs</v>
      </c>
      <c r="H2637" s="33" t="n">
        <f aca="false">D2637*INDEX(Products!$E$2:$E$49,MATCH(C2637,Products!$A$2:$A$49,0))</f>
        <v>6125</v>
      </c>
      <c r="I2637" s="33" t="n">
        <f aca="false">D2637*INDEX(Products!$D$2:$D$49,MATCH(C2637,Products!$A$2:$A$49,0))*(1+INDEX(Assumptions!$B$16:$B$20,MATCH(B2637,Assumptions!$A$16:$A$20,0)))</f>
        <v>5177.536</v>
      </c>
      <c r="J2637" s="33" t="n">
        <f aca="false">H2637-I2637</f>
        <v>947.464</v>
      </c>
      <c r="K2637" s="33" t="n">
        <f aca="false">IF(OR(E2637=0,E2637&gt;=7),0,D2637/(7-E2637)*E2637*INDEX(Products!$E$2:$E$49,MATCH(C2637,Products!$A$2:$A$49,0)))</f>
        <v>0</v>
      </c>
    </row>
    <row r="2638" customFormat="false" ht="15" hidden="false" customHeight="false" outlineLevel="0" collapsed="false">
      <c r="A2638" s="36" t="n">
        <v>46195</v>
      </c>
      <c r="B2638" s="24" t="s">
        <v>63</v>
      </c>
      <c r="C2638" s="24" t="s">
        <v>133</v>
      </c>
      <c r="D2638" s="33" t="n">
        <v>67</v>
      </c>
      <c r="E2638" s="24" t="n">
        <v>0</v>
      </c>
      <c r="F2638" s="37" t="n">
        <f aca="false">DATE(YEAR(A2638),MONTH(A2638),1)</f>
        <v>46174</v>
      </c>
      <c r="G2638" s="24" t="str">
        <f aca="false">INDEX(Products!$C$2:$C$49,MATCH(C2638,Products!$A$2:$A$49,0))</f>
        <v>Dairy &amp; Eggs</v>
      </c>
      <c r="H2638" s="33" t="n">
        <f aca="false">D2638*INDEX(Products!$E$2:$E$49,MATCH(C2638,Products!$A$2:$A$49,0))</f>
        <v>8375</v>
      </c>
      <c r="I2638" s="33" t="n">
        <f aca="false">D2638*INDEX(Products!$D$2:$D$49,MATCH(C2638,Products!$A$2:$A$49,0))*(1+INDEX(Assumptions!$B$16:$B$20,MATCH(B2638,Assumptions!$A$16:$A$20,0)))</f>
        <v>7079.488</v>
      </c>
      <c r="J2638" s="33" t="n">
        <f aca="false">H2638-I2638</f>
        <v>1295.512</v>
      </c>
      <c r="K2638" s="33" t="n">
        <f aca="false">IF(OR(E2638=0,E2638&gt;=7),0,D2638/(7-E2638)*E2638*INDEX(Products!$E$2:$E$49,MATCH(C2638,Products!$A$2:$A$49,0)))</f>
        <v>0</v>
      </c>
    </row>
    <row r="2639" customFormat="false" ht="15" hidden="false" customHeight="false" outlineLevel="0" collapsed="false">
      <c r="A2639" s="36" t="n">
        <v>46202</v>
      </c>
      <c r="B2639" s="24" t="s">
        <v>63</v>
      </c>
      <c r="C2639" s="24" t="s">
        <v>133</v>
      </c>
      <c r="D2639" s="33" t="n">
        <v>61</v>
      </c>
      <c r="E2639" s="24" t="n">
        <v>0</v>
      </c>
      <c r="F2639" s="37" t="n">
        <f aca="false">DATE(YEAR(A2639),MONTH(A2639),1)</f>
        <v>46174</v>
      </c>
      <c r="G2639" s="24" t="str">
        <f aca="false">INDEX(Products!$C$2:$C$49,MATCH(C2639,Products!$A$2:$A$49,0))</f>
        <v>Dairy &amp; Eggs</v>
      </c>
      <c r="H2639" s="33" t="n">
        <f aca="false">D2639*INDEX(Products!$E$2:$E$49,MATCH(C2639,Products!$A$2:$A$49,0))</f>
        <v>7625</v>
      </c>
      <c r="I2639" s="33" t="n">
        <f aca="false">D2639*INDEX(Products!$D$2:$D$49,MATCH(C2639,Products!$A$2:$A$49,0))*(1+INDEX(Assumptions!$B$16:$B$20,MATCH(B2639,Assumptions!$A$16:$A$20,0)))</f>
        <v>6445.504</v>
      </c>
      <c r="J2639" s="33" t="n">
        <f aca="false">H2639-I2639</f>
        <v>1179.496</v>
      </c>
      <c r="K2639" s="33" t="n">
        <f aca="false">IF(OR(E2639=0,E2639&gt;=7),0,D2639/(7-E2639)*E2639*INDEX(Products!$E$2:$E$49,MATCH(C2639,Products!$A$2:$A$49,0)))</f>
        <v>0</v>
      </c>
    </row>
    <row r="2640" customFormat="false" ht="15" hidden="false" customHeight="false" outlineLevel="0" collapsed="false">
      <c r="A2640" s="36" t="n">
        <v>46209</v>
      </c>
      <c r="B2640" s="24" t="s">
        <v>63</v>
      </c>
      <c r="C2640" s="24" t="s">
        <v>133</v>
      </c>
      <c r="D2640" s="33" t="n">
        <v>51</v>
      </c>
      <c r="E2640" s="24" t="n">
        <v>0</v>
      </c>
      <c r="F2640" s="37" t="n">
        <f aca="false">DATE(YEAR(A2640),MONTH(A2640),1)</f>
        <v>46204</v>
      </c>
      <c r="G2640" s="24" t="str">
        <f aca="false">INDEX(Products!$C$2:$C$49,MATCH(C2640,Products!$A$2:$A$49,0))</f>
        <v>Dairy &amp; Eggs</v>
      </c>
      <c r="H2640" s="33" t="n">
        <f aca="false">D2640*INDEX(Products!$E$2:$E$49,MATCH(C2640,Products!$A$2:$A$49,0))</f>
        <v>6375</v>
      </c>
      <c r="I2640" s="33" t="n">
        <f aca="false">D2640*INDEX(Products!$D$2:$D$49,MATCH(C2640,Products!$A$2:$A$49,0))*(1+INDEX(Assumptions!$B$16:$B$20,MATCH(B2640,Assumptions!$A$16:$A$20,0)))</f>
        <v>5388.864</v>
      </c>
      <c r="J2640" s="33" t="n">
        <f aca="false">H2640-I2640</f>
        <v>986.136</v>
      </c>
      <c r="K2640" s="33" t="n">
        <f aca="false">IF(OR(E2640=0,E2640&gt;=7),0,D2640/(7-E2640)*E2640*INDEX(Products!$E$2:$E$49,MATCH(C2640,Products!$A$2:$A$49,0)))</f>
        <v>0</v>
      </c>
    </row>
    <row r="2641" customFormat="false" ht="15" hidden="false" customHeight="false" outlineLevel="0" collapsed="false">
      <c r="A2641" s="36" t="n">
        <v>46216</v>
      </c>
      <c r="B2641" s="24" t="s">
        <v>63</v>
      </c>
      <c r="C2641" s="24" t="s">
        <v>133</v>
      </c>
      <c r="D2641" s="33" t="n">
        <v>45</v>
      </c>
      <c r="E2641" s="24" t="n">
        <v>0</v>
      </c>
      <c r="F2641" s="37" t="n">
        <f aca="false">DATE(YEAR(A2641),MONTH(A2641),1)</f>
        <v>46204</v>
      </c>
      <c r="G2641" s="24" t="str">
        <f aca="false">INDEX(Products!$C$2:$C$49,MATCH(C2641,Products!$A$2:$A$49,0))</f>
        <v>Dairy &amp; Eggs</v>
      </c>
      <c r="H2641" s="33" t="n">
        <f aca="false">D2641*INDEX(Products!$E$2:$E$49,MATCH(C2641,Products!$A$2:$A$49,0))</f>
        <v>5625</v>
      </c>
      <c r="I2641" s="33" t="n">
        <f aca="false">D2641*INDEX(Products!$D$2:$D$49,MATCH(C2641,Products!$A$2:$A$49,0))*(1+INDEX(Assumptions!$B$16:$B$20,MATCH(B2641,Assumptions!$A$16:$A$20,0)))</f>
        <v>4754.88</v>
      </c>
      <c r="J2641" s="33" t="n">
        <f aca="false">H2641-I2641</f>
        <v>870.12</v>
      </c>
      <c r="K2641" s="33" t="n">
        <f aca="false">IF(OR(E2641=0,E2641&gt;=7),0,D2641/(7-E2641)*E2641*INDEX(Products!$E$2:$E$49,MATCH(C2641,Products!$A$2:$A$49,0)))</f>
        <v>0</v>
      </c>
    </row>
    <row r="2642" customFormat="false" ht="15" hidden="false" customHeight="false" outlineLevel="0" collapsed="false">
      <c r="A2642" s="36" t="n">
        <v>46223</v>
      </c>
      <c r="B2642" s="24" t="s">
        <v>63</v>
      </c>
      <c r="C2642" s="24" t="s">
        <v>133</v>
      </c>
      <c r="D2642" s="33" t="n">
        <v>59</v>
      </c>
      <c r="E2642" s="24" t="n">
        <v>0</v>
      </c>
      <c r="F2642" s="37" t="n">
        <f aca="false">DATE(YEAR(A2642),MONTH(A2642),1)</f>
        <v>46204</v>
      </c>
      <c r="G2642" s="24" t="str">
        <f aca="false">INDEX(Products!$C$2:$C$49,MATCH(C2642,Products!$A$2:$A$49,0))</f>
        <v>Dairy &amp; Eggs</v>
      </c>
      <c r="H2642" s="33" t="n">
        <f aca="false">D2642*INDEX(Products!$E$2:$E$49,MATCH(C2642,Products!$A$2:$A$49,0))</f>
        <v>7375</v>
      </c>
      <c r="I2642" s="33" t="n">
        <f aca="false">D2642*INDEX(Products!$D$2:$D$49,MATCH(C2642,Products!$A$2:$A$49,0))*(1+INDEX(Assumptions!$B$16:$B$20,MATCH(B2642,Assumptions!$A$16:$A$20,0)))</f>
        <v>6234.176</v>
      </c>
      <c r="J2642" s="33" t="n">
        <f aca="false">H2642-I2642</f>
        <v>1140.824</v>
      </c>
      <c r="K2642" s="33" t="n">
        <f aca="false">IF(OR(E2642=0,E2642&gt;=7),0,D2642/(7-E2642)*E2642*INDEX(Products!$E$2:$E$49,MATCH(C2642,Products!$A$2:$A$49,0)))</f>
        <v>0</v>
      </c>
    </row>
    <row r="2643" customFormat="false" ht="15" hidden="false" customHeight="false" outlineLevel="0" collapsed="false">
      <c r="A2643" s="36" t="n">
        <v>46230</v>
      </c>
      <c r="B2643" s="24" t="s">
        <v>63</v>
      </c>
      <c r="C2643" s="24" t="s">
        <v>133</v>
      </c>
      <c r="D2643" s="33" t="n">
        <v>57</v>
      </c>
      <c r="E2643" s="24" t="n">
        <v>0</v>
      </c>
      <c r="F2643" s="37" t="n">
        <f aca="false">DATE(YEAR(A2643),MONTH(A2643),1)</f>
        <v>46204</v>
      </c>
      <c r="G2643" s="24" t="str">
        <f aca="false">INDEX(Products!$C$2:$C$49,MATCH(C2643,Products!$A$2:$A$49,0))</f>
        <v>Dairy &amp; Eggs</v>
      </c>
      <c r="H2643" s="33" t="n">
        <f aca="false">D2643*INDEX(Products!$E$2:$E$49,MATCH(C2643,Products!$A$2:$A$49,0))</f>
        <v>7125</v>
      </c>
      <c r="I2643" s="33" t="n">
        <f aca="false">D2643*INDEX(Products!$D$2:$D$49,MATCH(C2643,Products!$A$2:$A$49,0))*(1+INDEX(Assumptions!$B$16:$B$20,MATCH(B2643,Assumptions!$A$16:$A$20,0)))</f>
        <v>6022.848</v>
      </c>
      <c r="J2643" s="33" t="n">
        <f aca="false">H2643-I2643</f>
        <v>1102.152</v>
      </c>
      <c r="K2643" s="33" t="n">
        <f aca="false">IF(OR(E2643=0,E2643&gt;=7),0,D2643/(7-E2643)*E2643*INDEX(Products!$E$2:$E$49,MATCH(C2643,Products!$A$2:$A$49,0)))</f>
        <v>0</v>
      </c>
    </row>
    <row r="2644" customFormat="false" ht="15" hidden="false" customHeight="false" outlineLevel="0" collapsed="false">
      <c r="A2644" s="36" t="n">
        <v>46237</v>
      </c>
      <c r="B2644" s="24" t="s">
        <v>63</v>
      </c>
      <c r="C2644" s="24" t="s">
        <v>133</v>
      </c>
      <c r="D2644" s="33" t="n">
        <v>48</v>
      </c>
      <c r="E2644" s="24" t="n">
        <v>0</v>
      </c>
      <c r="F2644" s="37" t="n">
        <f aca="false">DATE(YEAR(A2644),MONTH(A2644),1)</f>
        <v>46235</v>
      </c>
      <c r="G2644" s="24" t="str">
        <f aca="false">INDEX(Products!$C$2:$C$49,MATCH(C2644,Products!$A$2:$A$49,0))</f>
        <v>Dairy &amp; Eggs</v>
      </c>
      <c r="H2644" s="33" t="n">
        <f aca="false">D2644*INDEX(Products!$E$2:$E$49,MATCH(C2644,Products!$A$2:$A$49,0))</f>
        <v>6000</v>
      </c>
      <c r="I2644" s="33" t="n">
        <f aca="false">D2644*INDEX(Products!$D$2:$D$49,MATCH(C2644,Products!$A$2:$A$49,0))*(1+INDEX(Assumptions!$B$16:$B$20,MATCH(B2644,Assumptions!$A$16:$A$20,0)))</f>
        <v>5071.872</v>
      </c>
      <c r="J2644" s="33" t="n">
        <f aca="false">H2644-I2644</f>
        <v>928.128</v>
      </c>
      <c r="K2644" s="33" t="n">
        <f aca="false">IF(OR(E2644=0,E2644&gt;=7),0,D2644/(7-E2644)*E2644*INDEX(Products!$E$2:$E$49,MATCH(C2644,Products!$A$2:$A$49,0)))</f>
        <v>0</v>
      </c>
    </row>
    <row r="2645" customFormat="false" ht="15" hidden="false" customHeight="false" outlineLevel="0" collapsed="false">
      <c r="A2645" s="36" t="n">
        <v>46244</v>
      </c>
      <c r="B2645" s="24" t="s">
        <v>63</v>
      </c>
      <c r="C2645" s="24" t="s">
        <v>133</v>
      </c>
      <c r="D2645" s="33" t="n">
        <v>51</v>
      </c>
      <c r="E2645" s="24" t="n">
        <v>0</v>
      </c>
      <c r="F2645" s="37" t="n">
        <f aca="false">DATE(YEAR(A2645),MONTH(A2645),1)</f>
        <v>46235</v>
      </c>
      <c r="G2645" s="24" t="str">
        <f aca="false">INDEX(Products!$C$2:$C$49,MATCH(C2645,Products!$A$2:$A$49,0))</f>
        <v>Dairy &amp; Eggs</v>
      </c>
      <c r="H2645" s="33" t="n">
        <f aca="false">D2645*INDEX(Products!$E$2:$E$49,MATCH(C2645,Products!$A$2:$A$49,0))</f>
        <v>6375</v>
      </c>
      <c r="I2645" s="33" t="n">
        <f aca="false">D2645*INDEX(Products!$D$2:$D$49,MATCH(C2645,Products!$A$2:$A$49,0))*(1+INDEX(Assumptions!$B$16:$B$20,MATCH(B2645,Assumptions!$A$16:$A$20,0)))</f>
        <v>5388.864</v>
      </c>
      <c r="J2645" s="33" t="n">
        <f aca="false">H2645-I2645</f>
        <v>986.136</v>
      </c>
      <c r="K2645" s="33" t="n">
        <f aca="false">IF(OR(E2645=0,E2645&gt;=7),0,D2645/(7-E2645)*E2645*INDEX(Products!$E$2:$E$49,MATCH(C2645,Products!$A$2:$A$49,0)))</f>
        <v>0</v>
      </c>
    </row>
    <row r="2646" customFormat="false" ht="15" hidden="false" customHeight="false" outlineLevel="0" collapsed="false">
      <c r="A2646" s="36" t="n">
        <v>46251</v>
      </c>
      <c r="B2646" s="24" t="s">
        <v>63</v>
      </c>
      <c r="C2646" s="24" t="s">
        <v>133</v>
      </c>
      <c r="D2646" s="33" t="n">
        <v>52</v>
      </c>
      <c r="E2646" s="24" t="n">
        <v>0</v>
      </c>
      <c r="F2646" s="37" t="n">
        <f aca="false">DATE(YEAR(A2646),MONTH(A2646),1)</f>
        <v>46235</v>
      </c>
      <c r="G2646" s="24" t="str">
        <f aca="false">INDEX(Products!$C$2:$C$49,MATCH(C2646,Products!$A$2:$A$49,0))</f>
        <v>Dairy &amp; Eggs</v>
      </c>
      <c r="H2646" s="33" t="n">
        <f aca="false">D2646*INDEX(Products!$E$2:$E$49,MATCH(C2646,Products!$A$2:$A$49,0))</f>
        <v>6500</v>
      </c>
      <c r="I2646" s="33" t="n">
        <f aca="false">D2646*INDEX(Products!$D$2:$D$49,MATCH(C2646,Products!$A$2:$A$49,0))*(1+INDEX(Assumptions!$B$16:$B$20,MATCH(B2646,Assumptions!$A$16:$A$20,0)))</f>
        <v>5494.528</v>
      </c>
      <c r="J2646" s="33" t="n">
        <f aca="false">H2646-I2646</f>
        <v>1005.472</v>
      </c>
      <c r="K2646" s="33" t="n">
        <f aca="false">IF(OR(E2646=0,E2646&gt;=7),0,D2646/(7-E2646)*E2646*INDEX(Products!$E$2:$E$49,MATCH(C2646,Products!$A$2:$A$49,0)))</f>
        <v>0</v>
      </c>
    </row>
    <row r="2647" customFormat="false" ht="15" hidden="false" customHeight="false" outlineLevel="0" collapsed="false">
      <c r="A2647" s="36" t="n">
        <v>46258</v>
      </c>
      <c r="B2647" s="24" t="s">
        <v>63</v>
      </c>
      <c r="C2647" s="24" t="s">
        <v>133</v>
      </c>
      <c r="D2647" s="33" t="n">
        <v>55</v>
      </c>
      <c r="E2647" s="24" t="n">
        <v>0</v>
      </c>
      <c r="F2647" s="37" t="n">
        <f aca="false">DATE(YEAR(A2647),MONTH(A2647),1)</f>
        <v>46235</v>
      </c>
      <c r="G2647" s="24" t="str">
        <f aca="false">INDEX(Products!$C$2:$C$49,MATCH(C2647,Products!$A$2:$A$49,0))</f>
        <v>Dairy &amp; Eggs</v>
      </c>
      <c r="H2647" s="33" t="n">
        <f aca="false">D2647*INDEX(Products!$E$2:$E$49,MATCH(C2647,Products!$A$2:$A$49,0))</f>
        <v>6875</v>
      </c>
      <c r="I2647" s="33" t="n">
        <f aca="false">D2647*INDEX(Products!$D$2:$D$49,MATCH(C2647,Products!$A$2:$A$49,0))*(1+INDEX(Assumptions!$B$16:$B$20,MATCH(B2647,Assumptions!$A$16:$A$20,0)))</f>
        <v>5811.52</v>
      </c>
      <c r="J2647" s="33" t="n">
        <f aca="false">H2647-I2647</f>
        <v>1063.48</v>
      </c>
      <c r="K2647" s="33" t="n">
        <f aca="false">IF(OR(E2647=0,E2647&gt;=7),0,D2647/(7-E2647)*E2647*INDEX(Products!$E$2:$E$49,MATCH(C2647,Products!$A$2:$A$49,0)))</f>
        <v>0</v>
      </c>
    </row>
    <row r="2648" customFormat="false" ht="15" hidden="false" customHeight="false" outlineLevel="0" collapsed="false">
      <c r="A2648" s="36" t="n">
        <v>46265</v>
      </c>
      <c r="B2648" s="24" t="s">
        <v>63</v>
      </c>
      <c r="C2648" s="24" t="s">
        <v>133</v>
      </c>
      <c r="D2648" s="33" t="n">
        <v>54</v>
      </c>
      <c r="E2648" s="24" t="n">
        <v>0</v>
      </c>
      <c r="F2648" s="37" t="n">
        <f aca="false">DATE(YEAR(A2648),MONTH(A2648),1)</f>
        <v>46235</v>
      </c>
      <c r="G2648" s="24" t="str">
        <f aca="false">INDEX(Products!$C$2:$C$49,MATCH(C2648,Products!$A$2:$A$49,0))</f>
        <v>Dairy &amp; Eggs</v>
      </c>
      <c r="H2648" s="33" t="n">
        <f aca="false">D2648*INDEX(Products!$E$2:$E$49,MATCH(C2648,Products!$A$2:$A$49,0))</f>
        <v>6750</v>
      </c>
      <c r="I2648" s="33" t="n">
        <f aca="false">D2648*INDEX(Products!$D$2:$D$49,MATCH(C2648,Products!$A$2:$A$49,0))*(1+INDEX(Assumptions!$B$16:$B$20,MATCH(B2648,Assumptions!$A$16:$A$20,0)))</f>
        <v>5705.856</v>
      </c>
      <c r="J2648" s="33" t="n">
        <f aca="false">H2648-I2648</f>
        <v>1044.144</v>
      </c>
      <c r="K2648" s="33" t="n">
        <f aca="false">IF(OR(E2648=0,E2648&gt;=7),0,D2648/(7-E2648)*E2648*INDEX(Products!$E$2:$E$49,MATCH(C2648,Products!$A$2:$A$49,0)))</f>
        <v>0</v>
      </c>
    </row>
    <row r="2649" customFormat="false" ht="15" hidden="false" customHeight="false" outlineLevel="0" collapsed="false">
      <c r="A2649" s="36" t="n">
        <v>46272</v>
      </c>
      <c r="B2649" s="24" t="s">
        <v>63</v>
      </c>
      <c r="C2649" s="24" t="s">
        <v>133</v>
      </c>
      <c r="D2649" s="33" t="n">
        <v>46</v>
      </c>
      <c r="E2649" s="24" t="n">
        <v>0</v>
      </c>
      <c r="F2649" s="37" t="n">
        <f aca="false">DATE(YEAR(A2649),MONTH(A2649),1)</f>
        <v>46266</v>
      </c>
      <c r="G2649" s="24" t="str">
        <f aca="false">INDEX(Products!$C$2:$C$49,MATCH(C2649,Products!$A$2:$A$49,0))</f>
        <v>Dairy &amp; Eggs</v>
      </c>
      <c r="H2649" s="33" t="n">
        <f aca="false">D2649*INDEX(Products!$E$2:$E$49,MATCH(C2649,Products!$A$2:$A$49,0))</f>
        <v>5750</v>
      </c>
      <c r="I2649" s="33" t="n">
        <f aca="false">D2649*INDEX(Products!$D$2:$D$49,MATCH(C2649,Products!$A$2:$A$49,0))*(1+INDEX(Assumptions!$B$16:$B$20,MATCH(B2649,Assumptions!$A$16:$A$20,0)))</f>
        <v>4860.544</v>
      </c>
      <c r="J2649" s="33" t="n">
        <f aca="false">H2649-I2649</f>
        <v>889.456</v>
      </c>
      <c r="K2649" s="33" t="n">
        <f aca="false">IF(OR(E2649=0,E2649&gt;=7),0,D2649/(7-E2649)*E2649*INDEX(Products!$E$2:$E$49,MATCH(C2649,Products!$A$2:$A$49,0)))</f>
        <v>0</v>
      </c>
    </row>
    <row r="2650" customFormat="false" ht="15" hidden="false" customHeight="false" outlineLevel="0" collapsed="false">
      <c r="A2650" s="36" t="n">
        <v>46279</v>
      </c>
      <c r="B2650" s="24" t="s">
        <v>63</v>
      </c>
      <c r="C2650" s="24" t="s">
        <v>133</v>
      </c>
      <c r="D2650" s="33" t="n">
        <v>50</v>
      </c>
      <c r="E2650" s="24" t="n">
        <v>0</v>
      </c>
      <c r="F2650" s="37" t="n">
        <f aca="false">DATE(YEAR(A2650),MONTH(A2650),1)</f>
        <v>46266</v>
      </c>
      <c r="G2650" s="24" t="str">
        <f aca="false">INDEX(Products!$C$2:$C$49,MATCH(C2650,Products!$A$2:$A$49,0))</f>
        <v>Dairy &amp; Eggs</v>
      </c>
      <c r="H2650" s="33" t="n">
        <f aca="false">D2650*INDEX(Products!$E$2:$E$49,MATCH(C2650,Products!$A$2:$A$49,0))</f>
        <v>6250</v>
      </c>
      <c r="I2650" s="33" t="n">
        <f aca="false">D2650*INDEX(Products!$D$2:$D$49,MATCH(C2650,Products!$A$2:$A$49,0))*(1+INDEX(Assumptions!$B$16:$B$20,MATCH(B2650,Assumptions!$A$16:$A$20,0)))</f>
        <v>5283.2</v>
      </c>
      <c r="J2650" s="33" t="n">
        <f aca="false">H2650-I2650</f>
        <v>966.8</v>
      </c>
      <c r="K2650" s="33" t="n">
        <f aca="false">IF(OR(E2650=0,E2650&gt;=7),0,D2650/(7-E2650)*E2650*INDEX(Products!$E$2:$E$49,MATCH(C2650,Products!$A$2:$A$49,0)))</f>
        <v>0</v>
      </c>
    </row>
    <row r="2651" customFormat="false" ht="15" hidden="false" customHeight="false" outlineLevel="0" collapsed="false">
      <c r="A2651" s="36" t="n">
        <v>46286</v>
      </c>
      <c r="B2651" s="24" t="s">
        <v>63</v>
      </c>
      <c r="C2651" s="24" t="s">
        <v>133</v>
      </c>
      <c r="D2651" s="33" t="n">
        <v>54</v>
      </c>
      <c r="E2651" s="24" t="n">
        <v>0</v>
      </c>
      <c r="F2651" s="37" t="n">
        <f aca="false">DATE(YEAR(A2651),MONTH(A2651),1)</f>
        <v>46266</v>
      </c>
      <c r="G2651" s="24" t="str">
        <f aca="false">INDEX(Products!$C$2:$C$49,MATCH(C2651,Products!$A$2:$A$49,0))</f>
        <v>Dairy &amp; Eggs</v>
      </c>
      <c r="H2651" s="33" t="n">
        <f aca="false">D2651*INDEX(Products!$E$2:$E$49,MATCH(C2651,Products!$A$2:$A$49,0))</f>
        <v>6750</v>
      </c>
      <c r="I2651" s="33" t="n">
        <f aca="false">D2651*INDEX(Products!$D$2:$D$49,MATCH(C2651,Products!$A$2:$A$49,0))*(1+INDEX(Assumptions!$B$16:$B$20,MATCH(B2651,Assumptions!$A$16:$A$20,0)))</f>
        <v>5705.856</v>
      </c>
      <c r="J2651" s="33" t="n">
        <f aca="false">H2651-I2651</f>
        <v>1044.144</v>
      </c>
      <c r="K2651" s="33" t="n">
        <f aca="false">IF(OR(E2651=0,E2651&gt;=7),0,D2651/(7-E2651)*E2651*INDEX(Products!$E$2:$E$49,MATCH(C2651,Products!$A$2:$A$49,0)))</f>
        <v>0</v>
      </c>
    </row>
    <row r="2652" customFormat="false" ht="15" hidden="false" customHeight="false" outlineLevel="0" collapsed="false">
      <c r="A2652" s="36" t="n">
        <v>46118</v>
      </c>
      <c r="B2652" s="24" t="s">
        <v>63</v>
      </c>
      <c r="C2652" s="24" t="s">
        <v>135</v>
      </c>
      <c r="D2652" s="33" t="n">
        <v>42</v>
      </c>
      <c r="E2652" s="24" t="n">
        <v>0</v>
      </c>
      <c r="F2652" s="37" t="n">
        <f aca="false">DATE(YEAR(A2652),MONTH(A2652),1)</f>
        <v>46113</v>
      </c>
      <c r="G2652" s="24" t="str">
        <f aca="false">INDEX(Products!$C$2:$C$49,MATCH(C2652,Products!$A$2:$A$49,0))</f>
        <v>Dairy &amp; Eggs</v>
      </c>
      <c r="H2652" s="33" t="n">
        <f aca="false">D2652*INDEX(Products!$E$2:$E$49,MATCH(C2652,Products!$A$2:$A$49,0))</f>
        <v>5460</v>
      </c>
      <c r="I2652" s="33" t="n">
        <f aca="false">D2652*INDEX(Products!$D$2:$D$49,MATCH(C2652,Products!$A$2:$A$49,0))*(1+INDEX(Assumptions!$B$16:$B$20,MATCH(B2652,Assumptions!$A$16:$A$20,0)))</f>
        <v>4693.92</v>
      </c>
      <c r="J2652" s="33" t="n">
        <f aca="false">H2652-I2652</f>
        <v>766.08</v>
      </c>
      <c r="K2652" s="33" t="n">
        <f aca="false">IF(OR(E2652=0,E2652&gt;=7),0,D2652/(7-E2652)*E2652*INDEX(Products!$E$2:$E$49,MATCH(C2652,Products!$A$2:$A$49,0)))</f>
        <v>0</v>
      </c>
    </row>
    <row r="2653" customFormat="false" ht="15" hidden="false" customHeight="false" outlineLevel="0" collapsed="false">
      <c r="A2653" s="36" t="n">
        <v>46125</v>
      </c>
      <c r="B2653" s="24" t="s">
        <v>63</v>
      </c>
      <c r="C2653" s="24" t="s">
        <v>135</v>
      </c>
      <c r="D2653" s="33" t="n">
        <v>26</v>
      </c>
      <c r="E2653" s="24" t="n">
        <v>0</v>
      </c>
      <c r="F2653" s="37" t="n">
        <f aca="false">DATE(YEAR(A2653),MONTH(A2653),1)</f>
        <v>46113</v>
      </c>
      <c r="G2653" s="24" t="str">
        <f aca="false">INDEX(Products!$C$2:$C$49,MATCH(C2653,Products!$A$2:$A$49,0))</f>
        <v>Dairy &amp; Eggs</v>
      </c>
      <c r="H2653" s="33" t="n">
        <f aca="false">D2653*INDEX(Products!$E$2:$E$49,MATCH(C2653,Products!$A$2:$A$49,0))</f>
        <v>3380</v>
      </c>
      <c r="I2653" s="33" t="n">
        <f aca="false">D2653*INDEX(Products!$D$2:$D$49,MATCH(C2653,Products!$A$2:$A$49,0))*(1+INDEX(Assumptions!$B$16:$B$20,MATCH(B2653,Assumptions!$A$16:$A$20,0)))</f>
        <v>2905.76</v>
      </c>
      <c r="J2653" s="33" t="n">
        <f aca="false">H2653-I2653</f>
        <v>474.24</v>
      </c>
      <c r="K2653" s="33" t="n">
        <f aca="false">IF(OR(E2653=0,E2653&gt;=7),0,D2653/(7-E2653)*E2653*INDEX(Products!$E$2:$E$49,MATCH(C2653,Products!$A$2:$A$49,0)))</f>
        <v>0</v>
      </c>
    </row>
    <row r="2654" customFormat="false" ht="15" hidden="false" customHeight="false" outlineLevel="0" collapsed="false">
      <c r="A2654" s="36" t="n">
        <v>46132</v>
      </c>
      <c r="B2654" s="24" t="s">
        <v>63</v>
      </c>
      <c r="C2654" s="24" t="s">
        <v>135</v>
      </c>
      <c r="D2654" s="33" t="n">
        <v>28</v>
      </c>
      <c r="E2654" s="24" t="n">
        <v>0</v>
      </c>
      <c r="F2654" s="37" t="n">
        <f aca="false">DATE(YEAR(A2654),MONTH(A2654),1)</f>
        <v>46113</v>
      </c>
      <c r="G2654" s="24" t="str">
        <f aca="false">INDEX(Products!$C$2:$C$49,MATCH(C2654,Products!$A$2:$A$49,0))</f>
        <v>Dairy &amp; Eggs</v>
      </c>
      <c r="H2654" s="33" t="n">
        <f aca="false">D2654*INDEX(Products!$E$2:$E$49,MATCH(C2654,Products!$A$2:$A$49,0))</f>
        <v>3640</v>
      </c>
      <c r="I2654" s="33" t="n">
        <f aca="false">D2654*INDEX(Products!$D$2:$D$49,MATCH(C2654,Products!$A$2:$A$49,0))*(1+INDEX(Assumptions!$B$16:$B$20,MATCH(B2654,Assumptions!$A$16:$A$20,0)))</f>
        <v>3129.28</v>
      </c>
      <c r="J2654" s="33" t="n">
        <f aca="false">H2654-I2654</f>
        <v>510.72</v>
      </c>
      <c r="K2654" s="33" t="n">
        <f aca="false">IF(OR(E2654=0,E2654&gt;=7),0,D2654/(7-E2654)*E2654*INDEX(Products!$E$2:$E$49,MATCH(C2654,Products!$A$2:$A$49,0)))</f>
        <v>0</v>
      </c>
    </row>
    <row r="2655" customFormat="false" ht="15" hidden="false" customHeight="false" outlineLevel="0" collapsed="false">
      <c r="A2655" s="36" t="n">
        <v>46139</v>
      </c>
      <c r="B2655" s="24" t="s">
        <v>63</v>
      </c>
      <c r="C2655" s="24" t="s">
        <v>135</v>
      </c>
      <c r="D2655" s="33" t="n">
        <v>35</v>
      </c>
      <c r="E2655" s="24" t="n">
        <v>0</v>
      </c>
      <c r="F2655" s="37" t="n">
        <f aca="false">DATE(YEAR(A2655),MONTH(A2655),1)</f>
        <v>46113</v>
      </c>
      <c r="G2655" s="24" t="str">
        <f aca="false">INDEX(Products!$C$2:$C$49,MATCH(C2655,Products!$A$2:$A$49,0))</f>
        <v>Dairy &amp; Eggs</v>
      </c>
      <c r="H2655" s="33" t="n">
        <f aca="false">D2655*INDEX(Products!$E$2:$E$49,MATCH(C2655,Products!$A$2:$A$49,0))</f>
        <v>4550</v>
      </c>
      <c r="I2655" s="33" t="n">
        <f aca="false">D2655*INDEX(Products!$D$2:$D$49,MATCH(C2655,Products!$A$2:$A$49,0))*(1+INDEX(Assumptions!$B$16:$B$20,MATCH(B2655,Assumptions!$A$16:$A$20,0)))</f>
        <v>3911.6</v>
      </c>
      <c r="J2655" s="33" t="n">
        <f aca="false">H2655-I2655</f>
        <v>638.4</v>
      </c>
      <c r="K2655" s="33" t="n">
        <f aca="false">IF(OR(E2655=0,E2655&gt;=7),0,D2655/(7-E2655)*E2655*INDEX(Products!$E$2:$E$49,MATCH(C2655,Products!$A$2:$A$49,0)))</f>
        <v>0</v>
      </c>
    </row>
    <row r="2656" customFormat="false" ht="15" hidden="false" customHeight="false" outlineLevel="0" collapsed="false">
      <c r="A2656" s="36" t="n">
        <v>46146</v>
      </c>
      <c r="B2656" s="24" t="s">
        <v>63</v>
      </c>
      <c r="C2656" s="24" t="s">
        <v>135</v>
      </c>
      <c r="D2656" s="33" t="n">
        <v>22</v>
      </c>
      <c r="E2656" s="24" t="n">
        <v>0</v>
      </c>
      <c r="F2656" s="37" t="n">
        <f aca="false">DATE(YEAR(A2656),MONTH(A2656),1)</f>
        <v>46143</v>
      </c>
      <c r="G2656" s="24" t="str">
        <f aca="false">INDEX(Products!$C$2:$C$49,MATCH(C2656,Products!$A$2:$A$49,0))</f>
        <v>Dairy &amp; Eggs</v>
      </c>
      <c r="H2656" s="33" t="n">
        <f aca="false">D2656*INDEX(Products!$E$2:$E$49,MATCH(C2656,Products!$A$2:$A$49,0))</f>
        <v>2860</v>
      </c>
      <c r="I2656" s="33" t="n">
        <f aca="false">D2656*INDEX(Products!$D$2:$D$49,MATCH(C2656,Products!$A$2:$A$49,0))*(1+INDEX(Assumptions!$B$16:$B$20,MATCH(B2656,Assumptions!$A$16:$A$20,0)))</f>
        <v>2458.72</v>
      </c>
      <c r="J2656" s="33" t="n">
        <f aca="false">H2656-I2656</f>
        <v>401.28</v>
      </c>
      <c r="K2656" s="33" t="n">
        <f aca="false">IF(OR(E2656=0,E2656&gt;=7),0,D2656/(7-E2656)*E2656*INDEX(Products!$E$2:$E$49,MATCH(C2656,Products!$A$2:$A$49,0)))</f>
        <v>0</v>
      </c>
    </row>
    <row r="2657" customFormat="false" ht="15" hidden="false" customHeight="false" outlineLevel="0" collapsed="false">
      <c r="A2657" s="36" t="n">
        <v>46153</v>
      </c>
      <c r="B2657" s="24" t="s">
        <v>63</v>
      </c>
      <c r="C2657" s="24" t="s">
        <v>135</v>
      </c>
      <c r="D2657" s="33" t="n">
        <v>38</v>
      </c>
      <c r="E2657" s="24" t="n">
        <v>0</v>
      </c>
      <c r="F2657" s="37" t="n">
        <f aca="false">DATE(YEAR(A2657),MONTH(A2657),1)</f>
        <v>46143</v>
      </c>
      <c r="G2657" s="24" t="str">
        <f aca="false">INDEX(Products!$C$2:$C$49,MATCH(C2657,Products!$A$2:$A$49,0))</f>
        <v>Dairy &amp; Eggs</v>
      </c>
      <c r="H2657" s="33" t="n">
        <f aca="false">D2657*INDEX(Products!$E$2:$E$49,MATCH(C2657,Products!$A$2:$A$49,0))</f>
        <v>4940</v>
      </c>
      <c r="I2657" s="33" t="n">
        <f aca="false">D2657*INDEX(Products!$D$2:$D$49,MATCH(C2657,Products!$A$2:$A$49,0))*(1+INDEX(Assumptions!$B$16:$B$20,MATCH(B2657,Assumptions!$A$16:$A$20,0)))</f>
        <v>4246.88</v>
      </c>
      <c r="J2657" s="33" t="n">
        <f aca="false">H2657-I2657</f>
        <v>693.12</v>
      </c>
      <c r="K2657" s="33" t="n">
        <f aca="false">IF(OR(E2657=0,E2657&gt;=7),0,D2657/(7-E2657)*E2657*INDEX(Products!$E$2:$E$49,MATCH(C2657,Products!$A$2:$A$49,0)))</f>
        <v>0</v>
      </c>
    </row>
    <row r="2658" customFormat="false" ht="15" hidden="false" customHeight="false" outlineLevel="0" collapsed="false">
      <c r="A2658" s="36" t="n">
        <v>46160</v>
      </c>
      <c r="B2658" s="24" t="s">
        <v>63</v>
      </c>
      <c r="C2658" s="24" t="s">
        <v>135</v>
      </c>
      <c r="D2658" s="33" t="n">
        <v>24</v>
      </c>
      <c r="E2658" s="24" t="n">
        <v>0</v>
      </c>
      <c r="F2658" s="37" t="n">
        <f aca="false">DATE(YEAR(A2658),MONTH(A2658),1)</f>
        <v>46143</v>
      </c>
      <c r="G2658" s="24" t="str">
        <f aca="false">INDEX(Products!$C$2:$C$49,MATCH(C2658,Products!$A$2:$A$49,0))</f>
        <v>Dairy &amp; Eggs</v>
      </c>
      <c r="H2658" s="33" t="n">
        <f aca="false">D2658*INDEX(Products!$E$2:$E$49,MATCH(C2658,Products!$A$2:$A$49,0))</f>
        <v>3120</v>
      </c>
      <c r="I2658" s="33" t="n">
        <f aca="false">D2658*INDEX(Products!$D$2:$D$49,MATCH(C2658,Products!$A$2:$A$49,0))*(1+INDEX(Assumptions!$B$16:$B$20,MATCH(B2658,Assumptions!$A$16:$A$20,0)))</f>
        <v>2682.24</v>
      </c>
      <c r="J2658" s="33" t="n">
        <f aca="false">H2658-I2658</f>
        <v>437.76</v>
      </c>
      <c r="K2658" s="33" t="n">
        <f aca="false">IF(OR(E2658=0,E2658&gt;=7),0,D2658/(7-E2658)*E2658*INDEX(Products!$E$2:$E$49,MATCH(C2658,Products!$A$2:$A$49,0)))</f>
        <v>0</v>
      </c>
    </row>
    <row r="2659" customFormat="false" ht="15" hidden="false" customHeight="false" outlineLevel="0" collapsed="false">
      <c r="A2659" s="36" t="n">
        <v>46167</v>
      </c>
      <c r="B2659" s="24" t="s">
        <v>63</v>
      </c>
      <c r="C2659" s="24" t="s">
        <v>135</v>
      </c>
      <c r="D2659" s="33" t="n">
        <v>22</v>
      </c>
      <c r="E2659" s="24" t="n">
        <v>3</v>
      </c>
      <c r="F2659" s="37" t="n">
        <f aca="false">DATE(YEAR(A2659),MONTH(A2659),1)</f>
        <v>46143</v>
      </c>
      <c r="G2659" s="24" t="str">
        <f aca="false">INDEX(Products!$C$2:$C$49,MATCH(C2659,Products!$A$2:$A$49,0))</f>
        <v>Dairy &amp; Eggs</v>
      </c>
      <c r="H2659" s="33" t="n">
        <f aca="false">D2659*INDEX(Products!$E$2:$E$49,MATCH(C2659,Products!$A$2:$A$49,0))</f>
        <v>2860</v>
      </c>
      <c r="I2659" s="33" t="n">
        <f aca="false">D2659*INDEX(Products!$D$2:$D$49,MATCH(C2659,Products!$A$2:$A$49,0))*(1+INDEX(Assumptions!$B$16:$B$20,MATCH(B2659,Assumptions!$A$16:$A$20,0)))</f>
        <v>2458.72</v>
      </c>
      <c r="J2659" s="33" t="n">
        <f aca="false">H2659-I2659</f>
        <v>401.28</v>
      </c>
      <c r="K2659" s="33" t="n">
        <f aca="false">IF(OR(E2659=0,E2659&gt;=7),0,D2659/(7-E2659)*E2659*INDEX(Products!$E$2:$E$49,MATCH(C2659,Products!$A$2:$A$49,0)))</f>
        <v>2145</v>
      </c>
    </row>
    <row r="2660" customFormat="false" ht="15" hidden="false" customHeight="false" outlineLevel="0" collapsed="false">
      <c r="A2660" s="36" t="n">
        <v>46174</v>
      </c>
      <c r="B2660" s="24" t="s">
        <v>63</v>
      </c>
      <c r="C2660" s="24" t="s">
        <v>135</v>
      </c>
      <c r="D2660" s="33" t="n">
        <v>38</v>
      </c>
      <c r="E2660" s="24" t="n">
        <v>0</v>
      </c>
      <c r="F2660" s="37" t="n">
        <f aca="false">DATE(YEAR(A2660),MONTH(A2660),1)</f>
        <v>46174</v>
      </c>
      <c r="G2660" s="24" t="str">
        <f aca="false">INDEX(Products!$C$2:$C$49,MATCH(C2660,Products!$A$2:$A$49,0))</f>
        <v>Dairy &amp; Eggs</v>
      </c>
      <c r="H2660" s="33" t="n">
        <f aca="false">D2660*INDEX(Products!$E$2:$E$49,MATCH(C2660,Products!$A$2:$A$49,0))</f>
        <v>4940</v>
      </c>
      <c r="I2660" s="33" t="n">
        <f aca="false">D2660*INDEX(Products!$D$2:$D$49,MATCH(C2660,Products!$A$2:$A$49,0))*(1+INDEX(Assumptions!$B$16:$B$20,MATCH(B2660,Assumptions!$A$16:$A$20,0)))</f>
        <v>4246.88</v>
      </c>
      <c r="J2660" s="33" t="n">
        <f aca="false">H2660-I2660</f>
        <v>693.12</v>
      </c>
      <c r="K2660" s="33" t="n">
        <f aca="false">IF(OR(E2660=0,E2660&gt;=7),0,D2660/(7-E2660)*E2660*INDEX(Products!$E$2:$E$49,MATCH(C2660,Products!$A$2:$A$49,0)))</f>
        <v>0</v>
      </c>
    </row>
    <row r="2661" customFormat="false" ht="15" hidden="false" customHeight="false" outlineLevel="0" collapsed="false">
      <c r="A2661" s="36" t="n">
        <v>46181</v>
      </c>
      <c r="B2661" s="24" t="s">
        <v>63</v>
      </c>
      <c r="C2661" s="24" t="s">
        <v>135</v>
      </c>
      <c r="D2661" s="33" t="n">
        <v>36</v>
      </c>
      <c r="E2661" s="24" t="n">
        <v>0</v>
      </c>
      <c r="F2661" s="37" t="n">
        <f aca="false">DATE(YEAR(A2661),MONTH(A2661),1)</f>
        <v>46174</v>
      </c>
      <c r="G2661" s="24" t="str">
        <f aca="false">INDEX(Products!$C$2:$C$49,MATCH(C2661,Products!$A$2:$A$49,0))</f>
        <v>Dairy &amp; Eggs</v>
      </c>
      <c r="H2661" s="33" t="n">
        <f aca="false">D2661*INDEX(Products!$E$2:$E$49,MATCH(C2661,Products!$A$2:$A$49,0))</f>
        <v>4680</v>
      </c>
      <c r="I2661" s="33" t="n">
        <f aca="false">D2661*INDEX(Products!$D$2:$D$49,MATCH(C2661,Products!$A$2:$A$49,0))*(1+INDEX(Assumptions!$B$16:$B$20,MATCH(B2661,Assumptions!$A$16:$A$20,0)))</f>
        <v>4023.36</v>
      </c>
      <c r="J2661" s="33" t="n">
        <f aca="false">H2661-I2661</f>
        <v>656.64</v>
      </c>
      <c r="K2661" s="33" t="n">
        <f aca="false">IF(OR(E2661=0,E2661&gt;=7),0,D2661/(7-E2661)*E2661*INDEX(Products!$E$2:$E$49,MATCH(C2661,Products!$A$2:$A$49,0)))</f>
        <v>0</v>
      </c>
    </row>
    <row r="2662" customFormat="false" ht="15" hidden="false" customHeight="false" outlineLevel="0" collapsed="false">
      <c r="A2662" s="36" t="n">
        <v>46188</v>
      </c>
      <c r="B2662" s="24" t="s">
        <v>63</v>
      </c>
      <c r="C2662" s="24" t="s">
        <v>135</v>
      </c>
      <c r="D2662" s="33" t="n">
        <v>20</v>
      </c>
      <c r="E2662" s="24" t="n">
        <v>0</v>
      </c>
      <c r="F2662" s="37" t="n">
        <f aca="false">DATE(YEAR(A2662),MONTH(A2662),1)</f>
        <v>46174</v>
      </c>
      <c r="G2662" s="24" t="str">
        <f aca="false">INDEX(Products!$C$2:$C$49,MATCH(C2662,Products!$A$2:$A$49,0))</f>
        <v>Dairy &amp; Eggs</v>
      </c>
      <c r="H2662" s="33" t="n">
        <f aca="false">D2662*INDEX(Products!$E$2:$E$49,MATCH(C2662,Products!$A$2:$A$49,0))</f>
        <v>2600</v>
      </c>
      <c r="I2662" s="33" t="n">
        <f aca="false">D2662*INDEX(Products!$D$2:$D$49,MATCH(C2662,Products!$A$2:$A$49,0))*(1+INDEX(Assumptions!$B$16:$B$20,MATCH(B2662,Assumptions!$A$16:$A$20,0)))</f>
        <v>2235.2</v>
      </c>
      <c r="J2662" s="33" t="n">
        <f aca="false">H2662-I2662</f>
        <v>364.8</v>
      </c>
      <c r="K2662" s="33" t="n">
        <f aca="false">IF(OR(E2662=0,E2662&gt;=7),0,D2662/(7-E2662)*E2662*INDEX(Products!$E$2:$E$49,MATCH(C2662,Products!$A$2:$A$49,0)))</f>
        <v>0</v>
      </c>
    </row>
    <row r="2663" customFormat="false" ht="15" hidden="false" customHeight="false" outlineLevel="0" collapsed="false">
      <c r="A2663" s="36" t="n">
        <v>46195</v>
      </c>
      <c r="B2663" s="24" t="s">
        <v>63</v>
      </c>
      <c r="C2663" s="24" t="s">
        <v>135</v>
      </c>
      <c r="D2663" s="33" t="n">
        <v>28</v>
      </c>
      <c r="E2663" s="24" t="n">
        <v>0</v>
      </c>
      <c r="F2663" s="37" t="n">
        <f aca="false">DATE(YEAR(A2663),MONTH(A2663),1)</f>
        <v>46174</v>
      </c>
      <c r="G2663" s="24" t="str">
        <f aca="false">INDEX(Products!$C$2:$C$49,MATCH(C2663,Products!$A$2:$A$49,0))</f>
        <v>Dairy &amp; Eggs</v>
      </c>
      <c r="H2663" s="33" t="n">
        <f aca="false">D2663*INDEX(Products!$E$2:$E$49,MATCH(C2663,Products!$A$2:$A$49,0))</f>
        <v>3640</v>
      </c>
      <c r="I2663" s="33" t="n">
        <f aca="false">D2663*INDEX(Products!$D$2:$D$49,MATCH(C2663,Products!$A$2:$A$49,0))*(1+INDEX(Assumptions!$B$16:$B$20,MATCH(B2663,Assumptions!$A$16:$A$20,0)))</f>
        <v>3129.28</v>
      </c>
      <c r="J2663" s="33" t="n">
        <f aca="false">H2663-I2663</f>
        <v>510.72</v>
      </c>
      <c r="K2663" s="33" t="n">
        <f aca="false">IF(OR(E2663=0,E2663&gt;=7),0,D2663/(7-E2663)*E2663*INDEX(Products!$E$2:$E$49,MATCH(C2663,Products!$A$2:$A$49,0)))</f>
        <v>0</v>
      </c>
    </row>
    <row r="2664" customFormat="false" ht="15" hidden="false" customHeight="false" outlineLevel="0" collapsed="false">
      <c r="A2664" s="36" t="n">
        <v>46202</v>
      </c>
      <c r="B2664" s="24" t="s">
        <v>63</v>
      </c>
      <c r="C2664" s="24" t="s">
        <v>135</v>
      </c>
      <c r="D2664" s="33" t="n">
        <v>30</v>
      </c>
      <c r="E2664" s="24" t="n">
        <v>0</v>
      </c>
      <c r="F2664" s="37" t="n">
        <f aca="false">DATE(YEAR(A2664),MONTH(A2664),1)</f>
        <v>46174</v>
      </c>
      <c r="G2664" s="24" t="str">
        <f aca="false">INDEX(Products!$C$2:$C$49,MATCH(C2664,Products!$A$2:$A$49,0))</f>
        <v>Dairy &amp; Eggs</v>
      </c>
      <c r="H2664" s="33" t="n">
        <f aca="false">D2664*INDEX(Products!$E$2:$E$49,MATCH(C2664,Products!$A$2:$A$49,0))</f>
        <v>3900</v>
      </c>
      <c r="I2664" s="33" t="n">
        <f aca="false">D2664*INDEX(Products!$D$2:$D$49,MATCH(C2664,Products!$A$2:$A$49,0))*(1+INDEX(Assumptions!$B$16:$B$20,MATCH(B2664,Assumptions!$A$16:$A$20,0)))</f>
        <v>3352.8</v>
      </c>
      <c r="J2664" s="33" t="n">
        <f aca="false">H2664-I2664</f>
        <v>547.2</v>
      </c>
      <c r="K2664" s="33" t="n">
        <f aca="false">IF(OR(E2664=0,E2664&gt;=7),0,D2664/(7-E2664)*E2664*INDEX(Products!$E$2:$E$49,MATCH(C2664,Products!$A$2:$A$49,0)))</f>
        <v>0</v>
      </c>
    </row>
    <row r="2665" customFormat="false" ht="15" hidden="false" customHeight="false" outlineLevel="0" collapsed="false">
      <c r="A2665" s="36" t="n">
        <v>46209</v>
      </c>
      <c r="B2665" s="24" t="s">
        <v>63</v>
      </c>
      <c r="C2665" s="24" t="s">
        <v>135</v>
      </c>
      <c r="D2665" s="33" t="n">
        <v>27</v>
      </c>
      <c r="E2665" s="24" t="n">
        <v>0</v>
      </c>
      <c r="F2665" s="37" t="n">
        <f aca="false">DATE(YEAR(A2665),MONTH(A2665),1)</f>
        <v>46204</v>
      </c>
      <c r="G2665" s="24" t="str">
        <f aca="false">INDEX(Products!$C$2:$C$49,MATCH(C2665,Products!$A$2:$A$49,0))</f>
        <v>Dairy &amp; Eggs</v>
      </c>
      <c r="H2665" s="33" t="n">
        <f aca="false">D2665*INDEX(Products!$E$2:$E$49,MATCH(C2665,Products!$A$2:$A$49,0))</f>
        <v>3510</v>
      </c>
      <c r="I2665" s="33" t="n">
        <f aca="false">D2665*INDEX(Products!$D$2:$D$49,MATCH(C2665,Products!$A$2:$A$49,0))*(1+INDEX(Assumptions!$B$16:$B$20,MATCH(B2665,Assumptions!$A$16:$A$20,0)))</f>
        <v>3017.52</v>
      </c>
      <c r="J2665" s="33" t="n">
        <f aca="false">H2665-I2665</f>
        <v>492.48</v>
      </c>
      <c r="K2665" s="33" t="n">
        <f aca="false">IF(OR(E2665=0,E2665&gt;=7),0,D2665/(7-E2665)*E2665*INDEX(Products!$E$2:$E$49,MATCH(C2665,Products!$A$2:$A$49,0)))</f>
        <v>0</v>
      </c>
    </row>
    <row r="2666" customFormat="false" ht="15" hidden="false" customHeight="false" outlineLevel="0" collapsed="false">
      <c r="A2666" s="36" t="n">
        <v>46216</v>
      </c>
      <c r="B2666" s="24" t="s">
        <v>63</v>
      </c>
      <c r="C2666" s="24" t="s">
        <v>135</v>
      </c>
      <c r="D2666" s="33" t="n">
        <v>25</v>
      </c>
      <c r="E2666" s="24" t="n">
        <v>0</v>
      </c>
      <c r="F2666" s="37" t="n">
        <f aca="false">DATE(YEAR(A2666),MONTH(A2666),1)</f>
        <v>46204</v>
      </c>
      <c r="G2666" s="24" t="str">
        <f aca="false">INDEX(Products!$C$2:$C$49,MATCH(C2666,Products!$A$2:$A$49,0))</f>
        <v>Dairy &amp; Eggs</v>
      </c>
      <c r="H2666" s="33" t="n">
        <f aca="false">D2666*INDEX(Products!$E$2:$E$49,MATCH(C2666,Products!$A$2:$A$49,0))</f>
        <v>3250</v>
      </c>
      <c r="I2666" s="33" t="n">
        <f aca="false">D2666*INDEX(Products!$D$2:$D$49,MATCH(C2666,Products!$A$2:$A$49,0))*(1+INDEX(Assumptions!$B$16:$B$20,MATCH(B2666,Assumptions!$A$16:$A$20,0)))</f>
        <v>2794</v>
      </c>
      <c r="J2666" s="33" t="n">
        <f aca="false">H2666-I2666</f>
        <v>456</v>
      </c>
      <c r="K2666" s="33" t="n">
        <f aca="false">IF(OR(E2666=0,E2666&gt;=7),0,D2666/(7-E2666)*E2666*INDEX(Products!$E$2:$E$49,MATCH(C2666,Products!$A$2:$A$49,0)))</f>
        <v>0</v>
      </c>
    </row>
    <row r="2667" customFormat="false" ht="15" hidden="false" customHeight="false" outlineLevel="0" collapsed="false">
      <c r="A2667" s="36" t="n">
        <v>46223</v>
      </c>
      <c r="B2667" s="24" t="s">
        <v>63</v>
      </c>
      <c r="C2667" s="24" t="s">
        <v>135</v>
      </c>
      <c r="D2667" s="33" t="n">
        <v>25</v>
      </c>
      <c r="E2667" s="24" t="n">
        <v>0</v>
      </c>
      <c r="F2667" s="37" t="n">
        <f aca="false">DATE(YEAR(A2667),MONTH(A2667),1)</f>
        <v>46204</v>
      </c>
      <c r="G2667" s="24" t="str">
        <f aca="false">INDEX(Products!$C$2:$C$49,MATCH(C2667,Products!$A$2:$A$49,0))</f>
        <v>Dairy &amp; Eggs</v>
      </c>
      <c r="H2667" s="33" t="n">
        <f aca="false">D2667*INDEX(Products!$E$2:$E$49,MATCH(C2667,Products!$A$2:$A$49,0))</f>
        <v>3250</v>
      </c>
      <c r="I2667" s="33" t="n">
        <f aca="false">D2667*INDEX(Products!$D$2:$D$49,MATCH(C2667,Products!$A$2:$A$49,0))*(1+INDEX(Assumptions!$B$16:$B$20,MATCH(B2667,Assumptions!$A$16:$A$20,0)))</f>
        <v>2794</v>
      </c>
      <c r="J2667" s="33" t="n">
        <f aca="false">H2667-I2667</f>
        <v>456</v>
      </c>
      <c r="K2667" s="33" t="n">
        <f aca="false">IF(OR(E2667=0,E2667&gt;=7),0,D2667/(7-E2667)*E2667*INDEX(Products!$E$2:$E$49,MATCH(C2667,Products!$A$2:$A$49,0)))</f>
        <v>0</v>
      </c>
    </row>
    <row r="2668" customFormat="false" ht="15" hidden="false" customHeight="false" outlineLevel="0" collapsed="false">
      <c r="A2668" s="36" t="n">
        <v>46230</v>
      </c>
      <c r="B2668" s="24" t="s">
        <v>63</v>
      </c>
      <c r="C2668" s="24" t="s">
        <v>135</v>
      </c>
      <c r="D2668" s="33" t="n">
        <v>38</v>
      </c>
      <c r="E2668" s="24" t="n">
        <v>0</v>
      </c>
      <c r="F2668" s="37" t="n">
        <f aca="false">DATE(YEAR(A2668),MONTH(A2668),1)</f>
        <v>46204</v>
      </c>
      <c r="G2668" s="24" t="str">
        <f aca="false">INDEX(Products!$C$2:$C$49,MATCH(C2668,Products!$A$2:$A$49,0))</f>
        <v>Dairy &amp; Eggs</v>
      </c>
      <c r="H2668" s="33" t="n">
        <f aca="false">D2668*INDEX(Products!$E$2:$E$49,MATCH(C2668,Products!$A$2:$A$49,0))</f>
        <v>4940</v>
      </c>
      <c r="I2668" s="33" t="n">
        <f aca="false">D2668*INDEX(Products!$D$2:$D$49,MATCH(C2668,Products!$A$2:$A$49,0))*(1+INDEX(Assumptions!$B$16:$B$20,MATCH(B2668,Assumptions!$A$16:$A$20,0)))</f>
        <v>4246.88</v>
      </c>
      <c r="J2668" s="33" t="n">
        <f aca="false">H2668-I2668</f>
        <v>693.12</v>
      </c>
      <c r="K2668" s="33" t="n">
        <f aca="false">IF(OR(E2668=0,E2668&gt;=7),0,D2668/(7-E2668)*E2668*INDEX(Products!$E$2:$E$49,MATCH(C2668,Products!$A$2:$A$49,0)))</f>
        <v>0</v>
      </c>
    </row>
    <row r="2669" customFormat="false" ht="15" hidden="false" customHeight="false" outlineLevel="0" collapsed="false">
      <c r="A2669" s="36" t="n">
        <v>46237</v>
      </c>
      <c r="B2669" s="24" t="s">
        <v>63</v>
      </c>
      <c r="C2669" s="24" t="s">
        <v>135</v>
      </c>
      <c r="D2669" s="33" t="n">
        <v>27</v>
      </c>
      <c r="E2669" s="24" t="n">
        <v>0</v>
      </c>
      <c r="F2669" s="37" t="n">
        <f aca="false">DATE(YEAR(A2669),MONTH(A2669),1)</f>
        <v>46235</v>
      </c>
      <c r="G2669" s="24" t="str">
        <f aca="false">INDEX(Products!$C$2:$C$49,MATCH(C2669,Products!$A$2:$A$49,0))</f>
        <v>Dairy &amp; Eggs</v>
      </c>
      <c r="H2669" s="33" t="n">
        <f aca="false">D2669*INDEX(Products!$E$2:$E$49,MATCH(C2669,Products!$A$2:$A$49,0))</f>
        <v>3510</v>
      </c>
      <c r="I2669" s="33" t="n">
        <f aca="false">D2669*INDEX(Products!$D$2:$D$49,MATCH(C2669,Products!$A$2:$A$49,0))*(1+INDEX(Assumptions!$B$16:$B$20,MATCH(B2669,Assumptions!$A$16:$A$20,0)))</f>
        <v>3017.52</v>
      </c>
      <c r="J2669" s="33" t="n">
        <f aca="false">H2669-I2669</f>
        <v>492.48</v>
      </c>
      <c r="K2669" s="33" t="n">
        <f aca="false">IF(OR(E2669=0,E2669&gt;=7),0,D2669/(7-E2669)*E2669*INDEX(Products!$E$2:$E$49,MATCH(C2669,Products!$A$2:$A$49,0)))</f>
        <v>0</v>
      </c>
    </row>
    <row r="2670" customFormat="false" ht="15" hidden="false" customHeight="false" outlineLevel="0" collapsed="false">
      <c r="A2670" s="36" t="n">
        <v>46244</v>
      </c>
      <c r="B2670" s="24" t="s">
        <v>63</v>
      </c>
      <c r="C2670" s="24" t="s">
        <v>135</v>
      </c>
      <c r="D2670" s="33" t="n">
        <v>25</v>
      </c>
      <c r="E2670" s="24" t="n">
        <v>0</v>
      </c>
      <c r="F2670" s="37" t="n">
        <f aca="false">DATE(YEAR(A2670),MONTH(A2670),1)</f>
        <v>46235</v>
      </c>
      <c r="G2670" s="24" t="str">
        <f aca="false">INDEX(Products!$C$2:$C$49,MATCH(C2670,Products!$A$2:$A$49,0))</f>
        <v>Dairy &amp; Eggs</v>
      </c>
      <c r="H2670" s="33" t="n">
        <f aca="false">D2670*INDEX(Products!$E$2:$E$49,MATCH(C2670,Products!$A$2:$A$49,0))</f>
        <v>3250</v>
      </c>
      <c r="I2670" s="33" t="n">
        <f aca="false">D2670*INDEX(Products!$D$2:$D$49,MATCH(C2670,Products!$A$2:$A$49,0))*(1+INDEX(Assumptions!$B$16:$B$20,MATCH(B2670,Assumptions!$A$16:$A$20,0)))</f>
        <v>2794</v>
      </c>
      <c r="J2670" s="33" t="n">
        <f aca="false">H2670-I2670</f>
        <v>456</v>
      </c>
      <c r="K2670" s="33" t="n">
        <f aca="false">IF(OR(E2670=0,E2670&gt;=7),0,D2670/(7-E2670)*E2670*INDEX(Products!$E$2:$E$49,MATCH(C2670,Products!$A$2:$A$49,0)))</f>
        <v>0</v>
      </c>
    </row>
    <row r="2671" customFormat="false" ht="15" hidden="false" customHeight="false" outlineLevel="0" collapsed="false">
      <c r="A2671" s="36" t="n">
        <v>46251</v>
      </c>
      <c r="B2671" s="24" t="s">
        <v>63</v>
      </c>
      <c r="C2671" s="24" t="s">
        <v>135</v>
      </c>
      <c r="D2671" s="33" t="n">
        <v>26</v>
      </c>
      <c r="E2671" s="24" t="n">
        <v>0</v>
      </c>
      <c r="F2671" s="37" t="n">
        <f aca="false">DATE(YEAR(A2671),MONTH(A2671),1)</f>
        <v>46235</v>
      </c>
      <c r="G2671" s="24" t="str">
        <f aca="false">INDEX(Products!$C$2:$C$49,MATCH(C2671,Products!$A$2:$A$49,0))</f>
        <v>Dairy &amp; Eggs</v>
      </c>
      <c r="H2671" s="33" t="n">
        <f aca="false">D2671*INDEX(Products!$E$2:$E$49,MATCH(C2671,Products!$A$2:$A$49,0))</f>
        <v>3380</v>
      </c>
      <c r="I2671" s="33" t="n">
        <f aca="false">D2671*INDEX(Products!$D$2:$D$49,MATCH(C2671,Products!$A$2:$A$49,0))*(1+INDEX(Assumptions!$B$16:$B$20,MATCH(B2671,Assumptions!$A$16:$A$20,0)))</f>
        <v>2905.76</v>
      </c>
      <c r="J2671" s="33" t="n">
        <f aca="false">H2671-I2671</f>
        <v>474.24</v>
      </c>
      <c r="K2671" s="33" t="n">
        <f aca="false">IF(OR(E2671=0,E2671&gt;=7),0,D2671/(7-E2671)*E2671*INDEX(Products!$E$2:$E$49,MATCH(C2671,Products!$A$2:$A$49,0)))</f>
        <v>0</v>
      </c>
    </row>
    <row r="2672" customFormat="false" ht="15" hidden="false" customHeight="false" outlineLevel="0" collapsed="false">
      <c r="A2672" s="36" t="n">
        <v>46258</v>
      </c>
      <c r="B2672" s="24" t="s">
        <v>63</v>
      </c>
      <c r="C2672" s="24" t="s">
        <v>135</v>
      </c>
      <c r="D2672" s="33" t="n">
        <v>26</v>
      </c>
      <c r="E2672" s="24" t="n">
        <v>0</v>
      </c>
      <c r="F2672" s="37" t="n">
        <f aca="false">DATE(YEAR(A2672),MONTH(A2672),1)</f>
        <v>46235</v>
      </c>
      <c r="G2672" s="24" t="str">
        <f aca="false">INDEX(Products!$C$2:$C$49,MATCH(C2672,Products!$A$2:$A$49,0))</f>
        <v>Dairy &amp; Eggs</v>
      </c>
      <c r="H2672" s="33" t="n">
        <f aca="false">D2672*INDEX(Products!$E$2:$E$49,MATCH(C2672,Products!$A$2:$A$49,0))</f>
        <v>3380</v>
      </c>
      <c r="I2672" s="33" t="n">
        <f aca="false">D2672*INDEX(Products!$D$2:$D$49,MATCH(C2672,Products!$A$2:$A$49,0))*(1+INDEX(Assumptions!$B$16:$B$20,MATCH(B2672,Assumptions!$A$16:$A$20,0)))</f>
        <v>2905.76</v>
      </c>
      <c r="J2672" s="33" t="n">
        <f aca="false">H2672-I2672</f>
        <v>474.24</v>
      </c>
      <c r="K2672" s="33" t="n">
        <f aca="false">IF(OR(E2672=0,E2672&gt;=7),0,D2672/(7-E2672)*E2672*INDEX(Products!$E$2:$E$49,MATCH(C2672,Products!$A$2:$A$49,0)))</f>
        <v>0</v>
      </c>
    </row>
    <row r="2673" customFormat="false" ht="15" hidden="false" customHeight="false" outlineLevel="0" collapsed="false">
      <c r="A2673" s="36" t="n">
        <v>46265</v>
      </c>
      <c r="B2673" s="24" t="s">
        <v>63</v>
      </c>
      <c r="C2673" s="24" t="s">
        <v>135</v>
      </c>
      <c r="D2673" s="33" t="n">
        <v>27</v>
      </c>
      <c r="E2673" s="24" t="n">
        <v>0</v>
      </c>
      <c r="F2673" s="37" t="n">
        <f aca="false">DATE(YEAR(A2673),MONTH(A2673),1)</f>
        <v>46235</v>
      </c>
      <c r="G2673" s="24" t="str">
        <f aca="false">INDEX(Products!$C$2:$C$49,MATCH(C2673,Products!$A$2:$A$49,0))</f>
        <v>Dairy &amp; Eggs</v>
      </c>
      <c r="H2673" s="33" t="n">
        <f aca="false">D2673*INDEX(Products!$E$2:$E$49,MATCH(C2673,Products!$A$2:$A$49,0))</f>
        <v>3510</v>
      </c>
      <c r="I2673" s="33" t="n">
        <f aca="false">D2673*INDEX(Products!$D$2:$D$49,MATCH(C2673,Products!$A$2:$A$49,0))*(1+INDEX(Assumptions!$B$16:$B$20,MATCH(B2673,Assumptions!$A$16:$A$20,0)))</f>
        <v>3017.52</v>
      </c>
      <c r="J2673" s="33" t="n">
        <f aca="false">H2673-I2673</f>
        <v>492.48</v>
      </c>
      <c r="K2673" s="33" t="n">
        <f aca="false">IF(OR(E2673=0,E2673&gt;=7),0,D2673/(7-E2673)*E2673*INDEX(Products!$E$2:$E$49,MATCH(C2673,Products!$A$2:$A$49,0)))</f>
        <v>0</v>
      </c>
    </row>
    <row r="2674" customFormat="false" ht="15" hidden="false" customHeight="false" outlineLevel="0" collapsed="false">
      <c r="A2674" s="36" t="n">
        <v>46272</v>
      </c>
      <c r="B2674" s="24" t="s">
        <v>63</v>
      </c>
      <c r="C2674" s="24" t="s">
        <v>135</v>
      </c>
      <c r="D2674" s="33" t="n">
        <v>47</v>
      </c>
      <c r="E2674" s="24" t="n">
        <v>0</v>
      </c>
      <c r="F2674" s="37" t="n">
        <f aca="false">DATE(YEAR(A2674),MONTH(A2674),1)</f>
        <v>46266</v>
      </c>
      <c r="G2674" s="24" t="str">
        <f aca="false">INDEX(Products!$C$2:$C$49,MATCH(C2674,Products!$A$2:$A$49,0))</f>
        <v>Dairy &amp; Eggs</v>
      </c>
      <c r="H2674" s="33" t="n">
        <f aca="false">D2674*INDEX(Products!$E$2:$E$49,MATCH(C2674,Products!$A$2:$A$49,0))</f>
        <v>6110</v>
      </c>
      <c r="I2674" s="33" t="n">
        <f aca="false">D2674*INDEX(Products!$D$2:$D$49,MATCH(C2674,Products!$A$2:$A$49,0))*(1+INDEX(Assumptions!$B$16:$B$20,MATCH(B2674,Assumptions!$A$16:$A$20,0)))</f>
        <v>5252.72</v>
      </c>
      <c r="J2674" s="33" t="n">
        <f aca="false">H2674-I2674</f>
        <v>857.28</v>
      </c>
      <c r="K2674" s="33" t="n">
        <f aca="false">IF(OR(E2674=0,E2674&gt;=7),0,D2674/(7-E2674)*E2674*INDEX(Products!$E$2:$E$49,MATCH(C2674,Products!$A$2:$A$49,0)))</f>
        <v>0</v>
      </c>
    </row>
    <row r="2675" customFormat="false" ht="15" hidden="false" customHeight="false" outlineLevel="0" collapsed="false">
      <c r="A2675" s="36" t="n">
        <v>46279</v>
      </c>
      <c r="B2675" s="24" t="s">
        <v>63</v>
      </c>
      <c r="C2675" s="24" t="s">
        <v>135</v>
      </c>
      <c r="D2675" s="33" t="n">
        <v>35</v>
      </c>
      <c r="E2675" s="24" t="n">
        <v>0</v>
      </c>
      <c r="F2675" s="37" t="n">
        <f aca="false">DATE(YEAR(A2675),MONTH(A2675),1)</f>
        <v>46266</v>
      </c>
      <c r="G2675" s="24" t="str">
        <f aca="false">INDEX(Products!$C$2:$C$49,MATCH(C2675,Products!$A$2:$A$49,0))</f>
        <v>Dairy &amp; Eggs</v>
      </c>
      <c r="H2675" s="33" t="n">
        <f aca="false">D2675*INDEX(Products!$E$2:$E$49,MATCH(C2675,Products!$A$2:$A$49,0))</f>
        <v>4550</v>
      </c>
      <c r="I2675" s="33" t="n">
        <f aca="false">D2675*INDEX(Products!$D$2:$D$49,MATCH(C2675,Products!$A$2:$A$49,0))*(1+INDEX(Assumptions!$B$16:$B$20,MATCH(B2675,Assumptions!$A$16:$A$20,0)))</f>
        <v>3911.6</v>
      </c>
      <c r="J2675" s="33" t="n">
        <f aca="false">H2675-I2675</f>
        <v>638.4</v>
      </c>
      <c r="K2675" s="33" t="n">
        <f aca="false">IF(OR(E2675=0,E2675&gt;=7),0,D2675/(7-E2675)*E2675*INDEX(Products!$E$2:$E$49,MATCH(C2675,Products!$A$2:$A$49,0)))</f>
        <v>0</v>
      </c>
    </row>
    <row r="2676" customFormat="false" ht="15" hidden="false" customHeight="false" outlineLevel="0" collapsed="false">
      <c r="A2676" s="36" t="n">
        <v>46286</v>
      </c>
      <c r="B2676" s="24" t="s">
        <v>63</v>
      </c>
      <c r="C2676" s="24" t="s">
        <v>135</v>
      </c>
      <c r="D2676" s="33" t="n">
        <v>8</v>
      </c>
      <c r="E2676" s="24" t="n">
        <v>5</v>
      </c>
      <c r="F2676" s="37" t="n">
        <f aca="false">DATE(YEAR(A2676),MONTH(A2676),1)</f>
        <v>46266</v>
      </c>
      <c r="G2676" s="24" t="str">
        <f aca="false">INDEX(Products!$C$2:$C$49,MATCH(C2676,Products!$A$2:$A$49,0))</f>
        <v>Dairy &amp; Eggs</v>
      </c>
      <c r="H2676" s="33" t="n">
        <f aca="false">D2676*INDEX(Products!$E$2:$E$49,MATCH(C2676,Products!$A$2:$A$49,0))</f>
        <v>1040</v>
      </c>
      <c r="I2676" s="33" t="n">
        <f aca="false">D2676*INDEX(Products!$D$2:$D$49,MATCH(C2676,Products!$A$2:$A$49,0))*(1+INDEX(Assumptions!$B$16:$B$20,MATCH(B2676,Assumptions!$A$16:$A$20,0)))</f>
        <v>894.08</v>
      </c>
      <c r="J2676" s="33" t="n">
        <f aca="false">H2676-I2676</f>
        <v>145.92</v>
      </c>
      <c r="K2676" s="33" t="n">
        <f aca="false">IF(OR(E2676=0,E2676&gt;=7),0,D2676/(7-E2676)*E2676*INDEX(Products!$E$2:$E$49,MATCH(C2676,Products!$A$2:$A$49,0)))</f>
        <v>2600</v>
      </c>
    </row>
    <row r="2677" customFormat="false" ht="15" hidden="false" customHeight="false" outlineLevel="0" collapsed="false">
      <c r="A2677" s="36" t="n">
        <v>46118</v>
      </c>
      <c r="B2677" s="24" t="s">
        <v>63</v>
      </c>
      <c r="C2677" s="24" t="s">
        <v>137</v>
      </c>
      <c r="D2677" s="33" t="n">
        <v>75</v>
      </c>
      <c r="E2677" s="24" t="n">
        <v>0</v>
      </c>
      <c r="F2677" s="37" t="n">
        <f aca="false">DATE(YEAR(A2677),MONTH(A2677),1)</f>
        <v>46113</v>
      </c>
      <c r="G2677" s="24" t="str">
        <f aca="false">INDEX(Products!$C$2:$C$49,MATCH(C2677,Products!$A$2:$A$49,0))</f>
        <v>Dairy &amp; Eggs</v>
      </c>
      <c r="H2677" s="33" t="n">
        <f aca="false">D2677*INDEX(Products!$E$2:$E$49,MATCH(C2677,Products!$A$2:$A$49,0))</f>
        <v>24000</v>
      </c>
      <c r="I2677" s="33" t="n">
        <f aca="false">D2677*INDEX(Products!$D$2:$D$49,MATCH(C2677,Products!$A$2:$A$49,0))*(1+INDEX(Assumptions!$B$16:$B$20,MATCH(B2677,Assumptions!$A$16:$A$20,0)))</f>
        <v>20421.6</v>
      </c>
      <c r="J2677" s="33" t="n">
        <f aca="false">H2677-I2677</f>
        <v>3578.4</v>
      </c>
      <c r="K2677" s="33" t="n">
        <f aca="false">IF(OR(E2677=0,E2677&gt;=7),0,D2677/(7-E2677)*E2677*INDEX(Products!$E$2:$E$49,MATCH(C2677,Products!$A$2:$A$49,0)))</f>
        <v>0</v>
      </c>
    </row>
    <row r="2678" customFormat="false" ht="15" hidden="false" customHeight="false" outlineLevel="0" collapsed="false">
      <c r="A2678" s="36" t="n">
        <v>46125</v>
      </c>
      <c r="B2678" s="24" t="s">
        <v>63</v>
      </c>
      <c r="C2678" s="24" t="s">
        <v>137</v>
      </c>
      <c r="D2678" s="33" t="n">
        <v>77</v>
      </c>
      <c r="E2678" s="24" t="n">
        <v>0</v>
      </c>
      <c r="F2678" s="37" t="n">
        <f aca="false">DATE(YEAR(A2678),MONTH(A2678),1)</f>
        <v>46113</v>
      </c>
      <c r="G2678" s="24" t="str">
        <f aca="false">INDEX(Products!$C$2:$C$49,MATCH(C2678,Products!$A$2:$A$49,0))</f>
        <v>Dairy &amp; Eggs</v>
      </c>
      <c r="H2678" s="33" t="n">
        <f aca="false">D2678*INDEX(Products!$E$2:$E$49,MATCH(C2678,Products!$A$2:$A$49,0))</f>
        <v>24640</v>
      </c>
      <c r="I2678" s="33" t="n">
        <f aca="false">D2678*INDEX(Products!$D$2:$D$49,MATCH(C2678,Products!$A$2:$A$49,0))*(1+INDEX(Assumptions!$B$16:$B$20,MATCH(B2678,Assumptions!$A$16:$A$20,0)))</f>
        <v>20966.176</v>
      </c>
      <c r="J2678" s="33" t="n">
        <f aca="false">H2678-I2678</f>
        <v>3673.824</v>
      </c>
      <c r="K2678" s="33" t="n">
        <f aca="false">IF(OR(E2678=0,E2678&gt;=7),0,D2678/(7-E2678)*E2678*INDEX(Products!$E$2:$E$49,MATCH(C2678,Products!$A$2:$A$49,0)))</f>
        <v>0</v>
      </c>
    </row>
    <row r="2679" customFormat="false" ht="15" hidden="false" customHeight="false" outlineLevel="0" collapsed="false">
      <c r="A2679" s="36" t="n">
        <v>46132</v>
      </c>
      <c r="B2679" s="24" t="s">
        <v>63</v>
      </c>
      <c r="C2679" s="24" t="s">
        <v>137</v>
      </c>
      <c r="D2679" s="33" t="n">
        <v>90</v>
      </c>
      <c r="E2679" s="24" t="n">
        <v>0</v>
      </c>
      <c r="F2679" s="37" t="n">
        <f aca="false">DATE(YEAR(A2679),MONTH(A2679),1)</f>
        <v>46113</v>
      </c>
      <c r="G2679" s="24" t="str">
        <f aca="false">INDEX(Products!$C$2:$C$49,MATCH(C2679,Products!$A$2:$A$49,0))</f>
        <v>Dairy &amp; Eggs</v>
      </c>
      <c r="H2679" s="33" t="n">
        <f aca="false">D2679*INDEX(Products!$E$2:$E$49,MATCH(C2679,Products!$A$2:$A$49,0))</f>
        <v>28800</v>
      </c>
      <c r="I2679" s="33" t="n">
        <f aca="false">D2679*INDEX(Products!$D$2:$D$49,MATCH(C2679,Products!$A$2:$A$49,0))*(1+INDEX(Assumptions!$B$16:$B$20,MATCH(B2679,Assumptions!$A$16:$A$20,0)))</f>
        <v>24505.92</v>
      </c>
      <c r="J2679" s="33" t="n">
        <f aca="false">H2679-I2679</f>
        <v>4294.08</v>
      </c>
      <c r="K2679" s="33" t="n">
        <f aca="false">IF(OR(E2679=0,E2679&gt;=7),0,D2679/(7-E2679)*E2679*INDEX(Products!$E$2:$E$49,MATCH(C2679,Products!$A$2:$A$49,0)))</f>
        <v>0</v>
      </c>
    </row>
    <row r="2680" customFormat="false" ht="15" hidden="false" customHeight="false" outlineLevel="0" collapsed="false">
      <c r="A2680" s="36" t="n">
        <v>46139</v>
      </c>
      <c r="B2680" s="24" t="s">
        <v>63</v>
      </c>
      <c r="C2680" s="24" t="s">
        <v>137</v>
      </c>
      <c r="D2680" s="33" t="n">
        <v>74</v>
      </c>
      <c r="E2680" s="24" t="n">
        <v>0</v>
      </c>
      <c r="F2680" s="37" t="n">
        <f aca="false">DATE(YEAR(A2680),MONTH(A2680),1)</f>
        <v>46113</v>
      </c>
      <c r="G2680" s="24" t="str">
        <f aca="false">INDEX(Products!$C$2:$C$49,MATCH(C2680,Products!$A$2:$A$49,0))</f>
        <v>Dairy &amp; Eggs</v>
      </c>
      <c r="H2680" s="33" t="n">
        <f aca="false">D2680*INDEX(Products!$E$2:$E$49,MATCH(C2680,Products!$A$2:$A$49,0))</f>
        <v>23680</v>
      </c>
      <c r="I2680" s="33" t="n">
        <f aca="false">D2680*INDEX(Products!$D$2:$D$49,MATCH(C2680,Products!$A$2:$A$49,0))*(1+INDEX(Assumptions!$B$16:$B$20,MATCH(B2680,Assumptions!$A$16:$A$20,0)))</f>
        <v>20149.312</v>
      </c>
      <c r="J2680" s="33" t="n">
        <f aca="false">H2680-I2680</f>
        <v>3530.688</v>
      </c>
      <c r="K2680" s="33" t="n">
        <f aca="false">IF(OR(E2680=0,E2680&gt;=7),0,D2680/(7-E2680)*E2680*INDEX(Products!$E$2:$E$49,MATCH(C2680,Products!$A$2:$A$49,0)))</f>
        <v>0</v>
      </c>
    </row>
    <row r="2681" customFormat="false" ht="15" hidden="false" customHeight="false" outlineLevel="0" collapsed="false">
      <c r="A2681" s="36" t="n">
        <v>46146</v>
      </c>
      <c r="B2681" s="24" t="s">
        <v>63</v>
      </c>
      <c r="C2681" s="24" t="s">
        <v>137</v>
      </c>
      <c r="D2681" s="33" t="n">
        <v>97</v>
      </c>
      <c r="E2681" s="24" t="n">
        <v>0</v>
      </c>
      <c r="F2681" s="37" t="n">
        <f aca="false">DATE(YEAR(A2681),MONTH(A2681),1)</f>
        <v>46143</v>
      </c>
      <c r="G2681" s="24" t="str">
        <f aca="false">INDEX(Products!$C$2:$C$49,MATCH(C2681,Products!$A$2:$A$49,0))</f>
        <v>Dairy &amp; Eggs</v>
      </c>
      <c r="H2681" s="33" t="n">
        <f aca="false">D2681*INDEX(Products!$E$2:$E$49,MATCH(C2681,Products!$A$2:$A$49,0))</f>
        <v>31040</v>
      </c>
      <c r="I2681" s="33" t="n">
        <f aca="false">D2681*INDEX(Products!$D$2:$D$49,MATCH(C2681,Products!$A$2:$A$49,0))*(1+INDEX(Assumptions!$B$16:$B$20,MATCH(B2681,Assumptions!$A$16:$A$20,0)))</f>
        <v>26411.936</v>
      </c>
      <c r="J2681" s="33" t="n">
        <f aca="false">H2681-I2681</f>
        <v>4628.064</v>
      </c>
      <c r="K2681" s="33" t="n">
        <f aca="false">IF(OR(E2681=0,E2681&gt;=7),0,D2681/(7-E2681)*E2681*INDEX(Products!$E$2:$E$49,MATCH(C2681,Products!$A$2:$A$49,0)))</f>
        <v>0</v>
      </c>
    </row>
    <row r="2682" customFormat="false" ht="15" hidden="false" customHeight="false" outlineLevel="0" collapsed="false">
      <c r="A2682" s="36" t="n">
        <v>46153</v>
      </c>
      <c r="B2682" s="24" t="s">
        <v>63</v>
      </c>
      <c r="C2682" s="24" t="s">
        <v>137</v>
      </c>
      <c r="D2682" s="33" t="n">
        <v>84</v>
      </c>
      <c r="E2682" s="24" t="n">
        <v>0</v>
      </c>
      <c r="F2682" s="37" t="n">
        <f aca="false">DATE(YEAR(A2682),MONTH(A2682),1)</f>
        <v>46143</v>
      </c>
      <c r="G2682" s="24" t="str">
        <f aca="false">INDEX(Products!$C$2:$C$49,MATCH(C2682,Products!$A$2:$A$49,0))</f>
        <v>Dairy &amp; Eggs</v>
      </c>
      <c r="H2682" s="33" t="n">
        <f aca="false">D2682*INDEX(Products!$E$2:$E$49,MATCH(C2682,Products!$A$2:$A$49,0))</f>
        <v>26880</v>
      </c>
      <c r="I2682" s="33" t="n">
        <f aca="false">D2682*INDEX(Products!$D$2:$D$49,MATCH(C2682,Products!$A$2:$A$49,0))*(1+INDEX(Assumptions!$B$16:$B$20,MATCH(B2682,Assumptions!$A$16:$A$20,0)))</f>
        <v>22872.192</v>
      </c>
      <c r="J2682" s="33" t="n">
        <f aca="false">H2682-I2682</f>
        <v>4007.808</v>
      </c>
      <c r="K2682" s="33" t="n">
        <f aca="false">IF(OR(E2682=0,E2682&gt;=7),0,D2682/(7-E2682)*E2682*INDEX(Products!$E$2:$E$49,MATCH(C2682,Products!$A$2:$A$49,0)))</f>
        <v>0</v>
      </c>
    </row>
    <row r="2683" customFormat="false" ht="15" hidden="false" customHeight="false" outlineLevel="0" collapsed="false">
      <c r="A2683" s="36" t="n">
        <v>46160</v>
      </c>
      <c r="B2683" s="24" t="s">
        <v>63</v>
      </c>
      <c r="C2683" s="24" t="s">
        <v>137</v>
      </c>
      <c r="D2683" s="33" t="n">
        <v>50</v>
      </c>
      <c r="E2683" s="24" t="n">
        <v>2</v>
      </c>
      <c r="F2683" s="37" t="n">
        <f aca="false">DATE(YEAR(A2683),MONTH(A2683),1)</f>
        <v>46143</v>
      </c>
      <c r="G2683" s="24" t="str">
        <f aca="false">INDEX(Products!$C$2:$C$49,MATCH(C2683,Products!$A$2:$A$49,0))</f>
        <v>Dairy &amp; Eggs</v>
      </c>
      <c r="H2683" s="33" t="n">
        <f aca="false">D2683*INDEX(Products!$E$2:$E$49,MATCH(C2683,Products!$A$2:$A$49,0))</f>
        <v>16000</v>
      </c>
      <c r="I2683" s="33" t="n">
        <f aca="false">D2683*INDEX(Products!$D$2:$D$49,MATCH(C2683,Products!$A$2:$A$49,0))*(1+INDEX(Assumptions!$B$16:$B$20,MATCH(B2683,Assumptions!$A$16:$A$20,0)))</f>
        <v>13614.4</v>
      </c>
      <c r="J2683" s="33" t="n">
        <f aca="false">H2683-I2683</f>
        <v>2385.6</v>
      </c>
      <c r="K2683" s="33" t="n">
        <f aca="false">IF(OR(E2683=0,E2683&gt;=7),0,D2683/(7-E2683)*E2683*INDEX(Products!$E$2:$E$49,MATCH(C2683,Products!$A$2:$A$49,0)))</f>
        <v>6400</v>
      </c>
    </row>
    <row r="2684" customFormat="false" ht="15" hidden="false" customHeight="false" outlineLevel="0" collapsed="false">
      <c r="A2684" s="36" t="n">
        <v>46167</v>
      </c>
      <c r="B2684" s="24" t="s">
        <v>63</v>
      </c>
      <c r="C2684" s="24" t="s">
        <v>137</v>
      </c>
      <c r="D2684" s="33" t="n">
        <v>77</v>
      </c>
      <c r="E2684" s="24" t="n">
        <v>0</v>
      </c>
      <c r="F2684" s="37" t="n">
        <f aca="false">DATE(YEAR(A2684),MONTH(A2684),1)</f>
        <v>46143</v>
      </c>
      <c r="G2684" s="24" t="str">
        <f aca="false">INDEX(Products!$C$2:$C$49,MATCH(C2684,Products!$A$2:$A$49,0))</f>
        <v>Dairy &amp; Eggs</v>
      </c>
      <c r="H2684" s="33" t="n">
        <f aca="false">D2684*INDEX(Products!$E$2:$E$49,MATCH(C2684,Products!$A$2:$A$49,0))</f>
        <v>24640</v>
      </c>
      <c r="I2684" s="33" t="n">
        <f aca="false">D2684*INDEX(Products!$D$2:$D$49,MATCH(C2684,Products!$A$2:$A$49,0))*(1+INDEX(Assumptions!$B$16:$B$20,MATCH(B2684,Assumptions!$A$16:$A$20,0)))</f>
        <v>20966.176</v>
      </c>
      <c r="J2684" s="33" t="n">
        <f aca="false">H2684-I2684</f>
        <v>3673.824</v>
      </c>
      <c r="K2684" s="33" t="n">
        <f aca="false">IF(OR(E2684=0,E2684&gt;=7),0,D2684/(7-E2684)*E2684*INDEX(Products!$E$2:$E$49,MATCH(C2684,Products!$A$2:$A$49,0)))</f>
        <v>0</v>
      </c>
    </row>
    <row r="2685" customFormat="false" ht="15" hidden="false" customHeight="false" outlineLevel="0" collapsed="false">
      <c r="A2685" s="36" t="n">
        <v>46174</v>
      </c>
      <c r="B2685" s="24" t="s">
        <v>63</v>
      </c>
      <c r="C2685" s="24" t="s">
        <v>137</v>
      </c>
      <c r="D2685" s="33" t="n">
        <v>75</v>
      </c>
      <c r="E2685" s="24" t="n">
        <v>0</v>
      </c>
      <c r="F2685" s="37" t="n">
        <f aca="false">DATE(YEAR(A2685),MONTH(A2685),1)</f>
        <v>46174</v>
      </c>
      <c r="G2685" s="24" t="str">
        <f aca="false">INDEX(Products!$C$2:$C$49,MATCH(C2685,Products!$A$2:$A$49,0))</f>
        <v>Dairy &amp; Eggs</v>
      </c>
      <c r="H2685" s="33" t="n">
        <f aca="false">D2685*INDEX(Products!$E$2:$E$49,MATCH(C2685,Products!$A$2:$A$49,0))</f>
        <v>24000</v>
      </c>
      <c r="I2685" s="33" t="n">
        <f aca="false">D2685*INDEX(Products!$D$2:$D$49,MATCH(C2685,Products!$A$2:$A$49,0))*(1+INDEX(Assumptions!$B$16:$B$20,MATCH(B2685,Assumptions!$A$16:$A$20,0)))</f>
        <v>20421.6</v>
      </c>
      <c r="J2685" s="33" t="n">
        <f aca="false">H2685-I2685</f>
        <v>3578.4</v>
      </c>
      <c r="K2685" s="33" t="n">
        <f aca="false">IF(OR(E2685=0,E2685&gt;=7),0,D2685/(7-E2685)*E2685*INDEX(Products!$E$2:$E$49,MATCH(C2685,Products!$A$2:$A$49,0)))</f>
        <v>0</v>
      </c>
    </row>
    <row r="2686" customFormat="false" ht="15" hidden="false" customHeight="false" outlineLevel="0" collapsed="false">
      <c r="A2686" s="36" t="n">
        <v>46181</v>
      </c>
      <c r="B2686" s="24" t="s">
        <v>63</v>
      </c>
      <c r="C2686" s="24" t="s">
        <v>137</v>
      </c>
      <c r="D2686" s="33" t="n">
        <v>83</v>
      </c>
      <c r="E2686" s="24" t="n">
        <v>0</v>
      </c>
      <c r="F2686" s="37" t="n">
        <f aca="false">DATE(YEAR(A2686),MONTH(A2686),1)</f>
        <v>46174</v>
      </c>
      <c r="G2686" s="24" t="str">
        <f aca="false">INDEX(Products!$C$2:$C$49,MATCH(C2686,Products!$A$2:$A$49,0))</f>
        <v>Dairy &amp; Eggs</v>
      </c>
      <c r="H2686" s="33" t="n">
        <f aca="false">D2686*INDEX(Products!$E$2:$E$49,MATCH(C2686,Products!$A$2:$A$49,0))</f>
        <v>26560</v>
      </c>
      <c r="I2686" s="33" t="n">
        <f aca="false">D2686*INDEX(Products!$D$2:$D$49,MATCH(C2686,Products!$A$2:$A$49,0))*(1+INDEX(Assumptions!$B$16:$B$20,MATCH(B2686,Assumptions!$A$16:$A$20,0)))</f>
        <v>22599.904</v>
      </c>
      <c r="J2686" s="33" t="n">
        <f aca="false">H2686-I2686</f>
        <v>3960.096</v>
      </c>
      <c r="K2686" s="33" t="n">
        <f aca="false">IF(OR(E2686=0,E2686&gt;=7),0,D2686/(7-E2686)*E2686*INDEX(Products!$E$2:$E$49,MATCH(C2686,Products!$A$2:$A$49,0)))</f>
        <v>0</v>
      </c>
    </row>
    <row r="2687" customFormat="false" ht="15" hidden="false" customHeight="false" outlineLevel="0" collapsed="false">
      <c r="A2687" s="36" t="n">
        <v>46188</v>
      </c>
      <c r="B2687" s="24" t="s">
        <v>63</v>
      </c>
      <c r="C2687" s="24" t="s">
        <v>137</v>
      </c>
      <c r="D2687" s="33" t="n">
        <v>76</v>
      </c>
      <c r="E2687" s="24" t="n">
        <v>0</v>
      </c>
      <c r="F2687" s="37" t="n">
        <f aca="false">DATE(YEAR(A2687),MONTH(A2687),1)</f>
        <v>46174</v>
      </c>
      <c r="G2687" s="24" t="str">
        <f aca="false">INDEX(Products!$C$2:$C$49,MATCH(C2687,Products!$A$2:$A$49,0))</f>
        <v>Dairy &amp; Eggs</v>
      </c>
      <c r="H2687" s="33" t="n">
        <f aca="false">D2687*INDEX(Products!$E$2:$E$49,MATCH(C2687,Products!$A$2:$A$49,0))</f>
        <v>24320</v>
      </c>
      <c r="I2687" s="33" t="n">
        <f aca="false">D2687*INDEX(Products!$D$2:$D$49,MATCH(C2687,Products!$A$2:$A$49,0))*(1+INDEX(Assumptions!$B$16:$B$20,MATCH(B2687,Assumptions!$A$16:$A$20,0)))</f>
        <v>20693.888</v>
      </c>
      <c r="J2687" s="33" t="n">
        <f aca="false">H2687-I2687</f>
        <v>3626.112</v>
      </c>
      <c r="K2687" s="33" t="n">
        <f aca="false">IF(OR(E2687=0,E2687&gt;=7),0,D2687/(7-E2687)*E2687*INDEX(Products!$E$2:$E$49,MATCH(C2687,Products!$A$2:$A$49,0)))</f>
        <v>0</v>
      </c>
    </row>
    <row r="2688" customFormat="false" ht="15" hidden="false" customHeight="false" outlineLevel="0" collapsed="false">
      <c r="A2688" s="36" t="n">
        <v>46195</v>
      </c>
      <c r="B2688" s="24" t="s">
        <v>63</v>
      </c>
      <c r="C2688" s="24" t="s">
        <v>137</v>
      </c>
      <c r="D2688" s="33" t="n">
        <v>86</v>
      </c>
      <c r="E2688" s="24" t="n">
        <v>0</v>
      </c>
      <c r="F2688" s="37" t="n">
        <f aca="false">DATE(YEAR(A2688),MONTH(A2688),1)</f>
        <v>46174</v>
      </c>
      <c r="G2688" s="24" t="str">
        <f aca="false">INDEX(Products!$C$2:$C$49,MATCH(C2688,Products!$A$2:$A$49,0))</f>
        <v>Dairy &amp; Eggs</v>
      </c>
      <c r="H2688" s="33" t="n">
        <f aca="false">D2688*INDEX(Products!$E$2:$E$49,MATCH(C2688,Products!$A$2:$A$49,0))</f>
        <v>27520</v>
      </c>
      <c r="I2688" s="33" t="n">
        <f aca="false">D2688*INDEX(Products!$D$2:$D$49,MATCH(C2688,Products!$A$2:$A$49,0))*(1+INDEX(Assumptions!$B$16:$B$20,MATCH(B2688,Assumptions!$A$16:$A$20,0)))</f>
        <v>23416.768</v>
      </c>
      <c r="J2688" s="33" t="n">
        <f aca="false">H2688-I2688</f>
        <v>4103.232</v>
      </c>
      <c r="K2688" s="33" t="n">
        <f aca="false">IF(OR(E2688=0,E2688&gt;=7),0,D2688/(7-E2688)*E2688*INDEX(Products!$E$2:$E$49,MATCH(C2688,Products!$A$2:$A$49,0)))</f>
        <v>0</v>
      </c>
    </row>
    <row r="2689" customFormat="false" ht="15" hidden="false" customHeight="false" outlineLevel="0" collapsed="false">
      <c r="A2689" s="36" t="n">
        <v>46202</v>
      </c>
      <c r="B2689" s="24" t="s">
        <v>63</v>
      </c>
      <c r="C2689" s="24" t="s">
        <v>137</v>
      </c>
      <c r="D2689" s="33" t="n">
        <v>96</v>
      </c>
      <c r="E2689" s="24" t="n">
        <v>0</v>
      </c>
      <c r="F2689" s="37" t="n">
        <f aca="false">DATE(YEAR(A2689),MONTH(A2689),1)</f>
        <v>46174</v>
      </c>
      <c r="G2689" s="24" t="str">
        <f aca="false">INDEX(Products!$C$2:$C$49,MATCH(C2689,Products!$A$2:$A$49,0))</f>
        <v>Dairy &amp; Eggs</v>
      </c>
      <c r="H2689" s="33" t="n">
        <f aca="false">D2689*INDEX(Products!$E$2:$E$49,MATCH(C2689,Products!$A$2:$A$49,0))</f>
        <v>30720</v>
      </c>
      <c r="I2689" s="33" t="n">
        <f aca="false">D2689*INDEX(Products!$D$2:$D$49,MATCH(C2689,Products!$A$2:$A$49,0))*(1+INDEX(Assumptions!$B$16:$B$20,MATCH(B2689,Assumptions!$A$16:$A$20,0)))</f>
        <v>26139.648</v>
      </c>
      <c r="J2689" s="33" t="n">
        <f aca="false">H2689-I2689</f>
        <v>4580.352</v>
      </c>
      <c r="K2689" s="33" t="n">
        <f aca="false">IF(OR(E2689=0,E2689&gt;=7),0,D2689/(7-E2689)*E2689*INDEX(Products!$E$2:$E$49,MATCH(C2689,Products!$A$2:$A$49,0)))</f>
        <v>0</v>
      </c>
    </row>
    <row r="2690" customFormat="false" ht="15" hidden="false" customHeight="false" outlineLevel="0" collapsed="false">
      <c r="A2690" s="36" t="n">
        <v>46209</v>
      </c>
      <c r="B2690" s="24" t="s">
        <v>63</v>
      </c>
      <c r="C2690" s="24" t="s">
        <v>137</v>
      </c>
      <c r="D2690" s="33" t="n">
        <v>71</v>
      </c>
      <c r="E2690" s="24" t="n">
        <v>0</v>
      </c>
      <c r="F2690" s="37" t="n">
        <f aca="false">DATE(YEAR(A2690),MONTH(A2690),1)</f>
        <v>46204</v>
      </c>
      <c r="G2690" s="24" t="str">
        <f aca="false">INDEX(Products!$C$2:$C$49,MATCH(C2690,Products!$A$2:$A$49,0))</f>
        <v>Dairy &amp; Eggs</v>
      </c>
      <c r="H2690" s="33" t="n">
        <f aca="false">D2690*INDEX(Products!$E$2:$E$49,MATCH(C2690,Products!$A$2:$A$49,0))</f>
        <v>22720</v>
      </c>
      <c r="I2690" s="33" t="n">
        <f aca="false">D2690*INDEX(Products!$D$2:$D$49,MATCH(C2690,Products!$A$2:$A$49,0))*(1+INDEX(Assumptions!$B$16:$B$20,MATCH(B2690,Assumptions!$A$16:$A$20,0)))</f>
        <v>19332.448</v>
      </c>
      <c r="J2690" s="33" t="n">
        <f aca="false">H2690-I2690</f>
        <v>3387.552</v>
      </c>
      <c r="K2690" s="33" t="n">
        <f aca="false">IF(OR(E2690=0,E2690&gt;=7),0,D2690/(7-E2690)*E2690*INDEX(Products!$E$2:$E$49,MATCH(C2690,Products!$A$2:$A$49,0)))</f>
        <v>0</v>
      </c>
    </row>
    <row r="2691" customFormat="false" ht="15" hidden="false" customHeight="false" outlineLevel="0" collapsed="false">
      <c r="A2691" s="36" t="n">
        <v>46216</v>
      </c>
      <c r="B2691" s="24" t="s">
        <v>63</v>
      </c>
      <c r="C2691" s="24" t="s">
        <v>137</v>
      </c>
      <c r="D2691" s="33" t="n">
        <v>63</v>
      </c>
      <c r="E2691" s="24" t="n">
        <v>0</v>
      </c>
      <c r="F2691" s="37" t="n">
        <f aca="false">DATE(YEAR(A2691),MONTH(A2691),1)</f>
        <v>46204</v>
      </c>
      <c r="G2691" s="24" t="str">
        <f aca="false">INDEX(Products!$C$2:$C$49,MATCH(C2691,Products!$A$2:$A$49,0))</f>
        <v>Dairy &amp; Eggs</v>
      </c>
      <c r="H2691" s="33" t="n">
        <f aca="false">D2691*INDEX(Products!$E$2:$E$49,MATCH(C2691,Products!$A$2:$A$49,0))</f>
        <v>20160</v>
      </c>
      <c r="I2691" s="33" t="n">
        <f aca="false">D2691*INDEX(Products!$D$2:$D$49,MATCH(C2691,Products!$A$2:$A$49,0))*(1+INDEX(Assumptions!$B$16:$B$20,MATCH(B2691,Assumptions!$A$16:$A$20,0)))</f>
        <v>17154.144</v>
      </c>
      <c r="J2691" s="33" t="n">
        <f aca="false">H2691-I2691</f>
        <v>3005.856</v>
      </c>
      <c r="K2691" s="33" t="n">
        <f aca="false">IF(OR(E2691=0,E2691&gt;=7),0,D2691/(7-E2691)*E2691*INDEX(Products!$E$2:$E$49,MATCH(C2691,Products!$A$2:$A$49,0)))</f>
        <v>0</v>
      </c>
    </row>
    <row r="2692" customFormat="false" ht="15" hidden="false" customHeight="false" outlineLevel="0" collapsed="false">
      <c r="A2692" s="36" t="n">
        <v>46223</v>
      </c>
      <c r="B2692" s="24" t="s">
        <v>63</v>
      </c>
      <c r="C2692" s="24" t="s">
        <v>137</v>
      </c>
      <c r="D2692" s="33" t="n">
        <v>66</v>
      </c>
      <c r="E2692" s="24" t="n">
        <v>0</v>
      </c>
      <c r="F2692" s="37" t="n">
        <f aca="false">DATE(YEAR(A2692),MONTH(A2692),1)</f>
        <v>46204</v>
      </c>
      <c r="G2692" s="24" t="str">
        <f aca="false">INDEX(Products!$C$2:$C$49,MATCH(C2692,Products!$A$2:$A$49,0))</f>
        <v>Dairy &amp; Eggs</v>
      </c>
      <c r="H2692" s="33" t="n">
        <f aca="false">D2692*INDEX(Products!$E$2:$E$49,MATCH(C2692,Products!$A$2:$A$49,0))</f>
        <v>21120</v>
      </c>
      <c r="I2692" s="33" t="n">
        <f aca="false">D2692*INDEX(Products!$D$2:$D$49,MATCH(C2692,Products!$A$2:$A$49,0))*(1+INDEX(Assumptions!$B$16:$B$20,MATCH(B2692,Assumptions!$A$16:$A$20,0)))</f>
        <v>17971.008</v>
      </c>
      <c r="J2692" s="33" t="n">
        <f aca="false">H2692-I2692</f>
        <v>3148.992</v>
      </c>
      <c r="K2692" s="33" t="n">
        <f aca="false">IF(OR(E2692=0,E2692&gt;=7),0,D2692/(7-E2692)*E2692*INDEX(Products!$E$2:$E$49,MATCH(C2692,Products!$A$2:$A$49,0)))</f>
        <v>0</v>
      </c>
    </row>
    <row r="2693" customFormat="false" ht="15" hidden="false" customHeight="false" outlineLevel="0" collapsed="false">
      <c r="A2693" s="36" t="n">
        <v>46230</v>
      </c>
      <c r="B2693" s="24" t="s">
        <v>63</v>
      </c>
      <c r="C2693" s="24" t="s">
        <v>137</v>
      </c>
      <c r="D2693" s="33" t="n">
        <v>60</v>
      </c>
      <c r="E2693" s="24" t="n">
        <v>1</v>
      </c>
      <c r="F2693" s="37" t="n">
        <f aca="false">DATE(YEAR(A2693),MONTH(A2693),1)</f>
        <v>46204</v>
      </c>
      <c r="G2693" s="24" t="str">
        <f aca="false">INDEX(Products!$C$2:$C$49,MATCH(C2693,Products!$A$2:$A$49,0))</f>
        <v>Dairy &amp; Eggs</v>
      </c>
      <c r="H2693" s="33" t="n">
        <f aca="false">D2693*INDEX(Products!$E$2:$E$49,MATCH(C2693,Products!$A$2:$A$49,0))</f>
        <v>19200</v>
      </c>
      <c r="I2693" s="33" t="n">
        <f aca="false">D2693*INDEX(Products!$D$2:$D$49,MATCH(C2693,Products!$A$2:$A$49,0))*(1+INDEX(Assumptions!$B$16:$B$20,MATCH(B2693,Assumptions!$A$16:$A$20,0)))</f>
        <v>16337.28</v>
      </c>
      <c r="J2693" s="33" t="n">
        <f aca="false">H2693-I2693</f>
        <v>2862.72</v>
      </c>
      <c r="K2693" s="33" t="n">
        <f aca="false">IF(OR(E2693=0,E2693&gt;=7),0,D2693/(7-E2693)*E2693*INDEX(Products!$E$2:$E$49,MATCH(C2693,Products!$A$2:$A$49,0)))</f>
        <v>3200</v>
      </c>
    </row>
    <row r="2694" customFormat="false" ht="15" hidden="false" customHeight="false" outlineLevel="0" collapsed="false">
      <c r="A2694" s="36" t="n">
        <v>46237</v>
      </c>
      <c r="B2694" s="24" t="s">
        <v>63</v>
      </c>
      <c r="C2694" s="24" t="s">
        <v>137</v>
      </c>
      <c r="D2694" s="33" t="n">
        <v>134</v>
      </c>
      <c r="E2694" s="24" t="n">
        <v>0</v>
      </c>
      <c r="F2694" s="37" t="n">
        <f aca="false">DATE(YEAR(A2694),MONTH(A2694),1)</f>
        <v>46235</v>
      </c>
      <c r="G2694" s="24" t="str">
        <f aca="false">INDEX(Products!$C$2:$C$49,MATCH(C2694,Products!$A$2:$A$49,0))</f>
        <v>Dairy &amp; Eggs</v>
      </c>
      <c r="H2694" s="33" t="n">
        <f aca="false">D2694*INDEX(Products!$E$2:$E$49,MATCH(C2694,Products!$A$2:$A$49,0))</f>
        <v>42880</v>
      </c>
      <c r="I2694" s="33" t="n">
        <f aca="false">D2694*INDEX(Products!$D$2:$D$49,MATCH(C2694,Products!$A$2:$A$49,0))*(1+INDEX(Assumptions!$B$16:$B$20,MATCH(B2694,Assumptions!$A$16:$A$20,0)))</f>
        <v>36486.592</v>
      </c>
      <c r="J2694" s="33" t="n">
        <f aca="false">H2694-I2694</f>
        <v>6393.408</v>
      </c>
      <c r="K2694" s="33" t="n">
        <f aca="false">IF(OR(E2694=0,E2694&gt;=7),0,D2694/(7-E2694)*E2694*INDEX(Products!$E$2:$E$49,MATCH(C2694,Products!$A$2:$A$49,0)))</f>
        <v>0</v>
      </c>
    </row>
    <row r="2695" customFormat="false" ht="15" hidden="false" customHeight="false" outlineLevel="0" collapsed="false">
      <c r="A2695" s="36" t="n">
        <v>46244</v>
      </c>
      <c r="B2695" s="24" t="s">
        <v>63</v>
      </c>
      <c r="C2695" s="24" t="s">
        <v>137</v>
      </c>
      <c r="D2695" s="33" t="n">
        <v>57</v>
      </c>
      <c r="E2695" s="24" t="n">
        <v>0</v>
      </c>
      <c r="F2695" s="37" t="n">
        <f aca="false">DATE(YEAR(A2695),MONTH(A2695),1)</f>
        <v>46235</v>
      </c>
      <c r="G2695" s="24" t="str">
        <f aca="false">INDEX(Products!$C$2:$C$49,MATCH(C2695,Products!$A$2:$A$49,0))</f>
        <v>Dairy &amp; Eggs</v>
      </c>
      <c r="H2695" s="33" t="n">
        <f aca="false">D2695*INDEX(Products!$E$2:$E$49,MATCH(C2695,Products!$A$2:$A$49,0))</f>
        <v>18240</v>
      </c>
      <c r="I2695" s="33" t="n">
        <f aca="false">D2695*INDEX(Products!$D$2:$D$49,MATCH(C2695,Products!$A$2:$A$49,0))*(1+INDEX(Assumptions!$B$16:$B$20,MATCH(B2695,Assumptions!$A$16:$A$20,0)))</f>
        <v>15520.416</v>
      </c>
      <c r="J2695" s="33" t="n">
        <f aca="false">H2695-I2695</f>
        <v>2719.584</v>
      </c>
      <c r="K2695" s="33" t="n">
        <f aca="false">IF(OR(E2695=0,E2695&gt;=7),0,D2695/(7-E2695)*E2695*INDEX(Products!$E$2:$E$49,MATCH(C2695,Products!$A$2:$A$49,0)))</f>
        <v>0</v>
      </c>
    </row>
    <row r="2696" customFormat="false" ht="15" hidden="false" customHeight="false" outlineLevel="0" collapsed="false">
      <c r="A2696" s="36" t="n">
        <v>46251</v>
      </c>
      <c r="B2696" s="24" t="s">
        <v>63</v>
      </c>
      <c r="C2696" s="24" t="s">
        <v>137</v>
      </c>
      <c r="D2696" s="33" t="n">
        <v>70</v>
      </c>
      <c r="E2696" s="24" t="n">
        <v>0</v>
      </c>
      <c r="F2696" s="37" t="n">
        <f aca="false">DATE(YEAR(A2696),MONTH(A2696),1)</f>
        <v>46235</v>
      </c>
      <c r="G2696" s="24" t="str">
        <f aca="false">INDEX(Products!$C$2:$C$49,MATCH(C2696,Products!$A$2:$A$49,0))</f>
        <v>Dairy &amp; Eggs</v>
      </c>
      <c r="H2696" s="33" t="n">
        <f aca="false">D2696*INDEX(Products!$E$2:$E$49,MATCH(C2696,Products!$A$2:$A$49,0))</f>
        <v>22400</v>
      </c>
      <c r="I2696" s="33" t="n">
        <f aca="false">D2696*INDEX(Products!$D$2:$D$49,MATCH(C2696,Products!$A$2:$A$49,0))*(1+INDEX(Assumptions!$B$16:$B$20,MATCH(B2696,Assumptions!$A$16:$A$20,0)))</f>
        <v>19060.16</v>
      </c>
      <c r="J2696" s="33" t="n">
        <f aca="false">H2696-I2696</f>
        <v>3339.84</v>
      </c>
      <c r="K2696" s="33" t="n">
        <f aca="false">IF(OR(E2696=0,E2696&gt;=7),0,D2696/(7-E2696)*E2696*INDEX(Products!$E$2:$E$49,MATCH(C2696,Products!$A$2:$A$49,0)))</f>
        <v>0</v>
      </c>
    </row>
    <row r="2697" customFormat="false" ht="15" hidden="false" customHeight="false" outlineLevel="0" collapsed="false">
      <c r="A2697" s="36" t="n">
        <v>46258</v>
      </c>
      <c r="B2697" s="24" t="s">
        <v>63</v>
      </c>
      <c r="C2697" s="24" t="s">
        <v>137</v>
      </c>
      <c r="D2697" s="33" t="n">
        <v>79</v>
      </c>
      <c r="E2697" s="24" t="n">
        <v>0</v>
      </c>
      <c r="F2697" s="37" t="n">
        <f aca="false">DATE(YEAR(A2697),MONTH(A2697),1)</f>
        <v>46235</v>
      </c>
      <c r="G2697" s="24" t="str">
        <f aca="false">INDEX(Products!$C$2:$C$49,MATCH(C2697,Products!$A$2:$A$49,0))</f>
        <v>Dairy &amp; Eggs</v>
      </c>
      <c r="H2697" s="33" t="n">
        <f aca="false">D2697*INDEX(Products!$E$2:$E$49,MATCH(C2697,Products!$A$2:$A$49,0))</f>
        <v>25280</v>
      </c>
      <c r="I2697" s="33" t="n">
        <f aca="false">D2697*INDEX(Products!$D$2:$D$49,MATCH(C2697,Products!$A$2:$A$49,0))*(1+INDEX(Assumptions!$B$16:$B$20,MATCH(B2697,Assumptions!$A$16:$A$20,0)))</f>
        <v>21510.752</v>
      </c>
      <c r="J2697" s="33" t="n">
        <f aca="false">H2697-I2697</f>
        <v>3769.248</v>
      </c>
      <c r="K2697" s="33" t="n">
        <f aca="false">IF(OR(E2697=0,E2697&gt;=7),0,D2697/(7-E2697)*E2697*INDEX(Products!$E$2:$E$49,MATCH(C2697,Products!$A$2:$A$49,0)))</f>
        <v>0</v>
      </c>
    </row>
    <row r="2698" customFormat="false" ht="15" hidden="false" customHeight="false" outlineLevel="0" collapsed="false">
      <c r="A2698" s="36" t="n">
        <v>46265</v>
      </c>
      <c r="B2698" s="24" t="s">
        <v>63</v>
      </c>
      <c r="C2698" s="24" t="s">
        <v>137</v>
      </c>
      <c r="D2698" s="33" t="n">
        <v>81</v>
      </c>
      <c r="E2698" s="24" t="n">
        <v>0</v>
      </c>
      <c r="F2698" s="37" t="n">
        <f aca="false">DATE(YEAR(A2698),MONTH(A2698),1)</f>
        <v>46235</v>
      </c>
      <c r="G2698" s="24" t="str">
        <f aca="false">INDEX(Products!$C$2:$C$49,MATCH(C2698,Products!$A$2:$A$49,0))</f>
        <v>Dairy &amp; Eggs</v>
      </c>
      <c r="H2698" s="33" t="n">
        <f aca="false">D2698*INDEX(Products!$E$2:$E$49,MATCH(C2698,Products!$A$2:$A$49,0))</f>
        <v>25920</v>
      </c>
      <c r="I2698" s="33" t="n">
        <f aca="false">D2698*INDEX(Products!$D$2:$D$49,MATCH(C2698,Products!$A$2:$A$49,0))*(1+INDEX(Assumptions!$B$16:$B$20,MATCH(B2698,Assumptions!$A$16:$A$20,0)))</f>
        <v>22055.328</v>
      </c>
      <c r="J2698" s="33" t="n">
        <f aca="false">H2698-I2698</f>
        <v>3864.672</v>
      </c>
      <c r="K2698" s="33" t="n">
        <f aca="false">IF(OR(E2698=0,E2698&gt;=7),0,D2698/(7-E2698)*E2698*INDEX(Products!$E$2:$E$49,MATCH(C2698,Products!$A$2:$A$49,0)))</f>
        <v>0</v>
      </c>
    </row>
    <row r="2699" customFormat="false" ht="15" hidden="false" customHeight="false" outlineLevel="0" collapsed="false">
      <c r="A2699" s="36" t="n">
        <v>46272</v>
      </c>
      <c r="B2699" s="24" t="s">
        <v>63</v>
      </c>
      <c r="C2699" s="24" t="s">
        <v>137</v>
      </c>
      <c r="D2699" s="33" t="n">
        <v>77</v>
      </c>
      <c r="E2699" s="24" t="n">
        <v>0</v>
      </c>
      <c r="F2699" s="37" t="n">
        <f aca="false">DATE(YEAR(A2699),MONTH(A2699),1)</f>
        <v>46266</v>
      </c>
      <c r="G2699" s="24" t="str">
        <f aca="false">INDEX(Products!$C$2:$C$49,MATCH(C2699,Products!$A$2:$A$49,0))</f>
        <v>Dairy &amp; Eggs</v>
      </c>
      <c r="H2699" s="33" t="n">
        <f aca="false">D2699*INDEX(Products!$E$2:$E$49,MATCH(C2699,Products!$A$2:$A$49,0))</f>
        <v>24640</v>
      </c>
      <c r="I2699" s="33" t="n">
        <f aca="false">D2699*INDEX(Products!$D$2:$D$49,MATCH(C2699,Products!$A$2:$A$49,0))*(1+INDEX(Assumptions!$B$16:$B$20,MATCH(B2699,Assumptions!$A$16:$A$20,0)))</f>
        <v>20966.176</v>
      </c>
      <c r="J2699" s="33" t="n">
        <f aca="false">H2699-I2699</f>
        <v>3673.824</v>
      </c>
      <c r="K2699" s="33" t="n">
        <f aca="false">IF(OR(E2699=0,E2699&gt;=7),0,D2699/(7-E2699)*E2699*INDEX(Products!$E$2:$E$49,MATCH(C2699,Products!$A$2:$A$49,0)))</f>
        <v>0</v>
      </c>
    </row>
    <row r="2700" customFormat="false" ht="15" hidden="false" customHeight="false" outlineLevel="0" collapsed="false">
      <c r="A2700" s="36" t="n">
        <v>46279</v>
      </c>
      <c r="B2700" s="24" t="s">
        <v>63</v>
      </c>
      <c r="C2700" s="24" t="s">
        <v>137</v>
      </c>
      <c r="D2700" s="33" t="n">
        <v>90</v>
      </c>
      <c r="E2700" s="24" t="n">
        <v>0</v>
      </c>
      <c r="F2700" s="37" t="n">
        <f aca="false">DATE(YEAR(A2700),MONTH(A2700),1)</f>
        <v>46266</v>
      </c>
      <c r="G2700" s="24" t="str">
        <f aca="false">INDEX(Products!$C$2:$C$49,MATCH(C2700,Products!$A$2:$A$49,0))</f>
        <v>Dairy &amp; Eggs</v>
      </c>
      <c r="H2700" s="33" t="n">
        <f aca="false">D2700*INDEX(Products!$E$2:$E$49,MATCH(C2700,Products!$A$2:$A$49,0))</f>
        <v>28800</v>
      </c>
      <c r="I2700" s="33" t="n">
        <f aca="false">D2700*INDEX(Products!$D$2:$D$49,MATCH(C2700,Products!$A$2:$A$49,0))*(1+INDEX(Assumptions!$B$16:$B$20,MATCH(B2700,Assumptions!$A$16:$A$20,0)))</f>
        <v>24505.92</v>
      </c>
      <c r="J2700" s="33" t="n">
        <f aca="false">H2700-I2700</f>
        <v>4294.08</v>
      </c>
      <c r="K2700" s="33" t="n">
        <f aca="false">IF(OR(E2700=0,E2700&gt;=7),0,D2700/(7-E2700)*E2700*INDEX(Products!$E$2:$E$49,MATCH(C2700,Products!$A$2:$A$49,0)))</f>
        <v>0</v>
      </c>
    </row>
    <row r="2701" customFormat="false" ht="15" hidden="false" customHeight="false" outlineLevel="0" collapsed="false">
      <c r="A2701" s="36" t="n">
        <v>46286</v>
      </c>
      <c r="B2701" s="24" t="s">
        <v>63</v>
      </c>
      <c r="C2701" s="24" t="s">
        <v>137</v>
      </c>
      <c r="D2701" s="33" t="n">
        <v>78</v>
      </c>
      <c r="E2701" s="24" t="n">
        <v>0</v>
      </c>
      <c r="F2701" s="37" t="n">
        <f aca="false">DATE(YEAR(A2701),MONTH(A2701),1)</f>
        <v>46266</v>
      </c>
      <c r="G2701" s="24" t="str">
        <f aca="false">INDEX(Products!$C$2:$C$49,MATCH(C2701,Products!$A$2:$A$49,0))</f>
        <v>Dairy &amp; Eggs</v>
      </c>
      <c r="H2701" s="33" t="n">
        <f aca="false">D2701*INDEX(Products!$E$2:$E$49,MATCH(C2701,Products!$A$2:$A$49,0))</f>
        <v>24960</v>
      </c>
      <c r="I2701" s="33" t="n">
        <f aca="false">D2701*INDEX(Products!$D$2:$D$49,MATCH(C2701,Products!$A$2:$A$49,0))*(1+INDEX(Assumptions!$B$16:$B$20,MATCH(B2701,Assumptions!$A$16:$A$20,0)))</f>
        <v>21238.464</v>
      </c>
      <c r="J2701" s="33" t="n">
        <f aca="false">H2701-I2701</f>
        <v>3721.536</v>
      </c>
      <c r="K2701" s="33" t="n">
        <f aca="false">IF(OR(E2701=0,E2701&gt;=7),0,D2701/(7-E2701)*E2701*INDEX(Products!$E$2:$E$49,MATCH(C2701,Products!$A$2:$A$49,0)))</f>
        <v>0</v>
      </c>
    </row>
    <row r="2702" customFormat="false" ht="15" hidden="false" customHeight="false" outlineLevel="0" collapsed="false">
      <c r="A2702" s="36" t="n">
        <v>46118</v>
      </c>
      <c r="B2702" s="24" t="s">
        <v>63</v>
      </c>
      <c r="C2702" s="24" t="s">
        <v>139</v>
      </c>
      <c r="D2702" s="33" t="n">
        <v>143</v>
      </c>
      <c r="E2702" s="24" t="n">
        <v>0</v>
      </c>
      <c r="F2702" s="37" t="n">
        <f aca="false">DATE(YEAR(A2702),MONTH(A2702),1)</f>
        <v>46113</v>
      </c>
      <c r="G2702" s="24" t="str">
        <f aca="false">INDEX(Products!$C$2:$C$49,MATCH(C2702,Products!$A$2:$A$49,0))</f>
        <v>Dairy &amp; Eggs</v>
      </c>
      <c r="H2702" s="33" t="n">
        <f aca="false">D2702*INDEX(Products!$E$2:$E$49,MATCH(C2702,Products!$A$2:$A$49,0))</f>
        <v>74360</v>
      </c>
      <c r="I2702" s="33" t="n">
        <f aca="false">D2702*INDEX(Products!$D$2:$D$49,MATCH(C2702,Products!$A$2:$A$49,0))*(1+INDEX(Assumptions!$B$16:$B$20,MATCH(B2702,Assumptions!$A$16:$A$20,0)))</f>
        <v>62328.552</v>
      </c>
      <c r="J2702" s="33" t="n">
        <f aca="false">H2702-I2702</f>
        <v>12031.448</v>
      </c>
      <c r="K2702" s="33" t="n">
        <f aca="false">IF(OR(E2702=0,E2702&gt;=7),0,D2702/(7-E2702)*E2702*INDEX(Products!$E$2:$E$49,MATCH(C2702,Products!$A$2:$A$49,0)))</f>
        <v>0</v>
      </c>
    </row>
    <row r="2703" customFormat="false" ht="15" hidden="false" customHeight="false" outlineLevel="0" collapsed="false">
      <c r="A2703" s="36" t="n">
        <v>46125</v>
      </c>
      <c r="B2703" s="24" t="s">
        <v>63</v>
      </c>
      <c r="C2703" s="24" t="s">
        <v>139</v>
      </c>
      <c r="D2703" s="33" t="n">
        <v>158</v>
      </c>
      <c r="E2703" s="24" t="n">
        <v>0</v>
      </c>
      <c r="F2703" s="37" t="n">
        <f aca="false">DATE(YEAR(A2703),MONTH(A2703),1)</f>
        <v>46113</v>
      </c>
      <c r="G2703" s="24" t="str">
        <f aca="false">INDEX(Products!$C$2:$C$49,MATCH(C2703,Products!$A$2:$A$49,0))</f>
        <v>Dairy &amp; Eggs</v>
      </c>
      <c r="H2703" s="33" t="n">
        <f aca="false">D2703*INDEX(Products!$E$2:$E$49,MATCH(C2703,Products!$A$2:$A$49,0))</f>
        <v>82160</v>
      </c>
      <c r="I2703" s="33" t="n">
        <f aca="false">D2703*INDEX(Products!$D$2:$D$49,MATCH(C2703,Products!$A$2:$A$49,0))*(1+INDEX(Assumptions!$B$16:$B$20,MATCH(B2703,Assumptions!$A$16:$A$20,0)))</f>
        <v>68866.512</v>
      </c>
      <c r="J2703" s="33" t="n">
        <f aca="false">H2703-I2703</f>
        <v>13293.488</v>
      </c>
      <c r="K2703" s="33" t="n">
        <f aca="false">IF(OR(E2703=0,E2703&gt;=7),0,D2703/(7-E2703)*E2703*INDEX(Products!$E$2:$E$49,MATCH(C2703,Products!$A$2:$A$49,0)))</f>
        <v>0</v>
      </c>
    </row>
    <row r="2704" customFormat="false" ht="15" hidden="false" customHeight="false" outlineLevel="0" collapsed="false">
      <c r="A2704" s="36" t="n">
        <v>46132</v>
      </c>
      <c r="B2704" s="24" t="s">
        <v>63</v>
      </c>
      <c r="C2704" s="24" t="s">
        <v>139</v>
      </c>
      <c r="D2704" s="33" t="n">
        <v>144</v>
      </c>
      <c r="E2704" s="24" t="n">
        <v>0</v>
      </c>
      <c r="F2704" s="37" t="n">
        <f aca="false">DATE(YEAR(A2704),MONTH(A2704),1)</f>
        <v>46113</v>
      </c>
      <c r="G2704" s="24" t="str">
        <f aca="false">INDEX(Products!$C$2:$C$49,MATCH(C2704,Products!$A$2:$A$49,0))</f>
        <v>Dairy &amp; Eggs</v>
      </c>
      <c r="H2704" s="33" t="n">
        <f aca="false">D2704*INDEX(Products!$E$2:$E$49,MATCH(C2704,Products!$A$2:$A$49,0))</f>
        <v>74880</v>
      </c>
      <c r="I2704" s="33" t="n">
        <f aca="false">D2704*INDEX(Products!$D$2:$D$49,MATCH(C2704,Products!$A$2:$A$49,0))*(1+INDEX(Assumptions!$B$16:$B$20,MATCH(B2704,Assumptions!$A$16:$A$20,0)))</f>
        <v>62764.416</v>
      </c>
      <c r="J2704" s="33" t="n">
        <f aca="false">H2704-I2704</f>
        <v>12115.584</v>
      </c>
      <c r="K2704" s="33" t="n">
        <f aca="false">IF(OR(E2704=0,E2704&gt;=7),0,D2704/(7-E2704)*E2704*INDEX(Products!$E$2:$E$49,MATCH(C2704,Products!$A$2:$A$49,0)))</f>
        <v>0</v>
      </c>
    </row>
    <row r="2705" customFormat="false" ht="15" hidden="false" customHeight="false" outlineLevel="0" collapsed="false">
      <c r="A2705" s="36" t="n">
        <v>46139</v>
      </c>
      <c r="B2705" s="24" t="s">
        <v>63</v>
      </c>
      <c r="C2705" s="24" t="s">
        <v>139</v>
      </c>
      <c r="D2705" s="33" t="n">
        <v>175</v>
      </c>
      <c r="E2705" s="24" t="n">
        <v>0</v>
      </c>
      <c r="F2705" s="37" t="n">
        <f aca="false">DATE(YEAR(A2705),MONTH(A2705),1)</f>
        <v>46113</v>
      </c>
      <c r="G2705" s="24" t="str">
        <f aca="false">INDEX(Products!$C$2:$C$49,MATCH(C2705,Products!$A$2:$A$49,0))</f>
        <v>Dairy &amp; Eggs</v>
      </c>
      <c r="H2705" s="33" t="n">
        <f aca="false">D2705*INDEX(Products!$E$2:$E$49,MATCH(C2705,Products!$A$2:$A$49,0))</f>
        <v>91000</v>
      </c>
      <c r="I2705" s="33" t="n">
        <f aca="false">D2705*INDEX(Products!$D$2:$D$49,MATCH(C2705,Products!$A$2:$A$49,0))*(1+INDEX(Assumptions!$B$16:$B$20,MATCH(B2705,Assumptions!$A$16:$A$20,0)))</f>
        <v>76276.2</v>
      </c>
      <c r="J2705" s="33" t="n">
        <f aca="false">H2705-I2705</f>
        <v>14723.8</v>
      </c>
      <c r="K2705" s="33" t="n">
        <f aca="false">IF(OR(E2705=0,E2705&gt;=7),0,D2705/(7-E2705)*E2705*INDEX(Products!$E$2:$E$49,MATCH(C2705,Products!$A$2:$A$49,0)))</f>
        <v>0</v>
      </c>
    </row>
    <row r="2706" customFormat="false" ht="15" hidden="false" customHeight="false" outlineLevel="0" collapsed="false">
      <c r="A2706" s="36" t="n">
        <v>46146</v>
      </c>
      <c r="B2706" s="24" t="s">
        <v>63</v>
      </c>
      <c r="C2706" s="24" t="s">
        <v>139</v>
      </c>
      <c r="D2706" s="33" t="n">
        <v>134</v>
      </c>
      <c r="E2706" s="24" t="n">
        <v>0</v>
      </c>
      <c r="F2706" s="37" t="n">
        <f aca="false">DATE(YEAR(A2706),MONTH(A2706),1)</f>
        <v>46143</v>
      </c>
      <c r="G2706" s="24" t="str">
        <f aca="false">INDEX(Products!$C$2:$C$49,MATCH(C2706,Products!$A$2:$A$49,0))</f>
        <v>Dairy &amp; Eggs</v>
      </c>
      <c r="H2706" s="33" t="n">
        <f aca="false">D2706*INDEX(Products!$E$2:$E$49,MATCH(C2706,Products!$A$2:$A$49,0))</f>
        <v>69680</v>
      </c>
      <c r="I2706" s="33" t="n">
        <f aca="false">D2706*INDEX(Products!$D$2:$D$49,MATCH(C2706,Products!$A$2:$A$49,0))*(1+INDEX(Assumptions!$B$16:$B$20,MATCH(B2706,Assumptions!$A$16:$A$20,0)))</f>
        <v>58405.776</v>
      </c>
      <c r="J2706" s="33" t="n">
        <f aca="false">H2706-I2706</f>
        <v>11274.224</v>
      </c>
      <c r="K2706" s="33" t="n">
        <f aca="false">IF(OR(E2706=0,E2706&gt;=7),0,D2706/(7-E2706)*E2706*INDEX(Products!$E$2:$E$49,MATCH(C2706,Products!$A$2:$A$49,0)))</f>
        <v>0</v>
      </c>
    </row>
    <row r="2707" customFormat="false" ht="15" hidden="false" customHeight="false" outlineLevel="0" collapsed="false">
      <c r="A2707" s="36" t="n">
        <v>46153</v>
      </c>
      <c r="B2707" s="24" t="s">
        <v>63</v>
      </c>
      <c r="C2707" s="24" t="s">
        <v>139</v>
      </c>
      <c r="D2707" s="33" t="n">
        <v>172</v>
      </c>
      <c r="E2707" s="24" t="n">
        <v>0</v>
      </c>
      <c r="F2707" s="37" t="n">
        <f aca="false">DATE(YEAR(A2707),MONTH(A2707),1)</f>
        <v>46143</v>
      </c>
      <c r="G2707" s="24" t="str">
        <f aca="false">INDEX(Products!$C$2:$C$49,MATCH(C2707,Products!$A$2:$A$49,0))</f>
        <v>Dairy &amp; Eggs</v>
      </c>
      <c r="H2707" s="33" t="n">
        <f aca="false">D2707*INDEX(Products!$E$2:$E$49,MATCH(C2707,Products!$A$2:$A$49,0))</f>
        <v>89440</v>
      </c>
      <c r="I2707" s="33" t="n">
        <f aca="false">D2707*INDEX(Products!$D$2:$D$49,MATCH(C2707,Products!$A$2:$A$49,0))*(1+INDEX(Assumptions!$B$16:$B$20,MATCH(B2707,Assumptions!$A$16:$A$20,0)))</f>
        <v>74968.608</v>
      </c>
      <c r="J2707" s="33" t="n">
        <f aca="false">H2707-I2707</f>
        <v>14471.392</v>
      </c>
      <c r="K2707" s="33" t="n">
        <f aca="false">IF(OR(E2707=0,E2707&gt;=7),0,D2707/(7-E2707)*E2707*INDEX(Products!$E$2:$E$49,MATCH(C2707,Products!$A$2:$A$49,0)))</f>
        <v>0</v>
      </c>
    </row>
    <row r="2708" customFormat="false" ht="15" hidden="false" customHeight="false" outlineLevel="0" collapsed="false">
      <c r="A2708" s="36" t="n">
        <v>46160</v>
      </c>
      <c r="B2708" s="24" t="s">
        <v>63</v>
      </c>
      <c r="C2708" s="24" t="s">
        <v>139</v>
      </c>
      <c r="D2708" s="33" t="n">
        <v>141</v>
      </c>
      <c r="E2708" s="24" t="n">
        <v>1</v>
      </c>
      <c r="F2708" s="37" t="n">
        <f aca="false">DATE(YEAR(A2708),MONTH(A2708),1)</f>
        <v>46143</v>
      </c>
      <c r="G2708" s="24" t="str">
        <f aca="false">INDEX(Products!$C$2:$C$49,MATCH(C2708,Products!$A$2:$A$49,0))</f>
        <v>Dairy &amp; Eggs</v>
      </c>
      <c r="H2708" s="33" t="n">
        <f aca="false">D2708*INDEX(Products!$E$2:$E$49,MATCH(C2708,Products!$A$2:$A$49,0))</f>
        <v>73320</v>
      </c>
      <c r="I2708" s="33" t="n">
        <f aca="false">D2708*INDEX(Products!$D$2:$D$49,MATCH(C2708,Products!$A$2:$A$49,0))*(1+INDEX(Assumptions!$B$16:$B$20,MATCH(B2708,Assumptions!$A$16:$A$20,0)))</f>
        <v>61456.824</v>
      </c>
      <c r="J2708" s="33" t="n">
        <f aca="false">H2708-I2708</f>
        <v>11863.176</v>
      </c>
      <c r="K2708" s="33" t="n">
        <f aca="false">IF(OR(E2708=0,E2708&gt;=7),0,D2708/(7-E2708)*E2708*INDEX(Products!$E$2:$E$49,MATCH(C2708,Products!$A$2:$A$49,0)))</f>
        <v>12220</v>
      </c>
    </row>
    <row r="2709" customFormat="false" ht="15" hidden="false" customHeight="false" outlineLevel="0" collapsed="false">
      <c r="A2709" s="36" t="n">
        <v>46167</v>
      </c>
      <c r="B2709" s="24" t="s">
        <v>63</v>
      </c>
      <c r="C2709" s="24" t="s">
        <v>139</v>
      </c>
      <c r="D2709" s="33" t="n">
        <v>172</v>
      </c>
      <c r="E2709" s="24" t="n">
        <v>0</v>
      </c>
      <c r="F2709" s="37" t="n">
        <f aca="false">DATE(YEAR(A2709),MONTH(A2709),1)</f>
        <v>46143</v>
      </c>
      <c r="G2709" s="24" t="str">
        <f aca="false">INDEX(Products!$C$2:$C$49,MATCH(C2709,Products!$A$2:$A$49,0))</f>
        <v>Dairy &amp; Eggs</v>
      </c>
      <c r="H2709" s="33" t="n">
        <f aca="false">D2709*INDEX(Products!$E$2:$E$49,MATCH(C2709,Products!$A$2:$A$49,0))</f>
        <v>89440</v>
      </c>
      <c r="I2709" s="33" t="n">
        <f aca="false">D2709*INDEX(Products!$D$2:$D$49,MATCH(C2709,Products!$A$2:$A$49,0))*(1+INDEX(Assumptions!$B$16:$B$20,MATCH(B2709,Assumptions!$A$16:$A$20,0)))</f>
        <v>74968.608</v>
      </c>
      <c r="J2709" s="33" t="n">
        <f aca="false">H2709-I2709</f>
        <v>14471.392</v>
      </c>
      <c r="K2709" s="33" t="n">
        <f aca="false">IF(OR(E2709=0,E2709&gt;=7),0,D2709/(7-E2709)*E2709*INDEX(Products!$E$2:$E$49,MATCH(C2709,Products!$A$2:$A$49,0)))</f>
        <v>0</v>
      </c>
    </row>
    <row r="2710" customFormat="false" ht="15" hidden="false" customHeight="false" outlineLevel="0" collapsed="false">
      <c r="A2710" s="36" t="n">
        <v>46174</v>
      </c>
      <c r="B2710" s="24" t="s">
        <v>63</v>
      </c>
      <c r="C2710" s="24" t="s">
        <v>139</v>
      </c>
      <c r="D2710" s="33" t="n">
        <v>156</v>
      </c>
      <c r="E2710" s="24" t="n">
        <v>0</v>
      </c>
      <c r="F2710" s="37" t="n">
        <f aca="false">DATE(YEAR(A2710),MONTH(A2710),1)</f>
        <v>46174</v>
      </c>
      <c r="G2710" s="24" t="str">
        <f aca="false">INDEX(Products!$C$2:$C$49,MATCH(C2710,Products!$A$2:$A$49,0))</f>
        <v>Dairy &amp; Eggs</v>
      </c>
      <c r="H2710" s="33" t="n">
        <f aca="false">D2710*INDEX(Products!$E$2:$E$49,MATCH(C2710,Products!$A$2:$A$49,0))</f>
        <v>81120</v>
      </c>
      <c r="I2710" s="33" t="n">
        <f aca="false">D2710*INDEX(Products!$D$2:$D$49,MATCH(C2710,Products!$A$2:$A$49,0))*(1+INDEX(Assumptions!$B$16:$B$20,MATCH(B2710,Assumptions!$A$16:$A$20,0)))</f>
        <v>67994.784</v>
      </c>
      <c r="J2710" s="33" t="n">
        <f aca="false">H2710-I2710</f>
        <v>13125.216</v>
      </c>
      <c r="K2710" s="33" t="n">
        <f aca="false">IF(OR(E2710=0,E2710&gt;=7),0,D2710/(7-E2710)*E2710*INDEX(Products!$E$2:$E$49,MATCH(C2710,Products!$A$2:$A$49,0)))</f>
        <v>0</v>
      </c>
    </row>
    <row r="2711" customFormat="false" ht="15" hidden="false" customHeight="false" outlineLevel="0" collapsed="false">
      <c r="A2711" s="36" t="n">
        <v>46181</v>
      </c>
      <c r="B2711" s="24" t="s">
        <v>63</v>
      </c>
      <c r="C2711" s="24" t="s">
        <v>139</v>
      </c>
      <c r="D2711" s="33" t="n">
        <v>136</v>
      </c>
      <c r="E2711" s="24" t="n">
        <v>0</v>
      </c>
      <c r="F2711" s="37" t="n">
        <f aca="false">DATE(YEAR(A2711),MONTH(A2711),1)</f>
        <v>46174</v>
      </c>
      <c r="G2711" s="24" t="str">
        <f aca="false">INDEX(Products!$C$2:$C$49,MATCH(C2711,Products!$A$2:$A$49,0))</f>
        <v>Dairy &amp; Eggs</v>
      </c>
      <c r="H2711" s="33" t="n">
        <f aca="false">D2711*INDEX(Products!$E$2:$E$49,MATCH(C2711,Products!$A$2:$A$49,0))</f>
        <v>70720</v>
      </c>
      <c r="I2711" s="33" t="n">
        <f aca="false">D2711*INDEX(Products!$D$2:$D$49,MATCH(C2711,Products!$A$2:$A$49,0))*(1+INDEX(Assumptions!$B$16:$B$20,MATCH(B2711,Assumptions!$A$16:$A$20,0)))</f>
        <v>59277.504</v>
      </c>
      <c r="J2711" s="33" t="n">
        <f aca="false">H2711-I2711</f>
        <v>11442.496</v>
      </c>
      <c r="K2711" s="33" t="n">
        <f aca="false">IF(OR(E2711=0,E2711&gt;=7),0,D2711/(7-E2711)*E2711*INDEX(Products!$E$2:$E$49,MATCH(C2711,Products!$A$2:$A$49,0)))</f>
        <v>0</v>
      </c>
    </row>
    <row r="2712" customFormat="false" ht="15" hidden="false" customHeight="false" outlineLevel="0" collapsed="false">
      <c r="A2712" s="36" t="n">
        <v>46188</v>
      </c>
      <c r="B2712" s="24" t="s">
        <v>63</v>
      </c>
      <c r="C2712" s="24" t="s">
        <v>139</v>
      </c>
      <c r="D2712" s="33" t="n">
        <v>242</v>
      </c>
      <c r="E2712" s="24" t="n">
        <v>0</v>
      </c>
      <c r="F2712" s="37" t="n">
        <f aca="false">DATE(YEAR(A2712),MONTH(A2712),1)</f>
        <v>46174</v>
      </c>
      <c r="G2712" s="24" t="str">
        <f aca="false">INDEX(Products!$C$2:$C$49,MATCH(C2712,Products!$A$2:$A$49,0))</f>
        <v>Dairy &amp; Eggs</v>
      </c>
      <c r="H2712" s="33" t="n">
        <f aca="false">D2712*INDEX(Products!$E$2:$E$49,MATCH(C2712,Products!$A$2:$A$49,0))</f>
        <v>125840</v>
      </c>
      <c r="I2712" s="33" t="n">
        <f aca="false">D2712*INDEX(Products!$D$2:$D$49,MATCH(C2712,Products!$A$2:$A$49,0))*(1+INDEX(Assumptions!$B$16:$B$20,MATCH(B2712,Assumptions!$A$16:$A$20,0)))</f>
        <v>105479.088</v>
      </c>
      <c r="J2712" s="33" t="n">
        <f aca="false">H2712-I2712</f>
        <v>20360.912</v>
      </c>
      <c r="K2712" s="33" t="n">
        <f aca="false">IF(OR(E2712=0,E2712&gt;=7),0,D2712/(7-E2712)*E2712*INDEX(Products!$E$2:$E$49,MATCH(C2712,Products!$A$2:$A$49,0)))</f>
        <v>0</v>
      </c>
    </row>
    <row r="2713" customFormat="false" ht="15" hidden="false" customHeight="false" outlineLevel="0" collapsed="false">
      <c r="A2713" s="36" t="n">
        <v>46195</v>
      </c>
      <c r="B2713" s="24" t="s">
        <v>63</v>
      </c>
      <c r="C2713" s="24" t="s">
        <v>139</v>
      </c>
      <c r="D2713" s="33" t="n">
        <v>179</v>
      </c>
      <c r="E2713" s="24" t="n">
        <v>0</v>
      </c>
      <c r="F2713" s="37" t="n">
        <f aca="false">DATE(YEAR(A2713),MONTH(A2713),1)</f>
        <v>46174</v>
      </c>
      <c r="G2713" s="24" t="str">
        <f aca="false">INDEX(Products!$C$2:$C$49,MATCH(C2713,Products!$A$2:$A$49,0))</f>
        <v>Dairy &amp; Eggs</v>
      </c>
      <c r="H2713" s="33" t="n">
        <f aca="false">D2713*INDEX(Products!$E$2:$E$49,MATCH(C2713,Products!$A$2:$A$49,0))</f>
        <v>93080</v>
      </c>
      <c r="I2713" s="33" t="n">
        <f aca="false">D2713*INDEX(Products!$D$2:$D$49,MATCH(C2713,Products!$A$2:$A$49,0))*(1+INDEX(Assumptions!$B$16:$B$20,MATCH(B2713,Assumptions!$A$16:$A$20,0)))</f>
        <v>78019.656</v>
      </c>
      <c r="J2713" s="33" t="n">
        <f aca="false">H2713-I2713</f>
        <v>15060.344</v>
      </c>
      <c r="K2713" s="33" t="n">
        <f aca="false">IF(OR(E2713=0,E2713&gt;=7),0,D2713/(7-E2713)*E2713*INDEX(Products!$E$2:$E$49,MATCH(C2713,Products!$A$2:$A$49,0)))</f>
        <v>0</v>
      </c>
    </row>
    <row r="2714" customFormat="false" ht="15" hidden="false" customHeight="false" outlineLevel="0" collapsed="false">
      <c r="A2714" s="36" t="n">
        <v>46202</v>
      </c>
      <c r="B2714" s="24" t="s">
        <v>63</v>
      </c>
      <c r="C2714" s="24" t="s">
        <v>139</v>
      </c>
      <c r="D2714" s="33" t="n">
        <v>156</v>
      </c>
      <c r="E2714" s="24" t="n">
        <v>0</v>
      </c>
      <c r="F2714" s="37" t="n">
        <f aca="false">DATE(YEAR(A2714),MONTH(A2714),1)</f>
        <v>46174</v>
      </c>
      <c r="G2714" s="24" t="str">
        <f aca="false">INDEX(Products!$C$2:$C$49,MATCH(C2714,Products!$A$2:$A$49,0))</f>
        <v>Dairy &amp; Eggs</v>
      </c>
      <c r="H2714" s="33" t="n">
        <f aca="false">D2714*INDEX(Products!$E$2:$E$49,MATCH(C2714,Products!$A$2:$A$49,0))</f>
        <v>81120</v>
      </c>
      <c r="I2714" s="33" t="n">
        <f aca="false">D2714*INDEX(Products!$D$2:$D$49,MATCH(C2714,Products!$A$2:$A$49,0))*(1+INDEX(Assumptions!$B$16:$B$20,MATCH(B2714,Assumptions!$A$16:$A$20,0)))</f>
        <v>67994.784</v>
      </c>
      <c r="J2714" s="33" t="n">
        <f aca="false">H2714-I2714</f>
        <v>13125.216</v>
      </c>
      <c r="K2714" s="33" t="n">
        <f aca="false">IF(OR(E2714=0,E2714&gt;=7),0,D2714/(7-E2714)*E2714*INDEX(Products!$E$2:$E$49,MATCH(C2714,Products!$A$2:$A$49,0)))</f>
        <v>0</v>
      </c>
    </row>
    <row r="2715" customFormat="false" ht="15" hidden="false" customHeight="false" outlineLevel="0" collapsed="false">
      <c r="A2715" s="36" t="n">
        <v>46209</v>
      </c>
      <c r="B2715" s="24" t="s">
        <v>63</v>
      </c>
      <c r="C2715" s="24" t="s">
        <v>139</v>
      </c>
      <c r="D2715" s="33" t="n">
        <v>134</v>
      </c>
      <c r="E2715" s="24" t="n">
        <v>0</v>
      </c>
      <c r="F2715" s="37" t="n">
        <f aca="false">DATE(YEAR(A2715),MONTH(A2715),1)</f>
        <v>46204</v>
      </c>
      <c r="G2715" s="24" t="str">
        <f aca="false">INDEX(Products!$C$2:$C$49,MATCH(C2715,Products!$A$2:$A$49,0))</f>
        <v>Dairy &amp; Eggs</v>
      </c>
      <c r="H2715" s="33" t="n">
        <f aca="false">D2715*INDEX(Products!$E$2:$E$49,MATCH(C2715,Products!$A$2:$A$49,0))</f>
        <v>69680</v>
      </c>
      <c r="I2715" s="33" t="n">
        <f aca="false">D2715*INDEX(Products!$D$2:$D$49,MATCH(C2715,Products!$A$2:$A$49,0))*(1+INDEX(Assumptions!$B$16:$B$20,MATCH(B2715,Assumptions!$A$16:$A$20,0)))</f>
        <v>58405.776</v>
      </c>
      <c r="J2715" s="33" t="n">
        <f aca="false">H2715-I2715</f>
        <v>11274.224</v>
      </c>
      <c r="K2715" s="33" t="n">
        <f aca="false">IF(OR(E2715=0,E2715&gt;=7),0,D2715/(7-E2715)*E2715*INDEX(Products!$E$2:$E$49,MATCH(C2715,Products!$A$2:$A$49,0)))</f>
        <v>0</v>
      </c>
    </row>
    <row r="2716" customFormat="false" ht="15" hidden="false" customHeight="false" outlineLevel="0" collapsed="false">
      <c r="A2716" s="36" t="n">
        <v>46216</v>
      </c>
      <c r="B2716" s="24" t="s">
        <v>63</v>
      </c>
      <c r="C2716" s="24" t="s">
        <v>139</v>
      </c>
      <c r="D2716" s="33" t="n">
        <v>252</v>
      </c>
      <c r="E2716" s="24" t="n">
        <v>0</v>
      </c>
      <c r="F2716" s="37" t="n">
        <f aca="false">DATE(YEAR(A2716),MONTH(A2716),1)</f>
        <v>46204</v>
      </c>
      <c r="G2716" s="24" t="str">
        <f aca="false">INDEX(Products!$C$2:$C$49,MATCH(C2716,Products!$A$2:$A$49,0))</f>
        <v>Dairy &amp; Eggs</v>
      </c>
      <c r="H2716" s="33" t="n">
        <f aca="false">D2716*INDEX(Products!$E$2:$E$49,MATCH(C2716,Products!$A$2:$A$49,0))</f>
        <v>131040</v>
      </c>
      <c r="I2716" s="33" t="n">
        <f aca="false">D2716*INDEX(Products!$D$2:$D$49,MATCH(C2716,Products!$A$2:$A$49,0))*(1+INDEX(Assumptions!$B$16:$B$20,MATCH(B2716,Assumptions!$A$16:$A$20,0)))</f>
        <v>109837.728</v>
      </c>
      <c r="J2716" s="33" t="n">
        <f aca="false">H2716-I2716</f>
        <v>21202.272</v>
      </c>
      <c r="K2716" s="33" t="n">
        <f aca="false">IF(OR(E2716=0,E2716&gt;=7),0,D2716/(7-E2716)*E2716*INDEX(Products!$E$2:$E$49,MATCH(C2716,Products!$A$2:$A$49,0)))</f>
        <v>0</v>
      </c>
    </row>
    <row r="2717" customFormat="false" ht="15" hidden="false" customHeight="false" outlineLevel="0" collapsed="false">
      <c r="A2717" s="36" t="n">
        <v>46223</v>
      </c>
      <c r="B2717" s="24" t="s">
        <v>63</v>
      </c>
      <c r="C2717" s="24" t="s">
        <v>139</v>
      </c>
      <c r="D2717" s="33" t="n">
        <v>136</v>
      </c>
      <c r="E2717" s="24" t="n">
        <v>0</v>
      </c>
      <c r="F2717" s="37" t="n">
        <f aca="false">DATE(YEAR(A2717),MONTH(A2717),1)</f>
        <v>46204</v>
      </c>
      <c r="G2717" s="24" t="str">
        <f aca="false">INDEX(Products!$C$2:$C$49,MATCH(C2717,Products!$A$2:$A$49,0))</f>
        <v>Dairy &amp; Eggs</v>
      </c>
      <c r="H2717" s="33" t="n">
        <f aca="false">D2717*INDEX(Products!$E$2:$E$49,MATCH(C2717,Products!$A$2:$A$49,0))</f>
        <v>70720</v>
      </c>
      <c r="I2717" s="33" t="n">
        <f aca="false">D2717*INDEX(Products!$D$2:$D$49,MATCH(C2717,Products!$A$2:$A$49,0))*(1+INDEX(Assumptions!$B$16:$B$20,MATCH(B2717,Assumptions!$A$16:$A$20,0)))</f>
        <v>59277.504</v>
      </c>
      <c r="J2717" s="33" t="n">
        <f aca="false">H2717-I2717</f>
        <v>11442.496</v>
      </c>
      <c r="K2717" s="33" t="n">
        <f aca="false">IF(OR(E2717=0,E2717&gt;=7),0,D2717/(7-E2717)*E2717*INDEX(Products!$E$2:$E$49,MATCH(C2717,Products!$A$2:$A$49,0)))</f>
        <v>0</v>
      </c>
    </row>
    <row r="2718" customFormat="false" ht="15" hidden="false" customHeight="false" outlineLevel="0" collapsed="false">
      <c r="A2718" s="36" t="n">
        <v>46230</v>
      </c>
      <c r="B2718" s="24" t="s">
        <v>63</v>
      </c>
      <c r="C2718" s="24" t="s">
        <v>139</v>
      </c>
      <c r="D2718" s="33" t="n">
        <v>150</v>
      </c>
      <c r="E2718" s="24" t="n">
        <v>0</v>
      </c>
      <c r="F2718" s="37" t="n">
        <f aca="false">DATE(YEAR(A2718),MONTH(A2718),1)</f>
        <v>46204</v>
      </c>
      <c r="G2718" s="24" t="str">
        <f aca="false">INDEX(Products!$C$2:$C$49,MATCH(C2718,Products!$A$2:$A$49,0))</f>
        <v>Dairy &amp; Eggs</v>
      </c>
      <c r="H2718" s="33" t="n">
        <f aca="false">D2718*INDEX(Products!$E$2:$E$49,MATCH(C2718,Products!$A$2:$A$49,0))</f>
        <v>78000</v>
      </c>
      <c r="I2718" s="33" t="n">
        <f aca="false">D2718*INDEX(Products!$D$2:$D$49,MATCH(C2718,Products!$A$2:$A$49,0))*(1+INDEX(Assumptions!$B$16:$B$20,MATCH(B2718,Assumptions!$A$16:$A$20,0)))</f>
        <v>65379.6</v>
      </c>
      <c r="J2718" s="33" t="n">
        <f aca="false">H2718-I2718</f>
        <v>12620.4</v>
      </c>
      <c r="K2718" s="33" t="n">
        <f aca="false">IF(OR(E2718=0,E2718&gt;=7),0,D2718/(7-E2718)*E2718*INDEX(Products!$E$2:$E$49,MATCH(C2718,Products!$A$2:$A$49,0)))</f>
        <v>0</v>
      </c>
    </row>
    <row r="2719" customFormat="false" ht="15" hidden="false" customHeight="false" outlineLevel="0" collapsed="false">
      <c r="A2719" s="36" t="n">
        <v>46237</v>
      </c>
      <c r="B2719" s="24" t="s">
        <v>63</v>
      </c>
      <c r="C2719" s="24" t="s">
        <v>139</v>
      </c>
      <c r="D2719" s="33" t="n">
        <v>135</v>
      </c>
      <c r="E2719" s="24" t="n">
        <v>0</v>
      </c>
      <c r="F2719" s="37" t="n">
        <f aca="false">DATE(YEAR(A2719),MONTH(A2719),1)</f>
        <v>46235</v>
      </c>
      <c r="G2719" s="24" t="str">
        <f aca="false">INDEX(Products!$C$2:$C$49,MATCH(C2719,Products!$A$2:$A$49,0))</f>
        <v>Dairy &amp; Eggs</v>
      </c>
      <c r="H2719" s="33" t="n">
        <f aca="false">D2719*INDEX(Products!$E$2:$E$49,MATCH(C2719,Products!$A$2:$A$49,0))</f>
        <v>70200</v>
      </c>
      <c r="I2719" s="33" t="n">
        <f aca="false">D2719*INDEX(Products!$D$2:$D$49,MATCH(C2719,Products!$A$2:$A$49,0))*(1+INDEX(Assumptions!$B$16:$B$20,MATCH(B2719,Assumptions!$A$16:$A$20,0)))</f>
        <v>58841.64</v>
      </c>
      <c r="J2719" s="33" t="n">
        <f aca="false">H2719-I2719</f>
        <v>11358.36</v>
      </c>
      <c r="K2719" s="33" t="n">
        <f aca="false">IF(OR(E2719=0,E2719&gt;=7),0,D2719/(7-E2719)*E2719*INDEX(Products!$E$2:$E$49,MATCH(C2719,Products!$A$2:$A$49,0)))</f>
        <v>0</v>
      </c>
    </row>
    <row r="2720" customFormat="false" ht="15" hidden="false" customHeight="false" outlineLevel="0" collapsed="false">
      <c r="A2720" s="36" t="n">
        <v>46244</v>
      </c>
      <c r="B2720" s="24" t="s">
        <v>63</v>
      </c>
      <c r="C2720" s="24" t="s">
        <v>139</v>
      </c>
      <c r="D2720" s="33" t="n">
        <v>121</v>
      </c>
      <c r="E2720" s="24" t="n">
        <v>0</v>
      </c>
      <c r="F2720" s="37" t="n">
        <f aca="false">DATE(YEAR(A2720),MONTH(A2720),1)</f>
        <v>46235</v>
      </c>
      <c r="G2720" s="24" t="str">
        <f aca="false">INDEX(Products!$C$2:$C$49,MATCH(C2720,Products!$A$2:$A$49,0))</f>
        <v>Dairy &amp; Eggs</v>
      </c>
      <c r="H2720" s="33" t="n">
        <f aca="false">D2720*INDEX(Products!$E$2:$E$49,MATCH(C2720,Products!$A$2:$A$49,0))</f>
        <v>62920</v>
      </c>
      <c r="I2720" s="33" t="n">
        <f aca="false">D2720*INDEX(Products!$D$2:$D$49,MATCH(C2720,Products!$A$2:$A$49,0))*(1+INDEX(Assumptions!$B$16:$B$20,MATCH(B2720,Assumptions!$A$16:$A$20,0)))</f>
        <v>52739.544</v>
      </c>
      <c r="J2720" s="33" t="n">
        <f aca="false">H2720-I2720</f>
        <v>10180.456</v>
      </c>
      <c r="K2720" s="33" t="n">
        <f aca="false">IF(OR(E2720=0,E2720&gt;=7),0,D2720/(7-E2720)*E2720*INDEX(Products!$E$2:$E$49,MATCH(C2720,Products!$A$2:$A$49,0)))</f>
        <v>0</v>
      </c>
    </row>
    <row r="2721" customFormat="false" ht="15" hidden="false" customHeight="false" outlineLevel="0" collapsed="false">
      <c r="A2721" s="36" t="n">
        <v>46251</v>
      </c>
      <c r="B2721" s="24" t="s">
        <v>63</v>
      </c>
      <c r="C2721" s="24" t="s">
        <v>139</v>
      </c>
      <c r="D2721" s="33" t="n">
        <v>141</v>
      </c>
      <c r="E2721" s="24" t="n">
        <v>0</v>
      </c>
      <c r="F2721" s="37" t="n">
        <f aca="false">DATE(YEAR(A2721),MONTH(A2721),1)</f>
        <v>46235</v>
      </c>
      <c r="G2721" s="24" t="str">
        <f aca="false">INDEX(Products!$C$2:$C$49,MATCH(C2721,Products!$A$2:$A$49,0))</f>
        <v>Dairy &amp; Eggs</v>
      </c>
      <c r="H2721" s="33" t="n">
        <f aca="false">D2721*INDEX(Products!$E$2:$E$49,MATCH(C2721,Products!$A$2:$A$49,0))</f>
        <v>73320</v>
      </c>
      <c r="I2721" s="33" t="n">
        <f aca="false">D2721*INDEX(Products!$D$2:$D$49,MATCH(C2721,Products!$A$2:$A$49,0))*(1+INDEX(Assumptions!$B$16:$B$20,MATCH(B2721,Assumptions!$A$16:$A$20,0)))</f>
        <v>61456.824</v>
      </c>
      <c r="J2721" s="33" t="n">
        <f aca="false">H2721-I2721</f>
        <v>11863.176</v>
      </c>
      <c r="K2721" s="33" t="n">
        <f aca="false">IF(OR(E2721=0,E2721&gt;=7),0,D2721/(7-E2721)*E2721*INDEX(Products!$E$2:$E$49,MATCH(C2721,Products!$A$2:$A$49,0)))</f>
        <v>0</v>
      </c>
    </row>
    <row r="2722" customFormat="false" ht="15" hidden="false" customHeight="false" outlineLevel="0" collapsed="false">
      <c r="A2722" s="36" t="n">
        <v>46258</v>
      </c>
      <c r="B2722" s="24" t="s">
        <v>63</v>
      </c>
      <c r="C2722" s="24" t="s">
        <v>139</v>
      </c>
      <c r="D2722" s="33" t="n">
        <v>125</v>
      </c>
      <c r="E2722" s="24" t="n">
        <v>0</v>
      </c>
      <c r="F2722" s="37" t="n">
        <f aca="false">DATE(YEAR(A2722),MONTH(A2722),1)</f>
        <v>46235</v>
      </c>
      <c r="G2722" s="24" t="str">
        <f aca="false">INDEX(Products!$C$2:$C$49,MATCH(C2722,Products!$A$2:$A$49,0))</f>
        <v>Dairy &amp; Eggs</v>
      </c>
      <c r="H2722" s="33" t="n">
        <f aca="false">D2722*INDEX(Products!$E$2:$E$49,MATCH(C2722,Products!$A$2:$A$49,0))</f>
        <v>65000</v>
      </c>
      <c r="I2722" s="33" t="n">
        <f aca="false">D2722*INDEX(Products!$D$2:$D$49,MATCH(C2722,Products!$A$2:$A$49,0))*(1+INDEX(Assumptions!$B$16:$B$20,MATCH(B2722,Assumptions!$A$16:$A$20,0)))</f>
        <v>54483</v>
      </c>
      <c r="J2722" s="33" t="n">
        <f aca="false">H2722-I2722</f>
        <v>10517</v>
      </c>
      <c r="K2722" s="33" t="n">
        <f aca="false">IF(OR(E2722=0,E2722&gt;=7),0,D2722/(7-E2722)*E2722*INDEX(Products!$E$2:$E$49,MATCH(C2722,Products!$A$2:$A$49,0)))</f>
        <v>0</v>
      </c>
    </row>
    <row r="2723" customFormat="false" ht="15" hidden="false" customHeight="false" outlineLevel="0" collapsed="false">
      <c r="A2723" s="36" t="n">
        <v>46265</v>
      </c>
      <c r="B2723" s="24" t="s">
        <v>63</v>
      </c>
      <c r="C2723" s="24" t="s">
        <v>139</v>
      </c>
      <c r="D2723" s="33" t="n">
        <v>60</v>
      </c>
      <c r="E2723" s="24" t="n">
        <v>4</v>
      </c>
      <c r="F2723" s="37" t="n">
        <f aca="false">DATE(YEAR(A2723),MONTH(A2723),1)</f>
        <v>46235</v>
      </c>
      <c r="G2723" s="24" t="str">
        <f aca="false">INDEX(Products!$C$2:$C$49,MATCH(C2723,Products!$A$2:$A$49,0))</f>
        <v>Dairy &amp; Eggs</v>
      </c>
      <c r="H2723" s="33" t="n">
        <f aca="false">D2723*INDEX(Products!$E$2:$E$49,MATCH(C2723,Products!$A$2:$A$49,0))</f>
        <v>31200</v>
      </c>
      <c r="I2723" s="33" t="n">
        <f aca="false">D2723*INDEX(Products!$D$2:$D$49,MATCH(C2723,Products!$A$2:$A$49,0))*(1+INDEX(Assumptions!$B$16:$B$20,MATCH(B2723,Assumptions!$A$16:$A$20,0)))</f>
        <v>26151.84</v>
      </c>
      <c r="J2723" s="33" t="n">
        <f aca="false">H2723-I2723</f>
        <v>5048.16</v>
      </c>
      <c r="K2723" s="33" t="n">
        <f aca="false">IF(OR(E2723=0,E2723&gt;=7),0,D2723/(7-E2723)*E2723*INDEX(Products!$E$2:$E$49,MATCH(C2723,Products!$A$2:$A$49,0)))</f>
        <v>41600</v>
      </c>
    </row>
    <row r="2724" customFormat="false" ht="15" hidden="false" customHeight="false" outlineLevel="0" collapsed="false">
      <c r="A2724" s="36" t="n">
        <v>46272</v>
      </c>
      <c r="B2724" s="24" t="s">
        <v>63</v>
      </c>
      <c r="C2724" s="24" t="s">
        <v>139</v>
      </c>
      <c r="D2724" s="33" t="n">
        <v>148</v>
      </c>
      <c r="E2724" s="24" t="n">
        <v>0</v>
      </c>
      <c r="F2724" s="37" t="n">
        <f aca="false">DATE(YEAR(A2724),MONTH(A2724),1)</f>
        <v>46266</v>
      </c>
      <c r="G2724" s="24" t="str">
        <f aca="false">INDEX(Products!$C$2:$C$49,MATCH(C2724,Products!$A$2:$A$49,0))</f>
        <v>Dairy &amp; Eggs</v>
      </c>
      <c r="H2724" s="33" t="n">
        <f aca="false">D2724*INDEX(Products!$E$2:$E$49,MATCH(C2724,Products!$A$2:$A$49,0))</f>
        <v>76960</v>
      </c>
      <c r="I2724" s="33" t="n">
        <f aca="false">D2724*INDEX(Products!$D$2:$D$49,MATCH(C2724,Products!$A$2:$A$49,0))*(1+INDEX(Assumptions!$B$16:$B$20,MATCH(B2724,Assumptions!$A$16:$A$20,0)))</f>
        <v>64507.872</v>
      </c>
      <c r="J2724" s="33" t="n">
        <f aca="false">H2724-I2724</f>
        <v>12452.128</v>
      </c>
      <c r="K2724" s="33" t="n">
        <f aca="false">IF(OR(E2724=0,E2724&gt;=7),0,D2724/(7-E2724)*E2724*INDEX(Products!$E$2:$E$49,MATCH(C2724,Products!$A$2:$A$49,0)))</f>
        <v>0</v>
      </c>
    </row>
    <row r="2725" customFormat="false" ht="15" hidden="false" customHeight="false" outlineLevel="0" collapsed="false">
      <c r="A2725" s="36" t="n">
        <v>46279</v>
      </c>
      <c r="B2725" s="24" t="s">
        <v>63</v>
      </c>
      <c r="C2725" s="24" t="s">
        <v>139</v>
      </c>
      <c r="D2725" s="33" t="n">
        <v>139</v>
      </c>
      <c r="E2725" s="24" t="n">
        <v>0</v>
      </c>
      <c r="F2725" s="37" t="n">
        <f aca="false">DATE(YEAR(A2725),MONTH(A2725),1)</f>
        <v>46266</v>
      </c>
      <c r="G2725" s="24" t="str">
        <f aca="false">INDEX(Products!$C$2:$C$49,MATCH(C2725,Products!$A$2:$A$49,0))</f>
        <v>Dairy &amp; Eggs</v>
      </c>
      <c r="H2725" s="33" t="n">
        <f aca="false">D2725*INDEX(Products!$E$2:$E$49,MATCH(C2725,Products!$A$2:$A$49,0))</f>
        <v>72280</v>
      </c>
      <c r="I2725" s="33" t="n">
        <f aca="false">D2725*INDEX(Products!$D$2:$D$49,MATCH(C2725,Products!$A$2:$A$49,0))*(1+INDEX(Assumptions!$B$16:$B$20,MATCH(B2725,Assumptions!$A$16:$A$20,0)))</f>
        <v>60585.096</v>
      </c>
      <c r="J2725" s="33" t="n">
        <f aca="false">H2725-I2725</f>
        <v>11694.904</v>
      </c>
      <c r="K2725" s="33" t="n">
        <f aca="false">IF(OR(E2725=0,E2725&gt;=7),0,D2725/(7-E2725)*E2725*INDEX(Products!$E$2:$E$49,MATCH(C2725,Products!$A$2:$A$49,0)))</f>
        <v>0</v>
      </c>
    </row>
    <row r="2726" customFormat="false" ht="15" hidden="false" customHeight="false" outlineLevel="0" collapsed="false">
      <c r="A2726" s="36" t="n">
        <v>46286</v>
      </c>
      <c r="B2726" s="24" t="s">
        <v>63</v>
      </c>
      <c r="C2726" s="24" t="s">
        <v>139</v>
      </c>
      <c r="D2726" s="33" t="n">
        <v>158</v>
      </c>
      <c r="E2726" s="24" t="n">
        <v>0</v>
      </c>
      <c r="F2726" s="37" t="n">
        <f aca="false">DATE(YEAR(A2726),MONTH(A2726),1)</f>
        <v>46266</v>
      </c>
      <c r="G2726" s="24" t="str">
        <f aca="false">INDEX(Products!$C$2:$C$49,MATCH(C2726,Products!$A$2:$A$49,0))</f>
        <v>Dairy &amp; Eggs</v>
      </c>
      <c r="H2726" s="33" t="n">
        <f aca="false">D2726*INDEX(Products!$E$2:$E$49,MATCH(C2726,Products!$A$2:$A$49,0))</f>
        <v>82160</v>
      </c>
      <c r="I2726" s="33" t="n">
        <f aca="false">D2726*INDEX(Products!$D$2:$D$49,MATCH(C2726,Products!$A$2:$A$49,0))*(1+INDEX(Assumptions!$B$16:$B$20,MATCH(B2726,Assumptions!$A$16:$A$20,0)))</f>
        <v>68866.512</v>
      </c>
      <c r="J2726" s="33" t="n">
        <f aca="false">H2726-I2726</f>
        <v>13293.488</v>
      </c>
      <c r="K2726" s="33" t="n">
        <f aca="false">IF(OR(E2726=0,E2726&gt;=7),0,D2726/(7-E2726)*E2726*INDEX(Products!$E$2:$E$49,MATCH(C2726,Products!$A$2:$A$49,0)))</f>
        <v>0</v>
      </c>
    </row>
    <row r="2727" customFormat="false" ht="15" hidden="false" customHeight="false" outlineLevel="0" collapsed="false">
      <c r="A2727" s="36" t="n">
        <v>46118</v>
      </c>
      <c r="B2727" s="24" t="s">
        <v>63</v>
      </c>
      <c r="C2727" s="24" t="s">
        <v>141</v>
      </c>
      <c r="D2727" s="33" t="n">
        <v>185</v>
      </c>
      <c r="E2727" s="24" t="n">
        <v>0</v>
      </c>
      <c r="F2727" s="37" t="n">
        <f aca="false">DATE(YEAR(A2727),MONTH(A2727),1)</f>
        <v>46113</v>
      </c>
      <c r="G2727" s="24" t="str">
        <f aca="false">INDEX(Products!$C$2:$C$49,MATCH(C2727,Products!$A$2:$A$49,0))</f>
        <v>Dairy &amp; Eggs</v>
      </c>
      <c r="H2727" s="33" t="n">
        <f aca="false">D2727*INDEX(Products!$E$2:$E$49,MATCH(C2727,Products!$A$2:$A$49,0))</f>
        <v>75850</v>
      </c>
      <c r="I2727" s="33" t="n">
        <f aca="false">D2727*INDEX(Products!$D$2:$D$49,MATCH(C2727,Products!$A$2:$A$49,0))*(1+INDEX(Assumptions!$B$16:$B$20,MATCH(B2727,Assumptions!$A$16:$A$20,0)))</f>
        <v>62966.6</v>
      </c>
      <c r="J2727" s="33" t="n">
        <f aca="false">H2727-I2727</f>
        <v>12883.4</v>
      </c>
      <c r="K2727" s="33" t="n">
        <f aca="false">IF(OR(E2727=0,E2727&gt;=7),0,D2727/(7-E2727)*E2727*INDEX(Products!$E$2:$E$49,MATCH(C2727,Products!$A$2:$A$49,0)))</f>
        <v>0</v>
      </c>
    </row>
    <row r="2728" customFormat="false" ht="15" hidden="false" customHeight="false" outlineLevel="0" collapsed="false">
      <c r="A2728" s="36" t="n">
        <v>46125</v>
      </c>
      <c r="B2728" s="24" t="s">
        <v>63</v>
      </c>
      <c r="C2728" s="24" t="s">
        <v>141</v>
      </c>
      <c r="D2728" s="33" t="n">
        <v>190</v>
      </c>
      <c r="E2728" s="24" t="n">
        <v>0</v>
      </c>
      <c r="F2728" s="37" t="n">
        <f aca="false">DATE(YEAR(A2728),MONTH(A2728),1)</f>
        <v>46113</v>
      </c>
      <c r="G2728" s="24" t="str">
        <f aca="false">INDEX(Products!$C$2:$C$49,MATCH(C2728,Products!$A$2:$A$49,0))</f>
        <v>Dairy &amp; Eggs</v>
      </c>
      <c r="H2728" s="33" t="n">
        <f aca="false">D2728*INDEX(Products!$E$2:$E$49,MATCH(C2728,Products!$A$2:$A$49,0))</f>
        <v>77900</v>
      </c>
      <c r="I2728" s="33" t="n">
        <f aca="false">D2728*INDEX(Products!$D$2:$D$49,MATCH(C2728,Products!$A$2:$A$49,0))*(1+INDEX(Assumptions!$B$16:$B$20,MATCH(B2728,Assumptions!$A$16:$A$20,0)))</f>
        <v>64668.4</v>
      </c>
      <c r="J2728" s="33" t="n">
        <f aca="false">H2728-I2728</f>
        <v>13231.6</v>
      </c>
      <c r="K2728" s="33" t="n">
        <f aca="false">IF(OR(E2728=0,E2728&gt;=7),0,D2728/(7-E2728)*E2728*INDEX(Products!$E$2:$E$49,MATCH(C2728,Products!$A$2:$A$49,0)))</f>
        <v>0</v>
      </c>
    </row>
    <row r="2729" customFormat="false" ht="15" hidden="false" customHeight="false" outlineLevel="0" collapsed="false">
      <c r="A2729" s="36" t="n">
        <v>46132</v>
      </c>
      <c r="B2729" s="24" t="s">
        <v>63</v>
      </c>
      <c r="C2729" s="24" t="s">
        <v>141</v>
      </c>
      <c r="D2729" s="33" t="n">
        <v>241</v>
      </c>
      <c r="E2729" s="24" t="n">
        <v>0</v>
      </c>
      <c r="F2729" s="37" t="n">
        <f aca="false">DATE(YEAR(A2729),MONTH(A2729),1)</f>
        <v>46113</v>
      </c>
      <c r="G2729" s="24" t="str">
        <f aca="false">INDEX(Products!$C$2:$C$49,MATCH(C2729,Products!$A$2:$A$49,0))</f>
        <v>Dairy &amp; Eggs</v>
      </c>
      <c r="H2729" s="33" t="n">
        <f aca="false">D2729*INDEX(Products!$E$2:$E$49,MATCH(C2729,Products!$A$2:$A$49,0))</f>
        <v>98810</v>
      </c>
      <c r="I2729" s="33" t="n">
        <f aca="false">D2729*INDEX(Products!$D$2:$D$49,MATCH(C2729,Products!$A$2:$A$49,0))*(1+INDEX(Assumptions!$B$16:$B$20,MATCH(B2729,Assumptions!$A$16:$A$20,0)))</f>
        <v>82026.76</v>
      </c>
      <c r="J2729" s="33" t="n">
        <f aca="false">H2729-I2729</f>
        <v>16783.24</v>
      </c>
      <c r="K2729" s="33" t="n">
        <f aca="false">IF(OR(E2729=0,E2729&gt;=7),0,D2729/(7-E2729)*E2729*INDEX(Products!$E$2:$E$49,MATCH(C2729,Products!$A$2:$A$49,0)))</f>
        <v>0</v>
      </c>
    </row>
    <row r="2730" customFormat="false" ht="15" hidden="false" customHeight="false" outlineLevel="0" collapsed="false">
      <c r="A2730" s="36" t="n">
        <v>46139</v>
      </c>
      <c r="B2730" s="24" t="s">
        <v>63</v>
      </c>
      <c r="C2730" s="24" t="s">
        <v>141</v>
      </c>
      <c r="D2730" s="33" t="n">
        <v>203</v>
      </c>
      <c r="E2730" s="24" t="n">
        <v>0</v>
      </c>
      <c r="F2730" s="37" t="n">
        <f aca="false">DATE(YEAR(A2730),MONTH(A2730),1)</f>
        <v>46113</v>
      </c>
      <c r="G2730" s="24" t="str">
        <f aca="false">INDEX(Products!$C$2:$C$49,MATCH(C2730,Products!$A$2:$A$49,0))</f>
        <v>Dairy &amp; Eggs</v>
      </c>
      <c r="H2730" s="33" t="n">
        <f aca="false">D2730*INDEX(Products!$E$2:$E$49,MATCH(C2730,Products!$A$2:$A$49,0))</f>
        <v>83230</v>
      </c>
      <c r="I2730" s="33" t="n">
        <f aca="false">D2730*INDEX(Products!$D$2:$D$49,MATCH(C2730,Products!$A$2:$A$49,0))*(1+INDEX(Assumptions!$B$16:$B$20,MATCH(B2730,Assumptions!$A$16:$A$20,0)))</f>
        <v>69093.08</v>
      </c>
      <c r="J2730" s="33" t="n">
        <f aca="false">H2730-I2730</f>
        <v>14136.92</v>
      </c>
      <c r="K2730" s="33" t="n">
        <f aca="false">IF(OR(E2730=0,E2730&gt;=7),0,D2730/(7-E2730)*E2730*INDEX(Products!$E$2:$E$49,MATCH(C2730,Products!$A$2:$A$49,0)))</f>
        <v>0</v>
      </c>
    </row>
    <row r="2731" customFormat="false" ht="15" hidden="false" customHeight="false" outlineLevel="0" collapsed="false">
      <c r="A2731" s="36" t="n">
        <v>46146</v>
      </c>
      <c r="B2731" s="24" t="s">
        <v>63</v>
      </c>
      <c r="C2731" s="24" t="s">
        <v>141</v>
      </c>
      <c r="D2731" s="33" t="n">
        <v>210</v>
      </c>
      <c r="E2731" s="24" t="n">
        <v>0</v>
      </c>
      <c r="F2731" s="37" t="n">
        <f aca="false">DATE(YEAR(A2731),MONTH(A2731),1)</f>
        <v>46143</v>
      </c>
      <c r="G2731" s="24" t="str">
        <f aca="false">INDEX(Products!$C$2:$C$49,MATCH(C2731,Products!$A$2:$A$49,0))</f>
        <v>Dairy &amp; Eggs</v>
      </c>
      <c r="H2731" s="33" t="n">
        <f aca="false">D2731*INDEX(Products!$E$2:$E$49,MATCH(C2731,Products!$A$2:$A$49,0))</f>
        <v>86100</v>
      </c>
      <c r="I2731" s="33" t="n">
        <f aca="false">D2731*INDEX(Products!$D$2:$D$49,MATCH(C2731,Products!$A$2:$A$49,0))*(1+INDEX(Assumptions!$B$16:$B$20,MATCH(B2731,Assumptions!$A$16:$A$20,0)))</f>
        <v>71475.6</v>
      </c>
      <c r="J2731" s="33" t="n">
        <f aca="false">H2731-I2731</f>
        <v>14624.4</v>
      </c>
      <c r="K2731" s="33" t="n">
        <f aca="false">IF(OR(E2731=0,E2731&gt;=7),0,D2731/(7-E2731)*E2731*INDEX(Products!$E$2:$E$49,MATCH(C2731,Products!$A$2:$A$49,0)))</f>
        <v>0</v>
      </c>
    </row>
    <row r="2732" customFormat="false" ht="15" hidden="false" customHeight="false" outlineLevel="0" collapsed="false">
      <c r="A2732" s="36" t="n">
        <v>46153</v>
      </c>
      <c r="B2732" s="24" t="s">
        <v>63</v>
      </c>
      <c r="C2732" s="24" t="s">
        <v>141</v>
      </c>
      <c r="D2732" s="33" t="n">
        <v>209</v>
      </c>
      <c r="E2732" s="24" t="n">
        <v>0</v>
      </c>
      <c r="F2732" s="37" t="n">
        <f aca="false">DATE(YEAR(A2732),MONTH(A2732),1)</f>
        <v>46143</v>
      </c>
      <c r="G2732" s="24" t="str">
        <f aca="false">INDEX(Products!$C$2:$C$49,MATCH(C2732,Products!$A$2:$A$49,0))</f>
        <v>Dairy &amp; Eggs</v>
      </c>
      <c r="H2732" s="33" t="n">
        <f aca="false">D2732*INDEX(Products!$E$2:$E$49,MATCH(C2732,Products!$A$2:$A$49,0))</f>
        <v>85690</v>
      </c>
      <c r="I2732" s="33" t="n">
        <f aca="false">D2732*INDEX(Products!$D$2:$D$49,MATCH(C2732,Products!$A$2:$A$49,0))*(1+INDEX(Assumptions!$B$16:$B$20,MATCH(B2732,Assumptions!$A$16:$A$20,0)))</f>
        <v>71135.24</v>
      </c>
      <c r="J2732" s="33" t="n">
        <f aca="false">H2732-I2732</f>
        <v>14554.76</v>
      </c>
      <c r="K2732" s="33" t="n">
        <f aca="false">IF(OR(E2732=0,E2732&gt;=7),0,D2732/(7-E2732)*E2732*INDEX(Products!$E$2:$E$49,MATCH(C2732,Products!$A$2:$A$49,0)))</f>
        <v>0</v>
      </c>
    </row>
    <row r="2733" customFormat="false" ht="15" hidden="false" customHeight="false" outlineLevel="0" collapsed="false">
      <c r="A2733" s="36" t="n">
        <v>46160</v>
      </c>
      <c r="B2733" s="24" t="s">
        <v>63</v>
      </c>
      <c r="C2733" s="24" t="s">
        <v>141</v>
      </c>
      <c r="D2733" s="33" t="n">
        <v>175</v>
      </c>
      <c r="E2733" s="24" t="n">
        <v>0</v>
      </c>
      <c r="F2733" s="37" t="n">
        <f aca="false">DATE(YEAR(A2733),MONTH(A2733),1)</f>
        <v>46143</v>
      </c>
      <c r="G2733" s="24" t="str">
        <f aca="false">INDEX(Products!$C$2:$C$49,MATCH(C2733,Products!$A$2:$A$49,0))</f>
        <v>Dairy &amp; Eggs</v>
      </c>
      <c r="H2733" s="33" t="n">
        <f aca="false">D2733*INDEX(Products!$E$2:$E$49,MATCH(C2733,Products!$A$2:$A$49,0))</f>
        <v>71750</v>
      </c>
      <c r="I2733" s="33" t="n">
        <f aca="false">D2733*INDEX(Products!$D$2:$D$49,MATCH(C2733,Products!$A$2:$A$49,0))*(1+INDEX(Assumptions!$B$16:$B$20,MATCH(B2733,Assumptions!$A$16:$A$20,0)))</f>
        <v>59563</v>
      </c>
      <c r="J2733" s="33" t="n">
        <f aca="false">H2733-I2733</f>
        <v>12187</v>
      </c>
      <c r="K2733" s="33" t="n">
        <f aca="false">IF(OR(E2733=0,E2733&gt;=7),0,D2733/(7-E2733)*E2733*INDEX(Products!$E$2:$E$49,MATCH(C2733,Products!$A$2:$A$49,0)))</f>
        <v>0</v>
      </c>
    </row>
    <row r="2734" customFormat="false" ht="15" hidden="false" customHeight="false" outlineLevel="0" collapsed="false">
      <c r="A2734" s="36" t="n">
        <v>46167</v>
      </c>
      <c r="B2734" s="24" t="s">
        <v>63</v>
      </c>
      <c r="C2734" s="24" t="s">
        <v>141</v>
      </c>
      <c r="D2734" s="33" t="n">
        <v>230</v>
      </c>
      <c r="E2734" s="24" t="n">
        <v>0</v>
      </c>
      <c r="F2734" s="37" t="n">
        <f aca="false">DATE(YEAR(A2734),MONTH(A2734),1)</f>
        <v>46143</v>
      </c>
      <c r="G2734" s="24" t="str">
        <f aca="false">INDEX(Products!$C$2:$C$49,MATCH(C2734,Products!$A$2:$A$49,0))</f>
        <v>Dairy &amp; Eggs</v>
      </c>
      <c r="H2734" s="33" t="n">
        <f aca="false">D2734*INDEX(Products!$E$2:$E$49,MATCH(C2734,Products!$A$2:$A$49,0))</f>
        <v>94300</v>
      </c>
      <c r="I2734" s="33" t="n">
        <f aca="false">D2734*INDEX(Products!$D$2:$D$49,MATCH(C2734,Products!$A$2:$A$49,0))*(1+INDEX(Assumptions!$B$16:$B$20,MATCH(B2734,Assumptions!$A$16:$A$20,0)))</f>
        <v>78282.8</v>
      </c>
      <c r="J2734" s="33" t="n">
        <f aca="false">H2734-I2734</f>
        <v>16017.2</v>
      </c>
      <c r="K2734" s="33" t="n">
        <f aca="false">IF(OR(E2734=0,E2734&gt;=7),0,D2734/(7-E2734)*E2734*INDEX(Products!$E$2:$E$49,MATCH(C2734,Products!$A$2:$A$49,0)))</f>
        <v>0</v>
      </c>
    </row>
    <row r="2735" customFormat="false" ht="15" hidden="false" customHeight="false" outlineLevel="0" collapsed="false">
      <c r="A2735" s="36" t="n">
        <v>46174</v>
      </c>
      <c r="B2735" s="24" t="s">
        <v>63</v>
      </c>
      <c r="C2735" s="24" t="s">
        <v>141</v>
      </c>
      <c r="D2735" s="33" t="n">
        <v>211</v>
      </c>
      <c r="E2735" s="24" t="n">
        <v>0</v>
      </c>
      <c r="F2735" s="37" t="n">
        <f aca="false">DATE(YEAR(A2735),MONTH(A2735),1)</f>
        <v>46174</v>
      </c>
      <c r="G2735" s="24" t="str">
        <f aca="false">INDEX(Products!$C$2:$C$49,MATCH(C2735,Products!$A$2:$A$49,0))</f>
        <v>Dairy &amp; Eggs</v>
      </c>
      <c r="H2735" s="33" t="n">
        <f aca="false">D2735*INDEX(Products!$E$2:$E$49,MATCH(C2735,Products!$A$2:$A$49,0))</f>
        <v>86510</v>
      </c>
      <c r="I2735" s="33" t="n">
        <f aca="false">D2735*INDEX(Products!$D$2:$D$49,MATCH(C2735,Products!$A$2:$A$49,0))*(1+INDEX(Assumptions!$B$16:$B$20,MATCH(B2735,Assumptions!$A$16:$A$20,0)))</f>
        <v>71815.96</v>
      </c>
      <c r="J2735" s="33" t="n">
        <f aca="false">H2735-I2735</f>
        <v>14694.04</v>
      </c>
      <c r="K2735" s="33" t="n">
        <f aca="false">IF(OR(E2735=0,E2735&gt;=7),0,D2735/(7-E2735)*E2735*INDEX(Products!$E$2:$E$49,MATCH(C2735,Products!$A$2:$A$49,0)))</f>
        <v>0</v>
      </c>
    </row>
    <row r="2736" customFormat="false" ht="15" hidden="false" customHeight="false" outlineLevel="0" collapsed="false">
      <c r="A2736" s="36" t="n">
        <v>46181</v>
      </c>
      <c r="B2736" s="24" t="s">
        <v>63</v>
      </c>
      <c r="C2736" s="24" t="s">
        <v>141</v>
      </c>
      <c r="D2736" s="33" t="n">
        <v>202</v>
      </c>
      <c r="E2736" s="24" t="n">
        <v>0</v>
      </c>
      <c r="F2736" s="37" t="n">
        <f aca="false">DATE(YEAR(A2736),MONTH(A2736),1)</f>
        <v>46174</v>
      </c>
      <c r="G2736" s="24" t="str">
        <f aca="false">INDEX(Products!$C$2:$C$49,MATCH(C2736,Products!$A$2:$A$49,0))</f>
        <v>Dairy &amp; Eggs</v>
      </c>
      <c r="H2736" s="33" t="n">
        <f aca="false">D2736*INDEX(Products!$E$2:$E$49,MATCH(C2736,Products!$A$2:$A$49,0))</f>
        <v>82820</v>
      </c>
      <c r="I2736" s="33" t="n">
        <f aca="false">D2736*INDEX(Products!$D$2:$D$49,MATCH(C2736,Products!$A$2:$A$49,0))*(1+INDEX(Assumptions!$B$16:$B$20,MATCH(B2736,Assumptions!$A$16:$A$20,0)))</f>
        <v>68752.72</v>
      </c>
      <c r="J2736" s="33" t="n">
        <f aca="false">H2736-I2736</f>
        <v>14067.28</v>
      </c>
      <c r="K2736" s="33" t="n">
        <f aca="false">IF(OR(E2736=0,E2736&gt;=7),0,D2736/(7-E2736)*E2736*INDEX(Products!$E$2:$E$49,MATCH(C2736,Products!$A$2:$A$49,0)))</f>
        <v>0</v>
      </c>
    </row>
    <row r="2737" customFormat="false" ht="15" hidden="false" customHeight="false" outlineLevel="0" collapsed="false">
      <c r="A2737" s="36" t="n">
        <v>46188</v>
      </c>
      <c r="B2737" s="24" t="s">
        <v>63</v>
      </c>
      <c r="C2737" s="24" t="s">
        <v>141</v>
      </c>
      <c r="D2737" s="33" t="n">
        <v>86</v>
      </c>
      <c r="E2737" s="24" t="n">
        <v>4</v>
      </c>
      <c r="F2737" s="37" t="n">
        <f aca="false">DATE(YEAR(A2737),MONTH(A2737),1)</f>
        <v>46174</v>
      </c>
      <c r="G2737" s="24" t="str">
        <f aca="false">INDEX(Products!$C$2:$C$49,MATCH(C2737,Products!$A$2:$A$49,0))</f>
        <v>Dairy &amp; Eggs</v>
      </c>
      <c r="H2737" s="33" t="n">
        <f aca="false">D2737*INDEX(Products!$E$2:$E$49,MATCH(C2737,Products!$A$2:$A$49,0))</f>
        <v>35260</v>
      </c>
      <c r="I2737" s="33" t="n">
        <f aca="false">D2737*INDEX(Products!$D$2:$D$49,MATCH(C2737,Products!$A$2:$A$49,0))*(1+INDEX(Assumptions!$B$16:$B$20,MATCH(B2737,Assumptions!$A$16:$A$20,0)))</f>
        <v>29270.96</v>
      </c>
      <c r="J2737" s="33" t="n">
        <f aca="false">H2737-I2737</f>
        <v>5989.04</v>
      </c>
      <c r="K2737" s="33" t="n">
        <f aca="false">IF(OR(E2737=0,E2737&gt;=7),0,D2737/(7-E2737)*E2737*INDEX(Products!$E$2:$E$49,MATCH(C2737,Products!$A$2:$A$49,0)))</f>
        <v>47013.3333333333</v>
      </c>
    </row>
    <row r="2738" customFormat="false" ht="15" hidden="false" customHeight="false" outlineLevel="0" collapsed="false">
      <c r="A2738" s="36" t="n">
        <v>46195</v>
      </c>
      <c r="B2738" s="24" t="s">
        <v>63</v>
      </c>
      <c r="C2738" s="24" t="s">
        <v>141</v>
      </c>
      <c r="D2738" s="33" t="n">
        <v>221</v>
      </c>
      <c r="E2738" s="24" t="n">
        <v>0</v>
      </c>
      <c r="F2738" s="37" t="n">
        <f aca="false">DATE(YEAR(A2738),MONTH(A2738),1)</f>
        <v>46174</v>
      </c>
      <c r="G2738" s="24" t="str">
        <f aca="false">INDEX(Products!$C$2:$C$49,MATCH(C2738,Products!$A$2:$A$49,0))</f>
        <v>Dairy &amp; Eggs</v>
      </c>
      <c r="H2738" s="33" t="n">
        <f aca="false">D2738*INDEX(Products!$E$2:$E$49,MATCH(C2738,Products!$A$2:$A$49,0))</f>
        <v>90610</v>
      </c>
      <c r="I2738" s="33" t="n">
        <f aca="false">D2738*INDEX(Products!$D$2:$D$49,MATCH(C2738,Products!$A$2:$A$49,0))*(1+INDEX(Assumptions!$B$16:$B$20,MATCH(B2738,Assumptions!$A$16:$A$20,0)))</f>
        <v>75219.56</v>
      </c>
      <c r="J2738" s="33" t="n">
        <f aca="false">H2738-I2738</f>
        <v>15390.44</v>
      </c>
      <c r="K2738" s="33" t="n">
        <f aca="false">IF(OR(E2738=0,E2738&gt;=7),0,D2738/(7-E2738)*E2738*INDEX(Products!$E$2:$E$49,MATCH(C2738,Products!$A$2:$A$49,0)))</f>
        <v>0</v>
      </c>
    </row>
    <row r="2739" customFormat="false" ht="15" hidden="false" customHeight="false" outlineLevel="0" collapsed="false">
      <c r="A2739" s="36" t="n">
        <v>46202</v>
      </c>
      <c r="B2739" s="24" t="s">
        <v>63</v>
      </c>
      <c r="C2739" s="24" t="s">
        <v>141</v>
      </c>
      <c r="D2739" s="33" t="n">
        <v>218</v>
      </c>
      <c r="E2739" s="24" t="n">
        <v>0</v>
      </c>
      <c r="F2739" s="37" t="n">
        <f aca="false">DATE(YEAR(A2739),MONTH(A2739),1)</f>
        <v>46174</v>
      </c>
      <c r="G2739" s="24" t="str">
        <f aca="false">INDEX(Products!$C$2:$C$49,MATCH(C2739,Products!$A$2:$A$49,0))</f>
        <v>Dairy &amp; Eggs</v>
      </c>
      <c r="H2739" s="33" t="n">
        <f aca="false">D2739*INDEX(Products!$E$2:$E$49,MATCH(C2739,Products!$A$2:$A$49,0))</f>
        <v>89380</v>
      </c>
      <c r="I2739" s="33" t="n">
        <f aca="false">D2739*INDEX(Products!$D$2:$D$49,MATCH(C2739,Products!$A$2:$A$49,0))*(1+INDEX(Assumptions!$B$16:$B$20,MATCH(B2739,Assumptions!$A$16:$A$20,0)))</f>
        <v>74198.48</v>
      </c>
      <c r="J2739" s="33" t="n">
        <f aca="false">H2739-I2739</f>
        <v>15181.52</v>
      </c>
      <c r="K2739" s="33" t="n">
        <f aca="false">IF(OR(E2739=0,E2739&gt;=7),0,D2739/(7-E2739)*E2739*INDEX(Products!$E$2:$E$49,MATCH(C2739,Products!$A$2:$A$49,0)))</f>
        <v>0</v>
      </c>
    </row>
    <row r="2740" customFormat="false" ht="15" hidden="false" customHeight="false" outlineLevel="0" collapsed="false">
      <c r="A2740" s="36" t="n">
        <v>46209</v>
      </c>
      <c r="B2740" s="24" t="s">
        <v>63</v>
      </c>
      <c r="C2740" s="24" t="s">
        <v>141</v>
      </c>
      <c r="D2740" s="33" t="n">
        <v>162</v>
      </c>
      <c r="E2740" s="24" t="n">
        <v>0</v>
      </c>
      <c r="F2740" s="37" t="n">
        <f aca="false">DATE(YEAR(A2740),MONTH(A2740),1)</f>
        <v>46204</v>
      </c>
      <c r="G2740" s="24" t="str">
        <f aca="false">INDEX(Products!$C$2:$C$49,MATCH(C2740,Products!$A$2:$A$49,0))</f>
        <v>Dairy &amp; Eggs</v>
      </c>
      <c r="H2740" s="33" t="n">
        <f aca="false">D2740*INDEX(Products!$E$2:$E$49,MATCH(C2740,Products!$A$2:$A$49,0))</f>
        <v>66420</v>
      </c>
      <c r="I2740" s="33" t="n">
        <f aca="false">D2740*INDEX(Products!$D$2:$D$49,MATCH(C2740,Products!$A$2:$A$49,0))*(1+INDEX(Assumptions!$B$16:$B$20,MATCH(B2740,Assumptions!$A$16:$A$20,0)))</f>
        <v>55138.32</v>
      </c>
      <c r="J2740" s="33" t="n">
        <f aca="false">H2740-I2740</f>
        <v>11281.68</v>
      </c>
      <c r="K2740" s="33" t="n">
        <f aca="false">IF(OR(E2740=0,E2740&gt;=7),0,D2740/(7-E2740)*E2740*INDEX(Products!$E$2:$E$49,MATCH(C2740,Products!$A$2:$A$49,0)))</f>
        <v>0</v>
      </c>
    </row>
    <row r="2741" customFormat="false" ht="15" hidden="false" customHeight="false" outlineLevel="0" collapsed="false">
      <c r="A2741" s="36" t="n">
        <v>46216</v>
      </c>
      <c r="B2741" s="24" t="s">
        <v>63</v>
      </c>
      <c r="C2741" s="24" t="s">
        <v>141</v>
      </c>
      <c r="D2741" s="33" t="n">
        <v>187</v>
      </c>
      <c r="E2741" s="24" t="n">
        <v>0</v>
      </c>
      <c r="F2741" s="37" t="n">
        <f aca="false">DATE(YEAR(A2741),MONTH(A2741),1)</f>
        <v>46204</v>
      </c>
      <c r="G2741" s="24" t="str">
        <f aca="false">INDEX(Products!$C$2:$C$49,MATCH(C2741,Products!$A$2:$A$49,0))</f>
        <v>Dairy &amp; Eggs</v>
      </c>
      <c r="H2741" s="33" t="n">
        <f aca="false">D2741*INDEX(Products!$E$2:$E$49,MATCH(C2741,Products!$A$2:$A$49,0))</f>
        <v>76670</v>
      </c>
      <c r="I2741" s="33" t="n">
        <f aca="false">D2741*INDEX(Products!$D$2:$D$49,MATCH(C2741,Products!$A$2:$A$49,0))*(1+INDEX(Assumptions!$B$16:$B$20,MATCH(B2741,Assumptions!$A$16:$A$20,0)))</f>
        <v>63647.32</v>
      </c>
      <c r="J2741" s="33" t="n">
        <f aca="false">H2741-I2741</f>
        <v>13022.68</v>
      </c>
      <c r="K2741" s="33" t="n">
        <f aca="false">IF(OR(E2741=0,E2741&gt;=7),0,D2741/(7-E2741)*E2741*INDEX(Products!$E$2:$E$49,MATCH(C2741,Products!$A$2:$A$49,0)))</f>
        <v>0</v>
      </c>
    </row>
    <row r="2742" customFormat="false" ht="15" hidden="false" customHeight="false" outlineLevel="0" collapsed="false">
      <c r="A2742" s="36" t="n">
        <v>46223</v>
      </c>
      <c r="B2742" s="24" t="s">
        <v>63</v>
      </c>
      <c r="C2742" s="24" t="s">
        <v>141</v>
      </c>
      <c r="D2742" s="33" t="n">
        <v>177</v>
      </c>
      <c r="E2742" s="24" t="n">
        <v>0</v>
      </c>
      <c r="F2742" s="37" t="n">
        <f aca="false">DATE(YEAR(A2742),MONTH(A2742),1)</f>
        <v>46204</v>
      </c>
      <c r="G2742" s="24" t="str">
        <f aca="false">INDEX(Products!$C$2:$C$49,MATCH(C2742,Products!$A$2:$A$49,0))</f>
        <v>Dairy &amp; Eggs</v>
      </c>
      <c r="H2742" s="33" t="n">
        <f aca="false">D2742*INDEX(Products!$E$2:$E$49,MATCH(C2742,Products!$A$2:$A$49,0))</f>
        <v>72570</v>
      </c>
      <c r="I2742" s="33" t="n">
        <f aca="false">D2742*INDEX(Products!$D$2:$D$49,MATCH(C2742,Products!$A$2:$A$49,0))*(1+INDEX(Assumptions!$B$16:$B$20,MATCH(B2742,Assumptions!$A$16:$A$20,0)))</f>
        <v>60243.72</v>
      </c>
      <c r="J2742" s="33" t="n">
        <f aca="false">H2742-I2742</f>
        <v>12326.28</v>
      </c>
      <c r="K2742" s="33" t="n">
        <f aca="false">IF(OR(E2742=0,E2742&gt;=7),0,D2742/(7-E2742)*E2742*INDEX(Products!$E$2:$E$49,MATCH(C2742,Products!$A$2:$A$49,0)))</f>
        <v>0</v>
      </c>
    </row>
    <row r="2743" customFormat="false" ht="15" hidden="false" customHeight="false" outlineLevel="0" collapsed="false">
      <c r="A2743" s="36" t="n">
        <v>46230</v>
      </c>
      <c r="B2743" s="24" t="s">
        <v>63</v>
      </c>
      <c r="C2743" s="24" t="s">
        <v>141</v>
      </c>
      <c r="D2743" s="33" t="n">
        <v>185</v>
      </c>
      <c r="E2743" s="24" t="n">
        <v>0</v>
      </c>
      <c r="F2743" s="37" t="n">
        <f aca="false">DATE(YEAR(A2743),MONTH(A2743),1)</f>
        <v>46204</v>
      </c>
      <c r="G2743" s="24" t="str">
        <f aca="false">INDEX(Products!$C$2:$C$49,MATCH(C2743,Products!$A$2:$A$49,0))</f>
        <v>Dairy &amp; Eggs</v>
      </c>
      <c r="H2743" s="33" t="n">
        <f aca="false">D2743*INDEX(Products!$E$2:$E$49,MATCH(C2743,Products!$A$2:$A$49,0))</f>
        <v>75850</v>
      </c>
      <c r="I2743" s="33" t="n">
        <f aca="false">D2743*INDEX(Products!$D$2:$D$49,MATCH(C2743,Products!$A$2:$A$49,0))*(1+INDEX(Assumptions!$B$16:$B$20,MATCH(B2743,Assumptions!$A$16:$A$20,0)))</f>
        <v>62966.6</v>
      </c>
      <c r="J2743" s="33" t="n">
        <f aca="false">H2743-I2743</f>
        <v>12883.4</v>
      </c>
      <c r="K2743" s="33" t="n">
        <f aca="false">IF(OR(E2743=0,E2743&gt;=7),0,D2743/(7-E2743)*E2743*INDEX(Products!$E$2:$E$49,MATCH(C2743,Products!$A$2:$A$49,0)))</f>
        <v>0</v>
      </c>
    </row>
    <row r="2744" customFormat="false" ht="15" hidden="false" customHeight="false" outlineLevel="0" collapsed="false">
      <c r="A2744" s="36" t="n">
        <v>46237</v>
      </c>
      <c r="B2744" s="24" t="s">
        <v>63</v>
      </c>
      <c r="C2744" s="24" t="s">
        <v>141</v>
      </c>
      <c r="D2744" s="33" t="n">
        <v>171</v>
      </c>
      <c r="E2744" s="24" t="n">
        <v>0</v>
      </c>
      <c r="F2744" s="37" t="n">
        <f aca="false">DATE(YEAR(A2744),MONTH(A2744),1)</f>
        <v>46235</v>
      </c>
      <c r="G2744" s="24" t="str">
        <f aca="false">INDEX(Products!$C$2:$C$49,MATCH(C2744,Products!$A$2:$A$49,0))</f>
        <v>Dairy &amp; Eggs</v>
      </c>
      <c r="H2744" s="33" t="n">
        <f aca="false">D2744*INDEX(Products!$E$2:$E$49,MATCH(C2744,Products!$A$2:$A$49,0))</f>
        <v>70110</v>
      </c>
      <c r="I2744" s="33" t="n">
        <f aca="false">D2744*INDEX(Products!$D$2:$D$49,MATCH(C2744,Products!$A$2:$A$49,0))*(1+INDEX(Assumptions!$B$16:$B$20,MATCH(B2744,Assumptions!$A$16:$A$20,0)))</f>
        <v>58201.56</v>
      </c>
      <c r="J2744" s="33" t="n">
        <f aca="false">H2744-I2744</f>
        <v>11908.44</v>
      </c>
      <c r="K2744" s="33" t="n">
        <f aca="false">IF(OR(E2744=0,E2744&gt;=7),0,D2744/(7-E2744)*E2744*INDEX(Products!$E$2:$E$49,MATCH(C2744,Products!$A$2:$A$49,0)))</f>
        <v>0</v>
      </c>
    </row>
    <row r="2745" customFormat="false" ht="15" hidden="false" customHeight="false" outlineLevel="0" collapsed="false">
      <c r="A2745" s="36" t="n">
        <v>46244</v>
      </c>
      <c r="B2745" s="24" t="s">
        <v>63</v>
      </c>
      <c r="C2745" s="24" t="s">
        <v>141</v>
      </c>
      <c r="D2745" s="33" t="n">
        <v>181</v>
      </c>
      <c r="E2745" s="24" t="n">
        <v>0</v>
      </c>
      <c r="F2745" s="37" t="n">
        <f aca="false">DATE(YEAR(A2745),MONTH(A2745),1)</f>
        <v>46235</v>
      </c>
      <c r="G2745" s="24" t="str">
        <f aca="false">INDEX(Products!$C$2:$C$49,MATCH(C2745,Products!$A$2:$A$49,0))</f>
        <v>Dairy &amp; Eggs</v>
      </c>
      <c r="H2745" s="33" t="n">
        <f aca="false">D2745*INDEX(Products!$E$2:$E$49,MATCH(C2745,Products!$A$2:$A$49,0))</f>
        <v>74210</v>
      </c>
      <c r="I2745" s="33" t="n">
        <f aca="false">D2745*INDEX(Products!$D$2:$D$49,MATCH(C2745,Products!$A$2:$A$49,0))*(1+INDEX(Assumptions!$B$16:$B$20,MATCH(B2745,Assumptions!$A$16:$A$20,0)))</f>
        <v>61605.16</v>
      </c>
      <c r="J2745" s="33" t="n">
        <f aca="false">H2745-I2745</f>
        <v>12604.84</v>
      </c>
      <c r="K2745" s="33" t="n">
        <f aca="false">IF(OR(E2745=0,E2745&gt;=7),0,D2745/(7-E2745)*E2745*INDEX(Products!$E$2:$E$49,MATCH(C2745,Products!$A$2:$A$49,0)))</f>
        <v>0</v>
      </c>
    </row>
    <row r="2746" customFormat="false" ht="15" hidden="false" customHeight="false" outlineLevel="0" collapsed="false">
      <c r="A2746" s="36" t="n">
        <v>46251</v>
      </c>
      <c r="B2746" s="24" t="s">
        <v>63</v>
      </c>
      <c r="C2746" s="24" t="s">
        <v>141</v>
      </c>
      <c r="D2746" s="33" t="n">
        <v>161</v>
      </c>
      <c r="E2746" s="24" t="n">
        <v>0</v>
      </c>
      <c r="F2746" s="37" t="n">
        <f aca="false">DATE(YEAR(A2746),MONTH(A2746),1)</f>
        <v>46235</v>
      </c>
      <c r="G2746" s="24" t="str">
        <f aca="false">INDEX(Products!$C$2:$C$49,MATCH(C2746,Products!$A$2:$A$49,0))</f>
        <v>Dairy &amp; Eggs</v>
      </c>
      <c r="H2746" s="33" t="n">
        <f aca="false">D2746*INDEX(Products!$E$2:$E$49,MATCH(C2746,Products!$A$2:$A$49,0))</f>
        <v>66010</v>
      </c>
      <c r="I2746" s="33" t="n">
        <f aca="false">D2746*INDEX(Products!$D$2:$D$49,MATCH(C2746,Products!$A$2:$A$49,0))*(1+INDEX(Assumptions!$B$16:$B$20,MATCH(B2746,Assumptions!$A$16:$A$20,0)))</f>
        <v>54797.96</v>
      </c>
      <c r="J2746" s="33" t="n">
        <f aca="false">H2746-I2746</f>
        <v>11212.04</v>
      </c>
      <c r="K2746" s="33" t="n">
        <f aca="false">IF(OR(E2746=0,E2746&gt;=7),0,D2746/(7-E2746)*E2746*INDEX(Products!$E$2:$E$49,MATCH(C2746,Products!$A$2:$A$49,0)))</f>
        <v>0</v>
      </c>
    </row>
    <row r="2747" customFormat="false" ht="15" hidden="false" customHeight="false" outlineLevel="0" collapsed="false">
      <c r="A2747" s="36" t="n">
        <v>46258</v>
      </c>
      <c r="B2747" s="24" t="s">
        <v>63</v>
      </c>
      <c r="C2747" s="24" t="s">
        <v>141</v>
      </c>
      <c r="D2747" s="33" t="n">
        <v>130</v>
      </c>
      <c r="E2747" s="24" t="n">
        <v>2</v>
      </c>
      <c r="F2747" s="37" t="n">
        <f aca="false">DATE(YEAR(A2747),MONTH(A2747),1)</f>
        <v>46235</v>
      </c>
      <c r="G2747" s="24" t="str">
        <f aca="false">INDEX(Products!$C$2:$C$49,MATCH(C2747,Products!$A$2:$A$49,0))</f>
        <v>Dairy &amp; Eggs</v>
      </c>
      <c r="H2747" s="33" t="n">
        <f aca="false">D2747*INDEX(Products!$E$2:$E$49,MATCH(C2747,Products!$A$2:$A$49,0))</f>
        <v>53300</v>
      </c>
      <c r="I2747" s="33" t="n">
        <f aca="false">D2747*INDEX(Products!$D$2:$D$49,MATCH(C2747,Products!$A$2:$A$49,0))*(1+INDEX(Assumptions!$B$16:$B$20,MATCH(B2747,Assumptions!$A$16:$A$20,0)))</f>
        <v>44246.8</v>
      </c>
      <c r="J2747" s="33" t="n">
        <f aca="false">H2747-I2747</f>
        <v>9053.2</v>
      </c>
      <c r="K2747" s="33" t="n">
        <f aca="false">IF(OR(E2747=0,E2747&gt;=7),0,D2747/(7-E2747)*E2747*INDEX(Products!$E$2:$E$49,MATCH(C2747,Products!$A$2:$A$49,0)))</f>
        <v>21320</v>
      </c>
    </row>
    <row r="2748" customFormat="false" ht="15" hidden="false" customHeight="false" outlineLevel="0" collapsed="false">
      <c r="A2748" s="36" t="n">
        <v>46265</v>
      </c>
      <c r="B2748" s="24" t="s">
        <v>63</v>
      </c>
      <c r="C2748" s="24" t="s">
        <v>141</v>
      </c>
      <c r="D2748" s="33" t="n">
        <v>206</v>
      </c>
      <c r="E2748" s="24" t="n">
        <v>0</v>
      </c>
      <c r="F2748" s="37" t="n">
        <f aca="false">DATE(YEAR(A2748),MONTH(A2748),1)</f>
        <v>46235</v>
      </c>
      <c r="G2748" s="24" t="str">
        <f aca="false">INDEX(Products!$C$2:$C$49,MATCH(C2748,Products!$A$2:$A$49,0))</f>
        <v>Dairy &amp; Eggs</v>
      </c>
      <c r="H2748" s="33" t="n">
        <f aca="false">D2748*INDEX(Products!$E$2:$E$49,MATCH(C2748,Products!$A$2:$A$49,0))</f>
        <v>84460</v>
      </c>
      <c r="I2748" s="33" t="n">
        <f aca="false">D2748*INDEX(Products!$D$2:$D$49,MATCH(C2748,Products!$A$2:$A$49,0))*(1+INDEX(Assumptions!$B$16:$B$20,MATCH(B2748,Assumptions!$A$16:$A$20,0)))</f>
        <v>70114.16</v>
      </c>
      <c r="J2748" s="33" t="n">
        <f aca="false">H2748-I2748</f>
        <v>14345.84</v>
      </c>
      <c r="K2748" s="33" t="n">
        <f aca="false">IF(OR(E2748=0,E2748&gt;=7),0,D2748/(7-E2748)*E2748*INDEX(Products!$E$2:$E$49,MATCH(C2748,Products!$A$2:$A$49,0)))</f>
        <v>0</v>
      </c>
    </row>
    <row r="2749" customFormat="false" ht="15" hidden="false" customHeight="false" outlineLevel="0" collapsed="false">
      <c r="A2749" s="36" t="n">
        <v>46272</v>
      </c>
      <c r="B2749" s="24" t="s">
        <v>63</v>
      </c>
      <c r="C2749" s="24" t="s">
        <v>141</v>
      </c>
      <c r="D2749" s="33" t="n">
        <v>181</v>
      </c>
      <c r="E2749" s="24" t="n">
        <v>0</v>
      </c>
      <c r="F2749" s="37" t="n">
        <f aca="false">DATE(YEAR(A2749),MONTH(A2749),1)</f>
        <v>46266</v>
      </c>
      <c r="G2749" s="24" t="str">
        <f aca="false">INDEX(Products!$C$2:$C$49,MATCH(C2749,Products!$A$2:$A$49,0))</f>
        <v>Dairy &amp; Eggs</v>
      </c>
      <c r="H2749" s="33" t="n">
        <f aca="false">D2749*INDEX(Products!$E$2:$E$49,MATCH(C2749,Products!$A$2:$A$49,0))</f>
        <v>74210</v>
      </c>
      <c r="I2749" s="33" t="n">
        <f aca="false">D2749*INDEX(Products!$D$2:$D$49,MATCH(C2749,Products!$A$2:$A$49,0))*(1+INDEX(Assumptions!$B$16:$B$20,MATCH(B2749,Assumptions!$A$16:$A$20,0)))</f>
        <v>61605.16</v>
      </c>
      <c r="J2749" s="33" t="n">
        <f aca="false">H2749-I2749</f>
        <v>12604.84</v>
      </c>
      <c r="K2749" s="33" t="n">
        <f aca="false">IF(OR(E2749=0,E2749&gt;=7),0,D2749/(7-E2749)*E2749*INDEX(Products!$E$2:$E$49,MATCH(C2749,Products!$A$2:$A$49,0)))</f>
        <v>0</v>
      </c>
    </row>
    <row r="2750" customFormat="false" ht="15" hidden="false" customHeight="false" outlineLevel="0" collapsed="false">
      <c r="A2750" s="36" t="n">
        <v>46279</v>
      </c>
      <c r="B2750" s="24" t="s">
        <v>63</v>
      </c>
      <c r="C2750" s="24" t="s">
        <v>141</v>
      </c>
      <c r="D2750" s="33" t="n">
        <v>198</v>
      </c>
      <c r="E2750" s="24" t="n">
        <v>0</v>
      </c>
      <c r="F2750" s="37" t="n">
        <f aca="false">DATE(YEAR(A2750),MONTH(A2750),1)</f>
        <v>46266</v>
      </c>
      <c r="G2750" s="24" t="str">
        <f aca="false">INDEX(Products!$C$2:$C$49,MATCH(C2750,Products!$A$2:$A$49,0))</f>
        <v>Dairy &amp; Eggs</v>
      </c>
      <c r="H2750" s="33" t="n">
        <f aca="false">D2750*INDEX(Products!$E$2:$E$49,MATCH(C2750,Products!$A$2:$A$49,0))</f>
        <v>81180</v>
      </c>
      <c r="I2750" s="33" t="n">
        <f aca="false">D2750*INDEX(Products!$D$2:$D$49,MATCH(C2750,Products!$A$2:$A$49,0))*(1+INDEX(Assumptions!$B$16:$B$20,MATCH(B2750,Assumptions!$A$16:$A$20,0)))</f>
        <v>67391.28</v>
      </c>
      <c r="J2750" s="33" t="n">
        <f aca="false">H2750-I2750</f>
        <v>13788.72</v>
      </c>
      <c r="K2750" s="33" t="n">
        <f aca="false">IF(OR(E2750=0,E2750&gt;=7),0,D2750/(7-E2750)*E2750*INDEX(Products!$E$2:$E$49,MATCH(C2750,Products!$A$2:$A$49,0)))</f>
        <v>0</v>
      </c>
    </row>
    <row r="2751" customFormat="false" ht="15" hidden="false" customHeight="false" outlineLevel="0" collapsed="false">
      <c r="A2751" s="36" t="n">
        <v>46286</v>
      </c>
      <c r="B2751" s="24" t="s">
        <v>63</v>
      </c>
      <c r="C2751" s="24" t="s">
        <v>141</v>
      </c>
      <c r="D2751" s="33" t="n">
        <v>214</v>
      </c>
      <c r="E2751" s="24" t="n">
        <v>0</v>
      </c>
      <c r="F2751" s="37" t="n">
        <f aca="false">DATE(YEAR(A2751),MONTH(A2751),1)</f>
        <v>46266</v>
      </c>
      <c r="G2751" s="24" t="str">
        <f aca="false">INDEX(Products!$C$2:$C$49,MATCH(C2751,Products!$A$2:$A$49,0))</f>
        <v>Dairy &amp; Eggs</v>
      </c>
      <c r="H2751" s="33" t="n">
        <f aca="false">D2751*INDEX(Products!$E$2:$E$49,MATCH(C2751,Products!$A$2:$A$49,0))</f>
        <v>87740</v>
      </c>
      <c r="I2751" s="33" t="n">
        <f aca="false">D2751*INDEX(Products!$D$2:$D$49,MATCH(C2751,Products!$A$2:$A$49,0))*(1+INDEX(Assumptions!$B$16:$B$20,MATCH(B2751,Assumptions!$A$16:$A$20,0)))</f>
        <v>72837.04</v>
      </c>
      <c r="J2751" s="33" t="n">
        <f aca="false">H2751-I2751</f>
        <v>14902.96</v>
      </c>
      <c r="K2751" s="33" t="n">
        <f aca="false">IF(OR(E2751=0,E2751&gt;=7),0,D2751/(7-E2751)*E2751*INDEX(Products!$E$2:$E$49,MATCH(C2751,Products!$A$2:$A$49,0)))</f>
        <v>0</v>
      </c>
    </row>
    <row r="2752" customFormat="false" ht="15" hidden="false" customHeight="false" outlineLevel="0" collapsed="false">
      <c r="A2752" s="36" t="n">
        <v>46118</v>
      </c>
      <c r="B2752" s="24" t="s">
        <v>63</v>
      </c>
      <c r="C2752" s="24" t="s">
        <v>143</v>
      </c>
      <c r="D2752" s="33" t="n">
        <v>12</v>
      </c>
      <c r="E2752" s="24" t="n">
        <v>0</v>
      </c>
      <c r="F2752" s="37" t="n">
        <f aca="false">DATE(YEAR(A2752),MONTH(A2752),1)</f>
        <v>46113</v>
      </c>
      <c r="G2752" s="24" t="str">
        <f aca="false">INDEX(Products!$C$2:$C$49,MATCH(C2752,Products!$A$2:$A$49,0))</f>
        <v>Dairy &amp; Eggs</v>
      </c>
      <c r="H2752" s="33" t="n">
        <f aca="false">D2752*INDEX(Products!$E$2:$E$49,MATCH(C2752,Products!$A$2:$A$49,0))</f>
        <v>2880</v>
      </c>
      <c r="I2752" s="33" t="n">
        <f aca="false">D2752*INDEX(Products!$D$2:$D$49,MATCH(C2752,Products!$A$2:$A$49,0))*(1+INDEX(Assumptions!$B$16:$B$20,MATCH(B2752,Assumptions!$A$16:$A$20,0)))</f>
        <v>2304.288</v>
      </c>
      <c r="J2752" s="33" t="n">
        <f aca="false">H2752-I2752</f>
        <v>575.712</v>
      </c>
      <c r="K2752" s="33" t="n">
        <f aca="false">IF(OR(E2752=0,E2752&gt;=7),0,D2752/(7-E2752)*E2752*INDEX(Products!$E$2:$E$49,MATCH(C2752,Products!$A$2:$A$49,0)))</f>
        <v>0</v>
      </c>
    </row>
    <row r="2753" customFormat="false" ht="15" hidden="false" customHeight="false" outlineLevel="0" collapsed="false">
      <c r="A2753" s="36" t="n">
        <v>46125</v>
      </c>
      <c r="B2753" s="24" t="s">
        <v>63</v>
      </c>
      <c r="C2753" s="24" t="s">
        <v>143</v>
      </c>
      <c r="D2753" s="33" t="n">
        <v>27</v>
      </c>
      <c r="E2753" s="24" t="n">
        <v>0</v>
      </c>
      <c r="F2753" s="37" t="n">
        <f aca="false">DATE(YEAR(A2753),MONTH(A2753),1)</f>
        <v>46113</v>
      </c>
      <c r="G2753" s="24" t="str">
        <f aca="false">INDEX(Products!$C$2:$C$49,MATCH(C2753,Products!$A$2:$A$49,0))</f>
        <v>Dairy &amp; Eggs</v>
      </c>
      <c r="H2753" s="33" t="n">
        <f aca="false">D2753*INDEX(Products!$E$2:$E$49,MATCH(C2753,Products!$A$2:$A$49,0))</f>
        <v>6480</v>
      </c>
      <c r="I2753" s="33" t="n">
        <f aca="false">D2753*INDEX(Products!$D$2:$D$49,MATCH(C2753,Products!$A$2:$A$49,0))*(1+INDEX(Assumptions!$B$16:$B$20,MATCH(B2753,Assumptions!$A$16:$A$20,0)))</f>
        <v>5184.648</v>
      </c>
      <c r="J2753" s="33" t="n">
        <f aca="false">H2753-I2753</f>
        <v>1295.352</v>
      </c>
      <c r="K2753" s="33" t="n">
        <f aca="false">IF(OR(E2753=0,E2753&gt;=7),0,D2753/(7-E2753)*E2753*INDEX(Products!$E$2:$E$49,MATCH(C2753,Products!$A$2:$A$49,0)))</f>
        <v>0</v>
      </c>
    </row>
    <row r="2754" customFormat="false" ht="15" hidden="false" customHeight="false" outlineLevel="0" collapsed="false">
      <c r="A2754" s="36" t="n">
        <v>46132</v>
      </c>
      <c r="B2754" s="24" t="s">
        <v>63</v>
      </c>
      <c r="C2754" s="24" t="s">
        <v>143</v>
      </c>
      <c r="D2754" s="33" t="n">
        <v>26</v>
      </c>
      <c r="E2754" s="24" t="n">
        <v>0</v>
      </c>
      <c r="F2754" s="37" t="n">
        <f aca="false">DATE(YEAR(A2754),MONTH(A2754),1)</f>
        <v>46113</v>
      </c>
      <c r="G2754" s="24" t="str">
        <f aca="false">INDEX(Products!$C$2:$C$49,MATCH(C2754,Products!$A$2:$A$49,0))</f>
        <v>Dairy &amp; Eggs</v>
      </c>
      <c r="H2754" s="33" t="n">
        <f aca="false">D2754*INDEX(Products!$E$2:$E$49,MATCH(C2754,Products!$A$2:$A$49,0))</f>
        <v>6240</v>
      </c>
      <c r="I2754" s="33" t="n">
        <f aca="false">D2754*INDEX(Products!$D$2:$D$49,MATCH(C2754,Products!$A$2:$A$49,0))*(1+INDEX(Assumptions!$B$16:$B$20,MATCH(B2754,Assumptions!$A$16:$A$20,0)))</f>
        <v>4992.624</v>
      </c>
      <c r="J2754" s="33" t="n">
        <f aca="false">H2754-I2754</f>
        <v>1247.376</v>
      </c>
      <c r="K2754" s="33" t="n">
        <f aca="false">IF(OR(E2754=0,E2754&gt;=7),0,D2754/(7-E2754)*E2754*INDEX(Products!$E$2:$E$49,MATCH(C2754,Products!$A$2:$A$49,0)))</f>
        <v>0</v>
      </c>
    </row>
    <row r="2755" customFormat="false" ht="15" hidden="false" customHeight="false" outlineLevel="0" collapsed="false">
      <c r="A2755" s="36" t="n">
        <v>46139</v>
      </c>
      <c r="B2755" s="24" t="s">
        <v>63</v>
      </c>
      <c r="C2755" s="24" t="s">
        <v>143</v>
      </c>
      <c r="D2755" s="33" t="n">
        <v>33</v>
      </c>
      <c r="E2755" s="24" t="n">
        <v>0</v>
      </c>
      <c r="F2755" s="37" t="n">
        <f aca="false">DATE(YEAR(A2755),MONTH(A2755),1)</f>
        <v>46113</v>
      </c>
      <c r="G2755" s="24" t="str">
        <f aca="false">INDEX(Products!$C$2:$C$49,MATCH(C2755,Products!$A$2:$A$49,0))</f>
        <v>Dairy &amp; Eggs</v>
      </c>
      <c r="H2755" s="33" t="n">
        <f aca="false">D2755*INDEX(Products!$E$2:$E$49,MATCH(C2755,Products!$A$2:$A$49,0))</f>
        <v>7920</v>
      </c>
      <c r="I2755" s="33" t="n">
        <f aca="false">D2755*INDEX(Products!$D$2:$D$49,MATCH(C2755,Products!$A$2:$A$49,0))*(1+INDEX(Assumptions!$B$16:$B$20,MATCH(B2755,Assumptions!$A$16:$A$20,0)))</f>
        <v>6336.792</v>
      </c>
      <c r="J2755" s="33" t="n">
        <f aca="false">H2755-I2755</f>
        <v>1583.208</v>
      </c>
      <c r="K2755" s="33" t="n">
        <f aca="false">IF(OR(E2755=0,E2755&gt;=7),0,D2755/(7-E2755)*E2755*INDEX(Products!$E$2:$E$49,MATCH(C2755,Products!$A$2:$A$49,0)))</f>
        <v>0</v>
      </c>
    </row>
    <row r="2756" customFormat="false" ht="15" hidden="false" customHeight="false" outlineLevel="0" collapsed="false">
      <c r="A2756" s="36" t="n">
        <v>46146</v>
      </c>
      <c r="B2756" s="24" t="s">
        <v>63</v>
      </c>
      <c r="C2756" s="24" t="s">
        <v>143</v>
      </c>
      <c r="D2756" s="33" t="n">
        <v>21</v>
      </c>
      <c r="E2756" s="24" t="n">
        <v>0</v>
      </c>
      <c r="F2756" s="37" t="n">
        <f aca="false">DATE(YEAR(A2756),MONTH(A2756),1)</f>
        <v>46143</v>
      </c>
      <c r="G2756" s="24" t="str">
        <f aca="false">INDEX(Products!$C$2:$C$49,MATCH(C2756,Products!$A$2:$A$49,0))</f>
        <v>Dairy &amp; Eggs</v>
      </c>
      <c r="H2756" s="33" t="n">
        <f aca="false">D2756*INDEX(Products!$E$2:$E$49,MATCH(C2756,Products!$A$2:$A$49,0))</f>
        <v>5040</v>
      </c>
      <c r="I2756" s="33" t="n">
        <f aca="false">D2756*INDEX(Products!$D$2:$D$49,MATCH(C2756,Products!$A$2:$A$49,0))*(1+INDEX(Assumptions!$B$16:$B$20,MATCH(B2756,Assumptions!$A$16:$A$20,0)))</f>
        <v>4032.504</v>
      </c>
      <c r="J2756" s="33" t="n">
        <f aca="false">H2756-I2756</f>
        <v>1007.496</v>
      </c>
      <c r="K2756" s="33" t="n">
        <f aca="false">IF(OR(E2756=0,E2756&gt;=7),0,D2756/(7-E2756)*E2756*INDEX(Products!$E$2:$E$49,MATCH(C2756,Products!$A$2:$A$49,0)))</f>
        <v>0</v>
      </c>
    </row>
    <row r="2757" customFormat="false" ht="15" hidden="false" customHeight="false" outlineLevel="0" collapsed="false">
      <c r="A2757" s="36" t="n">
        <v>46153</v>
      </c>
      <c r="B2757" s="24" t="s">
        <v>63</v>
      </c>
      <c r="C2757" s="24" t="s">
        <v>143</v>
      </c>
      <c r="D2757" s="33" t="n">
        <v>33</v>
      </c>
      <c r="E2757" s="24" t="n">
        <v>0</v>
      </c>
      <c r="F2757" s="37" t="n">
        <f aca="false">DATE(YEAR(A2757),MONTH(A2757),1)</f>
        <v>46143</v>
      </c>
      <c r="G2757" s="24" t="str">
        <f aca="false">INDEX(Products!$C$2:$C$49,MATCH(C2757,Products!$A$2:$A$49,0))</f>
        <v>Dairy &amp; Eggs</v>
      </c>
      <c r="H2757" s="33" t="n">
        <f aca="false">D2757*INDEX(Products!$E$2:$E$49,MATCH(C2757,Products!$A$2:$A$49,0))</f>
        <v>7920</v>
      </c>
      <c r="I2757" s="33" t="n">
        <f aca="false">D2757*INDEX(Products!$D$2:$D$49,MATCH(C2757,Products!$A$2:$A$49,0))*(1+INDEX(Assumptions!$B$16:$B$20,MATCH(B2757,Assumptions!$A$16:$A$20,0)))</f>
        <v>6336.792</v>
      </c>
      <c r="J2757" s="33" t="n">
        <f aca="false">H2757-I2757</f>
        <v>1583.208</v>
      </c>
      <c r="K2757" s="33" t="n">
        <f aca="false">IF(OR(E2757=0,E2757&gt;=7),0,D2757/(7-E2757)*E2757*INDEX(Products!$E$2:$E$49,MATCH(C2757,Products!$A$2:$A$49,0)))</f>
        <v>0</v>
      </c>
    </row>
    <row r="2758" customFormat="false" ht="15" hidden="false" customHeight="false" outlineLevel="0" collapsed="false">
      <c r="A2758" s="36" t="n">
        <v>46160</v>
      </c>
      <c r="B2758" s="24" t="s">
        <v>63</v>
      </c>
      <c r="C2758" s="24" t="s">
        <v>143</v>
      </c>
      <c r="D2758" s="33" t="n">
        <v>28</v>
      </c>
      <c r="E2758" s="24" t="n">
        <v>0</v>
      </c>
      <c r="F2758" s="37" t="n">
        <f aca="false">DATE(YEAR(A2758),MONTH(A2758),1)</f>
        <v>46143</v>
      </c>
      <c r="G2758" s="24" t="str">
        <f aca="false">INDEX(Products!$C$2:$C$49,MATCH(C2758,Products!$A$2:$A$49,0))</f>
        <v>Dairy &amp; Eggs</v>
      </c>
      <c r="H2758" s="33" t="n">
        <f aca="false">D2758*INDEX(Products!$E$2:$E$49,MATCH(C2758,Products!$A$2:$A$49,0))</f>
        <v>6720</v>
      </c>
      <c r="I2758" s="33" t="n">
        <f aca="false">D2758*INDEX(Products!$D$2:$D$49,MATCH(C2758,Products!$A$2:$A$49,0))*(1+INDEX(Assumptions!$B$16:$B$20,MATCH(B2758,Assumptions!$A$16:$A$20,0)))</f>
        <v>5376.672</v>
      </c>
      <c r="J2758" s="33" t="n">
        <f aca="false">H2758-I2758</f>
        <v>1343.328</v>
      </c>
      <c r="K2758" s="33" t="n">
        <f aca="false">IF(OR(E2758=0,E2758&gt;=7),0,D2758/(7-E2758)*E2758*INDEX(Products!$E$2:$E$49,MATCH(C2758,Products!$A$2:$A$49,0)))</f>
        <v>0</v>
      </c>
    </row>
    <row r="2759" customFormat="false" ht="15" hidden="false" customHeight="false" outlineLevel="0" collapsed="false">
      <c r="A2759" s="36" t="n">
        <v>46167</v>
      </c>
      <c r="B2759" s="24" t="s">
        <v>63</v>
      </c>
      <c r="C2759" s="24" t="s">
        <v>143</v>
      </c>
      <c r="D2759" s="33" t="n">
        <v>32</v>
      </c>
      <c r="E2759" s="24" t="n">
        <v>0</v>
      </c>
      <c r="F2759" s="37" t="n">
        <f aca="false">DATE(YEAR(A2759),MONTH(A2759),1)</f>
        <v>46143</v>
      </c>
      <c r="G2759" s="24" t="str">
        <f aca="false">INDEX(Products!$C$2:$C$49,MATCH(C2759,Products!$A$2:$A$49,0))</f>
        <v>Dairy &amp; Eggs</v>
      </c>
      <c r="H2759" s="33" t="n">
        <f aca="false">D2759*INDEX(Products!$E$2:$E$49,MATCH(C2759,Products!$A$2:$A$49,0))</f>
        <v>7680</v>
      </c>
      <c r="I2759" s="33" t="n">
        <f aca="false">D2759*INDEX(Products!$D$2:$D$49,MATCH(C2759,Products!$A$2:$A$49,0))*(1+INDEX(Assumptions!$B$16:$B$20,MATCH(B2759,Assumptions!$A$16:$A$20,0)))</f>
        <v>6144.768</v>
      </c>
      <c r="J2759" s="33" t="n">
        <f aca="false">H2759-I2759</f>
        <v>1535.232</v>
      </c>
      <c r="K2759" s="33" t="n">
        <f aca="false">IF(OR(E2759=0,E2759&gt;=7),0,D2759/(7-E2759)*E2759*INDEX(Products!$E$2:$E$49,MATCH(C2759,Products!$A$2:$A$49,0)))</f>
        <v>0</v>
      </c>
    </row>
    <row r="2760" customFormat="false" ht="15" hidden="false" customHeight="false" outlineLevel="0" collapsed="false">
      <c r="A2760" s="36" t="n">
        <v>46174</v>
      </c>
      <c r="B2760" s="24" t="s">
        <v>63</v>
      </c>
      <c r="C2760" s="24" t="s">
        <v>143</v>
      </c>
      <c r="D2760" s="33" t="n">
        <v>24</v>
      </c>
      <c r="E2760" s="24" t="n">
        <v>0</v>
      </c>
      <c r="F2760" s="37" t="n">
        <f aca="false">DATE(YEAR(A2760),MONTH(A2760),1)</f>
        <v>46174</v>
      </c>
      <c r="G2760" s="24" t="str">
        <f aca="false">INDEX(Products!$C$2:$C$49,MATCH(C2760,Products!$A$2:$A$49,0))</f>
        <v>Dairy &amp; Eggs</v>
      </c>
      <c r="H2760" s="33" t="n">
        <f aca="false">D2760*INDEX(Products!$E$2:$E$49,MATCH(C2760,Products!$A$2:$A$49,0))</f>
        <v>5760</v>
      </c>
      <c r="I2760" s="33" t="n">
        <f aca="false">D2760*INDEX(Products!$D$2:$D$49,MATCH(C2760,Products!$A$2:$A$49,0))*(1+INDEX(Assumptions!$B$16:$B$20,MATCH(B2760,Assumptions!$A$16:$A$20,0)))</f>
        <v>4608.576</v>
      </c>
      <c r="J2760" s="33" t="n">
        <f aca="false">H2760-I2760</f>
        <v>1151.424</v>
      </c>
      <c r="K2760" s="33" t="n">
        <f aca="false">IF(OR(E2760=0,E2760&gt;=7),0,D2760/(7-E2760)*E2760*INDEX(Products!$E$2:$E$49,MATCH(C2760,Products!$A$2:$A$49,0)))</f>
        <v>0</v>
      </c>
    </row>
    <row r="2761" customFormat="false" ht="15" hidden="false" customHeight="false" outlineLevel="0" collapsed="false">
      <c r="A2761" s="36" t="n">
        <v>46181</v>
      </c>
      <c r="B2761" s="24" t="s">
        <v>63</v>
      </c>
      <c r="C2761" s="24" t="s">
        <v>143</v>
      </c>
      <c r="D2761" s="33" t="n">
        <v>24</v>
      </c>
      <c r="E2761" s="24" t="n">
        <v>0</v>
      </c>
      <c r="F2761" s="37" t="n">
        <f aca="false">DATE(YEAR(A2761),MONTH(A2761),1)</f>
        <v>46174</v>
      </c>
      <c r="G2761" s="24" t="str">
        <f aca="false">INDEX(Products!$C$2:$C$49,MATCH(C2761,Products!$A$2:$A$49,0))</f>
        <v>Dairy &amp; Eggs</v>
      </c>
      <c r="H2761" s="33" t="n">
        <f aca="false">D2761*INDEX(Products!$E$2:$E$49,MATCH(C2761,Products!$A$2:$A$49,0))</f>
        <v>5760</v>
      </c>
      <c r="I2761" s="33" t="n">
        <f aca="false">D2761*INDEX(Products!$D$2:$D$49,MATCH(C2761,Products!$A$2:$A$49,0))*(1+INDEX(Assumptions!$B$16:$B$20,MATCH(B2761,Assumptions!$A$16:$A$20,0)))</f>
        <v>4608.576</v>
      </c>
      <c r="J2761" s="33" t="n">
        <f aca="false">H2761-I2761</f>
        <v>1151.424</v>
      </c>
      <c r="K2761" s="33" t="n">
        <f aca="false">IF(OR(E2761=0,E2761&gt;=7),0,D2761/(7-E2761)*E2761*INDEX(Products!$E$2:$E$49,MATCH(C2761,Products!$A$2:$A$49,0)))</f>
        <v>0</v>
      </c>
    </row>
    <row r="2762" customFormat="false" ht="15" hidden="false" customHeight="false" outlineLevel="0" collapsed="false">
      <c r="A2762" s="36" t="n">
        <v>46188</v>
      </c>
      <c r="B2762" s="24" t="s">
        <v>63</v>
      </c>
      <c r="C2762" s="24" t="s">
        <v>143</v>
      </c>
      <c r="D2762" s="33" t="n">
        <v>13</v>
      </c>
      <c r="E2762" s="24" t="n">
        <v>0</v>
      </c>
      <c r="F2762" s="37" t="n">
        <f aca="false">DATE(YEAR(A2762),MONTH(A2762),1)</f>
        <v>46174</v>
      </c>
      <c r="G2762" s="24" t="str">
        <f aca="false">INDEX(Products!$C$2:$C$49,MATCH(C2762,Products!$A$2:$A$49,0))</f>
        <v>Dairy &amp; Eggs</v>
      </c>
      <c r="H2762" s="33" t="n">
        <f aca="false">D2762*INDEX(Products!$E$2:$E$49,MATCH(C2762,Products!$A$2:$A$49,0))</f>
        <v>3120</v>
      </c>
      <c r="I2762" s="33" t="n">
        <f aca="false">D2762*INDEX(Products!$D$2:$D$49,MATCH(C2762,Products!$A$2:$A$49,0))*(1+INDEX(Assumptions!$B$16:$B$20,MATCH(B2762,Assumptions!$A$16:$A$20,0)))</f>
        <v>2496.312</v>
      </c>
      <c r="J2762" s="33" t="n">
        <f aca="false">H2762-I2762</f>
        <v>623.688</v>
      </c>
      <c r="K2762" s="33" t="n">
        <f aca="false">IF(OR(E2762=0,E2762&gt;=7),0,D2762/(7-E2762)*E2762*INDEX(Products!$E$2:$E$49,MATCH(C2762,Products!$A$2:$A$49,0)))</f>
        <v>0</v>
      </c>
    </row>
    <row r="2763" customFormat="false" ht="15" hidden="false" customHeight="false" outlineLevel="0" collapsed="false">
      <c r="A2763" s="36" t="n">
        <v>46195</v>
      </c>
      <c r="B2763" s="24" t="s">
        <v>63</v>
      </c>
      <c r="C2763" s="24" t="s">
        <v>143</v>
      </c>
      <c r="D2763" s="33" t="n">
        <v>24</v>
      </c>
      <c r="E2763" s="24" t="n">
        <v>0</v>
      </c>
      <c r="F2763" s="37" t="n">
        <f aca="false">DATE(YEAR(A2763),MONTH(A2763),1)</f>
        <v>46174</v>
      </c>
      <c r="G2763" s="24" t="str">
        <f aca="false">INDEX(Products!$C$2:$C$49,MATCH(C2763,Products!$A$2:$A$49,0))</f>
        <v>Dairy &amp; Eggs</v>
      </c>
      <c r="H2763" s="33" t="n">
        <f aca="false">D2763*INDEX(Products!$E$2:$E$49,MATCH(C2763,Products!$A$2:$A$49,0))</f>
        <v>5760</v>
      </c>
      <c r="I2763" s="33" t="n">
        <f aca="false">D2763*INDEX(Products!$D$2:$D$49,MATCH(C2763,Products!$A$2:$A$49,0))*(1+INDEX(Assumptions!$B$16:$B$20,MATCH(B2763,Assumptions!$A$16:$A$20,0)))</f>
        <v>4608.576</v>
      </c>
      <c r="J2763" s="33" t="n">
        <f aca="false">H2763-I2763</f>
        <v>1151.424</v>
      </c>
      <c r="K2763" s="33" t="n">
        <f aca="false">IF(OR(E2763=0,E2763&gt;=7),0,D2763/(7-E2763)*E2763*INDEX(Products!$E$2:$E$49,MATCH(C2763,Products!$A$2:$A$49,0)))</f>
        <v>0</v>
      </c>
    </row>
    <row r="2764" customFormat="false" ht="15" hidden="false" customHeight="false" outlineLevel="0" collapsed="false">
      <c r="A2764" s="36" t="n">
        <v>46202</v>
      </c>
      <c r="B2764" s="24" t="s">
        <v>63</v>
      </c>
      <c r="C2764" s="24" t="s">
        <v>143</v>
      </c>
      <c r="D2764" s="33" t="n">
        <v>27</v>
      </c>
      <c r="E2764" s="24" t="n">
        <v>0</v>
      </c>
      <c r="F2764" s="37" t="n">
        <f aca="false">DATE(YEAR(A2764),MONTH(A2764),1)</f>
        <v>46174</v>
      </c>
      <c r="G2764" s="24" t="str">
        <f aca="false">INDEX(Products!$C$2:$C$49,MATCH(C2764,Products!$A$2:$A$49,0))</f>
        <v>Dairy &amp; Eggs</v>
      </c>
      <c r="H2764" s="33" t="n">
        <f aca="false">D2764*INDEX(Products!$E$2:$E$49,MATCH(C2764,Products!$A$2:$A$49,0))</f>
        <v>6480</v>
      </c>
      <c r="I2764" s="33" t="n">
        <f aca="false">D2764*INDEX(Products!$D$2:$D$49,MATCH(C2764,Products!$A$2:$A$49,0))*(1+INDEX(Assumptions!$B$16:$B$20,MATCH(B2764,Assumptions!$A$16:$A$20,0)))</f>
        <v>5184.648</v>
      </c>
      <c r="J2764" s="33" t="n">
        <f aca="false">H2764-I2764</f>
        <v>1295.352</v>
      </c>
      <c r="K2764" s="33" t="n">
        <f aca="false">IF(OR(E2764=0,E2764&gt;=7),0,D2764/(7-E2764)*E2764*INDEX(Products!$E$2:$E$49,MATCH(C2764,Products!$A$2:$A$49,0)))</f>
        <v>0</v>
      </c>
    </row>
    <row r="2765" customFormat="false" ht="15" hidden="false" customHeight="false" outlineLevel="0" collapsed="false">
      <c r="A2765" s="36" t="n">
        <v>46209</v>
      </c>
      <c r="B2765" s="24" t="s">
        <v>63</v>
      </c>
      <c r="C2765" s="24" t="s">
        <v>143</v>
      </c>
      <c r="D2765" s="33" t="n">
        <v>24</v>
      </c>
      <c r="E2765" s="24" t="n">
        <v>0</v>
      </c>
      <c r="F2765" s="37" t="n">
        <f aca="false">DATE(YEAR(A2765),MONTH(A2765),1)</f>
        <v>46204</v>
      </c>
      <c r="G2765" s="24" t="str">
        <f aca="false">INDEX(Products!$C$2:$C$49,MATCH(C2765,Products!$A$2:$A$49,0))</f>
        <v>Dairy &amp; Eggs</v>
      </c>
      <c r="H2765" s="33" t="n">
        <f aca="false">D2765*INDEX(Products!$E$2:$E$49,MATCH(C2765,Products!$A$2:$A$49,0))</f>
        <v>5760</v>
      </c>
      <c r="I2765" s="33" t="n">
        <f aca="false">D2765*INDEX(Products!$D$2:$D$49,MATCH(C2765,Products!$A$2:$A$49,0))*(1+INDEX(Assumptions!$B$16:$B$20,MATCH(B2765,Assumptions!$A$16:$A$20,0)))</f>
        <v>4608.576</v>
      </c>
      <c r="J2765" s="33" t="n">
        <f aca="false">H2765-I2765</f>
        <v>1151.424</v>
      </c>
      <c r="K2765" s="33" t="n">
        <f aca="false">IF(OR(E2765=0,E2765&gt;=7),0,D2765/(7-E2765)*E2765*INDEX(Products!$E$2:$E$49,MATCH(C2765,Products!$A$2:$A$49,0)))</f>
        <v>0</v>
      </c>
    </row>
    <row r="2766" customFormat="false" ht="15" hidden="false" customHeight="false" outlineLevel="0" collapsed="false">
      <c r="A2766" s="36" t="n">
        <v>46216</v>
      </c>
      <c r="B2766" s="24" t="s">
        <v>63</v>
      </c>
      <c r="C2766" s="24" t="s">
        <v>143</v>
      </c>
      <c r="D2766" s="33" t="n">
        <v>20</v>
      </c>
      <c r="E2766" s="24" t="n">
        <v>0</v>
      </c>
      <c r="F2766" s="37" t="n">
        <f aca="false">DATE(YEAR(A2766),MONTH(A2766),1)</f>
        <v>46204</v>
      </c>
      <c r="G2766" s="24" t="str">
        <f aca="false">INDEX(Products!$C$2:$C$49,MATCH(C2766,Products!$A$2:$A$49,0))</f>
        <v>Dairy &amp; Eggs</v>
      </c>
      <c r="H2766" s="33" t="n">
        <f aca="false">D2766*INDEX(Products!$E$2:$E$49,MATCH(C2766,Products!$A$2:$A$49,0))</f>
        <v>4800</v>
      </c>
      <c r="I2766" s="33" t="n">
        <f aca="false">D2766*INDEX(Products!$D$2:$D$49,MATCH(C2766,Products!$A$2:$A$49,0))*(1+INDEX(Assumptions!$B$16:$B$20,MATCH(B2766,Assumptions!$A$16:$A$20,0)))</f>
        <v>3840.48</v>
      </c>
      <c r="J2766" s="33" t="n">
        <f aca="false">H2766-I2766</f>
        <v>959.52</v>
      </c>
      <c r="K2766" s="33" t="n">
        <f aca="false">IF(OR(E2766=0,E2766&gt;=7),0,D2766/(7-E2766)*E2766*INDEX(Products!$E$2:$E$49,MATCH(C2766,Products!$A$2:$A$49,0)))</f>
        <v>0</v>
      </c>
    </row>
    <row r="2767" customFormat="false" ht="15" hidden="false" customHeight="false" outlineLevel="0" collapsed="false">
      <c r="A2767" s="36" t="n">
        <v>46223</v>
      </c>
      <c r="B2767" s="24" t="s">
        <v>63</v>
      </c>
      <c r="C2767" s="24" t="s">
        <v>143</v>
      </c>
      <c r="D2767" s="33" t="n">
        <v>24</v>
      </c>
      <c r="E2767" s="24" t="n">
        <v>0</v>
      </c>
      <c r="F2767" s="37" t="n">
        <f aca="false">DATE(YEAR(A2767),MONTH(A2767),1)</f>
        <v>46204</v>
      </c>
      <c r="G2767" s="24" t="str">
        <f aca="false">INDEX(Products!$C$2:$C$49,MATCH(C2767,Products!$A$2:$A$49,0))</f>
        <v>Dairy &amp; Eggs</v>
      </c>
      <c r="H2767" s="33" t="n">
        <f aca="false">D2767*INDEX(Products!$E$2:$E$49,MATCH(C2767,Products!$A$2:$A$49,0))</f>
        <v>5760</v>
      </c>
      <c r="I2767" s="33" t="n">
        <f aca="false">D2767*INDEX(Products!$D$2:$D$49,MATCH(C2767,Products!$A$2:$A$49,0))*(1+INDEX(Assumptions!$B$16:$B$20,MATCH(B2767,Assumptions!$A$16:$A$20,0)))</f>
        <v>4608.576</v>
      </c>
      <c r="J2767" s="33" t="n">
        <f aca="false">H2767-I2767</f>
        <v>1151.424</v>
      </c>
      <c r="K2767" s="33" t="n">
        <f aca="false">IF(OR(E2767=0,E2767&gt;=7),0,D2767/(7-E2767)*E2767*INDEX(Products!$E$2:$E$49,MATCH(C2767,Products!$A$2:$A$49,0)))</f>
        <v>0</v>
      </c>
    </row>
    <row r="2768" customFormat="false" ht="15" hidden="false" customHeight="false" outlineLevel="0" collapsed="false">
      <c r="A2768" s="36" t="n">
        <v>46230</v>
      </c>
      <c r="B2768" s="24" t="s">
        <v>63</v>
      </c>
      <c r="C2768" s="24" t="s">
        <v>143</v>
      </c>
      <c r="D2768" s="33" t="n">
        <v>22</v>
      </c>
      <c r="E2768" s="24" t="n">
        <v>0</v>
      </c>
      <c r="F2768" s="37" t="n">
        <f aca="false">DATE(YEAR(A2768),MONTH(A2768),1)</f>
        <v>46204</v>
      </c>
      <c r="G2768" s="24" t="str">
        <f aca="false">INDEX(Products!$C$2:$C$49,MATCH(C2768,Products!$A$2:$A$49,0))</f>
        <v>Dairy &amp; Eggs</v>
      </c>
      <c r="H2768" s="33" t="n">
        <f aca="false">D2768*INDEX(Products!$E$2:$E$49,MATCH(C2768,Products!$A$2:$A$49,0))</f>
        <v>5280</v>
      </c>
      <c r="I2768" s="33" t="n">
        <f aca="false">D2768*INDEX(Products!$D$2:$D$49,MATCH(C2768,Products!$A$2:$A$49,0))*(1+INDEX(Assumptions!$B$16:$B$20,MATCH(B2768,Assumptions!$A$16:$A$20,0)))</f>
        <v>4224.528</v>
      </c>
      <c r="J2768" s="33" t="n">
        <f aca="false">H2768-I2768</f>
        <v>1055.472</v>
      </c>
      <c r="K2768" s="33" t="n">
        <f aca="false">IF(OR(E2768=0,E2768&gt;=7),0,D2768/(7-E2768)*E2768*INDEX(Products!$E$2:$E$49,MATCH(C2768,Products!$A$2:$A$49,0)))</f>
        <v>0</v>
      </c>
    </row>
    <row r="2769" customFormat="false" ht="15" hidden="false" customHeight="false" outlineLevel="0" collapsed="false">
      <c r="A2769" s="36" t="n">
        <v>46237</v>
      </c>
      <c r="B2769" s="24" t="s">
        <v>63</v>
      </c>
      <c r="C2769" s="24" t="s">
        <v>143</v>
      </c>
      <c r="D2769" s="33" t="n">
        <v>16</v>
      </c>
      <c r="E2769" s="24" t="n">
        <v>0</v>
      </c>
      <c r="F2769" s="37" t="n">
        <f aca="false">DATE(YEAR(A2769),MONTH(A2769),1)</f>
        <v>46235</v>
      </c>
      <c r="G2769" s="24" t="str">
        <f aca="false">INDEX(Products!$C$2:$C$49,MATCH(C2769,Products!$A$2:$A$49,0))</f>
        <v>Dairy &amp; Eggs</v>
      </c>
      <c r="H2769" s="33" t="n">
        <f aca="false">D2769*INDEX(Products!$E$2:$E$49,MATCH(C2769,Products!$A$2:$A$49,0))</f>
        <v>3840</v>
      </c>
      <c r="I2769" s="33" t="n">
        <f aca="false">D2769*INDEX(Products!$D$2:$D$49,MATCH(C2769,Products!$A$2:$A$49,0))*(1+INDEX(Assumptions!$B$16:$B$20,MATCH(B2769,Assumptions!$A$16:$A$20,0)))</f>
        <v>3072.384</v>
      </c>
      <c r="J2769" s="33" t="n">
        <f aca="false">H2769-I2769</f>
        <v>767.616</v>
      </c>
      <c r="K2769" s="33" t="n">
        <f aca="false">IF(OR(E2769=0,E2769&gt;=7),0,D2769/(7-E2769)*E2769*INDEX(Products!$E$2:$E$49,MATCH(C2769,Products!$A$2:$A$49,0)))</f>
        <v>0</v>
      </c>
    </row>
    <row r="2770" customFormat="false" ht="15" hidden="false" customHeight="false" outlineLevel="0" collapsed="false">
      <c r="A2770" s="36" t="n">
        <v>46244</v>
      </c>
      <c r="B2770" s="24" t="s">
        <v>63</v>
      </c>
      <c r="C2770" s="24" t="s">
        <v>143</v>
      </c>
      <c r="D2770" s="33" t="n">
        <v>16</v>
      </c>
      <c r="E2770" s="24" t="n">
        <v>0</v>
      </c>
      <c r="F2770" s="37" t="n">
        <f aca="false">DATE(YEAR(A2770),MONTH(A2770),1)</f>
        <v>46235</v>
      </c>
      <c r="G2770" s="24" t="str">
        <f aca="false">INDEX(Products!$C$2:$C$49,MATCH(C2770,Products!$A$2:$A$49,0))</f>
        <v>Dairy &amp; Eggs</v>
      </c>
      <c r="H2770" s="33" t="n">
        <f aca="false">D2770*INDEX(Products!$E$2:$E$49,MATCH(C2770,Products!$A$2:$A$49,0))</f>
        <v>3840</v>
      </c>
      <c r="I2770" s="33" t="n">
        <f aca="false">D2770*INDEX(Products!$D$2:$D$49,MATCH(C2770,Products!$A$2:$A$49,0))*(1+INDEX(Assumptions!$B$16:$B$20,MATCH(B2770,Assumptions!$A$16:$A$20,0)))</f>
        <v>3072.384</v>
      </c>
      <c r="J2770" s="33" t="n">
        <f aca="false">H2770-I2770</f>
        <v>767.616</v>
      </c>
      <c r="K2770" s="33" t="n">
        <f aca="false">IF(OR(E2770=0,E2770&gt;=7),0,D2770/(7-E2770)*E2770*INDEX(Products!$E$2:$E$49,MATCH(C2770,Products!$A$2:$A$49,0)))</f>
        <v>0</v>
      </c>
    </row>
    <row r="2771" customFormat="false" ht="15" hidden="false" customHeight="false" outlineLevel="0" collapsed="false">
      <c r="A2771" s="36" t="n">
        <v>46251</v>
      </c>
      <c r="B2771" s="24" t="s">
        <v>63</v>
      </c>
      <c r="C2771" s="24" t="s">
        <v>143</v>
      </c>
      <c r="D2771" s="33" t="n">
        <v>25</v>
      </c>
      <c r="E2771" s="24" t="n">
        <v>0</v>
      </c>
      <c r="F2771" s="37" t="n">
        <f aca="false">DATE(YEAR(A2771),MONTH(A2771),1)</f>
        <v>46235</v>
      </c>
      <c r="G2771" s="24" t="str">
        <f aca="false">INDEX(Products!$C$2:$C$49,MATCH(C2771,Products!$A$2:$A$49,0))</f>
        <v>Dairy &amp; Eggs</v>
      </c>
      <c r="H2771" s="33" t="n">
        <f aca="false">D2771*INDEX(Products!$E$2:$E$49,MATCH(C2771,Products!$A$2:$A$49,0))</f>
        <v>6000</v>
      </c>
      <c r="I2771" s="33" t="n">
        <f aca="false">D2771*INDEX(Products!$D$2:$D$49,MATCH(C2771,Products!$A$2:$A$49,0))*(1+INDEX(Assumptions!$B$16:$B$20,MATCH(B2771,Assumptions!$A$16:$A$20,0)))</f>
        <v>4800.6</v>
      </c>
      <c r="J2771" s="33" t="n">
        <f aca="false">H2771-I2771</f>
        <v>1199.4</v>
      </c>
      <c r="K2771" s="33" t="n">
        <f aca="false">IF(OR(E2771=0,E2771&gt;=7),0,D2771/(7-E2771)*E2771*INDEX(Products!$E$2:$E$49,MATCH(C2771,Products!$A$2:$A$49,0)))</f>
        <v>0</v>
      </c>
    </row>
    <row r="2772" customFormat="false" ht="15" hidden="false" customHeight="false" outlineLevel="0" collapsed="false">
      <c r="A2772" s="36" t="n">
        <v>46258</v>
      </c>
      <c r="B2772" s="24" t="s">
        <v>63</v>
      </c>
      <c r="C2772" s="24" t="s">
        <v>143</v>
      </c>
      <c r="D2772" s="33" t="n">
        <v>18</v>
      </c>
      <c r="E2772" s="24" t="n">
        <v>0</v>
      </c>
      <c r="F2772" s="37" t="n">
        <f aca="false">DATE(YEAR(A2772),MONTH(A2772),1)</f>
        <v>46235</v>
      </c>
      <c r="G2772" s="24" t="str">
        <f aca="false">INDEX(Products!$C$2:$C$49,MATCH(C2772,Products!$A$2:$A$49,0))</f>
        <v>Dairy &amp; Eggs</v>
      </c>
      <c r="H2772" s="33" t="n">
        <f aca="false">D2772*INDEX(Products!$E$2:$E$49,MATCH(C2772,Products!$A$2:$A$49,0))</f>
        <v>4320</v>
      </c>
      <c r="I2772" s="33" t="n">
        <f aca="false">D2772*INDEX(Products!$D$2:$D$49,MATCH(C2772,Products!$A$2:$A$49,0))*(1+INDEX(Assumptions!$B$16:$B$20,MATCH(B2772,Assumptions!$A$16:$A$20,0)))</f>
        <v>3456.432</v>
      </c>
      <c r="J2772" s="33" t="n">
        <f aca="false">H2772-I2772</f>
        <v>863.568</v>
      </c>
      <c r="K2772" s="33" t="n">
        <f aca="false">IF(OR(E2772=0,E2772&gt;=7),0,D2772/(7-E2772)*E2772*INDEX(Products!$E$2:$E$49,MATCH(C2772,Products!$A$2:$A$49,0)))</f>
        <v>0</v>
      </c>
    </row>
    <row r="2773" customFormat="false" ht="15" hidden="false" customHeight="false" outlineLevel="0" collapsed="false">
      <c r="A2773" s="36" t="n">
        <v>46265</v>
      </c>
      <c r="B2773" s="24" t="s">
        <v>63</v>
      </c>
      <c r="C2773" s="24" t="s">
        <v>143</v>
      </c>
      <c r="D2773" s="33" t="n">
        <v>22</v>
      </c>
      <c r="E2773" s="24" t="n">
        <v>0</v>
      </c>
      <c r="F2773" s="37" t="n">
        <f aca="false">DATE(YEAR(A2773),MONTH(A2773),1)</f>
        <v>46235</v>
      </c>
      <c r="G2773" s="24" t="str">
        <f aca="false">INDEX(Products!$C$2:$C$49,MATCH(C2773,Products!$A$2:$A$49,0))</f>
        <v>Dairy &amp; Eggs</v>
      </c>
      <c r="H2773" s="33" t="n">
        <f aca="false">D2773*INDEX(Products!$E$2:$E$49,MATCH(C2773,Products!$A$2:$A$49,0))</f>
        <v>5280</v>
      </c>
      <c r="I2773" s="33" t="n">
        <f aca="false">D2773*INDEX(Products!$D$2:$D$49,MATCH(C2773,Products!$A$2:$A$49,0))*(1+INDEX(Assumptions!$B$16:$B$20,MATCH(B2773,Assumptions!$A$16:$A$20,0)))</f>
        <v>4224.528</v>
      </c>
      <c r="J2773" s="33" t="n">
        <f aca="false">H2773-I2773</f>
        <v>1055.472</v>
      </c>
      <c r="K2773" s="33" t="n">
        <f aca="false">IF(OR(E2773=0,E2773&gt;=7),0,D2773/(7-E2773)*E2773*INDEX(Products!$E$2:$E$49,MATCH(C2773,Products!$A$2:$A$49,0)))</f>
        <v>0</v>
      </c>
    </row>
    <row r="2774" customFormat="false" ht="15" hidden="false" customHeight="false" outlineLevel="0" collapsed="false">
      <c r="A2774" s="36" t="n">
        <v>46272</v>
      </c>
      <c r="B2774" s="24" t="s">
        <v>63</v>
      </c>
      <c r="C2774" s="24" t="s">
        <v>143</v>
      </c>
      <c r="D2774" s="33" t="n">
        <v>22</v>
      </c>
      <c r="E2774" s="24" t="n">
        <v>0</v>
      </c>
      <c r="F2774" s="37" t="n">
        <f aca="false">DATE(YEAR(A2774),MONTH(A2774),1)</f>
        <v>46266</v>
      </c>
      <c r="G2774" s="24" t="str">
        <f aca="false">INDEX(Products!$C$2:$C$49,MATCH(C2774,Products!$A$2:$A$49,0))</f>
        <v>Dairy &amp; Eggs</v>
      </c>
      <c r="H2774" s="33" t="n">
        <f aca="false">D2774*INDEX(Products!$E$2:$E$49,MATCH(C2774,Products!$A$2:$A$49,0))</f>
        <v>5280</v>
      </c>
      <c r="I2774" s="33" t="n">
        <f aca="false">D2774*INDEX(Products!$D$2:$D$49,MATCH(C2774,Products!$A$2:$A$49,0))*(1+INDEX(Assumptions!$B$16:$B$20,MATCH(B2774,Assumptions!$A$16:$A$20,0)))</f>
        <v>4224.528</v>
      </c>
      <c r="J2774" s="33" t="n">
        <f aca="false">H2774-I2774</f>
        <v>1055.472</v>
      </c>
      <c r="K2774" s="33" t="n">
        <f aca="false">IF(OR(E2774=0,E2774&gt;=7),0,D2774/(7-E2774)*E2774*INDEX(Products!$E$2:$E$49,MATCH(C2774,Products!$A$2:$A$49,0)))</f>
        <v>0</v>
      </c>
    </row>
    <row r="2775" customFormat="false" ht="15" hidden="false" customHeight="false" outlineLevel="0" collapsed="false">
      <c r="A2775" s="36" t="n">
        <v>46279</v>
      </c>
      <c r="B2775" s="24" t="s">
        <v>63</v>
      </c>
      <c r="C2775" s="24" t="s">
        <v>143</v>
      </c>
      <c r="D2775" s="33" t="n">
        <v>23</v>
      </c>
      <c r="E2775" s="24" t="n">
        <v>0</v>
      </c>
      <c r="F2775" s="37" t="n">
        <f aca="false">DATE(YEAR(A2775),MONTH(A2775),1)</f>
        <v>46266</v>
      </c>
      <c r="G2775" s="24" t="str">
        <f aca="false">INDEX(Products!$C$2:$C$49,MATCH(C2775,Products!$A$2:$A$49,0))</f>
        <v>Dairy &amp; Eggs</v>
      </c>
      <c r="H2775" s="33" t="n">
        <f aca="false">D2775*INDEX(Products!$E$2:$E$49,MATCH(C2775,Products!$A$2:$A$49,0))</f>
        <v>5520</v>
      </c>
      <c r="I2775" s="33" t="n">
        <f aca="false">D2775*INDEX(Products!$D$2:$D$49,MATCH(C2775,Products!$A$2:$A$49,0))*(1+INDEX(Assumptions!$B$16:$B$20,MATCH(B2775,Assumptions!$A$16:$A$20,0)))</f>
        <v>4416.552</v>
      </c>
      <c r="J2775" s="33" t="n">
        <f aca="false">H2775-I2775</f>
        <v>1103.448</v>
      </c>
      <c r="K2775" s="33" t="n">
        <f aca="false">IF(OR(E2775=0,E2775&gt;=7),0,D2775/(7-E2775)*E2775*INDEX(Products!$E$2:$E$49,MATCH(C2775,Products!$A$2:$A$49,0)))</f>
        <v>0</v>
      </c>
    </row>
    <row r="2776" customFormat="false" ht="15" hidden="false" customHeight="false" outlineLevel="0" collapsed="false">
      <c r="A2776" s="36" t="n">
        <v>46286</v>
      </c>
      <c r="B2776" s="24" t="s">
        <v>63</v>
      </c>
      <c r="C2776" s="24" t="s">
        <v>143</v>
      </c>
      <c r="D2776" s="33" t="n">
        <v>29</v>
      </c>
      <c r="E2776" s="24" t="n">
        <v>0</v>
      </c>
      <c r="F2776" s="37" t="n">
        <f aca="false">DATE(YEAR(A2776),MONTH(A2776),1)</f>
        <v>46266</v>
      </c>
      <c r="G2776" s="24" t="str">
        <f aca="false">INDEX(Products!$C$2:$C$49,MATCH(C2776,Products!$A$2:$A$49,0))</f>
        <v>Dairy &amp; Eggs</v>
      </c>
      <c r="H2776" s="33" t="n">
        <f aca="false">D2776*INDEX(Products!$E$2:$E$49,MATCH(C2776,Products!$A$2:$A$49,0))</f>
        <v>6960</v>
      </c>
      <c r="I2776" s="33" t="n">
        <f aca="false">D2776*INDEX(Products!$D$2:$D$49,MATCH(C2776,Products!$A$2:$A$49,0))*(1+INDEX(Assumptions!$B$16:$B$20,MATCH(B2776,Assumptions!$A$16:$A$20,0)))</f>
        <v>5568.696</v>
      </c>
      <c r="J2776" s="33" t="n">
        <f aca="false">H2776-I2776</f>
        <v>1391.304</v>
      </c>
      <c r="K2776" s="33" t="n">
        <f aca="false">IF(OR(E2776=0,E2776&gt;=7),0,D2776/(7-E2776)*E2776*INDEX(Products!$E$2:$E$49,MATCH(C2776,Products!$A$2:$A$49,0)))</f>
        <v>0</v>
      </c>
    </row>
    <row r="2777" customFormat="false" ht="15" hidden="false" customHeight="false" outlineLevel="0" collapsed="false">
      <c r="A2777" s="36" t="n">
        <v>46118</v>
      </c>
      <c r="B2777" s="24" t="s">
        <v>63</v>
      </c>
      <c r="C2777" s="24" t="s">
        <v>145</v>
      </c>
      <c r="D2777" s="33" t="n">
        <v>49</v>
      </c>
      <c r="E2777" s="24" t="n">
        <v>0</v>
      </c>
      <c r="F2777" s="37" t="n">
        <f aca="false">DATE(YEAR(A2777),MONTH(A2777),1)</f>
        <v>46113</v>
      </c>
      <c r="G2777" s="24" t="str">
        <f aca="false">INDEX(Products!$C$2:$C$49,MATCH(C2777,Products!$A$2:$A$49,0))</f>
        <v>Dairy &amp; Eggs</v>
      </c>
      <c r="H2777" s="33" t="n">
        <f aca="false">D2777*INDEX(Products!$E$2:$E$49,MATCH(C2777,Products!$A$2:$A$49,0))</f>
        <v>6860</v>
      </c>
      <c r="I2777" s="33" t="n">
        <f aca="false">D2777*INDEX(Products!$D$2:$D$49,MATCH(C2777,Products!$A$2:$A$49,0))*(1+INDEX(Assumptions!$B$16:$B$20,MATCH(B2777,Assumptions!$A$16:$A$20,0)))</f>
        <v>5575.808</v>
      </c>
      <c r="J2777" s="33" t="n">
        <f aca="false">H2777-I2777</f>
        <v>1284.192</v>
      </c>
      <c r="K2777" s="33" t="n">
        <f aca="false">IF(OR(E2777=0,E2777&gt;=7),0,D2777/(7-E2777)*E2777*INDEX(Products!$E$2:$E$49,MATCH(C2777,Products!$A$2:$A$49,0)))</f>
        <v>0</v>
      </c>
    </row>
    <row r="2778" customFormat="false" ht="15" hidden="false" customHeight="false" outlineLevel="0" collapsed="false">
      <c r="A2778" s="36" t="n">
        <v>46125</v>
      </c>
      <c r="B2778" s="24" t="s">
        <v>63</v>
      </c>
      <c r="C2778" s="24" t="s">
        <v>145</v>
      </c>
      <c r="D2778" s="33" t="n">
        <v>44</v>
      </c>
      <c r="E2778" s="24" t="n">
        <v>0</v>
      </c>
      <c r="F2778" s="37" t="n">
        <f aca="false">DATE(YEAR(A2778),MONTH(A2778),1)</f>
        <v>46113</v>
      </c>
      <c r="G2778" s="24" t="str">
        <f aca="false">INDEX(Products!$C$2:$C$49,MATCH(C2778,Products!$A$2:$A$49,0))</f>
        <v>Dairy &amp; Eggs</v>
      </c>
      <c r="H2778" s="33" t="n">
        <f aca="false">D2778*INDEX(Products!$E$2:$E$49,MATCH(C2778,Products!$A$2:$A$49,0))</f>
        <v>6160</v>
      </c>
      <c r="I2778" s="33" t="n">
        <f aca="false">D2778*INDEX(Products!$D$2:$D$49,MATCH(C2778,Products!$A$2:$A$49,0))*(1+INDEX(Assumptions!$B$16:$B$20,MATCH(B2778,Assumptions!$A$16:$A$20,0)))</f>
        <v>5006.848</v>
      </c>
      <c r="J2778" s="33" t="n">
        <f aca="false">H2778-I2778</f>
        <v>1153.152</v>
      </c>
      <c r="K2778" s="33" t="n">
        <f aca="false">IF(OR(E2778=0,E2778&gt;=7),0,D2778/(7-E2778)*E2778*INDEX(Products!$E$2:$E$49,MATCH(C2778,Products!$A$2:$A$49,0)))</f>
        <v>0</v>
      </c>
    </row>
    <row r="2779" customFormat="false" ht="15" hidden="false" customHeight="false" outlineLevel="0" collapsed="false">
      <c r="A2779" s="36" t="n">
        <v>46132</v>
      </c>
      <c r="B2779" s="24" t="s">
        <v>63</v>
      </c>
      <c r="C2779" s="24" t="s">
        <v>145</v>
      </c>
      <c r="D2779" s="33" t="n">
        <v>65</v>
      </c>
      <c r="E2779" s="24" t="n">
        <v>0</v>
      </c>
      <c r="F2779" s="37" t="n">
        <f aca="false">DATE(YEAR(A2779),MONTH(A2779),1)</f>
        <v>46113</v>
      </c>
      <c r="G2779" s="24" t="str">
        <f aca="false">INDEX(Products!$C$2:$C$49,MATCH(C2779,Products!$A$2:$A$49,0))</f>
        <v>Dairy &amp; Eggs</v>
      </c>
      <c r="H2779" s="33" t="n">
        <f aca="false">D2779*INDEX(Products!$E$2:$E$49,MATCH(C2779,Products!$A$2:$A$49,0))</f>
        <v>9100</v>
      </c>
      <c r="I2779" s="33" t="n">
        <f aca="false">D2779*INDEX(Products!$D$2:$D$49,MATCH(C2779,Products!$A$2:$A$49,0))*(1+INDEX(Assumptions!$B$16:$B$20,MATCH(B2779,Assumptions!$A$16:$A$20,0)))</f>
        <v>7396.48</v>
      </c>
      <c r="J2779" s="33" t="n">
        <f aca="false">H2779-I2779</f>
        <v>1703.52</v>
      </c>
      <c r="K2779" s="33" t="n">
        <f aca="false">IF(OR(E2779=0,E2779&gt;=7),0,D2779/(7-E2779)*E2779*INDEX(Products!$E$2:$E$49,MATCH(C2779,Products!$A$2:$A$49,0)))</f>
        <v>0</v>
      </c>
    </row>
    <row r="2780" customFormat="false" ht="15" hidden="false" customHeight="false" outlineLevel="0" collapsed="false">
      <c r="A2780" s="36" t="n">
        <v>46139</v>
      </c>
      <c r="B2780" s="24" t="s">
        <v>63</v>
      </c>
      <c r="C2780" s="24" t="s">
        <v>145</v>
      </c>
      <c r="D2780" s="33" t="n">
        <v>53</v>
      </c>
      <c r="E2780" s="24" t="n">
        <v>0</v>
      </c>
      <c r="F2780" s="37" t="n">
        <f aca="false">DATE(YEAR(A2780),MONTH(A2780),1)</f>
        <v>46113</v>
      </c>
      <c r="G2780" s="24" t="str">
        <f aca="false">INDEX(Products!$C$2:$C$49,MATCH(C2780,Products!$A$2:$A$49,0))</f>
        <v>Dairy &amp; Eggs</v>
      </c>
      <c r="H2780" s="33" t="n">
        <f aca="false">D2780*INDEX(Products!$E$2:$E$49,MATCH(C2780,Products!$A$2:$A$49,0))</f>
        <v>7420</v>
      </c>
      <c r="I2780" s="33" t="n">
        <f aca="false">D2780*INDEX(Products!$D$2:$D$49,MATCH(C2780,Products!$A$2:$A$49,0))*(1+INDEX(Assumptions!$B$16:$B$20,MATCH(B2780,Assumptions!$A$16:$A$20,0)))</f>
        <v>6030.976</v>
      </c>
      <c r="J2780" s="33" t="n">
        <f aca="false">H2780-I2780</f>
        <v>1389.024</v>
      </c>
      <c r="K2780" s="33" t="n">
        <f aca="false">IF(OR(E2780=0,E2780&gt;=7),0,D2780/(7-E2780)*E2780*INDEX(Products!$E$2:$E$49,MATCH(C2780,Products!$A$2:$A$49,0)))</f>
        <v>0</v>
      </c>
    </row>
    <row r="2781" customFormat="false" ht="15" hidden="false" customHeight="false" outlineLevel="0" collapsed="false">
      <c r="A2781" s="36" t="n">
        <v>46146</v>
      </c>
      <c r="B2781" s="24" t="s">
        <v>63</v>
      </c>
      <c r="C2781" s="24" t="s">
        <v>145</v>
      </c>
      <c r="D2781" s="33" t="n">
        <v>50</v>
      </c>
      <c r="E2781" s="24" t="n">
        <v>0</v>
      </c>
      <c r="F2781" s="37" t="n">
        <f aca="false">DATE(YEAR(A2781),MONTH(A2781),1)</f>
        <v>46143</v>
      </c>
      <c r="G2781" s="24" t="str">
        <f aca="false">INDEX(Products!$C$2:$C$49,MATCH(C2781,Products!$A$2:$A$49,0))</f>
        <v>Dairy &amp; Eggs</v>
      </c>
      <c r="H2781" s="33" t="n">
        <f aca="false">D2781*INDEX(Products!$E$2:$E$49,MATCH(C2781,Products!$A$2:$A$49,0))</f>
        <v>7000</v>
      </c>
      <c r="I2781" s="33" t="n">
        <f aca="false">D2781*INDEX(Products!$D$2:$D$49,MATCH(C2781,Products!$A$2:$A$49,0))*(1+INDEX(Assumptions!$B$16:$B$20,MATCH(B2781,Assumptions!$A$16:$A$20,0)))</f>
        <v>5689.6</v>
      </c>
      <c r="J2781" s="33" t="n">
        <f aca="false">H2781-I2781</f>
        <v>1310.4</v>
      </c>
      <c r="K2781" s="33" t="n">
        <f aca="false">IF(OR(E2781=0,E2781&gt;=7),0,D2781/(7-E2781)*E2781*INDEX(Products!$E$2:$E$49,MATCH(C2781,Products!$A$2:$A$49,0)))</f>
        <v>0</v>
      </c>
    </row>
    <row r="2782" customFormat="false" ht="15" hidden="false" customHeight="false" outlineLevel="0" collapsed="false">
      <c r="A2782" s="36" t="n">
        <v>46153</v>
      </c>
      <c r="B2782" s="24" t="s">
        <v>63</v>
      </c>
      <c r="C2782" s="24" t="s">
        <v>145</v>
      </c>
      <c r="D2782" s="33" t="n">
        <v>49</v>
      </c>
      <c r="E2782" s="24" t="n">
        <v>0</v>
      </c>
      <c r="F2782" s="37" t="n">
        <f aca="false">DATE(YEAR(A2782),MONTH(A2782),1)</f>
        <v>46143</v>
      </c>
      <c r="G2782" s="24" t="str">
        <f aca="false">INDEX(Products!$C$2:$C$49,MATCH(C2782,Products!$A$2:$A$49,0))</f>
        <v>Dairy &amp; Eggs</v>
      </c>
      <c r="H2782" s="33" t="n">
        <f aca="false">D2782*INDEX(Products!$E$2:$E$49,MATCH(C2782,Products!$A$2:$A$49,0))</f>
        <v>6860</v>
      </c>
      <c r="I2782" s="33" t="n">
        <f aca="false">D2782*INDEX(Products!$D$2:$D$49,MATCH(C2782,Products!$A$2:$A$49,0))*(1+INDEX(Assumptions!$B$16:$B$20,MATCH(B2782,Assumptions!$A$16:$A$20,0)))</f>
        <v>5575.808</v>
      </c>
      <c r="J2782" s="33" t="n">
        <f aca="false">H2782-I2782</f>
        <v>1284.192</v>
      </c>
      <c r="K2782" s="33" t="n">
        <f aca="false">IF(OR(E2782=0,E2782&gt;=7),0,D2782/(7-E2782)*E2782*INDEX(Products!$E$2:$E$49,MATCH(C2782,Products!$A$2:$A$49,0)))</f>
        <v>0</v>
      </c>
    </row>
    <row r="2783" customFormat="false" ht="15" hidden="false" customHeight="false" outlineLevel="0" collapsed="false">
      <c r="A2783" s="36" t="n">
        <v>46160</v>
      </c>
      <c r="B2783" s="24" t="s">
        <v>63</v>
      </c>
      <c r="C2783" s="24" t="s">
        <v>145</v>
      </c>
      <c r="D2783" s="33" t="n">
        <v>50</v>
      </c>
      <c r="E2783" s="24" t="n">
        <v>0</v>
      </c>
      <c r="F2783" s="37" t="n">
        <f aca="false">DATE(YEAR(A2783),MONTH(A2783),1)</f>
        <v>46143</v>
      </c>
      <c r="G2783" s="24" t="str">
        <f aca="false">INDEX(Products!$C$2:$C$49,MATCH(C2783,Products!$A$2:$A$49,0))</f>
        <v>Dairy &amp; Eggs</v>
      </c>
      <c r="H2783" s="33" t="n">
        <f aca="false">D2783*INDEX(Products!$E$2:$E$49,MATCH(C2783,Products!$A$2:$A$49,0))</f>
        <v>7000</v>
      </c>
      <c r="I2783" s="33" t="n">
        <f aca="false">D2783*INDEX(Products!$D$2:$D$49,MATCH(C2783,Products!$A$2:$A$49,0))*(1+INDEX(Assumptions!$B$16:$B$20,MATCH(B2783,Assumptions!$A$16:$A$20,0)))</f>
        <v>5689.6</v>
      </c>
      <c r="J2783" s="33" t="n">
        <f aca="false">H2783-I2783</f>
        <v>1310.4</v>
      </c>
      <c r="K2783" s="33" t="n">
        <f aca="false">IF(OR(E2783=0,E2783&gt;=7),0,D2783/(7-E2783)*E2783*INDEX(Products!$E$2:$E$49,MATCH(C2783,Products!$A$2:$A$49,0)))</f>
        <v>0</v>
      </c>
    </row>
    <row r="2784" customFormat="false" ht="15" hidden="false" customHeight="false" outlineLevel="0" collapsed="false">
      <c r="A2784" s="36" t="n">
        <v>46167</v>
      </c>
      <c r="B2784" s="24" t="s">
        <v>63</v>
      </c>
      <c r="C2784" s="24" t="s">
        <v>145</v>
      </c>
      <c r="D2784" s="33" t="n">
        <v>51</v>
      </c>
      <c r="E2784" s="24" t="n">
        <v>0</v>
      </c>
      <c r="F2784" s="37" t="n">
        <f aca="false">DATE(YEAR(A2784),MONTH(A2784),1)</f>
        <v>46143</v>
      </c>
      <c r="G2784" s="24" t="str">
        <f aca="false">INDEX(Products!$C$2:$C$49,MATCH(C2784,Products!$A$2:$A$49,0))</f>
        <v>Dairy &amp; Eggs</v>
      </c>
      <c r="H2784" s="33" t="n">
        <f aca="false">D2784*INDEX(Products!$E$2:$E$49,MATCH(C2784,Products!$A$2:$A$49,0))</f>
        <v>7140</v>
      </c>
      <c r="I2784" s="33" t="n">
        <f aca="false">D2784*INDEX(Products!$D$2:$D$49,MATCH(C2784,Products!$A$2:$A$49,0))*(1+INDEX(Assumptions!$B$16:$B$20,MATCH(B2784,Assumptions!$A$16:$A$20,0)))</f>
        <v>5803.392</v>
      </c>
      <c r="J2784" s="33" t="n">
        <f aca="false">H2784-I2784</f>
        <v>1336.608</v>
      </c>
      <c r="K2784" s="33" t="n">
        <f aca="false">IF(OR(E2784=0,E2784&gt;=7),0,D2784/(7-E2784)*E2784*INDEX(Products!$E$2:$E$49,MATCH(C2784,Products!$A$2:$A$49,0)))</f>
        <v>0</v>
      </c>
    </row>
    <row r="2785" customFormat="false" ht="15" hidden="false" customHeight="false" outlineLevel="0" collapsed="false">
      <c r="A2785" s="36" t="n">
        <v>46174</v>
      </c>
      <c r="B2785" s="24" t="s">
        <v>63</v>
      </c>
      <c r="C2785" s="24" t="s">
        <v>145</v>
      </c>
      <c r="D2785" s="33" t="n">
        <v>27</v>
      </c>
      <c r="E2785" s="24" t="n">
        <v>3</v>
      </c>
      <c r="F2785" s="37" t="n">
        <f aca="false">DATE(YEAR(A2785),MONTH(A2785),1)</f>
        <v>46174</v>
      </c>
      <c r="G2785" s="24" t="str">
        <f aca="false">INDEX(Products!$C$2:$C$49,MATCH(C2785,Products!$A$2:$A$49,0))</f>
        <v>Dairy &amp; Eggs</v>
      </c>
      <c r="H2785" s="33" t="n">
        <f aca="false">D2785*INDEX(Products!$E$2:$E$49,MATCH(C2785,Products!$A$2:$A$49,0))</f>
        <v>3780</v>
      </c>
      <c r="I2785" s="33" t="n">
        <f aca="false">D2785*INDEX(Products!$D$2:$D$49,MATCH(C2785,Products!$A$2:$A$49,0))*(1+INDEX(Assumptions!$B$16:$B$20,MATCH(B2785,Assumptions!$A$16:$A$20,0)))</f>
        <v>3072.384</v>
      </c>
      <c r="J2785" s="33" t="n">
        <f aca="false">H2785-I2785</f>
        <v>707.616</v>
      </c>
      <c r="K2785" s="33" t="n">
        <f aca="false">IF(OR(E2785=0,E2785&gt;=7),0,D2785/(7-E2785)*E2785*INDEX(Products!$E$2:$E$49,MATCH(C2785,Products!$A$2:$A$49,0)))</f>
        <v>2835</v>
      </c>
    </row>
    <row r="2786" customFormat="false" ht="15" hidden="false" customHeight="false" outlineLevel="0" collapsed="false">
      <c r="A2786" s="36" t="n">
        <v>46181</v>
      </c>
      <c r="B2786" s="24" t="s">
        <v>63</v>
      </c>
      <c r="C2786" s="24" t="s">
        <v>145</v>
      </c>
      <c r="D2786" s="33" t="n">
        <v>44</v>
      </c>
      <c r="E2786" s="24" t="n">
        <v>0</v>
      </c>
      <c r="F2786" s="37" t="n">
        <f aca="false">DATE(YEAR(A2786),MONTH(A2786),1)</f>
        <v>46174</v>
      </c>
      <c r="G2786" s="24" t="str">
        <f aca="false">INDEX(Products!$C$2:$C$49,MATCH(C2786,Products!$A$2:$A$49,0))</f>
        <v>Dairy &amp; Eggs</v>
      </c>
      <c r="H2786" s="33" t="n">
        <f aca="false">D2786*INDEX(Products!$E$2:$E$49,MATCH(C2786,Products!$A$2:$A$49,0))</f>
        <v>6160</v>
      </c>
      <c r="I2786" s="33" t="n">
        <f aca="false">D2786*INDEX(Products!$D$2:$D$49,MATCH(C2786,Products!$A$2:$A$49,0))*(1+INDEX(Assumptions!$B$16:$B$20,MATCH(B2786,Assumptions!$A$16:$A$20,0)))</f>
        <v>5006.848</v>
      </c>
      <c r="J2786" s="33" t="n">
        <f aca="false">H2786-I2786</f>
        <v>1153.152</v>
      </c>
      <c r="K2786" s="33" t="n">
        <f aca="false">IF(OR(E2786=0,E2786&gt;=7),0,D2786/(7-E2786)*E2786*INDEX(Products!$E$2:$E$49,MATCH(C2786,Products!$A$2:$A$49,0)))</f>
        <v>0</v>
      </c>
    </row>
    <row r="2787" customFormat="false" ht="15" hidden="false" customHeight="false" outlineLevel="0" collapsed="false">
      <c r="A2787" s="36" t="n">
        <v>46188</v>
      </c>
      <c r="B2787" s="24" t="s">
        <v>63</v>
      </c>
      <c r="C2787" s="24" t="s">
        <v>145</v>
      </c>
      <c r="D2787" s="33" t="n">
        <v>80</v>
      </c>
      <c r="E2787" s="24" t="n">
        <v>0</v>
      </c>
      <c r="F2787" s="37" t="n">
        <f aca="false">DATE(YEAR(A2787),MONTH(A2787),1)</f>
        <v>46174</v>
      </c>
      <c r="G2787" s="24" t="str">
        <f aca="false">INDEX(Products!$C$2:$C$49,MATCH(C2787,Products!$A$2:$A$49,0))</f>
        <v>Dairy &amp; Eggs</v>
      </c>
      <c r="H2787" s="33" t="n">
        <f aca="false">D2787*INDEX(Products!$E$2:$E$49,MATCH(C2787,Products!$A$2:$A$49,0))</f>
        <v>11200</v>
      </c>
      <c r="I2787" s="33" t="n">
        <f aca="false">D2787*INDEX(Products!$D$2:$D$49,MATCH(C2787,Products!$A$2:$A$49,0))*(1+INDEX(Assumptions!$B$16:$B$20,MATCH(B2787,Assumptions!$A$16:$A$20,0)))</f>
        <v>9103.36</v>
      </c>
      <c r="J2787" s="33" t="n">
        <f aca="false">H2787-I2787</f>
        <v>2096.64</v>
      </c>
      <c r="K2787" s="33" t="n">
        <f aca="false">IF(OR(E2787=0,E2787&gt;=7),0,D2787/(7-E2787)*E2787*INDEX(Products!$E$2:$E$49,MATCH(C2787,Products!$A$2:$A$49,0)))</f>
        <v>0</v>
      </c>
    </row>
    <row r="2788" customFormat="false" ht="15" hidden="false" customHeight="false" outlineLevel="0" collapsed="false">
      <c r="A2788" s="36" t="n">
        <v>46195</v>
      </c>
      <c r="B2788" s="24" t="s">
        <v>63</v>
      </c>
      <c r="C2788" s="24" t="s">
        <v>145</v>
      </c>
      <c r="D2788" s="33" t="n">
        <v>40</v>
      </c>
      <c r="E2788" s="24" t="n">
        <v>0</v>
      </c>
      <c r="F2788" s="37" t="n">
        <f aca="false">DATE(YEAR(A2788),MONTH(A2788),1)</f>
        <v>46174</v>
      </c>
      <c r="G2788" s="24" t="str">
        <f aca="false">INDEX(Products!$C$2:$C$49,MATCH(C2788,Products!$A$2:$A$49,0))</f>
        <v>Dairy &amp; Eggs</v>
      </c>
      <c r="H2788" s="33" t="n">
        <f aca="false">D2788*INDEX(Products!$E$2:$E$49,MATCH(C2788,Products!$A$2:$A$49,0))</f>
        <v>5600</v>
      </c>
      <c r="I2788" s="33" t="n">
        <f aca="false">D2788*INDEX(Products!$D$2:$D$49,MATCH(C2788,Products!$A$2:$A$49,0))*(1+INDEX(Assumptions!$B$16:$B$20,MATCH(B2788,Assumptions!$A$16:$A$20,0)))</f>
        <v>4551.68</v>
      </c>
      <c r="J2788" s="33" t="n">
        <f aca="false">H2788-I2788</f>
        <v>1048.32</v>
      </c>
      <c r="K2788" s="33" t="n">
        <f aca="false">IF(OR(E2788=0,E2788&gt;=7),0,D2788/(7-E2788)*E2788*INDEX(Products!$E$2:$E$49,MATCH(C2788,Products!$A$2:$A$49,0)))</f>
        <v>0</v>
      </c>
    </row>
    <row r="2789" customFormat="false" ht="15" hidden="false" customHeight="false" outlineLevel="0" collapsed="false">
      <c r="A2789" s="36" t="n">
        <v>46202</v>
      </c>
      <c r="B2789" s="24" t="s">
        <v>63</v>
      </c>
      <c r="C2789" s="24" t="s">
        <v>145</v>
      </c>
      <c r="D2789" s="33" t="n">
        <v>40</v>
      </c>
      <c r="E2789" s="24" t="n">
        <v>0</v>
      </c>
      <c r="F2789" s="37" t="n">
        <f aca="false">DATE(YEAR(A2789),MONTH(A2789),1)</f>
        <v>46174</v>
      </c>
      <c r="G2789" s="24" t="str">
        <f aca="false">INDEX(Products!$C$2:$C$49,MATCH(C2789,Products!$A$2:$A$49,0))</f>
        <v>Dairy &amp; Eggs</v>
      </c>
      <c r="H2789" s="33" t="n">
        <f aca="false">D2789*INDEX(Products!$E$2:$E$49,MATCH(C2789,Products!$A$2:$A$49,0))</f>
        <v>5600</v>
      </c>
      <c r="I2789" s="33" t="n">
        <f aca="false">D2789*INDEX(Products!$D$2:$D$49,MATCH(C2789,Products!$A$2:$A$49,0))*(1+INDEX(Assumptions!$B$16:$B$20,MATCH(B2789,Assumptions!$A$16:$A$20,0)))</f>
        <v>4551.68</v>
      </c>
      <c r="J2789" s="33" t="n">
        <f aca="false">H2789-I2789</f>
        <v>1048.32</v>
      </c>
      <c r="K2789" s="33" t="n">
        <f aca="false">IF(OR(E2789=0,E2789&gt;=7),0,D2789/(7-E2789)*E2789*INDEX(Products!$E$2:$E$49,MATCH(C2789,Products!$A$2:$A$49,0)))</f>
        <v>0</v>
      </c>
    </row>
    <row r="2790" customFormat="false" ht="15" hidden="false" customHeight="false" outlineLevel="0" collapsed="false">
      <c r="A2790" s="36" t="n">
        <v>46209</v>
      </c>
      <c r="B2790" s="24" t="s">
        <v>63</v>
      </c>
      <c r="C2790" s="24" t="s">
        <v>145</v>
      </c>
      <c r="D2790" s="33" t="n">
        <v>44</v>
      </c>
      <c r="E2790" s="24" t="n">
        <v>0</v>
      </c>
      <c r="F2790" s="37" t="n">
        <f aca="false">DATE(YEAR(A2790),MONTH(A2790),1)</f>
        <v>46204</v>
      </c>
      <c r="G2790" s="24" t="str">
        <f aca="false">INDEX(Products!$C$2:$C$49,MATCH(C2790,Products!$A$2:$A$49,0))</f>
        <v>Dairy &amp; Eggs</v>
      </c>
      <c r="H2790" s="33" t="n">
        <f aca="false">D2790*INDEX(Products!$E$2:$E$49,MATCH(C2790,Products!$A$2:$A$49,0))</f>
        <v>6160</v>
      </c>
      <c r="I2790" s="33" t="n">
        <f aca="false">D2790*INDEX(Products!$D$2:$D$49,MATCH(C2790,Products!$A$2:$A$49,0))*(1+INDEX(Assumptions!$B$16:$B$20,MATCH(B2790,Assumptions!$A$16:$A$20,0)))</f>
        <v>5006.848</v>
      </c>
      <c r="J2790" s="33" t="n">
        <f aca="false">H2790-I2790</f>
        <v>1153.152</v>
      </c>
      <c r="K2790" s="33" t="n">
        <f aca="false">IF(OR(E2790=0,E2790&gt;=7),0,D2790/(7-E2790)*E2790*INDEX(Products!$E$2:$E$49,MATCH(C2790,Products!$A$2:$A$49,0)))</f>
        <v>0</v>
      </c>
    </row>
    <row r="2791" customFormat="false" ht="15" hidden="false" customHeight="false" outlineLevel="0" collapsed="false">
      <c r="A2791" s="36" t="n">
        <v>46216</v>
      </c>
      <c r="B2791" s="24" t="s">
        <v>63</v>
      </c>
      <c r="C2791" s="24" t="s">
        <v>145</v>
      </c>
      <c r="D2791" s="33" t="n">
        <v>33</v>
      </c>
      <c r="E2791" s="24" t="n">
        <v>0</v>
      </c>
      <c r="F2791" s="37" t="n">
        <f aca="false">DATE(YEAR(A2791),MONTH(A2791),1)</f>
        <v>46204</v>
      </c>
      <c r="G2791" s="24" t="str">
        <f aca="false">INDEX(Products!$C$2:$C$49,MATCH(C2791,Products!$A$2:$A$49,0))</f>
        <v>Dairy &amp; Eggs</v>
      </c>
      <c r="H2791" s="33" t="n">
        <f aca="false">D2791*INDEX(Products!$E$2:$E$49,MATCH(C2791,Products!$A$2:$A$49,0))</f>
        <v>4620</v>
      </c>
      <c r="I2791" s="33" t="n">
        <f aca="false">D2791*INDEX(Products!$D$2:$D$49,MATCH(C2791,Products!$A$2:$A$49,0))*(1+INDEX(Assumptions!$B$16:$B$20,MATCH(B2791,Assumptions!$A$16:$A$20,0)))</f>
        <v>3755.136</v>
      </c>
      <c r="J2791" s="33" t="n">
        <f aca="false">H2791-I2791</f>
        <v>864.864</v>
      </c>
      <c r="K2791" s="33" t="n">
        <f aca="false">IF(OR(E2791=0,E2791&gt;=7),0,D2791/(7-E2791)*E2791*INDEX(Products!$E$2:$E$49,MATCH(C2791,Products!$A$2:$A$49,0)))</f>
        <v>0</v>
      </c>
    </row>
    <row r="2792" customFormat="false" ht="15" hidden="false" customHeight="false" outlineLevel="0" collapsed="false">
      <c r="A2792" s="36" t="n">
        <v>46223</v>
      </c>
      <c r="B2792" s="24" t="s">
        <v>63</v>
      </c>
      <c r="C2792" s="24" t="s">
        <v>145</v>
      </c>
      <c r="D2792" s="33" t="n">
        <v>14</v>
      </c>
      <c r="E2792" s="24" t="n">
        <v>5</v>
      </c>
      <c r="F2792" s="37" t="n">
        <f aca="false">DATE(YEAR(A2792),MONTH(A2792),1)</f>
        <v>46204</v>
      </c>
      <c r="G2792" s="24" t="str">
        <f aca="false">INDEX(Products!$C$2:$C$49,MATCH(C2792,Products!$A$2:$A$49,0))</f>
        <v>Dairy &amp; Eggs</v>
      </c>
      <c r="H2792" s="33" t="n">
        <f aca="false">D2792*INDEX(Products!$E$2:$E$49,MATCH(C2792,Products!$A$2:$A$49,0))</f>
        <v>1960</v>
      </c>
      <c r="I2792" s="33" t="n">
        <f aca="false">D2792*INDEX(Products!$D$2:$D$49,MATCH(C2792,Products!$A$2:$A$49,0))*(1+INDEX(Assumptions!$B$16:$B$20,MATCH(B2792,Assumptions!$A$16:$A$20,0)))</f>
        <v>1593.088</v>
      </c>
      <c r="J2792" s="33" t="n">
        <f aca="false">H2792-I2792</f>
        <v>366.912</v>
      </c>
      <c r="K2792" s="33" t="n">
        <f aca="false">IF(OR(E2792=0,E2792&gt;=7),0,D2792/(7-E2792)*E2792*INDEX(Products!$E$2:$E$49,MATCH(C2792,Products!$A$2:$A$49,0)))</f>
        <v>4900</v>
      </c>
    </row>
    <row r="2793" customFormat="false" ht="15" hidden="false" customHeight="false" outlineLevel="0" collapsed="false">
      <c r="A2793" s="36" t="n">
        <v>46230</v>
      </c>
      <c r="B2793" s="24" t="s">
        <v>63</v>
      </c>
      <c r="C2793" s="24" t="s">
        <v>145</v>
      </c>
      <c r="D2793" s="33" t="n">
        <v>50</v>
      </c>
      <c r="E2793" s="24" t="n">
        <v>0</v>
      </c>
      <c r="F2793" s="37" t="n">
        <f aca="false">DATE(YEAR(A2793),MONTH(A2793),1)</f>
        <v>46204</v>
      </c>
      <c r="G2793" s="24" t="str">
        <f aca="false">INDEX(Products!$C$2:$C$49,MATCH(C2793,Products!$A$2:$A$49,0))</f>
        <v>Dairy &amp; Eggs</v>
      </c>
      <c r="H2793" s="33" t="n">
        <f aca="false">D2793*INDEX(Products!$E$2:$E$49,MATCH(C2793,Products!$A$2:$A$49,0))</f>
        <v>7000</v>
      </c>
      <c r="I2793" s="33" t="n">
        <f aca="false">D2793*INDEX(Products!$D$2:$D$49,MATCH(C2793,Products!$A$2:$A$49,0))*(1+INDEX(Assumptions!$B$16:$B$20,MATCH(B2793,Assumptions!$A$16:$A$20,0)))</f>
        <v>5689.6</v>
      </c>
      <c r="J2793" s="33" t="n">
        <f aca="false">H2793-I2793</f>
        <v>1310.4</v>
      </c>
      <c r="K2793" s="33" t="n">
        <f aca="false">IF(OR(E2793=0,E2793&gt;=7),0,D2793/(7-E2793)*E2793*INDEX(Products!$E$2:$E$49,MATCH(C2793,Products!$A$2:$A$49,0)))</f>
        <v>0</v>
      </c>
    </row>
    <row r="2794" customFormat="false" ht="15" hidden="false" customHeight="false" outlineLevel="0" collapsed="false">
      <c r="A2794" s="36" t="n">
        <v>46237</v>
      </c>
      <c r="B2794" s="24" t="s">
        <v>63</v>
      </c>
      <c r="C2794" s="24" t="s">
        <v>145</v>
      </c>
      <c r="D2794" s="33" t="n">
        <v>40</v>
      </c>
      <c r="E2794" s="24" t="n">
        <v>0</v>
      </c>
      <c r="F2794" s="37" t="n">
        <f aca="false">DATE(YEAR(A2794),MONTH(A2794),1)</f>
        <v>46235</v>
      </c>
      <c r="G2794" s="24" t="str">
        <f aca="false">INDEX(Products!$C$2:$C$49,MATCH(C2794,Products!$A$2:$A$49,0))</f>
        <v>Dairy &amp; Eggs</v>
      </c>
      <c r="H2794" s="33" t="n">
        <f aca="false">D2794*INDEX(Products!$E$2:$E$49,MATCH(C2794,Products!$A$2:$A$49,0))</f>
        <v>5600</v>
      </c>
      <c r="I2794" s="33" t="n">
        <f aca="false">D2794*INDEX(Products!$D$2:$D$49,MATCH(C2794,Products!$A$2:$A$49,0))*(1+INDEX(Assumptions!$B$16:$B$20,MATCH(B2794,Assumptions!$A$16:$A$20,0)))</f>
        <v>4551.68</v>
      </c>
      <c r="J2794" s="33" t="n">
        <f aca="false">H2794-I2794</f>
        <v>1048.32</v>
      </c>
      <c r="K2794" s="33" t="n">
        <f aca="false">IF(OR(E2794=0,E2794&gt;=7),0,D2794/(7-E2794)*E2794*INDEX(Products!$E$2:$E$49,MATCH(C2794,Products!$A$2:$A$49,0)))</f>
        <v>0</v>
      </c>
    </row>
    <row r="2795" customFormat="false" ht="15" hidden="false" customHeight="false" outlineLevel="0" collapsed="false">
      <c r="A2795" s="36" t="n">
        <v>46244</v>
      </c>
      <c r="B2795" s="24" t="s">
        <v>63</v>
      </c>
      <c r="C2795" s="24" t="s">
        <v>145</v>
      </c>
      <c r="D2795" s="33" t="n">
        <v>47</v>
      </c>
      <c r="E2795" s="24" t="n">
        <v>0</v>
      </c>
      <c r="F2795" s="37" t="n">
        <f aca="false">DATE(YEAR(A2795),MONTH(A2795),1)</f>
        <v>46235</v>
      </c>
      <c r="G2795" s="24" t="str">
        <f aca="false">INDEX(Products!$C$2:$C$49,MATCH(C2795,Products!$A$2:$A$49,0))</f>
        <v>Dairy &amp; Eggs</v>
      </c>
      <c r="H2795" s="33" t="n">
        <f aca="false">D2795*INDEX(Products!$E$2:$E$49,MATCH(C2795,Products!$A$2:$A$49,0))</f>
        <v>6580</v>
      </c>
      <c r="I2795" s="33" t="n">
        <f aca="false">D2795*INDEX(Products!$D$2:$D$49,MATCH(C2795,Products!$A$2:$A$49,0))*(1+INDEX(Assumptions!$B$16:$B$20,MATCH(B2795,Assumptions!$A$16:$A$20,0)))</f>
        <v>5348.224</v>
      </c>
      <c r="J2795" s="33" t="n">
        <f aca="false">H2795-I2795</f>
        <v>1231.776</v>
      </c>
      <c r="K2795" s="33" t="n">
        <f aca="false">IF(OR(E2795=0,E2795&gt;=7),0,D2795/(7-E2795)*E2795*INDEX(Products!$E$2:$E$49,MATCH(C2795,Products!$A$2:$A$49,0)))</f>
        <v>0</v>
      </c>
    </row>
    <row r="2796" customFormat="false" ht="15" hidden="false" customHeight="false" outlineLevel="0" collapsed="false">
      <c r="A2796" s="36" t="n">
        <v>46251</v>
      </c>
      <c r="B2796" s="24" t="s">
        <v>63</v>
      </c>
      <c r="C2796" s="24" t="s">
        <v>145</v>
      </c>
      <c r="D2796" s="33" t="n">
        <v>41</v>
      </c>
      <c r="E2796" s="24" t="n">
        <v>0</v>
      </c>
      <c r="F2796" s="37" t="n">
        <f aca="false">DATE(YEAR(A2796),MONTH(A2796),1)</f>
        <v>46235</v>
      </c>
      <c r="G2796" s="24" t="str">
        <f aca="false">INDEX(Products!$C$2:$C$49,MATCH(C2796,Products!$A$2:$A$49,0))</f>
        <v>Dairy &amp; Eggs</v>
      </c>
      <c r="H2796" s="33" t="n">
        <f aca="false">D2796*INDEX(Products!$E$2:$E$49,MATCH(C2796,Products!$A$2:$A$49,0))</f>
        <v>5740</v>
      </c>
      <c r="I2796" s="33" t="n">
        <f aca="false">D2796*INDEX(Products!$D$2:$D$49,MATCH(C2796,Products!$A$2:$A$49,0))*(1+INDEX(Assumptions!$B$16:$B$20,MATCH(B2796,Assumptions!$A$16:$A$20,0)))</f>
        <v>4665.472</v>
      </c>
      <c r="J2796" s="33" t="n">
        <f aca="false">H2796-I2796</f>
        <v>1074.528</v>
      </c>
      <c r="K2796" s="33" t="n">
        <f aca="false">IF(OR(E2796=0,E2796&gt;=7),0,D2796/(7-E2796)*E2796*INDEX(Products!$E$2:$E$49,MATCH(C2796,Products!$A$2:$A$49,0)))</f>
        <v>0</v>
      </c>
    </row>
    <row r="2797" customFormat="false" ht="15" hidden="false" customHeight="false" outlineLevel="0" collapsed="false">
      <c r="A2797" s="36" t="n">
        <v>46258</v>
      </c>
      <c r="B2797" s="24" t="s">
        <v>63</v>
      </c>
      <c r="C2797" s="24" t="s">
        <v>145</v>
      </c>
      <c r="D2797" s="33" t="n">
        <v>58</v>
      </c>
      <c r="E2797" s="24" t="n">
        <v>0</v>
      </c>
      <c r="F2797" s="37" t="n">
        <f aca="false">DATE(YEAR(A2797),MONTH(A2797),1)</f>
        <v>46235</v>
      </c>
      <c r="G2797" s="24" t="str">
        <f aca="false">INDEX(Products!$C$2:$C$49,MATCH(C2797,Products!$A$2:$A$49,0))</f>
        <v>Dairy &amp; Eggs</v>
      </c>
      <c r="H2797" s="33" t="n">
        <f aca="false">D2797*INDEX(Products!$E$2:$E$49,MATCH(C2797,Products!$A$2:$A$49,0))</f>
        <v>8120</v>
      </c>
      <c r="I2797" s="33" t="n">
        <f aca="false">D2797*INDEX(Products!$D$2:$D$49,MATCH(C2797,Products!$A$2:$A$49,0))*(1+INDEX(Assumptions!$B$16:$B$20,MATCH(B2797,Assumptions!$A$16:$A$20,0)))</f>
        <v>6599.936</v>
      </c>
      <c r="J2797" s="33" t="n">
        <f aca="false">H2797-I2797</f>
        <v>1520.064</v>
      </c>
      <c r="K2797" s="33" t="n">
        <f aca="false">IF(OR(E2797=0,E2797&gt;=7),0,D2797/(7-E2797)*E2797*INDEX(Products!$E$2:$E$49,MATCH(C2797,Products!$A$2:$A$49,0)))</f>
        <v>0</v>
      </c>
    </row>
    <row r="2798" customFormat="false" ht="15" hidden="false" customHeight="false" outlineLevel="0" collapsed="false">
      <c r="A2798" s="36" t="n">
        <v>46265</v>
      </c>
      <c r="B2798" s="24" t="s">
        <v>63</v>
      </c>
      <c r="C2798" s="24" t="s">
        <v>145</v>
      </c>
      <c r="D2798" s="33" t="n">
        <v>46</v>
      </c>
      <c r="E2798" s="24" t="n">
        <v>0</v>
      </c>
      <c r="F2798" s="37" t="n">
        <f aca="false">DATE(YEAR(A2798),MONTH(A2798),1)</f>
        <v>46235</v>
      </c>
      <c r="G2798" s="24" t="str">
        <f aca="false">INDEX(Products!$C$2:$C$49,MATCH(C2798,Products!$A$2:$A$49,0))</f>
        <v>Dairy &amp; Eggs</v>
      </c>
      <c r="H2798" s="33" t="n">
        <f aca="false">D2798*INDEX(Products!$E$2:$E$49,MATCH(C2798,Products!$A$2:$A$49,0))</f>
        <v>6440</v>
      </c>
      <c r="I2798" s="33" t="n">
        <f aca="false">D2798*INDEX(Products!$D$2:$D$49,MATCH(C2798,Products!$A$2:$A$49,0))*(1+INDEX(Assumptions!$B$16:$B$20,MATCH(B2798,Assumptions!$A$16:$A$20,0)))</f>
        <v>5234.432</v>
      </c>
      <c r="J2798" s="33" t="n">
        <f aca="false">H2798-I2798</f>
        <v>1205.568</v>
      </c>
      <c r="K2798" s="33" t="n">
        <f aca="false">IF(OR(E2798=0,E2798&gt;=7),0,D2798/(7-E2798)*E2798*INDEX(Products!$E$2:$E$49,MATCH(C2798,Products!$A$2:$A$49,0)))</f>
        <v>0</v>
      </c>
    </row>
    <row r="2799" customFormat="false" ht="15" hidden="false" customHeight="false" outlineLevel="0" collapsed="false">
      <c r="A2799" s="36" t="n">
        <v>46272</v>
      </c>
      <c r="B2799" s="24" t="s">
        <v>63</v>
      </c>
      <c r="C2799" s="24" t="s">
        <v>145</v>
      </c>
      <c r="D2799" s="33" t="n">
        <v>48</v>
      </c>
      <c r="E2799" s="24" t="n">
        <v>0</v>
      </c>
      <c r="F2799" s="37" t="n">
        <f aca="false">DATE(YEAR(A2799),MONTH(A2799),1)</f>
        <v>46266</v>
      </c>
      <c r="G2799" s="24" t="str">
        <f aca="false">INDEX(Products!$C$2:$C$49,MATCH(C2799,Products!$A$2:$A$49,0))</f>
        <v>Dairy &amp; Eggs</v>
      </c>
      <c r="H2799" s="33" t="n">
        <f aca="false">D2799*INDEX(Products!$E$2:$E$49,MATCH(C2799,Products!$A$2:$A$49,0))</f>
        <v>6720</v>
      </c>
      <c r="I2799" s="33" t="n">
        <f aca="false">D2799*INDEX(Products!$D$2:$D$49,MATCH(C2799,Products!$A$2:$A$49,0))*(1+INDEX(Assumptions!$B$16:$B$20,MATCH(B2799,Assumptions!$A$16:$A$20,0)))</f>
        <v>5462.016</v>
      </c>
      <c r="J2799" s="33" t="n">
        <f aca="false">H2799-I2799</f>
        <v>1257.984</v>
      </c>
      <c r="K2799" s="33" t="n">
        <f aca="false">IF(OR(E2799=0,E2799&gt;=7),0,D2799/(7-E2799)*E2799*INDEX(Products!$E$2:$E$49,MATCH(C2799,Products!$A$2:$A$49,0)))</f>
        <v>0</v>
      </c>
    </row>
    <row r="2800" customFormat="false" ht="15" hidden="false" customHeight="false" outlineLevel="0" collapsed="false">
      <c r="A2800" s="36" t="n">
        <v>46279</v>
      </c>
      <c r="B2800" s="24" t="s">
        <v>63</v>
      </c>
      <c r="C2800" s="24" t="s">
        <v>145</v>
      </c>
      <c r="D2800" s="33" t="n">
        <v>45</v>
      </c>
      <c r="E2800" s="24" t="n">
        <v>0</v>
      </c>
      <c r="F2800" s="37" t="n">
        <f aca="false">DATE(YEAR(A2800),MONTH(A2800),1)</f>
        <v>46266</v>
      </c>
      <c r="G2800" s="24" t="str">
        <f aca="false">INDEX(Products!$C$2:$C$49,MATCH(C2800,Products!$A$2:$A$49,0))</f>
        <v>Dairy &amp; Eggs</v>
      </c>
      <c r="H2800" s="33" t="n">
        <f aca="false">D2800*INDEX(Products!$E$2:$E$49,MATCH(C2800,Products!$A$2:$A$49,0))</f>
        <v>6300</v>
      </c>
      <c r="I2800" s="33" t="n">
        <f aca="false">D2800*INDEX(Products!$D$2:$D$49,MATCH(C2800,Products!$A$2:$A$49,0))*(1+INDEX(Assumptions!$B$16:$B$20,MATCH(B2800,Assumptions!$A$16:$A$20,0)))</f>
        <v>5120.64</v>
      </c>
      <c r="J2800" s="33" t="n">
        <f aca="false">H2800-I2800</f>
        <v>1179.36</v>
      </c>
      <c r="K2800" s="33" t="n">
        <f aca="false">IF(OR(E2800=0,E2800&gt;=7),0,D2800/(7-E2800)*E2800*INDEX(Products!$E$2:$E$49,MATCH(C2800,Products!$A$2:$A$49,0)))</f>
        <v>0</v>
      </c>
    </row>
    <row r="2801" customFormat="false" ht="15" hidden="false" customHeight="false" outlineLevel="0" collapsed="false">
      <c r="A2801" s="36" t="n">
        <v>46286</v>
      </c>
      <c r="B2801" s="24" t="s">
        <v>63</v>
      </c>
      <c r="C2801" s="24" t="s">
        <v>145</v>
      </c>
      <c r="D2801" s="33" t="n">
        <v>52</v>
      </c>
      <c r="E2801" s="24" t="n">
        <v>0</v>
      </c>
      <c r="F2801" s="37" t="n">
        <f aca="false">DATE(YEAR(A2801),MONTH(A2801),1)</f>
        <v>46266</v>
      </c>
      <c r="G2801" s="24" t="str">
        <f aca="false">INDEX(Products!$C$2:$C$49,MATCH(C2801,Products!$A$2:$A$49,0))</f>
        <v>Dairy &amp; Eggs</v>
      </c>
      <c r="H2801" s="33" t="n">
        <f aca="false">D2801*INDEX(Products!$E$2:$E$49,MATCH(C2801,Products!$A$2:$A$49,0))</f>
        <v>7280</v>
      </c>
      <c r="I2801" s="33" t="n">
        <f aca="false">D2801*INDEX(Products!$D$2:$D$49,MATCH(C2801,Products!$A$2:$A$49,0))*(1+INDEX(Assumptions!$B$16:$B$20,MATCH(B2801,Assumptions!$A$16:$A$20,0)))</f>
        <v>5917.184</v>
      </c>
      <c r="J2801" s="33" t="n">
        <f aca="false">H2801-I2801</f>
        <v>1362.816</v>
      </c>
      <c r="K2801" s="33" t="n">
        <f aca="false">IF(OR(E2801=0,E2801&gt;=7),0,D2801/(7-E2801)*E2801*INDEX(Products!$E$2:$E$49,MATCH(C2801,Products!$A$2:$A$49,0)))</f>
        <v>0</v>
      </c>
    </row>
    <row r="2802" customFormat="false" ht="15" hidden="false" customHeight="false" outlineLevel="0" collapsed="false">
      <c r="A2802" s="36" t="n">
        <v>46118</v>
      </c>
      <c r="B2802" s="24" t="s">
        <v>63</v>
      </c>
      <c r="C2802" s="24" t="s">
        <v>147</v>
      </c>
      <c r="D2802" s="33" t="n">
        <v>106</v>
      </c>
      <c r="E2802" s="24" t="n">
        <v>0</v>
      </c>
      <c r="F2802" s="37" t="n">
        <f aca="false">DATE(YEAR(A2802),MONTH(A2802),1)</f>
        <v>46113</v>
      </c>
      <c r="G2802" s="24" t="str">
        <f aca="false">INDEX(Products!$C$2:$C$49,MATCH(C2802,Products!$A$2:$A$49,0))</f>
        <v>Beverages</v>
      </c>
      <c r="H2802" s="33" t="n">
        <f aca="false">D2802*INDEX(Products!$E$2:$E$49,MATCH(C2802,Products!$A$2:$A$49,0))</f>
        <v>7420</v>
      </c>
      <c r="I2802" s="33" t="n">
        <f aca="false">D2802*INDEX(Products!$D$2:$D$49,MATCH(C2802,Products!$A$2:$A$49,0))*(1+INDEX(Assumptions!$B$16:$B$20,MATCH(B2802,Assumptions!$A$16:$A$20,0)))</f>
        <v>5815.584</v>
      </c>
      <c r="J2802" s="33" t="n">
        <f aca="false">H2802-I2802</f>
        <v>1604.416</v>
      </c>
      <c r="K2802" s="33" t="n">
        <f aca="false">IF(OR(E2802=0,E2802&gt;=7),0,D2802/(7-E2802)*E2802*INDEX(Products!$E$2:$E$49,MATCH(C2802,Products!$A$2:$A$49,0)))</f>
        <v>0</v>
      </c>
    </row>
    <row r="2803" customFormat="false" ht="15" hidden="false" customHeight="false" outlineLevel="0" collapsed="false">
      <c r="A2803" s="36" t="n">
        <v>46125</v>
      </c>
      <c r="B2803" s="24" t="s">
        <v>63</v>
      </c>
      <c r="C2803" s="24" t="s">
        <v>147</v>
      </c>
      <c r="D2803" s="33" t="n">
        <v>99</v>
      </c>
      <c r="E2803" s="24" t="n">
        <v>0</v>
      </c>
      <c r="F2803" s="37" t="n">
        <f aca="false">DATE(YEAR(A2803),MONTH(A2803),1)</f>
        <v>46113</v>
      </c>
      <c r="G2803" s="24" t="str">
        <f aca="false">INDEX(Products!$C$2:$C$49,MATCH(C2803,Products!$A$2:$A$49,0))</f>
        <v>Beverages</v>
      </c>
      <c r="H2803" s="33" t="n">
        <f aca="false">D2803*INDEX(Products!$E$2:$E$49,MATCH(C2803,Products!$A$2:$A$49,0))</f>
        <v>6930</v>
      </c>
      <c r="I2803" s="33" t="n">
        <f aca="false">D2803*INDEX(Products!$D$2:$D$49,MATCH(C2803,Products!$A$2:$A$49,0))*(1+INDEX(Assumptions!$B$16:$B$20,MATCH(B2803,Assumptions!$A$16:$A$20,0)))</f>
        <v>5431.536</v>
      </c>
      <c r="J2803" s="33" t="n">
        <f aca="false">H2803-I2803</f>
        <v>1498.464</v>
      </c>
      <c r="K2803" s="33" t="n">
        <f aca="false">IF(OR(E2803=0,E2803&gt;=7),0,D2803/(7-E2803)*E2803*INDEX(Products!$E$2:$E$49,MATCH(C2803,Products!$A$2:$A$49,0)))</f>
        <v>0</v>
      </c>
    </row>
    <row r="2804" customFormat="false" ht="15" hidden="false" customHeight="false" outlineLevel="0" collapsed="false">
      <c r="A2804" s="36" t="n">
        <v>46132</v>
      </c>
      <c r="B2804" s="24" t="s">
        <v>63</v>
      </c>
      <c r="C2804" s="24" t="s">
        <v>147</v>
      </c>
      <c r="D2804" s="33" t="n">
        <v>117</v>
      </c>
      <c r="E2804" s="24" t="n">
        <v>0</v>
      </c>
      <c r="F2804" s="37" t="n">
        <f aca="false">DATE(YEAR(A2804),MONTH(A2804),1)</f>
        <v>46113</v>
      </c>
      <c r="G2804" s="24" t="str">
        <f aca="false">INDEX(Products!$C$2:$C$49,MATCH(C2804,Products!$A$2:$A$49,0))</f>
        <v>Beverages</v>
      </c>
      <c r="H2804" s="33" t="n">
        <f aca="false">D2804*INDEX(Products!$E$2:$E$49,MATCH(C2804,Products!$A$2:$A$49,0))</f>
        <v>8190</v>
      </c>
      <c r="I2804" s="33" t="n">
        <f aca="false">D2804*INDEX(Products!$D$2:$D$49,MATCH(C2804,Products!$A$2:$A$49,0))*(1+INDEX(Assumptions!$B$16:$B$20,MATCH(B2804,Assumptions!$A$16:$A$20,0)))</f>
        <v>6419.088</v>
      </c>
      <c r="J2804" s="33" t="n">
        <f aca="false">H2804-I2804</f>
        <v>1770.912</v>
      </c>
      <c r="K2804" s="33" t="n">
        <f aca="false">IF(OR(E2804=0,E2804&gt;=7),0,D2804/(7-E2804)*E2804*INDEX(Products!$E$2:$E$49,MATCH(C2804,Products!$A$2:$A$49,0)))</f>
        <v>0</v>
      </c>
    </row>
    <row r="2805" customFormat="false" ht="15" hidden="false" customHeight="false" outlineLevel="0" collapsed="false">
      <c r="A2805" s="36" t="n">
        <v>46139</v>
      </c>
      <c r="B2805" s="24" t="s">
        <v>63</v>
      </c>
      <c r="C2805" s="24" t="s">
        <v>147</v>
      </c>
      <c r="D2805" s="33" t="n">
        <v>115</v>
      </c>
      <c r="E2805" s="24" t="n">
        <v>0</v>
      </c>
      <c r="F2805" s="37" t="n">
        <f aca="false">DATE(YEAR(A2805),MONTH(A2805),1)</f>
        <v>46113</v>
      </c>
      <c r="G2805" s="24" t="str">
        <f aca="false">INDEX(Products!$C$2:$C$49,MATCH(C2805,Products!$A$2:$A$49,0))</f>
        <v>Beverages</v>
      </c>
      <c r="H2805" s="33" t="n">
        <f aca="false">D2805*INDEX(Products!$E$2:$E$49,MATCH(C2805,Products!$A$2:$A$49,0))</f>
        <v>8050</v>
      </c>
      <c r="I2805" s="33" t="n">
        <f aca="false">D2805*INDEX(Products!$D$2:$D$49,MATCH(C2805,Products!$A$2:$A$49,0))*(1+INDEX(Assumptions!$B$16:$B$20,MATCH(B2805,Assumptions!$A$16:$A$20,0)))</f>
        <v>6309.36</v>
      </c>
      <c r="J2805" s="33" t="n">
        <f aca="false">H2805-I2805</f>
        <v>1740.64</v>
      </c>
      <c r="K2805" s="33" t="n">
        <f aca="false">IF(OR(E2805=0,E2805&gt;=7),0,D2805/(7-E2805)*E2805*INDEX(Products!$E$2:$E$49,MATCH(C2805,Products!$A$2:$A$49,0)))</f>
        <v>0</v>
      </c>
    </row>
    <row r="2806" customFormat="false" ht="15" hidden="false" customHeight="false" outlineLevel="0" collapsed="false">
      <c r="A2806" s="36" t="n">
        <v>46146</v>
      </c>
      <c r="B2806" s="24" t="s">
        <v>63</v>
      </c>
      <c r="C2806" s="24" t="s">
        <v>147</v>
      </c>
      <c r="D2806" s="33" t="n">
        <v>86</v>
      </c>
      <c r="E2806" s="24" t="n">
        <v>0</v>
      </c>
      <c r="F2806" s="37" t="n">
        <f aca="false">DATE(YEAR(A2806),MONTH(A2806),1)</f>
        <v>46143</v>
      </c>
      <c r="G2806" s="24" t="str">
        <f aca="false">INDEX(Products!$C$2:$C$49,MATCH(C2806,Products!$A$2:$A$49,0))</f>
        <v>Beverages</v>
      </c>
      <c r="H2806" s="33" t="n">
        <f aca="false">D2806*INDEX(Products!$E$2:$E$49,MATCH(C2806,Products!$A$2:$A$49,0))</f>
        <v>6020</v>
      </c>
      <c r="I2806" s="33" t="n">
        <f aca="false">D2806*INDEX(Products!$D$2:$D$49,MATCH(C2806,Products!$A$2:$A$49,0))*(1+INDEX(Assumptions!$B$16:$B$20,MATCH(B2806,Assumptions!$A$16:$A$20,0)))</f>
        <v>4718.304</v>
      </c>
      <c r="J2806" s="33" t="n">
        <f aca="false">H2806-I2806</f>
        <v>1301.696</v>
      </c>
      <c r="K2806" s="33" t="n">
        <f aca="false">IF(OR(E2806=0,E2806&gt;=7),0,D2806/(7-E2806)*E2806*INDEX(Products!$E$2:$E$49,MATCH(C2806,Products!$A$2:$A$49,0)))</f>
        <v>0</v>
      </c>
    </row>
    <row r="2807" customFormat="false" ht="15" hidden="false" customHeight="false" outlineLevel="0" collapsed="false">
      <c r="A2807" s="36" t="n">
        <v>46153</v>
      </c>
      <c r="B2807" s="24" t="s">
        <v>63</v>
      </c>
      <c r="C2807" s="24" t="s">
        <v>147</v>
      </c>
      <c r="D2807" s="33" t="n">
        <v>87</v>
      </c>
      <c r="E2807" s="24" t="n">
        <v>0</v>
      </c>
      <c r="F2807" s="37" t="n">
        <f aca="false">DATE(YEAR(A2807),MONTH(A2807),1)</f>
        <v>46143</v>
      </c>
      <c r="G2807" s="24" t="str">
        <f aca="false">INDEX(Products!$C$2:$C$49,MATCH(C2807,Products!$A$2:$A$49,0))</f>
        <v>Beverages</v>
      </c>
      <c r="H2807" s="33" t="n">
        <f aca="false">D2807*INDEX(Products!$E$2:$E$49,MATCH(C2807,Products!$A$2:$A$49,0))</f>
        <v>6090</v>
      </c>
      <c r="I2807" s="33" t="n">
        <f aca="false">D2807*INDEX(Products!$D$2:$D$49,MATCH(C2807,Products!$A$2:$A$49,0))*(1+INDEX(Assumptions!$B$16:$B$20,MATCH(B2807,Assumptions!$A$16:$A$20,0)))</f>
        <v>4773.168</v>
      </c>
      <c r="J2807" s="33" t="n">
        <f aca="false">H2807-I2807</f>
        <v>1316.832</v>
      </c>
      <c r="K2807" s="33" t="n">
        <f aca="false">IF(OR(E2807=0,E2807&gt;=7),0,D2807/(7-E2807)*E2807*INDEX(Products!$E$2:$E$49,MATCH(C2807,Products!$A$2:$A$49,0)))</f>
        <v>0</v>
      </c>
    </row>
    <row r="2808" customFormat="false" ht="15" hidden="false" customHeight="false" outlineLevel="0" collapsed="false">
      <c r="A2808" s="36" t="n">
        <v>46160</v>
      </c>
      <c r="B2808" s="24" t="s">
        <v>63</v>
      </c>
      <c r="C2808" s="24" t="s">
        <v>147</v>
      </c>
      <c r="D2808" s="33" t="n">
        <v>82</v>
      </c>
      <c r="E2808" s="24" t="n">
        <v>0</v>
      </c>
      <c r="F2808" s="37" t="n">
        <f aca="false">DATE(YEAR(A2808),MONTH(A2808),1)</f>
        <v>46143</v>
      </c>
      <c r="G2808" s="24" t="str">
        <f aca="false">INDEX(Products!$C$2:$C$49,MATCH(C2808,Products!$A$2:$A$49,0))</f>
        <v>Beverages</v>
      </c>
      <c r="H2808" s="33" t="n">
        <f aca="false">D2808*INDEX(Products!$E$2:$E$49,MATCH(C2808,Products!$A$2:$A$49,0))</f>
        <v>5740</v>
      </c>
      <c r="I2808" s="33" t="n">
        <f aca="false">D2808*INDEX(Products!$D$2:$D$49,MATCH(C2808,Products!$A$2:$A$49,0))*(1+INDEX(Assumptions!$B$16:$B$20,MATCH(B2808,Assumptions!$A$16:$A$20,0)))</f>
        <v>4498.848</v>
      </c>
      <c r="J2808" s="33" t="n">
        <f aca="false">H2808-I2808</f>
        <v>1241.152</v>
      </c>
      <c r="K2808" s="33" t="n">
        <f aca="false">IF(OR(E2808=0,E2808&gt;=7),0,D2808/(7-E2808)*E2808*INDEX(Products!$E$2:$E$49,MATCH(C2808,Products!$A$2:$A$49,0)))</f>
        <v>0</v>
      </c>
    </row>
    <row r="2809" customFormat="false" ht="15" hidden="false" customHeight="false" outlineLevel="0" collapsed="false">
      <c r="A2809" s="36" t="n">
        <v>46167</v>
      </c>
      <c r="B2809" s="24" t="s">
        <v>63</v>
      </c>
      <c r="C2809" s="24" t="s">
        <v>147</v>
      </c>
      <c r="D2809" s="33" t="n">
        <v>111</v>
      </c>
      <c r="E2809" s="24" t="n">
        <v>1</v>
      </c>
      <c r="F2809" s="37" t="n">
        <f aca="false">DATE(YEAR(A2809),MONTH(A2809),1)</f>
        <v>46143</v>
      </c>
      <c r="G2809" s="24" t="str">
        <f aca="false">INDEX(Products!$C$2:$C$49,MATCH(C2809,Products!$A$2:$A$49,0))</f>
        <v>Beverages</v>
      </c>
      <c r="H2809" s="33" t="n">
        <f aca="false">D2809*INDEX(Products!$E$2:$E$49,MATCH(C2809,Products!$A$2:$A$49,0))</f>
        <v>7770</v>
      </c>
      <c r="I2809" s="33" t="n">
        <f aca="false">D2809*INDEX(Products!$D$2:$D$49,MATCH(C2809,Products!$A$2:$A$49,0))*(1+INDEX(Assumptions!$B$16:$B$20,MATCH(B2809,Assumptions!$A$16:$A$20,0)))</f>
        <v>6089.904</v>
      </c>
      <c r="J2809" s="33" t="n">
        <f aca="false">H2809-I2809</f>
        <v>1680.096</v>
      </c>
      <c r="K2809" s="33" t="n">
        <f aca="false">IF(OR(E2809=0,E2809&gt;=7),0,D2809/(7-E2809)*E2809*INDEX(Products!$E$2:$E$49,MATCH(C2809,Products!$A$2:$A$49,0)))</f>
        <v>1295</v>
      </c>
    </row>
    <row r="2810" customFormat="false" ht="15" hidden="false" customHeight="false" outlineLevel="0" collapsed="false">
      <c r="A2810" s="36" t="n">
        <v>46174</v>
      </c>
      <c r="B2810" s="24" t="s">
        <v>63</v>
      </c>
      <c r="C2810" s="24" t="s">
        <v>147</v>
      </c>
      <c r="D2810" s="33" t="n">
        <v>117</v>
      </c>
      <c r="E2810" s="24" t="n">
        <v>0</v>
      </c>
      <c r="F2810" s="37" t="n">
        <f aca="false">DATE(YEAR(A2810),MONTH(A2810),1)</f>
        <v>46174</v>
      </c>
      <c r="G2810" s="24" t="str">
        <f aca="false">INDEX(Products!$C$2:$C$49,MATCH(C2810,Products!$A$2:$A$49,0))</f>
        <v>Beverages</v>
      </c>
      <c r="H2810" s="33" t="n">
        <f aca="false">D2810*INDEX(Products!$E$2:$E$49,MATCH(C2810,Products!$A$2:$A$49,0))</f>
        <v>8190</v>
      </c>
      <c r="I2810" s="33" t="n">
        <f aca="false">D2810*INDEX(Products!$D$2:$D$49,MATCH(C2810,Products!$A$2:$A$49,0))*(1+INDEX(Assumptions!$B$16:$B$20,MATCH(B2810,Assumptions!$A$16:$A$20,0)))</f>
        <v>6419.088</v>
      </c>
      <c r="J2810" s="33" t="n">
        <f aca="false">H2810-I2810</f>
        <v>1770.912</v>
      </c>
      <c r="K2810" s="33" t="n">
        <f aca="false">IF(OR(E2810=0,E2810&gt;=7),0,D2810/(7-E2810)*E2810*INDEX(Products!$E$2:$E$49,MATCH(C2810,Products!$A$2:$A$49,0)))</f>
        <v>0</v>
      </c>
    </row>
    <row r="2811" customFormat="false" ht="15" hidden="false" customHeight="false" outlineLevel="0" collapsed="false">
      <c r="A2811" s="36" t="n">
        <v>46181</v>
      </c>
      <c r="B2811" s="24" t="s">
        <v>63</v>
      </c>
      <c r="C2811" s="24" t="s">
        <v>147</v>
      </c>
      <c r="D2811" s="33" t="n">
        <v>86</v>
      </c>
      <c r="E2811" s="24" t="n">
        <v>0</v>
      </c>
      <c r="F2811" s="37" t="n">
        <f aca="false">DATE(YEAR(A2811),MONTH(A2811),1)</f>
        <v>46174</v>
      </c>
      <c r="G2811" s="24" t="str">
        <f aca="false">INDEX(Products!$C$2:$C$49,MATCH(C2811,Products!$A$2:$A$49,0))</f>
        <v>Beverages</v>
      </c>
      <c r="H2811" s="33" t="n">
        <f aca="false">D2811*INDEX(Products!$E$2:$E$49,MATCH(C2811,Products!$A$2:$A$49,0))</f>
        <v>6020</v>
      </c>
      <c r="I2811" s="33" t="n">
        <f aca="false">D2811*INDEX(Products!$D$2:$D$49,MATCH(C2811,Products!$A$2:$A$49,0))*(1+INDEX(Assumptions!$B$16:$B$20,MATCH(B2811,Assumptions!$A$16:$A$20,0)))</f>
        <v>4718.304</v>
      </c>
      <c r="J2811" s="33" t="n">
        <f aca="false">H2811-I2811</f>
        <v>1301.696</v>
      </c>
      <c r="K2811" s="33" t="n">
        <f aca="false">IF(OR(E2811=0,E2811&gt;=7),0,D2811/(7-E2811)*E2811*INDEX(Products!$E$2:$E$49,MATCH(C2811,Products!$A$2:$A$49,0)))</f>
        <v>0</v>
      </c>
    </row>
    <row r="2812" customFormat="false" ht="15" hidden="false" customHeight="false" outlineLevel="0" collapsed="false">
      <c r="A2812" s="36" t="n">
        <v>46188</v>
      </c>
      <c r="B2812" s="24" t="s">
        <v>63</v>
      </c>
      <c r="C2812" s="24" t="s">
        <v>147</v>
      </c>
      <c r="D2812" s="33" t="n">
        <v>108</v>
      </c>
      <c r="E2812" s="24" t="n">
        <v>0</v>
      </c>
      <c r="F2812" s="37" t="n">
        <f aca="false">DATE(YEAR(A2812),MONTH(A2812),1)</f>
        <v>46174</v>
      </c>
      <c r="G2812" s="24" t="str">
        <f aca="false">INDEX(Products!$C$2:$C$49,MATCH(C2812,Products!$A$2:$A$49,0))</f>
        <v>Beverages</v>
      </c>
      <c r="H2812" s="33" t="n">
        <f aca="false">D2812*INDEX(Products!$E$2:$E$49,MATCH(C2812,Products!$A$2:$A$49,0))</f>
        <v>7560</v>
      </c>
      <c r="I2812" s="33" t="n">
        <f aca="false">D2812*INDEX(Products!$D$2:$D$49,MATCH(C2812,Products!$A$2:$A$49,0))*(1+INDEX(Assumptions!$B$16:$B$20,MATCH(B2812,Assumptions!$A$16:$A$20,0)))</f>
        <v>5925.312</v>
      </c>
      <c r="J2812" s="33" t="n">
        <f aca="false">H2812-I2812</f>
        <v>1634.688</v>
      </c>
      <c r="K2812" s="33" t="n">
        <f aca="false">IF(OR(E2812=0,E2812&gt;=7),0,D2812/(7-E2812)*E2812*INDEX(Products!$E$2:$E$49,MATCH(C2812,Products!$A$2:$A$49,0)))</f>
        <v>0</v>
      </c>
    </row>
    <row r="2813" customFormat="false" ht="15" hidden="false" customHeight="false" outlineLevel="0" collapsed="false">
      <c r="A2813" s="36" t="n">
        <v>46195</v>
      </c>
      <c r="B2813" s="24" t="s">
        <v>63</v>
      </c>
      <c r="C2813" s="24" t="s">
        <v>147</v>
      </c>
      <c r="D2813" s="33" t="n">
        <v>125</v>
      </c>
      <c r="E2813" s="24" t="n">
        <v>0</v>
      </c>
      <c r="F2813" s="37" t="n">
        <f aca="false">DATE(YEAR(A2813),MONTH(A2813),1)</f>
        <v>46174</v>
      </c>
      <c r="G2813" s="24" t="str">
        <f aca="false">INDEX(Products!$C$2:$C$49,MATCH(C2813,Products!$A$2:$A$49,0))</f>
        <v>Beverages</v>
      </c>
      <c r="H2813" s="33" t="n">
        <f aca="false">D2813*INDEX(Products!$E$2:$E$49,MATCH(C2813,Products!$A$2:$A$49,0))</f>
        <v>8750</v>
      </c>
      <c r="I2813" s="33" t="n">
        <f aca="false">D2813*INDEX(Products!$D$2:$D$49,MATCH(C2813,Products!$A$2:$A$49,0))*(1+INDEX(Assumptions!$B$16:$B$20,MATCH(B2813,Assumptions!$A$16:$A$20,0)))</f>
        <v>6858</v>
      </c>
      <c r="J2813" s="33" t="n">
        <f aca="false">H2813-I2813</f>
        <v>1892</v>
      </c>
      <c r="K2813" s="33" t="n">
        <f aca="false">IF(OR(E2813=0,E2813&gt;=7),0,D2813/(7-E2813)*E2813*INDEX(Products!$E$2:$E$49,MATCH(C2813,Products!$A$2:$A$49,0)))</f>
        <v>0</v>
      </c>
    </row>
    <row r="2814" customFormat="false" ht="15" hidden="false" customHeight="false" outlineLevel="0" collapsed="false">
      <c r="A2814" s="36" t="n">
        <v>46202</v>
      </c>
      <c r="B2814" s="24" t="s">
        <v>63</v>
      </c>
      <c r="C2814" s="24" t="s">
        <v>147</v>
      </c>
      <c r="D2814" s="33" t="n">
        <v>128</v>
      </c>
      <c r="E2814" s="24" t="n">
        <v>0</v>
      </c>
      <c r="F2814" s="37" t="n">
        <f aca="false">DATE(YEAR(A2814),MONTH(A2814),1)</f>
        <v>46174</v>
      </c>
      <c r="G2814" s="24" t="str">
        <f aca="false">INDEX(Products!$C$2:$C$49,MATCH(C2814,Products!$A$2:$A$49,0))</f>
        <v>Beverages</v>
      </c>
      <c r="H2814" s="33" t="n">
        <f aca="false">D2814*INDEX(Products!$E$2:$E$49,MATCH(C2814,Products!$A$2:$A$49,0))</f>
        <v>8960</v>
      </c>
      <c r="I2814" s="33" t="n">
        <f aca="false">D2814*INDEX(Products!$D$2:$D$49,MATCH(C2814,Products!$A$2:$A$49,0))*(1+INDEX(Assumptions!$B$16:$B$20,MATCH(B2814,Assumptions!$A$16:$A$20,0)))</f>
        <v>7022.592</v>
      </c>
      <c r="J2814" s="33" t="n">
        <f aca="false">H2814-I2814</f>
        <v>1937.408</v>
      </c>
      <c r="K2814" s="33" t="n">
        <f aca="false">IF(OR(E2814=0,E2814&gt;=7),0,D2814/(7-E2814)*E2814*INDEX(Products!$E$2:$E$49,MATCH(C2814,Products!$A$2:$A$49,0)))</f>
        <v>0</v>
      </c>
    </row>
    <row r="2815" customFormat="false" ht="15" hidden="false" customHeight="false" outlineLevel="0" collapsed="false">
      <c r="A2815" s="36" t="n">
        <v>46209</v>
      </c>
      <c r="B2815" s="24" t="s">
        <v>63</v>
      </c>
      <c r="C2815" s="24" t="s">
        <v>147</v>
      </c>
      <c r="D2815" s="33" t="n">
        <v>105</v>
      </c>
      <c r="E2815" s="24" t="n">
        <v>0</v>
      </c>
      <c r="F2815" s="37" t="n">
        <f aca="false">DATE(YEAR(A2815),MONTH(A2815),1)</f>
        <v>46204</v>
      </c>
      <c r="G2815" s="24" t="str">
        <f aca="false">INDEX(Products!$C$2:$C$49,MATCH(C2815,Products!$A$2:$A$49,0))</f>
        <v>Beverages</v>
      </c>
      <c r="H2815" s="33" t="n">
        <f aca="false">D2815*INDEX(Products!$E$2:$E$49,MATCH(C2815,Products!$A$2:$A$49,0))</f>
        <v>7350</v>
      </c>
      <c r="I2815" s="33" t="n">
        <f aca="false">D2815*INDEX(Products!$D$2:$D$49,MATCH(C2815,Products!$A$2:$A$49,0))*(1+INDEX(Assumptions!$B$16:$B$20,MATCH(B2815,Assumptions!$A$16:$A$20,0)))</f>
        <v>5760.72</v>
      </c>
      <c r="J2815" s="33" t="n">
        <f aca="false">H2815-I2815</f>
        <v>1589.28</v>
      </c>
      <c r="K2815" s="33" t="n">
        <f aca="false">IF(OR(E2815=0,E2815&gt;=7),0,D2815/(7-E2815)*E2815*INDEX(Products!$E$2:$E$49,MATCH(C2815,Products!$A$2:$A$49,0)))</f>
        <v>0</v>
      </c>
    </row>
    <row r="2816" customFormat="false" ht="15" hidden="false" customHeight="false" outlineLevel="0" collapsed="false">
      <c r="A2816" s="36" t="n">
        <v>46216</v>
      </c>
      <c r="B2816" s="24" t="s">
        <v>63</v>
      </c>
      <c r="C2816" s="24" t="s">
        <v>147</v>
      </c>
      <c r="D2816" s="33" t="n">
        <v>104</v>
      </c>
      <c r="E2816" s="24" t="n">
        <v>0</v>
      </c>
      <c r="F2816" s="37" t="n">
        <f aca="false">DATE(YEAR(A2816),MONTH(A2816),1)</f>
        <v>46204</v>
      </c>
      <c r="G2816" s="24" t="str">
        <f aca="false">INDEX(Products!$C$2:$C$49,MATCH(C2816,Products!$A$2:$A$49,0))</f>
        <v>Beverages</v>
      </c>
      <c r="H2816" s="33" t="n">
        <f aca="false">D2816*INDEX(Products!$E$2:$E$49,MATCH(C2816,Products!$A$2:$A$49,0))</f>
        <v>7280</v>
      </c>
      <c r="I2816" s="33" t="n">
        <f aca="false">D2816*INDEX(Products!$D$2:$D$49,MATCH(C2816,Products!$A$2:$A$49,0))*(1+INDEX(Assumptions!$B$16:$B$20,MATCH(B2816,Assumptions!$A$16:$A$20,0)))</f>
        <v>5705.856</v>
      </c>
      <c r="J2816" s="33" t="n">
        <f aca="false">H2816-I2816</f>
        <v>1574.144</v>
      </c>
      <c r="K2816" s="33" t="n">
        <f aca="false">IF(OR(E2816=0,E2816&gt;=7),0,D2816/(7-E2816)*E2816*INDEX(Products!$E$2:$E$49,MATCH(C2816,Products!$A$2:$A$49,0)))</f>
        <v>0</v>
      </c>
    </row>
    <row r="2817" customFormat="false" ht="15" hidden="false" customHeight="false" outlineLevel="0" collapsed="false">
      <c r="A2817" s="36" t="n">
        <v>46223</v>
      </c>
      <c r="B2817" s="24" t="s">
        <v>63</v>
      </c>
      <c r="C2817" s="24" t="s">
        <v>147</v>
      </c>
      <c r="D2817" s="33" t="n">
        <v>129</v>
      </c>
      <c r="E2817" s="24" t="n">
        <v>0</v>
      </c>
      <c r="F2817" s="37" t="n">
        <f aca="false">DATE(YEAR(A2817),MONTH(A2817),1)</f>
        <v>46204</v>
      </c>
      <c r="G2817" s="24" t="str">
        <f aca="false">INDEX(Products!$C$2:$C$49,MATCH(C2817,Products!$A$2:$A$49,0))</f>
        <v>Beverages</v>
      </c>
      <c r="H2817" s="33" t="n">
        <f aca="false">D2817*INDEX(Products!$E$2:$E$49,MATCH(C2817,Products!$A$2:$A$49,0))</f>
        <v>9030</v>
      </c>
      <c r="I2817" s="33" t="n">
        <f aca="false">D2817*INDEX(Products!$D$2:$D$49,MATCH(C2817,Products!$A$2:$A$49,0))*(1+INDEX(Assumptions!$B$16:$B$20,MATCH(B2817,Assumptions!$A$16:$A$20,0)))</f>
        <v>7077.456</v>
      </c>
      <c r="J2817" s="33" t="n">
        <f aca="false">H2817-I2817</f>
        <v>1952.544</v>
      </c>
      <c r="K2817" s="33" t="n">
        <f aca="false">IF(OR(E2817=0,E2817&gt;=7),0,D2817/(7-E2817)*E2817*INDEX(Products!$E$2:$E$49,MATCH(C2817,Products!$A$2:$A$49,0)))</f>
        <v>0</v>
      </c>
    </row>
    <row r="2818" customFormat="false" ht="15" hidden="false" customHeight="false" outlineLevel="0" collapsed="false">
      <c r="A2818" s="36" t="n">
        <v>46230</v>
      </c>
      <c r="B2818" s="24" t="s">
        <v>63</v>
      </c>
      <c r="C2818" s="24" t="s">
        <v>147</v>
      </c>
      <c r="D2818" s="33" t="n">
        <v>141</v>
      </c>
      <c r="E2818" s="24" t="n">
        <v>0</v>
      </c>
      <c r="F2818" s="37" t="n">
        <f aca="false">DATE(YEAR(A2818),MONTH(A2818),1)</f>
        <v>46204</v>
      </c>
      <c r="G2818" s="24" t="str">
        <f aca="false">INDEX(Products!$C$2:$C$49,MATCH(C2818,Products!$A$2:$A$49,0))</f>
        <v>Beverages</v>
      </c>
      <c r="H2818" s="33" t="n">
        <f aca="false">D2818*INDEX(Products!$E$2:$E$49,MATCH(C2818,Products!$A$2:$A$49,0))</f>
        <v>9870</v>
      </c>
      <c r="I2818" s="33" t="n">
        <f aca="false">D2818*INDEX(Products!$D$2:$D$49,MATCH(C2818,Products!$A$2:$A$49,0))*(1+INDEX(Assumptions!$B$16:$B$20,MATCH(B2818,Assumptions!$A$16:$A$20,0)))</f>
        <v>7735.824</v>
      </c>
      <c r="J2818" s="33" t="n">
        <f aca="false">H2818-I2818</f>
        <v>2134.176</v>
      </c>
      <c r="K2818" s="33" t="n">
        <f aca="false">IF(OR(E2818=0,E2818&gt;=7),0,D2818/(7-E2818)*E2818*INDEX(Products!$E$2:$E$49,MATCH(C2818,Products!$A$2:$A$49,0)))</f>
        <v>0</v>
      </c>
    </row>
    <row r="2819" customFormat="false" ht="15" hidden="false" customHeight="false" outlineLevel="0" collapsed="false">
      <c r="A2819" s="36" t="n">
        <v>46237</v>
      </c>
      <c r="B2819" s="24" t="s">
        <v>63</v>
      </c>
      <c r="C2819" s="24" t="s">
        <v>147</v>
      </c>
      <c r="D2819" s="33" t="n">
        <v>104</v>
      </c>
      <c r="E2819" s="24" t="n">
        <v>0</v>
      </c>
      <c r="F2819" s="37" t="n">
        <f aca="false">DATE(YEAR(A2819),MONTH(A2819),1)</f>
        <v>46235</v>
      </c>
      <c r="G2819" s="24" t="str">
        <f aca="false">INDEX(Products!$C$2:$C$49,MATCH(C2819,Products!$A$2:$A$49,0))</f>
        <v>Beverages</v>
      </c>
      <c r="H2819" s="33" t="n">
        <f aca="false">D2819*INDEX(Products!$E$2:$E$49,MATCH(C2819,Products!$A$2:$A$49,0))</f>
        <v>7280</v>
      </c>
      <c r="I2819" s="33" t="n">
        <f aca="false">D2819*INDEX(Products!$D$2:$D$49,MATCH(C2819,Products!$A$2:$A$49,0))*(1+INDEX(Assumptions!$B$16:$B$20,MATCH(B2819,Assumptions!$A$16:$A$20,0)))</f>
        <v>5705.856</v>
      </c>
      <c r="J2819" s="33" t="n">
        <f aca="false">H2819-I2819</f>
        <v>1574.144</v>
      </c>
      <c r="K2819" s="33" t="n">
        <f aca="false">IF(OR(E2819=0,E2819&gt;=7),0,D2819/(7-E2819)*E2819*INDEX(Products!$E$2:$E$49,MATCH(C2819,Products!$A$2:$A$49,0)))</f>
        <v>0</v>
      </c>
    </row>
    <row r="2820" customFormat="false" ht="15" hidden="false" customHeight="false" outlineLevel="0" collapsed="false">
      <c r="A2820" s="36" t="n">
        <v>46244</v>
      </c>
      <c r="B2820" s="24" t="s">
        <v>63</v>
      </c>
      <c r="C2820" s="24" t="s">
        <v>147</v>
      </c>
      <c r="D2820" s="33" t="n">
        <v>96</v>
      </c>
      <c r="E2820" s="24" t="n">
        <v>0</v>
      </c>
      <c r="F2820" s="37" t="n">
        <f aca="false">DATE(YEAR(A2820),MONTH(A2820),1)</f>
        <v>46235</v>
      </c>
      <c r="G2820" s="24" t="str">
        <f aca="false">INDEX(Products!$C$2:$C$49,MATCH(C2820,Products!$A$2:$A$49,0))</f>
        <v>Beverages</v>
      </c>
      <c r="H2820" s="33" t="n">
        <f aca="false">D2820*INDEX(Products!$E$2:$E$49,MATCH(C2820,Products!$A$2:$A$49,0))</f>
        <v>6720</v>
      </c>
      <c r="I2820" s="33" t="n">
        <f aca="false">D2820*INDEX(Products!$D$2:$D$49,MATCH(C2820,Products!$A$2:$A$49,0))*(1+INDEX(Assumptions!$B$16:$B$20,MATCH(B2820,Assumptions!$A$16:$A$20,0)))</f>
        <v>5266.944</v>
      </c>
      <c r="J2820" s="33" t="n">
        <f aca="false">H2820-I2820</f>
        <v>1453.056</v>
      </c>
      <c r="K2820" s="33" t="n">
        <f aca="false">IF(OR(E2820=0,E2820&gt;=7),0,D2820/(7-E2820)*E2820*INDEX(Products!$E$2:$E$49,MATCH(C2820,Products!$A$2:$A$49,0)))</f>
        <v>0</v>
      </c>
    </row>
    <row r="2821" customFormat="false" ht="15" hidden="false" customHeight="false" outlineLevel="0" collapsed="false">
      <c r="A2821" s="36" t="n">
        <v>46251</v>
      </c>
      <c r="B2821" s="24" t="s">
        <v>63</v>
      </c>
      <c r="C2821" s="24" t="s">
        <v>147</v>
      </c>
      <c r="D2821" s="33" t="n">
        <v>109</v>
      </c>
      <c r="E2821" s="24" t="n">
        <v>0</v>
      </c>
      <c r="F2821" s="37" t="n">
        <f aca="false">DATE(YEAR(A2821),MONTH(A2821),1)</f>
        <v>46235</v>
      </c>
      <c r="G2821" s="24" t="str">
        <f aca="false">INDEX(Products!$C$2:$C$49,MATCH(C2821,Products!$A$2:$A$49,0))</f>
        <v>Beverages</v>
      </c>
      <c r="H2821" s="33" t="n">
        <f aca="false">D2821*INDEX(Products!$E$2:$E$49,MATCH(C2821,Products!$A$2:$A$49,0))</f>
        <v>7630</v>
      </c>
      <c r="I2821" s="33" t="n">
        <f aca="false">D2821*INDEX(Products!$D$2:$D$49,MATCH(C2821,Products!$A$2:$A$49,0))*(1+INDEX(Assumptions!$B$16:$B$20,MATCH(B2821,Assumptions!$A$16:$A$20,0)))</f>
        <v>5980.176</v>
      </c>
      <c r="J2821" s="33" t="n">
        <f aca="false">H2821-I2821</f>
        <v>1649.824</v>
      </c>
      <c r="K2821" s="33" t="n">
        <f aca="false">IF(OR(E2821=0,E2821&gt;=7),0,D2821/(7-E2821)*E2821*INDEX(Products!$E$2:$E$49,MATCH(C2821,Products!$A$2:$A$49,0)))</f>
        <v>0</v>
      </c>
    </row>
    <row r="2822" customFormat="false" ht="15" hidden="false" customHeight="false" outlineLevel="0" collapsed="false">
      <c r="A2822" s="36" t="n">
        <v>46258</v>
      </c>
      <c r="B2822" s="24" t="s">
        <v>63</v>
      </c>
      <c r="C2822" s="24" t="s">
        <v>147</v>
      </c>
      <c r="D2822" s="33" t="n">
        <v>121</v>
      </c>
      <c r="E2822" s="24" t="n">
        <v>0</v>
      </c>
      <c r="F2822" s="37" t="n">
        <f aca="false">DATE(YEAR(A2822),MONTH(A2822),1)</f>
        <v>46235</v>
      </c>
      <c r="G2822" s="24" t="str">
        <f aca="false">INDEX(Products!$C$2:$C$49,MATCH(C2822,Products!$A$2:$A$49,0))</f>
        <v>Beverages</v>
      </c>
      <c r="H2822" s="33" t="n">
        <f aca="false">D2822*INDEX(Products!$E$2:$E$49,MATCH(C2822,Products!$A$2:$A$49,0))</f>
        <v>8470</v>
      </c>
      <c r="I2822" s="33" t="n">
        <f aca="false">D2822*INDEX(Products!$D$2:$D$49,MATCH(C2822,Products!$A$2:$A$49,0))*(1+INDEX(Assumptions!$B$16:$B$20,MATCH(B2822,Assumptions!$A$16:$A$20,0)))</f>
        <v>6638.544</v>
      </c>
      <c r="J2822" s="33" t="n">
        <f aca="false">H2822-I2822</f>
        <v>1831.456</v>
      </c>
      <c r="K2822" s="33" t="n">
        <f aca="false">IF(OR(E2822=0,E2822&gt;=7),0,D2822/(7-E2822)*E2822*INDEX(Products!$E$2:$E$49,MATCH(C2822,Products!$A$2:$A$49,0)))</f>
        <v>0</v>
      </c>
    </row>
    <row r="2823" customFormat="false" ht="15" hidden="false" customHeight="false" outlineLevel="0" collapsed="false">
      <c r="A2823" s="36" t="n">
        <v>46265</v>
      </c>
      <c r="B2823" s="24" t="s">
        <v>63</v>
      </c>
      <c r="C2823" s="24" t="s">
        <v>147</v>
      </c>
      <c r="D2823" s="33" t="n">
        <v>129</v>
      </c>
      <c r="E2823" s="24" t="n">
        <v>0</v>
      </c>
      <c r="F2823" s="37" t="n">
        <f aca="false">DATE(YEAR(A2823),MONTH(A2823),1)</f>
        <v>46235</v>
      </c>
      <c r="G2823" s="24" t="str">
        <f aca="false">INDEX(Products!$C$2:$C$49,MATCH(C2823,Products!$A$2:$A$49,0))</f>
        <v>Beverages</v>
      </c>
      <c r="H2823" s="33" t="n">
        <f aca="false">D2823*INDEX(Products!$E$2:$E$49,MATCH(C2823,Products!$A$2:$A$49,0))</f>
        <v>9030</v>
      </c>
      <c r="I2823" s="33" t="n">
        <f aca="false">D2823*INDEX(Products!$D$2:$D$49,MATCH(C2823,Products!$A$2:$A$49,0))*(1+INDEX(Assumptions!$B$16:$B$20,MATCH(B2823,Assumptions!$A$16:$A$20,0)))</f>
        <v>7077.456</v>
      </c>
      <c r="J2823" s="33" t="n">
        <f aca="false">H2823-I2823</f>
        <v>1952.544</v>
      </c>
      <c r="K2823" s="33" t="n">
        <f aca="false">IF(OR(E2823=0,E2823&gt;=7),0,D2823/(7-E2823)*E2823*INDEX(Products!$E$2:$E$49,MATCH(C2823,Products!$A$2:$A$49,0)))</f>
        <v>0</v>
      </c>
    </row>
    <row r="2824" customFormat="false" ht="15" hidden="false" customHeight="false" outlineLevel="0" collapsed="false">
      <c r="A2824" s="36" t="n">
        <v>46272</v>
      </c>
      <c r="B2824" s="24" t="s">
        <v>63</v>
      </c>
      <c r="C2824" s="24" t="s">
        <v>147</v>
      </c>
      <c r="D2824" s="33" t="n">
        <v>123</v>
      </c>
      <c r="E2824" s="24" t="n">
        <v>0</v>
      </c>
      <c r="F2824" s="37" t="n">
        <f aca="false">DATE(YEAR(A2824),MONTH(A2824),1)</f>
        <v>46266</v>
      </c>
      <c r="G2824" s="24" t="str">
        <f aca="false">INDEX(Products!$C$2:$C$49,MATCH(C2824,Products!$A$2:$A$49,0))</f>
        <v>Beverages</v>
      </c>
      <c r="H2824" s="33" t="n">
        <f aca="false">D2824*INDEX(Products!$E$2:$E$49,MATCH(C2824,Products!$A$2:$A$49,0))</f>
        <v>8610</v>
      </c>
      <c r="I2824" s="33" t="n">
        <f aca="false">D2824*INDEX(Products!$D$2:$D$49,MATCH(C2824,Products!$A$2:$A$49,0))*(1+INDEX(Assumptions!$B$16:$B$20,MATCH(B2824,Assumptions!$A$16:$A$20,0)))</f>
        <v>6748.272</v>
      </c>
      <c r="J2824" s="33" t="n">
        <f aca="false">H2824-I2824</f>
        <v>1861.728</v>
      </c>
      <c r="K2824" s="33" t="n">
        <f aca="false">IF(OR(E2824=0,E2824&gt;=7),0,D2824/(7-E2824)*E2824*INDEX(Products!$E$2:$E$49,MATCH(C2824,Products!$A$2:$A$49,0)))</f>
        <v>0</v>
      </c>
    </row>
    <row r="2825" customFormat="false" ht="15" hidden="false" customHeight="false" outlineLevel="0" collapsed="false">
      <c r="A2825" s="36" t="n">
        <v>46279</v>
      </c>
      <c r="B2825" s="24" t="s">
        <v>63</v>
      </c>
      <c r="C2825" s="24" t="s">
        <v>147</v>
      </c>
      <c r="D2825" s="33" t="n">
        <v>133</v>
      </c>
      <c r="E2825" s="24" t="n">
        <v>0</v>
      </c>
      <c r="F2825" s="37" t="n">
        <f aca="false">DATE(YEAR(A2825),MONTH(A2825),1)</f>
        <v>46266</v>
      </c>
      <c r="G2825" s="24" t="str">
        <f aca="false">INDEX(Products!$C$2:$C$49,MATCH(C2825,Products!$A$2:$A$49,0))</f>
        <v>Beverages</v>
      </c>
      <c r="H2825" s="33" t="n">
        <f aca="false">D2825*INDEX(Products!$E$2:$E$49,MATCH(C2825,Products!$A$2:$A$49,0))</f>
        <v>9310</v>
      </c>
      <c r="I2825" s="33" t="n">
        <f aca="false">D2825*INDEX(Products!$D$2:$D$49,MATCH(C2825,Products!$A$2:$A$49,0))*(1+INDEX(Assumptions!$B$16:$B$20,MATCH(B2825,Assumptions!$A$16:$A$20,0)))</f>
        <v>7296.912</v>
      </c>
      <c r="J2825" s="33" t="n">
        <f aca="false">H2825-I2825</f>
        <v>2013.088</v>
      </c>
      <c r="K2825" s="33" t="n">
        <f aca="false">IF(OR(E2825=0,E2825&gt;=7),0,D2825/(7-E2825)*E2825*INDEX(Products!$E$2:$E$49,MATCH(C2825,Products!$A$2:$A$49,0)))</f>
        <v>0</v>
      </c>
    </row>
    <row r="2826" customFormat="false" ht="15" hidden="false" customHeight="false" outlineLevel="0" collapsed="false">
      <c r="A2826" s="36" t="n">
        <v>46286</v>
      </c>
      <c r="B2826" s="24" t="s">
        <v>63</v>
      </c>
      <c r="C2826" s="24" t="s">
        <v>147</v>
      </c>
      <c r="D2826" s="33" t="n">
        <v>132</v>
      </c>
      <c r="E2826" s="24" t="n">
        <v>0</v>
      </c>
      <c r="F2826" s="37" t="n">
        <f aca="false">DATE(YEAR(A2826),MONTH(A2826),1)</f>
        <v>46266</v>
      </c>
      <c r="G2826" s="24" t="str">
        <f aca="false">INDEX(Products!$C$2:$C$49,MATCH(C2826,Products!$A$2:$A$49,0))</f>
        <v>Beverages</v>
      </c>
      <c r="H2826" s="33" t="n">
        <f aca="false">D2826*INDEX(Products!$E$2:$E$49,MATCH(C2826,Products!$A$2:$A$49,0))</f>
        <v>9240</v>
      </c>
      <c r="I2826" s="33" t="n">
        <f aca="false">D2826*INDEX(Products!$D$2:$D$49,MATCH(C2826,Products!$A$2:$A$49,0))*(1+INDEX(Assumptions!$B$16:$B$20,MATCH(B2826,Assumptions!$A$16:$A$20,0)))</f>
        <v>7242.048</v>
      </c>
      <c r="J2826" s="33" t="n">
        <f aca="false">H2826-I2826</f>
        <v>1997.952</v>
      </c>
      <c r="K2826" s="33" t="n">
        <f aca="false">IF(OR(E2826=0,E2826&gt;=7),0,D2826/(7-E2826)*E2826*INDEX(Products!$E$2:$E$49,MATCH(C2826,Products!$A$2:$A$49,0)))</f>
        <v>0</v>
      </c>
    </row>
    <row r="2827" customFormat="false" ht="15" hidden="false" customHeight="false" outlineLevel="0" collapsed="false">
      <c r="A2827" s="36" t="n">
        <v>46118</v>
      </c>
      <c r="B2827" s="24" t="s">
        <v>63</v>
      </c>
      <c r="C2827" s="24" t="s">
        <v>149</v>
      </c>
      <c r="D2827" s="33" t="n">
        <v>259</v>
      </c>
      <c r="E2827" s="24" t="n">
        <v>0</v>
      </c>
      <c r="F2827" s="37" t="n">
        <f aca="false">DATE(YEAR(A2827),MONTH(A2827),1)</f>
        <v>46113</v>
      </c>
      <c r="G2827" s="24" t="str">
        <f aca="false">INDEX(Products!$C$2:$C$49,MATCH(C2827,Products!$A$2:$A$49,0))</f>
        <v>Beverages</v>
      </c>
      <c r="H2827" s="33" t="n">
        <f aca="false">D2827*INDEX(Products!$E$2:$E$49,MATCH(C2827,Products!$A$2:$A$49,0))</f>
        <v>49210</v>
      </c>
      <c r="I2827" s="33" t="n">
        <f aca="false">D2827*INDEX(Products!$D$2:$D$49,MATCH(C2827,Products!$A$2:$A$49,0))*(1+INDEX(Assumptions!$B$16:$B$20,MATCH(B2827,Assumptions!$A$16:$A$20,0)))</f>
        <v>39997.888</v>
      </c>
      <c r="J2827" s="33" t="n">
        <f aca="false">H2827-I2827</f>
        <v>9212.112</v>
      </c>
      <c r="K2827" s="33" t="n">
        <f aca="false">IF(OR(E2827=0,E2827&gt;=7),0,D2827/(7-E2827)*E2827*INDEX(Products!$E$2:$E$49,MATCH(C2827,Products!$A$2:$A$49,0)))</f>
        <v>0</v>
      </c>
    </row>
    <row r="2828" customFormat="false" ht="15" hidden="false" customHeight="false" outlineLevel="0" collapsed="false">
      <c r="A2828" s="36" t="n">
        <v>46125</v>
      </c>
      <c r="B2828" s="24" t="s">
        <v>63</v>
      </c>
      <c r="C2828" s="24" t="s">
        <v>149</v>
      </c>
      <c r="D2828" s="33" t="n">
        <v>140</v>
      </c>
      <c r="E2828" s="24" t="n">
        <v>0</v>
      </c>
      <c r="F2828" s="37" t="n">
        <f aca="false">DATE(YEAR(A2828),MONTH(A2828),1)</f>
        <v>46113</v>
      </c>
      <c r="G2828" s="24" t="str">
        <f aca="false">INDEX(Products!$C$2:$C$49,MATCH(C2828,Products!$A$2:$A$49,0))</f>
        <v>Beverages</v>
      </c>
      <c r="H2828" s="33" t="n">
        <f aca="false">D2828*INDEX(Products!$E$2:$E$49,MATCH(C2828,Products!$A$2:$A$49,0))</f>
        <v>26600</v>
      </c>
      <c r="I2828" s="33" t="n">
        <f aca="false">D2828*INDEX(Products!$D$2:$D$49,MATCH(C2828,Products!$A$2:$A$49,0))*(1+INDEX(Assumptions!$B$16:$B$20,MATCH(B2828,Assumptions!$A$16:$A$20,0)))</f>
        <v>21620.48</v>
      </c>
      <c r="J2828" s="33" t="n">
        <f aca="false">H2828-I2828</f>
        <v>4979.52</v>
      </c>
      <c r="K2828" s="33" t="n">
        <f aca="false">IF(OR(E2828=0,E2828&gt;=7),0,D2828/(7-E2828)*E2828*INDEX(Products!$E$2:$E$49,MATCH(C2828,Products!$A$2:$A$49,0)))</f>
        <v>0</v>
      </c>
    </row>
    <row r="2829" customFormat="false" ht="15" hidden="false" customHeight="false" outlineLevel="0" collapsed="false">
      <c r="A2829" s="36" t="n">
        <v>46132</v>
      </c>
      <c r="B2829" s="24" t="s">
        <v>63</v>
      </c>
      <c r="C2829" s="24" t="s">
        <v>149</v>
      </c>
      <c r="D2829" s="33" t="n">
        <v>274</v>
      </c>
      <c r="E2829" s="24" t="n">
        <v>0</v>
      </c>
      <c r="F2829" s="37" t="n">
        <f aca="false">DATE(YEAR(A2829),MONTH(A2829),1)</f>
        <v>46113</v>
      </c>
      <c r="G2829" s="24" t="str">
        <f aca="false">INDEX(Products!$C$2:$C$49,MATCH(C2829,Products!$A$2:$A$49,0))</f>
        <v>Beverages</v>
      </c>
      <c r="H2829" s="33" t="n">
        <f aca="false">D2829*INDEX(Products!$E$2:$E$49,MATCH(C2829,Products!$A$2:$A$49,0))</f>
        <v>52060</v>
      </c>
      <c r="I2829" s="33" t="n">
        <f aca="false">D2829*INDEX(Products!$D$2:$D$49,MATCH(C2829,Products!$A$2:$A$49,0))*(1+INDEX(Assumptions!$B$16:$B$20,MATCH(B2829,Assumptions!$A$16:$A$20,0)))</f>
        <v>42314.368</v>
      </c>
      <c r="J2829" s="33" t="n">
        <f aca="false">H2829-I2829</f>
        <v>9745.632</v>
      </c>
      <c r="K2829" s="33" t="n">
        <f aca="false">IF(OR(E2829=0,E2829&gt;=7),0,D2829/(7-E2829)*E2829*INDEX(Products!$E$2:$E$49,MATCH(C2829,Products!$A$2:$A$49,0)))</f>
        <v>0</v>
      </c>
    </row>
    <row r="2830" customFormat="false" ht="15" hidden="false" customHeight="false" outlineLevel="0" collapsed="false">
      <c r="A2830" s="36" t="n">
        <v>46139</v>
      </c>
      <c r="B2830" s="24" t="s">
        <v>63</v>
      </c>
      <c r="C2830" s="24" t="s">
        <v>149</v>
      </c>
      <c r="D2830" s="33" t="n">
        <v>145</v>
      </c>
      <c r="E2830" s="24" t="n">
        <v>0</v>
      </c>
      <c r="F2830" s="37" t="n">
        <f aca="false">DATE(YEAR(A2830),MONTH(A2830),1)</f>
        <v>46113</v>
      </c>
      <c r="G2830" s="24" t="str">
        <f aca="false">INDEX(Products!$C$2:$C$49,MATCH(C2830,Products!$A$2:$A$49,0))</f>
        <v>Beverages</v>
      </c>
      <c r="H2830" s="33" t="n">
        <f aca="false">D2830*INDEX(Products!$E$2:$E$49,MATCH(C2830,Products!$A$2:$A$49,0))</f>
        <v>27550</v>
      </c>
      <c r="I2830" s="33" t="n">
        <f aca="false">D2830*INDEX(Products!$D$2:$D$49,MATCH(C2830,Products!$A$2:$A$49,0))*(1+INDEX(Assumptions!$B$16:$B$20,MATCH(B2830,Assumptions!$A$16:$A$20,0)))</f>
        <v>22392.64</v>
      </c>
      <c r="J2830" s="33" t="n">
        <f aca="false">H2830-I2830</f>
        <v>5157.36</v>
      </c>
      <c r="K2830" s="33" t="n">
        <f aca="false">IF(OR(E2830=0,E2830&gt;=7),0,D2830/(7-E2830)*E2830*INDEX(Products!$E$2:$E$49,MATCH(C2830,Products!$A$2:$A$49,0)))</f>
        <v>0</v>
      </c>
    </row>
    <row r="2831" customFormat="false" ht="15" hidden="false" customHeight="false" outlineLevel="0" collapsed="false">
      <c r="A2831" s="36" t="n">
        <v>46146</v>
      </c>
      <c r="B2831" s="24" t="s">
        <v>63</v>
      </c>
      <c r="C2831" s="24" t="s">
        <v>149</v>
      </c>
      <c r="D2831" s="33" t="n">
        <v>140</v>
      </c>
      <c r="E2831" s="24" t="n">
        <v>0</v>
      </c>
      <c r="F2831" s="37" t="n">
        <f aca="false">DATE(YEAR(A2831),MONTH(A2831),1)</f>
        <v>46143</v>
      </c>
      <c r="G2831" s="24" t="str">
        <f aca="false">INDEX(Products!$C$2:$C$49,MATCH(C2831,Products!$A$2:$A$49,0))</f>
        <v>Beverages</v>
      </c>
      <c r="H2831" s="33" t="n">
        <f aca="false">D2831*INDEX(Products!$E$2:$E$49,MATCH(C2831,Products!$A$2:$A$49,0))</f>
        <v>26600</v>
      </c>
      <c r="I2831" s="33" t="n">
        <f aca="false">D2831*INDEX(Products!$D$2:$D$49,MATCH(C2831,Products!$A$2:$A$49,0))*(1+INDEX(Assumptions!$B$16:$B$20,MATCH(B2831,Assumptions!$A$16:$A$20,0)))</f>
        <v>21620.48</v>
      </c>
      <c r="J2831" s="33" t="n">
        <f aca="false">H2831-I2831</f>
        <v>4979.52</v>
      </c>
      <c r="K2831" s="33" t="n">
        <f aca="false">IF(OR(E2831=0,E2831&gt;=7),0,D2831/(7-E2831)*E2831*INDEX(Products!$E$2:$E$49,MATCH(C2831,Products!$A$2:$A$49,0)))</f>
        <v>0</v>
      </c>
    </row>
    <row r="2832" customFormat="false" ht="15" hidden="false" customHeight="false" outlineLevel="0" collapsed="false">
      <c r="A2832" s="36" t="n">
        <v>46153</v>
      </c>
      <c r="B2832" s="24" t="s">
        <v>63</v>
      </c>
      <c r="C2832" s="24" t="s">
        <v>149</v>
      </c>
      <c r="D2832" s="33" t="n">
        <v>143</v>
      </c>
      <c r="E2832" s="24" t="n">
        <v>0</v>
      </c>
      <c r="F2832" s="37" t="n">
        <f aca="false">DATE(YEAR(A2832),MONTH(A2832),1)</f>
        <v>46143</v>
      </c>
      <c r="G2832" s="24" t="str">
        <f aca="false">INDEX(Products!$C$2:$C$49,MATCH(C2832,Products!$A$2:$A$49,0))</f>
        <v>Beverages</v>
      </c>
      <c r="H2832" s="33" t="n">
        <f aca="false">D2832*INDEX(Products!$E$2:$E$49,MATCH(C2832,Products!$A$2:$A$49,0))</f>
        <v>27170</v>
      </c>
      <c r="I2832" s="33" t="n">
        <f aca="false">D2832*INDEX(Products!$D$2:$D$49,MATCH(C2832,Products!$A$2:$A$49,0))*(1+INDEX(Assumptions!$B$16:$B$20,MATCH(B2832,Assumptions!$A$16:$A$20,0)))</f>
        <v>22083.776</v>
      </c>
      <c r="J2832" s="33" t="n">
        <f aca="false">H2832-I2832</f>
        <v>5086.224</v>
      </c>
      <c r="K2832" s="33" t="n">
        <f aca="false">IF(OR(E2832=0,E2832&gt;=7),0,D2832/(7-E2832)*E2832*INDEX(Products!$E$2:$E$49,MATCH(C2832,Products!$A$2:$A$49,0)))</f>
        <v>0</v>
      </c>
    </row>
    <row r="2833" customFormat="false" ht="15" hidden="false" customHeight="false" outlineLevel="0" collapsed="false">
      <c r="A2833" s="36" t="n">
        <v>46160</v>
      </c>
      <c r="B2833" s="24" t="s">
        <v>63</v>
      </c>
      <c r="C2833" s="24" t="s">
        <v>149</v>
      </c>
      <c r="D2833" s="33" t="n">
        <v>154</v>
      </c>
      <c r="E2833" s="24" t="n">
        <v>0</v>
      </c>
      <c r="F2833" s="37" t="n">
        <f aca="false">DATE(YEAR(A2833),MONTH(A2833),1)</f>
        <v>46143</v>
      </c>
      <c r="G2833" s="24" t="str">
        <f aca="false">INDEX(Products!$C$2:$C$49,MATCH(C2833,Products!$A$2:$A$49,0))</f>
        <v>Beverages</v>
      </c>
      <c r="H2833" s="33" t="n">
        <f aca="false">D2833*INDEX(Products!$E$2:$E$49,MATCH(C2833,Products!$A$2:$A$49,0))</f>
        <v>29260</v>
      </c>
      <c r="I2833" s="33" t="n">
        <f aca="false">D2833*INDEX(Products!$D$2:$D$49,MATCH(C2833,Products!$A$2:$A$49,0))*(1+INDEX(Assumptions!$B$16:$B$20,MATCH(B2833,Assumptions!$A$16:$A$20,0)))</f>
        <v>23782.528</v>
      </c>
      <c r="J2833" s="33" t="n">
        <f aca="false">H2833-I2833</f>
        <v>5477.472</v>
      </c>
      <c r="K2833" s="33" t="n">
        <f aca="false">IF(OR(E2833=0,E2833&gt;=7),0,D2833/(7-E2833)*E2833*INDEX(Products!$E$2:$E$49,MATCH(C2833,Products!$A$2:$A$49,0)))</f>
        <v>0</v>
      </c>
    </row>
    <row r="2834" customFormat="false" ht="15" hidden="false" customHeight="false" outlineLevel="0" collapsed="false">
      <c r="A2834" s="36" t="n">
        <v>46167</v>
      </c>
      <c r="B2834" s="24" t="s">
        <v>63</v>
      </c>
      <c r="C2834" s="24" t="s">
        <v>149</v>
      </c>
      <c r="D2834" s="33" t="n">
        <v>227</v>
      </c>
      <c r="E2834" s="24" t="n">
        <v>0</v>
      </c>
      <c r="F2834" s="37" t="n">
        <f aca="false">DATE(YEAR(A2834),MONTH(A2834),1)</f>
        <v>46143</v>
      </c>
      <c r="G2834" s="24" t="str">
        <f aca="false">INDEX(Products!$C$2:$C$49,MATCH(C2834,Products!$A$2:$A$49,0))</f>
        <v>Beverages</v>
      </c>
      <c r="H2834" s="33" t="n">
        <f aca="false">D2834*INDEX(Products!$E$2:$E$49,MATCH(C2834,Products!$A$2:$A$49,0))</f>
        <v>43130</v>
      </c>
      <c r="I2834" s="33" t="n">
        <f aca="false">D2834*INDEX(Products!$D$2:$D$49,MATCH(C2834,Products!$A$2:$A$49,0))*(1+INDEX(Assumptions!$B$16:$B$20,MATCH(B2834,Assumptions!$A$16:$A$20,0)))</f>
        <v>35056.064</v>
      </c>
      <c r="J2834" s="33" t="n">
        <f aca="false">H2834-I2834</f>
        <v>8073.936</v>
      </c>
      <c r="K2834" s="33" t="n">
        <f aca="false">IF(OR(E2834=0,E2834&gt;=7),0,D2834/(7-E2834)*E2834*INDEX(Products!$E$2:$E$49,MATCH(C2834,Products!$A$2:$A$49,0)))</f>
        <v>0</v>
      </c>
    </row>
    <row r="2835" customFormat="false" ht="15" hidden="false" customHeight="false" outlineLevel="0" collapsed="false">
      <c r="A2835" s="36" t="n">
        <v>46174</v>
      </c>
      <c r="B2835" s="24" t="s">
        <v>63</v>
      </c>
      <c r="C2835" s="24" t="s">
        <v>149</v>
      </c>
      <c r="D2835" s="33" t="n">
        <v>140</v>
      </c>
      <c r="E2835" s="24" t="n">
        <v>0</v>
      </c>
      <c r="F2835" s="37" t="n">
        <f aca="false">DATE(YEAR(A2835),MONTH(A2835),1)</f>
        <v>46174</v>
      </c>
      <c r="G2835" s="24" t="str">
        <f aca="false">INDEX(Products!$C$2:$C$49,MATCH(C2835,Products!$A$2:$A$49,0))</f>
        <v>Beverages</v>
      </c>
      <c r="H2835" s="33" t="n">
        <f aca="false">D2835*INDEX(Products!$E$2:$E$49,MATCH(C2835,Products!$A$2:$A$49,0))</f>
        <v>26600</v>
      </c>
      <c r="I2835" s="33" t="n">
        <f aca="false">D2835*INDEX(Products!$D$2:$D$49,MATCH(C2835,Products!$A$2:$A$49,0))*(1+INDEX(Assumptions!$B$16:$B$20,MATCH(B2835,Assumptions!$A$16:$A$20,0)))</f>
        <v>21620.48</v>
      </c>
      <c r="J2835" s="33" t="n">
        <f aca="false">H2835-I2835</f>
        <v>4979.52</v>
      </c>
      <c r="K2835" s="33" t="n">
        <f aca="false">IF(OR(E2835=0,E2835&gt;=7),0,D2835/(7-E2835)*E2835*INDEX(Products!$E$2:$E$49,MATCH(C2835,Products!$A$2:$A$49,0)))</f>
        <v>0</v>
      </c>
    </row>
    <row r="2836" customFormat="false" ht="15" hidden="false" customHeight="false" outlineLevel="0" collapsed="false">
      <c r="A2836" s="36" t="n">
        <v>46181</v>
      </c>
      <c r="B2836" s="24" t="s">
        <v>63</v>
      </c>
      <c r="C2836" s="24" t="s">
        <v>149</v>
      </c>
      <c r="D2836" s="33" t="n">
        <v>102</v>
      </c>
      <c r="E2836" s="24" t="n">
        <v>0</v>
      </c>
      <c r="F2836" s="37" t="n">
        <f aca="false">DATE(YEAR(A2836),MONTH(A2836),1)</f>
        <v>46174</v>
      </c>
      <c r="G2836" s="24" t="str">
        <f aca="false">INDEX(Products!$C$2:$C$49,MATCH(C2836,Products!$A$2:$A$49,0))</f>
        <v>Beverages</v>
      </c>
      <c r="H2836" s="33" t="n">
        <f aca="false">D2836*INDEX(Products!$E$2:$E$49,MATCH(C2836,Products!$A$2:$A$49,0))</f>
        <v>19380</v>
      </c>
      <c r="I2836" s="33" t="n">
        <f aca="false">D2836*INDEX(Products!$D$2:$D$49,MATCH(C2836,Products!$A$2:$A$49,0))*(1+INDEX(Assumptions!$B$16:$B$20,MATCH(B2836,Assumptions!$A$16:$A$20,0)))</f>
        <v>15752.064</v>
      </c>
      <c r="J2836" s="33" t="n">
        <f aca="false">H2836-I2836</f>
        <v>3627.936</v>
      </c>
      <c r="K2836" s="33" t="n">
        <f aca="false">IF(OR(E2836=0,E2836&gt;=7),0,D2836/(7-E2836)*E2836*INDEX(Products!$E$2:$E$49,MATCH(C2836,Products!$A$2:$A$49,0)))</f>
        <v>0</v>
      </c>
    </row>
    <row r="2837" customFormat="false" ht="15" hidden="false" customHeight="false" outlineLevel="0" collapsed="false">
      <c r="A2837" s="36" t="n">
        <v>46188</v>
      </c>
      <c r="B2837" s="24" t="s">
        <v>63</v>
      </c>
      <c r="C2837" s="24" t="s">
        <v>149</v>
      </c>
      <c r="D2837" s="33" t="n">
        <v>119</v>
      </c>
      <c r="E2837" s="24" t="n">
        <v>0</v>
      </c>
      <c r="F2837" s="37" t="n">
        <f aca="false">DATE(YEAR(A2837),MONTH(A2837),1)</f>
        <v>46174</v>
      </c>
      <c r="G2837" s="24" t="str">
        <f aca="false">INDEX(Products!$C$2:$C$49,MATCH(C2837,Products!$A$2:$A$49,0))</f>
        <v>Beverages</v>
      </c>
      <c r="H2837" s="33" t="n">
        <f aca="false">D2837*INDEX(Products!$E$2:$E$49,MATCH(C2837,Products!$A$2:$A$49,0))</f>
        <v>22610</v>
      </c>
      <c r="I2837" s="33" t="n">
        <f aca="false">D2837*INDEX(Products!$D$2:$D$49,MATCH(C2837,Products!$A$2:$A$49,0))*(1+INDEX(Assumptions!$B$16:$B$20,MATCH(B2837,Assumptions!$A$16:$A$20,0)))</f>
        <v>18377.408</v>
      </c>
      <c r="J2837" s="33" t="n">
        <f aca="false">H2837-I2837</f>
        <v>4232.592</v>
      </c>
      <c r="K2837" s="33" t="n">
        <f aca="false">IF(OR(E2837=0,E2837&gt;=7),0,D2837/(7-E2837)*E2837*INDEX(Products!$E$2:$E$49,MATCH(C2837,Products!$A$2:$A$49,0)))</f>
        <v>0</v>
      </c>
    </row>
    <row r="2838" customFormat="false" ht="15" hidden="false" customHeight="false" outlineLevel="0" collapsed="false">
      <c r="A2838" s="36" t="n">
        <v>46195</v>
      </c>
      <c r="B2838" s="24" t="s">
        <v>63</v>
      </c>
      <c r="C2838" s="24" t="s">
        <v>149</v>
      </c>
      <c r="D2838" s="33" t="n">
        <v>125</v>
      </c>
      <c r="E2838" s="24" t="n">
        <v>0</v>
      </c>
      <c r="F2838" s="37" t="n">
        <f aca="false">DATE(YEAR(A2838),MONTH(A2838),1)</f>
        <v>46174</v>
      </c>
      <c r="G2838" s="24" t="str">
        <f aca="false">INDEX(Products!$C$2:$C$49,MATCH(C2838,Products!$A$2:$A$49,0))</f>
        <v>Beverages</v>
      </c>
      <c r="H2838" s="33" t="n">
        <f aca="false">D2838*INDEX(Products!$E$2:$E$49,MATCH(C2838,Products!$A$2:$A$49,0))</f>
        <v>23750</v>
      </c>
      <c r="I2838" s="33" t="n">
        <f aca="false">D2838*INDEX(Products!$D$2:$D$49,MATCH(C2838,Products!$A$2:$A$49,0))*(1+INDEX(Assumptions!$B$16:$B$20,MATCH(B2838,Assumptions!$A$16:$A$20,0)))</f>
        <v>19304</v>
      </c>
      <c r="J2838" s="33" t="n">
        <f aca="false">H2838-I2838</f>
        <v>4446</v>
      </c>
      <c r="K2838" s="33" t="n">
        <f aca="false">IF(OR(E2838=0,E2838&gt;=7),0,D2838/(7-E2838)*E2838*INDEX(Products!$E$2:$E$49,MATCH(C2838,Products!$A$2:$A$49,0)))</f>
        <v>0</v>
      </c>
    </row>
    <row r="2839" customFormat="false" ht="15" hidden="false" customHeight="false" outlineLevel="0" collapsed="false">
      <c r="A2839" s="36" t="n">
        <v>46202</v>
      </c>
      <c r="B2839" s="24" t="s">
        <v>63</v>
      </c>
      <c r="C2839" s="24" t="s">
        <v>149</v>
      </c>
      <c r="D2839" s="33" t="n">
        <v>126</v>
      </c>
      <c r="E2839" s="24" t="n">
        <v>0</v>
      </c>
      <c r="F2839" s="37" t="n">
        <f aca="false">DATE(YEAR(A2839),MONTH(A2839),1)</f>
        <v>46174</v>
      </c>
      <c r="G2839" s="24" t="str">
        <f aca="false">INDEX(Products!$C$2:$C$49,MATCH(C2839,Products!$A$2:$A$49,0))</f>
        <v>Beverages</v>
      </c>
      <c r="H2839" s="33" t="n">
        <f aca="false">D2839*INDEX(Products!$E$2:$E$49,MATCH(C2839,Products!$A$2:$A$49,0))</f>
        <v>23940</v>
      </c>
      <c r="I2839" s="33" t="n">
        <f aca="false">D2839*INDEX(Products!$D$2:$D$49,MATCH(C2839,Products!$A$2:$A$49,0))*(1+INDEX(Assumptions!$B$16:$B$20,MATCH(B2839,Assumptions!$A$16:$A$20,0)))</f>
        <v>19458.432</v>
      </c>
      <c r="J2839" s="33" t="n">
        <f aca="false">H2839-I2839</f>
        <v>4481.568</v>
      </c>
      <c r="K2839" s="33" t="n">
        <f aca="false">IF(OR(E2839=0,E2839&gt;=7),0,D2839/(7-E2839)*E2839*INDEX(Products!$E$2:$E$49,MATCH(C2839,Products!$A$2:$A$49,0)))</f>
        <v>0</v>
      </c>
    </row>
    <row r="2840" customFormat="false" ht="15" hidden="false" customHeight="false" outlineLevel="0" collapsed="false">
      <c r="A2840" s="36" t="n">
        <v>46209</v>
      </c>
      <c r="B2840" s="24" t="s">
        <v>63</v>
      </c>
      <c r="C2840" s="24" t="s">
        <v>149</v>
      </c>
      <c r="D2840" s="33" t="n">
        <v>101</v>
      </c>
      <c r="E2840" s="24" t="n">
        <v>0</v>
      </c>
      <c r="F2840" s="37" t="n">
        <f aca="false">DATE(YEAR(A2840),MONTH(A2840),1)</f>
        <v>46204</v>
      </c>
      <c r="G2840" s="24" t="str">
        <f aca="false">INDEX(Products!$C$2:$C$49,MATCH(C2840,Products!$A$2:$A$49,0))</f>
        <v>Beverages</v>
      </c>
      <c r="H2840" s="33" t="n">
        <f aca="false">D2840*INDEX(Products!$E$2:$E$49,MATCH(C2840,Products!$A$2:$A$49,0))</f>
        <v>19190</v>
      </c>
      <c r="I2840" s="33" t="n">
        <f aca="false">D2840*INDEX(Products!$D$2:$D$49,MATCH(C2840,Products!$A$2:$A$49,0))*(1+INDEX(Assumptions!$B$16:$B$20,MATCH(B2840,Assumptions!$A$16:$A$20,0)))</f>
        <v>15597.632</v>
      </c>
      <c r="J2840" s="33" t="n">
        <f aca="false">H2840-I2840</f>
        <v>3592.368</v>
      </c>
      <c r="K2840" s="33" t="n">
        <f aca="false">IF(OR(E2840=0,E2840&gt;=7),0,D2840/(7-E2840)*E2840*INDEX(Products!$E$2:$E$49,MATCH(C2840,Products!$A$2:$A$49,0)))</f>
        <v>0</v>
      </c>
    </row>
    <row r="2841" customFormat="false" ht="15" hidden="false" customHeight="false" outlineLevel="0" collapsed="false">
      <c r="A2841" s="36" t="n">
        <v>46216</v>
      </c>
      <c r="B2841" s="24" t="s">
        <v>63</v>
      </c>
      <c r="C2841" s="24" t="s">
        <v>149</v>
      </c>
      <c r="D2841" s="33" t="n">
        <v>117</v>
      </c>
      <c r="E2841" s="24" t="n">
        <v>0</v>
      </c>
      <c r="F2841" s="37" t="n">
        <f aca="false">DATE(YEAR(A2841),MONTH(A2841),1)</f>
        <v>46204</v>
      </c>
      <c r="G2841" s="24" t="str">
        <f aca="false">INDEX(Products!$C$2:$C$49,MATCH(C2841,Products!$A$2:$A$49,0))</f>
        <v>Beverages</v>
      </c>
      <c r="H2841" s="33" t="n">
        <f aca="false">D2841*INDEX(Products!$E$2:$E$49,MATCH(C2841,Products!$A$2:$A$49,0))</f>
        <v>22230</v>
      </c>
      <c r="I2841" s="33" t="n">
        <f aca="false">D2841*INDEX(Products!$D$2:$D$49,MATCH(C2841,Products!$A$2:$A$49,0))*(1+INDEX(Assumptions!$B$16:$B$20,MATCH(B2841,Assumptions!$A$16:$A$20,0)))</f>
        <v>18068.544</v>
      </c>
      <c r="J2841" s="33" t="n">
        <f aca="false">H2841-I2841</f>
        <v>4161.456</v>
      </c>
      <c r="K2841" s="33" t="n">
        <f aca="false">IF(OR(E2841=0,E2841&gt;=7),0,D2841/(7-E2841)*E2841*INDEX(Products!$E$2:$E$49,MATCH(C2841,Products!$A$2:$A$49,0)))</f>
        <v>0</v>
      </c>
    </row>
    <row r="2842" customFormat="false" ht="15" hidden="false" customHeight="false" outlineLevel="0" collapsed="false">
      <c r="A2842" s="36" t="n">
        <v>46223</v>
      </c>
      <c r="B2842" s="24" t="s">
        <v>63</v>
      </c>
      <c r="C2842" s="24" t="s">
        <v>149</v>
      </c>
      <c r="D2842" s="33" t="n">
        <v>122</v>
      </c>
      <c r="E2842" s="24" t="n">
        <v>0</v>
      </c>
      <c r="F2842" s="37" t="n">
        <f aca="false">DATE(YEAR(A2842),MONTH(A2842),1)</f>
        <v>46204</v>
      </c>
      <c r="G2842" s="24" t="str">
        <f aca="false">INDEX(Products!$C$2:$C$49,MATCH(C2842,Products!$A$2:$A$49,0))</f>
        <v>Beverages</v>
      </c>
      <c r="H2842" s="33" t="n">
        <f aca="false">D2842*INDEX(Products!$E$2:$E$49,MATCH(C2842,Products!$A$2:$A$49,0))</f>
        <v>23180</v>
      </c>
      <c r="I2842" s="33" t="n">
        <f aca="false">D2842*INDEX(Products!$D$2:$D$49,MATCH(C2842,Products!$A$2:$A$49,0))*(1+INDEX(Assumptions!$B$16:$B$20,MATCH(B2842,Assumptions!$A$16:$A$20,0)))</f>
        <v>18840.704</v>
      </c>
      <c r="J2842" s="33" t="n">
        <f aca="false">H2842-I2842</f>
        <v>4339.296</v>
      </c>
      <c r="K2842" s="33" t="n">
        <f aca="false">IF(OR(E2842=0,E2842&gt;=7),0,D2842/(7-E2842)*E2842*INDEX(Products!$E$2:$E$49,MATCH(C2842,Products!$A$2:$A$49,0)))</f>
        <v>0</v>
      </c>
    </row>
    <row r="2843" customFormat="false" ht="15" hidden="false" customHeight="false" outlineLevel="0" collapsed="false">
      <c r="A2843" s="36" t="n">
        <v>46230</v>
      </c>
      <c r="B2843" s="24" t="s">
        <v>63</v>
      </c>
      <c r="C2843" s="24" t="s">
        <v>149</v>
      </c>
      <c r="D2843" s="33" t="n">
        <v>98</v>
      </c>
      <c r="E2843" s="24" t="n">
        <v>0</v>
      </c>
      <c r="F2843" s="37" t="n">
        <f aca="false">DATE(YEAR(A2843),MONTH(A2843),1)</f>
        <v>46204</v>
      </c>
      <c r="G2843" s="24" t="str">
        <f aca="false">INDEX(Products!$C$2:$C$49,MATCH(C2843,Products!$A$2:$A$49,0))</f>
        <v>Beverages</v>
      </c>
      <c r="H2843" s="33" t="n">
        <f aca="false">D2843*INDEX(Products!$E$2:$E$49,MATCH(C2843,Products!$A$2:$A$49,0))</f>
        <v>18620</v>
      </c>
      <c r="I2843" s="33" t="n">
        <f aca="false">D2843*INDEX(Products!$D$2:$D$49,MATCH(C2843,Products!$A$2:$A$49,0))*(1+INDEX(Assumptions!$B$16:$B$20,MATCH(B2843,Assumptions!$A$16:$A$20,0)))</f>
        <v>15134.336</v>
      </c>
      <c r="J2843" s="33" t="n">
        <f aca="false">H2843-I2843</f>
        <v>3485.664</v>
      </c>
      <c r="K2843" s="33" t="n">
        <f aca="false">IF(OR(E2843=0,E2843&gt;=7),0,D2843/(7-E2843)*E2843*INDEX(Products!$E$2:$E$49,MATCH(C2843,Products!$A$2:$A$49,0)))</f>
        <v>0</v>
      </c>
    </row>
    <row r="2844" customFormat="false" ht="15" hidden="false" customHeight="false" outlineLevel="0" collapsed="false">
      <c r="A2844" s="36" t="n">
        <v>46237</v>
      </c>
      <c r="B2844" s="24" t="s">
        <v>63</v>
      </c>
      <c r="C2844" s="24" t="s">
        <v>149</v>
      </c>
      <c r="D2844" s="33" t="n">
        <v>111</v>
      </c>
      <c r="E2844" s="24" t="n">
        <v>0</v>
      </c>
      <c r="F2844" s="37" t="n">
        <f aca="false">DATE(YEAR(A2844),MONTH(A2844),1)</f>
        <v>46235</v>
      </c>
      <c r="G2844" s="24" t="str">
        <f aca="false">INDEX(Products!$C$2:$C$49,MATCH(C2844,Products!$A$2:$A$49,0))</f>
        <v>Beverages</v>
      </c>
      <c r="H2844" s="33" t="n">
        <f aca="false">D2844*INDEX(Products!$E$2:$E$49,MATCH(C2844,Products!$A$2:$A$49,0))</f>
        <v>21090</v>
      </c>
      <c r="I2844" s="33" t="n">
        <f aca="false">D2844*INDEX(Products!$D$2:$D$49,MATCH(C2844,Products!$A$2:$A$49,0))*(1+INDEX(Assumptions!$B$16:$B$20,MATCH(B2844,Assumptions!$A$16:$A$20,0)))</f>
        <v>17141.952</v>
      </c>
      <c r="J2844" s="33" t="n">
        <f aca="false">H2844-I2844</f>
        <v>3948.048</v>
      </c>
      <c r="K2844" s="33" t="n">
        <f aca="false">IF(OR(E2844=0,E2844&gt;=7),0,D2844/(7-E2844)*E2844*INDEX(Products!$E$2:$E$49,MATCH(C2844,Products!$A$2:$A$49,0)))</f>
        <v>0</v>
      </c>
    </row>
    <row r="2845" customFormat="false" ht="15" hidden="false" customHeight="false" outlineLevel="0" collapsed="false">
      <c r="A2845" s="36" t="n">
        <v>46244</v>
      </c>
      <c r="B2845" s="24" t="s">
        <v>63</v>
      </c>
      <c r="C2845" s="24" t="s">
        <v>149</v>
      </c>
      <c r="D2845" s="33" t="n">
        <v>83</v>
      </c>
      <c r="E2845" s="24" t="n">
        <v>0</v>
      </c>
      <c r="F2845" s="37" t="n">
        <f aca="false">DATE(YEAR(A2845),MONTH(A2845),1)</f>
        <v>46235</v>
      </c>
      <c r="G2845" s="24" t="str">
        <f aca="false">INDEX(Products!$C$2:$C$49,MATCH(C2845,Products!$A$2:$A$49,0))</f>
        <v>Beverages</v>
      </c>
      <c r="H2845" s="33" t="n">
        <f aca="false">D2845*INDEX(Products!$E$2:$E$49,MATCH(C2845,Products!$A$2:$A$49,0))</f>
        <v>15770</v>
      </c>
      <c r="I2845" s="33" t="n">
        <f aca="false">D2845*INDEX(Products!$D$2:$D$49,MATCH(C2845,Products!$A$2:$A$49,0))*(1+INDEX(Assumptions!$B$16:$B$20,MATCH(B2845,Assumptions!$A$16:$A$20,0)))</f>
        <v>12817.856</v>
      </c>
      <c r="J2845" s="33" t="n">
        <f aca="false">H2845-I2845</f>
        <v>2952.144</v>
      </c>
      <c r="K2845" s="33" t="n">
        <f aca="false">IF(OR(E2845=0,E2845&gt;=7),0,D2845/(7-E2845)*E2845*INDEX(Products!$E$2:$E$49,MATCH(C2845,Products!$A$2:$A$49,0)))</f>
        <v>0</v>
      </c>
    </row>
    <row r="2846" customFormat="false" ht="15" hidden="false" customHeight="false" outlineLevel="0" collapsed="false">
      <c r="A2846" s="36" t="n">
        <v>46251</v>
      </c>
      <c r="B2846" s="24" t="s">
        <v>63</v>
      </c>
      <c r="C2846" s="24" t="s">
        <v>149</v>
      </c>
      <c r="D2846" s="33" t="n">
        <v>92</v>
      </c>
      <c r="E2846" s="24" t="n">
        <v>0</v>
      </c>
      <c r="F2846" s="37" t="n">
        <f aca="false">DATE(YEAR(A2846),MONTH(A2846),1)</f>
        <v>46235</v>
      </c>
      <c r="G2846" s="24" t="str">
        <f aca="false">INDEX(Products!$C$2:$C$49,MATCH(C2846,Products!$A$2:$A$49,0))</f>
        <v>Beverages</v>
      </c>
      <c r="H2846" s="33" t="n">
        <f aca="false">D2846*INDEX(Products!$E$2:$E$49,MATCH(C2846,Products!$A$2:$A$49,0))</f>
        <v>17480</v>
      </c>
      <c r="I2846" s="33" t="n">
        <f aca="false">D2846*INDEX(Products!$D$2:$D$49,MATCH(C2846,Products!$A$2:$A$49,0))*(1+INDEX(Assumptions!$B$16:$B$20,MATCH(B2846,Assumptions!$A$16:$A$20,0)))</f>
        <v>14207.744</v>
      </c>
      <c r="J2846" s="33" t="n">
        <f aca="false">H2846-I2846</f>
        <v>3272.256</v>
      </c>
      <c r="K2846" s="33" t="n">
        <f aca="false">IF(OR(E2846=0,E2846&gt;=7),0,D2846/(7-E2846)*E2846*INDEX(Products!$E$2:$E$49,MATCH(C2846,Products!$A$2:$A$49,0)))</f>
        <v>0</v>
      </c>
    </row>
    <row r="2847" customFormat="false" ht="15" hidden="false" customHeight="false" outlineLevel="0" collapsed="false">
      <c r="A2847" s="36" t="n">
        <v>46258</v>
      </c>
      <c r="B2847" s="24" t="s">
        <v>63</v>
      </c>
      <c r="C2847" s="24" t="s">
        <v>149</v>
      </c>
      <c r="D2847" s="33" t="n">
        <v>98</v>
      </c>
      <c r="E2847" s="24" t="n">
        <v>0</v>
      </c>
      <c r="F2847" s="37" t="n">
        <f aca="false">DATE(YEAR(A2847),MONTH(A2847),1)</f>
        <v>46235</v>
      </c>
      <c r="G2847" s="24" t="str">
        <f aca="false">INDEX(Products!$C$2:$C$49,MATCH(C2847,Products!$A$2:$A$49,0))</f>
        <v>Beverages</v>
      </c>
      <c r="H2847" s="33" t="n">
        <f aca="false">D2847*INDEX(Products!$E$2:$E$49,MATCH(C2847,Products!$A$2:$A$49,0))</f>
        <v>18620</v>
      </c>
      <c r="I2847" s="33" t="n">
        <f aca="false">D2847*INDEX(Products!$D$2:$D$49,MATCH(C2847,Products!$A$2:$A$49,0))*(1+INDEX(Assumptions!$B$16:$B$20,MATCH(B2847,Assumptions!$A$16:$A$20,0)))</f>
        <v>15134.336</v>
      </c>
      <c r="J2847" s="33" t="n">
        <f aca="false">H2847-I2847</f>
        <v>3485.664</v>
      </c>
      <c r="K2847" s="33" t="n">
        <f aca="false">IF(OR(E2847=0,E2847&gt;=7),0,D2847/(7-E2847)*E2847*INDEX(Products!$E$2:$E$49,MATCH(C2847,Products!$A$2:$A$49,0)))</f>
        <v>0</v>
      </c>
    </row>
    <row r="2848" customFormat="false" ht="15" hidden="false" customHeight="false" outlineLevel="0" collapsed="false">
      <c r="A2848" s="36" t="n">
        <v>46265</v>
      </c>
      <c r="B2848" s="24" t="s">
        <v>63</v>
      </c>
      <c r="C2848" s="24" t="s">
        <v>149</v>
      </c>
      <c r="D2848" s="33" t="n">
        <v>111</v>
      </c>
      <c r="E2848" s="24" t="n">
        <v>0</v>
      </c>
      <c r="F2848" s="37" t="n">
        <f aca="false">DATE(YEAR(A2848),MONTH(A2848),1)</f>
        <v>46235</v>
      </c>
      <c r="G2848" s="24" t="str">
        <f aca="false">INDEX(Products!$C$2:$C$49,MATCH(C2848,Products!$A$2:$A$49,0))</f>
        <v>Beverages</v>
      </c>
      <c r="H2848" s="33" t="n">
        <f aca="false">D2848*INDEX(Products!$E$2:$E$49,MATCH(C2848,Products!$A$2:$A$49,0))</f>
        <v>21090</v>
      </c>
      <c r="I2848" s="33" t="n">
        <f aca="false">D2848*INDEX(Products!$D$2:$D$49,MATCH(C2848,Products!$A$2:$A$49,0))*(1+INDEX(Assumptions!$B$16:$B$20,MATCH(B2848,Assumptions!$A$16:$A$20,0)))</f>
        <v>17141.952</v>
      </c>
      <c r="J2848" s="33" t="n">
        <f aca="false">H2848-I2848</f>
        <v>3948.048</v>
      </c>
      <c r="K2848" s="33" t="n">
        <f aca="false">IF(OR(E2848=0,E2848&gt;=7),0,D2848/(7-E2848)*E2848*INDEX(Products!$E$2:$E$49,MATCH(C2848,Products!$A$2:$A$49,0)))</f>
        <v>0</v>
      </c>
    </row>
    <row r="2849" customFormat="false" ht="15" hidden="false" customHeight="false" outlineLevel="0" collapsed="false">
      <c r="A2849" s="36" t="n">
        <v>46272</v>
      </c>
      <c r="B2849" s="24" t="s">
        <v>63</v>
      </c>
      <c r="C2849" s="24" t="s">
        <v>149</v>
      </c>
      <c r="D2849" s="33" t="n">
        <v>106</v>
      </c>
      <c r="E2849" s="24" t="n">
        <v>0</v>
      </c>
      <c r="F2849" s="37" t="n">
        <f aca="false">DATE(YEAR(A2849),MONTH(A2849),1)</f>
        <v>46266</v>
      </c>
      <c r="G2849" s="24" t="str">
        <f aca="false">INDEX(Products!$C$2:$C$49,MATCH(C2849,Products!$A$2:$A$49,0))</f>
        <v>Beverages</v>
      </c>
      <c r="H2849" s="33" t="n">
        <f aca="false">D2849*INDEX(Products!$E$2:$E$49,MATCH(C2849,Products!$A$2:$A$49,0))</f>
        <v>20140</v>
      </c>
      <c r="I2849" s="33" t="n">
        <f aca="false">D2849*INDEX(Products!$D$2:$D$49,MATCH(C2849,Products!$A$2:$A$49,0))*(1+INDEX(Assumptions!$B$16:$B$20,MATCH(B2849,Assumptions!$A$16:$A$20,0)))</f>
        <v>16369.792</v>
      </c>
      <c r="J2849" s="33" t="n">
        <f aca="false">H2849-I2849</f>
        <v>3770.208</v>
      </c>
      <c r="K2849" s="33" t="n">
        <f aca="false">IF(OR(E2849=0,E2849&gt;=7),0,D2849/(7-E2849)*E2849*INDEX(Products!$E$2:$E$49,MATCH(C2849,Products!$A$2:$A$49,0)))</f>
        <v>0</v>
      </c>
    </row>
    <row r="2850" customFormat="false" ht="15" hidden="false" customHeight="false" outlineLevel="0" collapsed="false">
      <c r="A2850" s="36" t="n">
        <v>46279</v>
      </c>
      <c r="B2850" s="24" t="s">
        <v>63</v>
      </c>
      <c r="C2850" s="24" t="s">
        <v>149</v>
      </c>
      <c r="D2850" s="33" t="n">
        <v>99</v>
      </c>
      <c r="E2850" s="24" t="n">
        <v>0</v>
      </c>
      <c r="F2850" s="37" t="n">
        <f aca="false">DATE(YEAR(A2850),MONTH(A2850),1)</f>
        <v>46266</v>
      </c>
      <c r="G2850" s="24" t="str">
        <f aca="false">INDEX(Products!$C$2:$C$49,MATCH(C2850,Products!$A$2:$A$49,0))</f>
        <v>Beverages</v>
      </c>
      <c r="H2850" s="33" t="n">
        <f aca="false">D2850*INDEX(Products!$E$2:$E$49,MATCH(C2850,Products!$A$2:$A$49,0))</f>
        <v>18810</v>
      </c>
      <c r="I2850" s="33" t="n">
        <f aca="false">D2850*INDEX(Products!$D$2:$D$49,MATCH(C2850,Products!$A$2:$A$49,0))*(1+INDEX(Assumptions!$B$16:$B$20,MATCH(B2850,Assumptions!$A$16:$A$20,0)))</f>
        <v>15288.768</v>
      </c>
      <c r="J2850" s="33" t="n">
        <f aca="false">H2850-I2850</f>
        <v>3521.232</v>
      </c>
      <c r="K2850" s="33" t="n">
        <f aca="false">IF(OR(E2850=0,E2850&gt;=7),0,D2850/(7-E2850)*E2850*INDEX(Products!$E$2:$E$49,MATCH(C2850,Products!$A$2:$A$49,0)))</f>
        <v>0</v>
      </c>
    </row>
    <row r="2851" customFormat="false" ht="15" hidden="false" customHeight="false" outlineLevel="0" collapsed="false">
      <c r="A2851" s="36" t="n">
        <v>46286</v>
      </c>
      <c r="B2851" s="24" t="s">
        <v>63</v>
      </c>
      <c r="C2851" s="24" t="s">
        <v>149</v>
      </c>
      <c r="D2851" s="33" t="n">
        <v>186</v>
      </c>
      <c r="E2851" s="24" t="n">
        <v>0</v>
      </c>
      <c r="F2851" s="37" t="n">
        <f aca="false">DATE(YEAR(A2851),MONTH(A2851),1)</f>
        <v>46266</v>
      </c>
      <c r="G2851" s="24" t="str">
        <f aca="false">INDEX(Products!$C$2:$C$49,MATCH(C2851,Products!$A$2:$A$49,0))</f>
        <v>Beverages</v>
      </c>
      <c r="H2851" s="33" t="n">
        <f aca="false">D2851*INDEX(Products!$E$2:$E$49,MATCH(C2851,Products!$A$2:$A$49,0))</f>
        <v>35340</v>
      </c>
      <c r="I2851" s="33" t="n">
        <f aca="false">D2851*INDEX(Products!$D$2:$D$49,MATCH(C2851,Products!$A$2:$A$49,0))*(1+INDEX(Assumptions!$B$16:$B$20,MATCH(B2851,Assumptions!$A$16:$A$20,0)))</f>
        <v>28724.352</v>
      </c>
      <c r="J2851" s="33" t="n">
        <f aca="false">H2851-I2851</f>
        <v>6615.648</v>
      </c>
      <c r="K2851" s="33" t="n">
        <f aca="false">IF(OR(E2851=0,E2851&gt;=7),0,D2851/(7-E2851)*E2851*INDEX(Products!$E$2:$E$49,MATCH(C2851,Products!$A$2:$A$49,0)))</f>
        <v>0</v>
      </c>
    </row>
    <row r="2852" customFormat="false" ht="15" hidden="false" customHeight="false" outlineLevel="0" collapsed="false">
      <c r="A2852" s="36" t="n">
        <v>46118</v>
      </c>
      <c r="B2852" s="24" t="s">
        <v>63</v>
      </c>
      <c r="C2852" s="24" t="s">
        <v>151</v>
      </c>
      <c r="D2852" s="33" t="n">
        <v>80</v>
      </c>
      <c r="E2852" s="24" t="n">
        <v>0</v>
      </c>
      <c r="F2852" s="37" t="n">
        <f aca="false">DATE(YEAR(A2852),MONTH(A2852),1)</f>
        <v>46113</v>
      </c>
      <c r="G2852" s="24" t="str">
        <f aca="false">INDEX(Products!$C$2:$C$49,MATCH(C2852,Products!$A$2:$A$49,0))</f>
        <v>Beverages</v>
      </c>
      <c r="H2852" s="33" t="n">
        <f aca="false">D2852*INDEX(Products!$E$2:$E$49,MATCH(C2852,Products!$A$2:$A$49,0))</f>
        <v>15200</v>
      </c>
      <c r="I2852" s="33" t="n">
        <f aca="false">D2852*INDEX(Products!$D$2:$D$49,MATCH(C2852,Products!$A$2:$A$49,0))*(1+INDEX(Assumptions!$B$16:$B$20,MATCH(B2852,Assumptions!$A$16:$A$20,0)))</f>
        <v>12110.72</v>
      </c>
      <c r="J2852" s="33" t="n">
        <f aca="false">H2852-I2852</f>
        <v>3089.28</v>
      </c>
      <c r="K2852" s="33" t="n">
        <f aca="false">IF(OR(E2852=0,E2852&gt;=7),0,D2852/(7-E2852)*E2852*INDEX(Products!$E$2:$E$49,MATCH(C2852,Products!$A$2:$A$49,0)))</f>
        <v>0</v>
      </c>
    </row>
    <row r="2853" customFormat="false" ht="15" hidden="false" customHeight="false" outlineLevel="0" collapsed="false">
      <c r="A2853" s="36" t="n">
        <v>46125</v>
      </c>
      <c r="B2853" s="24" t="s">
        <v>63</v>
      </c>
      <c r="C2853" s="24" t="s">
        <v>151</v>
      </c>
      <c r="D2853" s="33" t="n">
        <v>83</v>
      </c>
      <c r="E2853" s="24" t="n">
        <v>0</v>
      </c>
      <c r="F2853" s="37" t="n">
        <f aca="false">DATE(YEAR(A2853),MONTH(A2853),1)</f>
        <v>46113</v>
      </c>
      <c r="G2853" s="24" t="str">
        <f aca="false">INDEX(Products!$C$2:$C$49,MATCH(C2853,Products!$A$2:$A$49,0))</f>
        <v>Beverages</v>
      </c>
      <c r="H2853" s="33" t="n">
        <f aca="false">D2853*INDEX(Products!$E$2:$E$49,MATCH(C2853,Products!$A$2:$A$49,0))</f>
        <v>15770</v>
      </c>
      <c r="I2853" s="33" t="n">
        <f aca="false">D2853*INDEX(Products!$D$2:$D$49,MATCH(C2853,Products!$A$2:$A$49,0))*(1+INDEX(Assumptions!$B$16:$B$20,MATCH(B2853,Assumptions!$A$16:$A$20,0)))</f>
        <v>12564.872</v>
      </c>
      <c r="J2853" s="33" t="n">
        <f aca="false">H2853-I2853</f>
        <v>3205.128</v>
      </c>
      <c r="K2853" s="33" t="n">
        <f aca="false">IF(OR(E2853=0,E2853&gt;=7),0,D2853/(7-E2853)*E2853*INDEX(Products!$E$2:$E$49,MATCH(C2853,Products!$A$2:$A$49,0)))</f>
        <v>0</v>
      </c>
    </row>
    <row r="2854" customFormat="false" ht="15" hidden="false" customHeight="false" outlineLevel="0" collapsed="false">
      <c r="A2854" s="36" t="n">
        <v>46132</v>
      </c>
      <c r="B2854" s="24" t="s">
        <v>63</v>
      </c>
      <c r="C2854" s="24" t="s">
        <v>151</v>
      </c>
      <c r="D2854" s="33" t="n">
        <v>96</v>
      </c>
      <c r="E2854" s="24" t="n">
        <v>0</v>
      </c>
      <c r="F2854" s="37" t="n">
        <f aca="false">DATE(YEAR(A2854),MONTH(A2854),1)</f>
        <v>46113</v>
      </c>
      <c r="G2854" s="24" t="str">
        <f aca="false">INDEX(Products!$C$2:$C$49,MATCH(C2854,Products!$A$2:$A$49,0))</f>
        <v>Beverages</v>
      </c>
      <c r="H2854" s="33" t="n">
        <f aca="false">D2854*INDEX(Products!$E$2:$E$49,MATCH(C2854,Products!$A$2:$A$49,0))</f>
        <v>18240</v>
      </c>
      <c r="I2854" s="33" t="n">
        <f aca="false">D2854*INDEX(Products!$D$2:$D$49,MATCH(C2854,Products!$A$2:$A$49,0))*(1+INDEX(Assumptions!$B$16:$B$20,MATCH(B2854,Assumptions!$A$16:$A$20,0)))</f>
        <v>14532.864</v>
      </c>
      <c r="J2854" s="33" t="n">
        <f aca="false">H2854-I2854</f>
        <v>3707.136</v>
      </c>
      <c r="K2854" s="33" t="n">
        <f aca="false">IF(OR(E2854=0,E2854&gt;=7),0,D2854/(7-E2854)*E2854*INDEX(Products!$E$2:$E$49,MATCH(C2854,Products!$A$2:$A$49,0)))</f>
        <v>0</v>
      </c>
    </row>
    <row r="2855" customFormat="false" ht="15" hidden="false" customHeight="false" outlineLevel="0" collapsed="false">
      <c r="A2855" s="36" t="n">
        <v>46139</v>
      </c>
      <c r="B2855" s="24" t="s">
        <v>63</v>
      </c>
      <c r="C2855" s="24" t="s">
        <v>151</v>
      </c>
      <c r="D2855" s="33" t="n">
        <v>74</v>
      </c>
      <c r="E2855" s="24" t="n">
        <v>0</v>
      </c>
      <c r="F2855" s="37" t="n">
        <f aca="false">DATE(YEAR(A2855),MONTH(A2855),1)</f>
        <v>46113</v>
      </c>
      <c r="G2855" s="24" t="str">
        <f aca="false">INDEX(Products!$C$2:$C$49,MATCH(C2855,Products!$A$2:$A$49,0))</f>
        <v>Beverages</v>
      </c>
      <c r="H2855" s="33" t="n">
        <f aca="false">D2855*INDEX(Products!$E$2:$E$49,MATCH(C2855,Products!$A$2:$A$49,0))</f>
        <v>14060</v>
      </c>
      <c r="I2855" s="33" t="n">
        <f aca="false">D2855*INDEX(Products!$D$2:$D$49,MATCH(C2855,Products!$A$2:$A$49,0))*(1+INDEX(Assumptions!$B$16:$B$20,MATCH(B2855,Assumptions!$A$16:$A$20,0)))</f>
        <v>11202.416</v>
      </c>
      <c r="J2855" s="33" t="n">
        <f aca="false">H2855-I2855</f>
        <v>2857.584</v>
      </c>
      <c r="K2855" s="33" t="n">
        <f aca="false">IF(OR(E2855=0,E2855&gt;=7),0,D2855/(7-E2855)*E2855*INDEX(Products!$E$2:$E$49,MATCH(C2855,Products!$A$2:$A$49,0)))</f>
        <v>0</v>
      </c>
    </row>
    <row r="2856" customFormat="false" ht="15" hidden="false" customHeight="false" outlineLevel="0" collapsed="false">
      <c r="A2856" s="36" t="n">
        <v>46146</v>
      </c>
      <c r="B2856" s="24" t="s">
        <v>63</v>
      </c>
      <c r="C2856" s="24" t="s">
        <v>151</v>
      </c>
      <c r="D2856" s="33" t="n">
        <v>79</v>
      </c>
      <c r="E2856" s="24" t="n">
        <v>0</v>
      </c>
      <c r="F2856" s="37" t="n">
        <f aca="false">DATE(YEAR(A2856),MONTH(A2856),1)</f>
        <v>46143</v>
      </c>
      <c r="G2856" s="24" t="str">
        <f aca="false">INDEX(Products!$C$2:$C$49,MATCH(C2856,Products!$A$2:$A$49,0))</f>
        <v>Beverages</v>
      </c>
      <c r="H2856" s="33" t="n">
        <f aca="false">D2856*INDEX(Products!$E$2:$E$49,MATCH(C2856,Products!$A$2:$A$49,0))</f>
        <v>15010</v>
      </c>
      <c r="I2856" s="33" t="n">
        <f aca="false">D2856*INDEX(Products!$D$2:$D$49,MATCH(C2856,Products!$A$2:$A$49,0))*(1+INDEX(Assumptions!$B$16:$B$20,MATCH(B2856,Assumptions!$A$16:$A$20,0)))</f>
        <v>11959.336</v>
      </c>
      <c r="J2856" s="33" t="n">
        <f aca="false">H2856-I2856</f>
        <v>3050.664</v>
      </c>
      <c r="K2856" s="33" t="n">
        <f aca="false">IF(OR(E2856=0,E2856&gt;=7),0,D2856/(7-E2856)*E2856*INDEX(Products!$E$2:$E$49,MATCH(C2856,Products!$A$2:$A$49,0)))</f>
        <v>0</v>
      </c>
    </row>
    <row r="2857" customFormat="false" ht="15" hidden="false" customHeight="false" outlineLevel="0" collapsed="false">
      <c r="A2857" s="36" t="n">
        <v>46153</v>
      </c>
      <c r="B2857" s="24" t="s">
        <v>63</v>
      </c>
      <c r="C2857" s="24" t="s">
        <v>151</v>
      </c>
      <c r="D2857" s="33" t="n">
        <v>84</v>
      </c>
      <c r="E2857" s="24" t="n">
        <v>0</v>
      </c>
      <c r="F2857" s="37" t="n">
        <f aca="false">DATE(YEAR(A2857),MONTH(A2857),1)</f>
        <v>46143</v>
      </c>
      <c r="G2857" s="24" t="str">
        <f aca="false">INDEX(Products!$C$2:$C$49,MATCH(C2857,Products!$A$2:$A$49,0))</f>
        <v>Beverages</v>
      </c>
      <c r="H2857" s="33" t="n">
        <f aca="false">D2857*INDEX(Products!$E$2:$E$49,MATCH(C2857,Products!$A$2:$A$49,0))</f>
        <v>15960</v>
      </c>
      <c r="I2857" s="33" t="n">
        <f aca="false">D2857*INDEX(Products!$D$2:$D$49,MATCH(C2857,Products!$A$2:$A$49,0))*(1+INDEX(Assumptions!$B$16:$B$20,MATCH(B2857,Assumptions!$A$16:$A$20,0)))</f>
        <v>12716.256</v>
      </c>
      <c r="J2857" s="33" t="n">
        <f aca="false">H2857-I2857</f>
        <v>3243.744</v>
      </c>
      <c r="K2857" s="33" t="n">
        <f aca="false">IF(OR(E2857=0,E2857&gt;=7),0,D2857/(7-E2857)*E2857*INDEX(Products!$E$2:$E$49,MATCH(C2857,Products!$A$2:$A$49,0)))</f>
        <v>0</v>
      </c>
    </row>
    <row r="2858" customFormat="false" ht="15" hidden="false" customHeight="false" outlineLevel="0" collapsed="false">
      <c r="A2858" s="36" t="n">
        <v>46160</v>
      </c>
      <c r="B2858" s="24" t="s">
        <v>63</v>
      </c>
      <c r="C2858" s="24" t="s">
        <v>151</v>
      </c>
      <c r="D2858" s="33" t="n">
        <v>78</v>
      </c>
      <c r="E2858" s="24" t="n">
        <v>0</v>
      </c>
      <c r="F2858" s="37" t="n">
        <f aca="false">DATE(YEAR(A2858),MONTH(A2858),1)</f>
        <v>46143</v>
      </c>
      <c r="G2858" s="24" t="str">
        <f aca="false">INDEX(Products!$C$2:$C$49,MATCH(C2858,Products!$A$2:$A$49,0))</f>
        <v>Beverages</v>
      </c>
      <c r="H2858" s="33" t="n">
        <f aca="false">D2858*INDEX(Products!$E$2:$E$49,MATCH(C2858,Products!$A$2:$A$49,0))</f>
        <v>14820</v>
      </c>
      <c r="I2858" s="33" t="n">
        <f aca="false">D2858*INDEX(Products!$D$2:$D$49,MATCH(C2858,Products!$A$2:$A$49,0))*(1+INDEX(Assumptions!$B$16:$B$20,MATCH(B2858,Assumptions!$A$16:$A$20,0)))</f>
        <v>11807.952</v>
      </c>
      <c r="J2858" s="33" t="n">
        <f aca="false">H2858-I2858</f>
        <v>3012.048</v>
      </c>
      <c r="K2858" s="33" t="n">
        <f aca="false">IF(OR(E2858=0,E2858&gt;=7),0,D2858/(7-E2858)*E2858*INDEX(Products!$E$2:$E$49,MATCH(C2858,Products!$A$2:$A$49,0)))</f>
        <v>0</v>
      </c>
    </row>
    <row r="2859" customFormat="false" ht="15" hidden="false" customHeight="false" outlineLevel="0" collapsed="false">
      <c r="A2859" s="36" t="n">
        <v>46167</v>
      </c>
      <c r="B2859" s="24" t="s">
        <v>63</v>
      </c>
      <c r="C2859" s="24" t="s">
        <v>151</v>
      </c>
      <c r="D2859" s="33" t="n">
        <v>93</v>
      </c>
      <c r="E2859" s="24" t="n">
        <v>0</v>
      </c>
      <c r="F2859" s="37" t="n">
        <f aca="false">DATE(YEAR(A2859),MONTH(A2859),1)</f>
        <v>46143</v>
      </c>
      <c r="G2859" s="24" t="str">
        <f aca="false">INDEX(Products!$C$2:$C$49,MATCH(C2859,Products!$A$2:$A$49,0))</f>
        <v>Beverages</v>
      </c>
      <c r="H2859" s="33" t="n">
        <f aca="false">D2859*INDEX(Products!$E$2:$E$49,MATCH(C2859,Products!$A$2:$A$49,0))</f>
        <v>17670</v>
      </c>
      <c r="I2859" s="33" t="n">
        <f aca="false">D2859*INDEX(Products!$D$2:$D$49,MATCH(C2859,Products!$A$2:$A$49,0))*(1+INDEX(Assumptions!$B$16:$B$20,MATCH(B2859,Assumptions!$A$16:$A$20,0)))</f>
        <v>14078.712</v>
      </c>
      <c r="J2859" s="33" t="n">
        <f aca="false">H2859-I2859</f>
        <v>3591.288</v>
      </c>
      <c r="K2859" s="33" t="n">
        <f aca="false">IF(OR(E2859=0,E2859&gt;=7),0,D2859/(7-E2859)*E2859*INDEX(Products!$E$2:$E$49,MATCH(C2859,Products!$A$2:$A$49,0)))</f>
        <v>0</v>
      </c>
    </row>
    <row r="2860" customFormat="false" ht="15" hidden="false" customHeight="false" outlineLevel="0" collapsed="false">
      <c r="A2860" s="36" t="n">
        <v>46174</v>
      </c>
      <c r="B2860" s="24" t="s">
        <v>63</v>
      </c>
      <c r="C2860" s="24" t="s">
        <v>151</v>
      </c>
      <c r="D2860" s="33" t="n">
        <v>72</v>
      </c>
      <c r="E2860" s="24" t="n">
        <v>0</v>
      </c>
      <c r="F2860" s="37" t="n">
        <f aca="false">DATE(YEAR(A2860),MONTH(A2860),1)</f>
        <v>46174</v>
      </c>
      <c r="G2860" s="24" t="str">
        <f aca="false">INDEX(Products!$C$2:$C$49,MATCH(C2860,Products!$A$2:$A$49,0))</f>
        <v>Beverages</v>
      </c>
      <c r="H2860" s="33" t="n">
        <f aca="false">D2860*INDEX(Products!$E$2:$E$49,MATCH(C2860,Products!$A$2:$A$49,0))</f>
        <v>13680</v>
      </c>
      <c r="I2860" s="33" t="n">
        <f aca="false">D2860*INDEX(Products!$D$2:$D$49,MATCH(C2860,Products!$A$2:$A$49,0))*(1+INDEX(Assumptions!$B$16:$B$20,MATCH(B2860,Assumptions!$A$16:$A$20,0)))</f>
        <v>10899.648</v>
      </c>
      <c r="J2860" s="33" t="n">
        <f aca="false">H2860-I2860</f>
        <v>2780.352</v>
      </c>
      <c r="K2860" s="33" t="n">
        <f aca="false">IF(OR(E2860=0,E2860&gt;=7),0,D2860/(7-E2860)*E2860*INDEX(Products!$E$2:$E$49,MATCH(C2860,Products!$A$2:$A$49,0)))</f>
        <v>0</v>
      </c>
    </row>
    <row r="2861" customFormat="false" ht="15" hidden="false" customHeight="false" outlineLevel="0" collapsed="false">
      <c r="A2861" s="36" t="n">
        <v>46181</v>
      </c>
      <c r="B2861" s="24" t="s">
        <v>63</v>
      </c>
      <c r="C2861" s="24" t="s">
        <v>151</v>
      </c>
      <c r="D2861" s="33" t="n">
        <v>73</v>
      </c>
      <c r="E2861" s="24" t="n">
        <v>0</v>
      </c>
      <c r="F2861" s="37" t="n">
        <f aca="false">DATE(YEAR(A2861),MONTH(A2861),1)</f>
        <v>46174</v>
      </c>
      <c r="G2861" s="24" t="str">
        <f aca="false">INDEX(Products!$C$2:$C$49,MATCH(C2861,Products!$A$2:$A$49,0))</f>
        <v>Beverages</v>
      </c>
      <c r="H2861" s="33" t="n">
        <f aca="false">D2861*INDEX(Products!$E$2:$E$49,MATCH(C2861,Products!$A$2:$A$49,0))</f>
        <v>13870</v>
      </c>
      <c r="I2861" s="33" t="n">
        <f aca="false">D2861*INDEX(Products!$D$2:$D$49,MATCH(C2861,Products!$A$2:$A$49,0))*(1+INDEX(Assumptions!$B$16:$B$20,MATCH(B2861,Assumptions!$A$16:$A$20,0)))</f>
        <v>11051.032</v>
      </c>
      <c r="J2861" s="33" t="n">
        <f aca="false">H2861-I2861</f>
        <v>2818.968</v>
      </c>
      <c r="K2861" s="33" t="n">
        <f aca="false">IF(OR(E2861=0,E2861&gt;=7),0,D2861/(7-E2861)*E2861*INDEX(Products!$E$2:$E$49,MATCH(C2861,Products!$A$2:$A$49,0)))</f>
        <v>0</v>
      </c>
    </row>
    <row r="2862" customFormat="false" ht="15" hidden="false" customHeight="false" outlineLevel="0" collapsed="false">
      <c r="A2862" s="36" t="n">
        <v>46188</v>
      </c>
      <c r="B2862" s="24" t="s">
        <v>63</v>
      </c>
      <c r="C2862" s="24" t="s">
        <v>151</v>
      </c>
      <c r="D2862" s="33" t="n">
        <v>72</v>
      </c>
      <c r="E2862" s="24" t="n">
        <v>0</v>
      </c>
      <c r="F2862" s="37" t="n">
        <f aca="false">DATE(YEAR(A2862),MONTH(A2862),1)</f>
        <v>46174</v>
      </c>
      <c r="G2862" s="24" t="str">
        <f aca="false">INDEX(Products!$C$2:$C$49,MATCH(C2862,Products!$A$2:$A$49,0))</f>
        <v>Beverages</v>
      </c>
      <c r="H2862" s="33" t="n">
        <f aca="false">D2862*INDEX(Products!$E$2:$E$49,MATCH(C2862,Products!$A$2:$A$49,0))</f>
        <v>13680</v>
      </c>
      <c r="I2862" s="33" t="n">
        <f aca="false">D2862*INDEX(Products!$D$2:$D$49,MATCH(C2862,Products!$A$2:$A$49,0))*(1+INDEX(Assumptions!$B$16:$B$20,MATCH(B2862,Assumptions!$A$16:$A$20,0)))</f>
        <v>10899.648</v>
      </c>
      <c r="J2862" s="33" t="n">
        <f aca="false">H2862-I2862</f>
        <v>2780.352</v>
      </c>
      <c r="K2862" s="33" t="n">
        <f aca="false">IF(OR(E2862=0,E2862&gt;=7),0,D2862/(7-E2862)*E2862*INDEX(Products!$E$2:$E$49,MATCH(C2862,Products!$A$2:$A$49,0)))</f>
        <v>0</v>
      </c>
    </row>
    <row r="2863" customFormat="false" ht="15" hidden="false" customHeight="false" outlineLevel="0" collapsed="false">
      <c r="A2863" s="36" t="n">
        <v>46195</v>
      </c>
      <c r="B2863" s="24" t="s">
        <v>63</v>
      </c>
      <c r="C2863" s="24" t="s">
        <v>151</v>
      </c>
      <c r="D2863" s="33" t="n">
        <v>95</v>
      </c>
      <c r="E2863" s="24" t="n">
        <v>0</v>
      </c>
      <c r="F2863" s="37" t="n">
        <f aca="false">DATE(YEAR(A2863),MONTH(A2863),1)</f>
        <v>46174</v>
      </c>
      <c r="G2863" s="24" t="str">
        <f aca="false">INDEX(Products!$C$2:$C$49,MATCH(C2863,Products!$A$2:$A$49,0))</f>
        <v>Beverages</v>
      </c>
      <c r="H2863" s="33" t="n">
        <f aca="false">D2863*INDEX(Products!$E$2:$E$49,MATCH(C2863,Products!$A$2:$A$49,0))</f>
        <v>18050</v>
      </c>
      <c r="I2863" s="33" t="n">
        <f aca="false">D2863*INDEX(Products!$D$2:$D$49,MATCH(C2863,Products!$A$2:$A$49,0))*(1+INDEX(Assumptions!$B$16:$B$20,MATCH(B2863,Assumptions!$A$16:$A$20,0)))</f>
        <v>14381.48</v>
      </c>
      <c r="J2863" s="33" t="n">
        <f aca="false">H2863-I2863</f>
        <v>3668.52</v>
      </c>
      <c r="K2863" s="33" t="n">
        <f aca="false">IF(OR(E2863=0,E2863&gt;=7),0,D2863/(7-E2863)*E2863*INDEX(Products!$E$2:$E$49,MATCH(C2863,Products!$A$2:$A$49,0)))</f>
        <v>0</v>
      </c>
    </row>
    <row r="2864" customFormat="false" ht="15" hidden="false" customHeight="false" outlineLevel="0" collapsed="false">
      <c r="A2864" s="36" t="n">
        <v>46202</v>
      </c>
      <c r="B2864" s="24" t="s">
        <v>63</v>
      </c>
      <c r="C2864" s="24" t="s">
        <v>151</v>
      </c>
      <c r="D2864" s="33" t="n">
        <v>89</v>
      </c>
      <c r="E2864" s="24" t="n">
        <v>0</v>
      </c>
      <c r="F2864" s="37" t="n">
        <f aca="false">DATE(YEAR(A2864),MONTH(A2864),1)</f>
        <v>46174</v>
      </c>
      <c r="G2864" s="24" t="str">
        <f aca="false">INDEX(Products!$C$2:$C$49,MATCH(C2864,Products!$A$2:$A$49,0))</f>
        <v>Beverages</v>
      </c>
      <c r="H2864" s="33" t="n">
        <f aca="false">D2864*INDEX(Products!$E$2:$E$49,MATCH(C2864,Products!$A$2:$A$49,0))</f>
        <v>16910</v>
      </c>
      <c r="I2864" s="33" t="n">
        <f aca="false">D2864*INDEX(Products!$D$2:$D$49,MATCH(C2864,Products!$A$2:$A$49,0))*(1+INDEX(Assumptions!$B$16:$B$20,MATCH(B2864,Assumptions!$A$16:$A$20,0)))</f>
        <v>13473.176</v>
      </c>
      <c r="J2864" s="33" t="n">
        <f aca="false">H2864-I2864</f>
        <v>3436.824</v>
      </c>
      <c r="K2864" s="33" t="n">
        <f aca="false">IF(OR(E2864=0,E2864&gt;=7),0,D2864/(7-E2864)*E2864*INDEX(Products!$E$2:$E$49,MATCH(C2864,Products!$A$2:$A$49,0)))</f>
        <v>0</v>
      </c>
    </row>
    <row r="2865" customFormat="false" ht="15" hidden="false" customHeight="false" outlineLevel="0" collapsed="false">
      <c r="A2865" s="36" t="n">
        <v>46209</v>
      </c>
      <c r="B2865" s="24" t="s">
        <v>63</v>
      </c>
      <c r="C2865" s="24" t="s">
        <v>151</v>
      </c>
      <c r="D2865" s="33" t="n">
        <v>72</v>
      </c>
      <c r="E2865" s="24" t="n">
        <v>0</v>
      </c>
      <c r="F2865" s="37" t="n">
        <f aca="false">DATE(YEAR(A2865),MONTH(A2865),1)</f>
        <v>46204</v>
      </c>
      <c r="G2865" s="24" t="str">
        <f aca="false">INDEX(Products!$C$2:$C$49,MATCH(C2865,Products!$A$2:$A$49,0))</f>
        <v>Beverages</v>
      </c>
      <c r="H2865" s="33" t="n">
        <f aca="false">D2865*INDEX(Products!$E$2:$E$49,MATCH(C2865,Products!$A$2:$A$49,0))</f>
        <v>13680</v>
      </c>
      <c r="I2865" s="33" t="n">
        <f aca="false">D2865*INDEX(Products!$D$2:$D$49,MATCH(C2865,Products!$A$2:$A$49,0))*(1+INDEX(Assumptions!$B$16:$B$20,MATCH(B2865,Assumptions!$A$16:$A$20,0)))</f>
        <v>10899.648</v>
      </c>
      <c r="J2865" s="33" t="n">
        <f aca="false">H2865-I2865</f>
        <v>2780.352</v>
      </c>
      <c r="K2865" s="33" t="n">
        <f aca="false">IF(OR(E2865=0,E2865&gt;=7),0,D2865/(7-E2865)*E2865*INDEX(Products!$E$2:$E$49,MATCH(C2865,Products!$A$2:$A$49,0)))</f>
        <v>0</v>
      </c>
    </row>
    <row r="2866" customFormat="false" ht="15" hidden="false" customHeight="false" outlineLevel="0" collapsed="false">
      <c r="A2866" s="36" t="n">
        <v>46216</v>
      </c>
      <c r="B2866" s="24" t="s">
        <v>63</v>
      </c>
      <c r="C2866" s="24" t="s">
        <v>151</v>
      </c>
      <c r="D2866" s="33" t="n">
        <v>73</v>
      </c>
      <c r="E2866" s="24" t="n">
        <v>0</v>
      </c>
      <c r="F2866" s="37" t="n">
        <f aca="false">DATE(YEAR(A2866),MONTH(A2866),1)</f>
        <v>46204</v>
      </c>
      <c r="G2866" s="24" t="str">
        <f aca="false">INDEX(Products!$C$2:$C$49,MATCH(C2866,Products!$A$2:$A$49,0))</f>
        <v>Beverages</v>
      </c>
      <c r="H2866" s="33" t="n">
        <f aca="false">D2866*INDEX(Products!$E$2:$E$49,MATCH(C2866,Products!$A$2:$A$49,0))</f>
        <v>13870</v>
      </c>
      <c r="I2866" s="33" t="n">
        <f aca="false">D2866*INDEX(Products!$D$2:$D$49,MATCH(C2866,Products!$A$2:$A$49,0))*(1+INDEX(Assumptions!$B$16:$B$20,MATCH(B2866,Assumptions!$A$16:$A$20,0)))</f>
        <v>11051.032</v>
      </c>
      <c r="J2866" s="33" t="n">
        <f aca="false">H2866-I2866</f>
        <v>2818.968</v>
      </c>
      <c r="K2866" s="33" t="n">
        <f aca="false">IF(OR(E2866=0,E2866&gt;=7),0,D2866/(7-E2866)*E2866*INDEX(Products!$E$2:$E$49,MATCH(C2866,Products!$A$2:$A$49,0)))</f>
        <v>0</v>
      </c>
    </row>
    <row r="2867" customFormat="false" ht="15" hidden="false" customHeight="false" outlineLevel="0" collapsed="false">
      <c r="A2867" s="36" t="n">
        <v>46223</v>
      </c>
      <c r="B2867" s="24" t="s">
        <v>63</v>
      </c>
      <c r="C2867" s="24" t="s">
        <v>151</v>
      </c>
      <c r="D2867" s="33" t="n">
        <v>77</v>
      </c>
      <c r="E2867" s="24" t="n">
        <v>0</v>
      </c>
      <c r="F2867" s="37" t="n">
        <f aca="false">DATE(YEAR(A2867),MONTH(A2867),1)</f>
        <v>46204</v>
      </c>
      <c r="G2867" s="24" t="str">
        <f aca="false">INDEX(Products!$C$2:$C$49,MATCH(C2867,Products!$A$2:$A$49,0))</f>
        <v>Beverages</v>
      </c>
      <c r="H2867" s="33" t="n">
        <f aca="false">D2867*INDEX(Products!$E$2:$E$49,MATCH(C2867,Products!$A$2:$A$49,0))</f>
        <v>14630</v>
      </c>
      <c r="I2867" s="33" t="n">
        <f aca="false">D2867*INDEX(Products!$D$2:$D$49,MATCH(C2867,Products!$A$2:$A$49,0))*(1+INDEX(Assumptions!$B$16:$B$20,MATCH(B2867,Assumptions!$A$16:$A$20,0)))</f>
        <v>11656.568</v>
      </c>
      <c r="J2867" s="33" t="n">
        <f aca="false">H2867-I2867</f>
        <v>2973.432</v>
      </c>
      <c r="K2867" s="33" t="n">
        <f aca="false">IF(OR(E2867=0,E2867&gt;=7),0,D2867/(7-E2867)*E2867*INDEX(Products!$E$2:$E$49,MATCH(C2867,Products!$A$2:$A$49,0)))</f>
        <v>0</v>
      </c>
    </row>
    <row r="2868" customFormat="false" ht="15" hidden="false" customHeight="false" outlineLevel="0" collapsed="false">
      <c r="A2868" s="36" t="n">
        <v>46230</v>
      </c>
      <c r="B2868" s="24" t="s">
        <v>63</v>
      </c>
      <c r="C2868" s="24" t="s">
        <v>151</v>
      </c>
      <c r="D2868" s="33" t="n">
        <v>82</v>
      </c>
      <c r="E2868" s="24" t="n">
        <v>0</v>
      </c>
      <c r="F2868" s="37" t="n">
        <f aca="false">DATE(YEAR(A2868),MONTH(A2868),1)</f>
        <v>46204</v>
      </c>
      <c r="G2868" s="24" t="str">
        <f aca="false">INDEX(Products!$C$2:$C$49,MATCH(C2868,Products!$A$2:$A$49,0))</f>
        <v>Beverages</v>
      </c>
      <c r="H2868" s="33" t="n">
        <f aca="false">D2868*INDEX(Products!$E$2:$E$49,MATCH(C2868,Products!$A$2:$A$49,0))</f>
        <v>15580</v>
      </c>
      <c r="I2868" s="33" t="n">
        <f aca="false">D2868*INDEX(Products!$D$2:$D$49,MATCH(C2868,Products!$A$2:$A$49,0))*(1+INDEX(Assumptions!$B$16:$B$20,MATCH(B2868,Assumptions!$A$16:$A$20,0)))</f>
        <v>12413.488</v>
      </c>
      <c r="J2868" s="33" t="n">
        <f aca="false">H2868-I2868</f>
        <v>3166.512</v>
      </c>
      <c r="K2868" s="33" t="n">
        <f aca="false">IF(OR(E2868=0,E2868&gt;=7),0,D2868/(7-E2868)*E2868*INDEX(Products!$E$2:$E$49,MATCH(C2868,Products!$A$2:$A$49,0)))</f>
        <v>0</v>
      </c>
    </row>
    <row r="2869" customFormat="false" ht="15" hidden="false" customHeight="false" outlineLevel="0" collapsed="false">
      <c r="A2869" s="36" t="n">
        <v>46237</v>
      </c>
      <c r="B2869" s="24" t="s">
        <v>63</v>
      </c>
      <c r="C2869" s="24" t="s">
        <v>151</v>
      </c>
      <c r="D2869" s="33" t="n">
        <v>81</v>
      </c>
      <c r="E2869" s="24" t="n">
        <v>1</v>
      </c>
      <c r="F2869" s="37" t="n">
        <f aca="false">DATE(YEAR(A2869),MONTH(A2869),1)</f>
        <v>46235</v>
      </c>
      <c r="G2869" s="24" t="str">
        <f aca="false">INDEX(Products!$C$2:$C$49,MATCH(C2869,Products!$A$2:$A$49,0))</f>
        <v>Beverages</v>
      </c>
      <c r="H2869" s="33" t="n">
        <f aca="false">D2869*INDEX(Products!$E$2:$E$49,MATCH(C2869,Products!$A$2:$A$49,0))</f>
        <v>15390</v>
      </c>
      <c r="I2869" s="33" t="n">
        <f aca="false">D2869*INDEX(Products!$D$2:$D$49,MATCH(C2869,Products!$A$2:$A$49,0))*(1+INDEX(Assumptions!$B$16:$B$20,MATCH(B2869,Assumptions!$A$16:$A$20,0)))</f>
        <v>12262.104</v>
      </c>
      <c r="J2869" s="33" t="n">
        <f aca="false">H2869-I2869</f>
        <v>3127.896</v>
      </c>
      <c r="K2869" s="33" t="n">
        <f aca="false">IF(OR(E2869=0,E2869&gt;=7),0,D2869/(7-E2869)*E2869*INDEX(Products!$E$2:$E$49,MATCH(C2869,Products!$A$2:$A$49,0)))</f>
        <v>2565</v>
      </c>
    </row>
    <row r="2870" customFormat="false" ht="15" hidden="false" customHeight="false" outlineLevel="0" collapsed="false">
      <c r="A2870" s="36" t="n">
        <v>46244</v>
      </c>
      <c r="B2870" s="24" t="s">
        <v>63</v>
      </c>
      <c r="C2870" s="24" t="s">
        <v>151</v>
      </c>
      <c r="D2870" s="33" t="n">
        <v>72</v>
      </c>
      <c r="E2870" s="24" t="n">
        <v>0</v>
      </c>
      <c r="F2870" s="37" t="n">
        <f aca="false">DATE(YEAR(A2870),MONTH(A2870),1)</f>
        <v>46235</v>
      </c>
      <c r="G2870" s="24" t="str">
        <f aca="false">INDEX(Products!$C$2:$C$49,MATCH(C2870,Products!$A$2:$A$49,0))</f>
        <v>Beverages</v>
      </c>
      <c r="H2870" s="33" t="n">
        <f aca="false">D2870*INDEX(Products!$E$2:$E$49,MATCH(C2870,Products!$A$2:$A$49,0))</f>
        <v>13680</v>
      </c>
      <c r="I2870" s="33" t="n">
        <f aca="false">D2870*INDEX(Products!$D$2:$D$49,MATCH(C2870,Products!$A$2:$A$49,0))*(1+INDEX(Assumptions!$B$16:$B$20,MATCH(B2870,Assumptions!$A$16:$A$20,0)))</f>
        <v>10899.648</v>
      </c>
      <c r="J2870" s="33" t="n">
        <f aca="false">H2870-I2870</f>
        <v>2780.352</v>
      </c>
      <c r="K2870" s="33" t="n">
        <f aca="false">IF(OR(E2870=0,E2870&gt;=7),0,D2870/(7-E2870)*E2870*INDEX(Products!$E$2:$E$49,MATCH(C2870,Products!$A$2:$A$49,0)))</f>
        <v>0</v>
      </c>
    </row>
    <row r="2871" customFormat="false" ht="15" hidden="false" customHeight="false" outlineLevel="0" collapsed="false">
      <c r="A2871" s="36" t="n">
        <v>46251</v>
      </c>
      <c r="B2871" s="24" t="s">
        <v>63</v>
      </c>
      <c r="C2871" s="24" t="s">
        <v>151</v>
      </c>
      <c r="D2871" s="33" t="n">
        <v>81</v>
      </c>
      <c r="E2871" s="24" t="n">
        <v>0</v>
      </c>
      <c r="F2871" s="37" t="n">
        <f aca="false">DATE(YEAR(A2871),MONTH(A2871),1)</f>
        <v>46235</v>
      </c>
      <c r="G2871" s="24" t="str">
        <f aca="false">INDEX(Products!$C$2:$C$49,MATCH(C2871,Products!$A$2:$A$49,0))</f>
        <v>Beverages</v>
      </c>
      <c r="H2871" s="33" t="n">
        <f aca="false">D2871*INDEX(Products!$E$2:$E$49,MATCH(C2871,Products!$A$2:$A$49,0))</f>
        <v>15390</v>
      </c>
      <c r="I2871" s="33" t="n">
        <f aca="false">D2871*INDEX(Products!$D$2:$D$49,MATCH(C2871,Products!$A$2:$A$49,0))*(1+INDEX(Assumptions!$B$16:$B$20,MATCH(B2871,Assumptions!$A$16:$A$20,0)))</f>
        <v>12262.104</v>
      </c>
      <c r="J2871" s="33" t="n">
        <f aca="false">H2871-I2871</f>
        <v>3127.896</v>
      </c>
      <c r="K2871" s="33" t="n">
        <f aca="false">IF(OR(E2871=0,E2871&gt;=7),0,D2871/(7-E2871)*E2871*INDEX(Products!$E$2:$E$49,MATCH(C2871,Products!$A$2:$A$49,0)))</f>
        <v>0</v>
      </c>
    </row>
    <row r="2872" customFormat="false" ht="15" hidden="false" customHeight="false" outlineLevel="0" collapsed="false">
      <c r="A2872" s="36" t="n">
        <v>46258</v>
      </c>
      <c r="B2872" s="24" t="s">
        <v>63</v>
      </c>
      <c r="C2872" s="24" t="s">
        <v>151</v>
      </c>
      <c r="D2872" s="33" t="n">
        <v>94</v>
      </c>
      <c r="E2872" s="24" t="n">
        <v>0</v>
      </c>
      <c r="F2872" s="37" t="n">
        <f aca="false">DATE(YEAR(A2872),MONTH(A2872),1)</f>
        <v>46235</v>
      </c>
      <c r="G2872" s="24" t="str">
        <f aca="false">INDEX(Products!$C$2:$C$49,MATCH(C2872,Products!$A$2:$A$49,0))</f>
        <v>Beverages</v>
      </c>
      <c r="H2872" s="33" t="n">
        <f aca="false">D2872*INDEX(Products!$E$2:$E$49,MATCH(C2872,Products!$A$2:$A$49,0))</f>
        <v>17860</v>
      </c>
      <c r="I2872" s="33" t="n">
        <f aca="false">D2872*INDEX(Products!$D$2:$D$49,MATCH(C2872,Products!$A$2:$A$49,0))*(1+INDEX(Assumptions!$B$16:$B$20,MATCH(B2872,Assumptions!$A$16:$A$20,0)))</f>
        <v>14230.096</v>
      </c>
      <c r="J2872" s="33" t="n">
        <f aca="false">H2872-I2872</f>
        <v>3629.904</v>
      </c>
      <c r="K2872" s="33" t="n">
        <f aca="false">IF(OR(E2872=0,E2872&gt;=7),0,D2872/(7-E2872)*E2872*INDEX(Products!$E$2:$E$49,MATCH(C2872,Products!$A$2:$A$49,0)))</f>
        <v>0</v>
      </c>
    </row>
    <row r="2873" customFormat="false" ht="15" hidden="false" customHeight="false" outlineLevel="0" collapsed="false">
      <c r="A2873" s="36" t="n">
        <v>46265</v>
      </c>
      <c r="B2873" s="24" t="s">
        <v>63</v>
      </c>
      <c r="C2873" s="24" t="s">
        <v>151</v>
      </c>
      <c r="D2873" s="33" t="n">
        <v>64</v>
      </c>
      <c r="E2873" s="24" t="n">
        <v>0</v>
      </c>
      <c r="F2873" s="37" t="n">
        <f aca="false">DATE(YEAR(A2873),MONTH(A2873),1)</f>
        <v>46235</v>
      </c>
      <c r="G2873" s="24" t="str">
        <f aca="false">INDEX(Products!$C$2:$C$49,MATCH(C2873,Products!$A$2:$A$49,0))</f>
        <v>Beverages</v>
      </c>
      <c r="H2873" s="33" t="n">
        <f aca="false">D2873*INDEX(Products!$E$2:$E$49,MATCH(C2873,Products!$A$2:$A$49,0))</f>
        <v>12160</v>
      </c>
      <c r="I2873" s="33" t="n">
        <f aca="false">D2873*INDEX(Products!$D$2:$D$49,MATCH(C2873,Products!$A$2:$A$49,0))*(1+INDEX(Assumptions!$B$16:$B$20,MATCH(B2873,Assumptions!$A$16:$A$20,0)))</f>
        <v>9688.576</v>
      </c>
      <c r="J2873" s="33" t="n">
        <f aca="false">H2873-I2873</f>
        <v>2471.424</v>
      </c>
      <c r="K2873" s="33" t="n">
        <f aca="false">IF(OR(E2873=0,E2873&gt;=7),0,D2873/(7-E2873)*E2873*INDEX(Products!$E$2:$E$49,MATCH(C2873,Products!$A$2:$A$49,0)))</f>
        <v>0</v>
      </c>
    </row>
    <row r="2874" customFormat="false" ht="15" hidden="false" customHeight="false" outlineLevel="0" collapsed="false">
      <c r="A2874" s="36" t="n">
        <v>46272</v>
      </c>
      <c r="B2874" s="24" t="s">
        <v>63</v>
      </c>
      <c r="C2874" s="24" t="s">
        <v>151</v>
      </c>
      <c r="D2874" s="33" t="n">
        <v>67</v>
      </c>
      <c r="E2874" s="24" t="n">
        <v>0</v>
      </c>
      <c r="F2874" s="37" t="n">
        <f aca="false">DATE(YEAR(A2874),MONTH(A2874),1)</f>
        <v>46266</v>
      </c>
      <c r="G2874" s="24" t="str">
        <f aca="false">INDEX(Products!$C$2:$C$49,MATCH(C2874,Products!$A$2:$A$49,0))</f>
        <v>Beverages</v>
      </c>
      <c r="H2874" s="33" t="n">
        <f aca="false">D2874*INDEX(Products!$E$2:$E$49,MATCH(C2874,Products!$A$2:$A$49,0))</f>
        <v>12730</v>
      </c>
      <c r="I2874" s="33" t="n">
        <f aca="false">D2874*INDEX(Products!$D$2:$D$49,MATCH(C2874,Products!$A$2:$A$49,0))*(1+INDEX(Assumptions!$B$16:$B$20,MATCH(B2874,Assumptions!$A$16:$A$20,0)))</f>
        <v>10142.728</v>
      </c>
      <c r="J2874" s="33" t="n">
        <f aca="false">H2874-I2874</f>
        <v>2587.272</v>
      </c>
      <c r="K2874" s="33" t="n">
        <f aca="false">IF(OR(E2874=0,E2874&gt;=7),0,D2874/(7-E2874)*E2874*INDEX(Products!$E$2:$E$49,MATCH(C2874,Products!$A$2:$A$49,0)))</f>
        <v>0</v>
      </c>
    </row>
    <row r="2875" customFormat="false" ht="15" hidden="false" customHeight="false" outlineLevel="0" collapsed="false">
      <c r="A2875" s="36" t="n">
        <v>46279</v>
      </c>
      <c r="B2875" s="24" t="s">
        <v>63</v>
      </c>
      <c r="C2875" s="24" t="s">
        <v>151</v>
      </c>
      <c r="D2875" s="33" t="n">
        <v>84</v>
      </c>
      <c r="E2875" s="24" t="n">
        <v>0</v>
      </c>
      <c r="F2875" s="37" t="n">
        <f aca="false">DATE(YEAR(A2875),MONTH(A2875),1)</f>
        <v>46266</v>
      </c>
      <c r="G2875" s="24" t="str">
        <f aca="false">INDEX(Products!$C$2:$C$49,MATCH(C2875,Products!$A$2:$A$49,0))</f>
        <v>Beverages</v>
      </c>
      <c r="H2875" s="33" t="n">
        <f aca="false">D2875*INDEX(Products!$E$2:$E$49,MATCH(C2875,Products!$A$2:$A$49,0))</f>
        <v>15960</v>
      </c>
      <c r="I2875" s="33" t="n">
        <f aca="false">D2875*INDEX(Products!$D$2:$D$49,MATCH(C2875,Products!$A$2:$A$49,0))*(1+INDEX(Assumptions!$B$16:$B$20,MATCH(B2875,Assumptions!$A$16:$A$20,0)))</f>
        <v>12716.256</v>
      </c>
      <c r="J2875" s="33" t="n">
        <f aca="false">H2875-I2875</f>
        <v>3243.744</v>
      </c>
      <c r="K2875" s="33" t="n">
        <f aca="false">IF(OR(E2875=0,E2875&gt;=7),0,D2875/(7-E2875)*E2875*INDEX(Products!$E$2:$E$49,MATCH(C2875,Products!$A$2:$A$49,0)))</f>
        <v>0</v>
      </c>
    </row>
    <row r="2876" customFormat="false" ht="15" hidden="false" customHeight="false" outlineLevel="0" collapsed="false">
      <c r="A2876" s="36" t="n">
        <v>46286</v>
      </c>
      <c r="B2876" s="24" t="s">
        <v>63</v>
      </c>
      <c r="C2876" s="24" t="s">
        <v>151</v>
      </c>
      <c r="D2876" s="33" t="n">
        <v>89</v>
      </c>
      <c r="E2876" s="24" t="n">
        <v>0</v>
      </c>
      <c r="F2876" s="37" t="n">
        <f aca="false">DATE(YEAR(A2876),MONTH(A2876),1)</f>
        <v>46266</v>
      </c>
      <c r="G2876" s="24" t="str">
        <f aca="false">INDEX(Products!$C$2:$C$49,MATCH(C2876,Products!$A$2:$A$49,0))</f>
        <v>Beverages</v>
      </c>
      <c r="H2876" s="33" t="n">
        <f aca="false">D2876*INDEX(Products!$E$2:$E$49,MATCH(C2876,Products!$A$2:$A$49,0))</f>
        <v>16910</v>
      </c>
      <c r="I2876" s="33" t="n">
        <f aca="false">D2876*INDEX(Products!$D$2:$D$49,MATCH(C2876,Products!$A$2:$A$49,0))*(1+INDEX(Assumptions!$B$16:$B$20,MATCH(B2876,Assumptions!$A$16:$A$20,0)))</f>
        <v>13473.176</v>
      </c>
      <c r="J2876" s="33" t="n">
        <f aca="false">H2876-I2876</f>
        <v>3436.824</v>
      </c>
      <c r="K2876" s="33" t="n">
        <f aca="false">IF(OR(E2876=0,E2876&gt;=7),0,D2876/(7-E2876)*E2876*INDEX(Products!$E$2:$E$49,MATCH(C2876,Products!$A$2:$A$49,0)))</f>
        <v>0</v>
      </c>
    </row>
    <row r="2877" customFormat="false" ht="15" hidden="false" customHeight="false" outlineLevel="0" collapsed="false">
      <c r="A2877" s="36" t="n">
        <v>46118</v>
      </c>
      <c r="B2877" s="24" t="s">
        <v>63</v>
      </c>
      <c r="C2877" s="24" t="s">
        <v>153</v>
      </c>
      <c r="D2877" s="33" t="n">
        <v>38</v>
      </c>
      <c r="E2877" s="24" t="n">
        <v>0</v>
      </c>
      <c r="F2877" s="37" t="n">
        <f aca="false">DATE(YEAR(A2877),MONTH(A2877),1)</f>
        <v>46113</v>
      </c>
      <c r="G2877" s="24" t="str">
        <f aca="false">INDEX(Products!$C$2:$C$49,MATCH(C2877,Products!$A$2:$A$49,0))</f>
        <v>Beverages</v>
      </c>
      <c r="H2877" s="33" t="n">
        <f aca="false">D2877*INDEX(Products!$E$2:$E$49,MATCH(C2877,Products!$A$2:$A$49,0))</f>
        <v>1900</v>
      </c>
      <c r="I2877" s="33" t="n">
        <f aca="false">D2877*INDEX(Products!$D$2:$D$49,MATCH(C2877,Products!$A$2:$A$49,0))*(1+INDEX(Assumptions!$B$16:$B$20,MATCH(B2877,Assumptions!$A$16:$A$20,0)))</f>
        <v>1351.28</v>
      </c>
      <c r="J2877" s="33" t="n">
        <f aca="false">H2877-I2877</f>
        <v>548.72</v>
      </c>
      <c r="K2877" s="33" t="n">
        <f aca="false">IF(OR(E2877=0,E2877&gt;=7),0,D2877/(7-E2877)*E2877*INDEX(Products!$E$2:$E$49,MATCH(C2877,Products!$A$2:$A$49,0)))</f>
        <v>0</v>
      </c>
    </row>
    <row r="2878" customFormat="false" ht="15" hidden="false" customHeight="false" outlineLevel="0" collapsed="false">
      <c r="A2878" s="36" t="n">
        <v>46125</v>
      </c>
      <c r="B2878" s="24" t="s">
        <v>63</v>
      </c>
      <c r="C2878" s="24" t="s">
        <v>153</v>
      </c>
      <c r="D2878" s="33" t="n">
        <v>52</v>
      </c>
      <c r="E2878" s="24" t="n">
        <v>0</v>
      </c>
      <c r="F2878" s="37" t="n">
        <f aca="false">DATE(YEAR(A2878),MONTH(A2878),1)</f>
        <v>46113</v>
      </c>
      <c r="G2878" s="24" t="str">
        <f aca="false">INDEX(Products!$C$2:$C$49,MATCH(C2878,Products!$A$2:$A$49,0))</f>
        <v>Beverages</v>
      </c>
      <c r="H2878" s="33" t="n">
        <f aca="false">D2878*INDEX(Products!$E$2:$E$49,MATCH(C2878,Products!$A$2:$A$49,0))</f>
        <v>2600</v>
      </c>
      <c r="I2878" s="33" t="n">
        <f aca="false">D2878*INDEX(Products!$D$2:$D$49,MATCH(C2878,Products!$A$2:$A$49,0))*(1+INDEX(Assumptions!$B$16:$B$20,MATCH(B2878,Assumptions!$A$16:$A$20,0)))</f>
        <v>1849.12</v>
      </c>
      <c r="J2878" s="33" t="n">
        <f aca="false">H2878-I2878</f>
        <v>750.88</v>
      </c>
      <c r="K2878" s="33" t="n">
        <f aca="false">IF(OR(E2878=0,E2878&gt;=7),0,D2878/(7-E2878)*E2878*INDEX(Products!$E$2:$E$49,MATCH(C2878,Products!$A$2:$A$49,0)))</f>
        <v>0</v>
      </c>
    </row>
    <row r="2879" customFormat="false" ht="15" hidden="false" customHeight="false" outlineLevel="0" collapsed="false">
      <c r="A2879" s="36" t="n">
        <v>46132</v>
      </c>
      <c r="B2879" s="24" t="s">
        <v>63</v>
      </c>
      <c r="C2879" s="24" t="s">
        <v>153</v>
      </c>
      <c r="D2879" s="33" t="n">
        <v>60</v>
      </c>
      <c r="E2879" s="24" t="n">
        <v>0</v>
      </c>
      <c r="F2879" s="37" t="n">
        <f aca="false">DATE(YEAR(A2879),MONTH(A2879),1)</f>
        <v>46113</v>
      </c>
      <c r="G2879" s="24" t="str">
        <f aca="false">INDEX(Products!$C$2:$C$49,MATCH(C2879,Products!$A$2:$A$49,0))</f>
        <v>Beverages</v>
      </c>
      <c r="H2879" s="33" t="n">
        <f aca="false">D2879*INDEX(Products!$E$2:$E$49,MATCH(C2879,Products!$A$2:$A$49,0))</f>
        <v>3000</v>
      </c>
      <c r="I2879" s="33" t="n">
        <f aca="false">D2879*INDEX(Products!$D$2:$D$49,MATCH(C2879,Products!$A$2:$A$49,0))*(1+INDEX(Assumptions!$B$16:$B$20,MATCH(B2879,Assumptions!$A$16:$A$20,0)))</f>
        <v>2133.6</v>
      </c>
      <c r="J2879" s="33" t="n">
        <f aca="false">H2879-I2879</f>
        <v>866.4</v>
      </c>
      <c r="K2879" s="33" t="n">
        <f aca="false">IF(OR(E2879=0,E2879&gt;=7),0,D2879/(7-E2879)*E2879*INDEX(Products!$E$2:$E$49,MATCH(C2879,Products!$A$2:$A$49,0)))</f>
        <v>0</v>
      </c>
    </row>
    <row r="2880" customFormat="false" ht="15" hidden="false" customHeight="false" outlineLevel="0" collapsed="false">
      <c r="A2880" s="36" t="n">
        <v>46139</v>
      </c>
      <c r="B2880" s="24" t="s">
        <v>63</v>
      </c>
      <c r="C2880" s="24" t="s">
        <v>153</v>
      </c>
      <c r="D2880" s="33" t="n">
        <v>51</v>
      </c>
      <c r="E2880" s="24" t="n">
        <v>0</v>
      </c>
      <c r="F2880" s="37" t="n">
        <f aca="false">DATE(YEAR(A2880),MONTH(A2880),1)</f>
        <v>46113</v>
      </c>
      <c r="G2880" s="24" t="str">
        <f aca="false">INDEX(Products!$C$2:$C$49,MATCH(C2880,Products!$A$2:$A$49,0))</f>
        <v>Beverages</v>
      </c>
      <c r="H2880" s="33" t="n">
        <f aca="false">D2880*INDEX(Products!$E$2:$E$49,MATCH(C2880,Products!$A$2:$A$49,0))</f>
        <v>2550</v>
      </c>
      <c r="I2880" s="33" t="n">
        <f aca="false">D2880*INDEX(Products!$D$2:$D$49,MATCH(C2880,Products!$A$2:$A$49,0))*(1+INDEX(Assumptions!$B$16:$B$20,MATCH(B2880,Assumptions!$A$16:$A$20,0)))</f>
        <v>1813.56</v>
      </c>
      <c r="J2880" s="33" t="n">
        <f aca="false">H2880-I2880</f>
        <v>736.44</v>
      </c>
      <c r="K2880" s="33" t="n">
        <f aca="false">IF(OR(E2880=0,E2880&gt;=7),0,D2880/(7-E2880)*E2880*INDEX(Products!$E$2:$E$49,MATCH(C2880,Products!$A$2:$A$49,0)))</f>
        <v>0</v>
      </c>
    </row>
    <row r="2881" customFormat="false" ht="15" hidden="false" customHeight="false" outlineLevel="0" collapsed="false">
      <c r="A2881" s="36" t="n">
        <v>46146</v>
      </c>
      <c r="B2881" s="24" t="s">
        <v>63</v>
      </c>
      <c r="C2881" s="24" t="s">
        <v>153</v>
      </c>
      <c r="D2881" s="33" t="n">
        <v>47</v>
      </c>
      <c r="E2881" s="24" t="n">
        <v>0</v>
      </c>
      <c r="F2881" s="37" t="n">
        <f aca="false">DATE(YEAR(A2881),MONTH(A2881),1)</f>
        <v>46143</v>
      </c>
      <c r="G2881" s="24" t="str">
        <f aca="false">INDEX(Products!$C$2:$C$49,MATCH(C2881,Products!$A$2:$A$49,0))</f>
        <v>Beverages</v>
      </c>
      <c r="H2881" s="33" t="n">
        <f aca="false">D2881*INDEX(Products!$E$2:$E$49,MATCH(C2881,Products!$A$2:$A$49,0))</f>
        <v>2350</v>
      </c>
      <c r="I2881" s="33" t="n">
        <f aca="false">D2881*INDEX(Products!$D$2:$D$49,MATCH(C2881,Products!$A$2:$A$49,0))*(1+INDEX(Assumptions!$B$16:$B$20,MATCH(B2881,Assumptions!$A$16:$A$20,0)))</f>
        <v>1671.32</v>
      </c>
      <c r="J2881" s="33" t="n">
        <f aca="false">H2881-I2881</f>
        <v>678.68</v>
      </c>
      <c r="K2881" s="33" t="n">
        <f aca="false">IF(OR(E2881=0,E2881&gt;=7),0,D2881/(7-E2881)*E2881*INDEX(Products!$E$2:$E$49,MATCH(C2881,Products!$A$2:$A$49,0)))</f>
        <v>0</v>
      </c>
    </row>
    <row r="2882" customFormat="false" ht="15" hidden="false" customHeight="false" outlineLevel="0" collapsed="false">
      <c r="A2882" s="36" t="n">
        <v>46153</v>
      </c>
      <c r="B2882" s="24" t="s">
        <v>63</v>
      </c>
      <c r="C2882" s="24" t="s">
        <v>153</v>
      </c>
      <c r="D2882" s="33" t="n">
        <v>37</v>
      </c>
      <c r="E2882" s="24" t="n">
        <v>0</v>
      </c>
      <c r="F2882" s="37" t="n">
        <f aca="false">DATE(YEAR(A2882),MONTH(A2882),1)</f>
        <v>46143</v>
      </c>
      <c r="G2882" s="24" t="str">
        <f aca="false">INDEX(Products!$C$2:$C$49,MATCH(C2882,Products!$A$2:$A$49,0))</f>
        <v>Beverages</v>
      </c>
      <c r="H2882" s="33" t="n">
        <f aca="false">D2882*INDEX(Products!$E$2:$E$49,MATCH(C2882,Products!$A$2:$A$49,0))</f>
        <v>1850</v>
      </c>
      <c r="I2882" s="33" t="n">
        <f aca="false">D2882*INDEX(Products!$D$2:$D$49,MATCH(C2882,Products!$A$2:$A$49,0))*(1+INDEX(Assumptions!$B$16:$B$20,MATCH(B2882,Assumptions!$A$16:$A$20,0)))</f>
        <v>1315.72</v>
      </c>
      <c r="J2882" s="33" t="n">
        <f aca="false">H2882-I2882</f>
        <v>534.28</v>
      </c>
      <c r="K2882" s="33" t="n">
        <f aca="false">IF(OR(E2882=0,E2882&gt;=7),0,D2882/(7-E2882)*E2882*INDEX(Products!$E$2:$E$49,MATCH(C2882,Products!$A$2:$A$49,0)))</f>
        <v>0</v>
      </c>
    </row>
    <row r="2883" customFormat="false" ht="15" hidden="false" customHeight="false" outlineLevel="0" collapsed="false">
      <c r="A2883" s="36" t="n">
        <v>46160</v>
      </c>
      <c r="B2883" s="24" t="s">
        <v>63</v>
      </c>
      <c r="C2883" s="24" t="s">
        <v>153</v>
      </c>
      <c r="D2883" s="33" t="n">
        <v>47</v>
      </c>
      <c r="E2883" s="24" t="n">
        <v>0</v>
      </c>
      <c r="F2883" s="37" t="n">
        <f aca="false">DATE(YEAR(A2883),MONTH(A2883),1)</f>
        <v>46143</v>
      </c>
      <c r="G2883" s="24" t="str">
        <f aca="false">INDEX(Products!$C$2:$C$49,MATCH(C2883,Products!$A$2:$A$49,0))</f>
        <v>Beverages</v>
      </c>
      <c r="H2883" s="33" t="n">
        <f aca="false">D2883*INDEX(Products!$E$2:$E$49,MATCH(C2883,Products!$A$2:$A$49,0))</f>
        <v>2350</v>
      </c>
      <c r="I2883" s="33" t="n">
        <f aca="false">D2883*INDEX(Products!$D$2:$D$49,MATCH(C2883,Products!$A$2:$A$49,0))*(1+INDEX(Assumptions!$B$16:$B$20,MATCH(B2883,Assumptions!$A$16:$A$20,0)))</f>
        <v>1671.32</v>
      </c>
      <c r="J2883" s="33" t="n">
        <f aca="false">H2883-I2883</f>
        <v>678.68</v>
      </c>
      <c r="K2883" s="33" t="n">
        <f aca="false">IF(OR(E2883=0,E2883&gt;=7),0,D2883/(7-E2883)*E2883*INDEX(Products!$E$2:$E$49,MATCH(C2883,Products!$A$2:$A$49,0)))</f>
        <v>0</v>
      </c>
    </row>
    <row r="2884" customFormat="false" ht="15" hidden="false" customHeight="false" outlineLevel="0" collapsed="false">
      <c r="A2884" s="36" t="n">
        <v>46167</v>
      </c>
      <c r="B2884" s="24" t="s">
        <v>63</v>
      </c>
      <c r="C2884" s="24" t="s">
        <v>153</v>
      </c>
      <c r="D2884" s="33" t="n">
        <v>46</v>
      </c>
      <c r="E2884" s="24" t="n">
        <v>0</v>
      </c>
      <c r="F2884" s="37" t="n">
        <f aca="false">DATE(YEAR(A2884),MONTH(A2884),1)</f>
        <v>46143</v>
      </c>
      <c r="G2884" s="24" t="str">
        <f aca="false">INDEX(Products!$C$2:$C$49,MATCH(C2884,Products!$A$2:$A$49,0))</f>
        <v>Beverages</v>
      </c>
      <c r="H2884" s="33" t="n">
        <f aca="false">D2884*INDEX(Products!$E$2:$E$49,MATCH(C2884,Products!$A$2:$A$49,0))</f>
        <v>2300</v>
      </c>
      <c r="I2884" s="33" t="n">
        <f aca="false">D2884*INDEX(Products!$D$2:$D$49,MATCH(C2884,Products!$A$2:$A$49,0))*(1+INDEX(Assumptions!$B$16:$B$20,MATCH(B2884,Assumptions!$A$16:$A$20,0)))</f>
        <v>1635.76</v>
      </c>
      <c r="J2884" s="33" t="n">
        <f aca="false">H2884-I2884</f>
        <v>664.24</v>
      </c>
      <c r="K2884" s="33" t="n">
        <f aca="false">IF(OR(E2884=0,E2884&gt;=7),0,D2884/(7-E2884)*E2884*INDEX(Products!$E$2:$E$49,MATCH(C2884,Products!$A$2:$A$49,0)))</f>
        <v>0</v>
      </c>
    </row>
    <row r="2885" customFormat="false" ht="15" hidden="false" customHeight="false" outlineLevel="0" collapsed="false">
      <c r="A2885" s="36" t="n">
        <v>46174</v>
      </c>
      <c r="B2885" s="24" t="s">
        <v>63</v>
      </c>
      <c r="C2885" s="24" t="s">
        <v>153</v>
      </c>
      <c r="D2885" s="33" t="n">
        <v>60</v>
      </c>
      <c r="E2885" s="24" t="n">
        <v>0</v>
      </c>
      <c r="F2885" s="37" t="n">
        <f aca="false">DATE(YEAR(A2885),MONTH(A2885),1)</f>
        <v>46174</v>
      </c>
      <c r="G2885" s="24" t="str">
        <f aca="false">INDEX(Products!$C$2:$C$49,MATCH(C2885,Products!$A$2:$A$49,0))</f>
        <v>Beverages</v>
      </c>
      <c r="H2885" s="33" t="n">
        <f aca="false">D2885*INDEX(Products!$E$2:$E$49,MATCH(C2885,Products!$A$2:$A$49,0))</f>
        <v>3000</v>
      </c>
      <c r="I2885" s="33" t="n">
        <f aca="false">D2885*INDEX(Products!$D$2:$D$49,MATCH(C2885,Products!$A$2:$A$49,0))*(1+INDEX(Assumptions!$B$16:$B$20,MATCH(B2885,Assumptions!$A$16:$A$20,0)))</f>
        <v>2133.6</v>
      </c>
      <c r="J2885" s="33" t="n">
        <f aca="false">H2885-I2885</f>
        <v>866.4</v>
      </c>
      <c r="K2885" s="33" t="n">
        <f aca="false">IF(OR(E2885=0,E2885&gt;=7),0,D2885/(7-E2885)*E2885*INDEX(Products!$E$2:$E$49,MATCH(C2885,Products!$A$2:$A$49,0)))</f>
        <v>0</v>
      </c>
    </row>
    <row r="2886" customFormat="false" ht="15" hidden="false" customHeight="false" outlineLevel="0" collapsed="false">
      <c r="A2886" s="36" t="n">
        <v>46181</v>
      </c>
      <c r="B2886" s="24" t="s">
        <v>63</v>
      </c>
      <c r="C2886" s="24" t="s">
        <v>153</v>
      </c>
      <c r="D2886" s="33" t="n">
        <v>38</v>
      </c>
      <c r="E2886" s="24" t="n">
        <v>0</v>
      </c>
      <c r="F2886" s="37" t="n">
        <f aca="false">DATE(YEAR(A2886),MONTH(A2886),1)</f>
        <v>46174</v>
      </c>
      <c r="G2886" s="24" t="str">
        <f aca="false">INDEX(Products!$C$2:$C$49,MATCH(C2886,Products!$A$2:$A$49,0))</f>
        <v>Beverages</v>
      </c>
      <c r="H2886" s="33" t="n">
        <f aca="false">D2886*INDEX(Products!$E$2:$E$49,MATCH(C2886,Products!$A$2:$A$49,0))</f>
        <v>1900</v>
      </c>
      <c r="I2886" s="33" t="n">
        <f aca="false">D2886*INDEX(Products!$D$2:$D$49,MATCH(C2886,Products!$A$2:$A$49,0))*(1+INDEX(Assumptions!$B$16:$B$20,MATCH(B2886,Assumptions!$A$16:$A$20,0)))</f>
        <v>1351.28</v>
      </c>
      <c r="J2886" s="33" t="n">
        <f aca="false">H2886-I2886</f>
        <v>548.72</v>
      </c>
      <c r="K2886" s="33" t="n">
        <f aca="false">IF(OR(E2886=0,E2886&gt;=7),0,D2886/(7-E2886)*E2886*INDEX(Products!$E$2:$E$49,MATCH(C2886,Products!$A$2:$A$49,0)))</f>
        <v>0</v>
      </c>
    </row>
    <row r="2887" customFormat="false" ht="15" hidden="false" customHeight="false" outlineLevel="0" collapsed="false">
      <c r="A2887" s="36" t="n">
        <v>46188</v>
      </c>
      <c r="B2887" s="24" t="s">
        <v>63</v>
      </c>
      <c r="C2887" s="24" t="s">
        <v>153</v>
      </c>
      <c r="D2887" s="33" t="n">
        <v>47</v>
      </c>
      <c r="E2887" s="24" t="n">
        <v>0</v>
      </c>
      <c r="F2887" s="37" t="n">
        <f aca="false">DATE(YEAR(A2887),MONTH(A2887),1)</f>
        <v>46174</v>
      </c>
      <c r="G2887" s="24" t="str">
        <f aca="false">INDEX(Products!$C$2:$C$49,MATCH(C2887,Products!$A$2:$A$49,0))</f>
        <v>Beverages</v>
      </c>
      <c r="H2887" s="33" t="n">
        <f aca="false">D2887*INDEX(Products!$E$2:$E$49,MATCH(C2887,Products!$A$2:$A$49,0))</f>
        <v>2350</v>
      </c>
      <c r="I2887" s="33" t="n">
        <f aca="false">D2887*INDEX(Products!$D$2:$D$49,MATCH(C2887,Products!$A$2:$A$49,0))*(1+INDEX(Assumptions!$B$16:$B$20,MATCH(B2887,Assumptions!$A$16:$A$20,0)))</f>
        <v>1671.32</v>
      </c>
      <c r="J2887" s="33" t="n">
        <f aca="false">H2887-I2887</f>
        <v>678.68</v>
      </c>
      <c r="K2887" s="33" t="n">
        <f aca="false">IF(OR(E2887=0,E2887&gt;=7),0,D2887/(7-E2887)*E2887*INDEX(Products!$E$2:$E$49,MATCH(C2887,Products!$A$2:$A$49,0)))</f>
        <v>0</v>
      </c>
    </row>
    <row r="2888" customFormat="false" ht="15" hidden="false" customHeight="false" outlineLevel="0" collapsed="false">
      <c r="A2888" s="36" t="n">
        <v>46195</v>
      </c>
      <c r="B2888" s="24" t="s">
        <v>63</v>
      </c>
      <c r="C2888" s="24" t="s">
        <v>153</v>
      </c>
      <c r="D2888" s="33" t="n">
        <v>40</v>
      </c>
      <c r="E2888" s="24" t="n">
        <v>0</v>
      </c>
      <c r="F2888" s="37" t="n">
        <f aca="false">DATE(YEAR(A2888),MONTH(A2888),1)</f>
        <v>46174</v>
      </c>
      <c r="G2888" s="24" t="str">
        <f aca="false">INDEX(Products!$C$2:$C$49,MATCH(C2888,Products!$A$2:$A$49,0))</f>
        <v>Beverages</v>
      </c>
      <c r="H2888" s="33" t="n">
        <f aca="false">D2888*INDEX(Products!$E$2:$E$49,MATCH(C2888,Products!$A$2:$A$49,0))</f>
        <v>2000</v>
      </c>
      <c r="I2888" s="33" t="n">
        <f aca="false">D2888*INDEX(Products!$D$2:$D$49,MATCH(C2888,Products!$A$2:$A$49,0))*(1+INDEX(Assumptions!$B$16:$B$20,MATCH(B2888,Assumptions!$A$16:$A$20,0)))</f>
        <v>1422.4</v>
      </c>
      <c r="J2888" s="33" t="n">
        <f aca="false">H2888-I2888</f>
        <v>577.6</v>
      </c>
      <c r="K2888" s="33" t="n">
        <f aca="false">IF(OR(E2888=0,E2888&gt;=7),0,D2888/(7-E2888)*E2888*INDEX(Products!$E$2:$E$49,MATCH(C2888,Products!$A$2:$A$49,0)))</f>
        <v>0</v>
      </c>
    </row>
    <row r="2889" customFormat="false" ht="15" hidden="false" customHeight="false" outlineLevel="0" collapsed="false">
      <c r="A2889" s="36" t="n">
        <v>46202</v>
      </c>
      <c r="B2889" s="24" t="s">
        <v>63</v>
      </c>
      <c r="C2889" s="24" t="s">
        <v>153</v>
      </c>
      <c r="D2889" s="33" t="n">
        <v>48</v>
      </c>
      <c r="E2889" s="24" t="n">
        <v>0</v>
      </c>
      <c r="F2889" s="37" t="n">
        <f aca="false">DATE(YEAR(A2889),MONTH(A2889),1)</f>
        <v>46174</v>
      </c>
      <c r="G2889" s="24" t="str">
        <f aca="false">INDEX(Products!$C$2:$C$49,MATCH(C2889,Products!$A$2:$A$49,0))</f>
        <v>Beverages</v>
      </c>
      <c r="H2889" s="33" t="n">
        <f aca="false">D2889*INDEX(Products!$E$2:$E$49,MATCH(C2889,Products!$A$2:$A$49,0))</f>
        <v>2400</v>
      </c>
      <c r="I2889" s="33" t="n">
        <f aca="false">D2889*INDEX(Products!$D$2:$D$49,MATCH(C2889,Products!$A$2:$A$49,0))*(1+INDEX(Assumptions!$B$16:$B$20,MATCH(B2889,Assumptions!$A$16:$A$20,0)))</f>
        <v>1706.88</v>
      </c>
      <c r="J2889" s="33" t="n">
        <f aca="false">H2889-I2889</f>
        <v>693.12</v>
      </c>
      <c r="K2889" s="33" t="n">
        <f aca="false">IF(OR(E2889=0,E2889&gt;=7),0,D2889/(7-E2889)*E2889*INDEX(Products!$E$2:$E$49,MATCH(C2889,Products!$A$2:$A$49,0)))</f>
        <v>0</v>
      </c>
    </row>
    <row r="2890" customFormat="false" ht="15" hidden="false" customHeight="false" outlineLevel="0" collapsed="false">
      <c r="A2890" s="36" t="n">
        <v>46209</v>
      </c>
      <c r="B2890" s="24" t="s">
        <v>63</v>
      </c>
      <c r="C2890" s="24" t="s">
        <v>153</v>
      </c>
      <c r="D2890" s="33" t="n">
        <v>85</v>
      </c>
      <c r="E2890" s="24" t="n">
        <v>0</v>
      </c>
      <c r="F2890" s="37" t="n">
        <f aca="false">DATE(YEAR(A2890),MONTH(A2890),1)</f>
        <v>46204</v>
      </c>
      <c r="G2890" s="24" t="str">
        <f aca="false">INDEX(Products!$C$2:$C$49,MATCH(C2890,Products!$A$2:$A$49,0))</f>
        <v>Beverages</v>
      </c>
      <c r="H2890" s="33" t="n">
        <f aca="false">D2890*INDEX(Products!$E$2:$E$49,MATCH(C2890,Products!$A$2:$A$49,0))</f>
        <v>4250</v>
      </c>
      <c r="I2890" s="33" t="n">
        <f aca="false">D2890*INDEX(Products!$D$2:$D$49,MATCH(C2890,Products!$A$2:$A$49,0))*(1+INDEX(Assumptions!$B$16:$B$20,MATCH(B2890,Assumptions!$A$16:$A$20,0)))</f>
        <v>3022.6</v>
      </c>
      <c r="J2890" s="33" t="n">
        <f aca="false">H2890-I2890</f>
        <v>1227.4</v>
      </c>
      <c r="K2890" s="33" t="n">
        <f aca="false">IF(OR(E2890=0,E2890&gt;=7),0,D2890/(7-E2890)*E2890*INDEX(Products!$E$2:$E$49,MATCH(C2890,Products!$A$2:$A$49,0)))</f>
        <v>0</v>
      </c>
    </row>
    <row r="2891" customFormat="false" ht="15" hidden="false" customHeight="false" outlineLevel="0" collapsed="false">
      <c r="A2891" s="36" t="n">
        <v>46216</v>
      </c>
      <c r="B2891" s="24" t="s">
        <v>63</v>
      </c>
      <c r="C2891" s="24" t="s">
        <v>153</v>
      </c>
      <c r="D2891" s="33" t="n">
        <v>40</v>
      </c>
      <c r="E2891" s="24" t="n">
        <v>0</v>
      </c>
      <c r="F2891" s="37" t="n">
        <f aca="false">DATE(YEAR(A2891),MONTH(A2891),1)</f>
        <v>46204</v>
      </c>
      <c r="G2891" s="24" t="str">
        <f aca="false">INDEX(Products!$C$2:$C$49,MATCH(C2891,Products!$A$2:$A$49,0))</f>
        <v>Beverages</v>
      </c>
      <c r="H2891" s="33" t="n">
        <f aca="false">D2891*INDEX(Products!$E$2:$E$49,MATCH(C2891,Products!$A$2:$A$49,0))</f>
        <v>2000</v>
      </c>
      <c r="I2891" s="33" t="n">
        <f aca="false">D2891*INDEX(Products!$D$2:$D$49,MATCH(C2891,Products!$A$2:$A$49,0))*(1+INDEX(Assumptions!$B$16:$B$20,MATCH(B2891,Assumptions!$A$16:$A$20,0)))</f>
        <v>1422.4</v>
      </c>
      <c r="J2891" s="33" t="n">
        <f aca="false">H2891-I2891</f>
        <v>577.6</v>
      </c>
      <c r="K2891" s="33" t="n">
        <f aca="false">IF(OR(E2891=0,E2891&gt;=7),0,D2891/(7-E2891)*E2891*INDEX(Products!$E$2:$E$49,MATCH(C2891,Products!$A$2:$A$49,0)))</f>
        <v>0</v>
      </c>
    </row>
    <row r="2892" customFormat="false" ht="15" hidden="false" customHeight="false" outlineLevel="0" collapsed="false">
      <c r="A2892" s="36" t="n">
        <v>46223</v>
      </c>
      <c r="B2892" s="24" t="s">
        <v>63</v>
      </c>
      <c r="C2892" s="24" t="s">
        <v>153</v>
      </c>
      <c r="D2892" s="33" t="n">
        <v>58</v>
      </c>
      <c r="E2892" s="24" t="n">
        <v>0</v>
      </c>
      <c r="F2892" s="37" t="n">
        <f aca="false">DATE(YEAR(A2892),MONTH(A2892),1)</f>
        <v>46204</v>
      </c>
      <c r="G2892" s="24" t="str">
        <f aca="false">INDEX(Products!$C$2:$C$49,MATCH(C2892,Products!$A$2:$A$49,0))</f>
        <v>Beverages</v>
      </c>
      <c r="H2892" s="33" t="n">
        <f aca="false">D2892*INDEX(Products!$E$2:$E$49,MATCH(C2892,Products!$A$2:$A$49,0))</f>
        <v>2900</v>
      </c>
      <c r="I2892" s="33" t="n">
        <f aca="false">D2892*INDEX(Products!$D$2:$D$49,MATCH(C2892,Products!$A$2:$A$49,0))*(1+INDEX(Assumptions!$B$16:$B$20,MATCH(B2892,Assumptions!$A$16:$A$20,0)))</f>
        <v>2062.48</v>
      </c>
      <c r="J2892" s="33" t="n">
        <f aca="false">H2892-I2892</f>
        <v>837.52</v>
      </c>
      <c r="K2892" s="33" t="n">
        <f aca="false">IF(OR(E2892=0,E2892&gt;=7),0,D2892/(7-E2892)*E2892*INDEX(Products!$E$2:$E$49,MATCH(C2892,Products!$A$2:$A$49,0)))</f>
        <v>0</v>
      </c>
    </row>
    <row r="2893" customFormat="false" ht="15" hidden="false" customHeight="false" outlineLevel="0" collapsed="false">
      <c r="A2893" s="36" t="n">
        <v>46230</v>
      </c>
      <c r="B2893" s="24" t="s">
        <v>63</v>
      </c>
      <c r="C2893" s="24" t="s">
        <v>153</v>
      </c>
      <c r="D2893" s="33" t="n">
        <v>44</v>
      </c>
      <c r="E2893" s="24" t="n">
        <v>0</v>
      </c>
      <c r="F2893" s="37" t="n">
        <f aca="false">DATE(YEAR(A2893),MONTH(A2893),1)</f>
        <v>46204</v>
      </c>
      <c r="G2893" s="24" t="str">
        <f aca="false">INDEX(Products!$C$2:$C$49,MATCH(C2893,Products!$A$2:$A$49,0))</f>
        <v>Beverages</v>
      </c>
      <c r="H2893" s="33" t="n">
        <f aca="false">D2893*INDEX(Products!$E$2:$E$49,MATCH(C2893,Products!$A$2:$A$49,0))</f>
        <v>2200</v>
      </c>
      <c r="I2893" s="33" t="n">
        <f aca="false">D2893*INDEX(Products!$D$2:$D$49,MATCH(C2893,Products!$A$2:$A$49,0))*(1+INDEX(Assumptions!$B$16:$B$20,MATCH(B2893,Assumptions!$A$16:$A$20,0)))</f>
        <v>1564.64</v>
      </c>
      <c r="J2893" s="33" t="n">
        <f aca="false">H2893-I2893</f>
        <v>635.36</v>
      </c>
      <c r="K2893" s="33" t="n">
        <f aca="false">IF(OR(E2893=0,E2893&gt;=7),0,D2893/(7-E2893)*E2893*INDEX(Products!$E$2:$E$49,MATCH(C2893,Products!$A$2:$A$49,0)))</f>
        <v>0</v>
      </c>
    </row>
    <row r="2894" customFormat="false" ht="15" hidden="false" customHeight="false" outlineLevel="0" collapsed="false">
      <c r="A2894" s="36" t="n">
        <v>46237</v>
      </c>
      <c r="B2894" s="24" t="s">
        <v>63</v>
      </c>
      <c r="C2894" s="24" t="s">
        <v>153</v>
      </c>
      <c r="D2894" s="33" t="n">
        <v>34</v>
      </c>
      <c r="E2894" s="24" t="n">
        <v>0</v>
      </c>
      <c r="F2894" s="37" t="n">
        <f aca="false">DATE(YEAR(A2894),MONTH(A2894),1)</f>
        <v>46235</v>
      </c>
      <c r="G2894" s="24" t="str">
        <f aca="false">INDEX(Products!$C$2:$C$49,MATCH(C2894,Products!$A$2:$A$49,0))</f>
        <v>Beverages</v>
      </c>
      <c r="H2894" s="33" t="n">
        <f aca="false">D2894*INDEX(Products!$E$2:$E$49,MATCH(C2894,Products!$A$2:$A$49,0))</f>
        <v>1700</v>
      </c>
      <c r="I2894" s="33" t="n">
        <f aca="false">D2894*INDEX(Products!$D$2:$D$49,MATCH(C2894,Products!$A$2:$A$49,0))*(1+INDEX(Assumptions!$B$16:$B$20,MATCH(B2894,Assumptions!$A$16:$A$20,0)))</f>
        <v>1209.04</v>
      </c>
      <c r="J2894" s="33" t="n">
        <f aca="false">H2894-I2894</f>
        <v>490.96</v>
      </c>
      <c r="K2894" s="33" t="n">
        <f aca="false">IF(OR(E2894=0,E2894&gt;=7),0,D2894/(7-E2894)*E2894*INDEX(Products!$E$2:$E$49,MATCH(C2894,Products!$A$2:$A$49,0)))</f>
        <v>0</v>
      </c>
    </row>
    <row r="2895" customFormat="false" ht="15" hidden="false" customHeight="false" outlineLevel="0" collapsed="false">
      <c r="A2895" s="36" t="n">
        <v>46244</v>
      </c>
      <c r="B2895" s="24" t="s">
        <v>63</v>
      </c>
      <c r="C2895" s="24" t="s">
        <v>153</v>
      </c>
      <c r="D2895" s="33" t="n">
        <v>33</v>
      </c>
      <c r="E2895" s="24" t="n">
        <v>0</v>
      </c>
      <c r="F2895" s="37" t="n">
        <f aca="false">DATE(YEAR(A2895),MONTH(A2895),1)</f>
        <v>46235</v>
      </c>
      <c r="G2895" s="24" t="str">
        <f aca="false">INDEX(Products!$C$2:$C$49,MATCH(C2895,Products!$A$2:$A$49,0))</f>
        <v>Beverages</v>
      </c>
      <c r="H2895" s="33" t="n">
        <f aca="false">D2895*INDEX(Products!$E$2:$E$49,MATCH(C2895,Products!$A$2:$A$49,0))</f>
        <v>1650</v>
      </c>
      <c r="I2895" s="33" t="n">
        <f aca="false">D2895*INDEX(Products!$D$2:$D$49,MATCH(C2895,Products!$A$2:$A$49,0))*(1+INDEX(Assumptions!$B$16:$B$20,MATCH(B2895,Assumptions!$A$16:$A$20,0)))</f>
        <v>1173.48</v>
      </c>
      <c r="J2895" s="33" t="n">
        <f aca="false">H2895-I2895</f>
        <v>476.52</v>
      </c>
      <c r="K2895" s="33" t="n">
        <f aca="false">IF(OR(E2895=0,E2895&gt;=7),0,D2895/(7-E2895)*E2895*INDEX(Products!$E$2:$E$49,MATCH(C2895,Products!$A$2:$A$49,0)))</f>
        <v>0</v>
      </c>
    </row>
    <row r="2896" customFormat="false" ht="15" hidden="false" customHeight="false" outlineLevel="0" collapsed="false">
      <c r="A2896" s="36" t="n">
        <v>46251</v>
      </c>
      <c r="B2896" s="24" t="s">
        <v>63</v>
      </c>
      <c r="C2896" s="24" t="s">
        <v>153</v>
      </c>
      <c r="D2896" s="33" t="n">
        <v>23</v>
      </c>
      <c r="E2896" s="24" t="n">
        <v>0</v>
      </c>
      <c r="F2896" s="37" t="n">
        <f aca="false">DATE(YEAR(A2896),MONTH(A2896),1)</f>
        <v>46235</v>
      </c>
      <c r="G2896" s="24" t="str">
        <f aca="false">INDEX(Products!$C$2:$C$49,MATCH(C2896,Products!$A$2:$A$49,0))</f>
        <v>Beverages</v>
      </c>
      <c r="H2896" s="33" t="n">
        <f aca="false">D2896*INDEX(Products!$E$2:$E$49,MATCH(C2896,Products!$A$2:$A$49,0))</f>
        <v>1150</v>
      </c>
      <c r="I2896" s="33" t="n">
        <f aca="false">D2896*INDEX(Products!$D$2:$D$49,MATCH(C2896,Products!$A$2:$A$49,0))*(1+INDEX(Assumptions!$B$16:$B$20,MATCH(B2896,Assumptions!$A$16:$A$20,0)))</f>
        <v>817.88</v>
      </c>
      <c r="J2896" s="33" t="n">
        <f aca="false">H2896-I2896</f>
        <v>332.12</v>
      </c>
      <c r="K2896" s="33" t="n">
        <f aca="false">IF(OR(E2896=0,E2896&gt;=7),0,D2896/(7-E2896)*E2896*INDEX(Products!$E$2:$E$49,MATCH(C2896,Products!$A$2:$A$49,0)))</f>
        <v>0</v>
      </c>
    </row>
    <row r="2897" customFormat="false" ht="15" hidden="false" customHeight="false" outlineLevel="0" collapsed="false">
      <c r="A2897" s="36" t="n">
        <v>46258</v>
      </c>
      <c r="B2897" s="24" t="s">
        <v>63</v>
      </c>
      <c r="C2897" s="24" t="s">
        <v>153</v>
      </c>
      <c r="D2897" s="33" t="n">
        <v>48</v>
      </c>
      <c r="E2897" s="24" t="n">
        <v>0</v>
      </c>
      <c r="F2897" s="37" t="n">
        <f aca="false">DATE(YEAR(A2897),MONTH(A2897),1)</f>
        <v>46235</v>
      </c>
      <c r="G2897" s="24" t="str">
        <f aca="false">INDEX(Products!$C$2:$C$49,MATCH(C2897,Products!$A$2:$A$49,0))</f>
        <v>Beverages</v>
      </c>
      <c r="H2897" s="33" t="n">
        <f aca="false">D2897*INDEX(Products!$E$2:$E$49,MATCH(C2897,Products!$A$2:$A$49,0))</f>
        <v>2400</v>
      </c>
      <c r="I2897" s="33" t="n">
        <f aca="false">D2897*INDEX(Products!$D$2:$D$49,MATCH(C2897,Products!$A$2:$A$49,0))*(1+INDEX(Assumptions!$B$16:$B$20,MATCH(B2897,Assumptions!$A$16:$A$20,0)))</f>
        <v>1706.88</v>
      </c>
      <c r="J2897" s="33" t="n">
        <f aca="false">H2897-I2897</f>
        <v>693.12</v>
      </c>
      <c r="K2897" s="33" t="n">
        <f aca="false">IF(OR(E2897=0,E2897&gt;=7),0,D2897/(7-E2897)*E2897*INDEX(Products!$E$2:$E$49,MATCH(C2897,Products!$A$2:$A$49,0)))</f>
        <v>0</v>
      </c>
    </row>
    <row r="2898" customFormat="false" ht="15" hidden="false" customHeight="false" outlineLevel="0" collapsed="false">
      <c r="A2898" s="36" t="n">
        <v>46265</v>
      </c>
      <c r="B2898" s="24" t="s">
        <v>63</v>
      </c>
      <c r="C2898" s="24" t="s">
        <v>153</v>
      </c>
      <c r="D2898" s="33" t="n">
        <v>40</v>
      </c>
      <c r="E2898" s="24" t="n">
        <v>0</v>
      </c>
      <c r="F2898" s="37" t="n">
        <f aca="false">DATE(YEAR(A2898),MONTH(A2898),1)</f>
        <v>46235</v>
      </c>
      <c r="G2898" s="24" t="str">
        <f aca="false">INDEX(Products!$C$2:$C$49,MATCH(C2898,Products!$A$2:$A$49,0))</f>
        <v>Beverages</v>
      </c>
      <c r="H2898" s="33" t="n">
        <f aca="false">D2898*INDEX(Products!$E$2:$E$49,MATCH(C2898,Products!$A$2:$A$49,0))</f>
        <v>2000</v>
      </c>
      <c r="I2898" s="33" t="n">
        <f aca="false">D2898*INDEX(Products!$D$2:$D$49,MATCH(C2898,Products!$A$2:$A$49,0))*(1+INDEX(Assumptions!$B$16:$B$20,MATCH(B2898,Assumptions!$A$16:$A$20,0)))</f>
        <v>1422.4</v>
      </c>
      <c r="J2898" s="33" t="n">
        <f aca="false">H2898-I2898</f>
        <v>577.6</v>
      </c>
      <c r="K2898" s="33" t="n">
        <f aca="false">IF(OR(E2898=0,E2898&gt;=7),0,D2898/(7-E2898)*E2898*INDEX(Products!$E$2:$E$49,MATCH(C2898,Products!$A$2:$A$49,0)))</f>
        <v>0</v>
      </c>
    </row>
    <row r="2899" customFormat="false" ht="15" hidden="false" customHeight="false" outlineLevel="0" collapsed="false">
      <c r="A2899" s="36" t="n">
        <v>46272</v>
      </c>
      <c r="B2899" s="24" t="s">
        <v>63</v>
      </c>
      <c r="C2899" s="24" t="s">
        <v>153</v>
      </c>
      <c r="D2899" s="33" t="n">
        <v>36</v>
      </c>
      <c r="E2899" s="24" t="n">
        <v>0</v>
      </c>
      <c r="F2899" s="37" t="n">
        <f aca="false">DATE(YEAR(A2899),MONTH(A2899),1)</f>
        <v>46266</v>
      </c>
      <c r="G2899" s="24" t="str">
        <f aca="false">INDEX(Products!$C$2:$C$49,MATCH(C2899,Products!$A$2:$A$49,0))</f>
        <v>Beverages</v>
      </c>
      <c r="H2899" s="33" t="n">
        <f aca="false">D2899*INDEX(Products!$E$2:$E$49,MATCH(C2899,Products!$A$2:$A$49,0))</f>
        <v>1800</v>
      </c>
      <c r="I2899" s="33" t="n">
        <f aca="false">D2899*INDEX(Products!$D$2:$D$49,MATCH(C2899,Products!$A$2:$A$49,0))*(1+INDEX(Assumptions!$B$16:$B$20,MATCH(B2899,Assumptions!$A$16:$A$20,0)))</f>
        <v>1280.16</v>
      </c>
      <c r="J2899" s="33" t="n">
        <f aca="false">H2899-I2899</f>
        <v>519.84</v>
      </c>
      <c r="K2899" s="33" t="n">
        <f aca="false">IF(OR(E2899=0,E2899&gt;=7),0,D2899/(7-E2899)*E2899*INDEX(Products!$E$2:$E$49,MATCH(C2899,Products!$A$2:$A$49,0)))</f>
        <v>0</v>
      </c>
    </row>
    <row r="2900" customFormat="false" ht="15" hidden="false" customHeight="false" outlineLevel="0" collapsed="false">
      <c r="A2900" s="36" t="n">
        <v>46279</v>
      </c>
      <c r="B2900" s="24" t="s">
        <v>63</v>
      </c>
      <c r="C2900" s="24" t="s">
        <v>153</v>
      </c>
      <c r="D2900" s="33" t="n">
        <v>34</v>
      </c>
      <c r="E2900" s="24" t="n">
        <v>0</v>
      </c>
      <c r="F2900" s="37" t="n">
        <f aca="false">DATE(YEAR(A2900),MONTH(A2900),1)</f>
        <v>46266</v>
      </c>
      <c r="G2900" s="24" t="str">
        <f aca="false">INDEX(Products!$C$2:$C$49,MATCH(C2900,Products!$A$2:$A$49,0))</f>
        <v>Beverages</v>
      </c>
      <c r="H2900" s="33" t="n">
        <f aca="false">D2900*INDEX(Products!$E$2:$E$49,MATCH(C2900,Products!$A$2:$A$49,0))</f>
        <v>1700</v>
      </c>
      <c r="I2900" s="33" t="n">
        <f aca="false">D2900*INDEX(Products!$D$2:$D$49,MATCH(C2900,Products!$A$2:$A$49,0))*(1+INDEX(Assumptions!$B$16:$B$20,MATCH(B2900,Assumptions!$A$16:$A$20,0)))</f>
        <v>1209.04</v>
      </c>
      <c r="J2900" s="33" t="n">
        <f aca="false">H2900-I2900</f>
        <v>490.96</v>
      </c>
      <c r="K2900" s="33" t="n">
        <f aca="false">IF(OR(E2900=0,E2900&gt;=7),0,D2900/(7-E2900)*E2900*INDEX(Products!$E$2:$E$49,MATCH(C2900,Products!$A$2:$A$49,0)))</f>
        <v>0</v>
      </c>
    </row>
    <row r="2901" customFormat="false" ht="15" hidden="false" customHeight="false" outlineLevel="0" collapsed="false">
      <c r="A2901" s="36" t="n">
        <v>46286</v>
      </c>
      <c r="B2901" s="24" t="s">
        <v>63</v>
      </c>
      <c r="C2901" s="24" t="s">
        <v>153</v>
      </c>
      <c r="D2901" s="33" t="n">
        <v>40</v>
      </c>
      <c r="E2901" s="24" t="n">
        <v>0</v>
      </c>
      <c r="F2901" s="37" t="n">
        <f aca="false">DATE(YEAR(A2901),MONTH(A2901),1)</f>
        <v>46266</v>
      </c>
      <c r="G2901" s="24" t="str">
        <f aca="false">INDEX(Products!$C$2:$C$49,MATCH(C2901,Products!$A$2:$A$49,0))</f>
        <v>Beverages</v>
      </c>
      <c r="H2901" s="33" t="n">
        <f aca="false">D2901*INDEX(Products!$E$2:$E$49,MATCH(C2901,Products!$A$2:$A$49,0))</f>
        <v>2000</v>
      </c>
      <c r="I2901" s="33" t="n">
        <f aca="false">D2901*INDEX(Products!$D$2:$D$49,MATCH(C2901,Products!$A$2:$A$49,0))*(1+INDEX(Assumptions!$B$16:$B$20,MATCH(B2901,Assumptions!$A$16:$A$20,0)))</f>
        <v>1422.4</v>
      </c>
      <c r="J2901" s="33" t="n">
        <f aca="false">H2901-I2901</f>
        <v>577.6</v>
      </c>
      <c r="K2901" s="33" t="n">
        <f aca="false">IF(OR(E2901=0,E2901&gt;=7),0,D2901/(7-E2901)*E2901*INDEX(Products!$E$2:$E$49,MATCH(C2901,Products!$A$2:$A$49,0)))</f>
        <v>0</v>
      </c>
    </row>
    <row r="2902" customFormat="false" ht="15" hidden="false" customHeight="false" outlineLevel="0" collapsed="false">
      <c r="A2902" s="36" t="n">
        <v>46118</v>
      </c>
      <c r="B2902" s="24" t="s">
        <v>63</v>
      </c>
      <c r="C2902" s="24" t="s">
        <v>155</v>
      </c>
      <c r="D2902" s="33" t="n">
        <v>58</v>
      </c>
      <c r="E2902" s="24" t="n">
        <v>0</v>
      </c>
      <c r="F2902" s="37" t="n">
        <f aca="false">DATE(YEAR(A2902),MONTH(A2902),1)</f>
        <v>46113</v>
      </c>
      <c r="G2902" s="24" t="str">
        <f aca="false">INDEX(Products!$C$2:$C$49,MATCH(C2902,Products!$A$2:$A$49,0))</f>
        <v>Beverages</v>
      </c>
      <c r="H2902" s="33" t="n">
        <f aca="false">D2902*INDEX(Products!$E$2:$E$49,MATCH(C2902,Products!$A$2:$A$49,0))</f>
        <v>2030</v>
      </c>
      <c r="I2902" s="33" t="n">
        <f aca="false">D2902*INDEX(Products!$D$2:$D$49,MATCH(C2902,Products!$A$2:$A$49,0))*(1+INDEX(Assumptions!$B$16:$B$20,MATCH(B2902,Assumptions!$A$16:$A$20,0)))</f>
        <v>1532.128</v>
      </c>
      <c r="J2902" s="33" t="n">
        <f aca="false">H2902-I2902</f>
        <v>497.872</v>
      </c>
      <c r="K2902" s="33" t="n">
        <f aca="false">IF(OR(E2902=0,E2902&gt;=7),0,D2902/(7-E2902)*E2902*INDEX(Products!$E$2:$E$49,MATCH(C2902,Products!$A$2:$A$49,0)))</f>
        <v>0</v>
      </c>
    </row>
    <row r="2903" customFormat="false" ht="15" hidden="false" customHeight="false" outlineLevel="0" collapsed="false">
      <c r="A2903" s="36" t="n">
        <v>46125</v>
      </c>
      <c r="B2903" s="24" t="s">
        <v>63</v>
      </c>
      <c r="C2903" s="24" t="s">
        <v>155</v>
      </c>
      <c r="D2903" s="33" t="n">
        <v>83</v>
      </c>
      <c r="E2903" s="24" t="n">
        <v>0</v>
      </c>
      <c r="F2903" s="37" t="n">
        <f aca="false">DATE(YEAR(A2903),MONTH(A2903),1)</f>
        <v>46113</v>
      </c>
      <c r="G2903" s="24" t="str">
        <f aca="false">INDEX(Products!$C$2:$C$49,MATCH(C2903,Products!$A$2:$A$49,0))</f>
        <v>Beverages</v>
      </c>
      <c r="H2903" s="33" t="n">
        <f aca="false">D2903*INDEX(Products!$E$2:$E$49,MATCH(C2903,Products!$A$2:$A$49,0))</f>
        <v>2905</v>
      </c>
      <c r="I2903" s="33" t="n">
        <f aca="false">D2903*INDEX(Products!$D$2:$D$49,MATCH(C2903,Products!$A$2:$A$49,0))*(1+INDEX(Assumptions!$B$16:$B$20,MATCH(B2903,Assumptions!$A$16:$A$20,0)))</f>
        <v>2192.528</v>
      </c>
      <c r="J2903" s="33" t="n">
        <f aca="false">H2903-I2903</f>
        <v>712.472</v>
      </c>
      <c r="K2903" s="33" t="n">
        <f aca="false">IF(OR(E2903=0,E2903&gt;=7),0,D2903/(7-E2903)*E2903*INDEX(Products!$E$2:$E$49,MATCH(C2903,Products!$A$2:$A$49,0)))</f>
        <v>0</v>
      </c>
    </row>
    <row r="2904" customFormat="false" ht="15" hidden="false" customHeight="false" outlineLevel="0" collapsed="false">
      <c r="A2904" s="36" t="n">
        <v>46132</v>
      </c>
      <c r="B2904" s="24" t="s">
        <v>63</v>
      </c>
      <c r="C2904" s="24" t="s">
        <v>155</v>
      </c>
      <c r="D2904" s="33" t="n">
        <v>85</v>
      </c>
      <c r="E2904" s="24" t="n">
        <v>0</v>
      </c>
      <c r="F2904" s="37" t="n">
        <f aca="false">DATE(YEAR(A2904),MONTH(A2904),1)</f>
        <v>46113</v>
      </c>
      <c r="G2904" s="24" t="str">
        <f aca="false">INDEX(Products!$C$2:$C$49,MATCH(C2904,Products!$A$2:$A$49,0))</f>
        <v>Beverages</v>
      </c>
      <c r="H2904" s="33" t="n">
        <f aca="false">D2904*INDEX(Products!$E$2:$E$49,MATCH(C2904,Products!$A$2:$A$49,0))</f>
        <v>2975</v>
      </c>
      <c r="I2904" s="33" t="n">
        <f aca="false">D2904*INDEX(Products!$D$2:$D$49,MATCH(C2904,Products!$A$2:$A$49,0))*(1+INDEX(Assumptions!$B$16:$B$20,MATCH(B2904,Assumptions!$A$16:$A$20,0)))</f>
        <v>2245.36</v>
      </c>
      <c r="J2904" s="33" t="n">
        <f aca="false">H2904-I2904</f>
        <v>729.64</v>
      </c>
      <c r="K2904" s="33" t="n">
        <f aca="false">IF(OR(E2904=0,E2904&gt;=7),0,D2904/(7-E2904)*E2904*INDEX(Products!$E$2:$E$49,MATCH(C2904,Products!$A$2:$A$49,0)))</f>
        <v>0</v>
      </c>
    </row>
    <row r="2905" customFormat="false" ht="15" hidden="false" customHeight="false" outlineLevel="0" collapsed="false">
      <c r="A2905" s="36" t="n">
        <v>46139</v>
      </c>
      <c r="B2905" s="24" t="s">
        <v>63</v>
      </c>
      <c r="C2905" s="24" t="s">
        <v>155</v>
      </c>
      <c r="D2905" s="33" t="n">
        <v>81</v>
      </c>
      <c r="E2905" s="24" t="n">
        <v>0</v>
      </c>
      <c r="F2905" s="37" t="n">
        <f aca="false">DATE(YEAR(A2905),MONTH(A2905),1)</f>
        <v>46113</v>
      </c>
      <c r="G2905" s="24" t="str">
        <f aca="false">INDEX(Products!$C$2:$C$49,MATCH(C2905,Products!$A$2:$A$49,0))</f>
        <v>Beverages</v>
      </c>
      <c r="H2905" s="33" t="n">
        <f aca="false">D2905*INDEX(Products!$E$2:$E$49,MATCH(C2905,Products!$A$2:$A$49,0))</f>
        <v>2835</v>
      </c>
      <c r="I2905" s="33" t="n">
        <f aca="false">D2905*INDEX(Products!$D$2:$D$49,MATCH(C2905,Products!$A$2:$A$49,0))*(1+INDEX(Assumptions!$B$16:$B$20,MATCH(B2905,Assumptions!$A$16:$A$20,0)))</f>
        <v>2139.696</v>
      </c>
      <c r="J2905" s="33" t="n">
        <f aca="false">H2905-I2905</f>
        <v>695.304</v>
      </c>
      <c r="K2905" s="33" t="n">
        <f aca="false">IF(OR(E2905=0,E2905&gt;=7),0,D2905/(7-E2905)*E2905*INDEX(Products!$E$2:$E$49,MATCH(C2905,Products!$A$2:$A$49,0)))</f>
        <v>0</v>
      </c>
    </row>
    <row r="2906" customFormat="false" ht="15" hidden="false" customHeight="false" outlineLevel="0" collapsed="false">
      <c r="A2906" s="36" t="n">
        <v>46146</v>
      </c>
      <c r="B2906" s="24" t="s">
        <v>63</v>
      </c>
      <c r="C2906" s="24" t="s">
        <v>155</v>
      </c>
      <c r="D2906" s="33" t="n">
        <v>76</v>
      </c>
      <c r="E2906" s="24" t="n">
        <v>0</v>
      </c>
      <c r="F2906" s="37" t="n">
        <f aca="false">DATE(YEAR(A2906),MONTH(A2906),1)</f>
        <v>46143</v>
      </c>
      <c r="G2906" s="24" t="str">
        <f aca="false">INDEX(Products!$C$2:$C$49,MATCH(C2906,Products!$A$2:$A$49,0))</f>
        <v>Beverages</v>
      </c>
      <c r="H2906" s="33" t="n">
        <f aca="false">D2906*INDEX(Products!$E$2:$E$49,MATCH(C2906,Products!$A$2:$A$49,0))</f>
        <v>2660</v>
      </c>
      <c r="I2906" s="33" t="n">
        <f aca="false">D2906*INDEX(Products!$D$2:$D$49,MATCH(C2906,Products!$A$2:$A$49,0))*(1+INDEX(Assumptions!$B$16:$B$20,MATCH(B2906,Assumptions!$A$16:$A$20,0)))</f>
        <v>2007.616</v>
      </c>
      <c r="J2906" s="33" t="n">
        <f aca="false">H2906-I2906</f>
        <v>652.384</v>
      </c>
      <c r="K2906" s="33" t="n">
        <f aca="false">IF(OR(E2906=0,E2906&gt;=7),0,D2906/(7-E2906)*E2906*INDEX(Products!$E$2:$E$49,MATCH(C2906,Products!$A$2:$A$49,0)))</f>
        <v>0</v>
      </c>
    </row>
    <row r="2907" customFormat="false" ht="15" hidden="false" customHeight="false" outlineLevel="0" collapsed="false">
      <c r="A2907" s="36" t="n">
        <v>46153</v>
      </c>
      <c r="B2907" s="24" t="s">
        <v>63</v>
      </c>
      <c r="C2907" s="24" t="s">
        <v>155</v>
      </c>
      <c r="D2907" s="33" t="n">
        <v>73</v>
      </c>
      <c r="E2907" s="24" t="n">
        <v>0</v>
      </c>
      <c r="F2907" s="37" t="n">
        <f aca="false">DATE(YEAR(A2907),MONTH(A2907),1)</f>
        <v>46143</v>
      </c>
      <c r="G2907" s="24" t="str">
        <f aca="false">INDEX(Products!$C$2:$C$49,MATCH(C2907,Products!$A$2:$A$49,0))</f>
        <v>Beverages</v>
      </c>
      <c r="H2907" s="33" t="n">
        <f aca="false">D2907*INDEX(Products!$E$2:$E$49,MATCH(C2907,Products!$A$2:$A$49,0))</f>
        <v>2555</v>
      </c>
      <c r="I2907" s="33" t="n">
        <f aca="false">D2907*INDEX(Products!$D$2:$D$49,MATCH(C2907,Products!$A$2:$A$49,0))*(1+INDEX(Assumptions!$B$16:$B$20,MATCH(B2907,Assumptions!$A$16:$A$20,0)))</f>
        <v>1928.368</v>
      </c>
      <c r="J2907" s="33" t="n">
        <f aca="false">H2907-I2907</f>
        <v>626.632</v>
      </c>
      <c r="K2907" s="33" t="n">
        <f aca="false">IF(OR(E2907=0,E2907&gt;=7),0,D2907/(7-E2907)*E2907*INDEX(Products!$E$2:$E$49,MATCH(C2907,Products!$A$2:$A$49,0)))</f>
        <v>0</v>
      </c>
    </row>
    <row r="2908" customFormat="false" ht="15" hidden="false" customHeight="false" outlineLevel="0" collapsed="false">
      <c r="A2908" s="36" t="n">
        <v>46160</v>
      </c>
      <c r="B2908" s="24" t="s">
        <v>63</v>
      </c>
      <c r="C2908" s="24" t="s">
        <v>155</v>
      </c>
      <c r="D2908" s="33" t="n">
        <v>75</v>
      </c>
      <c r="E2908" s="24" t="n">
        <v>0</v>
      </c>
      <c r="F2908" s="37" t="n">
        <f aca="false">DATE(YEAR(A2908),MONTH(A2908),1)</f>
        <v>46143</v>
      </c>
      <c r="G2908" s="24" t="str">
        <f aca="false">INDEX(Products!$C$2:$C$49,MATCH(C2908,Products!$A$2:$A$49,0))</f>
        <v>Beverages</v>
      </c>
      <c r="H2908" s="33" t="n">
        <f aca="false">D2908*INDEX(Products!$E$2:$E$49,MATCH(C2908,Products!$A$2:$A$49,0))</f>
        <v>2625</v>
      </c>
      <c r="I2908" s="33" t="n">
        <f aca="false">D2908*INDEX(Products!$D$2:$D$49,MATCH(C2908,Products!$A$2:$A$49,0))*(1+INDEX(Assumptions!$B$16:$B$20,MATCH(B2908,Assumptions!$A$16:$A$20,0)))</f>
        <v>1981.2</v>
      </c>
      <c r="J2908" s="33" t="n">
        <f aca="false">H2908-I2908</f>
        <v>643.8</v>
      </c>
      <c r="K2908" s="33" t="n">
        <f aca="false">IF(OR(E2908=0,E2908&gt;=7),0,D2908/(7-E2908)*E2908*INDEX(Products!$E$2:$E$49,MATCH(C2908,Products!$A$2:$A$49,0)))</f>
        <v>0</v>
      </c>
    </row>
    <row r="2909" customFormat="false" ht="15" hidden="false" customHeight="false" outlineLevel="0" collapsed="false">
      <c r="A2909" s="36" t="n">
        <v>46167</v>
      </c>
      <c r="B2909" s="24" t="s">
        <v>63</v>
      </c>
      <c r="C2909" s="24" t="s">
        <v>155</v>
      </c>
      <c r="D2909" s="33" t="n">
        <v>152</v>
      </c>
      <c r="E2909" s="24" t="n">
        <v>0</v>
      </c>
      <c r="F2909" s="37" t="n">
        <f aca="false">DATE(YEAR(A2909),MONTH(A2909),1)</f>
        <v>46143</v>
      </c>
      <c r="G2909" s="24" t="str">
        <f aca="false">INDEX(Products!$C$2:$C$49,MATCH(C2909,Products!$A$2:$A$49,0))</f>
        <v>Beverages</v>
      </c>
      <c r="H2909" s="33" t="n">
        <f aca="false">D2909*INDEX(Products!$E$2:$E$49,MATCH(C2909,Products!$A$2:$A$49,0))</f>
        <v>5320</v>
      </c>
      <c r="I2909" s="33" t="n">
        <f aca="false">D2909*INDEX(Products!$D$2:$D$49,MATCH(C2909,Products!$A$2:$A$49,0))*(1+INDEX(Assumptions!$B$16:$B$20,MATCH(B2909,Assumptions!$A$16:$A$20,0)))</f>
        <v>4015.232</v>
      </c>
      <c r="J2909" s="33" t="n">
        <f aca="false">H2909-I2909</f>
        <v>1304.768</v>
      </c>
      <c r="K2909" s="33" t="n">
        <f aca="false">IF(OR(E2909=0,E2909&gt;=7),0,D2909/(7-E2909)*E2909*INDEX(Products!$E$2:$E$49,MATCH(C2909,Products!$A$2:$A$49,0)))</f>
        <v>0</v>
      </c>
    </row>
    <row r="2910" customFormat="false" ht="15" hidden="false" customHeight="false" outlineLevel="0" collapsed="false">
      <c r="A2910" s="36" t="n">
        <v>46174</v>
      </c>
      <c r="B2910" s="24" t="s">
        <v>63</v>
      </c>
      <c r="C2910" s="24" t="s">
        <v>155</v>
      </c>
      <c r="D2910" s="33" t="n">
        <v>74</v>
      </c>
      <c r="E2910" s="24" t="n">
        <v>0</v>
      </c>
      <c r="F2910" s="37" t="n">
        <f aca="false">DATE(YEAR(A2910),MONTH(A2910),1)</f>
        <v>46174</v>
      </c>
      <c r="G2910" s="24" t="str">
        <f aca="false">INDEX(Products!$C$2:$C$49,MATCH(C2910,Products!$A$2:$A$49,0))</f>
        <v>Beverages</v>
      </c>
      <c r="H2910" s="33" t="n">
        <f aca="false">D2910*INDEX(Products!$E$2:$E$49,MATCH(C2910,Products!$A$2:$A$49,0))</f>
        <v>2590</v>
      </c>
      <c r="I2910" s="33" t="n">
        <f aca="false">D2910*INDEX(Products!$D$2:$D$49,MATCH(C2910,Products!$A$2:$A$49,0))*(1+INDEX(Assumptions!$B$16:$B$20,MATCH(B2910,Assumptions!$A$16:$A$20,0)))</f>
        <v>1954.784</v>
      </c>
      <c r="J2910" s="33" t="n">
        <f aca="false">H2910-I2910</f>
        <v>635.216</v>
      </c>
      <c r="K2910" s="33" t="n">
        <f aca="false">IF(OR(E2910=0,E2910&gt;=7),0,D2910/(7-E2910)*E2910*INDEX(Products!$E$2:$E$49,MATCH(C2910,Products!$A$2:$A$49,0)))</f>
        <v>0</v>
      </c>
    </row>
    <row r="2911" customFormat="false" ht="15" hidden="false" customHeight="false" outlineLevel="0" collapsed="false">
      <c r="A2911" s="36" t="n">
        <v>46181</v>
      </c>
      <c r="B2911" s="24" t="s">
        <v>63</v>
      </c>
      <c r="C2911" s="24" t="s">
        <v>155</v>
      </c>
      <c r="D2911" s="33" t="n">
        <v>82</v>
      </c>
      <c r="E2911" s="24" t="n">
        <v>0</v>
      </c>
      <c r="F2911" s="37" t="n">
        <f aca="false">DATE(YEAR(A2911),MONTH(A2911),1)</f>
        <v>46174</v>
      </c>
      <c r="G2911" s="24" t="str">
        <f aca="false">INDEX(Products!$C$2:$C$49,MATCH(C2911,Products!$A$2:$A$49,0))</f>
        <v>Beverages</v>
      </c>
      <c r="H2911" s="33" t="n">
        <f aca="false">D2911*INDEX(Products!$E$2:$E$49,MATCH(C2911,Products!$A$2:$A$49,0))</f>
        <v>2870</v>
      </c>
      <c r="I2911" s="33" t="n">
        <f aca="false">D2911*INDEX(Products!$D$2:$D$49,MATCH(C2911,Products!$A$2:$A$49,0))*(1+INDEX(Assumptions!$B$16:$B$20,MATCH(B2911,Assumptions!$A$16:$A$20,0)))</f>
        <v>2166.112</v>
      </c>
      <c r="J2911" s="33" t="n">
        <f aca="false">H2911-I2911</f>
        <v>703.888</v>
      </c>
      <c r="K2911" s="33" t="n">
        <f aca="false">IF(OR(E2911=0,E2911&gt;=7),0,D2911/(7-E2911)*E2911*INDEX(Products!$E$2:$E$49,MATCH(C2911,Products!$A$2:$A$49,0)))</f>
        <v>0</v>
      </c>
    </row>
    <row r="2912" customFormat="false" ht="15" hidden="false" customHeight="false" outlineLevel="0" collapsed="false">
      <c r="A2912" s="36" t="n">
        <v>46188</v>
      </c>
      <c r="B2912" s="24" t="s">
        <v>63</v>
      </c>
      <c r="C2912" s="24" t="s">
        <v>155</v>
      </c>
      <c r="D2912" s="33" t="n">
        <v>85</v>
      </c>
      <c r="E2912" s="24" t="n">
        <v>0</v>
      </c>
      <c r="F2912" s="37" t="n">
        <f aca="false">DATE(YEAR(A2912),MONTH(A2912),1)</f>
        <v>46174</v>
      </c>
      <c r="G2912" s="24" t="str">
        <f aca="false">INDEX(Products!$C$2:$C$49,MATCH(C2912,Products!$A$2:$A$49,0))</f>
        <v>Beverages</v>
      </c>
      <c r="H2912" s="33" t="n">
        <f aca="false">D2912*INDEX(Products!$E$2:$E$49,MATCH(C2912,Products!$A$2:$A$49,0))</f>
        <v>2975</v>
      </c>
      <c r="I2912" s="33" t="n">
        <f aca="false">D2912*INDEX(Products!$D$2:$D$49,MATCH(C2912,Products!$A$2:$A$49,0))*(1+INDEX(Assumptions!$B$16:$B$20,MATCH(B2912,Assumptions!$A$16:$A$20,0)))</f>
        <v>2245.36</v>
      </c>
      <c r="J2912" s="33" t="n">
        <f aca="false">H2912-I2912</f>
        <v>729.64</v>
      </c>
      <c r="K2912" s="33" t="n">
        <f aca="false">IF(OR(E2912=0,E2912&gt;=7),0,D2912/(7-E2912)*E2912*INDEX(Products!$E$2:$E$49,MATCH(C2912,Products!$A$2:$A$49,0)))</f>
        <v>0</v>
      </c>
    </row>
    <row r="2913" customFormat="false" ht="15" hidden="false" customHeight="false" outlineLevel="0" collapsed="false">
      <c r="A2913" s="36" t="n">
        <v>46195</v>
      </c>
      <c r="B2913" s="24" t="s">
        <v>63</v>
      </c>
      <c r="C2913" s="24" t="s">
        <v>155</v>
      </c>
      <c r="D2913" s="33" t="n">
        <v>95</v>
      </c>
      <c r="E2913" s="24" t="n">
        <v>0</v>
      </c>
      <c r="F2913" s="37" t="n">
        <f aca="false">DATE(YEAR(A2913),MONTH(A2913),1)</f>
        <v>46174</v>
      </c>
      <c r="G2913" s="24" t="str">
        <f aca="false">INDEX(Products!$C$2:$C$49,MATCH(C2913,Products!$A$2:$A$49,0))</f>
        <v>Beverages</v>
      </c>
      <c r="H2913" s="33" t="n">
        <f aca="false">D2913*INDEX(Products!$E$2:$E$49,MATCH(C2913,Products!$A$2:$A$49,0))</f>
        <v>3325</v>
      </c>
      <c r="I2913" s="33" t="n">
        <f aca="false">D2913*INDEX(Products!$D$2:$D$49,MATCH(C2913,Products!$A$2:$A$49,0))*(1+INDEX(Assumptions!$B$16:$B$20,MATCH(B2913,Assumptions!$A$16:$A$20,0)))</f>
        <v>2509.52</v>
      </c>
      <c r="J2913" s="33" t="n">
        <f aca="false">H2913-I2913</f>
        <v>815.48</v>
      </c>
      <c r="K2913" s="33" t="n">
        <f aca="false">IF(OR(E2913=0,E2913&gt;=7),0,D2913/(7-E2913)*E2913*INDEX(Products!$E$2:$E$49,MATCH(C2913,Products!$A$2:$A$49,0)))</f>
        <v>0</v>
      </c>
    </row>
    <row r="2914" customFormat="false" ht="15" hidden="false" customHeight="false" outlineLevel="0" collapsed="false">
      <c r="A2914" s="36" t="n">
        <v>46202</v>
      </c>
      <c r="B2914" s="24" t="s">
        <v>63</v>
      </c>
      <c r="C2914" s="24" t="s">
        <v>155</v>
      </c>
      <c r="D2914" s="33" t="n">
        <v>71</v>
      </c>
      <c r="E2914" s="24" t="n">
        <v>0</v>
      </c>
      <c r="F2914" s="37" t="n">
        <f aca="false">DATE(YEAR(A2914),MONTH(A2914),1)</f>
        <v>46174</v>
      </c>
      <c r="G2914" s="24" t="str">
        <f aca="false">INDEX(Products!$C$2:$C$49,MATCH(C2914,Products!$A$2:$A$49,0))</f>
        <v>Beverages</v>
      </c>
      <c r="H2914" s="33" t="n">
        <f aca="false">D2914*INDEX(Products!$E$2:$E$49,MATCH(C2914,Products!$A$2:$A$49,0))</f>
        <v>2485</v>
      </c>
      <c r="I2914" s="33" t="n">
        <f aca="false">D2914*INDEX(Products!$D$2:$D$49,MATCH(C2914,Products!$A$2:$A$49,0))*(1+INDEX(Assumptions!$B$16:$B$20,MATCH(B2914,Assumptions!$A$16:$A$20,0)))</f>
        <v>1875.536</v>
      </c>
      <c r="J2914" s="33" t="n">
        <f aca="false">H2914-I2914</f>
        <v>609.464</v>
      </c>
      <c r="K2914" s="33" t="n">
        <f aca="false">IF(OR(E2914=0,E2914&gt;=7),0,D2914/(7-E2914)*E2914*INDEX(Products!$E$2:$E$49,MATCH(C2914,Products!$A$2:$A$49,0)))</f>
        <v>0</v>
      </c>
    </row>
    <row r="2915" customFormat="false" ht="15" hidden="false" customHeight="false" outlineLevel="0" collapsed="false">
      <c r="A2915" s="36" t="n">
        <v>46209</v>
      </c>
      <c r="B2915" s="24" t="s">
        <v>63</v>
      </c>
      <c r="C2915" s="24" t="s">
        <v>155</v>
      </c>
      <c r="D2915" s="33" t="n">
        <v>69</v>
      </c>
      <c r="E2915" s="24" t="n">
        <v>0</v>
      </c>
      <c r="F2915" s="37" t="n">
        <f aca="false">DATE(YEAR(A2915),MONTH(A2915),1)</f>
        <v>46204</v>
      </c>
      <c r="G2915" s="24" t="str">
        <f aca="false">INDEX(Products!$C$2:$C$49,MATCH(C2915,Products!$A$2:$A$49,0))</f>
        <v>Beverages</v>
      </c>
      <c r="H2915" s="33" t="n">
        <f aca="false">D2915*INDEX(Products!$E$2:$E$49,MATCH(C2915,Products!$A$2:$A$49,0))</f>
        <v>2415</v>
      </c>
      <c r="I2915" s="33" t="n">
        <f aca="false">D2915*INDEX(Products!$D$2:$D$49,MATCH(C2915,Products!$A$2:$A$49,0))*(1+INDEX(Assumptions!$B$16:$B$20,MATCH(B2915,Assumptions!$A$16:$A$20,0)))</f>
        <v>1822.704</v>
      </c>
      <c r="J2915" s="33" t="n">
        <f aca="false">H2915-I2915</f>
        <v>592.296</v>
      </c>
      <c r="K2915" s="33" t="n">
        <f aca="false">IF(OR(E2915=0,E2915&gt;=7),0,D2915/(7-E2915)*E2915*INDEX(Products!$E$2:$E$49,MATCH(C2915,Products!$A$2:$A$49,0)))</f>
        <v>0</v>
      </c>
    </row>
    <row r="2916" customFormat="false" ht="15" hidden="false" customHeight="false" outlineLevel="0" collapsed="false">
      <c r="A2916" s="36" t="n">
        <v>46216</v>
      </c>
      <c r="B2916" s="24" t="s">
        <v>63</v>
      </c>
      <c r="C2916" s="24" t="s">
        <v>155</v>
      </c>
      <c r="D2916" s="33" t="n">
        <v>66</v>
      </c>
      <c r="E2916" s="24" t="n">
        <v>0</v>
      </c>
      <c r="F2916" s="37" t="n">
        <f aca="false">DATE(YEAR(A2916),MONTH(A2916),1)</f>
        <v>46204</v>
      </c>
      <c r="G2916" s="24" t="str">
        <f aca="false">INDEX(Products!$C$2:$C$49,MATCH(C2916,Products!$A$2:$A$49,0))</f>
        <v>Beverages</v>
      </c>
      <c r="H2916" s="33" t="n">
        <f aca="false">D2916*INDEX(Products!$E$2:$E$49,MATCH(C2916,Products!$A$2:$A$49,0))</f>
        <v>2310</v>
      </c>
      <c r="I2916" s="33" t="n">
        <f aca="false">D2916*INDEX(Products!$D$2:$D$49,MATCH(C2916,Products!$A$2:$A$49,0))*(1+INDEX(Assumptions!$B$16:$B$20,MATCH(B2916,Assumptions!$A$16:$A$20,0)))</f>
        <v>1743.456</v>
      </c>
      <c r="J2916" s="33" t="n">
        <f aca="false">H2916-I2916</f>
        <v>566.544</v>
      </c>
      <c r="K2916" s="33" t="n">
        <f aca="false">IF(OR(E2916=0,E2916&gt;=7),0,D2916/(7-E2916)*E2916*INDEX(Products!$E$2:$E$49,MATCH(C2916,Products!$A$2:$A$49,0)))</f>
        <v>0</v>
      </c>
    </row>
    <row r="2917" customFormat="false" ht="15" hidden="false" customHeight="false" outlineLevel="0" collapsed="false">
      <c r="A2917" s="36" t="n">
        <v>46223</v>
      </c>
      <c r="B2917" s="24" t="s">
        <v>63</v>
      </c>
      <c r="C2917" s="24" t="s">
        <v>155</v>
      </c>
      <c r="D2917" s="33" t="n">
        <v>90</v>
      </c>
      <c r="E2917" s="24" t="n">
        <v>0</v>
      </c>
      <c r="F2917" s="37" t="n">
        <f aca="false">DATE(YEAR(A2917),MONTH(A2917),1)</f>
        <v>46204</v>
      </c>
      <c r="G2917" s="24" t="str">
        <f aca="false">INDEX(Products!$C$2:$C$49,MATCH(C2917,Products!$A$2:$A$49,0))</f>
        <v>Beverages</v>
      </c>
      <c r="H2917" s="33" t="n">
        <f aca="false">D2917*INDEX(Products!$E$2:$E$49,MATCH(C2917,Products!$A$2:$A$49,0))</f>
        <v>3150</v>
      </c>
      <c r="I2917" s="33" t="n">
        <f aca="false">D2917*INDEX(Products!$D$2:$D$49,MATCH(C2917,Products!$A$2:$A$49,0))*(1+INDEX(Assumptions!$B$16:$B$20,MATCH(B2917,Assumptions!$A$16:$A$20,0)))</f>
        <v>2377.44</v>
      </c>
      <c r="J2917" s="33" t="n">
        <f aca="false">H2917-I2917</f>
        <v>772.56</v>
      </c>
      <c r="K2917" s="33" t="n">
        <f aca="false">IF(OR(E2917=0,E2917&gt;=7),0,D2917/(7-E2917)*E2917*INDEX(Products!$E$2:$E$49,MATCH(C2917,Products!$A$2:$A$49,0)))</f>
        <v>0</v>
      </c>
    </row>
    <row r="2918" customFormat="false" ht="15" hidden="false" customHeight="false" outlineLevel="0" collapsed="false">
      <c r="A2918" s="36" t="n">
        <v>46230</v>
      </c>
      <c r="B2918" s="24" t="s">
        <v>63</v>
      </c>
      <c r="C2918" s="24" t="s">
        <v>155</v>
      </c>
      <c r="D2918" s="33" t="n">
        <v>79</v>
      </c>
      <c r="E2918" s="24" t="n">
        <v>0</v>
      </c>
      <c r="F2918" s="37" t="n">
        <f aca="false">DATE(YEAR(A2918),MONTH(A2918),1)</f>
        <v>46204</v>
      </c>
      <c r="G2918" s="24" t="str">
        <f aca="false">INDEX(Products!$C$2:$C$49,MATCH(C2918,Products!$A$2:$A$49,0))</f>
        <v>Beverages</v>
      </c>
      <c r="H2918" s="33" t="n">
        <f aca="false">D2918*INDEX(Products!$E$2:$E$49,MATCH(C2918,Products!$A$2:$A$49,0))</f>
        <v>2765</v>
      </c>
      <c r="I2918" s="33" t="n">
        <f aca="false">D2918*INDEX(Products!$D$2:$D$49,MATCH(C2918,Products!$A$2:$A$49,0))*(1+INDEX(Assumptions!$B$16:$B$20,MATCH(B2918,Assumptions!$A$16:$A$20,0)))</f>
        <v>2086.864</v>
      </c>
      <c r="J2918" s="33" t="n">
        <f aca="false">H2918-I2918</f>
        <v>678.136</v>
      </c>
      <c r="K2918" s="33" t="n">
        <f aca="false">IF(OR(E2918=0,E2918&gt;=7),0,D2918/(7-E2918)*E2918*INDEX(Products!$E$2:$E$49,MATCH(C2918,Products!$A$2:$A$49,0)))</f>
        <v>0</v>
      </c>
    </row>
    <row r="2919" customFormat="false" ht="15" hidden="false" customHeight="false" outlineLevel="0" collapsed="false">
      <c r="A2919" s="36" t="n">
        <v>46237</v>
      </c>
      <c r="B2919" s="24" t="s">
        <v>63</v>
      </c>
      <c r="C2919" s="24" t="s">
        <v>155</v>
      </c>
      <c r="D2919" s="33" t="n">
        <v>56</v>
      </c>
      <c r="E2919" s="24" t="n">
        <v>0</v>
      </c>
      <c r="F2919" s="37" t="n">
        <f aca="false">DATE(YEAR(A2919),MONTH(A2919),1)</f>
        <v>46235</v>
      </c>
      <c r="G2919" s="24" t="str">
        <f aca="false">INDEX(Products!$C$2:$C$49,MATCH(C2919,Products!$A$2:$A$49,0))</f>
        <v>Beverages</v>
      </c>
      <c r="H2919" s="33" t="n">
        <f aca="false">D2919*INDEX(Products!$E$2:$E$49,MATCH(C2919,Products!$A$2:$A$49,0))</f>
        <v>1960</v>
      </c>
      <c r="I2919" s="33" t="n">
        <f aca="false">D2919*INDEX(Products!$D$2:$D$49,MATCH(C2919,Products!$A$2:$A$49,0))*(1+INDEX(Assumptions!$B$16:$B$20,MATCH(B2919,Assumptions!$A$16:$A$20,0)))</f>
        <v>1479.296</v>
      </c>
      <c r="J2919" s="33" t="n">
        <f aca="false">H2919-I2919</f>
        <v>480.704</v>
      </c>
      <c r="K2919" s="33" t="n">
        <f aca="false">IF(OR(E2919=0,E2919&gt;=7),0,D2919/(7-E2919)*E2919*INDEX(Products!$E$2:$E$49,MATCH(C2919,Products!$A$2:$A$49,0)))</f>
        <v>0</v>
      </c>
    </row>
    <row r="2920" customFormat="false" ht="15" hidden="false" customHeight="false" outlineLevel="0" collapsed="false">
      <c r="A2920" s="36" t="n">
        <v>46244</v>
      </c>
      <c r="B2920" s="24" t="s">
        <v>63</v>
      </c>
      <c r="C2920" s="24" t="s">
        <v>155</v>
      </c>
      <c r="D2920" s="33" t="n">
        <v>61</v>
      </c>
      <c r="E2920" s="24" t="n">
        <v>0</v>
      </c>
      <c r="F2920" s="37" t="n">
        <f aca="false">DATE(YEAR(A2920),MONTH(A2920),1)</f>
        <v>46235</v>
      </c>
      <c r="G2920" s="24" t="str">
        <f aca="false">INDEX(Products!$C$2:$C$49,MATCH(C2920,Products!$A$2:$A$49,0))</f>
        <v>Beverages</v>
      </c>
      <c r="H2920" s="33" t="n">
        <f aca="false">D2920*INDEX(Products!$E$2:$E$49,MATCH(C2920,Products!$A$2:$A$49,0))</f>
        <v>2135</v>
      </c>
      <c r="I2920" s="33" t="n">
        <f aca="false">D2920*INDEX(Products!$D$2:$D$49,MATCH(C2920,Products!$A$2:$A$49,0))*(1+INDEX(Assumptions!$B$16:$B$20,MATCH(B2920,Assumptions!$A$16:$A$20,0)))</f>
        <v>1611.376</v>
      </c>
      <c r="J2920" s="33" t="n">
        <f aca="false">H2920-I2920</f>
        <v>523.624</v>
      </c>
      <c r="K2920" s="33" t="n">
        <f aca="false">IF(OR(E2920=0,E2920&gt;=7),0,D2920/(7-E2920)*E2920*INDEX(Products!$E$2:$E$49,MATCH(C2920,Products!$A$2:$A$49,0)))</f>
        <v>0</v>
      </c>
    </row>
    <row r="2921" customFormat="false" ht="15" hidden="false" customHeight="false" outlineLevel="0" collapsed="false">
      <c r="A2921" s="36" t="n">
        <v>46251</v>
      </c>
      <c r="B2921" s="24" t="s">
        <v>63</v>
      </c>
      <c r="C2921" s="24" t="s">
        <v>155</v>
      </c>
      <c r="D2921" s="33" t="n">
        <v>70</v>
      </c>
      <c r="E2921" s="24" t="n">
        <v>0</v>
      </c>
      <c r="F2921" s="37" t="n">
        <f aca="false">DATE(YEAR(A2921),MONTH(A2921),1)</f>
        <v>46235</v>
      </c>
      <c r="G2921" s="24" t="str">
        <f aca="false">INDEX(Products!$C$2:$C$49,MATCH(C2921,Products!$A$2:$A$49,0))</f>
        <v>Beverages</v>
      </c>
      <c r="H2921" s="33" t="n">
        <f aca="false">D2921*INDEX(Products!$E$2:$E$49,MATCH(C2921,Products!$A$2:$A$49,0))</f>
        <v>2450</v>
      </c>
      <c r="I2921" s="33" t="n">
        <f aca="false">D2921*INDEX(Products!$D$2:$D$49,MATCH(C2921,Products!$A$2:$A$49,0))*(1+INDEX(Assumptions!$B$16:$B$20,MATCH(B2921,Assumptions!$A$16:$A$20,0)))</f>
        <v>1849.12</v>
      </c>
      <c r="J2921" s="33" t="n">
        <f aca="false">H2921-I2921</f>
        <v>600.88</v>
      </c>
      <c r="K2921" s="33" t="n">
        <f aca="false">IF(OR(E2921=0,E2921&gt;=7),0,D2921/(7-E2921)*E2921*INDEX(Products!$E$2:$E$49,MATCH(C2921,Products!$A$2:$A$49,0)))</f>
        <v>0</v>
      </c>
    </row>
    <row r="2922" customFormat="false" ht="15" hidden="false" customHeight="false" outlineLevel="0" collapsed="false">
      <c r="A2922" s="36" t="n">
        <v>46258</v>
      </c>
      <c r="B2922" s="24" t="s">
        <v>63</v>
      </c>
      <c r="C2922" s="24" t="s">
        <v>155</v>
      </c>
      <c r="D2922" s="33" t="n">
        <v>68</v>
      </c>
      <c r="E2922" s="24" t="n">
        <v>0</v>
      </c>
      <c r="F2922" s="37" t="n">
        <f aca="false">DATE(YEAR(A2922),MONTH(A2922),1)</f>
        <v>46235</v>
      </c>
      <c r="G2922" s="24" t="str">
        <f aca="false">INDEX(Products!$C$2:$C$49,MATCH(C2922,Products!$A$2:$A$49,0))</f>
        <v>Beverages</v>
      </c>
      <c r="H2922" s="33" t="n">
        <f aca="false">D2922*INDEX(Products!$E$2:$E$49,MATCH(C2922,Products!$A$2:$A$49,0))</f>
        <v>2380</v>
      </c>
      <c r="I2922" s="33" t="n">
        <f aca="false">D2922*INDEX(Products!$D$2:$D$49,MATCH(C2922,Products!$A$2:$A$49,0))*(1+INDEX(Assumptions!$B$16:$B$20,MATCH(B2922,Assumptions!$A$16:$A$20,0)))</f>
        <v>1796.288</v>
      </c>
      <c r="J2922" s="33" t="n">
        <f aca="false">H2922-I2922</f>
        <v>583.712</v>
      </c>
      <c r="K2922" s="33" t="n">
        <f aca="false">IF(OR(E2922=0,E2922&gt;=7),0,D2922/(7-E2922)*E2922*INDEX(Products!$E$2:$E$49,MATCH(C2922,Products!$A$2:$A$49,0)))</f>
        <v>0</v>
      </c>
    </row>
    <row r="2923" customFormat="false" ht="15" hidden="false" customHeight="false" outlineLevel="0" collapsed="false">
      <c r="A2923" s="36" t="n">
        <v>46265</v>
      </c>
      <c r="B2923" s="24" t="s">
        <v>63</v>
      </c>
      <c r="C2923" s="24" t="s">
        <v>155</v>
      </c>
      <c r="D2923" s="33" t="n">
        <v>67</v>
      </c>
      <c r="E2923" s="24" t="n">
        <v>0</v>
      </c>
      <c r="F2923" s="37" t="n">
        <f aca="false">DATE(YEAR(A2923),MONTH(A2923),1)</f>
        <v>46235</v>
      </c>
      <c r="G2923" s="24" t="str">
        <f aca="false">INDEX(Products!$C$2:$C$49,MATCH(C2923,Products!$A$2:$A$49,0))</f>
        <v>Beverages</v>
      </c>
      <c r="H2923" s="33" t="n">
        <f aca="false">D2923*INDEX(Products!$E$2:$E$49,MATCH(C2923,Products!$A$2:$A$49,0))</f>
        <v>2345</v>
      </c>
      <c r="I2923" s="33" t="n">
        <f aca="false">D2923*INDEX(Products!$D$2:$D$49,MATCH(C2923,Products!$A$2:$A$49,0))*(1+INDEX(Assumptions!$B$16:$B$20,MATCH(B2923,Assumptions!$A$16:$A$20,0)))</f>
        <v>1769.872</v>
      </c>
      <c r="J2923" s="33" t="n">
        <f aca="false">H2923-I2923</f>
        <v>575.128</v>
      </c>
      <c r="K2923" s="33" t="n">
        <f aca="false">IF(OR(E2923=0,E2923&gt;=7),0,D2923/(7-E2923)*E2923*INDEX(Products!$E$2:$E$49,MATCH(C2923,Products!$A$2:$A$49,0)))</f>
        <v>0</v>
      </c>
    </row>
    <row r="2924" customFormat="false" ht="15" hidden="false" customHeight="false" outlineLevel="0" collapsed="false">
      <c r="A2924" s="36" t="n">
        <v>46272</v>
      </c>
      <c r="B2924" s="24" t="s">
        <v>63</v>
      </c>
      <c r="C2924" s="24" t="s">
        <v>155</v>
      </c>
      <c r="D2924" s="33" t="n">
        <v>71</v>
      </c>
      <c r="E2924" s="24" t="n">
        <v>0</v>
      </c>
      <c r="F2924" s="37" t="n">
        <f aca="false">DATE(YEAR(A2924),MONTH(A2924),1)</f>
        <v>46266</v>
      </c>
      <c r="G2924" s="24" t="str">
        <f aca="false">INDEX(Products!$C$2:$C$49,MATCH(C2924,Products!$A$2:$A$49,0))</f>
        <v>Beverages</v>
      </c>
      <c r="H2924" s="33" t="n">
        <f aca="false">D2924*INDEX(Products!$E$2:$E$49,MATCH(C2924,Products!$A$2:$A$49,0))</f>
        <v>2485</v>
      </c>
      <c r="I2924" s="33" t="n">
        <f aca="false">D2924*INDEX(Products!$D$2:$D$49,MATCH(C2924,Products!$A$2:$A$49,0))*(1+INDEX(Assumptions!$B$16:$B$20,MATCH(B2924,Assumptions!$A$16:$A$20,0)))</f>
        <v>1875.536</v>
      </c>
      <c r="J2924" s="33" t="n">
        <f aca="false">H2924-I2924</f>
        <v>609.464</v>
      </c>
      <c r="K2924" s="33" t="n">
        <f aca="false">IF(OR(E2924=0,E2924&gt;=7),0,D2924/(7-E2924)*E2924*INDEX(Products!$E$2:$E$49,MATCH(C2924,Products!$A$2:$A$49,0)))</f>
        <v>0</v>
      </c>
    </row>
    <row r="2925" customFormat="false" ht="15" hidden="false" customHeight="false" outlineLevel="0" collapsed="false">
      <c r="A2925" s="36" t="n">
        <v>46279</v>
      </c>
      <c r="B2925" s="24" t="s">
        <v>63</v>
      </c>
      <c r="C2925" s="24" t="s">
        <v>155</v>
      </c>
      <c r="D2925" s="33" t="n">
        <v>65</v>
      </c>
      <c r="E2925" s="24" t="n">
        <v>0</v>
      </c>
      <c r="F2925" s="37" t="n">
        <f aca="false">DATE(YEAR(A2925),MONTH(A2925),1)</f>
        <v>46266</v>
      </c>
      <c r="G2925" s="24" t="str">
        <f aca="false">INDEX(Products!$C$2:$C$49,MATCH(C2925,Products!$A$2:$A$49,0))</f>
        <v>Beverages</v>
      </c>
      <c r="H2925" s="33" t="n">
        <f aca="false">D2925*INDEX(Products!$E$2:$E$49,MATCH(C2925,Products!$A$2:$A$49,0))</f>
        <v>2275</v>
      </c>
      <c r="I2925" s="33" t="n">
        <f aca="false">D2925*INDEX(Products!$D$2:$D$49,MATCH(C2925,Products!$A$2:$A$49,0))*(1+INDEX(Assumptions!$B$16:$B$20,MATCH(B2925,Assumptions!$A$16:$A$20,0)))</f>
        <v>1717.04</v>
      </c>
      <c r="J2925" s="33" t="n">
        <f aca="false">H2925-I2925</f>
        <v>557.96</v>
      </c>
      <c r="K2925" s="33" t="n">
        <f aca="false">IF(OR(E2925=0,E2925&gt;=7),0,D2925/(7-E2925)*E2925*INDEX(Products!$E$2:$E$49,MATCH(C2925,Products!$A$2:$A$49,0)))</f>
        <v>0</v>
      </c>
    </row>
    <row r="2926" customFormat="false" ht="15" hidden="false" customHeight="false" outlineLevel="0" collapsed="false">
      <c r="A2926" s="36" t="n">
        <v>46286</v>
      </c>
      <c r="B2926" s="24" t="s">
        <v>63</v>
      </c>
      <c r="C2926" s="24" t="s">
        <v>155</v>
      </c>
      <c r="D2926" s="33" t="n">
        <v>81</v>
      </c>
      <c r="E2926" s="24" t="n">
        <v>0</v>
      </c>
      <c r="F2926" s="37" t="n">
        <f aca="false">DATE(YEAR(A2926),MONTH(A2926),1)</f>
        <v>46266</v>
      </c>
      <c r="G2926" s="24" t="str">
        <f aca="false">INDEX(Products!$C$2:$C$49,MATCH(C2926,Products!$A$2:$A$49,0))</f>
        <v>Beverages</v>
      </c>
      <c r="H2926" s="33" t="n">
        <f aca="false">D2926*INDEX(Products!$E$2:$E$49,MATCH(C2926,Products!$A$2:$A$49,0))</f>
        <v>2835</v>
      </c>
      <c r="I2926" s="33" t="n">
        <f aca="false">D2926*INDEX(Products!$D$2:$D$49,MATCH(C2926,Products!$A$2:$A$49,0))*(1+INDEX(Assumptions!$B$16:$B$20,MATCH(B2926,Assumptions!$A$16:$A$20,0)))</f>
        <v>2139.696</v>
      </c>
      <c r="J2926" s="33" t="n">
        <f aca="false">H2926-I2926</f>
        <v>695.304</v>
      </c>
      <c r="K2926" s="33" t="n">
        <f aca="false">IF(OR(E2926=0,E2926&gt;=7),0,D2926/(7-E2926)*E2926*INDEX(Products!$E$2:$E$49,MATCH(C2926,Products!$A$2:$A$49,0)))</f>
        <v>0</v>
      </c>
    </row>
    <row r="2927" customFormat="false" ht="15" hidden="false" customHeight="false" outlineLevel="0" collapsed="false">
      <c r="A2927" s="36" t="n">
        <v>46118</v>
      </c>
      <c r="B2927" s="24" t="s">
        <v>63</v>
      </c>
      <c r="C2927" s="24" t="s">
        <v>157</v>
      </c>
      <c r="D2927" s="33" t="n">
        <v>60</v>
      </c>
      <c r="E2927" s="24" t="n">
        <v>0</v>
      </c>
      <c r="F2927" s="37" t="n">
        <f aca="false">DATE(YEAR(A2927),MONTH(A2927),1)</f>
        <v>46113</v>
      </c>
      <c r="G2927" s="24" t="str">
        <f aca="false">INDEX(Products!$C$2:$C$49,MATCH(C2927,Products!$A$2:$A$49,0))</f>
        <v>Beverages</v>
      </c>
      <c r="H2927" s="33" t="n">
        <f aca="false">D2927*INDEX(Products!$E$2:$E$49,MATCH(C2927,Products!$A$2:$A$49,0))</f>
        <v>7200</v>
      </c>
      <c r="I2927" s="33" t="n">
        <f aca="false">D2927*INDEX(Products!$D$2:$D$49,MATCH(C2927,Products!$A$2:$A$49,0))*(1+INDEX(Assumptions!$B$16:$B$20,MATCH(B2927,Assumptions!$A$16:$A$20,0)))</f>
        <v>5364.48</v>
      </c>
      <c r="J2927" s="33" t="n">
        <f aca="false">H2927-I2927</f>
        <v>1835.52</v>
      </c>
      <c r="K2927" s="33" t="n">
        <f aca="false">IF(OR(E2927=0,E2927&gt;=7),0,D2927/(7-E2927)*E2927*INDEX(Products!$E$2:$E$49,MATCH(C2927,Products!$A$2:$A$49,0)))</f>
        <v>0</v>
      </c>
    </row>
    <row r="2928" customFormat="false" ht="15" hidden="false" customHeight="false" outlineLevel="0" collapsed="false">
      <c r="A2928" s="36" t="n">
        <v>46125</v>
      </c>
      <c r="B2928" s="24" t="s">
        <v>63</v>
      </c>
      <c r="C2928" s="24" t="s">
        <v>157</v>
      </c>
      <c r="D2928" s="33" t="n">
        <v>64</v>
      </c>
      <c r="E2928" s="24" t="n">
        <v>0</v>
      </c>
      <c r="F2928" s="37" t="n">
        <f aca="false">DATE(YEAR(A2928),MONTH(A2928),1)</f>
        <v>46113</v>
      </c>
      <c r="G2928" s="24" t="str">
        <f aca="false">INDEX(Products!$C$2:$C$49,MATCH(C2928,Products!$A$2:$A$49,0))</f>
        <v>Beverages</v>
      </c>
      <c r="H2928" s="33" t="n">
        <f aca="false">D2928*INDEX(Products!$E$2:$E$49,MATCH(C2928,Products!$A$2:$A$49,0))</f>
        <v>7680</v>
      </c>
      <c r="I2928" s="33" t="n">
        <f aca="false">D2928*INDEX(Products!$D$2:$D$49,MATCH(C2928,Products!$A$2:$A$49,0))*(1+INDEX(Assumptions!$B$16:$B$20,MATCH(B2928,Assumptions!$A$16:$A$20,0)))</f>
        <v>5722.112</v>
      </c>
      <c r="J2928" s="33" t="n">
        <f aca="false">H2928-I2928</f>
        <v>1957.888</v>
      </c>
      <c r="K2928" s="33" t="n">
        <f aca="false">IF(OR(E2928=0,E2928&gt;=7),0,D2928/(7-E2928)*E2928*INDEX(Products!$E$2:$E$49,MATCH(C2928,Products!$A$2:$A$49,0)))</f>
        <v>0</v>
      </c>
    </row>
    <row r="2929" customFormat="false" ht="15" hidden="false" customHeight="false" outlineLevel="0" collapsed="false">
      <c r="A2929" s="36" t="n">
        <v>46132</v>
      </c>
      <c r="B2929" s="24" t="s">
        <v>63</v>
      </c>
      <c r="C2929" s="24" t="s">
        <v>157</v>
      </c>
      <c r="D2929" s="33" t="n">
        <v>46</v>
      </c>
      <c r="E2929" s="24" t="n">
        <v>0</v>
      </c>
      <c r="F2929" s="37" t="n">
        <f aca="false">DATE(YEAR(A2929),MONTH(A2929),1)</f>
        <v>46113</v>
      </c>
      <c r="G2929" s="24" t="str">
        <f aca="false">INDEX(Products!$C$2:$C$49,MATCH(C2929,Products!$A$2:$A$49,0))</f>
        <v>Beverages</v>
      </c>
      <c r="H2929" s="33" t="n">
        <f aca="false">D2929*INDEX(Products!$E$2:$E$49,MATCH(C2929,Products!$A$2:$A$49,0))</f>
        <v>5520</v>
      </c>
      <c r="I2929" s="33" t="n">
        <f aca="false">D2929*INDEX(Products!$D$2:$D$49,MATCH(C2929,Products!$A$2:$A$49,0))*(1+INDEX(Assumptions!$B$16:$B$20,MATCH(B2929,Assumptions!$A$16:$A$20,0)))</f>
        <v>4112.768</v>
      </c>
      <c r="J2929" s="33" t="n">
        <f aca="false">H2929-I2929</f>
        <v>1407.232</v>
      </c>
      <c r="K2929" s="33" t="n">
        <f aca="false">IF(OR(E2929=0,E2929&gt;=7),0,D2929/(7-E2929)*E2929*INDEX(Products!$E$2:$E$49,MATCH(C2929,Products!$A$2:$A$49,0)))</f>
        <v>0</v>
      </c>
    </row>
    <row r="2930" customFormat="false" ht="15" hidden="false" customHeight="false" outlineLevel="0" collapsed="false">
      <c r="A2930" s="36" t="n">
        <v>46139</v>
      </c>
      <c r="B2930" s="24" t="s">
        <v>63</v>
      </c>
      <c r="C2930" s="24" t="s">
        <v>157</v>
      </c>
      <c r="D2930" s="33" t="n">
        <v>75</v>
      </c>
      <c r="E2930" s="24" t="n">
        <v>0</v>
      </c>
      <c r="F2930" s="37" t="n">
        <f aca="false">DATE(YEAR(A2930),MONTH(A2930),1)</f>
        <v>46113</v>
      </c>
      <c r="G2930" s="24" t="str">
        <f aca="false">INDEX(Products!$C$2:$C$49,MATCH(C2930,Products!$A$2:$A$49,0))</f>
        <v>Beverages</v>
      </c>
      <c r="H2930" s="33" t="n">
        <f aca="false">D2930*INDEX(Products!$E$2:$E$49,MATCH(C2930,Products!$A$2:$A$49,0))</f>
        <v>9000</v>
      </c>
      <c r="I2930" s="33" t="n">
        <f aca="false">D2930*INDEX(Products!$D$2:$D$49,MATCH(C2930,Products!$A$2:$A$49,0))*(1+INDEX(Assumptions!$B$16:$B$20,MATCH(B2930,Assumptions!$A$16:$A$20,0)))</f>
        <v>6705.6</v>
      </c>
      <c r="J2930" s="33" t="n">
        <f aca="false">H2930-I2930</f>
        <v>2294.4</v>
      </c>
      <c r="K2930" s="33" t="n">
        <f aca="false">IF(OR(E2930=0,E2930&gt;=7),0,D2930/(7-E2930)*E2930*INDEX(Products!$E$2:$E$49,MATCH(C2930,Products!$A$2:$A$49,0)))</f>
        <v>0</v>
      </c>
    </row>
    <row r="2931" customFormat="false" ht="15" hidden="false" customHeight="false" outlineLevel="0" collapsed="false">
      <c r="A2931" s="36" t="n">
        <v>46146</v>
      </c>
      <c r="B2931" s="24" t="s">
        <v>63</v>
      </c>
      <c r="C2931" s="24" t="s">
        <v>157</v>
      </c>
      <c r="D2931" s="33" t="n">
        <v>50</v>
      </c>
      <c r="E2931" s="24" t="n">
        <v>0</v>
      </c>
      <c r="F2931" s="37" t="n">
        <f aca="false">DATE(YEAR(A2931),MONTH(A2931),1)</f>
        <v>46143</v>
      </c>
      <c r="G2931" s="24" t="str">
        <f aca="false">INDEX(Products!$C$2:$C$49,MATCH(C2931,Products!$A$2:$A$49,0))</f>
        <v>Beverages</v>
      </c>
      <c r="H2931" s="33" t="n">
        <f aca="false">D2931*INDEX(Products!$E$2:$E$49,MATCH(C2931,Products!$A$2:$A$49,0))</f>
        <v>6000</v>
      </c>
      <c r="I2931" s="33" t="n">
        <f aca="false">D2931*INDEX(Products!$D$2:$D$49,MATCH(C2931,Products!$A$2:$A$49,0))*(1+INDEX(Assumptions!$B$16:$B$20,MATCH(B2931,Assumptions!$A$16:$A$20,0)))</f>
        <v>4470.4</v>
      </c>
      <c r="J2931" s="33" t="n">
        <f aca="false">H2931-I2931</f>
        <v>1529.6</v>
      </c>
      <c r="K2931" s="33" t="n">
        <f aca="false">IF(OR(E2931=0,E2931&gt;=7),0,D2931/(7-E2931)*E2931*INDEX(Products!$E$2:$E$49,MATCH(C2931,Products!$A$2:$A$49,0)))</f>
        <v>0</v>
      </c>
    </row>
    <row r="2932" customFormat="false" ht="15" hidden="false" customHeight="false" outlineLevel="0" collapsed="false">
      <c r="A2932" s="36" t="n">
        <v>46153</v>
      </c>
      <c r="B2932" s="24" t="s">
        <v>63</v>
      </c>
      <c r="C2932" s="24" t="s">
        <v>157</v>
      </c>
      <c r="D2932" s="33" t="n">
        <v>59</v>
      </c>
      <c r="E2932" s="24" t="n">
        <v>0</v>
      </c>
      <c r="F2932" s="37" t="n">
        <f aca="false">DATE(YEAR(A2932),MONTH(A2932),1)</f>
        <v>46143</v>
      </c>
      <c r="G2932" s="24" t="str">
        <f aca="false">INDEX(Products!$C$2:$C$49,MATCH(C2932,Products!$A$2:$A$49,0))</f>
        <v>Beverages</v>
      </c>
      <c r="H2932" s="33" t="n">
        <f aca="false">D2932*INDEX(Products!$E$2:$E$49,MATCH(C2932,Products!$A$2:$A$49,0))</f>
        <v>7080</v>
      </c>
      <c r="I2932" s="33" t="n">
        <f aca="false">D2932*INDEX(Products!$D$2:$D$49,MATCH(C2932,Products!$A$2:$A$49,0))*(1+INDEX(Assumptions!$B$16:$B$20,MATCH(B2932,Assumptions!$A$16:$A$20,0)))</f>
        <v>5275.072</v>
      </c>
      <c r="J2932" s="33" t="n">
        <f aca="false">H2932-I2932</f>
        <v>1804.928</v>
      </c>
      <c r="K2932" s="33" t="n">
        <f aca="false">IF(OR(E2932=0,E2932&gt;=7),0,D2932/(7-E2932)*E2932*INDEX(Products!$E$2:$E$49,MATCH(C2932,Products!$A$2:$A$49,0)))</f>
        <v>0</v>
      </c>
    </row>
    <row r="2933" customFormat="false" ht="15" hidden="false" customHeight="false" outlineLevel="0" collapsed="false">
      <c r="A2933" s="36" t="n">
        <v>46160</v>
      </c>
      <c r="B2933" s="24" t="s">
        <v>63</v>
      </c>
      <c r="C2933" s="24" t="s">
        <v>157</v>
      </c>
      <c r="D2933" s="33" t="n">
        <v>65</v>
      </c>
      <c r="E2933" s="24" t="n">
        <v>0</v>
      </c>
      <c r="F2933" s="37" t="n">
        <f aca="false">DATE(YEAR(A2933),MONTH(A2933),1)</f>
        <v>46143</v>
      </c>
      <c r="G2933" s="24" t="str">
        <f aca="false">INDEX(Products!$C$2:$C$49,MATCH(C2933,Products!$A$2:$A$49,0))</f>
        <v>Beverages</v>
      </c>
      <c r="H2933" s="33" t="n">
        <f aca="false">D2933*INDEX(Products!$E$2:$E$49,MATCH(C2933,Products!$A$2:$A$49,0))</f>
        <v>7800</v>
      </c>
      <c r="I2933" s="33" t="n">
        <f aca="false">D2933*INDEX(Products!$D$2:$D$49,MATCH(C2933,Products!$A$2:$A$49,0))*(1+INDEX(Assumptions!$B$16:$B$20,MATCH(B2933,Assumptions!$A$16:$A$20,0)))</f>
        <v>5811.52</v>
      </c>
      <c r="J2933" s="33" t="n">
        <f aca="false">H2933-I2933</f>
        <v>1988.48</v>
      </c>
      <c r="K2933" s="33" t="n">
        <f aca="false">IF(OR(E2933=0,E2933&gt;=7),0,D2933/(7-E2933)*E2933*INDEX(Products!$E$2:$E$49,MATCH(C2933,Products!$A$2:$A$49,0)))</f>
        <v>0</v>
      </c>
    </row>
    <row r="2934" customFormat="false" ht="15" hidden="false" customHeight="false" outlineLevel="0" collapsed="false">
      <c r="A2934" s="36" t="n">
        <v>46167</v>
      </c>
      <c r="B2934" s="24" t="s">
        <v>63</v>
      </c>
      <c r="C2934" s="24" t="s">
        <v>157</v>
      </c>
      <c r="D2934" s="33" t="n">
        <v>61</v>
      </c>
      <c r="E2934" s="24" t="n">
        <v>0</v>
      </c>
      <c r="F2934" s="37" t="n">
        <f aca="false">DATE(YEAR(A2934),MONTH(A2934),1)</f>
        <v>46143</v>
      </c>
      <c r="G2934" s="24" t="str">
        <f aca="false">INDEX(Products!$C$2:$C$49,MATCH(C2934,Products!$A$2:$A$49,0))</f>
        <v>Beverages</v>
      </c>
      <c r="H2934" s="33" t="n">
        <f aca="false">D2934*INDEX(Products!$E$2:$E$49,MATCH(C2934,Products!$A$2:$A$49,0))</f>
        <v>7320</v>
      </c>
      <c r="I2934" s="33" t="n">
        <f aca="false">D2934*INDEX(Products!$D$2:$D$49,MATCH(C2934,Products!$A$2:$A$49,0))*(1+INDEX(Assumptions!$B$16:$B$20,MATCH(B2934,Assumptions!$A$16:$A$20,0)))</f>
        <v>5453.888</v>
      </c>
      <c r="J2934" s="33" t="n">
        <f aca="false">H2934-I2934</f>
        <v>1866.112</v>
      </c>
      <c r="K2934" s="33" t="n">
        <f aca="false">IF(OR(E2934=0,E2934&gt;=7),0,D2934/(7-E2934)*E2934*INDEX(Products!$E$2:$E$49,MATCH(C2934,Products!$A$2:$A$49,0)))</f>
        <v>0</v>
      </c>
    </row>
    <row r="2935" customFormat="false" ht="15" hidden="false" customHeight="false" outlineLevel="0" collapsed="false">
      <c r="A2935" s="36" t="n">
        <v>46174</v>
      </c>
      <c r="B2935" s="24" t="s">
        <v>63</v>
      </c>
      <c r="C2935" s="24" t="s">
        <v>157</v>
      </c>
      <c r="D2935" s="33" t="n">
        <v>71</v>
      </c>
      <c r="E2935" s="24" t="n">
        <v>0</v>
      </c>
      <c r="F2935" s="37" t="n">
        <f aca="false">DATE(YEAR(A2935),MONTH(A2935),1)</f>
        <v>46174</v>
      </c>
      <c r="G2935" s="24" t="str">
        <f aca="false">INDEX(Products!$C$2:$C$49,MATCH(C2935,Products!$A$2:$A$49,0))</f>
        <v>Beverages</v>
      </c>
      <c r="H2935" s="33" t="n">
        <f aca="false">D2935*INDEX(Products!$E$2:$E$49,MATCH(C2935,Products!$A$2:$A$49,0))</f>
        <v>8520</v>
      </c>
      <c r="I2935" s="33" t="n">
        <f aca="false">D2935*INDEX(Products!$D$2:$D$49,MATCH(C2935,Products!$A$2:$A$49,0))*(1+INDEX(Assumptions!$B$16:$B$20,MATCH(B2935,Assumptions!$A$16:$A$20,0)))</f>
        <v>6347.968</v>
      </c>
      <c r="J2935" s="33" t="n">
        <f aca="false">H2935-I2935</f>
        <v>2172.032</v>
      </c>
      <c r="K2935" s="33" t="n">
        <f aca="false">IF(OR(E2935=0,E2935&gt;=7),0,D2935/(7-E2935)*E2935*INDEX(Products!$E$2:$E$49,MATCH(C2935,Products!$A$2:$A$49,0)))</f>
        <v>0</v>
      </c>
    </row>
    <row r="2936" customFormat="false" ht="15" hidden="false" customHeight="false" outlineLevel="0" collapsed="false">
      <c r="A2936" s="36" t="n">
        <v>46181</v>
      </c>
      <c r="B2936" s="24" t="s">
        <v>63</v>
      </c>
      <c r="C2936" s="24" t="s">
        <v>157</v>
      </c>
      <c r="D2936" s="33" t="n">
        <v>62</v>
      </c>
      <c r="E2936" s="24" t="n">
        <v>0</v>
      </c>
      <c r="F2936" s="37" t="n">
        <f aca="false">DATE(YEAR(A2936),MONTH(A2936),1)</f>
        <v>46174</v>
      </c>
      <c r="G2936" s="24" t="str">
        <f aca="false">INDEX(Products!$C$2:$C$49,MATCH(C2936,Products!$A$2:$A$49,0))</f>
        <v>Beverages</v>
      </c>
      <c r="H2936" s="33" t="n">
        <f aca="false">D2936*INDEX(Products!$E$2:$E$49,MATCH(C2936,Products!$A$2:$A$49,0))</f>
        <v>7440</v>
      </c>
      <c r="I2936" s="33" t="n">
        <f aca="false">D2936*INDEX(Products!$D$2:$D$49,MATCH(C2936,Products!$A$2:$A$49,0))*(1+INDEX(Assumptions!$B$16:$B$20,MATCH(B2936,Assumptions!$A$16:$A$20,0)))</f>
        <v>5543.296</v>
      </c>
      <c r="J2936" s="33" t="n">
        <f aca="false">H2936-I2936</f>
        <v>1896.704</v>
      </c>
      <c r="K2936" s="33" t="n">
        <f aca="false">IF(OR(E2936=0,E2936&gt;=7),0,D2936/(7-E2936)*E2936*INDEX(Products!$E$2:$E$49,MATCH(C2936,Products!$A$2:$A$49,0)))</f>
        <v>0</v>
      </c>
    </row>
    <row r="2937" customFormat="false" ht="15" hidden="false" customHeight="false" outlineLevel="0" collapsed="false">
      <c r="A2937" s="36" t="n">
        <v>46188</v>
      </c>
      <c r="B2937" s="24" t="s">
        <v>63</v>
      </c>
      <c r="C2937" s="24" t="s">
        <v>157</v>
      </c>
      <c r="D2937" s="33" t="n">
        <v>49</v>
      </c>
      <c r="E2937" s="24" t="n">
        <v>0</v>
      </c>
      <c r="F2937" s="37" t="n">
        <f aca="false">DATE(YEAR(A2937),MONTH(A2937),1)</f>
        <v>46174</v>
      </c>
      <c r="G2937" s="24" t="str">
        <f aca="false">INDEX(Products!$C$2:$C$49,MATCH(C2937,Products!$A$2:$A$49,0))</f>
        <v>Beverages</v>
      </c>
      <c r="H2937" s="33" t="n">
        <f aca="false">D2937*INDEX(Products!$E$2:$E$49,MATCH(C2937,Products!$A$2:$A$49,0))</f>
        <v>5880</v>
      </c>
      <c r="I2937" s="33" t="n">
        <f aca="false">D2937*INDEX(Products!$D$2:$D$49,MATCH(C2937,Products!$A$2:$A$49,0))*(1+INDEX(Assumptions!$B$16:$B$20,MATCH(B2937,Assumptions!$A$16:$A$20,0)))</f>
        <v>4380.992</v>
      </c>
      <c r="J2937" s="33" t="n">
        <f aca="false">H2937-I2937</f>
        <v>1499.008</v>
      </c>
      <c r="K2937" s="33" t="n">
        <f aca="false">IF(OR(E2937=0,E2937&gt;=7),0,D2937/(7-E2937)*E2937*INDEX(Products!$E$2:$E$49,MATCH(C2937,Products!$A$2:$A$49,0)))</f>
        <v>0</v>
      </c>
    </row>
    <row r="2938" customFormat="false" ht="15" hidden="false" customHeight="false" outlineLevel="0" collapsed="false">
      <c r="A2938" s="36" t="n">
        <v>46195</v>
      </c>
      <c r="B2938" s="24" t="s">
        <v>63</v>
      </c>
      <c r="C2938" s="24" t="s">
        <v>157</v>
      </c>
      <c r="D2938" s="33" t="n">
        <v>45</v>
      </c>
      <c r="E2938" s="24" t="n">
        <v>2</v>
      </c>
      <c r="F2938" s="37" t="n">
        <f aca="false">DATE(YEAR(A2938),MONTH(A2938),1)</f>
        <v>46174</v>
      </c>
      <c r="G2938" s="24" t="str">
        <f aca="false">INDEX(Products!$C$2:$C$49,MATCH(C2938,Products!$A$2:$A$49,0))</f>
        <v>Beverages</v>
      </c>
      <c r="H2938" s="33" t="n">
        <f aca="false">D2938*INDEX(Products!$E$2:$E$49,MATCH(C2938,Products!$A$2:$A$49,0))</f>
        <v>5400</v>
      </c>
      <c r="I2938" s="33" t="n">
        <f aca="false">D2938*INDEX(Products!$D$2:$D$49,MATCH(C2938,Products!$A$2:$A$49,0))*(1+INDEX(Assumptions!$B$16:$B$20,MATCH(B2938,Assumptions!$A$16:$A$20,0)))</f>
        <v>4023.36</v>
      </c>
      <c r="J2938" s="33" t="n">
        <f aca="false">H2938-I2938</f>
        <v>1376.64</v>
      </c>
      <c r="K2938" s="33" t="n">
        <f aca="false">IF(OR(E2938=0,E2938&gt;=7),0,D2938/(7-E2938)*E2938*INDEX(Products!$E$2:$E$49,MATCH(C2938,Products!$A$2:$A$49,0)))</f>
        <v>2160</v>
      </c>
    </row>
    <row r="2939" customFormat="false" ht="15" hidden="false" customHeight="false" outlineLevel="0" collapsed="false">
      <c r="A2939" s="36" t="n">
        <v>46202</v>
      </c>
      <c r="B2939" s="24" t="s">
        <v>63</v>
      </c>
      <c r="C2939" s="24" t="s">
        <v>157</v>
      </c>
      <c r="D2939" s="33" t="n">
        <v>55</v>
      </c>
      <c r="E2939" s="24" t="n">
        <v>0</v>
      </c>
      <c r="F2939" s="37" t="n">
        <f aca="false">DATE(YEAR(A2939),MONTH(A2939),1)</f>
        <v>46174</v>
      </c>
      <c r="G2939" s="24" t="str">
        <f aca="false">INDEX(Products!$C$2:$C$49,MATCH(C2939,Products!$A$2:$A$49,0))</f>
        <v>Beverages</v>
      </c>
      <c r="H2939" s="33" t="n">
        <f aca="false">D2939*INDEX(Products!$E$2:$E$49,MATCH(C2939,Products!$A$2:$A$49,0))</f>
        <v>6600</v>
      </c>
      <c r="I2939" s="33" t="n">
        <f aca="false">D2939*INDEX(Products!$D$2:$D$49,MATCH(C2939,Products!$A$2:$A$49,0))*(1+INDEX(Assumptions!$B$16:$B$20,MATCH(B2939,Assumptions!$A$16:$A$20,0)))</f>
        <v>4917.44</v>
      </c>
      <c r="J2939" s="33" t="n">
        <f aca="false">H2939-I2939</f>
        <v>1682.56</v>
      </c>
      <c r="K2939" s="33" t="n">
        <f aca="false">IF(OR(E2939=0,E2939&gt;=7),0,D2939/(7-E2939)*E2939*INDEX(Products!$E$2:$E$49,MATCH(C2939,Products!$A$2:$A$49,0)))</f>
        <v>0</v>
      </c>
    </row>
    <row r="2940" customFormat="false" ht="15" hidden="false" customHeight="false" outlineLevel="0" collapsed="false">
      <c r="A2940" s="36" t="n">
        <v>46209</v>
      </c>
      <c r="B2940" s="24" t="s">
        <v>63</v>
      </c>
      <c r="C2940" s="24" t="s">
        <v>157</v>
      </c>
      <c r="D2940" s="33" t="n">
        <v>62</v>
      </c>
      <c r="E2940" s="24" t="n">
        <v>0</v>
      </c>
      <c r="F2940" s="37" t="n">
        <f aca="false">DATE(YEAR(A2940),MONTH(A2940),1)</f>
        <v>46204</v>
      </c>
      <c r="G2940" s="24" t="str">
        <f aca="false">INDEX(Products!$C$2:$C$49,MATCH(C2940,Products!$A$2:$A$49,0))</f>
        <v>Beverages</v>
      </c>
      <c r="H2940" s="33" t="n">
        <f aca="false">D2940*INDEX(Products!$E$2:$E$49,MATCH(C2940,Products!$A$2:$A$49,0))</f>
        <v>7440</v>
      </c>
      <c r="I2940" s="33" t="n">
        <f aca="false">D2940*INDEX(Products!$D$2:$D$49,MATCH(C2940,Products!$A$2:$A$49,0))*(1+INDEX(Assumptions!$B$16:$B$20,MATCH(B2940,Assumptions!$A$16:$A$20,0)))</f>
        <v>5543.296</v>
      </c>
      <c r="J2940" s="33" t="n">
        <f aca="false">H2940-I2940</f>
        <v>1896.704</v>
      </c>
      <c r="K2940" s="33" t="n">
        <f aca="false">IF(OR(E2940=0,E2940&gt;=7),0,D2940/(7-E2940)*E2940*INDEX(Products!$E$2:$E$49,MATCH(C2940,Products!$A$2:$A$49,0)))</f>
        <v>0</v>
      </c>
    </row>
    <row r="2941" customFormat="false" ht="15" hidden="false" customHeight="false" outlineLevel="0" collapsed="false">
      <c r="A2941" s="36" t="n">
        <v>46216</v>
      </c>
      <c r="B2941" s="24" t="s">
        <v>63</v>
      </c>
      <c r="C2941" s="24" t="s">
        <v>157</v>
      </c>
      <c r="D2941" s="33" t="n">
        <v>56</v>
      </c>
      <c r="E2941" s="24" t="n">
        <v>0</v>
      </c>
      <c r="F2941" s="37" t="n">
        <f aca="false">DATE(YEAR(A2941),MONTH(A2941),1)</f>
        <v>46204</v>
      </c>
      <c r="G2941" s="24" t="str">
        <f aca="false">INDEX(Products!$C$2:$C$49,MATCH(C2941,Products!$A$2:$A$49,0))</f>
        <v>Beverages</v>
      </c>
      <c r="H2941" s="33" t="n">
        <f aca="false">D2941*INDEX(Products!$E$2:$E$49,MATCH(C2941,Products!$A$2:$A$49,0))</f>
        <v>6720</v>
      </c>
      <c r="I2941" s="33" t="n">
        <f aca="false">D2941*INDEX(Products!$D$2:$D$49,MATCH(C2941,Products!$A$2:$A$49,0))*(1+INDEX(Assumptions!$B$16:$B$20,MATCH(B2941,Assumptions!$A$16:$A$20,0)))</f>
        <v>5006.848</v>
      </c>
      <c r="J2941" s="33" t="n">
        <f aca="false">H2941-I2941</f>
        <v>1713.152</v>
      </c>
      <c r="K2941" s="33" t="n">
        <f aca="false">IF(OR(E2941=0,E2941&gt;=7),0,D2941/(7-E2941)*E2941*INDEX(Products!$E$2:$E$49,MATCH(C2941,Products!$A$2:$A$49,0)))</f>
        <v>0</v>
      </c>
    </row>
    <row r="2942" customFormat="false" ht="15" hidden="false" customHeight="false" outlineLevel="0" collapsed="false">
      <c r="A2942" s="36" t="n">
        <v>46223</v>
      </c>
      <c r="B2942" s="24" t="s">
        <v>63</v>
      </c>
      <c r="C2942" s="24" t="s">
        <v>157</v>
      </c>
      <c r="D2942" s="33" t="n">
        <v>61</v>
      </c>
      <c r="E2942" s="24" t="n">
        <v>0</v>
      </c>
      <c r="F2942" s="37" t="n">
        <f aca="false">DATE(YEAR(A2942),MONTH(A2942),1)</f>
        <v>46204</v>
      </c>
      <c r="G2942" s="24" t="str">
        <f aca="false">INDEX(Products!$C$2:$C$49,MATCH(C2942,Products!$A$2:$A$49,0))</f>
        <v>Beverages</v>
      </c>
      <c r="H2942" s="33" t="n">
        <f aca="false">D2942*INDEX(Products!$E$2:$E$49,MATCH(C2942,Products!$A$2:$A$49,0))</f>
        <v>7320</v>
      </c>
      <c r="I2942" s="33" t="n">
        <f aca="false">D2942*INDEX(Products!$D$2:$D$49,MATCH(C2942,Products!$A$2:$A$49,0))*(1+INDEX(Assumptions!$B$16:$B$20,MATCH(B2942,Assumptions!$A$16:$A$20,0)))</f>
        <v>5453.888</v>
      </c>
      <c r="J2942" s="33" t="n">
        <f aca="false">H2942-I2942</f>
        <v>1866.112</v>
      </c>
      <c r="K2942" s="33" t="n">
        <f aca="false">IF(OR(E2942=0,E2942&gt;=7),0,D2942/(7-E2942)*E2942*INDEX(Products!$E$2:$E$49,MATCH(C2942,Products!$A$2:$A$49,0)))</f>
        <v>0</v>
      </c>
    </row>
    <row r="2943" customFormat="false" ht="15" hidden="false" customHeight="false" outlineLevel="0" collapsed="false">
      <c r="A2943" s="36" t="n">
        <v>46230</v>
      </c>
      <c r="B2943" s="24" t="s">
        <v>63</v>
      </c>
      <c r="C2943" s="24" t="s">
        <v>157</v>
      </c>
      <c r="D2943" s="33" t="n">
        <v>64</v>
      </c>
      <c r="E2943" s="24" t="n">
        <v>0</v>
      </c>
      <c r="F2943" s="37" t="n">
        <f aca="false">DATE(YEAR(A2943),MONTH(A2943),1)</f>
        <v>46204</v>
      </c>
      <c r="G2943" s="24" t="str">
        <f aca="false">INDEX(Products!$C$2:$C$49,MATCH(C2943,Products!$A$2:$A$49,0))</f>
        <v>Beverages</v>
      </c>
      <c r="H2943" s="33" t="n">
        <f aca="false">D2943*INDEX(Products!$E$2:$E$49,MATCH(C2943,Products!$A$2:$A$49,0))</f>
        <v>7680</v>
      </c>
      <c r="I2943" s="33" t="n">
        <f aca="false">D2943*INDEX(Products!$D$2:$D$49,MATCH(C2943,Products!$A$2:$A$49,0))*(1+INDEX(Assumptions!$B$16:$B$20,MATCH(B2943,Assumptions!$A$16:$A$20,0)))</f>
        <v>5722.112</v>
      </c>
      <c r="J2943" s="33" t="n">
        <f aca="false">H2943-I2943</f>
        <v>1957.888</v>
      </c>
      <c r="K2943" s="33" t="n">
        <f aca="false">IF(OR(E2943=0,E2943&gt;=7),0,D2943/(7-E2943)*E2943*INDEX(Products!$E$2:$E$49,MATCH(C2943,Products!$A$2:$A$49,0)))</f>
        <v>0</v>
      </c>
    </row>
    <row r="2944" customFormat="false" ht="15" hidden="false" customHeight="false" outlineLevel="0" collapsed="false">
      <c r="A2944" s="36" t="n">
        <v>46237</v>
      </c>
      <c r="B2944" s="24" t="s">
        <v>63</v>
      </c>
      <c r="C2944" s="24" t="s">
        <v>157</v>
      </c>
      <c r="D2944" s="33" t="n">
        <v>48</v>
      </c>
      <c r="E2944" s="24" t="n">
        <v>0</v>
      </c>
      <c r="F2944" s="37" t="n">
        <f aca="false">DATE(YEAR(A2944),MONTH(A2944),1)</f>
        <v>46235</v>
      </c>
      <c r="G2944" s="24" t="str">
        <f aca="false">INDEX(Products!$C$2:$C$49,MATCH(C2944,Products!$A$2:$A$49,0))</f>
        <v>Beverages</v>
      </c>
      <c r="H2944" s="33" t="n">
        <f aca="false">D2944*INDEX(Products!$E$2:$E$49,MATCH(C2944,Products!$A$2:$A$49,0))</f>
        <v>5760</v>
      </c>
      <c r="I2944" s="33" t="n">
        <f aca="false">D2944*INDEX(Products!$D$2:$D$49,MATCH(C2944,Products!$A$2:$A$49,0))*(1+INDEX(Assumptions!$B$16:$B$20,MATCH(B2944,Assumptions!$A$16:$A$20,0)))</f>
        <v>4291.584</v>
      </c>
      <c r="J2944" s="33" t="n">
        <f aca="false">H2944-I2944</f>
        <v>1468.416</v>
      </c>
      <c r="K2944" s="33" t="n">
        <f aca="false">IF(OR(E2944=0,E2944&gt;=7),0,D2944/(7-E2944)*E2944*INDEX(Products!$E$2:$E$49,MATCH(C2944,Products!$A$2:$A$49,0)))</f>
        <v>0</v>
      </c>
    </row>
    <row r="2945" customFormat="false" ht="15" hidden="false" customHeight="false" outlineLevel="0" collapsed="false">
      <c r="A2945" s="36" t="n">
        <v>46244</v>
      </c>
      <c r="B2945" s="24" t="s">
        <v>63</v>
      </c>
      <c r="C2945" s="24" t="s">
        <v>157</v>
      </c>
      <c r="D2945" s="33" t="n">
        <v>61</v>
      </c>
      <c r="E2945" s="24" t="n">
        <v>0</v>
      </c>
      <c r="F2945" s="37" t="n">
        <f aca="false">DATE(YEAR(A2945),MONTH(A2945),1)</f>
        <v>46235</v>
      </c>
      <c r="G2945" s="24" t="str">
        <f aca="false">INDEX(Products!$C$2:$C$49,MATCH(C2945,Products!$A$2:$A$49,0))</f>
        <v>Beverages</v>
      </c>
      <c r="H2945" s="33" t="n">
        <f aca="false">D2945*INDEX(Products!$E$2:$E$49,MATCH(C2945,Products!$A$2:$A$49,0))</f>
        <v>7320</v>
      </c>
      <c r="I2945" s="33" t="n">
        <f aca="false">D2945*INDEX(Products!$D$2:$D$49,MATCH(C2945,Products!$A$2:$A$49,0))*(1+INDEX(Assumptions!$B$16:$B$20,MATCH(B2945,Assumptions!$A$16:$A$20,0)))</f>
        <v>5453.888</v>
      </c>
      <c r="J2945" s="33" t="n">
        <f aca="false">H2945-I2945</f>
        <v>1866.112</v>
      </c>
      <c r="K2945" s="33" t="n">
        <f aca="false">IF(OR(E2945=0,E2945&gt;=7),0,D2945/(7-E2945)*E2945*INDEX(Products!$E$2:$E$49,MATCH(C2945,Products!$A$2:$A$49,0)))</f>
        <v>0</v>
      </c>
    </row>
    <row r="2946" customFormat="false" ht="15" hidden="false" customHeight="false" outlineLevel="0" collapsed="false">
      <c r="A2946" s="36" t="n">
        <v>46251</v>
      </c>
      <c r="B2946" s="24" t="s">
        <v>63</v>
      </c>
      <c r="C2946" s="24" t="s">
        <v>157</v>
      </c>
      <c r="D2946" s="33" t="n">
        <v>66</v>
      </c>
      <c r="E2946" s="24" t="n">
        <v>0</v>
      </c>
      <c r="F2946" s="37" t="n">
        <f aca="false">DATE(YEAR(A2946),MONTH(A2946),1)</f>
        <v>46235</v>
      </c>
      <c r="G2946" s="24" t="str">
        <f aca="false">INDEX(Products!$C$2:$C$49,MATCH(C2946,Products!$A$2:$A$49,0))</f>
        <v>Beverages</v>
      </c>
      <c r="H2946" s="33" t="n">
        <f aca="false">D2946*INDEX(Products!$E$2:$E$49,MATCH(C2946,Products!$A$2:$A$49,0))</f>
        <v>7920</v>
      </c>
      <c r="I2946" s="33" t="n">
        <f aca="false">D2946*INDEX(Products!$D$2:$D$49,MATCH(C2946,Products!$A$2:$A$49,0))*(1+INDEX(Assumptions!$B$16:$B$20,MATCH(B2946,Assumptions!$A$16:$A$20,0)))</f>
        <v>5900.928</v>
      </c>
      <c r="J2946" s="33" t="n">
        <f aca="false">H2946-I2946</f>
        <v>2019.072</v>
      </c>
      <c r="K2946" s="33" t="n">
        <f aca="false">IF(OR(E2946=0,E2946&gt;=7),0,D2946/(7-E2946)*E2946*INDEX(Products!$E$2:$E$49,MATCH(C2946,Products!$A$2:$A$49,0)))</f>
        <v>0</v>
      </c>
    </row>
    <row r="2947" customFormat="false" ht="15" hidden="false" customHeight="false" outlineLevel="0" collapsed="false">
      <c r="A2947" s="36" t="n">
        <v>46258</v>
      </c>
      <c r="B2947" s="24" t="s">
        <v>63</v>
      </c>
      <c r="C2947" s="24" t="s">
        <v>157</v>
      </c>
      <c r="D2947" s="33" t="n">
        <v>79</v>
      </c>
      <c r="E2947" s="24" t="n">
        <v>0</v>
      </c>
      <c r="F2947" s="37" t="n">
        <f aca="false">DATE(YEAR(A2947),MONTH(A2947),1)</f>
        <v>46235</v>
      </c>
      <c r="G2947" s="24" t="str">
        <f aca="false">INDEX(Products!$C$2:$C$49,MATCH(C2947,Products!$A$2:$A$49,0))</f>
        <v>Beverages</v>
      </c>
      <c r="H2947" s="33" t="n">
        <f aca="false">D2947*INDEX(Products!$E$2:$E$49,MATCH(C2947,Products!$A$2:$A$49,0))</f>
        <v>9480</v>
      </c>
      <c r="I2947" s="33" t="n">
        <f aca="false">D2947*INDEX(Products!$D$2:$D$49,MATCH(C2947,Products!$A$2:$A$49,0))*(1+INDEX(Assumptions!$B$16:$B$20,MATCH(B2947,Assumptions!$A$16:$A$20,0)))</f>
        <v>7063.232</v>
      </c>
      <c r="J2947" s="33" t="n">
        <f aca="false">H2947-I2947</f>
        <v>2416.768</v>
      </c>
      <c r="K2947" s="33" t="n">
        <f aca="false">IF(OR(E2947=0,E2947&gt;=7),0,D2947/(7-E2947)*E2947*INDEX(Products!$E$2:$E$49,MATCH(C2947,Products!$A$2:$A$49,0)))</f>
        <v>0</v>
      </c>
    </row>
    <row r="2948" customFormat="false" ht="15" hidden="false" customHeight="false" outlineLevel="0" collapsed="false">
      <c r="A2948" s="36" t="n">
        <v>46265</v>
      </c>
      <c r="B2948" s="24" t="s">
        <v>63</v>
      </c>
      <c r="C2948" s="24" t="s">
        <v>157</v>
      </c>
      <c r="D2948" s="33" t="n">
        <v>58</v>
      </c>
      <c r="E2948" s="24" t="n">
        <v>0</v>
      </c>
      <c r="F2948" s="37" t="n">
        <f aca="false">DATE(YEAR(A2948),MONTH(A2948),1)</f>
        <v>46235</v>
      </c>
      <c r="G2948" s="24" t="str">
        <f aca="false">INDEX(Products!$C$2:$C$49,MATCH(C2948,Products!$A$2:$A$49,0))</f>
        <v>Beverages</v>
      </c>
      <c r="H2948" s="33" t="n">
        <f aca="false">D2948*INDEX(Products!$E$2:$E$49,MATCH(C2948,Products!$A$2:$A$49,0))</f>
        <v>6960</v>
      </c>
      <c r="I2948" s="33" t="n">
        <f aca="false">D2948*INDEX(Products!$D$2:$D$49,MATCH(C2948,Products!$A$2:$A$49,0))*(1+INDEX(Assumptions!$B$16:$B$20,MATCH(B2948,Assumptions!$A$16:$A$20,0)))</f>
        <v>5185.664</v>
      </c>
      <c r="J2948" s="33" t="n">
        <f aca="false">H2948-I2948</f>
        <v>1774.336</v>
      </c>
      <c r="K2948" s="33" t="n">
        <f aca="false">IF(OR(E2948=0,E2948&gt;=7),0,D2948/(7-E2948)*E2948*INDEX(Products!$E$2:$E$49,MATCH(C2948,Products!$A$2:$A$49,0)))</f>
        <v>0</v>
      </c>
    </row>
    <row r="2949" customFormat="false" ht="15" hidden="false" customHeight="false" outlineLevel="0" collapsed="false">
      <c r="A2949" s="36" t="n">
        <v>46272</v>
      </c>
      <c r="B2949" s="24" t="s">
        <v>63</v>
      </c>
      <c r="C2949" s="24" t="s">
        <v>157</v>
      </c>
      <c r="D2949" s="33" t="n">
        <v>60</v>
      </c>
      <c r="E2949" s="24" t="n">
        <v>0</v>
      </c>
      <c r="F2949" s="37" t="n">
        <f aca="false">DATE(YEAR(A2949),MONTH(A2949),1)</f>
        <v>46266</v>
      </c>
      <c r="G2949" s="24" t="str">
        <f aca="false">INDEX(Products!$C$2:$C$49,MATCH(C2949,Products!$A$2:$A$49,0))</f>
        <v>Beverages</v>
      </c>
      <c r="H2949" s="33" t="n">
        <f aca="false">D2949*INDEX(Products!$E$2:$E$49,MATCH(C2949,Products!$A$2:$A$49,0))</f>
        <v>7200</v>
      </c>
      <c r="I2949" s="33" t="n">
        <f aca="false">D2949*INDEX(Products!$D$2:$D$49,MATCH(C2949,Products!$A$2:$A$49,0))*(1+INDEX(Assumptions!$B$16:$B$20,MATCH(B2949,Assumptions!$A$16:$A$20,0)))</f>
        <v>5364.48</v>
      </c>
      <c r="J2949" s="33" t="n">
        <f aca="false">H2949-I2949</f>
        <v>1835.52</v>
      </c>
      <c r="K2949" s="33" t="n">
        <f aca="false">IF(OR(E2949=0,E2949&gt;=7),0,D2949/(7-E2949)*E2949*INDEX(Products!$E$2:$E$49,MATCH(C2949,Products!$A$2:$A$49,0)))</f>
        <v>0</v>
      </c>
    </row>
    <row r="2950" customFormat="false" ht="15" hidden="false" customHeight="false" outlineLevel="0" collapsed="false">
      <c r="A2950" s="36" t="n">
        <v>46279</v>
      </c>
      <c r="B2950" s="24" t="s">
        <v>63</v>
      </c>
      <c r="C2950" s="24" t="s">
        <v>157</v>
      </c>
      <c r="D2950" s="33" t="n">
        <v>54</v>
      </c>
      <c r="E2950" s="24" t="n">
        <v>0</v>
      </c>
      <c r="F2950" s="37" t="n">
        <f aca="false">DATE(YEAR(A2950),MONTH(A2950),1)</f>
        <v>46266</v>
      </c>
      <c r="G2950" s="24" t="str">
        <f aca="false">INDEX(Products!$C$2:$C$49,MATCH(C2950,Products!$A$2:$A$49,0))</f>
        <v>Beverages</v>
      </c>
      <c r="H2950" s="33" t="n">
        <f aca="false">D2950*INDEX(Products!$E$2:$E$49,MATCH(C2950,Products!$A$2:$A$49,0))</f>
        <v>6480</v>
      </c>
      <c r="I2950" s="33" t="n">
        <f aca="false">D2950*INDEX(Products!$D$2:$D$49,MATCH(C2950,Products!$A$2:$A$49,0))*(1+INDEX(Assumptions!$B$16:$B$20,MATCH(B2950,Assumptions!$A$16:$A$20,0)))</f>
        <v>4828.032</v>
      </c>
      <c r="J2950" s="33" t="n">
        <f aca="false">H2950-I2950</f>
        <v>1651.968</v>
      </c>
      <c r="K2950" s="33" t="n">
        <f aca="false">IF(OR(E2950=0,E2950&gt;=7),0,D2950/(7-E2950)*E2950*INDEX(Products!$E$2:$E$49,MATCH(C2950,Products!$A$2:$A$49,0)))</f>
        <v>0</v>
      </c>
    </row>
    <row r="2951" customFormat="false" ht="15" hidden="false" customHeight="false" outlineLevel="0" collapsed="false">
      <c r="A2951" s="36" t="n">
        <v>46286</v>
      </c>
      <c r="B2951" s="24" t="s">
        <v>63</v>
      </c>
      <c r="C2951" s="24" t="s">
        <v>157</v>
      </c>
      <c r="D2951" s="33" t="n">
        <v>57</v>
      </c>
      <c r="E2951" s="24" t="n">
        <v>0</v>
      </c>
      <c r="F2951" s="37" t="n">
        <f aca="false">DATE(YEAR(A2951),MONTH(A2951),1)</f>
        <v>46266</v>
      </c>
      <c r="G2951" s="24" t="str">
        <f aca="false">INDEX(Products!$C$2:$C$49,MATCH(C2951,Products!$A$2:$A$49,0))</f>
        <v>Beverages</v>
      </c>
      <c r="H2951" s="33" t="n">
        <f aca="false">D2951*INDEX(Products!$E$2:$E$49,MATCH(C2951,Products!$A$2:$A$49,0))</f>
        <v>6840</v>
      </c>
      <c r="I2951" s="33" t="n">
        <f aca="false">D2951*INDEX(Products!$D$2:$D$49,MATCH(C2951,Products!$A$2:$A$49,0))*(1+INDEX(Assumptions!$B$16:$B$20,MATCH(B2951,Assumptions!$A$16:$A$20,0)))</f>
        <v>5096.256</v>
      </c>
      <c r="J2951" s="33" t="n">
        <f aca="false">H2951-I2951</f>
        <v>1743.744</v>
      </c>
      <c r="K2951" s="33" t="n">
        <f aca="false">IF(OR(E2951=0,E2951&gt;=7),0,D2951/(7-E2951)*E2951*INDEX(Products!$E$2:$E$49,MATCH(C2951,Products!$A$2:$A$49,0)))</f>
        <v>0</v>
      </c>
    </row>
    <row r="2952" customFormat="false" ht="15" hidden="false" customHeight="false" outlineLevel="0" collapsed="false">
      <c r="A2952" s="36" t="n">
        <v>46118</v>
      </c>
      <c r="B2952" s="24" t="s">
        <v>63</v>
      </c>
      <c r="C2952" s="24" t="s">
        <v>159</v>
      </c>
      <c r="D2952" s="33" t="n">
        <v>106</v>
      </c>
      <c r="E2952" s="24" t="n">
        <v>0</v>
      </c>
      <c r="F2952" s="37" t="n">
        <f aca="false">DATE(YEAR(A2952),MONTH(A2952),1)</f>
        <v>46113</v>
      </c>
      <c r="G2952" s="24" t="str">
        <f aca="false">INDEX(Products!$C$2:$C$49,MATCH(C2952,Products!$A$2:$A$49,0))</f>
        <v>Beverages</v>
      </c>
      <c r="H2952" s="33" t="n">
        <f aca="false">D2952*INDEX(Products!$E$2:$E$49,MATCH(C2952,Products!$A$2:$A$49,0))</f>
        <v>47700</v>
      </c>
      <c r="I2952" s="33" t="n">
        <f aca="false">D2952*INDEX(Products!$D$2:$D$49,MATCH(C2952,Products!$A$2:$A$49,0))*(1+INDEX(Assumptions!$B$16:$B$20,MATCH(B2952,Assumptions!$A$16:$A$20,0)))</f>
        <v>38555.168</v>
      </c>
      <c r="J2952" s="33" t="n">
        <f aca="false">H2952-I2952</f>
        <v>9144.832</v>
      </c>
      <c r="K2952" s="33" t="n">
        <f aca="false">IF(OR(E2952=0,E2952&gt;=7),0,D2952/(7-E2952)*E2952*INDEX(Products!$E$2:$E$49,MATCH(C2952,Products!$A$2:$A$49,0)))</f>
        <v>0</v>
      </c>
    </row>
    <row r="2953" customFormat="false" ht="15" hidden="false" customHeight="false" outlineLevel="0" collapsed="false">
      <c r="A2953" s="36" t="n">
        <v>46125</v>
      </c>
      <c r="B2953" s="24" t="s">
        <v>63</v>
      </c>
      <c r="C2953" s="24" t="s">
        <v>159</v>
      </c>
      <c r="D2953" s="33" t="n">
        <v>59</v>
      </c>
      <c r="E2953" s="24" t="n">
        <v>0</v>
      </c>
      <c r="F2953" s="37" t="n">
        <f aca="false">DATE(YEAR(A2953),MONTH(A2953),1)</f>
        <v>46113</v>
      </c>
      <c r="G2953" s="24" t="str">
        <f aca="false">INDEX(Products!$C$2:$C$49,MATCH(C2953,Products!$A$2:$A$49,0))</f>
        <v>Beverages</v>
      </c>
      <c r="H2953" s="33" t="n">
        <f aca="false">D2953*INDEX(Products!$E$2:$E$49,MATCH(C2953,Products!$A$2:$A$49,0))</f>
        <v>26550</v>
      </c>
      <c r="I2953" s="33" t="n">
        <f aca="false">D2953*INDEX(Products!$D$2:$D$49,MATCH(C2953,Products!$A$2:$A$49,0))*(1+INDEX(Assumptions!$B$16:$B$20,MATCH(B2953,Assumptions!$A$16:$A$20,0)))</f>
        <v>21459.952</v>
      </c>
      <c r="J2953" s="33" t="n">
        <f aca="false">H2953-I2953</f>
        <v>5090.048</v>
      </c>
      <c r="K2953" s="33" t="n">
        <f aca="false">IF(OR(E2953=0,E2953&gt;=7),0,D2953/(7-E2953)*E2953*INDEX(Products!$E$2:$E$49,MATCH(C2953,Products!$A$2:$A$49,0)))</f>
        <v>0</v>
      </c>
    </row>
    <row r="2954" customFormat="false" ht="15" hidden="false" customHeight="false" outlineLevel="0" collapsed="false">
      <c r="A2954" s="36" t="n">
        <v>46132</v>
      </c>
      <c r="B2954" s="24" t="s">
        <v>63</v>
      </c>
      <c r="C2954" s="24" t="s">
        <v>159</v>
      </c>
      <c r="D2954" s="33" t="n">
        <v>62</v>
      </c>
      <c r="E2954" s="24" t="n">
        <v>0</v>
      </c>
      <c r="F2954" s="37" t="n">
        <f aca="false">DATE(YEAR(A2954),MONTH(A2954),1)</f>
        <v>46113</v>
      </c>
      <c r="G2954" s="24" t="str">
        <f aca="false">INDEX(Products!$C$2:$C$49,MATCH(C2954,Products!$A$2:$A$49,0))</f>
        <v>Beverages</v>
      </c>
      <c r="H2954" s="33" t="n">
        <f aca="false">D2954*INDEX(Products!$E$2:$E$49,MATCH(C2954,Products!$A$2:$A$49,0))</f>
        <v>27900</v>
      </c>
      <c r="I2954" s="33" t="n">
        <f aca="false">D2954*INDEX(Products!$D$2:$D$49,MATCH(C2954,Products!$A$2:$A$49,0))*(1+INDEX(Assumptions!$B$16:$B$20,MATCH(B2954,Assumptions!$A$16:$A$20,0)))</f>
        <v>22551.136</v>
      </c>
      <c r="J2954" s="33" t="n">
        <f aca="false">H2954-I2954</f>
        <v>5348.864</v>
      </c>
      <c r="K2954" s="33" t="n">
        <f aca="false">IF(OR(E2954=0,E2954&gt;=7),0,D2954/(7-E2954)*E2954*INDEX(Products!$E$2:$E$49,MATCH(C2954,Products!$A$2:$A$49,0)))</f>
        <v>0</v>
      </c>
    </row>
    <row r="2955" customFormat="false" ht="15" hidden="false" customHeight="false" outlineLevel="0" collapsed="false">
      <c r="A2955" s="36" t="n">
        <v>46139</v>
      </c>
      <c r="B2955" s="24" t="s">
        <v>63</v>
      </c>
      <c r="C2955" s="24" t="s">
        <v>159</v>
      </c>
      <c r="D2955" s="33" t="n">
        <v>64</v>
      </c>
      <c r="E2955" s="24" t="n">
        <v>0</v>
      </c>
      <c r="F2955" s="37" t="n">
        <f aca="false">DATE(YEAR(A2955),MONTH(A2955),1)</f>
        <v>46113</v>
      </c>
      <c r="G2955" s="24" t="str">
        <f aca="false">INDEX(Products!$C$2:$C$49,MATCH(C2955,Products!$A$2:$A$49,0))</f>
        <v>Beverages</v>
      </c>
      <c r="H2955" s="33" t="n">
        <f aca="false">D2955*INDEX(Products!$E$2:$E$49,MATCH(C2955,Products!$A$2:$A$49,0))</f>
        <v>28800</v>
      </c>
      <c r="I2955" s="33" t="n">
        <f aca="false">D2955*INDEX(Products!$D$2:$D$49,MATCH(C2955,Products!$A$2:$A$49,0))*(1+INDEX(Assumptions!$B$16:$B$20,MATCH(B2955,Assumptions!$A$16:$A$20,0)))</f>
        <v>23278.592</v>
      </c>
      <c r="J2955" s="33" t="n">
        <f aca="false">H2955-I2955</f>
        <v>5521.408</v>
      </c>
      <c r="K2955" s="33" t="n">
        <f aca="false">IF(OR(E2955=0,E2955&gt;=7),0,D2955/(7-E2955)*E2955*INDEX(Products!$E$2:$E$49,MATCH(C2955,Products!$A$2:$A$49,0)))</f>
        <v>0</v>
      </c>
    </row>
    <row r="2956" customFormat="false" ht="15" hidden="false" customHeight="false" outlineLevel="0" collapsed="false">
      <c r="A2956" s="36" t="n">
        <v>46146</v>
      </c>
      <c r="B2956" s="24" t="s">
        <v>63</v>
      </c>
      <c r="C2956" s="24" t="s">
        <v>159</v>
      </c>
      <c r="D2956" s="33" t="n">
        <v>62</v>
      </c>
      <c r="E2956" s="24" t="n">
        <v>0</v>
      </c>
      <c r="F2956" s="37" t="n">
        <f aca="false">DATE(YEAR(A2956),MONTH(A2956),1)</f>
        <v>46143</v>
      </c>
      <c r="G2956" s="24" t="str">
        <f aca="false">INDEX(Products!$C$2:$C$49,MATCH(C2956,Products!$A$2:$A$49,0))</f>
        <v>Beverages</v>
      </c>
      <c r="H2956" s="33" t="n">
        <f aca="false">D2956*INDEX(Products!$E$2:$E$49,MATCH(C2956,Products!$A$2:$A$49,0))</f>
        <v>27900</v>
      </c>
      <c r="I2956" s="33" t="n">
        <f aca="false">D2956*INDEX(Products!$D$2:$D$49,MATCH(C2956,Products!$A$2:$A$49,0))*(1+INDEX(Assumptions!$B$16:$B$20,MATCH(B2956,Assumptions!$A$16:$A$20,0)))</f>
        <v>22551.136</v>
      </c>
      <c r="J2956" s="33" t="n">
        <f aca="false">H2956-I2956</f>
        <v>5348.864</v>
      </c>
      <c r="K2956" s="33" t="n">
        <f aca="false">IF(OR(E2956=0,E2956&gt;=7),0,D2956/(7-E2956)*E2956*INDEX(Products!$E$2:$E$49,MATCH(C2956,Products!$A$2:$A$49,0)))</f>
        <v>0</v>
      </c>
    </row>
    <row r="2957" customFormat="false" ht="15" hidden="false" customHeight="false" outlineLevel="0" collapsed="false">
      <c r="A2957" s="36" t="n">
        <v>46153</v>
      </c>
      <c r="B2957" s="24" t="s">
        <v>63</v>
      </c>
      <c r="C2957" s="24" t="s">
        <v>159</v>
      </c>
      <c r="D2957" s="33" t="n">
        <v>59</v>
      </c>
      <c r="E2957" s="24" t="n">
        <v>0</v>
      </c>
      <c r="F2957" s="37" t="n">
        <f aca="false">DATE(YEAR(A2957),MONTH(A2957),1)</f>
        <v>46143</v>
      </c>
      <c r="G2957" s="24" t="str">
        <f aca="false">INDEX(Products!$C$2:$C$49,MATCH(C2957,Products!$A$2:$A$49,0))</f>
        <v>Beverages</v>
      </c>
      <c r="H2957" s="33" t="n">
        <f aca="false">D2957*INDEX(Products!$E$2:$E$49,MATCH(C2957,Products!$A$2:$A$49,0))</f>
        <v>26550</v>
      </c>
      <c r="I2957" s="33" t="n">
        <f aca="false">D2957*INDEX(Products!$D$2:$D$49,MATCH(C2957,Products!$A$2:$A$49,0))*(1+INDEX(Assumptions!$B$16:$B$20,MATCH(B2957,Assumptions!$A$16:$A$20,0)))</f>
        <v>21459.952</v>
      </c>
      <c r="J2957" s="33" t="n">
        <f aca="false">H2957-I2957</f>
        <v>5090.048</v>
      </c>
      <c r="K2957" s="33" t="n">
        <f aca="false">IF(OR(E2957=0,E2957&gt;=7),0,D2957/(7-E2957)*E2957*INDEX(Products!$E$2:$E$49,MATCH(C2957,Products!$A$2:$A$49,0)))</f>
        <v>0</v>
      </c>
    </row>
    <row r="2958" customFormat="false" ht="15" hidden="false" customHeight="false" outlineLevel="0" collapsed="false">
      <c r="A2958" s="36" t="n">
        <v>46160</v>
      </c>
      <c r="B2958" s="24" t="s">
        <v>63</v>
      </c>
      <c r="C2958" s="24" t="s">
        <v>159</v>
      </c>
      <c r="D2958" s="33" t="n">
        <v>48</v>
      </c>
      <c r="E2958" s="24" t="n">
        <v>0</v>
      </c>
      <c r="F2958" s="37" t="n">
        <f aca="false">DATE(YEAR(A2958),MONTH(A2958),1)</f>
        <v>46143</v>
      </c>
      <c r="G2958" s="24" t="str">
        <f aca="false">INDEX(Products!$C$2:$C$49,MATCH(C2958,Products!$A$2:$A$49,0))</f>
        <v>Beverages</v>
      </c>
      <c r="H2958" s="33" t="n">
        <f aca="false">D2958*INDEX(Products!$E$2:$E$49,MATCH(C2958,Products!$A$2:$A$49,0))</f>
        <v>21600</v>
      </c>
      <c r="I2958" s="33" t="n">
        <f aca="false">D2958*INDEX(Products!$D$2:$D$49,MATCH(C2958,Products!$A$2:$A$49,0))*(1+INDEX(Assumptions!$B$16:$B$20,MATCH(B2958,Assumptions!$A$16:$A$20,0)))</f>
        <v>17458.944</v>
      </c>
      <c r="J2958" s="33" t="n">
        <f aca="false">H2958-I2958</f>
        <v>4141.056</v>
      </c>
      <c r="K2958" s="33" t="n">
        <f aca="false">IF(OR(E2958=0,E2958&gt;=7),0,D2958/(7-E2958)*E2958*INDEX(Products!$E$2:$E$49,MATCH(C2958,Products!$A$2:$A$49,0)))</f>
        <v>0</v>
      </c>
    </row>
    <row r="2959" customFormat="false" ht="15" hidden="false" customHeight="false" outlineLevel="0" collapsed="false">
      <c r="A2959" s="36" t="n">
        <v>46167</v>
      </c>
      <c r="B2959" s="24" t="s">
        <v>63</v>
      </c>
      <c r="C2959" s="24" t="s">
        <v>159</v>
      </c>
      <c r="D2959" s="33" t="n">
        <v>65</v>
      </c>
      <c r="E2959" s="24" t="n">
        <v>0</v>
      </c>
      <c r="F2959" s="37" t="n">
        <f aca="false">DATE(YEAR(A2959),MONTH(A2959),1)</f>
        <v>46143</v>
      </c>
      <c r="G2959" s="24" t="str">
        <f aca="false">INDEX(Products!$C$2:$C$49,MATCH(C2959,Products!$A$2:$A$49,0))</f>
        <v>Beverages</v>
      </c>
      <c r="H2959" s="33" t="n">
        <f aca="false">D2959*INDEX(Products!$E$2:$E$49,MATCH(C2959,Products!$A$2:$A$49,0))</f>
        <v>29250</v>
      </c>
      <c r="I2959" s="33" t="n">
        <f aca="false">D2959*INDEX(Products!$D$2:$D$49,MATCH(C2959,Products!$A$2:$A$49,0))*(1+INDEX(Assumptions!$B$16:$B$20,MATCH(B2959,Assumptions!$A$16:$A$20,0)))</f>
        <v>23642.32</v>
      </c>
      <c r="J2959" s="33" t="n">
        <f aca="false">H2959-I2959</f>
        <v>5607.68</v>
      </c>
      <c r="K2959" s="33" t="n">
        <f aca="false">IF(OR(E2959=0,E2959&gt;=7),0,D2959/(7-E2959)*E2959*INDEX(Products!$E$2:$E$49,MATCH(C2959,Products!$A$2:$A$49,0)))</f>
        <v>0</v>
      </c>
    </row>
    <row r="2960" customFormat="false" ht="15" hidden="false" customHeight="false" outlineLevel="0" collapsed="false">
      <c r="A2960" s="36" t="n">
        <v>46174</v>
      </c>
      <c r="B2960" s="24" t="s">
        <v>63</v>
      </c>
      <c r="C2960" s="24" t="s">
        <v>159</v>
      </c>
      <c r="D2960" s="33" t="n">
        <v>99</v>
      </c>
      <c r="E2960" s="24" t="n">
        <v>0</v>
      </c>
      <c r="F2960" s="37" t="n">
        <f aca="false">DATE(YEAR(A2960),MONTH(A2960),1)</f>
        <v>46174</v>
      </c>
      <c r="G2960" s="24" t="str">
        <f aca="false">INDEX(Products!$C$2:$C$49,MATCH(C2960,Products!$A$2:$A$49,0))</f>
        <v>Beverages</v>
      </c>
      <c r="H2960" s="33" t="n">
        <f aca="false">D2960*INDEX(Products!$E$2:$E$49,MATCH(C2960,Products!$A$2:$A$49,0))</f>
        <v>44550</v>
      </c>
      <c r="I2960" s="33" t="n">
        <f aca="false">D2960*INDEX(Products!$D$2:$D$49,MATCH(C2960,Products!$A$2:$A$49,0))*(1+INDEX(Assumptions!$B$16:$B$20,MATCH(B2960,Assumptions!$A$16:$A$20,0)))</f>
        <v>36009.072</v>
      </c>
      <c r="J2960" s="33" t="n">
        <f aca="false">H2960-I2960</f>
        <v>8540.928</v>
      </c>
      <c r="K2960" s="33" t="n">
        <f aca="false">IF(OR(E2960=0,E2960&gt;=7),0,D2960/(7-E2960)*E2960*INDEX(Products!$E$2:$E$49,MATCH(C2960,Products!$A$2:$A$49,0)))</f>
        <v>0</v>
      </c>
    </row>
    <row r="2961" customFormat="false" ht="15" hidden="false" customHeight="false" outlineLevel="0" collapsed="false">
      <c r="A2961" s="36" t="n">
        <v>46181</v>
      </c>
      <c r="B2961" s="24" t="s">
        <v>63</v>
      </c>
      <c r="C2961" s="24" t="s">
        <v>159</v>
      </c>
      <c r="D2961" s="33" t="n">
        <v>52</v>
      </c>
      <c r="E2961" s="24" t="n">
        <v>0</v>
      </c>
      <c r="F2961" s="37" t="n">
        <f aca="false">DATE(YEAR(A2961),MONTH(A2961),1)</f>
        <v>46174</v>
      </c>
      <c r="G2961" s="24" t="str">
        <f aca="false">INDEX(Products!$C$2:$C$49,MATCH(C2961,Products!$A$2:$A$49,0))</f>
        <v>Beverages</v>
      </c>
      <c r="H2961" s="33" t="n">
        <f aca="false">D2961*INDEX(Products!$E$2:$E$49,MATCH(C2961,Products!$A$2:$A$49,0))</f>
        <v>23400</v>
      </c>
      <c r="I2961" s="33" t="n">
        <f aca="false">D2961*INDEX(Products!$D$2:$D$49,MATCH(C2961,Products!$A$2:$A$49,0))*(1+INDEX(Assumptions!$B$16:$B$20,MATCH(B2961,Assumptions!$A$16:$A$20,0)))</f>
        <v>18913.856</v>
      </c>
      <c r="J2961" s="33" t="n">
        <f aca="false">H2961-I2961</f>
        <v>4486.144</v>
      </c>
      <c r="K2961" s="33" t="n">
        <f aca="false">IF(OR(E2961=0,E2961&gt;=7),0,D2961/(7-E2961)*E2961*INDEX(Products!$E$2:$E$49,MATCH(C2961,Products!$A$2:$A$49,0)))</f>
        <v>0</v>
      </c>
    </row>
    <row r="2962" customFormat="false" ht="15" hidden="false" customHeight="false" outlineLevel="0" collapsed="false">
      <c r="A2962" s="36" t="n">
        <v>46188</v>
      </c>
      <c r="B2962" s="24" t="s">
        <v>63</v>
      </c>
      <c r="C2962" s="24" t="s">
        <v>159</v>
      </c>
      <c r="D2962" s="33" t="n">
        <v>44</v>
      </c>
      <c r="E2962" s="24" t="n">
        <v>0</v>
      </c>
      <c r="F2962" s="37" t="n">
        <f aca="false">DATE(YEAR(A2962),MONTH(A2962),1)</f>
        <v>46174</v>
      </c>
      <c r="G2962" s="24" t="str">
        <f aca="false">INDEX(Products!$C$2:$C$49,MATCH(C2962,Products!$A$2:$A$49,0))</f>
        <v>Beverages</v>
      </c>
      <c r="H2962" s="33" t="n">
        <f aca="false">D2962*INDEX(Products!$E$2:$E$49,MATCH(C2962,Products!$A$2:$A$49,0))</f>
        <v>19800</v>
      </c>
      <c r="I2962" s="33" t="n">
        <f aca="false">D2962*INDEX(Products!$D$2:$D$49,MATCH(C2962,Products!$A$2:$A$49,0))*(1+INDEX(Assumptions!$B$16:$B$20,MATCH(B2962,Assumptions!$A$16:$A$20,0)))</f>
        <v>16004.032</v>
      </c>
      <c r="J2962" s="33" t="n">
        <f aca="false">H2962-I2962</f>
        <v>3795.968</v>
      </c>
      <c r="K2962" s="33" t="n">
        <f aca="false">IF(OR(E2962=0,E2962&gt;=7),0,D2962/(7-E2962)*E2962*INDEX(Products!$E$2:$E$49,MATCH(C2962,Products!$A$2:$A$49,0)))</f>
        <v>0</v>
      </c>
    </row>
    <row r="2963" customFormat="false" ht="15" hidden="false" customHeight="false" outlineLevel="0" collapsed="false">
      <c r="A2963" s="36" t="n">
        <v>46195</v>
      </c>
      <c r="B2963" s="24" t="s">
        <v>63</v>
      </c>
      <c r="C2963" s="24" t="s">
        <v>159</v>
      </c>
      <c r="D2963" s="33" t="n">
        <v>70</v>
      </c>
      <c r="E2963" s="24" t="n">
        <v>0</v>
      </c>
      <c r="F2963" s="37" t="n">
        <f aca="false">DATE(YEAR(A2963),MONTH(A2963),1)</f>
        <v>46174</v>
      </c>
      <c r="G2963" s="24" t="str">
        <f aca="false">INDEX(Products!$C$2:$C$49,MATCH(C2963,Products!$A$2:$A$49,0))</f>
        <v>Beverages</v>
      </c>
      <c r="H2963" s="33" t="n">
        <f aca="false">D2963*INDEX(Products!$E$2:$E$49,MATCH(C2963,Products!$A$2:$A$49,0))</f>
        <v>31500</v>
      </c>
      <c r="I2963" s="33" t="n">
        <f aca="false">D2963*INDEX(Products!$D$2:$D$49,MATCH(C2963,Products!$A$2:$A$49,0))*(1+INDEX(Assumptions!$B$16:$B$20,MATCH(B2963,Assumptions!$A$16:$A$20,0)))</f>
        <v>25460.96</v>
      </c>
      <c r="J2963" s="33" t="n">
        <f aca="false">H2963-I2963</f>
        <v>6039.04</v>
      </c>
      <c r="K2963" s="33" t="n">
        <f aca="false">IF(OR(E2963=0,E2963&gt;=7),0,D2963/(7-E2963)*E2963*INDEX(Products!$E$2:$E$49,MATCH(C2963,Products!$A$2:$A$49,0)))</f>
        <v>0</v>
      </c>
    </row>
    <row r="2964" customFormat="false" ht="15" hidden="false" customHeight="false" outlineLevel="0" collapsed="false">
      <c r="A2964" s="36" t="n">
        <v>46202</v>
      </c>
      <c r="B2964" s="24" t="s">
        <v>63</v>
      </c>
      <c r="C2964" s="24" t="s">
        <v>159</v>
      </c>
      <c r="D2964" s="33" t="n">
        <v>63</v>
      </c>
      <c r="E2964" s="24" t="n">
        <v>0</v>
      </c>
      <c r="F2964" s="37" t="n">
        <f aca="false">DATE(YEAR(A2964),MONTH(A2964),1)</f>
        <v>46174</v>
      </c>
      <c r="G2964" s="24" t="str">
        <f aca="false">INDEX(Products!$C$2:$C$49,MATCH(C2964,Products!$A$2:$A$49,0))</f>
        <v>Beverages</v>
      </c>
      <c r="H2964" s="33" t="n">
        <f aca="false">D2964*INDEX(Products!$E$2:$E$49,MATCH(C2964,Products!$A$2:$A$49,0))</f>
        <v>28350</v>
      </c>
      <c r="I2964" s="33" t="n">
        <f aca="false">D2964*INDEX(Products!$D$2:$D$49,MATCH(C2964,Products!$A$2:$A$49,0))*(1+INDEX(Assumptions!$B$16:$B$20,MATCH(B2964,Assumptions!$A$16:$A$20,0)))</f>
        <v>22914.864</v>
      </c>
      <c r="J2964" s="33" t="n">
        <f aca="false">H2964-I2964</f>
        <v>5435.136</v>
      </c>
      <c r="K2964" s="33" t="n">
        <f aca="false">IF(OR(E2964=0,E2964&gt;=7),0,D2964/(7-E2964)*E2964*INDEX(Products!$E$2:$E$49,MATCH(C2964,Products!$A$2:$A$49,0)))</f>
        <v>0</v>
      </c>
    </row>
    <row r="2965" customFormat="false" ht="15" hidden="false" customHeight="false" outlineLevel="0" collapsed="false">
      <c r="A2965" s="36" t="n">
        <v>46209</v>
      </c>
      <c r="B2965" s="24" t="s">
        <v>63</v>
      </c>
      <c r="C2965" s="24" t="s">
        <v>159</v>
      </c>
      <c r="D2965" s="33" t="n">
        <v>59</v>
      </c>
      <c r="E2965" s="24" t="n">
        <v>0</v>
      </c>
      <c r="F2965" s="37" t="n">
        <f aca="false">DATE(YEAR(A2965),MONTH(A2965),1)</f>
        <v>46204</v>
      </c>
      <c r="G2965" s="24" t="str">
        <f aca="false">INDEX(Products!$C$2:$C$49,MATCH(C2965,Products!$A$2:$A$49,0))</f>
        <v>Beverages</v>
      </c>
      <c r="H2965" s="33" t="n">
        <f aca="false">D2965*INDEX(Products!$E$2:$E$49,MATCH(C2965,Products!$A$2:$A$49,0))</f>
        <v>26550</v>
      </c>
      <c r="I2965" s="33" t="n">
        <f aca="false">D2965*INDEX(Products!$D$2:$D$49,MATCH(C2965,Products!$A$2:$A$49,0))*(1+INDEX(Assumptions!$B$16:$B$20,MATCH(B2965,Assumptions!$A$16:$A$20,0)))</f>
        <v>21459.952</v>
      </c>
      <c r="J2965" s="33" t="n">
        <f aca="false">H2965-I2965</f>
        <v>5090.048</v>
      </c>
      <c r="K2965" s="33" t="n">
        <f aca="false">IF(OR(E2965=0,E2965&gt;=7),0,D2965/(7-E2965)*E2965*INDEX(Products!$E$2:$E$49,MATCH(C2965,Products!$A$2:$A$49,0)))</f>
        <v>0</v>
      </c>
    </row>
    <row r="2966" customFormat="false" ht="15" hidden="false" customHeight="false" outlineLevel="0" collapsed="false">
      <c r="A2966" s="36" t="n">
        <v>46216</v>
      </c>
      <c r="B2966" s="24" t="s">
        <v>63</v>
      </c>
      <c r="C2966" s="24" t="s">
        <v>159</v>
      </c>
      <c r="D2966" s="33" t="n">
        <v>42</v>
      </c>
      <c r="E2966" s="24" t="n">
        <v>0</v>
      </c>
      <c r="F2966" s="37" t="n">
        <f aca="false">DATE(YEAR(A2966),MONTH(A2966),1)</f>
        <v>46204</v>
      </c>
      <c r="G2966" s="24" t="str">
        <f aca="false">INDEX(Products!$C$2:$C$49,MATCH(C2966,Products!$A$2:$A$49,0))</f>
        <v>Beverages</v>
      </c>
      <c r="H2966" s="33" t="n">
        <f aca="false">D2966*INDEX(Products!$E$2:$E$49,MATCH(C2966,Products!$A$2:$A$49,0))</f>
        <v>18900</v>
      </c>
      <c r="I2966" s="33" t="n">
        <f aca="false">D2966*INDEX(Products!$D$2:$D$49,MATCH(C2966,Products!$A$2:$A$49,0))*(1+INDEX(Assumptions!$B$16:$B$20,MATCH(B2966,Assumptions!$A$16:$A$20,0)))</f>
        <v>15276.576</v>
      </c>
      <c r="J2966" s="33" t="n">
        <f aca="false">H2966-I2966</f>
        <v>3623.424</v>
      </c>
      <c r="K2966" s="33" t="n">
        <f aca="false">IF(OR(E2966=0,E2966&gt;=7),0,D2966/(7-E2966)*E2966*INDEX(Products!$E$2:$E$49,MATCH(C2966,Products!$A$2:$A$49,0)))</f>
        <v>0</v>
      </c>
    </row>
    <row r="2967" customFormat="false" ht="15" hidden="false" customHeight="false" outlineLevel="0" collapsed="false">
      <c r="A2967" s="36" t="n">
        <v>46223</v>
      </c>
      <c r="B2967" s="24" t="s">
        <v>63</v>
      </c>
      <c r="C2967" s="24" t="s">
        <v>159</v>
      </c>
      <c r="D2967" s="33" t="n">
        <v>48</v>
      </c>
      <c r="E2967" s="24" t="n">
        <v>0</v>
      </c>
      <c r="F2967" s="37" t="n">
        <f aca="false">DATE(YEAR(A2967),MONTH(A2967),1)</f>
        <v>46204</v>
      </c>
      <c r="G2967" s="24" t="str">
        <f aca="false">INDEX(Products!$C$2:$C$49,MATCH(C2967,Products!$A$2:$A$49,0))</f>
        <v>Beverages</v>
      </c>
      <c r="H2967" s="33" t="n">
        <f aca="false">D2967*INDEX(Products!$E$2:$E$49,MATCH(C2967,Products!$A$2:$A$49,0))</f>
        <v>21600</v>
      </c>
      <c r="I2967" s="33" t="n">
        <f aca="false">D2967*INDEX(Products!$D$2:$D$49,MATCH(C2967,Products!$A$2:$A$49,0))*(1+INDEX(Assumptions!$B$16:$B$20,MATCH(B2967,Assumptions!$A$16:$A$20,0)))</f>
        <v>17458.944</v>
      </c>
      <c r="J2967" s="33" t="n">
        <f aca="false">H2967-I2967</f>
        <v>4141.056</v>
      </c>
      <c r="K2967" s="33" t="n">
        <f aca="false">IF(OR(E2967=0,E2967&gt;=7),0,D2967/(7-E2967)*E2967*INDEX(Products!$E$2:$E$49,MATCH(C2967,Products!$A$2:$A$49,0)))</f>
        <v>0</v>
      </c>
    </row>
    <row r="2968" customFormat="false" ht="15" hidden="false" customHeight="false" outlineLevel="0" collapsed="false">
      <c r="A2968" s="36" t="n">
        <v>46230</v>
      </c>
      <c r="B2968" s="24" t="s">
        <v>63</v>
      </c>
      <c r="C2968" s="24" t="s">
        <v>159</v>
      </c>
      <c r="D2968" s="33" t="n">
        <v>60</v>
      </c>
      <c r="E2968" s="24" t="n">
        <v>0</v>
      </c>
      <c r="F2968" s="37" t="n">
        <f aca="false">DATE(YEAR(A2968),MONTH(A2968),1)</f>
        <v>46204</v>
      </c>
      <c r="G2968" s="24" t="str">
        <f aca="false">INDEX(Products!$C$2:$C$49,MATCH(C2968,Products!$A$2:$A$49,0))</f>
        <v>Beverages</v>
      </c>
      <c r="H2968" s="33" t="n">
        <f aca="false">D2968*INDEX(Products!$E$2:$E$49,MATCH(C2968,Products!$A$2:$A$49,0))</f>
        <v>27000</v>
      </c>
      <c r="I2968" s="33" t="n">
        <f aca="false">D2968*INDEX(Products!$D$2:$D$49,MATCH(C2968,Products!$A$2:$A$49,0))*(1+INDEX(Assumptions!$B$16:$B$20,MATCH(B2968,Assumptions!$A$16:$A$20,0)))</f>
        <v>21823.68</v>
      </c>
      <c r="J2968" s="33" t="n">
        <f aca="false">H2968-I2968</f>
        <v>5176.32</v>
      </c>
      <c r="K2968" s="33" t="n">
        <f aca="false">IF(OR(E2968=0,E2968&gt;=7),0,D2968/(7-E2968)*E2968*INDEX(Products!$E$2:$E$49,MATCH(C2968,Products!$A$2:$A$49,0)))</f>
        <v>0</v>
      </c>
    </row>
    <row r="2969" customFormat="false" ht="15" hidden="false" customHeight="false" outlineLevel="0" collapsed="false">
      <c r="A2969" s="36" t="n">
        <v>46237</v>
      </c>
      <c r="B2969" s="24" t="s">
        <v>63</v>
      </c>
      <c r="C2969" s="24" t="s">
        <v>159</v>
      </c>
      <c r="D2969" s="33" t="n">
        <v>40</v>
      </c>
      <c r="E2969" s="24" t="n">
        <v>0</v>
      </c>
      <c r="F2969" s="37" t="n">
        <f aca="false">DATE(YEAR(A2969),MONTH(A2969),1)</f>
        <v>46235</v>
      </c>
      <c r="G2969" s="24" t="str">
        <f aca="false">INDEX(Products!$C$2:$C$49,MATCH(C2969,Products!$A$2:$A$49,0))</f>
        <v>Beverages</v>
      </c>
      <c r="H2969" s="33" t="n">
        <f aca="false">D2969*INDEX(Products!$E$2:$E$49,MATCH(C2969,Products!$A$2:$A$49,0))</f>
        <v>18000</v>
      </c>
      <c r="I2969" s="33" t="n">
        <f aca="false">D2969*INDEX(Products!$D$2:$D$49,MATCH(C2969,Products!$A$2:$A$49,0))*(1+INDEX(Assumptions!$B$16:$B$20,MATCH(B2969,Assumptions!$A$16:$A$20,0)))</f>
        <v>14549.12</v>
      </c>
      <c r="J2969" s="33" t="n">
        <f aca="false">H2969-I2969</f>
        <v>3450.88</v>
      </c>
      <c r="K2969" s="33" t="n">
        <f aca="false">IF(OR(E2969=0,E2969&gt;=7),0,D2969/(7-E2969)*E2969*INDEX(Products!$E$2:$E$49,MATCH(C2969,Products!$A$2:$A$49,0)))</f>
        <v>0</v>
      </c>
    </row>
    <row r="2970" customFormat="false" ht="15" hidden="false" customHeight="false" outlineLevel="0" collapsed="false">
      <c r="A2970" s="36" t="n">
        <v>46244</v>
      </c>
      <c r="B2970" s="24" t="s">
        <v>63</v>
      </c>
      <c r="C2970" s="24" t="s">
        <v>159</v>
      </c>
      <c r="D2970" s="33" t="n">
        <v>89</v>
      </c>
      <c r="E2970" s="24" t="n">
        <v>0</v>
      </c>
      <c r="F2970" s="37" t="n">
        <f aca="false">DATE(YEAR(A2970),MONTH(A2970),1)</f>
        <v>46235</v>
      </c>
      <c r="G2970" s="24" t="str">
        <f aca="false">INDEX(Products!$C$2:$C$49,MATCH(C2970,Products!$A$2:$A$49,0))</f>
        <v>Beverages</v>
      </c>
      <c r="H2970" s="33" t="n">
        <f aca="false">D2970*INDEX(Products!$E$2:$E$49,MATCH(C2970,Products!$A$2:$A$49,0))</f>
        <v>40050</v>
      </c>
      <c r="I2970" s="33" t="n">
        <f aca="false">D2970*INDEX(Products!$D$2:$D$49,MATCH(C2970,Products!$A$2:$A$49,0))*(1+INDEX(Assumptions!$B$16:$B$20,MATCH(B2970,Assumptions!$A$16:$A$20,0)))</f>
        <v>32371.792</v>
      </c>
      <c r="J2970" s="33" t="n">
        <f aca="false">H2970-I2970</f>
        <v>7678.208</v>
      </c>
      <c r="K2970" s="33" t="n">
        <f aca="false">IF(OR(E2970=0,E2970&gt;=7),0,D2970/(7-E2970)*E2970*INDEX(Products!$E$2:$E$49,MATCH(C2970,Products!$A$2:$A$49,0)))</f>
        <v>0</v>
      </c>
    </row>
    <row r="2971" customFormat="false" ht="15" hidden="false" customHeight="false" outlineLevel="0" collapsed="false">
      <c r="A2971" s="36" t="n">
        <v>46251</v>
      </c>
      <c r="B2971" s="24" t="s">
        <v>63</v>
      </c>
      <c r="C2971" s="24" t="s">
        <v>159</v>
      </c>
      <c r="D2971" s="33" t="n">
        <v>47</v>
      </c>
      <c r="E2971" s="24" t="n">
        <v>0</v>
      </c>
      <c r="F2971" s="37" t="n">
        <f aca="false">DATE(YEAR(A2971),MONTH(A2971),1)</f>
        <v>46235</v>
      </c>
      <c r="G2971" s="24" t="str">
        <f aca="false">INDEX(Products!$C$2:$C$49,MATCH(C2971,Products!$A$2:$A$49,0))</f>
        <v>Beverages</v>
      </c>
      <c r="H2971" s="33" t="n">
        <f aca="false">D2971*INDEX(Products!$E$2:$E$49,MATCH(C2971,Products!$A$2:$A$49,0))</f>
        <v>21150</v>
      </c>
      <c r="I2971" s="33" t="n">
        <f aca="false">D2971*INDEX(Products!$D$2:$D$49,MATCH(C2971,Products!$A$2:$A$49,0))*(1+INDEX(Assumptions!$B$16:$B$20,MATCH(B2971,Assumptions!$A$16:$A$20,0)))</f>
        <v>17095.216</v>
      </c>
      <c r="J2971" s="33" t="n">
        <f aca="false">H2971-I2971</f>
        <v>4054.784</v>
      </c>
      <c r="K2971" s="33" t="n">
        <f aca="false">IF(OR(E2971=0,E2971&gt;=7),0,D2971/(7-E2971)*E2971*INDEX(Products!$E$2:$E$49,MATCH(C2971,Products!$A$2:$A$49,0)))</f>
        <v>0</v>
      </c>
    </row>
    <row r="2972" customFormat="false" ht="15" hidden="false" customHeight="false" outlineLevel="0" collapsed="false">
      <c r="A2972" s="36" t="n">
        <v>46258</v>
      </c>
      <c r="B2972" s="24" t="s">
        <v>63</v>
      </c>
      <c r="C2972" s="24" t="s">
        <v>159</v>
      </c>
      <c r="D2972" s="33" t="n">
        <v>61</v>
      </c>
      <c r="E2972" s="24" t="n">
        <v>0</v>
      </c>
      <c r="F2972" s="37" t="n">
        <f aca="false">DATE(YEAR(A2972),MONTH(A2972),1)</f>
        <v>46235</v>
      </c>
      <c r="G2972" s="24" t="str">
        <f aca="false">INDEX(Products!$C$2:$C$49,MATCH(C2972,Products!$A$2:$A$49,0))</f>
        <v>Beverages</v>
      </c>
      <c r="H2972" s="33" t="n">
        <f aca="false">D2972*INDEX(Products!$E$2:$E$49,MATCH(C2972,Products!$A$2:$A$49,0))</f>
        <v>27450</v>
      </c>
      <c r="I2972" s="33" t="n">
        <f aca="false">D2972*INDEX(Products!$D$2:$D$49,MATCH(C2972,Products!$A$2:$A$49,0))*(1+INDEX(Assumptions!$B$16:$B$20,MATCH(B2972,Assumptions!$A$16:$A$20,0)))</f>
        <v>22187.408</v>
      </c>
      <c r="J2972" s="33" t="n">
        <f aca="false">H2972-I2972</f>
        <v>5262.592</v>
      </c>
      <c r="K2972" s="33" t="n">
        <f aca="false">IF(OR(E2972=0,E2972&gt;=7),0,D2972/(7-E2972)*E2972*INDEX(Products!$E$2:$E$49,MATCH(C2972,Products!$A$2:$A$49,0)))</f>
        <v>0</v>
      </c>
    </row>
    <row r="2973" customFormat="false" ht="15" hidden="false" customHeight="false" outlineLevel="0" collapsed="false">
      <c r="A2973" s="36" t="n">
        <v>46265</v>
      </c>
      <c r="B2973" s="24" t="s">
        <v>63</v>
      </c>
      <c r="C2973" s="24" t="s">
        <v>159</v>
      </c>
      <c r="D2973" s="33" t="n">
        <v>74</v>
      </c>
      <c r="E2973" s="24" t="n">
        <v>0</v>
      </c>
      <c r="F2973" s="37" t="n">
        <f aca="false">DATE(YEAR(A2973),MONTH(A2973),1)</f>
        <v>46235</v>
      </c>
      <c r="G2973" s="24" t="str">
        <f aca="false">INDEX(Products!$C$2:$C$49,MATCH(C2973,Products!$A$2:$A$49,0))</f>
        <v>Beverages</v>
      </c>
      <c r="H2973" s="33" t="n">
        <f aca="false">D2973*INDEX(Products!$E$2:$E$49,MATCH(C2973,Products!$A$2:$A$49,0))</f>
        <v>33300</v>
      </c>
      <c r="I2973" s="33" t="n">
        <f aca="false">D2973*INDEX(Products!$D$2:$D$49,MATCH(C2973,Products!$A$2:$A$49,0))*(1+INDEX(Assumptions!$B$16:$B$20,MATCH(B2973,Assumptions!$A$16:$A$20,0)))</f>
        <v>26915.872</v>
      </c>
      <c r="J2973" s="33" t="n">
        <f aca="false">H2973-I2973</f>
        <v>6384.128</v>
      </c>
      <c r="K2973" s="33" t="n">
        <f aca="false">IF(OR(E2973=0,E2973&gt;=7),0,D2973/(7-E2973)*E2973*INDEX(Products!$E$2:$E$49,MATCH(C2973,Products!$A$2:$A$49,0)))</f>
        <v>0</v>
      </c>
    </row>
    <row r="2974" customFormat="false" ht="15" hidden="false" customHeight="false" outlineLevel="0" collapsed="false">
      <c r="A2974" s="36" t="n">
        <v>46272</v>
      </c>
      <c r="B2974" s="24" t="s">
        <v>63</v>
      </c>
      <c r="C2974" s="24" t="s">
        <v>159</v>
      </c>
      <c r="D2974" s="33" t="n">
        <v>45</v>
      </c>
      <c r="E2974" s="24" t="n">
        <v>0</v>
      </c>
      <c r="F2974" s="37" t="n">
        <f aca="false">DATE(YEAR(A2974),MONTH(A2974),1)</f>
        <v>46266</v>
      </c>
      <c r="G2974" s="24" t="str">
        <f aca="false">INDEX(Products!$C$2:$C$49,MATCH(C2974,Products!$A$2:$A$49,0))</f>
        <v>Beverages</v>
      </c>
      <c r="H2974" s="33" t="n">
        <f aca="false">D2974*INDEX(Products!$E$2:$E$49,MATCH(C2974,Products!$A$2:$A$49,0))</f>
        <v>20250</v>
      </c>
      <c r="I2974" s="33" t="n">
        <f aca="false">D2974*INDEX(Products!$D$2:$D$49,MATCH(C2974,Products!$A$2:$A$49,0))*(1+INDEX(Assumptions!$B$16:$B$20,MATCH(B2974,Assumptions!$A$16:$A$20,0)))</f>
        <v>16367.76</v>
      </c>
      <c r="J2974" s="33" t="n">
        <f aca="false">H2974-I2974</f>
        <v>3882.24</v>
      </c>
      <c r="K2974" s="33" t="n">
        <f aca="false">IF(OR(E2974=0,E2974&gt;=7),0,D2974/(7-E2974)*E2974*INDEX(Products!$E$2:$E$49,MATCH(C2974,Products!$A$2:$A$49,0)))</f>
        <v>0</v>
      </c>
    </row>
    <row r="2975" customFormat="false" ht="15" hidden="false" customHeight="false" outlineLevel="0" collapsed="false">
      <c r="A2975" s="36" t="n">
        <v>46279</v>
      </c>
      <c r="B2975" s="24" t="s">
        <v>63</v>
      </c>
      <c r="C2975" s="24" t="s">
        <v>159</v>
      </c>
      <c r="D2975" s="33" t="n">
        <v>62</v>
      </c>
      <c r="E2975" s="24" t="n">
        <v>0</v>
      </c>
      <c r="F2975" s="37" t="n">
        <f aca="false">DATE(YEAR(A2975),MONTH(A2975),1)</f>
        <v>46266</v>
      </c>
      <c r="G2975" s="24" t="str">
        <f aca="false">INDEX(Products!$C$2:$C$49,MATCH(C2975,Products!$A$2:$A$49,0))</f>
        <v>Beverages</v>
      </c>
      <c r="H2975" s="33" t="n">
        <f aca="false">D2975*INDEX(Products!$E$2:$E$49,MATCH(C2975,Products!$A$2:$A$49,0))</f>
        <v>27900</v>
      </c>
      <c r="I2975" s="33" t="n">
        <f aca="false">D2975*INDEX(Products!$D$2:$D$49,MATCH(C2975,Products!$A$2:$A$49,0))*(1+INDEX(Assumptions!$B$16:$B$20,MATCH(B2975,Assumptions!$A$16:$A$20,0)))</f>
        <v>22551.136</v>
      </c>
      <c r="J2975" s="33" t="n">
        <f aca="false">H2975-I2975</f>
        <v>5348.864</v>
      </c>
      <c r="K2975" s="33" t="n">
        <f aca="false">IF(OR(E2975=0,E2975&gt;=7),0,D2975/(7-E2975)*E2975*INDEX(Products!$E$2:$E$49,MATCH(C2975,Products!$A$2:$A$49,0)))</f>
        <v>0</v>
      </c>
    </row>
    <row r="2976" customFormat="false" ht="15" hidden="false" customHeight="false" outlineLevel="0" collapsed="false">
      <c r="A2976" s="36" t="n">
        <v>46286</v>
      </c>
      <c r="B2976" s="24" t="s">
        <v>63</v>
      </c>
      <c r="C2976" s="24" t="s">
        <v>159</v>
      </c>
      <c r="D2976" s="33" t="n">
        <v>73</v>
      </c>
      <c r="E2976" s="24" t="n">
        <v>0</v>
      </c>
      <c r="F2976" s="37" t="n">
        <f aca="false">DATE(YEAR(A2976),MONTH(A2976),1)</f>
        <v>46266</v>
      </c>
      <c r="G2976" s="24" t="str">
        <f aca="false">INDEX(Products!$C$2:$C$49,MATCH(C2976,Products!$A$2:$A$49,0))</f>
        <v>Beverages</v>
      </c>
      <c r="H2976" s="33" t="n">
        <f aca="false">D2976*INDEX(Products!$E$2:$E$49,MATCH(C2976,Products!$A$2:$A$49,0))</f>
        <v>32850</v>
      </c>
      <c r="I2976" s="33" t="n">
        <f aca="false">D2976*INDEX(Products!$D$2:$D$49,MATCH(C2976,Products!$A$2:$A$49,0))*(1+INDEX(Assumptions!$B$16:$B$20,MATCH(B2976,Assumptions!$A$16:$A$20,0)))</f>
        <v>26552.144</v>
      </c>
      <c r="J2976" s="33" t="n">
        <f aca="false">H2976-I2976</f>
        <v>6297.856</v>
      </c>
      <c r="K2976" s="33" t="n">
        <f aca="false">IF(OR(E2976=0,E2976&gt;=7),0,D2976/(7-E2976)*E2976*INDEX(Products!$E$2:$E$49,MATCH(C2976,Products!$A$2:$A$49,0)))</f>
        <v>0</v>
      </c>
    </row>
    <row r="2977" customFormat="false" ht="15" hidden="false" customHeight="false" outlineLevel="0" collapsed="false">
      <c r="A2977" s="36" t="n">
        <v>46118</v>
      </c>
      <c r="B2977" s="24" t="s">
        <v>63</v>
      </c>
      <c r="C2977" s="24" t="s">
        <v>161</v>
      </c>
      <c r="D2977" s="33" t="n">
        <v>39</v>
      </c>
      <c r="E2977" s="24" t="n">
        <v>0</v>
      </c>
      <c r="F2977" s="37" t="n">
        <f aca="false">DATE(YEAR(A2977),MONTH(A2977),1)</f>
        <v>46113</v>
      </c>
      <c r="G2977" s="24" t="str">
        <f aca="false">INDEX(Products!$C$2:$C$49,MATCH(C2977,Products!$A$2:$A$49,0))</f>
        <v>Beverages</v>
      </c>
      <c r="H2977" s="33" t="n">
        <f aca="false">D2977*INDEX(Products!$E$2:$E$49,MATCH(C2977,Products!$A$2:$A$49,0))</f>
        <v>14820</v>
      </c>
      <c r="I2977" s="33" t="n">
        <f aca="false">D2977*INDEX(Products!$D$2:$D$49,MATCH(C2977,Products!$A$2:$A$49,0))*(1+INDEX(Assumptions!$B$16:$B$20,MATCH(B2977,Assumptions!$A$16:$A$20,0)))</f>
        <v>12006.072</v>
      </c>
      <c r="J2977" s="33" t="n">
        <f aca="false">H2977-I2977</f>
        <v>2813.928</v>
      </c>
      <c r="K2977" s="33" t="n">
        <f aca="false">IF(OR(E2977=0,E2977&gt;=7),0,D2977/(7-E2977)*E2977*INDEX(Products!$E$2:$E$49,MATCH(C2977,Products!$A$2:$A$49,0)))</f>
        <v>0</v>
      </c>
    </row>
    <row r="2978" customFormat="false" ht="15" hidden="false" customHeight="false" outlineLevel="0" collapsed="false">
      <c r="A2978" s="36" t="n">
        <v>46125</v>
      </c>
      <c r="B2978" s="24" t="s">
        <v>63</v>
      </c>
      <c r="C2978" s="24" t="s">
        <v>161</v>
      </c>
      <c r="D2978" s="33" t="n">
        <v>46</v>
      </c>
      <c r="E2978" s="24" t="n">
        <v>0</v>
      </c>
      <c r="F2978" s="37" t="n">
        <f aca="false">DATE(YEAR(A2978),MONTH(A2978),1)</f>
        <v>46113</v>
      </c>
      <c r="G2978" s="24" t="str">
        <f aca="false">INDEX(Products!$C$2:$C$49,MATCH(C2978,Products!$A$2:$A$49,0))</f>
        <v>Beverages</v>
      </c>
      <c r="H2978" s="33" t="n">
        <f aca="false">D2978*INDEX(Products!$E$2:$E$49,MATCH(C2978,Products!$A$2:$A$49,0))</f>
        <v>17480</v>
      </c>
      <c r="I2978" s="33" t="n">
        <f aca="false">D2978*INDEX(Products!$D$2:$D$49,MATCH(C2978,Products!$A$2:$A$49,0))*(1+INDEX(Assumptions!$B$16:$B$20,MATCH(B2978,Assumptions!$A$16:$A$20,0)))</f>
        <v>14161.008</v>
      </c>
      <c r="J2978" s="33" t="n">
        <f aca="false">H2978-I2978</f>
        <v>3318.992</v>
      </c>
      <c r="K2978" s="33" t="n">
        <f aca="false">IF(OR(E2978=0,E2978&gt;=7),0,D2978/(7-E2978)*E2978*INDEX(Products!$E$2:$E$49,MATCH(C2978,Products!$A$2:$A$49,0)))</f>
        <v>0</v>
      </c>
    </row>
    <row r="2979" customFormat="false" ht="15" hidden="false" customHeight="false" outlineLevel="0" collapsed="false">
      <c r="A2979" s="36" t="n">
        <v>46132</v>
      </c>
      <c r="B2979" s="24" t="s">
        <v>63</v>
      </c>
      <c r="C2979" s="24" t="s">
        <v>161</v>
      </c>
      <c r="D2979" s="33" t="n">
        <v>43</v>
      </c>
      <c r="E2979" s="24" t="n">
        <v>0</v>
      </c>
      <c r="F2979" s="37" t="n">
        <f aca="false">DATE(YEAR(A2979),MONTH(A2979),1)</f>
        <v>46113</v>
      </c>
      <c r="G2979" s="24" t="str">
        <f aca="false">INDEX(Products!$C$2:$C$49,MATCH(C2979,Products!$A$2:$A$49,0))</f>
        <v>Beverages</v>
      </c>
      <c r="H2979" s="33" t="n">
        <f aca="false">D2979*INDEX(Products!$E$2:$E$49,MATCH(C2979,Products!$A$2:$A$49,0))</f>
        <v>16340</v>
      </c>
      <c r="I2979" s="33" t="n">
        <f aca="false">D2979*INDEX(Products!$D$2:$D$49,MATCH(C2979,Products!$A$2:$A$49,0))*(1+INDEX(Assumptions!$B$16:$B$20,MATCH(B2979,Assumptions!$A$16:$A$20,0)))</f>
        <v>13237.464</v>
      </c>
      <c r="J2979" s="33" t="n">
        <f aca="false">H2979-I2979</f>
        <v>3102.536</v>
      </c>
      <c r="K2979" s="33" t="n">
        <f aca="false">IF(OR(E2979=0,E2979&gt;=7),0,D2979/(7-E2979)*E2979*INDEX(Products!$E$2:$E$49,MATCH(C2979,Products!$A$2:$A$49,0)))</f>
        <v>0</v>
      </c>
    </row>
    <row r="2980" customFormat="false" ht="15" hidden="false" customHeight="false" outlineLevel="0" collapsed="false">
      <c r="A2980" s="36" t="n">
        <v>46139</v>
      </c>
      <c r="B2980" s="24" t="s">
        <v>63</v>
      </c>
      <c r="C2980" s="24" t="s">
        <v>161</v>
      </c>
      <c r="D2980" s="33" t="n">
        <v>55</v>
      </c>
      <c r="E2980" s="24" t="n">
        <v>0</v>
      </c>
      <c r="F2980" s="37" t="n">
        <f aca="false">DATE(YEAR(A2980),MONTH(A2980),1)</f>
        <v>46113</v>
      </c>
      <c r="G2980" s="24" t="str">
        <f aca="false">INDEX(Products!$C$2:$C$49,MATCH(C2980,Products!$A$2:$A$49,0))</f>
        <v>Beverages</v>
      </c>
      <c r="H2980" s="33" t="n">
        <f aca="false">D2980*INDEX(Products!$E$2:$E$49,MATCH(C2980,Products!$A$2:$A$49,0))</f>
        <v>20900</v>
      </c>
      <c r="I2980" s="33" t="n">
        <f aca="false">D2980*INDEX(Products!$D$2:$D$49,MATCH(C2980,Products!$A$2:$A$49,0))*(1+INDEX(Assumptions!$B$16:$B$20,MATCH(B2980,Assumptions!$A$16:$A$20,0)))</f>
        <v>16931.64</v>
      </c>
      <c r="J2980" s="33" t="n">
        <f aca="false">H2980-I2980</f>
        <v>3968.36</v>
      </c>
      <c r="K2980" s="33" t="n">
        <f aca="false">IF(OR(E2980=0,E2980&gt;=7),0,D2980/(7-E2980)*E2980*INDEX(Products!$E$2:$E$49,MATCH(C2980,Products!$A$2:$A$49,0)))</f>
        <v>0</v>
      </c>
    </row>
    <row r="2981" customFormat="false" ht="15" hidden="false" customHeight="false" outlineLevel="0" collapsed="false">
      <c r="A2981" s="36" t="n">
        <v>46146</v>
      </c>
      <c r="B2981" s="24" t="s">
        <v>63</v>
      </c>
      <c r="C2981" s="24" t="s">
        <v>161</v>
      </c>
      <c r="D2981" s="33" t="n">
        <v>36</v>
      </c>
      <c r="E2981" s="24" t="n">
        <v>0</v>
      </c>
      <c r="F2981" s="37" t="n">
        <f aca="false">DATE(YEAR(A2981),MONTH(A2981),1)</f>
        <v>46143</v>
      </c>
      <c r="G2981" s="24" t="str">
        <f aca="false">INDEX(Products!$C$2:$C$49,MATCH(C2981,Products!$A$2:$A$49,0))</f>
        <v>Beverages</v>
      </c>
      <c r="H2981" s="33" t="n">
        <f aca="false">D2981*INDEX(Products!$E$2:$E$49,MATCH(C2981,Products!$A$2:$A$49,0))</f>
        <v>13680</v>
      </c>
      <c r="I2981" s="33" t="n">
        <f aca="false">D2981*INDEX(Products!$D$2:$D$49,MATCH(C2981,Products!$A$2:$A$49,0))*(1+INDEX(Assumptions!$B$16:$B$20,MATCH(B2981,Assumptions!$A$16:$A$20,0)))</f>
        <v>11082.528</v>
      </c>
      <c r="J2981" s="33" t="n">
        <f aca="false">H2981-I2981</f>
        <v>2597.472</v>
      </c>
      <c r="K2981" s="33" t="n">
        <f aca="false">IF(OR(E2981=0,E2981&gt;=7),0,D2981/(7-E2981)*E2981*INDEX(Products!$E$2:$E$49,MATCH(C2981,Products!$A$2:$A$49,0)))</f>
        <v>0</v>
      </c>
    </row>
    <row r="2982" customFormat="false" ht="15" hidden="false" customHeight="false" outlineLevel="0" collapsed="false">
      <c r="A2982" s="36" t="n">
        <v>46153</v>
      </c>
      <c r="B2982" s="24" t="s">
        <v>63</v>
      </c>
      <c r="C2982" s="24" t="s">
        <v>161</v>
      </c>
      <c r="D2982" s="33" t="n">
        <v>46</v>
      </c>
      <c r="E2982" s="24" t="n">
        <v>0</v>
      </c>
      <c r="F2982" s="37" t="n">
        <f aca="false">DATE(YEAR(A2982),MONTH(A2982),1)</f>
        <v>46143</v>
      </c>
      <c r="G2982" s="24" t="str">
        <f aca="false">INDEX(Products!$C$2:$C$49,MATCH(C2982,Products!$A$2:$A$49,0))</f>
        <v>Beverages</v>
      </c>
      <c r="H2982" s="33" t="n">
        <f aca="false">D2982*INDEX(Products!$E$2:$E$49,MATCH(C2982,Products!$A$2:$A$49,0))</f>
        <v>17480</v>
      </c>
      <c r="I2982" s="33" t="n">
        <f aca="false">D2982*INDEX(Products!$D$2:$D$49,MATCH(C2982,Products!$A$2:$A$49,0))*(1+INDEX(Assumptions!$B$16:$B$20,MATCH(B2982,Assumptions!$A$16:$A$20,0)))</f>
        <v>14161.008</v>
      </c>
      <c r="J2982" s="33" t="n">
        <f aca="false">H2982-I2982</f>
        <v>3318.992</v>
      </c>
      <c r="K2982" s="33" t="n">
        <f aca="false">IF(OR(E2982=0,E2982&gt;=7),0,D2982/(7-E2982)*E2982*INDEX(Products!$E$2:$E$49,MATCH(C2982,Products!$A$2:$A$49,0)))</f>
        <v>0</v>
      </c>
    </row>
    <row r="2983" customFormat="false" ht="15" hidden="false" customHeight="false" outlineLevel="0" collapsed="false">
      <c r="A2983" s="36" t="n">
        <v>46160</v>
      </c>
      <c r="B2983" s="24" t="s">
        <v>63</v>
      </c>
      <c r="C2983" s="24" t="s">
        <v>161</v>
      </c>
      <c r="D2983" s="33" t="n">
        <v>46</v>
      </c>
      <c r="E2983" s="24" t="n">
        <v>0</v>
      </c>
      <c r="F2983" s="37" t="n">
        <f aca="false">DATE(YEAR(A2983),MONTH(A2983),1)</f>
        <v>46143</v>
      </c>
      <c r="G2983" s="24" t="str">
        <f aca="false">INDEX(Products!$C$2:$C$49,MATCH(C2983,Products!$A$2:$A$49,0))</f>
        <v>Beverages</v>
      </c>
      <c r="H2983" s="33" t="n">
        <f aca="false">D2983*INDEX(Products!$E$2:$E$49,MATCH(C2983,Products!$A$2:$A$49,0))</f>
        <v>17480</v>
      </c>
      <c r="I2983" s="33" t="n">
        <f aca="false">D2983*INDEX(Products!$D$2:$D$49,MATCH(C2983,Products!$A$2:$A$49,0))*(1+INDEX(Assumptions!$B$16:$B$20,MATCH(B2983,Assumptions!$A$16:$A$20,0)))</f>
        <v>14161.008</v>
      </c>
      <c r="J2983" s="33" t="n">
        <f aca="false">H2983-I2983</f>
        <v>3318.992</v>
      </c>
      <c r="K2983" s="33" t="n">
        <f aca="false">IF(OR(E2983=0,E2983&gt;=7),0,D2983/(7-E2983)*E2983*INDEX(Products!$E$2:$E$49,MATCH(C2983,Products!$A$2:$A$49,0)))</f>
        <v>0</v>
      </c>
    </row>
    <row r="2984" customFormat="false" ht="15" hidden="false" customHeight="false" outlineLevel="0" collapsed="false">
      <c r="A2984" s="36" t="n">
        <v>46167</v>
      </c>
      <c r="B2984" s="24" t="s">
        <v>63</v>
      </c>
      <c r="C2984" s="24" t="s">
        <v>161</v>
      </c>
      <c r="D2984" s="33" t="n">
        <v>59</v>
      </c>
      <c r="E2984" s="24" t="n">
        <v>0</v>
      </c>
      <c r="F2984" s="37" t="n">
        <f aca="false">DATE(YEAR(A2984),MONTH(A2984),1)</f>
        <v>46143</v>
      </c>
      <c r="G2984" s="24" t="str">
        <f aca="false">INDEX(Products!$C$2:$C$49,MATCH(C2984,Products!$A$2:$A$49,0))</f>
        <v>Beverages</v>
      </c>
      <c r="H2984" s="33" t="n">
        <f aca="false">D2984*INDEX(Products!$E$2:$E$49,MATCH(C2984,Products!$A$2:$A$49,0))</f>
        <v>22420</v>
      </c>
      <c r="I2984" s="33" t="n">
        <f aca="false">D2984*INDEX(Products!$D$2:$D$49,MATCH(C2984,Products!$A$2:$A$49,0))*(1+INDEX(Assumptions!$B$16:$B$20,MATCH(B2984,Assumptions!$A$16:$A$20,0)))</f>
        <v>18163.032</v>
      </c>
      <c r="J2984" s="33" t="n">
        <f aca="false">H2984-I2984</f>
        <v>4256.968</v>
      </c>
      <c r="K2984" s="33" t="n">
        <f aca="false">IF(OR(E2984=0,E2984&gt;=7),0,D2984/(7-E2984)*E2984*INDEX(Products!$E$2:$E$49,MATCH(C2984,Products!$A$2:$A$49,0)))</f>
        <v>0</v>
      </c>
    </row>
    <row r="2985" customFormat="false" ht="15" hidden="false" customHeight="false" outlineLevel="0" collapsed="false">
      <c r="A2985" s="36" t="n">
        <v>46174</v>
      </c>
      <c r="B2985" s="24" t="s">
        <v>63</v>
      </c>
      <c r="C2985" s="24" t="s">
        <v>161</v>
      </c>
      <c r="D2985" s="33" t="n">
        <v>56</v>
      </c>
      <c r="E2985" s="24" t="n">
        <v>0</v>
      </c>
      <c r="F2985" s="37" t="n">
        <f aca="false">DATE(YEAR(A2985),MONTH(A2985),1)</f>
        <v>46174</v>
      </c>
      <c r="G2985" s="24" t="str">
        <f aca="false">INDEX(Products!$C$2:$C$49,MATCH(C2985,Products!$A$2:$A$49,0))</f>
        <v>Beverages</v>
      </c>
      <c r="H2985" s="33" t="n">
        <f aca="false">D2985*INDEX(Products!$E$2:$E$49,MATCH(C2985,Products!$A$2:$A$49,0))</f>
        <v>21280</v>
      </c>
      <c r="I2985" s="33" t="n">
        <f aca="false">D2985*INDEX(Products!$D$2:$D$49,MATCH(C2985,Products!$A$2:$A$49,0))*(1+INDEX(Assumptions!$B$16:$B$20,MATCH(B2985,Assumptions!$A$16:$A$20,0)))</f>
        <v>17239.488</v>
      </c>
      <c r="J2985" s="33" t="n">
        <f aca="false">H2985-I2985</f>
        <v>4040.512</v>
      </c>
      <c r="K2985" s="33" t="n">
        <f aca="false">IF(OR(E2985=0,E2985&gt;=7),0,D2985/(7-E2985)*E2985*INDEX(Products!$E$2:$E$49,MATCH(C2985,Products!$A$2:$A$49,0)))</f>
        <v>0</v>
      </c>
    </row>
    <row r="2986" customFormat="false" ht="15" hidden="false" customHeight="false" outlineLevel="0" collapsed="false">
      <c r="A2986" s="36" t="n">
        <v>46181</v>
      </c>
      <c r="B2986" s="24" t="s">
        <v>63</v>
      </c>
      <c r="C2986" s="24" t="s">
        <v>161</v>
      </c>
      <c r="D2986" s="33" t="n">
        <v>35</v>
      </c>
      <c r="E2986" s="24" t="n">
        <v>0</v>
      </c>
      <c r="F2986" s="37" t="n">
        <f aca="false">DATE(YEAR(A2986),MONTH(A2986),1)</f>
        <v>46174</v>
      </c>
      <c r="G2986" s="24" t="str">
        <f aca="false">INDEX(Products!$C$2:$C$49,MATCH(C2986,Products!$A$2:$A$49,0))</f>
        <v>Beverages</v>
      </c>
      <c r="H2986" s="33" t="n">
        <f aca="false">D2986*INDEX(Products!$E$2:$E$49,MATCH(C2986,Products!$A$2:$A$49,0))</f>
        <v>13300</v>
      </c>
      <c r="I2986" s="33" t="n">
        <f aca="false">D2986*INDEX(Products!$D$2:$D$49,MATCH(C2986,Products!$A$2:$A$49,0))*(1+INDEX(Assumptions!$B$16:$B$20,MATCH(B2986,Assumptions!$A$16:$A$20,0)))</f>
        <v>10774.68</v>
      </c>
      <c r="J2986" s="33" t="n">
        <f aca="false">H2986-I2986</f>
        <v>2525.32</v>
      </c>
      <c r="K2986" s="33" t="n">
        <f aca="false">IF(OR(E2986=0,E2986&gt;=7),0,D2986/(7-E2986)*E2986*INDEX(Products!$E$2:$E$49,MATCH(C2986,Products!$A$2:$A$49,0)))</f>
        <v>0</v>
      </c>
    </row>
    <row r="2987" customFormat="false" ht="15" hidden="false" customHeight="false" outlineLevel="0" collapsed="false">
      <c r="A2987" s="36" t="n">
        <v>46188</v>
      </c>
      <c r="B2987" s="24" t="s">
        <v>63</v>
      </c>
      <c r="C2987" s="24" t="s">
        <v>161</v>
      </c>
      <c r="D2987" s="33" t="n">
        <v>31</v>
      </c>
      <c r="E2987" s="24" t="n">
        <v>0</v>
      </c>
      <c r="F2987" s="37" t="n">
        <f aca="false">DATE(YEAR(A2987),MONTH(A2987),1)</f>
        <v>46174</v>
      </c>
      <c r="G2987" s="24" t="str">
        <f aca="false">INDEX(Products!$C$2:$C$49,MATCH(C2987,Products!$A$2:$A$49,0))</f>
        <v>Beverages</v>
      </c>
      <c r="H2987" s="33" t="n">
        <f aca="false">D2987*INDEX(Products!$E$2:$E$49,MATCH(C2987,Products!$A$2:$A$49,0))</f>
        <v>11780</v>
      </c>
      <c r="I2987" s="33" t="n">
        <f aca="false">D2987*INDEX(Products!$D$2:$D$49,MATCH(C2987,Products!$A$2:$A$49,0))*(1+INDEX(Assumptions!$B$16:$B$20,MATCH(B2987,Assumptions!$A$16:$A$20,0)))</f>
        <v>9543.288</v>
      </c>
      <c r="J2987" s="33" t="n">
        <f aca="false">H2987-I2987</f>
        <v>2236.712</v>
      </c>
      <c r="K2987" s="33" t="n">
        <f aca="false">IF(OR(E2987=0,E2987&gt;=7),0,D2987/(7-E2987)*E2987*INDEX(Products!$E$2:$E$49,MATCH(C2987,Products!$A$2:$A$49,0)))</f>
        <v>0</v>
      </c>
    </row>
    <row r="2988" customFormat="false" ht="15" hidden="false" customHeight="false" outlineLevel="0" collapsed="false">
      <c r="A2988" s="36" t="n">
        <v>46195</v>
      </c>
      <c r="B2988" s="24" t="s">
        <v>63</v>
      </c>
      <c r="C2988" s="24" t="s">
        <v>161</v>
      </c>
      <c r="D2988" s="33" t="n">
        <v>11</v>
      </c>
      <c r="E2988" s="24" t="n">
        <v>5</v>
      </c>
      <c r="F2988" s="37" t="n">
        <f aca="false">DATE(YEAR(A2988),MONTH(A2988),1)</f>
        <v>46174</v>
      </c>
      <c r="G2988" s="24" t="str">
        <f aca="false">INDEX(Products!$C$2:$C$49,MATCH(C2988,Products!$A$2:$A$49,0))</f>
        <v>Beverages</v>
      </c>
      <c r="H2988" s="33" t="n">
        <f aca="false">D2988*INDEX(Products!$E$2:$E$49,MATCH(C2988,Products!$A$2:$A$49,0))</f>
        <v>4180</v>
      </c>
      <c r="I2988" s="33" t="n">
        <f aca="false">D2988*INDEX(Products!$D$2:$D$49,MATCH(C2988,Products!$A$2:$A$49,0))*(1+INDEX(Assumptions!$B$16:$B$20,MATCH(B2988,Assumptions!$A$16:$A$20,0)))</f>
        <v>3386.328</v>
      </c>
      <c r="J2988" s="33" t="n">
        <f aca="false">H2988-I2988</f>
        <v>793.672</v>
      </c>
      <c r="K2988" s="33" t="n">
        <f aca="false">IF(OR(E2988=0,E2988&gt;=7),0,D2988/(7-E2988)*E2988*INDEX(Products!$E$2:$E$49,MATCH(C2988,Products!$A$2:$A$49,0)))</f>
        <v>10450</v>
      </c>
    </row>
    <row r="2989" customFormat="false" ht="15" hidden="false" customHeight="false" outlineLevel="0" collapsed="false">
      <c r="A2989" s="36" t="n">
        <v>46202</v>
      </c>
      <c r="B2989" s="24" t="s">
        <v>63</v>
      </c>
      <c r="C2989" s="24" t="s">
        <v>161</v>
      </c>
      <c r="D2989" s="33" t="n">
        <v>47</v>
      </c>
      <c r="E2989" s="24" t="n">
        <v>0</v>
      </c>
      <c r="F2989" s="37" t="n">
        <f aca="false">DATE(YEAR(A2989),MONTH(A2989),1)</f>
        <v>46174</v>
      </c>
      <c r="G2989" s="24" t="str">
        <f aca="false">INDEX(Products!$C$2:$C$49,MATCH(C2989,Products!$A$2:$A$49,0))</f>
        <v>Beverages</v>
      </c>
      <c r="H2989" s="33" t="n">
        <f aca="false">D2989*INDEX(Products!$E$2:$E$49,MATCH(C2989,Products!$A$2:$A$49,0))</f>
        <v>17860</v>
      </c>
      <c r="I2989" s="33" t="n">
        <f aca="false">D2989*INDEX(Products!$D$2:$D$49,MATCH(C2989,Products!$A$2:$A$49,0))*(1+INDEX(Assumptions!$B$16:$B$20,MATCH(B2989,Assumptions!$A$16:$A$20,0)))</f>
        <v>14468.856</v>
      </c>
      <c r="J2989" s="33" t="n">
        <f aca="false">H2989-I2989</f>
        <v>3391.144</v>
      </c>
      <c r="K2989" s="33" t="n">
        <f aca="false">IF(OR(E2989=0,E2989&gt;=7),0,D2989/(7-E2989)*E2989*INDEX(Products!$E$2:$E$49,MATCH(C2989,Products!$A$2:$A$49,0)))</f>
        <v>0</v>
      </c>
    </row>
    <row r="2990" customFormat="false" ht="15" hidden="false" customHeight="false" outlineLevel="0" collapsed="false">
      <c r="A2990" s="36" t="n">
        <v>46209</v>
      </c>
      <c r="B2990" s="24" t="s">
        <v>63</v>
      </c>
      <c r="C2990" s="24" t="s">
        <v>161</v>
      </c>
      <c r="D2990" s="33" t="n">
        <v>45</v>
      </c>
      <c r="E2990" s="24" t="n">
        <v>0</v>
      </c>
      <c r="F2990" s="37" t="n">
        <f aca="false">DATE(YEAR(A2990),MONTH(A2990),1)</f>
        <v>46204</v>
      </c>
      <c r="G2990" s="24" t="str">
        <f aca="false">INDEX(Products!$C$2:$C$49,MATCH(C2990,Products!$A$2:$A$49,0))</f>
        <v>Beverages</v>
      </c>
      <c r="H2990" s="33" t="n">
        <f aca="false">D2990*INDEX(Products!$E$2:$E$49,MATCH(C2990,Products!$A$2:$A$49,0))</f>
        <v>17100</v>
      </c>
      <c r="I2990" s="33" t="n">
        <f aca="false">D2990*INDEX(Products!$D$2:$D$49,MATCH(C2990,Products!$A$2:$A$49,0))*(1+INDEX(Assumptions!$B$16:$B$20,MATCH(B2990,Assumptions!$A$16:$A$20,0)))</f>
        <v>13853.16</v>
      </c>
      <c r="J2990" s="33" t="n">
        <f aca="false">H2990-I2990</f>
        <v>3246.84</v>
      </c>
      <c r="K2990" s="33" t="n">
        <f aca="false">IF(OR(E2990=0,E2990&gt;=7),0,D2990/(7-E2990)*E2990*INDEX(Products!$E$2:$E$49,MATCH(C2990,Products!$A$2:$A$49,0)))</f>
        <v>0</v>
      </c>
    </row>
    <row r="2991" customFormat="false" ht="15" hidden="false" customHeight="false" outlineLevel="0" collapsed="false">
      <c r="A2991" s="36" t="n">
        <v>46216</v>
      </c>
      <c r="B2991" s="24" t="s">
        <v>63</v>
      </c>
      <c r="C2991" s="24" t="s">
        <v>161</v>
      </c>
      <c r="D2991" s="33" t="n">
        <v>33</v>
      </c>
      <c r="E2991" s="24" t="n">
        <v>0</v>
      </c>
      <c r="F2991" s="37" t="n">
        <f aca="false">DATE(YEAR(A2991),MONTH(A2991),1)</f>
        <v>46204</v>
      </c>
      <c r="G2991" s="24" t="str">
        <f aca="false">INDEX(Products!$C$2:$C$49,MATCH(C2991,Products!$A$2:$A$49,0))</f>
        <v>Beverages</v>
      </c>
      <c r="H2991" s="33" t="n">
        <f aca="false">D2991*INDEX(Products!$E$2:$E$49,MATCH(C2991,Products!$A$2:$A$49,0))</f>
        <v>12540</v>
      </c>
      <c r="I2991" s="33" t="n">
        <f aca="false">D2991*INDEX(Products!$D$2:$D$49,MATCH(C2991,Products!$A$2:$A$49,0))*(1+INDEX(Assumptions!$B$16:$B$20,MATCH(B2991,Assumptions!$A$16:$A$20,0)))</f>
        <v>10158.984</v>
      </c>
      <c r="J2991" s="33" t="n">
        <f aca="false">H2991-I2991</f>
        <v>2381.016</v>
      </c>
      <c r="K2991" s="33" t="n">
        <f aca="false">IF(OR(E2991=0,E2991&gt;=7),0,D2991/(7-E2991)*E2991*INDEX(Products!$E$2:$E$49,MATCH(C2991,Products!$A$2:$A$49,0)))</f>
        <v>0</v>
      </c>
    </row>
    <row r="2992" customFormat="false" ht="15" hidden="false" customHeight="false" outlineLevel="0" collapsed="false">
      <c r="A2992" s="36" t="n">
        <v>46223</v>
      </c>
      <c r="B2992" s="24" t="s">
        <v>63</v>
      </c>
      <c r="C2992" s="24" t="s">
        <v>161</v>
      </c>
      <c r="D2992" s="33" t="n">
        <v>45</v>
      </c>
      <c r="E2992" s="24" t="n">
        <v>0</v>
      </c>
      <c r="F2992" s="37" t="n">
        <f aca="false">DATE(YEAR(A2992),MONTH(A2992),1)</f>
        <v>46204</v>
      </c>
      <c r="G2992" s="24" t="str">
        <f aca="false">INDEX(Products!$C$2:$C$49,MATCH(C2992,Products!$A$2:$A$49,0))</f>
        <v>Beverages</v>
      </c>
      <c r="H2992" s="33" t="n">
        <f aca="false">D2992*INDEX(Products!$E$2:$E$49,MATCH(C2992,Products!$A$2:$A$49,0))</f>
        <v>17100</v>
      </c>
      <c r="I2992" s="33" t="n">
        <f aca="false">D2992*INDEX(Products!$D$2:$D$49,MATCH(C2992,Products!$A$2:$A$49,0))*(1+INDEX(Assumptions!$B$16:$B$20,MATCH(B2992,Assumptions!$A$16:$A$20,0)))</f>
        <v>13853.16</v>
      </c>
      <c r="J2992" s="33" t="n">
        <f aca="false">H2992-I2992</f>
        <v>3246.84</v>
      </c>
      <c r="K2992" s="33" t="n">
        <f aca="false">IF(OR(E2992=0,E2992&gt;=7),0,D2992/(7-E2992)*E2992*INDEX(Products!$E$2:$E$49,MATCH(C2992,Products!$A$2:$A$49,0)))</f>
        <v>0</v>
      </c>
    </row>
    <row r="2993" customFormat="false" ht="15" hidden="false" customHeight="false" outlineLevel="0" collapsed="false">
      <c r="A2993" s="36" t="n">
        <v>46230</v>
      </c>
      <c r="B2993" s="24" t="s">
        <v>63</v>
      </c>
      <c r="C2993" s="24" t="s">
        <v>161</v>
      </c>
      <c r="D2993" s="33" t="n">
        <v>46</v>
      </c>
      <c r="E2993" s="24" t="n">
        <v>0</v>
      </c>
      <c r="F2993" s="37" t="n">
        <f aca="false">DATE(YEAR(A2993),MONTH(A2993),1)</f>
        <v>46204</v>
      </c>
      <c r="G2993" s="24" t="str">
        <f aca="false">INDEX(Products!$C$2:$C$49,MATCH(C2993,Products!$A$2:$A$49,0))</f>
        <v>Beverages</v>
      </c>
      <c r="H2993" s="33" t="n">
        <f aca="false">D2993*INDEX(Products!$E$2:$E$49,MATCH(C2993,Products!$A$2:$A$49,0))</f>
        <v>17480</v>
      </c>
      <c r="I2993" s="33" t="n">
        <f aca="false">D2993*INDEX(Products!$D$2:$D$49,MATCH(C2993,Products!$A$2:$A$49,0))*(1+INDEX(Assumptions!$B$16:$B$20,MATCH(B2993,Assumptions!$A$16:$A$20,0)))</f>
        <v>14161.008</v>
      </c>
      <c r="J2993" s="33" t="n">
        <f aca="false">H2993-I2993</f>
        <v>3318.992</v>
      </c>
      <c r="K2993" s="33" t="n">
        <f aca="false">IF(OR(E2993=0,E2993&gt;=7),0,D2993/(7-E2993)*E2993*INDEX(Products!$E$2:$E$49,MATCH(C2993,Products!$A$2:$A$49,0)))</f>
        <v>0</v>
      </c>
    </row>
    <row r="2994" customFormat="false" ht="15" hidden="false" customHeight="false" outlineLevel="0" collapsed="false">
      <c r="A2994" s="36" t="n">
        <v>46237</v>
      </c>
      <c r="B2994" s="24" t="s">
        <v>63</v>
      </c>
      <c r="C2994" s="24" t="s">
        <v>161</v>
      </c>
      <c r="D2994" s="33" t="n">
        <v>45</v>
      </c>
      <c r="E2994" s="24" t="n">
        <v>0</v>
      </c>
      <c r="F2994" s="37" t="n">
        <f aca="false">DATE(YEAR(A2994),MONTH(A2994),1)</f>
        <v>46235</v>
      </c>
      <c r="G2994" s="24" t="str">
        <f aca="false">INDEX(Products!$C$2:$C$49,MATCH(C2994,Products!$A$2:$A$49,0))</f>
        <v>Beverages</v>
      </c>
      <c r="H2994" s="33" t="n">
        <f aca="false">D2994*INDEX(Products!$E$2:$E$49,MATCH(C2994,Products!$A$2:$A$49,0))</f>
        <v>17100</v>
      </c>
      <c r="I2994" s="33" t="n">
        <f aca="false">D2994*INDEX(Products!$D$2:$D$49,MATCH(C2994,Products!$A$2:$A$49,0))*(1+INDEX(Assumptions!$B$16:$B$20,MATCH(B2994,Assumptions!$A$16:$A$20,0)))</f>
        <v>13853.16</v>
      </c>
      <c r="J2994" s="33" t="n">
        <f aca="false">H2994-I2994</f>
        <v>3246.84</v>
      </c>
      <c r="K2994" s="33" t="n">
        <f aca="false">IF(OR(E2994=0,E2994&gt;=7),0,D2994/(7-E2994)*E2994*INDEX(Products!$E$2:$E$49,MATCH(C2994,Products!$A$2:$A$49,0)))</f>
        <v>0</v>
      </c>
    </row>
    <row r="2995" customFormat="false" ht="15" hidden="false" customHeight="false" outlineLevel="0" collapsed="false">
      <c r="A2995" s="36" t="n">
        <v>46244</v>
      </c>
      <c r="B2995" s="24" t="s">
        <v>63</v>
      </c>
      <c r="C2995" s="24" t="s">
        <v>161</v>
      </c>
      <c r="D2995" s="33" t="n">
        <v>35</v>
      </c>
      <c r="E2995" s="24" t="n">
        <v>0</v>
      </c>
      <c r="F2995" s="37" t="n">
        <f aca="false">DATE(YEAR(A2995),MONTH(A2995),1)</f>
        <v>46235</v>
      </c>
      <c r="G2995" s="24" t="str">
        <f aca="false">INDEX(Products!$C$2:$C$49,MATCH(C2995,Products!$A$2:$A$49,0))</f>
        <v>Beverages</v>
      </c>
      <c r="H2995" s="33" t="n">
        <f aca="false">D2995*INDEX(Products!$E$2:$E$49,MATCH(C2995,Products!$A$2:$A$49,0))</f>
        <v>13300</v>
      </c>
      <c r="I2995" s="33" t="n">
        <f aca="false">D2995*INDEX(Products!$D$2:$D$49,MATCH(C2995,Products!$A$2:$A$49,0))*(1+INDEX(Assumptions!$B$16:$B$20,MATCH(B2995,Assumptions!$A$16:$A$20,0)))</f>
        <v>10774.68</v>
      </c>
      <c r="J2995" s="33" t="n">
        <f aca="false">H2995-I2995</f>
        <v>2525.32</v>
      </c>
      <c r="K2995" s="33" t="n">
        <f aca="false">IF(OR(E2995=0,E2995&gt;=7),0,D2995/(7-E2995)*E2995*INDEX(Products!$E$2:$E$49,MATCH(C2995,Products!$A$2:$A$49,0)))</f>
        <v>0</v>
      </c>
    </row>
    <row r="2996" customFormat="false" ht="15" hidden="false" customHeight="false" outlineLevel="0" collapsed="false">
      <c r="A2996" s="36" t="n">
        <v>46251</v>
      </c>
      <c r="B2996" s="24" t="s">
        <v>63</v>
      </c>
      <c r="C2996" s="24" t="s">
        <v>161</v>
      </c>
      <c r="D2996" s="33" t="n">
        <v>39</v>
      </c>
      <c r="E2996" s="24" t="n">
        <v>0</v>
      </c>
      <c r="F2996" s="37" t="n">
        <f aca="false">DATE(YEAR(A2996),MONTH(A2996),1)</f>
        <v>46235</v>
      </c>
      <c r="G2996" s="24" t="str">
        <f aca="false">INDEX(Products!$C$2:$C$49,MATCH(C2996,Products!$A$2:$A$49,0))</f>
        <v>Beverages</v>
      </c>
      <c r="H2996" s="33" t="n">
        <f aca="false">D2996*INDEX(Products!$E$2:$E$49,MATCH(C2996,Products!$A$2:$A$49,0))</f>
        <v>14820</v>
      </c>
      <c r="I2996" s="33" t="n">
        <f aca="false">D2996*INDEX(Products!$D$2:$D$49,MATCH(C2996,Products!$A$2:$A$49,0))*(1+INDEX(Assumptions!$B$16:$B$20,MATCH(B2996,Assumptions!$A$16:$A$20,0)))</f>
        <v>12006.072</v>
      </c>
      <c r="J2996" s="33" t="n">
        <f aca="false">H2996-I2996</f>
        <v>2813.928</v>
      </c>
      <c r="K2996" s="33" t="n">
        <f aca="false">IF(OR(E2996=0,E2996&gt;=7),0,D2996/(7-E2996)*E2996*INDEX(Products!$E$2:$E$49,MATCH(C2996,Products!$A$2:$A$49,0)))</f>
        <v>0</v>
      </c>
    </row>
    <row r="2997" customFormat="false" ht="15" hidden="false" customHeight="false" outlineLevel="0" collapsed="false">
      <c r="A2997" s="36" t="n">
        <v>46258</v>
      </c>
      <c r="B2997" s="24" t="s">
        <v>63</v>
      </c>
      <c r="C2997" s="24" t="s">
        <v>161</v>
      </c>
      <c r="D2997" s="33" t="n">
        <v>34</v>
      </c>
      <c r="E2997" s="24" t="n">
        <v>0</v>
      </c>
      <c r="F2997" s="37" t="n">
        <f aca="false">DATE(YEAR(A2997),MONTH(A2997),1)</f>
        <v>46235</v>
      </c>
      <c r="G2997" s="24" t="str">
        <f aca="false">INDEX(Products!$C$2:$C$49,MATCH(C2997,Products!$A$2:$A$49,0))</f>
        <v>Beverages</v>
      </c>
      <c r="H2997" s="33" t="n">
        <f aca="false">D2997*INDEX(Products!$E$2:$E$49,MATCH(C2997,Products!$A$2:$A$49,0))</f>
        <v>12920</v>
      </c>
      <c r="I2997" s="33" t="n">
        <f aca="false">D2997*INDEX(Products!$D$2:$D$49,MATCH(C2997,Products!$A$2:$A$49,0))*(1+INDEX(Assumptions!$B$16:$B$20,MATCH(B2997,Assumptions!$A$16:$A$20,0)))</f>
        <v>10466.832</v>
      </c>
      <c r="J2997" s="33" t="n">
        <f aca="false">H2997-I2997</f>
        <v>2453.168</v>
      </c>
      <c r="K2997" s="33" t="n">
        <f aca="false">IF(OR(E2997=0,E2997&gt;=7),0,D2997/(7-E2997)*E2997*INDEX(Products!$E$2:$E$49,MATCH(C2997,Products!$A$2:$A$49,0)))</f>
        <v>0</v>
      </c>
    </row>
    <row r="2998" customFormat="false" ht="15" hidden="false" customHeight="false" outlineLevel="0" collapsed="false">
      <c r="A2998" s="36" t="n">
        <v>46265</v>
      </c>
      <c r="B2998" s="24" t="s">
        <v>63</v>
      </c>
      <c r="C2998" s="24" t="s">
        <v>161</v>
      </c>
      <c r="D2998" s="33" t="n">
        <v>37</v>
      </c>
      <c r="E2998" s="24" t="n">
        <v>0</v>
      </c>
      <c r="F2998" s="37" t="n">
        <f aca="false">DATE(YEAR(A2998),MONTH(A2998),1)</f>
        <v>46235</v>
      </c>
      <c r="G2998" s="24" t="str">
        <f aca="false">INDEX(Products!$C$2:$C$49,MATCH(C2998,Products!$A$2:$A$49,0))</f>
        <v>Beverages</v>
      </c>
      <c r="H2998" s="33" t="n">
        <f aca="false">D2998*INDEX(Products!$E$2:$E$49,MATCH(C2998,Products!$A$2:$A$49,0))</f>
        <v>14060</v>
      </c>
      <c r="I2998" s="33" t="n">
        <f aca="false">D2998*INDEX(Products!$D$2:$D$49,MATCH(C2998,Products!$A$2:$A$49,0))*(1+INDEX(Assumptions!$B$16:$B$20,MATCH(B2998,Assumptions!$A$16:$A$20,0)))</f>
        <v>11390.376</v>
      </c>
      <c r="J2998" s="33" t="n">
        <f aca="false">H2998-I2998</f>
        <v>2669.624</v>
      </c>
      <c r="K2998" s="33" t="n">
        <f aca="false">IF(OR(E2998=0,E2998&gt;=7),0,D2998/(7-E2998)*E2998*INDEX(Products!$E$2:$E$49,MATCH(C2998,Products!$A$2:$A$49,0)))</f>
        <v>0</v>
      </c>
    </row>
    <row r="2999" customFormat="false" ht="15" hidden="false" customHeight="false" outlineLevel="0" collapsed="false">
      <c r="A2999" s="36" t="n">
        <v>46272</v>
      </c>
      <c r="B2999" s="24" t="s">
        <v>63</v>
      </c>
      <c r="C2999" s="24" t="s">
        <v>161</v>
      </c>
      <c r="D2999" s="33" t="n">
        <v>45</v>
      </c>
      <c r="E2999" s="24" t="n">
        <v>0</v>
      </c>
      <c r="F2999" s="37" t="n">
        <f aca="false">DATE(YEAR(A2999),MONTH(A2999),1)</f>
        <v>46266</v>
      </c>
      <c r="G2999" s="24" t="str">
        <f aca="false">INDEX(Products!$C$2:$C$49,MATCH(C2999,Products!$A$2:$A$49,0))</f>
        <v>Beverages</v>
      </c>
      <c r="H2999" s="33" t="n">
        <f aca="false">D2999*INDEX(Products!$E$2:$E$49,MATCH(C2999,Products!$A$2:$A$49,0))</f>
        <v>17100</v>
      </c>
      <c r="I2999" s="33" t="n">
        <f aca="false">D2999*INDEX(Products!$D$2:$D$49,MATCH(C2999,Products!$A$2:$A$49,0))*(1+INDEX(Assumptions!$B$16:$B$20,MATCH(B2999,Assumptions!$A$16:$A$20,0)))</f>
        <v>13853.16</v>
      </c>
      <c r="J2999" s="33" t="n">
        <f aca="false">H2999-I2999</f>
        <v>3246.84</v>
      </c>
      <c r="K2999" s="33" t="n">
        <f aca="false">IF(OR(E2999=0,E2999&gt;=7),0,D2999/(7-E2999)*E2999*INDEX(Products!$E$2:$E$49,MATCH(C2999,Products!$A$2:$A$49,0)))</f>
        <v>0</v>
      </c>
    </row>
    <row r="3000" customFormat="false" ht="15" hidden="false" customHeight="false" outlineLevel="0" collapsed="false">
      <c r="A3000" s="36" t="n">
        <v>46279</v>
      </c>
      <c r="B3000" s="24" t="s">
        <v>63</v>
      </c>
      <c r="C3000" s="24" t="s">
        <v>161</v>
      </c>
      <c r="D3000" s="33" t="n">
        <v>92</v>
      </c>
      <c r="E3000" s="24" t="n">
        <v>0</v>
      </c>
      <c r="F3000" s="37" t="n">
        <f aca="false">DATE(YEAR(A3000),MONTH(A3000),1)</f>
        <v>46266</v>
      </c>
      <c r="G3000" s="24" t="str">
        <f aca="false">INDEX(Products!$C$2:$C$49,MATCH(C3000,Products!$A$2:$A$49,0))</f>
        <v>Beverages</v>
      </c>
      <c r="H3000" s="33" t="n">
        <f aca="false">D3000*INDEX(Products!$E$2:$E$49,MATCH(C3000,Products!$A$2:$A$49,0))</f>
        <v>34960</v>
      </c>
      <c r="I3000" s="33" t="n">
        <f aca="false">D3000*INDEX(Products!$D$2:$D$49,MATCH(C3000,Products!$A$2:$A$49,0))*(1+INDEX(Assumptions!$B$16:$B$20,MATCH(B3000,Assumptions!$A$16:$A$20,0)))</f>
        <v>28322.016</v>
      </c>
      <c r="J3000" s="33" t="n">
        <f aca="false">H3000-I3000</f>
        <v>6637.984</v>
      </c>
      <c r="K3000" s="33" t="n">
        <f aca="false">IF(OR(E3000=0,E3000&gt;=7),0,D3000/(7-E3000)*E3000*INDEX(Products!$E$2:$E$49,MATCH(C3000,Products!$A$2:$A$49,0)))</f>
        <v>0</v>
      </c>
    </row>
    <row r="3001" customFormat="false" ht="15" hidden="false" customHeight="false" outlineLevel="0" collapsed="false">
      <c r="A3001" s="36" t="n">
        <v>46286</v>
      </c>
      <c r="B3001" s="24" t="s">
        <v>63</v>
      </c>
      <c r="C3001" s="24" t="s">
        <v>161</v>
      </c>
      <c r="D3001" s="33" t="n">
        <v>52</v>
      </c>
      <c r="E3001" s="24" t="n">
        <v>0</v>
      </c>
      <c r="F3001" s="37" t="n">
        <f aca="false">DATE(YEAR(A3001),MONTH(A3001),1)</f>
        <v>46266</v>
      </c>
      <c r="G3001" s="24" t="str">
        <f aca="false">INDEX(Products!$C$2:$C$49,MATCH(C3001,Products!$A$2:$A$49,0))</f>
        <v>Beverages</v>
      </c>
      <c r="H3001" s="33" t="n">
        <f aca="false">D3001*INDEX(Products!$E$2:$E$49,MATCH(C3001,Products!$A$2:$A$49,0))</f>
        <v>19760</v>
      </c>
      <c r="I3001" s="33" t="n">
        <f aca="false">D3001*INDEX(Products!$D$2:$D$49,MATCH(C3001,Products!$A$2:$A$49,0))*(1+INDEX(Assumptions!$B$16:$B$20,MATCH(B3001,Assumptions!$A$16:$A$20,0)))</f>
        <v>16008.096</v>
      </c>
      <c r="J3001" s="33" t="n">
        <f aca="false">H3001-I3001</f>
        <v>3751.904</v>
      </c>
      <c r="K3001" s="33" t="n">
        <f aca="false">IF(OR(E3001=0,E3001&gt;=7),0,D3001/(7-E3001)*E3001*INDEX(Products!$E$2:$E$49,MATCH(C3001,Products!$A$2:$A$49,0)))</f>
        <v>0</v>
      </c>
    </row>
    <row r="3002" customFormat="false" ht="15" hidden="false" customHeight="false" outlineLevel="0" collapsed="false">
      <c r="A3002" s="36" t="n">
        <v>46118</v>
      </c>
      <c r="B3002" s="24" t="s">
        <v>63</v>
      </c>
      <c r="C3002" s="24" t="s">
        <v>163</v>
      </c>
      <c r="D3002" s="33" t="n">
        <v>68</v>
      </c>
      <c r="E3002" s="24" t="n">
        <v>0</v>
      </c>
      <c r="F3002" s="37" t="n">
        <f aca="false">DATE(YEAR(A3002),MONTH(A3002),1)</f>
        <v>46113</v>
      </c>
      <c r="G3002" s="24" t="str">
        <f aca="false">INDEX(Products!$C$2:$C$49,MATCH(C3002,Products!$A$2:$A$49,0))</f>
        <v>Household</v>
      </c>
      <c r="H3002" s="33" t="n">
        <f aca="false">D3002*INDEX(Products!$E$2:$E$49,MATCH(C3002,Products!$A$2:$A$49,0))</f>
        <v>22440</v>
      </c>
      <c r="I3002" s="33" t="n">
        <f aca="false">D3002*INDEX(Products!$D$2:$D$49,MATCH(C3002,Products!$A$2:$A$49,0))*(1+INDEX(Assumptions!$B$16:$B$20,MATCH(B3002,Assumptions!$A$16:$A$20,0)))</f>
        <v>15821.152</v>
      </c>
      <c r="J3002" s="33" t="n">
        <f aca="false">H3002-I3002</f>
        <v>6618.848</v>
      </c>
      <c r="K3002" s="33" t="n">
        <f aca="false">IF(OR(E3002=0,E3002&gt;=7),0,D3002/(7-E3002)*E3002*INDEX(Products!$E$2:$E$49,MATCH(C3002,Products!$A$2:$A$49,0)))</f>
        <v>0</v>
      </c>
    </row>
    <row r="3003" customFormat="false" ht="15" hidden="false" customHeight="false" outlineLevel="0" collapsed="false">
      <c r="A3003" s="36" t="n">
        <v>46125</v>
      </c>
      <c r="B3003" s="24" t="s">
        <v>63</v>
      </c>
      <c r="C3003" s="24" t="s">
        <v>163</v>
      </c>
      <c r="D3003" s="33" t="n">
        <v>62</v>
      </c>
      <c r="E3003" s="24" t="n">
        <v>0</v>
      </c>
      <c r="F3003" s="37" t="n">
        <f aca="false">DATE(YEAR(A3003),MONTH(A3003),1)</f>
        <v>46113</v>
      </c>
      <c r="G3003" s="24" t="str">
        <f aca="false">INDEX(Products!$C$2:$C$49,MATCH(C3003,Products!$A$2:$A$49,0))</f>
        <v>Household</v>
      </c>
      <c r="H3003" s="33" t="n">
        <f aca="false">D3003*INDEX(Products!$E$2:$E$49,MATCH(C3003,Products!$A$2:$A$49,0))</f>
        <v>20460</v>
      </c>
      <c r="I3003" s="33" t="n">
        <f aca="false">D3003*INDEX(Products!$D$2:$D$49,MATCH(C3003,Products!$A$2:$A$49,0))*(1+INDEX(Assumptions!$B$16:$B$20,MATCH(B3003,Assumptions!$A$16:$A$20,0)))</f>
        <v>14425.168</v>
      </c>
      <c r="J3003" s="33" t="n">
        <f aca="false">H3003-I3003</f>
        <v>6034.832</v>
      </c>
      <c r="K3003" s="33" t="n">
        <f aca="false">IF(OR(E3003=0,E3003&gt;=7),0,D3003/(7-E3003)*E3003*INDEX(Products!$E$2:$E$49,MATCH(C3003,Products!$A$2:$A$49,0)))</f>
        <v>0</v>
      </c>
    </row>
    <row r="3004" customFormat="false" ht="15" hidden="false" customHeight="false" outlineLevel="0" collapsed="false">
      <c r="A3004" s="36" t="n">
        <v>46132</v>
      </c>
      <c r="B3004" s="24" t="s">
        <v>63</v>
      </c>
      <c r="C3004" s="24" t="s">
        <v>163</v>
      </c>
      <c r="D3004" s="33" t="n">
        <v>67</v>
      </c>
      <c r="E3004" s="24" t="n">
        <v>0</v>
      </c>
      <c r="F3004" s="37" t="n">
        <f aca="false">DATE(YEAR(A3004),MONTH(A3004),1)</f>
        <v>46113</v>
      </c>
      <c r="G3004" s="24" t="str">
        <f aca="false">INDEX(Products!$C$2:$C$49,MATCH(C3004,Products!$A$2:$A$49,0))</f>
        <v>Household</v>
      </c>
      <c r="H3004" s="33" t="n">
        <f aca="false">D3004*INDEX(Products!$E$2:$E$49,MATCH(C3004,Products!$A$2:$A$49,0))</f>
        <v>22110</v>
      </c>
      <c r="I3004" s="33" t="n">
        <f aca="false">D3004*INDEX(Products!$D$2:$D$49,MATCH(C3004,Products!$A$2:$A$49,0))*(1+INDEX(Assumptions!$B$16:$B$20,MATCH(B3004,Assumptions!$A$16:$A$20,0)))</f>
        <v>15588.488</v>
      </c>
      <c r="J3004" s="33" t="n">
        <f aca="false">H3004-I3004</f>
        <v>6521.512</v>
      </c>
      <c r="K3004" s="33" t="n">
        <f aca="false">IF(OR(E3004=0,E3004&gt;=7),0,D3004/(7-E3004)*E3004*INDEX(Products!$E$2:$E$49,MATCH(C3004,Products!$A$2:$A$49,0)))</f>
        <v>0</v>
      </c>
    </row>
    <row r="3005" customFormat="false" ht="15" hidden="false" customHeight="false" outlineLevel="0" collapsed="false">
      <c r="A3005" s="36" t="n">
        <v>46139</v>
      </c>
      <c r="B3005" s="24" t="s">
        <v>63</v>
      </c>
      <c r="C3005" s="24" t="s">
        <v>163</v>
      </c>
      <c r="D3005" s="33" t="n">
        <v>61</v>
      </c>
      <c r="E3005" s="24" t="n">
        <v>0</v>
      </c>
      <c r="F3005" s="37" t="n">
        <f aca="false">DATE(YEAR(A3005),MONTH(A3005),1)</f>
        <v>46113</v>
      </c>
      <c r="G3005" s="24" t="str">
        <f aca="false">INDEX(Products!$C$2:$C$49,MATCH(C3005,Products!$A$2:$A$49,0))</f>
        <v>Household</v>
      </c>
      <c r="H3005" s="33" t="n">
        <f aca="false">D3005*INDEX(Products!$E$2:$E$49,MATCH(C3005,Products!$A$2:$A$49,0))</f>
        <v>20130</v>
      </c>
      <c r="I3005" s="33" t="n">
        <f aca="false">D3005*INDEX(Products!$D$2:$D$49,MATCH(C3005,Products!$A$2:$A$49,0))*(1+INDEX(Assumptions!$B$16:$B$20,MATCH(B3005,Assumptions!$A$16:$A$20,0)))</f>
        <v>14192.504</v>
      </c>
      <c r="J3005" s="33" t="n">
        <f aca="false">H3005-I3005</f>
        <v>5937.496</v>
      </c>
      <c r="K3005" s="33" t="n">
        <f aca="false">IF(OR(E3005=0,E3005&gt;=7),0,D3005/(7-E3005)*E3005*INDEX(Products!$E$2:$E$49,MATCH(C3005,Products!$A$2:$A$49,0)))</f>
        <v>0</v>
      </c>
    </row>
    <row r="3006" customFormat="false" ht="15" hidden="false" customHeight="false" outlineLevel="0" collapsed="false">
      <c r="A3006" s="36" t="n">
        <v>46146</v>
      </c>
      <c r="B3006" s="24" t="s">
        <v>63</v>
      </c>
      <c r="C3006" s="24" t="s">
        <v>163</v>
      </c>
      <c r="D3006" s="33" t="n">
        <v>59</v>
      </c>
      <c r="E3006" s="24" t="n">
        <v>0</v>
      </c>
      <c r="F3006" s="37" t="n">
        <f aca="false">DATE(YEAR(A3006),MONTH(A3006),1)</f>
        <v>46143</v>
      </c>
      <c r="G3006" s="24" t="str">
        <f aca="false">INDEX(Products!$C$2:$C$49,MATCH(C3006,Products!$A$2:$A$49,0))</f>
        <v>Household</v>
      </c>
      <c r="H3006" s="33" t="n">
        <f aca="false">D3006*INDEX(Products!$E$2:$E$49,MATCH(C3006,Products!$A$2:$A$49,0))</f>
        <v>19470</v>
      </c>
      <c r="I3006" s="33" t="n">
        <f aca="false">D3006*INDEX(Products!$D$2:$D$49,MATCH(C3006,Products!$A$2:$A$49,0))*(1+INDEX(Assumptions!$B$16:$B$20,MATCH(B3006,Assumptions!$A$16:$A$20,0)))</f>
        <v>13727.176</v>
      </c>
      <c r="J3006" s="33" t="n">
        <f aca="false">H3006-I3006</f>
        <v>5742.824</v>
      </c>
      <c r="K3006" s="33" t="n">
        <f aca="false">IF(OR(E3006=0,E3006&gt;=7),0,D3006/(7-E3006)*E3006*INDEX(Products!$E$2:$E$49,MATCH(C3006,Products!$A$2:$A$49,0)))</f>
        <v>0</v>
      </c>
    </row>
    <row r="3007" customFormat="false" ht="15" hidden="false" customHeight="false" outlineLevel="0" collapsed="false">
      <c r="A3007" s="36" t="n">
        <v>46153</v>
      </c>
      <c r="B3007" s="24" t="s">
        <v>63</v>
      </c>
      <c r="C3007" s="24" t="s">
        <v>163</v>
      </c>
      <c r="D3007" s="33" t="n">
        <v>57</v>
      </c>
      <c r="E3007" s="24" t="n">
        <v>0</v>
      </c>
      <c r="F3007" s="37" t="n">
        <f aca="false">DATE(YEAR(A3007),MONTH(A3007),1)</f>
        <v>46143</v>
      </c>
      <c r="G3007" s="24" t="str">
        <f aca="false">INDEX(Products!$C$2:$C$49,MATCH(C3007,Products!$A$2:$A$49,0))</f>
        <v>Household</v>
      </c>
      <c r="H3007" s="33" t="n">
        <f aca="false">D3007*INDEX(Products!$E$2:$E$49,MATCH(C3007,Products!$A$2:$A$49,0))</f>
        <v>18810</v>
      </c>
      <c r="I3007" s="33" t="n">
        <f aca="false">D3007*INDEX(Products!$D$2:$D$49,MATCH(C3007,Products!$A$2:$A$49,0))*(1+INDEX(Assumptions!$B$16:$B$20,MATCH(B3007,Assumptions!$A$16:$A$20,0)))</f>
        <v>13261.848</v>
      </c>
      <c r="J3007" s="33" t="n">
        <f aca="false">H3007-I3007</f>
        <v>5548.152</v>
      </c>
      <c r="K3007" s="33" t="n">
        <f aca="false">IF(OR(E3007=0,E3007&gt;=7),0,D3007/(7-E3007)*E3007*INDEX(Products!$E$2:$E$49,MATCH(C3007,Products!$A$2:$A$49,0)))</f>
        <v>0</v>
      </c>
    </row>
    <row r="3008" customFormat="false" ht="15" hidden="false" customHeight="false" outlineLevel="0" collapsed="false">
      <c r="A3008" s="36" t="n">
        <v>46160</v>
      </c>
      <c r="B3008" s="24" t="s">
        <v>63</v>
      </c>
      <c r="C3008" s="24" t="s">
        <v>163</v>
      </c>
      <c r="D3008" s="33" t="n">
        <v>71</v>
      </c>
      <c r="E3008" s="24" t="n">
        <v>0</v>
      </c>
      <c r="F3008" s="37" t="n">
        <f aca="false">DATE(YEAR(A3008),MONTH(A3008),1)</f>
        <v>46143</v>
      </c>
      <c r="G3008" s="24" t="str">
        <f aca="false">INDEX(Products!$C$2:$C$49,MATCH(C3008,Products!$A$2:$A$49,0))</f>
        <v>Household</v>
      </c>
      <c r="H3008" s="33" t="n">
        <f aca="false">D3008*INDEX(Products!$E$2:$E$49,MATCH(C3008,Products!$A$2:$A$49,0))</f>
        <v>23430</v>
      </c>
      <c r="I3008" s="33" t="n">
        <f aca="false">D3008*INDEX(Products!$D$2:$D$49,MATCH(C3008,Products!$A$2:$A$49,0))*(1+INDEX(Assumptions!$B$16:$B$20,MATCH(B3008,Assumptions!$A$16:$A$20,0)))</f>
        <v>16519.144</v>
      </c>
      <c r="J3008" s="33" t="n">
        <f aca="false">H3008-I3008</f>
        <v>6910.856</v>
      </c>
      <c r="K3008" s="33" t="n">
        <f aca="false">IF(OR(E3008=0,E3008&gt;=7),0,D3008/(7-E3008)*E3008*INDEX(Products!$E$2:$E$49,MATCH(C3008,Products!$A$2:$A$49,0)))</f>
        <v>0</v>
      </c>
    </row>
    <row r="3009" customFormat="false" ht="15" hidden="false" customHeight="false" outlineLevel="0" collapsed="false">
      <c r="A3009" s="36" t="n">
        <v>46167</v>
      </c>
      <c r="B3009" s="24" t="s">
        <v>63</v>
      </c>
      <c r="C3009" s="24" t="s">
        <v>163</v>
      </c>
      <c r="D3009" s="33" t="n">
        <v>51</v>
      </c>
      <c r="E3009" s="24" t="n">
        <v>0</v>
      </c>
      <c r="F3009" s="37" t="n">
        <f aca="false">DATE(YEAR(A3009),MONTH(A3009),1)</f>
        <v>46143</v>
      </c>
      <c r="G3009" s="24" t="str">
        <f aca="false">INDEX(Products!$C$2:$C$49,MATCH(C3009,Products!$A$2:$A$49,0))</f>
        <v>Household</v>
      </c>
      <c r="H3009" s="33" t="n">
        <f aca="false">D3009*INDEX(Products!$E$2:$E$49,MATCH(C3009,Products!$A$2:$A$49,0))</f>
        <v>16830</v>
      </c>
      <c r="I3009" s="33" t="n">
        <f aca="false">D3009*INDEX(Products!$D$2:$D$49,MATCH(C3009,Products!$A$2:$A$49,0))*(1+INDEX(Assumptions!$B$16:$B$20,MATCH(B3009,Assumptions!$A$16:$A$20,0)))</f>
        <v>11865.864</v>
      </c>
      <c r="J3009" s="33" t="n">
        <f aca="false">H3009-I3009</f>
        <v>4964.136</v>
      </c>
      <c r="K3009" s="33" t="n">
        <f aca="false">IF(OR(E3009=0,E3009&gt;=7),0,D3009/(7-E3009)*E3009*INDEX(Products!$E$2:$E$49,MATCH(C3009,Products!$A$2:$A$49,0)))</f>
        <v>0</v>
      </c>
    </row>
    <row r="3010" customFormat="false" ht="15" hidden="false" customHeight="false" outlineLevel="0" collapsed="false">
      <c r="A3010" s="36" t="n">
        <v>46174</v>
      </c>
      <c r="B3010" s="24" t="s">
        <v>63</v>
      </c>
      <c r="C3010" s="24" t="s">
        <v>163</v>
      </c>
      <c r="D3010" s="33" t="n">
        <v>50</v>
      </c>
      <c r="E3010" s="24" t="n">
        <v>0</v>
      </c>
      <c r="F3010" s="37" t="n">
        <f aca="false">DATE(YEAR(A3010),MONTH(A3010),1)</f>
        <v>46174</v>
      </c>
      <c r="G3010" s="24" t="str">
        <f aca="false">INDEX(Products!$C$2:$C$49,MATCH(C3010,Products!$A$2:$A$49,0))</f>
        <v>Household</v>
      </c>
      <c r="H3010" s="33" t="n">
        <f aca="false">D3010*INDEX(Products!$E$2:$E$49,MATCH(C3010,Products!$A$2:$A$49,0))</f>
        <v>16500</v>
      </c>
      <c r="I3010" s="33" t="n">
        <f aca="false">D3010*INDEX(Products!$D$2:$D$49,MATCH(C3010,Products!$A$2:$A$49,0))*(1+INDEX(Assumptions!$B$16:$B$20,MATCH(B3010,Assumptions!$A$16:$A$20,0)))</f>
        <v>11633.2</v>
      </c>
      <c r="J3010" s="33" t="n">
        <f aca="false">H3010-I3010</f>
        <v>4866.8</v>
      </c>
      <c r="K3010" s="33" t="n">
        <f aca="false">IF(OR(E3010=0,E3010&gt;=7),0,D3010/(7-E3010)*E3010*INDEX(Products!$E$2:$E$49,MATCH(C3010,Products!$A$2:$A$49,0)))</f>
        <v>0</v>
      </c>
    </row>
    <row r="3011" customFormat="false" ht="15" hidden="false" customHeight="false" outlineLevel="0" collapsed="false">
      <c r="A3011" s="36" t="n">
        <v>46181</v>
      </c>
      <c r="B3011" s="24" t="s">
        <v>63</v>
      </c>
      <c r="C3011" s="24" t="s">
        <v>163</v>
      </c>
      <c r="D3011" s="33" t="n">
        <v>55</v>
      </c>
      <c r="E3011" s="24" t="n">
        <v>0</v>
      </c>
      <c r="F3011" s="37" t="n">
        <f aca="false">DATE(YEAR(A3011),MONTH(A3011),1)</f>
        <v>46174</v>
      </c>
      <c r="G3011" s="24" t="str">
        <f aca="false">INDEX(Products!$C$2:$C$49,MATCH(C3011,Products!$A$2:$A$49,0))</f>
        <v>Household</v>
      </c>
      <c r="H3011" s="33" t="n">
        <f aca="false">D3011*INDEX(Products!$E$2:$E$49,MATCH(C3011,Products!$A$2:$A$49,0))</f>
        <v>18150</v>
      </c>
      <c r="I3011" s="33" t="n">
        <f aca="false">D3011*INDEX(Products!$D$2:$D$49,MATCH(C3011,Products!$A$2:$A$49,0))*(1+INDEX(Assumptions!$B$16:$B$20,MATCH(B3011,Assumptions!$A$16:$A$20,0)))</f>
        <v>12796.52</v>
      </c>
      <c r="J3011" s="33" t="n">
        <f aca="false">H3011-I3011</f>
        <v>5353.48</v>
      </c>
      <c r="K3011" s="33" t="n">
        <f aca="false">IF(OR(E3011=0,E3011&gt;=7),0,D3011/(7-E3011)*E3011*INDEX(Products!$E$2:$E$49,MATCH(C3011,Products!$A$2:$A$49,0)))</f>
        <v>0</v>
      </c>
    </row>
    <row r="3012" customFormat="false" ht="15" hidden="false" customHeight="false" outlineLevel="0" collapsed="false">
      <c r="A3012" s="36" t="n">
        <v>46188</v>
      </c>
      <c r="B3012" s="24" t="s">
        <v>63</v>
      </c>
      <c r="C3012" s="24" t="s">
        <v>163</v>
      </c>
      <c r="D3012" s="33" t="n">
        <v>61</v>
      </c>
      <c r="E3012" s="24" t="n">
        <v>0</v>
      </c>
      <c r="F3012" s="37" t="n">
        <f aca="false">DATE(YEAR(A3012),MONTH(A3012),1)</f>
        <v>46174</v>
      </c>
      <c r="G3012" s="24" t="str">
        <f aca="false">INDEX(Products!$C$2:$C$49,MATCH(C3012,Products!$A$2:$A$49,0))</f>
        <v>Household</v>
      </c>
      <c r="H3012" s="33" t="n">
        <f aca="false">D3012*INDEX(Products!$E$2:$E$49,MATCH(C3012,Products!$A$2:$A$49,0))</f>
        <v>20130</v>
      </c>
      <c r="I3012" s="33" t="n">
        <f aca="false">D3012*INDEX(Products!$D$2:$D$49,MATCH(C3012,Products!$A$2:$A$49,0))*(1+INDEX(Assumptions!$B$16:$B$20,MATCH(B3012,Assumptions!$A$16:$A$20,0)))</f>
        <v>14192.504</v>
      </c>
      <c r="J3012" s="33" t="n">
        <f aca="false">H3012-I3012</f>
        <v>5937.496</v>
      </c>
      <c r="K3012" s="33" t="n">
        <f aca="false">IF(OR(E3012=0,E3012&gt;=7),0,D3012/(7-E3012)*E3012*INDEX(Products!$E$2:$E$49,MATCH(C3012,Products!$A$2:$A$49,0)))</f>
        <v>0</v>
      </c>
    </row>
    <row r="3013" customFormat="false" ht="15" hidden="false" customHeight="false" outlineLevel="0" collapsed="false">
      <c r="A3013" s="36" t="n">
        <v>46195</v>
      </c>
      <c r="B3013" s="24" t="s">
        <v>63</v>
      </c>
      <c r="C3013" s="24" t="s">
        <v>163</v>
      </c>
      <c r="D3013" s="33" t="n">
        <v>67</v>
      </c>
      <c r="E3013" s="24" t="n">
        <v>0</v>
      </c>
      <c r="F3013" s="37" t="n">
        <f aca="false">DATE(YEAR(A3013),MONTH(A3013),1)</f>
        <v>46174</v>
      </c>
      <c r="G3013" s="24" t="str">
        <f aca="false">INDEX(Products!$C$2:$C$49,MATCH(C3013,Products!$A$2:$A$49,0))</f>
        <v>Household</v>
      </c>
      <c r="H3013" s="33" t="n">
        <f aca="false">D3013*INDEX(Products!$E$2:$E$49,MATCH(C3013,Products!$A$2:$A$49,0))</f>
        <v>22110</v>
      </c>
      <c r="I3013" s="33" t="n">
        <f aca="false">D3013*INDEX(Products!$D$2:$D$49,MATCH(C3013,Products!$A$2:$A$49,0))*(1+INDEX(Assumptions!$B$16:$B$20,MATCH(B3013,Assumptions!$A$16:$A$20,0)))</f>
        <v>15588.488</v>
      </c>
      <c r="J3013" s="33" t="n">
        <f aca="false">H3013-I3013</f>
        <v>6521.512</v>
      </c>
      <c r="K3013" s="33" t="n">
        <f aca="false">IF(OR(E3013=0,E3013&gt;=7),0,D3013/(7-E3013)*E3013*INDEX(Products!$E$2:$E$49,MATCH(C3013,Products!$A$2:$A$49,0)))</f>
        <v>0</v>
      </c>
    </row>
    <row r="3014" customFormat="false" ht="15" hidden="false" customHeight="false" outlineLevel="0" collapsed="false">
      <c r="A3014" s="36" t="n">
        <v>46202</v>
      </c>
      <c r="B3014" s="24" t="s">
        <v>63</v>
      </c>
      <c r="C3014" s="24" t="s">
        <v>163</v>
      </c>
      <c r="D3014" s="33" t="n">
        <v>70</v>
      </c>
      <c r="E3014" s="24" t="n">
        <v>0</v>
      </c>
      <c r="F3014" s="37" t="n">
        <f aca="false">DATE(YEAR(A3014),MONTH(A3014),1)</f>
        <v>46174</v>
      </c>
      <c r="G3014" s="24" t="str">
        <f aca="false">INDEX(Products!$C$2:$C$49,MATCH(C3014,Products!$A$2:$A$49,0))</f>
        <v>Household</v>
      </c>
      <c r="H3014" s="33" t="n">
        <f aca="false">D3014*INDEX(Products!$E$2:$E$49,MATCH(C3014,Products!$A$2:$A$49,0))</f>
        <v>23100</v>
      </c>
      <c r="I3014" s="33" t="n">
        <f aca="false">D3014*INDEX(Products!$D$2:$D$49,MATCH(C3014,Products!$A$2:$A$49,0))*(1+INDEX(Assumptions!$B$16:$B$20,MATCH(B3014,Assumptions!$A$16:$A$20,0)))</f>
        <v>16286.48</v>
      </c>
      <c r="J3014" s="33" t="n">
        <f aca="false">H3014-I3014</f>
        <v>6813.52</v>
      </c>
      <c r="K3014" s="33" t="n">
        <f aca="false">IF(OR(E3014=0,E3014&gt;=7),0,D3014/(7-E3014)*E3014*INDEX(Products!$E$2:$E$49,MATCH(C3014,Products!$A$2:$A$49,0)))</f>
        <v>0</v>
      </c>
    </row>
    <row r="3015" customFormat="false" ht="15" hidden="false" customHeight="false" outlineLevel="0" collapsed="false">
      <c r="A3015" s="36" t="n">
        <v>46209</v>
      </c>
      <c r="B3015" s="24" t="s">
        <v>63</v>
      </c>
      <c r="C3015" s="24" t="s">
        <v>163</v>
      </c>
      <c r="D3015" s="33" t="n">
        <v>41</v>
      </c>
      <c r="E3015" s="24" t="n">
        <v>0</v>
      </c>
      <c r="F3015" s="37" t="n">
        <f aca="false">DATE(YEAR(A3015),MONTH(A3015),1)</f>
        <v>46204</v>
      </c>
      <c r="G3015" s="24" t="str">
        <f aca="false">INDEX(Products!$C$2:$C$49,MATCH(C3015,Products!$A$2:$A$49,0))</f>
        <v>Household</v>
      </c>
      <c r="H3015" s="33" t="n">
        <f aca="false">D3015*INDEX(Products!$E$2:$E$49,MATCH(C3015,Products!$A$2:$A$49,0))</f>
        <v>13530</v>
      </c>
      <c r="I3015" s="33" t="n">
        <f aca="false">D3015*INDEX(Products!$D$2:$D$49,MATCH(C3015,Products!$A$2:$A$49,0))*(1+INDEX(Assumptions!$B$16:$B$20,MATCH(B3015,Assumptions!$A$16:$A$20,0)))</f>
        <v>9539.224</v>
      </c>
      <c r="J3015" s="33" t="n">
        <f aca="false">H3015-I3015</f>
        <v>3990.776</v>
      </c>
      <c r="K3015" s="33" t="n">
        <f aca="false">IF(OR(E3015=0,E3015&gt;=7),0,D3015/(7-E3015)*E3015*INDEX(Products!$E$2:$E$49,MATCH(C3015,Products!$A$2:$A$49,0)))</f>
        <v>0</v>
      </c>
    </row>
    <row r="3016" customFormat="false" ht="15" hidden="false" customHeight="false" outlineLevel="0" collapsed="false">
      <c r="A3016" s="36" t="n">
        <v>46216</v>
      </c>
      <c r="B3016" s="24" t="s">
        <v>63</v>
      </c>
      <c r="C3016" s="24" t="s">
        <v>163</v>
      </c>
      <c r="D3016" s="33" t="n">
        <v>47</v>
      </c>
      <c r="E3016" s="24" t="n">
        <v>0</v>
      </c>
      <c r="F3016" s="37" t="n">
        <f aca="false">DATE(YEAR(A3016),MONTH(A3016),1)</f>
        <v>46204</v>
      </c>
      <c r="G3016" s="24" t="str">
        <f aca="false">INDEX(Products!$C$2:$C$49,MATCH(C3016,Products!$A$2:$A$49,0))</f>
        <v>Household</v>
      </c>
      <c r="H3016" s="33" t="n">
        <f aca="false">D3016*INDEX(Products!$E$2:$E$49,MATCH(C3016,Products!$A$2:$A$49,0))</f>
        <v>15510</v>
      </c>
      <c r="I3016" s="33" t="n">
        <f aca="false">D3016*INDEX(Products!$D$2:$D$49,MATCH(C3016,Products!$A$2:$A$49,0))*(1+INDEX(Assumptions!$B$16:$B$20,MATCH(B3016,Assumptions!$A$16:$A$20,0)))</f>
        <v>10935.208</v>
      </c>
      <c r="J3016" s="33" t="n">
        <f aca="false">H3016-I3016</f>
        <v>4574.792</v>
      </c>
      <c r="K3016" s="33" t="n">
        <f aca="false">IF(OR(E3016=0,E3016&gt;=7),0,D3016/(7-E3016)*E3016*INDEX(Products!$E$2:$E$49,MATCH(C3016,Products!$A$2:$A$49,0)))</f>
        <v>0</v>
      </c>
    </row>
    <row r="3017" customFormat="false" ht="15" hidden="false" customHeight="false" outlineLevel="0" collapsed="false">
      <c r="A3017" s="36" t="n">
        <v>46223</v>
      </c>
      <c r="B3017" s="24" t="s">
        <v>63</v>
      </c>
      <c r="C3017" s="24" t="s">
        <v>163</v>
      </c>
      <c r="D3017" s="33" t="n">
        <v>67</v>
      </c>
      <c r="E3017" s="24" t="n">
        <v>0</v>
      </c>
      <c r="F3017" s="37" t="n">
        <f aca="false">DATE(YEAR(A3017),MONTH(A3017),1)</f>
        <v>46204</v>
      </c>
      <c r="G3017" s="24" t="str">
        <f aca="false">INDEX(Products!$C$2:$C$49,MATCH(C3017,Products!$A$2:$A$49,0))</f>
        <v>Household</v>
      </c>
      <c r="H3017" s="33" t="n">
        <f aca="false">D3017*INDEX(Products!$E$2:$E$49,MATCH(C3017,Products!$A$2:$A$49,0))</f>
        <v>22110</v>
      </c>
      <c r="I3017" s="33" t="n">
        <f aca="false">D3017*INDEX(Products!$D$2:$D$49,MATCH(C3017,Products!$A$2:$A$49,0))*(1+INDEX(Assumptions!$B$16:$B$20,MATCH(B3017,Assumptions!$A$16:$A$20,0)))</f>
        <v>15588.488</v>
      </c>
      <c r="J3017" s="33" t="n">
        <f aca="false">H3017-I3017</f>
        <v>6521.512</v>
      </c>
      <c r="K3017" s="33" t="n">
        <f aca="false">IF(OR(E3017=0,E3017&gt;=7),0,D3017/(7-E3017)*E3017*INDEX(Products!$E$2:$E$49,MATCH(C3017,Products!$A$2:$A$49,0)))</f>
        <v>0</v>
      </c>
    </row>
    <row r="3018" customFormat="false" ht="15" hidden="false" customHeight="false" outlineLevel="0" collapsed="false">
      <c r="A3018" s="36" t="n">
        <v>46230</v>
      </c>
      <c r="B3018" s="24" t="s">
        <v>63</v>
      </c>
      <c r="C3018" s="24" t="s">
        <v>163</v>
      </c>
      <c r="D3018" s="33" t="n">
        <v>67</v>
      </c>
      <c r="E3018" s="24" t="n">
        <v>0</v>
      </c>
      <c r="F3018" s="37" t="n">
        <f aca="false">DATE(YEAR(A3018),MONTH(A3018),1)</f>
        <v>46204</v>
      </c>
      <c r="G3018" s="24" t="str">
        <f aca="false">INDEX(Products!$C$2:$C$49,MATCH(C3018,Products!$A$2:$A$49,0))</f>
        <v>Household</v>
      </c>
      <c r="H3018" s="33" t="n">
        <f aca="false">D3018*INDEX(Products!$E$2:$E$49,MATCH(C3018,Products!$A$2:$A$49,0))</f>
        <v>22110</v>
      </c>
      <c r="I3018" s="33" t="n">
        <f aca="false">D3018*INDEX(Products!$D$2:$D$49,MATCH(C3018,Products!$A$2:$A$49,0))*(1+INDEX(Assumptions!$B$16:$B$20,MATCH(B3018,Assumptions!$A$16:$A$20,0)))</f>
        <v>15588.488</v>
      </c>
      <c r="J3018" s="33" t="n">
        <f aca="false">H3018-I3018</f>
        <v>6521.512</v>
      </c>
      <c r="K3018" s="33" t="n">
        <f aca="false">IF(OR(E3018=0,E3018&gt;=7),0,D3018/(7-E3018)*E3018*INDEX(Products!$E$2:$E$49,MATCH(C3018,Products!$A$2:$A$49,0)))</f>
        <v>0</v>
      </c>
    </row>
    <row r="3019" customFormat="false" ht="15" hidden="false" customHeight="false" outlineLevel="0" collapsed="false">
      <c r="A3019" s="36" t="n">
        <v>46237</v>
      </c>
      <c r="B3019" s="24" t="s">
        <v>63</v>
      </c>
      <c r="C3019" s="24" t="s">
        <v>163</v>
      </c>
      <c r="D3019" s="33" t="n">
        <v>59</v>
      </c>
      <c r="E3019" s="24" t="n">
        <v>0</v>
      </c>
      <c r="F3019" s="37" t="n">
        <f aca="false">DATE(YEAR(A3019),MONTH(A3019),1)</f>
        <v>46235</v>
      </c>
      <c r="G3019" s="24" t="str">
        <f aca="false">INDEX(Products!$C$2:$C$49,MATCH(C3019,Products!$A$2:$A$49,0))</f>
        <v>Household</v>
      </c>
      <c r="H3019" s="33" t="n">
        <f aca="false">D3019*INDEX(Products!$E$2:$E$49,MATCH(C3019,Products!$A$2:$A$49,0))</f>
        <v>19470</v>
      </c>
      <c r="I3019" s="33" t="n">
        <f aca="false">D3019*INDEX(Products!$D$2:$D$49,MATCH(C3019,Products!$A$2:$A$49,0))*(1+INDEX(Assumptions!$B$16:$B$20,MATCH(B3019,Assumptions!$A$16:$A$20,0)))</f>
        <v>13727.176</v>
      </c>
      <c r="J3019" s="33" t="n">
        <f aca="false">H3019-I3019</f>
        <v>5742.824</v>
      </c>
      <c r="K3019" s="33" t="n">
        <f aca="false">IF(OR(E3019=0,E3019&gt;=7),0,D3019/(7-E3019)*E3019*INDEX(Products!$E$2:$E$49,MATCH(C3019,Products!$A$2:$A$49,0)))</f>
        <v>0</v>
      </c>
    </row>
    <row r="3020" customFormat="false" ht="15" hidden="false" customHeight="false" outlineLevel="0" collapsed="false">
      <c r="A3020" s="36" t="n">
        <v>46244</v>
      </c>
      <c r="B3020" s="24" t="s">
        <v>63</v>
      </c>
      <c r="C3020" s="24" t="s">
        <v>163</v>
      </c>
      <c r="D3020" s="33" t="n">
        <v>55</v>
      </c>
      <c r="E3020" s="24" t="n">
        <v>0</v>
      </c>
      <c r="F3020" s="37" t="n">
        <f aca="false">DATE(YEAR(A3020),MONTH(A3020),1)</f>
        <v>46235</v>
      </c>
      <c r="G3020" s="24" t="str">
        <f aca="false">INDEX(Products!$C$2:$C$49,MATCH(C3020,Products!$A$2:$A$49,0))</f>
        <v>Household</v>
      </c>
      <c r="H3020" s="33" t="n">
        <f aca="false">D3020*INDEX(Products!$E$2:$E$49,MATCH(C3020,Products!$A$2:$A$49,0))</f>
        <v>18150</v>
      </c>
      <c r="I3020" s="33" t="n">
        <f aca="false">D3020*INDEX(Products!$D$2:$D$49,MATCH(C3020,Products!$A$2:$A$49,0))*(1+INDEX(Assumptions!$B$16:$B$20,MATCH(B3020,Assumptions!$A$16:$A$20,0)))</f>
        <v>12796.52</v>
      </c>
      <c r="J3020" s="33" t="n">
        <f aca="false">H3020-I3020</f>
        <v>5353.48</v>
      </c>
      <c r="K3020" s="33" t="n">
        <f aca="false">IF(OR(E3020=0,E3020&gt;=7),0,D3020/(7-E3020)*E3020*INDEX(Products!$E$2:$E$49,MATCH(C3020,Products!$A$2:$A$49,0)))</f>
        <v>0</v>
      </c>
    </row>
    <row r="3021" customFormat="false" ht="15" hidden="false" customHeight="false" outlineLevel="0" collapsed="false">
      <c r="A3021" s="36" t="n">
        <v>46251</v>
      </c>
      <c r="B3021" s="24" t="s">
        <v>63</v>
      </c>
      <c r="C3021" s="24" t="s">
        <v>163</v>
      </c>
      <c r="D3021" s="33" t="n">
        <v>64</v>
      </c>
      <c r="E3021" s="24" t="n">
        <v>0</v>
      </c>
      <c r="F3021" s="37" t="n">
        <f aca="false">DATE(YEAR(A3021),MONTH(A3021),1)</f>
        <v>46235</v>
      </c>
      <c r="G3021" s="24" t="str">
        <f aca="false">INDEX(Products!$C$2:$C$49,MATCH(C3021,Products!$A$2:$A$49,0))</f>
        <v>Household</v>
      </c>
      <c r="H3021" s="33" t="n">
        <f aca="false">D3021*INDEX(Products!$E$2:$E$49,MATCH(C3021,Products!$A$2:$A$49,0))</f>
        <v>21120</v>
      </c>
      <c r="I3021" s="33" t="n">
        <f aca="false">D3021*INDEX(Products!$D$2:$D$49,MATCH(C3021,Products!$A$2:$A$49,0))*(1+INDEX(Assumptions!$B$16:$B$20,MATCH(B3021,Assumptions!$A$16:$A$20,0)))</f>
        <v>14890.496</v>
      </c>
      <c r="J3021" s="33" t="n">
        <f aca="false">H3021-I3021</f>
        <v>6229.504</v>
      </c>
      <c r="K3021" s="33" t="n">
        <f aca="false">IF(OR(E3021=0,E3021&gt;=7),0,D3021/(7-E3021)*E3021*INDEX(Products!$E$2:$E$49,MATCH(C3021,Products!$A$2:$A$49,0)))</f>
        <v>0</v>
      </c>
    </row>
    <row r="3022" customFormat="false" ht="15" hidden="false" customHeight="false" outlineLevel="0" collapsed="false">
      <c r="A3022" s="36" t="n">
        <v>46258</v>
      </c>
      <c r="B3022" s="24" t="s">
        <v>63</v>
      </c>
      <c r="C3022" s="24" t="s">
        <v>163</v>
      </c>
      <c r="D3022" s="33" t="n">
        <v>43</v>
      </c>
      <c r="E3022" s="24" t="n">
        <v>0</v>
      </c>
      <c r="F3022" s="37" t="n">
        <f aca="false">DATE(YEAR(A3022),MONTH(A3022),1)</f>
        <v>46235</v>
      </c>
      <c r="G3022" s="24" t="str">
        <f aca="false">INDEX(Products!$C$2:$C$49,MATCH(C3022,Products!$A$2:$A$49,0))</f>
        <v>Household</v>
      </c>
      <c r="H3022" s="33" t="n">
        <f aca="false">D3022*INDEX(Products!$E$2:$E$49,MATCH(C3022,Products!$A$2:$A$49,0))</f>
        <v>14190</v>
      </c>
      <c r="I3022" s="33" t="n">
        <f aca="false">D3022*INDEX(Products!$D$2:$D$49,MATCH(C3022,Products!$A$2:$A$49,0))*(1+INDEX(Assumptions!$B$16:$B$20,MATCH(B3022,Assumptions!$A$16:$A$20,0)))</f>
        <v>10004.552</v>
      </c>
      <c r="J3022" s="33" t="n">
        <f aca="false">H3022-I3022</f>
        <v>4185.448</v>
      </c>
      <c r="K3022" s="33" t="n">
        <f aca="false">IF(OR(E3022=0,E3022&gt;=7),0,D3022/(7-E3022)*E3022*INDEX(Products!$E$2:$E$49,MATCH(C3022,Products!$A$2:$A$49,0)))</f>
        <v>0</v>
      </c>
    </row>
    <row r="3023" customFormat="false" ht="15" hidden="false" customHeight="false" outlineLevel="0" collapsed="false">
      <c r="A3023" s="36" t="n">
        <v>46265</v>
      </c>
      <c r="B3023" s="24" t="s">
        <v>63</v>
      </c>
      <c r="C3023" s="24" t="s">
        <v>163</v>
      </c>
      <c r="D3023" s="33" t="n">
        <v>61</v>
      </c>
      <c r="E3023" s="24" t="n">
        <v>0</v>
      </c>
      <c r="F3023" s="37" t="n">
        <f aca="false">DATE(YEAR(A3023),MONTH(A3023),1)</f>
        <v>46235</v>
      </c>
      <c r="G3023" s="24" t="str">
        <f aca="false">INDEX(Products!$C$2:$C$49,MATCH(C3023,Products!$A$2:$A$49,0))</f>
        <v>Household</v>
      </c>
      <c r="H3023" s="33" t="n">
        <f aca="false">D3023*INDEX(Products!$E$2:$E$49,MATCH(C3023,Products!$A$2:$A$49,0))</f>
        <v>20130</v>
      </c>
      <c r="I3023" s="33" t="n">
        <f aca="false">D3023*INDEX(Products!$D$2:$D$49,MATCH(C3023,Products!$A$2:$A$49,0))*(1+INDEX(Assumptions!$B$16:$B$20,MATCH(B3023,Assumptions!$A$16:$A$20,0)))</f>
        <v>14192.504</v>
      </c>
      <c r="J3023" s="33" t="n">
        <f aca="false">H3023-I3023</f>
        <v>5937.496</v>
      </c>
      <c r="K3023" s="33" t="n">
        <f aca="false">IF(OR(E3023=0,E3023&gt;=7),0,D3023/(7-E3023)*E3023*INDEX(Products!$E$2:$E$49,MATCH(C3023,Products!$A$2:$A$49,0)))</f>
        <v>0</v>
      </c>
    </row>
    <row r="3024" customFormat="false" ht="15" hidden="false" customHeight="false" outlineLevel="0" collapsed="false">
      <c r="A3024" s="36" t="n">
        <v>46272</v>
      </c>
      <c r="B3024" s="24" t="s">
        <v>63</v>
      </c>
      <c r="C3024" s="24" t="s">
        <v>163</v>
      </c>
      <c r="D3024" s="33" t="n">
        <v>62</v>
      </c>
      <c r="E3024" s="24" t="n">
        <v>0</v>
      </c>
      <c r="F3024" s="37" t="n">
        <f aca="false">DATE(YEAR(A3024),MONTH(A3024),1)</f>
        <v>46266</v>
      </c>
      <c r="G3024" s="24" t="str">
        <f aca="false">INDEX(Products!$C$2:$C$49,MATCH(C3024,Products!$A$2:$A$49,0))</f>
        <v>Household</v>
      </c>
      <c r="H3024" s="33" t="n">
        <f aca="false">D3024*INDEX(Products!$E$2:$E$49,MATCH(C3024,Products!$A$2:$A$49,0))</f>
        <v>20460</v>
      </c>
      <c r="I3024" s="33" t="n">
        <f aca="false">D3024*INDEX(Products!$D$2:$D$49,MATCH(C3024,Products!$A$2:$A$49,0))*(1+INDEX(Assumptions!$B$16:$B$20,MATCH(B3024,Assumptions!$A$16:$A$20,0)))</f>
        <v>14425.168</v>
      </c>
      <c r="J3024" s="33" t="n">
        <f aca="false">H3024-I3024</f>
        <v>6034.832</v>
      </c>
      <c r="K3024" s="33" t="n">
        <f aca="false">IF(OR(E3024=0,E3024&gt;=7),0,D3024/(7-E3024)*E3024*INDEX(Products!$E$2:$E$49,MATCH(C3024,Products!$A$2:$A$49,0)))</f>
        <v>0</v>
      </c>
    </row>
    <row r="3025" customFormat="false" ht="15" hidden="false" customHeight="false" outlineLevel="0" collapsed="false">
      <c r="A3025" s="36" t="n">
        <v>46279</v>
      </c>
      <c r="B3025" s="24" t="s">
        <v>63</v>
      </c>
      <c r="C3025" s="24" t="s">
        <v>163</v>
      </c>
      <c r="D3025" s="33" t="n">
        <v>57</v>
      </c>
      <c r="E3025" s="24" t="n">
        <v>0</v>
      </c>
      <c r="F3025" s="37" t="n">
        <f aca="false">DATE(YEAR(A3025),MONTH(A3025),1)</f>
        <v>46266</v>
      </c>
      <c r="G3025" s="24" t="str">
        <f aca="false">INDEX(Products!$C$2:$C$49,MATCH(C3025,Products!$A$2:$A$49,0))</f>
        <v>Household</v>
      </c>
      <c r="H3025" s="33" t="n">
        <f aca="false">D3025*INDEX(Products!$E$2:$E$49,MATCH(C3025,Products!$A$2:$A$49,0))</f>
        <v>18810</v>
      </c>
      <c r="I3025" s="33" t="n">
        <f aca="false">D3025*INDEX(Products!$D$2:$D$49,MATCH(C3025,Products!$A$2:$A$49,0))*(1+INDEX(Assumptions!$B$16:$B$20,MATCH(B3025,Assumptions!$A$16:$A$20,0)))</f>
        <v>13261.848</v>
      </c>
      <c r="J3025" s="33" t="n">
        <f aca="false">H3025-I3025</f>
        <v>5548.152</v>
      </c>
      <c r="K3025" s="33" t="n">
        <f aca="false">IF(OR(E3025=0,E3025&gt;=7),0,D3025/(7-E3025)*E3025*INDEX(Products!$E$2:$E$49,MATCH(C3025,Products!$A$2:$A$49,0)))</f>
        <v>0</v>
      </c>
    </row>
    <row r="3026" customFormat="false" ht="15" hidden="false" customHeight="false" outlineLevel="0" collapsed="false">
      <c r="A3026" s="36" t="n">
        <v>46286</v>
      </c>
      <c r="B3026" s="24" t="s">
        <v>63</v>
      </c>
      <c r="C3026" s="24" t="s">
        <v>163</v>
      </c>
      <c r="D3026" s="33" t="n">
        <v>50</v>
      </c>
      <c r="E3026" s="24" t="n">
        <v>0</v>
      </c>
      <c r="F3026" s="37" t="n">
        <f aca="false">DATE(YEAR(A3026),MONTH(A3026),1)</f>
        <v>46266</v>
      </c>
      <c r="G3026" s="24" t="str">
        <f aca="false">INDEX(Products!$C$2:$C$49,MATCH(C3026,Products!$A$2:$A$49,0))</f>
        <v>Household</v>
      </c>
      <c r="H3026" s="33" t="n">
        <f aca="false">D3026*INDEX(Products!$E$2:$E$49,MATCH(C3026,Products!$A$2:$A$49,0))</f>
        <v>16500</v>
      </c>
      <c r="I3026" s="33" t="n">
        <f aca="false">D3026*INDEX(Products!$D$2:$D$49,MATCH(C3026,Products!$A$2:$A$49,0))*(1+INDEX(Assumptions!$B$16:$B$20,MATCH(B3026,Assumptions!$A$16:$A$20,0)))</f>
        <v>11633.2</v>
      </c>
      <c r="J3026" s="33" t="n">
        <f aca="false">H3026-I3026</f>
        <v>4866.8</v>
      </c>
      <c r="K3026" s="33" t="n">
        <f aca="false">IF(OR(E3026=0,E3026&gt;=7),0,D3026/(7-E3026)*E3026*INDEX(Products!$E$2:$E$49,MATCH(C3026,Products!$A$2:$A$49,0)))</f>
        <v>0</v>
      </c>
    </row>
    <row r="3027" customFormat="false" ht="15" hidden="false" customHeight="false" outlineLevel="0" collapsed="false">
      <c r="A3027" s="36" t="n">
        <v>46118</v>
      </c>
      <c r="B3027" s="24" t="s">
        <v>63</v>
      </c>
      <c r="C3027" s="24" t="s">
        <v>165</v>
      </c>
      <c r="D3027" s="33" t="n">
        <v>44</v>
      </c>
      <c r="E3027" s="24" t="n">
        <v>0</v>
      </c>
      <c r="F3027" s="37" t="n">
        <f aca="false">DATE(YEAR(A3027),MONTH(A3027),1)</f>
        <v>46113</v>
      </c>
      <c r="G3027" s="24" t="str">
        <f aca="false">INDEX(Products!$C$2:$C$49,MATCH(C3027,Products!$A$2:$A$49,0))</f>
        <v>Household</v>
      </c>
      <c r="H3027" s="33" t="n">
        <f aca="false">D3027*INDEX(Products!$E$2:$E$49,MATCH(C3027,Products!$A$2:$A$49,0))</f>
        <v>8360</v>
      </c>
      <c r="I3027" s="33" t="n">
        <f aca="false">D3027*INDEX(Products!$D$2:$D$49,MATCH(C3027,Products!$A$2:$A$49,0))*(1+INDEX(Assumptions!$B$16:$B$20,MATCH(B3027,Assumptions!$A$16:$A$20,0)))</f>
        <v>6124.448</v>
      </c>
      <c r="J3027" s="33" t="n">
        <f aca="false">H3027-I3027</f>
        <v>2235.552</v>
      </c>
      <c r="K3027" s="33" t="n">
        <f aca="false">IF(OR(E3027=0,E3027&gt;=7),0,D3027/(7-E3027)*E3027*INDEX(Products!$E$2:$E$49,MATCH(C3027,Products!$A$2:$A$49,0)))</f>
        <v>0</v>
      </c>
    </row>
    <row r="3028" customFormat="false" ht="15" hidden="false" customHeight="false" outlineLevel="0" collapsed="false">
      <c r="A3028" s="36" t="n">
        <v>46125</v>
      </c>
      <c r="B3028" s="24" t="s">
        <v>63</v>
      </c>
      <c r="C3028" s="24" t="s">
        <v>165</v>
      </c>
      <c r="D3028" s="33" t="n">
        <v>66</v>
      </c>
      <c r="E3028" s="24" t="n">
        <v>0</v>
      </c>
      <c r="F3028" s="37" t="n">
        <f aca="false">DATE(YEAR(A3028),MONTH(A3028),1)</f>
        <v>46113</v>
      </c>
      <c r="G3028" s="24" t="str">
        <f aca="false">INDEX(Products!$C$2:$C$49,MATCH(C3028,Products!$A$2:$A$49,0))</f>
        <v>Household</v>
      </c>
      <c r="H3028" s="33" t="n">
        <f aca="false">D3028*INDEX(Products!$E$2:$E$49,MATCH(C3028,Products!$A$2:$A$49,0))</f>
        <v>12540</v>
      </c>
      <c r="I3028" s="33" t="n">
        <f aca="false">D3028*INDEX(Products!$D$2:$D$49,MATCH(C3028,Products!$A$2:$A$49,0))*(1+INDEX(Assumptions!$B$16:$B$20,MATCH(B3028,Assumptions!$A$16:$A$20,0)))</f>
        <v>9186.672</v>
      </c>
      <c r="J3028" s="33" t="n">
        <f aca="false">H3028-I3028</f>
        <v>3353.328</v>
      </c>
      <c r="K3028" s="33" t="n">
        <f aca="false">IF(OR(E3028=0,E3028&gt;=7),0,D3028/(7-E3028)*E3028*INDEX(Products!$E$2:$E$49,MATCH(C3028,Products!$A$2:$A$49,0)))</f>
        <v>0</v>
      </c>
    </row>
    <row r="3029" customFormat="false" ht="15" hidden="false" customHeight="false" outlineLevel="0" collapsed="false">
      <c r="A3029" s="36" t="n">
        <v>46132</v>
      </c>
      <c r="B3029" s="24" t="s">
        <v>63</v>
      </c>
      <c r="C3029" s="24" t="s">
        <v>165</v>
      </c>
      <c r="D3029" s="33" t="n">
        <v>60</v>
      </c>
      <c r="E3029" s="24" t="n">
        <v>0</v>
      </c>
      <c r="F3029" s="37" t="n">
        <f aca="false">DATE(YEAR(A3029),MONTH(A3029),1)</f>
        <v>46113</v>
      </c>
      <c r="G3029" s="24" t="str">
        <f aca="false">INDEX(Products!$C$2:$C$49,MATCH(C3029,Products!$A$2:$A$49,0))</f>
        <v>Household</v>
      </c>
      <c r="H3029" s="33" t="n">
        <f aca="false">D3029*INDEX(Products!$E$2:$E$49,MATCH(C3029,Products!$A$2:$A$49,0))</f>
        <v>11400</v>
      </c>
      <c r="I3029" s="33" t="n">
        <f aca="false">D3029*INDEX(Products!$D$2:$D$49,MATCH(C3029,Products!$A$2:$A$49,0))*(1+INDEX(Assumptions!$B$16:$B$20,MATCH(B3029,Assumptions!$A$16:$A$20,0)))</f>
        <v>8351.52</v>
      </c>
      <c r="J3029" s="33" t="n">
        <f aca="false">H3029-I3029</f>
        <v>3048.48</v>
      </c>
      <c r="K3029" s="33" t="n">
        <f aca="false">IF(OR(E3029=0,E3029&gt;=7),0,D3029/(7-E3029)*E3029*INDEX(Products!$E$2:$E$49,MATCH(C3029,Products!$A$2:$A$49,0)))</f>
        <v>0</v>
      </c>
    </row>
    <row r="3030" customFormat="false" ht="15" hidden="false" customHeight="false" outlineLevel="0" collapsed="false">
      <c r="A3030" s="36" t="n">
        <v>46139</v>
      </c>
      <c r="B3030" s="24" t="s">
        <v>63</v>
      </c>
      <c r="C3030" s="24" t="s">
        <v>165</v>
      </c>
      <c r="D3030" s="33" t="n">
        <v>64</v>
      </c>
      <c r="E3030" s="24" t="n">
        <v>0</v>
      </c>
      <c r="F3030" s="37" t="n">
        <f aca="false">DATE(YEAR(A3030),MONTH(A3030),1)</f>
        <v>46113</v>
      </c>
      <c r="G3030" s="24" t="str">
        <f aca="false">INDEX(Products!$C$2:$C$49,MATCH(C3030,Products!$A$2:$A$49,0))</f>
        <v>Household</v>
      </c>
      <c r="H3030" s="33" t="n">
        <f aca="false">D3030*INDEX(Products!$E$2:$E$49,MATCH(C3030,Products!$A$2:$A$49,0))</f>
        <v>12160</v>
      </c>
      <c r="I3030" s="33" t="n">
        <f aca="false">D3030*INDEX(Products!$D$2:$D$49,MATCH(C3030,Products!$A$2:$A$49,0))*(1+INDEX(Assumptions!$B$16:$B$20,MATCH(B3030,Assumptions!$A$16:$A$20,0)))</f>
        <v>8908.288</v>
      </c>
      <c r="J3030" s="33" t="n">
        <f aca="false">H3030-I3030</f>
        <v>3251.712</v>
      </c>
      <c r="K3030" s="33" t="n">
        <f aca="false">IF(OR(E3030=0,E3030&gt;=7),0,D3030/(7-E3030)*E3030*INDEX(Products!$E$2:$E$49,MATCH(C3030,Products!$A$2:$A$49,0)))</f>
        <v>0</v>
      </c>
    </row>
    <row r="3031" customFormat="false" ht="15" hidden="false" customHeight="false" outlineLevel="0" collapsed="false">
      <c r="A3031" s="36" t="n">
        <v>46146</v>
      </c>
      <c r="B3031" s="24" t="s">
        <v>63</v>
      </c>
      <c r="C3031" s="24" t="s">
        <v>165</v>
      </c>
      <c r="D3031" s="33" t="n">
        <v>60</v>
      </c>
      <c r="E3031" s="24" t="n">
        <v>0</v>
      </c>
      <c r="F3031" s="37" t="n">
        <f aca="false">DATE(YEAR(A3031),MONTH(A3031),1)</f>
        <v>46143</v>
      </c>
      <c r="G3031" s="24" t="str">
        <f aca="false">INDEX(Products!$C$2:$C$49,MATCH(C3031,Products!$A$2:$A$49,0))</f>
        <v>Household</v>
      </c>
      <c r="H3031" s="33" t="n">
        <f aca="false">D3031*INDEX(Products!$E$2:$E$49,MATCH(C3031,Products!$A$2:$A$49,0))</f>
        <v>11400</v>
      </c>
      <c r="I3031" s="33" t="n">
        <f aca="false">D3031*INDEX(Products!$D$2:$D$49,MATCH(C3031,Products!$A$2:$A$49,0))*(1+INDEX(Assumptions!$B$16:$B$20,MATCH(B3031,Assumptions!$A$16:$A$20,0)))</f>
        <v>8351.52</v>
      </c>
      <c r="J3031" s="33" t="n">
        <f aca="false">H3031-I3031</f>
        <v>3048.48</v>
      </c>
      <c r="K3031" s="33" t="n">
        <f aca="false">IF(OR(E3031=0,E3031&gt;=7),0,D3031/(7-E3031)*E3031*INDEX(Products!$E$2:$E$49,MATCH(C3031,Products!$A$2:$A$49,0)))</f>
        <v>0</v>
      </c>
    </row>
    <row r="3032" customFormat="false" ht="15" hidden="false" customHeight="false" outlineLevel="0" collapsed="false">
      <c r="A3032" s="36" t="n">
        <v>46153</v>
      </c>
      <c r="B3032" s="24" t="s">
        <v>63</v>
      </c>
      <c r="C3032" s="24" t="s">
        <v>165</v>
      </c>
      <c r="D3032" s="33" t="n">
        <v>62</v>
      </c>
      <c r="E3032" s="24" t="n">
        <v>0</v>
      </c>
      <c r="F3032" s="37" t="n">
        <f aca="false">DATE(YEAR(A3032),MONTH(A3032),1)</f>
        <v>46143</v>
      </c>
      <c r="G3032" s="24" t="str">
        <f aca="false">INDEX(Products!$C$2:$C$49,MATCH(C3032,Products!$A$2:$A$49,0))</f>
        <v>Household</v>
      </c>
      <c r="H3032" s="33" t="n">
        <f aca="false">D3032*INDEX(Products!$E$2:$E$49,MATCH(C3032,Products!$A$2:$A$49,0))</f>
        <v>11780</v>
      </c>
      <c r="I3032" s="33" t="n">
        <f aca="false">D3032*INDEX(Products!$D$2:$D$49,MATCH(C3032,Products!$A$2:$A$49,0))*(1+INDEX(Assumptions!$B$16:$B$20,MATCH(B3032,Assumptions!$A$16:$A$20,0)))</f>
        <v>8629.904</v>
      </c>
      <c r="J3032" s="33" t="n">
        <f aca="false">H3032-I3032</f>
        <v>3150.096</v>
      </c>
      <c r="K3032" s="33" t="n">
        <f aca="false">IF(OR(E3032=0,E3032&gt;=7),0,D3032/(7-E3032)*E3032*INDEX(Products!$E$2:$E$49,MATCH(C3032,Products!$A$2:$A$49,0)))</f>
        <v>0</v>
      </c>
    </row>
    <row r="3033" customFormat="false" ht="15" hidden="false" customHeight="false" outlineLevel="0" collapsed="false">
      <c r="A3033" s="36" t="n">
        <v>46160</v>
      </c>
      <c r="B3033" s="24" t="s">
        <v>63</v>
      </c>
      <c r="C3033" s="24" t="s">
        <v>165</v>
      </c>
      <c r="D3033" s="33" t="n">
        <v>62</v>
      </c>
      <c r="E3033" s="24" t="n">
        <v>0</v>
      </c>
      <c r="F3033" s="37" t="n">
        <f aca="false">DATE(YEAR(A3033),MONTH(A3033),1)</f>
        <v>46143</v>
      </c>
      <c r="G3033" s="24" t="str">
        <f aca="false">INDEX(Products!$C$2:$C$49,MATCH(C3033,Products!$A$2:$A$49,0))</f>
        <v>Household</v>
      </c>
      <c r="H3033" s="33" t="n">
        <f aca="false">D3033*INDEX(Products!$E$2:$E$49,MATCH(C3033,Products!$A$2:$A$49,0))</f>
        <v>11780</v>
      </c>
      <c r="I3033" s="33" t="n">
        <f aca="false">D3033*INDEX(Products!$D$2:$D$49,MATCH(C3033,Products!$A$2:$A$49,0))*(1+INDEX(Assumptions!$B$16:$B$20,MATCH(B3033,Assumptions!$A$16:$A$20,0)))</f>
        <v>8629.904</v>
      </c>
      <c r="J3033" s="33" t="n">
        <f aca="false">H3033-I3033</f>
        <v>3150.096</v>
      </c>
      <c r="K3033" s="33" t="n">
        <f aca="false">IF(OR(E3033=0,E3033&gt;=7),0,D3033/(7-E3033)*E3033*INDEX(Products!$E$2:$E$49,MATCH(C3033,Products!$A$2:$A$49,0)))</f>
        <v>0</v>
      </c>
    </row>
    <row r="3034" customFormat="false" ht="15" hidden="false" customHeight="false" outlineLevel="0" collapsed="false">
      <c r="A3034" s="36" t="n">
        <v>46167</v>
      </c>
      <c r="B3034" s="24" t="s">
        <v>63</v>
      </c>
      <c r="C3034" s="24" t="s">
        <v>165</v>
      </c>
      <c r="D3034" s="33" t="n">
        <v>78</v>
      </c>
      <c r="E3034" s="24" t="n">
        <v>0</v>
      </c>
      <c r="F3034" s="37" t="n">
        <f aca="false">DATE(YEAR(A3034),MONTH(A3034),1)</f>
        <v>46143</v>
      </c>
      <c r="G3034" s="24" t="str">
        <f aca="false">INDEX(Products!$C$2:$C$49,MATCH(C3034,Products!$A$2:$A$49,0))</f>
        <v>Household</v>
      </c>
      <c r="H3034" s="33" t="n">
        <f aca="false">D3034*INDEX(Products!$E$2:$E$49,MATCH(C3034,Products!$A$2:$A$49,0))</f>
        <v>14820</v>
      </c>
      <c r="I3034" s="33" t="n">
        <f aca="false">D3034*INDEX(Products!$D$2:$D$49,MATCH(C3034,Products!$A$2:$A$49,0))*(1+INDEX(Assumptions!$B$16:$B$20,MATCH(B3034,Assumptions!$A$16:$A$20,0)))</f>
        <v>10856.976</v>
      </c>
      <c r="J3034" s="33" t="n">
        <f aca="false">H3034-I3034</f>
        <v>3963.024</v>
      </c>
      <c r="K3034" s="33" t="n">
        <f aca="false">IF(OR(E3034=0,E3034&gt;=7),0,D3034/(7-E3034)*E3034*INDEX(Products!$E$2:$E$49,MATCH(C3034,Products!$A$2:$A$49,0)))</f>
        <v>0</v>
      </c>
    </row>
    <row r="3035" customFormat="false" ht="15" hidden="false" customHeight="false" outlineLevel="0" collapsed="false">
      <c r="A3035" s="36" t="n">
        <v>46174</v>
      </c>
      <c r="B3035" s="24" t="s">
        <v>63</v>
      </c>
      <c r="C3035" s="24" t="s">
        <v>165</v>
      </c>
      <c r="D3035" s="33" t="n">
        <v>48</v>
      </c>
      <c r="E3035" s="24" t="n">
        <v>0</v>
      </c>
      <c r="F3035" s="37" t="n">
        <f aca="false">DATE(YEAR(A3035),MONTH(A3035),1)</f>
        <v>46174</v>
      </c>
      <c r="G3035" s="24" t="str">
        <f aca="false">INDEX(Products!$C$2:$C$49,MATCH(C3035,Products!$A$2:$A$49,0))</f>
        <v>Household</v>
      </c>
      <c r="H3035" s="33" t="n">
        <f aca="false">D3035*INDEX(Products!$E$2:$E$49,MATCH(C3035,Products!$A$2:$A$49,0))</f>
        <v>9120</v>
      </c>
      <c r="I3035" s="33" t="n">
        <f aca="false">D3035*INDEX(Products!$D$2:$D$49,MATCH(C3035,Products!$A$2:$A$49,0))*(1+INDEX(Assumptions!$B$16:$B$20,MATCH(B3035,Assumptions!$A$16:$A$20,0)))</f>
        <v>6681.216</v>
      </c>
      <c r="J3035" s="33" t="n">
        <f aca="false">H3035-I3035</f>
        <v>2438.784</v>
      </c>
      <c r="K3035" s="33" t="n">
        <f aca="false">IF(OR(E3035=0,E3035&gt;=7),0,D3035/(7-E3035)*E3035*INDEX(Products!$E$2:$E$49,MATCH(C3035,Products!$A$2:$A$49,0)))</f>
        <v>0</v>
      </c>
    </row>
    <row r="3036" customFormat="false" ht="15" hidden="false" customHeight="false" outlineLevel="0" collapsed="false">
      <c r="A3036" s="36" t="n">
        <v>46181</v>
      </c>
      <c r="B3036" s="24" t="s">
        <v>63</v>
      </c>
      <c r="C3036" s="24" t="s">
        <v>165</v>
      </c>
      <c r="D3036" s="33" t="n">
        <v>59</v>
      </c>
      <c r="E3036" s="24" t="n">
        <v>0</v>
      </c>
      <c r="F3036" s="37" t="n">
        <f aca="false">DATE(YEAR(A3036),MONTH(A3036),1)</f>
        <v>46174</v>
      </c>
      <c r="G3036" s="24" t="str">
        <f aca="false">INDEX(Products!$C$2:$C$49,MATCH(C3036,Products!$A$2:$A$49,0))</f>
        <v>Household</v>
      </c>
      <c r="H3036" s="33" t="n">
        <f aca="false">D3036*INDEX(Products!$E$2:$E$49,MATCH(C3036,Products!$A$2:$A$49,0))</f>
        <v>11210</v>
      </c>
      <c r="I3036" s="33" t="n">
        <f aca="false">D3036*INDEX(Products!$D$2:$D$49,MATCH(C3036,Products!$A$2:$A$49,0))*(1+INDEX(Assumptions!$B$16:$B$20,MATCH(B3036,Assumptions!$A$16:$A$20,0)))</f>
        <v>8212.328</v>
      </c>
      <c r="J3036" s="33" t="n">
        <f aca="false">H3036-I3036</f>
        <v>2997.672</v>
      </c>
      <c r="K3036" s="33" t="n">
        <f aca="false">IF(OR(E3036=0,E3036&gt;=7),0,D3036/(7-E3036)*E3036*INDEX(Products!$E$2:$E$49,MATCH(C3036,Products!$A$2:$A$49,0)))</f>
        <v>0</v>
      </c>
    </row>
    <row r="3037" customFormat="false" ht="15" hidden="false" customHeight="false" outlineLevel="0" collapsed="false">
      <c r="A3037" s="36" t="n">
        <v>46188</v>
      </c>
      <c r="B3037" s="24" t="s">
        <v>63</v>
      </c>
      <c r="C3037" s="24" t="s">
        <v>165</v>
      </c>
      <c r="D3037" s="33" t="n">
        <v>53</v>
      </c>
      <c r="E3037" s="24" t="n">
        <v>0</v>
      </c>
      <c r="F3037" s="37" t="n">
        <f aca="false">DATE(YEAR(A3037),MONTH(A3037),1)</f>
        <v>46174</v>
      </c>
      <c r="G3037" s="24" t="str">
        <f aca="false">INDEX(Products!$C$2:$C$49,MATCH(C3037,Products!$A$2:$A$49,0))</f>
        <v>Household</v>
      </c>
      <c r="H3037" s="33" t="n">
        <f aca="false">D3037*INDEX(Products!$E$2:$E$49,MATCH(C3037,Products!$A$2:$A$49,0))</f>
        <v>10070</v>
      </c>
      <c r="I3037" s="33" t="n">
        <f aca="false">D3037*INDEX(Products!$D$2:$D$49,MATCH(C3037,Products!$A$2:$A$49,0))*(1+INDEX(Assumptions!$B$16:$B$20,MATCH(B3037,Assumptions!$A$16:$A$20,0)))</f>
        <v>7377.176</v>
      </c>
      <c r="J3037" s="33" t="n">
        <f aca="false">H3037-I3037</f>
        <v>2692.824</v>
      </c>
      <c r="K3037" s="33" t="n">
        <f aca="false">IF(OR(E3037=0,E3037&gt;=7),0,D3037/(7-E3037)*E3037*INDEX(Products!$E$2:$E$49,MATCH(C3037,Products!$A$2:$A$49,0)))</f>
        <v>0</v>
      </c>
    </row>
    <row r="3038" customFormat="false" ht="15" hidden="false" customHeight="false" outlineLevel="0" collapsed="false">
      <c r="A3038" s="36" t="n">
        <v>46195</v>
      </c>
      <c r="B3038" s="24" t="s">
        <v>63</v>
      </c>
      <c r="C3038" s="24" t="s">
        <v>165</v>
      </c>
      <c r="D3038" s="33" t="n">
        <v>59</v>
      </c>
      <c r="E3038" s="24" t="n">
        <v>0</v>
      </c>
      <c r="F3038" s="37" t="n">
        <f aca="false">DATE(YEAR(A3038),MONTH(A3038),1)</f>
        <v>46174</v>
      </c>
      <c r="G3038" s="24" t="str">
        <f aca="false">INDEX(Products!$C$2:$C$49,MATCH(C3038,Products!$A$2:$A$49,0))</f>
        <v>Household</v>
      </c>
      <c r="H3038" s="33" t="n">
        <f aca="false">D3038*INDEX(Products!$E$2:$E$49,MATCH(C3038,Products!$A$2:$A$49,0))</f>
        <v>11210</v>
      </c>
      <c r="I3038" s="33" t="n">
        <f aca="false">D3038*INDEX(Products!$D$2:$D$49,MATCH(C3038,Products!$A$2:$A$49,0))*(1+INDEX(Assumptions!$B$16:$B$20,MATCH(B3038,Assumptions!$A$16:$A$20,0)))</f>
        <v>8212.328</v>
      </c>
      <c r="J3038" s="33" t="n">
        <f aca="false">H3038-I3038</f>
        <v>2997.672</v>
      </c>
      <c r="K3038" s="33" t="n">
        <f aca="false">IF(OR(E3038=0,E3038&gt;=7),0,D3038/(7-E3038)*E3038*INDEX(Products!$E$2:$E$49,MATCH(C3038,Products!$A$2:$A$49,0)))</f>
        <v>0</v>
      </c>
    </row>
    <row r="3039" customFormat="false" ht="15" hidden="false" customHeight="false" outlineLevel="0" collapsed="false">
      <c r="A3039" s="36" t="n">
        <v>46202</v>
      </c>
      <c r="B3039" s="24" t="s">
        <v>63</v>
      </c>
      <c r="C3039" s="24" t="s">
        <v>165</v>
      </c>
      <c r="D3039" s="33" t="n">
        <v>56</v>
      </c>
      <c r="E3039" s="24" t="n">
        <v>0</v>
      </c>
      <c r="F3039" s="37" t="n">
        <f aca="false">DATE(YEAR(A3039),MONTH(A3039),1)</f>
        <v>46174</v>
      </c>
      <c r="G3039" s="24" t="str">
        <f aca="false">INDEX(Products!$C$2:$C$49,MATCH(C3039,Products!$A$2:$A$49,0))</f>
        <v>Household</v>
      </c>
      <c r="H3039" s="33" t="n">
        <f aca="false">D3039*INDEX(Products!$E$2:$E$49,MATCH(C3039,Products!$A$2:$A$49,0))</f>
        <v>10640</v>
      </c>
      <c r="I3039" s="33" t="n">
        <f aca="false">D3039*INDEX(Products!$D$2:$D$49,MATCH(C3039,Products!$A$2:$A$49,0))*(1+INDEX(Assumptions!$B$16:$B$20,MATCH(B3039,Assumptions!$A$16:$A$20,0)))</f>
        <v>7794.752</v>
      </c>
      <c r="J3039" s="33" t="n">
        <f aca="false">H3039-I3039</f>
        <v>2845.248</v>
      </c>
      <c r="K3039" s="33" t="n">
        <f aca="false">IF(OR(E3039=0,E3039&gt;=7),0,D3039/(7-E3039)*E3039*INDEX(Products!$E$2:$E$49,MATCH(C3039,Products!$A$2:$A$49,0)))</f>
        <v>0</v>
      </c>
    </row>
    <row r="3040" customFormat="false" ht="15" hidden="false" customHeight="false" outlineLevel="0" collapsed="false">
      <c r="A3040" s="36" t="n">
        <v>46209</v>
      </c>
      <c r="B3040" s="24" t="s">
        <v>63</v>
      </c>
      <c r="C3040" s="24" t="s">
        <v>165</v>
      </c>
      <c r="D3040" s="33" t="n">
        <v>41</v>
      </c>
      <c r="E3040" s="24" t="n">
        <v>0</v>
      </c>
      <c r="F3040" s="37" t="n">
        <f aca="false">DATE(YEAR(A3040),MONTH(A3040),1)</f>
        <v>46204</v>
      </c>
      <c r="G3040" s="24" t="str">
        <f aca="false">INDEX(Products!$C$2:$C$49,MATCH(C3040,Products!$A$2:$A$49,0))</f>
        <v>Household</v>
      </c>
      <c r="H3040" s="33" t="n">
        <f aca="false">D3040*INDEX(Products!$E$2:$E$49,MATCH(C3040,Products!$A$2:$A$49,0))</f>
        <v>7790</v>
      </c>
      <c r="I3040" s="33" t="n">
        <f aca="false">D3040*INDEX(Products!$D$2:$D$49,MATCH(C3040,Products!$A$2:$A$49,0))*(1+INDEX(Assumptions!$B$16:$B$20,MATCH(B3040,Assumptions!$A$16:$A$20,0)))</f>
        <v>5706.872</v>
      </c>
      <c r="J3040" s="33" t="n">
        <f aca="false">H3040-I3040</f>
        <v>2083.128</v>
      </c>
      <c r="K3040" s="33" t="n">
        <f aca="false">IF(OR(E3040=0,E3040&gt;=7),0,D3040/(7-E3040)*E3040*INDEX(Products!$E$2:$E$49,MATCH(C3040,Products!$A$2:$A$49,0)))</f>
        <v>0</v>
      </c>
    </row>
    <row r="3041" customFormat="false" ht="15" hidden="false" customHeight="false" outlineLevel="0" collapsed="false">
      <c r="A3041" s="36" t="n">
        <v>46216</v>
      </c>
      <c r="B3041" s="24" t="s">
        <v>63</v>
      </c>
      <c r="C3041" s="24" t="s">
        <v>165</v>
      </c>
      <c r="D3041" s="33" t="n">
        <v>38</v>
      </c>
      <c r="E3041" s="24" t="n">
        <v>0</v>
      </c>
      <c r="F3041" s="37" t="n">
        <f aca="false">DATE(YEAR(A3041),MONTH(A3041),1)</f>
        <v>46204</v>
      </c>
      <c r="G3041" s="24" t="str">
        <f aca="false">INDEX(Products!$C$2:$C$49,MATCH(C3041,Products!$A$2:$A$49,0))</f>
        <v>Household</v>
      </c>
      <c r="H3041" s="33" t="n">
        <f aca="false">D3041*INDEX(Products!$E$2:$E$49,MATCH(C3041,Products!$A$2:$A$49,0))</f>
        <v>7220</v>
      </c>
      <c r="I3041" s="33" t="n">
        <f aca="false">D3041*INDEX(Products!$D$2:$D$49,MATCH(C3041,Products!$A$2:$A$49,0))*(1+INDEX(Assumptions!$B$16:$B$20,MATCH(B3041,Assumptions!$A$16:$A$20,0)))</f>
        <v>5289.296</v>
      </c>
      <c r="J3041" s="33" t="n">
        <f aca="false">H3041-I3041</f>
        <v>1930.704</v>
      </c>
      <c r="K3041" s="33" t="n">
        <f aca="false">IF(OR(E3041=0,E3041&gt;=7),0,D3041/(7-E3041)*E3041*INDEX(Products!$E$2:$E$49,MATCH(C3041,Products!$A$2:$A$49,0)))</f>
        <v>0</v>
      </c>
    </row>
    <row r="3042" customFormat="false" ht="15" hidden="false" customHeight="false" outlineLevel="0" collapsed="false">
      <c r="A3042" s="36" t="n">
        <v>46223</v>
      </c>
      <c r="B3042" s="24" t="s">
        <v>63</v>
      </c>
      <c r="C3042" s="24" t="s">
        <v>165</v>
      </c>
      <c r="D3042" s="33" t="n">
        <v>61</v>
      </c>
      <c r="E3042" s="24" t="n">
        <v>0</v>
      </c>
      <c r="F3042" s="37" t="n">
        <f aca="false">DATE(YEAR(A3042),MONTH(A3042),1)</f>
        <v>46204</v>
      </c>
      <c r="G3042" s="24" t="str">
        <f aca="false">INDEX(Products!$C$2:$C$49,MATCH(C3042,Products!$A$2:$A$49,0))</f>
        <v>Household</v>
      </c>
      <c r="H3042" s="33" t="n">
        <f aca="false">D3042*INDEX(Products!$E$2:$E$49,MATCH(C3042,Products!$A$2:$A$49,0))</f>
        <v>11590</v>
      </c>
      <c r="I3042" s="33" t="n">
        <f aca="false">D3042*INDEX(Products!$D$2:$D$49,MATCH(C3042,Products!$A$2:$A$49,0))*(1+INDEX(Assumptions!$B$16:$B$20,MATCH(B3042,Assumptions!$A$16:$A$20,0)))</f>
        <v>8490.712</v>
      </c>
      <c r="J3042" s="33" t="n">
        <f aca="false">H3042-I3042</f>
        <v>3099.288</v>
      </c>
      <c r="K3042" s="33" t="n">
        <f aca="false">IF(OR(E3042=0,E3042&gt;=7),0,D3042/(7-E3042)*E3042*INDEX(Products!$E$2:$E$49,MATCH(C3042,Products!$A$2:$A$49,0)))</f>
        <v>0</v>
      </c>
    </row>
    <row r="3043" customFormat="false" ht="15" hidden="false" customHeight="false" outlineLevel="0" collapsed="false">
      <c r="A3043" s="36" t="n">
        <v>46230</v>
      </c>
      <c r="B3043" s="24" t="s">
        <v>63</v>
      </c>
      <c r="C3043" s="24" t="s">
        <v>165</v>
      </c>
      <c r="D3043" s="33" t="n">
        <v>59</v>
      </c>
      <c r="E3043" s="24" t="n">
        <v>0</v>
      </c>
      <c r="F3043" s="37" t="n">
        <f aca="false">DATE(YEAR(A3043),MONTH(A3043),1)</f>
        <v>46204</v>
      </c>
      <c r="G3043" s="24" t="str">
        <f aca="false">INDEX(Products!$C$2:$C$49,MATCH(C3043,Products!$A$2:$A$49,0))</f>
        <v>Household</v>
      </c>
      <c r="H3043" s="33" t="n">
        <f aca="false">D3043*INDEX(Products!$E$2:$E$49,MATCH(C3043,Products!$A$2:$A$49,0))</f>
        <v>11210</v>
      </c>
      <c r="I3043" s="33" t="n">
        <f aca="false">D3043*INDEX(Products!$D$2:$D$49,MATCH(C3043,Products!$A$2:$A$49,0))*(1+INDEX(Assumptions!$B$16:$B$20,MATCH(B3043,Assumptions!$A$16:$A$20,0)))</f>
        <v>8212.328</v>
      </c>
      <c r="J3043" s="33" t="n">
        <f aca="false">H3043-I3043</f>
        <v>2997.672</v>
      </c>
      <c r="K3043" s="33" t="n">
        <f aca="false">IF(OR(E3043=0,E3043&gt;=7),0,D3043/(7-E3043)*E3043*INDEX(Products!$E$2:$E$49,MATCH(C3043,Products!$A$2:$A$49,0)))</f>
        <v>0</v>
      </c>
    </row>
    <row r="3044" customFormat="false" ht="15" hidden="false" customHeight="false" outlineLevel="0" collapsed="false">
      <c r="A3044" s="36" t="n">
        <v>46237</v>
      </c>
      <c r="B3044" s="24" t="s">
        <v>63</v>
      </c>
      <c r="C3044" s="24" t="s">
        <v>165</v>
      </c>
      <c r="D3044" s="33" t="n">
        <v>62</v>
      </c>
      <c r="E3044" s="24" t="n">
        <v>0</v>
      </c>
      <c r="F3044" s="37" t="n">
        <f aca="false">DATE(YEAR(A3044),MONTH(A3044),1)</f>
        <v>46235</v>
      </c>
      <c r="G3044" s="24" t="str">
        <f aca="false">INDEX(Products!$C$2:$C$49,MATCH(C3044,Products!$A$2:$A$49,0))</f>
        <v>Household</v>
      </c>
      <c r="H3044" s="33" t="n">
        <f aca="false">D3044*INDEX(Products!$E$2:$E$49,MATCH(C3044,Products!$A$2:$A$49,0))</f>
        <v>11780</v>
      </c>
      <c r="I3044" s="33" t="n">
        <f aca="false">D3044*INDEX(Products!$D$2:$D$49,MATCH(C3044,Products!$A$2:$A$49,0))*(1+INDEX(Assumptions!$B$16:$B$20,MATCH(B3044,Assumptions!$A$16:$A$20,0)))</f>
        <v>8629.904</v>
      </c>
      <c r="J3044" s="33" t="n">
        <f aca="false">H3044-I3044</f>
        <v>3150.096</v>
      </c>
      <c r="K3044" s="33" t="n">
        <f aca="false">IF(OR(E3044=0,E3044&gt;=7),0,D3044/(7-E3044)*E3044*INDEX(Products!$E$2:$E$49,MATCH(C3044,Products!$A$2:$A$49,0)))</f>
        <v>0</v>
      </c>
    </row>
    <row r="3045" customFormat="false" ht="15" hidden="false" customHeight="false" outlineLevel="0" collapsed="false">
      <c r="A3045" s="36" t="n">
        <v>46244</v>
      </c>
      <c r="B3045" s="24" t="s">
        <v>63</v>
      </c>
      <c r="C3045" s="24" t="s">
        <v>165</v>
      </c>
      <c r="D3045" s="33" t="n">
        <v>45</v>
      </c>
      <c r="E3045" s="24" t="n">
        <v>0</v>
      </c>
      <c r="F3045" s="37" t="n">
        <f aca="false">DATE(YEAR(A3045),MONTH(A3045),1)</f>
        <v>46235</v>
      </c>
      <c r="G3045" s="24" t="str">
        <f aca="false">INDEX(Products!$C$2:$C$49,MATCH(C3045,Products!$A$2:$A$49,0))</f>
        <v>Household</v>
      </c>
      <c r="H3045" s="33" t="n">
        <f aca="false">D3045*INDEX(Products!$E$2:$E$49,MATCH(C3045,Products!$A$2:$A$49,0))</f>
        <v>8550</v>
      </c>
      <c r="I3045" s="33" t="n">
        <f aca="false">D3045*INDEX(Products!$D$2:$D$49,MATCH(C3045,Products!$A$2:$A$49,0))*(1+INDEX(Assumptions!$B$16:$B$20,MATCH(B3045,Assumptions!$A$16:$A$20,0)))</f>
        <v>6263.64</v>
      </c>
      <c r="J3045" s="33" t="n">
        <f aca="false">H3045-I3045</f>
        <v>2286.36</v>
      </c>
      <c r="K3045" s="33" t="n">
        <f aca="false">IF(OR(E3045=0,E3045&gt;=7),0,D3045/(7-E3045)*E3045*INDEX(Products!$E$2:$E$49,MATCH(C3045,Products!$A$2:$A$49,0)))</f>
        <v>0</v>
      </c>
    </row>
    <row r="3046" customFormat="false" ht="15" hidden="false" customHeight="false" outlineLevel="0" collapsed="false">
      <c r="A3046" s="36" t="n">
        <v>46251</v>
      </c>
      <c r="B3046" s="24" t="s">
        <v>63</v>
      </c>
      <c r="C3046" s="24" t="s">
        <v>165</v>
      </c>
      <c r="D3046" s="33" t="n">
        <v>49</v>
      </c>
      <c r="E3046" s="24" t="n">
        <v>0</v>
      </c>
      <c r="F3046" s="37" t="n">
        <f aca="false">DATE(YEAR(A3046),MONTH(A3046),1)</f>
        <v>46235</v>
      </c>
      <c r="G3046" s="24" t="str">
        <f aca="false">INDEX(Products!$C$2:$C$49,MATCH(C3046,Products!$A$2:$A$49,0))</f>
        <v>Household</v>
      </c>
      <c r="H3046" s="33" t="n">
        <f aca="false">D3046*INDEX(Products!$E$2:$E$49,MATCH(C3046,Products!$A$2:$A$49,0))</f>
        <v>9310</v>
      </c>
      <c r="I3046" s="33" t="n">
        <f aca="false">D3046*INDEX(Products!$D$2:$D$49,MATCH(C3046,Products!$A$2:$A$49,0))*(1+INDEX(Assumptions!$B$16:$B$20,MATCH(B3046,Assumptions!$A$16:$A$20,0)))</f>
        <v>6820.408</v>
      </c>
      <c r="J3046" s="33" t="n">
        <f aca="false">H3046-I3046</f>
        <v>2489.592</v>
      </c>
      <c r="K3046" s="33" t="n">
        <f aca="false">IF(OR(E3046=0,E3046&gt;=7),0,D3046/(7-E3046)*E3046*INDEX(Products!$E$2:$E$49,MATCH(C3046,Products!$A$2:$A$49,0)))</f>
        <v>0</v>
      </c>
    </row>
    <row r="3047" customFormat="false" ht="15" hidden="false" customHeight="false" outlineLevel="0" collapsed="false">
      <c r="A3047" s="36" t="n">
        <v>46258</v>
      </c>
      <c r="B3047" s="24" t="s">
        <v>63</v>
      </c>
      <c r="C3047" s="24" t="s">
        <v>165</v>
      </c>
      <c r="D3047" s="33" t="n">
        <v>63</v>
      </c>
      <c r="E3047" s="24" t="n">
        <v>0</v>
      </c>
      <c r="F3047" s="37" t="n">
        <f aca="false">DATE(YEAR(A3047),MONTH(A3047),1)</f>
        <v>46235</v>
      </c>
      <c r="G3047" s="24" t="str">
        <f aca="false">INDEX(Products!$C$2:$C$49,MATCH(C3047,Products!$A$2:$A$49,0))</f>
        <v>Household</v>
      </c>
      <c r="H3047" s="33" t="n">
        <f aca="false">D3047*INDEX(Products!$E$2:$E$49,MATCH(C3047,Products!$A$2:$A$49,0))</f>
        <v>11970</v>
      </c>
      <c r="I3047" s="33" t="n">
        <f aca="false">D3047*INDEX(Products!$D$2:$D$49,MATCH(C3047,Products!$A$2:$A$49,0))*(1+INDEX(Assumptions!$B$16:$B$20,MATCH(B3047,Assumptions!$A$16:$A$20,0)))</f>
        <v>8769.096</v>
      </c>
      <c r="J3047" s="33" t="n">
        <f aca="false">H3047-I3047</f>
        <v>3200.904</v>
      </c>
      <c r="K3047" s="33" t="n">
        <f aca="false">IF(OR(E3047=0,E3047&gt;=7),0,D3047/(7-E3047)*E3047*INDEX(Products!$E$2:$E$49,MATCH(C3047,Products!$A$2:$A$49,0)))</f>
        <v>0</v>
      </c>
    </row>
    <row r="3048" customFormat="false" ht="15" hidden="false" customHeight="false" outlineLevel="0" collapsed="false">
      <c r="A3048" s="36" t="n">
        <v>46265</v>
      </c>
      <c r="B3048" s="24" t="s">
        <v>63</v>
      </c>
      <c r="C3048" s="24" t="s">
        <v>165</v>
      </c>
      <c r="D3048" s="33" t="n">
        <v>69</v>
      </c>
      <c r="E3048" s="24" t="n">
        <v>0</v>
      </c>
      <c r="F3048" s="37" t="n">
        <f aca="false">DATE(YEAR(A3048),MONTH(A3048),1)</f>
        <v>46235</v>
      </c>
      <c r="G3048" s="24" t="str">
        <f aca="false">INDEX(Products!$C$2:$C$49,MATCH(C3048,Products!$A$2:$A$49,0))</f>
        <v>Household</v>
      </c>
      <c r="H3048" s="33" t="n">
        <f aca="false">D3048*INDEX(Products!$E$2:$E$49,MATCH(C3048,Products!$A$2:$A$49,0))</f>
        <v>13110</v>
      </c>
      <c r="I3048" s="33" t="n">
        <f aca="false">D3048*INDEX(Products!$D$2:$D$49,MATCH(C3048,Products!$A$2:$A$49,0))*(1+INDEX(Assumptions!$B$16:$B$20,MATCH(B3048,Assumptions!$A$16:$A$20,0)))</f>
        <v>9604.248</v>
      </c>
      <c r="J3048" s="33" t="n">
        <f aca="false">H3048-I3048</f>
        <v>3505.752</v>
      </c>
      <c r="K3048" s="33" t="n">
        <f aca="false">IF(OR(E3048=0,E3048&gt;=7),0,D3048/(7-E3048)*E3048*INDEX(Products!$E$2:$E$49,MATCH(C3048,Products!$A$2:$A$49,0)))</f>
        <v>0</v>
      </c>
    </row>
    <row r="3049" customFormat="false" ht="15" hidden="false" customHeight="false" outlineLevel="0" collapsed="false">
      <c r="A3049" s="36" t="n">
        <v>46272</v>
      </c>
      <c r="B3049" s="24" t="s">
        <v>63</v>
      </c>
      <c r="C3049" s="24" t="s">
        <v>165</v>
      </c>
      <c r="D3049" s="33" t="n">
        <v>56</v>
      </c>
      <c r="E3049" s="24" t="n">
        <v>0</v>
      </c>
      <c r="F3049" s="37" t="n">
        <f aca="false">DATE(YEAR(A3049),MONTH(A3049),1)</f>
        <v>46266</v>
      </c>
      <c r="G3049" s="24" t="str">
        <f aca="false">INDEX(Products!$C$2:$C$49,MATCH(C3049,Products!$A$2:$A$49,0))</f>
        <v>Household</v>
      </c>
      <c r="H3049" s="33" t="n">
        <f aca="false">D3049*INDEX(Products!$E$2:$E$49,MATCH(C3049,Products!$A$2:$A$49,0))</f>
        <v>10640</v>
      </c>
      <c r="I3049" s="33" t="n">
        <f aca="false">D3049*INDEX(Products!$D$2:$D$49,MATCH(C3049,Products!$A$2:$A$49,0))*(1+INDEX(Assumptions!$B$16:$B$20,MATCH(B3049,Assumptions!$A$16:$A$20,0)))</f>
        <v>7794.752</v>
      </c>
      <c r="J3049" s="33" t="n">
        <f aca="false">H3049-I3049</f>
        <v>2845.248</v>
      </c>
      <c r="K3049" s="33" t="n">
        <f aca="false">IF(OR(E3049=0,E3049&gt;=7),0,D3049/(7-E3049)*E3049*INDEX(Products!$E$2:$E$49,MATCH(C3049,Products!$A$2:$A$49,0)))</f>
        <v>0</v>
      </c>
    </row>
    <row r="3050" customFormat="false" ht="15" hidden="false" customHeight="false" outlineLevel="0" collapsed="false">
      <c r="A3050" s="36" t="n">
        <v>46279</v>
      </c>
      <c r="B3050" s="24" t="s">
        <v>63</v>
      </c>
      <c r="C3050" s="24" t="s">
        <v>165</v>
      </c>
      <c r="D3050" s="33" t="n">
        <v>91</v>
      </c>
      <c r="E3050" s="24" t="n">
        <v>0</v>
      </c>
      <c r="F3050" s="37" t="n">
        <f aca="false">DATE(YEAR(A3050),MONTH(A3050),1)</f>
        <v>46266</v>
      </c>
      <c r="G3050" s="24" t="str">
        <f aca="false">INDEX(Products!$C$2:$C$49,MATCH(C3050,Products!$A$2:$A$49,0))</f>
        <v>Household</v>
      </c>
      <c r="H3050" s="33" t="n">
        <f aca="false">D3050*INDEX(Products!$E$2:$E$49,MATCH(C3050,Products!$A$2:$A$49,0))</f>
        <v>17290</v>
      </c>
      <c r="I3050" s="33" t="n">
        <f aca="false">D3050*INDEX(Products!$D$2:$D$49,MATCH(C3050,Products!$A$2:$A$49,0))*(1+INDEX(Assumptions!$B$16:$B$20,MATCH(B3050,Assumptions!$A$16:$A$20,0)))</f>
        <v>12666.472</v>
      </c>
      <c r="J3050" s="33" t="n">
        <f aca="false">H3050-I3050</f>
        <v>4623.528</v>
      </c>
      <c r="K3050" s="33" t="n">
        <f aca="false">IF(OR(E3050=0,E3050&gt;=7),0,D3050/(7-E3050)*E3050*INDEX(Products!$E$2:$E$49,MATCH(C3050,Products!$A$2:$A$49,0)))</f>
        <v>0</v>
      </c>
    </row>
    <row r="3051" customFormat="false" ht="15" hidden="false" customHeight="false" outlineLevel="0" collapsed="false">
      <c r="A3051" s="36" t="n">
        <v>46286</v>
      </c>
      <c r="B3051" s="24" t="s">
        <v>63</v>
      </c>
      <c r="C3051" s="24" t="s">
        <v>165</v>
      </c>
      <c r="D3051" s="33" t="n">
        <v>62</v>
      </c>
      <c r="E3051" s="24" t="n">
        <v>0</v>
      </c>
      <c r="F3051" s="37" t="n">
        <f aca="false">DATE(YEAR(A3051),MONTH(A3051),1)</f>
        <v>46266</v>
      </c>
      <c r="G3051" s="24" t="str">
        <f aca="false">INDEX(Products!$C$2:$C$49,MATCH(C3051,Products!$A$2:$A$49,0))</f>
        <v>Household</v>
      </c>
      <c r="H3051" s="33" t="n">
        <f aca="false">D3051*INDEX(Products!$E$2:$E$49,MATCH(C3051,Products!$A$2:$A$49,0))</f>
        <v>11780</v>
      </c>
      <c r="I3051" s="33" t="n">
        <f aca="false">D3051*INDEX(Products!$D$2:$D$49,MATCH(C3051,Products!$A$2:$A$49,0))*(1+INDEX(Assumptions!$B$16:$B$20,MATCH(B3051,Assumptions!$A$16:$A$20,0)))</f>
        <v>8629.904</v>
      </c>
      <c r="J3051" s="33" t="n">
        <f aca="false">H3051-I3051</f>
        <v>3150.096</v>
      </c>
      <c r="K3051" s="33" t="n">
        <f aca="false">IF(OR(E3051=0,E3051&gt;=7),0,D3051/(7-E3051)*E3051*INDEX(Products!$E$2:$E$49,MATCH(C3051,Products!$A$2:$A$49,0)))</f>
        <v>0</v>
      </c>
    </row>
    <row r="3052" customFormat="false" ht="15" hidden="false" customHeight="false" outlineLevel="0" collapsed="false">
      <c r="A3052" s="36" t="n">
        <v>46118</v>
      </c>
      <c r="B3052" s="24" t="s">
        <v>63</v>
      </c>
      <c r="C3052" s="24" t="s">
        <v>167</v>
      </c>
      <c r="D3052" s="33" t="n">
        <v>41</v>
      </c>
      <c r="E3052" s="24" t="n">
        <v>0</v>
      </c>
      <c r="F3052" s="37" t="n">
        <f aca="false">DATE(YEAR(A3052),MONTH(A3052),1)</f>
        <v>46113</v>
      </c>
      <c r="G3052" s="24" t="str">
        <f aca="false">INDEX(Products!$C$2:$C$49,MATCH(C3052,Products!$A$2:$A$49,0))</f>
        <v>Household</v>
      </c>
      <c r="H3052" s="33" t="n">
        <f aca="false">D3052*INDEX(Products!$E$2:$E$49,MATCH(C3052,Products!$A$2:$A$49,0))</f>
        <v>6150</v>
      </c>
      <c r="I3052" s="33" t="n">
        <f aca="false">D3052*INDEX(Products!$D$2:$D$49,MATCH(C3052,Products!$A$2:$A$49,0))*(1+INDEX(Assumptions!$B$16:$B$20,MATCH(B3052,Assumptions!$A$16:$A$20,0)))</f>
        <v>4665.472</v>
      </c>
      <c r="J3052" s="33" t="n">
        <f aca="false">H3052-I3052</f>
        <v>1484.528</v>
      </c>
      <c r="K3052" s="33" t="n">
        <f aca="false">IF(OR(E3052=0,E3052&gt;=7),0,D3052/(7-E3052)*E3052*INDEX(Products!$E$2:$E$49,MATCH(C3052,Products!$A$2:$A$49,0)))</f>
        <v>0</v>
      </c>
    </row>
    <row r="3053" customFormat="false" ht="15" hidden="false" customHeight="false" outlineLevel="0" collapsed="false">
      <c r="A3053" s="36" t="n">
        <v>46125</v>
      </c>
      <c r="B3053" s="24" t="s">
        <v>63</v>
      </c>
      <c r="C3053" s="24" t="s">
        <v>167</v>
      </c>
      <c r="D3053" s="33" t="n">
        <v>48</v>
      </c>
      <c r="E3053" s="24" t="n">
        <v>0</v>
      </c>
      <c r="F3053" s="37" t="n">
        <f aca="false">DATE(YEAR(A3053),MONTH(A3053),1)</f>
        <v>46113</v>
      </c>
      <c r="G3053" s="24" t="str">
        <f aca="false">INDEX(Products!$C$2:$C$49,MATCH(C3053,Products!$A$2:$A$49,0))</f>
        <v>Household</v>
      </c>
      <c r="H3053" s="33" t="n">
        <f aca="false">D3053*INDEX(Products!$E$2:$E$49,MATCH(C3053,Products!$A$2:$A$49,0))</f>
        <v>7200</v>
      </c>
      <c r="I3053" s="33" t="n">
        <f aca="false">D3053*INDEX(Products!$D$2:$D$49,MATCH(C3053,Products!$A$2:$A$49,0))*(1+INDEX(Assumptions!$B$16:$B$20,MATCH(B3053,Assumptions!$A$16:$A$20,0)))</f>
        <v>5462.016</v>
      </c>
      <c r="J3053" s="33" t="n">
        <f aca="false">H3053-I3053</f>
        <v>1737.984</v>
      </c>
      <c r="K3053" s="33" t="n">
        <f aca="false">IF(OR(E3053=0,E3053&gt;=7),0,D3053/(7-E3053)*E3053*INDEX(Products!$E$2:$E$49,MATCH(C3053,Products!$A$2:$A$49,0)))</f>
        <v>0</v>
      </c>
    </row>
    <row r="3054" customFormat="false" ht="15" hidden="false" customHeight="false" outlineLevel="0" collapsed="false">
      <c r="A3054" s="36" t="n">
        <v>46132</v>
      </c>
      <c r="B3054" s="24" t="s">
        <v>63</v>
      </c>
      <c r="C3054" s="24" t="s">
        <v>167</v>
      </c>
      <c r="D3054" s="33" t="n">
        <v>52</v>
      </c>
      <c r="E3054" s="24" t="n">
        <v>0</v>
      </c>
      <c r="F3054" s="37" t="n">
        <f aca="false">DATE(YEAR(A3054),MONTH(A3054),1)</f>
        <v>46113</v>
      </c>
      <c r="G3054" s="24" t="str">
        <f aca="false">INDEX(Products!$C$2:$C$49,MATCH(C3054,Products!$A$2:$A$49,0))</f>
        <v>Household</v>
      </c>
      <c r="H3054" s="33" t="n">
        <f aca="false">D3054*INDEX(Products!$E$2:$E$49,MATCH(C3054,Products!$A$2:$A$49,0))</f>
        <v>7800</v>
      </c>
      <c r="I3054" s="33" t="n">
        <f aca="false">D3054*INDEX(Products!$D$2:$D$49,MATCH(C3054,Products!$A$2:$A$49,0))*(1+INDEX(Assumptions!$B$16:$B$20,MATCH(B3054,Assumptions!$A$16:$A$20,0)))</f>
        <v>5917.184</v>
      </c>
      <c r="J3054" s="33" t="n">
        <f aca="false">H3054-I3054</f>
        <v>1882.816</v>
      </c>
      <c r="K3054" s="33" t="n">
        <f aca="false">IF(OR(E3054=0,E3054&gt;=7),0,D3054/(7-E3054)*E3054*INDEX(Products!$E$2:$E$49,MATCH(C3054,Products!$A$2:$A$49,0)))</f>
        <v>0</v>
      </c>
    </row>
    <row r="3055" customFormat="false" ht="15" hidden="false" customHeight="false" outlineLevel="0" collapsed="false">
      <c r="A3055" s="36" t="n">
        <v>46139</v>
      </c>
      <c r="B3055" s="24" t="s">
        <v>63</v>
      </c>
      <c r="C3055" s="24" t="s">
        <v>167</v>
      </c>
      <c r="D3055" s="33" t="n">
        <v>53</v>
      </c>
      <c r="E3055" s="24" t="n">
        <v>0</v>
      </c>
      <c r="F3055" s="37" t="n">
        <f aca="false">DATE(YEAR(A3055),MONTH(A3055),1)</f>
        <v>46113</v>
      </c>
      <c r="G3055" s="24" t="str">
        <f aca="false">INDEX(Products!$C$2:$C$49,MATCH(C3055,Products!$A$2:$A$49,0))</f>
        <v>Household</v>
      </c>
      <c r="H3055" s="33" t="n">
        <f aca="false">D3055*INDEX(Products!$E$2:$E$49,MATCH(C3055,Products!$A$2:$A$49,0))</f>
        <v>7950</v>
      </c>
      <c r="I3055" s="33" t="n">
        <f aca="false">D3055*INDEX(Products!$D$2:$D$49,MATCH(C3055,Products!$A$2:$A$49,0))*(1+INDEX(Assumptions!$B$16:$B$20,MATCH(B3055,Assumptions!$A$16:$A$20,0)))</f>
        <v>6030.976</v>
      </c>
      <c r="J3055" s="33" t="n">
        <f aca="false">H3055-I3055</f>
        <v>1919.024</v>
      </c>
      <c r="K3055" s="33" t="n">
        <f aca="false">IF(OR(E3055=0,E3055&gt;=7),0,D3055/(7-E3055)*E3055*INDEX(Products!$E$2:$E$49,MATCH(C3055,Products!$A$2:$A$49,0)))</f>
        <v>0</v>
      </c>
    </row>
    <row r="3056" customFormat="false" ht="15" hidden="false" customHeight="false" outlineLevel="0" collapsed="false">
      <c r="A3056" s="36" t="n">
        <v>46146</v>
      </c>
      <c r="B3056" s="24" t="s">
        <v>63</v>
      </c>
      <c r="C3056" s="24" t="s">
        <v>167</v>
      </c>
      <c r="D3056" s="33" t="n">
        <v>50</v>
      </c>
      <c r="E3056" s="24" t="n">
        <v>0</v>
      </c>
      <c r="F3056" s="37" t="n">
        <f aca="false">DATE(YEAR(A3056),MONTH(A3056),1)</f>
        <v>46143</v>
      </c>
      <c r="G3056" s="24" t="str">
        <f aca="false">INDEX(Products!$C$2:$C$49,MATCH(C3056,Products!$A$2:$A$49,0))</f>
        <v>Household</v>
      </c>
      <c r="H3056" s="33" t="n">
        <f aca="false">D3056*INDEX(Products!$E$2:$E$49,MATCH(C3056,Products!$A$2:$A$49,0))</f>
        <v>7500</v>
      </c>
      <c r="I3056" s="33" t="n">
        <f aca="false">D3056*INDEX(Products!$D$2:$D$49,MATCH(C3056,Products!$A$2:$A$49,0))*(1+INDEX(Assumptions!$B$16:$B$20,MATCH(B3056,Assumptions!$A$16:$A$20,0)))</f>
        <v>5689.6</v>
      </c>
      <c r="J3056" s="33" t="n">
        <f aca="false">H3056-I3056</f>
        <v>1810.4</v>
      </c>
      <c r="K3056" s="33" t="n">
        <f aca="false">IF(OR(E3056=0,E3056&gt;=7),0,D3056/(7-E3056)*E3056*INDEX(Products!$E$2:$E$49,MATCH(C3056,Products!$A$2:$A$49,0)))</f>
        <v>0</v>
      </c>
    </row>
    <row r="3057" customFormat="false" ht="15" hidden="false" customHeight="false" outlineLevel="0" collapsed="false">
      <c r="A3057" s="36" t="n">
        <v>46153</v>
      </c>
      <c r="B3057" s="24" t="s">
        <v>63</v>
      </c>
      <c r="C3057" s="24" t="s">
        <v>167</v>
      </c>
      <c r="D3057" s="33" t="n">
        <v>49</v>
      </c>
      <c r="E3057" s="24" t="n">
        <v>0</v>
      </c>
      <c r="F3057" s="37" t="n">
        <f aca="false">DATE(YEAR(A3057),MONTH(A3057),1)</f>
        <v>46143</v>
      </c>
      <c r="G3057" s="24" t="str">
        <f aca="false">INDEX(Products!$C$2:$C$49,MATCH(C3057,Products!$A$2:$A$49,0))</f>
        <v>Household</v>
      </c>
      <c r="H3057" s="33" t="n">
        <f aca="false">D3057*INDEX(Products!$E$2:$E$49,MATCH(C3057,Products!$A$2:$A$49,0))</f>
        <v>7350</v>
      </c>
      <c r="I3057" s="33" t="n">
        <f aca="false">D3057*INDEX(Products!$D$2:$D$49,MATCH(C3057,Products!$A$2:$A$49,0))*(1+INDEX(Assumptions!$B$16:$B$20,MATCH(B3057,Assumptions!$A$16:$A$20,0)))</f>
        <v>5575.808</v>
      </c>
      <c r="J3057" s="33" t="n">
        <f aca="false">H3057-I3057</f>
        <v>1774.192</v>
      </c>
      <c r="K3057" s="33" t="n">
        <f aca="false">IF(OR(E3057=0,E3057&gt;=7),0,D3057/(7-E3057)*E3057*INDEX(Products!$E$2:$E$49,MATCH(C3057,Products!$A$2:$A$49,0)))</f>
        <v>0</v>
      </c>
    </row>
    <row r="3058" customFormat="false" ht="15" hidden="false" customHeight="false" outlineLevel="0" collapsed="false">
      <c r="A3058" s="36" t="n">
        <v>46160</v>
      </c>
      <c r="B3058" s="24" t="s">
        <v>63</v>
      </c>
      <c r="C3058" s="24" t="s">
        <v>167</v>
      </c>
      <c r="D3058" s="33" t="n">
        <v>39</v>
      </c>
      <c r="E3058" s="24" t="n">
        <v>0</v>
      </c>
      <c r="F3058" s="37" t="n">
        <f aca="false">DATE(YEAR(A3058),MONTH(A3058),1)</f>
        <v>46143</v>
      </c>
      <c r="G3058" s="24" t="str">
        <f aca="false">INDEX(Products!$C$2:$C$49,MATCH(C3058,Products!$A$2:$A$49,0))</f>
        <v>Household</v>
      </c>
      <c r="H3058" s="33" t="n">
        <f aca="false">D3058*INDEX(Products!$E$2:$E$49,MATCH(C3058,Products!$A$2:$A$49,0))</f>
        <v>5850</v>
      </c>
      <c r="I3058" s="33" t="n">
        <f aca="false">D3058*INDEX(Products!$D$2:$D$49,MATCH(C3058,Products!$A$2:$A$49,0))*(1+INDEX(Assumptions!$B$16:$B$20,MATCH(B3058,Assumptions!$A$16:$A$20,0)))</f>
        <v>4437.888</v>
      </c>
      <c r="J3058" s="33" t="n">
        <f aca="false">H3058-I3058</f>
        <v>1412.112</v>
      </c>
      <c r="K3058" s="33" t="n">
        <f aca="false">IF(OR(E3058=0,E3058&gt;=7),0,D3058/(7-E3058)*E3058*INDEX(Products!$E$2:$E$49,MATCH(C3058,Products!$A$2:$A$49,0)))</f>
        <v>0</v>
      </c>
    </row>
    <row r="3059" customFormat="false" ht="15" hidden="false" customHeight="false" outlineLevel="0" collapsed="false">
      <c r="A3059" s="36" t="n">
        <v>46167</v>
      </c>
      <c r="B3059" s="24" t="s">
        <v>63</v>
      </c>
      <c r="C3059" s="24" t="s">
        <v>167</v>
      </c>
      <c r="D3059" s="33" t="n">
        <v>42</v>
      </c>
      <c r="E3059" s="24" t="n">
        <v>0</v>
      </c>
      <c r="F3059" s="37" t="n">
        <f aca="false">DATE(YEAR(A3059),MONTH(A3059),1)</f>
        <v>46143</v>
      </c>
      <c r="G3059" s="24" t="str">
        <f aca="false">INDEX(Products!$C$2:$C$49,MATCH(C3059,Products!$A$2:$A$49,0))</f>
        <v>Household</v>
      </c>
      <c r="H3059" s="33" t="n">
        <f aca="false">D3059*INDEX(Products!$E$2:$E$49,MATCH(C3059,Products!$A$2:$A$49,0))</f>
        <v>6300</v>
      </c>
      <c r="I3059" s="33" t="n">
        <f aca="false">D3059*INDEX(Products!$D$2:$D$49,MATCH(C3059,Products!$A$2:$A$49,0))*(1+INDEX(Assumptions!$B$16:$B$20,MATCH(B3059,Assumptions!$A$16:$A$20,0)))</f>
        <v>4779.264</v>
      </c>
      <c r="J3059" s="33" t="n">
        <f aca="false">H3059-I3059</f>
        <v>1520.736</v>
      </c>
      <c r="K3059" s="33" t="n">
        <f aca="false">IF(OR(E3059=0,E3059&gt;=7),0,D3059/(7-E3059)*E3059*INDEX(Products!$E$2:$E$49,MATCH(C3059,Products!$A$2:$A$49,0)))</f>
        <v>0</v>
      </c>
    </row>
    <row r="3060" customFormat="false" ht="15" hidden="false" customHeight="false" outlineLevel="0" collapsed="false">
      <c r="A3060" s="36" t="n">
        <v>46174</v>
      </c>
      <c r="B3060" s="24" t="s">
        <v>63</v>
      </c>
      <c r="C3060" s="24" t="s">
        <v>167</v>
      </c>
      <c r="D3060" s="33" t="n">
        <v>50</v>
      </c>
      <c r="E3060" s="24" t="n">
        <v>0</v>
      </c>
      <c r="F3060" s="37" t="n">
        <f aca="false">DATE(YEAR(A3060),MONTH(A3060),1)</f>
        <v>46174</v>
      </c>
      <c r="G3060" s="24" t="str">
        <f aca="false">INDEX(Products!$C$2:$C$49,MATCH(C3060,Products!$A$2:$A$49,0))</f>
        <v>Household</v>
      </c>
      <c r="H3060" s="33" t="n">
        <f aca="false">D3060*INDEX(Products!$E$2:$E$49,MATCH(C3060,Products!$A$2:$A$49,0))</f>
        <v>7500</v>
      </c>
      <c r="I3060" s="33" t="n">
        <f aca="false">D3060*INDEX(Products!$D$2:$D$49,MATCH(C3060,Products!$A$2:$A$49,0))*(1+INDEX(Assumptions!$B$16:$B$20,MATCH(B3060,Assumptions!$A$16:$A$20,0)))</f>
        <v>5689.6</v>
      </c>
      <c r="J3060" s="33" t="n">
        <f aca="false">H3060-I3060</f>
        <v>1810.4</v>
      </c>
      <c r="K3060" s="33" t="n">
        <f aca="false">IF(OR(E3060=0,E3060&gt;=7),0,D3060/(7-E3060)*E3060*INDEX(Products!$E$2:$E$49,MATCH(C3060,Products!$A$2:$A$49,0)))</f>
        <v>0</v>
      </c>
    </row>
    <row r="3061" customFormat="false" ht="15" hidden="false" customHeight="false" outlineLevel="0" collapsed="false">
      <c r="A3061" s="36" t="n">
        <v>46181</v>
      </c>
      <c r="B3061" s="24" t="s">
        <v>63</v>
      </c>
      <c r="C3061" s="24" t="s">
        <v>167</v>
      </c>
      <c r="D3061" s="33" t="n">
        <v>52</v>
      </c>
      <c r="E3061" s="24" t="n">
        <v>0</v>
      </c>
      <c r="F3061" s="37" t="n">
        <f aca="false">DATE(YEAR(A3061),MONTH(A3061),1)</f>
        <v>46174</v>
      </c>
      <c r="G3061" s="24" t="str">
        <f aca="false">INDEX(Products!$C$2:$C$49,MATCH(C3061,Products!$A$2:$A$49,0))</f>
        <v>Household</v>
      </c>
      <c r="H3061" s="33" t="n">
        <f aca="false">D3061*INDEX(Products!$E$2:$E$49,MATCH(C3061,Products!$A$2:$A$49,0))</f>
        <v>7800</v>
      </c>
      <c r="I3061" s="33" t="n">
        <f aca="false">D3061*INDEX(Products!$D$2:$D$49,MATCH(C3061,Products!$A$2:$A$49,0))*(1+INDEX(Assumptions!$B$16:$B$20,MATCH(B3061,Assumptions!$A$16:$A$20,0)))</f>
        <v>5917.184</v>
      </c>
      <c r="J3061" s="33" t="n">
        <f aca="false">H3061-I3061</f>
        <v>1882.816</v>
      </c>
      <c r="K3061" s="33" t="n">
        <f aca="false">IF(OR(E3061=0,E3061&gt;=7),0,D3061/(7-E3061)*E3061*INDEX(Products!$E$2:$E$49,MATCH(C3061,Products!$A$2:$A$49,0)))</f>
        <v>0</v>
      </c>
    </row>
    <row r="3062" customFormat="false" ht="15" hidden="false" customHeight="false" outlineLevel="0" collapsed="false">
      <c r="A3062" s="36" t="n">
        <v>46188</v>
      </c>
      <c r="B3062" s="24" t="s">
        <v>63</v>
      </c>
      <c r="C3062" s="24" t="s">
        <v>167</v>
      </c>
      <c r="D3062" s="33" t="n">
        <v>51</v>
      </c>
      <c r="E3062" s="24" t="n">
        <v>0</v>
      </c>
      <c r="F3062" s="37" t="n">
        <f aca="false">DATE(YEAR(A3062),MONTH(A3062),1)</f>
        <v>46174</v>
      </c>
      <c r="G3062" s="24" t="str">
        <f aca="false">INDEX(Products!$C$2:$C$49,MATCH(C3062,Products!$A$2:$A$49,0))</f>
        <v>Household</v>
      </c>
      <c r="H3062" s="33" t="n">
        <f aca="false">D3062*INDEX(Products!$E$2:$E$49,MATCH(C3062,Products!$A$2:$A$49,0))</f>
        <v>7650</v>
      </c>
      <c r="I3062" s="33" t="n">
        <f aca="false">D3062*INDEX(Products!$D$2:$D$49,MATCH(C3062,Products!$A$2:$A$49,0))*(1+INDEX(Assumptions!$B$16:$B$20,MATCH(B3062,Assumptions!$A$16:$A$20,0)))</f>
        <v>5803.392</v>
      </c>
      <c r="J3062" s="33" t="n">
        <f aca="false">H3062-I3062</f>
        <v>1846.608</v>
      </c>
      <c r="K3062" s="33" t="n">
        <f aca="false">IF(OR(E3062=0,E3062&gt;=7),0,D3062/(7-E3062)*E3062*INDEX(Products!$E$2:$E$49,MATCH(C3062,Products!$A$2:$A$49,0)))</f>
        <v>0</v>
      </c>
    </row>
    <row r="3063" customFormat="false" ht="15" hidden="false" customHeight="false" outlineLevel="0" collapsed="false">
      <c r="A3063" s="36" t="n">
        <v>46195</v>
      </c>
      <c r="B3063" s="24" t="s">
        <v>63</v>
      </c>
      <c r="C3063" s="24" t="s">
        <v>167</v>
      </c>
      <c r="D3063" s="33" t="n">
        <v>53</v>
      </c>
      <c r="E3063" s="24" t="n">
        <v>0</v>
      </c>
      <c r="F3063" s="37" t="n">
        <f aca="false">DATE(YEAR(A3063),MONTH(A3063),1)</f>
        <v>46174</v>
      </c>
      <c r="G3063" s="24" t="str">
        <f aca="false">INDEX(Products!$C$2:$C$49,MATCH(C3063,Products!$A$2:$A$49,0))</f>
        <v>Household</v>
      </c>
      <c r="H3063" s="33" t="n">
        <f aca="false">D3063*INDEX(Products!$E$2:$E$49,MATCH(C3063,Products!$A$2:$A$49,0))</f>
        <v>7950</v>
      </c>
      <c r="I3063" s="33" t="n">
        <f aca="false">D3063*INDEX(Products!$D$2:$D$49,MATCH(C3063,Products!$A$2:$A$49,0))*(1+INDEX(Assumptions!$B$16:$B$20,MATCH(B3063,Assumptions!$A$16:$A$20,0)))</f>
        <v>6030.976</v>
      </c>
      <c r="J3063" s="33" t="n">
        <f aca="false">H3063-I3063</f>
        <v>1919.024</v>
      </c>
      <c r="K3063" s="33" t="n">
        <f aca="false">IF(OR(E3063=0,E3063&gt;=7),0,D3063/(7-E3063)*E3063*INDEX(Products!$E$2:$E$49,MATCH(C3063,Products!$A$2:$A$49,0)))</f>
        <v>0</v>
      </c>
    </row>
    <row r="3064" customFormat="false" ht="15" hidden="false" customHeight="false" outlineLevel="0" collapsed="false">
      <c r="A3064" s="36" t="n">
        <v>46202</v>
      </c>
      <c r="B3064" s="24" t="s">
        <v>63</v>
      </c>
      <c r="C3064" s="24" t="s">
        <v>167</v>
      </c>
      <c r="D3064" s="33" t="n">
        <v>38</v>
      </c>
      <c r="E3064" s="24" t="n">
        <v>0</v>
      </c>
      <c r="F3064" s="37" t="n">
        <f aca="false">DATE(YEAR(A3064),MONTH(A3064),1)</f>
        <v>46174</v>
      </c>
      <c r="G3064" s="24" t="str">
        <f aca="false">INDEX(Products!$C$2:$C$49,MATCH(C3064,Products!$A$2:$A$49,0))</f>
        <v>Household</v>
      </c>
      <c r="H3064" s="33" t="n">
        <f aca="false">D3064*INDEX(Products!$E$2:$E$49,MATCH(C3064,Products!$A$2:$A$49,0))</f>
        <v>5700</v>
      </c>
      <c r="I3064" s="33" t="n">
        <f aca="false">D3064*INDEX(Products!$D$2:$D$49,MATCH(C3064,Products!$A$2:$A$49,0))*(1+INDEX(Assumptions!$B$16:$B$20,MATCH(B3064,Assumptions!$A$16:$A$20,0)))</f>
        <v>4324.096</v>
      </c>
      <c r="J3064" s="33" t="n">
        <f aca="false">H3064-I3064</f>
        <v>1375.904</v>
      </c>
      <c r="K3064" s="33" t="n">
        <f aca="false">IF(OR(E3064=0,E3064&gt;=7),0,D3064/(7-E3064)*E3064*INDEX(Products!$E$2:$E$49,MATCH(C3064,Products!$A$2:$A$49,0)))</f>
        <v>0</v>
      </c>
    </row>
    <row r="3065" customFormat="false" ht="15" hidden="false" customHeight="false" outlineLevel="0" collapsed="false">
      <c r="A3065" s="36" t="n">
        <v>46209</v>
      </c>
      <c r="B3065" s="24" t="s">
        <v>63</v>
      </c>
      <c r="C3065" s="24" t="s">
        <v>167</v>
      </c>
      <c r="D3065" s="33" t="n">
        <v>50</v>
      </c>
      <c r="E3065" s="24" t="n">
        <v>0</v>
      </c>
      <c r="F3065" s="37" t="n">
        <f aca="false">DATE(YEAR(A3065),MONTH(A3065),1)</f>
        <v>46204</v>
      </c>
      <c r="G3065" s="24" t="str">
        <f aca="false">INDEX(Products!$C$2:$C$49,MATCH(C3065,Products!$A$2:$A$49,0))</f>
        <v>Household</v>
      </c>
      <c r="H3065" s="33" t="n">
        <f aca="false">D3065*INDEX(Products!$E$2:$E$49,MATCH(C3065,Products!$A$2:$A$49,0))</f>
        <v>7500</v>
      </c>
      <c r="I3065" s="33" t="n">
        <f aca="false">D3065*INDEX(Products!$D$2:$D$49,MATCH(C3065,Products!$A$2:$A$49,0))*(1+INDEX(Assumptions!$B$16:$B$20,MATCH(B3065,Assumptions!$A$16:$A$20,0)))</f>
        <v>5689.6</v>
      </c>
      <c r="J3065" s="33" t="n">
        <f aca="false">H3065-I3065</f>
        <v>1810.4</v>
      </c>
      <c r="K3065" s="33" t="n">
        <f aca="false">IF(OR(E3065=0,E3065&gt;=7),0,D3065/(7-E3065)*E3065*INDEX(Products!$E$2:$E$49,MATCH(C3065,Products!$A$2:$A$49,0)))</f>
        <v>0</v>
      </c>
    </row>
    <row r="3066" customFormat="false" ht="15" hidden="false" customHeight="false" outlineLevel="0" collapsed="false">
      <c r="A3066" s="36" t="n">
        <v>46216</v>
      </c>
      <c r="B3066" s="24" t="s">
        <v>63</v>
      </c>
      <c r="C3066" s="24" t="s">
        <v>167</v>
      </c>
      <c r="D3066" s="33" t="n">
        <v>45</v>
      </c>
      <c r="E3066" s="24" t="n">
        <v>0</v>
      </c>
      <c r="F3066" s="37" t="n">
        <f aca="false">DATE(YEAR(A3066),MONTH(A3066),1)</f>
        <v>46204</v>
      </c>
      <c r="G3066" s="24" t="str">
        <f aca="false">INDEX(Products!$C$2:$C$49,MATCH(C3066,Products!$A$2:$A$49,0))</f>
        <v>Household</v>
      </c>
      <c r="H3066" s="33" t="n">
        <f aca="false">D3066*INDEX(Products!$E$2:$E$49,MATCH(C3066,Products!$A$2:$A$49,0))</f>
        <v>6750</v>
      </c>
      <c r="I3066" s="33" t="n">
        <f aca="false">D3066*INDEX(Products!$D$2:$D$49,MATCH(C3066,Products!$A$2:$A$49,0))*(1+INDEX(Assumptions!$B$16:$B$20,MATCH(B3066,Assumptions!$A$16:$A$20,0)))</f>
        <v>5120.64</v>
      </c>
      <c r="J3066" s="33" t="n">
        <f aca="false">H3066-I3066</f>
        <v>1629.36</v>
      </c>
      <c r="K3066" s="33" t="n">
        <f aca="false">IF(OR(E3066=0,E3066&gt;=7),0,D3066/(7-E3066)*E3066*INDEX(Products!$E$2:$E$49,MATCH(C3066,Products!$A$2:$A$49,0)))</f>
        <v>0</v>
      </c>
    </row>
    <row r="3067" customFormat="false" ht="15" hidden="false" customHeight="false" outlineLevel="0" collapsed="false">
      <c r="A3067" s="36" t="n">
        <v>46223</v>
      </c>
      <c r="B3067" s="24" t="s">
        <v>63</v>
      </c>
      <c r="C3067" s="24" t="s">
        <v>167</v>
      </c>
      <c r="D3067" s="33" t="n">
        <v>49</v>
      </c>
      <c r="E3067" s="24" t="n">
        <v>0</v>
      </c>
      <c r="F3067" s="37" t="n">
        <f aca="false">DATE(YEAR(A3067),MONTH(A3067),1)</f>
        <v>46204</v>
      </c>
      <c r="G3067" s="24" t="str">
        <f aca="false">INDEX(Products!$C$2:$C$49,MATCH(C3067,Products!$A$2:$A$49,0))</f>
        <v>Household</v>
      </c>
      <c r="H3067" s="33" t="n">
        <f aca="false">D3067*INDEX(Products!$E$2:$E$49,MATCH(C3067,Products!$A$2:$A$49,0))</f>
        <v>7350</v>
      </c>
      <c r="I3067" s="33" t="n">
        <f aca="false">D3067*INDEX(Products!$D$2:$D$49,MATCH(C3067,Products!$A$2:$A$49,0))*(1+INDEX(Assumptions!$B$16:$B$20,MATCH(B3067,Assumptions!$A$16:$A$20,0)))</f>
        <v>5575.808</v>
      </c>
      <c r="J3067" s="33" t="n">
        <f aca="false">H3067-I3067</f>
        <v>1774.192</v>
      </c>
      <c r="K3067" s="33" t="n">
        <f aca="false">IF(OR(E3067=0,E3067&gt;=7),0,D3067/(7-E3067)*E3067*INDEX(Products!$E$2:$E$49,MATCH(C3067,Products!$A$2:$A$49,0)))</f>
        <v>0</v>
      </c>
    </row>
    <row r="3068" customFormat="false" ht="15" hidden="false" customHeight="false" outlineLevel="0" collapsed="false">
      <c r="A3068" s="36" t="n">
        <v>46230</v>
      </c>
      <c r="B3068" s="24" t="s">
        <v>63</v>
      </c>
      <c r="C3068" s="24" t="s">
        <v>167</v>
      </c>
      <c r="D3068" s="33" t="n">
        <v>45</v>
      </c>
      <c r="E3068" s="24" t="n">
        <v>0</v>
      </c>
      <c r="F3068" s="37" t="n">
        <f aca="false">DATE(YEAR(A3068),MONTH(A3068),1)</f>
        <v>46204</v>
      </c>
      <c r="G3068" s="24" t="str">
        <f aca="false">INDEX(Products!$C$2:$C$49,MATCH(C3068,Products!$A$2:$A$49,0))</f>
        <v>Household</v>
      </c>
      <c r="H3068" s="33" t="n">
        <f aca="false">D3068*INDEX(Products!$E$2:$E$49,MATCH(C3068,Products!$A$2:$A$49,0))</f>
        <v>6750</v>
      </c>
      <c r="I3068" s="33" t="n">
        <f aca="false">D3068*INDEX(Products!$D$2:$D$49,MATCH(C3068,Products!$A$2:$A$49,0))*(1+INDEX(Assumptions!$B$16:$B$20,MATCH(B3068,Assumptions!$A$16:$A$20,0)))</f>
        <v>5120.64</v>
      </c>
      <c r="J3068" s="33" t="n">
        <f aca="false">H3068-I3068</f>
        <v>1629.36</v>
      </c>
      <c r="K3068" s="33" t="n">
        <f aca="false">IF(OR(E3068=0,E3068&gt;=7),0,D3068/(7-E3068)*E3068*INDEX(Products!$E$2:$E$49,MATCH(C3068,Products!$A$2:$A$49,0)))</f>
        <v>0</v>
      </c>
    </row>
    <row r="3069" customFormat="false" ht="15" hidden="false" customHeight="false" outlineLevel="0" collapsed="false">
      <c r="A3069" s="36" t="n">
        <v>46237</v>
      </c>
      <c r="B3069" s="24" t="s">
        <v>63</v>
      </c>
      <c r="C3069" s="24" t="s">
        <v>167</v>
      </c>
      <c r="D3069" s="33" t="n">
        <v>38</v>
      </c>
      <c r="E3069" s="24" t="n">
        <v>0</v>
      </c>
      <c r="F3069" s="37" t="n">
        <f aca="false">DATE(YEAR(A3069),MONTH(A3069),1)</f>
        <v>46235</v>
      </c>
      <c r="G3069" s="24" t="str">
        <f aca="false">INDEX(Products!$C$2:$C$49,MATCH(C3069,Products!$A$2:$A$49,0))</f>
        <v>Household</v>
      </c>
      <c r="H3069" s="33" t="n">
        <f aca="false">D3069*INDEX(Products!$E$2:$E$49,MATCH(C3069,Products!$A$2:$A$49,0))</f>
        <v>5700</v>
      </c>
      <c r="I3069" s="33" t="n">
        <f aca="false">D3069*INDEX(Products!$D$2:$D$49,MATCH(C3069,Products!$A$2:$A$49,0))*(1+INDEX(Assumptions!$B$16:$B$20,MATCH(B3069,Assumptions!$A$16:$A$20,0)))</f>
        <v>4324.096</v>
      </c>
      <c r="J3069" s="33" t="n">
        <f aca="false">H3069-I3069</f>
        <v>1375.904</v>
      </c>
      <c r="K3069" s="33" t="n">
        <f aca="false">IF(OR(E3069=0,E3069&gt;=7),0,D3069/(7-E3069)*E3069*INDEX(Products!$E$2:$E$49,MATCH(C3069,Products!$A$2:$A$49,0)))</f>
        <v>0</v>
      </c>
    </row>
    <row r="3070" customFormat="false" ht="15" hidden="false" customHeight="false" outlineLevel="0" collapsed="false">
      <c r="A3070" s="36" t="n">
        <v>46244</v>
      </c>
      <c r="B3070" s="24" t="s">
        <v>63</v>
      </c>
      <c r="C3070" s="24" t="s">
        <v>167</v>
      </c>
      <c r="D3070" s="33" t="n">
        <v>34</v>
      </c>
      <c r="E3070" s="24" t="n">
        <v>0</v>
      </c>
      <c r="F3070" s="37" t="n">
        <f aca="false">DATE(YEAR(A3070),MONTH(A3070),1)</f>
        <v>46235</v>
      </c>
      <c r="G3070" s="24" t="str">
        <f aca="false">INDEX(Products!$C$2:$C$49,MATCH(C3070,Products!$A$2:$A$49,0))</f>
        <v>Household</v>
      </c>
      <c r="H3070" s="33" t="n">
        <f aca="false">D3070*INDEX(Products!$E$2:$E$49,MATCH(C3070,Products!$A$2:$A$49,0))</f>
        <v>5100</v>
      </c>
      <c r="I3070" s="33" t="n">
        <f aca="false">D3070*INDEX(Products!$D$2:$D$49,MATCH(C3070,Products!$A$2:$A$49,0))*(1+INDEX(Assumptions!$B$16:$B$20,MATCH(B3070,Assumptions!$A$16:$A$20,0)))</f>
        <v>3868.928</v>
      </c>
      <c r="J3070" s="33" t="n">
        <f aca="false">H3070-I3070</f>
        <v>1231.072</v>
      </c>
      <c r="K3070" s="33" t="n">
        <f aca="false">IF(OR(E3070=0,E3070&gt;=7),0,D3070/(7-E3070)*E3070*INDEX(Products!$E$2:$E$49,MATCH(C3070,Products!$A$2:$A$49,0)))</f>
        <v>0</v>
      </c>
    </row>
    <row r="3071" customFormat="false" ht="15" hidden="false" customHeight="false" outlineLevel="0" collapsed="false">
      <c r="A3071" s="36" t="n">
        <v>46251</v>
      </c>
      <c r="B3071" s="24" t="s">
        <v>63</v>
      </c>
      <c r="C3071" s="24" t="s">
        <v>167</v>
      </c>
      <c r="D3071" s="33" t="n">
        <v>32</v>
      </c>
      <c r="E3071" s="24" t="n">
        <v>0</v>
      </c>
      <c r="F3071" s="37" t="n">
        <f aca="false">DATE(YEAR(A3071),MONTH(A3071),1)</f>
        <v>46235</v>
      </c>
      <c r="G3071" s="24" t="str">
        <f aca="false">INDEX(Products!$C$2:$C$49,MATCH(C3071,Products!$A$2:$A$49,0))</f>
        <v>Household</v>
      </c>
      <c r="H3071" s="33" t="n">
        <f aca="false">D3071*INDEX(Products!$E$2:$E$49,MATCH(C3071,Products!$A$2:$A$49,0))</f>
        <v>4800</v>
      </c>
      <c r="I3071" s="33" t="n">
        <f aca="false">D3071*INDEX(Products!$D$2:$D$49,MATCH(C3071,Products!$A$2:$A$49,0))*(1+INDEX(Assumptions!$B$16:$B$20,MATCH(B3071,Assumptions!$A$16:$A$20,0)))</f>
        <v>3641.344</v>
      </c>
      <c r="J3071" s="33" t="n">
        <f aca="false">H3071-I3071</f>
        <v>1158.656</v>
      </c>
      <c r="K3071" s="33" t="n">
        <f aca="false">IF(OR(E3071=0,E3071&gt;=7),0,D3071/(7-E3071)*E3071*INDEX(Products!$E$2:$E$49,MATCH(C3071,Products!$A$2:$A$49,0)))</f>
        <v>0</v>
      </c>
    </row>
    <row r="3072" customFormat="false" ht="15" hidden="false" customHeight="false" outlineLevel="0" collapsed="false">
      <c r="A3072" s="36" t="n">
        <v>46258</v>
      </c>
      <c r="B3072" s="24" t="s">
        <v>63</v>
      </c>
      <c r="C3072" s="24" t="s">
        <v>167</v>
      </c>
      <c r="D3072" s="33" t="n">
        <v>50</v>
      </c>
      <c r="E3072" s="24" t="n">
        <v>0</v>
      </c>
      <c r="F3072" s="37" t="n">
        <f aca="false">DATE(YEAR(A3072),MONTH(A3072),1)</f>
        <v>46235</v>
      </c>
      <c r="G3072" s="24" t="str">
        <f aca="false">INDEX(Products!$C$2:$C$49,MATCH(C3072,Products!$A$2:$A$49,0))</f>
        <v>Household</v>
      </c>
      <c r="H3072" s="33" t="n">
        <f aca="false">D3072*INDEX(Products!$E$2:$E$49,MATCH(C3072,Products!$A$2:$A$49,0))</f>
        <v>7500</v>
      </c>
      <c r="I3072" s="33" t="n">
        <f aca="false">D3072*INDEX(Products!$D$2:$D$49,MATCH(C3072,Products!$A$2:$A$49,0))*(1+INDEX(Assumptions!$B$16:$B$20,MATCH(B3072,Assumptions!$A$16:$A$20,0)))</f>
        <v>5689.6</v>
      </c>
      <c r="J3072" s="33" t="n">
        <f aca="false">H3072-I3072</f>
        <v>1810.4</v>
      </c>
      <c r="K3072" s="33" t="n">
        <f aca="false">IF(OR(E3072=0,E3072&gt;=7),0,D3072/(7-E3072)*E3072*INDEX(Products!$E$2:$E$49,MATCH(C3072,Products!$A$2:$A$49,0)))</f>
        <v>0</v>
      </c>
    </row>
    <row r="3073" customFormat="false" ht="15" hidden="false" customHeight="false" outlineLevel="0" collapsed="false">
      <c r="A3073" s="36" t="n">
        <v>46265</v>
      </c>
      <c r="B3073" s="24" t="s">
        <v>63</v>
      </c>
      <c r="C3073" s="24" t="s">
        <v>167</v>
      </c>
      <c r="D3073" s="33" t="n">
        <v>51</v>
      </c>
      <c r="E3073" s="24" t="n">
        <v>0</v>
      </c>
      <c r="F3073" s="37" t="n">
        <f aca="false">DATE(YEAR(A3073),MONTH(A3073),1)</f>
        <v>46235</v>
      </c>
      <c r="G3073" s="24" t="str">
        <f aca="false">INDEX(Products!$C$2:$C$49,MATCH(C3073,Products!$A$2:$A$49,0))</f>
        <v>Household</v>
      </c>
      <c r="H3073" s="33" t="n">
        <f aca="false">D3073*INDEX(Products!$E$2:$E$49,MATCH(C3073,Products!$A$2:$A$49,0))</f>
        <v>7650</v>
      </c>
      <c r="I3073" s="33" t="n">
        <f aca="false">D3073*INDEX(Products!$D$2:$D$49,MATCH(C3073,Products!$A$2:$A$49,0))*(1+INDEX(Assumptions!$B$16:$B$20,MATCH(B3073,Assumptions!$A$16:$A$20,0)))</f>
        <v>5803.392</v>
      </c>
      <c r="J3073" s="33" t="n">
        <f aca="false">H3073-I3073</f>
        <v>1846.608</v>
      </c>
      <c r="K3073" s="33" t="n">
        <f aca="false">IF(OR(E3073=0,E3073&gt;=7),0,D3073/(7-E3073)*E3073*INDEX(Products!$E$2:$E$49,MATCH(C3073,Products!$A$2:$A$49,0)))</f>
        <v>0</v>
      </c>
    </row>
    <row r="3074" customFormat="false" ht="15" hidden="false" customHeight="false" outlineLevel="0" collapsed="false">
      <c r="A3074" s="36" t="n">
        <v>46272</v>
      </c>
      <c r="B3074" s="24" t="s">
        <v>63</v>
      </c>
      <c r="C3074" s="24" t="s">
        <v>167</v>
      </c>
      <c r="D3074" s="33" t="n">
        <v>36</v>
      </c>
      <c r="E3074" s="24" t="n">
        <v>0</v>
      </c>
      <c r="F3074" s="37" t="n">
        <f aca="false">DATE(YEAR(A3074),MONTH(A3074),1)</f>
        <v>46266</v>
      </c>
      <c r="G3074" s="24" t="str">
        <f aca="false">INDEX(Products!$C$2:$C$49,MATCH(C3074,Products!$A$2:$A$49,0))</f>
        <v>Household</v>
      </c>
      <c r="H3074" s="33" t="n">
        <f aca="false">D3074*INDEX(Products!$E$2:$E$49,MATCH(C3074,Products!$A$2:$A$49,0))</f>
        <v>5400</v>
      </c>
      <c r="I3074" s="33" t="n">
        <f aca="false">D3074*INDEX(Products!$D$2:$D$49,MATCH(C3074,Products!$A$2:$A$49,0))*(1+INDEX(Assumptions!$B$16:$B$20,MATCH(B3074,Assumptions!$A$16:$A$20,0)))</f>
        <v>4096.512</v>
      </c>
      <c r="J3074" s="33" t="n">
        <f aca="false">H3074-I3074</f>
        <v>1303.488</v>
      </c>
      <c r="K3074" s="33" t="n">
        <f aca="false">IF(OR(E3074=0,E3074&gt;=7),0,D3074/(7-E3074)*E3074*INDEX(Products!$E$2:$E$49,MATCH(C3074,Products!$A$2:$A$49,0)))</f>
        <v>0</v>
      </c>
    </row>
    <row r="3075" customFormat="false" ht="15" hidden="false" customHeight="false" outlineLevel="0" collapsed="false">
      <c r="A3075" s="36" t="n">
        <v>46279</v>
      </c>
      <c r="B3075" s="24" t="s">
        <v>63</v>
      </c>
      <c r="C3075" s="24" t="s">
        <v>167</v>
      </c>
      <c r="D3075" s="33" t="n">
        <v>47</v>
      </c>
      <c r="E3075" s="24" t="n">
        <v>0</v>
      </c>
      <c r="F3075" s="37" t="n">
        <f aca="false">DATE(YEAR(A3075),MONTH(A3075),1)</f>
        <v>46266</v>
      </c>
      <c r="G3075" s="24" t="str">
        <f aca="false">INDEX(Products!$C$2:$C$49,MATCH(C3075,Products!$A$2:$A$49,0))</f>
        <v>Household</v>
      </c>
      <c r="H3075" s="33" t="n">
        <f aca="false">D3075*INDEX(Products!$E$2:$E$49,MATCH(C3075,Products!$A$2:$A$49,0))</f>
        <v>7050</v>
      </c>
      <c r="I3075" s="33" t="n">
        <f aca="false">D3075*INDEX(Products!$D$2:$D$49,MATCH(C3075,Products!$A$2:$A$49,0))*(1+INDEX(Assumptions!$B$16:$B$20,MATCH(B3075,Assumptions!$A$16:$A$20,0)))</f>
        <v>5348.224</v>
      </c>
      <c r="J3075" s="33" t="n">
        <f aca="false">H3075-I3075</f>
        <v>1701.776</v>
      </c>
      <c r="K3075" s="33" t="n">
        <f aca="false">IF(OR(E3075=0,E3075&gt;=7),0,D3075/(7-E3075)*E3075*INDEX(Products!$E$2:$E$49,MATCH(C3075,Products!$A$2:$A$49,0)))</f>
        <v>0</v>
      </c>
    </row>
    <row r="3076" customFormat="false" ht="15" hidden="false" customHeight="false" outlineLevel="0" collapsed="false">
      <c r="A3076" s="36" t="n">
        <v>46286</v>
      </c>
      <c r="B3076" s="24" t="s">
        <v>63</v>
      </c>
      <c r="C3076" s="24" t="s">
        <v>167</v>
      </c>
      <c r="D3076" s="33" t="n">
        <v>49</v>
      </c>
      <c r="E3076" s="24" t="n">
        <v>0</v>
      </c>
      <c r="F3076" s="37" t="n">
        <f aca="false">DATE(YEAR(A3076),MONTH(A3076),1)</f>
        <v>46266</v>
      </c>
      <c r="G3076" s="24" t="str">
        <f aca="false">INDEX(Products!$C$2:$C$49,MATCH(C3076,Products!$A$2:$A$49,0))</f>
        <v>Household</v>
      </c>
      <c r="H3076" s="33" t="n">
        <f aca="false">D3076*INDEX(Products!$E$2:$E$49,MATCH(C3076,Products!$A$2:$A$49,0))</f>
        <v>7350</v>
      </c>
      <c r="I3076" s="33" t="n">
        <f aca="false">D3076*INDEX(Products!$D$2:$D$49,MATCH(C3076,Products!$A$2:$A$49,0))*(1+INDEX(Assumptions!$B$16:$B$20,MATCH(B3076,Assumptions!$A$16:$A$20,0)))</f>
        <v>5575.808</v>
      </c>
      <c r="J3076" s="33" t="n">
        <f aca="false">H3076-I3076</f>
        <v>1774.192</v>
      </c>
      <c r="K3076" s="33" t="n">
        <f aca="false">IF(OR(E3076=0,E3076&gt;=7),0,D3076/(7-E3076)*E3076*INDEX(Products!$E$2:$E$49,MATCH(C3076,Products!$A$2:$A$49,0)))</f>
        <v>0</v>
      </c>
    </row>
    <row r="3077" customFormat="false" ht="15" hidden="false" customHeight="false" outlineLevel="0" collapsed="false">
      <c r="A3077" s="36" t="n">
        <v>46118</v>
      </c>
      <c r="B3077" s="24" t="s">
        <v>63</v>
      </c>
      <c r="C3077" s="24" t="s">
        <v>169</v>
      </c>
      <c r="D3077" s="33" t="n">
        <v>46</v>
      </c>
      <c r="E3077" s="24" t="n">
        <v>0</v>
      </c>
      <c r="F3077" s="37" t="n">
        <f aca="false">DATE(YEAR(A3077),MONTH(A3077),1)</f>
        <v>46113</v>
      </c>
      <c r="G3077" s="24" t="str">
        <f aca="false">INDEX(Products!$C$2:$C$49,MATCH(C3077,Products!$A$2:$A$49,0))</f>
        <v>Household</v>
      </c>
      <c r="H3077" s="33" t="n">
        <f aca="false">D3077*INDEX(Products!$E$2:$E$49,MATCH(C3077,Products!$A$2:$A$49,0))</f>
        <v>19320</v>
      </c>
      <c r="I3077" s="33" t="n">
        <f aca="false">D3077*INDEX(Products!$D$2:$D$49,MATCH(C3077,Products!$A$2:$A$49,0))*(1+INDEX(Assumptions!$B$16:$B$20,MATCH(B3077,Assumptions!$A$16:$A$20,0)))</f>
        <v>14675.104</v>
      </c>
      <c r="J3077" s="33" t="n">
        <f aca="false">H3077-I3077</f>
        <v>4644.896</v>
      </c>
      <c r="K3077" s="33" t="n">
        <f aca="false">IF(OR(E3077=0,E3077&gt;=7),0,D3077/(7-E3077)*E3077*INDEX(Products!$E$2:$E$49,MATCH(C3077,Products!$A$2:$A$49,0)))</f>
        <v>0</v>
      </c>
    </row>
    <row r="3078" customFormat="false" ht="15" hidden="false" customHeight="false" outlineLevel="0" collapsed="false">
      <c r="A3078" s="36" t="n">
        <v>46125</v>
      </c>
      <c r="B3078" s="24" t="s">
        <v>63</v>
      </c>
      <c r="C3078" s="24" t="s">
        <v>169</v>
      </c>
      <c r="D3078" s="33" t="n">
        <v>48</v>
      </c>
      <c r="E3078" s="24" t="n">
        <v>0</v>
      </c>
      <c r="F3078" s="37" t="n">
        <f aca="false">DATE(YEAR(A3078),MONTH(A3078),1)</f>
        <v>46113</v>
      </c>
      <c r="G3078" s="24" t="str">
        <f aca="false">INDEX(Products!$C$2:$C$49,MATCH(C3078,Products!$A$2:$A$49,0))</f>
        <v>Household</v>
      </c>
      <c r="H3078" s="33" t="n">
        <f aca="false">D3078*INDEX(Products!$E$2:$E$49,MATCH(C3078,Products!$A$2:$A$49,0))</f>
        <v>20160</v>
      </c>
      <c r="I3078" s="33" t="n">
        <f aca="false">D3078*INDEX(Products!$D$2:$D$49,MATCH(C3078,Products!$A$2:$A$49,0))*(1+INDEX(Assumptions!$B$16:$B$20,MATCH(B3078,Assumptions!$A$16:$A$20,0)))</f>
        <v>15313.152</v>
      </c>
      <c r="J3078" s="33" t="n">
        <f aca="false">H3078-I3078</f>
        <v>4846.848</v>
      </c>
      <c r="K3078" s="33" t="n">
        <f aca="false">IF(OR(E3078=0,E3078&gt;=7),0,D3078/(7-E3078)*E3078*INDEX(Products!$E$2:$E$49,MATCH(C3078,Products!$A$2:$A$49,0)))</f>
        <v>0</v>
      </c>
    </row>
    <row r="3079" customFormat="false" ht="15" hidden="false" customHeight="false" outlineLevel="0" collapsed="false">
      <c r="A3079" s="36" t="n">
        <v>46132</v>
      </c>
      <c r="B3079" s="24" t="s">
        <v>63</v>
      </c>
      <c r="C3079" s="24" t="s">
        <v>169</v>
      </c>
      <c r="D3079" s="33" t="n">
        <v>43</v>
      </c>
      <c r="E3079" s="24" t="n">
        <v>0</v>
      </c>
      <c r="F3079" s="37" t="n">
        <f aca="false">DATE(YEAR(A3079),MONTH(A3079),1)</f>
        <v>46113</v>
      </c>
      <c r="G3079" s="24" t="str">
        <f aca="false">INDEX(Products!$C$2:$C$49,MATCH(C3079,Products!$A$2:$A$49,0))</f>
        <v>Household</v>
      </c>
      <c r="H3079" s="33" t="n">
        <f aca="false">D3079*INDEX(Products!$E$2:$E$49,MATCH(C3079,Products!$A$2:$A$49,0))</f>
        <v>18060</v>
      </c>
      <c r="I3079" s="33" t="n">
        <f aca="false">D3079*INDEX(Products!$D$2:$D$49,MATCH(C3079,Products!$A$2:$A$49,0))*(1+INDEX(Assumptions!$B$16:$B$20,MATCH(B3079,Assumptions!$A$16:$A$20,0)))</f>
        <v>13718.032</v>
      </c>
      <c r="J3079" s="33" t="n">
        <f aca="false">H3079-I3079</f>
        <v>4341.968</v>
      </c>
      <c r="K3079" s="33" t="n">
        <f aca="false">IF(OR(E3079=0,E3079&gt;=7),0,D3079/(7-E3079)*E3079*INDEX(Products!$E$2:$E$49,MATCH(C3079,Products!$A$2:$A$49,0)))</f>
        <v>0</v>
      </c>
    </row>
    <row r="3080" customFormat="false" ht="15" hidden="false" customHeight="false" outlineLevel="0" collapsed="false">
      <c r="A3080" s="36" t="n">
        <v>46139</v>
      </c>
      <c r="B3080" s="24" t="s">
        <v>63</v>
      </c>
      <c r="C3080" s="24" t="s">
        <v>169</v>
      </c>
      <c r="D3080" s="33" t="n">
        <v>47</v>
      </c>
      <c r="E3080" s="24" t="n">
        <v>0</v>
      </c>
      <c r="F3080" s="37" t="n">
        <f aca="false">DATE(YEAR(A3080),MONTH(A3080),1)</f>
        <v>46113</v>
      </c>
      <c r="G3080" s="24" t="str">
        <f aca="false">INDEX(Products!$C$2:$C$49,MATCH(C3080,Products!$A$2:$A$49,0))</f>
        <v>Household</v>
      </c>
      <c r="H3080" s="33" t="n">
        <f aca="false">D3080*INDEX(Products!$E$2:$E$49,MATCH(C3080,Products!$A$2:$A$49,0))</f>
        <v>19740</v>
      </c>
      <c r="I3080" s="33" t="n">
        <f aca="false">D3080*INDEX(Products!$D$2:$D$49,MATCH(C3080,Products!$A$2:$A$49,0))*(1+INDEX(Assumptions!$B$16:$B$20,MATCH(B3080,Assumptions!$A$16:$A$20,0)))</f>
        <v>14994.128</v>
      </c>
      <c r="J3080" s="33" t="n">
        <f aca="false">H3080-I3080</f>
        <v>4745.872</v>
      </c>
      <c r="K3080" s="33" t="n">
        <f aca="false">IF(OR(E3080=0,E3080&gt;=7),0,D3080/(7-E3080)*E3080*INDEX(Products!$E$2:$E$49,MATCH(C3080,Products!$A$2:$A$49,0)))</f>
        <v>0</v>
      </c>
    </row>
    <row r="3081" customFormat="false" ht="15" hidden="false" customHeight="false" outlineLevel="0" collapsed="false">
      <c r="A3081" s="36" t="n">
        <v>46146</v>
      </c>
      <c r="B3081" s="24" t="s">
        <v>63</v>
      </c>
      <c r="C3081" s="24" t="s">
        <v>169</v>
      </c>
      <c r="D3081" s="33" t="n">
        <v>40</v>
      </c>
      <c r="E3081" s="24" t="n">
        <v>0</v>
      </c>
      <c r="F3081" s="37" t="n">
        <f aca="false">DATE(YEAR(A3081),MONTH(A3081),1)</f>
        <v>46143</v>
      </c>
      <c r="G3081" s="24" t="str">
        <f aca="false">INDEX(Products!$C$2:$C$49,MATCH(C3081,Products!$A$2:$A$49,0))</f>
        <v>Household</v>
      </c>
      <c r="H3081" s="33" t="n">
        <f aca="false">D3081*INDEX(Products!$E$2:$E$49,MATCH(C3081,Products!$A$2:$A$49,0))</f>
        <v>16800</v>
      </c>
      <c r="I3081" s="33" t="n">
        <f aca="false">D3081*INDEX(Products!$D$2:$D$49,MATCH(C3081,Products!$A$2:$A$49,0))*(1+INDEX(Assumptions!$B$16:$B$20,MATCH(B3081,Assumptions!$A$16:$A$20,0)))</f>
        <v>12760.96</v>
      </c>
      <c r="J3081" s="33" t="n">
        <f aca="false">H3081-I3081</f>
        <v>4039.04</v>
      </c>
      <c r="K3081" s="33" t="n">
        <f aca="false">IF(OR(E3081=0,E3081&gt;=7),0,D3081/(7-E3081)*E3081*INDEX(Products!$E$2:$E$49,MATCH(C3081,Products!$A$2:$A$49,0)))</f>
        <v>0</v>
      </c>
    </row>
    <row r="3082" customFormat="false" ht="15" hidden="false" customHeight="false" outlineLevel="0" collapsed="false">
      <c r="A3082" s="36" t="n">
        <v>46153</v>
      </c>
      <c r="B3082" s="24" t="s">
        <v>63</v>
      </c>
      <c r="C3082" s="24" t="s">
        <v>169</v>
      </c>
      <c r="D3082" s="33" t="n">
        <v>34</v>
      </c>
      <c r="E3082" s="24" t="n">
        <v>0</v>
      </c>
      <c r="F3082" s="37" t="n">
        <f aca="false">DATE(YEAR(A3082),MONTH(A3082),1)</f>
        <v>46143</v>
      </c>
      <c r="G3082" s="24" t="str">
        <f aca="false">INDEX(Products!$C$2:$C$49,MATCH(C3082,Products!$A$2:$A$49,0))</f>
        <v>Household</v>
      </c>
      <c r="H3082" s="33" t="n">
        <f aca="false">D3082*INDEX(Products!$E$2:$E$49,MATCH(C3082,Products!$A$2:$A$49,0))</f>
        <v>14280</v>
      </c>
      <c r="I3082" s="33" t="n">
        <f aca="false">D3082*INDEX(Products!$D$2:$D$49,MATCH(C3082,Products!$A$2:$A$49,0))*(1+INDEX(Assumptions!$B$16:$B$20,MATCH(B3082,Assumptions!$A$16:$A$20,0)))</f>
        <v>10846.816</v>
      </c>
      <c r="J3082" s="33" t="n">
        <f aca="false">H3082-I3082</f>
        <v>3433.184</v>
      </c>
      <c r="K3082" s="33" t="n">
        <f aca="false">IF(OR(E3082=0,E3082&gt;=7),0,D3082/(7-E3082)*E3082*INDEX(Products!$E$2:$E$49,MATCH(C3082,Products!$A$2:$A$49,0)))</f>
        <v>0</v>
      </c>
    </row>
    <row r="3083" customFormat="false" ht="15" hidden="false" customHeight="false" outlineLevel="0" collapsed="false">
      <c r="A3083" s="36" t="n">
        <v>46160</v>
      </c>
      <c r="B3083" s="24" t="s">
        <v>63</v>
      </c>
      <c r="C3083" s="24" t="s">
        <v>169</v>
      </c>
      <c r="D3083" s="33" t="n">
        <v>30</v>
      </c>
      <c r="E3083" s="24" t="n">
        <v>0</v>
      </c>
      <c r="F3083" s="37" t="n">
        <f aca="false">DATE(YEAR(A3083),MONTH(A3083),1)</f>
        <v>46143</v>
      </c>
      <c r="G3083" s="24" t="str">
        <f aca="false">INDEX(Products!$C$2:$C$49,MATCH(C3083,Products!$A$2:$A$49,0))</f>
        <v>Household</v>
      </c>
      <c r="H3083" s="33" t="n">
        <f aca="false">D3083*INDEX(Products!$E$2:$E$49,MATCH(C3083,Products!$A$2:$A$49,0))</f>
        <v>12600</v>
      </c>
      <c r="I3083" s="33" t="n">
        <f aca="false">D3083*INDEX(Products!$D$2:$D$49,MATCH(C3083,Products!$A$2:$A$49,0))*(1+INDEX(Assumptions!$B$16:$B$20,MATCH(B3083,Assumptions!$A$16:$A$20,0)))</f>
        <v>9570.72</v>
      </c>
      <c r="J3083" s="33" t="n">
        <f aca="false">H3083-I3083</f>
        <v>3029.28</v>
      </c>
      <c r="K3083" s="33" t="n">
        <f aca="false">IF(OR(E3083=0,E3083&gt;=7),0,D3083/(7-E3083)*E3083*INDEX(Products!$E$2:$E$49,MATCH(C3083,Products!$A$2:$A$49,0)))</f>
        <v>0</v>
      </c>
    </row>
    <row r="3084" customFormat="false" ht="15" hidden="false" customHeight="false" outlineLevel="0" collapsed="false">
      <c r="A3084" s="36" t="n">
        <v>46167</v>
      </c>
      <c r="B3084" s="24" t="s">
        <v>63</v>
      </c>
      <c r="C3084" s="24" t="s">
        <v>169</v>
      </c>
      <c r="D3084" s="33" t="n">
        <v>44</v>
      </c>
      <c r="E3084" s="24" t="n">
        <v>0</v>
      </c>
      <c r="F3084" s="37" t="n">
        <f aca="false">DATE(YEAR(A3084),MONTH(A3084),1)</f>
        <v>46143</v>
      </c>
      <c r="G3084" s="24" t="str">
        <f aca="false">INDEX(Products!$C$2:$C$49,MATCH(C3084,Products!$A$2:$A$49,0))</f>
        <v>Household</v>
      </c>
      <c r="H3084" s="33" t="n">
        <f aca="false">D3084*INDEX(Products!$E$2:$E$49,MATCH(C3084,Products!$A$2:$A$49,0))</f>
        <v>18480</v>
      </c>
      <c r="I3084" s="33" t="n">
        <f aca="false">D3084*INDEX(Products!$D$2:$D$49,MATCH(C3084,Products!$A$2:$A$49,0))*(1+INDEX(Assumptions!$B$16:$B$20,MATCH(B3084,Assumptions!$A$16:$A$20,0)))</f>
        <v>14037.056</v>
      </c>
      <c r="J3084" s="33" t="n">
        <f aca="false">H3084-I3084</f>
        <v>4442.944</v>
      </c>
      <c r="K3084" s="33" t="n">
        <f aca="false">IF(OR(E3084=0,E3084&gt;=7),0,D3084/(7-E3084)*E3084*INDEX(Products!$E$2:$E$49,MATCH(C3084,Products!$A$2:$A$49,0)))</f>
        <v>0</v>
      </c>
    </row>
    <row r="3085" customFormat="false" ht="15" hidden="false" customHeight="false" outlineLevel="0" collapsed="false">
      <c r="A3085" s="36" t="n">
        <v>46174</v>
      </c>
      <c r="B3085" s="24" t="s">
        <v>63</v>
      </c>
      <c r="C3085" s="24" t="s">
        <v>169</v>
      </c>
      <c r="D3085" s="33" t="n">
        <v>26</v>
      </c>
      <c r="E3085" s="24" t="n">
        <v>0</v>
      </c>
      <c r="F3085" s="37" t="n">
        <f aca="false">DATE(YEAR(A3085),MONTH(A3085),1)</f>
        <v>46174</v>
      </c>
      <c r="G3085" s="24" t="str">
        <f aca="false">INDEX(Products!$C$2:$C$49,MATCH(C3085,Products!$A$2:$A$49,0))</f>
        <v>Household</v>
      </c>
      <c r="H3085" s="33" t="n">
        <f aca="false">D3085*INDEX(Products!$E$2:$E$49,MATCH(C3085,Products!$A$2:$A$49,0))</f>
        <v>10920</v>
      </c>
      <c r="I3085" s="33" t="n">
        <f aca="false">D3085*INDEX(Products!$D$2:$D$49,MATCH(C3085,Products!$A$2:$A$49,0))*(1+INDEX(Assumptions!$B$16:$B$20,MATCH(B3085,Assumptions!$A$16:$A$20,0)))</f>
        <v>8294.624</v>
      </c>
      <c r="J3085" s="33" t="n">
        <f aca="false">H3085-I3085</f>
        <v>2625.376</v>
      </c>
      <c r="K3085" s="33" t="n">
        <f aca="false">IF(OR(E3085=0,E3085&gt;=7),0,D3085/(7-E3085)*E3085*INDEX(Products!$E$2:$E$49,MATCH(C3085,Products!$A$2:$A$49,0)))</f>
        <v>0</v>
      </c>
    </row>
    <row r="3086" customFormat="false" ht="15" hidden="false" customHeight="false" outlineLevel="0" collapsed="false">
      <c r="A3086" s="36" t="n">
        <v>46181</v>
      </c>
      <c r="B3086" s="24" t="s">
        <v>63</v>
      </c>
      <c r="C3086" s="24" t="s">
        <v>169</v>
      </c>
      <c r="D3086" s="33" t="n">
        <v>40</v>
      </c>
      <c r="E3086" s="24" t="n">
        <v>0</v>
      </c>
      <c r="F3086" s="37" t="n">
        <f aca="false">DATE(YEAR(A3086),MONTH(A3086),1)</f>
        <v>46174</v>
      </c>
      <c r="G3086" s="24" t="str">
        <f aca="false">INDEX(Products!$C$2:$C$49,MATCH(C3086,Products!$A$2:$A$49,0))</f>
        <v>Household</v>
      </c>
      <c r="H3086" s="33" t="n">
        <f aca="false">D3086*INDEX(Products!$E$2:$E$49,MATCH(C3086,Products!$A$2:$A$49,0))</f>
        <v>16800</v>
      </c>
      <c r="I3086" s="33" t="n">
        <f aca="false">D3086*INDEX(Products!$D$2:$D$49,MATCH(C3086,Products!$A$2:$A$49,0))*(1+INDEX(Assumptions!$B$16:$B$20,MATCH(B3086,Assumptions!$A$16:$A$20,0)))</f>
        <v>12760.96</v>
      </c>
      <c r="J3086" s="33" t="n">
        <f aca="false">H3086-I3086</f>
        <v>4039.04</v>
      </c>
      <c r="K3086" s="33" t="n">
        <f aca="false">IF(OR(E3086=0,E3086&gt;=7),0,D3086/(7-E3086)*E3086*INDEX(Products!$E$2:$E$49,MATCH(C3086,Products!$A$2:$A$49,0)))</f>
        <v>0</v>
      </c>
    </row>
    <row r="3087" customFormat="false" ht="15" hidden="false" customHeight="false" outlineLevel="0" collapsed="false">
      <c r="A3087" s="36" t="n">
        <v>46188</v>
      </c>
      <c r="B3087" s="24" t="s">
        <v>63</v>
      </c>
      <c r="C3087" s="24" t="s">
        <v>169</v>
      </c>
      <c r="D3087" s="33" t="n">
        <v>42</v>
      </c>
      <c r="E3087" s="24" t="n">
        <v>0</v>
      </c>
      <c r="F3087" s="37" t="n">
        <f aca="false">DATE(YEAR(A3087),MONTH(A3087),1)</f>
        <v>46174</v>
      </c>
      <c r="G3087" s="24" t="str">
        <f aca="false">INDEX(Products!$C$2:$C$49,MATCH(C3087,Products!$A$2:$A$49,0))</f>
        <v>Household</v>
      </c>
      <c r="H3087" s="33" t="n">
        <f aca="false">D3087*INDEX(Products!$E$2:$E$49,MATCH(C3087,Products!$A$2:$A$49,0))</f>
        <v>17640</v>
      </c>
      <c r="I3087" s="33" t="n">
        <f aca="false">D3087*INDEX(Products!$D$2:$D$49,MATCH(C3087,Products!$A$2:$A$49,0))*(1+INDEX(Assumptions!$B$16:$B$20,MATCH(B3087,Assumptions!$A$16:$A$20,0)))</f>
        <v>13399.008</v>
      </c>
      <c r="J3087" s="33" t="n">
        <f aca="false">H3087-I3087</f>
        <v>4240.992</v>
      </c>
      <c r="K3087" s="33" t="n">
        <f aca="false">IF(OR(E3087=0,E3087&gt;=7),0,D3087/(7-E3087)*E3087*INDEX(Products!$E$2:$E$49,MATCH(C3087,Products!$A$2:$A$49,0)))</f>
        <v>0</v>
      </c>
    </row>
    <row r="3088" customFormat="false" ht="15" hidden="false" customHeight="false" outlineLevel="0" collapsed="false">
      <c r="A3088" s="36" t="n">
        <v>46195</v>
      </c>
      <c r="B3088" s="24" t="s">
        <v>63</v>
      </c>
      <c r="C3088" s="24" t="s">
        <v>169</v>
      </c>
      <c r="D3088" s="33" t="n">
        <v>25</v>
      </c>
      <c r="E3088" s="24" t="n">
        <v>0</v>
      </c>
      <c r="F3088" s="37" t="n">
        <f aca="false">DATE(YEAR(A3088),MONTH(A3088),1)</f>
        <v>46174</v>
      </c>
      <c r="G3088" s="24" t="str">
        <f aca="false">INDEX(Products!$C$2:$C$49,MATCH(C3088,Products!$A$2:$A$49,0))</f>
        <v>Household</v>
      </c>
      <c r="H3088" s="33" t="n">
        <f aca="false">D3088*INDEX(Products!$E$2:$E$49,MATCH(C3088,Products!$A$2:$A$49,0))</f>
        <v>10500</v>
      </c>
      <c r="I3088" s="33" t="n">
        <f aca="false">D3088*INDEX(Products!$D$2:$D$49,MATCH(C3088,Products!$A$2:$A$49,0))*(1+INDEX(Assumptions!$B$16:$B$20,MATCH(B3088,Assumptions!$A$16:$A$20,0)))</f>
        <v>7975.6</v>
      </c>
      <c r="J3088" s="33" t="n">
        <f aca="false">H3088-I3088</f>
        <v>2524.4</v>
      </c>
      <c r="K3088" s="33" t="n">
        <f aca="false">IF(OR(E3088=0,E3088&gt;=7),0,D3088/(7-E3088)*E3088*INDEX(Products!$E$2:$E$49,MATCH(C3088,Products!$A$2:$A$49,0)))</f>
        <v>0</v>
      </c>
    </row>
    <row r="3089" customFormat="false" ht="15" hidden="false" customHeight="false" outlineLevel="0" collapsed="false">
      <c r="A3089" s="36" t="n">
        <v>46202</v>
      </c>
      <c r="B3089" s="24" t="s">
        <v>63</v>
      </c>
      <c r="C3089" s="24" t="s">
        <v>169</v>
      </c>
      <c r="D3089" s="33" t="n">
        <v>37</v>
      </c>
      <c r="E3089" s="24" t="n">
        <v>0</v>
      </c>
      <c r="F3089" s="37" t="n">
        <f aca="false">DATE(YEAR(A3089),MONTH(A3089),1)</f>
        <v>46174</v>
      </c>
      <c r="G3089" s="24" t="str">
        <f aca="false">INDEX(Products!$C$2:$C$49,MATCH(C3089,Products!$A$2:$A$49,0))</f>
        <v>Household</v>
      </c>
      <c r="H3089" s="33" t="n">
        <f aca="false">D3089*INDEX(Products!$E$2:$E$49,MATCH(C3089,Products!$A$2:$A$49,0))</f>
        <v>15540</v>
      </c>
      <c r="I3089" s="33" t="n">
        <f aca="false">D3089*INDEX(Products!$D$2:$D$49,MATCH(C3089,Products!$A$2:$A$49,0))*(1+INDEX(Assumptions!$B$16:$B$20,MATCH(B3089,Assumptions!$A$16:$A$20,0)))</f>
        <v>11803.888</v>
      </c>
      <c r="J3089" s="33" t="n">
        <f aca="false">H3089-I3089</f>
        <v>3736.112</v>
      </c>
      <c r="K3089" s="33" t="n">
        <f aca="false">IF(OR(E3089=0,E3089&gt;=7),0,D3089/(7-E3089)*E3089*INDEX(Products!$E$2:$E$49,MATCH(C3089,Products!$A$2:$A$49,0)))</f>
        <v>0</v>
      </c>
    </row>
    <row r="3090" customFormat="false" ht="15" hidden="false" customHeight="false" outlineLevel="0" collapsed="false">
      <c r="A3090" s="36" t="n">
        <v>46209</v>
      </c>
      <c r="B3090" s="24" t="s">
        <v>63</v>
      </c>
      <c r="C3090" s="24" t="s">
        <v>169</v>
      </c>
      <c r="D3090" s="33" t="n">
        <v>29</v>
      </c>
      <c r="E3090" s="24" t="n">
        <v>0</v>
      </c>
      <c r="F3090" s="37" t="n">
        <f aca="false">DATE(YEAR(A3090),MONTH(A3090),1)</f>
        <v>46204</v>
      </c>
      <c r="G3090" s="24" t="str">
        <f aca="false">INDEX(Products!$C$2:$C$49,MATCH(C3090,Products!$A$2:$A$49,0))</f>
        <v>Household</v>
      </c>
      <c r="H3090" s="33" t="n">
        <f aca="false">D3090*INDEX(Products!$E$2:$E$49,MATCH(C3090,Products!$A$2:$A$49,0))</f>
        <v>12180</v>
      </c>
      <c r="I3090" s="33" t="n">
        <f aca="false">D3090*INDEX(Products!$D$2:$D$49,MATCH(C3090,Products!$A$2:$A$49,0))*(1+INDEX(Assumptions!$B$16:$B$20,MATCH(B3090,Assumptions!$A$16:$A$20,0)))</f>
        <v>9251.696</v>
      </c>
      <c r="J3090" s="33" t="n">
        <f aca="false">H3090-I3090</f>
        <v>2928.304</v>
      </c>
      <c r="K3090" s="33" t="n">
        <f aca="false">IF(OR(E3090=0,E3090&gt;=7),0,D3090/(7-E3090)*E3090*INDEX(Products!$E$2:$E$49,MATCH(C3090,Products!$A$2:$A$49,0)))</f>
        <v>0</v>
      </c>
    </row>
    <row r="3091" customFormat="false" ht="15" hidden="false" customHeight="false" outlineLevel="0" collapsed="false">
      <c r="A3091" s="36" t="n">
        <v>46216</v>
      </c>
      <c r="B3091" s="24" t="s">
        <v>63</v>
      </c>
      <c r="C3091" s="24" t="s">
        <v>169</v>
      </c>
      <c r="D3091" s="33" t="n">
        <v>45</v>
      </c>
      <c r="E3091" s="24" t="n">
        <v>0</v>
      </c>
      <c r="F3091" s="37" t="n">
        <f aca="false">DATE(YEAR(A3091),MONTH(A3091),1)</f>
        <v>46204</v>
      </c>
      <c r="G3091" s="24" t="str">
        <f aca="false">INDEX(Products!$C$2:$C$49,MATCH(C3091,Products!$A$2:$A$49,0))</f>
        <v>Household</v>
      </c>
      <c r="H3091" s="33" t="n">
        <f aca="false">D3091*INDEX(Products!$E$2:$E$49,MATCH(C3091,Products!$A$2:$A$49,0))</f>
        <v>18900</v>
      </c>
      <c r="I3091" s="33" t="n">
        <f aca="false">D3091*INDEX(Products!$D$2:$D$49,MATCH(C3091,Products!$A$2:$A$49,0))*(1+INDEX(Assumptions!$B$16:$B$20,MATCH(B3091,Assumptions!$A$16:$A$20,0)))</f>
        <v>14356.08</v>
      </c>
      <c r="J3091" s="33" t="n">
        <f aca="false">H3091-I3091</f>
        <v>4543.92</v>
      </c>
      <c r="K3091" s="33" t="n">
        <f aca="false">IF(OR(E3091=0,E3091&gt;=7),0,D3091/(7-E3091)*E3091*INDEX(Products!$E$2:$E$49,MATCH(C3091,Products!$A$2:$A$49,0)))</f>
        <v>0</v>
      </c>
    </row>
    <row r="3092" customFormat="false" ht="15" hidden="false" customHeight="false" outlineLevel="0" collapsed="false">
      <c r="A3092" s="36" t="n">
        <v>46223</v>
      </c>
      <c r="B3092" s="24" t="s">
        <v>63</v>
      </c>
      <c r="C3092" s="24" t="s">
        <v>169</v>
      </c>
      <c r="D3092" s="33" t="n">
        <v>30</v>
      </c>
      <c r="E3092" s="24" t="n">
        <v>0</v>
      </c>
      <c r="F3092" s="37" t="n">
        <f aca="false">DATE(YEAR(A3092),MONTH(A3092),1)</f>
        <v>46204</v>
      </c>
      <c r="G3092" s="24" t="str">
        <f aca="false">INDEX(Products!$C$2:$C$49,MATCH(C3092,Products!$A$2:$A$49,0))</f>
        <v>Household</v>
      </c>
      <c r="H3092" s="33" t="n">
        <f aca="false">D3092*INDEX(Products!$E$2:$E$49,MATCH(C3092,Products!$A$2:$A$49,0))</f>
        <v>12600</v>
      </c>
      <c r="I3092" s="33" t="n">
        <f aca="false">D3092*INDEX(Products!$D$2:$D$49,MATCH(C3092,Products!$A$2:$A$49,0))*(1+INDEX(Assumptions!$B$16:$B$20,MATCH(B3092,Assumptions!$A$16:$A$20,0)))</f>
        <v>9570.72</v>
      </c>
      <c r="J3092" s="33" t="n">
        <f aca="false">H3092-I3092</f>
        <v>3029.28</v>
      </c>
      <c r="K3092" s="33" t="n">
        <f aca="false">IF(OR(E3092=0,E3092&gt;=7),0,D3092/(7-E3092)*E3092*INDEX(Products!$E$2:$E$49,MATCH(C3092,Products!$A$2:$A$49,0)))</f>
        <v>0</v>
      </c>
    </row>
    <row r="3093" customFormat="false" ht="15" hidden="false" customHeight="false" outlineLevel="0" collapsed="false">
      <c r="A3093" s="36" t="n">
        <v>46230</v>
      </c>
      <c r="B3093" s="24" t="s">
        <v>63</v>
      </c>
      <c r="C3093" s="24" t="s">
        <v>169</v>
      </c>
      <c r="D3093" s="33" t="n">
        <v>35</v>
      </c>
      <c r="E3093" s="24" t="n">
        <v>0</v>
      </c>
      <c r="F3093" s="37" t="n">
        <f aca="false">DATE(YEAR(A3093),MONTH(A3093),1)</f>
        <v>46204</v>
      </c>
      <c r="G3093" s="24" t="str">
        <f aca="false">INDEX(Products!$C$2:$C$49,MATCH(C3093,Products!$A$2:$A$49,0))</f>
        <v>Household</v>
      </c>
      <c r="H3093" s="33" t="n">
        <f aca="false">D3093*INDEX(Products!$E$2:$E$49,MATCH(C3093,Products!$A$2:$A$49,0))</f>
        <v>14700</v>
      </c>
      <c r="I3093" s="33" t="n">
        <f aca="false">D3093*INDEX(Products!$D$2:$D$49,MATCH(C3093,Products!$A$2:$A$49,0))*(1+INDEX(Assumptions!$B$16:$B$20,MATCH(B3093,Assumptions!$A$16:$A$20,0)))</f>
        <v>11165.84</v>
      </c>
      <c r="J3093" s="33" t="n">
        <f aca="false">H3093-I3093</f>
        <v>3534.16</v>
      </c>
      <c r="K3093" s="33" t="n">
        <f aca="false">IF(OR(E3093=0,E3093&gt;=7),0,D3093/(7-E3093)*E3093*INDEX(Products!$E$2:$E$49,MATCH(C3093,Products!$A$2:$A$49,0)))</f>
        <v>0</v>
      </c>
    </row>
    <row r="3094" customFormat="false" ht="15" hidden="false" customHeight="false" outlineLevel="0" collapsed="false">
      <c r="A3094" s="36" t="n">
        <v>46237</v>
      </c>
      <c r="B3094" s="24" t="s">
        <v>63</v>
      </c>
      <c r="C3094" s="24" t="s">
        <v>169</v>
      </c>
      <c r="D3094" s="33" t="n">
        <v>27</v>
      </c>
      <c r="E3094" s="24" t="n">
        <v>0</v>
      </c>
      <c r="F3094" s="37" t="n">
        <f aca="false">DATE(YEAR(A3094),MONTH(A3094),1)</f>
        <v>46235</v>
      </c>
      <c r="G3094" s="24" t="str">
        <f aca="false">INDEX(Products!$C$2:$C$49,MATCH(C3094,Products!$A$2:$A$49,0))</f>
        <v>Household</v>
      </c>
      <c r="H3094" s="33" t="n">
        <f aca="false">D3094*INDEX(Products!$E$2:$E$49,MATCH(C3094,Products!$A$2:$A$49,0))</f>
        <v>11340</v>
      </c>
      <c r="I3094" s="33" t="n">
        <f aca="false">D3094*INDEX(Products!$D$2:$D$49,MATCH(C3094,Products!$A$2:$A$49,0))*(1+INDEX(Assumptions!$B$16:$B$20,MATCH(B3094,Assumptions!$A$16:$A$20,0)))</f>
        <v>8613.648</v>
      </c>
      <c r="J3094" s="33" t="n">
        <f aca="false">H3094-I3094</f>
        <v>2726.352</v>
      </c>
      <c r="K3094" s="33" t="n">
        <f aca="false">IF(OR(E3094=0,E3094&gt;=7),0,D3094/(7-E3094)*E3094*INDEX(Products!$E$2:$E$49,MATCH(C3094,Products!$A$2:$A$49,0)))</f>
        <v>0</v>
      </c>
    </row>
    <row r="3095" customFormat="false" ht="15" hidden="false" customHeight="false" outlineLevel="0" collapsed="false">
      <c r="A3095" s="36" t="n">
        <v>46244</v>
      </c>
      <c r="B3095" s="24" t="s">
        <v>63</v>
      </c>
      <c r="C3095" s="24" t="s">
        <v>169</v>
      </c>
      <c r="D3095" s="33" t="n">
        <v>28</v>
      </c>
      <c r="E3095" s="24" t="n">
        <v>0</v>
      </c>
      <c r="F3095" s="37" t="n">
        <f aca="false">DATE(YEAR(A3095),MONTH(A3095),1)</f>
        <v>46235</v>
      </c>
      <c r="G3095" s="24" t="str">
        <f aca="false">INDEX(Products!$C$2:$C$49,MATCH(C3095,Products!$A$2:$A$49,0))</f>
        <v>Household</v>
      </c>
      <c r="H3095" s="33" t="n">
        <f aca="false">D3095*INDEX(Products!$E$2:$E$49,MATCH(C3095,Products!$A$2:$A$49,0))</f>
        <v>11760</v>
      </c>
      <c r="I3095" s="33" t="n">
        <f aca="false">D3095*INDEX(Products!$D$2:$D$49,MATCH(C3095,Products!$A$2:$A$49,0))*(1+INDEX(Assumptions!$B$16:$B$20,MATCH(B3095,Assumptions!$A$16:$A$20,0)))</f>
        <v>8932.672</v>
      </c>
      <c r="J3095" s="33" t="n">
        <f aca="false">H3095-I3095</f>
        <v>2827.328</v>
      </c>
      <c r="K3095" s="33" t="n">
        <f aca="false">IF(OR(E3095=0,E3095&gt;=7),0,D3095/(7-E3095)*E3095*INDEX(Products!$E$2:$E$49,MATCH(C3095,Products!$A$2:$A$49,0)))</f>
        <v>0</v>
      </c>
    </row>
    <row r="3096" customFormat="false" ht="15" hidden="false" customHeight="false" outlineLevel="0" collapsed="false">
      <c r="A3096" s="36" t="n">
        <v>46251</v>
      </c>
      <c r="B3096" s="24" t="s">
        <v>63</v>
      </c>
      <c r="C3096" s="24" t="s">
        <v>169</v>
      </c>
      <c r="D3096" s="33" t="n">
        <v>31</v>
      </c>
      <c r="E3096" s="24" t="n">
        <v>0</v>
      </c>
      <c r="F3096" s="37" t="n">
        <f aca="false">DATE(YEAR(A3096),MONTH(A3096),1)</f>
        <v>46235</v>
      </c>
      <c r="G3096" s="24" t="str">
        <f aca="false">INDEX(Products!$C$2:$C$49,MATCH(C3096,Products!$A$2:$A$49,0))</f>
        <v>Household</v>
      </c>
      <c r="H3096" s="33" t="n">
        <f aca="false">D3096*INDEX(Products!$E$2:$E$49,MATCH(C3096,Products!$A$2:$A$49,0))</f>
        <v>13020</v>
      </c>
      <c r="I3096" s="33" t="n">
        <f aca="false">D3096*INDEX(Products!$D$2:$D$49,MATCH(C3096,Products!$A$2:$A$49,0))*(1+INDEX(Assumptions!$B$16:$B$20,MATCH(B3096,Assumptions!$A$16:$A$20,0)))</f>
        <v>9889.744</v>
      </c>
      <c r="J3096" s="33" t="n">
        <f aca="false">H3096-I3096</f>
        <v>3130.256</v>
      </c>
      <c r="K3096" s="33" t="n">
        <f aca="false">IF(OR(E3096=0,E3096&gt;=7),0,D3096/(7-E3096)*E3096*INDEX(Products!$E$2:$E$49,MATCH(C3096,Products!$A$2:$A$49,0)))</f>
        <v>0</v>
      </c>
    </row>
    <row r="3097" customFormat="false" ht="15" hidden="false" customHeight="false" outlineLevel="0" collapsed="false">
      <c r="A3097" s="36" t="n">
        <v>46258</v>
      </c>
      <c r="B3097" s="24" t="s">
        <v>63</v>
      </c>
      <c r="C3097" s="24" t="s">
        <v>169</v>
      </c>
      <c r="D3097" s="33" t="n">
        <v>24</v>
      </c>
      <c r="E3097" s="24" t="n">
        <v>0</v>
      </c>
      <c r="F3097" s="37" t="n">
        <f aca="false">DATE(YEAR(A3097),MONTH(A3097),1)</f>
        <v>46235</v>
      </c>
      <c r="G3097" s="24" t="str">
        <f aca="false">INDEX(Products!$C$2:$C$49,MATCH(C3097,Products!$A$2:$A$49,0))</f>
        <v>Household</v>
      </c>
      <c r="H3097" s="33" t="n">
        <f aca="false">D3097*INDEX(Products!$E$2:$E$49,MATCH(C3097,Products!$A$2:$A$49,0))</f>
        <v>10080</v>
      </c>
      <c r="I3097" s="33" t="n">
        <f aca="false">D3097*INDEX(Products!$D$2:$D$49,MATCH(C3097,Products!$A$2:$A$49,0))*(1+INDEX(Assumptions!$B$16:$B$20,MATCH(B3097,Assumptions!$A$16:$A$20,0)))</f>
        <v>7656.576</v>
      </c>
      <c r="J3097" s="33" t="n">
        <f aca="false">H3097-I3097</f>
        <v>2423.424</v>
      </c>
      <c r="K3097" s="33" t="n">
        <f aca="false">IF(OR(E3097=0,E3097&gt;=7),0,D3097/(7-E3097)*E3097*INDEX(Products!$E$2:$E$49,MATCH(C3097,Products!$A$2:$A$49,0)))</f>
        <v>0</v>
      </c>
    </row>
    <row r="3098" customFormat="false" ht="15" hidden="false" customHeight="false" outlineLevel="0" collapsed="false">
      <c r="A3098" s="36" t="n">
        <v>46265</v>
      </c>
      <c r="B3098" s="24" t="s">
        <v>63</v>
      </c>
      <c r="C3098" s="24" t="s">
        <v>169</v>
      </c>
      <c r="D3098" s="33" t="n">
        <v>26</v>
      </c>
      <c r="E3098" s="24" t="n">
        <v>0</v>
      </c>
      <c r="F3098" s="37" t="n">
        <f aca="false">DATE(YEAR(A3098),MONTH(A3098),1)</f>
        <v>46235</v>
      </c>
      <c r="G3098" s="24" t="str">
        <f aca="false">INDEX(Products!$C$2:$C$49,MATCH(C3098,Products!$A$2:$A$49,0))</f>
        <v>Household</v>
      </c>
      <c r="H3098" s="33" t="n">
        <f aca="false">D3098*INDEX(Products!$E$2:$E$49,MATCH(C3098,Products!$A$2:$A$49,0))</f>
        <v>10920</v>
      </c>
      <c r="I3098" s="33" t="n">
        <f aca="false">D3098*INDEX(Products!$D$2:$D$49,MATCH(C3098,Products!$A$2:$A$49,0))*(1+INDEX(Assumptions!$B$16:$B$20,MATCH(B3098,Assumptions!$A$16:$A$20,0)))</f>
        <v>8294.624</v>
      </c>
      <c r="J3098" s="33" t="n">
        <f aca="false">H3098-I3098</f>
        <v>2625.376</v>
      </c>
      <c r="K3098" s="33" t="n">
        <f aca="false">IF(OR(E3098=0,E3098&gt;=7),0,D3098/(7-E3098)*E3098*INDEX(Products!$E$2:$E$49,MATCH(C3098,Products!$A$2:$A$49,0)))</f>
        <v>0</v>
      </c>
    </row>
    <row r="3099" customFormat="false" ht="15" hidden="false" customHeight="false" outlineLevel="0" collapsed="false">
      <c r="A3099" s="36" t="n">
        <v>46272</v>
      </c>
      <c r="B3099" s="24" t="s">
        <v>63</v>
      </c>
      <c r="C3099" s="24" t="s">
        <v>169</v>
      </c>
      <c r="D3099" s="33" t="n">
        <v>27</v>
      </c>
      <c r="E3099" s="24" t="n">
        <v>0</v>
      </c>
      <c r="F3099" s="37" t="n">
        <f aca="false">DATE(YEAR(A3099),MONTH(A3099),1)</f>
        <v>46266</v>
      </c>
      <c r="G3099" s="24" t="str">
        <f aca="false">INDEX(Products!$C$2:$C$49,MATCH(C3099,Products!$A$2:$A$49,0))</f>
        <v>Household</v>
      </c>
      <c r="H3099" s="33" t="n">
        <f aca="false">D3099*INDEX(Products!$E$2:$E$49,MATCH(C3099,Products!$A$2:$A$49,0))</f>
        <v>11340</v>
      </c>
      <c r="I3099" s="33" t="n">
        <f aca="false">D3099*INDEX(Products!$D$2:$D$49,MATCH(C3099,Products!$A$2:$A$49,0))*(1+INDEX(Assumptions!$B$16:$B$20,MATCH(B3099,Assumptions!$A$16:$A$20,0)))</f>
        <v>8613.648</v>
      </c>
      <c r="J3099" s="33" t="n">
        <f aca="false">H3099-I3099</f>
        <v>2726.352</v>
      </c>
      <c r="K3099" s="33" t="n">
        <f aca="false">IF(OR(E3099=0,E3099&gt;=7),0,D3099/(7-E3099)*E3099*INDEX(Products!$E$2:$E$49,MATCH(C3099,Products!$A$2:$A$49,0)))</f>
        <v>0</v>
      </c>
    </row>
    <row r="3100" customFormat="false" ht="15" hidden="false" customHeight="false" outlineLevel="0" collapsed="false">
      <c r="A3100" s="36" t="n">
        <v>46279</v>
      </c>
      <c r="B3100" s="24" t="s">
        <v>63</v>
      </c>
      <c r="C3100" s="24" t="s">
        <v>169</v>
      </c>
      <c r="D3100" s="33" t="n">
        <v>21</v>
      </c>
      <c r="E3100" s="24" t="n">
        <v>0</v>
      </c>
      <c r="F3100" s="37" t="n">
        <f aca="false">DATE(YEAR(A3100),MONTH(A3100),1)</f>
        <v>46266</v>
      </c>
      <c r="G3100" s="24" t="str">
        <f aca="false">INDEX(Products!$C$2:$C$49,MATCH(C3100,Products!$A$2:$A$49,0))</f>
        <v>Household</v>
      </c>
      <c r="H3100" s="33" t="n">
        <f aca="false">D3100*INDEX(Products!$E$2:$E$49,MATCH(C3100,Products!$A$2:$A$49,0))</f>
        <v>8820</v>
      </c>
      <c r="I3100" s="33" t="n">
        <f aca="false">D3100*INDEX(Products!$D$2:$D$49,MATCH(C3100,Products!$A$2:$A$49,0))*(1+INDEX(Assumptions!$B$16:$B$20,MATCH(B3100,Assumptions!$A$16:$A$20,0)))</f>
        <v>6699.504</v>
      </c>
      <c r="J3100" s="33" t="n">
        <f aca="false">H3100-I3100</f>
        <v>2120.496</v>
      </c>
      <c r="K3100" s="33" t="n">
        <f aca="false">IF(OR(E3100=0,E3100&gt;=7),0,D3100/(7-E3100)*E3100*INDEX(Products!$E$2:$E$49,MATCH(C3100,Products!$A$2:$A$49,0)))</f>
        <v>0</v>
      </c>
    </row>
    <row r="3101" customFormat="false" ht="15" hidden="false" customHeight="false" outlineLevel="0" collapsed="false">
      <c r="A3101" s="36" t="n">
        <v>46286</v>
      </c>
      <c r="B3101" s="24" t="s">
        <v>63</v>
      </c>
      <c r="C3101" s="24" t="s">
        <v>169</v>
      </c>
      <c r="D3101" s="33" t="n">
        <v>29</v>
      </c>
      <c r="E3101" s="24" t="n">
        <v>0</v>
      </c>
      <c r="F3101" s="37" t="n">
        <f aca="false">DATE(YEAR(A3101),MONTH(A3101),1)</f>
        <v>46266</v>
      </c>
      <c r="G3101" s="24" t="str">
        <f aca="false">INDEX(Products!$C$2:$C$49,MATCH(C3101,Products!$A$2:$A$49,0))</f>
        <v>Household</v>
      </c>
      <c r="H3101" s="33" t="n">
        <f aca="false">D3101*INDEX(Products!$E$2:$E$49,MATCH(C3101,Products!$A$2:$A$49,0))</f>
        <v>12180</v>
      </c>
      <c r="I3101" s="33" t="n">
        <f aca="false">D3101*INDEX(Products!$D$2:$D$49,MATCH(C3101,Products!$A$2:$A$49,0))*(1+INDEX(Assumptions!$B$16:$B$20,MATCH(B3101,Assumptions!$A$16:$A$20,0)))</f>
        <v>9251.696</v>
      </c>
      <c r="J3101" s="33" t="n">
        <f aca="false">H3101-I3101</f>
        <v>2928.304</v>
      </c>
      <c r="K3101" s="33" t="n">
        <f aca="false">IF(OR(E3101=0,E3101&gt;=7),0,D3101/(7-E3101)*E3101*INDEX(Products!$E$2:$E$49,MATCH(C3101,Products!$A$2:$A$49,0)))</f>
        <v>0</v>
      </c>
    </row>
    <row r="3102" customFormat="false" ht="15" hidden="false" customHeight="false" outlineLevel="0" collapsed="false">
      <c r="A3102" s="36" t="n">
        <v>46118</v>
      </c>
      <c r="B3102" s="24" t="s">
        <v>63</v>
      </c>
      <c r="C3102" s="24" t="s">
        <v>171</v>
      </c>
      <c r="D3102" s="33" t="n">
        <v>28</v>
      </c>
      <c r="E3102" s="24" t="n">
        <v>0</v>
      </c>
      <c r="F3102" s="37" t="n">
        <f aca="false">DATE(YEAR(A3102),MONTH(A3102),1)</f>
        <v>46113</v>
      </c>
      <c r="G3102" s="24" t="str">
        <f aca="false">INDEX(Products!$C$2:$C$49,MATCH(C3102,Products!$A$2:$A$49,0))</f>
        <v>Household</v>
      </c>
      <c r="H3102" s="33" t="n">
        <f aca="false">D3102*INDEX(Products!$E$2:$E$49,MATCH(C3102,Products!$A$2:$A$49,0))</f>
        <v>4200</v>
      </c>
      <c r="I3102" s="33" t="n">
        <f aca="false">D3102*INDEX(Products!$D$2:$D$49,MATCH(C3102,Products!$A$2:$A$49,0))*(1+INDEX(Assumptions!$B$16:$B$20,MATCH(B3102,Assumptions!$A$16:$A$20,0)))</f>
        <v>3299.968</v>
      </c>
      <c r="J3102" s="33" t="n">
        <f aca="false">H3102-I3102</f>
        <v>900.032</v>
      </c>
      <c r="K3102" s="33" t="n">
        <f aca="false">IF(OR(E3102=0,E3102&gt;=7),0,D3102/(7-E3102)*E3102*INDEX(Products!$E$2:$E$49,MATCH(C3102,Products!$A$2:$A$49,0)))</f>
        <v>0</v>
      </c>
    </row>
    <row r="3103" customFormat="false" ht="15" hidden="false" customHeight="false" outlineLevel="0" collapsed="false">
      <c r="A3103" s="36" t="n">
        <v>46125</v>
      </c>
      <c r="B3103" s="24" t="s">
        <v>63</v>
      </c>
      <c r="C3103" s="24" t="s">
        <v>171</v>
      </c>
      <c r="D3103" s="33" t="n">
        <v>22</v>
      </c>
      <c r="E3103" s="24" t="n">
        <v>0</v>
      </c>
      <c r="F3103" s="37" t="n">
        <f aca="false">DATE(YEAR(A3103),MONTH(A3103),1)</f>
        <v>46113</v>
      </c>
      <c r="G3103" s="24" t="str">
        <f aca="false">INDEX(Products!$C$2:$C$49,MATCH(C3103,Products!$A$2:$A$49,0))</f>
        <v>Household</v>
      </c>
      <c r="H3103" s="33" t="n">
        <f aca="false">D3103*INDEX(Products!$E$2:$E$49,MATCH(C3103,Products!$A$2:$A$49,0))</f>
        <v>3300</v>
      </c>
      <c r="I3103" s="33" t="n">
        <f aca="false">D3103*INDEX(Products!$D$2:$D$49,MATCH(C3103,Products!$A$2:$A$49,0))*(1+INDEX(Assumptions!$B$16:$B$20,MATCH(B3103,Assumptions!$A$16:$A$20,0)))</f>
        <v>2592.832</v>
      </c>
      <c r="J3103" s="33" t="n">
        <f aca="false">H3103-I3103</f>
        <v>707.168</v>
      </c>
      <c r="K3103" s="33" t="n">
        <f aca="false">IF(OR(E3103=0,E3103&gt;=7),0,D3103/(7-E3103)*E3103*INDEX(Products!$E$2:$E$49,MATCH(C3103,Products!$A$2:$A$49,0)))</f>
        <v>0</v>
      </c>
    </row>
    <row r="3104" customFormat="false" ht="15" hidden="false" customHeight="false" outlineLevel="0" collapsed="false">
      <c r="A3104" s="36" t="n">
        <v>46132</v>
      </c>
      <c r="B3104" s="24" t="s">
        <v>63</v>
      </c>
      <c r="C3104" s="24" t="s">
        <v>171</v>
      </c>
      <c r="D3104" s="33" t="n">
        <v>19</v>
      </c>
      <c r="E3104" s="24" t="n">
        <v>0</v>
      </c>
      <c r="F3104" s="37" t="n">
        <f aca="false">DATE(YEAR(A3104),MONTH(A3104),1)</f>
        <v>46113</v>
      </c>
      <c r="G3104" s="24" t="str">
        <f aca="false">INDEX(Products!$C$2:$C$49,MATCH(C3104,Products!$A$2:$A$49,0))</f>
        <v>Household</v>
      </c>
      <c r="H3104" s="33" t="n">
        <f aca="false">D3104*INDEX(Products!$E$2:$E$49,MATCH(C3104,Products!$A$2:$A$49,0))</f>
        <v>2850</v>
      </c>
      <c r="I3104" s="33" t="n">
        <f aca="false">D3104*INDEX(Products!$D$2:$D$49,MATCH(C3104,Products!$A$2:$A$49,0))*(1+INDEX(Assumptions!$B$16:$B$20,MATCH(B3104,Assumptions!$A$16:$A$20,0)))</f>
        <v>2239.264</v>
      </c>
      <c r="J3104" s="33" t="n">
        <f aca="false">H3104-I3104</f>
        <v>610.736</v>
      </c>
      <c r="K3104" s="33" t="n">
        <f aca="false">IF(OR(E3104=0,E3104&gt;=7),0,D3104/(7-E3104)*E3104*INDEX(Products!$E$2:$E$49,MATCH(C3104,Products!$A$2:$A$49,0)))</f>
        <v>0</v>
      </c>
    </row>
    <row r="3105" customFormat="false" ht="15" hidden="false" customHeight="false" outlineLevel="0" collapsed="false">
      <c r="A3105" s="36" t="n">
        <v>46139</v>
      </c>
      <c r="B3105" s="24" t="s">
        <v>63</v>
      </c>
      <c r="C3105" s="24" t="s">
        <v>171</v>
      </c>
      <c r="D3105" s="33" t="n">
        <v>31</v>
      </c>
      <c r="E3105" s="24" t="n">
        <v>0</v>
      </c>
      <c r="F3105" s="37" t="n">
        <f aca="false">DATE(YEAR(A3105),MONTH(A3105),1)</f>
        <v>46113</v>
      </c>
      <c r="G3105" s="24" t="str">
        <f aca="false">INDEX(Products!$C$2:$C$49,MATCH(C3105,Products!$A$2:$A$49,0))</f>
        <v>Household</v>
      </c>
      <c r="H3105" s="33" t="n">
        <f aca="false">D3105*INDEX(Products!$E$2:$E$49,MATCH(C3105,Products!$A$2:$A$49,0))</f>
        <v>4650</v>
      </c>
      <c r="I3105" s="33" t="n">
        <f aca="false">D3105*INDEX(Products!$D$2:$D$49,MATCH(C3105,Products!$A$2:$A$49,0))*(1+INDEX(Assumptions!$B$16:$B$20,MATCH(B3105,Assumptions!$A$16:$A$20,0)))</f>
        <v>3653.536</v>
      </c>
      <c r="J3105" s="33" t="n">
        <f aca="false">H3105-I3105</f>
        <v>996.464</v>
      </c>
      <c r="K3105" s="33" t="n">
        <f aca="false">IF(OR(E3105=0,E3105&gt;=7),0,D3105/(7-E3105)*E3105*INDEX(Products!$E$2:$E$49,MATCH(C3105,Products!$A$2:$A$49,0)))</f>
        <v>0</v>
      </c>
    </row>
    <row r="3106" customFormat="false" ht="15" hidden="false" customHeight="false" outlineLevel="0" collapsed="false">
      <c r="A3106" s="36" t="n">
        <v>46146</v>
      </c>
      <c r="B3106" s="24" t="s">
        <v>63</v>
      </c>
      <c r="C3106" s="24" t="s">
        <v>171</v>
      </c>
      <c r="D3106" s="33" t="n">
        <v>28</v>
      </c>
      <c r="E3106" s="24" t="n">
        <v>0</v>
      </c>
      <c r="F3106" s="37" t="n">
        <f aca="false">DATE(YEAR(A3106),MONTH(A3106),1)</f>
        <v>46143</v>
      </c>
      <c r="G3106" s="24" t="str">
        <f aca="false">INDEX(Products!$C$2:$C$49,MATCH(C3106,Products!$A$2:$A$49,0))</f>
        <v>Household</v>
      </c>
      <c r="H3106" s="33" t="n">
        <f aca="false">D3106*INDEX(Products!$E$2:$E$49,MATCH(C3106,Products!$A$2:$A$49,0))</f>
        <v>4200</v>
      </c>
      <c r="I3106" s="33" t="n">
        <f aca="false">D3106*INDEX(Products!$D$2:$D$49,MATCH(C3106,Products!$A$2:$A$49,0))*(1+INDEX(Assumptions!$B$16:$B$20,MATCH(B3106,Assumptions!$A$16:$A$20,0)))</f>
        <v>3299.968</v>
      </c>
      <c r="J3106" s="33" t="n">
        <f aca="false">H3106-I3106</f>
        <v>900.032</v>
      </c>
      <c r="K3106" s="33" t="n">
        <f aca="false">IF(OR(E3106=0,E3106&gt;=7),0,D3106/(7-E3106)*E3106*INDEX(Products!$E$2:$E$49,MATCH(C3106,Products!$A$2:$A$49,0)))</f>
        <v>0</v>
      </c>
    </row>
    <row r="3107" customFormat="false" ht="15" hidden="false" customHeight="false" outlineLevel="0" collapsed="false">
      <c r="A3107" s="36" t="n">
        <v>46153</v>
      </c>
      <c r="B3107" s="24" t="s">
        <v>63</v>
      </c>
      <c r="C3107" s="24" t="s">
        <v>171</v>
      </c>
      <c r="D3107" s="33" t="n">
        <v>17</v>
      </c>
      <c r="E3107" s="24" t="n">
        <v>0</v>
      </c>
      <c r="F3107" s="37" t="n">
        <f aca="false">DATE(YEAR(A3107),MONTH(A3107),1)</f>
        <v>46143</v>
      </c>
      <c r="G3107" s="24" t="str">
        <f aca="false">INDEX(Products!$C$2:$C$49,MATCH(C3107,Products!$A$2:$A$49,0))</f>
        <v>Household</v>
      </c>
      <c r="H3107" s="33" t="n">
        <f aca="false">D3107*INDEX(Products!$E$2:$E$49,MATCH(C3107,Products!$A$2:$A$49,0))</f>
        <v>2550</v>
      </c>
      <c r="I3107" s="33" t="n">
        <f aca="false">D3107*INDEX(Products!$D$2:$D$49,MATCH(C3107,Products!$A$2:$A$49,0))*(1+INDEX(Assumptions!$B$16:$B$20,MATCH(B3107,Assumptions!$A$16:$A$20,0)))</f>
        <v>2003.552</v>
      </c>
      <c r="J3107" s="33" t="n">
        <f aca="false">H3107-I3107</f>
        <v>546.448</v>
      </c>
      <c r="K3107" s="33" t="n">
        <f aca="false">IF(OR(E3107=0,E3107&gt;=7),0,D3107/(7-E3107)*E3107*INDEX(Products!$E$2:$E$49,MATCH(C3107,Products!$A$2:$A$49,0)))</f>
        <v>0</v>
      </c>
    </row>
    <row r="3108" customFormat="false" ht="15" hidden="false" customHeight="false" outlineLevel="0" collapsed="false">
      <c r="A3108" s="36" t="n">
        <v>46160</v>
      </c>
      <c r="B3108" s="24" t="s">
        <v>63</v>
      </c>
      <c r="C3108" s="24" t="s">
        <v>171</v>
      </c>
      <c r="D3108" s="33" t="n">
        <v>21</v>
      </c>
      <c r="E3108" s="24" t="n">
        <v>0</v>
      </c>
      <c r="F3108" s="37" t="n">
        <f aca="false">DATE(YEAR(A3108),MONTH(A3108),1)</f>
        <v>46143</v>
      </c>
      <c r="G3108" s="24" t="str">
        <f aca="false">INDEX(Products!$C$2:$C$49,MATCH(C3108,Products!$A$2:$A$49,0))</f>
        <v>Household</v>
      </c>
      <c r="H3108" s="33" t="n">
        <f aca="false">D3108*INDEX(Products!$E$2:$E$49,MATCH(C3108,Products!$A$2:$A$49,0))</f>
        <v>3150</v>
      </c>
      <c r="I3108" s="33" t="n">
        <f aca="false">D3108*INDEX(Products!$D$2:$D$49,MATCH(C3108,Products!$A$2:$A$49,0))*(1+INDEX(Assumptions!$B$16:$B$20,MATCH(B3108,Assumptions!$A$16:$A$20,0)))</f>
        <v>2474.976</v>
      </c>
      <c r="J3108" s="33" t="n">
        <f aca="false">H3108-I3108</f>
        <v>675.024</v>
      </c>
      <c r="K3108" s="33" t="n">
        <f aca="false">IF(OR(E3108=0,E3108&gt;=7),0,D3108/(7-E3108)*E3108*INDEX(Products!$E$2:$E$49,MATCH(C3108,Products!$A$2:$A$49,0)))</f>
        <v>0</v>
      </c>
    </row>
    <row r="3109" customFormat="false" ht="15" hidden="false" customHeight="false" outlineLevel="0" collapsed="false">
      <c r="A3109" s="36" t="n">
        <v>46167</v>
      </c>
      <c r="B3109" s="24" t="s">
        <v>63</v>
      </c>
      <c r="C3109" s="24" t="s">
        <v>171</v>
      </c>
      <c r="D3109" s="33" t="n">
        <v>28</v>
      </c>
      <c r="E3109" s="24" t="n">
        <v>0</v>
      </c>
      <c r="F3109" s="37" t="n">
        <f aca="false">DATE(YEAR(A3109),MONTH(A3109),1)</f>
        <v>46143</v>
      </c>
      <c r="G3109" s="24" t="str">
        <f aca="false">INDEX(Products!$C$2:$C$49,MATCH(C3109,Products!$A$2:$A$49,0))</f>
        <v>Household</v>
      </c>
      <c r="H3109" s="33" t="n">
        <f aca="false">D3109*INDEX(Products!$E$2:$E$49,MATCH(C3109,Products!$A$2:$A$49,0))</f>
        <v>4200</v>
      </c>
      <c r="I3109" s="33" t="n">
        <f aca="false">D3109*INDEX(Products!$D$2:$D$49,MATCH(C3109,Products!$A$2:$A$49,0))*(1+INDEX(Assumptions!$B$16:$B$20,MATCH(B3109,Assumptions!$A$16:$A$20,0)))</f>
        <v>3299.968</v>
      </c>
      <c r="J3109" s="33" t="n">
        <f aca="false">H3109-I3109</f>
        <v>900.032</v>
      </c>
      <c r="K3109" s="33" t="n">
        <f aca="false">IF(OR(E3109=0,E3109&gt;=7),0,D3109/(7-E3109)*E3109*INDEX(Products!$E$2:$E$49,MATCH(C3109,Products!$A$2:$A$49,0)))</f>
        <v>0</v>
      </c>
    </row>
    <row r="3110" customFormat="false" ht="15" hidden="false" customHeight="false" outlineLevel="0" collapsed="false">
      <c r="A3110" s="36" t="n">
        <v>46174</v>
      </c>
      <c r="B3110" s="24" t="s">
        <v>63</v>
      </c>
      <c r="C3110" s="24" t="s">
        <v>171</v>
      </c>
      <c r="D3110" s="33" t="n">
        <v>23</v>
      </c>
      <c r="E3110" s="24" t="n">
        <v>0</v>
      </c>
      <c r="F3110" s="37" t="n">
        <f aca="false">DATE(YEAR(A3110),MONTH(A3110),1)</f>
        <v>46174</v>
      </c>
      <c r="G3110" s="24" t="str">
        <f aca="false">INDEX(Products!$C$2:$C$49,MATCH(C3110,Products!$A$2:$A$49,0))</f>
        <v>Household</v>
      </c>
      <c r="H3110" s="33" t="n">
        <f aca="false">D3110*INDEX(Products!$E$2:$E$49,MATCH(C3110,Products!$A$2:$A$49,0))</f>
        <v>3450</v>
      </c>
      <c r="I3110" s="33" t="n">
        <f aca="false">D3110*INDEX(Products!$D$2:$D$49,MATCH(C3110,Products!$A$2:$A$49,0))*(1+INDEX(Assumptions!$B$16:$B$20,MATCH(B3110,Assumptions!$A$16:$A$20,0)))</f>
        <v>2710.688</v>
      </c>
      <c r="J3110" s="33" t="n">
        <f aca="false">H3110-I3110</f>
        <v>739.312</v>
      </c>
      <c r="K3110" s="33" t="n">
        <f aca="false">IF(OR(E3110=0,E3110&gt;=7),0,D3110/(7-E3110)*E3110*INDEX(Products!$E$2:$E$49,MATCH(C3110,Products!$A$2:$A$49,0)))</f>
        <v>0</v>
      </c>
    </row>
    <row r="3111" customFormat="false" ht="15" hidden="false" customHeight="false" outlineLevel="0" collapsed="false">
      <c r="A3111" s="36" t="n">
        <v>46181</v>
      </c>
      <c r="B3111" s="24" t="s">
        <v>63</v>
      </c>
      <c r="C3111" s="24" t="s">
        <v>171</v>
      </c>
      <c r="D3111" s="33" t="n">
        <v>25</v>
      </c>
      <c r="E3111" s="24" t="n">
        <v>0</v>
      </c>
      <c r="F3111" s="37" t="n">
        <f aca="false">DATE(YEAR(A3111),MONTH(A3111),1)</f>
        <v>46174</v>
      </c>
      <c r="G3111" s="24" t="str">
        <f aca="false">INDEX(Products!$C$2:$C$49,MATCH(C3111,Products!$A$2:$A$49,0))</f>
        <v>Household</v>
      </c>
      <c r="H3111" s="33" t="n">
        <f aca="false">D3111*INDEX(Products!$E$2:$E$49,MATCH(C3111,Products!$A$2:$A$49,0))</f>
        <v>3750</v>
      </c>
      <c r="I3111" s="33" t="n">
        <f aca="false">D3111*INDEX(Products!$D$2:$D$49,MATCH(C3111,Products!$A$2:$A$49,0))*(1+INDEX(Assumptions!$B$16:$B$20,MATCH(B3111,Assumptions!$A$16:$A$20,0)))</f>
        <v>2946.4</v>
      </c>
      <c r="J3111" s="33" t="n">
        <f aca="false">H3111-I3111</f>
        <v>803.6</v>
      </c>
      <c r="K3111" s="33" t="n">
        <f aca="false">IF(OR(E3111=0,E3111&gt;=7),0,D3111/(7-E3111)*E3111*INDEX(Products!$E$2:$E$49,MATCH(C3111,Products!$A$2:$A$49,0)))</f>
        <v>0</v>
      </c>
    </row>
    <row r="3112" customFormat="false" ht="15" hidden="false" customHeight="false" outlineLevel="0" collapsed="false">
      <c r="A3112" s="36" t="n">
        <v>46188</v>
      </c>
      <c r="B3112" s="24" t="s">
        <v>63</v>
      </c>
      <c r="C3112" s="24" t="s">
        <v>171</v>
      </c>
      <c r="D3112" s="33" t="n">
        <v>25</v>
      </c>
      <c r="E3112" s="24" t="n">
        <v>0</v>
      </c>
      <c r="F3112" s="37" t="n">
        <f aca="false">DATE(YEAR(A3112),MONTH(A3112),1)</f>
        <v>46174</v>
      </c>
      <c r="G3112" s="24" t="str">
        <f aca="false">INDEX(Products!$C$2:$C$49,MATCH(C3112,Products!$A$2:$A$49,0))</f>
        <v>Household</v>
      </c>
      <c r="H3112" s="33" t="n">
        <f aca="false">D3112*INDEX(Products!$E$2:$E$49,MATCH(C3112,Products!$A$2:$A$49,0))</f>
        <v>3750</v>
      </c>
      <c r="I3112" s="33" t="n">
        <f aca="false">D3112*INDEX(Products!$D$2:$D$49,MATCH(C3112,Products!$A$2:$A$49,0))*(1+INDEX(Assumptions!$B$16:$B$20,MATCH(B3112,Assumptions!$A$16:$A$20,0)))</f>
        <v>2946.4</v>
      </c>
      <c r="J3112" s="33" t="n">
        <f aca="false">H3112-I3112</f>
        <v>803.6</v>
      </c>
      <c r="K3112" s="33" t="n">
        <f aca="false">IF(OR(E3112=0,E3112&gt;=7),0,D3112/(7-E3112)*E3112*INDEX(Products!$E$2:$E$49,MATCH(C3112,Products!$A$2:$A$49,0)))</f>
        <v>0</v>
      </c>
    </row>
    <row r="3113" customFormat="false" ht="15" hidden="false" customHeight="false" outlineLevel="0" collapsed="false">
      <c r="A3113" s="36" t="n">
        <v>46195</v>
      </c>
      <c r="B3113" s="24" t="s">
        <v>63</v>
      </c>
      <c r="C3113" s="24" t="s">
        <v>171</v>
      </c>
      <c r="D3113" s="33" t="n">
        <v>23</v>
      </c>
      <c r="E3113" s="24" t="n">
        <v>0</v>
      </c>
      <c r="F3113" s="37" t="n">
        <f aca="false">DATE(YEAR(A3113),MONTH(A3113),1)</f>
        <v>46174</v>
      </c>
      <c r="G3113" s="24" t="str">
        <f aca="false">INDEX(Products!$C$2:$C$49,MATCH(C3113,Products!$A$2:$A$49,0))</f>
        <v>Household</v>
      </c>
      <c r="H3113" s="33" t="n">
        <f aca="false">D3113*INDEX(Products!$E$2:$E$49,MATCH(C3113,Products!$A$2:$A$49,0))</f>
        <v>3450</v>
      </c>
      <c r="I3113" s="33" t="n">
        <f aca="false">D3113*INDEX(Products!$D$2:$D$49,MATCH(C3113,Products!$A$2:$A$49,0))*(1+INDEX(Assumptions!$B$16:$B$20,MATCH(B3113,Assumptions!$A$16:$A$20,0)))</f>
        <v>2710.688</v>
      </c>
      <c r="J3113" s="33" t="n">
        <f aca="false">H3113-I3113</f>
        <v>739.312</v>
      </c>
      <c r="K3113" s="33" t="n">
        <f aca="false">IF(OR(E3113=0,E3113&gt;=7),0,D3113/(7-E3113)*E3113*INDEX(Products!$E$2:$E$49,MATCH(C3113,Products!$A$2:$A$49,0)))</f>
        <v>0</v>
      </c>
    </row>
    <row r="3114" customFormat="false" ht="15" hidden="false" customHeight="false" outlineLevel="0" collapsed="false">
      <c r="A3114" s="36" t="n">
        <v>46202</v>
      </c>
      <c r="B3114" s="24" t="s">
        <v>63</v>
      </c>
      <c r="C3114" s="24" t="s">
        <v>171</v>
      </c>
      <c r="D3114" s="33" t="n">
        <v>19</v>
      </c>
      <c r="E3114" s="24" t="n">
        <v>0</v>
      </c>
      <c r="F3114" s="37" t="n">
        <f aca="false">DATE(YEAR(A3114),MONTH(A3114),1)</f>
        <v>46174</v>
      </c>
      <c r="G3114" s="24" t="str">
        <f aca="false">INDEX(Products!$C$2:$C$49,MATCH(C3114,Products!$A$2:$A$49,0))</f>
        <v>Household</v>
      </c>
      <c r="H3114" s="33" t="n">
        <f aca="false">D3114*INDEX(Products!$E$2:$E$49,MATCH(C3114,Products!$A$2:$A$49,0))</f>
        <v>2850</v>
      </c>
      <c r="I3114" s="33" t="n">
        <f aca="false">D3114*INDEX(Products!$D$2:$D$49,MATCH(C3114,Products!$A$2:$A$49,0))*(1+INDEX(Assumptions!$B$16:$B$20,MATCH(B3114,Assumptions!$A$16:$A$20,0)))</f>
        <v>2239.264</v>
      </c>
      <c r="J3114" s="33" t="n">
        <f aca="false">H3114-I3114</f>
        <v>610.736</v>
      </c>
      <c r="K3114" s="33" t="n">
        <f aca="false">IF(OR(E3114=0,E3114&gt;=7),0,D3114/(7-E3114)*E3114*INDEX(Products!$E$2:$E$49,MATCH(C3114,Products!$A$2:$A$49,0)))</f>
        <v>0</v>
      </c>
    </row>
    <row r="3115" customFormat="false" ht="15" hidden="false" customHeight="false" outlineLevel="0" collapsed="false">
      <c r="A3115" s="36" t="n">
        <v>46209</v>
      </c>
      <c r="B3115" s="24" t="s">
        <v>63</v>
      </c>
      <c r="C3115" s="24" t="s">
        <v>171</v>
      </c>
      <c r="D3115" s="33" t="n">
        <v>20</v>
      </c>
      <c r="E3115" s="24" t="n">
        <v>0</v>
      </c>
      <c r="F3115" s="37" t="n">
        <f aca="false">DATE(YEAR(A3115),MONTH(A3115),1)</f>
        <v>46204</v>
      </c>
      <c r="G3115" s="24" t="str">
        <f aca="false">INDEX(Products!$C$2:$C$49,MATCH(C3115,Products!$A$2:$A$49,0))</f>
        <v>Household</v>
      </c>
      <c r="H3115" s="33" t="n">
        <f aca="false">D3115*INDEX(Products!$E$2:$E$49,MATCH(C3115,Products!$A$2:$A$49,0))</f>
        <v>3000</v>
      </c>
      <c r="I3115" s="33" t="n">
        <f aca="false">D3115*INDEX(Products!$D$2:$D$49,MATCH(C3115,Products!$A$2:$A$49,0))*(1+INDEX(Assumptions!$B$16:$B$20,MATCH(B3115,Assumptions!$A$16:$A$20,0)))</f>
        <v>2357.12</v>
      </c>
      <c r="J3115" s="33" t="n">
        <f aca="false">H3115-I3115</f>
        <v>642.88</v>
      </c>
      <c r="K3115" s="33" t="n">
        <f aca="false">IF(OR(E3115=0,E3115&gt;=7),0,D3115/(7-E3115)*E3115*INDEX(Products!$E$2:$E$49,MATCH(C3115,Products!$A$2:$A$49,0)))</f>
        <v>0</v>
      </c>
    </row>
    <row r="3116" customFormat="false" ht="15" hidden="false" customHeight="false" outlineLevel="0" collapsed="false">
      <c r="A3116" s="36" t="n">
        <v>46216</v>
      </c>
      <c r="B3116" s="24" t="s">
        <v>63</v>
      </c>
      <c r="C3116" s="24" t="s">
        <v>171</v>
      </c>
      <c r="D3116" s="33" t="n">
        <v>28</v>
      </c>
      <c r="E3116" s="24" t="n">
        <v>0</v>
      </c>
      <c r="F3116" s="37" t="n">
        <f aca="false">DATE(YEAR(A3116),MONTH(A3116),1)</f>
        <v>46204</v>
      </c>
      <c r="G3116" s="24" t="str">
        <f aca="false">INDEX(Products!$C$2:$C$49,MATCH(C3116,Products!$A$2:$A$49,0))</f>
        <v>Household</v>
      </c>
      <c r="H3116" s="33" t="n">
        <f aca="false">D3116*INDEX(Products!$E$2:$E$49,MATCH(C3116,Products!$A$2:$A$49,0))</f>
        <v>4200</v>
      </c>
      <c r="I3116" s="33" t="n">
        <f aca="false">D3116*INDEX(Products!$D$2:$D$49,MATCH(C3116,Products!$A$2:$A$49,0))*(1+INDEX(Assumptions!$B$16:$B$20,MATCH(B3116,Assumptions!$A$16:$A$20,0)))</f>
        <v>3299.968</v>
      </c>
      <c r="J3116" s="33" t="n">
        <f aca="false">H3116-I3116</f>
        <v>900.032</v>
      </c>
      <c r="K3116" s="33" t="n">
        <f aca="false">IF(OR(E3116=0,E3116&gt;=7),0,D3116/(7-E3116)*E3116*INDEX(Products!$E$2:$E$49,MATCH(C3116,Products!$A$2:$A$49,0)))</f>
        <v>0</v>
      </c>
    </row>
    <row r="3117" customFormat="false" ht="15" hidden="false" customHeight="false" outlineLevel="0" collapsed="false">
      <c r="A3117" s="36" t="n">
        <v>46223</v>
      </c>
      <c r="B3117" s="24" t="s">
        <v>63</v>
      </c>
      <c r="C3117" s="24" t="s">
        <v>171</v>
      </c>
      <c r="D3117" s="33" t="n">
        <v>30</v>
      </c>
      <c r="E3117" s="24" t="n">
        <v>0</v>
      </c>
      <c r="F3117" s="37" t="n">
        <f aca="false">DATE(YEAR(A3117),MONTH(A3117),1)</f>
        <v>46204</v>
      </c>
      <c r="G3117" s="24" t="str">
        <f aca="false">INDEX(Products!$C$2:$C$49,MATCH(C3117,Products!$A$2:$A$49,0))</f>
        <v>Household</v>
      </c>
      <c r="H3117" s="33" t="n">
        <f aca="false">D3117*INDEX(Products!$E$2:$E$49,MATCH(C3117,Products!$A$2:$A$49,0))</f>
        <v>4500</v>
      </c>
      <c r="I3117" s="33" t="n">
        <f aca="false">D3117*INDEX(Products!$D$2:$D$49,MATCH(C3117,Products!$A$2:$A$49,0))*(1+INDEX(Assumptions!$B$16:$B$20,MATCH(B3117,Assumptions!$A$16:$A$20,0)))</f>
        <v>3535.68</v>
      </c>
      <c r="J3117" s="33" t="n">
        <f aca="false">H3117-I3117</f>
        <v>964.32</v>
      </c>
      <c r="K3117" s="33" t="n">
        <f aca="false">IF(OR(E3117=0,E3117&gt;=7),0,D3117/(7-E3117)*E3117*INDEX(Products!$E$2:$E$49,MATCH(C3117,Products!$A$2:$A$49,0)))</f>
        <v>0</v>
      </c>
    </row>
    <row r="3118" customFormat="false" ht="15" hidden="false" customHeight="false" outlineLevel="0" collapsed="false">
      <c r="A3118" s="36" t="n">
        <v>46230</v>
      </c>
      <c r="B3118" s="24" t="s">
        <v>63</v>
      </c>
      <c r="C3118" s="24" t="s">
        <v>171</v>
      </c>
      <c r="D3118" s="33" t="n">
        <v>22</v>
      </c>
      <c r="E3118" s="24" t="n">
        <v>0</v>
      </c>
      <c r="F3118" s="37" t="n">
        <f aca="false">DATE(YEAR(A3118),MONTH(A3118),1)</f>
        <v>46204</v>
      </c>
      <c r="G3118" s="24" t="str">
        <f aca="false">INDEX(Products!$C$2:$C$49,MATCH(C3118,Products!$A$2:$A$49,0))</f>
        <v>Household</v>
      </c>
      <c r="H3118" s="33" t="n">
        <f aca="false">D3118*INDEX(Products!$E$2:$E$49,MATCH(C3118,Products!$A$2:$A$49,0))</f>
        <v>3300</v>
      </c>
      <c r="I3118" s="33" t="n">
        <f aca="false">D3118*INDEX(Products!$D$2:$D$49,MATCH(C3118,Products!$A$2:$A$49,0))*(1+INDEX(Assumptions!$B$16:$B$20,MATCH(B3118,Assumptions!$A$16:$A$20,0)))</f>
        <v>2592.832</v>
      </c>
      <c r="J3118" s="33" t="n">
        <f aca="false">H3118-I3118</f>
        <v>707.168</v>
      </c>
      <c r="K3118" s="33" t="n">
        <f aca="false">IF(OR(E3118=0,E3118&gt;=7),0,D3118/(7-E3118)*E3118*INDEX(Products!$E$2:$E$49,MATCH(C3118,Products!$A$2:$A$49,0)))</f>
        <v>0</v>
      </c>
    </row>
    <row r="3119" customFormat="false" ht="15" hidden="false" customHeight="false" outlineLevel="0" collapsed="false">
      <c r="A3119" s="36" t="n">
        <v>46237</v>
      </c>
      <c r="B3119" s="24" t="s">
        <v>63</v>
      </c>
      <c r="C3119" s="24" t="s">
        <v>171</v>
      </c>
      <c r="D3119" s="33" t="n">
        <v>21</v>
      </c>
      <c r="E3119" s="24" t="n">
        <v>0</v>
      </c>
      <c r="F3119" s="37" t="n">
        <f aca="false">DATE(YEAR(A3119),MONTH(A3119),1)</f>
        <v>46235</v>
      </c>
      <c r="G3119" s="24" t="str">
        <f aca="false">INDEX(Products!$C$2:$C$49,MATCH(C3119,Products!$A$2:$A$49,0))</f>
        <v>Household</v>
      </c>
      <c r="H3119" s="33" t="n">
        <f aca="false">D3119*INDEX(Products!$E$2:$E$49,MATCH(C3119,Products!$A$2:$A$49,0))</f>
        <v>3150</v>
      </c>
      <c r="I3119" s="33" t="n">
        <f aca="false">D3119*INDEX(Products!$D$2:$D$49,MATCH(C3119,Products!$A$2:$A$49,0))*(1+INDEX(Assumptions!$B$16:$B$20,MATCH(B3119,Assumptions!$A$16:$A$20,0)))</f>
        <v>2474.976</v>
      </c>
      <c r="J3119" s="33" t="n">
        <f aca="false">H3119-I3119</f>
        <v>675.024</v>
      </c>
      <c r="K3119" s="33" t="n">
        <f aca="false">IF(OR(E3119=0,E3119&gt;=7),0,D3119/(7-E3119)*E3119*INDEX(Products!$E$2:$E$49,MATCH(C3119,Products!$A$2:$A$49,0)))</f>
        <v>0</v>
      </c>
    </row>
    <row r="3120" customFormat="false" ht="15" hidden="false" customHeight="false" outlineLevel="0" collapsed="false">
      <c r="A3120" s="36" t="n">
        <v>46244</v>
      </c>
      <c r="B3120" s="24" t="s">
        <v>63</v>
      </c>
      <c r="C3120" s="24" t="s">
        <v>171</v>
      </c>
      <c r="D3120" s="33" t="n">
        <v>25</v>
      </c>
      <c r="E3120" s="24" t="n">
        <v>0</v>
      </c>
      <c r="F3120" s="37" t="n">
        <f aca="false">DATE(YEAR(A3120),MONTH(A3120),1)</f>
        <v>46235</v>
      </c>
      <c r="G3120" s="24" t="str">
        <f aca="false">INDEX(Products!$C$2:$C$49,MATCH(C3120,Products!$A$2:$A$49,0))</f>
        <v>Household</v>
      </c>
      <c r="H3120" s="33" t="n">
        <f aca="false">D3120*INDEX(Products!$E$2:$E$49,MATCH(C3120,Products!$A$2:$A$49,0))</f>
        <v>3750</v>
      </c>
      <c r="I3120" s="33" t="n">
        <f aca="false">D3120*INDEX(Products!$D$2:$D$49,MATCH(C3120,Products!$A$2:$A$49,0))*(1+INDEX(Assumptions!$B$16:$B$20,MATCH(B3120,Assumptions!$A$16:$A$20,0)))</f>
        <v>2946.4</v>
      </c>
      <c r="J3120" s="33" t="n">
        <f aca="false">H3120-I3120</f>
        <v>803.6</v>
      </c>
      <c r="K3120" s="33" t="n">
        <f aca="false">IF(OR(E3120=0,E3120&gt;=7),0,D3120/(7-E3120)*E3120*INDEX(Products!$E$2:$E$49,MATCH(C3120,Products!$A$2:$A$49,0)))</f>
        <v>0</v>
      </c>
    </row>
    <row r="3121" customFormat="false" ht="15" hidden="false" customHeight="false" outlineLevel="0" collapsed="false">
      <c r="A3121" s="36" t="n">
        <v>46251</v>
      </c>
      <c r="B3121" s="24" t="s">
        <v>63</v>
      </c>
      <c r="C3121" s="24" t="s">
        <v>171</v>
      </c>
      <c r="D3121" s="33" t="n">
        <v>23</v>
      </c>
      <c r="E3121" s="24" t="n">
        <v>0</v>
      </c>
      <c r="F3121" s="37" t="n">
        <f aca="false">DATE(YEAR(A3121),MONTH(A3121),1)</f>
        <v>46235</v>
      </c>
      <c r="G3121" s="24" t="str">
        <f aca="false">INDEX(Products!$C$2:$C$49,MATCH(C3121,Products!$A$2:$A$49,0))</f>
        <v>Household</v>
      </c>
      <c r="H3121" s="33" t="n">
        <f aca="false">D3121*INDEX(Products!$E$2:$E$49,MATCH(C3121,Products!$A$2:$A$49,0))</f>
        <v>3450</v>
      </c>
      <c r="I3121" s="33" t="n">
        <f aca="false">D3121*INDEX(Products!$D$2:$D$49,MATCH(C3121,Products!$A$2:$A$49,0))*(1+INDEX(Assumptions!$B$16:$B$20,MATCH(B3121,Assumptions!$A$16:$A$20,0)))</f>
        <v>2710.688</v>
      </c>
      <c r="J3121" s="33" t="n">
        <f aca="false">H3121-I3121</f>
        <v>739.312</v>
      </c>
      <c r="K3121" s="33" t="n">
        <f aca="false">IF(OR(E3121=0,E3121&gt;=7),0,D3121/(7-E3121)*E3121*INDEX(Products!$E$2:$E$49,MATCH(C3121,Products!$A$2:$A$49,0)))</f>
        <v>0</v>
      </c>
    </row>
    <row r="3122" customFormat="false" ht="15" hidden="false" customHeight="false" outlineLevel="0" collapsed="false">
      <c r="A3122" s="36" t="n">
        <v>46258</v>
      </c>
      <c r="B3122" s="24" t="s">
        <v>63</v>
      </c>
      <c r="C3122" s="24" t="s">
        <v>171</v>
      </c>
      <c r="D3122" s="33" t="n">
        <v>21</v>
      </c>
      <c r="E3122" s="24" t="n">
        <v>0</v>
      </c>
      <c r="F3122" s="37" t="n">
        <f aca="false">DATE(YEAR(A3122),MONTH(A3122),1)</f>
        <v>46235</v>
      </c>
      <c r="G3122" s="24" t="str">
        <f aca="false">INDEX(Products!$C$2:$C$49,MATCH(C3122,Products!$A$2:$A$49,0))</f>
        <v>Household</v>
      </c>
      <c r="H3122" s="33" t="n">
        <f aca="false">D3122*INDEX(Products!$E$2:$E$49,MATCH(C3122,Products!$A$2:$A$49,0))</f>
        <v>3150</v>
      </c>
      <c r="I3122" s="33" t="n">
        <f aca="false">D3122*INDEX(Products!$D$2:$D$49,MATCH(C3122,Products!$A$2:$A$49,0))*(1+INDEX(Assumptions!$B$16:$B$20,MATCH(B3122,Assumptions!$A$16:$A$20,0)))</f>
        <v>2474.976</v>
      </c>
      <c r="J3122" s="33" t="n">
        <f aca="false">H3122-I3122</f>
        <v>675.024</v>
      </c>
      <c r="K3122" s="33" t="n">
        <f aca="false">IF(OR(E3122=0,E3122&gt;=7),0,D3122/(7-E3122)*E3122*INDEX(Products!$E$2:$E$49,MATCH(C3122,Products!$A$2:$A$49,0)))</f>
        <v>0</v>
      </c>
    </row>
    <row r="3123" customFormat="false" ht="15" hidden="false" customHeight="false" outlineLevel="0" collapsed="false">
      <c r="A3123" s="36" t="n">
        <v>46265</v>
      </c>
      <c r="B3123" s="24" t="s">
        <v>63</v>
      </c>
      <c r="C3123" s="24" t="s">
        <v>171</v>
      </c>
      <c r="D3123" s="33" t="n">
        <v>27</v>
      </c>
      <c r="E3123" s="24" t="n">
        <v>0</v>
      </c>
      <c r="F3123" s="37" t="n">
        <f aca="false">DATE(YEAR(A3123),MONTH(A3123),1)</f>
        <v>46235</v>
      </c>
      <c r="G3123" s="24" t="str">
        <f aca="false">INDEX(Products!$C$2:$C$49,MATCH(C3123,Products!$A$2:$A$49,0))</f>
        <v>Household</v>
      </c>
      <c r="H3123" s="33" t="n">
        <f aca="false">D3123*INDEX(Products!$E$2:$E$49,MATCH(C3123,Products!$A$2:$A$49,0))</f>
        <v>4050</v>
      </c>
      <c r="I3123" s="33" t="n">
        <f aca="false">D3123*INDEX(Products!$D$2:$D$49,MATCH(C3123,Products!$A$2:$A$49,0))*(1+INDEX(Assumptions!$B$16:$B$20,MATCH(B3123,Assumptions!$A$16:$A$20,0)))</f>
        <v>3182.112</v>
      </c>
      <c r="J3123" s="33" t="n">
        <f aca="false">H3123-I3123</f>
        <v>867.888</v>
      </c>
      <c r="K3123" s="33" t="n">
        <f aca="false">IF(OR(E3123=0,E3123&gt;=7),0,D3123/(7-E3123)*E3123*INDEX(Products!$E$2:$E$49,MATCH(C3123,Products!$A$2:$A$49,0)))</f>
        <v>0</v>
      </c>
    </row>
    <row r="3124" customFormat="false" ht="15" hidden="false" customHeight="false" outlineLevel="0" collapsed="false">
      <c r="A3124" s="36" t="n">
        <v>46272</v>
      </c>
      <c r="B3124" s="24" t="s">
        <v>63</v>
      </c>
      <c r="C3124" s="24" t="s">
        <v>171</v>
      </c>
      <c r="D3124" s="33" t="n">
        <v>24</v>
      </c>
      <c r="E3124" s="24" t="n">
        <v>0</v>
      </c>
      <c r="F3124" s="37" t="n">
        <f aca="false">DATE(YEAR(A3124),MONTH(A3124),1)</f>
        <v>46266</v>
      </c>
      <c r="G3124" s="24" t="str">
        <f aca="false">INDEX(Products!$C$2:$C$49,MATCH(C3124,Products!$A$2:$A$49,0))</f>
        <v>Household</v>
      </c>
      <c r="H3124" s="33" t="n">
        <f aca="false">D3124*INDEX(Products!$E$2:$E$49,MATCH(C3124,Products!$A$2:$A$49,0))</f>
        <v>3600</v>
      </c>
      <c r="I3124" s="33" t="n">
        <f aca="false">D3124*INDEX(Products!$D$2:$D$49,MATCH(C3124,Products!$A$2:$A$49,0))*(1+INDEX(Assumptions!$B$16:$B$20,MATCH(B3124,Assumptions!$A$16:$A$20,0)))</f>
        <v>2828.544</v>
      </c>
      <c r="J3124" s="33" t="n">
        <f aca="false">H3124-I3124</f>
        <v>771.456</v>
      </c>
      <c r="K3124" s="33" t="n">
        <f aca="false">IF(OR(E3124=0,E3124&gt;=7),0,D3124/(7-E3124)*E3124*INDEX(Products!$E$2:$E$49,MATCH(C3124,Products!$A$2:$A$49,0)))</f>
        <v>0</v>
      </c>
    </row>
    <row r="3125" customFormat="false" ht="15" hidden="false" customHeight="false" outlineLevel="0" collapsed="false">
      <c r="A3125" s="36" t="n">
        <v>46279</v>
      </c>
      <c r="B3125" s="24" t="s">
        <v>63</v>
      </c>
      <c r="C3125" s="24" t="s">
        <v>171</v>
      </c>
      <c r="D3125" s="33" t="n">
        <v>28</v>
      </c>
      <c r="E3125" s="24" t="n">
        <v>0</v>
      </c>
      <c r="F3125" s="37" t="n">
        <f aca="false">DATE(YEAR(A3125),MONTH(A3125),1)</f>
        <v>46266</v>
      </c>
      <c r="G3125" s="24" t="str">
        <f aca="false">INDEX(Products!$C$2:$C$49,MATCH(C3125,Products!$A$2:$A$49,0))</f>
        <v>Household</v>
      </c>
      <c r="H3125" s="33" t="n">
        <f aca="false">D3125*INDEX(Products!$E$2:$E$49,MATCH(C3125,Products!$A$2:$A$49,0))</f>
        <v>4200</v>
      </c>
      <c r="I3125" s="33" t="n">
        <f aca="false">D3125*INDEX(Products!$D$2:$D$49,MATCH(C3125,Products!$A$2:$A$49,0))*(1+INDEX(Assumptions!$B$16:$B$20,MATCH(B3125,Assumptions!$A$16:$A$20,0)))</f>
        <v>3299.968</v>
      </c>
      <c r="J3125" s="33" t="n">
        <f aca="false">H3125-I3125</f>
        <v>900.032</v>
      </c>
      <c r="K3125" s="33" t="n">
        <f aca="false">IF(OR(E3125=0,E3125&gt;=7),0,D3125/(7-E3125)*E3125*INDEX(Products!$E$2:$E$49,MATCH(C3125,Products!$A$2:$A$49,0)))</f>
        <v>0</v>
      </c>
    </row>
    <row r="3126" customFormat="false" ht="15" hidden="false" customHeight="false" outlineLevel="0" collapsed="false">
      <c r="A3126" s="36" t="n">
        <v>46286</v>
      </c>
      <c r="B3126" s="24" t="s">
        <v>63</v>
      </c>
      <c r="C3126" s="24" t="s">
        <v>171</v>
      </c>
      <c r="D3126" s="33" t="n">
        <v>27</v>
      </c>
      <c r="E3126" s="24" t="n">
        <v>0</v>
      </c>
      <c r="F3126" s="37" t="n">
        <f aca="false">DATE(YEAR(A3126),MONTH(A3126),1)</f>
        <v>46266</v>
      </c>
      <c r="G3126" s="24" t="str">
        <f aca="false">INDEX(Products!$C$2:$C$49,MATCH(C3126,Products!$A$2:$A$49,0))</f>
        <v>Household</v>
      </c>
      <c r="H3126" s="33" t="n">
        <f aca="false">D3126*INDEX(Products!$E$2:$E$49,MATCH(C3126,Products!$A$2:$A$49,0))</f>
        <v>4050</v>
      </c>
      <c r="I3126" s="33" t="n">
        <f aca="false">D3126*INDEX(Products!$D$2:$D$49,MATCH(C3126,Products!$A$2:$A$49,0))*(1+INDEX(Assumptions!$B$16:$B$20,MATCH(B3126,Assumptions!$A$16:$A$20,0)))</f>
        <v>3182.112</v>
      </c>
      <c r="J3126" s="33" t="n">
        <f aca="false">H3126-I3126</f>
        <v>867.888</v>
      </c>
      <c r="K3126" s="33" t="n">
        <f aca="false">IF(OR(E3126=0,E3126&gt;=7),0,D3126/(7-E3126)*E3126*INDEX(Products!$E$2:$E$49,MATCH(C3126,Products!$A$2:$A$49,0)))</f>
        <v>0</v>
      </c>
    </row>
    <row r="3127" customFormat="false" ht="15" hidden="false" customHeight="false" outlineLevel="0" collapsed="false">
      <c r="A3127" s="36" t="n">
        <v>46118</v>
      </c>
      <c r="B3127" s="24" t="s">
        <v>63</v>
      </c>
      <c r="C3127" s="24" t="s">
        <v>173</v>
      </c>
      <c r="D3127" s="33" t="n">
        <v>39</v>
      </c>
      <c r="E3127" s="24" t="n">
        <v>0</v>
      </c>
      <c r="F3127" s="37" t="n">
        <f aca="false">DATE(YEAR(A3127),MONTH(A3127),1)</f>
        <v>46113</v>
      </c>
      <c r="G3127" s="24" t="str">
        <f aca="false">INDEX(Products!$C$2:$C$49,MATCH(C3127,Products!$A$2:$A$49,0))</f>
        <v>Household</v>
      </c>
      <c r="H3127" s="33" t="n">
        <f aca="false">D3127*INDEX(Products!$E$2:$E$49,MATCH(C3127,Products!$A$2:$A$49,0))</f>
        <v>10140</v>
      </c>
      <c r="I3127" s="33" t="n">
        <f aca="false">D3127*INDEX(Products!$D$2:$D$49,MATCH(C3127,Products!$A$2:$A$49,0))*(1+INDEX(Assumptions!$B$16:$B$20,MATCH(B3127,Assumptions!$A$16:$A$20,0)))</f>
        <v>7845.552</v>
      </c>
      <c r="J3127" s="33" t="n">
        <f aca="false">H3127-I3127</f>
        <v>2294.448</v>
      </c>
      <c r="K3127" s="33" t="n">
        <f aca="false">IF(OR(E3127=0,E3127&gt;=7),0,D3127/(7-E3127)*E3127*INDEX(Products!$E$2:$E$49,MATCH(C3127,Products!$A$2:$A$49,0)))</f>
        <v>0</v>
      </c>
    </row>
    <row r="3128" customFormat="false" ht="15" hidden="false" customHeight="false" outlineLevel="0" collapsed="false">
      <c r="A3128" s="36" t="n">
        <v>46125</v>
      </c>
      <c r="B3128" s="24" t="s">
        <v>63</v>
      </c>
      <c r="C3128" s="24" t="s">
        <v>173</v>
      </c>
      <c r="D3128" s="33" t="n">
        <v>36</v>
      </c>
      <c r="E3128" s="24" t="n">
        <v>0</v>
      </c>
      <c r="F3128" s="37" t="n">
        <f aca="false">DATE(YEAR(A3128),MONTH(A3128),1)</f>
        <v>46113</v>
      </c>
      <c r="G3128" s="24" t="str">
        <f aca="false">INDEX(Products!$C$2:$C$49,MATCH(C3128,Products!$A$2:$A$49,0))</f>
        <v>Household</v>
      </c>
      <c r="H3128" s="33" t="n">
        <f aca="false">D3128*INDEX(Products!$E$2:$E$49,MATCH(C3128,Products!$A$2:$A$49,0))</f>
        <v>9360</v>
      </c>
      <c r="I3128" s="33" t="n">
        <f aca="false">D3128*INDEX(Products!$D$2:$D$49,MATCH(C3128,Products!$A$2:$A$49,0))*(1+INDEX(Assumptions!$B$16:$B$20,MATCH(B3128,Assumptions!$A$16:$A$20,0)))</f>
        <v>7242.048</v>
      </c>
      <c r="J3128" s="33" t="n">
        <f aca="false">H3128-I3128</f>
        <v>2117.952</v>
      </c>
      <c r="K3128" s="33" t="n">
        <f aca="false">IF(OR(E3128=0,E3128&gt;=7),0,D3128/(7-E3128)*E3128*INDEX(Products!$E$2:$E$49,MATCH(C3128,Products!$A$2:$A$49,0)))</f>
        <v>0</v>
      </c>
    </row>
    <row r="3129" customFormat="false" ht="15" hidden="false" customHeight="false" outlineLevel="0" collapsed="false">
      <c r="A3129" s="36" t="n">
        <v>46132</v>
      </c>
      <c r="B3129" s="24" t="s">
        <v>63</v>
      </c>
      <c r="C3129" s="24" t="s">
        <v>173</v>
      </c>
      <c r="D3129" s="33" t="n">
        <v>43</v>
      </c>
      <c r="E3129" s="24" t="n">
        <v>0</v>
      </c>
      <c r="F3129" s="37" t="n">
        <f aca="false">DATE(YEAR(A3129),MONTH(A3129),1)</f>
        <v>46113</v>
      </c>
      <c r="G3129" s="24" t="str">
        <f aca="false">INDEX(Products!$C$2:$C$49,MATCH(C3129,Products!$A$2:$A$49,0))</f>
        <v>Household</v>
      </c>
      <c r="H3129" s="33" t="n">
        <f aca="false">D3129*INDEX(Products!$E$2:$E$49,MATCH(C3129,Products!$A$2:$A$49,0))</f>
        <v>11180</v>
      </c>
      <c r="I3129" s="33" t="n">
        <f aca="false">D3129*INDEX(Products!$D$2:$D$49,MATCH(C3129,Products!$A$2:$A$49,0))*(1+INDEX(Assumptions!$B$16:$B$20,MATCH(B3129,Assumptions!$A$16:$A$20,0)))</f>
        <v>8650.224</v>
      </c>
      <c r="J3129" s="33" t="n">
        <f aca="false">H3129-I3129</f>
        <v>2529.776</v>
      </c>
      <c r="K3129" s="33" t="n">
        <f aca="false">IF(OR(E3129=0,E3129&gt;=7),0,D3129/(7-E3129)*E3129*INDEX(Products!$E$2:$E$49,MATCH(C3129,Products!$A$2:$A$49,0)))</f>
        <v>0</v>
      </c>
    </row>
    <row r="3130" customFormat="false" ht="15" hidden="false" customHeight="false" outlineLevel="0" collapsed="false">
      <c r="A3130" s="36" t="n">
        <v>46139</v>
      </c>
      <c r="B3130" s="24" t="s">
        <v>63</v>
      </c>
      <c r="C3130" s="24" t="s">
        <v>173</v>
      </c>
      <c r="D3130" s="33" t="n">
        <v>48</v>
      </c>
      <c r="E3130" s="24" t="n">
        <v>0</v>
      </c>
      <c r="F3130" s="37" t="n">
        <f aca="false">DATE(YEAR(A3130),MONTH(A3130),1)</f>
        <v>46113</v>
      </c>
      <c r="G3130" s="24" t="str">
        <f aca="false">INDEX(Products!$C$2:$C$49,MATCH(C3130,Products!$A$2:$A$49,0))</f>
        <v>Household</v>
      </c>
      <c r="H3130" s="33" t="n">
        <f aca="false">D3130*INDEX(Products!$E$2:$E$49,MATCH(C3130,Products!$A$2:$A$49,0))</f>
        <v>12480</v>
      </c>
      <c r="I3130" s="33" t="n">
        <f aca="false">D3130*INDEX(Products!$D$2:$D$49,MATCH(C3130,Products!$A$2:$A$49,0))*(1+INDEX(Assumptions!$B$16:$B$20,MATCH(B3130,Assumptions!$A$16:$A$20,0)))</f>
        <v>9656.064</v>
      </c>
      <c r="J3130" s="33" t="n">
        <f aca="false">H3130-I3130</f>
        <v>2823.936</v>
      </c>
      <c r="K3130" s="33" t="n">
        <f aca="false">IF(OR(E3130=0,E3130&gt;=7),0,D3130/(7-E3130)*E3130*INDEX(Products!$E$2:$E$49,MATCH(C3130,Products!$A$2:$A$49,0)))</f>
        <v>0</v>
      </c>
    </row>
    <row r="3131" customFormat="false" ht="15" hidden="false" customHeight="false" outlineLevel="0" collapsed="false">
      <c r="A3131" s="36" t="n">
        <v>46146</v>
      </c>
      <c r="B3131" s="24" t="s">
        <v>63</v>
      </c>
      <c r="C3131" s="24" t="s">
        <v>173</v>
      </c>
      <c r="D3131" s="33" t="n">
        <v>34</v>
      </c>
      <c r="E3131" s="24" t="n">
        <v>0</v>
      </c>
      <c r="F3131" s="37" t="n">
        <f aca="false">DATE(YEAR(A3131),MONTH(A3131),1)</f>
        <v>46143</v>
      </c>
      <c r="G3131" s="24" t="str">
        <f aca="false">INDEX(Products!$C$2:$C$49,MATCH(C3131,Products!$A$2:$A$49,0))</f>
        <v>Household</v>
      </c>
      <c r="H3131" s="33" t="n">
        <f aca="false">D3131*INDEX(Products!$E$2:$E$49,MATCH(C3131,Products!$A$2:$A$49,0))</f>
        <v>8840</v>
      </c>
      <c r="I3131" s="33" t="n">
        <f aca="false">D3131*INDEX(Products!$D$2:$D$49,MATCH(C3131,Products!$A$2:$A$49,0))*(1+INDEX(Assumptions!$B$16:$B$20,MATCH(B3131,Assumptions!$A$16:$A$20,0)))</f>
        <v>6839.712</v>
      </c>
      <c r="J3131" s="33" t="n">
        <f aca="false">H3131-I3131</f>
        <v>2000.288</v>
      </c>
      <c r="K3131" s="33" t="n">
        <f aca="false">IF(OR(E3131=0,E3131&gt;=7),0,D3131/(7-E3131)*E3131*INDEX(Products!$E$2:$E$49,MATCH(C3131,Products!$A$2:$A$49,0)))</f>
        <v>0</v>
      </c>
    </row>
    <row r="3132" customFormat="false" ht="15" hidden="false" customHeight="false" outlineLevel="0" collapsed="false">
      <c r="A3132" s="36" t="n">
        <v>46153</v>
      </c>
      <c r="B3132" s="24" t="s">
        <v>63</v>
      </c>
      <c r="C3132" s="24" t="s">
        <v>173</v>
      </c>
      <c r="D3132" s="33" t="n">
        <v>38</v>
      </c>
      <c r="E3132" s="24" t="n">
        <v>0</v>
      </c>
      <c r="F3132" s="37" t="n">
        <f aca="false">DATE(YEAR(A3132),MONTH(A3132),1)</f>
        <v>46143</v>
      </c>
      <c r="G3132" s="24" t="str">
        <f aca="false">INDEX(Products!$C$2:$C$49,MATCH(C3132,Products!$A$2:$A$49,0))</f>
        <v>Household</v>
      </c>
      <c r="H3132" s="33" t="n">
        <f aca="false">D3132*INDEX(Products!$E$2:$E$49,MATCH(C3132,Products!$A$2:$A$49,0))</f>
        <v>9880</v>
      </c>
      <c r="I3132" s="33" t="n">
        <f aca="false">D3132*INDEX(Products!$D$2:$D$49,MATCH(C3132,Products!$A$2:$A$49,0))*(1+INDEX(Assumptions!$B$16:$B$20,MATCH(B3132,Assumptions!$A$16:$A$20,0)))</f>
        <v>7644.384</v>
      </c>
      <c r="J3132" s="33" t="n">
        <f aca="false">H3132-I3132</f>
        <v>2235.616</v>
      </c>
      <c r="K3132" s="33" t="n">
        <f aca="false">IF(OR(E3132=0,E3132&gt;=7),0,D3132/(7-E3132)*E3132*INDEX(Products!$E$2:$E$49,MATCH(C3132,Products!$A$2:$A$49,0)))</f>
        <v>0</v>
      </c>
    </row>
    <row r="3133" customFormat="false" ht="15" hidden="false" customHeight="false" outlineLevel="0" collapsed="false">
      <c r="A3133" s="36" t="n">
        <v>46160</v>
      </c>
      <c r="B3133" s="24" t="s">
        <v>63</v>
      </c>
      <c r="C3133" s="24" t="s">
        <v>173</v>
      </c>
      <c r="D3133" s="33" t="n">
        <v>33</v>
      </c>
      <c r="E3133" s="24" t="n">
        <v>0</v>
      </c>
      <c r="F3133" s="37" t="n">
        <f aca="false">DATE(YEAR(A3133),MONTH(A3133),1)</f>
        <v>46143</v>
      </c>
      <c r="G3133" s="24" t="str">
        <f aca="false">INDEX(Products!$C$2:$C$49,MATCH(C3133,Products!$A$2:$A$49,0))</f>
        <v>Household</v>
      </c>
      <c r="H3133" s="33" t="n">
        <f aca="false">D3133*INDEX(Products!$E$2:$E$49,MATCH(C3133,Products!$A$2:$A$49,0))</f>
        <v>8580</v>
      </c>
      <c r="I3133" s="33" t="n">
        <f aca="false">D3133*INDEX(Products!$D$2:$D$49,MATCH(C3133,Products!$A$2:$A$49,0))*(1+INDEX(Assumptions!$B$16:$B$20,MATCH(B3133,Assumptions!$A$16:$A$20,0)))</f>
        <v>6638.544</v>
      </c>
      <c r="J3133" s="33" t="n">
        <f aca="false">H3133-I3133</f>
        <v>1941.456</v>
      </c>
      <c r="K3133" s="33" t="n">
        <f aca="false">IF(OR(E3133=0,E3133&gt;=7),0,D3133/(7-E3133)*E3133*INDEX(Products!$E$2:$E$49,MATCH(C3133,Products!$A$2:$A$49,0)))</f>
        <v>0</v>
      </c>
    </row>
    <row r="3134" customFormat="false" ht="15" hidden="false" customHeight="false" outlineLevel="0" collapsed="false">
      <c r="A3134" s="36" t="n">
        <v>46167</v>
      </c>
      <c r="B3134" s="24" t="s">
        <v>63</v>
      </c>
      <c r="C3134" s="24" t="s">
        <v>173</v>
      </c>
      <c r="D3134" s="33" t="n">
        <v>38</v>
      </c>
      <c r="E3134" s="24" t="n">
        <v>0</v>
      </c>
      <c r="F3134" s="37" t="n">
        <f aca="false">DATE(YEAR(A3134),MONTH(A3134),1)</f>
        <v>46143</v>
      </c>
      <c r="G3134" s="24" t="str">
        <f aca="false">INDEX(Products!$C$2:$C$49,MATCH(C3134,Products!$A$2:$A$49,0))</f>
        <v>Household</v>
      </c>
      <c r="H3134" s="33" t="n">
        <f aca="false">D3134*INDEX(Products!$E$2:$E$49,MATCH(C3134,Products!$A$2:$A$49,0))</f>
        <v>9880</v>
      </c>
      <c r="I3134" s="33" t="n">
        <f aca="false">D3134*INDEX(Products!$D$2:$D$49,MATCH(C3134,Products!$A$2:$A$49,0))*(1+INDEX(Assumptions!$B$16:$B$20,MATCH(B3134,Assumptions!$A$16:$A$20,0)))</f>
        <v>7644.384</v>
      </c>
      <c r="J3134" s="33" t="n">
        <f aca="false">H3134-I3134</f>
        <v>2235.616</v>
      </c>
      <c r="K3134" s="33" t="n">
        <f aca="false">IF(OR(E3134=0,E3134&gt;=7),0,D3134/(7-E3134)*E3134*INDEX(Products!$E$2:$E$49,MATCH(C3134,Products!$A$2:$A$49,0)))</f>
        <v>0</v>
      </c>
    </row>
    <row r="3135" customFormat="false" ht="15" hidden="false" customHeight="false" outlineLevel="0" collapsed="false">
      <c r="A3135" s="36" t="n">
        <v>46174</v>
      </c>
      <c r="B3135" s="24" t="s">
        <v>63</v>
      </c>
      <c r="C3135" s="24" t="s">
        <v>173</v>
      </c>
      <c r="D3135" s="33" t="n">
        <v>30</v>
      </c>
      <c r="E3135" s="24" t="n">
        <v>0</v>
      </c>
      <c r="F3135" s="37" t="n">
        <f aca="false">DATE(YEAR(A3135),MONTH(A3135),1)</f>
        <v>46174</v>
      </c>
      <c r="G3135" s="24" t="str">
        <f aca="false">INDEX(Products!$C$2:$C$49,MATCH(C3135,Products!$A$2:$A$49,0))</f>
        <v>Household</v>
      </c>
      <c r="H3135" s="33" t="n">
        <f aca="false">D3135*INDEX(Products!$E$2:$E$49,MATCH(C3135,Products!$A$2:$A$49,0))</f>
        <v>7800</v>
      </c>
      <c r="I3135" s="33" t="n">
        <f aca="false">D3135*INDEX(Products!$D$2:$D$49,MATCH(C3135,Products!$A$2:$A$49,0))*(1+INDEX(Assumptions!$B$16:$B$20,MATCH(B3135,Assumptions!$A$16:$A$20,0)))</f>
        <v>6035.04</v>
      </c>
      <c r="J3135" s="33" t="n">
        <f aca="false">H3135-I3135</f>
        <v>1764.96</v>
      </c>
      <c r="K3135" s="33" t="n">
        <f aca="false">IF(OR(E3135=0,E3135&gt;=7),0,D3135/(7-E3135)*E3135*INDEX(Products!$E$2:$E$49,MATCH(C3135,Products!$A$2:$A$49,0)))</f>
        <v>0</v>
      </c>
    </row>
    <row r="3136" customFormat="false" ht="15" hidden="false" customHeight="false" outlineLevel="0" collapsed="false">
      <c r="A3136" s="36" t="n">
        <v>46181</v>
      </c>
      <c r="B3136" s="24" t="s">
        <v>63</v>
      </c>
      <c r="C3136" s="24" t="s">
        <v>173</v>
      </c>
      <c r="D3136" s="33" t="n">
        <v>37</v>
      </c>
      <c r="E3136" s="24" t="n">
        <v>0</v>
      </c>
      <c r="F3136" s="37" t="n">
        <f aca="false">DATE(YEAR(A3136),MONTH(A3136),1)</f>
        <v>46174</v>
      </c>
      <c r="G3136" s="24" t="str">
        <f aca="false">INDEX(Products!$C$2:$C$49,MATCH(C3136,Products!$A$2:$A$49,0))</f>
        <v>Household</v>
      </c>
      <c r="H3136" s="33" t="n">
        <f aca="false">D3136*INDEX(Products!$E$2:$E$49,MATCH(C3136,Products!$A$2:$A$49,0))</f>
        <v>9620</v>
      </c>
      <c r="I3136" s="33" t="n">
        <f aca="false">D3136*INDEX(Products!$D$2:$D$49,MATCH(C3136,Products!$A$2:$A$49,0))*(1+INDEX(Assumptions!$B$16:$B$20,MATCH(B3136,Assumptions!$A$16:$A$20,0)))</f>
        <v>7443.216</v>
      </c>
      <c r="J3136" s="33" t="n">
        <f aca="false">H3136-I3136</f>
        <v>2176.784</v>
      </c>
      <c r="K3136" s="33" t="n">
        <f aca="false">IF(OR(E3136=0,E3136&gt;=7),0,D3136/(7-E3136)*E3136*INDEX(Products!$E$2:$E$49,MATCH(C3136,Products!$A$2:$A$49,0)))</f>
        <v>0</v>
      </c>
    </row>
    <row r="3137" customFormat="false" ht="15" hidden="false" customHeight="false" outlineLevel="0" collapsed="false">
      <c r="A3137" s="36" t="n">
        <v>46188</v>
      </c>
      <c r="B3137" s="24" t="s">
        <v>63</v>
      </c>
      <c r="C3137" s="24" t="s">
        <v>173</v>
      </c>
      <c r="D3137" s="33" t="n">
        <v>26</v>
      </c>
      <c r="E3137" s="24" t="n">
        <v>0</v>
      </c>
      <c r="F3137" s="37" t="n">
        <f aca="false">DATE(YEAR(A3137),MONTH(A3137),1)</f>
        <v>46174</v>
      </c>
      <c r="G3137" s="24" t="str">
        <f aca="false">INDEX(Products!$C$2:$C$49,MATCH(C3137,Products!$A$2:$A$49,0))</f>
        <v>Household</v>
      </c>
      <c r="H3137" s="33" t="n">
        <f aca="false">D3137*INDEX(Products!$E$2:$E$49,MATCH(C3137,Products!$A$2:$A$49,0))</f>
        <v>6760</v>
      </c>
      <c r="I3137" s="33" t="n">
        <f aca="false">D3137*INDEX(Products!$D$2:$D$49,MATCH(C3137,Products!$A$2:$A$49,0))*(1+INDEX(Assumptions!$B$16:$B$20,MATCH(B3137,Assumptions!$A$16:$A$20,0)))</f>
        <v>5230.368</v>
      </c>
      <c r="J3137" s="33" t="n">
        <f aca="false">H3137-I3137</f>
        <v>1529.632</v>
      </c>
      <c r="K3137" s="33" t="n">
        <f aca="false">IF(OR(E3137=0,E3137&gt;=7),0,D3137/(7-E3137)*E3137*INDEX(Products!$E$2:$E$49,MATCH(C3137,Products!$A$2:$A$49,0)))</f>
        <v>0</v>
      </c>
    </row>
    <row r="3138" customFormat="false" ht="15" hidden="false" customHeight="false" outlineLevel="0" collapsed="false">
      <c r="A3138" s="36" t="n">
        <v>46195</v>
      </c>
      <c r="B3138" s="24" t="s">
        <v>63</v>
      </c>
      <c r="C3138" s="24" t="s">
        <v>173</v>
      </c>
      <c r="D3138" s="33" t="n">
        <v>38</v>
      </c>
      <c r="E3138" s="24" t="n">
        <v>0</v>
      </c>
      <c r="F3138" s="37" t="n">
        <f aca="false">DATE(YEAR(A3138),MONTH(A3138),1)</f>
        <v>46174</v>
      </c>
      <c r="G3138" s="24" t="str">
        <f aca="false">INDEX(Products!$C$2:$C$49,MATCH(C3138,Products!$A$2:$A$49,0))</f>
        <v>Household</v>
      </c>
      <c r="H3138" s="33" t="n">
        <f aca="false">D3138*INDEX(Products!$E$2:$E$49,MATCH(C3138,Products!$A$2:$A$49,0))</f>
        <v>9880</v>
      </c>
      <c r="I3138" s="33" t="n">
        <f aca="false">D3138*INDEX(Products!$D$2:$D$49,MATCH(C3138,Products!$A$2:$A$49,0))*(1+INDEX(Assumptions!$B$16:$B$20,MATCH(B3138,Assumptions!$A$16:$A$20,0)))</f>
        <v>7644.384</v>
      </c>
      <c r="J3138" s="33" t="n">
        <f aca="false">H3138-I3138</f>
        <v>2235.616</v>
      </c>
      <c r="K3138" s="33" t="n">
        <f aca="false">IF(OR(E3138=0,E3138&gt;=7),0,D3138/(7-E3138)*E3138*INDEX(Products!$E$2:$E$49,MATCH(C3138,Products!$A$2:$A$49,0)))</f>
        <v>0</v>
      </c>
    </row>
    <row r="3139" customFormat="false" ht="15" hidden="false" customHeight="false" outlineLevel="0" collapsed="false">
      <c r="A3139" s="36" t="n">
        <v>46202</v>
      </c>
      <c r="B3139" s="24" t="s">
        <v>63</v>
      </c>
      <c r="C3139" s="24" t="s">
        <v>173</v>
      </c>
      <c r="D3139" s="33" t="n">
        <v>41</v>
      </c>
      <c r="E3139" s="24" t="n">
        <v>0</v>
      </c>
      <c r="F3139" s="37" t="n">
        <f aca="false">DATE(YEAR(A3139),MONTH(A3139),1)</f>
        <v>46174</v>
      </c>
      <c r="G3139" s="24" t="str">
        <f aca="false">INDEX(Products!$C$2:$C$49,MATCH(C3139,Products!$A$2:$A$49,0))</f>
        <v>Household</v>
      </c>
      <c r="H3139" s="33" t="n">
        <f aca="false">D3139*INDEX(Products!$E$2:$E$49,MATCH(C3139,Products!$A$2:$A$49,0))</f>
        <v>10660</v>
      </c>
      <c r="I3139" s="33" t="n">
        <f aca="false">D3139*INDEX(Products!$D$2:$D$49,MATCH(C3139,Products!$A$2:$A$49,0))*(1+INDEX(Assumptions!$B$16:$B$20,MATCH(B3139,Assumptions!$A$16:$A$20,0)))</f>
        <v>8247.888</v>
      </c>
      <c r="J3139" s="33" t="n">
        <f aca="false">H3139-I3139</f>
        <v>2412.112</v>
      </c>
      <c r="K3139" s="33" t="n">
        <f aca="false">IF(OR(E3139=0,E3139&gt;=7),0,D3139/(7-E3139)*E3139*INDEX(Products!$E$2:$E$49,MATCH(C3139,Products!$A$2:$A$49,0)))</f>
        <v>0</v>
      </c>
    </row>
    <row r="3140" customFormat="false" ht="15" hidden="false" customHeight="false" outlineLevel="0" collapsed="false">
      <c r="A3140" s="36" t="n">
        <v>46209</v>
      </c>
      <c r="B3140" s="24" t="s">
        <v>63</v>
      </c>
      <c r="C3140" s="24" t="s">
        <v>173</v>
      </c>
      <c r="D3140" s="33" t="n">
        <v>26</v>
      </c>
      <c r="E3140" s="24" t="n">
        <v>0</v>
      </c>
      <c r="F3140" s="37" t="n">
        <f aca="false">DATE(YEAR(A3140),MONTH(A3140),1)</f>
        <v>46204</v>
      </c>
      <c r="G3140" s="24" t="str">
        <f aca="false">INDEX(Products!$C$2:$C$49,MATCH(C3140,Products!$A$2:$A$49,0))</f>
        <v>Household</v>
      </c>
      <c r="H3140" s="33" t="n">
        <f aca="false">D3140*INDEX(Products!$E$2:$E$49,MATCH(C3140,Products!$A$2:$A$49,0))</f>
        <v>6760</v>
      </c>
      <c r="I3140" s="33" t="n">
        <f aca="false">D3140*INDEX(Products!$D$2:$D$49,MATCH(C3140,Products!$A$2:$A$49,0))*(1+INDEX(Assumptions!$B$16:$B$20,MATCH(B3140,Assumptions!$A$16:$A$20,0)))</f>
        <v>5230.368</v>
      </c>
      <c r="J3140" s="33" t="n">
        <f aca="false">H3140-I3140</f>
        <v>1529.632</v>
      </c>
      <c r="K3140" s="33" t="n">
        <f aca="false">IF(OR(E3140=0,E3140&gt;=7),0,D3140/(7-E3140)*E3140*INDEX(Products!$E$2:$E$49,MATCH(C3140,Products!$A$2:$A$49,0)))</f>
        <v>0</v>
      </c>
    </row>
    <row r="3141" customFormat="false" ht="15" hidden="false" customHeight="false" outlineLevel="0" collapsed="false">
      <c r="A3141" s="36" t="n">
        <v>46216</v>
      </c>
      <c r="B3141" s="24" t="s">
        <v>63</v>
      </c>
      <c r="C3141" s="24" t="s">
        <v>173</v>
      </c>
      <c r="D3141" s="33" t="n">
        <v>29</v>
      </c>
      <c r="E3141" s="24" t="n">
        <v>0</v>
      </c>
      <c r="F3141" s="37" t="n">
        <f aca="false">DATE(YEAR(A3141),MONTH(A3141),1)</f>
        <v>46204</v>
      </c>
      <c r="G3141" s="24" t="str">
        <f aca="false">INDEX(Products!$C$2:$C$49,MATCH(C3141,Products!$A$2:$A$49,0))</f>
        <v>Household</v>
      </c>
      <c r="H3141" s="33" t="n">
        <f aca="false">D3141*INDEX(Products!$E$2:$E$49,MATCH(C3141,Products!$A$2:$A$49,0))</f>
        <v>7540</v>
      </c>
      <c r="I3141" s="33" t="n">
        <f aca="false">D3141*INDEX(Products!$D$2:$D$49,MATCH(C3141,Products!$A$2:$A$49,0))*(1+INDEX(Assumptions!$B$16:$B$20,MATCH(B3141,Assumptions!$A$16:$A$20,0)))</f>
        <v>5833.872</v>
      </c>
      <c r="J3141" s="33" t="n">
        <f aca="false">H3141-I3141</f>
        <v>1706.128</v>
      </c>
      <c r="K3141" s="33" t="n">
        <f aca="false">IF(OR(E3141=0,E3141&gt;=7),0,D3141/(7-E3141)*E3141*INDEX(Products!$E$2:$E$49,MATCH(C3141,Products!$A$2:$A$49,0)))</f>
        <v>0</v>
      </c>
    </row>
    <row r="3142" customFormat="false" ht="15" hidden="false" customHeight="false" outlineLevel="0" collapsed="false">
      <c r="A3142" s="36" t="n">
        <v>46223</v>
      </c>
      <c r="B3142" s="24" t="s">
        <v>63</v>
      </c>
      <c r="C3142" s="24" t="s">
        <v>173</v>
      </c>
      <c r="D3142" s="33" t="n">
        <v>36</v>
      </c>
      <c r="E3142" s="24" t="n">
        <v>0</v>
      </c>
      <c r="F3142" s="37" t="n">
        <f aca="false">DATE(YEAR(A3142),MONTH(A3142),1)</f>
        <v>46204</v>
      </c>
      <c r="G3142" s="24" t="str">
        <f aca="false">INDEX(Products!$C$2:$C$49,MATCH(C3142,Products!$A$2:$A$49,0))</f>
        <v>Household</v>
      </c>
      <c r="H3142" s="33" t="n">
        <f aca="false">D3142*INDEX(Products!$E$2:$E$49,MATCH(C3142,Products!$A$2:$A$49,0))</f>
        <v>9360</v>
      </c>
      <c r="I3142" s="33" t="n">
        <f aca="false">D3142*INDEX(Products!$D$2:$D$49,MATCH(C3142,Products!$A$2:$A$49,0))*(1+INDEX(Assumptions!$B$16:$B$20,MATCH(B3142,Assumptions!$A$16:$A$20,0)))</f>
        <v>7242.048</v>
      </c>
      <c r="J3142" s="33" t="n">
        <f aca="false">H3142-I3142</f>
        <v>2117.952</v>
      </c>
      <c r="K3142" s="33" t="n">
        <f aca="false">IF(OR(E3142=0,E3142&gt;=7),0,D3142/(7-E3142)*E3142*INDEX(Products!$E$2:$E$49,MATCH(C3142,Products!$A$2:$A$49,0)))</f>
        <v>0</v>
      </c>
    </row>
    <row r="3143" customFormat="false" ht="15" hidden="false" customHeight="false" outlineLevel="0" collapsed="false">
      <c r="A3143" s="36" t="n">
        <v>46230</v>
      </c>
      <c r="B3143" s="24" t="s">
        <v>63</v>
      </c>
      <c r="C3143" s="24" t="s">
        <v>173</v>
      </c>
      <c r="D3143" s="33" t="n">
        <v>33</v>
      </c>
      <c r="E3143" s="24" t="n">
        <v>0</v>
      </c>
      <c r="F3143" s="37" t="n">
        <f aca="false">DATE(YEAR(A3143),MONTH(A3143),1)</f>
        <v>46204</v>
      </c>
      <c r="G3143" s="24" t="str">
        <f aca="false">INDEX(Products!$C$2:$C$49,MATCH(C3143,Products!$A$2:$A$49,0))</f>
        <v>Household</v>
      </c>
      <c r="H3143" s="33" t="n">
        <f aca="false">D3143*INDEX(Products!$E$2:$E$49,MATCH(C3143,Products!$A$2:$A$49,0))</f>
        <v>8580</v>
      </c>
      <c r="I3143" s="33" t="n">
        <f aca="false">D3143*INDEX(Products!$D$2:$D$49,MATCH(C3143,Products!$A$2:$A$49,0))*(1+INDEX(Assumptions!$B$16:$B$20,MATCH(B3143,Assumptions!$A$16:$A$20,0)))</f>
        <v>6638.544</v>
      </c>
      <c r="J3143" s="33" t="n">
        <f aca="false">H3143-I3143</f>
        <v>1941.456</v>
      </c>
      <c r="K3143" s="33" t="n">
        <f aca="false">IF(OR(E3143=0,E3143&gt;=7),0,D3143/(7-E3143)*E3143*INDEX(Products!$E$2:$E$49,MATCH(C3143,Products!$A$2:$A$49,0)))</f>
        <v>0</v>
      </c>
    </row>
    <row r="3144" customFormat="false" ht="15" hidden="false" customHeight="false" outlineLevel="0" collapsed="false">
      <c r="A3144" s="36" t="n">
        <v>46237</v>
      </c>
      <c r="B3144" s="24" t="s">
        <v>63</v>
      </c>
      <c r="C3144" s="24" t="s">
        <v>173</v>
      </c>
      <c r="D3144" s="33" t="n">
        <v>36</v>
      </c>
      <c r="E3144" s="24" t="n">
        <v>0</v>
      </c>
      <c r="F3144" s="37" t="n">
        <f aca="false">DATE(YEAR(A3144),MONTH(A3144),1)</f>
        <v>46235</v>
      </c>
      <c r="G3144" s="24" t="str">
        <f aca="false">INDEX(Products!$C$2:$C$49,MATCH(C3144,Products!$A$2:$A$49,0))</f>
        <v>Household</v>
      </c>
      <c r="H3144" s="33" t="n">
        <f aca="false">D3144*INDEX(Products!$E$2:$E$49,MATCH(C3144,Products!$A$2:$A$49,0))</f>
        <v>9360</v>
      </c>
      <c r="I3144" s="33" t="n">
        <f aca="false">D3144*INDEX(Products!$D$2:$D$49,MATCH(C3144,Products!$A$2:$A$49,0))*(1+INDEX(Assumptions!$B$16:$B$20,MATCH(B3144,Assumptions!$A$16:$A$20,0)))</f>
        <v>7242.048</v>
      </c>
      <c r="J3144" s="33" t="n">
        <f aca="false">H3144-I3144</f>
        <v>2117.952</v>
      </c>
      <c r="K3144" s="33" t="n">
        <f aca="false">IF(OR(E3144=0,E3144&gt;=7),0,D3144/(7-E3144)*E3144*INDEX(Products!$E$2:$E$49,MATCH(C3144,Products!$A$2:$A$49,0)))</f>
        <v>0</v>
      </c>
    </row>
    <row r="3145" customFormat="false" ht="15" hidden="false" customHeight="false" outlineLevel="0" collapsed="false">
      <c r="A3145" s="36" t="n">
        <v>46244</v>
      </c>
      <c r="B3145" s="24" t="s">
        <v>63</v>
      </c>
      <c r="C3145" s="24" t="s">
        <v>173</v>
      </c>
      <c r="D3145" s="33" t="n">
        <v>25</v>
      </c>
      <c r="E3145" s="24" t="n">
        <v>0</v>
      </c>
      <c r="F3145" s="37" t="n">
        <f aca="false">DATE(YEAR(A3145),MONTH(A3145),1)</f>
        <v>46235</v>
      </c>
      <c r="G3145" s="24" t="str">
        <f aca="false">INDEX(Products!$C$2:$C$49,MATCH(C3145,Products!$A$2:$A$49,0))</f>
        <v>Household</v>
      </c>
      <c r="H3145" s="33" t="n">
        <f aca="false">D3145*INDEX(Products!$E$2:$E$49,MATCH(C3145,Products!$A$2:$A$49,0))</f>
        <v>6500</v>
      </c>
      <c r="I3145" s="33" t="n">
        <f aca="false">D3145*INDEX(Products!$D$2:$D$49,MATCH(C3145,Products!$A$2:$A$49,0))*(1+INDEX(Assumptions!$B$16:$B$20,MATCH(B3145,Assumptions!$A$16:$A$20,0)))</f>
        <v>5029.2</v>
      </c>
      <c r="J3145" s="33" t="n">
        <f aca="false">H3145-I3145</f>
        <v>1470.8</v>
      </c>
      <c r="K3145" s="33" t="n">
        <f aca="false">IF(OR(E3145=0,E3145&gt;=7),0,D3145/(7-E3145)*E3145*INDEX(Products!$E$2:$E$49,MATCH(C3145,Products!$A$2:$A$49,0)))</f>
        <v>0</v>
      </c>
    </row>
    <row r="3146" customFormat="false" ht="15" hidden="false" customHeight="false" outlineLevel="0" collapsed="false">
      <c r="A3146" s="36" t="n">
        <v>46251</v>
      </c>
      <c r="B3146" s="24" t="s">
        <v>63</v>
      </c>
      <c r="C3146" s="24" t="s">
        <v>173</v>
      </c>
      <c r="D3146" s="33" t="n">
        <v>35</v>
      </c>
      <c r="E3146" s="24" t="n">
        <v>0</v>
      </c>
      <c r="F3146" s="37" t="n">
        <f aca="false">DATE(YEAR(A3146),MONTH(A3146),1)</f>
        <v>46235</v>
      </c>
      <c r="G3146" s="24" t="str">
        <f aca="false">INDEX(Products!$C$2:$C$49,MATCH(C3146,Products!$A$2:$A$49,0))</f>
        <v>Household</v>
      </c>
      <c r="H3146" s="33" t="n">
        <f aca="false">D3146*INDEX(Products!$E$2:$E$49,MATCH(C3146,Products!$A$2:$A$49,0))</f>
        <v>9100</v>
      </c>
      <c r="I3146" s="33" t="n">
        <f aca="false">D3146*INDEX(Products!$D$2:$D$49,MATCH(C3146,Products!$A$2:$A$49,0))*(1+INDEX(Assumptions!$B$16:$B$20,MATCH(B3146,Assumptions!$A$16:$A$20,0)))</f>
        <v>7040.88</v>
      </c>
      <c r="J3146" s="33" t="n">
        <f aca="false">H3146-I3146</f>
        <v>2059.12</v>
      </c>
      <c r="K3146" s="33" t="n">
        <f aca="false">IF(OR(E3146=0,E3146&gt;=7),0,D3146/(7-E3146)*E3146*INDEX(Products!$E$2:$E$49,MATCH(C3146,Products!$A$2:$A$49,0)))</f>
        <v>0</v>
      </c>
    </row>
    <row r="3147" customFormat="false" ht="15" hidden="false" customHeight="false" outlineLevel="0" collapsed="false">
      <c r="A3147" s="36" t="n">
        <v>46258</v>
      </c>
      <c r="B3147" s="24" t="s">
        <v>63</v>
      </c>
      <c r="C3147" s="24" t="s">
        <v>173</v>
      </c>
      <c r="D3147" s="33" t="n">
        <v>36</v>
      </c>
      <c r="E3147" s="24" t="n">
        <v>0</v>
      </c>
      <c r="F3147" s="37" t="n">
        <f aca="false">DATE(YEAR(A3147),MONTH(A3147),1)</f>
        <v>46235</v>
      </c>
      <c r="G3147" s="24" t="str">
        <f aca="false">INDEX(Products!$C$2:$C$49,MATCH(C3147,Products!$A$2:$A$49,0))</f>
        <v>Household</v>
      </c>
      <c r="H3147" s="33" t="n">
        <f aca="false">D3147*INDEX(Products!$E$2:$E$49,MATCH(C3147,Products!$A$2:$A$49,0))</f>
        <v>9360</v>
      </c>
      <c r="I3147" s="33" t="n">
        <f aca="false">D3147*INDEX(Products!$D$2:$D$49,MATCH(C3147,Products!$A$2:$A$49,0))*(1+INDEX(Assumptions!$B$16:$B$20,MATCH(B3147,Assumptions!$A$16:$A$20,0)))</f>
        <v>7242.048</v>
      </c>
      <c r="J3147" s="33" t="n">
        <f aca="false">H3147-I3147</f>
        <v>2117.952</v>
      </c>
      <c r="K3147" s="33" t="n">
        <f aca="false">IF(OR(E3147=0,E3147&gt;=7),0,D3147/(7-E3147)*E3147*INDEX(Products!$E$2:$E$49,MATCH(C3147,Products!$A$2:$A$49,0)))</f>
        <v>0</v>
      </c>
    </row>
    <row r="3148" customFormat="false" ht="15" hidden="false" customHeight="false" outlineLevel="0" collapsed="false">
      <c r="A3148" s="36" t="n">
        <v>46265</v>
      </c>
      <c r="B3148" s="24" t="s">
        <v>63</v>
      </c>
      <c r="C3148" s="24" t="s">
        <v>173</v>
      </c>
      <c r="D3148" s="33" t="n">
        <v>30</v>
      </c>
      <c r="E3148" s="24" t="n">
        <v>0</v>
      </c>
      <c r="F3148" s="37" t="n">
        <f aca="false">DATE(YEAR(A3148),MONTH(A3148),1)</f>
        <v>46235</v>
      </c>
      <c r="G3148" s="24" t="str">
        <f aca="false">INDEX(Products!$C$2:$C$49,MATCH(C3148,Products!$A$2:$A$49,0))</f>
        <v>Household</v>
      </c>
      <c r="H3148" s="33" t="n">
        <f aca="false">D3148*INDEX(Products!$E$2:$E$49,MATCH(C3148,Products!$A$2:$A$49,0))</f>
        <v>7800</v>
      </c>
      <c r="I3148" s="33" t="n">
        <f aca="false">D3148*INDEX(Products!$D$2:$D$49,MATCH(C3148,Products!$A$2:$A$49,0))*(1+INDEX(Assumptions!$B$16:$B$20,MATCH(B3148,Assumptions!$A$16:$A$20,0)))</f>
        <v>6035.04</v>
      </c>
      <c r="J3148" s="33" t="n">
        <f aca="false">H3148-I3148</f>
        <v>1764.96</v>
      </c>
      <c r="K3148" s="33" t="n">
        <f aca="false">IF(OR(E3148=0,E3148&gt;=7),0,D3148/(7-E3148)*E3148*INDEX(Products!$E$2:$E$49,MATCH(C3148,Products!$A$2:$A$49,0)))</f>
        <v>0</v>
      </c>
    </row>
    <row r="3149" customFormat="false" ht="15" hidden="false" customHeight="false" outlineLevel="0" collapsed="false">
      <c r="A3149" s="36" t="n">
        <v>46272</v>
      </c>
      <c r="B3149" s="24" t="s">
        <v>63</v>
      </c>
      <c r="C3149" s="24" t="s">
        <v>173</v>
      </c>
      <c r="D3149" s="33" t="n">
        <v>44</v>
      </c>
      <c r="E3149" s="24" t="n">
        <v>0</v>
      </c>
      <c r="F3149" s="37" t="n">
        <f aca="false">DATE(YEAR(A3149),MONTH(A3149),1)</f>
        <v>46266</v>
      </c>
      <c r="G3149" s="24" t="str">
        <f aca="false">INDEX(Products!$C$2:$C$49,MATCH(C3149,Products!$A$2:$A$49,0))</f>
        <v>Household</v>
      </c>
      <c r="H3149" s="33" t="n">
        <f aca="false">D3149*INDEX(Products!$E$2:$E$49,MATCH(C3149,Products!$A$2:$A$49,0))</f>
        <v>11440</v>
      </c>
      <c r="I3149" s="33" t="n">
        <f aca="false">D3149*INDEX(Products!$D$2:$D$49,MATCH(C3149,Products!$A$2:$A$49,0))*(1+INDEX(Assumptions!$B$16:$B$20,MATCH(B3149,Assumptions!$A$16:$A$20,0)))</f>
        <v>8851.392</v>
      </c>
      <c r="J3149" s="33" t="n">
        <f aca="false">H3149-I3149</f>
        <v>2588.608</v>
      </c>
      <c r="K3149" s="33" t="n">
        <f aca="false">IF(OR(E3149=0,E3149&gt;=7),0,D3149/(7-E3149)*E3149*INDEX(Products!$E$2:$E$49,MATCH(C3149,Products!$A$2:$A$49,0)))</f>
        <v>0</v>
      </c>
    </row>
    <row r="3150" customFormat="false" ht="15" hidden="false" customHeight="false" outlineLevel="0" collapsed="false">
      <c r="A3150" s="36" t="n">
        <v>46279</v>
      </c>
      <c r="B3150" s="24" t="s">
        <v>63</v>
      </c>
      <c r="C3150" s="24" t="s">
        <v>173</v>
      </c>
      <c r="D3150" s="33" t="n">
        <v>37</v>
      </c>
      <c r="E3150" s="24" t="n">
        <v>0</v>
      </c>
      <c r="F3150" s="37" t="n">
        <f aca="false">DATE(YEAR(A3150),MONTH(A3150),1)</f>
        <v>46266</v>
      </c>
      <c r="G3150" s="24" t="str">
        <f aca="false">INDEX(Products!$C$2:$C$49,MATCH(C3150,Products!$A$2:$A$49,0))</f>
        <v>Household</v>
      </c>
      <c r="H3150" s="33" t="n">
        <f aca="false">D3150*INDEX(Products!$E$2:$E$49,MATCH(C3150,Products!$A$2:$A$49,0))</f>
        <v>9620</v>
      </c>
      <c r="I3150" s="33" t="n">
        <f aca="false">D3150*INDEX(Products!$D$2:$D$49,MATCH(C3150,Products!$A$2:$A$49,0))*(1+INDEX(Assumptions!$B$16:$B$20,MATCH(B3150,Assumptions!$A$16:$A$20,0)))</f>
        <v>7443.216</v>
      </c>
      <c r="J3150" s="33" t="n">
        <f aca="false">H3150-I3150</f>
        <v>2176.784</v>
      </c>
      <c r="K3150" s="33" t="n">
        <f aca="false">IF(OR(E3150=0,E3150&gt;=7),0,D3150/(7-E3150)*E3150*INDEX(Products!$E$2:$E$49,MATCH(C3150,Products!$A$2:$A$49,0)))</f>
        <v>0</v>
      </c>
    </row>
    <row r="3151" customFormat="false" ht="15" hidden="false" customHeight="false" outlineLevel="0" collapsed="false">
      <c r="A3151" s="36" t="n">
        <v>46286</v>
      </c>
      <c r="B3151" s="24" t="s">
        <v>63</v>
      </c>
      <c r="C3151" s="24" t="s">
        <v>173</v>
      </c>
      <c r="D3151" s="33" t="n">
        <v>39</v>
      </c>
      <c r="E3151" s="24" t="n">
        <v>0</v>
      </c>
      <c r="F3151" s="37" t="n">
        <f aca="false">DATE(YEAR(A3151),MONTH(A3151),1)</f>
        <v>46266</v>
      </c>
      <c r="G3151" s="24" t="str">
        <f aca="false">INDEX(Products!$C$2:$C$49,MATCH(C3151,Products!$A$2:$A$49,0))</f>
        <v>Household</v>
      </c>
      <c r="H3151" s="33" t="n">
        <f aca="false">D3151*INDEX(Products!$E$2:$E$49,MATCH(C3151,Products!$A$2:$A$49,0))</f>
        <v>10140</v>
      </c>
      <c r="I3151" s="33" t="n">
        <f aca="false">D3151*INDEX(Products!$D$2:$D$49,MATCH(C3151,Products!$A$2:$A$49,0))*(1+INDEX(Assumptions!$B$16:$B$20,MATCH(B3151,Assumptions!$A$16:$A$20,0)))</f>
        <v>7845.552</v>
      </c>
      <c r="J3151" s="33" t="n">
        <f aca="false">H3151-I3151</f>
        <v>2294.448</v>
      </c>
      <c r="K3151" s="33" t="n">
        <f aca="false">IF(OR(E3151=0,E3151&gt;=7),0,D3151/(7-E3151)*E3151*INDEX(Products!$E$2:$E$49,MATCH(C3151,Products!$A$2:$A$49,0)))</f>
        <v>0</v>
      </c>
    </row>
    <row r="3152" customFormat="false" ht="15" hidden="false" customHeight="false" outlineLevel="0" collapsed="false">
      <c r="A3152" s="36" t="n">
        <v>46118</v>
      </c>
      <c r="B3152" s="24" t="s">
        <v>63</v>
      </c>
      <c r="C3152" s="24" t="s">
        <v>175</v>
      </c>
      <c r="D3152" s="33" t="n">
        <v>102</v>
      </c>
      <c r="E3152" s="24" t="n">
        <v>0</v>
      </c>
      <c r="F3152" s="37" t="n">
        <f aca="false">DATE(YEAR(A3152),MONTH(A3152),1)</f>
        <v>46113</v>
      </c>
      <c r="G3152" s="24" t="str">
        <f aca="false">INDEX(Products!$C$2:$C$49,MATCH(C3152,Products!$A$2:$A$49,0))</f>
        <v>Household</v>
      </c>
      <c r="H3152" s="33" t="n">
        <f aca="false">D3152*INDEX(Products!$E$2:$E$49,MATCH(C3152,Products!$A$2:$A$49,0))</f>
        <v>6120</v>
      </c>
      <c r="I3152" s="33" t="n">
        <f aca="false">D3152*INDEX(Products!$D$2:$D$49,MATCH(C3152,Products!$A$2:$A$49,0))*(1+INDEX(Assumptions!$B$16:$B$20,MATCH(B3152,Assumptions!$A$16:$A$20,0)))</f>
        <v>4870.704</v>
      </c>
      <c r="J3152" s="33" t="n">
        <f aca="false">H3152-I3152</f>
        <v>1249.296</v>
      </c>
      <c r="K3152" s="33" t="n">
        <f aca="false">IF(OR(E3152=0,E3152&gt;=7),0,D3152/(7-E3152)*E3152*INDEX(Products!$E$2:$E$49,MATCH(C3152,Products!$A$2:$A$49,0)))</f>
        <v>0</v>
      </c>
    </row>
    <row r="3153" customFormat="false" ht="15" hidden="false" customHeight="false" outlineLevel="0" collapsed="false">
      <c r="A3153" s="36" t="n">
        <v>46125</v>
      </c>
      <c r="B3153" s="24" t="s">
        <v>63</v>
      </c>
      <c r="C3153" s="24" t="s">
        <v>175</v>
      </c>
      <c r="D3153" s="33" t="n">
        <v>93</v>
      </c>
      <c r="E3153" s="24" t="n">
        <v>0</v>
      </c>
      <c r="F3153" s="37" t="n">
        <f aca="false">DATE(YEAR(A3153),MONTH(A3153),1)</f>
        <v>46113</v>
      </c>
      <c r="G3153" s="24" t="str">
        <f aca="false">INDEX(Products!$C$2:$C$49,MATCH(C3153,Products!$A$2:$A$49,0))</f>
        <v>Household</v>
      </c>
      <c r="H3153" s="33" t="n">
        <f aca="false">D3153*INDEX(Products!$E$2:$E$49,MATCH(C3153,Products!$A$2:$A$49,0))</f>
        <v>5580</v>
      </c>
      <c r="I3153" s="33" t="n">
        <f aca="false">D3153*INDEX(Products!$D$2:$D$49,MATCH(C3153,Products!$A$2:$A$49,0))*(1+INDEX(Assumptions!$B$16:$B$20,MATCH(B3153,Assumptions!$A$16:$A$20,0)))</f>
        <v>4440.936</v>
      </c>
      <c r="J3153" s="33" t="n">
        <f aca="false">H3153-I3153</f>
        <v>1139.064</v>
      </c>
      <c r="K3153" s="33" t="n">
        <f aca="false">IF(OR(E3153=0,E3153&gt;=7),0,D3153/(7-E3153)*E3153*INDEX(Products!$E$2:$E$49,MATCH(C3153,Products!$A$2:$A$49,0)))</f>
        <v>0</v>
      </c>
    </row>
    <row r="3154" customFormat="false" ht="15" hidden="false" customHeight="false" outlineLevel="0" collapsed="false">
      <c r="A3154" s="36" t="n">
        <v>46132</v>
      </c>
      <c r="B3154" s="24" t="s">
        <v>63</v>
      </c>
      <c r="C3154" s="24" t="s">
        <v>175</v>
      </c>
      <c r="D3154" s="33" t="n">
        <v>111</v>
      </c>
      <c r="E3154" s="24" t="n">
        <v>0</v>
      </c>
      <c r="F3154" s="37" t="n">
        <f aca="false">DATE(YEAR(A3154),MONTH(A3154),1)</f>
        <v>46113</v>
      </c>
      <c r="G3154" s="24" t="str">
        <f aca="false">INDEX(Products!$C$2:$C$49,MATCH(C3154,Products!$A$2:$A$49,0))</f>
        <v>Household</v>
      </c>
      <c r="H3154" s="33" t="n">
        <f aca="false">D3154*INDEX(Products!$E$2:$E$49,MATCH(C3154,Products!$A$2:$A$49,0))</f>
        <v>6660</v>
      </c>
      <c r="I3154" s="33" t="n">
        <f aca="false">D3154*INDEX(Products!$D$2:$D$49,MATCH(C3154,Products!$A$2:$A$49,0))*(1+INDEX(Assumptions!$B$16:$B$20,MATCH(B3154,Assumptions!$A$16:$A$20,0)))</f>
        <v>5300.472</v>
      </c>
      <c r="J3154" s="33" t="n">
        <f aca="false">H3154-I3154</f>
        <v>1359.528</v>
      </c>
      <c r="K3154" s="33" t="n">
        <f aca="false">IF(OR(E3154=0,E3154&gt;=7),0,D3154/(7-E3154)*E3154*INDEX(Products!$E$2:$E$49,MATCH(C3154,Products!$A$2:$A$49,0)))</f>
        <v>0</v>
      </c>
    </row>
    <row r="3155" customFormat="false" ht="15" hidden="false" customHeight="false" outlineLevel="0" collapsed="false">
      <c r="A3155" s="36" t="n">
        <v>46139</v>
      </c>
      <c r="B3155" s="24" t="s">
        <v>63</v>
      </c>
      <c r="C3155" s="24" t="s">
        <v>175</v>
      </c>
      <c r="D3155" s="33" t="n">
        <v>104</v>
      </c>
      <c r="E3155" s="24" t="n">
        <v>0</v>
      </c>
      <c r="F3155" s="37" t="n">
        <f aca="false">DATE(YEAR(A3155),MONTH(A3155),1)</f>
        <v>46113</v>
      </c>
      <c r="G3155" s="24" t="str">
        <f aca="false">INDEX(Products!$C$2:$C$49,MATCH(C3155,Products!$A$2:$A$49,0))</f>
        <v>Household</v>
      </c>
      <c r="H3155" s="33" t="n">
        <f aca="false">D3155*INDEX(Products!$E$2:$E$49,MATCH(C3155,Products!$A$2:$A$49,0))</f>
        <v>6240</v>
      </c>
      <c r="I3155" s="33" t="n">
        <f aca="false">D3155*INDEX(Products!$D$2:$D$49,MATCH(C3155,Products!$A$2:$A$49,0))*(1+INDEX(Assumptions!$B$16:$B$20,MATCH(B3155,Assumptions!$A$16:$A$20,0)))</f>
        <v>4966.208</v>
      </c>
      <c r="J3155" s="33" t="n">
        <f aca="false">H3155-I3155</f>
        <v>1273.792</v>
      </c>
      <c r="K3155" s="33" t="n">
        <f aca="false">IF(OR(E3155=0,E3155&gt;=7),0,D3155/(7-E3155)*E3155*INDEX(Products!$E$2:$E$49,MATCH(C3155,Products!$A$2:$A$49,0)))</f>
        <v>0</v>
      </c>
    </row>
    <row r="3156" customFormat="false" ht="15" hidden="false" customHeight="false" outlineLevel="0" collapsed="false">
      <c r="A3156" s="36" t="n">
        <v>46146</v>
      </c>
      <c r="B3156" s="24" t="s">
        <v>63</v>
      </c>
      <c r="C3156" s="24" t="s">
        <v>175</v>
      </c>
      <c r="D3156" s="33" t="n">
        <v>84</v>
      </c>
      <c r="E3156" s="24" t="n">
        <v>0</v>
      </c>
      <c r="F3156" s="37" t="n">
        <f aca="false">DATE(YEAR(A3156),MONTH(A3156),1)</f>
        <v>46143</v>
      </c>
      <c r="G3156" s="24" t="str">
        <f aca="false">INDEX(Products!$C$2:$C$49,MATCH(C3156,Products!$A$2:$A$49,0))</f>
        <v>Household</v>
      </c>
      <c r="H3156" s="33" t="n">
        <f aca="false">D3156*INDEX(Products!$E$2:$E$49,MATCH(C3156,Products!$A$2:$A$49,0))</f>
        <v>5040</v>
      </c>
      <c r="I3156" s="33" t="n">
        <f aca="false">D3156*INDEX(Products!$D$2:$D$49,MATCH(C3156,Products!$A$2:$A$49,0))*(1+INDEX(Assumptions!$B$16:$B$20,MATCH(B3156,Assumptions!$A$16:$A$20,0)))</f>
        <v>4011.168</v>
      </c>
      <c r="J3156" s="33" t="n">
        <f aca="false">H3156-I3156</f>
        <v>1028.832</v>
      </c>
      <c r="K3156" s="33" t="n">
        <f aca="false">IF(OR(E3156=0,E3156&gt;=7),0,D3156/(7-E3156)*E3156*INDEX(Products!$E$2:$E$49,MATCH(C3156,Products!$A$2:$A$49,0)))</f>
        <v>0</v>
      </c>
    </row>
    <row r="3157" customFormat="false" ht="15" hidden="false" customHeight="false" outlineLevel="0" collapsed="false">
      <c r="A3157" s="36" t="n">
        <v>46153</v>
      </c>
      <c r="B3157" s="24" t="s">
        <v>63</v>
      </c>
      <c r="C3157" s="24" t="s">
        <v>175</v>
      </c>
      <c r="D3157" s="33" t="n">
        <v>103</v>
      </c>
      <c r="E3157" s="24" t="n">
        <v>0</v>
      </c>
      <c r="F3157" s="37" t="n">
        <f aca="false">DATE(YEAR(A3157),MONTH(A3157),1)</f>
        <v>46143</v>
      </c>
      <c r="G3157" s="24" t="str">
        <f aca="false">INDEX(Products!$C$2:$C$49,MATCH(C3157,Products!$A$2:$A$49,0))</f>
        <v>Household</v>
      </c>
      <c r="H3157" s="33" t="n">
        <f aca="false">D3157*INDEX(Products!$E$2:$E$49,MATCH(C3157,Products!$A$2:$A$49,0))</f>
        <v>6180</v>
      </c>
      <c r="I3157" s="33" t="n">
        <f aca="false">D3157*INDEX(Products!$D$2:$D$49,MATCH(C3157,Products!$A$2:$A$49,0))*(1+INDEX(Assumptions!$B$16:$B$20,MATCH(B3157,Assumptions!$A$16:$A$20,0)))</f>
        <v>4918.456</v>
      </c>
      <c r="J3157" s="33" t="n">
        <f aca="false">H3157-I3157</f>
        <v>1261.544</v>
      </c>
      <c r="K3157" s="33" t="n">
        <f aca="false">IF(OR(E3157=0,E3157&gt;=7),0,D3157/(7-E3157)*E3157*INDEX(Products!$E$2:$E$49,MATCH(C3157,Products!$A$2:$A$49,0)))</f>
        <v>0</v>
      </c>
    </row>
    <row r="3158" customFormat="false" ht="15" hidden="false" customHeight="false" outlineLevel="0" collapsed="false">
      <c r="A3158" s="36" t="n">
        <v>46160</v>
      </c>
      <c r="B3158" s="24" t="s">
        <v>63</v>
      </c>
      <c r="C3158" s="24" t="s">
        <v>175</v>
      </c>
      <c r="D3158" s="33" t="n">
        <v>114</v>
      </c>
      <c r="E3158" s="24" t="n">
        <v>0</v>
      </c>
      <c r="F3158" s="37" t="n">
        <f aca="false">DATE(YEAR(A3158),MONTH(A3158),1)</f>
        <v>46143</v>
      </c>
      <c r="G3158" s="24" t="str">
        <f aca="false">INDEX(Products!$C$2:$C$49,MATCH(C3158,Products!$A$2:$A$49,0))</f>
        <v>Household</v>
      </c>
      <c r="H3158" s="33" t="n">
        <f aca="false">D3158*INDEX(Products!$E$2:$E$49,MATCH(C3158,Products!$A$2:$A$49,0))</f>
        <v>6840</v>
      </c>
      <c r="I3158" s="33" t="n">
        <f aca="false">D3158*INDEX(Products!$D$2:$D$49,MATCH(C3158,Products!$A$2:$A$49,0))*(1+INDEX(Assumptions!$B$16:$B$20,MATCH(B3158,Assumptions!$A$16:$A$20,0)))</f>
        <v>5443.728</v>
      </c>
      <c r="J3158" s="33" t="n">
        <f aca="false">H3158-I3158</f>
        <v>1396.272</v>
      </c>
      <c r="K3158" s="33" t="n">
        <f aca="false">IF(OR(E3158=0,E3158&gt;=7),0,D3158/(7-E3158)*E3158*INDEX(Products!$E$2:$E$49,MATCH(C3158,Products!$A$2:$A$49,0)))</f>
        <v>0</v>
      </c>
    </row>
    <row r="3159" customFormat="false" ht="15" hidden="false" customHeight="false" outlineLevel="0" collapsed="false">
      <c r="A3159" s="36" t="n">
        <v>46167</v>
      </c>
      <c r="B3159" s="24" t="s">
        <v>63</v>
      </c>
      <c r="C3159" s="24" t="s">
        <v>175</v>
      </c>
      <c r="D3159" s="33" t="n">
        <v>103</v>
      </c>
      <c r="E3159" s="24" t="n">
        <v>0</v>
      </c>
      <c r="F3159" s="37" t="n">
        <f aca="false">DATE(YEAR(A3159),MONTH(A3159),1)</f>
        <v>46143</v>
      </c>
      <c r="G3159" s="24" t="str">
        <f aca="false">INDEX(Products!$C$2:$C$49,MATCH(C3159,Products!$A$2:$A$49,0))</f>
        <v>Household</v>
      </c>
      <c r="H3159" s="33" t="n">
        <f aca="false">D3159*INDEX(Products!$E$2:$E$49,MATCH(C3159,Products!$A$2:$A$49,0))</f>
        <v>6180</v>
      </c>
      <c r="I3159" s="33" t="n">
        <f aca="false">D3159*INDEX(Products!$D$2:$D$49,MATCH(C3159,Products!$A$2:$A$49,0))*(1+INDEX(Assumptions!$B$16:$B$20,MATCH(B3159,Assumptions!$A$16:$A$20,0)))</f>
        <v>4918.456</v>
      </c>
      <c r="J3159" s="33" t="n">
        <f aca="false">H3159-I3159</f>
        <v>1261.544</v>
      </c>
      <c r="K3159" s="33" t="n">
        <f aca="false">IF(OR(E3159=0,E3159&gt;=7),0,D3159/(7-E3159)*E3159*INDEX(Products!$E$2:$E$49,MATCH(C3159,Products!$A$2:$A$49,0)))</f>
        <v>0</v>
      </c>
    </row>
    <row r="3160" customFormat="false" ht="15" hidden="false" customHeight="false" outlineLevel="0" collapsed="false">
      <c r="A3160" s="36" t="n">
        <v>46174</v>
      </c>
      <c r="B3160" s="24" t="s">
        <v>63</v>
      </c>
      <c r="C3160" s="24" t="s">
        <v>175</v>
      </c>
      <c r="D3160" s="33" t="n">
        <v>79</v>
      </c>
      <c r="E3160" s="24" t="n">
        <v>0</v>
      </c>
      <c r="F3160" s="37" t="n">
        <f aca="false">DATE(YEAR(A3160),MONTH(A3160),1)</f>
        <v>46174</v>
      </c>
      <c r="G3160" s="24" t="str">
        <f aca="false">INDEX(Products!$C$2:$C$49,MATCH(C3160,Products!$A$2:$A$49,0))</f>
        <v>Household</v>
      </c>
      <c r="H3160" s="33" t="n">
        <f aca="false">D3160*INDEX(Products!$E$2:$E$49,MATCH(C3160,Products!$A$2:$A$49,0))</f>
        <v>4740</v>
      </c>
      <c r="I3160" s="33" t="n">
        <f aca="false">D3160*INDEX(Products!$D$2:$D$49,MATCH(C3160,Products!$A$2:$A$49,0))*(1+INDEX(Assumptions!$B$16:$B$20,MATCH(B3160,Assumptions!$A$16:$A$20,0)))</f>
        <v>3772.408</v>
      </c>
      <c r="J3160" s="33" t="n">
        <f aca="false">H3160-I3160</f>
        <v>967.592</v>
      </c>
      <c r="K3160" s="33" t="n">
        <f aca="false">IF(OR(E3160=0,E3160&gt;=7),0,D3160/(7-E3160)*E3160*INDEX(Products!$E$2:$E$49,MATCH(C3160,Products!$A$2:$A$49,0)))</f>
        <v>0</v>
      </c>
    </row>
    <row r="3161" customFormat="false" ht="15" hidden="false" customHeight="false" outlineLevel="0" collapsed="false">
      <c r="A3161" s="36" t="n">
        <v>46181</v>
      </c>
      <c r="B3161" s="24" t="s">
        <v>63</v>
      </c>
      <c r="C3161" s="24" t="s">
        <v>175</v>
      </c>
      <c r="D3161" s="33" t="n">
        <v>94</v>
      </c>
      <c r="E3161" s="24" t="n">
        <v>0</v>
      </c>
      <c r="F3161" s="37" t="n">
        <f aca="false">DATE(YEAR(A3161),MONTH(A3161),1)</f>
        <v>46174</v>
      </c>
      <c r="G3161" s="24" t="str">
        <f aca="false">INDEX(Products!$C$2:$C$49,MATCH(C3161,Products!$A$2:$A$49,0))</f>
        <v>Household</v>
      </c>
      <c r="H3161" s="33" t="n">
        <f aca="false">D3161*INDEX(Products!$E$2:$E$49,MATCH(C3161,Products!$A$2:$A$49,0))</f>
        <v>5640</v>
      </c>
      <c r="I3161" s="33" t="n">
        <f aca="false">D3161*INDEX(Products!$D$2:$D$49,MATCH(C3161,Products!$A$2:$A$49,0))*(1+INDEX(Assumptions!$B$16:$B$20,MATCH(B3161,Assumptions!$A$16:$A$20,0)))</f>
        <v>4488.688</v>
      </c>
      <c r="J3161" s="33" t="n">
        <f aca="false">H3161-I3161</f>
        <v>1151.312</v>
      </c>
      <c r="K3161" s="33" t="n">
        <f aca="false">IF(OR(E3161=0,E3161&gt;=7),0,D3161/(7-E3161)*E3161*INDEX(Products!$E$2:$E$49,MATCH(C3161,Products!$A$2:$A$49,0)))</f>
        <v>0</v>
      </c>
    </row>
    <row r="3162" customFormat="false" ht="15" hidden="false" customHeight="false" outlineLevel="0" collapsed="false">
      <c r="A3162" s="36" t="n">
        <v>46188</v>
      </c>
      <c r="B3162" s="24" t="s">
        <v>63</v>
      </c>
      <c r="C3162" s="24" t="s">
        <v>175</v>
      </c>
      <c r="D3162" s="33" t="n">
        <v>80</v>
      </c>
      <c r="E3162" s="24" t="n">
        <v>0</v>
      </c>
      <c r="F3162" s="37" t="n">
        <f aca="false">DATE(YEAR(A3162),MONTH(A3162),1)</f>
        <v>46174</v>
      </c>
      <c r="G3162" s="24" t="str">
        <f aca="false">INDEX(Products!$C$2:$C$49,MATCH(C3162,Products!$A$2:$A$49,0))</f>
        <v>Household</v>
      </c>
      <c r="H3162" s="33" t="n">
        <f aca="false">D3162*INDEX(Products!$E$2:$E$49,MATCH(C3162,Products!$A$2:$A$49,0))</f>
        <v>4800</v>
      </c>
      <c r="I3162" s="33" t="n">
        <f aca="false">D3162*INDEX(Products!$D$2:$D$49,MATCH(C3162,Products!$A$2:$A$49,0))*(1+INDEX(Assumptions!$B$16:$B$20,MATCH(B3162,Assumptions!$A$16:$A$20,0)))</f>
        <v>3820.16</v>
      </c>
      <c r="J3162" s="33" t="n">
        <f aca="false">H3162-I3162</f>
        <v>979.84</v>
      </c>
      <c r="K3162" s="33" t="n">
        <f aca="false">IF(OR(E3162=0,E3162&gt;=7),0,D3162/(7-E3162)*E3162*INDEX(Products!$E$2:$E$49,MATCH(C3162,Products!$A$2:$A$49,0)))</f>
        <v>0</v>
      </c>
    </row>
    <row r="3163" customFormat="false" ht="15" hidden="false" customHeight="false" outlineLevel="0" collapsed="false">
      <c r="A3163" s="36" t="n">
        <v>46195</v>
      </c>
      <c r="B3163" s="24" t="s">
        <v>63</v>
      </c>
      <c r="C3163" s="24" t="s">
        <v>175</v>
      </c>
      <c r="D3163" s="33" t="n">
        <v>113</v>
      </c>
      <c r="E3163" s="24" t="n">
        <v>0</v>
      </c>
      <c r="F3163" s="37" t="n">
        <f aca="false">DATE(YEAR(A3163),MONTH(A3163),1)</f>
        <v>46174</v>
      </c>
      <c r="G3163" s="24" t="str">
        <f aca="false">INDEX(Products!$C$2:$C$49,MATCH(C3163,Products!$A$2:$A$49,0))</f>
        <v>Household</v>
      </c>
      <c r="H3163" s="33" t="n">
        <f aca="false">D3163*INDEX(Products!$E$2:$E$49,MATCH(C3163,Products!$A$2:$A$49,0))</f>
        <v>6780</v>
      </c>
      <c r="I3163" s="33" t="n">
        <f aca="false">D3163*INDEX(Products!$D$2:$D$49,MATCH(C3163,Products!$A$2:$A$49,0))*(1+INDEX(Assumptions!$B$16:$B$20,MATCH(B3163,Assumptions!$A$16:$A$20,0)))</f>
        <v>5395.976</v>
      </c>
      <c r="J3163" s="33" t="n">
        <f aca="false">H3163-I3163</f>
        <v>1384.024</v>
      </c>
      <c r="K3163" s="33" t="n">
        <f aca="false">IF(OR(E3163=0,E3163&gt;=7),0,D3163/(7-E3163)*E3163*INDEX(Products!$E$2:$E$49,MATCH(C3163,Products!$A$2:$A$49,0)))</f>
        <v>0</v>
      </c>
    </row>
    <row r="3164" customFormat="false" ht="15" hidden="false" customHeight="false" outlineLevel="0" collapsed="false">
      <c r="A3164" s="36" t="n">
        <v>46202</v>
      </c>
      <c r="B3164" s="24" t="s">
        <v>63</v>
      </c>
      <c r="C3164" s="24" t="s">
        <v>175</v>
      </c>
      <c r="D3164" s="33" t="n">
        <v>111</v>
      </c>
      <c r="E3164" s="24" t="n">
        <v>0</v>
      </c>
      <c r="F3164" s="37" t="n">
        <f aca="false">DATE(YEAR(A3164),MONTH(A3164),1)</f>
        <v>46174</v>
      </c>
      <c r="G3164" s="24" t="str">
        <f aca="false">INDEX(Products!$C$2:$C$49,MATCH(C3164,Products!$A$2:$A$49,0))</f>
        <v>Household</v>
      </c>
      <c r="H3164" s="33" t="n">
        <f aca="false">D3164*INDEX(Products!$E$2:$E$49,MATCH(C3164,Products!$A$2:$A$49,0))</f>
        <v>6660</v>
      </c>
      <c r="I3164" s="33" t="n">
        <f aca="false">D3164*INDEX(Products!$D$2:$D$49,MATCH(C3164,Products!$A$2:$A$49,0))*(1+INDEX(Assumptions!$B$16:$B$20,MATCH(B3164,Assumptions!$A$16:$A$20,0)))</f>
        <v>5300.472</v>
      </c>
      <c r="J3164" s="33" t="n">
        <f aca="false">H3164-I3164</f>
        <v>1359.528</v>
      </c>
      <c r="K3164" s="33" t="n">
        <f aca="false">IF(OR(E3164=0,E3164&gt;=7),0,D3164/(7-E3164)*E3164*INDEX(Products!$E$2:$E$49,MATCH(C3164,Products!$A$2:$A$49,0)))</f>
        <v>0</v>
      </c>
    </row>
    <row r="3165" customFormat="false" ht="15" hidden="false" customHeight="false" outlineLevel="0" collapsed="false">
      <c r="A3165" s="36" t="n">
        <v>46209</v>
      </c>
      <c r="B3165" s="24" t="s">
        <v>63</v>
      </c>
      <c r="C3165" s="24" t="s">
        <v>175</v>
      </c>
      <c r="D3165" s="33" t="n">
        <v>89</v>
      </c>
      <c r="E3165" s="24" t="n">
        <v>0</v>
      </c>
      <c r="F3165" s="37" t="n">
        <f aca="false">DATE(YEAR(A3165),MONTH(A3165),1)</f>
        <v>46204</v>
      </c>
      <c r="G3165" s="24" t="str">
        <f aca="false">INDEX(Products!$C$2:$C$49,MATCH(C3165,Products!$A$2:$A$49,0))</f>
        <v>Household</v>
      </c>
      <c r="H3165" s="33" t="n">
        <f aca="false">D3165*INDEX(Products!$E$2:$E$49,MATCH(C3165,Products!$A$2:$A$49,0))</f>
        <v>5340</v>
      </c>
      <c r="I3165" s="33" t="n">
        <f aca="false">D3165*INDEX(Products!$D$2:$D$49,MATCH(C3165,Products!$A$2:$A$49,0))*(1+INDEX(Assumptions!$B$16:$B$20,MATCH(B3165,Assumptions!$A$16:$A$20,0)))</f>
        <v>4249.928</v>
      </c>
      <c r="J3165" s="33" t="n">
        <f aca="false">H3165-I3165</f>
        <v>1090.072</v>
      </c>
      <c r="K3165" s="33" t="n">
        <f aca="false">IF(OR(E3165=0,E3165&gt;=7),0,D3165/(7-E3165)*E3165*INDEX(Products!$E$2:$E$49,MATCH(C3165,Products!$A$2:$A$49,0)))</f>
        <v>0</v>
      </c>
    </row>
    <row r="3166" customFormat="false" ht="15" hidden="false" customHeight="false" outlineLevel="0" collapsed="false">
      <c r="A3166" s="36" t="n">
        <v>46216</v>
      </c>
      <c r="B3166" s="24" t="s">
        <v>63</v>
      </c>
      <c r="C3166" s="24" t="s">
        <v>175</v>
      </c>
      <c r="D3166" s="33" t="n">
        <v>78</v>
      </c>
      <c r="E3166" s="24" t="n">
        <v>0</v>
      </c>
      <c r="F3166" s="37" t="n">
        <f aca="false">DATE(YEAR(A3166),MONTH(A3166),1)</f>
        <v>46204</v>
      </c>
      <c r="G3166" s="24" t="str">
        <f aca="false">INDEX(Products!$C$2:$C$49,MATCH(C3166,Products!$A$2:$A$49,0))</f>
        <v>Household</v>
      </c>
      <c r="H3166" s="33" t="n">
        <f aca="false">D3166*INDEX(Products!$E$2:$E$49,MATCH(C3166,Products!$A$2:$A$49,0))</f>
        <v>4680</v>
      </c>
      <c r="I3166" s="33" t="n">
        <f aca="false">D3166*INDEX(Products!$D$2:$D$49,MATCH(C3166,Products!$A$2:$A$49,0))*(1+INDEX(Assumptions!$B$16:$B$20,MATCH(B3166,Assumptions!$A$16:$A$20,0)))</f>
        <v>3724.656</v>
      </c>
      <c r="J3166" s="33" t="n">
        <f aca="false">H3166-I3166</f>
        <v>955.344</v>
      </c>
      <c r="K3166" s="33" t="n">
        <f aca="false">IF(OR(E3166=0,E3166&gt;=7),0,D3166/(7-E3166)*E3166*INDEX(Products!$E$2:$E$49,MATCH(C3166,Products!$A$2:$A$49,0)))</f>
        <v>0</v>
      </c>
    </row>
    <row r="3167" customFormat="false" ht="15" hidden="false" customHeight="false" outlineLevel="0" collapsed="false">
      <c r="A3167" s="36" t="n">
        <v>46223</v>
      </c>
      <c r="B3167" s="24" t="s">
        <v>63</v>
      </c>
      <c r="C3167" s="24" t="s">
        <v>175</v>
      </c>
      <c r="D3167" s="33" t="n">
        <v>99</v>
      </c>
      <c r="E3167" s="24" t="n">
        <v>0</v>
      </c>
      <c r="F3167" s="37" t="n">
        <f aca="false">DATE(YEAR(A3167),MONTH(A3167),1)</f>
        <v>46204</v>
      </c>
      <c r="G3167" s="24" t="str">
        <f aca="false">INDEX(Products!$C$2:$C$49,MATCH(C3167,Products!$A$2:$A$49,0))</f>
        <v>Household</v>
      </c>
      <c r="H3167" s="33" t="n">
        <f aca="false">D3167*INDEX(Products!$E$2:$E$49,MATCH(C3167,Products!$A$2:$A$49,0))</f>
        <v>5940</v>
      </c>
      <c r="I3167" s="33" t="n">
        <f aca="false">D3167*INDEX(Products!$D$2:$D$49,MATCH(C3167,Products!$A$2:$A$49,0))*(1+INDEX(Assumptions!$B$16:$B$20,MATCH(B3167,Assumptions!$A$16:$A$20,0)))</f>
        <v>4727.448</v>
      </c>
      <c r="J3167" s="33" t="n">
        <f aca="false">H3167-I3167</f>
        <v>1212.552</v>
      </c>
      <c r="K3167" s="33" t="n">
        <f aca="false">IF(OR(E3167=0,E3167&gt;=7),0,D3167/(7-E3167)*E3167*INDEX(Products!$E$2:$E$49,MATCH(C3167,Products!$A$2:$A$49,0)))</f>
        <v>0</v>
      </c>
    </row>
    <row r="3168" customFormat="false" ht="15" hidden="false" customHeight="false" outlineLevel="0" collapsed="false">
      <c r="A3168" s="36" t="n">
        <v>46230</v>
      </c>
      <c r="B3168" s="24" t="s">
        <v>63</v>
      </c>
      <c r="C3168" s="24" t="s">
        <v>175</v>
      </c>
      <c r="D3168" s="33" t="n">
        <v>88</v>
      </c>
      <c r="E3168" s="24" t="n">
        <v>0</v>
      </c>
      <c r="F3168" s="37" t="n">
        <f aca="false">DATE(YEAR(A3168),MONTH(A3168),1)</f>
        <v>46204</v>
      </c>
      <c r="G3168" s="24" t="str">
        <f aca="false">INDEX(Products!$C$2:$C$49,MATCH(C3168,Products!$A$2:$A$49,0))</f>
        <v>Household</v>
      </c>
      <c r="H3168" s="33" t="n">
        <f aca="false">D3168*INDEX(Products!$E$2:$E$49,MATCH(C3168,Products!$A$2:$A$49,0))</f>
        <v>5280</v>
      </c>
      <c r="I3168" s="33" t="n">
        <f aca="false">D3168*INDEX(Products!$D$2:$D$49,MATCH(C3168,Products!$A$2:$A$49,0))*(1+INDEX(Assumptions!$B$16:$B$20,MATCH(B3168,Assumptions!$A$16:$A$20,0)))</f>
        <v>4202.176</v>
      </c>
      <c r="J3168" s="33" t="n">
        <f aca="false">H3168-I3168</f>
        <v>1077.824</v>
      </c>
      <c r="K3168" s="33" t="n">
        <f aca="false">IF(OR(E3168=0,E3168&gt;=7),0,D3168/(7-E3168)*E3168*INDEX(Products!$E$2:$E$49,MATCH(C3168,Products!$A$2:$A$49,0)))</f>
        <v>0</v>
      </c>
    </row>
    <row r="3169" customFormat="false" ht="15" hidden="false" customHeight="false" outlineLevel="0" collapsed="false">
      <c r="A3169" s="36" t="n">
        <v>46237</v>
      </c>
      <c r="B3169" s="24" t="s">
        <v>63</v>
      </c>
      <c r="C3169" s="24" t="s">
        <v>175</v>
      </c>
      <c r="D3169" s="33" t="n">
        <v>84</v>
      </c>
      <c r="E3169" s="24" t="n">
        <v>0</v>
      </c>
      <c r="F3169" s="37" t="n">
        <f aca="false">DATE(YEAR(A3169),MONTH(A3169),1)</f>
        <v>46235</v>
      </c>
      <c r="G3169" s="24" t="str">
        <f aca="false">INDEX(Products!$C$2:$C$49,MATCH(C3169,Products!$A$2:$A$49,0))</f>
        <v>Household</v>
      </c>
      <c r="H3169" s="33" t="n">
        <f aca="false">D3169*INDEX(Products!$E$2:$E$49,MATCH(C3169,Products!$A$2:$A$49,0))</f>
        <v>5040</v>
      </c>
      <c r="I3169" s="33" t="n">
        <f aca="false">D3169*INDEX(Products!$D$2:$D$49,MATCH(C3169,Products!$A$2:$A$49,0))*(1+INDEX(Assumptions!$B$16:$B$20,MATCH(B3169,Assumptions!$A$16:$A$20,0)))</f>
        <v>4011.168</v>
      </c>
      <c r="J3169" s="33" t="n">
        <f aca="false">H3169-I3169</f>
        <v>1028.832</v>
      </c>
      <c r="K3169" s="33" t="n">
        <f aca="false">IF(OR(E3169=0,E3169&gt;=7),0,D3169/(7-E3169)*E3169*INDEX(Products!$E$2:$E$49,MATCH(C3169,Products!$A$2:$A$49,0)))</f>
        <v>0</v>
      </c>
    </row>
    <row r="3170" customFormat="false" ht="15" hidden="false" customHeight="false" outlineLevel="0" collapsed="false">
      <c r="A3170" s="36" t="n">
        <v>46244</v>
      </c>
      <c r="B3170" s="24" t="s">
        <v>63</v>
      </c>
      <c r="C3170" s="24" t="s">
        <v>175</v>
      </c>
      <c r="D3170" s="33" t="n">
        <v>86</v>
      </c>
      <c r="E3170" s="24" t="n">
        <v>0</v>
      </c>
      <c r="F3170" s="37" t="n">
        <f aca="false">DATE(YEAR(A3170),MONTH(A3170),1)</f>
        <v>46235</v>
      </c>
      <c r="G3170" s="24" t="str">
        <f aca="false">INDEX(Products!$C$2:$C$49,MATCH(C3170,Products!$A$2:$A$49,0))</f>
        <v>Household</v>
      </c>
      <c r="H3170" s="33" t="n">
        <f aca="false">D3170*INDEX(Products!$E$2:$E$49,MATCH(C3170,Products!$A$2:$A$49,0))</f>
        <v>5160</v>
      </c>
      <c r="I3170" s="33" t="n">
        <f aca="false">D3170*INDEX(Products!$D$2:$D$49,MATCH(C3170,Products!$A$2:$A$49,0))*(1+INDEX(Assumptions!$B$16:$B$20,MATCH(B3170,Assumptions!$A$16:$A$20,0)))</f>
        <v>4106.672</v>
      </c>
      <c r="J3170" s="33" t="n">
        <f aca="false">H3170-I3170</f>
        <v>1053.328</v>
      </c>
      <c r="K3170" s="33" t="n">
        <f aca="false">IF(OR(E3170=0,E3170&gt;=7),0,D3170/(7-E3170)*E3170*INDEX(Products!$E$2:$E$49,MATCH(C3170,Products!$A$2:$A$49,0)))</f>
        <v>0</v>
      </c>
    </row>
    <row r="3171" customFormat="false" ht="15" hidden="false" customHeight="false" outlineLevel="0" collapsed="false">
      <c r="A3171" s="36" t="n">
        <v>46251</v>
      </c>
      <c r="B3171" s="24" t="s">
        <v>63</v>
      </c>
      <c r="C3171" s="24" t="s">
        <v>175</v>
      </c>
      <c r="D3171" s="33" t="n">
        <v>86</v>
      </c>
      <c r="E3171" s="24" t="n">
        <v>0</v>
      </c>
      <c r="F3171" s="37" t="n">
        <f aca="false">DATE(YEAR(A3171),MONTH(A3171),1)</f>
        <v>46235</v>
      </c>
      <c r="G3171" s="24" t="str">
        <f aca="false">INDEX(Products!$C$2:$C$49,MATCH(C3171,Products!$A$2:$A$49,0))</f>
        <v>Household</v>
      </c>
      <c r="H3171" s="33" t="n">
        <f aca="false">D3171*INDEX(Products!$E$2:$E$49,MATCH(C3171,Products!$A$2:$A$49,0))</f>
        <v>5160</v>
      </c>
      <c r="I3171" s="33" t="n">
        <f aca="false">D3171*INDEX(Products!$D$2:$D$49,MATCH(C3171,Products!$A$2:$A$49,0))*(1+INDEX(Assumptions!$B$16:$B$20,MATCH(B3171,Assumptions!$A$16:$A$20,0)))</f>
        <v>4106.672</v>
      </c>
      <c r="J3171" s="33" t="n">
        <f aca="false">H3171-I3171</f>
        <v>1053.328</v>
      </c>
      <c r="K3171" s="33" t="n">
        <f aca="false">IF(OR(E3171=0,E3171&gt;=7),0,D3171/(7-E3171)*E3171*INDEX(Products!$E$2:$E$49,MATCH(C3171,Products!$A$2:$A$49,0)))</f>
        <v>0</v>
      </c>
    </row>
    <row r="3172" customFormat="false" ht="15" hidden="false" customHeight="false" outlineLevel="0" collapsed="false">
      <c r="A3172" s="36" t="n">
        <v>46258</v>
      </c>
      <c r="B3172" s="24" t="s">
        <v>63</v>
      </c>
      <c r="C3172" s="24" t="s">
        <v>175</v>
      </c>
      <c r="D3172" s="33" t="n">
        <v>101</v>
      </c>
      <c r="E3172" s="24" t="n">
        <v>0</v>
      </c>
      <c r="F3172" s="37" t="n">
        <f aca="false">DATE(YEAR(A3172),MONTH(A3172),1)</f>
        <v>46235</v>
      </c>
      <c r="G3172" s="24" t="str">
        <f aca="false">INDEX(Products!$C$2:$C$49,MATCH(C3172,Products!$A$2:$A$49,0))</f>
        <v>Household</v>
      </c>
      <c r="H3172" s="33" t="n">
        <f aca="false">D3172*INDEX(Products!$E$2:$E$49,MATCH(C3172,Products!$A$2:$A$49,0))</f>
        <v>6060</v>
      </c>
      <c r="I3172" s="33" t="n">
        <f aca="false">D3172*INDEX(Products!$D$2:$D$49,MATCH(C3172,Products!$A$2:$A$49,0))*(1+INDEX(Assumptions!$B$16:$B$20,MATCH(B3172,Assumptions!$A$16:$A$20,0)))</f>
        <v>4822.952</v>
      </c>
      <c r="J3172" s="33" t="n">
        <f aca="false">H3172-I3172</f>
        <v>1237.048</v>
      </c>
      <c r="K3172" s="33" t="n">
        <f aca="false">IF(OR(E3172=0,E3172&gt;=7),0,D3172/(7-E3172)*E3172*INDEX(Products!$E$2:$E$49,MATCH(C3172,Products!$A$2:$A$49,0)))</f>
        <v>0</v>
      </c>
    </row>
    <row r="3173" customFormat="false" ht="15" hidden="false" customHeight="false" outlineLevel="0" collapsed="false">
      <c r="A3173" s="36" t="n">
        <v>46265</v>
      </c>
      <c r="B3173" s="24" t="s">
        <v>63</v>
      </c>
      <c r="C3173" s="24" t="s">
        <v>175</v>
      </c>
      <c r="D3173" s="33" t="n">
        <v>94</v>
      </c>
      <c r="E3173" s="24" t="n">
        <v>0</v>
      </c>
      <c r="F3173" s="37" t="n">
        <f aca="false">DATE(YEAR(A3173),MONTH(A3173),1)</f>
        <v>46235</v>
      </c>
      <c r="G3173" s="24" t="str">
        <f aca="false">INDEX(Products!$C$2:$C$49,MATCH(C3173,Products!$A$2:$A$49,0))</f>
        <v>Household</v>
      </c>
      <c r="H3173" s="33" t="n">
        <f aca="false">D3173*INDEX(Products!$E$2:$E$49,MATCH(C3173,Products!$A$2:$A$49,0))</f>
        <v>5640</v>
      </c>
      <c r="I3173" s="33" t="n">
        <f aca="false">D3173*INDEX(Products!$D$2:$D$49,MATCH(C3173,Products!$A$2:$A$49,0))*(1+INDEX(Assumptions!$B$16:$B$20,MATCH(B3173,Assumptions!$A$16:$A$20,0)))</f>
        <v>4488.688</v>
      </c>
      <c r="J3173" s="33" t="n">
        <f aca="false">H3173-I3173</f>
        <v>1151.312</v>
      </c>
      <c r="K3173" s="33" t="n">
        <f aca="false">IF(OR(E3173=0,E3173&gt;=7),0,D3173/(7-E3173)*E3173*INDEX(Products!$E$2:$E$49,MATCH(C3173,Products!$A$2:$A$49,0)))</f>
        <v>0</v>
      </c>
    </row>
    <row r="3174" customFormat="false" ht="15" hidden="false" customHeight="false" outlineLevel="0" collapsed="false">
      <c r="A3174" s="36" t="n">
        <v>46272</v>
      </c>
      <c r="B3174" s="24" t="s">
        <v>63</v>
      </c>
      <c r="C3174" s="24" t="s">
        <v>175</v>
      </c>
      <c r="D3174" s="33" t="n">
        <v>88</v>
      </c>
      <c r="E3174" s="24" t="n">
        <v>0</v>
      </c>
      <c r="F3174" s="37" t="n">
        <f aca="false">DATE(YEAR(A3174),MONTH(A3174),1)</f>
        <v>46266</v>
      </c>
      <c r="G3174" s="24" t="str">
        <f aca="false">INDEX(Products!$C$2:$C$49,MATCH(C3174,Products!$A$2:$A$49,0))</f>
        <v>Household</v>
      </c>
      <c r="H3174" s="33" t="n">
        <f aca="false">D3174*INDEX(Products!$E$2:$E$49,MATCH(C3174,Products!$A$2:$A$49,0))</f>
        <v>5280</v>
      </c>
      <c r="I3174" s="33" t="n">
        <f aca="false">D3174*INDEX(Products!$D$2:$D$49,MATCH(C3174,Products!$A$2:$A$49,0))*(1+INDEX(Assumptions!$B$16:$B$20,MATCH(B3174,Assumptions!$A$16:$A$20,0)))</f>
        <v>4202.176</v>
      </c>
      <c r="J3174" s="33" t="n">
        <f aca="false">H3174-I3174</f>
        <v>1077.824</v>
      </c>
      <c r="K3174" s="33" t="n">
        <f aca="false">IF(OR(E3174=0,E3174&gt;=7),0,D3174/(7-E3174)*E3174*INDEX(Products!$E$2:$E$49,MATCH(C3174,Products!$A$2:$A$49,0)))</f>
        <v>0</v>
      </c>
    </row>
    <row r="3175" customFormat="false" ht="15" hidden="false" customHeight="false" outlineLevel="0" collapsed="false">
      <c r="A3175" s="36" t="n">
        <v>46279</v>
      </c>
      <c r="B3175" s="24" t="s">
        <v>63</v>
      </c>
      <c r="C3175" s="24" t="s">
        <v>175</v>
      </c>
      <c r="D3175" s="33" t="n">
        <v>99</v>
      </c>
      <c r="E3175" s="24" t="n">
        <v>0</v>
      </c>
      <c r="F3175" s="37" t="n">
        <f aca="false">DATE(YEAR(A3175),MONTH(A3175),1)</f>
        <v>46266</v>
      </c>
      <c r="G3175" s="24" t="str">
        <f aca="false">INDEX(Products!$C$2:$C$49,MATCH(C3175,Products!$A$2:$A$49,0))</f>
        <v>Household</v>
      </c>
      <c r="H3175" s="33" t="n">
        <f aca="false">D3175*INDEX(Products!$E$2:$E$49,MATCH(C3175,Products!$A$2:$A$49,0))</f>
        <v>5940</v>
      </c>
      <c r="I3175" s="33" t="n">
        <f aca="false">D3175*INDEX(Products!$D$2:$D$49,MATCH(C3175,Products!$A$2:$A$49,0))*(1+INDEX(Assumptions!$B$16:$B$20,MATCH(B3175,Assumptions!$A$16:$A$20,0)))</f>
        <v>4727.448</v>
      </c>
      <c r="J3175" s="33" t="n">
        <f aca="false">H3175-I3175</f>
        <v>1212.552</v>
      </c>
      <c r="K3175" s="33" t="n">
        <f aca="false">IF(OR(E3175=0,E3175&gt;=7),0,D3175/(7-E3175)*E3175*INDEX(Products!$E$2:$E$49,MATCH(C3175,Products!$A$2:$A$49,0)))</f>
        <v>0</v>
      </c>
    </row>
    <row r="3176" customFormat="false" ht="15" hidden="false" customHeight="false" outlineLevel="0" collapsed="false">
      <c r="A3176" s="36" t="n">
        <v>46286</v>
      </c>
      <c r="B3176" s="24" t="s">
        <v>63</v>
      </c>
      <c r="C3176" s="24" t="s">
        <v>175</v>
      </c>
      <c r="D3176" s="33" t="n">
        <v>103</v>
      </c>
      <c r="E3176" s="24" t="n">
        <v>0</v>
      </c>
      <c r="F3176" s="37" t="n">
        <f aca="false">DATE(YEAR(A3176),MONTH(A3176),1)</f>
        <v>46266</v>
      </c>
      <c r="G3176" s="24" t="str">
        <f aca="false">INDEX(Products!$C$2:$C$49,MATCH(C3176,Products!$A$2:$A$49,0))</f>
        <v>Household</v>
      </c>
      <c r="H3176" s="33" t="n">
        <f aca="false">D3176*INDEX(Products!$E$2:$E$49,MATCH(C3176,Products!$A$2:$A$49,0))</f>
        <v>6180</v>
      </c>
      <c r="I3176" s="33" t="n">
        <f aca="false">D3176*INDEX(Products!$D$2:$D$49,MATCH(C3176,Products!$A$2:$A$49,0))*(1+INDEX(Assumptions!$B$16:$B$20,MATCH(B3176,Assumptions!$A$16:$A$20,0)))</f>
        <v>4918.456</v>
      </c>
      <c r="J3176" s="33" t="n">
        <f aca="false">H3176-I3176</f>
        <v>1261.544</v>
      </c>
      <c r="K3176" s="33" t="n">
        <f aca="false">IF(OR(E3176=0,E3176&gt;=7),0,D3176/(7-E3176)*E3176*INDEX(Products!$E$2:$E$49,MATCH(C3176,Products!$A$2:$A$49,0)))</f>
        <v>0</v>
      </c>
    </row>
    <row r="3177" customFormat="false" ht="15" hidden="false" customHeight="false" outlineLevel="0" collapsed="false">
      <c r="A3177" s="36" t="n">
        <v>46118</v>
      </c>
      <c r="B3177" s="24" t="s">
        <v>63</v>
      </c>
      <c r="C3177" s="24" t="s">
        <v>177</v>
      </c>
      <c r="D3177" s="33" t="n">
        <v>33</v>
      </c>
      <c r="E3177" s="24" t="n">
        <v>0</v>
      </c>
      <c r="F3177" s="37" t="n">
        <f aca="false">DATE(YEAR(A3177),MONTH(A3177),1)</f>
        <v>46113</v>
      </c>
      <c r="G3177" s="24" t="str">
        <f aca="false">INDEX(Products!$C$2:$C$49,MATCH(C3177,Products!$A$2:$A$49,0))</f>
        <v>Household</v>
      </c>
      <c r="H3177" s="33" t="n">
        <f aca="false">D3177*INDEX(Products!$E$2:$E$49,MATCH(C3177,Products!$A$2:$A$49,0))</f>
        <v>3300</v>
      </c>
      <c r="I3177" s="33" t="n">
        <f aca="false">D3177*INDEX(Products!$D$2:$D$49,MATCH(C3177,Products!$A$2:$A$49,0))*(1+INDEX(Assumptions!$B$16:$B$20,MATCH(B3177,Assumptions!$A$16:$A$20,0)))</f>
        <v>2346.96</v>
      </c>
      <c r="J3177" s="33" t="n">
        <f aca="false">H3177-I3177</f>
        <v>953.04</v>
      </c>
      <c r="K3177" s="33" t="n">
        <f aca="false">IF(OR(E3177=0,E3177&gt;=7),0,D3177/(7-E3177)*E3177*INDEX(Products!$E$2:$E$49,MATCH(C3177,Products!$A$2:$A$49,0)))</f>
        <v>0</v>
      </c>
    </row>
    <row r="3178" customFormat="false" ht="15" hidden="false" customHeight="false" outlineLevel="0" collapsed="false">
      <c r="A3178" s="36" t="n">
        <v>46125</v>
      </c>
      <c r="B3178" s="24" t="s">
        <v>63</v>
      </c>
      <c r="C3178" s="24" t="s">
        <v>177</v>
      </c>
      <c r="D3178" s="33" t="n">
        <v>48</v>
      </c>
      <c r="E3178" s="24" t="n">
        <v>0</v>
      </c>
      <c r="F3178" s="37" t="n">
        <f aca="false">DATE(YEAR(A3178),MONTH(A3178),1)</f>
        <v>46113</v>
      </c>
      <c r="G3178" s="24" t="str">
        <f aca="false">INDEX(Products!$C$2:$C$49,MATCH(C3178,Products!$A$2:$A$49,0))</f>
        <v>Household</v>
      </c>
      <c r="H3178" s="33" t="n">
        <f aca="false">D3178*INDEX(Products!$E$2:$E$49,MATCH(C3178,Products!$A$2:$A$49,0))</f>
        <v>4800</v>
      </c>
      <c r="I3178" s="33" t="n">
        <f aca="false">D3178*INDEX(Products!$D$2:$D$49,MATCH(C3178,Products!$A$2:$A$49,0))*(1+INDEX(Assumptions!$B$16:$B$20,MATCH(B3178,Assumptions!$A$16:$A$20,0)))</f>
        <v>3413.76</v>
      </c>
      <c r="J3178" s="33" t="n">
        <f aca="false">H3178-I3178</f>
        <v>1386.24</v>
      </c>
      <c r="K3178" s="33" t="n">
        <f aca="false">IF(OR(E3178=0,E3178&gt;=7),0,D3178/(7-E3178)*E3178*INDEX(Products!$E$2:$E$49,MATCH(C3178,Products!$A$2:$A$49,0)))</f>
        <v>0</v>
      </c>
    </row>
    <row r="3179" customFormat="false" ht="15" hidden="false" customHeight="false" outlineLevel="0" collapsed="false">
      <c r="A3179" s="36" t="n">
        <v>46132</v>
      </c>
      <c r="B3179" s="24" t="s">
        <v>63</v>
      </c>
      <c r="C3179" s="24" t="s">
        <v>177</v>
      </c>
      <c r="D3179" s="33" t="n">
        <v>40</v>
      </c>
      <c r="E3179" s="24" t="n">
        <v>0</v>
      </c>
      <c r="F3179" s="37" t="n">
        <f aca="false">DATE(YEAR(A3179),MONTH(A3179),1)</f>
        <v>46113</v>
      </c>
      <c r="G3179" s="24" t="str">
        <f aca="false">INDEX(Products!$C$2:$C$49,MATCH(C3179,Products!$A$2:$A$49,0))</f>
        <v>Household</v>
      </c>
      <c r="H3179" s="33" t="n">
        <f aca="false">D3179*INDEX(Products!$E$2:$E$49,MATCH(C3179,Products!$A$2:$A$49,0))</f>
        <v>4000</v>
      </c>
      <c r="I3179" s="33" t="n">
        <f aca="false">D3179*INDEX(Products!$D$2:$D$49,MATCH(C3179,Products!$A$2:$A$49,0))*(1+INDEX(Assumptions!$B$16:$B$20,MATCH(B3179,Assumptions!$A$16:$A$20,0)))</f>
        <v>2844.8</v>
      </c>
      <c r="J3179" s="33" t="n">
        <f aca="false">H3179-I3179</f>
        <v>1155.2</v>
      </c>
      <c r="K3179" s="33" t="n">
        <f aca="false">IF(OR(E3179=0,E3179&gt;=7),0,D3179/(7-E3179)*E3179*INDEX(Products!$E$2:$E$49,MATCH(C3179,Products!$A$2:$A$49,0)))</f>
        <v>0</v>
      </c>
    </row>
    <row r="3180" customFormat="false" ht="15" hidden="false" customHeight="false" outlineLevel="0" collapsed="false">
      <c r="A3180" s="36" t="n">
        <v>46139</v>
      </c>
      <c r="B3180" s="24" t="s">
        <v>63</v>
      </c>
      <c r="C3180" s="24" t="s">
        <v>177</v>
      </c>
      <c r="D3180" s="33" t="n">
        <v>48</v>
      </c>
      <c r="E3180" s="24" t="n">
        <v>0</v>
      </c>
      <c r="F3180" s="37" t="n">
        <f aca="false">DATE(YEAR(A3180),MONTH(A3180),1)</f>
        <v>46113</v>
      </c>
      <c r="G3180" s="24" t="str">
        <f aca="false">INDEX(Products!$C$2:$C$49,MATCH(C3180,Products!$A$2:$A$49,0))</f>
        <v>Household</v>
      </c>
      <c r="H3180" s="33" t="n">
        <f aca="false">D3180*INDEX(Products!$E$2:$E$49,MATCH(C3180,Products!$A$2:$A$49,0))</f>
        <v>4800</v>
      </c>
      <c r="I3180" s="33" t="n">
        <f aca="false">D3180*INDEX(Products!$D$2:$D$49,MATCH(C3180,Products!$A$2:$A$49,0))*(1+INDEX(Assumptions!$B$16:$B$20,MATCH(B3180,Assumptions!$A$16:$A$20,0)))</f>
        <v>3413.76</v>
      </c>
      <c r="J3180" s="33" t="n">
        <f aca="false">H3180-I3180</f>
        <v>1386.24</v>
      </c>
      <c r="K3180" s="33" t="n">
        <f aca="false">IF(OR(E3180=0,E3180&gt;=7),0,D3180/(7-E3180)*E3180*INDEX(Products!$E$2:$E$49,MATCH(C3180,Products!$A$2:$A$49,0)))</f>
        <v>0</v>
      </c>
    </row>
    <row r="3181" customFormat="false" ht="15" hidden="false" customHeight="false" outlineLevel="0" collapsed="false">
      <c r="A3181" s="36" t="n">
        <v>46146</v>
      </c>
      <c r="B3181" s="24" t="s">
        <v>63</v>
      </c>
      <c r="C3181" s="24" t="s">
        <v>177</v>
      </c>
      <c r="D3181" s="33" t="n">
        <v>45</v>
      </c>
      <c r="E3181" s="24" t="n">
        <v>0</v>
      </c>
      <c r="F3181" s="37" t="n">
        <f aca="false">DATE(YEAR(A3181),MONTH(A3181),1)</f>
        <v>46143</v>
      </c>
      <c r="G3181" s="24" t="str">
        <f aca="false">INDEX(Products!$C$2:$C$49,MATCH(C3181,Products!$A$2:$A$49,0))</f>
        <v>Household</v>
      </c>
      <c r="H3181" s="33" t="n">
        <f aca="false">D3181*INDEX(Products!$E$2:$E$49,MATCH(C3181,Products!$A$2:$A$49,0))</f>
        <v>4500</v>
      </c>
      <c r="I3181" s="33" t="n">
        <f aca="false">D3181*INDEX(Products!$D$2:$D$49,MATCH(C3181,Products!$A$2:$A$49,0))*(1+INDEX(Assumptions!$B$16:$B$20,MATCH(B3181,Assumptions!$A$16:$A$20,0)))</f>
        <v>3200.4</v>
      </c>
      <c r="J3181" s="33" t="n">
        <f aca="false">H3181-I3181</f>
        <v>1299.6</v>
      </c>
      <c r="K3181" s="33" t="n">
        <f aca="false">IF(OR(E3181=0,E3181&gt;=7),0,D3181/(7-E3181)*E3181*INDEX(Products!$E$2:$E$49,MATCH(C3181,Products!$A$2:$A$49,0)))</f>
        <v>0</v>
      </c>
    </row>
    <row r="3182" customFormat="false" ht="15" hidden="false" customHeight="false" outlineLevel="0" collapsed="false">
      <c r="A3182" s="36" t="n">
        <v>46153</v>
      </c>
      <c r="B3182" s="24" t="s">
        <v>63</v>
      </c>
      <c r="C3182" s="24" t="s">
        <v>177</v>
      </c>
      <c r="D3182" s="33" t="n">
        <v>47</v>
      </c>
      <c r="E3182" s="24" t="n">
        <v>0</v>
      </c>
      <c r="F3182" s="37" t="n">
        <f aca="false">DATE(YEAR(A3182),MONTH(A3182),1)</f>
        <v>46143</v>
      </c>
      <c r="G3182" s="24" t="str">
        <f aca="false">INDEX(Products!$C$2:$C$49,MATCH(C3182,Products!$A$2:$A$49,0))</f>
        <v>Household</v>
      </c>
      <c r="H3182" s="33" t="n">
        <f aca="false">D3182*INDEX(Products!$E$2:$E$49,MATCH(C3182,Products!$A$2:$A$49,0))</f>
        <v>4700</v>
      </c>
      <c r="I3182" s="33" t="n">
        <f aca="false">D3182*INDEX(Products!$D$2:$D$49,MATCH(C3182,Products!$A$2:$A$49,0))*(1+INDEX(Assumptions!$B$16:$B$20,MATCH(B3182,Assumptions!$A$16:$A$20,0)))</f>
        <v>3342.64</v>
      </c>
      <c r="J3182" s="33" t="n">
        <f aca="false">H3182-I3182</f>
        <v>1357.36</v>
      </c>
      <c r="K3182" s="33" t="n">
        <f aca="false">IF(OR(E3182=0,E3182&gt;=7),0,D3182/(7-E3182)*E3182*INDEX(Products!$E$2:$E$49,MATCH(C3182,Products!$A$2:$A$49,0)))</f>
        <v>0</v>
      </c>
    </row>
    <row r="3183" customFormat="false" ht="15" hidden="false" customHeight="false" outlineLevel="0" collapsed="false">
      <c r="A3183" s="36" t="n">
        <v>46160</v>
      </c>
      <c r="B3183" s="24" t="s">
        <v>63</v>
      </c>
      <c r="C3183" s="24" t="s">
        <v>177</v>
      </c>
      <c r="D3183" s="33" t="n">
        <v>50</v>
      </c>
      <c r="E3183" s="24" t="n">
        <v>0</v>
      </c>
      <c r="F3183" s="37" t="n">
        <f aca="false">DATE(YEAR(A3183),MONTH(A3183),1)</f>
        <v>46143</v>
      </c>
      <c r="G3183" s="24" t="str">
        <f aca="false">INDEX(Products!$C$2:$C$49,MATCH(C3183,Products!$A$2:$A$49,0))</f>
        <v>Household</v>
      </c>
      <c r="H3183" s="33" t="n">
        <f aca="false">D3183*INDEX(Products!$E$2:$E$49,MATCH(C3183,Products!$A$2:$A$49,0))</f>
        <v>5000</v>
      </c>
      <c r="I3183" s="33" t="n">
        <f aca="false">D3183*INDEX(Products!$D$2:$D$49,MATCH(C3183,Products!$A$2:$A$49,0))*(1+INDEX(Assumptions!$B$16:$B$20,MATCH(B3183,Assumptions!$A$16:$A$20,0)))</f>
        <v>3556</v>
      </c>
      <c r="J3183" s="33" t="n">
        <f aca="false">H3183-I3183</f>
        <v>1444</v>
      </c>
      <c r="K3183" s="33" t="n">
        <f aca="false">IF(OR(E3183=0,E3183&gt;=7),0,D3183/(7-E3183)*E3183*INDEX(Products!$E$2:$E$49,MATCH(C3183,Products!$A$2:$A$49,0)))</f>
        <v>0</v>
      </c>
    </row>
    <row r="3184" customFormat="false" ht="15" hidden="false" customHeight="false" outlineLevel="0" collapsed="false">
      <c r="A3184" s="36" t="n">
        <v>46167</v>
      </c>
      <c r="B3184" s="24" t="s">
        <v>63</v>
      </c>
      <c r="C3184" s="24" t="s">
        <v>177</v>
      </c>
      <c r="D3184" s="33" t="n">
        <v>60</v>
      </c>
      <c r="E3184" s="24" t="n">
        <v>0</v>
      </c>
      <c r="F3184" s="37" t="n">
        <f aca="false">DATE(YEAR(A3184),MONTH(A3184),1)</f>
        <v>46143</v>
      </c>
      <c r="G3184" s="24" t="str">
        <f aca="false">INDEX(Products!$C$2:$C$49,MATCH(C3184,Products!$A$2:$A$49,0))</f>
        <v>Household</v>
      </c>
      <c r="H3184" s="33" t="n">
        <f aca="false">D3184*INDEX(Products!$E$2:$E$49,MATCH(C3184,Products!$A$2:$A$49,0))</f>
        <v>6000</v>
      </c>
      <c r="I3184" s="33" t="n">
        <f aca="false">D3184*INDEX(Products!$D$2:$D$49,MATCH(C3184,Products!$A$2:$A$49,0))*(1+INDEX(Assumptions!$B$16:$B$20,MATCH(B3184,Assumptions!$A$16:$A$20,0)))</f>
        <v>4267.2</v>
      </c>
      <c r="J3184" s="33" t="n">
        <f aca="false">H3184-I3184</f>
        <v>1732.8</v>
      </c>
      <c r="K3184" s="33" t="n">
        <f aca="false">IF(OR(E3184=0,E3184&gt;=7),0,D3184/(7-E3184)*E3184*INDEX(Products!$E$2:$E$49,MATCH(C3184,Products!$A$2:$A$49,0)))</f>
        <v>0</v>
      </c>
    </row>
    <row r="3185" customFormat="false" ht="15" hidden="false" customHeight="false" outlineLevel="0" collapsed="false">
      <c r="A3185" s="36" t="n">
        <v>46174</v>
      </c>
      <c r="B3185" s="24" t="s">
        <v>63</v>
      </c>
      <c r="C3185" s="24" t="s">
        <v>177</v>
      </c>
      <c r="D3185" s="33" t="n">
        <v>54</v>
      </c>
      <c r="E3185" s="24" t="n">
        <v>0</v>
      </c>
      <c r="F3185" s="37" t="n">
        <f aca="false">DATE(YEAR(A3185),MONTH(A3185),1)</f>
        <v>46174</v>
      </c>
      <c r="G3185" s="24" t="str">
        <f aca="false">INDEX(Products!$C$2:$C$49,MATCH(C3185,Products!$A$2:$A$49,0))</f>
        <v>Household</v>
      </c>
      <c r="H3185" s="33" t="n">
        <f aca="false">D3185*INDEX(Products!$E$2:$E$49,MATCH(C3185,Products!$A$2:$A$49,0))</f>
        <v>5400</v>
      </c>
      <c r="I3185" s="33" t="n">
        <f aca="false">D3185*INDEX(Products!$D$2:$D$49,MATCH(C3185,Products!$A$2:$A$49,0))*(1+INDEX(Assumptions!$B$16:$B$20,MATCH(B3185,Assumptions!$A$16:$A$20,0)))</f>
        <v>3840.48</v>
      </c>
      <c r="J3185" s="33" t="n">
        <f aca="false">H3185-I3185</f>
        <v>1559.52</v>
      </c>
      <c r="K3185" s="33" t="n">
        <f aca="false">IF(OR(E3185=0,E3185&gt;=7),0,D3185/(7-E3185)*E3185*INDEX(Products!$E$2:$E$49,MATCH(C3185,Products!$A$2:$A$49,0)))</f>
        <v>0</v>
      </c>
    </row>
    <row r="3186" customFormat="false" ht="15" hidden="false" customHeight="false" outlineLevel="0" collapsed="false">
      <c r="A3186" s="36" t="n">
        <v>46181</v>
      </c>
      <c r="B3186" s="24" t="s">
        <v>63</v>
      </c>
      <c r="C3186" s="24" t="s">
        <v>177</v>
      </c>
      <c r="D3186" s="33" t="n">
        <v>45</v>
      </c>
      <c r="E3186" s="24" t="n">
        <v>0</v>
      </c>
      <c r="F3186" s="37" t="n">
        <f aca="false">DATE(YEAR(A3186),MONTH(A3186),1)</f>
        <v>46174</v>
      </c>
      <c r="G3186" s="24" t="str">
        <f aca="false">INDEX(Products!$C$2:$C$49,MATCH(C3186,Products!$A$2:$A$49,0))</f>
        <v>Household</v>
      </c>
      <c r="H3186" s="33" t="n">
        <f aca="false">D3186*INDEX(Products!$E$2:$E$49,MATCH(C3186,Products!$A$2:$A$49,0))</f>
        <v>4500</v>
      </c>
      <c r="I3186" s="33" t="n">
        <f aca="false">D3186*INDEX(Products!$D$2:$D$49,MATCH(C3186,Products!$A$2:$A$49,0))*(1+INDEX(Assumptions!$B$16:$B$20,MATCH(B3186,Assumptions!$A$16:$A$20,0)))</f>
        <v>3200.4</v>
      </c>
      <c r="J3186" s="33" t="n">
        <f aca="false">H3186-I3186</f>
        <v>1299.6</v>
      </c>
      <c r="K3186" s="33" t="n">
        <f aca="false">IF(OR(E3186=0,E3186&gt;=7),0,D3186/(7-E3186)*E3186*INDEX(Products!$E$2:$E$49,MATCH(C3186,Products!$A$2:$A$49,0)))</f>
        <v>0</v>
      </c>
    </row>
    <row r="3187" customFormat="false" ht="15" hidden="false" customHeight="false" outlineLevel="0" collapsed="false">
      <c r="A3187" s="36" t="n">
        <v>46188</v>
      </c>
      <c r="B3187" s="24" t="s">
        <v>63</v>
      </c>
      <c r="C3187" s="24" t="s">
        <v>177</v>
      </c>
      <c r="D3187" s="33" t="n">
        <v>46</v>
      </c>
      <c r="E3187" s="24" t="n">
        <v>0</v>
      </c>
      <c r="F3187" s="37" t="n">
        <f aca="false">DATE(YEAR(A3187),MONTH(A3187),1)</f>
        <v>46174</v>
      </c>
      <c r="G3187" s="24" t="str">
        <f aca="false">INDEX(Products!$C$2:$C$49,MATCH(C3187,Products!$A$2:$A$49,0))</f>
        <v>Household</v>
      </c>
      <c r="H3187" s="33" t="n">
        <f aca="false">D3187*INDEX(Products!$E$2:$E$49,MATCH(C3187,Products!$A$2:$A$49,0))</f>
        <v>4600</v>
      </c>
      <c r="I3187" s="33" t="n">
        <f aca="false">D3187*INDEX(Products!$D$2:$D$49,MATCH(C3187,Products!$A$2:$A$49,0))*(1+INDEX(Assumptions!$B$16:$B$20,MATCH(B3187,Assumptions!$A$16:$A$20,0)))</f>
        <v>3271.52</v>
      </c>
      <c r="J3187" s="33" t="n">
        <f aca="false">H3187-I3187</f>
        <v>1328.48</v>
      </c>
      <c r="K3187" s="33" t="n">
        <f aca="false">IF(OR(E3187=0,E3187&gt;=7),0,D3187/(7-E3187)*E3187*INDEX(Products!$E$2:$E$49,MATCH(C3187,Products!$A$2:$A$49,0)))</f>
        <v>0</v>
      </c>
    </row>
    <row r="3188" customFormat="false" ht="15" hidden="false" customHeight="false" outlineLevel="0" collapsed="false">
      <c r="A3188" s="36" t="n">
        <v>46195</v>
      </c>
      <c r="B3188" s="24" t="s">
        <v>63</v>
      </c>
      <c r="C3188" s="24" t="s">
        <v>177</v>
      </c>
      <c r="D3188" s="33" t="n">
        <v>57</v>
      </c>
      <c r="E3188" s="24" t="n">
        <v>0</v>
      </c>
      <c r="F3188" s="37" t="n">
        <f aca="false">DATE(YEAR(A3188),MONTH(A3188),1)</f>
        <v>46174</v>
      </c>
      <c r="G3188" s="24" t="str">
        <f aca="false">INDEX(Products!$C$2:$C$49,MATCH(C3188,Products!$A$2:$A$49,0))</f>
        <v>Household</v>
      </c>
      <c r="H3188" s="33" t="n">
        <f aca="false">D3188*INDEX(Products!$E$2:$E$49,MATCH(C3188,Products!$A$2:$A$49,0))</f>
        <v>5700</v>
      </c>
      <c r="I3188" s="33" t="n">
        <f aca="false">D3188*INDEX(Products!$D$2:$D$49,MATCH(C3188,Products!$A$2:$A$49,0))*(1+INDEX(Assumptions!$B$16:$B$20,MATCH(B3188,Assumptions!$A$16:$A$20,0)))</f>
        <v>4053.84</v>
      </c>
      <c r="J3188" s="33" t="n">
        <f aca="false">H3188-I3188</f>
        <v>1646.16</v>
      </c>
      <c r="K3188" s="33" t="n">
        <f aca="false">IF(OR(E3188=0,E3188&gt;=7),0,D3188/(7-E3188)*E3188*INDEX(Products!$E$2:$E$49,MATCH(C3188,Products!$A$2:$A$49,0)))</f>
        <v>0</v>
      </c>
    </row>
    <row r="3189" customFormat="false" ht="15" hidden="false" customHeight="false" outlineLevel="0" collapsed="false">
      <c r="A3189" s="36" t="n">
        <v>46202</v>
      </c>
      <c r="B3189" s="24" t="s">
        <v>63</v>
      </c>
      <c r="C3189" s="24" t="s">
        <v>177</v>
      </c>
      <c r="D3189" s="33" t="n">
        <v>49</v>
      </c>
      <c r="E3189" s="24" t="n">
        <v>0</v>
      </c>
      <c r="F3189" s="37" t="n">
        <f aca="false">DATE(YEAR(A3189),MONTH(A3189),1)</f>
        <v>46174</v>
      </c>
      <c r="G3189" s="24" t="str">
        <f aca="false">INDEX(Products!$C$2:$C$49,MATCH(C3189,Products!$A$2:$A$49,0))</f>
        <v>Household</v>
      </c>
      <c r="H3189" s="33" t="n">
        <f aca="false">D3189*INDEX(Products!$E$2:$E$49,MATCH(C3189,Products!$A$2:$A$49,0))</f>
        <v>4900</v>
      </c>
      <c r="I3189" s="33" t="n">
        <f aca="false">D3189*INDEX(Products!$D$2:$D$49,MATCH(C3189,Products!$A$2:$A$49,0))*(1+INDEX(Assumptions!$B$16:$B$20,MATCH(B3189,Assumptions!$A$16:$A$20,0)))</f>
        <v>3484.88</v>
      </c>
      <c r="J3189" s="33" t="n">
        <f aca="false">H3189-I3189</f>
        <v>1415.12</v>
      </c>
      <c r="K3189" s="33" t="n">
        <f aca="false">IF(OR(E3189=0,E3189&gt;=7),0,D3189/(7-E3189)*E3189*INDEX(Products!$E$2:$E$49,MATCH(C3189,Products!$A$2:$A$49,0)))</f>
        <v>0</v>
      </c>
    </row>
    <row r="3190" customFormat="false" ht="15" hidden="false" customHeight="false" outlineLevel="0" collapsed="false">
      <c r="A3190" s="36" t="n">
        <v>46209</v>
      </c>
      <c r="B3190" s="24" t="s">
        <v>63</v>
      </c>
      <c r="C3190" s="24" t="s">
        <v>177</v>
      </c>
      <c r="D3190" s="33" t="n">
        <v>37</v>
      </c>
      <c r="E3190" s="24" t="n">
        <v>0</v>
      </c>
      <c r="F3190" s="37" t="n">
        <f aca="false">DATE(YEAR(A3190),MONTH(A3190),1)</f>
        <v>46204</v>
      </c>
      <c r="G3190" s="24" t="str">
        <f aca="false">INDEX(Products!$C$2:$C$49,MATCH(C3190,Products!$A$2:$A$49,0))</f>
        <v>Household</v>
      </c>
      <c r="H3190" s="33" t="n">
        <f aca="false">D3190*INDEX(Products!$E$2:$E$49,MATCH(C3190,Products!$A$2:$A$49,0))</f>
        <v>3700</v>
      </c>
      <c r="I3190" s="33" t="n">
        <f aca="false">D3190*INDEX(Products!$D$2:$D$49,MATCH(C3190,Products!$A$2:$A$49,0))*(1+INDEX(Assumptions!$B$16:$B$20,MATCH(B3190,Assumptions!$A$16:$A$20,0)))</f>
        <v>2631.44</v>
      </c>
      <c r="J3190" s="33" t="n">
        <f aca="false">H3190-I3190</f>
        <v>1068.56</v>
      </c>
      <c r="K3190" s="33" t="n">
        <f aca="false">IF(OR(E3190=0,E3190&gt;=7),0,D3190/(7-E3190)*E3190*INDEX(Products!$E$2:$E$49,MATCH(C3190,Products!$A$2:$A$49,0)))</f>
        <v>0</v>
      </c>
    </row>
    <row r="3191" customFormat="false" ht="15" hidden="false" customHeight="false" outlineLevel="0" collapsed="false">
      <c r="A3191" s="36" t="n">
        <v>46216</v>
      </c>
      <c r="B3191" s="24" t="s">
        <v>63</v>
      </c>
      <c r="C3191" s="24" t="s">
        <v>177</v>
      </c>
      <c r="D3191" s="33" t="n">
        <v>43</v>
      </c>
      <c r="E3191" s="24" t="n">
        <v>0</v>
      </c>
      <c r="F3191" s="37" t="n">
        <f aca="false">DATE(YEAR(A3191),MONTH(A3191),1)</f>
        <v>46204</v>
      </c>
      <c r="G3191" s="24" t="str">
        <f aca="false">INDEX(Products!$C$2:$C$49,MATCH(C3191,Products!$A$2:$A$49,0))</f>
        <v>Household</v>
      </c>
      <c r="H3191" s="33" t="n">
        <f aca="false">D3191*INDEX(Products!$E$2:$E$49,MATCH(C3191,Products!$A$2:$A$49,0))</f>
        <v>4300</v>
      </c>
      <c r="I3191" s="33" t="n">
        <f aca="false">D3191*INDEX(Products!$D$2:$D$49,MATCH(C3191,Products!$A$2:$A$49,0))*(1+INDEX(Assumptions!$B$16:$B$20,MATCH(B3191,Assumptions!$A$16:$A$20,0)))</f>
        <v>3058.16</v>
      </c>
      <c r="J3191" s="33" t="n">
        <f aca="false">H3191-I3191</f>
        <v>1241.84</v>
      </c>
      <c r="K3191" s="33" t="n">
        <f aca="false">IF(OR(E3191=0,E3191&gt;=7),0,D3191/(7-E3191)*E3191*INDEX(Products!$E$2:$E$49,MATCH(C3191,Products!$A$2:$A$49,0)))</f>
        <v>0</v>
      </c>
    </row>
    <row r="3192" customFormat="false" ht="15" hidden="false" customHeight="false" outlineLevel="0" collapsed="false">
      <c r="A3192" s="36" t="n">
        <v>46223</v>
      </c>
      <c r="B3192" s="24" t="s">
        <v>63</v>
      </c>
      <c r="C3192" s="24" t="s">
        <v>177</v>
      </c>
      <c r="D3192" s="33" t="n">
        <v>46</v>
      </c>
      <c r="E3192" s="24" t="n">
        <v>0</v>
      </c>
      <c r="F3192" s="37" t="n">
        <f aca="false">DATE(YEAR(A3192),MONTH(A3192),1)</f>
        <v>46204</v>
      </c>
      <c r="G3192" s="24" t="str">
        <f aca="false">INDEX(Products!$C$2:$C$49,MATCH(C3192,Products!$A$2:$A$49,0))</f>
        <v>Household</v>
      </c>
      <c r="H3192" s="33" t="n">
        <f aca="false">D3192*INDEX(Products!$E$2:$E$49,MATCH(C3192,Products!$A$2:$A$49,0))</f>
        <v>4600</v>
      </c>
      <c r="I3192" s="33" t="n">
        <f aca="false">D3192*INDEX(Products!$D$2:$D$49,MATCH(C3192,Products!$A$2:$A$49,0))*(1+INDEX(Assumptions!$B$16:$B$20,MATCH(B3192,Assumptions!$A$16:$A$20,0)))</f>
        <v>3271.52</v>
      </c>
      <c r="J3192" s="33" t="n">
        <f aca="false">H3192-I3192</f>
        <v>1328.48</v>
      </c>
      <c r="K3192" s="33" t="n">
        <f aca="false">IF(OR(E3192=0,E3192&gt;=7),0,D3192/(7-E3192)*E3192*INDEX(Products!$E$2:$E$49,MATCH(C3192,Products!$A$2:$A$49,0)))</f>
        <v>0</v>
      </c>
    </row>
    <row r="3193" customFormat="false" ht="15" hidden="false" customHeight="false" outlineLevel="0" collapsed="false">
      <c r="A3193" s="36" t="n">
        <v>46230</v>
      </c>
      <c r="B3193" s="24" t="s">
        <v>63</v>
      </c>
      <c r="C3193" s="24" t="s">
        <v>177</v>
      </c>
      <c r="D3193" s="33" t="n">
        <v>42</v>
      </c>
      <c r="E3193" s="24" t="n">
        <v>0</v>
      </c>
      <c r="F3193" s="37" t="n">
        <f aca="false">DATE(YEAR(A3193),MONTH(A3193),1)</f>
        <v>46204</v>
      </c>
      <c r="G3193" s="24" t="str">
        <f aca="false">INDEX(Products!$C$2:$C$49,MATCH(C3193,Products!$A$2:$A$49,0))</f>
        <v>Household</v>
      </c>
      <c r="H3193" s="33" t="n">
        <f aca="false">D3193*INDEX(Products!$E$2:$E$49,MATCH(C3193,Products!$A$2:$A$49,0))</f>
        <v>4200</v>
      </c>
      <c r="I3193" s="33" t="n">
        <f aca="false">D3193*INDEX(Products!$D$2:$D$49,MATCH(C3193,Products!$A$2:$A$49,0))*(1+INDEX(Assumptions!$B$16:$B$20,MATCH(B3193,Assumptions!$A$16:$A$20,0)))</f>
        <v>2987.04</v>
      </c>
      <c r="J3193" s="33" t="n">
        <f aca="false">H3193-I3193</f>
        <v>1212.96</v>
      </c>
      <c r="K3193" s="33" t="n">
        <f aca="false">IF(OR(E3193=0,E3193&gt;=7),0,D3193/(7-E3193)*E3193*INDEX(Products!$E$2:$E$49,MATCH(C3193,Products!$A$2:$A$49,0)))</f>
        <v>0</v>
      </c>
    </row>
    <row r="3194" customFormat="false" ht="15" hidden="false" customHeight="false" outlineLevel="0" collapsed="false">
      <c r="A3194" s="36" t="n">
        <v>46237</v>
      </c>
      <c r="B3194" s="24" t="s">
        <v>63</v>
      </c>
      <c r="C3194" s="24" t="s">
        <v>177</v>
      </c>
      <c r="D3194" s="33" t="n">
        <v>51</v>
      </c>
      <c r="E3194" s="24" t="n">
        <v>0</v>
      </c>
      <c r="F3194" s="37" t="n">
        <f aca="false">DATE(YEAR(A3194),MONTH(A3194),1)</f>
        <v>46235</v>
      </c>
      <c r="G3194" s="24" t="str">
        <f aca="false">INDEX(Products!$C$2:$C$49,MATCH(C3194,Products!$A$2:$A$49,0))</f>
        <v>Household</v>
      </c>
      <c r="H3194" s="33" t="n">
        <f aca="false">D3194*INDEX(Products!$E$2:$E$49,MATCH(C3194,Products!$A$2:$A$49,0))</f>
        <v>5100</v>
      </c>
      <c r="I3194" s="33" t="n">
        <f aca="false">D3194*INDEX(Products!$D$2:$D$49,MATCH(C3194,Products!$A$2:$A$49,0))*(1+INDEX(Assumptions!$B$16:$B$20,MATCH(B3194,Assumptions!$A$16:$A$20,0)))</f>
        <v>3627.12</v>
      </c>
      <c r="J3194" s="33" t="n">
        <f aca="false">H3194-I3194</f>
        <v>1472.88</v>
      </c>
      <c r="K3194" s="33" t="n">
        <f aca="false">IF(OR(E3194=0,E3194&gt;=7),0,D3194/(7-E3194)*E3194*INDEX(Products!$E$2:$E$49,MATCH(C3194,Products!$A$2:$A$49,0)))</f>
        <v>0</v>
      </c>
    </row>
    <row r="3195" customFormat="false" ht="15" hidden="false" customHeight="false" outlineLevel="0" collapsed="false">
      <c r="A3195" s="36" t="n">
        <v>46244</v>
      </c>
      <c r="B3195" s="24" t="s">
        <v>63</v>
      </c>
      <c r="C3195" s="24" t="s">
        <v>177</v>
      </c>
      <c r="D3195" s="33" t="n">
        <v>34</v>
      </c>
      <c r="E3195" s="24" t="n">
        <v>0</v>
      </c>
      <c r="F3195" s="37" t="n">
        <f aca="false">DATE(YEAR(A3195),MONTH(A3195),1)</f>
        <v>46235</v>
      </c>
      <c r="G3195" s="24" t="str">
        <f aca="false">INDEX(Products!$C$2:$C$49,MATCH(C3195,Products!$A$2:$A$49,0))</f>
        <v>Household</v>
      </c>
      <c r="H3195" s="33" t="n">
        <f aca="false">D3195*INDEX(Products!$E$2:$E$49,MATCH(C3195,Products!$A$2:$A$49,0))</f>
        <v>3400</v>
      </c>
      <c r="I3195" s="33" t="n">
        <f aca="false">D3195*INDEX(Products!$D$2:$D$49,MATCH(C3195,Products!$A$2:$A$49,0))*(1+INDEX(Assumptions!$B$16:$B$20,MATCH(B3195,Assumptions!$A$16:$A$20,0)))</f>
        <v>2418.08</v>
      </c>
      <c r="J3195" s="33" t="n">
        <f aca="false">H3195-I3195</f>
        <v>981.92</v>
      </c>
      <c r="K3195" s="33" t="n">
        <f aca="false">IF(OR(E3195=0,E3195&gt;=7),0,D3195/(7-E3195)*E3195*INDEX(Products!$E$2:$E$49,MATCH(C3195,Products!$A$2:$A$49,0)))</f>
        <v>0</v>
      </c>
    </row>
    <row r="3196" customFormat="false" ht="15" hidden="false" customHeight="false" outlineLevel="0" collapsed="false">
      <c r="A3196" s="36" t="n">
        <v>46251</v>
      </c>
      <c r="B3196" s="24" t="s">
        <v>63</v>
      </c>
      <c r="C3196" s="24" t="s">
        <v>177</v>
      </c>
      <c r="D3196" s="33" t="n">
        <v>37</v>
      </c>
      <c r="E3196" s="24" t="n">
        <v>0</v>
      </c>
      <c r="F3196" s="37" t="n">
        <f aca="false">DATE(YEAR(A3196),MONTH(A3196),1)</f>
        <v>46235</v>
      </c>
      <c r="G3196" s="24" t="str">
        <f aca="false">INDEX(Products!$C$2:$C$49,MATCH(C3196,Products!$A$2:$A$49,0))</f>
        <v>Household</v>
      </c>
      <c r="H3196" s="33" t="n">
        <f aca="false">D3196*INDEX(Products!$E$2:$E$49,MATCH(C3196,Products!$A$2:$A$49,0))</f>
        <v>3700</v>
      </c>
      <c r="I3196" s="33" t="n">
        <f aca="false">D3196*INDEX(Products!$D$2:$D$49,MATCH(C3196,Products!$A$2:$A$49,0))*(1+INDEX(Assumptions!$B$16:$B$20,MATCH(B3196,Assumptions!$A$16:$A$20,0)))</f>
        <v>2631.44</v>
      </c>
      <c r="J3196" s="33" t="n">
        <f aca="false">H3196-I3196</f>
        <v>1068.56</v>
      </c>
      <c r="K3196" s="33" t="n">
        <f aca="false">IF(OR(E3196=0,E3196&gt;=7),0,D3196/(7-E3196)*E3196*INDEX(Products!$E$2:$E$49,MATCH(C3196,Products!$A$2:$A$49,0)))</f>
        <v>0</v>
      </c>
    </row>
    <row r="3197" customFormat="false" ht="15" hidden="false" customHeight="false" outlineLevel="0" collapsed="false">
      <c r="A3197" s="36" t="n">
        <v>46258</v>
      </c>
      <c r="B3197" s="24" t="s">
        <v>63</v>
      </c>
      <c r="C3197" s="24" t="s">
        <v>177</v>
      </c>
      <c r="D3197" s="33" t="n">
        <v>44</v>
      </c>
      <c r="E3197" s="24" t="n">
        <v>0</v>
      </c>
      <c r="F3197" s="37" t="n">
        <f aca="false">DATE(YEAR(A3197),MONTH(A3197),1)</f>
        <v>46235</v>
      </c>
      <c r="G3197" s="24" t="str">
        <f aca="false">INDEX(Products!$C$2:$C$49,MATCH(C3197,Products!$A$2:$A$49,0))</f>
        <v>Household</v>
      </c>
      <c r="H3197" s="33" t="n">
        <f aca="false">D3197*INDEX(Products!$E$2:$E$49,MATCH(C3197,Products!$A$2:$A$49,0))</f>
        <v>4400</v>
      </c>
      <c r="I3197" s="33" t="n">
        <f aca="false">D3197*INDEX(Products!$D$2:$D$49,MATCH(C3197,Products!$A$2:$A$49,0))*(1+INDEX(Assumptions!$B$16:$B$20,MATCH(B3197,Assumptions!$A$16:$A$20,0)))</f>
        <v>3129.28</v>
      </c>
      <c r="J3197" s="33" t="n">
        <f aca="false">H3197-I3197</f>
        <v>1270.72</v>
      </c>
      <c r="K3197" s="33" t="n">
        <f aca="false">IF(OR(E3197=0,E3197&gt;=7),0,D3197/(7-E3197)*E3197*INDEX(Products!$E$2:$E$49,MATCH(C3197,Products!$A$2:$A$49,0)))</f>
        <v>0</v>
      </c>
    </row>
    <row r="3198" customFormat="false" ht="15" hidden="false" customHeight="false" outlineLevel="0" collapsed="false">
      <c r="A3198" s="36" t="n">
        <v>46265</v>
      </c>
      <c r="B3198" s="24" t="s">
        <v>63</v>
      </c>
      <c r="C3198" s="24" t="s">
        <v>177</v>
      </c>
      <c r="D3198" s="33" t="n">
        <v>54</v>
      </c>
      <c r="E3198" s="24" t="n">
        <v>0</v>
      </c>
      <c r="F3198" s="37" t="n">
        <f aca="false">DATE(YEAR(A3198),MONTH(A3198),1)</f>
        <v>46235</v>
      </c>
      <c r="G3198" s="24" t="str">
        <f aca="false">INDEX(Products!$C$2:$C$49,MATCH(C3198,Products!$A$2:$A$49,0))</f>
        <v>Household</v>
      </c>
      <c r="H3198" s="33" t="n">
        <f aca="false">D3198*INDEX(Products!$E$2:$E$49,MATCH(C3198,Products!$A$2:$A$49,0))</f>
        <v>5400</v>
      </c>
      <c r="I3198" s="33" t="n">
        <f aca="false">D3198*INDEX(Products!$D$2:$D$49,MATCH(C3198,Products!$A$2:$A$49,0))*(1+INDEX(Assumptions!$B$16:$B$20,MATCH(B3198,Assumptions!$A$16:$A$20,0)))</f>
        <v>3840.48</v>
      </c>
      <c r="J3198" s="33" t="n">
        <f aca="false">H3198-I3198</f>
        <v>1559.52</v>
      </c>
      <c r="K3198" s="33" t="n">
        <f aca="false">IF(OR(E3198=0,E3198&gt;=7),0,D3198/(7-E3198)*E3198*INDEX(Products!$E$2:$E$49,MATCH(C3198,Products!$A$2:$A$49,0)))</f>
        <v>0</v>
      </c>
    </row>
    <row r="3199" customFormat="false" ht="15" hidden="false" customHeight="false" outlineLevel="0" collapsed="false">
      <c r="A3199" s="36" t="n">
        <v>46272</v>
      </c>
      <c r="B3199" s="24" t="s">
        <v>63</v>
      </c>
      <c r="C3199" s="24" t="s">
        <v>177</v>
      </c>
      <c r="D3199" s="33" t="n">
        <v>56</v>
      </c>
      <c r="E3199" s="24" t="n">
        <v>0</v>
      </c>
      <c r="F3199" s="37" t="n">
        <f aca="false">DATE(YEAR(A3199),MONTH(A3199),1)</f>
        <v>46266</v>
      </c>
      <c r="G3199" s="24" t="str">
        <f aca="false">INDEX(Products!$C$2:$C$49,MATCH(C3199,Products!$A$2:$A$49,0))</f>
        <v>Household</v>
      </c>
      <c r="H3199" s="33" t="n">
        <f aca="false">D3199*INDEX(Products!$E$2:$E$49,MATCH(C3199,Products!$A$2:$A$49,0))</f>
        <v>5600</v>
      </c>
      <c r="I3199" s="33" t="n">
        <f aca="false">D3199*INDEX(Products!$D$2:$D$49,MATCH(C3199,Products!$A$2:$A$49,0))*(1+INDEX(Assumptions!$B$16:$B$20,MATCH(B3199,Assumptions!$A$16:$A$20,0)))</f>
        <v>3982.72</v>
      </c>
      <c r="J3199" s="33" t="n">
        <f aca="false">H3199-I3199</f>
        <v>1617.28</v>
      </c>
      <c r="K3199" s="33" t="n">
        <f aca="false">IF(OR(E3199=0,E3199&gt;=7),0,D3199/(7-E3199)*E3199*INDEX(Products!$E$2:$E$49,MATCH(C3199,Products!$A$2:$A$49,0)))</f>
        <v>0</v>
      </c>
    </row>
    <row r="3200" customFormat="false" ht="15" hidden="false" customHeight="false" outlineLevel="0" collapsed="false">
      <c r="A3200" s="36" t="n">
        <v>46279</v>
      </c>
      <c r="B3200" s="24" t="s">
        <v>63</v>
      </c>
      <c r="C3200" s="24" t="s">
        <v>177</v>
      </c>
      <c r="D3200" s="33" t="n">
        <v>37</v>
      </c>
      <c r="E3200" s="24" t="n">
        <v>0</v>
      </c>
      <c r="F3200" s="37" t="n">
        <f aca="false">DATE(YEAR(A3200),MONTH(A3200),1)</f>
        <v>46266</v>
      </c>
      <c r="G3200" s="24" t="str">
        <f aca="false">INDEX(Products!$C$2:$C$49,MATCH(C3200,Products!$A$2:$A$49,0))</f>
        <v>Household</v>
      </c>
      <c r="H3200" s="33" t="n">
        <f aca="false">D3200*INDEX(Products!$E$2:$E$49,MATCH(C3200,Products!$A$2:$A$49,0))</f>
        <v>3700</v>
      </c>
      <c r="I3200" s="33" t="n">
        <f aca="false">D3200*INDEX(Products!$D$2:$D$49,MATCH(C3200,Products!$A$2:$A$49,0))*(1+INDEX(Assumptions!$B$16:$B$20,MATCH(B3200,Assumptions!$A$16:$A$20,0)))</f>
        <v>2631.44</v>
      </c>
      <c r="J3200" s="33" t="n">
        <f aca="false">H3200-I3200</f>
        <v>1068.56</v>
      </c>
      <c r="K3200" s="33" t="n">
        <f aca="false">IF(OR(E3200=0,E3200&gt;=7),0,D3200/(7-E3200)*E3200*INDEX(Products!$E$2:$E$49,MATCH(C3200,Products!$A$2:$A$49,0)))</f>
        <v>0</v>
      </c>
    </row>
    <row r="3201" customFormat="false" ht="15" hidden="false" customHeight="false" outlineLevel="0" collapsed="false">
      <c r="A3201" s="36" t="n">
        <v>46286</v>
      </c>
      <c r="B3201" s="24" t="s">
        <v>63</v>
      </c>
      <c r="C3201" s="24" t="s">
        <v>177</v>
      </c>
      <c r="D3201" s="33" t="n">
        <v>48</v>
      </c>
      <c r="E3201" s="24" t="n">
        <v>0</v>
      </c>
      <c r="F3201" s="37" t="n">
        <f aca="false">DATE(YEAR(A3201),MONTH(A3201),1)</f>
        <v>46266</v>
      </c>
      <c r="G3201" s="24" t="str">
        <f aca="false">INDEX(Products!$C$2:$C$49,MATCH(C3201,Products!$A$2:$A$49,0))</f>
        <v>Household</v>
      </c>
      <c r="H3201" s="33" t="n">
        <f aca="false">D3201*INDEX(Products!$E$2:$E$49,MATCH(C3201,Products!$A$2:$A$49,0))</f>
        <v>4800</v>
      </c>
      <c r="I3201" s="33" t="n">
        <f aca="false">D3201*INDEX(Products!$D$2:$D$49,MATCH(C3201,Products!$A$2:$A$49,0))*(1+INDEX(Assumptions!$B$16:$B$20,MATCH(B3201,Assumptions!$A$16:$A$20,0)))</f>
        <v>3413.76</v>
      </c>
      <c r="J3201" s="33" t="n">
        <f aca="false">H3201-I3201</f>
        <v>1386.24</v>
      </c>
      <c r="K3201" s="33" t="n">
        <f aca="false">IF(OR(E3201=0,E3201&gt;=7),0,D3201/(7-E3201)*E3201*INDEX(Products!$E$2:$E$49,MATCH(C3201,Products!$A$2:$A$49,0)))</f>
        <v>0</v>
      </c>
    </row>
    <row r="3202" customFormat="false" ht="15" hidden="false" customHeight="false" outlineLevel="0" collapsed="false">
      <c r="A3202" s="36" t="n">
        <v>46118</v>
      </c>
      <c r="B3202" s="24" t="s">
        <v>63</v>
      </c>
      <c r="C3202" s="24" t="s">
        <v>179</v>
      </c>
      <c r="D3202" s="33" t="n">
        <v>21</v>
      </c>
      <c r="E3202" s="24" t="n">
        <v>0</v>
      </c>
      <c r="F3202" s="37" t="n">
        <f aca="false">DATE(YEAR(A3202),MONTH(A3202),1)</f>
        <v>46113</v>
      </c>
      <c r="G3202" s="24" t="str">
        <f aca="false">INDEX(Products!$C$2:$C$49,MATCH(C3202,Products!$A$2:$A$49,0))</f>
        <v>Personal Care</v>
      </c>
      <c r="H3202" s="33" t="n">
        <f aca="false">D3202*INDEX(Products!$E$2:$E$49,MATCH(C3202,Products!$A$2:$A$49,0))</f>
        <v>3780</v>
      </c>
      <c r="I3202" s="33" t="n">
        <f aca="false">D3202*INDEX(Products!$D$2:$D$49,MATCH(C3202,Products!$A$2:$A$49,0))*(1+INDEX(Assumptions!$B$16:$B$20,MATCH(B3202,Assumptions!$A$16:$A$20,0)))</f>
        <v>2560.32</v>
      </c>
      <c r="J3202" s="33" t="n">
        <f aca="false">H3202-I3202</f>
        <v>1219.68</v>
      </c>
      <c r="K3202" s="33" t="n">
        <f aca="false">IF(OR(E3202=0,E3202&gt;=7),0,D3202/(7-E3202)*E3202*INDEX(Products!$E$2:$E$49,MATCH(C3202,Products!$A$2:$A$49,0)))</f>
        <v>0</v>
      </c>
    </row>
    <row r="3203" customFormat="false" ht="15" hidden="false" customHeight="false" outlineLevel="0" collapsed="false">
      <c r="A3203" s="36" t="n">
        <v>46125</v>
      </c>
      <c r="B3203" s="24" t="s">
        <v>63</v>
      </c>
      <c r="C3203" s="24" t="s">
        <v>179</v>
      </c>
      <c r="D3203" s="33" t="n">
        <v>14</v>
      </c>
      <c r="E3203" s="24" t="n">
        <v>0</v>
      </c>
      <c r="F3203" s="37" t="n">
        <f aca="false">DATE(YEAR(A3203),MONTH(A3203),1)</f>
        <v>46113</v>
      </c>
      <c r="G3203" s="24" t="str">
        <f aca="false">INDEX(Products!$C$2:$C$49,MATCH(C3203,Products!$A$2:$A$49,0))</f>
        <v>Personal Care</v>
      </c>
      <c r="H3203" s="33" t="n">
        <f aca="false">D3203*INDEX(Products!$E$2:$E$49,MATCH(C3203,Products!$A$2:$A$49,0))</f>
        <v>2520</v>
      </c>
      <c r="I3203" s="33" t="n">
        <f aca="false">D3203*INDEX(Products!$D$2:$D$49,MATCH(C3203,Products!$A$2:$A$49,0))*(1+INDEX(Assumptions!$B$16:$B$20,MATCH(B3203,Assumptions!$A$16:$A$20,0)))</f>
        <v>1706.88</v>
      </c>
      <c r="J3203" s="33" t="n">
        <f aca="false">H3203-I3203</f>
        <v>813.12</v>
      </c>
      <c r="K3203" s="33" t="n">
        <f aca="false">IF(OR(E3203=0,E3203&gt;=7),0,D3203/(7-E3203)*E3203*INDEX(Products!$E$2:$E$49,MATCH(C3203,Products!$A$2:$A$49,0)))</f>
        <v>0</v>
      </c>
    </row>
    <row r="3204" customFormat="false" ht="15" hidden="false" customHeight="false" outlineLevel="0" collapsed="false">
      <c r="A3204" s="36" t="n">
        <v>46132</v>
      </c>
      <c r="B3204" s="24" t="s">
        <v>63</v>
      </c>
      <c r="C3204" s="24" t="s">
        <v>179</v>
      </c>
      <c r="D3204" s="33" t="n">
        <v>15</v>
      </c>
      <c r="E3204" s="24" t="n">
        <v>0</v>
      </c>
      <c r="F3204" s="37" t="n">
        <f aca="false">DATE(YEAR(A3204),MONTH(A3204),1)</f>
        <v>46113</v>
      </c>
      <c r="G3204" s="24" t="str">
        <f aca="false">INDEX(Products!$C$2:$C$49,MATCH(C3204,Products!$A$2:$A$49,0))</f>
        <v>Personal Care</v>
      </c>
      <c r="H3204" s="33" t="n">
        <f aca="false">D3204*INDEX(Products!$E$2:$E$49,MATCH(C3204,Products!$A$2:$A$49,0))</f>
        <v>2700</v>
      </c>
      <c r="I3204" s="33" t="n">
        <f aca="false">D3204*INDEX(Products!$D$2:$D$49,MATCH(C3204,Products!$A$2:$A$49,0))*(1+INDEX(Assumptions!$B$16:$B$20,MATCH(B3204,Assumptions!$A$16:$A$20,0)))</f>
        <v>1828.8</v>
      </c>
      <c r="J3204" s="33" t="n">
        <f aca="false">H3204-I3204</f>
        <v>871.2</v>
      </c>
      <c r="K3204" s="33" t="n">
        <f aca="false">IF(OR(E3204=0,E3204&gt;=7),0,D3204/(7-E3204)*E3204*INDEX(Products!$E$2:$E$49,MATCH(C3204,Products!$A$2:$A$49,0)))</f>
        <v>0</v>
      </c>
    </row>
    <row r="3205" customFormat="false" ht="15" hidden="false" customHeight="false" outlineLevel="0" collapsed="false">
      <c r="A3205" s="36" t="n">
        <v>46139</v>
      </c>
      <c r="B3205" s="24" t="s">
        <v>63</v>
      </c>
      <c r="C3205" s="24" t="s">
        <v>179</v>
      </c>
      <c r="D3205" s="33" t="n">
        <v>19</v>
      </c>
      <c r="E3205" s="24" t="n">
        <v>0</v>
      </c>
      <c r="F3205" s="37" t="n">
        <f aca="false">DATE(YEAR(A3205),MONTH(A3205),1)</f>
        <v>46113</v>
      </c>
      <c r="G3205" s="24" t="str">
        <f aca="false">INDEX(Products!$C$2:$C$49,MATCH(C3205,Products!$A$2:$A$49,0))</f>
        <v>Personal Care</v>
      </c>
      <c r="H3205" s="33" t="n">
        <f aca="false">D3205*INDEX(Products!$E$2:$E$49,MATCH(C3205,Products!$A$2:$A$49,0))</f>
        <v>3420</v>
      </c>
      <c r="I3205" s="33" t="n">
        <f aca="false">D3205*INDEX(Products!$D$2:$D$49,MATCH(C3205,Products!$A$2:$A$49,0))*(1+INDEX(Assumptions!$B$16:$B$20,MATCH(B3205,Assumptions!$A$16:$A$20,0)))</f>
        <v>2316.48</v>
      </c>
      <c r="J3205" s="33" t="n">
        <f aca="false">H3205-I3205</f>
        <v>1103.52</v>
      </c>
      <c r="K3205" s="33" t="n">
        <f aca="false">IF(OR(E3205=0,E3205&gt;=7),0,D3205/(7-E3205)*E3205*INDEX(Products!$E$2:$E$49,MATCH(C3205,Products!$A$2:$A$49,0)))</f>
        <v>0</v>
      </c>
    </row>
    <row r="3206" customFormat="false" ht="15" hidden="false" customHeight="false" outlineLevel="0" collapsed="false">
      <c r="A3206" s="36" t="n">
        <v>46146</v>
      </c>
      <c r="B3206" s="24" t="s">
        <v>63</v>
      </c>
      <c r="C3206" s="24" t="s">
        <v>179</v>
      </c>
      <c r="D3206" s="33" t="n">
        <v>17</v>
      </c>
      <c r="E3206" s="24" t="n">
        <v>0</v>
      </c>
      <c r="F3206" s="37" t="n">
        <f aca="false">DATE(YEAR(A3206),MONTH(A3206),1)</f>
        <v>46143</v>
      </c>
      <c r="G3206" s="24" t="str">
        <f aca="false">INDEX(Products!$C$2:$C$49,MATCH(C3206,Products!$A$2:$A$49,0))</f>
        <v>Personal Care</v>
      </c>
      <c r="H3206" s="33" t="n">
        <f aca="false">D3206*INDEX(Products!$E$2:$E$49,MATCH(C3206,Products!$A$2:$A$49,0))</f>
        <v>3060</v>
      </c>
      <c r="I3206" s="33" t="n">
        <f aca="false">D3206*INDEX(Products!$D$2:$D$49,MATCH(C3206,Products!$A$2:$A$49,0))*(1+INDEX(Assumptions!$B$16:$B$20,MATCH(B3206,Assumptions!$A$16:$A$20,0)))</f>
        <v>2072.64</v>
      </c>
      <c r="J3206" s="33" t="n">
        <f aca="false">H3206-I3206</f>
        <v>987.36</v>
      </c>
      <c r="K3206" s="33" t="n">
        <f aca="false">IF(OR(E3206=0,E3206&gt;=7),0,D3206/(7-E3206)*E3206*INDEX(Products!$E$2:$E$49,MATCH(C3206,Products!$A$2:$A$49,0)))</f>
        <v>0</v>
      </c>
    </row>
    <row r="3207" customFormat="false" ht="15" hidden="false" customHeight="false" outlineLevel="0" collapsed="false">
      <c r="A3207" s="36" t="n">
        <v>46153</v>
      </c>
      <c r="B3207" s="24" t="s">
        <v>63</v>
      </c>
      <c r="C3207" s="24" t="s">
        <v>179</v>
      </c>
      <c r="D3207" s="33" t="n">
        <v>27</v>
      </c>
      <c r="E3207" s="24" t="n">
        <v>0</v>
      </c>
      <c r="F3207" s="37" t="n">
        <f aca="false">DATE(YEAR(A3207),MONTH(A3207),1)</f>
        <v>46143</v>
      </c>
      <c r="G3207" s="24" t="str">
        <f aca="false">INDEX(Products!$C$2:$C$49,MATCH(C3207,Products!$A$2:$A$49,0))</f>
        <v>Personal Care</v>
      </c>
      <c r="H3207" s="33" t="n">
        <f aca="false">D3207*INDEX(Products!$E$2:$E$49,MATCH(C3207,Products!$A$2:$A$49,0))</f>
        <v>4860</v>
      </c>
      <c r="I3207" s="33" t="n">
        <f aca="false">D3207*INDEX(Products!$D$2:$D$49,MATCH(C3207,Products!$A$2:$A$49,0))*(1+INDEX(Assumptions!$B$16:$B$20,MATCH(B3207,Assumptions!$A$16:$A$20,0)))</f>
        <v>3291.84</v>
      </c>
      <c r="J3207" s="33" t="n">
        <f aca="false">H3207-I3207</f>
        <v>1568.16</v>
      </c>
      <c r="K3207" s="33" t="n">
        <f aca="false">IF(OR(E3207=0,E3207&gt;=7),0,D3207/(7-E3207)*E3207*INDEX(Products!$E$2:$E$49,MATCH(C3207,Products!$A$2:$A$49,0)))</f>
        <v>0</v>
      </c>
    </row>
    <row r="3208" customFormat="false" ht="15" hidden="false" customHeight="false" outlineLevel="0" collapsed="false">
      <c r="A3208" s="36" t="n">
        <v>46160</v>
      </c>
      <c r="B3208" s="24" t="s">
        <v>63</v>
      </c>
      <c r="C3208" s="24" t="s">
        <v>179</v>
      </c>
      <c r="D3208" s="33" t="n">
        <v>24</v>
      </c>
      <c r="E3208" s="24" t="n">
        <v>0</v>
      </c>
      <c r="F3208" s="37" t="n">
        <f aca="false">DATE(YEAR(A3208),MONTH(A3208),1)</f>
        <v>46143</v>
      </c>
      <c r="G3208" s="24" t="str">
        <f aca="false">INDEX(Products!$C$2:$C$49,MATCH(C3208,Products!$A$2:$A$49,0))</f>
        <v>Personal Care</v>
      </c>
      <c r="H3208" s="33" t="n">
        <f aca="false">D3208*INDEX(Products!$E$2:$E$49,MATCH(C3208,Products!$A$2:$A$49,0))</f>
        <v>4320</v>
      </c>
      <c r="I3208" s="33" t="n">
        <f aca="false">D3208*INDEX(Products!$D$2:$D$49,MATCH(C3208,Products!$A$2:$A$49,0))*(1+INDEX(Assumptions!$B$16:$B$20,MATCH(B3208,Assumptions!$A$16:$A$20,0)))</f>
        <v>2926.08</v>
      </c>
      <c r="J3208" s="33" t="n">
        <f aca="false">H3208-I3208</f>
        <v>1393.92</v>
      </c>
      <c r="K3208" s="33" t="n">
        <f aca="false">IF(OR(E3208=0,E3208&gt;=7),0,D3208/(7-E3208)*E3208*INDEX(Products!$E$2:$E$49,MATCH(C3208,Products!$A$2:$A$49,0)))</f>
        <v>0</v>
      </c>
    </row>
    <row r="3209" customFormat="false" ht="15" hidden="false" customHeight="false" outlineLevel="0" collapsed="false">
      <c r="A3209" s="36" t="n">
        <v>46167</v>
      </c>
      <c r="B3209" s="24" t="s">
        <v>63</v>
      </c>
      <c r="C3209" s="24" t="s">
        <v>179</v>
      </c>
      <c r="D3209" s="33" t="n">
        <v>30</v>
      </c>
      <c r="E3209" s="24" t="n">
        <v>0</v>
      </c>
      <c r="F3209" s="37" t="n">
        <f aca="false">DATE(YEAR(A3209),MONTH(A3209),1)</f>
        <v>46143</v>
      </c>
      <c r="G3209" s="24" t="str">
        <f aca="false">INDEX(Products!$C$2:$C$49,MATCH(C3209,Products!$A$2:$A$49,0))</f>
        <v>Personal Care</v>
      </c>
      <c r="H3209" s="33" t="n">
        <f aca="false">D3209*INDEX(Products!$E$2:$E$49,MATCH(C3209,Products!$A$2:$A$49,0))</f>
        <v>5400</v>
      </c>
      <c r="I3209" s="33" t="n">
        <f aca="false">D3209*INDEX(Products!$D$2:$D$49,MATCH(C3209,Products!$A$2:$A$49,0))*(1+INDEX(Assumptions!$B$16:$B$20,MATCH(B3209,Assumptions!$A$16:$A$20,0)))</f>
        <v>3657.6</v>
      </c>
      <c r="J3209" s="33" t="n">
        <f aca="false">H3209-I3209</f>
        <v>1742.4</v>
      </c>
      <c r="K3209" s="33" t="n">
        <f aca="false">IF(OR(E3209=0,E3209&gt;=7),0,D3209/(7-E3209)*E3209*INDEX(Products!$E$2:$E$49,MATCH(C3209,Products!$A$2:$A$49,0)))</f>
        <v>0</v>
      </c>
    </row>
    <row r="3210" customFormat="false" ht="15" hidden="false" customHeight="false" outlineLevel="0" collapsed="false">
      <c r="A3210" s="36" t="n">
        <v>46174</v>
      </c>
      <c r="B3210" s="24" t="s">
        <v>63</v>
      </c>
      <c r="C3210" s="24" t="s">
        <v>179</v>
      </c>
      <c r="D3210" s="33" t="n">
        <v>5</v>
      </c>
      <c r="E3210" s="24" t="n">
        <v>3</v>
      </c>
      <c r="F3210" s="37" t="n">
        <f aca="false">DATE(YEAR(A3210),MONTH(A3210),1)</f>
        <v>46174</v>
      </c>
      <c r="G3210" s="24" t="str">
        <f aca="false">INDEX(Products!$C$2:$C$49,MATCH(C3210,Products!$A$2:$A$49,0))</f>
        <v>Personal Care</v>
      </c>
      <c r="H3210" s="33" t="n">
        <f aca="false">D3210*INDEX(Products!$E$2:$E$49,MATCH(C3210,Products!$A$2:$A$49,0))</f>
        <v>900</v>
      </c>
      <c r="I3210" s="33" t="n">
        <f aca="false">D3210*INDEX(Products!$D$2:$D$49,MATCH(C3210,Products!$A$2:$A$49,0))*(1+INDEX(Assumptions!$B$16:$B$20,MATCH(B3210,Assumptions!$A$16:$A$20,0)))</f>
        <v>609.6</v>
      </c>
      <c r="J3210" s="33" t="n">
        <f aca="false">H3210-I3210</f>
        <v>290.4</v>
      </c>
      <c r="K3210" s="33" t="n">
        <f aca="false">IF(OR(E3210=0,E3210&gt;=7),0,D3210/(7-E3210)*E3210*INDEX(Products!$E$2:$E$49,MATCH(C3210,Products!$A$2:$A$49,0)))</f>
        <v>675</v>
      </c>
    </row>
    <row r="3211" customFormat="false" ht="15" hidden="false" customHeight="false" outlineLevel="0" collapsed="false">
      <c r="A3211" s="36" t="n">
        <v>46181</v>
      </c>
      <c r="B3211" s="24" t="s">
        <v>63</v>
      </c>
      <c r="C3211" s="24" t="s">
        <v>179</v>
      </c>
      <c r="D3211" s="33" t="n">
        <v>13</v>
      </c>
      <c r="E3211" s="24" t="n">
        <v>0</v>
      </c>
      <c r="F3211" s="37" t="n">
        <f aca="false">DATE(YEAR(A3211),MONTH(A3211),1)</f>
        <v>46174</v>
      </c>
      <c r="G3211" s="24" t="str">
        <f aca="false">INDEX(Products!$C$2:$C$49,MATCH(C3211,Products!$A$2:$A$49,0))</f>
        <v>Personal Care</v>
      </c>
      <c r="H3211" s="33" t="n">
        <f aca="false">D3211*INDEX(Products!$E$2:$E$49,MATCH(C3211,Products!$A$2:$A$49,0))</f>
        <v>2340</v>
      </c>
      <c r="I3211" s="33" t="n">
        <f aca="false">D3211*INDEX(Products!$D$2:$D$49,MATCH(C3211,Products!$A$2:$A$49,0))*(1+INDEX(Assumptions!$B$16:$B$20,MATCH(B3211,Assumptions!$A$16:$A$20,0)))</f>
        <v>1584.96</v>
      </c>
      <c r="J3211" s="33" t="n">
        <f aca="false">H3211-I3211</f>
        <v>755.04</v>
      </c>
      <c r="K3211" s="33" t="n">
        <f aca="false">IF(OR(E3211=0,E3211&gt;=7),0,D3211/(7-E3211)*E3211*INDEX(Products!$E$2:$E$49,MATCH(C3211,Products!$A$2:$A$49,0)))</f>
        <v>0</v>
      </c>
    </row>
    <row r="3212" customFormat="false" ht="15" hidden="false" customHeight="false" outlineLevel="0" collapsed="false">
      <c r="A3212" s="36" t="n">
        <v>46188</v>
      </c>
      <c r="B3212" s="24" t="s">
        <v>63</v>
      </c>
      <c r="C3212" s="24" t="s">
        <v>179</v>
      </c>
      <c r="D3212" s="33" t="n">
        <v>12</v>
      </c>
      <c r="E3212" s="24" t="n">
        <v>0</v>
      </c>
      <c r="F3212" s="37" t="n">
        <f aca="false">DATE(YEAR(A3212),MONTH(A3212),1)</f>
        <v>46174</v>
      </c>
      <c r="G3212" s="24" t="str">
        <f aca="false">INDEX(Products!$C$2:$C$49,MATCH(C3212,Products!$A$2:$A$49,0))</f>
        <v>Personal Care</v>
      </c>
      <c r="H3212" s="33" t="n">
        <f aca="false">D3212*INDEX(Products!$E$2:$E$49,MATCH(C3212,Products!$A$2:$A$49,0))</f>
        <v>2160</v>
      </c>
      <c r="I3212" s="33" t="n">
        <f aca="false">D3212*INDEX(Products!$D$2:$D$49,MATCH(C3212,Products!$A$2:$A$49,0))*(1+INDEX(Assumptions!$B$16:$B$20,MATCH(B3212,Assumptions!$A$16:$A$20,0)))</f>
        <v>1463.04</v>
      </c>
      <c r="J3212" s="33" t="n">
        <f aca="false">H3212-I3212</f>
        <v>696.96</v>
      </c>
      <c r="K3212" s="33" t="n">
        <f aca="false">IF(OR(E3212=0,E3212&gt;=7),0,D3212/(7-E3212)*E3212*INDEX(Products!$E$2:$E$49,MATCH(C3212,Products!$A$2:$A$49,0)))</f>
        <v>0</v>
      </c>
    </row>
    <row r="3213" customFormat="false" ht="15" hidden="false" customHeight="false" outlineLevel="0" collapsed="false">
      <c r="A3213" s="36" t="n">
        <v>46195</v>
      </c>
      <c r="B3213" s="24" t="s">
        <v>63</v>
      </c>
      <c r="C3213" s="24" t="s">
        <v>179</v>
      </c>
      <c r="D3213" s="33" t="n">
        <v>17</v>
      </c>
      <c r="E3213" s="24" t="n">
        <v>0</v>
      </c>
      <c r="F3213" s="37" t="n">
        <f aca="false">DATE(YEAR(A3213),MONTH(A3213),1)</f>
        <v>46174</v>
      </c>
      <c r="G3213" s="24" t="str">
        <f aca="false">INDEX(Products!$C$2:$C$49,MATCH(C3213,Products!$A$2:$A$49,0))</f>
        <v>Personal Care</v>
      </c>
      <c r="H3213" s="33" t="n">
        <f aca="false">D3213*INDEX(Products!$E$2:$E$49,MATCH(C3213,Products!$A$2:$A$49,0))</f>
        <v>3060</v>
      </c>
      <c r="I3213" s="33" t="n">
        <f aca="false">D3213*INDEX(Products!$D$2:$D$49,MATCH(C3213,Products!$A$2:$A$49,0))*(1+INDEX(Assumptions!$B$16:$B$20,MATCH(B3213,Assumptions!$A$16:$A$20,0)))</f>
        <v>2072.64</v>
      </c>
      <c r="J3213" s="33" t="n">
        <f aca="false">H3213-I3213</f>
        <v>987.36</v>
      </c>
      <c r="K3213" s="33" t="n">
        <f aca="false">IF(OR(E3213=0,E3213&gt;=7),0,D3213/(7-E3213)*E3213*INDEX(Products!$E$2:$E$49,MATCH(C3213,Products!$A$2:$A$49,0)))</f>
        <v>0</v>
      </c>
    </row>
    <row r="3214" customFormat="false" ht="15" hidden="false" customHeight="false" outlineLevel="0" collapsed="false">
      <c r="A3214" s="36" t="n">
        <v>46202</v>
      </c>
      <c r="B3214" s="24" t="s">
        <v>63</v>
      </c>
      <c r="C3214" s="24" t="s">
        <v>179</v>
      </c>
      <c r="D3214" s="33" t="n">
        <v>29</v>
      </c>
      <c r="E3214" s="24" t="n">
        <v>0</v>
      </c>
      <c r="F3214" s="37" t="n">
        <f aca="false">DATE(YEAR(A3214),MONTH(A3214),1)</f>
        <v>46174</v>
      </c>
      <c r="G3214" s="24" t="str">
        <f aca="false">INDEX(Products!$C$2:$C$49,MATCH(C3214,Products!$A$2:$A$49,0))</f>
        <v>Personal Care</v>
      </c>
      <c r="H3214" s="33" t="n">
        <f aca="false">D3214*INDEX(Products!$E$2:$E$49,MATCH(C3214,Products!$A$2:$A$49,0))</f>
        <v>5220</v>
      </c>
      <c r="I3214" s="33" t="n">
        <f aca="false">D3214*INDEX(Products!$D$2:$D$49,MATCH(C3214,Products!$A$2:$A$49,0))*(1+INDEX(Assumptions!$B$16:$B$20,MATCH(B3214,Assumptions!$A$16:$A$20,0)))</f>
        <v>3535.68</v>
      </c>
      <c r="J3214" s="33" t="n">
        <f aca="false">H3214-I3214</f>
        <v>1684.32</v>
      </c>
      <c r="K3214" s="33" t="n">
        <f aca="false">IF(OR(E3214=0,E3214&gt;=7),0,D3214/(7-E3214)*E3214*INDEX(Products!$E$2:$E$49,MATCH(C3214,Products!$A$2:$A$49,0)))</f>
        <v>0</v>
      </c>
    </row>
    <row r="3215" customFormat="false" ht="15" hidden="false" customHeight="false" outlineLevel="0" collapsed="false">
      <c r="A3215" s="36" t="n">
        <v>46209</v>
      </c>
      <c r="B3215" s="24" t="s">
        <v>63</v>
      </c>
      <c r="C3215" s="24" t="s">
        <v>179</v>
      </c>
      <c r="D3215" s="33" t="n">
        <v>9</v>
      </c>
      <c r="E3215" s="24" t="n">
        <v>0</v>
      </c>
      <c r="F3215" s="37" t="n">
        <f aca="false">DATE(YEAR(A3215),MONTH(A3215),1)</f>
        <v>46204</v>
      </c>
      <c r="G3215" s="24" t="str">
        <f aca="false">INDEX(Products!$C$2:$C$49,MATCH(C3215,Products!$A$2:$A$49,0))</f>
        <v>Personal Care</v>
      </c>
      <c r="H3215" s="33" t="n">
        <f aca="false">D3215*INDEX(Products!$E$2:$E$49,MATCH(C3215,Products!$A$2:$A$49,0))</f>
        <v>1620</v>
      </c>
      <c r="I3215" s="33" t="n">
        <f aca="false">D3215*INDEX(Products!$D$2:$D$49,MATCH(C3215,Products!$A$2:$A$49,0))*(1+INDEX(Assumptions!$B$16:$B$20,MATCH(B3215,Assumptions!$A$16:$A$20,0)))</f>
        <v>1097.28</v>
      </c>
      <c r="J3215" s="33" t="n">
        <f aca="false">H3215-I3215</f>
        <v>522.72</v>
      </c>
      <c r="K3215" s="33" t="n">
        <f aca="false">IF(OR(E3215=0,E3215&gt;=7),0,D3215/(7-E3215)*E3215*INDEX(Products!$E$2:$E$49,MATCH(C3215,Products!$A$2:$A$49,0)))</f>
        <v>0</v>
      </c>
    </row>
    <row r="3216" customFormat="false" ht="15" hidden="false" customHeight="false" outlineLevel="0" collapsed="false">
      <c r="A3216" s="36" t="n">
        <v>46216</v>
      </c>
      <c r="B3216" s="24" t="s">
        <v>63</v>
      </c>
      <c r="C3216" s="24" t="s">
        <v>179</v>
      </c>
      <c r="D3216" s="33" t="n">
        <v>13</v>
      </c>
      <c r="E3216" s="24" t="n">
        <v>0</v>
      </c>
      <c r="F3216" s="37" t="n">
        <f aca="false">DATE(YEAR(A3216),MONTH(A3216),1)</f>
        <v>46204</v>
      </c>
      <c r="G3216" s="24" t="str">
        <f aca="false">INDEX(Products!$C$2:$C$49,MATCH(C3216,Products!$A$2:$A$49,0))</f>
        <v>Personal Care</v>
      </c>
      <c r="H3216" s="33" t="n">
        <f aca="false">D3216*INDEX(Products!$E$2:$E$49,MATCH(C3216,Products!$A$2:$A$49,0))</f>
        <v>2340</v>
      </c>
      <c r="I3216" s="33" t="n">
        <f aca="false">D3216*INDEX(Products!$D$2:$D$49,MATCH(C3216,Products!$A$2:$A$49,0))*(1+INDEX(Assumptions!$B$16:$B$20,MATCH(B3216,Assumptions!$A$16:$A$20,0)))</f>
        <v>1584.96</v>
      </c>
      <c r="J3216" s="33" t="n">
        <f aca="false">H3216-I3216</f>
        <v>755.04</v>
      </c>
      <c r="K3216" s="33" t="n">
        <f aca="false">IF(OR(E3216=0,E3216&gt;=7),0,D3216/(7-E3216)*E3216*INDEX(Products!$E$2:$E$49,MATCH(C3216,Products!$A$2:$A$49,0)))</f>
        <v>0</v>
      </c>
    </row>
    <row r="3217" customFormat="false" ht="15" hidden="false" customHeight="false" outlineLevel="0" collapsed="false">
      <c r="A3217" s="36" t="n">
        <v>46223</v>
      </c>
      <c r="B3217" s="24" t="s">
        <v>63</v>
      </c>
      <c r="C3217" s="24" t="s">
        <v>179</v>
      </c>
      <c r="D3217" s="33" t="n">
        <v>17</v>
      </c>
      <c r="E3217" s="24" t="n">
        <v>0</v>
      </c>
      <c r="F3217" s="37" t="n">
        <f aca="false">DATE(YEAR(A3217),MONTH(A3217),1)</f>
        <v>46204</v>
      </c>
      <c r="G3217" s="24" t="str">
        <f aca="false">INDEX(Products!$C$2:$C$49,MATCH(C3217,Products!$A$2:$A$49,0))</f>
        <v>Personal Care</v>
      </c>
      <c r="H3217" s="33" t="n">
        <f aca="false">D3217*INDEX(Products!$E$2:$E$49,MATCH(C3217,Products!$A$2:$A$49,0))</f>
        <v>3060</v>
      </c>
      <c r="I3217" s="33" t="n">
        <f aca="false">D3217*INDEX(Products!$D$2:$D$49,MATCH(C3217,Products!$A$2:$A$49,0))*(1+INDEX(Assumptions!$B$16:$B$20,MATCH(B3217,Assumptions!$A$16:$A$20,0)))</f>
        <v>2072.64</v>
      </c>
      <c r="J3217" s="33" t="n">
        <f aca="false">H3217-I3217</f>
        <v>987.36</v>
      </c>
      <c r="K3217" s="33" t="n">
        <f aca="false">IF(OR(E3217=0,E3217&gt;=7),0,D3217/(7-E3217)*E3217*INDEX(Products!$E$2:$E$49,MATCH(C3217,Products!$A$2:$A$49,0)))</f>
        <v>0</v>
      </c>
    </row>
    <row r="3218" customFormat="false" ht="15" hidden="false" customHeight="false" outlineLevel="0" collapsed="false">
      <c r="A3218" s="36" t="n">
        <v>46230</v>
      </c>
      <c r="B3218" s="24" t="s">
        <v>63</v>
      </c>
      <c r="C3218" s="24" t="s">
        <v>179</v>
      </c>
      <c r="D3218" s="33" t="n">
        <v>15</v>
      </c>
      <c r="E3218" s="24" t="n">
        <v>0</v>
      </c>
      <c r="F3218" s="37" t="n">
        <f aca="false">DATE(YEAR(A3218),MONTH(A3218),1)</f>
        <v>46204</v>
      </c>
      <c r="G3218" s="24" t="str">
        <f aca="false">INDEX(Products!$C$2:$C$49,MATCH(C3218,Products!$A$2:$A$49,0))</f>
        <v>Personal Care</v>
      </c>
      <c r="H3218" s="33" t="n">
        <f aca="false">D3218*INDEX(Products!$E$2:$E$49,MATCH(C3218,Products!$A$2:$A$49,0))</f>
        <v>2700</v>
      </c>
      <c r="I3218" s="33" t="n">
        <f aca="false">D3218*INDEX(Products!$D$2:$D$49,MATCH(C3218,Products!$A$2:$A$49,0))*(1+INDEX(Assumptions!$B$16:$B$20,MATCH(B3218,Assumptions!$A$16:$A$20,0)))</f>
        <v>1828.8</v>
      </c>
      <c r="J3218" s="33" t="n">
        <f aca="false">H3218-I3218</f>
        <v>871.2</v>
      </c>
      <c r="K3218" s="33" t="n">
        <f aca="false">IF(OR(E3218=0,E3218&gt;=7),0,D3218/(7-E3218)*E3218*INDEX(Products!$E$2:$E$49,MATCH(C3218,Products!$A$2:$A$49,0)))</f>
        <v>0</v>
      </c>
    </row>
    <row r="3219" customFormat="false" ht="15" hidden="false" customHeight="false" outlineLevel="0" collapsed="false">
      <c r="A3219" s="36" t="n">
        <v>46237</v>
      </c>
      <c r="B3219" s="24" t="s">
        <v>63</v>
      </c>
      <c r="C3219" s="24" t="s">
        <v>179</v>
      </c>
      <c r="D3219" s="33" t="n">
        <v>11</v>
      </c>
      <c r="E3219" s="24" t="n">
        <v>0</v>
      </c>
      <c r="F3219" s="37" t="n">
        <f aca="false">DATE(YEAR(A3219),MONTH(A3219),1)</f>
        <v>46235</v>
      </c>
      <c r="G3219" s="24" t="str">
        <f aca="false">INDEX(Products!$C$2:$C$49,MATCH(C3219,Products!$A$2:$A$49,0))</f>
        <v>Personal Care</v>
      </c>
      <c r="H3219" s="33" t="n">
        <f aca="false">D3219*INDEX(Products!$E$2:$E$49,MATCH(C3219,Products!$A$2:$A$49,0))</f>
        <v>1980</v>
      </c>
      <c r="I3219" s="33" t="n">
        <f aca="false">D3219*INDEX(Products!$D$2:$D$49,MATCH(C3219,Products!$A$2:$A$49,0))*(1+INDEX(Assumptions!$B$16:$B$20,MATCH(B3219,Assumptions!$A$16:$A$20,0)))</f>
        <v>1341.12</v>
      </c>
      <c r="J3219" s="33" t="n">
        <f aca="false">H3219-I3219</f>
        <v>638.88</v>
      </c>
      <c r="K3219" s="33" t="n">
        <f aca="false">IF(OR(E3219=0,E3219&gt;=7),0,D3219/(7-E3219)*E3219*INDEX(Products!$E$2:$E$49,MATCH(C3219,Products!$A$2:$A$49,0)))</f>
        <v>0</v>
      </c>
    </row>
    <row r="3220" customFormat="false" ht="15" hidden="false" customHeight="false" outlineLevel="0" collapsed="false">
      <c r="A3220" s="36" t="n">
        <v>46244</v>
      </c>
      <c r="B3220" s="24" t="s">
        <v>63</v>
      </c>
      <c r="C3220" s="24" t="s">
        <v>179</v>
      </c>
      <c r="D3220" s="33" t="n">
        <v>9</v>
      </c>
      <c r="E3220" s="24" t="n">
        <v>0</v>
      </c>
      <c r="F3220" s="37" t="n">
        <f aca="false">DATE(YEAR(A3220),MONTH(A3220),1)</f>
        <v>46235</v>
      </c>
      <c r="G3220" s="24" t="str">
        <f aca="false">INDEX(Products!$C$2:$C$49,MATCH(C3220,Products!$A$2:$A$49,0))</f>
        <v>Personal Care</v>
      </c>
      <c r="H3220" s="33" t="n">
        <f aca="false">D3220*INDEX(Products!$E$2:$E$49,MATCH(C3220,Products!$A$2:$A$49,0))</f>
        <v>1620</v>
      </c>
      <c r="I3220" s="33" t="n">
        <f aca="false">D3220*INDEX(Products!$D$2:$D$49,MATCH(C3220,Products!$A$2:$A$49,0))*(1+INDEX(Assumptions!$B$16:$B$20,MATCH(B3220,Assumptions!$A$16:$A$20,0)))</f>
        <v>1097.28</v>
      </c>
      <c r="J3220" s="33" t="n">
        <f aca="false">H3220-I3220</f>
        <v>522.72</v>
      </c>
      <c r="K3220" s="33" t="n">
        <f aca="false">IF(OR(E3220=0,E3220&gt;=7),0,D3220/(7-E3220)*E3220*INDEX(Products!$E$2:$E$49,MATCH(C3220,Products!$A$2:$A$49,0)))</f>
        <v>0</v>
      </c>
    </row>
    <row r="3221" customFormat="false" ht="15" hidden="false" customHeight="false" outlineLevel="0" collapsed="false">
      <c r="A3221" s="36" t="n">
        <v>46251</v>
      </c>
      <c r="B3221" s="24" t="s">
        <v>63</v>
      </c>
      <c r="C3221" s="24" t="s">
        <v>179</v>
      </c>
      <c r="D3221" s="33" t="n">
        <v>13</v>
      </c>
      <c r="E3221" s="24" t="n">
        <v>0</v>
      </c>
      <c r="F3221" s="37" t="n">
        <f aca="false">DATE(YEAR(A3221),MONTH(A3221),1)</f>
        <v>46235</v>
      </c>
      <c r="G3221" s="24" t="str">
        <f aca="false">INDEX(Products!$C$2:$C$49,MATCH(C3221,Products!$A$2:$A$49,0))</f>
        <v>Personal Care</v>
      </c>
      <c r="H3221" s="33" t="n">
        <f aca="false">D3221*INDEX(Products!$E$2:$E$49,MATCH(C3221,Products!$A$2:$A$49,0))</f>
        <v>2340</v>
      </c>
      <c r="I3221" s="33" t="n">
        <f aca="false">D3221*INDEX(Products!$D$2:$D$49,MATCH(C3221,Products!$A$2:$A$49,0))*(1+INDEX(Assumptions!$B$16:$B$20,MATCH(B3221,Assumptions!$A$16:$A$20,0)))</f>
        <v>1584.96</v>
      </c>
      <c r="J3221" s="33" t="n">
        <f aca="false">H3221-I3221</f>
        <v>755.04</v>
      </c>
      <c r="K3221" s="33" t="n">
        <f aca="false">IF(OR(E3221=0,E3221&gt;=7),0,D3221/(7-E3221)*E3221*INDEX(Products!$E$2:$E$49,MATCH(C3221,Products!$A$2:$A$49,0)))</f>
        <v>0</v>
      </c>
    </row>
    <row r="3222" customFormat="false" ht="15" hidden="false" customHeight="false" outlineLevel="0" collapsed="false">
      <c r="A3222" s="36" t="n">
        <v>46258</v>
      </c>
      <c r="B3222" s="24" t="s">
        <v>63</v>
      </c>
      <c r="C3222" s="24" t="s">
        <v>179</v>
      </c>
      <c r="D3222" s="33" t="n">
        <v>12</v>
      </c>
      <c r="E3222" s="24" t="n">
        <v>0</v>
      </c>
      <c r="F3222" s="37" t="n">
        <f aca="false">DATE(YEAR(A3222),MONTH(A3222),1)</f>
        <v>46235</v>
      </c>
      <c r="G3222" s="24" t="str">
        <f aca="false">INDEX(Products!$C$2:$C$49,MATCH(C3222,Products!$A$2:$A$49,0))</f>
        <v>Personal Care</v>
      </c>
      <c r="H3222" s="33" t="n">
        <f aca="false">D3222*INDEX(Products!$E$2:$E$49,MATCH(C3222,Products!$A$2:$A$49,0))</f>
        <v>2160</v>
      </c>
      <c r="I3222" s="33" t="n">
        <f aca="false">D3222*INDEX(Products!$D$2:$D$49,MATCH(C3222,Products!$A$2:$A$49,0))*(1+INDEX(Assumptions!$B$16:$B$20,MATCH(B3222,Assumptions!$A$16:$A$20,0)))</f>
        <v>1463.04</v>
      </c>
      <c r="J3222" s="33" t="n">
        <f aca="false">H3222-I3222</f>
        <v>696.96</v>
      </c>
      <c r="K3222" s="33" t="n">
        <f aca="false">IF(OR(E3222=0,E3222&gt;=7),0,D3222/(7-E3222)*E3222*INDEX(Products!$E$2:$E$49,MATCH(C3222,Products!$A$2:$A$49,0)))</f>
        <v>0</v>
      </c>
    </row>
    <row r="3223" customFormat="false" ht="15" hidden="false" customHeight="false" outlineLevel="0" collapsed="false">
      <c r="A3223" s="36" t="n">
        <v>46265</v>
      </c>
      <c r="B3223" s="24" t="s">
        <v>63</v>
      </c>
      <c r="C3223" s="24" t="s">
        <v>179</v>
      </c>
      <c r="D3223" s="33" t="n">
        <v>13</v>
      </c>
      <c r="E3223" s="24" t="n">
        <v>0</v>
      </c>
      <c r="F3223" s="37" t="n">
        <f aca="false">DATE(YEAR(A3223),MONTH(A3223),1)</f>
        <v>46235</v>
      </c>
      <c r="G3223" s="24" t="str">
        <f aca="false">INDEX(Products!$C$2:$C$49,MATCH(C3223,Products!$A$2:$A$49,0))</f>
        <v>Personal Care</v>
      </c>
      <c r="H3223" s="33" t="n">
        <f aca="false">D3223*INDEX(Products!$E$2:$E$49,MATCH(C3223,Products!$A$2:$A$49,0))</f>
        <v>2340</v>
      </c>
      <c r="I3223" s="33" t="n">
        <f aca="false">D3223*INDEX(Products!$D$2:$D$49,MATCH(C3223,Products!$A$2:$A$49,0))*(1+INDEX(Assumptions!$B$16:$B$20,MATCH(B3223,Assumptions!$A$16:$A$20,0)))</f>
        <v>1584.96</v>
      </c>
      <c r="J3223" s="33" t="n">
        <f aca="false">H3223-I3223</f>
        <v>755.04</v>
      </c>
      <c r="K3223" s="33" t="n">
        <f aca="false">IF(OR(E3223=0,E3223&gt;=7),0,D3223/(7-E3223)*E3223*INDEX(Products!$E$2:$E$49,MATCH(C3223,Products!$A$2:$A$49,0)))</f>
        <v>0</v>
      </c>
    </row>
    <row r="3224" customFormat="false" ht="15" hidden="false" customHeight="false" outlineLevel="0" collapsed="false">
      <c r="A3224" s="36" t="n">
        <v>46272</v>
      </c>
      <c r="B3224" s="24" t="s">
        <v>63</v>
      </c>
      <c r="C3224" s="24" t="s">
        <v>179</v>
      </c>
      <c r="D3224" s="33" t="n">
        <v>11</v>
      </c>
      <c r="E3224" s="24" t="n">
        <v>0</v>
      </c>
      <c r="F3224" s="37" t="n">
        <f aca="false">DATE(YEAR(A3224),MONTH(A3224),1)</f>
        <v>46266</v>
      </c>
      <c r="G3224" s="24" t="str">
        <f aca="false">INDEX(Products!$C$2:$C$49,MATCH(C3224,Products!$A$2:$A$49,0))</f>
        <v>Personal Care</v>
      </c>
      <c r="H3224" s="33" t="n">
        <f aca="false">D3224*INDEX(Products!$E$2:$E$49,MATCH(C3224,Products!$A$2:$A$49,0))</f>
        <v>1980</v>
      </c>
      <c r="I3224" s="33" t="n">
        <f aca="false">D3224*INDEX(Products!$D$2:$D$49,MATCH(C3224,Products!$A$2:$A$49,0))*(1+INDEX(Assumptions!$B$16:$B$20,MATCH(B3224,Assumptions!$A$16:$A$20,0)))</f>
        <v>1341.12</v>
      </c>
      <c r="J3224" s="33" t="n">
        <f aca="false">H3224-I3224</f>
        <v>638.88</v>
      </c>
      <c r="K3224" s="33" t="n">
        <f aca="false">IF(OR(E3224=0,E3224&gt;=7),0,D3224/(7-E3224)*E3224*INDEX(Products!$E$2:$E$49,MATCH(C3224,Products!$A$2:$A$49,0)))</f>
        <v>0</v>
      </c>
    </row>
    <row r="3225" customFormat="false" ht="15" hidden="false" customHeight="false" outlineLevel="0" collapsed="false">
      <c r="A3225" s="36" t="n">
        <v>46279</v>
      </c>
      <c r="B3225" s="24" t="s">
        <v>63</v>
      </c>
      <c r="C3225" s="24" t="s">
        <v>179</v>
      </c>
      <c r="D3225" s="33" t="n">
        <v>11</v>
      </c>
      <c r="E3225" s="24" t="n">
        <v>0</v>
      </c>
      <c r="F3225" s="37" t="n">
        <f aca="false">DATE(YEAR(A3225),MONTH(A3225),1)</f>
        <v>46266</v>
      </c>
      <c r="G3225" s="24" t="str">
        <f aca="false">INDEX(Products!$C$2:$C$49,MATCH(C3225,Products!$A$2:$A$49,0))</f>
        <v>Personal Care</v>
      </c>
      <c r="H3225" s="33" t="n">
        <f aca="false">D3225*INDEX(Products!$E$2:$E$49,MATCH(C3225,Products!$A$2:$A$49,0))</f>
        <v>1980</v>
      </c>
      <c r="I3225" s="33" t="n">
        <f aca="false">D3225*INDEX(Products!$D$2:$D$49,MATCH(C3225,Products!$A$2:$A$49,0))*(1+INDEX(Assumptions!$B$16:$B$20,MATCH(B3225,Assumptions!$A$16:$A$20,0)))</f>
        <v>1341.12</v>
      </c>
      <c r="J3225" s="33" t="n">
        <f aca="false">H3225-I3225</f>
        <v>638.88</v>
      </c>
      <c r="K3225" s="33" t="n">
        <f aca="false">IF(OR(E3225=0,E3225&gt;=7),0,D3225/(7-E3225)*E3225*INDEX(Products!$E$2:$E$49,MATCH(C3225,Products!$A$2:$A$49,0)))</f>
        <v>0</v>
      </c>
    </row>
    <row r="3226" customFormat="false" ht="15" hidden="false" customHeight="false" outlineLevel="0" collapsed="false">
      <c r="A3226" s="36" t="n">
        <v>46286</v>
      </c>
      <c r="B3226" s="24" t="s">
        <v>63</v>
      </c>
      <c r="C3226" s="24" t="s">
        <v>179</v>
      </c>
      <c r="D3226" s="33" t="n">
        <v>30</v>
      </c>
      <c r="E3226" s="24" t="n">
        <v>0</v>
      </c>
      <c r="F3226" s="37" t="n">
        <f aca="false">DATE(YEAR(A3226),MONTH(A3226),1)</f>
        <v>46266</v>
      </c>
      <c r="G3226" s="24" t="str">
        <f aca="false">INDEX(Products!$C$2:$C$49,MATCH(C3226,Products!$A$2:$A$49,0))</f>
        <v>Personal Care</v>
      </c>
      <c r="H3226" s="33" t="n">
        <f aca="false">D3226*INDEX(Products!$E$2:$E$49,MATCH(C3226,Products!$A$2:$A$49,0))</f>
        <v>5400</v>
      </c>
      <c r="I3226" s="33" t="n">
        <f aca="false">D3226*INDEX(Products!$D$2:$D$49,MATCH(C3226,Products!$A$2:$A$49,0))*(1+INDEX(Assumptions!$B$16:$B$20,MATCH(B3226,Assumptions!$A$16:$A$20,0)))</f>
        <v>3657.6</v>
      </c>
      <c r="J3226" s="33" t="n">
        <f aca="false">H3226-I3226</f>
        <v>1742.4</v>
      </c>
      <c r="K3226" s="33" t="n">
        <f aca="false">IF(OR(E3226=0,E3226&gt;=7),0,D3226/(7-E3226)*E3226*INDEX(Products!$E$2:$E$49,MATCH(C3226,Products!$A$2:$A$49,0)))</f>
        <v>0</v>
      </c>
    </row>
    <row r="3227" customFormat="false" ht="15" hidden="false" customHeight="false" outlineLevel="0" collapsed="false">
      <c r="A3227" s="36" t="n">
        <v>46118</v>
      </c>
      <c r="B3227" s="24" t="s">
        <v>63</v>
      </c>
      <c r="C3227" s="24" t="s">
        <v>181</v>
      </c>
      <c r="D3227" s="33" t="n">
        <v>56</v>
      </c>
      <c r="E3227" s="24" t="n">
        <v>0</v>
      </c>
      <c r="F3227" s="37" t="n">
        <f aca="false">DATE(YEAR(A3227),MONTH(A3227),1)</f>
        <v>46113</v>
      </c>
      <c r="G3227" s="24" t="str">
        <f aca="false">INDEX(Products!$C$2:$C$49,MATCH(C3227,Products!$A$2:$A$49,0))</f>
        <v>Personal Care</v>
      </c>
      <c r="H3227" s="33" t="n">
        <f aca="false">D3227*INDEX(Products!$E$2:$E$49,MATCH(C3227,Products!$A$2:$A$49,0))</f>
        <v>19600</v>
      </c>
      <c r="I3227" s="33" t="n">
        <f aca="false">D3227*INDEX(Products!$D$2:$D$49,MATCH(C3227,Products!$A$2:$A$49,0))*(1+INDEX(Assumptions!$B$16:$B$20,MATCH(B3227,Assumptions!$A$16:$A$20,0)))</f>
        <v>14053.312</v>
      </c>
      <c r="J3227" s="33" t="n">
        <f aca="false">H3227-I3227</f>
        <v>5546.688</v>
      </c>
      <c r="K3227" s="33" t="n">
        <f aca="false">IF(OR(E3227=0,E3227&gt;=7),0,D3227/(7-E3227)*E3227*INDEX(Products!$E$2:$E$49,MATCH(C3227,Products!$A$2:$A$49,0)))</f>
        <v>0</v>
      </c>
    </row>
    <row r="3228" customFormat="false" ht="15" hidden="false" customHeight="false" outlineLevel="0" collapsed="false">
      <c r="A3228" s="36" t="n">
        <v>46125</v>
      </c>
      <c r="B3228" s="24" t="s">
        <v>63</v>
      </c>
      <c r="C3228" s="24" t="s">
        <v>181</v>
      </c>
      <c r="D3228" s="33" t="n">
        <v>68</v>
      </c>
      <c r="E3228" s="24" t="n">
        <v>0</v>
      </c>
      <c r="F3228" s="37" t="n">
        <f aca="false">DATE(YEAR(A3228),MONTH(A3228),1)</f>
        <v>46113</v>
      </c>
      <c r="G3228" s="24" t="str">
        <f aca="false">INDEX(Products!$C$2:$C$49,MATCH(C3228,Products!$A$2:$A$49,0))</f>
        <v>Personal Care</v>
      </c>
      <c r="H3228" s="33" t="n">
        <f aca="false">D3228*INDEX(Products!$E$2:$E$49,MATCH(C3228,Products!$A$2:$A$49,0))</f>
        <v>23800</v>
      </c>
      <c r="I3228" s="33" t="n">
        <f aca="false">D3228*INDEX(Products!$D$2:$D$49,MATCH(C3228,Products!$A$2:$A$49,0))*(1+INDEX(Assumptions!$B$16:$B$20,MATCH(B3228,Assumptions!$A$16:$A$20,0)))</f>
        <v>17064.736</v>
      </c>
      <c r="J3228" s="33" t="n">
        <f aca="false">H3228-I3228</f>
        <v>6735.264</v>
      </c>
      <c r="K3228" s="33" t="n">
        <f aca="false">IF(OR(E3228=0,E3228&gt;=7),0,D3228/(7-E3228)*E3228*INDEX(Products!$E$2:$E$49,MATCH(C3228,Products!$A$2:$A$49,0)))</f>
        <v>0</v>
      </c>
    </row>
    <row r="3229" customFormat="false" ht="15" hidden="false" customHeight="false" outlineLevel="0" collapsed="false">
      <c r="A3229" s="36" t="n">
        <v>46132</v>
      </c>
      <c r="B3229" s="24" t="s">
        <v>63</v>
      </c>
      <c r="C3229" s="24" t="s">
        <v>181</v>
      </c>
      <c r="D3229" s="33" t="n">
        <v>75</v>
      </c>
      <c r="E3229" s="24" t="n">
        <v>0</v>
      </c>
      <c r="F3229" s="37" t="n">
        <f aca="false">DATE(YEAR(A3229),MONTH(A3229),1)</f>
        <v>46113</v>
      </c>
      <c r="G3229" s="24" t="str">
        <f aca="false">INDEX(Products!$C$2:$C$49,MATCH(C3229,Products!$A$2:$A$49,0))</f>
        <v>Personal Care</v>
      </c>
      <c r="H3229" s="33" t="n">
        <f aca="false">D3229*INDEX(Products!$E$2:$E$49,MATCH(C3229,Products!$A$2:$A$49,0))</f>
        <v>26250</v>
      </c>
      <c r="I3229" s="33" t="n">
        <f aca="false">D3229*INDEX(Products!$D$2:$D$49,MATCH(C3229,Products!$A$2:$A$49,0))*(1+INDEX(Assumptions!$B$16:$B$20,MATCH(B3229,Assumptions!$A$16:$A$20,0)))</f>
        <v>18821.4</v>
      </c>
      <c r="J3229" s="33" t="n">
        <f aca="false">H3229-I3229</f>
        <v>7428.6</v>
      </c>
      <c r="K3229" s="33" t="n">
        <f aca="false">IF(OR(E3229=0,E3229&gt;=7),0,D3229/(7-E3229)*E3229*INDEX(Products!$E$2:$E$49,MATCH(C3229,Products!$A$2:$A$49,0)))</f>
        <v>0</v>
      </c>
    </row>
    <row r="3230" customFormat="false" ht="15" hidden="false" customHeight="false" outlineLevel="0" collapsed="false">
      <c r="A3230" s="36" t="n">
        <v>46139</v>
      </c>
      <c r="B3230" s="24" t="s">
        <v>63</v>
      </c>
      <c r="C3230" s="24" t="s">
        <v>181</v>
      </c>
      <c r="D3230" s="33" t="n">
        <v>89</v>
      </c>
      <c r="E3230" s="24" t="n">
        <v>0</v>
      </c>
      <c r="F3230" s="37" t="n">
        <f aca="false">DATE(YEAR(A3230),MONTH(A3230),1)</f>
        <v>46113</v>
      </c>
      <c r="G3230" s="24" t="str">
        <f aca="false">INDEX(Products!$C$2:$C$49,MATCH(C3230,Products!$A$2:$A$49,0))</f>
        <v>Personal Care</v>
      </c>
      <c r="H3230" s="33" t="n">
        <f aca="false">D3230*INDEX(Products!$E$2:$E$49,MATCH(C3230,Products!$A$2:$A$49,0))</f>
        <v>31150</v>
      </c>
      <c r="I3230" s="33" t="n">
        <f aca="false">D3230*INDEX(Products!$D$2:$D$49,MATCH(C3230,Products!$A$2:$A$49,0))*(1+INDEX(Assumptions!$B$16:$B$20,MATCH(B3230,Assumptions!$A$16:$A$20,0)))</f>
        <v>22334.728</v>
      </c>
      <c r="J3230" s="33" t="n">
        <f aca="false">H3230-I3230</f>
        <v>8815.272</v>
      </c>
      <c r="K3230" s="33" t="n">
        <f aca="false">IF(OR(E3230=0,E3230&gt;=7),0,D3230/(7-E3230)*E3230*INDEX(Products!$E$2:$E$49,MATCH(C3230,Products!$A$2:$A$49,0)))</f>
        <v>0</v>
      </c>
    </row>
    <row r="3231" customFormat="false" ht="15" hidden="false" customHeight="false" outlineLevel="0" collapsed="false">
      <c r="A3231" s="36" t="n">
        <v>46146</v>
      </c>
      <c r="B3231" s="24" t="s">
        <v>63</v>
      </c>
      <c r="C3231" s="24" t="s">
        <v>181</v>
      </c>
      <c r="D3231" s="33" t="n">
        <v>71</v>
      </c>
      <c r="E3231" s="24" t="n">
        <v>0</v>
      </c>
      <c r="F3231" s="37" t="n">
        <f aca="false">DATE(YEAR(A3231),MONTH(A3231),1)</f>
        <v>46143</v>
      </c>
      <c r="G3231" s="24" t="str">
        <f aca="false">INDEX(Products!$C$2:$C$49,MATCH(C3231,Products!$A$2:$A$49,0))</f>
        <v>Personal Care</v>
      </c>
      <c r="H3231" s="33" t="n">
        <f aca="false">D3231*INDEX(Products!$E$2:$E$49,MATCH(C3231,Products!$A$2:$A$49,0))</f>
        <v>24850</v>
      </c>
      <c r="I3231" s="33" t="n">
        <f aca="false">D3231*INDEX(Products!$D$2:$D$49,MATCH(C3231,Products!$A$2:$A$49,0))*(1+INDEX(Assumptions!$B$16:$B$20,MATCH(B3231,Assumptions!$A$16:$A$20,0)))</f>
        <v>17817.592</v>
      </c>
      <c r="J3231" s="33" t="n">
        <f aca="false">H3231-I3231</f>
        <v>7032.408</v>
      </c>
      <c r="K3231" s="33" t="n">
        <f aca="false">IF(OR(E3231=0,E3231&gt;=7),0,D3231/(7-E3231)*E3231*INDEX(Products!$E$2:$E$49,MATCH(C3231,Products!$A$2:$A$49,0)))</f>
        <v>0</v>
      </c>
    </row>
    <row r="3232" customFormat="false" ht="15" hidden="false" customHeight="false" outlineLevel="0" collapsed="false">
      <c r="A3232" s="36" t="n">
        <v>46153</v>
      </c>
      <c r="B3232" s="24" t="s">
        <v>63</v>
      </c>
      <c r="C3232" s="24" t="s">
        <v>181</v>
      </c>
      <c r="D3232" s="33" t="n">
        <v>55</v>
      </c>
      <c r="E3232" s="24" t="n">
        <v>0</v>
      </c>
      <c r="F3232" s="37" t="n">
        <f aca="false">DATE(YEAR(A3232),MONTH(A3232),1)</f>
        <v>46143</v>
      </c>
      <c r="G3232" s="24" t="str">
        <f aca="false">INDEX(Products!$C$2:$C$49,MATCH(C3232,Products!$A$2:$A$49,0))</f>
        <v>Personal Care</v>
      </c>
      <c r="H3232" s="33" t="n">
        <f aca="false">D3232*INDEX(Products!$E$2:$E$49,MATCH(C3232,Products!$A$2:$A$49,0))</f>
        <v>19250</v>
      </c>
      <c r="I3232" s="33" t="n">
        <f aca="false">D3232*INDEX(Products!$D$2:$D$49,MATCH(C3232,Products!$A$2:$A$49,0))*(1+INDEX(Assumptions!$B$16:$B$20,MATCH(B3232,Assumptions!$A$16:$A$20,0)))</f>
        <v>13802.36</v>
      </c>
      <c r="J3232" s="33" t="n">
        <f aca="false">H3232-I3232</f>
        <v>5447.64</v>
      </c>
      <c r="K3232" s="33" t="n">
        <f aca="false">IF(OR(E3232=0,E3232&gt;=7),0,D3232/(7-E3232)*E3232*INDEX(Products!$E$2:$E$49,MATCH(C3232,Products!$A$2:$A$49,0)))</f>
        <v>0</v>
      </c>
    </row>
    <row r="3233" customFormat="false" ht="15" hidden="false" customHeight="false" outlineLevel="0" collapsed="false">
      <c r="A3233" s="36" t="n">
        <v>46160</v>
      </c>
      <c r="B3233" s="24" t="s">
        <v>63</v>
      </c>
      <c r="C3233" s="24" t="s">
        <v>181</v>
      </c>
      <c r="D3233" s="33" t="n">
        <v>65</v>
      </c>
      <c r="E3233" s="24" t="n">
        <v>0</v>
      </c>
      <c r="F3233" s="37" t="n">
        <f aca="false">DATE(YEAR(A3233),MONTH(A3233),1)</f>
        <v>46143</v>
      </c>
      <c r="G3233" s="24" t="str">
        <f aca="false">INDEX(Products!$C$2:$C$49,MATCH(C3233,Products!$A$2:$A$49,0))</f>
        <v>Personal Care</v>
      </c>
      <c r="H3233" s="33" t="n">
        <f aca="false">D3233*INDEX(Products!$E$2:$E$49,MATCH(C3233,Products!$A$2:$A$49,0))</f>
        <v>22750</v>
      </c>
      <c r="I3233" s="33" t="n">
        <f aca="false">D3233*INDEX(Products!$D$2:$D$49,MATCH(C3233,Products!$A$2:$A$49,0))*(1+INDEX(Assumptions!$B$16:$B$20,MATCH(B3233,Assumptions!$A$16:$A$20,0)))</f>
        <v>16311.88</v>
      </c>
      <c r="J3233" s="33" t="n">
        <f aca="false">H3233-I3233</f>
        <v>6438.12</v>
      </c>
      <c r="K3233" s="33" t="n">
        <f aca="false">IF(OR(E3233=0,E3233&gt;=7),0,D3233/(7-E3233)*E3233*INDEX(Products!$E$2:$E$49,MATCH(C3233,Products!$A$2:$A$49,0)))</f>
        <v>0</v>
      </c>
    </row>
    <row r="3234" customFormat="false" ht="15" hidden="false" customHeight="false" outlineLevel="0" collapsed="false">
      <c r="A3234" s="36" t="n">
        <v>46167</v>
      </c>
      <c r="B3234" s="24" t="s">
        <v>63</v>
      </c>
      <c r="C3234" s="24" t="s">
        <v>181</v>
      </c>
      <c r="D3234" s="33" t="n">
        <v>75</v>
      </c>
      <c r="E3234" s="24" t="n">
        <v>0</v>
      </c>
      <c r="F3234" s="37" t="n">
        <f aca="false">DATE(YEAR(A3234),MONTH(A3234),1)</f>
        <v>46143</v>
      </c>
      <c r="G3234" s="24" t="str">
        <f aca="false">INDEX(Products!$C$2:$C$49,MATCH(C3234,Products!$A$2:$A$49,0))</f>
        <v>Personal Care</v>
      </c>
      <c r="H3234" s="33" t="n">
        <f aca="false">D3234*INDEX(Products!$E$2:$E$49,MATCH(C3234,Products!$A$2:$A$49,0))</f>
        <v>26250</v>
      </c>
      <c r="I3234" s="33" t="n">
        <f aca="false">D3234*INDEX(Products!$D$2:$D$49,MATCH(C3234,Products!$A$2:$A$49,0))*(1+INDEX(Assumptions!$B$16:$B$20,MATCH(B3234,Assumptions!$A$16:$A$20,0)))</f>
        <v>18821.4</v>
      </c>
      <c r="J3234" s="33" t="n">
        <f aca="false">H3234-I3234</f>
        <v>7428.6</v>
      </c>
      <c r="K3234" s="33" t="n">
        <f aca="false">IF(OR(E3234=0,E3234&gt;=7),0,D3234/(7-E3234)*E3234*INDEX(Products!$E$2:$E$49,MATCH(C3234,Products!$A$2:$A$49,0)))</f>
        <v>0</v>
      </c>
    </row>
    <row r="3235" customFormat="false" ht="15" hidden="false" customHeight="false" outlineLevel="0" collapsed="false">
      <c r="A3235" s="36" t="n">
        <v>46174</v>
      </c>
      <c r="B3235" s="24" t="s">
        <v>63</v>
      </c>
      <c r="C3235" s="24" t="s">
        <v>181</v>
      </c>
      <c r="D3235" s="33" t="n">
        <v>68</v>
      </c>
      <c r="E3235" s="24" t="n">
        <v>0</v>
      </c>
      <c r="F3235" s="37" t="n">
        <f aca="false">DATE(YEAR(A3235),MONTH(A3235),1)</f>
        <v>46174</v>
      </c>
      <c r="G3235" s="24" t="str">
        <f aca="false">INDEX(Products!$C$2:$C$49,MATCH(C3235,Products!$A$2:$A$49,0))</f>
        <v>Personal Care</v>
      </c>
      <c r="H3235" s="33" t="n">
        <f aca="false">D3235*INDEX(Products!$E$2:$E$49,MATCH(C3235,Products!$A$2:$A$49,0))</f>
        <v>23800</v>
      </c>
      <c r="I3235" s="33" t="n">
        <f aca="false">D3235*INDEX(Products!$D$2:$D$49,MATCH(C3235,Products!$A$2:$A$49,0))*(1+INDEX(Assumptions!$B$16:$B$20,MATCH(B3235,Assumptions!$A$16:$A$20,0)))</f>
        <v>17064.736</v>
      </c>
      <c r="J3235" s="33" t="n">
        <f aca="false">H3235-I3235</f>
        <v>6735.264</v>
      </c>
      <c r="K3235" s="33" t="n">
        <f aca="false">IF(OR(E3235=0,E3235&gt;=7),0,D3235/(7-E3235)*E3235*INDEX(Products!$E$2:$E$49,MATCH(C3235,Products!$A$2:$A$49,0)))</f>
        <v>0</v>
      </c>
    </row>
    <row r="3236" customFormat="false" ht="15" hidden="false" customHeight="false" outlineLevel="0" collapsed="false">
      <c r="A3236" s="36" t="n">
        <v>46181</v>
      </c>
      <c r="B3236" s="24" t="s">
        <v>63</v>
      </c>
      <c r="C3236" s="24" t="s">
        <v>181</v>
      </c>
      <c r="D3236" s="33" t="n">
        <v>55</v>
      </c>
      <c r="E3236" s="24" t="n">
        <v>1</v>
      </c>
      <c r="F3236" s="37" t="n">
        <f aca="false">DATE(YEAR(A3236),MONTH(A3236),1)</f>
        <v>46174</v>
      </c>
      <c r="G3236" s="24" t="str">
        <f aca="false">INDEX(Products!$C$2:$C$49,MATCH(C3236,Products!$A$2:$A$49,0))</f>
        <v>Personal Care</v>
      </c>
      <c r="H3236" s="33" t="n">
        <f aca="false">D3236*INDEX(Products!$E$2:$E$49,MATCH(C3236,Products!$A$2:$A$49,0))</f>
        <v>19250</v>
      </c>
      <c r="I3236" s="33" t="n">
        <f aca="false">D3236*INDEX(Products!$D$2:$D$49,MATCH(C3236,Products!$A$2:$A$49,0))*(1+INDEX(Assumptions!$B$16:$B$20,MATCH(B3236,Assumptions!$A$16:$A$20,0)))</f>
        <v>13802.36</v>
      </c>
      <c r="J3236" s="33" t="n">
        <f aca="false">H3236-I3236</f>
        <v>5447.64</v>
      </c>
      <c r="K3236" s="33" t="n">
        <f aca="false">IF(OR(E3236=0,E3236&gt;=7),0,D3236/(7-E3236)*E3236*INDEX(Products!$E$2:$E$49,MATCH(C3236,Products!$A$2:$A$49,0)))</f>
        <v>3208.33333333333</v>
      </c>
    </row>
    <row r="3237" customFormat="false" ht="15" hidden="false" customHeight="false" outlineLevel="0" collapsed="false">
      <c r="A3237" s="36" t="n">
        <v>46188</v>
      </c>
      <c r="B3237" s="24" t="s">
        <v>63</v>
      </c>
      <c r="C3237" s="24" t="s">
        <v>181</v>
      </c>
      <c r="D3237" s="33" t="n">
        <v>33</v>
      </c>
      <c r="E3237" s="24" t="n">
        <v>4</v>
      </c>
      <c r="F3237" s="37" t="n">
        <f aca="false">DATE(YEAR(A3237),MONTH(A3237),1)</f>
        <v>46174</v>
      </c>
      <c r="G3237" s="24" t="str">
        <f aca="false">INDEX(Products!$C$2:$C$49,MATCH(C3237,Products!$A$2:$A$49,0))</f>
        <v>Personal Care</v>
      </c>
      <c r="H3237" s="33" t="n">
        <f aca="false">D3237*INDEX(Products!$E$2:$E$49,MATCH(C3237,Products!$A$2:$A$49,0))</f>
        <v>11550</v>
      </c>
      <c r="I3237" s="33" t="n">
        <f aca="false">D3237*INDEX(Products!$D$2:$D$49,MATCH(C3237,Products!$A$2:$A$49,0))*(1+INDEX(Assumptions!$B$16:$B$20,MATCH(B3237,Assumptions!$A$16:$A$20,0)))</f>
        <v>8281.416</v>
      </c>
      <c r="J3237" s="33" t="n">
        <f aca="false">H3237-I3237</f>
        <v>3268.584</v>
      </c>
      <c r="K3237" s="33" t="n">
        <f aca="false">IF(OR(E3237=0,E3237&gt;=7),0,D3237/(7-E3237)*E3237*INDEX(Products!$E$2:$E$49,MATCH(C3237,Products!$A$2:$A$49,0)))</f>
        <v>15400</v>
      </c>
    </row>
    <row r="3238" customFormat="false" ht="15" hidden="false" customHeight="false" outlineLevel="0" collapsed="false">
      <c r="A3238" s="36" t="n">
        <v>46195</v>
      </c>
      <c r="B3238" s="24" t="s">
        <v>63</v>
      </c>
      <c r="C3238" s="24" t="s">
        <v>181</v>
      </c>
      <c r="D3238" s="33" t="n">
        <v>71</v>
      </c>
      <c r="E3238" s="24" t="n">
        <v>0</v>
      </c>
      <c r="F3238" s="37" t="n">
        <f aca="false">DATE(YEAR(A3238),MONTH(A3238),1)</f>
        <v>46174</v>
      </c>
      <c r="G3238" s="24" t="str">
        <f aca="false">INDEX(Products!$C$2:$C$49,MATCH(C3238,Products!$A$2:$A$49,0))</f>
        <v>Personal Care</v>
      </c>
      <c r="H3238" s="33" t="n">
        <f aca="false">D3238*INDEX(Products!$E$2:$E$49,MATCH(C3238,Products!$A$2:$A$49,0))</f>
        <v>24850</v>
      </c>
      <c r="I3238" s="33" t="n">
        <f aca="false">D3238*INDEX(Products!$D$2:$D$49,MATCH(C3238,Products!$A$2:$A$49,0))*(1+INDEX(Assumptions!$B$16:$B$20,MATCH(B3238,Assumptions!$A$16:$A$20,0)))</f>
        <v>17817.592</v>
      </c>
      <c r="J3238" s="33" t="n">
        <f aca="false">H3238-I3238</f>
        <v>7032.408</v>
      </c>
      <c r="K3238" s="33" t="n">
        <f aca="false">IF(OR(E3238=0,E3238&gt;=7),0,D3238/(7-E3238)*E3238*INDEX(Products!$E$2:$E$49,MATCH(C3238,Products!$A$2:$A$49,0)))</f>
        <v>0</v>
      </c>
    </row>
    <row r="3239" customFormat="false" ht="15" hidden="false" customHeight="false" outlineLevel="0" collapsed="false">
      <c r="A3239" s="36" t="n">
        <v>46202</v>
      </c>
      <c r="B3239" s="24" t="s">
        <v>63</v>
      </c>
      <c r="C3239" s="24" t="s">
        <v>181</v>
      </c>
      <c r="D3239" s="33" t="n">
        <v>83</v>
      </c>
      <c r="E3239" s="24" t="n">
        <v>0</v>
      </c>
      <c r="F3239" s="37" t="n">
        <f aca="false">DATE(YEAR(A3239),MONTH(A3239),1)</f>
        <v>46174</v>
      </c>
      <c r="G3239" s="24" t="str">
        <f aca="false">INDEX(Products!$C$2:$C$49,MATCH(C3239,Products!$A$2:$A$49,0))</f>
        <v>Personal Care</v>
      </c>
      <c r="H3239" s="33" t="n">
        <f aca="false">D3239*INDEX(Products!$E$2:$E$49,MATCH(C3239,Products!$A$2:$A$49,0))</f>
        <v>29050</v>
      </c>
      <c r="I3239" s="33" t="n">
        <f aca="false">D3239*INDEX(Products!$D$2:$D$49,MATCH(C3239,Products!$A$2:$A$49,0))*(1+INDEX(Assumptions!$B$16:$B$20,MATCH(B3239,Assumptions!$A$16:$A$20,0)))</f>
        <v>20829.016</v>
      </c>
      <c r="J3239" s="33" t="n">
        <f aca="false">H3239-I3239</f>
        <v>8220.984</v>
      </c>
      <c r="K3239" s="33" t="n">
        <f aca="false">IF(OR(E3239=0,E3239&gt;=7),0,D3239/(7-E3239)*E3239*INDEX(Products!$E$2:$E$49,MATCH(C3239,Products!$A$2:$A$49,0)))</f>
        <v>0</v>
      </c>
    </row>
    <row r="3240" customFormat="false" ht="15" hidden="false" customHeight="false" outlineLevel="0" collapsed="false">
      <c r="A3240" s="36" t="n">
        <v>46209</v>
      </c>
      <c r="B3240" s="24" t="s">
        <v>63</v>
      </c>
      <c r="C3240" s="24" t="s">
        <v>181</v>
      </c>
      <c r="D3240" s="33" t="n">
        <v>64</v>
      </c>
      <c r="E3240" s="24" t="n">
        <v>0</v>
      </c>
      <c r="F3240" s="37" t="n">
        <f aca="false">DATE(YEAR(A3240),MONTH(A3240),1)</f>
        <v>46204</v>
      </c>
      <c r="G3240" s="24" t="str">
        <f aca="false">INDEX(Products!$C$2:$C$49,MATCH(C3240,Products!$A$2:$A$49,0))</f>
        <v>Personal Care</v>
      </c>
      <c r="H3240" s="33" t="n">
        <f aca="false">D3240*INDEX(Products!$E$2:$E$49,MATCH(C3240,Products!$A$2:$A$49,0))</f>
        <v>22400</v>
      </c>
      <c r="I3240" s="33" t="n">
        <f aca="false">D3240*INDEX(Products!$D$2:$D$49,MATCH(C3240,Products!$A$2:$A$49,0))*(1+INDEX(Assumptions!$B$16:$B$20,MATCH(B3240,Assumptions!$A$16:$A$20,0)))</f>
        <v>16060.928</v>
      </c>
      <c r="J3240" s="33" t="n">
        <f aca="false">H3240-I3240</f>
        <v>6339.072</v>
      </c>
      <c r="K3240" s="33" t="n">
        <f aca="false">IF(OR(E3240=0,E3240&gt;=7),0,D3240/(7-E3240)*E3240*INDEX(Products!$E$2:$E$49,MATCH(C3240,Products!$A$2:$A$49,0)))</f>
        <v>0</v>
      </c>
    </row>
    <row r="3241" customFormat="false" ht="15" hidden="false" customHeight="false" outlineLevel="0" collapsed="false">
      <c r="A3241" s="36" t="n">
        <v>46216</v>
      </c>
      <c r="B3241" s="24" t="s">
        <v>63</v>
      </c>
      <c r="C3241" s="24" t="s">
        <v>181</v>
      </c>
      <c r="D3241" s="33" t="n">
        <v>68</v>
      </c>
      <c r="E3241" s="24" t="n">
        <v>0</v>
      </c>
      <c r="F3241" s="37" t="n">
        <f aca="false">DATE(YEAR(A3241),MONTH(A3241),1)</f>
        <v>46204</v>
      </c>
      <c r="G3241" s="24" t="str">
        <f aca="false">INDEX(Products!$C$2:$C$49,MATCH(C3241,Products!$A$2:$A$49,0))</f>
        <v>Personal Care</v>
      </c>
      <c r="H3241" s="33" t="n">
        <f aca="false">D3241*INDEX(Products!$E$2:$E$49,MATCH(C3241,Products!$A$2:$A$49,0))</f>
        <v>23800</v>
      </c>
      <c r="I3241" s="33" t="n">
        <f aca="false">D3241*INDEX(Products!$D$2:$D$49,MATCH(C3241,Products!$A$2:$A$49,0))*(1+INDEX(Assumptions!$B$16:$B$20,MATCH(B3241,Assumptions!$A$16:$A$20,0)))</f>
        <v>17064.736</v>
      </c>
      <c r="J3241" s="33" t="n">
        <f aca="false">H3241-I3241</f>
        <v>6735.264</v>
      </c>
      <c r="K3241" s="33" t="n">
        <f aca="false">IF(OR(E3241=0,E3241&gt;=7),0,D3241/(7-E3241)*E3241*INDEX(Products!$E$2:$E$49,MATCH(C3241,Products!$A$2:$A$49,0)))</f>
        <v>0</v>
      </c>
    </row>
    <row r="3242" customFormat="false" ht="15" hidden="false" customHeight="false" outlineLevel="0" collapsed="false">
      <c r="A3242" s="36" t="n">
        <v>46223</v>
      </c>
      <c r="B3242" s="24" t="s">
        <v>63</v>
      </c>
      <c r="C3242" s="24" t="s">
        <v>181</v>
      </c>
      <c r="D3242" s="33" t="n">
        <v>68</v>
      </c>
      <c r="E3242" s="24" t="n">
        <v>0</v>
      </c>
      <c r="F3242" s="37" t="n">
        <f aca="false">DATE(YEAR(A3242),MONTH(A3242),1)</f>
        <v>46204</v>
      </c>
      <c r="G3242" s="24" t="str">
        <f aca="false">INDEX(Products!$C$2:$C$49,MATCH(C3242,Products!$A$2:$A$49,0))</f>
        <v>Personal Care</v>
      </c>
      <c r="H3242" s="33" t="n">
        <f aca="false">D3242*INDEX(Products!$E$2:$E$49,MATCH(C3242,Products!$A$2:$A$49,0))</f>
        <v>23800</v>
      </c>
      <c r="I3242" s="33" t="n">
        <f aca="false">D3242*INDEX(Products!$D$2:$D$49,MATCH(C3242,Products!$A$2:$A$49,0))*(1+INDEX(Assumptions!$B$16:$B$20,MATCH(B3242,Assumptions!$A$16:$A$20,0)))</f>
        <v>17064.736</v>
      </c>
      <c r="J3242" s="33" t="n">
        <f aca="false">H3242-I3242</f>
        <v>6735.264</v>
      </c>
      <c r="K3242" s="33" t="n">
        <f aca="false">IF(OR(E3242=0,E3242&gt;=7),0,D3242/(7-E3242)*E3242*INDEX(Products!$E$2:$E$49,MATCH(C3242,Products!$A$2:$A$49,0)))</f>
        <v>0</v>
      </c>
    </row>
    <row r="3243" customFormat="false" ht="15" hidden="false" customHeight="false" outlineLevel="0" collapsed="false">
      <c r="A3243" s="36" t="n">
        <v>46230</v>
      </c>
      <c r="B3243" s="24" t="s">
        <v>63</v>
      </c>
      <c r="C3243" s="24" t="s">
        <v>181</v>
      </c>
      <c r="D3243" s="33" t="n">
        <v>64</v>
      </c>
      <c r="E3243" s="24" t="n">
        <v>0</v>
      </c>
      <c r="F3243" s="37" t="n">
        <f aca="false">DATE(YEAR(A3243),MONTH(A3243),1)</f>
        <v>46204</v>
      </c>
      <c r="G3243" s="24" t="str">
        <f aca="false">INDEX(Products!$C$2:$C$49,MATCH(C3243,Products!$A$2:$A$49,0))</f>
        <v>Personal Care</v>
      </c>
      <c r="H3243" s="33" t="n">
        <f aca="false">D3243*INDEX(Products!$E$2:$E$49,MATCH(C3243,Products!$A$2:$A$49,0))</f>
        <v>22400</v>
      </c>
      <c r="I3243" s="33" t="n">
        <f aca="false">D3243*INDEX(Products!$D$2:$D$49,MATCH(C3243,Products!$A$2:$A$49,0))*(1+INDEX(Assumptions!$B$16:$B$20,MATCH(B3243,Assumptions!$A$16:$A$20,0)))</f>
        <v>16060.928</v>
      </c>
      <c r="J3243" s="33" t="n">
        <f aca="false">H3243-I3243</f>
        <v>6339.072</v>
      </c>
      <c r="K3243" s="33" t="n">
        <f aca="false">IF(OR(E3243=0,E3243&gt;=7),0,D3243/(7-E3243)*E3243*INDEX(Products!$E$2:$E$49,MATCH(C3243,Products!$A$2:$A$49,0)))</f>
        <v>0</v>
      </c>
    </row>
    <row r="3244" customFormat="false" ht="15" hidden="false" customHeight="false" outlineLevel="0" collapsed="false">
      <c r="A3244" s="36" t="n">
        <v>46237</v>
      </c>
      <c r="B3244" s="24" t="s">
        <v>63</v>
      </c>
      <c r="C3244" s="24" t="s">
        <v>181</v>
      </c>
      <c r="D3244" s="33" t="n">
        <v>70</v>
      </c>
      <c r="E3244" s="24" t="n">
        <v>0</v>
      </c>
      <c r="F3244" s="37" t="n">
        <f aca="false">DATE(YEAR(A3244),MONTH(A3244),1)</f>
        <v>46235</v>
      </c>
      <c r="G3244" s="24" t="str">
        <f aca="false">INDEX(Products!$C$2:$C$49,MATCH(C3244,Products!$A$2:$A$49,0))</f>
        <v>Personal Care</v>
      </c>
      <c r="H3244" s="33" t="n">
        <f aca="false">D3244*INDEX(Products!$E$2:$E$49,MATCH(C3244,Products!$A$2:$A$49,0))</f>
        <v>24500</v>
      </c>
      <c r="I3244" s="33" t="n">
        <f aca="false">D3244*INDEX(Products!$D$2:$D$49,MATCH(C3244,Products!$A$2:$A$49,0))*(1+INDEX(Assumptions!$B$16:$B$20,MATCH(B3244,Assumptions!$A$16:$A$20,0)))</f>
        <v>17566.64</v>
      </c>
      <c r="J3244" s="33" t="n">
        <f aca="false">H3244-I3244</f>
        <v>6933.36</v>
      </c>
      <c r="K3244" s="33" t="n">
        <f aca="false">IF(OR(E3244=0,E3244&gt;=7),0,D3244/(7-E3244)*E3244*INDEX(Products!$E$2:$E$49,MATCH(C3244,Products!$A$2:$A$49,0)))</f>
        <v>0</v>
      </c>
    </row>
    <row r="3245" customFormat="false" ht="15" hidden="false" customHeight="false" outlineLevel="0" collapsed="false">
      <c r="A3245" s="36" t="n">
        <v>46244</v>
      </c>
      <c r="B3245" s="24" t="s">
        <v>63</v>
      </c>
      <c r="C3245" s="24" t="s">
        <v>181</v>
      </c>
      <c r="D3245" s="33" t="n">
        <v>54</v>
      </c>
      <c r="E3245" s="24" t="n">
        <v>0</v>
      </c>
      <c r="F3245" s="37" t="n">
        <f aca="false">DATE(YEAR(A3245),MONTH(A3245),1)</f>
        <v>46235</v>
      </c>
      <c r="G3245" s="24" t="str">
        <f aca="false">INDEX(Products!$C$2:$C$49,MATCH(C3245,Products!$A$2:$A$49,0))</f>
        <v>Personal Care</v>
      </c>
      <c r="H3245" s="33" t="n">
        <f aca="false">D3245*INDEX(Products!$E$2:$E$49,MATCH(C3245,Products!$A$2:$A$49,0))</f>
        <v>18900</v>
      </c>
      <c r="I3245" s="33" t="n">
        <f aca="false">D3245*INDEX(Products!$D$2:$D$49,MATCH(C3245,Products!$A$2:$A$49,0))*(1+INDEX(Assumptions!$B$16:$B$20,MATCH(B3245,Assumptions!$A$16:$A$20,0)))</f>
        <v>13551.408</v>
      </c>
      <c r="J3245" s="33" t="n">
        <f aca="false">H3245-I3245</f>
        <v>5348.592</v>
      </c>
      <c r="K3245" s="33" t="n">
        <f aca="false">IF(OR(E3245=0,E3245&gt;=7),0,D3245/(7-E3245)*E3245*INDEX(Products!$E$2:$E$49,MATCH(C3245,Products!$A$2:$A$49,0)))</f>
        <v>0</v>
      </c>
    </row>
    <row r="3246" customFormat="false" ht="15" hidden="false" customHeight="false" outlineLevel="0" collapsed="false">
      <c r="A3246" s="36" t="n">
        <v>46251</v>
      </c>
      <c r="B3246" s="24" t="s">
        <v>63</v>
      </c>
      <c r="C3246" s="24" t="s">
        <v>181</v>
      </c>
      <c r="D3246" s="33" t="n">
        <v>68</v>
      </c>
      <c r="E3246" s="24" t="n">
        <v>0</v>
      </c>
      <c r="F3246" s="37" t="n">
        <f aca="false">DATE(YEAR(A3246),MONTH(A3246),1)</f>
        <v>46235</v>
      </c>
      <c r="G3246" s="24" t="str">
        <f aca="false">INDEX(Products!$C$2:$C$49,MATCH(C3246,Products!$A$2:$A$49,0))</f>
        <v>Personal Care</v>
      </c>
      <c r="H3246" s="33" t="n">
        <f aca="false">D3246*INDEX(Products!$E$2:$E$49,MATCH(C3246,Products!$A$2:$A$49,0))</f>
        <v>23800</v>
      </c>
      <c r="I3246" s="33" t="n">
        <f aca="false">D3246*INDEX(Products!$D$2:$D$49,MATCH(C3246,Products!$A$2:$A$49,0))*(1+INDEX(Assumptions!$B$16:$B$20,MATCH(B3246,Assumptions!$A$16:$A$20,0)))</f>
        <v>17064.736</v>
      </c>
      <c r="J3246" s="33" t="n">
        <f aca="false">H3246-I3246</f>
        <v>6735.264</v>
      </c>
      <c r="K3246" s="33" t="n">
        <f aca="false">IF(OR(E3246=0,E3246&gt;=7),0,D3246/(7-E3246)*E3246*INDEX(Products!$E$2:$E$49,MATCH(C3246,Products!$A$2:$A$49,0)))</f>
        <v>0</v>
      </c>
    </row>
    <row r="3247" customFormat="false" ht="15" hidden="false" customHeight="false" outlineLevel="0" collapsed="false">
      <c r="A3247" s="36" t="n">
        <v>46258</v>
      </c>
      <c r="B3247" s="24" t="s">
        <v>63</v>
      </c>
      <c r="C3247" s="24" t="s">
        <v>181</v>
      </c>
      <c r="D3247" s="33" t="n">
        <v>74</v>
      </c>
      <c r="E3247" s="24" t="n">
        <v>0</v>
      </c>
      <c r="F3247" s="37" t="n">
        <f aca="false">DATE(YEAR(A3247),MONTH(A3247),1)</f>
        <v>46235</v>
      </c>
      <c r="G3247" s="24" t="str">
        <f aca="false">INDEX(Products!$C$2:$C$49,MATCH(C3247,Products!$A$2:$A$49,0))</f>
        <v>Personal Care</v>
      </c>
      <c r="H3247" s="33" t="n">
        <f aca="false">D3247*INDEX(Products!$E$2:$E$49,MATCH(C3247,Products!$A$2:$A$49,0))</f>
        <v>25900</v>
      </c>
      <c r="I3247" s="33" t="n">
        <f aca="false">D3247*INDEX(Products!$D$2:$D$49,MATCH(C3247,Products!$A$2:$A$49,0))*(1+INDEX(Assumptions!$B$16:$B$20,MATCH(B3247,Assumptions!$A$16:$A$20,0)))</f>
        <v>18570.448</v>
      </c>
      <c r="J3247" s="33" t="n">
        <f aca="false">H3247-I3247</f>
        <v>7329.552</v>
      </c>
      <c r="K3247" s="33" t="n">
        <f aca="false">IF(OR(E3247=0,E3247&gt;=7),0,D3247/(7-E3247)*E3247*INDEX(Products!$E$2:$E$49,MATCH(C3247,Products!$A$2:$A$49,0)))</f>
        <v>0</v>
      </c>
    </row>
    <row r="3248" customFormat="false" ht="15" hidden="false" customHeight="false" outlineLevel="0" collapsed="false">
      <c r="A3248" s="36" t="n">
        <v>46265</v>
      </c>
      <c r="B3248" s="24" t="s">
        <v>63</v>
      </c>
      <c r="C3248" s="24" t="s">
        <v>181</v>
      </c>
      <c r="D3248" s="33" t="n">
        <v>67</v>
      </c>
      <c r="E3248" s="24" t="n">
        <v>0</v>
      </c>
      <c r="F3248" s="37" t="n">
        <f aca="false">DATE(YEAR(A3248),MONTH(A3248),1)</f>
        <v>46235</v>
      </c>
      <c r="G3248" s="24" t="str">
        <f aca="false">INDEX(Products!$C$2:$C$49,MATCH(C3248,Products!$A$2:$A$49,0))</f>
        <v>Personal Care</v>
      </c>
      <c r="H3248" s="33" t="n">
        <f aca="false">D3248*INDEX(Products!$E$2:$E$49,MATCH(C3248,Products!$A$2:$A$49,0))</f>
        <v>23450</v>
      </c>
      <c r="I3248" s="33" t="n">
        <f aca="false">D3248*INDEX(Products!$D$2:$D$49,MATCH(C3248,Products!$A$2:$A$49,0))*(1+INDEX(Assumptions!$B$16:$B$20,MATCH(B3248,Assumptions!$A$16:$A$20,0)))</f>
        <v>16813.784</v>
      </c>
      <c r="J3248" s="33" t="n">
        <f aca="false">H3248-I3248</f>
        <v>6636.216</v>
      </c>
      <c r="K3248" s="33" t="n">
        <f aca="false">IF(OR(E3248=0,E3248&gt;=7),0,D3248/(7-E3248)*E3248*INDEX(Products!$E$2:$E$49,MATCH(C3248,Products!$A$2:$A$49,0)))</f>
        <v>0</v>
      </c>
    </row>
    <row r="3249" customFormat="false" ht="15" hidden="false" customHeight="false" outlineLevel="0" collapsed="false">
      <c r="A3249" s="36" t="n">
        <v>46272</v>
      </c>
      <c r="B3249" s="24" t="s">
        <v>63</v>
      </c>
      <c r="C3249" s="24" t="s">
        <v>181</v>
      </c>
      <c r="D3249" s="33" t="n">
        <v>63</v>
      </c>
      <c r="E3249" s="24" t="n">
        <v>0</v>
      </c>
      <c r="F3249" s="37" t="n">
        <f aca="false">DATE(YEAR(A3249),MONTH(A3249),1)</f>
        <v>46266</v>
      </c>
      <c r="G3249" s="24" t="str">
        <f aca="false">INDEX(Products!$C$2:$C$49,MATCH(C3249,Products!$A$2:$A$49,0))</f>
        <v>Personal Care</v>
      </c>
      <c r="H3249" s="33" t="n">
        <f aca="false">D3249*INDEX(Products!$E$2:$E$49,MATCH(C3249,Products!$A$2:$A$49,0))</f>
        <v>22050</v>
      </c>
      <c r="I3249" s="33" t="n">
        <f aca="false">D3249*INDEX(Products!$D$2:$D$49,MATCH(C3249,Products!$A$2:$A$49,0))*(1+INDEX(Assumptions!$B$16:$B$20,MATCH(B3249,Assumptions!$A$16:$A$20,0)))</f>
        <v>15809.976</v>
      </c>
      <c r="J3249" s="33" t="n">
        <f aca="false">H3249-I3249</f>
        <v>6240.024</v>
      </c>
      <c r="K3249" s="33" t="n">
        <f aca="false">IF(OR(E3249=0,E3249&gt;=7),0,D3249/(7-E3249)*E3249*INDEX(Products!$E$2:$E$49,MATCH(C3249,Products!$A$2:$A$49,0)))</f>
        <v>0</v>
      </c>
    </row>
    <row r="3250" customFormat="false" ht="15" hidden="false" customHeight="false" outlineLevel="0" collapsed="false">
      <c r="A3250" s="36" t="n">
        <v>46279</v>
      </c>
      <c r="B3250" s="24" t="s">
        <v>63</v>
      </c>
      <c r="C3250" s="24" t="s">
        <v>181</v>
      </c>
      <c r="D3250" s="33" t="n">
        <v>73</v>
      </c>
      <c r="E3250" s="24" t="n">
        <v>0</v>
      </c>
      <c r="F3250" s="37" t="n">
        <f aca="false">DATE(YEAR(A3250),MONTH(A3250),1)</f>
        <v>46266</v>
      </c>
      <c r="G3250" s="24" t="str">
        <f aca="false">INDEX(Products!$C$2:$C$49,MATCH(C3250,Products!$A$2:$A$49,0))</f>
        <v>Personal Care</v>
      </c>
      <c r="H3250" s="33" t="n">
        <f aca="false">D3250*INDEX(Products!$E$2:$E$49,MATCH(C3250,Products!$A$2:$A$49,0))</f>
        <v>25550</v>
      </c>
      <c r="I3250" s="33" t="n">
        <f aca="false">D3250*INDEX(Products!$D$2:$D$49,MATCH(C3250,Products!$A$2:$A$49,0))*(1+INDEX(Assumptions!$B$16:$B$20,MATCH(B3250,Assumptions!$A$16:$A$20,0)))</f>
        <v>18319.496</v>
      </c>
      <c r="J3250" s="33" t="n">
        <f aca="false">H3250-I3250</f>
        <v>7230.504</v>
      </c>
      <c r="K3250" s="33" t="n">
        <f aca="false">IF(OR(E3250=0,E3250&gt;=7),0,D3250/(7-E3250)*E3250*INDEX(Products!$E$2:$E$49,MATCH(C3250,Products!$A$2:$A$49,0)))</f>
        <v>0</v>
      </c>
    </row>
    <row r="3251" customFormat="false" ht="15" hidden="false" customHeight="false" outlineLevel="0" collapsed="false">
      <c r="A3251" s="36" t="n">
        <v>46286</v>
      </c>
      <c r="B3251" s="24" t="s">
        <v>63</v>
      </c>
      <c r="C3251" s="24" t="s">
        <v>181</v>
      </c>
      <c r="D3251" s="33" t="n">
        <v>67</v>
      </c>
      <c r="E3251" s="24" t="n">
        <v>0</v>
      </c>
      <c r="F3251" s="37" t="n">
        <f aca="false">DATE(YEAR(A3251),MONTH(A3251),1)</f>
        <v>46266</v>
      </c>
      <c r="G3251" s="24" t="str">
        <f aca="false">INDEX(Products!$C$2:$C$49,MATCH(C3251,Products!$A$2:$A$49,0))</f>
        <v>Personal Care</v>
      </c>
      <c r="H3251" s="33" t="n">
        <f aca="false">D3251*INDEX(Products!$E$2:$E$49,MATCH(C3251,Products!$A$2:$A$49,0))</f>
        <v>23450</v>
      </c>
      <c r="I3251" s="33" t="n">
        <f aca="false">D3251*INDEX(Products!$D$2:$D$49,MATCH(C3251,Products!$A$2:$A$49,0))*(1+INDEX(Assumptions!$B$16:$B$20,MATCH(B3251,Assumptions!$A$16:$A$20,0)))</f>
        <v>16813.784</v>
      </c>
      <c r="J3251" s="33" t="n">
        <f aca="false">H3251-I3251</f>
        <v>6636.216</v>
      </c>
      <c r="K3251" s="33" t="n">
        <f aca="false">IF(OR(E3251=0,E3251&gt;=7),0,D3251/(7-E3251)*E3251*INDEX(Products!$E$2:$E$49,MATCH(C3251,Products!$A$2:$A$49,0)))</f>
        <v>0</v>
      </c>
    </row>
    <row r="3252" customFormat="false" ht="15" hidden="false" customHeight="false" outlineLevel="0" collapsed="false">
      <c r="A3252" s="36" t="n">
        <v>46118</v>
      </c>
      <c r="B3252" s="24" t="s">
        <v>63</v>
      </c>
      <c r="C3252" s="24" t="s">
        <v>183</v>
      </c>
      <c r="D3252" s="33" t="n">
        <v>53</v>
      </c>
      <c r="E3252" s="24" t="n">
        <v>0</v>
      </c>
      <c r="F3252" s="37" t="n">
        <f aca="false">DATE(YEAR(A3252),MONTH(A3252),1)</f>
        <v>46113</v>
      </c>
      <c r="G3252" s="24" t="str">
        <f aca="false">INDEX(Products!$C$2:$C$49,MATCH(C3252,Products!$A$2:$A$49,0))</f>
        <v>Personal Care</v>
      </c>
      <c r="H3252" s="33" t="n">
        <f aca="false">D3252*INDEX(Products!$E$2:$E$49,MATCH(C3252,Products!$A$2:$A$49,0))</f>
        <v>17490</v>
      </c>
      <c r="I3252" s="33" t="n">
        <f aca="false">D3252*INDEX(Products!$D$2:$D$49,MATCH(C3252,Products!$A$2:$A$49,0))*(1+INDEX(Assumptions!$B$16:$B$20,MATCH(B3252,Assumptions!$A$16:$A$20,0)))</f>
        <v>11200.384</v>
      </c>
      <c r="J3252" s="33" t="n">
        <f aca="false">H3252-I3252</f>
        <v>6289.616</v>
      </c>
      <c r="K3252" s="33" t="n">
        <f aca="false">IF(OR(E3252=0,E3252&gt;=7),0,D3252/(7-E3252)*E3252*INDEX(Products!$E$2:$E$49,MATCH(C3252,Products!$A$2:$A$49,0)))</f>
        <v>0</v>
      </c>
    </row>
    <row r="3253" customFormat="false" ht="15" hidden="false" customHeight="false" outlineLevel="0" collapsed="false">
      <c r="A3253" s="36" t="n">
        <v>46125</v>
      </c>
      <c r="B3253" s="24" t="s">
        <v>63</v>
      </c>
      <c r="C3253" s="24" t="s">
        <v>183</v>
      </c>
      <c r="D3253" s="33" t="n">
        <v>54</v>
      </c>
      <c r="E3253" s="24" t="n">
        <v>0</v>
      </c>
      <c r="F3253" s="37" t="n">
        <f aca="false">DATE(YEAR(A3253),MONTH(A3253),1)</f>
        <v>46113</v>
      </c>
      <c r="G3253" s="24" t="str">
        <f aca="false">INDEX(Products!$C$2:$C$49,MATCH(C3253,Products!$A$2:$A$49,0))</f>
        <v>Personal Care</v>
      </c>
      <c r="H3253" s="33" t="n">
        <f aca="false">D3253*INDEX(Products!$E$2:$E$49,MATCH(C3253,Products!$A$2:$A$49,0))</f>
        <v>17820</v>
      </c>
      <c r="I3253" s="33" t="n">
        <f aca="false">D3253*INDEX(Products!$D$2:$D$49,MATCH(C3253,Products!$A$2:$A$49,0))*(1+INDEX(Assumptions!$B$16:$B$20,MATCH(B3253,Assumptions!$A$16:$A$20,0)))</f>
        <v>11411.712</v>
      </c>
      <c r="J3253" s="33" t="n">
        <f aca="false">H3253-I3253</f>
        <v>6408.288</v>
      </c>
      <c r="K3253" s="33" t="n">
        <f aca="false">IF(OR(E3253=0,E3253&gt;=7),0,D3253/(7-E3253)*E3253*INDEX(Products!$E$2:$E$49,MATCH(C3253,Products!$A$2:$A$49,0)))</f>
        <v>0</v>
      </c>
    </row>
    <row r="3254" customFormat="false" ht="15" hidden="false" customHeight="false" outlineLevel="0" collapsed="false">
      <c r="A3254" s="36" t="n">
        <v>46132</v>
      </c>
      <c r="B3254" s="24" t="s">
        <v>63</v>
      </c>
      <c r="C3254" s="24" t="s">
        <v>183</v>
      </c>
      <c r="D3254" s="33" t="n">
        <v>54</v>
      </c>
      <c r="E3254" s="24" t="n">
        <v>0</v>
      </c>
      <c r="F3254" s="37" t="n">
        <f aca="false">DATE(YEAR(A3254),MONTH(A3254),1)</f>
        <v>46113</v>
      </c>
      <c r="G3254" s="24" t="str">
        <f aca="false">INDEX(Products!$C$2:$C$49,MATCH(C3254,Products!$A$2:$A$49,0))</f>
        <v>Personal Care</v>
      </c>
      <c r="H3254" s="33" t="n">
        <f aca="false">D3254*INDEX(Products!$E$2:$E$49,MATCH(C3254,Products!$A$2:$A$49,0))</f>
        <v>17820</v>
      </c>
      <c r="I3254" s="33" t="n">
        <f aca="false">D3254*INDEX(Products!$D$2:$D$49,MATCH(C3254,Products!$A$2:$A$49,0))*(1+INDEX(Assumptions!$B$16:$B$20,MATCH(B3254,Assumptions!$A$16:$A$20,0)))</f>
        <v>11411.712</v>
      </c>
      <c r="J3254" s="33" t="n">
        <f aca="false">H3254-I3254</f>
        <v>6408.288</v>
      </c>
      <c r="K3254" s="33" t="n">
        <f aca="false">IF(OR(E3254=0,E3254&gt;=7),0,D3254/(7-E3254)*E3254*INDEX(Products!$E$2:$E$49,MATCH(C3254,Products!$A$2:$A$49,0)))</f>
        <v>0</v>
      </c>
    </row>
    <row r="3255" customFormat="false" ht="15" hidden="false" customHeight="false" outlineLevel="0" collapsed="false">
      <c r="A3255" s="36" t="n">
        <v>46139</v>
      </c>
      <c r="B3255" s="24" t="s">
        <v>63</v>
      </c>
      <c r="C3255" s="24" t="s">
        <v>183</v>
      </c>
      <c r="D3255" s="33" t="n">
        <v>64</v>
      </c>
      <c r="E3255" s="24" t="n">
        <v>0</v>
      </c>
      <c r="F3255" s="37" t="n">
        <f aca="false">DATE(YEAR(A3255),MONTH(A3255),1)</f>
        <v>46113</v>
      </c>
      <c r="G3255" s="24" t="str">
        <f aca="false">INDEX(Products!$C$2:$C$49,MATCH(C3255,Products!$A$2:$A$49,0))</f>
        <v>Personal Care</v>
      </c>
      <c r="H3255" s="33" t="n">
        <f aca="false">D3255*INDEX(Products!$E$2:$E$49,MATCH(C3255,Products!$A$2:$A$49,0))</f>
        <v>21120</v>
      </c>
      <c r="I3255" s="33" t="n">
        <f aca="false">D3255*INDEX(Products!$D$2:$D$49,MATCH(C3255,Products!$A$2:$A$49,0))*(1+INDEX(Assumptions!$B$16:$B$20,MATCH(B3255,Assumptions!$A$16:$A$20,0)))</f>
        <v>13524.992</v>
      </c>
      <c r="J3255" s="33" t="n">
        <f aca="false">H3255-I3255</f>
        <v>7595.008</v>
      </c>
      <c r="K3255" s="33" t="n">
        <f aca="false">IF(OR(E3255=0,E3255&gt;=7),0,D3255/(7-E3255)*E3255*INDEX(Products!$E$2:$E$49,MATCH(C3255,Products!$A$2:$A$49,0)))</f>
        <v>0</v>
      </c>
    </row>
    <row r="3256" customFormat="false" ht="15" hidden="false" customHeight="false" outlineLevel="0" collapsed="false">
      <c r="A3256" s="36" t="n">
        <v>46146</v>
      </c>
      <c r="B3256" s="24" t="s">
        <v>63</v>
      </c>
      <c r="C3256" s="24" t="s">
        <v>183</v>
      </c>
      <c r="D3256" s="33" t="n">
        <v>44</v>
      </c>
      <c r="E3256" s="24" t="n">
        <v>0</v>
      </c>
      <c r="F3256" s="37" t="n">
        <f aca="false">DATE(YEAR(A3256),MONTH(A3256),1)</f>
        <v>46143</v>
      </c>
      <c r="G3256" s="24" t="str">
        <f aca="false">INDEX(Products!$C$2:$C$49,MATCH(C3256,Products!$A$2:$A$49,0))</f>
        <v>Personal Care</v>
      </c>
      <c r="H3256" s="33" t="n">
        <f aca="false">D3256*INDEX(Products!$E$2:$E$49,MATCH(C3256,Products!$A$2:$A$49,0))</f>
        <v>14520</v>
      </c>
      <c r="I3256" s="33" t="n">
        <f aca="false">D3256*INDEX(Products!$D$2:$D$49,MATCH(C3256,Products!$A$2:$A$49,0))*(1+INDEX(Assumptions!$B$16:$B$20,MATCH(B3256,Assumptions!$A$16:$A$20,0)))</f>
        <v>9298.432</v>
      </c>
      <c r="J3256" s="33" t="n">
        <f aca="false">H3256-I3256</f>
        <v>5221.568</v>
      </c>
      <c r="K3256" s="33" t="n">
        <f aca="false">IF(OR(E3256=0,E3256&gt;=7),0,D3256/(7-E3256)*E3256*INDEX(Products!$E$2:$E$49,MATCH(C3256,Products!$A$2:$A$49,0)))</f>
        <v>0</v>
      </c>
    </row>
    <row r="3257" customFormat="false" ht="15" hidden="false" customHeight="false" outlineLevel="0" collapsed="false">
      <c r="A3257" s="36" t="n">
        <v>46153</v>
      </c>
      <c r="B3257" s="24" t="s">
        <v>63</v>
      </c>
      <c r="C3257" s="24" t="s">
        <v>183</v>
      </c>
      <c r="D3257" s="33" t="n">
        <v>58</v>
      </c>
      <c r="E3257" s="24" t="n">
        <v>0</v>
      </c>
      <c r="F3257" s="37" t="n">
        <f aca="false">DATE(YEAR(A3257),MONTH(A3257),1)</f>
        <v>46143</v>
      </c>
      <c r="G3257" s="24" t="str">
        <f aca="false">INDEX(Products!$C$2:$C$49,MATCH(C3257,Products!$A$2:$A$49,0))</f>
        <v>Personal Care</v>
      </c>
      <c r="H3257" s="33" t="n">
        <f aca="false">D3257*INDEX(Products!$E$2:$E$49,MATCH(C3257,Products!$A$2:$A$49,0))</f>
        <v>19140</v>
      </c>
      <c r="I3257" s="33" t="n">
        <f aca="false">D3257*INDEX(Products!$D$2:$D$49,MATCH(C3257,Products!$A$2:$A$49,0))*(1+INDEX(Assumptions!$B$16:$B$20,MATCH(B3257,Assumptions!$A$16:$A$20,0)))</f>
        <v>12257.024</v>
      </c>
      <c r="J3257" s="33" t="n">
        <f aca="false">H3257-I3257</f>
        <v>6882.976</v>
      </c>
      <c r="K3257" s="33" t="n">
        <f aca="false">IF(OR(E3257=0,E3257&gt;=7),0,D3257/(7-E3257)*E3257*INDEX(Products!$E$2:$E$49,MATCH(C3257,Products!$A$2:$A$49,0)))</f>
        <v>0</v>
      </c>
    </row>
    <row r="3258" customFormat="false" ht="15" hidden="false" customHeight="false" outlineLevel="0" collapsed="false">
      <c r="A3258" s="36" t="n">
        <v>46160</v>
      </c>
      <c r="B3258" s="24" t="s">
        <v>63</v>
      </c>
      <c r="C3258" s="24" t="s">
        <v>183</v>
      </c>
      <c r="D3258" s="33" t="n">
        <v>50</v>
      </c>
      <c r="E3258" s="24" t="n">
        <v>0</v>
      </c>
      <c r="F3258" s="37" t="n">
        <f aca="false">DATE(YEAR(A3258),MONTH(A3258),1)</f>
        <v>46143</v>
      </c>
      <c r="G3258" s="24" t="str">
        <f aca="false">INDEX(Products!$C$2:$C$49,MATCH(C3258,Products!$A$2:$A$49,0))</f>
        <v>Personal Care</v>
      </c>
      <c r="H3258" s="33" t="n">
        <f aca="false">D3258*INDEX(Products!$E$2:$E$49,MATCH(C3258,Products!$A$2:$A$49,0))</f>
        <v>16500</v>
      </c>
      <c r="I3258" s="33" t="n">
        <f aca="false">D3258*INDEX(Products!$D$2:$D$49,MATCH(C3258,Products!$A$2:$A$49,0))*(1+INDEX(Assumptions!$B$16:$B$20,MATCH(B3258,Assumptions!$A$16:$A$20,0)))</f>
        <v>10566.4</v>
      </c>
      <c r="J3258" s="33" t="n">
        <f aca="false">H3258-I3258</f>
        <v>5933.6</v>
      </c>
      <c r="K3258" s="33" t="n">
        <f aca="false">IF(OR(E3258=0,E3258&gt;=7),0,D3258/(7-E3258)*E3258*INDEX(Products!$E$2:$E$49,MATCH(C3258,Products!$A$2:$A$49,0)))</f>
        <v>0</v>
      </c>
    </row>
    <row r="3259" customFormat="false" ht="15" hidden="false" customHeight="false" outlineLevel="0" collapsed="false">
      <c r="A3259" s="36" t="n">
        <v>46167</v>
      </c>
      <c r="B3259" s="24" t="s">
        <v>63</v>
      </c>
      <c r="C3259" s="24" t="s">
        <v>183</v>
      </c>
      <c r="D3259" s="33" t="n">
        <v>58</v>
      </c>
      <c r="E3259" s="24" t="n">
        <v>0</v>
      </c>
      <c r="F3259" s="37" t="n">
        <f aca="false">DATE(YEAR(A3259),MONTH(A3259),1)</f>
        <v>46143</v>
      </c>
      <c r="G3259" s="24" t="str">
        <f aca="false">INDEX(Products!$C$2:$C$49,MATCH(C3259,Products!$A$2:$A$49,0))</f>
        <v>Personal Care</v>
      </c>
      <c r="H3259" s="33" t="n">
        <f aca="false">D3259*INDEX(Products!$E$2:$E$49,MATCH(C3259,Products!$A$2:$A$49,0))</f>
        <v>19140</v>
      </c>
      <c r="I3259" s="33" t="n">
        <f aca="false">D3259*INDEX(Products!$D$2:$D$49,MATCH(C3259,Products!$A$2:$A$49,0))*(1+INDEX(Assumptions!$B$16:$B$20,MATCH(B3259,Assumptions!$A$16:$A$20,0)))</f>
        <v>12257.024</v>
      </c>
      <c r="J3259" s="33" t="n">
        <f aca="false">H3259-I3259</f>
        <v>6882.976</v>
      </c>
      <c r="K3259" s="33" t="n">
        <f aca="false">IF(OR(E3259=0,E3259&gt;=7),0,D3259/(7-E3259)*E3259*INDEX(Products!$E$2:$E$49,MATCH(C3259,Products!$A$2:$A$49,0)))</f>
        <v>0</v>
      </c>
    </row>
    <row r="3260" customFormat="false" ht="15" hidden="false" customHeight="false" outlineLevel="0" collapsed="false">
      <c r="A3260" s="36" t="n">
        <v>46174</v>
      </c>
      <c r="B3260" s="24" t="s">
        <v>63</v>
      </c>
      <c r="C3260" s="24" t="s">
        <v>183</v>
      </c>
      <c r="D3260" s="33" t="n">
        <v>35</v>
      </c>
      <c r="E3260" s="24" t="n">
        <v>0</v>
      </c>
      <c r="F3260" s="37" t="n">
        <f aca="false">DATE(YEAR(A3260),MONTH(A3260),1)</f>
        <v>46174</v>
      </c>
      <c r="G3260" s="24" t="str">
        <f aca="false">INDEX(Products!$C$2:$C$49,MATCH(C3260,Products!$A$2:$A$49,0))</f>
        <v>Personal Care</v>
      </c>
      <c r="H3260" s="33" t="n">
        <f aca="false">D3260*INDEX(Products!$E$2:$E$49,MATCH(C3260,Products!$A$2:$A$49,0))</f>
        <v>11550</v>
      </c>
      <c r="I3260" s="33" t="n">
        <f aca="false">D3260*INDEX(Products!$D$2:$D$49,MATCH(C3260,Products!$A$2:$A$49,0))*(1+INDEX(Assumptions!$B$16:$B$20,MATCH(B3260,Assumptions!$A$16:$A$20,0)))</f>
        <v>7396.48</v>
      </c>
      <c r="J3260" s="33" t="n">
        <f aca="false">H3260-I3260</f>
        <v>4153.52</v>
      </c>
      <c r="K3260" s="33" t="n">
        <f aca="false">IF(OR(E3260=0,E3260&gt;=7),0,D3260/(7-E3260)*E3260*INDEX(Products!$E$2:$E$49,MATCH(C3260,Products!$A$2:$A$49,0)))</f>
        <v>0</v>
      </c>
    </row>
    <row r="3261" customFormat="false" ht="15" hidden="false" customHeight="false" outlineLevel="0" collapsed="false">
      <c r="A3261" s="36" t="n">
        <v>46181</v>
      </c>
      <c r="B3261" s="24" t="s">
        <v>63</v>
      </c>
      <c r="C3261" s="24" t="s">
        <v>183</v>
      </c>
      <c r="D3261" s="33" t="n">
        <v>55</v>
      </c>
      <c r="E3261" s="24" t="n">
        <v>0</v>
      </c>
      <c r="F3261" s="37" t="n">
        <f aca="false">DATE(YEAR(A3261),MONTH(A3261),1)</f>
        <v>46174</v>
      </c>
      <c r="G3261" s="24" t="str">
        <f aca="false">INDEX(Products!$C$2:$C$49,MATCH(C3261,Products!$A$2:$A$49,0))</f>
        <v>Personal Care</v>
      </c>
      <c r="H3261" s="33" t="n">
        <f aca="false">D3261*INDEX(Products!$E$2:$E$49,MATCH(C3261,Products!$A$2:$A$49,0))</f>
        <v>18150</v>
      </c>
      <c r="I3261" s="33" t="n">
        <f aca="false">D3261*INDEX(Products!$D$2:$D$49,MATCH(C3261,Products!$A$2:$A$49,0))*(1+INDEX(Assumptions!$B$16:$B$20,MATCH(B3261,Assumptions!$A$16:$A$20,0)))</f>
        <v>11623.04</v>
      </c>
      <c r="J3261" s="33" t="n">
        <f aca="false">H3261-I3261</f>
        <v>6526.96</v>
      </c>
      <c r="K3261" s="33" t="n">
        <f aca="false">IF(OR(E3261=0,E3261&gt;=7),0,D3261/(7-E3261)*E3261*INDEX(Products!$E$2:$E$49,MATCH(C3261,Products!$A$2:$A$49,0)))</f>
        <v>0</v>
      </c>
    </row>
    <row r="3262" customFormat="false" ht="15" hidden="false" customHeight="false" outlineLevel="0" collapsed="false">
      <c r="A3262" s="36" t="n">
        <v>46188</v>
      </c>
      <c r="B3262" s="24" t="s">
        <v>63</v>
      </c>
      <c r="C3262" s="24" t="s">
        <v>183</v>
      </c>
      <c r="D3262" s="33" t="n">
        <v>38</v>
      </c>
      <c r="E3262" s="24" t="n">
        <v>0</v>
      </c>
      <c r="F3262" s="37" t="n">
        <f aca="false">DATE(YEAR(A3262),MONTH(A3262),1)</f>
        <v>46174</v>
      </c>
      <c r="G3262" s="24" t="str">
        <f aca="false">INDEX(Products!$C$2:$C$49,MATCH(C3262,Products!$A$2:$A$49,0))</f>
        <v>Personal Care</v>
      </c>
      <c r="H3262" s="33" t="n">
        <f aca="false">D3262*INDEX(Products!$E$2:$E$49,MATCH(C3262,Products!$A$2:$A$49,0))</f>
        <v>12540</v>
      </c>
      <c r="I3262" s="33" t="n">
        <f aca="false">D3262*INDEX(Products!$D$2:$D$49,MATCH(C3262,Products!$A$2:$A$49,0))*(1+INDEX(Assumptions!$B$16:$B$20,MATCH(B3262,Assumptions!$A$16:$A$20,0)))</f>
        <v>8030.464</v>
      </c>
      <c r="J3262" s="33" t="n">
        <f aca="false">H3262-I3262</f>
        <v>4509.536</v>
      </c>
      <c r="K3262" s="33" t="n">
        <f aca="false">IF(OR(E3262=0,E3262&gt;=7),0,D3262/(7-E3262)*E3262*INDEX(Products!$E$2:$E$49,MATCH(C3262,Products!$A$2:$A$49,0)))</f>
        <v>0</v>
      </c>
    </row>
    <row r="3263" customFormat="false" ht="15" hidden="false" customHeight="false" outlineLevel="0" collapsed="false">
      <c r="A3263" s="36" t="n">
        <v>46195</v>
      </c>
      <c r="B3263" s="24" t="s">
        <v>63</v>
      </c>
      <c r="C3263" s="24" t="s">
        <v>183</v>
      </c>
      <c r="D3263" s="33" t="n">
        <v>42</v>
      </c>
      <c r="E3263" s="24" t="n">
        <v>0</v>
      </c>
      <c r="F3263" s="37" t="n">
        <f aca="false">DATE(YEAR(A3263),MONTH(A3263),1)</f>
        <v>46174</v>
      </c>
      <c r="G3263" s="24" t="str">
        <f aca="false">INDEX(Products!$C$2:$C$49,MATCH(C3263,Products!$A$2:$A$49,0))</f>
        <v>Personal Care</v>
      </c>
      <c r="H3263" s="33" t="n">
        <f aca="false">D3263*INDEX(Products!$E$2:$E$49,MATCH(C3263,Products!$A$2:$A$49,0))</f>
        <v>13860</v>
      </c>
      <c r="I3263" s="33" t="n">
        <f aca="false">D3263*INDEX(Products!$D$2:$D$49,MATCH(C3263,Products!$A$2:$A$49,0))*(1+INDEX(Assumptions!$B$16:$B$20,MATCH(B3263,Assumptions!$A$16:$A$20,0)))</f>
        <v>8875.776</v>
      </c>
      <c r="J3263" s="33" t="n">
        <f aca="false">H3263-I3263</f>
        <v>4984.224</v>
      </c>
      <c r="K3263" s="33" t="n">
        <f aca="false">IF(OR(E3263=0,E3263&gt;=7),0,D3263/(7-E3263)*E3263*INDEX(Products!$E$2:$E$49,MATCH(C3263,Products!$A$2:$A$49,0)))</f>
        <v>0</v>
      </c>
    </row>
    <row r="3264" customFormat="false" ht="15" hidden="false" customHeight="false" outlineLevel="0" collapsed="false">
      <c r="A3264" s="36" t="n">
        <v>46202</v>
      </c>
      <c r="B3264" s="24" t="s">
        <v>63</v>
      </c>
      <c r="C3264" s="24" t="s">
        <v>183</v>
      </c>
      <c r="D3264" s="33" t="n">
        <v>42</v>
      </c>
      <c r="E3264" s="24" t="n">
        <v>0</v>
      </c>
      <c r="F3264" s="37" t="n">
        <f aca="false">DATE(YEAR(A3264),MONTH(A3264),1)</f>
        <v>46174</v>
      </c>
      <c r="G3264" s="24" t="str">
        <f aca="false">INDEX(Products!$C$2:$C$49,MATCH(C3264,Products!$A$2:$A$49,0))</f>
        <v>Personal Care</v>
      </c>
      <c r="H3264" s="33" t="n">
        <f aca="false">D3264*INDEX(Products!$E$2:$E$49,MATCH(C3264,Products!$A$2:$A$49,0))</f>
        <v>13860</v>
      </c>
      <c r="I3264" s="33" t="n">
        <f aca="false">D3264*INDEX(Products!$D$2:$D$49,MATCH(C3264,Products!$A$2:$A$49,0))*(1+INDEX(Assumptions!$B$16:$B$20,MATCH(B3264,Assumptions!$A$16:$A$20,0)))</f>
        <v>8875.776</v>
      </c>
      <c r="J3264" s="33" t="n">
        <f aca="false">H3264-I3264</f>
        <v>4984.224</v>
      </c>
      <c r="K3264" s="33" t="n">
        <f aca="false">IF(OR(E3264=0,E3264&gt;=7),0,D3264/(7-E3264)*E3264*INDEX(Products!$E$2:$E$49,MATCH(C3264,Products!$A$2:$A$49,0)))</f>
        <v>0</v>
      </c>
    </row>
    <row r="3265" customFormat="false" ht="15" hidden="false" customHeight="false" outlineLevel="0" collapsed="false">
      <c r="A3265" s="36" t="n">
        <v>46209</v>
      </c>
      <c r="B3265" s="24" t="s">
        <v>63</v>
      </c>
      <c r="C3265" s="24" t="s">
        <v>183</v>
      </c>
      <c r="D3265" s="33" t="n">
        <v>45</v>
      </c>
      <c r="E3265" s="24" t="n">
        <v>0</v>
      </c>
      <c r="F3265" s="37" t="n">
        <f aca="false">DATE(YEAR(A3265),MONTH(A3265),1)</f>
        <v>46204</v>
      </c>
      <c r="G3265" s="24" t="str">
        <f aca="false">INDEX(Products!$C$2:$C$49,MATCH(C3265,Products!$A$2:$A$49,0))</f>
        <v>Personal Care</v>
      </c>
      <c r="H3265" s="33" t="n">
        <f aca="false">D3265*INDEX(Products!$E$2:$E$49,MATCH(C3265,Products!$A$2:$A$49,0))</f>
        <v>14850</v>
      </c>
      <c r="I3265" s="33" t="n">
        <f aca="false">D3265*INDEX(Products!$D$2:$D$49,MATCH(C3265,Products!$A$2:$A$49,0))*(1+INDEX(Assumptions!$B$16:$B$20,MATCH(B3265,Assumptions!$A$16:$A$20,0)))</f>
        <v>9509.76</v>
      </c>
      <c r="J3265" s="33" t="n">
        <f aca="false">H3265-I3265</f>
        <v>5340.24</v>
      </c>
      <c r="K3265" s="33" t="n">
        <f aca="false">IF(OR(E3265=0,E3265&gt;=7),0,D3265/(7-E3265)*E3265*INDEX(Products!$E$2:$E$49,MATCH(C3265,Products!$A$2:$A$49,0)))</f>
        <v>0</v>
      </c>
    </row>
    <row r="3266" customFormat="false" ht="15" hidden="false" customHeight="false" outlineLevel="0" collapsed="false">
      <c r="A3266" s="36" t="n">
        <v>46216</v>
      </c>
      <c r="B3266" s="24" t="s">
        <v>63</v>
      </c>
      <c r="C3266" s="24" t="s">
        <v>183</v>
      </c>
      <c r="D3266" s="33" t="n">
        <v>50</v>
      </c>
      <c r="E3266" s="24" t="n">
        <v>0</v>
      </c>
      <c r="F3266" s="37" t="n">
        <f aca="false">DATE(YEAR(A3266),MONTH(A3266),1)</f>
        <v>46204</v>
      </c>
      <c r="G3266" s="24" t="str">
        <f aca="false">INDEX(Products!$C$2:$C$49,MATCH(C3266,Products!$A$2:$A$49,0))</f>
        <v>Personal Care</v>
      </c>
      <c r="H3266" s="33" t="n">
        <f aca="false">D3266*INDEX(Products!$E$2:$E$49,MATCH(C3266,Products!$A$2:$A$49,0))</f>
        <v>16500</v>
      </c>
      <c r="I3266" s="33" t="n">
        <f aca="false">D3266*INDEX(Products!$D$2:$D$49,MATCH(C3266,Products!$A$2:$A$49,0))*(1+INDEX(Assumptions!$B$16:$B$20,MATCH(B3266,Assumptions!$A$16:$A$20,0)))</f>
        <v>10566.4</v>
      </c>
      <c r="J3266" s="33" t="n">
        <f aca="false">H3266-I3266</f>
        <v>5933.6</v>
      </c>
      <c r="K3266" s="33" t="n">
        <f aca="false">IF(OR(E3266=0,E3266&gt;=7),0,D3266/(7-E3266)*E3266*INDEX(Products!$E$2:$E$49,MATCH(C3266,Products!$A$2:$A$49,0)))</f>
        <v>0</v>
      </c>
    </row>
    <row r="3267" customFormat="false" ht="15" hidden="false" customHeight="false" outlineLevel="0" collapsed="false">
      <c r="A3267" s="36" t="n">
        <v>46223</v>
      </c>
      <c r="B3267" s="24" t="s">
        <v>63</v>
      </c>
      <c r="C3267" s="24" t="s">
        <v>183</v>
      </c>
      <c r="D3267" s="33" t="n">
        <v>38</v>
      </c>
      <c r="E3267" s="24" t="n">
        <v>0</v>
      </c>
      <c r="F3267" s="37" t="n">
        <f aca="false">DATE(YEAR(A3267),MONTH(A3267),1)</f>
        <v>46204</v>
      </c>
      <c r="G3267" s="24" t="str">
        <f aca="false">INDEX(Products!$C$2:$C$49,MATCH(C3267,Products!$A$2:$A$49,0))</f>
        <v>Personal Care</v>
      </c>
      <c r="H3267" s="33" t="n">
        <f aca="false">D3267*INDEX(Products!$E$2:$E$49,MATCH(C3267,Products!$A$2:$A$49,0))</f>
        <v>12540</v>
      </c>
      <c r="I3267" s="33" t="n">
        <f aca="false">D3267*INDEX(Products!$D$2:$D$49,MATCH(C3267,Products!$A$2:$A$49,0))*(1+INDEX(Assumptions!$B$16:$B$20,MATCH(B3267,Assumptions!$A$16:$A$20,0)))</f>
        <v>8030.464</v>
      </c>
      <c r="J3267" s="33" t="n">
        <f aca="false">H3267-I3267</f>
        <v>4509.536</v>
      </c>
      <c r="K3267" s="33" t="n">
        <f aca="false">IF(OR(E3267=0,E3267&gt;=7),0,D3267/(7-E3267)*E3267*INDEX(Products!$E$2:$E$49,MATCH(C3267,Products!$A$2:$A$49,0)))</f>
        <v>0</v>
      </c>
    </row>
    <row r="3268" customFormat="false" ht="15" hidden="false" customHeight="false" outlineLevel="0" collapsed="false">
      <c r="A3268" s="36" t="n">
        <v>46230</v>
      </c>
      <c r="B3268" s="24" t="s">
        <v>63</v>
      </c>
      <c r="C3268" s="24" t="s">
        <v>183</v>
      </c>
      <c r="D3268" s="33" t="n">
        <v>47</v>
      </c>
      <c r="E3268" s="24" t="n">
        <v>0</v>
      </c>
      <c r="F3268" s="37" t="n">
        <f aca="false">DATE(YEAR(A3268),MONTH(A3268),1)</f>
        <v>46204</v>
      </c>
      <c r="G3268" s="24" t="str">
        <f aca="false">INDEX(Products!$C$2:$C$49,MATCH(C3268,Products!$A$2:$A$49,0))</f>
        <v>Personal Care</v>
      </c>
      <c r="H3268" s="33" t="n">
        <f aca="false">D3268*INDEX(Products!$E$2:$E$49,MATCH(C3268,Products!$A$2:$A$49,0))</f>
        <v>15510</v>
      </c>
      <c r="I3268" s="33" t="n">
        <f aca="false">D3268*INDEX(Products!$D$2:$D$49,MATCH(C3268,Products!$A$2:$A$49,0))*(1+INDEX(Assumptions!$B$16:$B$20,MATCH(B3268,Assumptions!$A$16:$A$20,0)))</f>
        <v>9932.416</v>
      </c>
      <c r="J3268" s="33" t="n">
        <f aca="false">H3268-I3268</f>
        <v>5577.584</v>
      </c>
      <c r="K3268" s="33" t="n">
        <f aca="false">IF(OR(E3268=0,E3268&gt;=7),0,D3268/(7-E3268)*E3268*INDEX(Products!$E$2:$E$49,MATCH(C3268,Products!$A$2:$A$49,0)))</f>
        <v>0</v>
      </c>
    </row>
    <row r="3269" customFormat="false" ht="15" hidden="false" customHeight="false" outlineLevel="0" collapsed="false">
      <c r="A3269" s="36" t="n">
        <v>46237</v>
      </c>
      <c r="B3269" s="24" t="s">
        <v>63</v>
      </c>
      <c r="C3269" s="24" t="s">
        <v>183</v>
      </c>
      <c r="D3269" s="33" t="n">
        <v>36</v>
      </c>
      <c r="E3269" s="24" t="n">
        <v>0</v>
      </c>
      <c r="F3269" s="37" t="n">
        <f aca="false">DATE(YEAR(A3269),MONTH(A3269),1)</f>
        <v>46235</v>
      </c>
      <c r="G3269" s="24" t="str">
        <f aca="false">INDEX(Products!$C$2:$C$49,MATCH(C3269,Products!$A$2:$A$49,0))</f>
        <v>Personal Care</v>
      </c>
      <c r="H3269" s="33" t="n">
        <f aca="false">D3269*INDEX(Products!$E$2:$E$49,MATCH(C3269,Products!$A$2:$A$49,0))</f>
        <v>11880</v>
      </c>
      <c r="I3269" s="33" t="n">
        <f aca="false">D3269*INDEX(Products!$D$2:$D$49,MATCH(C3269,Products!$A$2:$A$49,0))*(1+INDEX(Assumptions!$B$16:$B$20,MATCH(B3269,Assumptions!$A$16:$A$20,0)))</f>
        <v>7607.808</v>
      </c>
      <c r="J3269" s="33" t="n">
        <f aca="false">H3269-I3269</f>
        <v>4272.192</v>
      </c>
      <c r="K3269" s="33" t="n">
        <f aca="false">IF(OR(E3269=0,E3269&gt;=7),0,D3269/(7-E3269)*E3269*INDEX(Products!$E$2:$E$49,MATCH(C3269,Products!$A$2:$A$49,0)))</f>
        <v>0</v>
      </c>
    </row>
    <row r="3270" customFormat="false" ht="15" hidden="false" customHeight="false" outlineLevel="0" collapsed="false">
      <c r="A3270" s="36" t="n">
        <v>46244</v>
      </c>
      <c r="B3270" s="24" t="s">
        <v>63</v>
      </c>
      <c r="C3270" s="24" t="s">
        <v>183</v>
      </c>
      <c r="D3270" s="33" t="n">
        <v>34</v>
      </c>
      <c r="E3270" s="24" t="n">
        <v>0</v>
      </c>
      <c r="F3270" s="37" t="n">
        <f aca="false">DATE(YEAR(A3270),MONTH(A3270),1)</f>
        <v>46235</v>
      </c>
      <c r="G3270" s="24" t="str">
        <f aca="false">INDEX(Products!$C$2:$C$49,MATCH(C3270,Products!$A$2:$A$49,0))</f>
        <v>Personal Care</v>
      </c>
      <c r="H3270" s="33" t="n">
        <f aca="false">D3270*INDEX(Products!$E$2:$E$49,MATCH(C3270,Products!$A$2:$A$49,0))</f>
        <v>11220</v>
      </c>
      <c r="I3270" s="33" t="n">
        <f aca="false">D3270*INDEX(Products!$D$2:$D$49,MATCH(C3270,Products!$A$2:$A$49,0))*(1+INDEX(Assumptions!$B$16:$B$20,MATCH(B3270,Assumptions!$A$16:$A$20,0)))</f>
        <v>7185.152</v>
      </c>
      <c r="J3270" s="33" t="n">
        <f aca="false">H3270-I3270</f>
        <v>4034.848</v>
      </c>
      <c r="K3270" s="33" t="n">
        <f aca="false">IF(OR(E3270=0,E3270&gt;=7),0,D3270/(7-E3270)*E3270*INDEX(Products!$E$2:$E$49,MATCH(C3270,Products!$A$2:$A$49,0)))</f>
        <v>0</v>
      </c>
    </row>
    <row r="3271" customFormat="false" ht="15" hidden="false" customHeight="false" outlineLevel="0" collapsed="false">
      <c r="A3271" s="36" t="n">
        <v>46251</v>
      </c>
      <c r="B3271" s="24" t="s">
        <v>63</v>
      </c>
      <c r="C3271" s="24" t="s">
        <v>183</v>
      </c>
      <c r="D3271" s="33" t="n">
        <v>49</v>
      </c>
      <c r="E3271" s="24" t="n">
        <v>0</v>
      </c>
      <c r="F3271" s="37" t="n">
        <f aca="false">DATE(YEAR(A3271),MONTH(A3271),1)</f>
        <v>46235</v>
      </c>
      <c r="G3271" s="24" t="str">
        <f aca="false">INDEX(Products!$C$2:$C$49,MATCH(C3271,Products!$A$2:$A$49,0))</f>
        <v>Personal Care</v>
      </c>
      <c r="H3271" s="33" t="n">
        <f aca="false">D3271*INDEX(Products!$E$2:$E$49,MATCH(C3271,Products!$A$2:$A$49,0))</f>
        <v>16170</v>
      </c>
      <c r="I3271" s="33" t="n">
        <f aca="false">D3271*INDEX(Products!$D$2:$D$49,MATCH(C3271,Products!$A$2:$A$49,0))*(1+INDEX(Assumptions!$B$16:$B$20,MATCH(B3271,Assumptions!$A$16:$A$20,0)))</f>
        <v>10355.072</v>
      </c>
      <c r="J3271" s="33" t="n">
        <f aca="false">H3271-I3271</f>
        <v>5814.928</v>
      </c>
      <c r="K3271" s="33" t="n">
        <f aca="false">IF(OR(E3271=0,E3271&gt;=7),0,D3271/(7-E3271)*E3271*INDEX(Products!$E$2:$E$49,MATCH(C3271,Products!$A$2:$A$49,0)))</f>
        <v>0</v>
      </c>
    </row>
    <row r="3272" customFormat="false" ht="15" hidden="false" customHeight="false" outlineLevel="0" collapsed="false">
      <c r="A3272" s="36" t="n">
        <v>46258</v>
      </c>
      <c r="B3272" s="24" t="s">
        <v>63</v>
      </c>
      <c r="C3272" s="24" t="s">
        <v>183</v>
      </c>
      <c r="D3272" s="33" t="n">
        <v>52</v>
      </c>
      <c r="E3272" s="24" t="n">
        <v>0</v>
      </c>
      <c r="F3272" s="37" t="n">
        <f aca="false">DATE(YEAR(A3272),MONTH(A3272),1)</f>
        <v>46235</v>
      </c>
      <c r="G3272" s="24" t="str">
        <f aca="false">INDEX(Products!$C$2:$C$49,MATCH(C3272,Products!$A$2:$A$49,0))</f>
        <v>Personal Care</v>
      </c>
      <c r="H3272" s="33" t="n">
        <f aca="false">D3272*INDEX(Products!$E$2:$E$49,MATCH(C3272,Products!$A$2:$A$49,0))</f>
        <v>17160</v>
      </c>
      <c r="I3272" s="33" t="n">
        <f aca="false">D3272*INDEX(Products!$D$2:$D$49,MATCH(C3272,Products!$A$2:$A$49,0))*(1+INDEX(Assumptions!$B$16:$B$20,MATCH(B3272,Assumptions!$A$16:$A$20,0)))</f>
        <v>10989.056</v>
      </c>
      <c r="J3272" s="33" t="n">
        <f aca="false">H3272-I3272</f>
        <v>6170.944</v>
      </c>
      <c r="K3272" s="33" t="n">
        <f aca="false">IF(OR(E3272=0,E3272&gt;=7),0,D3272/(7-E3272)*E3272*INDEX(Products!$E$2:$E$49,MATCH(C3272,Products!$A$2:$A$49,0)))</f>
        <v>0</v>
      </c>
    </row>
    <row r="3273" customFormat="false" ht="15" hidden="false" customHeight="false" outlineLevel="0" collapsed="false">
      <c r="A3273" s="36" t="n">
        <v>46265</v>
      </c>
      <c r="B3273" s="24" t="s">
        <v>63</v>
      </c>
      <c r="C3273" s="24" t="s">
        <v>183</v>
      </c>
      <c r="D3273" s="33" t="n">
        <v>53</v>
      </c>
      <c r="E3273" s="24" t="n">
        <v>0</v>
      </c>
      <c r="F3273" s="37" t="n">
        <f aca="false">DATE(YEAR(A3273),MONTH(A3273),1)</f>
        <v>46235</v>
      </c>
      <c r="G3273" s="24" t="str">
        <f aca="false">INDEX(Products!$C$2:$C$49,MATCH(C3273,Products!$A$2:$A$49,0))</f>
        <v>Personal Care</v>
      </c>
      <c r="H3273" s="33" t="n">
        <f aca="false">D3273*INDEX(Products!$E$2:$E$49,MATCH(C3273,Products!$A$2:$A$49,0))</f>
        <v>17490</v>
      </c>
      <c r="I3273" s="33" t="n">
        <f aca="false">D3273*INDEX(Products!$D$2:$D$49,MATCH(C3273,Products!$A$2:$A$49,0))*(1+INDEX(Assumptions!$B$16:$B$20,MATCH(B3273,Assumptions!$A$16:$A$20,0)))</f>
        <v>11200.384</v>
      </c>
      <c r="J3273" s="33" t="n">
        <f aca="false">H3273-I3273</f>
        <v>6289.616</v>
      </c>
      <c r="K3273" s="33" t="n">
        <f aca="false">IF(OR(E3273=0,E3273&gt;=7),0,D3273/(7-E3273)*E3273*INDEX(Products!$E$2:$E$49,MATCH(C3273,Products!$A$2:$A$49,0)))</f>
        <v>0</v>
      </c>
    </row>
    <row r="3274" customFormat="false" ht="15" hidden="false" customHeight="false" outlineLevel="0" collapsed="false">
      <c r="A3274" s="36" t="n">
        <v>46272</v>
      </c>
      <c r="B3274" s="24" t="s">
        <v>63</v>
      </c>
      <c r="C3274" s="24" t="s">
        <v>183</v>
      </c>
      <c r="D3274" s="33" t="n">
        <v>37</v>
      </c>
      <c r="E3274" s="24" t="n">
        <v>0</v>
      </c>
      <c r="F3274" s="37" t="n">
        <f aca="false">DATE(YEAR(A3274),MONTH(A3274),1)</f>
        <v>46266</v>
      </c>
      <c r="G3274" s="24" t="str">
        <f aca="false">INDEX(Products!$C$2:$C$49,MATCH(C3274,Products!$A$2:$A$49,0))</f>
        <v>Personal Care</v>
      </c>
      <c r="H3274" s="33" t="n">
        <f aca="false">D3274*INDEX(Products!$E$2:$E$49,MATCH(C3274,Products!$A$2:$A$49,0))</f>
        <v>12210</v>
      </c>
      <c r="I3274" s="33" t="n">
        <f aca="false">D3274*INDEX(Products!$D$2:$D$49,MATCH(C3274,Products!$A$2:$A$49,0))*(1+INDEX(Assumptions!$B$16:$B$20,MATCH(B3274,Assumptions!$A$16:$A$20,0)))</f>
        <v>7819.136</v>
      </c>
      <c r="J3274" s="33" t="n">
        <f aca="false">H3274-I3274</f>
        <v>4390.864</v>
      </c>
      <c r="K3274" s="33" t="n">
        <f aca="false">IF(OR(E3274=0,E3274&gt;=7),0,D3274/(7-E3274)*E3274*INDEX(Products!$E$2:$E$49,MATCH(C3274,Products!$A$2:$A$49,0)))</f>
        <v>0</v>
      </c>
    </row>
    <row r="3275" customFormat="false" ht="15" hidden="false" customHeight="false" outlineLevel="0" collapsed="false">
      <c r="A3275" s="36" t="n">
        <v>46279</v>
      </c>
      <c r="B3275" s="24" t="s">
        <v>63</v>
      </c>
      <c r="C3275" s="24" t="s">
        <v>183</v>
      </c>
      <c r="D3275" s="33" t="n">
        <v>50</v>
      </c>
      <c r="E3275" s="24" t="n">
        <v>0</v>
      </c>
      <c r="F3275" s="37" t="n">
        <f aca="false">DATE(YEAR(A3275),MONTH(A3275),1)</f>
        <v>46266</v>
      </c>
      <c r="G3275" s="24" t="str">
        <f aca="false">INDEX(Products!$C$2:$C$49,MATCH(C3275,Products!$A$2:$A$49,0))</f>
        <v>Personal Care</v>
      </c>
      <c r="H3275" s="33" t="n">
        <f aca="false">D3275*INDEX(Products!$E$2:$E$49,MATCH(C3275,Products!$A$2:$A$49,0))</f>
        <v>16500</v>
      </c>
      <c r="I3275" s="33" t="n">
        <f aca="false">D3275*INDEX(Products!$D$2:$D$49,MATCH(C3275,Products!$A$2:$A$49,0))*(1+INDEX(Assumptions!$B$16:$B$20,MATCH(B3275,Assumptions!$A$16:$A$20,0)))</f>
        <v>10566.4</v>
      </c>
      <c r="J3275" s="33" t="n">
        <f aca="false">H3275-I3275</f>
        <v>5933.6</v>
      </c>
      <c r="K3275" s="33" t="n">
        <f aca="false">IF(OR(E3275=0,E3275&gt;=7),0,D3275/(7-E3275)*E3275*INDEX(Products!$E$2:$E$49,MATCH(C3275,Products!$A$2:$A$49,0)))</f>
        <v>0</v>
      </c>
    </row>
    <row r="3276" customFormat="false" ht="15" hidden="false" customHeight="false" outlineLevel="0" collapsed="false">
      <c r="A3276" s="36" t="n">
        <v>46286</v>
      </c>
      <c r="B3276" s="24" t="s">
        <v>63</v>
      </c>
      <c r="C3276" s="24" t="s">
        <v>183</v>
      </c>
      <c r="D3276" s="33" t="n">
        <v>38</v>
      </c>
      <c r="E3276" s="24" t="n">
        <v>0</v>
      </c>
      <c r="F3276" s="37" t="n">
        <f aca="false">DATE(YEAR(A3276),MONTH(A3276),1)</f>
        <v>46266</v>
      </c>
      <c r="G3276" s="24" t="str">
        <f aca="false">INDEX(Products!$C$2:$C$49,MATCH(C3276,Products!$A$2:$A$49,0))</f>
        <v>Personal Care</v>
      </c>
      <c r="H3276" s="33" t="n">
        <f aca="false">D3276*INDEX(Products!$E$2:$E$49,MATCH(C3276,Products!$A$2:$A$49,0))</f>
        <v>12540</v>
      </c>
      <c r="I3276" s="33" t="n">
        <f aca="false">D3276*INDEX(Products!$D$2:$D$49,MATCH(C3276,Products!$A$2:$A$49,0))*(1+INDEX(Assumptions!$B$16:$B$20,MATCH(B3276,Assumptions!$A$16:$A$20,0)))</f>
        <v>8030.464</v>
      </c>
      <c r="J3276" s="33" t="n">
        <f aca="false">H3276-I3276</f>
        <v>4509.536</v>
      </c>
      <c r="K3276" s="33" t="n">
        <f aca="false">IF(OR(E3276=0,E3276&gt;=7),0,D3276/(7-E3276)*E3276*INDEX(Products!$E$2:$E$49,MATCH(C3276,Products!$A$2:$A$49,0)))</f>
        <v>0</v>
      </c>
    </row>
    <row r="3277" customFormat="false" ht="15" hidden="false" customHeight="false" outlineLevel="0" collapsed="false">
      <c r="A3277" s="36" t="n">
        <v>46118</v>
      </c>
      <c r="B3277" s="24" t="s">
        <v>63</v>
      </c>
      <c r="C3277" s="24" t="s">
        <v>185</v>
      </c>
      <c r="D3277" s="33" t="n">
        <v>94</v>
      </c>
      <c r="E3277" s="24" t="n">
        <v>0</v>
      </c>
      <c r="F3277" s="37" t="n">
        <f aca="false">DATE(YEAR(A3277),MONTH(A3277),1)</f>
        <v>46113</v>
      </c>
      <c r="G3277" s="24" t="str">
        <f aca="false">INDEX(Products!$C$2:$C$49,MATCH(C3277,Products!$A$2:$A$49,0))</f>
        <v>Personal Care</v>
      </c>
      <c r="H3277" s="33" t="n">
        <f aca="false">D3277*INDEX(Products!$E$2:$E$49,MATCH(C3277,Products!$A$2:$A$49,0))</f>
        <v>26320</v>
      </c>
      <c r="I3277" s="33" t="n">
        <f aca="false">D3277*INDEX(Products!$D$2:$D$49,MATCH(C3277,Products!$A$2:$A$49,0))*(1+INDEX(Assumptions!$B$16:$B$20,MATCH(B3277,Assumptions!$A$16:$A$20,0)))</f>
        <v>18623.28</v>
      </c>
      <c r="J3277" s="33" t="n">
        <f aca="false">H3277-I3277</f>
        <v>7696.72</v>
      </c>
      <c r="K3277" s="33" t="n">
        <f aca="false">IF(OR(E3277=0,E3277&gt;=7),0,D3277/(7-E3277)*E3277*INDEX(Products!$E$2:$E$49,MATCH(C3277,Products!$A$2:$A$49,0)))</f>
        <v>0</v>
      </c>
    </row>
    <row r="3278" customFormat="false" ht="15" hidden="false" customHeight="false" outlineLevel="0" collapsed="false">
      <c r="A3278" s="36" t="n">
        <v>46125</v>
      </c>
      <c r="B3278" s="24" t="s">
        <v>63</v>
      </c>
      <c r="C3278" s="24" t="s">
        <v>185</v>
      </c>
      <c r="D3278" s="33" t="n">
        <v>112</v>
      </c>
      <c r="E3278" s="24" t="n">
        <v>0</v>
      </c>
      <c r="F3278" s="37" t="n">
        <f aca="false">DATE(YEAR(A3278),MONTH(A3278),1)</f>
        <v>46113</v>
      </c>
      <c r="G3278" s="24" t="str">
        <f aca="false">INDEX(Products!$C$2:$C$49,MATCH(C3278,Products!$A$2:$A$49,0))</f>
        <v>Personal Care</v>
      </c>
      <c r="H3278" s="33" t="n">
        <f aca="false">D3278*INDEX(Products!$E$2:$E$49,MATCH(C3278,Products!$A$2:$A$49,0))</f>
        <v>31360</v>
      </c>
      <c r="I3278" s="33" t="n">
        <f aca="false">D3278*INDEX(Products!$D$2:$D$49,MATCH(C3278,Products!$A$2:$A$49,0))*(1+INDEX(Assumptions!$B$16:$B$20,MATCH(B3278,Assumptions!$A$16:$A$20,0)))</f>
        <v>22189.44</v>
      </c>
      <c r="J3278" s="33" t="n">
        <f aca="false">H3278-I3278</f>
        <v>9170.56</v>
      </c>
      <c r="K3278" s="33" t="n">
        <f aca="false">IF(OR(E3278=0,E3278&gt;=7),0,D3278/(7-E3278)*E3278*INDEX(Products!$E$2:$E$49,MATCH(C3278,Products!$A$2:$A$49,0)))</f>
        <v>0</v>
      </c>
    </row>
    <row r="3279" customFormat="false" ht="15" hidden="false" customHeight="false" outlineLevel="0" collapsed="false">
      <c r="A3279" s="36" t="n">
        <v>46132</v>
      </c>
      <c r="B3279" s="24" t="s">
        <v>63</v>
      </c>
      <c r="C3279" s="24" t="s">
        <v>185</v>
      </c>
      <c r="D3279" s="33" t="n">
        <v>124</v>
      </c>
      <c r="E3279" s="24" t="n">
        <v>0</v>
      </c>
      <c r="F3279" s="37" t="n">
        <f aca="false">DATE(YEAR(A3279),MONTH(A3279),1)</f>
        <v>46113</v>
      </c>
      <c r="G3279" s="24" t="str">
        <f aca="false">INDEX(Products!$C$2:$C$49,MATCH(C3279,Products!$A$2:$A$49,0))</f>
        <v>Personal Care</v>
      </c>
      <c r="H3279" s="33" t="n">
        <f aca="false">D3279*INDEX(Products!$E$2:$E$49,MATCH(C3279,Products!$A$2:$A$49,0))</f>
        <v>34720</v>
      </c>
      <c r="I3279" s="33" t="n">
        <f aca="false">D3279*INDEX(Products!$D$2:$D$49,MATCH(C3279,Products!$A$2:$A$49,0))*(1+INDEX(Assumptions!$B$16:$B$20,MATCH(B3279,Assumptions!$A$16:$A$20,0)))</f>
        <v>24566.88</v>
      </c>
      <c r="J3279" s="33" t="n">
        <f aca="false">H3279-I3279</f>
        <v>10153.12</v>
      </c>
      <c r="K3279" s="33" t="n">
        <f aca="false">IF(OR(E3279=0,E3279&gt;=7),0,D3279/(7-E3279)*E3279*INDEX(Products!$E$2:$E$49,MATCH(C3279,Products!$A$2:$A$49,0)))</f>
        <v>0</v>
      </c>
    </row>
    <row r="3280" customFormat="false" ht="15" hidden="false" customHeight="false" outlineLevel="0" collapsed="false">
      <c r="A3280" s="36" t="n">
        <v>46139</v>
      </c>
      <c r="B3280" s="24" t="s">
        <v>63</v>
      </c>
      <c r="C3280" s="24" t="s">
        <v>185</v>
      </c>
      <c r="D3280" s="33" t="n">
        <v>137</v>
      </c>
      <c r="E3280" s="24" t="n">
        <v>0</v>
      </c>
      <c r="F3280" s="37" t="n">
        <f aca="false">DATE(YEAR(A3280),MONTH(A3280),1)</f>
        <v>46113</v>
      </c>
      <c r="G3280" s="24" t="str">
        <f aca="false">INDEX(Products!$C$2:$C$49,MATCH(C3280,Products!$A$2:$A$49,0))</f>
        <v>Personal Care</v>
      </c>
      <c r="H3280" s="33" t="n">
        <f aca="false">D3280*INDEX(Products!$E$2:$E$49,MATCH(C3280,Products!$A$2:$A$49,0))</f>
        <v>38360</v>
      </c>
      <c r="I3280" s="33" t="n">
        <f aca="false">D3280*INDEX(Products!$D$2:$D$49,MATCH(C3280,Products!$A$2:$A$49,0))*(1+INDEX(Assumptions!$B$16:$B$20,MATCH(B3280,Assumptions!$A$16:$A$20,0)))</f>
        <v>27142.44</v>
      </c>
      <c r="J3280" s="33" t="n">
        <f aca="false">H3280-I3280</f>
        <v>11217.56</v>
      </c>
      <c r="K3280" s="33" t="n">
        <f aca="false">IF(OR(E3280=0,E3280&gt;=7),0,D3280/(7-E3280)*E3280*INDEX(Products!$E$2:$E$49,MATCH(C3280,Products!$A$2:$A$49,0)))</f>
        <v>0</v>
      </c>
    </row>
    <row r="3281" customFormat="false" ht="15" hidden="false" customHeight="false" outlineLevel="0" collapsed="false">
      <c r="A3281" s="36" t="n">
        <v>46146</v>
      </c>
      <c r="B3281" s="24" t="s">
        <v>63</v>
      </c>
      <c r="C3281" s="24" t="s">
        <v>185</v>
      </c>
      <c r="D3281" s="33" t="n">
        <v>105</v>
      </c>
      <c r="E3281" s="24" t="n">
        <v>0</v>
      </c>
      <c r="F3281" s="37" t="n">
        <f aca="false">DATE(YEAR(A3281),MONTH(A3281),1)</f>
        <v>46143</v>
      </c>
      <c r="G3281" s="24" t="str">
        <f aca="false">INDEX(Products!$C$2:$C$49,MATCH(C3281,Products!$A$2:$A$49,0))</f>
        <v>Personal Care</v>
      </c>
      <c r="H3281" s="33" t="n">
        <f aca="false">D3281*INDEX(Products!$E$2:$E$49,MATCH(C3281,Products!$A$2:$A$49,0))</f>
        <v>29400</v>
      </c>
      <c r="I3281" s="33" t="n">
        <f aca="false">D3281*INDEX(Products!$D$2:$D$49,MATCH(C3281,Products!$A$2:$A$49,0))*(1+INDEX(Assumptions!$B$16:$B$20,MATCH(B3281,Assumptions!$A$16:$A$20,0)))</f>
        <v>20802.6</v>
      </c>
      <c r="J3281" s="33" t="n">
        <f aca="false">H3281-I3281</f>
        <v>8597.4</v>
      </c>
      <c r="K3281" s="33" t="n">
        <f aca="false">IF(OR(E3281=0,E3281&gt;=7),0,D3281/(7-E3281)*E3281*INDEX(Products!$E$2:$E$49,MATCH(C3281,Products!$A$2:$A$49,0)))</f>
        <v>0</v>
      </c>
    </row>
    <row r="3282" customFormat="false" ht="15" hidden="false" customHeight="false" outlineLevel="0" collapsed="false">
      <c r="A3282" s="36" t="n">
        <v>46153</v>
      </c>
      <c r="B3282" s="24" t="s">
        <v>63</v>
      </c>
      <c r="C3282" s="24" t="s">
        <v>185</v>
      </c>
      <c r="D3282" s="33" t="n">
        <v>98</v>
      </c>
      <c r="E3282" s="24" t="n">
        <v>0</v>
      </c>
      <c r="F3282" s="37" t="n">
        <f aca="false">DATE(YEAR(A3282),MONTH(A3282),1)</f>
        <v>46143</v>
      </c>
      <c r="G3282" s="24" t="str">
        <f aca="false">INDEX(Products!$C$2:$C$49,MATCH(C3282,Products!$A$2:$A$49,0))</f>
        <v>Personal Care</v>
      </c>
      <c r="H3282" s="33" t="n">
        <f aca="false">D3282*INDEX(Products!$E$2:$E$49,MATCH(C3282,Products!$A$2:$A$49,0))</f>
        <v>27440</v>
      </c>
      <c r="I3282" s="33" t="n">
        <f aca="false">D3282*INDEX(Products!$D$2:$D$49,MATCH(C3282,Products!$A$2:$A$49,0))*(1+INDEX(Assumptions!$B$16:$B$20,MATCH(B3282,Assumptions!$A$16:$A$20,0)))</f>
        <v>19415.76</v>
      </c>
      <c r="J3282" s="33" t="n">
        <f aca="false">H3282-I3282</f>
        <v>8024.24</v>
      </c>
      <c r="K3282" s="33" t="n">
        <f aca="false">IF(OR(E3282=0,E3282&gt;=7),0,D3282/(7-E3282)*E3282*INDEX(Products!$E$2:$E$49,MATCH(C3282,Products!$A$2:$A$49,0)))</f>
        <v>0</v>
      </c>
    </row>
    <row r="3283" customFormat="false" ht="15" hidden="false" customHeight="false" outlineLevel="0" collapsed="false">
      <c r="A3283" s="36" t="n">
        <v>46160</v>
      </c>
      <c r="B3283" s="24" t="s">
        <v>63</v>
      </c>
      <c r="C3283" s="24" t="s">
        <v>185</v>
      </c>
      <c r="D3283" s="33" t="n">
        <v>54</v>
      </c>
      <c r="E3283" s="24" t="n">
        <v>4</v>
      </c>
      <c r="F3283" s="37" t="n">
        <f aca="false">DATE(YEAR(A3283),MONTH(A3283),1)</f>
        <v>46143</v>
      </c>
      <c r="G3283" s="24" t="str">
        <f aca="false">INDEX(Products!$C$2:$C$49,MATCH(C3283,Products!$A$2:$A$49,0))</f>
        <v>Personal Care</v>
      </c>
      <c r="H3283" s="33" t="n">
        <f aca="false">D3283*INDEX(Products!$E$2:$E$49,MATCH(C3283,Products!$A$2:$A$49,0))</f>
        <v>15120</v>
      </c>
      <c r="I3283" s="33" t="n">
        <f aca="false">D3283*INDEX(Products!$D$2:$D$49,MATCH(C3283,Products!$A$2:$A$49,0))*(1+INDEX(Assumptions!$B$16:$B$20,MATCH(B3283,Assumptions!$A$16:$A$20,0)))</f>
        <v>10698.48</v>
      </c>
      <c r="J3283" s="33" t="n">
        <f aca="false">H3283-I3283</f>
        <v>4421.52</v>
      </c>
      <c r="K3283" s="33" t="n">
        <f aca="false">IF(OR(E3283=0,E3283&gt;=7),0,D3283/(7-E3283)*E3283*INDEX(Products!$E$2:$E$49,MATCH(C3283,Products!$A$2:$A$49,0)))</f>
        <v>20160</v>
      </c>
    </row>
    <row r="3284" customFormat="false" ht="15" hidden="false" customHeight="false" outlineLevel="0" collapsed="false">
      <c r="A3284" s="36" t="n">
        <v>46167</v>
      </c>
      <c r="B3284" s="24" t="s">
        <v>63</v>
      </c>
      <c r="C3284" s="24" t="s">
        <v>185</v>
      </c>
      <c r="D3284" s="33" t="n">
        <v>124</v>
      </c>
      <c r="E3284" s="24" t="n">
        <v>0</v>
      </c>
      <c r="F3284" s="37" t="n">
        <f aca="false">DATE(YEAR(A3284),MONTH(A3284),1)</f>
        <v>46143</v>
      </c>
      <c r="G3284" s="24" t="str">
        <f aca="false">INDEX(Products!$C$2:$C$49,MATCH(C3284,Products!$A$2:$A$49,0))</f>
        <v>Personal Care</v>
      </c>
      <c r="H3284" s="33" t="n">
        <f aca="false">D3284*INDEX(Products!$E$2:$E$49,MATCH(C3284,Products!$A$2:$A$49,0))</f>
        <v>34720</v>
      </c>
      <c r="I3284" s="33" t="n">
        <f aca="false">D3284*INDEX(Products!$D$2:$D$49,MATCH(C3284,Products!$A$2:$A$49,0))*(1+INDEX(Assumptions!$B$16:$B$20,MATCH(B3284,Assumptions!$A$16:$A$20,0)))</f>
        <v>24566.88</v>
      </c>
      <c r="J3284" s="33" t="n">
        <f aca="false">H3284-I3284</f>
        <v>10153.12</v>
      </c>
      <c r="K3284" s="33" t="n">
        <f aca="false">IF(OR(E3284=0,E3284&gt;=7),0,D3284/(7-E3284)*E3284*INDEX(Products!$E$2:$E$49,MATCH(C3284,Products!$A$2:$A$49,0)))</f>
        <v>0</v>
      </c>
    </row>
    <row r="3285" customFormat="false" ht="15" hidden="false" customHeight="false" outlineLevel="0" collapsed="false">
      <c r="A3285" s="36" t="n">
        <v>46174</v>
      </c>
      <c r="B3285" s="24" t="s">
        <v>63</v>
      </c>
      <c r="C3285" s="24" t="s">
        <v>185</v>
      </c>
      <c r="D3285" s="33" t="n">
        <v>207</v>
      </c>
      <c r="E3285" s="24" t="n">
        <v>0</v>
      </c>
      <c r="F3285" s="37" t="n">
        <f aca="false">DATE(YEAR(A3285),MONTH(A3285),1)</f>
        <v>46174</v>
      </c>
      <c r="G3285" s="24" t="str">
        <f aca="false">INDEX(Products!$C$2:$C$49,MATCH(C3285,Products!$A$2:$A$49,0))</f>
        <v>Personal Care</v>
      </c>
      <c r="H3285" s="33" t="n">
        <f aca="false">D3285*INDEX(Products!$E$2:$E$49,MATCH(C3285,Products!$A$2:$A$49,0))</f>
        <v>57960</v>
      </c>
      <c r="I3285" s="33" t="n">
        <f aca="false">D3285*INDEX(Products!$D$2:$D$49,MATCH(C3285,Products!$A$2:$A$49,0))*(1+INDEX(Assumptions!$B$16:$B$20,MATCH(B3285,Assumptions!$A$16:$A$20,0)))</f>
        <v>41010.84</v>
      </c>
      <c r="J3285" s="33" t="n">
        <f aca="false">H3285-I3285</f>
        <v>16949.16</v>
      </c>
      <c r="K3285" s="33" t="n">
        <f aca="false">IF(OR(E3285=0,E3285&gt;=7),0,D3285/(7-E3285)*E3285*INDEX(Products!$E$2:$E$49,MATCH(C3285,Products!$A$2:$A$49,0)))</f>
        <v>0</v>
      </c>
    </row>
    <row r="3286" customFormat="false" ht="15" hidden="false" customHeight="false" outlineLevel="0" collapsed="false">
      <c r="A3286" s="36" t="n">
        <v>46181</v>
      </c>
      <c r="B3286" s="24" t="s">
        <v>63</v>
      </c>
      <c r="C3286" s="24" t="s">
        <v>185</v>
      </c>
      <c r="D3286" s="33" t="n">
        <v>106</v>
      </c>
      <c r="E3286" s="24" t="n">
        <v>0</v>
      </c>
      <c r="F3286" s="37" t="n">
        <f aca="false">DATE(YEAR(A3286),MONTH(A3286),1)</f>
        <v>46174</v>
      </c>
      <c r="G3286" s="24" t="str">
        <f aca="false">INDEX(Products!$C$2:$C$49,MATCH(C3286,Products!$A$2:$A$49,0))</f>
        <v>Personal Care</v>
      </c>
      <c r="H3286" s="33" t="n">
        <f aca="false">D3286*INDEX(Products!$E$2:$E$49,MATCH(C3286,Products!$A$2:$A$49,0))</f>
        <v>29680</v>
      </c>
      <c r="I3286" s="33" t="n">
        <f aca="false">D3286*INDEX(Products!$D$2:$D$49,MATCH(C3286,Products!$A$2:$A$49,0))*(1+INDEX(Assumptions!$B$16:$B$20,MATCH(B3286,Assumptions!$A$16:$A$20,0)))</f>
        <v>21000.72</v>
      </c>
      <c r="J3286" s="33" t="n">
        <f aca="false">H3286-I3286</f>
        <v>8679.28</v>
      </c>
      <c r="K3286" s="33" t="n">
        <f aca="false">IF(OR(E3286=0,E3286&gt;=7),0,D3286/(7-E3286)*E3286*INDEX(Products!$E$2:$E$49,MATCH(C3286,Products!$A$2:$A$49,0)))</f>
        <v>0</v>
      </c>
    </row>
    <row r="3287" customFormat="false" ht="15" hidden="false" customHeight="false" outlineLevel="0" collapsed="false">
      <c r="A3287" s="36" t="n">
        <v>46188</v>
      </c>
      <c r="B3287" s="24" t="s">
        <v>63</v>
      </c>
      <c r="C3287" s="24" t="s">
        <v>185</v>
      </c>
      <c r="D3287" s="33" t="n">
        <v>102</v>
      </c>
      <c r="E3287" s="24" t="n">
        <v>0</v>
      </c>
      <c r="F3287" s="37" t="n">
        <f aca="false">DATE(YEAR(A3287),MONTH(A3287),1)</f>
        <v>46174</v>
      </c>
      <c r="G3287" s="24" t="str">
        <f aca="false">INDEX(Products!$C$2:$C$49,MATCH(C3287,Products!$A$2:$A$49,0))</f>
        <v>Personal Care</v>
      </c>
      <c r="H3287" s="33" t="n">
        <f aca="false">D3287*INDEX(Products!$E$2:$E$49,MATCH(C3287,Products!$A$2:$A$49,0))</f>
        <v>28560</v>
      </c>
      <c r="I3287" s="33" t="n">
        <f aca="false">D3287*INDEX(Products!$D$2:$D$49,MATCH(C3287,Products!$A$2:$A$49,0))*(1+INDEX(Assumptions!$B$16:$B$20,MATCH(B3287,Assumptions!$A$16:$A$20,0)))</f>
        <v>20208.24</v>
      </c>
      <c r="J3287" s="33" t="n">
        <f aca="false">H3287-I3287</f>
        <v>8351.76</v>
      </c>
      <c r="K3287" s="33" t="n">
        <f aca="false">IF(OR(E3287=0,E3287&gt;=7),0,D3287/(7-E3287)*E3287*INDEX(Products!$E$2:$E$49,MATCH(C3287,Products!$A$2:$A$49,0)))</f>
        <v>0</v>
      </c>
    </row>
    <row r="3288" customFormat="false" ht="15" hidden="false" customHeight="false" outlineLevel="0" collapsed="false">
      <c r="A3288" s="36" t="n">
        <v>46195</v>
      </c>
      <c r="B3288" s="24" t="s">
        <v>63</v>
      </c>
      <c r="C3288" s="24" t="s">
        <v>185</v>
      </c>
      <c r="D3288" s="33" t="n">
        <v>110</v>
      </c>
      <c r="E3288" s="24" t="n">
        <v>0</v>
      </c>
      <c r="F3288" s="37" t="n">
        <f aca="false">DATE(YEAR(A3288),MONTH(A3288),1)</f>
        <v>46174</v>
      </c>
      <c r="G3288" s="24" t="str">
        <f aca="false">INDEX(Products!$C$2:$C$49,MATCH(C3288,Products!$A$2:$A$49,0))</f>
        <v>Personal Care</v>
      </c>
      <c r="H3288" s="33" t="n">
        <f aca="false">D3288*INDEX(Products!$E$2:$E$49,MATCH(C3288,Products!$A$2:$A$49,0))</f>
        <v>30800</v>
      </c>
      <c r="I3288" s="33" t="n">
        <f aca="false">D3288*INDEX(Products!$D$2:$D$49,MATCH(C3288,Products!$A$2:$A$49,0))*(1+INDEX(Assumptions!$B$16:$B$20,MATCH(B3288,Assumptions!$A$16:$A$20,0)))</f>
        <v>21793.2</v>
      </c>
      <c r="J3288" s="33" t="n">
        <f aca="false">H3288-I3288</f>
        <v>9006.8</v>
      </c>
      <c r="K3288" s="33" t="n">
        <f aca="false">IF(OR(E3288=0,E3288&gt;=7),0,D3288/(7-E3288)*E3288*INDEX(Products!$E$2:$E$49,MATCH(C3288,Products!$A$2:$A$49,0)))</f>
        <v>0</v>
      </c>
    </row>
    <row r="3289" customFormat="false" ht="15" hidden="false" customHeight="false" outlineLevel="0" collapsed="false">
      <c r="A3289" s="36" t="n">
        <v>46202</v>
      </c>
      <c r="B3289" s="24" t="s">
        <v>63</v>
      </c>
      <c r="C3289" s="24" t="s">
        <v>185</v>
      </c>
      <c r="D3289" s="33" t="n">
        <v>115</v>
      </c>
      <c r="E3289" s="24" t="n">
        <v>0</v>
      </c>
      <c r="F3289" s="37" t="n">
        <f aca="false">DATE(YEAR(A3289),MONTH(A3289),1)</f>
        <v>46174</v>
      </c>
      <c r="G3289" s="24" t="str">
        <f aca="false">INDEX(Products!$C$2:$C$49,MATCH(C3289,Products!$A$2:$A$49,0))</f>
        <v>Personal Care</v>
      </c>
      <c r="H3289" s="33" t="n">
        <f aca="false">D3289*INDEX(Products!$E$2:$E$49,MATCH(C3289,Products!$A$2:$A$49,0))</f>
        <v>32200</v>
      </c>
      <c r="I3289" s="33" t="n">
        <f aca="false">D3289*INDEX(Products!$D$2:$D$49,MATCH(C3289,Products!$A$2:$A$49,0))*(1+INDEX(Assumptions!$B$16:$B$20,MATCH(B3289,Assumptions!$A$16:$A$20,0)))</f>
        <v>22783.8</v>
      </c>
      <c r="J3289" s="33" t="n">
        <f aca="false">H3289-I3289</f>
        <v>9416.2</v>
      </c>
      <c r="K3289" s="33" t="n">
        <f aca="false">IF(OR(E3289=0,E3289&gt;=7),0,D3289/(7-E3289)*E3289*INDEX(Products!$E$2:$E$49,MATCH(C3289,Products!$A$2:$A$49,0)))</f>
        <v>0</v>
      </c>
    </row>
    <row r="3290" customFormat="false" ht="15" hidden="false" customHeight="false" outlineLevel="0" collapsed="false">
      <c r="A3290" s="36" t="n">
        <v>46209</v>
      </c>
      <c r="B3290" s="24" t="s">
        <v>63</v>
      </c>
      <c r="C3290" s="24" t="s">
        <v>185</v>
      </c>
      <c r="D3290" s="33" t="n">
        <v>111</v>
      </c>
      <c r="E3290" s="24" t="n">
        <v>0</v>
      </c>
      <c r="F3290" s="37" t="n">
        <f aca="false">DATE(YEAR(A3290),MONTH(A3290),1)</f>
        <v>46204</v>
      </c>
      <c r="G3290" s="24" t="str">
        <f aca="false">INDEX(Products!$C$2:$C$49,MATCH(C3290,Products!$A$2:$A$49,0))</f>
        <v>Personal Care</v>
      </c>
      <c r="H3290" s="33" t="n">
        <f aca="false">D3290*INDEX(Products!$E$2:$E$49,MATCH(C3290,Products!$A$2:$A$49,0))</f>
        <v>31080</v>
      </c>
      <c r="I3290" s="33" t="n">
        <f aca="false">D3290*INDEX(Products!$D$2:$D$49,MATCH(C3290,Products!$A$2:$A$49,0))*(1+INDEX(Assumptions!$B$16:$B$20,MATCH(B3290,Assumptions!$A$16:$A$20,0)))</f>
        <v>21991.32</v>
      </c>
      <c r="J3290" s="33" t="n">
        <f aca="false">H3290-I3290</f>
        <v>9088.68</v>
      </c>
      <c r="K3290" s="33" t="n">
        <f aca="false">IF(OR(E3290=0,E3290&gt;=7),0,D3290/(7-E3290)*E3290*INDEX(Products!$E$2:$E$49,MATCH(C3290,Products!$A$2:$A$49,0)))</f>
        <v>0</v>
      </c>
    </row>
    <row r="3291" customFormat="false" ht="15" hidden="false" customHeight="false" outlineLevel="0" collapsed="false">
      <c r="A3291" s="36" t="n">
        <v>46216</v>
      </c>
      <c r="B3291" s="24" t="s">
        <v>63</v>
      </c>
      <c r="C3291" s="24" t="s">
        <v>185</v>
      </c>
      <c r="D3291" s="33" t="n">
        <v>111</v>
      </c>
      <c r="E3291" s="24" t="n">
        <v>0</v>
      </c>
      <c r="F3291" s="37" t="n">
        <f aca="false">DATE(YEAR(A3291),MONTH(A3291),1)</f>
        <v>46204</v>
      </c>
      <c r="G3291" s="24" t="str">
        <f aca="false">INDEX(Products!$C$2:$C$49,MATCH(C3291,Products!$A$2:$A$49,0))</f>
        <v>Personal Care</v>
      </c>
      <c r="H3291" s="33" t="n">
        <f aca="false">D3291*INDEX(Products!$E$2:$E$49,MATCH(C3291,Products!$A$2:$A$49,0))</f>
        <v>31080</v>
      </c>
      <c r="I3291" s="33" t="n">
        <f aca="false">D3291*INDEX(Products!$D$2:$D$49,MATCH(C3291,Products!$A$2:$A$49,0))*(1+INDEX(Assumptions!$B$16:$B$20,MATCH(B3291,Assumptions!$A$16:$A$20,0)))</f>
        <v>21991.32</v>
      </c>
      <c r="J3291" s="33" t="n">
        <f aca="false">H3291-I3291</f>
        <v>9088.68</v>
      </c>
      <c r="K3291" s="33" t="n">
        <f aca="false">IF(OR(E3291=0,E3291&gt;=7),0,D3291/(7-E3291)*E3291*INDEX(Products!$E$2:$E$49,MATCH(C3291,Products!$A$2:$A$49,0)))</f>
        <v>0</v>
      </c>
    </row>
    <row r="3292" customFormat="false" ht="15" hidden="false" customHeight="false" outlineLevel="0" collapsed="false">
      <c r="A3292" s="36" t="n">
        <v>46223</v>
      </c>
      <c r="B3292" s="24" t="s">
        <v>63</v>
      </c>
      <c r="C3292" s="24" t="s">
        <v>185</v>
      </c>
      <c r="D3292" s="33" t="n">
        <v>110</v>
      </c>
      <c r="E3292" s="24" t="n">
        <v>0</v>
      </c>
      <c r="F3292" s="37" t="n">
        <f aca="false">DATE(YEAR(A3292),MONTH(A3292),1)</f>
        <v>46204</v>
      </c>
      <c r="G3292" s="24" t="str">
        <f aca="false">INDEX(Products!$C$2:$C$49,MATCH(C3292,Products!$A$2:$A$49,0))</f>
        <v>Personal Care</v>
      </c>
      <c r="H3292" s="33" t="n">
        <f aca="false">D3292*INDEX(Products!$E$2:$E$49,MATCH(C3292,Products!$A$2:$A$49,0))</f>
        <v>30800</v>
      </c>
      <c r="I3292" s="33" t="n">
        <f aca="false">D3292*INDEX(Products!$D$2:$D$49,MATCH(C3292,Products!$A$2:$A$49,0))*(1+INDEX(Assumptions!$B$16:$B$20,MATCH(B3292,Assumptions!$A$16:$A$20,0)))</f>
        <v>21793.2</v>
      </c>
      <c r="J3292" s="33" t="n">
        <f aca="false">H3292-I3292</f>
        <v>9006.8</v>
      </c>
      <c r="K3292" s="33" t="n">
        <f aca="false">IF(OR(E3292=0,E3292&gt;=7),0,D3292/(7-E3292)*E3292*INDEX(Products!$E$2:$E$49,MATCH(C3292,Products!$A$2:$A$49,0)))</f>
        <v>0</v>
      </c>
    </row>
    <row r="3293" customFormat="false" ht="15" hidden="false" customHeight="false" outlineLevel="0" collapsed="false">
      <c r="A3293" s="36" t="n">
        <v>46230</v>
      </c>
      <c r="B3293" s="24" t="s">
        <v>63</v>
      </c>
      <c r="C3293" s="24" t="s">
        <v>185</v>
      </c>
      <c r="D3293" s="33" t="n">
        <v>116</v>
      </c>
      <c r="E3293" s="24" t="n">
        <v>0</v>
      </c>
      <c r="F3293" s="37" t="n">
        <f aca="false">DATE(YEAR(A3293),MONTH(A3293),1)</f>
        <v>46204</v>
      </c>
      <c r="G3293" s="24" t="str">
        <f aca="false">INDEX(Products!$C$2:$C$49,MATCH(C3293,Products!$A$2:$A$49,0))</f>
        <v>Personal Care</v>
      </c>
      <c r="H3293" s="33" t="n">
        <f aca="false">D3293*INDEX(Products!$E$2:$E$49,MATCH(C3293,Products!$A$2:$A$49,0))</f>
        <v>32480</v>
      </c>
      <c r="I3293" s="33" t="n">
        <f aca="false">D3293*INDEX(Products!$D$2:$D$49,MATCH(C3293,Products!$A$2:$A$49,0))*(1+INDEX(Assumptions!$B$16:$B$20,MATCH(B3293,Assumptions!$A$16:$A$20,0)))</f>
        <v>22981.92</v>
      </c>
      <c r="J3293" s="33" t="n">
        <f aca="false">H3293-I3293</f>
        <v>9498.08</v>
      </c>
      <c r="K3293" s="33" t="n">
        <f aca="false">IF(OR(E3293=0,E3293&gt;=7),0,D3293/(7-E3293)*E3293*INDEX(Products!$E$2:$E$49,MATCH(C3293,Products!$A$2:$A$49,0)))</f>
        <v>0</v>
      </c>
    </row>
    <row r="3294" customFormat="false" ht="15" hidden="false" customHeight="false" outlineLevel="0" collapsed="false">
      <c r="A3294" s="36" t="n">
        <v>46237</v>
      </c>
      <c r="B3294" s="24" t="s">
        <v>63</v>
      </c>
      <c r="C3294" s="24" t="s">
        <v>185</v>
      </c>
      <c r="D3294" s="33" t="n">
        <v>103</v>
      </c>
      <c r="E3294" s="24" t="n">
        <v>0</v>
      </c>
      <c r="F3294" s="37" t="n">
        <f aca="false">DATE(YEAR(A3294),MONTH(A3294),1)</f>
        <v>46235</v>
      </c>
      <c r="G3294" s="24" t="str">
        <f aca="false">INDEX(Products!$C$2:$C$49,MATCH(C3294,Products!$A$2:$A$49,0))</f>
        <v>Personal Care</v>
      </c>
      <c r="H3294" s="33" t="n">
        <f aca="false">D3294*INDEX(Products!$E$2:$E$49,MATCH(C3294,Products!$A$2:$A$49,0))</f>
        <v>28840</v>
      </c>
      <c r="I3294" s="33" t="n">
        <f aca="false">D3294*INDEX(Products!$D$2:$D$49,MATCH(C3294,Products!$A$2:$A$49,0))*(1+INDEX(Assumptions!$B$16:$B$20,MATCH(B3294,Assumptions!$A$16:$A$20,0)))</f>
        <v>20406.36</v>
      </c>
      <c r="J3294" s="33" t="n">
        <f aca="false">H3294-I3294</f>
        <v>8433.64</v>
      </c>
      <c r="K3294" s="33" t="n">
        <f aca="false">IF(OR(E3294=0,E3294&gt;=7),0,D3294/(7-E3294)*E3294*INDEX(Products!$E$2:$E$49,MATCH(C3294,Products!$A$2:$A$49,0)))</f>
        <v>0</v>
      </c>
    </row>
    <row r="3295" customFormat="false" ht="15" hidden="false" customHeight="false" outlineLevel="0" collapsed="false">
      <c r="A3295" s="36" t="n">
        <v>46244</v>
      </c>
      <c r="B3295" s="24" t="s">
        <v>63</v>
      </c>
      <c r="C3295" s="24" t="s">
        <v>185</v>
      </c>
      <c r="D3295" s="33" t="n">
        <v>104</v>
      </c>
      <c r="E3295" s="24" t="n">
        <v>0</v>
      </c>
      <c r="F3295" s="37" t="n">
        <f aca="false">DATE(YEAR(A3295),MONTH(A3295),1)</f>
        <v>46235</v>
      </c>
      <c r="G3295" s="24" t="str">
        <f aca="false">INDEX(Products!$C$2:$C$49,MATCH(C3295,Products!$A$2:$A$49,0))</f>
        <v>Personal Care</v>
      </c>
      <c r="H3295" s="33" t="n">
        <f aca="false">D3295*INDEX(Products!$E$2:$E$49,MATCH(C3295,Products!$A$2:$A$49,0))</f>
        <v>29120</v>
      </c>
      <c r="I3295" s="33" t="n">
        <f aca="false">D3295*INDEX(Products!$D$2:$D$49,MATCH(C3295,Products!$A$2:$A$49,0))*(1+INDEX(Assumptions!$B$16:$B$20,MATCH(B3295,Assumptions!$A$16:$A$20,0)))</f>
        <v>20604.48</v>
      </c>
      <c r="J3295" s="33" t="n">
        <f aca="false">H3295-I3295</f>
        <v>8515.52</v>
      </c>
      <c r="K3295" s="33" t="n">
        <f aca="false">IF(OR(E3295=0,E3295&gt;=7),0,D3295/(7-E3295)*E3295*INDEX(Products!$E$2:$E$49,MATCH(C3295,Products!$A$2:$A$49,0)))</f>
        <v>0</v>
      </c>
    </row>
    <row r="3296" customFormat="false" ht="15" hidden="false" customHeight="false" outlineLevel="0" collapsed="false">
      <c r="A3296" s="36" t="n">
        <v>46251</v>
      </c>
      <c r="B3296" s="24" t="s">
        <v>63</v>
      </c>
      <c r="C3296" s="24" t="s">
        <v>185</v>
      </c>
      <c r="D3296" s="33" t="n">
        <v>110</v>
      </c>
      <c r="E3296" s="24" t="n">
        <v>0</v>
      </c>
      <c r="F3296" s="37" t="n">
        <f aca="false">DATE(YEAR(A3296),MONTH(A3296),1)</f>
        <v>46235</v>
      </c>
      <c r="G3296" s="24" t="str">
        <f aca="false">INDEX(Products!$C$2:$C$49,MATCH(C3296,Products!$A$2:$A$49,0))</f>
        <v>Personal Care</v>
      </c>
      <c r="H3296" s="33" t="n">
        <f aca="false">D3296*INDEX(Products!$E$2:$E$49,MATCH(C3296,Products!$A$2:$A$49,0))</f>
        <v>30800</v>
      </c>
      <c r="I3296" s="33" t="n">
        <f aca="false">D3296*INDEX(Products!$D$2:$D$49,MATCH(C3296,Products!$A$2:$A$49,0))*(1+INDEX(Assumptions!$B$16:$B$20,MATCH(B3296,Assumptions!$A$16:$A$20,0)))</f>
        <v>21793.2</v>
      </c>
      <c r="J3296" s="33" t="n">
        <f aca="false">H3296-I3296</f>
        <v>9006.8</v>
      </c>
      <c r="K3296" s="33" t="n">
        <f aca="false">IF(OR(E3296=0,E3296&gt;=7),0,D3296/(7-E3296)*E3296*INDEX(Products!$E$2:$E$49,MATCH(C3296,Products!$A$2:$A$49,0)))</f>
        <v>0</v>
      </c>
    </row>
    <row r="3297" customFormat="false" ht="15" hidden="false" customHeight="false" outlineLevel="0" collapsed="false">
      <c r="A3297" s="36" t="n">
        <v>46258</v>
      </c>
      <c r="B3297" s="24" t="s">
        <v>63</v>
      </c>
      <c r="C3297" s="24" t="s">
        <v>185</v>
      </c>
      <c r="D3297" s="33" t="n">
        <v>140</v>
      </c>
      <c r="E3297" s="24" t="n">
        <v>0</v>
      </c>
      <c r="F3297" s="37" t="n">
        <f aca="false">DATE(YEAR(A3297),MONTH(A3297),1)</f>
        <v>46235</v>
      </c>
      <c r="G3297" s="24" t="str">
        <f aca="false">INDEX(Products!$C$2:$C$49,MATCH(C3297,Products!$A$2:$A$49,0))</f>
        <v>Personal Care</v>
      </c>
      <c r="H3297" s="33" t="n">
        <f aca="false">D3297*INDEX(Products!$E$2:$E$49,MATCH(C3297,Products!$A$2:$A$49,0))</f>
        <v>39200</v>
      </c>
      <c r="I3297" s="33" t="n">
        <f aca="false">D3297*INDEX(Products!$D$2:$D$49,MATCH(C3297,Products!$A$2:$A$49,0))*(1+INDEX(Assumptions!$B$16:$B$20,MATCH(B3297,Assumptions!$A$16:$A$20,0)))</f>
        <v>27736.8</v>
      </c>
      <c r="J3297" s="33" t="n">
        <f aca="false">H3297-I3297</f>
        <v>11463.2</v>
      </c>
      <c r="K3297" s="33" t="n">
        <f aca="false">IF(OR(E3297=0,E3297&gt;=7),0,D3297/(7-E3297)*E3297*INDEX(Products!$E$2:$E$49,MATCH(C3297,Products!$A$2:$A$49,0)))</f>
        <v>0</v>
      </c>
    </row>
    <row r="3298" customFormat="false" ht="15" hidden="false" customHeight="false" outlineLevel="0" collapsed="false">
      <c r="A3298" s="36" t="n">
        <v>46265</v>
      </c>
      <c r="B3298" s="24" t="s">
        <v>63</v>
      </c>
      <c r="C3298" s="24" t="s">
        <v>185</v>
      </c>
      <c r="D3298" s="33" t="n">
        <v>128</v>
      </c>
      <c r="E3298" s="24" t="n">
        <v>0</v>
      </c>
      <c r="F3298" s="37" t="n">
        <f aca="false">DATE(YEAR(A3298),MONTH(A3298),1)</f>
        <v>46235</v>
      </c>
      <c r="G3298" s="24" t="str">
        <f aca="false">INDEX(Products!$C$2:$C$49,MATCH(C3298,Products!$A$2:$A$49,0))</f>
        <v>Personal Care</v>
      </c>
      <c r="H3298" s="33" t="n">
        <f aca="false">D3298*INDEX(Products!$E$2:$E$49,MATCH(C3298,Products!$A$2:$A$49,0))</f>
        <v>35840</v>
      </c>
      <c r="I3298" s="33" t="n">
        <f aca="false">D3298*INDEX(Products!$D$2:$D$49,MATCH(C3298,Products!$A$2:$A$49,0))*(1+INDEX(Assumptions!$B$16:$B$20,MATCH(B3298,Assumptions!$A$16:$A$20,0)))</f>
        <v>25359.36</v>
      </c>
      <c r="J3298" s="33" t="n">
        <f aca="false">H3298-I3298</f>
        <v>10480.64</v>
      </c>
      <c r="K3298" s="33" t="n">
        <f aca="false">IF(OR(E3298=0,E3298&gt;=7),0,D3298/(7-E3298)*E3298*INDEX(Products!$E$2:$E$49,MATCH(C3298,Products!$A$2:$A$49,0)))</f>
        <v>0</v>
      </c>
    </row>
    <row r="3299" customFormat="false" ht="15" hidden="false" customHeight="false" outlineLevel="0" collapsed="false">
      <c r="A3299" s="36" t="n">
        <v>46272</v>
      </c>
      <c r="B3299" s="24" t="s">
        <v>63</v>
      </c>
      <c r="C3299" s="24" t="s">
        <v>185</v>
      </c>
      <c r="D3299" s="33" t="n">
        <v>108</v>
      </c>
      <c r="E3299" s="24" t="n">
        <v>0</v>
      </c>
      <c r="F3299" s="37" t="n">
        <f aca="false">DATE(YEAR(A3299),MONTH(A3299),1)</f>
        <v>46266</v>
      </c>
      <c r="G3299" s="24" t="str">
        <f aca="false">INDEX(Products!$C$2:$C$49,MATCH(C3299,Products!$A$2:$A$49,0))</f>
        <v>Personal Care</v>
      </c>
      <c r="H3299" s="33" t="n">
        <f aca="false">D3299*INDEX(Products!$E$2:$E$49,MATCH(C3299,Products!$A$2:$A$49,0))</f>
        <v>30240</v>
      </c>
      <c r="I3299" s="33" t="n">
        <f aca="false">D3299*INDEX(Products!$D$2:$D$49,MATCH(C3299,Products!$A$2:$A$49,0))*(1+INDEX(Assumptions!$B$16:$B$20,MATCH(B3299,Assumptions!$A$16:$A$20,0)))</f>
        <v>21396.96</v>
      </c>
      <c r="J3299" s="33" t="n">
        <f aca="false">H3299-I3299</f>
        <v>8843.04</v>
      </c>
      <c r="K3299" s="33" t="n">
        <f aca="false">IF(OR(E3299=0,E3299&gt;=7),0,D3299/(7-E3299)*E3299*INDEX(Products!$E$2:$E$49,MATCH(C3299,Products!$A$2:$A$49,0)))</f>
        <v>0</v>
      </c>
    </row>
    <row r="3300" customFormat="false" ht="15" hidden="false" customHeight="false" outlineLevel="0" collapsed="false">
      <c r="A3300" s="36" t="n">
        <v>46279</v>
      </c>
      <c r="B3300" s="24" t="s">
        <v>63</v>
      </c>
      <c r="C3300" s="24" t="s">
        <v>185</v>
      </c>
      <c r="D3300" s="33" t="n">
        <v>119</v>
      </c>
      <c r="E3300" s="24" t="n">
        <v>0</v>
      </c>
      <c r="F3300" s="37" t="n">
        <f aca="false">DATE(YEAR(A3300),MONTH(A3300),1)</f>
        <v>46266</v>
      </c>
      <c r="G3300" s="24" t="str">
        <f aca="false">INDEX(Products!$C$2:$C$49,MATCH(C3300,Products!$A$2:$A$49,0))</f>
        <v>Personal Care</v>
      </c>
      <c r="H3300" s="33" t="n">
        <f aca="false">D3300*INDEX(Products!$E$2:$E$49,MATCH(C3300,Products!$A$2:$A$49,0))</f>
        <v>33320</v>
      </c>
      <c r="I3300" s="33" t="n">
        <f aca="false">D3300*INDEX(Products!$D$2:$D$49,MATCH(C3300,Products!$A$2:$A$49,0))*(1+INDEX(Assumptions!$B$16:$B$20,MATCH(B3300,Assumptions!$A$16:$A$20,0)))</f>
        <v>23576.28</v>
      </c>
      <c r="J3300" s="33" t="n">
        <f aca="false">H3300-I3300</f>
        <v>9743.72</v>
      </c>
      <c r="K3300" s="33" t="n">
        <f aca="false">IF(OR(E3300=0,E3300&gt;=7),0,D3300/(7-E3300)*E3300*INDEX(Products!$E$2:$E$49,MATCH(C3300,Products!$A$2:$A$49,0)))</f>
        <v>0</v>
      </c>
    </row>
    <row r="3301" customFormat="false" ht="15" hidden="false" customHeight="false" outlineLevel="0" collapsed="false">
      <c r="A3301" s="36" t="n">
        <v>46286</v>
      </c>
      <c r="B3301" s="24" t="s">
        <v>63</v>
      </c>
      <c r="C3301" s="24" t="s">
        <v>185</v>
      </c>
      <c r="D3301" s="33" t="n">
        <v>125</v>
      </c>
      <c r="E3301" s="24" t="n">
        <v>0</v>
      </c>
      <c r="F3301" s="37" t="n">
        <f aca="false">DATE(YEAR(A3301),MONTH(A3301),1)</f>
        <v>46266</v>
      </c>
      <c r="G3301" s="24" t="str">
        <f aca="false">INDEX(Products!$C$2:$C$49,MATCH(C3301,Products!$A$2:$A$49,0))</f>
        <v>Personal Care</v>
      </c>
      <c r="H3301" s="33" t="n">
        <f aca="false">D3301*INDEX(Products!$E$2:$E$49,MATCH(C3301,Products!$A$2:$A$49,0))</f>
        <v>35000</v>
      </c>
      <c r="I3301" s="33" t="n">
        <f aca="false">D3301*INDEX(Products!$D$2:$D$49,MATCH(C3301,Products!$A$2:$A$49,0))*(1+INDEX(Assumptions!$B$16:$B$20,MATCH(B3301,Assumptions!$A$16:$A$20,0)))</f>
        <v>24765</v>
      </c>
      <c r="J3301" s="33" t="n">
        <f aca="false">H3301-I3301</f>
        <v>10235</v>
      </c>
      <c r="K3301" s="33" t="n">
        <f aca="false">IF(OR(E3301=0,E3301&gt;=7),0,D3301/(7-E3301)*E3301*INDEX(Products!$E$2:$E$49,MATCH(C3301,Products!$A$2:$A$49,0)))</f>
        <v>0</v>
      </c>
    </row>
    <row r="3302" customFormat="false" ht="15" hidden="false" customHeight="false" outlineLevel="0" collapsed="false">
      <c r="A3302" s="36" t="n">
        <v>46118</v>
      </c>
      <c r="B3302" s="24" t="s">
        <v>63</v>
      </c>
      <c r="C3302" s="24" t="s">
        <v>187</v>
      </c>
      <c r="D3302" s="33" t="n">
        <v>25</v>
      </c>
      <c r="E3302" s="24" t="n">
        <v>0</v>
      </c>
      <c r="F3302" s="37" t="n">
        <f aca="false">DATE(YEAR(A3302),MONTH(A3302),1)</f>
        <v>46113</v>
      </c>
      <c r="G3302" s="24" t="str">
        <f aca="false">INDEX(Products!$C$2:$C$49,MATCH(C3302,Products!$A$2:$A$49,0))</f>
        <v>Personal Care</v>
      </c>
      <c r="H3302" s="33" t="n">
        <f aca="false">D3302*INDEX(Products!$E$2:$E$49,MATCH(C3302,Products!$A$2:$A$49,0))</f>
        <v>4000</v>
      </c>
      <c r="I3302" s="33" t="n">
        <f aca="false">D3302*INDEX(Products!$D$2:$D$49,MATCH(C3302,Products!$A$2:$A$49,0))*(1+INDEX(Assumptions!$B$16:$B$20,MATCH(B3302,Assumptions!$A$16:$A$20,0)))</f>
        <v>2895.6</v>
      </c>
      <c r="J3302" s="33" t="n">
        <f aca="false">H3302-I3302</f>
        <v>1104.4</v>
      </c>
      <c r="K3302" s="33" t="n">
        <f aca="false">IF(OR(E3302=0,E3302&gt;=7),0,D3302/(7-E3302)*E3302*INDEX(Products!$E$2:$E$49,MATCH(C3302,Products!$A$2:$A$49,0)))</f>
        <v>0</v>
      </c>
    </row>
    <row r="3303" customFormat="false" ht="15" hidden="false" customHeight="false" outlineLevel="0" collapsed="false">
      <c r="A3303" s="36" t="n">
        <v>46125</v>
      </c>
      <c r="B3303" s="24" t="s">
        <v>63</v>
      </c>
      <c r="C3303" s="24" t="s">
        <v>187</v>
      </c>
      <c r="D3303" s="33" t="n">
        <v>28</v>
      </c>
      <c r="E3303" s="24" t="n">
        <v>0</v>
      </c>
      <c r="F3303" s="37" t="n">
        <f aca="false">DATE(YEAR(A3303),MONTH(A3303),1)</f>
        <v>46113</v>
      </c>
      <c r="G3303" s="24" t="str">
        <f aca="false">INDEX(Products!$C$2:$C$49,MATCH(C3303,Products!$A$2:$A$49,0))</f>
        <v>Personal Care</v>
      </c>
      <c r="H3303" s="33" t="n">
        <f aca="false">D3303*INDEX(Products!$E$2:$E$49,MATCH(C3303,Products!$A$2:$A$49,0))</f>
        <v>4480</v>
      </c>
      <c r="I3303" s="33" t="n">
        <f aca="false">D3303*INDEX(Products!$D$2:$D$49,MATCH(C3303,Products!$A$2:$A$49,0))*(1+INDEX(Assumptions!$B$16:$B$20,MATCH(B3303,Assumptions!$A$16:$A$20,0)))</f>
        <v>3243.072</v>
      </c>
      <c r="J3303" s="33" t="n">
        <f aca="false">H3303-I3303</f>
        <v>1236.928</v>
      </c>
      <c r="K3303" s="33" t="n">
        <f aca="false">IF(OR(E3303=0,E3303&gt;=7),0,D3303/(7-E3303)*E3303*INDEX(Products!$E$2:$E$49,MATCH(C3303,Products!$A$2:$A$49,0)))</f>
        <v>0</v>
      </c>
    </row>
    <row r="3304" customFormat="false" ht="15" hidden="false" customHeight="false" outlineLevel="0" collapsed="false">
      <c r="A3304" s="36" t="n">
        <v>46132</v>
      </c>
      <c r="B3304" s="24" t="s">
        <v>63</v>
      </c>
      <c r="C3304" s="24" t="s">
        <v>187</v>
      </c>
      <c r="D3304" s="33" t="n">
        <v>80</v>
      </c>
      <c r="E3304" s="24" t="n">
        <v>0</v>
      </c>
      <c r="F3304" s="37" t="n">
        <f aca="false">DATE(YEAR(A3304),MONTH(A3304),1)</f>
        <v>46113</v>
      </c>
      <c r="G3304" s="24" t="str">
        <f aca="false">INDEX(Products!$C$2:$C$49,MATCH(C3304,Products!$A$2:$A$49,0))</f>
        <v>Personal Care</v>
      </c>
      <c r="H3304" s="33" t="n">
        <f aca="false">D3304*INDEX(Products!$E$2:$E$49,MATCH(C3304,Products!$A$2:$A$49,0))</f>
        <v>12800</v>
      </c>
      <c r="I3304" s="33" t="n">
        <f aca="false">D3304*INDEX(Products!$D$2:$D$49,MATCH(C3304,Products!$A$2:$A$49,0))*(1+INDEX(Assumptions!$B$16:$B$20,MATCH(B3304,Assumptions!$A$16:$A$20,0)))</f>
        <v>9265.92</v>
      </c>
      <c r="J3304" s="33" t="n">
        <f aca="false">H3304-I3304</f>
        <v>3534.08</v>
      </c>
      <c r="K3304" s="33" t="n">
        <f aca="false">IF(OR(E3304=0,E3304&gt;=7),0,D3304/(7-E3304)*E3304*INDEX(Products!$E$2:$E$49,MATCH(C3304,Products!$A$2:$A$49,0)))</f>
        <v>0</v>
      </c>
    </row>
    <row r="3305" customFormat="false" ht="15" hidden="false" customHeight="false" outlineLevel="0" collapsed="false">
      <c r="A3305" s="36" t="n">
        <v>46139</v>
      </c>
      <c r="B3305" s="24" t="s">
        <v>63</v>
      </c>
      <c r="C3305" s="24" t="s">
        <v>187</v>
      </c>
      <c r="D3305" s="33" t="n">
        <v>25</v>
      </c>
      <c r="E3305" s="24" t="n">
        <v>0</v>
      </c>
      <c r="F3305" s="37" t="n">
        <f aca="false">DATE(YEAR(A3305),MONTH(A3305),1)</f>
        <v>46113</v>
      </c>
      <c r="G3305" s="24" t="str">
        <f aca="false">INDEX(Products!$C$2:$C$49,MATCH(C3305,Products!$A$2:$A$49,0))</f>
        <v>Personal Care</v>
      </c>
      <c r="H3305" s="33" t="n">
        <f aca="false">D3305*INDEX(Products!$E$2:$E$49,MATCH(C3305,Products!$A$2:$A$49,0))</f>
        <v>4000</v>
      </c>
      <c r="I3305" s="33" t="n">
        <f aca="false">D3305*INDEX(Products!$D$2:$D$49,MATCH(C3305,Products!$A$2:$A$49,0))*(1+INDEX(Assumptions!$B$16:$B$20,MATCH(B3305,Assumptions!$A$16:$A$20,0)))</f>
        <v>2895.6</v>
      </c>
      <c r="J3305" s="33" t="n">
        <f aca="false">H3305-I3305</f>
        <v>1104.4</v>
      </c>
      <c r="K3305" s="33" t="n">
        <f aca="false">IF(OR(E3305=0,E3305&gt;=7),0,D3305/(7-E3305)*E3305*INDEX(Products!$E$2:$E$49,MATCH(C3305,Products!$A$2:$A$49,0)))</f>
        <v>0</v>
      </c>
    </row>
    <row r="3306" customFormat="false" ht="15" hidden="false" customHeight="false" outlineLevel="0" collapsed="false">
      <c r="A3306" s="36" t="n">
        <v>46146</v>
      </c>
      <c r="B3306" s="24" t="s">
        <v>63</v>
      </c>
      <c r="C3306" s="24" t="s">
        <v>187</v>
      </c>
      <c r="D3306" s="33" t="n">
        <v>62</v>
      </c>
      <c r="E3306" s="24" t="n">
        <v>0</v>
      </c>
      <c r="F3306" s="37" t="n">
        <f aca="false">DATE(YEAR(A3306),MONTH(A3306),1)</f>
        <v>46143</v>
      </c>
      <c r="G3306" s="24" t="str">
        <f aca="false">INDEX(Products!$C$2:$C$49,MATCH(C3306,Products!$A$2:$A$49,0))</f>
        <v>Personal Care</v>
      </c>
      <c r="H3306" s="33" t="n">
        <f aca="false">D3306*INDEX(Products!$E$2:$E$49,MATCH(C3306,Products!$A$2:$A$49,0))</f>
        <v>9920</v>
      </c>
      <c r="I3306" s="33" t="n">
        <f aca="false">D3306*INDEX(Products!$D$2:$D$49,MATCH(C3306,Products!$A$2:$A$49,0))*(1+INDEX(Assumptions!$B$16:$B$20,MATCH(B3306,Assumptions!$A$16:$A$20,0)))</f>
        <v>7181.088</v>
      </c>
      <c r="J3306" s="33" t="n">
        <f aca="false">H3306-I3306</f>
        <v>2738.912</v>
      </c>
      <c r="K3306" s="33" t="n">
        <f aca="false">IF(OR(E3306=0,E3306&gt;=7),0,D3306/(7-E3306)*E3306*INDEX(Products!$E$2:$E$49,MATCH(C3306,Products!$A$2:$A$49,0)))</f>
        <v>0</v>
      </c>
    </row>
    <row r="3307" customFormat="false" ht="15" hidden="false" customHeight="false" outlineLevel="0" collapsed="false">
      <c r="A3307" s="36" t="n">
        <v>46153</v>
      </c>
      <c r="B3307" s="24" t="s">
        <v>63</v>
      </c>
      <c r="C3307" s="24" t="s">
        <v>187</v>
      </c>
      <c r="D3307" s="33" t="n">
        <v>38</v>
      </c>
      <c r="E3307" s="24" t="n">
        <v>0</v>
      </c>
      <c r="F3307" s="37" t="n">
        <f aca="false">DATE(YEAR(A3307),MONTH(A3307),1)</f>
        <v>46143</v>
      </c>
      <c r="G3307" s="24" t="str">
        <f aca="false">INDEX(Products!$C$2:$C$49,MATCH(C3307,Products!$A$2:$A$49,0))</f>
        <v>Personal Care</v>
      </c>
      <c r="H3307" s="33" t="n">
        <f aca="false">D3307*INDEX(Products!$E$2:$E$49,MATCH(C3307,Products!$A$2:$A$49,0))</f>
        <v>6080</v>
      </c>
      <c r="I3307" s="33" t="n">
        <f aca="false">D3307*INDEX(Products!$D$2:$D$49,MATCH(C3307,Products!$A$2:$A$49,0))*(1+INDEX(Assumptions!$B$16:$B$20,MATCH(B3307,Assumptions!$A$16:$A$20,0)))</f>
        <v>4401.312</v>
      </c>
      <c r="J3307" s="33" t="n">
        <f aca="false">H3307-I3307</f>
        <v>1678.688</v>
      </c>
      <c r="K3307" s="33" t="n">
        <f aca="false">IF(OR(E3307=0,E3307&gt;=7),0,D3307/(7-E3307)*E3307*INDEX(Products!$E$2:$E$49,MATCH(C3307,Products!$A$2:$A$49,0)))</f>
        <v>0</v>
      </c>
    </row>
    <row r="3308" customFormat="false" ht="15" hidden="false" customHeight="false" outlineLevel="0" collapsed="false">
      <c r="A3308" s="36" t="n">
        <v>46160</v>
      </c>
      <c r="B3308" s="24" t="s">
        <v>63</v>
      </c>
      <c r="C3308" s="24" t="s">
        <v>187</v>
      </c>
      <c r="D3308" s="33" t="n">
        <v>37</v>
      </c>
      <c r="E3308" s="24" t="n">
        <v>0</v>
      </c>
      <c r="F3308" s="37" t="n">
        <f aca="false">DATE(YEAR(A3308),MONTH(A3308),1)</f>
        <v>46143</v>
      </c>
      <c r="G3308" s="24" t="str">
        <f aca="false">INDEX(Products!$C$2:$C$49,MATCH(C3308,Products!$A$2:$A$49,0))</f>
        <v>Personal Care</v>
      </c>
      <c r="H3308" s="33" t="n">
        <f aca="false">D3308*INDEX(Products!$E$2:$E$49,MATCH(C3308,Products!$A$2:$A$49,0))</f>
        <v>5920</v>
      </c>
      <c r="I3308" s="33" t="n">
        <f aca="false">D3308*INDEX(Products!$D$2:$D$49,MATCH(C3308,Products!$A$2:$A$49,0))*(1+INDEX(Assumptions!$B$16:$B$20,MATCH(B3308,Assumptions!$A$16:$A$20,0)))</f>
        <v>4285.488</v>
      </c>
      <c r="J3308" s="33" t="n">
        <f aca="false">H3308-I3308</f>
        <v>1634.512</v>
      </c>
      <c r="K3308" s="33" t="n">
        <f aca="false">IF(OR(E3308=0,E3308&gt;=7),0,D3308/(7-E3308)*E3308*INDEX(Products!$E$2:$E$49,MATCH(C3308,Products!$A$2:$A$49,0)))</f>
        <v>0</v>
      </c>
    </row>
    <row r="3309" customFormat="false" ht="15" hidden="false" customHeight="false" outlineLevel="0" collapsed="false">
      <c r="A3309" s="36" t="n">
        <v>46167</v>
      </c>
      <c r="B3309" s="24" t="s">
        <v>63</v>
      </c>
      <c r="C3309" s="24" t="s">
        <v>187</v>
      </c>
      <c r="D3309" s="33" t="n">
        <v>43</v>
      </c>
      <c r="E3309" s="24" t="n">
        <v>0</v>
      </c>
      <c r="F3309" s="37" t="n">
        <f aca="false">DATE(YEAR(A3309),MONTH(A3309),1)</f>
        <v>46143</v>
      </c>
      <c r="G3309" s="24" t="str">
        <f aca="false">INDEX(Products!$C$2:$C$49,MATCH(C3309,Products!$A$2:$A$49,0))</f>
        <v>Personal Care</v>
      </c>
      <c r="H3309" s="33" t="n">
        <f aca="false">D3309*INDEX(Products!$E$2:$E$49,MATCH(C3309,Products!$A$2:$A$49,0))</f>
        <v>6880</v>
      </c>
      <c r="I3309" s="33" t="n">
        <f aca="false">D3309*INDEX(Products!$D$2:$D$49,MATCH(C3309,Products!$A$2:$A$49,0))*(1+INDEX(Assumptions!$B$16:$B$20,MATCH(B3309,Assumptions!$A$16:$A$20,0)))</f>
        <v>4980.432</v>
      </c>
      <c r="J3309" s="33" t="n">
        <f aca="false">H3309-I3309</f>
        <v>1899.568</v>
      </c>
      <c r="K3309" s="33" t="n">
        <f aca="false">IF(OR(E3309=0,E3309&gt;=7),0,D3309/(7-E3309)*E3309*INDEX(Products!$E$2:$E$49,MATCH(C3309,Products!$A$2:$A$49,0)))</f>
        <v>0</v>
      </c>
    </row>
    <row r="3310" customFormat="false" ht="15" hidden="false" customHeight="false" outlineLevel="0" collapsed="false">
      <c r="A3310" s="36" t="n">
        <v>46174</v>
      </c>
      <c r="B3310" s="24" t="s">
        <v>63</v>
      </c>
      <c r="C3310" s="24" t="s">
        <v>187</v>
      </c>
      <c r="D3310" s="33" t="n">
        <v>35</v>
      </c>
      <c r="E3310" s="24" t="n">
        <v>0</v>
      </c>
      <c r="F3310" s="37" t="n">
        <f aca="false">DATE(YEAR(A3310),MONTH(A3310),1)</f>
        <v>46174</v>
      </c>
      <c r="G3310" s="24" t="str">
        <f aca="false">INDEX(Products!$C$2:$C$49,MATCH(C3310,Products!$A$2:$A$49,0))</f>
        <v>Personal Care</v>
      </c>
      <c r="H3310" s="33" t="n">
        <f aca="false">D3310*INDEX(Products!$E$2:$E$49,MATCH(C3310,Products!$A$2:$A$49,0))</f>
        <v>5600</v>
      </c>
      <c r="I3310" s="33" t="n">
        <f aca="false">D3310*INDEX(Products!$D$2:$D$49,MATCH(C3310,Products!$A$2:$A$49,0))*(1+INDEX(Assumptions!$B$16:$B$20,MATCH(B3310,Assumptions!$A$16:$A$20,0)))</f>
        <v>4053.84</v>
      </c>
      <c r="J3310" s="33" t="n">
        <f aca="false">H3310-I3310</f>
        <v>1546.16</v>
      </c>
      <c r="K3310" s="33" t="n">
        <f aca="false">IF(OR(E3310=0,E3310&gt;=7),0,D3310/(7-E3310)*E3310*INDEX(Products!$E$2:$E$49,MATCH(C3310,Products!$A$2:$A$49,0)))</f>
        <v>0</v>
      </c>
    </row>
    <row r="3311" customFormat="false" ht="15" hidden="false" customHeight="false" outlineLevel="0" collapsed="false">
      <c r="A3311" s="36" t="n">
        <v>46181</v>
      </c>
      <c r="B3311" s="24" t="s">
        <v>63</v>
      </c>
      <c r="C3311" s="24" t="s">
        <v>187</v>
      </c>
      <c r="D3311" s="33" t="n">
        <v>39</v>
      </c>
      <c r="E3311" s="24" t="n">
        <v>0</v>
      </c>
      <c r="F3311" s="37" t="n">
        <f aca="false">DATE(YEAR(A3311),MONTH(A3311),1)</f>
        <v>46174</v>
      </c>
      <c r="G3311" s="24" t="str">
        <f aca="false">INDEX(Products!$C$2:$C$49,MATCH(C3311,Products!$A$2:$A$49,0))</f>
        <v>Personal Care</v>
      </c>
      <c r="H3311" s="33" t="n">
        <f aca="false">D3311*INDEX(Products!$E$2:$E$49,MATCH(C3311,Products!$A$2:$A$49,0))</f>
        <v>6240</v>
      </c>
      <c r="I3311" s="33" t="n">
        <f aca="false">D3311*INDEX(Products!$D$2:$D$49,MATCH(C3311,Products!$A$2:$A$49,0))*(1+INDEX(Assumptions!$B$16:$B$20,MATCH(B3311,Assumptions!$A$16:$A$20,0)))</f>
        <v>4517.136</v>
      </c>
      <c r="J3311" s="33" t="n">
        <f aca="false">H3311-I3311</f>
        <v>1722.864</v>
      </c>
      <c r="K3311" s="33" t="n">
        <f aca="false">IF(OR(E3311=0,E3311&gt;=7),0,D3311/(7-E3311)*E3311*INDEX(Products!$E$2:$E$49,MATCH(C3311,Products!$A$2:$A$49,0)))</f>
        <v>0</v>
      </c>
    </row>
    <row r="3312" customFormat="false" ht="15" hidden="false" customHeight="false" outlineLevel="0" collapsed="false">
      <c r="A3312" s="36" t="n">
        <v>46188</v>
      </c>
      <c r="B3312" s="24" t="s">
        <v>63</v>
      </c>
      <c r="C3312" s="24" t="s">
        <v>187</v>
      </c>
      <c r="D3312" s="33" t="n">
        <v>21</v>
      </c>
      <c r="E3312" s="24" t="n">
        <v>3</v>
      </c>
      <c r="F3312" s="37" t="n">
        <f aca="false">DATE(YEAR(A3312),MONTH(A3312),1)</f>
        <v>46174</v>
      </c>
      <c r="G3312" s="24" t="str">
        <f aca="false">INDEX(Products!$C$2:$C$49,MATCH(C3312,Products!$A$2:$A$49,0))</f>
        <v>Personal Care</v>
      </c>
      <c r="H3312" s="33" t="n">
        <f aca="false">D3312*INDEX(Products!$E$2:$E$49,MATCH(C3312,Products!$A$2:$A$49,0))</f>
        <v>3360</v>
      </c>
      <c r="I3312" s="33" t="n">
        <f aca="false">D3312*INDEX(Products!$D$2:$D$49,MATCH(C3312,Products!$A$2:$A$49,0))*(1+INDEX(Assumptions!$B$16:$B$20,MATCH(B3312,Assumptions!$A$16:$A$20,0)))</f>
        <v>2432.304</v>
      </c>
      <c r="J3312" s="33" t="n">
        <f aca="false">H3312-I3312</f>
        <v>927.696</v>
      </c>
      <c r="K3312" s="33" t="n">
        <f aca="false">IF(OR(E3312=0,E3312&gt;=7),0,D3312/(7-E3312)*E3312*INDEX(Products!$E$2:$E$49,MATCH(C3312,Products!$A$2:$A$49,0)))</f>
        <v>2520</v>
      </c>
    </row>
    <row r="3313" customFormat="false" ht="15" hidden="false" customHeight="false" outlineLevel="0" collapsed="false">
      <c r="A3313" s="36" t="n">
        <v>46195</v>
      </c>
      <c r="B3313" s="24" t="s">
        <v>63</v>
      </c>
      <c r="C3313" s="24" t="s">
        <v>187</v>
      </c>
      <c r="D3313" s="33" t="n">
        <v>38</v>
      </c>
      <c r="E3313" s="24" t="n">
        <v>0</v>
      </c>
      <c r="F3313" s="37" t="n">
        <f aca="false">DATE(YEAR(A3313),MONTH(A3313),1)</f>
        <v>46174</v>
      </c>
      <c r="G3313" s="24" t="str">
        <f aca="false">INDEX(Products!$C$2:$C$49,MATCH(C3313,Products!$A$2:$A$49,0))</f>
        <v>Personal Care</v>
      </c>
      <c r="H3313" s="33" t="n">
        <f aca="false">D3313*INDEX(Products!$E$2:$E$49,MATCH(C3313,Products!$A$2:$A$49,0))</f>
        <v>6080</v>
      </c>
      <c r="I3313" s="33" t="n">
        <f aca="false">D3313*INDEX(Products!$D$2:$D$49,MATCH(C3313,Products!$A$2:$A$49,0))*(1+INDEX(Assumptions!$B$16:$B$20,MATCH(B3313,Assumptions!$A$16:$A$20,0)))</f>
        <v>4401.312</v>
      </c>
      <c r="J3313" s="33" t="n">
        <f aca="false">H3313-I3313</f>
        <v>1678.688</v>
      </c>
      <c r="K3313" s="33" t="n">
        <f aca="false">IF(OR(E3313=0,E3313&gt;=7),0,D3313/(7-E3313)*E3313*INDEX(Products!$E$2:$E$49,MATCH(C3313,Products!$A$2:$A$49,0)))</f>
        <v>0</v>
      </c>
    </row>
    <row r="3314" customFormat="false" ht="15" hidden="false" customHeight="false" outlineLevel="0" collapsed="false">
      <c r="A3314" s="36" t="n">
        <v>46202</v>
      </c>
      <c r="B3314" s="24" t="s">
        <v>63</v>
      </c>
      <c r="C3314" s="24" t="s">
        <v>187</v>
      </c>
      <c r="D3314" s="33" t="n">
        <v>24</v>
      </c>
      <c r="E3314" s="24" t="n">
        <v>3</v>
      </c>
      <c r="F3314" s="37" t="n">
        <f aca="false">DATE(YEAR(A3314),MONTH(A3314),1)</f>
        <v>46174</v>
      </c>
      <c r="G3314" s="24" t="str">
        <f aca="false">INDEX(Products!$C$2:$C$49,MATCH(C3314,Products!$A$2:$A$49,0))</f>
        <v>Personal Care</v>
      </c>
      <c r="H3314" s="33" t="n">
        <f aca="false">D3314*INDEX(Products!$E$2:$E$49,MATCH(C3314,Products!$A$2:$A$49,0))</f>
        <v>3840</v>
      </c>
      <c r="I3314" s="33" t="n">
        <f aca="false">D3314*INDEX(Products!$D$2:$D$49,MATCH(C3314,Products!$A$2:$A$49,0))*(1+INDEX(Assumptions!$B$16:$B$20,MATCH(B3314,Assumptions!$A$16:$A$20,0)))</f>
        <v>2779.776</v>
      </c>
      <c r="J3314" s="33" t="n">
        <f aca="false">H3314-I3314</f>
        <v>1060.224</v>
      </c>
      <c r="K3314" s="33" t="n">
        <f aca="false">IF(OR(E3314=0,E3314&gt;=7),0,D3314/(7-E3314)*E3314*INDEX(Products!$E$2:$E$49,MATCH(C3314,Products!$A$2:$A$49,0)))</f>
        <v>2880</v>
      </c>
    </row>
    <row r="3315" customFormat="false" ht="15" hidden="false" customHeight="false" outlineLevel="0" collapsed="false">
      <c r="A3315" s="36" t="n">
        <v>46209</v>
      </c>
      <c r="B3315" s="24" t="s">
        <v>63</v>
      </c>
      <c r="C3315" s="24" t="s">
        <v>187</v>
      </c>
      <c r="D3315" s="33" t="n">
        <v>35</v>
      </c>
      <c r="E3315" s="24" t="n">
        <v>0</v>
      </c>
      <c r="F3315" s="37" t="n">
        <f aca="false">DATE(YEAR(A3315),MONTH(A3315),1)</f>
        <v>46204</v>
      </c>
      <c r="G3315" s="24" t="str">
        <f aca="false">INDEX(Products!$C$2:$C$49,MATCH(C3315,Products!$A$2:$A$49,0))</f>
        <v>Personal Care</v>
      </c>
      <c r="H3315" s="33" t="n">
        <f aca="false">D3315*INDEX(Products!$E$2:$E$49,MATCH(C3315,Products!$A$2:$A$49,0))</f>
        <v>5600</v>
      </c>
      <c r="I3315" s="33" t="n">
        <f aca="false">D3315*INDEX(Products!$D$2:$D$49,MATCH(C3315,Products!$A$2:$A$49,0))*(1+INDEX(Assumptions!$B$16:$B$20,MATCH(B3315,Assumptions!$A$16:$A$20,0)))</f>
        <v>4053.84</v>
      </c>
      <c r="J3315" s="33" t="n">
        <f aca="false">H3315-I3315</f>
        <v>1546.16</v>
      </c>
      <c r="K3315" s="33" t="n">
        <f aca="false">IF(OR(E3315=0,E3315&gt;=7),0,D3315/(7-E3315)*E3315*INDEX(Products!$E$2:$E$49,MATCH(C3315,Products!$A$2:$A$49,0)))</f>
        <v>0</v>
      </c>
    </row>
    <row r="3316" customFormat="false" ht="15" hidden="false" customHeight="false" outlineLevel="0" collapsed="false">
      <c r="A3316" s="36" t="n">
        <v>46216</v>
      </c>
      <c r="B3316" s="24" t="s">
        <v>63</v>
      </c>
      <c r="C3316" s="24" t="s">
        <v>187</v>
      </c>
      <c r="D3316" s="33" t="n">
        <v>31</v>
      </c>
      <c r="E3316" s="24" t="n">
        <v>0</v>
      </c>
      <c r="F3316" s="37" t="n">
        <f aca="false">DATE(YEAR(A3316),MONTH(A3316),1)</f>
        <v>46204</v>
      </c>
      <c r="G3316" s="24" t="str">
        <f aca="false">INDEX(Products!$C$2:$C$49,MATCH(C3316,Products!$A$2:$A$49,0))</f>
        <v>Personal Care</v>
      </c>
      <c r="H3316" s="33" t="n">
        <f aca="false">D3316*INDEX(Products!$E$2:$E$49,MATCH(C3316,Products!$A$2:$A$49,0))</f>
        <v>4960</v>
      </c>
      <c r="I3316" s="33" t="n">
        <f aca="false">D3316*INDEX(Products!$D$2:$D$49,MATCH(C3316,Products!$A$2:$A$49,0))*(1+INDEX(Assumptions!$B$16:$B$20,MATCH(B3316,Assumptions!$A$16:$A$20,0)))</f>
        <v>3590.544</v>
      </c>
      <c r="J3316" s="33" t="n">
        <f aca="false">H3316-I3316</f>
        <v>1369.456</v>
      </c>
      <c r="K3316" s="33" t="n">
        <f aca="false">IF(OR(E3316=0,E3316&gt;=7),0,D3316/(7-E3316)*E3316*INDEX(Products!$E$2:$E$49,MATCH(C3316,Products!$A$2:$A$49,0)))</f>
        <v>0</v>
      </c>
    </row>
    <row r="3317" customFormat="false" ht="15" hidden="false" customHeight="false" outlineLevel="0" collapsed="false">
      <c r="A3317" s="36" t="n">
        <v>46223</v>
      </c>
      <c r="B3317" s="24" t="s">
        <v>63</v>
      </c>
      <c r="C3317" s="24" t="s">
        <v>187</v>
      </c>
      <c r="D3317" s="33" t="n">
        <v>43</v>
      </c>
      <c r="E3317" s="24" t="n">
        <v>0</v>
      </c>
      <c r="F3317" s="37" t="n">
        <f aca="false">DATE(YEAR(A3317),MONTH(A3317),1)</f>
        <v>46204</v>
      </c>
      <c r="G3317" s="24" t="str">
        <f aca="false">INDEX(Products!$C$2:$C$49,MATCH(C3317,Products!$A$2:$A$49,0))</f>
        <v>Personal Care</v>
      </c>
      <c r="H3317" s="33" t="n">
        <f aca="false">D3317*INDEX(Products!$E$2:$E$49,MATCH(C3317,Products!$A$2:$A$49,0))</f>
        <v>6880</v>
      </c>
      <c r="I3317" s="33" t="n">
        <f aca="false">D3317*INDEX(Products!$D$2:$D$49,MATCH(C3317,Products!$A$2:$A$49,0))*(1+INDEX(Assumptions!$B$16:$B$20,MATCH(B3317,Assumptions!$A$16:$A$20,0)))</f>
        <v>4980.432</v>
      </c>
      <c r="J3317" s="33" t="n">
        <f aca="false">H3317-I3317</f>
        <v>1899.568</v>
      </c>
      <c r="K3317" s="33" t="n">
        <f aca="false">IF(OR(E3317=0,E3317&gt;=7),0,D3317/(7-E3317)*E3317*INDEX(Products!$E$2:$E$49,MATCH(C3317,Products!$A$2:$A$49,0)))</f>
        <v>0</v>
      </c>
    </row>
    <row r="3318" customFormat="false" ht="15" hidden="false" customHeight="false" outlineLevel="0" collapsed="false">
      <c r="A3318" s="36" t="n">
        <v>46230</v>
      </c>
      <c r="B3318" s="24" t="s">
        <v>63</v>
      </c>
      <c r="C3318" s="24" t="s">
        <v>187</v>
      </c>
      <c r="D3318" s="33" t="n">
        <v>41</v>
      </c>
      <c r="E3318" s="24" t="n">
        <v>0</v>
      </c>
      <c r="F3318" s="37" t="n">
        <f aca="false">DATE(YEAR(A3318),MONTH(A3318),1)</f>
        <v>46204</v>
      </c>
      <c r="G3318" s="24" t="str">
        <f aca="false">INDEX(Products!$C$2:$C$49,MATCH(C3318,Products!$A$2:$A$49,0))</f>
        <v>Personal Care</v>
      </c>
      <c r="H3318" s="33" t="n">
        <f aca="false">D3318*INDEX(Products!$E$2:$E$49,MATCH(C3318,Products!$A$2:$A$49,0))</f>
        <v>6560</v>
      </c>
      <c r="I3318" s="33" t="n">
        <f aca="false">D3318*INDEX(Products!$D$2:$D$49,MATCH(C3318,Products!$A$2:$A$49,0))*(1+INDEX(Assumptions!$B$16:$B$20,MATCH(B3318,Assumptions!$A$16:$A$20,0)))</f>
        <v>4748.784</v>
      </c>
      <c r="J3318" s="33" t="n">
        <f aca="false">H3318-I3318</f>
        <v>1811.216</v>
      </c>
      <c r="K3318" s="33" t="n">
        <f aca="false">IF(OR(E3318=0,E3318&gt;=7),0,D3318/(7-E3318)*E3318*INDEX(Products!$E$2:$E$49,MATCH(C3318,Products!$A$2:$A$49,0)))</f>
        <v>0</v>
      </c>
    </row>
    <row r="3319" customFormat="false" ht="15" hidden="false" customHeight="false" outlineLevel="0" collapsed="false">
      <c r="A3319" s="36" t="n">
        <v>46237</v>
      </c>
      <c r="B3319" s="24" t="s">
        <v>63</v>
      </c>
      <c r="C3319" s="24" t="s">
        <v>187</v>
      </c>
      <c r="D3319" s="33" t="n">
        <v>41</v>
      </c>
      <c r="E3319" s="24" t="n">
        <v>0</v>
      </c>
      <c r="F3319" s="37" t="n">
        <f aca="false">DATE(YEAR(A3319),MONTH(A3319),1)</f>
        <v>46235</v>
      </c>
      <c r="G3319" s="24" t="str">
        <f aca="false">INDEX(Products!$C$2:$C$49,MATCH(C3319,Products!$A$2:$A$49,0))</f>
        <v>Personal Care</v>
      </c>
      <c r="H3319" s="33" t="n">
        <f aca="false">D3319*INDEX(Products!$E$2:$E$49,MATCH(C3319,Products!$A$2:$A$49,0))</f>
        <v>6560</v>
      </c>
      <c r="I3319" s="33" t="n">
        <f aca="false">D3319*INDEX(Products!$D$2:$D$49,MATCH(C3319,Products!$A$2:$A$49,0))*(1+INDEX(Assumptions!$B$16:$B$20,MATCH(B3319,Assumptions!$A$16:$A$20,0)))</f>
        <v>4748.784</v>
      </c>
      <c r="J3319" s="33" t="n">
        <f aca="false">H3319-I3319</f>
        <v>1811.216</v>
      </c>
      <c r="K3319" s="33" t="n">
        <f aca="false">IF(OR(E3319=0,E3319&gt;=7),0,D3319/(7-E3319)*E3319*INDEX(Products!$E$2:$E$49,MATCH(C3319,Products!$A$2:$A$49,0)))</f>
        <v>0</v>
      </c>
    </row>
    <row r="3320" customFormat="false" ht="15" hidden="false" customHeight="false" outlineLevel="0" collapsed="false">
      <c r="A3320" s="36" t="n">
        <v>46244</v>
      </c>
      <c r="B3320" s="24" t="s">
        <v>63</v>
      </c>
      <c r="C3320" s="24" t="s">
        <v>187</v>
      </c>
      <c r="D3320" s="33" t="n">
        <v>26</v>
      </c>
      <c r="E3320" s="24" t="n">
        <v>0</v>
      </c>
      <c r="F3320" s="37" t="n">
        <f aca="false">DATE(YEAR(A3320),MONTH(A3320),1)</f>
        <v>46235</v>
      </c>
      <c r="G3320" s="24" t="str">
        <f aca="false">INDEX(Products!$C$2:$C$49,MATCH(C3320,Products!$A$2:$A$49,0))</f>
        <v>Personal Care</v>
      </c>
      <c r="H3320" s="33" t="n">
        <f aca="false">D3320*INDEX(Products!$E$2:$E$49,MATCH(C3320,Products!$A$2:$A$49,0))</f>
        <v>4160</v>
      </c>
      <c r="I3320" s="33" t="n">
        <f aca="false">D3320*INDEX(Products!$D$2:$D$49,MATCH(C3320,Products!$A$2:$A$49,0))*(1+INDEX(Assumptions!$B$16:$B$20,MATCH(B3320,Assumptions!$A$16:$A$20,0)))</f>
        <v>3011.424</v>
      </c>
      <c r="J3320" s="33" t="n">
        <f aca="false">H3320-I3320</f>
        <v>1148.576</v>
      </c>
      <c r="K3320" s="33" t="n">
        <f aca="false">IF(OR(E3320=0,E3320&gt;=7),0,D3320/(7-E3320)*E3320*INDEX(Products!$E$2:$E$49,MATCH(C3320,Products!$A$2:$A$49,0)))</f>
        <v>0</v>
      </c>
    </row>
    <row r="3321" customFormat="false" ht="15" hidden="false" customHeight="false" outlineLevel="0" collapsed="false">
      <c r="A3321" s="36" t="n">
        <v>46251</v>
      </c>
      <c r="B3321" s="24" t="s">
        <v>63</v>
      </c>
      <c r="C3321" s="24" t="s">
        <v>187</v>
      </c>
      <c r="D3321" s="33" t="n">
        <v>42</v>
      </c>
      <c r="E3321" s="24" t="n">
        <v>0</v>
      </c>
      <c r="F3321" s="37" t="n">
        <f aca="false">DATE(YEAR(A3321),MONTH(A3321),1)</f>
        <v>46235</v>
      </c>
      <c r="G3321" s="24" t="str">
        <f aca="false">INDEX(Products!$C$2:$C$49,MATCH(C3321,Products!$A$2:$A$49,0))</f>
        <v>Personal Care</v>
      </c>
      <c r="H3321" s="33" t="n">
        <f aca="false">D3321*INDEX(Products!$E$2:$E$49,MATCH(C3321,Products!$A$2:$A$49,0))</f>
        <v>6720</v>
      </c>
      <c r="I3321" s="33" t="n">
        <f aca="false">D3321*INDEX(Products!$D$2:$D$49,MATCH(C3321,Products!$A$2:$A$49,0))*(1+INDEX(Assumptions!$B$16:$B$20,MATCH(B3321,Assumptions!$A$16:$A$20,0)))</f>
        <v>4864.608</v>
      </c>
      <c r="J3321" s="33" t="n">
        <f aca="false">H3321-I3321</f>
        <v>1855.392</v>
      </c>
      <c r="K3321" s="33" t="n">
        <f aca="false">IF(OR(E3321=0,E3321&gt;=7),0,D3321/(7-E3321)*E3321*INDEX(Products!$E$2:$E$49,MATCH(C3321,Products!$A$2:$A$49,0)))</f>
        <v>0</v>
      </c>
    </row>
    <row r="3322" customFormat="false" ht="15" hidden="false" customHeight="false" outlineLevel="0" collapsed="false">
      <c r="A3322" s="36" t="n">
        <v>46258</v>
      </c>
      <c r="B3322" s="24" t="s">
        <v>63</v>
      </c>
      <c r="C3322" s="24" t="s">
        <v>187</v>
      </c>
      <c r="D3322" s="33" t="n">
        <v>27</v>
      </c>
      <c r="E3322" s="24" t="n">
        <v>1</v>
      </c>
      <c r="F3322" s="37" t="n">
        <f aca="false">DATE(YEAR(A3322),MONTH(A3322),1)</f>
        <v>46235</v>
      </c>
      <c r="G3322" s="24" t="str">
        <f aca="false">INDEX(Products!$C$2:$C$49,MATCH(C3322,Products!$A$2:$A$49,0))</f>
        <v>Personal Care</v>
      </c>
      <c r="H3322" s="33" t="n">
        <f aca="false">D3322*INDEX(Products!$E$2:$E$49,MATCH(C3322,Products!$A$2:$A$49,0))</f>
        <v>4320</v>
      </c>
      <c r="I3322" s="33" t="n">
        <f aca="false">D3322*INDEX(Products!$D$2:$D$49,MATCH(C3322,Products!$A$2:$A$49,0))*(1+INDEX(Assumptions!$B$16:$B$20,MATCH(B3322,Assumptions!$A$16:$A$20,0)))</f>
        <v>3127.248</v>
      </c>
      <c r="J3322" s="33" t="n">
        <f aca="false">H3322-I3322</f>
        <v>1192.752</v>
      </c>
      <c r="K3322" s="33" t="n">
        <f aca="false">IF(OR(E3322=0,E3322&gt;=7),0,D3322/(7-E3322)*E3322*INDEX(Products!$E$2:$E$49,MATCH(C3322,Products!$A$2:$A$49,0)))</f>
        <v>720</v>
      </c>
    </row>
    <row r="3323" customFormat="false" ht="15" hidden="false" customHeight="false" outlineLevel="0" collapsed="false">
      <c r="A3323" s="36" t="n">
        <v>46265</v>
      </c>
      <c r="B3323" s="24" t="s">
        <v>63</v>
      </c>
      <c r="C3323" s="24" t="s">
        <v>187</v>
      </c>
      <c r="D3323" s="33" t="n">
        <v>30</v>
      </c>
      <c r="E3323" s="24" t="n">
        <v>0</v>
      </c>
      <c r="F3323" s="37" t="n">
        <f aca="false">DATE(YEAR(A3323),MONTH(A3323),1)</f>
        <v>46235</v>
      </c>
      <c r="G3323" s="24" t="str">
        <f aca="false">INDEX(Products!$C$2:$C$49,MATCH(C3323,Products!$A$2:$A$49,0))</f>
        <v>Personal Care</v>
      </c>
      <c r="H3323" s="33" t="n">
        <f aca="false">D3323*INDEX(Products!$E$2:$E$49,MATCH(C3323,Products!$A$2:$A$49,0))</f>
        <v>4800</v>
      </c>
      <c r="I3323" s="33" t="n">
        <f aca="false">D3323*INDEX(Products!$D$2:$D$49,MATCH(C3323,Products!$A$2:$A$49,0))*(1+INDEX(Assumptions!$B$16:$B$20,MATCH(B3323,Assumptions!$A$16:$A$20,0)))</f>
        <v>3474.72</v>
      </c>
      <c r="J3323" s="33" t="n">
        <f aca="false">H3323-I3323</f>
        <v>1325.28</v>
      </c>
      <c r="K3323" s="33" t="n">
        <f aca="false">IF(OR(E3323=0,E3323&gt;=7),0,D3323/(7-E3323)*E3323*INDEX(Products!$E$2:$E$49,MATCH(C3323,Products!$A$2:$A$49,0)))</f>
        <v>0</v>
      </c>
    </row>
    <row r="3324" customFormat="false" ht="15" hidden="false" customHeight="false" outlineLevel="0" collapsed="false">
      <c r="A3324" s="36" t="n">
        <v>46272</v>
      </c>
      <c r="B3324" s="24" t="s">
        <v>63</v>
      </c>
      <c r="C3324" s="24" t="s">
        <v>187</v>
      </c>
      <c r="D3324" s="33" t="n">
        <v>35</v>
      </c>
      <c r="E3324" s="24" t="n">
        <v>0</v>
      </c>
      <c r="F3324" s="37" t="n">
        <f aca="false">DATE(YEAR(A3324),MONTH(A3324),1)</f>
        <v>46266</v>
      </c>
      <c r="G3324" s="24" t="str">
        <f aca="false">INDEX(Products!$C$2:$C$49,MATCH(C3324,Products!$A$2:$A$49,0))</f>
        <v>Personal Care</v>
      </c>
      <c r="H3324" s="33" t="n">
        <f aca="false">D3324*INDEX(Products!$E$2:$E$49,MATCH(C3324,Products!$A$2:$A$49,0))</f>
        <v>5600</v>
      </c>
      <c r="I3324" s="33" t="n">
        <f aca="false">D3324*INDEX(Products!$D$2:$D$49,MATCH(C3324,Products!$A$2:$A$49,0))*(1+INDEX(Assumptions!$B$16:$B$20,MATCH(B3324,Assumptions!$A$16:$A$20,0)))</f>
        <v>4053.84</v>
      </c>
      <c r="J3324" s="33" t="n">
        <f aca="false">H3324-I3324</f>
        <v>1546.16</v>
      </c>
      <c r="K3324" s="33" t="n">
        <f aca="false">IF(OR(E3324=0,E3324&gt;=7),0,D3324/(7-E3324)*E3324*INDEX(Products!$E$2:$E$49,MATCH(C3324,Products!$A$2:$A$49,0)))</f>
        <v>0</v>
      </c>
    </row>
    <row r="3325" customFormat="false" ht="15" hidden="false" customHeight="false" outlineLevel="0" collapsed="false">
      <c r="A3325" s="36" t="n">
        <v>46279</v>
      </c>
      <c r="B3325" s="24" t="s">
        <v>63</v>
      </c>
      <c r="C3325" s="24" t="s">
        <v>187</v>
      </c>
      <c r="D3325" s="33" t="n">
        <v>25</v>
      </c>
      <c r="E3325" s="24" t="n">
        <v>0</v>
      </c>
      <c r="F3325" s="37" t="n">
        <f aca="false">DATE(YEAR(A3325),MONTH(A3325),1)</f>
        <v>46266</v>
      </c>
      <c r="G3325" s="24" t="str">
        <f aca="false">INDEX(Products!$C$2:$C$49,MATCH(C3325,Products!$A$2:$A$49,0))</f>
        <v>Personal Care</v>
      </c>
      <c r="H3325" s="33" t="n">
        <f aca="false">D3325*INDEX(Products!$E$2:$E$49,MATCH(C3325,Products!$A$2:$A$49,0))</f>
        <v>4000</v>
      </c>
      <c r="I3325" s="33" t="n">
        <f aca="false">D3325*INDEX(Products!$D$2:$D$49,MATCH(C3325,Products!$A$2:$A$49,0))*(1+INDEX(Assumptions!$B$16:$B$20,MATCH(B3325,Assumptions!$A$16:$A$20,0)))</f>
        <v>2895.6</v>
      </c>
      <c r="J3325" s="33" t="n">
        <f aca="false">H3325-I3325</f>
        <v>1104.4</v>
      </c>
      <c r="K3325" s="33" t="n">
        <f aca="false">IF(OR(E3325=0,E3325&gt;=7),0,D3325/(7-E3325)*E3325*INDEX(Products!$E$2:$E$49,MATCH(C3325,Products!$A$2:$A$49,0)))</f>
        <v>0</v>
      </c>
    </row>
    <row r="3326" customFormat="false" ht="15" hidden="false" customHeight="false" outlineLevel="0" collapsed="false">
      <c r="A3326" s="36" t="n">
        <v>46286</v>
      </c>
      <c r="B3326" s="24" t="s">
        <v>63</v>
      </c>
      <c r="C3326" s="24" t="s">
        <v>187</v>
      </c>
      <c r="D3326" s="33" t="n">
        <v>37</v>
      </c>
      <c r="E3326" s="24" t="n">
        <v>0</v>
      </c>
      <c r="F3326" s="37" t="n">
        <f aca="false">DATE(YEAR(A3326),MONTH(A3326),1)</f>
        <v>46266</v>
      </c>
      <c r="G3326" s="24" t="str">
        <f aca="false">INDEX(Products!$C$2:$C$49,MATCH(C3326,Products!$A$2:$A$49,0))</f>
        <v>Personal Care</v>
      </c>
      <c r="H3326" s="33" t="n">
        <f aca="false">D3326*INDEX(Products!$E$2:$E$49,MATCH(C3326,Products!$A$2:$A$49,0))</f>
        <v>5920</v>
      </c>
      <c r="I3326" s="33" t="n">
        <f aca="false">D3326*INDEX(Products!$D$2:$D$49,MATCH(C3326,Products!$A$2:$A$49,0))*(1+INDEX(Assumptions!$B$16:$B$20,MATCH(B3326,Assumptions!$A$16:$A$20,0)))</f>
        <v>4285.488</v>
      </c>
      <c r="J3326" s="33" t="n">
        <f aca="false">H3326-I3326</f>
        <v>1634.512</v>
      </c>
      <c r="K3326" s="33" t="n">
        <f aca="false">IF(OR(E3326=0,E3326&gt;=7),0,D3326/(7-E3326)*E3326*INDEX(Products!$E$2:$E$49,MATCH(C3326,Products!$A$2:$A$49,0)))</f>
        <v>0</v>
      </c>
    </row>
    <row r="3327" customFormat="false" ht="15" hidden="false" customHeight="false" outlineLevel="0" collapsed="false">
      <c r="A3327" s="36" t="n">
        <v>46118</v>
      </c>
      <c r="B3327" s="24" t="s">
        <v>63</v>
      </c>
      <c r="C3327" s="24" t="s">
        <v>189</v>
      </c>
      <c r="D3327" s="33" t="n">
        <v>29</v>
      </c>
      <c r="E3327" s="24" t="n">
        <v>0</v>
      </c>
      <c r="F3327" s="37" t="n">
        <f aca="false">DATE(YEAR(A3327),MONTH(A3327),1)</f>
        <v>46113</v>
      </c>
      <c r="G3327" s="24" t="str">
        <f aca="false">INDEX(Products!$C$2:$C$49,MATCH(C3327,Products!$A$2:$A$49,0))</f>
        <v>Personal Care</v>
      </c>
      <c r="H3327" s="33" t="n">
        <f aca="false">D3327*INDEX(Products!$E$2:$E$49,MATCH(C3327,Products!$A$2:$A$49,0))</f>
        <v>10440</v>
      </c>
      <c r="I3327" s="33" t="n">
        <f aca="false">D3327*INDEX(Products!$D$2:$D$49,MATCH(C3327,Products!$A$2:$A$49,0))*(1+INDEX(Assumptions!$B$16:$B$20,MATCH(B3327,Assumptions!$A$16:$A$20,0)))</f>
        <v>6865.112</v>
      </c>
      <c r="J3327" s="33" t="n">
        <f aca="false">H3327-I3327</f>
        <v>3574.888</v>
      </c>
      <c r="K3327" s="33" t="n">
        <f aca="false">IF(OR(E3327=0,E3327&gt;=7),0,D3327/(7-E3327)*E3327*INDEX(Products!$E$2:$E$49,MATCH(C3327,Products!$A$2:$A$49,0)))</f>
        <v>0</v>
      </c>
    </row>
    <row r="3328" customFormat="false" ht="15" hidden="false" customHeight="false" outlineLevel="0" collapsed="false">
      <c r="A3328" s="36" t="n">
        <v>46125</v>
      </c>
      <c r="B3328" s="24" t="s">
        <v>63</v>
      </c>
      <c r="C3328" s="24" t="s">
        <v>189</v>
      </c>
      <c r="D3328" s="33" t="n">
        <v>15</v>
      </c>
      <c r="E3328" s="24" t="n">
        <v>3</v>
      </c>
      <c r="F3328" s="37" t="n">
        <f aca="false">DATE(YEAR(A3328),MONTH(A3328),1)</f>
        <v>46113</v>
      </c>
      <c r="G3328" s="24" t="str">
        <f aca="false">INDEX(Products!$C$2:$C$49,MATCH(C3328,Products!$A$2:$A$49,0))</f>
        <v>Personal Care</v>
      </c>
      <c r="H3328" s="33" t="n">
        <f aca="false">D3328*INDEX(Products!$E$2:$E$49,MATCH(C3328,Products!$A$2:$A$49,0))</f>
        <v>5400</v>
      </c>
      <c r="I3328" s="33" t="n">
        <f aca="false">D3328*INDEX(Products!$D$2:$D$49,MATCH(C3328,Products!$A$2:$A$49,0))*(1+INDEX(Assumptions!$B$16:$B$20,MATCH(B3328,Assumptions!$A$16:$A$20,0)))</f>
        <v>3550.92</v>
      </c>
      <c r="J3328" s="33" t="n">
        <f aca="false">H3328-I3328</f>
        <v>1849.08</v>
      </c>
      <c r="K3328" s="33" t="n">
        <f aca="false">IF(OR(E3328=0,E3328&gt;=7),0,D3328/(7-E3328)*E3328*INDEX(Products!$E$2:$E$49,MATCH(C3328,Products!$A$2:$A$49,0)))</f>
        <v>4050</v>
      </c>
    </row>
    <row r="3329" customFormat="false" ht="15" hidden="false" customHeight="false" outlineLevel="0" collapsed="false">
      <c r="A3329" s="36" t="n">
        <v>46132</v>
      </c>
      <c r="B3329" s="24" t="s">
        <v>63</v>
      </c>
      <c r="C3329" s="24" t="s">
        <v>189</v>
      </c>
      <c r="D3329" s="33" t="n">
        <v>29</v>
      </c>
      <c r="E3329" s="24" t="n">
        <v>0</v>
      </c>
      <c r="F3329" s="37" t="n">
        <f aca="false">DATE(YEAR(A3329),MONTH(A3329),1)</f>
        <v>46113</v>
      </c>
      <c r="G3329" s="24" t="str">
        <f aca="false">INDEX(Products!$C$2:$C$49,MATCH(C3329,Products!$A$2:$A$49,0))</f>
        <v>Personal Care</v>
      </c>
      <c r="H3329" s="33" t="n">
        <f aca="false">D3329*INDEX(Products!$E$2:$E$49,MATCH(C3329,Products!$A$2:$A$49,0))</f>
        <v>10440</v>
      </c>
      <c r="I3329" s="33" t="n">
        <f aca="false">D3329*INDEX(Products!$D$2:$D$49,MATCH(C3329,Products!$A$2:$A$49,0))*(1+INDEX(Assumptions!$B$16:$B$20,MATCH(B3329,Assumptions!$A$16:$A$20,0)))</f>
        <v>6865.112</v>
      </c>
      <c r="J3329" s="33" t="n">
        <f aca="false">H3329-I3329</f>
        <v>3574.888</v>
      </c>
      <c r="K3329" s="33" t="n">
        <f aca="false">IF(OR(E3329=0,E3329&gt;=7),0,D3329/(7-E3329)*E3329*INDEX(Products!$E$2:$E$49,MATCH(C3329,Products!$A$2:$A$49,0)))</f>
        <v>0</v>
      </c>
    </row>
    <row r="3330" customFormat="false" ht="15" hidden="false" customHeight="false" outlineLevel="0" collapsed="false">
      <c r="A3330" s="36" t="n">
        <v>46139</v>
      </c>
      <c r="B3330" s="24" t="s">
        <v>63</v>
      </c>
      <c r="C3330" s="24" t="s">
        <v>189</v>
      </c>
      <c r="D3330" s="33" t="n">
        <v>36</v>
      </c>
      <c r="E3330" s="24" t="n">
        <v>0</v>
      </c>
      <c r="F3330" s="37" t="n">
        <f aca="false">DATE(YEAR(A3330),MONTH(A3330),1)</f>
        <v>46113</v>
      </c>
      <c r="G3330" s="24" t="str">
        <f aca="false">INDEX(Products!$C$2:$C$49,MATCH(C3330,Products!$A$2:$A$49,0))</f>
        <v>Personal Care</v>
      </c>
      <c r="H3330" s="33" t="n">
        <f aca="false">D3330*INDEX(Products!$E$2:$E$49,MATCH(C3330,Products!$A$2:$A$49,0))</f>
        <v>12960</v>
      </c>
      <c r="I3330" s="33" t="n">
        <f aca="false">D3330*INDEX(Products!$D$2:$D$49,MATCH(C3330,Products!$A$2:$A$49,0))*(1+INDEX(Assumptions!$B$16:$B$20,MATCH(B3330,Assumptions!$A$16:$A$20,0)))</f>
        <v>8522.208</v>
      </c>
      <c r="J3330" s="33" t="n">
        <f aca="false">H3330-I3330</f>
        <v>4437.792</v>
      </c>
      <c r="K3330" s="33" t="n">
        <f aca="false">IF(OR(E3330=0,E3330&gt;=7),0,D3330/(7-E3330)*E3330*INDEX(Products!$E$2:$E$49,MATCH(C3330,Products!$A$2:$A$49,0)))</f>
        <v>0</v>
      </c>
    </row>
    <row r="3331" customFormat="false" ht="15" hidden="false" customHeight="false" outlineLevel="0" collapsed="false">
      <c r="A3331" s="36" t="n">
        <v>46146</v>
      </c>
      <c r="B3331" s="24" t="s">
        <v>63</v>
      </c>
      <c r="C3331" s="24" t="s">
        <v>189</v>
      </c>
      <c r="D3331" s="33" t="n">
        <v>30</v>
      </c>
      <c r="E3331" s="24" t="n">
        <v>0</v>
      </c>
      <c r="F3331" s="37" t="n">
        <f aca="false">DATE(YEAR(A3331),MONTH(A3331),1)</f>
        <v>46143</v>
      </c>
      <c r="G3331" s="24" t="str">
        <f aca="false">INDEX(Products!$C$2:$C$49,MATCH(C3331,Products!$A$2:$A$49,0))</f>
        <v>Personal Care</v>
      </c>
      <c r="H3331" s="33" t="n">
        <f aca="false">D3331*INDEX(Products!$E$2:$E$49,MATCH(C3331,Products!$A$2:$A$49,0))</f>
        <v>10800</v>
      </c>
      <c r="I3331" s="33" t="n">
        <f aca="false">D3331*INDEX(Products!$D$2:$D$49,MATCH(C3331,Products!$A$2:$A$49,0))*(1+INDEX(Assumptions!$B$16:$B$20,MATCH(B3331,Assumptions!$A$16:$A$20,0)))</f>
        <v>7101.84</v>
      </c>
      <c r="J3331" s="33" t="n">
        <f aca="false">H3331-I3331</f>
        <v>3698.16</v>
      </c>
      <c r="K3331" s="33" t="n">
        <f aca="false">IF(OR(E3331=0,E3331&gt;=7),0,D3331/(7-E3331)*E3331*INDEX(Products!$E$2:$E$49,MATCH(C3331,Products!$A$2:$A$49,0)))</f>
        <v>0</v>
      </c>
    </row>
    <row r="3332" customFormat="false" ht="15" hidden="false" customHeight="false" outlineLevel="0" collapsed="false">
      <c r="A3332" s="36" t="n">
        <v>46153</v>
      </c>
      <c r="B3332" s="24" t="s">
        <v>63</v>
      </c>
      <c r="C3332" s="24" t="s">
        <v>189</v>
      </c>
      <c r="D3332" s="33" t="n">
        <v>20</v>
      </c>
      <c r="E3332" s="24" t="n">
        <v>0</v>
      </c>
      <c r="F3332" s="37" t="n">
        <f aca="false">DATE(YEAR(A3332),MONTH(A3332),1)</f>
        <v>46143</v>
      </c>
      <c r="G3332" s="24" t="str">
        <f aca="false">INDEX(Products!$C$2:$C$49,MATCH(C3332,Products!$A$2:$A$49,0))</f>
        <v>Personal Care</v>
      </c>
      <c r="H3332" s="33" t="n">
        <f aca="false">D3332*INDEX(Products!$E$2:$E$49,MATCH(C3332,Products!$A$2:$A$49,0))</f>
        <v>7200</v>
      </c>
      <c r="I3332" s="33" t="n">
        <f aca="false">D3332*INDEX(Products!$D$2:$D$49,MATCH(C3332,Products!$A$2:$A$49,0))*(1+INDEX(Assumptions!$B$16:$B$20,MATCH(B3332,Assumptions!$A$16:$A$20,0)))</f>
        <v>4734.56</v>
      </c>
      <c r="J3332" s="33" t="n">
        <f aca="false">H3332-I3332</f>
        <v>2465.44</v>
      </c>
      <c r="K3332" s="33" t="n">
        <f aca="false">IF(OR(E3332=0,E3332&gt;=7),0,D3332/(7-E3332)*E3332*INDEX(Products!$E$2:$E$49,MATCH(C3332,Products!$A$2:$A$49,0)))</f>
        <v>0</v>
      </c>
    </row>
    <row r="3333" customFormat="false" ht="15" hidden="false" customHeight="false" outlineLevel="0" collapsed="false">
      <c r="A3333" s="36" t="n">
        <v>46160</v>
      </c>
      <c r="B3333" s="24" t="s">
        <v>63</v>
      </c>
      <c r="C3333" s="24" t="s">
        <v>189</v>
      </c>
      <c r="D3333" s="33" t="n">
        <v>22</v>
      </c>
      <c r="E3333" s="24" t="n">
        <v>0</v>
      </c>
      <c r="F3333" s="37" t="n">
        <f aca="false">DATE(YEAR(A3333),MONTH(A3333),1)</f>
        <v>46143</v>
      </c>
      <c r="G3333" s="24" t="str">
        <f aca="false">INDEX(Products!$C$2:$C$49,MATCH(C3333,Products!$A$2:$A$49,0))</f>
        <v>Personal Care</v>
      </c>
      <c r="H3333" s="33" t="n">
        <f aca="false">D3333*INDEX(Products!$E$2:$E$49,MATCH(C3333,Products!$A$2:$A$49,0))</f>
        <v>7920</v>
      </c>
      <c r="I3333" s="33" t="n">
        <f aca="false">D3333*INDEX(Products!$D$2:$D$49,MATCH(C3333,Products!$A$2:$A$49,0))*(1+INDEX(Assumptions!$B$16:$B$20,MATCH(B3333,Assumptions!$A$16:$A$20,0)))</f>
        <v>5208.016</v>
      </c>
      <c r="J3333" s="33" t="n">
        <f aca="false">H3333-I3333</f>
        <v>2711.984</v>
      </c>
      <c r="K3333" s="33" t="n">
        <f aca="false">IF(OR(E3333=0,E3333&gt;=7),0,D3333/(7-E3333)*E3333*INDEX(Products!$E$2:$E$49,MATCH(C3333,Products!$A$2:$A$49,0)))</f>
        <v>0</v>
      </c>
    </row>
    <row r="3334" customFormat="false" ht="15" hidden="false" customHeight="false" outlineLevel="0" collapsed="false">
      <c r="A3334" s="36" t="n">
        <v>46167</v>
      </c>
      <c r="B3334" s="24" t="s">
        <v>63</v>
      </c>
      <c r="C3334" s="24" t="s">
        <v>189</v>
      </c>
      <c r="D3334" s="33" t="n">
        <v>24</v>
      </c>
      <c r="E3334" s="24" t="n">
        <v>0</v>
      </c>
      <c r="F3334" s="37" t="n">
        <f aca="false">DATE(YEAR(A3334),MONTH(A3334),1)</f>
        <v>46143</v>
      </c>
      <c r="G3334" s="24" t="str">
        <f aca="false">INDEX(Products!$C$2:$C$49,MATCH(C3334,Products!$A$2:$A$49,0))</f>
        <v>Personal Care</v>
      </c>
      <c r="H3334" s="33" t="n">
        <f aca="false">D3334*INDEX(Products!$E$2:$E$49,MATCH(C3334,Products!$A$2:$A$49,0))</f>
        <v>8640</v>
      </c>
      <c r="I3334" s="33" t="n">
        <f aca="false">D3334*INDEX(Products!$D$2:$D$49,MATCH(C3334,Products!$A$2:$A$49,0))*(1+INDEX(Assumptions!$B$16:$B$20,MATCH(B3334,Assumptions!$A$16:$A$20,0)))</f>
        <v>5681.472</v>
      </c>
      <c r="J3334" s="33" t="n">
        <f aca="false">H3334-I3334</f>
        <v>2958.528</v>
      </c>
      <c r="K3334" s="33" t="n">
        <f aca="false">IF(OR(E3334=0,E3334&gt;=7),0,D3334/(7-E3334)*E3334*INDEX(Products!$E$2:$E$49,MATCH(C3334,Products!$A$2:$A$49,0)))</f>
        <v>0</v>
      </c>
    </row>
    <row r="3335" customFormat="false" ht="15" hidden="false" customHeight="false" outlineLevel="0" collapsed="false">
      <c r="A3335" s="36" t="n">
        <v>46174</v>
      </c>
      <c r="B3335" s="24" t="s">
        <v>63</v>
      </c>
      <c r="C3335" s="24" t="s">
        <v>189</v>
      </c>
      <c r="D3335" s="33" t="n">
        <v>20</v>
      </c>
      <c r="E3335" s="24" t="n">
        <v>0</v>
      </c>
      <c r="F3335" s="37" t="n">
        <f aca="false">DATE(YEAR(A3335),MONTH(A3335),1)</f>
        <v>46174</v>
      </c>
      <c r="G3335" s="24" t="str">
        <f aca="false">INDEX(Products!$C$2:$C$49,MATCH(C3335,Products!$A$2:$A$49,0))</f>
        <v>Personal Care</v>
      </c>
      <c r="H3335" s="33" t="n">
        <f aca="false">D3335*INDEX(Products!$E$2:$E$49,MATCH(C3335,Products!$A$2:$A$49,0))</f>
        <v>7200</v>
      </c>
      <c r="I3335" s="33" t="n">
        <f aca="false">D3335*INDEX(Products!$D$2:$D$49,MATCH(C3335,Products!$A$2:$A$49,0))*(1+INDEX(Assumptions!$B$16:$B$20,MATCH(B3335,Assumptions!$A$16:$A$20,0)))</f>
        <v>4734.56</v>
      </c>
      <c r="J3335" s="33" t="n">
        <f aca="false">H3335-I3335</f>
        <v>2465.44</v>
      </c>
      <c r="K3335" s="33" t="n">
        <f aca="false">IF(OR(E3335=0,E3335&gt;=7),0,D3335/(7-E3335)*E3335*INDEX(Products!$E$2:$E$49,MATCH(C3335,Products!$A$2:$A$49,0)))</f>
        <v>0</v>
      </c>
    </row>
    <row r="3336" customFormat="false" ht="15" hidden="false" customHeight="false" outlineLevel="0" collapsed="false">
      <c r="A3336" s="36" t="n">
        <v>46181</v>
      </c>
      <c r="B3336" s="24" t="s">
        <v>63</v>
      </c>
      <c r="C3336" s="24" t="s">
        <v>189</v>
      </c>
      <c r="D3336" s="33" t="n">
        <v>31</v>
      </c>
      <c r="E3336" s="24" t="n">
        <v>0</v>
      </c>
      <c r="F3336" s="37" t="n">
        <f aca="false">DATE(YEAR(A3336),MONTH(A3336),1)</f>
        <v>46174</v>
      </c>
      <c r="G3336" s="24" t="str">
        <f aca="false">INDEX(Products!$C$2:$C$49,MATCH(C3336,Products!$A$2:$A$49,0))</f>
        <v>Personal Care</v>
      </c>
      <c r="H3336" s="33" t="n">
        <f aca="false">D3336*INDEX(Products!$E$2:$E$49,MATCH(C3336,Products!$A$2:$A$49,0))</f>
        <v>11160</v>
      </c>
      <c r="I3336" s="33" t="n">
        <f aca="false">D3336*INDEX(Products!$D$2:$D$49,MATCH(C3336,Products!$A$2:$A$49,0))*(1+INDEX(Assumptions!$B$16:$B$20,MATCH(B3336,Assumptions!$A$16:$A$20,0)))</f>
        <v>7338.568</v>
      </c>
      <c r="J3336" s="33" t="n">
        <f aca="false">H3336-I3336</f>
        <v>3821.432</v>
      </c>
      <c r="K3336" s="33" t="n">
        <f aca="false">IF(OR(E3336=0,E3336&gt;=7),0,D3336/(7-E3336)*E3336*INDEX(Products!$E$2:$E$49,MATCH(C3336,Products!$A$2:$A$49,0)))</f>
        <v>0</v>
      </c>
    </row>
    <row r="3337" customFormat="false" ht="15" hidden="false" customHeight="false" outlineLevel="0" collapsed="false">
      <c r="A3337" s="36" t="n">
        <v>46188</v>
      </c>
      <c r="B3337" s="24" t="s">
        <v>63</v>
      </c>
      <c r="C3337" s="24" t="s">
        <v>189</v>
      </c>
      <c r="D3337" s="33" t="n">
        <v>29</v>
      </c>
      <c r="E3337" s="24" t="n">
        <v>0</v>
      </c>
      <c r="F3337" s="37" t="n">
        <f aca="false">DATE(YEAR(A3337),MONTH(A3337),1)</f>
        <v>46174</v>
      </c>
      <c r="G3337" s="24" t="str">
        <f aca="false">INDEX(Products!$C$2:$C$49,MATCH(C3337,Products!$A$2:$A$49,0))</f>
        <v>Personal Care</v>
      </c>
      <c r="H3337" s="33" t="n">
        <f aca="false">D3337*INDEX(Products!$E$2:$E$49,MATCH(C3337,Products!$A$2:$A$49,0))</f>
        <v>10440</v>
      </c>
      <c r="I3337" s="33" t="n">
        <f aca="false">D3337*INDEX(Products!$D$2:$D$49,MATCH(C3337,Products!$A$2:$A$49,0))*(1+INDEX(Assumptions!$B$16:$B$20,MATCH(B3337,Assumptions!$A$16:$A$20,0)))</f>
        <v>6865.112</v>
      </c>
      <c r="J3337" s="33" t="n">
        <f aca="false">H3337-I3337</f>
        <v>3574.888</v>
      </c>
      <c r="K3337" s="33" t="n">
        <f aca="false">IF(OR(E3337=0,E3337&gt;=7),0,D3337/(7-E3337)*E3337*INDEX(Products!$E$2:$E$49,MATCH(C3337,Products!$A$2:$A$49,0)))</f>
        <v>0</v>
      </c>
    </row>
    <row r="3338" customFormat="false" ht="15" hidden="false" customHeight="false" outlineLevel="0" collapsed="false">
      <c r="A3338" s="36" t="n">
        <v>46195</v>
      </c>
      <c r="B3338" s="24" t="s">
        <v>63</v>
      </c>
      <c r="C3338" s="24" t="s">
        <v>189</v>
      </c>
      <c r="D3338" s="33" t="n">
        <v>26</v>
      </c>
      <c r="E3338" s="24" t="n">
        <v>0</v>
      </c>
      <c r="F3338" s="37" t="n">
        <f aca="false">DATE(YEAR(A3338),MONTH(A3338),1)</f>
        <v>46174</v>
      </c>
      <c r="G3338" s="24" t="str">
        <f aca="false">INDEX(Products!$C$2:$C$49,MATCH(C3338,Products!$A$2:$A$49,0))</f>
        <v>Personal Care</v>
      </c>
      <c r="H3338" s="33" t="n">
        <f aca="false">D3338*INDEX(Products!$E$2:$E$49,MATCH(C3338,Products!$A$2:$A$49,0))</f>
        <v>9360</v>
      </c>
      <c r="I3338" s="33" t="n">
        <f aca="false">D3338*INDEX(Products!$D$2:$D$49,MATCH(C3338,Products!$A$2:$A$49,0))*(1+INDEX(Assumptions!$B$16:$B$20,MATCH(B3338,Assumptions!$A$16:$A$20,0)))</f>
        <v>6154.928</v>
      </c>
      <c r="J3338" s="33" t="n">
        <f aca="false">H3338-I3338</f>
        <v>3205.072</v>
      </c>
      <c r="K3338" s="33" t="n">
        <f aca="false">IF(OR(E3338=0,E3338&gt;=7),0,D3338/(7-E3338)*E3338*INDEX(Products!$E$2:$E$49,MATCH(C3338,Products!$A$2:$A$49,0)))</f>
        <v>0</v>
      </c>
    </row>
    <row r="3339" customFormat="false" ht="15" hidden="false" customHeight="false" outlineLevel="0" collapsed="false">
      <c r="A3339" s="36" t="n">
        <v>46202</v>
      </c>
      <c r="B3339" s="24" t="s">
        <v>63</v>
      </c>
      <c r="C3339" s="24" t="s">
        <v>189</v>
      </c>
      <c r="D3339" s="33" t="n">
        <v>27</v>
      </c>
      <c r="E3339" s="24" t="n">
        <v>0</v>
      </c>
      <c r="F3339" s="37" t="n">
        <f aca="false">DATE(YEAR(A3339),MONTH(A3339),1)</f>
        <v>46174</v>
      </c>
      <c r="G3339" s="24" t="str">
        <f aca="false">INDEX(Products!$C$2:$C$49,MATCH(C3339,Products!$A$2:$A$49,0))</f>
        <v>Personal Care</v>
      </c>
      <c r="H3339" s="33" t="n">
        <f aca="false">D3339*INDEX(Products!$E$2:$E$49,MATCH(C3339,Products!$A$2:$A$49,0))</f>
        <v>9720</v>
      </c>
      <c r="I3339" s="33" t="n">
        <f aca="false">D3339*INDEX(Products!$D$2:$D$49,MATCH(C3339,Products!$A$2:$A$49,0))*(1+INDEX(Assumptions!$B$16:$B$20,MATCH(B3339,Assumptions!$A$16:$A$20,0)))</f>
        <v>6391.656</v>
      </c>
      <c r="J3339" s="33" t="n">
        <f aca="false">H3339-I3339</f>
        <v>3328.344</v>
      </c>
      <c r="K3339" s="33" t="n">
        <f aca="false">IF(OR(E3339=0,E3339&gt;=7),0,D3339/(7-E3339)*E3339*INDEX(Products!$E$2:$E$49,MATCH(C3339,Products!$A$2:$A$49,0)))</f>
        <v>0</v>
      </c>
    </row>
    <row r="3340" customFormat="false" ht="15" hidden="false" customHeight="false" outlineLevel="0" collapsed="false">
      <c r="A3340" s="36" t="n">
        <v>46209</v>
      </c>
      <c r="B3340" s="24" t="s">
        <v>63</v>
      </c>
      <c r="C3340" s="24" t="s">
        <v>189</v>
      </c>
      <c r="D3340" s="33" t="n">
        <v>21</v>
      </c>
      <c r="E3340" s="24" t="n">
        <v>0</v>
      </c>
      <c r="F3340" s="37" t="n">
        <f aca="false">DATE(YEAR(A3340),MONTH(A3340),1)</f>
        <v>46204</v>
      </c>
      <c r="G3340" s="24" t="str">
        <f aca="false">INDEX(Products!$C$2:$C$49,MATCH(C3340,Products!$A$2:$A$49,0))</f>
        <v>Personal Care</v>
      </c>
      <c r="H3340" s="33" t="n">
        <f aca="false">D3340*INDEX(Products!$E$2:$E$49,MATCH(C3340,Products!$A$2:$A$49,0))</f>
        <v>7560</v>
      </c>
      <c r="I3340" s="33" t="n">
        <f aca="false">D3340*INDEX(Products!$D$2:$D$49,MATCH(C3340,Products!$A$2:$A$49,0))*(1+INDEX(Assumptions!$B$16:$B$20,MATCH(B3340,Assumptions!$A$16:$A$20,0)))</f>
        <v>4971.288</v>
      </c>
      <c r="J3340" s="33" t="n">
        <f aca="false">H3340-I3340</f>
        <v>2588.712</v>
      </c>
      <c r="K3340" s="33" t="n">
        <f aca="false">IF(OR(E3340=0,E3340&gt;=7),0,D3340/(7-E3340)*E3340*INDEX(Products!$E$2:$E$49,MATCH(C3340,Products!$A$2:$A$49,0)))</f>
        <v>0</v>
      </c>
    </row>
    <row r="3341" customFormat="false" ht="15" hidden="false" customHeight="false" outlineLevel="0" collapsed="false">
      <c r="A3341" s="36" t="n">
        <v>46216</v>
      </c>
      <c r="B3341" s="24" t="s">
        <v>63</v>
      </c>
      <c r="C3341" s="24" t="s">
        <v>189</v>
      </c>
      <c r="D3341" s="33" t="n">
        <v>23</v>
      </c>
      <c r="E3341" s="24" t="n">
        <v>0</v>
      </c>
      <c r="F3341" s="37" t="n">
        <f aca="false">DATE(YEAR(A3341),MONTH(A3341),1)</f>
        <v>46204</v>
      </c>
      <c r="G3341" s="24" t="str">
        <f aca="false">INDEX(Products!$C$2:$C$49,MATCH(C3341,Products!$A$2:$A$49,0))</f>
        <v>Personal Care</v>
      </c>
      <c r="H3341" s="33" t="n">
        <f aca="false">D3341*INDEX(Products!$E$2:$E$49,MATCH(C3341,Products!$A$2:$A$49,0))</f>
        <v>8280</v>
      </c>
      <c r="I3341" s="33" t="n">
        <f aca="false">D3341*INDEX(Products!$D$2:$D$49,MATCH(C3341,Products!$A$2:$A$49,0))*(1+INDEX(Assumptions!$B$16:$B$20,MATCH(B3341,Assumptions!$A$16:$A$20,0)))</f>
        <v>5444.744</v>
      </c>
      <c r="J3341" s="33" t="n">
        <f aca="false">H3341-I3341</f>
        <v>2835.256</v>
      </c>
      <c r="K3341" s="33" t="n">
        <f aca="false">IF(OR(E3341=0,E3341&gt;=7),0,D3341/(7-E3341)*E3341*INDEX(Products!$E$2:$E$49,MATCH(C3341,Products!$A$2:$A$49,0)))</f>
        <v>0</v>
      </c>
    </row>
    <row r="3342" customFormat="false" ht="15" hidden="false" customHeight="false" outlineLevel="0" collapsed="false">
      <c r="A3342" s="36" t="n">
        <v>46223</v>
      </c>
      <c r="B3342" s="24" t="s">
        <v>63</v>
      </c>
      <c r="C3342" s="24" t="s">
        <v>189</v>
      </c>
      <c r="D3342" s="33" t="n">
        <v>35</v>
      </c>
      <c r="E3342" s="24" t="n">
        <v>0</v>
      </c>
      <c r="F3342" s="37" t="n">
        <f aca="false">DATE(YEAR(A3342),MONTH(A3342),1)</f>
        <v>46204</v>
      </c>
      <c r="G3342" s="24" t="str">
        <f aca="false">INDEX(Products!$C$2:$C$49,MATCH(C3342,Products!$A$2:$A$49,0))</f>
        <v>Personal Care</v>
      </c>
      <c r="H3342" s="33" t="n">
        <f aca="false">D3342*INDEX(Products!$E$2:$E$49,MATCH(C3342,Products!$A$2:$A$49,0))</f>
        <v>12600</v>
      </c>
      <c r="I3342" s="33" t="n">
        <f aca="false">D3342*INDEX(Products!$D$2:$D$49,MATCH(C3342,Products!$A$2:$A$49,0))*(1+INDEX(Assumptions!$B$16:$B$20,MATCH(B3342,Assumptions!$A$16:$A$20,0)))</f>
        <v>8285.48</v>
      </c>
      <c r="J3342" s="33" t="n">
        <f aca="false">H3342-I3342</f>
        <v>4314.52</v>
      </c>
      <c r="K3342" s="33" t="n">
        <f aca="false">IF(OR(E3342=0,E3342&gt;=7),0,D3342/(7-E3342)*E3342*INDEX(Products!$E$2:$E$49,MATCH(C3342,Products!$A$2:$A$49,0)))</f>
        <v>0</v>
      </c>
    </row>
    <row r="3343" customFormat="false" ht="15" hidden="false" customHeight="false" outlineLevel="0" collapsed="false">
      <c r="A3343" s="36" t="n">
        <v>46230</v>
      </c>
      <c r="B3343" s="24" t="s">
        <v>63</v>
      </c>
      <c r="C3343" s="24" t="s">
        <v>189</v>
      </c>
      <c r="D3343" s="33" t="n">
        <v>30</v>
      </c>
      <c r="E3343" s="24" t="n">
        <v>0</v>
      </c>
      <c r="F3343" s="37" t="n">
        <f aca="false">DATE(YEAR(A3343),MONTH(A3343),1)</f>
        <v>46204</v>
      </c>
      <c r="G3343" s="24" t="str">
        <f aca="false">INDEX(Products!$C$2:$C$49,MATCH(C3343,Products!$A$2:$A$49,0))</f>
        <v>Personal Care</v>
      </c>
      <c r="H3343" s="33" t="n">
        <f aca="false">D3343*INDEX(Products!$E$2:$E$49,MATCH(C3343,Products!$A$2:$A$49,0))</f>
        <v>10800</v>
      </c>
      <c r="I3343" s="33" t="n">
        <f aca="false">D3343*INDEX(Products!$D$2:$D$49,MATCH(C3343,Products!$A$2:$A$49,0))*(1+INDEX(Assumptions!$B$16:$B$20,MATCH(B3343,Assumptions!$A$16:$A$20,0)))</f>
        <v>7101.84</v>
      </c>
      <c r="J3343" s="33" t="n">
        <f aca="false">H3343-I3343</f>
        <v>3698.16</v>
      </c>
      <c r="K3343" s="33" t="n">
        <f aca="false">IF(OR(E3343=0,E3343&gt;=7),0,D3343/(7-E3343)*E3343*INDEX(Products!$E$2:$E$49,MATCH(C3343,Products!$A$2:$A$49,0)))</f>
        <v>0</v>
      </c>
    </row>
    <row r="3344" customFormat="false" ht="15" hidden="false" customHeight="false" outlineLevel="0" collapsed="false">
      <c r="A3344" s="36" t="n">
        <v>46237</v>
      </c>
      <c r="B3344" s="24" t="s">
        <v>63</v>
      </c>
      <c r="C3344" s="24" t="s">
        <v>189</v>
      </c>
      <c r="D3344" s="33" t="n">
        <v>20</v>
      </c>
      <c r="E3344" s="24" t="n">
        <v>0</v>
      </c>
      <c r="F3344" s="37" t="n">
        <f aca="false">DATE(YEAR(A3344),MONTH(A3344),1)</f>
        <v>46235</v>
      </c>
      <c r="G3344" s="24" t="str">
        <f aca="false">INDEX(Products!$C$2:$C$49,MATCH(C3344,Products!$A$2:$A$49,0))</f>
        <v>Personal Care</v>
      </c>
      <c r="H3344" s="33" t="n">
        <f aca="false">D3344*INDEX(Products!$E$2:$E$49,MATCH(C3344,Products!$A$2:$A$49,0))</f>
        <v>7200</v>
      </c>
      <c r="I3344" s="33" t="n">
        <f aca="false">D3344*INDEX(Products!$D$2:$D$49,MATCH(C3344,Products!$A$2:$A$49,0))*(1+INDEX(Assumptions!$B$16:$B$20,MATCH(B3344,Assumptions!$A$16:$A$20,0)))</f>
        <v>4734.56</v>
      </c>
      <c r="J3344" s="33" t="n">
        <f aca="false">H3344-I3344</f>
        <v>2465.44</v>
      </c>
      <c r="K3344" s="33" t="n">
        <f aca="false">IF(OR(E3344=0,E3344&gt;=7),0,D3344/(7-E3344)*E3344*INDEX(Products!$E$2:$E$49,MATCH(C3344,Products!$A$2:$A$49,0)))</f>
        <v>0</v>
      </c>
    </row>
    <row r="3345" customFormat="false" ht="15" hidden="false" customHeight="false" outlineLevel="0" collapsed="false">
      <c r="A3345" s="36" t="n">
        <v>46244</v>
      </c>
      <c r="B3345" s="24" t="s">
        <v>63</v>
      </c>
      <c r="C3345" s="24" t="s">
        <v>189</v>
      </c>
      <c r="D3345" s="33" t="n">
        <v>22</v>
      </c>
      <c r="E3345" s="24" t="n">
        <v>0</v>
      </c>
      <c r="F3345" s="37" t="n">
        <f aca="false">DATE(YEAR(A3345),MONTH(A3345),1)</f>
        <v>46235</v>
      </c>
      <c r="G3345" s="24" t="str">
        <f aca="false">INDEX(Products!$C$2:$C$49,MATCH(C3345,Products!$A$2:$A$49,0))</f>
        <v>Personal Care</v>
      </c>
      <c r="H3345" s="33" t="n">
        <f aca="false">D3345*INDEX(Products!$E$2:$E$49,MATCH(C3345,Products!$A$2:$A$49,0))</f>
        <v>7920</v>
      </c>
      <c r="I3345" s="33" t="n">
        <f aca="false">D3345*INDEX(Products!$D$2:$D$49,MATCH(C3345,Products!$A$2:$A$49,0))*(1+INDEX(Assumptions!$B$16:$B$20,MATCH(B3345,Assumptions!$A$16:$A$20,0)))</f>
        <v>5208.016</v>
      </c>
      <c r="J3345" s="33" t="n">
        <f aca="false">H3345-I3345</f>
        <v>2711.984</v>
      </c>
      <c r="K3345" s="33" t="n">
        <f aca="false">IF(OR(E3345=0,E3345&gt;=7),0,D3345/(7-E3345)*E3345*INDEX(Products!$E$2:$E$49,MATCH(C3345,Products!$A$2:$A$49,0)))</f>
        <v>0</v>
      </c>
    </row>
    <row r="3346" customFormat="false" ht="15" hidden="false" customHeight="false" outlineLevel="0" collapsed="false">
      <c r="A3346" s="36" t="n">
        <v>46251</v>
      </c>
      <c r="B3346" s="24" t="s">
        <v>63</v>
      </c>
      <c r="C3346" s="24" t="s">
        <v>189</v>
      </c>
      <c r="D3346" s="33" t="n">
        <v>16</v>
      </c>
      <c r="E3346" s="24" t="n">
        <v>0</v>
      </c>
      <c r="F3346" s="37" t="n">
        <f aca="false">DATE(YEAR(A3346),MONTH(A3346),1)</f>
        <v>46235</v>
      </c>
      <c r="G3346" s="24" t="str">
        <f aca="false">INDEX(Products!$C$2:$C$49,MATCH(C3346,Products!$A$2:$A$49,0))</f>
        <v>Personal Care</v>
      </c>
      <c r="H3346" s="33" t="n">
        <f aca="false">D3346*INDEX(Products!$E$2:$E$49,MATCH(C3346,Products!$A$2:$A$49,0))</f>
        <v>5760</v>
      </c>
      <c r="I3346" s="33" t="n">
        <f aca="false">D3346*INDEX(Products!$D$2:$D$49,MATCH(C3346,Products!$A$2:$A$49,0))*(1+INDEX(Assumptions!$B$16:$B$20,MATCH(B3346,Assumptions!$A$16:$A$20,0)))</f>
        <v>3787.648</v>
      </c>
      <c r="J3346" s="33" t="n">
        <f aca="false">H3346-I3346</f>
        <v>1972.352</v>
      </c>
      <c r="K3346" s="33" t="n">
        <f aca="false">IF(OR(E3346=0,E3346&gt;=7),0,D3346/(7-E3346)*E3346*INDEX(Products!$E$2:$E$49,MATCH(C3346,Products!$A$2:$A$49,0)))</f>
        <v>0</v>
      </c>
    </row>
    <row r="3347" customFormat="false" ht="15" hidden="false" customHeight="false" outlineLevel="0" collapsed="false">
      <c r="A3347" s="36" t="n">
        <v>46258</v>
      </c>
      <c r="B3347" s="24" t="s">
        <v>63</v>
      </c>
      <c r="C3347" s="24" t="s">
        <v>189</v>
      </c>
      <c r="D3347" s="33" t="n">
        <v>30</v>
      </c>
      <c r="E3347" s="24" t="n">
        <v>0</v>
      </c>
      <c r="F3347" s="37" t="n">
        <f aca="false">DATE(YEAR(A3347),MONTH(A3347),1)</f>
        <v>46235</v>
      </c>
      <c r="G3347" s="24" t="str">
        <f aca="false">INDEX(Products!$C$2:$C$49,MATCH(C3347,Products!$A$2:$A$49,0))</f>
        <v>Personal Care</v>
      </c>
      <c r="H3347" s="33" t="n">
        <f aca="false">D3347*INDEX(Products!$E$2:$E$49,MATCH(C3347,Products!$A$2:$A$49,0))</f>
        <v>10800</v>
      </c>
      <c r="I3347" s="33" t="n">
        <f aca="false">D3347*INDEX(Products!$D$2:$D$49,MATCH(C3347,Products!$A$2:$A$49,0))*(1+INDEX(Assumptions!$B$16:$B$20,MATCH(B3347,Assumptions!$A$16:$A$20,0)))</f>
        <v>7101.84</v>
      </c>
      <c r="J3347" s="33" t="n">
        <f aca="false">H3347-I3347</f>
        <v>3698.16</v>
      </c>
      <c r="K3347" s="33" t="n">
        <f aca="false">IF(OR(E3347=0,E3347&gt;=7),0,D3347/(7-E3347)*E3347*INDEX(Products!$E$2:$E$49,MATCH(C3347,Products!$A$2:$A$49,0)))</f>
        <v>0</v>
      </c>
    </row>
    <row r="3348" customFormat="false" ht="15" hidden="false" customHeight="false" outlineLevel="0" collapsed="false">
      <c r="A3348" s="36" t="n">
        <v>46265</v>
      </c>
      <c r="B3348" s="24" t="s">
        <v>63</v>
      </c>
      <c r="C3348" s="24" t="s">
        <v>189</v>
      </c>
      <c r="D3348" s="33" t="n">
        <v>32</v>
      </c>
      <c r="E3348" s="24" t="n">
        <v>0</v>
      </c>
      <c r="F3348" s="37" t="n">
        <f aca="false">DATE(YEAR(A3348),MONTH(A3348),1)</f>
        <v>46235</v>
      </c>
      <c r="G3348" s="24" t="str">
        <f aca="false">INDEX(Products!$C$2:$C$49,MATCH(C3348,Products!$A$2:$A$49,0))</f>
        <v>Personal Care</v>
      </c>
      <c r="H3348" s="33" t="n">
        <f aca="false">D3348*INDEX(Products!$E$2:$E$49,MATCH(C3348,Products!$A$2:$A$49,0))</f>
        <v>11520</v>
      </c>
      <c r="I3348" s="33" t="n">
        <f aca="false">D3348*INDEX(Products!$D$2:$D$49,MATCH(C3348,Products!$A$2:$A$49,0))*(1+INDEX(Assumptions!$B$16:$B$20,MATCH(B3348,Assumptions!$A$16:$A$20,0)))</f>
        <v>7575.296</v>
      </c>
      <c r="J3348" s="33" t="n">
        <f aca="false">H3348-I3348</f>
        <v>3944.704</v>
      </c>
      <c r="K3348" s="33" t="n">
        <f aca="false">IF(OR(E3348=0,E3348&gt;=7),0,D3348/(7-E3348)*E3348*INDEX(Products!$E$2:$E$49,MATCH(C3348,Products!$A$2:$A$49,0)))</f>
        <v>0</v>
      </c>
    </row>
    <row r="3349" customFormat="false" ht="15" hidden="false" customHeight="false" outlineLevel="0" collapsed="false">
      <c r="A3349" s="36" t="n">
        <v>46272</v>
      </c>
      <c r="B3349" s="24" t="s">
        <v>63</v>
      </c>
      <c r="C3349" s="24" t="s">
        <v>189</v>
      </c>
      <c r="D3349" s="33" t="n">
        <v>27</v>
      </c>
      <c r="E3349" s="24" t="n">
        <v>0</v>
      </c>
      <c r="F3349" s="37" t="n">
        <f aca="false">DATE(YEAR(A3349),MONTH(A3349),1)</f>
        <v>46266</v>
      </c>
      <c r="G3349" s="24" t="str">
        <f aca="false">INDEX(Products!$C$2:$C$49,MATCH(C3349,Products!$A$2:$A$49,0))</f>
        <v>Personal Care</v>
      </c>
      <c r="H3349" s="33" t="n">
        <f aca="false">D3349*INDEX(Products!$E$2:$E$49,MATCH(C3349,Products!$A$2:$A$49,0))</f>
        <v>9720</v>
      </c>
      <c r="I3349" s="33" t="n">
        <f aca="false">D3349*INDEX(Products!$D$2:$D$49,MATCH(C3349,Products!$A$2:$A$49,0))*(1+INDEX(Assumptions!$B$16:$B$20,MATCH(B3349,Assumptions!$A$16:$A$20,0)))</f>
        <v>6391.656</v>
      </c>
      <c r="J3349" s="33" t="n">
        <f aca="false">H3349-I3349</f>
        <v>3328.344</v>
      </c>
      <c r="K3349" s="33" t="n">
        <f aca="false">IF(OR(E3349=0,E3349&gt;=7),0,D3349/(7-E3349)*E3349*INDEX(Products!$E$2:$E$49,MATCH(C3349,Products!$A$2:$A$49,0)))</f>
        <v>0</v>
      </c>
    </row>
    <row r="3350" customFormat="false" ht="15" hidden="false" customHeight="false" outlineLevel="0" collapsed="false">
      <c r="A3350" s="36" t="n">
        <v>46279</v>
      </c>
      <c r="B3350" s="24" t="s">
        <v>63</v>
      </c>
      <c r="C3350" s="24" t="s">
        <v>189</v>
      </c>
      <c r="D3350" s="33" t="n">
        <v>31</v>
      </c>
      <c r="E3350" s="24" t="n">
        <v>0</v>
      </c>
      <c r="F3350" s="37" t="n">
        <f aca="false">DATE(YEAR(A3350),MONTH(A3350),1)</f>
        <v>46266</v>
      </c>
      <c r="G3350" s="24" t="str">
        <f aca="false">INDEX(Products!$C$2:$C$49,MATCH(C3350,Products!$A$2:$A$49,0))</f>
        <v>Personal Care</v>
      </c>
      <c r="H3350" s="33" t="n">
        <f aca="false">D3350*INDEX(Products!$E$2:$E$49,MATCH(C3350,Products!$A$2:$A$49,0))</f>
        <v>11160</v>
      </c>
      <c r="I3350" s="33" t="n">
        <f aca="false">D3350*INDEX(Products!$D$2:$D$49,MATCH(C3350,Products!$A$2:$A$49,0))*(1+INDEX(Assumptions!$B$16:$B$20,MATCH(B3350,Assumptions!$A$16:$A$20,0)))</f>
        <v>7338.568</v>
      </c>
      <c r="J3350" s="33" t="n">
        <f aca="false">H3350-I3350</f>
        <v>3821.432</v>
      </c>
      <c r="K3350" s="33" t="n">
        <f aca="false">IF(OR(E3350=0,E3350&gt;=7),0,D3350/(7-E3350)*E3350*INDEX(Products!$E$2:$E$49,MATCH(C3350,Products!$A$2:$A$49,0)))</f>
        <v>0</v>
      </c>
    </row>
    <row r="3351" customFormat="false" ht="15" hidden="false" customHeight="false" outlineLevel="0" collapsed="false">
      <c r="A3351" s="36" t="n">
        <v>46286</v>
      </c>
      <c r="B3351" s="24" t="s">
        <v>63</v>
      </c>
      <c r="C3351" s="24" t="s">
        <v>189</v>
      </c>
      <c r="D3351" s="33" t="n">
        <v>25</v>
      </c>
      <c r="E3351" s="24" t="n">
        <v>0</v>
      </c>
      <c r="F3351" s="37" t="n">
        <f aca="false">DATE(YEAR(A3351),MONTH(A3351),1)</f>
        <v>46266</v>
      </c>
      <c r="G3351" s="24" t="str">
        <f aca="false">INDEX(Products!$C$2:$C$49,MATCH(C3351,Products!$A$2:$A$49,0))</f>
        <v>Personal Care</v>
      </c>
      <c r="H3351" s="33" t="n">
        <f aca="false">D3351*INDEX(Products!$E$2:$E$49,MATCH(C3351,Products!$A$2:$A$49,0))</f>
        <v>9000</v>
      </c>
      <c r="I3351" s="33" t="n">
        <f aca="false">D3351*INDEX(Products!$D$2:$D$49,MATCH(C3351,Products!$A$2:$A$49,0))*(1+INDEX(Assumptions!$B$16:$B$20,MATCH(B3351,Assumptions!$A$16:$A$20,0)))</f>
        <v>5918.2</v>
      </c>
      <c r="J3351" s="33" t="n">
        <f aca="false">H3351-I3351</f>
        <v>3081.8</v>
      </c>
      <c r="K3351" s="33" t="n">
        <f aca="false">IF(OR(E3351=0,E3351&gt;=7),0,D3351/(7-E3351)*E3351*INDEX(Products!$E$2:$E$49,MATCH(C3351,Products!$A$2:$A$49,0)))</f>
        <v>0</v>
      </c>
    </row>
    <row r="3352" customFormat="false" ht="15" hidden="false" customHeight="false" outlineLevel="0" collapsed="false">
      <c r="A3352" s="36" t="n">
        <v>46118</v>
      </c>
      <c r="B3352" s="24" t="s">
        <v>63</v>
      </c>
      <c r="C3352" s="24" t="s">
        <v>191</v>
      </c>
      <c r="D3352" s="33" t="n">
        <v>14</v>
      </c>
      <c r="E3352" s="24" t="n">
        <v>0</v>
      </c>
      <c r="F3352" s="37" t="n">
        <f aca="false">DATE(YEAR(A3352),MONTH(A3352),1)</f>
        <v>46113</v>
      </c>
      <c r="G3352" s="24" t="str">
        <f aca="false">INDEX(Products!$C$2:$C$49,MATCH(C3352,Products!$A$2:$A$49,0))</f>
        <v>Personal Care</v>
      </c>
      <c r="H3352" s="33" t="n">
        <f aca="false">D3352*INDEX(Products!$E$2:$E$49,MATCH(C3352,Products!$A$2:$A$49,0))</f>
        <v>2940</v>
      </c>
      <c r="I3352" s="33" t="n">
        <f aca="false">D3352*INDEX(Products!$D$2:$D$49,MATCH(C3352,Products!$A$2:$A$49,0))*(1+INDEX(Assumptions!$B$16:$B$20,MATCH(B3352,Assumptions!$A$16:$A$20,0)))</f>
        <v>1834.896</v>
      </c>
      <c r="J3352" s="33" t="n">
        <f aca="false">H3352-I3352</f>
        <v>1105.104</v>
      </c>
      <c r="K3352" s="33" t="n">
        <f aca="false">IF(OR(E3352=0,E3352&gt;=7),0,D3352/(7-E3352)*E3352*INDEX(Products!$E$2:$E$49,MATCH(C3352,Products!$A$2:$A$49,0)))</f>
        <v>0</v>
      </c>
    </row>
    <row r="3353" customFormat="false" ht="15" hidden="false" customHeight="false" outlineLevel="0" collapsed="false">
      <c r="A3353" s="36" t="n">
        <v>46125</v>
      </c>
      <c r="B3353" s="24" t="s">
        <v>63</v>
      </c>
      <c r="C3353" s="24" t="s">
        <v>191</v>
      </c>
      <c r="D3353" s="33" t="n">
        <v>15</v>
      </c>
      <c r="E3353" s="24" t="n">
        <v>0</v>
      </c>
      <c r="F3353" s="37" t="n">
        <f aca="false">DATE(YEAR(A3353),MONTH(A3353),1)</f>
        <v>46113</v>
      </c>
      <c r="G3353" s="24" t="str">
        <f aca="false">INDEX(Products!$C$2:$C$49,MATCH(C3353,Products!$A$2:$A$49,0))</f>
        <v>Personal Care</v>
      </c>
      <c r="H3353" s="33" t="n">
        <f aca="false">D3353*INDEX(Products!$E$2:$E$49,MATCH(C3353,Products!$A$2:$A$49,0))</f>
        <v>3150</v>
      </c>
      <c r="I3353" s="33" t="n">
        <f aca="false">D3353*INDEX(Products!$D$2:$D$49,MATCH(C3353,Products!$A$2:$A$49,0))*(1+INDEX(Assumptions!$B$16:$B$20,MATCH(B3353,Assumptions!$A$16:$A$20,0)))</f>
        <v>1965.96</v>
      </c>
      <c r="J3353" s="33" t="n">
        <f aca="false">H3353-I3353</f>
        <v>1184.04</v>
      </c>
      <c r="K3353" s="33" t="n">
        <f aca="false">IF(OR(E3353=0,E3353&gt;=7),0,D3353/(7-E3353)*E3353*INDEX(Products!$E$2:$E$49,MATCH(C3353,Products!$A$2:$A$49,0)))</f>
        <v>0</v>
      </c>
    </row>
    <row r="3354" customFormat="false" ht="15" hidden="false" customHeight="false" outlineLevel="0" collapsed="false">
      <c r="A3354" s="36" t="n">
        <v>46132</v>
      </c>
      <c r="B3354" s="24" t="s">
        <v>63</v>
      </c>
      <c r="C3354" s="24" t="s">
        <v>191</v>
      </c>
      <c r="D3354" s="33" t="n">
        <v>16</v>
      </c>
      <c r="E3354" s="24" t="n">
        <v>0</v>
      </c>
      <c r="F3354" s="37" t="n">
        <f aca="false">DATE(YEAR(A3354),MONTH(A3354),1)</f>
        <v>46113</v>
      </c>
      <c r="G3354" s="24" t="str">
        <f aca="false">INDEX(Products!$C$2:$C$49,MATCH(C3354,Products!$A$2:$A$49,0))</f>
        <v>Personal Care</v>
      </c>
      <c r="H3354" s="33" t="n">
        <f aca="false">D3354*INDEX(Products!$E$2:$E$49,MATCH(C3354,Products!$A$2:$A$49,0))</f>
        <v>3360</v>
      </c>
      <c r="I3354" s="33" t="n">
        <f aca="false">D3354*INDEX(Products!$D$2:$D$49,MATCH(C3354,Products!$A$2:$A$49,0))*(1+INDEX(Assumptions!$B$16:$B$20,MATCH(B3354,Assumptions!$A$16:$A$20,0)))</f>
        <v>2097.024</v>
      </c>
      <c r="J3354" s="33" t="n">
        <f aca="false">H3354-I3354</f>
        <v>1262.976</v>
      </c>
      <c r="K3354" s="33" t="n">
        <f aca="false">IF(OR(E3354=0,E3354&gt;=7),0,D3354/(7-E3354)*E3354*INDEX(Products!$E$2:$E$49,MATCH(C3354,Products!$A$2:$A$49,0)))</f>
        <v>0</v>
      </c>
    </row>
    <row r="3355" customFormat="false" ht="15" hidden="false" customHeight="false" outlineLevel="0" collapsed="false">
      <c r="A3355" s="36" t="n">
        <v>46139</v>
      </c>
      <c r="B3355" s="24" t="s">
        <v>63</v>
      </c>
      <c r="C3355" s="24" t="s">
        <v>191</v>
      </c>
      <c r="D3355" s="33" t="n">
        <v>12</v>
      </c>
      <c r="E3355" s="24" t="n">
        <v>0</v>
      </c>
      <c r="F3355" s="37" t="n">
        <f aca="false">DATE(YEAR(A3355),MONTH(A3355),1)</f>
        <v>46113</v>
      </c>
      <c r="G3355" s="24" t="str">
        <f aca="false">INDEX(Products!$C$2:$C$49,MATCH(C3355,Products!$A$2:$A$49,0))</f>
        <v>Personal Care</v>
      </c>
      <c r="H3355" s="33" t="n">
        <f aca="false">D3355*INDEX(Products!$E$2:$E$49,MATCH(C3355,Products!$A$2:$A$49,0))</f>
        <v>2520</v>
      </c>
      <c r="I3355" s="33" t="n">
        <f aca="false">D3355*INDEX(Products!$D$2:$D$49,MATCH(C3355,Products!$A$2:$A$49,0))*(1+INDEX(Assumptions!$B$16:$B$20,MATCH(B3355,Assumptions!$A$16:$A$20,0)))</f>
        <v>1572.768</v>
      </c>
      <c r="J3355" s="33" t="n">
        <f aca="false">H3355-I3355</f>
        <v>947.232</v>
      </c>
      <c r="K3355" s="33" t="n">
        <f aca="false">IF(OR(E3355=0,E3355&gt;=7),0,D3355/(7-E3355)*E3355*INDEX(Products!$E$2:$E$49,MATCH(C3355,Products!$A$2:$A$49,0)))</f>
        <v>0</v>
      </c>
    </row>
    <row r="3356" customFormat="false" ht="15" hidden="false" customHeight="false" outlineLevel="0" collapsed="false">
      <c r="A3356" s="36" t="n">
        <v>46146</v>
      </c>
      <c r="B3356" s="24" t="s">
        <v>63</v>
      </c>
      <c r="C3356" s="24" t="s">
        <v>191</v>
      </c>
      <c r="D3356" s="33" t="n">
        <v>18</v>
      </c>
      <c r="E3356" s="24" t="n">
        <v>0</v>
      </c>
      <c r="F3356" s="37" t="n">
        <f aca="false">DATE(YEAR(A3356),MONTH(A3356),1)</f>
        <v>46143</v>
      </c>
      <c r="G3356" s="24" t="str">
        <f aca="false">INDEX(Products!$C$2:$C$49,MATCH(C3356,Products!$A$2:$A$49,0))</f>
        <v>Personal Care</v>
      </c>
      <c r="H3356" s="33" t="n">
        <f aca="false">D3356*INDEX(Products!$E$2:$E$49,MATCH(C3356,Products!$A$2:$A$49,0))</f>
        <v>3780</v>
      </c>
      <c r="I3356" s="33" t="n">
        <f aca="false">D3356*INDEX(Products!$D$2:$D$49,MATCH(C3356,Products!$A$2:$A$49,0))*(1+INDEX(Assumptions!$B$16:$B$20,MATCH(B3356,Assumptions!$A$16:$A$20,0)))</f>
        <v>2359.152</v>
      </c>
      <c r="J3356" s="33" t="n">
        <f aca="false">H3356-I3356</f>
        <v>1420.848</v>
      </c>
      <c r="K3356" s="33" t="n">
        <f aca="false">IF(OR(E3356=0,E3356&gt;=7),0,D3356/(7-E3356)*E3356*INDEX(Products!$E$2:$E$49,MATCH(C3356,Products!$A$2:$A$49,0)))</f>
        <v>0</v>
      </c>
    </row>
    <row r="3357" customFormat="false" ht="15" hidden="false" customHeight="false" outlineLevel="0" collapsed="false">
      <c r="A3357" s="36" t="n">
        <v>46153</v>
      </c>
      <c r="B3357" s="24" t="s">
        <v>63</v>
      </c>
      <c r="C3357" s="24" t="s">
        <v>191</v>
      </c>
      <c r="D3357" s="33" t="n">
        <v>23</v>
      </c>
      <c r="E3357" s="24" t="n">
        <v>0</v>
      </c>
      <c r="F3357" s="37" t="n">
        <f aca="false">DATE(YEAR(A3357),MONTH(A3357),1)</f>
        <v>46143</v>
      </c>
      <c r="G3357" s="24" t="str">
        <f aca="false">INDEX(Products!$C$2:$C$49,MATCH(C3357,Products!$A$2:$A$49,0))</f>
        <v>Personal Care</v>
      </c>
      <c r="H3357" s="33" t="n">
        <f aca="false">D3357*INDEX(Products!$E$2:$E$49,MATCH(C3357,Products!$A$2:$A$49,0))</f>
        <v>4830</v>
      </c>
      <c r="I3357" s="33" t="n">
        <f aca="false">D3357*INDEX(Products!$D$2:$D$49,MATCH(C3357,Products!$A$2:$A$49,0))*(1+INDEX(Assumptions!$B$16:$B$20,MATCH(B3357,Assumptions!$A$16:$A$20,0)))</f>
        <v>3014.472</v>
      </c>
      <c r="J3357" s="33" t="n">
        <f aca="false">H3357-I3357</f>
        <v>1815.528</v>
      </c>
      <c r="K3357" s="33" t="n">
        <f aca="false">IF(OR(E3357=0,E3357&gt;=7),0,D3357/(7-E3357)*E3357*INDEX(Products!$E$2:$E$49,MATCH(C3357,Products!$A$2:$A$49,0)))</f>
        <v>0</v>
      </c>
    </row>
    <row r="3358" customFormat="false" ht="15" hidden="false" customHeight="false" outlineLevel="0" collapsed="false">
      <c r="A3358" s="36" t="n">
        <v>46160</v>
      </c>
      <c r="B3358" s="24" t="s">
        <v>63</v>
      </c>
      <c r="C3358" s="24" t="s">
        <v>191</v>
      </c>
      <c r="D3358" s="33" t="n">
        <v>23</v>
      </c>
      <c r="E3358" s="24" t="n">
        <v>0</v>
      </c>
      <c r="F3358" s="37" t="n">
        <f aca="false">DATE(YEAR(A3358),MONTH(A3358),1)</f>
        <v>46143</v>
      </c>
      <c r="G3358" s="24" t="str">
        <f aca="false">INDEX(Products!$C$2:$C$49,MATCH(C3358,Products!$A$2:$A$49,0))</f>
        <v>Personal Care</v>
      </c>
      <c r="H3358" s="33" t="n">
        <f aca="false">D3358*INDEX(Products!$E$2:$E$49,MATCH(C3358,Products!$A$2:$A$49,0))</f>
        <v>4830</v>
      </c>
      <c r="I3358" s="33" t="n">
        <f aca="false">D3358*INDEX(Products!$D$2:$D$49,MATCH(C3358,Products!$A$2:$A$49,0))*(1+INDEX(Assumptions!$B$16:$B$20,MATCH(B3358,Assumptions!$A$16:$A$20,0)))</f>
        <v>3014.472</v>
      </c>
      <c r="J3358" s="33" t="n">
        <f aca="false">H3358-I3358</f>
        <v>1815.528</v>
      </c>
      <c r="K3358" s="33" t="n">
        <f aca="false">IF(OR(E3358=0,E3358&gt;=7),0,D3358/(7-E3358)*E3358*INDEX(Products!$E$2:$E$49,MATCH(C3358,Products!$A$2:$A$49,0)))</f>
        <v>0</v>
      </c>
    </row>
    <row r="3359" customFormat="false" ht="15" hidden="false" customHeight="false" outlineLevel="0" collapsed="false">
      <c r="A3359" s="36" t="n">
        <v>46167</v>
      </c>
      <c r="B3359" s="24" t="s">
        <v>63</v>
      </c>
      <c r="C3359" s="24" t="s">
        <v>191</v>
      </c>
      <c r="D3359" s="33" t="n">
        <v>20</v>
      </c>
      <c r="E3359" s="24" t="n">
        <v>0</v>
      </c>
      <c r="F3359" s="37" t="n">
        <f aca="false">DATE(YEAR(A3359),MONTH(A3359),1)</f>
        <v>46143</v>
      </c>
      <c r="G3359" s="24" t="str">
        <f aca="false">INDEX(Products!$C$2:$C$49,MATCH(C3359,Products!$A$2:$A$49,0))</f>
        <v>Personal Care</v>
      </c>
      <c r="H3359" s="33" t="n">
        <f aca="false">D3359*INDEX(Products!$E$2:$E$49,MATCH(C3359,Products!$A$2:$A$49,0))</f>
        <v>4200</v>
      </c>
      <c r="I3359" s="33" t="n">
        <f aca="false">D3359*INDEX(Products!$D$2:$D$49,MATCH(C3359,Products!$A$2:$A$49,0))*(1+INDEX(Assumptions!$B$16:$B$20,MATCH(B3359,Assumptions!$A$16:$A$20,0)))</f>
        <v>2621.28</v>
      </c>
      <c r="J3359" s="33" t="n">
        <f aca="false">H3359-I3359</f>
        <v>1578.72</v>
      </c>
      <c r="K3359" s="33" t="n">
        <f aca="false">IF(OR(E3359=0,E3359&gt;=7),0,D3359/(7-E3359)*E3359*INDEX(Products!$E$2:$E$49,MATCH(C3359,Products!$A$2:$A$49,0)))</f>
        <v>0</v>
      </c>
    </row>
    <row r="3360" customFormat="false" ht="15" hidden="false" customHeight="false" outlineLevel="0" collapsed="false">
      <c r="A3360" s="36" t="n">
        <v>46174</v>
      </c>
      <c r="B3360" s="24" t="s">
        <v>63</v>
      </c>
      <c r="C3360" s="24" t="s">
        <v>191</v>
      </c>
      <c r="D3360" s="33" t="n">
        <v>14</v>
      </c>
      <c r="E3360" s="24" t="n">
        <v>0</v>
      </c>
      <c r="F3360" s="37" t="n">
        <f aca="false">DATE(YEAR(A3360),MONTH(A3360),1)</f>
        <v>46174</v>
      </c>
      <c r="G3360" s="24" t="str">
        <f aca="false">INDEX(Products!$C$2:$C$49,MATCH(C3360,Products!$A$2:$A$49,0))</f>
        <v>Personal Care</v>
      </c>
      <c r="H3360" s="33" t="n">
        <f aca="false">D3360*INDEX(Products!$E$2:$E$49,MATCH(C3360,Products!$A$2:$A$49,0))</f>
        <v>2940</v>
      </c>
      <c r="I3360" s="33" t="n">
        <f aca="false">D3360*INDEX(Products!$D$2:$D$49,MATCH(C3360,Products!$A$2:$A$49,0))*(1+INDEX(Assumptions!$B$16:$B$20,MATCH(B3360,Assumptions!$A$16:$A$20,0)))</f>
        <v>1834.896</v>
      </c>
      <c r="J3360" s="33" t="n">
        <f aca="false">H3360-I3360</f>
        <v>1105.104</v>
      </c>
      <c r="K3360" s="33" t="n">
        <f aca="false">IF(OR(E3360=0,E3360&gt;=7),0,D3360/(7-E3360)*E3360*INDEX(Products!$E$2:$E$49,MATCH(C3360,Products!$A$2:$A$49,0)))</f>
        <v>0</v>
      </c>
    </row>
    <row r="3361" customFormat="false" ht="15" hidden="false" customHeight="false" outlineLevel="0" collapsed="false">
      <c r="A3361" s="36" t="n">
        <v>46181</v>
      </c>
      <c r="B3361" s="24" t="s">
        <v>63</v>
      </c>
      <c r="C3361" s="24" t="s">
        <v>191</v>
      </c>
      <c r="D3361" s="33" t="n">
        <v>17</v>
      </c>
      <c r="E3361" s="24" t="n">
        <v>0</v>
      </c>
      <c r="F3361" s="37" t="n">
        <f aca="false">DATE(YEAR(A3361),MONTH(A3361),1)</f>
        <v>46174</v>
      </c>
      <c r="G3361" s="24" t="str">
        <f aca="false">INDEX(Products!$C$2:$C$49,MATCH(C3361,Products!$A$2:$A$49,0))</f>
        <v>Personal Care</v>
      </c>
      <c r="H3361" s="33" t="n">
        <f aca="false">D3361*INDEX(Products!$E$2:$E$49,MATCH(C3361,Products!$A$2:$A$49,0))</f>
        <v>3570</v>
      </c>
      <c r="I3361" s="33" t="n">
        <f aca="false">D3361*INDEX(Products!$D$2:$D$49,MATCH(C3361,Products!$A$2:$A$49,0))*(1+INDEX(Assumptions!$B$16:$B$20,MATCH(B3361,Assumptions!$A$16:$A$20,0)))</f>
        <v>2228.088</v>
      </c>
      <c r="J3361" s="33" t="n">
        <f aca="false">H3361-I3361</f>
        <v>1341.912</v>
      </c>
      <c r="K3361" s="33" t="n">
        <f aca="false">IF(OR(E3361=0,E3361&gt;=7),0,D3361/(7-E3361)*E3361*INDEX(Products!$E$2:$E$49,MATCH(C3361,Products!$A$2:$A$49,0)))</f>
        <v>0</v>
      </c>
    </row>
    <row r="3362" customFormat="false" ht="15" hidden="false" customHeight="false" outlineLevel="0" collapsed="false">
      <c r="A3362" s="36" t="n">
        <v>46188</v>
      </c>
      <c r="B3362" s="24" t="s">
        <v>63</v>
      </c>
      <c r="C3362" s="24" t="s">
        <v>191</v>
      </c>
      <c r="D3362" s="33" t="n">
        <v>15</v>
      </c>
      <c r="E3362" s="24" t="n">
        <v>0</v>
      </c>
      <c r="F3362" s="37" t="n">
        <f aca="false">DATE(YEAR(A3362),MONTH(A3362),1)</f>
        <v>46174</v>
      </c>
      <c r="G3362" s="24" t="str">
        <f aca="false">INDEX(Products!$C$2:$C$49,MATCH(C3362,Products!$A$2:$A$49,0))</f>
        <v>Personal Care</v>
      </c>
      <c r="H3362" s="33" t="n">
        <f aca="false">D3362*INDEX(Products!$E$2:$E$49,MATCH(C3362,Products!$A$2:$A$49,0))</f>
        <v>3150</v>
      </c>
      <c r="I3362" s="33" t="n">
        <f aca="false">D3362*INDEX(Products!$D$2:$D$49,MATCH(C3362,Products!$A$2:$A$49,0))*(1+INDEX(Assumptions!$B$16:$B$20,MATCH(B3362,Assumptions!$A$16:$A$20,0)))</f>
        <v>1965.96</v>
      </c>
      <c r="J3362" s="33" t="n">
        <f aca="false">H3362-I3362</f>
        <v>1184.04</v>
      </c>
      <c r="K3362" s="33" t="n">
        <f aca="false">IF(OR(E3362=0,E3362&gt;=7),0,D3362/(7-E3362)*E3362*INDEX(Products!$E$2:$E$49,MATCH(C3362,Products!$A$2:$A$49,0)))</f>
        <v>0</v>
      </c>
    </row>
    <row r="3363" customFormat="false" ht="15" hidden="false" customHeight="false" outlineLevel="0" collapsed="false">
      <c r="A3363" s="36" t="n">
        <v>46195</v>
      </c>
      <c r="B3363" s="24" t="s">
        <v>63</v>
      </c>
      <c r="C3363" s="24" t="s">
        <v>191</v>
      </c>
      <c r="D3363" s="33" t="n">
        <v>14</v>
      </c>
      <c r="E3363" s="24" t="n">
        <v>0</v>
      </c>
      <c r="F3363" s="37" t="n">
        <f aca="false">DATE(YEAR(A3363),MONTH(A3363),1)</f>
        <v>46174</v>
      </c>
      <c r="G3363" s="24" t="str">
        <f aca="false">INDEX(Products!$C$2:$C$49,MATCH(C3363,Products!$A$2:$A$49,0))</f>
        <v>Personal Care</v>
      </c>
      <c r="H3363" s="33" t="n">
        <f aca="false">D3363*INDEX(Products!$E$2:$E$49,MATCH(C3363,Products!$A$2:$A$49,0))</f>
        <v>2940</v>
      </c>
      <c r="I3363" s="33" t="n">
        <f aca="false">D3363*INDEX(Products!$D$2:$D$49,MATCH(C3363,Products!$A$2:$A$49,0))*(1+INDEX(Assumptions!$B$16:$B$20,MATCH(B3363,Assumptions!$A$16:$A$20,0)))</f>
        <v>1834.896</v>
      </c>
      <c r="J3363" s="33" t="n">
        <f aca="false">H3363-I3363</f>
        <v>1105.104</v>
      </c>
      <c r="K3363" s="33" t="n">
        <f aca="false">IF(OR(E3363=0,E3363&gt;=7),0,D3363/(7-E3363)*E3363*INDEX(Products!$E$2:$E$49,MATCH(C3363,Products!$A$2:$A$49,0)))</f>
        <v>0</v>
      </c>
    </row>
    <row r="3364" customFormat="false" ht="15" hidden="false" customHeight="false" outlineLevel="0" collapsed="false">
      <c r="A3364" s="36" t="n">
        <v>46202</v>
      </c>
      <c r="B3364" s="24" t="s">
        <v>63</v>
      </c>
      <c r="C3364" s="24" t="s">
        <v>191</v>
      </c>
      <c r="D3364" s="33" t="n">
        <v>14</v>
      </c>
      <c r="E3364" s="24" t="n">
        <v>0</v>
      </c>
      <c r="F3364" s="37" t="n">
        <f aca="false">DATE(YEAR(A3364),MONTH(A3364),1)</f>
        <v>46174</v>
      </c>
      <c r="G3364" s="24" t="str">
        <f aca="false">INDEX(Products!$C$2:$C$49,MATCH(C3364,Products!$A$2:$A$49,0))</f>
        <v>Personal Care</v>
      </c>
      <c r="H3364" s="33" t="n">
        <f aca="false">D3364*INDEX(Products!$E$2:$E$49,MATCH(C3364,Products!$A$2:$A$49,0))</f>
        <v>2940</v>
      </c>
      <c r="I3364" s="33" t="n">
        <f aca="false">D3364*INDEX(Products!$D$2:$D$49,MATCH(C3364,Products!$A$2:$A$49,0))*(1+INDEX(Assumptions!$B$16:$B$20,MATCH(B3364,Assumptions!$A$16:$A$20,0)))</f>
        <v>1834.896</v>
      </c>
      <c r="J3364" s="33" t="n">
        <f aca="false">H3364-I3364</f>
        <v>1105.104</v>
      </c>
      <c r="K3364" s="33" t="n">
        <f aca="false">IF(OR(E3364=0,E3364&gt;=7),0,D3364/(7-E3364)*E3364*INDEX(Products!$E$2:$E$49,MATCH(C3364,Products!$A$2:$A$49,0)))</f>
        <v>0</v>
      </c>
    </row>
    <row r="3365" customFormat="false" ht="15" hidden="false" customHeight="false" outlineLevel="0" collapsed="false">
      <c r="A3365" s="36" t="n">
        <v>46209</v>
      </c>
      <c r="B3365" s="24" t="s">
        <v>63</v>
      </c>
      <c r="C3365" s="24" t="s">
        <v>191</v>
      </c>
      <c r="D3365" s="33" t="n">
        <v>14</v>
      </c>
      <c r="E3365" s="24" t="n">
        <v>0</v>
      </c>
      <c r="F3365" s="37" t="n">
        <f aca="false">DATE(YEAR(A3365),MONTH(A3365),1)</f>
        <v>46204</v>
      </c>
      <c r="G3365" s="24" t="str">
        <f aca="false">INDEX(Products!$C$2:$C$49,MATCH(C3365,Products!$A$2:$A$49,0))</f>
        <v>Personal Care</v>
      </c>
      <c r="H3365" s="33" t="n">
        <f aca="false">D3365*INDEX(Products!$E$2:$E$49,MATCH(C3365,Products!$A$2:$A$49,0))</f>
        <v>2940</v>
      </c>
      <c r="I3365" s="33" t="n">
        <f aca="false">D3365*INDEX(Products!$D$2:$D$49,MATCH(C3365,Products!$A$2:$A$49,0))*(1+INDEX(Assumptions!$B$16:$B$20,MATCH(B3365,Assumptions!$A$16:$A$20,0)))</f>
        <v>1834.896</v>
      </c>
      <c r="J3365" s="33" t="n">
        <f aca="false">H3365-I3365</f>
        <v>1105.104</v>
      </c>
      <c r="K3365" s="33" t="n">
        <f aca="false">IF(OR(E3365=0,E3365&gt;=7),0,D3365/(7-E3365)*E3365*INDEX(Products!$E$2:$E$49,MATCH(C3365,Products!$A$2:$A$49,0)))</f>
        <v>0</v>
      </c>
    </row>
    <row r="3366" customFormat="false" ht="15" hidden="false" customHeight="false" outlineLevel="0" collapsed="false">
      <c r="A3366" s="36" t="n">
        <v>46216</v>
      </c>
      <c r="B3366" s="24" t="s">
        <v>63</v>
      </c>
      <c r="C3366" s="24" t="s">
        <v>191</v>
      </c>
      <c r="D3366" s="33" t="n">
        <v>4</v>
      </c>
      <c r="E3366" s="24" t="n">
        <v>0</v>
      </c>
      <c r="F3366" s="37" t="n">
        <f aca="false">DATE(YEAR(A3366),MONTH(A3366),1)</f>
        <v>46204</v>
      </c>
      <c r="G3366" s="24" t="str">
        <f aca="false">INDEX(Products!$C$2:$C$49,MATCH(C3366,Products!$A$2:$A$49,0))</f>
        <v>Personal Care</v>
      </c>
      <c r="H3366" s="33" t="n">
        <f aca="false">D3366*INDEX(Products!$E$2:$E$49,MATCH(C3366,Products!$A$2:$A$49,0))</f>
        <v>840</v>
      </c>
      <c r="I3366" s="33" t="n">
        <f aca="false">D3366*INDEX(Products!$D$2:$D$49,MATCH(C3366,Products!$A$2:$A$49,0))*(1+INDEX(Assumptions!$B$16:$B$20,MATCH(B3366,Assumptions!$A$16:$A$20,0)))</f>
        <v>524.256</v>
      </c>
      <c r="J3366" s="33" t="n">
        <f aca="false">H3366-I3366</f>
        <v>315.744</v>
      </c>
      <c r="K3366" s="33" t="n">
        <f aca="false">IF(OR(E3366=0,E3366&gt;=7),0,D3366/(7-E3366)*E3366*INDEX(Products!$E$2:$E$49,MATCH(C3366,Products!$A$2:$A$49,0)))</f>
        <v>0</v>
      </c>
    </row>
    <row r="3367" customFormat="false" ht="15" hidden="false" customHeight="false" outlineLevel="0" collapsed="false">
      <c r="A3367" s="36" t="n">
        <v>46223</v>
      </c>
      <c r="B3367" s="24" t="s">
        <v>63</v>
      </c>
      <c r="C3367" s="24" t="s">
        <v>191</v>
      </c>
      <c r="D3367" s="33" t="n">
        <v>14</v>
      </c>
      <c r="E3367" s="24" t="n">
        <v>0</v>
      </c>
      <c r="F3367" s="37" t="n">
        <f aca="false">DATE(YEAR(A3367),MONTH(A3367),1)</f>
        <v>46204</v>
      </c>
      <c r="G3367" s="24" t="str">
        <f aca="false">INDEX(Products!$C$2:$C$49,MATCH(C3367,Products!$A$2:$A$49,0))</f>
        <v>Personal Care</v>
      </c>
      <c r="H3367" s="33" t="n">
        <f aca="false">D3367*INDEX(Products!$E$2:$E$49,MATCH(C3367,Products!$A$2:$A$49,0))</f>
        <v>2940</v>
      </c>
      <c r="I3367" s="33" t="n">
        <f aca="false">D3367*INDEX(Products!$D$2:$D$49,MATCH(C3367,Products!$A$2:$A$49,0))*(1+INDEX(Assumptions!$B$16:$B$20,MATCH(B3367,Assumptions!$A$16:$A$20,0)))</f>
        <v>1834.896</v>
      </c>
      <c r="J3367" s="33" t="n">
        <f aca="false">H3367-I3367</f>
        <v>1105.104</v>
      </c>
      <c r="K3367" s="33" t="n">
        <f aca="false">IF(OR(E3367=0,E3367&gt;=7),0,D3367/(7-E3367)*E3367*INDEX(Products!$E$2:$E$49,MATCH(C3367,Products!$A$2:$A$49,0)))</f>
        <v>0</v>
      </c>
    </row>
    <row r="3368" customFormat="false" ht="15" hidden="false" customHeight="false" outlineLevel="0" collapsed="false">
      <c r="A3368" s="36" t="n">
        <v>46230</v>
      </c>
      <c r="B3368" s="24" t="s">
        <v>63</v>
      </c>
      <c r="C3368" s="24" t="s">
        <v>191</v>
      </c>
      <c r="D3368" s="33" t="n">
        <v>13</v>
      </c>
      <c r="E3368" s="24" t="n">
        <v>0</v>
      </c>
      <c r="F3368" s="37" t="n">
        <f aca="false">DATE(YEAR(A3368),MONTH(A3368),1)</f>
        <v>46204</v>
      </c>
      <c r="G3368" s="24" t="str">
        <f aca="false">INDEX(Products!$C$2:$C$49,MATCH(C3368,Products!$A$2:$A$49,0))</f>
        <v>Personal Care</v>
      </c>
      <c r="H3368" s="33" t="n">
        <f aca="false">D3368*INDEX(Products!$E$2:$E$49,MATCH(C3368,Products!$A$2:$A$49,0))</f>
        <v>2730</v>
      </c>
      <c r="I3368" s="33" t="n">
        <f aca="false">D3368*INDEX(Products!$D$2:$D$49,MATCH(C3368,Products!$A$2:$A$49,0))*(1+INDEX(Assumptions!$B$16:$B$20,MATCH(B3368,Assumptions!$A$16:$A$20,0)))</f>
        <v>1703.832</v>
      </c>
      <c r="J3368" s="33" t="n">
        <f aca="false">H3368-I3368</f>
        <v>1026.168</v>
      </c>
      <c r="K3368" s="33" t="n">
        <f aca="false">IF(OR(E3368=0,E3368&gt;=7),0,D3368/(7-E3368)*E3368*INDEX(Products!$E$2:$E$49,MATCH(C3368,Products!$A$2:$A$49,0)))</f>
        <v>0</v>
      </c>
    </row>
    <row r="3369" customFormat="false" ht="15" hidden="false" customHeight="false" outlineLevel="0" collapsed="false">
      <c r="A3369" s="36" t="n">
        <v>46237</v>
      </c>
      <c r="B3369" s="24" t="s">
        <v>63</v>
      </c>
      <c r="C3369" s="24" t="s">
        <v>191</v>
      </c>
      <c r="D3369" s="33" t="n">
        <v>9</v>
      </c>
      <c r="E3369" s="24" t="n">
        <v>0</v>
      </c>
      <c r="F3369" s="37" t="n">
        <f aca="false">DATE(YEAR(A3369),MONTH(A3369),1)</f>
        <v>46235</v>
      </c>
      <c r="G3369" s="24" t="str">
        <f aca="false">INDEX(Products!$C$2:$C$49,MATCH(C3369,Products!$A$2:$A$49,0))</f>
        <v>Personal Care</v>
      </c>
      <c r="H3369" s="33" t="n">
        <f aca="false">D3369*INDEX(Products!$E$2:$E$49,MATCH(C3369,Products!$A$2:$A$49,0))</f>
        <v>1890</v>
      </c>
      <c r="I3369" s="33" t="n">
        <f aca="false">D3369*INDEX(Products!$D$2:$D$49,MATCH(C3369,Products!$A$2:$A$49,0))*(1+INDEX(Assumptions!$B$16:$B$20,MATCH(B3369,Assumptions!$A$16:$A$20,0)))</f>
        <v>1179.576</v>
      </c>
      <c r="J3369" s="33" t="n">
        <f aca="false">H3369-I3369</f>
        <v>710.424</v>
      </c>
      <c r="K3369" s="33" t="n">
        <f aca="false">IF(OR(E3369=0,E3369&gt;=7),0,D3369/(7-E3369)*E3369*INDEX(Products!$E$2:$E$49,MATCH(C3369,Products!$A$2:$A$49,0)))</f>
        <v>0</v>
      </c>
    </row>
    <row r="3370" customFormat="false" ht="15" hidden="false" customHeight="false" outlineLevel="0" collapsed="false">
      <c r="A3370" s="36" t="n">
        <v>46244</v>
      </c>
      <c r="B3370" s="24" t="s">
        <v>63</v>
      </c>
      <c r="C3370" s="24" t="s">
        <v>191</v>
      </c>
      <c r="D3370" s="33" t="n">
        <v>18</v>
      </c>
      <c r="E3370" s="24" t="n">
        <v>0</v>
      </c>
      <c r="F3370" s="37" t="n">
        <f aca="false">DATE(YEAR(A3370),MONTH(A3370),1)</f>
        <v>46235</v>
      </c>
      <c r="G3370" s="24" t="str">
        <f aca="false">INDEX(Products!$C$2:$C$49,MATCH(C3370,Products!$A$2:$A$49,0))</f>
        <v>Personal Care</v>
      </c>
      <c r="H3370" s="33" t="n">
        <f aca="false">D3370*INDEX(Products!$E$2:$E$49,MATCH(C3370,Products!$A$2:$A$49,0))</f>
        <v>3780</v>
      </c>
      <c r="I3370" s="33" t="n">
        <f aca="false">D3370*INDEX(Products!$D$2:$D$49,MATCH(C3370,Products!$A$2:$A$49,0))*(1+INDEX(Assumptions!$B$16:$B$20,MATCH(B3370,Assumptions!$A$16:$A$20,0)))</f>
        <v>2359.152</v>
      </c>
      <c r="J3370" s="33" t="n">
        <f aca="false">H3370-I3370</f>
        <v>1420.848</v>
      </c>
      <c r="K3370" s="33" t="n">
        <f aca="false">IF(OR(E3370=0,E3370&gt;=7),0,D3370/(7-E3370)*E3370*INDEX(Products!$E$2:$E$49,MATCH(C3370,Products!$A$2:$A$49,0)))</f>
        <v>0</v>
      </c>
    </row>
    <row r="3371" customFormat="false" ht="15" hidden="false" customHeight="false" outlineLevel="0" collapsed="false">
      <c r="A3371" s="36" t="n">
        <v>46251</v>
      </c>
      <c r="B3371" s="24" t="s">
        <v>63</v>
      </c>
      <c r="C3371" s="24" t="s">
        <v>191</v>
      </c>
      <c r="D3371" s="33" t="n">
        <v>12</v>
      </c>
      <c r="E3371" s="24" t="n">
        <v>0</v>
      </c>
      <c r="F3371" s="37" t="n">
        <f aca="false">DATE(YEAR(A3371),MONTH(A3371),1)</f>
        <v>46235</v>
      </c>
      <c r="G3371" s="24" t="str">
        <f aca="false">INDEX(Products!$C$2:$C$49,MATCH(C3371,Products!$A$2:$A$49,0))</f>
        <v>Personal Care</v>
      </c>
      <c r="H3371" s="33" t="n">
        <f aca="false">D3371*INDEX(Products!$E$2:$E$49,MATCH(C3371,Products!$A$2:$A$49,0))</f>
        <v>2520</v>
      </c>
      <c r="I3371" s="33" t="n">
        <f aca="false">D3371*INDEX(Products!$D$2:$D$49,MATCH(C3371,Products!$A$2:$A$49,0))*(1+INDEX(Assumptions!$B$16:$B$20,MATCH(B3371,Assumptions!$A$16:$A$20,0)))</f>
        <v>1572.768</v>
      </c>
      <c r="J3371" s="33" t="n">
        <f aca="false">H3371-I3371</f>
        <v>947.232</v>
      </c>
      <c r="K3371" s="33" t="n">
        <f aca="false">IF(OR(E3371=0,E3371&gt;=7),0,D3371/(7-E3371)*E3371*INDEX(Products!$E$2:$E$49,MATCH(C3371,Products!$A$2:$A$49,0)))</f>
        <v>0</v>
      </c>
    </row>
    <row r="3372" customFormat="false" ht="15" hidden="false" customHeight="false" outlineLevel="0" collapsed="false">
      <c r="A3372" s="36" t="n">
        <v>46258</v>
      </c>
      <c r="B3372" s="24" t="s">
        <v>63</v>
      </c>
      <c r="C3372" s="24" t="s">
        <v>191</v>
      </c>
      <c r="D3372" s="33" t="n">
        <v>20</v>
      </c>
      <c r="E3372" s="24" t="n">
        <v>0</v>
      </c>
      <c r="F3372" s="37" t="n">
        <f aca="false">DATE(YEAR(A3372),MONTH(A3372),1)</f>
        <v>46235</v>
      </c>
      <c r="G3372" s="24" t="str">
        <f aca="false">INDEX(Products!$C$2:$C$49,MATCH(C3372,Products!$A$2:$A$49,0))</f>
        <v>Personal Care</v>
      </c>
      <c r="H3372" s="33" t="n">
        <f aca="false">D3372*INDEX(Products!$E$2:$E$49,MATCH(C3372,Products!$A$2:$A$49,0))</f>
        <v>4200</v>
      </c>
      <c r="I3372" s="33" t="n">
        <f aca="false">D3372*INDEX(Products!$D$2:$D$49,MATCH(C3372,Products!$A$2:$A$49,0))*(1+INDEX(Assumptions!$B$16:$B$20,MATCH(B3372,Assumptions!$A$16:$A$20,0)))</f>
        <v>2621.28</v>
      </c>
      <c r="J3372" s="33" t="n">
        <f aca="false">H3372-I3372</f>
        <v>1578.72</v>
      </c>
      <c r="K3372" s="33" t="n">
        <f aca="false">IF(OR(E3372=0,E3372&gt;=7),0,D3372/(7-E3372)*E3372*INDEX(Products!$E$2:$E$49,MATCH(C3372,Products!$A$2:$A$49,0)))</f>
        <v>0</v>
      </c>
    </row>
    <row r="3373" customFormat="false" ht="15" hidden="false" customHeight="false" outlineLevel="0" collapsed="false">
      <c r="A3373" s="36" t="n">
        <v>46265</v>
      </c>
      <c r="B3373" s="24" t="s">
        <v>63</v>
      </c>
      <c r="C3373" s="24" t="s">
        <v>191</v>
      </c>
      <c r="D3373" s="33" t="n">
        <v>22</v>
      </c>
      <c r="E3373" s="24" t="n">
        <v>0</v>
      </c>
      <c r="F3373" s="37" t="n">
        <f aca="false">DATE(YEAR(A3373),MONTH(A3373),1)</f>
        <v>46235</v>
      </c>
      <c r="G3373" s="24" t="str">
        <f aca="false">INDEX(Products!$C$2:$C$49,MATCH(C3373,Products!$A$2:$A$49,0))</f>
        <v>Personal Care</v>
      </c>
      <c r="H3373" s="33" t="n">
        <f aca="false">D3373*INDEX(Products!$E$2:$E$49,MATCH(C3373,Products!$A$2:$A$49,0))</f>
        <v>4620</v>
      </c>
      <c r="I3373" s="33" t="n">
        <f aca="false">D3373*INDEX(Products!$D$2:$D$49,MATCH(C3373,Products!$A$2:$A$49,0))*(1+INDEX(Assumptions!$B$16:$B$20,MATCH(B3373,Assumptions!$A$16:$A$20,0)))</f>
        <v>2883.408</v>
      </c>
      <c r="J3373" s="33" t="n">
        <f aca="false">H3373-I3373</f>
        <v>1736.592</v>
      </c>
      <c r="K3373" s="33" t="n">
        <f aca="false">IF(OR(E3373=0,E3373&gt;=7),0,D3373/(7-E3373)*E3373*INDEX(Products!$E$2:$E$49,MATCH(C3373,Products!$A$2:$A$49,0)))</f>
        <v>0</v>
      </c>
    </row>
    <row r="3374" customFormat="false" ht="15" hidden="false" customHeight="false" outlineLevel="0" collapsed="false">
      <c r="A3374" s="36" t="n">
        <v>46272</v>
      </c>
      <c r="B3374" s="24" t="s">
        <v>63</v>
      </c>
      <c r="C3374" s="24" t="s">
        <v>191</v>
      </c>
      <c r="D3374" s="33" t="n">
        <v>19</v>
      </c>
      <c r="E3374" s="24" t="n">
        <v>0</v>
      </c>
      <c r="F3374" s="37" t="n">
        <f aca="false">DATE(YEAR(A3374),MONTH(A3374),1)</f>
        <v>46266</v>
      </c>
      <c r="G3374" s="24" t="str">
        <f aca="false">INDEX(Products!$C$2:$C$49,MATCH(C3374,Products!$A$2:$A$49,0))</f>
        <v>Personal Care</v>
      </c>
      <c r="H3374" s="33" t="n">
        <f aca="false">D3374*INDEX(Products!$E$2:$E$49,MATCH(C3374,Products!$A$2:$A$49,0))</f>
        <v>3990</v>
      </c>
      <c r="I3374" s="33" t="n">
        <f aca="false">D3374*INDEX(Products!$D$2:$D$49,MATCH(C3374,Products!$A$2:$A$49,0))*(1+INDEX(Assumptions!$B$16:$B$20,MATCH(B3374,Assumptions!$A$16:$A$20,0)))</f>
        <v>2490.216</v>
      </c>
      <c r="J3374" s="33" t="n">
        <f aca="false">H3374-I3374</f>
        <v>1499.784</v>
      </c>
      <c r="K3374" s="33" t="n">
        <f aca="false">IF(OR(E3374=0,E3374&gt;=7),0,D3374/(7-E3374)*E3374*INDEX(Products!$E$2:$E$49,MATCH(C3374,Products!$A$2:$A$49,0)))</f>
        <v>0</v>
      </c>
    </row>
    <row r="3375" customFormat="false" ht="15" hidden="false" customHeight="false" outlineLevel="0" collapsed="false">
      <c r="A3375" s="36" t="n">
        <v>46279</v>
      </c>
      <c r="B3375" s="24" t="s">
        <v>63</v>
      </c>
      <c r="C3375" s="24" t="s">
        <v>191</v>
      </c>
      <c r="D3375" s="33" t="n">
        <v>15</v>
      </c>
      <c r="E3375" s="24" t="n">
        <v>0</v>
      </c>
      <c r="F3375" s="37" t="n">
        <f aca="false">DATE(YEAR(A3375),MONTH(A3375),1)</f>
        <v>46266</v>
      </c>
      <c r="G3375" s="24" t="str">
        <f aca="false">INDEX(Products!$C$2:$C$49,MATCH(C3375,Products!$A$2:$A$49,0))</f>
        <v>Personal Care</v>
      </c>
      <c r="H3375" s="33" t="n">
        <f aca="false">D3375*INDEX(Products!$E$2:$E$49,MATCH(C3375,Products!$A$2:$A$49,0))</f>
        <v>3150</v>
      </c>
      <c r="I3375" s="33" t="n">
        <f aca="false">D3375*INDEX(Products!$D$2:$D$49,MATCH(C3375,Products!$A$2:$A$49,0))*(1+INDEX(Assumptions!$B$16:$B$20,MATCH(B3375,Assumptions!$A$16:$A$20,0)))</f>
        <v>1965.96</v>
      </c>
      <c r="J3375" s="33" t="n">
        <f aca="false">H3375-I3375</f>
        <v>1184.04</v>
      </c>
      <c r="K3375" s="33" t="n">
        <f aca="false">IF(OR(E3375=0,E3375&gt;=7),0,D3375/(7-E3375)*E3375*INDEX(Products!$E$2:$E$49,MATCH(C3375,Products!$A$2:$A$49,0)))</f>
        <v>0</v>
      </c>
    </row>
    <row r="3376" customFormat="false" ht="15" hidden="false" customHeight="false" outlineLevel="0" collapsed="false">
      <c r="A3376" s="36" t="n">
        <v>46286</v>
      </c>
      <c r="B3376" s="24" t="s">
        <v>63</v>
      </c>
      <c r="C3376" s="24" t="s">
        <v>191</v>
      </c>
      <c r="D3376" s="33" t="n">
        <v>17</v>
      </c>
      <c r="E3376" s="24" t="n">
        <v>0</v>
      </c>
      <c r="F3376" s="37" t="n">
        <f aca="false">DATE(YEAR(A3376),MONTH(A3376),1)</f>
        <v>46266</v>
      </c>
      <c r="G3376" s="24" t="str">
        <f aca="false">INDEX(Products!$C$2:$C$49,MATCH(C3376,Products!$A$2:$A$49,0))</f>
        <v>Personal Care</v>
      </c>
      <c r="H3376" s="33" t="n">
        <f aca="false">D3376*INDEX(Products!$E$2:$E$49,MATCH(C3376,Products!$A$2:$A$49,0))</f>
        <v>3570</v>
      </c>
      <c r="I3376" s="33" t="n">
        <f aca="false">D3376*INDEX(Products!$D$2:$D$49,MATCH(C3376,Products!$A$2:$A$49,0))*(1+INDEX(Assumptions!$B$16:$B$20,MATCH(B3376,Assumptions!$A$16:$A$20,0)))</f>
        <v>2228.088</v>
      </c>
      <c r="J3376" s="33" t="n">
        <f aca="false">H3376-I3376</f>
        <v>1341.912</v>
      </c>
      <c r="K3376" s="33" t="n">
        <f aca="false">IF(OR(E3376=0,E3376&gt;=7),0,D3376/(7-E3376)*E3376*INDEX(Products!$E$2:$E$49,MATCH(C3376,Products!$A$2:$A$49,0)))</f>
        <v>0</v>
      </c>
    </row>
    <row r="3377" customFormat="false" ht="15" hidden="false" customHeight="false" outlineLevel="0" collapsed="false">
      <c r="A3377" s="36" t="n">
        <v>46118</v>
      </c>
      <c r="B3377" s="24" t="s">
        <v>63</v>
      </c>
      <c r="C3377" s="24" t="s">
        <v>193</v>
      </c>
      <c r="D3377" s="33" t="n">
        <v>64</v>
      </c>
      <c r="E3377" s="24" t="n">
        <v>0</v>
      </c>
      <c r="F3377" s="37" t="n">
        <f aca="false">DATE(YEAR(A3377),MONTH(A3377),1)</f>
        <v>46113</v>
      </c>
      <c r="G3377" s="24" t="str">
        <f aca="false">INDEX(Products!$C$2:$C$49,MATCH(C3377,Products!$A$2:$A$49,0))</f>
        <v>Personal Care</v>
      </c>
      <c r="H3377" s="33" t="n">
        <f aca="false">D3377*INDEX(Products!$E$2:$E$49,MATCH(C3377,Products!$A$2:$A$49,0))</f>
        <v>14080</v>
      </c>
      <c r="I3377" s="33" t="n">
        <f aca="false">D3377*INDEX(Products!$D$2:$D$49,MATCH(C3377,Products!$A$2:$A$49,0))*(1+INDEX(Assumptions!$B$16:$B$20,MATCH(B3377,Assumptions!$A$16:$A$20,0)))</f>
        <v>10273.792</v>
      </c>
      <c r="J3377" s="33" t="n">
        <f aca="false">H3377-I3377</f>
        <v>3806.208</v>
      </c>
      <c r="K3377" s="33" t="n">
        <f aca="false">IF(OR(E3377=0,E3377&gt;=7),0,D3377/(7-E3377)*E3377*INDEX(Products!$E$2:$E$49,MATCH(C3377,Products!$A$2:$A$49,0)))</f>
        <v>0</v>
      </c>
    </row>
    <row r="3378" customFormat="false" ht="15" hidden="false" customHeight="false" outlineLevel="0" collapsed="false">
      <c r="A3378" s="36" t="n">
        <v>46125</v>
      </c>
      <c r="B3378" s="24" t="s">
        <v>63</v>
      </c>
      <c r="C3378" s="24" t="s">
        <v>193</v>
      </c>
      <c r="D3378" s="33" t="n">
        <v>78</v>
      </c>
      <c r="E3378" s="24" t="n">
        <v>0</v>
      </c>
      <c r="F3378" s="37" t="n">
        <f aca="false">DATE(YEAR(A3378),MONTH(A3378),1)</f>
        <v>46113</v>
      </c>
      <c r="G3378" s="24" t="str">
        <f aca="false">INDEX(Products!$C$2:$C$49,MATCH(C3378,Products!$A$2:$A$49,0))</f>
        <v>Personal Care</v>
      </c>
      <c r="H3378" s="33" t="n">
        <f aca="false">D3378*INDEX(Products!$E$2:$E$49,MATCH(C3378,Products!$A$2:$A$49,0))</f>
        <v>17160</v>
      </c>
      <c r="I3378" s="33" t="n">
        <f aca="false">D3378*INDEX(Products!$D$2:$D$49,MATCH(C3378,Products!$A$2:$A$49,0))*(1+INDEX(Assumptions!$B$16:$B$20,MATCH(B3378,Assumptions!$A$16:$A$20,0)))</f>
        <v>12521.184</v>
      </c>
      <c r="J3378" s="33" t="n">
        <f aca="false">H3378-I3378</f>
        <v>4638.816</v>
      </c>
      <c r="K3378" s="33" t="n">
        <f aca="false">IF(OR(E3378=0,E3378&gt;=7),0,D3378/(7-E3378)*E3378*INDEX(Products!$E$2:$E$49,MATCH(C3378,Products!$A$2:$A$49,0)))</f>
        <v>0</v>
      </c>
    </row>
    <row r="3379" customFormat="false" ht="15" hidden="false" customHeight="false" outlineLevel="0" collapsed="false">
      <c r="A3379" s="36" t="n">
        <v>46132</v>
      </c>
      <c r="B3379" s="24" t="s">
        <v>63</v>
      </c>
      <c r="C3379" s="24" t="s">
        <v>193</v>
      </c>
      <c r="D3379" s="33" t="n">
        <v>74</v>
      </c>
      <c r="E3379" s="24" t="n">
        <v>0</v>
      </c>
      <c r="F3379" s="37" t="n">
        <f aca="false">DATE(YEAR(A3379),MONTH(A3379),1)</f>
        <v>46113</v>
      </c>
      <c r="G3379" s="24" t="str">
        <f aca="false">INDEX(Products!$C$2:$C$49,MATCH(C3379,Products!$A$2:$A$49,0))</f>
        <v>Personal Care</v>
      </c>
      <c r="H3379" s="33" t="n">
        <f aca="false">D3379*INDEX(Products!$E$2:$E$49,MATCH(C3379,Products!$A$2:$A$49,0))</f>
        <v>16280</v>
      </c>
      <c r="I3379" s="33" t="n">
        <f aca="false">D3379*INDEX(Products!$D$2:$D$49,MATCH(C3379,Products!$A$2:$A$49,0))*(1+INDEX(Assumptions!$B$16:$B$20,MATCH(B3379,Assumptions!$A$16:$A$20,0)))</f>
        <v>11879.072</v>
      </c>
      <c r="J3379" s="33" t="n">
        <f aca="false">H3379-I3379</f>
        <v>4400.928</v>
      </c>
      <c r="K3379" s="33" t="n">
        <f aca="false">IF(OR(E3379=0,E3379&gt;=7),0,D3379/(7-E3379)*E3379*INDEX(Products!$E$2:$E$49,MATCH(C3379,Products!$A$2:$A$49,0)))</f>
        <v>0</v>
      </c>
    </row>
    <row r="3380" customFormat="false" ht="15" hidden="false" customHeight="false" outlineLevel="0" collapsed="false">
      <c r="A3380" s="36" t="n">
        <v>46139</v>
      </c>
      <c r="B3380" s="24" t="s">
        <v>63</v>
      </c>
      <c r="C3380" s="24" t="s">
        <v>193</v>
      </c>
      <c r="D3380" s="33" t="n">
        <v>72</v>
      </c>
      <c r="E3380" s="24" t="n">
        <v>0</v>
      </c>
      <c r="F3380" s="37" t="n">
        <f aca="false">DATE(YEAR(A3380),MONTH(A3380),1)</f>
        <v>46113</v>
      </c>
      <c r="G3380" s="24" t="str">
        <f aca="false">INDEX(Products!$C$2:$C$49,MATCH(C3380,Products!$A$2:$A$49,0))</f>
        <v>Personal Care</v>
      </c>
      <c r="H3380" s="33" t="n">
        <f aca="false">D3380*INDEX(Products!$E$2:$E$49,MATCH(C3380,Products!$A$2:$A$49,0))</f>
        <v>15840</v>
      </c>
      <c r="I3380" s="33" t="n">
        <f aca="false">D3380*INDEX(Products!$D$2:$D$49,MATCH(C3380,Products!$A$2:$A$49,0))*(1+INDEX(Assumptions!$B$16:$B$20,MATCH(B3380,Assumptions!$A$16:$A$20,0)))</f>
        <v>11558.016</v>
      </c>
      <c r="J3380" s="33" t="n">
        <f aca="false">H3380-I3380</f>
        <v>4281.984</v>
      </c>
      <c r="K3380" s="33" t="n">
        <f aca="false">IF(OR(E3380=0,E3380&gt;=7),0,D3380/(7-E3380)*E3380*INDEX(Products!$E$2:$E$49,MATCH(C3380,Products!$A$2:$A$49,0)))</f>
        <v>0</v>
      </c>
    </row>
    <row r="3381" customFormat="false" ht="15" hidden="false" customHeight="false" outlineLevel="0" collapsed="false">
      <c r="A3381" s="36" t="n">
        <v>46146</v>
      </c>
      <c r="B3381" s="24" t="s">
        <v>63</v>
      </c>
      <c r="C3381" s="24" t="s">
        <v>193</v>
      </c>
      <c r="D3381" s="33" t="n">
        <v>75</v>
      </c>
      <c r="E3381" s="24" t="n">
        <v>0</v>
      </c>
      <c r="F3381" s="37" t="n">
        <f aca="false">DATE(YEAR(A3381),MONTH(A3381),1)</f>
        <v>46143</v>
      </c>
      <c r="G3381" s="24" t="str">
        <f aca="false">INDEX(Products!$C$2:$C$49,MATCH(C3381,Products!$A$2:$A$49,0))</f>
        <v>Personal Care</v>
      </c>
      <c r="H3381" s="33" t="n">
        <f aca="false">D3381*INDEX(Products!$E$2:$E$49,MATCH(C3381,Products!$A$2:$A$49,0))</f>
        <v>16500</v>
      </c>
      <c r="I3381" s="33" t="n">
        <f aca="false">D3381*INDEX(Products!$D$2:$D$49,MATCH(C3381,Products!$A$2:$A$49,0))*(1+INDEX(Assumptions!$B$16:$B$20,MATCH(B3381,Assumptions!$A$16:$A$20,0)))</f>
        <v>12039.6</v>
      </c>
      <c r="J3381" s="33" t="n">
        <f aca="false">H3381-I3381</f>
        <v>4460.4</v>
      </c>
      <c r="K3381" s="33" t="n">
        <f aca="false">IF(OR(E3381=0,E3381&gt;=7),0,D3381/(7-E3381)*E3381*INDEX(Products!$E$2:$E$49,MATCH(C3381,Products!$A$2:$A$49,0)))</f>
        <v>0</v>
      </c>
    </row>
    <row r="3382" customFormat="false" ht="15" hidden="false" customHeight="false" outlineLevel="0" collapsed="false">
      <c r="A3382" s="36" t="n">
        <v>46153</v>
      </c>
      <c r="B3382" s="24" t="s">
        <v>63</v>
      </c>
      <c r="C3382" s="24" t="s">
        <v>193</v>
      </c>
      <c r="D3382" s="33" t="n">
        <v>85</v>
      </c>
      <c r="E3382" s="24" t="n">
        <v>0</v>
      </c>
      <c r="F3382" s="37" t="n">
        <f aca="false">DATE(YEAR(A3382),MONTH(A3382),1)</f>
        <v>46143</v>
      </c>
      <c r="G3382" s="24" t="str">
        <f aca="false">INDEX(Products!$C$2:$C$49,MATCH(C3382,Products!$A$2:$A$49,0))</f>
        <v>Personal Care</v>
      </c>
      <c r="H3382" s="33" t="n">
        <f aca="false">D3382*INDEX(Products!$E$2:$E$49,MATCH(C3382,Products!$A$2:$A$49,0))</f>
        <v>18700</v>
      </c>
      <c r="I3382" s="33" t="n">
        <f aca="false">D3382*INDEX(Products!$D$2:$D$49,MATCH(C3382,Products!$A$2:$A$49,0))*(1+INDEX(Assumptions!$B$16:$B$20,MATCH(B3382,Assumptions!$A$16:$A$20,0)))</f>
        <v>13644.88</v>
      </c>
      <c r="J3382" s="33" t="n">
        <f aca="false">H3382-I3382</f>
        <v>5055.12</v>
      </c>
      <c r="K3382" s="33" t="n">
        <f aca="false">IF(OR(E3382=0,E3382&gt;=7),0,D3382/(7-E3382)*E3382*INDEX(Products!$E$2:$E$49,MATCH(C3382,Products!$A$2:$A$49,0)))</f>
        <v>0</v>
      </c>
    </row>
    <row r="3383" customFormat="false" ht="15" hidden="false" customHeight="false" outlineLevel="0" collapsed="false">
      <c r="A3383" s="36" t="n">
        <v>46160</v>
      </c>
      <c r="B3383" s="24" t="s">
        <v>63</v>
      </c>
      <c r="C3383" s="24" t="s">
        <v>193</v>
      </c>
      <c r="D3383" s="33" t="n">
        <v>52</v>
      </c>
      <c r="E3383" s="24" t="n">
        <v>0</v>
      </c>
      <c r="F3383" s="37" t="n">
        <f aca="false">DATE(YEAR(A3383),MONTH(A3383),1)</f>
        <v>46143</v>
      </c>
      <c r="G3383" s="24" t="str">
        <f aca="false">INDEX(Products!$C$2:$C$49,MATCH(C3383,Products!$A$2:$A$49,0))</f>
        <v>Personal Care</v>
      </c>
      <c r="H3383" s="33" t="n">
        <f aca="false">D3383*INDEX(Products!$E$2:$E$49,MATCH(C3383,Products!$A$2:$A$49,0))</f>
        <v>11440</v>
      </c>
      <c r="I3383" s="33" t="n">
        <f aca="false">D3383*INDEX(Products!$D$2:$D$49,MATCH(C3383,Products!$A$2:$A$49,0))*(1+INDEX(Assumptions!$B$16:$B$20,MATCH(B3383,Assumptions!$A$16:$A$20,0)))</f>
        <v>8347.456</v>
      </c>
      <c r="J3383" s="33" t="n">
        <f aca="false">H3383-I3383</f>
        <v>3092.544</v>
      </c>
      <c r="K3383" s="33" t="n">
        <f aca="false">IF(OR(E3383=0,E3383&gt;=7),0,D3383/(7-E3383)*E3383*INDEX(Products!$E$2:$E$49,MATCH(C3383,Products!$A$2:$A$49,0)))</f>
        <v>0</v>
      </c>
    </row>
    <row r="3384" customFormat="false" ht="15" hidden="false" customHeight="false" outlineLevel="0" collapsed="false">
      <c r="A3384" s="36" t="n">
        <v>46167</v>
      </c>
      <c r="B3384" s="24" t="s">
        <v>63</v>
      </c>
      <c r="C3384" s="24" t="s">
        <v>193</v>
      </c>
      <c r="D3384" s="33" t="n">
        <v>78</v>
      </c>
      <c r="E3384" s="24" t="n">
        <v>0</v>
      </c>
      <c r="F3384" s="37" t="n">
        <f aca="false">DATE(YEAR(A3384),MONTH(A3384),1)</f>
        <v>46143</v>
      </c>
      <c r="G3384" s="24" t="str">
        <f aca="false">INDEX(Products!$C$2:$C$49,MATCH(C3384,Products!$A$2:$A$49,0))</f>
        <v>Personal Care</v>
      </c>
      <c r="H3384" s="33" t="n">
        <f aca="false">D3384*INDEX(Products!$E$2:$E$49,MATCH(C3384,Products!$A$2:$A$49,0))</f>
        <v>17160</v>
      </c>
      <c r="I3384" s="33" t="n">
        <f aca="false">D3384*INDEX(Products!$D$2:$D$49,MATCH(C3384,Products!$A$2:$A$49,0))*(1+INDEX(Assumptions!$B$16:$B$20,MATCH(B3384,Assumptions!$A$16:$A$20,0)))</f>
        <v>12521.184</v>
      </c>
      <c r="J3384" s="33" t="n">
        <f aca="false">H3384-I3384</f>
        <v>4638.816</v>
      </c>
      <c r="K3384" s="33" t="n">
        <f aca="false">IF(OR(E3384=0,E3384&gt;=7),0,D3384/(7-E3384)*E3384*INDEX(Products!$E$2:$E$49,MATCH(C3384,Products!$A$2:$A$49,0)))</f>
        <v>0</v>
      </c>
    </row>
    <row r="3385" customFormat="false" ht="15" hidden="false" customHeight="false" outlineLevel="0" collapsed="false">
      <c r="A3385" s="36" t="n">
        <v>46174</v>
      </c>
      <c r="B3385" s="24" t="s">
        <v>63</v>
      </c>
      <c r="C3385" s="24" t="s">
        <v>193</v>
      </c>
      <c r="D3385" s="33" t="n">
        <v>61</v>
      </c>
      <c r="E3385" s="24" t="n">
        <v>0</v>
      </c>
      <c r="F3385" s="37" t="n">
        <f aca="false">DATE(YEAR(A3385),MONTH(A3385),1)</f>
        <v>46174</v>
      </c>
      <c r="G3385" s="24" t="str">
        <f aca="false">INDEX(Products!$C$2:$C$49,MATCH(C3385,Products!$A$2:$A$49,0))</f>
        <v>Personal Care</v>
      </c>
      <c r="H3385" s="33" t="n">
        <f aca="false">D3385*INDEX(Products!$E$2:$E$49,MATCH(C3385,Products!$A$2:$A$49,0))</f>
        <v>13420</v>
      </c>
      <c r="I3385" s="33" t="n">
        <f aca="false">D3385*INDEX(Products!$D$2:$D$49,MATCH(C3385,Products!$A$2:$A$49,0))*(1+INDEX(Assumptions!$B$16:$B$20,MATCH(B3385,Assumptions!$A$16:$A$20,0)))</f>
        <v>9792.208</v>
      </c>
      <c r="J3385" s="33" t="n">
        <f aca="false">H3385-I3385</f>
        <v>3627.792</v>
      </c>
      <c r="K3385" s="33" t="n">
        <f aca="false">IF(OR(E3385=0,E3385&gt;=7),0,D3385/(7-E3385)*E3385*INDEX(Products!$E$2:$E$49,MATCH(C3385,Products!$A$2:$A$49,0)))</f>
        <v>0</v>
      </c>
    </row>
    <row r="3386" customFormat="false" ht="15" hidden="false" customHeight="false" outlineLevel="0" collapsed="false">
      <c r="A3386" s="36" t="n">
        <v>46181</v>
      </c>
      <c r="B3386" s="24" t="s">
        <v>63</v>
      </c>
      <c r="C3386" s="24" t="s">
        <v>193</v>
      </c>
      <c r="D3386" s="33" t="n">
        <v>57</v>
      </c>
      <c r="E3386" s="24" t="n">
        <v>0</v>
      </c>
      <c r="F3386" s="37" t="n">
        <f aca="false">DATE(YEAR(A3386),MONTH(A3386),1)</f>
        <v>46174</v>
      </c>
      <c r="G3386" s="24" t="str">
        <f aca="false">INDEX(Products!$C$2:$C$49,MATCH(C3386,Products!$A$2:$A$49,0))</f>
        <v>Personal Care</v>
      </c>
      <c r="H3386" s="33" t="n">
        <f aca="false">D3386*INDEX(Products!$E$2:$E$49,MATCH(C3386,Products!$A$2:$A$49,0))</f>
        <v>12540</v>
      </c>
      <c r="I3386" s="33" t="n">
        <f aca="false">D3386*INDEX(Products!$D$2:$D$49,MATCH(C3386,Products!$A$2:$A$49,0))*(1+INDEX(Assumptions!$B$16:$B$20,MATCH(B3386,Assumptions!$A$16:$A$20,0)))</f>
        <v>9150.096</v>
      </c>
      <c r="J3386" s="33" t="n">
        <f aca="false">H3386-I3386</f>
        <v>3389.904</v>
      </c>
      <c r="K3386" s="33" t="n">
        <f aca="false">IF(OR(E3386=0,E3386&gt;=7),0,D3386/(7-E3386)*E3386*INDEX(Products!$E$2:$E$49,MATCH(C3386,Products!$A$2:$A$49,0)))</f>
        <v>0</v>
      </c>
    </row>
    <row r="3387" customFormat="false" ht="15" hidden="false" customHeight="false" outlineLevel="0" collapsed="false">
      <c r="A3387" s="36" t="n">
        <v>46188</v>
      </c>
      <c r="B3387" s="24" t="s">
        <v>63</v>
      </c>
      <c r="C3387" s="24" t="s">
        <v>193</v>
      </c>
      <c r="D3387" s="33" t="n">
        <v>61</v>
      </c>
      <c r="E3387" s="24" t="n">
        <v>0</v>
      </c>
      <c r="F3387" s="37" t="n">
        <f aca="false">DATE(YEAR(A3387),MONTH(A3387),1)</f>
        <v>46174</v>
      </c>
      <c r="G3387" s="24" t="str">
        <f aca="false">INDEX(Products!$C$2:$C$49,MATCH(C3387,Products!$A$2:$A$49,0))</f>
        <v>Personal Care</v>
      </c>
      <c r="H3387" s="33" t="n">
        <f aca="false">D3387*INDEX(Products!$E$2:$E$49,MATCH(C3387,Products!$A$2:$A$49,0))</f>
        <v>13420</v>
      </c>
      <c r="I3387" s="33" t="n">
        <f aca="false">D3387*INDEX(Products!$D$2:$D$49,MATCH(C3387,Products!$A$2:$A$49,0))*(1+INDEX(Assumptions!$B$16:$B$20,MATCH(B3387,Assumptions!$A$16:$A$20,0)))</f>
        <v>9792.208</v>
      </c>
      <c r="J3387" s="33" t="n">
        <f aca="false">H3387-I3387</f>
        <v>3627.792</v>
      </c>
      <c r="K3387" s="33" t="n">
        <f aca="false">IF(OR(E3387=0,E3387&gt;=7),0,D3387/(7-E3387)*E3387*INDEX(Products!$E$2:$E$49,MATCH(C3387,Products!$A$2:$A$49,0)))</f>
        <v>0</v>
      </c>
    </row>
    <row r="3388" customFormat="false" ht="15" hidden="false" customHeight="false" outlineLevel="0" collapsed="false">
      <c r="A3388" s="36" t="n">
        <v>46195</v>
      </c>
      <c r="B3388" s="24" t="s">
        <v>63</v>
      </c>
      <c r="C3388" s="24" t="s">
        <v>193</v>
      </c>
      <c r="D3388" s="33" t="n">
        <v>86</v>
      </c>
      <c r="E3388" s="24" t="n">
        <v>0</v>
      </c>
      <c r="F3388" s="37" t="n">
        <f aca="false">DATE(YEAR(A3388),MONTH(A3388),1)</f>
        <v>46174</v>
      </c>
      <c r="G3388" s="24" t="str">
        <f aca="false">INDEX(Products!$C$2:$C$49,MATCH(C3388,Products!$A$2:$A$49,0))</f>
        <v>Personal Care</v>
      </c>
      <c r="H3388" s="33" t="n">
        <f aca="false">D3388*INDEX(Products!$E$2:$E$49,MATCH(C3388,Products!$A$2:$A$49,0))</f>
        <v>18920</v>
      </c>
      <c r="I3388" s="33" t="n">
        <f aca="false">D3388*INDEX(Products!$D$2:$D$49,MATCH(C3388,Products!$A$2:$A$49,0))*(1+INDEX(Assumptions!$B$16:$B$20,MATCH(B3388,Assumptions!$A$16:$A$20,0)))</f>
        <v>13805.408</v>
      </c>
      <c r="J3388" s="33" t="n">
        <f aca="false">H3388-I3388</f>
        <v>5114.592</v>
      </c>
      <c r="K3388" s="33" t="n">
        <f aca="false">IF(OR(E3388=0,E3388&gt;=7),0,D3388/(7-E3388)*E3388*INDEX(Products!$E$2:$E$49,MATCH(C3388,Products!$A$2:$A$49,0)))</f>
        <v>0</v>
      </c>
    </row>
    <row r="3389" customFormat="false" ht="15" hidden="false" customHeight="false" outlineLevel="0" collapsed="false">
      <c r="A3389" s="36" t="n">
        <v>46202</v>
      </c>
      <c r="B3389" s="24" t="s">
        <v>63</v>
      </c>
      <c r="C3389" s="24" t="s">
        <v>193</v>
      </c>
      <c r="D3389" s="33" t="n">
        <v>78</v>
      </c>
      <c r="E3389" s="24" t="n">
        <v>0</v>
      </c>
      <c r="F3389" s="37" t="n">
        <f aca="false">DATE(YEAR(A3389),MONTH(A3389),1)</f>
        <v>46174</v>
      </c>
      <c r="G3389" s="24" t="str">
        <f aca="false">INDEX(Products!$C$2:$C$49,MATCH(C3389,Products!$A$2:$A$49,0))</f>
        <v>Personal Care</v>
      </c>
      <c r="H3389" s="33" t="n">
        <f aca="false">D3389*INDEX(Products!$E$2:$E$49,MATCH(C3389,Products!$A$2:$A$49,0))</f>
        <v>17160</v>
      </c>
      <c r="I3389" s="33" t="n">
        <f aca="false">D3389*INDEX(Products!$D$2:$D$49,MATCH(C3389,Products!$A$2:$A$49,0))*(1+INDEX(Assumptions!$B$16:$B$20,MATCH(B3389,Assumptions!$A$16:$A$20,0)))</f>
        <v>12521.184</v>
      </c>
      <c r="J3389" s="33" t="n">
        <f aca="false">H3389-I3389</f>
        <v>4638.816</v>
      </c>
      <c r="K3389" s="33" t="n">
        <f aca="false">IF(OR(E3389=0,E3389&gt;=7),0,D3389/(7-E3389)*E3389*INDEX(Products!$E$2:$E$49,MATCH(C3389,Products!$A$2:$A$49,0)))</f>
        <v>0</v>
      </c>
    </row>
    <row r="3390" customFormat="false" ht="15" hidden="false" customHeight="false" outlineLevel="0" collapsed="false">
      <c r="A3390" s="36" t="n">
        <v>46209</v>
      </c>
      <c r="B3390" s="24" t="s">
        <v>63</v>
      </c>
      <c r="C3390" s="24" t="s">
        <v>193</v>
      </c>
      <c r="D3390" s="33" t="n">
        <v>57</v>
      </c>
      <c r="E3390" s="24" t="n">
        <v>0</v>
      </c>
      <c r="F3390" s="37" t="n">
        <f aca="false">DATE(YEAR(A3390),MONTH(A3390),1)</f>
        <v>46204</v>
      </c>
      <c r="G3390" s="24" t="str">
        <f aca="false">INDEX(Products!$C$2:$C$49,MATCH(C3390,Products!$A$2:$A$49,0))</f>
        <v>Personal Care</v>
      </c>
      <c r="H3390" s="33" t="n">
        <f aca="false">D3390*INDEX(Products!$E$2:$E$49,MATCH(C3390,Products!$A$2:$A$49,0))</f>
        <v>12540</v>
      </c>
      <c r="I3390" s="33" t="n">
        <f aca="false">D3390*INDEX(Products!$D$2:$D$49,MATCH(C3390,Products!$A$2:$A$49,0))*(1+INDEX(Assumptions!$B$16:$B$20,MATCH(B3390,Assumptions!$A$16:$A$20,0)))</f>
        <v>9150.096</v>
      </c>
      <c r="J3390" s="33" t="n">
        <f aca="false">H3390-I3390</f>
        <v>3389.904</v>
      </c>
      <c r="K3390" s="33" t="n">
        <f aca="false">IF(OR(E3390=0,E3390&gt;=7),0,D3390/(7-E3390)*E3390*INDEX(Products!$E$2:$E$49,MATCH(C3390,Products!$A$2:$A$49,0)))</f>
        <v>0</v>
      </c>
    </row>
    <row r="3391" customFormat="false" ht="15" hidden="false" customHeight="false" outlineLevel="0" collapsed="false">
      <c r="A3391" s="36" t="n">
        <v>46216</v>
      </c>
      <c r="B3391" s="24" t="s">
        <v>63</v>
      </c>
      <c r="C3391" s="24" t="s">
        <v>193</v>
      </c>
      <c r="D3391" s="33" t="n">
        <v>68</v>
      </c>
      <c r="E3391" s="24" t="n">
        <v>0</v>
      </c>
      <c r="F3391" s="37" t="n">
        <f aca="false">DATE(YEAR(A3391),MONTH(A3391),1)</f>
        <v>46204</v>
      </c>
      <c r="G3391" s="24" t="str">
        <f aca="false">INDEX(Products!$C$2:$C$49,MATCH(C3391,Products!$A$2:$A$49,0))</f>
        <v>Personal Care</v>
      </c>
      <c r="H3391" s="33" t="n">
        <f aca="false">D3391*INDEX(Products!$E$2:$E$49,MATCH(C3391,Products!$A$2:$A$49,0))</f>
        <v>14960</v>
      </c>
      <c r="I3391" s="33" t="n">
        <f aca="false">D3391*INDEX(Products!$D$2:$D$49,MATCH(C3391,Products!$A$2:$A$49,0))*(1+INDEX(Assumptions!$B$16:$B$20,MATCH(B3391,Assumptions!$A$16:$A$20,0)))</f>
        <v>10915.904</v>
      </c>
      <c r="J3391" s="33" t="n">
        <f aca="false">H3391-I3391</f>
        <v>4044.096</v>
      </c>
      <c r="K3391" s="33" t="n">
        <f aca="false">IF(OR(E3391=0,E3391&gt;=7),0,D3391/(7-E3391)*E3391*INDEX(Products!$E$2:$E$49,MATCH(C3391,Products!$A$2:$A$49,0)))</f>
        <v>0</v>
      </c>
    </row>
    <row r="3392" customFormat="false" ht="15" hidden="false" customHeight="false" outlineLevel="0" collapsed="false">
      <c r="A3392" s="36" t="n">
        <v>46223</v>
      </c>
      <c r="B3392" s="24" t="s">
        <v>63</v>
      </c>
      <c r="C3392" s="24" t="s">
        <v>193</v>
      </c>
      <c r="D3392" s="33" t="n">
        <v>75</v>
      </c>
      <c r="E3392" s="24" t="n">
        <v>0</v>
      </c>
      <c r="F3392" s="37" t="n">
        <f aca="false">DATE(YEAR(A3392),MONTH(A3392),1)</f>
        <v>46204</v>
      </c>
      <c r="G3392" s="24" t="str">
        <f aca="false">INDEX(Products!$C$2:$C$49,MATCH(C3392,Products!$A$2:$A$49,0))</f>
        <v>Personal Care</v>
      </c>
      <c r="H3392" s="33" t="n">
        <f aca="false">D3392*INDEX(Products!$E$2:$E$49,MATCH(C3392,Products!$A$2:$A$49,0))</f>
        <v>16500</v>
      </c>
      <c r="I3392" s="33" t="n">
        <f aca="false">D3392*INDEX(Products!$D$2:$D$49,MATCH(C3392,Products!$A$2:$A$49,0))*(1+INDEX(Assumptions!$B$16:$B$20,MATCH(B3392,Assumptions!$A$16:$A$20,0)))</f>
        <v>12039.6</v>
      </c>
      <c r="J3392" s="33" t="n">
        <f aca="false">H3392-I3392</f>
        <v>4460.4</v>
      </c>
      <c r="K3392" s="33" t="n">
        <f aca="false">IF(OR(E3392=0,E3392&gt;=7),0,D3392/(7-E3392)*E3392*INDEX(Products!$E$2:$E$49,MATCH(C3392,Products!$A$2:$A$49,0)))</f>
        <v>0</v>
      </c>
    </row>
    <row r="3393" customFormat="false" ht="15" hidden="false" customHeight="false" outlineLevel="0" collapsed="false">
      <c r="A3393" s="36" t="n">
        <v>46230</v>
      </c>
      <c r="B3393" s="24" t="s">
        <v>63</v>
      </c>
      <c r="C3393" s="24" t="s">
        <v>193</v>
      </c>
      <c r="D3393" s="33" t="n">
        <v>66</v>
      </c>
      <c r="E3393" s="24" t="n">
        <v>0</v>
      </c>
      <c r="F3393" s="37" t="n">
        <f aca="false">DATE(YEAR(A3393),MONTH(A3393),1)</f>
        <v>46204</v>
      </c>
      <c r="G3393" s="24" t="str">
        <f aca="false">INDEX(Products!$C$2:$C$49,MATCH(C3393,Products!$A$2:$A$49,0))</f>
        <v>Personal Care</v>
      </c>
      <c r="H3393" s="33" t="n">
        <f aca="false">D3393*INDEX(Products!$E$2:$E$49,MATCH(C3393,Products!$A$2:$A$49,0))</f>
        <v>14520</v>
      </c>
      <c r="I3393" s="33" t="n">
        <f aca="false">D3393*INDEX(Products!$D$2:$D$49,MATCH(C3393,Products!$A$2:$A$49,0))*(1+INDEX(Assumptions!$B$16:$B$20,MATCH(B3393,Assumptions!$A$16:$A$20,0)))</f>
        <v>10594.848</v>
      </c>
      <c r="J3393" s="33" t="n">
        <f aca="false">H3393-I3393</f>
        <v>3925.152</v>
      </c>
      <c r="K3393" s="33" t="n">
        <f aca="false">IF(OR(E3393=0,E3393&gt;=7),0,D3393/(7-E3393)*E3393*INDEX(Products!$E$2:$E$49,MATCH(C3393,Products!$A$2:$A$49,0)))</f>
        <v>0</v>
      </c>
    </row>
    <row r="3394" customFormat="false" ht="15" hidden="false" customHeight="false" outlineLevel="0" collapsed="false">
      <c r="A3394" s="36" t="n">
        <v>46237</v>
      </c>
      <c r="B3394" s="24" t="s">
        <v>63</v>
      </c>
      <c r="C3394" s="24" t="s">
        <v>193</v>
      </c>
      <c r="D3394" s="33" t="n">
        <v>59</v>
      </c>
      <c r="E3394" s="24" t="n">
        <v>0</v>
      </c>
      <c r="F3394" s="37" t="n">
        <f aca="false">DATE(YEAR(A3394),MONTH(A3394),1)</f>
        <v>46235</v>
      </c>
      <c r="G3394" s="24" t="str">
        <f aca="false">INDEX(Products!$C$2:$C$49,MATCH(C3394,Products!$A$2:$A$49,0))</f>
        <v>Personal Care</v>
      </c>
      <c r="H3394" s="33" t="n">
        <f aca="false">D3394*INDEX(Products!$E$2:$E$49,MATCH(C3394,Products!$A$2:$A$49,0))</f>
        <v>12980</v>
      </c>
      <c r="I3394" s="33" t="n">
        <f aca="false">D3394*INDEX(Products!$D$2:$D$49,MATCH(C3394,Products!$A$2:$A$49,0))*(1+INDEX(Assumptions!$B$16:$B$20,MATCH(B3394,Assumptions!$A$16:$A$20,0)))</f>
        <v>9471.152</v>
      </c>
      <c r="J3394" s="33" t="n">
        <f aca="false">H3394-I3394</f>
        <v>3508.848</v>
      </c>
      <c r="K3394" s="33" t="n">
        <f aca="false">IF(OR(E3394=0,E3394&gt;=7),0,D3394/(7-E3394)*E3394*INDEX(Products!$E$2:$E$49,MATCH(C3394,Products!$A$2:$A$49,0)))</f>
        <v>0</v>
      </c>
    </row>
    <row r="3395" customFormat="false" ht="15" hidden="false" customHeight="false" outlineLevel="0" collapsed="false">
      <c r="A3395" s="36" t="n">
        <v>46244</v>
      </c>
      <c r="B3395" s="24" t="s">
        <v>63</v>
      </c>
      <c r="C3395" s="24" t="s">
        <v>193</v>
      </c>
      <c r="D3395" s="33" t="n">
        <v>80</v>
      </c>
      <c r="E3395" s="24" t="n">
        <v>0</v>
      </c>
      <c r="F3395" s="37" t="n">
        <f aca="false">DATE(YEAR(A3395),MONTH(A3395),1)</f>
        <v>46235</v>
      </c>
      <c r="G3395" s="24" t="str">
        <f aca="false">INDEX(Products!$C$2:$C$49,MATCH(C3395,Products!$A$2:$A$49,0))</f>
        <v>Personal Care</v>
      </c>
      <c r="H3395" s="33" t="n">
        <f aca="false">D3395*INDEX(Products!$E$2:$E$49,MATCH(C3395,Products!$A$2:$A$49,0))</f>
        <v>17600</v>
      </c>
      <c r="I3395" s="33" t="n">
        <f aca="false">D3395*INDEX(Products!$D$2:$D$49,MATCH(C3395,Products!$A$2:$A$49,0))*(1+INDEX(Assumptions!$B$16:$B$20,MATCH(B3395,Assumptions!$A$16:$A$20,0)))</f>
        <v>12842.24</v>
      </c>
      <c r="J3395" s="33" t="n">
        <f aca="false">H3395-I3395</f>
        <v>4757.76</v>
      </c>
      <c r="K3395" s="33" t="n">
        <f aca="false">IF(OR(E3395=0,E3395&gt;=7),0,D3395/(7-E3395)*E3395*INDEX(Products!$E$2:$E$49,MATCH(C3395,Products!$A$2:$A$49,0)))</f>
        <v>0</v>
      </c>
    </row>
    <row r="3396" customFormat="false" ht="15" hidden="false" customHeight="false" outlineLevel="0" collapsed="false">
      <c r="A3396" s="36" t="n">
        <v>46251</v>
      </c>
      <c r="B3396" s="24" t="s">
        <v>63</v>
      </c>
      <c r="C3396" s="24" t="s">
        <v>193</v>
      </c>
      <c r="D3396" s="33" t="n">
        <v>71</v>
      </c>
      <c r="E3396" s="24" t="n">
        <v>0</v>
      </c>
      <c r="F3396" s="37" t="n">
        <f aca="false">DATE(YEAR(A3396),MONTH(A3396),1)</f>
        <v>46235</v>
      </c>
      <c r="G3396" s="24" t="str">
        <f aca="false">INDEX(Products!$C$2:$C$49,MATCH(C3396,Products!$A$2:$A$49,0))</f>
        <v>Personal Care</v>
      </c>
      <c r="H3396" s="33" t="n">
        <f aca="false">D3396*INDEX(Products!$E$2:$E$49,MATCH(C3396,Products!$A$2:$A$49,0))</f>
        <v>15620</v>
      </c>
      <c r="I3396" s="33" t="n">
        <f aca="false">D3396*INDEX(Products!$D$2:$D$49,MATCH(C3396,Products!$A$2:$A$49,0))*(1+INDEX(Assumptions!$B$16:$B$20,MATCH(B3396,Assumptions!$A$16:$A$20,0)))</f>
        <v>11397.488</v>
      </c>
      <c r="J3396" s="33" t="n">
        <f aca="false">H3396-I3396</f>
        <v>4222.512</v>
      </c>
      <c r="K3396" s="33" t="n">
        <f aca="false">IF(OR(E3396=0,E3396&gt;=7),0,D3396/(7-E3396)*E3396*INDEX(Products!$E$2:$E$49,MATCH(C3396,Products!$A$2:$A$49,0)))</f>
        <v>0</v>
      </c>
    </row>
    <row r="3397" customFormat="false" ht="15" hidden="false" customHeight="false" outlineLevel="0" collapsed="false">
      <c r="A3397" s="36" t="n">
        <v>46258</v>
      </c>
      <c r="B3397" s="24" t="s">
        <v>63</v>
      </c>
      <c r="C3397" s="24" t="s">
        <v>193</v>
      </c>
      <c r="D3397" s="33" t="n">
        <v>62</v>
      </c>
      <c r="E3397" s="24" t="n">
        <v>0</v>
      </c>
      <c r="F3397" s="37" t="n">
        <f aca="false">DATE(YEAR(A3397),MONTH(A3397),1)</f>
        <v>46235</v>
      </c>
      <c r="G3397" s="24" t="str">
        <f aca="false">INDEX(Products!$C$2:$C$49,MATCH(C3397,Products!$A$2:$A$49,0))</f>
        <v>Personal Care</v>
      </c>
      <c r="H3397" s="33" t="n">
        <f aca="false">D3397*INDEX(Products!$E$2:$E$49,MATCH(C3397,Products!$A$2:$A$49,0))</f>
        <v>13640</v>
      </c>
      <c r="I3397" s="33" t="n">
        <f aca="false">D3397*INDEX(Products!$D$2:$D$49,MATCH(C3397,Products!$A$2:$A$49,0))*(1+INDEX(Assumptions!$B$16:$B$20,MATCH(B3397,Assumptions!$A$16:$A$20,0)))</f>
        <v>9952.736</v>
      </c>
      <c r="J3397" s="33" t="n">
        <f aca="false">H3397-I3397</f>
        <v>3687.264</v>
      </c>
      <c r="K3397" s="33" t="n">
        <f aca="false">IF(OR(E3397=0,E3397&gt;=7),0,D3397/(7-E3397)*E3397*INDEX(Products!$E$2:$E$49,MATCH(C3397,Products!$A$2:$A$49,0)))</f>
        <v>0</v>
      </c>
    </row>
    <row r="3398" customFormat="false" ht="15" hidden="false" customHeight="false" outlineLevel="0" collapsed="false">
      <c r="A3398" s="36" t="n">
        <v>46265</v>
      </c>
      <c r="B3398" s="24" t="s">
        <v>63</v>
      </c>
      <c r="C3398" s="24" t="s">
        <v>193</v>
      </c>
      <c r="D3398" s="33" t="n">
        <v>55</v>
      </c>
      <c r="E3398" s="24" t="n">
        <v>0</v>
      </c>
      <c r="F3398" s="37" t="n">
        <f aca="false">DATE(YEAR(A3398),MONTH(A3398),1)</f>
        <v>46235</v>
      </c>
      <c r="G3398" s="24" t="str">
        <f aca="false">INDEX(Products!$C$2:$C$49,MATCH(C3398,Products!$A$2:$A$49,0))</f>
        <v>Personal Care</v>
      </c>
      <c r="H3398" s="33" t="n">
        <f aca="false">D3398*INDEX(Products!$E$2:$E$49,MATCH(C3398,Products!$A$2:$A$49,0))</f>
        <v>12100</v>
      </c>
      <c r="I3398" s="33" t="n">
        <f aca="false">D3398*INDEX(Products!$D$2:$D$49,MATCH(C3398,Products!$A$2:$A$49,0))*(1+INDEX(Assumptions!$B$16:$B$20,MATCH(B3398,Assumptions!$A$16:$A$20,0)))</f>
        <v>8829.04</v>
      </c>
      <c r="J3398" s="33" t="n">
        <f aca="false">H3398-I3398</f>
        <v>3270.96</v>
      </c>
      <c r="K3398" s="33" t="n">
        <f aca="false">IF(OR(E3398=0,E3398&gt;=7),0,D3398/(7-E3398)*E3398*INDEX(Products!$E$2:$E$49,MATCH(C3398,Products!$A$2:$A$49,0)))</f>
        <v>0</v>
      </c>
    </row>
    <row r="3399" customFormat="false" ht="15" hidden="false" customHeight="false" outlineLevel="0" collapsed="false">
      <c r="A3399" s="36" t="n">
        <v>46272</v>
      </c>
      <c r="B3399" s="24" t="s">
        <v>63</v>
      </c>
      <c r="C3399" s="24" t="s">
        <v>193</v>
      </c>
      <c r="D3399" s="33" t="n">
        <v>52</v>
      </c>
      <c r="E3399" s="24" t="n">
        <v>0</v>
      </c>
      <c r="F3399" s="37" t="n">
        <f aca="false">DATE(YEAR(A3399),MONTH(A3399),1)</f>
        <v>46266</v>
      </c>
      <c r="G3399" s="24" t="str">
        <f aca="false">INDEX(Products!$C$2:$C$49,MATCH(C3399,Products!$A$2:$A$49,0))</f>
        <v>Personal Care</v>
      </c>
      <c r="H3399" s="33" t="n">
        <f aca="false">D3399*INDEX(Products!$E$2:$E$49,MATCH(C3399,Products!$A$2:$A$49,0))</f>
        <v>11440</v>
      </c>
      <c r="I3399" s="33" t="n">
        <f aca="false">D3399*INDEX(Products!$D$2:$D$49,MATCH(C3399,Products!$A$2:$A$49,0))*(1+INDEX(Assumptions!$B$16:$B$20,MATCH(B3399,Assumptions!$A$16:$A$20,0)))</f>
        <v>8347.456</v>
      </c>
      <c r="J3399" s="33" t="n">
        <f aca="false">H3399-I3399</f>
        <v>3092.544</v>
      </c>
      <c r="K3399" s="33" t="n">
        <f aca="false">IF(OR(E3399=0,E3399&gt;=7),0,D3399/(7-E3399)*E3399*INDEX(Products!$E$2:$E$49,MATCH(C3399,Products!$A$2:$A$49,0)))</f>
        <v>0</v>
      </c>
    </row>
    <row r="3400" customFormat="false" ht="15" hidden="false" customHeight="false" outlineLevel="0" collapsed="false">
      <c r="A3400" s="36" t="n">
        <v>46279</v>
      </c>
      <c r="B3400" s="24" t="s">
        <v>63</v>
      </c>
      <c r="C3400" s="24" t="s">
        <v>193</v>
      </c>
      <c r="D3400" s="33" t="n">
        <v>67</v>
      </c>
      <c r="E3400" s="24" t="n">
        <v>0</v>
      </c>
      <c r="F3400" s="37" t="n">
        <f aca="false">DATE(YEAR(A3400),MONTH(A3400),1)</f>
        <v>46266</v>
      </c>
      <c r="G3400" s="24" t="str">
        <f aca="false">INDEX(Products!$C$2:$C$49,MATCH(C3400,Products!$A$2:$A$49,0))</f>
        <v>Personal Care</v>
      </c>
      <c r="H3400" s="33" t="n">
        <f aca="false">D3400*INDEX(Products!$E$2:$E$49,MATCH(C3400,Products!$A$2:$A$49,0))</f>
        <v>14740</v>
      </c>
      <c r="I3400" s="33" t="n">
        <f aca="false">D3400*INDEX(Products!$D$2:$D$49,MATCH(C3400,Products!$A$2:$A$49,0))*(1+INDEX(Assumptions!$B$16:$B$20,MATCH(B3400,Assumptions!$A$16:$A$20,0)))</f>
        <v>10755.376</v>
      </c>
      <c r="J3400" s="33" t="n">
        <f aca="false">H3400-I3400</f>
        <v>3984.624</v>
      </c>
      <c r="K3400" s="33" t="n">
        <f aca="false">IF(OR(E3400=0,E3400&gt;=7),0,D3400/(7-E3400)*E3400*INDEX(Products!$E$2:$E$49,MATCH(C3400,Products!$A$2:$A$49,0)))</f>
        <v>0</v>
      </c>
    </row>
    <row r="3401" customFormat="false" ht="15" hidden="false" customHeight="false" outlineLevel="0" collapsed="false">
      <c r="A3401" s="36" t="n">
        <v>46286</v>
      </c>
      <c r="B3401" s="24" t="s">
        <v>63</v>
      </c>
      <c r="C3401" s="24" t="s">
        <v>193</v>
      </c>
      <c r="D3401" s="33" t="n">
        <v>79</v>
      </c>
      <c r="E3401" s="24" t="n">
        <v>0</v>
      </c>
      <c r="F3401" s="37" t="n">
        <f aca="false">DATE(YEAR(A3401),MONTH(A3401),1)</f>
        <v>46266</v>
      </c>
      <c r="G3401" s="24" t="str">
        <f aca="false">INDEX(Products!$C$2:$C$49,MATCH(C3401,Products!$A$2:$A$49,0))</f>
        <v>Personal Care</v>
      </c>
      <c r="H3401" s="33" t="n">
        <f aca="false">D3401*INDEX(Products!$E$2:$E$49,MATCH(C3401,Products!$A$2:$A$49,0))</f>
        <v>17380</v>
      </c>
      <c r="I3401" s="33" t="n">
        <f aca="false">D3401*INDEX(Products!$D$2:$D$49,MATCH(C3401,Products!$A$2:$A$49,0))*(1+INDEX(Assumptions!$B$16:$B$20,MATCH(B3401,Assumptions!$A$16:$A$20,0)))</f>
        <v>12681.712</v>
      </c>
      <c r="J3401" s="33" t="n">
        <f aca="false">H3401-I3401</f>
        <v>4698.288</v>
      </c>
      <c r="K3401" s="33" t="n">
        <f aca="false">IF(OR(E3401=0,E3401&gt;=7),0,D3401/(7-E3401)*E3401*INDEX(Products!$E$2:$E$49,MATCH(C3401,Products!$A$2:$A$49,0)))</f>
        <v>0</v>
      </c>
    </row>
    <row r="3402" customFormat="false" ht="15" hidden="false" customHeight="false" outlineLevel="0" collapsed="false">
      <c r="A3402" s="36" t="n">
        <v>46118</v>
      </c>
      <c r="B3402" s="24" t="s">
        <v>63</v>
      </c>
      <c r="C3402" s="24" t="s">
        <v>195</v>
      </c>
      <c r="D3402" s="33" t="n">
        <v>182</v>
      </c>
      <c r="E3402" s="24" t="n">
        <v>2</v>
      </c>
      <c r="F3402" s="37" t="n">
        <f aca="false">DATE(YEAR(A3402),MONTH(A3402),1)</f>
        <v>46113</v>
      </c>
      <c r="G3402" s="24" t="str">
        <f aca="false">INDEX(Products!$C$2:$C$49,MATCH(C3402,Products!$A$2:$A$49,0))</f>
        <v>Snacks &amp; Confectionery</v>
      </c>
      <c r="H3402" s="33" t="n">
        <f aca="false">D3402*INDEX(Products!$E$2:$E$49,MATCH(C3402,Products!$A$2:$A$49,0))</f>
        <v>20020</v>
      </c>
      <c r="I3402" s="33" t="n">
        <f aca="false">D3402*INDEX(Products!$D$2:$D$49,MATCH(C3402,Products!$A$2:$A$49,0))*(1+INDEX(Assumptions!$B$16:$B$20,MATCH(B3402,Assumptions!$A$16:$A$20,0)))</f>
        <v>13683.488</v>
      </c>
      <c r="J3402" s="33" t="n">
        <f aca="false">H3402-I3402</f>
        <v>6336.512</v>
      </c>
      <c r="K3402" s="33" t="n">
        <f aca="false">IF(OR(E3402=0,E3402&gt;=7),0,D3402/(7-E3402)*E3402*INDEX(Products!$E$2:$E$49,MATCH(C3402,Products!$A$2:$A$49,0)))</f>
        <v>8008</v>
      </c>
    </row>
    <row r="3403" customFormat="false" ht="15" hidden="false" customHeight="false" outlineLevel="0" collapsed="false">
      <c r="A3403" s="36" t="n">
        <v>46125</v>
      </c>
      <c r="B3403" s="24" t="s">
        <v>63</v>
      </c>
      <c r="C3403" s="24" t="s">
        <v>195</v>
      </c>
      <c r="D3403" s="33" t="n">
        <v>243</v>
      </c>
      <c r="E3403" s="24" t="n">
        <v>0</v>
      </c>
      <c r="F3403" s="37" t="n">
        <f aca="false">DATE(YEAR(A3403),MONTH(A3403),1)</f>
        <v>46113</v>
      </c>
      <c r="G3403" s="24" t="str">
        <f aca="false">INDEX(Products!$C$2:$C$49,MATCH(C3403,Products!$A$2:$A$49,0))</f>
        <v>Snacks &amp; Confectionery</v>
      </c>
      <c r="H3403" s="33" t="n">
        <f aca="false">D3403*INDEX(Products!$E$2:$E$49,MATCH(C3403,Products!$A$2:$A$49,0))</f>
        <v>26730</v>
      </c>
      <c r="I3403" s="33" t="n">
        <f aca="false">D3403*INDEX(Products!$D$2:$D$49,MATCH(C3403,Products!$A$2:$A$49,0))*(1+INDEX(Assumptions!$B$16:$B$20,MATCH(B3403,Assumptions!$A$16:$A$20,0)))</f>
        <v>18269.712</v>
      </c>
      <c r="J3403" s="33" t="n">
        <f aca="false">H3403-I3403</f>
        <v>8460.288</v>
      </c>
      <c r="K3403" s="33" t="n">
        <f aca="false">IF(OR(E3403=0,E3403&gt;=7),0,D3403/(7-E3403)*E3403*INDEX(Products!$E$2:$E$49,MATCH(C3403,Products!$A$2:$A$49,0)))</f>
        <v>0</v>
      </c>
    </row>
    <row r="3404" customFormat="false" ht="15" hidden="false" customHeight="false" outlineLevel="0" collapsed="false">
      <c r="A3404" s="36" t="n">
        <v>46132</v>
      </c>
      <c r="B3404" s="24" t="s">
        <v>63</v>
      </c>
      <c r="C3404" s="24" t="s">
        <v>195</v>
      </c>
      <c r="D3404" s="33" t="n">
        <v>283</v>
      </c>
      <c r="E3404" s="24" t="n">
        <v>0</v>
      </c>
      <c r="F3404" s="37" t="n">
        <f aca="false">DATE(YEAR(A3404),MONTH(A3404),1)</f>
        <v>46113</v>
      </c>
      <c r="G3404" s="24" t="str">
        <f aca="false">INDEX(Products!$C$2:$C$49,MATCH(C3404,Products!$A$2:$A$49,0))</f>
        <v>Snacks &amp; Confectionery</v>
      </c>
      <c r="H3404" s="33" t="n">
        <f aca="false">D3404*INDEX(Products!$E$2:$E$49,MATCH(C3404,Products!$A$2:$A$49,0))</f>
        <v>31130</v>
      </c>
      <c r="I3404" s="33" t="n">
        <f aca="false">D3404*INDEX(Products!$D$2:$D$49,MATCH(C3404,Products!$A$2:$A$49,0))*(1+INDEX(Assumptions!$B$16:$B$20,MATCH(B3404,Assumptions!$A$16:$A$20,0)))</f>
        <v>21277.072</v>
      </c>
      <c r="J3404" s="33" t="n">
        <f aca="false">H3404-I3404</f>
        <v>9852.928</v>
      </c>
      <c r="K3404" s="33" t="n">
        <f aca="false">IF(OR(E3404=0,E3404&gt;=7),0,D3404/(7-E3404)*E3404*INDEX(Products!$E$2:$E$49,MATCH(C3404,Products!$A$2:$A$49,0)))</f>
        <v>0</v>
      </c>
    </row>
    <row r="3405" customFormat="false" ht="15" hidden="false" customHeight="false" outlineLevel="0" collapsed="false">
      <c r="A3405" s="36" t="n">
        <v>46139</v>
      </c>
      <c r="B3405" s="24" t="s">
        <v>63</v>
      </c>
      <c r="C3405" s="24" t="s">
        <v>195</v>
      </c>
      <c r="D3405" s="33" t="n">
        <v>289</v>
      </c>
      <c r="E3405" s="24" t="n">
        <v>0</v>
      </c>
      <c r="F3405" s="37" t="n">
        <f aca="false">DATE(YEAR(A3405),MONTH(A3405),1)</f>
        <v>46113</v>
      </c>
      <c r="G3405" s="24" t="str">
        <f aca="false">INDEX(Products!$C$2:$C$49,MATCH(C3405,Products!$A$2:$A$49,0))</f>
        <v>Snacks &amp; Confectionery</v>
      </c>
      <c r="H3405" s="33" t="n">
        <f aca="false">D3405*INDEX(Products!$E$2:$E$49,MATCH(C3405,Products!$A$2:$A$49,0))</f>
        <v>31790</v>
      </c>
      <c r="I3405" s="33" t="n">
        <f aca="false">D3405*INDEX(Products!$D$2:$D$49,MATCH(C3405,Products!$A$2:$A$49,0))*(1+INDEX(Assumptions!$B$16:$B$20,MATCH(B3405,Assumptions!$A$16:$A$20,0)))</f>
        <v>21728.176</v>
      </c>
      <c r="J3405" s="33" t="n">
        <f aca="false">H3405-I3405</f>
        <v>10061.824</v>
      </c>
      <c r="K3405" s="33" t="n">
        <f aca="false">IF(OR(E3405=0,E3405&gt;=7),0,D3405/(7-E3405)*E3405*INDEX(Products!$E$2:$E$49,MATCH(C3405,Products!$A$2:$A$49,0)))</f>
        <v>0</v>
      </c>
    </row>
    <row r="3406" customFormat="false" ht="15" hidden="false" customHeight="false" outlineLevel="0" collapsed="false">
      <c r="A3406" s="36" t="n">
        <v>46146</v>
      </c>
      <c r="B3406" s="24" t="s">
        <v>63</v>
      </c>
      <c r="C3406" s="24" t="s">
        <v>195</v>
      </c>
      <c r="D3406" s="33" t="n">
        <v>251</v>
      </c>
      <c r="E3406" s="24" t="n">
        <v>0</v>
      </c>
      <c r="F3406" s="37" t="n">
        <f aca="false">DATE(YEAR(A3406),MONTH(A3406),1)</f>
        <v>46143</v>
      </c>
      <c r="G3406" s="24" t="str">
        <f aca="false">INDEX(Products!$C$2:$C$49,MATCH(C3406,Products!$A$2:$A$49,0))</f>
        <v>Snacks &amp; Confectionery</v>
      </c>
      <c r="H3406" s="33" t="n">
        <f aca="false">D3406*INDEX(Products!$E$2:$E$49,MATCH(C3406,Products!$A$2:$A$49,0))</f>
        <v>27610</v>
      </c>
      <c r="I3406" s="33" t="n">
        <f aca="false">D3406*INDEX(Products!$D$2:$D$49,MATCH(C3406,Products!$A$2:$A$49,0))*(1+INDEX(Assumptions!$B$16:$B$20,MATCH(B3406,Assumptions!$A$16:$A$20,0)))</f>
        <v>18871.184</v>
      </c>
      <c r="J3406" s="33" t="n">
        <f aca="false">H3406-I3406</f>
        <v>8738.816</v>
      </c>
      <c r="K3406" s="33" t="n">
        <f aca="false">IF(OR(E3406=0,E3406&gt;=7),0,D3406/(7-E3406)*E3406*INDEX(Products!$E$2:$E$49,MATCH(C3406,Products!$A$2:$A$49,0)))</f>
        <v>0</v>
      </c>
    </row>
    <row r="3407" customFormat="false" ht="15" hidden="false" customHeight="false" outlineLevel="0" collapsed="false">
      <c r="A3407" s="36" t="n">
        <v>46153</v>
      </c>
      <c r="B3407" s="24" t="s">
        <v>63</v>
      </c>
      <c r="C3407" s="24" t="s">
        <v>195</v>
      </c>
      <c r="D3407" s="33" t="n">
        <v>265</v>
      </c>
      <c r="E3407" s="24" t="n">
        <v>0</v>
      </c>
      <c r="F3407" s="37" t="n">
        <f aca="false">DATE(YEAR(A3407),MONTH(A3407),1)</f>
        <v>46143</v>
      </c>
      <c r="G3407" s="24" t="str">
        <f aca="false">INDEX(Products!$C$2:$C$49,MATCH(C3407,Products!$A$2:$A$49,0))</f>
        <v>Snacks &amp; Confectionery</v>
      </c>
      <c r="H3407" s="33" t="n">
        <f aca="false">D3407*INDEX(Products!$E$2:$E$49,MATCH(C3407,Products!$A$2:$A$49,0))</f>
        <v>29150</v>
      </c>
      <c r="I3407" s="33" t="n">
        <f aca="false">D3407*INDEX(Products!$D$2:$D$49,MATCH(C3407,Products!$A$2:$A$49,0))*(1+INDEX(Assumptions!$B$16:$B$20,MATCH(B3407,Assumptions!$A$16:$A$20,0)))</f>
        <v>19923.76</v>
      </c>
      <c r="J3407" s="33" t="n">
        <f aca="false">H3407-I3407</f>
        <v>9226.24</v>
      </c>
      <c r="K3407" s="33" t="n">
        <f aca="false">IF(OR(E3407=0,E3407&gt;=7),0,D3407/(7-E3407)*E3407*INDEX(Products!$E$2:$E$49,MATCH(C3407,Products!$A$2:$A$49,0)))</f>
        <v>0</v>
      </c>
    </row>
    <row r="3408" customFormat="false" ht="15" hidden="false" customHeight="false" outlineLevel="0" collapsed="false">
      <c r="A3408" s="36" t="n">
        <v>46160</v>
      </c>
      <c r="B3408" s="24" t="s">
        <v>63</v>
      </c>
      <c r="C3408" s="24" t="s">
        <v>195</v>
      </c>
      <c r="D3408" s="33" t="n">
        <v>289</v>
      </c>
      <c r="E3408" s="24" t="n">
        <v>0</v>
      </c>
      <c r="F3408" s="37" t="n">
        <f aca="false">DATE(YEAR(A3408),MONTH(A3408),1)</f>
        <v>46143</v>
      </c>
      <c r="G3408" s="24" t="str">
        <f aca="false">INDEX(Products!$C$2:$C$49,MATCH(C3408,Products!$A$2:$A$49,0))</f>
        <v>Snacks &amp; Confectionery</v>
      </c>
      <c r="H3408" s="33" t="n">
        <f aca="false">D3408*INDEX(Products!$E$2:$E$49,MATCH(C3408,Products!$A$2:$A$49,0))</f>
        <v>31790</v>
      </c>
      <c r="I3408" s="33" t="n">
        <f aca="false">D3408*INDEX(Products!$D$2:$D$49,MATCH(C3408,Products!$A$2:$A$49,0))*(1+INDEX(Assumptions!$B$16:$B$20,MATCH(B3408,Assumptions!$A$16:$A$20,0)))</f>
        <v>21728.176</v>
      </c>
      <c r="J3408" s="33" t="n">
        <f aca="false">H3408-I3408</f>
        <v>10061.824</v>
      </c>
      <c r="K3408" s="33" t="n">
        <f aca="false">IF(OR(E3408=0,E3408&gt;=7),0,D3408/(7-E3408)*E3408*INDEX(Products!$E$2:$E$49,MATCH(C3408,Products!$A$2:$A$49,0)))</f>
        <v>0</v>
      </c>
    </row>
    <row r="3409" customFormat="false" ht="15" hidden="false" customHeight="false" outlineLevel="0" collapsed="false">
      <c r="A3409" s="36" t="n">
        <v>46167</v>
      </c>
      <c r="B3409" s="24" t="s">
        <v>63</v>
      </c>
      <c r="C3409" s="24" t="s">
        <v>195</v>
      </c>
      <c r="D3409" s="33" t="n">
        <v>300</v>
      </c>
      <c r="E3409" s="24" t="n">
        <v>0</v>
      </c>
      <c r="F3409" s="37" t="n">
        <f aca="false">DATE(YEAR(A3409),MONTH(A3409),1)</f>
        <v>46143</v>
      </c>
      <c r="G3409" s="24" t="str">
        <f aca="false">INDEX(Products!$C$2:$C$49,MATCH(C3409,Products!$A$2:$A$49,0))</f>
        <v>Snacks &amp; Confectionery</v>
      </c>
      <c r="H3409" s="33" t="n">
        <f aca="false">D3409*INDEX(Products!$E$2:$E$49,MATCH(C3409,Products!$A$2:$A$49,0))</f>
        <v>33000</v>
      </c>
      <c r="I3409" s="33" t="n">
        <f aca="false">D3409*INDEX(Products!$D$2:$D$49,MATCH(C3409,Products!$A$2:$A$49,0))*(1+INDEX(Assumptions!$B$16:$B$20,MATCH(B3409,Assumptions!$A$16:$A$20,0)))</f>
        <v>22555.2</v>
      </c>
      <c r="J3409" s="33" t="n">
        <f aca="false">H3409-I3409</f>
        <v>10444.8</v>
      </c>
      <c r="K3409" s="33" t="n">
        <f aca="false">IF(OR(E3409=0,E3409&gt;=7),0,D3409/(7-E3409)*E3409*INDEX(Products!$E$2:$E$49,MATCH(C3409,Products!$A$2:$A$49,0)))</f>
        <v>0</v>
      </c>
    </row>
    <row r="3410" customFormat="false" ht="15" hidden="false" customHeight="false" outlineLevel="0" collapsed="false">
      <c r="A3410" s="36" t="n">
        <v>46174</v>
      </c>
      <c r="B3410" s="24" t="s">
        <v>63</v>
      </c>
      <c r="C3410" s="24" t="s">
        <v>195</v>
      </c>
      <c r="D3410" s="33" t="n">
        <v>261</v>
      </c>
      <c r="E3410" s="24" t="n">
        <v>0</v>
      </c>
      <c r="F3410" s="37" t="n">
        <f aca="false">DATE(YEAR(A3410),MONTH(A3410),1)</f>
        <v>46174</v>
      </c>
      <c r="G3410" s="24" t="str">
        <f aca="false">INDEX(Products!$C$2:$C$49,MATCH(C3410,Products!$A$2:$A$49,0))</f>
        <v>Snacks &amp; Confectionery</v>
      </c>
      <c r="H3410" s="33" t="n">
        <f aca="false">D3410*INDEX(Products!$E$2:$E$49,MATCH(C3410,Products!$A$2:$A$49,0))</f>
        <v>28710</v>
      </c>
      <c r="I3410" s="33" t="n">
        <f aca="false">D3410*INDEX(Products!$D$2:$D$49,MATCH(C3410,Products!$A$2:$A$49,0))*(1+INDEX(Assumptions!$B$16:$B$20,MATCH(B3410,Assumptions!$A$16:$A$20,0)))</f>
        <v>19623.024</v>
      </c>
      <c r="J3410" s="33" t="n">
        <f aca="false">H3410-I3410</f>
        <v>9086.976</v>
      </c>
      <c r="K3410" s="33" t="n">
        <f aca="false">IF(OR(E3410=0,E3410&gt;=7),0,D3410/(7-E3410)*E3410*INDEX(Products!$E$2:$E$49,MATCH(C3410,Products!$A$2:$A$49,0)))</f>
        <v>0</v>
      </c>
    </row>
    <row r="3411" customFormat="false" ht="15" hidden="false" customHeight="false" outlineLevel="0" collapsed="false">
      <c r="A3411" s="36" t="n">
        <v>46181</v>
      </c>
      <c r="B3411" s="24" t="s">
        <v>63</v>
      </c>
      <c r="C3411" s="24" t="s">
        <v>195</v>
      </c>
      <c r="D3411" s="33" t="n">
        <v>248</v>
      </c>
      <c r="E3411" s="24" t="n">
        <v>0</v>
      </c>
      <c r="F3411" s="37" t="n">
        <f aca="false">DATE(YEAR(A3411),MONTH(A3411),1)</f>
        <v>46174</v>
      </c>
      <c r="G3411" s="24" t="str">
        <f aca="false">INDEX(Products!$C$2:$C$49,MATCH(C3411,Products!$A$2:$A$49,0))</f>
        <v>Snacks &amp; Confectionery</v>
      </c>
      <c r="H3411" s="33" t="n">
        <f aca="false">D3411*INDEX(Products!$E$2:$E$49,MATCH(C3411,Products!$A$2:$A$49,0))</f>
        <v>27280</v>
      </c>
      <c r="I3411" s="33" t="n">
        <f aca="false">D3411*INDEX(Products!$D$2:$D$49,MATCH(C3411,Products!$A$2:$A$49,0))*(1+INDEX(Assumptions!$B$16:$B$20,MATCH(B3411,Assumptions!$A$16:$A$20,0)))</f>
        <v>18645.632</v>
      </c>
      <c r="J3411" s="33" t="n">
        <f aca="false">H3411-I3411</f>
        <v>8634.368</v>
      </c>
      <c r="K3411" s="33" t="n">
        <f aca="false">IF(OR(E3411=0,E3411&gt;=7),0,D3411/(7-E3411)*E3411*INDEX(Products!$E$2:$E$49,MATCH(C3411,Products!$A$2:$A$49,0)))</f>
        <v>0</v>
      </c>
    </row>
    <row r="3412" customFormat="false" ht="15" hidden="false" customHeight="false" outlineLevel="0" collapsed="false">
      <c r="A3412" s="36" t="n">
        <v>46188</v>
      </c>
      <c r="B3412" s="24" t="s">
        <v>63</v>
      </c>
      <c r="C3412" s="24" t="s">
        <v>195</v>
      </c>
      <c r="D3412" s="33" t="n">
        <v>264</v>
      </c>
      <c r="E3412" s="24" t="n">
        <v>0</v>
      </c>
      <c r="F3412" s="37" t="n">
        <f aca="false">DATE(YEAR(A3412),MONTH(A3412),1)</f>
        <v>46174</v>
      </c>
      <c r="G3412" s="24" t="str">
        <f aca="false">INDEX(Products!$C$2:$C$49,MATCH(C3412,Products!$A$2:$A$49,0))</f>
        <v>Snacks &amp; Confectionery</v>
      </c>
      <c r="H3412" s="33" t="n">
        <f aca="false">D3412*INDEX(Products!$E$2:$E$49,MATCH(C3412,Products!$A$2:$A$49,0))</f>
        <v>29040</v>
      </c>
      <c r="I3412" s="33" t="n">
        <f aca="false">D3412*INDEX(Products!$D$2:$D$49,MATCH(C3412,Products!$A$2:$A$49,0))*(1+INDEX(Assumptions!$B$16:$B$20,MATCH(B3412,Assumptions!$A$16:$A$20,0)))</f>
        <v>19848.576</v>
      </c>
      <c r="J3412" s="33" t="n">
        <f aca="false">H3412-I3412</f>
        <v>9191.424</v>
      </c>
      <c r="K3412" s="33" t="n">
        <f aca="false">IF(OR(E3412=0,E3412&gt;=7),0,D3412/(7-E3412)*E3412*INDEX(Products!$E$2:$E$49,MATCH(C3412,Products!$A$2:$A$49,0)))</f>
        <v>0</v>
      </c>
    </row>
    <row r="3413" customFormat="false" ht="15" hidden="false" customHeight="false" outlineLevel="0" collapsed="false">
      <c r="A3413" s="36" t="n">
        <v>46195</v>
      </c>
      <c r="B3413" s="24" t="s">
        <v>63</v>
      </c>
      <c r="C3413" s="24" t="s">
        <v>195</v>
      </c>
      <c r="D3413" s="33" t="n">
        <v>266</v>
      </c>
      <c r="E3413" s="24" t="n">
        <v>0</v>
      </c>
      <c r="F3413" s="37" t="n">
        <f aca="false">DATE(YEAR(A3413),MONTH(A3413),1)</f>
        <v>46174</v>
      </c>
      <c r="G3413" s="24" t="str">
        <f aca="false">INDEX(Products!$C$2:$C$49,MATCH(C3413,Products!$A$2:$A$49,0))</f>
        <v>Snacks &amp; Confectionery</v>
      </c>
      <c r="H3413" s="33" t="n">
        <f aca="false">D3413*INDEX(Products!$E$2:$E$49,MATCH(C3413,Products!$A$2:$A$49,0))</f>
        <v>29260</v>
      </c>
      <c r="I3413" s="33" t="n">
        <f aca="false">D3413*INDEX(Products!$D$2:$D$49,MATCH(C3413,Products!$A$2:$A$49,0))*(1+INDEX(Assumptions!$B$16:$B$20,MATCH(B3413,Assumptions!$A$16:$A$20,0)))</f>
        <v>19998.944</v>
      </c>
      <c r="J3413" s="33" t="n">
        <f aca="false">H3413-I3413</f>
        <v>9261.056</v>
      </c>
      <c r="K3413" s="33" t="n">
        <f aca="false">IF(OR(E3413=0,E3413&gt;=7),0,D3413/(7-E3413)*E3413*INDEX(Products!$E$2:$E$49,MATCH(C3413,Products!$A$2:$A$49,0)))</f>
        <v>0</v>
      </c>
    </row>
    <row r="3414" customFormat="false" ht="15" hidden="false" customHeight="false" outlineLevel="0" collapsed="false">
      <c r="A3414" s="36" t="n">
        <v>46202</v>
      </c>
      <c r="B3414" s="24" t="s">
        <v>63</v>
      </c>
      <c r="C3414" s="24" t="s">
        <v>195</v>
      </c>
      <c r="D3414" s="33" t="n">
        <v>261</v>
      </c>
      <c r="E3414" s="24" t="n">
        <v>0</v>
      </c>
      <c r="F3414" s="37" t="n">
        <f aca="false">DATE(YEAR(A3414),MONTH(A3414),1)</f>
        <v>46174</v>
      </c>
      <c r="G3414" s="24" t="str">
        <f aca="false">INDEX(Products!$C$2:$C$49,MATCH(C3414,Products!$A$2:$A$49,0))</f>
        <v>Snacks &amp; Confectionery</v>
      </c>
      <c r="H3414" s="33" t="n">
        <f aca="false">D3414*INDEX(Products!$E$2:$E$49,MATCH(C3414,Products!$A$2:$A$49,0))</f>
        <v>28710</v>
      </c>
      <c r="I3414" s="33" t="n">
        <f aca="false">D3414*INDEX(Products!$D$2:$D$49,MATCH(C3414,Products!$A$2:$A$49,0))*(1+INDEX(Assumptions!$B$16:$B$20,MATCH(B3414,Assumptions!$A$16:$A$20,0)))</f>
        <v>19623.024</v>
      </c>
      <c r="J3414" s="33" t="n">
        <f aca="false">H3414-I3414</f>
        <v>9086.976</v>
      </c>
      <c r="K3414" s="33" t="n">
        <f aca="false">IF(OR(E3414=0,E3414&gt;=7),0,D3414/(7-E3414)*E3414*INDEX(Products!$E$2:$E$49,MATCH(C3414,Products!$A$2:$A$49,0)))</f>
        <v>0</v>
      </c>
    </row>
    <row r="3415" customFormat="false" ht="15" hidden="false" customHeight="false" outlineLevel="0" collapsed="false">
      <c r="A3415" s="36" t="n">
        <v>46209</v>
      </c>
      <c r="B3415" s="24" t="s">
        <v>63</v>
      </c>
      <c r="C3415" s="24" t="s">
        <v>195</v>
      </c>
      <c r="D3415" s="33" t="n">
        <v>220</v>
      </c>
      <c r="E3415" s="24" t="n">
        <v>0</v>
      </c>
      <c r="F3415" s="37" t="n">
        <f aca="false">DATE(YEAR(A3415),MONTH(A3415),1)</f>
        <v>46204</v>
      </c>
      <c r="G3415" s="24" t="str">
        <f aca="false">INDEX(Products!$C$2:$C$49,MATCH(C3415,Products!$A$2:$A$49,0))</f>
        <v>Snacks &amp; Confectionery</v>
      </c>
      <c r="H3415" s="33" t="n">
        <f aca="false">D3415*INDEX(Products!$E$2:$E$49,MATCH(C3415,Products!$A$2:$A$49,0))</f>
        <v>24200</v>
      </c>
      <c r="I3415" s="33" t="n">
        <f aca="false">D3415*INDEX(Products!$D$2:$D$49,MATCH(C3415,Products!$A$2:$A$49,0))*(1+INDEX(Assumptions!$B$16:$B$20,MATCH(B3415,Assumptions!$A$16:$A$20,0)))</f>
        <v>16540.48</v>
      </c>
      <c r="J3415" s="33" t="n">
        <f aca="false">H3415-I3415</f>
        <v>7659.52</v>
      </c>
      <c r="K3415" s="33" t="n">
        <f aca="false">IF(OR(E3415=0,E3415&gt;=7),0,D3415/(7-E3415)*E3415*INDEX(Products!$E$2:$E$49,MATCH(C3415,Products!$A$2:$A$49,0)))</f>
        <v>0</v>
      </c>
    </row>
    <row r="3416" customFormat="false" ht="15" hidden="false" customHeight="false" outlineLevel="0" collapsed="false">
      <c r="A3416" s="36" t="n">
        <v>46216</v>
      </c>
      <c r="B3416" s="24" t="s">
        <v>63</v>
      </c>
      <c r="C3416" s="24" t="s">
        <v>195</v>
      </c>
      <c r="D3416" s="33" t="n">
        <v>246</v>
      </c>
      <c r="E3416" s="24" t="n">
        <v>0</v>
      </c>
      <c r="F3416" s="37" t="n">
        <f aca="false">DATE(YEAR(A3416),MONTH(A3416),1)</f>
        <v>46204</v>
      </c>
      <c r="G3416" s="24" t="str">
        <f aca="false">INDEX(Products!$C$2:$C$49,MATCH(C3416,Products!$A$2:$A$49,0))</f>
        <v>Snacks &amp; Confectionery</v>
      </c>
      <c r="H3416" s="33" t="n">
        <f aca="false">D3416*INDEX(Products!$E$2:$E$49,MATCH(C3416,Products!$A$2:$A$49,0))</f>
        <v>27060</v>
      </c>
      <c r="I3416" s="33" t="n">
        <f aca="false">D3416*INDEX(Products!$D$2:$D$49,MATCH(C3416,Products!$A$2:$A$49,0))*(1+INDEX(Assumptions!$B$16:$B$20,MATCH(B3416,Assumptions!$A$16:$A$20,0)))</f>
        <v>18495.264</v>
      </c>
      <c r="J3416" s="33" t="n">
        <f aca="false">H3416-I3416</f>
        <v>8564.736</v>
      </c>
      <c r="K3416" s="33" t="n">
        <f aca="false">IF(OR(E3416=0,E3416&gt;=7),0,D3416/(7-E3416)*E3416*INDEX(Products!$E$2:$E$49,MATCH(C3416,Products!$A$2:$A$49,0)))</f>
        <v>0</v>
      </c>
    </row>
    <row r="3417" customFormat="false" ht="15" hidden="false" customHeight="false" outlineLevel="0" collapsed="false">
      <c r="A3417" s="36" t="n">
        <v>46223</v>
      </c>
      <c r="B3417" s="24" t="s">
        <v>63</v>
      </c>
      <c r="C3417" s="24" t="s">
        <v>195</v>
      </c>
      <c r="D3417" s="33" t="n">
        <v>285</v>
      </c>
      <c r="E3417" s="24" t="n">
        <v>0</v>
      </c>
      <c r="F3417" s="37" t="n">
        <f aca="false">DATE(YEAR(A3417),MONTH(A3417),1)</f>
        <v>46204</v>
      </c>
      <c r="G3417" s="24" t="str">
        <f aca="false">INDEX(Products!$C$2:$C$49,MATCH(C3417,Products!$A$2:$A$49,0))</f>
        <v>Snacks &amp; Confectionery</v>
      </c>
      <c r="H3417" s="33" t="n">
        <f aca="false">D3417*INDEX(Products!$E$2:$E$49,MATCH(C3417,Products!$A$2:$A$49,0))</f>
        <v>31350</v>
      </c>
      <c r="I3417" s="33" t="n">
        <f aca="false">D3417*INDEX(Products!$D$2:$D$49,MATCH(C3417,Products!$A$2:$A$49,0))*(1+INDEX(Assumptions!$B$16:$B$20,MATCH(B3417,Assumptions!$A$16:$A$20,0)))</f>
        <v>21427.44</v>
      </c>
      <c r="J3417" s="33" t="n">
        <f aca="false">H3417-I3417</f>
        <v>9922.56</v>
      </c>
      <c r="K3417" s="33" t="n">
        <f aca="false">IF(OR(E3417=0,E3417&gt;=7),0,D3417/(7-E3417)*E3417*INDEX(Products!$E$2:$E$49,MATCH(C3417,Products!$A$2:$A$49,0)))</f>
        <v>0</v>
      </c>
    </row>
    <row r="3418" customFormat="false" ht="15" hidden="false" customHeight="false" outlineLevel="0" collapsed="false">
      <c r="A3418" s="36" t="n">
        <v>46230</v>
      </c>
      <c r="B3418" s="24" t="s">
        <v>63</v>
      </c>
      <c r="C3418" s="24" t="s">
        <v>195</v>
      </c>
      <c r="D3418" s="33" t="n">
        <v>78</v>
      </c>
      <c r="E3418" s="24" t="n">
        <v>5</v>
      </c>
      <c r="F3418" s="37" t="n">
        <f aca="false">DATE(YEAR(A3418),MONTH(A3418),1)</f>
        <v>46204</v>
      </c>
      <c r="G3418" s="24" t="str">
        <f aca="false">INDEX(Products!$C$2:$C$49,MATCH(C3418,Products!$A$2:$A$49,0))</f>
        <v>Snacks &amp; Confectionery</v>
      </c>
      <c r="H3418" s="33" t="n">
        <f aca="false">D3418*INDEX(Products!$E$2:$E$49,MATCH(C3418,Products!$A$2:$A$49,0))</f>
        <v>8580</v>
      </c>
      <c r="I3418" s="33" t="n">
        <f aca="false">D3418*INDEX(Products!$D$2:$D$49,MATCH(C3418,Products!$A$2:$A$49,0))*(1+INDEX(Assumptions!$B$16:$B$20,MATCH(B3418,Assumptions!$A$16:$A$20,0)))</f>
        <v>5864.352</v>
      </c>
      <c r="J3418" s="33" t="n">
        <f aca="false">H3418-I3418</f>
        <v>2715.648</v>
      </c>
      <c r="K3418" s="33" t="n">
        <f aca="false">IF(OR(E3418=0,E3418&gt;=7),0,D3418/(7-E3418)*E3418*INDEX(Products!$E$2:$E$49,MATCH(C3418,Products!$A$2:$A$49,0)))</f>
        <v>21450</v>
      </c>
    </row>
    <row r="3419" customFormat="false" ht="15" hidden="false" customHeight="false" outlineLevel="0" collapsed="false">
      <c r="A3419" s="36" t="n">
        <v>46237</v>
      </c>
      <c r="B3419" s="24" t="s">
        <v>63</v>
      </c>
      <c r="C3419" s="24" t="s">
        <v>195</v>
      </c>
      <c r="D3419" s="33" t="n">
        <v>218</v>
      </c>
      <c r="E3419" s="24" t="n">
        <v>0</v>
      </c>
      <c r="F3419" s="37" t="n">
        <f aca="false">DATE(YEAR(A3419),MONTH(A3419),1)</f>
        <v>46235</v>
      </c>
      <c r="G3419" s="24" t="str">
        <f aca="false">INDEX(Products!$C$2:$C$49,MATCH(C3419,Products!$A$2:$A$49,0))</f>
        <v>Snacks &amp; Confectionery</v>
      </c>
      <c r="H3419" s="33" t="n">
        <f aca="false">D3419*INDEX(Products!$E$2:$E$49,MATCH(C3419,Products!$A$2:$A$49,0))</f>
        <v>23980</v>
      </c>
      <c r="I3419" s="33" t="n">
        <f aca="false">D3419*INDEX(Products!$D$2:$D$49,MATCH(C3419,Products!$A$2:$A$49,0))*(1+INDEX(Assumptions!$B$16:$B$20,MATCH(B3419,Assumptions!$A$16:$A$20,0)))</f>
        <v>16390.112</v>
      </c>
      <c r="J3419" s="33" t="n">
        <f aca="false">H3419-I3419</f>
        <v>7589.888</v>
      </c>
      <c r="K3419" s="33" t="n">
        <f aca="false">IF(OR(E3419=0,E3419&gt;=7),0,D3419/(7-E3419)*E3419*INDEX(Products!$E$2:$E$49,MATCH(C3419,Products!$A$2:$A$49,0)))</f>
        <v>0</v>
      </c>
    </row>
    <row r="3420" customFormat="false" ht="15" hidden="false" customHeight="false" outlineLevel="0" collapsed="false">
      <c r="A3420" s="36" t="n">
        <v>46244</v>
      </c>
      <c r="B3420" s="24" t="s">
        <v>63</v>
      </c>
      <c r="C3420" s="24" t="s">
        <v>195</v>
      </c>
      <c r="D3420" s="33" t="n">
        <v>274</v>
      </c>
      <c r="E3420" s="24" t="n">
        <v>0</v>
      </c>
      <c r="F3420" s="37" t="n">
        <f aca="false">DATE(YEAR(A3420),MONTH(A3420),1)</f>
        <v>46235</v>
      </c>
      <c r="G3420" s="24" t="str">
        <f aca="false">INDEX(Products!$C$2:$C$49,MATCH(C3420,Products!$A$2:$A$49,0))</f>
        <v>Snacks &amp; Confectionery</v>
      </c>
      <c r="H3420" s="33" t="n">
        <f aca="false">D3420*INDEX(Products!$E$2:$E$49,MATCH(C3420,Products!$A$2:$A$49,0))</f>
        <v>30140</v>
      </c>
      <c r="I3420" s="33" t="n">
        <f aca="false">D3420*INDEX(Products!$D$2:$D$49,MATCH(C3420,Products!$A$2:$A$49,0))*(1+INDEX(Assumptions!$B$16:$B$20,MATCH(B3420,Assumptions!$A$16:$A$20,0)))</f>
        <v>20600.416</v>
      </c>
      <c r="J3420" s="33" t="n">
        <f aca="false">H3420-I3420</f>
        <v>9539.584</v>
      </c>
      <c r="K3420" s="33" t="n">
        <f aca="false">IF(OR(E3420=0,E3420&gt;=7),0,D3420/(7-E3420)*E3420*INDEX(Products!$E$2:$E$49,MATCH(C3420,Products!$A$2:$A$49,0)))</f>
        <v>0</v>
      </c>
    </row>
    <row r="3421" customFormat="false" ht="15" hidden="false" customHeight="false" outlineLevel="0" collapsed="false">
      <c r="A3421" s="36" t="n">
        <v>46251</v>
      </c>
      <c r="B3421" s="24" t="s">
        <v>63</v>
      </c>
      <c r="C3421" s="24" t="s">
        <v>195</v>
      </c>
      <c r="D3421" s="33" t="n">
        <v>242</v>
      </c>
      <c r="E3421" s="24" t="n">
        <v>0</v>
      </c>
      <c r="F3421" s="37" t="n">
        <f aca="false">DATE(YEAR(A3421),MONTH(A3421),1)</f>
        <v>46235</v>
      </c>
      <c r="G3421" s="24" t="str">
        <f aca="false">INDEX(Products!$C$2:$C$49,MATCH(C3421,Products!$A$2:$A$49,0))</f>
        <v>Snacks &amp; Confectionery</v>
      </c>
      <c r="H3421" s="33" t="n">
        <f aca="false">D3421*INDEX(Products!$E$2:$E$49,MATCH(C3421,Products!$A$2:$A$49,0))</f>
        <v>26620</v>
      </c>
      <c r="I3421" s="33" t="n">
        <f aca="false">D3421*INDEX(Products!$D$2:$D$49,MATCH(C3421,Products!$A$2:$A$49,0))*(1+INDEX(Assumptions!$B$16:$B$20,MATCH(B3421,Assumptions!$A$16:$A$20,0)))</f>
        <v>18194.528</v>
      </c>
      <c r="J3421" s="33" t="n">
        <f aca="false">H3421-I3421</f>
        <v>8425.472</v>
      </c>
      <c r="K3421" s="33" t="n">
        <f aca="false">IF(OR(E3421=0,E3421&gt;=7),0,D3421/(7-E3421)*E3421*INDEX(Products!$E$2:$E$49,MATCH(C3421,Products!$A$2:$A$49,0)))</f>
        <v>0</v>
      </c>
    </row>
    <row r="3422" customFormat="false" ht="15" hidden="false" customHeight="false" outlineLevel="0" collapsed="false">
      <c r="A3422" s="36" t="n">
        <v>46258</v>
      </c>
      <c r="B3422" s="24" t="s">
        <v>63</v>
      </c>
      <c r="C3422" s="24" t="s">
        <v>195</v>
      </c>
      <c r="D3422" s="33" t="n">
        <v>261</v>
      </c>
      <c r="E3422" s="24" t="n">
        <v>0</v>
      </c>
      <c r="F3422" s="37" t="n">
        <f aca="false">DATE(YEAR(A3422),MONTH(A3422),1)</f>
        <v>46235</v>
      </c>
      <c r="G3422" s="24" t="str">
        <f aca="false">INDEX(Products!$C$2:$C$49,MATCH(C3422,Products!$A$2:$A$49,0))</f>
        <v>Snacks &amp; Confectionery</v>
      </c>
      <c r="H3422" s="33" t="n">
        <f aca="false">D3422*INDEX(Products!$E$2:$E$49,MATCH(C3422,Products!$A$2:$A$49,0))</f>
        <v>28710</v>
      </c>
      <c r="I3422" s="33" t="n">
        <f aca="false">D3422*INDEX(Products!$D$2:$D$49,MATCH(C3422,Products!$A$2:$A$49,0))*(1+INDEX(Assumptions!$B$16:$B$20,MATCH(B3422,Assumptions!$A$16:$A$20,0)))</f>
        <v>19623.024</v>
      </c>
      <c r="J3422" s="33" t="n">
        <f aca="false">H3422-I3422</f>
        <v>9086.976</v>
      </c>
      <c r="K3422" s="33" t="n">
        <f aca="false">IF(OR(E3422=0,E3422&gt;=7),0,D3422/(7-E3422)*E3422*INDEX(Products!$E$2:$E$49,MATCH(C3422,Products!$A$2:$A$49,0)))</f>
        <v>0</v>
      </c>
    </row>
    <row r="3423" customFormat="false" ht="15" hidden="false" customHeight="false" outlineLevel="0" collapsed="false">
      <c r="A3423" s="36" t="n">
        <v>46265</v>
      </c>
      <c r="B3423" s="24" t="s">
        <v>63</v>
      </c>
      <c r="C3423" s="24" t="s">
        <v>195</v>
      </c>
      <c r="D3423" s="33" t="n">
        <v>264</v>
      </c>
      <c r="E3423" s="24" t="n">
        <v>0</v>
      </c>
      <c r="F3423" s="37" t="n">
        <f aca="false">DATE(YEAR(A3423),MONTH(A3423),1)</f>
        <v>46235</v>
      </c>
      <c r="G3423" s="24" t="str">
        <f aca="false">INDEX(Products!$C$2:$C$49,MATCH(C3423,Products!$A$2:$A$49,0))</f>
        <v>Snacks &amp; Confectionery</v>
      </c>
      <c r="H3423" s="33" t="n">
        <f aca="false">D3423*INDEX(Products!$E$2:$E$49,MATCH(C3423,Products!$A$2:$A$49,0))</f>
        <v>29040</v>
      </c>
      <c r="I3423" s="33" t="n">
        <f aca="false">D3423*INDEX(Products!$D$2:$D$49,MATCH(C3423,Products!$A$2:$A$49,0))*(1+INDEX(Assumptions!$B$16:$B$20,MATCH(B3423,Assumptions!$A$16:$A$20,0)))</f>
        <v>19848.576</v>
      </c>
      <c r="J3423" s="33" t="n">
        <f aca="false">H3423-I3423</f>
        <v>9191.424</v>
      </c>
      <c r="K3423" s="33" t="n">
        <f aca="false">IF(OR(E3423=0,E3423&gt;=7),0,D3423/(7-E3423)*E3423*INDEX(Products!$E$2:$E$49,MATCH(C3423,Products!$A$2:$A$49,0)))</f>
        <v>0</v>
      </c>
    </row>
    <row r="3424" customFormat="false" ht="15" hidden="false" customHeight="false" outlineLevel="0" collapsed="false">
      <c r="A3424" s="36" t="n">
        <v>46272</v>
      </c>
      <c r="B3424" s="24" t="s">
        <v>63</v>
      </c>
      <c r="C3424" s="24" t="s">
        <v>195</v>
      </c>
      <c r="D3424" s="33" t="n">
        <v>249</v>
      </c>
      <c r="E3424" s="24" t="n">
        <v>0</v>
      </c>
      <c r="F3424" s="37" t="n">
        <f aca="false">DATE(YEAR(A3424),MONTH(A3424),1)</f>
        <v>46266</v>
      </c>
      <c r="G3424" s="24" t="str">
        <f aca="false">INDEX(Products!$C$2:$C$49,MATCH(C3424,Products!$A$2:$A$49,0))</f>
        <v>Snacks &amp; Confectionery</v>
      </c>
      <c r="H3424" s="33" t="n">
        <f aca="false">D3424*INDEX(Products!$E$2:$E$49,MATCH(C3424,Products!$A$2:$A$49,0))</f>
        <v>27390</v>
      </c>
      <c r="I3424" s="33" t="n">
        <f aca="false">D3424*INDEX(Products!$D$2:$D$49,MATCH(C3424,Products!$A$2:$A$49,0))*(1+INDEX(Assumptions!$B$16:$B$20,MATCH(B3424,Assumptions!$A$16:$A$20,0)))</f>
        <v>18720.816</v>
      </c>
      <c r="J3424" s="33" t="n">
        <f aca="false">H3424-I3424</f>
        <v>8669.184</v>
      </c>
      <c r="K3424" s="33" t="n">
        <f aca="false">IF(OR(E3424=0,E3424&gt;=7),0,D3424/(7-E3424)*E3424*INDEX(Products!$E$2:$E$49,MATCH(C3424,Products!$A$2:$A$49,0)))</f>
        <v>0</v>
      </c>
    </row>
    <row r="3425" customFormat="false" ht="15" hidden="false" customHeight="false" outlineLevel="0" collapsed="false">
      <c r="A3425" s="36" t="n">
        <v>46279</v>
      </c>
      <c r="B3425" s="24" t="s">
        <v>63</v>
      </c>
      <c r="C3425" s="24" t="s">
        <v>195</v>
      </c>
      <c r="D3425" s="33" t="n">
        <v>234</v>
      </c>
      <c r="E3425" s="24" t="n">
        <v>0</v>
      </c>
      <c r="F3425" s="37" t="n">
        <f aca="false">DATE(YEAR(A3425),MONTH(A3425),1)</f>
        <v>46266</v>
      </c>
      <c r="G3425" s="24" t="str">
        <f aca="false">INDEX(Products!$C$2:$C$49,MATCH(C3425,Products!$A$2:$A$49,0))</f>
        <v>Snacks &amp; Confectionery</v>
      </c>
      <c r="H3425" s="33" t="n">
        <f aca="false">D3425*INDEX(Products!$E$2:$E$49,MATCH(C3425,Products!$A$2:$A$49,0))</f>
        <v>25740</v>
      </c>
      <c r="I3425" s="33" t="n">
        <f aca="false">D3425*INDEX(Products!$D$2:$D$49,MATCH(C3425,Products!$A$2:$A$49,0))*(1+INDEX(Assumptions!$B$16:$B$20,MATCH(B3425,Assumptions!$A$16:$A$20,0)))</f>
        <v>17593.056</v>
      </c>
      <c r="J3425" s="33" t="n">
        <f aca="false">H3425-I3425</f>
        <v>8146.944</v>
      </c>
      <c r="K3425" s="33" t="n">
        <f aca="false">IF(OR(E3425=0,E3425&gt;=7),0,D3425/(7-E3425)*E3425*INDEX(Products!$E$2:$E$49,MATCH(C3425,Products!$A$2:$A$49,0)))</f>
        <v>0</v>
      </c>
    </row>
    <row r="3426" customFormat="false" ht="15" hidden="false" customHeight="false" outlineLevel="0" collapsed="false">
      <c r="A3426" s="36" t="n">
        <v>46286</v>
      </c>
      <c r="B3426" s="24" t="s">
        <v>63</v>
      </c>
      <c r="C3426" s="24" t="s">
        <v>195</v>
      </c>
      <c r="D3426" s="33" t="n">
        <v>265</v>
      </c>
      <c r="E3426" s="24" t="n">
        <v>0</v>
      </c>
      <c r="F3426" s="37" t="n">
        <f aca="false">DATE(YEAR(A3426),MONTH(A3426),1)</f>
        <v>46266</v>
      </c>
      <c r="G3426" s="24" t="str">
        <f aca="false">INDEX(Products!$C$2:$C$49,MATCH(C3426,Products!$A$2:$A$49,0))</f>
        <v>Snacks &amp; Confectionery</v>
      </c>
      <c r="H3426" s="33" t="n">
        <f aca="false">D3426*INDEX(Products!$E$2:$E$49,MATCH(C3426,Products!$A$2:$A$49,0))</f>
        <v>29150</v>
      </c>
      <c r="I3426" s="33" t="n">
        <f aca="false">D3426*INDEX(Products!$D$2:$D$49,MATCH(C3426,Products!$A$2:$A$49,0))*(1+INDEX(Assumptions!$B$16:$B$20,MATCH(B3426,Assumptions!$A$16:$A$20,0)))</f>
        <v>19923.76</v>
      </c>
      <c r="J3426" s="33" t="n">
        <f aca="false">H3426-I3426</f>
        <v>9226.24</v>
      </c>
      <c r="K3426" s="33" t="n">
        <f aca="false">IF(OR(E3426=0,E3426&gt;=7),0,D3426/(7-E3426)*E3426*INDEX(Products!$E$2:$E$49,MATCH(C3426,Products!$A$2:$A$49,0)))</f>
        <v>0</v>
      </c>
    </row>
    <row r="3427" customFormat="false" ht="15" hidden="false" customHeight="false" outlineLevel="0" collapsed="false">
      <c r="A3427" s="36" t="n">
        <v>46118</v>
      </c>
      <c r="B3427" s="24" t="s">
        <v>63</v>
      </c>
      <c r="C3427" s="24" t="s">
        <v>197</v>
      </c>
      <c r="D3427" s="33" t="n">
        <v>41</v>
      </c>
      <c r="E3427" s="24" t="n">
        <v>0</v>
      </c>
      <c r="F3427" s="37" t="n">
        <f aca="false">DATE(YEAR(A3427),MONTH(A3427),1)</f>
        <v>46113</v>
      </c>
      <c r="G3427" s="24" t="str">
        <f aca="false">INDEX(Products!$C$2:$C$49,MATCH(C3427,Products!$A$2:$A$49,0))</f>
        <v>Snacks &amp; Confectionery</v>
      </c>
      <c r="H3427" s="33" t="n">
        <f aca="false">D3427*INDEX(Products!$E$2:$E$49,MATCH(C3427,Products!$A$2:$A$49,0))</f>
        <v>3690</v>
      </c>
      <c r="I3427" s="33" t="n">
        <f aca="false">D3427*INDEX(Products!$D$2:$D$49,MATCH(C3427,Products!$A$2:$A$49,0))*(1+INDEX(Assumptions!$B$16:$B$20,MATCH(B3427,Assumptions!$A$16:$A$20,0)))</f>
        <v>2749.296</v>
      </c>
      <c r="J3427" s="33" t="n">
        <f aca="false">H3427-I3427</f>
        <v>940.704</v>
      </c>
      <c r="K3427" s="33" t="n">
        <f aca="false">IF(OR(E3427=0,E3427&gt;=7),0,D3427/(7-E3427)*E3427*INDEX(Products!$E$2:$E$49,MATCH(C3427,Products!$A$2:$A$49,0)))</f>
        <v>0</v>
      </c>
    </row>
    <row r="3428" customFormat="false" ht="15" hidden="false" customHeight="false" outlineLevel="0" collapsed="false">
      <c r="A3428" s="36" t="n">
        <v>46125</v>
      </c>
      <c r="B3428" s="24" t="s">
        <v>63</v>
      </c>
      <c r="C3428" s="24" t="s">
        <v>197</v>
      </c>
      <c r="D3428" s="33" t="n">
        <v>39</v>
      </c>
      <c r="E3428" s="24" t="n">
        <v>0</v>
      </c>
      <c r="F3428" s="37" t="n">
        <f aca="false">DATE(YEAR(A3428),MONTH(A3428),1)</f>
        <v>46113</v>
      </c>
      <c r="G3428" s="24" t="str">
        <f aca="false">INDEX(Products!$C$2:$C$49,MATCH(C3428,Products!$A$2:$A$49,0))</f>
        <v>Snacks &amp; Confectionery</v>
      </c>
      <c r="H3428" s="33" t="n">
        <f aca="false">D3428*INDEX(Products!$E$2:$E$49,MATCH(C3428,Products!$A$2:$A$49,0))</f>
        <v>3510</v>
      </c>
      <c r="I3428" s="33" t="n">
        <f aca="false">D3428*INDEX(Products!$D$2:$D$49,MATCH(C3428,Products!$A$2:$A$49,0))*(1+INDEX(Assumptions!$B$16:$B$20,MATCH(B3428,Assumptions!$A$16:$A$20,0)))</f>
        <v>2615.184</v>
      </c>
      <c r="J3428" s="33" t="n">
        <f aca="false">H3428-I3428</f>
        <v>894.816</v>
      </c>
      <c r="K3428" s="33" t="n">
        <f aca="false">IF(OR(E3428=0,E3428&gt;=7),0,D3428/(7-E3428)*E3428*INDEX(Products!$E$2:$E$49,MATCH(C3428,Products!$A$2:$A$49,0)))</f>
        <v>0</v>
      </c>
    </row>
    <row r="3429" customFormat="false" ht="15" hidden="false" customHeight="false" outlineLevel="0" collapsed="false">
      <c r="A3429" s="36" t="n">
        <v>46132</v>
      </c>
      <c r="B3429" s="24" t="s">
        <v>63</v>
      </c>
      <c r="C3429" s="24" t="s">
        <v>197</v>
      </c>
      <c r="D3429" s="33" t="n">
        <v>29</v>
      </c>
      <c r="E3429" s="24" t="n">
        <v>0</v>
      </c>
      <c r="F3429" s="37" t="n">
        <f aca="false">DATE(YEAR(A3429),MONTH(A3429),1)</f>
        <v>46113</v>
      </c>
      <c r="G3429" s="24" t="str">
        <f aca="false">INDEX(Products!$C$2:$C$49,MATCH(C3429,Products!$A$2:$A$49,0))</f>
        <v>Snacks &amp; Confectionery</v>
      </c>
      <c r="H3429" s="33" t="n">
        <f aca="false">D3429*INDEX(Products!$E$2:$E$49,MATCH(C3429,Products!$A$2:$A$49,0))</f>
        <v>2610</v>
      </c>
      <c r="I3429" s="33" t="n">
        <f aca="false">D3429*INDEX(Products!$D$2:$D$49,MATCH(C3429,Products!$A$2:$A$49,0))*(1+INDEX(Assumptions!$B$16:$B$20,MATCH(B3429,Assumptions!$A$16:$A$20,0)))</f>
        <v>1944.624</v>
      </c>
      <c r="J3429" s="33" t="n">
        <f aca="false">H3429-I3429</f>
        <v>665.376</v>
      </c>
      <c r="K3429" s="33" t="n">
        <f aca="false">IF(OR(E3429=0,E3429&gt;=7),0,D3429/(7-E3429)*E3429*INDEX(Products!$E$2:$E$49,MATCH(C3429,Products!$A$2:$A$49,0)))</f>
        <v>0</v>
      </c>
    </row>
    <row r="3430" customFormat="false" ht="15" hidden="false" customHeight="false" outlineLevel="0" collapsed="false">
      <c r="A3430" s="36" t="n">
        <v>46139</v>
      </c>
      <c r="B3430" s="24" t="s">
        <v>63</v>
      </c>
      <c r="C3430" s="24" t="s">
        <v>197</v>
      </c>
      <c r="D3430" s="33" t="n">
        <v>50</v>
      </c>
      <c r="E3430" s="24" t="n">
        <v>0</v>
      </c>
      <c r="F3430" s="37" t="n">
        <f aca="false">DATE(YEAR(A3430),MONTH(A3430),1)</f>
        <v>46113</v>
      </c>
      <c r="G3430" s="24" t="str">
        <f aca="false">INDEX(Products!$C$2:$C$49,MATCH(C3430,Products!$A$2:$A$49,0))</f>
        <v>Snacks &amp; Confectionery</v>
      </c>
      <c r="H3430" s="33" t="n">
        <f aca="false">D3430*INDEX(Products!$E$2:$E$49,MATCH(C3430,Products!$A$2:$A$49,0))</f>
        <v>4500</v>
      </c>
      <c r="I3430" s="33" t="n">
        <f aca="false">D3430*INDEX(Products!$D$2:$D$49,MATCH(C3430,Products!$A$2:$A$49,0))*(1+INDEX(Assumptions!$B$16:$B$20,MATCH(B3430,Assumptions!$A$16:$A$20,0)))</f>
        <v>3352.8</v>
      </c>
      <c r="J3430" s="33" t="n">
        <f aca="false">H3430-I3430</f>
        <v>1147.2</v>
      </c>
      <c r="K3430" s="33" t="n">
        <f aca="false">IF(OR(E3430=0,E3430&gt;=7),0,D3430/(7-E3430)*E3430*INDEX(Products!$E$2:$E$49,MATCH(C3430,Products!$A$2:$A$49,0)))</f>
        <v>0</v>
      </c>
    </row>
    <row r="3431" customFormat="false" ht="15" hidden="false" customHeight="false" outlineLevel="0" collapsed="false">
      <c r="A3431" s="36" t="n">
        <v>46146</v>
      </c>
      <c r="B3431" s="24" t="s">
        <v>63</v>
      </c>
      <c r="C3431" s="24" t="s">
        <v>197</v>
      </c>
      <c r="D3431" s="33" t="n">
        <v>27</v>
      </c>
      <c r="E3431" s="24" t="n">
        <v>1</v>
      </c>
      <c r="F3431" s="37" t="n">
        <f aca="false">DATE(YEAR(A3431),MONTH(A3431),1)</f>
        <v>46143</v>
      </c>
      <c r="G3431" s="24" t="str">
        <f aca="false">INDEX(Products!$C$2:$C$49,MATCH(C3431,Products!$A$2:$A$49,0))</f>
        <v>Snacks &amp; Confectionery</v>
      </c>
      <c r="H3431" s="33" t="n">
        <f aca="false">D3431*INDEX(Products!$E$2:$E$49,MATCH(C3431,Products!$A$2:$A$49,0))</f>
        <v>2430</v>
      </c>
      <c r="I3431" s="33" t="n">
        <f aca="false">D3431*INDEX(Products!$D$2:$D$49,MATCH(C3431,Products!$A$2:$A$49,0))*(1+INDEX(Assumptions!$B$16:$B$20,MATCH(B3431,Assumptions!$A$16:$A$20,0)))</f>
        <v>1810.512</v>
      </c>
      <c r="J3431" s="33" t="n">
        <f aca="false">H3431-I3431</f>
        <v>619.488</v>
      </c>
      <c r="K3431" s="33" t="n">
        <f aca="false">IF(OR(E3431=0,E3431&gt;=7),0,D3431/(7-E3431)*E3431*INDEX(Products!$E$2:$E$49,MATCH(C3431,Products!$A$2:$A$49,0)))</f>
        <v>405</v>
      </c>
    </row>
    <row r="3432" customFormat="false" ht="15" hidden="false" customHeight="false" outlineLevel="0" collapsed="false">
      <c r="A3432" s="36" t="n">
        <v>46153</v>
      </c>
      <c r="B3432" s="24" t="s">
        <v>63</v>
      </c>
      <c r="C3432" s="24" t="s">
        <v>197</v>
      </c>
      <c r="D3432" s="33" t="n">
        <v>41</v>
      </c>
      <c r="E3432" s="24" t="n">
        <v>0</v>
      </c>
      <c r="F3432" s="37" t="n">
        <f aca="false">DATE(YEAR(A3432),MONTH(A3432),1)</f>
        <v>46143</v>
      </c>
      <c r="G3432" s="24" t="str">
        <f aca="false">INDEX(Products!$C$2:$C$49,MATCH(C3432,Products!$A$2:$A$49,0))</f>
        <v>Snacks &amp; Confectionery</v>
      </c>
      <c r="H3432" s="33" t="n">
        <f aca="false">D3432*INDEX(Products!$E$2:$E$49,MATCH(C3432,Products!$A$2:$A$49,0))</f>
        <v>3690</v>
      </c>
      <c r="I3432" s="33" t="n">
        <f aca="false">D3432*INDEX(Products!$D$2:$D$49,MATCH(C3432,Products!$A$2:$A$49,0))*(1+INDEX(Assumptions!$B$16:$B$20,MATCH(B3432,Assumptions!$A$16:$A$20,0)))</f>
        <v>2749.296</v>
      </c>
      <c r="J3432" s="33" t="n">
        <f aca="false">H3432-I3432</f>
        <v>940.704</v>
      </c>
      <c r="K3432" s="33" t="n">
        <f aca="false">IF(OR(E3432=0,E3432&gt;=7),0,D3432/(7-E3432)*E3432*INDEX(Products!$E$2:$E$49,MATCH(C3432,Products!$A$2:$A$49,0)))</f>
        <v>0</v>
      </c>
    </row>
    <row r="3433" customFormat="false" ht="15" hidden="false" customHeight="false" outlineLevel="0" collapsed="false">
      <c r="A3433" s="36" t="n">
        <v>46160</v>
      </c>
      <c r="B3433" s="24" t="s">
        <v>63</v>
      </c>
      <c r="C3433" s="24" t="s">
        <v>197</v>
      </c>
      <c r="D3433" s="33" t="n">
        <v>43</v>
      </c>
      <c r="E3433" s="24" t="n">
        <v>0</v>
      </c>
      <c r="F3433" s="37" t="n">
        <f aca="false">DATE(YEAR(A3433),MONTH(A3433),1)</f>
        <v>46143</v>
      </c>
      <c r="G3433" s="24" t="str">
        <f aca="false">INDEX(Products!$C$2:$C$49,MATCH(C3433,Products!$A$2:$A$49,0))</f>
        <v>Snacks &amp; Confectionery</v>
      </c>
      <c r="H3433" s="33" t="n">
        <f aca="false">D3433*INDEX(Products!$E$2:$E$49,MATCH(C3433,Products!$A$2:$A$49,0))</f>
        <v>3870</v>
      </c>
      <c r="I3433" s="33" t="n">
        <f aca="false">D3433*INDEX(Products!$D$2:$D$49,MATCH(C3433,Products!$A$2:$A$49,0))*(1+INDEX(Assumptions!$B$16:$B$20,MATCH(B3433,Assumptions!$A$16:$A$20,0)))</f>
        <v>2883.408</v>
      </c>
      <c r="J3433" s="33" t="n">
        <f aca="false">H3433-I3433</f>
        <v>986.592</v>
      </c>
      <c r="K3433" s="33" t="n">
        <f aca="false">IF(OR(E3433=0,E3433&gt;=7),0,D3433/(7-E3433)*E3433*INDEX(Products!$E$2:$E$49,MATCH(C3433,Products!$A$2:$A$49,0)))</f>
        <v>0</v>
      </c>
    </row>
    <row r="3434" customFormat="false" ht="15" hidden="false" customHeight="false" outlineLevel="0" collapsed="false">
      <c r="A3434" s="36" t="n">
        <v>46167</v>
      </c>
      <c r="B3434" s="24" t="s">
        <v>63</v>
      </c>
      <c r="C3434" s="24" t="s">
        <v>197</v>
      </c>
      <c r="D3434" s="33" t="n">
        <v>49</v>
      </c>
      <c r="E3434" s="24" t="n">
        <v>0</v>
      </c>
      <c r="F3434" s="37" t="n">
        <f aca="false">DATE(YEAR(A3434),MONTH(A3434),1)</f>
        <v>46143</v>
      </c>
      <c r="G3434" s="24" t="str">
        <f aca="false">INDEX(Products!$C$2:$C$49,MATCH(C3434,Products!$A$2:$A$49,0))</f>
        <v>Snacks &amp; Confectionery</v>
      </c>
      <c r="H3434" s="33" t="n">
        <f aca="false">D3434*INDEX(Products!$E$2:$E$49,MATCH(C3434,Products!$A$2:$A$49,0))</f>
        <v>4410</v>
      </c>
      <c r="I3434" s="33" t="n">
        <f aca="false">D3434*INDEX(Products!$D$2:$D$49,MATCH(C3434,Products!$A$2:$A$49,0))*(1+INDEX(Assumptions!$B$16:$B$20,MATCH(B3434,Assumptions!$A$16:$A$20,0)))</f>
        <v>3285.744</v>
      </c>
      <c r="J3434" s="33" t="n">
        <f aca="false">H3434-I3434</f>
        <v>1124.256</v>
      </c>
      <c r="K3434" s="33" t="n">
        <f aca="false">IF(OR(E3434=0,E3434&gt;=7),0,D3434/(7-E3434)*E3434*INDEX(Products!$E$2:$E$49,MATCH(C3434,Products!$A$2:$A$49,0)))</f>
        <v>0</v>
      </c>
    </row>
    <row r="3435" customFormat="false" ht="15" hidden="false" customHeight="false" outlineLevel="0" collapsed="false">
      <c r="A3435" s="36" t="n">
        <v>46174</v>
      </c>
      <c r="B3435" s="24" t="s">
        <v>63</v>
      </c>
      <c r="C3435" s="24" t="s">
        <v>197</v>
      </c>
      <c r="D3435" s="33" t="n">
        <v>18</v>
      </c>
      <c r="E3435" s="24" t="n">
        <v>4</v>
      </c>
      <c r="F3435" s="37" t="n">
        <f aca="false">DATE(YEAR(A3435),MONTH(A3435),1)</f>
        <v>46174</v>
      </c>
      <c r="G3435" s="24" t="str">
        <f aca="false">INDEX(Products!$C$2:$C$49,MATCH(C3435,Products!$A$2:$A$49,0))</f>
        <v>Snacks &amp; Confectionery</v>
      </c>
      <c r="H3435" s="33" t="n">
        <f aca="false">D3435*INDEX(Products!$E$2:$E$49,MATCH(C3435,Products!$A$2:$A$49,0))</f>
        <v>1620</v>
      </c>
      <c r="I3435" s="33" t="n">
        <f aca="false">D3435*INDEX(Products!$D$2:$D$49,MATCH(C3435,Products!$A$2:$A$49,0))*(1+INDEX(Assumptions!$B$16:$B$20,MATCH(B3435,Assumptions!$A$16:$A$20,0)))</f>
        <v>1207.008</v>
      </c>
      <c r="J3435" s="33" t="n">
        <f aca="false">H3435-I3435</f>
        <v>412.992</v>
      </c>
      <c r="K3435" s="33" t="n">
        <f aca="false">IF(OR(E3435=0,E3435&gt;=7),0,D3435/(7-E3435)*E3435*INDEX(Products!$E$2:$E$49,MATCH(C3435,Products!$A$2:$A$49,0)))</f>
        <v>2160</v>
      </c>
    </row>
    <row r="3436" customFormat="false" ht="15" hidden="false" customHeight="false" outlineLevel="0" collapsed="false">
      <c r="A3436" s="36" t="n">
        <v>46181</v>
      </c>
      <c r="B3436" s="24" t="s">
        <v>63</v>
      </c>
      <c r="C3436" s="24" t="s">
        <v>197</v>
      </c>
      <c r="D3436" s="33" t="n">
        <v>33</v>
      </c>
      <c r="E3436" s="24" t="n">
        <v>0</v>
      </c>
      <c r="F3436" s="37" t="n">
        <f aca="false">DATE(YEAR(A3436),MONTH(A3436),1)</f>
        <v>46174</v>
      </c>
      <c r="G3436" s="24" t="str">
        <f aca="false">INDEX(Products!$C$2:$C$49,MATCH(C3436,Products!$A$2:$A$49,0))</f>
        <v>Snacks &amp; Confectionery</v>
      </c>
      <c r="H3436" s="33" t="n">
        <f aca="false">D3436*INDEX(Products!$E$2:$E$49,MATCH(C3436,Products!$A$2:$A$49,0))</f>
        <v>2970</v>
      </c>
      <c r="I3436" s="33" t="n">
        <f aca="false">D3436*INDEX(Products!$D$2:$D$49,MATCH(C3436,Products!$A$2:$A$49,0))*(1+INDEX(Assumptions!$B$16:$B$20,MATCH(B3436,Assumptions!$A$16:$A$20,0)))</f>
        <v>2212.848</v>
      </c>
      <c r="J3436" s="33" t="n">
        <f aca="false">H3436-I3436</f>
        <v>757.152</v>
      </c>
      <c r="K3436" s="33" t="n">
        <f aca="false">IF(OR(E3436=0,E3436&gt;=7),0,D3436/(7-E3436)*E3436*INDEX(Products!$E$2:$E$49,MATCH(C3436,Products!$A$2:$A$49,0)))</f>
        <v>0</v>
      </c>
    </row>
    <row r="3437" customFormat="false" ht="15" hidden="false" customHeight="false" outlineLevel="0" collapsed="false">
      <c r="A3437" s="36" t="n">
        <v>46188</v>
      </c>
      <c r="B3437" s="24" t="s">
        <v>63</v>
      </c>
      <c r="C3437" s="24" t="s">
        <v>197</v>
      </c>
      <c r="D3437" s="33" t="n">
        <v>42</v>
      </c>
      <c r="E3437" s="24" t="n">
        <v>0</v>
      </c>
      <c r="F3437" s="37" t="n">
        <f aca="false">DATE(YEAR(A3437),MONTH(A3437),1)</f>
        <v>46174</v>
      </c>
      <c r="G3437" s="24" t="str">
        <f aca="false">INDEX(Products!$C$2:$C$49,MATCH(C3437,Products!$A$2:$A$49,0))</f>
        <v>Snacks &amp; Confectionery</v>
      </c>
      <c r="H3437" s="33" t="n">
        <f aca="false">D3437*INDEX(Products!$E$2:$E$49,MATCH(C3437,Products!$A$2:$A$49,0))</f>
        <v>3780</v>
      </c>
      <c r="I3437" s="33" t="n">
        <f aca="false">D3437*INDEX(Products!$D$2:$D$49,MATCH(C3437,Products!$A$2:$A$49,0))*(1+INDEX(Assumptions!$B$16:$B$20,MATCH(B3437,Assumptions!$A$16:$A$20,0)))</f>
        <v>2816.352</v>
      </c>
      <c r="J3437" s="33" t="n">
        <f aca="false">H3437-I3437</f>
        <v>963.648</v>
      </c>
      <c r="K3437" s="33" t="n">
        <f aca="false">IF(OR(E3437=0,E3437&gt;=7),0,D3437/(7-E3437)*E3437*INDEX(Products!$E$2:$E$49,MATCH(C3437,Products!$A$2:$A$49,0)))</f>
        <v>0</v>
      </c>
    </row>
    <row r="3438" customFormat="false" ht="15" hidden="false" customHeight="false" outlineLevel="0" collapsed="false">
      <c r="A3438" s="36" t="n">
        <v>46195</v>
      </c>
      <c r="B3438" s="24" t="s">
        <v>63</v>
      </c>
      <c r="C3438" s="24" t="s">
        <v>197</v>
      </c>
      <c r="D3438" s="33" t="n">
        <v>42</v>
      </c>
      <c r="E3438" s="24" t="n">
        <v>0</v>
      </c>
      <c r="F3438" s="37" t="n">
        <f aca="false">DATE(YEAR(A3438),MONTH(A3438),1)</f>
        <v>46174</v>
      </c>
      <c r="G3438" s="24" t="str">
        <f aca="false">INDEX(Products!$C$2:$C$49,MATCH(C3438,Products!$A$2:$A$49,0))</f>
        <v>Snacks &amp; Confectionery</v>
      </c>
      <c r="H3438" s="33" t="n">
        <f aca="false">D3438*INDEX(Products!$E$2:$E$49,MATCH(C3438,Products!$A$2:$A$49,0))</f>
        <v>3780</v>
      </c>
      <c r="I3438" s="33" t="n">
        <f aca="false">D3438*INDEX(Products!$D$2:$D$49,MATCH(C3438,Products!$A$2:$A$49,0))*(1+INDEX(Assumptions!$B$16:$B$20,MATCH(B3438,Assumptions!$A$16:$A$20,0)))</f>
        <v>2816.352</v>
      </c>
      <c r="J3438" s="33" t="n">
        <f aca="false">H3438-I3438</f>
        <v>963.648</v>
      </c>
      <c r="K3438" s="33" t="n">
        <f aca="false">IF(OR(E3438=0,E3438&gt;=7),0,D3438/(7-E3438)*E3438*INDEX(Products!$E$2:$E$49,MATCH(C3438,Products!$A$2:$A$49,0)))</f>
        <v>0</v>
      </c>
    </row>
    <row r="3439" customFormat="false" ht="15" hidden="false" customHeight="false" outlineLevel="0" collapsed="false">
      <c r="A3439" s="36" t="n">
        <v>46202</v>
      </c>
      <c r="B3439" s="24" t="s">
        <v>63</v>
      </c>
      <c r="C3439" s="24" t="s">
        <v>197</v>
      </c>
      <c r="D3439" s="33" t="n">
        <v>40</v>
      </c>
      <c r="E3439" s="24" t="n">
        <v>0</v>
      </c>
      <c r="F3439" s="37" t="n">
        <f aca="false">DATE(YEAR(A3439),MONTH(A3439),1)</f>
        <v>46174</v>
      </c>
      <c r="G3439" s="24" t="str">
        <f aca="false">INDEX(Products!$C$2:$C$49,MATCH(C3439,Products!$A$2:$A$49,0))</f>
        <v>Snacks &amp; Confectionery</v>
      </c>
      <c r="H3439" s="33" t="n">
        <f aca="false">D3439*INDEX(Products!$E$2:$E$49,MATCH(C3439,Products!$A$2:$A$49,0))</f>
        <v>3600</v>
      </c>
      <c r="I3439" s="33" t="n">
        <f aca="false">D3439*INDEX(Products!$D$2:$D$49,MATCH(C3439,Products!$A$2:$A$49,0))*(1+INDEX(Assumptions!$B$16:$B$20,MATCH(B3439,Assumptions!$A$16:$A$20,0)))</f>
        <v>2682.24</v>
      </c>
      <c r="J3439" s="33" t="n">
        <f aca="false">H3439-I3439</f>
        <v>917.76</v>
      </c>
      <c r="K3439" s="33" t="n">
        <f aca="false">IF(OR(E3439=0,E3439&gt;=7),0,D3439/(7-E3439)*E3439*INDEX(Products!$E$2:$E$49,MATCH(C3439,Products!$A$2:$A$49,0)))</f>
        <v>0</v>
      </c>
    </row>
    <row r="3440" customFormat="false" ht="15" hidden="false" customHeight="false" outlineLevel="0" collapsed="false">
      <c r="A3440" s="36" t="n">
        <v>46209</v>
      </c>
      <c r="B3440" s="24" t="s">
        <v>63</v>
      </c>
      <c r="C3440" s="24" t="s">
        <v>197</v>
      </c>
      <c r="D3440" s="33" t="n">
        <v>42</v>
      </c>
      <c r="E3440" s="24" t="n">
        <v>0</v>
      </c>
      <c r="F3440" s="37" t="n">
        <f aca="false">DATE(YEAR(A3440),MONTH(A3440),1)</f>
        <v>46204</v>
      </c>
      <c r="G3440" s="24" t="str">
        <f aca="false">INDEX(Products!$C$2:$C$49,MATCH(C3440,Products!$A$2:$A$49,0))</f>
        <v>Snacks &amp; Confectionery</v>
      </c>
      <c r="H3440" s="33" t="n">
        <f aca="false">D3440*INDEX(Products!$E$2:$E$49,MATCH(C3440,Products!$A$2:$A$49,0))</f>
        <v>3780</v>
      </c>
      <c r="I3440" s="33" t="n">
        <f aca="false">D3440*INDEX(Products!$D$2:$D$49,MATCH(C3440,Products!$A$2:$A$49,0))*(1+INDEX(Assumptions!$B$16:$B$20,MATCH(B3440,Assumptions!$A$16:$A$20,0)))</f>
        <v>2816.352</v>
      </c>
      <c r="J3440" s="33" t="n">
        <f aca="false">H3440-I3440</f>
        <v>963.648</v>
      </c>
      <c r="K3440" s="33" t="n">
        <f aca="false">IF(OR(E3440=0,E3440&gt;=7),0,D3440/(7-E3440)*E3440*INDEX(Products!$E$2:$E$49,MATCH(C3440,Products!$A$2:$A$49,0)))</f>
        <v>0</v>
      </c>
    </row>
    <row r="3441" customFormat="false" ht="15" hidden="false" customHeight="false" outlineLevel="0" collapsed="false">
      <c r="A3441" s="36" t="n">
        <v>46216</v>
      </c>
      <c r="B3441" s="24" t="s">
        <v>63</v>
      </c>
      <c r="C3441" s="24" t="s">
        <v>197</v>
      </c>
      <c r="D3441" s="33" t="n">
        <v>48</v>
      </c>
      <c r="E3441" s="24" t="n">
        <v>0</v>
      </c>
      <c r="F3441" s="37" t="n">
        <f aca="false">DATE(YEAR(A3441),MONTH(A3441),1)</f>
        <v>46204</v>
      </c>
      <c r="G3441" s="24" t="str">
        <f aca="false">INDEX(Products!$C$2:$C$49,MATCH(C3441,Products!$A$2:$A$49,0))</f>
        <v>Snacks &amp; Confectionery</v>
      </c>
      <c r="H3441" s="33" t="n">
        <f aca="false">D3441*INDEX(Products!$E$2:$E$49,MATCH(C3441,Products!$A$2:$A$49,0))</f>
        <v>4320</v>
      </c>
      <c r="I3441" s="33" t="n">
        <f aca="false">D3441*INDEX(Products!$D$2:$D$49,MATCH(C3441,Products!$A$2:$A$49,0))*(1+INDEX(Assumptions!$B$16:$B$20,MATCH(B3441,Assumptions!$A$16:$A$20,0)))</f>
        <v>3218.688</v>
      </c>
      <c r="J3441" s="33" t="n">
        <f aca="false">H3441-I3441</f>
        <v>1101.312</v>
      </c>
      <c r="K3441" s="33" t="n">
        <f aca="false">IF(OR(E3441=0,E3441&gt;=7),0,D3441/(7-E3441)*E3441*INDEX(Products!$E$2:$E$49,MATCH(C3441,Products!$A$2:$A$49,0)))</f>
        <v>0</v>
      </c>
    </row>
    <row r="3442" customFormat="false" ht="15" hidden="false" customHeight="false" outlineLevel="0" collapsed="false">
      <c r="A3442" s="36" t="n">
        <v>46223</v>
      </c>
      <c r="B3442" s="24" t="s">
        <v>63</v>
      </c>
      <c r="C3442" s="24" t="s">
        <v>197</v>
      </c>
      <c r="D3442" s="33" t="n">
        <v>34</v>
      </c>
      <c r="E3442" s="24" t="n">
        <v>0</v>
      </c>
      <c r="F3442" s="37" t="n">
        <f aca="false">DATE(YEAR(A3442),MONTH(A3442),1)</f>
        <v>46204</v>
      </c>
      <c r="G3442" s="24" t="str">
        <f aca="false">INDEX(Products!$C$2:$C$49,MATCH(C3442,Products!$A$2:$A$49,0))</f>
        <v>Snacks &amp; Confectionery</v>
      </c>
      <c r="H3442" s="33" t="n">
        <f aca="false">D3442*INDEX(Products!$E$2:$E$49,MATCH(C3442,Products!$A$2:$A$49,0))</f>
        <v>3060</v>
      </c>
      <c r="I3442" s="33" t="n">
        <f aca="false">D3442*INDEX(Products!$D$2:$D$49,MATCH(C3442,Products!$A$2:$A$49,0))*(1+INDEX(Assumptions!$B$16:$B$20,MATCH(B3442,Assumptions!$A$16:$A$20,0)))</f>
        <v>2279.904</v>
      </c>
      <c r="J3442" s="33" t="n">
        <f aca="false">H3442-I3442</f>
        <v>780.096</v>
      </c>
      <c r="K3442" s="33" t="n">
        <f aca="false">IF(OR(E3442=0,E3442&gt;=7),0,D3442/(7-E3442)*E3442*INDEX(Products!$E$2:$E$49,MATCH(C3442,Products!$A$2:$A$49,0)))</f>
        <v>0</v>
      </c>
    </row>
    <row r="3443" customFormat="false" ht="15" hidden="false" customHeight="false" outlineLevel="0" collapsed="false">
      <c r="A3443" s="36" t="n">
        <v>46230</v>
      </c>
      <c r="B3443" s="24" t="s">
        <v>63</v>
      </c>
      <c r="C3443" s="24" t="s">
        <v>197</v>
      </c>
      <c r="D3443" s="33" t="n">
        <v>33</v>
      </c>
      <c r="E3443" s="24" t="n">
        <v>0</v>
      </c>
      <c r="F3443" s="37" t="n">
        <f aca="false">DATE(YEAR(A3443),MONTH(A3443),1)</f>
        <v>46204</v>
      </c>
      <c r="G3443" s="24" t="str">
        <f aca="false">INDEX(Products!$C$2:$C$49,MATCH(C3443,Products!$A$2:$A$49,0))</f>
        <v>Snacks &amp; Confectionery</v>
      </c>
      <c r="H3443" s="33" t="n">
        <f aca="false">D3443*INDEX(Products!$E$2:$E$49,MATCH(C3443,Products!$A$2:$A$49,0))</f>
        <v>2970</v>
      </c>
      <c r="I3443" s="33" t="n">
        <f aca="false">D3443*INDEX(Products!$D$2:$D$49,MATCH(C3443,Products!$A$2:$A$49,0))*(1+INDEX(Assumptions!$B$16:$B$20,MATCH(B3443,Assumptions!$A$16:$A$20,0)))</f>
        <v>2212.848</v>
      </c>
      <c r="J3443" s="33" t="n">
        <f aca="false">H3443-I3443</f>
        <v>757.152</v>
      </c>
      <c r="K3443" s="33" t="n">
        <f aca="false">IF(OR(E3443=0,E3443&gt;=7),0,D3443/(7-E3443)*E3443*INDEX(Products!$E$2:$E$49,MATCH(C3443,Products!$A$2:$A$49,0)))</f>
        <v>0</v>
      </c>
    </row>
    <row r="3444" customFormat="false" ht="15" hidden="false" customHeight="false" outlineLevel="0" collapsed="false">
      <c r="A3444" s="36" t="n">
        <v>46237</v>
      </c>
      <c r="B3444" s="24" t="s">
        <v>63</v>
      </c>
      <c r="C3444" s="24" t="s">
        <v>197</v>
      </c>
      <c r="D3444" s="33" t="n">
        <v>43</v>
      </c>
      <c r="E3444" s="24" t="n">
        <v>0</v>
      </c>
      <c r="F3444" s="37" t="n">
        <f aca="false">DATE(YEAR(A3444),MONTH(A3444),1)</f>
        <v>46235</v>
      </c>
      <c r="G3444" s="24" t="str">
        <f aca="false">INDEX(Products!$C$2:$C$49,MATCH(C3444,Products!$A$2:$A$49,0))</f>
        <v>Snacks &amp; Confectionery</v>
      </c>
      <c r="H3444" s="33" t="n">
        <f aca="false">D3444*INDEX(Products!$E$2:$E$49,MATCH(C3444,Products!$A$2:$A$49,0))</f>
        <v>3870</v>
      </c>
      <c r="I3444" s="33" t="n">
        <f aca="false">D3444*INDEX(Products!$D$2:$D$49,MATCH(C3444,Products!$A$2:$A$49,0))*(1+INDEX(Assumptions!$B$16:$B$20,MATCH(B3444,Assumptions!$A$16:$A$20,0)))</f>
        <v>2883.408</v>
      </c>
      <c r="J3444" s="33" t="n">
        <f aca="false">H3444-I3444</f>
        <v>986.592</v>
      </c>
      <c r="K3444" s="33" t="n">
        <f aca="false">IF(OR(E3444=0,E3444&gt;=7),0,D3444/(7-E3444)*E3444*INDEX(Products!$E$2:$E$49,MATCH(C3444,Products!$A$2:$A$49,0)))</f>
        <v>0</v>
      </c>
    </row>
    <row r="3445" customFormat="false" ht="15" hidden="false" customHeight="false" outlineLevel="0" collapsed="false">
      <c r="A3445" s="36" t="n">
        <v>46244</v>
      </c>
      <c r="B3445" s="24" t="s">
        <v>63</v>
      </c>
      <c r="C3445" s="24" t="s">
        <v>197</v>
      </c>
      <c r="D3445" s="33" t="n">
        <v>30</v>
      </c>
      <c r="E3445" s="24" t="n">
        <v>0</v>
      </c>
      <c r="F3445" s="37" t="n">
        <f aca="false">DATE(YEAR(A3445),MONTH(A3445),1)</f>
        <v>46235</v>
      </c>
      <c r="G3445" s="24" t="str">
        <f aca="false">INDEX(Products!$C$2:$C$49,MATCH(C3445,Products!$A$2:$A$49,0))</f>
        <v>Snacks &amp; Confectionery</v>
      </c>
      <c r="H3445" s="33" t="n">
        <f aca="false">D3445*INDEX(Products!$E$2:$E$49,MATCH(C3445,Products!$A$2:$A$49,0))</f>
        <v>2700</v>
      </c>
      <c r="I3445" s="33" t="n">
        <f aca="false">D3445*INDEX(Products!$D$2:$D$49,MATCH(C3445,Products!$A$2:$A$49,0))*(1+INDEX(Assumptions!$B$16:$B$20,MATCH(B3445,Assumptions!$A$16:$A$20,0)))</f>
        <v>2011.68</v>
      </c>
      <c r="J3445" s="33" t="n">
        <f aca="false">H3445-I3445</f>
        <v>688.32</v>
      </c>
      <c r="K3445" s="33" t="n">
        <f aca="false">IF(OR(E3445=0,E3445&gt;=7),0,D3445/(7-E3445)*E3445*INDEX(Products!$E$2:$E$49,MATCH(C3445,Products!$A$2:$A$49,0)))</f>
        <v>0</v>
      </c>
    </row>
    <row r="3446" customFormat="false" ht="15" hidden="false" customHeight="false" outlineLevel="0" collapsed="false">
      <c r="A3446" s="36" t="n">
        <v>46251</v>
      </c>
      <c r="B3446" s="24" t="s">
        <v>63</v>
      </c>
      <c r="C3446" s="24" t="s">
        <v>197</v>
      </c>
      <c r="D3446" s="33" t="n">
        <v>47</v>
      </c>
      <c r="E3446" s="24" t="n">
        <v>0</v>
      </c>
      <c r="F3446" s="37" t="n">
        <f aca="false">DATE(YEAR(A3446),MONTH(A3446),1)</f>
        <v>46235</v>
      </c>
      <c r="G3446" s="24" t="str">
        <f aca="false">INDEX(Products!$C$2:$C$49,MATCH(C3446,Products!$A$2:$A$49,0))</f>
        <v>Snacks &amp; Confectionery</v>
      </c>
      <c r="H3446" s="33" t="n">
        <f aca="false">D3446*INDEX(Products!$E$2:$E$49,MATCH(C3446,Products!$A$2:$A$49,0))</f>
        <v>4230</v>
      </c>
      <c r="I3446" s="33" t="n">
        <f aca="false">D3446*INDEX(Products!$D$2:$D$49,MATCH(C3446,Products!$A$2:$A$49,0))*(1+INDEX(Assumptions!$B$16:$B$20,MATCH(B3446,Assumptions!$A$16:$A$20,0)))</f>
        <v>3151.632</v>
      </c>
      <c r="J3446" s="33" t="n">
        <f aca="false">H3446-I3446</f>
        <v>1078.368</v>
      </c>
      <c r="K3446" s="33" t="n">
        <f aca="false">IF(OR(E3446=0,E3446&gt;=7),0,D3446/(7-E3446)*E3446*INDEX(Products!$E$2:$E$49,MATCH(C3446,Products!$A$2:$A$49,0)))</f>
        <v>0</v>
      </c>
    </row>
    <row r="3447" customFormat="false" ht="15" hidden="false" customHeight="false" outlineLevel="0" collapsed="false">
      <c r="A3447" s="36" t="n">
        <v>46258</v>
      </c>
      <c r="B3447" s="24" t="s">
        <v>63</v>
      </c>
      <c r="C3447" s="24" t="s">
        <v>197</v>
      </c>
      <c r="D3447" s="33" t="n">
        <v>73</v>
      </c>
      <c r="E3447" s="24" t="n">
        <v>0</v>
      </c>
      <c r="F3447" s="37" t="n">
        <f aca="false">DATE(YEAR(A3447),MONTH(A3447),1)</f>
        <v>46235</v>
      </c>
      <c r="G3447" s="24" t="str">
        <f aca="false">INDEX(Products!$C$2:$C$49,MATCH(C3447,Products!$A$2:$A$49,0))</f>
        <v>Snacks &amp; Confectionery</v>
      </c>
      <c r="H3447" s="33" t="n">
        <f aca="false">D3447*INDEX(Products!$E$2:$E$49,MATCH(C3447,Products!$A$2:$A$49,0))</f>
        <v>6570</v>
      </c>
      <c r="I3447" s="33" t="n">
        <f aca="false">D3447*INDEX(Products!$D$2:$D$49,MATCH(C3447,Products!$A$2:$A$49,0))*(1+INDEX(Assumptions!$B$16:$B$20,MATCH(B3447,Assumptions!$A$16:$A$20,0)))</f>
        <v>4895.088</v>
      </c>
      <c r="J3447" s="33" t="n">
        <f aca="false">H3447-I3447</f>
        <v>1674.912</v>
      </c>
      <c r="K3447" s="33" t="n">
        <f aca="false">IF(OR(E3447=0,E3447&gt;=7),0,D3447/(7-E3447)*E3447*INDEX(Products!$E$2:$E$49,MATCH(C3447,Products!$A$2:$A$49,0)))</f>
        <v>0</v>
      </c>
    </row>
    <row r="3448" customFormat="false" ht="15" hidden="false" customHeight="false" outlineLevel="0" collapsed="false">
      <c r="A3448" s="36" t="n">
        <v>46265</v>
      </c>
      <c r="B3448" s="24" t="s">
        <v>63</v>
      </c>
      <c r="C3448" s="24" t="s">
        <v>197</v>
      </c>
      <c r="D3448" s="33" t="n">
        <v>37</v>
      </c>
      <c r="E3448" s="24" t="n">
        <v>0</v>
      </c>
      <c r="F3448" s="37" t="n">
        <f aca="false">DATE(YEAR(A3448),MONTH(A3448),1)</f>
        <v>46235</v>
      </c>
      <c r="G3448" s="24" t="str">
        <f aca="false">INDEX(Products!$C$2:$C$49,MATCH(C3448,Products!$A$2:$A$49,0))</f>
        <v>Snacks &amp; Confectionery</v>
      </c>
      <c r="H3448" s="33" t="n">
        <f aca="false">D3448*INDEX(Products!$E$2:$E$49,MATCH(C3448,Products!$A$2:$A$49,0))</f>
        <v>3330</v>
      </c>
      <c r="I3448" s="33" t="n">
        <f aca="false">D3448*INDEX(Products!$D$2:$D$49,MATCH(C3448,Products!$A$2:$A$49,0))*(1+INDEX(Assumptions!$B$16:$B$20,MATCH(B3448,Assumptions!$A$16:$A$20,0)))</f>
        <v>2481.072</v>
      </c>
      <c r="J3448" s="33" t="n">
        <f aca="false">H3448-I3448</f>
        <v>848.928</v>
      </c>
      <c r="K3448" s="33" t="n">
        <f aca="false">IF(OR(E3448=0,E3448&gt;=7),0,D3448/(7-E3448)*E3448*INDEX(Products!$E$2:$E$49,MATCH(C3448,Products!$A$2:$A$49,0)))</f>
        <v>0</v>
      </c>
    </row>
    <row r="3449" customFormat="false" ht="15" hidden="false" customHeight="false" outlineLevel="0" collapsed="false">
      <c r="A3449" s="36" t="n">
        <v>46272</v>
      </c>
      <c r="B3449" s="24" t="s">
        <v>63</v>
      </c>
      <c r="C3449" s="24" t="s">
        <v>197</v>
      </c>
      <c r="D3449" s="33" t="n">
        <v>38</v>
      </c>
      <c r="E3449" s="24" t="n">
        <v>0</v>
      </c>
      <c r="F3449" s="37" t="n">
        <f aca="false">DATE(YEAR(A3449),MONTH(A3449),1)</f>
        <v>46266</v>
      </c>
      <c r="G3449" s="24" t="str">
        <f aca="false">INDEX(Products!$C$2:$C$49,MATCH(C3449,Products!$A$2:$A$49,0))</f>
        <v>Snacks &amp; Confectionery</v>
      </c>
      <c r="H3449" s="33" t="n">
        <f aca="false">D3449*INDEX(Products!$E$2:$E$49,MATCH(C3449,Products!$A$2:$A$49,0))</f>
        <v>3420</v>
      </c>
      <c r="I3449" s="33" t="n">
        <f aca="false">D3449*INDEX(Products!$D$2:$D$49,MATCH(C3449,Products!$A$2:$A$49,0))*(1+INDEX(Assumptions!$B$16:$B$20,MATCH(B3449,Assumptions!$A$16:$A$20,0)))</f>
        <v>2548.128</v>
      </c>
      <c r="J3449" s="33" t="n">
        <f aca="false">H3449-I3449</f>
        <v>871.872</v>
      </c>
      <c r="K3449" s="33" t="n">
        <f aca="false">IF(OR(E3449=0,E3449&gt;=7),0,D3449/(7-E3449)*E3449*INDEX(Products!$E$2:$E$49,MATCH(C3449,Products!$A$2:$A$49,0)))</f>
        <v>0</v>
      </c>
    </row>
    <row r="3450" customFormat="false" ht="15" hidden="false" customHeight="false" outlineLevel="0" collapsed="false">
      <c r="A3450" s="36" t="n">
        <v>46279</v>
      </c>
      <c r="B3450" s="24" t="s">
        <v>63</v>
      </c>
      <c r="C3450" s="24" t="s">
        <v>197</v>
      </c>
      <c r="D3450" s="33" t="n">
        <v>47</v>
      </c>
      <c r="E3450" s="24" t="n">
        <v>0</v>
      </c>
      <c r="F3450" s="37" t="n">
        <f aca="false">DATE(YEAR(A3450),MONTH(A3450),1)</f>
        <v>46266</v>
      </c>
      <c r="G3450" s="24" t="str">
        <f aca="false">INDEX(Products!$C$2:$C$49,MATCH(C3450,Products!$A$2:$A$49,0))</f>
        <v>Snacks &amp; Confectionery</v>
      </c>
      <c r="H3450" s="33" t="n">
        <f aca="false">D3450*INDEX(Products!$E$2:$E$49,MATCH(C3450,Products!$A$2:$A$49,0))</f>
        <v>4230</v>
      </c>
      <c r="I3450" s="33" t="n">
        <f aca="false">D3450*INDEX(Products!$D$2:$D$49,MATCH(C3450,Products!$A$2:$A$49,0))*(1+INDEX(Assumptions!$B$16:$B$20,MATCH(B3450,Assumptions!$A$16:$A$20,0)))</f>
        <v>3151.632</v>
      </c>
      <c r="J3450" s="33" t="n">
        <f aca="false">H3450-I3450</f>
        <v>1078.368</v>
      </c>
      <c r="K3450" s="33" t="n">
        <f aca="false">IF(OR(E3450=0,E3450&gt;=7),0,D3450/(7-E3450)*E3450*INDEX(Products!$E$2:$E$49,MATCH(C3450,Products!$A$2:$A$49,0)))</f>
        <v>0</v>
      </c>
    </row>
    <row r="3451" customFormat="false" ht="15" hidden="false" customHeight="false" outlineLevel="0" collapsed="false">
      <c r="A3451" s="36" t="n">
        <v>46286</v>
      </c>
      <c r="B3451" s="24" t="s">
        <v>63</v>
      </c>
      <c r="C3451" s="24" t="s">
        <v>197</v>
      </c>
      <c r="D3451" s="33" t="n">
        <v>42</v>
      </c>
      <c r="E3451" s="24" t="n">
        <v>0</v>
      </c>
      <c r="F3451" s="37" t="n">
        <f aca="false">DATE(YEAR(A3451),MONTH(A3451),1)</f>
        <v>46266</v>
      </c>
      <c r="G3451" s="24" t="str">
        <f aca="false">INDEX(Products!$C$2:$C$49,MATCH(C3451,Products!$A$2:$A$49,0))</f>
        <v>Snacks &amp; Confectionery</v>
      </c>
      <c r="H3451" s="33" t="n">
        <f aca="false">D3451*INDEX(Products!$E$2:$E$49,MATCH(C3451,Products!$A$2:$A$49,0))</f>
        <v>3780</v>
      </c>
      <c r="I3451" s="33" t="n">
        <f aca="false">D3451*INDEX(Products!$D$2:$D$49,MATCH(C3451,Products!$A$2:$A$49,0))*(1+INDEX(Assumptions!$B$16:$B$20,MATCH(B3451,Assumptions!$A$16:$A$20,0)))</f>
        <v>2816.352</v>
      </c>
      <c r="J3451" s="33" t="n">
        <f aca="false">H3451-I3451</f>
        <v>963.648</v>
      </c>
      <c r="K3451" s="33" t="n">
        <f aca="false">IF(OR(E3451=0,E3451&gt;=7),0,D3451/(7-E3451)*E3451*INDEX(Products!$E$2:$E$49,MATCH(C3451,Products!$A$2:$A$49,0)))</f>
        <v>0</v>
      </c>
    </row>
    <row r="3452" customFormat="false" ht="15" hidden="false" customHeight="false" outlineLevel="0" collapsed="false">
      <c r="A3452" s="36" t="n">
        <v>46118</v>
      </c>
      <c r="B3452" s="24" t="s">
        <v>63</v>
      </c>
      <c r="C3452" s="24" t="s">
        <v>199</v>
      </c>
      <c r="D3452" s="33" t="n">
        <v>41</v>
      </c>
      <c r="E3452" s="24" t="n">
        <v>0</v>
      </c>
      <c r="F3452" s="37" t="n">
        <f aca="false">DATE(YEAR(A3452),MONTH(A3452),1)</f>
        <v>46113</v>
      </c>
      <c r="G3452" s="24" t="str">
        <f aca="false">INDEX(Products!$C$2:$C$49,MATCH(C3452,Products!$A$2:$A$49,0))</f>
        <v>Snacks &amp; Confectionery</v>
      </c>
      <c r="H3452" s="33" t="n">
        <f aca="false">D3452*INDEX(Products!$E$2:$E$49,MATCH(C3452,Products!$A$2:$A$49,0))</f>
        <v>6150</v>
      </c>
      <c r="I3452" s="33" t="n">
        <f aca="false">D3452*INDEX(Products!$D$2:$D$49,MATCH(C3452,Products!$A$2:$A$49,0))*(1+INDEX(Assumptions!$B$16:$B$20,MATCH(B3452,Assumptions!$A$16:$A$20,0)))</f>
        <v>4623.816</v>
      </c>
      <c r="J3452" s="33" t="n">
        <f aca="false">H3452-I3452</f>
        <v>1526.184</v>
      </c>
      <c r="K3452" s="33" t="n">
        <f aca="false">IF(OR(E3452=0,E3452&gt;=7),0,D3452/(7-E3452)*E3452*INDEX(Products!$E$2:$E$49,MATCH(C3452,Products!$A$2:$A$49,0)))</f>
        <v>0</v>
      </c>
    </row>
    <row r="3453" customFormat="false" ht="15" hidden="false" customHeight="false" outlineLevel="0" collapsed="false">
      <c r="A3453" s="36" t="n">
        <v>46125</v>
      </c>
      <c r="B3453" s="24" t="s">
        <v>63</v>
      </c>
      <c r="C3453" s="24" t="s">
        <v>199</v>
      </c>
      <c r="D3453" s="33" t="n">
        <v>45</v>
      </c>
      <c r="E3453" s="24" t="n">
        <v>0</v>
      </c>
      <c r="F3453" s="37" t="n">
        <f aca="false">DATE(YEAR(A3453),MONTH(A3453),1)</f>
        <v>46113</v>
      </c>
      <c r="G3453" s="24" t="str">
        <f aca="false">INDEX(Products!$C$2:$C$49,MATCH(C3453,Products!$A$2:$A$49,0))</f>
        <v>Snacks &amp; Confectionery</v>
      </c>
      <c r="H3453" s="33" t="n">
        <f aca="false">D3453*INDEX(Products!$E$2:$E$49,MATCH(C3453,Products!$A$2:$A$49,0))</f>
        <v>6750</v>
      </c>
      <c r="I3453" s="33" t="n">
        <f aca="false">D3453*INDEX(Products!$D$2:$D$49,MATCH(C3453,Products!$A$2:$A$49,0))*(1+INDEX(Assumptions!$B$16:$B$20,MATCH(B3453,Assumptions!$A$16:$A$20,0)))</f>
        <v>5074.92</v>
      </c>
      <c r="J3453" s="33" t="n">
        <f aca="false">H3453-I3453</f>
        <v>1675.08</v>
      </c>
      <c r="K3453" s="33" t="n">
        <f aca="false">IF(OR(E3453=0,E3453&gt;=7),0,D3453/(7-E3453)*E3453*INDEX(Products!$E$2:$E$49,MATCH(C3453,Products!$A$2:$A$49,0)))</f>
        <v>0</v>
      </c>
    </row>
    <row r="3454" customFormat="false" ht="15" hidden="false" customHeight="false" outlineLevel="0" collapsed="false">
      <c r="A3454" s="36" t="n">
        <v>46132</v>
      </c>
      <c r="B3454" s="24" t="s">
        <v>63</v>
      </c>
      <c r="C3454" s="24" t="s">
        <v>199</v>
      </c>
      <c r="D3454" s="33" t="n">
        <v>35</v>
      </c>
      <c r="E3454" s="24" t="n">
        <v>0</v>
      </c>
      <c r="F3454" s="37" t="n">
        <f aca="false">DATE(YEAR(A3454),MONTH(A3454),1)</f>
        <v>46113</v>
      </c>
      <c r="G3454" s="24" t="str">
        <f aca="false">INDEX(Products!$C$2:$C$49,MATCH(C3454,Products!$A$2:$A$49,0))</f>
        <v>Snacks &amp; Confectionery</v>
      </c>
      <c r="H3454" s="33" t="n">
        <f aca="false">D3454*INDEX(Products!$E$2:$E$49,MATCH(C3454,Products!$A$2:$A$49,0))</f>
        <v>5250</v>
      </c>
      <c r="I3454" s="33" t="n">
        <f aca="false">D3454*INDEX(Products!$D$2:$D$49,MATCH(C3454,Products!$A$2:$A$49,0))*(1+INDEX(Assumptions!$B$16:$B$20,MATCH(B3454,Assumptions!$A$16:$A$20,0)))</f>
        <v>3947.16</v>
      </c>
      <c r="J3454" s="33" t="n">
        <f aca="false">H3454-I3454</f>
        <v>1302.84</v>
      </c>
      <c r="K3454" s="33" t="n">
        <f aca="false">IF(OR(E3454=0,E3454&gt;=7),0,D3454/(7-E3454)*E3454*INDEX(Products!$E$2:$E$49,MATCH(C3454,Products!$A$2:$A$49,0)))</f>
        <v>0</v>
      </c>
    </row>
    <row r="3455" customFormat="false" ht="15" hidden="false" customHeight="false" outlineLevel="0" collapsed="false">
      <c r="A3455" s="36" t="n">
        <v>46139</v>
      </c>
      <c r="B3455" s="24" t="s">
        <v>63</v>
      </c>
      <c r="C3455" s="24" t="s">
        <v>199</v>
      </c>
      <c r="D3455" s="33" t="n">
        <v>44</v>
      </c>
      <c r="E3455" s="24" t="n">
        <v>0</v>
      </c>
      <c r="F3455" s="37" t="n">
        <f aca="false">DATE(YEAR(A3455),MONTH(A3455),1)</f>
        <v>46113</v>
      </c>
      <c r="G3455" s="24" t="str">
        <f aca="false">INDEX(Products!$C$2:$C$49,MATCH(C3455,Products!$A$2:$A$49,0))</f>
        <v>Snacks &amp; Confectionery</v>
      </c>
      <c r="H3455" s="33" t="n">
        <f aca="false">D3455*INDEX(Products!$E$2:$E$49,MATCH(C3455,Products!$A$2:$A$49,0))</f>
        <v>6600</v>
      </c>
      <c r="I3455" s="33" t="n">
        <f aca="false">D3455*INDEX(Products!$D$2:$D$49,MATCH(C3455,Products!$A$2:$A$49,0))*(1+INDEX(Assumptions!$B$16:$B$20,MATCH(B3455,Assumptions!$A$16:$A$20,0)))</f>
        <v>4962.144</v>
      </c>
      <c r="J3455" s="33" t="n">
        <f aca="false">H3455-I3455</f>
        <v>1637.856</v>
      </c>
      <c r="K3455" s="33" t="n">
        <f aca="false">IF(OR(E3455=0,E3455&gt;=7),0,D3455/(7-E3455)*E3455*INDEX(Products!$E$2:$E$49,MATCH(C3455,Products!$A$2:$A$49,0)))</f>
        <v>0</v>
      </c>
    </row>
    <row r="3456" customFormat="false" ht="15" hidden="false" customHeight="false" outlineLevel="0" collapsed="false">
      <c r="A3456" s="36" t="n">
        <v>46146</v>
      </c>
      <c r="B3456" s="24" t="s">
        <v>63</v>
      </c>
      <c r="C3456" s="24" t="s">
        <v>199</v>
      </c>
      <c r="D3456" s="33" t="n">
        <v>34</v>
      </c>
      <c r="E3456" s="24" t="n">
        <v>0</v>
      </c>
      <c r="F3456" s="37" t="n">
        <f aca="false">DATE(YEAR(A3456),MONTH(A3456),1)</f>
        <v>46143</v>
      </c>
      <c r="G3456" s="24" t="str">
        <f aca="false">INDEX(Products!$C$2:$C$49,MATCH(C3456,Products!$A$2:$A$49,0))</f>
        <v>Snacks &amp; Confectionery</v>
      </c>
      <c r="H3456" s="33" t="n">
        <f aca="false">D3456*INDEX(Products!$E$2:$E$49,MATCH(C3456,Products!$A$2:$A$49,0))</f>
        <v>5100</v>
      </c>
      <c r="I3456" s="33" t="n">
        <f aca="false">D3456*INDEX(Products!$D$2:$D$49,MATCH(C3456,Products!$A$2:$A$49,0))*(1+INDEX(Assumptions!$B$16:$B$20,MATCH(B3456,Assumptions!$A$16:$A$20,0)))</f>
        <v>3834.384</v>
      </c>
      <c r="J3456" s="33" t="n">
        <f aca="false">H3456-I3456</f>
        <v>1265.616</v>
      </c>
      <c r="K3456" s="33" t="n">
        <f aca="false">IF(OR(E3456=0,E3456&gt;=7),0,D3456/(7-E3456)*E3456*INDEX(Products!$E$2:$E$49,MATCH(C3456,Products!$A$2:$A$49,0)))</f>
        <v>0</v>
      </c>
    </row>
    <row r="3457" customFormat="false" ht="15" hidden="false" customHeight="false" outlineLevel="0" collapsed="false">
      <c r="A3457" s="36" t="n">
        <v>46153</v>
      </c>
      <c r="B3457" s="24" t="s">
        <v>63</v>
      </c>
      <c r="C3457" s="24" t="s">
        <v>199</v>
      </c>
      <c r="D3457" s="33" t="n">
        <v>52</v>
      </c>
      <c r="E3457" s="24" t="n">
        <v>0</v>
      </c>
      <c r="F3457" s="37" t="n">
        <f aca="false">DATE(YEAR(A3457),MONTH(A3457),1)</f>
        <v>46143</v>
      </c>
      <c r="G3457" s="24" t="str">
        <f aca="false">INDEX(Products!$C$2:$C$49,MATCH(C3457,Products!$A$2:$A$49,0))</f>
        <v>Snacks &amp; Confectionery</v>
      </c>
      <c r="H3457" s="33" t="n">
        <f aca="false">D3457*INDEX(Products!$E$2:$E$49,MATCH(C3457,Products!$A$2:$A$49,0))</f>
        <v>7800</v>
      </c>
      <c r="I3457" s="33" t="n">
        <f aca="false">D3457*INDEX(Products!$D$2:$D$49,MATCH(C3457,Products!$A$2:$A$49,0))*(1+INDEX(Assumptions!$B$16:$B$20,MATCH(B3457,Assumptions!$A$16:$A$20,0)))</f>
        <v>5864.352</v>
      </c>
      <c r="J3457" s="33" t="n">
        <f aca="false">H3457-I3457</f>
        <v>1935.648</v>
      </c>
      <c r="K3457" s="33" t="n">
        <f aca="false">IF(OR(E3457=0,E3457&gt;=7),0,D3457/(7-E3457)*E3457*INDEX(Products!$E$2:$E$49,MATCH(C3457,Products!$A$2:$A$49,0)))</f>
        <v>0</v>
      </c>
    </row>
    <row r="3458" customFormat="false" ht="15" hidden="false" customHeight="false" outlineLevel="0" collapsed="false">
      <c r="A3458" s="36" t="n">
        <v>46160</v>
      </c>
      <c r="B3458" s="24" t="s">
        <v>63</v>
      </c>
      <c r="C3458" s="24" t="s">
        <v>199</v>
      </c>
      <c r="D3458" s="33" t="n">
        <v>44</v>
      </c>
      <c r="E3458" s="24" t="n">
        <v>0</v>
      </c>
      <c r="F3458" s="37" t="n">
        <f aca="false">DATE(YEAR(A3458),MONTH(A3458),1)</f>
        <v>46143</v>
      </c>
      <c r="G3458" s="24" t="str">
        <f aca="false">INDEX(Products!$C$2:$C$49,MATCH(C3458,Products!$A$2:$A$49,0))</f>
        <v>Snacks &amp; Confectionery</v>
      </c>
      <c r="H3458" s="33" t="n">
        <f aca="false">D3458*INDEX(Products!$E$2:$E$49,MATCH(C3458,Products!$A$2:$A$49,0))</f>
        <v>6600</v>
      </c>
      <c r="I3458" s="33" t="n">
        <f aca="false">D3458*INDEX(Products!$D$2:$D$49,MATCH(C3458,Products!$A$2:$A$49,0))*(1+INDEX(Assumptions!$B$16:$B$20,MATCH(B3458,Assumptions!$A$16:$A$20,0)))</f>
        <v>4962.144</v>
      </c>
      <c r="J3458" s="33" t="n">
        <f aca="false">H3458-I3458</f>
        <v>1637.856</v>
      </c>
      <c r="K3458" s="33" t="n">
        <f aca="false">IF(OR(E3458=0,E3458&gt;=7),0,D3458/(7-E3458)*E3458*INDEX(Products!$E$2:$E$49,MATCH(C3458,Products!$A$2:$A$49,0)))</f>
        <v>0</v>
      </c>
    </row>
    <row r="3459" customFormat="false" ht="15" hidden="false" customHeight="false" outlineLevel="0" collapsed="false">
      <c r="A3459" s="36" t="n">
        <v>46167</v>
      </c>
      <c r="B3459" s="24" t="s">
        <v>63</v>
      </c>
      <c r="C3459" s="24" t="s">
        <v>199</v>
      </c>
      <c r="D3459" s="33" t="n">
        <v>43</v>
      </c>
      <c r="E3459" s="24" t="n">
        <v>0</v>
      </c>
      <c r="F3459" s="37" t="n">
        <f aca="false">DATE(YEAR(A3459),MONTH(A3459),1)</f>
        <v>46143</v>
      </c>
      <c r="G3459" s="24" t="str">
        <f aca="false">INDEX(Products!$C$2:$C$49,MATCH(C3459,Products!$A$2:$A$49,0))</f>
        <v>Snacks &amp; Confectionery</v>
      </c>
      <c r="H3459" s="33" t="n">
        <f aca="false">D3459*INDEX(Products!$E$2:$E$49,MATCH(C3459,Products!$A$2:$A$49,0))</f>
        <v>6450</v>
      </c>
      <c r="I3459" s="33" t="n">
        <f aca="false">D3459*INDEX(Products!$D$2:$D$49,MATCH(C3459,Products!$A$2:$A$49,0))*(1+INDEX(Assumptions!$B$16:$B$20,MATCH(B3459,Assumptions!$A$16:$A$20,0)))</f>
        <v>4849.368</v>
      </c>
      <c r="J3459" s="33" t="n">
        <f aca="false">H3459-I3459</f>
        <v>1600.632</v>
      </c>
      <c r="K3459" s="33" t="n">
        <f aca="false">IF(OR(E3459=0,E3459&gt;=7),0,D3459/(7-E3459)*E3459*INDEX(Products!$E$2:$E$49,MATCH(C3459,Products!$A$2:$A$49,0)))</f>
        <v>0</v>
      </c>
    </row>
    <row r="3460" customFormat="false" ht="15" hidden="false" customHeight="false" outlineLevel="0" collapsed="false">
      <c r="A3460" s="36" t="n">
        <v>46174</v>
      </c>
      <c r="B3460" s="24" t="s">
        <v>63</v>
      </c>
      <c r="C3460" s="24" t="s">
        <v>199</v>
      </c>
      <c r="D3460" s="33" t="n">
        <v>34</v>
      </c>
      <c r="E3460" s="24" t="n">
        <v>0</v>
      </c>
      <c r="F3460" s="37" t="n">
        <f aca="false">DATE(YEAR(A3460),MONTH(A3460),1)</f>
        <v>46174</v>
      </c>
      <c r="G3460" s="24" t="str">
        <f aca="false">INDEX(Products!$C$2:$C$49,MATCH(C3460,Products!$A$2:$A$49,0))</f>
        <v>Snacks &amp; Confectionery</v>
      </c>
      <c r="H3460" s="33" t="n">
        <f aca="false">D3460*INDEX(Products!$E$2:$E$49,MATCH(C3460,Products!$A$2:$A$49,0))</f>
        <v>5100</v>
      </c>
      <c r="I3460" s="33" t="n">
        <f aca="false">D3460*INDEX(Products!$D$2:$D$49,MATCH(C3460,Products!$A$2:$A$49,0))*(1+INDEX(Assumptions!$B$16:$B$20,MATCH(B3460,Assumptions!$A$16:$A$20,0)))</f>
        <v>3834.384</v>
      </c>
      <c r="J3460" s="33" t="n">
        <f aca="false">H3460-I3460</f>
        <v>1265.616</v>
      </c>
      <c r="K3460" s="33" t="n">
        <f aca="false">IF(OR(E3460=0,E3460&gt;=7),0,D3460/(7-E3460)*E3460*INDEX(Products!$E$2:$E$49,MATCH(C3460,Products!$A$2:$A$49,0)))</f>
        <v>0</v>
      </c>
    </row>
    <row r="3461" customFormat="false" ht="15" hidden="false" customHeight="false" outlineLevel="0" collapsed="false">
      <c r="A3461" s="36" t="n">
        <v>46181</v>
      </c>
      <c r="B3461" s="24" t="s">
        <v>63</v>
      </c>
      <c r="C3461" s="24" t="s">
        <v>199</v>
      </c>
      <c r="D3461" s="33" t="n">
        <v>38</v>
      </c>
      <c r="E3461" s="24" t="n">
        <v>0</v>
      </c>
      <c r="F3461" s="37" t="n">
        <f aca="false">DATE(YEAR(A3461),MONTH(A3461),1)</f>
        <v>46174</v>
      </c>
      <c r="G3461" s="24" t="str">
        <f aca="false">INDEX(Products!$C$2:$C$49,MATCH(C3461,Products!$A$2:$A$49,0))</f>
        <v>Snacks &amp; Confectionery</v>
      </c>
      <c r="H3461" s="33" t="n">
        <f aca="false">D3461*INDEX(Products!$E$2:$E$49,MATCH(C3461,Products!$A$2:$A$49,0))</f>
        <v>5700</v>
      </c>
      <c r="I3461" s="33" t="n">
        <f aca="false">D3461*INDEX(Products!$D$2:$D$49,MATCH(C3461,Products!$A$2:$A$49,0))*(1+INDEX(Assumptions!$B$16:$B$20,MATCH(B3461,Assumptions!$A$16:$A$20,0)))</f>
        <v>4285.488</v>
      </c>
      <c r="J3461" s="33" t="n">
        <f aca="false">H3461-I3461</f>
        <v>1414.512</v>
      </c>
      <c r="K3461" s="33" t="n">
        <f aca="false">IF(OR(E3461=0,E3461&gt;=7),0,D3461/(7-E3461)*E3461*INDEX(Products!$E$2:$E$49,MATCH(C3461,Products!$A$2:$A$49,0)))</f>
        <v>0</v>
      </c>
    </row>
    <row r="3462" customFormat="false" ht="15" hidden="false" customHeight="false" outlineLevel="0" collapsed="false">
      <c r="A3462" s="36" t="n">
        <v>46188</v>
      </c>
      <c r="B3462" s="24" t="s">
        <v>63</v>
      </c>
      <c r="C3462" s="24" t="s">
        <v>199</v>
      </c>
      <c r="D3462" s="33" t="n">
        <v>32</v>
      </c>
      <c r="E3462" s="24" t="n">
        <v>0</v>
      </c>
      <c r="F3462" s="37" t="n">
        <f aca="false">DATE(YEAR(A3462),MONTH(A3462),1)</f>
        <v>46174</v>
      </c>
      <c r="G3462" s="24" t="str">
        <f aca="false">INDEX(Products!$C$2:$C$49,MATCH(C3462,Products!$A$2:$A$49,0))</f>
        <v>Snacks &amp; Confectionery</v>
      </c>
      <c r="H3462" s="33" t="n">
        <f aca="false">D3462*INDEX(Products!$E$2:$E$49,MATCH(C3462,Products!$A$2:$A$49,0))</f>
        <v>4800</v>
      </c>
      <c r="I3462" s="33" t="n">
        <f aca="false">D3462*INDEX(Products!$D$2:$D$49,MATCH(C3462,Products!$A$2:$A$49,0))*(1+INDEX(Assumptions!$B$16:$B$20,MATCH(B3462,Assumptions!$A$16:$A$20,0)))</f>
        <v>3608.832</v>
      </c>
      <c r="J3462" s="33" t="n">
        <f aca="false">H3462-I3462</f>
        <v>1191.168</v>
      </c>
      <c r="K3462" s="33" t="n">
        <f aca="false">IF(OR(E3462=0,E3462&gt;=7),0,D3462/(7-E3462)*E3462*INDEX(Products!$E$2:$E$49,MATCH(C3462,Products!$A$2:$A$49,0)))</f>
        <v>0</v>
      </c>
    </row>
    <row r="3463" customFormat="false" ht="15" hidden="false" customHeight="false" outlineLevel="0" collapsed="false">
      <c r="A3463" s="36" t="n">
        <v>46195</v>
      </c>
      <c r="B3463" s="24" t="s">
        <v>63</v>
      </c>
      <c r="C3463" s="24" t="s">
        <v>199</v>
      </c>
      <c r="D3463" s="33" t="n">
        <v>36</v>
      </c>
      <c r="E3463" s="24" t="n">
        <v>0</v>
      </c>
      <c r="F3463" s="37" t="n">
        <f aca="false">DATE(YEAR(A3463),MONTH(A3463),1)</f>
        <v>46174</v>
      </c>
      <c r="G3463" s="24" t="str">
        <f aca="false">INDEX(Products!$C$2:$C$49,MATCH(C3463,Products!$A$2:$A$49,0))</f>
        <v>Snacks &amp; Confectionery</v>
      </c>
      <c r="H3463" s="33" t="n">
        <f aca="false">D3463*INDEX(Products!$E$2:$E$49,MATCH(C3463,Products!$A$2:$A$49,0))</f>
        <v>5400</v>
      </c>
      <c r="I3463" s="33" t="n">
        <f aca="false">D3463*INDEX(Products!$D$2:$D$49,MATCH(C3463,Products!$A$2:$A$49,0))*(1+INDEX(Assumptions!$B$16:$B$20,MATCH(B3463,Assumptions!$A$16:$A$20,0)))</f>
        <v>4059.936</v>
      </c>
      <c r="J3463" s="33" t="n">
        <f aca="false">H3463-I3463</f>
        <v>1340.064</v>
      </c>
      <c r="K3463" s="33" t="n">
        <f aca="false">IF(OR(E3463=0,E3463&gt;=7),0,D3463/(7-E3463)*E3463*INDEX(Products!$E$2:$E$49,MATCH(C3463,Products!$A$2:$A$49,0)))</f>
        <v>0</v>
      </c>
    </row>
    <row r="3464" customFormat="false" ht="15" hidden="false" customHeight="false" outlineLevel="0" collapsed="false">
      <c r="A3464" s="36" t="n">
        <v>46202</v>
      </c>
      <c r="B3464" s="24" t="s">
        <v>63</v>
      </c>
      <c r="C3464" s="24" t="s">
        <v>199</v>
      </c>
      <c r="D3464" s="33" t="n">
        <v>29</v>
      </c>
      <c r="E3464" s="24" t="n">
        <v>0</v>
      </c>
      <c r="F3464" s="37" t="n">
        <f aca="false">DATE(YEAR(A3464),MONTH(A3464),1)</f>
        <v>46174</v>
      </c>
      <c r="G3464" s="24" t="str">
        <f aca="false">INDEX(Products!$C$2:$C$49,MATCH(C3464,Products!$A$2:$A$49,0))</f>
        <v>Snacks &amp; Confectionery</v>
      </c>
      <c r="H3464" s="33" t="n">
        <f aca="false">D3464*INDEX(Products!$E$2:$E$49,MATCH(C3464,Products!$A$2:$A$49,0))</f>
        <v>4350</v>
      </c>
      <c r="I3464" s="33" t="n">
        <f aca="false">D3464*INDEX(Products!$D$2:$D$49,MATCH(C3464,Products!$A$2:$A$49,0))*(1+INDEX(Assumptions!$B$16:$B$20,MATCH(B3464,Assumptions!$A$16:$A$20,0)))</f>
        <v>3270.504</v>
      </c>
      <c r="J3464" s="33" t="n">
        <f aca="false">H3464-I3464</f>
        <v>1079.496</v>
      </c>
      <c r="K3464" s="33" t="n">
        <f aca="false">IF(OR(E3464=0,E3464&gt;=7),0,D3464/(7-E3464)*E3464*INDEX(Products!$E$2:$E$49,MATCH(C3464,Products!$A$2:$A$49,0)))</f>
        <v>0</v>
      </c>
    </row>
    <row r="3465" customFormat="false" ht="15" hidden="false" customHeight="false" outlineLevel="0" collapsed="false">
      <c r="A3465" s="36" t="n">
        <v>46209</v>
      </c>
      <c r="B3465" s="24" t="s">
        <v>63</v>
      </c>
      <c r="C3465" s="24" t="s">
        <v>199</v>
      </c>
      <c r="D3465" s="33" t="n">
        <v>36</v>
      </c>
      <c r="E3465" s="24" t="n">
        <v>0</v>
      </c>
      <c r="F3465" s="37" t="n">
        <f aca="false">DATE(YEAR(A3465),MONTH(A3465),1)</f>
        <v>46204</v>
      </c>
      <c r="G3465" s="24" t="str">
        <f aca="false">INDEX(Products!$C$2:$C$49,MATCH(C3465,Products!$A$2:$A$49,0))</f>
        <v>Snacks &amp; Confectionery</v>
      </c>
      <c r="H3465" s="33" t="n">
        <f aca="false">D3465*INDEX(Products!$E$2:$E$49,MATCH(C3465,Products!$A$2:$A$49,0))</f>
        <v>5400</v>
      </c>
      <c r="I3465" s="33" t="n">
        <f aca="false">D3465*INDEX(Products!$D$2:$D$49,MATCH(C3465,Products!$A$2:$A$49,0))*(1+INDEX(Assumptions!$B$16:$B$20,MATCH(B3465,Assumptions!$A$16:$A$20,0)))</f>
        <v>4059.936</v>
      </c>
      <c r="J3465" s="33" t="n">
        <f aca="false">H3465-I3465</f>
        <v>1340.064</v>
      </c>
      <c r="K3465" s="33" t="n">
        <f aca="false">IF(OR(E3465=0,E3465&gt;=7),0,D3465/(7-E3465)*E3465*INDEX(Products!$E$2:$E$49,MATCH(C3465,Products!$A$2:$A$49,0)))</f>
        <v>0</v>
      </c>
    </row>
    <row r="3466" customFormat="false" ht="15" hidden="false" customHeight="false" outlineLevel="0" collapsed="false">
      <c r="A3466" s="36" t="n">
        <v>46216</v>
      </c>
      <c r="B3466" s="24" t="s">
        <v>63</v>
      </c>
      <c r="C3466" s="24" t="s">
        <v>199</v>
      </c>
      <c r="D3466" s="33" t="n">
        <v>34</v>
      </c>
      <c r="E3466" s="24" t="n">
        <v>0</v>
      </c>
      <c r="F3466" s="37" t="n">
        <f aca="false">DATE(YEAR(A3466),MONTH(A3466),1)</f>
        <v>46204</v>
      </c>
      <c r="G3466" s="24" t="str">
        <f aca="false">INDEX(Products!$C$2:$C$49,MATCH(C3466,Products!$A$2:$A$49,0))</f>
        <v>Snacks &amp; Confectionery</v>
      </c>
      <c r="H3466" s="33" t="n">
        <f aca="false">D3466*INDEX(Products!$E$2:$E$49,MATCH(C3466,Products!$A$2:$A$49,0))</f>
        <v>5100</v>
      </c>
      <c r="I3466" s="33" t="n">
        <f aca="false">D3466*INDEX(Products!$D$2:$D$49,MATCH(C3466,Products!$A$2:$A$49,0))*(1+INDEX(Assumptions!$B$16:$B$20,MATCH(B3466,Assumptions!$A$16:$A$20,0)))</f>
        <v>3834.384</v>
      </c>
      <c r="J3466" s="33" t="n">
        <f aca="false">H3466-I3466</f>
        <v>1265.616</v>
      </c>
      <c r="K3466" s="33" t="n">
        <f aca="false">IF(OR(E3466=0,E3466&gt;=7),0,D3466/(7-E3466)*E3466*INDEX(Products!$E$2:$E$49,MATCH(C3466,Products!$A$2:$A$49,0)))</f>
        <v>0</v>
      </c>
    </row>
    <row r="3467" customFormat="false" ht="15" hidden="false" customHeight="false" outlineLevel="0" collapsed="false">
      <c r="A3467" s="36" t="n">
        <v>46223</v>
      </c>
      <c r="B3467" s="24" t="s">
        <v>63</v>
      </c>
      <c r="C3467" s="24" t="s">
        <v>199</v>
      </c>
      <c r="D3467" s="33" t="n">
        <v>36</v>
      </c>
      <c r="E3467" s="24" t="n">
        <v>0</v>
      </c>
      <c r="F3467" s="37" t="n">
        <f aca="false">DATE(YEAR(A3467),MONTH(A3467),1)</f>
        <v>46204</v>
      </c>
      <c r="G3467" s="24" t="str">
        <f aca="false">INDEX(Products!$C$2:$C$49,MATCH(C3467,Products!$A$2:$A$49,0))</f>
        <v>Snacks &amp; Confectionery</v>
      </c>
      <c r="H3467" s="33" t="n">
        <f aca="false">D3467*INDEX(Products!$E$2:$E$49,MATCH(C3467,Products!$A$2:$A$49,0))</f>
        <v>5400</v>
      </c>
      <c r="I3467" s="33" t="n">
        <f aca="false">D3467*INDEX(Products!$D$2:$D$49,MATCH(C3467,Products!$A$2:$A$49,0))*(1+INDEX(Assumptions!$B$16:$B$20,MATCH(B3467,Assumptions!$A$16:$A$20,0)))</f>
        <v>4059.936</v>
      </c>
      <c r="J3467" s="33" t="n">
        <f aca="false">H3467-I3467</f>
        <v>1340.064</v>
      </c>
      <c r="K3467" s="33" t="n">
        <f aca="false">IF(OR(E3467=0,E3467&gt;=7),0,D3467/(7-E3467)*E3467*INDEX(Products!$E$2:$E$49,MATCH(C3467,Products!$A$2:$A$49,0)))</f>
        <v>0</v>
      </c>
    </row>
    <row r="3468" customFormat="false" ht="15" hidden="false" customHeight="false" outlineLevel="0" collapsed="false">
      <c r="A3468" s="36" t="n">
        <v>46230</v>
      </c>
      <c r="B3468" s="24" t="s">
        <v>63</v>
      </c>
      <c r="C3468" s="24" t="s">
        <v>199</v>
      </c>
      <c r="D3468" s="33" t="n">
        <v>29</v>
      </c>
      <c r="E3468" s="24" t="n">
        <v>0</v>
      </c>
      <c r="F3468" s="37" t="n">
        <f aca="false">DATE(YEAR(A3468),MONTH(A3468),1)</f>
        <v>46204</v>
      </c>
      <c r="G3468" s="24" t="str">
        <f aca="false">INDEX(Products!$C$2:$C$49,MATCH(C3468,Products!$A$2:$A$49,0))</f>
        <v>Snacks &amp; Confectionery</v>
      </c>
      <c r="H3468" s="33" t="n">
        <f aca="false">D3468*INDEX(Products!$E$2:$E$49,MATCH(C3468,Products!$A$2:$A$49,0))</f>
        <v>4350</v>
      </c>
      <c r="I3468" s="33" t="n">
        <f aca="false">D3468*INDEX(Products!$D$2:$D$49,MATCH(C3468,Products!$A$2:$A$49,0))*(1+INDEX(Assumptions!$B$16:$B$20,MATCH(B3468,Assumptions!$A$16:$A$20,0)))</f>
        <v>3270.504</v>
      </c>
      <c r="J3468" s="33" t="n">
        <f aca="false">H3468-I3468</f>
        <v>1079.496</v>
      </c>
      <c r="K3468" s="33" t="n">
        <f aca="false">IF(OR(E3468=0,E3468&gt;=7),0,D3468/(7-E3468)*E3468*INDEX(Products!$E$2:$E$49,MATCH(C3468,Products!$A$2:$A$49,0)))</f>
        <v>0</v>
      </c>
    </row>
    <row r="3469" customFormat="false" ht="15" hidden="false" customHeight="false" outlineLevel="0" collapsed="false">
      <c r="A3469" s="36" t="n">
        <v>46237</v>
      </c>
      <c r="B3469" s="24" t="s">
        <v>63</v>
      </c>
      <c r="C3469" s="24" t="s">
        <v>199</v>
      </c>
      <c r="D3469" s="33" t="n">
        <v>19</v>
      </c>
      <c r="E3469" s="24" t="n">
        <v>0</v>
      </c>
      <c r="F3469" s="37" t="n">
        <f aca="false">DATE(YEAR(A3469),MONTH(A3469),1)</f>
        <v>46235</v>
      </c>
      <c r="G3469" s="24" t="str">
        <f aca="false">INDEX(Products!$C$2:$C$49,MATCH(C3469,Products!$A$2:$A$49,0))</f>
        <v>Snacks &amp; Confectionery</v>
      </c>
      <c r="H3469" s="33" t="n">
        <f aca="false">D3469*INDEX(Products!$E$2:$E$49,MATCH(C3469,Products!$A$2:$A$49,0))</f>
        <v>2850</v>
      </c>
      <c r="I3469" s="33" t="n">
        <f aca="false">D3469*INDEX(Products!$D$2:$D$49,MATCH(C3469,Products!$A$2:$A$49,0))*(1+INDEX(Assumptions!$B$16:$B$20,MATCH(B3469,Assumptions!$A$16:$A$20,0)))</f>
        <v>2142.744</v>
      </c>
      <c r="J3469" s="33" t="n">
        <f aca="false">H3469-I3469</f>
        <v>707.256</v>
      </c>
      <c r="K3469" s="33" t="n">
        <f aca="false">IF(OR(E3469=0,E3469&gt;=7),0,D3469/(7-E3469)*E3469*INDEX(Products!$E$2:$E$49,MATCH(C3469,Products!$A$2:$A$49,0)))</f>
        <v>0</v>
      </c>
    </row>
    <row r="3470" customFormat="false" ht="15" hidden="false" customHeight="false" outlineLevel="0" collapsed="false">
      <c r="A3470" s="36" t="n">
        <v>46244</v>
      </c>
      <c r="B3470" s="24" t="s">
        <v>63</v>
      </c>
      <c r="C3470" s="24" t="s">
        <v>199</v>
      </c>
      <c r="D3470" s="33" t="n">
        <v>23</v>
      </c>
      <c r="E3470" s="24" t="n">
        <v>0</v>
      </c>
      <c r="F3470" s="37" t="n">
        <f aca="false">DATE(YEAR(A3470),MONTH(A3470),1)</f>
        <v>46235</v>
      </c>
      <c r="G3470" s="24" t="str">
        <f aca="false">INDEX(Products!$C$2:$C$49,MATCH(C3470,Products!$A$2:$A$49,0))</f>
        <v>Snacks &amp; Confectionery</v>
      </c>
      <c r="H3470" s="33" t="n">
        <f aca="false">D3470*INDEX(Products!$E$2:$E$49,MATCH(C3470,Products!$A$2:$A$49,0))</f>
        <v>3450</v>
      </c>
      <c r="I3470" s="33" t="n">
        <f aca="false">D3470*INDEX(Products!$D$2:$D$49,MATCH(C3470,Products!$A$2:$A$49,0))*(1+INDEX(Assumptions!$B$16:$B$20,MATCH(B3470,Assumptions!$A$16:$A$20,0)))</f>
        <v>2593.848</v>
      </c>
      <c r="J3470" s="33" t="n">
        <f aca="false">H3470-I3470</f>
        <v>856.152</v>
      </c>
      <c r="K3470" s="33" t="n">
        <f aca="false">IF(OR(E3470=0,E3470&gt;=7),0,D3470/(7-E3470)*E3470*INDEX(Products!$E$2:$E$49,MATCH(C3470,Products!$A$2:$A$49,0)))</f>
        <v>0</v>
      </c>
    </row>
    <row r="3471" customFormat="false" ht="15" hidden="false" customHeight="false" outlineLevel="0" collapsed="false">
      <c r="A3471" s="36" t="n">
        <v>46251</v>
      </c>
      <c r="B3471" s="24" t="s">
        <v>63</v>
      </c>
      <c r="C3471" s="24" t="s">
        <v>199</v>
      </c>
      <c r="D3471" s="33" t="n">
        <v>31</v>
      </c>
      <c r="E3471" s="24" t="n">
        <v>0</v>
      </c>
      <c r="F3471" s="37" t="n">
        <f aca="false">DATE(YEAR(A3471),MONTH(A3471),1)</f>
        <v>46235</v>
      </c>
      <c r="G3471" s="24" t="str">
        <f aca="false">INDEX(Products!$C$2:$C$49,MATCH(C3471,Products!$A$2:$A$49,0))</f>
        <v>Snacks &amp; Confectionery</v>
      </c>
      <c r="H3471" s="33" t="n">
        <f aca="false">D3471*INDEX(Products!$E$2:$E$49,MATCH(C3471,Products!$A$2:$A$49,0))</f>
        <v>4650</v>
      </c>
      <c r="I3471" s="33" t="n">
        <f aca="false">D3471*INDEX(Products!$D$2:$D$49,MATCH(C3471,Products!$A$2:$A$49,0))*(1+INDEX(Assumptions!$B$16:$B$20,MATCH(B3471,Assumptions!$A$16:$A$20,0)))</f>
        <v>3496.056</v>
      </c>
      <c r="J3471" s="33" t="n">
        <f aca="false">H3471-I3471</f>
        <v>1153.944</v>
      </c>
      <c r="K3471" s="33" t="n">
        <f aca="false">IF(OR(E3471=0,E3471&gt;=7),0,D3471/(7-E3471)*E3471*INDEX(Products!$E$2:$E$49,MATCH(C3471,Products!$A$2:$A$49,0)))</f>
        <v>0</v>
      </c>
    </row>
    <row r="3472" customFormat="false" ht="15" hidden="false" customHeight="false" outlineLevel="0" collapsed="false">
      <c r="A3472" s="36" t="n">
        <v>46258</v>
      </c>
      <c r="B3472" s="24" t="s">
        <v>63</v>
      </c>
      <c r="C3472" s="24" t="s">
        <v>199</v>
      </c>
      <c r="D3472" s="33" t="n">
        <v>30</v>
      </c>
      <c r="E3472" s="24" t="n">
        <v>0</v>
      </c>
      <c r="F3472" s="37" t="n">
        <f aca="false">DATE(YEAR(A3472),MONTH(A3472),1)</f>
        <v>46235</v>
      </c>
      <c r="G3472" s="24" t="str">
        <f aca="false">INDEX(Products!$C$2:$C$49,MATCH(C3472,Products!$A$2:$A$49,0))</f>
        <v>Snacks &amp; Confectionery</v>
      </c>
      <c r="H3472" s="33" t="n">
        <f aca="false">D3472*INDEX(Products!$E$2:$E$49,MATCH(C3472,Products!$A$2:$A$49,0))</f>
        <v>4500</v>
      </c>
      <c r="I3472" s="33" t="n">
        <f aca="false">D3472*INDEX(Products!$D$2:$D$49,MATCH(C3472,Products!$A$2:$A$49,0))*(1+INDEX(Assumptions!$B$16:$B$20,MATCH(B3472,Assumptions!$A$16:$A$20,0)))</f>
        <v>3383.28</v>
      </c>
      <c r="J3472" s="33" t="n">
        <f aca="false">H3472-I3472</f>
        <v>1116.72</v>
      </c>
      <c r="K3472" s="33" t="n">
        <f aca="false">IF(OR(E3472=0,E3472&gt;=7),0,D3472/(7-E3472)*E3472*INDEX(Products!$E$2:$E$49,MATCH(C3472,Products!$A$2:$A$49,0)))</f>
        <v>0</v>
      </c>
    </row>
    <row r="3473" customFormat="false" ht="15" hidden="false" customHeight="false" outlineLevel="0" collapsed="false">
      <c r="A3473" s="36" t="n">
        <v>46265</v>
      </c>
      <c r="B3473" s="24" t="s">
        <v>63</v>
      </c>
      <c r="C3473" s="24" t="s">
        <v>199</v>
      </c>
      <c r="D3473" s="33" t="n">
        <v>35</v>
      </c>
      <c r="E3473" s="24" t="n">
        <v>0</v>
      </c>
      <c r="F3473" s="37" t="n">
        <f aca="false">DATE(YEAR(A3473),MONTH(A3473),1)</f>
        <v>46235</v>
      </c>
      <c r="G3473" s="24" t="str">
        <f aca="false">INDEX(Products!$C$2:$C$49,MATCH(C3473,Products!$A$2:$A$49,0))</f>
        <v>Snacks &amp; Confectionery</v>
      </c>
      <c r="H3473" s="33" t="n">
        <f aca="false">D3473*INDEX(Products!$E$2:$E$49,MATCH(C3473,Products!$A$2:$A$49,0))</f>
        <v>5250</v>
      </c>
      <c r="I3473" s="33" t="n">
        <f aca="false">D3473*INDEX(Products!$D$2:$D$49,MATCH(C3473,Products!$A$2:$A$49,0))*(1+INDEX(Assumptions!$B$16:$B$20,MATCH(B3473,Assumptions!$A$16:$A$20,0)))</f>
        <v>3947.16</v>
      </c>
      <c r="J3473" s="33" t="n">
        <f aca="false">H3473-I3473</f>
        <v>1302.84</v>
      </c>
      <c r="K3473" s="33" t="n">
        <f aca="false">IF(OR(E3473=0,E3473&gt;=7),0,D3473/(7-E3473)*E3473*INDEX(Products!$E$2:$E$49,MATCH(C3473,Products!$A$2:$A$49,0)))</f>
        <v>0</v>
      </c>
    </row>
    <row r="3474" customFormat="false" ht="15" hidden="false" customHeight="false" outlineLevel="0" collapsed="false">
      <c r="A3474" s="36" t="n">
        <v>46272</v>
      </c>
      <c r="B3474" s="24" t="s">
        <v>63</v>
      </c>
      <c r="C3474" s="24" t="s">
        <v>199</v>
      </c>
      <c r="D3474" s="33" t="n">
        <v>19</v>
      </c>
      <c r="E3474" s="24" t="n">
        <v>2</v>
      </c>
      <c r="F3474" s="37" t="n">
        <f aca="false">DATE(YEAR(A3474),MONTH(A3474),1)</f>
        <v>46266</v>
      </c>
      <c r="G3474" s="24" t="str">
        <f aca="false">INDEX(Products!$C$2:$C$49,MATCH(C3474,Products!$A$2:$A$49,0))</f>
        <v>Snacks &amp; Confectionery</v>
      </c>
      <c r="H3474" s="33" t="n">
        <f aca="false">D3474*INDEX(Products!$E$2:$E$49,MATCH(C3474,Products!$A$2:$A$49,0))</f>
        <v>2850</v>
      </c>
      <c r="I3474" s="33" t="n">
        <f aca="false">D3474*INDEX(Products!$D$2:$D$49,MATCH(C3474,Products!$A$2:$A$49,0))*(1+INDEX(Assumptions!$B$16:$B$20,MATCH(B3474,Assumptions!$A$16:$A$20,0)))</f>
        <v>2142.744</v>
      </c>
      <c r="J3474" s="33" t="n">
        <f aca="false">H3474-I3474</f>
        <v>707.256</v>
      </c>
      <c r="K3474" s="33" t="n">
        <f aca="false">IF(OR(E3474=0,E3474&gt;=7),0,D3474/(7-E3474)*E3474*INDEX(Products!$E$2:$E$49,MATCH(C3474,Products!$A$2:$A$49,0)))</f>
        <v>1140</v>
      </c>
    </row>
    <row r="3475" customFormat="false" ht="15" hidden="false" customHeight="false" outlineLevel="0" collapsed="false">
      <c r="A3475" s="36" t="n">
        <v>46279</v>
      </c>
      <c r="B3475" s="24" t="s">
        <v>63</v>
      </c>
      <c r="C3475" s="24" t="s">
        <v>199</v>
      </c>
      <c r="D3475" s="33" t="n">
        <v>37</v>
      </c>
      <c r="E3475" s="24" t="n">
        <v>0</v>
      </c>
      <c r="F3475" s="37" t="n">
        <f aca="false">DATE(YEAR(A3475),MONTH(A3475),1)</f>
        <v>46266</v>
      </c>
      <c r="G3475" s="24" t="str">
        <f aca="false">INDEX(Products!$C$2:$C$49,MATCH(C3475,Products!$A$2:$A$49,0))</f>
        <v>Snacks &amp; Confectionery</v>
      </c>
      <c r="H3475" s="33" t="n">
        <f aca="false">D3475*INDEX(Products!$E$2:$E$49,MATCH(C3475,Products!$A$2:$A$49,0))</f>
        <v>5550</v>
      </c>
      <c r="I3475" s="33" t="n">
        <f aca="false">D3475*INDEX(Products!$D$2:$D$49,MATCH(C3475,Products!$A$2:$A$49,0))*(1+INDEX(Assumptions!$B$16:$B$20,MATCH(B3475,Assumptions!$A$16:$A$20,0)))</f>
        <v>4172.712</v>
      </c>
      <c r="J3475" s="33" t="n">
        <f aca="false">H3475-I3475</f>
        <v>1377.288</v>
      </c>
      <c r="K3475" s="33" t="n">
        <f aca="false">IF(OR(E3475=0,E3475&gt;=7),0,D3475/(7-E3475)*E3475*INDEX(Products!$E$2:$E$49,MATCH(C3475,Products!$A$2:$A$49,0)))</f>
        <v>0</v>
      </c>
    </row>
    <row r="3476" customFormat="false" ht="15" hidden="false" customHeight="false" outlineLevel="0" collapsed="false">
      <c r="A3476" s="36" t="n">
        <v>46286</v>
      </c>
      <c r="B3476" s="24" t="s">
        <v>63</v>
      </c>
      <c r="C3476" s="24" t="s">
        <v>199</v>
      </c>
      <c r="D3476" s="33" t="n">
        <v>26</v>
      </c>
      <c r="E3476" s="24" t="n">
        <v>0</v>
      </c>
      <c r="F3476" s="37" t="n">
        <f aca="false">DATE(YEAR(A3476),MONTH(A3476),1)</f>
        <v>46266</v>
      </c>
      <c r="G3476" s="24" t="str">
        <f aca="false">INDEX(Products!$C$2:$C$49,MATCH(C3476,Products!$A$2:$A$49,0))</f>
        <v>Snacks &amp; Confectionery</v>
      </c>
      <c r="H3476" s="33" t="n">
        <f aca="false">D3476*INDEX(Products!$E$2:$E$49,MATCH(C3476,Products!$A$2:$A$49,0))</f>
        <v>3900</v>
      </c>
      <c r="I3476" s="33" t="n">
        <f aca="false">D3476*INDEX(Products!$D$2:$D$49,MATCH(C3476,Products!$A$2:$A$49,0))*(1+INDEX(Assumptions!$B$16:$B$20,MATCH(B3476,Assumptions!$A$16:$A$20,0)))</f>
        <v>2932.176</v>
      </c>
      <c r="J3476" s="33" t="n">
        <f aca="false">H3476-I3476</f>
        <v>967.824</v>
      </c>
      <c r="K3476" s="33" t="n">
        <f aca="false">IF(OR(E3476=0,E3476&gt;=7),0,D3476/(7-E3476)*E3476*INDEX(Products!$E$2:$E$49,MATCH(C3476,Products!$A$2:$A$49,0)))</f>
        <v>0</v>
      </c>
    </row>
    <row r="3477" customFormat="false" ht="15" hidden="false" customHeight="false" outlineLevel="0" collapsed="false">
      <c r="A3477" s="36" t="n">
        <v>46118</v>
      </c>
      <c r="B3477" s="24" t="s">
        <v>63</v>
      </c>
      <c r="C3477" s="24" t="s">
        <v>201</v>
      </c>
      <c r="D3477" s="33" t="n">
        <v>99</v>
      </c>
      <c r="E3477" s="24" t="n">
        <v>0</v>
      </c>
      <c r="F3477" s="37" t="n">
        <f aca="false">DATE(YEAR(A3477),MONTH(A3477),1)</f>
        <v>46113</v>
      </c>
      <c r="G3477" s="24" t="str">
        <f aca="false">INDEX(Products!$C$2:$C$49,MATCH(C3477,Products!$A$2:$A$49,0))</f>
        <v>Snacks &amp; Confectionery</v>
      </c>
      <c r="H3477" s="33" t="n">
        <f aca="false">D3477*INDEX(Products!$E$2:$E$49,MATCH(C3477,Products!$A$2:$A$49,0))</f>
        <v>15840</v>
      </c>
      <c r="I3477" s="33" t="n">
        <f aca="false">D3477*INDEX(Products!$D$2:$D$49,MATCH(C3477,Products!$A$2:$A$49,0))*(1+INDEX(Assumptions!$B$16:$B$20,MATCH(B3477,Assumptions!$A$16:$A$20,0)))</f>
        <v>12070.08</v>
      </c>
      <c r="J3477" s="33" t="n">
        <f aca="false">H3477-I3477</f>
        <v>3769.92</v>
      </c>
      <c r="K3477" s="33" t="n">
        <f aca="false">IF(OR(E3477=0,E3477&gt;=7),0,D3477/(7-E3477)*E3477*INDEX(Products!$E$2:$E$49,MATCH(C3477,Products!$A$2:$A$49,0)))</f>
        <v>0</v>
      </c>
    </row>
    <row r="3478" customFormat="false" ht="15" hidden="false" customHeight="false" outlineLevel="0" collapsed="false">
      <c r="A3478" s="36" t="n">
        <v>46125</v>
      </c>
      <c r="B3478" s="24" t="s">
        <v>63</v>
      </c>
      <c r="C3478" s="24" t="s">
        <v>201</v>
      </c>
      <c r="D3478" s="33" t="n">
        <v>86</v>
      </c>
      <c r="E3478" s="24" t="n">
        <v>0</v>
      </c>
      <c r="F3478" s="37" t="n">
        <f aca="false">DATE(YEAR(A3478),MONTH(A3478),1)</f>
        <v>46113</v>
      </c>
      <c r="G3478" s="24" t="str">
        <f aca="false">INDEX(Products!$C$2:$C$49,MATCH(C3478,Products!$A$2:$A$49,0))</f>
        <v>Snacks &amp; Confectionery</v>
      </c>
      <c r="H3478" s="33" t="n">
        <f aca="false">D3478*INDEX(Products!$E$2:$E$49,MATCH(C3478,Products!$A$2:$A$49,0))</f>
        <v>13760</v>
      </c>
      <c r="I3478" s="33" t="n">
        <f aca="false">D3478*INDEX(Products!$D$2:$D$49,MATCH(C3478,Products!$A$2:$A$49,0))*(1+INDEX(Assumptions!$B$16:$B$20,MATCH(B3478,Assumptions!$A$16:$A$20,0)))</f>
        <v>10485.12</v>
      </c>
      <c r="J3478" s="33" t="n">
        <f aca="false">H3478-I3478</f>
        <v>3274.88</v>
      </c>
      <c r="K3478" s="33" t="n">
        <f aca="false">IF(OR(E3478=0,E3478&gt;=7),0,D3478/(7-E3478)*E3478*INDEX(Products!$E$2:$E$49,MATCH(C3478,Products!$A$2:$A$49,0)))</f>
        <v>0</v>
      </c>
    </row>
    <row r="3479" customFormat="false" ht="15" hidden="false" customHeight="false" outlineLevel="0" collapsed="false">
      <c r="A3479" s="36" t="n">
        <v>46132</v>
      </c>
      <c r="B3479" s="24" t="s">
        <v>63</v>
      </c>
      <c r="C3479" s="24" t="s">
        <v>201</v>
      </c>
      <c r="D3479" s="33" t="n">
        <v>122</v>
      </c>
      <c r="E3479" s="24" t="n">
        <v>0</v>
      </c>
      <c r="F3479" s="37" t="n">
        <f aca="false">DATE(YEAR(A3479),MONTH(A3479),1)</f>
        <v>46113</v>
      </c>
      <c r="G3479" s="24" t="str">
        <f aca="false">INDEX(Products!$C$2:$C$49,MATCH(C3479,Products!$A$2:$A$49,0))</f>
        <v>Snacks &amp; Confectionery</v>
      </c>
      <c r="H3479" s="33" t="n">
        <f aca="false">D3479*INDEX(Products!$E$2:$E$49,MATCH(C3479,Products!$A$2:$A$49,0))</f>
        <v>19520</v>
      </c>
      <c r="I3479" s="33" t="n">
        <f aca="false">D3479*INDEX(Products!$D$2:$D$49,MATCH(C3479,Products!$A$2:$A$49,0))*(1+INDEX(Assumptions!$B$16:$B$20,MATCH(B3479,Assumptions!$A$16:$A$20,0)))</f>
        <v>14874.24</v>
      </c>
      <c r="J3479" s="33" t="n">
        <f aca="false">H3479-I3479</f>
        <v>4645.76</v>
      </c>
      <c r="K3479" s="33" t="n">
        <f aca="false">IF(OR(E3479=0,E3479&gt;=7),0,D3479/(7-E3479)*E3479*INDEX(Products!$E$2:$E$49,MATCH(C3479,Products!$A$2:$A$49,0)))</f>
        <v>0</v>
      </c>
    </row>
    <row r="3480" customFormat="false" ht="15" hidden="false" customHeight="false" outlineLevel="0" collapsed="false">
      <c r="A3480" s="36" t="n">
        <v>46139</v>
      </c>
      <c r="B3480" s="24" t="s">
        <v>63</v>
      </c>
      <c r="C3480" s="24" t="s">
        <v>201</v>
      </c>
      <c r="D3480" s="33" t="n">
        <v>96</v>
      </c>
      <c r="E3480" s="24" t="n">
        <v>0</v>
      </c>
      <c r="F3480" s="37" t="n">
        <f aca="false">DATE(YEAR(A3480),MONTH(A3480),1)</f>
        <v>46113</v>
      </c>
      <c r="G3480" s="24" t="str">
        <f aca="false">INDEX(Products!$C$2:$C$49,MATCH(C3480,Products!$A$2:$A$49,0))</f>
        <v>Snacks &amp; Confectionery</v>
      </c>
      <c r="H3480" s="33" t="n">
        <f aca="false">D3480*INDEX(Products!$E$2:$E$49,MATCH(C3480,Products!$A$2:$A$49,0))</f>
        <v>15360</v>
      </c>
      <c r="I3480" s="33" t="n">
        <f aca="false">D3480*INDEX(Products!$D$2:$D$49,MATCH(C3480,Products!$A$2:$A$49,0))*(1+INDEX(Assumptions!$B$16:$B$20,MATCH(B3480,Assumptions!$A$16:$A$20,0)))</f>
        <v>11704.32</v>
      </c>
      <c r="J3480" s="33" t="n">
        <f aca="false">H3480-I3480</f>
        <v>3655.68</v>
      </c>
      <c r="K3480" s="33" t="n">
        <f aca="false">IF(OR(E3480=0,E3480&gt;=7),0,D3480/(7-E3480)*E3480*INDEX(Products!$E$2:$E$49,MATCH(C3480,Products!$A$2:$A$49,0)))</f>
        <v>0</v>
      </c>
    </row>
    <row r="3481" customFormat="false" ht="15" hidden="false" customHeight="false" outlineLevel="0" collapsed="false">
      <c r="A3481" s="36" t="n">
        <v>46146</v>
      </c>
      <c r="B3481" s="24" t="s">
        <v>63</v>
      </c>
      <c r="C3481" s="24" t="s">
        <v>201</v>
      </c>
      <c r="D3481" s="33" t="n">
        <v>84</v>
      </c>
      <c r="E3481" s="24" t="n">
        <v>0</v>
      </c>
      <c r="F3481" s="37" t="n">
        <f aca="false">DATE(YEAR(A3481),MONTH(A3481),1)</f>
        <v>46143</v>
      </c>
      <c r="G3481" s="24" t="str">
        <f aca="false">INDEX(Products!$C$2:$C$49,MATCH(C3481,Products!$A$2:$A$49,0))</f>
        <v>Snacks &amp; Confectionery</v>
      </c>
      <c r="H3481" s="33" t="n">
        <f aca="false">D3481*INDEX(Products!$E$2:$E$49,MATCH(C3481,Products!$A$2:$A$49,0))</f>
        <v>13440</v>
      </c>
      <c r="I3481" s="33" t="n">
        <f aca="false">D3481*INDEX(Products!$D$2:$D$49,MATCH(C3481,Products!$A$2:$A$49,0))*(1+INDEX(Assumptions!$B$16:$B$20,MATCH(B3481,Assumptions!$A$16:$A$20,0)))</f>
        <v>10241.28</v>
      </c>
      <c r="J3481" s="33" t="n">
        <f aca="false">H3481-I3481</f>
        <v>3198.72</v>
      </c>
      <c r="K3481" s="33" t="n">
        <f aca="false">IF(OR(E3481=0,E3481&gt;=7),0,D3481/(7-E3481)*E3481*INDEX(Products!$E$2:$E$49,MATCH(C3481,Products!$A$2:$A$49,0)))</f>
        <v>0</v>
      </c>
    </row>
    <row r="3482" customFormat="false" ht="15" hidden="false" customHeight="false" outlineLevel="0" collapsed="false">
      <c r="A3482" s="36" t="n">
        <v>46153</v>
      </c>
      <c r="B3482" s="24" t="s">
        <v>63</v>
      </c>
      <c r="C3482" s="24" t="s">
        <v>201</v>
      </c>
      <c r="D3482" s="33" t="n">
        <v>92</v>
      </c>
      <c r="E3482" s="24" t="n">
        <v>0</v>
      </c>
      <c r="F3482" s="37" t="n">
        <f aca="false">DATE(YEAR(A3482),MONTH(A3482),1)</f>
        <v>46143</v>
      </c>
      <c r="G3482" s="24" t="str">
        <f aca="false">INDEX(Products!$C$2:$C$49,MATCH(C3482,Products!$A$2:$A$49,0))</f>
        <v>Snacks &amp; Confectionery</v>
      </c>
      <c r="H3482" s="33" t="n">
        <f aca="false">D3482*INDEX(Products!$E$2:$E$49,MATCH(C3482,Products!$A$2:$A$49,0))</f>
        <v>14720</v>
      </c>
      <c r="I3482" s="33" t="n">
        <f aca="false">D3482*INDEX(Products!$D$2:$D$49,MATCH(C3482,Products!$A$2:$A$49,0))*(1+INDEX(Assumptions!$B$16:$B$20,MATCH(B3482,Assumptions!$A$16:$A$20,0)))</f>
        <v>11216.64</v>
      </c>
      <c r="J3482" s="33" t="n">
        <f aca="false">H3482-I3482</f>
        <v>3503.36</v>
      </c>
      <c r="K3482" s="33" t="n">
        <f aca="false">IF(OR(E3482=0,E3482&gt;=7),0,D3482/(7-E3482)*E3482*INDEX(Products!$E$2:$E$49,MATCH(C3482,Products!$A$2:$A$49,0)))</f>
        <v>0</v>
      </c>
    </row>
    <row r="3483" customFormat="false" ht="15" hidden="false" customHeight="false" outlineLevel="0" collapsed="false">
      <c r="A3483" s="36" t="n">
        <v>46160</v>
      </c>
      <c r="B3483" s="24" t="s">
        <v>63</v>
      </c>
      <c r="C3483" s="24" t="s">
        <v>201</v>
      </c>
      <c r="D3483" s="33" t="n">
        <v>82</v>
      </c>
      <c r="E3483" s="24" t="n">
        <v>0</v>
      </c>
      <c r="F3483" s="37" t="n">
        <f aca="false">DATE(YEAR(A3483),MONTH(A3483),1)</f>
        <v>46143</v>
      </c>
      <c r="G3483" s="24" t="str">
        <f aca="false">INDEX(Products!$C$2:$C$49,MATCH(C3483,Products!$A$2:$A$49,0))</f>
        <v>Snacks &amp; Confectionery</v>
      </c>
      <c r="H3483" s="33" t="n">
        <f aca="false">D3483*INDEX(Products!$E$2:$E$49,MATCH(C3483,Products!$A$2:$A$49,0))</f>
        <v>13120</v>
      </c>
      <c r="I3483" s="33" t="n">
        <f aca="false">D3483*INDEX(Products!$D$2:$D$49,MATCH(C3483,Products!$A$2:$A$49,0))*(1+INDEX(Assumptions!$B$16:$B$20,MATCH(B3483,Assumptions!$A$16:$A$20,0)))</f>
        <v>9997.44</v>
      </c>
      <c r="J3483" s="33" t="n">
        <f aca="false">H3483-I3483</f>
        <v>3122.56</v>
      </c>
      <c r="K3483" s="33" t="n">
        <f aca="false">IF(OR(E3483=0,E3483&gt;=7),0,D3483/(7-E3483)*E3483*INDEX(Products!$E$2:$E$49,MATCH(C3483,Products!$A$2:$A$49,0)))</f>
        <v>0</v>
      </c>
    </row>
    <row r="3484" customFormat="false" ht="15" hidden="false" customHeight="false" outlineLevel="0" collapsed="false">
      <c r="A3484" s="36" t="n">
        <v>46167</v>
      </c>
      <c r="B3484" s="24" t="s">
        <v>63</v>
      </c>
      <c r="C3484" s="24" t="s">
        <v>201</v>
      </c>
      <c r="D3484" s="33" t="n">
        <v>76</v>
      </c>
      <c r="E3484" s="24" t="n">
        <v>0</v>
      </c>
      <c r="F3484" s="37" t="n">
        <f aca="false">DATE(YEAR(A3484),MONTH(A3484),1)</f>
        <v>46143</v>
      </c>
      <c r="G3484" s="24" t="str">
        <f aca="false">INDEX(Products!$C$2:$C$49,MATCH(C3484,Products!$A$2:$A$49,0))</f>
        <v>Snacks &amp; Confectionery</v>
      </c>
      <c r="H3484" s="33" t="n">
        <f aca="false">D3484*INDEX(Products!$E$2:$E$49,MATCH(C3484,Products!$A$2:$A$49,0))</f>
        <v>12160</v>
      </c>
      <c r="I3484" s="33" t="n">
        <f aca="false">D3484*INDEX(Products!$D$2:$D$49,MATCH(C3484,Products!$A$2:$A$49,0))*(1+INDEX(Assumptions!$B$16:$B$20,MATCH(B3484,Assumptions!$A$16:$A$20,0)))</f>
        <v>9265.92</v>
      </c>
      <c r="J3484" s="33" t="n">
        <f aca="false">H3484-I3484</f>
        <v>2894.08</v>
      </c>
      <c r="K3484" s="33" t="n">
        <f aca="false">IF(OR(E3484=0,E3484&gt;=7),0,D3484/(7-E3484)*E3484*INDEX(Products!$E$2:$E$49,MATCH(C3484,Products!$A$2:$A$49,0)))</f>
        <v>0</v>
      </c>
    </row>
    <row r="3485" customFormat="false" ht="15" hidden="false" customHeight="false" outlineLevel="0" collapsed="false">
      <c r="A3485" s="36" t="n">
        <v>46174</v>
      </c>
      <c r="B3485" s="24" t="s">
        <v>63</v>
      </c>
      <c r="C3485" s="24" t="s">
        <v>201</v>
      </c>
      <c r="D3485" s="33" t="n">
        <v>97</v>
      </c>
      <c r="E3485" s="24" t="n">
        <v>0</v>
      </c>
      <c r="F3485" s="37" t="n">
        <f aca="false">DATE(YEAR(A3485),MONTH(A3485),1)</f>
        <v>46174</v>
      </c>
      <c r="G3485" s="24" t="str">
        <f aca="false">INDEX(Products!$C$2:$C$49,MATCH(C3485,Products!$A$2:$A$49,0))</f>
        <v>Snacks &amp; Confectionery</v>
      </c>
      <c r="H3485" s="33" t="n">
        <f aca="false">D3485*INDEX(Products!$E$2:$E$49,MATCH(C3485,Products!$A$2:$A$49,0))</f>
        <v>15520</v>
      </c>
      <c r="I3485" s="33" t="n">
        <f aca="false">D3485*INDEX(Products!$D$2:$D$49,MATCH(C3485,Products!$A$2:$A$49,0))*(1+INDEX(Assumptions!$B$16:$B$20,MATCH(B3485,Assumptions!$A$16:$A$20,0)))</f>
        <v>11826.24</v>
      </c>
      <c r="J3485" s="33" t="n">
        <f aca="false">H3485-I3485</f>
        <v>3693.76</v>
      </c>
      <c r="K3485" s="33" t="n">
        <f aca="false">IF(OR(E3485=0,E3485&gt;=7),0,D3485/(7-E3485)*E3485*INDEX(Products!$E$2:$E$49,MATCH(C3485,Products!$A$2:$A$49,0)))</f>
        <v>0</v>
      </c>
    </row>
    <row r="3486" customFormat="false" ht="15" hidden="false" customHeight="false" outlineLevel="0" collapsed="false">
      <c r="A3486" s="36" t="n">
        <v>46181</v>
      </c>
      <c r="B3486" s="24" t="s">
        <v>63</v>
      </c>
      <c r="C3486" s="24" t="s">
        <v>201</v>
      </c>
      <c r="D3486" s="33" t="n">
        <v>92</v>
      </c>
      <c r="E3486" s="24" t="n">
        <v>0</v>
      </c>
      <c r="F3486" s="37" t="n">
        <f aca="false">DATE(YEAR(A3486),MONTH(A3486),1)</f>
        <v>46174</v>
      </c>
      <c r="G3486" s="24" t="str">
        <f aca="false">INDEX(Products!$C$2:$C$49,MATCH(C3486,Products!$A$2:$A$49,0))</f>
        <v>Snacks &amp; Confectionery</v>
      </c>
      <c r="H3486" s="33" t="n">
        <f aca="false">D3486*INDEX(Products!$E$2:$E$49,MATCH(C3486,Products!$A$2:$A$49,0))</f>
        <v>14720</v>
      </c>
      <c r="I3486" s="33" t="n">
        <f aca="false">D3486*INDEX(Products!$D$2:$D$49,MATCH(C3486,Products!$A$2:$A$49,0))*(1+INDEX(Assumptions!$B$16:$B$20,MATCH(B3486,Assumptions!$A$16:$A$20,0)))</f>
        <v>11216.64</v>
      </c>
      <c r="J3486" s="33" t="n">
        <f aca="false">H3486-I3486</f>
        <v>3503.36</v>
      </c>
      <c r="K3486" s="33" t="n">
        <f aca="false">IF(OR(E3486=0,E3486&gt;=7),0,D3486/(7-E3486)*E3486*INDEX(Products!$E$2:$E$49,MATCH(C3486,Products!$A$2:$A$49,0)))</f>
        <v>0</v>
      </c>
    </row>
    <row r="3487" customFormat="false" ht="15" hidden="false" customHeight="false" outlineLevel="0" collapsed="false">
      <c r="A3487" s="36" t="n">
        <v>46188</v>
      </c>
      <c r="B3487" s="24" t="s">
        <v>63</v>
      </c>
      <c r="C3487" s="24" t="s">
        <v>201</v>
      </c>
      <c r="D3487" s="33" t="n">
        <v>165</v>
      </c>
      <c r="E3487" s="24" t="n">
        <v>0</v>
      </c>
      <c r="F3487" s="37" t="n">
        <f aca="false">DATE(YEAR(A3487),MONTH(A3487),1)</f>
        <v>46174</v>
      </c>
      <c r="G3487" s="24" t="str">
        <f aca="false">INDEX(Products!$C$2:$C$49,MATCH(C3487,Products!$A$2:$A$49,0))</f>
        <v>Snacks &amp; Confectionery</v>
      </c>
      <c r="H3487" s="33" t="n">
        <f aca="false">D3487*INDEX(Products!$E$2:$E$49,MATCH(C3487,Products!$A$2:$A$49,0))</f>
        <v>26400</v>
      </c>
      <c r="I3487" s="33" t="n">
        <f aca="false">D3487*INDEX(Products!$D$2:$D$49,MATCH(C3487,Products!$A$2:$A$49,0))*(1+INDEX(Assumptions!$B$16:$B$20,MATCH(B3487,Assumptions!$A$16:$A$20,0)))</f>
        <v>20116.8</v>
      </c>
      <c r="J3487" s="33" t="n">
        <f aca="false">H3487-I3487</f>
        <v>6283.2</v>
      </c>
      <c r="K3487" s="33" t="n">
        <f aca="false">IF(OR(E3487=0,E3487&gt;=7),0,D3487/(7-E3487)*E3487*INDEX(Products!$E$2:$E$49,MATCH(C3487,Products!$A$2:$A$49,0)))</f>
        <v>0</v>
      </c>
    </row>
    <row r="3488" customFormat="false" ht="15" hidden="false" customHeight="false" outlineLevel="0" collapsed="false">
      <c r="A3488" s="36" t="n">
        <v>46195</v>
      </c>
      <c r="B3488" s="24" t="s">
        <v>63</v>
      </c>
      <c r="C3488" s="24" t="s">
        <v>201</v>
      </c>
      <c r="D3488" s="33" t="n">
        <v>108</v>
      </c>
      <c r="E3488" s="24" t="n">
        <v>0</v>
      </c>
      <c r="F3488" s="37" t="n">
        <f aca="false">DATE(YEAR(A3488),MONTH(A3488),1)</f>
        <v>46174</v>
      </c>
      <c r="G3488" s="24" t="str">
        <f aca="false">INDEX(Products!$C$2:$C$49,MATCH(C3488,Products!$A$2:$A$49,0))</f>
        <v>Snacks &amp; Confectionery</v>
      </c>
      <c r="H3488" s="33" t="n">
        <f aca="false">D3488*INDEX(Products!$E$2:$E$49,MATCH(C3488,Products!$A$2:$A$49,0))</f>
        <v>17280</v>
      </c>
      <c r="I3488" s="33" t="n">
        <f aca="false">D3488*INDEX(Products!$D$2:$D$49,MATCH(C3488,Products!$A$2:$A$49,0))*(1+INDEX(Assumptions!$B$16:$B$20,MATCH(B3488,Assumptions!$A$16:$A$20,0)))</f>
        <v>13167.36</v>
      </c>
      <c r="J3488" s="33" t="n">
        <f aca="false">H3488-I3488</f>
        <v>4112.64</v>
      </c>
      <c r="K3488" s="33" t="n">
        <f aca="false">IF(OR(E3488=0,E3488&gt;=7),0,D3488/(7-E3488)*E3488*INDEX(Products!$E$2:$E$49,MATCH(C3488,Products!$A$2:$A$49,0)))</f>
        <v>0</v>
      </c>
    </row>
    <row r="3489" customFormat="false" ht="15" hidden="false" customHeight="false" outlineLevel="0" collapsed="false">
      <c r="A3489" s="36" t="n">
        <v>46202</v>
      </c>
      <c r="B3489" s="24" t="s">
        <v>63</v>
      </c>
      <c r="C3489" s="24" t="s">
        <v>201</v>
      </c>
      <c r="D3489" s="33" t="n">
        <v>106</v>
      </c>
      <c r="E3489" s="24" t="n">
        <v>0</v>
      </c>
      <c r="F3489" s="37" t="n">
        <f aca="false">DATE(YEAR(A3489),MONTH(A3489),1)</f>
        <v>46174</v>
      </c>
      <c r="G3489" s="24" t="str">
        <f aca="false">INDEX(Products!$C$2:$C$49,MATCH(C3489,Products!$A$2:$A$49,0))</f>
        <v>Snacks &amp; Confectionery</v>
      </c>
      <c r="H3489" s="33" t="n">
        <f aca="false">D3489*INDEX(Products!$E$2:$E$49,MATCH(C3489,Products!$A$2:$A$49,0))</f>
        <v>16960</v>
      </c>
      <c r="I3489" s="33" t="n">
        <f aca="false">D3489*INDEX(Products!$D$2:$D$49,MATCH(C3489,Products!$A$2:$A$49,0))*(1+INDEX(Assumptions!$B$16:$B$20,MATCH(B3489,Assumptions!$A$16:$A$20,0)))</f>
        <v>12923.52</v>
      </c>
      <c r="J3489" s="33" t="n">
        <f aca="false">H3489-I3489</f>
        <v>4036.48</v>
      </c>
      <c r="K3489" s="33" t="n">
        <f aca="false">IF(OR(E3489=0,E3489&gt;=7),0,D3489/(7-E3489)*E3489*INDEX(Products!$E$2:$E$49,MATCH(C3489,Products!$A$2:$A$49,0)))</f>
        <v>0</v>
      </c>
    </row>
    <row r="3490" customFormat="false" ht="15" hidden="false" customHeight="false" outlineLevel="0" collapsed="false">
      <c r="A3490" s="36" t="n">
        <v>46209</v>
      </c>
      <c r="B3490" s="24" t="s">
        <v>63</v>
      </c>
      <c r="C3490" s="24" t="s">
        <v>201</v>
      </c>
      <c r="D3490" s="33" t="n">
        <v>129</v>
      </c>
      <c r="E3490" s="24" t="n">
        <v>0</v>
      </c>
      <c r="F3490" s="37" t="n">
        <f aca="false">DATE(YEAR(A3490),MONTH(A3490),1)</f>
        <v>46204</v>
      </c>
      <c r="G3490" s="24" t="str">
        <f aca="false">INDEX(Products!$C$2:$C$49,MATCH(C3490,Products!$A$2:$A$49,0))</f>
        <v>Snacks &amp; Confectionery</v>
      </c>
      <c r="H3490" s="33" t="n">
        <f aca="false">D3490*INDEX(Products!$E$2:$E$49,MATCH(C3490,Products!$A$2:$A$49,0))</f>
        <v>20640</v>
      </c>
      <c r="I3490" s="33" t="n">
        <f aca="false">D3490*INDEX(Products!$D$2:$D$49,MATCH(C3490,Products!$A$2:$A$49,0))*(1+INDEX(Assumptions!$B$16:$B$20,MATCH(B3490,Assumptions!$A$16:$A$20,0)))</f>
        <v>15727.68</v>
      </c>
      <c r="J3490" s="33" t="n">
        <f aca="false">H3490-I3490</f>
        <v>4912.32</v>
      </c>
      <c r="K3490" s="33" t="n">
        <f aca="false">IF(OR(E3490=0,E3490&gt;=7),0,D3490/(7-E3490)*E3490*INDEX(Products!$E$2:$E$49,MATCH(C3490,Products!$A$2:$A$49,0)))</f>
        <v>0</v>
      </c>
    </row>
    <row r="3491" customFormat="false" ht="15" hidden="false" customHeight="false" outlineLevel="0" collapsed="false">
      <c r="A3491" s="36" t="n">
        <v>46216</v>
      </c>
      <c r="B3491" s="24" t="s">
        <v>63</v>
      </c>
      <c r="C3491" s="24" t="s">
        <v>201</v>
      </c>
      <c r="D3491" s="33" t="n">
        <v>77</v>
      </c>
      <c r="E3491" s="24" t="n">
        <v>0</v>
      </c>
      <c r="F3491" s="37" t="n">
        <f aca="false">DATE(YEAR(A3491),MONTH(A3491),1)</f>
        <v>46204</v>
      </c>
      <c r="G3491" s="24" t="str">
        <f aca="false">INDEX(Products!$C$2:$C$49,MATCH(C3491,Products!$A$2:$A$49,0))</f>
        <v>Snacks &amp; Confectionery</v>
      </c>
      <c r="H3491" s="33" t="n">
        <f aca="false">D3491*INDEX(Products!$E$2:$E$49,MATCH(C3491,Products!$A$2:$A$49,0))</f>
        <v>12320</v>
      </c>
      <c r="I3491" s="33" t="n">
        <f aca="false">D3491*INDEX(Products!$D$2:$D$49,MATCH(C3491,Products!$A$2:$A$49,0))*(1+INDEX(Assumptions!$B$16:$B$20,MATCH(B3491,Assumptions!$A$16:$A$20,0)))</f>
        <v>9387.84</v>
      </c>
      <c r="J3491" s="33" t="n">
        <f aca="false">H3491-I3491</f>
        <v>2932.16</v>
      </c>
      <c r="K3491" s="33" t="n">
        <f aca="false">IF(OR(E3491=0,E3491&gt;=7),0,D3491/(7-E3491)*E3491*INDEX(Products!$E$2:$E$49,MATCH(C3491,Products!$A$2:$A$49,0)))</f>
        <v>0</v>
      </c>
    </row>
    <row r="3492" customFormat="false" ht="15" hidden="false" customHeight="false" outlineLevel="0" collapsed="false">
      <c r="A3492" s="36" t="n">
        <v>46223</v>
      </c>
      <c r="B3492" s="24" t="s">
        <v>63</v>
      </c>
      <c r="C3492" s="24" t="s">
        <v>201</v>
      </c>
      <c r="D3492" s="33" t="n">
        <v>95</v>
      </c>
      <c r="E3492" s="24" t="n">
        <v>0</v>
      </c>
      <c r="F3492" s="37" t="n">
        <f aca="false">DATE(YEAR(A3492),MONTH(A3492),1)</f>
        <v>46204</v>
      </c>
      <c r="G3492" s="24" t="str">
        <f aca="false">INDEX(Products!$C$2:$C$49,MATCH(C3492,Products!$A$2:$A$49,0))</f>
        <v>Snacks &amp; Confectionery</v>
      </c>
      <c r="H3492" s="33" t="n">
        <f aca="false">D3492*INDEX(Products!$E$2:$E$49,MATCH(C3492,Products!$A$2:$A$49,0))</f>
        <v>15200</v>
      </c>
      <c r="I3492" s="33" t="n">
        <f aca="false">D3492*INDEX(Products!$D$2:$D$49,MATCH(C3492,Products!$A$2:$A$49,0))*(1+INDEX(Assumptions!$B$16:$B$20,MATCH(B3492,Assumptions!$A$16:$A$20,0)))</f>
        <v>11582.4</v>
      </c>
      <c r="J3492" s="33" t="n">
        <f aca="false">H3492-I3492</f>
        <v>3617.6</v>
      </c>
      <c r="K3492" s="33" t="n">
        <f aca="false">IF(OR(E3492=0,E3492&gt;=7),0,D3492/(7-E3492)*E3492*INDEX(Products!$E$2:$E$49,MATCH(C3492,Products!$A$2:$A$49,0)))</f>
        <v>0</v>
      </c>
    </row>
    <row r="3493" customFormat="false" ht="15" hidden="false" customHeight="false" outlineLevel="0" collapsed="false">
      <c r="A3493" s="36" t="n">
        <v>46230</v>
      </c>
      <c r="B3493" s="24" t="s">
        <v>63</v>
      </c>
      <c r="C3493" s="24" t="s">
        <v>201</v>
      </c>
      <c r="D3493" s="33" t="n">
        <v>95</v>
      </c>
      <c r="E3493" s="24" t="n">
        <v>0</v>
      </c>
      <c r="F3493" s="37" t="n">
        <f aca="false">DATE(YEAR(A3493),MONTH(A3493),1)</f>
        <v>46204</v>
      </c>
      <c r="G3493" s="24" t="str">
        <f aca="false">INDEX(Products!$C$2:$C$49,MATCH(C3493,Products!$A$2:$A$49,0))</f>
        <v>Snacks &amp; Confectionery</v>
      </c>
      <c r="H3493" s="33" t="n">
        <f aca="false">D3493*INDEX(Products!$E$2:$E$49,MATCH(C3493,Products!$A$2:$A$49,0))</f>
        <v>15200</v>
      </c>
      <c r="I3493" s="33" t="n">
        <f aca="false">D3493*INDEX(Products!$D$2:$D$49,MATCH(C3493,Products!$A$2:$A$49,0))*(1+INDEX(Assumptions!$B$16:$B$20,MATCH(B3493,Assumptions!$A$16:$A$20,0)))</f>
        <v>11582.4</v>
      </c>
      <c r="J3493" s="33" t="n">
        <f aca="false">H3493-I3493</f>
        <v>3617.6</v>
      </c>
      <c r="K3493" s="33" t="n">
        <f aca="false">IF(OR(E3493=0,E3493&gt;=7),0,D3493/(7-E3493)*E3493*INDEX(Products!$E$2:$E$49,MATCH(C3493,Products!$A$2:$A$49,0)))</f>
        <v>0</v>
      </c>
    </row>
    <row r="3494" customFormat="false" ht="15" hidden="false" customHeight="false" outlineLevel="0" collapsed="false">
      <c r="A3494" s="36" t="n">
        <v>46237</v>
      </c>
      <c r="B3494" s="24" t="s">
        <v>63</v>
      </c>
      <c r="C3494" s="24" t="s">
        <v>201</v>
      </c>
      <c r="D3494" s="33" t="n">
        <v>81</v>
      </c>
      <c r="E3494" s="24" t="n">
        <v>0</v>
      </c>
      <c r="F3494" s="37" t="n">
        <f aca="false">DATE(YEAR(A3494),MONTH(A3494),1)</f>
        <v>46235</v>
      </c>
      <c r="G3494" s="24" t="str">
        <f aca="false">INDEX(Products!$C$2:$C$49,MATCH(C3494,Products!$A$2:$A$49,0))</f>
        <v>Snacks &amp; Confectionery</v>
      </c>
      <c r="H3494" s="33" t="n">
        <f aca="false">D3494*INDEX(Products!$E$2:$E$49,MATCH(C3494,Products!$A$2:$A$49,0))</f>
        <v>12960</v>
      </c>
      <c r="I3494" s="33" t="n">
        <f aca="false">D3494*INDEX(Products!$D$2:$D$49,MATCH(C3494,Products!$A$2:$A$49,0))*(1+INDEX(Assumptions!$B$16:$B$20,MATCH(B3494,Assumptions!$A$16:$A$20,0)))</f>
        <v>9875.52</v>
      </c>
      <c r="J3494" s="33" t="n">
        <f aca="false">H3494-I3494</f>
        <v>3084.48</v>
      </c>
      <c r="K3494" s="33" t="n">
        <f aca="false">IF(OR(E3494=0,E3494&gt;=7),0,D3494/(7-E3494)*E3494*INDEX(Products!$E$2:$E$49,MATCH(C3494,Products!$A$2:$A$49,0)))</f>
        <v>0</v>
      </c>
    </row>
    <row r="3495" customFormat="false" ht="15" hidden="false" customHeight="false" outlineLevel="0" collapsed="false">
      <c r="A3495" s="36" t="n">
        <v>46244</v>
      </c>
      <c r="B3495" s="24" t="s">
        <v>63</v>
      </c>
      <c r="C3495" s="24" t="s">
        <v>201</v>
      </c>
      <c r="D3495" s="33" t="n">
        <v>70</v>
      </c>
      <c r="E3495" s="24" t="n">
        <v>0</v>
      </c>
      <c r="F3495" s="37" t="n">
        <f aca="false">DATE(YEAR(A3495),MONTH(A3495),1)</f>
        <v>46235</v>
      </c>
      <c r="G3495" s="24" t="str">
        <f aca="false">INDEX(Products!$C$2:$C$49,MATCH(C3495,Products!$A$2:$A$49,0))</f>
        <v>Snacks &amp; Confectionery</v>
      </c>
      <c r="H3495" s="33" t="n">
        <f aca="false">D3495*INDEX(Products!$E$2:$E$49,MATCH(C3495,Products!$A$2:$A$49,0))</f>
        <v>11200</v>
      </c>
      <c r="I3495" s="33" t="n">
        <f aca="false">D3495*INDEX(Products!$D$2:$D$49,MATCH(C3495,Products!$A$2:$A$49,0))*(1+INDEX(Assumptions!$B$16:$B$20,MATCH(B3495,Assumptions!$A$16:$A$20,0)))</f>
        <v>8534.4</v>
      </c>
      <c r="J3495" s="33" t="n">
        <f aca="false">H3495-I3495</f>
        <v>2665.6</v>
      </c>
      <c r="K3495" s="33" t="n">
        <f aca="false">IF(OR(E3495=0,E3495&gt;=7),0,D3495/(7-E3495)*E3495*INDEX(Products!$E$2:$E$49,MATCH(C3495,Products!$A$2:$A$49,0)))</f>
        <v>0</v>
      </c>
    </row>
    <row r="3496" customFormat="false" ht="15" hidden="false" customHeight="false" outlineLevel="0" collapsed="false">
      <c r="A3496" s="36" t="n">
        <v>46251</v>
      </c>
      <c r="B3496" s="24" t="s">
        <v>63</v>
      </c>
      <c r="C3496" s="24" t="s">
        <v>201</v>
      </c>
      <c r="D3496" s="33" t="n">
        <v>82</v>
      </c>
      <c r="E3496" s="24" t="n">
        <v>0</v>
      </c>
      <c r="F3496" s="37" t="n">
        <f aca="false">DATE(YEAR(A3496),MONTH(A3496),1)</f>
        <v>46235</v>
      </c>
      <c r="G3496" s="24" t="str">
        <f aca="false">INDEX(Products!$C$2:$C$49,MATCH(C3496,Products!$A$2:$A$49,0))</f>
        <v>Snacks &amp; Confectionery</v>
      </c>
      <c r="H3496" s="33" t="n">
        <f aca="false">D3496*INDEX(Products!$E$2:$E$49,MATCH(C3496,Products!$A$2:$A$49,0))</f>
        <v>13120</v>
      </c>
      <c r="I3496" s="33" t="n">
        <f aca="false">D3496*INDEX(Products!$D$2:$D$49,MATCH(C3496,Products!$A$2:$A$49,0))*(1+INDEX(Assumptions!$B$16:$B$20,MATCH(B3496,Assumptions!$A$16:$A$20,0)))</f>
        <v>9997.44</v>
      </c>
      <c r="J3496" s="33" t="n">
        <f aca="false">H3496-I3496</f>
        <v>3122.56</v>
      </c>
      <c r="K3496" s="33" t="n">
        <f aca="false">IF(OR(E3496=0,E3496&gt;=7),0,D3496/(7-E3496)*E3496*INDEX(Products!$E$2:$E$49,MATCH(C3496,Products!$A$2:$A$49,0)))</f>
        <v>0</v>
      </c>
    </row>
    <row r="3497" customFormat="false" ht="15" hidden="false" customHeight="false" outlineLevel="0" collapsed="false">
      <c r="A3497" s="36" t="n">
        <v>46258</v>
      </c>
      <c r="B3497" s="24" t="s">
        <v>63</v>
      </c>
      <c r="C3497" s="24" t="s">
        <v>201</v>
      </c>
      <c r="D3497" s="33" t="n">
        <v>90</v>
      </c>
      <c r="E3497" s="24" t="n">
        <v>0</v>
      </c>
      <c r="F3497" s="37" t="n">
        <f aca="false">DATE(YEAR(A3497),MONTH(A3497),1)</f>
        <v>46235</v>
      </c>
      <c r="G3497" s="24" t="str">
        <f aca="false">INDEX(Products!$C$2:$C$49,MATCH(C3497,Products!$A$2:$A$49,0))</f>
        <v>Snacks &amp; Confectionery</v>
      </c>
      <c r="H3497" s="33" t="n">
        <f aca="false">D3497*INDEX(Products!$E$2:$E$49,MATCH(C3497,Products!$A$2:$A$49,0))</f>
        <v>14400</v>
      </c>
      <c r="I3497" s="33" t="n">
        <f aca="false">D3497*INDEX(Products!$D$2:$D$49,MATCH(C3497,Products!$A$2:$A$49,0))*(1+INDEX(Assumptions!$B$16:$B$20,MATCH(B3497,Assumptions!$A$16:$A$20,0)))</f>
        <v>10972.8</v>
      </c>
      <c r="J3497" s="33" t="n">
        <f aca="false">H3497-I3497</f>
        <v>3427.2</v>
      </c>
      <c r="K3497" s="33" t="n">
        <f aca="false">IF(OR(E3497=0,E3497&gt;=7),0,D3497/(7-E3497)*E3497*INDEX(Products!$E$2:$E$49,MATCH(C3497,Products!$A$2:$A$49,0)))</f>
        <v>0</v>
      </c>
    </row>
    <row r="3498" customFormat="false" ht="15" hidden="false" customHeight="false" outlineLevel="0" collapsed="false">
      <c r="A3498" s="36" t="n">
        <v>46265</v>
      </c>
      <c r="B3498" s="24" t="s">
        <v>63</v>
      </c>
      <c r="C3498" s="24" t="s">
        <v>201</v>
      </c>
      <c r="D3498" s="33" t="n">
        <v>79</v>
      </c>
      <c r="E3498" s="24" t="n">
        <v>0</v>
      </c>
      <c r="F3498" s="37" t="n">
        <f aca="false">DATE(YEAR(A3498),MONTH(A3498),1)</f>
        <v>46235</v>
      </c>
      <c r="G3498" s="24" t="str">
        <f aca="false">INDEX(Products!$C$2:$C$49,MATCH(C3498,Products!$A$2:$A$49,0))</f>
        <v>Snacks &amp; Confectionery</v>
      </c>
      <c r="H3498" s="33" t="n">
        <f aca="false">D3498*INDEX(Products!$E$2:$E$49,MATCH(C3498,Products!$A$2:$A$49,0))</f>
        <v>12640</v>
      </c>
      <c r="I3498" s="33" t="n">
        <f aca="false">D3498*INDEX(Products!$D$2:$D$49,MATCH(C3498,Products!$A$2:$A$49,0))*(1+INDEX(Assumptions!$B$16:$B$20,MATCH(B3498,Assumptions!$A$16:$A$20,0)))</f>
        <v>9631.68</v>
      </c>
      <c r="J3498" s="33" t="n">
        <f aca="false">H3498-I3498</f>
        <v>3008.32</v>
      </c>
      <c r="K3498" s="33" t="n">
        <f aca="false">IF(OR(E3498=0,E3498&gt;=7),0,D3498/(7-E3498)*E3498*INDEX(Products!$E$2:$E$49,MATCH(C3498,Products!$A$2:$A$49,0)))</f>
        <v>0</v>
      </c>
    </row>
    <row r="3499" customFormat="false" ht="15" hidden="false" customHeight="false" outlineLevel="0" collapsed="false">
      <c r="A3499" s="36" t="n">
        <v>46272</v>
      </c>
      <c r="B3499" s="24" t="s">
        <v>63</v>
      </c>
      <c r="C3499" s="24" t="s">
        <v>201</v>
      </c>
      <c r="D3499" s="33" t="n">
        <v>94</v>
      </c>
      <c r="E3499" s="24" t="n">
        <v>0</v>
      </c>
      <c r="F3499" s="37" t="n">
        <f aca="false">DATE(YEAR(A3499),MONTH(A3499),1)</f>
        <v>46266</v>
      </c>
      <c r="G3499" s="24" t="str">
        <f aca="false">INDEX(Products!$C$2:$C$49,MATCH(C3499,Products!$A$2:$A$49,0))</f>
        <v>Snacks &amp; Confectionery</v>
      </c>
      <c r="H3499" s="33" t="n">
        <f aca="false">D3499*INDEX(Products!$E$2:$E$49,MATCH(C3499,Products!$A$2:$A$49,0))</f>
        <v>15040</v>
      </c>
      <c r="I3499" s="33" t="n">
        <f aca="false">D3499*INDEX(Products!$D$2:$D$49,MATCH(C3499,Products!$A$2:$A$49,0))*(1+INDEX(Assumptions!$B$16:$B$20,MATCH(B3499,Assumptions!$A$16:$A$20,0)))</f>
        <v>11460.48</v>
      </c>
      <c r="J3499" s="33" t="n">
        <f aca="false">H3499-I3499</f>
        <v>3579.52</v>
      </c>
      <c r="K3499" s="33" t="n">
        <f aca="false">IF(OR(E3499=0,E3499&gt;=7),0,D3499/(7-E3499)*E3499*INDEX(Products!$E$2:$E$49,MATCH(C3499,Products!$A$2:$A$49,0)))</f>
        <v>0</v>
      </c>
    </row>
    <row r="3500" customFormat="false" ht="15" hidden="false" customHeight="false" outlineLevel="0" collapsed="false">
      <c r="A3500" s="36" t="n">
        <v>46279</v>
      </c>
      <c r="B3500" s="24" t="s">
        <v>63</v>
      </c>
      <c r="C3500" s="24" t="s">
        <v>201</v>
      </c>
      <c r="D3500" s="33" t="n">
        <v>94</v>
      </c>
      <c r="E3500" s="24" t="n">
        <v>0</v>
      </c>
      <c r="F3500" s="37" t="n">
        <f aca="false">DATE(YEAR(A3500),MONTH(A3500),1)</f>
        <v>46266</v>
      </c>
      <c r="G3500" s="24" t="str">
        <f aca="false">INDEX(Products!$C$2:$C$49,MATCH(C3500,Products!$A$2:$A$49,0))</f>
        <v>Snacks &amp; Confectionery</v>
      </c>
      <c r="H3500" s="33" t="n">
        <f aca="false">D3500*INDEX(Products!$E$2:$E$49,MATCH(C3500,Products!$A$2:$A$49,0))</f>
        <v>15040</v>
      </c>
      <c r="I3500" s="33" t="n">
        <f aca="false">D3500*INDEX(Products!$D$2:$D$49,MATCH(C3500,Products!$A$2:$A$49,0))*(1+INDEX(Assumptions!$B$16:$B$20,MATCH(B3500,Assumptions!$A$16:$A$20,0)))</f>
        <v>11460.48</v>
      </c>
      <c r="J3500" s="33" t="n">
        <f aca="false">H3500-I3500</f>
        <v>3579.52</v>
      </c>
      <c r="K3500" s="33" t="n">
        <f aca="false">IF(OR(E3500=0,E3500&gt;=7),0,D3500/(7-E3500)*E3500*INDEX(Products!$E$2:$E$49,MATCH(C3500,Products!$A$2:$A$49,0)))</f>
        <v>0</v>
      </c>
    </row>
    <row r="3501" customFormat="false" ht="15" hidden="false" customHeight="false" outlineLevel="0" collapsed="false">
      <c r="A3501" s="36" t="n">
        <v>46286</v>
      </c>
      <c r="B3501" s="24" t="s">
        <v>63</v>
      </c>
      <c r="C3501" s="24" t="s">
        <v>201</v>
      </c>
      <c r="D3501" s="33" t="n">
        <v>85</v>
      </c>
      <c r="E3501" s="24" t="n">
        <v>0</v>
      </c>
      <c r="F3501" s="37" t="n">
        <f aca="false">DATE(YEAR(A3501),MONTH(A3501),1)</f>
        <v>46266</v>
      </c>
      <c r="G3501" s="24" t="str">
        <f aca="false">INDEX(Products!$C$2:$C$49,MATCH(C3501,Products!$A$2:$A$49,0))</f>
        <v>Snacks &amp; Confectionery</v>
      </c>
      <c r="H3501" s="33" t="n">
        <f aca="false">D3501*INDEX(Products!$E$2:$E$49,MATCH(C3501,Products!$A$2:$A$49,0))</f>
        <v>13600</v>
      </c>
      <c r="I3501" s="33" t="n">
        <f aca="false">D3501*INDEX(Products!$D$2:$D$49,MATCH(C3501,Products!$A$2:$A$49,0))*(1+INDEX(Assumptions!$B$16:$B$20,MATCH(B3501,Assumptions!$A$16:$A$20,0)))</f>
        <v>10363.2</v>
      </c>
      <c r="J3501" s="33" t="n">
        <f aca="false">H3501-I3501</f>
        <v>3236.8</v>
      </c>
      <c r="K3501" s="33" t="n">
        <f aca="false">IF(OR(E3501=0,E3501&gt;=7),0,D3501/(7-E3501)*E3501*INDEX(Products!$E$2:$E$49,MATCH(C3501,Products!$A$2:$A$49,0)))</f>
        <v>0</v>
      </c>
    </row>
    <row r="3502" customFormat="false" ht="15" hidden="false" customHeight="false" outlineLevel="0" collapsed="false">
      <c r="A3502" s="36" t="n">
        <v>46118</v>
      </c>
      <c r="B3502" s="24" t="s">
        <v>63</v>
      </c>
      <c r="C3502" s="24" t="s">
        <v>203</v>
      </c>
      <c r="D3502" s="33" t="n">
        <v>41</v>
      </c>
      <c r="E3502" s="24" t="n">
        <v>0</v>
      </c>
      <c r="F3502" s="37" t="n">
        <f aca="false">DATE(YEAR(A3502),MONTH(A3502),1)</f>
        <v>46113</v>
      </c>
      <c r="G3502" s="24" t="str">
        <f aca="false">INDEX(Products!$C$2:$C$49,MATCH(C3502,Products!$A$2:$A$49,0))</f>
        <v>Snacks &amp; Confectionery</v>
      </c>
      <c r="H3502" s="33" t="n">
        <f aca="false">D3502*INDEX(Products!$E$2:$E$49,MATCH(C3502,Products!$A$2:$A$49,0))</f>
        <v>2665</v>
      </c>
      <c r="I3502" s="33" t="n">
        <f aca="false">D3502*INDEX(Products!$D$2:$D$49,MATCH(C3502,Products!$A$2:$A$49,0))*(1+INDEX(Assumptions!$B$16:$B$20,MATCH(B3502,Assumptions!$A$16:$A$20,0)))</f>
        <v>1957.832</v>
      </c>
      <c r="J3502" s="33" t="n">
        <f aca="false">H3502-I3502</f>
        <v>707.168</v>
      </c>
      <c r="K3502" s="33" t="n">
        <f aca="false">IF(OR(E3502=0,E3502&gt;=7),0,D3502/(7-E3502)*E3502*INDEX(Products!$E$2:$E$49,MATCH(C3502,Products!$A$2:$A$49,0)))</f>
        <v>0</v>
      </c>
    </row>
    <row r="3503" customFormat="false" ht="15" hidden="false" customHeight="false" outlineLevel="0" collapsed="false">
      <c r="A3503" s="36" t="n">
        <v>46125</v>
      </c>
      <c r="B3503" s="24" t="s">
        <v>63</v>
      </c>
      <c r="C3503" s="24" t="s">
        <v>203</v>
      </c>
      <c r="D3503" s="33" t="n">
        <v>37</v>
      </c>
      <c r="E3503" s="24" t="n">
        <v>0</v>
      </c>
      <c r="F3503" s="37" t="n">
        <f aca="false">DATE(YEAR(A3503),MONTH(A3503),1)</f>
        <v>46113</v>
      </c>
      <c r="G3503" s="24" t="str">
        <f aca="false">INDEX(Products!$C$2:$C$49,MATCH(C3503,Products!$A$2:$A$49,0))</f>
        <v>Snacks &amp; Confectionery</v>
      </c>
      <c r="H3503" s="33" t="n">
        <f aca="false">D3503*INDEX(Products!$E$2:$E$49,MATCH(C3503,Products!$A$2:$A$49,0))</f>
        <v>2405</v>
      </c>
      <c r="I3503" s="33" t="n">
        <f aca="false">D3503*INDEX(Products!$D$2:$D$49,MATCH(C3503,Products!$A$2:$A$49,0))*(1+INDEX(Assumptions!$B$16:$B$20,MATCH(B3503,Assumptions!$A$16:$A$20,0)))</f>
        <v>1766.824</v>
      </c>
      <c r="J3503" s="33" t="n">
        <f aca="false">H3503-I3503</f>
        <v>638.176</v>
      </c>
      <c r="K3503" s="33" t="n">
        <f aca="false">IF(OR(E3503=0,E3503&gt;=7),0,D3503/(7-E3503)*E3503*INDEX(Products!$E$2:$E$49,MATCH(C3503,Products!$A$2:$A$49,0)))</f>
        <v>0</v>
      </c>
    </row>
    <row r="3504" customFormat="false" ht="15" hidden="false" customHeight="false" outlineLevel="0" collapsed="false">
      <c r="A3504" s="36" t="n">
        <v>46132</v>
      </c>
      <c r="B3504" s="24" t="s">
        <v>63</v>
      </c>
      <c r="C3504" s="24" t="s">
        <v>203</v>
      </c>
      <c r="D3504" s="33" t="n">
        <v>55</v>
      </c>
      <c r="E3504" s="24" t="n">
        <v>0</v>
      </c>
      <c r="F3504" s="37" t="n">
        <f aca="false">DATE(YEAR(A3504),MONTH(A3504),1)</f>
        <v>46113</v>
      </c>
      <c r="G3504" s="24" t="str">
        <f aca="false">INDEX(Products!$C$2:$C$49,MATCH(C3504,Products!$A$2:$A$49,0))</f>
        <v>Snacks &amp; Confectionery</v>
      </c>
      <c r="H3504" s="33" t="n">
        <f aca="false">D3504*INDEX(Products!$E$2:$E$49,MATCH(C3504,Products!$A$2:$A$49,0))</f>
        <v>3575</v>
      </c>
      <c r="I3504" s="33" t="n">
        <f aca="false">D3504*INDEX(Products!$D$2:$D$49,MATCH(C3504,Products!$A$2:$A$49,0))*(1+INDEX(Assumptions!$B$16:$B$20,MATCH(B3504,Assumptions!$A$16:$A$20,0)))</f>
        <v>2626.36</v>
      </c>
      <c r="J3504" s="33" t="n">
        <f aca="false">H3504-I3504</f>
        <v>948.64</v>
      </c>
      <c r="K3504" s="33" t="n">
        <f aca="false">IF(OR(E3504=0,E3504&gt;=7),0,D3504/(7-E3504)*E3504*INDEX(Products!$E$2:$E$49,MATCH(C3504,Products!$A$2:$A$49,0)))</f>
        <v>0</v>
      </c>
    </row>
    <row r="3505" customFormat="false" ht="15" hidden="false" customHeight="false" outlineLevel="0" collapsed="false">
      <c r="A3505" s="36" t="n">
        <v>46139</v>
      </c>
      <c r="B3505" s="24" t="s">
        <v>63</v>
      </c>
      <c r="C3505" s="24" t="s">
        <v>203</v>
      </c>
      <c r="D3505" s="33" t="n">
        <v>42</v>
      </c>
      <c r="E3505" s="24" t="n">
        <v>0</v>
      </c>
      <c r="F3505" s="37" t="n">
        <f aca="false">DATE(YEAR(A3505),MONTH(A3505),1)</f>
        <v>46113</v>
      </c>
      <c r="G3505" s="24" t="str">
        <f aca="false">INDEX(Products!$C$2:$C$49,MATCH(C3505,Products!$A$2:$A$49,0))</f>
        <v>Snacks &amp; Confectionery</v>
      </c>
      <c r="H3505" s="33" t="n">
        <f aca="false">D3505*INDEX(Products!$E$2:$E$49,MATCH(C3505,Products!$A$2:$A$49,0))</f>
        <v>2730</v>
      </c>
      <c r="I3505" s="33" t="n">
        <f aca="false">D3505*INDEX(Products!$D$2:$D$49,MATCH(C3505,Products!$A$2:$A$49,0))*(1+INDEX(Assumptions!$B$16:$B$20,MATCH(B3505,Assumptions!$A$16:$A$20,0)))</f>
        <v>2005.584</v>
      </c>
      <c r="J3505" s="33" t="n">
        <f aca="false">H3505-I3505</f>
        <v>724.416</v>
      </c>
      <c r="K3505" s="33" t="n">
        <f aca="false">IF(OR(E3505=0,E3505&gt;=7),0,D3505/(7-E3505)*E3505*INDEX(Products!$E$2:$E$49,MATCH(C3505,Products!$A$2:$A$49,0)))</f>
        <v>0</v>
      </c>
    </row>
    <row r="3506" customFormat="false" ht="15" hidden="false" customHeight="false" outlineLevel="0" collapsed="false">
      <c r="A3506" s="36" t="n">
        <v>46146</v>
      </c>
      <c r="B3506" s="24" t="s">
        <v>63</v>
      </c>
      <c r="C3506" s="24" t="s">
        <v>203</v>
      </c>
      <c r="D3506" s="33" t="n">
        <v>49</v>
      </c>
      <c r="E3506" s="24" t="n">
        <v>0</v>
      </c>
      <c r="F3506" s="37" t="n">
        <f aca="false">DATE(YEAR(A3506),MONTH(A3506),1)</f>
        <v>46143</v>
      </c>
      <c r="G3506" s="24" t="str">
        <f aca="false">INDEX(Products!$C$2:$C$49,MATCH(C3506,Products!$A$2:$A$49,0))</f>
        <v>Snacks &amp; Confectionery</v>
      </c>
      <c r="H3506" s="33" t="n">
        <f aca="false">D3506*INDEX(Products!$E$2:$E$49,MATCH(C3506,Products!$A$2:$A$49,0))</f>
        <v>3185</v>
      </c>
      <c r="I3506" s="33" t="n">
        <f aca="false">D3506*INDEX(Products!$D$2:$D$49,MATCH(C3506,Products!$A$2:$A$49,0))*(1+INDEX(Assumptions!$B$16:$B$20,MATCH(B3506,Assumptions!$A$16:$A$20,0)))</f>
        <v>2339.848</v>
      </c>
      <c r="J3506" s="33" t="n">
        <f aca="false">H3506-I3506</f>
        <v>845.152</v>
      </c>
      <c r="K3506" s="33" t="n">
        <f aca="false">IF(OR(E3506=0,E3506&gt;=7),0,D3506/(7-E3506)*E3506*INDEX(Products!$E$2:$E$49,MATCH(C3506,Products!$A$2:$A$49,0)))</f>
        <v>0</v>
      </c>
    </row>
    <row r="3507" customFormat="false" ht="15" hidden="false" customHeight="false" outlineLevel="0" collapsed="false">
      <c r="A3507" s="36" t="n">
        <v>46153</v>
      </c>
      <c r="B3507" s="24" t="s">
        <v>63</v>
      </c>
      <c r="C3507" s="24" t="s">
        <v>203</v>
      </c>
      <c r="D3507" s="33" t="n">
        <v>46</v>
      </c>
      <c r="E3507" s="24" t="n">
        <v>0</v>
      </c>
      <c r="F3507" s="37" t="n">
        <f aca="false">DATE(YEAR(A3507),MONTH(A3507),1)</f>
        <v>46143</v>
      </c>
      <c r="G3507" s="24" t="str">
        <f aca="false">INDEX(Products!$C$2:$C$49,MATCH(C3507,Products!$A$2:$A$49,0))</f>
        <v>Snacks &amp; Confectionery</v>
      </c>
      <c r="H3507" s="33" t="n">
        <f aca="false">D3507*INDEX(Products!$E$2:$E$49,MATCH(C3507,Products!$A$2:$A$49,0))</f>
        <v>2990</v>
      </c>
      <c r="I3507" s="33" t="n">
        <f aca="false">D3507*INDEX(Products!$D$2:$D$49,MATCH(C3507,Products!$A$2:$A$49,0))*(1+INDEX(Assumptions!$B$16:$B$20,MATCH(B3507,Assumptions!$A$16:$A$20,0)))</f>
        <v>2196.592</v>
      </c>
      <c r="J3507" s="33" t="n">
        <f aca="false">H3507-I3507</f>
        <v>793.408</v>
      </c>
      <c r="K3507" s="33" t="n">
        <f aca="false">IF(OR(E3507=0,E3507&gt;=7),0,D3507/(7-E3507)*E3507*INDEX(Products!$E$2:$E$49,MATCH(C3507,Products!$A$2:$A$49,0)))</f>
        <v>0</v>
      </c>
    </row>
    <row r="3508" customFormat="false" ht="15" hidden="false" customHeight="false" outlineLevel="0" collapsed="false">
      <c r="A3508" s="36" t="n">
        <v>46160</v>
      </c>
      <c r="B3508" s="24" t="s">
        <v>63</v>
      </c>
      <c r="C3508" s="24" t="s">
        <v>203</v>
      </c>
      <c r="D3508" s="33" t="n">
        <v>44</v>
      </c>
      <c r="E3508" s="24" t="n">
        <v>0</v>
      </c>
      <c r="F3508" s="37" t="n">
        <f aca="false">DATE(YEAR(A3508),MONTH(A3508),1)</f>
        <v>46143</v>
      </c>
      <c r="G3508" s="24" t="str">
        <f aca="false">INDEX(Products!$C$2:$C$49,MATCH(C3508,Products!$A$2:$A$49,0))</f>
        <v>Snacks &amp; Confectionery</v>
      </c>
      <c r="H3508" s="33" t="n">
        <f aca="false">D3508*INDEX(Products!$E$2:$E$49,MATCH(C3508,Products!$A$2:$A$49,0))</f>
        <v>2860</v>
      </c>
      <c r="I3508" s="33" t="n">
        <f aca="false">D3508*INDEX(Products!$D$2:$D$49,MATCH(C3508,Products!$A$2:$A$49,0))*(1+INDEX(Assumptions!$B$16:$B$20,MATCH(B3508,Assumptions!$A$16:$A$20,0)))</f>
        <v>2101.088</v>
      </c>
      <c r="J3508" s="33" t="n">
        <f aca="false">H3508-I3508</f>
        <v>758.912</v>
      </c>
      <c r="K3508" s="33" t="n">
        <f aca="false">IF(OR(E3508=0,E3508&gt;=7),0,D3508/(7-E3508)*E3508*INDEX(Products!$E$2:$E$49,MATCH(C3508,Products!$A$2:$A$49,0)))</f>
        <v>0</v>
      </c>
    </row>
    <row r="3509" customFormat="false" ht="15" hidden="false" customHeight="false" outlineLevel="0" collapsed="false">
      <c r="A3509" s="36" t="n">
        <v>46167</v>
      </c>
      <c r="B3509" s="24" t="s">
        <v>63</v>
      </c>
      <c r="C3509" s="24" t="s">
        <v>203</v>
      </c>
      <c r="D3509" s="33" t="n">
        <v>61</v>
      </c>
      <c r="E3509" s="24" t="n">
        <v>0</v>
      </c>
      <c r="F3509" s="37" t="n">
        <f aca="false">DATE(YEAR(A3509),MONTH(A3509),1)</f>
        <v>46143</v>
      </c>
      <c r="G3509" s="24" t="str">
        <f aca="false">INDEX(Products!$C$2:$C$49,MATCH(C3509,Products!$A$2:$A$49,0))</f>
        <v>Snacks &amp; Confectionery</v>
      </c>
      <c r="H3509" s="33" t="n">
        <f aca="false">D3509*INDEX(Products!$E$2:$E$49,MATCH(C3509,Products!$A$2:$A$49,0))</f>
        <v>3965</v>
      </c>
      <c r="I3509" s="33" t="n">
        <f aca="false">D3509*INDEX(Products!$D$2:$D$49,MATCH(C3509,Products!$A$2:$A$49,0))*(1+INDEX(Assumptions!$B$16:$B$20,MATCH(B3509,Assumptions!$A$16:$A$20,0)))</f>
        <v>2912.872</v>
      </c>
      <c r="J3509" s="33" t="n">
        <f aca="false">H3509-I3509</f>
        <v>1052.128</v>
      </c>
      <c r="K3509" s="33" t="n">
        <f aca="false">IF(OR(E3509=0,E3509&gt;=7),0,D3509/(7-E3509)*E3509*INDEX(Products!$E$2:$E$49,MATCH(C3509,Products!$A$2:$A$49,0)))</f>
        <v>0</v>
      </c>
    </row>
    <row r="3510" customFormat="false" ht="15" hidden="false" customHeight="false" outlineLevel="0" collapsed="false">
      <c r="A3510" s="36" t="n">
        <v>46174</v>
      </c>
      <c r="B3510" s="24" t="s">
        <v>63</v>
      </c>
      <c r="C3510" s="24" t="s">
        <v>203</v>
      </c>
      <c r="D3510" s="33" t="n">
        <v>50</v>
      </c>
      <c r="E3510" s="24" t="n">
        <v>0</v>
      </c>
      <c r="F3510" s="37" t="n">
        <f aca="false">DATE(YEAR(A3510),MONTH(A3510),1)</f>
        <v>46174</v>
      </c>
      <c r="G3510" s="24" t="str">
        <f aca="false">INDEX(Products!$C$2:$C$49,MATCH(C3510,Products!$A$2:$A$49,0))</f>
        <v>Snacks &amp; Confectionery</v>
      </c>
      <c r="H3510" s="33" t="n">
        <f aca="false">D3510*INDEX(Products!$E$2:$E$49,MATCH(C3510,Products!$A$2:$A$49,0))</f>
        <v>3250</v>
      </c>
      <c r="I3510" s="33" t="n">
        <f aca="false">D3510*INDEX(Products!$D$2:$D$49,MATCH(C3510,Products!$A$2:$A$49,0))*(1+INDEX(Assumptions!$B$16:$B$20,MATCH(B3510,Assumptions!$A$16:$A$20,0)))</f>
        <v>2387.6</v>
      </c>
      <c r="J3510" s="33" t="n">
        <f aca="false">H3510-I3510</f>
        <v>862.4</v>
      </c>
      <c r="K3510" s="33" t="n">
        <f aca="false">IF(OR(E3510=0,E3510&gt;=7),0,D3510/(7-E3510)*E3510*INDEX(Products!$E$2:$E$49,MATCH(C3510,Products!$A$2:$A$49,0)))</f>
        <v>0</v>
      </c>
    </row>
    <row r="3511" customFormat="false" ht="15" hidden="false" customHeight="false" outlineLevel="0" collapsed="false">
      <c r="A3511" s="36" t="n">
        <v>46181</v>
      </c>
      <c r="B3511" s="24" t="s">
        <v>63</v>
      </c>
      <c r="C3511" s="24" t="s">
        <v>203</v>
      </c>
      <c r="D3511" s="33" t="n">
        <v>59</v>
      </c>
      <c r="E3511" s="24" t="n">
        <v>0</v>
      </c>
      <c r="F3511" s="37" t="n">
        <f aca="false">DATE(YEAR(A3511),MONTH(A3511),1)</f>
        <v>46174</v>
      </c>
      <c r="G3511" s="24" t="str">
        <f aca="false">INDEX(Products!$C$2:$C$49,MATCH(C3511,Products!$A$2:$A$49,0))</f>
        <v>Snacks &amp; Confectionery</v>
      </c>
      <c r="H3511" s="33" t="n">
        <f aca="false">D3511*INDEX(Products!$E$2:$E$49,MATCH(C3511,Products!$A$2:$A$49,0))</f>
        <v>3835</v>
      </c>
      <c r="I3511" s="33" t="n">
        <f aca="false">D3511*INDEX(Products!$D$2:$D$49,MATCH(C3511,Products!$A$2:$A$49,0))*(1+INDEX(Assumptions!$B$16:$B$20,MATCH(B3511,Assumptions!$A$16:$A$20,0)))</f>
        <v>2817.368</v>
      </c>
      <c r="J3511" s="33" t="n">
        <f aca="false">H3511-I3511</f>
        <v>1017.632</v>
      </c>
      <c r="K3511" s="33" t="n">
        <f aca="false">IF(OR(E3511=0,E3511&gt;=7),0,D3511/(7-E3511)*E3511*INDEX(Products!$E$2:$E$49,MATCH(C3511,Products!$A$2:$A$49,0)))</f>
        <v>0</v>
      </c>
    </row>
    <row r="3512" customFormat="false" ht="15" hidden="false" customHeight="false" outlineLevel="0" collapsed="false">
      <c r="A3512" s="36" t="n">
        <v>46188</v>
      </c>
      <c r="B3512" s="24" t="s">
        <v>63</v>
      </c>
      <c r="C3512" s="24" t="s">
        <v>203</v>
      </c>
      <c r="D3512" s="33" t="n">
        <v>44</v>
      </c>
      <c r="E3512" s="24" t="n">
        <v>0</v>
      </c>
      <c r="F3512" s="37" t="n">
        <f aca="false">DATE(YEAR(A3512),MONTH(A3512),1)</f>
        <v>46174</v>
      </c>
      <c r="G3512" s="24" t="str">
        <f aca="false">INDEX(Products!$C$2:$C$49,MATCH(C3512,Products!$A$2:$A$49,0))</f>
        <v>Snacks &amp; Confectionery</v>
      </c>
      <c r="H3512" s="33" t="n">
        <f aca="false">D3512*INDEX(Products!$E$2:$E$49,MATCH(C3512,Products!$A$2:$A$49,0))</f>
        <v>2860</v>
      </c>
      <c r="I3512" s="33" t="n">
        <f aca="false">D3512*INDEX(Products!$D$2:$D$49,MATCH(C3512,Products!$A$2:$A$49,0))*(1+INDEX(Assumptions!$B$16:$B$20,MATCH(B3512,Assumptions!$A$16:$A$20,0)))</f>
        <v>2101.088</v>
      </c>
      <c r="J3512" s="33" t="n">
        <f aca="false">H3512-I3512</f>
        <v>758.912</v>
      </c>
      <c r="K3512" s="33" t="n">
        <f aca="false">IF(OR(E3512=0,E3512&gt;=7),0,D3512/(7-E3512)*E3512*INDEX(Products!$E$2:$E$49,MATCH(C3512,Products!$A$2:$A$49,0)))</f>
        <v>0</v>
      </c>
    </row>
    <row r="3513" customFormat="false" ht="15" hidden="false" customHeight="false" outlineLevel="0" collapsed="false">
      <c r="A3513" s="36" t="n">
        <v>46195</v>
      </c>
      <c r="B3513" s="24" t="s">
        <v>63</v>
      </c>
      <c r="C3513" s="24" t="s">
        <v>203</v>
      </c>
      <c r="D3513" s="33" t="n">
        <v>47</v>
      </c>
      <c r="E3513" s="24" t="n">
        <v>0</v>
      </c>
      <c r="F3513" s="37" t="n">
        <f aca="false">DATE(YEAR(A3513),MONTH(A3513),1)</f>
        <v>46174</v>
      </c>
      <c r="G3513" s="24" t="str">
        <f aca="false">INDEX(Products!$C$2:$C$49,MATCH(C3513,Products!$A$2:$A$49,0))</f>
        <v>Snacks &amp; Confectionery</v>
      </c>
      <c r="H3513" s="33" t="n">
        <f aca="false">D3513*INDEX(Products!$E$2:$E$49,MATCH(C3513,Products!$A$2:$A$49,0))</f>
        <v>3055</v>
      </c>
      <c r="I3513" s="33" t="n">
        <f aca="false">D3513*INDEX(Products!$D$2:$D$49,MATCH(C3513,Products!$A$2:$A$49,0))*(1+INDEX(Assumptions!$B$16:$B$20,MATCH(B3513,Assumptions!$A$16:$A$20,0)))</f>
        <v>2244.344</v>
      </c>
      <c r="J3513" s="33" t="n">
        <f aca="false">H3513-I3513</f>
        <v>810.656</v>
      </c>
      <c r="K3513" s="33" t="n">
        <f aca="false">IF(OR(E3513=0,E3513&gt;=7),0,D3513/(7-E3513)*E3513*INDEX(Products!$E$2:$E$49,MATCH(C3513,Products!$A$2:$A$49,0)))</f>
        <v>0</v>
      </c>
    </row>
    <row r="3514" customFormat="false" ht="15" hidden="false" customHeight="false" outlineLevel="0" collapsed="false">
      <c r="A3514" s="36" t="n">
        <v>46202</v>
      </c>
      <c r="B3514" s="24" t="s">
        <v>63</v>
      </c>
      <c r="C3514" s="24" t="s">
        <v>203</v>
      </c>
      <c r="D3514" s="33" t="n">
        <v>43</v>
      </c>
      <c r="E3514" s="24" t="n">
        <v>0</v>
      </c>
      <c r="F3514" s="37" t="n">
        <f aca="false">DATE(YEAR(A3514),MONTH(A3514),1)</f>
        <v>46174</v>
      </c>
      <c r="G3514" s="24" t="str">
        <f aca="false">INDEX(Products!$C$2:$C$49,MATCH(C3514,Products!$A$2:$A$49,0))</f>
        <v>Snacks &amp; Confectionery</v>
      </c>
      <c r="H3514" s="33" t="n">
        <f aca="false">D3514*INDEX(Products!$E$2:$E$49,MATCH(C3514,Products!$A$2:$A$49,0))</f>
        <v>2795</v>
      </c>
      <c r="I3514" s="33" t="n">
        <f aca="false">D3514*INDEX(Products!$D$2:$D$49,MATCH(C3514,Products!$A$2:$A$49,0))*(1+INDEX(Assumptions!$B$16:$B$20,MATCH(B3514,Assumptions!$A$16:$A$20,0)))</f>
        <v>2053.336</v>
      </c>
      <c r="J3514" s="33" t="n">
        <f aca="false">H3514-I3514</f>
        <v>741.664</v>
      </c>
      <c r="K3514" s="33" t="n">
        <f aca="false">IF(OR(E3514=0,E3514&gt;=7),0,D3514/(7-E3514)*E3514*INDEX(Products!$E$2:$E$49,MATCH(C3514,Products!$A$2:$A$49,0)))</f>
        <v>0</v>
      </c>
    </row>
    <row r="3515" customFormat="false" ht="15" hidden="false" customHeight="false" outlineLevel="0" collapsed="false">
      <c r="A3515" s="36" t="n">
        <v>46209</v>
      </c>
      <c r="B3515" s="24" t="s">
        <v>63</v>
      </c>
      <c r="C3515" s="24" t="s">
        <v>203</v>
      </c>
      <c r="D3515" s="33" t="n">
        <v>42</v>
      </c>
      <c r="E3515" s="24" t="n">
        <v>0</v>
      </c>
      <c r="F3515" s="37" t="n">
        <f aca="false">DATE(YEAR(A3515),MONTH(A3515),1)</f>
        <v>46204</v>
      </c>
      <c r="G3515" s="24" t="str">
        <f aca="false">INDEX(Products!$C$2:$C$49,MATCH(C3515,Products!$A$2:$A$49,0))</f>
        <v>Snacks &amp; Confectionery</v>
      </c>
      <c r="H3515" s="33" t="n">
        <f aca="false">D3515*INDEX(Products!$E$2:$E$49,MATCH(C3515,Products!$A$2:$A$49,0))</f>
        <v>2730</v>
      </c>
      <c r="I3515" s="33" t="n">
        <f aca="false">D3515*INDEX(Products!$D$2:$D$49,MATCH(C3515,Products!$A$2:$A$49,0))*(1+INDEX(Assumptions!$B$16:$B$20,MATCH(B3515,Assumptions!$A$16:$A$20,0)))</f>
        <v>2005.584</v>
      </c>
      <c r="J3515" s="33" t="n">
        <f aca="false">H3515-I3515</f>
        <v>724.416</v>
      </c>
      <c r="K3515" s="33" t="n">
        <f aca="false">IF(OR(E3515=0,E3515&gt;=7),0,D3515/(7-E3515)*E3515*INDEX(Products!$E$2:$E$49,MATCH(C3515,Products!$A$2:$A$49,0)))</f>
        <v>0</v>
      </c>
    </row>
    <row r="3516" customFormat="false" ht="15" hidden="false" customHeight="false" outlineLevel="0" collapsed="false">
      <c r="A3516" s="36" t="n">
        <v>46216</v>
      </c>
      <c r="B3516" s="24" t="s">
        <v>63</v>
      </c>
      <c r="C3516" s="24" t="s">
        <v>203</v>
      </c>
      <c r="D3516" s="33" t="n">
        <v>32</v>
      </c>
      <c r="E3516" s="24" t="n">
        <v>0</v>
      </c>
      <c r="F3516" s="37" t="n">
        <f aca="false">DATE(YEAR(A3516),MONTH(A3516),1)</f>
        <v>46204</v>
      </c>
      <c r="G3516" s="24" t="str">
        <f aca="false">INDEX(Products!$C$2:$C$49,MATCH(C3516,Products!$A$2:$A$49,0))</f>
        <v>Snacks &amp; Confectionery</v>
      </c>
      <c r="H3516" s="33" t="n">
        <f aca="false">D3516*INDEX(Products!$E$2:$E$49,MATCH(C3516,Products!$A$2:$A$49,0))</f>
        <v>2080</v>
      </c>
      <c r="I3516" s="33" t="n">
        <f aca="false">D3516*INDEX(Products!$D$2:$D$49,MATCH(C3516,Products!$A$2:$A$49,0))*(1+INDEX(Assumptions!$B$16:$B$20,MATCH(B3516,Assumptions!$A$16:$A$20,0)))</f>
        <v>1528.064</v>
      </c>
      <c r="J3516" s="33" t="n">
        <f aca="false">H3516-I3516</f>
        <v>551.936</v>
      </c>
      <c r="K3516" s="33" t="n">
        <f aca="false">IF(OR(E3516=0,E3516&gt;=7),0,D3516/(7-E3516)*E3516*INDEX(Products!$E$2:$E$49,MATCH(C3516,Products!$A$2:$A$49,0)))</f>
        <v>0</v>
      </c>
    </row>
    <row r="3517" customFormat="false" ht="15" hidden="false" customHeight="false" outlineLevel="0" collapsed="false">
      <c r="A3517" s="36" t="n">
        <v>46223</v>
      </c>
      <c r="B3517" s="24" t="s">
        <v>63</v>
      </c>
      <c r="C3517" s="24" t="s">
        <v>203</v>
      </c>
      <c r="D3517" s="33" t="n">
        <v>43</v>
      </c>
      <c r="E3517" s="24" t="n">
        <v>0</v>
      </c>
      <c r="F3517" s="37" t="n">
        <f aca="false">DATE(YEAR(A3517),MONTH(A3517),1)</f>
        <v>46204</v>
      </c>
      <c r="G3517" s="24" t="str">
        <f aca="false">INDEX(Products!$C$2:$C$49,MATCH(C3517,Products!$A$2:$A$49,0))</f>
        <v>Snacks &amp; Confectionery</v>
      </c>
      <c r="H3517" s="33" t="n">
        <f aca="false">D3517*INDEX(Products!$E$2:$E$49,MATCH(C3517,Products!$A$2:$A$49,0))</f>
        <v>2795</v>
      </c>
      <c r="I3517" s="33" t="n">
        <f aca="false">D3517*INDEX(Products!$D$2:$D$49,MATCH(C3517,Products!$A$2:$A$49,0))*(1+INDEX(Assumptions!$B$16:$B$20,MATCH(B3517,Assumptions!$A$16:$A$20,0)))</f>
        <v>2053.336</v>
      </c>
      <c r="J3517" s="33" t="n">
        <f aca="false">H3517-I3517</f>
        <v>741.664</v>
      </c>
      <c r="K3517" s="33" t="n">
        <f aca="false">IF(OR(E3517=0,E3517&gt;=7),0,D3517/(7-E3517)*E3517*INDEX(Products!$E$2:$E$49,MATCH(C3517,Products!$A$2:$A$49,0)))</f>
        <v>0</v>
      </c>
    </row>
    <row r="3518" customFormat="false" ht="15" hidden="false" customHeight="false" outlineLevel="0" collapsed="false">
      <c r="A3518" s="36" t="n">
        <v>46230</v>
      </c>
      <c r="B3518" s="24" t="s">
        <v>63</v>
      </c>
      <c r="C3518" s="24" t="s">
        <v>203</v>
      </c>
      <c r="D3518" s="33" t="n">
        <v>43</v>
      </c>
      <c r="E3518" s="24" t="n">
        <v>0</v>
      </c>
      <c r="F3518" s="37" t="n">
        <f aca="false">DATE(YEAR(A3518),MONTH(A3518),1)</f>
        <v>46204</v>
      </c>
      <c r="G3518" s="24" t="str">
        <f aca="false">INDEX(Products!$C$2:$C$49,MATCH(C3518,Products!$A$2:$A$49,0))</f>
        <v>Snacks &amp; Confectionery</v>
      </c>
      <c r="H3518" s="33" t="n">
        <f aca="false">D3518*INDEX(Products!$E$2:$E$49,MATCH(C3518,Products!$A$2:$A$49,0))</f>
        <v>2795</v>
      </c>
      <c r="I3518" s="33" t="n">
        <f aca="false">D3518*INDEX(Products!$D$2:$D$49,MATCH(C3518,Products!$A$2:$A$49,0))*(1+INDEX(Assumptions!$B$16:$B$20,MATCH(B3518,Assumptions!$A$16:$A$20,0)))</f>
        <v>2053.336</v>
      </c>
      <c r="J3518" s="33" t="n">
        <f aca="false">H3518-I3518</f>
        <v>741.664</v>
      </c>
      <c r="K3518" s="33" t="n">
        <f aca="false">IF(OR(E3518=0,E3518&gt;=7),0,D3518/(7-E3518)*E3518*INDEX(Products!$E$2:$E$49,MATCH(C3518,Products!$A$2:$A$49,0)))</f>
        <v>0</v>
      </c>
    </row>
    <row r="3519" customFormat="false" ht="15" hidden="false" customHeight="false" outlineLevel="0" collapsed="false">
      <c r="A3519" s="36" t="n">
        <v>46237</v>
      </c>
      <c r="B3519" s="24" t="s">
        <v>63</v>
      </c>
      <c r="C3519" s="24" t="s">
        <v>203</v>
      </c>
      <c r="D3519" s="33" t="n">
        <v>69</v>
      </c>
      <c r="E3519" s="24" t="n">
        <v>0</v>
      </c>
      <c r="F3519" s="37" t="n">
        <f aca="false">DATE(YEAR(A3519),MONTH(A3519),1)</f>
        <v>46235</v>
      </c>
      <c r="G3519" s="24" t="str">
        <f aca="false">INDEX(Products!$C$2:$C$49,MATCH(C3519,Products!$A$2:$A$49,0))</f>
        <v>Snacks &amp; Confectionery</v>
      </c>
      <c r="H3519" s="33" t="n">
        <f aca="false">D3519*INDEX(Products!$E$2:$E$49,MATCH(C3519,Products!$A$2:$A$49,0))</f>
        <v>4485</v>
      </c>
      <c r="I3519" s="33" t="n">
        <f aca="false">D3519*INDEX(Products!$D$2:$D$49,MATCH(C3519,Products!$A$2:$A$49,0))*(1+INDEX(Assumptions!$B$16:$B$20,MATCH(B3519,Assumptions!$A$16:$A$20,0)))</f>
        <v>3294.888</v>
      </c>
      <c r="J3519" s="33" t="n">
        <f aca="false">H3519-I3519</f>
        <v>1190.112</v>
      </c>
      <c r="K3519" s="33" t="n">
        <f aca="false">IF(OR(E3519=0,E3519&gt;=7),0,D3519/(7-E3519)*E3519*INDEX(Products!$E$2:$E$49,MATCH(C3519,Products!$A$2:$A$49,0)))</f>
        <v>0</v>
      </c>
    </row>
    <row r="3520" customFormat="false" ht="15" hidden="false" customHeight="false" outlineLevel="0" collapsed="false">
      <c r="A3520" s="36" t="n">
        <v>46244</v>
      </c>
      <c r="B3520" s="24" t="s">
        <v>63</v>
      </c>
      <c r="C3520" s="24" t="s">
        <v>203</v>
      </c>
      <c r="D3520" s="33" t="n">
        <v>44</v>
      </c>
      <c r="E3520" s="24" t="n">
        <v>0</v>
      </c>
      <c r="F3520" s="37" t="n">
        <f aca="false">DATE(YEAR(A3520),MONTH(A3520),1)</f>
        <v>46235</v>
      </c>
      <c r="G3520" s="24" t="str">
        <f aca="false">INDEX(Products!$C$2:$C$49,MATCH(C3520,Products!$A$2:$A$49,0))</f>
        <v>Snacks &amp; Confectionery</v>
      </c>
      <c r="H3520" s="33" t="n">
        <f aca="false">D3520*INDEX(Products!$E$2:$E$49,MATCH(C3520,Products!$A$2:$A$49,0))</f>
        <v>2860</v>
      </c>
      <c r="I3520" s="33" t="n">
        <f aca="false">D3520*INDEX(Products!$D$2:$D$49,MATCH(C3520,Products!$A$2:$A$49,0))*(1+INDEX(Assumptions!$B$16:$B$20,MATCH(B3520,Assumptions!$A$16:$A$20,0)))</f>
        <v>2101.088</v>
      </c>
      <c r="J3520" s="33" t="n">
        <f aca="false">H3520-I3520</f>
        <v>758.912</v>
      </c>
      <c r="K3520" s="33" t="n">
        <f aca="false">IF(OR(E3520=0,E3520&gt;=7),0,D3520/(7-E3520)*E3520*INDEX(Products!$E$2:$E$49,MATCH(C3520,Products!$A$2:$A$49,0)))</f>
        <v>0</v>
      </c>
    </row>
    <row r="3521" customFormat="false" ht="15" hidden="false" customHeight="false" outlineLevel="0" collapsed="false">
      <c r="A3521" s="36" t="n">
        <v>46251</v>
      </c>
      <c r="B3521" s="24" t="s">
        <v>63</v>
      </c>
      <c r="C3521" s="24" t="s">
        <v>203</v>
      </c>
      <c r="D3521" s="33" t="n">
        <v>35</v>
      </c>
      <c r="E3521" s="24" t="n">
        <v>0</v>
      </c>
      <c r="F3521" s="37" t="n">
        <f aca="false">DATE(YEAR(A3521),MONTH(A3521),1)</f>
        <v>46235</v>
      </c>
      <c r="G3521" s="24" t="str">
        <f aca="false">INDEX(Products!$C$2:$C$49,MATCH(C3521,Products!$A$2:$A$49,0))</f>
        <v>Snacks &amp; Confectionery</v>
      </c>
      <c r="H3521" s="33" t="n">
        <f aca="false">D3521*INDEX(Products!$E$2:$E$49,MATCH(C3521,Products!$A$2:$A$49,0))</f>
        <v>2275</v>
      </c>
      <c r="I3521" s="33" t="n">
        <f aca="false">D3521*INDEX(Products!$D$2:$D$49,MATCH(C3521,Products!$A$2:$A$49,0))*(1+INDEX(Assumptions!$B$16:$B$20,MATCH(B3521,Assumptions!$A$16:$A$20,0)))</f>
        <v>1671.32</v>
      </c>
      <c r="J3521" s="33" t="n">
        <f aca="false">H3521-I3521</f>
        <v>603.68</v>
      </c>
      <c r="K3521" s="33" t="n">
        <f aca="false">IF(OR(E3521=0,E3521&gt;=7),0,D3521/(7-E3521)*E3521*INDEX(Products!$E$2:$E$49,MATCH(C3521,Products!$A$2:$A$49,0)))</f>
        <v>0</v>
      </c>
    </row>
    <row r="3522" customFormat="false" ht="15" hidden="false" customHeight="false" outlineLevel="0" collapsed="false">
      <c r="A3522" s="36" t="n">
        <v>46258</v>
      </c>
      <c r="B3522" s="24" t="s">
        <v>63</v>
      </c>
      <c r="C3522" s="24" t="s">
        <v>203</v>
      </c>
      <c r="D3522" s="33" t="n">
        <v>49</v>
      </c>
      <c r="E3522" s="24" t="n">
        <v>0</v>
      </c>
      <c r="F3522" s="37" t="n">
        <f aca="false">DATE(YEAR(A3522),MONTH(A3522),1)</f>
        <v>46235</v>
      </c>
      <c r="G3522" s="24" t="str">
        <f aca="false">INDEX(Products!$C$2:$C$49,MATCH(C3522,Products!$A$2:$A$49,0))</f>
        <v>Snacks &amp; Confectionery</v>
      </c>
      <c r="H3522" s="33" t="n">
        <f aca="false">D3522*INDEX(Products!$E$2:$E$49,MATCH(C3522,Products!$A$2:$A$49,0))</f>
        <v>3185</v>
      </c>
      <c r="I3522" s="33" t="n">
        <f aca="false">D3522*INDEX(Products!$D$2:$D$49,MATCH(C3522,Products!$A$2:$A$49,0))*(1+INDEX(Assumptions!$B$16:$B$20,MATCH(B3522,Assumptions!$A$16:$A$20,0)))</f>
        <v>2339.848</v>
      </c>
      <c r="J3522" s="33" t="n">
        <f aca="false">H3522-I3522</f>
        <v>845.152</v>
      </c>
      <c r="K3522" s="33" t="n">
        <f aca="false">IF(OR(E3522=0,E3522&gt;=7),0,D3522/(7-E3522)*E3522*INDEX(Products!$E$2:$E$49,MATCH(C3522,Products!$A$2:$A$49,0)))</f>
        <v>0</v>
      </c>
    </row>
    <row r="3523" customFormat="false" ht="15" hidden="false" customHeight="false" outlineLevel="0" collapsed="false">
      <c r="A3523" s="36" t="n">
        <v>46265</v>
      </c>
      <c r="B3523" s="24" t="s">
        <v>63</v>
      </c>
      <c r="C3523" s="24" t="s">
        <v>203</v>
      </c>
      <c r="D3523" s="33" t="n">
        <v>57</v>
      </c>
      <c r="E3523" s="24" t="n">
        <v>0</v>
      </c>
      <c r="F3523" s="37" t="n">
        <f aca="false">DATE(YEAR(A3523),MONTH(A3523),1)</f>
        <v>46235</v>
      </c>
      <c r="G3523" s="24" t="str">
        <f aca="false">INDEX(Products!$C$2:$C$49,MATCH(C3523,Products!$A$2:$A$49,0))</f>
        <v>Snacks &amp; Confectionery</v>
      </c>
      <c r="H3523" s="33" t="n">
        <f aca="false">D3523*INDEX(Products!$E$2:$E$49,MATCH(C3523,Products!$A$2:$A$49,0))</f>
        <v>3705</v>
      </c>
      <c r="I3523" s="33" t="n">
        <f aca="false">D3523*INDEX(Products!$D$2:$D$49,MATCH(C3523,Products!$A$2:$A$49,0))*(1+INDEX(Assumptions!$B$16:$B$20,MATCH(B3523,Assumptions!$A$16:$A$20,0)))</f>
        <v>2721.864</v>
      </c>
      <c r="J3523" s="33" t="n">
        <f aca="false">H3523-I3523</f>
        <v>983.136</v>
      </c>
      <c r="K3523" s="33" t="n">
        <f aca="false">IF(OR(E3523=0,E3523&gt;=7),0,D3523/(7-E3523)*E3523*INDEX(Products!$E$2:$E$49,MATCH(C3523,Products!$A$2:$A$49,0)))</f>
        <v>0</v>
      </c>
    </row>
    <row r="3524" customFormat="false" ht="15" hidden="false" customHeight="false" outlineLevel="0" collapsed="false">
      <c r="A3524" s="36" t="n">
        <v>46272</v>
      </c>
      <c r="B3524" s="24" t="s">
        <v>63</v>
      </c>
      <c r="C3524" s="24" t="s">
        <v>203</v>
      </c>
      <c r="D3524" s="33" t="n">
        <v>38</v>
      </c>
      <c r="E3524" s="24" t="n">
        <v>0</v>
      </c>
      <c r="F3524" s="37" t="n">
        <f aca="false">DATE(YEAR(A3524),MONTH(A3524),1)</f>
        <v>46266</v>
      </c>
      <c r="G3524" s="24" t="str">
        <f aca="false">INDEX(Products!$C$2:$C$49,MATCH(C3524,Products!$A$2:$A$49,0))</f>
        <v>Snacks &amp; Confectionery</v>
      </c>
      <c r="H3524" s="33" t="n">
        <f aca="false">D3524*INDEX(Products!$E$2:$E$49,MATCH(C3524,Products!$A$2:$A$49,0))</f>
        <v>2470</v>
      </c>
      <c r="I3524" s="33" t="n">
        <f aca="false">D3524*INDEX(Products!$D$2:$D$49,MATCH(C3524,Products!$A$2:$A$49,0))*(1+INDEX(Assumptions!$B$16:$B$20,MATCH(B3524,Assumptions!$A$16:$A$20,0)))</f>
        <v>1814.576</v>
      </c>
      <c r="J3524" s="33" t="n">
        <f aca="false">H3524-I3524</f>
        <v>655.424</v>
      </c>
      <c r="K3524" s="33" t="n">
        <f aca="false">IF(OR(E3524=0,E3524&gt;=7),0,D3524/(7-E3524)*E3524*INDEX(Products!$E$2:$E$49,MATCH(C3524,Products!$A$2:$A$49,0)))</f>
        <v>0</v>
      </c>
    </row>
    <row r="3525" customFormat="false" ht="15" hidden="false" customHeight="false" outlineLevel="0" collapsed="false">
      <c r="A3525" s="36" t="n">
        <v>46279</v>
      </c>
      <c r="B3525" s="24" t="s">
        <v>63</v>
      </c>
      <c r="C3525" s="24" t="s">
        <v>203</v>
      </c>
      <c r="D3525" s="33" t="n">
        <v>47</v>
      </c>
      <c r="E3525" s="24" t="n">
        <v>0</v>
      </c>
      <c r="F3525" s="37" t="n">
        <f aca="false">DATE(YEAR(A3525),MONTH(A3525),1)</f>
        <v>46266</v>
      </c>
      <c r="G3525" s="24" t="str">
        <f aca="false">INDEX(Products!$C$2:$C$49,MATCH(C3525,Products!$A$2:$A$49,0))</f>
        <v>Snacks &amp; Confectionery</v>
      </c>
      <c r="H3525" s="33" t="n">
        <f aca="false">D3525*INDEX(Products!$E$2:$E$49,MATCH(C3525,Products!$A$2:$A$49,0))</f>
        <v>3055</v>
      </c>
      <c r="I3525" s="33" t="n">
        <f aca="false">D3525*INDEX(Products!$D$2:$D$49,MATCH(C3525,Products!$A$2:$A$49,0))*(1+INDEX(Assumptions!$B$16:$B$20,MATCH(B3525,Assumptions!$A$16:$A$20,0)))</f>
        <v>2244.344</v>
      </c>
      <c r="J3525" s="33" t="n">
        <f aca="false">H3525-I3525</f>
        <v>810.656</v>
      </c>
      <c r="K3525" s="33" t="n">
        <f aca="false">IF(OR(E3525=0,E3525&gt;=7),0,D3525/(7-E3525)*E3525*INDEX(Products!$E$2:$E$49,MATCH(C3525,Products!$A$2:$A$49,0)))</f>
        <v>0</v>
      </c>
    </row>
    <row r="3526" customFormat="false" ht="15" hidden="false" customHeight="false" outlineLevel="0" collapsed="false">
      <c r="A3526" s="36" t="n">
        <v>46286</v>
      </c>
      <c r="B3526" s="24" t="s">
        <v>63</v>
      </c>
      <c r="C3526" s="24" t="s">
        <v>203</v>
      </c>
      <c r="D3526" s="33" t="n">
        <v>45</v>
      </c>
      <c r="E3526" s="24" t="n">
        <v>0</v>
      </c>
      <c r="F3526" s="37" t="n">
        <f aca="false">DATE(YEAR(A3526),MONTH(A3526),1)</f>
        <v>46266</v>
      </c>
      <c r="G3526" s="24" t="str">
        <f aca="false">INDEX(Products!$C$2:$C$49,MATCH(C3526,Products!$A$2:$A$49,0))</f>
        <v>Snacks &amp; Confectionery</v>
      </c>
      <c r="H3526" s="33" t="n">
        <f aca="false">D3526*INDEX(Products!$E$2:$E$49,MATCH(C3526,Products!$A$2:$A$49,0))</f>
        <v>2925</v>
      </c>
      <c r="I3526" s="33" t="n">
        <f aca="false">D3526*INDEX(Products!$D$2:$D$49,MATCH(C3526,Products!$A$2:$A$49,0))*(1+INDEX(Assumptions!$B$16:$B$20,MATCH(B3526,Assumptions!$A$16:$A$20,0)))</f>
        <v>2148.84</v>
      </c>
      <c r="J3526" s="33" t="n">
        <f aca="false">H3526-I3526</f>
        <v>776.16</v>
      </c>
      <c r="K3526" s="33" t="n">
        <f aca="false">IF(OR(E3526=0,E3526&gt;=7),0,D3526/(7-E3526)*E3526*INDEX(Products!$E$2:$E$49,MATCH(C3526,Products!$A$2:$A$49,0)))</f>
        <v>0</v>
      </c>
    </row>
    <row r="3527" customFormat="false" ht="15" hidden="false" customHeight="false" outlineLevel="0" collapsed="false">
      <c r="A3527" s="36" t="n">
        <v>46118</v>
      </c>
      <c r="B3527" s="24" t="s">
        <v>63</v>
      </c>
      <c r="C3527" s="24" t="s">
        <v>205</v>
      </c>
      <c r="D3527" s="33" t="n">
        <v>58</v>
      </c>
      <c r="E3527" s="24" t="n">
        <v>0</v>
      </c>
      <c r="F3527" s="37" t="n">
        <f aca="false">DATE(YEAR(A3527),MONTH(A3527),1)</f>
        <v>46113</v>
      </c>
      <c r="G3527" s="24" t="str">
        <f aca="false">INDEX(Products!$C$2:$C$49,MATCH(C3527,Products!$A$2:$A$49,0))</f>
        <v>Snacks &amp; Confectionery</v>
      </c>
      <c r="H3527" s="33" t="n">
        <f aca="false">D3527*INDEX(Products!$E$2:$E$49,MATCH(C3527,Products!$A$2:$A$49,0))</f>
        <v>6960</v>
      </c>
      <c r="I3527" s="33" t="n">
        <f aca="false">D3527*INDEX(Products!$D$2:$D$49,MATCH(C3527,Products!$A$2:$A$49,0))*(1+INDEX(Assumptions!$B$16:$B$20,MATCH(B3527,Assumptions!$A$16:$A$20,0)))</f>
        <v>4773.168</v>
      </c>
      <c r="J3527" s="33" t="n">
        <f aca="false">H3527-I3527</f>
        <v>2186.832</v>
      </c>
      <c r="K3527" s="33" t="n">
        <f aca="false">IF(OR(E3527=0,E3527&gt;=7),0,D3527/(7-E3527)*E3527*INDEX(Products!$E$2:$E$49,MATCH(C3527,Products!$A$2:$A$49,0)))</f>
        <v>0</v>
      </c>
    </row>
    <row r="3528" customFormat="false" ht="15" hidden="false" customHeight="false" outlineLevel="0" collapsed="false">
      <c r="A3528" s="36" t="n">
        <v>46125</v>
      </c>
      <c r="B3528" s="24" t="s">
        <v>63</v>
      </c>
      <c r="C3528" s="24" t="s">
        <v>205</v>
      </c>
      <c r="D3528" s="33" t="n">
        <v>49</v>
      </c>
      <c r="E3528" s="24" t="n">
        <v>0</v>
      </c>
      <c r="F3528" s="37" t="n">
        <f aca="false">DATE(YEAR(A3528),MONTH(A3528),1)</f>
        <v>46113</v>
      </c>
      <c r="G3528" s="24" t="str">
        <f aca="false">INDEX(Products!$C$2:$C$49,MATCH(C3528,Products!$A$2:$A$49,0))</f>
        <v>Snacks &amp; Confectionery</v>
      </c>
      <c r="H3528" s="33" t="n">
        <f aca="false">D3528*INDEX(Products!$E$2:$E$49,MATCH(C3528,Products!$A$2:$A$49,0))</f>
        <v>5880</v>
      </c>
      <c r="I3528" s="33" t="n">
        <f aca="false">D3528*INDEX(Products!$D$2:$D$49,MATCH(C3528,Products!$A$2:$A$49,0))*(1+INDEX(Assumptions!$B$16:$B$20,MATCH(B3528,Assumptions!$A$16:$A$20,0)))</f>
        <v>4032.504</v>
      </c>
      <c r="J3528" s="33" t="n">
        <f aca="false">H3528-I3528</f>
        <v>1847.496</v>
      </c>
      <c r="K3528" s="33" t="n">
        <f aca="false">IF(OR(E3528=0,E3528&gt;=7),0,D3528/(7-E3528)*E3528*INDEX(Products!$E$2:$E$49,MATCH(C3528,Products!$A$2:$A$49,0)))</f>
        <v>0</v>
      </c>
    </row>
    <row r="3529" customFormat="false" ht="15" hidden="false" customHeight="false" outlineLevel="0" collapsed="false">
      <c r="A3529" s="36" t="n">
        <v>46132</v>
      </c>
      <c r="B3529" s="24" t="s">
        <v>63</v>
      </c>
      <c r="C3529" s="24" t="s">
        <v>205</v>
      </c>
      <c r="D3529" s="33" t="n">
        <v>59</v>
      </c>
      <c r="E3529" s="24" t="n">
        <v>0</v>
      </c>
      <c r="F3529" s="37" t="n">
        <f aca="false">DATE(YEAR(A3529),MONTH(A3529),1)</f>
        <v>46113</v>
      </c>
      <c r="G3529" s="24" t="str">
        <f aca="false">INDEX(Products!$C$2:$C$49,MATCH(C3529,Products!$A$2:$A$49,0))</f>
        <v>Snacks &amp; Confectionery</v>
      </c>
      <c r="H3529" s="33" t="n">
        <f aca="false">D3529*INDEX(Products!$E$2:$E$49,MATCH(C3529,Products!$A$2:$A$49,0))</f>
        <v>7080</v>
      </c>
      <c r="I3529" s="33" t="n">
        <f aca="false">D3529*INDEX(Products!$D$2:$D$49,MATCH(C3529,Products!$A$2:$A$49,0))*(1+INDEX(Assumptions!$B$16:$B$20,MATCH(B3529,Assumptions!$A$16:$A$20,0)))</f>
        <v>4855.464</v>
      </c>
      <c r="J3529" s="33" t="n">
        <f aca="false">H3529-I3529</f>
        <v>2224.536</v>
      </c>
      <c r="K3529" s="33" t="n">
        <f aca="false">IF(OR(E3529=0,E3529&gt;=7),0,D3529/(7-E3529)*E3529*INDEX(Products!$E$2:$E$49,MATCH(C3529,Products!$A$2:$A$49,0)))</f>
        <v>0</v>
      </c>
    </row>
    <row r="3530" customFormat="false" ht="15" hidden="false" customHeight="false" outlineLevel="0" collapsed="false">
      <c r="A3530" s="36" t="n">
        <v>46139</v>
      </c>
      <c r="B3530" s="24" t="s">
        <v>63</v>
      </c>
      <c r="C3530" s="24" t="s">
        <v>205</v>
      </c>
      <c r="D3530" s="33" t="n">
        <v>62</v>
      </c>
      <c r="E3530" s="24" t="n">
        <v>0</v>
      </c>
      <c r="F3530" s="37" t="n">
        <f aca="false">DATE(YEAR(A3530),MONTH(A3530),1)</f>
        <v>46113</v>
      </c>
      <c r="G3530" s="24" t="str">
        <f aca="false">INDEX(Products!$C$2:$C$49,MATCH(C3530,Products!$A$2:$A$49,0))</f>
        <v>Snacks &amp; Confectionery</v>
      </c>
      <c r="H3530" s="33" t="n">
        <f aca="false">D3530*INDEX(Products!$E$2:$E$49,MATCH(C3530,Products!$A$2:$A$49,0))</f>
        <v>7440</v>
      </c>
      <c r="I3530" s="33" t="n">
        <f aca="false">D3530*INDEX(Products!$D$2:$D$49,MATCH(C3530,Products!$A$2:$A$49,0))*(1+INDEX(Assumptions!$B$16:$B$20,MATCH(B3530,Assumptions!$A$16:$A$20,0)))</f>
        <v>5102.352</v>
      </c>
      <c r="J3530" s="33" t="n">
        <f aca="false">H3530-I3530</f>
        <v>2337.648</v>
      </c>
      <c r="K3530" s="33" t="n">
        <f aca="false">IF(OR(E3530=0,E3530&gt;=7),0,D3530/(7-E3530)*E3530*INDEX(Products!$E$2:$E$49,MATCH(C3530,Products!$A$2:$A$49,0)))</f>
        <v>0</v>
      </c>
    </row>
    <row r="3531" customFormat="false" ht="15" hidden="false" customHeight="false" outlineLevel="0" collapsed="false">
      <c r="A3531" s="36" t="n">
        <v>46146</v>
      </c>
      <c r="B3531" s="24" t="s">
        <v>63</v>
      </c>
      <c r="C3531" s="24" t="s">
        <v>205</v>
      </c>
      <c r="D3531" s="33" t="n">
        <v>53</v>
      </c>
      <c r="E3531" s="24" t="n">
        <v>0</v>
      </c>
      <c r="F3531" s="37" t="n">
        <f aca="false">DATE(YEAR(A3531),MONTH(A3531),1)</f>
        <v>46143</v>
      </c>
      <c r="G3531" s="24" t="str">
        <f aca="false">INDEX(Products!$C$2:$C$49,MATCH(C3531,Products!$A$2:$A$49,0))</f>
        <v>Snacks &amp; Confectionery</v>
      </c>
      <c r="H3531" s="33" t="n">
        <f aca="false">D3531*INDEX(Products!$E$2:$E$49,MATCH(C3531,Products!$A$2:$A$49,0))</f>
        <v>6360</v>
      </c>
      <c r="I3531" s="33" t="n">
        <f aca="false">D3531*INDEX(Products!$D$2:$D$49,MATCH(C3531,Products!$A$2:$A$49,0))*(1+INDEX(Assumptions!$B$16:$B$20,MATCH(B3531,Assumptions!$A$16:$A$20,0)))</f>
        <v>4361.688</v>
      </c>
      <c r="J3531" s="33" t="n">
        <f aca="false">H3531-I3531</f>
        <v>1998.312</v>
      </c>
      <c r="K3531" s="33" t="n">
        <f aca="false">IF(OR(E3531=0,E3531&gt;=7),0,D3531/(7-E3531)*E3531*INDEX(Products!$E$2:$E$49,MATCH(C3531,Products!$A$2:$A$49,0)))</f>
        <v>0</v>
      </c>
    </row>
    <row r="3532" customFormat="false" ht="15" hidden="false" customHeight="false" outlineLevel="0" collapsed="false">
      <c r="A3532" s="36" t="n">
        <v>46153</v>
      </c>
      <c r="B3532" s="24" t="s">
        <v>63</v>
      </c>
      <c r="C3532" s="24" t="s">
        <v>205</v>
      </c>
      <c r="D3532" s="33" t="n">
        <v>91</v>
      </c>
      <c r="E3532" s="24" t="n">
        <v>0</v>
      </c>
      <c r="F3532" s="37" t="n">
        <f aca="false">DATE(YEAR(A3532),MONTH(A3532),1)</f>
        <v>46143</v>
      </c>
      <c r="G3532" s="24" t="str">
        <f aca="false">INDEX(Products!$C$2:$C$49,MATCH(C3532,Products!$A$2:$A$49,0))</f>
        <v>Snacks &amp; Confectionery</v>
      </c>
      <c r="H3532" s="33" t="n">
        <f aca="false">D3532*INDEX(Products!$E$2:$E$49,MATCH(C3532,Products!$A$2:$A$49,0))</f>
        <v>10920</v>
      </c>
      <c r="I3532" s="33" t="n">
        <f aca="false">D3532*INDEX(Products!$D$2:$D$49,MATCH(C3532,Products!$A$2:$A$49,0))*(1+INDEX(Assumptions!$B$16:$B$20,MATCH(B3532,Assumptions!$A$16:$A$20,0)))</f>
        <v>7488.936</v>
      </c>
      <c r="J3532" s="33" t="n">
        <f aca="false">H3532-I3532</f>
        <v>3431.064</v>
      </c>
      <c r="K3532" s="33" t="n">
        <f aca="false">IF(OR(E3532=0,E3532&gt;=7),0,D3532/(7-E3532)*E3532*INDEX(Products!$E$2:$E$49,MATCH(C3532,Products!$A$2:$A$49,0)))</f>
        <v>0</v>
      </c>
    </row>
    <row r="3533" customFormat="false" ht="15" hidden="false" customHeight="false" outlineLevel="0" collapsed="false">
      <c r="A3533" s="36" t="n">
        <v>46160</v>
      </c>
      <c r="B3533" s="24" t="s">
        <v>63</v>
      </c>
      <c r="C3533" s="24" t="s">
        <v>205</v>
      </c>
      <c r="D3533" s="33" t="n">
        <v>59</v>
      </c>
      <c r="E3533" s="24" t="n">
        <v>0</v>
      </c>
      <c r="F3533" s="37" t="n">
        <f aca="false">DATE(YEAR(A3533),MONTH(A3533),1)</f>
        <v>46143</v>
      </c>
      <c r="G3533" s="24" t="str">
        <f aca="false">INDEX(Products!$C$2:$C$49,MATCH(C3533,Products!$A$2:$A$49,0))</f>
        <v>Snacks &amp; Confectionery</v>
      </c>
      <c r="H3533" s="33" t="n">
        <f aca="false">D3533*INDEX(Products!$E$2:$E$49,MATCH(C3533,Products!$A$2:$A$49,0))</f>
        <v>7080</v>
      </c>
      <c r="I3533" s="33" t="n">
        <f aca="false">D3533*INDEX(Products!$D$2:$D$49,MATCH(C3533,Products!$A$2:$A$49,0))*(1+INDEX(Assumptions!$B$16:$B$20,MATCH(B3533,Assumptions!$A$16:$A$20,0)))</f>
        <v>4855.464</v>
      </c>
      <c r="J3533" s="33" t="n">
        <f aca="false">H3533-I3533</f>
        <v>2224.536</v>
      </c>
      <c r="K3533" s="33" t="n">
        <f aca="false">IF(OR(E3533=0,E3533&gt;=7),0,D3533/(7-E3533)*E3533*INDEX(Products!$E$2:$E$49,MATCH(C3533,Products!$A$2:$A$49,0)))</f>
        <v>0</v>
      </c>
    </row>
    <row r="3534" customFormat="false" ht="15" hidden="false" customHeight="false" outlineLevel="0" collapsed="false">
      <c r="A3534" s="36" t="n">
        <v>46167</v>
      </c>
      <c r="B3534" s="24" t="s">
        <v>63</v>
      </c>
      <c r="C3534" s="24" t="s">
        <v>205</v>
      </c>
      <c r="D3534" s="33" t="n">
        <v>63</v>
      </c>
      <c r="E3534" s="24" t="n">
        <v>0</v>
      </c>
      <c r="F3534" s="37" t="n">
        <f aca="false">DATE(YEAR(A3534),MONTH(A3534),1)</f>
        <v>46143</v>
      </c>
      <c r="G3534" s="24" t="str">
        <f aca="false">INDEX(Products!$C$2:$C$49,MATCH(C3534,Products!$A$2:$A$49,0))</f>
        <v>Snacks &amp; Confectionery</v>
      </c>
      <c r="H3534" s="33" t="n">
        <f aca="false">D3534*INDEX(Products!$E$2:$E$49,MATCH(C3534,Products!$A$2:$A$49,0))</f>
        <v>7560</v>
      </c>
      <c r="I3534" s="33" t="n">
        <f aca="false">D3534*INDEX(Products!$D$2:$D$49,MATCH(C3534,Products!$A$2:$A$49,0))*(1+INDEX(Assumptions!$B$16:$B$20,MATCH(B3534,Assumptions!$A$16:$A$20,0)))</f>
        <v>5184.648</v>
      </c>
      <c r="J3534" s="33" t="n">
        <f aca="false">H3534-I3534</f>
        <v>2375.352</v>
      </c>
      <c r="K3534" s="33" t="n">
        <f aca="false">IF(OR(E3534=0,E3534&gt;=7),0,D3534/(7-E3534)*E3534*INDEX(Products!$E$2:$E$49,MATCH(C3534,Products!$A$2:$A$49,0)))</f>
        <v>0</v>
      </c>
    </row>
    <row r="3535" customFormat="false" ht="15" hidden="false" customHeight="false" outlineLevel="0" collapsed="false">
      <c r="A3535" s="36" t="n">
        <v>46174</v>
      </c>
      <c r="B3535" s="24" t="s">
        <v>63</v>
      </c>
      <c r="C3535" s="24" t="s">
        <v>205</v>
      </c>
      <c r="D3535" s="33" t="n">
        <v>57</v>
      </c>
      <c r="E3535" s="24" t="n">
        <v>0</v>
      </c>
      <c r="F3535" s="37" t="n">
        <f aca="false">DATE(YEAR(A3535),MONTH(A3535),1)</f>
        <v>46174</v>
      </c>
      <c r="G3535" s="24" t="str">
        <f aca="false">INDEX(Products!$C$2:$C$49,MATCH(C3535,Products!$A$2:$A$49,0))</f>
        <v>Snacks &amp; Confectionery</v>
      </c>
      <c r="H3535" s="33" t="n">
        <f aca="false">D3535*INDEX(Products!$E$2:$E$49,MATCH(C3535,Products!$A$2:$A$49,0))</f>
        <v>6840</v>
      </c>
      <c r="I3535" s="33" t="n">
        <f aca="false">D3535*INDEX(Products!$D$2:$D$49,MATCH(C3535,Products!$A$2:$A$49,0))*(1+INDEX(Assumptions!$B$16:$B$20,MATCH(B3535,Assumptions!$A$16:$A$20,0)))</f>
        <v>4690.872</v>
      </c>
      <c r="J3535" s="33" t="n">
        <f aca="false">H3535-I3535</f>
        <v>2149.128</v>
      </c>
      <c r="K3535" s="33" t="n">
        <f aca="false">IF(OR(E3535=0,E3535&gt;=7),0,D3535/(7-E3535)*E3535*INDEX(Products!$E$2:$E$49,MATCH(C3535,Products!$A$2:$A$49,0)))</f>
        <v>0</v>
      </c>
    </row>
    <row r="3536" customFormat="false" ht="15" hidden="false" customHeight="false" outlineLevel="0" collapsed="false">
      <c r="A3536" s="36" t="n">
        <v>46181</v>
      </c>
      <c r="B3536" s="24" t="s">
        <v>63</v>
      </c>
      <c r="C3536" s="24" t="s">
        <v>205</v>
      </c>
      <c r="D3536" s="33" t="n">
        <v>63</v>
      </c>
      <c r="E3536" s="24" t="n">
        <v>0</v>
      </c>
      <c r="F3536" s="37" t="n">
        <f aca="false">DATE(YEAR(A3536),MONTH(A3536),1)</f>
        <v>46174</v>
      </c>
      <c r="G3536" s="24" t="str">
        <f aca="false">INDEX(Products!$C$2:$C$49,MATCH(C3536,Products!$A$2:$A$49,0))</f>
        <v>Snacks &amp; Confectionery</v>
      </c>
      <c r="H3536" s="33" t="n">
        <f aca="false">D3536*INDEX(Products!$E$2:$E$49,MATCH(C3536,Products!$A$2:$A$49,0))</f>
        <v>7560</v>
      </c>
      <c r="I3536" s="33" t="n">
        <f aca="false">D3536*INDEX(Products!$D$2:$D$49,MATCH(C3536,Products!$A$2:$A$49,0))*(1+INDEX(Assumptions!$B$16:$B$20,MATCH(B3536,Assumptions!$A$16:$A$20,0)))</f>
        <v>5184.648</v>
      </c>
      <c r="J3536" s="33" t="n">
        <f aca="false">H3536-I3536</f>
        <v>2375.352</v>
      </c>
      <c r="K3536" s="33" t="n">
        <f aca="false">IF(OR(E3536=0,E3536&gt;=7),0,D3536/(7-E3536)*E3536*INDEX(Products!$E$2:$E$49,MATCH(C3536,Products!$A$2:$A$49,0)))</f>
        <v>0</v>
      </c>
    </row>
    <row r="3537" customFormat="false" ht="15" hidden="false" customHeight="false" outlineLevel="0" collapsed="false">
      <c r="A3537" s="36" t="n">
        <v>46188</v>
      </c>
      <c r="B3537" s="24" t="s">
        <v>63</v>
      </c>
      <c r="C3537" s="24" t="s">
        <v>205</v>
      </c>
      <c r="D3537" s="33" t="n">
        <v>68</v>
      </c>
      <c r="E3537" s="24" t="n">
        <v>0</v>
      </c>
      <c r="F3537" s="37" t="n">
        <f aca="false">DATE(YEAR(A3537),MONTH(A3537),1)</f>
        <v>46174</v>
      </c>
      <c r="G3537" s="24" t="str">
        <f aca="false">INDEX(Products!$C$2:$C$49,MATCH(C3537,Products!$A$2:$A$49,0))</f>
        <v>Snacks &amp; Confectionery</v>
      </c>
      <c r="H3537" s="33" t="n">
        <f aca="false">D3537*INDEX(Products!$E$2:$E$49,MATCH(C3537,Products!$A$2:$A$49,0))</f>
        <v>8160</v>
      </c>
      <c r="I3537" s="33" t="n">
        <f aca="false">D3537*INDEX(Products!$D$2:$D$49,MATCH(C3537,Products!$A$2:$A$49,0))*(1+INDEX(Assumptions!$B$16:$B$20,MATCH(B3537,Assumptions!$A$16:$A$20,0)))</f>
        <v>5596.128</v>
      </c>
      <c r="J3537" s="33" t="n">
        <f aca="false">H3537-I3537</f>
        <v>2563.872</v>
      </c>
      <c r="K3537" s="33" t="n">
        <f aca="false">IF(OR(E3537=0,E3537&gt;=7),0,D3537/(7-E3537)*E3537*INDEX(Products!$E$2:$E$49,MATCH(C3537,Products!$A$2:$A$49,0)))</f>
        <v>0</v>
      </c>
    </row>
    <row r="3538" customFormat="false" ht="15" hidden="false" customHeight="false" outlineLevel="0" collapsed="false">
      <c r="A3538" s="36" t="n">
        <v>46195</v>
      </c>
      <c r="B3538" s="24" t="s">
        <v>63</v>
      </c>
      <c r="C3538" s="24" t="s">
        <v>205</v>
      </c>
      <c r="D3538" s="33" t="n">
        <v>67</v>
      </c>
      <c r="E3538" s="24" t="n">
        <v>0</v>
      </c>
      <c r="F3538" s="37" t="n">
        <f aca="false">DATE(YEAR(A3538),MONTH(A3538),1)</f>
        <v>46174</v>
      </c>
      <c r="G3538" s="24" t="str">
        <f aca="false">INDEX(Products!$C$2:$C$49,MATCH(C3538,Products!$A$2:$A$49,0))</f>
        <v>Snacks &amp; Confectionery</v>
      </c>
      <c r="H3538" s="33" t="n">
        <f aca="false">D3538*INDEX(Products!$E$2:$E$49,MATCH(C3538,Products!$A$2:$A$49,0))</f>
        <v>8040</v>
      </c>
      <c r="I3538" s="33" t="n">
        <f aca="false">D3538*INDEX(Products!$D$2:$D$49,MATCH(C3538,Products!$A$2:$A$49,0))*(1+INDEX(Assumptions!$B$16:$B$20,MATCH(B3538,Assumptions!$A$16:$A$20,0)))</f>
        <v>5513.832</v>
      </c>
      <c r="J3538" s="33" t="n">
        <f aca="false">H3538-I3538</f>
        <v>2526.168</v>
      </c>
      <c r="K3538" s="33" t="n">
        <f aca="false">IF(OR(E3538=0,E3538&gt;=7),0,D3538/(7-E3538)*E3538*INDEX(Products!$E$2:$E$49,MATCH(C3538,Products!$A$2:$A$49,0)))</f>
        <v>0</v>
      </c>
    </row>
    <row r="3539" customFormat="false" ht="15" hidden="false" customHeight="false" outlineLevel="0" collapsed="false">
      <c r="A3539" s="36" t="n">
        <v>46202</v>
      </c>
      <c r="B3539" s="24" t="s">
        <v>63</v>
      </c>
      <c r="C3539" s="24" t="s">
        <v>205</v>
      </c>
      <c r="D3539" s="33" t="n">
        <v>56</v>
      </c>
      <c r="E3539" s="24" t="n">
        <v>0</v>
      </c>
      <c r="F3539" s="37" t="n">
        <f aca="false">DATE(YEAR(A3539),MONTH(A3539),1)</f>
        <v>46174</v>
      </c>
      <c r="G3539" s="24" t="str">
        <f aca="false">INDEX(Products!$C$2:$C$49,MATCH(C3539,Products!$A$2:$A$49,0))</f>
        <v>Snacks &amp; Confectionery</v>
      </c>
      <c r="H3539" s="33" t="n">
        <f aca="false">D3539*INDEX(Products!$E$2:$E$49,MATCH(C3539,Products!$A$2:$A$49,0))</f>
        <v>6720</v>
      </c>
      <c r="I3539" s="33" t="n">
        <f aca="false">D3539*INDEX(Products!$D$2:$D$49,MATCH(C3539,Products!$A$2:$A$49,0))*(1+INDEX(Assumptions!$B$16:$B$20,MATCH(B3539,Assumptions!$A$16:$A$20,0)))</f>
        <v>4608.576</v>
      </c>
      <c r="J3539" s="33" t="n">
        <f aca="false">H3539-I3539</f>
        <v>2111.424</v>
      </c>
      <c r="K3539" s="33" t="n">
        <f aca="false">IF(OR(E3539=0,E3539&gt;=7),0,D3539/(7-E3539)*E3539*INDEX(Products!$E$2:$E$49,MATCH(C3539,Products!$A$2:$A$49,0)))</f>
        <v>0</v>
      </c>
    </row>
    <row r="3540" customFormat="false" ht="15" hidden="false" customHeight="false" outlineLevel="0" collapsed="false">
      <c r="A3540" s="36" t="n">
        <v>46209</v>
      </c>
      <c r="B3540" s="24" t="s">
        <v>63</v>
      </c>
      <c r="C3540" s="24" t="s">
        <v>205</v>
      </c>
      <c r="D3540" s="33" t="n">
        <v>40</v>
      </c>
      <c r="E3540" s="24" t="n">
        <v>0</v>
      </c>
      <c r="F3540" s="37" t="n">
        <f aca="false">DATE(YEAR(A3540),MONTH(A3540),1)</f>
        <v>46204</v>
      </c>
      <c r="G3540" s="24" t="str">
        <f aca="false">INDEX(Products!$C$2:$C$49,MATCH(C3540,Products!$A$2:$A$49,0))</f>
        <v>Snacks &amp; Confectionery</v>
      </c>
      <c r="H3540" s="33" t="n">
        <f aca="false">D3540*INDEX(Products!$E$2:$E$49,MATCH(C3540,Products!$A$2:$A$49,0))</f>
        <v>4800</v>
      </c>
      <c r="I3540" s="33" t="n">
        <f aca="false">D3540*INDEX(Products!$D$2:$D$49,MATCH(C3540,Products!$A$2:$A$49,0))*(1+INDEX(Assumptions!$B$16:$B$20,MATCH(B3540,Assumptions!$A$16:$A$20,0)))</f>
        <v>3291.84</v>
      </c>
      <c r="J3540" s="33" t="n">
        <f aca="false">H3540-I3540</f>
        <v>1508.16</v>
      </c>
      <c r="K3540" s="33" t="n">
        <f aca="false">IF(OR(E3540=0,E3540&gt;=7),0,D3540/(7-E3540)*E3540*INDEX(Products!$E$2:$E$49,MATCH(C3540,Products!$A$2:$A$49,0)))</f>
        <v>0</v>
      </c>
    </row>
    <row r="3541" customFormat="false" ht="15" hidden="false" customHeight="false" outlineLevel="0" collapsed="false">
      <c r="A3541" s="36" t="n">
        <v>46216</v>
      </c>
      <c r="B3541" s="24" t="s">
        <v>63</v>
      </c>
      <c r="C3541" s="24" t="s">
        <v>205</v>
      </c>
      <c r="D3541" s="33" t="n">
        <v>35</v>
      </c>
      <c r="E3541" s="24" t="n">
        <v>0</v>
      </c>
      <c r="F3541" s="37" t="n">
        <f aca="false">DATE(YEAR(A3541),MONTH(A3541),1)</f>
        <v>46204</v>
      </c>
      <c r="G3541" s="24" t="str">
        <f aca="false">INDEX(Products!$C$2:$C$49,MATCH(C3541,Products!$A$2:$A$49,0))</f>
        <v>Snacks &amp; Confectionery</v>
      </c>
      <c r="H3541" s="33" t="n">
        <f aca="false">D3541*INDEX(Products!$E$2:$E$49,MATCH(C3541,Products!$A$2:$A$49,0))</f>
        <v>4200</v>
      </c>
      <c r="I3541" s="33" t="n">
        <f aca="false">D3541*INDEX(Products!$D$2:$D$49,MATCH(C3541,Products!$A$2:$A$49,0))*(1+INDEX(Assumptions!$B$16:$B$20,MATCH(B3541,Assumptions!$A$16:$A$20,0)))</f>
        <v>2880.36</v>
      </c>
      <c r="J3541" s="33" t="n">
        <f aca="false">H3541-I3541</f>
        <v>1319.64</v>
      </c>
      <c r="K3541" s="33" t="n">
        <f aca="false">IF(OR(E3541=0,E3541&gt;=7),0,D3541/(7-E3541)*E3541*INDEX(Products!$E$2:$E$49,MATCH(C3541,Products!$A$2:$A$49,0)))</f>
        <v>0</v>
      </c>
    </row>
    <row r="3542" customFormat="false" ht="15" hidden="false" customHeight="false" outlineLevel="0" collapsed="false">
      <c r="A3542" s="36" t="n">
        <v>46223</v>
      </c>
      <c r="B3542" s="24" t="s">
        <v>63</v>
      </c>
      <c r="C3542" s="24" t="s">
        <v>205</v>
      </c>
      <c r="D3542" s="33" t="n">
        <v>33</v>
      </c>
      <c r="E3542" s="24" t="n">
        <v>3</v>
      </c>
      <c r="F3542" s="37" t="n">
        <f aca="false">DATE(YEAR(A3542),MONTH(A3542),1)</f>
        <v>46204</v>
      </c>
      <c r="G3542" s="24" t="str">
        <f aca="false">INDEX(Products!$C$2:$C$49,MATCH(C3542,Products!$A$2:$A$49,0))</f>
        <v>Snacks &amp; Confectionery</v>
      </c>
      <c r="H3542" s="33" t="n">
        <f aca="false">D3542*INDEX(Products!$E$2:$E$49,MATCH(C3542,Products!$A$2:$A$49,0))</f>
        <v>3960</v>
      </c>
      <c r="I3542" s="33" t="n">
        <f aca="false">D3542*INDEX(Products!$D$2:$D$49,MATCH(C3542,Products!$A$2:$A$49,0))*(1+INDEX(Assumptions!$B$16:$B$20,MATCH(B3542,Assumptions!$A$16:$A$20,0)))</f>
        <v>2715.768</v>
      </c>
      <c r="J3542" s="33" t="n">
        <f aca="false">H3542-I3542</f>
        <v>1244.232</v>
      </c>
      <c r="K3542" s="33" t="n">
        <f aca="false">IF(OR(E3542=0,E3542&gt;=7),0,D3542/(7-E3542)*E3542*INDEX(Products!$E$2:$E$49,MATCH(C3542,Products!$A$2:$A$49,0)))</f>
        <v>2970</v>
      </c>
    </row>
    <row r="3543" customFormat="false" ht="15" hidden="false" customHeight="false" outlineLevel="0" collapsed="false">
      <c r="A3543" s="36" t="n">
        <v>46230</v>
      </c>
      <c r="B3543" s="24" t="s">
        <v>63</v>
      </c>
      <c r="C3543" s="24" t="s">
        <v>205</v>
      </c>
      <c r="D3543" s="33" t="n">
        <v>62</v>
      </c>
      <c r="E3543" s="24" t="n">
        <v>0</v>
      </c>
      <c r="F3543" s="37" t="n">
        <f aca="false">DATE(YEAR(A3543),MONTH(A3543),1)</f>
        <v>46204</v>
      </c>
      <c r="G3543" s="24" t="str">
        <f aca="false">INDEX(Products!$C$2:$C$49,MATCH(C3543,Products!$A$2:$A$49,0))</f>
        <v>Snacks &amp; Confectionery</v>
      </c>
      <c r="H3543" s="33" t="n">
        <f aca="false">D3543*INDEX(Products!$E$2:$E$49,MATCH(C3543,Products!$A$2:$A$49,0))</f>
        <v>7440</v>
      </c>
      <c r="I3543" s="33" t="n">
        <f aca="false">D3543*INDEX(Products!$D$2:$D$49,MATCH(C3543,Products!$A$2:$A$49,0))*(1+INDEX(Assumptions!$B$16:$B$20,MATCH(B3543,Assumptions!$A$16:$A$20,0)))</f>
        <v>5102.352</v>
      </c>
      <c r="J3543" s="33" t="n">
        <f aca="false">H3543-I3543</f>
        <v>2337.648</v>
      </c>
      <c r="K3543" s="33" t="n">
        <f aca="false">IF(OR(E3543=0,E3543&gt;=7),0,D3543/(7-E3543)*E3543*INDEX(Products!$E$2:$E$49,MATCH(C3543,Products!$A$2:$A$49,0)))</f>
        <v>0</v>
      </c>
    </row>
    <row r="3544" customFormat="false" ht="15" hidden="false" customHeight="false" outlineLevel="0" collapsed="false">
      <c r="A3544" s="36" t="n">
        <v>46237</v>
      </c>
      <c r="B3544" s="24" t="s">
        <v>63</v>
      </c>
      <c r="C3544" s="24" t="s">
        <v>205</v>
      </c>
      <c r="D3544" s="33" t="n">
        <v>54</v>
      </c>
      <c r="E3544" s="24" t="n">
        <v>0</v>
      </c>
      <c r="F3544" s="37" t="n">
        <f aca="false">DATE(YEAR(A3544),MONTH(A3544),1)</f>
        <v>46235</v>
      </c>
      <c r="G3544" s="24" t="str">
        <f aca="false">INDEX(Products!$C$2:$C$49,MATCH(C3544,Products!$A$2:$A$49,0))</f>
        <v>Snacks &amp; Confectionery</v>
      </c>
      <c r="H3544" s="33" t="n">
        <f aca="false">D3544*INDEX(Products!$E$2:$E$49,MATCH(C3544,Products!$A$2:$A$49,0))</f>
        <v>6480</v>
      </c>
      <c r="I3544" s="33" t="n">
        <f aca="false">D3544*INDEX(Products!$D$2:$D$49,MATCH(C3544,Products!$A$2:$A$49,0))*(1+INDEX(Assumptions!$B$16:$B$20,MATCH(B3544,Assumptions!$A$16:$A$20,0)))</f>
        <v>4443.984</v>
      </c>
      <c r="J3544" s="33" t="n">
        <f aca="false">H3544-I3544</f>
        <v>2036.016</v>
      </c>
      <c r="K3544" s="33" t="n">
        <f aca="false">IF(OR(E3544=0,E3544&gt;=7),0,D3544/(7-E3544)*E3544*INDEX(Products!$E$2:$E$49,MATCH(C3544,Products!$A$2:$A$49,0)))</f>
        <v>0</v>
      </c>
    </row>
    <row r="3545" customFormat="false" ht="15" hidden="false" customHeight="false" outlineLevel="0" collapsed="false">
      <c r="A3545" s="36" t="n">
        <v>46244</v>
      </c>
      <c r="B3545" s="24" t="s">
        <v>63</v>
      </c>
      <c r="C3545" s="24" t="s">
        <v>205</v>
      </c>
      <c r="D3545" s="33" t="n">
        <v>50</v>
      </c>
      <c r="E3545" s="24" t="n">
        <v>0</v>
      </c>
      <c r="F3545" s="37" t="n">
        <f aca="false">DATE(YEAR(A3545),MONTH(A3545),1)</f>
        <v>46235</v>
      </c>
      <c r="G3545" s="24" t="str">
        <f aca="false">INDEX(Products!$C$2:$C$49,MATCH(C3545,Products!$A$2:$A$49,0))</f>
        <v>Snacks &amp; Confectionery</v>
      </c>
      <c r="H3545" s="33" t="n">
        <f aca="false">D3545*INDEX(Products!$E$2:$E$49,MATCH(C3545,Products!$A$2:$A$49,0))</f>
        <v>6000</v>
      </c>
      <c r="I3545" s="33" t="n">
        <f aca="false">D3545*INDEX(Products!$D$2:$D$49,MATCH(C3545,Products!$A$2:$A$49,0))*(1+INDEX(Assumptions!$B$16:$B$20,MATCH(B3545,Assumptions!$A$16:$A$20,0)))</f>
        <v>4114.8</v>
      </c>
      <c r="J3545" s="33" t="n">
        <f aca="false">H3545-I3545</f>
        <v>1885.2</v>
      </c>
      <c r="K3545" s="33" t="n">
        <f aca="false">IF(OR(E3545=0,E3545&gt;=7),0,D3545/(7-E3545)*E3545*INDEX(Products!$E$2:$E$49,MATCH(C3545,Products!$A$2:$A$49,0)))</f>
        <v>0</v>
      </c>
    </row>
    <row r="3546" customFormat="false" ht="15" hidden="false" customHeight="false" outlineLevel="0" collapsed="false">
      <c r="A3546" s="36" t="n">
        <v>46251</v>
      </c>
      <c r="B3546" s="24" t="s">
        <v>63</v>
      </c>
      <c r="C3546" s="24" t="s">
        <v>205</v>
      </c>
      <c r="D3546" s="33" t="n">
        <v>50</v>
      </c>
      <c r="E3546" s="24" t="n">
        <v>0</v>
      </c>
      <c r="F3546" s="37" t="n">
        <f aca="false">DATE(YEAR(A3546),MONTH(A3546),1)</f>
        <v>46235</v>
      </c>
      <c r="G3546" s="24" t="str">
        <f aca="false">INDEX(Products!$C$2:$C$49,MATCH(C3546,Products!$A$2:$A$49,0))</f>
        <v>Snacks &amp; Confectionery</v>
      </c>
      <c r="H3546" s="33" t="n">
        <f aca="false">D3546*INDEX(Products!$E$2:$E$49,MATCH(C3546,Products!$A$2:$A$49,0))</f>
        <v>6000</v>
      </c>
      <c r="I3546" s="33" t="n">
        <f aca="false">D3546*INDEX(Products!$D$2:$D$49,MATCH(C3546,Products!$A$2:$A$49,0))*(1+INDEX(Assumptions!$B$16:$B$20,MATCH(B3546,Assumptions!$A$16:$A$20,0)))</f>
        <v>4114.8</v>
      </c>
      <c r="J3546" s="33" t="n">
        <f aca="false">H3546-I3546</f>
        <v>1885.2</v>
      </c>
      <c r="K3546" s="33" t="n">
        <f aca="false">IF(OR(E3546=0,E3546&gt;=7),0,D3546/(7-E3546)*E3546*INDEX(Products!$E$2:$E$49,MATCH(C3546,Products!$A$2:$A$49,0)))</f>
        <v>0</v>
      </c>
    </row>
    <row r="3547" customFormat="false" ht="15" hidden="false" customHeight="false" outlineLevel="0" collapsed="false">
      <c r="A3547" s="36" t="n">
        <v>46258</v>
      </c>
      <c r="B3547" s="24" t="s">
        <v>63</v>
      </c>
      <c r="C3547" s="24" t="s">
        <v>205</v>
      </c>
      <c r="D3547" s="33" t="n">
        <v>55</v>
      </c>
      <c r="E3547" s="24" t="n">
        <v>0</v>
      </c>
      <c r="F3547" s="37" t="n">
        <f aca="false">DATE(YEAR(A3547),MONTH(A3547),1)</f>
        <v>46235</v>
      </c>
      <c r="G3547" s="24" t="str">
        <f aca="false">INDEX(Products!$C$2:$C$49,MATCH(C3547,Products!$A$2:$A$49,0))</f>
        <v>Snacks &amp; Confectionery</v>
      </c>
      <c r="H3547" s="33" t="n">
        <f aca="false">D3547*INDEX(Products!$E$2:$E$49,MATCH(C3547,Products!$A$2:$A$49,0))</f>
        <v>6600</v>
      </c>
      <c r="I3547" s="33" t="n">
        <f aca="false">D3547*INDEX(Products!$D$2:$D$49,MATCH(C3547,Products!$A$2:$A$49,0))*(1+INDEX(Assumptions!$B$16:$B$20,MATCH(B3547,Assumptions!$A$16:$A$20,0)))</f>
        <v>4526.28</v>
      </c>
      <c r="J3547" s="33" t="n">
        <f aca="false">H3547-I3547</f>
        <v>2073.72</v>
      </c>
      <c r="K3547" s="33" t="n">
        <f aca="false">IF(OR(E3547=0,E3547&gt;=7),0,D3547/(7-E3547)*E3547*INDEX(Products!$E$2:$E$49,MATCH(C3547,Products!$A$2:$A$49,0)))</f>
        <v>0</v>
      </c>
    </row>
    <row r="3548" customFormat="false" ht="15" hidden="false" customHeight="false" outlineLevel="0" collapsed="false">
      <c r="A3548" s="36" t="n">
        <v>46265</v>
      </c>
      <c r="B3548" s="24" t="s">
        <v>63</v>
      </c>
      <c r="C3548" s="24" t="s">
        <v>205</v>
      </c>
      <c r="D3548" s="33" t="n">
        <v>57</v>
      </c>
      <c r="E3548" s="24" t="n">
        <v>0</v>
      </c>
      <c r="F3548" s="37" t="n">
        <f aca="false">DATE(YEAR(A3548),MONTH(A3548),1)</f>
        <v>46235</v>
      </c>
      <c r="G3548" s="24" t="str">
        <f aca="false">INDEX(Products!$C$2:$C$49,MATCH(C3548,Products!$A$2:$A$49,0))</f>
        <v>Snacks &amp; Confectionery</v>
      </c>
      <c r="H3548" s="33" t="n">
        <f aca="false">D3548*INDEX(Products!$E$2:$E$49,MATCH(C3548,Products!$A$2:$A$49,0))</f>
        <v>6840</v>
      </c>
      <c r="I3548" s="33" t="n">
        <f aca="false">D3548*INDEX(Products!$D$2:$D$49,MATCH(C3548,Products!$A$2:$A$49,0))*(1+INDEX(Assumptions!$B$16:$B$20,MATCH(B3548,Assumptions!$A$16:$A$20,0)))</f>
        <v>4690.872</v>
      </c>
      <c r="J3548" s="33" t="n">
        <f aca="false">H3548-I3548</f>
        <v>2149.128</v>
      </c>
      <c r="K3548" s="33" t="n">
        <f aca="false">IF(OR(E3548=0,E3548&gt;=7),0,D3548/(7-E3548)*E3548*INDEX(Products!$E$2:$E$49,MATCH(C3548,Products!$A$2:$A$49,0)))</f>
        <v>0</v>
      </c>
    </row>
    <row r="3549" customFormat="false" ht="15" hidden="false" customHeight="false" outlineLevel="0" collapsed="false">
      <c r="A3549" s="36" t="n">
        <v>46272</v>
      </c>
      <c r="B3549" s="24" t="s">
        <v>63</v>
      </c>
      <c r="C3549" s="24" t="s">
        <v>205</v>
      </c>
      <c r="D3549" s="33" t="n">
        <v>53</v>
      </c>
      <c r="E3549" s="24" t="n">
        <v>0</v>
      </c>
      <c r="F3549" s="37" t="n">
        <f aca="false">DATE(YEAR(A3549),MONTH(A3549),1)</f>
        <v>46266</v>
      </c>
      <c r="G3549" s="24" t="str">
        <f aca="false">INDEX(Products!$C$2:$C$49,MATCH(C3549,Products!$A$2:$A$49,0))</f>
        <v>Snacks &amp; Confectionery</v>
      </c>
      <c r="H3549" s="33" t="n">
        <f aca="false">D3549*INDEX(Products!$E$2:$E$49,MATCH(C3549,Products!$A$2:$A$49,0))</f>
        <v>6360</v>
      </c>
      <c r="I3549" s="33" t="n">
        <f aca="false">D3549*INDEX(Products!$D$2:$D$49,MATCH(C3549,Products!$A$2:$A$49,0))*(1+INDEX(Assumptions!$B$16:$B$20,MATCH(B3549,Assumptions!$A$16:$A$20,0)))</f>
        <v>4361.688</v>
      </c>
      <c r="J3549" s="33" t="n">
        <f aca="false">H3549-I3549</f>
        <v>1998.312</v>
      </c>
      <c r="K3549" s="33" t="n">
        <f aca="false">IF(OR(E3549=0,E3549&gt;=7),0,D3549/(7-E3549)*E3549*INDEX(Products!$E$2:$E$49,MATCH(C3549,Products!$A$2:$A$49,0)))</f>
        <v>0</v>
      </c>
    </row>
    <row r="3550" customFormat="false" ht="15" hidden="false" customHeight="false" outlineLevel="0" collapsed="false">
      <c r="A3550" s="36" t="n">
        <v>46279</v>
      </c>
      <c r="B3550" s="24" t="s">
        <v>63</v>
      </c>
      <c r="C3550" s="24" t="s">
        <v>205</v>
      </c>
      <c r="D3550" s="33" t="n">
        <v>50</v>
      </c>
      <c r="E3550" s="24" t="n">
        <v>0</v>
      </c>
      <c r="F3550" s="37" t="n">
        <f aca="false">DATE(YEAR(A3550),MONTH(A3550),1)</f>
        <v>46266</v>
      </c>
      <c r="G3550" s="24" t="str">
        <f aca="false">INDEX(Products!$C$2:$C$49,MATCH(C3550,Products!$A$2:$A$49,0))</f>
        <v>Snacks &amp; Confectionery</v>
      </c>
      <c r="H3550" s="33" t="n">
        <f aca="false">D3550*INDEX(Products!$E$2:$E$49,MATCH(C3550,Products!$A$2:$A$49,0))</f>
        <v>6000</v>
      </c>
      <c r="I3550" s="33" t="n">
        <f aca="false">D3550*INDEX(Products!$D$2:$D$49,MATCH(C3550,Products!$A$2:$A$49,0))*(1+INDEX(Assumptions!$B$16:$B$20,MATCH(B3550,Assumptions!$A$16:$A$20,0)))</f>
        <v>4114.8</v>
      </c>
      <c r="J3550" s="33" t="n">
        <f aca="false">H3550-I3550</f>
        <v>1885.2</v>
      </c>
      <c r="K3550" s="33" t="n">
        <f aca="false">IF(OR(E3550=0,E3550&gt;=7),0,D3550/(7-E3550)*E3550*INDEX(Products!$E$2:$E$49,MATCH(C3550,Products!$A$2:$A$49,0)))</f>
        <v>0</v>
      </c>
    </row>
    <row r="3551" customFormat="false" ht="15" hidden="false" customHeight="false" outlineLevel="0" collapsed="false">
      <c r="A3551" s="36" t="n">
        <v>46286</v>
      </c>
      <c r="B3551" s="24" t="s">
        <v>63</v>
      </c>
      <c r="C3551" s="24" t="s">
        <v>205</v>
      </c>
      <c r="D3551" s="33" t="n">
        <v>45</v>
      </c>
      <c r="E3551" s="24" t="n">
        <v>2</v>
      </c>
      <c r="F3551" s="37" t="n">
        <f aca="false">DATE(YEAR(A3551),MONTH(A3551),1)</f>
        <v>46266</v>
      </c>
      <c r="G3551" s="24" t="str">
        <f aca="false">INDEX(Products!$C$2:$C$49,MATCH(C3551,Products!$A$2:$A$49,0))</f>
        <v>Snacks &amp; Confectionery</v>
      </c>
      <c r="H3551" s="33" t="n">
        <f aca="false">D3551*INDEX(Products!$E$2:$E$49,MATCH(C3551,Products!$A$2:$A$49,0))</f>
        <v>5400</v>
      </c>
      <c r="I3551" s="33" t="n">
        <f aca="false">D3551*INDEX(Products!$D$2:$D$49,MATCH(C3551,Products!$A$2:$A$49,0))*(1+INDEX(Assumptions!$B$16:$B$20,MATCH(B3551,Assumptions!$A$16:$A$20,0)))</f>
        <v>3703.32</v>
      </c>
      <c r="J3551" s="33" t="n">
        <f aca="false">H3551-I3551</f>
        <v>1696.68</v>
      </c>
      <c r="K3551" s="33" t="n">
        <f aca="false">IF(OR(E3551=0,E3551&gt;=7),0,D3551/(7-E3551)*E3551*INDEX(Products!$E$2:$E$49,MATCH(C3551,Products!$A$2:$A$49,0)))</f>
        <v>2160</v>
      </c>
    </row>
    <row r="3552" customFormat="false" ht="15" hidden="false" customHeight="false" outlineLevel="0" collapsed="false">
      <c r="A3552" s="36" t="n">
        <v>46118</v>
      </c>
      <c r="B3552" s="24" t="s">
        <v>63</v>
      </c>
      <c r="C3552" s="24" t="s">
        <v>207</v>
      </c>
      <c r="D3552" s="33" t="n">
        <v>49</v>
      </c>
      <c r="E3552" s="24" t="n">
        <v>0</v>
      </c>
      <c r="F3552" s="37" t="n">
        <f aca="false">DATE(YEAR(A3552),MONTH(A3552),1)</f>
        <v>46113</v>
      </c>
      <c r="G3552" s="24" t="str">
        <f aca="false">INDEX(Products!$C$2:$C$49,MATCH(C3552,Products!$A$2:$A$49,0))</f>
        <v>Snacks &amp; Confectionery</v>
      </c>
      <c r="H3552" s="33" t="n">
        <f aca="false">D3552*INDEX(Products!$E$2:$E$49,MATCH(C3552,Products!$A$2:$A$49,0))</f>
        <v>8820</v>
      </c>
      <c r="I3552" s="33" t="n">
        <f aca="false">D3552*INDEX(Products!$D$2:$D$49,MATCH(C3552,Products!$A$2:$A$49,0))*(1+INDEX(Assumptions!$B$16:$B$20,MATCH(B3552,Assumptions!$A$16:$A$20,0)))</f>
        <v>6272.784</v>
      </c>
      <c r="J3552" s="33" t="n">
        <f aca="false">H3552-I3552</f>
        <v>2547.216</v>
      </c>
      <c r="K3552" s="33" t="n">
        <f aca="false">IF(OR(E3552=0,E3552&gt;=7),0,D3552/(7-E3552)*E3552*INDEX(Products!$E$2:$E$49,MATCH(C3552,Products!$A$2:$A$49,0)))</f>
        <v>0</v>
      </c>
    </row>
    <row r="3553" customFormat="false" ht="15" hidden="false" customHeight="false" outlineLevel="0" collapsed="false">
      <c r="A3553" s="36" t="n">
        <v>46125</v>
      </c>
      <c r="B3553" s="24" t="s">
        <v>63</v>
      </c>
      <c r="C3553" s="24" t="s">
        <v>207</v>
      </c>
      <c r="D3553" s="33" t="n">
        <v>55</v>
      </c>
      <c r="E3553" s="24" t="n">
        <v>0</v>
      </c>
      <c r="F3553" s="37" t="n">
        <f aca="false">DATE(YEAR(A3553),MONTH(A3553),1)</f>
        <v>46113</v>
      </c>
      <c r="G3553" s="24" t="str">
        <f aca="false">INDEX(Products!$C$2:$C$49,MATCH(C3553,Products!$A$2:$A$49,0))</f>
        <v>Snacks &amp; Confectionery</v>
      </c>
      <c r="H3553" s="33" t="n">
        <f aca="false">D3553*INDEX(Products!$E$2:$E$49,MATCH(C3553,Products!$A$2:$A$49,0))</f>
        <v>9900</v>
      </c>
      <c r="I3553" s="33" t="n">
        <f aca="false">D3553*INDEX(Products!$D$2:$D$49,MATCH(C3553,Products!$A$2:$A$49,0))*(1+INDEX(Assumptions!$B$16:$B$20,MATCH(B3553,Assumptions!$A$16:$A$20,0)))</f>
        <v>7040.88</v>
      </c>
      <c r="J3553" s="33" t="n">
        <f aca="false">H3553-I3553</f>
        <v>2859.12</v>
      </c>
      <c r="K3553" s="33" t="n">
        <f aca="false">IF(OR(E3553=0,E3553&gt;=7),0,D3553/(7-E3553)*E3553*INDEX(Products!$E$2:$E$49,MATCH(C3553,Products!$A$2:$A$49,0)))</f>
        <v>0</v>
      </c>
    </row>
    <row r="3554" customFormat="false" ht="15" hidden="false" customHeight="false" outlineLevel="0" collapsed="false">
      <c r="A3554" s="36" t="n">
        <v>46132</v>
      </c>
      <c r="B3554" s="24" t="s">
        <v>63</v>
      </c>
      <c r="C3554" s="24" t="s">
        <v>207</v>
      </c>
      <c r="D3554" s="33" t="n">
        <v>74</v>
      </c>
      <c r="E3554" s="24" t="n">
        <v>0</v>
      </c>
      <c r="F3554" s="37" t="n">
        <f aca="false">DATE(YEAR(A3554),MONTH(A3554),1)</f>
        <v>46113</v>
      </c>
      <c r="G3554" s="24" t="str">
        <f aca="false">INDEX(Products!$C$2:$C$49,MATCH(C3554,Products!$A$2:$A$49,0))</f>
        <v>Snacks &amp; Confectionery</v>
      </c>
      <c r="H3554" s="33" t="n">
        <f aca="false">D3554*INDEX(Products!$E$2:$E$49,MATCH(C3554,Products!$A$2:$A$49,0))</f>
        <v>13320</v>
      </c>
      <c r="I3554" s="33" t="n">
        <f aca="false">D3554*INDEX(Products!$D$2:$D$49,MATCH(C3554,Products!$A$2:$A$49,0))*(1+INDEX(Assumptions!$B$16:$B$20,MATCH(B3554,Assumptions!$A$16:$A$20,0)))</f>
        <v>9473.184</v>
      </c>
      <c r="J3554" s="33" t="n">
        <f aca="false">H3554-I3554</f>
        <v>3846.816</v>
      </c>
      <c r="K3554" s="33" t="n">
        <f aca="false">IF(OR(E3554=0,E3554&gt;=7),0,D3554/(7-E3554)*E3554*INDEX(Products!$E$2:$E$49,MATCH(C3554,Products!$A$2:$A$49,0)))</f>
        <v>0</v>
      </c>
    </row>
    <row r="3555" customFormat="false" ht="15" hidden="false" customHeight="false" outlineLevel="0" collapsed="false">
      <c r="A3555" s="36" t="n">
        <v>46139</v>
      </c>
      <c r="B3555" s="24" t="s">
        <v>63</v>
      </c>
      <c r="C3555" s="24" t="s">
        <v>207</v>
      </c>
      <c r="D3555" s="33" t="n">
        <v>62</v>
      </c>
      <c r="E3555" s="24" t="n">
        <v>0</v>
      </c>
      <c r="F3555" s="37" t="n">
        <f aca="false">DATE(YEAR(A3555),MONTH(A3555),1)</f>
        <v>46113</v>
      </c>
      <c r="G3555" s="24" t="str">
        <f aca="false">INDEX(Products!$C$2:$C$49,MATCH(C3555,Products!$A$2:$A$49,0))</f>
        <v>Snacks &amp; Confectionery</v>
      </c>
      <c r="H3555" s="33" t="n">
        <f aca="false">D3555*INDEX(Products!$E$2:$E$49,MATCH(C3555,Products!$A$2:$A$49,0))</f>
        <v>11160</v>
      </c>
      <c r="I3555" s="33" t="n">
        <f aca="false">D3555*INDEX(Products!$D$2:$D$49,MATCH(C3555,Products!$A$2:$A$49,0))*(1+INDEX(Assumptions!$B$16:$B$20,MATCH(B3555,Assumptions!$A$16:$A$20,0)))</f>
        <v>7936.992</v>
      </c>
      <c r="J3555" s="33" t="n">
        <f aca="false">H3555-I3555</f>
        <v>3223.008</v>
      </c>
      <c r="K3555" s="33" t="n">
        <f aca="false">IF(OR(E3555=0,E3555&gt;=7),0,D3555/(7-E3555)*E3555*INDEX(Products!$E$2:$E$49,MATCH(C3555,Products!$A$2:$A$49,0)))</f>
        <v>0</v>
      </c>
    </row>
    <row r="3556" customFormat="false" ht="15" hidden="false" customHeight="false" outlineLevel="0" collapsed="false">
      <c r="A3556" s="36" t="n">
        <v>46146</v>
      </c>
      <c r="B3556" s="24" t="s">
        <v>63</v>
      </c>
      <c r="C3556" s="24" t="s">
        <v>207</v>
      </c>
      <c r="D3556" s="33" t="n">
        <v>51</v>
      </c>
      <c r="E3556" s="24" t="n">
        <v>0</v>
      </c>
      <c r="F3556" s="37" t="n">
        <f aca="false">DATE(YEAR(A3556),MONTH(A3556),1)</f>
        <v>46143</v>
      </c>
      <c r="G3556" s="24" t="str">
        <f aca="false">INDEX(Products!$C$2:$C$49,MATCH(C3556,Products!$A$2:$A$49,0))</f>
        <v>Snacks &amp; Confectionery</v>
      </c>
      <c r="H3556" s="33" t="n">
        <f aca="false">D3556*INDEX(Products!$E$2:$E$49,MATCH(C3556,Products!$A$2:$A$49,0))</f>
        <v>9180</v>
      </c>
      <c r="I3556" s="33" t="n">
        <f aca="false">D3556*INDEX(Products!$D$2:$D$49,MATCH(C3556,Products!$A$2:$A$49,0))*(1+INDEX(Assumptions!$B$16:$B$20,MATCH(B3556,Assumptions!$A$16:$A$20,0)))</f>
        <v>6528.816</v>
      </c>
      <c r="J3556" s="33" t="n">
        <f aca="false">H3556-I3556</f>
        <v>2651.184</v>
      </c>
      <c r="K3556" s="33" t="n">
        <f aca="false">IF(OR(E3556=0,E3556&gt;=7),0,D3556/(7-E3556)*E3556*INDEX(Products!$E$2:$E$49,MATCH(C3556,Products!$A$2:$A$49,0)))</f>
        <v>0</v>
      </c>
    </row>
    <row r="3557" customFormat="false" ht="15" hidden="false" customHeight="false" outlineLevel="0" collapsed="false">
      <c r="A3557" s="36" t="n">
        <v>46153</v>
      </c>
      <c r="B3557" s="24" t="s">
        <v>63</v>
      </c>
      <c r="C3557" s="24" t="s">
        <v>207</v>
      </c>
      <c r="D3557" s="33" t="n">
        <v>50</v>
      </c>
      <c r="E3557" s="24" t="n">
        <v>0</v>
      </c>
      <c r="F3557" s="37" t="n">
        <f aca="false">DATE(YEAR(A3557),MONTH(A3557),1)</f>
        <v>46143</v>
      </c>
      <c r="G3557" s="24" t="str">
        <f aca="false">INDEX(Products!$C$2:$C$49,MATCH(C3557,Products!$A$2:$A$49,0))</f>
        <v>Snacks &amp; Confectionery</v>
      </c>
      <c r="H3557" s="33" t="n">
        <f aca="false">D3557*INDEX(Products!$E$2:$E$49,MATCH(C3557,Products!$A$2:$A$49,0))</f>
        <v>9000</v>
      </c>
      <c r="I3557" s="33" t="n">
        <f aca="false">D3557*INDEX(Products!$D$2:$D$49,MATCH(C3557,Products!$A$2:$A$49,0))*(1+INDEX(Assumptions!$B$16:$B$20,MATCH(B3557,Assumptions!$A$16:$A$20,0)))</f>
        <v>6400.8</v>
      </c>
      <c r="J3557" s="33" t="n">
        <f aca="false">H3557-I3557</f>
        <v>2599.2</v>
      </c>
      <c r="K3557" s="33" t="n">
        <f aca="false">IF(OR(E3557=0,E3557&gt;=7),0,D3557/(7-E3557)*E3557*INDEX(Products!$E$2:$E$49,MATCH(C3557,Products!$A$2:$A$49,0)))</f>
        <v>0</v>
      </c>
    </row>
    <row r="3558" customFormat="false" ht="15" hidden="false" customHeight="false" outlineLevel="0" collapsed="false">
      <c r="A3558" s="36" t="n">
        <v>46160</v>
      </c>
      <c r="B3558" s="24" t="s">
        <v>63</v>
      </c>
      <c r="C3558" s="24" t="s">
        <v>207</v>
      </c>
      <c r="D3558" s="33" t="n">
        <v>51</v>
      </c>
      <c r="E3558" s="24" t="n">
        <v>0</v>
      </c>
      <c r="F3558" s="37" t="n">
        <f aca="false">DATE(YEAR(A3558),MONTH(A3558),1)</f>
        <v>46143</v>
      </c>
      <c r="G3558" s="24" t="str">
        <f aca="false">INDEX(Products!$C$2:$C$49,MATCH(C3558,Products!$A$2:$A$49,0))</f>
        <v>Snacks &amp; Confectionery</v>
      </c>
      <c r="H3558" s="33" t="n">
        <f aca="false">D3558*INDEX(Products!$E$2:$E$49,MATCH(C3558,Products!$A$2:$A$49,0))</f>
        <v>9180</v>
      </c>
      <c r="I3558" s="33" t="n">
        <f aca="false">D3558*INDEX(Products!$D$2:$D$49,MATCH(C3558,Products!$A$2:$A$49,0))*(1+INDEX(Assumptions!$B$16:$B$20,MATCH(B3558,Assumptions!$A$16:$A$20,0)))</f>
        <v>6528.816</v>
      </c>
      <c r="J3558" s="33" t="n">
        <f aca="false">H3558-I3558</f>
        <v>2651.184</v>
      </c>
      <c r="K3558" s="33" t="n">
        <f aca="false">IF(OR(E3558=0,E3558&gt;=7),0,D3558/(7-E3558)*E3558*INDEX(Products!$E$2:$E$49,MATCH(C3558,Products!$A$2:$A$49,0)))</f>
        <v>0</v>
      </c>
    </row>
    <row r="3559" customFormat="false" ht="15" hidden="false" customHeight="false" outlineLevel="0" collapsed="false">
      <c r="A3559" s="36" t="n">
        <v>46167</v>
      </c>
      <c r="B3559" s="24" t="s">
        <v>63</v>
      </c>
      <c r="C3559" s="24" t="s">
        <v>207</v>
      </c>
      <c r="D3559" s="33" t="n">
        <v>50</v>
      </c>
      <c r="E3559" s="24" t="n">
        <v>0</v>
      </c>
      <c r="F3559" s="37" t="n">
        <f aca="false">DATE(YEAR(A3559),MONTH(A3559),1)</f>
        <v>46143</v>
      </c>
      <c r="G3559" s="24" t="str">
        <f aca="false">INDEX(Products!$C$2:$C$49,MATCH(C3559,Products!$A$2:$A$49,0))</f>
        <v>Snacks &amp; Confectionery</v>
      </c>
      <c r="H3559" s="33" t="n">
        <f aca="false">D3559*INDEX(Products!$E$2:$E$49,MATCH(C3559,Products!$A$2:$A$49,0))</f>
        <v>9000</v>
      </c>
      <c r="I3559" s="33" t="n">
        <f aca="false">D3559*INDEX(Products!$D$2:$D$49,MATCH(C3559,Products!$A$2:$A$49,0))*(1+INDEX(Assumptions!$B$16:$B$20,MATCH(B3559,Assumptions!$A$16:$A$20,0)))</f>
        <v>6400.8</v>
      </c>
      <c r="J3559" s="33" t="n">
        <f aca="false">H3559-I3559</f>
        <v>2599.2</v>
      </c>
      <c r="K3559" s="33" t="n">
        <f aca="false">IF(OR(E3559=0,E3559&gt;=7),0,D3559/(7-E3559)*E3559*INDEX(Products!$E$2:$E$49,MATCH(C3559,Products!$A$2:$A$49,0)))</f>
        <v>0</v>
      </c>
    </row>
    <row r="3560" customFormat="false" ht="15" hidden="false" customHeight="false" outlineLevel="0" collapsed="false">
      <c r="A3560" s="36" t="n">
        <v>46174</v>
      </c>
      <c r="B3560" s="24" t="s">
        <v>63</v>
      </c>
      <c r="C3560" s="24" t="s">
        <v>207</v>
      </c>
      <c r="D3560" s="33" t="n">
        <v>52</v>
      </c>
      <c r="E3560" s="24" t="n">
        <v>0</v>
      </c>
      <c r="F3560" s="37" t="n">
        <f aca="false">DATE(YEAR(A3560),MONTH(A3560),1)</f>
        <v>46174</v>
      </c>
      <c r="G3560" s="24" t="str">
        <f aca="false">INDEX(Products!$C$2:$C$49,MATCH(C3560,Products!$A$2:$A$49,0))</f>
        <v>Snacks &amp; Confectionery</v>
      </c>
      <c r="H3560" s="33" t="n">
        <f aca="false">D3560*INDEX(Products!$E$2:$E$49,MATCH(C3560,Products!$A$2:$A$49,0))</f>
        <v>9360</v>
      </c>
      <c r="I3560" s="33" t="n">
        <f aca="false">D3560*INDEX(Products!$D$2:$D$49,MATCH(C3560,Products!$A$2:$A$49,0))*(1+INDEX(Assumptions!$B$16:$B$20,MATCH(B3560,Assumptions!$A$16:$A$20,0)))</f>
        <v>6656.832</v>
      </c>
      <c r="J3560" s="33" t="n">
        <f aca="false">H3560-I3560</f>
        <v>2703.168</v>
      </c>
      <c r="K3560" s="33" t="n">
        <f aca="false">IF(OR(E3560=0,E3560&gt;=7),0,D3560/(7-E3560)*E3560*INDEX(Products!$E$2:$E$49,MATCH(C3560,Products!$A$2:$A$49,0)))</f>
        <v>0</v>
      </c>
    </row>
    <row r="3561" customFormat="false" ht="15" hidden="false" customHeight="false" outlineLevel="0" collapsed="false">
      <c r="A3561" s="36" t="n">
        <v>46181</v>
      </c>
      <c r="B3561" s="24" t="s">
        <v>63</v>
      </c>
      <c r="C3561" s="24" t="s">
        <v>207</v>
      </c>
      <c r="D3561" s="33" t="n">
        <v>44</v>
      </c>
      <c r="E3561" s="24" t="n">
        <v>0</v>
      </c>
      <c r="F3561" s="37" t="n">
        <f aca="false">DATE(YEAR(A3561),MONTH(A3561),1)</f>
        <v>46174</v>
      </c>
      <c r="G3561" s="24" t="str">
        <f aca="false">INDEX(Products!$C$2:$C$49,MATCH(C3561,Products!$A$2:$A$49,0))</f>
        <v>Snacks &amp; Confectionery</v>
      </c>
      <c r="H3561" s="33" t="n">
        <f aca="false">D3561*INDEX(Products!$E$2:$E$49,MATCH(C3561,Products!$A$2:$A$49,0))</f>
        <v>7920</v>
      </c>
      <c r="I3561" s="33" t="n">
        <f aca="false">D3561*INDEX(Products!$D$2:$D$49,MATCH(C3561,Products!$A$2:$A$49,0))*(1+INDEX(Assumptions!$B$16:$B$20,MATCH(B3561,Assumptions!$A$16:$A$20,0)))</f>
        <v>5632.704</v>
      </c>
      <c r="J3561" s="33" t="n">
        <f aca="false">H3561-I3561</f>
        <v>2287.296</v>
      </c>
      <c r="K3561" s="33" t="n">
        <f aca="false">IF(OR(E3561=0,E3561&gt;=7),0,D3561/(7-E3561)*E3561*INDEX(Products!$E$2:$E$49,MATCH(C3561,Products!$A$2:$A$49,0)))</f>
        <v>0</v>
      </c>
    </row>
    <row r="3562" customFormat="false" ht="15" hidden="false" customHeight="false" outlineLevel="0" collapsed="false">
      <c r="A3562" s="36" t="n">
        <v>46188</v>
      </c>
      <c r="B3562" s="24" t="s">
        <v>63</v>
      </c>
      <c r="C3562" s="24" t="s">
        <v>207</v>
      </c>
      <c r="D3562" s="33" t="n">
        <v>42</v>
      </c>
      <c r="E3562" s="24" t="n">
        <v>0</v>
      </c>
      <c r="F3562" s="37" t="n">
        <f aca="false">DATE(YEAR(A3562),MONTH(A3562),1)</f>
        <v>46174</v>
      </c>
      <c r="G3562" s="24" t="str">
        <f aca="false">INDEX(Products!$C$2:$C$49,MATCH(C3562,Products!$A$2:$A$49,0))</f>
        <v>Snacks &amp; Confectionery</v>
      </c>
      <c r="H3562" s="33" t="n">
        <f aca="false">D3562*INDEX(Products!$E$2:$E$49,MATCH(C3562,Products!$A$2:$A$49,0))</f>
        <v>7560</v>
      </c>
      <c r="I3562" s="33" t="n">
        <f aca="false">D3562*INDEX(Products!$D$2:$D$49,MATCH(C3562,Products!$A$2:$A$49,0))*(1+INDEX(Assumptions!$B$16:$B$20,MATCH(B3562,Assumptions!$A$16:$A$20,0)))</f>
        <v>5376.672</v>
      </c>
      <c r="J3562" s="33" t="n">
        <f aca="false">H3562-I3562</f>
        <v>2183.328</v>
      </c>
      <c r="K3562" s="33" t="n">
        <f aca="false">IF(OR(E3562=0,E3562&gt;=7),0,D3562/(7-E3562)*E3562*INDEX(Products!$E$2:$E$49,MATCH(C3562,Products!$A$2:$A$49,0)))</f>
        <v>0</v>
      </c>
    </row>
    <row r="3563" customFormat="false" ht="15" hidden="false" customHeight="false" outlineLevel="0" collapsed="false">
      <c r="A3563" s="36" t="n">
        <v>46195</v>
      </c>
      <c r="B3563" s="24" t="s">
        <v>63</v>
      </c>
      <c r="C3563" s="24" t="s">
        <v>207</v>
      </c>
      <c r="D3563" s="33" t="n">
        <v>53</v>
      </c>
      <c r="E3563" s="24" t="n">
        <v>0</v>
      </c>
      <c r="F3563" s="37" t="n">
        <f aca="false">DATE(YEAR(A3563),MONTH(A3563),1)</f>
        <v>46174</v>
      </c>
      <c r="G3563" s="24" t="str">
        <f aca="false">INDEX(Products!$C$2:$C$49,MATCH(C3563,Products!$A$2:$A$49,0))</f>
        <v>Snacks &amp; Confectionery</v>
      </c>
      <c r="H3563" s="33" t="n">
        <f aca="false">D3563*INDEX(Products!$E$2:$E$49,MATCH(C3563,Products!$A$2:$A$49,0))</f>
        <v>9540</v>
      </c>
      <c r="I3563" s="33" t="n">
        <f aca="false">D3563*INDEX(Products!$D$2:$D$49,MATCH(C3563,Products!$A$2:$A$49,0))*(1+INDEX(Assumptions!$B$16:$B$20,MATCH(B3563,Assumptions!$A$16:$A$20,0)))</f>
        <v>6784.848</v>
      </c>
      <c r="J3563" s="33" t="n">
        <f aca="false">H3563-I3563</f>
        <v>2755.152</v>
      </c>
      <c r="K3563" s="33" t="n">
        <f aca="false">IF(OR(E3563=0,E3563&gt;=7),0,D3563/(7-E3563)*E3563*INDEX(Products!$E$2:$E$49,MATCH(C3563,Products!$A$2:$A$49,0)))</f>
        <v>0</v>
      </c>
    </row>
    <row r="3564" customFormat="false" ht="15" hidden="false" customHeight="false" outlineLevel="0" collapsed="false">
      <c r="A3564" s="36" t="n">
        <v>46202</v>
      </c>
      <c r="B3564" s="24" t="s">
        <v>63</v>
      </c>
      <c r="C3564" s="24" t="s">
        <v>207</v>
      </c>
      <c r="D3564" s="33" t="n">
        <v>43</v>
      </c>
      <c r="E3564" s="24" t="n">
        <v>0</v>
      </c>
      <c r="F3564" s="37" t="n">
        <f aca="false">DATE(YEAR(A3564),MONTH(A3564),1)</f>
        <v>46174</v>
      </c>
      <c r="G3564" s="24" t="str">
        <f aca="false">INDEX(Products!$C$2:$C$49,MATCH(C3564,Products!$A$2:$A$49,0))</f>
        <v>Snacks &amp; Confectionery</v>
      </c>
      <c r="H3564" s="33" t="n">
        <f aca="false">D3564*INDEX(Products!$E$2:$E$49,MATCH(C3564,Products!$A$2:$A$49,0))</f>
        <v>7740</v>
      </c>
      <c r="I3564" s="33" t="n">
        <f aca="false">D3564*INDEX(Products!$D$2:$D$49,MATCH(C3564,Products!$A$2:$A$49,0))*(1+INDEX(Assumptions!$B$16:$B$20,MATCH(B3564,Assumptions!$A$16:$A$20,0)))</f>
        <v>5504.688</v>
      </c>
      <c r="J3564" s="33" t="n">
        <f aca="false">H3564-I3564</f>
        <v>2235.312</v>
      </c>
      <c r="K3564" s="33" t="n">
        <f aca="false">IF(OR(E3564=0,E3564&gt;=7),0,D3564/(7-E3564)*E3564*INDEX(Products!$E$2:$E$49,MATCH(C3564,Products!$A$2:$A$49,0)))</f>
        <v>0</v>
      </c>
    </row>
    <row r="3565" customFormat="false" ht="15" hidden="false" customHeight="false" outlineLevel="0" collapsed="false">
      <c r="A3565" s="36" t="n">
        <v>46209</v>
      </c>
      <c r="B3565" s="24" t="s">
        <v>63</v>
      </c>
      <c r="C3565" s="24" t="s">
        <v>207</v>
      </c>
      <c r="D3565" s="33" t="n">
        <v>39</v>
      </c>
      <c r="E3565" s="24" t="n">
        <v>0</v>
      </c>
      <c r="F3565" s="37" t="n">
        <f aca="false">DATE(YEAR(A3565),MONTH(A3565),1)</f>
        <v>46204</v>
      </c>
      <c r="G3565" s="24" t="str">
        <f aca="false">INDEX(Products!$C$2:$C$49,MATCH(C3565,Products!$A$2:$A$49,0))</f>
        <v>Snacks &amp; Confectionery</v>
      </c>
      <c r="H3565" s="33" t="n">
        <f aca="false">D3565*INDEX(Products!$E$2:$E$49,MATCH(C3565,Products!$A$2:$A$49,0))</f>
        <v>7020</v>
      </c>
      <c r="I3565" s="33" t="n">
        <f aca="false">D3565*INDEX(Products!$D$2:$D$49,MATCH(C3565,Products!$A$2:$A$49,0))*(1+INDEX(Assumptions!$B$16:$B$20,MATCH(B3565,Assumptions!$A$16:$A$20,0)))</f>
        <v>4992.624</v>
      </c>
      <c r="J3565" s="33" t="n">
        <f aca="false">H3565-I3565</f>
        <v>2027.376</v>
      </c>
      <c r="K3565" s="33" t="n">
        <f aca="false">IF(OR(E3565=0,E3565&gt;=7),0,D3565/(7-E3565)*E3565*INDEX(Products!$E$2:$E$49,MATCH(C3565,Products!$A$2:$A$49,0)))</f>
        <v>0</v>
      </c>
    </row>
    <row r="3566" customFormat="false" ht="15" hidden="false" customHeight="false" outlineLevel="0" collapsed="false">
      <c r="A3566" s="36" t="n">
        <v>46216</v>
      </c>
      <c r="B3566" s="24" t="s">
        <v>63</v>
      </c>
      <c r="C3566" s="24" t="s">
        <v>207</v>
      </c>
      <c r="D3566" s="33" t="n">
        <v>51</v>
      </c>
      <c r="E3566" s="24" t="n">
        <v>0</v>
      </c>
      <c r="F3566" s="37" t="n">
        <f aca="false">DATE(YEAR(A3566),MONTH(A3566),1)</f>
        <v>46204</v>
      </c>
      <c r="G3566" s="24" t="str">
        <f aca="false">INDEX(Products!$C$2:$C$49,MATCH(C3566,Products!$A$2:$A$49,0))</f>
        <v>Snacks &amp; Confectionery</v>
      </c>
      <c r="H3566" s="33" t="n">
        <f aca="false">D3566*INDEX(Products!$E$2:$E$49,MATCH(C3566,Products!$A$2:$A$49,0))</f>
        <v>9180</v>
      </c>
      <c r="I3566" s="33" t="n">
        <f aca="false">D3566*INDEX(Products!$D$2:$D$49,MATCH(C3566,Products!$A$2:$A$49,0))*(1+INDEX(Assumptions!$B$16:$B$20,MATCH(B3566,Assumptions!$A$16:$A$20,0)))</f>
        <v>6528.816</v>
      </c>
      <c r="J3566" s="33" t="n">
        <f aca="false">H3566-I3566</f>
        <v>2651.184</v>
      </c>
      <c r="K3566" s="33" t="n">
        <f aca="false">IF(OR(E3566=0,E3566&gt;=7),0,D3566/(7-E3566)*E3566*INDEX(Products!$E$2:$E$49,MATCH(C3566,Products!$A$2:$A$49,0)))</f>
        <v>0</v>
      </c>
    </row>
    <row r="3567" customFormat="false" ht="15" hidden="false" customHeight="false" outlineLevel="0" collapsed="false">
      <c r="A3567" s="36" t="n">
        <v>46223</v>
      </c>
      <c r="B3567" s="24" t="s">
        <v>63</v>
      </c>
      <c r="C3567" s="24" t="s">
        <v>207</v>
      </c>
      <c r="D3567" s="33" t="n">
        <v>57</v>
      </c>
      <c r="E3567" s="24" t="n">
        <v>0</v>
      </c>
      <c r="F3567" s="37" t="n">
        <f aca="false">DATE(YEAR(A3567),MONTH(A3567),1)</f>
        <v>46204</v>
      </c>
      <c r="G3567" s="24" t="str">
        <f aca="false">INDEX(Products!$C$2:$C$49,MATCH(C3567,Products!$A$2:$A$49,0))</f>
        <v>Snacks &amp; Confectionery</v>
      </c>
      <c r="H3567" s="33" t="n">
        <f aca="false">D3567*INDEX(Products!$E$2:$E$49,MATCH(C3567,Products!$A$2:$A$49,0))</f>
        <v>10260</v>
      </c>
      <c r="I3567" s="33" t="n">
        <f aca="false">D3567*INDEX(Products!$D$2:$D$49,MATCH(C3567,Products!$A$2:$A$49,0))*(1+INDEX(Assumptions!$B$16:$B$20,MATCH(B3567,Assumptions!$A$16:$A$20,0)))</f>
        <v>7296.912</v>
      </c>
      <c r="J3567" s="33" t="n">
        <f aca="false">H3567-I3567</f>
        <v>2963.088</v>
      </c>
      <c r="K3567" s="33" t="n">
        <f aca="false">IF(OR(E3567=0,E3567&gt;=7),0,D3567/(7-E3567)*E3567*INDEX(Products!$E$2:$E$49,MATCH(C3567,Products!$A$2:$A$49,0)))</f>
        <v>0</v>
      </c>
    </row>
    <row r="3568" customFormat="false" ht="15" hidden="false" customHeight="false" outlineLevel="0" collapsed="false">
      <c r="A3568" s="36" t="n">
        <v>46230</v>
      </c>
      <c r="B3568" s="24" t="s">
        <v>63</v>
      </c>
      <c r="C3568" s="24" t="s">
        <v>207</v>
      </c>
      <c r="D3568" s="33" t="n">
        <v>62</v>
      </c>
      <c r="E3568" s="24" t="n">
        <v>0</v>
      </c>
      <c r="F3568" s="37" t="n">
        <f aca="false">DATE(YEAR(A3568),MONTH(A3568),1)</f>
        <v>46204</v>
      </c>
      <c r="G3568" s="24" t="str">
        <f aca="false">INDEX(Products!$C$2:$C$49,MATCH(C3568,Products!$A$2:$A$49,0))</f>
        <v>Snacks &amp; Confectionery</v>
      </c>
      <c r="H3568" s="33" t="n">
        <f aca="false">D3568*INDEX(Products!$E$2:$E$49,MATCH(C3568,Products!$A$2:$A$49,0))</f>
        <v>11160</v>
      </c>
      <c r="I3568" s="33" t="n">
        <f aca="false">D3568*INDEX(Products!$D$2:$D$49,MATCH(C3568,Products!$A$2:$A$49,0))*(1+INDEX(Assumptions!$B$16:$B$20,MATCH(B3568,Assumptions!$A$16:$A$20,0)))</f>
        <v>7936.992</v>
      </c>
      <c r="J3568" s="33" t="n">
        <f aca="false">H3568-I3568</f>
        <v>3223.008</v>
      </c>
      <c r="K3568" s="33" t="n">
        <f aca="false">IF(OR(E3568=0,E3568&gt;=7),0,D3568/(7-E3568)*E3568*INDEX(Products!$E$2:$E$49,MATCH(C3568,Products!$A$2:$A$49,0)))</f>
        <v>0</v>
      </c>
    </row>
    <row r="3569" customFormat="false" ht="15" hidden="false" customHeight="false" outlineLevel="0" collapsed="false">
      <c r="A3569" s="36" t="n">
        <v>46237</v>
      </c>
      <c r="B3569" s="24" t="s">
        <v>63</v>
      </c>
      <c r="C3569" s="24" t="s">
        <v>207</v>
      </c>
      <c r="D3569" s="33" t="n">
        <v>45</v>
      </c>
      <c r="E3569" s="24" t="n">
        <v>0</v>
      </c>
      <c r="F3569" s="37" t="n">
        <f aca="false">DATE(YEAR(A3569),MONTH(A3569),1)</f>
        <v>46235</v>
      </c>
      <c r="G3569" s="24" t="str">
        <f aca="false">INDEX(Products!$C$2:$C$49,MATCH(C3569,Products!$A$2:$A$49,0))</f>
        <v>Snacks &amp; Confectionery</v>
      </c>
      <c r="H3569" s="33" t="n">
        <f aca="false">D3569*INDEX(Products!$E$2:$E$49,MATCH(C3569,Products!$A$2:$A$49,0))</f>
        <v>8100</v>
      </c>
      <c r="I3569" s="33" t="n">
        <f aca="false">D3569*INDEX(Products!$D$2:$D$49,MATCH(C3569,Products!$A$2:$A$49,0))*(1+INDEX(Assumptions!$B$16:$B$20,MATCH(B3569,Assumptions!$A$16:$A$20,0)))</f>
        <v>5760.72</v>
      </c>
      <c r="J3569" s="33" t="n">
        <f aca="false">H3569-I3569</f>
        <v>2339.28</v>
      </c>
      <c r="K3569" s="33" t="n">
        <f aca="false">IF(OR(E3569=0,E3569&gt;=7),0,D3569/(7-E3569)*E3569*INDEX(Products!$E$2:$E$49,MATCH(C3569,Products!$A$2:$A$49,0)))</f>
        <v>0</v>
      </c>
    </row>
    <row r="3570" customFormat="false" ht="15" hidden="false" customHeight="false" outlineLevel="0" collapsed="false">
      <c r="A3570" s="36" t="n">
        <v>46244</v>
      </c>
      <c r="B3570" s="24" t="s">
        <v>63</v>
      </c>
      <c r="C3570" s="24" t="s">
        <v>207</v>
      </c>
      <c r="D3570" s="33" t="n">
        <v>42</v>
      </c>
      <c r="E3570" s="24" t="n">
        <v>0</v>
      </c>
      <c r="F3570" s="37" t="n">
        <f aca="false">DATE(YEAR(A3570),MONTH(A3570),1)</f>
        <v>46235</v>
      </c>
      <c r="G3570" s="24" t="str">
        <f aca="false">INDEX(Products!$C$2:$C$49,MATCH(C3570,Products!$A$2:$A$49,0))</f>
        <v>Snacks &amp; Confectionery</v>
      </c>
      <c r="H3570" s="33" t="n">
        <f aca="false">D3570*INDEX(Products!$E$2:$E$49,MATCH(C3570,Products!$A$2:$A$49,0))</f>
        <v>7560</v>
      </c>
      <c r="I3570" s="33" t="n">
        <f aca="false">D3570*INDEX(Products!$D$2:$D$49,MATCH(C3570,Products!$A$2:$A$49,0))*(1+INDEX(Assumptions!$B$16:$B$20,MATCH(B3570,Assumptions!$A$16:$A$20,0)))</f>
        <v>5376.672</v>
      </c>
      <c r="J3570" s="33" t="n">
        <f aca="false">H3570-I3570</f>
        <v>2183.328</v>
      </c>
      <c r="K3570" s="33" t="n">
        <f aca="false">IF(OR(E3570=0,E3570&gt;=7),0,D3570/(7-E3570)*E3570*INDEX(Products!$E$2:$E$49,MATCH(C3570,Products!$A$2:$A$49,0)))</f>
        <v>0</v>
      </c>
    </row>
    <row r="3571" customFormat="false" ht="15" hidden="false" customHeight="false" outlineLevel="0" collapsed="false">
      <c r="A3571" s="36" t="n">
        <v>46251</v>
      </c>
      <c r="B3571" s="24" t="s">
        <v>63</v>
      </c>
      <c r="C3571" s="24" t="s">
        <v>207</v>
      </c>
      <c r="D3571" s="33" t="n">
        <v>45</v>
      </c>
      <c r="E3571" s="24" t="n">
        <v>0</v>
      </c>
      <c r="F3571" s="37" t="n">
        <f aca="false">DATE(YEAR(A3571),MONTH(A3571),1)</f>
        <v>46235</v>
      </c>
      <c r="G3571" s="24" t="str">
        <f aca="false">INDEX(Products!$C$2:$C$49,MATCH(C3571,Products!$A$2:$A$49,0))</f>
        <v>Snacks &amp; Confectionery</v>
      </c>
      <c r="H3571" s="33" t="n">
        <f aca="false">D3571*INDEX(Products!$E$2:$E$49,MATCH(C3571,Products!$A$2:$A$49,0))</f>
        <v>8100</v>
      </c>
      <c r="I3571" s="33" t="n">
        <f aca="false">D3571*INDEX(Products!$D$2:$D$49,MATCH(C3571,Products!$A$2:$A$49,0))*(1+INDEX(Assumptions!$B$16:$B$20,MATCH(B3571,Assumptions!$A$16:$A$20,0)))</f>
        <v>5760.72</v>
      </c>
      <c r="J3571" s="33" t="n">
        <f aca="false">H3571-I3571</f>
        <v>2339.28</v>
      </c>
      <c r="K3571" s="33" t="n">
        <f aca="false">IF(OR(E3571=0,E3571&gt;=7),0,D3571/(7-E3571)*E3571*INDEX(Products!$E$2:$E$49,MATCH(C3571,Products!$A$2:$A$49,0)))</f>
        <v>0</v>
      </c>
    </row>
    <row r="3572" customFormat="false" ht="15" hidden="false" customHeight="false" outlineLevel="0" collapsed="false">
      <c r="A3572" s="36" t="n">
        <v>46258</v>
      </c>
      <c r="B3572" s="24" t="s">
        <v>63</v>
      </c>
      <c r="C3572" s="24" t="s">
        <v>207</v>
      </c>
      <c r="D3572" s="33" t="n">
        <v>49</v>
      </c>
      <c r="E3572" s="24" t="n">
        <v>0</v>
      </c>
      <c r="F3572" s="37" t="n">
        <f aca="false">DATE(YEAR(A3572),MONTH(A3572),1)</f>
        <v>46235</v>
      </c>
      <c r="G3572" s="24" t="str">
        <f aca="false">INDEX(Products!$C$2:$C$49,MATCH(C3572,Products!$A$2:$A$49,0))</f>
        <v>Snacks &amp; Confectionery</v>
      </c>
      <c r="H3572" s="33" t="n">
        <f aca="false">D3572*INDEX(Products!$E$2:$E$49,MATCH(C3572,Products!$A$2:$A$49,0))</f>
        <v>8820</v>
      </c>
      <c r="I3572" s="33" t="n">
        <f aca="false">D3572*INDEX(Products!$D$2:$D$49,MATCH(C3572,Products!$A$2:$A$49,0))*(1+INDEX(Assumptions!$B$16:$B$20,MATCH(B3572,Assumptions!$A$16:$A$20,0)))</f>
        <v>6272.784</v>
      </c>
      <c r="J3572" s="33" t="n">
        <f aca="false">H3572-I3572</f>
        <v>2547.216</v>
      </c>
      <c r="K3572" s="33" t="n">
        <f aca="false">IF(OR(E3572=0,E3572&gt;=7),0,D3572/(7-E3572)*E3572*INDEX(Products!$E$2:$E$49,MATCH(C3572,Products!$A$2:$A$49,0)))</f>
        <v>0</v>
      </c>
    </row>
    <row r="3573" customFormat="false" ht="15" hidden="false" customHeight="false" outlineLevel="0" collapsed="false">
      <c r="A3573" s="36" t="n">
        <v>46265</v>
      </c>
      <c r="B3573" s="24" t="s">
        <v>63</v>
      </c>
      <c r="C3573" s="24" t="s">
        <v>207</v>
      </c>
      <c r="D3573" s="33" t="n">
        <v>56</v>
      </c>
      <c r="E3573" s="24" t="n">
        <v>0</v>
      </c>
      <c r="F3573" s="37" t="n">
        <f aca="false">DATE(YEAR(A3573),MONTH(A3573),1)</f>
        <v>46235</v>
      </c>
      <c r="G3573" s="24" t="str">
        <f aca="false">INDEX(Products!$C$2:$C$49,MATCH(C3573,Products!$A$2:$A$49,0))</f>
        <v>Snacks &amp; Confectionery</v>
      </c>
      <c r="H3573" s="33" t="n">
        <f aca="false">D3573*INDEX(Products!$E$2:$E$49,MATCH(C3573,Products!$A$2:$A$49,0))</f>
        <v>10080</v>
      </c>
      <c r="I3573" s="33" t="n">
        <f aca="false">D3573*INDEX(Products!$D$2:$D$49,MATCH(C3573,Products!$A$2:$A$49,0))*(1+INDEX(Assumptions!$B$16:$B$20,MATCH(B3573,Assumptions!$A$16:$A$20,0)))</f>
        <v>7168.896</v>
      </c>
      <c r="J3573" s="33" t="n">
        <f aca="false">H3573-I3573</f>
        <v>2911.104</v>
      </c>
      <c r="K3573" s="33" t="n">
        <f aca="false">IF(OR(E3573=0,E3573&gt;=7),0,D3573/(7-E3573)*E3573*INDEX(Products!$E$2:$E$49,MATCH(C3573,Products!$A$2:$A$49,0)))</f>
        <v>0</v>
      </c>
    </row>
    <row r="3574" customFormat="false" ht="15" hidden="false" customHeight="false" outlineLevel="0" collapsed="false">
      <c r="A3574" s="36" t="n">
        <v>46272</v>
      </c>
      <c r="B3574" s="24" t="s">
        <v>63</v>
      </c>
      <c r="C3574" s="24" t="s">
        <v>207</v>
      </c>
      <c r="D3574" s="33" t="n">
        <v>87</v>
      </c>
      <c r="E3574" s="24" t="n">
        <v>0</v>
      </c>
      <c r="F3574" s="37" t="n">
        <f aca="false">DATE(YEAR(A3574),MONTH(A3574),1)</f>
        <v>46266</v>
      </c>
      <c r="G3574" s="24" t="str">
        <f aca="false">INDEX(Products!$C$2:$C$49,MATCH(C3574,Products!$A$2:$A$49,0))</f>
        <v>Snacks &amp; Confectionery</v>
      </c>
      <c r="H3574" s="33" t="n">
        <f aca="false">D3574*INDEX(Products!$E$2:$E$49,MATCH(C3574,Products!$A$2:$A$49,0))</f>
        <v>15660</v>
      </c>
      <c r="I3574" s="33" t="n">
        <f aca="false">D3574*INDEX(Products!$D$2:$D$49,MATCH(C3574,Products!$A$2:$A$49,0))*(1+INDEX(Assumptions!$B$16:$B$20,MATCH(B3574,Assumptions!$A$16:$A$20,0)))</f>
        <v>11137.392</v>
      </c>
      <c r="J3574" s="33" t="n">
        <f aca="false">H3574-I3574</f>
        <v>4522.608</v>
      </c>
      <c r="K3574" s="33" t="n">
        <f aca="false">IF(OR(E3574=0,E3574&gt;=7),0,D3574/(7-E3574)*E3574*INDEX(Products!$E$2:$E$49,MATCH(C3574,Products!$A$2:$A$49,0)))</f>
        <v>0</v>
      </c>
    </row>
    <row r="3575" customFormat="false" ht="15" hidden="false" customHeight="false" outlineLevel="0" collapsed="false">
      <c r="A3575" s="36" t="n">
        <v>46279</v>
      </c>
      <c r="B3575" s="24" t="s">
        <v>63</v>
      </c>
      <c r="C3575" s="24" t="s">
        <v>207</v>
      </c>
      <c r="D3575" s="33" t="n">
        <v>53</v>
      </c>
      <c r="E3575" s="24" t="n">
        <v>0</v>
      </c>
      <c r="F3575" s="37" t="n">
        <f aca="false">DATE(YEAR(A3575),MONTH(A3575),1)</f>
        <v>46266</v>
      </c>
      <c r="G3575" s="24" t="str">
        <f aca="false">INDEX(Products!$C$2:$C$49,MATCH(C3575,Products!$A$2:$A$49,0))</f>
        <v>Snacks &amp; Confectionery</v>
      </c>
      <c r="H3575" s="33" t="n">
        <f aca="false">D3575*INDEX(Products!$E$2:$E$49,MATCH(C3575,Products!$A$2:$A$49,0))</f>
        <v>9540</v>
      </c>
      <c r="I3575" s="33" t="n">
        <f aca="false">D3575*INDEX(Products!$D$2:$D$49,MATCH(C3575,Products!$A$2:$A$49,0))*(1+INDEX(Assumptions!$B$16:$B$20,MATCH(B3575,Assumptions!$A$16:$A$20,0)))</f>
        <v>6784.848</v>
      </c>
      <c r="J3575" s="33" t="n">
        <f aca="false">H3575-I3575</f>
        <v>2755.152</v>
      </c>
      <c r="K3575" s="33" t="n">
        <f aca="false">IF(OR(E3575=0,E3575&gt;=7),0,D3575/(7-E3575)*E3575*INDEX(Products!$E$2:$E$49,MATCH(C3575,Products!$A$2:$A$49,0)))</f>
        <v>0</v>
      </c>
    </row>
    <row r="3576" customFormat="false" ht="15" hidden="false" customHeight="false" outlineLevel="0" collapsed="false">
      <c r="A3576" s="36" t="n">
        <v>46286</v>
      </c>
      <c r="B3576" s="24" t="s">
        <v>63</v>
      </c>
      <c r="C3576" s="24" t="s">
        <v>207</v>
      </c>
      <c r="D3576" s="33" t="n">
        <v>63</v>
      </c>
      <c r="E3576" s="24" t="n">
        <v>0</v>
      </c>
      <c r="F3576" s="37" t="n">
        <f aca="false">DATE(YEAR(A3576),MONTH(A3576),1)</f>
        <v>46266</v>
      </c>
      <c r="G3576" s="24" t="str">
        <f aca="false">INDEX(Products!$C$2:$C$49,MATCH(C3576,Products!$A$2:$A$49,0))</f>
        <v>Snacks &amp; Confectionery</v>
      </c>
      <c r="H3576" s="33" t="n">
        <f aca="false">D3576*INDEX(Products!$E$2:$E$49,MATCH(C3576,Products!$A$2:$A$49,0))</f>
        <v>11340</v>
      </c>
      <c r="I3576" s="33" t="n">
        <f aca="false">D3576*INDEX(Products!$D$2:$D$49,MATCH(C3576,Products!$A$2:$A$49,0))*(1+INDEX(Assumptions!$B$16:$B$20,MATCH(B3576,Assumptions!$A$16:$A$20,0)))</f>
        <v>8065.008</v>
      </c>
      <c r="J3576" s="33" t="n">
        <f aca="false">H3576-I3576</f>
        <v>3274.992</v>
      </c>
      <c r="K3576" s="33" t="n">
        <f aca="false">IF(OR(E3576=0,E3576&gt;=7),0,D3576/(7-E3576)*E3576*INDEX(Products!$E$2:$E$49,MATCH(C3576,Products!$A$2:$A$49,0)))</f>
        <v>0</v>
      </c>
    </row>
    <row r="3577" customFormat="false" ht="15" hidden="false" customHeight="false" outlineLevel="0" collapsed="false">
      <c r="A3577" s="36" t="n">
        <v>46118</v>
      </c>
      <c r="B3577" s="24" t="s">
        <v>63</v>
      </c>
      <c r="C3577" s="24" t="s">
        <v>209</v>
      </c>
      <c r="D3577" s="33" t="n">
        <v>78</v>
      </c>
      <c r="E3577" s="24" t="n">
        <v>0</v>
      </c>
      <c r="F3577" s="37" t="n">
        <f aca="false">DATE(YEAR(A3577),MONTH(A3577),1)</f>
        <v>46113</v>
      </c>
      <c r="G3577" s="24" t="str">
        <f aca="false">INDEX(Products!$C$2:$C$49,MATCH(C3577,Products!$A$2:$A$49,0))</f>
        <v>Snacks &amp; Confectionery</v>
      </c>
      <c r="H3577" s="33" t="n">
        <f aca="false">D3577*INDEX(Products!$E$2:$E$49,MATCH(C3577,Products!$A$2:$A$49,0))</f>
        <v>5460</v>
      </c>
      <c r="I3577" s="33" t="n">
        <f aca="false">D3577*INDEX(Products!$D$2:$D$49,MATCH(C3577,Products!$A$2:$A$49,0))*(1+INDEX(Assumptions!$B$16:$B$20,MATCH(B3577,Assumptions!$A$16:$A$20,0)))</f>
        <v>3724.656</v>
      </c>
      <c r="J3577" s="33" t="n">
        <f aca="false">H3577-I3577</f>
        <v>1735.344</v>
      </c>
      <c r="K3577" s="33" t="n">
        <f aca="false">IF(OR(E3577=0,E3577&gt;=7),0,D3577/(7-E3577)*E3577*INDEX(Products!$E$2:$E$49,MATCH(C3577,Products!$A$2:$A$49,0)))</f>
        <v>0</v>
      </c>
    </row>
    <row r="3578" customFormat="false" ht="15" hidden="false" customHeight="false" outlineLevel="0" collapsed="false">
      <c r="A3578" s="36" t="n">
        <v>46125</v>
      </c>
      <c r="B3578" s="24" t="s">
        <v>63</v>
      </c>
      <c r="C3578" s="24" t="s">
        <v>209</v>
      </c>
      <c r="D3578" s="33" t="n">
        <v>81</v>
      </c>
      <c r="E3578" s="24" t="n">
        <v>0</v>
      </c>
      <c r="F3578" s="37" t="n">
        <f aca="false">DATE(YEAR(A3578),MONTH(A3578),1)</f>
        <v>46113</v>
      </c>
      <c r="G3578" s="24" t="str">
        <f aca="false">INDEX(Products!$C$2:$C$49,MATCH(C3578,Products!$A$2:$A$49,0))</f>
        <v>Snacks &amp; Confectionery</v>
      </c>
      <c r="H3578" s="33" t="n">
        <f aca="false">D3578*INDEX(Products!$E$2:$E$49,MATCH(C3578,Products!$A$2:$A$49,0))</f>
        <v>5670</v>
      </c>
      <c r="I3578" s="33" t="n">
        <f aca="false">D3578*INDEX(Products!$D$2:$D$49,MATCH(C3578,Products!$A$2:$A$49,0))*(1+INDEX(Assumptions!$B$16:$B$20,MATCH(B3578,Assumptions!$A$16:$A$20,0)))</f>
        <v>3867.912</v>
      </c>
      <c r="J3578" s="33" t="n">
        <f aca="false">H3578-I3578</f>
        <v>1802.088</v>
      </c>
      <c r="K3578" s="33" t="n">
        <f aca="false">IF(OR(E3578=0,E3578&gt;=7),0,D3578/(7-E3578)*E3578*INDEX(Products!$E$2:$E$49,MATCH(C3578,Products!$A$2:$A$49,0)))</f>
        <v>0</v>
      </c>
    </row>
    <row r="3579" customFormat="false" ht="15" hidden="false" customHeight="false" outlineLevel="0" collapsed="false">
      <c r="A3579" s="36" t="n">
        <v>46132</v>
      </c>
      <c r="B3579" s="24" t="s">
        <v>63</v>
      </c>
      <c r="C3579" s="24" t="s">
        <v>209</v>
      </c>
      <c r="D3579" s="33" t="n">
        <v>88</v>
      </c>
      <c r="E3579" s="24" t="n">
        <v>0</v>
      </c>
      <c r="F3579" s="37" t="n">
        <f aca="false">DATE(YEAR(A3579),MONTH(A3579),1)</f>
        <v>46113</v>
      </c>
      <c r="G3579" s="24" t="str">
        <f aca="false">INDEX(Products!$C$2:$C$49,MATCH(C3579,Products!$A$2:$A$49,0))</f>
        <v>Snacks &amp; Confectionery</v>
      </c>
      <c r="H3579" s="33" t="n">
        <f aca="false">D3579*INDEX(Products!$E$2:$E$49,MATCH(C3579,Products!$A$2:$A$49,0))</f>
        <v>6160</v>
      </c>
      <c r="I3579" s="33" t="n">
        <f aca="false">D3579*INDEX(Products!$D$2:$D$49,MATCH(C3579,Products!$A$2:$A$49,0))*(1+INDEX(Assumptions!$B$16:$B$20,MATCH(B3579,Assumptions!$A$16:$A$20,0)))</f>
        <v>4202.176</v>
      </c>
      <c r="J3579" s="33" t="n">
        <f aca="false">H3579-I3579</f>
        <v>1957.824</v>
      </c>
      <c r="K3579" s="33" t="n">
        <f aca="false">IF(OR(E3579=0,E3579&gt;=7),0,D3579/(7-E3579)*E3579*INDEX(Products!$E$2:$E$49,MATCH(C3579,Products!$A$2:$A$49,0)))</f>
        <v>0</v>
      </c>
    </row>
    <row r="3580" customFormat="false" ht="15" hidden="false" customHeight="false" outlineLevel="0" collapsed="false">
      <c r="A3580" s="36" t="n">
        <v>46139</v>
      </c>
      <c r="B3580" s="24" t="s">
        <v>63</v>
      </c>
      <c r="C3580" s="24" t="s">
        <v>209</v>
      </c>
      <c r="D3580" s="33" t="n">
        <v>44</v>
      </c>
      <c r="E3580" s="24" t="n">
        <v>3</v>
      </c>
      <c r="F3580" s="37" t="n">
        <f aca="false">DATE(YEAR(A3580),MONTH(A3580),1)</f>
        <v>46113</v>
      </c>
      <c r="G3580" s="24" t="str">
        <f aca="false">INDEX(Products!$C$2:$C$49,MATCH(C3580,Products!$A$2:$A$49,0))</f>
        <v>Snacks &amp; Confectionery</v>
      </c>
      <c r="H3580" s="33" t="n">
        <f aca="false">D3580*INDEX(Products!$E$2:$E$49,MATCH(C3580,Products!$A$2:$A$49,0))</f>
        <v>3080</v>
      </c>
      <c r="I3580" s="33" t="n">
        <f aca="false">D3580*INDEX(Products!$D$2:$D$49,MATCH(C3580,Products!$A$2:$A$49,0))*(1+INDEX(Assumptions!$B$16:$B$20,MATCH(B3580,Assumptions!$A$16:$A$20,0)))</f>
        <v>2101.088</v>
      </c>
      <c r="J3580" s="33" t="n">
        <f aca="false">H3580-I3580</f>
        <v>978.912</v>
      </c>
      <c r="K3580" s="33" t="n">
        <f aca="false">IF(OR(E3580=0,E3580&gt;=7),0,D3580/(7-E3580)*E3580*INDEX(Products!$E$2:$E$49,MATCH(C3580,Products!$A$2:$A$49,0)))</f>
        <v>2310</v>
      </c>
    </row>
    <row r="3581" customFormat="false" ht="15" hidden="false" customHeight="false" outlineLevel="0" collapsed="false">
      <c r="A3581" s="36" t="n">
        <v>46146</v>
      </c>
      <c r="B3581" s="24" t="s">
        <v>63</v>
      </c>
      <c r="C3581" s="24" t="s">
        <v>209</v>
      </c>
      <c r="D3581" s="33" t="n">
        <v>75</v>
      </c>
      <c r="E3581" s="24" t="n">
        <v>0</v>
      </c>
      <c r="F3581" s="37" t="n">
        <f aca="false">DATE(YEAR(A3581),MONTH(A3581),1)</f>
        <v>46143</v>
      </c>
      <c r="G3581" s="24" t="str">
        <f aca="false">INDEX(Products!$C$2:$C$49,MATCH(C3581,Products!$A$2:$A$49,0))</f>
        <v>Snacks &amp; Confectionery</v>
      </c>
      <c r="H3581" s="33" t="n">
        <f aca="false">D3581*INDEX(Products!$E$2:$E$49,MATCH(C3581,Products!$A$2:$A$49,0))</f>
        <v>5250</v>
      </c>
      <c r="I3581" s="33" t="n">
        <f aca="false">D3581*INDEX(Products!$D$2:$D$49,MATCH(C3581,Products!$A$2:$A$49,0))*(1+INDEX(Assumptions!$B$16:$B$20,MATCH(B3581,Assumptions!$A$16:$A$20,0)))</f>
        <v>3581.4</v>
      </c>
      <c r="J3581" s="33" t="n">
        <f aca="false">H3581-I3581</f>
        <v>1668.6</v>
      </c>
      <c r="K3581" s="33" t="n">
        <f aca="false">IF(OR(E3581=0,E3581&gt;=7),0,D3581/(7-E3581)*E3581*INDEX(Products!$E$2:$E$49,MATCH(C3581,Products!$A$2:$A$49,0)))</f>
        <v>0</v>
      </c>
    </row>
    <row r="3582" customFormat="false" ht="15" hidden="false" customHeight="false" outlineLevel="0" collapsed="false">
      <c r="A3582" s="36" t="n">
        <v>46153</v>
      </c>
      <c r="B3582" s="24" t="s">
        <v>63</v>
      </c>
      <c r="C3582" s="24" t="s">
        <v>209</v>
      </c>
      <c r="D3582" s="33" t="n">
        <v>57</v>
      </c>
      <c r="E3582" s="24" t="n">
        <v>2</v>
      </c>
      <c r="F3582" s="37" t="n">
        <f aca="false">DATE(YEAR(A3582),MONTH(A3582),1)</f>
        <v>46143</v>
      </c>
      <c r="G3582" s="24" t="str">
        <f aca="false">INDEX(Products!$C$2:$C$49,MATCH(C3582,Products!$A$2:$A$49,0))</f>
        <v>Snacks &amp; Confectionery</v>
      </c>
      <c r="H3582" s="33" t="n">
        <f aca="false">D3582*INDEX(Products!$E$2:$E$49,MATCH(C3582,Products!$A$2:$A$49,0))</f>
        <v>3990</v>
      </c>
      <c r="I3582" s="33" t="n">
        <f aca="false">D3582*INDEX(Products!$D$2:$D$49,MATCH(C3582,Products!$A$2:$A$49,0))*(1+INDEX(Assumptions!$B$16:$B$20,MATCH(B3582,Assumptions!$A$16:$A$20,0)))</f>
        <v>2721.864</v>
      </c>
      <c r="J3582" s="33" t="n">
        <f aca="false">H3582-I3582</f>
        <v>1268.136</v>
      </c>
      <c r="K3582" s="33" t="n">
        <f aca="false">IF(OR(E3582=0,E3582&gt;=7),0,D3582/(7-E3582)*E3582*INDEX(Products!$E$2:$E$49,MATCH(C3582,Products!$A$2:$A$49,0)))</f>
        <v>1596</v>
      </c>
    </row>
    <row r="3583" customFormat="false" ht="15" hidden="false" customHeight="false" outlineLevel="0" collapsed="false">
      <c r="A3583" s="36" t="n">
        <v>46160</v>
      </c>
      <c r="B3583" s="24" t="s">
        <v>63</v>
      </c>
      <c r="C3583" s="24" t="s">
        <v>209</v>
      </c>
      <c r="D3583" s="33" t="n">
        <v>84</v>
      </c>
      <c r="E3583" s="24" t="n">
        <v>0</v>
      </c>
      <c r="F3583" s="37" t="n">
        <f aca="false">DATE(YEAR(A3583),MONTH(A3583),1)</f>
        <v>46143</v>
      </c>
      <c r="G3583" s="24" t="str">
        <f aca="false">INDEX(Products!$C$2:$C$49,MATCH(C3583,Products!$A$2:$A$49,0))</f>
        <v>Snacks &amp; Confectionery</v>
      </c>
      <c r="H3583" s="33" t="n">
        <f aca="false">D3583*INDEX(Products!$E$2:$E$49,MATCH(C3583,Products!$A$2:$A$49,0))</f>
        <v>5880</v>
      </c>
      <c r="I3583" s="33" t="n">
        <f aca="false">D3583*INDEX(Products!$D$2:$D$49,MATCH(C3583,Products!$A$2:$A$49,0))*(1+INDEX(Assumptions!$B$16:$B$20,MATCH(B3583,Assumptions!$A$16:$A$20,0)))</f>
        <v>4011.168</v>
      </c>
      <c r="J3583" s="33" t="n">
        <f aca="false">H3583-I3583</f>
        <v>1868.832</v>
      </c>
      <c r="K3583" s="33" t="n">
        <f aca="false">IF(OR(E3583=0,E3583&gt;=7),0,D3583/(7-E3583)*E3583*INDEX(Products!$E$2:$E$49,MATCH(C3583,Products!$A$2:$A$49,0)))</f>
        <v>0</v>
      </c>
    </row>
    <row r="3584" customFormat="false" ht="15" hidden="false" customHeight="false" outlineLevel="0" collapsed="false">
      <c r="A3584" s="36" t="n">
        <v>46167</v>
      </c>
      <c r="B3584" s="24" t="s">
        <v>63</v>
      </c>
      <c r="C3584" s="24" t="s">
        <v>209</v>
      </c>
      <c r="D3584" s="33" t="n">
        <v>91</v>
      </c>
      <c r="E3584" s="24" t="n">
        <v>0</v>
      </c>
      <c r="F3584" s="37" t="n">
        <f aca="false">DATE(YEAR(A3584),MONTH(A3584),1)</f>
        <v>46143</v>
      </c>
      <c r="G3584" s="24" t="str">
        <f aca="false">INDEX(Products!$C$2:$C$49,MATCH(C3584,Products!$A$2:$A$49,0))</f>
        <v>Snacks &amp; Confectionery</v>
      </c>
      <c r="H3584" s="33" t="n">
        <f aca="false">D3584*INDEX(Products!$E$2:$E$49,MATCH(C3584,Products!$A$2:$A$49,0))</f>
        <v>6370</v>
      </c>
      <c r="I3584" s="33" t="n">
        <f aca="false">D3584*INDEX(Products!$D$2:$D$49,MATCH(C3584,Products!$A$2:$A$49,0))*(1+INDEX(Assumptions!$B$16:$B$20,MATCH(B3584,Assumptions!$A$16:$A$20,0)))</f>
        <v>4345.432</v>
      </c>
      <c r="J3584" s="33" t="n">
        <f aca="false">H3584-I3584</f>
        <v>2024.568</v>
      </c>
      <c r="K3584" s="33" t="n">
        <f aca="false">IF(OR(E3584=0,E3584&gt;=7),0,D3584/(7-E3584)*E3584*INDEX(Products!$E$2:$E$49,MATCH(C3584,Products!$A$2:$A$49,0)))</f>
        <v>0</v>
      </c>
    </row>
    <row r="3585" customFormat="false" ht="15" hidden="false" customHeight="false" outlineLevel="0" collapsed="false">
      <c r="A3585" s="36" t="n">
        <v>46174</v>
      </c>
      <c r="B3585" s="24" t="s">
        <v>63</v>
      </c>
      <c r="C3585" s="24" t="s">
        <v>209</v>
      </c>
      <c r="D3585" s="33" t="n">
        <v>107</v>
      </c>
      <c r="E3585" s="24" t="n">
        <v>0</v>
      </c>
      <c r="F3585" s="37" t="n">
        <f aca="false">DATE(YEAR(A3585),MONTH(A3585),1)</f>
        <v>46174</v>
      </c>
      <c r="G3585" s="24" t="str">
        <f aca="false">INDEX(Products!$C$2:$C$49,MATCH(C3585,Products!$A$2:$A$49,0))</f>
        <v>Snacks &amp; Confectionery</v>
      </c>
      <c r="H3585" s="33" t="n">
        <f aca="false">D3585*INDEX(Products!$E$2:$E$49,MATCH(C3585,Products!$A$2:$A$49,0))</f>
        <v>7490</v>
      </c>
      <c r="I3585" s="33" t="n">
        <f aca="false">D3585*INDEX(Products!$D$2:$D$49,MATCH(C3585,Products!$A$2:$A$49,0))*(1+INDEX(Assumptions!$B$16:$B$20,MATCH(B3585,Assumptions!$A$16:$A$20,0)))</f>
        <v>5109.464</v>
      </c>
      <c r="J3585" s="33" t="n">
        <f aca="false">H3585-I3585</f>
        <v>2380.536</v>
      </c>
      <c r="K3585" s="33" t="n">
        <f aca="false">IF(OR(E3585=0,E3585&gt;=7),0,D3585/(7-E3585)*E3585*INDEX(Products!$E$2:$E$49,MATCH(C3585,Products!$A$2:$A$49,0)))</f>
        <v>0</v>
      </c>
    </row>
    <row r="3586" customFormat="false" ht="15" hidden="false" customHeight="false" outlineLevel="0" collapsed="false">
      <c r="A3586" s="36" t="n">
        <v>46181</v>
      </c>
      <c r="B3586" s="24" t="s">
        <v>63</v>
      </c>
      <c r="C3586" s="24" t="s">
        <v>209</v>
      </c>
      <c r="D3586" s="33" t="n">
        <v>48</v>
      </c>
      <c r="E3586" s="24" t="n">
        <v>2</v>
      </c>
      <c r="F3586" s="37" t="n">
        <f aca="false">DATE(YEAR(A3586),MONTH(A3586),1)</f>
        <v>46174</v>
      </c>
      <c r="G3586" s="24" t="str">
        <f aca="false">INDEX(Products!$C$2:$C$49,MATCH(C3586,Products!$A$2:$A$49,0))</f>
        <v>Snacks &amp; Confectionery</v>
      </c>
      <c r="H3586" s="33" t="n">
        <f aca="false">D3586*INDEX(Products!$E$2:$E$49,MATCH(C3586,Products!$A$2:$A$49,0))</f>
        <v>3360</v>
      </c>
      <c r="I3586" s="33" t="n">
        <f aca="false">D3586*INDEX(Products!$D$2:$D$49,MATCH(C3586,Products!$A$2:$A$49,0))*(1+INDEX(Assumptions!$B$16:$B$20,MATCH(B3586,Assumptions!$A$16:$A$20,0)))</f>
        <v>2292.096</v>
      </c>
      <c r="J3586" s="33" t="n">
        <f aca="false">H3586-I3586</f>
        <v>1067.904</v>
      </c>
      <c r="K3586" s="33" t="n">
        <f aca="false">IF(OR(E3586=0,E3586&gt;=7),0,D3586/(7-E3586)*E3586*INDEX(Products!$E$2:$E$49,MATCH(C3586,Products!$A$2:$A$49,0)))</f>
        <v>1344</v>
      </c>
    </row>
    <row r="3587" customFormat="false" ht="15" hidden="false" customHeight="false" outlineLevel="0" collapsed="false">
      <c r="A3587" s="36" t="n">
        <v>46188</v>
      </c>
      <c r="B3587" s="24" t="s">
        <v>63</v>
      </c>
      <c r="C3587" s="24" t="s">
        <v>209</v>
      </c>
      <c r="D3587" s="33" t="n">
        <v>69</v>
      </c>
      <c r="E3587" s="24" t="n">
        <v>0</v>
      </c>
      <c r="F3587" s="37" t="n">
        <f aca="false">DATE(YEAR(A3587),MONTH(A3587),1)</f>
        <v>46174</v>
      </c>
      <c r="G3587" s="24" t="str">
        <f aca="false">INDEX(Products!$C$2:$C$49,MATCH(C3587,Products!$A$2:$A$49,0))</f>
        <v>Snacks &amp; Confectionery</v>
      </c>
      <c r="H3587" s="33" t="n">
        <f aca="false">D3587*INDEX(Products!$E$2:$E$49,MATCH(C3587,Products!$A$2:$A$49,0))</f>
        <v>4830</v>
      </c>
      <c r="I3587" s="33" t="n">
        <f aca="false">D3587*INDEX(Products!$D$2:$D$49,MATCH(C3587,Products!$A$2:$A$49,0))*(1+INDEX(Assumptions!$B$16:$B$20,MATCH(B3587,Assumptions!$A$16:$A$20,0)))</f>
        <v>3294.888</v>
      </c>
      <c r="J3587" s="33" t="n">
        <f aca="false">H3587-I3587</f>
        <v>1535.112</v>
      </c>
      <c r="K3587" s="33" t="n">
        <f aca="false">IF(OR(E3587=0,E3587&gt;=7),0,D3587/(7-E3587)*E3587*INDEX(Products!$E$2:$E$49,MATCH(C3587,Products!$A$2:$A$49,0)))</f>
        <v>0</v>
      </c>
    </row>
    <row r="3588" customFormat="false" ht="15" hidden="false" customHeight="false" outlineLevel="0" collapsed="false">
      <c r="A3588" s="36" t="n">
        <v>46195</v>
      </c>
      <c r="B3588" s="24" t="s">
        <v>63</v>
      </c>
      <c r="C3588" s="24" t="s">
        <v>209</v>
      </c>
      <c r="D3588" s="33" t="n">
        <v>72</v>
      </c>
      <c r="E3588" s="24" t="n">
        <v>1</v>
      </c>
      <c r="F3588" s="37" t="n">
        <f aca="false">DATE(YEAR(A3588),MONTH(A3588),1)</f>
        <v>46174</v>
      </c>
      <c r="G3588" s="24" t="str">
        <f aca="false">INDEX(Products!$C$2:$C$49,MATCH(C3588,Products!$A$2:$A$49,0))</f>
        <v>Snacks &amp; Confectionery</v>
      </c>
      <c r="H3588" s="33" t="n">
        <f aca="false">D3588*INDEX(Products!$E$2:$E$49,MATCH(C3588,Products!$A$2:$A$49,0))</f>
        <v>5040</v>
      </c>
      <c r="I3588" s="33" t="n">
        <f aca="false">D3588*INDEX(Products!$D$2:$D$49,MATCH(C3588,Products!$A$2:$A$49,0))*(1+INDEX(Assumptions!$B$16:$B$20,MATCH(B3588,Assumptions!$A$16:$A$20,0)))</f>
        <v>3438.144</v>
      </c>
      <c r="J3588" s="33" t="n">
        <f aca="false">H3588-I3588</f>
        <v>1601.856</v>
      </c>
      <c r="K3588" s="33" t="n">
        <f aca="false">IF(OR(E3588=0,E3588&gt;=7),0,D3588/(7-E3588)*E3588*INDEX(Products!$E$2:$E$49,MATCH(C3588,Products!$A$2:$A$49,0)))</f>
        <v>840</v>
      </c>
    </row>
    <row r="3589" customFormat="false" ht="15" hidden="false" customHeight="false" outlineLevel="0" collapsed="false">
      <c r="A3589" s="36" t="n">
        <v>46202</v>
      </c>
      <c r="B3589" s="24" t="s">
        <v>63</v>
      </c>
      <c r="C3589" s="24" t="s">
        <v>209</v>
      </c>
      <c r="D3589" s="33" t="n">
        <v>93</v>
      </c>
      <c r="E3589" s="24" t="n">
        <v>0</v>
      </c>
      <c r="F3589" s="37" t="n">
        <f aca="false">DATE(YEAR(A3589),MONTH(A3589),1)</f>
        <v>46174</v>
      </c>
      <c r="G3589" s="24" t="str">
        <f aca="false">INDEX(Products!$C$2:$C$49,MATCH(C3589,Products!$A$2:$A$49,0))</f>
        <v>Snacks &amp; Confectionery</v>
      </c>
      <c r="H3589" s="33" t="n">
        <f aca="false">D3589*INDEX(Products!$E$2:$E$49,MATCH(C3589,Products!$A$2:$A$49,0))</f>
        <v>6510</v>
      </c>
      <c r="I3589" s="33" t="n">
        <f aca="false">D3589*INDEX(Products!$D$2:$D$49,MATCH(C3589,Products!$A$2:$A$49,0))*(1+INDEX(Assumptions!$B$16:$B$20,MATCH(B3589,Assumptions!$A$16:$A$20,0)))</f>
        <v>4440.936</v>
      </c>
      <c r="J3589" s="33" t="n">
        <f aca="false">H3589-I3589</f>
        <v>2069.064</v>
      </c>
      <c r="K3589" s="33" t="n">
        <f aca="false">IF(OR(E3589=0,E3589&gt;=7),0,D3589/(7-E3589)*E3589*INDEX(Products!$E$2:$E$49,MATCH(C3589,Products!$A$2:$A$49,0)))</f>
        <v>0</v>
      </c>
    </row>
    <row r="3590" customFormat="false" ht="15" hidden="false" customHeight="false" outlineLevel="0" collapsed="false">
      <c r="A3590" s="36" t="n">
        <v>46209</v>
      </c>
      <c r="B3590" s="24" t="s">
        <v>63</v>
      </c>
      <c r="C3590" s="24" t="s">
        <v>209</v>
      </c>
      <c r="D3590" s="33" t="n">
        <v>96</v>
      </c>
      <c r="E3590" s="24" t="n">
        <v>0</v>
      </c>
      <c r="F3590" s="37" t="n">
        <f aca="false">DATE(YEAR(A3590),MONTH(A3590),1)</f>
        <v>46204</v>
      </c>
      <c r="G3590" s="24" t="str">
        <f aca="false">INDEX(Products!$C$2:$C$49,MATCH(C3590,Products!$A$2:$A$49,0))</f>
        <v>Snacks &amp; Confectionery</v>
      </c>
      <c r="H3590" s="33" t="n">
        <f aca="false">D3590*INDEX(Products!$E$2:$E$49,MATCH(C3590,Products!$A$2:$A$49,0))</f>
        <v>6720</v>
      </c>
      <c r="I3590" s="33" t="n">
        <f aca="false">D3590*INDEX(Products!$D$2:$D$49,MATCH(C3590,Products!$A$2:$A$49,0))*(1+INDEX(Assumptions!$B$16:$B$20,MATCH(B3590,Assumptions!$A$16:$A$20,0)))</f>
        <v>4584.192</v>
      </c>
      <c r="J3590" s="33" t="n">
        <f aca="false">H3590-I3590</f>
        <v>2135.808</v>
      </c>
      <c r="K3590" s="33" t="n">
        <f aca="false">IF(OR(E3590=0,E3590&gt;=7),0,D3590/(7-E3590)*E3590*INDEX(Products!$E$2:$E$49,MATCH(C3590,Products!$A$2:$A$49,0)))</f>
        <v>0</v>
      </c>
    </row>
    <row r="3591" customFormat="false" ht="15" hidden="false" customHeight="false" outlineLevel="0" collapsed="false">
      <c r="A3591" s="36" t="n">
        <v>46216</v>
      </c>
      <c r="B3591" s="24" t="s">
        <v>63</v>
      </c>
      <c r="C3591" s="24" t="s">
        <v>209</v>
      </c>
      <c r="D3591" s="33" t="n">
        <v>67</v>
      </c>
      <c r="E3591" s="24" t="n">
        <v>0</v>
      </c>
      <c r="F3591" s="37" t="n">
        <f aca="false">DATE(YEAR(A3591),MONTH(A3591),1)</f>
        <v>46204</v>
      </c>
      <c r="G3591" s="24" t="str">
        <f aca="false">INDEX(Products!$C$2:$C$49,MATCH(C3591,Products!$A$2:$A$49,0))</f>
        <v>Snacks &amp; Confectionery</v>
      </c>
      <c r="H3591" s="33" t="n">
        <f aca="false">D3591*INDEX(Products!$E$2:$E$49,MATCH(C3591,Products!$A$2:$A$49,0))</f>
        <v>4690</v>
      </c>
      <c r="I3591" s="33" t="n">
        <f aca="false">D3591*INDEX(Products!$D$2:$D$49,MATCH(C3591,Products!$A$2:$A$49,0))*(1+INDEX(Assumptions!$B$16:$B$20,MATCH(B3591,Assumptions!$A$16:$A$20,0)))</f>
        <v>3199.384</v>
      </c>
      <c r="J3591" s="33" t="n">
        <f aca="false">H3591-I3591</f>
        <v>1490.616</v>
      </c>
      <c r="K3591" s="33" t="n">
        <f aca="false">IF(OR(E3591=0,E3591&gt;=7),0,D3591/(7-E3591)*E3591*INDEX(Products!$E$2:$E$49,MATCH(C3591,Products!$A$2:$A$49,0)))</f>
        <v>0</v>
      </c>
    </row>
    <row r="3592" customFormat="false" ht="15" hidden="false" customHeight="false" outlineLevel="0" collapsed="false">
      <c r="A3592" s="36" t="n">
        <v>46223</v>
      </c>
      <c r="B3592" s="24" t="s">
        <v>63</v>
      </c>
      <c r="C3592" s="24" t="s">
        <v>209</v>
      </c>
      <c r="D3592" s="33" t="n">
        <v>87</v>
      </c>
      <c r="E3592" s="24" t="n">
        <v>0</v>
      </c>
      <c r="F3592" s="37" t="n">
        <f aca="false">DATE(YEAR(A3592),MONTH(A3592),1)</f>
        <v>46204</v>
      </c>
      <c r="G3592" s="24" t="str">
        <f aca="false">INDEX(Products!$C$2:$C$49,MATCH(C3592,Products!$A$2:$A$49,0))</f>
        <v>Snacks &amp; Confectionery</v>
      </c>
      <c r="H3592" s="33" t="n">
        <f aca="false">D3592*INDEX(Products!$E$2:$E$49,MATCH(C3592,Products!$A$2:$A$49,0))</f>
        <v>6090</v>
      </c>
      <c r="I3592" s="33" t="n">
        <f aca="false">D3592*INDEX(Products!$D$2:$D$49,MATCH(C3592,Products!$A$2:$A$49,0))*(1+INDEX(Assumptions!$B$16:$B$20,MATCH(B3592,Assumptions!$A$16:$A$20,0)))</f>
        <v>4154.424</v>
      </c>
      <c r="J3592" s="33" t="n">
        <f aca="false">H3592-I3592</f>
        <v>1935.576</v>
      </c>
      <c r="K3592" s="33" t="n">
        <f aca="false">IF(OR(E3592=0,E3592&gt;=7),0,D3592/(7-E3592)*E3592*INDEX(Products!$E$2:$E$49,MATCH(C3592,Products!$A$2:$A$49,0)))</f>
        <v>0</v>
      </c>
    </row>
    <row r="3593" customFormat="false" ht="15" hidden="false" customHeight="false" outlineLevel="0" collapsed="false">
      <c r="A3593" s="36" t="n">
        <v>46230</v>
      </c>
      <c r="B3593" s="24" t="s">
        <v>63</v>
      </c>
      <c r="C3593" s="24" t="s">
        <v>209</v>
      </c>
      <c r="D3593" s="33" t="n">
        <v>99</v>
      </c>
      <c r="E3593" s="24" t="n">
        <v>0</v>
      </c>
      <c r="F3593" s="37" t="n">
        <f aca="false">DATE(YEAR(A3593),MONTH(A3593),1)</f>
        <v>46204</v>
      </c>
      <c r="G3593" s="24" t="str">
        <f aca="false">INDEX(Products!$C$2:$C$49,MATCH(C3593,Products!$A$2:$A$49,0))</f>
        <v>Snacks &amp; Confectionery</v>
      </c>
      <c r="H3593" s="33" t="n">
        <f aca="false">D3593*INDEX(Products!$E$2:$E$49,MATCH(C3593,Products!$A$2:$A$49,0))</f>
        <v>6930</v>
      </c>
      <c r="I3593" s="33" t="n">
        <f aca="false">D3593*INDEX(Products!$D$2:$D$49,MATCH(C3593,Products!$A$2:$A$49,0))*(1+INDEX(Assumptions!$B$16:$B$20,MATCH(B3593,Assumptions!$A$16:$A$20,0)))</f>
        <v>4727.448</v>
      </c>
      <c r="J3593" s="33" t="n">
        <f aca="false">H3593-I3593</f>
        <v>2202.552</v>
      </c>
      <c r="K3593" s="33" t="n">
        <f aca="false">IF(OR(E3593=0,E3593&gt;=7),0,D3593/(7-E3593)*E3593*INDEX(Products!$E$2:$E$49,MATCH(C3593,Products!$A$2:$A$49,0)))</f>
        <v>0</v>
      </c>
    </row>
    <row r="3594" customFormat="false" ht="15" hidden="false" customHeight="false" outlineLevel="0" collapsed="false">
      <c r="A3594" s="36" t="n">
        <v>46237</v>
      </c>
      <c r="B3594" s="24" t="s">
        <v>63</v>
      </c>
      <c r="C3594" s="24" t="s">
        <v>209</v>
      </c>
      <c r="D3594" s="33" t="n">
        <v>79</v>
      </c>
      <c r="E3594" s="24" t="n">
        <v>0</v>
      </c>
      <c r="F3594" s="37" t="n">
        <f aca="false">DATE(YEAR(A3594),MONTH(A3594),1)</f>
        <v>46235</v>
      </c>
      <c r="G3594" s="24" t="str">
        <f aca="false">INDEX(Products!$C$2:$C$49,MATCH(C3594,Products!$A$2:$A$49,0))</f>
        <v>Snacks &amp; Confectionery</v>
      </c>
      <c r="H3594" s="33" t="n">
        <f aca="false">D3594*INDEX(Products!$E$2:$E$49,MATCH(C3594,Products!$A$2:$A$49,0))</f>
        <v>5530</v>
      </c>
      <c r="I3594" s="33" t="n">
        <f aca="false">D3594*INDEX(Products!$D$2:$D$49,MATCH(C3594,Products!$A$2:$A$49,0))*(1+INDEX(Assumptions!$B$16:$B$20,MATCH(B3594,Assumptions!$A$16:$A$20,0)))</f>
        <v>3772.408</v>
      </c>
      <c r="J3594" s="33" t="n">
        <f aca="false">H3594-I3594</f>
        <v>1757.592</v>
      </c>
      <c r="K3594" s="33" t="n">
        <f aca="false">IF(OR(E3594=0,E3594&gt;=7),0,D3594/(7-E3594)*E3594*INDEX(Products!$E$2:$E$49,MATCH(C3594,Products!$A$2:$A$49,0)))</f>
        <v>0</v>
      </c>
    </row>
    <row r="3595" customFormat="false" ht="15" hidden="false" customHeight="false" outlineLevel="0" collapsed="false">
      <c r="A3595" s="36" t="n">
        <v>46244</v>
      </c>
      <c r="B3595" s="24" t="s">
        <v>63</v>
      </c>
      <c r="C3595" s="24" t="s">
        <v>209</v>
      </c>
      <c r="D3595" s="33" t="n">
        <v>73</v>
      </c>
      <c r="E3595" s="24" t="n">
        <v>0</v>
      </c>
      <c r="F3595" s="37" t="n">
        <f aca="false">DATE(YEAR(A3595),MONTH(A3595),1)</f>
        <v>46235</v>
      </c>
      <c r="G3595" s="24" t="str">
        <f aca="false">INDEX(Products!$C$2:$C$49,MATCH(C3595,Products!$A$2:$A$49,0))</f>
        <v>Snacks &amp; Confectionery</v>
      </c>
      <c r="H3595" s="33" t="n">
        <f aca="false">D3595*INDEX(Products!$E$2:$E$49,MATCH(C3595,Products!$A$2:$A$49,0))</f>
        <v>5110</v>
      </c>
      <c r="I3595" s="33" t="n">
        <f aca="false">D3595*INDEX(Products!$D$2:$D$49,MATCH(C3595,Products!$A$2:$A$49,0))*(1+INDEX(Assumptions!$B$16:$B$20,MATCH(B3595,Assumptions!$A$16:$A$20,0)))</f>
        <v>3485.896</v>
      </c>
      <c r="J3595" s="33" t="n">
        <f aca="false">H3595-I3595</f>
        <v>1624.104</v>
      </c>
      <c r="K3595" s="33" t="n">
        <f aca="false">IF(OR(E3595=0,E3595&gt;=7),0,D3595/(7-E3595)*E3595*INDEX(Products!$E$2:$E$49,MATCH(C3595,Products!$A$2:$A$49,0)))</f>
        <v>0</v>
      </c>
    </row>
    <row r="3596" customFormat="false" ht="15" hidden="false" customHeight="false" outlineLevel="0" collapsed="false">
      <c r="A3596" s="36" t="n">
        <v>46251</v>
      </c>
      <c r="B3596" s="24" t="s">
        <v>63</v>
      </c>
      <c r="C3596" s="24" t="s">
        <v>209</v>
      </c>
      <c r="D3596" s="33" t="n">
        <v>90</v>
      </c>
      <c r="E3596" s="24" t="n">
        <v>0</v>
      </c>
      <c r="F3596" s="37" t="n">
        <f aca="false">DATE(YEAR(A3596),MONTH(A3596),1)</f>
        <v>46235</v>
      </c>
      <c r="G3596" s="24" t="str">
        <f aca="false">INDEX(Products!$C$2:$C$49,MATCH(C3596,Products!$A$2:$A$49,0))</f>
        <v>Snacks &amp; Confectionery</v>
      </c>
      <c r="H3596" s="33" t="n">
        <f aca="false">D3596*INDEX(Products!$E$2:$E$49,MATCH(C3596,Products!$A$2:$A$49,0))</f>
        <v>6300</v>
      </c>
      <c r="I3596" s="33" t="n">
        <f aca="false">D3596*INDEX(Products!$D$2:$D$49,MATCH(C3596,Products!$A$2:$A$49,0))*(1+INDEX(Assumptions!$B$16:$B$20,MATCH(B3596,Assumptions!$A$16:$A$20,0)))</f>
        <v>4297.68</v>
      </c>
      <c r="J3596" s="33" t="n">
        <f aca="false">H3596-I3596</f>
        <v>2002.32</v>
      </c>
      <c r="K3596" s="33" t="n">
        <f aca="false">IF(OR(E3596=0,E3596&gt;=7),0,D3596/(7-E3596)*E3596*INDEX(Products!$E$2:$E$49,MATCH(C3596,Products!$A$2:$A$49,0)))</f>
        <v>0</v>
      </c>
    </row>
    <row r="3597" customFormat="false" ht="15" hidden="false" customHeight="false" outlineLevel="0" collapsed="false">
      <c r="A3597" s="36" t="n">
        <v>46258</v>
      </c>
      <c r="B3597" s="24" t="s">
        <v>63</v>
      </c>
      <c r="C3597" s="24" t="s">
        <v>209</v>
      </c>
      <c r="D3597" s="33" t="n">
        <v>111</v>
      </c>
      <c r="E3597" s="24" t="n">
        <v>0</v>
      </c>
      <c r="F3597" s="37" t="n">
        <f aca="false">DATE(YEAR(A3597),MONTH(A3597),1)</f>
        <v>46235</v>
      </c>
      <c r="G3597" s="24" t="str">
        <f aca="false">INDEX(Products!$C$2:$C$49,MATCH(C3597,Products!$A$2:$A$49,0))</f>
        <v>Snacks &amp; Confectionery</v>
      </c>
      <c r="H3597" s="33" t="n">
        <f aca="false">D3597*INDEX(Products!$E$2:$E$49,MATCH(C3597,Products!$A$2:$A$49,0))</f>
        <v>7770</v>
      </c>
      <c r="I3597" s="33" t="n">
        <f aca="false">D3597*INDEX(Products!$D$2:$D$49,MATCH(C3597,Products!$A$2:$A$49,0))*(1+INDEX(Assumptions!$B$16:$B$20,MATCH(B3597,Assumptions!$A$16:$A$20,0)))</f>
        <v>5300.472</v>
      </c>
      <c r="J3597" s="33" t="n">
        <f aca="false">H3597-I3597</f>
        <v>2469.528</v>
      </c>
      <c r="K3597" s="33" t="n">
        <f aca="false">IF(OR(E3597=0,E3597&gt;=7),0,D3597/(7-E3597)*E3597*INDEX(Products!$E$2:$E$49,MATCH(C3597,Products!$A$2:$A$49,0)))</f>
        <v>0</v>
      </c>
    </row>
    <row r="3598" customFormat="false" ht="15" hidden="false" customHeight="false" outlineLevel="0" collapsed="false">
      <c r="A3598" s="36" t="n">
        <v>46265</v>
      </c>
      <c r="B3598" s="24" t="s">
        <v>63</v>
      </c>
      <c r="C3598" s="24" t="s">
        <v>209</v>
      </c>
      <c r="D3598" s="33" t="n">
        <v>102</v>
      </c>
      <c r="E3598" s="24" t="n">
        <v>0</v>
      </c>
      <c r="F3598" s="37" t="n">
        <f aca="false">DATE(YEAR(A3598),MONTH(A3598),1)</f>
        <v>46235</v>
      </c>
      <c r="G3598" s="24" t="str">
        <f aca="false">INDEX(Products!$C$2:$C$49,MATCH(C3598,Products!$A$2:$A$49,0))</f>
        <v>Snacks &amp; Confectionery</v>
      </c>
      <c r="H3598" s="33" t="n">
        <f aca="false">D3598*INDEX(Products!$E$2:$E$49,MATCH(C3598,Products!$A$2:$A$49,0))</f>
        <v>7140</v>
      </c>
      <c r="I3598" s="33" t="n">
        <f aca="false">D3598*INDEX(Products!$D$2:$D$49,MATCH(C3598,Products!$A$2:$A$49,0))*(1+INDEX(Assumptions!$B$16:$B$20,MATCH(B3598,Assumptions!$A$16:$A$20,0)))</f>
        <v>4870.704</v>
      </c>
      <c r="J3598" s="33" t="n">
        <f aca="false">H3598-I3598</f>
        <v>2269.296</v>
      </c>
      <c r="K3598" s="33" t="n">
        <f aca="false">IF(OR(E3598=0,E3598&gt;=7),0,D3598/(7-E3598)*E3598*INDEX(Products!$E$2:$E$49,MATCH(C3598,Products!$A$2:$A$49,0)))</f>
        <v>0</v>
      </c>
    </row>
    <row r="3599" customFormat="false" ht="15" hidden="false" customHeight="false" outlineLevel="0" collapsed="false">
      <c r="A3599" s="36" t="n">
        <v>46272</v>
      </c>
      <c r="B3599" s="24" t="s">
        <v>63</v>
      </c>
      <c r="C3599" s="24" t="s">
        <v>209</v>
      </c>
      <c r="D3599" s="33" t="n">
        <v>91</v>
      </c>
      <c r="E3599" s="24" t="n">
        <v>0</v>
      </c>
      <c r="F3599" s="37" t="n">
        <f aca="false">DATE(YEAR(A3599),MONTH(A3599),1)</f>
        <v>46266</v>
      </c>
      <c r="G3599" s="24" t="str">
        <f aca="false">INDEX(Products!$C$2:$C$49,MATCH(C3599,Products!$A$2:$A$49,0))</f>
        <v>Snacks &amp; Confectionery</v>
      </c>
      <c r="H3599" s="33" t="n">
        <f aca="false">D3599*INDEX(Products!$E$2:$E$49,MATCH(C3599,Products!$A$2:$A$49,0))</f>
        <v>6370</v>
      </c>
      <c r="I3599" s="33" t="n">
        <f aca="false">D3599*INDEX(Products!$D$2:$D$49,MATCH(C3599,Products!$A$2:$A$49,0))*(1+INDEX(Assumptions!$B$16:$B$20,MATCH(B3599,Assumptions!$A$16:$A$20,0)))</f>
        <v>4345.432</v>
      </c>
      <c r="J3599" s="33" t="n">
        <f aca="false">H3599-I3599</f>
        <v>2024.568</v>
      </c>
      <c r="K3599" s="33" t="n">
        <f aca="false">IF(OR(E3599=0,E3599&gt;=7),0,D3599/(7-E3599)*E3599*INDEX(Products!$E$2:$E$49,MATCH(C3599,Products!$A$2:$A$49,0)))</f>
        <v>0</v>
      </c>
    </row>
    <row r="3600" customFormat="false" ht="15" hidden="false" customHeight="false" outlineLevel="0" collapsed="false">
      <c r="A3600" s="36" t="n">
        <v>46279</v>
      </c>
      <c r="B3600" s="24" t="s">
        <v>63</v>
      </c>
      <c r="C3600" s="24" t="s">
        <v>209</v>
      </c>
      <c r="D3600" s="33" t="n">
        <v>91</v>
      </c>
      <c r="E3600" s="24" t="n">
        <v>0</v>
      </c>
      <c r="F3600" s="37" t="n">
        <f aca="false">DATE(YEAR(A3600),MONTH(A3600),1)</f>
        <v>46266</v>
      </c>
      <c r="G3600" s="24" t="str">
        <f aca="false">INDEX(Products!$C$2:$C$49,MATCH(C3600,Products!$A$2:$A$49,0))</f>
        <v>Snacks &amp; Confectionery</v>
      </c>
      <c r="H3600" s="33" t="n">
        <f aca="false">D3600*INDEX(Products!$E$2:$E$49,MATCH(C3600,Products!$A$2:$A$49,0))</f>
        <v>6370</v>
      </c>
      <c r="I3600" s="33" t="n">
        <f aca="false">D3600*INDEX(Products!$D$2:$D$49,MATCH(C3600,Products!$A$2:$A$49,0))*(1+INDEX(Assumptions!$B$16:$B$20,MATCH(B3600,Assumptions!$A$16:$A$20,0)))</f>
        <v>4345.432</v>
      </c>
      <c r="J3600" s="33" t="n">
        <f aca="false">H3600-I3600</f>
        <v>2024.568</v>
      </c>
      <c r="K3600" s="33" t="n">
        <f aca="false">IF(OR(E3600=0,E3600&gt;=7),0,D3600/(7-E3600)*E3600*INDEX(Products!$E$2:$E$49,MATCH(C3600,Products!$A$2:$A$49,0)))</f>
        <v>0</v>
      </c>
    </row>
    <row r="3601" customFormat="false" ht="15" hidden="false" customHeight="false" outlineLevel="0" collapsed="false">
      <c r="A3601" s="36" t="n">
        <v>46286</v>
      </c>
      <c r="B3601" s="24" t="s">
        <v>63</v>
      </c>
      <c r="C3601" s="24" t="s">
        <v>209</v>
      </c>
      <c r="D3601" s="33" t="n">
        <v>126</v>
      </c>
      <c r="E3601" s="24" t="n">
        <v>0</v>
      </c>
      <c r="F3601" s="37" t="n">
        <f aca="false">DATE(YEAR(A3601),MONTH(A3601),1)</f>
        <v>46266</v>
      </c>
      <c r="G3601" s="24" t="str">
        <f aca="false">INDEX(Products!$C$2:$C$49,MATCH(C3601,Products!$A$2:$A$49,0))</f>
        <v>Snacks &amp; Confectionery</v>
      </c>
      <c r="H3601" s="33" t="n">
        <f aca="false">D3601*INDEX(Products!$E$2:$E$49,MATCH(C3601,Products!$A$2:$A$49,0))</f>
        <v>8820</v>
      </c>
      <c r="I3601" s="33" t="n">
        <f aca="false">D3601*INDEX(Products!$D$2:$D$49,MATCH(C3601,Products!$A$2:$A$49,0))*(1+INDEX(Assumptions!$B$16:$B$20,MATCH(B3601,Assumptions!$A$16:$A$20,0)))</f>
        <v>6016.752</v>
      </c>
      <c r="J3601" s="33" t="n">
        <f aca="false">H3601-I3601</f>
        <v>2803.248</v>
      </c>
      <c r="K3601" s="33" t="n">
        <f aca="false">IF(OR(E3601=0,E3601&gt;=7),0,D3601/(7-E3601)*E3601*INDEX(Products!$E$2:$E$49,MATCH(C3601,Products!$A$2:$A$49,0)))</f>
        <v>0</v>
      </c>
    </row>
    <row r="3602" customFormat="false" ht="15" hidden="false" customHeight="false" outlineLevel="0" collapsed="false">
      <c r="A3602" s="36" t="n">
        <v>46118</v>
      </c>
      <c r="B3602" s="24" t="s">
        <v>64</v>
      </c>
      <c r="C3602" s="24" t="s">
        <v>115</v>
      </c>
      <c r="D3602" s="33" t="n">
        <v>134</v>
      </c>
      <c r="E3602" s="24" t="n">
        <v>0</v>
      </c>
      <c r="F3602" s="37" t="n">
        <f aca="false">DATE(YEAR(A3602),MONTH(A3602),1)</f>
        <v>46113</v>
      </c>
      <c r="G3602" s="24" t="str">
        <f aca="false">INDEX(Products!$C$2:$C$49,MATCH(C3602,Products!$A$2:$A$49,0))</f>
        <v>Grocery Staples</v>
      </c>
      <c r="H3602" s="33" t="n">
        <f aca="false">D3602*INDEX(Products!$E$2:$E$49,MATCH(C3602,Products!$A$2:$A$49,0))</f>
        <v>22110</v>
      </c>
      <c r="I3602" s="33" t="n">
        <f aca="false">D3602*INDEX(Products!$D$2:$D$49,MATCH(C3602,Products!$A$2:$A$49,0))*(1+INDEX(Assumptions!$B$16:$B$20,MATCH(B3602,Assumptions!$A$16:$A$20,0)))</f>
        <v>19759.104</v>
      </c>
      <c r="J3602" s="33" t="n">
        <f aca="false">H3602-I3602</f>
        <v>2350.896</v>
      </c>
      <c r="K3602" s="33" t="n">
        <f aca="false">IF(OR(E3602=0,E3602&gt;=7),0,D3602/(7-E3602)*E3602*INDEX(Products!$E$2:$E$49,MATCH(C3602,Products!$A$2:$A$49,0)))</f>
        <v>0</v>
      </c>
    </row>
    <row r="3603" customFormat="false" ht="15" hidden="false" customHeight="false" outlineLevel="0" collapsed="false">
      <c r="A3603" s="36" t="n">
        <v>46125</v>
      </c>
      <c r="B3603" s="24" t="s">
        <v>64</v>
      </c>
      <c r="C3603" s="24" t="s">
        <v>115</v>
      </c>
      <c r="D3603" s="33" t="n">
        <v>150</v>
      </c>
      <c r="E3603" s="24" t="n">
        <v>0</v>
      </c>
      <c r="F3603" s="37" t="n">
        <f aca="false">DATE(YEAR(A3603),MONTH(A3603),1)</f>
        <v>46113</v>
      </c>
      <c r="G3603" s="24" t="str">
        <f aca="false">INDEX(Products!$C$2:$C$49,MATCH(C3603,Products!$A$2:$A$49,0))</f>
        <v>Grocery Staples</v>
      </c>
      <c r="H3603" s="33" t="n">
        <f aca="false">D3603*INDEX(Products!$E$2:$E$49,MATCH(C3603,Products!$A$2:$A$49,0))</f>
        <v>24750</v>
      </c>
      <c r="I3603" s="33" t="n">
        <f aca="false">D3603*INDEX(Products!$D$2:$D$49,MATCH(C3603,Products!$A$2:$A$49,0))*(1+INDEX(Assumptions!$B$16:$B$20,MATCH(B3603,Assumptions!$A$16:$A$20,0)))</f>
        <v>22118.4</v>
      </c>
      <c r="J3603" s="33" t="n">
        <f aca="false">H3603-I3603</f>
        <v>2631.6</v>
      </c>
      <c r="K3603" s="33" t="n">
        <f aca="false">IF(OR(E3603=0,E3603&gt;=7),0,D3603/(7-E3603)*E3603*INDEX(Products!$E$2:$E$49,MATCH(C3603,Products!$A$2:$A$49,0)))</f>
        <v>0</v>
      </c>
    </row>
    <row r="3604" customFormat="false" ht="15" hidden="false" customHeight="false" outlineLevel="0" collapsed="false">
      <c r="A3604" s="36" t="n">
        <v>46132</v>
      </c>
      <c r="B3604" s="24" t="s">
        <v>64</v>
      </c>
      <c r="C3604" s="24" t="s">
        <v>115</v>
      </c>
      <c r="D3604" s="33" t="n">
        <v>157</v>
      </c>
      <c r="E3604" s="24" t="n">
        <v>0</v>
      </c>
      <c r="F3604" s="37" t="n">
        <f aca="false">DATE(YEAR(A3604),MONTH(A3604),1)</f>
        <v>46113</v>
      </c>
      <c r="G3604" s="24" t="str">
        <f aca="false">INDEX(Products!$C$2:$C$49,MATCH(C3604,Products!$A$2:$A$49,0))</f>
        <v>Grocery Staples</v>
      </c>
      <c r="H3604" s="33" t="n">
        <f aca="false">D3604*INDEX(Products!$E$2:$E$49,MATCH(C3604,Products!$A$2:$A$49,0))</f>
        <v>25905</v>
      </c>
      <c r="I3604" s="33" t="n">
        <f aca="false">D3604*INDEX(Products!$D$2:$D$49,MATCH(C3604,Products!$A$2:$A$49,0))*(1+INDEX(Assumptions!$B$16:$B$20,MATCH(B3604,Assumptions!$A$16:$A$20,0)))</f>
        <v>23150.592</v>
      </c>
      <c r="J3604" s="33" t="n">
        <f aca="false">H3604-I3604</f>
        <v>2754.408</v>
      </c>
      <c r="K3604" s="33" t="n">
        <f aca="false">IF(OR(E3604=0,E3604&gt;=7),0,D3604/(7-E3604)*E3604*INDEX(Products!$E$2:$E$49,MATCH(C3604,Products!$A$2:$A$49,0)))</f>
        <v>0</v>
      </c>
    </row>
    <row r="3605" customFormat="false" ht="15" hidden="false" customHeight="false" outlineLevel="0" collapsed="false">
      <c r="A3605" s="36" t="n">
        <v>46139</v>
      </c>
      <c r="B3605" s="24" t="s">
        <v>64</v>
      </c>
      <c r="C3605" s="24" t="s">
        <v>115</v>
      </c>
      <c r="D3605" s="33" t="n">
        <v>141</v>
      </c>
      <c r="E3605" s="24" t="n">
        <v>0</v>
      </c>
      <c r="F3605" s="37" t="n">
        <f aca="false">DATE(YEAR(A3605),MONTH(A3605),1)</f>
        <v>46113</v>
      </c>
      <c r="G3605" s="24" t="str">
        <f aca="false">INDEX(Products!$C$2:$C$49,MATCH(C3605,Products!$A$2:$A$49,0))</f>
        <v>Grocery Staples</v>
      </c>
      <c r="H3605" s="33" t="n">
        <f aca="false">D3605*INDEX(Products!$E$2:$E$49,MATCH(C3605,Products!$A$2:$A$49,0))</f>
        <v>23265</v>
      </c>
      <c r="I3605" s="33" t="n">
        <f aca="false">D3605*INDEX(Products!$D$2:$D$49,MATCH(C3605,Products!$A$2:$A$49,0))*(1+INDEX(Assumptions!$B$16:$B$20,MATCH(B3605,Assumptions!$A$16:$A$20,0)))</f>
        <v>20791.296</v>
      </c>
      <c r="J3605" s="33" t="n">
        <f aca="false">H3605-I3605</f>
        <v>2473.704</v>
      </c>
      <c r="K3605" s="33" t="n">
        <f aca="false">IF(OR(E3605=0,E3605&gt;=7),0,D3605/(7-E3605)*E3605*INDEX(Products!$E$2:$E$49,MATCH(C3605,Products!$A$2:$A$49,0)))</f>
        <v>0</v>
      </c>
    </row>
    <row r="3606" customFormat="false" ht="15" hidden="false" customHeight="false" outlineLevel="0" collapsed="false">
      <c r="A3606" s="36" t="n">
        <v>46146</v>
      </c>
      <c r="B3606" s="24" t="s">
        <v>64</v>
      </c>
      <c r="C3606" s="24" t="s">
        <v>115</v>
      </c>
      <c r="D3606" s="33" t="n">
        <v>138</v>
      </c>
      <c r="E3606" s="24" t="n">
        <v>0</v>
      </c>
      <c r="F3606" s="37" t="n">
        <f aca="false">DATE(YEAR(A3606),MONTH(A3606),1)</f>
        <v>46143</v>
      </c>
      <c r="G3606" s="24" t="str">
        <f aca="false">INDEX(Products!$C$2:$C$49,MATCH(C3606,Products!$A$2:$A$49,0))</f>
        <v>Grocery Staples</v>
      </c>
      <c r="H3606" s="33" t="n">
        <f aca="false">D3606*INDEX(Products!$E$2:$E$49,MATCH(C3606,Products!$A$2:$A$49,0))</f>
        <v>22770</v>
      </c>
      <c r="I3606" s="33" t="n">
        <f aca="false">D3606*INDEX(Products!$D$2:$D$49,MATCH(C3606,Products!$A$2:$A$49,0))*(1+INDEX(Assumptions!$B$16:$B$20,MATCH(B3606,Assumptions!$A$16:$A$20,0)))</f>
        <v>20348.928</v>
      </c>
      <c r="J3606" s="33" t="n">
        <f aca="false">H3606-I3606</f>
        <v>2421.072</v>
      </c>
      <c r="K3606" s="33" t="n">
        <f aca="false">IF(OR(E3606=0,E3606&gt;=7),0,D3606/(7-E3606)*E3606*INDEX(Products!$E$2:$E$49,MATCH(C3606,Products!$A$2:$A$49,0)))</f>
        <v>0</v>
      </c>
    </row>
    <row r="3607" customFormat="false" ht="15" hidden="false" customHeight="false" outlineLevel="0" collapsed="false">
      <c r="A3607" s="36" t="n">
        <v>46153</v>
      </c>
      <c r="B3607" s="24" t="s">
        <v>64</v>
      </c>
      <c r="C3607" s="24" t="s">
        <v>115</v>
      </c>
      <c r="D3607" s="33" t="n">
        <v>172</v>
      </c>
      <c r="E3607" s="24" t="n">
        <v>0</v>
      </c>
      <c r="F3607" s="37" t="n">
        <f aca="false">DATE(YEAR(A3607),MONTH(A3607),1)</f>
        <v>46143</v>
      </c>
      <c r="G3607" s="24" t="str">
        <f aca="false">INDEX(Products!$C$2:$C$49,MATCH(C3607,Products!$A$2:$A$49,0))</f>
        <v>Grocery Staples</v>
      </c>
      <c r="H3607" s="33" t="n">
        <f aca="false">D3607*INDEX(Products!$E$2:$E$49,MATCH(C3607,Products!$A$2:$A$49,0))</f>
        <v>28380</v>
      </c>
      <c r="I3607" s="33" t="n">
        <f aca="false">D3607*INDEX(Products!$D$2:$D$49,MATCH(C3607,Products!$A$2:$A$49,0))*(1+INDEX(Assumptions!$B$16:$B$20,MATCH(B3607,Assumptions!$A$16:$A$20,0)))</f>
        <v>25362.432</v>
      </c>
      <c r="J3607" s="33" t="n">
        <f aca="false">H3607-I3607</f>
        <v>3017.568</v>
      </c>
      <c r="K3607" s="33" t="n">
        <f aca="false">IF(OR(E3607=0,E3607&gt;=7),0,D3607/(7-E3607)*E3607*INDEX(Products!$E$2:$E$49,MATCH(C3607,Products!$A$2:$A$49,0)))</f>
        <v>0</v>
      </c>
    </row>
    <row r="3608" customFormat="false" ht="15" hidden="false" customHeight="false" outlineLevel="0" collapsed="false">
      <c r="A3608" s="36" t="n">
        <v>46160</v>
      </c>
      <c r="B3608" s="24" t="s">
        <v>64</v>
      </c>
      <c r="C3608" s="24" t="s">
        <v>115</v>
      </c>
      <c r="D3608" s="33" t="n">
        <v>133</v>
      </c>
      <c r="E3608" s="24" t="n">
        <v>0</v>
      </c>
      <c r="F3608" s="37" t="n">
        <f aca="false">DATE(YEAR(A3608),MONTH(A3608),1)</f>
        <v>46143</v>
      </c>
      <c r="G3608" s="24" t="str">
        <f aca="false">INDEX(Products!$C$2:$C$49,MATCH(C3608,Products!$A$2:$A$49,0))</f>
        <v>Grocery Staples</v>
      </c>
      <c r="H3608" s="33" t="n">
        <f aca="false">D3608*INDEX(Products!$E$2:$E$49,MATCH(C3608,Products!$A$2:$A$49,0))</f>
        <v>21945</v>
      </c>
      <c r="I3608" s="33" t="n">
        <f aca="false">D3608*INDEX(Products!$D$2:$D$49,MATCH(C3608,Products!$A$2:$A$49,0))*(1+INDEX(Assumptions!$B$16:$B$20,MATCH(B3608,Assumptions!$A$16:$A$20,0)))</f>
        <v>19611.648</v>
      </c>
      <c r="J3608" s="33" t="n">
        <f aca="false">H3608-I3608</f>
        <v>2333.352</v>
      </c>
      <c r="K3608" s="33" t="n">
        <f aca="false">IF(OR(E3608=0,E3608&gt;=7),0,D3608/(7-E3608)*E3608*INDEX(Products!$E$2:$E$49,MATCH(C3608,Products!$A$2:$A$49,0)))</f>
        <v>0</v>
      </c>
    </row>
    <row r="3609" customFormat="false" ht="15" hidden="false" customHeight="false" outlineLevel="0" collapsed="false">
      <c r="A3609" s="36" t="n">
        <v>46167</v>
      </c>
      <c r="B3609" s="24" t="s">
        <v>64</v>
      </c>
      <c r="C3609" s="24" t="s">
        <v>115</v>
      </c>
      <c r="D3609" s="33" t="n">
        <v>167</v>
      </c>
      <c r="E3609" s="24" t="n">
        <v>0</v>
      </c>
      <c r="F3609" s="37" t="n">
        <f aca="false">DATE(YEAR(A3609),MONTH(A3609),1)</f>
        <v>46143</v>
      </c>
      <c r="G3609" s="24" t="str">
        <f aca="false">INDEX(Products!$C$2:$C$49,MATCH(C3609,Products!$A$2:$A$49,0))</f>
        <v>Grocery Staples</v>
      </c>
      <c r="H3609" s="33" t="n">
        <f aca="false">D3609*INDEX(Products!$E$2:$E$49,MATCH(C3609,Products!$A$2:$A$49,0))</f>
        <v>27555</v>
      </c>
      <c r="I3609" s="33" t="n">
        <f aca="false">D3609*INDEX(Products!$D$2:$D$49,MATCH(C3609,Products!$A$2:$A$49,0))*(1+INDEX(Assumptions!$B$16:$B$20,MATCH(B3609,Assumptions!$A$16:$A$20,0)))</f>
        <v>24625.152</v>
      </c>
      <c r="J3609" s="33" t="n">
        <f aca="false">H3609-I3609</f>
        <v>2929.848</v>
      </c>
      <c r="K3609" s="33" t="n">
        <f aca="false">IF(OR(E3609=0,E3609&gt;=7),0,D3609/(7-E3609)*E3609*INDEX(Products!$E$2:$E$49,MATCH(C3609,Products!$A$2:$A$49,0)))</f>
        <v>0</v>
      </c>
    </row>
    <row r="3610" customFormat="false" ht="15" hidden="false" customHeight="false" outlineLevel="0" collapsed="false">
      <c r="A3610" s="36" t="n">
        <v>46174</v>
      </c>
      <c r="B3610" s="24" t="s">
        <v>64</v>
      </c>
      <c r="C3610" s="24" t="s">
        <v>115</v>
      </c>
      <c r="D3610" s="33" t="n">
        <v>160</v>
      </c>
      <c r="E3610" s="24" t="n">
        <v>0</v>
      </c>
      <c r="F3610" s="37" t="n">
        <f aca="false">DATE(YEAR(A3610),MONTH(A3610),1)</f>
        <v>46174</v>
      </c>
      <c r="G3610" s="24" t="str">
        <f aca="false">INDEX(Products!$C$2:$C$49,MATCH(C3610,Products!$A$2:$A$49,0))</f>
        <v>Grocery Staples</v>
      </c>
      <c r="H3610" s="33" t="n">
        <f aca="false">D3610*INDEX(Products!$E$2:$E$49,MATCH(C3610,Products!$A$2:$A$49,0))</f>
        <v>26400</v>
      </c>
      <c r="I3610" s="33" t="n">
        <f aca="false">D3610*INDEX(Products!$D$2:$D$49,MATCH(C3610,Products!$A$2:$A$49,0))*(1+INDEX(Assumptions!$B$16:$B$20,MATCH(B3610,Assumptions!$A$16:$A$20,0)))</f>
        <v>23592.96</v>
      </c>
      <c r="J3610" s="33" t="n">
        <f aca="false">H3610-I3610</f>
        <v>2807.04</v>
      </c>
      <c r="K3610" s="33" t="n">
        <f aca="false">IF(OR(E3610=0,E3610&gt;=7),0,D3610/(7-E3610)*E3610*INDEX(Products!$E$2:$E$49,MATCH(C3610,Products!$A$2:$A$49,0)))</f>
        <v>0</v>
      </c>
    </row>
    <row r="3611" customFormat="false" ht="15" hidden="false" customHeight="false" outlineLevel="0" collapsed="false">
      <c r="A3611" s="36" t="n">
        <v>46181</v>
      </c>
      <c r="B3611" s="24" t="s">
        <v>64</v>
      </c>
      <c r="C3611" s="24" t="s">
        <v>115</v>
      </c>
      <c r="D3611" s="33" t="n">
        <v>126</v>
      </c>
      <c r="E3611" s="24" t="n">
        <v>0</v>
      </c>
      <c r="F3611" s="37" t="n">
        <f aca="false">DATE(YEAR(A3611),MONTH(A3611),1)</f>
        <v>46174</v>
      </c>
      <c r="G3611" s="24" t="str">
        <f aca="false">INDEX(Products!$C$2:$C$49,MATCH(C3611,Products!$A$2:$A$49,0))</f>
        <v>Grocery Staples</v>
      </c>
      <c r="H3611" s="33" t="n">
        <f aca="false">D3611*INDEX(Products!$E$2:$E$49,MATCH(C3611,Products!$A$2:$A$49,0))</f>
        <v>20790</v>
      </c>
      <c r="I3611" s="33" t="n">
        <f aca="false">D3611*INDEX(Products!$D$2:$D$49,MATCH(C3611,Products!$A$2:$A$49,0))*(1+INDEX(Assumptions!$B$16:$B$20,MATCH(B3611,Assumptions!$A$16:$A$20,0)))</f>
        <v>18579.456</v>
      </c>
      <c r="J3611" s="33" t="n">
        <f aca="false">H3611-I3611</f>
        <v>2210.544</v>
      </c>
      <c r="K3611" s="33" t="n">
        <f aca="false">IF(OR(E3611=0,E3611&gt;=7),0,D3611/(7-E3611)*E3611*INDEX(Products!$E$2:$E$49,MATCH(C3611,Products!$A$2:$A$49,0)))</f>
        <v>0</v>
      </c>
    </row>
    <row r="3612" customFormat="false" ht="15" hidden="false" customHeight="false" outlineLevel="0" collapsed="false">
      <c r="A3612" s="36" t="n">
        <v>46188</v>
      </c>
      <c r="B3612" s="24" t="s">
        <v>64</v>
      </c>
      <c r="C3612" s="24" t="s">
        <v>115</v>
      </c>
      <c r="D3612" s="33" t="n">
        <v>139</v>
      </c>
      <c r="E3612" s="24" t="n">
        <v>0</v>
      </c>
      <c r="F3612" s="37" t="n">
        <f aca="false">DATE(YEAR(A3612),MONTH(A3612),1)</f>
        <v>46174</v>
      </c>
      <c r="G3612" s="24" t="str">
        <f aca="false">INDEX(Products!$C$2:$C$49,MATCH(C3612,Products!$A$2:$A$49,0))</f>
        <v>Grocery Staples</v>
      </c>
      <c r="H3612" s="33" t="n">
        <f aca="false">D3612*INDEX(Products!$E$2:$E$49,MATCH(C3612,Products!$A$2:$A$49,0))</f>
        <v>22935</v>
      </c>
      <c r="I3612" s="33" t="n">
        <f aca="false">D3612*INDEX(Products!$D$2:$D$49,MATCH(C3612,Products!$A$2:$A$49,0))*(1+INDEX(Assumptions!$B$16:$B$20,MATCH(B3612,Assumptions!$A$16:$A$20,0)))</f>
        <v>20496.384</v>
      </c>
      <c r="J3612" s="33" t="n">
        <f aca="false">H3612-I3612</f>
        <v>2438.616</v>
      </c>
      <c r="K3612" s="33" t="n">
        <f aca="false">IF(OR(E3612=0,E3612&gt;=7),0,D3612/(7-E3612)*E3612*INDEX(Products!$E$2:$E$49,MATCH(C3612,Products!$A$2:$A$49,0)))</f>
        <v>0</v>
      </c>
    </row>
    <row r="3613" customFormat="false" ht="15" hidden="false" customHeight="false" outlineLevel="0" collapsed="false">
      <c r="A3613" s="36" t="n">
        <v>46195</v>
      </c>
      <c r="B3613" s="24" t="s">
        <v>64</v>
      </c>
      <c r="C3613" s="24" t="s">
        <v>115</v>
      </c>
      <c r="D3613" s="33" t="n">
        <v>139</v>
      </c>
      <c r="E3613" s="24" t="n">
        <v>0</v>
      </c>
      <c r="F3613" s="37" t="n">
        <f aca="false">DATE(YEAR(A3613),MONTH(A3613),1)</f>
        <v>46174</v>
      </c>
      <c r="G3613" s="24" t="str">
        <f aca="false">INDEX(Products!$C$2:$C$49,MATCH(C3613,Products!$A$2:$A$49,0))</f>
        <v>Grocery Staples</v>
      </c>
      <c r="H3613" s="33" t="n">
        <f aca="false">D3613*INDEX(Products!$E$2:$E$49,MATCH(C3613,Products!$A$2:$A$49,0))</f>
        <v>22935</v>
      </c>
      <c r="I3613" s="33" t="n">
        <f aca="false">D3613*INDEX(Products!$D$2:$D$49,MATCH(C3613,Products!$A$2:$A$49,0))*(1+INDEX(Assumptions!$B$16:$B$20,MATCH(B3613,Assumptions!$A$16:$A$20,0)))</f>
        <v>20496.384</v>
      </c>
      <c r="J3613" s="33" t="n">
        <f aca="false">H3613-I3613</f>
        <v>2438.616</v>
      </c>
      <c r="K3613" s="33" t="n">
        <f aca="false">IF(OR(E3613=0,E3613&gt;=7),0,D3613/(7-E3613)*E3613*INDEX(Products!$E$2:$E$49,MATCH(C3613,Products!$A$2:$A$49,0)))</f>
        <v>0</v>
      </c>
    </row>
    <row r="3614" customFormat="false" ht="15" hidden="false" customHeight="false" outlineLevel="0" collapsed="false">
      <c r="A3614" s="36" t="n">
        <v>46202</v>
      </c>
      <c r="B3614" s="24" t="s">
        <v>64</v>
      </c>
      <c r="C3614" s="24" t="s">
        <v>115</v>
      </c>
      <c r="D3614" s="33" t="n">
        <v>152</v>
      </c>
      <c r="E3614" s="24" t="n">
        <v>0</v>
      </c>
      <c r="F3614" s="37" t="n">
        <f aca="false">DATE(YEAR(A3614),MONTH(A3614),1)</f>
        <v>46174</v>
      </c>
      <c r="G3614" s="24" t="str">
        <f aca="false">INDEX(Products!$C$2:$C$49,MATCH(C3614,Products!$A$2:$A$49,0))</f>
        <v>Grocery Staples</v>
      </c>
      <c r="H3614" s="33" t="n">
        <f aca="false">D3614*INDEX(Products!$E$2:$E$49,MATCH(C3614,Products!$A$2:$A$49,0))</f>
        <v>25080</v>
      </c>
      <c r="I3614" s="33" t="n">
        <f aca="false">D3614*INDEX(Products!$D$2:$D$49,MATCH(C3614,Products!$A$2:$A$49,0))*(1+INDEX(Assumptions!$B$16:$B$20,MATCH(B3614,Assumptions!$A$16:$A$20,0)))</f>
        <v>22413.312</v>
      </c>
      <c r="J3614" s="33" t="n">
        <f aca="false">H3614-I3614</f>
        <v>2666.688</v>
      </c>
      <c r="K3614" s="33" t="n">
        <f aca="false">IF(OR(E3614=0,E3614&gt;=7),0,D3614/(7-E3614)*E3614*INDEX(Products!$E$2:$E$49,MATCH(C3614,Products!$A$2:$A$49,0)))</f>
        <v>0</v>
      </c>
    </row>
    <row r="3615" customFormat="false" ht="15" hidden="false" customHeight="false" outlineLevel="0" collapsed="false">
      <c r="A3615" s="36" t="n">
        <v>46209</v>
      </c>
      <c r="B3615" s="24" t="s">
        <v>64</v>
      </c>
      <c r="C3615" s="24" t="s">
        <v>115</v>
      </c>
      <c r="D3615" s="33" t="n">
        <v>151</v>
      </c>
      <c r="E3615" s="24" t="n">
        <v>0</v>
      </c>
      <c r="F3615" s="37" t="n">
        <f aca="false">DATE(YEAR(A3615),MONTH(A3615),1)</f>
        <v>46204</v>
      </c>
      <c r="G3615" s="24" t="str">
        <f aca="false">INDEX(Products!$C$2:$C$49,MATCH(C3615,Products!$A$2:$A$49,0))</f>
        <v>Grocery Staples</v>
      </c>
      <c r="H3615" s="33" t="n">
        <f aca="false">D3615*INDEX(Products!$E$2:$E$49,MATCH(C3615,Products!$A$2:$A$49,0))</f>
        <v>24915</v>
      </c>
      <c r="I3615" s="33" t="n">
        <f aca="false">D3615*INDEX(Products!$D$2:$D$49,MATCH(C3615,Products!$A$2:$A$49,0))*(1+INDEX(Assumptions!$B$16:$B$20,MATCH(B3615,Assumptions!$A$16:$A$20,0)))</f>
        <v>22265.856</v>
      </c>
      <c r="J3615" s="33" t="n">
        <f aca="false">H3615-I3615</f>
        <v>2649.144</v>
      </c>
      <c r="K3615" s="33" t="n">
        <f aca="false">IF(OR(E3615=0,E3615&gt;=7),0,D3615/(7-E3615)*E3615*INDEX(Products!$E$2:$E$49,MATCH(C3615,Products!$A$2:$A$49,0)))</f>
        <v>0</v>
      </c>
    </row>
    <row r="3616" customFormat="false" ht="15" hidden="false" customHeight="false" outlineLevel="0" collapsed="false">
      <c r="A3616" s="36" t="n">
        <v>46216</v>
      </c>
      <c r="B3616" s="24" t="s">
        <v>64</v>
      </c>
      <c r="C3616" s="24" t="s">
        <v>115</v>
      </c>
      <c r="D3616" s="33" t="n">
        <v>70</v>
      </c>
      <c r="E3616" s="24" t="n">
        <v>3</v>
      </c>
      <c r="F3616" s="37" t="n">
        <f aca="false">DATE(YEAR(A3616),MONTH(A3616),1)</f>
        <v>46204</v>
      </c>
      <c r="G3616" s="24" t="str">
        <f aca="false">INDEX(Products!$C$2:$C$49,MATCH(C3616,Products!$A$2:$A$49,0))</f>
        <v>Grocery Staples</v>
      </c>
      <c r="H3616" s="33" t="n">
        <f aca="false">D3616*INDEX(Products!$E$2:$E$49,MATCH(C3616,Products!$A$2:$A$49,0))</f>
        <v>11550</v>
      </c>
      <c r="I3616" s="33" t="n">
        <f aca="false">D3616*INDEX(Products!$D$2:$D$49,MATCH(C3616,Products!$A$2:$A$49,0))*(1+INDEX(Assumptions!$B$16:$B$20,MATCH(B3616,Assumptions!$A$16:$A$20,0)))</f>
        <v>10321.92</v>
      </c>
      <c r="J3616" s="33" t="n">
        <f aca="false">H3616-I3616</f>
        <v>1228.08</v>
      </c>
      <c r="K3616" s="33" t="n">
        <f aca="false">IF(OR(E3616=0,E3616&gt;=7),0,D3616/(7-E3616)*E3616*INDEX(Products!$E$2:$E$49,MATCH(C3616,Products!$A$2:$A$49,0)))</f>
        <v>8662.5</v>
      </c>
    </row>
    <row r="3617" customFormat="false" ht="15" hidden="false" customHeight="false" outlineLevel="0" collapsed="false">
      <c r="A3617" s="36" t="n">
        <v>46223</v>
      </c>
      <c r="B3617" s="24" t="s">
        <v>64</v>
      </c>
      <c r="C3617" s="24" t="s">
        <v>115</v>
      </c>
      <c r="D3617" s="33" t="n">
        <v>131</v>
      </c>
      <c r="E3617" s="24" t="n">
        <v>0</v>
      </c>
      <c r="F3617" s="37" t="n">
        <f aca="false">DATE(YEAR(A3617),MONTH(A3617),1)</f>
        <v>46204</v>
      </c>
      <c r="G3617" s="24" t="str">
        <f aca="false">INDEX(Products!$C$2:$C$49,MATCH(C3617,Products!$A$2:$A$49,0))</f>
        <v>Grocery Staples</v>
      </c>
      <c r="H3617" s="33" t="n">
        <f aca="false">D3617*INDEX(Products!$E$2:$E$49,MATCH(C3617,Products!$A$2:$A$49,0))</f>
        <v>21615</v>
      </c>
      <c r="I3617" s="33" t="n">
        <f aca="false">D3617*INDEX(Products!$D$2:$D$49,MATCH(C3617,Products!$A$2:$A$49,0))*(1+INDEX(Assumptions!$B$16:$B$20,MATCH(B3617,Assumptions!$A$16:$A$20,0)))</f>
        <v>19316.736</v>
      </c>
      <c r="J3617" s="33" t="n">
        <f aca="false">H3617-I3617</f>
        <v>2298.264</v>
      </c>
      <c r="K3617" s="33" t="n">
        <f aca="false">IF(OR(E3617=0,E3617&gt;=7),0,D3617/(7-E3617)*E3617*INDEX(Products!$E$2:$E$49,MATCH(C3617,Products!$A$2:$A$49,0)))</f>
        <v>0</v>
      </c>
    </row>
    <row r="3618" customFormat="false" ht="15" hidden="false" customHeight="false" outlineLevel="0" collapsed="false">
      <c r="A3618" s="36" t="n">
        <v>46230</v>
      </c>
      <c r="B3618" s="24" t="s">
        <v>64</v>
      </c>
      <c r="C3618" s="24" t="s">
        <v>115</v>
      </c>
      <c r="D3618" s="33" t="n">
        <v>134</v>
      </c>
      <c r="E3618" s="24" t="n">
        <v>0</v>
      </c>
      <c r="F3618" s="37" t="n">
        <f aca="false">DATE(YEAR(A3618),MONTH(A3618),1)</f>
        <v>46204</v>
      </c>
      <c r="G3618" s="24" t="str">
        <f aca="false">INDEX(Products!$C$2:$C$49,MATCH(C3618,Products!$A$2:$A$49,0))</f>
        <v>Grocery Staples</v>
      </c>
      <c r="H3618" s="33" t="n">
        <f aca="false">D3618*INDEX(Products!$E$2:$E$49,MATCH(C3618,Products!$A$2:$A$49,0))</f>
        <v>22110</v>
      </c>
      <c r="I3618" s="33" t="n">
        <f aca="false">D3618*INDEX(Products!$D$2:$D$49,MATCH(C3618,Products!$A$2:$A$49,0))*(1+INDEX(Assumptions!$B$16:$B$20,MATCH(B3618,Assumptions!$A$16:$A$20,0)))</f>
        <v>19759.104</v>
      </c>
      <c r="J3618" s="33" t="n">
        <f aca="false">H3618-I3618</f>
        <v>2350.896</v>
      </c>
      <c r="K3618" s="33" t="n">
        <f aca="false">IF(OR(E3618=0,E3618&gt;=7),0,D3618/(7-E3618)*E3618*INDEX(Products!$E$2:$E$49,MATCH(C3618,Products!$A$2:$A$49,0)))</f>
        <v>0</v>
      </c>
    </row>
    <row r="3619" customFormat="false" ht="15" hidden="false" customHeight="false" outlineLevel="0" collapsed="false">
      <c r="A3619" s="36" t="n">
        <v>46237</v>
      </c>
      <c r="B3619" s="24" t="s">
        <v>64</v>
      </c>
      <c r="C3619" s="24" t="s">
        <v>115</v>
      </c>
      <c r="D3619" s="33" t="n">
        <v>125</v>
      </c>
      <c r="E3619" s="24" t="n">
        <v>0</v>
      </c>
      <c r="F3619" s="37" t="n">
        <f aca="false">DATE(YEAR(A3619),MONTH(A3619),1)</f>
        <v>46235</v>
      </c>
      <c r="G3619" s="24" t="str">
        <f aca="false">INDEX(Products!$C$2:$C$49,MATCH(C3619,Products!$A$2:$A$49,0))</f>
        <v>Grocery Staples</v>
      </c>
      <c r="H3619" s="33" t="n">
        <f aca="false">D3619*INDEX(Products!$E$2:$E$49,MATCH(C3619,Products!$A$2:$A$49,0))</f>
        <v>20625</v>
      </c>
      <c r="I3619" s="33" t="n">
        <f aca="false">D3619*INDEX(Products!$D$2:$D$49,MATCH(C3619,Products!$A$2:$A$49,0))*(1+INDEX(Assumptions!$B$16:$B$20,MATCH(B3619,Assumptions!$A$16:$A$20,0)))</f>
        <v>18432</v>
      </c>
      <c r="J3619" s="33" t="n">
        <f aca="false">H3619-I3619</f>
        <v>2193</v>
      </c>
      <c r="K3619" s="33" t="n">
        <f aca="false">IF(OR(E3619=0,E3619&gt;=7),0,D3619/(7-E3619)*E3619*INDEX(Products!$E$2:$E$49,MATCH(C3619,Products!$A$2:$A$49,0)))</f>
        <v>0</v>
      </c>
    </row>
    <row r="3620" customFormat="false" ht="15" hidden="false" customHeight="false" outlineLevel="0" collapsed="false">
      <c r="A3620" s="36" t="n">
        <v>46244</v>
      </c>
      <c r="B3620" s="24" t="s">
        <v>64</v>
      </c>
      <c r="C3620" s="24" t="s">
        <v>115</v>
      </c>
      <c r="D3620" s="33" t="n">
        <v>139</v>
      </c>
      <c r="E3620" s="24" t="n">
        <v>0</v>
      </c>
      <c r="F3620" s="37" t="n">
        <f aca="false">DATE(YEAR(A3620),MONTH(A3620),1)</f>
        <v>46235</v>
      </c>
      <c r="G3620" s="24" t="str">
        <f aca="false">INDEX(Products!$C$2:$C$49,MATCH(C3620,Products!$A$2:$A$49,0))</f>
        <v>Grocery Staples</v>
      </c>
      <c r="H3620" s="33" t="n">
        <f aca="false">D3620*INDEX(Products!$E$2:$E$49,MATCH(C3620,Products!$A$2:$A$49,0))</f>
        <v>22935</v>
      </c>
      <c r="I3620" s="33" t="n">
        <f aca="false">D3620*INDEX(Products!$D$2:$D$49,MATCH(C3620,Products!$A$2:$A$49,0))*(1+INDEX(Assumptions!$B$16:$B$20,MATCH(B3620,Assumptions!$A$16:$A$20,0)))</f>
        <v>20496.384</v>
      </c>
      <c r="J3620" s="33" t="n">
        <f aca="false">H3620-I3620</f>
        <v>2438.616</v>
      </c>
      <c r="K3620" s="33" t="n">
        <f aca="false">IF(OR(E3620=0,E3620&gt;=7),0,D3620/(7-E3620)*E3620*INDEX(Products!$E$2:$E$49,MATCH(C3620,Products!$A$2:$A$49,0)))</f>
        <v>0</v>
      </c>
    </row>
    <row r="3621" customFormat="false" ht="15" hidden="false" customHeight="false" outlineLevel="0" collapsed="false">
      <c r="A3621" s="36" t="n">
        <v>46251</v>
      </c>
      <c r="B3621" s="24" t="s">
        <v>64</v>
      </c>
      <c r="C3621" s="24" t="s">
        <v>115</v>
      </c>
      <c r="D3621" s="33" t="n">
        <v>125</v>
      </c>
      <c r="E3621" s="24" t="n">
        <v>0</v>
      </c>
      <c r="F3621" s="37" t="n">
        <f aca="false">DATE(YEAR(A3621),MONTH(A3621),1)</f>
        <v>46235</v>
      </c>
      <c r="G3621" s="24" t="str">
        <f aca="false">INDEX(Products!$C$2:$C$49,MATCH(C3621,Products!$A$2:$A$49,0))</f>
        <v>Grocery Staples</v>
      </c>
      <c r="H3621" s="33" t="n">
        <f aca="false">D3621*INDEX(Products!$E$2:$E$49,MATCH(C3621,Products!$A$2:$A$49,0))</f>
        <v>20625</v>
      </c>
      <c r="I3621" s="33" t="n">
        <f aca="false">D3621*INDEX(Products!$D$2:$D$49,MATCH(C3621,Products!$A$2:$A$49,0))*(1+INDEX(Assumptions!$B$16:$B$20,MATCH(B3621,Assumptions!$A$16:$A$20,0)))</f>
        <v>18432</v>
      </c>
      <c r="J3621" s="33" t="n">
        <f aca="false">H3621-I3621</f>
        <v>2193</v>
      </c>
      <c r="K3621" s="33" t="n">
        <f aca="false">IF(OR(E3621=0,E3621&gt;=7),0,D3621/(7-E3621)*E3621*INDEX(Products!$E$2:$E$49,MATCH(C3621,Products!$A$2:$A$49,0)))</f>
        <v>0</v>
      </c>
    </row>
    <row r="3622" customFormat="false" ht="15" hidden="false" customHeight="false" outlineLevel="0" collapsed="false">
      <c r="A3622" s="36" t="n">
        <v>46258</v>
      </c>
      <c r="B3622" s="24" t="s">
        <v>64</v>
      </c>
      <c r="C3622" s="24" t="s">
        <v>115</v>
      </c>
      <c r="D3622" s="33" t="n">
        <v>155</v>
      </c>
      <c r="E3622" s="24" t="n">
        <v>0</v>
      </c>
      <c r="F3622" s="37" t="n">
        <f aca="false">DATE(YEAR(A3622),MONTH(A3622),1)</f>
        <v>46235</v>
      </c>
      <c r="G3622" s="24" t="str">
        <f aca="false">INDEX(Products!$C$2:$C$49,MATCH(C3622,Products!$A$2:$A$49,0))</f>
        <v>Grocery Staples</v>
      </c>
      <c r="H3622" s="33" t="n">
        <f aca="false">D3622*INDEX(Products!$E$2:$E$49,MATCH(C3622,Products!$A$2:$A$49,0))</f>
        <v>25575</v>
      </c>
      <c r="I3622" s="33" t="n">
        <f aca="false">D3622*INDEX(Products!$D$2:$D$49,MATCH(C3622,Products!$A$2:$A$49,0))*(1+INDEX(Assumptions!$B$16:$B$20,MATCH(B3622,Assumptions!$A$16:$A$20,0)))</f>
        <v>22855.68</v>
      </c>
      <c r="J3622" s="33" t="n">
        <f aca="false">H3622-I3622</f>
        <v>2719.32</v>
      </c>
      <c r="K3622" s="33" t="n">
        <f aca="false">IF(OR(E3622=0,E3622&gt;=7),0,D3622/(7-E3622)*E3622*INDEX(Products!$E$2:$E$49,MATCH(C3622,Products!$A$2:$A$49,0)))</f>
        <v>0</v>
      </c>
    </row>
    <row r="3623" customFormat="false" ht="15" hidden="false" customHeight="false" outlineLevel="0" collapsed="false">
      <c r="A3623" s="36" t="n">
        <v>46265</v>
      </c>
      <c r="B3623" s="24" t="s">
        <v>64</v>
      </c>
      <c r="C3623" s="24" t="s">
        <v>115</v>
      </c>
      <c r="D3623" s="33" t="n">
        <v>154</v>
      </c>
      <c r="E3623" s="24" t="n">
        <v>0</v>
      </c>
      <c r="F3623" s="37" t="n">
        <f aca="false">DATE(YEAR(A3623),MONTH(A3623),1)</f>
        <v>46235</v>
      </c>
      <c r="G3623" s="24" t="str">
        <f aca="false">INDEX(Products!$C$2:$C$49,MATCH(C3623,Products!$A$2:$A$49,0))</f>
        <v>Grocery Staples</v>
      </c>
      <c r="H3623" s="33" t="n">
        <f aca="false">D3623*INDEX(Products!$E$2:$E$49,MATCH(C3623,Products!$A$2:$A$49,0))</f>
        <v>25410</v>
      </c>
      <c r="I3623" s="33" t="n">
        <f aca="false">D3623*INDEX(Products!$D$2:$D$49,MATCH(C3623,Products!$A$2:$A$49,0))*(1+INDEX(Assumptions!$B$16:$B$20,MATCH(B3623,Assumptions!$A$16:$A$20,0)))</f>
        <v>22708.224</v>
      </c>
      <c r="J3623" s="33" t="n">
        <f aca="false">H3623-I3623</f>
        <v>2701.776</v>
      </c>
      <c r="K3623" s="33" t="n">
        <f aca="false">IF(OR(E3623=0,E3623&gt;=7),0,D3623/(7-E3623)*E3623*INDEX(Products!$E$2:$E$49,MATCH(C3623,Products!$A$2:$A$49,0)))</f>
        <v>0</v>
      </c>
    </row>
    <row r="3624" customFormat="false" ht="15" hidden="false" customHeight="false" outlineLevel="0" collapsed="false">
      <c r="A3624" s="36" t="n">
        <v>46272</v>
      </c>
      <c r="B3624" s="24" t="s">
        <v>64</v>
      </c>
      <c r="C3624" s="24" t="s">
        <v>115</v>
      </c>
      <c r="D3624" s="33" t="n">
        <v>121</v>
      </c>
      <c r="E3624" s="24" t="n">
        <v>1</v>
      </c>
      <c r="F3624" s="37" t="n">
        <f aca="false">DATE(YEAR(A3624),MONTH(A3624),1)</f>
        <v>46266</v>
      </c>
      <c r="G3624" s="24" t="str">
        <f aca="false">INDEX(Products!$C$2:$C$49,MATCH(C3624,Products!$A$2:$A$49,0))</f>
        <v>Grocery Staples</v>
      </c>
      <c r="H3624" s="33" t="n">
        <f aca="false">D3624*INDEX(Products!$E$2:$E$49,MATCH(C3624,Products!$A$2:$A$49,0))</f>
        <v>19965</v>
      </c>
      <c r="I3624" s="33" t="n">
        <f aca="false">D3624*INDEX(Products!$D$2:$D$49,MATCH(C3624,Products!$A$2:$A$49,0))*(1+INDEX(Assumptions!$B$16:$B$20,MATCH(B3624,Assumptions!$A$16:$A$20,0)))</f>
        <v>17842.176</v>
      </c>
      <c r="J3624" s="33" t="n">
        <f aca="false">H3624-I3624</f>
        <v>2122.824</v>
      </c>
      <c r="K3624" s="33" t="n">
        <f aca="false">IF(OR(E3624=0,E3624&gt;=7),0,D3624/(7-E3624)*E3624*INDEX(Products!$E$2:$E$49,MATCH(C3624,Products!$A$2:$A$49,0)))</f>
        <v>3327.5</v>
      </c>
    </row>
    <row r="3625" customFormat="false" ht="15" hidden="false" customHeight="false" outlineLevel="0" collapsed="false">
      <c r="A3625" s="36" t="n">
        <v>46279</v>
      </c>
      <c r="B3625" s="24" t="s">
        <v>64</v>
      </c>
      <c r="C3625" s="24" t="s">
        <v>115</v>
      </c>
      <c r="D3625" s="33" t="n">
        <v>137</v>
      </c>
      <c r="E3625" s="24" t="n">
        <v>0</v>
      </c>
      <c r="F3625" s="37" t="n">
        <f aca="false">DATE(YEAR(A3625),MONTH(A3625),1)</f>
        <v>46266</v>
      </c>
      <c r="G3625" s="24" t="str">
        <f aca="false">INDEX(Products!$C$2:$C$49,MATCH(C3625,Products!$A$2:$A$49,0))</f>
        <v>Grocery Staples</v>
      </c>
      <c r="H3625" s="33" t="n">
        <f aca="false">D3625*INDEX(Products!$E$2:$E$49,MATCH(C3625,Products!$A$2:$A$49,0))</f>
        <v>22605</v>
      </c>
      <c r="I3625" s="33" t="n">
        <f aca="false">D3625*INDEX(Products!$D$2:$D$49,MATCH(C3625,Products!$A$2:$A$49,0))*(1+INDEX(Assumptions!$B$16:$B$20,MATCH(B3625,Assumptions!$A$16:$A$20,0)))</f>
        <v>20201.472</v>
      </c>
      <c r="J3625" s="33" t="n">
        <f aca="false">H3625-I3625</f>
        <v>2403.528</v>
      </c>
      <c r="K3625" s="33" t="n">
        <f aca="false">IF(OR(E3625=0,E3625&gt;=7),0,D3625/(7-E3625)*E3625*INDEX(Products!$E$2:$E$49,MATCH(C3625,Products!$A$2:$A$49,0)))</f>
        <v>0</v>
      </c>
    </row>
    <row r="3626" customFormat="false" ht="15" hidden="false" customHeight="false" outlineLevel="0" collapsed="false">
      <c r="A3626" s="36" t="n">
        <v>46286</v>
      </c>
      <c r="B3626" s="24" t="s">
        <v>64</v>
      </c>
      <c r="C3626" s="24" t="s">
        <v>115</v>
      </c>
      <c r="D3626" s="33" t="n">
        <v>125</v>
      </c>
      <c r="E3626" s="24" t="n">
        <v>0</v>
      </c>
      <c r="F3626" s="37" t="n">
        <f aca="false">DATE(YEAR(A3626),MONTH(A3626),1)</f>
        <v>46266</v>
      </c>
      <c r="G3626" s="24" t="str">
        <f aca="false">INDEX(Products!$C$2:$C$49,MATCH(C3626,Products!$A$2:$A$49,0))</f>
        <v>Grocery Staples</v>
      </c>
      <c r="H3626" s="33" t="n">
        <f aca="false">D3626*INDEX(Products!$E$2:$E$49,MATCH(C3626,Products!$A$2:$A$49,0))</f>
        <v>20625</v>
      </c>
      <c r="I3626" s="33" t="n">
        <f aca="false">D3626*INDEX(Products!$D$2:$D$49,MATCH(C3626,Products!$A$2:$A$49,0))*(1+INDEX(Assumptions!$B$16:$B$20,MATCH(B3626,Assumptions!$A$16:$A$20,0)))</f>
        <v>18432</v>
      </c>
      <c r="J3626" s="33" t="n">
        <f aca="false">H3626-I3626</f>
        <v>2193</v>
      </c>
      <c r="K3626" s="33" t="n">
        <f aca="false">IF(OR(E3626=0,E3626&gt;=7),0,D3626/(7-E3626)*E3626*INDEX(Products!$E$2:$E$49,MATCH(C3626,Products!$A$2:$A$49,0)))</f>
        <v>0</v>
      </c>
    </row>
    <row r="3627" customFormat="false" ht="15" hidden="false" customHeight="false" outlineLevel="0" collapsed="false">
      <c r="A3627" s="36" t="n">
        <v>46118</v>
      </c>
      <c r="B3627" s="24" t="s">
        <v>64</v>
      </c>
      <c r="C3627" s="24" t="s">
        <v>117</v>
      </c>
      <c r="D3627" s="33" t="n">
        <v>109</v>
      </c>
      <c r="E3627" s="24" t="n">
        <v>0</v>
      </c>
      <c r="F3627" s="37" t="n">
        <f aca="false">DATE(YEAR(A3627),MONTH(A3627),1)</f>
        <v>46113</v>
      </c>
      <c r="G3627" s="24" t="str">
        <f aca="false">INDEX(Products!$C$2:$C$49,MATCH(C3627,Products!$A$2:$A$49,0))</f>
        <v>Grocery Staples</v>
      </c>
      <c r="H3627" s="33" t="n">
        <f aca="false">D3627*INDEX(Products!$E$2:$E$49,MATCH(C3627,Products!$A$2:$A$49,0))</f>
        <v>20710</v>
      </c>
      <c r="I3627" s="33" t="n">
        <f aca="false">D3627*INDEX(Products!$D$2:$D$49,MATCH(C3627,Products!$A$2:$A$49,0))*(1+INDEX(Assumptions!$B$16:$B$20,MATCH(B3627,Assumptions!$A$16:$A$20,0)))</f>
        <v>18751.488</v>
      </c>
      <c r="J3627" s="33" t="n">
        <f aca="false">H3627-I3627</f>
        <v>1958.512</v>
      </c>
      <c r="K3627" s="33" t="n">
        <f aca="false">IF(OR(E3627=0,E3627&gt;=7),0,D3627/(7-E3627)*E3627*INDEX(Products!$E$2:$E$49,MATCH(C3627,Products!$A$2:$A$49,0)))</f>
        <v>0</v>
      </c>
    </row>
    <row r="3628" customFormat="false" ht="15" hidden="false" customHeight="false" outlineLevel="0" collapsed="false">
      <c r="A3628" s="36" t="n">
        <v>46125</v>
      </c>
      <c r="B3628" s="24" t="s">
        <v>64</v>
      </c>
      <c r="C3628" s="24" t="s">
        <v>117</v>
      </c>
      <c r="D3628" s="33" t="n">
        <v>113</v>
      </c>
      <c r="E3628" s="24" t="n">
        <v>0</v>
      </c>
      <c r="F3628" s="37" t="n">
        <f aca="false">DATE(YEAR(A3628),MONTH(A3628),1)</f>
        <v>46113</v>
      </c>
      <c r="G3628" s="24" t="str">
        <f aca="false">INDEX(Products!$C$2:$C$49,MATCH(C3628,Products!$A$2:$A$49,0))</f>
        <v>Grocery Staples</v>
      </c>
      <c r="H3628" s="33" t="n">
        <f aca="false">D3628*INDEX(Products!$E$2:$E$49,MATCH(C3628,Products!$A$2:$A$49,0))</f>
        <v>21470</v>
      </c>
      <c r="I3628" s="33" t="n">
        <f aca="false">D3628*INDEX(Products!$D$2:$D$49,MATCH(C3628,Products!$A$2:$A$49,0))*(1+INDEX(Assumptions!$B$16:$B$20,MATCH(B3628,Assumptions!$A$16:$A$20,0)))</f>
        <v>19439.616</v>
      </c>
      <c r="J3628" s="33" t="n">
        <f aca="false">H3628-I3628</f>
        <v>2030.384</v>
      </c>
      <c r="K3628" s="33" t="n">
        <f aca="false">IF(OR(E3628=0,E3628&gt;=7),0,D3628/(7-E3628)*E3628*INDEX(Products!$E$2:$E$49,MATCH(C3628,Products!$A$2:$A$49,0)))</f>
        <v>0</v>
      </c>
    </row>
    <row r="3629" customFormat="false" ht="15" hidden="false" customHeight="false" outlineLevel="0" collapsed="false">
      <c r="A3629" s="36" t="n">
        <v>46132</v>
      </c>
      <c r="B3629" s="24" t="s">
        <v>64</v>
      </c>
      <c r="C3629" s="24" t="s">
        <v>117</v>
      </c>
      <c r="D3629" s="33" t="n">
        <v>123</v>
      </c>
      <c r="E3629" s="24" t="n">
        <v>0</v>
      </c>
      <c r="F3629" s="37" t="n">
        <f aca="false">DATE(YEAR(A3629),MONTH(A3629),1)</f>
        <v>46113</v>
      </c>
      <c r="G3629" s="24" t="str">
        <f aca="false">INDEX(Products!$C$2:$C$49,MATCH(C3629,Products!$A$2:$A$49,0))</f>
        <v>Grocery Staples</v>
      </c>
      <c r="H3629" s="33" t="n">
        <f aca="false">D3629*INDEX(Products!$E$2:$E$49,MATCH(C3629,Products!$A$2:$A$49,0))</f>
        <v>23370</v>
      </c>
      <c r="I3629" s="33" t="n">
        <f aca="false">D3629*INDEX(Products!$D$2:$D$49,MATCH(C3629,Products!$A$2:$A$49,0))*(1+INDEX(Assumptions!$B$16:$B$20,MATCH(B3629,Assumptions!$A$16:$A$20,0)))</f>
        <v>21159.936</v>
      </c>
      <c r="J3629" s="33" t="n">
        <f aca="false">H3629-I3629</f>
        <v>2210.064</v>
      </c>
      <c r="K3629" s="33" t="n">
        <f aca="false">IF(OR(E3629=0,E3629&gt;=7),0,D3629/(7-E3629)*E3629*INDEX(Products!$E$2:$E$49,MATCH(C3629,Products!$A$2:$A$49,0)))</f>
        <v>0</v>
      </c>
    </row>
    <row r="3630" customFormat="false" ht="15" hidden="false" customHeight="false" outlineLevel="0" collapsed="false">
      <c r="A3630" s="36" t="n">
        <v>46139</v>
      </c>
      <c r="B3630" s="24" t="s">
        <v>64</v>
      </c>
      <c r="C3630" s="24" t="s">
        <v>117</v>
      </c>
      <c r="D3630" s="33" t="n">
        <v>114</v>
      </c>
      <c r="E3630" s="24" t="n">
        <v>0</v>
      </c>
      <c r="F3630" s="37" t="n">
        <f aca="false">DATE(YEAR(A3630),MONTH(A3630),1)</f>
        <v>46113</v>
      </c>
      <c r="G3630" s="24" t="str">
        <f aca="false">INDEX(Products!$C$2:$C$49,MATCH(C3630,Products!$A$2:$A$49,0))</f>
        <v>Grocery Staples</v>
      </c>
      <c r="H3630" s="33" t="n">
        <f aca="false">D3630*INDEX(Products!$E$2:$E$49,MATCH(C3630,Products!$A$2:$A$49,0))</f>
        <v>21660</v>
      </c>
      <c r="I3630" s="33" t="n">
        <f aca="false">D3630*INDEX(Products!$D$2:$D$49,MATCH(C3630,Products!$A$2:$A$49,0))*(1+INDEX(Assumptions!$B$16:$B$20,MATCH(B3630,Assumptions!$A$16:$A$20,0)))</f>
        <v>19611.648</v>
      </c>
      <c r="J3630" s="33" t="n">
        <f aca="false">H3630-I3630</f>
        <v>2048.352</v>
      </c>
      <c r="K3630" s="33" t="n">
        <f aca="false">IF(OR(E3630=0,E3630&gt;=7),0,D3630/(7-E3630)*E3630*INDEX(Products!$E$2:$E$49,MATCH(C3630,Products!$A$2:$A$49,0)))</f>
        <v>0</v>
      </c>
    </row>
    <row r="3631" customFormat="false" ht="15" hidden="false" customHeight="false" outlineLevel="0" collapsed="false">
      <c r="A3631" s="36" t="n">
        <v>46146</v>
      </c>
      <c r="B3631" s="24" t="s">
        <v>64</v>
      </c>
      <c r="C3631" s="24" t="s">
        <v>117</v>
      </c>
      <c r="D3631" s="33" t="n">
        <v>124</v>
      </c>
      <c r="E3631" s="24" t="n">
        <v>0</v>
      </c>
      <c r="F3631" s="37" t="n">
        <f aca="false">DATE(YEAR(A3631),MONTH(A3631),1)</f>
        <v>46143</v>
      </c>
      <c r="G3631" s="24" t="str">
        <f aca="false">INDEX(Products!$C$2:$C$49,MATCH(C3631,Products!$A$2:$A$49,0))</f>
        <v>Grocery Staples</v>
      </c>
      <c r="H3631" s="33" t="n">
        <f aca="false">D3631*INDEX(Products!$E$2:$E$49,MATCH(C3631,Products!$A$2:$A$49,0))</f>
        <v>23560</v>
      </c>
      <c r="I3631" s="33" t="n">
        <f aca="false">D3631*INDEX(Products!$D$2:$D$49,MATCH(C3631,Products!$A$2:$A$49,0))*(1+INDEX(Assumptions!$B$16:$B$20,MATCH(B3631,Assumptions!$A$16:$A$20,0)))</f>
        <v>21331.968</v>
      </c>
      <c r="J3631" s="33" t="n">
        <f aca="false">H3631-I3631</f>
        <v>2228.032</v>
      </c>
      <c r="K3631" s="33" t="n">
        <f aca="false">IF(OR(E3631=0,E3631&gt;=7),0,D3631/(7-E3631)*E3631*INDEX(Products!$E$2:$E$49,MATCH(C3631,Products!$A$2:$A$49,0)))</f>
        <v>0</v>
      </c>
    </row>
    <row r="3632" customFormat="false" ht="15" hidden="false" customHeight="false" outlineLevel="0" collapsed="false">
      <c r="A3632" s="36" t="n">
        <v>46153</v>
      </c>
      <c r="B3632" s="24" t="s">
        <v>64</v>
      </c>
      <c r="C3632" s="24" t="s">
        <v>117</v>
      </c>
      <c r="D3632" s="33" t="n">
        <v>112</v>
      </c>
      <c r="E3632" s="24" t="n">
        <v>0</v>
      </c>
      <c r="F3632" s="37" t="n">
        <f aca="false">DATE(YEAR(A3632),MONTH(A3632),1)</f>
        <v>46143</v>
      </c>
      <c r="G3632" s="24" t="str">
        <f aca="false">INDEX(Products!$C$2:$C$49,MATCH(C3632,Products!$A$2:$A$49,0))</f>
        <v>Grocery Staples</v>
      </c>
      <c r="H3632" s="33" t="n">
        <f aca="false">D3632*INDEX(Products!$E$2:$E$49,MATCH(C3632,Products!$A$2:$A$49,0))</f>
        <v>21280</v>
      </c>
      <c r="I3632" s="33" t="n">
        <f aca="false">D3632*INDEX(Products!$D$2:$D$49,MATCH(C3632,Products!$A$2:$A$49,0))*(1+INDEX(Assumptions!$B$16:$B$20,MATCH(B3632,Assumptions!$A$16:$A$20,0)))</f>
        <v>19267.584</v>
      </c>
      <c r="J3632" s="33" t="n">
        <f aca="false">H3632-I3632</f>
        <v>2012.416</v>
      </c>
      <c r="K3632" s="33" t="n">
        <f aca="false">IF(OR(E3632=0,E3632&gt;=7),0,D3632/(7-E3632)*E3632*INDEX(Products!$E$2:$E$49,MATCH(C3632,Products!$A$2:$A$49,0)))</f>
        <v>0</v>
      </c>
    </row>
    <row r="3633" customFormat="false" ht="15" hidden="false" customHeight="false" outlineLevel="0" collapsed="false">
      <c r="A3633" s="36" t="n">
        <v>46160</v>
      </c>
      <c r="B3633" s="24" t="s">
        <v>64</v>
      </c>
      <c r="C3633" s="24" t="s">
        <v>117</v>
      </c>
      <c r="D3633" s="33" t="n">
        <v>102</v>
      </c>
      <c r="E3633" s="24" t="n">
        <v>0</v>
      </c>
      <c r="F3633" s="37" t="n">
        <f aca="false">DATE(YEAR(A3633),MONTH(A3633),1)</f>
        <v>46143</v>
      </c>
      <c r="G3633" s="24" t="str">
        <f aca="false">INDEX(Products!$C$2:$C$49,MATCH(C3633,Products!$A$2:$A$49,0))</f>
        <v>Grocery Staples</v>
      </c>
      <c r="H3633" s="33" t="n">
        <f aca="false">D3633*INDEX(Products!$E$2:$E$49,MATCH(C3633,Products!$A$2:$A$49,0))</f>
        <v>19380</v>
      </c>
      <c r="I3633" s="33" t="n">
        <f aca="false">D3633*INDEX(Products!$D$2:$D$49,MATCH(C3633,Products!$A$2:$A$49,0))*(1+INDEX(Assumptions!$B$16:$B$20,MATCH(B3633,Assumptions!$A$16:$A$20,0)))</f>
        <v>17547.264</v>
      </c>
      <c r="J3633" s="33" t="n">
        <f aca="false">H3633-I3633</f>
        <v>1832.736</v>
      </c>
      <c r="K3633" s="33" t="n">
        <f aca="false">IF(OR(E3633=0,E3633&gt;=7),0,D3633/(7-E3633)*E3633*INDEX(Products!$E$2:$E$49,MATCH(C3633,Products!$A$2:$A$49,0)))</f>
        <v>0</v>
      </c>
    </row>
    <row r="3634" customFormat="false" ht="15" hidden="false" customHeight="false" outlineLevel="0" collapsed="false">
      <c r="A3634" s="36" t="n">
        <v>46167</v>
      </c>
      <c r="B3634" s="24" t="s">
        <v>64</v>
      </c>
      <c r="C3634" s="24" t="s">
        <v>117</v>
      </c>
      <c r="D3634" s="33" t="n">
        <v>41</v>
      </c>
      <c r="E3634" s="24" t="n">
        <v>5</v>
      </c>
      <c r="F3634" s="37" t="n">
        <f aca="false">DATE(YEAR(A3634),MONTH(A3634),1)</f>
        <v>46143</v>
      </c>
      <c r="G3634" s="24" t="str">
        <f aca="false">INDEX(Products!$C$2:$C$49,MATCH(C3634,Products!$A$2:$A$49,0))</f>
        <v>Grocery Staples</v>
      </c>
      <c r="H3634" s="33" t="n">
        <f aca="false">D3634*INDEX(Products!$E$2:$E$49,MATCH(C3634,Products!$A$2:$A$49,0))</f>
        <v>7790</v>
      </c>
      <c r="I3634" s="33" t="n">
        <f aca="false">D3634*INDEX(Products!$D$2:$D$49,MATCH(C3634,Products!$A$2:$A$49,0))*(1+INDEX(Assumptions!$B$16:$B$20,MATCH(B3634,Assumptions!$A$16:$A$20,0)))</f>
        <v>7053.312</v>
      </c>
      <c r="J3634" s="33" t="n">
        <f aca="false">H3634-I3634</f>
        <v>736.688</v>
      </c>
      <c r="K3634" s="33" t="n">
        <f aca="false">IF(OR(E3634=0,E3634&gt;=7),0,D3634/(7-E3634)*E3634*INDEX(Products!$E$2:$E$49,MATCH(C3634,Products!$A$2:$A$49,0)))</f>
        <v>19475</v>
      </c>
    </row>
    <row r="3635" customFormat="false" ht="15" hidden="false" customHeight="false" outlineLevel="0" collapsed="false">
      <c r="A3635" s="36" t="n">
        <v>46174</v>
      </c>
      <c r="B3635" s="24" t="s">
        <v>64</v>
      </c>
      <c r="C3635" s="24" t="s">
        <v>117</v>
      </c>
      <c r="D3635" s="33" t="n">
        <v>115</v>
      </c>
      <c r="E3635" s="24" t="n">
        <v>0</v>
      </c>
      <c r="F3635" s="37" t="n">
        <f aca="false">DATE(YEAR(A3635),MONTH(A3635),1)</f>
        <v>46174</v>
      </c>
      <c r="G3635" s="24" t="str">
        <f aca="false">INDEX(Products!$C$2:$C$49,MATCH(C3635,Products!$A$2:$A$49,0))</f>
        <v>Grocery Staples</v>
      </c>
      <c r="H3635" s="33" t="n">
        <f aca="false">D3635*INDEX(Products!$E$2:$E$49,MATCH(C3635,Products!$A$2:$A$49,0))</f>
        <v>21850</v>
      </c>
      <c r="I3635" s="33" t="n">
        <f aca="false">D3635*INDEX(Products!$D$2:$D$49,MATCH(C3635,Products!$A$2:$A$49,0))*(1+INDEX(Assumptions!$B$16:$B$20,MATCH(B3635,Assumptions!$A$16:$A$20,0)))</f>
        <v>19783.68</v>
      </c>
      <c r="J3635" s="33" t="n">
        <f aca="false">H3635-I3635</f>
        <v>2066.32</v>
      </c>
      <c r="K3635" s="33" t="n">
        <f aca="false">IF(OR(E3635=0,E3635&gt;=7),0,D3635/(7-E3635)*E3635*INDEX(Products!$E$2:$E$49,MATCH(C3635,Products!$A$2:$A$49,0)))</f>
        <v>0</v>
      </c>
    </row>
    <row r="3636" customFormat="false" ht="15" hidden="false" customHeight="false" outlineLevel="0" collapsed="false">
      <c r="A3636" s="36" t="n">
        <v>46181</v>
      </c>
      <c r="B3636" s="24" t="s">
        <v>64</v>
      </c>
      <c r="C3636" s="24" t="s">
        <v>117</v>
      </c>
      <c r="D3636" s="33" t="n">
        <v>123</v>
      </c>
      <c r="E3636" s="24" t="n">
        <v>0</v>
      </c>
      <c r="F3636" s="37" t="n">
        <f aca="false">DATE(YEAR(A3636),MONTH(A3636),1)</f>
        <v>46174</v>
      </c>
      <c r="G3636" s="24" t="str">
        <f aca="false">INDEX(Products!$C$2:$C$49,MATCH(C3636,Products!$A$2:$A$49,0))</f>
        <v>Grocery Staples</v>
      </c>
      <c r="H3636" s="33" t="n">
        <f aca="false">D3636*INDEX(Products!$E$2:$E$49,MATCH(C3636,Products!$A$2:$A$49,0))</f>
        <v>23370</v>
      </c>
      <c r="I3636" s="33" t="n">
        <f aca="false">D3636*INDEX(Products!$D$2:$D$49,MATCH(C3636,Products!$A$2:$A$49,0))*(1+INDEX(Assumptions!$B$16:$B$20,MATCH(B3636,Assumptions!$A$16:$A$20,0)))</f>
        <v>21159.936</v>
      </c>
      <c r="J3636" s="33" t="n">
        <f aca="false">H3636-I3636</f>
        <v>2210.064</v>
      </c>
      <c r="K3636" s="33" t="n">
        <f aca="false">IF(OR(E3636=0,E3636&gt;=7),0,D3636/(7-E3636)*E3636*INDEX(Products!$E$2:$E$49,MATCH(C3636,Products!$A$2:$A$49,0)))</f>
        <v>0</v>
      </c>
    </row>
    <row r="3637" customFormat="false" ht="15" hidden="false" customHeight="false" outlineLevel="0" collapsed="false">
      <c r="A3637" s="36" t="n">
        <v>46188</v>
      </c>
      <c r="B3637" s="24" t="s">
        <v>64</v>
      </c>
      <c r="C3637" s="24" t="s">
        <v>117</v>
      </c>
      <c r="D3637" s="33" t="n">
        <v>106</v>
      </c>
      <c r="E3637" s="24" t="n">
        <v>0</v>
      </c>
      <c r="F3637" s="37" t="n">
        <f aca="false">DATE(YEAR(A3637),MONTH(A3637),1)</f>
        <v>46174</v>
      </c>
      <c r="G3637" s="24" t="str">
        <f aca="false">INDEX(Products!$C$2:$C$49,MATCH(C3637,Products!$A$2:$A$49,0))</f>
        <v>Grocery Staples</v>
      </c>
      <c r="H3637" s="33" t="n">
        <f aca="false">D3637*INDEX(Products!$E$2:$E$49,MATCH(C3637,Products!$A$2:$A$49,0))</f>
        <v>20140</v>
      </c>
      <c r="I3637" s="33" t="n">
        <f aca="false">D3637*INDEX(Products!$D$2:$D$49,MATCH(C3637,Products!$A$2:$A$49,0))*(1+INDEX(Assumptions!$B$16:$B$20,MATCH(B3637,Assumptions!$A$16:$A$20,0)))</f>
        <v>18235.392</v>
      </c>
      <c r="J3637" s="33" t="n">
        <f aca="false">H3637-I3637</f>
        <v>1904.608</v>
      </c>
      <c r="K3637" s="33" t="n">
        <f aca="false">IF(OR(E3637=0,E3637&gt;=7),0,D3637/(7-E3637)*E3637*INDEX(Products!$E$2:$E$49,MATCH(C3637,Products!$A$2:$A$49,0)))</f>
        <v>0</v>
      </c>
    </row>
    <row r="3638" customFormat="false" ht="15" hidden="false" customHeight="false" outlineLevel="0" collapsed="false">
      <c r="A3638" s="36" t="n">
        <v>46195</v>
      </c>
      <c r="B3638" s="24" t="s">
        <v>64</v>
      </c>
      <c r="C3638" s="24" t="s">
        <v>117</v>
      </c>
      <c r="D3638" s="33" t="n">
        <v>113</v>
      </c>
      <c r="E3638" s="24" t="n">
        <v>0</v>
      </c>
      <c r="F3638" s="37" t="n">
        <f aca="false">DATE(YEAR(A3638),MONTH(A3638),1)</f>
        <v>46174</v>
      </c>
      <c r="G3638" s="24" t="str">
        <f aca="false">INDEX(Products!$C$2:$C$49,MATCH(C3638,Products!$A$2:$A$49,0))</f>
        <v>Grocery Staples</v>
      </c>
      <c r="H3638" s="33" t="n">
        <f aca="false">D3638*INDEX(Products!$E$2:$E$49,MATCH(C3638,Products!$A$2:$A$49,0))</f>
        <v>21470</v>
      </c>
      <c r="I3638" s="33" t="n">
        <f aca="false">D3638*INDEX(Products!$D$2:$D$49,MATCH(C3638,Products!$A$2:$A$49,0))*(1+INDEX(Assumptions!$B$16:$B$20,MATCH(B3638,Assumptions!$A$16:$A$20,0)))</f>
        <v>19439.616</v>
      </c>
      <c r="J3638" s="33" t="n">
        <f aca="false">H3638-I3638</f>
        <v>2030.384</v>
      </c>
      <c r="K3638" s="33" t="n">
        <f aca="false">IF(OR(E3638=0,E3638&gt;=7),0,D3638/(7-E3638)*E3638*INDEX(Products!$E$2:$E$49,MATCH(C3638,Products!$A$2:$A$49,0)))</f>
        <v>0</v>
      </c>
    </row>
    <row r="3639" customFormat="false" ht="15" hidden="false" customHeight="false" outlineLevel="0" collapsed="false">
      <c r="A3639" s="36" t="n">
        <v>46202</v>
      </c>
      <c r="B3639" s="24" t="s">
        <v>64</v>
      </c>
      <c r="C3639" s="24" t="s">
        <v>117</v>
      </c>
      <c r="D3639" s="33" t="n">
        <v>105</v>
      </c>
      <c r="E3639" s="24" t="n">
        <v>0</v>
      </c>
      <c r="F3639" s="37" t="n">
        <f aca="false">DATE(YEAR(A3639),MONTH(A3639),1)</f>
        <v>46174</v>
      </c>
      <c r="G3639" s="24" t="str">
        <f aca="false">INDEX(Products!$C$2:$C$49,MATCH(C3639,Products!$A$2:$A$49,0))</f>
        <v>Grocery Staples</v>
      </c>
      <c r="H3639" s="33" t="n">
        <f aca="false">D3639*INDEX(Products!$E$2:$E$49,MATCH(C3639,Products!$A$2:$A$49,0))</f>
        <v>19950</v>
      </c>
      <c r="I3639" s="33" t="n">
        <f aca="false">D3639*INDEX(Products!$D$2:$D$49,MATCH(C3639,Products!$A$2:$A$49,0))*(1+INDEX(Assumptions!$B$16:$B$20,MATCH(B3639,Assumptions!$A$16:$A$20,0)))</f>
        <v>18063.36</v>
      </c>
      <c r="J3639" s="33" t="n">
        <f aca="false">H3639-I3639</f>
        <v>1886.64</v>
      </c>
      <c r="K3639" s="33" t="n">
        <f aca="false">IF(OR(E3639=0,E3639&gt;=7),0,D3639/(7-E3639)*E3639*INDEX(Products!$E$2:$E$49,MATCH(C3639,Products!$A$2:$A$49,0)))</f>
        <v>0</v>
      </c>
    </row>
    <row r="3640" customFormat="false" ht="15" hidden="false" customHeight="false" outlineLevel="0" collapsed="false">
      <c r="A3640" s="36" t="n">
        <v>46209</v>
      </c>
      <c r="B3640" s="24" t="s">
        <v>64</v>
      </c>
      <c r="C3640" s="24" t="s">
        <v>117</v>
      </c>
      <c r="D3640" s="33" t="n">
        <v>106</v>
      </c>
      <c r="E3640" s="24" t="n">
        <v>0</v>
      </c>
      <c r="F3640" s="37" t="n">
        <f aca="false">DATE(YEAR(A3640),MONTH(A3640),1)</f>
        <v>46204</v>
      </c>
      <c r="G3640" s="24" t="str">
        <f aca="false">INDEX(Products!$C$2:$C$49,MATCH(C3640,Products!$A$2:$A$49,0))</f>
        <v>Grocery Staples</v>
      </c>
      <c r="H3640" s="33" t="n">
        <f aca="false">D3640*INDEX(Products!$E$2:$E$49,MATCH(C3640,Products!$A$2:$A$49,0))</f>
        <v>20140</v>
      </c>
      <c r="I3640" s="33" t="n">
        <f aca="false">D3640*INDEX(Products!$D$2:$D$49,MATCH(C3640,Products!$A$2:$A$49,0))*(1+INDEX(Assumptions!$B$16:$B$20,MATCH(B3640,Assumptions!$A$16:$A$20,0)))</f>
        <v>18235.392</v>
      </c>
      <c r="J3640" s="33" t="n">
        <f aca="false">H3640-I3640</f>
        <v>1904.608</v>
      </c>
      <c r="K3640" s="33" t="n">
        <f aca="false">IF(OR(E3640=0,E3640&gt;=7),0,D3640/(7-E3640)*E3640*INDEX(Products!$E$2:$E$49,MATCH(C3640,Products!$A$2:$A$49,0)))</f>
        <v>0</v>
      </c>
    </row>
    <row r="3641" customFormat="false" ht="15" hidden="false" customHeight="false" outlineLevel="0" collapsed="false">
      <c r="A3641" s="36" t="n">
        <v>46216</v>
      </c>
      <c r="B3641" s="24" t="s">
        <v>64</v>
      </c>
      <c r="C3641" s="24" t="s">
        <v>117</v>
      </c>
      <c r="D3641" s="33" t="n">
        <v>108</v>
      </c>
      <c r="E3641" s="24" t="n">
        <v>0</v>
      </c>
      <c r="F3641" s="37" t="n">
        <f aca="false">DATE(YEAR(A3641),MONTH(A3641),1)</f>
        <v>46204</v>
      </c>
      <c r="G3641" s="24" t="str">
        <f aca="false">INDEX(Products!$C$2:$C$49,MATCH(C3641,Products!$A$2:$A$49,0))</f>
        <v>Grocery Staples</v>
      </c>
      <c r="H3641" s="33" t="n">
        <f aca="false">D3641*INDEX(Products!$E$2:$E$49,MATCH(C3641,Products!$A$2:$A$49,0))</f>
        <v>20520</v>
      </c>
      <c r="I3641" s="33" t="n">
        <f aca="false">D3641*INDEX(Products!$D$2:$D$49,MATCH(C3641,Products!$A$2:$A$49,0))*(1+INDEX(Assumptions!$B$16:$B$20,MATCH(B3641,Assumptions!$A$16:$A$20,0)))</f>
        <v>18579.456</v>
      </c>
      <c r="J3641" s="33" t="n">
        <f aca="false">H3641-I3641</f>
        <v>1940.544</v>
      </c>
      <c r="K3641" s="33" t="n">
        <f aca="false">IF(OR(E3641=0,E3641&gt;=7),0,D3641/(7-E3641)*E3641*INDEX(Products!$E$2:$E$49,MATCH(C3641,Products!$A$2:$A$49,0)))</f>
        <v>0</v>
      </c>
    </row>
    <row r="3642" customFormat="false" ht="15" hidden="false" customHeight="false" outlineLevel="0" collapsed="false">
      <c r="A3642" s="36" t="n">
        <v>46223</v>
      </c>
      <c r="B3642" s="24" t="s">
        <v>64</v>
      </c>
      <c r="C3642" s="24" t="s">
        <v>117</v>
      </c>
      <c r="D3642" s="33" t="n">
        <v>129</v>
      </c>
      <c r="E3642" s="24" t="n">
        <v>0</v>
      </c>
      <c r="F3642" s="37" t="n">
        <f aca="false">DATE(YEAR(A3642),MONTH(A3642),1)</f>
        <v>46204</v>
      </c>
      <c r="G3642" s="24" t="str">
        <f aca="false">INDEX(Products!$C$2:$C$49,MATCH(C3642,Products!$A$2:$A$49,0))</f>
        <v>Grocery Staples</v>
      </c>
      <c r="H3642" s="33" t="n">
        <f aca="false">D3642*INDEX(Products!$E$2:$E$49,MATCH(C3642,Products!$A$2:$A$49,0))</f>
        <v>24510</v>
      </c>
      <c r="I3642" s="33" t="n">
        <f aca="false">D3642*INDEX(Products!$D$2:$D$49,MATCH(C3642,Products!$A$2:$A$49,0))*(1+INDEX(Assumptions!$B$16:$B$20,MATCH(B3642,Assumptions!$A$16:$A$20,0)))</f>
        <v>22192.128</v>
      </c>
      <c r="J3642" s="33" t="n">
        <f aca="false">H3642-I3642</f>
        <v>2317.872</v>
      </c>
      <c r="K3642" s="33" t="n">
        <f aca="false">IF(OR(E3642=0,E3642&gt;=7),0,D3642/(7-E3642)*E3642*INDEX(Products!$E$2:$E$49,MATCH(C3642,Products!$A$2:$A$49,0)))</f>
        <v>0</v>
      </c>
    </row>
    <row r="3643" customFormat="false" ht="15" hidden="false" customHeight="false" outlineLevel="0" collapsed="false">
      <c r="A3643" s="36" t="n">
        <v>46230</v>
      </c>
      <c r="B3643" s="24" t="s">
        <v>64</v>
      </c>
      <c r="C3643" s="24" t="s">
        <v>117</v>
      </c>
      <c r="D3643" s="33" t="n">
        <v>53</v>
      </c>
      <c r="E3643" s="24" t="n">
        <v>4</v>
      </c>
      <c r="F3643" s="37" t="n">
        <f aca="false">DATE(YEAR(A3643),MONTH(A3643),1)</f>
        <v>46204</v>
      </c>
      <c r="G3643" s="24" t="str">
        <f aca="false">INDEX(Products!$C$2:$C$49,MATCH(C3643,Products!$A$2:$A$49,0))</f>
        <v>Grocery Staples</v>
      </c>
      <c r="H3643" s="33" t="n">
        <f aca="false">D3643*INDEX(Products!$E$2:$E$49,MATCH(C3643,Products!$A$2:$A$49,0))</f>
        <v>10070</v>
      </c>
      <c r="I3643" s="33" t="n">
        <f aca="false">D3643*INDEX(Products!$D$2:$D$49,MATCH(C3643,Products!$A$2:$A$49,0))*(1+INDEX(Assumptions!$B$16:$B$20,MATCH(B3643,Assumptions!$A$16:$A$20,0)))</f>
        <v>9117.696</v>
      </c>
      <c r="J3643" s="33" t="n">
        <f aca="false">H3643-I3643</f>
        <v>952.304</v>
      </c>
      <c r="K3643" s="33" t="n">
        <f aca="false">IF(OR(E3643=0,E3643&gt;=7),0,D3643/(7-E3643)*E3643*INDEX(Products!$E$2:$E$49,MATCH(C3643,Products!$A$2:$A$49,0)))</f>
        <v>13426.6666666667</v>
      </c>
    </row>
    <row r="3644" customFormat="false" ht="15" hidden="false" customHeight="false" outlineLevel="0" collapsed="false">
      <c r="A3644" s="36" t="n">
        <v>46237</v>
      </c>
      <c r="B3644" s="24" t="s">
        <v>64</v>
      </c>
      <c r="C3644" s="24" t="s">
        <v>117</v>
      </c>
      <c r="D3644" s="33" t="n">
        <v>95</v>
      </c>
      <c r="E3644" s="24" t="n">
        <v>0</v>
      </c>
      <c r="F3644" s="37" t="n">
        <f aca="false">DATE(YEAR(A3644),MONTH(A3644),1)</f>
        <v>46235</v>
      </c>
      <c r="G3644" s="24" t="str">
        <f aca="false">INDEX(Products!$C$2:$C$49,MATCH(C3644,Products!$A$2:$A$49,0))</f>
        <v>Grocery Staples</v>
      </c>
      <c r="H3644" s="33" t="n">
        <f aca="false">D3644*INDEX(Products!$E$2:$E$49,MATCH(C3644,Products!$A$2:$A$49,0))</f>
        <v>18050</v>
      </c>
      <c r="I3644" s="33" t="n">
        <f aca="false">D3644*INDEX(Products!$D$2:$D$49,MATCH(C3644,Products!$A$2:$A$49,0))*(1+INDEX(Assumptions!$B$16:$B$20,MATCH(B3644,Assumptions!$A$16:$A$20,0)))</f>
        <v>16343.04</v>
      </c>
      <c r="J3644" s="33" t="n">
        <f aca="false">H3644-I3644</f>
        <v>1706.96</v>
      </c>
      <c r="K3644" s="33" t="n">
        <f aca="false">IF(OR(E3644=0,E3644&gt;=7),0,D3644/(7-E3644)*E3644*INDEX(Products!$E$2:$E$49,MATCH(C3644,Products!$A$2:$A$49,0)))</f>
        <v>0</v>
      </c>
    </row>
    <row r="3645" customFormat="false" ht="15" hidden="false" customHeight="false" outlineLevel="0" collapsed="false">
      <c r="A3645" s="36" t="n">
        <v>46244</v>
      </c>
      <c r="B3645" s="24" t="s">
        <v>64</v>
      </c>
      <c r="C3645" s="24" t="s">
        <v>117</v>
      </c>
      <c r="D3645" s="33" t="n">
        <v>104</v>
      </c>
      <c r="E3645" s="24" t="n">
        <v>0</v>
      </c>
      <c r="F3645" s="37" t="n">
        <f aca="false">DATE(YEAR(A3645),MONTH(A3645),1)</f>
        <v>46235</v>
      </c>
      <c r="G3645" s="24" t="str">
        <f aca="false">INDEX(Products!$C$2:$C$49,MATCH(C3645,Products!$A$2:$A$49,0))</f>
        <v>Grocery Staples</v>
      </c>
      <c r="H3645" s="33" t="n">
        <f aca="false">D3645*INDEX(Products!$E$2:$E$49,MATCH(C3645,Products!$A$2:$A$49,0))</f>
        <v>19760</v>
      </c>
      <c r="I3645" s="33" t="n">
        <f aca="false">D3645*INDEX(Products!$D$2:$D$49,MATCH(C3645,Products!$A$2:$A$49,0))*(1+INDEX(Assumptions!$B$16:$B$20,MATCH(B3645,Assumptions!$A$16:$A$20,0)))</f>
        <v>17891.328</v>
      </c>
      <c r="J3645" s="33" t="n">
        <f aca="false">H3645-I3645</f>
        <v>1868.672</v>
      </c>
      <c r="K3645" s="33" t="n">
        <f aca="false">IF(OR(E3645=0,E3645&gt;=7),0,D3645/(7-E3645)*E3645*INDEX(Products!$E$2:$E$49,MATCH(C3645,Products!$A$2:$A$49,0)))</f>
        <v>0</v>
      </c>
    </row>
    <row r="3646" customFormat="false" ht="15" hidden="false" customHeight="false" outlineLevel="0" collapsed="false">
      <c r="A3646" s="36" t="n">
        <v>46251</v>
      </c>
      <c r="B3646" s="24" t="s">
        <v>64</v>
      </c>
      <c r="C3646" s="24" t="s">
        <v>117</v>
      </c>
      <c r="D3646" s="33" t="n">
        <v>117</v>
      </c>
      <c r="E3646" s="24" t="n">
        <v>0</v>
      </c>
      <c r="F3646" s="37" t="n">
        <f aca="false">DATE(YEAR(A3646),MONTH(A3646),1)</f>
        <v>46235</v>
      </c>
      <c r="G3646" s="24" t="str">
        <f aca="false">INDEX(Products!$C$2:$C$49,MATCH(C3646,Products!$A$2:$A$49,0))</f>
        <v>Grocery Staples</v>
      </c>
      <c r="H3646" s="33" t="n">
        <f aca="false">D3646*INDEX(Products!$E$2:$E$49,MATCH(C3646,Products!$A$2:$A$49,0))</f>
        <v>22230</v>
      </c>
      <c r="I3646" s="33" t="n">
        <f aca="false">D3646*INDEX(Products!$D$2:$D$49,MATCH(C3646,Products!$A$2:$A$49,0))*(1+INDEX(Assumptions!$B$16:$B$20,MATCH(B3646,Assumptions!$A$16:$A$20,0)))</f>
        <v>20127.744</v>
      </c>
      <c r="J3646" s="33" t="n">
        <f aca="false">H3646-I3646</f>
        <v>2102.256</v>
      </c>
      <c r="K3646" s="33" t="n">
        <f aca="false">IF(OR(E3646=0,E3646&gt;=7),0,D3646/(7-E3646)*E3646*INDEX(Products!$E$2:$E$49,MATCH(C3646,Products!$A$2:$A$49,0)))</f>
        <v>0</v>
      </c>
    </row>
    <row r="3647" customFormat="false" ht="15" hidden="false" customHeight="false" outlineLevel="0" collapsed="false">
      <c r="A3647" s="36" t="n">
        <v>46258</v>
      </c>
      <c r="B3647" s="24" t="s">
        <v>64</v>
      </c>
      <c r="C3647" s="24" t="s">
        <v>117</v>
      </c>
      <c r="D3647" s="33" t="n">
        <v>116</v>
      </c>
      <c r="E3647" s="24" t="n">
        <v>0</v>
      </c>
      <c r="F3647" s="37" t="n">
        <f aca="false">DATE(YEAR(A3647),MONTH(A3647),1)</f>
        <v>46235</v>
      </c>
      <c r="G3647" s="24" t="str">
        <f aca="false">INDEX(Products!$C$2:$C$49,MATCH(C3647,Products!$A$2:$A$49,0))</f>
        <v>Grocery Staples</v>
      </c>
      <c r="H3647" s="33" t="n">
        <f aca="false">D3647*INDEX(Products!$E$2:$E$49,MATCH(C3647,Products!$A$2:$A$49,0))</f>
        <v>22040</v>
      </c>
      <c r="I3647" s="33" t="n">
        <f aca="false">D3647*INDEX(Products!$D$2:$D$49,MATCH(C3647,Products!$A$2:$A$49,0))*(1+INDEX(Assumptions!$B$16:$B$20,MATCH(B3647,Assumptions!$A$16:$A$20,0)))</f>
        <v>19955.712</v>
      </c>
      <c r="J3647" s="33" t="n">
        <f aca="false">H3647-I3647</f>
        <v>2084.288</v>
      </c>
      <c r="K3647" s="33" t="n">
        <f aca="false">IF(OR(E3647=0,E3647&gt;=7),0,D3647/(7-E3647)*E3647*INDEX(Products!$E$2:$E$49,MATCH(C3647,Products!$A$2:$A$49,0)))</f>
        <v>0</v>
      </c>
    </row>
    <row r="3648" customFormat="false" ht="15" hidden="false" customHeight="false" outlineLevel="0" collapsed="false">
      <c r="A3648" s="36" t="n">
        <v>46265</v>
      </c>
      <c r="B3648" s="24" t="s">
        <v>64</v>
      </c>
      <c r="C3648" s="24" t="s">
        <v>117</v>
      </c>
      <c r="D3648" s="33" t="n">
        <v>114</v>
      </c>
      <c r="E3648" s="24" t="n">
        <v>0</v>
      </c>
      <c r="F3648" s="37" t="n">
        <f aca="false">DATE(YEAR(A3648),MONTH(A3648),1)</f>
        <v>46235</v>
      </c>
      <c r="G3648" s="24" t="str">
        <f aca="false">INDEX(Products!$C$2:$C$49,MATCH(C3648,Products!$A$2:$A$49,0))</f>
        <v>Grocery Staples</v>
      </c>
      <c r="H3648" s="33" t="n">
        <f aca="false">D3648*INDEX(Products!$E$2:$E$49,MATCH(C3648,Products!$A$2:$A$49,0))</f>
        <v>21660</v>
      </c>
      <c r="I3648" s="33" t="n">
        <f aca="false">D3648*INDEX(Products!$D$2:$D$49,MATCH(C3648,Products!$A$2:$A$49,0))*(1+INDEX(Assumptions!$B$16:$B$20,MATCH(B3648,Assumptions!$A$16:$A$20,0)))</f>
        <v>19611.648</v>
      </c>
      <c r="J3648" s="33" t="n">
        <f aca="false">H3648-I3648</f>
        <v>2048.352</v>
      </c>
      <c r="K3648" s="33" t="n">
        <f aca="false">IF(OR(E3648=0,E3648&gt;=7),0,D3648/(7-E3648)*E3648*INDEX(Products!$E$2:$E$49,MATCH(C3648,Products!$A$2:$A$49,0)))</f>
        <v>0</v>
      </c>
    </row>
    <row r="3649" customFormat="false" ht="15" hidden="false" customHeight="false" outlineLevel="0" collapsed="false">
      <c r="A3649" s="36" t="n">
        <v>46272</v>
      </c>
      <c r="B3649" s="24" t="s">
        <v>64</v>
      </c>
      <c r="C3649" s="24" t="s">
        <v>117</v>
      </c>
      <c r="D3649" s="33" t="n">
        <v>96</v>
      </c>
      <c r="E3649" s="24" t="n">
        <v>0</v>
      </c>
      <c r="F3649" s="37" t="n">
        <f aca="false">DATE(YEAR(A3649),MONTH(A3649),1)</f>
        <v>46266</v>
      </c>
      <c r="G3649" s="24" t="str">
        <f aca="false">INDEX(Products!$C$2:$C$49,MATCH(C3649,Products!$A$2:$A$49,0))</f>
        <v>Grocery Staples</v>
      </c>
      <c r="H3649" s="33" t="n">
        <f aca="false">D3649*INDEX(Products!$E$2:$E$49,MATCH(C3649,Products!$A$2:$A$49,0))</f>
        <v>18240</v>
      </c>
      <c r="I3649" s="33" t="n">
        <f aca="false">D3649*INDEX(Products!$D$2:$D$49,MATCH(C3649,Products!$A$2:$A$49,0))*(1+INDEX(Assumptions!$B$16:$B$20,MATCH(B3649,Assumptions!$A$16:$A$20,0)))</f>
        <v>16515.072</v>
      </c>
      <c r="J3649" s="33" t="n">
        <f aca="false">H3649-I3649</f>
        <v>1724.928</v>
      </c>
      <c r="K3649" s="33" t="n">
        <f aca="false">IF(OR(E3649=0,E3649&gt;=7),0,D3649/(7-E3649)*E3649*INDEX(Products!$E$2:$E$49,MATCH(C3649,Products!$A$2:$A$49,0)))</f>
        <v>0</v>
      </c>
    </row>
    <row r="3650" customFormat="false" ht="15" hidden="false" customHeight="false" outlineLevel="0" collapsed="false">
      <c r="A3650" s="36" t="n">
        <v>46279</v>
      </c>
      <c r="B3650" s="24" t="s">
        <v>64</v>
      </c>
      <c r="C3650" s="24" t="s">
        <v>117</v>
      </c>
      <c r="D3650" s="33" t="n">
        <v>200</v>
      </c>
      <c r="E3650" s="24" t="n">
        <v>0</v>
      </c>
      <c r="F3650" s="37" t="n">
        <f aca="false">DATE(YEAR(A3650),MONTH(A3650),1)</f>
        <v>46266</v>
      </c>
      <c r="G3650" s="24" t="str">
        <f aca="false">INDEX(Products!$C$2:$C$49,MATCH(C3650,Products!$A$2:$A$49,0))</f>
        <v>Grocery Staples</v>
      </c>
      <c r="H3650" s="33" t="n">
        <f aca="false">D3650*INDEX(Products!$E$2:$E$49,MATCH(C3650,Products!$A$2:$A$49,0))</f>
        <v>38000</v>
      </c>
      <c r="I3650" s="33" t="n">
        <f aca="false">D3650*INDEX(Products!$D$2:$D$49,MATCH(C3650,Products!$A$2:$A$49,0))*(1+INDEX(Assumptions!$B$16:$B$20,MATCH(B3650,Assumptions!$A$16:$A$20,0)))</f>
        <v>34406.4</v>
      </c>
      <c r="J3650" s="33" t="n">
        <f aca="false">H3650-I3650</f>
        <v>3593.6</v>
      </c>
      <c r="K3650" s="33" t="n">
        <f aca="false">IF(OR(E3650=0,E3650&gt;=7),0,D3650/(7-E3650)*E3650*INDEX(Products!$E$2:$E$49,MATCH(C3650,Products!$A$2:$A$49,0)))</f>
        <v>0</v>
      </c>
    </row>
    <row r="3651" customFormat="false" ht="15" hidden="false" customHeight="false" outlineLevel="0" collapsed="false">
      <c r="A3651" s="36" t="n">
        <v>46286</v>
      </c>
      <c r="B3651" s="24" t="s">
        <v>64</v>
      </c>
      <c r="C3651" s="24" t="s">
        <v>117</v>
      </c>
      <c r="D3651" s="33" t="n">
        <v>127</v>
      </c>
      <c r="E3651" s="24" t="n">
        <v>0</v>
      </c>
      <c r="F3651" s="37" t="n">
        <f aca="false">DATE(YEAR(A3651),MONTH(A3651),1)</f>
        <v>46266</v>
      </c>
      <c r="G3651" s="24" t="str">
        <f aca="false">INDEX(Products!$C$2:$C$49,MATCH(C3651,Products!$A$2:$A$49,0))</f>
        <v>Grocery Staples</v>
      </c>
      <c r="H3651" s="33" t="n">
        <f aca="false">D3651*INDEX(Products!$E$2:$E$49,MATCH(C3651,Products!$A$2:$A$49,0))</f>
        <v>24130</v>
      </c>
      <c r="I3651" s="33" t="n">
        <f aca="false">D3651*INDEX(Products!$D$2:$D$49,MATCH(C3651,Products!$A$2:$A$49,0))*(1+INDEX(Assumptions!$B$16:$B$20,MATCH(B3651,Assumptions!$A$16:$A$20,0)))</f>
        <v>21848.064</v>
      </c>
      <c r="J3651" s="33" t="n">
        <f aca="false">H3651-I3651</f>
        <v>2281.936</v>
      </c>
      <c r="K3651" s="33" t="n">
        <f aca="false">IF(OR(E3651=0,E3651&gt;=7),0,D3651/(7-E3651)*E3651*INDEX(Products!$E$2:$E$49,MATCH(C3651,Products!$A$2:$A$49,0)))</f>
        <v>0</v>
      </c>
    </row>
    <row r="3652" customFormat="false" ht="15" hidden="false" customHeight="false" outlineLevel="0" collapsed="false">
      <c r="A3652" s="36" t="n">
        <v>46118</v>
      </c>
      <c r="B3652" s="24" t="s">
        <v>64</v>
      </c>
      <c r="C3652" s="24" t="s">
        <v>119</v>
      </c>
      <c r="D3652" s="33" t="n">
        <v>82</v>
      </c>
      <c r="E3652" s="24" t="n">
        <v>0</v>
      </c>
      <c r="F3652" s="37" t="n">
        <f aca="false">DATE(YEAR(A3652),MONTH(A3652),1)</f>
        <v>46113</v>
      </c>
      <c r="G3652" s="24" t="str">
        <f aca="false">INDEX(Products!$C$2:$C$49,MATCH(C3652,Products!$A$2:$A$49,0))</f>
        <v>Grocery Staples</v>
      </c>
      <c r="H3652" s="33" t="n">
        <f aca="false">D3652*INDEX(Products!$E$2:$E$49,MATCH(C3652,Products!$A$2:$A$49,0))</f>
        <v>34440</v>
      </c>
      <c r="I3652" s="33" t="n">
        <f aca="false">D3652*INDEX(Products!$D$2:$D$49,MATCH(C3652,Products!$A$2:$A$49,0))*(1+INDEX(Assumptions!$B$16:$B$20,MATCH(B3652,Assumptions!$A$16:$A$20,0)))</f>
        <v>31571.968</v>
      </c>
      <c r="J3652" s="33" t="n">
        <f aca="false">H3652-I3652</f>
        <v>2868.032</v>
      </c>
      <c r="K3652" s="33" t="n">
        <f aca="false">IF(OR(E3652=0,E3652&gt;=7),0,D3652/(7-E3652)*E3652*INDEX(Products!$E$2:$E$49,MATCH(C3652,Products!$A$2:$A$49,0)))</f>
        <v>0</v>
      </c>
    </row>
    <row r="3653" customFormat="false" ht="15" hidden="false" customHeight="false" outlineLevel="0" collapsed="false">
      <c r="A3653" s="36" t="n">
        <v>46125</v>
      </c>
      <c r="B3653" s="24" t="s">
        <v>64</v>
      </c>
      <c r="C3653" s="24" t="s">
        <v>119</v>
      </c>
      <c r="D3653" s="33" t="n">
        <v>85</v>
      </c>
      <c r="E3653" s="24" t="n">
        <v>0</v>
      </c>
      <c r="F3653" s="37" t="n">
        <f aca="false">DATE(YEAR(A3653),MONTH(A3653),1)</f>
        <v>46113</v>
      </c>
      <c r="G3653" s="24" t="str">
        <f aca="false">INDEX(Products!$C$2:$C$49,MATCH(C3653,Products!$A$2:$A$49,0))</f>
        <v>Grocery Staples</v>
      </c>
      <c r="H3653" s="33" t="n">
        <f aca="false">D3653*INDEX(Products!$E$2:$E$49,MATCH(C3653,Products!$A$2:$A$49,0))</f>
        <v>35700</v>
      </c>
      <c r="I3653" s="33" t="n">
        <f aca="false">D3653*INDEX(Products!$D$2:$D$49,MATCH(C3653,Products!$A$2:$A$49,0))*(1+INDEX(Assumptions!$B$16:$B$20,MATCH(B3653,Assumptions!$A$16:$A$20,0)))</f>
        <v>32727.04</v>
      </c>
      <c r="J3653" s="33" t="n">
        <f aca="false">H3653-I3653</f>
        <v>2972.96</v>
      </c>
      <c r="K3653" s="33" t="n">
        <f aca="false">IF(OR(E3653=0,E3653&gt;=7),0,D3653/(7-E3653)*E3653*INDEX(Products!$E$2:$E$49,MATCH(C3653,Products!$A$2:$A$49,0)))</f>
        <v>0</v>
      </c>
    </row>
    <row r="3654" customFormat="false" ht="15" hidden="false" customHeight="false" outlineLevel="0" collapsed="false">
      <c r="A3654" s="36" t="n">
        <v>46132</v>
      </c>
      <c r="B3654" s="24" t="s">
        <v>64</v>
      </c>
      <c r="C3654" s="24" t="s">
        <v>119</v>
      </c>
      <c r="D3654" s="33" t="n">
        <v>88</v>
      </c>
      <c r="E3654" s="24" t="n">
        <v>0</v>
      </c>
      <c r="F3654" s="37" t="n">
        <f aca="false">DATE(YEAR(A3654),MONTH(A3654),1)</f>
        <v>46113</v>
      </c>
      <c r="G3654" s="24" t="str">
        <f aca="false">INDEX(Products!$C$2:$C$49,MATCH(C3654,Products!$A$2:$A$49,0))</f>
        <v>Grocery Staples</v>
      </c>
      <c r="H3654" s="33" t="n">
        <f aca="false">D3654*INDEX(Products!$E$2:$E$49,MATCH(C3654,Products!$A$2:$A$49,0))</f>
        <v>36960</v>
      </c>
      <c r="I3654" s="33" t="n">
        <f aca="false">D3654*INDEX(Products!$D$2:$D$49,MATCH(C3654,Products!$A$2:$A$49,0))*(1+INDEX(Assumptions!$B$16:$B$20,MATCH(B3654,Assumptions!$A$16:$A$20,0)))</f>
        <v>33882.112</v>
      </c>
      <c r="J3654" s="33" t="n">
        <f aca="false">H3654-I3654</f>
        <v>3077.888</v>
      </c>
      <c r="K3654" s="33" t="n">
        <f aca="false">IF(OR(E3654=0,E3654&gt;=7),0,D3654/(7-E3654)*E3654*INDEX(Products!$E$2:$E$49,MATCH(C3654,Products!$A$2:$A$49,0)))</f>
        <v>0</v>
      </c>
    </row>
    <row r="3655" customFormat="false" ht="15" hidden="false" customHeight="false" outlineLevel="0" collapsed="false">
      <c r="A3655" s="36" t="n">
        <v>46139</v>
      </c>
      <c r="B3655" s="24" t="s">
        <v>64</v>
      </c>
      <c r="C3655" s="24" t="s">
        <v>119</v>
      </c>
      <c r="D3655" s="33" t="n">
        <v>102</v>
      </c>
      <c r="E3655" s="24" t="n">
        <v>0</v>
      </c>
      <c r="F3655" s="37" t="n">
        <f aca="false">DATE(YEAR(A3655),MONTH(A3655),1)</f>
        <v>46113</v>
      </c>
      <c r="G3655" s="24" t="str">
        <f aca="false">INDEX(Products!$C$2:$C$49,MATCH(C3655,Products!$A$2:$A$49,0))</f>
        <v>Grocery Staples</v>
      </c>
      <c r="H3655" s="33" t="n">
        <f aca="false">D3655*INDEX(Products!$E$2:$E$49,MATCH(C3655,Products!$A$2:$A$49,0))</f>
        <v>42840</v>
      </c>
      <c r="I3655" s="33" t="n">
        <f aca="false">D3655*INDEX(Products!$D$2:$D$49,MATCH(C3655,Products!$A$2:$A$49,0))*(1+INDEX(Assumptions!$B$16:$B$20,MATCH(B3655,Assumptions!$A$16:$A$20,0)))</f>
        <v>39272.448</v>
      </c>
      <c r="J3655" s="33" t="n">
        <f aca="false">H3655-I3655</f>
        <v>3567.552</v>
      </c>
      <c r="K3655" s="33" t="n">
        <f aca="false">IF(OR(E3655=0,E3655&gt;=7),0,D3655/(7-E3655)*E3655*INDEX(Products!$E$2:$E$49,MATCH(C3655,Products!$A$2:$A$49,0)))</f>
        <v>0</v>
      </c>
    </row>
    <row r="3656" customFormat="false" ht="15" hidden="false" customHeight="false" outlineLevel="0" collapsed="false">
      <c r="A3656" s="36" t="n">
        <v>46146</v>
      </c>
      <c r="B3656" s="24" t="s">
        <v>64</v>
      </c>
      <c r="C3656" s="24" t="s">
        <v>119</v>
      </c>
      <c r="D3656" s="33" t="n">
        <v>91</v>
      </c>
      <c r="E3656" s="24" t="n">
        <v>0</v>
      </c>
      <c r="F3656" s="37" t="n">
        <f aca="false">DATE(YEAR(A3656),MONTH(A3656),1)</f>
        <v>46143</v>
      </c>
      <c r="G3656" s="24" t="str">
        <f aca="false">INDEX(Products!$C$2:$C$49,MATCH(C3656,Products!$A$2:$A$49,0))</f>
        <v>Grocery Staples</v>
      </c>
      <c r="H3656" s="33" t="n">
        <f aca="false">D3656*INDEX(Products!$E$2:$E$49,MATCH(C3656,Products!$A$2:$A$49,0))</f>
        <v>38220</v>
      </c>
      <c r="I3656" s="33" t="n">
        <f aca="false">D3656*INDEX(Products!$D$2:$D$49,MATCH(C3656,Products!$A$2:$A$49,0))*(1+INDEX(Assumptions!$B$16:$B$20,MATCH(B3656,Assumptions!$A$16:$A$20,0)))</f>
        <v>35037.184</v>
      </c>
      <c r="J3656" s="33" t="n">
        <f aca="false">H3656-I3656</f>
        <v>3182.816</v>
      </c>
      <c r="K3656" s="33" t="n">
        <f aca="false">IF(OR(E3656=0,E3656&gt;=7),0,D3656/(7-E3656)*E3656*INDEX(Products!$E$2:$E$49,MATCH(C3656,Products!$A$2:$A$49,0)))</f>
        <v>0</v>
      </c>
    </row>
    <row r="3657" customFormat="false" ht="15" hidden="false" customHeight="false" outlineLevel="0" collapsed="false">
      <c r="A3657" s="36" t="n">
        <v>46153</v>
      </c>
      <c r="B3657" s="24" t="s">
        <v>64</v>
      </c>
      <c r="C3657" s="24" t="s">
        <v>119</v>
      </c>
      <c r="D3657" s="33" t="n">
        <v>86</v>
      </c>
      <c r="E3657" s="24" t="n">
        <v>0</v>
      </c>
      <c r="F3657" s="37" t="n">
        <f aca="false">DATE(YEAR(A3657),MONTH(A3657),1)</f>
        <v>46143</v>
      </c>
      <c r="G3657" s="24" t="str">
        <f aca="false">INDEX(Products!$C$2:$C$49,MATCH(C3657,Products!$A$2:$A$49,0))</f>
        <v>Grocery Staples</v>
      </c>
      <c r="H3657" s="33" t="n">
        <f aca="false">D3657*INDEX(Products!$E$2:$E$49,MATCH(C3657,Products!$A$2:$A$49,0))</f>
        <v>36120</v>
      </c>
      <c r="I3657" s="33" t="n">
        <f aca="false">D3657*INDEX(Products!$D$2:$D$49,MATCH(C3657,Products!$A$2:$A$49,0))*(1+INDEX(Assumptions!$B$16:$B$20,MATCH(B3657,Assumptions!$A$16:$A$20,0)))</f>
        <v>33112.064</v>
      </c>
      <c r="J3657" s="33" t="n">
        <f aca="false">H3657-I3657</f>
        <v>3007.936</v>
      </c>
      <c r="K3657" s="33" t="n">
        <f aca="false">IF(OR(E3657=0,E3657&gt;=7),0,D3657/(7-E3657)*E3657*INDEX(Products!$E$2:$E$49,MATCH(C3657,Products!$A$2:$A$49,0)))</f>
        <v>0</v>
      </c>
    </row>
    <row r="3658" customFormat="false" ht="15" hidden="false" customHeight="false" outlineLevel="0" collapsed="false">
      <c r="A3658" s="36" t="n">
        <v>46160</v>
      </c>
      <c r="B3658" s="24" t="s">
        <v>64</v>
      </c>
      <c r="C3658" s="24" t="s">
        <v>119</v>
      </c>
      <c r="D3658" s="33" t="n">
        <v>80</v>
      </c>
      <c r="E3658" s="24" t="n">
        <v>0</v>
      </c>
      <c r="F3658" s="37" t="n">
        <f aca="false">DATE(YEAR(A3658),MONTH(A3658),1)</f>
        <v>46143</v>
      </c>
      <c r="G3658" s="24" t="str">
        <f aca="false">INDEX(Products!$C$2:$C$49,MATCH(C3658,Products!$A$2:$A$49,0))</f>
        <v>Grocery Staples</v>
      </c>
      <c r="H3658" s="33" t="n">
        <f aca="false">D3658*INDEX(Products!$E$2:$E$49,MATCH(C3658,Products!$A$2:$A$49,0))</f>
        <v>33600</v>
      </c>
      <c r="I3658" s="33" t="n">
        <f aca="false">D3658*INDEX(Products!$D$2:$D$49,MATCH(C3658,Products!$A$2:$A$49,0))*(1+INDEX(Assumptions!$B$16:$B$20,MATCH(B3658,Assumptions!$A$16:$A$20,0)))</f>
        <v>30801.92</v>
      </c>
      <c r="J3658" s="33" t="n">
        <f aca="false">H3658-I3658</f>
        <v>2798.08</v>
      </c>
      <c r="K3658" s="33" t="n">
        <f aca="false">IF(OR(E3658=0,E3658&gt;=7),0,D3658/(7-E3658)*E3658*INDEX(Products!$E$2:$E$49,MATCH(C3658,Products!$A$2:$A$49,0)))</f>
        <v>0</v>
      </c>
    </row>
    <row r="3659" customFormat="false" ht="15" hidden="false" customHeight="false" outlineLevel="0" collapsed="false">
      <c r="A3659" s="36" t="n">
        <v>46167</v>
      </c>
      <c r="B3659" s="24" t="s">
        <v>64</v>
      </c>
      <c r="C3659" s="24" t="s">
        <v>119</v>
      </c>
      <c r="D3659" s="33" t="n">
        <v>96</v>
      </c>
      <c r="E3659" s="24" t="n">
        <v>0</v>
      </c>
      <c r="F3659" s="37" t="n">
        <f aca="false">DATE(YEAR(A3659),MONTH(A3659),1)</f>
        <v>46143</v>
      </c>
      <c r="G3659" s="24" t="str">
        <f aca="false">INDEX(Products!$C$2:$C$49,MATCH(C3659,Products!$A$2:$A$49,0))</f>
        <v>Grocery Staples</v>
      </c>
      <c r="H3659" s="33" t="n">
        <f aca="false">D3659*INDEX(Products!$E$2:$E$49,MATCH(C3659,Products!$A$2:$A$49,0))</f>
        <v>40320</v>
      </c>
      <c r="I3659" s="33" t="n">
        <f aca="false">D3659*INDEX(Products!$D$2:$D$49,MATCH(C3659,Products!$A$2:$A$49,0))*(1+INDEX(Assumptions!$B$16:$B$20,MATCH(B3659,Assumptions!$A$16:$A$20,0)))</f>
        <v>36962.304</v>
      </c>
      <c r="J3659" s="33" t="n">
        <f aca="false">H3659-I3659</f>
        <v>3357.696</v>
      </c>
      <c r="K3659" s="33" t="n">
        <f aca="false">IF(OR(E3659=0,E3659&gt;=7),0,D3659/(7-E3659)*E3659*INDEX(Products!$E$2:$E$49,MATCH(C3659,Products!$A$2:$A$49,0)))</f>
        <v>0</v>
      </c>
    </row>
    <row r="3660" customFormat="false" ht="15" hidden="false" customHeight="false" outlineLevel="0" collapsed="false">
      <c r="A3660" s="36" t="n">
        <v>46174</v>
      </c>
      <c r="B3660" s="24" t="s">
        <v>64</v>
      </c>
      <c r="C3660" s="24" t="s">
        <v>119</v>
      </c>
      <c r="D3660" s="33" t="n">
        <v>91</v>
      </c>
      <c r="E3660" s="24" t="n">
        <v>0</v>
      </c>
      <c r="F3660" s="37" t="n">
        <f aca="false">DATE(YEAR(A3660),MONTH(A3660),1)</f>
        <v>46174</v>
      </c>
      <c r="G3660" s="24" t="str">
        <f aca="false">INDEX(Products!$C$2:$C$49,MATCH(C3660,Products!$A$2:$A$49,0))</f>
        <v>Grocery Staples</v>
      </c>
      <c r="H3660" s="33" t="n">
        <f aca="false">D3660*INDEX(Products!$E$2:$E$49,MATCH(C3660,Products!$A$2:$A$49,0))</f>
        <v>38220</v>
      </c>
      <c r="I3660" s="33" t="n">
        <f aca="false">D3660*INDEX(Products!$D$2:$D$49,MATCH(C3660,Products!$A$2:$A$49,0))*(1+INDEX(Assumptions!$B$16:$B$20,MATCH(B3660,Assumptions!$A$16:$A$20,0)))</f>
        <v>35037.184</v>
      </c>
      <c r="J3660" s="33" t="n">
        <f aca="false">H3660-I3660</f>
        <v>3182.816</v>
      </c>
      <c r="K3660" s="33" t="n">
        <f aca="false">IF(OR(E3660=0,E3660&gt;=7),0,D3660/(7-E3660)*E3660*INDEX(Products!$E$2:$E$49,MATCH(C3660,Products!$A$2:$A$49,0)))</f>
        <v>0</v>
      </c>
    </row>
    <row r="3661" customFormat="false" ht="15" hidden="false" customHeight="false" outlineLevel="0" collapsed="false">
      <c r="A3661" s="36" t="n">
        <v>46181</v>
      </c>
      <c r="B3661" s="24" t="s">
        <v>64</v>
      </c>
      <c r="C3661" s="24" t="s">
        <v>119</v>
      </c>
      <c r="D3661" s="33" t="n">
        <v>83</v>
      </c>
      <c r="E3661" s="24" t="n">
        <v>0</v>
      </c>
      <c r="F3661" s="37" t="n">
        <f aca="false">DATE(YEAR(A3661),MONTH(A3661),1)</f>
        <v>46174</v>
      </c>
      <c r="G3661" s="24" t="str">
        <f aca="false">INDEX(Products!$C$2:$C$49,MATCH(C3661,Products!$A$2:$A$49,0))</f>
        <v>Grocery Staples</v>
      </c>
      <c r="H3661" s="33" t="n">
        <f aca="false">D3661*INDEX(Products!$E$2:$E$49,MATCH(C3661,Products!$A$2:$A$49,0))</f>
        <v>34860</v>
      </c>
      <c r="I3661" s="33" t="n">
        <f aca="false">D3661*INDEX(Products!$D$2:$D$49,MATCH(C3661,Products!$A$2:$A$49,0))*(1+INDEX(Assumptions!$B$16:$B$20,MATCH(B3661,Assumptions!$A$16:$A$20,0)))</f>
        <v>31956.992</v>
      </c>
      <c r="J3661" s="33" t="n">
        <f aca="false">H3661-I3661</f>
        <v>2903.008</v>
      </c>
      <c r="K3661" s="33" t="n">
        <f aca="false">IF(OR(E3661=0,E3661&gt;=7),0,D3661/(7-E3661)*E3661*INDEX(Products!$E$2:$E$49,MATCH(C3661,Products!$A$2:$A$49,0)))</f>
        <v>0</v>
      </c>
    </row>
    <row r="3662" customFormat="false" ht="15" hidden="false" customHeight="false" outlineLevel="0" collapsed="false">
      <c r="A3662" s="36" t="n">
        <v>46188</v>
      </c>
      <c r="B3662" s="24" t="s">
        <v>64</v>
      </c>
      <c r="C3662" s="24" t="s">
        <v>119</v>
      </c>
      <c r="D3662" s="33" t="n">
        <v>86</v>
      </c>
      <c r="E3662" s="24" t="n">
        <v>0</v>
      </c>
      <c r="F3662" s="37" t="n">
        <f aca="false">DATE(YEAR(A3662),MONTH(A3662),1)</f>
        <v>46174</v>
      </c>
      <c r="G3662" s="24" t="str">
        <f aca="false">INDEX(Products!$C$2:$C$49,MATCH(C3662,Products!$A$2:$A$49,0))</f>
        <v>Grocery Staples</v>
      </c>
      <c r="H3662" s="33" t="n">
        <f aca="false">D3662*INDEX(Products!$E$2:$E$49,MATCH(C3662,Products!$A$2:$A$49,0))</f>
        <v>36120</v>
      </c>
      <c r="I3662" s="33" t="n">
        <f aca="false">D3662*INDEX(Products!$D$2:$D$49,MATCH(C3662,Products!$A$2:$A$49,0))*(1+INDEX(Assumptions!$B$16:$B$20,MATCH(B3662,Assumptions!$A$16:$A$20,0)))</f>
        <v>33112.064</v>
      </c>
      <c r="J3662" s="33" t="n">
        <f aca="false">H3662-I3662</f>
        <v>3007.936</v>
      </c>
      <c r="K3662" s="33" t="n">
        <f aca="false">IF(OR(E3662=0,E3662&gt;=7),0,D3662/(7-E3662)*E3662*INDEX(Products!$E$2:$E$49,MATCH(C3662,Products!$A$2:$A$49,0)))</f>
        <v>0</v>
      </c>
    </row>
    <row r="3663" customFormat="false" ht="15" hidden="false" customHeight="false" outlineLevel="0" collapsed="false">
      <c r="A3663" s="36" t="n">
        <v>46195</v>
      </c>
      <c r="B3663" s="24" t="s">
        <v>64</v>
      </c>
      <c r="C3663" s="24" t="s">
        <v>119</v>
      </c>
      <c r="D3663" s="33" t="n">
        <v>85</v>
      </c>
      <c r="E3663" s="24" t="n">
        <v>0</v>
      </c>
      <c r="F3663" s="37" t="n">
        <f aca="false">DATE(YEAR(A3663),MONTH(A3663),1)</f>
        <v>46174</v>
      </c>
      <c r="G3663" s="24" t="str">
        <f aca="false">INDEX(Products!$C$2:$C$49,MATCH(C3663,Products!$A$2:$A$49,0))</f>
        <v>Grocery Staples</v>
      </c>
      <c r="H3663" s="33" t="n">
        <f aca="false">D3663*INDEX(Products!$E$2:$E$49,MATCH(C3663,Products!$A$2:$A$49,0))</f>
        <v>35700</v>
      </c>
      <c r="I3663" s="33" t="n">
        <f aca="false">D3663*INDEX(Products!$D$2:$D$49,MATCH(C3663,Products!$A$2:$A$49,0))*(1+INDEX(Assumptions!$B$16:$B$20,MATCH(B3663,Assumptions!$A$16:$A$20,0)))</f>
        <v>32727.04</v>
      </c>
      <c r="J3663" s="33" t="n">
        <f aca="false">H3663-I3663</f>
        <v>2972.96</v>
      </c>
      <c r="K3663" s="33" t="n">
        <f aca="false">IF(OR(E3663=0,E3663&gt;=7),0,D3663/(7-E3663)*E3663*INDEX(Products!$E$2:$E$49,MATCH(C3663,Products!$A$2:$A$49,0)))</f>
        <v>0</v>
      </c>
    </row>
    <row r="3664" customFormat="false" ht="15" hidden="false" customHeight="false" outlineLevel="0" collapsed="false">
      <c r="A3664" s="36" t="n">
        <v>46202</v>
      </c>
      <c r="B3664" s="24" t="s">
        <v>64</v>
      </c>
      <c r="C3664" s="24" t="s">
        <v>119</v>
      </c>
      <c r="D3664" s="33" t="n">
        <v>79</v>
      </c>
      <c r="E3664" s="24" t="n">
        <v>0</v>
      </c>
      <c r="F3664" s="37" t="n">
        <f aca="false">DATE(YEAR(A3664),MONTH(A3664),1)</f>
        <v>46174</v>
      </c>
      <c r="G3664" s="24" t="str">
        <f aca="false">INDEX(Products!$C$2:$C$49,MATCH(C3664,Products!$A$2:$A$49,0))</f>
        <v>Grocery Staples</v>
      </c>
      <c r="H3664" s="33" t="n">
        <f aca="false">D3664*INDEX(Products!$E$2:$E$49,MATCH(C3664,Products!$A$2:$A$49,0))</f>
        <v>33180</v>
      </c>
      <c r="I3664" s="33" t="n">
        <f aca="false">D3664*INDEX(Products!$D$2:$D$49,MATCH(C3664,Products!$A$2:$A$49,0))*(1+INDEX(Assumptions!$B$16:$B$20,MATCH(B3664,Assumptions!$A$16:$A$20,0)))</f>
        <v>30416.896</v>
      </c>
      <c r="J3664" s="33" t="n">
        <f aca="false">H3664-I3664</f>
        <v>2763.104</v>
      </c>
      <c r="K3664" s="33" t="n">
        <f aca="false">IF(OR(E3664=0,E3664&gt;=7),0,D3664/(7-E3664)*E3664*INDEX(Products!$E$2:$E$49,MATCH(C3664,Products!$A$2:$A$49,0)))</f>
        <v>0</v>
      </c>
    </row>
    <row r="3665" customFormat="false" ht="15" hidden="false" customHeight="false" outlineLevel="0" collapsed="false">
      <c r="A3665" s="36" t="n">
        <v>46209</v>
      </c>
      <c r="B3665" s="24" t="s">
        <v>64</v>
      </c>
      <c r="C3665" s="24" t="s">
        <v>119</v>
      </c>
      <c r="D3665" s="33" t="n">
        <v>67</v>
      </c>
      <c r="E3665" s="24" t="n">
        <v>0</v>
      </c>
      <c r="F3665" s="37" t="n">
        <f aca="false">DATE(YEAR(A3665),MONTH(A3665),1)</f>
        <v>46204</v>
      </c>
      <c r="G3665" s="24" t="str">
        <f aca="false">INDEX(Products!$C$2:$C$49,MATCH(C3665,Products!$A$2:$A$49,0))</f>
        <v>Grocery Staples</v>
      </c>
      <c r="H3665" s="33" t="n">
        <f aca="false">D3665*INDEX(Products!$E$2:$E$49,MATCH(C3665,Products!$A$2:$A$49,0))</f>
        <v>28140</v>
      </c>
      <c r="I3665" s="33" t="n">
        <f aca="false">D3665*INDEX(Products!$D$2:$D$49,MATCH(C3665,Products!$A$2:$A$49,0))*(1+INDEX(Assumptions!$B$16:$B$20,MATCH(B3665,Assumptions!$A$16:$A$20,0)))</f>
        <v>25796.608</v>
      </c>
      <c r="J3665" s="33" t="n">
        <f aca="false">H3665-I3665</f>
        <v>2343.392</v>
      </c>
      <c r="K3665" s="33" t="n">
        <f aca="false">IF(OR(E3665=0,E3665&gt;=7),0,D3665/(7-E3665)*E3665*INDEX(Products!$E$2:$E$49,MATCH(C3665,Products!$A$2:$A$49,0)))</f>
        <v>0</v>
      </c>
    </row>
    <row r="3666" customFormat="false" ht="15" hidden="false" customHeight="false" outlineLevel="0" collapsed="false">
      <c r="A3666" s="36" t="n">
        <v>46216</v>
      </c>
      <c r="B3666" s="24" t="s">
        <v>64</v>
      </c>
      <c r="C3666" s="24" t="s">
        <v>119</v>
      </c>
      <c r="D3666" s="33" t="n">
        <v>54</v>
      </c>
      <c r="E3666" s="24" t="n">
        <v>2</v>
      </c>
      <c r="F3666" s="37" t="n">
        <f aca="false">DATE(YEAR(A3666),MONTH(A3666),1)</f>
        <v>46204</v>
      </c>
      <c r="G3666" s="24" t="str">
        <f aca="false">INDEX(Products!$C$2:$C$49,MATCH(C3666,Products!$A$2:$A$49,0))</f>
        <v>Grocery Staples</v>
      </c>
      <c r="H3666" s="33" t="n">
        <f aca="false">D3666*INDEX(Products!$E$2:$E$49,MATCH(C3666,Products!$A$2:$A$49,0))</f>
        <v>22680</v>
      </c>
      <c r="I3666" s="33" t="n">
        <f aca="false">D3666*INDEX(Products!$D$2:$D$49,MATCH(C3666,Products!$A$2:$A$49,0))*(1+INDEX(Assumptions!$B$16:$B$20,MATCH(B3666,Assumptions!$A$16:$A$20,0)))</f>
        <v>20791.296</v>
      </c>
      <c r="J3666" s="33" t="n">
        <f aca="false">H3666-I3666</f>
        <v>1888.704</v>
      </c>
      <c r="K3666" s="33" t="n">
        <f aca="false">IF(OR(E3666=0,E3666&gt;=7),0,D3666/(7-E3666)*E3666*INDEX(Products!$E$2:$E$49,MATCH(C3666,Products!$A$2:$A$49,0)))</f>
        <v>9072</v>
      </c>
    </row>
    <row r="3667" customFormat="false" ht="15" hidden="false" customHeight="false" outlineLevel="0" collapsed="false">
      <c r="A3667" s="36" t="n">
        <v>46223</v>
      </c>
      <c r="B3667" s="24" t="s">
        <v>64</v>
      </c>
      <c r="C3667" s="24" t="s">
        <v>119</v>
      </c>
      <c r="D3667" s="33" t="n">
        <v>90</v>
      </c>
      <c r="E3667" s="24" t="n">
        <v>0</v>
      </c>
      <c r="F3667" s="37" t="n">
        <f aca="false">DATE(YEAR(A3667),MONTH(A3667),1)</f>
        <v>46204</v>
      </c>
      <c r="G3667" s="24" t="str">
        <f aca="false">INDEX(Products!$C$2:$C$49,MATCH(C3667,Products!$A$2:$A$49,0))</f>
        <v>Grocery Staples</v>
      </c>
      <c r="H3667" s="33" t="n">
        <f aca="false">D3667*INDEX(Products!$E$2:$E$49,MATCH(C3667,Products!$A$2:$A$49,0))</f>
        <v>37800</v>
      </c>
      <c r="I3667" s="33" t="n">
        <f aca="false">D3667*INDEX(Products!$D$2:$D$49,MATCH(C3667,Products!$A$2:$A$49,0))*(1+INDEX(Assumptions!$B$16:$B$20,MATCH(B3667,Assumptions!$A$16:$A$20,0)))</f>
        <v>34652.16</v>
      </c>
      <c r="J3667" s="33" t="n">
        <f aca="false">H3667-I3667</f>
        <v>3147.84</v>
      </c>
      <c r="K3667" s="33" t="n">
        <f aca="false">IF(OR(E3667=0,E3667&gt;=7),0,D3667/(7-E3667)*E3667*INDEX(Products!$E$2:$E$49,MATCH(C3667,Products!$A$2:$A$49,0)))</f>
        <v>0</v>
      </c>
    </row>
    <row r="3668" customFormat="false" ht="15" hidden="false" customHeight="false" outlineLevel="0" collapsed="false">
      <c r="A3668" s="36" t="n">
        <v>46230</v>
      </c>
      <c r="B3668" s="24" t="s">
        <v>64</v>
      </c>
      <c r="C3668" s="24" t="s">
        <v>119</v>
      </c>
      <c r="D3668" s="33" t="n">
        <v>74</v>
      </c>
      <c r="E3668" s="24" t="n">
        <v>0</v>
      </c>
      <c r="F3668" s="37" t="n">
        <f aca="false">DATE(YEAR(A3668),MONTH(A3668),1)</f>
        <v>46204</v>
      </c>
      <c r="G3668" s="24" t="str">
        <f aca="false">INDEX(Products!$C$2:$C$49,MATCH(C3668,Products!$A$2:$A$49,0))</f>
        <v>Grocery Staples</v>
      </c>
      <c r="H3668" s="33" t="n">
        <f aca="false">D3668*INDEX(Products!$E$2:$E$49,MATCH(C3668,Products!$A$2:$A$49,0))</f>
        <v>31080</v>
      </c>
      <c r="I3668" s="33" t="n">
        <f aca="false">D3668*INDEX(Products!$D$2:$D$49,MATCH(C3668,Products!$A$2:$A$49,0))*(1+INDEX(Assumptions!$B$16:$B$20,MATCH(B3668,Assumptions!$A$16:$A$20,0)))</f>
        <v>28491.776</v>
      </c>
      <c r="J3668" s="33" t="n">
        <f aca="false">H3668-I3668</f>
        <v>2588.224</v>
      </c>
      <c r="K3668" s="33" t="n">
        <f aca="false">IF(OR(E3668=0,E3668&gt;=7),0,D3668/(7-E3668)*E3668*INDEX(Products!$E$2:$E$49,MATCH(C3668,Products!$A$2:$A$49,0)))</f>
        <v>0</v>
      </c>
    </row>
    <row r="3669" customFormat="false" ht="15" hidden="false" customHeight="false" outlineLevel="0" collapsed="false">
      <c r="A3669" s="36" t="n">
        <v>46237</v>
      </c>
      <c r="B3669" s="24" t="s">
        <v>64</v>
      </c>
      <c r="C3669" s="24" t="s">
        <v>119</v>
      </c>
      <c r="D3669" s="33" t="n">
        <v>69</v>
      </c>
      <c r="E3669" s="24" t="n">
        <v>0</v>
      </c>
      <c r="F3669" s="37" t="n">
        <f aca="false">DATE(YEAR(A3669),MONTH(A3669),1)</f>
        <v>46235</v>
      </c>
      <c r="G3669" s="24" t="str">
        <f aca="false">INDEX(Products!$C$2:$C$49,MATCH(C3669,Products!$A$2:$A$49,0))</f>
        <v>Grocery Staples</v>
      </c>
      <c r="H3669" s="33" t="n">
        <f aca="false">D3669*INDEX(Products!$E$2:$E$49,MATCH(C3669,Products!$A$2:$A$49,0))</f>
        <v>28980</v>
      </c>
      <c r="I3669" s="33" t="n">
        <f aca="false">D3669*INDEX(Products!$D$2:$D$49,MATCH(C3669,Products!$A$2:$A$49,0))*(1+INDEX(Assumptions!$B$16:$B$20,MATCH(B3669,Assumptions!$A$16:$A$20,0)))</f>
        <v>26566.656</v>
      </c>
      <c r="J3669" s="33" t="n">
        <f aca="false">H3669-I3669</f>
        <v>2413.344</v>
      </c>
      <c r="K3669" s="33" t="n">
        <f aca="false">IF(OR(E3669=0,E3669&gt;=7),0,D3669/(7-E3669)*E3669*INDEX(Products!$E$2:$E$49,MATCH(C3669,Products!$A$2:$A$49,0)))</f>
        <v>0</v>
      </c>
    </row>
    <row r="3670" customFormat="false" ht="15" hidden="false" customHeight="false" outlineLevel="0" collapsed="false">
      <c r="A3670" s="36" t="n">
        <v>46244</v>
      </c>
      <c r="B3670" s="24" t="s">
        <v>64</v>
      </c>
      <c r="C3670" s="24" t="s">
        <v>119</v>
      </c>
      <c r="D3670" s="33" t="n">
        <v>61</v>
      </c>
      <c r="E3670" s="24" t="n">
        <v>0</v>
      </c>
      <c r="F3670" s="37" t="n">
        <f aca="false">DATE(YEAR(A3670),MONTH(A3670),1)</f>
        <v>46235</v>
      </c>
      <c r="G3670" s="24" t="str">
        <f aca="false">INDEX(Products!$C$2:$C$49,MATCH(C3670,Products!$A$2:$A$49,0))</f>
        <v>Grocery Staples</v>
      </c>
      <c r="H3670" s="33" t="n">
        <f aca="false">D3670*INDEX(Products!$E$2:$E$49,MATCH(C3670,Products!$A$2:$A$49,0))</f>
        <v>25620</v>
      </c>
      <c r="I3670" s="33" t="n">
        <f aca="false">D3670*INDEX(Products!$D$2:$D$49,MATCH(C3670,Products!$A$2:$A$49,0))*(1+INDEX(Assumptions!$B$16:$B$20,MATCH(B3670,Assumptions!$A$16:$A$20,0)))</f>
        <v>23486.464</v>
      </c>
      <c r="J3670" s="33" t="n">
        <f aca="false">H3670-I3670</f>
        <v>2133.536</v>
      </c>
      <c r="K3670" s="33" t="n">
        <f aca="false">IF(OR(E3670=0,E3670&gt;=7),0,D3670/(7-E3670)*E3670*INDEX(Products!$E$2:$E$49,MATCH(C3670,Products!$A$2:$A$49,0)))</f>
        <v>0</v>
      </c>
    </row>
    <row r="3671" customFormat="false" ht="15" hidden="false" customHeight="false" outlineLevel="0" collapsed="false">
      <c r="A3671" s="36" t="n">
        <v>46251</v>
      </c>
      <c r="B3671" s="24" t="s">
        <v>64</v>
      </c>
      <c r="C3671" s="24" t="s">
        <v>119</v>
      </c>
      <c r="D3671" s="33" t="n">
        <v>76</v>
      </c>
      <c r="E3671" s="24" t="n">
        <v>0</v>
      </c>
      <c r="F3671" s="37" t="n">
        <f aca="false">DATE(YEAR(A3671),MONTH(A3671),1)</f>
        <v>46235</v>
      </c>
      <c r="G3671" s="24" t="str">
        <f aca="false">INDEX(Products!$C$2:$C$49,MATCH(C3671,Products!$A$2:$A$49,0))</f>
        <v>Grocery Staples</v>
      </c>
      <c r="H3671" s="33" t="n">
        <f aca="false">D3671*INDEX(Products!$E$2:$E$49,MATCH(C3671,Products!$A$2:$A$49,0))</f>
        <v>31920</v>
      </c>
      <c r="I3671" s="33" t="n">
        <f aca="false">D3671*INDEX(Products!$D$2:$D$49,MATCH(C3671,Products!$A$2:$A$49,0))*(1+INDEX(Assumptions!$B$16:$B$20,MATCH(B3671,Assumptions!$A$16:$A$20,0)))</f>
        <v>29261.824</v>
      </c>
      <c r="J3671" s="33" t="n">
        <f aca="false">H3671-I3671</f>
        <v>2658.176</v>
      </c>
      <c r="K3671" s="33" t="n">
        <f aca="false">IF(OR(E3671=0,E3671&gt;=7),0,D3671/(7-E3671)*E3671*INDEX(Products!$E$2:$E$49,MATCH(C3671,Products!$A$2:$A$49,0)))</f>
        <v>0</v>
      </c>
    </row>
    <row r="3672" customFormat="false" ht="15" hidden="false" customHeight="false" outlineLevel="0" collapsed="false">
      <c r="A3672" s="36" t="n">
        <v>46258</v>
      </c>
      <c r="B3672" s="24" t="s">
        <v>64</v>
      </c>
      <c r="C3672" s="24" t="s">
        <v>119</v>
      </c>
      <c r="D3672" s="33" t="n">
        <v>85</v>
      </c>
      <c r="E3672" s="24" t="n">
        <v>0</v>
      </c>
      <c r="F3672" s="37" t="n">
        <f aca="false">DATE(YEAR(A3672),MONTH(A3672),1)</f>
        <v>46235</v>
      </c>
      <c r="G3672" s="24" t="str">
        <f aca="false">INDEX(Products!$C$2:$C$49,MATCH(C3672,Products!$A$2:$A$49,0))</f>
        <v>Grocery Staples</v>
      </c>
      <c r="H3672" s="33" t="n">
        <f aca="false">D3672*INDEX(Products!$E$2:$E$49,MATCH(C3672,Products!$A$2:$A$49,0))</f>
        <v>35700</v>
      </c>
      <c r="I3672" s="33" t="n">
        <f aca="false">D3672*INDEX(Products!$D$2:$D$49,MATCH(C3672,Products!$A$2:$A$49,0))*(1+INDEX(Assumptions!$B$16:$B$20,MATCH(B3672,Assumptions!$A$16:$A$20,0)))</f>
        <v>32727.04</v>
      </c>
      <c r="J3672" s="33" t="n">
        <f aca="false">H3672-I3672</f>
        <v>2972.96</v>
      </c>
      <c r="K3672" s="33" t="n">
        <f aca="false">IF(OR(E3672=0,E3672&gt;=7),0,D3672/(7-E3672)*E3672*INDEX(Products!$E$2:$E$49,MATCH(C3672,Products!$A$2:$A$49,0)))</f>
        <v>0</v>
      </c>
    </row>
    <row r="3673" customFormat="false" ht="15" hidden="false" customHeight="false" outlineLevel="0" collapsed="false">
      <c r="A3673" s="36" t="n">
        <v>46265</v>
      </c>
      <c r="B3673" s="24" t="s">
        <v>64</v>
      </c>
      <c r="C3673" s="24" t="s">
        <v>119</v>
      </c>
      <c r="D3673" s="33" t="n">
        <v>51</v>
      </c>
      <c r="E3673" s="24" t="n">
        <v>3</v>
      </c>
      <c r="F3673" s="37" t="n">
        <f aca="false">DATE(YEAR(A3673),MONTH(A3673),1)</f>
        <v>46235</v>
      </c>
      <c r="G3673" s="24" t="str">
        <f aca="false">INDEX(Products!$C$2:$C$49,MATCH(C3673,Products!$A$2:$A$49,0))</f>
        <v>Grocery Staples</v>
      </c>
      <c r="H3673" s="33" t="n">
        <f aca="false">D3673*INDEX(Products!$E$2:$E$49,MATCH(C3673,Products!$A$2:$A$49,0))</f>
        <v>21420</v>
      </c>
      <c r="I3673" s="33" t="n">
        <f aca="false">D3673*INDEX(Products!$D$2:$D$49,MATCH(C3673,Products!$A$2:$A$49,0))*(1+INDEX(Assumptions!$B$16:$B$20,MATCH(B3673,Assumptions!$A$16:$A$20,0)))</f>
        <v>19636.224</v>
      </c>
      <c r="J3673" s="33" t="n">
        <f aca="false">H3673-I3673</f>
        <v>1783.776</v>
      </c>
      <c r="K3673" s="33" t="n">
        <f aca="false">IF(OR(E3673=0,E3673&gt;=7),0,D3673/(7-E3673)*E3673*INDEX(Products!$E$2:$E$49,MATCH(C3673,Products!$A$2:$A$49,0)))</f>
        <v>16065</v>
      </c>
    </row>
    <row r="3674" customFormat="false" ht="15" hidden="false" customHeight="false" outlineLevel="0" collapsed="false">
      <c r="A3674" s="36" t="n">
        <v>46272</v>
      </c>
      <c r="B3674" s="24" t="s">
        <v>64</v>
      </c>
      <c r="C3674" s="24" t="s">
        <v>119</v>
      </c>
      <c r="D3674" s="33" t="n">
        <v>70</v>
      </c>
      <c r="E3674" s="24" t="n">
        <v>0</v>
      </c>
      <c r="F3674" s="37" t="n">
        <f aca="false">DATE(YEAR(A3674),MONTH(A3674),1)</f>
        <v>46266</v>
      </c>
      <c r="G3674" s="24" t="str">
        <f aca="false">INDEX(Products!$C$2:$C$49,MATCH(C3674,Products!$A$2:$A$49,0))</f>
        <v>Grocery Staples</v>
      </c>
      <c r="H3674" s="33" t="n">
        <f aca="false">D3674*INDEX(Products!$E$2:$E$49,MATCH(C3674,Products!$A$2:$A$49,0))</f>
        <v>29400</v>
      </c>
      <c r="I3674" s="33" t="n">
        <f aca="false">D3674*INDEX(Products!$D$2:$D$49,MATCH(C3674,Products!$A$2:$A$49,0))*(1+INDEX(Assumptions!$B$16:$B$20,MATCH(B3674,Assumptions!$A$16:$A$20,0)))</f>
        <v>26951.68</v>
      </c>
      <c r="J3674" s="33" t="n">
        <f aca="false">H3674-I3674</f>
        <v>2448.32</v>
      </c>
      <c r="K3674" s="33" t="n">
        <f aca="false">IF(OR(E3674=0,E3674&gt;=7),0,D3674/(7-E3674)*E3674*INDEX(Products!$E$2:$E$49,MATCH(C3674,Products!$A$2:$A$49,0)))</f>
        <v>0</v>
      </c>
    </row>
    <row r="3675" customFormat="false" ht="15" hidden="false" customHeight="false" outlineLevel="0" collapsed="false">
      <c r="A3675" s="36" t="n">
        <v>46279</v>
      </c>
      <c r="B3675" s="24" t="s">
        <v>64</v>
      </c>
      <c r="C3675" s="24" t="s">
        <v>119</v>
      </c>
      <c r="D3675" s="33" t="n">
        <v>77</v>
      </c>
      <c r="E3675" s="24" t="n">
        <v>0</v>
      </c>
      <c r="F3675" s="37" t="n">
        <f aca="false">DATE(YEAR(A3675),MONTH(A3675),1)</f>
        <v>46266</v>
      </c>
      <c r="G3675" s="24" t="str">
        <f aca="false">INDEX(Products!$C$2:$C$49,MATCH(C3675,Products!$A$2:$A$49,0))</f>
        <v>Grocery Staples</v>
      </c>
      <c r="H3675" s="33" t="n">
        <f aca="false">D3675*INDEX(Products!$E$2:$E$49,MATCH(C3675,Products!$A$2:$A$49,0))</f>
        <v>32340</v>
      </c>
      <c r="I3675" s="33" t="n">
        <f aca="false">D3675*INDEX(Products!$D$2:$D$49,MATCH(C3675,Products!$A$2:$A$49,0))*(1+INDEX(Assumptions!$B$16:$B$20,MATCH(B3675,Assumptions!$A$16:$A$20,0)))</f>
        <v>29646.848</v>
      </c>
      <c r="J3675" s="33" t="n">
        <f aca="false">H3675-I3675</f>
        <v>2693.152</v>
      </c>
      <c r="K3675" s="33" t="n">
        <f aca="false">IF(OR(E3675=0,E3675&gt;=7),0,D3675/(7-E3675)*E3675*INDEX(Products!$E$2:$E$49,MATCH(C3675,Products!$A$2:$A$49,0)))</f>
        <v>0</v>
      </c>
    </row>
    <row r="3676" customFormat="false" ht="15" hidden="false" customHeight="false" outlineLevel="0" collapsed="false">
      <c r="A3676" s="36" t="n">
        <v>46286</v>
      </c>
      <c r="B3676" s="24" t="s">
        <v>64</v>
      </c>
      <c r="C3676" s="24" t="s">
        <v>119</v>
      </c>
      <c r="D3676" s="33" t="n">
        <v>93</v>
      </c>
      <c r="E3676" s="24" t="n">
        <v>0</v>
      </c>
      <c r="F3676" s="37" t="n">
        <f aca="false">DATE(YEAR(A3676),MONTH(A3676),1)</f>
        <v>46266</v>
      </c>
      <c r="G3676" s="24" t="str">
        <f aca="false">INDEX(Products!$C$2:$C$49,MATCH(C3676,Products!$A$2:$A$49,0))</f>
        <v>Grocery Staples</v>
      </c>
      <c r="H3676" s="33" t="n">
        <f aca="false">D3676*INDEX(Products!$E$2:$E$49,MATCH(C3676,Products!$A$2:$A$49,0))</f>
        <v>39060</v>
      </c>
      <c r="I3676" s="33" t="n">
        <f aca="false">D3676*INDEX(Products!$D$2:$D$49,MATCH(C3676,Products!$A$2:$A$49,0))*(1+INDEX(Assumptions!$B$16:$B$20,MATCH(B3676,Assumptions!$A$16:$A$20,0)))</f>
        <v>35807.232</v>
      </c>
      <c r="J3676" s="33" t="n">
        <f aca="false">H3676-I3676</f>
        <v>3252.768</v>
      </c>
      <c r="K3676" s="33" t="n">
        <f aca="false">IF(OR(E3676=0,E3676&gt;=7),0,D3676/(7-E3676)*E3676*INDEX(Products!$E$2:$E$49,MATCH(C3676,Products!$A$2:$A$49,0)))</f>
        <v>0</v>
      </c>
    </row>
    <row r="3677" customFormat="false" ht="15" hidden="false" customHeight="false" outlineLevel="0" collapsed="false">
      <c r="A3677" s="36" t="n">
        <v>46118</v>
      </c>
      <c r="B3677" s="24" t="s">
        <v>64</v>
      </c>
      <c r="C3677" s="24" t="s">
        <v>121</v>
      </c>
      <c r="D3677" s="33" t="n">
        <v>36</v>
      </c>
      <c r="E3677" s="24" t="n">
        <v>0</v>
      </c>
      <c r="F3677" s="37" t="n">
        <f aca="false">DATE(YEAR(A3677),MONTH(A3677),1)</f>
        <v>46113</v>
      </c>
      <c r="G3677" s="24" t="str">
        <f aca="false">INDEX(Products!$C$2:$C$49,MATCH(C3677,Products!$A$2:$A$49,0))</f>
        <v>Grocery Staples</v>
      </c>
      <c r="H3677" s="33" t="n">
        <f aca="false">D3677*INDEX(Products!$E$2:$E$49,MATCH(C3677,Products!$A$2:$A$49,0))</f>
        <v>6840</v>
      </c>
      <c r="I3677" s="33" t="n">
        <f aca="false">D3677*INDEX(Products!$D$2:$D$49,MATCH(C3677,Products!$A$2:$A$49,0))*(1+INDEX(Assumptions!$B$16:$B$20,MATCH(B3677,Assumptions!$A$16:$A$20,0)))</f>
        <v>5935.104</v>
      </c>
      <c r="J3677" s="33" t="n">
        <f aca="false">H3677-I3677</f>
        <v>904.896</v>
      </c>
      <c r="K3677" s="33" t="n">
        <f aca="false">IF(OR(E3677=0,E3677&gt;=7),0,D3677/(7-E3677)*E3677*INDEX(Products!$E$2:$E$49,MATCH(C3677,Products!$A$2:$A$49,0)))</f>
        <v>0</v>
      </c>
    </row>
    <row r="3678" customFormat="false" ht="15" hidden="false" customHeight="false" outlineLevel="0" collapsed="false">
      <c r="A3678" s="36" t="n">
        <v>46125</v>
      </c>
      <c r="B3678" s="24" t="s">
        <v>64</v>
      </c>
      <c r="C3678" s="24" t="s">
        <v>121</v>
      </c>
      <c r="D3678" s="33" t="n">
        <v>43</v>
      </c>
      <c r="E3678" s="24" t="n">
        <v>0</v>
      </c>
      <c r="F3678" s="37" t="n">
        <f aca="false">DATE(YEAR(A3678),MONTH(A3678),1)</f>
        <v>46113</v>
      </c>
      <c r="G3678" s="24" t="str">
        <f aca="false">INDEX(Products!$C$2:$C$49,MATCH(C3678,Products!$A$2:$A$49,0))</f>
        <v>Grocery Staples</v>
      </c>
      <c r="H3678" s="33" t="n">
        <f aca="false">D3678*INDEX(Products!$E$2:$E$49,MATCH(C3678,Products!$A$2:$A$49,0))</f>
        <v>8170</v>
      </c>
      <c r="I3678" s="33" t="n">
        <f aca="false">D3678*INDEX(Products!$D$2:$D$49,MATCH(C3678,Products!$A$2:$A$49,0))*(1+INDEX(Assumptions!$B$16:$B$20,MATCH(B3678,Assumptions!$A$16:$A$20,0)))</f>
        <v>7089.152</v>
      </c>
      <c r="J3678" s="33" t="n">
        <f aca="false">H3678-I3678</f>
        <v>1080.848</v>
      </c>
      <c r="K3678" s="33" t="n">
        <f aca="false">IF(OR(E3678=0,E3678&gt;=7),0,D3678/(7-E3678)*E3678*INDEX(Products!$E$2:$E$49,MATCH(C3678,Products!$A$2:$A$49,0)))</f>
        <v>0</v>
      </c>
    </row>
    <row r="3679" customFormat="false" ht="15" hidden="false" customHeight="false" outlineLevel="0" collapsed="false">
      <c r="A3679" s="36" t="n">
        <v>46132</v>
      </c>
      <c r="B3679" s="24" t="s">
        <v>64</v>
      </c>
      <c r="C3679" s="24" t="s">
        <v>121</v>
      </c>
      <c r="D3679" s="33" t="n">
        <v>64</v>
      </c>
      <c r="E3679" s="24" t="n">
        <v>0</v>
      </c>
      <c r="F3679" s="37" t="n">
        <f aca="false">DATE(YEAR(A3679),MONTH(A3679),1)</f>
        <v>46113</v>
      </c>
      <c r="G3679" s="24" t="str">
        <f aca="false">INDEX(Products!$C$2:$C$49,MATCH(C3679,Products!$A$2:$A$49,0))</f>
        <v>Grocery Staples</v>
      </c>
      <c r="H3679" s="33" t="n">
        <f aca="false">D3679*INDEX(Products!$E$2:$E$49,MATCH(C3679,Products!$A$2:$A$49,0))</f>
        <v>12160</v>
      </c>
      <c r="I3679" s="33" t="n">
        <f aca="false">D3679*INDEX(Products!$D$2:$D$49,MATCH(C3679,Products!$A$2:$A$49,0))*(1+INDEX(Assumptions!$B$16:$B$20,MATCH(B3679,Assumptions!$A$16:$A$20,0)))</f>
        <v>10551.296</v>
      </c>
      <c r="J3679" s="33" t="n">
        <f aca="false">H3679-I3679</f>
        <v>1608.704</v>
      </c>
      <c r="K3679" s="33" t="n">
        <f aca="false">IF(OR(E3679=0,E3679&gt;=7),0,D3679/(7-E3679)*E3679*INDEX(Products!$E$2:$E$49,MATCH(C3679,Products!$A$2:$A$49,0)))</f>
        <v>0</v>
      </c>
    </row>
    <row r="3680" customFormat="false" ht="15" hidden="false" customHeight="false" outlineLevel="0" collapsed="false">
      <c r="A3680" s="36" t="n">
        <v>46139</v>
      </c>
      <c r="B3680" s="24" t="s">
        <v>64</v>
      </c>
      <c r="C3680" s="24" t="s">
        <v>121</v>
      </c>
      <c r="D3680" s="33" t="n">
        <v>58</v>
      </c>
      <c r="E3680" s="24" t="n">
        <v>0</v>
      </c>
      <c r="F3680" s="37" t="n">
        <f aca="false">DATE(YEAR(A3680),MONTH(A3680),1)</f>
        <v>46113</v>
      </c>
      <c r="G3680" s="24" t="str">
        <f aca="false">INDEX(Products!$C$2:$C$49,MATCH(C3680,Products!$A$2:$A$49,0))</f>
        <v>Grocery Staples</v>
      </c>
      <c r="H3680" s="33" t="n">
        <f aca="false">D3680*INDEX(Products!$E$2:$E$49,MATCH(C3680,Products!$A$2:$A$49,0))</f>
        <v>11020</v>
      </c>
      <c r="I3680" s="33" t="n">
        <f aca="false">D3680*INDEX(Products!$D$2:$D$49,MATCH(C3680,Products!$A$2:$A$49,0))*(1+INDEX(Assumptions!$B$16:$B$20,MATCH(B3680,Assumptions!$A$16:$A$20,0)))</f>
        <v>9562.112</v>
      </c>
      <c r="J3680" s="33" t="n">
        <f aca="false">H3680-I3680</f>
        <v>1457.888</v>
      </c>
      <c r="K3680" s="33" t="n">
        <f aca="false">IF(OR(E3680=0,E3680&gt;=7),0,D3680/(7-E3680)*E3680*INDEX(Products!$E$2:$E$49,MATCH(C3680,Products!$A$2:$A$49,0)))</f>
        <v>0</v>
      </c>
    </row>
    <row r="3681" customFormat="false" ht="15" hidden="false" customHeight="false" outlineLevel="0" collapsed="false">
      <c r="A3681" s="36" t="n">
        <v>46146</v>
      </c>
      <c r="B3681" s="24" t="s">
        <v>64</v>
      </c>
      <c r="C3681" s="24" t="s">
        <v>121</v>
      </c>
      <c r="D3681" s="33" t="n">
        <v>41</v>
      </c>
      <c r="E3681" s="24" t="n">
        <v>0</v>
      </c>
      <c r="F3681" s="37" t="n">
        <f aca="false">DATE(YEAR(A3681),MONTH(A3681),1)</f>
        <v>46143</v>
      </c>
      <c r="G3681" s="24" t="str">
        <f aca="false">INDEX(Products!$C$2:$C$49,MATCH(C3681,Products!$A$2:$A$49,0))</f>
        <v>Grocery Staples</v>
      </c>
      <c r="H3681" s="33" t="n">
        <f aca="false">D3681*INDEX(Products!$E$2:$E$49,MATCH(C3681,Products!$A$2:$A$49,0))</f>
        <v>7790</v>
      </c>
      <c r="I3681" s="33" t="n">
        <f aca="false">D3681*INDEX(Products!$D$2:$D$49,MATCH(C3681,Products!$A$2:$A$49,0))*(1+INDEX(Assumptions!$B$16:$B$20,MATCH(B3681,Assumptions!$A$16:$A$20,0)))</f>
        <v>6759.424</v>
      </c>
      <c r="J3681" s="33" t="n">
        <f aca="false">H3681-I3681</f>
        <v>1030.576</v>
      </c>
      <c r="K3681" s="33" t="n">
        <f aca="false">IF(OR(E3681=0,E3681&gt;=7),0,D3681/(7-E3681)*E3681*INDEX(Products!$E$2:$E$49,MATCH(C3681,Products!$A$2:$A$49,0)))</f>
        <v>0</v>
      </c>
    </row>
    <row r="3682" customFormat="false" ht="15" hidden="false" customHeight="false" outlineLevel="0" collapsed="false">
      <c r="A3682" s="36" t="n">
        <v>46153</v>
      </c>
      <c r="B3682" s="24" t="s">
        <v>64</v>
      </c>
      <c r="C3682" s="24" t="s">
        <v>121</v>
      </c>
      <c r="D3682" s="33" t="n">
        <v>16</v>
      </c>
      <c r="E3682" s="24" t="n">
        <v>5</v>
      </c>
      <c r="F3682" s="37" t="n">
        <f aca="false">DATE(YEAR(A3682),MONTH(A3682),1)</f>
        <v>46143</v>
      </c>
      <c r="G3682" s="24" t="str">
        <f aca="false">INDEX(Products!$C$2:$C$49,MATCH(C3682,Products!$A$2:$A$49,0))</f>
        <v>Grocery Staples</v>
      </c>
      <c r="H3682" s="33" t="n">
        <f aca="false">D3682*INDEX(Products!$E$2:$E$49,MATCH(C3682,Products!$A$2:$A$49,0))</f>
        <v>3040</v>
      </c>
      <c r="I3682" s="33" t="n">
        <f aca="false">D3682*INDEX(Products!$D$2:$D$49,MATCH(C3682,Products!$A$2:$A$49,0))*(1+INDEX(Assumptions!$B$16:$B$20,MATCH(B3682,Assumptions!$A$16:$A$20,0)))</f>
        <v>2637.824</v>
      </c>
      <c r="J3682" s="33" t="n">
        <f aca="false">H3682-I3682</f>
        <v>402.176</v>
      </c>
      <c r="K3682" s="33" t="n">
        <f aca="false">IF(OR(E3682=0,E3682&gt;=7),0,D3682/(7-E3682)*E3682*INDEX(Products!$E$2:$E$49,MATCH(C3682,Products!$A$2:$A$49,0)))</f>
        <v>7600</v>
      </c>
    </row>
    <row r="3683" customFormat="false" ht="15" hidden="false" customHeight="false" outlineLevel="0" collapsed="false">
      <c r="A3683" s="36" t="n">
        <v>46160</v>
      </c>
      <c r="B3683" s="24" t="s">
        <v>64</v>
      </c>
      <c r="C3683" s="24" t="s">
        <v>121</v>
      </c>
      <c r="D3683" s="33" t="n">
        <v>30</v>
      </c>
      <c r="E3683" s="24" t="n">
        <v>3</v>
      </c>
      <c r="F3683" s="37" t="n">
        <f aca="false">DATE(YEAR(A3683),MONTH(A3683),1)</f>
        <v>46143</v>
      </c>
      <c r="G3683" s="24" t="str">
        <f aca="false">INDEX(Products!$C$2:$C$49,MATCH(C3683,Products!$A$2:$A$49,0))</f>
        <v>Grocery Staples</v>
      </c>
      <c r="H3683" s="33" t="n">
        <f aca="false">D3683*INDEX(Products!$E$2:$E$49,MATCH(C3683,Products!$A$2:$A$49,0))</f>
        <v>5700</v>
      </c>
      <c r="I3683" s="33" t="n">
        <f aca="false">D3683*INDEX(Products!$D$2:$D$49,MATCH(C3683,Products!$A$2:$A$49,0))*(1+INDEX(Assumptions!$B$16:$B$20,MATCH(B3683,Assumptions!$A$16:$A$20,0)))</f>
        <v>4945.92</v>
      </c>
      <c r="J3683" s="33" t="n">
        <f aca="false">H3683-I3683</f>
        <v>754.08</v>
      </c>
      <c r="K3683" s="33" t="n">
        <f aca="false">IF(OR(E3683=0,E3683&gt;=7),0,D3683/(7-E3683)*E3683*INDEX(Products!$E$2:$E$49,MATCH(C3683,Products!$A$2:$A$49,0)))</f>
        <v>4275</v>
      </c>
    </row>
    <row r="3684" customFormat="false" ht="15" hidden="false" customHeight="false" outlineLevel="0" collapsed="false">
      <c r="A3684" s="36" t="n">
        <v>46167</v>
      </c>
      <c r="B3684" s="24" t="s">
        <v>64</v>
      </c>
      <c r="C3684" s="24" t="s">
        <v>121</v>
      </c>
      <c r="D3684" s="33" t="n">
        <v>47</v>
      </c>
      <c r="E3684" s="24" t="n">
        <v>0</v>
      </c>
      <c r="F3684" s="37" t="n">
        <f aca="false">DATE(YEAR(A3684),MONTH(A3684),1)</f>
        <v>46143</v>
      </c>
      <c r="G3684" s="24" t="str">
        <f aca="false">INDEX(Products!$C$2:$C$49,MATCH(C3684,Products!$A$2:$A$49,0))</f>
        <v>Grocery Staples</v>
      </c>
      <c r="H3684" s="33" t="n">
        <f aca="false">D3684*INDEX(Products!$E$2:$E$49,MATCH(C3684,Products!$A$2:$A$49,0))</f>
        <v>8930</v>
      </c>
      <c r="I3684" s="33" t="n">
        <f aca="false">D3684*INDEX(Products!$D$2:$D$49,MATCH(C3684,Products!$A$2:$A$49,0))*(1+INDEX(Assumptions!$B$16:$B$20,MATCH(B3684,Assumptions!$A$16:$A$20,0)))</f>
        <v>7748.608</v>
      </c>
      <c r="J3684" s="33" t="n">
        <f aca="false">H3684-I3684</f>
        <v>1181.392</v>
      </c>
      <c r="K3684" s="33" t="n">
        <f aca="false">IF(OR(E3684=0,E3684&gt;=7),0,D3684/(7-E3684)*E3684*INDEX(Products!$E$2:$E$49,MATCH(C3684,Products!$A$2:$A$49,0)))</f>
        <v>0</v>
      </c>
    </row>
    <row r="3685" customFormat="false" ht="15" hidden="false" customHeight="false" outlineLevel="0" collapsed="false">
      <c r="A3685" s="36" t="n">
        <v>46174</v>
      </c>
      <c r="B3685" s="24" t="s">
        <v>64</v>
      </c>
      <c r="C3685" s="24" t="s">
        <v>121</v>
      </c>
      <c r="D3685" s="33" t="n">
        <v>64</v>
      </c>
      <c r="E3685" s="24" t="n">
        <v>0</v>
      </c>
      <c r="F3685" s="37" t="n">
        <f aca="false">DATE(YEAR(A3685),MONTH(A3685),1)</f>
        <v>46174</v>
      </c>
      <c r="G3685" s="24" t="str">
        <f aca="false">INDEX(Products!$C$2:$C$49,MATCH(C3685,Products!$A$2:$A$49,0))</f>
        <v>Grocery Staples</v>
      </c>
      <c r="H3685" s="33" t="n">
        <f aca="false">D3685*INDEX(Products!$E$2:$E$49,MATCH(C3685,Products!$A$2:$A$49,0))</f>
        <v>12160</v>
      </c>
      <c r="I3685" s="33" t="n">
        <f aca="false">D3685*INDEX(Products!$D$2:$D$49,MATCH(C3685,Products!$A$2:$A$49,0))*(1+INDEX(Assumptions!$B$16:$B$20,MATCH(B3685,Assumptions!$A$16:$A$20,0)))</f>
        <v>10551.296</v>
      </c>
      <c r="J3685" s="33" t="n">
        <f aca="false">H3685-I3685</f>
        <v>1608.704</v>
      </c>
      <c r="K3685" s="33" t="n">
        <f aca="false">IF(OR(E3685=0,E3685&gt;=7),0,D3685/(7-E3685)*E3685*INDEX(Products!$E$2:$E$49,MATCH(C3685,Products!$A$2:$A$49,0)))</f>
        <v>0</v>
      </c>
    </row>
    <row r="3686" customFormat="false" ht="15" hidden="false" customHeight="false" outlineLevel="0" collapsed="false">
      <c r="A3686" s="36" t="n">
        <v>46181</v>
      </c>
      <c r="B3686" s="24" t="s">
        <v>64</v>
      </c>
      <c r="C3686" s="24" t="s">
        <v>121</v>
      </c>
      <c r="D3686" s="33" t="n">
        <v>51</v>
      </c>
      <c r="E3686" s="24" t="n">
        <v>0</v>
      </c>
      <c r="F3686" s="37" t="n">
        <f aca="false">DATE(YEAR(A3686),MONTH(A3686),1)</f>
        <v>46174</v>
      </c>
      <c r="G3686" s="24" t="str">
        <f aca="false">INDEX(Products!$C$2:$C$49,MATCH(C3686,Products!$A$2:$A$49,0))</f>
        <v>Grocery Staples</v>
      </c>
      <c r="H3686" s="33" t="n">
        <f aca="false">D3686*INDEX(Products!$E$2:$E$49,MATCH(C3686,Products!$A$2:$A$49,0))</f>
        <v>9690</v>
      </c>
      <c r="I3686" s="33" t="n">
        <f aca="false">D3686*INDEX(Products!$D$2:$D$49,MATCH(C3686,Products!$A$2:$A$49,0))*(1+INDEX(Assumptions!$B$16:$B$20,MATCH(B3686,Assumptions!$A$16:$A$20,0)))</f>
        <v>8408.064</v>
      </c>
      <c r="J3686" s="33" t="n">
        <f aca="false">H3686-I3686</f>
        <v>1281.936</v>
      </c>
      <c r="K3686" s="33" t="n">
        <f aca="false">IF(OR(E3686=0,E3686&gt;=7),0,D3686/(7-E3686)*E3686*INDEX(Products!$E$2:$E$49,MATCH(C3686,Products!$A$2:$A$49,0)))</f>
        <v>0</v>
      </c>
    </row>
    <row r="3687" customFormat="false" ht="15" hidden="false" customHeight="false" outlineLevel="0" collapsed="false">
      <c r="A3687" s="36" t="n">
        <v>46188</v>
      </c>
      <c r="B3687" s="24" t="s">
        <v>64</v>
      </c>
      <c r="C3687" s="24" t="s">
        <v>121</v>
      </c>
      <c r="D3687" s="33" t="n">
        <v>47</v>
      </c>
      <c r="E3687" s="24" t="n">
        <v>0</v>
      </c>
      <c r="F3687" s="37" t="n">
        <f aca="false">DATE(YEAR(A3687),MONTH(A3687),1)</f>
        <v>46174</v>
      </c>
      <c r="G3687" s="24" t="str">
        <f aca="false">INDEX(Products!$C$2:$C$49,MATCH(C3687,Products!$A$2:$A$49,0))</f>
        <v>Grocery Staples</v>
      </c>
      <c r="H3687" s="33" t="n">
        <f aca="false">D3687*INDEX(Products!$E$2:$E$49,MATCH(C3687,Products!$A$2:$A$49,0))</f>
        <v>8930</v>
      </c>
      <c r="I3687" s="33" t="n">
        <f aca="false">D3687*INDEX(Products!$D$2:$D$49,MATCH(C3687,Products!$A$2:$A$49,0))*(1+INDEX(Assumptions!$B$16:$B$20,MATCH(B3687,Assumptions!$A$16:$A$20,0)))</f>
        <v>7748.608</v>
      </c>
      <c r="J3687" s="33" t="n">
        <f aca="false">H3687-I3687</f>
        <v>1181.392</v>
      </c>
      <c r="K3687" s="33" t="n">
        <f aca="false">IF(OR(E3687=0,E3687&gt;=7),0,D3687/(7-E3687)*E3687*INDEX(Products!$E$2:$E$49,MATCH(C3687,Products!$A$2:$A$49,0)))</f>
        <v>0</v>
      </c>
    </row>
    <row r="3688" customFormat="false" ht="15" hidden="false" customHeight="false" outlineLevel="0" collapsed="false">
      <c r="A3688" s="36" t="n">
        <v>46195</v>
      </c>
      <c r="B3688" s="24" t="s">
        <v>64</v>
      </c>
      <c r="C3688" s="24" t="s">
        <v>121</v>
      </c>
      <c r="D3688" s="33" t="n">
        <v>54</v>
      </c>
      <c r="E3688" s="24" t="n">
        <v>0</v>
      </c>
      <c r="F3688" s="37" t="n">
        <f aca="false">DATE(YEAR(A3688),MONTH(A3688),1)</f>
        <v>46174</v>
      </c>
      <c r="G3688" s="24" t="str">
        <f aca="false">INDEX(Products!$C$2:$C$49,MATCH(C3688,Products!$A$2:$A$49,0))</f>
        <v>Grocery Staples</v>
      </c>
      <c r="H3688" s="33" t="n">
        <f aca="false">D3688*INDEX(Products!$E$2:$E$49,MATCH(C3688,Products!$A$2:$A$49,0))</f>
        <v>10260</v>
      </c>
      <c r="I3688" s="33" t="n">
        <f aca="false">D3688*INDEX(Products!$D$2:$D$49,MATCH(C3688,Products!$A$2:$A$49,0))*(1+INDEX(Assumptions!$B$16:$B$20,MATCH(B3688,Assumptions!$A$16:$A$20,0)))</f>
        <v>8902.656</v>
      </c>
      <c r="J3688" s="33" t="n">
        <f aca="false">H3688-I3688</f>
        <v>1357.344</v>
      </c>
      <c r="K3688" s="33" t="n">
        <f aca="false">IF(OR(E3688=0,E3688&gt;=7),0,D3688/(7-E3688)*E3688*INDEX(Products!$E$2:$E$49,MATCH(C3688,Products!$A$2:$A$49,0)))</f>
        <v>0</v>
      </c>
    </row>
    <row r="3689" customFormat="false" ht="15" hidden="false" customHeight="false" outlineLevel="0" collapsed="false">
      <c r="A3689" s="36" t="n">
        <v>46202</v>
      </c>
      <c r="B3689" s="24" t="s">
        <v>64</v>
      </c>
      <c r="C3689" s="24" t="s">
        <v>121</v>
      </c>
      <c r="D3689" s="33" t="n">
        <v>67</v>
      </c>
      <c r="E3689" s="24" t="n">
        <v>0</v>
      </c>
      <c r="F3689" s="37" t="n">
        <f aca="false">DATE(YEAR(A3689),MONTH(A3689),1)</f>
        <v>46174</v>
      </c>
      <c r="G3689" s="24" t="str">
        <f aca="false">INDEX(Products!$C$2:$C$49,MATCH(C3689,Products!$A$2:$A$49,0))</f>
        <v>Grocery Staples</v>
      </c>
      <c r="H3689" s="33" t="n">
        <f aca="false">D3689*INDEX(Products!$E$2:$E$49,MATCH(C3689,Products!$A$2:$A$49,0))</f>
        <v>12730</v>
      </c>
      <c r="I3689" s="33" t="n">
        <f aca="false">D3689*INDEX(Products!$D$2:$D$49,MATCH(C3689,Products!$A$2:$A$49,0))*(1+INDEX(Assumptions!$B$16:$B$20,MATCH(B3689,Assumptions!$A$16:$A$20,0)))</f>
        <v>11045.888</v>
      </c>
      <c r="J3689" s="33" t="n">
        <f aca="false">H3689-I3689</f>
        <v>1684.112</v>
      </c>
      <c r="K3689" s="33" t="n">
        <f aca="false">IF(OR(E3689=0,E3689&gt;=7),0,D3689/(7-E3689)*E3689*INDEX(Products!$E$2:$E$49,MATCH(C3689,Products!$A$2:$A$49,0)))</f>
        <v>0</v>
      </c>
    </row>
    <row r="3690" customFormat="false" ht="15" hidden="false" customHeight="false" outlineLevel="0" collapsed="false">
      <c r="A3690" s="36" t="n">
        <v>46209</v>
      </c>
      <c r="B3690" s="24" t="s">
        <v>64</v>
      </c>
      <c r="C3690" s="24" t="s">
        <v>121</v>
      </c>
      <c r="D3690" s="33" t="n">
        <v>49</v>
      </c>
      <c r="E3690" s="24" t="n">
        <v>0</v>
      </c>
      <c r="F3690" s="37" t="n">
        <f aca="false">DATE(YEAR(A3690),MONTH(A3690),1)</f>
        <v>46204</v>
      </c>
      <c r="G3690" s="24" t="str">
        <f aca="false">INDEX(Products!$C$2:$C$49,MATCH(C3690,Products!$A$2:$A$49,0))</f>
        <v>Grocery Staples</v>
      </c>
      <c r="H3690" s="33" t="n">
        <f aca="false">D3690*INDEX(Products!$E$2:$E$49,MATCH(C3690,Products!$A$2:$A$49,0))</f>
        <v>9310</v>
      </c>
      <c r="I3690" s="33" t="n">
        <f aca="false">D3690*INDEX(Products!$D$2:$D$49,MATCH(C3690,Products!$A$2:$A$49,0))*(1+INDEX(Assumptions!$B$16:$B$20,MATCH(B3690,Assumptions!$A$16:$A$20,0)))</f>
        <v>8078.336</v>
      </c>
      <c r="J3690" s="33" t="n">
        <f aca="false">H3690-I3690</f>
        <v>1231.664</v>
      </c>
      <c r="K3690" s="33" t="n">
        <f aca="false">IF(OR(E3690=0,E3690&gt;=7),0,D3690/(7-E3690)*E3690*INDEX(Products!$E$2:$E$49,MATCH(C3690,Products!$A$2:$A$49,0)))</f>
        <v>0</v>
      </c>
    </row>
    <row r="3691" customFormat="false" ht="15" hidden="false" customHeight="false" outlineLevel="0" collapsed="false">
      <c r="A3691" s="36" t="n">
        <v>46216</v>
      </c>
      <c r="B3691" s="24" t="s">
        <v>64</v>
      </c>
      <c r="C3691" s="24" t="s">
        <v>121</v>
      </c>
      <c r="D3691" s="33" t="n">
        <v>45</v>
      </c>
      <c r="E3691" s="24" t="n">
        <v>0</v>
      </c>
      <c r="F3691" s="37" t="n">
        <f aca="false">DATE(YEAR(A3691),MONTH(A3691),1)</f>
        <v>46204</v>
      </c>
      <c r="G3691" s="24" t="str">
        <f aca="false">INDEX(Products!$C$2:$C$49,MATCH(C3691,Products!$A$2:$A$49,0))</f>
        <v>Grocery Staples</v>
      </c>
      <c r="H3691" s="33" t="n">
        <f aca="false">D3691*INDEX(Products!$E$2:$E$49,MATCH(C3691,Products!$A$2:$A$49,0))</f>
        <v>8550</v>
      </c>
      <c r="I3691" s="33" t="n">
        <f aca="false">D3691*INDEX(Products!$D$2:$D$49,MATCH(C3691,Products!$A$2:$A$49,0))*(1+INDEX(Assumptions!$B$16:$B$20,MATCH(B3691,Assumptions!$A$16:$A$20,0)))</f>
        <v>7418.88</v>
      </c>
      <c r="J3691" s="33" t="n">
        <f aca="false">H3691-I3691</f>
        <v>1131.12</v>
      </c>
      <c r="K3691" s="33" t="n">
        <f aca="false">IF(OR(E3691=0,E3691&gt;=7),0,D3691/(7-E3691)*E3691*INDEX(Products!$E$2:$E$49,MATCH(C3691,Products!$A$2:$A$49,0)))</f>
        <v>0</v>
      </c>
    </row>
    <row r="3692" customFormat="false" ht="15" hidden="false" customHeight="false" outlineLevel="0" collapsed="false">
      <c r="A3692" s="36" t="n">
        <v>46223</v>
      </c>
      <c r="B3692" s="24" t="s">
        <v>64</v>
      </c>
      <c r="C3692" s="24" t="s">
        <v>121</v>
      </c>
      <c r="D3692" s="33" t="n">
        <v>54</v>
      </c>
      <c r="E3692" s="24" t="n">
        <v>0</v>
      </c>
      <c r="F3692" s="37" t="n">
        <f aca="false">DATE(YEAR(A3692),MONTH(A3692),1)</f>
        <v>46204</v>
      </c>
      <c r="G3692" s="24" t="str">
        <f aca="false">INDEX(Products!$C$2:$C$49,MATCH(C3692,Products!$A$2:$A$49,0))</f>
        <v>Grocery Staples</v>
      </c>
      <c r="H3692" s="33" t="n">
        <f aca="false">D3692*INDEX(Products!$E$2:$E$49,MATCH(C3692,Products!$A$2:$A$49,0))</f>
        <v>10260</v>
      </c>
      <c r="I3692" s="33" t="n">
        <f aca="false">D3692*INDEX(Products!$D$2:$D$49,MATCH(C3692,Products!$A$2:$A$49,0))*(1+INDEX(Assumptions!$B$16:$B$20,MATCH(B3692,Assumptions!$A$16:$A$20,0)))</f>
        <v>8902.656</v>
      </c>
      <c r="J3692" s="33" t="n">
        <f aca="false">H3692-I3692</f>
        <v>1357.344</v>
      </c>
      <c r="K3692" s="33" t="n">
        <f aca="false">IF(OR(E3692=0,E3692&gt;=7),0,D3692/(7-E3692)*E3692*INDEX(Products!$E$2:$E$49,MATCH(C3692,Products!$A$2:$A$49,0)))</f>
        <v>0</v>
      </c>
    </row>
    <row r="3693" customFormat="false" ht="15" hidden="false" customHeight="false" outlineLevel="0" collapsed="false">
      <c r="A3693" s="36" t="n">
        <v>46230</v>
      </c>
      <c r="B3693" s="24" t="s">
        <v>64</v>
      </c>
      <c r="C3693" s="24" t="s">
        <v>121</v>
      </c>
      <c r="D3693" s="33" t="n">
        <v>59</v>
      </c>
      <c r="E3693" s="24" t="n">
        <v>0</v>
      </c>
      <c r="F3693" s="37" t="n">
        <f aca="false">DATE(YEAR(A3693),MONTH(A3693),1)</f>
        <v>46204</v>
      </c>
      <c r="G3693" s="24" t="str">
        <f aca="false">INDEX(Products!$C$2:$C$49,MATCH(C3693,Products!$A$2:$A$49,0))</f>
        <v>Grocery Staples</v>
      </c>
      <c r="H3693" s="33" t="n">
        <f aca="false">D3693*INDEX(Products!$E$2:$E$49,MATCH(C3693,Products!$A$2:$A$49,0))</f>
        <v>11210</v>
      </c>
      <c r="I3693" s="33" t="n">
        <f aca="false">D3693*INDEX(Products!$D$2:$D$49,MATCH(C3693,Products!$A$2:$A$49,0))*(1+INDEX(Assumptions!$B$16:$B$20,MATCH(B3693,Assumptions!$A$16:$A$20,0)))</f>
        <v>9726.976</v>
      </c>
      <c r="J3693" s="33" t="n">
        <f aca="false">H3693-I3693</f>
        <v>1483.024</v>
      </c>
      <c r="K3693" s="33" t="n">
        <f aca="false">IF(OR(E3693=0,E3693&gt;=7),0,D3693/(7-E3693)*E3693*INDEX(Products!$E$2:$E$49,MATCH(C3693,Products!$A$2:$A$49,0)))</f>
        <v>0</v>
      </c>
    </row>
    <row r="3694" customFormat="false" ht="15" hidden="false" customHeight="false" outlineLevel="0" collapsed="false">
      <c r="A3694" s="36" t="n">
        <v>46237</v>
      </c>
      <c r="B3694" s="24" t="s">
        <v>64</v>
      </c>
      <c r="C3694" s="24" t="s">
        <v>121</v>
      </c>
      <c r="D3694" s="33" t="n">
        <v>59</v>
      </c>
      <c r="E3694" s="24" t="n">
        <v>0</v>
      </c>
      <c r="F3694" s="37" t="n">
        <f aca="false">DATE(YEAR(A3694),MONTH(A3694),1)</f>
        <v>46235</v>
      </c>
      <c r="G3694" s="24" t="str">
        <f aca="false">INDEX(Products!$C$2:$C$49,MATCH(C3694,Products!$A$2:$A$49,0))</f>
        <v>Grocery Staples</v>
      </c>
      <c r="H3694" s="33" t="n">
        <f aca="false">D3694*INDEX(Products!$E$2:$E$49,MATCH(C3694,Products!$A$2:$A$49,0))</f>
        <v>11210</v>
      </c>
      <c r="I3694" s="33" t="n">
        <f aca="false">D3694*INDEX(Products!$D$2:$D$49,MATCH(C3694,Products!$A$2:$A$49,0))*(1+INDEX(Assumptions!$B$16:$B$20,MATCH(B3694,Assumptions!$A$16:$A$20,0)))</f>
        <v>9726.976</v>
      </c>
      <c r="J3694" s="33" t="n">
        <f aca="false">H3694-I3694</f>
        <v>1483.024</v>
      </c>
      <c r="K3694" s="33" t="n">
        <f aca="false">IF(OR(E3694=0,E3694&gt;=7),0,D3694/(7-E3694)*E3694*INDEX(Products!$E$2:$E$49,MATCH(C3694,Products!$A$2:$A$49,0)))</f>
        <v>0</v>
      </c>
    </row>
    <row r="3695" customFormat="false" ht="15" hidden="false" customHeight="false" outlineLevel="0" collapsed="false">
      <c r="A3695" s="36" t="n">
        <v>46244</v>
      </c>
      <c r="B3695" s="24" t="s">
        <v>64</v>
      </c>
      <c r="C3695" s="24" t="s">
        <v>121</v>
      </c>
      <c r="D3695" s="33" t="n">
        <v>45</v>
      </c>
      <c r="E3695" s="24" t="n">
        <v>0</v>
      </c>
      <c r="F3695" s="37" t="n">
        <f aca="false">DATE(YEAR(A3695),MONTH(A3695),1)</f>
        <v>46235</v>
      </c>
      <c r="G3695" s="24" t="str">
        <f aca="false">INDEX(Products!$C$2:$C$49,MATCH(C3695,Products!$A$2:$A$49,0))</f>
        <v>Grocery Staples</v>
      </c>
      <c r="H3695" s="33" t="n">
        <f aca="false">D3695*INDEX(Products!$E$2:$E$49,MATCH(C3695,Products!$A$2:$A$49,0))</f>
        <v>8550</v>
      </c>
      <c r="I3695" s="33" t="n">
        <f aca="false">D3695*INDEX(Products!$D$2:$D$49,MATCH(C3695,Products!$A$2:$A$49,0))*(1+INDEX(Assumptions!$B$16:$B$20,MATCH(B3695,Assumptions!$A$16:$A$20,0)))</f>
        <v>7418.88</v>
      </c>
      <c r="J3695" s="33" t="n">
        <f aca="false">H3695-I3695</f>
        <v>1131.12</v>
      </c>
      <c r="K3695" s="33" t="n">
        <f aca="false">IF(OR(E3695=0,E3695&gt;=7),0,D3695/(7-E3695)*E3695*INDEX(Products!$E$2:$E$49,MATCH(C3695,Products!$A$2:$A$49,0)))</f>
        <v>0</v>
      </c>
    </row>
    <row r="3696" customFormat="false" ht="15" hidden="false" customHeight="false" outlineLevel="0" collapsed="false">
      <c r="A3696" s="36" t="n">
        <v>46251</v>
      </c>
      <c r="B3696" s="24" t="s">
        <v>64</v>
      </c>
      <c r="C3696" s="24" t="s">
        <v>121</v>
      </c>
      <c r="D3696" s="33" t="n">
        <v>45</v>
      </c>
      <c r="E3696" s="24" t="n">
        <v>0</v>
      </c>
      <c r="F3696" s="37" t="n">
        <f aca="false">DATE(YEAR(A3696),MONTH(A3696),1)</f>
        <v>46235</v>
      </c>
      <c r="G3696" s="24" t="str">
        <f aca="false">INDEX(Products!$C$2:$C$49,MATCH(C3696,Products!$A$2:$A$49,0))</f>
        <v>Grocery Staples</v>
      </c>
      <c r="H3696" s="33" t="n">
        <f aca="false">D3696*INDEX(Products!$E$2:$E$49,MATCH(C3696,Products!$A$2:$A$49,0))</f>
        <v>8550</v>
      </c>
      <c r="I3696" s="33" t="n">
        <f aca="false">D3696*INDEX(Products!$D$2:$D$49,MATCH(C3696,Products!$A$2:$A$49,0))*(1+INDEX(Assumptions!$B$16:$B$20,MATCH(B3696,Assumptions!$A$16:$A$20,0)))</f>
        <v>7418.88</v>
      </c>
      <c r="J3696" s="33" t="n">
        <f aca="false">H3696-I3696</f>
        <v>1131.12</v>
      </c>
      <c r="K3696" s="33" t="n">
        <f aca="false">IF(OR(E3696=0,E3696&gt;=7),0,D3696/(7-E3696)*E3696*INDEX(Products!$E$2:$E$49,MATCH(C3696,Products!$A$2:$A$49,0)))</f>
        <v>0</v>
      </c>
    </row>
    <row r="3697" customFormat="false" ht="15" hidden="false" customHeight="false" outlineLevel="0" collapsed="false">
      <c r="A3697" s="36" t="n">
        <v>46258</v>
      </c>
      <c r="B3697" s="24" t="s">
        <v>64</v>
      </c>
      <c r="C3697" s="24" t="s">
        <v>121</v>
      </c>
      <c r="D3697" s="33" t="n">
        <v>52</v>
      </c>
      <c r="E3697" s="24" t="n">
        <v>0</v>
      </c>
      <c r="F3697" s="37" t="n">
        <f aca="false">DATE(YEAR(A3697),MONTH(A3697),1)</f>
        <v>46235</v>
      </c>
      <c r="G3697" s="24" t="str">
        <f aca="false">INDEX(Products!$C$2:$C$49,MATCH(C3697,Products!$A$2:$A$49,0))</f>
        <v>Grocery Staples</v>
      </c>
      <c r="H3697" s="33" t="n">
        <f aca="false">D3697*INDEX(Products!$E$2:$E$49,MATCH(C3697,Products!$A$2:$A$49,0))</f>
        <v>9880</v>
      </c>
      <c r="I3697" s="33" t="n">
        <f aca="false">D3697*INDEX(Products!$D$2:$D$49,MATCH(C3697,Products!$A$2:$A$49,0))*(1+INDEX(Assumptions!$B$16:$B$20,MATCH(B3697,Assumptions!$A$16:$A$20,0)))</f>
        <v>8572.928</v>
      </c>
      <c r="J3697" s="33" t="n">
        <f aca="false">H3697-I3697</f>
        <v>1307.072</v>
      </c>
      <c r="K3697" s="33" t="n">
        <f aca="false">IF(OR(E3697=0,E3697&gt;=7),0,D3697/(7-E3697)*E3697*INDEX(Products!$E$2:$E$49,MATCH(C3697,Products!$A$2:$A$49,0)))</f>
        <v>0</v>
      </c>
    </row>
    <row r="3698" customFormat="false" ht="15" hidden="false" customHeight="false" outlineLevel="0" collapsed="false">
      <c r="A3698" s="36" t="n">
        <v>46265</v>
      </c>
      <c r="B3698" s="24" t="s">
        <v>64</v>
      </c>
      <c r="C3698" s="24" t="s">
        <v>121</v>
      </c>
      <c r="D3698" s="33" t="n">
        <v>33</v>
      </c>
      <c r="E3698" s="24" t="n">
        <v>3</v>
      </c>
      <c r="F3698" s="37" t="n">
        <f aca="false">DATE(YEAR(A3698),MONTH(A3698),1)</f>
        <v>46235</v>
      </c>
      <c r="G3698" s="24" t="str">
        <f aca="false">INDEX(Products!$C$2:$C$49,MATCH(C3698,Products!$A$2:$A$49,0))</f>
        <v>Grocery Staples</v>
      </c>
      <c r="H3698" s="33" t="n">
        <f aca="false">D3698*INDEX(Products!$E$2:$E$49,MATCH(C3698,Products!$A$2:$A$49,0))</f>
        <v>6270</v>
      </c>
      <c r="I3698" s="33" t="n">
        <f aca="false">D3698*INDEX(Products!$D$2:$D$49,MATCH(C3698,Products!$A$2:$A$49,0))*(1+INDEX(Assumptions!$B$16:$B$20,MATCH(B3698,Assumptions!$A$16:$A$20,0)))</f>
        <v>5440.512</v>
      </c>
      <c r="J3698" s="33" t="n">
        <f aca="false">H3698-I3698</f>
        <v>829.488</v>
      </c>
      <c r="K3698" s="33" t="n">
        <f aca="false">IF(OR(E3698=0,E3698&gt;=7),0,D3698/(7-E3698)*E3698*INDEX(Products!$E$2:$E$49,MATCH(C3698,Products!$A$2:$A$49,0)))</f>
        <v>4702.5</v>
      </c>
    </row>
    <row r="3699" customFormat="false" ht="15" hidden="false" customHeight="false" outlineLevel="0" collapsed="false">
      <c r="A3699" s="36" t="n">
        <v>46272</v>
      </c>
      <c r="B3699" s="24" t="s">
        <v>64</v>
      </c>
      <c r="C3699" s="24" t="s">
        <v>121</v>
      </c>
      <c r="D3699" s="33" t="n">
        <v>55</v>
      </c>
      <c r="E3699" s="24" t="n">
        <v>0</v>
      </c>
      <c r="F3699" s="37" t="n">
        <f aca="false">DATE(YEAR(A3699),MONTH(A3699),1)</f>
        <v>46266</v>
      </c>
      <c r="G3699" s="24" t="str">
        <f aca="false">INDEX(Products!$C$2:$C$49,MATCH(C3699,Products!$A$2:$A$49,0))</f>
        <v>Grocery Staples</v>
      </c>
      <c r="H3699" s="33" t="n">
        <f aca="false">D3699*INDEX(Products!$E$2:$E$49,MATCH(C3699,Products!$A$2:$A$49,0))</f>
        <v>10450</v>
      </c>
      <c r="I3699" s="33" t="n">
        <f aca="false">D3699*INDEX(Products!$D$2:$D$49,MATCH(C3699,Products!$A$2:$A$49,0))*(1+INDEX(Assumptions!$B$16:$B$20,MATCH(B3699,Assumptions!$A$16:$A$20,0)))</f>
        <v>9067.52</v>
      </c>
      <c r="J3699" s="33" t="n">
        <f aca="false">H3699-I3699</f>
        <v>1382.48</v>
      </c>
      <c r="K3699" s="33" t="n">
        <f aca="false">IF(OR(E3699=0,E3699&gt;=7),0,D3699/(7-E3699)*E3699*INDEX(Products!$E$2:$E$49,MATCH(C3699,Products!$A$2:$A$49,0)))</f>
        <v>0</v>
      </c>
    </row>
    <row r="3700" customFormat="false" ht="15" hidden="false" customHeight="false" outlineLevel="0" collapsed="false">
      <c r="A3700" s="36" t="n">
        <v>46279</v>
      </c>
      <c r="B3700" s="24" t="s">
        <v>64</v>
      </c>
      <c r="C3700" s="24" t="s">
        <v>121</v>
      </c>
      <c r="D3700" s="33" t="n">
        <v>44</v>
      </c>
      <c r="E3700" s="24" t="n">
        <v>0</v>
      </c>
      <c r="F3700" s="37" t="n">
        <f aca="false">DATE(YEAR(A3700),MONTH(A3700),1)</f>
        <v>46266</v>
      </c>
      <c r="G3700" s="24" t="str">
        <f aca="false">INDEX(Products!$C$2:$C$49,MATCH(C3700,Products!$A$2:$A$49,0))</f>
        <v>Grocery Staples</v>
      </c>
      <c r="H3700" s="33" t="n">
        <f aca="false">D3700*INDEX(Products!$E$2:$E$49,MATCH(C3700,Products!$A$2:$A$49,0))</f>
        <v>8360</v>
      </c>
      <c r="I3700" s="33" t="n">
        <f aca="false">D3700*INDEX(Products!$D$2:$D$49,MATCH(C3700,Products!$A$2:$A$49,0))*(1+INDEX(Assumptions!$B$16:$B$20,MATCH(B3700,Assumptions!$A$16:$A$20,0)))</f>
        <v>7254.016</v>
      </c>
      <c r="J3700" s="33" t="n">
        <f aca="false">H3700-I3700</f>
        <v>1105.984</v>
      </c>
      <c r="K3700" s="33" t="n">
        <f aca="false">IF(OR(E3700=0,E3700&gt;=7),0,D3700/(7-E3700)*E3700*INDEX(Products!$E$2:$E$49,MATCH(C3700,Products!$A$2:$A$49,0)))</f>
        <v>0</v>
      </c>
    </row>
    <row r="3701" customFormat="false" ht="15" hidden="false" customHeight="false" outlineLevel="0" collapsed="false">
      <c r="A3701" s="36" t="n">
        <v>46286</v>
      </c>
      <c r="B3701" s="24" t="s">
        <v>64</v>
      </c>
      <c r="C3701" s="24" t="s">
        <v>121</v>
      </c>
      <c r="D3701" s="33" t="n">
        <v>56</v>
      </c>
      <c r="E3701" s="24" t="n">
        <v>0</v>
      </c>
      <c r="F3701" s="37" t="n">
        <f aca="false">DATE(YEAR(A3701),MONTH(A3701),1)</f>
        <v>46266</v>
      </c>
      <c r="G3701" s="24" t="str">
        <f aca="false">INDEX(Products!$C$2:$C$49,MATCH(C3701,Products!$A$2:$A$49,0))</f>
        <v>Grocery Staples</v>
      </c>
      <c r="H3701" s="33" t="n">
        <f aca="false">D3701*INDEX(Products!$E$2:$E$49,MATCH(C3701,Products!$A$2:$A$49,0))</f>
        <v>10640</v>
      </c>
      <c r="I3701" s="33" t="n">
        <f aca="false">D3701*INDEX(Products!$D$2:$D$49,MATCH(C3701,Products!$A$2:$A$49,0))*(1+INDEX(Assumptions!$B$16:$B$20,MATCH(B3701,Assumptions!$A$16:$A$20,0)))</f>
        <v>9232.384</v>
      </c>
      <c r="J3701" s="33" t="n">
        <f aca="false">H3701-I3701</f>
        <v>1407.616</v>
      </c>
      <c r="K3701" s="33" t="n">
        <f aca="false">IF(OR(E3701=0,E3701&gt;=7),0,D3701/(7-E3701)*E3701*INDEX(Products!$E$2:$E$49,MATCH(C3701,Products!$A$2:$A$49,0)))</f>
        <v>0</v>
      </c>
    </row>
    <row r="3702" customFormat="false" ht="15" hidden="false" customHeight="false" outlineLevel="0" collapsed="false">
      <c r="A3702" s="36" t="n">
        <v>46118</v>
      </c>
      <c r="B3702" s="24" t="s">
        <v>64</v>
      </c>
      <c r="C3702" s="24" t="s">
        <v>123</v>
      </c>
      <c r="D3702" s="33" t="n">
        <v>151</v>
      </c>
      <c r="E3702" s="24" t="n">
        <v>0</v>
      </c>
      <c r="F3702" s="37" t="n">
        <f aca="false">DATE(YEAR(A3702),MONTH(A3702),1)</f>
        <v>46113</v>
      </c>
      <c r="G3702" s="24" t="str">
        <f aca="false">INDEX(Products!$C$2:$C$49,MATCH(C3702,Products!$A$2:$A$49,0))</f>
        <v>Grocery Staples</v>
      </c>
      <c r="H3702" s="33" t="n">
        <f aca="false">D3702*INDEX(Products!$E$2:$E$49,MATCH(C3702,Products!$A$2:$A$49,0))</f>
        <v>51340</v>
      </c>
      <c r="I3702" s="33" t="n">
        <f aca="false">D3702*INDEX(Products!$D$2:$D$49,MATCH(C3702,Products!$A$2:$A$49,0))*(1+INDEX(Assumptions!$B$16:$B$20,MATCH(B3702,Assumptions!$A$16:$A$20,0)))</f>
        <v>45923.328</v>
      </c>
      <c r="J3702" s="33" t="n">
        <f aca="false">H3702-I3702</f>
        <v>5416.672</v>
      </c>
      <c r="K3702" s="33" t="n">
        <f aca="false">IF(OR(E3702=0,E3702&gt;=7),0,D3702/(7-E3702)*E3702*INDEX(Products!$E$2:$E$49,MATCH(C3702,Products!$A$2:$A$49,0)))</f>
        <v>0</v>
      </c>
    </row>
    <row r="3703" customFormat="false" ht="15" hidden="false" customHeight="false" outlineLevel="0" collapsed="false">
      <c r="A3703" s="36" t="n">
        <v>46125</v>
      </c>
      <c r="B3703" s="24" t="s">
        <v>64</v>
      </c>
      <c r="C3703" s="24" t="s">
        <v>123</v>
      </c>
      <c r="D3703" s="33" t="n">
        <v>185</v>
      </c>
      <c r="E3703" s="24" t="n">
        <v>0</v>
      </c>
      <c r="F3703" s="37" t="n">
        <f aca="false">DATE(YEAR(A3703),MONTH(A3703),1)</f>
        <v>46113</v>
      </c>
      <c r="G3703" s="24" t="str">
        <f aca="false">INDEX(Products!$C$2:$C$49,MATCH(C3703,Products!$A$2:$A$49,0))</f>
        <v>Grocery Staples</v>
      </c>
      <c r="H3703" s="33" t="n">
        <f aca="false">D3703*INDEX(Products!$E$2:$E$49,MATCH(C3703,Products!$A$2:$A$49,0))</f>
        <v>62900</v>
      </c>
      <c r="I3703" s="33" t="n">
        <f aca="false">D3703*INDEX(Products!$D$2:$D$49,MATCH(C3703,Products!$A$2:$A$49,0))*(1+INDEX(Assumptions!$B$16:$B$20,MATCH(B3703,Assumptions!$A$16:$A$20,0)))</f>
        <v>56263.68</v>
      </c>
      <c r="J3703" s="33" t="n">
        <f aca="false">H3703-I3703</f>
        <v>6636.32</v>
      </c>
      <c r="K3703" s="33" t="n">
        <f aca="false">IF(OR(E3703=0,E3703&gt;=7),0,D3703/(7-E3703)*E3703*INDEX(Products!$E$2:$E$49,MATCH(C3703,Products!$A$2:$A$49,0)))</f>
        <v>0</v>
      </c>
    </row>
    <row r="3704" customFormat="false" ht="15" hidden="false" customHeight="false" outlineLevel="0" collapsed="false">
      <c r="A3704" s="36" t="n">
        <v>46132</v>
      </c>
      <c r="B3704" s="24" t="s">
        <v>64</v>
      </c>
      <c r="C3704" s="24" t="s">
        <v>123</v>
      </c>
      <c r="D3704" s="33" t="n">
        <v>185</v>
      </c>
      <c r="E3704" s="24" t="n">
        <v>0</v>
      </c>
      <c r="F3704" s="37" t="n">
        <f aca="false">DATE(YEAR(A3704),MONTH(A3704),1)</f>
        <v>46113</v>
      </c>
      <c r="G3704" s="24" t="str">
        <f aca="false">INDEX(Products!$C$2:$C$49,MATCH(C3704,Products!$A$2:$A$49,0))</f>
        <v>Grocery Staples</v>
      </c>
      <c r="H3704" s="33" t="n">
        <f aca="false">D3704*INDEX(Products!$E$2:$E$49,MATCH(C3704,Products!$A$2:$A$49,0))</f>
        <v>62900</v>
      </c>
      <c r="I3704" s="33" t="n">
        <f aca="false">D3704*INDEX(Products!$D$2:$D$49,MATCH(C3704,Products!$A$2:$A$49,0))*(1+INDEX(Assumptions!$B$16:$B$20,MATCH(B3704,Assumptions!$A$16:$A$20,0)))</f>
        <v>56263.68</v>
      </c>
      <c r="J3704" s="33" t="n">
        <f aca="false">H3704-I3704</f>
        <v>6636.32</v>
      </c>
      <c r="K3704" s="33" t="n">
        <f aca="false">IF(OR(E3704=0,E3704&gt;=7),0,D3704/(7-E3704)*E3704*INDEX(Products!$E$2:$E$49,MATCH(C3704,Products!$A$2:$A$49,0)))</f>
        <v>0</v>
      </c>
    </row>
    <row r="3705" customFormat="false" ht="15" hidden="false" customHeight="false" outlineLevel="0" collapsed="false">
      <c r="A3705" s="36" t="n">
        <v>46139</v>
      </c>
      <c r="B3705" s="24" t="s">
        <v>64</v>
      </c>
      <c r="C3705" s="24" t="s">
        <v>123</v>
      </c>
      <c r="D3705" s="33" t="n">
        <v>197</v>
      </c>
      <c r="E3705" s="24" t="n">
        <v>0</v>
      </c>
      <c r="F3705" s="37" t="n">
        <f aca="false">DATE(YEAR(A3705),MONTH(A3705),1)</f>
        <v>46113</v>
      </c>
      <c r="G3705" s="24" t="str">
        <f aca="false">INDEX(Products!$C$2:$C$49,MATCH(C3705,Products!$A$2:$A$49,0))</f>
        <v>Grocery Staples</v>
      </c>
      <c r="H3705" s="33" t="n">
        <f aca="false">D3705*INDEX(Products!$E$2:$E$49,MATCH(C3705,Products!$A$2:$A$49,0))</f>
        <v>66980</v>
      </c>
      <c r="I3705" s="33" t="n">
        <f aca="false">D3705*INDEX(Products!$D$2:$D$49,MATCH(C3705,Products!$A$2:$A$49,0))*(1+INDEX(Assumptions!$B$16:$B$20,MATCH(B3705,Assumptions!$A$16:$A$20,0)))</f>
        <v>59913.216</v>
      </c>
      <c r="J3705" s="33" t="n">
        <f aca="false">H3705-I3705</f>
        <v>7066.784</v>
      </c>
      <c r="K3705" s="33" t="n">
        <f aca="false">IF(OR(E3705=0,E3705&gt;=7),0,D3705/(7-E3705)*E3705*INDEX(Products!$E$2:$E$49,MATCH(C3705,Products!$A$2:$A$49,0)))</f>
        <v>0</v>
      </c>
    </row>
    <row r="3706" customFormat="false" ht="15" hidden="false" customHeight="false" outlineLevel="0" collapsed="false">
      <c r="A3706" s="36" t="n">
        <v>46146</v>
      </c>
      <c r="B3706" s="24" t="s">
        <v>64</v>
      </c>
      <c r="C3706" s="24" t="s">
        <v>123</v>
      </c>
      <c r="D3706" s="33" t="n">
        <v>199</v>
      </c>
      <c r="E3706" s="24" t="n">
        <v>0</v>
      </c>
      <c r="F3706" s="37" t="n">
        <f aca="false">DATE(YEAR(A3706),MONTH(A3706),1)</f>
        <v>46143</v>
      </c>
      <c r="G3706" s="24" t="str">
        <f aca="false">INDEX(Products!$C$2:$C$49,MATCH(C3706,Products!$A$2:$A$49,0))</f>
        <v>Grocery Staples</v>
      </c>
      <c r="H3706" s="33" t="n">
        <f aca="false">D3706*INDEX(Products!$E$2:$E$49,MATCH(C3706,Products!$A$2:$A$49,0))</f>
        <v>67660</v>
      </c>
      <c r="I3706" s="33" t="n">
        <f aca="false">D3706*INDEX(Products!$D$2:$D$49,MATCH(C3706,Products!$A$2:$A$49,0))*(1+INDEX(Assumptions!$B$16:$B$20,MATCH(B3706,Assumptions!$A$16:$A$20,0)))</f>
        <v>60521.472</v>
      </c>
      <c r="J3706" s="33" t="n">
        <f aca="false">H3706-I3706</f>
        <v>7138.528</v>
      </c>
      <c r="K3706" s="33" t="n">
        <f aca="false">IF(OR(E3706=0,E3706&gt;=7),0,D3706/(7-E3706)*E3706*INDEX(Products!$E$2:$E$49,MATCH(C3706,Products!$A$2:$A$49,0)))</f>
        <v>0</v>
      </c>
    </row>
    <row r="3707" customFormat="false" ht="15" hidden="false" customHeight="false" outlineLevel="0" collapsed="false">
      <c r="A3707" s="36" t="n">
        <v>46153</v>
      </c>
      <c r="B3707" s="24" t="s">
        <v>64</v>
      </c>
      <c r="C3707" s="24" t="s">
        <v>123</v>
      </c>
      <c r="D3707" s="33" t="n">
        <v>192</v>
      </c>
      <c r="E3707" s="24" t="n">
        <v>0</v>
      </c>
      <c r="F3707" s="37" t="n">
        <f aca="false">DATE(YEAR(A3707),MONTH(A3707),1)</f>
        <v>46143</v>
      </c>
      <c r="G3707" s="24" t="str">
        <f aca="false">INDEX(Products!$C$2:$C$49,MATCH(C3707,Products!$A$2:$A$49,0))</f>
        <v>Grocery Staples</v>
      </c>
      <c r="H3707" s="33" t="n">
        <f aca="false">D3707*INDEX(Products!$E$2:$E$49,MATCH(C3707,Products!$A$2:$A$49,0))</f>
        <v>65280</v>
      </c>
      <c r="I3707" s="33" t="n">
        <f aca="false">D3707*INDEX(Products!$D$2:$D$49,MATCH(C3707,Products!$A$2:$A$49,0))*(1+INDEX(Assumptions!$B$16:$B$20,MATCH(B3707,Assumptions!$A$16:$A$20,0)))</f>
        <v>58392.576</v>
      </c>
      <c r="J3707" s="33" t="n">
        <f aca="false">H3707-I3707</f>
        <v>6887.424</v>
      </c>
      <c r="K3707" s="33" t="n">
        <f aca="false">IF(OR(E3707=0,E3707&gt;=7),0,D3707/(7-E3707)*E3707*INDEX(Products!$E$2:$E$49,MATCH(C3707,Products!$A$2:$A$49,0)))</f>
        <v>0</v>
      </c>
    </row>
    <row r="3708" customFormat="false" ht="15" hidden="false" customHeight="false" outlineLevel="0" collapsed="false">
      <c r="A3708" s="36" t="n">
        <v>46160</v>
      </c>
      <c r="B3708" s="24" t="s">
        <v>64</v>
      </c>
      <c r="C3708" s="24" t="s">
        <v>123</v>
      </c>
      <c r="D3708" s="33" t="n">
        <v>188</v>
      </c>
      <c r="E3708" s="24" t="n">
        <v>0</v>
      </c>
      <c r="F3708" s="37" t="n">
        <f aca="false">DATE(YEAR(A3708),MONTH(A3708),1)</f>
        <v>46143</v>
      </c>
      <c r="G3708" s="24" t="str">
        <f aca="false">INDEX(Products!$C$2:$C$49,MATCH(C3708,Products!$A$2:$A$49,0))</f>
        <v>Grocery Staples</v>
      </c>
      <c r="H3708" s="33" t="n">
        <f aca="false">D3708*INDEX(Products!$E$2:$E$49,MATCH(C3708,Products!$A$2:$A$49,0))</f>
        <v>63920</v>
      </c>
      <c r="I3708" s="33" t="n">
        <f aca="false">D3708*INDEX(Products!$D$2:$D$49,MATCH(C3708,Products!$A$2:$A$49,0))*(1+INDEX(Assumptions!$B$16:$B$20,MATCH(B3708,Assumptions!$A$16:$A$20,0)))</f>
        <v>57176.064</v>
      </c>
      <c r="J3708" s="33" t="n">
        <f aca="false">H3708-I3708</f>
        <v>6743.936</v>
      </c>
      <c r="K3708" s="33" t="n">
        <f aca="false">IF(OR(E3708=0,E3708&gt;=7),0,D3708/(7-E3708)*E3708*INDEX(Products!$E$2:$E$49,MATCH(C3708,Products!$A$2:$A$49,0)))</f>
        <v>0</v>
      </c>
    </row>
    <row r="3709" customFormat="false" ht="15" hidden="false" customHeight="false" outlineLevel="0" collapsed="false">
      <c r="A3709" s="36" t="n">
        <v>46167</v>
      </c>
      <c r="B3709" s="24" t="s">
        <v>64</v>
      </c>
      <c r="C3709" s="24" t="s">
        <v>123</v>
      </c>
      <c r="D3709" s="33" t="n">
        <v>212</v>
      </c>
      <c r="E3709" s="24" t="n">
        <v>0</v>
      </c>
      <c r="F3709" s="37" t="n">
        <f aca="false">DATE(YEAR(A3709),MONTH(A3709),1)</f>
        <v>46143</v>
      </c>
      <c r="G3709" s="24" t="str">
        <f aca="false">INDEX(Products!$C$2:$C$49,MATCH(C3709,Products!$A$2:$A$49,0))</f>
        <v>Grocery Staples</v>
      </c>
      <c r="H3709" s="33" t="n">
        <f aca="false">D3709*INDEX(Products!$E$2:$E$49,MATCH(C3709,Products!$A$2:$A$49,0))</f>
        <v>72080</v>
      </c>
      <c r="I3709" s="33" t="n">
        <f aca="false">D3709*INDEX(Products!$D$2:$D$49,MATCH(C3709,Products!$A$2:$A$49,0))*(1+INDEX(Assumptions!$B$16:$B$20,MATCH(B3709,Assumptions!$A$16:$A$20,0)))</f>
        <v>64475.136</v>
      </c>
      <c r="J3709" s="33" t="n">
        <f aca="false">H3709-I3709</f>
        <v>7604.864</v>
      </c>
      <c r="K3709" s="33" t="n">
        <f aca="false">IF(OR(E3709=0,E3709&gt;=7),0,D3709/(7-E3709)*E3709*INDEX(Products!$E$2:$E$49,MATCH(C3709,Products!$A$2:$A$49,0)))</f>
        <v>0</v>
      </c>
    </row>
    <row r="3710" customFormat="false" ht="15" hidden="false" customHeight="false" outlineLevel="0" collapsed="false">
      <c r="A3710" s="36" t="n">
        <v>46174</v>
      </c>
      <c r="B3710" s="24" t="s">
        <v>64</v>
      </c>
      <c r="C3710" s="24" t="s">
        <v>123</v>
      </c>
      <c r="D3710" s="33" t="n">
        <v>205</v>
      </c>
      <c r="E3710" s="24" t="n">
        <v>0</v>
      </c>
      <c r="F3710" s="37" t="n">
        <f aca="false">DATE(YEAR(A3710),MONTH(A3710),1)</f>
        <v>46174</v>
      </c>
      <c r="G3710" s="24" t="str">
        <f aca="false">INDEX(Products!$C$2:$C$49,MATCH(C3710,Products!$A$2:$A$49,0))</f>
        <v>Grocery Staples</v>
      </c>
      <c r="H3710" s="33" t="n">
        <f aca="false">D3710*INDEX(Products!$E$2:$E$49,MATCH(C3710,Products!$A$2:$A$49,0))</f>
        <v>69700</v>
      </c>
      <c r="I3710" s="33" t="n">
        <f aca="false">D3710*INDEX(Products!$D$2:$D$49,MATCH(C3710,Products!$A$2:$A$49,0))*(1+INDEX(Assumptions!$B$16:$B$20,MATCH(B3710,Assumptions!$A$16:$A$20,0)))</f>
        <v>62346.24</v>
      </c>
      <c r="J3710" s="33" t="n">
        <f aca="false">H3710-I3710</f>
        <v>7353.76</v>
      </c>
      <c r="K3710" s="33" t="n">
        <f aca="false">IF(OR(E3710=0,E3710&gt;=7),0,D3710/(7-E3710)*E3710*INDEX(Products!$E$2:$E$49,MATCH(C3710,Products!$A$2:$A$49,0)))</f>
        <v>0</v>
      </c>
    </row>
    <row r="3711" customFormat="false" ht="15" hidden="false" customHeight="false" outlineLevel="0" collapsed="false">
      <c r="A3711" s="36" t="n">
        <v>46181</v>
      </c>
      <c r="B3711" s="24" t="s">
        <v>64</v>
      </c>
      <c r="C3711" s="24" t="s">
        <v>123</v>
      </c>
      <c r="D3711" s="33" t="n">
        <v>53</v>
      </c>
      <c r="E3711" s="24" t="n">
        <v>5</v>
      </c>
      <c r="F3711" s="37" t="n">
        <f aca="false">DATE(YEAR(A3711),MONTH(A3711),1)</f>
        <v>46174</v>
      </c>
      <c r="G3711" s="24" t="str">
        <f aca="false">INDEX(Products!$C$2:$C$49,MATCH(C3711,Products!$A$2:$A$49,0))</f>
        <v>Grocery Staples</v>
      </c>
      <c r="H3711" s="33" t="n">
        <f aca="false">D3711*INDEX(Products!$E$2:$E$49,MATCH(C3711,Products!$A$2:$A$49,0))</f>
        <v>18020</v>
      </c>
      <c r="I3711" s="33" t="n">
        <f aca="false">D3711*INDEX(Products!$D$2:$D$49,MATCH(C3711,Products!$A$2:$A$49,0))*(1+INDEX(Assumptions!$B$16:$B$20,MATCH(B3711,Assumptions!$A$16:$A$20,0)))</f>
        <v>16118.784</v>
      </c>
      <c r="J3711" s="33" t="n">
        <f aca="false">H3711-I3711</f>
        <v>1901.216</v>
      </c>
      <c r="K3711" s="33" t="n">
        <f aca="false">IF(OR(E3711=0,E3711&gt;=7),0,D3711/(7-E3711)*E3711*INDEX(Products!$E$2:$E$49,MATCH(C3711,Products!$A$2:$A$49,0)))</f>
        <v>45050</v>
      </c>
    </row>
    <row r="3712" customFormat="false" ht="15" hidden="false" customHeight="false" outlineLevel="0" collapsed="false">
      <c r="A3712" s="36" t="n">
        <v>46188</v>
      </c>
      <c r="B3712" s="24" t="s">
        <v>64</v>
      </c>
      <c r="C3712" s="24" t="s">
        <v>123</v>
      </c>
      <c r="D3712" s="33" t="n">
        <v>206</v>
      </c>
      <c r="E3712" s="24" t="n">
        <v>0</v>
      </c>
      <c r="F3712" s="37" t="n">
        <f aca="false">DATE(YEAR(A3712),MONTH(A3712),1)</f>
        <v>46174</v>
      </c>
      <c r="G3712" s="24" t="str">
        <f aca="false">INDEX(Products!$C$2:$C$49,MATCH(C3712,Products!$A$2:$A$49,0))</f>
        <v>Grocery Staples</v>
      </c>
      <c r="H3712" s="33" t="n">
        <f aca="false">D3712*INDEX(Products!$E$2:$E$49,MATCH(C3712,Products!$A$2:$A$49,0))</f>
        <v>70040</v>
      </c>
      <c r="I3712" s="33" t="n">
        <f aca="false">D3712*INDEX(Products!$D$2:$D$49,MATCH(C3712,Products!$A$2:$A$49,0))*(1+INDEX(Assumptions!$B$16:$B$20,MATCH(B3712,Assumptions!$A$16:$A$20,0)))</f>
        <v>62650.368</v>
      </c>
      <c r="J3712" s="33" t="n">
        <f aca="false">H3712-I3712</f>
        <v>7389.632</v>
      </c>
      <c r="K3712" s="33" t="n">
        <f aca="false">IF(OR(E3712=0,E3712&gt;=7),0,D3712/(7-E3712)*E3712*INDEX(Products!$E$2:$E$49,MATCH(C3712,Products!$A$2:$A$49,0)))</f>
        <v>0</v>
      </c>
    </row>
    <row r="3713" customFormat="false" ht="15" hidden="false" customHeight="false" outlineLevel="0" collapsed="false">
      <c r="A3713" s="36" t="n">
        <v>46195</v>
      </c>
      <c r="B3713" s="24" t="s">
        <v>64</v>
      </c>
      <c r="C3713" s="24" t="s">
        <v>123</v>
      </c>
      <c r="D3713" s="33" t="n">
        <v>223</v>
      </c>
      <c r="E3713" s="24" t="n">
        <v>0</v>
      </c>
      <c r="F3713" s="37" t="n">
        <f aca="false">DATE(YEAR(A3713),MONTH(A3713),1)</f>
        <v>46174</v>
      </c>
      <c r="G3713" s="24" t="str">
        <f aca="false">INDEX(Products!$C$2:$C$49,MATCH(C3713,Products!$A$2:$A$49,0))</f>
        <v>Grocery Staples</v>
      </c>
      <c r="H3713" s="33" t="n">
        <f aca="false">D3713*INDEX(Products!$E$2:$E$49,MATCH(C3713,Products!$A$2:$A$49,0))</f>
        <v>75820</v>
      </c>
      <c r="I3713" s="33" t="n">
        <f aca="false">D3713*INDEX(Products!$D$2:$D$49,MATCH(C3713,Products!$A$2:$A$49,0))*(1+INDEX(Assumptions!$B$16:$B$20,MATCH(B3713,Assumptions!$A$16:$A$20,0)))</f>
        <v>67820.544</v>
      </c>
      <c r="J3713" s="33" t="n">
        <f aca="false">H3713-I3713</f>
        <v>7999.45600000001</v>
      </c>
      <c r="K3713" s="33" t="n">
        <f aca="false">IF(OR(E3713=0,E3713&gt;=7),0,D3713/(7-E3713)*E3713*INDEX(Products!$E$2:$E$49,MATCH(C3713,Products!$A$2:$A$49,0)))</f>
        <v>0</v>
      </c>
    </row>
    <row r="3714" customFormat="false" ht="15" hidden="false" customHeight="false" outlineLevel="0" collapsed="false">
      <c r="A3714" s="36" t="n">
        <v>46202</v>
      </c>
      <c r="B3714" s="24" t="s">
        <v>64</v>
      </c>
      <c r="C3714" s="24" t="s">
        <v>123</v>
      </c>
      <c r="D3714" s="33" t="n">
        <v>215</v>
      </c>
      <c r="E3714" s="24" t="n">
        <v>0</v>
      </c>
      <c r="F3714" s="37" t="n">
        <f aca="false">DATE(YEAR(A3714),MONTH(A3714),1)</f>
        <v>46174</v>
      </c>
      <c r="G3714" s="24" t="str">
        <f aca="false">INDEX(Products!$C$2:$C$49,MATCH(C3714,Products!$A$2:$A$49,0))</f>
        <v>Grocery Staples</v>
      </c>
      <c r="H3714" s="33" t="n">
        <f aca="false">D3714*INDEX(Products!$E$2:$E$49,MATCH(C3714,Products!$A$2:$A$49,0))</f>
        <v>73100</v>
      </c>
      <c r="I3714" s="33" t="n">
        <f aca="false">D3714*INDEX(Products!$D$2:$D$49,MATCH(C3714,Products!$A$2:$A$49,0))*(1+INDEX(Assumptions!$B$16:$B$20,MATCH(B3714,Assumptions!$A$16:$A$20,0)))</f>
        <v>65387.52</v>
      </c>
      <c r="J3714" s="33" t="n">
        <f aca="false">H3714-I3714</f>
        <v>7712.48</v>
      </c>
      <c r="K3714" s="33" t="n">
        <f aca="false">IF(OR(E3714=0,E3714&gt;=7),0,D3714/(7-E3714)*E3714*INDEX(Products!$E$2:$E$49,MATCH(C3714,Products!$A$2:$A$49,0)))</f>
        <v>0</v>
      </c>
    </row>
    <row r="3715" customFormat="false" ht="15" hidden="false" customHeight="false" outlineLevel="0" collapsed="false">
      <c r="A3715" s="36" t="n">
        <v>46209</v>
      </c>
      <c r="B3715" s="24" t="s">
        <v>64</v>
      </c>
      <c r="C3715" s="24" t="s">
        <v>123</v>
      </c>
      <c r="D3715" s="33" t="n">
        <v>187</v>
      </c>
      <c r="E3715" s="24" t="n">
        <v>0</v>
      </c>
      <c r="F3715" s="37" t="n">
        <f aca="false">DATE(YEAR(A3715),MONTH(A3715),1)</f>
        <v>46204</v>
      </c>
      <c r="G3715" s="24" t="str">
        <f aca="false">INDEX(Products!$C$2:$C$49,MATCH(C3715,Products!$A$2:$A$49,0))</f>
        <v>Grocery Staples</v>
      </c>
      <c r="H3715" s="33" t="n">
        <f aca="false">D3715*INDEX(Products!$E$2:$E$49,MATCH(C3715,Products!$A$2:$A$49,0))</f>
        <v>63580</v>
      </c>
      <c r="I3715" s="33" t="n">
        <f aca="false">D3715*INDEX(Products!$D$2:$D$49,MATCH(C3715,Products!$A$2:$A$49,0))*(1+INDEX(Assumptions!$B$16:$B$20,MATCH(B3715,Assumptions!$A$16:$A$20,0)))</f>
        <v>56871.936</v>
      </c>
      <c r="J3715" s="33" t="n">
        <f aca="false">H3715-I3715</f>
        <v>6708.064</v>
      </c>
      <c r="K3715" s="33" t="n">
        <f aca="false">IF(OR(E3715=0,E3715&gt;=7),0,D3715/(7-E3715)*E3715*INDEX(Products!$E$2:$E$49,MATCH(C3715,Products!$A$2:$A$49,0)))</f>
        <v>0</v>
      </c>
    </row>
    <row r="3716" customFormat="false" ht="15" hidden="false" customHeight="false" outlineLevel="0" collapsed="false">
      <c r="A3716" s="36" t="n">
        <v>46216</v>
      </c>
      <c r="B3716" s="24" t="s">
        <v>64</v>
      </c>
      <c r="C3716" s="24" t="s">
        <v>123</v>
      </c>
      <c r="D3716" s="33" t="n">
        <v>196</v>
      </c>
      <c r="E3716" s="24" t="n">
        <v>0</v>
      </c>
      <c r="F3716" s="37" t="n">
        <f aca="false">DATE(YEAR(A3716),MONTH(A3716),1)</f>
        <v>46204</v>
      </c>
      <c r="G3716" s="24" t="str">
        <f aca="false">INDEX(Products!$C$2:$C$49,MATCH(C3716,Products!$A$2:$A$49,0))</f>
        <v>Grocery Staples</v>
      </c>
      <c r="H3716" s="33" t="n">
        <f aca="false">D3716*INDEX(Products!$E$2:$E$49,MATCH(C3716,Products!$A$2:$A$49,0))</f>
        <v>66640</v>
      </c>
      <c r="I3716" s="33" t="n">
        <f aca="false">D3716*INDEX(Products!$D$2:$D$49,MATCH(C3716,Products!$A$2:$A$49,0))*(1+INDEX(Assumptions!$B$16:$B$20,MATCH(B3716,Assumptions!$A$16:$A$20,0)))</f>
        <v>59609.088</v>
      </c>
      <c r="J3716" s="33" t="n">
        <f aca="false">H3716-I3716</f>
        <v>7030.912</v>
      </c>
      <c r="K3716" s="33" t="n">
        <f aca="false">IF(OR(E3716=0,E3716&gt;=7),0,D3716/(7-E3716)*E3716*INDEX(Products!$E$2:$E$49,MATCH(C3716,Products!$A$2:$A$49,0)))</f>
        <v>0</v>
      </c>
    </row>
    <row r="3717" customFormat="false" ht="15" hidden="false" customHeight="false" outlineLevel="0" collapsed="false">
      <c r="A3717" s="36" t="n">
        <v>46223</v>
      </c>
      <c r="B3717" s="24" t="s">
        <v>64</v>
      </c>
      <c r="C3717" s="24" t="s">
        <v>123</v>
      </c>
      <c r="D3717" s="33" t="n">
        <v>197</v>
      </c>
      <c r="E3717" s="24" t="n">
        <v>0</v>
      </c>
      <c r="F3717" s="37" t="n">
        <f aca="false">DATE(YEAR(A3717),MONTH(A3717),1)</f>
        <v>46204</v>
      </c>
      <c r="G3717" s="24" t="str">
        <f aca="false">INDEX(Products!$C$2:$C$49,MATCH(C3717,Products!$A$2:$A$49,0))</f>
        <v>Grocery Staples</v>
      </c>
      <c r="H3717" s="33" t="n">
        <f aca="false">D3717*INDEX(Products!$E$2:$E$49,MATCH(C3717,Products!$A$2:$A$49,0))</f>
        <v>66980</v>
      </c>
      <c r="I3717" s="33" t="n">
        <f aca="false">D3717*INDEX(Products!$D$2:$D$49,MATCH(C3717,Products!$A$2:$A$49,0))*(1+INDEX(Assumptions!$B$16:$B$20,MATCH(B3717,Assumptions!$A$16:$A$20,0)))</f>
        <v>59913.216</v>
      </c>
      <c r="J3717" s="33" t="n">
        <f aca="false">H3717-I3717</f>
        <v>7066.784</v>
      </c>
      <c r="K3717" s="33" t="n">
        <f aca="false">IF(OR(E3717=0,E3717&gt;=7),0,D3717/(7-E3717)*E3717*INDEX(Products!$E$2:$E$49,MATCH(C3717,Products!$A$2:$A$49,0)))</f>
        <v>0</v>
      </c>
    </row>
    <row r="3718" customFormat="false" ht="15" hidden="false" customHeight="false" outlineLevel="0" collapsed="false">
      <c r="A3718" s="36" t="n">
        <v>46230</v>
      </c>
      <c r="B3718" s="24" t="s">
        <v>64</v>
      </c>
      <c r="C3718" s="24" t="s">
        <v>123</v>
      </c>
      <c r="D3718" s="33" t="n">
        <v>210</v>
      </c>
      <c r="E3718" s="24" t="n">
        <v>0</v>
      </c>
      <c r="F3718" s="37" t="n">
        <f aca="false">DATE(YEAR(A3718),MONTH(A3718),1)</f>
        <v>46204</v>
      </c>
      <c r="G3718" s="24" t="str">
        <f aca="false">INDEX(Products!$C$2:$C$49,MATCH(C3718,Products!$A$2:$A$49,0))</f>
        <v>Grocery Staples</v>
      </c>
      <c r="H3718" s="33" t="n">
        <f aca="false">D3718*INDEX(Products!$E$2:$E$49,MATCH(C3718,Products!$A$2:$A$49,0))</f>
        <v>71400</v>
      </c>
      <c r="I3718" s="33" t="n">
        <f aca="false">D3718*INDEX(Products!$D$2:$D$49,MATCH(C3718,Products!$A$2:$A$49,0))*(1+INDEX(Assumptions!$B$16:$B$20,MATCH(B3718,Assumptions!$A$16:$A$20,0)))</f>
        <v>63866.88</v>
      </c>
      <c r="J3718" s="33" t="n">
        <f aca="false">H3718-I3718</f>
        <v>7533.12</v>
      </c>
      <c r="K3718" s="33" t="n">
        <f aca="false">IF(OR(E3718=0,E3718&gt;=7),0,D3718/(7-E3718)*E3718*INDEX(Products!$E$2:$E$49,MATCH(C3718,Products!$A$2:$A$49,0)))</f>
        <v>0</v>
      </c>
    </row>
    <row r="3719" customFormat="false" ht="15" hidden="false" customHeight="false" outlineLevel="0" collapsed="false">
      <c r="A3719" s="36" t="n">
        <v>46237</v>
      </c>
      <c r="B3719" s="24" t="s">
        <v>64</v>
      </c>
      <c r="C3719" s="24" t="s">
        <v>123</v>
      </c>
      <c r="D3719" s="33" t="n">
        <v>211</v>
      </c>
      <c r="E3719" s="24" t="n">
        <v>0</v>
      </c>
      <c r="F3719" s="37" t="n">
        <f aca="false">DATE(YEAR(A3719),MONTH(A3719),1)</f>
        <v>46235</v>
      </c>
      <c r="G3719" s="24" t="str">
        <f aca="false">INDEX(Products!$C$2:$C$49,MATCH(C3719,Products!$A$2:$A$49,0))</f>
        <v>Grocery Staples</v>
      </c>
      <c r="H3719" s="33" t="n">
        <f aca="false">D3719*INDEX(Products!$E$2:$E$49,MATCH(C3719,Products!$A$2:$A$49,0))</f>
        <v>71740</v>
      </c>
      <c r="I3719" s="33" t="n">
        <f aca="false">D3719*INDEX(Products!$D$2:$D$49,MATCH(C3719,Products!$A$2:$A$49,0))*(1+INDEX(Assumptions!$B$16:$B$20,MATCH(B3719,Assumptions!$A$16:$A$20,0)))</f>
        <v>64171.008</v>
      </c>
      <c r="J3719" s="33" t="n">
        <f aca="false">H3719-I3719</f>
        <v>7568.992</v>
      </c>
      <c r="K3719" s="33" t="n">
        <f aca="false">IF(OR(E3719=0,E3719&gt;=7),0,D3719/(7-E3719)*E3719*INDEX(Products!$E$2:$E$49,MATCH(C3719,Products!$A$2:$A$49,0)))</f>
        <v>0</v>
      </c>
    </row>
    <row r="3720" customFormat="false" ht="15" hidden="false" customHeight="false" outlineLevel="0" collapsed="false">
      <c r="A3720" s="36" t="n">
        <v>46244</v>
      </c>
      <c r="B3720" s="24" t="s">
        <v>64</v>
      </c>
      <c r="C3720" s="24" t="s">
        <v>123</v>
      </c>
      <c r="D3720" s="33" t="n">
        <v>195</v>
      </c>
      <c r="E3720" s="24" t="n">
        <v>0</v>
      </c>
      <c r="F3720" s="37" t="n">
        <f aca="false">DATE(YEAR(A3720),MONTH(A3720),1)</f>
        <v>46235</v>
      </c>
      <c r="G3720" s="24" t="str">
        <f aca="false">INDEX(Products!$C$2:$C$49,MATCH(C3720,Products!$A$2:$A$49,0))</f>
        <v>Grocery Staples</v>
      </c>
      <c r="H3720" s="33" t="n">
        <f aca="false">D3720*INDEX(Products!$E$2:$E$49,MATCH(C3720,Products!$A$2:$A$49,0))</f>
        <v>66300</v>
      </c>
      <c r="I3720" s="33" t="n">
        <f aca="false">D3720*INDEX(Products!$D$2:$D$49,MATCH(C3720,Products!$A$2:$A$49,0))*(1+INDEX(Assumptions!$B$16:$B$20,MATCH(B3720,Assumptions!$A$16:$A$20,0)))</f>
        <v>59304.96</v>
      </c>
      <c r="J3720" s="33" t="n">
        <f aca="false">H3720-I3720</f>
        <v>6995.04</v>
      </c>
      <c r="K3720" s="33" t="n">
        <f aca="false">IF(OR(E3720=0,E3720&gt;=7),0,D3720/(7-E3720)*E3720*INDEX(Products!$E$2:$E$49,MATCH(C3720,Products!$A$2:$A$49,0)))</f>
        <v>0</v>
      </c>
    </row>
    <row r="3721" customFormat="false" ht="15" hidden="false" customHeight="false" outlineLevel="0" collapsed="false">
      <c r="A3721" s="36" t="n">
        <v>46251</v>
      </c>
      <c r="B3721" s="24" t="s">
        <v>64</v>
      </c>
      <c r="C3721" s="24" t="s">
        <v>123</v>
      </c>
      <c r="D3721" s="33" t="n">
        <v>234</v>
      </c>
      <c r="E3721" s="24" t="n">
        <v>0</v>
      </c>
      <c r="F3721" s="37" t="n">
        <f aca="false">DATE(YEAR(A3721),MONTH(A3721),1)</f>
        <v>46235</v>
      </c>
      <c r="G3721" s="24" t="str">
        <f aca="false">INDEX(Products!$C$2:$C$49,MATCH(C3721,Products!$A$2:$A$49,0))</f>
        <v>Grocery Staples</v>
      </c>
      <c r="H3721" s="33" t="n">
        <f aca="false">D3721*INDEX(Products!$E$2:$E$49,MATCH(C3721,Products!$A$2:$A$49,0))</f>
        <v>79560</v>
      </c>
      <c r="I3721" s="33" t="n">
        <f aca="false">D3721*INDEX(Products!$D$2:$D$49,MATCH(C3721,Products!$A$2:$A$49,0))*(1+INDEX(Assumptions!$B$16:$B$20,MATCH(B3721,Assumptions!$A$16:$A$20,0)))</f>
        <v>71165.952</v>
      </c>
      <c r="J3721" s="33" t="n">
        <f aca="false">H3721-I3721</f>
        <v>8394.048</v>
      </c>
      <c r="K3721" s="33" t="n">
        <f aca="false">IF(OR(E3721=0,E3721&gt;=7),0,D3721/(7-E3721)*E3721*INDEX(Products!$E$2:$E$49,MATCH(C3721,Products!$A$2:$A$49,0)))</f>
        <v>0</v>
      </c>
    </row>
    <row r="3722" customFormat="false" ht="15" hidden="false" customHeight="false" outlineLevel="0" collapsed="false">
      <c r="A3722" s="36" t="n">
        <v>46258</v>
      </c>
      <c r="B3722" s="24" t="s">
        <v>64</v>
      </c>
      <c r="C3722" s="24" t="s">
        <v>123</v>
      </c>
      <c r="D3722" s="33" t="n">
        <v>242</v>
      </c>
      <c r="E3722" s="24" t="n">
        <v>0</v>
      </c>
      <c r="F3722" s="37" t="n">
        <f aca="false">DATE(YEAR(A3722),MONTH(A3722),1)</f>
        <v>46235</v>
      </c>
      <c r="G3722" s="24" t="str">
        <f aca="false">INDEX(Products!$C$2:$C$49,MATCH(C3722,Products!$A$2:$A$49,0))</f>
        <v>Grocery Staples</v>
      </c>
      <c r="H3722" s="33" t="n">
        <f aca="false">D3722*INDEX(Products!$E$2:$E$49,MATCH(C3722,Products!$A$2:$A$49,0))</f>
        <v>82280</v>
      </c>
      <c r="I3722" s="33" t="n">
        <f aca="false">D3722*INDEX(Products!$D$2:$D$49,MATCH(C3722,Products!$A$2:$A$49,0))*(1+INDEX(Assumptions!$B$16:$B$20,MATCH(B3722,Assumptions!$A$16:$A$20,0)))</f>
        <v>73598.976</v>
      </c>
      <c r="J3722" s="33" t="n">
        <f aca="false">H3722-I3722</f>
        <v>8681.02400000001</v>
      </c>
      <c r="K3722" s="33" t="n">
        <f aca="false">IF(OR(E3722=0,E3722&gt;=7),0,D3722/(7-E3722)*E3722*INDEX(Products!$E$2:$E$49,MATCH(C3722,Products!$A$2:$A$49,0)))</f>
        <v>0</v>
      </c>
    </row>
    <row r="3723" customFormat="false" ht="15" hidden="false" customHeight="false" outlineLevel="0" collapsed="false">
      <c r="A3723" s="36" t="n">
        <v>46265</v>
      </c>
      <c r="B3723" s="24" t="s">
        <v>64</v>
      </c>
      <c r="C3723" s="24" t="s">
        <v>123</v>
      </c>
      <c r="D3723" s="33" t="n">
        <v>246</v>
      </c>
      <c r="E3723" s="24" t="n">
        <v>0</v>
      </c>
      <c r="F3723" s="37" t="n">
        <f aca="false">DATE(YEAR(A3723),MONTH(A3723),1)</f>
        <v>46235</v>
      </c>
      <c r="G3723" s="24" t="str">
        <f aca="false">INDEX(Products!$C$2:$C$49,MATCH(C3723,Products!$A$2:$A$49,0))</f>
        <v>Grocery Staples</v>
      </c>
      <c r="H3723" s="33" t="n">
        <f aca="false">D3723*INDEX(Products!$E$2:$E$49,MATCH(C3723,Products!$A$2:$A$49,0))</f>
        <v>83640</v>
      </c>
      <c r="I3723" s="33" t="n">
        <f aca="false">D3723*INDEX(Products!$D$2:$D$49,MATCH(C3723,Products!$A$2:$A$49,0))*(1+INDEX(Assumptions!$B$16:$B$20,MATCH(B3723,Assumptions!$A$16:$A$20,0)))</f>
        <v>74815.488</v>
      </c>
      <c r="J3723" s="33" t="n">
        <f aca="false">H3723-I3723</f>
        <v>8824.512</v>
      </c>
      <c r="K3723" s="33" t="n">
        <f aca="false">IF(OR(E3723=0,E3723&gt;=7),0,D3723/(7-E3723)*E3723*INDEX(Products!$E$2:$E$49,MATCH(C3723,Products!$A$2:$A$49,0)))</f>
        <v>0</v>
      </c>
    </row>
    <row r="3724" customFormat="false" ht="15" hidden="false" customHeight="false" outlineLevel="0" collapsed="false">
      <c r="A3724" s="36" t="n">
        <v>46272</v>
      </c>
      <c r="B3724" s="24" t="s">
        <v>64</v>
      </c>
      <c r="C3724" s="24" t="s">
        <v>123</v>
      </c>
      <c r="D3724" s="33" t="n">
        <v>232</v>
      </c>
      <c r="E3724" s="24" t="n">
        <v>0</v>
      </c>
      <c r="F3724" s="37" t="n">
        <f aca="false">DATE(YEAR(A3724),MONTH(A3724),1)</f>
        <v>46266</v>
      </c>
      <c r="G3724" s="24" t="str">
        <f aca="false">INDEX(Products!$C$2:$C$49,MATCH(C3724,Products!$A$2:$A$49,0))</f>
        <v>Grocery Staples</v>
      </c>
      <c r="H3724" s="33" t="n">
        <f aca="false">D3724*INDEX(Products!$E$2:$E$49,MATCH(C3724,Products!$A$2:$A$49,0))</f>
        <v>78880</v>
      </c>
      <c r="I3724" s="33" t="n">
        <f aca="false">D3724*INDEX(Products!$D$2:$D$49,MATCH(C3724,Products!$A$2:$A$49,0))*(1+INDEX(Assumptions!$B$16:$B$20,MATCH(B3724,Assumptions!$A$16:$A$20,0)))</f>
        <v>70557.696</v>
      </c>
      <c r="J3724" s="33" t="n">
        <f aca="false">H3724-I3724</f>
        <v>8322.304</v>
      </c>
      <c r="K3724" s="33" t="n">
        <f aca="false">IF(OR(E3724=0,E3724&gt;=7),0,D3724/(7-E3724)*E3724*INDEX(Products!$E$2:$E$49,MATCH(C3724,Products!$A$2:$A$49,0)))</f>
        <v>0</v>
      </c>
    </row>
    <row r="3725" customFormat="false" ht="15" hidden="false" customHeight="false" outlineLevel="0" collapsed="false">
      <c r="A3725" s="36" t="n">
        <v>46279</v>
      </c>
      <c r="B3725" s="24" t="s">
        <v>64</v>
      </c>
      <c r="C3725" s="24" t="s">
        <v>123</v>
      </c>
      <c r="D3725" s="33" t="n">
        <v>265</v>
      </c>
      <c r="E3725" s="24" t="n">
        <v>0</v>
      </c>
      <c r="F3725" s="37" t="n">
        <f aca="false">DATE(YEAR(A3725),MONTH(A3725),1)</f>
        <v>46266</v>
      </c>
      <c r="G3725" s="24" t="str">
        <f aca="false">INDEX(Products!$C$2:$C$49,MATCH(C3725,Products!$A$2:$A$49,0))</f>
        <v>Grocery Staples</v>
      </c>
      <c r="H3725" s="33" t="n">
        <f aca="false">D3725*INDEX(Products!$E$2:$E$49,MATCH(C3725,Products!$A$2:$A$49,0))</f>
        <v>90100</v>
      </c>
      <c r="I3725" s="33" t="n">
        <f aca="false">D3725*INDEX(Products!$D$2:$D$49,MATCH(C3725,Products!$A$2:$A$49,0))*(1+INDEX(Assumptions!$B$16:$B$20,MATCH(B3725,Assumptions!$A$16:$A$20,0)))</f>
        <v>80593.92</v>
      </c>
      <c r="J3725" s="33" t="n">
        <f aca="false">H3725-I3725</f>
        <v>9506.08</v>
      </c>
      <c r="K3725" s="33" t="n">
        <f aca="false">IF(OR(E3725=0,E3725&gt;=7),0,D3725/(7-E3725)*E3725*INDEX(Products!$E$2:$E$49,MATCH(C3725,Products!$A$2:$A$49,0)))</f>
        <v>0</v>
      </c>
    </row>
    <row r="3726" customFormat="false" ht="15" hidden="false" customHeight="false" outlineLevel="0" collapsed="false">
      <c r="A3726" s="36" t="n">
        <v>46286</v>
      </c>
      <c r="B3726" s="24" t="s">
        <v>64</v>
      </c>
      <c r="C3726" s="24" t="s">
        <v>123</v>
      </c>
      <c r="D3726" s="33" t="n">
        <v>289</v>
      </c>
      <c r="E3726" s="24" t="n">
        <v>0</v>
      </c>
      <c r="F3726" s="37" t="n">
        <f aca="false">DATE(YEAR(A3726),MONTH(A3726),1)</f>
        <v>46266</v>
      </c>
      <c r="G3726" s="24" t="str">
        <f aca="false">INDEX(Products!$C$2:$C$49,MATCH(C3726,Products!$A$2:$A$49,0))</f>
        <v>Grocery Staples</v>
      </c>
      <c r="H3726" s="33" t="n">
        <f aca="false">D3726*INDEX(Products!$E$2:$E$49,MATCH(C3726,Products!$A$2:$A$49,0))</f>
        <v>98260</v>
      </c>
      <c r="I3726" s="33" t="n">
        <f aca="false">D3726*INDEX(Products!$D$2:$D$49,MATCH(C3726,Products!$A$2:$A$49,0))*(1+INDEX(Assumptions!$B$16:$B$20,MATCH(B3726,Assumptions!$A$16:$A$20,0)))</f>
        <v>87892.992</v>
      </c>
      <c r="J3726" s="33" t="n">
        <f aca="false">H3726-I3726</f>
        <v>10367.008</v>
      </c>
      <c r="K3726" s="33" t="n">
        <f aca="false">IF(OR(E3726=0,E3726&gt;=7),0,D3726/(7-E3726)*E3726*INDEX(Products!$E$2:$E$49,MATCH(C3726,Products!$A$2:$A$49,0)))</f>
        <v>0</v>
      </c>
    </row>
    <row r="3727" customFormat="false" ht="15" hidden="false" customHeight="false" outlineLevel="0" collapsed="false">
      <c r="A3727" s="36" t="n">
        <v>46118</v>
      </c>
      <c r="B3727" s="24" t="s">
        <v>64</v>
      </c>
      <c r="C3727" s="24" t="s">
        <v>125</v>
      </c>
      <c r="D3727" s="33" t="n">
        <v>41</v>
      </c>
      <c r="E3727" s="24" t="n">
        <v>0</v>
      </c>
      <c r="F3727" s="37" t="n">
        <f aca="false">DATE(YEAR(A3727),MONTH(A3727),1)</f>
        <v>46113</v>
      </c>
      <c r="G3727" s="24" t="str">
        <f aca="false">INDEX(Products!$C$2:$C$49,MATCH(C3727,Products!$A$2:$A$49,0))</f>
        <v>Grocery Staples</v>
      </c>
      <c r="H3727" s="33" t="n">
        <f aca="false">D3727*INDEX(Products!$E$2:$E$49,MATCH(C3727,Products!$A$2:$A$49,0))</f>
        <v>1845</v>
      </c>
      <c r="I3727" s="33" t="n">
        <f aca="false">D3727*INDEX(Products!$D$2:$D$49,MATCH(C3727,Products!$A$2:$A$49,0))*(1+INDEX(Assumptions!$B$16:$B$20,MATCH(B3727,Assumptions!$A$16:$A$20,0)))</f>
        <v>1679.36</v>
      </c>
      <c r="J3727" s="33" t="n">
        <f aca="false">H3727-I3727</f>
        <v>165.64</v>
      </c>
      <c r="K3727" s="33" t="n">
        <f aca="false">IF(OR(E3727=0,E3727&gt;=7),0,D3727/(7-E3727)*E3727*INDEX(Products!$E$2:$E$49,MATCH(C3727,Products!$A$2:$A$49,0)))</f>
        <v>0</v>
      </c>
    </row>
    <row r="3728" customFormat="false" ht="15" hidden="false" customHeight="false" outlineLevel="0" collapsed="false">
      <c r="A3728" s="36" t="n">
        <v>46125</v>
      </c>
      <c r="B3728" s="24" t="s">
        <v>64</v>
      </c>
      <c r="C3728" s="24" t="s">
        <v>125</v>
      </c>
      <c r="D3728" s="33" t="n">
        <v>47</v>
      </c>
      <c r="E3728" s="24" t="n">
        <v>0</v>
      </c>
      <c r="F3728" s="37" t="n">
        <f aca="false">DATE(YEAR(A3728),MONTH(A3728),1)</f>
        <v>46113</v>
      </c>
      <c r="G3728" s="24" t="str">
        <f aca="false">INDEX(Products!$C$2:$C$49,MATCH(C3728,Products!$A$2:$A$49,0))</f>
        <v>Grocery Staples</v>
      </c>
      <c r="H3728" s="33" t="n">
        <f aca="false">D3728*INDEX(Products!$E$2:$E$49,MATCH(C3728,Products!$A$2:$A$49,0))</f>
        <v>2115</v>
      </c>
      <c r="I3728" s="33" t="n">
        <f aca="false">D3728*INDEX(Products!$D$2:$D$49,MATCH(C3728,Products!$A$2:$A$49,0))*(1+INDEX(Assumptions!$B$16:$B$20,MATCH(B3728,Assumptions!$A$16:$A$20,0)))</f>
        <v>1925.12</v>
      </c>
      <c r="J3728" s="33" t="n">
        <f aca="false">H3728-I3728</f>
        <v>189.88</v>
      </c>
      <c r="K3728" s="33" t="n">
        <f aca="false">IF(OR(E3728=0,E3728&gt;=7),0,D3728/(7-E3728)*E3728*INDEX(Products!$E$2:$E$49,MATCH(C3728,Products!$A$2:$A$49,0)))</f>
        <v>0</v>
      </c>
    </row>
    <row r="3729" customFormat="false" ht="15" hidden="false" customHeight="false" outlineLevel="0" collapsed="false">
      <c r="A3729" s="36" t="n">
        <v>46132</v>
      </c>
      <c r="B3729" s="24" t="s">
        <v>64</v>
      </c>
      <c r="C3729" s="24" t="s">
        <v>125</v>
      </c>
      <c r="D3729" s="33" t="n">
        <v>51</v>
      </c>
      <c r="E3729" s="24" t="n">
        <v>0</v>
      </c>
      <c r="F3729" s="37" t="n">
        <f aca="false">DATE(YEAR(A3729),MONTH(A3729),1)</f>
        <v>46113</v>
      </c>
      <c r="G3729" s="24" t="str">
        <f aca="false">INDEX(Products!$C$2:$C$49,MATCH(C3729,Products!$A$2:$A$49,0))</f>
        <v>Grocery Staples</v>
      </c>
      <c r="H3729" s="33" t="n">
        <f aca="false">D3729*INDEX(Products!$E$2:$E$49,MATCH(C3729,Products!$A$2:$A$49,0))</f>
        <v>2295</v>
      </c>
      <c r="I3729" s="33" t="n">
        <f aca="false">D3729*INDEX(Products!$D$2:$D$49,MATCH(C3729,Products!$A$2:$A$49,0))*(1+INDEX(Assumptions!$B$16:$B$20,MATCH(B3729,Assumptions!$A$16:$A$20,0)))</f>
        <v>2088.96</v>
      </c>
      <c r="J3729" s="33" t="n">
        <f aca="false">H3729-I3729</f>
        <v>206.04</v>
      </c>
      <c r="K3729" s="33" t="n">
        <f aca="false">IF(OR(E3729=0,E3729&gt;=7),0,D3729/(7-E3729)*E3729*INDEX(Products!$E$2:$E$49,MATCH(C3729,Products!$A$2:$A$49,0)))</f>
        <v>0</v>
      </c>
    </row>
    <row r="3730" customFormat="false" ht="15" hidden="false" customHeight="false" outlineLevel="0" collapsed="false">
      <c r="A3730" s="36" t="n">
        <v>46139</v>
      </c>
      <c r="B3730" s="24" t="s">
        <v>64</v>
      </c>
      <c r="C3730" s="24" t="s">
        <v>125</v>
      </c>
      <c r="D3730" s="33" t="n">
        <v>41</v>
      </c>
      <c r="E3730" s="24" t="n">
        <v>0</v>
      </c>
      <c r="F3730" s="37" t="n">
        <f aca="false">DATE(YEAR(A3730),MONTH(A3730),1)</f>
        <v>46113</v>
      </c>
      <c r="G3730" s="24" t="str">
        <f aca="false">INDEX(Products!$C$2:$C$49,MATCH(C3730,Products!$A$2:$A$49,0))</f>
        <v>Grocery Staples</v>
      </c>
      <c r="H3730" s="33" t="n">
        <f aca="false">D3730*INDEX(Products!$E$2:$E$49,MATCH(C3730,Products!$A$2:$A$49,0))</f>
        <v>1845</v>
      </c>
      <c r="I3730" s="33" t="n">
        <f aca="false">D3730*INDEX(Products!$D$2:$D$49,MATCH(C3730,Products!$A$2:$A$49,0))*(1+INDEX(Assumptions!$B$16:$B$20,MATCH(B3730,Assumptions!$A$16:$A$20,0)))</f>
        <v>1679.36</v>
      </c>
      <c r="J3730" s="33" t="n">
        <f aca="false">H3730-I3730</f>
        <v>165.64</v>
      </c>
      <c r="K3730" s="33" t="n">
        <f aca="false">IF(OR(E3730=0,E3730&gt;=7),0,D3730/(7-E3730)*E3730*INDEX(Products!$E$2:$E$49,MATCH(C3730,Products!$A$2:$A$49,0)))</f>
        <v>0</v>
      </c>
    </row>
    <row r="3731" customFormat="false" ht="15" hidden="false" customHeight="false" outlineLevel="0" collapsed="false">
      <c r="A3731" s="36" t="n">
        <v>46146</v>
      </c>
      <c r="B3731" s="24" t="s">
        <v>64</v>
      </c>
      <c r="C3731" s="24" t="s">
        <v>125</v>
      </c>
      <c r="D3731" s="33" t="n">
        <v>39</v>
      </c>
      <c r="E3731" s="24" t="n">
        <v>0</v>
      </c>
      <c r="F3731" s="37" t="n">
        <f aca="false">DATE(YEAR(A3731),MONTH(A3731),1)</f>
        <v>46143</v>
      </c>
      <c r="G3731" s="24" t="str">
        <f aca="false">INDEX(Products!$C$2:$C$49,MATCH(C3731,Products!$A$2:$A$49,0))</f>
        <v>Grocery Staples</v>
      </c>
      <c r="H3731" s="33" t="n">
        <f aca="false">D3731*INDEX(Products!$E$2:$E$49,MATCH(C3731,Products!$A$2:$A$49,0))</f>
        <v>1755</v>
      </c>
      <c r="I3731" s="33" t="n">
        <f aca="false">D3731*INDEX(Products!$D$2:$D$49,MATCH(C3731,Products!$A$2:$A$49,0))*(1+INDEX(Assumptions!$B$16:$B$20,MATCH(B3731,Assumptions!$A$16:$A$20,0)))</f>
        <v>1597.44</v>
      </c>
      <c r="J3731" s="33" t="n">
        <f aca="false">H3731-I3731</f>
        <v>157.56</v>
      </c>
      <c r="K3731" s="33" t="n">
        <f aca="false">IF(OR(E3731=0,E3731&gt;=7),0,D3731/(7-E3731)*E3731*INDEX(Products!$E$2:$E$49,MATCH(C3731,Products!$A$2:$A$49,0)))</f>
        <v>0</v>
      </c>
    </row>
    <row r="3732" customFormat="false" ht="15" hidden="false" customHeight="false" outlineLevel="0" collapsed="false">
      <c r="A3732" s="36" t="n">
        <v>46153</v>
      </c>
      <c r="B3732" s="24" t="s">
        <v>64</v>
      </c>
      <c r="C3732" s="24" t="s">
        <v>125</v>
      </c>
      <c r="D3732" s="33" t="n">
        <v>37</v>
      </c>
      <c r="E3732" s="24" t="n">
        <v>0</v>
      </c>
      <c r="F3732" s="37" t="n">
        <f aca="false">DATE(YEAR(A3732),MONTH(A3732),1)</f>
        <v>46143</v>
      </c>
      <c r="G3732" s="24" t="str">
        <f aca="false">INDEX(Products!$C$2:$C$49,MATCH(C3732,Products!$A$2:$A$49,0))</f>
        <v>Grocery Staples</v>
      </c>
      <c r="H3732" s="33" t="n">
        <f aca="false">D3732*INDEX(Products!$E$2:$E$49,MATCH(C3732,Products!$A$2:$A$49,0))</f>
        <v>1665</v>
      </c>
      <c r="I3732" s="33" t="n">
        <f aca="false">D3732*INDEX(Products!$D$2:$D$49,MATCH(C3732,Products!$A$2:$A$49,0))*(1+INDEX(Assumptions!$B$16:$B$20,MATCH(B3732,Assumptions!$A$16:$A$20,0)))</f>
        <v>1515.52</v>
      </c>
      <c r="J3732" s="33" t="n">
        <f aca="false">H3732-I3732</f>
        <v>149.48</v>
      </c>
      <c r="K3732" s="33" t="n">
        <f aca="false">IF(OR(E3732=0,E3732&gt;=7),0,D3732/(7-E3732)*E3732*INDEX(Products!$E$2:$E$49,MATCH(C3732,Products!$A$2:$A$49,0)))</f>
        <v>0</v>
      </c>
    </row>
    <row r="3733" customFormat="false" ht="15" hidden="false" customHeight="false" outlineLevel="0" collapsed="false">
      <c r="A3733" s="36" t="n">
        <v>46160</v>
      </c>
      <c r="B3733" s="24" t="s">
        <v>64</v>
      </c>
      <c r="C3733" s="24" t="s">
        <v>125</v>
      </c>
      <c r="D3733" s="33" t="n">
        <v>41</v>
      </c>
      <c r="E3733" s="24" t="n">
        <v>0</v>
      </c>
      <c r="F3733" s="37" t="n">
        <f aca="false">DATE(YEAR(A3733),MONTH(A3733),1)</f>
        <v>46143</v>
      </c>
      <c r="G3733" s="24" t="str">
        <f aca="false">INDEX(Products!$C$2:$C$49,MATCH(C3733,Products!$A$2:$A$49,0))</f>
        <v>Grocery Staples</v>
      </c>
      <c r="H3733" s="33" t="n">
        <f aca="false">D3733*INDEX(Products!$E$2:$E$49,MATCH(C3733,Products!$A$2:$A$49,0))</f>
        <v>1845</v>
      </c>
      <c r="I3733" s="33" t="n">
        <f aca="false">D3733*INDEX(Products!$D$2:$D$49,MATCH(C3733,Products!$A$2:$A$49,0))*(1+INDEX(Assumptions!$B$16:$B$20,MATCH(B3733,Assumptions!$A$16:$A$20,0)))</f>
        <v>1679.36</v>
      </c>
      <c r="J3733" s="33" t="n">
        <f aca="false">H3733-I3733</f>
        <v>165.64</v>
      </c>
      <c r="K3733" s="33" t="n">
        <f aca="false">IF(OR(E3733=0,E3733&gt;=7),0,D3733/(7-E3733)*E3733*INDEX(Products!$E$2:$E$49,MATCH(C3733,Products!$A$2:$A$49,0)))</f>
        <v>0</v>
      </c>
    </row>
    <row r="3734" customFormat="false" ht="15" hidden="false" customHeight="false" outlineLevel="0" collapsed="false">
      <c r="A3734" s="36" t="n">
        <v>46167</v>
      </c>
      <c r="B3734" s="24" t="s">
        <v>64</v>
      </c>
      <c r="C3734" s="24" t="s">
        <v>125</v>
      </c>
      <c r="D3734" s="33" t="n">
        <v>41</v>
      </c>
      <c r="E3734" s="24" t="n">
        <v>0</v>
      </c>
      <c r="F3734" s="37" t="n">
        <f aca="false">DATE(YEAR(A3734),MONTH(A3734),1)</f>
        <v>46143</v>
      </c>
      <c r="G3734" s="24" t="str">
        <f aca="false">INDEX(Products!$C$2:$C$49,MATCH(C3734,Products!$A$2:$A$49,0))</f>
        <v>Grocery Staples</v>
      </c>
      <c r="H3734" s="33" t="n">
        <f aca="false">D3734*INDEX(Products!$E$2:$E$49,MATCH(C3734,Products!$A$2:$A$49,0))</f>
        <v>1845</v>
      </c>
      <c r="I3734" s="33" t="n">
        <f aca="false">D3734*INDEX(Products!$D$2:$D$49,MATCH(C3734,Products!$A$2:$A$49,0))*(1+INDEX(Assumptions!$B$16:$B$20,MATCH(B3734,Assumptions!$A$16:$A$20,0)))</f>
        <v>1679.36</v>
      </c>
      <c r="J3734" s="33" t="n">
        <f aca="false">H3734-I3734</f>
        <v>165.64</v>
      </c>
      <c r="K3734" s="33" t="n">
        <f aca="false">IF(OR(E3734=0,E3734&gt;=7),0,D3734/(7-E3734)*E3734*INDEX(Products!$E$2:$E$49,MATCH(C3734,Products!$A$2:$A$49,0)))</f>
        <v>0</v>
      </c>
    </row>
    <row r="3735" customFormat="false" ht="15" hidden="false" customHeight="false" outlineLevel="0" collapsed="false">
      <c r="A3735" s="36" t="n">
        <v>46174</v>
      </c>
      <c r="B3735" s="24" t="s">
        <v>64</v>
      </c>
      <c r="C3735" s="24" t="s">
        <v>125</v>
      </c>
      <c r="D3735" s="33" t="n">
        <v>61</v>
      </c>
      <c r="E3735" s="24" t="n">
        <v>0</v>
      </c>
      <c r="F3735" s="37" t="n">
        <f aca="false">DATE(YEAR(A3735),MONTH(A3735),1)</f>
        <v>46174</v>
      </c>
      <c r="G3735" s="24" t="str">
        <f aca="false">INDEX(Products!$C$2:$C$49,MATCH(C3735,Products!$A$2:$A$49,0))</f>
        <v>Grocery Staples</v>
      </c>
      <c r="H3735" s="33" t="n">
        <f aca="false">D3735*INDEX(Products!$E$2:$E$49,MATCH(C3735,Products!$A$2:$A$49,0))</f>
        <v>2745</v>
      </c>
      <c r="I3735" s="33" t="n">
        <f aca="false">D3735*INDEX(Products!$D$2:$D$49,MATCH(C3735,Products!$A$2:$A$49,0))*(1+INDEX(Assumptions!$B$16:$B$20,MATCH(B3735,Assumptions!$A$16:$A$20,0)))</f>
        <v>2498.56</v>
      </c>
      <c r="J3735" s="33" t="n">
        <f aca="false">H3735-I3735</f>
        <v>246.44</v>
      </c>
      <c r="K3735" s="33" t="n">
        <f aca="false">IF(OR(E3735=0,E3735&gt;=7),0,D3735/(7-E3735)*E3735*INDEX(Products!$E$2:$E$49,MATCH(C3735,Products!$A$2:$A$49,0)))</f>
        <v>0</v>
      </c>
    </row>
    <row r="3736" customFormat="false" ht="15" hidden="false" customHeight="false" outlineLevel="0" collapsed="false">
      <c r="A3736" s="36" t="n">
        <v>46181</v>
      </c>
      <c r="B3736" s="24" t="s">
        <v>64</v>
      </c>
      <c r="C3736" s="24" t="s">
        <v>125</v>
      </c>
      <c r="D3736" s="33" t="n">
        <v>29</v>
      </c>
      <c r="E3736" s="24" t="n">
        <v>0</v>
      </c>
      <c r="F3736" s="37" t="n">
        <f aca="false">DATE(YEAR(A3736),MONTH(A3736),1)</f>
        <v>46174</v>
      </c>
      <c r="G3736" s="24" t="str">
        <f aca="false">INDEX(Products!$C$2:$C$49,MATCH(C3736,Products!$A$2:$A$49,0))</f>
        <v>Grocery Staples</v>
      </c>
      <c r="H3736" s="33" t="n">
        <f aca="false">D3736*INDEX(Products!$E$2:$E$49,MATCH(C3736,Products!$A$2:$A$49,0))</f>
        <v>1305</v>
      </c>
      <c r="I3736" s="33" t="n">
        <f aca="false">D3736*INDEX(Products!$D$2:$D$49,MATCH(C3736,Products!$A$2:$A$49,0))*(1+INDEX(Assumptions!$B$16:$B$20,MATCH(B3736,Assumptions!$A$16:$A$20,0)))</f>
        <v>1187.84</v>
      </c>
      <c r="J3736" s="33" t="n">
        <f aca="false">H3736-I3736</f>
        <v>117.16</v>
      </c>
      <c r="K3736" s="33" t="n">
        <f aca="false">IF(OR(E3736=0,E3736&gt;=7),0,D3736/(7-E3736)*E3736*INDEX(Products!$E$2:$E$49,MATCH(C3736,Products!$A$2:$A$49,0)))</f>
        <v>0</v>
      </c>
    </row>
    <row r="3737" customFormat="false" ht="15" hidden="false" customHeight="false" outlineLevel="0" collapsed="false">
      <c r="A3737" s="36" t="n">
        <v>46188</v>
      </c>
      <c r="B3737" s="24" t="s">
        <v>64</v>
      </c>
      <c r="C3737" s="24" t="s">
        <v>125</v>
      </c>
      <c r="D3737" s="33" t="n">
        <v>32</v>
      </c>
      <c r="E3737" s="24" t="n">
        <v>0</v>
      </c>
      <c r="F3737" s="37" t="n">
        <f aca="false">DATE(YEAR(A3737),MONTH(A3737),1)</f>
        <v>46174</v>
      </c>
      <c r="G3737" s="24" t="str">
        <f aca="false">INDEX(Products!$C$2:$C$49,MATCH(C3737,Products!$A$2:$A$49,0))</f>
        <v>Grocery Staples</v>
      </c>
      <c r="H3737" s="33" t="n">
        <f aca="false">D3737*INDEX(Products!$E$2:$E$49,MATCH(C3737,Products!$A$2:$A$49,0))</f>
        <v>1440</v>
      </c>
      <c r="I3737" s="33" t="n">
        <f aca="false">D3737*INDEX(Products!$D$2:$D$49,MATCH(C3737,Products!$A$2:$A$49,0))*(1+INDEX(Assumptions!$B$16:$B$20,MATCH(B3737,Assumptions!$A$16:$A$20,0)))</f>
        <v>1310.72</v>
      </c>
      <c r="J3737" s="33" t="n">
        <f aca="false">H3737-I3737</f>
        <v>129.28</v>
      </c>
      <c r="K3737" s="33" t="n">
        <f aca="false">IF(OR(E3737=0,E3737&gt;=7),0,D3737/(7-E3737)*E3737*INDEX(Products!$E$2:$E$49,MATCH(C3737,Products!$A$2:$A$49,0)))</f>
        <v>0</v>
      </c>
    </row>
    <row r="3738" customFormat="false" ht="15" hidden="false" customHeight="false" outlineLevel="0" collapsed="false">
      <c r="A3738" s="36" t="n">
        <v>46195</v>
      </c>
      <c r="B3738" s="24" t="s">
        <v>64</v>
      </c>
      <c r="C3738" s="24" t="s">
        <v>125</v>
      </c>
      <c r="D3738" s="33" t="n">
        <v>40</v>
      </c>
      <c r="E3738" s="24" t="n">
        <v>0</v>
      </c>
      <c r="F3738" s="37" t="n">
        <f aca="false">DATE(YEAR(A3738),MONTH(A3738),1)</f>
        <v>46174</v>
      </c>
      <c r="G3738" s="24" t="str">
        <f aca="false">INDEX(Products!$C$2:$C$49,MATCH(C3738,Products!$A$2:$A$49,0))</f>
        <v>Grocery Staples</v>
      </c>
      <c r="H3738" s="33" t="n">
        <f aca="false">D3738*INDEX(Products!$E$2:$E$49,MATCH(C3738,Products!$A$2:$A$49,0))</f>
        <v>1800</v>
      </c>
      <c r="I3738" s="33" t="n">
        <f aca="false">D3738*INDEX(Products!$D$2:$D$49,MATCH(C3738,Products!$A$2:$A$49,0))*(1+INDEX(Assumptions!$B$16:$B$20,MATCH(B3738,Assumptions!$A$16:$A$20,0)))</f>
        <v>1638.4</v>
      </c>
      <c r="J3738" s="33" t="n">
        <f aca="false">H3738-I3738</f>
        <v>161.6</v>
      </c>
      <c r="K3738" s="33" t="n">
        <f aca="false">IF(OR(E3738=0,E3738&gt;=7),0,D3738/(7-E3738)*E3738*INDEX(Products!$E$2:$E$49,MATCH(C3738,Products!$A$2:$A$49,0)))</f>
        <v>0</v>
      </c>
    </row>
    <row r="3739" customFormat="false" ht="15" hidden="false" customHeight="false" outlineLevel="0" collapsed="false">
      <c r="A3739" s="36" t="n">
        <v>46202</v>
      </c>
      <c r="B3739" s="24" t="s">
        <v>64</v>
      </c>
      <c r="C3739" s="24" t="s">
        <v>125</v>
      </c>
      <c r="D3739" s="33" t="n">
        <v>38</v>
      </c>
      <c r="E3739" s="24" t="n">
        <v>0</v>
      </c>
      <c r="F3739" s="37" t="n">
        <f aca="false">DATE(YEAR(A3739),MONTH(A3739),1)</f>
        <v>46174</v>
      </c>
      <c r="G3739" s="24" t="str">
        <f aca="false">INDEX(Products!$C$2:$C$49,MATCH(C3739,Products!$A$2:$A$49,0))</f>
        <v>Grocery Staples</v>
      </c>
      <c r="H3739" s="33" t="n">
        <f aca="false">D3739*INDEX(Products!$E$2:$E$49,MATCH(C3739,Products!$A$2:$A$49,0))</f>
        <v>1710</v>
      </c>
      <c r="I3739" s="33" t="n">
        <f aca="false">D3739*INDEX(Products!$D$2:$D$49,MATCH(C3739,Products!$A$2:$A$49,0))*(1+INDEX(Assumptions!$B$16:$B$20,MATCH(B3739,Assumptions!$A$16:$A$20,0)))</f>
        <v>1556.48</v>
      </c>
      <c r="J3739" s="33" t="n">
        <f aca="false">H3739-I3739</f>
        <v>153.52</v>
      </c>
      <c r="K3739" s="33" t="n">
        <f aca="false">IF(OR(E3739=0,E3739&gt;=7),0,D3739/(7-E3739)*E3739*INDEX(Products!$E$2:$E$49,MATCH(C3739,Products!$A$2:$A$49,0)))</f>
        <v>0</v>
      </c>
    </row>
    <row r="3740" customFormat="false" ht="15" hidden="false" customHeight="false" outlineLevel="0" collapsed="false">
      <c r="A3740" s="36" t="n">
        <v>46209</v>
      </c>
      <c r="B3740" s="24" t="s">
        <v>64</v>
      </c>
      <c r="C3740" s="24" t="s">
        <v>125</v>
      </c>
      <c r="D3740" s="33" t="n">
        <v>33</v>
      </c>
      <c r="E3740" s="24" t="n">
        <v>0</v>
      </c>
      <c r="F3740" s="37" t="n">
        <f aca="false">DATE(YEAR(A3740),MONTH(A3740),1)</f>
        <v>46204</v>
      </c>
      <c r="G3740" s="24" t="str">
        <f aca="false">INDEX(Products!$C$2:$C$49,MATCH(C3740,Products!$A$2:$A$49,0))</f>
        <v>Grocery Staples</v>
      </c>
      <c r="H3740" s="33" t="n">
        <f aca="false">D3740*INDEX(Products!$E$2:$E$49,MATCH(C3740,Products!$A$2:$A$49,0))</f>
        <v>1485</v>
      </c>
      <c r="I3740" s="33" t="n">
        <f aca="false">D3740*INDEX(Products!$D$2:$D$49,MATCH(C3740,Products!$A$2:$A$49,0))*(1+INDEX(Assumptions!$B$16:$B$20,MATCH(B3740,Assumptions!$A$16:$A$20,0)))</f>
        <v>1351.68</v>
      </c>
      <c r="J3740" s="33" t="n">
        <f aca="false">H3740-I3740</f>
        <v>133.32</v>
      </c>
      <c r="K3740" s="33" t="n">
        <f aca="false">IF(OR(E3740=0,E3740&gt;=7),0,D3740/(7-E3740)*E3740*INDEX(Products!$E$2:$E$49,MATCH(C3740,Products!$A$2:$A$49,0)))</f>
        <v>0</v>
      </c>
    </row>
    <row r="3741" customFormat="false" ht="15" hidden="false" customHeight="false" outlineLevel="0" collapsed="false">
      <c r="A3741" s="36" t="n">
        <v>46216</v>
      </c>
      <c r="B3741" s="24" t="s">
        <v>64</v>
      </c>
      <c r="C3741" s="24" t="s">
        <v>125</v>
      </c>
      <c r="D3741" s="33" t="n">
        <v>35</v>
      </c>
      <c r="E3741" s="24" t="n">
        <v>0</v>
      </c>
      <c r="F3741" s="37" t="n">
        <f aca="false">DATE(YEAR(A3741),MONTH(A3741),1)</f>
        <v>46204</v>
      </c>
      <c r="G3741" s="24" t="str">
        <f aca="false">INDEX(Products!$C$2:$C$49,MATCH(C3741,Products!$A$2:$A$49,0))</f>
        <v>Grocery Staples</v>
      </c>
      <c r="H3741" s="33" t="n">
        <f aca="false">D3741*INDEX(Products!$E$2:$E$49,MATCH(C3741,Products!$A$2:$A$49,0))</f>
        <v>1575</v>
      </c>
      <c r="I3741" s="33" t="n">
        <f aca="false">D3741*INDEX(Products!$D$2:$D$49,MATCH(C3741,Products!$A$2:$A$49,0))*(1+INDEX(Assumptions!$B$16:$B$20,MATCH(B3741,Assumptions!$A$16:$A$20,0)))</f>
        <v>1433.6</v>
      </c>
      <c r="J3741" s="33" t="n">
        <f aca="false">H3741-I3741</f>
        <v>141.4</v>
      </c>
      <c r="K3741" s="33" t="n">
        <f aca="false">IF(OR(E3741=0,E3741&gt;=7),0,D3741/(7-E3741)*E3741*INDEX(Products!$E$2:$E$49,MATCH(C3741,Products!$A$2:$A$49,0)))</f>
        <v>0</v>
      </c>
    </row>
    <row r="3742" customFormat="false" ht="15" hidden="false" customHeight="false" outlineLevel="0" collapsed="false">
      <c r="A3742" s="36" t="n">
        <v>46223</v>
      </c>
      <c r="B3742" s="24" t="s">
        <v>64</v>
      </c>
      <c r="C3742" s="24" t="s">
        <v>125</v>
      </c>
      <c r="D3742" s="33" t="n">
        <v>36</v>
      </c>
      <c r="E3742" s="24" t="n">
        <v>0</v>
      </c>
      <c r="F3742" s="37" t="n">
        <f aca="false">DATE(YEAR(A3742),MONTH(A3742),1)</f>
        <v>46204</v>
      </c>
      <c r="G3742" s="24" t="str">
        <f aca="false">INDEX(Products!$C$2:$C$49,MATCH(C3742,Products!$A$2:$A$49,0))</f>
        <v>Grocery Staples</v>
      </c>
      <c r="H3742" s="33" t="n">
        <f aca="false">D3742*INDEX(Products!$E$2:$E$49,MATCH(C3742,Products!$A$2:$A$49,0))</f>
        <v>1620</v>
      </c>
      <c r="I3742" s="33" t="n">
        <f aca="false">D3742*INDEX(Products!$D$2:$D$49,MATCH(C3742,Products!$A$2:$A$49,0))*(1+INDEX(Assumptions!$B$16:$B$20,MATCH(B3742,Assumptions!$A$16:$A$20,0)))</f>
        <v>1474.56</v>
      </c>
      <c r="J3742" s="33" t="n">
        <f aca="false">H3742-I3742</f>
        <v>145.44</v>
      </c>
      <c r="K3742" s="33" t="n">
        <f aca="false">IF(OR(E3742=0,E3742&gt;=7),0,D3742/(7-E3742)*E3742*INDEX(Products!$E$2:$E$49,MATCH(C3742,Products!$A$2:$A$49,0)))</f>
        <v>0</v>
      </c>
    </row>
    <row r="3743" customFormat="false" ht="15" hidden="false" customHeight="false" outlineLevel="0" collapsed="false">
      <c r="A3743" s="36" t="n">
        <v>46230</v>
      </c>
      <c r="B3743" s="24" t="s">
        <v>64</v>
      </c>
      <c r="C3743" s="24" t="s">
        <v>125</v>
      </c>
      <c r="D3743" s="33" t="n">
        <v>27</v>
      </c>
      <c r="E3743" s="24" t="n">
        <v>0</v>
      </c>
      <c r="F3743" s="37" t="n">
        <f aca="false">DATE(YEAR(A3743),MONTH(A3743),1)</f>
        <v>46204</v>
      </c>
      <c r="G3743" s="24" t="str">
        <f aca="false">INDEX(Products!$C$2:$C$49,MATCH(C3743,Products!$A$2:$A$49,0))</f>
        <v>Grocery Staples</v>
      </c>
      <c r="H3743" s="33" t="n">
        <f aca="false">D3743*INDEX(Products!$E$2:$E$49,MATCH(C3743,Products!$A$2:$A$49,0))</f>
        <v>1215</v>
      </c>
      <c r="I3743" s="33" t="n">
        <f aca="false">D3743*INDEX(Products!$D$2:$D$49,MATCH(C3743,Products!$A$2:$A$49,0))*(1+INDEX(Assumptions!$B$16:$B$20,MATCH(B3743,Assumptions!$A$16:$A$20,0)))</f>
        <v>1105.92</v>
      </c>
      <c r="J3743" s="33" t="n">
        <f aca="false">H3743-I3743</f>
        <v>109.08</v>
      </c>
      <c r="K3743" s="33" t="n">
        <f aca="false">IF(OR(E3743=0,E3743&gt;=7),0,D3743/(7-E3743)*E3743*INDEX(Products!$E$2:$E$49,MATCH(C3743,Products!$A$2:$A$49,0)))</f>
        <v>0</v>
      </c>
    </row>
    <row r="3744" customFormat="false" ht="15" hidden="false" customHeight="false" outlineLevel="0" collapsed="false">
      <c r="A3744" s="36" t="n">
        <v>46237</v>
      </c>
      <c r="B3744" s="24" t="s">
        <v>64</v>
      </c>
      <c r="C3744" s="24" t="s">
        <v>125</v>
      </c>
      <c r="D3744" s="33" t="n">
        <v>35</v>
      </c>
      <c r="E3744" s="24" t="n">
        <v>0</v>
      </c>
      <c r="F3744" s="37" t="n">
        <f aca="false">DATE(YEAR(A3744),MONTH(A3744),1)</f>
        <v>46235</v>
      </c>
      <c r="G3744" s="24" t="str">
        <f aca="false">INDEX(Products!$C$2:$C$49,MATCH(C3744,Products!$A$2:$A$49,0))</f>
        <v>Grocery Staples</v>
      </c>
      <c r="H3744" s="33" t="n">
        <f aca="false">D3744*INDEX(Products!$E$2:$E$49,MATCH(C3744,Products!$A$2:$A$49,0))</f>
        <v>1575</v>
      </c>
      <c r="I3744" s="33" t="n">
        <f aca="false">D3744*INDEX(Products!$D$2:$D$49,MATCH(C3744,Products!$A$2:$A$49,0))*(1+INDEX(Assumptions!$B$16:$B$20,MATCH(B3744,Assumptions!$A$16:$A$20,0)))</f>
        <v>1433.6</v>
      </c>
      <c r="J3744" s="33" t="n">
        <f aca="false">H3744-I3744</f>
        <v>141.4</v>
      </c>
      <c r="K3744" s="33" t="n">
        <f aca="false">IF(OR(E3744=0,E3744&gt;=7),0,D3744/(7-E3744)*E3744*INDEX(Products!$E$2:$E$49,MATCH(C3744,Products!$A$2:$A$49,0)))</f>
        <v>0</v>
      </c>
    </row>
    <row r="3745" customFormat="false" ht="15" hidden="false" customHeight="false" outlineLevel="0" collapsed="false">
      <c r="A3745" s="36" t="n">
        <v>46244</v>
      </c>
      <c r="B3745" s="24" t="s">
        <v>64</v>
      </c>
      <c r="C3745" s="24" t="s">
        <v>125</v>
      </c>
      <c r="D3745" s="33" t="n">
        <v>34</v>
      </c>
      <c r="E3745" s="24" t="n">
        <v>0</v>
      </c>
      <c r="F3745" s="37" t="n">
        <f aca="false">DATE(YEAR(A3745),MONTH(A3745),1)</f>
        <v>46235</v>
      </c>
      <c r="G3745" s="24" t="str">
        <f aca="false">INDEX(Products!$C$2:$C$49,MATCH(C3745,Products!$A$2:$A$49,0))</f>
        <v>Grocery Staples</v>
      </c>
      <c r="H3745" s="33" t="n">
        <f aca="false">D3745*INDEX(Products!$E$2:$E$49,MATCH(C3745,Products!$A$2:$A$49,0))</f>
        <v>1530</v>
      </c>
      <c r="I3745" s="33" t="n">
        <f aca="false">D3745*INDEX(Products!$D$2:$D$49,MATCH(C3745,Products!$A$2:$A$49,0))*(1+INDEX(Assumptions!$B$16:$B$20,MATCH(B3745,Assumptions!$A$16:$A$20,0)))</f>
        <v>1392.64</v>
      </c>
      <c r="J3745" s="33" t="n">
        <f aca="false">H3745-I3745</f>
        <v>137.36</v>
      </c>
      <c r="K3745" s="33" t="n">
        <f aca="false">IF(OR(E3745=0,E3745&gt;=7),0,D3745/(7-E3745)*E3745*INDEX(Products!$E$2:$E$49,MATCH(C3745,Products!$A$2:$A$49,0)))</f>
        <v>0</v>
      </c>
    </row>
    <row r="3746" customFormat="false" ht="15" hidden="false" customHeight="false" outlineLevel="0" collapsed="false">
      <c r="A3746" s="36" t="n">
        <v>46251</v>
      </c>
      <c r="B3746" s="24" t="s">
        <v>64</v>
      </c>
      <c r="C3746" s="24" t="s">
        <v>125</v>
      </c>
      <c r="D3746" s="33" t="n">
        <v>24</v>
      </c>
      <c r="E3746" s="24" t="n">
        <v>0</v>
      </c>
      <c r="F3746" s="37" t="n">
        <f aca="false">DATE(YEAR(A3746),MONTH(A3746),1)</f>
        <v>46235</v>
      </c>
      <c r="G3746" s="24" t="str">
        <f aca="false">INDEX(Products!$C$2:$C$49,MATCH(C3746,Products!$A$2:$A$49,0))</f>
        <v>Grocery Staples</v>
      </c>
      <c r="H3746" s="33" t="n">
        <f aca="false">D3746*INDEX(Products!$E$2:$E$49,MATCH(C3746,Products!$A$2:$A$49,0))</f>
        <v>1080</v>
      </c>
      <c r="I3746" s="33" t="n">
        <f aca="false">D3746*INDEX(Products!$D$2:$D$49,MATCH(C3746,Products!$A$2:$A$49,0))*(1+INDEX(Assumptions!$B$16:$B$20,MATCH(B3746,Assumptions!$A$16:$A$20,0)))</f>
        <v>983.04</v>
      </c>
      <c r="J3746" s="33" t="n">
        <f aca="false">H3746-I3746</f>
        <v>96.96</v>
      </c>
      <c r="K3746" s="33" t="n">
        <f aca="false">IF(OR(E3746=0,E3746&gt;=7),0,D3746/(7-E3746)*E3746*INDEX(Products!$E$2:$E$49,MATCH(C3746,Products!$A$2:$A$49,0)))</f>
        <v>0</v>
      </c>
    </row>
    <row r="3747" customFormat="false" ht="15" hidden="false" customHeight="false" outlineLevel="0" collapsed="false">
      <c r="A3747" s="36" t="n">
        <v>46258</v>
      </c>
      <c r="B3747" s="24" t="s">
        <v>64</v>
      </c>
      <c r="C3747" s="24" t="s">
        <v>125</v>
      </c>
      <c r="D3747" s="33" t="n">
        <v>28</v>
      </c>
      <c r="E3747" s="24" t="n">
        <v>0</v>
      </c>
      <c r="F3747" s="37" t="n">
        <f aca="false">DATE(YEAR(A3747),MONTH(A3747),1)</f>
        <v>46235</v>
      </c>
      <c r="G3747" s="24" t="str">
        <f aca="false">INDEX(Products!$C$2:$C$49,MATCH(C3747,Products!$A$2:$A$49,0))</f>
        <v>Grocery Staples</v>
      </c>
      <c r="H3747" s="33" t="n">
        <f aca="false">D3747*INDEX(Products!$E$2:$E$49,MATCH(C3747,Products!$A$2:$A$49,0))</f>
        <v>1260</v>
      </c>
      <c r="I3747" s="33" t="n">
        <f aca="false">D3747*INDEX(Products!$D$2:$D$49,MATCH(C3747,Products!$A$2:$A$49,0))*(1+INDEX(Assumptions!$B$16:$B$20,MATCH(B3747,Assumptions!$A$16:$A$20,0)))</f>
        <v>1146.88</v>
      </c>
      <c r="J3747" s="33" t="n">
        <f aca="false">H3747-I3747</f>
        <v>113.12</v>
      </c>
      <c r="K3747" s="33" t="n">
        <f aca="false">IF(OR(E3747=0,E3747&gt;=7),0,D3747/(7-E3747)*E3747*INDEX(Products!$E$2:$E$49,MATCH(C3747,Products!$A$2:$A$49,0)))</f>
        <v>0</v>
      </c>
    </row>
    <row r="3748" customFormat="false" ht="15" hidden="false" customHeight="false" outlineLevel="0" collapsed="false">
      <c r="A3748" s="36" t="n">
        <v>46265</v>
      </c>
      <c r="B3748" s="24" t="s">
        <v>64</v>
      </c>
      <c r="C3748" s="24" t="s">
        <v>125</v>
      </c>
      <c r="D3748" s="33" t="n">
        <v>25</v>
      </c>
      <c r="E3748" s="24" t="n">
        <v>0</v>
      </c>
      <c r="F3748" s="37" t="n">
        <f aca="false">DATE(YEAR(A3748),MONTH(A3748),1)</f>
        <v>46235</v>
      </c>
      <c r="G3748" s="24" t="str">
        <f aca="false">INDEX(Products!$C$2:$C$49,MATCH(C3748,Products!$A$2:$A$49,0))</f>
        <v>Grocery Staples</v>
      </c>
      <c r="H3748" s="33" t="n">
        <f aca="false">D3748*INDEX(Products!$E$2:$E$49,MATCH(C3748,Products!$A$2:$A$49,0))</f>
        <v>1125</v>
      </c>
      <c r="I3748" s="33" t="n">
        <f aca="false">D3748*INDEX(Products!$D$2:$D$49,MATCH(C3748,Products!$A$2:$A$49,0))*(1+INDEX(Assumptions!$B$16:$B$20,MATCH(B3748,Assumptions!$A$16:$A$20,0)))</f>
        <v>1024</v>
      </c>
      <c r="J3748" s="33" t="n">
        <f aca="false">H3748-I3748</f>
        <v>101</v>
      </c>
      <c r="K3748" s="33" t="n">
        <f aca="false">IF(OR(E3748=0,E3748&gt;=7),0,D3748/(7-E3748)*E3748*INDEX(Products!$E$2:$E$49,MATCH(C3748,Products!$A$2:$A$49,0)))</f>
        <v>0</v>
      </c>
    </row>
    <row r="3749" customFormat="false" ht="15" hidden="false" customHeight="false" outlineLevel="0" collapsed="false">
      <c r="A3749" s="36" t="n">
        <v>46272</v>
      </c>
      <c r="B3749" s="24" t="s">
        <v>64</v>
      </c>
      <c r="C3749" s="24" t="s">
        <v>125</v>
      </c>
      <c r="D3749" s="33" t="n">
        <v>21</v>
      </c>
      <c r="E3749" s="24" t="n">
        <v>0</v>
      </c>
      <c r="F3749" s="37" t="n">
        <f aca="false">DATE(YEAR(A3749),MONTH(A3749),1)</f>
        <v>46266</v>
      </c>
      <c r="G3749" s="24" t="str">
        <f aca="false">INDEX(Products!$C$2:$C$49,MATCH(C3749,Products!$A$2:$A$49,0))</f>
        <v>Grocery Staples</v>
      </c>
      <c r="H3749" s="33" t="n">
        <f aca="false">D3749*INDEX(Products!$E$2:$E$49,MATCH(C3749,Products!$A$2:$A$49,0))</f>
        <v>945</v>
      </c>
      <c r="I3749" s="33" t="n">
        <f aca="false">D3749*INDEX(Products!$D$2:$D$49,MATCH(C3749,Products!$A$2:$A$49,0))*(1+INDEX(Assumptions!$B$16:$B$20,MATCH(B3749,Assumptions!$A$16:$A$20,0)))</f>
        <v>860.16</v>
      </c>
      <c r="J3749" s="33" t="n">
        <f aca="false">H3749-I3749</f>
        <v>84.84</v>
      </c>
      <c r="K3749" s="33" t="n">
        <f aca="false">IF(OR(E3749=0,E3749&gt;=7),0,D3749/(7-E3749)*E3749*INDEX(Products!$E$2:$E$49,MATCH(C3749,Products!$A$2:$A$49,0)))</f>
        <v>0</v>
      </c>
    </row>
    <row r="3750" customFormat="false" ht="15" hidden="false" customHeight="false" outlineLevel="0" collapsed="false">
      <c r="A3750" s="36" t="n">
        <v>46279</v>
      </c>
      <c r="B3750" s="24" t="s">
        <v>64</v>
      </c>
      <c r="C3750" s="24" t="s">
        <v>125</v>
      </c>
      <c r="D3750" s="33" t="n">
        <v>35</v>
      </c>
      <c r="E3750" s="24" t="n">
        <v>0</v>
      </c>
      <c r="F3750" s="37" t="n">
        <f aca="false">DATE(YEAR(A3750),MONTH(A3750),1)</f>
        <v>46266</v>
      </c>
      <c r="G3750" s="24" t="str">
        <f aca="false">INDEX(Products!$C$2:$C$49,MATCH(C3750,Products!$A$2:$A$49,0))</f>
        <v>Grocery Staples</v>
      </c>
      <c r="H3750" s="33" t="n">
        <f aca="false">D3750*INDEX(Products!$E$2:$E$49,MATCH(C3750,Products!$A$2:$A$49,0))</f>
        <v>1575</v>
      </c>
      <c r="I3750" s="33" t="n">
        <f aca="false">D3750*INDEX(Products!$D$2:$D$49,MATCH(C3750,Products!$A$2:$A$49,0))*(1+INDEX(Assumptions!$B$16:$B$20,MATCH(B3750,Assumptions!$A$16:$A$20,0)))</f>
        <v>1433.6</v>
      </c>
      <c r="J3750" s="33" t="n">
        <f aca="false">H3750-I3750</f>
        <v>141.4</v>
      </c>
      <c r="K3750" s="33" t="n">
        <f aca="false">IF(OR(E3750=0,E3750&gt;=7),0,D3750/(7-E3750)*E3750*INDEX(Products!$E$2:$E$49,MATCH(C3750,Products!$A$2:$A$49,0)))</f>
        <v>0</v>
      </c>
    </row>
    <row r="3751" customFormat="false" ht="15" hidden="false" customHeight="false" outlineLevel="0" collapsed="false">
      <c r="A3751" s="36" t="n">
        <v>46286</v>
      </c>
      <c r="B3751" s="24" t="s">
        <v>64</v>
      </c>
      <c r="C3751" s="24" t="s">
        <v>125</v>
      </c>
      <c r="D3751" s="33" t="n">
        <v>24</v>
      </c>
      <c r="E3751" s="24" t="n">
        <v>0</v>
      </c>
      <c r="F3751" s="37" t="n">
        <f aca="false">DATE(YEAR(A3751),MONTH(A3751),1)</f>
        <v>46266</v>
      </c>
      <c r="G3751" s="24" t="str">
        <f aca="false">INDEX(Products!$C$2:$C$49,MATCH(C3751,Products!$A$2:$A$49,0))</f>
        <v>Grocery Staples</v>
      </c>
      <c r="H3751" s="33" t="n">
        <f aca="false">D3751*INDEX(Products!$E$2:$E$49,MATCH(C3751,Products!$A$2:$A$49,0))</f>
        <v>1080</v>
      </c>
      <c r="I3751" s="33" t="n">
        <f aca="false">D3751*INDEX(Products!$D$2:$D$49,MATCH(C3751,Products!$A$2:$A$49,0))*(1+INDEX(Assumptions!$B$16:$B$20,MATCH(B3751,Assumptions!$A$16:$A$20,0)))</f>
        <v>983.04</v>
      </c>
      <c r="J3751" s="33" t="n">
        <f aca="false">H3751-I3751</f>
        <v>96.96</v>
      </c>
      <c r="K3751" s="33" t="n">
        <f aca="false">IF(OR(E3751=0,E3751&gt;=7),0,D3751/(7-E3751)*E3751*INDEX(Products!$E$2:$E$49,MATCH(C3751,Products!$A$2:$A$49,0)))</f>
        <v>0</v>
      </c>
    </row>
    <row r="3752" customFormat="false" ht="15" hidden="false" customHeight="false" outlineLevel="0" collapsed="false">
      <c r="A3752" s="36" t="n">
        <v>46118</v>
      </c>
      <c r="B3752" s="24" t="s">
        <v>64</v>
      </c>
      <c r="C3752" s="24" t="s">
        <v>127</v>
      </c>
      <c r="D3752" s="33" t="n">
        <v>107</v>
      </c>
      <c r="E3752" s="24" t="n">
        <v>0</v>
      </c>
      <c r="F3752" s="37" t="n">
        <f aca="false">DATE(YEAR(A3752),MONTH(A3752),1)</f>
        <v>46113</v>
      </c>
      <c r="G3752" s="24" t="str">
        <f aca="false">INDEX(Products!$C$2:$C$49,MATCH(C3752,Products!$A$2:$A$49,0))</f>
        <v>Grocery Staples</v>
      </c>
      <c r="H3752" s="33" t="n">
        <f aca="false">D3752*INDEX(Products!$E$2:$E$49,MATCH(C3752,Products!$A$2:$A$49,0))</f>
        <v>12840</v>
      </c>
      <c r="I3752" s="33" t="n">
        <f aca="false">D3752*INDEX(Products!$D$2:$D$49,MATCH(C3752,Products!$A$2:$A$49,0))*(1+INDEX(Assumptions!$B$16:$B$20,MATCH(B3752,Assumptions!$A$16:$A$20,0)))</f>
        <v>11285.504</v>
      </c>
      <c r="J3752" s="33" t="n">
        <f aca="false">H3752-I3752</f>
        <v>1554.496</v>
      </c>
      <c r="K3752" s="33" t="n">
        <f aca="false">IF(OR(E3752=0,E3752&gt;=7),0,D3752/(7-E3752)*E3752*INDEX(Products!$E$2:$E$49,MATCH(C3752,Products!$A$2:$A$49,0)))</f>
        <v>0</v>
      </c>
    </row>
    <row r="3753" customFormat="false" ht="15" hidden="false" customHeight="false" outlineLevel="0" collapsed="false">
      <c r="A3753" s="36" t="n">
        <v>46125</v>
      </c>
      <c r="B3753" s="24" t="s">
        <v>64</v>
      </c>
      <c r="C3753" s="24" t="s">
        <v>127</v>
      </c>
      <c r="D3753" s="33" t="n">
        <v>108</v>
      </c>
      <c r="E3753" s="24" t="n">
        <v>0</v>
      </c>
      <c r="F3753" s="37" t="n">
        <f aca="false">DATE(YEAR(A3753),MONTH(A3753),1)</f>
        <v>46113</v>
      </c>
      <c r="G3753" s="24" t="str">
        <f aca="false">INDEX(Products!$C$2:$C$49,MATCH(C3753,Products!$A$2:$A$49,0))</f>
        <v>Grocery Staples</v>
      </c>
      <c r="H3753" s="33" t="n">
        <f aca="false">D3753*INDEX(Products!$E$2:$E$49,MATCH(C3753,Products!$A$2:$A$49,0))</f>
        <v>12960</v>
      </c>
      <c r="I3753" s="33" t="n">
        <f aca="false">D3753*INDEX(Products!$D$2:$D$49,MATCH(C3753,Products!$A$2:$A$49,0))*(1+INDEX(Assumptions!$B$16:$B$20,MATCH(B3753,Assumptions!$A$16:$A$20,0)))</f>
        <v>11390.976</v>
      </c>
      <c r="J3753" s="33" t="n">
        <f aca="false">H3753-I3753</f>
        <v>1569.024</v>
      </c>
      <c r="K3753" s="33" t="n">
        <f aca="false">IF(OR(E3753=0,E3753&gt;=7),0,D3753/(7-E3753)*E3753*INDEX(Products!$E$2:$E$49,MATCH(C3753,Products!$A$2:$A$49,0)))</f>
        <v>0</v>
      </c>
    </row>
    <row r="3754" customFormat="false" ht="15" hidden="false" customHeight="false" outlineLevel="0" collapsed="false">
      <c r="A3754" s="36" t="n">
        <v>46132</v>
      </c>
      <c r="B3754" s="24" t="s">
        <v>64</v>
      </c>
      <c r="C3754" s="24" t="s">
        <v>127</v>
      </c>
      <c r="D3754" s="33" t="n">
        <v>134</v>
      </c>
      <c r="E3754" s="24" t="n">
        <v>0</v>
      </c>
      <c r="F3754" s="37" t="n">
        <f aca="false">DATE(YEAR(A3754),MONTH(A3754),1)</f>
        <v>46113</v>
      </c>
      <c r="G3754" s="24" t="str">
        <f aca="false">INDEX(Products!$C$2:$C$49,MATCH(C3754,Products!$A$2:$A$49,0))</f>
        <v>Grocery Staples</v>
      </c>
      <c r="H3754" s="33" t="n">
        <f aca="false">D3754*INDEX(Products!$E$2:$E$49,MATCH(C3754,Products!$A$2:$A$49,0))</f>
        <v>16080</v>
      </c>
      <c r="I3754" s="33" t="n">
        <f aca="false">D3754*INDEX(Products!$D$2:$D$49,MATCH(C3754,Products!$A$2:$A$49,0))*(1+INDEX(Assumptions!$B$16:$B$20,MATCH(B3754,Assumptions!$A$16:$A$20,0)))</f>
        <v>14133.248</v>
      </c>
      <c r="J3754" s="33" t="n">
        <f aca="false">H3754-I3754</f>
        <v>1946.752</v>
      </c>
      <c r="K3754" s="33" t="n">
        <f aca="false">IF(OR(E3754=0,E3754&gt;=7),0,D3754/(7-E3754)*E3754*INDEX(Products!$E$2:$E$49,MATCH(C3754,Products!$A$2:$A$49,0)))</f>
        <v>0</v>
      </c>
    </row>
    <row r="3755" customFormat="false" ht="15" hidden="false" customHeight="false" outlineLevel="0" collapsed="false">
      <c r="A3755" s="36" t="n">
        <v>46139</v>
      </c>
      <c r="B3755" s="24" t="s">
        <v>64</v>
      </c>
      <c r="C3755" s="24" t="s">
        <v>127</v>
      </c>
      <c r="D3755" s="33" t="n">
        <v>143</v>
      </c>
      <c r="E3755" s="24" t="n">
        <v>0</v>
      </c>
      <c r="F3755" s="37" t="n">
        <f aca="false">DATE(YEAR(A3755),MONTH(A3755),1)</f>
        <v>46113</v>
      </c>
      <c r="G3755" s="24" t="str">
        <f aca="false">INDEX(Products!$C$2:$C$49,MATCH(C3755,Products!$A$2:$A$49,0))</f>
        <v>Grocery Staples</v>
      </c>
      <c r="H3755" s="33" t="n">
        <f aca="false">D3755*INDEX(Products!$E$2:$E$49,MATCH(C3755,Products!$A$2:$A$49,0))</f>
        <v>17160</v>
      </c>
      <c r="I3755" s="33" t="n">
        <f aca="false">D3755*INDEX(Products!$D$2:$D$49,MATCH(C3755,Products!$A$2:$A$49,0))*(1+INDEX(Assumptions!$B$16:$B$20,MATCH(B3755,Assumptions!$A$16:$A$20,0)))</f>
        <v>15082.496</v>
      </c>
      <c r="J3755" s="33" t="n">
        <f aca="false">H3755-I3755</f>
        <v>2077.504</v>
      </c>
      <c r="K3755" s="33" t="n">
        <f aca="false">IF(OR(E3755=0,E3755&gt;=7),0,D3755/(7-E3755)*E3755*INDEX(Products!$E$2:$E$49,MATCH(C3755,Products!$A$2:$A$49,0)))</f>
        <v>0</v>
      </c>
    </row>
    <row r="3756" customFormat="false" ht="15" hidden="false" customHeight="false" outlineLevel="0" collapsed="false">
      <c r="A3756" s="36" t="n">
        <v>46146</v>
      </c>
      <c r="B3756" s="24" t="s">
        <v>64</v>
      </c>
      <c r="C3756" s="24" t="s">
        <v>127</v>
      </c>
      <c r="D3756" s="33" t="n">
        <v>120</v>
      </c>
      <c r="E3756" s="24" t="n">
        <v>0</v>
      </c>
      <c r="F3756" s="37" t="n">
        <f aca="false">DATE(YEAR(A3756),MONTH(A3756),1)</f>
        <v>46143</v>
      </c>
      <c r="G3756" s="24" t="str">
        <f aca="false">INDEX(Products!$C$2:$C$49,MATCH(C3756,Products!$A$2:$A$49,0))</f>
        <v>Grocery Staples</v>
      </c>
      <c r="H3756" s="33" t="n">
        <f aca="false">D3756*INDEX(Products!$E$2:$E$49,MATCH(C3756,Products!$A$2:$A$49,0))</f>
        <v>14400</v>
      </c>
      <c r="I3756" s="33" t="n">
        <f aca="false">D3756*INDEX(Products!$D$2:$D$49,MATCH(C3756,Products!$A$2:$A$49,0))*(1+INDEX(Assumptions!$B$16:$B$20,MATCH(B3756,Assumptions!$A$16:$A$20,0)))</f>
        <v>12656.64</v>
      </c>
      <c r="J3756" s="33" t="n">
        <f aca="false">H3756-I3756</f>
        <v>1743.36</v>
      </c>
      <c r="K3756" s="33" t="n">
        <f aca="false">IF(OR(E3756=0,E3756&gt;=7),0,D3756/(7-E3756)*E3756*INDEX(Products!$E$2:$E$49,MATCH(C3756,Products!$A$2:$A$49,0)))</f>
        <v>0</v>
      </c>
    </row>
    <row r="3757" customFormat="false" ht="15" hidden="false" customHeight="false" outlineLevel="0" collapsed="false">
      <c r="A3757" s="36" t="n">
        <v>46153</v>
      </c>
      <c r="B3757" s="24" t="s">
        <v>64</v>
      </c>
      <c r="C3757" s="24" t="s">
        <v>127</v>
      </c>
      <c r="D3757" s="33" t="n">
        <v>146</v>
      </c>
      <c r="E3757" s="24" t="n">
        <v>0</v>
      </c>
      <c r="F3757" s="37" t="n">
        <f aca="false">DATE(YEAR(A3757),MONTH(A3757),1)</f>
        <v>46143</v>
      </c>
      <c r="G3757" s="24" t="str">
        <f aca="false">INDEX(Products!$C$2:$C$49,MATCH(C3757,Products!$A$2:$A$49,0))</f>
        <v>Grocery Staples</v>
      </c>
      <c r="H3757" s="33" t="n">
        <f aca="false">D3757*INDEX(Products!$E$2:$E$49,MATCH(C3757,Products!$A$2:$A$49,0))</f>
        <v>17520</v>
      </c>
      <c r="I3757" s="33" t="n">
        <f aca="false">D3757*INDEX(Products!$D$2:$D$49,MATCH(C3757,Products!$A$2:$A$49,0))*(1+INDEX(Assumptions!$B$16:$B$20,MATCH(B3757,Assumptions!$A$16:$A$20,0)))</f>
        <v>15398.912</v>
      </c>
      <c r="J3757" s="33" t="n">
        <f aca="false">H3757-I3757</f>
        <v>2121.088</v>
      </c>
      <c r="K3757" s="33" t="n">
        <f aca="false">IF(OR(E3757=0,E3757&gt;=7),0,D3757/(7-E3757)*E3757*INDEX(Products!$E$2:$E$49,MATCH(C3757,Products!$A$2:$A$49,0)))</f>
        <v>0</v>
      </c>
    </row>
    <row r="3758" customFormat="false" ht="15" hidden="false" customHeight="false" outlineLevel="0" collapsed="false">
      <c r="A3758" s="36" t="n">
        <v>46160</v>
      </c>
      <c r="B3758" s="24" t="s">
        <v>64</v>
      </c>
      <c r="C3758" s="24" t="s">
        <v>127</v>
      </c>
      <c r="D3758" s="33" t="n">
        <v>151</v>
      </c>
      <c r="E3758" s="24" t="n">
        <v>0</v>
      </c>
      <c r="F3758" s="37" t="n">
        <f aca="false">DATE(YEAR(A3758),MONTH(A3758),1)</f>
        <v>46143</v>
      </c>
      <c r="G3758" s="24" t="str">
        <f aca="false">INDEX(Products!$C$2:$C$49,MATCH(C3758,Products!$A$2:$A$49,0))</f>
        <v>Grocery Staples</v>
      </c>
      <c r="H3758" s="33" t="n">
        <f aca="false">D3758*INDEX(Products!$E$2:$E$49,MATCH(C3758,Products!$A$2:$A$49,0))</f>
        <v>18120</v>
      </c>
      <c r="I3758" s="33" t="n">
        <f aca="false">D3758*INDEX(Products!$D$2:$D$49,MATCH(C3758,Products!$A$2:$A$49,0))*(1+INDEX(Assumptions!$B$16:$B$20,MATCH(B3758,Assumptions!$A$16:$A$20,0)))</f>
        <v>15926.272</v>
      </c>
      <c r="J3758" s="33" t="n">
        <f aca="false">H3758-I3758</f>
        <v>2193.728</v>
      </c>
      <c r="K3758" s="33" t="n">
        <f aca="false">IF(OR(E3758=0,E3758&gt;=7),0,D3758/(7-E3758)*E3758*INDEX(Products!$E$2:$E$49,MATCH(C3758,Products!$A$2:$A$49,0)))</f>
        <v>0</v>
      </c>
    </row>
    <row r="3759" customFormat="false" ht="15" hidden="false" customHeight="false" outlineLevel="0" collapsed="false">
      <c r="A3759" s="36" t="n">
        <v>46167</v>
      </c>
      <c r="B3759" s="24" t="s">
        <v>64</v>
      </c>
      <c r="C3759" s="24" t="s">
        <v>127</v>
      </c>
      <c r="D3759" s="33" t="n">
        <v>159</v>
      </c>
      <c r="E3759" s="24" t="n">
        <v>0</v>
      </c>
      <c r="F3759" s="37" t="n">
        <f aca="false">DATE(YEAR(A3759),MONTH(A3759),1)</f>
        <v>46143</v>
      </c>
      <c r="G3759" s="24" t="str">
        <f aca="false">INDEX(Products!$C$2:$C$49,MATCH(C3759,Products!$A$2:$A$49,0))</f>
        <v>Grocery Staples</v>
      </c>
      <c r="H3759" s="33" t="n">
        <f aca="false">D3759*INDEX(Products!$E$2:$E$49,MATCH(C3759,Products!$A$2:$A$49,0))</f>
        <v>19080</v>
      </c>
      <c r="I3759" s="33" t="n">
        <f aca="false">D3759*INDEX(Products!$D$2:$D$49,MATCH(C3759,Products!$A$2:$A$49,0))*(1+INDEX(Assumptions!$B$16:$B$20,MATCH(B3759,Assumptions!$A$16:$A$20,0)))</f>
        <v>16770.048</v>
      </c>
      <c r="J3759" s="33" t="n">
        <f aca="false">H3759-I3759</f>
        <v>2309.952</v>
      </c>
      <c r="K3759" s="33" t="n">
        <f aca="false">IF(OR(E3759=0,E3759&gt;=7),0,D3759/(7-E3759)*E3759*INDEX(Products!$E$2:$E$49,MATCH(C3759,Products!$A$2:$A$49,0)))</f>
        <v>0</v>
      </c>
    </row>
    <row r="3760" customFormat="false" ht="15" hidden="false" customHeight="false" outlineLevel="0" collapsed="false">
      <c r="A3760" s="36" t="n">
        <v>46174</v>
      </c>
      <c r="B3760" s="24" t="s">
        <v>64</v>
      </c>
      <c r="C3760" s="24" t="s">
        <v>127</v>
      </c>
      <c r="D3760" s="33" t="n">
        <v>122</v>
      </c>
      <c r="E3760" s="24" t="n">
        <v>0</v>
      </c>
      <c r="F3760" s="37" t="n">
        <f aca="false">DATE(YEAR(A3760),MONTH(A3760),1)</f>
        <v>46174</v>
      </c>
      <c r="G3760" s="24" t="str">
        <f aca="false">INDEX(Products!$C$2:$C$49,MATCH(C3760,Products!$A$2:$A$49,0))</f>
        <v>Grocery Staples</v>
      </c>
      <c r="H3760" s="33" t="n">
        <f aca="false">D3760*INDEX(Products!$E$2:$E$49,MATCH(C3760,Products!$A$2:$A$49,0))</f>
        <v>14640</v>
      </c>
      <c r="I3760" s="33" t="n">
        <f aca="false">D3760*INDEX(Products!$D$2:$D$49,MATCH(C3760,Products!$A$2:$A$49,0))*(1+INDEX(Assumptions!$B$16:$B$20,MATCH(B3760,Assumptions!$A$16:$A$20,0)))</f>
        <v>12867.584</v>
      </c>
      <c r="J3760" s="33" t="n">
        <f aca="false">H3760-I3760</f>
        <v>1772.416</v>
      </c>
      <c r="K3760" s="33" t="n">
        <f aca="false">IF(OR(E3760=0,E3760&gt;=7),0,D3760/(7-E3760)*E3760*INDEX(Products!$E$2:$E$49,MATCH(C3760,Products!$A$2:$A$49,0)))</f>
        <v>0</v>
      </c>
    </row>
    <row r="3761" customFormat="false" ht="15" hidden="false" customHeight="false" outlineLevel="0" collapsed="false">
      <c r="A3761" s="36" t="n">
        <v>46181</v>
      </c>
      <c r="B3761" s="24" t="s">
        <v>64</v>
      </c>
      <c r="C3761" s="24" t="s">
        <v>127</v>
      </c>
      <c r="D3761" s="33" t="n">
        <v>135</v>
      </c>
      <c r="E3761" s="24" t="n">
        <v>0</v>
      </c>
      <c r="F3761" s="37" t="n">
        <f aca="false">DATE(YEAR(A3761),MONTH(A3761),1)</f>
        <v>46174</v>
      </c>
      <c r="G3761" s="24" t="str">
        <f aca="false">INDEX(Products!$C$2:$C$49,MATCH(C3761,Products!$A$2:$A$49,0))</f>
        <v>Grocery Staples</v>
      </c>
      <c r="H3761" s="33" t="n">
        <f aca="false">D3761*INDEX(Products!$E$2:$E$49,MATCH(C3761,Products!$A$2:$A$49,0))</f>
        <v>16200</v>
      </c>
      <c r="I3761" s="33" t="n">
        <f aca="false">D3761*INDEX(Products!$D$2:$D$49,MATCH(C3761,Products!$A$2:$A$49,0))*(1+INDEX(Assumptions!$B$16:$B$20,MATCH(B3761,Assumptions!$A$16:$A$20,0)))</f>
        <v>14238.72</v>
      </c>
      <c r="J3761" s="33" t="n">
        <f aca="false">H3761-I3761</f>
        <v>1961.28</v>
      </c>
      <c r="K3761" s="33" t="n">
        <f aca="false">IF(OR(E3761=0,E3761&gt;=7),0,D3761/(7-E3761)*E3761*INDEX(Products!$E$2:$E$49,MATCH(C3761,Products!$A$2:$A$49,0)))</f>
        <v>0</v>
      </c>
    </row>
    <row r="3762" customFormat="false" ht="15" hidden="false" customHeight="false" outlineLevel="0" collapsed="false">
      <c r="A3762" s="36" t="n">
        <v>46188</v>
      </c>
      <c r="B3762" s="24" t="s">
        <v>64</v>
      </c>
      <c r="C3762" s="24" t="s">
        <v>127</v>
      </c>
      <c r="D3762" s="33" t="n">
        <v>127</v>
      </c>
      <c r="E3762" s="24" t="n">
        <v>0</v>
      </c>
      <c r="F3762" s="37" t="n">
        <f aca="false">DATE(YEAR(A3762),MONTH(A3762),1)</f>
        <v>46174</v>
      </c>
      <c r="G3762" s="24" t="str">
        <f aca="false">INDEX(Products!$C$2:$C$49,MATCH(C3762,Products!$A$2:$A$49,0))</f>
        <v>Grocery Staples</v>
      </c>
      <c r="H3762" s="33" t="n">
        <f aca="false">D3762*INDEX(Products!$E$2:$E$49,MATCH(C3762,Products!$A$2:$A$49,0))</f>
        <v>15240</v>
      </c>
      <c r="I3762" s="33" t="n">
        <f aca="false">D3762*INDEX(Products!$D$2:$D$49,MATCH(C3762,Products!$A$2:$A$49,0))*(1+INDEX(Assumptions!$B$16:$B$20,MATCH(B3762,Assumptions!$A$16:$A$20,0)))</f>
        <v>13394.944</v>
      </c>
      <c r="J3762" s="33" t="n">
        <f aca="false">H3762-I3762</f>
        <v>1845.056</v>
      </c>
      <c r="K3762" s="33" t="n">
        <f aca="false">IF(OR(E3762=0,E3762&gt;=7),0,D3762/(7-E3762)*E3762*INDEX(Products!$E$2:$E$49,MATCH(C3762,Products!$A$2:$A$49,0)))</f>
        <v>0</v>
      </c>
    </row>
    <row r="3763" customFormat="false" ht="15" hidden="false" customHeight="false" outlineLevel="0" collapsed="false">
      <c r="A3763" s="36" t="n">
        <v>46195</v>
      </c>
      <c r="B3763" s="24" t="s">
        <v>64</v>
      </c>
      <c r="C3763" s="24" t="s">
        <v>127</v>
      </c>
      <c r="D3763" s="33" t="n">
        <v>131</v>
      </c>
      <c r="E3763" s="24" t="n">
        <v>0</v>
      </c>
      <c r="F3763" s="37" t="n">
        <f aca="false">DATE(YEAR(A3763),MONTH(A3763),1)</f>
        <v>46174</v>
      </c>
      <c r="G3763" s="24" t="str">
        <f aca="false">INDEX(Products!$C$2:$C$49,MATCH(C3763,Products!$A$2:$A$49,0))</f>
        <v>Grocery Staples</v>
      </c>
      <c r="H3763" s="33" t="n">
        <f aca="false">D3763*INDEX(Products!$E$2:$E$49,MATCH(C3763,Products!$A$2:$A$49,0))</f>
        <v>15720</v>
      </c>
      <c r="I3763" s="33" t="n">
        <f aca="false">D3763*INDEX(Products!$D$2:$D$49,MATCH(C3763,Products!$A$2:$A$49,0))*(1+INDEX(Assumptions!$B$16:$B$20,MATCH(B3763,Assumptions!$A$16:$A$20,0)))</f>
        <v>13816.832</v>
      </c>
      <c r="J3763" s="33" t="n">
        <f aca="false">H3763-I3763</f>
        <v>1903.168</v>
      </c>
      <c r="K3763" s="33" t="n">
        <f aca="false">IF(OR(E3763=0,E3763&gt;=7),0,D3763/(7-E3763)*E3763*INDEX(Products!$E$2:$E$49,MATCH(C3763,Products!$A$2:$A$49,0)))</f>
        <v>0</v>
      </c>
    </row>
    <row r="3764" customFormat="false" ht="15" hidden="false" customHeight="false" outlineLevel="0" collapsed="false">
      <c r="A3764" s="36" t="n">
        <v>46202</v>
      </c>
      <c r="B3764" s="24" t="s">
        <v>64</v>
      </c>
      <c r="C3764" s="24" t="s">
        <v>127</v>
      </c>
      <c r="D3764" s="33" t="n">
        <v>157</v>
      </c>
      <c r="E3764" s="24" t="n">
        <v>0</v>
      </c>
      <c r="F3764" s="37" t="n">
        <f aca="false">DATE(YEAR(A3764),MONTH(A3764),1)</f>
        <v>46174</v>
      </c>
      <c r="G3764" s="24" t="str">
        <f aca="false">INDEX(Products!$C$2:$C$49,MATCH(C3764,Products!$A$2:$A$49,0))</f>
        <v>Grocery Staples</v>
      </c>
      <c r="H3764" s="33" t="n">
        <f aca="false">D3764*INDEX(Products!$E$2:$E$49,MATCH(C3764,Products!$A$2:$A$49,0))</f>
        <v>18840</v>
      </c>
      <c r="I3764" s="33" t="n">
        <f aca="false">D3764*INDEX(Products!$D$2:$D$49,MATCH(C3764,Products!$A$2:$A$49,0))*(1+INDEX(Assumptions!$B$16:$B$20,MATCH(B3764,Assumptions!$A$16:$A$20,0)))</f>
        <v>16559.104</v>
      </c>
      <c r="J3764" s="33" t="n">
        <f aca="false">H3764-I3764</f>
        <v>2280.896</v>
      </c>
      <c r="K3764" s="33" t="n">
        <f aca="false">IF(OR(E3764=0,E3764&gt;=7),0,D3764/(7-E3764)*E3764*INDEX(Products!$E$2:$E$49,MATCH(C3764,Products!$A$2:$A$49,0)))</f>
        <v>0</v>
      </c>
    </row>
    <row r="3765" customFormat="false" ht="15" hidden="false" customHeight="false" outlineLevel="0" collapsed="false">
      <c r="A3765" s="36" t="n">
        <v>46209</v>
      </c>
      <c r="B3765" s="24" t="s">
        <v>64</v>
      </c>
      <c r="C3765" s="24" t="s">
        <v>127</v>
      </c>
      <c r="D3765" s="33" t="n">
        <v>118</v>
      </c>
      <c r="E3765" s="24" t="n">
        <v>0</v>
      </c>
      <c r="F3765" s="37" t="n">
        <f aca="false">DATE(YEAR(A3765),MONTH(A3765),1)</f>
        <v>46204</v>
      </c>
      <c r="G3765" s="24" t="str">
        <f aca="false">INDEX(Products!$C$2:$C$49,MATCH(C3765,Products!$A$2:$A$49,0))</f>
        <v>Grocery Staples</v>
      </c>
      <c r="H3765" s="33" t="n">
        <f aca="false">D3765*INDEX(Products!$E$2:$E$49,MATCH(C3765,Products!$A$2:$A$49,0))</f>
        <v>14160</v>
      </c>
      <c r="I3765" s="33" t="n">
        <f aca="false">D3765*INDEX(Products!$D$2:$D$49,MATCH(C3765,Products!$A$2:$A$49,0))*(1+INDEX(Assumptions!$B$16:$B$20,MATCH(B3765,Assumptions!$A$16:$A$20,0)))</f>
        <v>12445.696</v>
      </c>
      <c r="J3765" s="33" t="n">
        <f aca="false">H3765-I3765</f>
        <v>1714.304</v>
      </c>
      <c r="K3765" s="33" t="n">
        <f aca="false">IF(OR(E3765=0,E3765&gt;=7),0,D3765/(7-E3765)*E3765*INDEX(Products!$E$2:$E$49,MATCH(C3765,Products!$A$2:$A$49,0)))</f>
        <v>0</v>
      </c>
    </row>
    <row r="3766" customFormat="false" ht="15" hidden="false" customHeight="false" outlineLevel="0" collapsed="false">
      <c r="A3766" s="36" t="n">
        <v>46216</v>
      </c>
      <c r="B3766" s="24" t="s">
        <v>64</v>
      </c>
      <c r="C3766" s="24" t="s">
        <v>127</v>
      </c>
      <c r="D3766" s="33" t="n">
        <v>117</v>
      </c>
      <c r="E3766" s="24" t="n">
        <v>0</v>
      </c>
      <c r="F3766" s="37" t="n">
        <f aca="false">DATE(YEAR(A3766),MONTH(A3766),1)</f>
        <v>46204</v>
      </c>
      <c r="G3766" s="24" t="str">
        <f aca="false">INDEX(Products!$C$2:$C$49,MATCH(C3766,Products!$A$2:$A$49,0))</f>
        <v>Grocery Staples</v>
      </c>
      <c r="H3766" s="33" t="n">
        <f aca="false">D3766*INDEX(Products!$E$2:$E$49,MATCH(C3766,Products!$A$2:$A$49,0))</f>
        <v>14040</v>
      </c>
      <c r="I3766" s="33" t="n">
        <f aca="false">D3766*INDEX(Products!$D$2:$D$49,MATCH(C3766,Products!$A$2:$A$49,0))*(1+INDEX(Assumptions!$B$16:$B$20,MATCH(B3766,Assumptions!$A$16:$A$20,0)))</f>
        <v>12340.224</v>
      </c>
      <c r="J3766" s="33" t="n">
        <f aca="false">H3766-I3766</f>
        <v>1699.776</v>
      </c>
      <c r="K3766" s="33" t="n">
        <f aca="false">IF(OR(E3766=0,E3766&gt;=7),0,D3766/(7-E3766)*E3766*INDEX(Products!$E$2:$E$49,MATCH(C3766,Products!$A$2:$A$49,0)))</f>
        <v>0</v>
      </c>
    </row>
    <row r="3767" customFormat="false" ht="15" hidden="false" customHeight="false" outlineLevel="0" collapsed="false">
      <c r="A3767" s="36" t="n">
        <v>46223</v>
      </c>
      <c r="B3767" s="24" t="s">
        <v>64</v>
      </c>
      <c r="C3767" s="24" t="s">
        <v>127</v>
      </c>
      <c r="D3767" s="33" t="n">
        <v>121</v>
      </c>
      <c r="E3767" s="24" t="n">
        <v>0</v>
      </c>
      <c r="F3767" s="37" t="n">
        <f aca="false">DATE(YEAR(A3767),MONTH(A3767),1)</f>
        <v>46204</v>
      </c>
      <c r="G3767" s="24" t="str">
        <f aca="false">INDEX(Products!$C$2:$C$49,MATCH(C3767,Products!$A$2:$A$49,0))</f>
        <v>Grocery Staples</v>
      </c>
      <c r="H3767" s="33" t="n">
        <f aca="false">D3767*INDEX(Products!$E$2:$E$49,MATCH(C3767,Products!$A$2:$A$49,0))</f>
        <v>14520</v>
      </c>
      <c r="I3767" s="33" t="n">
        <f aca="false">D3767*INDEX(Products!$D$2:$D$49,MATCH(C3767,Products!$A$2:$A$49,0))*(1+INDEX(Assumptions!$B$16:$B$20,MATCH(B3767,Assumptions!$A$16:$A$20,0)))</f>
        <v>12762.112</v>
      </c>
      <c r="J3767" s="33" t="n">
        <f aca="false">H3767-I3767</f>
        <v>1757.888</v>
      </c>
      <c r="K3767" s="33" t="n">
        <f aca="false">IF(OR(E3767=0,E3767&gt;=7),0,D3767/(7-E3767)*E3767*INDEX(Products!$E$2:$E$49,MATCH(C3767,Products!$A$2:$A$49,0)))</f>
        <v>0</v>
      </c>
    </row>
    <row r="3768" customFormat="false" ht="15" hidden="false" customHeight="false" outlineLevel="0" collapsed="false">
      <c r="A3768" s="36" t="n">
        <v>46230</v>
      </c>
      <c r="B3768" s="24" t="s">
        <v>64</v>
      </c>
      <c r="C3768" s="24" t="s">
        <v>127</v>
      </c>
      <c r="D3768" s="33" t="n">
        <v>130</v>
      </c>
      <c r="E3768" s="24" t="n">
        <v>0</v>
      </c>
      <c r="F3768" s="37" t="n">
        <f aca="false">DATE(YEAR(A3768),MONTH(A3768),1)</f>
        <v>46204</v>
      </c>
      <c r="G3768" s="24" t="str">
        <f aca="false">INDEX(Products!$C$2:$C$49,MATCH(C3768,Products!$A$2:$A$49,0))</f>
        <v>Grocery Staples</v>
      </c>
      <c r="H3768" s="33" t="n">
        <f aca="false">D3768*INDEX(Products!$E$2:$E$49,MATCH(C3768,Products!$A$2:$A$49,0))</f>
        <v>15600</v>
      </c>
      <c r="I3768" s="33" t="n">
        <f aca="false">D3768*INDEX(Products!$D$2:$D$49,MATCH(C3768,Products!$A$2:$A$49,0))*(1+INDEX(Assumptions!$B$16:$B$20,MATCH(B3768,Assumptions!$A$16:$A$20,0)))</f>
        <v>13711.36</v>
      </c>
      <c r="J3768" s="33" t="n">
        <f aca="false">H3768-I3768</f>
        <v>1888.64</v>
      </c>
      <c r="K3768" s="33" t="n">
        <f aca="false">IF(OR(E3768=0,E3768&gt;=7),0,D3768/(7-E3768)*E3768*INDEX(Products!$E$2:$E$49,MATCH(C3768,Products!$A$2:$A$49,0)))</f>
        <v>0</v>
      </c>
    </row>
    <row r="3769" customFormat="false" ht="15" hidden="false" customHeight="false" outlineLevel="0" collapsed="false">
      <c r="A3769" s="36" t="n">
        <v>46237</v>
      </c>
      <c r="B3769" s="24" t="s">
        <v>64</v>
      </c>
      <c r="C3769" s="24" t="s">
        <v>127</v>
      </c>
      <c r="D3769" s="33" t="n">
        <v>139</v>
      </c>
      <c r="E3769" s="24" t="n">
        <v>0</v>
      </c>
      <c r="F3769" s="37" t="n">
        <f aca="false">DATE(YEAR(A3769),MONTH(A3769),1)</f>
        <v>46235</v>
      </c>
      <c r="G3769" s="24" t="str">
        <f aca="false">INDEX(Products!$C$2:$C$49,MATCH(C3769,Products!$A$2:$A$49,0))</f>
        <v>Grocery Staples</v>
      </c>
      <c r="H3769" s="33" t="n">
        <f aca="false">D3769*INDEX(Products!$E$2:$E$49,MATCH(C3769,Products!$A$2:$A$49,0))</f>
        <v>16680</v>
      </c>
      <c r="I3769" s="33" t="n">
        <f aca="false">D3769*INDEX(Products!$D$2:$D$49,MATCH(C3769,Products!$A$2:$A$49,0))*(1+INDEX(Assumptions!$B$16:$B$20,MATCH(B3769,Assumptions!$A$16:$A$20,0)))</f>
        <v>14660.608</v>
      </c>
      <c r="J3769" s="33" t="n">
        <f aca="false">H3769-I3769</f>
        <v>2019.392</v>
      </c>
      <c r="K3769" s="33" t="n">
        <f aca="false">IF(OR(E3769=0,E3769&gt;=7),0,D3769/(7-E3769)*E3769*INDEX(Products!$E$2:$E$49,MATCH(C3769,Products!$A$2:$A$49,0)))</f>
        <v>0</v>
      </c>
    </row>
    <row r="3770" customFormat="false" ht="15" hidden="false" customHeight="false" outlineLevel="0" collapsed="false">
      <c r="A3770" s="36" t="n">
        <v>46244</v>
      </c>
      <c r="B3770" s="24" t="s">
        <v>64</v>
      </c>
      <c r="C3770" s="24" t="s">
        <v>127</v>
      </c>
      <c r="D3770" s="33" t="n">
        <v>137</v>
      </c>
      <c r="E3770" s="24" t="n">
        <v>0</v>
      </c>
      <c r="F3770" s="37" t="n">
        <f aca="false">DATE(YEAR(A3770),MONTH(A3770),1)</f>
        <v>46235</v>
      </c>
      <c r="G3770" s="24" t="str">
        <f aca="false">INDEX(Products!$C$2:$C$49,MATCH(C3770,Products!$A$2:$A$49,0))</f>
        <v>Grocery Staples</v>
      </c>
      <c r="H3770" s="33" t="n">
        <f aca="false">D3770*INDEX(Products!$E$2:$E$49,MATCH(C3770,Products!$A$2:$A$49,0))</f>
        <v>16440</v>
      </c>
      <c r="I3770" s="33" t="n">
        <f aca="false">D3770*INDEX(Products!$D$2:$D$49,MATCH(C3770,Products!$A$2:$A$49,0))*(1+INDEX(Assumptions!$B$16:$B$20,MATCH(B3770,Assumptions!$A$16:$A$20,0)))</f>
        <v>14449.664</v>
      </c>
      <c r="J3770" s="33" t="n">
        <f aca="false">H3770-I3770</f>
        <v>1990.336</v>
      </c>
      <c r="K3770" s="33" t="n">
        <f aca="false">IF(OR(E3770=0,E3770&gt;=7),0,D3770/(7-E3770)*E3770*INDEX(Products!$E$2:$E$49,MATCH(C3770,Products!$A$2:$A$49,0)))</f>
        <v>0</v>
      </c>
    </row>
    <row r="3771" customFormat="false" ht="15" hidden="false" customHeight="false" outlineLevel="0" collapsed="false">
      <c r="A3771" s="36" t="n">
        <v>46251</v>
      </c>
      <c r="B3771" s="24" t="s">
        <v>64</v>
      </c>
      <c r="C3771" s="24" t="s">
        <v>127</v>
      </c>
      <c r="D3771" s="33" t="n">
        <v>135</v>
      </c>
      <c r="E3771" s="24" t="n">
        <v>0</v>
      </c>
      <c r="F3771" s="37" t="n">
        <f aca="false">DATE(YEAR(A3771),MONTH(A3771),1)</f>
        <v>46235</v>
      </c>
      <c r="G3771" s="24" t="str">
        <f aca="false">INDEX(Products!$C$2:$C$49,MATCH(C3771,Products!$A$2:$A$49,0))</f>
        <v>Grocery Staples</v>
      </c>
      <c r="H3771" s="33" t="n">
        <f aca="false">D3771*INDEX(Products!$E$2:$E$49,MATCH(C3771,Products!$A$2:$A$49,0))</f>
        <v>16200</v>
      </c>
      <c r="I3771" s="33" t="n">
        <f aca="false">D3771*INDEX(Products!$D$2:$D$49,MATCH(C3771,Products!$A$2:$A$49,0))*(1+INDEX(Assumptions!$B$16:$B$20,MATCH(B3771,Assumptions!$A$16:$A$20,0)))</f>
        <v>14238.72</v>
      </c>
      <c r="J3771" s="33" t="n">
        <f aca="false">H3771-I3771</f>
        <v>1961.28</v>
      </c>
      <c r="K3771" s="33" t="n">
        <f aca="false">IF(OR(E3771=0,E3771&gt;=7),0,D3771/(7-E3771)*E3771*INDEX(Products!$E$2:$E$49,MATCH(C3771,Products!$A$2:$A$49,0)))</f>
        <v>0</v>
      </c>
    </row>
    <row r="3772" customFormat="false" ht="15" hidden="false" customHeight="false" outlineLevel="0" collapsed="false">
      <c r="A3772" s="36" t="n">
        <v>46258</v>
      </c>
      <c r="B3772" s="24" t="s">
        <v>64</v>
      </c>
      <c r="C3772" s="24" t="s">
        <v>127</v>
      </c>
      <c r="D3772" s="33" t="n">
        <v>163</v>
      </c>
      <c r="E3772" s="24" t="n">
        <v>0</v>
      </c>
      <c r="F3772" s="37" t="n">
        <f aca="false">DATE(YEAR(A3772),MONTH(A3772),1)</f>
        <v>46235</v>
      </c>
      <c r="G3772" s="24" t="str">
        <f aca="false">INDEX(Products!$C$2:$C$49,MATCH(C3772,Products!$A$2:$A$49,0))</f>
        <v>Grocery Staples</v>
      </c>
      <c r="H3772" s="33" t="n">
        <f aca="false">D3772*INDEX(Products!$E$2:$E$49,MATCH(C3772,Products!$A$2:$A$49,0))</f>
        <v>19560</v>
      </c>
      <c r="I3772" s="33" t="n">
        <f aca="false">D3772*INDEX(Products!$D$2:$D$49,MATCH(C3772,Products!$A$2:$A$49,0))*(1+INDEX(Assumptions!$B$16:$B$20,MATCH(B3772,Assumptions!$A$16:$A$20,0)))</f>
        <v>17191.936</v>
      </c>
      <c r="J3772" s="33" t="n">
        <f aca="false">H3772-I3772</f>
        <v>2368.064</v>
      </c>
      <c r="K3772" s="33" t="n">
        <f aca="false">IF(OR(E3772=0,E3772&gt;=7),0,D3772/(7-E3772)*E3772*INDEX(Products!$E$2:$E$49,MATCH(C3772,Products!$A$2:$A$49,0)))</f>
        <v>0</v>
      </c>
    </row>
    <row r="3773" customFormat="false" ht="15" hidden="false" customHeight="false" outlineLevel="0" collapsed="false">
      <c r="A3773" s="36" t="n">
        <v>46265</v>
      </c>
      <c r="B3773" s="24" t="s">
        <v>64</v>
      </c>
      <c r="C3773" s="24" t="s">
        <v>127</v>
      </c>
      <c r="D3773" s="33" t="n">
        <v>308</v>
      </c>
      <c r="E3773" s="24" t="n">
        <v>0</v>
      </c>
      <c r="F3773" s="37" t="n">
        <f aca="false">DATE(YEAR(A3773),MONTH(A3773),1)</f>
        <v>46235</v>
      </c>
      <c r="G3773" s="24" t="str">
        <f aca="false">INDEX(Products!$C$2:$C$49,MATCH(C3773,Products!$A$2:$A$49,0))</f>
        <v>Grocery Staples</v>
      </c>
      <c r="H3773" s="33" t="n">
        <f aca="false">D3773*INDEX(Products!$E$2:$E$49,MATCH(C3773,Products!$A$2:$A$49,0))</f>
        <v>36960</v>
      </c>
      <c r="I3773" s="33" t="n">
        <f aca="false">D3773*INDEX(Products!$D$2:$D$49,MATCH(C3773,Products!$A$2:$A$49,0))*(1+INDEX(Assumptions!$B$16:$B$20,MATCH(B3773,Assumptions!$A$16:$A$20,0)))</f>
        <v>32485.376</v>
      </c>
      <c r="J3773" s="33" t="n">
        <f aca="false">H3773-I3773</f>
        <v>4474.624</v>
      </c>
      <c r="K3773" s="33" t="n">
        <f aca="false">IF(OR(E3773=0,E3773&gt;=7),0,D3773/(7-E3773)*E3773*INDEX(Products!$E$2:$E$49,MATCH(C3773,Products!$A$2:$A$49,0)))</f>
        <v>0</v>
      </c>
    </row>
    <row r="3774" customFormat="false" ht="15" hidden="false" customHeight="false" outlineLevel="0" collapsed="false">
      <c r="A3774" s="36" t="n">
        <v>46272</v>
      </c>
      <c r="B3774" s="24" t="s">
        <v>64</v>
      </c>
      <c r="C3774" s="24" t="s">
        <v>127</v>
      </c>
      <c r="D3774" s="33" t="n">
        <v>142</v>
      </c>
      <c r="E3774" s="24" t="n">
        <v>0</v>
      </c>
      <c r="F3774" s="37" t="n">
        <f aca="false">DATE(YEAR(A3774),MONTH(A3774),1)</f>
        <v>46266</v>
      </c>
      <c r="G3774" s="24" t="str">
        <f aca="false">INDEX(Products!$C$2:$C$49,MATCH(C3774,Products!$A$2:$A$49,0))</f>
        <v>Grocery Staples</v>
      </c>
      <c r="H3774" s="33" t="n">
        <f aca="false">D3774*INDEX(Products!$E$2:$E$49,MATCH(C3774,Products!$A$2:$A$49,0))</f>
        <v>17040</v>
      </c>
      <c r="I3774" s="33" t="n">
        <f aca="false">D3774*INDEX(Products!$D$2:$D$49,MATCH(C3774,Products!$A$2:$A$49,0))*(1+INDEX(Assumptions!$B$16:$B$20,MATCH(B3774,Assumptions!$A$16:$A$20,0)))</f>
        <v>14977.024</v>
      </c>
      <c r="J3774" s="33" t="n">
        <f aca="false">H3774-I3774</f>
        <v>2062.976</v>
      </c>
      <c r="K3774" s="33" t="n">
        <f aca="false">IF(OR(E3774=0,E3774&gt;=7),0,D3774/(7-E3774)*E3774*INDEX(Products!$E$2:$E$49,MATCH(C3774,Products!$A$2:$A$49,0)))</f>
        <v>0</v>
      </c>
    </row>
    <row r="3775" customFormat="false" ht="15" hidden="false" customHeight="false" outlineLevel="0" collapsed="false">
      <c r="A3775" s="36" t="n">
        <v>46279</v>
      </c>
      <c r="B3775" s="24" t="s">
        <v>64</v>
      </c>
      <c r="C3775" s="24" t="s">
        <v>127</v>
      </c>
      <c r="D3775" s="33" t="n">
        <v>190</v>
      </c>
      <c r="E3775" s="24" t="n">
        <v>0</v>
      </c>
      <c r="F3775" s="37" t="n">
        <f aca="false">DATE(YEAR(A3775),MONTH(A3775),1)</f>
        <v>46266</v>
      </c>
      <c r="G3775" s="24" t="str">
        <f aca="false">INDEX(Products!$C$2:$C$49,MATCH(C3775,Products!$A$2:$A$49,0))</f>
        <v>Grocery Staples</v>
      </c>
      <c r="H3775" s="33" t="n">
        <f aca="false">D3775*INDEX(Products!$E$2:$E$49,MATCH(C3775,Products!$A$2:$A$49,0))</f>
        <v>22800</v>
      </c>
      <c r="I3775" s="33" t="n">
        <f aca="false">D3775*INDEX(Products!$D$2:$D$49,MATCH(C3775,Products!$A$2:$A$49,0))*(1+INDEX(Assumptions!$B$16:$B$20,MATCH(B3775,Assumptions!$A$16:$A$20,0)))</f>
        <v>20039.68</v>
      </c>
      <c r="J3775" s="33" t="n">
        <f aca="false">H3775-I3775</f>
        <v>2760.32</v>
      </c>
      <c r="K3775" s="33" t="n">
        <f aca="false">IF(OR(E3775=0,E3775&gt;=7),0,D3775/(7-E3775)*E3775*INDEX(Products!$E$2:$E$49,MATCH(C3775,Products!$A$2:$A$49,0)))</f>
        <v>0</v>
      </c>
    </row>
    <row r="3776" customFormat="false" ht="15" hidden="false" customHeight="false" outlineLevel="0" collapsed="false">
      <c r="A3776" s="36" t="n">
        <v>46286</v>
      </c>
      <c r="B3776" s="24" t="s">
        <v>64</v>
      </c>
      <c r="C3776" s="24" t="s">
        <v>127</v>
      </c>
      <c r="D3776" s="33" t="n">
        <v>175</v>
      </c>
      <c r="E3776" s="24" t="n">
        <v>0</v>
      </c>
      <c r="F3776" s="37" t="n">
        <f aca="false">DATE(YEAR(A3776),MONTH(A3776),1)</f>
        <v>46266</v>
      </c>
      <c r="G3776" s="24" t="str">
        <f aca="false">INDEX(Products!$C$2:$C$49,MATCH(C3776,Products!$A$2:$A$49,0))</f>
        <v>Grocery Staples</v>
      </c>
      <c r="H3776" s="33" t="n">
        <f aca="false">D3776*INDEX(Products!$E$2:$E$49,MATCH(C3776,Products!$A$2:$A$49,0))</f>
        <v>21000</v>
      </c>
      <c r="I3776" s="33" t="n">
        <f aca="false">D3776*INDEX(Products!$D$2:$D$49,MATCH(C3776,Products!$A$2:$A$49,0))*(1+INDEX(Assumptions!$B$16:$B$20,MATCH(B3776,Assumptions!$A$16:$A$20,0)))</f>
        <v>18457.6</v>
      </c>
      <c r="J3776" s="33" t="n">
        <f aca="false">H3776-I3776</f>
        <v>2542.4</v>
      </c>
      <c r="K3776" s="33" t="n">
        <f aca="false">IF(OR(E3776=0,E3776&gt;=7),0,D3776/(7-E3776)*E3776*INDEX(Products!$E$2:$E$49,MATCH(C3776,Products!$A$2:$A$49,0)))</f>
        <v>0</v>
      </c>
    </row>
    <row r="3777" customFormat="false" ht="15" hidden="false" customHeight="false" outlineLevel="0" collapsed="false">
      <c r="A3777" s="36" t="n">
        <v>46118</v>
      </c>
      <c r="B3777" s="24" t="s">
        <v>64</v>
      </c>
      <c r="C3777" s="24" t="s">
        <v>129</v>
      </c>
      <c r="D3777" s="33" t="n">
        <v>172</v>
      </c>
      <c r="E3777" s="24" t="n">
        <v>0</v>
      </c>
      <c r="F3777" s="37" t="n">
        <f aca="false">DATE(YEAR(A3777),MONTH(A3777),1)</f>
        <v>46113</v>
      </c>
      <c r="G3777" s="24" t="str">
        <f aca="false">INDEX(Products!$C$2:$C$49,MATCH(C3777,Products!$A$2:$A$49,0))</f>
        <v>Grocery Staples</v>
      </c>
      <c r="H3777" s="33" t="n">
        <f aca="false">D3777*INDEX(Products!$E$2:$E$49,MATCH(C3777,Products!$A$2:$A$49,0))</f>
        <v>36120</v>
      </c>
      <c r="I3777" s="33" t="n">
        <f aca="false">D3777*INDEX(Products!$D$2:$D$49,MATCH(C3777,Products!$A$2:$A$49,0))*(1+INDEX(Assumptions!$B$16:$B$20,MATCH(B3777,Assumptions!$A$16:$A$20,0)))</f>
        <v>32759.808</v>
      </c>
      <c r="J3777" s="33" t="n">
        <f aca="false">H3777-I3777</f>
        <v>3360.192</v>
      </c>
      <c r="K3777" s="33" t="n">
        <f aca="false">IF(OR(E3777=0,E3777&gt;=7),0,D3777/(7-E3777)*E3777*INDEX(Products!$E$2:$E$49,MATCH(C3777,Products!$A$2:$A$49,0)))</f>
        <v>0</v>
      </c>
    </row>
    <row r="3778" customFormat="false" ht="15" hidden="false" customHeight="false" outlineLevel="0" collapsed="false">
      <c r="A3778" s="36" t="n">
        <v>46125</v>
      </c>
      <c r="B3778" s="24" t="s">
        <v>64</v>
      </c>
      <c r="C3778" s="24" t="s">
        <v>129</v>
      </c>
      <c r="D3778" s="33" t="n">
        <v>165</v>
      </c>
      <c r="E3778" s="24" t="n">
        <v>0</v>
      </c>
      <c r="F3778" s="37" t="n">
        <f aca="false">DATE(YEAR(A3778),MONTH(A3778),1)</f>
        <v>46113</v>
      </c>
      <c r="G3778" s="24" t="str">
        <f aca="false">INDEX(Products!$C$2:$C$49,MATCH(C3778,Products!$A$2:$A$49,0))</f>
        <v>Grocery Staples</v>
      </c>
      <c r="H3778" s="33" t="n">
        <f aca="false">D3778*INDEX(Products!$E$2:$E$49,MATCH(C3778,Products!$A$2:$A$49,0))</f>
        <v>34650</v>
      </c>
      <c r="I3778" s="33" t="n">
        <f aca="false">D3778*INDEX(Products!$D$2:$D$49,MATCH(C3778,Products!$A$2:$A$49,0))*(1+INDEX(Assumptions!$B$16:$B$20,MATCH(B3778,Assumptions!$A$16:$A$20,0)))</f>
        <v>31426.56</v>
      </c>
      <c r="J3778" s="33" t="n">
        <f aca="false">H3778-I3778</f>
        <v>3223.44</v>
      </c>
      <c r="K3778" s="33" t="n">
        <f aca="false">IF(OR(E3778=0,E3778&gt;=7),0,D3778/(7-E3778)*E3778*INDEX(Products!$E$2:$E$49,MATCH(C3778,Products!$A$2:$A$49,0)))</f>
        <v>0</v>
      </c>
    </row>
    <row r="3779" customFormat="false" ht="15" hidden="false" customHeight="false" outlineLevel="0" collapsed="false">
      <c r="A3779" s="36" t="n">
        <v>46132</v>
      </c>
      <c r="B3779" s="24" t="s">
        <v>64</v>
      </c>
      <c r="C3779" s="24" t="s">
        <v>129</v>
      </c>
      <c r="D3779" s="33" t="n">
        <v>93</v>
      </c>
      <c r="E3779" s="24" t="n">
        <v>4</v>
      </c>
      <c r="F3779" s="37" t="n">
        <f aca="false">DATE(YEAR(A3779),MONTH(A3779),1)</f>
        <v>46113</v>
      </c>
      <c r="G3779" s="24" t="str">
        <f aca="false">INDEX(Products!$C$2:$C$49,MATCH(C3779,Products!$A$2:$A$49,0))</f>
        <v>Grocery Staples</v>
      </c>
      <c r="H3779" s="33" t="n">
        <f aca="false">D3779*INDEX(Products!$E$2:$E$49,MATCH(C3779,Products!$A$2:$A$49,0))</f>
        <v>19530</v>
      </c>
      <c r="I3779" s="33" t="n">
        <f aca="false">D3779*INDEX(Products!$D$2:$D$49,MATCH(C3779,Products!$A$2:$A$49,0))*(1+INDEX(Assumptions!$B$16:$B$20,MATCH(B3779,Assumptions!$A$16:$A$20,0)))</f>
        <v>17713.152</v>
      </c>
      <c r="J3779" s="33" t="n">
        <f aca="false">H3779-I3779</f>
        <v>1816.848</v>
      </c>
      <c r="K3779" s="33" t="n">
        <f aca="false">IF(OR(E3779=0,E3779&gt;=7),0,D3779/(7-E3779)*E3779*INDEX(Products!$E$2:$E$49,MATCH(C3779,Products!$A$2:$A$49,0)))</f>
        <v>26040</v>
      </c>
    </row>
    <row r="3780" customFormat="false" ht="15" hidden="false" customHeight="false" outlineLevel="0" collapsed="false">
      <c r="A3780" s="36" t="n">
        <v>46139</v>
      </c>
      <c r="B3780" s="24" t="s">
        <v>64</v>
      </c>
      <c r="C3780" s="24" t="s">
        <v>129</v>
      </c>
      <c r="D3780" s="33" t="n">
        <v>210</v>
      </c>
      <c r="E3780" s="24" t="n">
        <v>0</v>
      </c>
      <c r="F3780" s="37" t="n">
        <f aca="false">DATE(YEAR(A3780),MONTH(A3780),1)</f>
        <v>46113</v>
      </c>
      <c r="G3780" s="24" t="str">
        <f aca="false">INDEX(Products!$C$2:$C$49,MATCH(C3780,Products!$A$2:$A$49,0))</f>
        <v>Grocery Staples</v>
      </c>
      <c r="H3780" s="33" t="n">
        <f aca="false">D3780*INDEX(Products!$E$2:$E$49,MATCH(C3780,Products!$A$2:$A$49,0))</f>
        <v>44100</v>
      </c>
      <c r="I3780" s="33" t="n">
        <f aca="false">D3780*INDEX(Products!$D$2:$D$49,MATCH(C3780,Products!$A$2:$A$49,0))*(1+INDEX(Assumptions!$B$16:$B$20,MATCH(B3780,Assumptions!$A$16:$A$20,0)))</f>
        <v>39997.44</v>
      </c>
      <c r="J3780" s="33" t="n">
        <f aca="false">H3780-I3780</f>
        <v>4102.56</v>
      </c>
      <c r="K3780" s="33" t="n">
        <f aca="false">IF(OR(E3780=0,E3780&gt;=7),0,D3780/(7-E3780)*E3780*INDEX(Products!$E$2:$E$49,MATCH(C3780,Products!$A$2:$A$49,0)))</f>
        <v>0</v>
      </c>
    </row>
    <row r="3781" customFormat="false" ht="15" hidden="false" customHeight="false" outlineLevel="0" collapsed="false">
      <c r="A3781" s="36" t="n">
        <v>46146</v>
      </c>
      <c r="B3781" s="24" t="s">
        <v>64</v>
      </c>
      <c r="C3781" s="24" t="s">
        <v>129</v>
      </c>
      <c r="D3781" s="33" t="n">
        <v>175</v>
      </c>
      <c r="E3781" s="24" t="n">
        <v>0</v>
      </c>
      <c r="F3781" s="37" t="n">
        <f aca="false">DATE(YEAR(A3781),MONTH(A3781),1)</f>
        <v>46143</v>
      </c>
      <c r="G3781" s="24" t="str">
        <f aca="false">INDEX(Products!$C$2:$C$49,MATCH(C3781,Products!$A$2:$A$49,0))</f>
        <v>Grocery Staples</v>
      </c>
      <c r="H3781" s="33" t="n">
        <f aca="false">D3781*INDEX(Products!$E$2:$E$49,MATCH(C3781,Products!$A$2:$A$49,0))</f>
        <v>36750</v>
      </c>
      <c r="I3781" s="33" t="n">
        <f aca="false">D3781*INDEX(Products!$D$2:$D$49,MATCH(C3781,Products!$A$2:$A$49,0))*(1+INDEX(Assumptions!$B$16:$B$20,MATCH(B3781,Assumptions!$A$16:$A$20,0)))</f>
        <v>33331.2</v>
      </c>
      <c r="J3781" s="33" t="n">
        <f aca="false">H3781-I3781</f>
        <v>3418.8</v>
      </c>
      <c r="K3781" s="33" t="n">
        <f aca="false">IF(OR(E3781=0,E3781&gt;=7),0,D3781/(7-E3781)*E3781*INDEX(Products!$E$2:$E$49,MATCH(C3781,Products!$A$2:$A$49,0)))</f>
        <v>0</v>
      </c>
    </row>
    <row r="3782" customFormat="false" ht="15" hidden="false" customHeight="false" outlineLevel="0" collapsed="false">
      <c r="A3782" s="36" t="n">
        <v>46153</v>
      </c>
      <c r="B3782" s="24" t="s">
        <v>64</v>
      </c>
      <c r="C3782" s="24" t="s">
        <v>129</v>
      </c>
      <c r="D3782" s="33" t="n">
        <v>141</v>
      </c>
      <c r="E3782" s="24" t="n">
        <v>1</v>
      </c>
      <c r="F3782" s="37" t="n">
        <f aca="false">DATE(YEAR(A3782),MONTH(A3782),1)</f>
        <v>46143</v>
      </c>
      <c r="G3782" s="24" t="str">
        <f aca="false">INDEX(Products!$C$2:$C$49,MATCH(C3782,Products!$A$2:$A$49,0))</f>
        <v>Grocery Staples</v>
      </c>
      <c r="H3782" s="33" t="n">
        <f aca="false">D3782*INDEX(Products!$E$2:$E$49,MATCH(C3782,Products!$A$2:$A$49,0))</f>
        <v>29610</v>
      </c>
      <c r="I3782" s="33" t="n">
        <f aca="false">D3782*INDEX(Products!$D$2:$D$49,MATCH(C3782,Products!$A$2:$A$49,0))*(1+INDEX(Assumptions!$B$16:$B$20,MATCH(B3782,Assumptions!$A$16:$A$20,0)))</f>
        <v>26855.424</v>
      </c>
      <c r="J3782" s="33" t="n">
        <f aca="false">H3782-I3782</f>
        <v>2754.576</v>
      </c>
      <c r="K3782" s="33" t="n">
        <f aca="false">IF(OR(E3782=0,E3782&gt;=7),0,D3782/(7-E3782)*E3782*INDEX(Products!$E$2:$E$49,MATCH(C3782,Products!$A$2:$A$49,0)))</f>
        <v>4935</v>
      </c>
    </row>
    <row r="3783" customFormat="false" ht="15" hidden="false" customHeight="false" outlineLevel="0" collapsed="false">
      <c r="A3783" s="36" t="n">
        <v>46160</v>
      </c>
      <c r="B3783" s="24" t="s">
        <v>64</v>
      </c>
      <c r="C3783" s="24" t="s">
        <v>129</v>
      </c>
      <c r="D3783" s="33" t="n">
        <v>168</v>
      </c>
      <c r="E3783" s="24" t="n">
        <v>0</v>
      </c>
      <c r="F3783" s="37" t="n">
        <f aca="false">DATE(YEAR(A3783),MONTH(A3783),1)</f>
        <v>46143</v>
      </c>
      <c r="G3783" s="24" t="str">
        <f aca="false">INDEX(Products!$C$2:$C$49,MATCH(C3783,Products!$A$2:$A$49,0))</f>
        <v>Grocery Staples</v>
      </c>
      <c r="H3783" s="33" t="n">
        <f aca="false">D3783*INDEX(Products!$E$2:$E$49,MATCH(C3783,Products!$A$2:$A$49,0))</f>
        <v>35280</v>
      </c>
      <c r="I3783" s="33" t="n">
        <f aca="false">D3783*INDEX(Products!$D$2:$D$49,MATCH(C3783,Products!$A$2:$A$49,0))*(1+INDEX(Assumptions!$B$16:$B$20,MATCH(B3783,Assumptions!$A$16:$A$20,0)))</f>
        <v>31997.952</v>
      </c>
      <c r="J3783" s="33" t="n">
        <f aca="false">H3783-I3783</f>
        <v>3282.048</v>
      </c>
      <c r="K3783" s="33" t="n">
        <f aca="false">IF(OR(E3783=0,E3783&gt;=7),0,D3783/(7-E3783)*E3783*INDEX(Products!$E$2:$E$49,MATCH(C3783,Products!$A$2:$A$49,0)))</f>
        <v>0</v>
      </c>
    </row>
    <row r="3784" customFormat="false" ht="15" hidden="false" customHeight="false" outlineLevel="0" collapsed="false">
      <c r="A3784" s="36" t="n">
        <v>46167</v>
      </c>
      <c r="B3784" s="24" t="s">
        <v>64</v>
      </c>
      <c r="C3784" s="24" t="s">
        <v>129</v>
      </c>
      <c r="D3784" s="33" t="n">
        <v>205</v>
      </c>
      <c r="E3784" s="24" t="n">
        <v>0</v>
      </c>
      <c r="F3784" s="37" t="n">
        <f aca="false">DATE(YEAR(A3784),MONTH(A3784),1)</f>
        <v>46143</v>
      </c>
      <c r="G3784" s="24" t="str">
        <f aca="false">INDEX(Products!$C$2:$C$49,MATCH(C3784,Products!$A$2:$A$49,0))</f>
        <v>Grocery Staples</v>
      </c>
      <c r="H3784" s="33" t="n">
        <f aca="false">D3784*INDEX(Products!$E$2:$E$49,MATCH(C3784,Products!$A$2:$A$49,0))</f>
        <v>43050</v>
      </c>
      <c r="I3784" s="33" t="n">
        <f aca="false">D3784*INDEX(Products!$D$2:$D$49,MATCH(C3784,Products!$A$2:$A$49,0))*(1+INDEX(Assumptions!$B$16:$B$20,MATCH(B3784,Assumptions!$A$16:$A$20,0)))</f>
        <v>39045.12</v>
      </c>
      <c r="J3784" s="33" t="n">
        <f aca="false">H3784-I3784</f>
        <v>4004.88</v>
      </c>
      <c r="K3784" s="33" t="n">
        <f aca="false">IF(OR(E3784=0,E3784&gt;=7),0,D3784/(7-E3784)*E3784*INDEX(Products!$E$2:$E$49,MATCH(C3784,Products!$A$2:$A$49,0)))</f>
        <v>0</v>
      </c>
    </row>
    <row r="3785" customFormat="false" ht="15" hidden="false" customHeight="false" outlineLevel="0" collapsed="false">
      <c r="A3785" s="36" t="n">
        <v>46174</v>
      </c>
      <c r="B3785" s="24" t="s">
        <v>64</v>
      </c>
      <c r="C3785" s="24" t="s">
        <v>129</v>
      </c>
      <c r="D3785" s="33" t="n">
        <v>191</v>
      </c>
      <c r="E3785" s="24" t="n">
        <v>0</v>
      </c>
      <c r="F3785" s="37" t="n">
        <f aca="false">DATE(YEAR(A3785),MONTH(A3785),1)</f>
        <v>46174</v>
      </c>
      <c r="G3785" s="24" t="str">
        <f aca="false">INDEX(Products!$C$2:$C$49,MATCH(C3785,Products!$A$2:$A$49,0))</f>
        <v>Grocery Staples</v>
      </c>
      <c r="H3785" s="33" t="n">
        <f aca="false">D3785*INDEX(Products!$E$2:$E$49,MATCH(C3785,Products!$A$2:$A$49,0))</f>
        <v>40110</v>
      </c>
      <c r="I3785" s="33" t="n">
        <f aca="false">D3785*INDEX(Products!$D$2:$D$49,MATCH(C3785,Products!$A$2:$A$49,0))*(1+INDEX(Assumptions!$B$16:$B$20,MATCH(B3785,Assumptions!$A$16:$A$20,0)))</f>
        <v>36378.624</v>
      </c>
      <c r="J3785" s="33" t="n">
        <f aca="false">H3785-I3785</f>
        <v>3731.376</v>
      </c>
      <c r="K3785" s="33" t="n">
        <f aca="false">IF(OR(E3785=0,E3785&gt;=7),0,D3785/(7-E3785)*E3785*INDEX(Products!$E$2:$E$49,MATCH(C3785,Products!$A$2:$A$49,0)))</f>
        <v>0</v>
      </c>
    </row>
    <row r="3786" customFormat="false" ht="15" hidden="false" customHeight="false" outlineLevel="0" collapsed="false">
      <c r="A3786" s="36" t="n">
        <v>46181</v>
      </c>
      <c r="B3786" s="24" t="s">
        <v>64</v>
      </c>
      <c r="C3786" s="24" t="s">
        <v>129</v>
      </c>
      <c r="D3786" s="33" t="n">
        <v>171</v>
      </c>
      <c r="E3786" s="24" t="n">
        <v>0</v>
      </c>
      <c r="F3786" s="37" t="n">
        <f aca="false">DATE(YEAR(A3786),MONTH(A3786),1)</f>
        <v>46174</v>
      </c>
      <c r="G3786" s="24" t="str">
        <f aca="false">INDEX(Products!$C$2:$C$49,MATCH(C3786,Products!$A$2:$A$49,0))</f>
        <v>Grocery Staples</v>
      </c>
      <c r="H3786" s="33" t="n">
        <f aca="false">D3786*INDEX(Products!$E$2:$E$49,MATCH(C3786,Products!$A$2:$A$49,0))</f>
        <v>35910</v>
      </c>
      <c r="I3786" s="33" t="n">
        <f aca="false">D3786*INDEX(Products!$D$2:$D$49,MATCH(C3786,Products!$A$2:$A$49,0))*(1+INDEX(Assumptions!$B$16:$B$20,MATCH(B3786,Assumptions!$A$16:$A$20,0)))</f>
        <v>32569.344</v>
      </c>
      <c r="J3786" s="33" t="n">
        <f aca="false">H3786-I3786</f>
        <v>3340.656</v>
      </c>
      <c r="K3786" s="33" t="n">
        <f aca="false">IF(OR(E3786=0,E3786&gt;=7),0,D3786/(7-E3786)*E3786*INDEX(Products!$E$2:$E$49,MATCH(C3786,Products!$A$2:$A$49,0)))</f>
        <v>0</v>
      </c>
    </row>
    <row r="3787" customFormat="false" ht="15" hidden="false" customHeight="false" outlineLevel="0" collapsed="false">
      <c r="A3787" s="36" t="n">
        <v>46188</v>
      </c>
      <c r="B3787" s="24" t="s">
        <v>64</v>
      </c>
      <c r="C3787" s="24" t="s">
        <v>129</v>
      </c>
      <c r="D3787" s="33" t="n">
        <v>172</v>
      </c>
      <c r="E3787" s="24" t="n">
        <v>0</v>
      </c>
      <c r="F3787" s="37" t="n">
        <f aca="false">DATE(YEAR(A3787),MONTH(A3787),1)</f>
        <v>46174</v>
      </c>
      <c r="G3787" s="24" t="str">
        <f aca="false">INDEX(Products!$C$2:$C$49,MATCH(C3787,Products!$A$2:$A$49,0))</f>
        <v>Grocery Staples</v>
      </c>
      <c r="H3787" s="33" t="n">
        <f aca="false">D3787*INDEX(Products!$E$2:$E$49,MATCH(C3787,Products!$A$2:$A$49,0))</f>
        <v>36120</v>
      </c>
      <c r="I3787" s="33" t="n">
        <f aca="false">D3787*INDEX(Products!$D$2:$D$49,MATCH(C3787,Products!$A$2:$A$49,0))*(1+INDEX(Assumptions!$B$16:$B$20,MATCH(B3787,Assumptions!$A$16:$A$20,0)))</f>
        <v>32759.808</v>
      </c>
      <c r="J3787" s="33" t="n">
        <f aca="false">H3787-I3787</f>
        <v>3360.192</v>
      </c>
      <c r="K3787" s="33" t="n">
        <f aca="false">IF(OR(E3787=0,E3787&gt;=7),0,D3787/(7-E3787)*E3787*INDEX(Products!$E$2:$E$49,MATCH(C3787,Products!$A$2:$A$49,0)))</f>
        <v>0</v>
      </c>
    </row>
    <row r="3788" customFormat="false" ht="15" hidden="false" customHeight="false" outlineLevel="0" collapsed="false">
      <c r="A3788" s="36" t="n">
        <v>46195</v>
      </c>
      <c r="B3788" s="24" t="s">
        <v>64</v>
      </c>
      <c r="C3788" s="24" t="s">
        <v>129</v>
      </c>
      <c r="D3788" s="33" t="n">
        <v>206</v>
      </c>
      <c r="E3788" s="24" t="n">
        <v>0</v>
      </c>
      <c r="F3788" s="37" t="n">
        <f aca="false">DATE(YEAR(A3788),MONTH(A3788),1)</f>
        <v>46174</v>
      </c>
      <c r="G3788" s="24" t="str">
        <f aca="false">INDEX(Products!$C$2:$C$49,MATCH(C3788,Products!$A$2:$A$49,0))</f>
        <v>Grocery Staples</v>
      </c>
      <c r="H3788" s="33" t="n">
        <f aca="false">D3788*INDEX(Products!$E$2:$E$49,MATCH(C3788,Products!$A$2:$A$49,0))</f>
        <v>43260</v>
      </c>
      <c r="I3788" s="33" t="n">
        <f aca="false">D3788*INDEX(Products!$D$2:$D$49,MATCH(C3788,Products!$A$2:$A$49,0))*(1+INDEX(Assumptions!$B$16:$B$20,MATCH(B3788,Assumptions!$A$16:$A$20,0)))</f>
        <v>39235.584</v>
      </c>
      <c r="J3788" s="33" t="n">
        <f aca="false">H3788-I3788</f>
        <v>4024.416</v>
      </c>
      <c r="K3788" s="33" t="n">
        <f aca="false">IF(OR(E3788=0,E3788&gt;=7),0,D3788/(7-E3788)*E3788*INDEX(Products!$E$2:$E$49,MATCH(C3788,Products!$A$2:$A$49,0)))</f>
        <v>0</v>
      </c>
    </row>
    <row r="3789" customFormat="false" ht="15" hidden="false" customHeight="false" outlineLevel="0" collapsed="false">
      <c r="A3789" s="36" t="n">
        <v>46202</v>
      </c>
      <c r="B3789" s="24" t="s">
        <v>64</v>
      </c>
      <c r="C3789" s="24" t="s">
        <v>129</v>
      </c>
      <c r="D3789" s="33" t="n">
        <v>209</v>
      </c>
      <c r="E3789" s="24" t="n">
        <v>0</v>
      </c>
      <c r="F3789" s="37" t="n">
        <f aca="false">DATE(YEAR(A3789),MONTH(A3789),1)</f>
        <v>46174</v>
      </c>
      <c r="G3789" s="24" t="str">
        <f aca="false">INDEX(Products!$C$2:$C$49,MATCH(C3789,Products!$A$2:$A$49,0))</f>
        <v>Grocery Staples</v>
      </c>
      <c r="H3789" s="33" t="n">
        <f aca="false">D3789*INDEX(Products!$E$2:$E$49,MATCH(C3789,Products!$A$2:$A$49,0))</f>
        <v>43890</v>
      </c>
      <c r="I3789" s="33" t="n">
        <f aca="false">D3789*INDEX(Products!$D$2:$D$49,MATCH(C3789,Products!$A$2:$A$49,0))*(1+INDEX(Assumptions!$B$16:$B$20,MATCH(B3789,Assumptions!$A$16:$A$20,0)))</f>
        <v>39806.976</v>
      </c>
      <c r="J3789" s="33" t="n">
        <f aca="false">H3789-I3789</f>
        <v>4083.024</v>
      </c>
      <c r="K3789" s="33" t="n">
        <f aca="false">IF(OR(E3789=0,E3789&gt;=7),0,D3789/(7-E3789)*E3789*INDEX(Products!$E$2:$E$49,MATCH(C3789,Products!$A$2:$A$49,0)))</f>
        <v>0</v>
      </c>
    </row>
    <row r="3790" customFormat="false" ht="15" hidden="false" customHeight="false" outlineLevel="0" collapsed="false">
      <c r="A3790" s="36" t="n">
        <v>46209</v>
      </c>
      <c r="B3790" s="24" t="s">
        <v>64</v>
      </c>
      <c r="C3790" s="24" t="s">
        <v>129</v>
      </c>
      <c r="D3790" s="33" t="n">
        <v>179</v>
      </c>
      <c r="E3790" s="24" t="n">
        <v>0</v>
      </c>
      <c r="F3790" s="37" t="n">
        <f aca="false">DATE(YEAR(A3790),MONTH(A3790),1)</f>
        <v>46204</v>
      </c>
      <c r="G3790" s="24" t="str">
        <f aca="false">INDEX(Products!$C$2:$C$49,MATCH(C3790,Products!$A$2:$A$49,0))</f>
        <v>Grocery Staples</v>
      </c>
      <c r="H3790" s="33" t="n">
        <f aca="false">D3790*INDEX(Products!$E$2:$E$49,MATCH(C3790,Products!$A$2:$A$49,0))</f>
        <v>37590</v>
      </c>
      <c r="I3790" s="33" t="n">
        <f aca="false">D3790*INDEX(Products!$D$2:$D$49,MATCH(C3790,Products!$A$2:$A$49,0))*(1+INDEX(Assumptions!$B$16:$B$20,MATCH(B3790,Assumptions!$A$16:$A$20,0)))</f>
        <v>34093.056</v>
      </c>
      <c r="J3790" s="33" t="n">
        <f aca="false">H3790-I3790</f>
        <v>3496.944</v>
      </c>
      <c r="K3790" s="33" t="n">
        <f aca="false">IF(OR(E3790=0,E3790&gt;=7),0,D3790/(7-E3790)*E3790*INDEX(Products!$E$2:$E$49,MATCH(C3790,Products!$A$2:$A$49,0)))</f>
        <v>0</v>
      </c>
    </row>
    <row r="3791" customFormat="false" ht="15" hidden="false" customHeight="false" outlineLevel="0" collapsed="false">
      <c r="A3791" s="36" t="n">
        <v>46216</v>
      </c>
      <c r="B3791" s="24" t="s">
        <v>64</v>
      </c>
      <c r="C3791" s="24" t="s">
        <v>129</v>
      </c>
      <c r="D3791" s="33" t="n">
        <v>181</v>
      </c>
      <c r="E3791" s="24" t="n">
        <v>0</v>
      </c>
      <c r="F3791" s="37" t="n">
        <f aca="false">DATE(YEAR(A3791),MONTH(A3791),1)</f>
        <v>46204</v>
      </c>
      <c r="G3791" s="24" t="str">
        <f aca="false">INDEX(Products!$C$2:$C$49,MATCH(C3791,Products!$A$2:$A$49,0))</f>
        <v>Grocery Staples</v>
      </c>
      <c r="H3791" s="33" t="n">
        <f aca="false">D3791*INDEX(Products!$E$2:$E$49,MATCH(C3791,Products!$A$2:$A$49,0))</f>
        <v>38010</v>
      </c>
      <c r="I3791" s="33" t="n">
        <f aca="false">D3791*INDEX(Products!$D$2:$D$49,MATCH(C3791,Products!$A$2:$A$49,0))*(1+INDEX(Assumptions!$B$16:$B$20,MATCH(B3791,Assumptions!$A$16:$A$20,0)))</f>
        <v>34473.984</v>
      </c>
      <c r="J3791" s="33" t="n">
        <f aca="false">H3791-I3791</f>
        <v>3536.016</v>
      </c>
      <c r="K3791" s="33" t="n">
        <f aca="false">IF(OR(E3791=0,E3791&gt;=7),0,D3791/(7-E3791)*E3791*INDEX(Products!$E$2:$E$49,MATCH(C3791,Products!$A$2:$A$49,0)))</f>
        <v>0</v>
      </c>
    </row>
    <row r="3792" customFormat="false" ht="15" hidden="false" customHeight="false" outlineLevel="0" collapsed="false">
      <c r="A3792" s="36" t="n">
        <v>46223</v>
      </c>
      <c r="B3792" s="24" t="s">
        <v>64</v>
      </c>
      <c r="C3792" s="24" t="s">
        <v>129</v>
      </c>
      <c r="D3792" s="33" t="n">
        <v>168</v>
      </c>
      <c r="E3792" s="24" t="n">
        <v>0</v>
      </c>
      <c r="F3792" s="37" t="n">
        <f aca="false">DATE(YEAR(A3792),MONTH(A3792),1)</f>
        <v>46204</v>
      </c>
      <c r="G3792" s="24" t="str">
        <f aca="false">INDEX(Products!$C$2:$C$49,MATCH(C3792,Products!$A$2:$A$49,0))</f>
        <v>Grocery Staples</v>
      </c>
      <c r="H3792" s="33" t="n">
        <f aca="false">D3792*INDEX(Products!$E$2:$E$49,MATCH(C3792,Products!$A$2:$A$49,0))</f>
        <v>35280</v>
      </c>
      <c r="I3792" s="33" t="n">
        <f aca="false">D3792*INDEX(Products!$D$2:$D$49,MATCH(C3792,Products!$A$2:$A$49,0))*(1+INDEX(Assumptions!$B$16:$B$20,MATCH(B3792,Assumptions!$A$16:$A$20,0)))</f>
        <v>31997.952</v>
      </c>
      <c r="J3792" s="33" t="n">
        <f aca="false">H3792-I3792</f>
        <v>3282.048</v>
      </c>
      <c r="K3792" s="33" t="n">
        <f aca="false">IF(OR(E3792=0,E3792&gt;=7),0,D3792/(7-E3792)*E3792*INDEX(Products!$E$2:$E$49,MATCH(C3792,Products!$A$2:$A$49,0)))</f>
        <v>0</v>
      </c>
    </row>
    <row r="3793" customFormat="false" ht="15" hidden="false" customHeight="false" outlineLevel="0" collapsed="false">
      <c r="A3793" s="36" t="n">
        <v>46230</v>
      </c>
      <c r="B3793" s="24" t="s">
        <v>64</v>
      </c>
      <c r="C3793" s="24" t="s">
        <v>129</v>
      </c>
      <c r="D3793" s="33" t="n">
        <v>49</v>
      </c>
      <c r="E3793" s="24" t="n">
        <v>5</v>
      </c>
      <c r="F3793" s="37" t="n">
        <f aca="false">DATE(YEAR(A3793),MONTH(A3793),1)</f>
        <v>46204</v>
      </c>
      <c r="G3793" s="24" t="str">
        <f aca="false">INDEX(Products!$C$2:$C$49,MATCH(C3793,Products!$A$2:$A$49,0))</f>
        <v>Grocery Staples</v>
      </c>
      <c r="H3793" s="33" t="n">
        <f aca="false">D3793*INDEX(Products!$E$2:$E$49,MATCH(C3793,Products!$A$2:$A$49,0))</f>
        <v>10290</v>
      </c>
      <c r="I3793" s="33" t="n">
        <f aca="false">D3793*INDEX(Products!$D$2:$D$49,MATCH(C3793,Products!$A$2:$A$49,0))*(1+INDEX(Assumptions!$B$16:$B$20,MATCH(B3793,Assumptions!$A$16:$A$20,0)))</f>
        <v>9332.736</v>
      </c>
      <c r="J3793" s="33" t="n">
        <f aca="false">H3793-I3793</f>
        <v>957.263999999999</v>
      </c>
      <c r="K3793" s="33" t="n">
        <f aca="false">IF(OR(E3793=0,E3793&gt;=7),0,D3793/(7-E3793)*E3793*INDEX(Products!$E$2:$E$49,MATCH(C3793,Products!$A$2:$A$49,0)))</f>
        <v>25725</v>
      </c>
    </row>
    <row r="3794" customFormat="false" ht="15" hidden="false" customHeight="false" outlineLevel="0" collapsed="false">
      <c r="A3794" s="36" t="n">
        <v>46237</v>
      </c>
      <c r="B3794" s="24" t="s">
        <v>64</v>
      </c>
      <c r="C3794" s="24" t="s">
        <v>129</v>
      </c>
      <c r="D3794" s="33" t="n">
        <v>148</v>
      </c>
      <c r="E3794" s="24" t="n">
        <v>0</v>
      </c>
      <c r="F3794" s="37" t="n">
        <f aca="false">DATE(YEAR(A3794),MONTH(A3794),1)</f>
        <v>46235</v>
      </c>
      <c r="G3794" s="24" t="str">
        <f aca="false">INDEX(Products!$C$2:$C$49,MATCH(C3794,Products!$A$2:$A$49,0))</f>
        <v>Grocery Staples</v>
      </c>
      <c r="H3794" s="33" t="n">
        <f aca="false">D3794*INDEX(Products!$E$2:$E$49,MATCH(C3794,Products!$A$2:$A$49,0))</f>
        <v>31080</v>
      </c>
      <c r="I3794" s="33" t="n">
        <f aca="false">D3794*INDEX(Products!$D$2:$D$49,MATCH(C3794,Products!$A$2:$A$49,0))*(1+INDEX(Assumptions!$B$16:$B$20,MATCH(B3794,Assumptions!$A$16:$A$20,0)))</f>
        <v>28188.672</v>
      </c>
      <c r="J3794" s="33" t="n">
        <f aca="false">H3794-I3794</f>
        <v>2891.328</v>
      </c>
      <c r="K3794" s="33" t="n">
        <f aca="false">IF(OR(E3794=0,E3794&gt;=7),0,D3794/(7-E3794)*E3794*INDEX(Products!$E$2:$E$49,MATCH(C3794,Products!$A$2:$A$49,0)))</f>
        <v>0</v>
      </c>
    </row>
    <row r="3795" customFormat="false" ht="15" hidden="false" customHeight="false" outlineLevel="0" collapsed="false">
      <c r="A3795" s="36" t="n">
        <v>46244</v>
      </c>
      <c r="B3795" s="24" t="s">
        <v>64</v>
      </c>
      <c r="C3795" s="24" t="s">
        <v>129</v>
      </c>
      <c r="D3795" s="33" t="n">
        <v>172</v>
      </c>
      <c r="E3795" s="24" t="n">
        <v>0</v>
      </c>
      <c r="F3795" s="37" t="n">
        <f aca="false">DATE(YEAR(A3795),MONTH(A3795),1)</f>
        <v>46235</v>
      </c>
      <c r="G3795" s="24" t="str">
        <f aca="false">INDEX(Products!$C$2:$C$49,MATCH(C3795,Products!$A$2:$A$49,0))</f>
        <v>Grocery Staples</v>
      </c>
      <c r="H3795" s="33" t="n">
        <f aca="false">D3795*INDEX(Products!$E$2:$E$49,MATCH(C3795,Products!$A$2:$A$49,0))</f>
        <v>36120</v>
      </c>
      <c r="I3795" s="33" t="n">
        <f aca="false">D3795*INDEX(Products!$D$2:$D$49,MATCH(C3795,Products!$A$2:$A$49,0))*(1+INDEX(Assumptions!$B$16:$B$20,MATCH(B3795,Assumptions!$A$16:$A$20,0)))</f>
        <v>32759.808</v>
      </c>
      <c r="J3795" s="33" t="n">
        <f aca="false">H3795-I3795</f>
        <v>3360.192</v>
      </c>
      <c r="K3795" s="33" t="n">
        <f aca="false">IF(OR(E3795=0,E3795&gt;=7),0,D3795/(7-E3795)*E3795*INDEX(Products!$E$2:$E$49,MATCH(C3795,Products!$A$2:$A$49,0)))</f>
        <v>0</v>
      </c>
    </row>
    <row r="3796" customFormat="false" ht="15" hidden="false" customHeight="false" outlineLevel="0" collapsed="false">
      <c r="A3796" s="36" t="n">
        <v>46251</v>
      </c>
      <c r="B3796" s="24" t="s">
        <v>64</v>
      </c>
      <c r="C3796" s="24" t="s">
        <v>129</v>
      </c>
      <c r="D3796" s="33" t="n">
        <v>176</v>
      </c>
      <c r="E3796" s="24" t="n">
        <v>0</v>
      </c>
      <c r="F3796" s="37" t="n">
        <f aca="false">DATE(YEAR(A3796),MONTH(A3796),1)</f>
        <v>46235</v>
      </c>
      <c r="G3796" s="24" t="str">
        <f aca="false">INDEX(Products!$C$2:$C$49,MATCH(C3796,Products!$A$2:$A$49,0))</f>
        <v>Grocery Staples</v>
      </c>
      <c r="H3796" s="33" t="n">
        <f aca="false">D3796*INDEX(Products!$E$2:$E$49,MATCH(C3796,Products!$A$2:$A$49,0))</f>
        <v>36960</v>
      </c>
      <c r="I3796" s="33" t="n">
        <f aca="false">D3796*INDEX(Products!$D$2:$D$49,MATCH(C3796,Products!$A$2:$A$49,0))*(1+INDEX(Assumptions!$B$16:$B$20,MATCH(B3796,Assumptions!$A$16:$A$20,0)))</f>
        <v>33521.664</v>
      </c>
      <c r="J3796" s="33" t="n">
        <f aca="false">H3796-I3796</f>
        <v>3438.336</v>
      </c>
      <c r="K3796" s="33" t="n">
        <f aca="false">IF(OR(E3796=0,E3796&gt;=7),0,D3796/(7-E3796)*E3796*INDEX(Products!$E$2:$E$49,MATCH(C3796,Products!$A$2:$A$49,0)))</f>
        <v>0</v>
      </c>
    </row>
    <row r="3797" customFormat="false" ht="15" hidden="false" customHeight="false" outlineLevel="0" collapsed="false">
      <c r="A3797" s="36" t="n">
        <v>46258</v>
      </c>
      <c r="B3797" s="24" t="s">
        <v>64</v>
      </c>
      <c r="C3797" s="24" t="s">
        <v>129</v>
      </c>
      <c r="D3797" s="33" t="n">
        <v>177</v>
      </c>
      <c r="E3797" s="24" t="n">
        <v>0</v>
      </c>
      <c r="F3797" s="37" t="n">
        <f aca="false">DATE(YEAR(A3797),MONTH(A3797),1)</f>
        <v>46235</v>
      </c>
      <c r="G3797" s="24" t="str">
        <f aca="false">INDEX(Products!$C$2:$C$49,MATCH(C3797,Products!$A$2:$A$49,0))</f>
        <v>Grocery Staples</v>
      </c>
      <c r="H3797" s="33" t="n">
        <f aca="false">D3797*INDEX(Products!$E$2:$E$49,MATCH(C3797,Products!$A$2:$A$49,0))</f>
        <v>37170</v>
      </c>
      <c r="I3797" s="33" t="n">
        <f aca="false">D3797*INDEX(Products!$D$2:$D$49,MATCH(C3797,Products!$A$2:$A$49,0))*(1+INDEX(Assumptions!$B$16:$B$20,MATCH(B3797,Assumptions!$A$16:$A$20,0)))</f>
        <v>33712.128</v>
      </c>
      <c r="J3797" s="33" t="n">
        <f aca="false">H3797-I3797</f>
        <v>3457.872</v>
      </c>
      <c r="K3797" s="33" t="n">
        <f aca="false">IF(OR(E3797=0,E3797&gt;=7),0,D3797/(7-E3797)*E3797*INDEX(Products!$E$2:$E$49,MATCH(C3797,Products!$A$2:$A$49,0)))</f>
        <v>0</v>
      </c>
    </row>
    <row r="3798" customFormat="false" ht="15" hidden="false" customHeight="false" outlineLevel="0" collapsed="false">
      <c r="A3798" s="36" t="n">
        <v>46265</v>
      </c>
      <c r="B3798" s="24" t="s">
        <v>64</v>
      </c>
      <c r="C3798" s="24" t="s">
        <v>129</v>
      </c>
      <c r="D3798" s="33" t="n">
        <v>192</v>
      </c>
      <c r="E3798" s="24" t="n">
        <v>0</v>
      </c>
      <c r="F3798" s="37" t="n">
        <f aca="false">DATE(YEAR(A3798),MONTH(A3798),1)</f>
        <v>46235</v>
      </c>
      <c r="G3798" s="24" t="str">
        <f aca="false">INDEX(Products!$C$2:$C$49,MATCH(C3798,Products!$A$2:$A$49,0))</f>
        <v>Grocery Staples</v>
      </c>
      <c r="H3798" s="33" t="n">
        <f aca="false">D3798*INDEX(Products!$E$2:$E$49,MATCH(C3798,Products!$A$2:$A$49,0))</f>
        <v>40320</v>
      </c>
      <c r="I3798" s="33" t="n">
        <f aca="false">D3798*INDEX(Products!$D$2:$D$49,MATCH(C3798,Products!$A$2:$A$49,0))*(1+INDEX(Assumptions!$B$16:$B$20,MATCH(B3798,Assumptions!$A$16:$A$20,0)))</f>
        <v>36569.088</v>
      </c>
      <c r="J3798" s="33" t="n">
        <f aca="false">H3798-I3798</f>
        <v>3750.912</v>
      </c>
      <c r="K3798" s="33" t="n">
        <f aca="false">IF(OR(E3798=0,E3798&gt;=7),0,D3798/(7-E3798)*E3798*INDEX(Products!$E$2:$E$49,MATCH(C3798,Products!$A$2:$A$49,0)))</f>
        <v>0</v>
      </c>
    </row>
    <row r="3799" customFormat="false" ht="15" hidden="false" customHeight="false" outlineLevel="0" collapsed="false">
      <c r="A3799" s="36" t="n">
        <v>46272</v>
      </c>
      <c r="B3799" s="24" t="s">
        <v>64</v>
      </c>
      <c r="C3799" s="24" t="s">
        <v>129</v>
      </c>
      <c r="D3799" s="33" t="n">
        <v>191</v>
      </c>
      <c r="E3799" s="24" t="n">
        <v>0</v>
      </c>
      <c r="F3799" s="37" t="n">
        <f aca="false">DATE(YEAR(A3799),MONTH(A3799),1)</f>
        <v>46266</v>
      </c>
      <c r="G3799" s="24" t="str">
        <f aca="false">INDEX(Products!$C$2:$C$49,MATCH(C3799,Products!$A$2:$A$49,0))</f>
        <v>Grocery Staples</v>
      </c>
      <c r="H3799" s="33" t="n">
        <f aca="false">D3799*INDEX(Products!$E$2:$E$49,MATCH(C3799,Products!$A$2:$A$49,0))</f>
        <v>40110</v>
      </c>
      <c r="I3799" s="33" t="n">
        <f aca="false">D3799*INDEX(Products!$D$2:$D$49,MATCH(C3799,Products!$A$2:$A$49,0))*(1+INDEX(Assumptions!$B$16:$B$20,MATCH(B3799,Assumptions!$A$16:$A$20,0)))</f>
        <v>36378.624</v>
      </c>
      <c r="J3799" s="33" t="n">
        <f aca="false">H3799-I3799</f>
        <v>3731.376</v>
      </c>
      <c r="K3799" s="33" t="n">
        <f aca="false">IF(OR(E3799=0,E3799&gt;=7),0,D3799/(7-E3799)*E3799*INDEX(Products!$E$2:$E$49,MATCH(C3799,Products!$A$2:$A$49,0)))</f>
        <v>0</v>
      </c>
    </row>
    <row r="3800" customFormat="false" ht="15" hidden="false" customHeight="false" outlineLevel="0" collapsed="false">
      <c r="A3800" s="36" t="n">
        <v>46279</v>
      </c>
      <c r="B3800" s="24" t="s">
        <v>64</v>
      </c>
      <c r="C3800" s="24" t="s">
        <v>129</v>
      </c>
      <c r="D3800" s="33" t="n">
        <v>155</v>
      </c>
      <c r="E3800" s="24" t="n">
        <v>0</v>
      </c>
      <c r="F3800" s="37" t="n">
        <f aca="false">DATE(YEAR(A3800),MONTH(A3800),1)</f>
        <v>46266</v>
      </c>
      <c r="G3800" s="24" t="str">
        <f aca="false">INDEX(Products!$C$2:$C$49,MATCH(C3800,Products!$A$2:$A$49,0))</f>
        <v>Grocery Staples</v>
      </c>
      <c r="H3800" s="33" t="n">
        <f aca="false">D3800*INDEX(Products!$E$2:$E$49,MATCH(C3800,Products!$A$2:$A$49,0))</f>
        <v>32550</v>
      </c>
      <c r="I3800" s="33" t="n">
        <f aca="false">D3800*INDEX(Products!$D$2:$D$49,MATCH(C3800,Products!$A$2:$A$49,0))*(1+INDEX(Assumptions!$B$16:$B$20,MATCH(B3800,Assumptions!$A$16:$A$20,0)))</f>
        <v>29521.92</v>
      </c>
      <c r="J3800" s="33" t="n">
        <f aca="false">H3800-I3800</f>
        <v>3028.08</v>
      </c>
      <c r="K3800" s="33" t="n">
        <f aca="false">IF(OR(E3800=0,E3800&gt;=7),0,D3800/(7-E3800)*E3800*INDEX(Products!$E$2:$E$49,MATCH(C3800,Products!$A$2:$A$49,0)))</f>
        <v>0</v>
      </c>
    </row>
    <row r="3801" customFormat="false" ht="15" hidden="false" customHeight="false" outlineLevel="0" collapsed="false">
      <c r="A3801" s="36" t="n">
        <v>46286</v>
      </c>
      <c r="B3801" s="24" t="s">
        <v>64</v>
      </c>
      <c r="C3801" s="24" t="s">
        <v>129</v>
      </c>
      <c r="D3801" s="33" t="n">
        <v>190</v>
      </c>
      <c r="E3801" s="24" t="n">
        <v>0</v>
      </c>
      <c r="F3801" s="37" t="n">
        <f aca="false">DATE(YEAR(A3801),MONTH(A3801),1)</f>
        <v>46266</v>
      </c>
      <c r="G3801" s="24" t="str">
        <f aca="false">INDEX(Products!$C$2:$C$49,MATCH(C3801,Products!$A$2:$A$49,0))</f>
        <v>Grocery Staples</v>
      </c>
      <c r="H3801" s="33" t="n">
        <f aca="false">D3801*INDEX(Products!$E$2:$E$49,MATCH(C3801,Products!$A$2:$A$49,0))</f>
        <v>39900</v>
      </c>
      <c r="I3801" s="33" t="n">
        <f aca="false">D3801*INDEX(Products!$D$2:$D$49,MATCH(C3801,Products!$A$2:$A$49,0))*(1+INDEX(Assumptions!$B$16:$B$20,MATCH(B3801,Assumptions!$A$16:$A$20,0)))</f>
        <v>36188.16</v>
      </c>
      <c r="J3801" s="33" t="n">
        <f aca="false">H3801-I3801</f>
        <v>3711.84</v>
      </c>
      <c r="K3801" s="33" t="n">
        <f aca="false">IF(OR(E3801=0,E3801&gt;=7),0,D3801/(7-E3801)*E3801*INDEX(Products!$E$2:$E$49,MATCH(C3801,Products!$A$2:$A$49,0)))</f>
        <v>0</v>
      </c>
    </row>
    <row r="3802" customFormat="false" ht="15" hidden="false" customHeight="false" outlineLevel="0" collapsed="false">
      <c r="A3802" s="36" t="n">
        <v>46118</v>
      </c>
      <c r="B3802" s="24" t="s">
        <v>64</v>
      </c>
      <c r="C3802" s="24" t="s">
        <v>131</v>
      </c>
      <c r="D3802" s="33" t="n">
        <v>28</v>
      </c>
      <c r="E3802" s="24" t="n">
        <v>0</v>
      </c>
      <c r="F3802" s="37" t="n">
        <f aca="false">DATE(YEAR(A3802),MONTH(A3802),1)</f>
        <v>46113</v>
      </c>
      <c r="G3802" s="24" t="str">
        <f aca="false">INDEX(Products!$C$2:$C$49,MATCH(C3802,Products!$A$2:$A$49,0))</f>
        <v>Dairy &amp; Eggs</v>
      </c>
      <c r="H3802" s="33" t="n">
        <f aca="false">D3802*INDEX(Products!$E$2:$E$49,MATCH(C3802,Products!$A$2:$A$49,0))</f>
        <v>1820</v>
      </c>
      <c r="I3802" s="33" t="n">
        <f aca="false">D3802*INDEX(Products!$D$2:$D$49,MATCH(C3802,Products!$A$2:$A$49,0))*(1+INDEX(Assumptions!$B$16:$B$20,MATCH(B3802,Assumptions!$A$16:$A$20,0)))</f>
        <v>1462.272</v>
      </c>
      <c r="J3802" s="33" t="n">
        <f aca="false">H3802-I3802</f>
        <v>357.728</v>
      </c>
      <c r="K3802" s="33" t="n">
        <f aca="false">IF(OR(E3802=0,E3802&gt;=7),0,D3802/(7-E3802)*E3802*INDEX(Products!$E$2:$E$49,MATCH(C3802,Products!$A$2:$A$49,0)))</f>
        <v>0</v>
      </c>
    </row>
    <row r="3803" customFormat="false" ht="15" hidden="false" customHeight="false" outlineLevel="0" collapsed="false">
      <c r="A3803" s="36" t="n">
        <v>46125</v>
      </c>
      <c r="B3803" s="24" t="s">
        <v>64</v>
      </c>
      <c r="C3803" s="24" t="s">
        <v>131</v>
      </c>
      <c r="D3803" s="33" t="n">
        <v>36</v>
      </c>
      <c r="E3803" s="24" t="n">
        <v>0</v>
      </c>
      <c r="F3803" s="37" t="n">
        <f aca="false">DATE(YEAR(A3803),MONTH(A3803),1)</f>
        <v>46113</v>
      </c>
      <c r="G3803" s="24" t="str">
        <f aca="false">INDEX(Products!$C$2:$C$49,MATCH(C3803,Products!$A$2:$A$49,0))</f>
        <v>Dairy &amp; Eggs</v>
      </c>
      <c r="H3803" s="33" t="n">
        <f aca="false">D3803*INDEX(Products!$E$2:$E$49,MATCH(C3803,Products!$A$2:$A$49,0))</f>
        <v>2340</v>
      </c>
      <c r="I3803" s="33" t="n">
        <f aca="false">D3803*INDEX(Products!$D$2:$D$49,MATCH(C3803,Products!$A$2:$A$49,0))*(1+INDEX(Assumptions!$B$16:$B$20,MATCH(B3803,Assumptions!$A$16:$A$20,0)))</f>
        <v>1880.064</v>
      </c>
      <c r="J3803" s="33" t="n">
        <f aca="false">H3803-I3803</f>
        <v>459.936</v>
      </c>
      <c r="K3803" s="33" t="n">
        <f aca="false">IF(OR(E3803=0,E3803&gt;=7),0,D3803/(7-E3803)*E3803*INDEX(Products!$E$2:$E$49,MATCH(C3803,Products!$A$2:$A$49,0)))</f>
        <v>0</v>
      </c>
    </row>
    <row r="3804" customFormat="false" ht="15" hidden="false" customHeight="false" outlineLevel="0" collapsed="false">
      <c r="A3804" s="36" t="n">
        <v>46132</v>
      </c>
      <c r="B3804" s="24" t="s">
        <v>64</v>
      </c>
      <c r="C3804" s="24" t="s">
        <v>131</v>
      </c>
      <c r="D3804" s="33" t="n">
        <v>23</v>
      </c>
      <c r="E3804" s="24" t="n">
        <v>0</v>
      </c>
      <c r="F3804" s="37" t="n">
        <f aca="false">DATE(YEAR(A3804),MONTH(A3804),1)</f>
        <v>46113</v>
      </c>
      <c r="G3804" s="24" t="str">
        <f aca="false">INDEX(Products!$C$2:$C$49,MATCH(C3804,Products!$A$2:$A$49,0))</f>
        <v>Dairy &amp; Eggs</v>
      </c>
      <c r="H3804" s="33" t="n">
        <f aca="false">D3804*INDEX(Products!$E$2:$E$49,MATCH(C3804,Products!$A$2:$A$49,0))</f>
        <v>1495</v>
      </c>
      <c r="I3804" s="33" t="n">
        <f aca="false">D3804*INDEX(Products!$D$2:$D$49,MATCH(C3804,Products!$A$2:$A$49,0))*(1+INDEX(Assumptions!$B$16:$B$20,MATCH(B3804,Assumptions!$A$16:$A$20,0)))</f>
        <v>1201.152</v>
      </c>
      <c r="J3804" s="33" t="n">
        <f aca="false">H3804-I3804</f>
        <v>293.848</v>
      </c>
      <c r="K3804" s="33" t="n">
        <f aca="false">IF(OR(E3804=0,E3804&gt;=7),0,D3804/(7-E3804)*E3804*INDEX(Products!$E$2:$E$49,MATCH(C3804,Products!$A$2:$A$49,0)))</f>
        <v>0</v>
      </c>
    </row>
    <row r="3805" customFormat="false" ht="15" hidden="false" customHeight="false" outlineLevel="0" collapsed="false">
      <c r="A3805" s="36" t="n">
        <v>46139</v>
      </c>
      <c r="B3805" s="24" t="s">
        <v>64</v>
      </c>
      <c r="C3805" s="24" t="s">
        <v>131</v>
      </c>
      <c r="D3805" s="33" t="n">
        <v>25</v>
      </c>
      <c r="E3805" s="24" t="n">
        <v>0</v>
      </c>
      <c r="F3805" s="37" t="n">
        <f aca="false">DATE(YEAR(A3805),MONTH(A3805),1)</f>
        <v>46113</v>
      </c>
      <c r="G3805" s="24" t="str">
        <f aca="false">INDEX(Products!$C$2:$C$49,MATCH(C3805,Products!$A$2:$A$49,0))</f>
        <v>Dairy &amp; Eggs</v>
      </c>
      <c r="H3805" s="33" t="n">
        <f aca="false">D3805*INDEX(Products!$E$2:$E$49,MATCH(C3805,Products!$A$2:$A$49,0))</f>
        <v>1625</v>
      </c>
      <c r="I3805" s="33" t="n">
        <f aca="false">D3805*INDEX(Products!$D$2:$D$49,MATCH(C3805,Products!$A$2:$A$49,0))*(1+INDEX(Assumptions!$B$16:$B$20,MATCH(B3805,Assumptions!$A$16:$A$20,0)))</f>
        <v>1305.6</v>
      </c>
      <c r="J3805" s="33" t="n">
        <f aca="false">H3805-I3805</f>
        <v>319.4</v>
      </c>
      <c r="K3805" s="33" t="n">
        <f aca="false">IF(OR(E3805=0,E3805&gt;=7),0,D3805/(7-E3805)*E3805*INDEX(Products!$E$2:$E$49,MATCH(C3805,Products!$A$2:$A$49,0)))</f>
        <v>0</v>
      </c>
    </row>
    <row r="3806" customFormat="false" ht="15" hidden="false" customHeight="false" outlineLevel="0" collapsed="false">
      <c r="A3806" s="36" t="n">
        <v>46146</v>
      </c>
      <c r="B3806" s="24" t="s">
        <v>64</v>
      </c>
      <c r="C3806" s="24" t="s">
        <v>131</v>
      </c>
      <c r="D3806" s="33" t="n">
        <v>25</v>
      </c>
      <c r="E3806" s="24" t="n">
        <v>0</v>
      </c>
      <c r="F3806" s="37" t="n">
        <f aca="false">DATE(YEAR(A3806),MONTH(A3806),1)</f>
        <v>46143</v>
      </c>
      <c r="G3806" s="24" t="str">
        <f aca="false">INDEX(Products!$C$2:$C$49,MATCH(C3806,Products!$A$2:$A$49,0))</f>
        <v>Dairy &amp; Eggs</v>
      </c>
      <c r="H3806" s="33" t="n">
        <f aca="false">D3806*INDEX(Products!$E$2:$E$49,MATCH(C3806,Products!$A$2:$A$49,0))</f>
        <v>1625</v>
      </c>
      <c r="I3806" s="33" t="n">
        <f aca="false">D3806*INDEX(Products!$D$2:$D$49,MATCH(C3806,Products!$A$2:$A$49,0))*(1+INDEX(Assumptions!$B$16:$B$20,MATCH(B3806,Assumptions!$A$16:$A$20,0)))</f>
        <v>1305.6</v>
      </c>
      <c r="J3806" s="33" t="n">
        <f aca="false">H3806-I3806</f>
        <v>319.4</v>
      </c>
      <c r="K3806" s="33" t="n">
        <f aca="false">IF(OR(E3806=0,E3806&gt;=7),0,D3806/(7-E3806)*E3806*INDEX(Products!$E$2:$E$49,MATCH(C3806,Products!$A$2:$A$49,0)))</f>
        <v>0</v>
      </c>
    </row>
    <row r="3807" customFormat="false" ht="15" hidden="false" customHeight="false" outlineLevel="0" collapsed="false">
      <c r="A3807" s="36" t="n">
        <v>46153</v>
      </c>
      <c r="B3807" s="24" t="s">
        <v>64</v>
      </c>
      <c r="C3807" s="24" t="s">
        <v>131</v>
      </c>
      <c r="D3807" s="33" t="n">
        <v>24</v>
      </c>
      <c r="E3807" s="24" t="n">
        <v>0</v>
      </c>
      <c r="F3807" s="37" t="n">
        <f aca="false">DATE(YEAR(A3807),MONTH(A3807),1)</f>
        <v>46143</v>
      </c>
      <c r="G3807" s="24" t="str">
        <f aca="false">INDEX(Products!$C$2:$C$49,MATCH(C3807,Products!$A$2:$A$49,0))</f>
        <v>Dairy &amp; Eggs</v>
      </c>
      <c r="H3807" s="33" t="n">
        <f aca="false">D3807*INDEX(Products!$E$2:$E$49,MATCH(C3807,Products!$A$2:$A$49,0))</f>
        <v>1560</v>
      </c>
      <c r="I3807" s="33" t="n">
        <f aca="false">D3807*INDEX(Products!$D$2:$D$49,MATCH(C3807,Products!$A$2:$A$49,0))*(1+INDEX(Assumptions!$B$16:$B$20,MATCH(B3807,Assumptions!$A$16:$A$20,0)))</f>
        <v>1253.376</v>
      </c>
      <c r="J3807" s="33" t="n">
        <f aca="false">H3807-I3807</f>
        <v>306.624</v>
      </c>
      <c r="K3807" s="33" t="n">
        <f aca="false">IF(OR(E3807=0,E3807&gt;=7),0,D3807/(7-E3807)*E3807*INDEX(Products!$E$2:$E$49,MATCH(C3807,Products!$A$2:$A$49,0)))</f>
        <v>0</v>
      </c>
    </row>
    <row r="3808" customFormat="false" ht="15" hidden="false" customHeight="false" outlineLevel="0" collapsed="false">
      <c r="A3808" s="36" t="n">
        <v>46160</v>
      </c>
      <c r="B3808" s="24" t="s">
        <v>64</v>
      </c>
      <c r="C3808" s="24" t="s">
        <v>131</v>
      </c>
      <c r="D3808" s="33" t="n">
        <v>22</v>
      </c>
      <c r="E3808" s="24" t="n">
        <v>0</v>
      </c>
      <c r="F3808" s="37" t="n">
        <f aca="false">DATE(YEAR(A3808),MONTH(A3808),1)</f>
        <v>46143</v>
      </c>
      <c r="G3808" s="24" t="str">
        <f aca="false">INDEX(Products!$C$2:$C$49,MATCH(C3808,Products!$A$2:$A$49,0))</f>
        <v>Dairy &amp; Eggs</v>
      </c>
      <c r="H3808" s="33" t="n">
        <f aca="false">D3808*INDEX(Products!$E$2:$E$49,MATCH(C3808,Products!$A$2:$A$49,0))</f>
        <v>1430</v>
      </c>
      <c r="I3808" s="33" t="n">
        <f aca="false">D3808*INDEX(Products!$D$2:$D$49,MATCH(C3808,Products!$A$2:$A$49,0))*(1+INDEX(Assumptions!$B$16:$B$20,MATCH(B3808,Assumptions!$A$16:$A$20,0)))</f>
        <v>1148.928</v>
      </c>
      <c r="J3808" s="33" t="n">
        <f aca="false">H3808-I3808</f>
        <v>281.072</v>
      </c>
      <c r="K3808" s="33" t="n">
        <f aca="false">IF(OR(E3808=0,E3808&gt;=7),0,D3808/(7-E3808)*E3808*INDEX(Products!$E$2:$E$49,MATCH(C3808,Products!$A$2:$A$49,0)))</f>
        <v>0</v>
      </c>
    </row>
    <row r="3809" customFormat="false" ht="15" hidden="false" customHeight="false" outlineLevel="0" collapsed="false">
      <c r="A3809" s="36" t="n">
        <v>46167</v>
      </c>
      <c r="B3809" s="24" t="s">
        <v>64</v>
      </c>
      <c r="C3809" s="24" t="s">
        <v>131</v>
      </c>
      <c r="D3809" s="33" t="n">
        <v>26</v>
      </c>
      <c r="E3809" s="24" t="n">
        <v>0</v>
      </c>
      <c r="F3809" s="37" t="n">
        <f aca="false">DATE(YEAR(A3809),MONTH(A3809),1)</f>
        <v>46143</v>
      </c>
      <c r="G3809" s="24" t="str">
        <f aca="false">INDEX(Products!$C$2:$C$49,MATCH(C3809,Products!$A$2:$A$49,0))</f>
        <v>Dairy &amp; Eggs</v>
      </c>
      <c r="H3809" s="33" t="n">
        <f aca="false">D3809*INDEX(Products!$E$2:$E$49,MATCH(C3809,Products!$A$2:$A$49,0))</f>
        <v>1690</v>
      </c>
      <c r="I3809" s="33" t="n">
        <f aca="false">D3809*INDEX(Products!$D$2:$D$49,MATCH(C3809,Products!$A$2:$A$49,0))*(1+INDEX(Assumptions!$B$16:$B$20,MATCH(B3809,Assumptions!$A$16:$A$20,0)))</f>
        <v>1357.824</v>
      </c>
      <c r="J3809" s="33" t="n">
        <f aca="false">H3809-I3809</f>
        <v>332.176</v>
      </c>
      <c r="K3809" s="33" t="n">
        <f aca="false">IF(OR(E3809=0,E3809&gt;=7),0,D3809/(7-E3809)*E3809*INDEX(Products!$E$2:$E$49,MATCH(C3809,Products!$A$2:$A$49,0)))</f>
        <v>0</v>
      </c>
    </row>
    <row r="3810" customFormat="false" ht="15" hidden="false" customHeight="false" outlineLevel="0" collapsed="false">
      <c r="A3810" s="36" t="n">
        <v>46174</v>
      </c>
      <c r="B3810" s="24" t="s">
        <v>64</v>
      </c>
      <c r="C3810" s="24" t="s">
        <v>131</v>
      </c>
      <c r="D3810" s="33" t="n">
        <v>23</v>
      </c>
      <c r="E3810" s="24" t="n">
        <v>0</v>
      </c>
      <c r="F3810" s="37" t="n">
        <f aca="false">DATE(YEAR(A3810),MONTH(A3810),1)</f>
        <v>46174</v>
      </c>
      <c r="G3810" s="24" t="str">
        <f aca="false">INDEX(Products!$C$2:$C$49,MATCH(C3810,Products!$A$2:$A$49,0))</f>
        <v>Dairy &amp; Eggs</v>
      </c>
      <c r="H3810" s="33" t="n">
        <f aca="false">D3810*INDEX(Products!$E$2:$E$49,MATCH(C3810,Products!$A$2:$A$49,0))</f>
        <v>1495</v>
      </c>
      <c r="I3810" s="33" t="n">
        <f aca="false">D3810*INDEX(Products!$D$2:$D$49,MATCH(C3810,Products!$A$2:$A$49,0))*(1+INDEX(Assumptions!$B$16:$B$20,MATCH(B3810,Assumptions!$A$16:$A$20,0)))</f>
        <v>1201.152</v>
      </c>
      <c r="J3810" s="33" t="n">
        <f aca="false">H3810-I3810</f>
        <v>293.848</v>
      </c>
      <c r="K3810" s="33" t="n">
        <f aca="false">IF(OR(E3810=0,E3810&gt;=7),0,D3810/(7-E3810)*E3810*INDEX(Products!$E$2:$E$49,MATCH(C3810,Products!$A$2:$A$49,0)))</f>
        <v>0</v>
      </c>
    </row>
    <row r="3811" customFormat="false" ht="15" hidden="false" customHeight="false" outlineLevel="0" collapsed="false">
      <c r="A3811" s="36" t="n">
        <v>46181</v>
      </c>
      <c r="B3811" s="24" t="s">
        <v>64</v>
      </c>
      <c r="C3811" s="24" t="s">
        <v>131</v>
      </c>
      <c r="D3811" s="33" t="n">
        <v>30</v>
      </c>
      <c r="E3811" s="24" t="n">
        <v>0</v>
      </c>
      <c r="F3811" s="37" t="n">
        <f aca="false">DATE(YEAR(A3811),MONTH(A3811),1)</f>
        <v>46174</v>
      </c>
      <c r="G3811" s="24" t="str">
        <f aca="false">INDEX(Products!$C$2:$C$49,MATCH(C3811,Products!$A$2:$A$49,0))</f>
        <v>Dairy &amp; Eggs</v>
      </c>
      <c r="H3811" s="33" t="n">
        <f aca="false">D3811*INDEX(Products!$E$2:$E$49,MATCH(C3811,Products!$A$2:$A$49,0))</f>
        <v>1950</v>
      </c>
      <c r="I3811" s="33" t="n">
        <f aca="false">D3811*INDEX(Products!$D$2:$D$49,MATCH(C3811,Products!$A$2:$A$49,0))*(1+INDEX(Assumptions!$B$16:$B$20,MATCH(B3811,Assumptions!$A$16:$A$20,0)))</f>
        <v>1566.72</v>
      </c>
      <c r="J3811" s="33" t="n">
        <f aca="false">H3811-I3811</f>
        <v>383.28</v>
      </c>
      <c r="K3811" s="33" t="n">
        <f aca="false">IF(OR(E3811=0,E3811&gt;=7),0,D3811/(7-E3811)*E3811*INDEX(Products!$E$2:$E$49,MATCH(C3811,Products!$A$2:$A$49,0)))</f>
        <v>0</v>
      </c>
    </row>
    <row r="3812" customFormat="false" ht="15" hidden="false" customHeight="false" outlineLevel="0" collapsed="false">
      <c r="A3812" s="36" t="n">
        <v>46188</v>
      </c>
      <c r="B3812" s="24" t="s">
        <v>64</v>
      </c>
      <c r="C3812" s="24" t="s">
        <v>131</v>
      </c>
      <c r="D3812" s="33" t="n">
        <v>31</v>
      </c>
      <c r="E3812" s="24" t="n">
        <v>0</v>
      </c>
      <c r="F3812" s="37" t="n">
        <f aca="false">DATE(YEAR(A3812),MONTH(A3812),1)</f>
        <v>46174</v>
      </c>
      <c r="G3812" s="24" t="str">
        <f aca="false">INDEX(Products!$C$2:$C$49,MATCH(C3812,Products!$A$2:$A$49,0))</f>
        <v>Dairy &amp; Eggs</v>
      </c>
      <c r="H3812" s="33" t="n">
        <f aca="false">D3812*INDEX(Products!$E$2:$E$49,MATCH(C3812,Products!$A$2:$A$49,0))</f>
        <v>2015</v>
      </c>
      <c r="I3812" s="33" t="n">
        <f aca="false">D3812*INDEX(Products!$D$2:$D$49,MATCH(C3812,Products!$A$2:$A$49,0))*(1+INDEX(Assumptions!$B$16:$B$20,MATCH(B3812,Assumptions!$A$16:$A$20,0)))</f>
        <v>1618.944</v>
      </c>
      <c r="J3812" s="33" t="n">
        <f aca="false">H3812-I3812</f>
        <v>396.056</v>
      </c>
      <c r="K3812" s="33" t="n">
        <f aca="false">IF(OR(E3812=0,E3812&gt;=7),0,D3812/(7-E3812)*E3812*INDEX(Products!$E$2:$E$49,MATCH(C3812,Products!$A$2:$A$49,0)))</f>
        <v>0</v>
      </c>
    </row>
    <row r="3813" customFormat="false" ht="15" hidden="false" customHeight="false" outlineLevel="0" collapsed="false">
      <c r="A3813" s="36" t="n">
        <v>46195</v>
      </c>
      <c r="B3813" s="24" t="s">
        <v>64</v>
      </c>
      <c r="C3813" s="24" t="s">
        <v>131</v>
      </c>
      <c r="D3813" s="33" t="n">
        <v>31</v>
      </c>
      <c r="E3813" s="24" t="n">
        <v>0</v>
      </c>
      <c r="F3813" s="37" t="n">
        <f aca="false">DATE(YEAR(A3813),MONTH(A3813),1)</f>
        <v>46174</v>
      </c>
      <c r="G3813" s="24" t="str">
        <f aca="false">INDEX(Products!$C$2:$C$49,MATCH(C3813,Products!$A$2:$A$49,0))</f>
        <v>Dairy &amp; Eggs</v>
      </c>
      <c r="H3813" s="33" t="n">
        <f aca="false">D3813*INDEX(Products!$E$2:$E$49,MATCH(C3813,Products!$A$2:$A$49,0))</f>
        <v>2015</v>
      </c>
      <c r="I3813" s="33" t="n">
        <f aca="false">D3813*INDEX(Products!$D$2:$D$49,MATCH(C3813,Products!$A$2:$A$49,0))*(1+INDEX(Assumptions!$B$16:$B$20,MATCH(B3813,Assumptions!$A$16:$A$20,0)))</f>
        <v>1618.944</v>
      </c>
      <c r="J3813" s="33" t="n">
        <f aca="false">H3813-I3813</f>
        <v>396.056</v>
      </c>
      <c r="K3813" s="33" t="n">
        <f aca="false">IF(OR(E3813=0,E3813&gt;=7),0,D3813/(7-E3813)*E3813*INDEX(Products!$E$2:$E$49,MATCH(C3813,Products!$A$2:$A$49,0)))</f>
        <v>0</v>
      </c>
    </row>
    <row r="3814" customFormat="false" ht="15" hidden="false" customHeight="false" outlineLevel="0" collapsed="false">
      <c r="A3814" s="36" t="n">
        <v>46202</v>
      </c>
      <c r="B3814" s="24" t="s">
        <v>64</v>
      </c>
      <c r="C3814" s="24" t="s">
        <v>131</v>
      </c>
      <c r="D3814" s="33" t="n">
        <v>22</v>
      </c>
      <c r="E3814" s="24" t="n">
        <v>0</v>
      </c>
      <c r="F3814" s="37" t="n">
        <f aca="false">DATE(YEAR(A3814),MONTH(A3814),1)</f>
        <v>46174</v>
      </c>
      <c r="G3814" s="24" t="str">
        <f aca="false">INDEX(Products!$C$2:$C$49,MATCH(C3814,Products!$A$2:$A$49,0))</f>
        <v>Dairy &amp; Eggs</v>
      </c>
      <c r="H3814" s="33" t="n">
        <f aca="false">D3814*INDEX(Products!$E$2:$E$49,MATCH(C3814,Products!$A$2:$A$49,0))</f>
        <v>1430</v>
      </c>
      <c r="I3814" s="33" t="n">
        <f aca="false">D3814*INDEX(Products!$D$2:$D$49,MATCH(C3814,Products!$A$2:$A$49,0))*(1+INDEX(Assumptions!$B$16:$B$20,MATCH(B3814,Assumptions!$A$16:$A$20,0)))</f>
        <v>1148.928</v>
      </c>
      <c r="J3814" s="33" t="n">
        <f aca="false">H3814-I3814</f>
        <v>281.072</v>
      </c>
      <c r="K3814" s="33" t="n">
        <f aca="false">IF(OR(E3814=0,E3814&gt;=7),0,D3814/(7-E3814)*E3814*INDEX(Products!$E$2:$E$49,MATCH(C3814,Products!$A$2:$A$49,0)))</f>
        <v>0</v>
      </c>
    </row>
    <row r="3815" customFormat="false" ht="15" hidden="false" customHeight="false" outlineLevel="0" collapsed="false">
      <c r="A3815" s="36" t="n">
        <v>46209</v>
      </c>
      <c r="B3815" s="24" t="s">
        <v>64</v>
      </c>
      <c r="C3815" s="24" t="s">
        <v>131</v>
      </c>
      <c r="D3815" s="33" t="n">
        <v>24</v>
      </c>
      <c r="E3815" s="24" t="n">
        <v>0</v>
      </c>
      <c r="F3815" s="37" t="n">
        <f aca="false">DATE(YEAR(A3815),MONTH(A3815),1)</f>
        <v>46204</v>
      </c>
      <c r="G3815" s="24" t="str">
        <f aca="false">INDEX(Products!$C$2:$C$49,MATCH(C3815,Products!$A$2:$A$49,0))</f>
        <v>Dairy &amp; Eggs</v>
      </c>
      <c r="H3815" s="33" t="n">
        <f aca="false">D3815*INDEX(Products!$E$2:$E$49,MATCH(C3815,Products!$A$2:$A$49,0))</f>
        <v>1560</v>
      </c>
      <c r="I3815" s="33" t="n">
        <f aca="false">D3815*INDEX(Products!$D$2:$D$49,MATCH(C3815,Products!$A$2:$A$49,0))*(1+INDEX(Assumptions!$B$16:$B$20,MATCH(B3815,Assumptions!$A$16:$A$20,0)))</f>
        <v>1253.376</v>
      </c>
      <c r="J3815" s="33" t="n">
        <f aca="false">H3815-I3815</f>
        <v>306.624</v>
      </c>
      <c r="K3815" s="33" t="n">
        <f aca="false">IF(OR(E3815=0,E3815&gt;=7),0,D3815/(7-E3815)*E3815*INDEX(Products!$E$2:$E$49,MATCH(C3815,Products!$A$2:$A$49,0)))</f>
        <v>0</v>
      </c>
    </row>
    <row r="3816" customFormat="false" ht="15" hidden="false" customHeight="false" outlineLevel="0" collapsed="false">
      <c r="A3816" s="36" t="n">
        <v>46216</v>
      </c>
      <c r="B3816" s="24" t="s">
        <v>64</v>
      </c>
      <c r="C3816" s="24" t="s">
        <v>131</v>
      </c>
      <c r="D3816" s="33" t="n">
        <v>23</v>
      </c>
      <c r="E3816" s="24" t="n">
        <v>0</v>
      </c>
      <c r="F3816" s="37" t="n">
        <f aca="false">DATE(YEAR(A3816),MONTH(A3816),1)</f>
        <v>46204</v>
      </c>
      <c r="G3816" s="24" t="str">
        <f aca="false">INDEX(Products!$C$2:$C$49,MATCH(C3816,Products!$A$2:$A$49,0))</f>
        <v>Dairy &amp; Eggs</v>
      </c>
      <c r="H3816" s="33" t="n">
        <f aca="false">D3816*INDEX(Products!$E$2:$E$49,MATCH(C3816,Products!$A$2:$A$49,0))</f>
        <v>1495</v>
      </c>
      <c r="I3816" s="33" t="n">
        <f aca="false">D3816*INDEX(Products!$D$2:$D$49,MATCH(C3816,Products!$A$2:$A$49,0))*(1+INDEX(Assumptions!$B$16:$B$20,MATCH(B3816,Assumptions!$A$16:$A$20,0)))</f>
        <v>1201.152</v>
      </c>
      <c r="J3816" s="33" t="n">
        <f aca="false">H3816-I3816</f>
        <v>293.848</v>
      </c>
      <c r="K3816" s="33" t="n">
        <f aca="false">IF(OR(E3816=0,E3816&gt;=7),0,D3816/(7-E3816)*E3816*INDEX(Products!$E$2:$E$49,MATCH(C3816,Products!$A$2:$A$49,0)))</f>
        <v>0</v>
      </c>
    </row>
    <row r="3817" customFormat="false" ht="15" hidden="false" customHeight="false" outlineLevel="0" collapsed="false">
      <c r="A3817" s="36" t="n">
        <v>46223</v>
      </c>
      <c r="B3817" s="24" t="s">
        <v>64</v>
      </c>
      <c r="C3817" s="24" t="s">
        <v>131</v>
      </c>
      <c r="D3817" s="33" t="n">
        <v>16</v>
      </c>
      <c r="E3817" s="24" t="n">
        <v>0</v>
      </c>
      <c r="F3817" s="37" t="n">
        <f aca="false">DATE(YEAR(A3817),MONTH(A3817),1)</f>
        <v>46204</v>
      </c>
      <c r="G3817" s="24" t="str">
        <f aca="false">INDEX(Products!$C$2:$C$49,MATCH(C3817,Products!$A$2:$A$49,0))</f>
        <v>Dairy &amp; Eggs</v>
      </c>
      <c r="H3817" s="33" t="n">
        <f aca="false">D3817*INDEX(Products!$E$2:$E$49,MATCH(C3817,Products!$A$2:$A$49,0))</f>
        <v>1040</v>
      </c>
      <c r="I3817" s="33" t="n">
        <f aca="false">D3817*INDEX(Products!$D$2:$D$49,MATCH(C3817,Products!$A$2:$A$49,0))*(1+INDEX(Assumptions!$B$16:$B$20,MATCH(B3817,Assumptions!$A$16:$A$20,0)))</f>
        <v>835.584</v>
      </c>
      <c r="J3817" s="33" t="n">
        <f aca="false">H3817-I3817</f>
        <v>204.416</v>
      </c>
      <c r="K3817" s="33" t="n">
        <f aca="false">IF(OR(E3817=0,E3817&gt;=7),0,D3817/(7-E3817)*E3817*INDEX(Products!$E$2:$E$49,MATCH(C3817,Products!$A$2:$A$49,0)))</f>
        <v>0</v>
      </c>
    </row>
    <row r="3818" customFormat="false" ht="15" hidden="false" customHeight="false" outlineLevel="0" collapsed="false">
      <c r="A3818" s="36" t="n">
        <v>46230</v>
      </c>
      <c r="B3818" s="24" t="s">
        <v>64</v>
      </c>
      <c r="C3818" s="24" t="s">
        <v>131</v>
      </c>
      <c r="D3818" s="33" t="n">
        <v>34</v>
      </c>
      <c r="E3818" s="24" t="n">
        <v>0</v>
      </c>
      <c r="F3818" s="37" t="n">
        <f aca="false">DATE(YEAR(A3818),MONTH(A3818),1)</f>
        <v>46204</v>
      </c>
      <c r="G3818" s="24" t="str">
        <f aca="false">INDEX(Products!$C$2:$C$49,MATCH(C3818,Products!$A$2:$A$49,0))</f>
        <v>Dairy &amp; Eggs</v>
      </c>
      <c r="H3818" s="33" t="n">
        <f aca="false">D3818*INDEX(Products!$E$2:$E$49,MATCH(C3818,Products!$A$2:$A$49,0))</f>
        <v>2210</v>
      </c>
      <c r="I3818" s="33" t="n">
        <f aca="false">D3818*INDEX(Products!$D$2:$D$49,MATCH(C3818,Products!$A$2:$A$49,0))*(1+INDEX(Assumptions!$B$16:$B$20,MATCH(B3818,Assumptions!$A$16:$A$20,0)))</f>
        <v>1775.616</v>
      </c>
      <c r="J3818" s="33" t="n">
        <f aca="false">H3818-I3818</f>
        <v>434.384</v>
      </c>
      <c r="K3818" s="33" t="n">
        <f aca="false">IF(OR(E3818=0,E3818&gt;=7),0,D3818/(7-E3818)*E3818*INDEX(Products!$E$2:$E$49,MATCH(C3818,Products!$A$2:$A$49,0)))</f>
        <v>0</v>
      </c>
    </row>
    <row r="3819" customFormat="false" ht="15" hidden="false" customHeight="false" outlineLevel="0" collapsed="false">
      <c r="A3819" s="36" t="n">
        <v>46237</v>
      </c>
      <c r="B3819" s="24" t="s">
        <v>64</v>
      </c>
      <c r="C3819" s="24" t="s">
        <v>131</v>
      </c>
      <c r="D3819" s="33" t="n">
        <v>26</v>
      </c>
      <c r="E3819" s="24" t="n">
        <v>0</v>
      </c>
      <c r="F3819" s="37" t="n">
        <f aca="false">DATE(YEAR(A3819),MONTH(A3819),1)</f>
        <v>46235</v>
      </c>
      <c r="G3819" s="24" t="str">
        <f aca="false">INDEX(Products!$C$2:$C$49,MATCH(C3819,Products!$A$2:$A$49,0))</f>
        <v>Dairy &amp; Eggs</v>
      </c>
      <c r="H3819" s="33" t="n">
        <f aca="false">D3819*INDEX(Products!$E$2:$E$49,MATCH(C3819,Products!$A$2:$A$49,0))</f>
        <v>1690</v>
      </c>
      <c r="I3819" s="33" t="n">
        <f aca="false">D3819*INDEX(Products!$D$2:$D$49,MATCH(C3819,Products!$A$2:$A$49,0))*(1+INDEX(Assumptions!$B$16:$B$20,MATCH(B3819,Assumptions!$A$16:$A$20,0)))</f>
        <v>1357.824</v>
      </c>
      <c r="J3819" s="33" t="n">
        <f aca="false">H3819-I3819</f>
        <v>332.176</v>
      </c>
      <c r="K3819" s="33" t="n">
        <f aca="false">IF(OR(E3819=0,E3819&gt;=7),0,D3819/(7-E3819)*E3819*INDEX(Products!$E$2:$E$49,MATCH(C3819,Products!$A$2:$A$49,0)))</f>
        <v>0</v>
      </c>
    </row>
    <row r="3820" customFormat="false" ht="15" hidden="false" customHeight="false" outlineLevel="0" collapsed="false">
      <c r="A3820" s="36" t="n">
        <v>46244</v>
      </c>
      <c r="B3820" s="24" t="s">
        <v>64</v>
      </c>
      <c r="C3820" s="24" t="s">
        <v>131</v>
      </c>
      <c r="D3820" s="33" t="n">
        <v>23</v>
      </c>
      <c r="E3820" s="24" t="n">
        <v>0</v>
      </c>
      <c r="F3820" s="37" t="n">
        <f aca="false">DATE(YEAR(A3820),MONTH(A3820),1)</f>
        <v>46235</v>
      </c>
      <c r="G3820" s="24" t="str">
        <f aca="false">INDEX(Products!$C$2:$C$49,MATCH(C3820,Products!$A$2:$A$49,0))</f>
        <v>Dairy &amp; Eggs</v>
      </c>
      <c r="H3820" s="33" t="n">
        <f aca="false">D3820*INDEX(Products!$E$2:$E$49,MATCH(C3820,Products!$A$2:$A$49,0))</f>
        <v>1495</v>
      </c>
      <c r="I3820" s="33" t="n">
        <f aca="false">D3820*INDEX(Products!$D$2:$D$49,MATCH(C3820,Products!$A$2:$A$49,0))*(1+INDEX(Assumptions!$B$16:$B$20,MATCH(B3820,Assumptions!$A$16:$A$20,0)))</f>
        <v>1201.152</v>
      </c>
      <c r="J3820" s="33" t="n">
        <f aca="false">H3820-I3820</f>
        <v>293.848</v>
      </c>
      <c r="K3820" s="33" t="n">
        <f aca="false">IF(OR(E3820=0,E3820&gt;=7),0,D3820/(7-E3820)*E3820*INDEX(Products!$E$2:$E$49,MATCH(C3820,Products!$A$2:$A$49,0)))</f>
        <v>0</v>
      </c>
    </row>
    <row r="3821" customFormat="false" ht="15" hidden="false" customHeight="false" outlineLevel="0" collapsed="false">
      <c r="A3821" s="36" t="n">
        <v>46251</v>
      </c>
      <c r="B3821" s="24" t="s">
        <v>64</v>
      </c>
      <c r="C3821" s="24" t="s">
        <v>131</v>
      </c>
      <c r="D3821" s="33" t="n">
        <v>27</v>
      </c>
      <c r="E3821" s="24" t="n">
        <v>0</v>
      </c>
      <c r="F3821" s="37" t="n">
        <f aca="false">DATE(YEAR(A3821),MONTH(A3821),1)</f>
        <v>46235</v>
      </c>
      <c r="G3821" s="24" t="str">
        <f aca="false">INDEX(Products!$C$2:$C$49,MATCH(C3821,Products!$A$2:$A$49,0))</f>
        <v>Dairy &amp; Eggs</v>
      </c>
      <c r="H3821" s="33" t="n">
        <f aca="false">D3821*INDEX(Products!$E$2:$E$49,MATCH(C3821,Products!$A$2:$A$49,0))</f>
        <v>1755</v>
      </c>
      <c r="I3821" s="33" t="n">
        <f aca="false">D3821*INDEX(Products!$D$2:$D$49,MATCH(C3821,Products!$A$2:$A$49,0))*(1+INDEX(Assumptions!$B$16:$B$20,MATCH(B3821,Assumptions!$A$16:$A$20,0)))</f>
        <v>1410.048</v>
      </c>
      <c r="J3821" s="33" t="n">
        <f aca="false">H3821-I3821</f>
        <v>344.952</v>
      </c>
      <c r="K3821" s="33" t="n">
        <f aca="false">IF(OR(E3821=0,E3821&gt;=7),0,D3821/(7-E3821)*E3821*INDEX(Products!$E$2:$E$49,MATCH(C3821,Products!$A$2:$A$49,0)))</f>
        <v>0</v>
      </c>
    </row>
    <row r="3822" customFormat="false" ht="15" hidden="false" customHeight="false" outlineLevel="0" collapsed="false">
      <c r="A3822" s="36" t="n">
        <v>46258</v>
      </c>
      <c r="B3822" s="24" t="s">
        <v>64</v>
      </c>
      <c r="C3822" s="24" t="s">
        <v>131</v>
      </c>
      <c r="D3822" s="33" t="n">
        <v>22</v>
      </c>
      <c r="E3822" s="24" t="n">
        <v>0</v>
      </c>
      <c r="F3822" s="37" t="n">
        <f aca="false">DATE(YEAR(A3822),MONTH(A3822),1)</f>
        <v>46235</v>
      </c>
      <c r="G3822" s="24" t="str">
        <f aca="false">INDEX(Products!$C$2:$C$49,MATCH(C3822,Products!$A$2:$A$49,0))</f>
        <v>Dairy &amp; Eggs</v>
      </c>
      <c r="H3822" s="33" t="n">
        <f aca="false">D3822*INDEX(Products!$E$2:$E$49,MATCH(C3822,Products!$A$2:$A$49,0))</f>
        <v>1430</v>
      </c>
      <c r="I3822" s="33" t="n">
        <f aca="false">D3822*INDEX(Products!$D$2:$D$49,MATCH(C3822,Products!$A$2:$A$49,0))*(1+INDEX(Assumptions!$B$16:$B$20,MATCH(B3822,Assumptions!$A$16:$A$20,0)))</f>
        <v>1148.928</v>
      </c>
      <c r="J3822" s="33" t="n">
        <f aca="false">H3822-I3822</f>
        <v>281.072</v>
      </c>
      <c r="K3822" s="33" t="n">
        <f aca="false">IF(OR(E3822=0,E3822&gt;=7),0,D3822/(7-E3822)*E3822*INDEX(Products!$E$2:$E$49,MATCH(C3822,Products!$A$2:$A$49,0)))</f>
        <v>0</v>
      </c>
    </row>
    <row r="3823" customFormat="false" ht="15" hidden="false" customHeight="false" outlineLevel="0" collapsed="false">
      <c r="A3823" s="36" t="n">
        <v>46265</v>
      </c>
      <c r="B3823" s="24" t="s">
        <v>64</v>
      </c>
      <c r="C3823" s="24" t="s">
        <v>131</v>
      </c>
      <c r="D3823" s="33" t="n">
        <v>28</v>
      </c>
      <c r="E3823" s="24" t="n">
        <v>0</v>
      </c>
      <c r="F3823" s="37" t="n">
        <f aca="false">DATE(YEAR(A3823),MONTH(A3823),1)</f>
        <v>46235</v>
      </c>
      <c r="G3823" s="24" t="str">
        <f aca="false">INDEX(Products!$C$2:$C$49,MATCH(C3823,Products!$A$2:$A$49,0))</f>
        <v>Dairy &amp; Eggs</v>
      </c>
      <c r="H3823" s="33" t="n">
        <f aca="false">D3823*INDEX(Products!$E$2:$E$49,MATCH(C3823,Products!$A$2:$A$49,0))</f>
        <v>1820</v>
      </c>
      <c r="I3823" s="33" t="n">
        <f aca="false">D3823*INDEX(Products!$D$2:$D$49,MATCH(C3823,Products!$A$2:$A$49,0))*(1+INDEX(Assumptions!$B$16:$B$20,MATCH(B3823,Assumptions!$A$16:$A$20,0)))</f>
        <v>1462.272</v>
      </c>
      <c r="J3823" s="33" t="n">
        <f aca="false">H3823-I3823</f>
        <v>357.728</v>
      </c>
      <c r="K3823" s="33" t="n">
        <f aca="false">IF(OR(E3823=0,E3823&gt;=7),0,D3823/(7-E3823)*E3823*INDEX(Products!$E$2:$E$49,MATCH(C3823,Products!$A$2:$A$49,0)))</f>
        <v>0</v>
      </c>
    </row>
    <row r="3824" customFormat="false" ht="15" hidden="false" customHeight="false" outlineLevel="0" collapsed="false">
      <c r="A3824" s="36" t="n">
        <v>46272</v>
      </c>
      <c r="B3824" s="24" t="s">
        <v>64</v>
      </c>
      <c r="C3824" s="24" t="s">
        <v>131</v>
      </c>
      <c r="D3824" s="33" t="n">
        <v>10</v>
      </c>
      <c r="E3824" s="24" t="n">
        <v>3</v>
      </c>
      <c r="F3824" s="37" t="n">
        <f aca="false">DATE(YEAR(A3824),MONTH(A3824),1)</f>
        <v>46266</v>
      </c>
      <c r="G3824" s="24" t="str">
        <f aca="false">INDEX(Products!$C$2:$C$49,MATCH(C3824,Products!$A$2:$A$49,0))</f>
        <v>Dairy &amp; Eggs</v>
      </c>
      <c r="H3824" s="33" t="n">
        <f aca="false">D3824*INDEX(Products!$E$2:$E$49,MATCH(C3824,Products!$A$2:$A$49,0))</f>
        <v>650</v>
      </c>
      <c r="I3824" s="33" t="n">
        <f aca="false">D3824*INDEX(Products!$D$2:$D$49,MATCH(C3824,Products!$A$2:$A$49,0))*(1+INDEX(Assumptions!$B$16:$B$20,MATCH(B3824,Assumptions!$A$16:$A$20,0)))</f>
        <v>522.24</v>
      </c>
      <c r="J3824" s="33" t="n">
        <f aca="false">H3824-I3824</f>
        <v>127.76</v>
      </c>
      <c r="K3824" s="33" t="n">
        <f aca="false">IF(OR(E3824=0,E3824&gt;=7),0,D3824/(7-E3824)*E3824*INDEX(Products!$E$2:$E$49,MATCH(C3824,Products!$A$2:$A$49,0)))</f>
        <v>487.5</v>
      </c>
    </row>
    <row r="3825" customFormat="false" ht="15" hidden="false" customHeight="false" outlineLevel="0" collapsed="false">
      <c r="A3825" s="36" t="n">
        <v>46279</v>
      </c>
      <c r="B3825" s="24" t="s">
        <v>64</v>
      </c>
      <c r="C3825" s="24" t="s">
        <v>131</v>
      </c>
      <c r="D3825" s="33" t="n">
        <v>29</v>
      </c>
      <c r="E3825" s="24" t="n">
        <v>0</v>
      </c>
      <c r="F3825" s="37" t="n">
        <f aca="false">DATE(YEAR(A3825),MONTH(A3825),1)</f>
        <v>46266</v>
      </c>
      <c r="G3825" s="24" t="str">
        <f aca="false">INDEX(Products!$C$2:$C$49,MATCH(C3825,Products!$A$2:$A$49,0))</f>
        <v>Dairy &amp; Eggs</v>
      </c>
      <c r="H3825" s="33" t="n">
        <f aca="false">D3825*INDEX(Products!$E$2:$E$49,MATCH(C3825,Products!$A$2:$A$49,0))</f>
        <v>1885</v>
      </c>
      <c r="I3825" s="33" t="n">
        <f aca="false">D3825*INDEX(Products!$D$2:$D$49,MATCH(C3825,Products!$A$2:$A$49,0))*(1+INDEX(Assumptions!$B$16:$B$20,MATCH(B3825,Assumptions!$A$16:$A$20,0)))</f>
        <v>1514.496</v>
      </c>
      <c r="J3825" s="33" t="n">
        <f aca="false">H3825-I3825</f>
        <v>370.504</v>
      </c>
      <c r="K3825" s="33" t="n">
        <f aca="false">IF(OR(E3825=0,E3825&gt;=7),0,D3825/(7-E3825)*E3825*INDEX(Products!$E$2:$E$49,MATCH(C3825,Products!$A$2:$A$49,0)))</f>
        <v>0</v>
      </c>
    </row>
    <row r="3826" customFormat="false" ht="15" hidden="false" customHeight="false" outlineLevel="0" collapsed="false">
      <c r="A3826" s="36" t="n">
        <v>46286</v>
      </c>
      <c r="B3826" s="24" t="s">
        <v>64</v>
      </c>
      <c r="C3826" s="24" t="s">
        <v>131</v>
      </c>
      <c r="D3826" s="33" t="n">
        <v>32</v>
      </c>
      <c r="E3826" s="24" t="n">
        <v>0</v>
      </c>
      <c r="F3826" s="37" t="n">
        <f aca="false">DATE(YEAR(A3826),MONTH(A3826),1)</f>
        <v>46266</v>
      </c>
      <c r="G3826" s="24" t="str">
        <f aca="false">INDEX(Products!$C$2:$C$49,MATCH(C3826,Products!$A$2:$A$49,0))</f>
        <v>Dairy &amp; Eggs</v>
      </c>
      <c r="H3826" s="33" t="n">
        <f aca="false">D3826*INDEX(Products!$E$2:$E$49,MATCH(C3826,Products!$A$2:$A$49,0))</f>
        <v>2080</v>
      </c>
      <c r="I3826" s="33" t="n">
        <f aca="false">D3826*INDEX(Products!$D$2:$D$49,MATCH(C3826,Products!$A$2:$A$49,0))*(1+INDEX(Assumptions!$B$16:$B$20,MATCH(B3826,Assumptions!$A$16:$A$20,0)))</f>
        <v>1671.168</v>
      </c>
      <c r="J3826" s="33" t="n">
        <f aca="false">H3826-I3826</f>
        <v>408.832</v>
      </c>
      <c r="K3826" s="33" t="n">
        <f aca="false">IF(OR(E3826=0,E3826&gt;=7),0,D3826/(7-E3826)*E3826*INDEX(Products!$E$2:$E$49,MATCH(C3826,Products!$A$2:$A$49,0)))</f>
        <v>0</v>
      </c>
    </row>
    <row r="3827" customFormat="false" ht="15" hidden="false" customHeight="false" outlineLevel="0" collapsed="false">
      <c r="A3827" s="36" t="n">
        <v>46118</v>
      </c>
      <c r="B3827" s="24" t="s">
        <v>64</v>
      </c>
      <c r="C3827" s="24" t="s">
        <v>133</v>
      </c>
      <c r="D3827" s="33" t="n">
        <v>51</v>
      </c>
      <c r="E3827" s="24" t="n">
        <v>0</v>
      </c>
      <c r="F3827" s="37" t="n">
        <f aca="false">DATE(YEAR(A3827),MONTH(A3827),1)</f>
        <v>46113</v>
      </c>
      <c r="G3827" s="24" t="str">
        <f aca="false">INDEX(Products!$C$2:$C$49,MATCH(C3827,Products!$A$2:$A$49,0))</f>
        <v>Dairy &amp; Eggs</v>
      </c>
      <c r="H3827" s="33" t="n">
        <f aca="false">D3827*INDEX(Products!$E$2:$E$49,MATCH(C3827,Products!$A$2:$A$49,0))</f>
        <v>6375</v>
      </c>
      <c r="I3827" s="33" t="n">
        <f aca="false">D3827*INDEX(Products!$D$2:$D$49,MATCH(C3827,Products!$A$2:$A$49,0))*(1+INDEX(Assumptions!$B$16:$B$20,MATCH(B3827,Assumptions!$A$16:$A$20,0)))</f>
        <v>5431.296</v>
      </c>
      <c r="J3827" s="33" t="n">
        <f aca="false">H3827-I3827</f>
        <v>943.704</v>
      </c>
      <c r="K3827" s="33" t="n">
        <f aca="false">IF(OR(E3827=0,E3827&gt;=7),0,D3827/(7-E3827)*E3827*INDEX(Products!$E$2:$E$49,MATCH(C3827,Products!$A$2:$A$49,0)))</f>
        <v>0</v>
      </c>
    </row>
    <row r="3828" customFormat="false" ht="15" hidden="false" customHeight="false" outlineLevel="0" collapsed="false">
      <c r="A3828" s="36" t="n">
        <v>46125</v>
      </c>
      <c r="B3828" s="24" t="s">
        <v>64</v>
      </c>
      <c r="C3828" s="24" t="s">
        <v>133</v>
      </c>
      <c r="D3828" s="33" t="n">
        <v>54</v>
      </c>
      <c r="E3828" s="24" t="n">
        <v>0</v>
      </c>
      <c r="F3828" s="37" t="n">
        <f aca="false">DATE(YEAR(A3828),MONTH(A3828),1)</f>
        <v>46113</v>
      </c>
      <c r="G3828" s="24" t="str">
        <f aca="false">INDEX(Products!$C$2:$C$49,MATCH(C3828,Products!$A$2:$A$49,0))</f>
        <v>Dairy &amp; Eggs</v>
      </c>
      <c r="H3828" s="33" t="n">
        <f aca="false">D3828*INDEX(Products!$E$2:$E$49,MATCH(C3828,Products!$A$2:$A$49,0))</f>
        <v>6750</v>
      </c>
      <c r="I3828" s="33" t="n">
        <f aca="false">D3828*INDEX(Products!$D$2:$D$49,MATCH(C3828,Products!$A$2:$A$49,0))*(1+INDEX(Assumptions!$B$16:$B$20,MATCH(B3828,Assumptions!$A$16:$A$20,0)))</f>
        <v>5750.784</v>
      </c>
      <c r="J3828" s="33" t="n">
        <f aca="false">H3828-I3828</f>
        <v>999.215999999999</v>
      </c>
      <c r="K3828" s="33" t="n">
        <f aca="false">IF(OR(E3828=0,E3828&gt;=7),0,D3828/(7-E3828)*E3828*INDEX(Products!$E$2:$E$49,MATCH(C3828,Products!$A$2:$A$49,0)))</f>
        <v>0</v>
      </c>
    </row>
    <row r="3829" customFormat="false" ht="15" hidden="false" customHeight="false" outlineLevel="0" collapsed="false">
      <c r="A3829" s="36" t="n">
        <v>46132</v>
      </c>
      <c r="B3829" s="24" t="s">
        <v>64</v>
      </c>
      <c r="C3829" s="24" t="s">
        <v>133</v>
      </c>
      <c r="D3829" s="33" t="n">
        <v>72</v>
      </c>
      <c r="E3829" s="24" t="n">
        <v>0</v>
      </c>
      <c r="F3829" s="37" t="n">
        <f aca="false">DATE(YEAR(A3829),MONTH(A3829),1)</f>
        <v>46113</v>
      </c>
      <c r="G3829" s="24" t="str">
        <f aca="false">INDEX(Products!$C$2:$C$49,MATCH(C3829,Products!$A$2:$A$49,0))</f>
        <v>Dairy &amp; Eggs</v>
      </c>
      <c r="H3829" s="33" t="n">
        <f aca="false">D3829*INDEX(Products!$E$2:$E$49,MATCH(C3829,Products!$A$2:$A$49,0))</f>
        <v>9000</v>
      </c>
      <c r="I3829" s="33" t="n">
        <f aca="false">D3829*INDEX(Products!$D$2:$D$49,MATCH(C3829,Products!$A$2:$A$49,0))*(1+INDEX(Assumptions!$B$16:$B$20,MATCH(B3829,Assumptions!$A$16:$A$20,0)))</f>
        <v>7667.712</v>
      </c>
      <c r="J3829" s="33" t="n">
        <f aca="false">H3829-I3829</f>
        <v>1332.288</v>
      </c>
      <c r="K3829" s="33" t="n">
        <f aca="false">IF(OR(E3829=0,E3829&gt;=7),0,D3829/(7-E3829)*E3829*INDEX(Products!$E$2:$E$49,MATCH(C3829,Products!$A$2:$A$49,0)))</f>
        <v>0</v>
      </c>
    </row>
    <row r="3830" customFormat="false" ht="15" hidden="false" customHeight="false" outlineLevel="0" collapsed="false">
      <c r="A3830" s="36" t="n">
        <v>46139</v>
      </c>
      <c r="B3830" s="24" t="s">
        <v>64</v>
      </c>
      <c r="C3830" s="24" t="s">
        <v>133</v>
      </c>
      <c r="D3830" s="33" t="n">
        <v>111</v>
      </c>
      <c r="E3830" s="24" t="n">
        <v>0</v>
      </c>
      <c r="F3830" s="37" t="n">
        <f aca="false">DATE(YEAR(A3830),MONTH(A3830),1)</f>
        <v>46113</v>
      </c>
      <c r="G3830" s="24" t="str">
        <f aca="false">INDEX(Products!$C$2:$C$49,MATCH(C3830,Products!$A$2:$A$49,0))</f>
        <v>Dairy &amp; Eggs</v>
      </c>
      <c r="H3830" s="33" t="n">
        <f aca="false">D3830*INDEX(Products!$E$2:$E$49,MATCH(C3830,Products!$A$2:$A$49,0))</f>
        <v>13875</v>
      </c>
      <c r="I3830" s="33" t="n">
        <f aca="false">D3830*INDEX(Products!$D$2:$D$49,MATCH(C3830,Products!$A$2:$A$49,0))*(1+INDEX(Assumptions!$B$16:$B$20,MATCH(B3830,Assumptions!$A$16:$A$20,0)))</f>
        <v>11821.056</v>
      </c>
      <c r="J3830" s="33" t="n">
        <f aca="false">H3830-I3830</f>
        <v>2053.944</v>
      </c>
      <c r="K3830" s="33" t="n">
        <f aca="false">IF(OR(E3830=0,E3830&gt;=7),0,D3830/(7-E3830)*E3830*INDEX(Products!$E$2:$E$49,MATCH(C3830,Products!$A$2:$A$49,0)))</f>
        <v>0</v>
      </c>
    </row>
    <row r="3831" customFormat="false" ht="15" hidden="false" customHeight="false" outlineLevel="0" collapsed="false">
      <c r="A3831" s="36" t="n">
        <v>46146</v>
      </c>
      <c r="B3831" s="24" t="s">
        <v>64</v>
      </c>
      <c r="C3831" s="24" t="s">
        <v>133</v>
      </c>
      <c r="D3831" s="33" t="n">
        <v>68</v>
      </c>
      <c r="E3831" s="24" t="n">
        <v>0</v>
      </c>
      <c r="F3831" s="37" t="n">
        <f aca="false">DATE(YEAR(A3831),MONTH(A3831),1)</f>
        <v>46143</v>
      </c>
      <c r="G3831" s="24" t="str">
        <f aca="false">INDEX(Products!$C$2:$C$49,MATCH(C3831,Products!$A$2:$A$49,0))</f>
        <v>Dairy &amp; Eggs</v>
      </c>
      <c r="H3831" s="33" t="n">
        <f aca="false">D3831*INDEX(Products!$E$2:$E$49,MATCH(C3831,Products!$A$2:$A$49,0))</f>
        <v>8500</v>
      </c>
      <c r="I3831" s="33" t="n">
        <f aca="false">D3831*INDEX(Products!$D$2:$D$49,MATCH(C3831,Products!$A$2:$A$49,0))*(1+INDEX(Assumptions!$B$16:$B$20,MATCH(B3831,Assumptions!$A$16:$A$20,0)))</f>
        <v>7241.728</v>
      </c>
      <c r="J3831" s="33" t="n">
        <f aca="false">H3831-I3831</f>
        <v>1258.272</v>
      </c>
      <c r="K3831" s="33" t="n">
        <f aca="false">IF(OR(E3831=0,E3831&gt;=7),0,D3831/(7-E3831)*E3831*INDEX(Products!$E$2:$E$49,MATCH(C3831,Products!$A$2:$A$49,0)))</f>
        <v>0</v>
      </c>
    </row>
    <row r="3832" customFormat="false" ht="15" hidden="false" customHeight="false" outlineLevel="0" collapsed="false">
      <c r="A3832" s="36" t="n">
        <v>46153</v>
      </c>
      <c r="B3832" s="24" t="s">
        <v>64</v>
      </c>
      <c r="C3832" s="24" t="s">
        <v>133</v>
      </c>
      <c r="D3832" s="33" t="n">
        <v>51</v>
      </c>
      <c r="E3832" s="24" t="n">
        <v>0</v>
      </c>
      <c r="F3832" s="37" t="n">
        <f aca="false">DATE(YEAR(A3832),MONTH(A3832),1)</f>
        <v>46143</v>
      </c>
      <c r="G3832" s="24" t="str">
        <f aca="false">INDEX(Products!$C$2:$C$49,MATCH(C3832,Products!$A$2:$A$49,0))</f>
        <v>Dairy &amp; Eggs</v>
      </c>
      <c r="H3832" s="33" t="n">
        <f aca="false">D3832*INDEX(Products!$E$2:$E$49,MATCH(C3832,Products!$A$2:$A$49,0))</f>
        <v>6375</v>
      </c>
      <c r="I3832" s="33" t="n">
        <f aca="false">D3832*INDEX(Products!$D$2:$D$49,MATCH(C3832,Products!$A$2:$A$49,0))*(1+INDEX(Assumptions!$B$16:$B$20,MATCH(B3832,Assumptions!$A$16:$A$20,0)))</f>
        <v>5431.296</v>
      </c>
      <c r="J3832" s="33" t="n">
        <f aca="false">H3832-I3832</f>
        <v>943.704</v>
      </c>
      <c r="K3832" s="33" t="n">
        <f aca="false">IF(OR(E3832=0,E3832&gt;=7),0,D3832/(7-E3832)*E3832*INDEX(Products!$E$2:$E$49,MATCH(C3832,Products!$A$2:$A$49,0)))</f>
        <v>0</v>
      </c>
    </row>
    <row r="3833" customFormat="false" ht="15" hidden="false" customHeight="false" outlineLevel="0" collapsed="false">
      <c r="A3833" s="36" t="n">
        <v>46160</v>
      </c>
      <c r="B3833" s="24" t="s">
        <v>64</v>
      </c>
      <c r="C3833" s="24" t="s">
        <v>133</v>
      </c>
      <c r="D3833" s="33" t="n">
        <v>68</v>
      </c>
      <c r="E3833" s="24" t="n">
        <v>0</v>
      </c>
      <c r="F3833" s="37" t="n">
        <f aca="false">DATE(YEAR(A3833),MONTH(A3833),1)</f>
        <v>46143</v>
      </c>
      <c r="G3833" s="24" t="str">
        <f aca="false">INDEX(Products!$C$2:$C$49,MATCH(C3833,Products!$A$2:$A$49,0))</f>
        <v>Dairy &amp; Eggs</v>
      </c>
      <c r="H3833" s="33" t="n">
        <f aca="false">D3833*INDEX(Products!$E$2:$E$49,MATCH(C3833,Products!$A$2:$A$49,0))</f>
        <v>8500</v>
      </c>
      <c r="I3833" s="33" t="n">
        <f aca="false">D3833*INDEX(Products!$D$2:$D$49,MATCH(C3833,Products!$A$2:$A$49,0))*(1+INDEX(Assumptions!$B$16:$B$20,MATCH(B3833,Assumptions!$A$16:$A$20,0)))</f>
        <v>7241.728</v>
      </c>
      <c r="J3833" s="33" t="n">
        <f aca="false">H3833-I3833</f>
        <v>1258.272</v>
      </c>
      <c r="K3833" s="33" t="n">
        <f aca="false">IF(OR(E3833=0,E3833&gt;=7),0,D3833/(7-E3833)*E3833*INDEX(Products!$E$2:$E$49,MATCH(C3833,Products!$A$2:$A$49,0)))</f>
        <v>0</v>
      </c>
    </row>
    <row r="3834" customFormat="false" ht="15" hidden="false" customHeight="false" outlineLevel="0" collapsed="false">
      <c r="A3834" s="36" t="n">
        <v>46167</v>
      </c>
      <c r="B3834" s="24" t="s">
        <v>64</v>
      </c>
      <c r="C3834" s="24" t="s">
        <v>133</v>
      </c>
      <c r="D3834" s="33" t="n">
        <v>76</v>
      </c>
      <c r="E3834" s="24" t="n">
        <v>0</v>
      </c>
      <c r="F3834" s="37" t="n">
        <f aca="false">DATE(YEAR(A3834),MONTH(A3834),1)</f>
        <v>46143</v>
      </c>
      <c r="G3834" s="24" t="str">
        <f aca="false">INDEX(Products!$C$2:$C$49,MATCH(C3834,Products!$A$2:$A$49,0))</f>
        <v>Dairy &amp; Eggs</v>
      </c>
      <c r="H3834" s="33" t="n">
        <f aca="false">D3834*INDEX(Products!$E$2:$E$49,MATCH(C3834,Products!$A$2:$A$49,0))</f>
        <v>9500</v>
      </c>
      <c r="I3834" s="33" t="n">
        <f aca="false">D3834*INDEX(Products!$D$2:$D$49,MATCH(C3834,Products!$A$2:$A$49,0))*(1+INDEX(Assumptions!$B$16:$B$20,MATCH(B3834,Assumptions!$A$16:$A$20,0)))</f>
        <v>8093.696</v>
      </c>
      <c r="J3834" s="33" t="n">
        <f aca="false">H3834-I3834</f>
        <v>1406.304</v>
      </c>
      <c r="K3834" s="33" t="n">
        <f aca="false">IF(OR(E3834=0,E3834&gt;=7),0,D3834/(7-E3834)*E3834*INDEX(Products!$E$2:$E$49,MATCH(C3834,Products!$A$2:$A$49,0)))</f>
        <v>0</v>
      </c>
    </row>
    <row r="3835" customFormat="false" ht="15" hidden="false" customHeight="false" outlineLevel="0" collapsed="false">
      <c r="A3835" s="36" t="n">
        <v>46174</v>
      </c>
      <c r="B3835" s="24" t="s">
        <v>64</v>
      </c>
      <c r="C3835" s="24" t="s">
        <v>133</v>
      </c>
      <c r="D3835" s="33" t="n">
        <v>33</v>
      </c>
      <c r="E3835" s="24" t="n">
        <v>3</v>
      </c>
      <c r="F3835" s="37" t="n">
        <f aca="false">DATE(YEAR(A3835),MONTH(A3835),1)</f>
        <v>46174</v>
      </c>
      <c r="G3835" s="24" t="str">
        <f aca="false">INDEX(Products!$C$2:$C$49,MATCH(C3835,Products!$A$2:$A$49,0))</f>
        <v>Dairy &amp; Eggs</v>
      </c>
      <c r="H3835" s="33" t="n">
        <f aca="false">D3835*INDEX(Products!$E$2:$E$49,MATCH(C3835,Products!$A$2:$A$49,0))</f>
        <v>4125</v>
      </c>
      <c r="I3835" s="33" t="n">
        <f aca="false">D3835*INDEX(Products!$D$2:$D$49,MATCH(C3835,Products!$A$2:$A$49,0))*(1+INDEX(Assumptions!$B$16:$B$20,MATCH(B3835,Assumptions!$A$16:$A$20,0)))</f>
        <v>3514.368</v>
      </c>
      <c r="J3835" s="33" t="n">
        <f aca="false">H3835-I3835</f>
        <v>610.632</v>
      </c>
      <c r="K3835" s="33" t="n">
        <f aca="false">IF(OR(E3835=0,E3835&gt;=7),0,D3835/(7-E3835)*E3835*INDEX(Products!$E$2:$E$49,MATCH(C3835,Products!$A$2:$A$49,0)))</f>
        <v>3093.75</v>
      </c>
    </row>
    <row r="3836" customFormat="false" ht="15" hidden="false" customHeight="false" outlineLevel="0" collapsed="false">
      <c r="A3836" s="36" t="n">
        <v>46181</v>
      </c>
      <c r="B3836" s="24" t="s">
        <v>64</v>
      </c>
      <c r="C3836" s="24" t="s">
        <v>133</v>
      </c>
      <c r="D3836" s="33" t="n">
        <v>63</v>
      </c>
      <c r="E3836" s="24" t="n">
        <v>0</v>
      </c>
      <c r="F3836" s="37" t="n">
        <f aca="false">DATE(YEAR(A3836),MONTH(A3836),1)</f>
        <v>46174</v>
      </c>
      <c r="G3836" s="24" t="str">
        <f aca="false">INDEX(Products!$C$2:$C$49,MATCH(C3836,Products!$A$2:$A$49,0))</f>
        <v>Dairy &amp; Eggs</v>
      </c>
      <c r="H3836" s="33" t="n">
        <f aca="false">D3836*INDEX(Products!$E$2:$E$49,MATCH(C3836,Products!$A$2:$A$49,0))</f>
        <v>7875</v>
      </c>
      <c r="I3836" s="33" t="n">
        <f aca="false">D3836*INDEX(Products!$D$2:$D$49,MATCH(C3836,Products!$A$2:$A$49,0))*(1+INDEX(Assumptions!$B$16:$B$20,MATCH(B3836,Assumptions!$A$16:$A$20,0)))</f>
        <v>6709.248</v>
      </c>
      <c r="J3836" s="33" t="n">
        <f aca="false">H3836-I3836</f>
        <v>1165.752</v>
      </c>
      <c r="K3836" s="33" t="n">
        <f aca="false">IF(OR(E3836=0,E3836&gt;=7),0,D3836/(7-E3836)*E3836*INDEX(Products!$E$2:$E$49,MATCH(C3836,Products!$A$2:$A$49,0)))</f>
        <v>0</v>
      </c>
    </row>
    <row r="3837" customFormat="false" ht="15" hidden="false" customHeight="false" outlineLevel="0" collapsed="false">
      <c r="A3837" s="36" t="n">
        <v>46188</v>
      </c>
      <c r="B3837" s="24" t="s">
        <v>64</v>
      </c>
      <c r="C3837" s="24" t="s">
        <v>133</v>
      </c>
      <c r="D3837" s="33" t="n">
        <v>56</v>
      </c>
      <c r="E3837" s="24" t="n">
        <v>0</v>
      </c>
      <c r="F3837" s="37" t="n">
        <f aca="false">DATE(YEAR(A3837),MONTH(A3837),1)</f>
        <v>46174</v>
      </c>
      <c r="G3837" s="24" t="str">
        <f aca="false">INDEX(Products!$C$2:$C$49,MATCH(C3837,Products!$A$2:$A$49,0))</f>
        <v>Dairy &amp; Eggs</v>
      </c>
      <c r="H3837" s="33" t="n">
        <f aca="false">D3837*INDEX(Products!$E$2:$E$49,MATCH(C3837,Products!$A$2:$A$49,0))</f>
        <v>7000</v>
      </c>
      <c r="I3837" s="33" t="n">
        <f aca="false">D3837*INDEX(Products!$D$2:$D$49,MATCH(C3837,Products!$A$2:$A$49,0))*(1+INDEX(Assumptions!$B$16:$B$20,MATCH(B3837,Assumptions!$A$16:$A$20,0)))</f>
        <v>5963.776</v>
      </c>
      <c r="J3837" s="33" t="n">
        <f aca="false">H3837-I3837</f>
        <v>1036.224</v>
      </c>
      <c r="K3837" s="33" t="n">
        <f aca="false">IF(OR(E3837=0,E3837&gt;=7),0,D3837/(7-E3837)*E3837*INDEX(Products!$E$2:$E$49,MATCH(C3837,Products!$A$2:$A$49,0)))</f>
        <v>0</v>
      </c>
    </row>
    <row r="3838" customFormat="false" ht="15" hidden="false" customHeight="false" outlineLevel="0" collapsed="false">
      <c r="A3838" s="36" t="n">
        <v>46195</v>
      </c>
      <c r="B3838" s="24" t="s">
        <v>64</v>
      </c>
      <c r="C3838" s="24" t="s">
        <v>133</v>
      </c>
      <c r="D3838" s="33" t="n">
        <v>68</v>
      </c>
      <c r="E3838" s="24" t="n">
        <v>0</v>
      </c>
      <c r="F3838" s="37" t="n">
        <f aca="false">DATE(YEAR(A3838),MONTH(A3838),1)</f>
        <v>46174</v>
      </c>
      <c r="G3838" s="24" t="str">
        <f aca="false">INDEX(Products!$C$2:$C$49,MATCH(C3838,Products!$A$2:$A$49,0))</f>
        <v>Dairy &amp; Eggs</v>
      </c>
      <c r="H3838" s="33" t="n">
        <f aca="false">D3838*INDEX(Products!$E$2:$E$49,MATCH(C3838,Products!$A$2:$A$49,0))</f>
        <v>8500</v>
      </c>
      <c r="I3838" s="33" t="n">
        <f aca="false">D3838*INDEX(Products!$D$2:$D$49,MATCH(C3838,Products!$A$2:$A$49,0))*(1+INDEX(Assumptions!$B$16:$B$20,MATCH(B3838,Assumptions!$A$16:$A$20,0)))</f>
        <v>7241.728</v>
      </c>
      <c r="J3838" s="33" t="n">
        <f aca="false">H3838-I3838</f>
        <v>1258.272</v>
      </c>
      <c r="K3838" s="33" t="n">
        <f aca="false">IF(OR(E3838=0,E3838&gt;=7),0,D3838/(7-E3838)*E3838*INDEX(Products!$E$2:$E$49,MATCH(C3838,Products!$A$2:$A$49,0)))</f>
        <v>0</v>
      </c>
    </row>
    <row r="3839" customFormat="false" ht="15" hidden="false" customHeight="false" outlineLevel="0" collapsed="false">
      <c r="A3839" s="36" t="n">
        <v>46202</v>
      </c>
      <c r="B3839" s="24" t="s">
        <v>64</v>
      </c>
      <c r="C3839" s="24" t="s">
        <v>133</v>
      </c>
      <c r="D3839" s="33" t="n">
        <v>76</v>
      </c>
      <c r="E3839" s="24" t="n">
        <v>0</v>
      </c>
      <c r="F3839" s="37" t="n">
        <f aca="false">DATE(YEAR(A3839),MONTH(A3839),1)</f>
        <v>46174</v>
      </c>
      <c r="G3839" s="24" t="str">
        <f aca="false">INDEX(Products!$C$2:$C$49,MATCH(C3839,Products!$A$2:$A$49,0))</f>
        <v>Dairy &amp; Eggs</v>
      </c>
      <c r="H3839" s="33" t="n">
        <f aca="false">D3839*INDEX(Products!$E$2:$E$49,MATCH(C3839,Products!$A$2:$A$49,0))</f>
        <v>9500</v>
      </c>
      <c r="I3839" s="33" t="n">
        <f aca="false">D3839*INDEX(Products!$D$2:$D$49,MATCH(C3839,Products!$A$2:$A$49,0))*(1+INDEX(Assumptions!$B$16:$B$20,MATCH(B3839,Assumptions!$A$16:$A$20,0)))</f>
        <v>8093.696</v>
      </c>
      <c r="J3839" s="33" t="n">
        <f aca="false">H3839-I3839</f>
        <v>1406.304</v>
      </c>
      <c r="K3839" s="33" t="n">
        <f aca="false">IF(OR(E3839=0,E3839&gt;=7),0,D3839/(7-E3839)*E3839*INDEX(Products!$E$2:$E$49,MATCH(C3839,Products!$A$2:$A$49,0)))</f>
        <v>0</v>
      </c>
    </row>
    <row r="3840" customFormat="false" ht="15" hidden="false" customHeight="false" outlineLevel="0" collapsed="false">
      <c r="A3840" s="36" t="n">
        <v>46209</v>
      </c>
      <c r="B3840" s="24" t="s">
        <v>64</v>
      </c>
      <c r="C3840" s="24" t="s">
        <v>133</v>
      </c>
      <c r="D3840" s="33" t="n">
        <v>54</v>
      </c>
      <c r="E3840" s="24" t="n">
        <v>0</v>
      </c>
      <c r="F3840" s="37" t="n">
        <f aca="false">DATE(YEAR(A3840),MONTH(A3840),1)</f>
        <v>46204</v>
      </c>
      <c r="G3840" s="24" t="str">
        <f aca="false">INDEX(Products!$C$2:$C$49,MATCH(C3840,Products!$A$2:$A$49,0))</f>
        <v>Dairy &amp; Eggs</v>
      </c>
      <c r="H3840" s="33" t="n">
        <f aca="false">D3840*INDEX(Products!$E$2:$E$49,MATCH(C3840,Products!$A$2:$A$49,0))</f>
        <v>6750</v>
      </c>
      <c r="I3840" s="33" t="n">
        <f aca="false">D3840*INDEX(Products!$D$2:$D$49,MATCH(C3840,Products!$A$2:$A$49,0))*(1+INDEX(Assumptions!$B$16:$B$20,MATCH(B3840,Assumptions!$A$16:$A$20,0)))</f>
        <v>5750.784</v>
      </c>
      <c r="J3840" s="33" t="n">
        <f aca="false">H3840-I3840</f>
        <v>999.215999999999</v>
      </c>
      <c r="K3840" s="33" t="n">
        <f aca="false">IF(OR(E3840=0,E3840&gt;=7),0,D3840/(7-E3840)*E3840*INDEX(Products!$E$2:$E$49,MATCH(C3840,Products!$A$2:$A$49,0)))</f>
        <v>0</v>
      </c>
    </row>
    <row r="3841" customFormat="false" ht="15" hidden="false" customHeight="false" outlineLevel="0" collapsed="false">
      <c r="A3841" s="36" t="n">
        <v>46216</v>
      </c>
      <c r="B3841" s="24" t="s">
        <v>64</v>
      </c>
      <c r="C3841" s="24" t="s">
        <v>133</v>
      </c>
      <c r="D3841" s="33" t="n">
        <v>54</v>
      </c>
      <c r="E3841" s="24" t="n">
        <v>0</v>
      </c>
      <c r="F3841" s="37" t="n">
        <f aca="false">DATE(YEAR(A3841),MONTH(A3841),1)</f>
        <v>46204</v>
      </c>
      <c r="G3841" s="24" t="str">
        <f aca="false">INDEX(Products!$C$2:$C$49,MATCH(C3841,Products!$A$2:$A$49,0))</f>
        <v>Dairy &amp; Eggs</v>
      </c>
      <c r="H3841" s="33" t="n">
        <f aca="false">D3841*INDEX(Products!$E$2:$E$49,MATCH(C3841,Products!$A$2:$A$49,0))</f>
        <v>6750</v>
      </c>
      <c r="I3841" s="33" t="n">
        <f aca="false">D3841*INDEX(Products!$D$2:$D$49,MATCH(C3841,Products!$A$2:$A$49,0))*(1+INDEX(Assumptions!$B$16:$B$20,MATCH(B3841,Assumptions!$A$16:$A$20,0)))</f>
        <v>5750.784</v>
      </c>
      <c r="J3841" s="33" t="n">
        <f aca="false">H3841-I3841</f>
        <v>999.215999999999</v>
      </c>
      <c r="K3841" s="33" t="n">
        <f aca="false">IF(OR(E3841=0,E3841&gt;=7),0,D3841/(7-E3841)*E3841*INDEX(Products!$E$2:$E$49,MATCH(C3841,Products!$A$2:$A$49,0)))</f>
        <v>0</v>
      </c>
    </row>
    <row r="3842" customFormat="false" ht="15" hidden="false" customHeight="false" outlineLevel="0" collapsed="false">
      <c r="A3842" s="36" t="n">
        <v>46223</v>
      </c>
      <c r="B3842" s="24" t="s">
        <v>64</v>
      </c>
      <c r="C3842" s="24" t="s">
        <v>133</v>
      </c>
      <c r="D3842" s="33" t="n">
        <v>73</v>
      </c>
      <c r="E3842" s="24" t="n">
        <v>0</v>
      </c>
      <c r="F3842" s="37" t="n">
        <f aca="false">DATE(YEAR(A3842),MONTH(A3842),1)</f>
        <v>46204</v>
      </c>
      <c r="G3842" s="24" t="str">
        <f aca="false">INDEX(Products!$C$2:$C$49,MATCH(C3842,Products!$A$2:$A$49,0))</f>
        <v>Dairy &amp; Eggs</v>
      </c>
      <c r="H3842" s="33" t="n">
        <f aca="false">D3842*INDEX(Products!$E$2:$E$49,MATCH(C3842,Products!$A$2:$A$49,0))</f>
        <v>9125</v>
      </c>
      <c r="I3842" s="33" t="n">
        <f aca="false">D3842*INDEX(Products!$D$2:$D$49,MATCH(C3842,Products!$A$2:$A$49,0))*(1+INDEX(Assumptions!$B$16:$B$20,MATCH(B3842,Assumptions!$A$16:$A$20,0)))</f>
        <v>7774.208</v>
      </c>
      <c r="J3842" s="33" t="n">
        <f aca="false">H3842-I3842</f>
        <v>1350.792</v>
      </c>
      <c r="K3842" s="33" t="n">
        <f aca="false">IF(OR(E3842=0,E3842&gt;=7),0,D3842/(7-E3842)*E3842*INDEX(Products!$E$2:$E$49,MATCH(C3842,Products!$A$2:$A$49,0)))</f>
        <v>0</v>
      </c>
    </row>
    <row r="3843" customFormat="false" ht="15" hidden="false" customHeight="false" outlineLevel="0" collapsed="false">
      <c r="A3843" s="36" t="n">
        <v>46230</v>
      </c>
      <c r="B3843" s="24" t="s">
        <v>64</v>
      </c>
      <c r="C3843" s="24" t="s">
        <v>133</v>
      </c>
      <c r="D3843" s="33" t="n">
        <v>53</v>
      </c>
      <c r="E3843" s="24" t="n">
        <v>0</v>
      </c>
      <c r="F3843" s="37" t="n">
        <f aca="false">DATE(YEAR(A3843),MONTH(A3843),1)</f>
        <v>46204</v>
      </c>
      <c r="G3843" s="24" t="str">
        <f aca="false">INDEX(Products!$C$2:$C$49,MATCH(C3843,Products!$A$2:$A$49,0))</f>
        <v>Dairy &amp; Eggs</v>
      </c>
      <c r="H3843" s="33" t="n">
        <f aca="false">D3843*INDEX(Products!$E$2:$E$49,MATCH(C3843,Products!$A$2:$A$49,0))</f>
        <v>6625</v>
      </c>
      <c r="I3843" s="33" t="n">
        <f aca="false">D3843*INDEX(Products!$D$2:$D$49,MATCH(C3843,Products!$A$2:$A$49,0))*(1+INDEX(Assumptions!$B$16:$B$20,MATCH(B3843,Assumptions!$A$16:$A$20,0)))</f>
        <v>5644.288</v>
      </c>
      <c r="J3843" s="33" t="n">
        <f aca="false">H3843-I3843</f>
        <v>980.712</v>
      </c>
      <c r="K3843" s="33" t="n">
        <f aca="false">IF(OR(E3843=0,E3843&gt;=7),0,D3843/(7-E3843)*E3843*INDEX(Products!$E$2:$E$49,MATCH(C3843,Products!$A$2:$A$49,0)))</f>
        <v>0</v>
      </c>
    </row>
    <row r="3844" customFormat="false" ht="15" hidden="false" customHeight="false" outlineLevel="0" collapsed="false">
      <c r="A3844" s="36" t="n">
        <v>46237</v>
      </c>
      <c r="B3844" s="24" t="s">
        <v>64</v>
      </c>
      <c r="C3844" s="24" t="s">
        <v>133</v>
      </c>
      <c r="D3844" s="33" t="n">
        <v>54</v>
      </c>
      <c r="E3844" s="24" t="n">
        <v>0</v>
      </c>
      <c r="F3844" s="37" t="n">
        <f aca="false">DATE(YEAR(A3844),MONTH(A3844),1)</f>
        <v>46235</v>
      </c>
      <c r="G3844" s="24" t="str">
        <f aca="false">INDEX(Products!$C$2:$C$49,MATCH(C3844,Products!$A$2:$A$49,0))</f>
        <v>Dairy &amp; Eggs</v>
      </c>
      <c r="H3844" s="33" t="n">
        <f aca="false">D3844*INDEX(Products!$E$2:$E$49,MATCH(C3844,Products!$A$2:$A$49,0))</f>
        <v>6750</v>
      </c>
      <c r="I3844" s="33" t="n">
        <f aca="false">D3844*INDEX(Products!$D$2:$D$49,MATCH(C3844,Products!$A$2:$A$49,0))*(1+INDEX(Assumptions!$B$16:$B$20,MATCH(B3844,Assumptions!$A$16:$A$20,0)))</f>
        <v>5750.784</v>
      </c>
      <c r="J3844" s="33" t="n">
        <f aca="false">H3844-I3844</f>
        <v>999.215999999999</v>
      </c>
      <c r="K3844" s="33" t="n">
        <f aca="false">IF(OR(E3844=0,E3844&gt;=7),0,D3844/(7-E3844)*E3844*INDEX(Products!$E$2:$E$49,MATCH(C3844,Products!$A$2:$A$49,0)))</f>
        <v>0</v>
      </c>
    </row>
    <row r="3845" customFormat="false" ht="15" hidden="false" customHeight="false" outlineLevel="0" collapsed="false">
      <c r="A3845" s="36" t="n">
        <v>46244</v>
      </c>
      <c r="B3845" s="24" t="s">
        <v>64</v>
      </c>
      <c r="C3845" s="24" t="s">
        <v>133</v>
      </c>
      <c r="D3845" s="33" t="n">
        <v>100</v>
      </c>
      <c r="E3845" s="24" t="n">
        <v>0</v>
      </c>
      <c r="F3845" s="37" t="n">
        <f aca="false">DATE(YEAR(A3845),MONTH(A3845),1)</f>
        <v>46235</v>
      </c>
      <c r="G3845" s="24" t="str">
        <f aca="false">INDEX(Products!$C$2:$C$49,MATCH(C3845,Products!$A$2:$A$49,0))</f>
        <v>Dairy &amp; Eggs</v>
      </c>
      <c r="H3845" s="33" t="n">
        <f aca="false">D3845*INDEX(Products!$E$2:$E$49,MATCH(C3845,Products!$A$2:$A$49,0))</f>
        <v>12500</v>
      </c>
      <c r="I3845" s="33" t="n">
        <f aca="false">D3845*INDEX(Products!$D$2:$D$49,MATCH(C3845,Products!$A$2:$A$49,0))*(1+INDEX(Assumptions!$B$16:$B$20,MATCH(B3845,Assumptions!$A$16:$A$20,0)))</f>
        <v>10649.6</v>
      </c>
      <c r="J3845" s="33" t="n">
        <f aca="false">H3845-I3845</f>
        <v>1850.4</v>
      </c>
      <c r="K3845" s="33" t="n">
        <f aca="false">IF(OR(E3845=0,E3845&gt;=7),0,D3845/(7-E3845)*E3845*INDEX(Products!$E$2:$E$49,MATCH(C3845,Products!$A$2:$A$49,0)))</f>
        <v>0</v>
      </c>
    </row>
    <row r="3846" customFormat="false" ht="15" hidden="false" customHeight="false" outlineLevel="0" collapsed="false">
      <c r="A3846" s="36" t="n">
        <v>46251</v>
      </c>
      <c r="B3846" s="24" t="s">
        <v>64</v>
      </c>
      <c r="C3846" s="24" t="s">
        <v>133</v>
      </c>
      <c r="D3846" s="33" t="n">
        <v>78</v>
      </c>
      <c r="E3846" s="24" t="n">
        <v>0</v>
      </c>
      <c r="F3846" s="37" t="n">
        <f aca="false">DATE(YEAR(A3846),MONTH(A3846),1)</f>
        <v>46235</v>
      </c>
      <c r="G3846" s="24" t="str">
        <f aca="false">INDEX(Products!$C$2:$C$49,MATCH(C3846,Products!$A$2:$A$49,0))</f>
        <v>Dairy &amp; Eggs</v>
      </c>
      <c r="H3846" s="33" t="n">
        <f aca="false">D3846*INDEX(Products!$E$2:$E$49,MATCH(C3846,Products!$A$2:$A$49,0))</f>
        <v>9750</v>
      </c>
      <c r="I3846" s="33" t="n">
        <f aca="false">D3846*INDEX(Products!$D$2:$D$49,MATCH(C3846,Products!$A$2:$A$49,0))*(1+INDEX(Assumptions!$B$16:$B$20,MATCH(B3846,Assumptions!$A$16:$A$20,0)))</f>
        <v>8306.688</v>
      </c>
      <c r="J3846" s="33" t="n">
        <f aca="false">H3846-I3846</f>
        <v>1443.312</v>
      </c>
      <c r="K3846" s="33" t="n">
        <f aca="false">IF(OR(E3846=0,E3846&gt;=7),0,D3846/(7-E3846)*E3846*INDEX(Products!$E$2:$E$49,MATCH(C3846,Products!$A$2:$A$49,0)))</f>
        <v>0</v>
      </c>
    </row>
    <row r="3847" customFormat="false" ht="15" hidden="false" customHeight="false" outlineLevel="0" collapsed="false">
      <c r="A3847" s="36" t="n">
        <v>46258</v>
      </c>
      <c r="B3847" s="24" t="s">
        <v>64</v>
      </c>
      <c r="C3847" s="24" t="s">
        <v>133</v>
      </c>
      <c r="D3847" s="33" t="n">
        <v>67</v>
      </c>
      <c r="E3847" s="24" t="n">
        <v>0</v>
      </c>
      <c r="F3847" s="37" t="n">
        <f aca="false">DATE(YEAR(A3847),MONTH(A3847),1)</f>
        <v>46235</v>
      </c>
      <c r="G3847" s="24" t="str">
        <f aca="false">INDEX(Products!$C$2:$C$49,MATCH(C3847,Products!$A$2:$A$49,0))</f>
        <v>Dairy &amp; Eggs</v>
      </c>
      <c r="H3847" s="33" t="n">
        <f aca="false">D3847*INDEX(Products!$E$2:$E$49,MATCH(C3847,Products!$A$2:$A$49,0))</f>
        <v>8375</v>
      </c>
      <c r="I3847" s="33" t="n">
        <f aca="false">D3847*INDEX(Products!$D$2:$D$49,MATCH(C3847,Products!$A$2:$A$49,0))*(1+INDEX(Assumptions!$B$16:$B$20,MATCH(B3847,Assumptions!$A$16:$A$20,0)))</f>
        <v>7135.232</v>
      </c>
      <c r="J3847" s="33" t="n">
        <f aca="false">H3847-I3847</f>
        <v>1239.768</v>
      </c>
      <c r="K3847" s="33" t="n">
        <f aca="false">IF(OR(E3847=0,E3847&gt;=7),0,D3847/(7-E3847)*E3847*INDEX(Products!$E$2:$E$49,MATCH(C3847,Products!$A$2:$A$49,0)))</f>
        <v>0</v>
      </c>
    </row>
    <row r="3848" customFormat="false" ht="15" hidden="false" customHeight="false" outlineLevel="0" collapsed="false">
      <c r="A3848" s="36" t="n">
        <v>46265</v>
      </c>
      <c r="B3848" s="24" t="s">
        <v>64</v>
      </c>
      <c r="C3848" s="24" t="s">
        <v>133</v>
      </c>
      <c r="D3848" s="33" t="n">
        <v>58</v>
      </c>
      <c r="E3848" s="24" t="n">
        <v>0</v>
      </c>
      <c r="F3848" s="37" t="n">
        <f aca="false">DATE(YEAR(A3848),MONTH(A3848),1)</f>
        <v>46235</v>
      </c>
      <c r="G3848" s="24" t="str">
        <f aca="false">INDEX(Products!$C$2:$C$49,MATCH(C3848,Products!$A$2:$A$49,0))</f>
        <v>Dairy &amp; Eggs</v>
      </c>
      <c r="H3848" s="33" t="n">
        <f aca="false">D3848*INDEX(Products!$E$2:$E$49,MATCH(C3848,Products!$A$2:$A$49,0))</f>
        <v>7250</v>
      </c>
      <c r="I3848" s="33" t="n">
        <f aca="false">D3848*INDEX(Products!$D$2:$D$49,MATCH(C3848,Products!$A$2:$A$49,0))*(1+INDEX(Assumptions!$B$16:$B$20,MATCH(B3848,Assumptions!$A$16:$A$20,0)))</f>
        <v>6176.768</v>
      </c>
      <c r="J3848" s="33" t="n">
        <f aca="false">H3848-I3848</f>
        <v>1073.232</v>
      </c>
      <c r="K3848" s="33" t="n">
        <f aca="false">IF(OR(E3848=0,E3848&gt;=7),0,D3848/(7-E3848)*E3848*INDEX(Products!$E$2:$E$49,MATCH(C3848,Products!$A$2:$A$49,0)))</f>
        <v>0</v>
      </c>
    </row>
    <row r="3849" customFormat="false" ht="15" hidden="false" customHeight="false" outlineLevel="0" collapsed="false">
      <c r="A3849" s="36" t="n">
        <v>46272</v>
      </c>
      <c r="B3849" s="24" t="s">
        <v>64</v>
      </c>
      <c r="C3849" s="24" t="s">
        <v>133</v>
      </c>
      <c r="D3849" s="33" t="n">
        <v>55</v>
      </c>
      <c r="E3849" s="24" t="n">
        <v>0</v>
      </c>
      <c r="F3849" s="37" t="n">
        <f aca="false">DATE(YEAR(A3849),MONTH(A3849),1)</f>
        <v>46266</v>
      </c>
      <c r="G3849" s="24" t="str">
        <f aca="false">INDEX(Products!$C$2:$C$49,MATCH(C3849,Products!$A$2:$A$49,0))</f>
        <v>Dairy &amp; Eggs</v>
      </c>
      <c r="H3849" s="33" t="n">
        <f aca="false">D3849*INDEX(Products!$E$2:$E$49,MATCH(C3849,Products!$A$2:$A$49,0))</f>
        <v>6875</v>
      </c>
      <c r="I3849" s="33" t="n">
        <f aca="false">D3849*INDEX(Products!$D$2:$D$49,MATCH(C3849,Products!$A$2:$A$49,0))*(1+INDEX(Assumptions!$B$16:$B$20,MATCH(B3849,Assumptions!$A$16:$A$20,0)))</f>
        <v>5857.28</v>
      </c>
      <c r="J3849" s="33" t="n">
        <f aca="false">H3849-I3849</f>
        <v>1017.72</v>
      </c>
      <c r="K3849" s="33" t="n">
        <f aca="false">IF(OR(E3849=0,E3849&gt;=7),0,D3849/(7-E3849)*E3849*INDEX(Products!$E$2:$E$49,MATCH(C3849,Products!$A$2:$A$49,0)))</f>
        <v>0</v>
      </c>
    </row>
    <row r="3850" customFormat="false" ht="15" hidden="false" customHeight="false" outlineLevel="0" collapsed="false">
      <c r="A3850" s="36" t="n">
        <v>46279</v>
      </c>
      <c r="B3850" s="24" t="s">
        <v>64</v>
      </c>
      <c r="C3850" s="24" t="s">
        <v>133</v>
      </c>
      <c r="D3850" s="33" t="n">
        <v>55</v>
      </c>
      <c r="E3850" s="24" t="n">
        <v>0</v>
      </c>
      <c r="F3850" s="37" t="n">
        <f aca="false">DATE(YEAR(A3850),MONTH(A3850),1)</f>
        <v>46266</v>
      </c>
      <c r="G3850" s="24" t="str">
        <f aca="false">INDEX(Products!$C$2:$C$49,MATCH(C3850,Products!$A$2:$A$49,0))</f>
        <v>Dairy &amp; Eggs</v>
      </c>
      <c r="H3850" s="33" t="n">
        <f aca="false">D3850*INDEX(Products!$E$2:$E$49,MATCH(C3850,Products!$A$2:$A$49,0))</f>
        <v>6875</v>
      </c>
      <c r="I3850" s="33" t="n">
        <f aca="false">D3850*INDEX(Products!$D$2:$D$49,MATCH(C3850,Products!$A$2:$A$49,0))*(1+INDEX(Assumptions!$B$16:$B$20,MATCH(B3850,Assumptions!$A$16:$A$20,0)))</f>
        <v>5857.28</v>
      </c>
      <c r="J3850" s="33" t="n">
        <f aca="false">H3850-I3850</f>
        <v>1017.72</v>
      </c>
      <c r="K3850" s="33" t="n">
        <f aca="false">IF(OR(E3850=0,E3850&gt;=7),0,D3850/(7-E3850)*E3850*INDEX(Products!$E$2:$E$49,MATCH(C3850,Products!$A$2:$A$49,0)))</f>
        <v>0</v>
      </c>
    </row>
    <row r="3851" customFormat="false" ht="15" hidden="false" customHeight="false" outlineLevel="0" collapsed="false">
      <c r="A3851" s="36" t="n">
        <v>46286</v>
      </c>
      <c r="B3851" s="24" t="s">
        <v>64</v>
      </c>
      <c r="C3851" s="24" t="s">
        <v>133</v>
      </c>
      <c r="D3851" s="33" t="n">
        <v>55</v>
      </c>
      <c r="E3851" s="24" t="n">
        <v>0</v>
      </c>
      <c r="F3851" s="37" t="n">
        <f aca="false">DATE(YEAR(A3851),MONTH(A3851),1)</f>
        <v>46266</v>
      </c>
      <c r="G3851" s="24" t="str">
        <f aca="false">INDEX(Products!$C$2:$C$49,MATCH(C3851,Products!$A$2:$A$49,0))</f>
        <v>Dairy &amp; Eggs</v>
      </c>
      <c r="H3851" s="33" t="n">
        <f aca="false">D3851*INDEX(Products!$E$2:$E$49,MATCH(C3851,Products!$A$2:$A$49,0))</f>
        <v>6875</v>
      </c>
      <c r="I3851" s="33" t="n">
        <f aca="false">D3851*INDEX(Products!$D$2:$D$49,MATCH(C3851,Products!$A$2:$A$49,0))*(1+INDEX(Assumptions!$B$16:$B$20,MATCH(B3851,Assumptions!$A$16:$A$20,0)))</f>
        <v>5857.28</v>
      </c>
      <c r="J3851" s="33" t="n">
        <f aca="false">H3851-I3851</f>
        <v>1017.72</v>
      </c>
      <c r="K3851" s="33" t="n">
        <f aca="false">IF(OR(E3851=0,E3851&gt;=7),0,D3851/(7-E3851)*E3851*INDEX(Products!$E$2:$E$49,MATCH(C3851,Products!$A$2:$A$49,0)))</f>
        <v>0</v>
      </c>
    </row>
    <row r="3852" customFormat="false" ht="15" hidden="false" customHeight="false" outlineLevel="0" collapsed="false">
      <c r="A3852" s="36" t="n">
        <v>46118</v>
      </c>
      <c r="B3852" s="24" t="s">
        <v>64</v>
      </c>
      <c r="C3852" s="24" t="s">
        <v>135</v>
      </c>
      <c r="D3852" s="33" t="n">
        <v>31</v>
      </c>
      <c r="E3852" s="24" t="n">
        <v>0</v>
      </c>
      <c r="F3852" s="37" t="n">
        <f aca="false">DATE(YEAR(A3852),MONTH(A3852),1)</f>
        <v>46113</v>
      </c>
      <c r="G3852" s="24" t="str">
        <f aca="false">INDEX(Products!$C$2:$C$49,MATCH(C3852,Products!$A$2:$A$49,0))</f>
        <v>Dairy &amp; Eggs</v>
      </c>
      <c r="H3852" s="33" t="n">
        <f aca="false">D3852*INDEX(Products!$E$2:$E$49,MATCH(C3852,Products!$A$2:$A$49,0))</f>
        <v>4030</v>
      </c>
      <c r="I3852" s="33" t="n">
        <f aca="false">D3852*INDEX(Products!$D$2:$D$49,MATCH(C3852,Products!$A$2:$A$49,0))*(1+INDEX(Assumptions!$B$16:$B$20,MATCH(B3852,Assumptions!$A$16:$A$20,0)))</f>
        <v>3491.84</v>
      </c>
      <c r="J3852" s="33" t="n">
        <f aca="false">H3852-I3852</f>
        <v>538.16</v>
      </c>
      <c r="K3852" s="33" t="n">
        <f aca="false">IF(OR(E3852=0,E3852&gt;=7),0,D3852/(7-E3852)*E3852*INDEX(Products!$E$2:$E$49,MATCH(C3852,Products!$A$2:$A$49,0)))</f>
        <v>0</v>
      </c>
    </row>
    <row r="3853" customFormat="false" ht="15" hidden="false" customHeight="false" outlineLevel="0" collapsed="false">
      <c r="A3853" s="36" t="n">
        <v>46125</v>
      </c>
      <c r="B3853" s="24" t="s">
        <v>64</v>
      </c>
      <c r="C3853" s="24" t="s">
        <v>135</v>
      </c>
      <c r="D3853" s="33" t="n">
        <v>32</v>
      </c>
      <c r="E3853" s="24" t="n">
        <v>0</v>
      </c>
      <c r="F3853" s="37" t="n">
        <f aca="false">DATE(YEAR(A3853),MONTH(A3853),1)</f>
        <v>46113</v>
      </c>
      <c r="G3853" s="24" t="str">
        <f aca="false">INDEX(Products!$C$2:$C$49,MATCH(C3853,Products!$A$2:$A$49,0))</f>
        <v>Dairy &amp; Eggs</v>
      </c>
      <c r="H3853" s="33" t="n">
        <f aca="false">D3853*INDEX(Products!$E$2:$E$49,MATCH(C3853,Products!$A$2:$A$49,0))</f>
        <v>4160</v>
      </c>
      <c r="I3853" s="33" t="n">
        <f aca="false">D3853*INDEX(Products!$D$2:$D$49,MATCH(C3853,Products!$A$2:$A$49,0))*(1+INDEX(Assumptions!$B$16:$B$20,MATCH(B3853,Assumptions!$A$16:$A$20,0)))</f>
        <v>3604.48</v>
      </c>
      <c r="J3853" s="33" t="n">
        <f aca="false">H3853-I3853</f>
        <v>555.52</v>
      </c>
      <c r="K3853" s="33" t="n">
        <f aca="false">IF(OR(E3853=0,E3853&gt;=7),0,D3853/(7-E3853)*E3853*INDEX(Products!$E$2:$E$49,MATCH(C3853,Products!$A$2:$A$49,0)))</f>
        <v>0</v>
      </c>
    </row>
    <row r="3854" customFormat="false" ht="15" hidden="false" customHeight="false" outlineLevel="0" collapsed="false">
      <c r="A3854" s="36" t="n">
        <v>46132</v>
      </c>
      <c r="B3854" s="24" t="s">
        <v>64</v>
      </c>
      <c r="C3854" s="24" t="s">
        <v>135</v>
      </c>
      <c r="D3854" s="33" t="n">
        <v>32</v>
      </c>
      <c r="E3854" s="24" t="n">
        <v>0</v>
      </c>
      <c r="F3854" s="37" t="n">
        <f aca="false">DATE(YEAR(A3854),MONTH(A3854),1)</f>
        <v>46113</v>
      </c>
      <c r="G3854" s="24" t="str">
        <f aca="false">INDEX(Products!$C$2:$C$49,MATCH(C3854,Products!$A$2:$A$49,0))</f>
        <v>Dairy &amp; Eggs</v>
      </c>
      <c r="H3854" s="33" t="n">
        <f aca="false">D3854*INDEX(Products!$E$2:$E$49,MATCH(C3854,Products!$A$2:$A$49,0))</f>
        <v>4160</v>
      </c>
      <c r="I3854" s="33" t="n">
        <f aca="false">D3854*INDEX(Products!$D$2:$D$49,MATCH(C3854,Products!$A$2:$A$49,0))*(1+INDEX(Assumptions!$B$16:$B$20,MATCH(B3854,Assumptions!$A$16:$A$20,0)))</f>
        <v>3604.48</v>
      </c>
      <c r="J3854" s="33" t="n">
        <f aca="false">H3854-I3854</f>
        <v>555.52</v>
      </c>
      <c r="K3854" s="33" t="n">
        <f aca="false">IF(OR(E3854=0,E3854&gt;=7),0,D3854/(7-E3854)*E3854*INDEX(Products!$E$2:$E$49,MATCH(C3854,Products!$A$2:$A$49,0)))</f>
        <v>0</v>
      </c>
    </row>
    <row r="3855" customFormat="false" ht="15" hidden="false" customHeight="false" outlineLevel="0" collapsed="false">
      <c r="A3855" s="36" t="n">
        <v>46139</v>
      </c>
      <c r="B3855" s="24" t="s">
        <v>64</v>
      </c>
      <c r="C3855" s="24" t="s">
        <v>135</v>
      </c>
      <c r="D3855" s="33" t="n">
        <v>36</v>
      </c>
      <c r="E3855" s="24" t="n">
        <v>0</v>
      </c>
      <c r="F3855" s="37" t="n">
        <f aca="false">DATE(YEAR(A3855),MONTH(A3855),1)</f>
        <v>46113</v>
      </c>
      <c r="G3855" s="24" t="str">
        <f aca="false">INDEX(Products!$C$2:$C$49,MATCH(C3855,Products!$A$2:$A$49,0))</f>
        <v>Dairy &amp; Eggs</v>
      </c>
      <c r="H3855" s="33" t="n">
        <f aca="false">D3855*INDEX(Products!$E$2:$E$49,MATCH(C3855,Products!$A$2:$A$49,0))</f>
        <v>4680</v>
      </c>
      <c r="I3855" s="33" t="n">
        <f aca="false">D3855*INDEX(Products!$D$2:$D$49,MATCH(C3855,Products!$A$2:$A$49,0))*(1+INDEX(Assumptions!$B$16:$B$20,MATCH(B3855,Assumptions!$A$16:$A$20,0)))</f>
        <v>4055.04</v>
      </c>
      <c r="J3855" s="33" t="n">
        <f aca="false">H3855-I3855</f>
        <v>624.96</v>
      </c>
      <c r="K3855" s="33" t="n">
        <f aca="false">IF(OR(E3855=0,E3855&gt;=7),0,D3855/(7-E3855)*E3855*INDEX(Products!$E$2:$E$49,MATCH(C3855,Products!$A$2:$A$49,0)))</f>
        <v>0</v>
      </c>
    </row>
    <row r="3856" customFormat="false" ht="15" hidden="false" customHeight="false" outlineLevel="0" collapsed="false">
      <c r="A3856" s="36" t="n">
        <v>46146</v>
      </c>
      <c r="B3856" s="24" t="s">
        <v>64</v>
      </c>
      <c r="C3856" s="24" t="s">
        <v>135</v>
      </c>
      <c r="D3856" s="33" t="n">
        <v>27</v>
      </c>
      <c r="E3856" s="24" t="n">
        <v>0</v>
      </c>
      <c r="F3856" s="37" t="n">
        <f aca="false">DATE(YEAR(A3856),MONTH(A3856),1)</f>
        <v>46143</v>
      </c>
      <c r="G3856" s="24" t="str">
        <f aca="false">INDEX(Products!$C$2:$C$49,MATCH(C3856,Products!$A$2:$A$49,0))</f>
        <v>Dairy &amp; Eggs</v>
      </c>
      <c r="H3856" s="33" t="n">
        <f aca="false">D3856*INDEX(Products!$E$2:$E$49,MATCH(C3856,Products!$A$2:$A$49,0))</f>
        <v>3510</v>
      </c>
      <c r="I3856" s="33" t="n">
        <f aca="false">D3856*INDEX(Products!$D$2:$D$49,MATCH(C3856,Products!$A$2:$A$49,0))*(1+INDEX(Assumptions!$B$16:$B$20,MATCH(B3856,Assumptions!$A$16:$A$20,0)))</f>
        <v>3041.28</v>
      </c>
      <c r="J3856" s="33" t="n">
        <f aca="false">H3856-I3856</f>
        <v>468.72</v>
      </c>
      <c r="K3856" s="33" t="n">
        <f aca="false">IF(OR(E3856=0,E3856&gt;=7),0,D3856/(7-E3856)*E3856*INDEX(Products!$E$2:$E$49,MATCH(C3856,Products!$A$2:$A$49,0)))</f>
        <v>0</v>
      </c>
    </row>
    <row r="3857" customFormat="false" ht="15" hidden="false" customHeight="false" outlineLevel="0" collapsed="false">
      <c r="A3857" s="36" t="n">
        <v>46153</v>
      </c>
      <c r="B3857" s="24" t="s">
        <v>64</v>
      </c>
      <c r="C3857" s="24" t="s">
        <v>135</v>
      </c>
      <c r="D3857" s="33" t="n">
        <v>47</v>
      </c>
      <c r="E3857" s="24" t="n">
        <v>0</v>
      </c>
      <c r="F3857" s="37" t="n">
        <f aca="false">DATE(YEAR(A3857),MONTH(A3857),1)</f>
        <v>46143</v>
      </c>
      <c r="G3857" s="24" t="str">
        <f aca="false">INDEX(Products!$C$2:$C$49,MATCH(C3857,Products!$A$2:$A$49,0))</f>
        <v>Dairy &amp; Eggs</v>
      </c>
      <c r="H3857" s="33" t="n">
        <f aca="false">D3857*INDEX(Products!$E$2:$E$49,MATCH(C3857,Products!$A$2:$A$49,0))</f>
        <v>6110</v>
      </c>
      <c r="I3857" s="33" t="n">
        <f aca="false">D3857*INDEX(Products!$D$2:$D$49,MATCH(C3857,Products!$A$2:$A$49,0))*(1+INDEX(Assumptions!$B$16:$B$20,MATCH(B3857,Assumptions!$A$16:$A$20,0)))</f>
        <v>5294.08</v>
      </c>
      <c r="J3857" s="33" t="n">
        <f aca="false">H3857-I3857</f>
        <v>815.92</v>
      </c>
      <c r="K3857" s="33" t="n">
        <f aca="false">IF(OR(E3857=0,E3857&gt;=7),0,D3857/(7-E3857)*E3857*INDEX(Products!$E$2:$E$49,MATCH(C3857,Products!$A$2:$A$49,0)))</f>
        <v>0</v>
      </c>
    </row>
    <row r="3858" customFormat="false" ht="15" hidden="false" customHeight="false" outlineLevel="0" collapsed="false">
      <c r="A3858" s="36" t="n">
        <v>46160</v>
      </c>
      <c r="B3858" s="24" t="s">
        <v>64</v>
      </c>
      <c r="C3858" s="24" t="s">
        <v>135</v>
      </c>
      <c r="D3858" s="33" t="n">
        <v>36</v>
      </c>
      <c r="E3858" s="24" t="n">
        <v>0</v>
      </c>
      <c r="F3858" s="37" t="n">
        <f aca="false">DATE(YEAR(A3858),MONTH(A3858),1)</f>
        <v>46143</v>
      </c>
      <c r="G3858" s="24" t="str">
        <f aca="false">INDEX(Products!$C$2:$C$49,MATCH(C3858,Products!$A$2:$A$49,0))</f>
        <v>Dairy &amp; Eggs</v>
      </c>
      <c r="H3858" s="33" t="n">
        <f aca="false">D3858*INDEX(Products!$E$2:$E$49,MATCH(C3858,Products!$A$2:$A$49,0))</f>
        <v>4680</v>
      </c>
      <c r="I3858" s="33" t="n">
        <f aca="false">D3858*INDEX(Products!$D$2:$D$49,MATCH(C3858,Products!$A$2:$A$49,0))*(1+INDEX(Assumptions!$B$16:$B$20,MATCH(B3858,Assumptions!$A$16:$A$20,0)))</f>
        <v>4055.04</v>
      </c>
      <c r="J3858" s="33" t="n">
        <f aca="false">H3858-I3858</f>
        <v>624.96</v>
      </c>
      <c r="K3858" s="33" t="n">
        <f aca="false">IF(OR(E3858=0,E3858&gt;=7),0,D3858/(7-E3858)*E3858*INDEX(Products!$E$2:$E$49,MATCH(C3858,Products!$A$2:$A$49,0)))</f>
        <v>0</v>
      </c>
    </row>
    <row r="3859" customFormat="false" ht="15" hidden="false" customHeight="false" outlineLevel="0" collapsed="false">
      <c r="A3859" s="36" t="n">
        <v>46167</v>
      </c>
      <c r="B3859" s="24" t="s">
        <v>64</v>
      </c>
      <c r="C3859" s="24" t="s">
        <v>135</v>
      </c>
      <c r="D3859" s="33" t="n">
        <v>37</v>
      </c>
      <c r="E3859" s="24" t="n">
        <v>0</v>
      </c>
      <c r="F3859" s="37" t="n">
        <f aca="false">DATE(YEAR(A3859),MONTH(A3859),1)</f>
        <v>46143</v>
      </c>
      <c r="G3859" s="24" t="str">
        <f aca="false">INDEX(Products!$C$2:$C$49,MATCH(C3859,Products!$A$2:$A$49,0))</f>
        <v>Dairy &amp; Eggs</v>
      </c>
      <c r="H3859" s="33" t="n">
        <f aca="false">D3859*INDEX(Products!$E$2:$E$49,MATCH(C3859,Products!$A$2:$A$49,0))</f>
        <v>4810</v>
      </c>
      <c r="I3859" s="33" t="n">
        <f aca="false">D3859*INDEX(Products!$D$2:$D$49,MATCH(C3859,Products!$A$2:$A$49,0))*(1+INDEX(Assumptions!$B$16:$B$20,MATCH(B3859,Assumptions!$A$16:$A$20,0)))</f>
        <v>4167.68</v>
      </c>
      <c r="J3859" s="33" t="n">
        <f aca="false">H3859-I3859</f>
        <v>642.32</v>
      </c>
      <c r="K3859" s="33" t="n">
        <f aca="false">IF(OR(E3859=0,E3859&gt;=7),0,D3859/(7-E3859)*E3859*INDEX(Products!$E$2:$E$49,MATCH(C3859,Products!$A$2:$A$49,0)))</f>
        <v>0</v>
      </c>
    </row>
    <row r="3860" customFormat="false" ht="15" hidden="false" customHeight="false" outlineLevel="0" collapsed="false">
      <c r="A3860" s="36" t="n">
        <v>46174</v>
      </c>
      <c r="B3860" s="24" t="s">
        <v>64</v>
      </c>
      <c r="C3860" s="24" t="s">
        <v>135</v>
      </c>
      <c r="D3860" s="33" t="n">
        <v>35</v>
      </c>
      <c r="E3860" s="24" t="n">
        <v>0</v>
      </c>
      <c r="F3860" s="37" t="n">
        <f aca="false">DATE(YEAR(A3860),MONTH(A3860),1)</f>
        <v>46174</v>
      </c>
      <c r="G3860" s="24" t="str">
        <f aca="false">INDEX(Products!$C$2:$C$49,MATCH(C3860,Products!$A$2:$A$49,0))</f>
        <v>Dairy &amp; Eggs</v>
      </c>
      <c r="H3860" s="33" t="n">
        <f aca="false">D3860*INDEX(Products!$E$2:$E$49,MATCH(C3860,Products!$A$2:$A$49,0))</f>
        <v>4550</v>
      </c>
      <c r="I3860" s="33" t="n">
        <f aca="false">D3860*INDEX(Products!$D$2:$D$49,MATCH(C3860,Products!$A$2:$A$49,0))*(1+INDEX(Assumptions!$B$16:$B$20,MATCH(B3860,Assumptions!$A$16:$A$20,0)))</f>
        <v>3942.4</v>
      </c>
      <c r="J3860" s="33" t="n">
        <f aca="false">H3860-I3860</f>
        <v>607.6</v>
      </c>
      <c r="K3860" s="33" t="n">
        <f aca="false">IF(OR(E3860=0,E3860&gt;=7),0,D3860/(7-E3860)*E3860*INDEX(Products!$E$2:$E$49,MATCH(C3860,Products!$A$2:$A$49,0)))</f>
        <v>0</v>
      </c>
    </row>
    <row r="3861" customFormat="false" ht="15" hidden="false" customHeight="false" outlineLevel="0" collapsed="false">
      <c r="A3861" s="36" t="n">
        <v>46181</v>
      </c>
      <c r="B3861" s="24" t="s">
        <v>64</v>
      </c>
      <c r="C3861" s="24" t="s">
        <v>135</v>
      </c>
      <c r="D3861" s="33" t="n">
        <v>34</v>
      </c>
      <c r="E3861" s="24" t="n">
        <v>0</v>
      </c>
      <c r="F3861" s="37" t="n">
        <f aca="false">DATE(YEAR(A3861),MONTH(A3861),1)</f>
        <v>46174</v>
      </c>
      <c r="G3861" s="24" t="str">
        <f aca="false">INDEX(Products!$C$2:$C$49,MATCH(C3861,Products!$A$2:$A$49,0))</f>
        <v>Dairy &amp; Eggs</v>
      </c>
      <c r="H3861" s="33" t="n">
        <f aca="false">D3861*INDEX(Products!$E$2:$E$49,MATCH(C3861,Products!$A$2:$A$49,0))</f>
        <v>4420</v>
      </c>
      <c r="I3861" s="33" t="n">
        <f aca="false">D3861*INDEX(Products!$D$2:$D$49,MATCH(C3861,Products!$A$2:$A$49,0))*(1+INDEX(Assumptions!$B$16:$B$20,MATCH(B3861,Assumptions!$A$16:$A$20,0)))</f>
        <v>3829.76</v>
      </c>
      <c r="J3861" s="33" t="n">
        <f aca="false">H3861-I3861</f>
        <v>590.24</v>
      </c>
      <c r="K3861" s="33" t="n">
        <f aca="false">IF(OR(E3861=0,E3861&gt;=7),0,D3861/(7-E3861)*E3861*INDEX(Products!$E$2:$E$49,MATCH(C3861,Products!$A$2:$A$49,0)))</f>
        <v>0</v>
      </c>
    </row>
    <row r="3862" customFormat="false" ht="15" hidden="false" customHeight="false" outlineLevel="0" collapsed="false">
      <c r="A3862" s="36" t="n">
        <v>46188</v>
      </c>
      <c r="B3862" s="24" t="s">
        <v>64</v>
      </c>
      <c r="C3862" s="24" t="s">
        <v>135</v>
      </c>
      <c r="D3862" s="33" t="n">
        <v>36</v>
      </c>
      <c r="E3862" s="24" t="n">
        <v>0</v>
      </c>
      <c r="F3862" s="37" t="n">
        <f aca="false">DATE(YEAR(A3862),MONTH(A3862),1)</f>
        <v>46174</v>
      </c>
      <c r="G3862" s="24" t="str">
        <f aca="false">INDEX(Products!$C$2:$C$49,MATCH(C3862,Products!$A$2:$A$49,0))</f>
        <v>Dairy &amp; Eggs</v>
      </c>
      <c r="H3862" s="33" t="n">
        <f aca="false">D3862*INDEX(Products!$E$2:$E$49,MATCH(C3862,Products!$A$2:$A$49,0))</f>
        <v>4680</v>
      </c>
      <c r="I3862" s="33" t="n">
        <f aca="false">D3862*INDEX(Products!$D$2:$D$49,MATCH(C3862,Products!$A$2:$A$49,0))*(1+INDEX(Assumptions!$B$16:$B$20,MATCH(B3862,Assumptions!$A$16:$A$20,0)))</f>
        <v>4055.04</v>
      </c>
      <c r="J3862" s="33" t="n">
        <f aca="false">H3862-I3862</f>
        <v>624.96</v>
      </c>
      <c r="K3862" s="33" t="n">
        <f aca="false">IF(OR(E3862=0,E3862&gt;=7),0,D3862/(7-E3862)*E3862*INDEX(Products!$E$2:$E$49,MATCH(C3862,Products!$A$2:$A$49,0)))</f>
        <v>0</v>
      </c>
    </row>
    <row r="3863" customFormat="false" ht="15" hidden="false" customHeight="false" outlineLevel="0" collapsed="false">
      <c r="A3863" s="36" t="n">
        <v>46195</v>
      </c>
      <c r="B3863" s="24" t="s">
        <v>64</v>
      </c>
      <c r="C3863" s="24" t="s">
        <v>135</v>
      </c>
      <c r="D3863" s="33" t="n">
        <v>27</v>
      </c>
      <c r="E3863" s="24" t="n">
        <v>0</v>
      </c>
      <c r="F3863" s="37" t="n">
        <f aca="false">DATE(YEAR(A3863),MONTH(A3863),1)</f>
        <v>46174</v>
      </c>
      <c r="G3863" s="24" t="str">
        <f aca="false">INDEX(Products!$C$2:$C$49,MATCH(C3863,Products!$A$2:$A$49,0))</f>
        <v>Dairy &amp; Eggs</v>
      </c>
      <c r="H3863" s="33" t="n">
        <f aca="false">D3863*INDEX(Products!$E$2:$E$49,MATCH(C3863,Products!$A$2:$A$49,0))</f>
        <v>3510</v>
      </c>
      <c r="I3863" s="33" t="n">
        <f aca="false">D3863*INDEX(Products!$D$2:$D$49,MATCH(C3863,Products!$A$2:$A$49,0))*(1+INDEX(Assumptions!$B$16:$B$20,MATCH(B3863,Assumptions!$A$16:$A$20,0)))</f>
        <v>3041.28</v>
      </c>
      <c r="J3863" s="33" t="n">
        <f aca="false">H3863-I3863</f>
        <v>468.72</v>
      </c>
      <c r="K3863" s="33" t="n">
        <f aca="false">IF(OR(E3863=0,E3863&gt;=7),0,D3863/(7-E3863)*E3863*INDEX(Products!$E$2:$E$49,MATCH(C3863,Products!$A$2:$A$49,0)))</f>
        <v>0</v>
      </c>
    </row>
    <row r="3864" customFormat="false" ht="15" hidden="false" customHeight="false" outlineLevel="0" collapsed="false">
      <c r="A3864" s="36" t="n">
        <v>46202</v>
      </c>
      <c r="B3864" s="24" t="s">
        <v>64</v>
      </c>
      <c r="C3864" s="24" t="s">
        <v>135</v>
      </c>
      <c r="D3864" s="33" t="n">
        <v>35</v>
      </c>
      <c r="E3864" s="24" t="n">
        <v>0</v>
      </c>
      <c r="F3864" s="37" t="n">
        <f aca="false">DATE(YEAR(A3864),MONTH(A3864),1)</f>
        <v>46174</v>
      </c>
      <c r="G3864" s="24" t="str">
        <f aca="false">INDEX(Products!$C$2:$C$49,MATCH(C3864,Products!$A$2:$A$49,0))</f>
        <v>Dairy &amp; Eggs</v>
      </c>
      <c r="H3864" s="33" t="n">
        <f aca="false">D3864*INDEX(Products!$E$2:$E$49,MATCH(C3864,Products!$A$2:$A$49,0))</f>
        <v>4550</v>
      </c>
      <c r="I3864" s="33" t="n">
        <f aca="false">D3864*INDEX(Products!$D$2:$D$49,MATCH(C3864,Products!$A$2:$A$49,0))*(1+INDEX(Assumptions!$B$16:$B$20,MATCH(B3864,Assumptions!$A$16:$A$20,0)))</f>
        <v>3942.4</v>
      </c>
      <c r="J3864" s="33" t="n">
        <f aca="false">H3864-I3864</f>
        <v>607.6</v>
      </c>
      <c r="K3864" s="33" t="n">
        <f aca="false">IF(OR(E3864=0,E3864&gt;=7),0,D3864/(7-E3864)*E3864*INDEX(Products!$E$2:$E$49,MATCH(C3864,Products!$A$2:$A$49,0)))</f>
        <v>0</v>
      </c>
    </row>
    <row r="3865" customFormat="false" ht="15" hidden="false" customHeight="false" outlineLevel="0" collapsed="false">
      <c r="A3865" s="36" t="n">
        <v>46209</v>
      </c>
      <c r="B3865" s="24" t="s">
        <v>64</v>
      </c>
      <c r="C3865" s="24" t="s">
        <v>135</v>
      </c>
      <c r="D3865" s="33" t="n">
        <v>30</v>
      </c>
      <c r="E3865" s="24" t="n">
        <v>0</v>
      </c>
      <c r="F3865" s="37" t="n">
        <f aca="false">DATE(YEAR(A3865),MONTH(A3865),1)</f>
        <v>46204</v>
      </c>
      <c r="G3865" s="24" t="str">
        <f aca="false">INDEX(Products!$C$2:$C$49,MATCH(C3865,Products!$A$2:$A$49,0))</f>
        <v>Dairy &amp; Eggs</v>
      </c>
      <c r="H3865" s="33" t="n">
        <f aca="false">D3865*INDEX(Products!$E$2:$E$49,MATCH(C3865,Products!$A$2:$A$49,0))</f>
        <v>3900</v>
      </c>
      <c r="I3865" s="33" t="n">
        <f aca="false">D3865*INDEX(Products!$D$2:$D$49,MATCH(C3865,Products!$A$2:$A$49,0))*(1+INDEX(Assumptions!$B$16:$B$20,MATCH(B3865,Assumptions!$A$16:$A$20,0)))</f>
        <v>3379.2</v>
      </c>
      <c r="J3865" s="33" t="n">
        <f aca="false">H3865-I3865</f>
        <v>520.8</v>
      </c>
      <c r="K3865" s="33" t="n">
        <f aca="false">IF(OR(E3865=0,E3865&gt;=7),0,D3865/(7-E3865)*E3865*INDEX(Products!$E$2:$E$49,MATCH(C3865,Products!$A$2:$A$49,0)))</f>
        <v>0</v>
      </c>
    </row>
    <row r="3866" customFormat="false" ht="15" hidden="false" customHeight="false" outlineLevel="0" collapsed="false">
      <c r="A3866" s="36" t="n">
        <v>46216</v>
      </c>
      <c r="B3866" s="24" t="s">
        <v>64</v>
      </c>
      <c r="C3866" s="24" t="s">
        <v>135</v>
      </c>
      <c r="D3866" s="33" t="n">
        <v>27</v>
      </c>
      <c r="E3866" s="24" t="n">
        <v>0</v>
      </c>
      <c r="F3866" s="37" t="n">
        <f aca="false">DATE(YEAR(A3866),MONTH(A3866),1)</f>
        <v>46204</v>
      </c>
      <c r="G3866" s="24" t="str">
        <f aca="false">INDEX(Products!$C$2:$C$49,MATCH(C3866,Products!$A$2:$A$49,0))</f>
        <v>Dairy &amp; Eggs</v>
      </c>
      <c r="H3866" s="33" t="n">
        <f aca="false">D3866*INDEX(Products!$E$2:$E$49,MATCH(C3866,Products!$A$2:$A$49,0))</f>
        <v>3510</v>
      </c>
      <c r="I3866" s="33" t="n">
        <f aca="false">D3866*INDEX(Products!$D$2:$D$49,MATCH(C3866,Products!$A$2:$A$49,0))*(1+INDEX(Assumptions!$B$16:$B$20,MATCH(B3866,Assumptions!$A$16:$A$20,0)))</f>
        <v>3041.28</v>
      </c>
      <c r="J3866" s="33" t="n">
        <f aca="false">H3866-I3866</f>
        <v>468.72</v>
      </c>
      <c r="K3866" s="33" t="n">
        <f aca="false">IF(OR(E3866=0,E3866&gt;=7),0,D3866/(7-E3866)*E3866*INDEX(Products!$E$2:$E$49,MATCH(C3866,Products!$A$2:$A$49,0)))</f>
        <v>0</v>
      </c>
    </row>
    <row r="3867" customFormat="false" ht="15" hidden="false" customHeight="false" outlineLevel="0" collapsed="false">
      <c r="A3867" s="36" t="n">
        <v>46223</v>
      </c>
      <c r="B3867" s="24" t="s">
        <v>64</v>
      </c>
      <c r="C3867" s="24" t="s">
        <v>135</v>
      </c>
      <c r="D3867" s="33" t="n">
        <v>34</v>
      </c>
      <c r="E3867" s="24" t="n">
        <v>0</v>
      </c>
      <c r="F3867" s="37" t="n">
        <f aca="false">DATE(YEAR(A3867),MONTH(A3867),1)</f>
        <v>46204</v>
      </c>
      <c r="G3867" s="24" t="str">
        <f aca="false">INDEX(Products!$C$2:$C$49,MATCH(C3867,Products!$A$2:$A$49,0))</f>
        <v>Dairy &amp; Eggs</v>
      </c>
      <c r="H3867" s="33" t="n">
        <f aca="false">D3867*INDEX(Products!$E$2:$E$49,MATCH(C3867,Products!$A$2:$A$49,0))</f>
        <v>4420</v>
      </c>
      <c r="I3867" s="33" t="n">
        <f aca="false">D3867*INDEX(Products!$D$2:$D$49,MATCH(C3867,Products!$A$2:$A$49,0))*(1+INDEX(Assumptions!$B$16:$B$20,MATCH(B3867,Assumptions!$A$16:$A$20,0)))</f>
        <v>3829.76</v>
      </c>
      <c r="J3867" s="33" t="n">
        <f aca="false">H3867-I3867</f>
        <v>590.24</v>
      </c>
      <c r="K3867" s="33" t="n">
        <f aca="false">IF(OR(E3867=0,E3867&gt;=7),0,D3867/(7-E3867)*E3867*INDEX(Products!$E$2:$E$49,MATCH(C3867,Products!$A$2:$A$49,0)))</f>
        <v>0</v>
      </c>
    </row>
    <row r="3868" customFormat="false" ht="15" hidden="false" customHeight="false" outlineLevel="0" collapsed="false">
      <c r="A3868" s="36" t="n">
        <v>46230</v>
      </c>
      <c r="B3868" s="24" t="s">
        <v>64</v>
      </c>
      <c r="C3868" s="24" t="s">
        <v>135</v>
      </c>
      <c r="D3868" s="33" t="n">
        <v>29</v>
      </c>
      <c r="E3868" s="24" t="n">
        <v>0</v>
      </c>
      <c r="F3868" s="37" t="n">
        <f aca="false">DATE(YEAR(A3868),MONTH(A3868),1)</f>
        <v>46204</v>
      </c>
      <c r="G3868" s="24" t="str">
        <f aca="false">INDEX(Products!$C$2:$C$49,MATCH(C3868,Products!$A$2:$A$49,0))</f>
        <v>Dairy &amp; Eggs</v>
      </c>
      <c r="H3868" s="33" t="n">
        <f aca="false">D3868*INDEX(Products!$E$2:$E$49,MATCH(C3868,Products!$A$2:$A$49,0))</f>
        <v>3770</v>
      </c>
      <c r="I3868" s="33" t="n">
        <f aca="false">D3868*INDEX(Products!$D$2:$D$49,MATCH(C3868,Products!$A$2:$A$49,0))*(1+INDEX(Assumptions!$B$16:$B$20,MATCH(B3868,Assumptions!$A$16:$A$20,0)))</f>
        <v>3266.56</v>
      </c>
      <c r="J3868" s="33" t="n">
        <f aca="false">H3868-I3868</f>
        <v>503.44</v>
      </c>
      <c r="K3868" s="33" t="n">
        <f aca="false">IF(OR(E3868=0,E3868&gt;=7),0,D3868/(7-E3868)*E3868*INDEX(Products!$E$2:$E$49,MATCH(C3868,Products!$A$2:$A$49,0)))</f>
        <v>0</v>
      </c>
    </row>
    <row r="3869" customFormat="false" ht="15" hidden="false" customHeight="false" outlineLevel="0" collapsed="false">
      <c r="A3869" s="36" t="n">
        <v>46237</v>
      </c>
      <c r="B3869" s="24" t="s">
        <v>64</v>
      </c>
      <c r="C3869" s="24" t="s">
        <v>135</v>
      </c>
      <c r="D3869" s="33" t="n">
        <v>38</v>
      </c>
      <c r="E3869" s="24" t="n">
        <v>0</v>
      </c>
      <c r="F3869" s="37" t="n">
        <f aca="false">DATE(YEAR(A3869),MONTH(A3869),1)</f>
        <v>46235</v>
      </c>
      <c r="G3869" s="24" t="str">
        <f aca="false">INDEX(Products!$C$2:$C$49,MATCH(C3869,Products!$A$2:$A$49,0))</f>
        <v>Dairy &amp; Eggs</v>
      </c>
      <c r="H3869" s="33" t="n">
        <f aca="false">D3869*INDEX(Products!$E$2:$E$49,MATCH(C3869,Products!$A$2:$A$49,0))</f>
        <v>4940</v>
      </c>
      <c r="I3869" s="33" t="n">
        <f aca="false">D3869*INDEX(Products!$D$2:$D$49,MATCH(C3869,Products!$A$2:$A$49,0))*(1+INDEX(Assumptions!$B$16:$B$20,MATCH(B3869,Assumptions!$A$16:$A$20,0)))</f>
        <v>4280.32</v>
      </c>
      <c r="J3869" s="33" t="n">
        <f aca="false">H3869-I3869</f>
        <v>659.68</v>
      </c>
      <c r="K3869" s="33" t="n">
        <f aca="false">IF(OR(E3869=0,E3869&gt;=7),0,D3869/(7-E3869)*E3869*INDEX(Products!$E$2:$E$49,MATCH(C3869,Products!$A$2:$A$49,0)))</f>
        <v>0</v>
      </c>
    </row>
    <row r="3870" customFormat="false" ht="15" hidden="false" customHeight="false" outlineLevel="0" collapsed="false">
      <c r="A3870" s="36" t="n">
        <v>46244</v>
      </c>
      <c r="B3870" s="24" t="s">
        <v>64</v>
      </c>
      <c r="C3870" s="24" t="s">
        <v>135</v>
      </c>
      <c r="D3870" s="33" t="n">
        <v>34</v>
      </c>
      <c r="E3870" s="24" t="n">
        <v>0</v>
      </c>
      <c r="F3870" s="37" t="n">
        <f aca="false">DATE(YEAR(A3870),MONTH(A3870),1)</f>
        <v>46235</v>
      </c>
      <c r="G3870" s="24" t="str">
        <f aca="false">INDEX(Products!$C$2:$C$49,MATCH(C3870,Products!$A$2:$A$49,0))</f>
        <v>Dairy &amp; Eggs</v>
      </c>
      <c r="H3870" s="33" t="n">
        <f aca="false">D3870*INDEX(Products!$E$2:$E$49,MATCH(C3870,Products!$A$2:$A$49,0))</f>
        <v>4420</v>
      </c>
      <c r="I3870" s="33" t="n">
        <f aca="false">D3870*INDEX(Products!$D$2:$D$49,MATCH(C3870,Products!$A$2:$A$49,0))*(1+INDEX(Assumptions!$B$16:$B$20,MATCH(B3870,Assumptions!$A$16:$A$20,0)))</f>
        <v>3829.76</v>
      </c>
      <c r="J3870" s="33" t="n">
        <f aca="false">H3870-I3870</f>
        <v>590.24</v>
      </c>
      <c r="K3870" s="33" t="n">
        <f aca="false">IF(OR(E3870=0,E3870&gt;=7),0,D3870/(7-E3870)*E3870*INDEX(Products!$E$2:$E$49,MATCH(C3870,Products!$A$2:$A$49,0)))</f>
        <v>0</v>
      </c>
    </row>
    <row r="3871" customFormat="false" ht="15" hidden="false" customHeight="false" outlineLevel="0" collapsed="false">
      <c r="A3871" s="36" t="n">
        <v>46251</v>
      </c>
      <c r="B3871" s="24" t="s">
        <v>64</v>
      </c>
      <c r="C3871" s="24" t="s">
        <v>135</v>
      </c>
      <c r="D3871" s="33" t="n">
        <v>31</v>
      </c>
      <c r="E3871" s="24" t="n">
        <v>0</v>
      </c>
      <c r="F3871" s="37" t="n">
        <f aca="false">DATE(YEAR(A3871),MONTH(A3871),1)</f>
        <v>46235</v>
      </c>
      <c r="G3871" s="24" t="str">
        <f aca="false">INDEX(Products!$C$2:$C$49,MATCH(C3871,Products!$A$2:$A$49,0))</f>
        <v>Dairy &amp; Eggs</v>
      </c>
      <c r="H3871" s="33" t="n">
        <f aca="false">D3871*INDEX(Products!$E$2:$E$49,MATCH(C3871,Products!$A$2:$A$49,0))</f>
        <v>4030</v>
      </c>
      <c r="I3871" s="33" t="n">
        <f aca="false">D3871*INDEX(Products!$D$2:$D$49,MATCH(C3871,Products!$A$2:$A$49,0))*(1+INDEX(Assumptions!$B$16:$B$20,MATCH(B3871,Assumptions!$A$16:$A$20,0)))</f>
        <v>3491.84</v>
      </c>
      <c r="J3871" s="33" t="n">
        <f aca="false">H3871-I3871</f>
        <v>538.16</v>
      </c>
      <c r="K3871" s="33" t="n">
        <f aca="false">IF(OR(E3871=0,E3871&gt;=7),0,D3871/(7-E3871)*E3871*INDEX(Products!$E$2:$E$49,MATCH(C3871,Products!$A$2:$A$49,0)))</f>
        <v>0</v>
      </c>
    </row>
    <row r="3872" customFormat="false" ht="15" hidden="false" customHeight="false" outlineLevel="0" collapsed="false">
      <c r="A3872" s="36" t="n">
        <v>46258</v>
      </c>
      <c r="B3872" s="24" t="s">
        <v>64</v>
      </c>
      <c r="C3872" s="24" t="s">
        <v>135</v>
      </c>
      <c r="D3872" s="33" t="n">
        <v>29</v>
      </c>
      <c r="E3872" s="24" t="n">
        <v>0</v>
      </c>
      <c r="F3872" s="37" t="n">
        <f aca="false">DATE(YEAR(A3872),MONTH(A3872),1)</f>
        <v>46235</v>
      </c>
      <c r="G3872" s="24" t="str">
        <f aca="false">INDEX(Products!$C$2:$C$49,MATCH(C3872,Products!$A$2:$A$49,0))</f>
        <v>Dairy &amp; Eggs</v>
      </c>
      <c r="H3872" s="33" t="n">
        <f aca="false">D3872*INDEX(Products!$E$2:$E$49,MATCH(C3872,Products!$A$2:$A$49,0))</f>
        <v>3770</v>
      </c>
      <c r="I3872" s="33" t="n">
        <f aca="false">D3872*INDEX(Products!$D$2:$D$49,MATCH(C3872,Products!$A$2:$A$49,0))*(1+INDEX(Assumptions!$B$16:$B$20,MATCH(B3872,Assumptions!$A$16:$A$20,0)))</f>
        <v>3266.56</v>
      </c>
      <c r="J3872" s="33" t="n">
        <f aca="false">H3872-I3872</f>
        <v>503.44</v>
      </c>
      <c r="K3872" s="33" t="n">
        <f aca="false">IF(OR(E3872=0,E3872&gt;=7),0,D3872/(7-E3872)*E3872*INDEX(Products!$E$2:$E$49,MATCH(C3872,Products!$A$2:$A$49,0)))</f>
        <v>0</v>
      </c>
    </row>
    <row r="3873" customFormat="false" ht="15" hidden="false" customHeight="false" outlineLevel="0" collapsed="false">
      <c r="A3873" s="36" t="n">
        <v>46265</v>
      </c>
      <c r="B3873" s="24" t="s">
        <v>64</v>
      </c>
      <c r="C3873" s="24" t="s">
        <v>135</v>
      </c>
      <c r="D3873" s="33" t="n">
        <v>30</v>
      </c>
      <c r="E3873" s="24" t="n">
        <v>0</v>
      </c>
      <c r="F3873" s="37" t="n">
        <f aca="false">DATE(YEAR(A3873),MONTH(A3873),1)</f>
        <v>46235</v>
      </c>
      <c r="G3873" s="24" t="str">
        <f aca="false">INDEX(Products!$C$2:$C$49,MATCH(C3873,Products!$A$2:$A$49,0))</f>
        <v>Dairy &amp; Eggs</v>
      </c>
      <c r="H3873" s="33" t="n">
        <f aca="false">D3873*INDEX(Products!$E$2:$E$49,MATCH(C3873,Products!$A$2:$A$49,0))</f>
        <v>3900</v>
      </c>
      <c r="I3873" s="33" t="n">
        <f aca="false">D3873*INDEX(Products!$D$2:$D$49,MATCH(C3873,Products!$A$2:$A$49,0))*(1+INDEX(Assumptions!$B$16:$B$20,MATCH(B3873,Assumptions!$A$16:$A$20,0)))</f>
        <v>3379.2</v>
      </c>
      <c r="J3873" s="33" t="n">
        <f aca="false">H3873-I3873</f>
        <v>520.8</v>
      </c>
      <c r="K3873" s="33" t="n">
        <f aca="false">IF(OR(E3873=0,E3873&gt;=7),0,D3873/(7-E3873)*E3873*INDEX(Products!$E$2:$E$49,MATCH(C3873,Products!$A$2:$A$49,0)))</f>
        <v>0</v>
      </c>
    </row>
    <row r="3874" customFormat="false" ht="15" hidden="false" customHeight="false" outlineLevel="0" collapsed="false">
      <c r="A3874" s="36" t="n">
        <v>46272</v>
      </c>
      <c r="B3874" s="24" t="s">
        <v>64</v>
      </c>
      <c r="C3874" s="24" t="s">
        <v>135</v>
      </c>
      <c r="D3874" s="33" t="n">
        <v>35</v>
      </c>
      <c r="E3874" s="24" t="n">
        <v>0</v>
      </c>
      <c r="F3874" s="37" t="n">
        <f aca="false">DATE(YEAR(A3874),MONTH(A3874),1)</f>
        <v>46266</v>
      </c>
      <c r="G3874" s="24" t="str">
        <f aca="false">INDEX(Products!$C$2:$C$49,MATCH(C3874,Products!$A$2:$A$49,0))</f>
        <v>Dairy &amp; Eggs</v>
      </c>
      <c r="H3874" s="33" t="n">
        <f aca="false">D3874*INDEX(Products!$E$2:$E$49,MATCH(C3874,Products!$A$2:$A$49,0))</f>
        <v>4550</v>
      </c>
      <c r="I3874" s="33" t="n">
        <f aca="false">D3874*INDEX(Products!$D$2:$D$49,MATCH(C3874,Products!$A$2:$A$49,0))*(1+INDEX(Assumptions!$B$16:$B$20,MATCH(B3874,Assumptions!$A$16:$A$20,0)))</f>
        <v>3942.4</v>
      </c>
      <c r="J3874" s="33" t="n">
        <f aca="false">H3874-I3874</f>
        <v>607.6</v>
      </c>
      <c r="K3874" s="33" t="n">
        <f aca="false">IF(OR(E3874=0,E3874&gt;=7),0,D3874/(7-E3874)*E3874*INDEX(Products!$E$2:$E$49,MATCH(C3874,Products!$A$2:$A$49,0)))</f>
        <v>0</v>
      </c>
    </row>
    <row r="3875" customFormat="false" ht="15" hidden="false" customHeight="false" outlineLevel="0" collapsed="false">
      <c r="A3875" s="36" t="n">
        <v>46279</v>
      </c>
      <c r="B3875" s="24" t="s">
        <v>64</v>
      </c>
      <c r="C3875" s="24" t="s">
        <v>135</v>
      </c>
      <c r="D3875" s="33" t="n">
        <v>27</v>
      </c>
      <c r="E3875" s="24" t="n">
        <v>0</v>
      </c>
      <c r="F3875" s="37" t="n">
        <f aca="false">DATE(YEAR(A3875),MONTH(A3875),1)</f>
        <v>46266</v>
      </c>
      <c r="G3875" s="24" t="str">
        <f aca="false">INDEX(Products!$C$2:$C$49,MATCH(C3875,Products!$A$2:$A$49,0))</f>
        <v>Dairy &amp; Eggs</v>
      </c>
      <c r="H3875" s="33" t="n">
        <f aca="false">D3875*INDEX(Products!$E$2:$E$49,MATCH(C3875,Products!$A$2:$A$49,0))</f>
        <v>3510</v>
      </c>
      <c r="I3875" s="33" t="n">
        <f aca="false">D3875*INDEX(Products!$D$2:$D$49,MATCH(C3875,Products!$A$2:$A$49,0))*(1+INDEX(Assumptions!$B$16:$B$20,MATCH(B3875,Assumptions!$A$16:$A$20,0)))</f>
        <v>3041.28</v>
      </c>
      <c r="J3875" s="33" t="n">
        <f aca="false">H3875-I3875</f>
        <v>468.72</v>
      </c>
      <c r="K3875" s="33" t="n">
        <f aca="false">IF(OR(E3875=0,E3875&gt;=7),0,D3875/(7-E3875)*E3875*INDEX(Products!$E$2:$E$49,MATCH(C3875,Products!$A$2:$A$49,0)))</f>
        <v>0</v>
      </c>
    </row>
    <row r="3876" customFormat="false" ht="15" hidden="false" customHeight="false" outlineLevel="0" collapsed="false">
      <c r="A3876" s="36" t="n">
        <v>46286</v>
      </c>
      <c r="B3876" s="24" t="s">
        <v>64</v>
      </c>
      <c r="C3876" s="24" t="s">
        <v>135</v>
      </c>
      <c r="D3876" s="33" t="n">
        <v>34</v>
      </c>
      <c r="E3876" s="24" t="n">
        <v>0</v>
      </c>
      <c r="F3876" s="37" t="n">
        <f aca="false">DATE(YEAR(A3876),MONTH(A3876),1)</f>
        <v>46266</v>
      </c>
      <c r="G3876" s="24" t="str">
        <f aca="false">INDEX(Products!$C$2:$C$49,MATCH(C3876,Products!$A$2:$A$49,0))</f>
        <v>Dairy &amp; Eggs</v>
      </c>
      <c r="H3876" s="33" t="n">
        <f aca="false">D3876*INDEX(Products!$E$2:$E$49,MATCH(C3876,Products!$A$2:$A$49,0))</f>
        <v>4420</v>
      </c>
      <c r="I3876" s="33" t="n">
        <f aca="false">D3876*INDEX(Products!$D$2:$D$49,MATCH(C3876,Products!$A$2:$A$49,0))*(1+INDEX(Assumptions!$B$16:$B$20,MATCH(B3876,Assumptions!$A$16:$A$20,0)))</f>
        <v>3829.76</v>
      </c>
      <c r="J3876" s="33" t="n">
        <f aca="false">H3876-I3876</f>
        <v>590.24</v>
      </c>
      <c r="K3876" s="33" t="n">
        <f aca="false">IF(OR(E3876=0,E3876&gt;=7),0,D3876/(7-E3876)*E3876*INDEX(Products!$E$2:$E$49,MATCH(C3876,Products!$A$2:$A$49,0)))</f>
        <v>0</v>
      </c>
    </row>
    <row r="3877" customFormat="false" ht="15" hidden="false" customHeight="false" outlineLevel="0" collapsed="false">
      <c r="A3877" s="36" t="n">
        <v>46118</v>
      </c>
      <c r="B3877" s="24" t="s">
        <v>64</v>
      </c>
      <c r="C3877" s="24" t="s">
        <v>137</v>
      </c>
      <c r="D3877" s="33" t="n">
        <v>38</v>
      </c>
      <c r="E3877" s="24" t="n">
        <v>3</v>
      </c>
      <c r="F3877" s="37" t="n">
        <f aca="false">DATE(YEAR(A3877),MONTH(A3877),1)</f>
        <v>46113</v>
      </c>
      <c r="G3877" s="24" t="str">
        <f aca="false">INDEX(Products!$C$2:$C$49,MATCH(C3877,Products!$A$2:$A$49,0))</f>
        <v>Dairy &amp; Eggs</v>
      </c>
      <c r="H3877" s="33" t="n">
        <f aca="false">D3877*INDEX(Products!$E$2:$E$49,MATCH(C3877,Products!$A$2:$A$49,0))</f>
        <v>12160</v>
      </c>
      <c r="I3877" s="33" t="n">
        <f aca="false">D3877*INDEX(Products!$D$2:$D$49,MATCH(C3877,Products!$A$2:$A$49,0))*(1+INDEX(Assumptions!$B$16:$B$20,MATCH(B3877,Assumptions!$A$16:$A$20,0)))</f>
        <v>10428.416</v>
      </c>
      <c r="J3877" s="33" t="n">
        <f aca="false">H3877-I3877</f>
        <v>1731.584</v>
      </c>
      <c r="K3877" s="33" t="n">
        <f aca="false">IF(OR(E3877=0,E3877&gt;=7),0,D3877/(7-E3877)*E3877*INDEX(Products!$E$2:$E$49,MATCH(C3877,Products!$A$2:$A$49,0)))</f>
        <v>9120</v>
      </c>
    </row>
    <row r="3878" customFormat="false" ht="15" hidden="false" customHeight="false" outlineLevel="0" collapsed="false">
      <c r="A3878" s="36" t="n">
        <v>46125</v>
      </c>
      <c r="B3878" s="24" t="s">
        <v>64</v>
      </c>
      <c r="C3878" s="24" t="s">
        <v>137</v>
      </c>
      <c r="D3878" s="33" t="n">
        <v>68</v>
      </c>
      <c r="E3878" s="24" t="n">
        <v>0</v>
      </c>
      <c r="F3878" s="37" t="n">
        <f aca="false">DATE(YEAR(A3878),MONTH(A3878),1)</f>
        <v>46113</v>
      </c>
      <c r="G3878" s="24" t="str">
        <f aca="false">INDEX(Products!$C$2:$C$49,MATCH(C3878,Products!$A$2:$A$49,0))</f>
        <v>Dairy &amp; Eggs</v>
      </c>
      <c r="H3878" s="33" t="n">
        <f aca="false">D3878*INDEX(Products!$E$2:$E$49,MATCH(C3878,Products!$A$2:$A$49,0))</f>
        <v>21760</v>
      </c>
      <c r="I3878" s="33" t="n">
        <f aca="false">D3878*INDEX(Products!$D$2:$D$49,MATCH(C3878,Products!$A$2:$A$49,0))*(1+INDEX(Assumptions!$B$16:$B$20,MATCH(B3878,Assumptions!$A$16:$A$20,0)))</f>
        <v>18661.376</v>
      </c>
      <c r="J3878" s="33" t="n">
        <f aca="false">H3878-I3878</f>
        <v>3098.624</v>
      </c>
      <c r="K3878" s="33" t="n">
        <f aca="false">IF(OR(E3878=0,E3878&gt;=7),0,D3878/(7-E3878)*E3878*INDEX(Products!$E$2:$E$49,MATCH(C3878,Products!$A$2:$A$49,0)))</f>
        <v>0</v>
      </c>
    </row>
    <row r="3879" customFormat="false" ht="15" hidden="false" customHeight="false" outlineLevel="0" collapsed="false">
      <c r="A3879" s="36" t="n">
        <v>46132</v>
      </c>
      <c r="B3879" s="24" t="s">
        <v>64</v>
      </c>
      <c r="C3879" s="24" t="s">
        <v>137</v>
      </c>
      <c r="D3879" s="33" t="n">
        <v>89</v>
      </c>
      <c r="E3879" s="24" t="n">
        <v>0</v>
      </c>
      <c r="F3879" s="37" t="n">
        <f aca="false">DATE(YEAR(A3879),MONTH(A3879),1)</f>
        <v>46113</v>
      </c>
      <c r="G3879" s="24" t="str">
        <f aca="false">INDEX(Products!$C$2:$C$49,MATCH(C3879,Products!$A$2:$A$49,0))</f>
        <v>Dairy &amp; Eggs</v>
      </c>
      <c r="H3879" s="33" t="n">
        <f aca="false">D3879*INDEX(Products!$E$2:$E$49,MATCH(C3879,Products!$A$2:$A$49,0))</f>
        <v>28480</v>
      </c>
      <c r="I3879" s="33" t="n">
        <f aca="false">D3879*INDEX(Products!$D$2:$D$49,MATCH(C3879,Products!$A$2:$A$49,0))*(1+INDEX(Assumptions!$B$16:$B$20,MATCH(B3879,Assumptions!$A$16:$A$20,0)))</f>
        <v>24424.448</v>
      </c>
      <c r="J3879" s="33" t="n">
        <f aca="false">H3879-I3879</f>
        <v>4055.552</v>
      </c>
      <c r="K3879" s="33" t="n">
        <f aca="false">IF(OR(E3879=0,E3879&gt;=7),0,D3879/(7-E3879)*E3879*INDEX(Products!$E$2:$E$49,MATCH(C3879,Products!$A$2:$A$49,0)))</f>
        <v>0</v>
      </c>
    </row>
    <row r="3880" customFormat="false" ht="15" hidden="false" customHeight="false" outlineLevel="0" collapsed="false">
      <c r="A3880" s="36" t="n">
        <v>46139</v>
      </c>
      <c r="B3880" s="24" t="s">
        <v>64</v>
      </c>
      <c r="C3880" s="24" t="s">
        <v>137</v>
      </c>
      <c r="D3880" s="33" t="n">
        <v>70</v>
      </c>
      <c r="E3880" s="24" t="n">
        <v>0</v>
      </c>
      <c r="F3880" s="37" t="n">
        <f aca="false">DATE(YEAR(A3880),MONTH(A3880),1)</f>
        <v>46113</v>
      </c>
      <c r="G3880" s="24" t="str">
        <f aca="false">INDEX(Products!$C$2:$C$49,MATCH(C3880,Products!$A$2:$A$49,0))</f>
        <v>Dairy &amp; Eggs</v>
      </c>
      <c r="H3880" s="33" t="n">
        <f aca="false">D3880*INDEX(Products!$E$2:$E$49,MATCH(C3880,Products!$A$2:$A$49,0))</f>
        <v>22400</v>
      </c>
      <c r="I3880" s="33" t="n">
        <f aca="false">D3880*INDEX(Products!$D$2:$D$49,MATCH(C3880,Products!$A$2:$A$49,0))*(1+INDEX(Assumptions!$B$16:$B$20,MATCH(B3880,Assumptions!$A$16:$A$20,0)))</f>
        <v>19210.24</v>
      </c>
      <c r="J3880" s="33" t="n">
        <f aca="false">H3880-I3880</f>
        <v>3189.76</v>
      </c>
      <c r="K3880" s="33" t="n">
        <f aca="false">IF(OR(E3880=0,E3880&gt;=7),0,D3880/(7-E3880)*E3880*INDEX(Products!$E$2:$E$49,MATCH(C3880,Products!$A$2:$A$49,0)))</f>
        <v>0</v>
      </c>
    </row>
    <row r="3881" customFormat="false" ht="15" hidden="false" customHeight="false" outlineLevel="0" collapsed="false">
      <c r="A3881" s="36" t="n">
        <v>46146</v>
      </c>
      <c r="B3881" s="24" t="s">
        <v>64</v>
      </c>
      <c r="C3881" s="24" t="s">
        <v>137</v>
      </c>
      <c r="D3881" s="33" t="n">
        <v>93</v>
      </c>
      <c r="E3881" s="24" t="n">
        <v>0</v>
      </c>
      <c r="F3881" s="37" t="n">
        <f aca="false">DATE(YEAR(A3881),MONTH(A3881),1)</f>
        <v>46143</v>
      </c>
      <c r="G3881" s="24" t="str">
        <f aca="false">INDEX(Products!$C$2:$C$49,MATCH(C3881,Products!$A$2:$A$49,0))</f>
        <v>Dairy &amp; Eggs</v>
      </c>
      <c r="H3881" s="33" t="n">
        <f aca="false">D3881*INDEX(Products!$E$2:$E$49,MATCH(C3881,Products!$A$2:$A$49,0))</f>
        <v>29760</v>
      </c>
      <c r="I3881" s="33" t="n">
        <f aca="false">D3881*INDEX(Products!$D$2:$D$49,MATCH(C3881,Products!$A$2:$A$49,0))*(1+INDEX(Assumptions!$B$16:$B$20,MATCH(B3881,Assumptions!$A$16:$A$20,0)))</f>
        <v>25522.176</v>
      </c>
      <c r="J3881" s="33" t="n">
        <f aca="false">H3881-I3881</f>
        <v>4237.824</v>
      </c>
      <c r="K3881" s="33" t="n">
        <f aca="false">IF(OR(E3881=0,E3881&gt;=7),0,D3881/(7-E3881)*E3881*INDEX(Products!$E$2:$E$49,MATCH(C3881,Products!$A$2:$A$49,0)))</f>
        <v>0</v>
      </c>
    </row>
    <row r="3882" customFormat="false" ht="15" hidden="false" customHeight="false" outlineLevel="0" collapsed="false">
      <c r="A3882" s="36" t="n">
        <v>46153</v>
      </c>
      <c r="B3882" s="24" t="s">
        <v>64</v>
      </c>
      <c r="C3882" s="24" t="s">
        <v>137</v>
      </c>
      <c r="D3882" s="33" t="n">
        <v>67</v>
      </c>
      <c r="E3882" s="24" t="n">
        <v>0</v>
      </c>
      <c r="F3882" s="37" t="n">
        <f aca="false">DATE(YEAR(A3882),MONTH(A3882),1)</f>
        <v>46143</v>
      </c>
      <c r="G3882" s="24" t="str">
        <f aca="false">INDEX(Products!$C$2:$C$49,MATCH(C3882,Products!$A$2:$A$49,0))</f>
        <v>Dairy &amp; Eggs</v>
      </c>
      <c r="H3882" s="33" t="n">
        <f aca="false">D3882*INDEX(Products!$E$2:$E$49,MATCH(C3882,Products!$A$2:$A$49,0))</f>
        <v>21440</v>
      </c>
      <c r="I3882" s="33" t="n">
        <f aca="false">D3882*INDEX(Products!$D$2:$D$49,MATCH(C3882,Products!$A$2:$A$49,0))*(1+INDEX(Assumptions!$B$16:$B$20,MATCH(B3882,Assumptions!$A$16:$A$20,0)))</f>
        <v>18386.944</v>
      </c>
      <c r="J3882" s="33" t="n">
        <f aca="false">H3882-I3882</f>
        <v>3053.056</v>
      </c>
      <c r="K3882" s="33" t="n">
        <f aca="false">IF(OR(E3882=0,E3882&gt;=7),0,D3882/(7-E3882)*E3882*INDEX(Products!$E$2:$E$49,MATCH(C3882,Products!$A$2:$A$49,0)))</f>
        <v>0</v>
      </c>
    </row>
    <row r="3883" customFormat="false" ht="15" hidden="false" customHeight="false" outlineLevel="0" collapsed="false">
      <c r="A3883" s="36" t="n">
        <v>46160</v>
      </c>
      <c r="B3883" s="24" t="s">
        <v>64</v>
      </c>
      <c r="C3883" s="24" t="s">
        <v>137</v>
      </c>
      <c r="D3883" s="33" t="n">
        <v>62</v>
      </c>
      <c r="E3883" s="24" t="n">
        <v>0</v>
      </c>
      <c r="F3883" s="37" t="n">
        <f aca="false">DATE(YEAR(A3883),MONTH(A3883),1)</f>
        <v>46143</v>
      </c>
      <c r="G3883" s="24" t="str">
        <f aca="false">INDEX(Products!$C$2:$C$49,MATCH(C3883,Products!$A$2:$A$49,0))</f>
        <v>Dairy &amp; Eggs</v>
      </c>
      <c r="H3883" s="33" t="n">
        <f aca="false">D3883*INDEX(Products!$E$2:$E$49,MATCH(C3883,Products!$A$2:$A$49,0))</f>
        <v>19840</v>
      </c>
      <c r="I3883" s="33" t="n">
        <f aca="false">D3883*INDEX(Products!$D$2:$D$49,MATCH(C3883,Products!$A$2:$A$49,0))*(1+INDEX(Assumptions!$B$16:$B$20,MATCH(B3883,Assumptions!$A$16:$A$20,0)))</f>
        <v>17014.784</v>
      </c>
      <c r="J3883" s="33" t="n">
        <f aca="false">H3883-I3883</f>
        <v>2825.216</v>
      </c>
      <c r="K3883" s="33" t="n">
        <f aca="false">IF(OR(E3883=0,E3883&gt;=7),0,D3883/(7-E3883)*E3883*INDEX(Products!$E$2:$E$49,MATCH(C3883,Products!$A$2:$A$49,0)))</f>
        <v>0</v>
      </c>
    </row>
    <row r="3884" customFormat="false" ht="15" hidden="false" customHeight="false" outlineLevel="0" collapsed="false">
      <c r="A3884" s="36" t="n">
        <v>46167</v>
      </c>
      <c r="B3884" s="24" t="s">
        <v>64</v>
      </c>
      <c r="C3884" s="24" t="s">
        <v>137</v>
      </c>
      <c r="D3884" s="33" t="n">
        <v>89</v>
      </c>
      <c r="E3884" s="24" t="n">
        <v>0</v>
      </c>
      <c r="F3884" s="37" t="n">
        <f aca="false">DATE(YEAR(A3884),MONTH(A3884),1)</f>
        <v>46143</v>
      </c>
      <c r="G3884" s="24" t="str">
        <f aca="false">INDEX(Products!$C$2:$C$49,MATCH(C3884,Products!$A$2:$A$49,0))</f>
        <v>Dairy &amp; Eggs</v>
      </c>
      <c r="H3884" s="33" t="n">
        <f aca="false">D3884*INDEX(Products!$E$2:$E$49,MATCH(C3884,Products!$A$2:$A$49,0))</f>
        <v>28480</v>
      </c>
      <c r="I3884" s="33" t="n">
        <f aca="false">D3884*INDEX(Products!$D$2:$D$49,MATCH(C3884,Products!$A$2:$A$49,0))*(1+INDEX(Assumptions!$B$16:$B$20,MATCH(B3884,Assumptions!$A$16:$A$20,0)))</f>
        <v>24424.448</v>
      </c>
      <c r="J3884" s="33" t="n">
        <f aca="false">H3884-I3884</f>
        <v>4055.552</v>
      </c>
      <c r="K3884" s="33" t="n">
        <f aca="false">IF(OR(E3884=0,E3884&gt;=7),0,D3884/(7-E3884)*E3884*INDEX(Products!$E$2:$E$49,MATCH(C3884,Products!$A$2:$A$49,0)))</f>
        <v>0</v>
      </c>
    </row>
    <row r="3885" customFormat="false" ht="15" hidden="false" customHeight="false" outlineLevel="0" collapsed="false">
      <c r="A3885" s="36" t="n">
        <v>46174</v>
      </c>
      <c r="B3885" s="24" t="s">
        <v>64</v>
      </c>
      <c r="C3885" s="24" t="s">
        <v>137</v>
      </c>
      <c r="D3885" s="33" t="n">
        <v>85</v>
      </c>
      <c r="E3885" s="24" t="n">
        <v>0</v>
      </c>
      <c r="F3885" s="37" t="n">
        <f aca="false">DATE(YEAR(A3885),MONTH(A3885),1)</f>
        <v>46174</v>
      </c>
      <c r="G3885" s="24" t="str">
        <f aca="false">INDEX(Products!$C$2:$C$49,MATCH(C3885,Products!$A$2:$A$49,0))</f>
        <v>Dairy &amp; Eggs</v>
      </c>
      <c r="H3885" s="33" t="n">
        <f aca="false">D3885*INDEX(Products!$E$2:$E$49,MATCH(C3885,Products!$A$2:$A$49,0))</f>
        <v>27200</v>
      </c>
      <c r="I3885" s="33" t="n">
        <f aca="false">D3885*INDEX(Products!$D$2:$D$49,MATCH(C3885,Products!$A$2:$A$49,0))*(1+INDEX(Assumptions!$B$16:$B$20,MATCH(B3885,Assumptions!$A$16:$A$20,0)))</f>
        <v>23326.72</v>
      </c>
      <c r="J3885" s="33" t="n">
        <f aca="false">H3885-I3885</f>
        <v>3873.28</v>
      </c>
      <c r="K3885" s="33" t="n">
        <f aca="false">IF(OR(E3885=0,E3885&gt;=7),0,D3885/(7-E3885)*E3885*INDEX(Products!$E$2:$E$49,MATCH(C3885,Products!$A$2:$A$49,0)))</f>
        <v>0</v>
      </c>
    </row>
    <row r="3886" customFormat="false" ht="15" hidden="false" customHeight="false" outlineLevel="0" collapsed="false">
      <c r="A3886" s="36" t="n">
        <v>46181</v>
      </c>
      <c r="B3886" s="24" t="s">
        <v>64</v>
      </c>
      <c r="C3886" s="24" t="s">
        <v>137</v>
      </c>
      <c r="D3886" s="33" t="n">
        <v>68</v>
      </c>
      <c r="E3886" s="24" t="n">
        <v>0</v>
      </c>
      <c r="F3886" s="37" t="n">
        <f aca="false">DATE(YEAR(A3886),MONTH(A3886),1)</f>
        <v>46174</v>
      </c>
      <c r="G3886" s="24" t="str">
        <f aca="false">INDEX(Products!$C$2:$C$49,MATCH(C3886,Products!$A$2:$A$49,0))</f>
        <v>Dairy &amp; Eggs</v>
      </c>
      <c r="H3886" s="33" t="n">
        <f aca="false">D3886*INDEX(Products!$E$2:$E$49,MATCH(C3886,Products!$A$2:$A$49,0))</f>
        <v>21760</v>
      </c>
      <c r="I3886" s="33" t="n">
        <f aca="false">D3886*INDEX(Products!$D$2:$D$49,MATCH(C3886,Products!$A$2:$A$49,0))*(1+INDEX(Assumptions!$B$16:$B$20,MATCH(B3886,Assumptions!$A$16:$A$20,0)))</f>
        <v>18661.376</v>
      </c>
      <c r="J3886" s="33" t="n">
        <f aca="false">H3886-I3886</f>
        <v>3098.624</v>
      </c>
      <c r="K3886" s="33" t="n">
        <f aca="false">IF(OR(E3886=0,E3886&gt;=7),0,D3886/(7-E3886)*E3886*INDEX(Products!$E$2:$E$49,MATCH(C3886,Products!$A$2:$A$49,0)))</f>
        <v>0</v>
      </c>
    </row>
    <row r="3887" customFormat="false" ht="15" hidden="false" customHeight="false" outlineLevel="0" collapsed="false">
      <c r="A3887" s="36" t="n">
        <v>46188</v>
      </c>
      <c r="B3887" s="24" t="s">
        <v>64</v>
      </c>
      <c r="C3887" s="24" t="s">
        <v>137</v>
      </c>
      <c r="D3887" s="33" t="n">
        <v>70</v>
      </c>
      <c r="E3887" s="24" t="n">
        <v>0</v>
      </c>
      <c r="F3887" s="37" t="n">
        <f aca="false">DATE(YEAR(A3887),MONTH(A3887),1)</f>
        <v>46174</v>
      </c>
      <c r="G3887" s="24" t="str">
        <f aca="false">INDEX(Products!$C$2:$C$49,MATCH(C3887,Products!$A$2:$A$49,0))</f>
        <v>Dairy &amp; Eggs</v>
      </c>
      <c r="H3887" s="33" t="n">
        <f aca="false">D3887*INDEX(Products!$E$2:$E$49,MATCH(C3887,Products!$A$2:$A$49,0))</f>
        <v>22400</v>
      </c>
      <c r="I3887" s="33" t="n">
        <f aca="false">D3887*INDEX(Products!$D$2:$D$49,MATCH(C3887,Products!$A$2:$A$49,0))*(1+INDEX(Assumptions!$B$16:$B$20,MATCH(B3887,Assumptions!$A$16:$A$20,0)))</f>
        <v>19210.24</v>
      </c>
      <c r="J3887" s="33" t="n">
        <f aca="false">H3887-I3887</f>
        <v>3189.76</v>
      </c>
      <c r="K3887" s="33" t="n">
        <f aca="false">IF(OR(E3887=0,E3887&gt;=7),0,D3887/(7-E3887)*E3887*INDEX(Products!$E$2:$E$49,MATCH(C3887,Products!$A$2:$A$49,0)))</f>
        <v>0</v>
      </c>
    </row>
    <row r="3888" customFormat="false" ht="15" hidden="false" customHeight="false" outlineLevel="0" collapsed="false">
      <c r="A3888" s="36" t="n">
        <v>46195</v>
      </c>
      <c r="B3888" s="24" t="s">
        <v>64</v>
      </c>
      <c r="C3888" s="24" t="s">
        <v>137</v>
      </c>
      <c r="D3888" s="33" t="n">
        <v>153</v>
      </c>
      <c r="E3888" s="24" t="n">
        <v>0</v>
      </c>
      <c r="F3888" s="37" t="n">
        <f aca="false">DATE(YEAR(A3888),MONTH(A3888),1)</f>
        <v>46174</v>
      </c>
      <c r="G3888" s="24" t="str">
        <f aca="false">INDEX(Products!$C$2:$C$49,MATCH(C3888,Products!$A$2:$A$49,0))</f>
        <v>Dairy &amp; Eggs</v>
      </c>
      <c r="H3888" s="33" t="n">
        <f aca="false">D3888*INDEX(Products!$E$2:$E$49,MATCH(C3888,Products!$A$2:$A$49,0))</f>
        <v>48960</v>
      </c>
      <c r="I3888" s="33" t="n">
        <f aca="false">D3888*INDEX(Products!$D$2:$D$49,MATCH(C3888,Products!$A$2:$A$49,0))*(1+INDEX(Assumptions!$B$16:$B$20,MATCH(B3888,Assumptions!$A$16:$A$20,0)))</f>
        <v>41988.096</v>
      </c>
      <c r="J3888" s="33" t="n">
        <f aca="false">H3888-I3888</f>
        <v>6971.904</v>
      </c>
      <c r="K3888" s="33" t="n">
        <f aca="false">IF(OR(E3888=0,E3888&gt;=7),0,D3888/(7-E3888)*E3888*INDEX(Products!$E$2:$E$49,MATCH(C3888,Products!$A$2:$A$49,0)))</f>
        <v>0</v>
      </c>
    </row>
    <row r="3889" customFormat="false" ht="15" hidden="false" customHeight="false" outlineLevel="0" collapsed="false">
      <c r="A3889" s="36" t="n">
        <v>46202</v>
      </c>
      <c r="B3889" s="24" t="s">
        <v>64</v>
      </c>
      <c r="C3889" s="24" t="s">
        <v>137</v>
      </c>
      <c r="D3889" s="33" t="n">
        <v>75</v>
      </c>
      <c r="E3889" s="24" t="n">
        <v>0</v>
      </c>
      <c r="F3889" s="37" t="n">
        <f aca="false">DATE(YEAR(A3889),MONTH(A3889),1)</f>
        <v>46174</v>
      </c>
      <c r="G3889" s="24" t="str">
        <f aca="false">INDEX(Products!$C$2:$C$49,MATCH(C3889,Products!$A$2:$A$49,0))</f>
        <v>Dairy &amp; Eggs</v>
      </c>
      <c r="H3889" s="33" t="n">
        <f aca="false">D3889*INDEX(Products!$E$2:$E$49,MATCH(C3889,Products!$A$2:$A$49,0))</f>
        <v>24000</v>
      </c>
      <c r="I3889" s="33" t="n">
        <f aca="false">D3889*INDEX(Products!$D$2:$D$49,MATCH(C3889,Products!$A$2:$A$49,0))*(1+INDEX(Assumptions!$B$16:$B$20,MATCH(B3889,Assumptions!$A$16:$A$20,0)))</f>
        <v>20582.4</v>
      </c>
      <c r="J3889" s="33" t="n">
        <f aca="false">H3889-I3889</f>
        <v>3417.6</v>
      </c>
      <c r="K3889" s="33" t="n">
        <f aca="false">IF(OR(E3889=0,E3889&gt;=7),0,D3889/(7-E3889)*E3889*INDEX(Products!$E$2:$E$49,MATCH(C3889,Products!$A$2:$A$49,0)))</f>
        <v>0</v>
      </c>
    </row>
    <row r="3890" customFormat="false" ht="15" hidden="false" customHeight="false" outlineLevel="0" collapsed="false">
      <c r="A3890" s="36" t="n">
        <v>46209</v>
      </c>
      <c r="B3890" s="24" t="s">
        <v>64</v>
      </c>
      <c r="C3890" s="24" t="s">
        <v>137</v>
      </c>
      <c r="D3890" s="33" t="n">
        <v>72</v>
      </c>
      <c r="E3890" s="24" t="n">
        <v>0</v>
      </c>
      <c r="F3890" s="37" t="n">
        <f aca="false">DATE(YEAR(A3890),MONTH(A3890),1)</f>
        <v>46204</v>
      </c>
      <c r="G3890" s="24" t="str">
        <f aca="false">INDEX(Products!$C$2:$C$49,MATCH(C3890,Products!$A$2:$A$49,0))</f>
        <v>Dairy &amp; Eggs</v>
      </c>
      <c r="H3890" s="33" t="n">
        <f aca="false">D3890*INDEX(Products!$E$2:$E$49,MATCH(C3890,Products!$A$2:$A$49,0))</f>
        <v>23040</v>
      </c>
      <c r="I3890" s="33" t="n">
        <f aca="false">D3890*INDEX(Products!$D$2:$D$49,MATCH(C3890,Products!$A$2:$A$49,0))*(1+INDEX(Assumptions!$B$16:$B$20,MATCH(B3890,Assumptions!$A$16:$A$20,0)))</f>
        <v>19759.104</v>
      </c>
      <c r="J3890" s="33" t="n">
        <f aca="false">H3890-I3890</f>
        <v>3280.896</v>
      </c>
      <c r="K3890" s="33" t="n">
        <f aca="false">IF(OR(E3890=0,E3890&gt;=7),0,D3890/(7-E3890)*E3890*INDEX(Products!$E$2:$E$49,MATCH(C3890,Products!$A$2:$A$49,0)))</f>
        <v>0</v>
      </c>
    </row>
    <row r="3891" customFormat="false" ht="15" hidden="false" customHeight="false" outlineLevel="0" collapsed="false">
      <c r="A3891" s="36" t="n">
        <v>46216</v>
      </c>
      <c r="B3891" s="24" t="s">
        <v>64</v>
      </c>
      <c r="C3891" s="24" t="s">
        <v>137</v>
      </c>
      <c r="D3891" s="33" t="n">
        <v>95</v>
      </c>
      <c r="E3891" s="24" t="n">
        <v>0</v>
      </c>
      <c r="F3891" s="37" t="n">
        <f aca="false">DATE(YEAR(A3891),MONTH(A3891),1)</f>
        <v>46204</v>
      </c>
      <c r="G3891" s="24" t="str">
        <f aca="false">INDEX(Products!$C$2:$C$49,MATCH(C3891,Products!$A$2:$A$49,0))</f>
        <v>Dairy &amp; Eggs</v>
      </c>
      <c r="H3891" s="33" t="n">
        <f aca="false">D3891*INDEX(Products!$E$2:$E$49,MATCH(C3891,Products!$A$2:$A$49,0))</f>
        <v>30400</v>
      </c>
      <c r="I3891" s="33" t="n">
        <f aca="false">D3891*INDEX(Products!$D$2:$D$49,MATCH(C3891,Products!$A$2:$A$49,0))*(1+INDEX(Assumptions!$B$16:$B$20,MATCH(B3891,Assumptions!$A$16:$A$20,0)))</f>
        <v>26071.04</v>
      </c>
      <c r="J3891" s="33" t="n">
        <f aca="false">H3891-I3891</f>
        <v>4328.96</v>
      </c>
      <c r="K3891" s="33" t="n">
        <f aca="false">IF(OR(E3891=0,E3891&gt;=7),0,D3891/(7-E3891)*E3891*INDEX(Products!$E$2:$E$49,MATCH(C3891,Products!$A$2:$A$49,0)))</f>
        <v>0</v>
      </c>
    </row>
    <row r="3892" customFormat="false" ht="15" hidden="false" customHeight="false" outlineLevel="0" collapsed="false">
      <c r="A3892" s="36" t="n">
        <v>46223</v>
      </c>
      <c r="B3892" s="24" t="s">
        <v>64</v>
      </c>
      <c r="C3892" s="24" t="s">
        <v>137</v>
      </c>
      <c r="D3892" s="33" t="n">
        <v>84</v>
      </c>
      <c r="E3892" s="24" t="n">
        <v>0</v>
      </c>
      <c r="F3892" s="37" t="n">
        <f aca="false">DATE(YEAR(A3892),MONTH(A3892),1)</f>
        <v>46204</v>
      </c>
      <c r="G3892" s="24" t="str">
        <f aca="false">INDEX(Products!$C$2:$C$49,MATCH(C3892,Products!$A$2:$A$49,0))</f>
        <v>Dairy &amp; Eggs</v>
      </c>
      <c r="H3892" s="33" t="n">
        <f aca="false">D3892*INDEX(Products!$E$2:$E$49,MATCH(C3892,Products!$A$2:$A$49,0))</f>
        <v>26880</v>
      </c>
      <c r="I3892" s="33" t="n">
        <f aca="false">D3892*INDEX(Products!$D$2:$D$49,MATCH(C3892,Products!$A$2:$A$49,0))*(1+INDEX(Assumptions!$B$16:$B$20,MATCH(B3892,Assumptions!$A$16:$A$20,0)))</f>
        <v>23052.288</v>
      </c>
      <c r="J3892" s="33" t="n">
        <f aca="false">H3892-I3892</f>
        <v>3827.712</v>
      </c>
      <c r="K3892" s="33" t="n">
        <f aca="false">IF(OR(E3892=0,E3892&gt;=7),0,D3892/(7-E3892)*E3892*INDEX(Products!$E$2:$E$49,MATCH(C3892,Products!$A$2:$A$49,0)))</f>
        <v>0</v>
      </c>
    </row>
    <row r="3893" customFormat="false" ht="15" hidden="false" customHeight="false" outlineLevel="0" collapsed="false">
      <c r="A3893" s="36" t="n">
        <v>46230</v>
      </c>
      <c r="B3893" s="24" t="s">
        <v>64</v>
      </c>
      <c r="C3893" s="24" t="s">
        <v>137</v>
      </c>
      <c r="D3893" s="33" t="n">
        <v>36</v>
      </c>
      <c r="E3893" s="24" t="n">
        <v>4</v>
      </c>
      <c r="F3893" s="37" t="n">
        <f aca="false">DATE(YEAR(A3893),MONTH(A3893),1)</f>
        <v>46204</v>
      </c>
      <c r="G3893" s="24" t="str">
        <f aca="false">INDEX(Products!$C$2:$C$49,MATCH(C3893,Products!$A$2:$A$49,0))</f>
        <v>Dairy &amp; Eggs</v>
      </c>
      <c r="H3893" s="33" t="n">
        <f aca="false">D3893*INDEX(Products!$E$2:$E$49,MATCH(C3893,Products!$A$2:$A$49,0))</f>
        <v>11520</v>
      </c>
      <c r="I3893" s="33" t="n">
        <f aca="false">D3893*INDEX(Products!$D$2:$D$49,MATCH(C3893,Products!$A$2:$A$49,0))*(1+INDEX(Assumptions!$B$16:$B$20,MATCH(B3893,Assumptions!$A$16:$A$20,0)))</f>
        <v>9879.552</v>
      </c>
      <c r="J3893" s="33" t="n">
        <f aca="false">H3893-I3893</f>
        <v>1640.448</v>
      </c>
      <c r="K3893" s="33" t="n">
        <f aca="false">IF(OR(E3893=0,E3893&gt;=7),0,D3893/(7-E3893)*E3893*INDEX(Products!$E$2:$E$49,MATCH(C3893,Products!$A$2:$A$49,0)))</f>
        <v>15360</v>
      </c>
    </row>
    <row r="3894" customFormat="false" ht="15" hidden="false" customHeight="false" outlineLevel="0" collapsed="false">
      <c r="A3894" s="36" t="n">
        <v>46237</v>
      </c>
      <c r="B3894" s="24" t="s">
        <v>64</v>
      </c>
      <c r="C3894" s="24" t="s">
        <v>137</v>
      </c>
      <c r="D3894" s="33" t="n">
        <v>47</v>
      </c>
      <c r="E3894" s="24" t="n">
        <v>2</v>
      </c>
      <c r="F3894" s="37" t="n">
        <f aca="false">DATE(YEAR(A3894),MONTH(A3894),1)</f>
        <v>46235</v>
      </c>
      <c r="G3894" s="24" t="str">
        <f aca="false">INDEX(Products!$C$2:$C$49,MATCH(C3894,Products!$A$2:$A$49,0))</f>
        <v>Dairy &amp; Eggs</v>
      </c>
      <c r="H3894" s="33" t="n">
        <f aca="false">D3894*INDEX(Products!$E$2:$E$49,MATCH(C3894,Products!$A$2:$A$49,0))</f>
        <v>15040</v>
      </c>
      <c r="I3894" s="33" t="n">
        <f aca="false">D3894*INDEX(Products!$D$2:$D$49,MATCH(C3894,Products!$A$2:$A$49,0))*(1+INDEX(Assumptions!$B$16:$B$20,MATCH(B3894,Assumptions!$A$16:$A$20,0)))</f>
        <v>12898.304</v>
      </c>
      <c r="J3894" s="33" t="n">
        <f aca="false">H3894-I3894</f>
        <v>2141.696</v>
      </c>
      <c r="K3894" s="33" t="n">
        <f aca="false">IF(OR(E3894=0,E3894&gt;=7),0,D3894/(7-E3894)*E3894*INDEX(Products!$E$2:$E$49,MATCH(C3894,Products!$A$2:$A$49,0)))</f>
        <v>6016</v>
      </c>
    </row>
    <row r="3895" customFormat="false" ht="15" hidden="false" customHeight="false" outlineLevel="0" collapsed="false">
      <c r="A3895" s="36" t="n">
        <v>46244</v>
      </c>
      <c r="B3895" s="24" t="s">
        <v>64</v>
      </c>
      <c r="C3895" s="24" t="s">
        <v>137</v>
      </c>
      <c r="D3895" s="33" t="n">
        <v>28</v>
      </c>
      <c r="E3895" s="24" t="n">
        <v>4</v>
      </c>
      <c r="F3895" s="37" t="n">
        <f aca="false">DATE(YEAR(A3895),MONTH(A3895),1)</f>
        <v>46235</v>
      </c>
      <c r="G3895" s="24" t="str">
        <f aca="false">INDEX(Products!$C$2:$C$49,MATCH(C3895,Products!$A$2:$A$49,0))</f>
        <v>Dairy &amp; Eggs</v>
      </c>
      <c r="H3895" s="33" t="n">
        <f aca="false">D3895*INDEX(Products!$E$2:$E$49,MATCH(C3895,Products!$A$2:$A$49,0))</f>
        <v>8960</v>
      </c>
      <c r="I3895" s="33" t="n">
        <f aca="false">D3895*INDEX(Products!$D$2:$D$49,MATCH(C3895,Products!$A$2:$A$49,0))*(1+INDEX(Assumptions!$B$16:$B$20,MATCH(B3895,Assumptions!$A$16:$A$20,0)))</f>
        <v>7684.096</v>
      </c>
      <c r="J3895" s="33" t="n">
        <f aca="false">H3895-I3895</f>
        <v>1275.904</v>
      </c>
      <c r="K3895" s="33" t="n">
        <f aca="false">IF(OR(E3895=0,E3895&gt;=7),0,D3895/(7-E3895)*E3895*INDEX(Products!$E$2:$E$49,MATCH(C3895,Products!$A$2:$A$49,0)))</f>
        <v>11946.6666666667</v>
      </c>
    </row>
    <row r="3896" customFormat="false" ht="15" hidden="false" customHeight="false" outlineLevel="0" collapsed="false">
      <c r="A3896" s="36" t="n">
        <v>46251</v>
      </c>
      <c r="B3896" s="24" t="s">
        <v>64</v>
      </c>
      <c r="C3896" s="24" t="s">
        <v>137</v>
      </c>
      <c r="D3896" s="33" t="n">
        <v>73</v>
      </c>
      <c r="E3896" s="24" t="n">
        <v>0</v>
      </c>
      <c r="F3896" s="37" t="n">
        <f aca="false">DATE(YEAR(A3896),MONTH(A3896),1)</f>
        <v>46235</v>
      </c>
      <c r="G3896" s="24" t="str">
        <f aca="false">INDEX(Products!$C$2:$C$49,MATCH(C3896,Products!$A$2:$A$49,0))</f>
        <v>Dairy &amp; Eggs</v>
      </c>
      <c r="H3896" s="33" t="n">
        <f aca="false">D3896*INDEX(Products!$E$2:$E$49,MATCH(C3896,Products!$A$2:$A$49,0))</f>
        <v>23360</v>
      </c>
      <c r="I3896" s="33" t="n">
        <f aca="false">D3896*INDEX(Products!$D$2:$D$49,MATCH(C3896,Products!$A$2:$A$49,0))*(1+INDEX(Assumptions!$B$16:$B$20,MATCH(B3896,Assumptions!$A$16:$A$20,0)))</f>
        <v>20033.536</v>
      </c>
      <c r="J3896" s="33" t="n">
        <f aca="false">H3896-I3896</f>
        <v>3326.464</v>
      </c>
      <c r="K3896" s="33" t="n">
        <f aca="false">IF(OR(E3896=0,E3896&gt;=7),0,D3896/(7-E3896)*E3896*INDEX(Products!$E$2:$E$49,MATCH(C3896,Products!$A$2:$A$49,0)))</f>
        <v>0</v>
      </c>
    </row>
    <row r="3897" customFormat="false" ht="15" hidden="false" customHeight="false" outlineLevel="0" collapsed="false">
      <c r="A3897" s="36" t="n">
        <v>46258</v>
      </c>
      <c r="B3897" s="24" t="s">
        <v>64</v>
      </c>
      <c r="C3897" s="24" t="s">
        <v>137</v>
      </c>
      <c r="D3897" s="33" t="n">
        <v>39</v>
      </c>
      <c r="E3897" s="24" t="n">
        <v>4</v>
      </c>
      <c r="F3897" s="37" t="n">
        <f aca="false">DATE(YEAR(A3897),MONTH(A3897),1)</f>
        <v>46235</v>
      </c>
      <c r="G3897" s="24" t="str">
        <f aca="false">INDEX(Products!$C$2:$C$49,MATCH(C3897,Products!$A$2:$A$49,0))</f>
        <v>Dairy &amp; Eggs</v>
      </c>
      <c r="H3897" s="33" t="n">
        <f aca="false">D3897*INDEX(Products!$E$2:$E$49,MATCH(C3897,Products!$A$2:$A$49,0))</f>
        <v>12480</v>
      </c>
      <c r="I3897" s="33" t="n">
        <f aca="false">D3897*INDEX(Products!$D$2:$D$49,MATCH(C3897,Products!$A$2:$A$49,0))*(1+INDEX(Assumptions!$B$16:$B$20,MATCH(B3897,Assumptions!$A$16:$A$20,0)))</f>
        <v>10702.848</v>
      </c>
      <c r="J3897" s="33" t="n">
        <f aca="false">H3897-I3897</f>
        <v>1777.152</v>
      </c>
      <c r="K3897" s="33" t="n">
        <f aca="false">IF(OR(E3897=0,E3897&gt;=7),0,D3897/(7-E3897)*E3897*INDEX(Products!$E$2:$E$49,MATCH(C3897,Products!$A$2:$A$49,0)))</f>
        <v>16640</v>
      </c>
    </row>
    <row r="3898" customFormat="false" ht="15" hidden="false" customHeight="false" outlineLevel="0" collapsed="false">
      <c r="A3898" s="36" t="n">
        <v>46265</v>
      </c>
      <c r="B3898" s="24" t="s">
        <v>64</v>
      </c>
      <c r="C3898" s="24" t="s">
        <v>137</v>
      </c>
      <c r="D3898" s="33" t="n">
        <v>85</v>
      </c>
      <c r="E3898" s="24" t="n">
        <v>0</v>
      </c>
      <c r="F3898" s="37" t="n">
        <f aca="false">DATE(YEAR(A3898),MONTH(A3898),1)</f>
        <v>46235</v>
      </c>
      <c r="G3898" s="24" t="str">
        <f aca="false">INDEX(Products!$C$2:$C$49,MATCH(C3898,Products!$A$2:$A$49,0))</f>
        <v>Dairy &amp; Eggs</v>
      </c>
      <c r="H3898" s="33" t="n">
        <f aca="false">D3898*INDEX(Products!$E$2:$E$49,MATCH(C3898,Products!$A$2:$A$49,0))</f>
        <v>27200</v>
      </c>
      <c r="I3898" s="33" t="n">
        <f aca="false">D3898*INDEX(Products!$D$2:$D$49,MATCH(C3898,Products!$A$2:$A$49,0))*(1+INDEX(Assumptions!$B$16:$B$20,MATCH(B3898,Assumptions!$A$16:$A$20,0)))</f>
        <v>23326.72</v>
      </c>
      <c r="J3898" s="33" t="n">
        <f aca="false">H3898-I3898</f>
        <v>3873.28</v>
      </c>
      <c r="K3898" s="33" t="n">
        <f aca="false">IF(OR(E3898=0,E3898&gt;=7),0,D3898/(7-E3898)*E3898*INDEX(Products!$E$2:$E$49,MATCH(C3898,Products!$A$2:$A$49,0)))</f>
        <v>0</v>
      </c>
    </row>
    <row r="3899" customFormat="false" ht="15" hidden="false" customHeight="false" outlineLevel="0" collapsed="false">
      <c r="A3899" s="36" t="n">
        <v>46272</v>
      </c>
      <c r="B3899" s="24" t="s">
        <v>64</v>
      </c>
      <c r="C3899" s="24" t="s">
        <v>137</v>
      </c>
      <c r="D3899" s="33" t="n">
        <v>88</v>
      </c>
      <c r="E3899" s="24" t="n">
        <v>0</v>
      </c>
      <c r="F3899" s="37" t="n">
        <f aca="false">DATE(YEAR(A3899),MONTH(A3899),1)</f>
        <v>46266</v>
      </c>
      <c r="G3899" s="24" t="str">
        <f aca="false">INDEX(Products!$C$2:$C$49,MATCH(C3899,Products!$A$2:$A$49,0))</f>
        <v>Dairy &amp; Eggs</v>
      </c>
      <c r="H3899" s="33" t="n">
        <f aca="false">D3899*INDEX(Products!$E$2:$E$49,MATCH(C3899,Products!$A$2:$A$49,0))</f>
        <v>28160</v>
      </c>
      <c r="I3899" s="33" t="n">
        <f aca="false">D3899*INDEX(Products!$D$2:$D$49,MATCH(C3899,Products!$A$2:$A$49,0))*(1+INDEX(Assumptions!$B$16:$B$20,MATCH(B3899,Assumptions!$A$16:$A$20,0)))</f>
        <v>24150.016</v>
      </c>
      <c r="J3899" s="33" t="n">
        <f aca="false">H3899-I3899</f>
        <v>4009.984</v>
      </c>
      <c r="K3899" s="33" t="n">
        <f aca="false">IF(OR(E3899=0,E3899&gt;=7),0,D3899/(7-E3899)*E3899*INDEX(Products!$E$2:$E$49,MATCH(C3899,Products!$A$2:$A$49,0)))</f>
        <v>0</v>
      </c>
    </row>
    <row r="3900" customFormat="false" ht="15" hidden="false" customHeight="false" outlineLevel="0" collapsed="false">
      <c r="A3900" s="36" t="n">
        <v>46279</v>
      </c>
      <c r="B3900" s="24" t="s">
        <v>64</v>
      </c>
      <c r="C3900" s="24" t="s">
        <v>137</v>
      </c>
      <c r="D3900" s="33" t="n">
        <v>37</v>
      </c>
      <c r="E3900" s="24" t="n">
        <v>4</v>
      </c>
      <c r="F3900" s="37" t="n">
        <f aca="false">DATE(YEAR(A3900),MONTH(A3900),1)</f>
        <v>46266</v>
      </c>
      <c r="G3900" s="24" t="str">
        <f aca="false">INDEX(Products!$C$2:$C$49,MATCH(C3900,Products!$A$2:$A$49,0))</f>
        <v>Dairy &amp; Eggs</v>
      </c>
      <c r="H3900" s="33" t="n">
        <f aca="false">D3900*INDEX(Products!$E$2:$E$49,MATCH(C3900,Products!$A$2:$A$49,0))</f>
        <v>11840</v>
      </c>
      <c r="I3900" s="33" t="n">
        <f aca="false">D3900*INDEX(Products!$D$2:$D$49,MATCH(C3900,Products!$A$2:$A$49,0))*(1+INDEX(Assumptions!$B$16:$B$20,MATCH(B3900,Assumptions!$A$16:$A$20,0)))</f>
        <v>10153.984</v>
      </c>
      <c r="J3900" s="33" t="n">
        <f aca="false">H3900-I3900</f>
        <v>1686.016</v>
      </c>
      <c r="K3900" s="33" t="n">
        <f aca="false">IF(OR(E3900=0,E3900&gt;=7),0,D3900/(7-E3900)*E3900*INDEX(Products!$E$2:$E$49,MATCH(C3900,Products!$A$2:$A$49,0)))</f>
        <v>15786.6666666667</v>
      </c>
    </row>
    <row r="3901" customFormat="false" ht="15" hidden="false" customHeight="false" outlineLevel="0" collapsed="false">
      <c r="A3901" s="36" t="n">
        <v>46286</v>
      </c>
      <c r="B3901" s="24" t="s">
        <v>64</v>
      </c>
      <c r="C3901" s="24" t="s">
        <v>137</v>
      </c>
      <c r="D3901" s="33" t="n">
        <v>85</v>
      </c>
      <c r="E3901" s="24" t="n">
        <v>0</v>
      </c>
      <c r="F3901" s="37" t="n">
        <f aca="false">DATE(YEAR(A3901),MONTH(A3901),1)</f>
        <v>46266</v>
      </c>
      <c r="G3901" s="24" t="str">
        <f aca="false">INDEX(Products!$C$2:$C$49,MATCH(C3901,Products!$A$2:$A$49,0))</f>
        <v>Dairy &amp; Eggs</v>
      </c>
      <c r="H3901" s="33" t="n">
        <f aca="false">D3901*INDEX(Products!$E$2:$E$49,MATCH(C3901,Products!$A$2:$A$49,0))</f>
        <v>27200</v>
      </c>
      <c r="I3901" s="33" t="n">
        <f aca="false">D3901*INDEX(Products!$D$2:$D$49,MATCH(C3901,Products!$A$2:$A$49,0))*(1+INDEX(Assumptions!$B$16:$B$20,MATCH(B3901,Assumptions!$A$16:$A$20,0)))</f>
        <v>23326.72</v>
      </c>
      <c r="J3901" s="33" t="n">
        <f aca="false">H3901-I3901</f>
        <v>3873.28</v>
      </c>
      <c r="K3901" s="33" t="n">
        <f aca="false">IF(OR(E3901=0,E3901&gt;=7),0,D3901/(7-E3901)*E3901*INDEX(Products!$E$2:$E$49,MATCH(C3901,Products!$A$2:$A$49,0)))</f>
        <v>0</v>
      </c>
    </row>
    <row r="3902" customFormat="false" ht="15" hidden="false" customHeight="false" outlineLevel="0" collapsed="false">
      <c r="A3902" s="36" t="n">
        <v>46118</v>
      </c>
      <c r="B3902" s="24" t="s">
        <v>64</v>
      </c>
      <c r="C3902" s="24" t="s">
        <v>139</v>
      </c>
      <c r="D3902" s="33" t="n">
        <v>139</v>
      </c>
      <c r="E3902" s="24" t="n">
        <v>0</v>
      </c>
      <c r="F3902" s="37" t="n">
        <f aca="false">DATE(YEAR(A3902),MONTH(A3902),1)</f>
        <v>46113</v>
      </c>
      <c r="G3902" s="24" t="str">
        <f aca="false">INDEX(Products!$C$2:$C$49,MATCH(C3902,Products!$A$2:$A$49,0))</f>
        <v>Dairy &amp; Eggs</v>
      </c>
      <c r="H3902" s="33" t="n">
        <f aca="false">D3902*INDEX(Products!$E$2:$E$49,MATCH(C3902,Products!$A$2:$A$49,0))</f>
        <v>72280</v>
      </c>
      <c r="I3902" s="33" t="n">
        <f aca="false">D3902*INDEX(Products!$D$2:$D$49,MATCH(C3902,Products!$A$2:$A$49,0))*(1+INDEX(Assumptions!$B$16:$B$20,MATCH(B3902,Assumptions!$A$16:$A$20,0)))</f>
        <v>61062.144</v>
      </c>
      <c r="J3902" s="33" t="n">
        <f aca="false">H3902-I3902</f>
        <v>11217.856</v>
      </c>
      <c r="K3902" s="33" t="n">
        <f aca="false">IF(OR(E3902=0,E3902&gt;=7),0,D3902/(7-E3902)*E3902*INDEX(Products!$E$2:$E$49,MATCH(C3902,Products!$A$2:$A$49,0)))</f>
        <v>0</v>
      </c>
    </row>
    <row r="3903" customFormat="false" ht="15" hidden="false" customHeight="false" outlineLevel="0" collapsed="false">
      <c r="A3903" s="36" t="n">
        <v>46125</v>
      </c>
      <c r="B3903" s="24" t="s">
        <v>64</v>
      </c>
      <c r="C3903" s="24" t="s">
        <v>139</v>
      </c>
      <c r="D3903" s="33" t="n">
        <v>159</v>
      </c>
      <c r="E3903" s="24" t="n">
        <v>0</v>
      </c>
      <c r="F3903" s="37" t="n">
        <f aca="false">DATE(YEAR(A3903),MONTH(A3903),1)</f>
        <v>46113</v>
      </c>
      <c r="G3903" s="24" t="str">
        <f aca="false">INDEX(Products!$C$2:$C$49,MATCH(C3903,Products!$A$2:$A$49,0))</f>
        <v>Dairy &amp; Eggs</v>
      </c>
      <c r="H3903" s="33" t="n">
        <f aca="false">D3903*INDEX(Products!$E$2:$E$49,MATCH(C3903,Products!$A$2:$A$49,0))</f>
        <v>82680</v>
      </c>
      <c r="I3903" s="33" t="n">
        <f aca="false">D3903*INDEX(Products!$D$2:$D$49,MATCH(C3903,Products!$A$2:$A$49,0))*(1+INDEX(Assumptions!$B$16:$B$20,MATCH(B3903,Assumptions!$A$16:$A$20,0)))</f>
        <v>69848.064</v>
      </c>
      <c r="J3903" s="33" t="n">
        <f aca="false">H3903-I3903</f>
        <v>12831.936</v>
      </c>
      <c r="K3903" s="33" t="n">
        <f aca="false">IF(OR(E3903=0,E3903&gt;=7),0,D3903/(7-E3903)*E3903*INDEX(Products!$E$2:$E$49,MATCH(C3903,Products!$A$2:$A$49,0)))</f>
        <v>0</v>
      </c>
    </row>
    <row r="3904" customFormat="false" ht="15" hidden="false" customHeight="false" outlineLevel="0" collapsed="false">
      <c r="A3904" s="36" t="n">
        <v>46132</v>
      </c>
      <c r="B3904" s="24" t="s">
        <v>64</v>
      </c>
      <c r="C3904" s="24" t="s">
        <v>139</v>
      </c>
      <c r="D3904" s="33" t="n">
        <v>165</v>
      </c>
      <c r="E3904" s="24" t="n">
        <v>0</v>
      </c>
      <c r="F3904" s="37" t="n">
        <f aca="false">DATE(YEAR(A3904),MONTH(A3904),1)</f>
        <v>46113</v>
      </c>
      <c r="G3904" s="24" t="str">
        <f aca="false">INDEX(Products!$C$2:$C$49,MATCH(C3904,Products!$A$2:$A$49,0))</f>
        <v>Dairy &amp; Eggs</v>
      </c>
      <c r="H3904" s="33" t="n">
        <f aca="false">D3904*INDEX(Products!$E$2:$E$49,MATCH(C3904,Products!$A$2:$A$49,0))</f>
        <v>85800</v>
      </c>
      <c r="I3904" s="33" t="n">
        <f aca="false">D3904*INDEX(Products!$D$2:$D$49,MATCH(C3904,Products!$A$2:$A$49,0))*(1+INDEX(Assumptions!$B$16:$B$20,MATCH(B3904,Assumptions!$A$16:$A$20,0)))</f>
        <v>72483.84</v>
      </c>
      <c r="J3904" s="33" t="n">
        <f aca="false">H3904-I3904</f>
        <v>13316.16</v>
      </c>
      <c r="K3904" s="33" t="n">
        <f aca="false">IF(OR(E3904=0,E3904&gt;=7),0,D3904/(7-E3904)*E3904*INDEX(Products!$E$2:$E$49,MATCH(C3904,Products!$A$2:$A$49,0)))</f>
        <v>0</v>
      </c>
    </row>
    <row r="3905" customFormat="false" ht="15" hidden="false" customHeight="false" outlineLevel="0" collapsed="false">
      <c r="A3905" s="36" t="n">
        <v>46139</v>
      </c>
      <c r="B3905" s="24" t="s">
        <v>64</v>
      </c>
      <c r="C3905" s="24" t="s">
        <v>139</v>
      </c>
      <c r="D3905" s="33" t="n">
        <v>200</v>
      </c>
      <c r="E3905" s="24" t="n">
        <v>0</v>
      </c>
      <c r="F3905" s="37" t="n">
        <f aca="false">DATE(YEAR(A3905),MONTH(A3905),1)</f>
        <v>46113</v>
      </c>
      <c r="G3905" s="24" t="str">
        <f aca="false">INDEX(Products!$C$2:$C$49,MATCH(C3905,Products!$A$2:$A$49,0))</f>
        <v>Dairy &amp; Eggs</v>
      </c>
      <c r="H3905" s="33" t="n">
        <f aca="false">D3905*INDEX(Products!$E$2:$E$49,MATCH(C3905,Products!$A$2:$A$49,0))</f>
        <v>104000</v>
      </c>
      <c r="I3905" s="33" t="n">
        <f aca="false">D3905*INDEX(Products!$D$2:$D$49,MATCH(C3905,Products!$A$2:$A$49,0))*(1+INDEX(Assumptions!$B$16:$B$20,MATCH(B3905,Assumptions!$A$16:$A$20,0)))</f>
        <v>87859.2</v>
      </c>
      <c r="J3905" s="33" t="n">
        <f aca="false">H3905-I3905</f>
        <v>16140.8</v>
      </c>
      <c r="K3905" s="33" t="n">
        <f aca="false">IF(OR(E3905=0,E3905&gt;=7),0,D3905/(7-E3905)*E3905*INDEX(Products!$E$2:$E$49,MATCH(C3905,Products!$A$2:$A$49,0)))</f>
        <v>0</v>
      </c>
    </row>
    <row r="3906" customFormat="false" ht="15" hidden="false" customHeight="false" outlineLevel="0" collapsed="false">
      <c r="A3906" s="36" t="n">
        <v>46146</v>
      </c>
      <c r="B3906" s="24" t="s">
        <v>64</v>
      </c>
      <c r="C3906" s="24" t="s">
        <v>139</v>
      </c>
      <c r="D3906" s="33" t="n">
        <v>160</v>
      </c>
      <c r="E3906" s="24" t="n">
        <v>0</v>
      </c>
      <c r="F3906" s="37" t="n">
        <f aca="false">DATE(YEAR(A3906),MONTH(A3906),1)</f>
        <v>46143</v>
      </c>
      <c r="G3906" s="24" t="str">
        <f aca="false">INDEX(Products!$C$2:$C$49,MATCH(C3906,Products!$A$2:$A$49,0))</f>
        <v>Dairy &amp; Eggs</v>
      </c>
      <c r="H3906" s="33" t="n">
        <f aca="false">D3906*INDEX(Products!$E$2:$E$49,MATCH(C3906,Products!$A$2:$A$49,0))</f>
        <v>83200</v>
      </c>
      <c r="I3906" s="33" t="n">
        <f aca="false">D3906*INDEX(Products!$D$2:$D$49,MATCH(C3906,Products!$A$2:$A$49,0))*(1+INDEX(Assumptions!$B$16:$B$20,MATCH(B3906,Assumptions!$A$16:$A$20,0)))</f>
        <v>70287.36</v>
      </c>
      <c r="J3906" s="33" t="n">
        <f aca="false">H3906-I3906</f>
        <v>12912.64</v>
      </c>
      <c r="K3906" s="33" t="n">
        <f aca="false">IF(OR(E3906=0,E3906&gt;=7),0,D3906/(7-E3906)*E3906*INDEX(Products!$E$2:$E$49,MATCH(C3906,Products!$A$2:$A$49,0)))</f>
        <v>0</v>
      </c>
    </row>
    <row r="3907" customFormat="false" ht="15" hidden="false" customHeight="false" outlineLevel="0" collapsed="false">
      <c r="A3907" s="36" t="n">
        <v>46153</v>
      </c>
      <c r="B3907" s="24" t="s">
        <v>64</v>
      </c>
      <c r="C3907" s="24" t="s">
        <v>139</v>
      </c>
      <c r="D3907" s="33" t="n">
        <v>141</v>
      </c>
      <c r="E3907" s="24" t="n">
        <v>0</v>
      </c>
      <c r="F3907" s="37" t="n">
        <f aca="false">DATE(YEAR(A3907),MONTH(A3907),1)</f>
        <v>46143</v>
      </c>
      <c r="G3907" s="24" t="str">
        <f aca="false">INDEX(Products!$C$2:$C$49,MATCH(C3907,Products!$A$2:$A$49,0))</f>
        <v>Dairy &amp; Eggs</v>
      </c>
      <c r="H3907" s="33" t="n">
        <f aca="false">D3907*INDEX(Products!$E$2:$E$49,MATCH(C3907,Products!$A$2:$A$49,0))</f>
        <v>73320</v>
      </c>
      <c r="I3907" s="33" t="n">
        <f aca="false">D3907*INDEX(Products!$D$2:$D$49,MATCH(C3907,Products!$A$2:$A$49,0))*(1+INDEX(Assumptions!$B$16:$B$20,MATCH(B3907,Assumptions!$A$16:$A$20,0)))</f>
        <v>61940.736</v>
      </c>
      <c r="J3907" s="33" t="n">
        <f aca="false">H3907-I3907</f>
        <v>11379.264</v>
      </c>
      <c r="K3907" s="33" t="n">
        <f aca="false">IF(OR(E3907=0,E3907&gt;=7),0,D3907/(7-E3907)*E3907*INDEX(Products!$E$2:$E$49,MATCH(C3907,Products!$A$2:$A$49,0)))</f>
        <v>0</v>
      </c>
    </row>
    <row r="3908" customFormat="false" ht="15" hidden="false" customHeight="false" outlineLevel="0" collapsed="false">
      <c r="A3908" s="36" t="n">
        <v>46160</v>
      </c>
      <c r="B3908" s="24" t="s">
        <v>64</v>
      </c>
      <c r="C3908" s="24" t="s">
        <v>139</v>
      </c>
      <c r="D3908" s="33" t="n">
        <v>143</v>
      </c>
      <c r="E3908" s="24" t="n">
        <v>0</v>
      </c>
      <c r="F3908" s="37" t="n">
        <f aca="false">DATE(YEAR(A3908),MONTH(A3908),1)</f>
        <v>46143</v>
      </c>
      <c r="G3908" s="24" t="str">
        <f aca="false">INDEX(Products!$C$2:$C$49,MATCH(C3908,Products!$A$2:$A$49,0))</f>
        <v>Dairy &amp; Eggs</v>
      </c>
      <c r="H3908" s="33" t="n">
        <f aca="false">D3908*INDEX(Products!$E$2:$E$49,MATCH(C3908,Products!$A$2:$A$49,0))</f>
        <v>74360</v>
      </c>
      <c r="I3908" s="33" t="n">
        <f aca="false">D3908*INDEX(Products!$D$2:$D$49,MATCH(C3908,Products!$A$2:$A$49,0))*(1+INDEX(Assumptions!$B$16:$B$20,MATCH(B3908,Assumptions!$A$16:$A$20,0)))</f>
        <v>62819.328</v>
      </c>
      <c r="J3908" s="33" t="n">
        <f aca="false">H3908-I3908</f>
        <v>11540.672</v>
      </c>
      <c r="K3908" s="33" t="n">
        <f aca="false">IF(OR(E3908=0,E3908&gt;=7),0,D3908/(7-E3908)*E3908*INDEX(Products!$E$2:$E$49,MATCH(C3908,Products!$A$2:$A$49,0)))</f>
        <v>0</v>
      </c>
    </row>
    <row r="3909" customFormat="false" ht="15" hidden="false" customHeight="false" outlineLevel="0" collapsed="false">
      <c r="A3909" s="36" t="n">
        <v>46167</v>
      </c>
      <c r="B3909" s="24" t="s">
        <v>64</v>
      </c>
      <c r="C3909" s="24" t="s">
        <v>139</v>
      </c>
      <c r="D3909" s="33" t="n">
        <v>176</v>
      </c>
      <c r="E3909" s="24" t="n">
        <v>0</v>
      </c>
      <c r="F3909" s="37" t="n">
        <f aca="false">DATE(YEAR(A3909),MONTH(A3909),1)</f>
        <v>46143</v>
      </c>
      <c r="G3909" s="24" t="str">
        <f aca="false">INDEX(Products!$C$2:$C$49,MATCH(C3909,Products!$A$2:$A$49,0))</f>
        <v>Dairy &amp; Eggs</v>
      </c>
      <c r="H3909" s="33" t="n">
        <f aca="false">D3909*INDEX(Products!$E$2:$E$49,MATCH(C3909,Products!$A$2:$A$49,0))</f>
        <v>91520</v>
      </c>
      <c r="I3909" s="33" t="n">
        <f aca="false">D3909*INDEX(Products!$D$2:$D$49,MATCH(C3909,Products!$A$2:$A$49,0))*(1+INDEX(Assumptions!$B$16:$B$20,MATCH(B3909,Assumptions!$A$16:$A$20,0)))</f>
        <v>77316.096</v>
      </c>
      <c r="J3909" s="33" t="n">
        <f aca="false">H3909-I3909</f>
        <v>14203.904</v>
      </c>
      <c r="K3909" s="33" t="n">
        <f aca="false">IF(OR(E3909=0,E3909&gt;=7),0,D3909/(7-E3909)*E3909*INDEX(Products!$E$2:$E$49,MATCH(C3909,Products!$A$2:$A$49,0)))</f>
        <v>0</v>
      </c>
    </row>
    <row r="3910" customFormat="false" ht="15" hidden="false" customHeight="false" outlineLevel="0" collapsed="false">
      <c r="A3910" s="36" t="n">
        <v>46174</v>
      </c>
      <c r="B3910" s="24" t="s">
        <v>64</v>
      </c>
      <c r="C3910" s="24" t="s">
        <v>139</v>
      </c>
      <c r="D3910" s="33" t="n">
        <v>155</v>
      </c>
      <c r="E3910" s="24" t="n">
        <v>0</v>
      </c>
      <c r="F3910" s="37" t="n">
        <f aca="false">DATE(YEAR(A3910),MONTH(A3910),1)</f>
        <v>46174</v>
      </c>
      <c r="G3910" s="24" t="str">
        <f aca="false">INDEX(Products!$C$2:$C$49,MATCH(C3910,Products!$A$2:$A$49,0))</f>
        <v>Dairy &amp; Eggs</v>
      </c>
      <c r="H3910" s="33" t="n">
        <f aca="false">D3910*INDEX(Products!$E$2:$E$49,MATCH(C3910,Products!$A$2:$A$49,0))</f>
        <v>80600</v>
      </c>
      <c r="I3910" s="33" t="n">
        <f aca="false">D3910*INDEX(Products!$D$2:$D$49,MATCH(C3910,Products!$A$2:$A$49,0))*(1+INDEX(Assumptions!$B$16:$B$20,MATCH(B3910,Assumptions!$A$16:$A$20,0)))</f>
        <v>68090.88</v>
      </c>
      <c r="J3910" s="33" t="n">
        <f aca="false">H3910-I3910</f>
        <v>12509.12</v>
      </c>
      <c r="K3910" s="33" t="n">
        <f aca="false">IF(OR(E3910=0,E3910&gt;=7),0,D3910/(7-E3910)*E3910*INDEX(Products!$E$2:$E$49,MATCH(C3910,Products!$A$2:$A$49,0)))</f>
        <v>0</v>
      </c>
    </row>
    <row r="3911" customFormat="false" ht="15" hidden="false" customHeight="false" outlineLevel="0" collapsed="false">
      <c r="A3911" s="36" t="n">
        <v>46181</v>
      </c>
      <c r="B3911" s="24" t="s">
        <v>64</v>
      </c>
      <c r="C3911" s="24" t="s">
        <v>139</v>
      </c>
      <c r="D3911" s="33" t="n">
        <v>153</v>
      </c>
      <c r="E3911" s="24" t="n">
        <v>0</v>
      </c>
      <c r="F3911" s="37" t="n">
        <f aca="false">DATE(YEAR(A3911),MONTH(A3911),1)</f>
        <v>46174</v>
      </c>
      <c r="G3911" s="24" t="str">
        <f aca="false">INDEX(Products!$C$2:$C$49,MATCH(C3911,Products!$A$2:$A$49,0))</f>
        <v>Dairy &amp; Eggs</v>
      </c>
      <c r="H3911" s="33" t="n">
        <f aca="false">D3911*INDEX(Products!$E$2:$E$49,MATCH(C3911,Products!$A$2:$A$49,0))</f>
        <v>79560</v>
      </c>
      <c r="I3911" s="33" t="n">
        <f aca="false">D3911*INDEX(Products!$D$2:$D$49,MATCH(C3911,Products!$A$2:$A$49,0))*(1+INDEX(Assumptions!$B$16:$B$20,MATCH(B3911,Assumptions!$A$16:$A$20,0)))</f>
        <v>67212.288</v>
      </c>
      <c r="J3911" s="33" t="n">
        <f aca="false">H3911-I3911</f>
        <v>12347.712</v>
      </c>
      <c r="K3911" s="33" t="n">
        <f aca="false">IF(OR(E3911=0,E3911&gt;=7),0,D3911/(7-E3911)*E3911*INDEX(Products!$E$2:$E$49,MATCH(C3911,Products!$A$2:$A$49,0)))</f>
        <v>0</v>
      </c>
    </row>
    <row r="3912" customFormat="false" ht="15" hidden="false" customHeight="false" outlineLevel="0" collapsed="false">
      <c r="A3912" s="36" t="n">
        <v>46188</v>
      </c>
      <c r="B3912" s="24" t="s">
        <v>64</v>
      </c>
      <c r="C3912" s="24" t="s">
        <v>139</v>
      </c>
      <c r="D3912" s="33" t="n">
        <v>157</v>
      </c>
      <c r="E3912" s="24" t="n">
        <v>0</v>
      </c>
      <c r="F3912" s="37" t="n">
        <f aca="false">DATE(YEAR(A3912),MONTH(A3912),1)</f>
        <v>46174</v>
      </c>
      <c r="G3912" s="24" t="str">
        <f aca="false">INDEX(Products!$C$2:$C$49,MATCH(C3912,Products!$A$2:$A$49,0))</f>
        <v>Dairy &amp; Eggs</v>
      </c>
      <c r="H3912" s="33" t="n">
        <f aca="false">D3912*INDEX(Products!$E$2:$E$49,MATCH(C3912,Products!$A$2:$A$49,0))</f>
        <v>81640</v>
      </c>
      <c r="I3912" s="33" t="n">
        <f aca="false">D3912*INDEX(Products!$D$2:$D$49,MATCH(C3912,Products!$A$2:$A$49,0))*(1+INDEX(Assumptions!$B$16:$B$20,MATCH(B3912,Assumptions!$A$16:$A$20,0)))</f>
        <v>68969.472</v>
      </c>
      <c r="J3912" s="33" t="n">
        <f aca="false">H3912-I3912</f>
        <v>12670.528</v>
      </c>
      <c r="K3912" s="33" t="n">
        <f aca="false">IF(OR(E3912=0,E3912&gt;=7),0,D3912/(7-E3912)*E3912*INDEX(Products!$E$2:$E$49,MATCH(C3912,Products!$A$2:$A$49,0)))</f>
        <v>0</v>
      </c>
    </row>
    <row r="3913" customFormat="false" ht="15" hidden="false" customHeight="false" outlineLevel="0" collapsed="false">
      <c r="A3913" s="36" t="n">
        <v>46195</v>
      </c>
      <c r="B3913" s="24" t="s">
        <v>64</v>
      </c>
      <c r="C3913" s="24" t="s">
        <v>139</v>
      </c>
      <c r="D3913" s="33" t="n">
        <v>165</v>
      </c>
      <c r="E3913" s="24" t="n">
        <v>0</v>
      </c>
      <c r="F3913" s="37" t="n">
        <f aca="false">DATE(YEAR(A3913),MONTH(A3913),1)</f>
        <v>46174</v>
      </c>
      <c r="G3913" s="24" t="str">
        <f aca="false">INDEX(Products!$C$2:$C$49,MATCH(C3913,Products!$A$2:$A$49,0))</f>
        <v>Dairy &amp; Eggs</v>
      </c>
      <c r="H3913" s="33" t="n">
        <f aca="false">D3913*INDEX(Products!$E$2:$E$49,MATCH(C3913,Products!$A$2:$A$49,0))</f>
        <v>85800</v>
      </c>
      <c r="I3913" s="33" t="n">
        <f aca="false">D3913*INDEX(Products!$D$2:$D$49,MATCH(C3913,Products!$A$2:$A$49,0))*(1+INDEX(Assumptions!$B$16:$B$20,MATCH(B3913,Assumptions!$A$16:$A$20,0)))</f>
        <v>72483.84</v>
      </c>
      <c r="J3913" s="33" t="n">
        <f aca="false">H3913-I3913</f>
        <v>13316.16</v>
      </c>
      <c r="K3913" s="33" t="n">
        <f aca="false">IF(OR(E3913=0,E3913&gt;=7),0,D3913/(7-E3913)*E3913*INDEX(Products!$E$2:$E$49,MATCH(C3913,Products!$A$2:$A$49,0)))</f>
        <v>0</v>
      </c>
    </row>
    <row r="3914" customFormat="false" ht="15" hidden="false" customHeight="false" outlineLevel="0" collapsed="false">
      <c r="A3914" s="36" t="n">
        <v>46202</v>
      </c>
      <c r="B3914" s="24" t="s">
        <v>64</v>
      </c>
      <c r="C3914" s="24" t="s">
        <v>139</v>
      </c>
      <c r="D3914" s="33" t="n">
        <v>139</v>
      </c>
      <c r="E3914" s="24" t="n">
        <v>0</v>
      </c>
      <c r="F3914" s="37" t="n">
        <f aca="false">DATE(YEAR(A3914),MONTH(A3914),1)</f>
        <v>46174</v>
      </c>
      <c r="G3914" s="24" t="str">
        <f aca="false">INDEX(Products!$C$2:$C$49,MATCH(C3914,Products!$A$2:$A$49,0))</f>
        <v>Dairy &amp; Eggs</v>
      </c>
      <c r="H3914" s="33" t="n">
        <f aca="false">D3914*INDEX(Products!$E$2:$E$49,MATCH(C3914,Products!$A$2:$A$49,0))</f>
        <v>72280</v>
      </c>
      <c r="I3914" s="33" t="n">
        <f aca="false">D3914*INDEX(Products!$D$2:$D$49,MATCH(C3914,Products!$A$2:$A$49,0))*(1+INDEX(Assumptions!$B$16:$B$20,MATCH(B3914,Assumptions!$A$16:$A$20,0)))</f>
        <v>61062.144</v>
      </c>
      <c r="J3914" s="33" t="n">
        <f aca="false">H3914-I3914</f>
        <v>11217.856</v>
      </c>
      <c r="K3914" s="33" t="n">
        <f aca="false">IF(OR(E3914=0,E3914&gt;=7),0,D3914/(7-E3914)*E3914*INDEX(Products!$E$2:$E$49,MATCH(C3914,Products!$A$2:$A$49,0)))</f>
        <v>0</v>
      </c>
    </row>
    <row r="3915" customFormat="false" ht="15" hidden="false" customHeight="false" outlineLevel="0" collapsed="false">
      <c r="A3915" s="36" t="n">
        <v>46209</v>
      </c>
      <c r="B3915" s="24" t="s">
        <v>64</v>
      </c>
      <c r="C3915" s="24" t="s">
        <v>139</v>
      </c>
      <c r="D3915" s="33" t="n">
        <v>138</v>
      </c>
      <c r="E3915" s="24" t="n">
        <v>0</v>
      </c>
      <c r="F3915" s="37" t="n">
        <f aca="false">DATE(YEAR(A3915),MONTH(A3915),1)</f>
        <v>46204</v>
      </c>
      <c r="G3915" s="24" t="str">
        <f aca="false">INDEX(Products!$C$2:$C$49,MATCH(C3915,Products!$A$2:$A$49,0))</f>
        <v>Dairy &amp; Eggs</v>
      </c>
      <c r="H3915" s="33" t="n">
        <f aca="false">D3915*INDEX(Products!$E$2:$E$49,MATCH(C3915,Products!$A$2:$A$49,0))</f>
        <v>71760</v>
      </c>
      <c r="I3915" s="33" t="n">
        <f aca="false">D3915*INDEX(Products!$D$2:$D$49,MATCH(C3915,Products!$A$2:$A$49,0))*(1+INDEX(Assumptions!$B$16:$B$20,MATCH(B3915,Assumptions!$A$16:$A$20,0)))</f>
        <v>60622.848</v>
      </c>
      <c r="J3915" s="33" t="n">
        <f aca="false">H3915-I3915</f>
        <v>11137.152</v>
      </c>
      <c r="K3915" s="33" t="n">
        <f aca="false">IF(OR(E3915=0,E3915&gt;=7),0,D3915/(7-E3915)*E3915*INDEX(Products!$E$2:$E$49,MATCH(C3915,Products!$A$2:$A$49,0)))</f>
        <v>0</v>
      </c>
    </row>
    <row r="3916" customFormat="false" ht="15" hidden="false" customHeight="false" outlineLevel="0" collapsed="false">
      <c r="A3916" s="36" t="n">
        <v>46216</v>
      </c>
      <c r="B3916" s="24" t="s">
        <v>64</v>
      </c>
      <c r="C3916" s="24" t="s">
        <v>139</v>
      </c>
      <c r="D3916" s="33" t="n">
        <v>155</v>
      </c>
      <c r="E3916" s="24" t="n">
        <v>0</v>
      </c>
      <c r="F3916" s="37" t="n">
        <f aca="false">DATE(YEAR(A3916),MONTH(A3916),1)</f>
        <v>46204</v>
      </c>
      <c r="G3916" s="24" t="str">
        <f aca="false">INDEX(Products!$C$2:$C$49,MATCH(C3916,Products!$A$2:$A$49,0))</f>
        <v>Dairy &amp; Eggs</v>
      </c>
      <c r="H3916" s="33" t="n">
        <f aca="false">D3916*INDEX(Products!$E$2:$E$49,MATCH(C3916,Products!$A$2:$A$49,0))</f>
        <v>80600</v>
      </c>
      <c r="I3916" s="33" t="n">
        <f aca="false">D3916*INDEX(Products!$D$2:$D$49,MATCH(C3916,Products!$A$2:$A$49,0))*(1+INDEX(Assumptions!$B$16:$B$20,MATCH(B3916,Assumptions!$A$16:$A$20,0)))</f>
        <v>68090.88</v>
      </c>
      <c r="J3916" s="33" t="n">
        <f aca="false">H3916-I3916</f>
        <v>12509.12</v>
      </c>
      <c r="K3916" s="33" t="n">
        <f aca="false">IF(OR(E3916=0,E3916&gt;=7),0,D3916/(7-E3916)*E3916*INDEX(Products!$E$2:$E$49,MATCH(C3916,Products!$A$2:$A$49,0)))</f>
        <v>0</v>
      </c>
    </row>
    <row r="3917" customFormat="false" ht="15" hidden="false" customHeight="false" outlineLevel="0" collapsed="false">
      <c r="A3917" s="36" t="n">
        <v>46223</v>
      </c>
      <c r="B3917" s="24" t="s">
        <v>64</v>
      </c>
      <c r="C3917" s="24" t="s">
        <v>139</v>
      </c>
      <c r="D3917" s="33" t="n">
        <v>153</v>
      </c>
      <c r="E3917" s="24" t="n">
        <v>0</v>
      </c>
      <c r="F3917" s="37" t="n">
        <f aca="false">DATE(YEAR(A3917),MONTH(A3917),1)</f>
        <v>46204</v>
      </c>
      <c r="G3917" s="24" t="str">
        <f aca="false">INDEX(Products!$C$2:$C$49,MATCH(C3917,Products!$A$2:$A$49,0))</f>
        <v>Dairy &amp; Eggs</v>
      </c>
      <c r="H3917" s="33" t="n">
        <f aca="false">D3917*INDEX(Products!$E$2:$E$49,MATCH(C3917,Products!$A$2:$A$49,0))</f>
        <v>79560</v>
      </c>
      <c r="I3917" s="33" t="n">
        <f aca="false">D3917*INDEX(Products!$D$2:$D$49,MATCH(C3917,Products!$A$2:$A$49,0))*(1+INDEX(Assumptions!$B$16:$B$20,MATCH(B3917,Assumptions!$A$16:$A$20,0)))</f>
        <v>67212.288</v>
      </c>
      <c r="J3917" s="33" t="n">
        <f aca="false">H3917-I3917</f>
        <v>12347.712</v>
      </c>
      <c r="K3917" s="33" t="n">
        <f aca="false">IF(OR(E3917=0,E3917&gt;=7),0,D3917/(7-E3917)*E3917*INDEX(Products!$E$2:$E$49,MATCH(C3917,Products!$A$2:$A$49,0)))</f>
        <v>0</v>
      </c>
    </row>
    <row r="3918" customFormat="false" ht="15" hidden="false" customHeight="false" outlineLevel="0" collapsed="false">
      <c r="A3918" s="36" t="n">
        <v>46230</v>
      </c>
      <c r="B3918" s="24" t="s">
        <v>64</v>
      </c>
      <c r="C3918" s="24" t="s">
        <v>139</v>
      </c>
      <c r="D3918" s="33" t="n">
        <v>157</v>
      </c>
      <c r="E3918" s="24" t="n">
        <v>0</v>
      </c>
      <c r="F3918" s="37" t="n">
        <f aca="false">DATE(YEAR(A3918),MONTH(A3918),1)</f>
        <v>46204</v>
      </c>
      <c r="G3918" s="24" t="str">
        <f aca="false">INDEX(Products!$C$2:$C$49,MATCH(C3918,Products!$A$2:$A$49,0))</f>
        <v>Dairy &amp; Eggs</v>
      </c>
      <c r="H3918" s="33" t="n">
        <f aca="false">D3918*INDEX(Products!$E$2:$E$49,MATCH(C3918,Products!$A$2:$A$49,0))</f>
        <v>81640</v>
      </c>
      <c r="I3918" s="33" t="n">
        <f aca="false">D3918*INDEX(Products!$D$2:$D$49,MATCH(C3918,Products!$A$2:$A$49,0))*(1+INDEX(Assumptions!$B$16:$B$20,MATCH(B3918,Assumptions!$A$16:$A$20,0)))</f>
        <v>68969.472</v>
      </c>
      <c r="J3918" s="33" t="n">
        <f aca="false">H3918-I3918</f>
        <v>12670.528</v>
      </c>
      <c r="K3918" s="33" t="n">
        <f aca="false">IF(OR(E3918=0,E3918&gt;=7),0,D3918/(7-E3918)*E3918*INDEX(Products!$E$2:$E$49,MATCH(C3918,Products!$A$2:$A$49,0)))</f>
        <v>0</v>
      </c>
    </row>
    <row r="3919" customFormat="false" ht="15" hidden="false" customHeight="false" outlineLevel="0" collapsed="false">
      <c r="A3919" s="36" t="n">
        <v>46237</v>
      </c>
      <c r="B3919" s="24" t="s">
        <v>64</v>
      </c>
      <c r="C3919" s="24" t="s">
        <v>139</v>
      </c>
      <c r="D3919" s="33" t="n">
        <v>157</v>
      </c>
      <c r="E3919" s="24" t="n">
        <v>0</v>
      </c>
      <c r="F3919" s="37" t="n">
        <f aca="false">DATE(YEAR(A3919),MONTH(A3919),1)</f>
        <v>46235</v>
      </c>
      <c r="G3919" s="24" t="str">
        <f aca="false">INDEX(Products!$C$2:$C$49,MATCH(C3919,Products!$A$2:$A$49,0))</f>
        <v>Dairy &amp; Eggs</v>
      </c>
      <c r="H3919" s="33" t="n">
        <f aca="false">D3919*INDEX(Products!$E$2:$E$49,MATCH(C3919,Products!$A$2:$A$49,0))</f>
        <v>81640</v>
      </c>
      <c r="I3919" s="33" t="n">
        <f aca="false">D3919*INDEX(Products!$D$2:$D$49,MATCH(C3919,Products!$A$2:$A$49,0))*(1+INDEX(Assumptions!$B$16:$B$20,MATCH(B3919,Assumptions!$A$16:$A$20,0)))</f>
        <v>68969.472</v>
      </c>
      <c r="J3919" s="33" t="n">
        <f aca="false">H3919-I3919</f>
        <v>12670.528</v>
      </c>
      <c r="K3919" s="33" t="n">
        <f aca="false">IF(OR(E3919=0,E3919&gt;=7),0,D3919/(7-E3919)*E3919*INDEX(Products!$E$2:$E$49,MATCH(C3919,Products!$A$2:$A$49,0)))</f>
        <v>0</v>
      </c>
    </row>
    <row r="3920" customFormat="false" ht="15" hidden="false" customHeight="false" outlineLevel="0" collapsed="false">
      <c r="A3920" s="36" t="n">
        <v>46244</v>
      </c>
      <c r="B3920" s="24" t="s">
        <v>64</v>
      </c>
      <c r="C3920" s="24" t="s">
        <v>139</v>
      </c>
      <c r="D3920" s="33" t="n">
        <v>131</v>
      </c>
      <c r="E3920" s="24" t="n">
        <v>0</v>
      </c>
      <c r="F3920" s="37" t="n">
        <f aca="false">DATE(YEAR(A3920),MONTH(A3920),1)</f>
        <v>46235</v>
      </c>
      <c r="G3920" s="24" t="str">
        <f aca="false">INDEX(Products!$C$2:$C$49,MATCH(C3920,Products!$A$2:$A$49,0))</f>
        <v>Dairy &amp; Eggs</v>
      </c>
      <c r="H3920" s="33" t="n">
        <f aca="false">D3920*INDEX(Products!$E$2:$E$49,MATCH(C3920,Products!$A$2:$A$49,0))</f>
        <v>68120</v>
      </c>
      <c r="I3920" s="33" t="n">
        <f aca="false">D3920*INDEX(Products!$D$2:$D$49,MATCH(C3920,Products!$A$2:$A$49,0))*(1+INDEX(Assumptions!$B$16:$B$20,MATCH(B3920,Assumptions!$A$16:$A$20,0)))</f>
        <v>57547.776</v>
      </c>
      <c r="J3920" s="33" t="n">
        <f aca="false">H3920-I3920</f>
        <v>10572.224</v>
      </c>
      <c r="K3920" s="33" t="n">
        <f aca="false">IF(OR(E3920=0,E3920&gt;=7),0,D3920/(7-E3920)*E3920*INDEX(Products!$E$2:$E$49,MATCH(C3920,Products!$A$2:$A$49,0)))</f>
        <v>0</v>
      </c>
    </row>
    <row r="3921" customFormat="false" ht="15" hidden="false" customHeight="false" outlineLevel="0" collapsed="false">
      <c r="A3921" s="36" t="n">
        <v>46251</v>
      </c>
      <c r="B3921" s="24" t="s">
        <v>64</v>
      </c>
      <c r="C3921" s="24" t="s">
        <v>139</v>
      </c>
      <c r="D3921" s="33" t="n">
        <v>125</v>
      </c>
      <c r="E3921" s="24" t="n">
        <v>0</v>
      </c>
      <c r="F3921" s="37" t="n">
        <f aca="false">DATE(YEAR(A3921),MONTH(A3921),1)</f>
        <v>46235</v>
      </c>
      <c r="G3921" s="24" t="str">
        <f aca="false">INDEX(Products!$C$2:$C$49,MATCH(C3921,Products!$A$2:$A$49,0))</f>
        <v>Dairy &amp; Eggs</v>
      </c>
      <c r="H3921" s="33" t="n">
        <f aca="false">D3921*INDEX(Products!$E$2:$E$49,MATCH(C3921,Products!$A$2:$A$49,0))</f>
        <v>65000</v>
      </c>
      <c r="I3921" s="33" t="n">
        <f aca="false">D3921*INDEX(Products!$D$2:$D$49,MATCH(C3921,Products!$A$2:$A$49,0))*(1+INDEX(Assumptions!$B$16:$B$20,MATCH(B3921,Assumptions!$A$16:$A$20,0)))</f>
        <v>54912</v>
      </c>
      <c r="J3921" s="33" t="n">
        <f aca="false">H3921-I3921</f>
        <v>10088</v>
      </c>
      <c r="K3921" s="33" t="n">
        <f aca="false">IF(OR(E3921=0,E3921&gt;=7),0,D3921/(7-E3921)*E3921*INDEX(Products!$E$2:$E$49,MATCH(C3921,Products!$A$2:$A$49,0)))</f>
        <v>0</v>
      </c>
    </row>
    <row r="3922" customFormat="false" ht="15" hidden="false" customHeight="false" outlineLevel="0" collapsed="false">
      <c r="A3922" s="36" t="n">
        <v>46258</v>
      </c>
      <c r="B3922" s="24" t="s">
        <v>64</v>
      </c>
      <c r="C3922" s="24" t="s">
        <v>139</v>
      </c>
      <c r="D3922" s="33" t="n">
        <v>162</v>
      </c>
      <c r="E3922" s="24" t="n">
        <v>0</v>
      </c>
      <c r="F3922" s="37" t="n">
        <f aca="false">DATE(YEAR(A3922),MONTH(A3922),1)</f>
        <v>46235</v>
      </c>
      <c r="G3922" s="24" t="str">
        <f aca="false">INDEX(Products!$C$2:$C$49,MATCH(C3922,Products!$A$2:$A$49,0))</f>
        <v>Dairy &amp; Eggs</v>
      </c>
      <c r="H3922" s="33" t="n">
        <f aca="false">D3922*INDEX(Products!$E$2:$E$49,MATCH(C3922,Products!$A$2:$A$49,0))</f>
        <v>84240</v>
      </c>
      <c r="I3922" s="33" t="n">
        <f aca="false">D3922*INDEX(Products!$D$2:$D$49,MATCH(C3922,Products!$A$2:$A$49,0))*(1+INDEX(Assumptions!$B$16:$B$20,MATCH(B3922,Assumptions!$A$16:$A$20,0)))</f>
        <v>71165.952</v>
      </c>
      <c r="J3922" s="33" t="n">
        <f aca="false">H3922-I3922</f>
        <v>13074.048</v>
      </c>
      <c r="K3922" s="33" t="n">
        <f aca="false">IF(OR(E3922=0,E3922&gt;=7),0,D3922/(7-E3922)*E3922*INDEX(Products!$E$2:$E$49,MATCH(C3922,Products!$A$2:$A$49,0)))</f>
        <v>0</v>
      </c>
    </row>
    <row r="3923" customFormat="false" ht="15" hidden="false" customHeight="false" outlineLevel="0" collapsed="false">
      <c r="A3923" s="36" t="n">
        <v>46265</v>
      </c>
      <c r="B3923" s="24" t="s">
        <v>64</v>
      </c>
      <c r="C3923" s="24" t="s">
        <v>139</v>
      </c>
      <c r="D3923" s="33" t="n">
        <v>158</v>
      </c>
      <c r="E3923" s="24" t="n">
        <v>0</v>
      </c>
      <c r="F3923" s="37" t="n">
        <f aca="false">DATE(YEAR(A3923),MONTH(A3923),1)</f>
        <v>46235</v>
      </c>
      <c r="G3923" s="24" t="str">
        <f aca="false">INDEX(Products!$C$2:$C$49,MATCH(C3923,Products!$A$2:$A$49,0))</f>
        <v>Dairy &amp; Eggs</v>
      </c>
      <c r="H3923" s="33" t="n">
        <f aca="false">D3923*INDEX(Products!$E$2:$E$49,MATCH(C3923,Products!$A$2:$A$49,0))</f>
        <v>82160</v>
      </c>
      <c r="I3923" s="33" t="n">
        <f aca="false">D3923*INDEX(Products!$D$2:$D$49,MATCH(C3923,Products!$A$2:$A$49,0))*(1+INDEX(Assumptions!$B$16:$B$20,MATCH(B3923,Assumptions!$A$16:$A$20,0)))</f>
        <v>69408.768</v>
      </c>
      <c r="J3923" s="33" t="n">
        <f aca="false">H3923-I3923</f>
        <v>12751.232</v>
      </c>
      <c r="K3923" s="33" t="n">
        <f aca="false">IF(OR(E3923=0,E3923&gt;=7),0,D3923/(7-E3923)*E3923*INDEX(Products!$E$2:$E$49,MATCH(C3923,Products!$A$2:$A$49,0)))</f>
        <v>0</v>
      </c>
    </row>
    <row r="3924" customFormat="false" ht="15" hidden="false" customHeight="false" outlineLevel="0" collapsed="false">
      <c r="A3924" s="36" t="n">
        <v>46272</v>
      </c>
      <c r="B3924" s="24" t="s">
        <v>64</v>
      </c>
      <c r="C3924" s="24" t="s">
        <v>139</v>
      </c>
      <c r="D3924" s="33" t="n">
        <v>131</v>
      </c>
      <c r="E3924" s="24" t="n">
        <v>0</v>
      </c>
      <c r="F3924" s="37" t="n">
        <f aca="false">DATE(YEAR(A3924),MONTH(A3924),1)</f>
        <v>46266</v>
      </c>
      <c r="G3924" s="24" t="str">
        <f aca="false">INDEX(Products!$C$2:$C$49,MATCH(C3924,Products!$A$2:$A$49,0))</f>
        <v>Dairy &amp; Eggs</v>
      </c>
      <c r="H3924" s="33" t="n">
        <f aca="false">D3924*INDEX(Products!$E$2:$E$49,MATCH(C3924,Products!$A$2:$A$49,0))</f>
        <v>68120</v>
      </c>
      <c r="I3924" s="33" t="n">
        <f aca="false">D3924*INDEX(Products!$D$2:$D$49,MATCH(C3924,Products!$A$2:$A$49,0))*(1+INDEX(Assumptions!$B$16:$B$20,MATCH(B3924,Assumptions!$A$16:$A$20,0)))</f>
        <v>57547.776</v>
      </c>
      <c r="J3924" s="33" t="n">
        <f aca="false">H3924-I3924</f>
        <v>10572.224</v>
      </c>
      <c r="K3924" s="33" t="n">
        <f aca="false">IF(OR(E3924=0,E3924&gt;=7),0,D3924/(7-E3924)*E3924*INDEX(Products!$E$2:$E$49,MATCH(C3924,Products!$A$2:$A$49,0)))</f>
        <v>0</v>
      </c>
    </row>
    <row r="3925" customFormat="false" ht="15" hidden="false" customHeight="false" outlineLevel="0" collapsed="false">
      <c r="A3925" s="36" t="n">
        <v>46279</v>
      </c>
      <c r="B3925" s="24" t="s">
        <v>64</v>
      </c>
      <c r="C3925" s="24" t="s">
        <v>139</v>
      </c>
      <c r="D3925" s="33" t="n">
        <v>169</v>
      </c>
      <c r="E3925" s="24" t="n">
        <v>0</v>
      </c>
      <c r="F3925" s="37" t="n">
        <f aca="false">DATE(YEAR(A3925),MONTH(A3925),1)</f>
        <v>46266</v>
      </c>
      <c r="G3925" s="24" t="str">
        <f aca="false">INDEX(Products!$C$2:$C$49,MATCH(C3925,Products!$A$2:$A$49,0))</f>
        <v>Dairy &amp; Eggs</v>
      </c>
      <c r="H3925" s="33" t="n">
        <f aca="false">D3925*INDEX(Products!$E$2:$E$49,MATCH(C3925,Products!$A$2:$A$49,0))</f>
        <v>87880</v>
      </c>
      <c r="I3925" s="33" t="n">
        <f aca="false">D3925*INDEX(Products!$D$2:$D$49,MATCH(C3925,Products!$A$2:$A$49,0))*(1+INDEX(Assumptions!$B$16:$B$20,MATCH(B3925,Assumptions!$A$16:$A$20,0)))</f>
        <v>74241.024</v>
      </c>
      <c r="J3925" s="33" t="n">
        <f aca="false">H3925-I3925</f>
        <v>13638.976</v>
      </c>
      <c r="K3925" s="33" t="n">
        <f aca="false">IF(OR(E3925=0,E3925&gt;=7),0,D3925/(7-E3925)*E3925*INDEX(Products!$E$2:$E$49,MATCH(C3925,Products!$A$2:$A$49,0)))</f>
        <v>0</v>
      </c>
    </row>
    <row r="3926" customFormat="false" ht="15" hidden="false" customHeight="false" outlineLevel="0" collapsed="false">
      <c r="A3926" s="36" t="n">
        <v>46286</v>
      </c>
      <c r="B3926" s="24" t="s">
        <v>64</v>
      </c>
      <c r="C3926" s="24" t="s">
        <v>139</v>
      </c>
      <c r="D3926" s="33" t="n">
        <v>148</v>
      </c>
      <c r="E3926" s="24" t="n">
        <v>0</v>
      </c>
      <c r="F3926" s="37" t="n">
        <f aca="false">DATE(YEAR(A3926),MONTH(A3926),1)</f>
        <v>46266</v>
      </c>
      <c r="G3926" s="24" t="str">
        <f aca="false">INDEX(Products!$C$2:$C$49,MATCH(C3926,Products!$A$2:$A$49,0))</f>
        <v>Dairy &amp; Eggs</v>
      </c>
      <c r="H3926" s="33" t="n">
        <f aca="false">D3926*INDEX(Products!$E$2:$E$49,MATCH(C3926,Products!$A$2:$A$49,0))</f>
        <v>76960</v>
      </c>
      <c r="I3926" s="33" t="n">
        <f aca="false">D3926*INDEX(Products!$D$2:$D$49,MATCH(C3926,Products!$A$2:$A$49,0))*(1+INDEX(Assumptions!$B$16:$B$20,MATCH(B3926,Assumptions!$A$16:$A$20,0)))</f>
        <v>65015.808</v>
      </c>
      <c r="J3926" s="33" t="n">
        <f aca="false">H3926-I3926</f>
        <v>11944.192</v>
      </c>
      <c r="K3926" s="33" t="n">
        <f aca="false">IF(OR(E3926=0,E3926&gt;=7),0,D3926/(7-E3926)*E3926*INDEX(Products!$E$2:$E$49,MATCH(C3926,Products!$A$2:$A$49,0)))</f>
        <v>0</v>
      </c>
    </row>
    <row r="3927" customFormat="false" ht="15" hidden="false" customHeight="false" outlineLevel="0" collapsed="false">
      <c r="A3927" s="36" t="n">
        <v>46118</v>
      </c>
      <c r="B3927" s="24" t="s">
        <v>64</v>
      </c>
      <c r="C3927" s="24" t="s">
        <v>141</v>
      </c>
      <c r="D3927" s="33" t="n">
        <v>191</v>
      </c>
      <c r="E3927" s="24" t="n">
        <v>0</v>
      </c>
      <c r="F3927" s="37" t="n">
        <f aca="false">DATE(YEAR(A3927),MONTH(A3927),1)</f>
        <v>46113</v>
      </c>
      <c r="G3927" s="24" t="str">
        <f aca="false">INDEX(Products!$C$2:$C$49,MATCH(C3927,Products!$A$2:$A$49,0))</f>
        <v>Dairy &amp; Eggs</v>
      </c>
      <c r="H3927" s="33" t="n">
        <f aca="false">D3927*INDEX(Products!$E$2:$E$49,MATCH(C3927,Products!$A$2:$A$49,0))</f>
        <v>78310</v>
      </c>
      <c r="I3927" s="33" t="n">
        <f aca="false">D3927*INDEX(Products!$D$2:$D$49,MATCH(C3927,Products!$A$2:$A$49,0))*(1+INDEX(Assumptions!$B$16:$B$20,MATCH(B3927,Assumptions!$A$16:$A$20,0)))</f>
        <v>65520.64</v>
      </c>
      <c r="J3927" s="33" t="n">
        <f aca="false">H3927-I3927</f>
        <v>12789.36</v>
      </c>
      <c r="K3927" s="33" t="n">
        <f aca="false">IF(OR(E3927=0,E3927&gt;=7),0,D3927/(7-E3927)*E3927*INDEX(Products!$E$2:$E$49,MATCH(C3927,Products!$A$2:$A$49,0)))</f>
        <v>0</v>
      </c>
    </row>
    <row r="3928" customFormat="false" ht="15" hidden="false" customHeight="false" outlineLevel="0" collapsed="false">
      <c r="A3928" s="36" t="n">
        <v>46125</v>
      </c>
      <c r="B3928" s="24" t="s">
        <v>64</v>
      </c>
      <c r="C3928" s="24" t="s">
        <v>141</v>
      </c>
      <c r="D3928" s="33" t="n">
        <v>208</v>
      </c>
      <c r="E3928" s="24" t="n">
        <v>0</v>
      </c>
      <c r="F3928" s="37" t="n">
        <f aca="false">DATE(YEAR(A3928),MONTH(A3928),1)</f>
        <v>46113</v>
      </c>
      <c r="G3928" s="24" t="str">
        <f aca="false">INDEX(Products!$C$2:$C$49,MATCH(C3928,Products!$A$2:$A$49,0))</f>
        <v>Dairy &amp; Eggs</v>
      </c>
      <c r="H3928" s="33" t="n">
        <f aca="false">D3928*INDEX(Products!$E$2:$E$49,MATCH(C3928,Products!$A$2:$A$49,0))</f>
        <v>85280</v>
      </c>
      <c r="I3928" s="33" t="n">
        <f aca="false">D3928*INDEX(Products!$D$2:$D$49,MATCH(C3928,Products!$A$2:$A$49,0))*(1+INDEX(Assumptions!$B$16:$B$20,MATCH(B3928,Assumptions!$A$16:$A$20,0)))</f>
        <v>71352.32</v>
      </c>
      <c r="J3928" s="33" t="n">
        <f aca="false">H3928-I3928</f>
        <v>13927.68</v>
      </c>
      <c r="K3928" s="33" t="n">
        <f aca="false">IF(OR(E3928=0,E3928&gt;=7),0,D3928/(7-E3928)*E3928*INDEX(Products!$E$2:$E$49,MATCH(C3928,Products!$A$2:$A$49,0)))</f>
        <v>0</v>
      </c>
    </row>
    <row r="3929" customFormat="false" ht="15" hidden="false" customHeight="false" outlineLevel="0" collapsed="false">
      <c r="A3929" s="36" t="n">
        <v>46132</v>
      </c>
      <c r="B3929" s="24" t="s">
        <v>64</v>
      </c>
      <c r="C3929" s="24" t="s">
        <v>141</v>
      </c>
      <c r="D3929" s="33" t="n">
        <v>219</v>
      </c>
      <c r="E3929" s="24" t="n">
        <v>0</v>
      </c>
      <c r="F3929" s="37" t="n">
        <f aca="false">DATE(YEAR(A3929),MONTH(A3929),1)</f>
        <v>46113</v>
      </c>
      <c r="G3929" s="24" t="str">
        <f aca="false">INDEX(Products!$C$2:$C$49,MATCH(C3929,Products!$A$2:$A$49,0))</f>
        <v>Dairy &amp; Eggs</v>
      </c>
      <c r="H3929" s="33" t="n">
        <f aca="false">D3929*INDEX(Products!$E$2:$E$49,MATCH(C3929,Products!$A$2:$A$49,0))</f>
        <v>89790</v>
      </c>
      <c r="I3929" s="33" t="n">
        <f aca="false">D3929*INDEX(Products!$D$2:$D$49,MATCH(C3929,Products!$A$2:$A$49,0))*(1+INDEX(Assumptions!$B$16:$B$20,MATCH(B3929,Assumptions!$A$16:$A$20,0)))</f>
        <v>75125.76</v>
      </c>
      <c r="J3929" s="33" t="n">
        <f aca="false">H3929-I3929</f>
        <v>14664.24</v>
      </c>
      <c r="K3929" s="33" t="n">
        <f aca="false">IF(OR(E3929=0,E3929&gt;=7),0,D3929/(7-E3929)*E3929*INDEX(Products!$E$2:$E$49,MATCH(C3929,Products!$A$2:$A$49,0)))</f>
        <v>0</v>
      </c>
    </row>
    <row r="3930" customFormat="false" ht="15" hidden="false" customHeight="false" outlineLevel="0" collapsed="false">
      <c r="A3930" s="36" t="n">
        <v>46139</v>
      </c>
      <c r="B3930" s="24" t="s">
        <v>64</v>
      </c>
      <c r="C3930" s="24" t="s">
        <v>141</v>
      </c>
      <c r="D3930" s="33" t="n">
        <v>418</v>
      </c>
      <c r="E3930" s="24" t="n">
        <v>0</v>
      </c>
      <c r="F3930" s="37" t="n">
        <f aca="false">DATE(YEAR(A3930),MONTH(A3930),1)</f>
        <v>46113</v>
      </c>
      <c r="G3930" s="24" t="str">
        <f aca="false">INDEX(Products!$C$2:$C$49,MATCH(C3930,Products!$A$2:$A$49,0))</f>
        <v>Dairy &amp; Eggs</v>
      </c>
      <c r="H3930" s="33" t="n">
        <f aca="false">D3930*INDEX(Products!$E$2:$E$49,MATCH(C3930,Products!$A$2:$A$49,0))</f>
        <v>171380</v>
      </c>
      <c r="I3930" s="33" t="n">
        <f aca="false">D3930*INDEX(Products!$D$2:$D$49,MATCH(C3930,Products!$A$2:$A$49,0))*(1+INDEX(Assumptions!$B$16:$B$20,MATCH(B3930,Assumptions!$A$16:$A$20,0)))</f>
        <v>143390.72</v>
      </c>
      <c r="J3930" s="33" t="n">
        <f aca="false">H3930-I3930</f>
        <v>27989.28</v>
      </c>
      <c r="K3930" s="33" t="n">
        <f aca="false">IF(OR(E3930=0,E3930&gt;=7),0,D3930/(7-E3930)*E3930*INDEX(Products!$E$2:$E$49,MATCH(C3930,Products!$A$2:$A$49,0)))</f>
        <v>0</v>
      </c>
    </row>
    <row r="3931" customFormat="false" ht="15" hidden="false" customHeight="false" outlineLevel="0" collapsed="false">
      <c r="A3931" s="36" t="n">
        <v>46146</v>
      </c>
      <c r="B3931" s="24" t="s">
        <v>64</v>
      </c>
      <c r="C3931" s="24" t="s">
        <v>141</v>
      </c>
      <c r="D3931" s="33" t="n">
        <v>183</v>
      </c>
      <c r="E3931" s="24" t="n">
        <v>0</v>
      </c>
      <c r="F3931" s="37" t="n">
        <f aca="false">DATE(YEAR(A3931),MONTH(A3931),1)</f>
        <v>46143</v>
      </c>
      <c r="G3931" s="24" t="str">
        <f aca="false">INDEX(Products!$C$2:$C$49,MATCH(C3931,Products!$A$2:$A$49,0))</f>
        <v>Dairy &amp; Eggs</v>
      </c>
      <c r="H3931" s="33" t="n">
        <f aca="false">D3931*INDEX(Products!$E$2:$E$49,MATCH(C3931,Products!$A$2:$A$49,0))</f>
        <v>75030</v>
      </c>
      <c r="I3931" s="33" t="n">
        <f aca="false">D3931*INDEX(Products!$D$2:$D$49,MATCH(C3931,Products!$A$2:$A$49,0))*(1+INDEX(Assumptions!$B$16:$B$20,MATCH(B3931,Assumptions!$A$16:$A$20,0)))</f>
        <v>62776.32</v>
      </c>
      <c r="J3931" s="33" t="n">
        <f aca="false">H3931-I3931</f>
        <v>12253.68</v>
      </c>
      <c r="K3931" s="33" t="n">
        <f aca="false">IF(OR(E3931=0,E3931&gt;=7),0,D3931/(7-E3931)*E3931*INDEX(Products!$E$2:$E$49,MATCH(C3931,Products!$A$2:$A$49,0)))</f>
        <v>0</v>
      </c>
    </row>
    <row r="3932" customFormat="false" ht="15" hidden="false" customHeight="false" outlineLevel="0" collapsed="false">
      <c r="A3932" s="36" t="n">
        <v>46153</v>
      </c>
      <c r="B3932" s="24" t="s">
        <v>64</v>
      </c>
      <c r="C3932" s="24" t="s">
        <v>141</v>
      </c>
      <c r="D3932" s="33" t="n">
        <v>211</v>
      </c>
      <c r="E3932" s="24" t="n">
        <v>0</v>
      </c>
      <c r="F3932" s="37" t="n">
        <f aca="false">DATE(YEAR(A3932),MONTH(A3932),1)</f>
        <v>46143</v>
      </c>
      <c r="G3932" s="24" t="str">
        <f aca="false">INDEX(Products!$C$2:$C$49,MATCH(C3932,Products!$A$2:$A$49,0))</f>
        <v>Dairy &amp; Eggs</v>
      </c>
      <c r="H3932" s="33" t="n">
        <f aca="false">D3932*INDEX(Products!$E$2:$E$49,MATCH(C3932,Products!$A$2:$A$49,0))</f>
        <v>86510</v>
      </c>
      <c r="I3932" s="33" t="n">
        <f aca="false">D3932*INDEX(Products!$D$2:$D$49,MATCH(C3932,Products!$A$2:$A$49,0))*(1+INDEX(Assumptions!$B$16:$B$20,MATCH(B3932,Assumptions!$A$16:$A$20,0)))</f>
        <v>72381.44</v>
      </c>
      <c r="J3932" s="33" t="n">
        <f aca="false">H3932-I3932</f>
        <v>14128.56</v>
      </c>
      <c r="K3932" s="33" t="n">
        <f aca="false">IF(OR(E3932=0,E3932&gt;=7),0,D3932/(7-E3932)*E3932*INDEX(Products!$E$2:$E$49,MATCH(C3932,Products!$A$2:$A$49,0)))</f>
        <v>0</v>
      </c>
    </row>
    <row r="3933" customFormat="false" ht="15" hidden="false" customHeight="false" outlineLevel="0" collapsed="false">
      <c r="A3933" s="36" t="n">
        <v>46160</v>
      </c>
      <c r="B3933" s="24" t="s">
        <v>64</v>
      </c>
      <c r="C3933" s="24" t="s">
        <v>141</v>
      </c>
      <c r="D3933" s="33" t="n">
        <v>215</v>
      </c>
      <c r="E3933" s="24" t="n">
        <v>0</v>
      </c>
      <c r="F3933" s="37" t="n">
        <f aca="false">DATE(YEAR(A3933),MONTH(A3933),1)</f>
        <v>46143</v>
      </c>
      <c r="G3933" s="24" t="str">
        <f aca="false">INDEX(Products!$C$2:$C$49,MATCH(C3933,Products!$A$2:$A$49,0))</f>
        <v>Dairy &amp; Eggs</v>
      </c>
      <c r="H3933" s="33" t="n">
        <f aca="false">D3933*INDEX(Products!$E$2:$E$49,MATCH(C3933,Products!$A$2:$A$49,0))</f>
        <v>88150</v>
      </c>
      <c r="I3933" s="33" t="n">
        <f aca="false">D3933*INDEX(Products!$D$2:$D$49,MATCH(C3933,Products!$A$2:$A$49,0))*(1+INDEX(Assumptions!$B$16:$B$20,MATCH(B3933,Assumptions!$A$16:$A$20,0)))</f>
        <v>73753.6</v>
      </c>
      <c r="J3933" s="33" t="n">
        <f aca="false">H3933-I3933</f>
        <v>14396.4</v>
      </c>
      <c r="K3933" s="33" t="n">
        <f aca="false">IF(OR(E3933=0,E3933&gt;=7),0,D3933/(7-E3933)*E3933*INDEX(Products!$E$2:$E$49,MATCH(C3933,Products!$A$2:$A$49,0)))</f>
        <v>0</v>
      </c>
    </row>
    <row r="3934" customFormat="false" ht="15" hidden="false" customHeight="false" outlineLevel="0" collapsed="false">
      <c r="A3934" s="36" t="n">
        <v>46167</v>
      </c>
      <c r="B3934" s="24" t="s">
        <v>64</v>
      </c>
      <c r="C3934" s="24" t="s">
        <v>141</v>
      </c>
      <c r="D3934" s="33" t="n">
        <v>212</v>
      </c>
      <c r="E3934" s="24" t="n">
        <v>0</v>
      </c>
      <c r="F3934" s="37" t="n">
        <f aca="false">DATE(YEAR(A3934),MONTH(A3934),1)</f>
        <v>46143</v>
      </c>
      <c r="G3934" s="24" t="str">
        <f aca="false">INDEX(Products!$C$2:$C$49,MATCH(C3934,Products!$A$2:$A$49,0))</f>
        <v>Dairy &amp; Eggs</v>
      </c>
      <c r="H3934" s="33" t="n">
        <f aca="false">D3934*INDEX(Products!$E$2:$E$49,MATCH(C3934,Products!$A$2:$A$49,0))</f>
        <v>86920</v>
      </c>
      <c r="I3934" s="33" t="n">
        <f aca="false">D3934*INDEX(Products!$D$2:$D$49,MATCH(C3934,Products!$A$2:$A$49,0))*(1+INDEX(Assumptions!$B$16:$B$20,MATCH(B3934,Assumptions!$A$16:$A$20,0)))</f>
        <v>72724.48</v>
      </c>
      <c r="J3934" s="33" t="n">
        <f aca="false">H3934-I3934</f>
        <v>14195.52</v>
      </c>
      <c r="K3934" s="33" t="n">
        <f aca="false">IF(OR(E3934=0,E3934&gt;=7),0,D3934/(7-E3934)*E3934*INDEX(Products!$E$2:$E$49,MATCH(C3934,Products!$A$2:$A$49,0)))</f>
        <v>0</v>
      </c>
    </row>
    <row r="3935" customFormat="false" ht="15" hidden="false" customHeight="false" outlineLevel="0" collapsed="false">
      <c r="A3935" s="36" t="n">
        <v>46174</v>
      </c>
      <c r="B3935" s="24" t="s">
        <v>64</v>
      </c>
      <c r="C3935" s="24" t="s">
        <v>141</v>
      </c>
      <c r="D3935" s="33" t="n">
        <v>218</v>
      </c>
      <c r="E3935" s="24" t="n">
        <v>0</v>
      </c>
      <c r="F3935" s="37" t="n">
        <f aca="false">DATE(YEAR(A3935),MONTH(A3935),1)</f>
        <v>46174</v>
      </c>
      <c r="G3935" s="24" t="str">
        <f aca="false">INDEX(Products!$C$2:$C$49,MATCH(C3935,Products!$A$2:$A$49,0))</f>
        <v>Dairy &amp; Eggs</v>
      </c>
      <c r="H3935" s="33" t="n">
        <f aca="false">D3935*INDEX(Products!$E$2:$E$49,MATCH(C3935,Products!$A$2:$A$49,0))</f>
        <v>89380</v>
      </c>
      <c r="I3935" s="33" t="n">
        <f aca="false">D3935*INDEX(Products!$D$2:$D$49,MATCH(C3935,Products!$A$2:$A$49,0))*(1+INDEX(Assumptions!$B$16:$B$20,MATCH(B3935,Assumptions!$A$16:$A$20,0)))</f>
        <v>74782.72</v>
      </c>
      <c r="J3935" s="33" t="n">
        <f aca="false">H3935-I3935</f>
        <v>14597.28</v>
      </c>
      <c r="K3935" s="33" t="n">
        <f aca="false">IF(OR(E3935=0,E3935&gt;=7),0,D3935/(7-E3935)*E3935*INDEX(Products!$E$2:$E$49,MATCH(C3935,Products!$A$2:$A$49,0)))</f>
        <v>0</v>
      </c>
    </row>
    <row r="3936" customFormat="false" ht="15" hidden="false" customHeight="false" outlineLevel="0" collapsed="false">
      <c r="A3936" s="36" t="n">
        <v>46181</v>
      </c>
      <c r="B3936" s="24" t="s">
        <v>64</v>
      </c>
      <c r="C3936" s="24" t="s">
        <v>141</v>
      </c>
      <c r="D3936" s="33" t="n">
        <v>192</v>
      </c>
      <c r="E3936" s="24" t="n">
        <v>0</v>
      </c>
      <c r="F3936" s="37" t="n">
        <f aca="false">DATE(YEAR(A3936),MONTH(A3936),1)</f>
        <v>46174</v>
      </c>
      <c r="G3936" s="24" t="str">
        <f aca="false">INDEX(Products!$C$2:$C$49,MATCH(C3936,Products!$A$2:$A$49,0))</f>
        <v>Dairy &amp; Eggs</v>
      </c>
      <c r="H3936" s="33" t="n">
        <f aca="false">D3936*INDEX(Products!$E$2:$E$49,MATCH(C3936,Products!$A$2:$A$49,0))</f>
        <v>78720</v>
      </c>
      <c r="I3936" s="33" t="n">
        <f aca="false">D3936*INDEX(Products!$D$2:$D$49,MATCH(C3936,Products!$A$2:$A$49,0))*(1+INDEX(Assumptions!$B$16:$B$20,MATCH(B3936,Assumptions!$A$16:$A$20,0)))</f>
        <v>65863.68</v>
      </c>
      <c r="J3936" s="33" t="n">
        <f aca="false">H3936-I3936</f>
        <v>12856.32</v>
      </c>
      <c r="K3936" s="33" t="n">
        <f aca="false">IF(OR(E3936=0,E3936&gt;=7),0,D3936/(7-E3936)*E3936*INDEX(Products!$E$2:$E$49,MATCH(C3936,Products!$A$2:$A$49,0)))</f>
        <v>0</v>
      </c>
    </row>
    <row r="3937" customFormat="false" ht="15" hidden="false" customHeight="false" outlineLevel="0" collapsed="false">
      <c r="A3937" s="36" t="n">
        <v>46188</v>
      </c>
      <c r="B3937" s="24" t="s">
        <v>64</v>
      </c>
      <c r="C3937" s="24" t="s">
        <v>141</v>
      </c>
      <c r="D3937" s="33" t="n">
        <v>204</v>
      </c>
      <c r="E3937" s="24" t="n">
        <v>0</v>
      </c>
      <c r="F3937" s="37" t="n">
        <f aca="false">DATE(YEAR(A3937),MONTH(A3937),1)</f>
        <v>46174</v>
      </c>
      <c r="G3937" s="24" t="str">
        <f aca="false">INDEX(Products!$C$2:$C$49,MATCH(C3937,Products!$A$2:$A$49,0))</f>
        <v>Dairy &amp; Eggs</v>
      </c>
      <c r="H3937" s="33" t="n">
        <f aca="false">D3937*INDEX(Products!$E$2:$E$49,MATCH(C3937,Products!$A$2:$A$49,0))</f>
        <v>83640</v>
      </c>
      <c r="I3937" s="33" t="n">
        <f aca="false">D3937*INDEX(Products!$D$2:$D$49,MATCH(C3937,Products!$A$2:$A$49,0))*(1+INDEX(Assumptions!$B$16:$B$20,MATCH(B3937,Assumptions!$A$16:$A$20,0)))</f>
        <v>69980.16</v>
      </c>
      <c r="J3937" s="33" t="n">
        <f aca="false">H3937-I3937</f>
        <v>13659.84</v>
      </c>
      <c r="K3937" s="33" t="n">
        <f aca="false">IF(OR(E3937=0,E3937&gt;=7),0,D3937/(7-E3937)*E3937*INDEX(Products!$E$2:$E$49,MATCH(C3937,Products!$A$2:$A$49,0)))</f>
        <v>0</v>
      </c>
    </row>
    <row r="3938" customFormat="false" ht="15" hidden="false" customHeight="false" outlineLevel="0" collapsed="false">
      <c r="A3938" s="36" t="n">
        <v>46195</v>
      </c>
      <c r="B3938" s="24" t="s">
        <v>64</v>
      </c>
      <c r="C3938" s="24" t="s">
        <v>141</v>
      </c>
      <c r="D3938" s="33" t="n">
        <v>206</v>
      </c>
      <c r="E3938" s="24" t="n">
        <v>0</v>
      </c>
      <c r="F3938" s="37" t="n">
        <f aca="false">DATE(YEAR(A3938),MONTH(A3938),1)</f>
        <v>46174</v>
      </c>
      <c r="G3938" s="24" t="str">
        <f aca="false">INDEX(Products!$C$2:$C$49,MATCH(C3938,Products!$A$2:$A$49,0))</f>
        <v>Dairy &amp; Eggs</v>
      </c>
      <c r="H3938" s="33" t="n">
        <f aca="false">D3938*INDEX(Products!$E$2:$E$49,MATCH(C3938,Products!$A$2:$A$49,0))</f>
        <v>84460</v>
      </c>
      <c r="I3938" s="33" t="n">
        <f aca="false">D3938*INDEX(Products!$D$2:$D$49,MATCH(C3938,Products!$A$2:$A$49,0))*(1+INDEX(Assumptions!$B$16:$B$20,MATCH(B3938,Assumptions!$A$16:$A$20,0)))</f>
        <v>70666.24</v>
      </c>
      <c r="J3938" s="33" t="n">
        <f aca="false">H3938-I3938</f>
        <v>13793.76</v>
      </c>
      <c r="K3938" s="33" t="n">
        <f aca="false">IF(OR(E3938=0,E3938&gt;=7),0,D3938/(7-E3938)*E3938*INDEX(Products!$E$2:$E$49,MATCH(C3938,Products!$A$2:$A$49,0)))</f>
        <v>0</v>
      </c>
    </row>
    <row r="3939" customFormat="false" ht="15" hidden="false" customHeight="false" outlineLevel="0" collapsed="false">
      <c r="A3939" s="36" t="n">
        <v>46202</v>
      </c>
      <c r="B3939" s="24" t="s">
        <v>64</v>
      </c>
      <c r="C3939" s="24" t="s">
        <v>141</v>
      </c>
      <c r="D3939" s="33" t="n">
        <v>205</v>
      </c>
      <c r="E3939" s="24" t="n">
        <v>0</v>
      </c>
      <c r="F3939" s="37" t="n">
        <f aca="false">DATE(YEAR(A3939),MONTH(A3939),1)</f>
        <v>46174</v>
      </c>
      <c r="G3939" s="24" t="str">
        <f aca="false">INDEX(Products!$C$2:$C$49,MATCH(C3939,Products!$A$2:$A$49,0))</f>
        <v>Dairy &amp; Eggs</v>
      </c>
      <c r="H3939" s="33" t="n">
        <f aca="false">D3939*INDEX(Products!$E$2:$E$49,MATCH(C3939,Products!$A$2:$A$49,0))</f>
        <v>84050</v>
      </c>
      <c r="I3939" s="33" t="n">
        <f aca="false">D3939*INDEX(Products!$D$2:$D$49,MATCH(C3939,Products!$A$2:$A$49,0))*(1+INDEX(Assumptions!$B$16:$B$20,MATCH(B3939,Assumptions!$A$16:$A$20,0)))</f>
        <v>70323.2</v>
      </c>
      <c r="J3939" s="33" t="n">
        <f aca="false">H3939-I3939</f>
        <v>13726.8</v>
      </c>
      <c r="K3939" s="33" t="n">
        <f aca="false">IF(OR(E3939=0,E3939&gt;=7),0,D3939/(7-E3939)*E3939*INDEX(Products!$E$2:$E$49,MATCH(C3939,Products!$A$2:$A$49,0)))</f>
        <v>0</v>
      </c>
    </row>
    <row r="3940" customFormat="false" ht="15" hidden="false" customHeight="false" outlineLevel="0" collapsed="false">
      <c r="A3940" s="36" t="n">
        <v>46209</v>
      </c>
      <c r="B3940" s="24" t="s">
        <v>64</v>
      </c>
      <c r="C3940" s="24" t="s">
        <v>141</v>
      </c>
      <c r="D3940" s="33" t="n">
        <v>188</v>
      </c>
      <c r="E3940" s="24" t="n">
        <v>0</v>
      </c>
      <c r="F3940" s="37" t="n">
        <f aca="false">DATE(YEAR(A3940),MONTH(A3940),1)</f>
        <v>46204</v>
      </c>
      <c r="G3940" s="24" t="str">
        <f aca="false">INDEX(Products!$C$2:$C$49,MATCH(C3940,Products!$A$2:$A$49,0))</f>
        <v>Dairy &amp; Eggs</v>
      </c>
      <c r="H3940" s="33" t="n">
        <f aca="false">D3940*INDEX(Products!$E$2:$E$49,MATCH(C3940,Products!$A$2:$A$49,0))</f>
        <v>77080</v>
      </c>
      <c r="I3940" s="33" t="n">
        <f aca="false">D3940*INDEX(Products!$D$2:$D$49,MATCH(C3940,Products!$A$2:$A$49,0))*(1+INDEX(Assumptions!$B$16:$B$20,MATCH(B3940,Assumptions!$A$16:$A$20,0)))</f>
        <v>64491.52</v>
      </c>
      <c r="J3940" s="33" t="n">
        <f aca="false">H3940-I3940</f>
        <v>12588.48</v>
      </c>
      <c r="K3940" s="33" t="n">
        <f aca="false">IF(OR(E3940=0,E3940&gt;=7),0,D3940/(7-E3940)*E3940*INDEX(Products!$E$2:$E$49,MATCH(C3940,Products!$A$2:$A$49,0)))</f>
        <v>0</v>
      </c>
    </row>
    <row r="3941" customFormat="false" ht="15" hidden="false" customHeight="false" outlineLevel="0" collapsed="false">
      <c r="A3941" s="36" t="n">
        <v>46216</v>
      </c>
      <c r="B3941" s="24" t="s">
        <v>64</v>
      </c>
      <c r="C3941" s="24" t="s">
        <v>141</v>
      </c>
      <c r="D3941" s="33" t="n">
        <v>194</v>
      </c>
      <c r="E3941" s="24" t="n">
        <v>0</v>
      </c>
      <c r="F3941" s="37" t="n">
        <f aca="false">DATE(YEAR(A3941),MONTH(A3941),1)</f>
        <v>46204</v>
      </c>
      <c r="G3941" s="24" t="str">
        <f aca="false">INDEX(Products!$C$2:$C$49,MATCH(C3941,Products!$A$2:$A$49,0))</f>
        <v>Dairy &amp; Eggs</v>
      </c>
      <c r="H3941" s="33" t="n">
        <f aca="false">D3941*INDEX(Products!$E$2:$E$49,MATCH(C3941,Products!$A$2:$A$49,0))</f>
        <v>79540</v>
      </c>
      <c r="I3941" s="33" t="n">
        <f aca="false">D3941*INDEX(Products!$D$2:$D$49,MATCH(C3941,Products!$A$2:$A$49,0))*(1+INDEX(Assumptions!$B$16:$B$20,MATCH(B3941,Assumptions!$A$16:$A$20,0)))</f>
        <v>66549.76</v>
      </c>
      <c r="J3941" s="33" t="n">
        <f aca="false">H3941-I3941</f>
        <v>12990.24</v>
      </c>
      <c r="K3941" s="33" t="n">
        <f aca="false">IF(OR(E3941=0,E3941&gt;=7),0,D3941/(7-E3941)*E3941*INDEX(Products!$E$2:$E$49,MATCH(C3941,Products!$A$2:$A$49,0)))</f>
        <v>0</v>
      </c>
    </row>
    <row r="3942" customFormat="false" ht="15" hidden="false" customHeight="false" outlineLevel="0" collapsed="false">
      <c r="A3942" s="36" t="n">
        <v>46223</v>
      </c>
      <c r="B3942" s="24" t="s">
        <v>64</v>
      </c>
      <c r="C3942" s="24" t="s">
        <v>141</v>
      </c>
      <c r="D3942" s="33" t="n">
        <v>184</v>
      </c>
      <c r="E3942" s="24" t="n">
        <v>0</v>
      </c>
      <c r="F3942" s="37" t="n">
        <f aca="false">DATE(YEAR(A3942),MONTH(A3942),1)</f>
        <v>46204</v>
      </c>
      <c r="G3942" s="24" t="str">
        <f aca="false">INDEX(Products!$C$2:$C$49,MATCH(C3942,Products!$A$2:$A$49,0))</f>
        <v>Dairy &amp; Eggs</v>
      </c>
      <c r="H3942" s="33" t="n">
        <f aca="false">D3942*INDEX(Products!$E$2:$E$49,MATCH(C3942,Products!$A$2:$A$49,0))</f>
        <v>75440</v>
      </c>
      <c r="I3942" s="33" t="n">
        <f aca="false">D3942*INDEX(Products!$D$2:$D$49,MATCH(C3942,Products!$A$2:$A$49,0))*(1+INDEX(Assumptions!$B$16:$B$20,MATCH(B3942,Assumptions!$A$16:$A$20,0)))</f>
        <v>63119.36</v>
      </c>
      <c r="J3942" s="33" t="n">
        <f aca="false">H3942-I3942</f>
        <v>12320.64</v>
      </c>
      <c r="K3942" s="33" t="n">
        <f aca="false">IF(OR(E3942=0,E3942&gt;=7),0,D3942/(7-E3942)*E3942*INDEX(Products!$E$2:$E$49,MATCH(C3942,Products!$A$2:$A$49,0)))</f>
        <v>0</v>
      </c>
    </row>
    <row r="3943" customFormat="false" ht="15" hidden="false" customHeight="false" outlineLevel="0" collapsed="false">
      <c r="A3943" s="36" t="n">
        <v>46230</v>
      </c>
      <c r="B3943" s="24" t="s">
        <v>64</v>
      </c>
      <c r="C3943" s="24" t="s">
        <v>141</v>
      </c>
      <c r="D3943" s="33" t="n">
        <v>207</v>
      </c>
      <c r="E3943" s="24" t="n">
        <v>0</v>
      </c>
      <c r="F3943" s="37" t="n">
        <f aca="false">DATE(YEAR(A3943),MONTH(A3943),1)</f>
        <v>46204</v>
      </c>
      <c r="G3943" s="24" t="str">
        <f aca="false">INDEX(Products!$C$2:$C$49,MATCH(C3943,Products!$A$2:$A$49,0))</f>
        <v>Dairy &amp; Eggs</v>
      </c>
      <c r="H3943" s="33" t="n">
        <f aca="false">D3943*INDEX(Products!$E$2:$E$49,MATCH(C3943,Products!$A$2:$A$49,0))</f>
        <v>84870</v>
      </c>
      <c r="I3943" s="33" t="n">
        <f aca="false">D3943*INDEX(Products!$D$2:$D$49,MATCH(C3943,Products!$A$2:$A$49,0))*(1+INDEX(Assumptions!$B$16:$B$20,MATCH(B3943,Assumptions!$A$16:$A$20,0)))</f>
        <v>71009.28</v>
      </c>
      <c r="J3943" s="33" t="n">
        <f aca="false">H3943-I3943</f>
        <v>13860.72</v>
      </c>
      <c r="K3943" s="33" t="n">
        <f aca="false">IF(OR(E3943=0,E3943&gt;=7),0,D3943/(7-E3943)*E3943*INDEX(Products!$E$2:$E$49,MATCH(C3943,Products!$A$2:$A$49,0)))</f>
        <v>0</v>
      </c>
    </row>
    <row r="3944" customFormat="false" ht="15" hidden="false" customHeight="false" outlineLevel="0" collapsed="false">
      <c r="A3944" s="36" t="n">
        <v>46237</v>
      </c>
      <c r="B3944" s="24" t="s">
        <v>64</v>
      </c>
      <c r="C3944" s="24" t="s">
        <v>141</v>
      </c>
      <c r="D3944" s="33" t="n">
        <v>169</v>
      </c>
      <c r="E3944" s="24" t="n">
        <v>0</v>
      </c>
      <c r="F3944" s="37" t="n">
        <f aca="false">DATE(YEAR(A3944),MONTH(A3944),1)</f>
        <v>46235</v>
      </c>
      <c r="G3944" s="24" t="str">
        <f aca="false">INDEX(Products!$C$2:$C$49,MATCH(C3944,Products!$A$2:$A$49,0))</f>
        <v>Dairy &amp; Eggs</v>
      </c>
      <c r="H3944" s="33" t="n">
        <f aca="false">D3944*INDEX(Products!$E$2:$E$49,MATCH(C3944,Products!$A$2:$A$49,0))</f>
        <v>69290</v>
      </c>
      <c r="I3944" s="33" t="n">
        <f aca="false">D3944*INDEX(Products!$D$2:$D$49,MATCH(C3944,Products!$A$2:$A$49,0))*(1+INDEX(Assumptions!$B$16:$B$20,MATCH(B3944,Assumptions!$A$16:$A$20,0)))</f>
        <v>57973.76</v>
      </c>
      <c r="J3944" s="33" t="n">
        <f aca="false">H3944-I3944</f>
        <v>11316.24</v>
      </c>
      <c r="K3944" s="33" t="n">
        <f aca="false">IF(OR(E3944=0,E3944&gt;=7),0,D3944/(7-E3944)*E3944*INDEX(Products!$E$2:$E$49,MATCH(C3944,Products!$A$2:$A$49,0)))</f>
        <v>0</v>
      </c>
    </row>
    <row r="3945" customFormat="false" ht="15" hidden="false" customHeight="false" outlineLevel="0" collapsed="false">
      <c r="A3945" s="36" t="n">
        <v>46244</v>
      </c>
      <c r="B3945" s="24" t="s">
        <v>64</v>
      </c>
      <c r="C3945" s="24" t="s">
        <v>141</v>
      </c>
      <c r="D3945" s="33" t="n">
        <v>210</v>
      </c>
      <c r="E3945" s="24" t="n">
        <v>0</v>
      </c>
      <c r="F3945" s="37" t="n">
        <f aca="false">DATE(YEAR(A3945),MONTH(A3945),1)</f>
        <v>46235</v>
      </c>
      <c r="G3945" s="24" t="str">
        <f aca="false">INDEX(Products!$C$2:$C$49,MATCH(C3945,Products!$A$2:$A$49,0))</f>
        <v>Dairy &amp; Eggs</v>
      </c>
      <c r="H3945" s="33" t="n">
        <f aca="false">D3945*INDEX(Products!$E$2:$E$49,MATCH(C3945,Products!$A$2:$A$49,0))</f>
        <v>86100</v>
      </c>
      <c r="I3945" s="33" t="n">
        <f aca="false">D3945*INDEX(Products!$D$2:$D$49,MATCH(C3945,Products!$A$2:$A$49,0))*(1+INDEX(Assumptions!$B$16:$B$20,MATCH(B3945,Assumptions!$A$16:$A$20,0)))</f>
        <v>72038.4</v>
      </c>
      <c r="J3945" s="33" t="n">
        <f aca="false">H3945-I3945</f>
        <v>14061.6</v>
      </c>
      <c r="K3945" s="33" t="n">
        <f aca="false">IF(OR(E3945=0,E3945&gt;=7),0,D3945/(7-E3945)*E3945*INDEX(Products!$E$2:$E$49,MATCH(C3945,Products!$A$2:$A$49,0)))</f>
        <v>0</v>
      </c>
    </row>
    <row r="3946" customFormat="false" ht="15" hidden="false" customHeight="false" outlineLevel="0" collapsed="false">
      <c r="A3946" s="36" t="n">
        <v>46251</v>
      </c>
      <c r="B3946" s="24" t="s">
        <v>64</v>
      </c>
      <c r="C3946" s="24" t="s">
        <v>141</v>
      </c>
      <c r="D3946" s="33" t="n">
        <v>196</v>
      </c>
      <c r="E3946" s="24" t="n">
        <v>0</v>
      </c>
      <c r="F3946" s="37" t="n">
        <f aca="false">DATE(YEAR(A3946),MONTH(A3946),1)</f>
        <v>46235</v>
      </c>
      <c r="G3946" s="24" t="str">
        <f aca="false">INDEX(Products!$C$2:$C$49,MATCH(C3946,Products!$A$2:$A$49,0))</f>
        <v>Dairy &amp; Eggs</v>
      </c>
      <c r="H3946" s="33" t="n">
        <f aca="false">D3946*INDEX(Products!$E$2:$E$49,MATCH(C3946,Products!$A$2:$A$49,0))</f>
        <v>80360</v>
      </c>
      <c r="I3946" s="33" t="n">
        <f aca="false">D3946*INDEX(Products!$D$2:$D$49,MATCH(C3946,Products!$A$2:$A$49,0))*(1+INDEX(Assumptions!$B$16:$B$20,MATCH(B3946,Assumptions!$A$16:$A$20,0)))</f>
        <v>67235.84</v>
      </c>
      <c r="J3946" s="33" t="n">
        <f aca="false">H3946-I3946</f>
        <v>13124.16</v>
      </c>
      <c r="K3946" s="33" t="n">
        <f aca="false">IF(OR(E3946=0,E3946&gt;=7),0,D3946/(7-E3946)*E3946*INDEX(Products!$E$2:$E$49,MATCH(C3946,Products!$A$2:$A$49,0)))</f>
        <v>0</v>
      </c>
    </row>
    <row r="3947" customFormat="false" ht="15" hidden="false" customHeight="false" outlineLevel="0" collapsed="false">
      <c r="A3947" s="36" t="n">
        <v>46258</v>
      </c>
      <c r="B3947" s="24" t="s">
        <v>64</v>
      </c>
      <c r="C3947" s="24" t="s">
        <v>141</v>
      </c>
      <c r="D3947" s="33" t="n">
        <v>199</v>
      </c>
      <c r="E3947" s="24" t="n">
        <v>0</v>
      </c>
      <c r="F3947" s="37" t="n">
        <f aca="false">DATE(YEAR(A3947),MONTH(A3947),1)</f>
        <v>46235</v>
      </c>
      <c r="G3947" s="24" t="str">
        <f aca="false">INDEX(Products!$C$2:$C$49,MATCH(C3947,Products!$A$2:$A$49,0))</f>
        <v>Dairy &amp; Eggs</v>
      </c>
      <c r="H3947" s="33" t="n">
        <f aca="false">D3947*INDEX(Products!$E$2:$E$49,MATCH(C3947,Products!$A$2:$A$49,0))</f>
        <v>81590</v>
      </c>
      <c r="I3947" s="33" t="n">
        <f aca="false">D3947*INDEX(Products!$D$2:$D$49,MATCH(C3947,Products!$A$2:$A$49,0))*(1+INDEX(Assumptions!$B$16:$B$20,MATCH(B3947,Assumptions!$A$16:$A$20,0)))</f>
        <v>68264.96</v>
      </c>
      <c r="J3947" s="33" t="n">
        <f aca="false">H3947-I3947</f>
        <v>13325.04</v>
      </c>
      <c r="K3947" s="33" t="n">
        <f aca="false">IF(OR(E3947=0,E3947&gt;=7),0,D3947/(7-E3947)*E3947*INDEX(Products!$E$2:$E$49,MATCH(C3947,Products!$A$2:$A$49,0)))</f>
        <v>0</v>
      </c>
    </row>
    <row r="3948" customFormat="false" ht="15" hidden="false" customHeight="false" outlineLevel="0" collapsed="false">
      <c r="A3948" s="36" t="n">
        <v>46265</v>
      </c>
      <c r="B3948" s="24" t="s">
        <v>64</v>
      </c>
      <c r="C3948" s="24" t="s">
        <v>141</v>
      </c>
      <c r="D3948" s="33" t="n">
        <v>224</v>
      </c>
      <c r="E3948" s="24" t="n">
        <v>0</v>
      </c>
      <c r="F3948" s="37" t="n">
        <f aca="false">DATE(YEAR(A3948),MONTH(A3948),1)</f>
        <v>46235</v>
      </c>
      <c r="G3948" s="24" t="str">
        <f aca="false">INDEX(Products!$C$2:$C$49,MATCH(C3948,Products!$A$2:$A$49,0))</f>
        <v>Dairy &amp; Eggs</v>
      </c>
      <c r="H3948" s="33" t="n">
        <f aca="false">D3948*INDEX(Products!$E$2:$E$49,MATCH(C3948,Products!$A$2:$A$49,0))</f>
        <v>91840</v>
      </c>
      <c r="I3948" s="33" t="n">
        <f aca="false">D3948*INDEX(Products!$D$2:$D$49,MATCH(C3948,Products!$A$2:$A$49,0))*(1+INDEX(Assumptions!$B$16:$B$20,MATCH(B3948,Assumptions!$A$16:$A$20,0)))</f>
        <v>76840.96</v>
      </c>
      <c r="J3948" s="33" t="n">
        <f aca="false">H3948-I3948</f>
        <v>14999.04</v>
      </c>
      <c r="K3948" s="33" t="n">
        <f aca="false">IF(OR(E3948=0,E3948&gt;=7),0,D3948/(7-E3948)*E3948*INDEX(Products!$E$2:$E$49,MATCH(C3948,Products!$A$2:$A$49,0)))</f>
        <v>0</v>
      </c>
    </row>
    <row r="3949" customFormat="false" ht="15" hidden="false" customHeight="false" outlineLevel="0" collapsed="false">
      <c r="A3949" s="36" t="n">
        <v>46272</v>
      </c>
      <c r="B3949" s="24" t="s">
        <v>64</v>
      </c>
      <c r="C3949" s="24" t="s">
        <v>141</v>
      </c>
      <c r="D3949" s="33" t="n">
        <v>194</v>
      </c>
      <c r="E3949" s="24" t="n">
        <v>0</v>
      </c>
      <c r="F3949" s="37" t="n">
        <f aca="false">DATE(YEAR(A3949),MONTH(A3949),1)</f>
        <v>46266</v>
      </c>
      <c r="G3949" s="24" t="str">
        <f aca="false">INDEX(Products!$C$2:$C$49,MATCH(C3949,Products!$A$2:$A$49,0))</f>
        <v>Dairy &amp; Eggs</v>
      </c>
      <c r="H3949" s="33" t="n">
        <f aca="false">D3949*INDEX(Products!$E$2:$E$49,MATCH(C3949,Products!$A$2:$A$49,0))</f>
        <v>79540</v>
      </c>
      <c r="I3949" s="33" t="n">
        <f aca="false">D3949*INDEX(Products!$D$2:$D$49,MATCH(C3949,Products!$A$2:$A$49,0))*(1+INDEX(Assumptions!$B$16:$B$20,MATCH(B3949,Assumptions!$A$16:$A$20,0)))</f>
        <v>66549.76</v>
      </c>
      <c r="J3949" s="33" t="n">
        <f aca="false">H3949-I3949</f>
        <v>12990.24</v>
      </c>
      <c r="K3949" s="33" t="n">
        <f aca="false">IF(OR(E3949=0,E3949&gt;=7),0,D3949/(7-E3949)*E3949*INDEX(Products!$E$2:$E$49,MATCH(C3949,Products!$A$2:$A$49,0)))</f>
        <v>0</v>
      </c>
    </row>
    <row r="3950" customFormat="false" ht="15" hidden="false" customHeight="false" outlineLevel="0" collapsed="false">
      <c r="A3950" s="36" t="n">
        <v>46279</v>
      </c>
      <c r="B3950" s="24" t="s">
        <v>64</v>
      </c>
      <c r="C3950" s="24" t="s">
        <v>141</v>
      </c>
      <c r="D3950" s="33" t="n">
        <v>182</v>
      </c>
      <c r="E3950" s="24" t="n">
        <v>0</v>
      </c>
      <c r="F3950" s="37" t="n">
        <f aca="false">DATE(YEAR(A3950),MONTH(A3950),1)</f>
        <v>46266</v>
      </c>
      <c r="G3950" s="24" t="str">
        <f aca="false">INDEX(Products!$C$2:$C$49,MATCH(C3950,Products!$A$2:$A$49,0))</f>
        <v>Dairy &amp; Eggs</v>
      </c>
      <c r="H3950" s="33" t="n">
        <f aca="false">D3950*INDEX(Products!$E$2:$E$49,MATCH(C3950,Products!$A$2:$A$49,0))</f>
        <v>74620</v>
      </c>
      <c r="I3950" s="33" t="n">
        <f aca="false">D3950*INDEX(Products!$D$2:$D$49,MATCH(C3950,Products!$A$2:$A$49,0))*(1+INDEX(Assumptions!$B$16:$B$20,MATCH(B3950,Assumptions!$A$16:$A$20,0)))</f>
        <v>62433.28</v>
      </c>
      <c r="J3950" s="33" t="n">
        <f aca="false">H3950-I3950</f>
        <v>12186.72</v>
      </c>
      <c r="K3950" s="33" t="n">
        <f aca="false">IF(OR(E3950=0,E3950&gt;=7),0,D3950/(7-E3950)*E3950*INDEX(Products!$E$2:$E$49,MATCH(C3950,Products!$A$2:$A$49,0)))</f>
        <v>0</v>
      </c>
    </row>
    <row r="3951" customFormat="false" ht="15" hidden="false" customHeight="false" outlineLevel="0" collapsed="false">
      <c r="A3951" s="36" t="n">
        <v>46286</v>
      </c>
      <c r="B3951" s="24" t="s">
        <v>64</v>
      </c>
      <c r="C3951" s="24" t="s">
        <v>141</v>
      </c>
      <c r="D3951" s="33" t="n">
        <v>247</v>
      </c>
      <c r="E3951" s="24" t="n">
        <v>0</v>
      </c>
      <c r="F3951" s="37" t="n">
        <f aca="false">DATE(YEAR(A3951),MONTH(A3951),1)</f>
        <v>46266</v>
      </c>
      <c r="G3951" s="24" t="str">
        <f aca="false">INDEX(Products!$C$2:$C$49,MATCH(C3951,Products!$A$2:$A$49,0))</f>
        <v>Dairy &amp; Eggs</v>
      </c>
      <c r="H3951" s="33" t="n">
        <f aca="false">D3951*INDEX(Products!$E$2:$E$49,MATCH(C3951,Products!$A$2:$A$49,0))</f>
        <v>101270</v>
      </c>
      <c r="I3951" s="33" t="n">
        <f aca="false">D3951*INDEX(Products!$D$2:$D$49,MATCH(C3951,Products!$A$2:$A$49,0))*(1+INDEX(Assumptions!$B$16:$B$20,MATCH(B3951,Assumptions!$A$16:$A$20,0)))</f>
        <v>84730.88</v>
      </c>
      <c r="J3951" s="33" t="n">
        <f aca="false">H3951-I3951</f>
        <v>16539.12</v>
      </c>
      <c r="K3951" s="33" t="n">
        <f aca="false">IF(OR(E3951=0,E3951&gt;=7),0,D3951/(7-E3951)*E3951*INDEX(Products!$E$2:$E$49,MATCH(C3951,Products!$A$2:$A$49,0)))</f>
        <v>0</v>
      </c>
    </row>
    <row r="3952" customFormat="false" ht="15" hidden="false" customHeight="false" outlineLevel="0" collapsed="false">
      <c r="A3952" s="36" t="n">
        <v>46118</v>
      </c>
      <c r="B3952" s="24" t="s">
        <v>64</v>
      </c>
      <c r="C3952" s="24" t="s">
        <v>143</v>
      </c>
      <c r="D3952" s="33" t="n">
        <v>24</v>
      </c>
      <c r="E3952" s="24" t="n">
        <v>0</v>
      </c>
      <c r="F3952" s="37" t="n">
        <f aca="false">DATE(YEAR(A3952),MONTH(A3952),1)</f>
        <v>46113</v>
      </c>
      <c r="G3952" s="24" t="str">
        <f aca="false">INDEX(Products!$C$2:$C$49,MATCH(C3952,Products!$A$2:$A$49,0))</f>
        <v>Dairy &amp; Eggs</v>
      </c>
      <c r="H3952" s="33" t="n">
        <f aca="false">D3952*INDEX(Products!$E$2:$E$49,MATCH(C3952,Products!$A$2:$A$49,0))</f>
        <v>5760</v>
      </c>
      <c r="I3952" s="33" t="n">
        <f aca="false">D3952*INDEX(Products!$D$2:$D$49,MATCH(C3952,Products!$A$2:$A$49,0))*(1+INDEX(Assumptions!$B$16:$B$20,MATCH(B3952,Assumptions!$A$16:$A$20,0)))</f>
        <v>4644.864</v>
      </c>
      <c r="J3952" s="33" t="n">
        <f aca="false">H3952-I3952</f>
        <v>1115.136</v>
      </c>
      <c r="K3952" s="33" t="n">
        <f aca="false">IF(OR(E3952=0,E3952&gt;=7),0,D3952/(7-E3952)*E3952*INDEX(Products!$E$2:$E$49,MATCH(C3952,Products!$A$2:$A$49,0)))</f>
        <v>0</v>
      </c>
    </row>
    <row r="3953" customFormat="false" ht="15" hidden="false" customHeight="false" outlineLevel="0" collapsed="false">
      <c r="A3953" s="36" t="n">
        <v>46125</v>
      </c>
      <c r="B3953" s="24" t="s">
        <v>64</v>
      </c>
      <c r="C3953" s="24" t="s">
        <v>143</v>
      </c>
      <c r="D3953" s="33" t="n">
        <v>19</v>
      </c>
      <c r="E3953" s="24" t="n">
        <v>0</v>
      </c>
      <c r="F3953" s="37" t="n">
        <f aca="false">DATE(YEAR(A3953),MONTH(A3953),1)</f>
        <v>46113</v>
      </c>
      <c r="G3953" s="24" t="str">
        <f aca="false">INDEX(Products!$C$2:$C$49,MATCH(C3953,Products!$A$2:$A$49,0))</f>
        <v>Dairy &amp; Eggs</v>
      </c>
      <c r="H3953" s="33" t="n">
        <f aca="false">D3953*INDEX(Products!$E$2:$E$49,MATCH(C3953,Products!$A$2:$A$49,0))</f>
        <v>4560</v>
      </c>
      <c r="I3953" s="33" t="n">
        <f aca="false">D3953*INDEX(Products!$D$2:$D$49,MATCH(C3953,Products!$A$2:$A$49,0))*(1+INDEX(Assumptions!$B$16:$B$20,MATCH(B3953,Assumptions!$A$16:$A$20,0)))</f>
        <v>3677.184</v>
      </c>
      <c r="J3953" s="33" t="n">
        <f aca="false">H3953-I3953</f>
        <v>882.816</v>
      </c>
      <c r="K3953" s="33" t="n">
        <f aca="false">IF(OR(E3953=0,E3953&gt;=7),0,D3953/(7-E3953)*E3953*INDEX(Products!$E$2:$E$49,MATCH(C3953,Products!$A$2:$A$49,0)))</f>
        <v>0</v>
      </c>
    </row>
    <row r="3954" customFormat="false" ht="15" hidden="false" customHeight="false" outlineLevel="0" collapsed="false">
      <c r="A3954" s="36" t="n">
        <v>46132</v>
      </c>
      <c r="B3954" s="24" t="s">
        <v>64</v>
      </c>
      <c r="C3954" s="24" t="s">
        <v>143</v>
      </c>
      <c r="D3954" s="33" t="n">
        <v>32</v>
      </c>
      <c r="E3954" s="24" t="n">
        <v>0</v>
      </c>
      <c r="F3954" s="37" t="n">
        <f aca="false">DATE(YEAR(A3954),MONTH(A3954),1)</f>
        <v>46113</v>
      </c>
      <c r="G3954" s="24" t="str">
        <f aca="false">INDEX(Products!$C$2:$C$49,MATCH(C3954,Products!$A$2:$A$49,0))</f>
        <v>Dairy &amp; Eggs</v>
      </c>
      <c r="H3954" s="33" t="n">
        <f aca="false">D3954*INDEX(Products!$E$2:$E$49,MATCH(C3954,Products!$A$2:$A$49,0))</f>
        <v>7680</v>
      </c>
      <c r="I3954" s="33" t="n">
        <f aca="false">D3954*INDEX(Products!$D$2:$D$49,MATCH(C3954,Products!$A$2:$A$49,0))*(1+INDEX(Assumptions!$B$16:$B$20,MATCH(B3954,Assumptions!$A$16:$A$20,0)))</f>
        <v>6193.152</v>
      </c>
      <c r="J3954" s="33" t="n">
        <f aca="false">H3954-I3954</f>
        <v>1486.848</v>
      </c>
      <c r="K3954" s="33" t="n">
        <f aca="false">IF(OR(E3954=0,E3954&gt;=7),0,D3954/(7-E3954)*E3954*INDEX(Products!$E$2:$E$49,MATCH(C3954,Products!$A$2:$A$49,0)))</f>
        <v>0</v>
      </c>
    </row>
    <row r="3955" customFormat="false" ht="15" hidden="false" customHeight="false" outlineLevel="0" collapsed="false">
      <c r="A3955" s="36" t="n">
        <v>46139</v>
      </c>
      <c r="B3955" s="24" t="s">
        <v>64</v>
      </c>
      <c r="C3955" s="24" t="s">
        <v>143</v>
      </c>
      <c r="D3955" s="33" t="n">
        <v>23</v>
      </c>
      <c r="E3955" s="24" t="n">
        <v>0</v>
      </c>
      <c r="F3955" s="37" t="n">
        <f aca="false">DATE(YEAR(A3955),MONTH(A3955),1)</f>
        <v>46113</v>
      </c>
      <c r="G3955" s="24" t="str">
        <f aca="false">INDEX(Products!$C$2:$C$49,MATCH(C3955,Products!$A$2:$A$49,0))</f>
        <v>Dairy &amp; Eggs</v>
      </c>
      <c r="H3955" s="33" t="n">
        <f aca="false">D3955*INDEX(Products!$E$2:$E$49,MATCH(C3955,Products!$A$2:$A$49,0))</f>
        <v>5520</v>
      </c>
      <c r="I3955" s="33" t="n">
        <f aca="false">D3955*INDEX(Products!$D$2:$D$49,MATCH(C3955,Products!$A$2:$A$49,0))*(1+INDEX(Assumptions!$B$16:$B$20,MATCH(B3955,Assumptions!$A$16:$A$20,0)))</f>
        <v>4451.328</v>
      </c>
      <c r="J3955" s="33" t="n">
        <f aca="false">H3955-I3955</f>
        <v>1068.672</v>
      </c>
      <c r="K3955" s="33" t="n">
        <f aca="false">IF(OR(E3955=0,E3955&gt;=7),0,D3955/(7-E3955)*E3955*INDEX(Products!$E$2:$E$49,MATCH(C3955,Products!$A$2:$A$49,0)))</f>
        <v>0</v>
      </c>
    </row>
    <row r="3956" customFormat="false" ht="15" hidden="false" customHeight="false" outlineLevel="0" collapsed="false">
      <c r="A3956" s="36" t="n">
        <v>46146</v>
      </c>
      <c r="B3956" s="24" t="s">
        <v>64</v>
      </c>
      <c r="C3956" s="24" t="s">
        <v>143</v>
      </c>
      <c r="D3956" s="33" t="n">
        <v>26</v>
      </c>
      <c r="E3956" s="24" t="n">
        <v>0</v>
      </c>
      <c r="F3956" s="37" t="n">
        <f aca="false">DATE(YEAR(A3956),MONTH(A3956),1)</f>
        <v>46143</v>
      </c>
      <c r="G3956" s="24" t="str">
        <f aca="false">INDEX(Products!$C$2:$C$49,MATCH(C3956,Products!$A$2:$A$49,0))</f>
        <v>Dairy &amp; Eggs</v>
      </c>
      <c r="H3956" s="33" t="n">
        <f aca="false">D3956*INDEX(Products!$E$2:$E$49,MATCH(C3956,Products!$A$2:$A$49,0))</f>
        <v>6240</v>
      </c>
      <c r="I3956" s="33" t="n">
        <f aca="false">D3956*INDEX(Products!$D$2:$D$49,MATCH(C3956,Products!$A$2:$A$49,0))*(1+INDEX(Assumptions!$B$16:$B$20,MATCH(B3956,Assumptions!$A$16:$A$20,0)))</f>
        <v>5031.936</v>
      </c>
      <c r="J3956" s="33" t="n">
        <f aca="false">H3956-I3956</f>
        <v>1208.064</v>
      </c>
      <c r="K3956" s="33" t="n">
        <f aca="false">IF(OR(E3956=0,E3956&gt;=7),0,D3956/(7-E3956)*E3956*INDEX(Products!$E$2:$E$49,MATCH(C3956,Products!$A$2:$A$49,0)))</f>
        <v>0</v>
      </c>
    </row>
    <row r="3957" customFormat="false" ht="15" hidden="false" customHeight="false" outlineLevel="0" collapsed="false">
      <c r="A3957" s="36" t="n">
        <v>46153</v>
      </c>
      <c r="B3957" s="24" t="s">
        <v>64</v>
      </c>
      <c r="C3957" s="24" t="s">
        <v>143</v>
      </c>
      <c r="D3957" s="33" t="n">
        <v>24</v>
      </c>
      <c r="E3957" s="24" t="n">
        <v>0</v>
      </c>
      <c r="F3957" s="37" t="n">
        <f aca="false">DATE(YEAR(A3957),MONTH(A3957),1)</f>
        <v>46143</v>
      </c>
      <c r="G3957" s="24" t="str">
        <f aca="false">INDEX(Products!$C$2:$C$49,MATCH(C3957,Products!$A$2:$A$49,0))</f>
        <v>Dairy &amp; Eggs</v>
      </c>
      <c r="H3957" s="33" t="n">
        <f aca="false">D3957*INDEX(Products!$E$2:$E$49,MATCH(C3957,Products!$A$2:$A$49,0))</f>
        <v>5760</v>
      </c>
      <c r="I3957" s="33" t="n">
        <f aca="false">D3957*INDEX(Products!$D$2:$D$49,MATCH(C3957,Products!$A$2:$A$49,0))*(1+INDEX(Assumptions!$B$16:$B$20,MATCH(B3957,Assumptions!$A$16:$A$20,0)))</f>
        <v>4644.864</v>
      </c>
      <c r="J3957" s="33" t="n">
        <f aca="false">H3957-I3957</f>
        <v>1115.136</v>
      </c>
      <c r="K3957" s="33" t="n">
        <f aca="false">IF(OR(E3957=0,E3957&gt;=7),0,D3957/(7-E3957)*E3957*INDEX(Products!$E$2:$E$49,MATCH(C3957,Products!$A$2:$A$49,0)))</f>
        <v>0</v>
      </c>
    </row>
    <row r="3958" customFormat="false" ht="15" hidden="false" customHeight="false" outlineLevel="0" collapsed="false">
      <c r="A3958" s="36" t="n">
        <v>46160</v>
      </c>
      <c r="B3958" s="24" t="s">
        <v>64</v>
      </c>
      <c r="C3958" s="24" t="s">
        <v>143</v>
      </c>
      <c r="D3958" s="33" t="n">
        <v>19</v>
      </c>
      <c r="E3958" s="24" t="n">
        <v>0</v>
      </c>
      <c r="F3958" s="37" t="n">
        <f aca="false">DATE(YEAR(A3958),MONTH(A3958),1)</f>
        <v>46143</v>
      </c>
      <c r="G3958" s="24" t="str">
        <f aca="false">INDEX(Products!$C$2:$C$49,MATCH(C3958,Products!$A$2:$A$49,0))</f>
        <v>Dairy &amp; Eggs</v>
      </c>
      <c r="H3958" s="33" t="n">
        <f aca="false">D3958*INDEX(Products!$E$2:$E$49,MATCH(C3958,Products!$A$2:$A$49,0))</f>
        <v>4560</v>
      </c>
      <c r="I3958" s="33" t="n">
        <f aca="false">D3958*INDEX(Products!$D$2:$D$49,MATCH(C3958,Products!$A$2:$A$49,0))*(1+INDEX(Assumptions!$B$16:$B$20,MATCH(B3958,Assumptions!$A$16:$A$20,0)))</f>
        <v>3677.184</v>
      </c>
      <c r="J3958" s="33" t="n">
        <f aca="false">H3958-I3958</f>
        <v>882.816</v>
      </c>
      <c r="K3958" s="33" t="n">
        <f aca="false">IF(OR(E3958=0,E3958&gt;=7),0,D3958/(7-E3958)*E3958*INDEX(Products!$E$2:$E$49,MATCH(C3958,Products!$A$2:$A$49,0)))</f>
        <v>0</v>
      </c>
    </row>
    <row r="3959" customFormat="false" ht="15" hidden="false" customHeight="false" outlineLevel="0" collapsed="false">
      <c r="A3959" s="36" t="n">
        <v>46167</v>
      </c>
      <c r="B3959" s="24" t="s">
        <v>64</v>
      </c>
      <c r="C3959" s="24" t="s">
        <v>143</v>
      </c>
      <c r="D3959" s="33" t="n">
        <v>23</v>
      </c>
      <c r="E3959" s="24" t="n">
        <v>0</v>
      </c>
      <c r="F3959" s="37" t="n">
        <f aca="false">DATE(YEAR(A3959),MONTH(A3959),1)</f>
        <v>46143</v>
      </c>
      <c r="G3959" s="24" t="str">
        <f aca="false">INDEX(Products!$C$2:$C$49,MATCH(C3959,Products!$A$2:$A$49,0))</f>
        <v>Dairy &amp; Eggs</v>
      </c>
      <c r="H3959" s="33" t="n">
        <f aca="false">D3959*INDEX(Products!$E$2:$E$49,MATCH(C3959,Products!$A$2:$A$49,0))</f>
        <v>5520</v>
      </c>
      <c r="I3959" s="33" t="n">
        <f aca="false">D3959*INDEX(Products!$D$2:$D$49,MATCH(C3959,Products!$A$2:$A$49,0))*(1+INDEX(Assumptions!$B$16:$B$20,MATCH(B3959,Assumptions!$A$16:$A$20,0)))</f>
        <v>4451.328</v>
      </c>
      <c r="J3959" s="33" t="n">
        <f aca="false">H3959-I3959</f>
        <v>1068.672</v>
      </c>
      <c r="K3959" s="33" t="n">
        <f aca="false">IF(OR(E3959=0,E3959&gt;=7),0,D3959/(7-E3959)*E3959*INDEX(Products!$E$2:$E$49,MATCH(C3959,Products!$A$2:$A$49,0)))</f>
        <v>0</v>
      </c>
    </row>
    <row r="3960" customFormat="false" ht="15" hidden="false" customHeight="false" outlineLevel="0" collapsed="false">
      <c r="A3960" s="36" t="n">
        <v>46174</v>
      </c>
      <c r="B3960" s="24" t="s">
        <v>64</v>
      </c>
      <c r="C3960" s="24" t="s">
        <v>143</v>
      </c>
      <c r="D3960" s="33" t="n">
        <v>48</v>
      </c>
      <c r="E3960" s="24" t="n">
        <v>0</v>
      </c>
      <c r="F3960" s="37" t="n">
        <f aca="false">DATE(YEAR(A3960),MONTH(A3960),1)</f>
        <v>46174</v>
      </c>
      <c r="G3960" s="24" t="str">
        <f aca="false">INDEX(Products!$C$2:$C$49,MATCH(C3960,Products!$A$2:$A$49,0))</f>
        <v>Dairy &amp; Eggs</v>
      </c>
      <c r="H3960" s="33" t="n">
        <f aca="false">D3960*INDEX(Products!$E$2:$E$49,MATCH(C3960,Products!$A$2:$A$49,0))</f>
        <v>11520</v>
      </c>
      <c r="I3960" s="33" t="n">
        <f aca="false">D3960*INDEX(Products!$D$2:$D$49,MATCH(C3960,Products!$A$2:$A$49,0))*(1+INDEX(Assumptions!$B$16:$B$20,MATCH(B3960,Assumptions!$A$16:$A$20,0)))</f>
        <v>9289.728</v>
      </c>
      <c r="J3960" s="33" t="n">
        <f aca="false">H3960-I3960</f>
        <v>2230.272</v>
      </c>
      <c r="K3960" s="33" t="n">
        <f aca="false">IF(OR(E3960=0,E3960&gt;=7),0,D3960/(7-E3960)*E3960*INDEX(Products!$E$2:$E$49,MATCH(C3960,Products!$A$2:$A$49,0)))</f>
        <v>0</v>
      </c>
    </row>
    <row r="3961" customFormat="false" ht="15" hidden="false" customHeight="false" outlineLevel="0" collapsed="false">
      <c r="A3961" s="36" t="n">
        <v>46181</v>
      </c>
      <c r="B3961" s="24" t="s">
        <v>64</v>
      </c>
      <c r="C3961" s="24" t="s">
        <v>143</v>
      </c>
      <c r="D3961" s="33" t="n">
        <v>23</v>
      </c>
      <c r="E3961" s="24" t="n">
        <v>0</v>
      </c>
      <c r="F3961" s="37" t="n">
        <f aca="false">DATE(YEAR(A3961),MONTH(A3961),1)</f>
        <v>46174</v>
      </c>
      <c r="G3961" s="24" t="str">
        <f aca="false">INDEX(Products!$C$2:$C$49,MATCH(C3961,Products!$A$2:$A$49,0))</f>
        <v>Dairy &amp; Eggs</v>
      </c>
      <c r="H3961" s="33" t="n">
        <f aca="false">D3961*INDEX(Products!$E$2:$E$49,MATCH(C3961,Products!$A$2:$A$49,0))</f>
        <v>5520</v>
      </c>
      <c r="I3961" s="33" t="n">
        <f aca="false">D3961*INDEX(Products!$D$2:$D$49,MATCH(C3961,Products!$A$2:$A$49,0))*(1+INDEX(Assumptions!$B$16:$B$20,MATCH(B3961,Assumptions!$A$16:$A$20,0)))</f>
        <v>4451.328</v>
      </c>
      <c r="J3961" s="33" t="n">
        <f aca="false">H3961-I3961</f>
        <v>1068.672</v>
      </c>
      <c r="K3961" s="33" t="n">
        <f aca="false">IF(OR(E3961=0,E3961&gt;=7),0,D3961/(7-E3961)*E3961*INDEX(Products!$E$2:$E$49,MATCH(C3961,Products!$A$2:$A$49,0)))</f>
        <v>0</v>
      </c>
    </row>
    <row r="3962" customFormat="false" ht="15" hidden="false" customHeight="false" outlineLevel="0" collapsed="false">
      <c r="A3962" s="36" t="n">
        <v>46188</v>
      </c>
      <c r="B3962" s="24" t="s">
        <v>64</v>
      </c>
      <c r="C3962" s="24" t="s">
        <v>143</v>
      </c>
      <c r="D3962" s="33" t="n">
        <v>21</v>
      </c>
      <c r="E3962" s="24" t="n">
        <v>0</v>
      </c>
      <c r="F3962" s="37" t="n">
        <f aca="false">DATE(YEAR(A3962),MONTH(A3962),1)</f>
        <v>46174</v>
      </c>
      <c r="G3962" s="24" t="str">
        <f aca="false">INDEX(Products!$C$2:$C$49,MATCH(C3962,Products!$A$2:$A$49,0))</f>
        <v>Dairy &amp; Eggs</v>
      </c>
      <c r="H3962" s="33" t="n">
        <f aca="false">D3962*INDEX(Products!$E$2:$E$49,MATCH(C3962,Products!$A$2:$A$49,0))</f>
        <v>5040</v>
      </c>
      <c r="I3962" s="33" t="n">
        <f aca="false">D3962*INDEX(Products!$D$2:$D$49,MATCH(C3962,Products!$A$2:$A$49,0))*(1+INDEX(Assumptions!$B$16:$B$20,MATCH(B3962,Assumptions!$A$16:$A$20,0)))</f>
        <v>4064.256</v>
      </c>
      <c r="J3962" s="33" t="n">
        <f aca="false">H3962-I3962</f>
        <v>975.744</v>
      </c>
      <c r="K3962" s="33" t="n">
        <f aca="false">IF(OR(E3962=0,E3962&gt;=7),0,D3962/(7-E3962)*E3962*INDEX(Products!$E$2:$E$49,MATCH(C3962,Products!$A$2:$A$49,0)))</f>
        <v>0</v>
      </c>
    </row>
    <row r="3963" customFormat="false" ht="15" hidden="false" customHeight="false" outlineLevel="0" collapsed="false">
      <c r="A3963" s="36" t="n">
        <v>46195</v>
      </c>
      <c r="B3963" s="24" t="s">
        <v>64</v>
      </c>
      <c r="C3963" s="24" t="s">
        <v>143</v>
      </c>
      <c r="D3963" s="33" t="n">
        <v>27</v>
      </c>
      <c r="E3963" s="24" t="n">
        <v>0</v>
      </c>
      <c r="F3963" s="37" t="n">
        <f aca="false">DATE(YEAR(A3963),MONTH(A3963),1)</f>
        <v>46174</v>
      </c>
      <c r="G3963" s="24" t="str">
        <f aca="false">INDEX(Products!$C$2:$C$49,MATCH(C3963,Products!$A$2:$A$49,0))</f>
        <v>Dairy &amp; Eggs</v>
      </c>
      <c r="H3963" s="33" t="n">
        <f aca="false">D3963*INDEX(Products!$E$2:$E$49,MATCH(C3963,Products!$A$2:$A$49,0))</f>
        <v>6480</v>
      </c>
      <c r="I3963" s="33" t="n">
        <f aca="false">D3963*INDEX(Products!$D$2:$D$49,MATCH(C3963,Products!$A$2:$A$49,0))*(1+INDEX(Assumptions!$B$16:$B$20,MATCH(B3963,Assumptions!$A$16:$A$20,0)))</f>
        <v>5225.472</v>
      </c>
      <c r="J3963" s="33" t="n">
        <f aca="false">H3963-I3963</f>
        <v>1254.528</v>
      </c>
      <c r="K3963" s="33" t="n">
        <f aca="false">IF(OR(E3963=0,E3963&gt;=7),0,D3963/(7-E3963)*E3963*INDEX(Products!$E$2:$E$49,MATCH(C3963,Products!$A$2:$A$49,0)))</f>
        <v>0</v>
      </c>
    </row>
    <row r="3964" customFormat="false" ht="15" hidden="false" customHeight="false" outlineLevel="0" collapsed="false">
      <c r="A3964" s="36" t="n">
        <v>46202</v>
      </c>
      <c r="B3964" s="24" t="s">
        <v>64</v>
      </c>
      <c r="C3964" s="24" t="s">
        <v>143</v>
      </c>
      <c r="D3964" s="33" t="n">
        <v>31</v>
      </c>
      <c r="E3964" s="24" t="n">
        <v>0</v>
      </c>
      <c r="F3964" s="37" t="n">
        <f aca="false">DATE(YEAR(A3964),MONTH(A3964),1)</f>
        <v>46174</v>
      </c>
      <c r="G3964" s="24" t="str">
        <f aca="false">INDEX(Products!$C$2:$C$49,MATCH(C3964,Products!$A$2:$A$49,0))</f>
        <v>Dairy &amp; Eggs</v>
      </c>
      <c r="H3964" s="33" t="n">
        <f aca="false">D3964*INDEX(Products!$E$2:$E$49,MATCH(C3964,Products!$A$2:$A$49,0))</f>
        <v>7440</v>
      </c>
      <c r="I3964" s="33" t="n">
        <f aca="false">D3964*INDEX(Products!$D$2:$D$49,MATCH(C3964,Products!$A$2:$A$49,0))*(1+INDEX(Assumptions!$B$16:$B$20,MATCH(B3964,Assumptions!$A$16:$A$20,0)))</f>
        <v>5999.616</v>
      </c>
      <c r="J3964" s="33" t="n">
        <f aca="false">H3964-I3964</f>
        <v>1440.384</v>
      </c>
      <c r="K3964" s="33" t="n">
        <f aca="false">IF(OR(E3964=0,E3964&gt;=7),0,D3964/(7-E3964)*E3964*INDEX(Products!$E$2:$E$49,MATCH(C3964,Products!$A$2:$A$49,0)))</f>
        <v>0</v>
      </c>
    </row>
    <row r="3965" customFormat="false" ht="15" hidden="false" customHeight="false" outlineLevel="0" collapsed="false">
      <c r="A3965" s="36" t="n">
        <v>46209</v>
      </c>
      <c r="B3965" s="24" t="s">
        <v>64</v>
      </c>
      <c r="C3965" s="24" t="s">
        <v>143</v>
      </c>
      <c r="D3965" s="33" t="n">
        <v>27</v>
      </c>
      <c r="E3965" s="24" t="n">
        <v>0</v>
      </c>
      <c r="F3965" s="37" t="n">
        <f aca="false">DATE(YEAR(A3965),MONTH(A3965),1)</f>
        <v>46204</v>
      </c>
      <c r="G3965" s="24" t="str">
        <f aca="false">INDEX(Products!$C$2:$C$49,MATCH(C3965,Products!$A$2:$A$49,0))</f>
        <v>Dairy &amp; Eggs</v>
      </c>
      <c r="H3965" s="33" t="n">
        <f aca="false">D3965*INDEX(Products!$E$2:$E$49,MATCH(C3965,Products!$A$2:$A$49,0))</f>
        <v>6480</v>
      </c>
      <c r="I3965" s="33" t="n">
        <f aca="false">D3965*INDEX(Products!$D$2:$D$49,MATCH(C3965,Products!$A$2:$A$49,0))*(1+INDEX(Assumptions!$B$16:$B$20,MATCH(B3965,Assumptions!$A$16:$A$20,0)))</f>
        <v>5225.472</v>
      </c>
      <c r="J3965" s="33" t="n">
        <f aca="false">H3965-I3965</f>
        <v>1254.528</v>
      </c>
      <c r="K3965" s="33" t="n">
        <f aca="false">IF(OR(E3965=0,E3965&gt;=7),0,D3965/(7-E3965)*E3965*INDEX(Products!$E$2:$E$49,MATCH(C3965,Products!$A$2:$A$49,0)))</f>
        <v>0</v>
      </c>
    </row>
    <row r="3966" customFormat="false" ht="15" hidden="false" customHeight="false" outlineLevel="0" collapsed="false">
      <c r="A3966" s="36" t="n">
        <v>46216</v>
      </c>
      <c r="B3966" s="24" t="s">
        <v>64</v>
      </c>
      <c r="C3966" s="24" t="s">
        <v>143</v>
      </c>
      <c r="D3966" s="33" t="n">
        <v>30</v>
      </c>
      <c r="E3966" s="24" t="n">
        <v>0</v>
      </c>
      <c r="F3966" s="37" t="n">
        <f aca="false">DATE(YEAR(A3966),MONTH(A3966),1)</f>
        <v>46204</v>
      </c>
      <c r="G3966" s="24" t="str">
        <f aca="false">INDEX(Products!$C$2:$C$49,MATCH(C3966,Products!$A$2:$A$49,0))</f>
        <v>Dairy &amp; Eggs</v>
      </c>
      <c r="H3966" s="33" t="n">
        <f aca="false">D3966*INDEX(Products!$E$2:$E$49,MATCH(C3966,Products!$A$2:$A$49,0))</f>
        <v>7200</v>
      </c>
      <c r="I3966" s="33" t="n">
        <f aca="false">D3966*INDEX(Products!$D$2:$D$49,MATCH(C3966,Products!$A$2:$A$49,0))*(1+INDEX(Assumptions!$B$16:$B$20,MATCH(B3966,Assumptions!$A$16:$A$20,0)))</f>
        <v>5806.08</v>
      </c>
      <c r="J3966" s="33" t="n">
        <f aca="false">H3966-I3966</f>
        <v>1393.92</v>
      </c>
      <c r="K3966" s="33" t="n">
        <f aca="false">IF(OR(E3966=0,E3966&gt;=7),0,D3966/(7-E3966)*E3966*INDEX(Products!$E$2:$E$49,MATCH(C3966,Products!$A$2:$A$49,0)))</f>
        <v>0</v>
      </c>
    </row>
    <row r="3967" customFormat="false" ht="15" hidden="false" customHeight="false" outlineLevel="0" collapsed="false">
      <c r="A3967" s="36" t="n">
        <v>46223</v>
      </c>
      <c r="B3967" s="24" t="s">
        <v>64</v>
      </c>
      <c r="C3967" s="24" t="s">
        <v>143</v>
      </c>
      <c r="D3967" s="33" t="n">
        <v>34</v>
      </c>
      <c r="E3967" s="24" t="n">
        <v>0</v>
      </c>
      <c r="F3967" s="37" t="n">
        <f aca="false">DATE(YEAR(A3967),MONTH(A3967),1)</f>
        <v>46204</v>
      </c>
      <c r="G3967" s="24" t="str">
        <f aca="false">INDEX(Products!$C$2:$C$49,MATCH(C3967,Products!$A$2:$A$49,0))</f>
        <v>Dairy &amp; Eggs</v>
      </c>
      <c r="H3967" s="33" t="n">
        <f aca="false">D3967*INDEX(Products!$E$2:$E$49,MATCH(C3967,Products!$A$2:$A$49,0))</f>
        <v>8160</v>
      </c>
      <c r="I3967" s="33" t="n">
        <f aca="false">D3967*INDEX(Products!$D$2:$D$49,MATCH(C3967,Products!$A$2:$A$49,0))*(1+INDEX(Assumptions!$B$16:$B$20,MATCH(B3967,Assumptions!$A$16:$A$20,0)))</f>
        <v>6580.224</v>
      </c>
      <c r="J3967" s="33" t="n">
        <f aca="false">H3967-I3967</f>
        <v>1579.776</v>
      </c>
      <c r="K3967" s="33" t="n">
        <f aca="false">IF(OR(E3967=0,E3967&gt;=7),0,D3967/(7-E3967)*E3967*INDEX(Products!$E$2:$E$49,MATCH(C3967,Products!$A$2:$A$49,0)))</f>
        <v>0</v>
      </c>
    </row>
    <row r="3968" customFormat="false" ht="15" hidden="false" customHeight="false" outlineLevel="0" collapsed="false">
      <c r="A3968" s="36" t="n">
        <v>46230</v>
      </c>
      <c r="B3968" s="24" t="s">
        <v>64</v>
      </c>
      <c r="C3968" s="24" t="s">
        <v>143</v>
      </c>
      <c r="D3968" s="33" t="n">
        <v>31</v>
      </c>
      <c r="E3968" s="24" t="n">
        <v>0</v>
      </c>
      <c r="F3968" s="37" t="n">
        <f aca="false">DATE(YEAR(A3968),MONTH(A3968),1)</f>
        <v>46204</v>
      </c>
      <c r="G3968" s="24" t="str">
        <f aca="false">INDEX(Products!$C$2:$C$49,MATCH(C3968,Products!$A$2:$A$49,0))</f>
        <v>Dairy &amp; Eggs</v>
      </c>
      <c r="H3968" s="33" t="n">
        <f aca="false">D3968*INDEX(Products!$E$2:$E$49,MATCH(C3968,Products!$A$2:$A$49,0))</f>
        <v>7440</v>
      </c>
      <c r="I3968" s="33" t="n">
        <f aca="false">D3968*INDEX(Products!$D$2:$D$49,MATCH(C3968,Products!$A$2:$A$49,0))*(1+INDEX(Assumptions!$B$16:$B$20,MATCH(B3968,Assumptions!$A$16:$A$20,0)))</f>
        <v>5999.616</v>
      </c>
      <c r="J3968" s="33" t="n">
        <f aca="false">H3968-I3968</f>
        <v>1440.384</v>
      </c>
      <c r="K3968" s="33" t="n">
        <f aca="false">IF(OR(E3968=0,E3968&gt;=7),0,D3968/(7-E3968)*E3968*INDEX(Products!$E$2:$E$49,MATCH(C3968,Products!$A$2:$A$49,0)))</f>
        <v>0</v>
      </c>
    </row>
    <row r="3969" customFormat="false" ht="15" hidden="false" customHeight="false" outlineLevel="0" collapsed="false">
      <c r="A3969" s="36" t="n">
        <v>46237</v>
      </c>
      <c r="B3969" s="24" t="s">
        <v>64</v>
      </c>
      <c r="C3969" s="24" t="s">
        <v>143</v>
      </c>
      <c r="D3969" s="33" t="n">
        <v>31</v>
      </c>
      <c r="E3969" s="24" t="n">
        <v>0</v>
      </c>
      <c r="F3969" s="37" t="n">
        <f aca="false">DATE(YEAR(A3969),MONTH(A3969),1)</f>
        <v>46235</v>
      </c>
      <c r="G3969" s="24" t="str">
        <f aca="false">INDEX(Products!$C$2:$C$49,MATCH(C3969,Products!$A$2:$A$49,0))</f>
        <v>Dairy &amp; Eggs</v>
      </c>
      <c r="H3969" s="33" t="n">
        <f aca="false">D3969*INDEX(Products!$E$2:$E$49,MATCH(C3969,Products!$A$2:$A$49,0))</f>
        <v>7440</v>
      </c>
      <c r="I3969" s="33" t="n">
        <f aca="false">D3969*INDEX(Products!$D$2:$D$49,MATCH(C3969,Products!$A$2:$A$49,0))*(1+INDEX(Assumptions!$B$16:$B$20,MATCH(B3969,Assumptions!$A$16:$A$20,0)))</f>
        <v>5999.616</v>
      </c>
      <c r="J3969" s="33" t="n">
        <f aca="false">H3969-I3969</f>
        <v>1440.384</v>
      </c>
      <c r="K3969" s="33" t="n">
        <f aca="false">IF(OR(E3969=0,E3969&gt;=7),0,D3969/(7-E3969)*E3969*INDEX(Products!$E$2:$E$49,MATCH(C3969,Products!$A$2:$A$49,0)))</f>
        <v>0</v>
      </c>
    </row>
    <row r="3970" customFormat="false" ht="15" hidden="false" customHeight="false" outlineLevel="0" collapsed="false">
      <c r="A3970" s="36" t="n">
        <v>46244</v>
      </c>
      <c r="B3970" s="24" t="s">
        <v>64</v>
      </c>
      <c r="C3970" s="24" t="s">
        <v>143</v>
      </c>
      <c r="D3970" s="33" t="n">
        <v>25</v>
      </c>
      <c r="E3970" s="24" t="n">
        <v>0</v>
      </c>
      <c r="F3970" s="37" t="n">
        <f aca="false">DATE(YEAR(A3970),MONTH(A3970),1)</f>
        <v>46235</v>
      </c>
      <c r="G3970" s="24" t="str">
        <f aca="false">INDEX(Products!$C$2:$C$49,MATCH(C3970,Products!$A$2:$A$49,0))</f>
        <v>Dairy &amp; Eggs</v>
      </c>
      <c r="H3970" s="33" t="n">
        <f aca="false">D3970*INDEX(Products!$E$2:$E$49,MATCH(C3970,Products!$A$2:$A$49,0))</f>
        <v>6000</v>
      </c>
      <c r="I3970" s="33" t="n">
        <f aca="false">D3970*INDEX(Products!$D$2:$D$49,MATCH(C3970,Products!$A$2:$A$49,0))*(1+INDEX(Assumptions!$B$16:$B$20,MATCH(B3970,Assumptions!$A$16:$A$20,0)))</f>
        <v>4838.4</v>
      </c>
      <c r="J3970" s="33" t="n">
        <f aca="false">H3970-I3970</f>
        <v>1161.6</v>
      </c>
      <c r="K3970" s="33" t="n">
        <f aca="false">IF(OR(E3970=0,E3970&gt;=7),0,D3970/(7-E3970)*E3970*INDEX(Products!$E$2:$E$49,MATCH(C3970,Products!$A$2:$A$49,0)))</f>
        <v>0</v>
      </c>
    </row>
    <row r="3971" customFormat="false" ht="15" hidden="false" customHeight="false" outlineLevel="0" collapsed="false">
      <c r="A3971" s="36" t="n">
        <v>46251</v>
      </c>
      <c r="B3971" s="24" t="s">
        <v>64</v>
      </c>
      <c r="C3971" s="24" t="s">
        <v>143</v>
      </c>
      <c r="D3971" s="33" t="n">
        <v>21</v>
      </c>
      <c r="E3971" s="24" t="n">
        <v>0</v>
      </c>
      <c r="F3971" s="37" t="n">
        <f aca="false">DATE(YEAR(A3971),MONTH(A3971),1)</f>
        <v>46235</v>
      </c>
      <c r="G3971" s="24" t="str">
        <f aca="false">INDEX(Products!$C$2:$C$49,MATCH(C3971,Products!$A$2:$A$49,0))</f>
        <v>Dairy &amp; Eggs</v>
      </c>
      <c r="H3971" s="33" t="n">
        <f aca="false">D3971*INDEX(Products!$E$2:$E$49,MATCH(C3971,Products!$A$2:$A$49,0))</f>
        <v>5040</v>
      </c>
      <c r="I3971" s="33" t="n">
        <f aca="false">D3971*INDEX(Products!$D$2:$D$49,MATCH(C3971,Products!$A$2:$A$49,0))*(1+INDEX(Assumptions!$B$16:$B$20,MATCH(B3971,Assumptions!$A$16:$A$20,0)))</f>
        <v>4064.256</v>
      </c>
      <c r="J3971" s="33" t="n">
        <f aca="false">H3971-I3971</f>
        <v>975.744</v>
      </c>
      <c r="K3971" s="33" t="n">
        <f aca="false">IF(OR(E3971=0,E3971&gt;=7),0,D3971/(7-E3971)*E3971*INDEX(Products!$E$2:$E$49,MATCH(C3971,Products!$A$2:$A$49,0)))</f>
        <v>0</v>
      </c>
    </row>
    <row r="3972" customFormat="false" ht="15" hidden="false" customHeight="false" outlineLevel="0" collapsed="false">
      <c r="A3972" s="36" t="n">
        <v>46258</v>
      </c>
      <c r="B3972" s="24" t="s">
        <v>64</v>
      </c>
      <c r="C3972" s="24" t="s">
        <v>143</v>
      </c>
      <c r="D3972" s="33" t="n">
        <v>27</v>
      </c>
      <c r="E3972" s="24" t="n">
        <v>0</v>
      </c>
      <c r="F3972" s="37" t="n">
        <f aca="false">DATE(YEAR(A3972),MONTH(A3972),1)</f>
        <v>46235</v>
      </c>
      <c r="G3972" s="24" t="str">
        <f aca="false">INDEX(Products!$C$2:$C$49,MATCH(C3972,Products!$A$2:$A$49,0))</f>
        <v>Dairy &amp; Eggs</v>
      </c>
      <c r="H3972" s="33" t="n">
        <f aca="false">D3972*INDEX(Products!$E$2:$E$49,MATCH(C3972,Products!$A$2:$A$49,0))</f>
        <v>6480</v>
      </c>
      <c r="I3972" s="33" t="n">
        <f aca="false">D3972*INDEX(Products!$D$2:$D$49,MATCH(C3972,Products!$A$2:$A$49,0))*(1+INDEX(Assumptions!$B$16:$B$20,MATCH(B3972,Assumptions!$A$16:$A$20,0)))</f>
        <v>5225.472</v>
      </c>
      <c r="J3972" s="33" t="n">
        <f aca="false">H3972-I3972</f>
        <v>1254.528</v>
      </c>
      <c r="K3972" s="33" t="n">
        <f aca="false">IF(OR(E3972=0,E3972&gt;=7),0,D3972/(7-E3972)*E3972*INDEX(Products!$E$2:$E$49,MATCH(C3972,Products!$A$2:$A$49,0)))</f>
        <v>0</v>
      </c>
    </row>
    <row r="3973" customFormat="false" ht="15" hidden="false" customHeight="false" outlineLevel="0" collapsed="false">
      <c r="A3973" s="36" t="n">
        <v>46265</v>
      </c>
      <c r="B3973" s="24" t="s">
        <v>64</v>
      </c>
      <c r="C3973" s="24" t="s">
        <v>143</v>
      </c>
      <c r="D3973" s="33" t="n">
        <v>24</v>
      </c>
      <c r="E3973" s="24" t="n">
        <v>0</v>
      </c>
      <c r="F3973" s="37" t="n">
        <f aca="false">DATE(YEAR(A3973),MONTH(A3973),1)</f>
        <v>46235</v>
      </c>
      <c r="G3973" s="24" t="str">
        <f aca="false">INDEX(Products!$C$2:$C$49,MATCH(C3973,Products!$A$2:$A$49,0))</f>
        <v>Dairy &amp; Eggs</v>
      </c>
      <c r="H3973" s="33" t="n">
        <f aca="false">D3973*INDEX(Products!$E$2:$E$49,MATCH(C3973,Products!$A$2:$A$49,0))</f>
        <v>5760</v>
      </c>
      <c r="I3973" s="33" t="n">
        <f aca="false">D3973*INDEX(Products!$D$2:$D$49,MATCH(C3973,Products!$A$2:$A$49,0))*(1+INDEX(Assumptions!$B$16:$B$20,MATCH(B3973,Assumptions!$A$16:$A$20,0)))</f>
        <v>4644.864</v>
      </c>
      <c r="J3973" s="33" t="n">
        <f aca="false">H3973-I3973</f>
        <v>1115.136</v>
      </c>
      <c r="K3973" s="33" t="n">
        <f aca="false">IF(OR(E3973=0,E3973&gt;=7),0,D3973/(7-E3973)*E3973*INDEX(Products!$E$2:$E$49,MATCH(C3973,Products!$A$2:$A$49,0)))</f>
        <v>0</v>
      </c>
    </row>
    <row r="3974" customFormat="false" ht="15" hidden="false" customHeight="false" outlineLevel="0" collapsed="false">
      <c r="A3974" s="36" t="n">
        <v>46272</v>
      </c>
      <c r="B3974" s="24" t="s">
        <v>64</v>
      </c>
      <c r="C3974" s="24" t="s">
        <v>143</v>
      </c>
      <c r="D3974" s="33" t="n">
        <v>23</v>
      </c>
      <c r="E3974" s="24" t="n">
        <v>0</v>
      </c>
      <c r="F3974" s="37" t="n">
        <f aca="false">DATE(YEAR(A3974),MONTH(A3974),1)</f>
        <v>46266</v>
      </c>
      <c r="G3974" s="24" t="str">
        <f aca="false">INDEX(Products!$C$2:$C$49,MATCH(C3974,Products!$A$2:$A$49,0))</f>
        <v>Dairy &amp; Eggs</v>
      </c>
      <c r="H3974" s="33" t="n">
        <f aca="false">D3974*INDEX(Products!$E$2:$E$49,MATCH(C3974,Products!$A$2:$A$49,0))</f>
        <v>5520</v>
      </c>
      <c r="I3974" s="33" t="n">
        <f aca="false">D3974*INDEX(Products!$D$2:$D$49,MATCH(C3974,Products!$A$2:$A$49,0))*(1+INDEX(Assumptions!$B$16:$B$20,MATCH(B3974,Assumptions!$A$16:$A$20,0)))</f>
        <v>4451.328</v>
      </c>
      <c r="J3974" s="33" t="n">
        <f aca="false">H3974-I3974</f>
        <v>1068.672</v>
      </c>
      <c r="K3974" s="33" t="n">
        <f aca="false">IF(OR(E3974=0,E3974&gt;=7),0,D3974/(7-E3974)*E3974*INDEX(Products!$E$2:$E$49,MATCH(C3974,Products!$A$2:$A$49,0)))</f>
        <v>0</v>
      </c>
    </row>
    <row r="3975" customFormat="false" ht="15" hidden="false" customHeight="false" outlineLevel="0" collapsed="false">
      <c r="A3975" s="36" t="n">
        <v>46279</v>
      </c>
      <c r="B3975" s="24" t="s">
        <v>64</v>
      </c>
      <c r="C3975" s="24" t="s">
        <v>143</v>
      </c>
      <c r="D3975" s="33" t="n">
        <v>17</v>
      </c>
      <c r="E3975" s="24" t="n">
        <v>0</v>
      </c>
      <c r="F3975" s="37" t="n">
        <f aca="false">DATE(YEAR(A3975),MONTH(A3975),1)</f>
        <v>46266</v>
      </c>
      <c r="G3975" s="24" t="str">
        <f aca="false">INDEX(Products!$C$2:$C$49,MATCH(C3975,Products!$A$2:$A$49,0))</f>
        <v>Dairy &amp; Eggs</v>
      </c>
      <c r="H3975" s="33" t="n">
        <f aca="false">D3975*INDEX(Products!$E$2:$E$49,MATCH(C3975,Products!$A$2:$A$49,0))</f>
        <v>4080</v>
      </c>
      <c r="I3975" s="33" t="n">
        <f aca="false">D3975*INDEX(Products!$D$2:$D$49,MATCH(C3975,Products!$A$2:$A$49,0))*(1+INDEX(Assumptions!$B$16:$B$20,MATCH(B3975,Assumptions!$A$16:$A$20,0)))</f>
        <v>3290.112</v>
      </c>
      <c r="J3975" s="33" t="n">
        <f aca="false">H3975-I3975</f>
        <v>789.888</v>
      </c>
      <c r="K3975" s="33" t="n">
        <f aca="false">IF(OR(E3975=0,E3975&gt;=7),0,D3975/(7-E3975)*E3975*INDEX(Products!$E$2:$E$49,MATCH(C3975,Products!$A$2:$A$49,0)))</f>
        <v>0</v>
      </c>
    </row>
    <row r="3976" customFormat="false" ht="15" hidden="false" customHeight="false" outlineLevel="0" collapsed="false">
      <c r="A3976" s="36" t="n">
        <v>46286</v>
      </c>
      <c r="B3976" s="24" t="s">
        <v>64</v>
      </c>
      <c r="C3976" s="24" t="s">
        <v>143</v>
      </c>
      <c r="D3976" s="33" t="n">
        <v>28</v>
      </c>
      <c r="E3976" s="24" t="n">
        <v>0</v>
      </c>
      <c r="F3976" s="37" t="n">
        <f aca="false">DATE(YEAR(A3976),MONTH(A3976),1)</f>
        <v>46266</v>
      </c>
      <c r="G3976" s="24" t="str">
        <f aca="false">INDEX(Products!$C$2:$C$49,MATCH(C3976,Products!$A$2:$A$49,0))</f>
        <v>Dairy &amp; Eggs</v>
      </c>
      <c r="H3976" s="33" t="n">
        <f aca="false">D3976*INDEX(Products!$E$2:$E$49,MATCH(C3976,Products!$A$2:$A$49,0))</f>
        <v>6720</v>
      </c>
      <c r="I3976" s="33" t="n">
        <f aca="false">D3976*INDEX(Products!$D$2:$D$49,MATCH(C3976,Products!$A$2:$A$49,0))*(1+INDEX(Assumptions!$B$16:$B$20,MATCH(B3976,Assumptions!$A$16:$A$20,0)))</f>
        <v>5419.008</v>
      </c>
      <c r="J3976" s="33" t="n">
        <f aca="false">H3976-I3976</f>
        <v>1300.992</v>
      </c>
      <c r="K3976" s="33" t="n">
        <f aca="false">IF(OR(E3976=0,E3976&gt;=7),0,D3976/(7-E3976)*E3976*INDEX(Products!$E$2:$E$49,MATCH(C3976,Products!$A$2:$A$49,0)))</f>
        <v>0</v>
      </c>
    </row>
    <row r="3977" customFormat="false" ht="15" hidden="false" customHeight="false" outlineLevel="0" collapsed="false">
      <c r="A3977" s="36" t="n">
        <v>46118</v>
      </c>
      <c r="B3977" s="24" t="s">
        <v>64</v>
      </c>
      <c r="C3977" s="24" t="s">
        <v>145</v>
      </c>
      <c r="D3977" s="33" t="n">
        <v>50</v>
      </c>
      <c r="E3977" s="24" t="n">
        <v>0</v>
      </c>
      <c r="F3977" s="37" t="n">
        <f aca="false">DATE(YEAR(A3977),MONTH(A3977),1)</f>
        <v>46113</v>
      </c>
      <c r="G3977" s="24" t="str">
        <f aca="false">INDEX(Products!$C$2:$C$49,MATCH(C3977,Products!$A$2:$A$49,0))</f>
        <v>Dairy &amp; Eggs</v>
      </c>
      <c r="H3977" s="33" t="n">
        <f aca="false">D3977*INDEX(Products!$E$2:$E$49,MATCH(C3977,Products!$A$2:$A$49,0))</f>
        <v>7000</v>
      </c>
      <c r="I3977" s="33" t="n">
        <f aca="false">D3977*INDEX(Products!$D$2:$D$49,MATCH(C3977,Products!$A$2:$A$49,0))*(1+INDEX(Assumptions!$B$16:$B$20,MATCH(B3977,Assumptions!$A$16:$A$20,0)))</f>
        <v>5734.4</v>
      </c>
      <c r="J3977" s="33" t="n">
        <f aca="false">H3977-I3977</f>
        <v>1265.6</v>
      </c>
      <c r="K3977" s="33" t="n">
        <f aca="false">IF(OR(E3977=0,E3977&gt;=7),0,D3977/(7-E3977)*E3977*INDEX(Products!$E$2:$E$49,MATCH(C3977,Products!$A$2:$A$49,0)))</f>
        <v>0</v>
      </c>
    </row>
    <row r="3978" customFormat="false" ht="15" hidden="false" customHeight="false" outlineLevel="0" collapsed="false">
      <c r="A3978" s="36" t="n">
        <v>46125</v>
      </c>
      <c r="B3978" s="24" t="s">
        <v>64</v>
      </c>
      <c r="C3978" s="24" t="s">
        <v>145</v>
      </c>
      <c r="D3978" s="33" t="n">
        <v>56</v>
      </c>
      <c r="E3978" s="24" t="n">
        <v>0</v>
      </c>
      <c r="F3978" s="37" t="n">
        <f aca="false">DATE(YEAR(A3978),MONTH(A3978),1)</f>
        <v>46113</v>
      </c>
      <c r="G3978" s="24" t="str">
        <f aca="false">INDEX(Products!$C$2:$C$49,MATCH(C3978,Products!$A$2:$A$49,0))</f>
        <v>Dairy &amp; Eggs</v>
      </c>
      <c r="H3978" s="33" t="n">
        <f aca="false">D3978*INDEX(Products!$E$2:$E$49,MATCH(C3978,Products!$A$2:$A$49,0))</f>
        <v>7840</v>
      </c>
      <c r="I3978" s="33" t="n">
        <f aca="false">D3978*INDEX(Products!$D$2:$D$49,MATCH(C3978,Products!$A$2:$A$49,0))*(1+INDEX(Assumptions!$B$16:$B$20,MATCH(B3978,Assumptions!$A$16:$A$20,0)))</f>
        <v>6422.528</v>
      </c>
      <c r="J3978" s="33" t="n">
        <f aca="false">H3978-I3978</f>
        <v>1417.472</v>
      </c>
      <c r="K3978" s="33" t="n">
        <f aca="false">IF(OR(E3978=0,E3978&gt;=7),0,D3978/(7-E3978)*E3978*INDEX(Products!$E$2:$E$49,MATCH(C3978,Products!$A$2:$A$49,0)))</f>
        <v>0</v>
      </c>
    </row>
    <row r="3979" customFormat="false" ht="15" hidden="false" customHeight="false" outlineLevel="0" collapsed="false">
      <c r="A3979" s="36" t="n">
        <v>46132</v>
      </c>
      <c r="B3979" s="24" t="s">
        <v>64</v>
      </c>
      <c r="C3979" s="24" t="s">
        <v>145</v>
      </c>
      <c r="D3979" s="33" t="n">
        <v>46</v>
      </c>
      <c r="E3979" s="24" t="n">
        <v>0</v>
      </c>
      <c r="F3979" s="37" t="n">
        <f aca="false">DATE(YEAR(A3979),MONTH(A3979),1)</f>
        <v>46113</v>
      </c>
      <c r="G3979" s="24" t="str">
        <f aca="false">INDEX(Products!$C$2:$C$49,MATCH(C3979,Products!$A$2:$A$49,0))</f>
        <v>Dairy &amp; Eggs</v>
      </c>
      <c r="H3979" s="33" t="n">
        <f aca="false">D3979*INDEX(Products!$E$2:$E$49,MATCH(C3979,Products!$A$2:$A$49,0))</f>
        <v>6440</v>
      </c>
      <c r="I3979" s="33" t="n">
        <f aca="false">D3979*INDEX(Products!$D$2:$D$49,MATCH(C3979,Products!$A$2:$A$49,0))*(1+INDEX(Assumptions!$B$16:$B$20,MATCH(B3979,Assumptions!$A$16:$A$20,0)))</f>
        <v>5275.648</v>
      </c>
      <c r="J3979" s="33" t="n">
        <f aca="false">H3979-I3979</f>
        <v>1164.352</v>
      </c>
      <c r="K3979" s="33" t="n">
        <f aca="false">IF(OR(E3979=0,E3979&gt;=7),0,D3979/(7-E3979)*E3979*INDEX(Products!$E$2:$E$49,MATCH(C3979,Products!$A$2:$A$49,0)))</f>
        <v>0</v>
      </c>
    </row>
    <row r="3980" customFormat="false" ht="15" hidden="false" customHeight="false" outlineLevel="0" collapsed="false">
      <c r="A3980" s="36" t="n">
        <v>46139</v>
      </c>
      <c r="B3980" s="24" t="s">
        <v>64</v>
      </c>
      <c r="C3980" s="24" t="s">
        <v>145</v>
      </c>
      <c r="D3980" s="33" t="n">
        <v>38</v>
      </c>
      <c r="E3980" s="24" t="n">
        <v>0</v>
      </c>
      <c r="F3980" s="37" t="n">
        <f aca="false">DATE(YEAR(A3980),MONTH(A3980),1)</f>
        <v>46113</v>
      </c>
      <c r="G3980" s="24" t="str">
        <f aca="false">INDEX(Products!$C$2:$C$49,MATCH(C3980,Products!$A$2:$A$49,0))</f>
        <v>Dairy &amp; Eggs</v>
      </c>
      <c r="H3980" s="33" t="n">
        <f aca="false">D3980*INDEX(Products!$E$2:$E$49,MATCH(C3980,Products!$A$2:$A$49,0))</f>
        <v>5320</v>
      </c>
      <c r="I3980" s="33" t="n">
        <f aca="false">D3980*INDEX(Products!$D$2:$D$49,MATCH(C3980,Products!$A$2:$A$49,0))*(1+INDEX(Assumptions!$B$16:$B$20,MATCH(B3980,Assumptions!$A$16:$A$20,0)))</f>
        <v>4358.144</v>
      </c>
      <c r="J3980" s="33" t="n">
        <f aca="false">H3980-I3980</f>
        <v>961.856</v>
      </c>
      <c r="K3980" s="33" t="n">
        <f aca="false">IF(OR(E3980=0,E3980&gt;=7),0,D3980/(7-E3980)*E3980*INDEX(Products!$E$2:$E$49,MATCH(C3980,Products!$A$2:$A$49,0)))</f>
        <v>0</v>
      </c>
    </row>
    <row r="3981" customFormat="false" ht="15" hidden="false" customHeight="false" outlineLevel="0" collapsed="false">
      <c r="A3981" s="36" t="n">
        <v>46146</v>
      </c>
      <c r="B3981" s="24" t="s">
        <v>64</v>
      </c>
      <c r="C3981" s="24" t="s">
        <v>145</v>
      </c>
      <c r="D3981" s="33" t="n">
        <v>56</v>
      </c>
      <c r="E3981" s="24" t="n">
        <v>0</v>
      </c>
      <c r="F3981" s="37" t="n">
        <f aca="false">DATE(YEAR(A3981),MONTH(A3981),1)</f>
        <v>46143</v>
      </c>
      <c r="G3981" s="24" t="str">
        <f aca="false">INDEX(Products!$C$2:$C$49,MATCH(C3981,Products!$A$2:$A$49,0))</f>
        <v>Dairy &amp; Eggs</v>
      </c>
      <c r="H3981" s="33" t="n">
        <f aca="false">D3981*INDEX(Products!$E$2:$E$49,MATCH(C3981,Products!$A$2:$A$49,0))</f>
        <v>7840</v>
      </c>
      <c r="I3981" s="33" t="n">
        <f aca="false">D3981*INDEX(Products!$D$2:$D$49,MATCH(C3981,Products!$A$2:$A$49,0))*(1+INDEX(Assumptions!$B$16:$B$20,MATCH(B3981,Assumptions!$A$16:$A$20,0)))</f>
        <v>6422.528</v>
      </c>
      <c r="J3981" s="33" t="n">
        <f aca="false">H3981-I3981</f>
        <v>1417.472</v>
      </c>
      <c r="K3981" s="33" t="n">
        <f aca="false">IF(OR(E3981=0,E3981&gt;=7),0,D3981/(7-E3981)*E3981*INDEX(Products!$E$2:$E$49,MATCH(C3981,Products!$A$2:$A$49,0)))</f>
        <v>0</v>
      </c>
    </row>
    <row r="3982" customFormat="false" ht="15" hidden="false" customHeight="false" outlineLevel="0" collapsed="false">
      <c r="A3982" s="36" t="n">
        <v>46153</v>
      </c>
      <c r="B3982" s="24" t="s">
        <v>64</v>
      </c>
      <c r="C3982" s="24" t="s">
        <v>145</v>
      </c>
      <c r="D3982" s="33" t="n">
        <v>45</v>
      </c>
      <c r="E3982" s="24" t="n">
        <v>0</v>
      </c>
      <c r="F3982" s="37" t="n">
        <f aca="false">DATE(YEAR(A3982),MONTH(A3982),1)</f>
        <v>46143</v>
      </c>
      <c r="G3982" s="24" t="str">
        <f aca="false">INDEX(Products!$C$2:$C$49,MATCH(C3982,Products!$A$2:$A$49,0))</f>
        <v>Dairy &amp; Eggs</v>
      </c>
      <c r="H3982" s="33" t="n">
        <f aca="false">D3982*INDEX(Products!$E$2:$E$49,MATCH(C3982,Products!$A$2:$A$49,0))</f>
        <v>6300</v>
      </c>
      <c r="I3982" s="33" t="n">
        <f aca="false">D3982*INDEX(Products!$D$2:$D$49,MATCH(C3982,Products!$A$2:$A$49,0))*(1+INDEX(Assumptions!$B$16:$B$20,MATCH(B3982,Assumptions!$A$16:$A$20,0)))</f>
        <v>5160.96</v>
      </c>
      <c r="J3982" s="33" t="n">
        <f aca="false">H3982-I3982</f>
        <v>1139.04</v>
      </c>
      <c r="K3982" s="33" t="n">
        <f aca="false">IF(OR(E3982=0,E3982&gt;=7),0,D3982/(7-E3982)*E3982*INDEX(Products!$E$2:$E$49,MATCH(C3982,Products!$A$2:$A$49,0)))</f>
        <v>0</v>
      </c>
    </row>
    <row r="3983" customFormat="false" ht="15" hidden="false" customHeight="false" outlineLevel="0" collapsed="false">
      <c r="A3983" s="36" t="n">
        <v>46160</v>
      </c>
      <c r="B3983" s="24" t="s">
        <v>64</v>
      </c>
      <c r="C3983" s="24" t="s">
        <v>145</v>
      </c>
      <c r="D3983" s="33" t="n">
        <v>41</v>
      </c>
      <c r="E3983" s="24" t="n">
        <v>0</v>
      </c>
      <c r="F3983" s="37" t="n">
        <f aca="false">DATE(YEAR(A3983),MONTH(A3983),1)</f>
        <v>46143</v>
      </c>
      <c r="G3983" s="24" t="str">
        <f aca="false">INDEX(Products!$C$2:$C$49,MATCH(C3983,Products!$A$2:$A$49,0))</f>
        <v>Dairy &amp; Eggs</v>
      </c>
      <c r="H3983" s="33" t="n">
        <f aca="false">D3983*INDEX(Products!$E$2:$E$49,MATCH(C3983,Products!$A$2:$A$49,0))</f>
        <v>5740</v>
      </c>
      <c r="I3983" s="33" t="n">
        <f aca="false">D3983*INDEX(Products!$D$2:$D$49,MATCH(C3983,Products!$A$2:$A$49,0))*(1+INDEX(Assumptions!$B$16:$B$20,MATCH(B3983,Assumptions!$A$16:$A$20,0)))</f>
        <v>4702.208</v>
      </c>
      <c r="J3983" s="33" t="n">
        <f aca="false">H3983-I3983</f>
        <v>1037.792</v>
      </c>
      <c r="K3983" s="33" t="n">
        <f aca="false">IF(OR(E3983=0,E3983&gt;=7),0,D3983/(7-E3983)*E3983*INDEX(Products!$E$2:$E$49,MATCH(C3983,Products!$A$2:$A$49,0)))</f>
        <v>0</v>
      </c>
    </row>
    <row r="3984" customFormat="false" ht="15" hidden="false" customHeight="false" outlineLevel="0" collapsed="false">
      <c r="A3984" s="36" t="n">
        <v>46167</v>
      </c>
      <c r="B3984" s="24" t="s">
        <v>64</v>
      </c>
      <c r="C3984" s="24" t="s">
        <v>145</v>
      </c>
      <c r="D3984" s="33" t="n">
        <v>48</v>
      </c>
      <c r="E3984" s="24" t="n">
        <v>0</v>
      </c>
      <c r="F3984" s="37" t="n">
        <f aca="false">DATE(YEAR(A3984),MONTH(A3984),1)</f>
        <v>46143</v>
      </c>
      <c r="G3984" s="24" t="str">
        <f aca="false">INDEX(Products!$C$2:$C$49,MATCH(C3984,Products!$A$2:$A$49,0))</f>
        <v>Dairy &amp; Eggs</v>
      </c>
      <c r="H3984" s="33" t="n">
        <f aca="false">D3984*INDEX(Products!$E$2:$E$49,MATCH(C3984,Products!$A$2:$A$49,0))</f>
        <v>6720</v>
      </c>
      <c r="I3984" s="33" t="n">
        <f aca="false">D3984*INDEX(Products!$D$2:$D$49,MATCH(C3984,Products!$A$2:$A$49,0))*(1+INDEX(Assumptions!$B$16:$B$20,MATCH(B3984,Assumptions!$A$16:$A$20,0)))</f>
        <v>5505.024</v>
      </c>
      <c r="J3984" s="33" t="n">
        <f aca="false">H3984-I3984</f>
        <v>1214.976</v>
      </c>
      <c r="K3984" s="33" t="n">
        <f aca="false">IF(OR(E3984=0,E3984&gt;=7),0,D3984/(7-E3984)*E3984*INDEX(Products!$E$2:$E$49,MATCH(C3984,Products!$A$2:$A$49,0)))</f>
        <v>0</v>
      </c>
    </row>
    <row r="3985" customFormat="false" ht="15" hidden="false" customHeight="false" outlineLevel="0" collapsed="false">
      <c r="A3985" s="36" t="n">
        <v>46174</v>
      </c>
      <c r="B3985" s="24" t="s">
        <v>64</v>
      </c>
      <c r="C3985" s="24" t="s">
        <v>145</v>
      </c>
      <c r="D3985" s="33" t="n">
        <v>53</v>
      </c>
      <c r="E3985" s="24" t="n">
        <v>0</v>
      </c>
      <c r="F3985" s="37" t="n">
        <f aca="false">DATE(YEAR(A3985),MONTH(A3985),1)</f>
        <v>46174</v>
      </c>
      <c r="G3985" s="24" t="str">
        <f aca="false">INDEX(Products!$C$2:$C$49,MATCH(C3985,Products!$A$2:$A$49,0))</f>
        <v>Dairy &amp; Eggs</v>
      </c>
      <c r="H3985" s="33" t="n">
        <f aca="false">D3985*INDEX(Products!$E$2:$E$49,MATCH(C3985,Products!$A$2:$A$49,0))</f>
        <v>7420</v>
      </c>
      <c r="I3985" s="33" t="n">
        <f aca="false">D3985*INDEX(Products!$D$2:$D$49,MATCH(C3985,Products!$A$2:$A$49,0))*(1+INDEX(Assumptions!$B$16:$B$20,MATCH(B3985,Assumptions!$A$16:$A$20,0)))</f>
        <v>6078.464</v>
      </c>
      <c r="J3985" s="33" t="n">
        <f aca="false">H3985-I3985</f>
        <v>1341.536</v>
      </c>
      <c r="K3985" s="33" t="n">
        <f aca="false">IF(OR(E3985=0,E3985&gt;=7),0,D3985/(7-E3985)*E3985*INDEX(Products!$E$2:$E$49,MATCH(C3985,Products!$A$2:$A$49,0)))</f>
        <v>0</v>
      </c>
    </row>
    <row r="3986" customFormat="false" ht="15" hidden="false" customHeight="false" outlineLevel="0" collapsed="false">
      <c r="A3986" s="36" t="n">
        <v>46181</v>
      </c>
      <c r="B3986" s="24" t="s">
        <v>64</v>
      </c>
      <c r="C3986" s="24" t="s">
        <v>145</v>
      </c>
      <c r="D3986" s="33" t="n">
        <v>39</v>
      </c>
      <c r="E3986" s="24" t="n">
        <v>0</v>
      </c>
      <c r="F3986" s="37" t="n">
        <f aca="false">DATE(YEAR(A3986),MONTH(A3986),1)</f>
        <v>46174</v>
      </c>
      <c r="G3986" s="24" t="str">
        <f aca="false">INDEX(Products!$C$2:$C$49,MATCH(C3986,Products!$A$2:$A$49,0))</f>
        <v>Dairy &amp; Eggs</v>
      </c>
      <c r="H3986" s="33" t="n">
        <f aca="false">D3986*INDEX(Products!$E$2:$E$49,MATCH(C3986,Products!$A$2:$A$49,0))</f>
        <v>5460</v>
      </c>
      <c r="I3986" s="33" t="n">
        <f aca="false">D3986*INDEX(Products!$D$2:$D$49,MATCH(C3986,Products!$A$2:$A$49,0))*(1+INDEX(Assumptions!$B$16:$B$20,MATCH(B3986,Assumptions!$A$16:$A$20,0)))</f>
        <v>4472.832</v>
      </c>
      <c r="J3986" s="33" t="n">
        <f aca="false">H3986-I3986</f>
        <v>987.168</v>
      </c>
      <c r="K3986" s="33" t="n">
        <f aca="false">IF(OR(E3986=0,E3986&gt;=7),0,D3986/(7-E3986)*E3986*INDEX(Products!$E$2:$E$49,MATCH(C3986,Products!$A$2:$A$49,0)))</f>
        <v>0</v>
      </c>
    </row>
    <row r="3987" customFormat="false" ht="15" hidden="false" customHeight="false" outlineLevel="0" collapsed="false">
      <c r="A3987" s="36" t="n">
        <v>46188</v>
      </c>
      <c r="B3987" s="24" t="s">
        <v>64</v>
      </c>
      <c r="C3987" s="24" t="s">
        <v>145</v>
      </c>
      <c r="D3987" s="33" t="n">
        <v>59</v>
      </c>
      <c r="E3987" s="24" t="n">
        <v>0</v>
      </c>
      <c r="F3987" s="37" t="n">
        <f aca="false">DATE(YEAR(A3987),MONTH(A3987),1)</f>
        <v>46174</v>
      </c>
      <c r="G3987" s="24" t="str">
        <f aca="false">INDEX(Products!$C$2:$C$49,MATCH(C3987,Products!$A$2:$A$49,0))</f>
        <v>Dairy &amp; Eggs</v>
      </c>
      <c r="H3987" s="33" t="n">
        <f aca="false">D3987*INDEX(Products!$E$2:$E$49,MATCH(C3987,Products!$A$2:$A$49,0))</f>
        <v>8260</v>
      </c>
      <c r="I3987" s="33" t="n">
        <f aca="false">D3987*INDEX(Products!$D$2:$D$49,MATCH(C3987,Products!$A$2:$A$49,0))*(1+INDEX(Assumptions!$B$16:$B$20,MATCH(B3987,Assumptions!$A$16:$A$20,0)))</f>
        <v>6766.592</v>
      </c>
      <c r="J3987" s="33" t="n">
        <f aca="false">H3987-I3987</f>
        <v>1493.408</v>
      </c>
      <c r="K3987" s="33" t="n">
        <f aca="false">IF(OR(E3987=0,E3987&gt;=7),0,D3987/(7-E3987)*E3987*INDEX(Products!$E$2:$E$49,MATCH(C3987,Products!$A$2:$A$49,0)))</f>
        <v>0</v>
      </c>
    </row>
    <row r="3988" customFormat="false" ht="15" hidden="false" customHeight="false" outlineLevel="0" collapsed="false">
      <c r="A3988" s="36" t="n">
        <v>46195</v>
      </c>
      <c r="B3988" s="24" t="s">
        <v>64</v>
      </c>
      <c r="C3988" s="24" t="s">
        <v>145</v>
      </c>
      <c r="D3988" s="33" t="n">
        <v>50</v>
      </c>
      <c r="E3988" s="24" t="n">
        <v>0</v>
      </c>
      <c r="F3988" s="37" t="n">
        <f aca="false">DATE(YEAR(A3988),MONTH(A3988),1)</f>
        <v>46174</v>
      </c>
      <c r="G3988" s="24" t="str">
        <f aca="false">INDEX(Products!$C$2:$C$49,MATCH(C3988,Products!$A$2:$A$49,0))</f>
        <v>Dairy &amp; Eggs</v>
      </c>
      <c r="H3988" s="33" t="n">
        <f aca="false">D3988*INDEX(Products!$E$2:$E$49,MATCH(C3988,Products!$A$2:$A$49,0))</f>
        <v>7000</v>
      </c>
      <c r="I3988" s="33" t="n">
        <f aca="false">D3988*INDEX(Products!$D$2:$D$49,MATCH(C3988,Products!$A$2:$A$49,0))*(1+INDEX(Assumptions!$B$16:$B$20,MATCH(B3988,Assumptions!$A$16:$A$20,0)))</f>
        <v>5734.4</v>
      </c>
      <c r="J3988" s="33" t="n">
        <f aca="false">H3988-I3988</f>
        <v>1265.6</v>
      </c>
      <c r="K3988" s="33" t="n">
        <f aca="false">IF(OR(E3988=0,E3988&gt;=7),0,D3988/(7-E3988)*E3988*INDEX(Products!$E$2:$E$49,MATCH(C3988,Products!$A$2:$A$49,0)))</f>
        <v>0</v>
      </c>
    </row>
    <row r="3989" customFormat="false" ht="15" hidden="false" customHeight="false" outlineLevel="0" collapsed="false">
      <c r="A3989" s="36" t="n">
        <v>46202</v>
      </c>
      <c r="B3989" s="24" t="s">
        <v>64</v>
      </c>
      <c r="C3989" s="24" t="s">
        <v>145</v>
      </c>
      <c r="D3989" s="33" t="n">
        <v>61</v>
      </c>
      <c r="E3989" s="24" t="n">
        <v>0</v>
      </c>
      <c r="F3989" s="37" t="n">
        <f aca="false">DATE(YEAR(A3989),MONTH(A3989),1)</f>
        <v>46174</v>
      </c>
      <c r="G3989" s="24" t="str">
        <f aca="false">INDEX(Products!$C$2:$C$49,MATCH(C3989,Products!$A$2:$A$49,0))</f>
        <v>Dairy &amp; Eggs</v>
      </c>
      <c r="H3989" s="33" t="n">
        <f aca="false">D3989*INDEX(Products!$E$2:$E$49,MATCH(C3989,Products!$A$2:$A$49,0))</f>
        <v>8540</v>
      </c>
      <c r="I3989" s="33" t="n">
        <f aca="false">D3989*INDEX(Products!$D$2:$D$49,MATCH(C3989,Products!$A$2:$A$49,0))*(1+INDEX(Assumptions!$B$16:$B$20,MATCH(B3989,Assumptions!$A$16:$A$20,0)))</f>
        <v>6995.968</v>
      </c>
      <c r="J3989" s="33" t="n">
        <f aca="false">H3989-I3989</f>
        <v>1544.032</v>
      </c>
      <c r="K3989" s="33" t="n">
        <f aca="false">IF(OR(E3989=0,E3989&gt;=7),0,D3989/(7-E3989)*E3989*INDEX(Products!$E$2:$E$49,MATCH(C3989,Products!$A$2:$A$49,0)))</f>
        <v>0</v>
      </c>
    </row>
    <row r="3990" customFormat="false" ht="15" hidden="false" customHeight="false" outlineLevel="0" collapsed="false">
      <c r="A3990" s="36" t="n">
        <v>46209</v>
      </c>
      <c r="B3990" s="24" t="s">
        <v>64</v>
      </c>
      <c r="C3990" s="24" t="s">
        <v>145</v>
      </c>
      <c r="D3990" s="33" t="n">
        <v>51</v>
      </c>
      <c r="E3990" s="24" t="n">
        <v>0</v>
      </c>
      <c r="F3990" s="37" t="n">
        <f aca="false">DATE(YEAR(A3990),MONTH(A3990),1)</f>
        <v>46204</v>
      </c>
      <c r="G3990" s="24" t="str">
        <f aca="false">INDEX(Products!$C$2:$C$49,MATCH(C3990,Products!$A$2:$A$49,0))</f>
        <v>Dairy &amp; Eggs</v>
      </c>
      <c r="H3990" s="33" t="n">
        <f aca="false">D3990*INDEX(Products!$E$2:$E$49,MATCH(C3990,Products!$A$2:$A$49,0))</f>
        <v>7140</v>
      </c>
      <c r="I3990" s="33" t="n">
        <f aca="false">D3990*INDEX(Products!$D$2:$D$49,MATCH(C3990,Products!$A$2:$A$49,0))*(1+INDEX(Assumptions!$B$16:$B$20,MATCH(B3990,Assumptions!$A$16:$A$20,0)))</f>
        <v>5849.088</v>
      </c>
      <c r="J3990" s="33" t="n">
        <f aca="false">H3990-I3990</f>
        <v>1290.912</v>
      </c>
      <c r="K3990" s="33" t="n">
        <f aca="false">IF(OR(E3990=0,E3990&gt;=7),0,D3990/(7-E3990)*E3990*INDEX(Products!$E$2:$E$49,MATCH(C3990,Products!$A$2:$A$49,0)))</f>
        <v>0</v>
      </c>
    </row>
    <row r="3991" customFormat="false" ht="15" hidden="false" customHeight="false" outlineLevel="0" collapsed="false">
      <c r="A3991" s="36" t="n">
        <v>46216</v>
      </c>
      <c r="B3991" s="24" t="s">
        <v>64</v>
      </c>
      <c r="C3991" s="24" t="s">
        <v>145</v>
      </c>
      <c r="D3991" s="33" t="n">
        <v>44</v>
      </c>
      <c r="E3991" s="24" t="n">
        <v>0</v>
      </c>
      <c r="F3991" s="37" t="n">
        <f aca="false">DATE(YEAR(A3991),MONTH(A3991),1)</f>
        <v>46204</v>
      </c>
      <c r="G3991" s="24" t="str">
        <f aca="false">INDEX(Products!$C$2:$C$49,MATCH(C3991,Products!$A$2:$A$49,0))</f>
        <v>Dairy &amp; Eggs</v>
      </c>
      <c r="H3991" s="33" t="n">
        <f aca="false">D3991*INDEX(Products!$E$2:$E$49,MATCH(C3991,Products!$A$2:$A$49,0))</f>
        <v>6160</v>
      </c>
      <c r="I3991" s="33" t="n">
        <f aca="false">D3991*INDEX(Products!$D$2:$D$49,MATCH(C3991,Products!$A$2:$A$49,0))*(1+INDEX(Assumptions!$B$16:$B$20,MATCH(B3991,Assumptions!$A$16:$A$20,0)))</f>
        <v>5046.272</v>
      </c>
      <c r="J3991" s="33" t="n">
        <f aca="false">H3991-I3991</f>
        <v>1113.728</v>
      </c>
      <c r="K3991" s="33" t="n">
        <f aca="false">IF(OR(E3991=0,E3991&gt;=7),0,D3991/(7-E3991)*E3991*INDEX(Products!$E$2:$E$49,MATCH(C3991,Products!$A$2:$A$49,0)))</f>
        <v>0</v>
      </c>
    </row>
    <row r="3992" customFormat="false" ht="15" hidden="false" customHeight="false" outlineLevel="0" collapsed="false">
      <c r="A3992" s="36" t="n">
        <v>46223</v>
      </c>
      <c r="B3992" s="24" t="s">
        <v>64</v>
      </c>
      <c r="C3992" s="24" t="s">
        <v>145</v>
      </c>
      <c r="D3992" s="33" t="n">
        <v>49</v>
      </c>
      <c r="E3992" s="24" t="n">
        <v>0</v>
      </c>
      <c r="F3992" s="37" t="n">
        <f aca="false">DATE(YEAR(A3992),MONTH(A3992),1)</f>
        <v>46204</v>
      </c>
      <c r="G3992" s="24" t="str">
        <f aca="false">INDEX(Products!$C$2:$C$49,MATCH(C3992,Products!$A$2:$A$49,0))</f>
        <v>Dairy &amp; Eggs</v>
      </c>
      <c r="H3992" s="33" t="n">
        <f aca="false">D3992*INDEX(Products!$E$2:$E$49,MATCH(C3992,Products!$A$2:$A$49,0))</f>
        <v>6860</v>
      </c>
      <c r="I3992" s="33" t="n">
        <f aca="false">D3992*INDEX(Products!$D$2:$D$49,MATCH(C3992,Products!$A$2:$A$49,0))*(1+INDEX(Assumptions!$B$16:$B$20,MATCH(B3992,Assumptions!$A$16:$A$20,0)))</f>
        <v>5619.712</v>
      </c>
      <c r="J3992" s="33" t="n">
        <f aca="false">H3992-I3992</f>
        <v>1240.288</v>
      </c>
      <c r="K3992" s="33" t="n">
        <f aca="false">IF(OR(E3992=0,E3992&gt;=7),0,D3992/(7-E3992)*E3992*INDEX(Products!$E$2:$E$49,MATCH(C3992,Products!$A$2:$A$49,0)))</f>
        <v>0</v>
      </c>
    </row>
    <row r="3993" customFormat="false" ht="15" hidden="false" customHeight="false" outlineLevel="0" collapsed="false">
      <c r="A3993" s="36" t="n">
        <v>46230</v>
      </c>
      <c r="B3993" s="24" t="s">
        <v>64</v>
      </c>
      <c r="C3993" s="24" t="s">
        <v>145</v>
      </c>
      <c r="D3993" s="33" t="n">
        <v>52</v>
      </c>
      <c r="E3993" s="24" t="n">
        <v>0</v>
      </c>
      <c r="F3993" s="37" t="n">
        <f aca="false">DATE(YEAR(A3993),MONTH(A3993),1)</f>
        <v>46204</v>
      </c>
      <c r="G3993" s="24" t="str">
        <f aca="false">INDEX(Products!$C$2:$C$49,MATCH(C3993,Products!$A$2:$A$49,0))</f>
        <v>Dairy &amp; Eggs</v>
      </c>
      <c r="H3993" s="33" t="n">
        <f aca="false">D3993*INDEX(Products!$E$2:$E$49,MATCH(C3993,Products!$A$2:$A$49,0))</f>
        <v>7280</v>
      </c>
      <c r="I3993" s="33" t="n">
        <f aca="false">D3993*INDEX(Products!$D$2:$D$49,MATCH(C3993,Products!$A$2:$A$49,0))*(1+INDEX(Assumptions!$B$16:$B$20,MATCH(B3993,Assumptions!$A$16:$A$20,0)))</f>
        <v>5963.776</v>
      </c>
      <c r="J3993" s="33" t="n">
        <f aca="false">H3993-I3993</f>
        <v>1316.224</v>
      </c>
      <c r="K3993" s="33" t="n">
        <f aca="false">IF(OR(E3993=0,E3993&gt;=7),0,D3993/(7-E3993)*E3993*INDEX(Products!$E$2:$E$49,MATCH(C3993,Products!$A$2:$A$49,0)))</f>
        <v>0</v>
      </c>
    </row>
    <row r="3994" customFormat="false" ht="15" hidden="false" customHeight="false" outlineLevel="0" collapsed="false">
      <c r="A3994" s="36" t="n">
        <v>46237</v>
      </c>
      <c r="B3994" s="24" t="s">
        <v>64</v>
      </c>
      <c r="C3994" s="24" t="s">
        <v>145</v>
      </c>
      <c r="D3994" s="33" t="n">
        <v>94</v>
      </c>
      <c r="E3994" s="24" t="n">
        <v>0</v>
      </c>
      <c r="F3994" s="37" t="n">
        <f aca="false">DATE(YEAR(A3994),MONTH(A3994),1)</f>
        <v>46235</v>
      </c>
      <c r="G3994" s="24" t="str">
        <f aca="false">INDEX(Products!$C$2:$C$49,MATCH(C3994,Products!$A$2:$A$49,0))</f>
        <v>Dairy &amp; Eggs</v>
      </c>
      <c r="H3994" s="33" t="n">
        <f aca="false">D3994*INDEX(Products!$E$2:$E$49,MATCH(C3994,Products!$A$2:$A$49,0))</f>
        <v>13160</v>
      </c>
      <c r="I3994" s="33" t="n">
        <f aca="false">D3994*INDEX(Products!$D$2:$D$49,MATCH(C3994,Products!$A$2:$A$49,0))*(1+INDEX(Assumptions!$B$16:$B$20,MATCH(B3994,Assumptions!$A$16:$A$20,0)))</f>
        <v>10780.672</v>
      </c>
      <c r="J3994" s="33" t="n">
        <f aca="false">H3994-I3994</f>
        <v>2379.328</v>
      </c>
      <c r="K3994" s="33" t="n">
        <f aca="false">IF(OR(E3994=0,E3994&gt;=7),0,D3994/(7-E3994)*E3994*INDEX(Products!$E$2:$E$49,MATCH(C3994,Products!$A$2:$A$49,0)))</f>
        <v>0</v>
      </c>
    </row>
    <row r="3995" customFormat="false" ht="15" hidden="false" customHeight="false" outlineLevel="0" collapsed="false">
      <c r="A3995" s="36" t="n">
        <v>46244</v>
      </c>
      <c r="B3995" s="24" t="s">
        <v>64</v>
      </c>
      <c r="C3995" s="24" t="s">
        <v>145</v>
      </c>
      <c r="D3995" s="33" t="n">
        <v>51</v>
      </c>
      <c r="E3995" s="24" t="n">
        <v>0</v>
      </c>
      <c r="F3995" s="37" t="n">
        <f aca="false">DATE(YEAR(A3995),MONTH(A3995),1)</f>
        <v>46235</v>
      </c>
      <c r="G3995" s="24" t="str">
        <f aca="false">INDEX(Products!$C$2:$C$49,MATCH(C3995,Products!$A$2:$A$49,0))</f>
        <v>Dairy &amp; Eggs</v>
      </c>
      <c r="H3995" s="33" t="n">
        <f aca="false">D3995*INDEX(Products!$E$2:$E$49,MATCH(C3995,Products!$A$2:$A$49,0))</f>
        <v>7140</v>
      </c>
      <c r="I3995" s="33" t="n">
        <f aca="false">D3995*INDEX(Products!$D$2:$D$49,MATCH(C3995,Products!$A$2:$A$49,0))*(1+INDEX(Assumptions!$B$16:$B$20,MATCH(B3995,Assumptions!$A$16:$A$20,0)))</f>
        <v>5849.088</v>
      </c>
      <c r="J3995" s="33" t="n">
        <f aca="false">H3995-I3995</f>
        <v>1290.912</v>
      </c>
      <c r="K3995" s="33" t="n">
        <f aca="false">IF(OR(E3995=0,E3995&gt;=7),0,D3995/(7-E3995)*E3995*INDEX(Products!$E$2:$E$49,MATCH(C3995,Products!$A$2:$A$49,0)))</f>
        <v>0</v>
      </c>
    </row>
    <row r="3996" customFormat="false" ht="15" hidden="false" customHeight="false" outlineLevel="0" collapsed="false">
      <c r="A3996" s="36" t="n">
        <v>46251</v>
      </c>
      <c r="B3996" s="24" t="s">
        <v>64</v>
      </c>
      <c r="C3996" s="24" t="s">
        <v>145</v>
      </c>
      <c r="D3996" s="33" t="n">
        <v>47</v>
      </c>
      <c r="E3996" s="24" t="n">
        <v>0</v>
      </c>
      <c r="F3996" s="37" t="n">
        <f aca="false">DATE(YEAR(A3996),MONTH(A3996),1)</f>
        <v>46235</v>
      </c>
      <c r="G3996" s="24" t="str">
        <f aca="false">INDEX(Products!$C$2:$C$49,MATCH(C3996,Products!$A$2:$A$49,0))</f>
        <v>Dairy &amp; Eggs</v>
      </c>
      <c r="H3996" s="33" t="n">
        <f aca="false">D3996*INDEX(Products!$E$2:$E$49,MATCH(C3996,Products!$A$2:$A$49,0))</f>
        <v>6580</v>
      </c>
      <c r="I3996" s="33" t="n">
        <f aca="false">D3996*INDEX(Products!$D$2:$D$49,MATCH(C3996,Products!$A$2:$A$49,0))*(1+INDEX(Assumptions!$B$16:$B$20,MATCH(B3996,Assumptions!$A$16:$A$20,0)))</f>
        <v>5390.336</v>
      </c>
      <c r="J3996" s="33" t="n">
        <f aca="false">H3996-I3996</f>
        <v>1189.664</v>
      </c>
      <c r="K3996" s="33" t="n">
        <f aca="false">IF(OR(E3996=0,E3996&gt;=7),0,D3996/(7-E3996)*E3996*INDEX(Products!$E$2:$E$49,MATCH(C3996,Products!$A$2:$A$49,0)))</f>
        <v>0</v>
      </c>
    </row>
    <row r="3997" customFormat="false" ht="15" hidden="false" customHeight="false" outlineLevel="0" collapsed="false">
      <c r="A3997" s="36" t="n">
        <v>46258</v>
      </c>
      <c r="B3997" s="24" t="s">
        <v>64</v>
      </c>
      <c r="C3997" s="24" t="s">
        <v>145</v>
      </c>
      <c r="D3997" s="33" t="n">
        <v>50</v>
      </c>
      <c r="E3997" s="24" t="n">
        <v>0</v>
      </c>
      <c r="F3997" s="37" t="n">
        <f aca="false">DATE(YEAR(A3997),MONTH(A3997),1)</f>
        <v>46235</v>
      </c>
      <c r="G3997" s="24" t="str">
        <f aca="false">INDEX(Products!$C$2:$C$49,MATCH(C3997,Products!$A$2:$A$49,0))</f>
        <v>Dairy &amp; Eggs</v>
      </c>
      <c r="H3997" s="33" t="n">
        <f aca="false">D3997*INDEX(Products!$E$2:$E$49,MATCH(C3997,Products!$A$2:$A$49,0))</f>
        <v>7000</v>
      </c>
      <c r="I3997" s="33" t="n">
        <f aca="false">D3997*INDEX(Products!$D$2:$D$49,MATCH(C3997,Products!$A$2:$A$49,0))*(1+INDEX(Assumptions!$B$16:$B$20,MATCH(B3997,Assumptions!$A$16:$A$20,0)))</f>
        <v>5734.4</v>
      </c>
      <c r="J3997" s="33" t="n">
        <f aca="false">H3997-I3997</f>
        <v>1265.6</v>
      </c>
      <c r="K3997" s="33" t="n">
        <f aca="false">IF(OR(E3997=0,E3997&gt;=7),0,D3997/(7-E3997)*E3997*INDEX(Products!$E$2:$E$49,MATCH(C3997,Products!$A$2:$A$49,0)))</f>
        <v>0</v>
      </c>
    </row>
    <row r="3998" customFormat="false" ht="15" hidden="false" customHeight="false" outlineLevel="0" collapsed="false">
      <c r="A3998" s="36" t="n">
        <v>46265</v>
      </c>
      <c r="B3998" s="24" t="s">
        <v>64</v>
      </c>
      <c r="C3998" s="24" t="s">
        <v>145</v>
      </c>
      <c r="D3998" s="33" t="n">
        <v>49</v>
      </c>
      <c r="E3998" s="24" t="n">
        <v>0</v>
      </c>
      <c r="F3998" s="37" t="n">
        <f aca="false">DATE(YEAR(A3998),MONTH(A3998),1)</f>
        <v>46235</v>
      </c>
      <c r="G3998" s="24" t="str">
        <f aca="false">INDEX(Products!$C$2:$C$49,MATCH(C3998,Products!$A$2:$A$49,0))</f>
        <v>Dairy &amp; Eggs</v>
      </c>
      <c r="H3998" s="33" t="n">
        <f aca="false">D3998*INDEX(Products!$E$2:$E$49,MATCH(C3998,Products!$A$2:$A$49,0))</f>
        <v>6860</v>
      </c>
      <c r="I3998" s="33" t="n">
        <f aca="false">D3998*INDEX(Products!$D$2:$D$49,MATCH(C3998,Products!$A$2:$A$49,0))*(1+INDEX(Assumptions!$B$16:$B$20,MATCH(B3998,Assumptions!$A$16:$A$20,0)))</f>
        <v>5619.712</v>
      </c>
      <c r="J3998" s="33" t="n">
        <f aca="false">H3998-I3998</f>
        <v>1240.288</v>
      </c>
      <c r="K3998" s="33" t="n">
        <f aca="false">IF(OR(E3998=0,E3998&gt;=7),0,D3998/(7-E3998)*E3998*INDEX(Products!$E$2:$E$49,MATCH(C3998,Products!$A$2:$A$49,0)))</f>
        <v>0</v>
      </c>
    </row>
    <row r="3999" customFormat="false" ht="15" hidden="false" customHeight="false" outlineLevel="0" collapsed="false">
      <c r="A3999" s="36" t="n">
        <v>46272</v>
      </c>
      <c r="B3999" s="24" t="s">
        <v>64</v>
      </c>
      <c r="C3999" s="24" t="s">
        <v>145</v>
      </c>
      <c r="D3999" s="33" t="n">
        <v>40</v>
      </c>
      <c r="E3999" s="24" t="n">
        <v>0</v>
      </c>
      <c r="F3999" s="37" t="n">
        <f aca="false">DATE(YEAR(A3999),MONTH(A3999),1)</f>
        <v>46266</v>
      </c>
      <c r="G3999" s="24" t="str">
        <f aca="false">INDEX(Products!$C$2:$C$49,MATCH(C3999,Products!$A$2:$A$49,0))</f>
        <v>Dairy &amp; Eggs</v>
      </c>
      <c r="H3999" s="33" t="n">
        <f aca="false">D3999*INDEX(Products!$E$2:$E$49,MATCH(C3999,Products!$A$2:$A$49,0))</f>
        <v>5600</v>
      </c>
      <c r="I3999" s="33" t="n">
        <f aca="false">D3999*INDEX(Products!$D$2:$D$49,MATCH(C3999,Products!$A$2:$A$49,0))*(1+INDEX(Assumptions!$B$16:$B$20,MATCH(B3999,Assumptions!$A$16:$A$20,0)))</f>
        <v>4587.52</v>
      </c>
      <c r="J3999" s="33" t="n">
        <f aca="false">H3999-I3999</f>
        <v>1012.48</v>
      </c>
      <c r="K3999" s="33" t="n">
        <f aca="false">IF(OR(E3999=0,E3999&gt;=7),0,D3999/(7-E3999)*E3999*INDEX(Products!$E$2:$E$49,MATCH(C3999,Products!$A$2:$A$49,0)))</f>
        <v>0</v>
      </c>
    </row>
    <row r="4000" customFormat="false" ht="15" hidden="false" customHeight="false" outlineLevel="0" collapsed="false">
      <c r="A4000" s="36" t="n">
        <v>46279</v>
      </c>
      <c r="B4000" s="24" t="s">
        <v>64</v>
      </c>
      <c r="C4000" s="24" t="s">
        <v>145</v>
      </c>
      <c r="D4000" s="33" t="n">
        <v>46</v>
      </c>
      <c r="E4000" s="24" t="n">
        <v>0</v>
      </c>
      <c r="F4000" s="37" t="n">
        <f aca="false">DATE(YEAR(A4000),MONTH(A4000),1)</f>
        <v>46266</v>
      </c>
      <c r="G4000" s="24" t="str">
        <f aca="false">INDEX(Products!$C$2:$C$49,MATCH(C4000,Products!$A$2:$A$49,0))</f>
        <v>Dairy &amp; Eggs</v>
      </c>
      <c r="H4000" s="33" t="n">
        <f aca="false">D4000*INDEX(Products!$E$2:$E$49,MATCH(C4000,Products!$A$2:$A$49,0))</f>
        <v>6440</v>
      </c>
      <c r="I4000" s="33" t="n">
        <f aca="false">D4000*INDEX(Products!$D$2:$D$49,MATCH(C4000,Products!$A$2:$A$49,0))*(1+INDEX(Assumptions!$B$16:$B$20,MATCH(B4000,Assumptions!$A$16:$A$20,0)))</f>
        <v>5275.648</v>
      </c>
      <c r="J4000" s="33" t="n">
        <f aca="false">H4000-I4000</f>
        <v>1164.352</v>
      </c>
      <c r="K4000" s="33" t="n">
        <f aca="false">IF(OR(E4000=0,E4000&gt;=7),0,D4000/(7-E4000)*E4000*INDEX(Products!$E$2:$E$49,MATCH(C4000,Products!$A$2:$A$49,0)))</f>
        <v>0</v>
      </c>
    </row>
    <row r="4001" customFormat="false" ht="15" hidden="false" customHeight="false" outlineLevel="0" collapsed="false">
      <c r="A4001" s="36" t="n">
        <v>46286</v>
      </c>
      <c r="B4001" s="24" t="s">
        <v>64</v>
      </c>
      <c r="C4001" s="24" t="s">
        <v>145</v>
      </c>
      <c r="D4001" s="33" t="n">
        <v>53</v>
      </c>
      <c r="E4001" s="24" t="n">
        <v>0</v>
      </c>
      <c r="F4001" s="37" t="n">
        <f aca="false">DATE(YEAR(A4001),MONTH(A4001),1)</f>
        <v>46266</v>
      </c>
      <c r="G4001" s="24" t="str">
        <f aca="false">INDEX(Products!$C$2:$C$49,MATCH(C4001,Products!$A$2:$A$49,0))</f>
        <v>Dairy &amp; Eggs</v>
      </c>
      <c r="H4001" s="33" t="n">
        <f aca="false">D4001*INDEX(Products!$E$2:$E$49,MATCH(C4001,Products!$A$2:$A$49,0))</f>
        <v>7420</v>
      </c>
      <c r="I4001" s="33" t="n">
        <f aca="false">D4001*INDEX(Products!$D$2:$D$49,MATCH(C4001,Products!$A$2:$A$49,0))*(1+INDEX(Assumptions!$B$16:$B$20,MATCH(B4001,Assumptions!$A$16:$A$20,0)))</f>
        <v>6078.464</v>
      </c>
      <c r="J4001" s="33" t="n">
        <f aca="false">H4001-I4001</f>
        <v>1341.536</v>
      </c>
      <c r="K4001" s="33" t="n">
        <f aca="false">IF(OR(E4001=0,E4001&gt;=7),0,D4001/(7-E4001)*E4001*INDEX(Products!$E$2:$E$49,MATCH(C4001,Products!$A$2:$A$49,0)))</f>
        <v>0</v>
      </c>
    </row>
    <row r="4002" customFormat="false" ht="15" hidden="false" customHeight="false" outlineLevel="0" collapsed="false">
      <c r="A4002" s="36" t="n">
        <v>46118</v>
      </c>
      <c r="B4002" s="24" t="s">
        <v>64</v>
      </c>
      <c r="C4002" s="24" t="s">
        <v>147</v>
      </c>
      <c r="D4002" s="33" t="n">
        <v>139</v>
      </c>
      <c r="E4002" s="24" t="n">
        <v>0</v>
      </c>
      <c r="F4002" s="37" t="n">
        <f aca="false">DATE(YEAR(A4002),MONTH(A4002),1)</f>
        <v>46113</v>
      </c>
      <c r="G4002" s="24" t="str">
        <f aca="false">INDEX(Products!$C$2:$C$49,MATCH(C4002,Products!$A$2:$A$49,0))</f>
        <v>Beverages</v>
      </c>
      <c r="H4002" s="33" t="n">
        <f aca="false">D4002*INDEX(Products!$E$2:$E$49,MATCH(C4002,Products!$A$2:$A$49,0))</f>
        <v>9730</v>
      </c>
      <c r="I4002" s="33" t="n">
        <f aca="false">D4002*INDEX(Products!$D$2:$D$49,MATCH(C4002,Products!$A$2:$A$49,0))*(1+INDEX(Assumptions!$B$16:$B$20,MATCH(B4002,Assumptions!$A$16:$A$20,0)))</f>
        <v>7686.144</v>
      </c>
      <c r="J4002" s="33" t="n">
        <f aca="false">H4002-I4002</f>
        <v>2043.856</v>
      </c>
      <c r="K4002" s="33" t="n">
        <f aca="false">IF(OR(E4002=0,E4002&gt;=7),0,D4002/(7-E4002)*E4002*INDEX(Products!$E$2:$E$49,MATCH(C4002,Products!$A$2:$A$49,0)))</f>
        <v>0</v>
      </c>
    </row>
    <row r="4003" customFormat="false" ht="15" hidden="false" customHeight="false" outlineLevel="0" collapsed="false">
      <c r="A4003" s="36" t="n">
        <v>46125</v>
      </c>
      <c r="B4003" s="24" t="s">
        <v>64</v>
      </c>
      <c r="C4003" s="24" t="s">
        <v>147</v>
      </c>
      <c r="D4003" s="33" t="n">
        <v>130</v>
      </c>
      <c r="E4003" s="24" t="n">
        <v>0</v>
      </c>
      <c r="F4003" s="37" t="n">
        <f aca="false">DATE(YEAR(A4003),MONTH(A4003),1)</f>
        <v>46113</v>
      </c>
      <c r="G4003" s="24" t="str">
        <f aca="false">INDEX(Products!$C$2:$C$49,MATCH(C4003,Products!$A$2:$A$49,0))</f>
        <v>Beverages</v>
      </c>
      <c r="H4003" s="33" t="n">
        <f aca="false">D4003*INDEX(Products!$E$2:$E$49,MATCH(C4003,Products!$A$2:$A$49,0))</f>
        <v>9100</v>
      </c>
      <c r="I4003" s="33" t="n">
        <f aca="false">D4003*INDEX(Products!$D$2:$D$49,MATCH(C4003,Products!$A$2:$A$49,0))*(1+INDEX(Assumptions!$B$16:$B$20,MATCH(B4003,Assumptions!$A$16:$A$20,0)))</f>
        <v>7188.48</v>
      </c>
      <c r="J4003" s="33" t="n">
        <f aca="false">H4003-I4003</f>
        <v>1911.52</v>
      </c>
      <c r="K4003" s="33" t="n">
        <f aca="false">IF(OR(E4003=0,E4003&gt;=7),0,D4003/(7-E4003)*E4003*INDEX(Products!$E$2:$E$49,MATCH(C4003,Products!$A$2:$A$49,0)))</f>
        <v>0</v>
      </c>
    </row>
    <row r="4004" customFormat="false" ht="15" hidden="false" customHeight="false" outlineLevel="0" collapsed="false">
      <c r="A4004" s="36" t="n">
        <v>46132</v>
      </c>
      <c r="B4004" s="24" t="s">
        <v>64</v>
      </c>
      <c r="C4004" s="24" t="s">
        <v>147</v>
      </c>
      <c r="D4004" s="33" t="n">
        <v>127</v>
      </c>
      <c r="E4004" s="24" t="n">
        <v>0</v>
      </c>
      <c r="F4004" s="37" t="n">
        <f aca="false">DATE(YEAR(A4004),MONTH(A4004),1)</f>
        <v>46113</v>
      </c>
      <c r="G4004" s="24" t="str">
        <f aca="false">INDEX(Products!$C$2:$C$49,MATCH(C4004,Products!$A$2:$A$49,0))</f>
        <v>Beverages</v>
      </c>
      <c r="H4004" s="33" t="n">
        <f aca="false">D4004*INDEX(Products!$E$2:$E$49,MATCH(C4004,Products!$A$2:$A$49,0))</f>
        <v>8890</v>
      </c>
      <c r="I4004" s="33" t="n">
        <f aca="false">D4004*INDEX(Products!$D$2:$D$49,MATCH(C4004,Products!$A$2:$A$49,0))*(1+INDEX(Assumptions!$B$16:$B$20,MATCH(B4004,Assumptions!$A$16:$A$20,0)))</f>
        <v>7022.592</v>
      </c>
      <c r="J4004" s="33" t="n">
        <f aca="false">H4004-I4004</f>
        <v>1867.408</v>
      </c>
      <c r="K4004" s="33" t="n">
        <f aca="false">IF(OR(E4004=0,E4004&gt;=7),0,D4004/(7-E4004)*E4004*INDEX(Products!$E$2:$E$49,MATCH(C4004,Products!$A$2:$A$49,0)))</f>
        <v>0</v>
      </c>
    </row>
    <row r="4005" customFormat="false" ht="15" hidden="false" customHeight="false" outlineLevel="0" collapsed="false">
      <c r="A4005" s="36" t="n">
        <v>46139</v>
      </c>
      <c r="B4005" s="24" t="s">
        <v>64</v>
      </c>
      <c r="C4005" s="24" t="s">
        <v>147</v>
      </c>
      <c r="D4005" s="33" t="n">
        <v>152</v>
      </c>
      <c r="E4005" s="24" t="n">
        <v>0</v>
      </c>
      <c r="F4005" s="37" t="n">
        <f aca="false">DATE(YEAR(A4005),MONTH(A4005),1)</f>
        <v>46113</v>
      </c>
      <c r="G4005" s="24" t="str">
        <f aca="false">INDEX(Products!$C$2:$C$49,MATCH(C4005,Products!$A$2:$A$49,0))</f>
        <v>Beverages</v>
      </c>
      <c r="H4005" s="33" t="n">
        <f aca="false">D4005*INDEX(Products!$E$2:$E$49,MATCH(C4005,Products!$A$2:$A$49,0))</f>
        <v>10640</v>
      </c>
      <c r="I4005" s="33" t="n">
        <f aca="false">D4005*INDEX(Products!$D$2:$D$49,MATCH(C4005,Products!$A$2:$A$49,0))*(1+INDEX(Assumptions!$B$16:$B$20,MATCH(B4005,Assumptions!$A$16:$A$20,0)))</f>
        <v>8404.992</v>
      </c>
      <c r="J4005" s="33" t="n">
        <f aca="false">H4005-I4005</f>
        <v>2235.008</v>
      </c>
      <c r="K4005" s="33" t="n">
        <f aca="false">IF(OR(E4005=0,E4005&gt;=7),0,D4005/(7-E4005)*E4005*INDEX(Products!$E$2:$E$49,MATCH(C4005,Products!$A$2:$A$49,0)))</f>
        <v>0</v>
      </c>
    </row>
    <row r="4006" customFormat="false" ht="15" hidden="false" customHeight="false" outlineLevel="0" collapsed="false">
      <c r="A4006" s="36" t="n">
        <v>46146</v>
      </c>
      <c r="B4006" s="24" t="s">
        <v>64</v>
      </c>
      <c r="C4006" s="24" t="s">
        <v>147</v>
      </c>
      <c r="D4006" s="33" t="n">
        <v>129</v>
      </c>
      <c r="E4006" s="24" t="n">
        <v>0</v>
      </c>
      <c r="F4006" s="37" t="n">
        <f aca="false">DATE(YEAR(A4006),MONTH(A4006),1)</f>
        <v>46143</v>
      </c>
      <c r="G4006" s="24" t="str">
        <f aca="false">INDEX(Products!$C$2:$C$49,MATCH(C4006,Products!$A$2:$A$49,0))</f>
        <v>Beverages</v>
      </c>
      <c r="H4006" s="33" t="n">
        <f aca="false">D4006*INDEX(Products!$E$2:$E$49,MATCH(C4006,Products!$A$2:$A$49,0))</f>
        <v>9030</v>
      </c>
      <c r="I4006" s="33" t="n">
        <f aca="false">D4006*INDEX(Products!$D$2:$D$49,MATCH(C4006,Products!$A$2:$A$49,0))*(1+INDEX(Assumptions!$B$16:$B$20,MATCH(B4006,Assumptions!$A$16:$A$20,0)))</f>
        <v>7133.184</v>
      </c>
      <c r="J4006" s="33" t="n">
        <f aca="false">H4006-I4006</f>
        <v>1896.816</v>
      </c>
      <c r="K4006" s="33" t="n">
        <f aca="false">IF(OR(E4006=0,E4006&gt;=7),0,D4006/(7-E4006)*E4006*INDEX(Products!$E$2:$E$49,MATCH(C4006,Products!$A$2:$A$49,0)))</f>
        <v>0</v>
      </c>
    </row>
    <row r="4007" customFormat="false" ht="15" hidden="false" customHeight="false" outlineLevel="0" collapsed="false">
      <c r="A4007" s="36" t="n">
        <v>46153</v>
      </c>
      <c r="B4007" s="24" t="s">
        <v>64</v>
      </c>
      <c r="C4007" s="24" t="s">
        <v>147</v>
      </c>
      <c r="D4007" s="33" t="n">
        <v>139</v>
      </c>
      <c r="E4007" s="24" t="n">
        <v>0</v>
      </c>
      <c r="F4007" s="37" t="n">
        <f aca="false">DATE(YEAR(A4007),MONTH(A4007),1)</f>
        <v>46143</v>
      </c>
      <c r="G4007" s="24" t="str">
        <f aca="false">INDEX(Products!$C$2:$C$49,MATCH(C4007,Products!$A$2:$A$49,0))</f>
        <v>Beverages</v>
      </c>
      <c r="H4007" s="33" t="n">
        <f aca="false">D4007*INDEX(Products!$E$2:$E$49,MATCH(C4007,Products!$A$2:$A$49,0))</f>
        <v>9730</v>
      </c>
      <c r="I4007" s="33" t="n">
        <f aca="false">D4007*INDEX(Products!$D$2:$D$49,MATCH(C4007,Products!$A$2:$A$49,0))*(1+INDEX(Assumptions!$B$16:$B$20,MATCH(B4007,Assumptions!$A$16:$A$20,0)))</f>
        <v>7686.144</v>
      </c>
      <c r="J4007" s="33" t="n">
        <f aca="false">H4007-I4007</f>
        <v>2043.856</v>
      </c>
      <c r="K4007" s="33" t="n">
        <f aca="false">IF(OR(E4007=0,E4007&gt;=7),0,D4007/(7-E4007)*E4007*INDEX(Products!$E$2:$E$49,MATCH(C4007,Products!$A$2:$A$49,0)))</f>
        <v>0</v>
      </c>
    </row>
    <row r="4008" customFormat="false" ht="15" hidden="false" customHeight="false" outlineLevel="0" collapsed="false">
      <c r="A4008" s="36" t="n">
        <v>46160</v>
      </c>
      <c r="B4008" s="24" t="s">
        <v>64</v>
      </c>
      <c r="C4008" s="24" t="s">
        <v>147</v>
      </c>
      <c r="D4008" s="33" t="n">
        <v>161</v>
      </c>
      <c r="E4008" s="24" t="n">
        <v>0</v>
      </c>
      <c r="F4008" s="37" t="n">
        <f aca="false">DATE(YEAR(A4008),MONTH(A4008),1)</f>
        <v>46143</v>
      </c>
      <c r="G4008" s="24" t="str">
        <f aca="false">INDEX(Products!$C$2:$C$49,MATCH(C4008,Products!$A$2:$A$49,0))</f>
        <v>Beverages</v>
      </c>
      <c r="H4008" s="33" t="n">
        <f aca="false">D4008*INDEX(Products!$E$2:$E$49,MATCH(C4008,Products!$A$2:$A$49,0))</f>
        <v>11270</v>
      </c>
      <c r="I4008" s="33" t="n">
        <f aca="false">D4008*INDEX(Products!$D$2:$D$49,MATCH(C4008,Products!$A$2:$A$49,0))*(1+INDEX(Assumptions!$B$16:$B$20,MATCH(B4008,Assumptions!$A$16:$A$20,0)))</f>
        <v>8902.656</v>
      </c>
      <c r="J4008" s="33" t="n">
        <f aca="false">H4008-I4008</f>
        <v>2367.344</v>
      </c>
      <c r="K4008" s="33" t="n">
        <f aca="false">IF(OR(E4008=0,E4008&gt;=7),0,D4008/(7-E4008)*E4008*INDEX(Products!$E$2:$E$49,MATCH(C4008,Products!$A$2:$A$49,0)))</f>
        <v>0</v>
      </c>
    </row>
    <row r="4009" customFormat="false" ht="15" hidden="false" customHeight="false" outlineLevel="0" collapsed="false">
      <c r="A4009" s="36" t="n">
        <v>46167</v>
      </c>
      <c r="B4009" s="24" t="s">
        <v>64</v>
      </c>
      <c r="C4009" s="24" t="s">
        <v>147</v>
      </c>
      <c r="D4009" s="33" t="n">
        <v>123</v>
      </c>
      <c r="E4009" s="24" t="n">
        <v>0</v>
      </c>
      <c r="F4009" s="37" t="n">
        <f aca="false">DATE(YEAR(A4009),MONTH(A4009),1)</f>
        <v>46143</v>
      </c>
      <c r="G4009" s="24" t="str">
        <f aca="false">INDEX(Products!$C$2:$C$49,MATCH(C4009,Products!$A$2:$A$49,0))</f>
        <v>Beverages</v>
      </c>
      <c r="H4009" s="33" t="n">
        <f aca="false">D4009*INDEX(Products!$E$2:$E$49,MATCH(C4009,Products!$A$2:$A$49,0))</f>
        <v>8610</v>
      </c>
      <c r="I4009" s="33" t="n">
        <f aca="false">D4009*INDEX(Products!$D$2:$D$49,MATCH(C4009,Products!$A$2:$A$49,0))*(1+INDEX(Assumptions!$B$16:$B$20,MATCH(B4009,Assumptions!$A$16:$A$20,0)))</f>
        <v>6801.408</v>
      </c>
      <c r="J4009" s="33" t="n">
        <f aca="false">H4009-I4009</f>
        <v>1808.592</v>
      </c>
      <c r="K4009" s="33" t="n">
        <f aca="false">IF(OR(E4009=0,E4009&gt;=7),0,D4009/(7-E4009)*E4009*INDEX(Products!$E$2:$E$49,MATCH(C4009,Products!$A$2:$A$49,0)))</f>
        <v>0</v>
      </c>
    </row>
    <row r="4010" customFormat="false" ht="15" hidden="false" customHeight="false" outlineLevel="0" collapsed="false">
      <c r="A4010" s="36" t="n">
        <v>46174</v>
      </c>
      <c r="B4010" s="24" t="s">
        <v>64</v>
      </c>
      <c r="C4010" s="24" t="s">
        <v>147</v>
      </c>
      <c r="D4010" s="33" t="n">
        <v>293</v>
      </c>
      <c r="E4010" s="24" t="n">
        <v>0</v>
      </c>
      <c r="F4010" s="37" t="n">
        <f aca="false">DATE(YEAR(A4010),MONTH(A4010),1)</f>
        <v>46174</v>
      </c>
      <c r="G4010" s="24" t="str">
        <f aca="false">INDEX(Products!$C$2:$C$49,MATCH(C4010,Products!$A$2:$A$49,0))</f>
        <v>Beverages</v>
      </c>
      <c r="H4010" s="33" t="n">
        <f aca="false">D4010*INDEX(Products!$E$2:$E$49,MATCH(C4010,Products!$A$2:$A$49,0))</f>
        <v>20510</v>
      </c>
      <c r="I4010" s="33" t="n">
        <f aca="false">D4010*INDEX(Products!$D$2:$D$49,MATCH(C4010,Products!$A$2:$A$49,0))*(1+INDEX(Assumptions!$B$16:$B$20,MATCH(B4010,Assumptions!$A$16:$A$20,0)))</f>
        <v>16201.728</v>
      </c>
      <c r="J4010" s="33" t="n">
        <f aca="false">H4010-I4010</f>
        <v>4308.272</v>
      </c>
      <c r="K4010" s="33" t="n">
        <f aca="false">IF(OR(E4010=0,E4010&gt;=7),0,D4010/(7-E4010)*E4010*INDEX(Products!$E$2:$E$49,MATCH(C4010,Products!$A$2:$A$49,0)))</f>
        <v>0</v>
      </c>
    </row>
    <row r="4011" customFormat="false" ht="15" hidden="false" customHeight="false" outlineLevel="0" collapsed="false">
      <c r="A4011" s="36" t="n">
        <v>46181</v>
      </c>
      <c r="B4011" s="24" t="s">
        <v>64</v>
      </c>
      <c r="C4011" s="24" t="s">
        <v>147</v>
      </c>
      <c r="D4011" s="33" t="n">
        <v>171</v>
      </c>
      <c r="E4011" s="24" t="n">
        <v>0</v>
      </c>
      <c r="F4011" s="37" t="n">
        <f aca="false">DATE(YEAR(A4011),MONTH(A4011),1)</f>
        <v>46174</v>
      </c>
      <c r="G4011" s="24" t="str">
        <f aca="false">INDEX(Products!$C$2:$C$49,MATCH(C4011,Products!$A$2:$A$49,0))</f>
        <v>Beverages</v>
      </c>
      <c r="H4011" s="33" t="n">
        <f aca="false">D4011*INDEX(Products!$E$2:$E$49,MATCH(C4011,Products!$A$2:$A$49,0))</f>
        <v>11970</v>
      </c>
      <c r="I4011" s="33" t="n">
        <f aca="false">D4011*INDEX(Products!$D$2:$D$49,MATCH(C4011,Products!$A$2:$A$49,0))*(1+INDEX(Assumptions!$B$16:$B$20,MATCH(B4011,Assumptions!$A$16:$A$20,0)))</f>
        <v>9455.616</v>
      </c>
      <c r="J4011" s="33" t="n">
        <f aca="false">H4011-I4011</f>
        <v>2514.384</v>
      </c>
      <c r="K4011" s="33" t="n">
        <f aca="false">IF(OR(E4011=0,E4011&gt;=7),0,D4011/(7-E4011)*E4011*INDEX(Products!$E$2:$E$49,MATCH(C4011,Products!$A$2:$A$49,0)))</f>
        <v>0</v>
      </c>
    </row>
    <row r="4012" customFormat="false" ht="15" hidden="false" customHeight="false" outlineLevel="0" collapsed="false">
      <c r="A4012" s="36" t="n">
        <v>46188</v>
      </c>
      <c r="B4012" s="24" t="s">
        <v>64</v>
      </c>
      <c r="C4012" s="24" t="s">
        <v>147</v>
      </c>
      <c r="D4012" s="33" t="n">
        <v>149</v>
      </c>
      <c r="E4012" s="24" t="n">
        <v>0</v>
      </c>
      <c r="F4012" s="37" t="n">
        <f aca="false">DATE(YEAR(A4012),MONTH(A4012),1)</f>
        <v>46174</v>
      </c>
      <c r="G4012" s="24" t="str">
        <f aca="false">INDEX(Products!$C$2:$C$49,MATCH(C4012,Products!$A$2:$A$49,0))</f>
        <v>Beverages</v>
      </c>
      <c r="H4012" s="33" t="n">
        <f aca="false">D4012*INDEX(Products!$E$2:$E$49,MATCH(C4012,Products!$A$2:$A$49,0))</f>
        <v>10430</v>
      </c>
      <c r="I4012" s="33" t="n">
        <f aca="false">D4012*INDEX(Products!$D$2:$D$49,MATCH(C4012,Products!$A$2:$A$49,0))*(1+INDEX(Assumptions!$B$16:$B$20,MATCH(B4012,Assumptions!$A$16:$A$20,0)))</f>
        <v>8239.104</v>
      </c>
      <c r="J4012" s="33" t="n">
        <f aca="false">H4012-I4012</f>
        <v>2190.896</v>
      </c>
      <c r="K4012" s="33" t="n">
        <f aca="false">IF(OR(E4012=0,E4012&gt;=7),0,D4012/(7-E4012)*E4012*INDEX(Products!$E$2:$E$49,MATCH(C4012,Products!$A$2:$A$49,0)))</f>
        <v>0</v>
      </c>
    </row>
    <row r="4013" customFormat="false" ht="15" hidden="false" customHeight="false" outlineLevel="0" collapsed="false">
      <c r="A4013" s="36" t="n">
        <v>46195</v>
      </c>
      <c r="B4013" s="24" t="s">
        <v>64</v>
      </c>
      <c r="C4013" s="24" t="s">
        <v>147</v>
      </c>
      <c r="D4013" s="33" t="n">
        <v>162</v>
      </c>
      <c r="E4013" s="24" t="n">
        <v>0</v>
      </c>
      <c r="F4013" s="37" t="n">
        <f aca="false">DATE(YEAR(A4013),MONTH(A4013),1)</f>
        <v>46174</v>
      </c>
      <c r="G4013" s="24" t="str">
        <f aca="false">INDEX(Products!$C$2:$C$49,MATCH(C4013,Products!$A$2:$A$49,0))</f>
        <v>Beverages</v>
      </c>
      <c r="H4013" s="33" t="n">
        <f aca="false">D4013*INDEX(Products!$E$2:$E$49,MATCH(C4013,Products!$A$2:$A$49,0))</f>
        <v>11340</v>
      </c>
      <c r="I4013" s="33" t="n">
        <f aca="false">D4013*INDEX(Products!$D$2:$D$49,MATCH(C4013,Products!$A$2:$A$49,0))*(1+INDEX(Assumptions!$B$16:$B$20,MATCH(B4013,Assumptions!$A$16:$A$20,0)))</f>
        <v>8957.952</v>
      </c>
      <c r="J4013" s="33" t="n">
        <f aca="false">H4013-I4013</f>
        <v>2382.048</v>
      </c>
      <c r="K4013" s="33" t="n">
        <f aca="false">IF(OR(E4013=0,E4013&gt;=7),0,D4013/(7-E4013)*E4013*INDEX(Products!$E$2:$E$49,MATCH(C4013,Products!$A$2:$A$49,0)))</f>
        <v>0</v>
      </c>
    </row>
    <row r="4014" customFormat="false" ht="15" hidden="false" customHeight="false" outlineLevel="0" collapsed="false">
      <c r="A4014" s="36" t="n">
        <v>46202</v>
      </c>
      <c r="B4014" s="24" t="s">
        <v>64</v>
      </c>
      <c r="C4014" s="24" t="s">
        <v>147</v>
      </c>
      <c r="D4014" s="33" t="n">
        <v>149</v>
      </c>
      <c r="E4014" s="24" t="n">
        <v>0</v>
      </c>
      <c r="F4014" s="37" t="n">
        <f aca="false">DATE(YEAR(A4014),MONTH(A4014),1)</f>
        <v>46174</v>
      </c>
      <c r="G4014" s="24" t="str">
        <f aca="false">INDEX(Products!$C$2:$C$49,MATCH(C4014,Products!$A$2:$A$49,0))</f>
        <v>Beverages</v>
      </c>
      <c r="H4014" s="33" t="n">
        <f aca="false">D4014*INDEX(Products!$E$2:$E$49,MATCH(C4014,Products!$A$2:$A$49,0))</f>
        <v>10430</v>
      </c>
      <c r="I4014" s="33" t="n">
        <f aca="false">D4014*INDEX(Products!$D$2:$D$49,MATCH(C4014,Products!$A$2:$A$49,0))*(1+INDEX(Assumptions!$B$16:$B$20,MATCH(B4014,Assumptions!$A$16:$A$20,0)))</f>
        <v>8239.104</v>
      </c>
      <c r="J4014" s="33" t="n">
        <f aca="false">H4014-I4014</f>
        <v>2190.896</v>
      </c>
      <c r="K4014" s="33" t="n">
        <f aca="false">IF(OR(E4014=0,E4014&gt;=7),0,D4014/(7-E4014)*E4014*INDEX(Products!$E$2:$E$49,MATCH(C4014,Products!$A$2:$A$49,0)))</f>
        <v>0</v>
      </c>
    </row>
    <row r="4015" customFormat="false" ht="15" hidden="false" customHeight="false" outlineLevel="0" collapsed="false">
      <c r="A4015" s="36" t="n">
        <v>46209</v>
      </c>
      <c r="B4015" s="24" t="s">
        <v>64</v>
      </c>
      <c r="C4015" s="24" t="s">
        <v>147</v>
      </c>
      <c r="D4015" s="33" t="n">
        <v>126</v>
      </c>
      <c r="E4015" s="24" t="n">
        <v>0</v>
      </c>
      <c r="F4015" s="37" t="n">
        <f aca="false">DATE(YEAR(A4015),MONTH(A4015),1)</f>
        <v>46204</v>
      </c>
      <c r="G4015" s="24" t="str">
        <f aca="false">INDEX(Products!$C$2:$C$49,MATCH(C4015,Products!$A$2:$A$49,0))</f>
        <v>Beverages</v>
      </c>
      <c r="H4015" s="33" t="n">
        <f aca="false">D4015*INDEX(Products!$E$2:$E$49,MATCH(C4015,Products!$A$2:$A$49,0))</f>
        <v>8820</v>
      </c>
      <c r="I4015" s="33" t="n">
        <f aca="false">D4015*INDEX(Products!$D$2:$D$49,MATCH(C4015,Products!$A$2:$A$49,0))*(1+INDEX(Assumptions!$B$16:$B$20,MATCH(B4015,Assumptions!$A$16:$A$20,0)))</f>
        <v>6967.296</v>
      </c>
      <c r="J4015" s="33" t="n">
        <f aca="false">H4015-I4015</f>
        <v>1852.704</v>
      </c>
      <c r="K4015" s="33" t="n">
        <f aca="false">IF(OR(E4015=0,E4015&gt;=7),0,D4015/(7-E4015)*E4015*INDEX(Products!$E$2:$E$49,MATCH(C4015,Products!$A$2:$A$49,0)))</f>
        <v>0</v>
      </c>
    </row>
    <row r="4016" customFormat="false" ht="15" hidden="false" customHeight="false" outlineLevel="0" collapsed="false">
      <c r="A4016" s="36" t="n">
        <v>46216</v>
      </c>
      <c r="B4016" s="24" t="s">
        <v>64</v>
      </c>
      <c r="C4016" s="24" t="s">
        <v>147</v>
      </c>
      <c r="D4016" s="33" t="n">
        <v>154</v>
      </c>
      <c r="E4016" s="24" t="n">
        <v>0</v>
      </c>
      <c r="F4016" s="37" t="n">
        <f aca="false">DATE(YEAR(A4016),MONTH(A4016),1)</f>
        <v>46204</v>
      </c>
      <c r="G4016" s="24" t="str">
        <f aca="false">INDEX(Products!$C$2:$C$49,MATCH(C4016,Products!$A$2:$A$49,0))</f>
        <v>Beverages</v>
      </c>
      <c r="H4016" s="33" t="n">
        <f aca="false">D4016*INDEX(Products!$E$2:$E$49,MATCH(C4016,Products!$A$2:$A$49,0))</f>
        <v>10780</v>
      </c>
      <c r="I4016" s="33" t="n">
        <f aca="false">D4016*INDEX(Products!$D$2:$D$49,MATCH(C4016,Products!$A$2:$A$49,0))*(1+INDEX(Assumptions!$B$16:$B$20,MATCH(B4016,Assumptions!$A$16:$A$20,0)))</f>
        <v>8515.584</v>
      </c>
      <c r="J4016" s="33" t="n">
        <f aca="false">H4016-I4016</f>
        <v>2264.416</v>
      </c>
      <c r="K4016" s="33" t="n">
        <f aca="false">IF(OR(E4016=0,E4016&gt;=7),0,D4016/(7-E4016)*E4016*INDEX(Products!$E$2:$E$49,MATCH(C4016,Products!$A$2:$A$49,0)))</f>
        <v>0</v>
      </c>
    </row>
    <row r="4017" customFormat="false" ht="15" hidden="false" customHeight="false" outlineLevel="0" collapsed="false">
      <c r="A4017" s="36" t="n">
        <v>46223</v>
      </c>
      <c r="B4017" s="24" t="s">
        <v>64</v>
      </c>
      <c r="C4017" s="24" t="s">
        <v>147</v>
      </c>
      <c r="D4017" s="33" t="n">
        <v>179</v>
      </c>
      <c r="E4017" s="24" t="n">
        <v>0</v>
      </c>
      <c r="F4017" s="37" t="n">
        <f aca="false">DATE(YEAR(A4017),MONTH(A4017),1)</f>
        <v>46204</v>
      </c>
      <c r="G4017" s="24" t="str">
        <f aca="false">INDEX(Products!$C$2:$C$49,MATCH(C4017,Products!$A$2:$A$49,0))</f>
        <v>Beverages</v>
      </c>
      <c r="H4017" s="33" t="n">
        <f aca="false">D4017*INDEX(Products!$E$2:$E$49,MATCH(C4017,Products!$A$2:$A$49,0))</f>
        <v>12530</v>
      </c>
      <c r="I4017" s="33" t="n">
        <f aca="false">D4017*INDEX(Products!$D$2:$D$49,MATCH(C4017,Products!$A$2:$A$49,0))*(1+INDEX(Assumptions!$B$16:$B$20,MATCH(B4017,Assumptions!$A$16:$A$20,0)))</f>
        <v>9897.984</v>
      </c>
      <c r="J4017" s="33" t="n">
        <f aca="false">H4017-I4017</f>
        <v>2632.016</v>
      </c>
      <c r="K4017" s="33" t="n">
        <f aca="false">IF(OR(E4017=0,E4017&gt;=7),0,D4017/(7-E4017)*E4017*INDEX(Products!$E$2:$E$49,MATCH(C4017,Products!$A$2:$A$49,0)))</f>
        <v>0</v>
      </c>
    </row>
    <row r="4018" customFormat="false" ht="15" hidden="false" customHeight="false" outlineLevel="0" collapsed="false">
      <c r="A4018" s="36" t="n">
        <v>46230</v>
      </c>
      <c r="B4018" s="24" t="s">
        <v>64</v>
      </c>
      <c r="C4018" s="24" t="s">
        <v>147</v>
      </c>
      <c r="D4018" s="33" t="n">
        <v>167</v>
      </c>
      <c r="E4018" s="24" t="n">
        <v>0</v>
      </c>
      <c r="F4018" s="37" t="n">
        <f aca="false">DATE(YEAR(A4018),MONTH(A4018),1)</f>
        <v>46204</v>
      </c>
      <c r="G4018" s="24" t="str">
        <f aca="false">INDEX(Products!$C$2:$C$49,MATCH(C4018,Products!$A$2:$A$49,0))</f>
        <v>Beverages</v>
      </c>
      <c r="H4018" s="33" t="n">
        <f aca="false">D4018*INDEX(Products!$E$2:$E$49,MATCH(C4018,Products!$A$2:$A$49,0))</f>
        <v>11690</v>
      </c>
      <c r="I4018" s="33" t="n">
        <f aca="false">D4018*INDEX(Products!$D$2:$D$49,MATCH(C4018,Products!$A$2:$A$49,0))*(1+INDEX(Assumptions!$B$16:$B$20,MATCH(B4018,Assumptions!$A$16:$A$20,0)))</f>
        <v>9234.432</v>
      </c>
      <c r="J4018" s="33" t="n">
        <f aca="false">H4018-I4018</f>
        <v>2455.568</v>
      </c>
      <c r="K4018" s="33" t="n">
        <f aca="false">IF(OR(E4018=0,E4018&gt;=7),0,D4018/(7-E4018)*E4018*INDEX(Products!$E$2:$E$49,MATCH(C4018,Products!$A$2:$A$49,0)))</f>
        <v>0</v>
      </c>
    </row>
    <row r="4019" customFormat="false" ht="15" hidden="false" customHeight="false" outlineLevel="0" collapsed="false">
      <c r="A4019" s="36" t="n">
        <v>46237</v>
      </c>
      <c r="B4019" s="24" t="s">
        <v>64</v>
      </c>
      <c r="C4019" s="24" t="s">
        <v>147</v>
      </c>
      <c r="D4019" s="33" t="n">
        <v>133</v>
      </c>
      <c r="E4019" s="24" t="n">
        <v>0</v>
      </c>
      <c r="F4019" s="37" t="n">
        <f aca="false">DATE(YEAR(A4019),MONTH(A4019),1)</f>
        <v>46235</v>
      </c>
      <c r="G4019" s="24" t="str">
        <f aca="false">INDEX(Products!$C$2:$C$49,MATCH(C4019,Products!$A$2:$A$49,0))</f>
        <v>Beverages</v>
      </c>
      <c r="H4019" s="33" t="n">
        <f aca="false">D4019*INDEX(Products!$E$2:$E$49,MATCH(C4019,Products!$A$2:$A$49,0))</f>
        <v>9310</v>
      </c>
      <c r="I4019" s="33" t="n">
        <f aca="false">D4019*INDEX(Products!$D$2:$D$49,MATCH(C4019,Products!$A$2:$A$49,0))*(1+INDEX(Assumptions!$B$16:$B$20,MATCH(B4019,Assumptions!$A$16:$A$20,0)))</f>
        <v>7354.368</v>
      </c>
      <c r="J4019" s="33" t="n">
        <f aca="false">H4019-I4019</f>
        <v>1955.632</v>
      </c>
      <c r="K4019" s="33" t="n">
        <f aca="false">IF(OR(E4019=0,E4019&gt;=7),0,D4019/(7-E4019)*E4019*INDEX(Products!$E$2:$E$49,MATCH(C4019,Products!$A$2:$A$49,0)))</f>
        <v>0</v>
      </c>
    </row>
    <row r="4020" customFormat="false" ht="15" hidden="false" customHeight="false" outlineLevel="0" collapsed="false">
      <c r="A4020" s="36" t="n">
        <v>46244</v>
      </c>
      <c r="B4020" s="24" t="s">
        <v>64</v>
      </c>
      <c r="C4020" s="24" t="s">
        <v>147</v>
      </c>
      <c r="D4020" s="33" t="n">
        <v>154</v>
      </c>
      <c r="E4020" s="24" t="n">
        <v>0</v>
      </c>
      <c r="F4020" s="37" t="n">
        <f aca="false">DATE(YEAR(A4020),MONTH(A4020),1)</f>
        <v>46235</v>
      </c>
      <c r="G4020" s="24" t="str">
        <f aca="false">INDEX(Products!$C$2:$C$49,MATCH(C4020,Products!$A$2:$A$49,0))</f>
        <v>Beverages</v>
      </c>
      <c r="H4020" s="33" t="n">
        <f aca="false">D4020*INDEX(Products!$E$2:$E$49,MATCH(C4020,Products!$A$2:$A$49,0))</f>
        <v>10780</v>
      </c>
      <c r="I4020" s="33" t="n">
        <f aca="false">D4020*INDEX(Products!$D$2:$D$49,MATCH(C4020,Products!$A$2:$A$49,0))*(1+INDEX(Assumptions!$B$16:$B$20,MATCH(B4020,Assumptions!$A$16:$A$20,0)))</f>
        <v>8515.584</v>
      </c>
      <c r="J4020" s="33" t="n">
        <f aca="false">H4020-I4020</f>
        <v>2264.416</v>
      </c>
      <c r="K4020" s="33" t="n">
        <f aca="false">IF(OR(E4020=0,E4020&gt;=7),0,D4020/(7-E4020)*E4020*INDEX(Products!$E$2:$E$49,MATCH(C4020,Products!$A$2:$A$49,0)))</f>
        <v>0</v>
      </c>
    </row>
    <row r="4021" customFormat="false" ht="15" hidden="false" customHeight="false" outlineLevel="0" collapsed="false">
      <c r="A4021" s="36" t="n">
        <v>46251</v>
      </c>
      <c r="B4021" s="24" t="s">
        <v>64</v>
      </c>
      <c r="C4021" s="24" t="s">
        <v>147</v>
      </c>
      <c r="D4021" s="33" t="n">
        <v>126</v>
      </c>
      <c r="E4021" s="24" t="n">
        <v>0</v>
      </c>
      <c r="F4021" s="37" t="n">
        <f aca="false">DATE(YEAR(A4021),MONTH(A4021),1)</f>
        <v>46235</v>
      </c>
      <c r="G4021" s="24" t="str">
        <f aca="false">INDEX(Products!$C$2:$C$49,MATCH(C4021,Products!$A$2:$A$49,0))</f>
        <v>Beverages</v>
      </c>
      <c r="H4021" s="33" t="n">
        <f aca="false">D4021*INDEX(Products!$E$2:$E$49,MATCH(C4021,Products!$A$2:$A$49,0))</f>
        <v>8820</v>
      </c>
      <c r="I4021" s="33" t="n">
        <f aca="false">D4021*INDEX(Products!$D$2:$D$49,MATCH(C4021,Products!$A$2:$A$49,0))*(1+INDEX(Assumptions!$B$16:$B$20,MATCH(B4021,Assumptions!$A$16:$A$20,0)))</f>
        <v>6967.296</v>
      </c>
      <c r="J4021" s="33" t="n">
        <f aca="false">H4021-I4021</f>
        <v>1852.704</v>
      </c>
      <c r="K4021" s="33" t="n">
        <f aca="false">IF(OR(E4021=0,E4021&gt;=7),0,D4021/(7-E4021)*E4021*INDEX(Products!$E$2:$E$49,MATCH(C4021,Products!$A$2:$A$49,0)))</f>
        <v>0</v>
      </c>
    </row>
    <row r="4022" customFormat="false" ht="15" hidden="false" customHeight="false" outlineLevel="0" collapsed="false">
      <c r="A4022" s="36" t="n">
        <v>46258</v>
      </c>
      <c r="B4022" s="24" t="s">
        <v>64</v>
      </c>
      <c r="C4022" s="24" t="s">
        <v>147</v>
      </c>
      <c r="D4022" s="33" t="n">
        <v>170</v>
      </c>
      <c r="E4022" s="24" t="n">
        <v>0</v>
      </c>
      <c r="F4022" s="37" t="n">
        <f aca="false">DATE(YEAR(A4022),MONTH(A4022),1)</f>
        <v>46235</v>
      </c>
      <c r="G4022" s="24" t="str">
        <f aca="false">INDEX(Products!$C$2:$C$49,MATCH(C4022,Products!$A$2:$A$49,0))</f>
        <v>Beverages</v>
      </c>
      <c r="H4022" s="33" t="n">
        <f aca="false">D4022*INDEX(Products!$E$2:$E$49,MATCH(C4022,Products!$A$2:$A$49,0))</f>
        <v>11900</v>
      </c>
      <c r="I4022" s="33" t="n">
        <f aca="false">D4022*INDEX(Products!$D$2:$D$49,MATCH(C4022,Products!$A$2:$A$49,0))*(1+INDEX(Assumptions!$B$16:$B$20,MATCH(B4022,Assumptions!$A$16:$A$20,0)))</f>
        <v>9400.32</v>
      </c>
      <c r="J4022" s="33" t="n">
        <f aca="false">H4022-I4022</f>
        <v>2499.68</v>
      </c>
      <c r="K4022" s="33" t="n">
        <f aca="false">IF(OR(E4022=0,E4022&gt;=7),0,D4022/(7-E4022)*E4022*INDEX(Products!$E$2:$E$49,MATCH(C4022,Products!$A$2:$A$49,0)))</f>
        <v>0</v>
      </c>
    </row>
    <row r="4023" customFormat="false" ht="15" hidden="false" customHeight="false" outlineLevel="0" collapsed="false">
      <c r="A4023" s="36" t="n">
        <v>46265</v>
      </c>
      <c r="B4023" s="24" t="s">
        <v>64</v>
      </c>
      <c r="C4023" s="24" t="s">
        <v>147</v>
      </c>
      <c r="D4023" s="33" t="n">
        <v>192</v>
      </c>
      <c r="E4023" s="24" t="n">
        <v>0</v>
      </c>
      <c r="F4023" s="37" t="n">
        <f aca="false">DATE(YEAR(A4023),MONTH(A4023),1)</f>
        <v>46235</v>
      </c>
      <c r="G4023" s="24" t="str">
        <f aca="false">INDEX(Products!$C$2:$C$49,MATCH(C4023,Products!$A$2:$A$49,0))</f>
        <v>Beverages</v>
      </c>
      <c r="H4023" s="33" t="n">
        <f aca="false">D4023*INDEX(Products!$E$2:$E$49,MATCH(C4023,Products!$A$2:$A$49,0))</f>
        <v>13440</v>
      </c>
      <c r="I4023" s="33" t="n">
        <f aca="false">D4023*INDEX(Products!$D$2:$D$49,MATCH(C4023,Products!$A$2:$A$49,0))*(1+INDEX(Assumptions!$B$16:$B$20,MATCH(B4023,Assumptions!$A$16:$A$20,0)))</f>
        <v>10616.832</v>
      </c>
      <c r="J4023" s="33" t="n">
        <f aca="false">H4023-I4023</f>
        <v>2823.168</v>
      </c>
      <c r="K4023" s="33" t="n">
        <f aca="false">IF(OR(E4023=0,E4023&gt;=7),0,D4023/(7-E4023)*E4023*INDEX(Products!$E$2:$E$49,MATCH(C4023,Products!$A$2:$A$49,0)))</f>
        <v>0</v>
      </c>
    </row>
    <row r="4024" customFormat="false" ht="15" hidden="false" customHeight="false" outlineLevel="0" collapsed="false">
      <c r="A4024" s="36" t="n">
        <v>46272</v>
      </c>
      <c r="B4024" s="24" t="s">
        <v>64</v>
      </c>
      <c r="C4024" s="24" t="s">
        <v>147</v>
      </c>
      <c r="D4024" s="33" t="n">
        <v>120</v>
      </c>
      <c r="E4024" s="24" t="n">
        <v>2</v>
      </c>
      <c r="F4024" s="37" t="n">
        <f aca="false">DATE(YEAR(A4024),MONTH(A4024),1)</f>
        <v>46266</v>
      </c>
      <c r="G4024" s="24" t="str">
        <f aca="false">INDEX(Products!$C$2:$C$49,MATCH(C4024,Products!$A$2:$A$49,0))</f>
        <v>Beverages</v>
      </c>
      <c r="H4024" s="33" t="n">
        <f aca="false">D4024*INDEX(Products!$E$2:$E$49,MATCH(C4024,Products!$A$2:$A$49,0))</f>
        <v>8400</v>
      </c>
      <c r="I4024" s="33" t="n">
        <f aca="false">D4024*INDEX(Products!$D$2:$D$49,MATCH(C4024,Products!$A$2:$A$49,0))*(1+INDEX(Assumptions!$B$16:$B$20,MATCH(B4024,Assumptions!$A$16:$A$20,0)))</f>
        <v>6635.52</v>
      </c>
      <c r="J4024" s="33" t="n">
        <f aca="false">H4024-I4024</f>
        <v>1764.48</v>
      </c>
      <c r="K4024" s="33" t="n">
        <f aca="false">IF(OR(E4024=0,E4024&gt;=7),0,D4024/(7-E4024)*E4024*INDEX(Products!$E$2:$E$49,MATCH(C4024,Products!$A$2:$A$49,0)))</f>
        <v>3360</v>
      </c>
    </row>
    <row r="4025" customFormat="false" ht="15" hidden="false" customHeight="false" outlineLevel="0" collapsed="false">
      <c r="A4025" s="36" t="n">
        <v>46279</v>
      </c>
      <c r="B4025" s="24" t="s">
        <v>64</v>
      </c>
      <c r="C4025" s="24" t="s">
        <v>147</v>
      </c>
      <c r="D4025" s="33" t="n">
        <v>178</v>
      </c>
      <c r="E4025" s="24" t="n">
        <v>0</v>
      </c>
      <c r="F4025" s="37" t="n">
        <f aca="false">DATE(YEAR(A4025),MONTH(A4025),1)</f>
        <v>46266</v>
      </c>
      <c r="G4025" s="24" t="str">
        <f aca="false">INDEX(Products!$C$2:$C$49,MATCH(C4025,Products!$A$2:$A$49,0))</f>
        <v>Beverages</v>
      </c>
      <c r="H4025" s="33" t="n">
        <f aca="false">D4025*INDEX(Products!$E$2:$E$49,MATCH(C4025,Products!$A$2:$A$49,0))</f>
        <v>12460</v>
      </c>
      <c r="I4025" s="33" t="n">
        <f aca="false">D4025*INDEX(Products!$D$2:$D$49,MATCH(C4025,Products!$A$2:$A$49,0))*(1+INDEX(Assumptions!$B$16:$B$20,MATCH(B4025,Assumptions!$A$16:$A$20,0)))</f>
        <v>9842.688</v>
      </c>
      <c r="J4025" s="33" t="n">
        <f aca="false">H4025-I4025</f>
        <v>2617.312</v>
      </c>
      <c r="K4025" s="33" t="n">
        <f aca="false">IF(OR(E4025=0,E4025&gt;=7),0,D4025/(7-E4025)*E4025*INDEX(Products!$E$2:$E$49,MATCH(C4025,Products!$A$2:$A$49,0)))</f>
        <v>0</v>
      </c>
    </row>
    <row r="4026" customFormat="false" ht="15" hidden="false" customHeight="false" outlineLevel="0" collapsed="false">
      <c r="A4026" s="36" t="n">
        <v>46286</v>
      </c>
      <c r="B4026" s="24" t="s">
        <v>64</v>
      </c>
      <c r="C4026" s="24" t="s">
        <v>147</v>
      </c>
      <c r="D4026" s="33" t="n">
        <v>194</v>
      </c>
      <c r="E4026" s="24" t="n">
        <v>0</v>
      </c>
      <c r="F4026" s="37" t="n">
        <f aca="false">DATE(YEAR(A4026),MONTH(A4026),1)</f>
        <v>46266</v>
      </c>
      <c r="G4026" s="24" t="str">
        <f aca="false">INDEX(Products!$C$2:$C$49,MATCH(C4026,Products!$A$2:$A$49,0))</f>
        <v>Beverages</v>
      </c>
      <c r="H4026" s="33" t="n">
        <f aca="false">D4026*INDEX(Products!$E$2:$E$49,MATCH(C4026,Products!$A$2:$A$49,0))</f>
        <v>13580</v>
      </c>
      <c r="I4026" s="33" t="n">
        <f aca="false">D4026*INDEX(Products!$D$2:$D$49,MATCH(C4026,Products!$A$2:$A$49,0))*(1+INDEX(Assumptions!$B$16:$B$20,MATCH(B4026,Assumptions!$A$16:$A$20,0)))</f>
        <v>10727.424</v>
      </c>
      <c r="J4026" s="33" t="n">
        <f aca="false">H4026-I4026</f>
        <v>2852.576</v>
      </c>
      <c r="K4026" s="33" t="n">
        <f aca="false">IF(OR(E4026=0,E4026&gt;=7),0,D4026/(7-E4026)*E4026*INDEX(Products!$E$2:$E$49,MATCH(C4026,Products!$A$2:$A$49,0)))</f>
        <v>0</v>
      </c>
    </row>
    <row r="4027" customFormat="false" ht="15" hidden="false" customHeight="false" outlineLevel="0" collapsed="false">
      <c r="A4027" s="36" t="n">
        <v>46118</v>
      </c>
      <c r="B4027" s="24" t="s">
        <v>64</v>
      </c>
      <c r="C4027" s="24" t="s">
        <v>149</v>
      </c>
      <c r="D4027" s="33" t="n">
        <v>201</v>
      </c>
      <c r="E4027" s="24" t="n">
        <v>0</v>
      </c>
      <c r="F4027" s="37" t="n">
        <f aca="false">DATE(YEAR(A4027),MONTH(A4027),1)</f>
        <v>46113</v>
      </c>
      <c r="G4027" s="24" t="str">
        <f aca="false">INDEX(Products!$C$2:$C$49,MATCH(C4027,Products!$A$2:$A$49,0))</f>
        <v>Beverages</v>
      </c>
      <c r="H4027" s="33" t="n">
        <f aca="false">D4027*INDEX(Products!$E$2:$E$49,MATCH(C4027,Products!$A$2:$A$49,0))</f>
        <v>38190</v>
      </c>
      <c r="I4027" s="33" t="n">
        <f aca="false">D4027*INDEX(Products!$D$2:$D$49,MATCH(C4027,Products!$A$2:$A$49,0))*(1+INDEX(Assumptions!$B$16:$B$20,MATCH(B4027,Assumptions!$A$16:$A$20,0)))</f>
        <v>31285.248</v>
      </c>
      <c r="J4027" s="33" t="n">
        <f aca="false">H4027-I4027</f>
        <v>6904.752</v>
      </c>
      <c r="K4027" s="33" t="n">
        <f aca="false">IF(OR(E4027=0,E4027&gt;=7),0,D4027/(7-E4027)*E4027*INDEX(Products!$E$2:$E$49,MATCH(C4027,Products!$A$2:$A$49,0)))</f>
        <v>0</v>
      </c>
    </row>
    <row r="4028" customFormat="false" ht="15" hidden="false" customHeight="false" outlineLevel="0" collapsed="false">
      <c r="A4028" s="36" t="n">
        <v>46125</v>
      </c>
      <c r="B4028" s="24" t="s">
        <v>64</v>
      </c>
      <c r="C4028" s="24" t="s">
        <v>149</v>
      </c>
      <c r="D4028" s="33" t="n">
        <v>219</v>
      </c>
      <c r="E4028" s="24" t="n">
        <v>0</v>
      </c>
      <c r="F4028" s="37" t="n">
        <f aca="false">DATE(YEAR(A4028),MONTH(A4028),1)</f>
        <v>46113</v>
      </c>
      <c r="G4028" s="24" t="str">
        <f aca="false">INDEX(Products!$C$2:$C$49,MATCH(C4028,Products!$A$2:$A$49,0))</f>
        <v>Beverages</v>
      </c>
      <c r="H4028" s="33" t="n">
        <f aca="false">D4028*INDEX(Products!$E$2:$E$49,MATCH(C4028,Products!$A$2:$A$49,0))</f>
        <v>41610</v>
      </c>
      <c r="I4028" s="33" t="n">
        <f aca="false">D4028*INDEX(Products!$D$2:$D$49,MATCH(C4028,Products!$A$2:$A$49,0))*(1+INDEX(Assumptions!$B$16:$B$20,MATCH(B4028,Assumptions!$A$16:$A$20,0)))</f>
        <v>34086.912</v>
      </c>
      <c r="J4028" s="33" t="n">
        <f aca="false">H4028-I4028</f>
        <v>7523.088</v>
      </c>
      <c r="K4028" s="33" t="n">
        <f aca="false">IF(OR(E4028=0,E4028&gt;=7),0,D4028/(7-E4028)*E4028*INDEX(Products!$E$2:$E$49,MATCH(C4028,Products!$A$2:$A$49,0)))</f>
        <v>0</v>
      </c>
    </row>
    <row r="4029" customFormat="false" ht="15" hidden="false" customHeight="false" outlineLevel="0" collapsed="false">
      <c r="A4029" s="36" t="n">
        <v>46132</v>
      </c>
      <c r="B4029" s="24" t="s">
        <v>64</v>
      </c>
      <c r="C4029" s="24" t="s">
        <v>149</v>
      </c>
      <c r="D4029" s="33" t="n">
        <v>230</v>
      </c>
      <c r="E4029" s="24" t="n">
        <v>0</v>
      </c>
      <c r="F4029" s="37" t="n">
        <f aca="false">DATE(YEAR(A4029),MONTH(A4029),1)</f>
        <v>46113</v>
      </c>
      <c r="G4029" s="24" t="str">
        <f aca="false">INDEX(Products!$C$2:$C$49,MATCH(C4029,Products!$A$2:$A$49,0))</f>
        <v>Beverages</v>
      </c>
      <c r="H4029" s="33" t="n">
        <f aca="false">D4029*INDEX(Products!$E$2:$E$49,MATCH(C4029,Products!$A$2:$A$49,0))</f>
        <v>43700</v>
      </c>
      <c r="I4029" s="33" t="n">
        <f aca="false">D4029*INDEX(Products!$D$2:$D$49,MATCH(C4029,Products!$A$2:$A$49,0))*(1+INDEX(Assumptions!$B$16:$B$20,MATCH(B4029,Assumptions!$A$16:$A$20,0)))</f>
        <v>35799.04</v>
      </c>
      <c r="J4029" s="33" t="n">
        <f aca="false">H4029-I4029</f>
        <v>7900.96</v>
      </c>
      <c r="K4029" s="33" t="n">
        <f aca="false">IF(OR(E4029=0,E4029&gt;=7),0,D4029/(7-E4029)*E4029*INDEX(Products!$E$2:$E$49,MATCH(C4029,Products!$A$2:$A$49,0)))</f>
        <v>0</v>
      </c>
    </row>
    <row r="4030" customFormat="false" ht="15" hidden="false" customHeight="false" outlineLevel="0" collapsed="false">
      <c r="A4030" s="36" t="n">
        <v>46139</v>
      </c>
      <c r="B4030" s="24" t="s">
        <v>64</v>
      </c>
      <c r="C4030" s="24" t="s">
        <v>149</v>
      </c>
      <c r="D4030" s="33" t="n">
        <v>225</v>
      </c>
      <c r="E4030" s="24" t="n">
        <v>0</v>
      </c>
      <c r="F4030" s="37" t="n">
        <f aca="false">DATE(YEAR(A4030),MONTH(A4030),1)</f>
        <v>46113</v>
      </c>
      <c r="G4030" s="24" t="str">
        <f aca="false">INDEX(Products!$C$2:$C$49,MATCH(C4030,Products!$A$2:$A$49,0))</f>
        <v>Beverages</v>
      </c>
      <c r="H4030" s="33" t="n">
        <f aca="false">D4030*INDEX(Products!$E$2:$E$49,MATCH(C4030,Products!$A$2:$A$49,0))</f>
        <v>42750</v>
      </c>
      <c r="I4030" s="33" t="n">
        <f aca="false">D4030*INDEX(Products!$D$2:$D$49,MATCH(C4030,Products!$A$2:$A$49,0))*(1+INDEX(Assumptions!$B$16:$B$20,MATCH(B4030,Assumptions!$A$16:$A$20,0)))</f>
        <v>35020.8</v>
      </c>
      <c r="J4030" s="33" t="n">
        <f aca="false">H4030-I4030</f>
        <v>7729.2</v>
      </c>
      <c r="K4030" s="33" t="n">
        <f aca="false">IF(OR(E4030=0,E4030&gt;=7),0,D4030/(7-E4030)*E4030*INDEX(Products!$E$2:$E$49,MATCH(C4030,Products!$A$2:$A$49,0)))</f>
        <v>0</v>
      </c>
    </row>
    <row r="4031" customFormat="false" ht="15" hidden="false" customHeight="false" outlineLevel="0" collapsed="false">
      <c r="A4031" s="36" t="n">
        <v>46146</v>
      </c>
      <c r="B4031" s="24" t="s">
        <v>64</v>
      </c>
      <c r="C4031" s="24" t="s">
        <v>149</v>
      </c>
      <c r="D4031" s="33" t="n">
        <v>206</v>
      </c>
      <c r="E4031" s="24" t="n">
        <v>0</v>
      </c>
      <c r="F4031" s="37" t="n">
        <f aca="false">DATE(YEAR(A4031),MONTH(A4031),1)</f>
        <v>46143</v>
      </c>
      <c r="G4031" s="24" t="str">
        <f aca="false">INDEX(Products!$C$2:$C$49,MATCH(C4031,Products!$A$2:$A$49,0))</f>
        <v>Beverages</v>
      </c>
      <c r="H4031" s="33" t="n">
        <f aca="false">D4031*INDEX(Products!$E$2:$E$49,MATCH(C4031,Products!$A$2:$A$49,0))</f>
        <v>39140</v>
      </c>
      <c r="I4031" s="33" t="n">
        <f aca="false">D4031*INDEX(Products!$D$2:$D$49,MATCH(C4031,Products!$A$2:$A$49,0))*(1+INDEX(Assumptions!$B$16:$B$20,MATCH(B4031,Assumptions!$A$16:$A$20,0)))</f>
        <v>32063.488</v>
      </c>
      <c r="J4031" s="33" t="n">
        <f aca="false">H4031-I4031</f>
        <v>7076.512</v>
      </c>
      <c r="K4031" s="33" t="n">
        <f aca="false">IF(OR(E4031=0,E4031&gt;=7),0,D4031/(7-E4031)*E4031*INDEX(Products!$E$2:$E$49,MATCH(C4031,Products!$A$2:$A$49,0)))</f>
        <v>0</v>
      </c>
    </row>
    <row r="4032" customFormat="false" ht="15" hidden="false" customHeight="false" outlineLevel="0" collapsed="false">
      <c r="A4032" s="36" t="n">
        <v>46153</v>
      </c>
      <c r="B4032" s="24" t="s">
        <v>64</v>
      </c>
      <c r="C4032" s="24" t="s">
        <v>149</v>
      </c>
      <c r="D4032" s="33" t="n">
        <v>206</v>
      </c>
      <c r="E4032" s="24" t="n">
        <v>0</v>
      </c>
      <c r="F4032" s="37" t="n">
        <f aca="false">DATE(YEAR(A4032),MONTH(A4032),1)</f>
        <v>46143</v>
      </c>
      <c r="G4032" s="24" t="str">
        <f aca="false">INDEX(Products!$C$2:$C$49,MATCH(C4032,Products!$A$2:$A$49,0))</f>
        <v>Beverages</v>
      </c>
      <c r="H4032" s="33" t="n">
        <f aca="false">D4032*INDEX(Products!$E$2:$E$49,MATCH(C4032,Products!$A$2:$A$49,0))</f>
        <v>39140</v>
      </c>
      <c r="I4032" s="33" t="n">
        <f aca="false">D4032*INDEX(Products!$D$2:$D$49,MATCH(C4032,Products!$A$2:$A$49,0))*(1+INDEX(Assumptions!$B$16:$B$20,MATCH(B4032,Assumptions!$A$16:$A$20,0)))</f>
        <v>32063.488</v>
      </c>
      <c r="J4032" s="33" t="n">
        <f aca="false">H4032-I4032</f>
        <v>7076.512</v>
      </c>
      <c r="K4032" s="33" t="n">
        <f aca="false">IF(OR(E4032=0,E4032&gt;=7),0,D4032/(7-E4032)*E4032*INDEX(Products!$E$2:$E$49,MATCH(C4032,Products!$A$2:$A$49,0)))</f>
        <v>0</v>
      </c>
    </row>
    <row r="4033" customFormat="false" ht="15" hidden="false" customHeight="false" outlineLevel="0" collapsed="false">
      <c r="A4033" s="36" t="n">
        <v>46160</v>
      </c>
      <c r="B4033" s="24" t="s">
        <v>64</v>
      </c>
      <c r="C4033" s="24" t="s">
        <v>149</v>
      </c>
      <c r="D4033" s="33" t="n">
        <v>193</v>
      </c>
      <c r="E4033" s="24" t="n">
        <v>0</v>
      </c>
      <c r="F4033" s="37" t="n">
        <f aca="false">DATE(YEAR(A4033),MONTH(A4033),1)</f>
        <v>46143</v>
      </c>
      <c r="G4033" s="24" t="str">
        <f aca="false">INDEX(Products!$C$2:$C$49,MATCH(C4033,Products!$A$2:$A$49,0))</f>
        <v>Beverages</v>
      </c>
      <c r="H4033" s="33" t="n">
        <f aca="false">D4033*INDEX(Products!$E$2:$E$49,MATCH(C4033,Products!$A$2:$A$49,0))</f>
        <v>36670</v>
      </c>
      <c r="I4033" s="33" t="n">
        <f aca="false">D4033*INDEX(Products!$D$2:$D$49,MATCH(C4033,Products!$A$2:$A$49,0))*(1+INDEX(Assumptions!$B$16:$B$20,MATCH(B4033,Assumptions!$A$16:$A$20,0)))</f>
        <v>30040.064</v>
      </c>
      <c r="J4033" s="33" t="n">
        <f aca="false">H4033-I4033</f>
        <v>6629.936</v>
      </c>
      <c r="K4033" s="33" t="n">
        <f aca="false">IF(OR(E4033=0,E4033&gt;=7),0,D4033/(7-E4033)*E4033*INDEX(Products!$E$2:$E$49,MATCH(C4033,Products!$A$2:$A$49,0)))</f>
        <v>0</v>
      </c>
    </row>
    <row r="4034" customFormat="false" ht="15" hidden="false" customHeight="false" outlineLevel="0" collapsed="false">
      <c r="A4034" s="36" t="n">
        <v>46167</v>
      </c>
      <c r="B4034" s="24" t="s">
        <v>64</v>
      </c>
      <c r="C4034" s="24" t="s">
        <v>149</v>
      </c>
      <c r="D4034" s="33" t="n">
        <v>199</v>
      </c>
      <c r="E4034" s="24" t="n">
        <v>0</v>
      </c>
      <c r="F4034" s="37" t="n">
        <f aca="false">DATE(YEAR(A4034),MONTH(A4034),1)</f>
        <v>46143</v>
      </c>
      <c r="G4034" s="24" t="str">
        <f aca="false">INDEX(Products!$C$2:$C$49,MATCH(C4034,Products!$A$2:$A$49,0))</f>
        <v>Beverages</v>
      </c>
      <c r="H4034" s="33" t="n">
        <f aca="false">D4034*INDEX(Products!$E$2:$E$49,MATCH(C4034,Products!$A$2:$A$49,0))</f>
        <v>37810</v>
      </c>
      <c r="I4034" s="33" t="n">
        <f aca="false">D4034*INDEX(Products!$D$2:$D$49,MATCH(C4034,Products!$A$2:$A$49,0))*(1+INDEX(Assumptions!$B$16:$B$20,MATCH(B4034,Assumptions!$A$16:$A$20,0)))</f>
        <v>30973.952</v>
      </c>
      <c r="J4034" s="33" t="n">
        <f aca="false">H4034-I4034</f>
        <v>6836.048</v>
      </c>
      <c r="K4034" s="33" t="n">
        <f aca="false">IF(OR(E4034=0,E4034&gt;=7),0,D4034/(7-E4034)*E4034*INDEX(Products!$E$2:$E$49,MATCH(C4034,Products!$A$2:$A$49,0)))</f>
        <v>0</v>
      </c>
    </row>
    <row r="4035" customFormat="false" ht="15" hidden="false" customHeight="false" outlineLevel="0" collapsed="false">
      <c r="A4035" s="36" t="n">
        <v>46174</v>
      </c>
      <c r="B4035" s="24" t="s">
        <v>64</v>
      </c>
      <c r="C4035" s="24" t="s">
        <v>149</v>
      </c>
      <c r="D4035" s="33" t="n">
        <v>186</v>
      </c>
      <c r="E4035" s="24" t="n">
        <v>0</v>
      </c>
      <c r="F4035" s="37" t="n">
        <f aca="false">DATE(YEAR(A4035),MONTH(A4035),1)</f>
        <v>46174</v>
      </c>
      <c r="G4035" s="24" t="str">
        <f aca="false">INDEX(Products!$C$2:$C$49,MATCH(C4035,Products!$A$2:$A$49,0))</f>
        <v>Beverages</v>
      </c>
      <c r="H4035" s="33" t="n">
        <f aca="false">D4035*INDEX(Products!$E$2:$E$49,MATCH(C4035,Products!$A$2:$A$49,0))</f>
        <v>35340</v>
      </c>
      <c r="I4035" s="33" t="n">
        <f aca="false">D4035*INDEX(Products!$D$2:$D$49,MATCH(C4035,Products!$A$2:$A$49,0))*(1+INDEX(Assumptions!$B$16:$B$20,MATCH(B4035,Assumptions!$A$16:$A$20,0)))</f>
        <v>28950.528</v>
      </c>
      <c r="J4035" s="33" t="n">
        <f aca="false">H4035-I4035</f>
        <v>6389.472</v>
      </c>
      <c r="K4035" s="33" t="n">
        <f aca="false">IF(OR(E4035=0,E4035&gt;=7),0,D4035/(7-E4035)*E4035*INDEX(Products!$E$2:$E$49,MATCH(C4035,Products!$A$2:$A$49,0)))</f>
        <v>0</v>
      </c>
    </row>
    <row r="4036" customFormat="false" ht="15" hidden="false" customHeight="false" outlineLevel="0" collapsed="false">
      <c r="A4036" s="36" t="n">
        <v>46181</v>
      </c>
      <c r="B4036" s="24" t="s">
        <v>64</v>
      </c>
      <c r="C4036" s="24" t="s">
        <v>149</v>
      </c>
      <c r="D4036" s="33" t="n">
        <v>175</v>
      </c>
      <c r="E4036" s="24" t="n">
        <v>0</v>
      </c>
      <c r="F4036" s="37" t="n">
        <f aca="false">DATE(YEAR(A4036),MONTH(A4036),1)</f>
        <v>46174</v>
      </c>
      <c r="G4036" s="24" t="str">
        <f aca="false">INDEX(Products!$C$2:$C$49,MATCH(C4036,Products!$A$2:$A$49,0))</f>
        <v>Beverages</v>
      </c>
      <c r="H4036" s="33" t="n">
        <f aca="false">D4036*INDEX(Products!$E$2:$E$49,MATCH(C4036,Products!$A$2:$A$49,0))</f>
        <v>33250</v>
      </c>
      <c r="I4036" s="33" t="n">
        <f aca="false">D4036*INDEX(Products!$D$2:$D$49,MATCH(C4036,Products!$A$2:$A$49,0))*(1+INDEX(Assumptions!$B$16:$B$20,MATCH(B4036,Assumptions!$A$16:$A$20,0)))</f>
        <v>27238.4</v>
      </c>
      <c r="J4036" s="33" t="n">
        <f aca="false">H4036-I4036</f>
        <v>6011.6</v>
      </c>
      <c r="K4036" s="33" t="n">
        <f aca="false">IF(OR(E4036=0,E4036&gt;=7),0,D4036/(7-E4036)*E4036*INDEX(Products!$E$2:$E$49,MATCH(C4036,Products!$A$2:$A$49,0)))</f>
        <v>0</v>
      </c>
    </row>
    <row r="4037" customFormat="false" ht="15" hidden="false" customHeight="false" outlineLevel="0" collapsed="false">
      <c r="A4037" s="36" t="n">
        <v>46188</v>
      </c>
      <c r="B4037" s="24" t="s">
        <v>64</v>
      </c>
      <c r="C4037" s="24" t="s">
        <v>149</v>
      </c>
      <c r="D4037" s="33" t="n">
        <v>170</v>
      </c>
      <c r="E4037" s="24" t="n">
        <v>0</v>
      </c>
      <c r="F4037" s="37" t="n">
        <f aca="false">DATE(YEAR(A4037),MONTH(A4037),1)</f>
        <v>46174</v>
      </c>
      <c r="G4037" s="24" t="str">
        <f aca="false">INDEX(Products!$C$2:$C$49,MATCH(C4037,Products!$A$2:$A$49,0))</f>
        <v>Beverages</v>
      </c>
      <c r="H4037" s="33" t="n">
        <f aca="false">D4037*INDEX(Products!$E$2:$E$49,MATCH(C4037,Products!$A$2:$A$49,0))</f>
        <v>32300</v>
      </c>
      <c r="I4037" s="33" t="n">
        <f aca="false">D4037*INDEX(Products!$D$2:$D$49,MATCH(C4037,Products!$A$2:$A$49,0))*(1+INDEX(Assumptions!$B$16:$B$20,MATCH(B4037,Assumptions!$A$16:$A$20,0)))</f>
        <v>26460.16</v>
      </c>
      <c r="J4037" s="33" t="n">
        <f aca="false">H4037-I4037</f>
        <v>5839.84</v>
      </c>
      <c r="K4037" s="33" t="n">
        <f aca="false">IF(OR(E4037=0,E4037&gt;=7),0,D4037/(7-E4037)*E4037*INDEX(Products!$E$2:$E$49,MATCH(C4037,Products!$A$2:$A$49,0)))</f>
        <v>0</v>
      </c>
    </row>
    <row r="4038" customFormat="false" ht="15" hidden="false" customHeight="false" outlineLevel="0" collapsed="false">
      <c r="A4038" s="36" t="n">
        <v>46195</v>
      </c>
      <c r="B4038" s="24" t="s">
        <v>64</v>
      </c>
      <c r="C4038" s="24" t="s">
        <v>149</v>
      </c>
      <c r="D4038" s="33" t="n">
        <v>179</v>
      </c>
      <c r="E4038" s="24" t="n">
        <v>0</v>
      </c>
      <c r="F4038" s="37" t="n">
        <f aca="false">DATE(YEAR(A4038),MONTH(A4038),1)</f>
        <v>46174</v>
      </c>
      <c r="G4038" s="24" t="str">
        <f aca="false">INDEX(Products!$C$2:$C$49,MATCH(C4038,Products!$A$2:$A$49,0))</f>
        <v>Beverages</v>
      </c>
      <c r="H4038" s="33" t="n">
        <f aca="false">D4038*INDEX(Products!$E$2:$E$49,MATCH(C4038,Products!$A$2:$A$49,0))</f>
        <v>34010</v>
      </c>
      <c r="I4038" s="33" t="n">
        <f aca="false">D4038*INDEX(Products!$D$2:$D$49,MATCH(C4038,Products!$A$2:$A$49,0))*(1+INDEX(Assumptions!$B$16:$B$20,MATCH(B4038,Assumptions!$A$16:$A$20,0)))</f>
        <v>27860.992</v>
      </c>
      <c r="J4038" s="33" t="n">
        <f aca="false">H4038-I4038</f>
        <v>6149.008</v>
      </c>
      <c r="K4038" s="33" t="n">
        <f aca="false">IF(OR(E4038=0,E4038&gt;=7),0,D4038/(7-E4038)*E4038*INDEX(Products!$E$2:$E$49,MATCH(C4038,Products!$A$2:$A$49,0)))</f>
        <v>0</v>
      </c>
    </row>
    <row r="4039" customFormat="false" ht="15" hidden="false" customHeight="false" outlineLevel="0" collapsed="false">
      <c r="A4039" s="36" t="n">
        <v>46202</v>
      </c>
      <c r="B4039" s="24" t="s">
        <v>64</v>
      </c>
      <c r="C4039" s="24" t="s">
        <v>149</v>
      </c>
      <c r="D4039" s="33" t="n">
        <v>149</v>
      </c>
      <c r="E4039" s="24" t="n">
        <v>0</v>
      </c>
      <c r="F4039" s="37" t="n">
        <f aca="false">DATE(YEAR(A4039),MONTH(A4039),1)</f>
        <v>46174</v>
      </c>
      <c r="G4039" s="24" t="str">
        <f aca="false">INDEX(Products!$C$2:$C$49,MATCH(C4039,Products!$A$2:$A$49,0))</f>
        <v>Beverages</v>
      </c>
      <c r="H4039" s="33" t="n">
        <f aca="false">D4039*INDEX(Products!$E$2:$E$49,MATCH(C4039,Products!$A$2:$A$49,0))</f>
        <v>28310</v>
      </c>
      <c r="I4039" s="33" t="n">
        <f aca="false">D4039*INDEX(Products!$D$2:$D$49,MATCH(C4039,Products!$A$2:$A$49,0))*(1+INDEX(Assumptions!$B$16:$B$20,MATCH(B4039,Assumptions!$A$16:$A$20,0)))</f>
        <v>23191.552</v>
      </c>
      <c r="J4039" s="33" t="n">
        <f aca="false">H4039-I4039</f>
        <v>5118.448</v>
      </c>
      <c r="K4039" s="33" t="n">
        <f aca="false">IF(OR(E4039=0,E4039&gt;=7),0,D4039/(7-E4039)*E4039*INDEX(Products!$E$2:$E$49,MATCH(C4039,Products!$A$2:$A$49,0)))</f>
        <v>0</v>
      </c>
    </row>
    <row r="4040" customFormat="false" ht="15" hidden="false" customHeight="false" outlineLevel="0" collapsed="false">
      <c r="A4040" s="36" t="n">
        <v>46209</v>
      </c>
      <c r="B4040" s="24" t="s">
        <v>64</v>
      </c>
      <c r="C4040" s="24" t="s">
        <v>149</v>
      </c>
      <c r="D4040" s="33" t="n">
        <v>284</v>
      </c>
      <c r="E4040" s="24" t="n">
        <v>0</v>
      </c>
      <c r="F4040" s="37" t="n">
        <f aca="false">DATE(YEAR(A4040),MONTH(A4040),1)</f>
        <v>46204</v>
      </c>
      <c r="G4040" s="24" t="str">
        <f aca="false">INDEX(Products!$C$2:$C$49,MATCH(C4040,Products!$A$2:$A$49,0))</f>
        <v>Beverages</v>
      </c>
      <c r="H4040" s="33" t="n">
        <f aca="false">D4040*INDEX(Products!$E$2:$E$49,MATCH(C4040,Products!$A$2:$A$49,0))</f>
        <v>53960</v>
      </c>
      <c r="I4040" s="33" t="n">
        <f aca="false">D4040*INDEX(Products!$D$2:$D$49,MATCH(C4040,Products!$A$2:$A$49,0))*(1+INDEX(Assumptions!$B$16:$B$20,MATCH(B4040,Assumptions!$A$16:$A$20,0)))</f>
        <v>44204.032</v>
      </c>
      <c r="J4040" s="33" t="n">
        <f aca="false">H4040-I4040</f>
        <v>9755.968</v>
      </c>
      <c r="K4040" s="33" t="n">
        <f aca="false">IF(OR(E4040=0,E4040&gt;=7),0,D4040/(7-E4040)*E4040*INDEX(Products!$E$2:$E$49,MATCH(C4040,Products!$A$2:$A$49,0)))</f>
        <v>0</v>
      </c>
    </row>
    <row r="4041" customFormat="false" ht="15" hidden="false" customHeight="false" outlineLevel="0" collapsed="false">
      <c r="A4041" s="36" t="n">
        <v>46216</v>
      </c>
      <c r="B4041" s="24" t="s">
        <v>64</v>
      </c>
      <c r="C4041" s="24" t="s">
        <v>149</v>
      </c>
      <c r="D4041" s="33" t="n">
        <v>145</v>
      </c>
      <c r="E4041" s="24" t="n">
        <v>0</v>
      </c>
      <c r="F4041" s="37" t="n">
        <f aca="false">DATE(YEAR(A4041),MONTH(A4041),1)</f>
        <v>46204</v>
      </c>
      <c r="G4041" s="24" t="str">
        <f aca="false">INDEX(Products!$C$2:$C$49,MATCH(C4041,Products!$A$2:$A$49,0))</f>
        <v>Beverages</v>
      </c>
      <c r="H4041" s="33" t="n">
        <f aca="false">D4041*INDEX(Products!$E$2:$E$49,MATCH(C4041,Products!$A$2:$A$49,0))</f>
        <v>27550</v>
      </c>
      <c r="I4041" s="33" t="n">
        <f aca="false">D4041*INDEX(Products!$D$2:$D$49,MATCH(C4041,Products!$A$2:$A$49,0))*(1+INDEX(Assumptions!$B$16:$B$20,MATCH(B4041,Assumptions!$A$16:$A$20,0)))</f>
        <v>22568.96</v>
      </c>
      <c r="J4041" s="33" t="n">
        <f aca="false">H4041-I4041</f>
        <v>4981.04</v>
      </c>
      <c r="K4041" s="33" t="n">
        <f aca="false">IF(OR(E4041=0,E4041&gt;=7),0,D4041/(7-E4041)*E4041*INDEX(Products!$E$2:$E$49,MATCH(C4041,Products!$A$2:$A$49,0)))</f>
        <v>0</v>
      </c>
    </row>
    <row r="4042" customFormat="false" ht="15" hidden="false" customHeight="false" outlineLevel="0" collapsed="false">
      <c r="A4042" s="36" t="n">
        <v>46223</v>
      </c>
      <c r="B4042" s="24" t="s">
        <v>64</v>
      </c>
      <c r="C4042" s="24" t="s">
        <v>149</v>
      </c>
      <c r="D4042" s="33" t="n">
        <v>151</v>
      </c>
      <c r="E4042" s="24" t="n">
        <v>0</v>
      </c>
      <c r="F4042" s="37" t="n">
        <f aca="false">DATE(YEAR(A4042),MONTH(A4042),1)</f>
        <v>46204</v>
      </c>
      <c r="G4042" s="24" t="str">
        <f aca="false">INDEX(Products!$C$2:$C$49,MATCH(C4042,Products!$A$2:$A$49,0))</f>
        <v>Beverages</v>
      </c>
      <c r="H4042" s="33" t="n">
        <f aca="false">D4042*INDEX(Products!$E$2:$E$49,MATCH(C4042,Products!$A$2:$A$49,0))</f>
        <v>28690</v>
      </c>
      <c r="I4042" s="33" t="n">
        <f aca="false">D4042*INDEX(Products!$D$2:$D$49,MATCH(C4042,Products!$A$2:$A$49,0))*(1+INDEX(Assumptions!$B$16:$B$20,MATCH(B4042,Assumptions!$A$16:$A$20,0)))</f>
        <v>23502.848</v>
      </c>
      <c r="J4042" s="33" t="n">
        <f aca="false">H4042-I4042</f>
        <v>5187.152</v>
      </c>
      <c r="K4042" s="33" t="n">
        <f aca="false">IF(OR(E4042=0,E4042&gt;=7),0,D4042/(7-E4042)*E4042*INDEX(Products!$E$2:$E$49,MATCH(C4042,Products!$A$2:$A$49,0)))</f>
        <v>0</v>
      </c>
    </row>
    <row r="4043" customFormat="false" ht="15" hidden="false" customHeight="false" outlineLevel="0" collapsed="false">
      <c r="A4043" s="36" t="n">
        <v>46230</v>
      </c>
      <c r="B4043" s="24" t="s">
        <v>64</v>
      </c>
      <c r="C4043" s="24" t="s">
        <v>149</v>
      </c>
      <c r="D4043" s="33" t="n">
        <v>148</v>
      </c>
      <c r="E4043" s="24" t="n">
        <v>0</v>
      </c>
      <c r="F4043" s="37" t="n">
        <f aca="false">DATE(YEAR(A4043),MONTH(A4043),1)</f>
        <v>46204</v>
      </c>
      <c r="G4043" s="24" t="str">
        <f aca="false">INDEX(Products!$C$2:$C$49,MATCH(C4043,Products!$A$2:$A$49,0))</f>
        <v>Beverages</v>
      </c>
      <c r="H4043" s="33" t="n">
        <f aca="false">D4043*INDEX(Products!$E$2:$E$49,MATCH(C4043,Products!$A$2:$A$49,0))</f>
        <v>28120</v>
      </c>
      <c r="I4043" s="33" t="n">
        <f aca="false">D4043*INDEX(Products!$D$2:$D$49,MATCH(C4043,Products!$A$2:$A$49,0))*(1+INDEX(Assumptions!$B$16:$B$20,MATCH(B4043,Assumptions!$A$16:$A$20,0)))</f>
        <v>23035.904</v>
      </c>
      <c r="J4043" s="33" t="n">
        <f aca="false">H4043-I4043</f>
        <v>5084.096</v>
      </c>
      <c r="K4043" s="33" t="n">
        <f aca="false">IF(OR(E4043=0,E4043&gt;=7),0,D4043/(7-E4043)*E4043*INDEX(Products!$E$2:$E$49,MATCH(C4043,Products!$A$2:$A$49,0)))</f>
        <v>0</v>
      </c>
    </row>
    <row r="4044" customFormat="false" ht="15" hidden="false" customHeight="false" outlineLevel="0" collapsed="false">
      <c r="A4044" s="36" t="n">
        <v>46237</v>
      </c>
      <c r="B4044" s="24" t="s">
        <v>64</v>
      </c>
      <c r="C4044" s="24" t="s">
        <v>149</v>
      </c>
      <c r="D4044" s="33" t="n">
        <v>148</v>
      </c>
      <c r="E4044" s="24" t="n">
        <v>0</v>
      </c>
      <c r="F4044" s="37" t="n">
        <f aca="false">DATE(YEAR(A4044),MONTH(A4044),1)</f>
        <v>46235</v>
      </c>
      <c r="G4044" s="24" t="str">
        <f aca="false">INDEX(Products!$C$2:$C$49,MATCH(C4044,Products!$A$2:$A$49,0))</f>
        <v>Beverages</v>
      </c>
      <c r="H4044" s="33" t="n">
        <f aca="false">D4044*INDEX(Products!$E$2:$E$49,MATCH(C4044,Products!$A$2:$A$49,0))</f>
        <v>28120</v>
      </c>
      <c r="I4044" s="33" t="n">
        <f aca="false">D4044*INDEX(Products!$D$2:$D$49,MATCH(C4044,Products!$A$2:$A$49,0))*(1+INDEX(Assumptions!$B$16:$B$20,MATCH(B4044,Assumptions!$A$16:$A$20,0)))</f>
        <v>23035.904</v>
      </c>
      <c r="J4044" s="33" t="n">
        <f aca="false">H4044-I4044</f>
        <v>5084.096</v>
      </c>
      <c r="K4044" s="33" t="n">
        <f aca="false">IF(OR(E4044=0,E4044&gt;=7),0,D4044/(7-E4044)*E4044*INDEX(Products!$E$2:$E$49,MATCH(C4044,Products!$A$2:$A$49,0)))</f>
        <v>0</v>
      </c>
    </row>
    <row r="4045" customFormat="false" ht="15" hidden="false" customHeight="false" outlineLevel="0" collapsed="false">
      <c r="A4045" s="36" t="n">
        <v>46244</v>
      </c>
      <c r="B4045" s="24" t="s">
        <v>64</v>
      </c>
      <c r="C4045" s="24" t="s">
        <v>149</v>
      </c>
      <c r="D4045" s="33" t="n">
        <v>126</v>
      </c>
      <c r="E4045" s="24" t="n">
        <v>0</v>
      </c>
      <c r="F4045" s="37" t="n">
        <f aca="false">DATE(YEAR(A4045),MONTH(A4045),1)</f>
        <v>46235</v>
      </c>
      <c r="G4045" s="24" t="str">
        <f aca="false">INDEX(Products!$C$2:$C$49,MATCH(C4045,Products!$A$2:$A$49,0))</f>
        <v>Beverages</v>
      </c>
      <c r="H4045" s="33" t="n">
        <f aca="false">D4045*INDEX(Products!$E$2:$E$49,MATCH(C4045,Products!$A$2:$A$49,0))</f>
        <v>23940</v>
      </c>
      <c r="I4045" s="33" t="n">
        <f aca="false">D4045*INDEX(Products!$D$2:$D$49,MATCH(C4045,Products!$A$2:$A$49,0))*(1+INDEX(Assumptions!$B$16:$B$20,MATCH(B4045,Assumptions!$A$16:$A$20,0)))</f>
        <v>19611.648</v>
      </c>
      <c r="J4045" s="33" t="n">
        <f aca="false">H4045-I4045</f>
        <v>4328.352</v>
      </c>
      <c r="K4045" s="33" t="n">
        <f aca="false">IF(OR(E4045=0,E4045&gt;=7),0,D4045/(7-E4045)*E4045*INDEX(Products!$E$2:$E$49,MATCH(C4045,Products!$A$2:$A$49,0)))</f>
        <v>0</v>
      </c>
    </row>
    <row r="4046" customFormat="false" ht="15" hidden="false" customHeight="false" outlineLevel="0" collapsed="false">
      <c r="A4046" s="36" t="n">
        <v>46251</v>
      </c>
      <c r="B4046" s="24" t="s">
        <v>64</v>
      </c>
      <c r="C4046" s="24" t="s">
        <v>149</v>
      </c>
      <c r="D4046" s="33" t="n">
        <v>135</v>
      </c>
      <c r="E4046" s="24" t="n">
        <v>0</v>
      </c>
      <c r="F4046" s="37" t="n">
        <f aca="false">DATE(YEAR(A4046),MONTH(A4046),1)</f>
        <v>46235</v>
      </c>
      <c r="G4046" s="24" t="str">
        <f aca="false">INDEX(Products!$C$2:$C$49,MATCH(C4046,Products!$A$2:$A$49,0))</f>
        <v>Beverages</v>
      </c>
      <c r="H4046" s="33" t="n">
        <f aca="false">D4046*INDEX(Products!$E$2:$E$49,MATCH(C4046,Products!$A$2:$A$49,0))</f>
        <v>25650</v>
      </c>
      <c r="I4046" s="33" t="n">
        <f aca="false">D4046*INDEX(Products!$D$2:$D$49,MATCH(C4046,Products!$A$2:$A$49,0))*(1+INDEX(Assumptions!$B$16:$B$20,MATCH(B4046,Assumptions!$A$16:$A$20,0)))</f>
        <v>21012.48</v>
      </c>
      <c r="J4046" s="33" t="n">
        <f aca="false">H4046-I4046</f>
        <v>4637.52</v>
      </c>
      <c r="K4046" s="33" t="n">
        <f aca="false">IF(OR(E4046=0,E4046&gt;=7),0,D4046/(7-E4046)*E4046*INDEX(Products!$E$2:$E$49,MATCH(C4046,Products!$A$2:$A$49,0)))</f>
        <v>0</v>
      </c>
    </row>
    <row r="4047" customFormat="false" ht="15" hidden="false" customHeight="false" outlineLevel="0" collapsed="false">
      <c r="A4047" s="36" t="n">
        <v>46258</v>
      </c>
      <c r="B4047" s="24" t="s">
        <v>64</v>
      </c>
      <c r="C4047" s="24" t="s">
        <v>149</v>
      </c>
      <c r="D4047" s="33" t="n">
        <v>148</v>
      </c>
      <c r="E4047" s="24" t="n">
        <v>0</v>
      </c>
      <c r="F4047" s="37" t="n">
        <f aca="false">DATE(YEAR(A4047),MONTH(A4047),1)</f>
        <v>46235</v>
      </c>
      <c r="G4047" s="24" t="str">
        <f aca="false">INDEX(Products!$C$2:$C$49,MATCH(C4047,Products!$A$2:$A$49,0))</f>
        <v>Beverages</v>
      </c>
      <c r="H4047" s="33" t="n">
        <f aca="false">D4047*INDEX(Products!$E$2:$E$49,MATCH(C4047,Products!$A$2:$A$49,0))</f>
        <v>28120</v>
      </c>
      <c r="I4047" s="33" t="n">
        <f aca="false">D4047*INDEX(Products!$D$2:$D$49,MATCH(C4047,Products!$A$2:$A$49,0))*(1+INDEX(Assumptions!$B$16:$B$20,MATCH(B4047,Assumptions!$A$16:$A$20,0)))</f>
        <v>23035.904</v>
      </c>
      <c r="J4047" s="33" t="n">
        <f aca="false">H4047-I4047</f>
        <v>5084.096</v>
      </c>
      <c r="K4047" s="33" t="n">
        <f aca="false">IF(OR(E4047=0,E4047&gt;=7),0,D4047/(7-E4047)*E4047*INDEX(Products!$E$2:$E$49,MATCH(C4047,Products!$A$2:$A$49,0)))</f>
        <v>0</v>
      </c>
    </row>
    <row r="4048" customFormat="false" ht="15" hidden="false" customHeight="false" outlineLevel="0" collapsed="false">
      <c r="A4048" s="36" t="n">
        <v>46265</v>
      </c>
      <c r="B4048" s="24" t="s">
        <v>64</v>
      </c>
      <c r="C4048" s="24" t="s">
        <v>149</v>
      </c>
      <c r="D4048" s="33" t="n">
        <v>137</v>
      </c>
      <c r="E4048" s="24" t="n">
        <v>0</v>
      </c>
      <c r="F4048" s="37" t="n">
        <f aca="false">DATE(YEAR(A4048),MONTH(A4048),1)</f>
        <v>46235</v>
      </c>
      <c r="G4048" s="24" t="str">
        <f aca="false">INDEX(Products!$C$2:$C$49,MATCH(C4048,Products!$A$2:$A$49,0))</f>
        <v>Beverages</v>
      </c>
      <c r="H4048" s="33" t="n">
        <f aca="false">D4048*INDEX(Products!$E$2:$E$49,MATCH(C4048,Products!$A$2:$A$49,0))</f>
        <v>26030</v>
      </c>
      <c r="I4048" s="33" t="n">
        <f aca="false">D4048*INDEX(Products!$D$2:$D$49,MATCH(C4048,Products!$A$2:$A$49,0))*(1+INDEX(Assumptions!$B$16:$B$20,MATCH(B4048,Assumptions!$A$16:$A$20,0)))</f>
        <v>21323.776</v>
      </c>
      <c r="J4048" s="33" t="n">
        <f aca="false">H4048-I4048</f>
        <v>4706.224</v>
      </c>
      <c r="K4048" s="33" t="n">
        <f aca="false">IF(OR(E4048=0,E4048&gt;=7),0,D4048/(7-E4048)*E4048*INDEX(Products!$E$2:$E$49,MATCH(C4048,Products!$A$2:$A$49,0)))</f>
        <v>0</v>
      </c>
    </row>
    <row r="4049" customFormat="false" ht="15" hidden="false" customHeight="false" outlineLevel="0" collapsed="false">
      <c r="A4049" s="36" t="n">
        <v>46272</v>
      </c>
      <c r="B4049" s="24" t="s">
        <v>64</v>
      </c>
      <c r="C4049" s="24" t="s">
        <v>149</v>
      </c>
      <c r="D4049" s="33" t="n">
        <v>58</v>
      </c>
      <c r="E4049" s="24" t="n">
        <v>4</v>
      </c>
      <c r="F4049" s="37" t="n">
        <f aca="false">DATE(YEAR(A4049),MONTH(A4049),1)</f>
        <v>46266</v>
      </c>
      <c r="G4049" s="24" t="str">
        <f aca="false">INDEX(Products!$C$2:$C$49,MATCH(C4049,Products!$A$2:$A$49,0))</f>
        <v>Beverages</v>
      </c>
      <c r="H4049" s="33" t="n">
        <f aca="false">D4049*INDEX(Products!$E$2:$E$49,MATCH(C4049,Products!$A$2:$A$49,0))</f>
        <v>11020</v>
      </c>
      <c r="I4049" s="33" t="n">
        <f aca="false">D4049*INDEX(Products!$D$2:$D$49,MATCH(C4049,Products!$A$2:$A$49,0))*(1+INDEX(Assumptions!$B$16:$B$20,MATCH(B4049,Assumptions!$A$16:$A$20,0)))</f>
        <v>9027.584</v>
      </c>
      <c r="J4049" s="33" t="n">
        <f aca="false">H4049-I4049</f>
        <v>1992.416</v>
      </c>
      <c r="K4049" s="33" t="n">
        <f aca="false">IF(OR(E4049=0,E4049&gt;=7),0,D4049/(7-E4049)*E4049*INDEX(Products!$E$2:$E$49,MATCH(C4049,Products!$A$2:$A$49,0)))</f>
        <v>14693.3333333333</v>
      </c>
    </row>
    <row r="4050" customFormat="false" ht="15" hidden="false" customHeight="false" outlineLevel="0" collapsed="false">
      <c r="A4050" s="36" t="n">
        <v>46279</v>
      </c>
      <c r="B4050" s="24" t="s">
        <v>64</v>
      </c>
      <c r="C4050" s="24" t="s">
        <v>149</v>
      </c>
      <c r="D4050" s="33" t="n">
        <v>138</v>
      </c>
      <c r="E4050" s="24" t="n">
        <v>0</v>
      </c>
      <c r="F4050" s="37" t="n">
        <f aca="false">DATE(YEAR(A4050),MONTH(A4050),1)</f>
        <v>46266</v>
      </c>
      <c r="G4050" s="24" t="str">
        <f aca="false">INDEX(Products!$C$2:$C$49,MATCH(C4050,Products!$A$2:$A$49,0))</f>
        <v>Beverages</v>
      </c>
      <c r="H4050" s="33" t="n">
        <f aca="false">D4050*INDEX(Products!$E$2:$E$49,MATCH(C4050,Products!$A$2:$A$49,0))</f>
        <v>26220</v>
      </c>
      <c r="I4050" s="33" t="n">
        <f aca="false">D4050*INDEX(Products!$D$2:$D$49,MATCH(C4050,Products!$A$2:$A$49,0))*(1+INDEX(Assumptions!$B$16:$B$20,MATCH(B4050,Assumptions!$A$16:$A$20,0)))</f>
        <v>21479.424</v>
      </c>
      <c r="J4050" s="33" t="n">
        <f aca="false">H4050-I4050</f>
        <v>4740.576</v>
      </c>
      <c r="K4050" s="33" t="n">
        <f aca="false">IF(OR(E4050=0,E4050&gt;=7),0,D4050/(7-E4050)*E4050*INDEX(Products!$E$2:$E$49,MATCH(C4050,Products!$A$2:$A$49,0)))</f>
        <v>0</v>
      </c>
    </row>
    <row r="4051" customFormat="false" ht="15" hidden="false" customHeight="false" outlineLevel="0" collapsed="false">
      <c r="A4051" s="36" t="n">
        <v>46286</v>
      </c>
      <c r="B4051" s="24" t="s">
        <v>64</v>
      </c>
      <c r="C4051" s="24" t="s">
        <v>149</v>
      </c>
      <c r="D4051" s="33" t="n">
        <v>134</v>
      </c>
      <c r="E4051" s="24" t="n">
        <v>0</v>
      </c>
      <c r="F4051" s="37" t="n">
        <f aca="false">DATE(YEAR(A4051),MONTH(A4051),1)</f>
        <v>46266</v>
      </c>
      <c r="G4051" s="24" t="str">
        <f aca="false">INDEX(Products!$C$2:$C$49,MATCH(C4051,Products!$A$2:$A$49,0))</f>
        <v>Beverages</v>
      </c>
      <c r="H4051" s="33" t="n">
        <f aca="false">D4051*INDEX(Products!$E$2:$E$49,MATCH(C4051,Products!$A$2:$A$49,0))</f>
        <v>25460</v>
      </c>
      <c r="I4051" s="33" t="n">
        <f aca="false">D4051*INDEX(Products!$D$2:$D$49,MATCH(C4051,Products!$A$2:$A$49,0))*(1+INDEX(Assumptions!$B$16:$B$20,MATCH(B4051,Assumptions!$A$16:$A$20,0)))</f>
        <v>20856.832</v>
      </c>
      <c r="J4051" s="33" t="n">
        <f aca="false">H4051-I4051</f>
        <v>4603.168</v>
      </c>
      <c r="K4051" s="33" t="n">
        <f aca="false">IF(OR(E4051=0,E4051&gt;=7),0,D4051/(7-E4051)*E4051*INDEX(Products!$E$2:$E$49,MATCH(C4051,Products!$A$2:$A$49,0)))</f>
        <v>0</v>
      </c>
    </row>
    <row r="4052" customFormat="false" ht="15" hidden="false" customHeight="false" outlineLevel="0" collapsed="false">
      <c r="A4052" s="36" t="n">
        <v>46118</v>
      </c>
      <c r="B4052" s="24" t="s">
        <v>64</v>
      </c>
      <c r="C4052" s="24" t="s">
        <v>151</v>
      </c>
      <c r="D4052" s="33" t="n">
        <v>205</v>
      </c>
      <c r="E4052" s="24" t="n">
        <v>0</v>
      </c>
      <c r="F4052" s="37" t="n">
        <f aca="false">DATE(YEAR(A4052),MONTH(A4052),1)</f>
        <v>46113</v>
      </c>
      <c r="G4052" s="24" t="str">
        <f aca="false">INDEX(Products!$C$2:$C$49,MATCH(C4052,Products!$A$2:$A$49,0))</f>
        <v>Beverages</v>
      </c>
      <c r="H4052" s="33" t="n">
        <f aca="false">D4052*INDEX(Products!$E$2:$E$49,MATCH(C4052,Products!$A$2:$A$49,0))</f>
        <v>38950</v>
      </c>
      <c r="I4052" s="33" t="n">
        <f aca="false">D4052*INDEX(Products!$D$2:$D$49,MATCH(C4052,Products!$A$2:$A$49,0))*(1+INDEX(Assumptions!$B$16:$B$20,MATCH(B4052,Assumptions!$A$16:$A$20,0)))</f>
        <v>31278.08</v>
      </c>
      <c r="J4052" s="33" t="n">
        <f aca="false">H4052-I4052</f>
        <v>7671.92</v>
      </c>
      <c r="K4052" s="33" t="n">
        <f aca="false">IF(OR(E4052=0,E4052&gt;=7),0,D4052/(7-E4052)*E4052*INDEX(Products!$E$2:$E$49,MATCH(C4052,Products!$A$2:$A$49,0)))</f>
        <v>0</v>
      </c>
    </row>
    <row r="4053" customFormat="false" ht="15" hidden="false" customHeight="false" outlineLevel="0" collapsed="false">
      <c r="A4053" s="36" t="n">
        <v>46125</v>
      </c>
      <c r="B4053" s="24" t="s">
        <v>64</v>
      </c>
      <c r="C4053" s="24" t="s">
        <v>151</v>
      </c>
      <c r="D4053" s="33" t="n">
        <v>92</v>
      </c>
      <c r="E4053" s="24" t="n">
        <v>0</v>
      </c>
      <c r="F4053" s="37" t="n">
        <f aca="false">DATE(YEAR(A4053),MONTH(A4053),1)</f>
        <v>46113</v>
      </c>
      <c r="G4053" s="24" t="str">
        <f aca="false">INDEX(Products!$C$2:$C$49,MATCH(C4053,Products!$A$2:$A$49,0))</f>
        <v>Beverages</v>
      </c>
      <c r="H4053" s="33" t="n">
        <f aca="false">D4053*INDEX(Products!$E$2:$E$49,MATCH(C4053,Products!$A$2:$A$49,0))</f>
        <v>17480</v>
      </c>
      <c r="I4053" s="33" t="n">
        <f aca="false">D4053*INDEX(Products!$D$2:$D$49,MATCH(C4053,Products!$A$2:$A$49,0))*(1+INDEX(Assumptions!$B$16:$B$20,MATCH(B4053,Assumptions!$A$16:$A$20,0)))</f>
        <v>14036.992</v>
      </c>
      <c r="J4053" s="33" t="n">
        <f aca="false">H4053-I4053</f>
        <v>3443.008</v>
      </c>
      <c r="K4053" s="33" t="n">
        <f aca="false">IF(OR(E4053=0,E4053&gt;=7),0,D4053/(7-E4053)*E4053*INDEX(Products!$E$2:$E$49,MATCH(C4053,Products!$A$2:$A$49,0)))</f>
        <v>0</v>
      </c>
    </row>
    <row r="4054" customFormat="false" ht="15" hidden="false" customHeight="false" outlineLevel="0" collapsed="false">
      <c r="A4054" s="36" t="n">
        <v>46132</v>
      </c>
      <c r="B4054" s="24" t="s">
        <v>64</v>
      </c>
      <c r="C4054" s="24" t="s">
        <v>151</v>
      </c>
      <c r="D4054" s="33" t="n">
        <v>215</v>
      </c>
      <c r="E4054" s="24" t="n">
        <v>0</v>
      </c>
      <c r="F4054" s="37" t="n">
        <f aca="false">DATE(YEAR(A4054),MONTH(A4054),1)</f>
        <v>46113</v>
      </c>
      <c r="G4054" s="24" t="str">
        <f aca="false">INDEX(Products!$C$2:$C$49,MATCH(C4054,Products!$A$2:$A$49,0))</f>
        <v>Beverages</v>
      </c>
      <c r="H4054" s="33" t="n">
        <f aca="false">D4054*INDEX(Products!$E$2:$E$49,MATCH(C4054,Products!$A$2:$A$49,0))</f>
        <v>40850</v>
      </c>
      <c r="I4054" s="33" t="n">
        <f aca="false">D4054*INDEX(Products!$D$2:$D$49,MATCH(C4054,Products!$A$2:$A$49,0))*(1+INDEX(Assumptions!$B$16:$B$20,MATCH(B4054,Assumptions!$A$16:$A$20,0)))</f>
        <v>32803.84</v>
      </c>
      <c r="J4054" s="33" t="n">
        <f aca="false">H4054-I4054</f>
        <v>8046.16</v>
      </c>
      <c r="K4054" s="33" t="n">
        <f aca="false">IF(OR(E4054=0,E4054&gt;=7),0,D4054/(7-E4054)*E4054*INDEX(Products!$E$2:$E$49,MATCH(C4054,Products!$A$2:$A$49,0)))</f>
        <v>0</v>
      </c>
    </row>
    <row r="4055" customFormat="false" ht="15" hidden="false" customHeight="false" outlineLevel="0" collapsed="false">
      <c r="A4055" s="36" t="n">
        <v>46139</v>
      </c>
      <c r="B4055" s="24" t="s">
        <v>64</v>
      </c>
      <c r="C4055" s="24" t="s">
        <v>151</v>
      </c>
      <c r="D4055" s="33" t="n">
        <v>121</v>
      </c>
      <c r="E4055" s="24" t="n">
        <v>0</v>
      </c>
      <c r="F4055" s="37" t="n">
        <f aca="false">DATE(YEAR(A4055),MONTH(A4055),1)</f>
        <v>46113</v>
      </c>
      <c r="G4055" s="24" t="str">
        <f aca="false">INDEX(Products!$C$2:$C$49,MATCH(C4055,Products!$A$2:$A$49,0))</f>
        <v>Beverages</v>
      </c>
      <c r="H4055" s="33" t="n">
        <f aca="false">D4055*INDEX(Products!$E$2:$E$49,MATCH(C4055,Products!$A$2:$A$49,0))</f>
        <v>22990</v>
      </c>
      <c r="I4055" s="33" t="n">
        <f aca="false">D4055*INDEX(Products!$D$2:$D$49,MATCH(C4055,Products!$A$2:$A$49,0))*(1+INDEX(Assumptions!$B$16:$B$20,MATCH(B4055,Assumptions!$A$16:$A$20,0)))</f>
        <v>18461.696</v>
      </c>
      <c r="J4055" s="33" t="n">
        <f aca="false">H4055-I4055</f>
        <v>4528.304</v>
      </c>
      <c r="K4055" s="33" t="n">
        <f aca="false">IF(OR(E4055=0,E4055&gt;=7),0,D4055/(7-E4055)*E4055*INDEX(Products!$E$2:$E$49,MATCH(C4055,Products!$A$2:$A$49,0)))</f>
        <v>0</v>
      </c>
    </row>
    <row r="4056" customFormat="false" ht="15" hidden="false" customHeight="false" outlineLevel="0" collapsed="false">
      <c r="A4056" s="36" t="n">
        <v>46146</v>
      </c>
      <c r="B4056" s="24" t="s">
        <v>64</v>
      </c>
      <c r="C4056" s="24" t="s">
        <v>151</v>
      </c>
      <c r="D4056" s="33" t="n">
        <v>124</v>
      </c>
      <c r="E4056" s="24" t="n">
        <v>0</v>
      </c>
      <c r="F4056" s="37" t="n">
        <f aca="false">DATE(YEAR(A4056),MONTH(A4056),1)</f>
        <v>46143</v>
      </c>
      <c r="G4056" s="24" t="str">
        <f aca="false">INDEX(Products!$C$2:$C$49,MATCH(C4056,Products!$A$2:$A$49,0))</f>
        <v>Beverages</v>
      </c>
      <c r="H4056" s="33" t="n">
        <f aca="false">D4056*INDEX(Products!$E$2:$E$49,MATCH(C4056,Products!$A$2:$A$49,0))</f>
        <v>23560</v>
      </c>
      <c r="I4056" s="33" t="n">
        <f aca="false">D4056*INDEX(Products!$D$2:$D$49,MATCH(C4056,Products!$A$2:$A$49,0))*(1+INDEX(Assumptions!$B$16:$B$20,MATCH(B4056,Assumptions!$A$16:$A$20,0)))</f>
        <v>18919.424</v>
      </c>
      <c r="J4056" s="33" t="n">
        <f aca="false">H4056-I4056</f>
        <v>4640.576</v>
      </c>
      <c r="K4056" s="33" t="n">
        <f aca="false">IF(OR(E4056=0,E4056&gt;=7),0,D4056/(7-E4056)*E4056*INDEX(Products!$E$2:$E$49,MATCH(C4056,Products!$A$2:$A$49,0)))</f>
        <v>0</v>
      </c>
    </row>
    <row r="4057" customFormat="false" ht="15" hidden="false" customHeight="false" outlineLevel="0" collapsed="false">
      <c r="A4057" s="36" t="n">
        <v>46153</v>
      </c>
      <c r="B4057" s="24" t="s">
        <v>64</v>
      </c>
      <c r="C4057" s="24" t="s">
        <v>151</v>
      </c>
      <c r="D4057" s="33" t="n">
        <v>125</v>
      </c>
      <c r="E4057" s="24" t="n">
        <v>0</v>
      </c>
      <c r="F4057" s="37" t="n">
        <f aca="false">DATE(YEAR(A4057),MONTH(A4057),1)</f>
        <v>46143</v>
      </c>
      <c r="G4057" s="24" t="str">
        <f aca="false">INDEX(Products!$C$2:$C$49,MATCH(C4057,Products!$A$2:$A$49,0))</f>
        <v>Beverages</v>
      </c>
      <c r="H4057" s="33" t="n">
        <f aca="false">D4057*INDEX(Products!$E$2:$E$49,MATCH(C4057,Products!$A$2:$A$49,0))</f>
        <v>23750</v>
      </c>
      <c r="I4057" s="33" t="n">
        <f aca="false">D4057*INDEX(Products!$D$2:$D$49,MATCH(C4057,Products!$A$2:$A$49,0))*(1+INDEX(Assumptions!$B$16:$B$20,MATCH(B4057,Assumptions!$A$16:$A$20,0)))</f>
        <v>19072</v>
      </c>
      <c r="J4057" s="33" t="n">
        <f aca="false">H4057-I4057</f>
        <v>4678</v>
      </c>
      <c r="K4057" s="33" t="n">
        <f aca="false">IF(OR(E4057=0,E4057&gt;=7),0,D4057/(7-E4057)*E4057*INDEX(Products!$E$2:$E$49,MATCH(C4057,Products!$A$2:$A$49,0)))</f>
        <v>0</v>
      </c>
    </row>
    <row r="4058" customFormat="false" ht="15" hidden="false" customHeight="false" outlineLevel="0" collapsed="false">
      <c r="A4058" s="36" t="n">
        <v>46160</v>
      </c>
      <c r="B4058" s="24" t="s">
        <v>64</v>
      </c>
      <c r="C4058" s="24" t="s">
        <v>151</v>
      </c>
      <c r="D4058" s="33" t="n">
        <v>119</v>
      </c>
      <c r="E4058" s="24" t="n">
        <v>0</v>
      </c>
      <c r="F4058" s="37" t="n">
        <f aca="false">DATE(YEAR(A4058),MONTH(A4058),1)</f>
        <v>46143</v>
      </c>
      <c r="G4058" s="24" t="str">
        <f aca="false">INDEX(Products!$C$2:$C$49,MATCH(C4058,Products!$A$2:$A$49,0))</f>
        <v>Beverages</v>
      </c>
      <c r="H4058" s="33" t="n">
        <f aca="false">D4058*INDEX(Products!$E$2:$E$49,MATCH(C4058,Products!$A$2:$A$49,0))</f>
        <v>22610</v>
      </c>
      <c r="I4058" s="33" t="n">
        <f aca="false">D4058*INDEX(Products!$D$2:$D$49,MATCH(C4058,Products!$A$2:$A$49,0))*(1+INDEX(Assumptions!$B$16:$B$20,MATCH(B4058,Assumptions!$A$16:$A$20,0)))</f>
        <v>18156.544</v>
      </c>
      <c r="J4058" s="33" t="n">
        <f aca="false">H4058-I4058</f>
        <v>4453.456</v>
      </c>
      <c r="K4058" s="33" t="n">
        <f aca="false">IF(OR(E4058=0,E4058&gt;=7),0,D4058/(7-E4058)*E4058*INDEX(Products!$E$2:$E$49,MATCH(C4058,Products!$A$2:$A$49,0)))</f>
        <v>0</v>
      </c>
    </row>
    <row r="4059" customFormat="false" ht="15" hidden="false" customHeight="false" outlineLevel="0" collapsed="false">
      <c r="A4059" s="36" t="n">
        <v>46167</v>
      </c>
      <c r="B4059" s="24" t="s">
        <v>64</v>
      </c>
      <c r="C4059" s="24" t="s">
        <v>151</v>
      </c>
      <c r="D4059" s="33" t="n">
        <v>124</v>
      </c>
      <c r="E4059" s="24" t="n">
        <v>0</v>
      </c>
      <c r="F4059" s="37" t="n">
        <f aca="false">DATE(YEAR(A4059),MONTH(A4059),1)</f>
        <v>46143</v>
      </c>
      <c r="G4059" s="24" t="str">
        <f aca="false">INDEX(Products!$C$2:$C$49,MATCH(C4059,Products!$A$2:$A$49,0))</f>
        <v>Beverages</v>
      </c>
      <c r="H4059" s="33" t="n">
        <f aca="false">D4059*INDEX(Products!$E$2:$E$49,MATCH(C4059,Products!$A$2:$A$49,0))</f>
        <v>23560</v>
      </c>
      <c r="I4059" s="33" t="n">
        <f aca="false">D4059*INDEX(Products!$D$2:$D$49,MATCH(C4059,Products!$A$2:$A$49,0))*(1+INDEX(Assumptions!$B$16:$B$20,MATCH(B4059,Assumptions!$A$16:$A$20,0)))</f>
        <v>18919.424</v>
      </c>
      <c r="J4059" s="33" t="n">
        <f aca="false">H4059-I4059</f>
        <v>4640.576</v>
      </c>
      <c r="K4059" s="33" t="n">
        <f aca="false">IF(OR(E4059=0,E4059&gt;=7),0,D4059/(7-E4059)*E4059*INDEX(Products!$E$2:$E$49,MATCH(C4059,Products!$A$2:$A$49,0)))</f>
        <v>0</v>
      </c>
    </row>
    <row r="4060" customFormat="false" ht="15" hidden="false" customHeight="false" outlineLevel="0" collapsed="false">
      <c r="A4060" s="36" t="n">
        <v>46174</v>
      </c>
      <c r="B4060" s="24" t="s">
        <v>64</v>
      </c>
      <c r="C4060" s="24" t="s">
        <v>151</v>
      </c>
      <c r="D4060" s="33" t="n">
        <v>89</v>
      </c>
      <c r="E4060" s="24" t="n">
        <v>0</v>
      </c>
      <c r="F4060" s="37" t="n">
        <f aca="false">DATE(YEAR(A4060),MONTH(A4060),1)</f>
        <v>46174</v>
      </c>
      <c r="G4060" s="24" t="str">
        <f aca="false">INDEX(Products!$C$2:$C$49,MATCH(C4060,Products!$A$2:$A$49,0))</f>
        <v>Beverages</v>
      </c>
      <c r="H4060" s="33" t="n">
        <f aca="false">D4060*INDEX(Products!$E$2:$E$49,MATCH(C4060,Products!$A$2:$A$49,0))</f>
        <v>16910</v>
      </c>
      <c r="I4060" s="33" t="n">
        <f aca="false">D4060*INDEX(Products!$D$2:$D$49,MATCH(C4060,Products!$A$2:$A$49,0))*(1+INDEX(Assumptions!$B$16:$B$20,MATCH(B4060,Assumptions!$A$16:$A$20,0)))</f>
        <v>13579.264</v>
      </c>
      <c r="J4060" s="33" t="n">
        <f aca="false">H4060-I4060</f>
        <v>3330.736</v>
      </c>
      <c r="K4060" s="33" t="n">
        <f aca="false">IF(OR(E4060=0,E4060&gt;=7),0,D4060/(7-E4060)*E4060*INDEX(Products!$E$2:$E$49,MATCH(C4060,Products!$A$2:$A$49,0)))</f>
        <v>0</v>
      </c>
    </row>
    <row r="4061" customFormat="false" ht="15" hidden="false" customHeight="false" outlineLevel="0" collapsed="false">
      <c r="A4061" s="36" t="n">
        <v>46181</v>
      </c>
      <c r="B4061" s="24" t="s">
        <v>64</v>
      </c>
      <c r="C4061" s="24" t="s">
        <v>151</v>
      </c>
      <c r="D4061" s="33" t="n">
        <v>116</v>
      </c>
      <c r="E4061" s="24" t="n">
        <v>0</v>
      </c>
      <c r="F4061" s="37" t="n">
        <f aca="false">DATE(YEAR(A4061),MONTH(A4061),1)</f>
        <v>46174</v>
      </c>
      <c r="G4061" s="24" t="str">
        <f aca="false">INDEX(Products!$C$2:$C$49,MATCH(C4061,Products!$A$2:$A$49,0))</f>
        <v>Beverages</v>
      </c>
      <c r="H4061" s="33" t="n">
        <f aca="false">D4061*INDEX(Products!$E$2:$E$49,MATCH(C4061,Products!$A$2:$A$49,0))</f>
        <v>22040</v>
      </c>
      <c r="I4061" s="33" t="n">
        <f aca="false">D4061*INDEX(Products!$D$2:$D$49,MATCH(C4061,Products!$A$2:$A$49,0))*(1+INDEX(Assumptions!$B$16:$B$20,MATCH(B4061,Assumptions!$A$16:$A$20,0)))</f>
        <v>17698.816</v>
      </c>
      <c r="J4061" s="33" t="n">
        <f aca="false">H4061-I4061</f>
        <v>4341.184</v>
      </c>
      <c r="K4061" s="33" t="n">
        <f aca="false">IF(OR(E4061=0,E4061&gt;=7),0,D4061/(7-E4061)*E4061*INDEX(Products!$E$2:$E$49,MATCH(C4061,Products!$A$2:$A$49,0)))</f>
        <v>0</v>
      </c>
    </row>
    <row r="4062" customFormat="false" ht="15" hidden="false" customHeight="false" outlineLevel="0" collapsed="false">
      <c r="A4062" s="36" t="n">
        <v>46188</v>
      </c>
      <c r="B4062" s="24" t="s">
        <v>64</v>
      </c>
      <c r="C4062" s="24" t="s">
        <v>151</v>
      </c>
      <c r="D4062" s="33" t="n">
        <v>113</v>
      </c>
      <c r="E4062" s="24" t="n">
        <v>0</v>
      </c>
      <c r="F4062" s="37" t="n">
        <f aca="false">DATE(YEAR(A4062),MONTH(A4062),1)</f>
        <v>46174</v>
      </c>
      <c r="G4062" s="24" t="str">
        <f aca="false">INDEX(Products!$C$2:$C$49,MATCH(C4062,Products!$A$2:$A$49,0))</f>
        <v>Beverages</v>
      </c>
      <c r="H4062" s="33" t="n">
        <f aca="false">D4062*INDEX(Products!$E$2:$E$49,MATCH(C4062,Products!$A$2:$A$49,0))</f>
        <v>21470</v>
      </c>
      <c r="I4062" s="33" t="n">
        <f aca="false">D4062*INDEX(Products!$D$2:$D$49,MATCH(C4062,Products!$A$2:$A$49,0))*(1+INDEX(Assumptions!$B$16:$B$20,MATCH(B4062,Assumptions!$A$16:$A$20,0)))</f>
        <v>17241.088</v>
      </c>
      <c r="J4062" s="33" t="n">
        <f aca="false">H4062-I4062</f>
        <v>4228.912</v>
      </c>
      <c r="K4062" s="33" t="n">
        <f aca="false">IF(OR(E4062=0,E4062&gt;=7),0,D4062/(7-E4062)*E4062*INDEX(Products!$E$2:$E$49,MATCH(C4062,Products!$A$2:$A$49,0)))</f>
        <v>0</v>
      </c>
    </row>
    <row r="4063" customFormat="false" ht="15" hidden="false" customHeight="false" outlineLevel="0" collapsed="false">
      <c r="A4063" s="36" t="n">
        <v>46195</v>
      </c>
      <c r="B4063" s="24" t="s">
        <v>64</v>
      </c>
      <c r="C4063" s="24" t="s">
        <v>151</v>
      </c>
      <c r="D4063" s="33" t="n">
        <v>117</v>
      </c>
      <c r="E4063" s="24" t="n">
        <v>0</v>
      </c>
      <c r="F4063" s="37" t="n">
        <f aca="false">DATE(YEAR(A4063),MONTH(A4063),1)</f>
        <v>46174</v>
      </c>
      <c r="G4063" s="24" t="str">
        <f aca="false">INDEX(Products!$C$2:$C$49,MATCH(C4063,Products!$A$2:$A$49,0))</f>
        <v>Beverages</v>
      </c>
      <c r="H4063" s="33" t="n">
        <f aca="false">D4063*INDEX(Products!$E$2:$E$49,MATCH(C4063,Products!$A$2:$A$49,0))</f>
        <v>22230</v>
      </c>
      <c r="I4063" s="33" t="n">
        <f aca="false">D4063*INDEX(Products!$D$2:$D$49,MATCH(C4063,Products!$A$2:$A$49,0))*(1+INDEX(Assumptions!$B$16:$B$20,MATCH(B4063,Assumptions!$A$16:$A$20,0)))</f>
        <v>17851.392</v>
      </c>
      <c r="J4063" s="33" t="n">
        <f aca="false">H4063-I4063</f>
        <v>4378.608</v>
      </c>
      <c r="K4063" s="33" t="n">
        <f aca="false">IF(OR(E4063=0,E4063&gt;=7),0,D4063/(7-E4063)*E4063*INDEX(Products!$E$2:$E$49,MATCH(C4063,Products!$A$2:$A$49,0)))</f>
        <v>0</v>
      </c>
    </row>
    <row r="4064" customFormat="false" ht="15" hidden="false" customHeight="false" outlineLevel="0" collapsed="false">
      <c r="A4064" s="36" t="n">
        <v>46202</v>
      </c>
      <c r="B4064" s="24" t="s">
        <v>64</v>
      </c>
      <c r="C4064" s="24" t="s">
        <v>151</v>
      </c>
      <c r="D4064" s="33" t="n">
        <v>108</v>
      </c>
      <c r="E4064" s="24" t="n">
        <v>0</v>
      </c>
      <c r="F4064" s="37" t="n">
        <f aca="false">DATE(YEAR(A4064),MONTH(A4064),1)</f>
        <v>46174</v>
      </c>
      <c r="G4064" s="24" t="str">
        <f aca="false">INDEX(Products!$C$2:$C$49,MATCH(C4064,Products!$A$2:$A$49,0))</f>
        <v>Beverages</v>
      </c>
      <c r="H4064" s="33" t="n">
        <f aca="false">D4064*INDEX(Products!$E$2:$E$49,MATCH(C4064,Products!$A$2:$A$49,0))</f>
        <v>20520</v>
      </c>
      <c r="I4064" s="33" t="n">
        <f aca="false">D4064*INDEX(Products!$D$2:$D$49,MATCH(C4064,Products!$A$2:$A$49,0))*(1+INDEX(Assumptions!$B$16:$B$20,MATCH(B4064,Assumptions!$A$16:$A$20,0)))</f>
        <v>16478.208</v>
      </c>
      <c r="J4064" s="33" t="n">
        <f aca="false">H4064-I4064</f>
        <v>4041.792</v>
      </c>
      <c r="K4064" s="33" t="n">
        <f aca="false">IF(OR(E4064=0,E4064&gt;=7),0,D4064/(7-E4064)*E4064*INDEX(Products!$E$2:$E$49,MATCH(C4064,Products!$A$2:$A$49,0)))</f>
        <v>0</v>
      </c>
    </row>
    <row r="4065" customFormat="false" ht="15" hidden="false" customHeight="false" outlineLevel="0" collapsed="false">
      <c r="A4065" s="36" t="n">
        <v>46209</v>
      </c>
      <c r="B4065" s="24" t="s">
        <v>64</v>
      </c>
      <c r="C4065" s="24" t="s">
        <v>151</v>
      </c>
      <c r="D4065" s="33" t="n">
        <v>105</v>
      </c>
      <c r="E4065" s="24" t="n">
        <v>0</v>
      </c>
      <c r="F4065" s="37" t="n">
        <f aca="false">DATE(YEAR(A4065),MONTH(A4065),1)</f>
        <v>46204</v>
      </c>
      <c r="G4065" s="24" t="str">
        <f aca="false">INDEX(Products!$C$2:$C$49,MATCH(C4065,Products!$A$2:$A$49,0))</f>
        <v>Beverages</v>
      </c>
      <c r="H4065" s="33" t="n">
        <f aca="false">D4065*INDEX(Products!$E$2:$E$49,MATCH(C4065,Products!$A$2:$A$49,0))</f>
        <v>19950</v>
      </c>
      <c r="I4065" s="33" t="n">
        <f aca="false">D4065*INDEX(Products!$D$2:$D$49,MATCH(C4065,Products!$A$2:$A$49,0))*(1+INDEX(Assumptions!$B$16:$B$20,MATCH(B4065,Assumptions!$A$16:$A$20,0)))</f>
        <v>16020.48</v>
      </c>
      <c r="J4065" s="33" t="n">
        <f aca="false">H4065-I4065</f>
        <v>3929.52</v>
      </c>
      <c r="K4065" s="33" t="n">
        <f aca="false">IF(OR(E4065=0,E4065&gt;=7),0,D4065/(7-E4065)*E4065*INDEX(Products!$E$2:$E$49,MATCH(C4065,Products!$A$2:$A$49,0)))</f>
        <v>0</v>
      </c>
    </row>
    <row r="4066" customFormat="false" ht="15" hidden="false" customHeight="false" outlineLevel="0" collapsed="false">
      <c r="A4066" s="36" t="n">
        <v>46216</v>
      </c>
      <c r="B4066" s="24" t="s">
        <v>64</v>
      </c>
      <c r="C4066" s="24" t="s">
        <v>151</v>
      </c>
      <c r="D4066" s="33" t="n">
        <v>105</v>
      </c>
      <c r="E4066" s="24" t="n">
        <v>0</v>
      </c>
      <c r="F4066" s="37" t="n">
        <f aca="false">DATE(YEAR(A4066),MONTH(A4066),1)</f>
        <v>46204</v>
      </c>
      <c r="G4066" s="24" t="str">
        <f aca="false">INDEX(Products!$C$2:$C$49,MATCH(C4066,Products!$A$2:$A$49,0))</f>
        <v>Beverages</v>
      </c>
      <c r="H4066" s="33" t="n">
        <f aca="false">D4066*INDEX(Products!$E$2:$E$49,MATCH(C4066,Products!$A$2:$A$49,0))</f>
        <v>19950</v>
      </c>
      <c r="I4066" s="33" t="n">
        <f aca="false">D4066*INDEX(Products!$D$2:$D$49,MATCH(C4066,Products!$A$2:$A$49,0))*(1+INDEX(Assumptions!$B$16:$B$20,MATCH(B4066,Assumptions!$A$16:$A$20,0)))</f>
        <v>16020.48</v>
      </c>
      <c r="J4066" s="33" t="n">
        <f aca="false">H4066-I4066</f>
        <v>3929.52</v>
      </c>
      <c r="K4066" s="33" t="n">
        <f aca="false">IF(OR(E4066=0,E4066&gt;=7),0,D4066/(7-E4066)*E4066*INDEX(Products!$E$2:$E$49,MATCH(C4066,Products!$A$2:$A$49,0)))</f>
        <v>0</v>
      </c>
    </row>
    <row r="4067" customFormat="false" ht="15" hidden="false" customHeight="false" outlineLevel="0" collapsed="false">
      <c r="A4067" s="36" t="n">
        <v>46223</v>
      </c>
      <c r="B4067" s="24" t="s">
        <v>64</v>
      </c>
      <c r="C4067" s="24" t="s">
        <v>151</v>
      </c>
      <c r="D4067" s="33" t="n">
        <v>104</v>
      </c>
      <c r="E4067" s="24" t="n">
        <v>0</v>
      </c>
      <c r="F4067" s="37" t="n">
        <f aca="false">DATE(YEAR(A4067),MONTH(A4067),1)</f>
        <v>46204</v>
      </c>
      <c r="G4067" s="24" t="str">
        <f aca="false">INDEX(Products!$C$2:$C$49,MATCH(C4067,Products!$A$2:$A$49,0))</f>
        <v>Beverages</v>
      </c>
      <c r="H4067" s="33" t="n">
        <f aca="false">D4067*INDEX(Products!$E$2:$E$49,MATCH(C4067,Products!$A$2:$A$49,0))</f>
        <v>19760</v>
      </c>
      <c r="I4067" s="33" t="n">
        <f aca="false">D4067*INDEX(Products!$D$2:$D$49,MATCH(C4067,Products!$A$2:$A$49,0))*(1+INDEX(Assumptions!$B$16:$B$20,MATCH(B4067,Assumptions!$A$16:$A$20,0)))</f>
        <v>15867.904</v>
      </c>
      <c r="J4067" s="33" t="n">
        <f aca="false">H4067-I4067</f>
        <v>3892.096</v>
      </c>
      <c r="K4067" s="33" t="n">
        <f aca="false">IF(OR(E4067=0,E4067&gt;=7),0,D4067/(7-E4067)*E4067*INDEX(Products!$E$2:$E$49,MATCH(C4067,Products!$A$2:$A$49,0)))</f>
        <v>0</v>
      </c>
    </row>
    <row r="4068" customFormat="false" ht="15" hidden="false" customHeight="false" outlineLevel="0" collapsed="false">
      <c r="A4068" s="36" t="n">
        <v>46230</v>
      </c>
      <c r="B4068" s="24" t="s">
        <v>64</v>
      </c>
      <c r="C4068" s="24" t="s">
        <v>151</v>
      </c>
      <c r="D4068" s="33" t="n">
        <v>68</v>
      </c>
      <c r="E4068" s="24" t="n">
        <v>3</v>
      </c>
      <c r="F4068" s="37" t="n">
        <f aca="false">DATE(YEAR(A4068),MONTH(A4068),1)</f>
        <v>46204</v>
      </c>
      <c r="G4068" s="24" t="str">
        <f aca="false">INDEX(Products!$C$2:$C$49,MATCH(C4068,Products!$A$2:$A$49,0))</f>
        <v>Beverages</v>
      </c>
      <c r="H4068" s="33" t="n">
        <f aca="false">D4068*INDEX(Products!$E$2:$E$49,MATCH(C4068,Products!$A$2:$A$49,0))</f>
        <v>12920</v>
      </c>
      <c r="I4068" s="33" t="n">
        <f aca="false">D4068*INDEX(Products!$D$2:$D$49,MATCH(C4068,Products!$A$2:$A$49,0))*(1+INDEX(Assumptions!$B$16:$B$20,MATCH(B4068,Assumptions!$A$16:$A$20,0)))</f>
        <v>10375.168</v>
      </c>
      <c r="J4068" s="33" t="n">
        <f aca="false">H4068-I4068</f>
        <v>2544.832</v>
      </c>
      <c r="K4068" s="33" t="n">
        <f aca="false">IF(OR(E4068=0,E4068&gt;=7),0,D4068/(7-E4068)*E4068*INDEX(Products!$E$2:$E$49,MATCH(C4068,Products!$A$2:$A$49,0)))</f>
        <v>9690</v>
      </c>
    </row>
    <row r="4069" customFormat="false" ht="15" hidden="false" customHeight="false" outlineLevel="0" collapsed="false">
      <c r="A4069" s="36" t="n">
        <v>46237</v>
      </c>
      <c r="B4069" s="24" t="s">
        <v>64</v>
      </c>
      <c r="C4069" s="24" t="s">
        <v>151</v>
      </c>
      <c r="D4069" s="33" t="n">
        <v>95</v>
      </c>
      <c r="E4069" s="24" t="n">
        <v>0</v>
      </c>
      <c r="F4069" s="37" t="n">
        <f aca="false">DATE(YEAR(A4069),MONTH(A4069),1)</f>
        <v>46235</v>
      </c>
      <c r="G4069" s="24" t="str">
        <f aca="false">INDEX(Products!$C$2:$C$49,MATCH(C4069,Products!$A$2:$A$49,0))</f>
        <v>Beverages</v>
      </c>
      <c r="H4069" s="33" t="n">
        <f aca="false">D4069*INDEX(Products!$E$2:$E$49,MATCH(C4069,Products!$A$2:$A$49,0))</f>
        <v>18050</v>
      </c>
      <c r="I4069" s="33" t="n">
        <f aca="false">D4069*INDEX(Products!$D$2:$D$49,MATCH(C4069,Products!$A$2:$A$49,0))*(1+INDEX(Assumptions!$B$16:$B$20,MATCH(B4069,Assumptions!$A$16:$A$20,0)))</f>
        <v>14494.72</v>
      </c>
      <c r="J4069" s="33" t="n">
        <f aca="false">H4069-I4069</f>
        <v>3555.28</v>
      </c>
      <c r="K4069" s="33" t="n">
        <f aca="false">IF(OR(E4069=0,E4069&gt;=7),0,D4069/(7-E4069)*E4069*INDEX(Products!$E$2:$E$49,MATCH(C4069,Products!$A$2:$A$49,0)))</f>
        <v>0</v>
      </c>
    </row>
    <row r="4070" customFormat="false" ht="15" hidden="false" customHeight="false" outlineLevel="0" collapsed="false">
      <c r="A4070" s="36" t="n">
        <v>46244</v>
      </c>
      <c r="B4070" s="24" t="s">
        <v>64</v>
      </c>
      <c r="C4070" s="24" t="s">
        <v>151</v>
      </c>
      <c r="D4070" s="33" t="n">
        <v>106</v>
      </c>
      <c r="E4070" s="24" t="n">
        <v>0</v>
      </c>
      <c r="F4070" s="37" t="n">
        <f aca="false">DATE(YEAR(A4070),MONTH(A4070),1)</f>
        <v>46235</v>
      </c>
      <c r="G4070" s="24" t="str">
        <f aca="false">INDEX(Products!$C$2:$C$49,MATCH(C4070,Products!$A$2:$A$49,0))</f>
        <v>Beverages</v>
      </c>
      <c r="H4070" s="33" t="n">
        <f aca="false">D4070*INDEX(Products!$E$2:$E$49,MATCH(C4070,Products!$A$2:$A$49,0))</f>
        <v>20140</v>
      </c>
      <c r="I4070" s="33" t="n">
        <f aca="false">D4070*INDEX(Products!$D$2:$D$49,MATCH(C4070,Products!$A$2:$A$49,0))*(1+INDEX(Assumptions!$B$16:$B$20,MATCH(B4070,Assumptions!$A$16:$A$20,0)))</f>
        <v>16173.056</v>
      </c>
      <c r="J4070" s="33" t="n">
        <f aca="false">H4070-I4070</f>
        <v>3966.944</v>
      </c>
      <c r="K4070" s="33" t="n">
        <f aca="false">IF(OR(E4070=0,E4070&gt;=7),0,D4070/(7-E4070)*E4070*INDEX(Products!$E$2:$E$49,MATCH(C4070,Products!$A$2:$A$49,0)))</f>
        <v>0</v>
      </c>
    </row>
    <row r="4071" customFormat="false" ht="15" hidden="false" customHeight="false" outlineLevel="0" collapsed="false">
      <c r="A4071" s="36" t="n">
        <v>46251</v>
      </c>
      <c r="B4071" s="24" t="s">
        <v>64</v>
      </c>
      <c r="C4071" s="24" t="s">
        <v>151</v>
      </c>
      <c r="D4071" s="33" t="n">
        <v>109</v>
      </c>
      <c r="E4071" s="24" t="n">
        <v>0</v>
      </c>
      <c r="F4071" s="37" t="n">
        <f aca="false">DATE(YEAR(A4071),MONTH(A4071),1)</f>
        <v>46235</v>
      </c>
      <c r="G4071" s="24" t="str">
        <f aca="false">INDEX(Products!$C$2:$C$49,MATCH(C4071,Products!$A$2:$A$49,0))</f>
        <v>Beverages</v>
      </c>
      <c r="H4071" s="33" t="n">
        <f aca="false">D4071*INDEX(Products!$E$2:$E$49,MATCH(C4071,Products!$A$2:$A$49,0))</f>
        <v>20710</v>
      </c>
      <c r="I4071" s="33" t="n">
        <f aca="false">D4071*INDEX(Products!$D$2:$D$49,MATCH(C4071,Products!$A$2:$A$49,0))*(1+INDEX(Assumptions!$B$16:$B$20,MATCH(B4071,Assumptions!$A$16:$A$20,0)))</f>
        <v>16630.784</v>
      </c>
      <c r="J4071" s="33" t="n">
        <f aca="false">H4071-I4071</f>
        <v>4079.216</v>
      </c>
      <c r="K4071" s="33" t="n">
        <f aca="false">IF(OR(E4071=0,E4071&gt;=7),0,D4071/(7-E4071)*E4071*INDEX(Products!$E$2:$E$49,MATCH(C4071,Products!$A$2:$A$49,0)))</f>
        <v>0</v>
      </c>
    </row>
    <row r="4072" customFormat="false" ht="15" hidden="false" customHeight="false" outlineLevel="0" collapsed="false">
      <c r="A4072" s="36" t="n">
        <v>46258</v>
      </c>
      <c r="B4072" s="24" t="s">
        <v>64</v>
      </c>
      <c r="C4072" s="24" t="s">
        <v>151</v>
      </c>
      <c r="D4072" s="33" t="n">
        <v>124</v>
      </c>
      <c r="E4072" s="24" t="n">
        <v>0</v>
      </c>
      <c r="F4072" s="37" t="n">
        <f aca="false">DATE(YEAR(A4072),MONTH(A4072),1)</f>
        <v>46235</v>
      </c>
      <c r="G4072" s="24" t="str">
        <f aca="false">INDEX(Products!$C$2:$C$49,MATCH(C4072,Products!$A$2:$A$49,0))</f>
        <v>Beverages</v>
      </c>
      <c r="H4072" s="33" t="n">
        <f aca="false">D4072*INDEX(Products!$E$2:$E$49,MATCH(C4072,Products!$A$2:$A$49,0))</f>
        <v>23560</v>
      </c>
      <c r="I4072" s="33" t="n">
        <f aca="false">D4072*INDEX(Products!$D$2:$D$49,MATCH(C4072,Products!$A$2:$A$49,0))*(1+INDEX(Assumptions!$B$16:$B$20,MATCH(B4072,Assumptions!$A$16:$A$20,0)))</f>
        <v>18919.424</v>
      </c>
      <c r="J4072" s="33" t="n">
        <f aca="false">H4072-I4072</f>
        <v>4640.576</v>
      </c>
      <c r="K4072" s="33" t="n">
        <f aca="false">IF(OR(E4072=0,E4072&gt;=7),0,D4072/(7-E4072)*E4072*INDEX(Products!$E$2:$E$49,MATCH(C4072,Products!$A$2:$A$49,0)))</f>
        <v>0</v>
      </c>
    </row>
    <row r="4073" customFormat="false" ht="15" hidden="false" customHeight="false" outlineLevel="0" collapsed="false">
      <c r="A4073" s="36" t="n">
        <v>46265</v>
      </c>
      <c r="B4073" s="24" t="s">
        <v>64</v>
      </c>
      <c r="C4073" s="24" t="s">
        <v>151</v>
      </c>
      <c r="D4073" s="33" t="n">
        <v>110</v>
      </c>
      <c r="E4073" s="24" t="n">
        <v>0</v>
      </c>
      <c r="F4073" s="37" t="n">
        <f aca="false">DATE(YEAR(A4073),MONTH(A4073),1)</f>
        <v>46235</v>
      </c>
      <c r="G4073" s="24" t="str">
        <f aca="false">INDEX(Products!$C$2:$C$49,MATCH(C4073,Products!$A$2:$A$49,0))</f>
        <v>Beverages</v>
      </c>
      <c r="H4073" s="33" t="n">
        <f aca="false">D4073*INDEX(Products!$E$2:$E$49,MATCH(C4073,Products!$A$2:$A$49,0))</f>
        <v>20900</v>
      </c>
      <c r="I4073" s="33" t="n">
        <f aca="false">D4073*INDEX(Products!$D$2:$D$49,MATCH(C4073,Products!$A$2:$A$49,0))*(1+INDEX(Assumptions!$B$16:$B$20,MATCH(B4073,Assumptions!$A$16:$A$20,0)))</f>
        <v>16783.36</v>
      </c>
      <c r="J4073" s="33" t="n">
        <f aca="false">H4073-I4073</f>
        <v>4116.64</v>
      </c>
      <c r="K4073" s="33" t="n">
        <f aca="false">IF(OR(E4073=0,E4073&gt;=7),0,D4073/(7-E4073)*E4073*INDEX(Products!$E$2:$E$49,MATCH(C4073,Products!$A$2:$A$49,0)))</f>
        <v>0</v>
      </c>
    </row>
    <row r="4074" customFormat="false" ht="15" hidden="false" customHeight="false" outlineLevel="0" collapsed="false">
      <c r="A4074" s="36" t="n">
        <v>46272</v>
      </c>
      <c r="B4074" s="24" t="s">
        <v>64</v>
      </c>
      <c r="C4074" s="24" t="s">
        <v>151</v>
      </c>
      <c r="D4074" s="33" t="n">
        <v>107</v>
      </c>
      <c r="E4074" s="24" t="n">
        <v>0</v>
      </c>
      <c r="F4074" s="37" t="n">
        <f aca="false">DATE(YEAR(A4074),MONTH(A4074),1)</f>
        <v>46266</v>
      </c>
      <c r="G4074" s="24" t="str">
        <f aca="false">INDEX(Products!$C$2:$C$49,MATCH(C4074,Products!$A$2:$A$49,0))</f>
        <v>Beverages</v>
      </c>
      <c r="H4074" s="33" t="n">
        <f aca="false">D4074*INDEX(Products!$E$2:$E$49,MATCH(C4074,Products!$A$2:$A$49,0))</f>
        <v>20330</v>
      </c>
      <c r="I4074" s="33" t="n">
        <f aca="false">D4074*INDEX(Products!$D$2:$D$49,MATCH(C4074,Products!$A$2:$A$49,0))*(1+INDEX(Assumptions!$B$16:$B$20,MATCH(B4074,Assumptions!$A$16:$A$20,0)))</f>
        <v>16325.632</v>
      </c>
      <c r="J4074" s="33" t="n">
        <f aca="false">H4074-I4074</f>
        <v>4004.368</v>
      </c>
      <c r="K4074" s="33" t="n">
        <f aca="false">IF(OR(E4074=0,E4074&gt;=7),0,D4074/(7-E4074)*E4074*INDEX(Products!$E$2:$E$49,MATCH(C4074,Products!$A$2:$A$49,0)))</f>
        <v>0</v>
      </c>
    </row>
    <row r="4075" customFormat="false" ht="15" hidden="false" customHeight="false" outlineLevel="0" collapsed="false">
      <c r="A4075" s="36" t="n">
        <v>46279</v>
      </c>
      <c r="B4075" s="24" t="s">
        <v>64</v>
      </c>
      <c r="C4075" s="24" t="s">
        <v>151</v>
      </c>
      <c r="D4075" s="33" t="n">
        <v>111</v>
      </c>
      <c r="E4075" s="24" t="n">
        <v>0</v>
      </c>
      <c r="F4075" s="37" t="n">
        <f aca="false">DATE(YEAR(A4075),MONTH(A4075),1)</f>
        <v>46266</v>
      </c>
      <c r="G4075" s="24" t="str">
        <f aca="false">INDEX(Products!$C$2:$C$49,MATCH(C4075,Products!$A$2:$A$49,0))</f>
        <v>Beverages</v>
      </c>
      <c r="H4075" s="33" t="n">
        <f aca="false">D4075*INDEX(Products!$E$2:$E$49,MATCH(C4075,Products!$A$2:$A$49,0))</f>
        <v>21090</v>
      </c>
      <c r="I4075" s="33" t="n">
        <f aca="false">D4075*INDEX(Products!$D$2:$D$49,MATCH(C4075,Products!$A$2:$A$49,0))*(1+INDEX(Assumptions!$B$16:$B$20,MATCH(B4075,Assumptions!$A$16:$A$20,0)))</f>
        <v>16935.936</v>
      </c>
      <c r="J4075" s="33" t="n">
        <f aca="false">H4075-I4075</f>
        <v>4154.064</v>
      </c>
      <c r="K4075" s="33" t="n">
        <f aca="false">IF(OR(E4075=0,E4075&gt;=7),0,D4075/(7-E4075)*E4075*INDEX(Products!$E$2:$E$49,MATCH(C4075,Products!$A$2:$A$49,0)))</f>
        <v>0</v>
      </c>
    </row>
    <row r="4076" customFormat="false" ht="15" hidden="false" customHeight="false" outlineLevel="0" collapsed="false">
      <c r="A4076" s="36" t="n">
        <v>46286</v>
      </c>
      <c r="B4076" s="24" t="s">
        <v>64</v>
      </c>
      <c r="C4076" s="24" t="s">
        <v>151</v>
      </c>
      <c r="D4076" s="33" t="n">
        <v>112</v>
      </c>
      <c r="E4076" s="24" t="n">
        <v>0</v>
      </c>
      <c r="F4076" s="37" t="n">
        <f aca="false">DATE(YEAR(A4076),MONTH(A4076),1)</f>
        <v>46266</v>
      </c>
      <c r="G4076" s="24" t="str">
        <f aca="false">INDEX(Products!$C$2:$C$49,MATCH(C4076,Products!$A$2:$A$49,0))</f>
        <v>Beverages</v>
      </c>
      <c r="H4076" s="33" t="n">
        <f aca="false">D4076*INDEX(Products!$E$2:$E$49,MATCH(C4076,Products!$A$2:$A$49,0))</f>
        <v>21280</v>
      </c>
      <c r="I4076" s="33" t="n">
        <f aca="false">D4076*INDEX(Products!$D$2:$D$49,MATCH(C4076,Products!$A$2:$A$49,0))*(1+INDEX(Assumptions!$B$16:$B$20,MATCH(B4076,Assumptions!$A$16:$A$20,0)))</f>
        <v>17088.512</v>
      </c>
      <c r="J4076" s="33" t="n">
        <f aca="false">H4076-I4076</f>
        <v>4191.488</v>
      </c>
      <c r="K4076" s="33" t="n">
        <f aca="false">IF(OR(E4076=0,E4076&gt;=7),0,D4076/(7-E4076)*E4076*INDEX(Products!$E$2:$E$49,MATCH(C4076,Products!$A$2:$A$49,0)))</f>
        <v>0</v>
      </c>
    </row>
    <row r="4077" customFormat="false" ht="15" hidden="false" customHeight="false" outlineLevel="0" collapsed="false">
      <c r="A4077" s="36" t="n">
        <v>46118</v>
      </c>
      <c r="B4077" s="24" t="s">
        <v>64</v>
      </c>
      <c r="C4077" s="24" t="s">
        <v>153</v>
      </c>
      <c r="D4077" s="33" t="n">
        <v>54</v>
      </c>
      <c r="E4077" s="24" t="n">
        <v>0</v>
      </c>
      <c r="F4077" s="37" t="n">
        <f aca="false">DATE(YEAR(A4077),MONTH(A4077),1)</f>
        <v>46113</v>
      </c>
      <c r="G4077" s="24" t="str">
        <f aca="false">INDEX(Products!$C$2:$C$49,MATCH(C4077,Products!$A$2:$A$49,0))</f>
        <v>Beverages</v>
      </c>
      <c r="H4077" s="33" t="n">
        <f aca="false">D4077*INDEX(Products!$E$2:$E$49,MATCH(C4077,Products!$A$2:$A$49,0))</f>
        <v>2700</v>
      </c>
      <c r="I4077" s="33" t="n">
        <f aca="false">D4077*INDEX(Products!$D$2:$D$49,MATCH(C4077,Products!$A$2:$A$49,0))*(1+INDEX(Assumptions!$B$16:$B$20,MATCH(B4077,Assumptions!$A$16:$A$20,0)))</f>
        <v>1935.36</v>
      </c>
      <c r="J4077" s="33" t="n">
        <f aca="false">H4077-I4077</f>
        <v>764.64</v>
      </c>
      <c r="K4077" s="33" t="n">
        <f aca="false">IF(OR(E4077=0,E4077&gt;=7),0,D4077/(7-E4077)*E4077*INDEX(Products!$E$2:$E$49,MATCH(C4077,Products!$A$2:$A$49,0)))</f>
        <v>0</v>
      </c>
    </row>
    <row r="4078" customFormat="false" ht="15" hidden="false" customHeight="false" outlineLevel="0" collapsed="false">
      <c r="A4078" s="36" t="n">
        <v>46125</v>
      </c>
      <c r="B4078" s="24" t="s">
        <v>64</v>
      </c>
      <c r="C4078" s="24" t="s">
        <v>153</v>
      </c>
      <c r="D4078" s="33" t="n">
        <v>51</v>
      </c>
      <c r="E4078" s="24" t="n">
        <v>0</v>
      </c>
      <c r="F4078" s="37" t="n">
        <f aca="false">DATE(YEAR(A4078),MONTH(A4078),1)</f>
        <v>46113</v>
      </c>
      <c r="G4078" s="24" t="str">
        <f aca="false">INDEX(Products!$C$2:$C$49,MATCH(C4078,Products!$A$2:$A$49,0))</f>
        <v>Beverages</v>
      </c>
      <c r="H4078" s="33" t="n">
        <f aca="false">D4078*INDEX(Products!$E$2:$E$49,MATCH(C4078,Products!$A$2:$A$49,0))</f>
        <v>2550</v>
      </c>
      <c r="I4078" s="33" t="n">
        <f aca="false">D4078*INDEX(Products!$D$2:$D$49,MATCH(C4078,Products!$A$2:$A$49,0))*(1+INDEX(Assumptions!$B$16:$B$20,MATCH(B4078,Assumptions!$A$16:$A$20,0)))</f>
        <v>1827.84</v>
      </c>
      <c r="J4078" s="33" t="n">
        <f aca="false">H4078-I4078</f>
        <v>722.16</v>
      </c>
      <c r="K4078" s="33" t="n">
        <f aca="false">IF(OR(E4078=0,E4078&gt;=7),0,D4078/(7-E4078)*E4078*INDEX(Products!$E$2:$E$49,MATCH(C4078,Products!$A$2:$A$49,0)))</f>
        <v>0</v>
      </c>
    </row>
    <row r="4079" customFormat="false" ht="15" hidden="false" customHeight="false" outlineLevel="0" collapsed="false">
      <c r="A4079" s="36" t="n">
        <v>46132</v>
      </c>
      <c r="B4079" s="24" t="s">
        <v>64</v>
      </c>
      <c r="C4079" s="24" t="s">
        <v>153</v>
      </c>
      <c r="D4079" s="33" t="n">
        <v>66</v>
      </c>
      <c r="E4079" s="24" t="n">
        <v>0</v>
      </c>
      <c r="F4079" s="37" t="n">
        <f aca="false">DATE(YEAR(A4079),MONTH(A4079),1)</f>
        <v>46113</v>
      </c>
      <c r="G4079" s="24" t="str">
        <f aca="false">INDEX(Products!$C$2:$C$49,MATCH(C4079,Products!$A$2:$A$49,0))</f>
        <v>Beverages</v>
      </c>
      <c r="H4079" s="33" t="n">
        <f aca="false">D4079*INDEX(Products!$E$2:$E$49,MATCH(C4079,Products!$A$2:$A$49,0))</f>
        <v>3300</v>
      </c>
      <c r="I4079" s="33" t="n">
        <f aca="false">D4079*INDEX(Products!$D$2:$D$49,MATCH(C4079,Products!$A$2:$A$49,0))*(1+INDEX(Assumptions!$B$16:$B$20,MATCH(B4079,Assumptions!$A$16:$A$20,0)))</f>
        <v>2365.44</v>
      </c>
      <c r="J4079" s="33" t="n">
        <f aca="false">H4079-I4079</f>
        <v>934.56</v>
      </c>
      <c r="K4079" s="33" t="n">
        <f aca="false">IF(OR(E4079=0,E4079&gt;=7),0,D4079/(7-E4079)*E4079*INDEX(Products!$E$2:$E$49,MATCH(C4079,Products!$A$2:$A$49,0)))</f>
        <v>0</v>
      </c>
    </row>
    <row r="4080" customFormat="false" ht="15" hidden="false" customHeight="false" outlineLevel="0" collapsed="false">
      <c r="A4080" s="36" t="n">
        <v>46139</v>
      </c>
      <c r="B4080" s="24" t="s">
        <v>64</v>
      </c>
      <c r="C4080" s="24" t="s">
        <v>153</v>
      </c>
      <c r="D4080" s="33" t="n">
        <v>58</v>
      </c>
      <c r="E4080" s="24" t="n">
        <v>0</v>
      </c>
      <c r="F4080" s="37" t="n">
        <f aca="false">DATE(YEAR(A4080),MONTH(A4080),1)</f>
        <v>46113</v>
      </c>
      <c r="G4080" s="24" t="str">
        <f aca="false">INDEX(Products!$C$2:$C$49,MATCH(C4080,Products!$A$2:$A$49,0))</f>
        <v>Beverages</v>
      </c>
      <c r="H4080" s="33" t="n">
        <f aca="false">D4080*INDEX(Products!$E$2:$E$49,MATCH(C4080,Products!$A$2:$A$49,0))</f>
        <v>2900</v>
      </c>
      <c r="I4080" s="33" t="n">
        <f aca="false">D4080*INDEX(Products!$D$2:$D$49,MATCH(C4080,Products!$A$2:$A$49,0))*(1+INDEX(Assumptions!$B$16:$B$20,MATCH(B4080,Assumptions!$A$16:$A$20,0)))</f>
        <v>2078.72</v>
      </c>
      <c r="J4080" s="33" t="n">
        <f aca="false">H4080-I4080</f>
        <v>821.28</v>
      </c>
      <c r="K4080" s="33" t="n">
        <f aca="false">IF(OR(E4080=0,E4080&gt;=7),0,D4080/(7-E4080)*E4080*INDEX(Products!$E$2:$E$49,MATCH(C4080,Products!$A$2:$A$49,0)))</f>
        <v>0</v>
      </c>
    </row>
    <row r="4081" customFormat="false" ht="15" hidden="false" customHeight="false" outlineLevel="0" collapsed="false">
      <c r="A4081" s="36" t="n">
        <v>46146</v>
      </c>
      <c r="B4081" s="24" t="s">
        <v>64</v>
      </c>
      <c r="C4081" s="24" t="s">
        <v>153</v>
      </c>
      <c r="D4081" s="33" t="n">
        <v>65</v>
      </c>
      <c r="E4081" s="24" t="n">
        <v>1</v>
      </c>
      <c r="F4081" s="37" t="n">
        <f aca="false">DATE(YEAR(A4081),MONTH(A4081),1)</f>
        <v>46143</v>
      </c>
      <c r="G4081" s="24" t="str">
        <f aca="false">INDEX(Products!$C$2:$C$49,MATCH(C4081,Products!$A$2:$A$49,0))</f>
        <v>Beverages</v>
      </c>
      <c r="H4081" s="33" t="n">
        <f aca="false">D4081*INDEX(Products!$E$2:$E$49,MATCH(C4081,Products!$A$2:$A$49,0))</f>
        <v>3250</v>
      </c>
      <c r="I4081" s="33" t="n">
        <f aca="false">D4081*INDEX(Products!$D$2:$D$49,MATCH(C4081,Products!$A$2:$A$49,0))*(1+INDEX(Assumptions!$B$16:$B$20,MATCH(B4081,Assumptions!$A$16:$A$20,0)))</f>
        <v>2329.6</v>
      </c>
      <c r="J4081" s="33" t="n">
        <f aca="false">H4081-I4081</f>
        <v>920.4</v>
      </c>
      <c r="K4081" s="33" t="n">
        <f aca="false">IF(OR(E4081=0,E4081&gt;=7),0,D4081/(7-E4081)*E4081*INDEX(Products!$E$2:$E$49,MATCH(C4081,Products!$A$2:$A$49,0)))</f>
        <v>541.666666666667</v>
      </c>
    </row>
    <row r="4082" customFormat="false" ht="15" hidden="false" customHeight="false" outlineLevel="0" collapsed="false">
      <c r="A4082" s="36" t="n">
        <v>46153</v>
      </c>
      <c r="B4082" s="24" t="s">
        <v>64</v>
      </c>
      <c r="C4082" s="24" t="s">
        <v>153</v>
      </c>
      <c r="D4082" s="33" t="n">
        <v>24</v>
      </c>
      <c r="E4082" s="24" t="n">
        <v>4</v>
      </c>
      <c r="F4082" s="37" t="n">
        <f aca="false">DATE(YEAR(A4082),MONTH(A4082),1)</f>
        <v>46143</v>
      </c>
      <c r="G4082" s="24" t="str">
        <f aca="false">INDEX(Products!$C$2:$C$49,MATCH(C4082,Products!$A$2:$A$49,0))</f>
        <v>Beverages</v>
      </c>
      <c r="H4082" s="33" t="n">
        <f aca="false">D4082*INDEX(Products!$E$2:$E$49,MATCH(C4082,Products!$A$2:$A$49,0))</f>
        <v>1200</v>
      </c>
      <c r="I4082" s="33" t="n">
        <f aca="false">D4082*INDEX(Products!$D$2:$D$49,MATCH(C4082,Products!$A$2:$A$49,0))*(1+INDEX(Assumptions!$B$16:$B$20,MATCH(B4082,Assumptions!$A$16:$A$20,0)))</f>
        <v>860.16</v>
      </c>
      <c r="J4082" s="33" t="n">
        <f aca="false">H4082-I4082</f>
        <v>339.84</v>
      </c>
      <c r="K4082" s="33" t="n">
        <f aca="false">IF(OR(E4082=0,E4082&gt;=7),0,D4082/(7-E4082)*E4082*INDEX(Products!$E$2:$E$49,MATCH(C4082,Products!$A$2:$A$49,0)))</f>
        <v>1600</v>
      </c>
    </row>
    <row r="4083" customFormat="false" ht="15" hidden="false" customHeight="false" outlineLevel="0" collapsed="false">
      <c r="A4083" s="36" t="n">
        <v>46160</v>
      </c>
      <c r="B4083" s="24" t="s">
        <v>64</v>
      </c>
      <c r="C4083" s="24" t="s">
        <v>153</v>
      </c>
      <c r="D4083" s="33" t="n">
        <v>60</v>
      </c>
      <c r="E4083" s="24" t="n">
        <v>0</v>
      </c>
      <c r="F4083" s="37" t="n">
        <f aca="false">DATE(YEAR(A4083),MONTH(A4083),1)</f>
        <v>46143</v>
      </c>
      <c r="G4083" s="24" t="str">
        <f aca="false">INDEX(Products!$C$2:$C$49,MATCH(C4083,Products!$A$2:$A$49,0))</f>
        <v>Beverages</v>
      </c>
      <c r="H4083" s="33" t="n">
        <f aca="false">D4083*INDEX(Products!$E$2:$E$49,MATCH(C4083,Products!$A$2:$A$49,0))</f>
        <v>3000</v>
      </c>
      <c r="I4083" s="33" t="n">
        <f aca="false">D4083*INDEX(Products!$D$2:$D$49,MATCH(C4083,Products!$A$2:$A$49,0))*(1+INDEX(Assumptions!$B$16:$B$20,MATCH(B4083,Assumptions!$A$16:$A$20,0)))</f>
        <v>2150.4</v>
      </c>
      <c r="J4083" s="33" t="n">
        <f aca="false">H4083-I4083</f>
        <v>849.6</v>
      </c>
      <c r="K4083" s="33" t="n">
        <f aca="false">IF(OR(E4083=0,E4083&gt;=7),0,D4083/(7-E4083)*E4083*INDEX(Products!$E$2:$E$49,MATCH(C4083,Products!$A$2:$A$49,0)))</f>
        <v>0</v>
      </c>
    </row>
    <row r="4084" customFormat="false" ht="15" hidden="false" customHeight="false" outlineLevel="0" collapsed="false">
      <c r="A4084" s="36" t="n">
        <v>46167</v>
      </c>
      <c r="B4084" s="24" t="s">
        <v>64</v>
      </c>
      <c r="C4084" s="24" t="s">
        <v>153</v>
      </c>
      <c r="D4084" s="33" t="n">
        <v>71</v>
      </c>
      <c r="E4084" s="24" t="n">
        <v>0</v>
      </c>
      <c r="F4084" s="37" t="n">
        <f aca="false">DATE(YEAR(A4084),MONTH(A4084),1)</f>
        <v>46143</v>
      </c>
      <c r="G4084" s="24" t="str">
        <f aca="false">INDEX(Products!$C$2:$C$49,MATCH(C4084,Products!$A$2:$A$49,0))</f>
        <v>Beverages</v>
      </c>
      <c r="H4084" s="33" t="n">
        <f aca="false">D4084*INDEX(Products!$E$2:$E$49,MATCH(C4084,Products!$A$2:$A$49,0))</f>
        <v>3550</v>
      </c>
      <c r="I4084" s="33" t="n">
        <f aca="false">D4084*INDEX(Products!$D$2:$D$49,MATCH(C4084,Products!$A$2:$A$49,0))*(1+INDEX(Assumptions!$B$16:$B$20,MATCH(B4084,Assumptions!$A$16:$A$20,0)))</f>
        <v>2544.64</v>
      </c>
      <c r="J4084" s="33" t="n">
        <f aca="false">H4084-I4084</f>
        <v>1005.36</v>
      </c>
      <c r="K4084" s="33" t="n">
        <f aca="false">IF(OR(E4084=0,E4084&gt;=7),0,D4084/(7-E4084)*E4084*INDEX(Products!$E$2:$E$49,MATCH(C4084,Products!$A$2:$A$49,0)))</f>
        <v>0</v>
      </c>
    </row>
    <row r="4085" customFormat="false" ht="15" hidden="false" customHeight="false" outlineLevel="0" collapsed="false">
      <c r="A4085" s="36" t="n">
        <v>46174</v>
      </c>
      <c r="B4085" s="24" t="s">
        <v>64</v>
      </c>
      <c r="C4085" s="24" t="s">
        <v>153</v>
      </c>
      <c r="D4085" s="33" t="n">
        <v>59</v>
      </c>
      <c r="E4085" s="24" t="n">
        <v>0</v>
      </c>
      <c r="F4085" s="37" t="n">
        <f aca="false">DATE(YEAR(A4085),MONTH(A4085),1)</f>
        <v>46174</v>
      </c>
      <c r="G4085" s="24" t="str">
        <f aca="false">INDEX(Products!$C$2:$C$49,MATCH(C4085,Products!$A$2:$A$49,0))</f>
        <v>Beverages</v>
      </c>
      <c r="H4085" s="33" t="n">
        <f aca="false">D4085*INDEX(Products!$E$2:$E$49,MATCH(C4085,Products!$A$2:$A$49,0))</f>
        <v>2950</v>
      </c>
      <c r="I4085" s="33" t="n">
        <f aca="false">D4085*INDEX(Products!$D$2:$D$49,MATCH(C4085,Products!$A$2:$A$49,0))*(1+INDEX(Assumptions!$B$16:$B$20,MATCH(B4085,Assumptions!$A$16:$A$20,0)))</f>
        <v>2114.56</v>
      </c>
      <c r="J4085" s="33" t="n">
        <f aca="false">H4085-I4085</f>
        <v>835.44</v>
      </c>
      <c r="K4085" s="33" t="n">
        <f aca="false">IF(OR(E4085=0,E4085&gt;=7),0,D4085/(7-E4085)*E4085*INDEX(Products!$E$2:$E$49,MATCH(C4085,Products!$A$2:$A$49,0)))</f>
        <v>0</v>
      </c>
    </row>
    <row r="4086" customFormat="false" ht="15" hidden="false" customHeight="false" outlineLevel="0" collapsed="false">
      <c r="A4086" s="36" t="n">
        <v>46181</v>
      </c>
      <c r="B4086" s="24" t="s">
        <v>64</v>
      </c>
      <c r="C4086" s="24" t="s">
        <v>153</v>
      </c>
      <c r="D4086" s="33" t="n">
        <v>53</v>
      </c>
      <c r="E4086" s="24" t="n">
        <v>0</v>
      </c>
      <c r="F4086" s="37" t="n">
        <f aca="false">DATE(YEAR(A4086),MONTH(A4086),1)</f>
        <v>46174</v>
      </c>
      <c r="G4086" s="24" t="str">
        <f aca="false">INDEX(Products!$C$2:$C$49,MATCH(C4086,Products!$A$2:$A$49,0))</f>
        <v>Beverages</v>
      </c>
      <c r="H4086" s="33" t="n">
        <f aca="false">D4086*INDEX(Products!$E$2:$E$49,MATCH(C4086,Products!$A$2:$A$49,0))</f>
        <v>2650</v>
      </c>
      <c r="I4086" s="33" t="n">
        <f aca="false">D4086*INDEX(Products!$D$2:$D$49,MATCH(C4086,Products!$A$2:$A$49,0))*(1+INDEX(Assumptions!$B$16:$B$20,MATCH(B4086,Assumptions!$A$16:$A$20,0)))</f>
        <v>1899.52</v>
      </c>
      <c r="J4086" s="33" t="n">
        <f aca="false">H4086-I4086</f>
        <v>750.48</v>
      </c>
      <c r="K4086" s="33" t="n">
        <f aca="false">IF(OR(E4086=0,E4086&gt;=7),0,D4086/(7-E4086)*E4086*INDEX(Products!$E$2:$E$49,MATCH(C4086,Products!$A$2:$A$49,0)))</f>
        <v>0</v>
      </c>
    </row>
    <row r="4087" customFormat="false" ht="15" hidden="false" customHeight="false" outlineLevel="0" collapsed="false">
      <c r="A4087" s="36" t="n">
        <v>46188</v>
      </c>
      <c r="B4087" s="24" t="s">
        <v>64</v>
      </c>
      <c r="C4087" s="24" t="s">
        <v>153</v>
      </c>
      <c r="D4087" s="33" t="n">
        <v>47</v>
      </c>
      <c r="E4087" s="24" t="n">
        <v>0</v>
      </c>
      <c r="F4087" s="37" t="n">
        <f aca="false">DATE(YEAR(A4087),MONTH(A4087),1)</f>
        <v>46174</v>
      </c>
      <c r="G4087" s="24" t="str">
        <f aca="false">INDEX(Products!$C$2:$C$49,MATCH(C4087,Products!$A$2:$A$49,0))</f>
        <v>Beverages</v>
      </c>
      <c r="H4087" s="33" t="n">
        <f aca="false">D4087*INDEX(Products!$E$2:$E$49,MATCH(C4087,Products!$A$2:$A$49,0))</f>
        <v>2350</v>
      </c>
      <c r="I4087" s="33" t="n">
        <f aca="false">D4087*INDEX(Products!$D$2:$D$49,MATCH(C4087,Products!$A$2:$A$49,0))*(1+INDEX(Assumptions!$B$16:$B$20,MATCH(B4087,Assumptions!$A$16:$A$20,0)))</f>
        <v>1684.48</v>
      </c>
      <c r="J4087" s="33" t="n">
        <f aca="false">H4087-I4087</f>
        <v>665.52</v>
      </c>
      <c r="K4087" s="33" t="n">
        <f aca="false">IF(OR(E4087=0,E4087&gt;=7),0,D4087/(7-E4087)*E4087*INDEX(Products!$E$2:$E$49,MATCH(C4087,Products!$A$2:$A$49,0)))</f>
        <v>0</v>
      </c>
    </row>
    <row r="4088" customFormat="false" ht="15" hidden="false" customHeight="false" outlineLevel="0" collapsed="false">
      <c r="A4088" s="36" t="n">
        <v>46195</v>
      </c>
      <c r="B4088" s="24" t="s">
        <v>64</v>
      </c>
      <c r="C4088" s="24" t="s">
        <v>153</v>
      </c>
      <c r="D4088" s="33" t="n">
        <v>74</v>
      </c>
      <c r="E4088" s="24" t="n">
        <v>0</v>
      </c>
      <c r="F4088" s="37" t="n">
        <f aca="false">DATE(YEAR(A4088),MONTH(A4088),1)</f>
        <v>46174</v>
      </c>
      <c r="G4088" s="24" t="str">
        <f aca="false">INDEX(Products!$C$2:$C$49,MATCH(C4088,Products!$A$2:$A$49,0))</f>
        <v>Beverages</v>
      </c>
      <c r="H4088" s="33" t="n">
        <f aca="false">D4088*INDEX(Products!$E$2:$E$49,MATCH(C4088,Products!$A$2:$A$49,0))</f>
        <v>3700</v>
      </c>
      <c r="I4088" s="33" t="n">
        <f aca="false">D4088*INDEX(Products!$D$2:$D$49,MATCH(C4088,Products!$A$2:$A$49,0))*(1+INDEX(Assumptions!$B$16:$B$20,MATCH(B4088,Assumptions!$A$16:$A$20,0)))</f>
        <v>2652.16</v>
      </c>
      <c r="J4088" s="33" t="n">
        <f aca="false">H4088-I4088</f>
        <v>1047.84</v>
      </c>
      <c r="K4088" s="33" t="n">
        <f aca="false">IF(OR(E4088=0,E4088&gt;=7),0,D4088/(7-E4088)*E4088*INDEX(Products!$E$2:$E$49,MATCH(C4088,Products!$A$2:$A$49,0)))</f>
        <v>0</v>
      </c>
    </row>
    <row r="4089" customFormat="false" ht="15" hidden="false" customHeight="false" outlineLevel="0" collapsed="false">
      <c r="A4089" s="36" t="n">
        <v>46202</v>
      </c>
      <c r="B4089" s="24" t="s">
        <v>64</v>
      </c>
      <c r="C4089" s="24" t="s">
        <v>153</v>
      </c>
      <c r="D4089" s="33" t="n">
        <v>59</v>
      </c>
      <c r="E4089" s="24" t="n">
        <v>0</v>
      </c>
      <c r="F4089" s="37" t="n">
        <f aca="false">DATE(YEAR(A4089),MONTH(A4089),1)</f>
        <v>46174</v>
      </c>
      <c r="G4089" s="24" t="str">
        <f aca="false">INDEX(Products!$C$2:$C$49,MATCH(C4089,Products!$A$2:$A$49,0))</f>
        <v>Beverages</v>
      </c>
      <c r="H4089" s="33" t="n">
        <f aca="false">D4089*INDEX(Products!$E$2:$E$49,MATCH(C4089,Products!$A$2:$A$49,0))</f>
        <v>2950</v>
      </c>
      <c r="I4089" s="33" t="n">
        <f aca="false">D4089*INDEX(Products!$D$2:$D$49,MATCH(C4089,Products!$A$2:$A$49,0))*(1+INDEX(Assumptions!$B$16:$B$20,MATCH(B4089,Assumptions!$A$16:$A$20,0)))</f>
        <v>2114.56</v>
      </c>
      <c r="J4089" s="33" t="n">
        <f aca="false">H4089-I4089</f>
        <v>835.44</v>
      </c>
      <c r="K4089" s="33" t="n">
        <f aca="false">IF(OR(E4089=0,E4089&gt;=7),0,D4089/(7-E4089)*E4089*INDEX(Products!$E$2:$E$49,MATCH(C4089,Products!$A$2:$A$49,0)))</f>
        <v>0</v>
      </c>
    </row>
    <row r="4090" customFormat="false" ht="15" hidden="false" customHeight="false" outlineLevel="0" collapsed="false">
      <c r="A4090" s="36" t="n">
        <v>46209</v>
      </c>
      <c r="B4090" s="24" t="s">
        <v>64</v>
      </c>
      <c r="C4090" s="24" t="s">
        <v>153</v>
      </c>
      <c r="D4090" s="33" t="n">
        <v>42</v>
      </c>
      <c r="E4090" s="24" t="n">
        <v>0</v>
      </c>
      <c r="F4090" s="37" t="n">
        <f aca="false">DATE(YEAR(A4090),MONTH(A4090),1)</f>
        <v>46204</v>
      </c>
      <c r="G4090" s="24" t="str">
        <f aca="false">INDEX(Products!$C$2:$C$49,MATCH(C4090,Products!$A$2:$A$49,0))</f>
        <v>Beverages</v>
      </c>
      <c r="H4090" s="33" t="n">
        <f aca="false">D4090*INDEX(Products!$E$2:$E$49,MATCH(C4090,Products!$A$2:$A$49,0))</f>
        <v>2100</v>
      </c>
      <c r="I4090" s="33" t="n">
        <f aca="false">D4090*INDEX(Products!$D$2:$D$49,MATCH(C4090,Products!$A$2:$A$49,0))*(1+INDEX(Assumptions!$B$16:$B$20,MATCH(B4090,Assumptions!$A$16:$A$20,0)))</f>
        <v>1505.28</v>
      </c>
      <c r="J4090" s="33" t="n">
        <f aca="false">H4090-I4090</f>
        <v>594.72</v>
      </c>
      <c r="K4090" s="33" t="n">
        <f aca="false">IF(OR(E4090=0,E4090&gt;=7),0,D4090/(7-E4090)*E4090*INDEX(Products!$E$2:$E$49,MATCH(C4090,Products!$A$2:$A$49,0)))</f>
        <v>0</v>
      </c>
    </row>
    <row r="4091" customFormat="false" ht="15" hidden="false" customHeight="false" outlineLevel="0" collapsed="false">
      <c r="A4091" s="36" t="n">
        <v>46216</v>
      </c>
      <c r="B4091" s="24" t="s">
        <v>64</v>
      </c>
      <c r="C4091" s="24" t="s">
        <v>153</v>
      </c>
      <c r="D4091" s="33" t="n">
        <v>52</v>
      </c>
      <c r="E4091" s="24" t="n">
        <v>0</v>
      </c>
      <c r="F4091" s="37" t="n">
        <f aca="false">DATE(YEAR(A4091),MONTH(A4091),1)</f>
        <v>46204</v>
      </c>
      <c r="G4091" s="24" t="str">
        <f aca="false">INDEX(Products!$C$2:$C$49,MATCH(C4091,Products!$A$2:$A$49,0))</f>
        <v>Beverages</v>
      </c>
      <c r="H4091" s="33" t="n">
        <f aca="false">D4091*INDEX(Products!$E$2:$E$49,MATCH(C4091,Products!$A$2:$A$49,0))</f>
        <v>2600</v>
      </c>
      <c r="I4091" s="33" t="n">
        <f aca="false">D4091*INDEX(Products!$D$2:$D$49,MATCH(C4091,Products!$A$2:$A$49,0))*(1+INDEX(Assumptions!$B$16:$B$20,MATCH(B4091,Assumptions!$A$16:$A$20,0)))</f>
        <v>1863.68</v>
      </c>
      <c r="J4091" s="33" t="n">
        <f aca="false">H4091-I4091</f>
        <v>736.32</v>
      </c>
      <c r="K4091" s="33" t="n">
        <f aca="false">IF(OR(E4091=0,E4091&gt;=7),0,D4091/(7-E4091)*E4091*INDEX(Products!$E$2:$E$49,MATCH(C4091,Products!$A$2:$A$49,0)))</f>
        <v>0</v>
      </c>
    </row>
    <row r="4092" customFormat="false" ht="15" hidden="false" customHeight="false" outlineLevel="0" collapsed="false">
      <c r="A4092" s="36" t="n">
        <v>46223</v>
      </c>
      <c r="B4092" s="24" t="s">
        <v>64</v>
      </c>
      <c r="C4092" s="24" t="s">
        <v>153</v>
      </c>
      <c r="D4092" s="33" t="n">
        <v>66</v>
      </c>
      <c r="E4092" s="24" t="n">
        <v>0</v>
      </c>
      <c r="F4092" s="37" t="n">
        <f aca="false">DATE(YEAR(A4092),MONTH(A4092),1)</f>
        <v>46204</v>
      </c>
      <c r="G4092" s="24" t="str">
        <f aca="false">INDEX(Products!$C$2:$C$49,MATCH(C4092,Products!$A$2:$A$49,0))</f>
        <v>Beverages</v>
      </c>
      <c r="H4092" s="33" t="n">
        <f aca="false">D4092*INDEX(Products!$E$2:$E$49,MATCH(C4092,Products!$A$2:$A$49,0))</f>
        <v>3300</v>
      </c>
      <c r="I4092" s="33" t="n">
        <f aca="false">D4092*INDEX(Products!$D$2:$D$49,MATCH(C4092,Products!$A$2:$A$49,0))*(1+INDEX(Assumptions!$B$16:$B$20,MATCH(B4092,Assumptions!$A$16:$A$20,0)))</f>
        <v>2365.44</v>
      </c>
      <c r="J4092" s="33" t="n">
        <f aca="false">H4092-I4092</f>
        <v>934.56</v>
      </c>
      <c r="K4092" s="33" t="n">
        <f aca="false">IF(OR(E4092=0,E4092&gt;=7),0,D4092/(7-E4092)*E4092*INDEX(Products!$E$2:$E$49,MATCH(C4092,Products!$A$2:$A$49,0)))</f>
        <v>0</v>
      </c>
    </row>
    <row r="4093" customFormat="false" ht="15" hidden="false" customHeight="false" outlineLevel="0" collapsed="false">
      <c r="A4093" s="36" t="n">
        <v>46230</v>
      </c>
      <c r="B4093" s="24" t="s">
        <v>64</v>
      </c>
      <c r="C4093" s="24" t="s">
        <v>153</v>
      </c>
      <c r="D4093" s="33" t="n">
        <v>67</v>
      </c>
      <c r="E4093" s="24" t="n">
        <v>0</v>
      </c>
      <c r="F4093" s="37" t="n">
        <f aca="false">DATE(YEAR(A4093),MONTH(A4093),1)</f>
        <v>46204</v>
      </c>
      <c r="G4093" s="24" t="str">
        <f aca="false">INDEX(Products!$C$2:$C$49,MATCH(C4093,Products!$A$2:$A$49,0))</f>
        <v>Beverages</v>
      </c>
      <c r="H4093" s="33" t="n">
        <f aca="false">D4093*INDEX(Products!$E$2:$E$49,MATCH(C4093,Products!$A$2:$A$49,0))</f>
        <v>3350</v>
      </c>
      <c r="I4093" s="33" t="n">
        <f aca="false">D4093*INDEX(Products!$D$2:$D$49,MATCH(C4093,Products!$A$2:$A$49,0))*(1+INDEX(Assumptions!$B$16:$B$20,MATCH(B4093,Assumptions!$A$16:$A$20,0)))</f>
        <v>2401.28</v>
      </c>
      <c r="J4093" s="33" t="n">
        <f aca="false">H4093-I4093</f>
        <v>948.72</v>
      </c>
      <c r="K4093" s="33" t="n">
        <f aca="false">IF(OR(E4093=0,E4093&gt;=7),0,D4093/(7-E4093)*E4093*INDEX(Products!$E$2:$E$49,MATCH(C4093,Products!$A$2:$A$49,0)))</f>
        <v>0</v>
      </c>
    </row>
    <row r="4094" customFormat="false" ht="15" hidden="false" customHeight="false" outlineLevel="0" collapsed="false">
      <c r="A4094" s="36" t="n">
        <v>46237</v>
      </c>
      <c r="B4094" s="24" t="s">
        <v>64</v>
      </c>
      <c r="C4094" s="24" t="s">
        <v>153</v>
      </c>
      <c r="D4094" s="33" t="n">
        <v>42</v>
      </c>
      <c r="E4094" s="24" t="n">
        <v>0</v>
      </c>
      <c r="F4094" s="37" t="n">
        <f aca="false">DATE(YEAR(A4094),MONTH(A4094),1)</f>
        <v>46235</v>
      </c>
      <c r="G4094" s="24" t="str">
        <f aca="false">INDEX(Products!$C$2:$C$49,MATCH(C4094,Products!$A$2:$A$49,0))</f>
        <v>Beverages</v>
      </c>
      <c r="H4094" s="33" t="n">
        <f aca="false">D4094*INDEX(Products!$E$2:$E$49,MATCH(C4094,Products!$A$2:$A$49,0))</f>
        <v>2100</v>
      </c>
      <c r="I4094" s="33" t="n">
        <f aca="false">D4094*INDEX(Products!$D$2:$D$49,MATCH(C4094,Products!$A$2:$A$49,0))*(1+INDEX(Assumptions!$B$16:$B$20,MATCH(B4094,Assumptions!$A$16:$A$20,0)))</f>
        <v>1505.28</v>
      </c>
      <c r="J4094" s="33" t="n">
        <f aca="false">H4094-I4094</f>
        <v>594.72</v>
      </c>
      <c r="K4094" s="33" t="n">
        <f aca="false">IF(OR(E4094=0,E4094&gt;=7),0,D4094/(7-E4094)*E4094*INDEX(Products!$E$2:$E$49,MATCH(C4094,Products!$A$2:$A$49,0)))</f>
        <v>0</v>
      </c>
    </row>
    <row r="4095" customFormat="false" ht="15" hidden="false" customHeight="false" outlineLevel="0" collapsed="false">
      <c r="A4095" s="36" t="n">
        <v>46244</v>
      </c>
      <c r="B4095" s="24" t="s">
        <v>64</v>
      </c>
      <c r="C4095" s="24" t="s">
        <v>153</v>
      </c>
      <c r="D4095" s="33" t="n">
        <v>64</v>
      </c>
      <c r="E4095" s="24" t="n">
        <v>0</v>
      </c>
      <c r="F4095" s="37" t="n">
        <f aca="false">DATE(YEAR(A4095),MONTH(A4095),1)</f>
        <v>46235</v>
      </c>
      <c r="G4095" s="24" t="str">
        <f aca="false">INDEX(Products!$C$2:$C$49,MATCH(C4095,Products!$A$2:$A$49,0))</f>
        <v>Beverages</v>
      </c>
      <c r="H4095" s="33" t="n">
        <f aca="false">D4095*INDEX(Products!$E$2:$E$49,MATCH(C4095,Products!$A$2:$A$49,0))</f>
        <v>3200</v>
      </c>
      <c r="I4095" s="33" t="n">
        <f aca="false">D4095*INDEX(Products!$D$2:$D$49,MATCH(C4095,Products!$A$2:$A$49,0))*(1+INDEX(Assumptions!$B$16:$B$20,MATCH(B4095,Assumptions!$A$16:$A$20,0)))</f>
        <v>2293.76</v>
      </c>
      <c r="J4095" s="33" t="n">
        <f aca="false">H4095-I4095</f>
        <v>906.24</v>
      </c>
      <c r="K4095" s="33" t="n">
        <f aca="false">IF(OR(E4095=0,E4095&gt;=7),0,D4095/(7-E4095)*E4095*INDEX(Products!$E$2:$E$49,MATCH(C4095,Products!$A$2:$A$49,0)))</f>
        <v>0</v>
      </c>
    </row>
    <row r="4096" customFormat="false" ht="15" hidden="false" customHeight="false" outlineLevel="0" collapsed="false">
      <c r="A4096" s="36" t="n">
        <v>46251</v>
      </c>
      <c r="B4096" s="24" t="s">
        <v>64</v>
      </c>
      <c r="C4096" s="24" t="s">
        <v>153</v>
      </c>
      <c r="D4096" s="33" t="n">
        <v>47</v>
      </c>
      <c r="E4096" s="24" t="n">
        <v>0</v>
      </c>
      <c r="F4096" s="37" t="n">
        <f aca="false">DATE(YEAR(A4096),MONTH(A4096),1)</f>
        <v>46235</v>
      </c>
      <c r="G4096" s="24" t="str">
        <f aca="false">INDEX(Products!$C$2:$C$49,MATCH(C4096,Products!$A$2:$A$49,0))</f>
        <v>Beverages</v>
      </c>
      <c r="H4096" s="33" t="n">
        <f aca="false">D4096*INDEX(Products!$E$2:$E$49,MATCH(C4096,Products!$A$2:$A$49,0))</f>
        <v>2350</v>
      </c>
      <c r="I4096" s="33" t="n">
        <f aca="false">D4096*INDEX(Products!$D$2:$D$49,MATCH(C4096,Products!$A$2:$A$49,0))*(1+INDEX(Assumptions!$B$16:$B$20,MATCH(B4096,Assumptions!$A$16:$A$20,0)))</f>
        <v>1684.48</v>
      </c>
      <c r="J4096" s="33" t="n">
        <f aca="false">H4096-I4096</f>
        <v>665.52</v>
      </c>
      <c r="K4096" s="33" t="n">
        <f aca="false">IF(OR(E4096=0,E4096&gt;=7),0,D4096/(7-E4096)*E4096*INDEX(Products!$E$2:$E$49,MATCH(C4096,Products!$A$2:$A$49,0)))</f>
        <v>0</v>
      </c>
    </row>
    <row r="4097" customFormat="false" ht="15" hidden="false" customHeight="false" outlineLevel="0" collapsed="false">
      <c r="A4097" s="36" t="n">
        <v>46258</v>
      </c>
      <c r="B4097" s="24" t="s">
        <v>64</v>
      </c>
      <c r="C4097" s="24" t="s">
        <v>153</v>
      </c>
      <c r="D4097" s="33" t="n">
        <v>71</v>
      </c>
      <c r="E4097" s="24" t="n">
        <v>0</v>
      </c>
      <c r="F4097" s="37" t="n">
        <f aca="false">DATE(YEAR(A4097),MONTH(A4097),1)</f>
        <v>46235</v>
      </c>
      <c r="G4097" s="24" t="str">
        <f aca="false">INDEX(Products!$C$2:$C$49,MATCH(C4097,Products!$A$2:$A$49,0))</f>
        <v>Beverages</v>
      </c>
      <c r="H4097" s="33" t="n">
        <f aca="false">D4097*INDEX(Products!$E$2:$E$49,MATCH(C4097,Products!$A$2:$A$49,0))</f>
        <v>3550</v>
      </c>
      <c r="I4097" s="33" t="n">
        <f aca="false">D4097*INDEX(Products!$D$2:$D$49,MATCH(C4097,Products!$A$2:$A$49,0))*(1+INDEX(Assumptions!$B$16:$B$20,MATCH(B4097,Assumptions!$A$16:$A$20,0)))</f>
        <v>2544.64</v>
      </c>
      <c r="J4097" s="33" t="n">
        <f aca="false">H4097-I4097</f>
        <v>1005.36</v>
      </c>
      <c r="K4097" s="33" t="n">
        <f aca="false">IF(OR(E4097=0,E4097&gt;=7),0,D4097/(7-E4097)*E4097*INDEX(Products!$E$2:$E$49,MATCH(C4097,Products!$A$2:$A$49,0)))</f>
        <v>0</v>
      </c>
    </row>
    <row r="4098" customFormat="false" ht="15" hidden="false" customHeight="false" outlineLevel="0" collapsed="false">
      <c r="A4098" s="36" t="n">
        <v>46265</v>
      </c>
      <c r="B4098" s="24" t="s">
        <v>64</v>
      </c>
      <c r="C4098" s="24" t="s">
        <v>153</v>
      </c>
      <c r="D4098" s="33" t="n">
        <v>79</v>
      </c>
      <c r="E4098" s="24" t="n">
        <v>0</v>
      </c>
      <c r="F4098" s="37" t="n">
        <f aca="false">DATE(YEAR(A4098),MONTH(A4098),1)</f>
        <v>46235</v>
      </c>
      <c r="G4098" s="24" t="str">
        <f aca="false">INDEX(Products!$C$2:$C$49,MATCH(C4098,Products!$A$2:$A$49,0))</f>
        <v>Beverages</v>
      </c>
      <c r="H4098" s="33" t="n">
        <f aca="false">D4098*INDEX(Products!$E$2:$E$49,MATCH(C4098,Products!$A$2:$A$49,0))</f>
        <v>3950</v>
      </c>
      <c r="I4098" s="33" t="n">
        <f aca="false">D4098*INDEX(Products!$D$2:$D$49,MATCH(C4098,Products!$A$2:$A$49,0))*(1+INDEX(Assumptions!$B$16:$B$20,MATCH(B4098,Assumptions!$A$16:$A$20,0)))</f>
        <v>2831.36</v>
      </c>
      <c r="J4098" s="33" t="n">
        <f aca="false">H4098-I4098</f>
        <v>1118.64</v>
      </c>
      <c r="K4098" s="33" t="n">
        <f aca="false">IF(OR(E4098=0,E4098&gt;=7),0,D4098/(7-E4098)*E4098*INDEX(Products!$E$2:$E$49,MATCH(C4098,Products!$A$2:$A$49,0)))</f>
        <v>0</v>
      </c>
    </row>
    <row r="4099" customFormat="false" ht="15" hidden="false" customHeight="false" outlineLevel="0" collapsed="false">
      <c r="A4099" s="36" t="n">
        <v>46272</v>
      </c>
      <c r="B4099" s="24" t="s">
        <v>64</v>
      </c>
      <c r="C4099" s="24" t="s">
        <v>153</v>
      </c>
      <c r="D4099" s="33" t="n">
        <v>57</v>
      </c>
      <c r="E4099" s="24" t="n">
        <v>0</v>
      </c>
      <c r="F4099" s="37" t="n">
        <f aca="false">DATE(YEAR(A4099),MONTH(A4099),1)</f>
        <v>46266</v>
      </c>
      <c r="G4099" s="24" t="str">
        <f aca="false">INDEX(Products!$C$2:$C$49,MATCH(C4099,Products!$A$2:$A$49,0))</f>
        <v>Beverages</v>
      </c>
      <c r="H4099" s="33" t="n">
        <f aca="false">D4099*INDEX(Products!$E$2:$E$49,MATCH(C4099,Products!$A$2:$A$49,0))</f>
        <v>2850</v>
      </c>
      <c r="I4099" s="33" t="n">
        <f aca="false">D4099*INDEX(Products!$D$2:$D$49,MATCH(C4099,Products!$A$2:$A$49,0))*(1+INDEX(Assumptions!$B$16:$B$20,MATCH(B4099,Assumptions!$A$16:$A$20,0)))</f>
        <v>2042.88</v>
      </c>
      <c r="J4099" s="33" t="n">
        <f aca="false">H4099-I4099</f>
        <v>807.12</v>
      </c>
      <c r="K4099" s="33" t="n">
        <f aca="false">IF(OR(E4099=0,E4099&gt;=7),0,D4099/(7-E4099)*E4099*INDEX(Products!$E$2:$E$49,MATCH(C4099,Products!$A$2:$A$49,0)))</f>
        <v>0</v>
      </c>
    </row>
    <row r="4100" customFormat="false" ht="15" hidden="false" customHeight="false" outlineLevel="0" collapsed="false">
      <c r="A4100" s="36" t="n">
        <v>46279</v>
      </c>
      <c r="B4100" s="24" t="s">
        <v>64</v>
      </c>
      <c r="C4100" s="24" t="s">
        <v>153</v>
      </c>
      <c r="D4100" s="33" t="n">
        <v>53</v>
      </c>
      <c r="E4100" s="24" t="n">
        <v>0</v>
      </c>
      <c r="F4100" s="37" t="n">
        <f aca="false">DATE(YEAR(A4100),MONTH(A4100),1)</f>
        <v>46266</v>
      </c>
      <c r="G4100" s="24" t="str">
        <f aca="false">INDEX(Products!$C$2:$C$49,MATCH(C4100,Products!$A$2:$A$49,0))</f>
        <v>Beverages</v>
      </c>
      <c r="H4100" s="33" t="n">
        <f aca="false">D4100*INDEX(Products!$E$2:$E$49,MATCH(C4100,Products!$A$2:$A$49,0))</f>
        <v>2650</v>
      </c>
      <c r="I4100" s="33" t="n">
        <f aca="false">D4100*INDEX(Products!$D$2:$D$49,MATCH(C4100,Products!$A$2:$A$49,0))*(1+INDEX(Assumptions!$B$16:$B$20,MATCH(B4100,Assumptions!$A$16:$A$20,0)))</f>
        <v>1899.52</v>
      </c>
      <c r="J4100" s="33" t="n">
        <f aca="false">H4100-I4100</f>
        <v>750.48</v>
      </c>
      <c r="K4100" s="33" t="n">
        <f aca="false">IF(OR(E4100=0,E4100&gt;=7),0,D4100/(7-E4100)*E4100*INDEX(Products!$E$2:$E$49,MATCH(C4100,Products!$A$2:$A$49,0)))</f>
        <v>0</v>
      </c>
    </row>
    <row r="4101" customFormat="false" ht="15" hidden="false" customHeight="false" outlineLevel="0" collapsed="false">
      <c r="A4101" s="36" t="n">
        <v>46286</v>
      </c>
      <c r="B4101" s="24" t="s">
        <v>64</v>
      </c>
      <c r="C4101" s="24" t="s">
        <v>153</v>
      </c>
      <c r="D4101" s="33" t="n">
        <v>63</v>
      </c>
      <c r="E4101" s="24" t="n">
        <v>0</v>
      </c>
      <c r="F4101" s="37" t="n">
        <f aca="false">DATE(YEAR(A4101),MONTH(A4101),1)</f>
        <v>46266</v>
      </c>
      <c r="G4101" s="24" t="str">
        <f aca="false">INDEX(Products!$C$2:$C$49,MATCH(C4101,Products!$A$2:$A$49,0))</f>
        <v>Beverages</v>
      </c>
      <c r="H4101" s="33" t="n">
        <f aca="false">D4101*INDEX(Products!$E$2:$E$49,MATCH(C4101,Products!$A$2:$A$49,0))</f>
        <v>3150</v>
      </c>
      <c r="I4101" s="33" t="n">
        <f aca="false">D4101*INDEX(Products!$D$2:$D$49,MATCH(C4101,Products!$A$2:$A$49,0))*(1+INDEX(Assumptions!$B$16:$B$20,MATCH(B4101,Assumptions!$A$16:$A$20,0)))</f>
        <v>2257.92</v>
      </c>
      <c r="J4101" s="33" t="n">
        <f aca="false">H4101-I4101</f>
        <v>892.08</v>
      </c>
      <c r="K4101" s="33" t="n">
        <f aca="false">IF(OR(E4101=0,E4101&gt;=7),0,D4101/(7-E4101)*E4101*INDEX(Products!$E$2:$E$49,MATCH(C4101,Products!$A$2:$A$49,0)))</f>
        <v>0</v>
      </c>
    </row>
    <row r="4102" customFormat="false" ht="15" hidden="false" customHeight="false" outlineLevel="0" collapsed="false">
      <c r="A4102" s="36" t="n">
        <v>46118</v>
      </c>
      <c r="B4102" s="24" t="s">
        <v>64</v>
      </c>
      <c r="C4102" s="24" t="s">
        <v>155</v>
      </c>
      <c r="D4102" s="33" t="n">
        <v>106</v>
      </c>
      <c r="E4102" s="24" t="n">
        <v>0</v>
      </c>
      <c r="F4102" s="37" t="n">
        <f aca="false">DATE(YEAR(A4102),MONTH(A4102),1)</f>
        <v>46113</v>
      </c>
      <c r="G4102" s="24" t="str">
        <f aca="false">INDEX(Products!$C$2:$C$49,MATCH(C4102,Products!$A$2:$A$49,0))</f>
        <v>Beverages</v>
      </c>
      <c r="H4102" s="33" t="n">
        <f aca="false">D4102*INDEX(Products!$E$2:$E$49,MATCH(C4102,Products!$A$2:$A$49,0))</f>
        <v>3710</v>
      </c>
      <c r="I4102" s="33" t="n">
        <f aca="false">D4102*INDEX(Products!$D$2:$D$49,MATCH(C4102,Products!$A$2:$A$49,0))*(1+INDEX(Assumptions!$B$16:$B$20,MATCH(B4102,Assumptions!$A$16:$A$20,0)))</f>
        <v>2822.144</v>
      </c>
      <c r="J4102" s="33" t="n">
        <f aca="false">H4102-I4102</f>
        <v>887.856</v>
      </c>
      <c r="K4102" s="33" t="n">
        <f aca="false">IF(OR(E4102=0,E4102&gt;=7),0,D4102/(7-E4102)*E4102*INDEX(Products!$E$2:$E$49,MATCH(C4102,Products!$A$2:$A$49,0)))</f>
        <v>0</v>
      </c>
    </row>
    <row r="4103" customFormat="false" ht="15" hidden="false" customHeight="false" outlineLevel="0" collapsed="false">
      <c r="A4103" s="36" t="n">
        <v>46125</v>
      </c>
      <c r="B4103" s="24" t="s">
        <v>64</v>
      </c>
      <c r="C4103" s="24" t="s">
        <v>155</v>
      </c>
      <c r="D4103" s="33" t="n">
        <v>44</v>
      </c>
      <c r="E4103" s="24" t="n">
        <v>4</v>
      </c>
      <c r="F4103" s="37" t="n">
        <f aca="false">DATE(YEAR(A4103),MONTH(A4103),1)</f>
        <v>46113</v>
      </c>
      <c r="G4103" s="24" t="str">
        <f aca="false">INDEX(Products!$C$2:$C$49,MATCH(C4103,Products!$A$2:$A$49,0))</f>
        <v>Beverages</v>
      </c>
      <c r="H4103" s="33" t="n">
        <f aca="false">D4103*INDEX(Products!$E$2:$E$49,MATCH(C4103,Products!$A$2:$A$49,0))</f>
        <v>1540</v>
      </c>
      <c r="I4103" s="33" t="n">
        <f aca="false">D4103*INDEX(Products!$D$2:$D$49,MATCH(C4103,Products!$A$2:$A$49,0))*(1+INDEX(Assumptions!$B$16:$B$20,MATCH(B4103,Assumptions!$A$16:$A$20,0)))</f>
        <v>1171.456</v>
      </c>
      <c r="J4103" s="33" t="n">
        <f aca="false">H4103-I4103</f>
        <v>368.544</v>
      </c>
      <c r="K4103" s="33" t="n">
        <f aca="false">IF(OR(E4103=0,E4103&gt;=7),0,D4103/(7-E4103)*E4103*INDEX(Products!$E$2:$E$49,MATCH(C4103,Products!$A$2:$A$49,0)))</f>
        <v>2053.33333333333</v>
      </c>
    </row>
    <row r="4104" customFormat="false" ht="15" hidden="false" customHeight="false" outlineLevel="0" collapsed="false">
      <c r="A4104" s="36" t="n">
        <v>46132</v>
      </c>
      <c r="B4104" s="24" t="s">
        <v>64</v>
      </c>
      <c r="C4104" s="24" t="s">
        <v>155</v>
      </c>
      <c r="D4104" s="33" t="n">
        <v>125</v>
      </c>
      <c r="E4104" s="24" t="n">
        <v>0</v>
      </c>
      <c r="F4104" s="37" t="n">
        <f aca="false">DATE(YEAR(A4104),MONTH(A4104),1)</f>
        <v>46113</v>
      </c>
      <c r="G4104" s="24" t="str">
        <f aca="false">INDEX(Products!$C$2:$C$49,MATCH(C4104,Products!$A$2:$A$49,0))</f>
        <v>Beverages</v>
      </c>
      <c r="H4104" s="33" t="n">
        <f aca="false">D4104*INDEX(Products!$E$2:$E$49,MATCH(C4104,Products!$A$2:$A$49,0))</f>
        <v>4375</v>
      </c>
      <c r="I4104" s="33" t="n">
        <f aca="false">D4104*INDEX(Products!$D$2:$D$49,MATCH(C4104,Products!$A$2:$A$49,0))*(1+INDEX(Assumptions!$B$16:$B$20,MATCH(B4104,Assumptions!$A$16:$A$20,0)))</f>
        <v>3328</v>
      </c>
      <c r="J4104" s="33" t="n">
        <f aca="false">H4104-I4104</f>
        <v>1047</v>
      </c>
      <c r="K4104" s="33" t="n">
        <f aca="false">IF(OR(E4104=0,E4104&gt;=7),0,D4104/(7-E4104)*E4104*INDEX(Products!$E$2:$E$49,MATCH(C4104,Products!$A$2:$A$49,0)))</f>
        <v>0</v>
      </c>
    </row>
    <row r="4105" customFormat="false" ht="15" hidden="false" customHeight="false" outlineLevel="0" collapsed="false">
      <c r="A4105" s="36" t="n">
        <v>46139</v>
      </c>
      <c r="B4105" s="24" t="s">
        <v>64</v>
      </c>
      <c r="C4105" s="24" t="s">
        <v>155</v>
      </c>
      <c r="D4105" s="33" t="n">
        <v>116</v>
      </c>
      <c r="E4105" s="24" t="n">
        <v>0</v>
      </c>
      <c r="F4105" s="37" t="n">
        <f aca="false">DATE(YEAR(A4105),MONTH(A4105),1)</f>
        <v>46113</v>
      </c>
      <c r="G4105" s="24" t="str">
        <f aca="false">INDEX(Products!$C$2:$C$49,MATCH(C4105,Products!$A$2:$A$49,0))</f>
        <v>Beverages</v>
      </c>
      <c r="H4105" s="33" t="n">
        <f aca="false">D4105*INDEX(Products!$E$2:$E$49,MATCH(C4105,Products!$A$2:$A$49,0))</f>
        <v>4060</v>
      </c>
      <c r="I4105" s="33" t="n">
        <f aca="false">D4105*INDEX(Products!$D$2:$D$49,MATCH(C4105,Products!$A$2:$A$49,0))*(1+INDEX(Assumptions!$B$16:$B$20,MATCH(B4105,Assumptions!$A$16:$A$20,0)))</f>
        <v>3088.384</v>
      </c>
      <c r="J4105" s="33" t="n">
        <f aca="false">H4105-I4105</f>
        <v>971.616</v>
      </c>
      <c r="K4105" s="33" t="n">
        <f aca="false">IF(OR(E4105=0,E4105&gt;=7),0,D4105/(7-E4105)*E4105*INDEX(Products!$E$2:$E$49,MATCH(C4105,Products!$A$2:$A$49,0)))</f>
        <v>0</v>
      </c>
    </row>
    <row r="4106" customFormat="false" ht="15" hidden="false" customHeight="false" outlineLevel="0" collapsed="false">
      <c r="A4106" s="36" t="n">
        <v>46146</v>
      </c>
      <c r="B4106" s="24" t="s">
        <v>64</v>
      </c>
      <c r="C4106" s="24" t="s">
        <v>155</v>
      </c>
      <c r="D4106" s="33" t="n">
        <v>94</v>
      </c>
      <c r="E4106" s="24" t="n">
        <v>0</v>
      </c>
      <c r="F4106" s="37" t="n">
        <f aca="false">DATE(YEAR(A4106),MONTH(A4106),1)</f>
        <v>46143</v>
      </c>
      <c r="G4106" s="24" t="str">
        <f aca="false">INDEX(Products!$C$2:$C$49,MATCH(C4106,Products!$A$2:$A$49,0))</f>
        <v>Beverages</v>
      </c>
      <c r="H4106" s="33" t="n">
        <f aca="false">D4106*INDEX(Products!$E$2:$E$49,MATCH(C4106,Products!$A$2:$A$49,0))</f>
        <v>3290</v>
      </c>
      <c r="I4106" s="33" t="n">
        <f aca="false">D4106*INDEX(Products!$D$2:$D$49,MATCH(C4106,Products!$A$2:$A$49,0))*(1+INDEX(Assumptions!$B$16:$B$20,MATCH(B4106,Assumptions!$A$16:$A$20,0)))</f>
        <v>2502.656</v>
      </c>
      <c r="J4106" s="33" t="n">
        <f aca="false">H4106-I4106</f>
        <v>787.344</v>
      </c>
      <c r="K4106" s="33" t="n">
        <f aca="false">IF(OR(E4106=0,E4106&gt;=7),0,D4106/(7-E4106)*E4106*INDEX(Products!$E$2:$E$49,MATCH(C4106,Products!$A$2:$A$49,0)))</f>
        <v>0</v>
      </c>
    </row>
    <row r="4107" customFormat="false" ht="15" hidden="false" customHeight="false" outlineLevel="0" collapsed="false">
      <c r="A4107" s="36" t="n">
        <v>46153</v>
      </c>
      <c r="B4107" s="24" t="s">
        <v>64</v>
      </c>
      <c r="C4107" s="24" t="s">
        <v>155</v>
      </c>
      <c r="D4107" s="33" t="n">
        <v>105</v>
      </c>
      <c r="E4107" s="24" t="n">
        <v>0</v>
      </c>
      <c r="F4107" s="37" t="n">
        <f aca="false">DATE(YEAR(A4107),MONTH(A4107),1)</f>
        <v>46143</v>
      </c>
      <c r="G4107" s="24" t="str">
        <f aca="false">INDEX(Products!$C$2:$C$49,MATCH(C4107,Products!$A$2:$A$49,0))</f>
        <v>Beverages</v>
      </c>
      <c r="H4107" s="33" t="n">
        <f aca="false">D4107*INDEX(Products!$E$2:$E$49,MATCH(C4107,Products!$A$2:$A$49,0))</f>
        <v>3675</v>
      </c>
      <c r="I4107" s="33" t="n">
        <f aca="false">D4107*INDEX(Products!$D$2:$D$49,MATCH(C4107,Products!$A$2:$A$49,0))*(1+INDEX(Assumptions!$B$16:$B$20,MATCH(B4107,Assumptions!$A$16:$A$20,0)))</f>
        <v>2795.52</v>
      </c>
      <c r="J4107" s="33" t="n">
        <f aca="false">H4107-I4107</f>
        <v>879.48</v>
      </c>
      <c r="K4107" s="33" t="n">
        <f aca="false">IF(OR(E4107=0,E4107&gt;=7),0,D4107/(7-E4107)*E4107*INDEX(Products!$E$2:$E$49,MATCH(C4107,Products!$A$2:$A$49,0)))</f>
        <v>0</v>
      </c>
    </row>
    <row r="4108" customFormat="false" ht="15" hidden="false" customHeight="false" outlineLevel="0" collapsed="false">
      <c r="A4108" s="36" t="n">
        <v>46160</v>
      </c>
      <c r="B4108" s="24" t="s">
        <v>64</v>
      </c>
      <c r="C4108" s="24" t="s">
        <v>155</v>
      </c>
      <c r="D4108" s="33" t="n">
        <v>107</v>
      </c>
      <c r="E4108" s="24" t="n">
        <v>0</v>
      </c>
      <c r="F4108" s="37" t="n">
        <f aca="false">DATE(YEAR(A4108),MONTH(A4108),1)</f>
        <v>46143</v>
      </c>
      <c r="G4108" s="24" t="str">
        <f aca="false">INDEX(Products!$C$2:$C$49,MATCH(C4108,Products!$A$2:$A$49,0))</f>
        <v>Beverages</v>
      </c>
      <c r="H4108" s="33" t="n">
        <f aca="false">D4108*INDEX(Products!$E$2:$E$49,MATCH(C4108,Products!$A$2:$A$49,0))</f>
        <v>3745</v>
      </c>
      <c r="I4108" s="33" t="n">
        <f aca="false">D4108*INDEX(Products!$D$2:$D$49,MATCH(C4108,Products!$A$2:$A$49,0))*(1+INDEX(Assumptions!$B$16:$B$20,MATCH(B4108,Assumptions!$A$16:$A$20,0)))</f>
        <v>2848.768</v>
      </c>
      <c r="J4108" s="33" t="n">
        <f aca="false">H4108-I4108</f>
        <v>896.232</v>
      </c>
      <c r="K4108" s="33" t="n">
        <f aca="false">IF(OR(E4108=0,E4108&gt;=7),0,D4108/(7-E4108)*E4108*INDEX(Products!$E$2:$E$49,MATCH(C4108,Products!$A$2:$A$49,0)))</f>
        <v>0</v>
      </c>
    </row>
    <row r="4109" customFormat="false" ht="15" hidden="false" customHeight="false" outlineLevel="0" collapsed="false">
      <c r="A4109" s="36" t="n">
        <v>46167</v>
      </c>
      <c r="B4109" s="24" t="s">
        <v>64</v>
      </c>
      <c r="C4109" s="24" t="s">
        <v>155</v>
      </c>
      <c r="D4109" s="33" t="n">
        <v>108</v>
      </c>
      <c r="E4109" s="24" t="n">
        <v>0</v>
      </c>
      <c r="F4109" s="37" t="n">
        <f aca="false">DATE(YEAR(A4109),MONTH(A4109),1)</f>
        <v>46143</v>
      </c>
      <c r="G4109" s="24" t="str">
        <f aca="false">INDEX(Products!$C$2:$C$49,MATCH(C4109,Products!$A$2:$A$49,0))</f>
        <v>Beverages</v>
      </c>
      <c r="H4109" s="33" t="n">
        <f aca="false">D4109*INDEX(Products!$E$2:$E$49,MATCH(C4109,Products!$A$2:$A$49,0))</f>
        <v>3780</v>
      </c>
      <c r="I4109" s="33" t="n">
        <f aca="false">D4109*INDEX(Products!$D$2:$D$49,MATCH(C4109,Products!$A$2:$A$49,0))*(1+INDEX(Assumptions!$B$16:$B$20,MATCH(B4109,Assumptions!$A$16:$A$20,0)))</f>
        <v>2875.392</v>
      </c>
      <c r="J4109" s="33" t="n">
        <f aca="false">H4109-I4109</f>
        <v>904.608</v>
      </c>
      <c r="K4109" s="33" t="n">
        <f aca="false">IF(OR(E4109=0,E4109&gt;=7),0,D4109/(7-E4109)*E4109*INDEX(Products!$E$2:$E$49,MATCH(C4109,Products!$A$2:$A$49,0)))</f>
        <v>0</v>
      </c>
    </row>
    <row r="4110" customFormat="false" ht="15" hidden="false" customHeight="false" outlineLevel="0" collapsed="false">
      <c r="A4110" s="36" t="n">
        <v>46174</v>
      </c>
      <c r="B4110" s="24" t="s">
        <v>64</v>
      </c>
      <c r="C4110" s="24" t="s">
        <v>155</v>
      </c>
      <c r="D4110" s="33" t="n">
        <v>123</v>
      </c>
      <c r="E4110" s="24" t="n">
        <v>0</v>
      </c>
      <c r="F4110" s="37" t="n">
        <f aca="false">DATE(YEAR(A4110),MONTH(A4110),1)</f>
        <v>46174</v>
      </c>
      <c r="G4110" s="24" t="str">
        <f aca="false">INDEX(Products!$C$2:$C$49,MATCH(C4110,Products!$A$2:$A$49,0))</f>
        <v>Beverages</v>
      </c>
      <c r="H4110" s="33" t="n">
        <f aca="false">D4110*INDEX(Products!$E$2:$E$49,MATCH(C4110,Products!$A$2:$A$49,0))</f>
        <v>4305</v>
      </c>
      <c r="I4110" s="33" t="n">
        <f aca="false">D4110*INDEX(Products!$D$2:$D$49,MATCH(C4110,Products!$A$2:$A$49,0))*(1+INDEX(Assumptions!$B$16:$B$20,MATCH(B4110,Assumptions!$A$16:$A$20,0)))</f>
        <v>3274.752</v>
      </c>
      <c r="J4110" s="33" t="n">
        <f aca="false">H4110-I4110</f>
        <v>1030.248</v>
      </c>
      <c r="K4110" s="33" t="n">
        <f aca="false">IF(OR(E4110=0,E4110&gt;=7),0,D4110/(7-E4110)*E4110*INDEX(Products!$E$2:$E$49,MATCH(C4110,Products!$A$2:$A$49,0)))</f>
        <v>0</v>
      </c>
    </row>
    <row r="4111" customFormat="false" ht="15" hidden="false" customHeight="false" outlineLevel="0" collapsed="false">
      <c r="A4111" s="36" t="n">
        <v>46181</v>
      </c>
      <c r="B4111" s="24" t="s">
        <v>64</v>
      </c>
      <c r="C4111" s="24" t="s">
        <v>155</v>
      </c>
      <c r="D4111" s="33" t="n">
        <v>48</v>
      </c>
      <c r="E4111" s="24" t="n">
        <v>4</v>
      </c>
      <c r="F4111" s="37" t="n">
        <f aca="false">DATE(YEAR(A4111),MONTH(A4111),1)</f>
        <v>46174</v>
      </c>
      <c r="G4111" s="24" t="str">
        <f aca="false">INDEX(Products!$C$2:$C$49,MATCH(C4111,Products!$A$2:$A$49,0))</f>
        <v>Beverages</v>
      </c>
      <c r="H4111" s="33" t="n">
        <f aca="false">D4111*INDEX(Products!$E$2:$E$49,MATCH(C4111,Products!$A$2:$A$49,0))</f>
        <v>1680</v>
      </c>
      <c r="I4111" s="33" t="n">
        <f aca="false">D4111*INDEX(Products!$D$2:$D$49,MATCH(C4111,Products!$A$2:$A$49,0))*(1+INDEX(Assumptions!$B$16:$B$20,MATCH(B4111,Assumptions!$A$16:$A$20,0)))</f>
        <v>1277.952</v>
      </c>
      <c r="J4111" s="33" t="n">
        <f aca="false">H4111-I4111</f>
        <v>402.048</v>
      </c>
      <c r="K4111" s="33" t="n">
        <f aca="false">IF(OR(E4111=0,E4111&gt;=7),0,D4111/(7-E4111)*E4111*INDEX(Products!$E$2:$E$49,MATCH(C4111,Products!$A$2:$A$49,0)))</f>
        <v>2240</v>
      </c>
    </row>
    <row r="4112" customFormat="false" ht="15" hidden="false" customHeight="false" outlineLevel="0" collapsed="false">
      <c r="A4112" s="36" t="n">
        <v>46188</v>
      </c>
      <c r="B4112" s="24" t="s">
        <v>64</v>
      </c>
      <c r="C4112" s="24" t="s">
        <v>155</v>
      </c>
      <c r="D4112" s="33" t="n">
        <v>90</v>
      </c>
      <c r="E4112" s="24" t="n">
        <v>0</v>
      </c>
      <c r="F4112" s="37" t="n">
        <f aca="false">DATE(YEAR(A4112),MONTH(A4112),1)</f>
        <v>46174</v>
      </c>
      <c r="G4112" s="24" t="str">
        <f aca="false">INDEX(Products!$C$2:$C$49,MATCH(C4112,Products!$A$2:$A$49,0))</f>
        <v>Beverages</v>
      </c>
      <c r="H4112" s="33" t="n">
        <f aca="false">D4112*INDEX(Products!$E$2:$E$49,MATCH(C4112,Products!$A$2:$A$49,0))</f>
        <v>3150</v>
      </c>
      <c r="I4112" s="33" t="n">
        <f aca="false">D4112*INDEX(Products!$D$2:$D$49,MATCH(C4112,Products!$A$2:$A$49,0))*(1+INDEX(Assumptions!$B$16:$B$20,MATCH(B4112,Assumptions!$A$16:$A$20,0)))</f>
        <v>2396.16</v>
      </c>
      <c r="J4112" s="33" t="n">
        <f aca="false">H4112-I4112</f>
        <v>753.84</v>
      </c>
      <c r="K4112" s="33" t="n">
        <f aca="false">IF(OR(E4112=0,E4112&gt;=7),0,D4112/(7-E4112)*E4112*INDEX(Products!$E$2:$E$49,MATCH(C4112,Products!$A$2:$A$49,0)))</f>
        <v>0</v>
      </c>
    </row>
    <row r="4113" customFormat="false" ht="15" hidden="false" customHeight="false" outlineLevel="0" collapsed="false">
      <c r="A4113" s="36" t="n">
        <v>46195</v>
      </c>
      <c r="B4113" s="24" t="s">
        <v>64</v>
      </c>
      <c r="C4113" s="24" t="s">
        <v>155</v>
      </c>
      <c r="D4113" s="33" t="n">
        <v>102</v>
      </c>
      <c r="E4113" s="24" t="n">
        <v>0</v>
      </c>
      <c r="F4113" s="37" t="n">
        <f aca="false">DATE(YEAR(A4113),MONTH(A4113),1)</f>
        <v>46174</v>
      </c>
      <c r="G4113" s="24" t="str">
        <f aca="false">INDEX(Products!$C$2:$C$49,MATCH(C4113,Products!$A$2:$A$49,0))</f>
        <v>Beverages</v>
      </c>
      <c r="H4113" s="33" t="n">
        <f aca="false">D4113*INDEX(Products!$E$2:$E$49,MATCH(C4113,Products!$A$2:$A$49,0))</f>
        <v>3570</v>
      </c>
      <c r="I4113" s="33" t="n">
        <f aca="false">D4113*INDEX(Products!$D$2:$D$49,MATCH(C4113,Products!$A$2:$A$49,0))*(1+INDEX(Assumptions!$B$16:$B$20,MATCH(B4113,Assumptions!$A$16:$A$20,0)))</f>
        <v>2715.648</v>
      </c>
      <c r="J4113" s="33" t="n">
        <f aca="false">H4113-I4113</f>
        <v>854.352</v>
      </c>
      <c r="K4113" s="33" t="n">
        <f aca="false">IF(OR(E4113=0,E4113&gt;=7),0,D4113/(7-E4113)*E4113*INDEX(Products!$E$2:$E$49,MATCH(C4113,Products!$A$2:$A$49,0)))</f>
        <v>0</v>
      </c>
    </row>
    <row r="4114" customFormat="false" ht="15" hidden="false" customHeight="false" outlineLevel="0" collapsed="false">
      <c r="A4114" s="36" t="n">
        <v>46202</v>
      </c>
      <c r="B4114" s="24" t="s">
        <v>64</v>
      </c>
      <c r="C4114" s="24" t="s">
        <v>155</v>
      </c>
      <c r="D4114" s="33" t="n">
        <v>102</v>
      </c>
      <c r="E4114" s="24" t="n">
        <v>0</v>
      </c>
      <c r="F4114" s="37" t="n">
        <f aca="false">DATE(YEAR(A4114),MONTH(A4114),1)</f>
        <v>46174</v>
      </c>
      <c r="G4114" s="24" t="str">
        <f aca="false">INDEX(Products!$C$2:$C$49,MATCH(C4114,Products!$A$2:$A$49,0))</f>
        <v>Beverages</v>
      </c>
      <c r="H4114" s="33" t="n">
        <f aca="false">D4114*INDEX(Products!$E$2:$E$49,MATCH(C4114,Products!$A$2:$A$49,0))</f>
        <v>3570</v>
      </c>
      <c r="I4114" s="33" t="n">
        <f aca="false">D4114*INDEX(Products!$D$2:$D$49,MATCH(C4114,Products!$A$2:$A$49,0))*(1+INDEX(Assumptions!$B$16:$B$20,MATCH(B4114,Assumptions!$A$16:$A$20,0)))</f>
        <v>2715.648</v>
      </c>
      <c r="J4114" s="33" t="n">
        <f aca="false">H4114-I4114</f>
        <v>854.352</v>
      </c>
      <c r="K4114" s="33" t="n">
        <f aca="false">IF(OR(E4114=0,E4114&gt;=7),0,D4114/(7-E4114)*E4114*INDEX(Products!$E$2:$E$49,MATCH(C4114,Products!$A$2:$A$49,0)))</f>
        <v>0</v>
      </c>
    </row>
    <row r="4115" customFormat="false" ht="15" hidden="false" customHeight="false" outlineLevel="0" collapsed="false">
      <c r="A4115" s="36" t="n">
        <v>46209</v>
      </c>
      <c r="B4115" s="24" t="s">
        <v>64</v>
      </c>
      <c r="C4115" s="24" t="s">
        <v>155</v>
      </c>
      <c r="D4115" s="33" t="n">
        <v>83</v>
      </c>
      <c r="E4115" s="24" t="n">
        <v>0</v>
      </c>
      <c r="F4115" s="37" t="n">
        <f aca="false">DATE(YEAR(A4115),MONTH(A4115),1)</f>
        <v>46204</v>
      </c>
      <c r="G4115" s="24" t="str">
        <f aca="false">INDEX(Products!$C$2:$C$49,MATCH(C4115,Products!$A$2:$A$49,0))</f>
        <v>Beverages</v>
      </c>
      <c r="H4115" s="33" t="n">
        <f aca="false">D4115*INDEX(Products!$E$2:$E$49,MATCH(C4115,Products!$A$2:$A$49,0))</f>
        <v>2905</v>
      </c>
      <c r="I4115" s="33" t="n">
        <f aca="false">D4115*INDEX(Products!$D$2:$D$49,MATCH(C4115,Products!$A$2:$A$49,0))*(1+INDEX(Assumptions!$B$16:$B$20,MATCH(B4115,Assumptions!$A$16:$A$20,0)))</f>
        <v>2209.792</v>
      </c>
      <c r="J4115" s="33" t="n">
        <f aca="false">H4115-I4115</f>
        <v>695.208</v>
      </c>
      <c r="K4115" s="33" t="n">
        <f aca="false">IF(OR(E4115=0,E4115&gt;=7),0,D4115/(7-E4115)*E4115*INDEX(Products!$E$2:$E$49,MATCH(C4115,Products!$A$2:$A$49,0)))</f>
        <v>0</v>
      </c>
    </row>
    <row r="4116" customFormat="false" ht="15" hidden="false" customHeight="false" outlineLevel="0" collapsed="false">
      <c r="A4116" s="36" t="n">
        <v>46216</v>
      </c>
      <c r="B4116" s="24" t="s">
        <v>64</v>
      </c>
      <c r="C4116" s="24" t="s">
        <v>155</v>
      </c>
      <c r="D4116" s="33" t="n">
        <v>109</v>
      </c>
      <c r="E4116" s="24" t="n">
        <v>0</v>
      </c>
      <c r="F4116" s="37" t="n">
        <f aca="false">DATE(YEAR(A4116),MONTH(A4116),1)</f>
        <v>46204</v>
      </c>
      <c r="G4116" s="24" t="str">
        <f aca="false">INDEX(Products!$C$2:$C$49,MATCH(C4116,Products!$A$2:$A$49,0))</f>
        <v>Beverages</v>
      </c>
      <c r="H4116" s="33" t="n">
        <f aca="false">D4116*INDEX(Products!$E$2:$E$49,MATCH(C4116,Products!$A$2:$A$49,0))</f>
        <v>3815</v>
      </c>
      <c r="I4116" s="33" t="n">
        <f aca="false">D4116*INDEX(Products!$D$2:$D$49,MATCH(C4116,Products!$A$2:$A$49,0))*(1+INDEX(Assumptions!$B$16:$B$20,MATCH(B4116,Assumptions!$A$16:$A$20,0)))</f>
        <v>2902.016</v>
      </c>
      <c r="J4116" s="33" t="n">
        <f aca="false">H4116-I4116</f>
        <v>912.984</v>
      </c>
      <c r="K4116" s="33" t="n">
        <f aca="false">IF(OR(E4116=0,E4116&gt;=7),0,D4116/(7-E4116)*E4116*INDEX(Products!$E$2:$E$49,MATCH(C4116,Products!$A$2:$A$49,0)))</f>
        <v>0</v>
      </c>
    </row>
    <row r="4117" customFormat="false" ht="15" hidden="false" customHeight="false" outlineLevel="0" collapsed="false">
      <c r="A4117" s="36" t="n">
        <v>46223</v>
      </c>
      <c r="B4117" s="24" t="s">
        <v>64</v>
      </c>
      <c r="C4117" s="24" t="s">
        <v>155</v>
      </c>
      <c r="D4117" s="33" t="n">
        <v>115</v>
      </c>
      <c r="E4117" s="24" t="n">
        <v>0</v>
      </c>
      <c r="F4117" s="37" t="n">
        <f aca="false">DATE(YEAR(A4117),MONTH(A4117),1)</f>
        <v>46204</v>
      </c>
      <c r="G4117" s="24" t="str">
        <f aca="false">INDEX(Products!$C$2:$C$49,MATCH(C4117,Products!$A$2:$A$49,0))</f>
        <v>Beverages</v>
      </c>
      <c r="H4117" s="33" t="n">
        <f aca="false">D4117*INDEX(Products!$E$2:$E$49,MATCH(C4117,Products!$A$2:$A$49,0))</f>
        <v>4025</v>
      </c>
      <c r="I4117" s="33" t="n">
        <f aca="false">D4117*INDEX(Products!$D$2:$D$49,MATCH(C4117,Products!$A$2:$A$49,0))*(1+INDEX(Assumptions!$B$16:$B$20,MATCH(B4117,Assumptions!$A$16:$A$20,0)))</f>
        <v>3061.76</v>
      </c>
      <c r="J4117" s="33" t="n">
        <f aca="false">H4117-I4117</f>
        <v>963.24</v>
      </c>
      <c r="K4117" s="33" t="n">
        <f aca="false">IF(OR(E4117=0,E4117&gt;=7),0,D4117/(7-E4117)*E4117*INDEX(Products!$E$2:$E$49,MATCH(C4117,Products!$A$2:$A$49,0)))</f>
        <v>0</v>
      </c>
    </row>
    <row r="4118" customFormat="false" ht="15" hidden="false" customHeight="false" outlineLevel="0" collapsed="false">
      <c r="A4118" s="36" t="n">
        <v>46230</v>
      </c>
      <c r="B4118" s="24" t="s">
        <v>64</v>
      </c>
      <c r="C4118" s="24" t="s">
        <v>155</v>
      </c>
      <c r="D4118" s="33" t="n">
        <v>102</v>
      </c>
      <c r="E4118" s="24" t="n">
        <v>0</v>
      </c>
      <c r="F4118" s="37" t="n">
        <f aca="false">DATE(YEAR(A4118),MONTH(A4118),1)</f>
        <v>46204</v>
      </c>
      <c r="G4118" s="24" t="str">
        <f aca="false">INDEX(Products!$C$2:$C$49,MATCH(C4118,Products!$A$2:$A$49,0))</f>
        <v>Beverages</v>
      </c>
      <c r="H4118" s="33" t="n">
        <f aca="false">D4118*INDEX(Products!$E$2:$E$49,MATCH(C4118,Products!$A$2:$A$49,0))</f>
        <v>3570</v>
      </c>
      <c r="I4118" s="33" t="n">
        <f aca="false">D4118*INDEX(Products!$D$2:$D$49,MATCH(C4118,Products!$A$2:$A$49,0))*(1+INDEX(Assumptions!$B$16:$B$20,MATCH(B4118,Assumptions!$A$16:$A$20,0)))</f>
        <v>2715.648</v>
      </c>
      <c r="J4118" s="33" t="n">
        <f aca="false">H4118-I4118</f>
        <v>854.352</v>
      </c>
      <c r="K4118" s="33" t="n">
        <f aca="false">IF(OR(E4118=0,E4118&gt;=7),0,D4118/(7-E4118)*E4118*INDEX(Products!$E$2:$E$49,MATCH(C4118,Products!$A$2:$A$49,0)))</f>
        <v>0</v>
      </c>
    </row>
    <row r="4119" customFormat="false" ht="15" hidden="false" customHeight="false" outlineLevel="0" collapsed="false">
      <c r="A4119" s="36" t="n">
        <v>46237</v>
      </c>
      <c r="B4119" s="24" t="s">
        <v>64</v>
      </c>
      <c r="C4119" s="24" t="s">
        <v>155</v>
      </c>
      <c r="D4119" s="33" t="n">
        <v>87</v>
      </c>
      <c r="E4119" s="24" t="n">
        <v>0</v>
      </c>
      <c r="F4119" s="37" t="n">
        <f aca="false">DATE(YEAR(A4119),MONTH(A4119),1)</f>
        <v>46235</v>
      </c>
      <c r="G4119" s="24" t="str">
        <f aca="false">INDEX(Products!$C$2:$C$49,MATCH(C4119,Products!$A$2:$A$49,0))</f>
        <v>Beverages</v>
      </c>
      <c r="H4119" s="33" t="n">
        <f aca="false">D4119*INDEX(Products!$E$2:$E$49,MATCH(C4119,Products!$A$2:$A$49,0))</f>
        <v>3045</v>
      </c>
      <c r="I4119" s="33" t="n">
        <f aca="false">D4119*INDEX(Products!$D$2:$D$49,MATCH(C4119,Products!$A$2:$A$49,0))*(1+INDEX(Assumptions!$B$16:$B$20,MATCH(B4119,Assumptions!$A$16:$A$20,0)))</f>
        <v>2316.288</v>
      </c>
      <c r="J4119" s="33" t="n">
        <f aca="false">H4119-I4119</f>
        <v>728.712</v>
      </c>
      <c r="K4119" s="33" t="n">
        <f aca="false">IF(OR(E4119=0,E4119&gt;=7),0,D4119/(7-E4119)*E4119*INDEX(Products!$E$2:$E$49,MATCH(C4119,Products!$A$2:$A$49,0)))</f>
        <v>0</v>
      </c>
    </row>
    <row r="4120" customFormat="false" ht="15" hidden="false" customHeight="false" outlineLevel="0" collapsed="false">
      <c r="A4120" s="36" t="n">
        <v>46244</v>
      </c>
      <c r="B4120" s="24" t="s">
        <v>64</v>
      </c>
      <c r="C4120" s="24" t="s">
        <v>155</v>
      </c>
      <c r="D4120" s="33" t="n">
        <v>104</v>
      </c>
      <c r="E4120" s="24" t="n">
        <v>0</v>
      </c>
      <c r="F4120" s="37" t="n">
        <f aca="false">DATE(YEAR(A4120),MONTH(A4120),1)</f>
        <v>46235</v>
      </c>
      <c r="G4120" s="24" t="str">
        <f aca="false">INDEX(Products!$C$2:$C$49,MATCH(C4120,Products!$A$2:$A$49,0))</f>
        <v>Beverages</v>
      </c>
      <c r="H4120" s="33" t="n">
        <f aca="false">D4120*INDEX(Products!$E$2:$E$49,MATCH(C4120,Products!$A$2:$A$49,0))</f>
        <v>3640</v>
      </c>
      <c r="I4120" s="33" t="n">
        <f aca="false">D4120*INDEX(Products!$D$2:$D$49,MATCH(C4120,Products!$A$2:$A$49,0))*(1+INDEX(Assumptions!$B$16:$B$20,MATCH(B4120,Assumptions!$A$16:$A$20,0)))</f>
        <v>2768.896</v>
      </c>
      <c r="J4120" s="33" t="n">
        <f aca="false">H4120-I4120</f>
        <v>871.104</v>
      </c>
      <c r="K4120" s="33" t="n">
        <f aca="false">IF(OR(E4120=0,E4120&gt;=7),0,D4120/(7-E4120)*E4120*INDEX(Products!$E$2:$E$49,MATCH(C4120,Products!$A$2:$A$49,0)))</f>
        <v>0</v>
      </c>
    </row>
    <row r="4121" customFormat="false" ht="15" hidden="false" customHeight="false" outlineLevel="0" collapsed="false">
      <c r="A4121" s="36" t="n">
        <v>46251</v>
      </c>
      <c r="B4121" s="24" t="s">
        <v>64</v>
      </c>
      <c r="C4121" s="24" t="s">
        <v>155</v>
      </c>
      <c r="D4121" s="33" t="n">
        <v>101</v>
      </c>
      <c r="E4121" s="24" t="n">
        <v>0</v>
      </c>
      <c r="F4121" s="37" t="n">
        <f aca="false">DATE(YEAR(A4121),MONTH(A4121),1)</f>
        <v>46235</v>
      </c>
      <c r="G4121" s="24" t="str">
        <f aca="false">INDEX(Products!$C$2:$C$49,MATCH(C4121,Products!$A$2:$A$49,0))</f>
        <v>Beverages</v>
      </c>
      <c r="H4121" s="33" t="n">
        <f aca="false">D4121*INDEX(Products!$E$2:$E$49,MATCH(C4121,Products!$A$2:$A$49,0))</f>
        <v>3535</v>
      </c>
      <c r="I4121" s="33" t="n">
        <f aca="false">D4121*INDEX(Products!$D$2:$D$49,MATCH(C4121,Products!$A$2:$A$49,0))*(1+INDEX(Assumptions!$B$16:$B$20,MATCH(B4121,Assumptions!$A$16:$A$20,0)))</f>
        <v>2689.024</v>
      </c>
      <c r="J4121" s="33" t="n">
        <f aca="false">H4121-I4121</f>
        <v>845.976</v>
      </c>
      <c r="K4121" s="33" t="n">
        <f aca="false">IF(OR(E4121=0,E4121&gt;=7),0,D4121/(7-E4121)*E4121*INDEX(Products!$E$2:$E$49,MATCH(C4121,Products!$A$2:$A$49,0)))</f>
        <v>0</v>
      </c>
    </row>
    <row r="4122" customFormat="false" ht="15" hidden="false" customHeight="false" outlineLevel="0" collapsed="false">
      <c r="A4122" s="36" t="n">
        <v>46258</v>
      </c>
      <c r="B4122" s="24" t="s">
        <v>64</v>
      </c>
      <c r="C4122" s="24" t="s">
        <v>155</v>
      </c>
      <c r="D4122" s="33" t="n">
        <v>104</v>
      </c>
      <c r="E4122" s="24" t="n">
        <v>0</v>
      </c>
      <c r="F4122" s="37" t="n">
        <f aca="false">DATE(YEAR(A4122),MONTH(A4122),1)</f>
        <v>46235</v>
      </c>
      <c r="G4122" s="24" t="str">
        <f aca="false">INDEX(Products!$C$2:$C$49,MATCH(C4122,Products!$A$2:$A$49,0))</f>
        <v>Beverages</v>
      </c>
      <c r="H4122" s="33" t="n">
        <f aca="false">D4122*INDEX(Products!$E$2:$E$49,MATCH(C4122,Products!$A$2:$A$49,0))</f>
        <v>3640</v>
      </c>
      <c r="I4122" s="33" t="n">
        <f aca="false">D4122*INDEX(Products!$D$2:$D$49,MATCH(C4122,Products!$A$2:$A$49,0))*(1+INDEX(Assumptions!$B$16:$B$20,MATCH(B4122,Assumptions!$A$16:$A$20,0)))</f>
        <v>2768.896</v>
      </c>
      <c r="J4122" s="33" t="n">
        <f aca="false">H4122-I4122</f>
        <v>871.104</v>
      </c>
      <c r="K4122" s="33" t="n">
        <f aca="false">IF(OR(E4122=0,E4122&gt;=7),0,D4122/(7-E4122)*E4122*INDEX(Products!$E$2:$E$49,MATCH(C4122,Products!$A$2:$A$49,0)))</f>
        <v>0</v>
      </c>
    </row>
    <row r="4123" customFormat="false" ht="15" hidden="false" customHeight="false" outlineLevel="0" collapsed="false">
      <c r="A4123" s="36" t="n">
        <v>46265</v>
      </c>
      <c r="B4123" s="24" t="s">
        <v>64</v>
      </c>
      <c r="C4123" s="24" t="s">
        <v>155</v>
      </c>
      <c r="D4123" s="33" t="n">
        <v>126</v>
      </c>
      <c r="E4123" s="24" t="n">
        <v>0</v>
      </c>
      <c r="F4123" s="37" t="n">
        <f aca="false">DATE(YEAR(A4123),MONTH(A4123),1)</f>
        <v>46235</v>
      </c>
      <c r="G4123" s="24" t="str">
        <f aca="false">INDEX(Products!$C$2:$C$49,MATCH(C4123,Products!$A$2:$A$49,0))</f>
        <v>Beverages</v>
      </c>
      <c r="H4123" s="33" t="n">
        <f aca="false">D4123*INDEX(Products!$E$2:$E$49,MATCH(C4123,Products!$A$2:$A$49,0))</f>
        <v>4410</v>
      </c>
      <c r="I4123" s="33" t="n">
        <f aca="false">D4123*INDEX(Products!$D$2:$D$49,MATCH(C4123,Products!$A$2:$A$49,0))*(1+INDEX(Assumptions!$B$16:$B$20,MATCH(B4123,Assumptions!$A$16:$A$20,0)))</f>
        <v>3354.624</v>
      </c>
      <c r="J4123" s="33" t="n">
        <f aca="false">H4123-I4123</f>
        <v>1055.376</v>
      </c>
      <c r="K4123" s="33" t="n">
        <f aca="false">IF(OR(E4123=0,E4123&gt;=7),0,D4123/(7-E4123)*E4123*INDEX(Products!$E$2:$E$49,MATCH(C4123,Products!$A$2:$A$49,0)))</f>
        <v>0</v>
      </c>
    </row>
    <row r="4124" customFormat="false" ht="15" hidden="false" customHeight="false" outlineLevel="0" collapsed="false">
      <c r="A4124" s="36" t="n">
        <v>46272</v>
      </c>
      <c r="B4124" s="24" t="s">
        <v>64</v>
      </c>
      <c r="C4124" s="24" t="s">
        <v>155</v>
      </c>
      <c r="D4124" s="33" t="n">
        <v>97</v>
      </c>
      <c r="E4124" s="24" t="n">
        <v>0</v>
      </c>
      <c r="F4124" s="37" t="n">
        <f aca="false">DATE(YEAR(A4124),MONTH(A4124),1)</f>
        <v>46266</v>
      </c>
      <c r="G4124" s="24" t="str">
        <f aca="false">INDEX(Products!$C$2:$C$49,MATCH(C4124,Products!$A$2:$A$49,0))</f>
        <v>Beverages</v>
      </c>
      <c r="H4124" s="33" t="n">
        <f aca="false">D4124*INDEX(Products!$E$2:$E$49,MATCH(C4124,Products!$A$2:$A$49,0))</f>
        <v>3395</v>
      </c>
      <c r="I4124" s="33" t="n">
        <f aca="false">D4124*INDEX(Products!$D$2:$D$49,MATCH(C4124,Products!$A$2:$A$49,0))*(1+INDEX(Assumptions!$B$16:$B$20,MATCH(B4124,Assumptions!$A$16:$A$20,0)))</f>
        <v>2582.528</v>
      </c>
      <c r="J4124" s="33" t="n">
        <f aca="false">H4124-I4124</f>
        <v>812.472</v>
      </c>
      <c r="K4124" s="33" t="n">
        <f aca="false">IF(OR(E4124=0,E4124&gt;=7),0,D4124/(7-E4124)*E4124*INDEX(Products!$E$2:$E$49,MATCH(C4124,Products!$A$2:$A$49,0)))</f>
        <v>0</v>
      </c>
    </row>
    <row r="4125" customFormat="false" ht="15" hidden="false" customHeight="false" outlineLevel="0" collapsed="false">
      <c r="A4125" s="36" t="n">
        <v>46279</v>
      </c>
      <c r="B4125" s="24" t="s">
        <v>64</v>
      </c>
      <c r="C4125" s="24" t="s">
        <v>155</v>
      </c>
      <c r="D4125" s="33" t="n">
        <v>99</v>
      </c>
      <c r="E4125" s="24" t="n">
        <v>0</v>
      </c>
      <c r="F4125" s="37" t="n">
        <f aca="false">DATE(YEAR(A4125),MONTH(A4125),1)</f>
        <v>46266</v>
      </c>
      <c r="G4125" s="24" t="str">
        <f aca="false">INDEX(Products!$C$2:$C$49,MATCH(C4125,Products!$A$2:$A$49,0))</f>
        <v>Beverages</v>
      </c>
      <c r="H4125" s="33" t="n">
        <f aca="false">D4125*INDEX(Products!$E$2:$E$49,MATCH(C4125,Products!$A$2:$A$49,0))</f>
        <v>3465</v>
      </c>
      <c r="I4125" s="33" t="n">
        <f aca="false">D4125*INDEX(Products!$D$2:$D$49,MATCH(C4125,Products!$A$2:$A$49,0))*(1+INDEX(Assumptions!$B$16:$B$20,MATCH(B4125,Assumptions!$A$16:$A$20,0)))</f>
        <v>2635.776</v>
      </c>
      <c r="J4125" s="33" t="n">
        <f aca="false">H4125-I4125</f>
        <v>829.224</v>
      </c>
      <c r="K4125" s="33" t="n">
        <f aca="false">IF(OR(E4125=0,E4125&gt;=7),0,D4125/(7-E4125)*E4125*INDEX(Products!$E$2:$E$49,MATCH(C4125,Products!$A$2:$A$49,0)))</f>
        <v>0</v>
      </c>
    </row>
    <row r="4126" customFormat="false" ht="15" hidden="false" customHeight="false" outlineLevel="0" collapsed="false">
      <c r="A4126" s="36" t="n">
        <v>46286</v>
      </c>
      <c r="B4126" s="24" t="s">
        <v>64</v>
      </c>
      <c r="C4126" s="24" t="s">
        <v>155</v>
      </c>
      <c r="D4126" s="33" t="n">
        <v>124</v>
      </c>
      <c r="E4126" s="24" t="n">
        <v>0</v>
      </c>
      <c r="F4126" s="37" t="n">
        <f aca="false">DATE(YEAR(A4126),MONTH(A4126),1)</f>
        <v>46266</v>
      </c>
      <c r="G4126" s="24" t="str">
        <f aca="false">INDEX(Products!$C$2:$C$49,MATCH(C4126,Products!$A$2:$A$49,0))</f>
        <v>Beverages</v>
      </c>
      <c r="H4126" s="33" t="n">
        <f aca="false">D4126*INDEX(Products!$E$2:$E$49,MATCH(C4126,Products!$A$2:$A$49,0))</f>
        <v>4340</v>
      </c>
      <c r="I4126" s="33" t="n">
        <f aca="false">D4126*INDEX(Products!$D$2:$D$49,MATCH(C4126,Products!$A$2:$A$49,0))*(1+INDEX(Assumptions!$B$16:$B$20,MATCH(B4126,Assumptions!$A$16:$A$20,0)))</f>
        <v>3301.376</v>
      </c>
      <c r="J4126" s="33" t="n">
        <f aca="false">H4126-I4126</f>
        <v>1038.624</v>
      </c>
      <c r="K4126" s="33" t="n">
        <f aca="false">IF(OR(E4126=0,E4126&gt;=7),0,D4126/(7-E4126)*E4126*INDEX(Products!$E$2:$E$49,MATCH(C4126,Products!$A$2:$A$49,0)))</f>
        <v>0</v>
      </c>
    </row>
    <row r="4127" customFormat="false" ht="15" hidden="false" customHeight="false" outlineLevel="0" collapsed="false">
      <c r="A4127" s="36" t="n">
        <v>46118</v>
      </c>
      <c r="B4127" s="24" t="s">
        <v>64</v>
      </c>
      <c r="C4127" s="24" t="s">
        <v>157</v>
      </c>
      <c r="D4127" s="33" t="n">
        <v>80</v>
      </c>
      <c r="E4127" s="24" t="n">
        <v>0</v>
      </c>
      <c r="F4127" s="37" t="n">
        <f aca="false">DATE(YEAR(A4127),MONTH(A4127),1)</f>
        <v>46113</v>
      </c>
      <c r="G4127" s="24" t="str">
        <f aca="false">INDEX(Products!$C$2:$C$49,MATCH(C4127,Products!$A$2:$A$49,0))</f>
        <v>Beverages</v>
      </c>
      <c r="H4127" s="33" t="n">
        <f aca="false">D4127*INDEX(Products!$E$2:$E$49,MATCH(C4127,Products!$A$2:$A$49,0))</f>
        <v>9600</v>
      </c>
      <c r="I4127" s="33" t="n">
        <f aca="false">D4127*INDEX(Products!$D$2:$D$49,MATCH(C4127,Products!$A$2:$A$49,0))*(1+INDEX(Assumptions!$B$16:$B$20,MATCH(B4127,Assumptions!$A$16:$A$20,0)))</f>
        <v>7208.96</v>
      </c>
      <c r="J4127" s="33" t="n">
        <f aca="false">H4127-I4127</f>
        <v>2391.04</v>
      </c>
      <c r="K4127" s="33" t="n">
        <f aca="false">IF(OR(E4127=0,E4127&gt;=7),0,D4127/(7-E4127)*E4127*INDEX(Products!$E$2:$E$49,MATCH(C4127,Products!$A$2:$A$49,0)))</f>
        <v>0</v>
      </c>
    </row>
    <row r="4128" customFormat="false" ht="15" hidden="false" customHeight="false" outlineLevel="0" collapsed="false">
      <c r="A4128" s="36" t="n">
        <v>46125</v>
      </c>
      <c r="B4128" s="24" t="s">
        <v>64</v>
      </c>
      <c r="C4128" s="24" t="s">
        <v>157</v>
      </c>
      <c r="D4128" s="33" t="n">
        <v>85</v>
      </c>
      <c r="E4128" s="24" t="n">
        <v>0</v>
      </c>
      <c r="F4128" s="37" t="n">
        <f aca="false">DATE(YEAR(A4128),MONTH(A4128),1)</f>
        <v>46113</v>
      </c>
      <c r="G4128" s="24" t="str">
        <f aca="false">INDEX(Products!$C$2:$C$49,MATCH(C4128,Products!$A$2:$A$49,0))</f>
        <v>Beverages</v>
      </c>
      <c r="H4128" s="33" t="n">
        <f aca="false">D4128*INDEX(Products!$E$2:$E$49,MATCH(C4128,Products!$A$2:$A$49,0))</f>
        <v>10200</v>
      </c>
      <c r="I4128" s="33" t="n">
        <f aca="false">D4128*INDEX(Products!$D$2:$D$49,MATCH(C4128,Products!$A$2:$A$49,0))*(1+INDEX(Assumptions!$B$16:$B$20,MATCH(B4128,Assumptions!$A$16:$A$20,0)))</f>
        <v>7659.52</v>
      </c>
      <c r="J4128" s="33" t="n">
        <f aca="false">H4128-I4128</f>
        <v>2540.48</v>
      </c>
      <c r="K4128" s="33" t="n">
        <f aca="false">IF(OR(E4128=0,E4128&gt;=7),0,D4128/(7-E4128)*E4128*INDEX(Products!$E$2:$E$49,MATCH(C4128,Products!$A$2:$A$49,0)))</f>
        <v>0</v>
      </c>
    </row>
    <row r="4129" customFormat="false" ht="15" hidden="false" customHeight="false" outlineLevel="0" collapsed="false">
      <c r="A4129" s="36" t="n">
        <v>46132</v>
      </c>
      <c r="B4129" s="24" t="s">
        <v>64</v>
      </c>
      <c r="C4129" s="24" t="s">
        <v>157</v>
      </c>
      <c r="D4129" s="33" t="n">
        <v>93</v>
      </c>
      <c r="E4129" s="24" t="n">
        <v>0</v>
      </c>
      <c r="F4129" s="37" t="n">
        <f aca="false">DATE(YEAR(A4129),MONTH(A4129),1)</f>
        <v>46113</v>
      </c>
      <c r="G4129" s="24" t="str">
        <f aca="false">INDEX(Products!$C$2:$C$49,MATCH(C4129,Products!$A$2:$A$49,0))</f>
        <v>Beverages</v>
      </c>
      <c r="H4129" s="33" t="n">
        <f aca="false">D4129*INDEX(Products!$E$2:$E$49,MATCH(C4129,Products!$A$2:$A$49,0))</f>
        <v>11160</v>
      </c>
      <c r="I4129" s="33" t="n">
        <f aca="false">D4129*INDEX(Products!$D$2:$D$49,MATCH(C4129,Products!$A$2:$A$49,0))*(1+INDEX(Assumptions!$B$16:$B$20,MATCH(B4129,Assumptions!$A$16:$A$20,0)))</f>
        <v>8380.416</v>
      </c>
      <c r="J4129" s="33" t="n">
        <f aca="false">H4129-I4129</f>
        <v>2779.584</v>
      </c>
      <c r="K4129" s="33" t="n">
        <f aca="false">IF(OR(E4129=0,E4129&gt;=7),0,D4129/(7-E4129)*E4129*INDEX(Products!$E$2:$E$49,MATCH(C4129,Products!$A$2:$A$49,0)))</f>
        <v>0</v>
      </c>
    </row>
    <row r="4130" customFormat="false" ht="15" hidden="false" customHeight="false" outlineLevel="0" collapsed="false">
      <c r="A4130" s="36" t="n">
        <v>46139</v>
      </c>
      <c r="B4130" s="24" t="s">
        <v>64</v>
      </c>
      <c r="C4130" s="24" t="s">
        <v>157</v>
      </c>
      <c r="D4130" s="33" t="n">
        <v>97</v>
      </c>
      <c r="E4130" s="24" t="n">
        <v>0</v>
      </c>
      <c r="F4130" s="37" t="n">
        <f aca="false">DATE(YEAR(A4130),MONTH(A4130),1)</f>
        <v>46113</v>
      </c>
      <c r="G4130" s="24" t="str">
        <f aca="false">INDEX(Products!$C$2:$C$49,MATCH(C4130,Products!$A$2:$A$49,0))</f>
        <v>Beverages</v>
      </c>
      <c r="H4130" s="33" t="n">
        <f aca="false">D4130*INDEX(Products!$E$2:$E$49,MATCH(C4130,Products!$A$2:$A$49,0))</f>
        <v>11640</v>
      </c>
      <c r="I4130" s="33" t="n">
        <f aca="false">D4130*INDEX(Products!$D$2:$D$49,MATCH(C4130,Products!$A$2:$A$49,0))*(1+INDEX(Assumptions!$B$16:$B$20,MATCH(B4130,Assumptions!$A$16:$A$20,0)))</f>
        <v>8740.864</v>
      </c>
      <c r="J4130" s="33" t="n">
        <f aca="false">H4130-I4130</f>
        <v>2899.136</v>
      </c>
      <c r="K4130" s="33" t="n">
        <f aca="false">IF(OR(E4130=0,E4130&gt;=7),0,D4130/(7-E4130)*E4130*INDEX(Products!$E$2:$E$49,MATCH(C4130,Products!$A$2:$A$49,0)))</f>
        <v>0</v>
      </c>
    </row>
    <row r="4131" customFormat="false" ht="15" hidden="false" customHeight="false" outlineLevel="0" collapsed="false">
      <c r="A4131" s="36" t="n">
        <v>46146</v>
      </c>
      <c r="B4131" s="24" t="s">
        <v>64</v>
      </c>
      <c r="C4131" s="24" t="s">
        <v>157</v>
      </c>
      <c r="D4131" s="33" t="n">
        <v>161</v>
      </c>
      <c r="E4131" s="24" t="n">
        <v>0</v>
      </c>
      <c r="F4131" s="37" t="n">
        <f aca="false">DATE(YEAR(A4131),MONTH(A4131),1)</f>
        <v>46143</v>
      </c>
      <c r="G4131" s="24" t="str">
        <f aca="false">INDEX(Products!$C$2:$C$49,MATCH(C4131,Products!$A$2:$A$49,0))</f>
        <v>Beverages</v>
      </c>
      <c r="H4131" s="33" t="n">
        <f aca="false">D4131*INDEX(Products!$E$2:$E$49,MATCH(C4131,Products!$A$2:$A$49,0))</f>
        <v>19320</v>
      </c>
      <c r="I4131" s="33" t="n">
        <f aca="false">D4131*INDEX(Products!$D$2:$D$49,MATCH(C4131,Products!$A$2:$A$49,0))*(1+INDEX(Assumptions!$B$16:$B$20,MATCH(B4131,Assumptions!$A$16:$A$20,0)))</f>
        <v>14508.032</v>
      </c>
      <c r="J4131" s="33" t="n">
        <f aca="false">H4131-I4131</f>
        <v>4811.968</v>
      </c>
      <c r="K4131" s="33" t="n">
        <f aca="false">IF(OR(E4131=0,E4131&gt;=7),0,D4131/(7-E4131)*E4131*INDEX(Products!$E$2:$E$49,MATCH(C4131,Products!$A$2:$A$49,0)))</f>
        <v>0</v>
      </c>
    </row>
    <row r="4132" customFormat="false" ht="15" hidden="false" customHeight="false" outlineLevel="0" collapsed="false">
      <c r="A4132" s="36" t="n">
        <v>46153</v>
      </c>
      <c r="B4132" s="24" t="s">
        <v>64</v>
      </c>
      <c r="C4132" s="24" t="s">
        <v>157</v>
      </c>
      <c r="D4132" s="33" t="n">
        <v>90</v>
      </c>
      <c r="E4132" s="24" t="n">
        <v>0</v>
      </c>
      <c r="F4132" s="37" t="n">
        <f aca="false">DATE(YEAR(A4132),MONTH(A4132),1)</f>
        <v>46143</v>
      </c>
      <c r="G4132" s="24" t="str">
        <f aca="false">INDEX(Products!$C$2:$C$49,MATCH(C4132,Products!$A$2:$A$49,0))</f>
        <v>Beverages</v>
      </c>
      <c r="H4132" s="33" t="n">
        <f aca="false">D4132*INDEX(Products!$E$2:$E$49,MATCH(C4132,Products!$A$2:$A$49,0))</f>
        <v>10800</v>
      </c>
      <c r="I4132" s="33" t="n">
        <f aca="false">D4132*INDEX(Products!$D$2:$D$49,MATCH(C4132,Products!$A$2:$A$49,0))*(1+INDEX(Assumptions!$B$16:$B$20,MATCH(B4132,Assumptions!$A$16:$A$20,0)))</f>
        <v>8110.08</v>
      </c>
      <c r="J4132" s="33" t="n">
        <f aca="false">H4132-I4132</f>
        <v>2689.92</v>
      </c>
      <c r="K4132" s="33" t="n">
        <f aca="false">IF(OR(E4132=0,E4132&gt;=7),0,D4132/(7-E4132)*E4132*INDEX(Products!$E$2:$E$49,MATCH(C4132,Products!$A$2:$A$49,0)))</f>
        <v>0</v>
      </c>
    </row>
    <row r="4133" customFormat="false" ht="15" hidden="false" customHeight="false" outlineLevel="0" collapsed="false">
      <c r="A4133" s="36" t="n">
        <v>46160</v>
      </c>
      <c r="B4133" s="24" t="s">
        <v>64</v>
      </c>
      <c r="C4133" s="24" t="s">
        <v>157</v>
      </c>
      <c r="D4133" s="33" t="n">
        <v>98</v>
      </c>
      <c r="E4133" s="24" t="n">
        <v>0</v>
      </c>
      <c r="F4133" s="37" t="n">
        <f aca="false">DATE(YEAR(A4133),MONTH(A4133),1)</f>
        <v>46143</v>
      </c>
      <c r="G4133" s="24" t="str">
        <f aca="false">INDEX(Products!$C$2:$C$49,MATCH(C4133,Products!$A$2:$A$49,0))</f>
        <v>Beverages</v>
      </c>
      <c r="H4133" s="33" t="n">
        <f aca="false">D4133*INDEX(Products!$E$2:$E$49,MATCH(C4133,Products!$A$2:$A$49,0))</f>
        <v>11760</v>
      </c>
      <c r="I4133" s="33" t="n">
        <f aca="false">D4133*INDEX(Products!$D$2:$D$49,MATCH(C4133,Products!$A$2:$A$49,0))*(1+INDEX(Assumptions!$B$16:$B$20,MATCH(B4133,Assumptions!$A$16:$A$20,0)))</f>
        <v>8830.976</v>
      </c>
      <c r="J4133" s="33" t="n">
        <f aca="false">H4133-I4133</f>
        <v>2929.024</v>
      </c>
      <c r="K4133" s="33" t="n">
        <f aca="false">IF(OR(E4133=0,E4133&gt;=7),0,D4133/(7-E4133)*E4133*INDEX(Products!$E$2:$E$49,MATCH(C4133,Products!$A$2:$A$49,0)))</f>
        <v>0</v>
      </c>
    </row>
    <row r="4134" customFormat="false" ht="15" hidden="false" customHeight="false" outlineLevel="0" collapsed="false">
      <c r="A4134" s="36" t="n">
        <v>46167</v>
      </c>
      <c r="B4134" s="24" t="s">
        <v>64</v>
      </c>
      <c r="C4134" s="24" t="s">
        <v>157</v>
      </c>
      <c r="D4134" s="33" t="n">
        <v>91</v>
      </c>
      <c r="E4134" s="24" t="n">
        <v>0</v>
      </c>
      <c r="F4134" s="37" t="n">
        <f aca="false">DATE(YEAR(A4134),MONTH(A4134),1)</f>
        <v>46143</v>
      </c>
      <c r="G4134" s="24" t="str">
        <f aca="false">INDEX(Products!$C$2:$C$49,MATCH(C4134,Products!$A$2:$A$49,0))</f>
        <v>Beverages</v>
      </c>
      <c r="H4134" s="33" t="n">
        <f aca="false">D4134*INDEX(Products!$E$2:$E$49,MATCH(C4134,Products!$A$2:$A$49,0))</f>
        <v>10920</v>
      </c>
      <c r="I4134" s="33" t="n">
        <f aca="false">D4134*INDEX(Products!$D$2:$D$49,MATCH(C4134,Products!$A$2:$A$49,0))*(1+INDEX(Assumptions!$B$16:$B$20,MATCH(B4134,Assumptions!$A$16:$A$20,0)))</f>
        <v>8200.192</v>
      </c>
      <c r="J4134" s="33" t="n">
        <f aca="false">H4134-I4134</f>
        <v>2719.808</v>
      </c>
      <c r="K4134" s="33" t="n">
        <f aca="false">IF(OR(E4134=0,E4134&gt;=7),0,D4134/(7-E4134)*E4134*INDEX(Products!$E$2:$E$49,MATCH(C4134,Products!$A$2:$A$49,0)))</f>
        <v>0</v>
      </c>
    </row>
    <row r="4135" customFormat="false" ht="15" hidden="false" customHeight="false" outlineLevel="0" collapsed="false">
      <c r="A4135" s="36" t="n">
        <v>46174</v>
      </c>
      <c r="B4135" s="24" t="s">
        <v>64</v>
      </c>
      <c r="C4135" s="24" t="s">
        <v>157</v>
      </c>
      <c r="D4135" s="33" t="n">
        <v>76</v>
      </c>
      <c r="E4135" s="24" t="n">
        <v>0</v>
      </c>
      <c r="F4135" s="37" t="n">
        <f aca="false">DATE(YEAR(A4135),MONTH(A4135),1)</f>
        <v>46174</v>
      </c>
      <c r="G4135" s="24" t="str">
        <f aca="false">INDEX(Products!$C$2:$C$49,MATCH(C4135,Products!$A$2:$A$49,0))</f>
        <v>Beverages</v>
      </c>
      <c r="H4135" s="33" t="n">
        <f aca="false">D4135*INDEX(Products!$E$2:$E$49,MATCH(C4135,Products!$A$2:$A$49,0))</f>
        <v>9120</v>
      </c>
      <c r="I4135" s="33" t="n">
        <f aca="false">D4135*INDEX(Products!$D$2:$D$49,MATCH(C4135,Products!$A$2:$A$49,0))*(1+INDEX(Assumptions!$B$16:$B$20,MATCH(B4135,Assumptions!$A$16:$A$20,0)))</f>
        <v>6848.512</v>
      </c>
      <c r="J4135" s="33" t="n">
        <f aca="false">H4135-I4135</f>
        <v>2271.488</v>
      </c>
      <c r="K4135" s="33" t="n">
        <f aca="false">IF(OR(E4135=0,E4135&gt;=7),0,D4135/(7-E4135)*E4135*INDEX(Products!$E$2:$E$49,MATCH(C4135,Products!$A$2:$A$49,0)))</f>
        <v>0</v>
      </c>
    </row>
    <row r="4136" customFormat="false" ht="15" hidden="false" customHeight="false" outlineLevel="0" collapsed="false">
      <c r="A4136" s="36" t="n">
        <v>46181</v>
      </c>
      <c r="B4136" s="24" t="s">
        <v>64</v>
      </c>
      <c r="C4136" s="24" t="s">
        <v>157</v>
      </c>
      <c r="D4136" s="33" t="n">
        <v>102</v>
      </c>
      <c r="E4136" s="24" t="n">
        <v>0</v>
      </c>
      <c r="F4136" s="37" t="n">
        <f aca="false">DATE(YEAR(A4136),MONTH(A4136),1)</f>
        <v>46174</v>
      </c>
      <c r="G4136" s="24" t="str">
        <f aca="false">INDEX(Products!$C$2:$C$49,MATCH(C4136,Products!$A$2:$A$49,0))</f>
        <v>Beverages</v>
      </c>
      <c r="H4136" s="33" t="n">
        <f aca="false">D4136*INDEX(Products!$E$2:$E$49,MATCH(C4136,Products!$A$2:$A$49,0))</f>
        <v>12240</v>
      </c>
      <c r="I4136" s="33" t="n">
        <f aca="false">D4136*INDEX(Products!$D$2:$D$49,MATCH(C4136,Products!$A$2:$A$49,0))*(1+INDEX(Assumptions!$B$16:$B$20,MATCH(B4136,Assumptions!$A$16:$A$20,0)))</f>
        <v>9191.424</v>
      </c>
      <c r="J4136" s="33" t="n">
        <f aca="false">H4136-I4136</f>
        <v>3048.576</v>
      </c>
      <c r="K4136" s="33" t="n">
        <f aca="false">IF(OR(E4136=0,E4136&gt;=7),0,D4136/(7-E4136)*E4136*INDEX(Products!$E$2:$E$49,MATCH(C4136,Products!$A$2:$A$49,0)))</f>
        <v>0</v>
      </c>
    </row>
    <row r="4137" customFormat="false" ht="15" hidden="false" customHeight="false" outlineLevel="0" collapsed="false">
      <c r="A4137" s="36" t="n">
        <v>46188</v>
      </c>
      <c r="B4137" s="24" t="s">
        <v>64</v>
      </c>
      <c r="C4137" s="24" t="s">
        <v>157</v>
      </c>
      <c r="D4137" s="33" t="n">
        <v>101</v>
      </c>
      <c r="E4137" s="24" t="n">
        <v>0</v>
      </c>
      <c r="F4137" s="37" t="n">
        <f aca="false">DATE(YEAR(A4137),MONTH(A4137),1)</f>
        <v>46174</v>
      </c>
      <c r="G4137" s="24" t="str">
        <f aca="false">INDEX(Products!$C$2:$C$49,MATCH(C4137,Products!$A$2:$A$49,0))</f>
        <v>Beverages</v>
      </c>
      <c r="H4137" s="33" t="n">
        <f aca="false">D4137*INDEX(Products!$E$2:$E$49,MATCH(C4137,Products!$A$2:$A$49,0))</f>
        <v>12120</v>
      </c>
      <c r="I4137" s="33" t="n">
        <f aca="false">D4137*INDEX(Products!$D$2:$D$49,MATCH(C4137,Products!$A$2:$A$49,0))*(1+INDEX(Assumptions!$B$16:$B$20,MATCH(B4137,Assumptions!$A$16:$A$20,0)))</f>
        <v>9101.312</v>
      </c>
      <c r="J4137" s="33" t="n">
        <f aca="false">H4137-I4137</f>
        <v>3018.688</v>
      </c>
      <c r="K4137" s="33" t="n">
        <f aca="false">IF(OR(E4137=0,E4137&gt;=7),0,D4137/(7-E4137)*E4137*INDEX(Products!$E$2:$E$49,MATCH(C4137,Products!$A$2:$A$49,0)))</f>
        <v>0</v>
      </c>
    </row>
    <row r="4138" customFormat="false" ht="15" hidden="false" customHeight="false" outlineLevel="0" collapsed="false">
      <c r="A4138" s="36" t="n">
        <v>46195</v>
      </c>
      <c r="B4138" s="24" t="s">
        <v>64</v>
      </c>
      <c r="C4138" s="24" t="s">
        <v>157</v>
      </c>
      <c r="D4138" s="33" t="n">
        <v>80</v>
      </c>
      <c r="E4138" s="24" t="n">
        <v>0</v>
      </c>
      <c r="F4138" s="37" t="n">
        <f aca="false">DATE(YEAR(A4138),MONTH(A4138),1)</f>
        <v>46174</v>
      </c>
      <c r="G4138" s="24" t="str">
        <f aca="false">INDEX(Products!$C$2:$C$49,MATCH(C4138,Products!$A$2:$A$49,0))</f>
        <v>Beverages</v>
      </c>
      <c r="H4138" s="33" t="n">
        <f aca="false">D4138*INDEX(Products!$E$2:$E$49,MATCH(C4138,Products!$A$2:$A$49,0))</f>
        <v>9600</v>
      </c>
      <c r="I4138" s="33" t="n">
        <f aca="false">D4138*INDEX(Products!$D$2:$D$49,MATCH(C4138,Products!$A$2:$A$49,0))*(1+INDEX(Assumptions!$B$16:$B$20,MATCH(B4138,Assumptions!$A$16:$A$20,0)))</f>
        <v>7208.96</v>
      </c>
      <c r="J4138" s="33" t="n">
        <f aca="false">H4138-I4138</f>
        <v>2391.04</v>
      </c>
      <c r="K4138" s="33" t="n">
        <f aca="false">IF(OR(E4138=0,E4138&gt;=7),0,D4138/(7-E4138)*E4138*INDEX(Products!$E$2:$E$49,MATCH(C4138,Products!$A$2:$A$49,0)))</f>
        <v>0</v>
      </c>
    </row>
    <row r="4139" customFormat="false" ht="15" hidden="false" customHeight="false" outlineLevel="0" collapsed="false">
      <c r="A4139" s="36" t="n">
        <v>46202</v>
      </c>
      <c r="B4139" s="24" t="s">
        <v>64</v>
      </c>
      <c r="C4139" s="24" t="s">
        <v>157</v>
      </c>
      <c r="D4139" s="33" t="n">
        <v>156</v>
      </c>
      <c r="E4139" s="24" t="n">
        <v>0</v>
      </c>
      <c r="F4139" s="37" t="n">
        <f aca="false">DATE(YEAR(A4139),MONTH(A4139),1)</f>
        <v>46174</v>
      </c>
      <c r="G4139" s="24" t="str">
        <f aca="false">INDEX(Products!$C$2:$C$49,MATCH(C4139,Products!$A$2:$A$49,0))</f>
        <v>Beverages</v>
      </c>
      <c r="H4139" s="33" t="n">
        <f aca="false">D4139*INDEX(Products!$E$2:$E$49,MATCH(C4139,Products!$A$2:$A$49,0))</f>
        <v>18720</v>
      </c>
      <c r="I4139" s="33" t="n">
        <f aca="false">D4139*INDEX(Products!$D$2:$D$49,MATCH(C4139,Products!$A$2:$A$49,0))*(1+INDEX(Assumptions!$B$16:$B$20,MATCH(B4139,Assumptions!$A$16:$A$20,0)))</f>
        <v>14057.472</v>
      </c>
      <c r="J4139" s="33" t="n">
        <f aca="false">H4139-I4139</f>
        <v>4662.528</v>
      </c>
      <c r="K4139" s="33" t="n">
        <f aca="false">IF(OR(E4139=0,E4139&gt;=7),0,D4139/(7-E4139)*E4139*INDEX(Products!$E$2:$E$49,MATCH(C4139,Products!$A$2:$A$49,0)))</f>
        <v>0</v>
      </c>
    </row>
    <row r="4140" customFormat="false" ht="15" hidden="false" customHeight="false" outlineLevel="0" collapsed="false">
      <c r="A4140" s="36" t="n">
        <v>46209</v>
      </c>
      <c r="B4140" s="24" t="s">
        <v>64</v>
      </c>
      <c r="C4140" s="24" t="s">
        <v>157</v>
      </c>
      <c r="D4140" s="33" t="n">
        <v>74</v>
      </c>
      <c r="E4140" s="24" t="n">
        <v>0</v>
      </c>
      <c r="F4140" s="37" t="n">
        <f aca="false">DATE(YEAR(A4140),MONTH(A4140),1)</f>
        <v>46204</v>
      </c>
      <c r="G4140" s="24" t="str">
        <f aca="false">INDEX(Products!$C$2:$C$49,MATCH(C4140,Products!$A$2:$A$49,0))</f>
        <v>Beverages</v>
      </c>
      <c r="H4140" s="33" t="n">
        <f aca="false">D4140*INDEX(Products!$E$2:$E$49,MATCH(C4140,Products!$A$2:$A$49,0))</f>
        <v>8880</v>
      </c>
      <c r="I4140" s="33" t="n">
        <f aca="false">D4140*INDEX(Products!$D$2:$D$49,MATCH(C4140,Products!$A$2:$A$49,0))*(1+INDEX(Assumptions!$B$16:$B$20,MATCH(B4140,Assumptions!$A$16:$A$20,0)))</f>
        <v>6668.288</v>
      </c>
      <c r="J4140" s="33" t="n">
        <f aca="false">H4140-I4140</f>
        <v>2211.712</v>
      </c>
      <c r="K4140" s="33" t="n">
        <f aca="false">IF(OR(E4140=0,E4140&gt;=7),0,D4140/(7-E4140)*E4140*INDEX(Products!$E$2:$E$49,MATCH(C4140,Products!$A$2:$A$49,0)))</f>
        <v>0</v>
      </c>
    </row>
    <row r="4141" customFormat="false" ht="15" hidden="false" customHeight="false" outlineLevel="0" collapsed="false">
      <c r="A4141" s="36" t="n">
        <v>46216</v>
      </c>
      <c r="B4141" s="24" t="s">
        <v>64</v>
      </c>
      <c r="C4141" s="24" t="s">
        <v>157</v>
      </c>
      <c r="D4141" s="33" t="n">
        <v>83</v>
      </c>
      <c r="E4141" s="24" t="n">
        <v>0</v>
      </c>
      <c r="F4141" s="37" t="n">
        <f aca="false">DATE(YEAR(A4141),MONTH(A4141),1)</f>
        <v>46204</v>
      </c>
      <c r="G4141" s="24" t="str">
        <f aca="false">INDEX(Products!$C$2:$C$49,MATCH(C4141,Products!$A$2:$A$49,0))</f>
        <v>Beverages</v>
      </c>
      <c r="H4141" s="33" t="n">
        <f aca="false">D4141*INDEX(Products!$E$2:$E$49,MATCH(C4141,Products!$A$2:$A$49,0))</f>
        <v>9960</v>
      </c>
      <c r="I4141" s="33" t="n">
        <f aca="false">D4141*INDEX(Products!$D$2:$D$49,MATCH(C4141,Products!$A$2:$A$49,0))*(1+INDEX(Assumptions!$B$16:$B$20,MATCH(B4141,Assumptions!$A$16:$A$20,0)))</f>
        <v>7479.296</v>
      </c>
      <c r="J4141" s="33" t="n">
        <f aca="false">H4141-I4141</f>
        <v>2480.704</v>
      </c>
      <c r="K4141" s="33" t="n">
        <f aca="false">IF(OR(E4141=0,E4141&gt;=7),0,D4141/(7-E4141)*E4141*INDEX(Products!$E$2:$E$49,MATCH(C4141,Products!$A$2:$A$49,0)))</f>
        <v>0</v>
      </c>
    </row>
    <row r="4142" customFormat="false" ht="15" hidden="false" customHeight="false" outlineLevel="0" collapsed="false">
      <c r="A4142" s="36" t="n">
        <v>46223</v>
      </c>
      <c r="B4142" s="24" t="s">
        <v>64</v>
      </c>
      <c r="C4142" s="24" t="s">
        <v>157</v>
      </c>
      <c r="D4142" s="33" t="n">
        <v>84</v>
      </c>
      <c r="E4142" s="24" t="n">
        <v>0</v>
      </c>
      <c r="F4142" s="37" t="n">
        <f aca="false">DATE(YEAR(A4142),MONTH(A4142),1)</f>
        <v>46204</v>
      </c>
      <c r="G4142" s="24" t="str">
        <f aca="false">INDEX(Products!$C$2:$C$49,MATCH(C4142,Products!$A$2:$A$49,0))</f>
        <v>Beverages</v>
      </c>
      <c r="H4142" s="33" t="n">
        <f aca="false">D4142*INDEX(Products!$E$2:$E$49,MATCH(C4142,Products!$A$2:$A$49,0))</f>
        <v>10080</v>
      </c>
      <c r="I4142" s="33" t="n">
        <f aca="false">D4142*INDEX(Products!$D$2:$D$49,MATCH(C4142,Products!$A$2:$A$49,0))*(1+INDEX(Assumptions!$B$16:$B$20,MATCH(B4142,Assumptions!$A$16:$A$20,0)))</f>
        <v>7569.408</v>
      </c>
      <c r="J4142" s="33" t="n">
        <f aca="false">H4142-I4142</f>
        <v>2510.592</v>
      </c>
      <c r="K4142" s="33" t="n">
        <f aca="false">IF(OR(E4142=0,E4142&gt;=7),0,D4142/(7-E4142)*E4142*INDEX(Products!$E$2:$E$49,MATCH(C4142,Products!$A$2:$A$49,0)))</f>
        <v>0</v>
      </c>
    </row>
    <row r="4143" customFormat="false" ht="15" hidden="false" customHeight="false" outlineLevel="0" collapsed="false">
      <c r="A4143" s="36" t="n">
        <v>46230</v>
      </c>
      <c r="B4143" s="24" t="s">
        <v>64</v>
      </c>
      <c r="C4143" s="24" t="s">
        <v>157</v>
      </c>
      <c r="D4143" s="33" t="n">
        <v>86</v>
      </c>
      <c r="E4143" s="24" t="n">
        <v>0</v>
      </c>
      <c r="F4143" s="37" t="n">
        <f aca="false">DATE(YEAR(A4143),MONTH(A4143),1)</f>
        <v>46204</v>
      </c>
      <c r="G4143" s="24" t="str">
        <f aca="false">INDEX(Products!$C$2:$C$49,MATCH(C4143,Products!$A$2:$A$49,0))</f>
        <v>Beverages</v>
      </c>
      <c r="H4143" s="33" t="n">
        <f aca="false">D4143*INDEX(Products!$E$2:$E$49,MATCH(C4143,Products!$A$2:$A$49,0))</f>
        <v>10320</v>
      </c>
      <c r="I4143" s="33" t="n">
        <f aca="false">D4143*INDEX(Products!$D$2:$D$49,MATCH(C4143,Products!$A$2:$A$49,0))*(1+INDEX(Assumptions!$B$16:$B$20,MATCH(B4143,Assumptions!$A$16:$A$20,0)))</f>
        <v>7749.632</v>
      </c>
      <c r="J4143" s="33" t="n">
        <f aca="false">H4143-I4143</f>
        <v>2570.368</v>
      </c>
      <c r="K4143" s="33" t="n">
        <f aca="false">IF(OR(E4143=0,E4143&gt;=7),0,D4143/(7-E4143)*E4143*INDEX(Products!$E$2:$E$49,MATCH(C4143,Products!$A$2:$A$49,0)))</f>
        <v>0</v>
      </c>
    </row>
    <row r="4144" customFormat="false" ht="15" hidden="false" customHeight="false" outlineLevel="0" collapsed="false">
      <c r="A4144" s="36" t="n">
        <v>46237</v>
      </c>
      <c r="B4144" s="24" t="s">
        <v>64</v>
      </c>
      <c r="C4144" s="24" t="s">
        <v>157</v>
      </c>
      <c r="D4144" s="33" t="n">
        <v>69</v>
      </c>
      <c r="E4144" s="24" t="n">
        <v>0</v>
      </c>
      <c r="F4144" s="37" t="n">
        <f aca="false">DATE(YEAR(A4144),MONTH(A4144),1)</f>
        <v>46235</v>
      </c>
      <c r="G4144" s="24" t="str">
        <f aca="false">INDEX(Products!$C$2:$C$49,MATCH(C4144,Products!$A$2:$A$49,0))</f>
        <v>Beverages</v>
      </c>
      <c r="H4144" s="33" t="n">
        <f aca="false">D4144*INDEX(Products!$E$2:$E$49,MATCH(C4144,Products!$A$2:$A$49,0))</f>
        <v>8280</v>
      </c>
      <c r="I4144" s="33" t="n">
        <f aca="false">D4144*INDEX(Products!$D$2:$D$49,MATCH(C4144,Products!$A$2:$A$49,0))*(1+INDEX(Assumptions!$B$16:$B$20,MATCH(B4144,Assumptions!$A$16:$A$20,0)))</f>
        <v>6217.728</v>
      </c>
      <c r="J4144" s="33" t="n">
        <f aca="false">H4144-I4144</f>
        <v>2062.272</v>
      </c>
      <c r="K4144" s="33" t="n">
        <f aca="false">IF(OR(E4144=0,E4144&gt;=7),0,D4144/(7-E4144)*E4144*INDEX(Products!$E$2:$E$49,MATCH(C4144,Products!$A$2:$A$49,0)))</f>
        <v>0</v>
      </c>
    </row>
    <row r="4145" customFormat="false" ht="15" hidden="false" customHeight="false" outlineLevel="0" collapsed="false">
      <c r="A4145" s="36" t="n">
        <v>46244</v>
      </c>
      <c r="B4145" s="24" t="s">
        <v>64</v>
      </c>
      <c r="C4145" s="24" t="s">
        <v>157</v>
      </c>
      <c r="D4145" s="33" t="n">
        <v>65</v>
      </c>
      <c r="E4145" s="24" t="n">
        <v>0</v>
      </c>
      <c r="F4145" s="37" t="n">
        <f aca="false">DATE(YEAR(A4145),MONTH(A4145),1)</f>
        <v>46235</v>
      </c>
      <c r="G4145" s="24" t="str">
        <f aca="false">INDEX(Products!$C$2:$C$49,MATCH(C4145,Products!$A$2:$A$49,0))</f>
        <v>Beverages</v>
      </c>
      <c r="H4145" s="33" t="n">
        <f aca="false">D4145*INDEX(Products!$E$2:$E$49,MATCH(C4145,Products!$A$2:$A$49,0))</f>
        <v>7800</v>
      </c>
      <c r="I4145" s="33" t="n">
        <f aca="false">D4145*INDEX(Products!$D$2:$D$49,MATCH(C4145,Products!$A$2:$A$49,0))*(1+INDEX(Assumptions!$B$16:$B$20,MATCH(B4145,Assumptions!$A$16:$A$20,0)))</f>
        <v>5857.28</v>
      </c>
      <c r="J4145" s="33" t="n">
        <f aca="false">H4145-I4145</f>
        <v>1942.72</v>
      </c>
      <c r="K4145" s="33" t="n">
        <f aca="false">IF(OR(E4145=0,E4145&gt;=7),0,D4145/(7-E4145)*E4145*INDEX(Products!$E$2:$E$49,MATCH(C4145,Products!$A$2:$A$49,0)))</f>
        <v>0</v>
      </c>
    </row>
    <row r="4146" customFormat="false" ht="15" hidden="false" customHeight="false" outlineLevel="0" collapsed="false">
      <c r="A4146" s="36" t="n">
        <v>46251</v>
      </c>
      <c r="B4146" s="24" t="s">
        <v>64</v>
      </c>
      <c r="C4146" s="24" t="s">
        <v>157</v>
      </c>
      <c r="D4146" s="33" t="n">
        <v>55</v>
      </c>
      <c r="E4146" s="24" t="n">
        <v>2</v>
      </c>
      <c r="F4146" s="37" t="n">
        <f aca="false">DATE(YEAR(A4146),MONTH(A4146),1)</f>
        <v>46235</v>
      </c>
      <c r="G4146" s="24" t="str">
        <f aca="false">INDEX(Products!$C$2:$C$49,MATCH(C4146,Products!$A$2:$A$49,0))</f>
        <v>Beverages</v>
      </c>
      <c r="H4146" s="33" t="n">
        <f aca="false">D4146*INDEX(Products!$E$2:$E$49,MATCH(C4146,Products!$A$2:$A$49,0))</f>
        <v>6600</v>
      </c>
      <c r="I4146" s="33" t="n">
        <f aca="false">D4146*INDEX(Products!$D$2:$D$49,MATCH(C4146,Products!$A$2:$A$49,0))*(1+INDEX(Assumptions!$B$16:$B$20,MATCH(B4146,Assumptions!$A$16:$A$20,0)))</f>
        <v>4956.16</v>
      </c>
      <c r="J4146" s="33" t="n">
        <f aca="false">H4146-I4146</f>
        <v>1643.84</v>
      </c>
      <c r="K4146" s="33" t="n">
        <f aca="false">IF(OR(E4146=0,E4146&gt;=7),0,D4146/(7-E4146)*E4146*INDEX(Products!$E$2:$E$49,MATCH(C4146,Products!$A$2:$A$49,0)))</f>
        <v>2640</v>
      </c>
    </row>
    <row r="4147" customFormat="false" ht="15" hidden="false" customHeight="false" outlineLevel="0" collapsed="false">
      <c r="A4147" s="36" t="n">
        <v>46258</v>
      </c>
      <c r="B4147" s="24" t="s">
        <v>64</v>
      </c>
      <c r="C4147" s="24" t="s">
        <v>157</v>
      </c>
      <c r="D4147" s="33" t="n">
        <v>93</v>
      </c>
      <c r="E4147" s="24" t="n">
        <v>0</v>
      </c>
      <c r="F4147" s="37" t="n">
        <f aca="false">DATE(YEAR(A4147),MONTH(A4147),1)</f>
        <v>46235</v>
      </c>
      <c r="G4147" s="24" t="str">
        <f aca="false">INDEX(Products!$C$2:$C$49,MATCH(C4147,Products!$A$2:$A$49,0))</f>
        <v>Beverages</v>
      </c>
      <c r="H4147" s="33" t="n">
        <f aca="false">D4147*INDEX(Products!$E$2:$E$49,MATCH(C4147,Products!$A$2:$A$49,0))</f>
        <v>11160</v>
      </c>
      <c r="I4147" s="33" t="n">
        <f aca="false">D4147*INDEX(Products!$D$2:$D$49,MATCH(C4147,Products!$A$2:$A$49,0))*(1+INDEX(Assumptions!$B$16:$B$20,MATCH(B4147,Assumptions!$A$16:$A$20,0)))</f>
        <v>8380.416</v>
      </c>
      <c r="J4147" s="33" t="n">
        <f aca="false">H4147-I4147</f>
        <v>2779.584</v>
      </c>
      <c r="K4147" s="33" t="n">
        <f aca="false">IF(OR(E4147=0,E4147&gt;=7),0,D4147/(7-E4147)*E4147*INDEX(Products!$E$2:$E$49,MATCH(C4147,Products!$A$2:$A$49,0)))</f>
        <v>0</v>
      </c>
    </row>
    <row r="4148" customFormat="false" ht="15" hidden="false" customHeight="false" outlineLevel="0" collapsed="false">
      <c r="A4148" s="36" t="n">
        <v>46265</v>
      </c>
      <c r="B4148" s="24" t="s">
        <v>64</v>
      </c>
      <c r="C4148" s="24" t="s">
        <v>157</v>
      </c>
      <c r="D4148" s="33" t="n">
        <v>92</v>
      </c>
      <c r="E4148" s="24" t="n">
        <v>0</v>
      </c>
      <c r="F4148" s="37" t="n">
        <f aca="false">DATE(YEAR(A4148),MONTH(A4148),1)</f>
        <v>46235</v>
      </c>
      <c r="G4148" s="24" t="str">
        <f aca="false">INDEX(Products!$C$2:$C$49,MATCH(C4148,Products!$A$2:$A$49,0))</f>
        <v>Beverages</v>
      </c>
      <c r="H4148" s="33" t="n">
        <f aca="false">D4148*INDEX(Products!$E$2:$E$49,MATCH(C4148,Products!$A$2:$A$49,0))</f>
        <v>11040</v>
      </c>
      <c r="I4148" s="33" t="n">
        <f aca="false">D4148*INDEX(Products!$D$2:$D$49,MATCH(C4148,Products!$A$2:$A$49,0))*(1+INDEX(Assumptions!$B$16:$B$20,MATCH(B4148,Assumptions!$A$16:$A$20,0)))</f>
        <v>8290.304</v>
      </c>
      <c r="J4148" s="33" t="n">
        <f aca="false">H4148-I4148</f>
        <v>2749.696</v>
      </c>
      <c r="K4148" s="33" t="n">
        <f aca="false">IF(OR(E4148=0,E4148&gt;=7),0,D4148/(7-E4148)*E4148*INDEX(Products!$E$2:$E$49,MATCH(C4148,Products!$A$2:$A$49,0)))</f>
        <v>0</v>
      </c>
    </row>
    <row r="4149" customFormat="false" ht="15" hidden="false" customHeight="false" outlineLevel="0" collapsed="false">
      <c r="A4149" s="36" t="n">
        <v>46272</v>
      </c>
      <c r="B4149" s="24" t="s">
        <v>64</v>
      </c>
      <c r="C4149" s="24" t="s">
        <v>157</v>
      </c>
      <c r="D4149" s="33" t="n">
        <v>87</v>
      </c>
      <c r="E4149" s="24" t="n">
        <v>0</v>
      </c>
      <c r="F4149" s="37" t="n">
        <f aca="false">DATE(YEAR(A4149),MONTH(A4149),1)</f>
        <v>46266</v>
      </c>
      <c r="G4149" s="24" t="str">
        <f aca="false">INDEX(Products!$C$2:$C$49,MATCH(C4149,Products!$A$2:$A$49,0))</f>
        <v>Beverages</v>
      </c>
      <c r="H4149" s="33" t="n">
        <f aca="false">D4149*INDEX(Products!$E$2:$E$49,MATCH(C4149,Products!$A$2:$A$49,0))</f>
        <v>10440</v>
      </c>
      <c r="I4149" s="33" t="n">
        <f aca="false">D4149*INDEX(Products!$D$2:$D$49,MATCH(C4149,Products!$A$2:$A$49,0))*(1+INDEX(Assumptions!$B$16:$B$20,MATCH(B4149,Assumptions!$A$16:$A$20,0)))</f>
        <v>7839.744</v>
      </c>
      <c r="J4149" s="33" t="n">
        <f aca="false">H4149-I4149</f>
        <v>2600.256</v>
      </c>
      <c r="K4149" s="33" t="n">
        <f aca="false">IF(OR(E4149=0,E4149&gt;=7),0,D4149/(7-E4149)*E4149*INDEX(Products!$E$2:$E$49,MATCH(C4149,Products!$A$2:$A$49,0)))</f>
        <v>0</v>
      </c>
    </row>
    <row r="4150" customFormat="false" ht="15" hidden="false" customHeight="false" outlineLevel="0" collapsed="false">
      <c r="A4150" s="36" t="n">
        <v>46279</v>
      </c>
      <c r="B4150" s="24" t="s">
        <v>64</v>
      </c>
      <c r="C4150" s="24" t="s">
        <v>157</v>
      </c>
      <c r="D4150" s="33" t="n">
        <v>98</v>
      </c>
      <c r="E4150" s="24" t="n">
        <v>0</v>
      </c>
      <c r="F4150" s="37" t="n">
        <f aca="false">DATE(YEAR(A4150),MONTH(A4150),1)</f>
        <v>46266</v>
      </c>
      <c r="G4150" s="24" t="str">
        <f aca="false">INDEX(Products!$C$2:$C$49,MATCH(C4150,Products!$A$2:$A$49,0))</f>
        <v>Beverages</v>
      </c>
      <c r="H4150" s="33" t="n">
        <f aca="false">D4150*INDEX(Products!$E$2:$E$49,MATCH(C4150,Products!$A$2:$A$49,0))</f>
        <v>11760</v>
      </c>
      <c r="I4150" s="33" t="n">
        <f aca="false">D4150*INDEX(Products!$D$2:$D$49,MATCH(C4150,Products!$A$2:$A$49,0))*(1+INDEX(Assumptions!$B$16:$B$20,MATCH(B4150,Assumptions!$A$16:$A$20,0)))</f>
        <v>8830.976</v>
      </c>
      <c r="J4150" s="33" t="n">
        <f aca="false">H4150-I4150</f>
        <v>2929.024</v>
      </c>
      <c r="K4150" s="33" t="n">
        <f aca="false">IF(OR(E4150=0,E4150&gt;=7),0,D4150/(7-E4150)*E4150*INDEX(Products!$E$2:$E$49,MATCH(C4150,Products!$A$2:$A$49,0)))</f>
        <v>0</v>
      </c>
    </row>
    <row r="4151" customFormat="false" ht="15" hidden="false" customHeight="false" outlineLevel="0" collapsed="false">
      <c r="A4151" s="36" t="n">
        <v>46286</v>
      </c>
      <c r="B4151" s="24" t="s">
        <v>64</v>
      </c>
      <c r="C4151" s="24" t="s">
        <v>157</v>
      </c>
      <c r="D4151" s="33" t="n">
        <v>86</v>
      </c>
      <c r="E4151" s="24" t="n">
        <v>0</v>
      </c>
      <c r="F4151" s="37" t="n">
        <f aca="false">DATE(YEAR(A4151),MONTH(A4151),1)</f>
        <v>46266</v>
      </c>
      <c r="G4151" s="24" t="str">
        <f aca="false">INDEX(Products!$C$2:$C$49,MATCH(C4151,Products!$A$2:$A$49,0))</f>
        <v>Beverages</v>
      </c>
      <c r="H4151" s="33" t="n">
        <f aca="false">D4151*INDEX(Products!$E$2:$E$49,MATCH(C4151,Products!$A$2:$A$49,0))</f>
        <v>10320</v>
      </c>
      <c r="I4151" s="33" t="n">
        <f aca="false">D4151*INDEX(Products!$D$2:$D$49,MATCH(C4151,Products!$A$2:$A$49,0))*(1+INDEX(Assumptions!$B$16:$B$20,MATCH(B4151,Assumptions!$A$16:$A$20,0)))</f>
        <v>7749.632</v>
      </c>
      <c r="J4151" s="33" t="n">
        <f aca="false">H4151-I4151</f>
        <v>2570.368</v>
      </c>
      <c r="K4151" s="33" t="n">
        <f aca="false">IF(OR(E4151=0,E4151&gt;=7),0,D4151/(7-E4151)*E4151*INDEX(Products!$E$2:$E$49,MATCH(C4151,Products!$A$2:$A$49,0)))</f>
        <v>0</v>
      </c>
    </row>
    <row r="4152" customFormat="false" ht="15" hidden="false" customHeight="false" outlineLevel="0" collapsed="false">
      <c r="A4152" s="36" t="n">
        <v>46118</v>
      </c>
      <c r="B4152" s="24" t="s">
        <v>64</v>
      </c>
      <c r="C4152" s="24" t="s">
        <v>159</v>
      </c>
      <c r="D4152" s="33" t="n">
        <v>70</v>
      </c>
      <c r="E4152" s="24" t="n">
        <v>0</v>
      </c>
      <c r="F4152" s="37" t="n">
        <f aca="false">DATE(YEAR(A4152),MONTH(A4152),1)</f>
        <v>46113</v>
      </c>
      <c r="G4152" s="24" t="str">
        <f aca="false">INDEX(Products!$C$2:$C$49,MATCH(C4152,Products!$A$2:$A$49,0))</f>
        <v>Beverages</v>
      </c>
      <c r="H4152" s="33" t="n">
        <f aca="false">D4152*INDEX(Products!$E$2:$E$49,MATCH(C4152,Products!$A$2:$A$49,0))</f>
        <v>31500</v>
      </c>
      <c r="I4152" s="33" t="n">
        <f aca="false">D4152*INDEX(Products!$D$2:$D$49,MATCH(C4152,Products!$A$2:$A$49,0))*(1+INDEX(Assumptions!$B$16:$B$20,MATCH(B4152,Assumptions!$A$16:$A$20,0)))</f>
        <v>25661.44</v>
      </c>
      <c r="J4152" s="33" t="n">
        <f aca="false">H4152-I4152</f>
        <v>5838.56</v>
      </c>
      <c r="K4152" s="33" t="n">
        <f aca="false">IF(OR(E4152=0,E4152&gt;=7),0,D4152/(7-E4152)*E4152*INDEX(Products!$E$2:$E$49,MATCH(C4152,Products!$A$2:$A$49,0)))</f>
        <v>0</v>
      </c>
    </row>
    <row r="4153" customFormat="false" ht="15" hidden="false" customHeight="false" outlineLevel="0" collapsed="false">
      <c r="A4153" s="36" t="n">
        <v>46125</v>
      </c>
      <c r="B4153" s="24" t="s">
        <v>64</v>
      </c>
      <c r="C4153" s="24" t="s">
        <v>159</v>
      </c>
      <c r="D4153" s="33" t="n">
        <v>71</v>
      </c>
      <c r="E4153" s="24" t="n">
        <v>0</v>
      </c>
      <c r="F4153" s="37" t="n">
        <f aca="false">DATE(YEAR(A4153),MONTH(A4153),1)</f>
        <v>46113</v>
      </c>
      <c r="G4153" s="24" t="str">
        <f aca="false">INDEX(Products!$C$2:$C$49,MATCH(C4153,Products!$A$2:$A$49,0))</f>
        <v>Beverages</v>
      </c>
      <c r="H4153" s="33" t="n">
        <f aca="false">D4153*INDEX(Products!$E$2:$E$49,MATCH(C4153,Products!$A$2:$A$49,0))</f>
        <v>31950</v>
      </c>
      <c r="I4153" s="33" t="n">
        <f aca="false">D4153*INDEX(Products!$D$2:$D$49,MATCH(C4153,Products!$A$2:$A$49,0))*(1+INDEX(Assumptions!$B$16:$B$20,MATCH(B4153,Assumptions!$A$16:$A$20,0)))</f>
        <v>26028.032</v>
      </c>
      <c r="J4153" s="33" t="n">
        <f aca="false">H4153-I4153</f>
        <v>5921.968</v>
      </c>
      <c r="K4153" s="33" t="n">
        <f aca="false">IF(OR(E4153=0,E4153&gt;=7),0,D4153/(7-E4153)*E4153*INDEX(Products!$E$2:$E$49,MATCH(C4153,Products!$A$2:$A$49,0)))</f>
        <v>0</v>
      </c>
    </row>
    <row r="4154" customFormat="false" ht="15" hidden="false" customHeight="false" outlineLevel="0" collapsed="false">
      <c r="A4154" s="36" t="n">
        <v>46132</v>
      </c>
      <c r="B4154" s="24" t="s">
        <v>64</v>
      </c>
      <c r="C4154" s="24" t="s">
        <v>159</v>
      </c>
      <c r="D4154" s="33" t="n">
        <v>85</v>
      </c>
      <c r="E4154" s="24" t="n">
        <v>0</v>
      </c>
      <c r="F4154" s="37" t="n">
        <f aca="false">DATE(YEAR(A4154),MONTH(A4154),1)</f>
        <v>46113</v>
      </c>
      <c r="G4154" s="24" t="str">
        <f aca="false">INDEX(Products!$C$2:$C$49,MATCH(C4154,Products!$A$2:$A$49,0))</f>
        <v>Beverages</v>
      </c>
      <c r="H4154" s="33" t="n">
        <f aca="false">D4154*INDEX(Products!$E$2:$E$49,MATCH(C4154,Products!$A$2:$A$49,0))</f>
        <v>38250</v>
      </c>
      <c r="I4154" s="33" t="n">
        <f aca="false">D4154*INDEX(Products!$D$2:$D$49,MATCH(C4154,Products!$A$2:$A$49,0))*(1+INDEX(Assumptions!$B$16:$B$20,MATCH(B4154,Assumptions!$A$16:$A$20,0)))</f>
        <v>31160.32</v>
      </c>
      <c r="J4154" s="33" t="n">
        <f aca="false">H4154-I4154</f>
        <v>7089.68</v>
      </c>
      <c r="K4154" s="33" t="n">
        <f aca="false">IF(OR(E4154=0,E4154&gt;=7),0,D4154/(7-E4154)*E4154*INDEX(Products!$E$2:$E$49,MATCH(C4154,Products!$A$2:$A$49,0)))</f>
        <v>0</v>
      </c>
    </row>
    <row r="4155" customFormat="false" ht="15" hidden="false" customHeight="false" outlineLevel="0" collapsed="false">
      <c r="A4155" s="36" t="n">
        <v>46139</v>
      </c>
      <c r="B4155" s="24" t="s">
        <v>64</v>
      </c>
      <c r="C4155" s="24" t="s">
        <v>159</v>
      </c>
      <c r="D4155" s="33" t="n">
        <v>100</v>
      </c>
      <c r="E4155" s="24" t="n">
        <v>0</v>
      </c>
      <c r="F4155" s="37" t="n">
        <f aca="false">DATE(YEAR(A4155),MONTH(A4155),1)</f>
        <v>46113</v>
      </c>
      <c r="G4155" s="24" t="str">
        <f aca="false">INDEX(Products!$C$2:$C$49,MATCH(C4155,Products!$A$2:$A$49,0))</f>
        <v>Beverages</v>
      </c>
      <c r="H4155" s="33" t="n">
        <f aca="false">D4155*INDEX(Products!$E$2:$E$49,MATCH(C4155,Products!$A$2:$A$49,0))</f>
        <v>45000</v>
      </c>
      <c r="I4155" s="33" t="n">
        <f aca="false">D4155*INDEX(Products!$D$2:$D$49,MATCH(C4155,Products!$A$2:$A$49,0))*(1+INDEX(Assumptions!$B$16:$B$20,MATCH(B4155,Assumptions!$A$16:$A$20,0)))</f>
        <v>36659.2</v>
      </c>
      <c r="J4155" s="33" t="n">
        <f aca="false">H4155-I4155</f>
        <v>8340.8</v>
      </c>
      <c r="K4155" s="33" t="n">
        <f aca="false">IF(OR(E4155=0,E4155&gt;=7),0,D4155/(7-E4155)*E4155*INDEX(Products!$E$2:$E$49,MATCH(C4155,Products!$A$2:$A$49,0)))</f>
        <v>0</v>
      </c>
    </row>
    <row r="4156" customFormat="false" ht="15" hidden="false" customHeight="false" outlineLevel="0" collapsed="false">
      <c r="A4156" s="36" t="n">
        <v>46146</v>
      </c>
      <c r="B4156" s="24" t="s">
        <v>64</v>
      </c>
      <c r="C4156" s="24" t="s">
        <v>159</v>
      </c>
      <c r="D4156" s="33" t="n">
        <v>76</v>
      </c>
      <c r="E4156" s="24" t="n">
        <v>0</v>
      </c>
      <c r="F4156" s="37" t="n">
        <f aca="false">DATE(YEAR(A4156),MONTH(A4156),1)</f>
        <v>46143</v>
      </c>
      <c r="G4156" s="24" t="str">
        <f aca="false">INDEX(Products!$C$2:$C$49,MATCH(C4156,Products!$A$2:$A$49,0))</f>
        <v>Beverages</v>
      </c>
      <c r="H4156" s="33" t="n">
        <f aca="false">D4156*INDEX(Products!$E$2:$E$49,MATCH(C4156,Products!$A$2:$A$49,0))</f>
        <v>34200</v>
      </c>
      <c r="I4156" s="33" t="n">
        <f aca="false">D4156*INDEX(Products!$D$2:$D$49,MATCH(C4156,Products!$A$2:$A$49,0))*(1+INDEX(Assumptions!$B$16:$B$20,MATCH(B4156,Assumptions!$A$16:$A$20,0)))</f>
        <v>27860.992</v>
      </c>
      <c r="J4156" s="33" t="n">
        <f aca="false">H4156-I4156</f>
        <v>6339.008</v>
      </c>
      <c r="K4156" s="33" t="n">
        <f aca="false">IF(OR(E4156=0,E4156&gt;=7),0,D4156/(7-E4156)*E4156*INDEX(Products!$E$2:$E$49,MATCH(C4156,Products!$A$2:$A$49,0)))</f>
        <v>0</v>
      </c>
    </row>
    <row r="4157" customFormat="false" ht="15" hidden="false" customHeight="false" outlineLevel="0" collapsed="false">
      <c r="A4157" s="36" t="n">
        <v>46153</v>
      </c>
      <c r="B4157" s="24" t="s">
        <v>64</v>
      </c>
      <c r="C4157" s="24" t="s">
        <v>159</v>
      </c>
      <c r="D4157" s="33" t="n">
        <v>88</v>
      </c>
      <c r="E4157" s="24" t="n">
        <v>0</v>
      </c>
      <c r="F4157" s="37" t="n">
        <f aca="false">DATE(YEAR(A4157),MONTH(A4157),1)</f>
        <v>46143</v>
      </c>
      <c r="G4157" s="24" t="str">
        <f aca="false">INDEX(Products!$C$2:$C$49,MATCH(C4157,Products!$A$2:$A$49,0))</f>
        <v>Beverages</v>
      </c>
      <c r="H4157" s="33" t="n">
        <f aca="false">D4157*INDEX(Products!$E$2:$E$49,MATCH(C4157,Products!$A$2:$A$49,0))</f>
        <v>39600</v>
      </c>
      <c r="I4157" s="33" t="n">
        <f aca="false">D4157*INDEX(Products!$D$2:$D$49,MATCH(C4157,Products!$A$2:$A$49,0))*(1+INDEX(Assumptions!$B$16:$B$20,MATCH(B4157,Assumptions!$A$16:$A$20,0)))</f>
        <v>32260.096</v>
      </c>
      <c r="J4157" s="33" t="n">
        <f aca="false">H4157-I4157</f>
        <v>7339.904</v>
      </c>
      <c r="K4157" s="33" t="n">
        <f aca="false">IF(OR(E4157=0,E4157&gt;=7),0,D4157/(7-E4157)*E4157*INDEX(Products!$E$2:$E$49,MATCH(C4157,Products!$A$2:$A$49,0)))</f>
        <v>0</v>
      </c>
    </row>
    <row r="4158" customFormat="false" ht="15" hidden="false" customHeight="false" outlineLevel="0" collapsed="false">
      <c r="A4158" s="36" t="n">
        <v>46160</v>
      </c>
      <c r="B4158" s="24" t="s">
        <v>64</v>
      </c>
      <c r="C4158" s="24" t="s">
        <v>159</v>
      </c>
      <c r="D4158" s="33" t="n">
        <v>66</v>
      </c>
      <c r="E4158" s="24" t="n">
        <v>0</v>
      </c>
      <c r="F4158" s="37" t="n">
        <f aca="false">DATE(YEAR(A4158),MONTH(A4158),1)</f>
        <v>46143</v>
      </c>
      <c r="G4158" s="24" t="str">
        <f aca="false">INDEX(Products!$C$2:$C$49,MATCH(C4158,Products!$A$2:$A$49,0))</f>
        <v>Beverages</v>
      </c>
      <c r="H4158" s="33" t="n">
        <f aca="false">D4158*INDEX(Products!$E$2:$E$49,MATCH(C4158,Products!$A$2:$A$49,0))</f>
        <v>29700</v>
      </c>
      <c r="I4158" s="33" t="n">
        <f aca="false">D4158*INDEX(Products!$D$2:$D$49,MATCH(C4158,Products!$A$2:$A$49,0))*(1+INDEX(Assumptions!$B$16:$B$20,MATCH(B4158,Assumptions!$A$16:$A$20,0)))</f>
        <v>24195.072</v>
      </c>
      <c r="J4158" s="33" t="n">
        <f aca="false">H4158-I4158</f>
        <v>5504.928</v>
      </c>
      <c r="K4158" s="33" t="n">
        <f aca="false">IF(OR(E4158=0,E4158&gt;=7),0,D4158/(7-E4158)*E4158*INDEX(Products!$E$2:$E$49,MATCH(C4158,Products!$A$2:$A$49,0)))</f>
        <v>0</v>
      </c>
    </row>
    <row r="4159" customFormat="false" ht="15" hidden="false" customHeight="false" outlineLevel="0" collapsed="false">
      <c r="A4159" s="36" t="n">
        <v>46167</v>
      </c>
      <c r="B4159" s="24" t="s">
        <v>64</v>
      </c>
      <c r="C4159" s="24" t="s">
        <v>159</v>
      </c>
      <c r="D4159" s="33" t="n">
        <v>81</v>
      </c>
      <c r="E4159" s="24" t="n">
        <v>0</v>
      </c>
      <c r="F4159" s="37" t="n">
        <f aca="false">DATE(YEAR(A4159),MONTH(A4159),1)</f>
        <v>46143</v>
      </c>
      <c r="G4159" s="24" t="str">
        <f aca="false">INDEX(Products!$C$2:$C$49,MATCH(C4159,Products!$A$2:$A$49,0))</f>
        <v>Beverages</v>
      </c>
      <c r="H4159" s="33" t="n">
        <f aca="false">D4159*INDEX(Products!$E$2:$E$49,MATCH(C4159,Products!$A$2:$A$49,0))</f>
        <v>36450</v>
      </c>
      <c r="I4159" s="33" t="n">
        <f aca="false">D4159*INDEX(Products!$D$2:$D$49,MATCH(C4159,Products!$A$2:$A$49,0))*(1+INDEX(Assumptions!$B$16:$B$20,MATCH(B4159,Assumptions!$A$16:$A$20,0)))</f>
        <v>29693.952</v>
      </c>
      <c r="J4159" s="33" t="n">
        <f aca="false">H4159-I4159</f>
        <v>6756.048</v>
      </c>
      <c r="K4159" s="33" t="n">
        <f aca="false">IF(OR(E4159=0,E4159&gt;=7),0,D4159/(7-E4159)*E4159*INDEX(Products!$E$2:$E$49,MATCH(C4159,Products!$A$2:$A$49,0)))</f>
        <v>0</v>
      </c>
    </row>
    <row r="4160" customFormat="false" ht="15" hidden="false" customHeight="false" outlineLevel="0" collapsed="false">
      <c r="A4160" s="36" t="n">
        <v>46174</v>
      </c>
      <c r="B4160" s="24" t="s">
        <v>64</v>
      </c>
      <c r="C4160" s="24" t="s">
        <v>159</v>
      </c>
      <c r="D4160" s="33" t="n">
        <v>92</v>
      </c>
      <c r="E4160" s="24" t="n">
        <v>0</v>
      </c>
      <c r="F4160" s="37" t="n">
        <f aca="false">DATE(YEAR(A4160),MONTH(A4160),1)</f>
        <v>46174</v>
      </c>
      <c r="G4160" s="24" t="str">
        <f aca="false">INDEX(Products!$C$2:$C$49,MATCH(C4160,Products!$A$2:$A$49,0))</f>
        <v>Beverages</v>
      </c>
      <c r="H4160" s="33" t="n">
        <f aca="false">D4160*INDEX(Products!$E$2:$E$49,MATCH(C4160,Products!$A$2:$A$49,0))</f>
        <v>41400</v>
      </c>
      <c r="I4160" s="33" t="n">
        <f aca="false">D4160*INDEX(Products!$D$2:$D$49,MATCH(C4160,Products!$A$2:$A$49,0))*(1+INDEX(Assumptions!$B$16:$B$20,MATCH(B4160,Assumptions!$A$16:$A$20,0)))</f>
        <v>33726.464</v>
      </c>
      <c r="J4160" s="33" t="n">
        <f aca="false">H4160-I4160</f>
        <v>7673.536</v>
      </c>
      <c r="K4160" s="33" t="n">
        <f aca="false">IF(OR(E4160=0,E4160&gt;=7),0,D4160/(7-E4160)*E4160*INDEX(Products!$E$2:$E$49,MATCH(C4160,Products!$A$2:$A$49,0)))</f>
        <v>0</v>
      </c>
    </row>
    <row r="4161" customFormat="false" ht="15" hidden="false" customHeight="false" outlineLevel="0" collapsed="false">
      <c r="A4161" s="36" t="n">
        <v>46181</v>
      </c>
      <c r="B4161" s="24" t="s">
        <v>64</v>
      </c>
      <c r="C4161" s="24" t="s">
        <v>159</v>
      </c>
      <c r="D4161" s="33" t="n">
        <v>33</v>
      </c>
      <c r="E4161" s="24" t="n">
        <v>4</v>
      </c>
      <c r="F4161" s="37" t="n">
        <f aca="false">DATE(YEAR(A4161),MONTH(A4161),1)</f>
        <v>46174</v>
      </c>
      <c r="G4161" s="24" t="str">
        <f aca="false">INDEX(Products!$C$2:$C$49,MATCH(C4161,Products!$A$2:$A$49,0))</f>
        <v>Beverages</v>
      </c>
      <c r="H4161" s="33" t="n">
        <f aca="false">D4161*INDEX(Products!$E$2:$E$49,MATCH(C4161,Products!$A$2:$A$49,0))</f>
        <v>14850</v>
      </c>
      <c r="I4161" s="33" t="n">
        <f aca="false">D4161*INDEX(Products!$D$2:$D$49,MATCH(C4161,Products!$A$2:$A$49,0))*(1+INDEX(Assumptions!$B$16:$B$20,MATCH(B4161,Assumptions!$A$16:$A$20,0)))</f>
        <v>12097.536</v>
      </c>
      <c r="J4161" s="33" t="n">
        <f aca="false">H4161-I4161</f>
        <v>2752.464</v>
      </c>
      <c r="K4161" s="33" t="n">
        <f aca="false">IF(OR(E4161=0,E4161&gt;=7),0,D4161/(7-E4161)*E4161*INDEX(Products!$E$2:$E$49,MATCH(C4161,Products!$A$2:$A$49,0)))</f>
        <v>19800</v>
      </c>
    </row>
    <row r="4162" customFormat="false" ht="15" hidden="false" customHeight="false" outlineLevel="0" collapsed="false">
      <c r="A4162" s="36" t="n">
        <v>46188</v>
      </c>
      <c r="B4162" s="24" t="s">
        <v>64</v>
      </c>
      <c r="C4162" s="24" t="s">
        <v>159</v>
      </c>
      <c r="D4162" s="33" t="n">
        <v>75</v>
      </c>
      <c r="E4162" s="24" t="n">
        <v>0</v>
      </c>
      <c r="F4162" s="37" t="n">
        <f aca="false">DATE(YEAR(A4162),MONTH(A4162),1)</f>
        <v>46174</v>
      </c>
      <c r="G4162" s="24" t="str">
        <f aca="false">INDEX(Products!$C$2:$C$49,MATCH(C4162,Products!$A$2:$A$49,0))</f>
        <v>Beverages</v>
      </c>
      <c r="H4162" s="33" t="n">
        <f aca="false">D4162*INDEX(Products!$E$2:$E$49,MATCH(C4162,Products!$A$2:$A$49,0))</f>
        <v>33750</v>
      </c>
      <c r="I4162" s="33" t="n">
        <f aca="false">D4162*INDEX(Products!$D$2:$D$49,MATCH(C4162,Products!$A$2:$A$49,0))*(1+INDEX(Assumptions!$B$16:$B$20,MATCH(B4162,Assumptions!$A$16:$A$20,0)))</f>
        <v>27494.4</v>
      </c>
      <c r="J4162" s="33" t="n">
        <f aca="false">H4162-I4162</f>
        <v>6255.6</v>
      </c>
      <c r="K4162" s="33" t="n">
        <f aca="false">IF(OR(E4162=0,E4162&gt;=7),0,D4162/(7-E4162)*E4162*INDEX(Products!$E$2:$E$49,MATCH(C4162,Products!$A$2:$A$49,0)))</f>
        <v>0</v>
      </c>
    </row>
    <row r="4163" customFormat="false" ht="15" hidden="false" customHeight="false" outlineLevel="0" collapsed="false">
      <c r="A4163" s="36" t="n">
        <v>46195</v>
      </c>
      <c r="B4163" s="24" t="s">
        <v>64</v>
      </c>
      <c r="C4163" s="24" t="s">
        <v>159</v>
      </c>
      <c r="D4163" s="33" t="n">
        <v>94</v>
      </c>
      <c r="E4163" s="24" t="n">
        <v>0</v>
      </c>
      <c r="F4163" s="37" t="n">
        <f aca="false">DATE(YEAR(A4163),MONTH(A4163),1)</f>
        <v>46174</v>
      </c>
      <c r="G4163" s="24" t="str">
        <f aca="false">INDEX(Products!$C$2:$C$49,MATCH(C4163,Products!$A$2:$A$49,0))</f>
        <v>Beverages</v>
      </c>
      <c r="H4163" s="33" t="n">
        <f aca="false">D4163*INDEX(Products!$E$2:$E$49,MATCH(C4163,Products!$A$2:$A$49,0))</f>
        <v>42300</v>
      </c>
      <c r="I4163" s="33" t="n">
        <f aca="false">D4163*INDEX(Products!$D$2:$D$49,MATCH(C4163,Products!$A$2:$A$49,0))*(1+INDEX(Assumptions!$B$16:$B$20,MATCH(B4163,Assumptions!$A$16:$A$20,0)))</f>
        <v>34459.648</v>
      </c>
      <c r="J4163" s="33" t="n">
        <f aca="false">H4163-I4163</f>
        <v>7840.352</v>
      </c>
      <c r="K4163" s="33" t="n">
        <f aca="false">IF(OR(E4163=0,E4163&gt;=7),0,D4163/(7-E4163)*E4163*INDEX(Products!$E$2:$E$49,MATCH(C4163,Products!$A$2:$A$49,0)))</f>
        <v>0</v>
      </c>
    </row>
    <row r="4164" customFormat="false" ht="15" hidden="false" customHeight="false" outlineLevel="0" collapsed="false">
      <c r="A4164" s="36" t="n">
        <v>46202</v>
      </c>
      <c r="B4164" s="24" t="s">
        <v>64</v>
      </c>
      <c r="C4164" s="24" t="s">
        <v>159</v>
      </c>
      <c r="D4164" s="33" t="n">
        <v>87</v>
      </c>
      <c r="E4164" s="24" t="n">
        <v>0</v>
      </c>
      <c r="F4164" s="37" t="n">
        <f aca="false">DATE(YEAR(A4164),MONTH(A4164),1)</f>
        <v>46174</v>
      </c>
      <c r="G4164" s="24" t="str">
        <f aca="false">INDEX(Products!$C$2:$C$49,MATCH(C4164,Products!$A$2:$A$49,0))</f>
        <v>Beverages</v>
      </c>
      <c r="H4164" s="33" t="n">
        <f aca="false">D4164*INDEX(Products!$E$2:$E$49,MATCH(C4164,Products!$A$2:$A$49,0))</f>
        <v>39150</v>
      </c>
      <c r="I4164" s="33" t="n">
        <f aca="false">D4164*INDEX(Products!$D$2:$D$49,MATCH(C4164,Products!$A$2:$A$49,0))*(1+INDEX(Assumptions!$B$16:$B$20,MATCH(B4164,Assumptions!$A$16:$A$20,0)))</f>
        <v>31893.504</v>
      </c>
      <c r="J4164" s="33" t="n">
        <f aca="false">H4164-I4164</f>
        <v>7256.496</v>
      </c>
      <c r="K4164" s="33" t="n">
        <f aca="false">IF(OR(E4164=0,E4164&gt;=7),0,D4164/(7-E4164)*E4164*INDEX(Products!$E$2:$E$49,MATCH(C4164,Products!$A$2:$A$49,0)))</f>
        <v>0</v>
      </c>
    </row>
    <row r="4165" customFormat="false" ht="15" hidden="false" customHeight="false" outlineLevel="0" collapsed="false">
      <c r="A4165" s="36" t="n">
        <v>46209</v>
      </c>
      <c r="B4165" s="24" t="s">
        <v>64</v>
      </c>
      <c r="C4165" s="24" t="s">
        <v>159</v>
      </c>
      <c r="D4165" s="33" t="n">
        <v>77</v>
      </c>
      <c r="E4165" s="24" t="n">
        <v>0</v>
      </c>
      <c r="F4165" s="37" t="n">
        <f aca="false">DATE(YEAR(A4165),MONTH(A4165),1)</f>
        <v>46204</v>
      </c>
      <c r="G4165" s="24" t="str">
        <f aca="false">INDEX(Products!$C$2:$C$49,MATCH(C4165,Products!$A$2:$A$49,0))</f>
        <v>Beverages</v>
      </c>
      <c r="H4165" s="33" t="n">
        <f aca="false">D4165*INDEX(Products!$E$2:$E$49,MATCH(C4165,Products!$A$2:$A$49,0))</f>
        <v>34650</v>
      </c>
      <c r="I4165" s="33" t="n">
        <f aca="false">D4165*INDEX(Products!$D$2:$D$49,MATCH(C4165,Products!$A$2:$A$49,0))*(1+INDEX(Assumptions!$B$16:$B$20,MATCH(B4165,Assumptions!$A$16:$A$20,0)))</f>
        <v>28227.584</v>
      </c>
      <c r="J4165" s="33" t="n">
        <f aca="false">H4165-I4165</f>
        <v>6422.416</v>
      </c>
      <c r="K4165" s="33" t="n">
        <f aca="false">IF(OR(E4165=0,E4165&gt;=7),0,D4165/(7-E4165)*E4165*INDEX(Products!$E$2:$E$49,MATCH(C4165,Products!$A$2:$A$49,0)))</f>
        <v>0</v>
      </c>
    </row>
    <row r="4166" customFormat="false" ht="15" hidden="false" customHeight="false" outlineLevel="0" collapsed="false">
      <c r="A4166" s="36" t="n">
        <v>46216</v>
      </c>
      <c r="B4166" s="24" t="s">
        <v>64</v>
      </c>
      <c r="C4166" s="24" t="s">
        <v>159</v>
      </c>
      <c r="D4166" s="33" t="n">
        <v>81</v>
      </c>
      <c r="E4166" s="24" t="n">
        <v>0</v>
      </c>
      <c r="F4166" s="37" t="n">
        <f aca="false">DATE(YEAR(A4166),MONTH(A4166),1)</f>
        <v>46204</v>
      </c>
      <c r="G4166" s="24" t="str">
        <f aca="false">INDEX(Products!$C$2:$C$49,MATCH(C4166,Products!$A$2:$A$49,0))</f>
        <v>Beverages</v>
      </c>
      <c r="H4166" s="33" t="n">
        <f aca="false">D4166*INDEX(Products!$E$2:$E$49,MATCH(C4166,Products!$A$2:$A$49,0))</f>
        <v>36450</v>
      </c>
      <c r="I4166" s="33" t="n">
        <f aca="false">D4166*INDEX(Products!$D$2:$D$49,MATCH(C4166,Products!$A$2:$A$49,0))*(1+INDEX(Assumptions!$B$16:$B$20,MATCH(B4166,Assumptions!$A$16:$A$20,0)))</f>
        <v>29693.952</v>
      </c>
      <c r="J4166" s="33" t="n">
        <f aca="false">H4166-I4166</f>
        <v>6756.048</v>
      </c>
      <c r="K4166" s="33" t="n">
        <f aca="false">IF(OR(E4166=0,E4166&gt;=7),0,D4166/(7-E4166)*E4166*INDEX(Products!$E$2:$E$49,MATCH(C4166,Products!$A$2:$A$49,0)))</f>
        <v>0</v>
      </c>
    </row>
    <row r="4167" customFormat="false" ht="15" hidden="false" customHeight="false" outlineLevel="0" collapsed="false">
      <c r="A4167" s="36" t="n">
        <v>46223</v>
      </c>
      <c r="B4167" s="24" t="s">
        <v>64</v>
      </c>
      <c r="C4167" s="24" t="s">
        <v>159</v>
      </c>
      <c r="D4167" s="33" t="n">
        <v>89</v>
      </c>
      <c r="E4167" s="24" t="n">
        <v>0</v>
      </c>
      <c r="F4167" s="37" t="n">
        <f aca="false">DATE(YEAR(A4167),MONTH(A4167),1)</f>
        <v>46204</v>
      </c>
      <c r="G4167" s="24" t="str">
        <f aca="false">INDEX(Products!$C$2:$C$49,MATCH(C4167,Products!$A$2:$A$49,0))</f>
        <v>Beverages</v>
      </c>
      <c r="H4167" s="33" t="n">
        <f aca="false">D4167*INDEX(Products!$E$2:$E$49,MATCH(C4167,Products!$A$2:$A$49,0))</f>
        <v>40050</v>
      </c>
      <c r="I4167" s="33" t="n">
        <f aca="false">D4167*INDEX(Products!$D$2:$D$49,MATCH(C4167,Products!$A$2:$A$49,0))*(1+INDEX(Assumptions!$B$16:$B$20,MATCH(B4167,Assumptions!$A$16:$A$20,0)))</f>
        <v>32626.688</v>
      </c>
      <c r="J4167" s="33" t="n">
        <f aca="false">H4167-I4167</f>
        <v>7423.312</v>
      </c>
      <c r="K4167" s="33" t="n">
        <f aca="false">IF(OR(E4167=0,E4167&gt;=7),0,D4167/(7-E4167)*E4167*INDEX(Products!$E$2:$E$49,MATCH(C4167,Products!$A$2:$A$49,0)))</f>
        <v>0</v>
      </c>
    </row>
    <row r="4168" customFormat="false" ht="15" hidden="false" customHeight="false" outlineLevel="0" collapsed="false">
      <c r="A4168" s="36" t="n">
        <v>46230</v>
      </c>
      <c r="B4168" s="24" t="s">
        <v>64</v>
      </c>
      <c r="C4168" s="24" t="s">
        <v>159</v>
      </c>
      <c r="D4168" s="33" t="n">
        <v>87</v>
      </c>
      <c r="E4168" s="24" t="n">
        <v>0</v>
      </c>
      <c r="F4168" s="37" t="n">
        <f aca="false">DATE(YEAR(A4168),MONTH(A4168),1)</f>
        <v>46204</v>
      </c>
      <c r="G4168" s="24" t="str">
        <f aca="false">INDEX(Products!$C$2:$C$49,MATCH(C4168,Products!$A$2:$A$49,0))</f>
        <v>Beverages</v>
      </c>
      <c r="H4168" s="33" t="n">
        <f aca="false">D4168*INDEX(Products!$E$2:$E$49,MATCH(C4168,Products!$A$2:$A$49,0))</f>
        <v>39150</v>
      </c>
      <c r="I4168" s="33" t="n">
        <f aca="false">D4168*INDEX(Products!$D$2:$D$49,MATCH(C4168,Products!$A$2:$A$49,0))*(1+INDEX(Assumptions!$B$16:$B$20,MATCH(B4168,Assumptions!$A$16:$A$20,0)))</f>
        <v>31893.504</v>
      </c>
      <c r="J4168" s="33" t="n">
        <f aca="false">H4168-I4168</f>
        <v>7256.496</v>
      </c>
      <c r="K4168" s="33" t="n">
        <f aca="false">IF(OR(E4168=0,E4168&gt;=7),0,D4168/(7-E4168)*E4168*INDEX(Products!$E$2:$E$49,MATCH(C4168,Products!$A$2:$A$49,0)))</f>
        <v>0</v>
      </c>
    </row>
    <row r="4169" customFormat="false" ht="15" hidden="false" customHeight="false" outlineLevel="0" collapsed="false">
      <c r="A4169" s="36" t="n">
        <v>46237</v>
      </c>
      <c r="B4169" s="24" t="s">
        <v>64</v>
      </c>
      <c r="C4169" s="24" t="s">
        <v>159</v>
      </c>
      <c r="D4169" s="33" t="n">
        <v>66</v>
      </c>
      <c r="E4169" s="24" t="n">
        <v>0</v>
      </c>
      <c r="F4169" s="37" t="n">
        <f aca="false">DATE(YEAR(A4169),MONTH(A4169),1)</f>
        <v>46235</v>
      </c>
      <c r="G4169" s="24" t="str">
        <f aca="false">INDEX(Products!$C$2:$C$49,MATCH(C4169,Products!$A$2:$A$49,0))</f>
        <v>Beverages</v>
      </c>
      <c r="H4169" s="33" t="n">
        <f aca="false">D4169*INDEX(Products!$E$2:$E$49,MATCH(C4169,Products!$A$2:$A$49,0))</f>
        <v>29700</v>
      </c>
      <c r="I4169" s="33" t="n">
        <f aca="false">D4169*INDEX(Products!$D$2:$D$49,MATCH(C4169,Products!$A$2:$A$49,0))*(1+INDEX(Assumptions!$B$16:$B$20,MATCH(B4169,Assumptions!$A$16:$A$20,0)))</f>
        <v>24195.072</v>
      </c>
      <c r="J4169" s="33" t="n">
        <f aca="false">H4169-I4169</f>
        <v>5504.928</v>
      </c>
      <c r="K4169" s="33" t="n">
        <f aca="false">IF(OR(E4169=0,E4169&gt;=7),0,D4169/(7-E4169)*E4169*INDEX(Products!$E$2:$E$49,MATCH(C4169,Products!$A$2:$A$49,0)))</f>
        <v>0</v>
      </c>
    </row>
    <row r="4170" customFormat="false" ht="15" hidden="false" customHeight="false" outlineLevel="0" collapsed="false">
      <c r="A4170" s="36" t="n">
        <v>46244</v>
      </c>
      <c r="B4170" s="24" t="s">
        <v>64</v>
      </c>
      <c r="C4170" s="24" t="s">
        <v>159</v>
      </c>
      <c r="D4170" s="33" t="n">
        <v>69</v>
      </c>
      <c r="E4170" s="24" t="n">
        <v>0</v>
      </c>
      <c r="F4170" s="37" t="n">
        <f aca="false">DATE(YEAR(A4170),MONTH(A4170),1)</f>
        <v>46235</v>
      </c>
      <c r="G4170" s="24" t="str">
        <f aca="false">INDEX(Products!$C$2:$C$49,MATCH(C4170,Products!$A$2:$A$49,0))</f>
        <v>Beverages</v>
      </c>
      <c r="H4170" s="33" t="n">
        <f aca="false">D4170*INDEX(Products!$E$2:$E$49,MATCH(C4170,Products!$A$2:$A$49,0))</f>
        <v>31050</v>
      </c>
      <c r="I4170" s="33" t="n">
        <f aca="false">D4170*INDEX(Products!$D$2:$D$49,MATCH(C4170,Products!$A$2:$A$49,0))*(1+INDEX(Assumptions!$B$16:$B$20,MATCH(B4170,Assumptions!$A$16:$A$20,0)))</f>
        <v>25294.848</v>
      </c>
      <c r="J4170" s="33" t="n">
        <f aca="false">H4170-I4170</f>
        <v>5755.152</v>
      </c>
      <c r="K4170" s="33" t="n">
        <f aca="false">IF(OR(E4170=0,E4170&gt;=7),0,D4170/(7-E4170)*E4170*INDEX(Products!$E$2:$E$49,MATCH(C4170,Products!$A$2:$A$49,0)))</f>
        <v>0</v>
      </c>
    </row>
    <row r="4171" customFormat="false" ht="15" hidden="false" customHeight="false" outlineLevel="0" collapsed="false">
      <c r="A4171" s="36" t="n">
        <v>46251</v>
      </c>
      <c r="B4171" s="24" t="s">
        <v>64</v>
      </c>
      <c r="C4171" s="24" t="s">
        <v>159</v>
      </c>
      <c r="D4171" s="33" t="n">
        <v>65</v>
      </c>
      <c r="E4171" s="24" t="n">
        <v>0</v>
      </c>
      <c r="F4171" s="37" t="n">
        <f aca="false">DATE(YEAR(A4171),MONTH(A4171),1)</f>
        <v>46235</v>
      </c>
      <c r="G4171" s="24" t="str">
        <f aca="false">INDEX(Products!$C$2:$C$49,MATCH(C4171,Products!$A$2:$A$49,0))</f>
        <v>Beverages</v>
      </c>
      <c r="H4171" s="33" t="n">
        <f aca="false">D4171*INDEX(Products!$E$2:$E$49,MATCH(C4171,Products!$A$2:$A$49,0))</f>
        <v>29250</v>
      </c>
      <c r="I4171" s="33" t="n">
        <f aca="false">D4171*INDEX(Products!$D$2:$D$49,MATCH(C4171,Products!$A$2:$A$49,0))*(1+INDEX(Assumptions!$B$16:$B$20,MATCH(B4171,Assumptions!$A$16:$A$20,0)))</f>
        <v>23828.48</v>
      </c>
      <c r="J4171" s="33" t="n">
        <f aca="false">H4171-I4171</f>
        <v>5421.52</v>
      </c>
      <c r="K4171" s="33" t="n">
        <f aca="false">IF(OR(E4171=0,E4171&gt;=7),0,D4171/(7-E4171)*E4171*INDEX(Products!$E$2:$E$49,MATCH(C4171,Products!$A$2:$A$49,0)))</f>
        <v>0</v>
      </c>
    </row>
    <row r="4172" customFormat="false" ht="15" hidden="false" customHeight="false" outlineLevel="0" collapsed="false">
      <c r="A4172" s="36" t="n">
        <v>46258</v>
      </c>
      <c r="B4172" s="24" t="s">
        <v>64</v>
      </c>
      <c r="C4172" s="24" t="s">
        <v>159</v>
      </c>
      <c r="D4172" s="33" t="n">
        <v>83</v>
      </c>
      <c r="E4172" s="24" t="n">
        <v>0</v>
      </c>
      <c r="F4172" s="37" t="n">
        <f aca="false">DATE(YEAR(A4172),MONTH(A4172),1)</f>
        <v>46235</v>
      </c>
      <c r="G4172" s="24" t="str">
        <f aca="false">INDEX(Products!$C$2:$C$49,MATCH(C4172,Products!$A$2:$A$49,0))</f>
        <v>Beverages</v>
      </c>
      <c r="H4172" s="33" t="n">
        <f aca="false">D4172*INDEX(Products!$E$2:$E$49,MATCH(C4172,Products!$A$2:$A$49,0))</f>
        <v>37350</v>
      </c>
      <c r="I4172" s="33" t="n">
        <f aca="false">D4172*INDEX(Products!$D$2:$D$49,MATCH(C4172,Products!$A$2:$A$49,0))*(1+INDEX(Assumptions!$B$16:$B$20,MATCH(B4172,Assumptions!$A$16:$A$20,0)))</f>
        <v>30427.136</v>
      </c>
      <c r="J4172" s="33" t="n">
        <f aca="false">H4172-I4172</f>
        <v>6922.864</v>
      </c>
      <c r="K4172" s="33" t="n">
        <f aca="false">IF(OR(E4172=0,E4172&gt;=7),0,D4172/(7-E4172)*E4172*INDEX(Products!$E$2:$E$49,MATCH(C4172,Products!$A$2:$A$49,0)))</f>
        <v>0</v>
      </c>
    </row>
    <row r="4173" customFormat="false" ht="15" hidden="false" customHeight="false" outlineLevel="0" collapsed="false">
      <c r="A4173" s="36" t="n">
        <v>46265</v>
      </c>
      <c r="B4173" s="24" t="s">
        <v>64</v>
      </c>
      <c r="C4173" s="24" t="s">
        <v>159</v>
      </c>
      <c r="D4173" s="33" t="n">
        <v>71</v>
      </c>
      <c r="E4173" s="24" t="n">
        <v>0</v>
      </c>
      <c r="F4173" s="37" t="n">
        <f aca="false">DATE(YEAR(A4173),MONTH(A4173),1)</f>
        <v>46235</v>
      </c>
      <c r="G4173" s="24" t="str">
        <f aca="false">INDEX(Products!$C$2:$C$49,MATCH(C4173,Products!$A$2:$A$49,0))</f>
        <v>Beverages</v>
      </c>
      <c r="H4173" s="33" t="n">
        <f aca="false">D4173*INDEX(Products!$E$2:$E$49,MATCH(C4173,Products!$A$2:$A$49,0))</f>
        <v>31950</v>
      </c>
      <c r="I4173" s="33" t="n">
        <f aca="false">D4173*INDEX(Products!$D$2:$D$49,MATCH(C4173,Products!$A$2:$A$49,0))*(1+INDEX(Assumptions!$B$16:$B$20,MATCH(B4173,Assumptions!$A$16:$A$20,0)))</f>
        <v>26028.032</v>
      </c>
      <c r="J4173" s="33" t="n">
        <f aca="false">H4173-I4173</f>
        <v>5921.968</v>
      </c>
      <c r="K4173" s="33" t="n">
        <f aca="false">IF(OR(E4173=0,E4173&gt;=7),0,D4173/(7-E4173)*E4173*INDEX(Products!$E$2:$E$49,MATCH(C4173,Products!$A$2:$A$49,0)))</f>
        <v>0</v>
      </c>
    </row>
    <row r="4174" customFormat="false" ht="15" hidden="false" customHeight="false" outlineLevel="0" collapsed="false">
      <c r="A4174" s="36" t="n">
        <v>46272</v>
      </c>
      <c r="B4174" s="24" t="s">
        <v>64</v>
      </c>
      <c r="C4174" s="24" t="s">
        <v>159</v>
      </c>
      <c r="D4174" s="33" t="n">
        <v>72</v>
      </c>
      <c r="E4174" s="24" t="n">
        <v>0</v>
      </c>
      <c r="F4174" s="37" t="n">
        <f aca="false">DATE(YEAR(A4174),MONTH(A4174),1)</f>
        <v>46266</v>
      </c>
      <c r="G4174" s="24" t="str">
        <f aca="false">INDEX(Products!$C$2:$C$49,MATCH(C4174,Products!$A$2:$A$49,0))</f>
        <v>Beverages</v>
      </c>
      <c r="H4174" s="33" t="n">
        <f aca="false">D4174*INDEX(Products!$E$2:$E$49,MATCH(C4174,Products!$A$2:$A$49,0))</f>
        <v>32400</v>
      </c>
      <c r="I4174" s="33" t="n">
        <f aca="false">D4174*INDEX(Products!$D$2:$D$49,MATCH(C4174,Products!$A$2:$A$49,0))*(1+INDEX(Assumptions!$B$16:$B$20,MATCH(B4174,Assumptions!$A$16:$A$20,0)))</f>
        <v>26394.624</v>
      </c>
      <c r="J4174" s="33" t="n">
        <f aca="false">H4174-I4174</f>
        <v>6005.376</v>
      </c>
      <c r="K4174" s="33" t="n">
        <f aca="false">IF(OR(E4174=0,E4174&gt;=7),0,D4174/(7-E4174)*E4174*INDEX(Products!$E$2:$E$49,MATCH(C4174,Products!$A$2:$A$49,0)))</f>
        <v>0</v>
      </c>
    </row>
    <row r="4175" customFormat="false" ht="15" hidden="false" customHeight="false" outlineLevel="0" collapsed="false">
      <c r="A4175" s="36" t="n">
        <v>46279</v>
      </c>
      <c r="B4175" s="24" t="s">
        <v>64</v>
      </c>
      <c r="C4175" s="24" t="s">
        <v>159</v>
      </c>
      <c r="D4175" s="33" t="n">
        <v>77</v>
      </c>
      <c r="E4175" s="24" t="n">
        <v>0</v>
      </c>
      <c r="F4175" s="37" t="n">
        <f aca="false">DATE(YEAR(A4175),MONTH(A4175),1)</f>
        <v>46266</v>
      </c>
      <c r="G4175" s="24" t="str">
        <f aca="false">INDEX(Products!$C$2:$C$49,MATCH(C4175,Products!$A$2:$A$49,0))</f>
        <v>Beverages</v>
      </c>
      <c r="H4175" s="33" t="n">
        <f aca="false">D4175*INDEX(Products!$E$2:$E$49,MATCH(C4175,Products!$A$2:$A$49,0))</f>
        <v>34650</v>
      </c>
      <c r="I4175" s="33" t="n">
        <f aca="false">D4175*INDEX(Products!$D$2:$D$49,MATCH(C4175,Products!$A$2:$A$49,0))*(1+INDEX(Assumptions!$B$16:$B$20,MATCH(B4175,Assumptions!$A$16:$A$20,0)))</f>
        <v>28227.584</v>
      </c>
      <c r="J4175" s="33" t="n">
        <f aca="false">H4175-I4175</f>
        <v>6422.416</v>
      </c>
      <c r="K4175" s="33" t="n">
        <f aca="false">IF(OR(E4175=0,E4175&gt;=7),0,D4175/(7-E4175)*E4175*INDEX(Products!$E$2:$E$49,MATCH(C4175,Products!$A$2:$A$49,0)))</f>
        <v>0</v>
      </c>
    </row>
    <row r="4176" customFormat="false" ht="15" hidden="false" customHeight="false" outlineLevel="0" collapsed="false">
      <c r="A4176" s="36" t="n">
        <v>46286</v>
      </c>
      <c r="B4176" s="24" t="s">
        <v>64</v>
      </c>
      <c r="C4176" s="24" t="s">
        <v>159</v>
      </c>
      <c r="D4176" s="33" t="n">
        <v>76</v>
      </c>
      <c r="E4176" s="24" t="n">
        <v>0</v>
      </c>
      <c r="F4176" s="37" t="n">
        <f aca="false">DATE(YEAR(A4176),MONTH(A4176),1)</f>
        <v>46266</v>
      </c>
      <c r="G4176" s="24" t="str">
        <f aca="false">INDEX(Products!$C$2:$C$49,MATCH(C4176,Products!$A$2:$A$49,0))</f>
        <v>Beverages</v>
      </c>
      <c r="H4176" s="33" t="n">
        <f aca="false">D4176*INDEX(Products!$E$2:$E$49,MATCH(C4176,Products!$A$2:$A$49,0))</f>
        <v>34200</v>
      </c>
      <c r="I4176" s="33" t="n">
        <f aca="false">D4176*INDEX(Products!$D$2:$D$49,MATCH(C4176,Products!$A$2:$A$49,0))*(1+INDEX(Assumptions!$B$16:$B$20,MATCH(B4176,Assumptions!$A$16:$A$20,0)))</f>
        <v>27860.992</v>
      </c>
      <c r="J4176" s="33" t="n">
        <f aca="false">H4176-I4176</f>
        <v>6339.008</v>
      </c>
      <c r="K4176" s="33" t="n">
        <f aca="false">IF(OR(E4176=0,E4176&gt;=7),0,D4176/(7-E4176)*E4176*INDEX(Products!$E$2:$E$49,MATCH(C4176,Products!$A$2:$A$49,0)))</f>
        <v>0</v>
      </c>
    </row>
    <row r="4177" customFormat="false" ht="15" hidden="false" customHeight="false" outlineLevel="0" collapsed="false">
      <c r="A4177" s="36" t="n">
        <v>46118</v>
      </c>
      <c r="B4177" s="24" t="s">
        <v>64</v>
      </c>
      <c r="C4177" s="24" t="s">
        <v>161</v>
      </c>
      <c r="D4177" s="33" t="n">
        <v>62</v>
      </c>
      <c r="E4177" s="24" t="n">
        <v>0</v>
      </c>
      <c r="F4177" s="37" t="n">
        <f aca="false">DATE(YEAR(A4177),MONTH(A4177),1)</f>
        <v>46113</v>
      </c>
      <c r="G4177" s="24" t="str">
        <f aca="false">INDEX(Products!$C$2:$C$49,MATCH(C4177,Products!$A$2:$A$49,0))</f>
        <v>Beverages</v>
      </c>
      <c r="H4177" s="33" t="n">
        <f aca="false">D4177*INDEX(Products!$E$2:$E$49,MATCH(C4177,Products!$A$2:$A$49,0))</f>
        <v>23560</v>
      </c>
      <c r="I4177" s="33" t="n">
        <f aca="false">D4177*INDEX(Products!$D$2:$D$49,MATCH(C4177,Products!$A$2:$A$49,0))*(1+INDEX(Assumptions!$B$16:$B$20,MATCH(B4177,Assumptions!$A$16:$A$20,0)))</f>
        <v>19236.864</v>
      </c>
      <c r="J4177" s="33" t="n">
        <f aca="false">H4177-I4177</f>
        <v>4323.136</v>
      </c>
      <c r="K4177" s="33" t="n">
        <f aca="false">IF(OR(E4177=0,E4177&gt;=7),0,D4177/(7-E4177)*E4177*INDEX(Products!$E$2:$E$49,MATCH(C4177,Products!$A$2:$A$49,0)))</f>
        <v>0</v>
      </c>
    </row>
    <row r="4178" customFormat="false" ht="15" hidden="false" customHeight="false" outlineLevel="0" collapsed="false">
      <c r="A4178" s="36" t="n">
        <v>46125</v>
      </c>
      <c r="B4178" s="24" t="s">
        <v>64</v>
      </c>
      <c r="C4178" s="24" t="s">
        <v>161</v>
      </c>
      <c r="D4178" s="33" t="n">
        <v>67</v>
      </c>
      <c r="E4178" s="24" t="n">
        <v>0</v>
      </c>
      <c r="F4178" s="37" t="n">
        <f aca="false">DATE(YEAR(A4178),MONTH(A4178),1)</f>
        <v>46113</v>
      </c>
      <c r="G4178" s="24" t="str">
        <f aca="false">INDEX(Products!$C$2:$C$49,MATCH(C4178,Products!$A$2:$A$49,0))</f>
        <v>Beverages</v>
      </c>
      <c r="H4178" s="33" t="n">
        <f aca="false">D4178*INDEX(Products!$E$2:$E$49,MATCH(C4178,Products!$A$2:$A$49,0))</f>
        <v>25460</v>
      </c>
      <c r="I4178" s="33" t="n">
        <f aca="false">D4178*INDEX(Products!$D$2:$D$49,MATCH(C4178,Products!$A$2:$A$49,0))*(1+INDEX(Assumptions!$B$16:$B$20,MATCH(B4178,Assumptions!$A$16:$A$20,0)))</f>
        <v>20788.224</v>
      </c>
      <c r="J4178" s="33" t="n">
        <f aca="false">H4178-I4178</f>
        <v>4671.776</v>
      </c>
      <c r="K4178" s="33" t="n">
        <f aca="false">IF(OR(E4178=0,E4178&gt;=7),0,D4178/(7-E4178)*E4178*INDEX(Products!$E$2:$E$49,MATCH(C4178,Products!$A$2:$A$49,0)))</f>
        <v>0</v>
      </c>
    </row>
    <row r="4179" customFormat="false" ht="15" hidden="false" customHeight="false" outlineLevel="0" collapsed="false">
      <c r="A4179" s="36" t="n">
        <v>46132</v>
      </c>
      <c r="B4179" s="24" t="s">
        <v>64</v>
      </c>
      <c r="C4179" s="24" t="s">
        <v>161</v>
      </c>
      <c r="D4179" s="33" t="n">
        <v>19</v>
      </c>
      <c r="E4179" s="24" t="n">
        <v>5</v>
      </c>
      <c r="F4179" s="37" t="n">
        <f aca="false">DATE(YEAR(A4179),MONTH(A4179),1)</f>
        <v>46113</v>
      </c>
      <c r="G4179" s="24" t="str">
        <f aca="false">INDEX(Products!$C$2:$C$49,MATCH(C4179,Products!$A$2:$A$49,0))</f>
        <v>Beverages</v>
      </c>
      <c r="H4179" s="33" t="n">
        <f aca="false">D4179*INDEX(Products!$E$2:$E$49,MATCH(C4179,Products!$A$2:$A$49,0))</f>
        <v>7220</v>
      </c>
      <c r="I4179" s="33" t="n">
        <f aca="false">D4179*INDEX(Products!$D$2:$D$49,MATCH(C4179,Products!$A$2:$A$49,0))*(1+INDEX(Assumptions!$B$16:$B$20,MATCH(B4179,Assumptions!$A$16:$A$20,0)))</f>
        <v>5895.168</v>
      </c>
      <c r="J4179" s="33" t="n">
        <f aca="false">H4179-I4179</f>
        <v>1324.832</v>
      </c>
      <c r="K4179" s="33" t="n">
        <f aca="false">IF(OR(E4179=0,E4179&gt;=7),0,D4179/(7-E4179)*E4179*INDEX(Products!$E$2:$E$49,MATCH(C4179,Products!$A$2:$A$49,0)))</f>
        <v>18050</v>
      </c>
    </row>
    <row r="4180" customFormat="false" ht="15" hidden="false" customHeight="false" outlineLevel="0" collapsed="false">
      <c r="A4180" s="36" t="n">
        <v>46139</v>
      </c>
      <c r="B4180" s="24" t="s">
        <v>64</v>
      </c>
      <c r="C4180" s="24" t="s">
        <v>161</v>
      </c>
      <c r="D4180" s="33" t="n">
        <v>66</v>
      </c>
      <c r="E4180" s="24" t="n">
        <v>0</v>
      </c>
      <c r="F4180" s="37" t="n">
        <f aca="false">DATE(YEAR(A4180),MONTH(A4180),1)</f>
        <v>46113</v>
      </c>
      <c r="G4180" s="24" t="str">
        <f aca="false">INDEX(Products!$C$2:$C$49,MATCH(C4180,Products!$A$2:$A$49,0))</f>
        <v>Beverages</v>
      </c>
      <c r="H4180" s="33" t="n">
        <f aca="false">D4180*INDEX(Products!$E$2:$E$49,MATCH(C4180,Products!$A$2:$A$49,0))</f>
        <v>25080</v>
      </c>
      <c r="I4180" s="33" t="n">
        <f aca="false">D4180*INDEX(Products!$D$2:$D$49,MATCH(C4180,Products!$A$2:$A$49,0))*(1+INDEX(Assumptions!$B$16:$B$20,MATCH(B4180,Assumptions!$A$16:$A$20,0)))</f>
        <v>20477.952</v>
      </c>
      <c r="J4180" s="33" t="n">
        <f aca="false">H4180-I4180</f>
        <v>4602.048</v>
      </c>
      <c r="K4180" s="33" t="n">
        <f aca="false">IF(OR(E4180=0,E4180&gt;=7),0,D4180/(7-E4180)*E4180*INDEX(Products!$E$2:$E$49,MATCH(C4180,Products!$A$2:$A$49,0)))</f>
        <v>0</v>
      </c>
    </row>
    <row r="4181" customFormat="false" ht="15" hidden="false" customHeight="false" outlineLevel="0" collapsed="false">
      <c r="A4181" s="36" t="n">
        <v>46146</v>
      </c>
      <c r="B4181" s="24" t="s">
        <v>64</v>
      </c>
      <c r="C4181" s="24" t="s">
        <v>161</v>
      </c>
      <c r="D4181" s="33" t="n">
        <v>88</v>
      </c>
      <c r="E4181" s="24" t="n">
        <v>1</v>
      </c>
      <c r="F4181" s="37" t="n">
        <f aca="false">DATE(YEAR(A4181),MONTH(A4181),1)</f>
        <v>46143</v>
      </c>
      <c r="G4181" s="24" t="str">
        <f aca="false">INDEX(Products!$C$2:$C$49,MATCH(C4181,Products!$A$2:$A$49,0))</f>
        <v>Beverages</v>
      </c>
      <c r="H4181" s="33" t="n">
        <f aca="false">D4181*INDEX(Products!$E$2:$E$49,MATCH(C4181,Products!$A$2:$A$49,0))</f>
        <v>33440</v>
      </c>
      <c r="I4181" s="33" t="n">
        <f aca="false">D4181*INDEX(Products!$D$2:$D$49,MATCH(C4181,Products!$A$2:$A$49,0))*(1+INDEX(Assumptions!$B$16:$B$20,MATCH(B4181,Assumptions!$A$16:$A$20,0)))</f>
        <v>27303.936</v>
      </c>
      <c r="J4181" s="33" t="n">
        <f aca="false">H4181-I4181</f>
        <v>6136.064</v>
      </c>
      <c r="K4181" s="33" t="n">
        <f aca="false">IF(OR(E4181=0,E4181&gt;=7),0,D4181/(7-E4181)*E4181*INDEX(Products!$E$2:$E$49,MATCH(C4181,Products!$A$2:$A$49,0)))</f>
        <v>5573.33333333333</v>
      </c>
    </row>
    <row r="4182" customFormat="false" ht="15" hidden="false" customHeight="false" outlineLevel="0" collapsed="false">
      <c r="A4182" s="36" t="n">
        <v>46153</v>
      </c>
      <c r="B4182" s="24" t="s">
        <v>64</v>
      </c>
      <c r="C4182" s="24" t="s">
        <v>161</v>
      </c>
      <c r="D4182" s="33" t="n">
        <v>63</v>
      </c>
      <c r="E4182" s="24" t="n">
        <v>0</v>
      </c>
      <c r="F4182" s="37" t="n">
        <f aca="false">DATE(YEAR(A4182),MONTH(A4182),1)</f>
        <v>46143</v>
      </c>
      <c r="G4182" s="24" t="str">
        <f aca="false">INDEX(Products!$C$2:$C$49,MATCH(C4182,Products!$A$2:$A$49,0))</f>
        <v>Beverages</v>
      </c>
      <c r="H4182" s="33" t="n">
        <f aca="false">D4182*INDEX(Products!$E$2:$E$49,MATCH(C4182,Products!$A$2:$A$49,0))</f>
        <v>23940</v>
      </c>
      <c r="I4182" s="33" t="n">
        <f aca="false">D4182*INDEX(Products!$D$2:$D$49,MATCH(C4182,Products!$A$2:$A$49,0))*(1+INDEX(Assumptions!$B$16:$B$20,MATCH(B4182,Assumptions!$A$16:$A$20,0)))</f>
        <v>19547.136</v>
      </c>
      <c r="J4182" s="33" t="n">
        <f aca="false">H4182-I4182</f>
        <v>4392.864</v>
      </c>
      <c r="K4182" s="33" t="n">
        <f aca="false">IF(OR(E4182=0,E4182&gt;=7),0,D4182/(7-E4182)*E4182*INDEX(Products!$E$2:$E$49,MATCH(C4182,Products!$A$2:$A$49,0)))</f>
        <v>0</v>
      </c>
    </row>
    <row r="4183" customFormat="false" ht="15" hidden="false" customHeight="false" outlineLevel="0" collapsed="false">
      <c r="A4183" s="36" t="n">
        <v>46160</v>
      </c>
      <c r="B4183" s="24" t="s">
        <v>64</v>
      </c>
      <c r="C4183" s="24" t="s">
        <v>161</v>
      </c>
      <c r="D4183" s="33" t="n">
        <v>60</v>
      </c>
      <c r="E4183" s="24" t="n">
        <v>0</v>
      </c>
      <c r="F4183" s="37" t="n">
        <f aca="false">DATE(YEAR(A4183),MONTH(A4183),1)</f>
        <v>46143</v>
      </c>
      <c r="G4183" s="24" t="str">
        <f aca="false">INDEX(Products!$C$2:$C$49,MATCH(C4183,Products!$A$2:$A$49,0))</f>
        <v>Beverages</v>
      </c>
      <c r="H4183" s="33" t="n">
        <f aca="false">D4183*INDEX(Products!$E$2:$E$49,MATCH(C4183,Products!$A$2:$A$49,0))</f>
        <v>22800</v>
      </c>
      <c r="I4183" s="33" t="n">
        <f aca="false">D4183*INDEX(Products!$D$2:$D$49,MATCH(C4183,Products!$A$2:$A$49,0))*(1+INDEX(Assumptions!$B$16:$B$20,MATCH(B4183,Assumptions!$A$16:$A$20,0)))</f>
        <v>18616.32</v>
      </c>
      <c r="J4183" s="33" t="n">
        <f aca="false">H4183-I4183</f>
        <v>4183.68</v>
      </c>
      <c r="K4183" s="33" t="n">
        <f aca="false">IF(OR(E4183=0,E4183&gt;=7),0,D4183/(7-E4183)*E4183*INDEX(Products!$E$2:$E$49,MATCH(C4183,Products!$A$2:$A$49,0)))</f>
        <v>0</v>
      </c>
    </row>
    <row r="4184" customFormat="false" ht="15" hidden="false" customHeight="false" outlineLevel="0" collapsed="false">
      <c r="A4184" s="36" t="n">
        <v>46167</v>
      </c>
      <c r="B4184" s="24" t="s">
        <v>64</v>
      </c>
      <c r="C4184" s="24" t="s">
        <v>161</v>
      </c>
      <c r="D4184" s="33" t="n">
        <v>69</v>
      </c>
      <c r="E4184" s="24" t="n">
        <v>0</v>
      </c>
      <c r="F4184" s="37" t="n">
        <f aca="false">DATE(YEAR(A4184),MONTH(A4184),1)</f>
        <v>46143</v>
      </c>
      <c r="G4184" s="24" t="str">
        <f aca="false">INDEX(Products!$C$2:$C$49,MATCH(C4184,Products!$A$2:$A$49,0))</f>
        <v>Beverages</v>
      </c>
      <c r="H4184" s="33" t="n">
        <f aca="false">D4184*INDEX(Products!$E$2:$E$49,MATCH(C4184,Products!$A$2:$A$49,0))</f>
        <v>26220</v>
      </c>
      <c r="I4184" s="33" t="n">
        <f aca="false">D4184*INDEX(Products!$D$2:$D$49,MATCH(C4184,Products!$A$2:$A$49,0))*(1+INDEX(Assumptions!$B$16:$B$20,MATCH(B4184,Assumptions!$A$16:$A$20,0)))</f>
        <v>21408.768</v>
      </c>
      <c r="J4184" s="33" t="n">
        <f aca="false">H4184-I4184</f>
        <v>4811.232</v>
      </c>
      <c r="K4184" s="33" t="n">
        <f aca="false">IF(OR(E4184=0,E4184&gt;=7),0,D4184/(7-E4184)*E4184*INDEX(Products!$E$2:$E$49,MATCH(C4184,Products!$A$2:$A$49,0)))</f>
        <v>0</v>
      </c>
    </row>
    <row r="4185" customFormat="false" ht="15" hidden="false" customHeight="false" outlineLevel="0" collapsed="false">
      <c r="A4185" s="36" t="n">
        <v>46174</v>
      </c>
      <c r="B4185" s="24" t="s">
        <v>64</v>
      </c>
      <c r="C4185" s="24" t="s">
        <v>161</v>
      </c>
      <c r="D4185" s="33" t="n">
        <v>64</v>
      </c>
      <c r="E4185" s="24" t="n">
        <v>0</v>
      </c>
      <c r="F4185" s="37" t="n">
        <f aca="false">DATE(YEAR(A4185),MONTH(A4185),1)</f>
        <v>46174</v>
      </c>
      <c r="G4185" s="24" t="str">
        <f aca="false">INDEX(Products!$C$2:$C$49,MATCH(C4185,Products!$A$2:$A$49,0))</f>
        <v>Beverages</v>
      </c>
      <c r="H4185" s="33" t="n">
        <f aca="false">D4185*INDEX(Products!$E$2:$E$49,MATCH(C4185,Products!$A$2:$A$49,0))</f>
        <v>24320</v>
      </c>
      <c r="I4185" s="33" t="n">
        <f aca="false">D4185*INDEX(Products!$D$2:$D$49,MATCH(C4185,Products!$A$2:$A$49,0))*(1+INDEX(Assumptions!$B$16:$B$20,MATCH(B4185,Assumptions!$A$16:$A$20,0)))</f>
        <v>19857.408</v>
      </c>
      <c r="J4185" s="33" t="n">
        <f aca="false">H4185-I4185</f>
        <v>4462.592</v>
      </c>
      <c r="K4185" s="33" t="n">
        <f aca="false">IF(OR(E4185=0,E4185&gt;=7),0,D4185/(7-E4185)*E4185*INDEX(Products!$E$2:$E$49,MATCH(C4185,Products!$A$2:$A$49,0)))</f>
        <v>0</v>
      </c>
    </row>
    <row r="4186" customFormat="false" ht="15" hidden="false" customHeight="false" outlineLevel="0" collapsed="false">
      <c r="A4186" s="36" t="n">
        <v>46181</v>
      </c>
      <c r="B4186" s="24" t="s">
        <v>64</v>
      </c>
      <c r="C4186" s="24" t="s">
        <v>161</v>
      </c>
      <c r="D4186" s="33" t="n">
        <v>49</v>
      </c>
      <c r="E4186" s="24" t="n">
        <v>0</v>
      </c>
      <c r="F4186" s="37" t="n">
        <f aca="false">DATE(YEAR(A4186),MONTH(A4186),1)</f>
        <v>46174</v>
      </c>
      <c r="G4186" s="24" t="str">
        <f aca="false">INDEX(Products!$C$2:$C$49,MATCH(C4186,Products!$A$2:$A$49,0))</f>
        <v>Beverages</v>
      </c>
      <c r="H4186" s="33" t="n">
        <f aca="false">D4186*INDEX(Products!$E$2:$E$49,MATCH(C4186,Products!$A$2:$A$49,0))</f>
        <v>18620</v>
      </c>
      <c r="I4186" s="33" t="n">
        <f aca="false">D4186*INDEX(Products!$D$2:$D$49,MATCH(C4186,Products!$A$2:$A$49,0))*(1+INDEX(Assumptions!$B$16:$B$20,MATCH(B4186,Assumptions!$A$16:$A$20,0)))</f>
        <v>15203.328</v>
      </c>
      <c r="J4186" s="33" t="n">
        <f aca="false">H4186-I4186</f>
        <v>3416.672</v>
      </c>
      <c r="K4186" s="33" t="n">
        <f aca="false">IF(OR(E4186=0,E4186&gt;=7),0,D4186/(7-E4186)*E4186*INDEX(Products!$E$2:$E$49,MATCH(C4186,Products!$A$2:$A$49,0)))</f>
        <v>0</v>
      </c>
    </row>
    <row r="4187" customFormat="false" ht="15" hidden="false" customHeight="false" outlineLevel="0" collapsed="false">
      <c r="A4187" s="36" t="n">
        <v>46188</v>
      </c>
      <c r="B4187" s="24" t="s">
        <v>64</v>
      </c>
      <c r="C4187" s="24" t="s">
        <v>161</v>
      </c>
      <c r="D4187" s="33" t="n">
        <v>61</v>
      </c>
      <c r="E4187" s="24" t="n">
        <v>0</v>
      </c>
      <c r="F4187" s="37" t="n">
        <f aca="false">DATE(YEAR(A4187),MONTH(A4187),1)</f>
        <v>46174</v>
      </c>
      <c r="G4187" s="24" t="str">
        <f aca="false">INDEX(Products!$C$2:$C$49,MATCH(C4187,Products!$A$2:$A$49,0))</f>
        <v>Beverages</v>
      </c>
      <c r="H4187" s="33" t="n">
        <f aca="false">D4187*INDEX(Products!$E$2:$E$49,MATCH(C4187,Products!$A$2:$A$49,0))</f>
        <v>23180</v>
      </c>
      <c r="I4187" s="33" t="n">
        <f aca="false">D4187*INDEX(Products!$D$2:$D$49,MATCH(C4187,Products!$A$2:$A$49,0))*(1+INDEX(Assumptions!$B$16:$B$20,MATCH(B4187,Assumptions!$A$16:$A$20,0)))</f>
        <v>18926.592</v>
      </c>
      <c r="J4187" s="33" t="n">
        <f aca="false">H4187-I4187</f>
        <v>4253.408</v>
      </c>
      <c r="K4187" s="33" t="n">
        <f aca="false">IF(OR(E4187=0,E4187&gt;=7),0,D4187/(7-E4187)*E4187*INDEX(Products!$E$2:$E$49,MATCH(C4187,Products!$A$2:$A$49,0)))</f>
        <v>0</v>
      </c>
    </row>
    <row r="4188" customFormat="false" ht="15" hidden="false" customHeight="false" outlineLevel="0" collapsed="false">
      <c r="A4188" s="36" t="n">
        <v>46195</v>
      </c>
      <c r="B4188" s="24" t="s">
        <v>64</v>
      </c>
      <c r="C4188" s="24" t="s">
        <v>161</v>
      </c>
      <c r="D4188" s="33" t="n">
        <v>68</v>
      </c>
      <c r="E4188" s="24" t="n">
        <v>0</v>
      </c>
      <c r="F4188" s="37" t="n">
        <f aca="false">DATE(YEAR(A4188),MONTH(A4188),1)</f>
        <v>46174</v>
      </c>
      <c r="G4188" s="24" t="str">
        <f aca="false">INDEX(Products!$C$2:$C$49,MATCH(C4188,Products!$A$2:$A$49,0))</f>
        <v>Beverages</v>
      </c>
      <c r="H4188" s="33" t="n">
        <f aca="false">D4188*INDEX(Products!$E$2:$E$49,MATCH(C4188,Products!$A$2:$A$49,0))</f>
        <v>25840</v>
      </c>
      <c r="I4188" s="33" t="n">
        <f aca="false">D4188*INDEX(Products!$D$2:$D$49,MATCH(C4188,Products!$A$2:$A$49,0))*(1+INDEX(Assumptions!$B$16:$B$20,MATCH(B4188,Assumptions!$A$16:$A$20,0)))</f>
        <v>21098.496</v>
      </c>
      <c r="J4188" s="33" t="n">
        <f aca="false">H4188-I4188</f>
        <v>4741.504</v>
      </c>
      <c r="K4188" s="33" t="n">
        <f aca="false">IF(OR(E4188=0,E4188&gt;=7),0,D4188/(7-E4188)*E4188*INDEX(Products!$E$2:$E$49,MATCH(C4188,Products!$A$2:$A$49,0)))</f>
        <v>0</v>
      </c>
    </row>
    <row r="4189" customFormat="false" ht="15" hidden="false" customHeight="false" outlineLevel="0" collapsed="false">
      <c r="A4189" s="36" t="n">
        <v>46202</v>
      </c>
      <c r="B4189" s="24" t="s">
        <v>64</v>
      </c>
      <c r="C4189" s="24" t="s">
        <v>161</v>
      </c>
      <c r="D4189" s="33" t="n">
        <v>55</v>
      </c>
      <c r="E4189" s="24" t="n">
        <v>0</v>
      </c>
      <c r="F4189" s="37" t="n">
        <f aca="false">DATE(YEAR(A4189),MONTH(A4189),1)</f>
        <v>46174</v>
      </c>
      <c r="G4189" s="24" t="str">
        <f aca="false">INDEX(Products!$C$2:$C$49,MATCH(C4189,Products!$A$2:$A$49,0))</f>
        <v>Beverages</v>
      </c>
      <c r="H4189" s="33" t="n">
        <f aca="false">D4189*INDEX(Products!$E$2:$E$49,MATCH(C4189,Products!$A$2:$A$49,0))</f>
        <v>20900</v>
      </c>
      <c r="I4189" s="33" t="n">
        <f aca="false">D4189*INDEX(Products!$D$2:$D$49,MATCH(C4189,Products!$A$2:$A$49,0))*(1+INDEX(Assumptions!$B$16:$B$20,MATCH(B4189,Assumptions!$A$16:$A$20,0)))</f>
        <v>17064.96</v>
      </c>
      <c r="J4189" s="33" t="n">
        <f aca="false">H4189-I4189</f>
        <v>3835.04</v>
      </c>
      <c r="K4189" s="33" t="n">
        <f aca="false">IF(OR(E4189=0,E4189&gt;=7),0,D4189/(7-E4189)*E4189*INDEX(Products!$E$2:$E$49,MATCH(C4189,Products!$A$2:$A$49,0)))</f>
        <v>0</v>
      </c>
    </row>
    <row r="4190" customFormat="false" ht="15" hidden="false" customHeight="false" outlineLevel="0" collapsed="false">
      <c r="A4190" s="36" t="n">
        <v>46209</v>
      </c>
      <c r="B4190" s="24" t="s">
        <v>64</v>
      </c>
      <c r="C4190" s="24" t="s">
        <v>161</v>
      </c>
      <c r="D4190" s="33" t="n">
        <v>93</v>
      </c>
      <c r="E4190" s="24" t="n">
        <v>0</v>
      </c>
      <c r="F4190" s="37" t="n">
        <f aca="false">DATE(YEAR(A4190),MONTH(A4190),1)</f>
        <v>46204</v>
      </c>
      <c r="G4190" s="24" t="str">
        <f aca="false">INDEX(Products!$C$2:$C$49,MATCH(C4190,Products!$A$2:$A$49,0))</f>
        <v>Beverages</v>
      </c>
      <c r="H4190" s="33" t="n">
        <f aca="false">D4190*INDEX(Products!$E$2:$E$49,MATCH(C4190,Products!$A$2:$A$49,0))</f>
        <v>35340</v>
      </c>
      <c r="I4190" s="33" t="n">
        <f aca="false">D4190*INDEX(Products!$D$2:$D$49,MATCH(C4190,Products!$A$2:$A$49,0))*(1+INDEX(Assumptions!$B$16:$B$20,MATCH(B4190,Assumptions!$A$16:$A$20,0)))</f>
        <v>28855.296</v>
      </c>
      <c r="J4190" s="33" t="n">
        <f aca="false">H4190-I4190</f>
        <v>6484.704</v>
      </c>
      <c r="K4190" s="33" t="n">
        <f aca="false">IF(OR(E4190=0,E4190&gt;=7),0,D4190/(7-E4190)*E4190*INDEX(Products!$E$2:$E$49,MATCH(C4190,Products!$A$2:$A$49,0)))</f>
        <v>0</v>
      </c>
    </row>
    <row r="4191" customFormat="false" ht="15" hidden="false" customHeight="false" outlineLevel="0" collapsed="false">
      <c r="A4191" s="36" t="n">
        <v>46216</v>
      </c>
      <c r="B4191" s="24" t="s">
        <v>64</v>
      </c>
      <c r="C4191" s="24" t="s">
        <v>161</v>
      </c>
      <c r="D4191" s="33" t="n">
        <v>24</v>
      </c>
      <c r="E4191" s="24" t="n">
        <v>4</v>
      </c>
      <c r="F4191" s="37" t="n">
        <f aca="false">DATE(YEAR(A4191),MONTH(A4191),1)</f>
        <v>46204</v>
      </c>
      <c r="G4191" s="24" t="str">
        <f aca="false">INDEX(Products!$C$2:$C$49,MATCH(C4191,Products!$A$2:$A$49,0))</f>
        <v>Beverages</v>
      </c>
      <c r="H4191" s="33" t="n">
        <f aca="false">D4191*INDEX(Products!$E$2:$E$49,MATCH(C4191,Products!$A$2:$A$49,0))</f>
        <v>9120</v>
      </c>
      <c r="I4191" s="33" t="n">
        <f aca="false">D4191*INDEX(Products!$D$2:$D$49,MATCH(C4191,Products!$A$2:$A$49,0))*(1+INDEX(Assumptions!$B$16:$B$20,MATCH(B4191,Assumptions!$A$16:$A$20,0)))</f>
        <v>7446.528</v>
      </c>
      <c r="J4191" s="33" t="n">
        <f aca="false">H4191-I4191</f>
        <v>1673.472</v>
      </c>
      <c r="K4191" s="33" t="n">
        <f aca="false">IF(OR(E4191=0,E4191&gt;=7),0,D4191/(7-E4191)*E4191*INDEX(Products!$E$2:$E$49,MATCH(C4191,Products!$A$2:$A$49,0)))</f>
        <v>12160</v>
      </c>
    </row>
    <row r="4192" customFormat="false" ht="15" hidden="false" customHeight="false" outlineLevel="0" collapsed="false">
      <c r="A4192" s="36" t="n">
        <v>46223</v>
      </c>
      <c r="B4192" s="24" t="s">
        <v>64</v>
      </c>
      <c r="C4192" s="24" t="s">
        <v>161</v>
      </c>
      <c r="D4192" s="33" t="n">
        <v>50</v>
      </c>
      <c r="E4192" s="24" t="n">
        <v>0</v>
      </c>
      <c r="F4192" s="37" t="n">
        <f aca="false">DATE(YEAR(A4192),MONTH(A4192),1)</f>
        <v>46204</v>
      </c>
      <c r="G4192" s="24" t="str">
        <f aca="false">INDEX(Products!$C$2:$C$49,MATCH(C4192,Products!$A$2:$A$49,0))</f>
        <v>Beverages</v>
      </c>
      <c r="H4192" s="33" t="n">
        <f aca="false">D4192*INDEX(Products!$E$2:$E$49,MATCH(C4192,Products!$A$2:$A$49,0))</f>
        <v>19000</v>
      </c>
      <c r="I4192" s="33" t="n">
        <f aca="false">D4192*INDEX(Products!$D$2:$D$49,MATCH(C4192,Products!$A$2:$A$49,0))*(1+INDEX(Assumptions!$B$16:$B$20,MATCH(B4192,Assumptions!$A$16:$A$20,0)))</f>
        <v>15513.6</v>
      </c>
      <c r="J4192" s="33" t="n">
        <f aca="false">H4192-I4192</f>
        <v>3486.4</v>
      </c>
      <c r="K4192" s="33" t="n">
        <f aca="false">IF(OR(E4192=0,E4192&gt;=7),0,D4192/(7-E4192)*E4192*INDEX(Products!$E$2:$E$49,MATCH(C4192,Products!$A$2:$A$49,0)))</f>
        <v>0</v>
      </c>
    </row>
    <row r="4193" customFormat="false" ht="15" hidden="false" customHeight="false" outlineLevel="0" collapsed="false">
      <c r="A4193" s="36" t="n">
        <v>46230</v>
      </c>
      <c r="B4193" s="24" t="s">
        <v>64</v>
      </c>
      <c r="C4193" s="24" t="s">
        <v>161</v>
      </c>
      <c r="D4193" s="33" t="n">
        <v>51</v>
      </c>
      <c r="E4193" s="24" t="n">
        <v>0</v>
      </c>
      <c r="F4193" s="37" t="n">
        <f aca="false">DATE(YEAR(A4193),MONTH(A4193),1)</f>
        <v>46204</v>
      </c>
      <c r="G4193" s="24" t="str">
        <f aca="false">INDEX(Products!$C$2:$C$49,MATCH(C4193,Products!$A$2:$A$49,0))</f>
        <v>Beverages</v>
      </c>
      <c r="H4193" s="33" t="n">
        <f aca="false">D4193*INDEX(Products!$E$2:$E$49,MATCH(C4193,Products!$A$2:$A$49,0))</f>
        <v>19380</v>
      </c>
      <c r="I4193" s="33" t="n">
        <f aca="false">D4193*INDEX(Products!$D$2:$D$49,MATCH(C4193,Products!$A$2:$A$49,0))*(1+INDEX(Assumptions!$B$16:$B$20,MATCH(B4193,Assumptions!$A$16:$A$20,0)))</f>
        <v>15823.872</v>
      </c>
      <c r="J4193" s="33" t="n">
        <f aca="false">H4193-I4193</f>
        <v>3556.128</v>
      </c>
      <c r="K4193" s="33" t="n">
        <f aca="false">IF(OR(E4193=0,E4193&gt;=7),0,D4193/(7-E4193)*E4193*INDEX(Products!$E$2:$E$49,MATCH(C4193,Products!$A$2:$A$49,0)))</f>
        <v>0</v>
      </c>
    </row>
    <row r="4194" customFormat="false" ht="15" hidden="false" customHeight="false" outlineLevel="0" collapsed="false">
      <c r="A4194" s="36" t="n">
        <v>46237</v>
      </c>
      <c r="B4194" s="24" t="s">
        <v>64</v>
      </c>
      <c r="C4194" s="24" t="s">
        <v>161</v>
      </c>
      <c r="D4194" s="33" t="n">
        <v>45</v>
      </c>
      <c r="E4194" s="24" t="n">
        <v>0</v>
      </c>
      <c r="F4194" s="37" t="n">
        <f aca="false">DATE(YEAR(A4194),MONTH(A4194),1)</f>
        <v>46235</v>
      </c>
      <c r="G4194" s="24" t="str">
        <f aca="false">INDEX(Products!$C$2:$C$49,MATCH(C4194,Products!$A$2:$A$49,0))</f>
        <v>Beverages</v>
      </c>
      <c r="H4194" s="33" t="n">
        <f aca="false">D4194*INDEX(Products!$E$2:$E$49,MATCH(C4194,Products!$A$2:$A$49,0))</f>
        <v>17100</v>
      </c>
      <c r="I4194" s="33" t="n">
        <f aca="false">D4194*INDEX(Products!$D$2:$D$49,MATCH(C4194,Products!$A$2:$A$49,0))*(1+INDEX(Assumptions!$B$16:$B$20,MATCH(B4194,Assumptions!$A$16:$A$20,0)))</f>
        <v>13962.24</v>
      </c>
      <c r="J4194" s="33" t="n">
        <f aca="false">H4194-I4194</f>
        <v>3137.76</v>
      </c>
      <c r="K4194" s="33" t="n">
        <f aca="false">IF(OR(E4194=0,E4194&gt;=7),0,D4194/(7-E4194)*E4194*INDEX(Products!$E$2:$E$49,MATCH(C4194,Products!$A$2:$A$49,0)))</f>
        <v>0</v>
      </c>
    </row>
    <row r="4195" customFormat="false" ht="15" hidden="false" customHeight="false" outlineLevel="0" collapsed="false">
      <c r="A4195" s="36" t="n">
        <v>46244</v>
      </c>
      <c r="B4195" s="24" t="s">
        <v>64</v>
      </c>
      <c r="C4195" s="24" t="s">
        <v>161</v>
      </c>
      <c r="D4195" s="33" t="n">
        <v>65</v>
      </c>
      <c r="E4195" s="24" t="n">
        <v>0</v>
      </c>
      <c r="F4195" s="37" t="n">
        <f aca="false">DATE(YEAR(A4195),MONTH(A4195),1)</f>
        <v>46235</v>
      </c>
      <c r="G4195" s="24" t="str">
        <f aca="false">INDEX(Products!$C$2:$C$49,MATCH(C4195,Products!$A$2:$A$49,0))</f>
        <v>Beverages</v>
      </c>
      <c r="H4195" s="33" t="n">
        <f aca="false">D4195*INDEX(Products!$E$2:$E$49,MATCH(C4195,Products!$A$2:$A$49,0))</f>
        <v>24700</v>
      </c>
      <c r="I4195" s="33" t="n">
        <f aca="false">D4195*INDEX(Products!$D$2:$D$49,MATCH(C4195,Products!$A$2:$A$49,0))*(1+INDEX(Assumptions!$B$16:$B$20,MATCH(B4195,Assumptions!$A$16:$A$20,0)))</f>
        <v>20167.68</v>
      </c>
      <c r="J4195" s="33" t="n">
        <f aca="false">H4195-I4195</f>
        <v>4532.32</v>
      </c>
      <c r="K4195" s="33" t="n">
        <f aca="false">IF(OR(E4195=0,E4195&gt;=7),0,D4195/(7-E4195)*E4195*INDEX(Products!$E$2:$E$49,MATCH(C4195,Products!$A$2:$A$49,0)))</f>
        <v>0</v>
      </c>
    </row>
    <row r="4196" customFormat="false" ht="15" hidden="false" customHeight="false" outlineLevel="0" collapsed="false">
      <c r="A4196" s="36" t="n">
        <v>46251</v>
      </c>
      <c r="B4196" s="24" t="s">
        <v>64</v>
      </c>
      <c r="C4196" s="24" t="s">
        <v>161</v>
      </c>
      <c r="D4196" s="33" t="n">
        <v>51</v>
      </c>
      <c r="E4196" s="24" t="n">
        <v>0</v>
      </c>
      <c r="F4196" s="37" t="n">
        <f aca="false">DATE(YEAR(A4196),MONTH(A4196),1)</f>
        <v>46235</v>
      </c>
      <c r="G4196" s="24" t="str">
        <f aca="false">INDEX(Products!$C$2:$C$49,MATCH(C4196,Products!$A$2:$A$49,0))</f>
        <v>Beverages</v>
      </c>
      <c r="H4196" s="33" t="n">
        <f aca="false">D4196*INDEX(Products!$E$2:$E$49,MATCH(C4196,Products!$A$2:$A$49,0))</f>
        <v>19380</v>
      </c>
      <c r="I4196" s="33" t="n">
        <f aca="false">D4196*INDEX(Products!$D$2:$D$49,MATCH(C4196,Products!$A$2:$A$49,0))*(1+INDEX(Assumptions!$B$16:$B$20,MATCH(B4196,Assumptions!$A$16:$A$20,0)))</f>
        <v>15823.872</v>
      </c>
      <c r="J4196" s="33" t="n">
        <f aca="false">H4196-I4196</f>
        <v>3556.128</v>
      </c>
      <c r="K4196" s="33" t="n">
        <f aca="false">IF(OR(E4196=0,E4196&gt;=7),0,D4196/(7-E4196)*E4196*INDEX(Products!$E$2:$E$49,MATCH(C4196,Products!$A$2:$A$49,0)))</f>
        <v>0</v>
      </c>
    </row>
    <row r="4197" customFormat="false" ht="15" hidden="false" customHeight="false" outlineLevel="0" collapsed="false">
      <c r="A4197" s="36" t="n">
        <v>46258</v>
      </c>
      <c r="B4197" s="24" t="s">
        <v>64</v>
      </c>
      <c r="C4197" s="24" t="s">
        <v>161</v>
      </c>
      <c r="D4197" s="33" t="n">
        <v>52</v>
      </c>
      <c r="E4197" s="24" t="n">
        <v>0</v>
      </c>
      <c r="F4197" s="37" t="n">
        <f aca="false">DATE(YEAR(A4197),MONTH(A4197),1)</f>
        <v>46235</v>
      </c>
      <c r="G4197" s="24" t="str">
        <f aca="false">INDEX(Products!$C$2:$C$49,MATCH(C4197,Products!$A$2:$A$49,0))</f>
        <v>Beverages</v>
      </c>
      <c r="H4197" s="33" t="n">
        <f aca="false">D4197*INDEX(Products!$E$2:$E$49,MATCH(C4197,Products!$A$2:$A$49,0))</f>
        <v>19760</v>
      </c>
      <c r="I4197" s="33" t="n">
        <f aca="false">D4197*INDEX(Products!$D$2:$D$49,MATCH(C4197,Products!$A$2:$A$49,0))*(1+INDEX(Assumptions!$B$16:$B$20,MATCH(B4197,Assumptions!$A$16:$A$20,0)))</f>
        <v>16134.144</v>
      </c>
      <c r="J4197" s="33" t="n">
        <f aca="false">H4197-I4197</f>
        <v>3625.856</v>
      </c>
      <c r="K4197" s="33" t="n">
        <f aca="false">IF(OR(E4197=0,E4197&gt;=7),0,D4197/(7-E4197)*E4197*INDEX(Products!$E$2:$E$49,MATCH(C4197,Products!$A$2:$A$49,0)))</f>
        <v>0</v>
      </c>
    </row>
    <row r="4198" customFormat="false" ht="15" hidden="false" customHeight="false" outlineLevel="0" collapsed="false">
      <c r="A4198" s="36" t="n">
        <v>46265</v>
      </c>
      <c r="B4198" s="24" t="s">
        <v>64</v>
      </c>
      <c r="C4198" s="24" t="s">
        <v>161</v>
      </c>
      <c r="D4198" s="33" t="n">
        <v>58</v>
      </c>
      <c r="E4198" s="24" t="n">
        <v>0</v>
      </c>
      <c r="F4198" s="37" t="n">
        <f aca="false">DATE(YEAR(A4198),MONTH(A4198),1)</f>
        <v>46235</v>
      </c>
      <c r="G4198" s="24" t="str">
        <f aca="false">INDEX(Products!$C$2:$C$49,MATCH(C4198,Products!$A$2:$A$49,0))</f>
        <v>Beverages</v>
      </c>
      <c r="H4198" s="33" t="n">
        <f aca="false">D4198*INDEX(Products!$E$2:$E$49,MATCH(C4198,Products!$A$2:$A$49,0))</f>
        <v>22040</v>
      </c>
      <c r="I4198" s="33" t="n">
        <f aca="false">D4198*INDEX(Products!$D$2:$D$49,MATCH(C4198,Products!$A$2:$A$49,0))*(1+INDEX(Assumptions!$B$16:$B$20,MATCH(B4198,Assumptions!$A$16:$A$20,0)))</f>
        <v>17995.776</v>
      </c>
      <c r="J4198" s="33" t="n">
        <f aca="false">H4198-I4198</f>
        <v>4044.224</v>
      </c>
      <c r="K4198" s="33" t="n">
        <f aca="false">IF(OR(E4198=0,E4198&gt;=7),0,D4198/(7-E4198)*E4198*INDEX(Products!$E$2:$E$49,MATCH(C4198,Products!$A$2:$A$49,0)))</f>
        <v>0</v>
      </c>
    </row>
    <row r="4199" customFormat="false" ht="15" hidden="false" customHeight="false" outlineLevel="0" collapsed="false">
      <c r="A4199" s="36" t="n">
        <v>46272</v>
      </c>
      <c r="B4199" s="24" t="s">
        <v>64</v>
      </c>
      <c r="C4199" s="24" t="s">
        <v>161</v>
      </c>
      <c r="D4199" s="33" t="n">
        <v>59</v>
      </c>
      <c r="E4199" s="24" t="n">
        <v>0</v>
      </c>
      <c r="F4199" s="37" t="n">
        <f aca="false">DATE(YEAR(A4199),MONTH(A4199),1)</f>
        <v>46266</v>
      </c>
      <c r="G4199" s="24" t="str">
        <f aca="false">INDEX(Products!$C$2:$C$49,MATCH(C4199,Products!$A$2:$A$49,0))</f>
        <v>Beverages</v>
      </c>
      <c r="H4199" s="33" t="n">
        <f aca="false">D4199*INDEX(Products!$E$2:$E$49,MATCH(C4199,Products!$A$2:$A$49,0))</f>
        <v>22420</v>
      </c>
      <c r="I4199" s="33" t="n">
        <f aca="false">D4199*INDEX(Products!$D$2:$D$49,MATCH(C4199,Products!$A$2:$A$49,0))*(1+INDEX(Assumptions!$B$16:$B$20,MATCH(B4199,Assumptions!$A$16:$A$20,0)))</f>
        <v>18306.048</v>
      </c>
      <c r="J4199" s="33" t="n">
        <f aca="false">H4199-I4199</f>
        <v>4113.952</v>
      </c>
      <c r="K4199" s="33" t="n">
        <f aca="false">IF(OR(E4199=0,E4199&gt;=7),0,D4199/(7-E4199)*E4199*INDEX(Products!$E$2:$E$49,MATCH(C4199,Products!$A$2:$A$49,0)))</f>
        <v>0</v>
      </c>
    </row>
    <row r="4200" customFormat="false" ht="15" hidden="false" customHeight="false" outlineLevel="0" collapsed="false">
      <c r="A4200" s="36" t="n">
        <v>46279</v>
      </c>
      <c r="B4200" s="24" t="s">
        <v>64</v>
      </c>
      <c r="C4200" s="24" t="s">
        <v>161</v>
      </c>
      <c r="D4200" s="33" t="n">
        <v>51</v>
      </c>
      <c r="E4200" s="24" t="n">
        <v>0</v>
      </c>
      <c r="F4200" s="37" t="n">
        <f aca="false">DATE(YEAR(A4200),MONTH(A4200),1)</f>
        <v>46266</v>
      </c>
      <c r="G4200" s="24" t="str">
        <f aca="false">INDEX(Products!$C$2:$C$49,MATCH(C4200,Products!$A$2:$A$49,0))</f>
        <v>Beverages</v>
      </c>
      <c r="H4200" s="33" t="n">
        <f aca="false">D4200*INDEX(Products!$E$2:$E$49,MATCH(C4200,Products!$A$2:$A$49,0))</f>
        <v>19380</v>
      </c>
      <c r="I4200" s="33" t="n">
        <f aca="false">D4200*INDEX(Products!$D$2:$D$49,MATCH(C4200,Products!$A$2:$A$49,0))*(1+INDEX(Assumptions!$B$16:$B$20,MATCH(B4200,Assumptions!$A$16:$A$20,0)))</f>
        <v>15823.872</v>
      </c>
      <c r="J4200" s="33" t="n">
        <f aca="false">H4200-I4200</f>
        <v>3556.128</v>
      </c>
      <c r="K4200" s="33" t="n">
        <f aca="false">IF(OR(E4200=0,E4200&gt;=7),0,D4200/(7-E4200)*E4200*INDEX(Products!$E$2:$E$49,MATCH(C4200,Products!$A$2:$A$49,0)))</f>
        <v>0</v>
      </c>
    </row>
    <row r="4201" customFormat="false" ht="15" hidden="false" customHeight="false" outlineLevel="0" collapsed="false">
      <c r="A4201" s="36" t="n">
        <v>46286</v>
      </c>
      <c r="B4201" s="24" t="s">
        <v>64</v>
      </c>
      <c r="C4201" s="24" t="s">
        <v>161</v>
      </c>
      <c r="D4201" s="33" t="n">
        <v>68</v>
      </c>
      <c r="E4201" s="24" t="n">
        <v>0</v>
      </c>
      <c r="F4201" s="37" t="n">
        <f aca="false">DATE(YEAR(A4201),MONTH(A4201),1)</f>
        <v>46266</v>
      </c>
      <c r="G4201" s="24" t="str">
        <f aca="false">INDEX(Products!$C$2:$C$49,MATCH(C4201,Products!$A$2:$A$49,0))</f>
        <v>Beverages</v>
      </c>
      <c r="H4201" s="33" t="n">
        <f aca="false">D4201*INDEX(Products!$E$2:$E$49,MATCH(C4201,Products!$A$2:$A$49,0))</f>
        <v>25840</v>
      </c>
      <c r="I4201" s="33" t="n">
        <f aca="false">D4201*INDEX(Products!$D$2:$D$49,MATCH(C4201,Products!$A$2:$A$49,0))*(1+INDEX(Assumptions!$B$16:$B$20,MATCH(B4201,Assumptions!$A$16:$A$20,0)))</f>
        <v>21098.496</v>
      </c>
      <c r="J4201" s="33" t="n">
        <f aca="false">H4201-I4201</f>
        <v>4741.504</v>
      </c>
      <c r="K4201" s="33" t="n">
        <f aca="false">IF(OR(E4201=0,E4201&gt;=7),0,D4201/(7-E4201)*E4201*INDEX(Products!$E$2:$E$49,MATCH(C4201,Products!$A$2:$A$49,0)))</f>
        <v>0</v>
      </c>
    </row>
    <row r="4202" customFormat="false" ht="15" hidden="false" customHeight="false" outlineLevel="0" collapsed="false">
      <c r="A4202" s="36" t="n">
        <v>46118</v>
      </c>
      <c r="B4202" s="24" t="s">
        <v>64</v>
      </c>
      <c r="C4202" s="24" t="s">
        <v>163</v>
      </c>
      <c r="D4202" s="33" t="n">
        <v>32</v>
      </c>
      <c r="E4202" s="24" t="n">
        <v>0</v>
      </c>
      <c r="F4202" s="37" t="n">
        <f aca="false">DATE(YEAR(A4202),MONTH(A4202),1)</f>
        <v>46113</v>
      </c>
      <c r="G4202" s="24" t="str">
        <f aca="false">INDEX(Products!$C$2:$C$49,MATCH(C4202,Products!$A$2:$A$49,0))</f>
        <v>Household</v>
      </c>
      <c r="H4202" s="33" t="n">
        <f aca="false">D4202*INDEX(Products!$E$2:$E$49,MATCH(C4202,Products!$A$2:$A$49,0))</f>
        <v>10560</v>
      </c>
      <c r="I4202" s="33" t="n">
        <f aca="false">D4202*INDEX(Products!$D$2:$D$49,MATCH(C4202,Products!$A$2:$A$49,0))*(1+INDEX(Assumptions!$B$16:$B$20,MATCH(B4202,Assumptions!$A$16:$A$20,0)))</f>
        <v>7503.872</v>
      </c>
      <c r="J4202" s="33" t="n">
        <f aca="false">H4202-I4202</f>
        <v>3056.128</v>
      </c>
      <c r="K4202" s="33" t="n">
        <f aca="false">IF(OR(E4202=0,E4202&gt;=7),0,D4202/(7-E4202)*E4202*INDEX(Products!$E$2:$E$49,MATCH(C4202,Products!$A$2:$A$49,0)))</f>
        <v>0</v>
      </c>
    </row>
    <row r="4203" customFormat="false" ht="15" hidden="false" customHeight="false" outlineLevel="0" collapsed="false">
      <c r="A4203" s="36" t="n">
        <v>46125</v>
      </c>
      <c r="B4203" s="24" t="s">
        <v>64</v>
      </c>
      <c r="C4203" s="24" t="s">
        <v>163</v>
      </c>
      <c r="D4203" s="33" t="n">
        <v>35</v>
      </c>
      <c r="E4203" s="24" t="n">
        <v>0</v>
      </c>
      <c r="F4203" s="37" t="n">
        <f aca="false">DATE(YEAR(A4203),MONTH(A4203),1)</f>
        <v>46113</v>
      </c>
      <c r="G4203" s="24" t="str">
        <f aca="false">INDEX(Products!$C$2:$C$49,MATCH(C4203,Products!$A$2:$A$49,0))</f>
        <v>Household</v>
      </c>
      <c r="H4203" s="33" t="n">
        <f aca="false">D4203*INDEX(Products!$E$2:$E$49,MATCH(C4203,Products!$A$2:$A$49,0))</f>
        <v>11550</v>
      </c>
      <c r="I4203" s="33" t="n">
        <f aca="false">D4203*INDEX(Products!$D$2:$D$49,MATCH(C4203,Products!$A$2:$A$49,0))*(1+INDEX(Assumptions!$B$16:$B$20,MATCH(B4203,Assumptions!$A$16:$A$20,0)))</f>
        <v>8207.36</v>
      </c>
      <c r="J4203" s="33" t="n">
        <f aca="false">H4203-I4203</f>
        <v>3342.64</v>
      </c>
      <c r="K4203" s="33" t="n">
        <f aca="false">IF(OR(E4203=0,E4203&gt;=7),0,D4203/(7-E4203)*E4203*INDEX(Products!$E$2:$E$49,MATCH(C4203,Products!$A$2:$A$49,0)))</f>
        <v>0</v>
      </c>
    </row>
    <row r="4204" customFormat="false" ht="15" hidden="false" customHeight="false" outlineLevel="0" collapsed="false">
      <c r="A4204" s="36" t="n">
        <v>46132</v>
      </c>
      <c r="B4204" s="24" t="s">
        <v>64</v>
      </c>
      <c r="C4204" s="24" t="s">
        <v>163</v>
      </c>
      <c r="D4204" s="33" t="n">
        <v>39</v>
      </c>
      <c r="E4204" s="24" t="n">
        <v>0</v>
      </c>
      <c r="F4204" s="37" t="n">
        <f aca="false">DATE(YEAR(A4204),MONTH(A4204),1)</f>
        <v>46113</v>
      </c>
      <c r="G4204" s="24" t="str">
        <f aca="false">INDEX(Products!$C$2:$C$49,MATCH(C4204,Products!$A$2:$A$49,0))</f>
        <v>Household</v>
      </c>
      <c r="H4204" s="33" t="n">
        <f aca="false">D4204*INDEX(Products!$E$2:$E$49,MATCH(C4204,Products!$A$2:$A$49,0))</f>
        <v>12870</v>
      </c>
      <c r="I4204" s="33" t="n">
        <f aca="false">D4204*INDEX(Products!$D$2:$D$49,MATCH(C4204,Products!$A$2:$A$49,0))*(1+INDEX(Assumptions!$B$16:$B$20,MATCH(B4204,Assumptions!$A$16:$A$20,0)))</f>
        <v>9145.344</v>
      </c>
      <c r="J4204" s="33" t="n">
        <f aca="false">H4204-I4204</f>
        <v>3724.656</v>
      </c>
      <c r="K4204" s="33" t="n">
        <f aca="false">IF(OR(E4204=0,E4204&gt;=7),0,D4204/(7-E4204)*E4204*INDEX(Products!$E$2:$E$49,MATCH(C4204,Products!$A$2:$A$49,0)))</f>
        <v>0</v>
      </c>
    </row>
    <row r="4205" customFormat="false" ht="15" hidden="false" customHeight="false" outlineLevel="0" collapsed="false">
      <c r="A4205" s="36" t="n">
        <v>46139</v>
      </c>
      <c r="B4205" s="24" t="s">
        <v>64</v>
      </c>
      <c r="C4205" s="24" t="s">
        <v>163</v>
      </c>
      <c r="D4205" s="33" t="n">
        <v>39</v>
      </c>
      <c r="E4205" s="24" t="n">
        <v>0</v>
      </c>
      <c r="F4205" s="37" t="n">
        <f aca="false">DATE(YEAR(A4205),MONTH(A4205),1)</f>
        <v>46113</v>
      </c>
      <c r="G4205" s="24" t="str">
        <f aca="false">INDEX(Products!$C$2:$C$49,MATCH(C4205,Products!$A$2:$A$49,0))</f>
        <v>Household</v>
      </c>
      <c r="H4205" s="33" t="n">
        <f aca="false">D4205*INDEX(Products!$E$2:$E$49,MATCH(C4205,Products!$A$2:$A$49,0))</f>
        <v>12870</v>
      </c>
      <c r="I4205" s="33" t="n">
        <f aca="false">D4205*INDEX(Products!$D$2:$D$49,MATCH(C4205,Products!$A$2:$A$49,0))*(1+INDEX(Assumptions!$B$16:$B$20,MATCH(B4205,Assumptions!$A$16:$A$20,0)))</f>
        <v>9145.344</v>
      </c>
      <c r="J4205" s="33" t="n">
        <f aca="false">H4205-I4205</f>
        <v>3724.656</v>
      </c>
      <c r="K4205" s="33" t="n">
        <f aca="false">IF(OR(E4205=0,E4205&gt;=7),0,D4205/(7-E4205)*E4205*INDEX(Products!$E$2:$E$49,MATCH(C4205,Products!$A$2:$A$49,0)))</f>
        <v>0</v>
      </c>
    </row>
    <row r="4206" customFormat="false" ht="15" hidden="false" customHeight="false" outlineLevel="0" collapsed="false">
      <c r="A4206" s="36" t="n">
        <v>46146</v>
      </c>
      <c r="B4206" s="24" t="s">
        <v>64</v>
      </c>
      <c r="C4206" s="24" t="s">
        <v>163</v>
      </c>
      <c r="D4206" s="33" t="n">
        <v>27</v>
      </c>
      <c r="E4206" s="24" t="n">
        <v>0</v>
      </c>
      <c r="F4206" s="37" t="n">
        <f aca="false">DATE(YEAR(A4206),MONTH(A4206),1)</f>
        <v>46143</v>
      </c>
      <c r="G4206" s="24" t="str">
        <f aca="false">INDEX(Products!$C$2:$C$49,MATCH(C4206,Products!$A$2:$A$49,0))</f>
        <v>Household</v>
      </c>
      <c r="H4206" s="33" t="n">
        <f aca="false">D4206*INDEX(Products!$E$2:$E$49,MATCH(C4206,Products!$A$2:$A$49,0))</f>
        <v>8910</v>
      </c>
      <c r="I4206" s="33" t="n">
        <f aca="false">D4206*INDEX(Products!$D$2:$D$49,MATCH(C4206,Products!$A$2:$A$49,0))*(1+INDEX(Assumptions!$B$16:$B$20,MATCH(B4206,Assumptions!$A$16:$A$20,0)))</f>
        <v>6331.392</v>
      </c>
      <c r="J4206" s="33" t="n">
        <f aca="false">H4206-I4206</f>
        <v>2578.608</v>
      </c>
      <c r="K4206" s="33" t="n">
        <f aca="false">IF(OR(E4206=0,E4206&gt;=7),0,D4206/(7-E4206)*E4206*INDEX(Products!$E$2:$E$49,MATCH(C4206,Products!$A$2:$A$49,0)))</f>
        <v>0</v>
      </c>
    </row>
    <row r="4207" customFormat="false" ht="15" hidden="false" customHeight="false" outlineLevel="0" collapsed="false">
      <c r="A4207" s="36" t="n">
        <v>46153</v>
      </c>
      <c r="B4207" s="24" t="s">
        <v>64</v>
      </c>
      <c r="C4207" s="24" t="s">
        <v>163</v>
      </c>
      <c r="D4207" s="33" t="n">
        <v>42</v>
      </c>
      <c r="E4207" s="24" t="n">
        <v>0</v>
      </c>
      <c r="F4207" s="37" t="n">
        <f aca="false">DATE(YEAR(A4207),MONTH(A4207),1)</f>
        <v>46143</v>
      </c>
      <c r="G4207" s="24" t="str">
        <f aca="false">INDEX(Products!$C$2:$C$49,MATCH(C4207,Products!$A$2:$A$49,0))</f>
        <v>Household</v>
      </c>
      <c r="H4207" s="33" t="n">
        <f aca="false">D4207*INDEX(Products!$E$2:$E$49,MATCH(C4207,Products!$A$2:$A$49,0))</f>
        <v>13860</v>
      </c>
      <c r="I4207" s="33" t="n">
        <f aca="false">D4207*INDEX(Products!$D$2:$D$49,MATCH(C4207,Products!$A$2:$A$49,0))*(1+INDEX(Assumptions!$B$16:$B$20,MATCH(B4207,Assumptions!$A$16:$A$20,0)))</f>
        <v>9848.832</v>
      </c>
      <c r="J4207" s="33" t="n">
        <f aca="false">H4207-I4207</f>
        <v>4011.168</v>
      </c>
      <c r="K4207" s="33" t="n">
        <f aca="false">IF(OR(E4207=0,E4207&gt;=7),0,D4207/(7-E4207)*E4207*INDEX(Products!$E$2:$E$49,MATCH(C4207,Products!$A$2:$A$49,0)))</f>
        <v>0</v>
      </c>
    </row>
    <row r="4208" customFormat="false" ht="15" hidden="false" customHeight="false" outlineLevel="0" collapsed="false">
      <c r="A4208" s="36" t="n">
        <v>46160</v>
      </c>
      <c r="B4208" s="24" t="s">
        <v>64</v>
      </c>
      <c r="C4208" s="24" t="s">
        <v>163</v>
      </c>
      <c r="D4208" s="33" t="n">
        <v>39</v>
      </c>
      <c r="E4208" s="24" t="n">
        <v>0</v>
      </c>
      <c r="F4208" s="37" t="n">
        <f aca="false">DATE(YEAR(A4208),MONTH(A4208),1)</f>
        <v>46143</v>
      </c>
      <c r="G4208" s="24" t="str">
        <f aca="false">INDEX(Products!$C$2:$C$49,MATCH(C4208,Products!$A$2:$A$49,0))</f>
        <v>Household</v>
      </c>
      <c r="H4208" s="33" t="n">
        <f aca="false">D4208*INDEX(Products!$E$2:$E$49,MATCH(C4208,Products!$A$2:$A$49,0))</f>
        <v>12870</v>
      </c>
      <c r="I4208" s="33" t="n">
        <f aca="false">D4208*INDEX(Products!$D$2:$D$49,MATCH(C4208,Products!$A$2:$A$49,0))*(1+INDEX(Assumptions!$B$16:$B$20,MATCH(B4208,Assumptions!$A$16:$A$20,0)))</f>
        <v>9145.344</v>
      </c>
      <c r="J4208" s="33" t="n">
        <f aca="false">H4208-I4208</f>
        <v>3724.656</v>
      </c>
      <c r="K4208" s="33" t="n">
        <f aca="false">IF(OR(E4208=0,E4208&gt;=7),0,D4208/(7-E4208)*E4208*INDEX(Products!$E$2:$E$49,MATCH(C4208,Products!$A$2:$A$49,0)))</f>
        <v>0</v>
      </c>
    </row>
    <row r="4209" customFormat="false" ht="15" hidden="false" customHeight="false" outlineLevel="0" collapsed="false">
      <c r="A4209" s="36" t="n">
        <v>46167</v>
      </c>
      <c r="B4209" s="24" t="s">
        <v>64</v>
      </c>
      <c r="C4209" s="24" t="s">
        <v>163</v>
      </c>
      <c r="D4209" s="33" t="n">
        <v>45</v>
      </c>
      <c r="E4209" s="24" t="n">
        <v>0</v>
      </c>
      <c r="F4209" s="37" t="n">
        <f aca="false">DATE(YEAR(A4209),MONTH(A4209),1)</f>
        <v>46143</v>
      </c>
      <c r="G4209" s="24" t="str">
        <f aca="false">INDEX(Products!$C$2:$C$49,MATCH(C4209,Products!$A$2:$A$49,0))</f>
        <v>Household</v>
      </c>
      <c r="H4209" s="33" t="n">
        <f aca="false">D4209*INDEX(Products!$E$2:$E$49,MATCH(C4209,Products!$A$2:$A$49,0))</f>
        <v>14850</v>
      </c>
      <c r="I4209" s="33" t="n">
        <f aca="false">D4209*INDEX(Products!$D$2:$D$49,MATCH(C4209,Products!$A$2:$A$49,0))*(1+INDEX(Assumptions!$B$16:$B$20,MATCH(B4209,Assumptions!$A$16:$A$20,0)))</f>
        <v>10552.32</v>
      </c>
      <c r="J4209" s="33" t="n">
        <f aca="false">H4209-I4209</f>
        <v>4297.68</v>
      </c>
      <c r="K4209" s="33" t="n">
        <f aca="false">IF(OR(E4209=0,E4209&gt;=7),0,D4209/(7-E4209)*E4209*INDEX(Products!$E$2:$E$49,MATCH(C4209,Products!$A$2:$A$49,0)))</f>
        <v>0</v>
      </c>
    </row>
    <row r="4210" customFormat="false" ht="15" hidden="false" customHeight="false" outlineLevel="0" collapsed="false">
      <c r="A4210" s="36" t="n">
        <v>46174</v>
      </c>
      <c r="B4210" s="24" t="s">
        <v>64</v>
      </c>
      <c r="C4210" s="24" t="s">
        <v>163</v>
      </c>
      <c r="D4210" s="33" t="n">
        <v>39</v>
      </c>
      <c r="E4210" s="24" t="n">
        <v>0</v>
      </c>
      <c r="F4210" s="37" t="n">
        <f aca="false">DATE(YEAR(A4210),MONTH(A4210),1)</f>
        <v>46174</v>
      </c>
      <c r="G4210" s="24" t="str">
        <f aca="false">INDEX(Products!$C$2:$C$49,MATCH(C4210,Products!$A$2:$A$49,0))</f>
        <v>Household</v>
      </c>
      <c r="H4210" s="33" t="n">
        <f aca="false">D4210*INDEX(Products!$E$2:$E$49,MATCH(C4210,Products!$A$2:$A$49,0))</f>
        <v>12870</v>
      </c>
      <c r="I4210" s="33" t="n">
        <f aca="false">D4210*INDEX(Products!$D$2:$D$49,MATCH(C4210,Products!$A$2:$A$49,0))*(1+INDEX(Assumptions!$B$16:$B$20,MATCH(B4210,Assumptions!$A$16:$A$20,0)))</f>
        <v>9145.344</v>
      </c>
      <c r="J4210" s="33" t="n">
        <f aca="false">H4210-I4210</f>
        <v>3724.656</v>
      </c>
      <c r="K4210" s="33" t="n">
        <f aca="false">IF(OR(E4210=0,E4210&gt;=7),0,D4210/(7-E4210)*E4210*INDEX(Products!$E$2:$E$49,MATCH(C4210,Products!$A$2:$A$49,0)))</f>
        <v>0</v>
      </c>
    </row>
    <row r="4211" customFormat="false" ht="15" hidden="false" customHeight="false" outlineLevel="0" collapsed="false">
      <c r="A4211" s="36" t="n">
        <v>46181</v>
      </c>
      <c r="B4211" s="24" t="s">
        <v>64</v>
      </c>
      <c r="C4211" s="24" t="s">
        <v>163</v>
      </c>
      <c r="D4211" s="33" t="n">
        <v>36</v>
      </c>
      <c r="E4211" s="24" t="n">
        <v>0</v>
      </c>
      <c r="F4211" s="37" t="n">
        <f aca="false">DATE(YEAR(A4211),MONTH(A4211),1)</f>
        <v>46174</v>
      </c>
      <c r="G4211" s="24" t="str">
        <f aca="false">INDEX(Products!$C$2:$C$49,MATCH(C4211,Products!$A$2:$A$49,0))</f>
        <v>Household</v>
      </c>
      <c r="H4211" s="33" t="n">
        <f aca="false">D4211*INDEX(Products!$E$2:$E$49,MATCH(C4211,Products!$A$2:$A$49,0))</f>
        <v>11880</v>
      </c>
      <c r="I4211" s="33" t="n">
        <f aca="false">D4211*INDEX(Products!$D$2:$D$49,MATCH(C4211,Products!$A$2:$A$49,0))*(1+INDEX(Assumptions!$B$16:$B$20,MATCH(B4211,Assumptions!$A$16:$A$20,0)))</f>
        <v>8441.856</v>
      </c>
      <c r="J4211" s="33" t="n">
        <f aca="false">H4211-I4211</f>
        <v>3438.144</v>
      </c>
      <c r="K4211" s="33" t="n">
        <f aca="false">IF(OR(E4211=0,E4211&gt;=7),0,D4211/(7-E4211)*E4211*INDEX(Products!$E$2:$E$49,MATCH(C4211,Products!$A$2:$A$49,0)))</f>
        <v>0</v>
      </c>
    </row>
    <row r="4212" customFormat="false" ht="15" hidden="false" customHeight="false" outlineLevel="0" collapsed="false">
      <c r="A4212" s="36" t="n">
        <v>46188</v>
      </c>
      <c r="B4212" s="24" t="s">
        <v>64</v>
      </c>
      <c r="C4212" s="24" t="s">
        <v>163</v>
      </c>
      <c r="D4212" s="33" t="n">
        <v>39</v>
      </c>
      <c r="E4212" s="24" t="n">
        <v>0</v>
      </c>
      <c r="F4212" s="37" t="n">
        <f aca="false">DATE(YEAR(A4212),MONTH(A4212),1)</f>
        <v>46174</v>
      </c>
      <c r="G4212" s="24" t="str">
        <f aca="false">INDEX(Products!$C$2:$C$49,MATCH(C4212,Products!$A$2:$A$49,0))</f>
        <v>Household</v>
      </c>
      <c r="H4212" s="33" t="n">
        <f aca="false">D4212*INDEX(Products!$E$2:$E$49,MATCH(C4212,Products!$A$2:$A$49,0))</f>
        <v>12870</v>
      </c>
      <c r="I4212" s="33" t="n">
        <f aca="false">D4212*INDEX(Products!$D$2:$D$49,MATCH(C4212,Products!$A$2:$A$49,0))*(1+INDEX(Assumptions!$B$16:$B$20,MATCH(B4212,Assumptions!$A$16:$A$20,0)))</f>
        <v>9145.344</v>
      </c>
      <c r="J4212" s="33" t="n">
        <f aca="false">H4212-I4212</f>
        <v>3724.656</v>
      </c>
      <c r="K4212" s="33" t="n">
        <f aca="false">IF(OR(E4212=0,E4212&gt;=7),0,D4212/(7-E4212)*E4212*INDEX(Products!$E$2:$E$49,MATCH(C4212,Products!$A$2:$A$49,0)))</f>
        <v>0</v>
      </c>
    </row>
    <row r="4213" customFormat="false" ht="15" hidden="false" customHeight="false" outlineLevel="0" collapsed="false">
      <c r="A4213" s="36" t="n">
        <v>46195</v>
      </c>
      <c r="B4213" s="24" t="s">
        <v>64</v>
      </c>
      <c r="C4213" s="24" t="s">
        <v>163</v>
      </c>
      <c r="D4213" s="33" t="n">
        <v>39</v>
      </c>
      <c r="E4213" s="24" t="n">
        <v>0</v>
      </c>
      <c r="F4213" s="37" t="n">
        <f aca="false">DATE(YEAR(A4213),MONTH(A4213),1)</f>
        <v>46174</v>
      </c>
      <c r="G4213" s="24" t="str">
        <f aca="false">INDEX(Products!$C$2:$C$49,MATCH(C4213,Products!$A$2:$A$49,0))</f>
        <v>Household</v>
      </c>
      <c r="H4213" s="33" t="n">
        <f aca="false">D4213*INDEX(Products!$E$2:$E$49,MATCH(C4213,Products!$A$2:$A$49,0))</f>
        <v>12870</v>
      </c>
      <c r="I4213" s="33" t="n">
        <f aca="false">D4213*INDEX(Products!$D$2:$D$49,MATCH(C4213,Products!$A$2:$A$49,0))*(1+INDEX(Assumptions!$B$16:$B$20,MATCH(B4213,Assumptions!$A$16:$A$20,0)))</f>
        <v>9145.344</v>
      </c>
      <c r="J4213" s="33" t="n">
        <f aca="false">H4213-I4213</f>
        <v>3724.656</v>
      </c>
      <c r="K4213" s="33" t="n">
        <f aca="false">IF(OR(E4213=0,E4213&gt;=7),0,D4213/(7-E4213)*E4213*INDEX(Products!$E$2:$E$49,MATCH(C4213,Products!$A$2:$A$49,0)))</f>
        <v>0</v>
      </c>
    </row>
    <row r="4214" customFormat="false" ht="15" hidden="false" customHeight="false" outlineLevel="0" collapsed="false">
      <c r="A4214" s="36" t="n">
        <v>46202</v>
      </c>
      <c r="B4214" s="24" t="s">
        <v>64</v>
      </c>
      <c r="C4214" s="24" t="s">
        <v>163</v>
      </c>
      <c r="D4214" s="33" t="n">
        <v>41</v>
      </c>
      <c r="E4214" s="24" t="n">
        <v>0</v>
      </c>
      <c r="F4214" s="37" t="n">
        <f aca="false">DATE(YEAR(A4214),MONTH(A4214),1)</f>
        <v>46174</v>
      </c>
      <c r="G4214" s="24" t="str">
        <f aca="false">INDEX(Products!$C$2:$C$49,MATCH(C4214,Products!$A$2:$A$49,0))</f>
        <v>Household</v>
      </c>
      <c r="H4214" s="33" t="n">
        <f aca="false">D4214*INDEX(Products!$E$2:$E$49,MATCH(C4214,Products!$A$2:$A$49,0))</f>
        <v>13530</v>
      </c>
      <c r="I4214" s="33" t="n">
        <f aca="false">D4214*INDEX(Products!$D$2:$D$49,MATCH(C4214,Products!$A$2:$A$49,0))*(1+INDEX(Assumptions!$B$16:$B$20,MATCH(B4214,Assumptions!$A$16:$A$20,0)))</f>
        <v>9614.336</v>
      </c>
      <c r="J4214" s="33" t="n">
        <f aca="false">H4214-I4214</f>
        <v>3915.664</v>
      </c>
      <c r="K4214" s="33" t="n">
        <f aca="false">IF(OR(E4214=0,E4214&gt;=7),0,D4214/(7-E4214)*E4214*INDEX(Products!$E$2:$E$49,MATCH(C4214,Products!$A$2:$A$49,0)))</f>
        <v>0</v>
      </c>
    </row>
    <row r="4215" customFormat="false" ht="15" hidden="false" customHeight="false" outlineLevel="0" collapsed="false">
      <c r="A4215" s="36" t="n">
        <v>46209</v>
      </c>
      <c r="B4215" s="24" t="s">
        <v>64</v>
      </c>
      <c r="C4215" s="24" t="s">
        <v>163</v>
      </c>
      <c r="D4215" s="33" t="n">
        <v>32</v>
      </c>
      <c r="E4215" s="24" t="n">
        <v>0</v>
      </c>
      <c r="F4215" s="37" t="n">
        <f aca="false">DATE(YEAR(A4215),MONTH(A4215),1)</f>
        <v>46204</v>
      </c>
      <c r="G4215" s="24" t="str">
        <f aca="false">INDEX(Products!$C$2:$C$49,MATCH(C4215,Products!$A$2:$A$49,0))</f>
        <v>Household</v>
      </c>
      <c r="H4215" s="33" t="n">
        <f aca="false">D4215*INDEX(Products!$E$2:$E$49,MATCH(C4215,Products!$A$2:$A$49,0))</f>
        <v>10560</v>
      </c>
      <c r="I4215" s="33" t="n">
        <f aca="false">D4215*INDEX(Products!$D$2:$D$49,MATCH(C4215,Products!$A$2:$A$49,0))*(1+INDEX(Assumptions!$B$16:$B$20,MATCH(B4215,Assumptions!$A$16:$A$20,0)))</f>
        <v>7503.872</v>
      </c>
      <c r="J4215" s="33" t="n">
        <f aca="false">H4215-I4215</f>
        <v>3056.128</v>
      </c>
      <c r="K4215" s="33" t="n">
        <f aca="false">IF(OR(E4215=0,E4215&gt;=7),0,D4215/(7-E4215)*E4215*INDEX(Products!$E$2:$E$49,MATCH(C4215,Products!$A$2:$A$49,0)))</f>
        <v>0</v>
      </c>
    </row>
    <row r="4216" customFormat="false" ht="15" hidden="false" customHeight="false" outlineLevel="0" collapsed="false">
      <c r="A4216" s="36" t="n">
        <v>46216</v>
      </c>
      <c r="B4216" s="24" t="s">
        <v>64</v>
      </c>
      <c r="C4216" s="24" t="s">
        <v>163</v>
      </c>
      <c r="D4216" s="33" t="n">
        <v>34</v>
      </c>
      <c r="E4216" s="24" t="n">
        <v>0</v>
      </c>
      <c r="F4216" s="37" t="n">
        <f aca="false">DATE(YEAR(A4216),MONTH(A4216),1)</f>
        <v>46204</v>
      </c>
      <c r="G4216" s="24" t="str">
        <f aca="false">INDEX(Products!$C$2:$C$49,MATCH(C4216,Products!$A$2:$A$49,0))</f>
        <v>Household</v>
      </c>
      <c r="H4216" s="33" t="n">
        <f aca="false">D4216*INDEX(Products!$E$2:$E$49,MATCH(C4216,Products!$A$2:$A$49,0))</f>
        <v>11220</v>
      </c>
      <c r="I4216" s="33" t="n">
        <f aca="false">D4216*INDEX(Products!$D$2:$D$49,MATCH(C4216,Products!$A$2:$A$49,0))*(1+INDEX(Assumptions!$B$16:$B$20,MATCH(B4216,Assumptions!$A$16:$A$20,0)))</f>
        <v>7972.864</v>
      </c>
      <c r="J4216" s="33" t="n">
        <f aca="false">H4216-I4216</f>
        <v>3247.136</v>
      </c>
      <c r="K4216" s="33" t="n">
        <f aca="false">IF(OR(E4216=0,E4216&gt;=7),0,D4216/(7-E4216)*E4216*INDEX(Products!$E$2:$E$49,MATCH(C4216,Products!$A$2:$A$49,0)))</f>
        <v>0</v>
      </c>
    </row>
    <row r="4217" customFormat="false" ht="15" hidden="false" customHeight="false" outlineLevel="0" collapsed="false">
      <c r="A4217" s="36" t="n">
        <v>46223</v>
      </c>
      <c r="B4217" s="24" t="s">
        <v>64</v>
      </c>
      <c r="C4217" s="24" t="s">
        <v>163</v>
      </c>
      <c r="D4217" s="33" t="n">
        <v>54</v>
      </c>
      <c r="E4217" s="24" t="n">
        <v>0</v>
      </c>
      <c r="F4217" s="37" t="n">
        <f aca="false">DATE(YEAR(A4217),MONTH(A4217),1)</f>
        <v>46204</v>
      </c>
      <c r="G4217" s="24" t="str">
        <f aca="false">INDEX(Products!$C$2:$C$49,MATCH(C4217,Products!$A$2:$A$49,0))</f>
        <v>Household</v>
      </c>
      <c r="H4217" s="33" t="n">
        <f aca="false">D4217*INDEX(Products!$E$2:$E$49,MATCH(C4217,Products!$A$2:$A$49,0))</f>
        <v>17820</v>
      </c>
      <c r="I4217" s="33" t="n">
        <f aca="false">D4217*INDEX(Products!$D$2:$D$49,MATCH(C4217,Products!$A$2:$A$49,0))*(1+INDEX(Assumptions!$B$16:$B$20,MATCH(B4217,Assumptions!$A$16:$A$20,0)))</f>
        <v>12662.784</v>
      </c>
      <c r="J4217" s="33" t="n">
        <f aca="false">H4217-I4217</f>
        <v>5157.216</v>
      </c>
      <c r="K4217" s="33" t="n">
        <f aca="false">IF(OR(E4217=0,E4217&gt;=7),0,D4217/(7-E4217)*E4217*INDEX(Products!$E$2:$E$49,MATCH(C4217,Products!$A$2:$A$49,0)))</f>
        <v>0</v>
      </c>
    </row>
    <row r="4218" customFormat="false" ht="15" hidden="false" customHeight="false" outlineLevel="0" collapsed="false">
      <c r="A4218" s="36" t="n">
        <v>46230</v>
      </c>
      <c r="B4218" s="24" t="s">
        <v>64</v>
      </c>
      <c r="C4218" s="24" t="s">
        <v>163</v>
      </c>
      <c r="D4218" s="33" t="n">
        <v>37</v>
      </c>
      <c r="E4218" s="24" t="n">
        <v>0</v>
      </c>
      <c r="F4218" s="37" t="n">
        <f aca="false">DATE(YEAR(A4218),MONTH(A4218),1)</f>
        <v>46204</v>
      </c>
      <c r="G4218" s="24" t="str">
        <f aca="false">INDEX(Products!$C$2:$C$49,MATCH(C4218,Products!$A$2:$A$49,0))</f>
        <v>Household</v>
      </c>
      <c r="H4218" s="33" t="n">
        <f aca="false">D4218*INDEX(Products!$E$2:$E$49,MATCH(C4218,Products!$A$2:$A$49,0))</f>
        <v>12210</v>
      </c>
      <c r="I4218" s="33" t="n">
        <f aca="false">D4218*INDEX(Products!$D$2:$D$49,MATCH(C4218,Products!$A$2:$A$49,0))*(1+INDEX(Assumptions!$B$16:$B$20,MATCH(B4218,Assumptions!$A$16:$A$20,0)))</f>
        <v>8676.352</v>
      </c>
      <c r="J4218" s="33" t="n">
        <f aca="false">H4218-I4218</f>
        <v>3533.648</v>
      </c>
      <c r="K4218" s="33" t="n">
        <f aca="false">IF(OR(E4218=0,E4218&gt;=7),0,D4218/(7-E4218)*E4218*INDEX(Products!$E$2:$E$49,MATCH(C4218,Products!$A$2:$A$49,0)))</f>
        <v>0</v>
      </c>
    </row>
    <row r="4219" customFormat="false" ht="15" hidden="false" customHeight="false" outlineLevel="0" collapsed="false">
      <c r="A4219" s="36" t="n">
        <v>46237</v>
      </c>
      <c r="B4219" s="24" t="s">
        <v>64</v>
      </c>
      <c r="C4219" s="24" t="s">
        <v>163</v>
      </c>
      <c r="D4219" s="33" t="n">
        <v>43</v>
      </c>
      <c r="E4219" s="24" t="n">
        <v>0</v>
      </c>
      <c r="F4219" s="37" t="n">
        <f aca="false">DATE(YEAR(A4219),MONTH(A4219),1)</f>
        <v>46235</v>
      </c>
      <c r="G4219" s="24" t="str">
        <f aca="false">INDEX(Products!$C$2:$C$49,MATCH(C4219,Products!$A$2:$A$49,0))</f>
        <v>Household</v>
      </c>
      <c r="H4219" s="33" t="n">
        <f aca="false">D4219*INDEX(Products!$E$2:$E$49,MATCH(C4219,Products!$A$2:$A$49,0))</f>
        <v>14190</v>
      </c>
      <c r="I4219" s="33" t="n">
        <f aca="false">D4219*INDEX(Products!$D$2:$D$49,MATCH(C4219,Products!$A$2:$A$49,0))*(1+INDEX(Assumptions!$B$16:$B$20,MATCH(B4219,Assumptions!$A$16:$A$20,0)))</f>
        <v>10083.328</v>
      </c>
      <c r="J4219" s="33" t="n">
        <f aca="false">H4219-I4219</f>
        <v>4106.672</v>
      </c>
      <c r="K4219" s="33" t="n">
        <f aca="false">IF(OR(E4219=0,E4219&gt;=7),0,D4219/(7-E4219)*E4219*INDEX(Products!$E$2:$E$49,MATCH(C4219,Products!$A$2:$A$49,0)))</f>
        <v>0</v>
      </c>
    </row>
    <row r="4220" customFormat="false" ht="15" hidden="false" customHeight="false" outlineLevel="0" collapsed="false">
      <c r="A4220" s="36" t="n">
        <v>46244</v>
      </c>
      <c r="B4220" s="24" t="s">
        <v>64</v>
      </c>
      <c r="C4220" s="24" t="s">
        <v>163</v>
      </c>
      <c r="D4220" s="33" t="n">
        <v>31</v>
      </c>
      <c r="E4220" s="24" t="n">
        <v>0</v>
      </c>
      <c r="F4220" s="37" t="n">
        <f aca="false">DATE(YEAR(A4220),MONTH(A4220),1)</f>
        <v>46235</v>
      </c>
      <c r="G4220" s="24" t="str">
        <f aca="false">INDEX(Products!$C$2:$C$49,MATCH(C4220,Products!$A$2:$A$49,0))</f>
        <v>Household</v>
      </c>
      <c r="H4220" s="33" t="n">
        <f aca="false">D4220*INDEX(Products!$E$2:$E$49,MATCH(C4220,Products!$A$2:$A$49,0))</f>
        <v>10230</v>
      </c>
      <c r="I4220" s="33" t="n">
        <f aca="false">D4220*INDEX(Products!$D$2:$D$49,MATCH(C4220,Products!$A$2:$A$49,0))*(1+INDEX(Assumptions!$B$16:$B$20,MATCH(B4220,Assumptions!$A$16:$A$20,0)))</f>
        <v>7269.376</v>
      </c>
      <c r="J4220" s="33" t="n">
        <f aca="false">H4220-I4220</f>
        <v>2960.624</v>
      </c>
      <c r="K4220" s="33" t="n">
        <f aca="false">IF(OR(E4220=0,E4220&gt;=7),0,D4220/(7-E4220)*E4220*INDEX(Products!$E$2:$E$49,MATCH(C4220,Products!$A$2:$A$49,0)))</f>
        <v>0</v>
      </c>
    </row>
    <row r="4221" customFormat="false" ht="15" hidden="false" customHeight="false" outlineLevel="0" collapsed="false">
      <c r="A4221" s="36" t="n">
        <v>46251</v>
      </c>
      <c r="B4221" s="24" t="s">
        <v>64</v>
      </c>
      <c r="C4221" s="24" t="s">
        <v>163</v>
      </c>
      <c r="D4221" s="33" t="n">
        <v>31</v>
      </c>
      <c r="E4221" s="24" t="n">
        <v>0</v>
      </c>
      <c r="F4221" s="37" t="n">
        <f aca="false">DATE(YEAR(A4221),MONTH(A4221),1)</f>
        <v>46235</v>
      </c>
      <c r="G4221" s="24" t="str">
        <f aca="false">INDEX(Products!$C$2:$C$49,MATCH(C4221,Products!$A$2:$A$49,0))</f>
        <v>Household</v>
      </c>
      <c r="H4221" s="33" t="n">
        <f aca="false">D4221*INDEX(Products!$E$2:$E$49,MATCH(C4221,Products!$A$2:$A$49,0))</f>
        <v>10230</v>
      </c>
      <c r="I4221" s="33" t="n">
        <f aca="false">D4221*INDEX(Products!$D$2:$D$49,MATCH(C4221,Products!$A$2:$A$49,0))*(1+INDEX(Assumptions!$B$16:$B$20,MATCH(B4221,Assumptions!$A$16:$A$20,0)))</f>
        <v>7269.376</v>
      </c>
      <c r="J4221" s="33" t="n">
        <f aca="false">H4221-I4221</f>
        <v>2960.624</v>
      </c>
      <c r="K4221" s="33" t="n">
        <f aca="false">IF(OR(E4221=0,E4221&gt;=7),0,D4221/(7-E4221)*E4221*INDEX(Products!$E$2:$E$49,MATCH(C4221,Products!$A$2:$A$49,0)))</f>
        <v>0</v>
      </c>
    </row>
    <row r="4222" customFormat="false" ht="15" hidden="false" customHeight="false" outlineLevel="0" collapsed="false">
      <c r="A4222" s="36" t="n">
        <v>46258</v>
      </c>
      <c r="B4222" s="24" t="s">
        <v>64</v>
      </c>
      <c r="C4222" s="24" t="s">
        <v>163</v>
      </c>
      <c r="D4222" s="33" t="n">
        <v>39</v>
      </c>
      <c r="E4222" s="24" t="n">
        <v>0</v>
      </c>
      <c r="F4222" s="37" t="n">
        <f aca="false">DATE(YEAR(A4222),MONTH(A4222),1)</f>
        <v>46235</v>
      </c>
      <c r="G4222" s="24" t="str">
        <f aca="false">INDEX(Products!$C$2:$C$49,MATCH(C4222,Products!$A$2:$A$49,0))</f>
        <v>Household</v>
      </c>
      <c r="H4222" s="33" t="n">
        <f aca="false">D4222*INDEX(Products!$E$2:$E$49,MATCH(C4222,Products!$A$2:$A$49,0))</f>
        <v>12870</v>
      </c>
      <c r="I4222" s="33" t="n">
        <f aca="false">D4222*INDEX(Products!$D$2:$D$49,MATCH(C4222,Products!$A$2:$A$49,0))*(1+INDEX(Assumptions!$B$16:$B$20,MATCH(B4222,Assumptions!$A$16:$A$20,0)))</f>
        <v>9145.344</v>
      </c>
      <c r="J4222" s="33" t="n">
        <f aca="false">H4222-I4222</f>
        <v>3724.656</v>
      </c>
      <c r="K4222" s="33" t="n">
        <f aca="false">IF(OR(E4222=0,E4222&gt;=7),0,D4222/(7-E4222)*E4222*INDEX(Products!$E$2:$E$49,MATCH(C4222,Products!$A$2:$A$49,0)))</f>
        <v>0</v>
      </c>
    </row>
    <row r="4223" customFormat="false" ht="15" hidden="false" customHeight="false" outlineLevel="0" collapsed="false">
      <c r="A4223" s="36" t="n">
        <v>46265</v>
      </c>
      <c r="B4223" s="24" t="s">
        <v>64</v>
      </c>
      <c r="C4223" s="24" t="s">
        <v>163</v>
      </c>
      <c r="D4223" s="33" t="n">
        <v>55</v>
      </c>
      <c r="E4223" s="24" t="n">
        <v>0</v>
      </c>
      <c r="F4223" s="37" t="n">
        <f aca="false">DATE(YEAR(A4223),MONTH(A4223),1)</f>
        <v>46235</v>
      </c>
      <c r="G4223" s="24" t="str">
        <f aca="false">INDEX(Products!$C$2:$C$49,MATCH(C4223,Products!$A$2:$A$49,0))</f>
        <v>Household</v>
      </c>
      <c r="H4223" s="33" t="n">
        <f aca="false">D4223*INDEX(Products!$E$2:$E$49,MATCH(C4223,Products!$A$2:$A$49,0))</f>
        <v>18150</v>
      </c>
      <c r="I4223" s="33" t="n">
        <f aca="false">D4223*INDEX(Products!$D$2:$D$49,MATCH(C4223,Products!$A$2:$A$49,0))*(1+INDEX(Assumptions!$B$16:$B$20,MATCH(B4223,Assumptions!$A$16:$A$20,0)))</f>
        <v>12897.28</v>
      </c>
      <c r="J4223" s="33" t="n">
        <f aca="false">H4223-I4223</f>
        <v>5252.72</v>
      </c>
      <c r="K4223" s="33" t="n">
        <f aca="false">IF(OR(E4223=0,E4223&gt;=7),0,D4223/(7-E4223)*E4223*INDEX(Products!$E$2:$E$49,MATCH(C4223,Products!$A$2:$A$49,0)))</f>
        <v>0</v>
      </c>
    </row>
    <row r="4224" customFormat="false" ht="15" hidden="false" customHeight="false" outlineLevel="0" collapsed="false">
      <c r="A4224" s="36" t="n">
        <v>46272</v>
      </c>
      <c r="B4224" s="24" t="s">
        <v>64</v>
      </c>
      <c r="C4224" s="24" t="s">
        <v>163</v>
      </c>
      <c r="D4224" s="33" t="n">
        <v>30</v>
      </c>
      <c r="E4224" s="24" t="n">
        <v>0</v>
      </c>
      <c r="F4224" s="37" t="n">
        <f aca="false">DATE(YEAR(A4224),MONTH(A4224),1)</f>
        <v>46266</v>
      </c>
      <c r="G4224" s="24" t="str">
        <f aca="false">INDEX(Products!$C$2:$C$49,MATCH(C4224,Products!$A$2:$A$49,0))</f>
        <v>Household</v>
      </c>
      <c r="H4224" s="33" t="n">
        <f aca="false">D4224*INDEX(Products!$E$2:$E$49,MATCH(C4224,Products!$A$2:$A$49,0))</f>
        <v>9900</v>
      </c>
      <c r="I4224" s="33" t="n">
        <f aca="false">D4224*INDEX(Products!$D$2:$D$49,MATCH(C4224,Products!$A$2:$A$49,0))*(1+INDEX(Assumptions!$B$16:$B$20,MATCH(B4224,Assumptions!$A$16:$A$20,0)))</f>
        <v>7034.88</v>
      </c>
      <c r="J4224" s="33" t="n">
        <f aca="false">H4224-I4224</f>
        <v>2865.12</v>
      </c>
      <c r="K4224" s="33" t="n">
        <f aca="false">IF(OR(E4224=0,E4224&gt;=7),0,D4224/(7-E4224)*E4224*INDEX(Products!$E$2:$E$49,MATCH(C4224,Products!$A$2:$A$49,0)))</f>
        <v>0</v>
      </c>
    </row>
    <row r="4225" customFormat="false" ht="15" hidden="false" customHeight="false" outlineLevel="0" collapsed="false">
      <c r="A4225" s="36" t="n">
        <v>46279</v>
      </c>
      <c r="B4225" s="24" t="s">
        <v>64</v>
      </c>
      <c r="C4225" s="24" t="s">
        <v>163</v>
      </c>
      <c r="D4225" s="33" t="n">
        <v>44</v>
      </c>
      <c r="E4225" s="24" t="n">
        <v>0</v>
      </c>
      <c r="F4225" s="37" t="n">
        <f aca="false">DATE(YEAR(A4225),MONTH(A4225),1)</f>
        <v>46266</v>
      </c>
      <c r="G4225" s="24" t="str">
        <f aca="false">INDEX(Products!$C$2:$C$49,MATCH(C4225,Products!$A$2:$A$49,0))</f>
        <v>Household</v>
      </c>
      <c r="H4225" s="33" t="n">
        <f aca="false">D4225*INDEX(Products!$E$2:$E$49,MATCH(C4225,Products!$A$2:$A$49,0))</f>
        <v>14520</v>
      </c>
      <c r="I4225" s="33" t="n">
        <f aca="false">D4225*INDEX(Products!$D$2:$D$49,MATCH(C4225,Products!$A$2:$A$49,0))*(1+INDEX(Assumptions!$B$16:$B$20,MATCH(B4225,Assumptions!$A$16:$A$20,0)))</f>
        <v>10317.824</v>
      </c>
      <c r="J4225" s="33" t="n">
        <f aca="false">H4225-I4225</f>
        <v>4202.176</v>
      </c>
      <c r="K4225" s="33" t="n">
        <f aca="false">IF(OR(E4225=0,E4225&gt;=7),0,D4225/(7-E4225)*E4225*INDEX(Products!$E$2:$E$49,MATCH(C4225,Products!$A$2:$A$49,0)))</f>
        <v>0</v>
      </c>
    </row>
    <row r="4226" customFormat="false" ht="15" hidden="false" customHeight="false" outlineLevel="0" collapsed="false">
      <c r="A4226" s="36" t="n">
        <v>46286</v>
      </c>
      <c r="B4226" s="24" t="s">
        <v>64</v>
      </c>
      <c r="C4226" s="24" t="s">
        <v>163</v>
      </c>
      <c r="D4226" s="33" t="n">
        <v>41</v>
      </c>
      <c r="E4226" s="24" t="n">
        <v>0</v>
      </c>
      <c r="F4226" s="37" t="n">
        <f aca="false">DATE(YEAR(A4226),MONTH(A4226),1)</f>
        <v>46266</v>
      </c>
      <c r="G4226" s="24" t="str">
        <f aca="false">INDEX(Products!$C$2:$C$49,MATCH(C4226,Products!$A$2:$A$49,0))</f>
        <v>Household</v>
      </c>
      <c r="H4226" s="33" t="n">
        <f aca="false">D4226*INDEX(Products!$E$2:$E$49,MATCH(C4226,Products!$A$2:$A$49,0))</f>
        <v>13530</v>
      </c>
      <c r="I4226" s="33" t="n">
        <f aca="false">D4226*INDEX(Products!$D$2:$D$49,MATCH(C4226,Products!$A$2:$A$49,0))*(1+INDEX(Assumptions!$B$16:$B$20,MATCH(B4226,Assumptions!$A$16:$A$20,0)))</f>
        <v>9614.336</v>
      </c>
      <c r="J4226" s="33" t="n">
        <f aca="false">H4226-I4226</f>
        <v>3915.664</v>
      </c>
      <c r="K4226" s="33" t="n">
        <f aca="false">IF(OR(E4226=0,E4226&gt;=7),0,D4226/(7-E4226)*E4226*INDEX(Products!$E$2:$E$49,MATCH(C4226,Products!$A$2:$A$49,0)))</f>
        <v>0</v>
      </c>
    </row>
    <row r="4227" customFormat="false" ht="15" hidden="false" customHeight="false" outlineLevel="0" collapsed="false">
      <c r="A4227" s="36" t="n">
        <v>46118</v>
      </c>
      <c r="B4227" s="24" t="s">
        <v>64</v>
      </c>
      <c r="C4227" s="24" t="s">
        <v>165</v>
      </c>
      <c r="D4227" s="33" t="n">
        <v>33</v>
      </c>
      <c r="E4227" s="24" t="n">
        <v>0</v>
      </c>
      <c r="F4227" s="37" t="n">
        <f aca="false">DATE(YEAR(A4227),MONTH(A4227),1)</f>
        <v>46113</v>
      </c>
      <c r="G4227" s="24" t="str">
        <f aca="false">INDEX(Products!$C$2:$C$49,MATCH(C4227,Products!$A$2:$A$49,0))</f>
        <v>Household</v>
      </c>
      <c r="H4227" s="33" t="n">
        <f aca="false">D4227*INDEX(Products!$E$2:$E$49,MATCH(C4227,Products!$A$2:$A$49,0))</f>
        <v>6270</v>
      </c>
      <c r="I4227" s="33" t="n">
        <f aca="false">D4227*INDEX(Products!$D$2:$D$49,MATCH(C4227,Products!$A$2:$A$49,0))*(1+INDEX(Assumptions!$B$16:$B$20,MATCH(B4227,Assumptions!$A$16:$A$20,0)))</f>
        <v>4629.504</v>
      </c>
      <c r="J4227" s="33" t="n">
        <f aca="false">H4227-I4227</f>
        <v>1640.496</v>
      </c>
      <c r="K4227" s="33" t="n">
        <f aca="false">IF(OR(E4227=0,E4227&gt;=7),0,D4227/(7-E4227)*E4227*INDEX(Products!$E$2:$E$49,MATCH(C4227,Products!$A$2:$A$49,0)))</f>
        <v>0</v>
      </c>
    </row>
    <row r="4228" customFormat="false" ht="15" hidden="false" customHeight="false" outlineLevel="0" collapsed="false">
      <c r="A4228" s="36" t="n">
        <v>46125</v>
      </c>
      <c r="B4228" s="24" t="s">
        <v>64</v>
      </c>
      <c r="C4228" s="24" t="s">
        <v>165</v>
      </c>
      <c r="D4228" s="33" t="n">
        <v>48</v>
      </c>
      <c r="E4228" s="24" t="n">
        <v>0</v>
      </c>
      <c r="F4228" s="37" t="n">
        <f aca="false">DATE(YEAR(A4228),MONTH(A4228),1)</f>
        <v>46113</v>
      </c>
      <c r="G4228" s="24" t="str">
        <f aca="false">INDEX(Products!$C$2:$C$49,MATCH(C4228,Products!$A$2:$A$49,0))</f>
        <v>Household</v>
      </c>
      <c r="H4228" s="33" t="n">
        <f aca="false">D4228*INDEX(Products!$E$2:$E$49,MATCH(C4228,Products!$A$2:$A$49,0))</f>
        <v>9120</v>
      </c>
      <c r="I4228" s="33" t="n">
        <f aca="false">D4228*INDEX(Products!$D$2:$D$49,MATCH(C4228,Products!$A$2:$A$49,0))*(1+INDEX(Assumptions!$B$16:$B$20,MATCH(B4228,Assumptions!$A$16:$A$20,0)))</f>
        <v>6733.824</v>
      </c>
      <c r="J4228" s="33" t="n">
        <f aca="false">H4228-I4228</f>
        <v>2386.176</v>
      </c>
      <c r="K4228" s="33" t="n">
        <f aca="false">IF(OR(E4228=0,E4228&gt;=7),0,D4228/(7-E4228)*E4228*INDEX(Products!$E$2:$E$49,MATCH(C4228,Products!$A$2:$A$49,0)))</f>
        <v>0</v>
      </c>
    </row>
    <row r="4229" customFormat="false" ht="15" hidden="false" customHeight="false" outlineLevel="0" collapsed="false">
      <c r="A4229" s="36" t="n">
        <v>46132</v>
      </c>
      <c r="B4229" s="24" t="s">
        <v>64</v>
      </c>
      <c r="C4229" s="24" t="s">
        <v>165</v>
      </c>
      <c r="D4229" s="33" t="n">
        <v>49</v>
      </c>
      <c r="E4229" s="24" t="n">
        <v>0</v>
      </c>
      <c r="F4229" s="37" t="n">
        <f aca="false">DATE(YEAR(A4229),MONTH(A4229),1)</f>
        <v>46113</v>
      </c>
      <c r="G4229" s="24" t="str">
        <f aca="false">INDEX(Products!$C$2:$C$49,MATCH(C4229,Products!$A$2:$A$49,0))</f>
        <v>Household</v>
      </c>
      <c r="H4229" s="33" t="n">
        <f aca="false">D4229*INDEX(Products!$E$2:$E$49,MATCH(C4229,Products!$A$2:$A$49,0))</f>
        <v>9310</v>
      </c>
      <c r="I4229" s="33" t="n">
        <f aca="false">D4229*INDEX(Products!$D$2:$D$49,MATCH(C4229,Products!$A$2:$A$49,0))*(1+INDEX(Assumptions!$B$16:$B$20,MATCH(B4229,Assumptions!$A$16:$A$20,0)))</f>
        <v>6874.112</v>
      </c>
      <c r="J4229" s="33" t="n">
        <f aca="false">H4229-I4229</f>
        <v>2435.888</v>
      </c>
      <c r="K4229" s="33" t="n">
        <f aca="false">IF(OR(E4229=0,E4229&gt;=7),0,D4229/(7-E4229)*E4229*INDEX(Products!$E$2:$E$49,MATCH(C4229,Products!$A$2:$A$49,0)))</f>
        <v>0</v>
      </c>
    </row>
    <row r="4230" customFormat="false" ht="15" hidden="false" customHeight="false" outlineLevel="0" collapsed="false">
      <c r="A4230" s="36" t="n">
        <v>46139</v>
      </c>
      <c r="B4230" s="24" t="s">
        <v>64</v>
      </c>
      <c r="C4230" s="24" t="s">
        <v>165</v>
      </c>
      <c r="D4230" s="33" t="n">
        <v>38</v>
      </c>
      <c r="E4230" s="24" t="n">
        <v>0</v>
      </c>
      <c r="F4230" s="37" t="n">
        <f aca="false">DATE(YEAR(A4230),MONTH(A4230),1)</f>
        <v>46113</v>
      </c>
      <c r="G4230" s="24" t="str">
        <f aca="false">INDEX(Products!$C$2:$C$49,MATCH(C4230,Products!$A$2:$A$49,0))</f>
        <v>Household</v>
      </c>
      <c r="H4230" s="33" t="n">
        <f aca="false">D4230*INDEX(Products!$E$2:$E$49,MATCH(C4230,Products!$A$2:$A$49,0))</f>
        <v>7220</v>
      </c>
      <c r="I4230" s="33" t="n">
        <f aca="false">D4230*INDEX(Products!$D$2:$D$49,MATCH(C4230,Products!$A$2:$A$49,0))*(1+INDEX(Assumptions!$B$16:$B$20,MATCH(B4230,Assumptions!$A$16:$A$20,0)))</f>
        <v>5330.944</v>
      </c>
      <c r="J4230" s="33" t="n">
        <f aca="false">H4230-I4230</f>
        <v>1889.056</v>
      </c>
      <c r="K4230" s="33" t="n">
        <f aca="false">IF(OR(E4230=0,E4230&gt;=7),0,D4230/(7-E4230)*E4230*INDEX(Products!$E$2:$E$49,MATCH(C4230,Products!$A$2:$A$49,0)))</f>
        <v>0</v>
      </c>
    </row>
    <row r="4231" customFormat="false" ht="15" hidden="false" customHeight="false" outlineLevel="0" collapsed="false">
      <c r="A4231" s="36" t="n">
        <v>46146</v>
      </c>
      <c r="B4231" s="24" t="s">
        <v>64</v>
      </c>
      <c r="C4231" s="24" t="s">
        <v>165</v>
      </c>
      <c r="D4231" s="33" t="n">
        <v>37</v>
      </c>
      <c r="E4231" s="24" t="n">
        <v>0</v>
      </c>
      <c r="F4231" s="37" t="n">
        <f aca="false">DATE(YEAR(A4231),MONTH(A4231),1)</f>
        <v>46143</v>
      </c>
      <c r="G4231" s="24" t="str">
        <f aca="false">INDEX(Products!$C$2:$C$49,MATCH(C4231,Products!$A$2:$A$49,0))</f>
        <v>Household</v>
      </c>
      <c r="H4231" s="33" t="n">
        <f aca="false">D4231*INDEX(Products!$E$2:$E$49,MATCH(C4231,Products!$A$2:$A$49,0))</f>
        <v>7030</v>
      </c>
      <c r="I4231" s="33" t="n">
        <f aca="false">D4231*INDEX(Products!$D$2:$D$49,MATCH(C4231,Products!$A$2:$A$49,0))*(1+INDEX(Assumptions!$B$16:$B$20,MATCH(B4231,Assumptions!$A$16:$A$20,0)))</f>
        <v>5190.656</v>
      </c>
      <c r="J4231" s="33" t="n">
        <f aca="false">H4231-I4231</f>
        <v>1839.344</v>
      </c>
      <c r="K4231" s="33" t="n">
        <f aca="false">IF(OR(E4231=0,E4231&gt;=7),0,D4231/(7-E4231)*E4231*INDEX(Products!$E$2:$E$49,MATCH(C4231,Products!$A$2:$A$49,0)))</f>
        <v>0</v>
      </c>
    </row>
    <row r="4232" customFormat="false" ht="15" hidden="false" customHeight="false" outlineLevel="0" collapsed="false">
      <c r="A4232" s="36" t="n">
        <v>46153</v>
      </c>
      <c r="B4232" s="24" t="s">
        <v>64</v>
      </c>
      <c r="C4232" s="24" t="s">
        <v>165</v>
      </c>
      <c r="D4232" s="33" t="n">
        <v>29</v>
      </c>
      <c r="E4232" s="24" t="n">
        <v>0</v>
      </c>
      <c r="F4232" s="37" t="n">
        <f aca="false">DATE(YEAR(A4232),MONTH(A4232),1)</f>
        <v>46143</v>
      </c>
      <c r="G4232" s="24" t="str">
        <f aca="false">INDEX(Products!$C$2:$C$49,MATCH(C4232,Products!$A$2:$A$49,0))</f>
        <v>Household</v>
      </c>
      <c r="H4232" s="33" t="n">
        <f aca="false">D4232*INDEX(Products!$E$2:$E$49,MATCH(C4232,Products!$A$2:$A$49,0))</f>
        <v>5510</v>
      </c>
      <c r="I4232" s="33" t="n">
        <f aca="false">D4232*INDEX(Products!$D$2:$D$49,MATCH(C4232,Products!$A$2:$A$49,0))*(1+INDEX(Assumptions!$B$16:$B$20,MATCH(B4232,Assumptions!$A$16:$A$20,0)))</f>
        <v>4068.352</v>
      </c>
      <c r="J4232" s="33" t="n">
        <f aca="false">H4232-I4232</f>
        <v>1441.648</v>
      </c>
      <c r="K4232" s="33" t="n">
        <f aca="false">IF(OR(E4232=0,E4232&gt;=7),0,D4232/(7-E4232)*E4232*INDEX(Products!$E$2:$E$49,MATCH(C4232,Products!$A$2:$A$49,0)))</f>
        <v>0</v>
      </c>
    </row>
    <row r="4233" customFormat="false" ht="15" hidden="false" customHeight="false" outlineLevel="0" collapsed="false">
      <c r="A4233" s="36" t="n">
        <v>46160</v>
      </c>
      <c r="B4233" s="24" t="s">
        <v>64</v>
      </c>
      <c r="C4233" s="24" t="s">
        <v>165</v>
      </c>
      <c r="D4233" s="33" t="n">
        <v>15</v>
      </c>
      <c r="E4233" s="24" t="n">
        <v>4</v>
      </c>
      <c r="F4233" s="37" t="n">
        <f aca="false">DATE(YEAR(A4233),MONTH(A4233),1)</f>
        <v>46143</v>
      </c>
      <c r="G4233" s="24" t="str">
        <f aca="false">INDEX(Products!$C$2:$C$49,MATCH(C4233,Products!$A$2:$A$49,0))</f>
        <v>Household</v>
      </c>
      <c r="H4233" s="33" t="n">
        <f aca="false">D4233*INDEX(Products!$E$2:$E$49,MATCH(C4233,Products!$A$2:$A$49,0))</f>
        <v>2850</v>
      </c>
      <c r="I4233" s="33" t="n">
        <f aca="false">D4233*INDEX(Products!$D$2:$D$49,MATCH(C4233,Products!$A$2:$A$49,0))*(1+INDEX(Assumptions!$B$16:$B$20,MATCH(B4233,Assumptions!$A$16:$A$20,0)))</f>
        <v>2104.32</v>
      </c>
      <c r="J4233" s="33" t="n">
        <f aca="false">H4233-I4233</f>
        <v>745.68</v>
      </c>
      <c r="K4233" s="33" t="n">
        <f aca="false">IF(OR(E4233=0,E4233&gt;=7),0,D4233/(7-E4233)*E4233*INDEX(Products!$E$2:$E$49,MATCH(C4233,Products!$A$2:$A$49,0)))</f>
        <v>3800</v>
      </c>
    </row>
    <row r="4234" customFormat="false" ht="15" hidden="false" customHeight="false" outlineLevel="0" collapsed="false">
      <c r="A4234" s="36" t="n">
        <v>46167</v>
      </c>
      <c r="B4234" s="24" t="s">
        <v>64</v>
      </c>
      <c r="C4234" s="24" t="s">
        <v>165</v>
      </c>
      <c r="D4234" s="33" t="n">
        <v>52</v>
      </c>
      <c r="E4234" s="24" t="n">
        <v>0</v>
      </c>
      <c r="F4234" s="37" t="n">
        <f aca="false">DATE(YEAR(A4234),MONTH(A4234),1)</f>
        <v>46143</v>
      </c>
      <c r="G4234" s="24" t="str">
        <f aca="false">INDEX(Products!$C$2:$C$49,MATCH(C4234,Products!$A$2:$A$49,0))</f>
        <v>Household</v>
      </c>
      <c r="H4234" s="33" t="n">
        <f aca="false">D4234*INDEX(Products!$E$2:$E$49,MATCH(C4234,Products!$A$2:$A$49,0))</f>
        <v>9880</v>
      </c>
      <c r="I4234" s="33" t="n">
        <f aca="false">D4234*INDEX(Products!$D$2:$D$49,MATCH(C4234,Products!$A$2:$A$49,0))*(1+INDEX(Assumptions!$B$16:$B$20,MATCH(B4234,Assumptions!$A$16:$A$20,0)))</f>
        <v>7294.976</v>
      </c>
      <c r="J4234" s="33" t="n">
        <f aca="false">H4234-I4234</f>
        <v>2585.024</v>
      </c>
      <c r="K4234" s="33" t="n">
        <f aca="false">IF(OR(E4234=0,E4234&gt;=7),0,D4234/(7-E4234)*E4234*INDEX(Products!$E$2:$E$49,MATCH(C4234,Products!$A$2:$A$49,0)))</f>
        <v>0</v>
      </c>
    </row>
    <row r="4235" customFormat="false" ht="15" hidden="false" customHeight="false" outlineLevel="0" collapsed="false">
      <c r="A4235" s="36" t="n">
        <v>46174</v>
      </c>
      <c r="B4235" s="24" t="s">
        <v>64</v>
      </c>
      <c r="C4235" s="24" t="s">
        <v>165</v>
      </c>
      <c r="D4235" s="33" t="n">
        <v>33</v>
      </c>
      <c r="E4235" s="24" t="n">
        <v>0</v>
      </c>
      <c r="F4235" s="37" t="n">
        <f aca="false">DATE(YEAR(A4235),MONTH(A4235),1)</f>
        <v>46174</v>
      </c>
      <c r="G4235" s="24" t="str">
        <f aca="false">INDEX(Products!$C$2:$C$49,MATCH(C4235,Products!$A$2:$A$49,0))</f>
        <v>Household</v>
      </c>
      <c r="H4235" s="33" t="n">
        <f aca="false">D4235*INDEX(Products!$E$2:$E$49,MATCH(C4235,Products!$A$2:$A$49,0))</f>
        <v>6270</v>
      </c>
      <c r="I4235" s="33" t="n">
        <f aca="false">D4235*INDEX(Products!$D$2:$D$49,MATCH(C4235,Products!$A$2:$A$49,0))*(1+INDEX(Assumptions!$B$16:$B$20,MATCH(B4235,Assumptions!$A$16:$A$20,0)))</f>
        <v>4629.504</v>
      </c>
      <c r="J4235" s="33" t="n">
        <f aca="false">H4235-I4235</f>
        <v>1640.496</v>
      </c>
      <c r="K4235" s="33" t="n">
        <f aca="false">IF(OR(E4235=0,E4235&gt;=7),0,D4235/(7-E4235)*E4235*INDEX(Products!$E$2:$E$49,MATCH(C4235,Products!$A$2:$A$49,0)))</f>
        <v>0</v>
      </c>
    </row>
    <row r="4236" customFormat="false" ht="15" hidden="false" customHeight="false" outlineLevel="0" collapsed="false">
      <c r="A4236" s="36" t="n">
        <v>46181</v>
      </c>
      <c r="B4236" s="24" t="s">
        <v>64</v>
      </c>
      <c r="C4236" s="24" t="s">
        <v>165</v>
      </c>
      <c r="D4236" s="33" t="n">
        <v>40</v>
      </c>
      <c r="E4236" s="24" t="n">
        <v>0</v>
      </c>
      <c r="F4236" s="37" t="n">
        <f aca="false">DATE(YEAR(A4236),MONTH(A4236),1)</f>
        <v>46174</v>
      </c>
      <c r="G4236" s="24" t="str">
        <f aca="false">INDEX(Products!$C$2:$C$49,MATCH(C4236,Products!$A$2:$A$49,0))</f>
        <v>Household</v>
      </c>
      <c r="H4236" s="33" t="n">
        <f aca="false">D4236*INDEX(Products!$E$2:$E$49,MATCH(C4236,Products!$A$2:$A$49,0))</f>
        <v>7600</v>
      </c>
      <c r="I4236" s="33" t="n">
        <f aca="false">D4236*INDEX(Products!$D$2:$D$49,MATCH(C4236,Products!$A$2:$A$49,0))*(1+INDEX(Assumptions!$B$16:$B$20,MATCH(B4236,Assumptions!$A$16:$A$20,0)))</f>
        <v>5611.52</v>
      </c>
      <c r="J4236" s="33" t="n">
        <f aca="false">H4236-I4236</f>
        <v>1988.48</v>
      </c>
      <c r="K4236" s="33" t="n">
        <f aca="false">IF(OR(E4236=0,E4236&gt;=7),0,D4236/(7-E4236)*E4236*INDEX(Products!$E$2:$E$49,MATCH(C4236,Products!$A$2:$A$49,0)))</f>
        <v>0</v>
      </c>
    </row>
    <row r="4237" customFormat="false" ht="15" hidden="false" customHeight="false" outlineLevel="0" collapsed="false">
      <c r="A4237" s="36" t="n">
        <v>46188</v>
      </c>
      <c r="B4237" s="24" t="s">
        <v>64</v>
      </c>
      <c r="C4237" s="24" t="s">
        <v>165</v>
      </c>
      <c r="D4237" s="33" t="n">
        <v>35</v>
      </c>
      <c r="E4237" s="24" t="n">
        <v>0</v>
      </c>
      <c r="F4237" s="37" t="n">
        <f aca="false">DATE(YEAR(A4237),MONTH(A4237),1)</f>
        <v>46174</v>
      </c>
      <c r="G4237" s="24" t="str">
        <f aca="false">INDEX(Products!$C$2:$C$49,MATCH(C4237,Products!$A$2:$A$49,0))</f>
        <v>Household</v>
      </c>
      <c r="H4237" s="33" t="n">
        <f aca="false">D4237*INDEX(Products!$E$2:$E$49,MATCH(C4237,Products!$A$2:$A$49,0))</f>
        <v>6650</v>
      </c>
      <c r="I4237" s="33" t="n">
        <f aca="false">D4237*INDEX(Products!$D$2:$D$49,MATCH(C4237,Products!$A$2:$A$49,0))*(1+INDEX(Assumptions!$B$16:$B$20,MATCH(B4237,Assumptions!$A$16:$A$20,0)))</f>
        <v>4910.08</v>
      </c>
      <c r="J4237" s="33" t="n">
        <f aca="false">H4237-I4237</f>
        <v>1739.92</v>
      </c>
      <c r="K4237" s="33" t="n">
        <f aca="false">IF(OR(E4237=0,E4237&gt;=7),0,D4237/(7-E4237)*E4237*INDEX(Products!$E$2:$E$49,MATCH(C4237,Products!$A$2:$A$49,0)))</f>
        <v>0</v>
      </c>
    </row>
    <row r="4238" customFormat="false" ht="15" hidden="false" customHeight="false" outlineLevel="0" collapsed="false">
      <c r="A4238" s="36" t="n">
        <v>46195</v>
      </c>
      <c r="B4238" s="24" t="s">
        <v>64</v>
      </c>
      <c r="C4238" s="24" t="s">
        <v>165</v>
      </c>
      <c r="D4238" s="33" t="n">
        <v>37</v>
      </c>
      <c r="E4238" s="24" t="n">
        <v>0</v>
      </c>
      <c r="F4238" s="37" t="n">
        <f aca="false">DATE(YEAR(A4238),MONTH(A4238),1)</f>
        <v>46174</v>
      </c>
      <c r="G4238" s="24" t="str">
        <f aca="false">INDEX(Products!$C$2:$C$49,MATCH(C4238,Products!$A$2:$A$49,0))</f>
        <v>Household</v>
      </c>
      <c r="H4238" s="33" t="n">
        <f aca="false">D4238*INDEX(Products!$E$2:$E$49,MATCH(C4238,Products!$A$2:$A$49,0))</f>
        <v>7030</v>
      </c>
      <c r="I4238" s="33" t="n">
        <f aca="false">D4238*INDEX(Products!$D$2:$D$49,MATCH(C4238,Products!$A$2:$A$49,0))*(1+INDEX(Assumptions!$B$16:$B$20,MATCH(B4238,Assumptions!$A$16:$A$20,0)))</f>
        <v>5190.656</v>
      </c>
      <c r="J4238" s="33" t="n">
        <f aca="false">H4238-I4238</f>
        <v>1839.344</v>
      </c>
      <c r="K4238" s="33" t="n">
        <f aca="false">IF(OR(E4238=0,E4238&gt;=7),0,D4238/(7-E4238)*E4238*INDEX(Products!$E$2:$E$49,MATCH(C4238,Products!$A$2:$A$49,0)))</f>
        <v>0</v>
      </c>
    </row>
    <row r="4239" customFormat="false" ht="15" hidden="false" customHeight="false" outlineLevel="0" collapsed="false">
      <c r="A4239" s="36" t="n">
        <v>46202</v>
      </c>
      <c r="B4239" s="24" t="s">
        <v>64</v>
      </c>
      <c r="C4239" s="24" t="s">
        <v>165</v>
      </c>
      <c r="D4239" s="33" t="n">
        <v>43</v>
      </c>
      <c r="E4239" s="24" t="n">
        <v>0</v>
      </c>
      <c r="F4239" s="37" t="n">
        <f aca="false">DATE(YEAR(A4239),MONTH(A4239),1)</f>
        <v>46174</v>
      </c>
      <c r="G4239" s="24" t="str">
        <f aca="false">INDEX(Products!$C$2:$C$49,MATCH(C4239,Products!$A$2:$A$49,0))</f>
        <v>Household</v>
      </c>
      <c r="H4239" s="33" t="n">
        <f aca="false">D4239*INDEX(Products!$E$2:$E$49,MATCH(C4239,Products!$A$2:$A$49,0))</f>
        <v>8170</v>
      </c>
      <c r="I4239" s="33" t="n">
        <f aca="false">D4239*INDEX(Products!$D$2:$D$49,MATCH(C4239,Products!$A$2:$A$49,0))*(1+INDEX(Assumptions!$B$16:$B$20,MATCH(B4239,Assumptions!$A$16:$A$20,0)))</f>
        <v>6032.384</v>
      </c>
      <c r="J4239" s="33" t="n">
        <f aca="false">H4239-I4239</f>
        <v>2137.616</v>
      </c>
      <c r="K4239" s="33" t="n">
        <f aca="false">IF(OR(E4239=0,E4239&gt;=7),0,D4239/(7-E4239)*E4239*INDEX(Products!$E$2:$E$49,MATCH(C4239,Products!$A$2:$A$49,0)))</f>
        <v>0</v>
      </c>
    </row>
    <row r="4240" customFormat="false" ht="15" hidden="false" customHeight="false" outlineLevel="0" collapsed="false">
      <c r="A4240" s="36" t="n">
        <v>46209</v>
      </c>
      <c r="B4240" s="24" t="s">
        <v>64</v>
      </c>
      <c r="C4240" s="24" t="s">
        <v>165</v>
      </c>
      <c r="D4240" s="33" t="n">
        <v>35</v>
      </c>
      <c r="E4240" s="24" t="n">
        <v>0</v>
      </c>
      <c r="F4240" s="37" t="n">
        <f aca="false">DATE(YEAR(A4240),MONTH(A4240),1)</f>
        <v>46204</v>
      </c>
      <c r="G4240" s="24" t="str">
        <f aca="false">INDEX(Products!$C$2:$C$49,MATCH(C4240,Products!$A$2:$A$49,0))</f>
        <v>Household</v>
      </c>
      <c r="H4240" s="33" t="n">
        <f aca="false">D4240*INDEX(Products!$E$2:$E$49,MATCH(C4240,Products!$A$2:$A$49,0))</f>
        <v>6650</v>
      </c>
      <c r="I4240" s="33" t="n">
        <f aca="false">D4240*INDEX(Products!$D$2:$D$49,MATCH(C4240,Products!$A$2:$A$49,0))*(1+INDEX(Assumptions!$B$16:$B$20,MATCH(B4240,Assumptions!$A$16:$A$20,0)))</f>
        <v>4910.08</v>
      </c>
      <c r="J4240" s="33" t="n">
        <f aca="false">H4240-I4240</f>
        <v>1739.92</v>
      </c>
      <c r="K4240" s="33" t="n">
        <f aca="false">IF(OR(E4240=0,E4240&gt;=7),0,D4240/(7-E4240)*E4240*INDEX(Products!$E$2:$E$49,MATCH(C4240,Products!$A$2:$A$49,0)))</f>
        <v>0</v>
      </c>
    </row>
    <row r="4241" customFormat="false" ht="15" hidden="false" customHeight="false" outlineLevel="0" collapsed="false">
      <c r="A4241" s="36" t="n">
        <v>46216</v>
      </c>
      <c r="B4241" s="24" t="s">
        <v>64</v>
      </c>
      <c r="C4241" s="24" t="s">
        <v>165</v>
      </c>
      <c r="D4241" s="33" t="n">
        <v>39</v>
      </c>
      <c r="E4241" s="24" t="n">
        <v>0</v>
      </c>
      <c r="F4241" s="37" t="n">
        <f aca="false">DATE(YEAR(A4241),MONTH(A4241),1)</f>
        <v>46204</v>
      </c>
      <c r="G4241" s="24" t="str">
        <f aca="false">INDEX(Products!$C$2:$C$49,MATCH(C4241,Products!$A$2:$A$49,0))</f>
        <v>Household</v>
      </c>
      <c r="H4241" s="33" t="n">
        <f aca="false">D4241*INDEX(Products!$E$2:$E$49,MATCH(C4241,Products!$A$2:$A$49,0))</f>
        <v>7410</v>
      </c>
      <c r="I4241" s="33" t="n">
        <f aca="false">D4241*INDEX(Products!$D$2:$D$49,MATCH(C4241,Products!$A$2:$A$49,0))*(1+INDEX(Assumptions!$B$16:$B$20,MATCH(B4241,Assumptions!$A$16:$A$20,0)))</f>
        <v>5471.232</v>
      </c>
      <c r="J4241" s="33" t="n">
        <f aca="false">H4241-I4241</f>
        <v>1938.768</v>
      </c>
      <c r="K4241" s="33" t="n">
        <f aca="false">IF(OR(E4241=0,E4241&gt;=7),0,D4241/(7-E4241)*E4241*INDEX(Products!$E$2:$E$49,MATCH(C4241,Products!$A$2:$A$49,0)))</f>
        <v>0</v>
      </c>
    </row>
    <row r="4242" customFormat="false" ht="15" hidden="false" customHeight="false" outlineLevel="0" collapsed="false">
      <c r="A4242" s="36" t="n">
        <v>46223</v>
      </c>
      <c r="B4242" s="24" t="s">
        <v>64</v>
      </c>
      <c r="C4242" s="24" t="s">
        <v>165</v>
      </c>
      <c r="D4242" s="33" t="n">
        <v>45</v>
      </c>
      <c r="E4242" s="24" t="n">
        <v>0</v>
      </c>
      <c r="F4242" s="37" t="n">
        <f aca="false">DATE(YEAR(A4242),MONTH(A4242),1)</f>
        <v>46204</v>
      </c>
      <c r="G4242" s="24" t="str">
        <f aca="false">INDEX(Products!$C$2:$C$49,MATCH(C4242,Products!$A$2:$A$49,0))</f>
        <v>Household</v>
      </c>
      <c r="H4242" s="33" t="n">
        <f aca="false">D4242*INDEX(Products!$E$2:$E$49,MATCH(C4242,Products!$A$2:$A$49,0))</f>
        <v>8550</v>
      </c>
      <c r="I4242" s="33" t="n">
        <f aca="false">D4242*INDEX(Products!$D$2:$D$49,MATCH(C4242,Products!$A$2:$A$49,0))*(1+INDEX(Assumptions!$B$16:$B$20,MATCH(B4242,Assumptions!$A$16:$A$20,0)))</f>
        <v>6312.96</v>
      </c>
      <c r="J4242" s="33" t="n">
        <f aca="false">H4242-I4242</f>
        <v>2237.04</v>
      </c>
      <c r="K4242" s="33" t="n">
        <f aca="false">IF(OR(E4242=0,E4242&gt;=7),0,D4242/(7-E4242)*E4242*INDEX(Products!$E$2:$E$49,MATCH(C4242,Products!$A$2:$A$49,0)))</f>
        <v>0</v>
      </c>
    </row>
    <row r="4243" customFormat="false" ht="15" hidden="false" customHeight="false" outlineLevel="0" collapsed="false">
      <c r="A4243" s="36" t="n">
        <v>46230</v>
      </c>
      <c r="B4243" s="24" t="s">
        <v>64</v>
      </c>
      <c r="C4243" s="24" t="s">
        <v>165</v>
      </c>
      <c r="D4243" s="33" t="n">
        <v>38</v>
      </c>
      <c r="E4243" s="24" t="n">
        <v>0</v>
      </c>
      <c r="F4243" s="37" t="n">
        <f aca="false">DATE(YEAR(A4243),MONTH(A4243),1)</f>
        <v>46204</v>
      </c>
      <c r="G4243" s="24" t="str">
        <f aca="false">INDEX(Products!$C$2:$C$49,MATCH(C4243,Products!$A$2:$A$49,0))</f>
        <v>Household</v>
      </c>
      <c r="H4243" s="33" t="n">
        <f aca="false">D4243*INDEX(Products!$E$2:$E$49,MATCH(C4243,Products!$A$2:$A$49,0))</f>
        <v>7220</v>
      </c>
      <c r="I4243" s="33" t="n">
        <f aca="false">D4243*INDEX(Products!$D$2:$D$49,MATCH(C4243,Products!$A$2:$A$49,0))*(1+INDEX(Assumptions!$B$16:$B$20,MATCH(B4243,Assumptions!$A$16:$A$20,0)))</f>
        <v>5330.944</v>
      </c>
      <c r="J4243" s="33" t="n">
        <f aca="false">H4243-I4243</f>
        <v>1889.056</v>
      </c>
      <c r="K4243" s="33" t="n">
        <f aca="false">IF(OR(E4243=0,E4243&gt;=7),0,D4243/(7-E4243)*E4243*INDEX(Products!$E$2:$E$49,MATCH(C4243,Products!$A$2:$A$49,0)))</f>
        <v>0</v>
      </c>
    </row>
    <row r="4244" customFormat="false" ht="15" hidden="false" customHeight="false" outlineLevel="0" collapsed="false">
      <c r="A4244" s="36" t="n">
        <v>46237</v>
      </c>
      <c r="B4244" s="24" t="s">
        <v>64</v>
      </c>
      <c r="C4244" s="24" t="s">
        <v>165</v>
      </c>
      <c r="D4244" s="33" t="n">
        <v>34</v>
      </c>
      <c r="E4244" s="24" t="n">
        <v>0</v>
      </c>
      <c r="F4244" s="37" t="n">
        <f aca="false">DATE(YEAR(A4244),MONTH(A4244),1)</f>
        <v>46235</v>
      </c>
      <c r="G4244" s="24" t="str">
        <f aca="false">INDEX(Products!$C$2:$C$49,MATCH(C4244,Products!$A$2:$A$49,0))</f>
        <v>Household</v>
      </c>
      <c r="H4244" s="33" t="n">
        <f aca="false">D4244*INDEX(Products!$E$2:$E$49,MATCH(C4244,Products!$A$2:$A$49,0))</f>
        <v>6460</v>
      </c>
      <c r="I4244" s="33" t="n">
        <f aca="false">D4244*INDEX(Products!$D$2:$D$49,MATCH(C4244,Products!$A$2:$A$49,0))*(1+INDEX(Assumptions!$B$16:$B$20,MATCH(B4244,Assumptions!$A$16:$A$20,0)))</f>
        <v>4769.792</v>
      </c>
      <c r="J4244" s="33" t="n">
        <f aca="false">H4244-I4244</f>
        <v>1690.208</v>
      </c>
      <c r="K4244" s="33" t="n">
        <f aca="false">IF(OR(E4244=0,E4244&gt;=7),0,D4244/(7-E4244)*E4244*INDEX(Products!$E$2:$E$49,MATCH(C4244,Products!$A$2:$A$49,0)))</f>
        <v>0</v>
      </c>
    </row>
    <row r="4245" customFormat="false" ht="15" hidden="false" customHeight="false" outlineLevel="0" collapsed="false">
      <c r="A4245" s="36" t="n">
        <v>46244</v>
      </c>
      <c r="B4245" s="24" t="s">
        <v>64</v>
      </c>
      <c r="C4245" s="24" t="s">
        <v>165</v>
      </c>
      <c r="D4245" s="33" t="n">
        <v>32</v>
      </c>
      <c r="E4245" s="24" t="n">
        <v>0</v>
      </c>
      <c r="F4245" s="37" t="n">
        <f aca="false">DATE(YEAR(A4245),MONTH(A4245),1)</f>
        <v>46235</v>
      </c>
      <c r="G4245" s="24" t="str">
        <f aca="false">INDEX(Products!$C$2:$C$49,MATCH(C4245,Products!$A$2:$A$49,0))</f>
        <v>Household</v>
      </c>
      <c r="H4245" s="33" t="n">
        <f aca="false">D4245*INDEX(Products!$E$2:$E$49,MATCH(C4245,Products!$A$2:$A$49,0))</f>
        <v>6080</v>
      </c>
      <c r="I4245" s="33" t="n">
        <f aca="false">D4245*INDEX(Products!$D$2:$D$49,MATCH(C4245,Products!$A$2:$A$49,0))*(1+INDEX(Assumptions!$B$16:$B$20,MATCH(B4245,Assumptions!$A$16:$A$20,0)))</f>
        <v>4489.216</v>
      </c>
      <c r="J4245" s="33" t="n">
        <f aca="false">H4245-I4245</f>
        <v>1590.784</v>
      </c>
      <c r="K4245" s="33" t="n">
        <f aca="false">IF(OR(E4245=0,E4245&gt;=7),0,D4245/(7-E4245)*E4245*INDEX(Products!$E$2:$E$49,MATCH(C4245,Products!$A$2:$A$49,0)))</f>
        <v>0</v>
      </c>
    </row>
    <row r="4246" customFormat="false" ht="15" hidden="false" customHeight="false" outlineLevel="0" collapsed="false">
      <c r="A4246" s="36" t="n">
        <v>46251</v>
      </c>
      <c r="B4246" s="24" t="s">
        <v>64</v>
      </c>
      <c r="C4246" s="24" t="s">
        <v>165</v>
      </c>
      <c r="D4246" s="33" t="n">
        <v>35</v>
      </c>
      <c r="E4246" s="24" t="n">
        <v>0</v>
      </c>
      <c r="F4246" s="37" t="n">
        <f aca="false">DATE(YEAR(A4246),MONTH(A4246),1)</f>
        <v>46235</v>
      </c>
      <c r="G4246" s="24" t="str">
        <f aca="false">INDEX(Products!$C$2:$C$49,MATCH(C4246,Products!$A$2:$A$49,0))</f>
        <v>Household</v>
      </c>
      <c r="H4246" s="33" t="n">
        <f aca="false">D4246*INDEX(Products!$E$2:$E$49,MATCH(C4246,Products!$A$2:$A$49,0))</f>
        <v>6650</v>
      </c>
      <c r="I4246" s="33" t="n">
        <f aca="false">D4246*INDEX(Products!$D$2:$D$49,MATCH(C4246,Products!$A$2:$A$49,0))*(1+INDEX(Assumptions!$B$16:$B$20,MATCH(B4246,Assumptions!$A$16:$A$20,0)))</f>
        <v>4910.08</v>
      </c>
      <c r="J4246" s="33" t="n">
        <f aca="false">H4246-I4246</f>
        <v>1739.92</v>
      </c>
      <c r="K4246" s="33" t="n">
        <f aca="false">IF(OR(E4246=0,E4246&gt;=7),0,D4246/(7-E4246)*E4246*INDEX(Products!$E$2:$E$49,MATCH(C4246,Products!$A$2:$A$49,0)))</f>
        <v>0</v>
      </c>
    </row>
    <row r="4247" customFormat="false" ht="15" hidden="false" customHeight="false" outlineLevel="0" collapsed="false">
      <c r="A4247" s="36" t="n">
        <v>46258</v>
      </c>
      <c r="B4247" s="24" t="s">
        <v>64</v>
      </c>
      <c r="C4247" s="24" t="s">
        <v>165</v>
      </c>
      <c r="D4247" s="33" t="n">
        <v>43</v>
      </c>
      <c r="E4247" s="24" t="n">
        <v>0</v>
      </c>
      <c r="F4247" s="37" t="n">
        <f aca="false">DATE(YEAR(A4247),MONTH(A4247),1)</f>
        <v>46235</v>
      </c>
      <c r="G4247" s="24" t="str">
        <f aca="false">INDEX(Products!$C$2:$C$49,MATCH(C4247,Products!$A$2:$A$49,0))</f>
        <v>Household</v>
      </c>
      <c r="H4247" s="33" t="n">
        <f aca="false">D4247*INDEX(Products!$E$2:$E$49,MATCH(C4247,Products!$A$2:$A$49,0))</f>
        <v>8170</v>
      </c>
      <c r="I4247" s="33" t="n">
        <f aca="false">D4247*INDEX(Products!$D$2:$D$49,MATCH(C4247,Products!$A$2:$A$49,0))*(1+INDEX(Assumptions!$B$16:$B$20,MATCH(B4247,Assumptions!$A$16:$A$20,0)))</f>
        <v>6032.384</v>
      </c>
      <c r="J4247" s="33" t="n">
        <f aca="false">H4247-I4247</f>
        <v>2137.616</v>
      </c>
      <c r="K4247" s="33" t="n">
        <f aca="false">IF(OR(E4247=0,E4247&gt;=7),0,D4247/(7-E4247)*E4247*INDEX(Products!$E$2:$E$49,MATCH(C4247,Products!$A$2:$A$49,0)))</f>
        <v>0</v>
      </c>
    </row>
    <row r="4248" customFormat="false" ht="15" hidden="false" customHeight="false" outlineLevel="0" collapsed="false">
      <c r="A4248" s="36" t="n">
        <v>46265</v>
      </c>
      <c r="B4248" s="24" t="s">
        <v>64</v>
      </c>
      <c r="C4248" s="24" t="s">
        <v>165</v>
      </c>
      <c r="D4248" s="33" t="n">
        <v>37</v>
      </c>
      <c r="E4248" s="24" t="n">
        <v>0</v>
      </c>
      <c r="F4248" s="37" t="n">
        <f aca="false">DATE(YEAR(A4248),MONTH(A4248),1)</f>
        <v>46235</v>
      </c>
      <c r="G4248" s="24" t="str">
        <f aca="false">INDEX(Products!$C$2:$C$49,MATCH(C4248,Products!$A$2:$A$49,0))</f>
        <v>Household</v>
      </c>
      <c r="H4248" s="33" t="n">
        <f aca="false">D4248*INDEX(Products!$E$2:$E$49,MATCH(C4248,Products!$A$2:$A$49,0))</f>
        <v>7030</v>
      </c>
      <c r="I4248" s="33" t="n">
        <f aca="false">D4248*INDEX(Products!$D$2:$D$49,MATCH(C4248,Products!$A$2:$A$49,0))*(1+INDEX(Assumptions!$B$16:$B$20,MATCH(B4248,Assumptions!$A$16:$A$20,0)))</f>
        <v>5190.656</v>
      </c>
      <c r="J4248" s="33" t="n">
        <f aca="false">H4248-I4248</f>
        <v>1839.344</v>
      </c>
      <c r="K4248" s="33" t="n">
        <f aca="false">IF(OR(E4248=0,E4248&gt;=7),0,D4248/(7-E4248)*E4248*INDEX(Products!$E$2:$E$49,MATCH(C4248,Products!$A$2:$A$49,0)))</f>
        <v>0</v>
      </c>
    </row>
    <row r="4249" customFormat="false" ht="15" hidden="false" customHeight="false" outlineLevel="0" collapsed="false">
      <c r="A4249" s="36" t="n">
        <v>46272</v>
      </c>
      <c r="B4249" s="24" t="s">
        <v>64</v>
      </c>
      <c r="C4249" s="24" t="s">
        <v>165</v>
      </c>
      <c r="D4249" s="33" t="n">
        <v>45</v>
      </c>
      <c r="E4249" s="24" t="n">
        <v>0</v>
      </c>
      <c r="F4249" s="37" t="n">
        <f aca="false">DATE(YEAR(A4249),MONTH(A4249),1)</f>
        <v>46266</v>
      </c>
      <c r="G4249" s="24" t="str">
        <f aca="false">INDEX(Products!$C$2:$C$49,MATCH(C4249,Products!$A$2:$A$49,0))</f>
        <v>Household</v>
      </c>
      <c r="H4249" s="33" t="n">
        <f aca="false">D4249*INDEX(Products!$E$2:$E$49,MATCH(C4249,Products!$A$2:$A$49,0))</f>
        <v>8550</v>
      </c>
      <c r="I4249" s="33" t="n">
        <f aca="false">D4249*INDEX(Products!$D$2:$D$49,MATCH(C4249,Products!$A$2:$A$49,0))*(1+INDEX(Assumptions!$B$16:$B$20,MATCH(B4249,Assumptions!$A$16:$A$20,0)))</f>
        <v>6312.96</v>
      </c>
      <c r="J4249" s="33" t="n">
        <f aca="false">H4249-I4249</f>
        <v>2237.04</v>
      </c>
      <c r="K4249" s="33" t="n">
        <f aca="false">IF(OR(E4249=0,E4249&gt;=7),0,D4249/(7-E4249)*E4249*INDEX(Products!$E$2:$E$49,MATCH(C4249,Products!$A$2:$A$49,0)))</f>
        <v>0</v>
      </c>
    </row>
    <row r="4250" customFormat="false" ht="15" hidden="false" customHeight="false" outlineLevel="0" collapsed="false">
      <c r="A4250" s="36" t="n">
        <v>46279</v>
      </c>
      <c r="B4250" s="24" t="s">
        <v>64</v>
      </c>
      <c r="C4250" s="24" t="s">
        <v>165</v>
      </c>
      <c r="D4250" s="33" t="n">
        <v>29</v>
      </c>
      <c r="E4250" s="24" t="n">
        <v>0</v>
      </c>
      <c r="F4250" s="37" t="n">
        <f aca="false">DATE(YEAR(A4250),MONTH(A4250),1)</f>
        <v>46266</v>
      </c>
      <c r="G4250" s="24" t="str">
        <f aca="false">INDEX(Products!$C$2:$C$49,MATCH(C4250,Products!$A$2:$A$49,0))</f>
        <v>Household</v>
      </c>
      <c r="H4250" s="33" t="n">
        <f aca="false">D4250*INDEX(Products!$E$2:$E$49,MATCH(C4250,Products!$A$2:$A$49,0))</f>
        <v>5510</v>
      </c>
      <c r="I4250" s="33" t="n">
        <f aca="false">D4250*INDEX(Products!$D$2:$D$49,MATCH(C4250,Products!$A$2:$A$49,0))*(1+INDEX(Assumptions!$B$16:$B$20,MATCH(B4250,Assumptions!$A$16:$A$20,0)))</f>
        <v>4068.352</v>
      </c>
      <c r="J4250" s="33" t="n">
        <f aca="false">H4250-I4250</f>
        <v>1441.648</v>
      </c>
      <c r="K4250" s="33" t="n">
        <f aca="false">IF(OR(E4250=0,E4250&gt;=7),0,D4250/(7-E4250)*E4250*INDEX(Products!$E$2:$E$49,MATCH(C4250,Products!$A$2:$A$49,0)))</f>
        <v>0</v>
      </c>
    </row>
    <row r="4251" customFormat="false" ht="15" hidden="false" customHeight="false" outlineLevel="0" collapsed="false">
      <c r="A4251" s="36" t="n">
        <v>46286</v>
      </c>
      <c r="B4251" s="24" t="s">
        <v>64</v>
      </c>
      <c r="C4251" s="24" t="s">
        <v>165</v>
      </c>
      <c r="D4251" s="33" t="n">
        <v>35</v>
      </c>
      <c r="E4251" s="24" t="n">
        <v>0</v>
      </c>
      <c r="F4251" s="37" t="n">
        <f aca="false">DATE(YEAR(A4251),MONTH(A4251),1)</f>
        <v>46266</v>
      </c>
      <c r="G4251" s="24" t="str">
        <f aca="false">INDEX(Products!$C$2:$C$49,MATCH(C4251,Products!$A$2:$A$49,0))</f>
        <v>Household</v>
      </c>
      <c r="H4251" s="33" t="n">
        <f aca="false">D4251*INDEX(Products!$E$2:$E$49,MATCH(C4251,Products!$A$2:$A$49,0))</f>
        <v>6650</v>
      </c>
      <c r="I4251" s="33" t="n">
        <f aca="false">D4251*INDEX(Products!$D$2:$D$49,MATCH(C4251,Products!$A$2:$A$49,0))*(1+INDEX(Assumptions!$B$16:$B$20,MATCH(B4251,Assumptions!$A$16:$A$20,0)))</f>
        <v>4910.08</v>
      </c>
      <c r="J4251" s="33" t="n">
        <f aca="false">H4251-I4251</f>
        <v>1739.92</v>
      </c>
      <c r="K4251" s="33" t="n">
        <f aca="false">IF(OR(E4251=0,E4251&gt;=7),0,D4251/(7-E4251)*E4251*INDEX(Products!$E$2:$E$49,MATCH(C4251,Products!$A$2:$A$49,0)))</f>
        <v>0</v>
      </c>
    </row>
    <row r="4252" customFormat="false" ht="15" hidden="false" customHeight="false" outlineLevel="0" collapsed="false">
      <c r="A4252" s="36" t="n">
        <v>46118</v>
      </c>
      <c r="B4252" s="24" t="s">
        <v>64</v>
      </c>
      <c r="C4252" s="24" t="s">
        <v>167</v>
      </c>
      <c r="D4252" s="33" t="n">
        <v>27</v>
      </c>
      <c r="E4252" s="24" t="n">
        <v>0</v>
      </c>
      <c r="F4252" s="37" t="n">
        <f aca="false">DATE(YEAR(A4252),MONTH(A4252),1)</f>
        <v>46113</v>
      </c>
      <c r="G4252" s="24" t="str">
        <f aca="false">INDEX(Products!$C$2:$C$49,MATCH(C4252,Products!$A$2:$A$49,0))</f>
        <v>Household</v>
      </c>
      <c r="H4252" s="33" t="n">
        <f aca="false">D4252*INDEX(Products!$E$2:$E$49,MATCH(C4252,Products!$A$2:$A$49,0))</f>
        <v>4050</v>
      </c>
      <c r="I4252" s="33" t="n">
        <f aca="false">D4252*INDEX(Products!$D$2:$D$49,MATCH(C4252,Products!$A$2:$A$49,0))*(1+INDEX(Assumptions!$B$16:$B$20,MATCH(B4252,Assumptions!$A$16:$A$20,0)))</f>
        <v>3096.576</v>
      </c>
      <c r="J4252" s="33" t="n">
        <f aca="false">H4252-I4252</f>
        <v>953.424</v>
      </c>
      <c r="K4252" s="33" t="n">
        <f aca="false">IF(OR(E4252=0,E4252&gt;=7),0,D4252/(7-E4252)*E4252*INDEX(Products!$E$2:$E$49,MATCH(C4252,Products!$A$2:$A$49,0)))</f>
        <v>0</v>
      </c>
    </row>
    <row r="4253" customFormat="false" ht="15" hidden="false" customHeight="false" outlineLevel="0" collapsed="false">
      <c r="A4253" s="36" t="n">
        <v>46125</v>
      </c>
      <c r="B4253" s="24" t="s">
        <v>64</v>
      </c>
      <c r="C4253" s="24" t="s">
        <v>167</v>
      </c>
      <c r="D4253" s="33" t="n">
        <v>39</v>
      </c>
      <c r="E4253" s="24" t="n">
        <v>0</v>
      </c>
      <c r="F4253" s="37" t="n">
        <f aca="false">DATE(YEAR(A4253),MONTH(A4253),1)</f>
        <v>46113</v>
      </c>
      <c r="G4253" s="24" t="str">
        <f aca="false">INDEX(Products!$C$2:$C$49,MATCH(C4253,Products!$A$2:$A$49,0))</f>
        <v>Household</v>
      </c>
      <c r="H4253" s="33" t="n">
        <f aca="false">D4253*INDEX(Products!$E$2:$E$49,MATCH(C4253,Products!$A$2:$A$49,0))</f>
        <v>5850</v>
      </c>
      <c r="I4253" s="33" t="n">
        <f aca="false">D4253*INDEX(Products!$D$2:$D$49,MATCH(C4253,Products!$A$2:$A$49,0))*(1+INDEX(Assumptions!$B$16:$B$20,MATCH(B4253,Assumptions!$A$16:$A$20,0)))</f>
        <v>4472.832</v>
      </c>
      <c r="J4253" s="33" t="n">
        <f aca="false">H4253-I4253</f>
        <v>1377.168</v>
      </c>
      <c r="K4253" s="33" t="n">
        <f aca="false">IF(OR(E4253=0,E4253&gt;=7),0,D4253/(7-E4253)*E4253*INDEX(Products!$E$2:$E$49,MATCH(C4253,Products!$A$2:$A$49,0)))</f>
        <v>0</v>
      </c>
    </row>
    <row r="4254" customFormat="false" ht="15" hidden="false" customHeight="false" outlineLevel="0" collapsed="false">
      <c r="A4254" s="36" t="n">
        <v>46132</v>
      </c>
      <c r="B4254" s="24" t="s">
        <v>64</v>
      </c>
      <c r="C4254" s="24" t="s">
        <v>167</v>
      </c>
      <c r="D4254" s="33" t="n">
        <v>27</v>
      </c>
      <c r="E4254" s="24" t="n">
        <v>0</v>
      </c>
      <c r="F4254" s="37" t="n">
        <f aca="false">DATE(YEAR(A4254),MONTH(A4254),1)</f>
        <v>46113</v>
      </c>
      <c r="G4254" s="24" t="str">
        <f aca="false">INDEX(Products!$C$2:$C$49,MATCH(C4254,Products!$A$2:$A$49,0))</f>
        <v>Household</v>
      </c>
      <c r="H4254" s="33" t="n">
        <f aca="false">D4254*INDEX(Products!$E$2:$E$49,MATCH(C4254,Products!$A$2:$A$49,0))</f>
        <v>4050</v>
      </c>
      <c r="I4254" s="33" t="n">
        <f aca="false">D4254*INDEX(Products!$D$2:$D$49,MATCH(C4254,Products!$A$2:$A$49,0))*(1+INDEX(Assumptions!$B$16:$B$20,MATCH(B4254,Assumptions!$A$16:$A$20,0)))</f>
        <v>3096.576</v>
      </c>
      <c r="J4254" s="33" t="n">
        <f aca="false">H4254-I4254</f>
        <v>953.424</v>
      </c>
      <c r="K4254" s="33" t="n">
        <f aca="false">IF(OR(E4254=0,E4254&gt;=7),0,D4254/(7-E4254)*E4254*INDEX(Products!$E$2:$E$49,MATCH(C4254,Products!$A$2:$A$49,0)))</f>
        <v>0</v>
      </c>
    </row>
    <row r="4255" customFormat="false" ht="15" hidden="false" customHeight="false" outlineLevel="0" collapsed="false">
      <c r="A4255" s="36" t="n">
        <v>46139</v>
      </c>
      <c r="B4255" s="24" t="s">
        <v>64</v>
      </c>
      <c r="C4255" s="24" t="s">
        <v>167</v>
      </c>
      <c r="D4255" s="33" t="n">
        <v>27</v>
      </c>
      <c r="E4255" s="24" t="n">
        <v>0</v>
      </c>
      <c r="F4255" s="37" t="n">
        <f aca="false">DATE(YEAR(A4255),MONTH(A4255),1)</f>
        <v>46113</v>
      </c>
      <c r="G4255" s="24" t="str">
        <f aca="false">INDEX(Products!$C$2:$C$49,MATCH(C4255,Products!$A$2:$A$49,0))</f>
        <v>Household</v>
      </c>
      <c r="H4255" s="33" t="n">
        <f aca="false">D4255*INDEX(Products!$E$2:$E$49,MATCH(C4255,Products!$A$2:$A$49,0))</f>
        <v>4050</v>
      </c>
      <c r="I4255" s="33" t="n">
        <f aca="false">D4255*INDEX(Products!$D$2:$D$49,MATCH(C4255,Products!$A$2:$A$49,0))*(1+INDEX(Assumptions!$B$16:$B$20,MATCH(B4255,Assumptions!$A$16:$A$20,0)))</f>
        <v>3096.576</v>
      </c>
      <c r="J4255" s="33" t="n">
        <f aca="false">H4255-I4255</f>
        <v>953.424</v>
      </c>
      <c r="K4255" s="33" t="n">
        <f aca="false">IF(OR(E4255=0,E4255&gt;=7),0,D4255/(7-E4255)*E4255*INDEX(Products!$E$2:$E$49,MATCH(C4255,Products!$A$2:$A$49,0)))</f>
        <v>0</v>
      </c>
    </row>
    <row r="4256" customFormat="false" ht="15" hidden="false" customHeight="false" outlineLevel="0" collapsed="false">
      <c r="A4256" s="36" t="n">
        <v>46146</v>
      </c>
      <c r="B4256" s="24" t="s">
        <v>64</v>
      </c>
      <c r="C4256" s="24" t="s">
        <v>167</v>
      </c>
      <c r="D4256" s="33" t="n">
        <v>28</v>
      </c>
      <c r="E4256" s="24" t="n">
        <v>0</v>
      </c>
      <c r="F4256" s="37" t="n">
        <f aca="false">DATE(YEAR(A4256),MONTH(A4256),1)</f>
        <v>46143</v>
      </c>
      <c r="G4256" s="24" t="str">
        <f aca="false">INDEX(Products!$C$2:$C$49,MATCH(C4256,Products!$A$2:$A$49,0))</f>
        <v>Household</v>
      </c>
      <c r="H4256" s="33" t="n">
        <f aca="false">D4256*INDEX(Products!$E$2:$E$49,MATCH(C4256,Products!$A$2:$A$49,0))</f>
        <v>4200</v>
      </c>
      <c r="I4256" s="33" t="n">
        <f aca="false">D4256*INDEX(Products!$D$2:$D$49,MATCH(C4256,Products!$A$2:$A$49,0))*(1+INDEX(Assumptions!$B$16:$B$20,MATCH(B4256,Assumptions!$A$16:$A$20,0)))</f>
        <v>3211.264</v>
      </c>
      <c r="J4256" s="33" t="n">
        <f aca="false">H4256-I4256</f>
        <v>988.736</v>
      </c>
      <c r="K4256" s="33" t="n">
        <f aca="false">IF(OR(E4256=0,E4256&gt;=7),0,D4256/(7-E4256)*E4256*INDEX(Products!$E$2:$E$49,MATCH(C4256,Products!$A$2:$A$49,0)))</f>
        <v>0</v>
      </c>
    </row>
    <row r="4257" customFormat="false" ht="15" hidden="false" customHeight="false" outlineLevel="0" collapsed="false">
      <c r="A4257" s="36" t="n">
        <v>46153</v>
      </c>
      <c r="B4257" s="24" t="s">
        <v>64</v>
      </c>
      <c r="C4257" s="24" t="s">
        <v>167</v>
      </c>
      <c r="D4257" s="33" t="n">
        <v>33</v>
      </c>
      <c r="E4257" s="24" t="n">
        <v>0</v>
      </c>
      <c r="F4257" s="37" t="n">
        <f aca="false">DATE(YEAR(A4257),MONTH(A4257),1)</f>
        <v>46143</v>
      </c>
      <c r="G4257" s="24" t="str">
        <f aca="false">INDEX(Products!$C$2:$C$49,MATCH(C4257,Products!$A$2:$A$49,0))</f>
        <v>Household</v>
      </c>
      <c r="H4257" s="33" t="n">
        <f aca="false">D4257*INDEX(Products!$E$2:$E$49,MATCH(C4257,Products!$A$2:$A$49,0))</f>
        <v>4950</v>
      </c>
      <c r="I4257" s="33" t="n">
        <f aca="false">D4257*INDEX(Products!$D$2:$D$49,MATCH(C4257,Products!$A$2:$A$49,0))*(1+INDEX(Assumptions!$B$16:$B$20,MATCH(B4257,Assumptions!$A$16:$A$20,0)))</f>
        <v>3784.704</v>
      </c>
      <c r="J4257" s="33" t="n">
        <f aca="false">H4257-I4257</f>
        <v>1165.296</v>
      </c>
      <c r="K4257" s="33" t="n">
        <f aca="false">IF(OR(E4257=0,E4257&gt;=7),0,D4257/(7-E4257)*E4257*INDEX(Products!$E$2:$E$49,MATCH(C4257,Products!$A$2:$A$49,0)))</f>
        <v>0</v>
      </c>
    </row>
    <row r="4258" customFormat="false" ht="15" hidden="false" customHeight="false" outlineLevel="0" collapsed="false">
      <c r="A4258" s="36" t="n">
        <v>46160</v>
      </c>
      <c r="B4258" s="24" t="s">
        <v>64</v>
      </c>
      <c r="C4258" s="24" t="s">
        <v>167</v>
      </c>
      <c r="D4258" s="33" t="n">
        <v>32</v>
      </c>
      <c r="E4258" s="24" t="n">
        <v>0</v>
      </c>
      <c r="F4258" s="37" t="n">
        <f aca="false">DATE(YEAR(A4258),MONTH(A4258),1)</f>
        <v>46143</v>
      </c>
      <c r="G4258" s="24" t="str">
        <f aca="false">INDEX(Products!$C$2:$C$49,MATCH(C4258,Products!$A$2:$A$49,0))</f>
        <v>Household</v>
      </c>
      <c r="H4258" s="33" t="n">
        <f aca="false">D4258*INDEX(Products!$E$2:$E$49,MATCH(C4258,Products!$A$2:$A$49,0))</f>
        <v>4800</v>
      </c>
      <c r="I4258" s="33" t="n">
        <f aca="false">D4258*INDEX(Products!$D$2:$D$49,MATCH(C4258,Products!$A$2:$A$49,0))*(1+INDEX(Assumptions!$B$16:$B$20,MATCH(B4258,Assumptions!$A$16:$A$20,0)))</f>
        <v>3670.016</v>
      </c>
      <c r="J4258" s="33" t="n">
        <f aca="false">H4258-I4258</f>
        <v>1129.984</v>
      </c>
      <c r="K4258" s="33" t="n">
        <f aca="false">IF(OR(E4258=0,E4258&gt;=7),0,D4258/(7-E4258)*E4258*INDEX(Products!$E$2:$E$49,MATCH(C4258,Products!$A$2:$A$49,0)))</f>
        <v>0</v>
      </c>
    </row>
    <row r="4259" customFormat="false" ht="15" hidden="false" customHeight="false" outlineLevel="0" collapsed="false">
      <c r="A4259" s="36" t="n">
        <v>46167</v>
      </c>
      <c r="B4259" s="24" t="s">
        <v>64</v>
      </c>
      <c r="C4259" s="24" t="s">
        <v>167</v>
      </c>
      <c r="D4259" s="33" t="n">
        <v>34</v>
      </c>
      <c r="E4259" s="24" t="n">
        <v>0</v>
      </c>
      <c r="F4259" s="37" t="n">
        <f aca="false">DATE(YEAR(A4259),MONTH(A4259),1)</f>
        <v>46143</v>
      </c>
      <c r="G4259" s="24" t="str">
        <f aca="false">INDEX(Products!$C$2:$C$49,MATCH(C4259,Products!$A$2:$A$49,0))</f>
        <v>Household</v>
      </c>
      <c r="H4259" s="33" t="n">
        <f aca="false">D4259*INDEX(Products!$E$2:$E$49,MATCH(C4259,Products!$A$2:$A$49,0))</f>
        <v>5100</v>
      </c>
      <c r="I4259" s="33" t="n">
        <f aca="false">D4259*INDEX(Products!$D$2:$D$49,MATCH(C4259,Products!$A$2:$A$49,0))*(1+INDEX(Assumptions!$B$16:$B$20,MATCH(B4259,Assumptions!$A$16:$A$20,0)))</f>
        <v>3899.392</v>
      </c>
      <c r="J4259" s="33" t="n">
        <f aca="false">H4259-I4259</f>
        <v>1200.608</v>
      </c>
      <c r="K4259" s="33" t="n">
        <f aca="false">IF(OR(E4259=0,E4259&gt;=7),0,D4259/(7-E4259)*E4259*INDEX(Products!$E$2:$E$49,MATCH(C4259,Products!$A$2:$A$49,0)))</f>
        <v>0</v>
      </c>
    </row>
    <row r="4260" customFormat="false" ht="15" hidden="false" customHeight="false" outlineLevel="0" collapsed="false">
      <c r="A4260" s="36" t="n">
        <v>46174</v>
      </c>
      <c r="B4260" s="24" t="s">
        <v>64</v>
      </c>
      <c r="C4260" s="24" t="s">
        <v>167</v>
      </c>
      <c r="D4260" s="33" t="n">
        <v>34</v>
      </c>
      <c r="E4260" s="24" t="n">
        <v>0</v>
      </c>
      <c r="F4260" s="37" t="n">
        <f aca="false">DATE(YEAR(A4260),MONTH(A4260),1)</f>
        <v>46174</v>
      </c>
      <c r="G4260" s="24" t="str">
        <f aca="false">INDEX(Products!$C$2:$C$49,MATCH(C4260,Products!$A$2:$A$49,0))</f>
        <v>Household</v>
      </c>
      <c r="H4260" s="33" t="n">
        <f aca="false">D4260*INDEX(Products!$E$2:$E$49,MATCH(C4260,Products!$A$2:$A$49,0))</f>
        <v>5100</v>
      </c>
      <c r="I4260" s="33" t="n">
        <f aca="false">D4260*INDEX(Products!$D$2:$D$49,MATCH(C4260,Products!$A$2:$A$49,0))*(1+INDEX(Assumptions!$B$16:$B$20,MATCH(B4260,Assumptions!$A$16:$A$20,0)))</f>
        <v>3899.392</v>
      </c>
      <c r="J4260" s="33" t="n">
        <f aca="false">H4260-I4260</f>
        <v>1200.608</v>
      </c>
      <c r="K4260" s="33" t="n">
        <f aca="false">IF(OR(E4260=0,E4260&gt;=7),0,D4260/(7-E4260)*E4260*INDEX(Products!$E$2:$E$49,MATCH(C4260,Products!$A$2:$A$49,0)))</f>
        <v>0</v>
      </c>
    </row>
    <row r="4261" customFormat="false" ht="15" hidden="false" customHeight="false" outlineLevel="0" collapsed="false">
      <c r="A4261" s="36" t="n">
        <v>46181</v>
      </c>
      <c r="B4261" s="24" t="s">
        <v>64</v>
      </c>
      <c r="C4261" s="24" t="s">
        <v>167</v>
      </c>
      <c r="D4261" s="33" t="n">
        <v>41</v>
      </c>
      <c r="E4261" s="24" t="n">
        <v>0</v>
      </c>
      <c r="F4261" s="37" t="n">
        <f aca="false">DATE(YEAR(A4261),MONTH(A4261),1)</f>
        <v>46174</v>
      </c>
      <c r="G4261" s="24" t="str">
        <f aca="false">INDEX(Products!$C$2:$C$49,MATCH(C4261,Products!$A$2:$A$49,0))</f>
        <v>Household</v>
      </c>
      <c r="H4261" s="33" t="n">
        <f aca="false">D4261*INDEX(Products!$E$2:$E$49,MATCH(C4261,Products!$A$2:$A$49,0))</f>
        <v>6150</v>
      </c>
      <c r="I4261" s="33" t="n">
        <f aca="false">D4261*INDEX(Products!$D$2:$D$49,MATCH(C4261,Products!$A$2:$A$49,0))*(1+INDEX(Assumptions!$B$16:$B$20,MATCH(B4261,Assumptions!$A$16:$A$20,0)))</f>
        <v>4702.208</v>
      </c>
      <c r="J4261" s="33" t="n">
        <f aca="false">H4261-I4261</f>
        <v>1447.792</v>
      </c>
      <c r="K4261" s="33" t="n">
        <f aca="false">IF(OR(E4261=0,E4261&gt;=7),0,D4261/(7-E4261)*E4261*INDEX(Products!$E$2:$E$49,MATCH(C4261,Products!$A$2:$A$49,0)))</f>
        <v>0</v>
      </c>
    </row>
    <row r="4262" customFormat="false" ht="15" hidden="false" customHeight="false" outlineLevel="0" collapsed="false">
      <c r="A4262" s="36" t="n">
        <v>46188</v>
      </c>
      <c r="B4262" s="24" t="s">
        <v>64</v>
      </c>
      <c r="C4262" s="24" t="s">
        <v>167</v>
      </c>
      <c r="D4262" s="33" t="n">
        <v>30</v>
      </c>
      <c r="E4262" s="24" t="n">
        <v>0</v>
      </c>
      <c r="F4262" s="37" t="n">
        <f aca="false">DATE(YEAR(A4262),MONTH(A4262),1)</f>
        <v>46174</v>
      </c>
      <c r="G4262" s="24" t="str">
        <f aca="false">INDEX(Products!$C$2:$C$49,MATCH(C4262,Products!$A$2:$A$49,0))</f>
        <v>Household</v>
      </c>
      <c r="H4262" s="33" t="n">
        <f aca="false">D4262*INDEX(Products!$E$2:$E$49,MATCH(C4262,Products!$A$2:$A$49,0))</f>
        <v>4500</v>
      </c>
      <c r="I4262" s="33" t="n">
        <f aca="false">D4262*INDEX(Products!$D$2:$D$49,MATCH(C4262,Products!$A$2:$A$49,0))*(1+INDEX(Assumptions!$B$16:$B$20,MATCH(B4262,Assumptions!$A$16:$A$20,0)))</f>
        <v>3440.64</v>
      </c>
      <c r="J4262" s="33" t="n">
        <f aca="false">H4262-I4262</f>
        <v>1059.36</v>
      </c>
      <c r="K4262" s="33" t="n">
        <f aca="false">IF(OR(E4262=0,E4262&gt;=7),0,D4262/(7-E4262)*E4262*INDEX(Products!$E$2:$E$49,MATCH(C4262,Products!$A$2:$A$49,0)))</f>
        <v>0</v>
      </c>
    </row>
    <row r="4263" customFormat="false" ht="15" hidden="false" customHeight="false" outlineLevel="0" collapsed="false">
      <c r="A4263" s="36" t="n">
        <v>46195</v>
      </c>
      <c r="B4263" s="24" t="s">
        <v>64</v>
      </c>
      <c r="C4263" s="24" t="s">
        <v>167</v>
      </c>
      <c r="D4263" s="33" t="n">
        <v>29</v>
      </c>
      <c r="E4263" s="24" t="n">
        <v>0</v>
      </c>
      <c r="F4263" s="37" t="n">
        <f aca="false">DATE(YEAR(A4263),MONTH(A4263),1)</f>
        <v>46174</v>
      </c>
      <c r="G4263" s="24" t="str">
        <f aca="false">INDEX(Products!$C$2:$C$49,MATCH(C4263,Products!$A$2:$A$49,0))</f>
        <v>Household</v>
      </c>
      <c r="H4263" s="33" t="n">
        <f aca="false">D4263*INDEX(Products!$E$2:$E$49,MATCH(C4263,Products!$A$2:$A$49,0))</f>
        <v>4350</v>
      </c>
      <c r="I4263" s="33" t="n">
        <f aca="false">D4263*INDEX(Products!$D$2:$D$49,MATCH(C4263,Products!$A$2:$A$49,0))*(1+INDEX(Assumptions!$B$16:$B$20,MATCH(B4263,Assumptions!$A$16:$A$20,0)))</f>
        <v>3325.952</v>
      </c>
      <c r="J4263" s="33" t="n">
        <f aca="false">H4263-I4263</f>
        <v>1024.048</v>
      </c>
      <c r="K4263" s="33" t="n">
        <f aca="false">IF(OR(E4263=0,E4263&gt;=7),0,D4263/(7-E4263)*E4263*INDEX(Products!$E$2:$E$49,MATCH(C4263,Products!$A$2:$A$49,0)))</f>
        <v>0</v>
      </c>
    </row>
    <row r="4264" customFormat="false" ht="15" hidden="false" customHeight="false" outlineLevel="0" collapsed="false">
      <c r="A4264" s="36" t="n">
        <v>46202</v>
      </c>
      <c r="B4264" s="24" t="s">
        <v>64</v>
      </c>
      <c r="C4264" s="24" t="s">
        <v>167</v>
      </c>
      <c r="D4264" s="33" t="n">
        <v>36</v>
      </c>
      <c r="E4264" s="24" t="n">
        <v>0</v>
      </c>
      <c r="F4264" s="37" t="n">
        <f aca="false">DATE(YEAR(A4264),MONTH(A4264),1)</f>
        <v>46174</v>
      </c>
      <c r="G4264" s="24" t="str">
        <f aca="false">INDEX(Products!$C$2:$C$49,MATCH(C4264,Products!$A$2:$A$49,0))</f>
        <v>Household</v>
      </c>
      <c r="H4264" s="33" t="n">
        <f aca="false">D4264*INDEX(Products!$E$2:$E$49,MATCH(C4264,Products!$A$2:$A$49,0))</f>
        <v>5400</v>
      </c>
      <c r="I4264" s="33" t="n">
        <f aca="false">D4264*INDEX(Products!$D$2:$D$49,MATCH(C4264,Products!$A$2:$A$49,0))*(1+INDEX(Assumptions!$B$16:$B$20,MATCH(B4264,Assumptions!$A$16:$A$20,0)))</f>
        <v>4128.768</v>
      </c>
      <c r="J4264" s="33" t="n">
        <f aca="false">H4264-I4264</f>
        <v>1271.232</v>
      </c>
      <c r="K4264" s="33" t="n">
        <f aca="false">IF(OR(E4264=0,E4264&gt;=7),0,D4264/(7-E4264)*E4264*INDEX(Products!$E$2:$E$49,MATCH(C4264,Products!$A$2:$A$49,0)))</f>
        <v>0</v>
      </c>
    </row>
    <row r="4265" customFormat="false" ht="15" hidden="false" customHeight="false" outlineLevel="0" collapsed="false">
      <c r="A4265" s="36" t="n">
        <v>46209</v>
      </c>
      <c r="B4265" s="24" t="s">
        <v>64</v>
      </c>
      <c r="C4265" s="24" t="s">
        <v>167</v>
      </c>
      <c r="D4265" s="33" t="n">
        <v>12</v>
      </c>
      <c r="E4265" s="24" t="n">
        <v>4</v>
      </c>
      <c r="F4265" s="37" t="n">
        <f aca="false">DATE(YEAR(A4265),MONTH(A4265),1)</f>
        <v>46204</v>
      </c>
      <c r="G4265" s="24" t="str">
        <f aca="false">INDEX(Products!$C$2:$C$49,MATCH(C4265,Products!$A$2:$A$49,0))</f>
        <v>Household</v>
      </c>
      <c r="H4265" s="33" t="n">
        <f aca="false">D4265*INDEX(Products!$E$2:$E$49,MATCH(C4265,Products!$A$2:$A$49,0))</f>
        <v>1800</v>
      </c>
      <c r="I4265" s="33" t="n">
        <f aca="false">D4265*INDEX(Products!$D$2:$D$49,MATCH(C4265,Products!$A$2:$A$49,0))*(1+INDEX(Assumptions!$B$16:$B$20,MATCH(B4265,Assumptions!$A$16:$A$20,0)))</f>
        <v>1376.256</v>
      </c>
      <c r="J4265" s="33" t="n">
        <f aca="false">H4265-I4265</f>
        <v>423.744</v>
      </c>
      <c r="K4265" s="33" t="n">
        <f aca="false">IF(OR(E4265=0,E4265&gt;=7),0,D4265/(7-E4265)*E4265*INDEX(Products!$E$2:$E$49,MATCH(C4265,Products!$A$2:$A$49,0)))</f>
        <v>2400</v>
      </c>
    </row>
    <row r="4266" customFormat="false" ht="15" hidden="false" customHeight="false" outlineLevel="0" collapsed="false">
      <c r="A4266" s="36" t="n">
        <v>46216</v>
      </c>
      <c r="B4266" s="24" t="s">
        <v>64</v>
      </c>
      <c r="C4266" s="24" t="s">
        <v>167</v>
      </c>
      <c r="D4266" s="33" t="n">
        <v>26</v>
      </c>
      <c r="E4266" s="24" t="n">
        <v>0</v>
      </c>
      <c r="F4266" s="37" t="n">
        <f aca="false">DATE(YEAR(A4266),MONTH(A4266),1)</f>
        <v>46204</v>
      </c>
      <c r="G4266" s="24" t="str">
        <f aca="false">INDEX(Products!$C$2:$C$49,MATCH(C4266,Products!$A$2:$A$49,0))</f>
        <v>Household</v>
      </c>
      <c r="H4266" s="33" t="n">
        <f aca="false">D4266*INDEX(Products!$E$2:$E$49,MATCH(C4266,Products!$A$2:$A$49,0))</f>
        <v>3900</v>
      </c>
      <c r="I4266" s="33" t="n">
        <f aca="false">D4266*INDEX(Products!$D$2:$D$49,MATCH(C4266,Products!$A$2:$A$49,0))*(1+INDEX(Assumptions!$B$16:$B$20,MATCH(B4266,Assumptions!$A$16:$A$20,0)))</f>
        <v>2981.888</v>
      </c>
      <c r="J4266" s="33" t="n">
        <f aca="false">H4266-I4266</f>
        <v>918.112</v>
      </c>
      <c r="K4266" s="33" t="n">
        <f aca="false">IF(OR(E4266=0,E4266&gt;=7),0,D4266/(7-E4266)*E4266*INDEX(Products!$E$2:$E$49,MATCH(C4266,Products!$A$2:$A$49,0)))</f>
        <v>0</v>
      </c>
    </row>
    <row r="4267" customFormat="false" ht="15" hidden="false" customHeight="false" outlineLevel="0" collapsed="false">
      <c r="A4267" s="36" t="n">
        <v>46223</v>
      </c>
      <c r="B4267" s="24" t="s">
        <v>64</v>
      </c>
      <c r="C4267" s="24" t="s">
        <v>167</v>
      </c>
      <c r="D4267" s="33" t="n">
        <v>19</v>
      </c>
      <c r="E4267" s="24" t="n">
        <v>3</v>
      </c>
      <c r="F4267" s="37" t="n">
        <f aca="false">DATE(YEAR(A4267),MONTH(A4267),1)</f>
        <v>46204</v>
      </c>
      <c r="G4267" s="24" t="str">
        <f aca="false">INDEX(Products!$C$2:$C$49,MATCH(C4267,Products!$A$2:$A$49,0))</f>
        <v>Household</v>
      </c>
      <c r="H4267" s="33" t="n">
        <f aca="false">D4267*INDEX(Products!$E$2:$E$49,MATCH(C4267,Products!$A$2:$A$49,0))</f>
        <v>2850</v>
      </c>
      <c r="I4267" s="33" t="n">
        <f aca="false">D4267*INDEX(Products!$D$2:$D$49,MATCH(C4267,Products!$A$2:$A$49,0))*(1+INDEX(Assumptions!$B$16:$B$20,MATCH(B4267,Assumptions!$A$16:$A$20,0)))</f>
        <v>2179.072</v>
      </c>
      <c r="J4267" s="33" t="n">
        <f aca="false">H4267-I4267</f>
        <v>670.928</v>
      </c>
      <c r="K4267" s="33" t="n">
        <f aca="false">IF(OR(E4267=0,E4267&gt;=7),0,D4267/(7-E4267)*E4267*INDEX(Products!$E$2:$E$49,MATCH(C4267,Products!$A$2:$A$49,0)))</f>
        <v>2137.5</v>
      </c>
    </row>
    <row r="4268" customFormat="false" ht="15" hidden="false" customHeight="false" outlineLevel="0" collapsed="false">
      <c r="A4268" s="36" t="n">
        <v>46230</v>
      </c>
      <c r="B4268" s="24" t="s">
        <v>64</v>
      </c>
      <c r="C4268" s="24" t="s">
        <v>167</v>
      </c>
      <c r="D4268" s="33" t="n">
        <v>23</v>
      </c>
      <c r="E4268" s="24" t="n">
        <v>0</v>
      </c>
      <c r="F4268" s="37" t="n">
        <f aca="false">DATE(YEAR(A4268),MONTH(A4268),1)</f>
        <v>46204</v>
      </c>
      <c r="G4268" s="24" t="str">
        <f aca="false">INDEX(Products!$C$2:$C$49,MATCH(C4268,Products!$A$2:$A$49,0))</f>
        <v>Household</v>
      </c>
      <c r="H4268" s="33" t="n">
        <f aca="false">D4268*INDEX(Products!$E$2:$E$49,MATCH(C4268,Products!$A$2:$A$49,0))</f>
        <v>3450</v>
      </c>
      <c r="I4268" s="33" t="n">
        <f aca="false">D4268*INDEX(Products!$D$2:$D$49,MATCH(C4268,Products!$A$2:$A$49,0))*(1+INDEX(Assumptions!$B$16:$B$20,MATCH(B4268,Assumptions!$A$16:$A$20,0)))</f>
        <v>2637.824</v>
      </c>
      <c r="J4268" s="33" t="n">
        <f aca="false">H4268-I4268</f>
        <v>812.176</v>
      </c>
      <c r="K4268" s="33" t="n">
        <f aca="false">IF(OR(E4268=0,E4268&gt;=7),0,D4268/(7-E4268)*E4268*INDEX(Products!$E$2:$E$49,MATCH(C4268,Products!$A$2:$A$49,0)))</f>
        <v>0</v>
      </c>
    </row>
    <row r="4269" customFormat="false" ht="15" hidden="false" customHeight="false" outlineLevel="0" collapsed="false">
      <c r="A4269" s="36" t="n">
        <v>46237</v>
      </c>
      <c r="B4269" s="24" t="s">
        <v>64</v>
      </c>
      <c r="C4269" s="24" t="s">
        <v>167</v>
      </c>
      <c r="D4269" s="33" t="n">
        <v>30</v>
      </c>
      <c r="E4269" s="24" t="n">
        <v>0</v>
      </c>
      <c r="F4269" s="37" t="n">
        <f aca="false">DATE(YEAR(A4269),MONTH(A4269),1)</f>
        <v>46235</v>
      </c>
      <c r="G4269" s="24" t="str">
        <f aca="false">INDEX(Products!$C$2:$C$49,MATCH(C4269,Products!$A$2:$A$49,0))</f>
        <v>Household</v>
      </c>
      <c r="H4269" s="33" t="n">
        <f aca="false">D4269*INDEX(Products!$E$2:$E$49,MATCH(C4269,Products!$A$2:$A$49,0))</f>
        <v>4500</v>
      </c>
      <c r="I4269" s="33" t="n">
        <f aca="false">D4269*INDEX(Products!$D$2:$D$49,MATCH(C4269,Products!$A$2:$A$49,0))*(1+INDEX(Assumptions!$B$16:$B$20,MATCH(B4269,Assumptions!$A$16:$A$20,0)))</f>
        <v>3440.64</v>
      </c>
      <c r="J4269" s="33" t="n">
        <f aca="false">H4269-I4269</f>
        <v>1059.36</v>
      </c>
      <c r="K4269" s="33" t="n">
        <f aca="false">IF(OR(E4269=0,E4269&gt;=7),0,D4269/(7-E4269)*E4269*INDEX(Products!$E$2:$E$49,MATCH(C4269,Products!$A$2:$A$49,0)))</f>
        <v>0</v>
      </c>
    </row>
    <row r="4270" customFormat="false" ht="15" hidden="false" customHeight="false" outlineLevel="0" collapsed="false">
      <c r="A4270" s="36" t="n">
        <v>46244</v>
      </c>
      <c r="B4270" s="24" t="s">
        <v>64</v>
      </c>
      <c r="C4270" s="24" t="s">
        <v>167</v>
      </c>
      <c r="D4270" s="33" t="n">
        <v>34</v>
      </c>
      <c r="E4270" s="24" t="n">
        <v>0</v>
      </c>
      <c r="F4270" s="37" t="n">
        <f aca="false">DATE(YEAR(A4270),MONTH(A4270),1)</f>
        <v>46235</v>
      </c>
      <c r="G4270" s="24" t="str">
        <f aca="false">INDEX(Products!$C$2:$C$49,MATCH(C4270,Products!$A$2:$A$49,0))</f>
        <v>Household</v>
      </c>
      <c r="H4270" s="33" t="n">
        <f aca="false">D4270*INDEX(Products!$E$2:$E$49,MATCH(C4270,Products!$A$2:$A$49,0))</f>
        <v>5100</v>
      </c>
      <c r="I4270" s="33" t="n">
        <f aca="false">D4270*INDEX(Products!$D$2:$D$49,MATCH(C4270,Products!$A$2:$A$49,0))*(1+INDEX(Assumptions!$B$16:$B$20,MATCH(B4270,Assumptions!$A$16:$A$20,0)))</f>
        <v>3899.392</v>
      </c>
      <c r="J4270" s="33" t="n">
        <f aca="false">H4270-I4270</f>
        <v>1200.608</v>
      </c>
      <c r="K4270" s="33" t="n">
        <f aca="false">IF(OR(E4270=0,E4270&gt;=7),0,D4270/(7-E4270)*E4270*INDEX(Products!$E$2:$E$49,MATCH(C4270,Products!$A$2:$A$49,0)))</f>
        <v>0</v>
      </c>
    </row>
    <row r="4271" customFormat="false" ht="15" hidden="false" customHeight="false" outlineLevel="0" collapsed="false">
      <c r="A4271" s="36" t="n">
        <v>46251</v>
      </c>
      <c r="B4271" s="24" t="s">
        <v>64</v>
      </c>
      <c r="C4271" s="24" t="s">
        <v>167</v>
      </c>
      <c r="D4271" s="33" t="n">
        <v>27</v>
      </c>
      <c r="E4271" s="24" t="n">
        <v>0</v>
      </c>
      <c r="F4271" s="37" t="n">
        <f aca="false">DATE(YEAR(A4271),MONTH(A4271),1)</f>
        <v>46235</v>
      </c>
      <c r="G4271" s="24" t="str">
        <f aca="false">INDEX(Products!$C$2:$C$49,MATCH(C4271,Products!$A$2:$A$49,0))</f>
        <v>Household</v>
      </c>
      <c r="H4271" s="33" t="n">
        <f aca="false">D4271*INDEX(Products!$E$2:$E$49,MATCH(C4271,Products!$A$2:$A$49,0))</f>
        <v>4050</v>
      </c>
      <c r="I4271" s="33" t="n">
        <f aca="false">D4271*INDEX(Products!$D$2:$D$49,MATCH(C4271,Products!$A$2:$A$49,0))*(1+INDEX(Assumptions!$B$16:$B$20,MATCH(B4271,Assumptions!$A$16:$A$20,0)))</f>
        <v>3096.576</v>
      </c>
      <c r="J4271" s="33" t="n">
        <f aca="false">H4271-I4271</f>
        <v>953.424</v>
      </c>
      <c r="K4271" s="33" t="n">
        <f aca="false">IF(OR(E4271=0,E4271&gt;=7),0,D4271/(7-E4271)*E4271*INDEX(Products!$E$2:$E$49,MATCH(C4271,Products!$A$2:$A$49,0)))</f>
        <v>0</v>
      </c>
    </row>
    <row r="4272" customFormat="false" ht="15" hidden="false" customHeight="false" outlineLevel="0" collapsed="false">
      <c r="A4272" s="36" t="n">
        <v>46258</v>
      </c>
      <c r="B4272" s="24" t="s">
        <v>64</v>
      </c>
      <c r="C4272" s="24" t="s">
        <v>167</v>
      </c>
      <c r="D4272" s="33" t="n">
        <v>24</v>
      </c>
      <c r="E4272" s="24" t="n">
        <v>0</v>
      </c>
      <c r="F4272" s="37" t="n">
        <f aca="false">DATE(YEAR(A4272),MONTH(A4272),1)</f>
        <v>46235</v>
      </c>
      <c r="G4272" s="24" t="str">
        <f aca="false">INDEX(Products!$C$2:$C$49,MATCH(C4272,Products!$A$2:$A$49,0))</f>
        <v>Household</v>
      </c>
      <c r="H4272" s="33" t="n">
        <f aca="false">D4272*INDEX(Products!$E$2:$E$49,MATCH(C4272,Products!$A$2:$A$49,0))</f>
        <v>3600</v>
      </c>
      <c r="I4272" s="33" t="n">
        <f aca="false">D4272*INDEX(Products!$D$2:$D$49,MATCH(C4272,Products!$A$2:$A$49,0))*(1+INDEX(Assumptions!$B$16:$B$20,MATCH(B4272,Assumptions!$A$16:$A$20,0)))</f>
        <v>2752.512</v>
      </c>
      <c r="J4272" s="33" t="n">
        <f aca="false">H4272-I4272</f>
        <v>847.488</v>
      </c>
      <c r="K4272" s="33" t="n">
        <f aca="false">IF(OR(E4272=0,E4272&gt;=7),0,D4272/(7-E4272)*E4272*INDEX(Products!$E$2:$E$49,MATCH(C4272,Products!$A$2:$A$49,0)))</f>
        <v>0</v>
      </c>
    </row>
    <row r="4273" customFormat="false" ht="15" hidden="false" customHeight="false" outlineLevel="0" collapsed="false">
      <c r="A4273" s="36" t="n">
        <v>46265</v>
      </c>
      <c r="B4273" s="24" t="s">
        <v>64</v>
      </c>
      <c r="C4273" s="24" t="s">
        <v>167</v>
      </c>
      <c r="D4273" s="33" t="n">
        <v>33</v>
      </c>
      <c r="E4273" s="24" t="n">
        <v>0</v>
      </c>
      <c r="F4273" s="37" t="n">
        <f aca="false">DATE(YEAR(A4273),MONTH(A4273),1)</f>
        <v>46235</v>
      </c>
      <c r="G4273" s="24" t="str">
        <f aca="false">INDEX(Products!$C$2:$C$49,MATCH(C4273,Products!$A$2:$A$49,0))</f>
        <v>Household</v>
      </c>
      <c r="H4273" s="33" t="n">
        <f aca="false">D4273*INDEX(Products!$E$2:$E$49,MATCH(C4273,Products!$A$2:$A$49,0))</f>
        <v>4950</v>
      </c>
      <c r="I4273" s="33" t="n">
        <f aca="false">D4273*INDEX(Products!$D$2:$D$49,MATCH(C4273,Products!$A$2:$A$49,0))*(1+INDEX(Assumptions!$B$16:$B$20,MATCH(B4273,Assumptions!$A$16:$A$20,0)))</f>
        <v>3784.704</v>
      </c>
      <c r="J4273" s="33" t="n">
        <f aca="false">H4273-I4273</f>
        <v>1165.296</v>
      </c>
      <c r="K4273" s="33" t="n">
        <f aca="false">IF(OR(E4273=0,E4273&gt;=7),0,D4273/(7-E4273)*E4273*INDEX(Products!$E$2:$E$49,MATCH(C4273,Products!$A$2:$A$49,0)))</f>
        <v>0</v>
      </c>
    </row>
    <row r="4274" customFormat="false" ht="15" hidden="false" customHeight="false" outlineLevel="0" collapsed="false">
      <c r="A4274" s="36" t="n">
        <v>46272</v>
      </c>
      <c r="B4274" s="24" t="s">
        <v>64</v>
      </c>
      <c r="C4274" s="24" t="s">
        <v>167</v>
      </c>
      <c r="D4274" s="33" t="n">
        <v>30</v>
      </c>
      <c r="E4274" s="24" t="n">
        <v>0</v>
      </c>
      <c r="F4274" s="37" t="n">
        <f aca="false">DATE(YEAR(A4274),MONTH(A4274),1)</f>
        <v>46266</v>
      </c>
      <c r="G4274" s="24" t="str">
        <f aca="false">INDEX(Products!$C$2:$C$49,MATCH(C4274,Products!$A$2:$A$49,0))</f>
        <v>Household</v>
      </c>
      <c r="H4274" s="33" t="n">
        <f aca="false">D4274*INDEX(Products!$E$2:$E$49,MATCH(C4274,Products!$A$2:$A$49,0))</f>
        <v>4500</v>
      </c>
      <c r="I4274" s="33" t="n">
        <f aca="false">D4274*INDEX(Products!$D$2:$D$49,MATCH(C4274,Products!$A$2:$A$49,0))*(1+INDEX(Assumptions!$B$16:$B$20,MATCH(B4274,Assumptions!$A$16:$A$20,0)))</f>
        <v>3440.64</v>
      </c>
      <c r="J4274" s="33" t="n">
        <f aca="false">H4274-I4274</f>
        <v>1059.36</v>
      </c>
      <c r="K4274" s="33" t="n">
        <f aca="false">IF(OR(E4274=0,E4274&gt;=7),0,D4274/(7-E4274)*E4274*INDEX(Products!$E$2:$E$49,MATCH(C4274,Products!$A$2:$A$49,0)))</f>
        <v>0</v>
      </c>
    </row>
    <row r="4275" customFormat="false" ht="15" hidden="false" customHeight="false" outlineLevel="0" collapsed="false">
      <c r="A4275" s="36" t="n">
        <v>46279</v>
      </c>
      <c r="B4275" s="24" t="s">
        <v>64</v>
      </c>
      <c r="C4275" s="24" t="s">
        <v>167</v>
      </c>
      <c r="D4275" s="33" t="n">
        <v>37</v>
      </c>
      <c r="E4275" s="24" t="n">
        <v>0</v>
      </c>
      <c r="F4275" s="37" t="n">
        <f aca="false">DATE(YEAR(A4275),MONTH(A4275),1)</f>
        <v>46266</v>
      </c>
      <c r="G4275" s="24" t="str">
        <f aca="false">INDEX(Products!$C$2:$C$49,MATCH(C4275,Products!$A$2:$A$49,0))</f>
        <v>Household</v>
      </c>
      <c r="H4275" s="33" t="n">
        <f aca="false">D4275*INDEX(Products!$E$2:$E$49,MATCH(C4275,Products!$A$2:$A$49,0))</f>
        <v>5550</v>
      </c>
      <c r="I4275" s="33" t="n">
        <f aca="false">D4275*INDEX(Products!$D$2:$D$49,MATCH(C4275,Products!$A$2:$A$49,0))*(1+INDEX(Assumptions!$B$16:$B$20,MATCH(B4275,Assumptions!$A$16:$A$20,0)))</f>
        <v>4243.456</v>
      </c>
      <c r="J4275" s="33" t="n">
        <f aca="false">H4275-I4275</f>
        <v>1306.544</v>
      </c>
      <c r="K4275" s="33" t="n">
        <f aca="false">IF(OR(E4275=0,E4275&gt;=7),0,D4275/(7-E4275)*E4275*INDEX(Products!$E$2:$E$49,MATCH(C4275,Products!$A$2:$A$49,0)))</f>
        <v>0</v>
      </c>
    </row>
    <row r="4276" customFormat="false" ht="15" hidden="false" customHeight="false" outlineLevel="0" collapsed="false">
      <c r="A4276" s="36" t="n">
        <v>46286</v>
      </c>
      <c r="B4276" s="24" t="s">
        <v>64</v>
      </c>
      <c r="C4276" s="24" t="s">
        <v>167</v>
      </c>
      <c r="D4276" s="33" t="n">
        <v>28</v>
      </c>
      <c r="E4276" s="24" t="n">
        <v>0</v>
      </c>
      <c r="F4276" s="37" t="n">
        <f aca="false">DATE(YEAR(A4276),MONTH(A4276),1)</f>
        <v>46266</v>
      </c>
      <c r="G4276" s="24" t="str">
        <f aca="false">INDEX(Products!$C$2:$C$49,MATCH(C4276,Products!$A$2:$A$49,0))</f>
        <v>Household</v>
      </c>
      <c r="H4276" s="33" t="n">
        <f aca="false">D4276*INDEX(Products!$E$2:$E$49,MATCH(C4276,Products!$A$2:$A$49,0))</f>
        <v>4200</v>
      </c>
      <c r="I4276" s="33" t="n">
        <f aca="false">D4276*INDEX(Products!$D$2:$D$49,MATCH(C4276,Products!$A$2:$A$49,0))*(1+INDEX(Assumptions!$B$16:$B$20,MATCH(B4276,Assumptions!$A$16:$A$20,0)))</f>
        <v>3211.264</v>
      </c>
      <c r="J4276" s="33" t="n">
        <f aca="false">H4276-I4276</f>
        <v>988.736</v>
      </c>
      <c r="K4276" s="33" t="n">
        <f aca="false">IF(OR(E4276=0,E4276&gt;=7),0,D4276/(7-E4276)*E4276*INDEX(Products!$E$2:$E$49,MATCH(C4276,Products!$A$2:$A$49,0)))</f>
        <v>0</v>
      </c>
    </row>
    <row r="4277" customFormat="false" ht="15" hidden="false" customHeight="false" outlineLevel="0" collapsed="false">
      <c r="A4277" s="36" t="n">
        <v>46118</v>
      </c>
      <c r="B4277" s="24" t="s">
        <v>64</v>
      </c>
      <c r="C4277" s="24" t="s">
        <v>169</v>
      </c>
      <c r="D4277" s="33" t="n">
        <v>20</v>
      </c>
      <c r="E4277" s="24" t="n">
        <v>0</v>
      </c>
      <c r="F4277" s="37" t="n">
        <f aca="false">DATE(YEAR(A4277),MONTH(A4277),1)</f>
        <v>46113</v>
      </c>
      <c r="G4277" s="24" t="str">
        <f aca="false">INDEX(Products!$C$2:$C$49,MATCH(C4277,Products!$A$2:$A$49,0))</f>
        <v>Household</v>
      </c>
      <c r="H4277" s="33" t="n">
        <f aca="false">D4277*INDEX(Products!$E$2:$E$49,MATCH(C4277,Products!$A$2:$A$49,0))</f>
        <v>8400</v>
      </c>
      <c r="I4277" s="33" t="n">
        <f aca="false">D4277*INDEX(Products!$D$2:$D$49,MATCH(C4277,Products!$A$2:$A$49,0))*(1+INDEX(Assumptions!$B$16:$B$20,MATCH(B4277,Assumptions!$A$16:$A$20,0)))</f>
        <v>6430.72</v>
      </c>
      <c r="J4277" s="33" t="n">
        <f aca="false">H4277-I4277</f>
        <v>1969.28</v>
      </c>
      <c r="K4277" s="33" t="n">
        <f aca="false">IF(OR(E4277=0,E4277&gt;=7),0,D4277/(7-E4277)*E4277*INDEX(Products!$E$2:$E$49,MATCH(C4277,Products!$A$2:$A$49,0)))</f>
        <v>0</v>
      </c>
    </row>
    <row r="4278" customFormat="false" ht="15" hidden="false" customHeight="false" outlineLevel="0" collapsed="false">
      <c r="A4278" s="36" t="n">
        <v>46125</v>
      </c>
      <c r="B4278" s="24" t="s">
        <v>64</v>
      </c>
      <c r="C4278" s="24" t="s">
        <v>169</v>
      </c>
      <c r="D4278" s="33" t="n">
        <v>29</v>
      </c>
      <c r="E4278" s="24" t="n">
        <v>0</v>
      </c>
      <c r="F4278" s="37" t="n">
        <f aca="false">DATE(YEAR(A4278),MONTH(A4278),1)</f>
        <v>46113</v>
      </c>
      <c r="G4278" s="24" t="str">
        <f aca="false">INDEX(Products!$C$2:$C$49,MATCH(C4278,Products!$A$2:$A$49,0))</f>
        <v>Household</v>
      </c>
      <c r="H4278" s="33" t="n">
        <f aca="false">D4278*INDEX(Products!$E$2:$E$49,MATCH(C4278,Products!$A$2:$A$49,0))</f>
        <v>12180</v>
      </c>
      <c r="I4278" s="33" t="n">
        <f aca="false">D4278*INDEX(Products!$D$2:$D$49,MATCH(C4278,Products!$A$2:$A$49,0))*(1+INDEX(Assumptions!$B$16:$B$20,MATCH(B4278,Assumptions!$A$16:$A$20,0)))</f>
        <v>9324.544</v>
      </c>
      <c r="J4278" s="33" t="n">
        <f aca="false">H4278-I4278</f>
        <v>2855.456</v>
      </c>
      <c r="K4278" s="33" t="n">
        <f aca="false">IF(OR(E4278=0,E4278&gt;=7),0,D4278/(7-E4278)*E4278*INDEX(Products!$E$2:$E$49,MATCH(C4278,Products!$A$2:$A$49,0)))</f>
        <v>0</v>
      </c>
    </row>
    <row r="4279" customFormat="false" ht="15" hidden="false" customHeight="false" outlineLevel="0" collapsed="false">
      <c r="A4279" s="36" t="n">
        <v>46132</v>
      </c>
      <c r="B4279" s="24" t="s">
        <v>64</v>
      </c>
      <c r="C4279" s="24" t="s">
        <v>169</v>
      </c>
      <c r="D4279" s="33" t="n">
        <v>33</v>
      </c>
      <c r="E4279" s="24" t="n">
        <v>0</v>
      </c>
      <c r="F4279" s="37" t="n">
        <f aca="false">DATE(YEAR(A4279),MONTH(A4279),1)</f>
        <v>46113</v>
      </c>
      <c r="G4279" s="24" t="str">
        <f aca="false">INDEX(Products!$C$2:$C$49,MATCH(C4279,Products!$A$2:$A$49,0))</f>
        <v>Household</v>
      </c>
      <c r="H4279" s="33" t="n">
        <f aca="false">D4279*INDEX(Products!$E$2:$E$49,MATCH(C4279,Products!$A$2:$A$49,0))</f>
        <v>13860</v>
      </c>
      <c r="I4279" s="33" t="n">
        <f aca="false">D4279*INDEX(Products!$D$2:$D$49,MATCH(C4279,Products!$A$2:$A$49,0))*(1+INDEX(Assumptions!$B$16:$B$20,MATCH(B4279,Assumptions!$A$16:$A$20,0)))</f>
        <v>10610.688</v>
      </c>
      <c r="J4279" s="33" t="n">
        <f aca="false">H4279-I4279</f>
        <v>3249.312</v>
      </c>
      <c r="K4279" s="33" t="n">
        <f aca="false">IF(OR(E4279=0,E4279&gt;=7),0,D4279/(7-E4279)*E4279*INDEX(Products!$E$2:$E$49,MATCH(C4279,Products!$A$2:$A$49,0)))</f>
        <v>0</v>
      </c>
    </row>
    <row r="4280" customFormat="false" ht="15" hidden="false" customHeight="false" outlineLevel="0" collapsed="false">
      <c r="A4280" s="36" t="n">
        <v>46139</v>
      </c>
      <c r="B4280" s="24" t="s">
        <v>64</v>
      </c>
      <c r="C4280" s="24" t="s">
        <v>169</v>
      </c>
      <c r="D4280" s="33" t="n">
        <v>30</v>
      </c>
      <c r="E4280" s="24" t="n">
        <v>1</v>
      </c>
      <c r="F4280" s="37" t="n">
        <f aca="false">DATE(YEAR(A4280),MONTH(A4280),1)</f>
        <v>46113</v>
      </c>
      <c r="G4280" s="24" t="str">
        <f aca="false">INDEX(Products!$C$2:$C$49,MATCH(C4280,Products!$A$2:$A$49,0))</f>
        <v>Household</v>
      </c>
      <c r="H4280" s="33" t="n">
        <f aca="false">D4280*INDEX(Products!$E$2:$E$49,MATCH(C4280,Products!$A$2:$A$49,0))</f>
        <v>12600</v>
      </c>
      <c r="I4280" s="33" t="n">
        <f aca="false">D4280*INDEX(Products!$D$2:$D$49,MATCH(C4280,Products!$A$2:$A$49,0))*(1+INDEX(Assumptions!$B$16:$B$20,MATCH(B4280,Assumptions!$A$16:$A$20,0)))</f>
        <v>9646.08</v>
      </c>
      <c r="J4280" s="33" t="n">
        <f aca="false">H4280-I4280</f>
        <v>2953.92</v>
      </c>
      <c r="K4280" s="33" t="n">
        <f aca="false">IF(OR(E4280=0,E4280&gt;=7),0,D4280/(7-E4280)*E4280*INDEX(Products!$E$2:$E$49,MATCH(C4280,Products!$A$2:$A$49,0)))</f>
        <v>2100</v>
      </c>
    </row>
    <row r="4281" customFormat="false" ht="15" hidden="false" customHeight="false" outlineLevel="0" collapsed="false">
      <c r="A4281" s="36" t="n">
        <v>46146</v>
      </c>
      <c r="B4281" s="24" t="s">
        <v>64</v>
      </c>
      <c r="C4281" s="24" t="s">
        <v>169</v>
      </c>
      <c r="D4281" s="33" t="n">
        <v>27</v>
      </c>
      <c r="E4281" s="24" t="n">
        <v>0</v>
      </c>
      <c r="F4281" s="37" t="n">
        <f aca="false">DATE(YEAR(A4281),MONTH(A4281),1)</f>
        <v>46143</v>
      </c>
      <c r="G4281" s="24" t="str">
        <f aca="false">INDEX(Products!$C$2:$C$49,MATCH(C4281,Products!$A$2:$A$49,0))</f>
        <v>Household</v>
      </c>
      <c r="H4281" s="33" t="n">
        <f aca="false">D4281*INDEX(Products!$E$2:$E$49,MATCH(C4281,Products!$A$2:$A$49,0))</f>
        <v>11340</v>
      </c>
      <c r="I4281" s="33" t="n">
        <f aca="false">D4281*INDEX(Products!$D$2:$D$49,MATCH(C4281,Products!$A$2:$A$49,0))*(1+INDEX(Assumptions!$B$16:$B$20,MATCH(B4281,Assumptions!$A$16:$A$20,0)))</f>
        <v>8681.472</v>
      </c>
      <c r="J4281" s="33" t="n">
        <f aca="false">H4281-I4281</f>
        <v>2658.528</v>
      </c>
      <c r="K4281" s="33" t="n">
        <f aca="false">IF(OR(E4281=0,E4281&gt;=7),0,D4281/(7-E4281)*E4281*INDEX(Products!$E$2:$E$49,MATCH(C4281,Products!$A$2:$A$49,0)))</f>
        <v>0</v>
      </c>
    </row>
    <row r="4282" customFormat="false" ht="15" hidden="false" customHeight="false" outlineLevel="0" collapsed="false">
      <c r="A4282" s="36" t="n">
        <v>46153</v>
      </c>
      <c r="B4282" s="24" t="s">
        <v>64</v>
      </c>
      <c r="C4282" s="24" t="s">
        <v>169</v>
      </c>
      <c r="D4282" s="33" t="n">
        <v>27</v>
      </c>
      <c r="E4282" s="24" t="n">
        <v>0</v>
      </c>
      <c r="F4282" s="37" t="n">
        <f aca="false">DATE(YEAR(A4282),MONTH(A4282),1)</f>
        <v>46143</v>
      </c>
      <c r="G4282" s="24" t="str">
        <f aca="false">INDEX(Products!$C$2:$C$49,MATCH(C4282,Products!$A$2:$A$49,0))</f>
        <v>Household</v>
      </c>
      <c r="H4282" s="33" t="n">
        <f aca="false">D4282*INDEX(Products!$E$2:$E$49,MATCH(C4282,Products!$A$2:$A$49,0))</f>
        <v>11340</v>
      </c>
      <c r="I4282" s="33" t="n">
        <f aca="false">D4282*INDEX(Products!$D$2:$D$49,MATCH(C4282,Products!$A$2:$A$49,0))*(1+INDEX(Assumptions!$B$16:$B$20,MATCH(B4282,Assumptions!$A$16:$A$20,0)))</f>
        <v>8681.472</v>
      </c>
      <c r="J4282" s="33" t="n">
        <f aca="false">H4282-I4282</f>
        <v>2658.528</v>
      </c>
      <c r="K4282" s="33" t="n">
        <f aca="false">IF(OR(E4282=0,E4282&gt;=7),0,D4282/(7-E4282)*E4282*INDEX(Products!$E$2:$E$49,MATCH(C4282,Products!$A$2:$A$49,0)))</f>
        <v>0</v>
      </c>
    </row>
    <row r="4283" customFormat="false" ht="15" hidden="false" customHeight="false" outlineLevel="0" collapsed="false">
      <c r="A4283" s="36" t="n">
        <v>46160</v>
      </c>
      <c r="B4283" s="24" t="s">
        <v>64</v>
      </c>
      <c r="C4283" s="24" t="s">
        <v>169</v>
      </c>
      <c r="D4283" s="33" t="n">
        <v>24</v>
      </c>
      <c r="E4283" s="24" t="n">
        <v>0</v>
      </c>
      <c r="F4283" s="37" t="n">
        <f aca="false">DATE(YEAR(A4283),MONTH(A4283),1)</f>
        <v>46143</v>
      </c>
      <c r="G4283" s="24" t="str">
        <f aca="false">INDEX(Products!$C$2:$C$49,MATCH(C4283,Products!$A$2:$A$49,0))</f>
        <v>Household</v>
      </c>
      <c r="H4283" s="33" t="n">
        <f aca="false">D4283*INDEX(Products!$E$2:$E$49,MATCH(C4283,Products!$A$2:$A$49,0))</f>
        <v>10080</v>
      </c>
      <c r="I4283" s="33" t="n">
        <f aca="false">D4283*INDEX(Products!$D$2:$D$49,MATCH(C4283,Products!$A$2:$A$49,0))*(1+INDEX(Assumptions!$B$16:$B$20,MATCH(B4283,Assumptions!$A$16:$A$20,0)))</f>
        <v>7716.864</v>
      </c>
      <c r="J4283" s="33" t="n">
        <f aca="false">H4283-I4283</f>
        <v>2363.136</v>
      </c>
      <c r="K4283" s="33" t="n">
        <f aca="false">IF(OR(E4283=0,E4283&gt;=7),0,D4283/(7-E4283)*E4283*INDEX(Products!$E$2:$E$49,MATCH(C4283,Products!$A$2:$A$49,0)))</f>
        <v>0</v>
      </c>
    </row>
    <row r="4284" customFormat="false" ht="15" hidden="false" customHeight="false" outlineLevel="0" collapsed="false">
      <c r="A4284" s="36" t="n">
        <v>46167</v>
      </c>
      <c r="B4284" s="24" t="s">
        <v>64</v>
      </c>
      <c r="C4284" s="24" t="s">
        <v>169</v>
      </c>
      <c r="D4284" s="33" t="n">
        <v>41</v>
      </c>
      <c r="E4284" s="24" t="n">
        <v>0</v>
      </c>
      <c r="F4284" s="37" t="n">
        <f aca="false">DATE(YEAR(A4284),MONTH(A4284),1)</f>
        <v>46143</v>
      </c>
      <c r="G4284" s="24" t="str">
        <f aca="false">INDEX(Products!$C$2:$C$49,MATCH(C4284,Products!$A$2:$A$49,0))</f>
        <v>Household</v>
      </c>
      <c r="H4284" s="33" t="n">
        <f aca="false">D4284*INDEX(Products!$E$2:$E$49,MATCH(C4284,Products!$A$2:$A$49,0))</f>
        <v>17220</v>
      </c>
      <c r="I4284" s="33" t="n">
        <f aca="false">D4284*INDEX(Products!$D$2:$D$49,MATCH(C4284,Products!$A$2:$A$49,0))*(1+INDEX(Assumptions!$B$16:$B$20,MATCH(B4284,Assumptions!$A$16:$A$20,0)))</f>
        <v>13182.976</v>
      </c>
      <c r="J4284" s="33" t="n">
        <f aca="false">H4284-I4284</f>
        <v>4037.024</v>
      </c>
      <c r="K4284" s="33" t="n">
        <f aca="false">IF(OR(E4284=0,E4284&gt;=7),0,D4284/(7-E4284)*E4284*INDEX(Products!$E$2:$E$49,MATCH(C4284,Products!$A$2:$A$49,0)))</f>
        <v>0</v>
      </c>
    </row>
    <row r="4285" customFormat="false" ht="15" hidden="false" customHeight="false" outlineLevel="0" collapsed="false">
      <c r="A4285" s="36" t="n">
        <v>46174</v>
      </c>
      <c r="B4285" s="24" t="s">
        <v>64</v>
      </c>
      <c r="C4285" s="24" t="s">
        <v>169</v>
      </c>
      <c r="D4285" s="33" t="n">
        <v>28</v>
      </c>
      <c r="E4285" s="24" t="n">
        <v>0</v>
      </c>
      <c r="F4285" s="37" t="n">
        <f aca="false">DATE(YEAR(A4285),MONTH(A4285),1)</f>
        <v>46174</v>
      </c>
      <c r="G4285" s="24" t="str">
        <f aca="false">INDEX(Products!$C$2:$C$49,MATCH(C4285,Products!$A$2:$A$49,0))</f>
        <v>Household</v>
      </c>
      <c r="H4285" s="33" t="n">
        <f aca="false">D4285*INDEX(Products!$E$2:$E$49,MATCH(C4285,Products!$A$2:$A$49,0))</f>
        <v>11760</v>
      </c>
      <c r="I4285" s="33" t="n">
        <f aca="false">D4285*INDEX(Products!$D$2:$D$49,MATCH(C4285,Products!$A$2:$A$49,0))*(1+INDEX(Assumptions!$B$16:$B$20,MATCH(B4285,Assumptions!$A$16:$A$20,0)))</f>
        <v>9003.008</v>
      </c>
      <c r="J4285" s="33" t="n">
        <f aca="false">H4285-I4285</f>
        <v>2756.992</v>
      </c>
      <c r="K4285" s="33" t="n">
        <f aca="false">IF(OR(E4285=0,E4285&gt;=7),0,D4285/(7-E4285)*E4285*INDEX(Products!$E$2:$E$49,MATCH(C4285,Products!$A$2:$A$49,0)))</f>
        <v>0</v>
      </c>
    </row>
    <row r="4286" customFormat="false" ht="15" hidden="false" customHeight="false" outlineLevel="0" collapsed="false">
      <c r="A4286" s="36" t="n">
        <v>46181</v>
      </c>
      <c r="B4286" s="24" t="s">
        <v>64</v>
      </c>
      <c r="C4286" s="24" t="s">
        <v>169</v>
      </c>
      <c r="D4286" s="33" t="n">
        <v>23</v>
      </c>
      <c r="E4286" s="24" t="n">
        <v>0</v>
      </c>
      <c r="F4286" s="37" t="n">
        <f aca="false">DATE(YEAR(A4286),MONTH(A4286),1)</f>
        <v>46174</v>
      </c>
      <c r="G4286" s="24" t="str">
        <f aca="false">INDEX(Products!$C$2:$C$49,MATCH(C4286,Products!$A$2:$A$49,0))</f>
        <v>Household</v>
      </c>
      <c r="H4286" s="33" t="n">
        <f aca="false">D4286*INDEX(Products!$E$2:$E$49,MATCH(C4286,Products!$A$2:$A$49,0))</f>
        <v>9660</v>
      </c>
      <c r="I4286" s="33" t="n">
        <f aca="false">D4286*INDEX(Products!$D$2:$D$49,MATCH(C4286,Products!$A$2:$A$49,0))*(1+INDEX(Assumptions!$B$16:$B$20,MATCH(B4286,Assumptions!$A$16:$A$20,0)))</f>
        <v>7395.328</v>
      </c>
      <c r="J4286" s="33" t="n">
        <f aca="false">H4286-I4286</f>
        <v>2264.672</v>
      </c>
      <c r="K4286" s="33" t="n">
        <f aca="false">IF(OR(E4286=0,E4286&gt;=7),0,D4286/(7-E4286)*E4286*INDEX(Products!$E$2:$E$49,MATCH(C4286,Products!$A$2:$A$49,0)))</f>
        <v>0</v>
      </c>
    </row>
    <row r="4287" customFormat="false" ht="15" hidden="false" customHeight="false" outlineLevel="0" collapsed="false">
      <c r="A4287" s="36" t="n">
        <v>46188</v>
      </c>
      <c r="B4287" s="24" t="s">
        <v>64</v>
      </c>
      <c r="C4287" s="24" t="s">
        <v>169</v>
      </c>
      <c r="D4287" s="33" t="n">
        <v>19</v>
      </c>
      <c r="E4287" s="24" t="n">
        <v>0</v>
      </c>
      <c r="F4287" s="37" t="n">
        <f aca="false">DATE(YEAR(A4287),MONTH(A4287),1)</f>
        <v>46174</v>
      </c>
      <c r="G4287" s="24" t="str">
        <f aca="false">INDEX(Products!$C$2:$C$49,MATCH(C4287,Products!$A$2:$A$49,0))</f>
        <v>Household</v>
      </c>
      <c r="H4287" s="33" t="n">
        <f aca="false">D4287*INDEX(Products!$E$2:$E$49,MATCH(C4287,Products!$A$2:$A$49,0))</f>
        <v>7980</v>
      </c>
      <c r="I4287" s="33" t="n">
        <f aca="false">D4287*INDEX(Products!$D$2:$D$49,MATCH(C4287,Products!$A$2:$A$49,0))*(1+INDEX(Assumptions!$B$16:$B$20,MATCH(B4287,Assumptions!$A$16:$A$20,0)))</f>
        <v>6109.184</v>
      </c>
      <c r="J4287" s="33" t="n">
        <f aca="false">H4287-I4287</f>
        <v>1870.816</v>
      </c>
      <c r="K4287" s="33" t="n">
        <f aca="false">IF(OR(E4287=0,E4287&gt;=7),0,D4287/(7-E4287)*E4287*INDEX(Products!$E$2:$E$49,MATCH(C4287,Products!$A$2:$A$49,0)))</f>
        <v>0</v>
      </c>
    </row>
    <row r="4288" customFormat="false" ht="15" hidden="false" customHeight="false" outlineLevel="0" collapsed="false">
      <c r="A4288" s="36" t="n">
        <v>46195</v>
      </c>
      <c r="B4288" s="24" t="s">
        <v>64</v>
      </c>
      <c r="C4288" s="24" t="s">
        <v>169</v>
      </c>
      <c r="D4288" s="33" t="n">
        <v>21</v>
      </c>
      <c r="E4288" s="24" t="n">
        <v>0</v>
      </c>
      <c r="F4288" s="37" t="n">
        <f aca="false">DATE(YEAR(A4288),MONTH(A4288),1)</f>
        <v>46174</v>
      </c>
      <c r="G4288" s="24" t="str">
        <f aca="false">INDEX(Products!$C$2:$C$49,MATCH(C4288,Products!$A$2:$A$49,0))</f>
        <v>Household</v>
      </c>
      <c r="H4288" s="33" t="n">
        <f aca="false">D4288*INDEX(Products!$E$2:$E$49,MATCH(C4288,Products!$A$2:$A$49,0))</f>
        <v>8820</v>
      </c>
      <c r="I4288" s="33" t="n">
        <f aca="false">D4288*INDEX(Products!$D$2:$D$49,MATCH(C4288,Products!$A$2:$A$49,0))*(1+INDEX(Assumptions!$B$16:$B$20,MATCH(B4288,Assumptions!$A$16:$A$20,0)))</f>
        <v>6752.256</v>
      </c>
      <c r="J4288" s="33" t="n">
        <f aca="false">H4288-I4288</f>
        <v>2067.744</v>
      </c>
      <c r="K4288" s="33" t="n">
        <f aca="false">IF(OR(E4288=0,E4288&gt;=7),0,D4288/(7-E4288)*E4288*INDEX(Products!$E$2:$E$49,MATCH(C4288,Products!$A$2:$A$49,0)))</f>
        <v>0</v>
      </c>
    </row>
    <row r="4289" customFormat="false" ht="15" hidden="false" customHeight="false" outlineLevel="0" collapsed="false">
      <c r="A4289" s="36" t="n">
        <v>46202</v>
      </c>
      <c r="B4289" s="24" t="s">
        <v>64</v>
      </c>
      <c r="C4289" s="24" t="s">
        <v>169</v>
      </c>
      <c r="D4289" s="33" t="n">
        <v>31</v>
      </c>
      <c r="E4289" s="24" t="n">
        <v>0</v>
      </c>
      <c r="F4289" s="37" t="n">
        <f aca="false">DATE(YEAR(A4289),MONTH(A4289),1)</f>
        <v>46174</v>
      </c>
      <c r="G4289" s="24" t="str">
        <f aca="false">INDEX(Products!$C$2:$C$49,MATCH(C4289,Products!$A$2:$A$49,0))</f>
        <v>Household</v>
      </c>
      <c r="H4289" s="33" t="n">
        <f aca="false">D4289*INDEX(Products!$E$2:$E$49,MATCH(C4289,Products!$A$2:$A$49,0))</f>
        <v>13020</v>
      </c>
      <c r="I4289" s="33" t="n">
        <f aca="false">D4289*INDEX(Products!$D$2:$D$49,MATCH(C4289,Products!$A$2:$A$49,0))*(1+INDEX(Assumptions!$B$16:$B$20,MATCH(B4289,Assumptions!$A$16:$A$20,0)))</f>
        <v>9967.616</v>
      </c>
      <c r="J4289" s="33" t="n">
        <f aca="false">H4289-I4289</f>
        <v>3052.384</v>
      </c>
      <c r="K4289" s="33" t="n">
        <f aca="false">IF(OR(E4289=0,E4289&gt;=7),0,D4289/(7-E4289)*E4289*INDEX(Products!$E$2:$E$49,MATCH(C4289,Products!$A$2:$A$49,0)))</f>
        <v>0</v>
      </c>
    </row>
    <row r="4290" customFormat="false" ht="15" hidden="false" customHeight="false" outlineLevel="0" collapsed="false">
      <c r="A4290" s="36" t="n">
        <v>46209</v>
      </c>
      <c r="B4290" s="24" t="s">
        <v>64</v>
      </c>
      <c r="C4290" s="24" t="s">
        <v>169</v>
      </c>
      <c r="D4290" s="33" t="n">
        <v>11</v>
      </c>
      <c r="E4290" s="24" t="n">
        <v>0</v>
      </c>
      <c r="F4290" s="37" t="n">
        <f aca="false">DATE(YEAR(A4290),MONTH(A4290),1)</f>
        <v>46204</v>
      </c>
      <c r="G4290" s="24" t="str">
        <f aca="false">INDEX(Products!$C$2:$C$49,MATCH(C4290,Products!$A$2:$A$49,0))</f>
        <v>Household</v>
      </c>
      <c r="H4290" s="33" t="n">
        <f aca="false">D4290*INDEX(Products!$E$2:$E$49,MATCH(C4290,Products!$A$2:$A$49,0))</f>
        <v>4620</v>
      </c>
      <c r="I4290" s="33" t="n">
        <f aca="false">D4290*INDEX(Products!$D$2:$D$49,MATCH(C4290,Products!$A$2:$A$49,0))*(1+INDEX(Assumptions!$B$16:$B$20,MATCH(B4290,Assumptions!$A$16:$A$20,0)))</f>
        <v>3536.896</v>
      </c>
      <c r="J4290" s="33" t="n">
        <f aca="false">H4290-I4290</f>
        <v>1083.104</v>
      </c>
      <c r="K4290" s="33" t="n">
        <f aca="false">IF(OR(E4290=0,E4290&gt;=7),0,D4290/(7-E4290)*E4290*INDEX(Products!$E$2:$E$49,MATCH(C4290,Products!$A$2:$A$49,0)))</f>
        <v>0</v>
      </c>
    </row>
    <row r="4291" customFormat="false" ht="15" hidden="false" customHeight="false" outlineLevel="0" collapsed="false">
      <c r="A4291" s="36" t="n">
        <v>46216</v>
      </c>
      <c r="B4291" s="24" t="s">
        <v>64</v>
      </c>
      <c r="C4291" s="24" t="s">
        <v>169</v>
      </c>
      <c r="D4291" s="33" t="n">
        <v>22</v>
      </c>
      <c r="E4291" s="24" t="n">
        <v>0</v>
      </c>
      <c r="F4291" s="37" t="n">
        <f aca="false">DATE(YEAR(A4291),MONTH(A4291),1)</f>
        <v>46204</v>
      </c>
      <c r="G4291" s="24" t="str">
        <f aca="false">INDEX(Products!$C$2:$C$49,MATCH(C4291,Products!$A$2:$A$49,0))</f>
        <v>Household</v>
      </c>
      <c r="H4291" s="33" t="n">
        <f aca="false">D4291*INDEX(Products!$E$2:$E$49,MATCH(C4291,Products!$A$2:$A$49,0))</f>
        <v>9240</v>
      </c>
      <c r="I4291" s="33" t="n">
        <f aca="false">D4291*INDEX(Products!$D$2:$D$49,MATCH(C4291,Products!$A$2:$A$49,0))*(1+INDEX(Assumptions!$B$16:$B$20,MATCH(B4291,Assumptions!$A$16:$A$20,0)))</f>
        <v>7073.792</v>
      </c>
      <c r="J4291" s="33" t="n">
        <f aca="false">H4291-I4291</f>
        <v>2166.208</v>
      </c>
      <c r="K4291" s="33" t="n">
        <f aca="false">IF(OR(E4291=0,E4291&gt;=7),0,D4291/(7-E4291)*E4291*INDEX(Products!$E$2:$E$49,MATCH(C4291,Products!$A$2:$A$49,0)))</f>
        <v>0</v>
      </c>
    </row>
    <row r="4292" customFormat="false" ht="15" hidden="false" customHeight="false" outlineLevel="0" collapsed="false">
      <c r="A4292" s="36" t="n">
        <v>46223</v>
      </c>
      <c r="B4292" s="24" t="s">
        <v>64</v>
      </c>
      <c r="C4292" s="24" t="s">
        <v>169</v>
      </c>
      <c r="D4292" s="33" t="n">
        <v>25</v>
      </c>
      <c r="E4292" s="24" t="n">
        <v>0</v>
      </c>
      <c r="F4292" s="37" t="n">
        <f aca="false">DATE(YEAR(A4292),MONTH(A4292),1)</f>
        <v>46204</v>
      </c>
      <c r="G4292" s="24" t="str">
        <f aca="false">INDEX(Products!$C$2:$C$49,MATCH(C4292,Products!$A$2:$A$49,0))</f>
        <v>Household</v>
      </c>
      <c r="H4292" s="33" t="n">
        <f aca="false">D4292*INDEX(Products!$E$2:$E$49,MATCH(C4292,Products!$A$2:$A$49,0))</f>
        <v>10500</v>
      </c>
      <c r="I4292" s="33" t="n">
        <f aca="false">D4292*INDEX(Products!$D$2:$D$49,MATCH(C4292,Products!$A$2:$A$49,0))*(1+INDEX(Assumptions!$B$16:$B$20,MATCH(B4292,Assumptions!$A$16:$A$20,0)))</f>
        <v>8038.4</v>
      </c>
      <c r="J4292" s="33" t="n">
        <f aca="false">H4292-I4292</f>
        <v>2461.6</v>
      </c>
      <c r="K4292" s="33" t="n">
        <f aca="false">IF(OR(E4292=0,E4292&gt;=7),0,D4292/(7-E4292)*E4292*INDEX(Products!$E$2:$E$49,MATCH(C4292,Products!$A$2:$A$49,0)))</f>
        <v>0</v>
      </c>
    </row>
    <row r="4293" customFormat="false" ht="15" hidden="false" customHeight="false" outlineLevel="0" collapsed="false">
      <c r="A4293" s="36" t="n">
        <v>46230</v>
      </c>
      <c r="B4293" s="24" t="s">
        <v>64</v>
      </c>
      <c r="C4293" s="24" t="s">
        <v>169</v>
      </c>
      <c r="D4293" s="33" t="n">
        <v>21</v>
      </c>
      <c r="E4293" s="24" t="n">
        <v>0</v>
      </c>
      <c r="F4293" s="37" t="n">
        <f aca="false">DATE(YEAR(A4293),MONTH(A4293),1)</f>
        <v>46204</v>
      </c>
      <c r="G4293" s="24" t="str">
        <f aca="false">INDEX(Products!$C$2:$C$49,MATCH(C4293,Products!$A$2:$A$49,0))</f>
        <v>Household</v>
      </c>
      <c r="H4293" s="33" t="n">
        <f aca="false">D4293*INDEX(Products!$E$2:$E$49,MATCH(C4293,Products!$A$2:$A$49,0))</f>
        <v>8820</v>
      </c>
      <c r="I4293" s="33" t="n">
        <f aca="false">D4293*INDEX(Products!$D$2:$D$49,MATCH(C4293,Products!$A$2:$A$49,0))*(1+INDEX(Assumptions!$B$16:$B$20,MATCH(B4293,Assumptions!$A$16:$A$20,0)))</f>
        <v>6752.256</v>
      </c>
      <c r="J4293" s="33" t="n">
        <f aca="false">H4293-I4293</f>
        <v>2067.744</v>
      </c>
      <c r="K4293" s="33" t="n">
        <f aca="false">IF(OR(E4293=0,E4293&gt;=7),0,D4293/(7-E4293)*E4293*INDEX(Products!$E$2:$E$49,MATCH(C4293,Products!$A$2:$A$49,0)))</f>
        <v>0</v>
      </c>
    </row>
    <row r="4294" customFormat="false" ht="15" hidden="false" customHeight="false" outlineLevel="0" collapsed="false">
      <c r="A4294" s="36" t="n">
        <v>46237</v>
      </c>
      <c r="B4294" s="24" t="s">
        <v>64</v>
      </c>
      <c r="C4294" s="24" t="s">
        <v>169</v>
      </c>
      <c r="D4294" s="33" t="n">
        <v>36</v>
      </c>
      <c r="E4294" s="24" t="n">
        <v>0</v>
      </c>
      <c r="F4294" s="37" t="n">
        <f aca="false">DATE(YEAR(A4294),MONTH(A4294),1)</f>
        <v>46235</v>
      </c>
      <c r="G4294" s="24" t="str">
        <f aca="false">INDEX(Products!$C$2:$C$49,MATCH(C4294,Products!$A$2:$A$49,0))</f>
        <v>Household</v>
      </c>
      <c r="H4294" s="33" t="n">
        <f aca="false">D4294*INDEX(Products!$E$2:$E$49,MATCH(C4294,Products!$A$2:$A$49,0))</f>
        <v>15120</v>
      </c>
      <c r="I4294" s="33" t="n">
        <f aca="false">D4294*INDEX(Products!$D$2:$D$49,MATCH(C4294,Products!$A$2:$A$49,0))*(1+INDEX(Assumptions!$B$16:$B$20,MATCH(B4294,Assumptions!$A$16:$A$20,0)))</f>
        <v>11575.296</v>
      </c>
      <c r="J4294" s="33" t="n">
        <f aca="false">H4294-I4294</f>
        <v>3544.704</v>
      </c>
      <c r="K4294" s="33" t="n">
        <f aca="false">IF(OR(E4294=0,E4294&gt;=7),0,D4294/(7-E4294)*E4294*INDEX(Products!$E$2:$E$49,MATCH(C4294,Products!$A$2:$A$49,0)))</f>
        <v>0</v>
      </c>
    </row>
    <row r="4295" customFormat="false" ht="15" hidden="false" customHeight="false" outlineLevel="0" collapsed="false">
      <c r="A4295" s="36" t="n">
        <v>46244</v>
      </c>
      <c r="B4295" s="24" t="s">
        <v>64</v>
      </c>
      <c r="C4295" s="24" t="s">
        <v>169</v>
      </c>
      <c r="D4295" s="33" t="n">
        <v>22</v>
      </c>
      <c r="E4295" s="24" t="n">
        <v>0</v>
      </c>
      <c r="F4295" s="37" t="n">
        <f aca="false">DATE(YEAR(A4295),MONTH(A4295),1)</f>
        <v>46235</v>
      </c>
      <c r="G4295" s="24" t="str">
        <f aca="false">INDEX(Products!$C$2:$C$49,MATCH(C4295,Products!$A$2:$A$49,0))</f>
        <v>Household</v>
      </c>
      <c r="H4295" s="33" t="n">
        <f aca="false">D4295*INDEX(Products!$E$2:$E$49,MATCH(C4295,Products!$A$2:$A$49,0))</f>
        <v>9240</v>
      </c>
      <c r="I4295" s="33" t="n">
        <f aca="false">D4295*INDEX(Products!$D$2:$D$49,MATCH(C4295,Products!$A$2:$A$49,0))*(1+INDEX(Assumptions!$B$16:$B$20,MATCH(B4295,Assumptions!$A$16:$A$20,0)))</f>
        <v>7073.792</v>
      </c>
      <c r="J4295" s="33" t="n">
        <f aca="false">H4295-I4295</f>
        <v>2166.208</v>
      </c>
      <c r="K4295" s="33" t="n">
        <f aca="false">IF(OR(E4295=0,E4295&gt;=7),0,D4295/(7-E4295)*E4295*INDEX(Products!$E$2:$E$49,MATCH(C4295,Products!$A$2:$A$49,0)))</f>
        <v>0</v>
      </c>
    </row>
    <row r="4296" customFormat="false" ht="15" hidden="false" customHeight="false" outlineLevel="0" collapsed="false">
      <c r="A4296" s="36" t="n">
        <v>46251</v>
      </c>
      <c r="B4296" s="24" t="s">
        <v>64</v>
      </c>
      <c r="C4296" s="24" t="s">
        <v>169</v>
      </c>
      <c r="D4296" s="33" t="n">
        <v>19</v>
      </c>
      <c r="E4296" s="24" t="n">
        <v>0</v>
      </c>
      <c r="F4296" s="37" t="n">
        <f aca="false">DATE(YEAR(A4296),MONTH(A4296),1)</f>
        <v>46235</v>
      </c>
      <c r="G4296" s="24" t="str">
        <f aca="false">INDEX(Products!$C$2:$C$49,MATCH(C4296,Products!$A$2:$A$49,0))</f>
        <v>Household</v>
      </c>
      <c r="H4296" s="33" t="n">
        <f aca="false">D4296*INDEX(Products!$E$2:$E$49,MATCH(C4296,Products!$A$2:$A$49,0))</f>
        <v>7980</v>
      </c>
      <c r="I4296" s="33" t="n">
        <f aca="false">D4296*INDEX(Products!$D$2:$D$49,MATCH(C4296,Products!$A$2:$A$49,0))*(1+INDEX(Assumptions!$B$16:$B$20,MATCH(B4296,Assumptions!$A$16:$A$20,0)))</f>
        <v>6109.184</v>
      </c>
      <c r="J4296" s="33" t="n">
        <f aca="false">H4296-I4296</f>
        <v>1870.816</v>
      </c>
      <c r="K4296" s="33" t="n">
        <f aca="false">IF(OR(E4296=0,E4296&gt;=7),0,D4296/(7-E4296)*E4296*INDEX(Products!$E$2:$E$49,MATCH(C4296,Products!$A$2:$A$49,0)))</f>
        <v>0</v>
      </c>
    </row>
    <row r="4297" customFormat="false" ht="15" hidden="false" customHeight="false" outlineLevel="0" collapsed="false">
      <c r="A4297" s="36" t="n">
        <v>46258</v>
      </c>
      <c r="B4297" s="24" t="s">
        <v>64</v>
      </c>
      <c r="C4297" s="24" t="s">
        <v>169</v>
      </c>
      <c r="D4297" s="33" t="n">
        <v>17</v>
      </c>
      <c r="E4297" s="24" t="n">
        <v>0</v>
      </c>
      <c r="F4297" s="37" t="n">
        <f aca="false">DATE(YEAR(A4297),MONTH(A4297),1)</f>
        <v>46235</v>
      </c>
      <c r="G4297" s="24" t="str">
        <f aca="false">INDEX(Products!$C$2:$C$49,MATCH(C4297,Products!$A$2:$A$49,0))</f>
        <v>Household</v>
      </c>
      <c r="H4297" s="33" t="n">
        <f aca="false">D4297*INDEX(Products!$E$2:$E$49,MATCH(C4297,Products!$A$2:$A$49,0))</f>
        <v>7140</v>
      </c>
      <c r="I4297" s="33" t="n">
        <f aca="false">D4297*INDEX(Products!$D$2:$D$49,MATCH(C4297,Products!$A$2:$A$49,0))*(1+INDEX(Assumptions!$B$16:$B$20,MATCH(B4297,Assumptions!$A$16:$A$20,0)))</f>
        <v>5466.112</v>
      </c>
      <c r="J4297" s="33" t="n">
        <f aca="false">H4297-I4297</f>
        <v>1673.888</v>
      </c>
      <c r="K4297" s="33" t="n">
        <f aca="false">IF(OR(E4297=0,E4297&gt;=7),0,D4297/(7-E4297)*E4297*INDEX(Products!$E$2:$E$49,MATCH(C4297,Products!$A$2:$A$49,0)))</f>
        <v>0</v>
      </c>
    </row>
    <row r="4298" customFormat="false" ht="15" hidden="false" customHeight="false" outlineLevel="0" collapsed="false">
      <c r="A4298" s="36" t="n">
        <v>46265</v>
      </c>
      <c r="B4298" s="24" t="s">
        <v>64</v>
      </c>
      <c r="C4298" s="24" t="s">
        <v>169</v>
      </c>
      <c r="D4298" s="33" t="n">
        <v>25</v>
      </c>
      <c r="E4298" s="24" t="n">
        <v>0</v>
      </c>
      <c r="F4298" s="37" t="n">
        <f aca="false">DATE(YEAR(A4298),MONTH(A4298),1)</f>
        <v>46235</v>
      </c>
      <c r="G4298" s="24" t="str">
        <f aca="false">INDEX(Products!$C$2:$C$49,MATCH(C4298,Products!$A$2:$A$49,0))</f>
        <v>Household</v>
      </c>
      <c r="H4298" s="33" t="n">
        <f aca="false">D4298*INDEX(Products!$E$2:$E$49,MATCH(C4298,Products!$A$2:$A$49,0))</f>
        <v>10500</v>
      </c>
      <c r="I4298" s="33" t="n">
        <f aca="false">D4298*INDEX(Products!$D$2:$D$49,MATCH(C4298,Products!$A$2:$A$49,0))*(1+INDEX(Assumptions!$B$16:$B$20,MATCH(B4298,Assumptions!$A$16:$A$20,0)))</f>
        <v>8038.4</v>
      </c>
      <c r="J4298" s="33" t="n">
        <f aca="false">H4298-I4298</f>
        <v>2461.6</v>
      </c>
      <c r="K4298" s="33" t="n">
        <f aca="false">IF(OR(E4298=0,E4298&gt;=7),0,D4298/(7-E4298)*E4298*INDEX(Products!$E$2:$E$49,MATCH(C4298,Products!$A$2:$A$49,0)))</f>
        <v>0</v>
      </c>
    </row>
    <row r="4299" customFormat="false" ht="15" hidden="false" customHeight="false" outlineLevel="0" collapsed="false">
      <c r="A4299" s="36" t="n">
        <v>46272</v>
      </c>
      <c r="B4299" s="24" t="s">
        <v>64</v>
      </c>
      <c r="C4299" s="24" t="s">
        <v>169</v>
      </c>
      <c r="D4299" s="33" t="n">
        <v>33</v>
      </c>
      <c r="E4299" s="24" t="n">
        <v>0</v>
      </c>
      <c r="F4299" s="37" t="n">
        <f aca="false">DATE(YEAR(A4299),MONTH(A4299),1)</f>
        <v>46266</v>
      </c>
      <c r="G4299" s="24" t="str">
        <f aca="false">INDEX(Products!$C$2:$C$49,MATCH(C4299,Products!$A$2:$A$49,0))</f>
        <v>Household</v>
      </c>
      <c r="H4299" s="33" t="n">
        <f aca="false">D4299*INDEX(Products!$E$2:$E$49,MATCH(C4299,Products!$A$2:$A$49,0))</f>
        <v>13860</v>
      </c>
      <c r="I4299" s="33" t="n">
        <f aca="false">D4299*INDEX(Products!$D$2:$D$49,MATCH(C4299,Products!$A$2:$A$49,0))*(1+INDEX(Assumptions!$B$16:$B$20,MATCH(B4299,Assumptions!$A$16:$A$20,0)))</f>
        <v>10610.688</v>
      </c>
      <c r="J4299" s="33" t="n">
        <f aca="false">H4299-I4299</f>
        <v>3249.312</v>
      </c>
      <c r="K4299" s="33" t="n">
        <f aca="false">IF(OR(E4299=0,E4299&gt;=7),0,D4299/(7-E4299)*E4299*INDEX(Products!$E$2:$E$49,MATCH(C4299,Products!$A$2:$A$49,0)))</f>
        <v>0</v>
      </c>
    </row>
    <row r="4300" customFormat="false" ht="15" hidden="false" customHeight="false" outlineLevel="0" collapsed="false">
      <c r="A4300" s="36" t="n">
        <v>46279</v>
      </c>
      <c r="B4300" s="24" t="s">
        <v>64</v>
      </c>
      <c r="C4300" s="24" t="s">
        <v>169</v>
      </c>
      <c r="D4300" s="33" t="n">
        <v>9</v>
      </c>
      <c r="E4300" s="24" t="n">
        <v>0</v>
      </c>
      <c r="F4300" s="37" t="n">
        <f aca="false">DATE(YEAR(A4300),MONTH(A4300),1)</f>
        <v>46266</v>
      </c>
      <c r="G4300" s="24" t="str">
        <f aca="false">INDEX(Products!$C$2:$C$49,MATCH(C4300,Products!$A$2:$A$49,0))</f>
        <v>Household</v>
      </c>
      <c r="H4300" s="33" t="n">
        <f aca="false">D4300*INDEX(Products!$E$2:$E$49,MATCH(C4300,Products!$A$2:$A$49,0))</f>
        <v>3780</v>
      </c>
      <c r="I4300" s="33" t="n">
        <f aca="false">D4300*INDEX(Products!$D$2:$D$49,MATCH(C4300,Products!$A$2:$A$49,0))*(1+INDEX(Assumptions!$B$16:$B$20,MATCH(B4300,Assumptions!$A$16:$A$20,0)))</f>
        <v>2893.824</v>
      </c>
      <c r="J4300" s="33" t="n">
        <f aca="false">H4300-I4300</f>
        <v>886.176</v>
      </c>
      <c r="K4300" s="33" t="n">
        <f aca="false">IF(OR(E4300=0,E4300&gt;=7),0,D4300/(7-E4300)*E4300*INDEX(Products!$E$2:$E$49,MATCH(C4300,Products!$A$2:$A$49,0)))</f>
        <v>0</v>
      </c>
    </row>
    <row r="4301" customFormat="false" ht="15" hidden="false" customHeight="false" outlineLevel="0" collapsed="false">
      <c r="A4301" s="36" t="n">
        <v>46286</v>
      </c>
      <c r="B4301" s="24" t="s">
        <v>64</v>
      </c>
      <c r="C4301" s="24" t="s">
        <v>169</v>
      </c>
      <c r="D4301" s="33" t="n">
        <v>15</v>
      </c>
      <c r="E4301" s="24" t="n">
        <v>0</v>
      </c>
      <c r="F4301" s="37" t="n">
        <f aca="false">DATE(YEAR(A4301),MONTH(A4301),1)</f>
        <v>46266</v>
      </c>
      <c r="G4301" s="24" t="str">
        <f aca="false">INDEX(Products!$C$2:$C$49,MATCH(C4301,Products!$A$2:$A$49,0))</f>
        <v>Household</v>
      </c>
      <c r="H4301" s="33" t="n">
        <f aca="false">D4301*INDEX(Products!$E$2:$E$49,MATCH(C4301,Products!$A$2:$A$49,0))</f>
        <v>6300</v>
      </c>
      <c r="I4301" s="33" t="n">
        <f aca="false">D4301*INDEX(Products!$D$2:$D$49,MATCH(C4301,Products!$A$2:$A$49,0))*(1+INDEX(Assumptions!$B$16:$B$20,MATCH(B4301,Assumptions!$A$16:$A$20,0)))</f>
        <v>4823.04</v>
      </c>
      <c r="J4301" s="33" t="n">
        <f aca="false">H4301-I4301</f>
        <v>1476.96</v>
      </c>
      <c r="K4301" s="33" t="n">
        <f aca="false">IF(OR(E4301=0,E4301&gt;=7),0,D4301/(7-E4301)*E4301*INDEX(Products!$E$2:$E$49,MATCH(C4301,Products!$A$2:$A$49,0)))</f>
        <v>0</v>
      </c>
    </row>
    <row r="4302" customFormat="false" ht="15" hidden="false" customHeight="false" outlineLevel="0" collapsed="false">
      <c r="A4302" s="36" t="n">
        <v>46118</v>
      </c>
      <c r="B4302" s="24" t="s">
        <v>64</v>
      </c>
      <c r="C4302" s="24" t="s">
        <v>171</v>
      </c>
      <c r="D4302" s="33" t="n">
        <v>14</v>
      </c>
      <c r="E4302" s="24" t="n">
        <v>0</v>
      </c>
      <c r="F4302" s="37" t="n">
        <f aca="false">DATE(YEAR(A4302),MONTH(A4302),1)</f>
        <v>46113</v>
      </c>
      <c r="G4302" s="24" t="str">
        <f aca="false">INDEX(Products!$C$2:$C$49,MATCH(C4302,Products!$A$2:$A$49,0))</f>
        <v>Household</v>
      </c>
      <c r="H4302" s="33" t="n">
        <f aca="false">D4302*INDEX(Products!$E$2:$E$49,MATCH(C4302,Products!$A$2:$A$49,0))</f>
        <v>2100</v>
      </c>
      <c r="I4302" s="33" t="n">
        <f aca="false">D4302*INDEX(Products!$D$2:$D$49,MATCH(C4302,Products!$A$2:$A$49,0))*(1+INDEX(Assumptions!$B$16:$B$20,MATCH(B4302,Assumptions!$A$16:$A$20,0)))</f>
        <v>1662.976</v>
      </c>
      <c r="J4302" s="33" t="n">
        <f aca="false">H4302-I4302</f>
        <v>437.024</v>
      </c>
      <c r="K4302" s="33" t="n">
        <f aca="false">IF(OR(E4302=0,E4302&gt;=7),0,D4302/(7-E4302)*E4302*INDEX(Products!$E$2:$E$49,MATCH(C4302,Products!$A$2:$A$49,0)))</f>
        <v>0</v>
      </c>
    </row>
    <row r="4303" customFormat="false" ht="15" hidden="false" customHeight="false" outlineLevel="0" collapsed="false">
      <c r="A4303" s="36" t="n">
        <v>46125</v>
      </c>
      <c r="B4303" s="24" t="s">
        <v>64</v>
      </c>
      <c r="C4303" s="24" t="s">
        <v>171</v>
      </c>
      <c r="D4303" s="33" t="n">
        <v>12</v>
      </c>
      <c r="E4303" s="24" t="n">
        <v>0</v>
      </c>
      <c r="F4303" s="37" t="n">
        <f aca="false">DATE(YEAR(A4303),MONTH(A4303),1)</f>
        <v>46113</v>
      </c>
      <c r="G4303" s="24" t="str">
        <f aca="false">INDEX(Products!$C$2:$C$49,MATCH(C4303,Products!$A$2:$A$49,0))</f>
        <v>Household</v>
      </c>
      <c r="H4303" s="33" t="n">
        <f aca="false">D4303*INDEX(Products!$E$2:$E$49,MATCH(C4303,Products!$A$2:$A$49,0))</f>
        <v>1800</v>
      </c>
      <c r="I4303" s="33" t="n">
        <f aca="false">D4303*INDEX(Products!$D$2:$D$49,MATCH(C4303,Products!$A$2:$A$49,0))*(1+INDEX(Assumptions!$B$16:$B$20,MATCH(B4303,Assumptions!$A$16:$A$20,0)))</f>
        <v>1425.408</v>
      </c>
      <c r="J4303" s="33" t="n">
        <f aca="false">H4303-I4303</f>
        <v>374.592</v>
      </c>
      <c r="K4303" s="33" t="n">
        <f aca="false">IF(OR(E4303=0,E4303&gt;=7),0,D4303/(7-E4303)*E4303*INDEX(Products!$E$2:$E$49,MATCH(C4303,Products!$A$2:$A$49,0)))</f>
        <v>0</v>
      </c>
    </row>
    <row r="4304" customFormat="false" ht="15" hidden="false" customHeight="false" outlineLevel="0" collapsed="false">
      <c r="A4304" s="36" t="n">
        <v>46132</v>
      </c>
      <c r="B4304" s="24" t="s">
        <v>64</v>
      </c>
      <c r="C4304" s="24" t="s">
        <v>171</v>
      </c>
      <c r="D4304" s="33" t="n">
        <v>21</v>
      </c>
      <c r="E4304" s="24" t="n">
        <v>0</v>
      </c>
      <c r="F4304" s="37" t="n">
        <f aca="false">DATE(YEAR(A4304),MONTH(A4304),1)</f>
        <v>46113</v>
      </c>
      <c r="G4304" s="24" t="str">
        <f aca="false">INDEX(Products!$C$2:$C$49,MATCH(C4304,Products!$A$2:$A$49,0))</f>
        <v>Household</v>
      </c>
      <c r="H4304" s="33" t="n">
        <f aca="false">D4304*INDEX(Products!$E$2:$E$49,MATCH(C4304,Products!$A$2:$A$49,0))</f>
        <v>3150</v>
      </c>
      <c r="I4304" s="33" t="n">
        <f aca="false">D4304*INDEX(Products!$D$2:$D$49,MATCH(C4304,Products!$A$2:$A$49,0))*(1+INDEX(Assumptions!$B$16:$B$20,MATCH(B4304,Assumptions!$A$16:$A$20,0)))</f>
        <v>2494.464</v>
      </c>
      <c r="J4304" s="33" t="n">
        <f aca="false">H4304-I4304</f>
        <v>655.536</v>
      </c>
      <c r="K4304" s="33" t="n">
        <f aca="false">IF(OR(E4304=0,E4304&gt;=7),0,D4304/(7-E4304)*E4304*INDEX(Products!$E$2:$E$49,MATCH(C4304,Products!$A$2:$A$49,0)))</f>
        <v>0</v>
      </c>
    </row>
    <row r="4305" customFormat="false" ht="15" hidden="false" customHeight="false" outlineLevel="0" collapsed="false">
      <c r="A4305" s="36" t="n">
        <v>46139</v>
      </c>
      <c r="B4305" s="24" t="s">
        <v>64</v>
      </c>
      <c r="C4305" s="24" t="s">
        <v>171</v>
      </c>
      <c r="D4305" s="33" t="n">
        <v>14</v>
      </c>
      <c r="E4305" s="24" t="n">
        <v>0</v>
      </c>
      <c r="F4305" s="37" t="n">
        <f aca="false">DATE(YEAR(A4305),MONTH(A4305),1)</f>
        <v>46113</v>
      </c>
      <c r="G4305" s="24" t="str">
        <f aca="false">INDEX(Products!$C$2:$C$49,MATCH(C4305,Products!$A$2:$A$49,0))</f>
        <v>Household</v>
      </c>
      <c r="H4305" s="33" t="n">
        <f aca="false">D4305*INDEX(Products!$E$2:$E$49,MATCH(C4305,Products!$A$2:$A$49,0))</f>
        <v>2100</v>
      </c>
      <c r="I4305" s="33" t="n">
        <f aca="false">D4305*INDEX(Products!$D$2:$D$49,MATCH(C4305,Products!$A$2:$A$49,0))*(1+INDEX(Assumptions!$B$16:$B$20,MATCH(B4305,Assumptions!$A$16:$A$20,0)))</f>
        <v>1662.976</v>
      </c>
      <c r="J4305" s="33" t="n">
        <f aca="false">H4305-I4305</f>
        <v>437.024</v>
      </c>
      <c r="K4305" s="33" t="n">
        <f aca="false">IF(OR(E4305=0,E4305&gt;=7),0,D4305/(7-E4305)*E4305*INDEX(Products!$E$2:$E$49,MATCH(C4305,Products!$A$2:$A$49,0)))</f>
        <v>0</v>
      </c>
    </row>
    <row r="4306" customFormat="false" ht="15" hidden="false" customHeight="false" outlineLevel="0" collapsed="false">
      <c r="A4306" s="36" t="n">
        <v>46146</v>
      </c>
      <c r="B4306" s="24" t="s">
        <v>64</v>
      </c>
      <c r="C4306" s="24" t="s">
        <v>171</v>
      </c>
      <c r="D4306" s="33" t="n">
        <v>15</v>
      </c>
      <c r="E4306" s="24" t="n">
        <v>0</v>
      </c>
      <c r="F4306" s="37" t="n">
        <f aca="false">DATE(YEAR(A4306),MONTH(A4306),1)</f>
        <v>46143</v>
      </c>
      <c r="G4306" s="24" t="str">
        <f aca="false">INDEX(Products!$C$2:$C$49,MATCH(C4306,Products!$A$2:$A$49,0))</f>
        <v>Household</v>
      </c>
      <c r="H4306" s="33" t="n">
        <f aca="false">D4306*INDEX(Products!$E$2:$E$49,MATCH(C4306,Products!$A$2:$A$49,0))</f>
        <v>2250</v>
      </c>
      <c r="I4306" s="33" t="n">
        <f aca="false">D4306*INDEX(Products!$D$2:$D$49,MATCH(C4306,Products!$A$2:$A$49,0))*(1+INDEX(Assumptions!$B$16:$B$20,MATCH(B4306,Assumptions!$A$16:$A$20,0)))</f>
        <v>1781.76</v>
      </c>
      <c r="J4306" s="33" t="n">
        <f aca="false">H4306-I4306</f>
        <v>468.24</v>
      </c>
      <c r="K4306" s="33" t="n">
        <f aca="false">IF(OR(E4306=0,E4306&gt;=7),0,D4306/(7-E4306)*E4306*INDEX(Products!$E$2:$E$49,MATCH(C4306,Products!$A$2:$A$49,0)))</f>
        <v>0</v>
      </c>
    </row>
    <row r="4307" customFormat="false" ht="15" hidden="false" customHeight="false" outlineLevel="0" collapsed="false">
      <c r="A4307" s="36" t="n">
        <v>46153</v>
      </c>
      <c r="B4307" s="24" t="s">
        <v>64</v>
      </c>
      <c r="C4307" s="24" t="s">
        <v>171</v>
      </c>
      <c r="D4307" s="33" t="n">
        <v>20</v>
      </c>
      <c r="E4307" s="24" t="n">
        <v>0</v>
      </c>
      <c r="F4307" s="37" t="n">
        <f aca="false">DATE(YEAR(A4307),MONTH(A4307),1)</f>
        <v>46143</v>
      </c>
      <c r="G4307" s="24" t="str">
        <f aca="false">INDEX(Products!$C$2:$C$49,MATCH(C4307,Products!$A$2:$A$49,0))</f>
        <v>Household</v>
      </c>
      <c r="H4307" s="33" t="n">
        <f aca="false">D4307*INDEX(Products!$E$2:$E$49,MATCH(C4307,Products!$A$2:$A$49,0))</f>
        <v>3000</v>
      </c>
      <c r="I4307" s="33" t="n">
        <f aca="false">D4307*INDEX(Products!$D$2:$D$49,MATCH(C4307,Products!$A$2:$A$49,0))*(1+INDEX(Assumptions!$B$16:$B$20,MATCH(B4307,Assumptions!$A$16:$A$20,0)))</f>
        <v>2375.68</v>
      </c>
      <c r="J4307" s="33" t="n">
        <f aca="false">H4307-I4307</f>
        <v>624.32</v>
      </c>
      <c r="K4307" s="33" t="n">
        <f aca="false">IF(OR(E4307=0,E4307&gt;=7),0,D4307/(7-E4307)*E4307*INDEX(Products!$E$2:$E$49,MATCH(C4307,Products!$A$2:$A$49,0)))</f>
        <v>0</v>
      </c>
    </row>
    <row r="4308" customFormat="false" ht="15" hidden="false" customHeight="false" outlineLevel="0" collapsed="false">
      <c r="A4308" s="36" t="n">
        <v>46160</v>
      </c>
      <c r="B4308" s="24" t="s">
        <v>64</v>
      </c>
      <c r="C4308" s="24" t="s">
        <v>171</v>
      </c>
      <c r="D4308" s="33" t="n">
        <v>15</v>
      </c>
      <c r="E4308" s="24" t="n">
        <v>0</v>
      </c>
      <c r="F4308" s="37" t="n">
        <f aca="false">DATE(YEAR(A4308),MONTH(A4308),1)</f>
        <v>46143</v>
      </c>
      <c r="G4308" s="24" t="str">
        <f aca="false">INDEX(Products!$C$2:$C$49,MATCH(C4308,Products!$A$2:$A$49,0))</f>
        <v>Household</v>
      </c>
      <c r="H4308" s="33" t="n">
        <f aca="false">D4308*INDEX(Products!$E$2:$E$49,MATCH(C4308,Products!$A$2:$A$49,0))</f>
        <v>2250</v>
      </c>
      <c r="I4308" s="33" t="n">
        <f aca="false">D4308*INDEX(Products!$D$2:$D$49,MATCH(C4308,Products!$A$2:$A$49,0))*(1+INDEX(Assumptions!$B$16:$B$20,MATCH(B4308,Assumptions!$A$16:$A$20,0)))</f>
        <v>1781.76</v>
      </c>
      <c r="J4308" s="33" t="n">
        <f aca="false">H4308-I4308</f>
        <v>468.24</v>
      </c>
      <c r="K4308" s="33" t="n">
        <f aca="false">IF(OR(E4308=0,E4308&gt;=7),0,D4308/(7-E4308)*E4308*INDEX(Products!$E$2:$E$49,MATCH(C4308,Products!$A$2:$A$49,0)))</f>
        <v>0</v>
      </c>
    </row>
    <row r="4309" customFormat="false" ht="15" hidden="false" customHeight="false" outlineLevel="0" collapsed="false">
      <c r="A4309" s="36" t="n">
        <v>46167</v>
      </c>
      <c r="B4309" s="24" t="s">
        <v>64</v>
      </c>
      <c r="C4309" s="24" t="s">
        <v>171</v>
      </c>
      <c r="D4309" s="33" t="n">
        <v>24</v>
      </c>
      <c r="E4309" s="24" t="n">
        <v>0</v>
      </c>
      <c r="F4309" s="37" t="n">
        <f aca="false">DATE(YEAR(A4309),MONTH(A4309),1)</f>
        <v>46143</v>
      </c>
      <c r="G4309" s="24" t="str">
        <f aca="false">INDEX(Products!$C$2:$C$49,MATCH(C4309,Products!$A$2:$A$49,0))</f>
        <v>Household</v>
      </c>
      <c r="H4309" s="33" t="n">
        <f aca="false">D4309*INDEX(Products!$E$2:$E$49,MATCH(C4309,Products!$A$2:$A$49,0))</f>
        <v>3600</v>
      </c>
      <c r="I4309" s="33" t="n">
        <f aca="false">D4309*INDEX(Products!$D$2:$D$49,MATCH(C4309,Products!$A$2:$A$49,0))*(1+INDEX(Assumptions!$B$16:$B$20,MATCH(B4309,Assumptions!$A$16:$A$20,0)))</f>
        <v>2850.816</v>
      </c>
      <c r="J4309" s="33" t="n">
        <f aca="false">H4309-I4309</f>
        <v>749.184</v>
      </c>
      <c r="K4309" s="33" t="n">
        <f aca="false">IF(OR(E4309=0,E4309&gt;=7),0,D4309/(7-E4309)*E4309*INDEX(Products!$E$2:$E$49,MATCH(C4309,Products!$A$2:$A$49,0)))</f>
        <v>0</v>
      </c>
    </row>
    <row r="4310" customFormat="false" ht="15" hidden="false" customHeight="false" outlineLevel="0" collapsed="false">
      <c r="A4310" s="36" t="n">
        <v>46174</v>
      </c>
      <c r="B4310" s="24" t="s">
        <v>64</v>
      </c>
      <c r="C4310" s="24" t="s">
        <v>171</v>
      </c>
      <c r="D4310" s="33" t="n">
        <v>20</v>
      </c>
      <c r="E4310" s="24" t="n">
        <v>0</v>
      </c>
      <c r="F4310" s="37" t="n">
        <f aca="false">DATE(YEAR(A4310),MONTH(A4310),1)</f>
        <v>46174</v>
      </c>
      <c r="G4310" s="24" t="str">
        <f aca="false">INDEX(Products!$C$2:$C$49,MATCH(C4310,Products!$A$2:$A$49,0))</f>
        <v>Household</v>
      </c>
      <c r="H4310" s="33" t="n">
        <f aca="false">D4310*INDEX(Products!$E$2:$E$49,MATCH(C4310,Products!$A$2:$A$49,0))</f>
        <v>3000</v>
      </c>
      <c r="I4310" s="33" t="n">
        <f aca="false">D4310*INDEX(Products!$D$2:$D$49,MATCH(C4310,Products!$A$2:$A$49,0))*(1+INDEX(Assumptions!$B$16:$B$20,MATCH(B4310,Assumptions!$A$16:$A$20,0)))</f>
        <v>2375.68</v>
      </c>
      <c r="J4310" s="33" t="n">
        <f aca="false">H4310-I4310</f>
        <v>624.32</v>
      </c>
      <c r="K4310" s="33" t="n">
        <f aca="false">IF(OR(E4310=0,E4310&gt;=7),0,D4310/(7-E4310)*E4310*INDEX(Products!$E$2:$E$49,MATCH(C4310,Products!$A$2:$A$49,0)))</f>
        <v>0</v>
      </c>
    </row>
    <row r="4311" customFormat="false" ht="15" hidden="false" customHeight="false" outlineLevel="0" collapsed="false">
      <c r="A4311" s="36" t="n">
        <v>46181</v>
      </c>
      <c r="B4311" s="24" t="s">
        <v>64</v>
      </c>
      <c r="C4311" s="24" t="s">
        <v>171</v>
      </c>
      <c r="D4311" s="33" t="n">
        <v>11</v>
      </c>
      <c r="E4311" s="24" t="n">
        <v>0</v>
      </c>
      <c r="F4311" s="37" t="n">
        <f aca="false">DATE(YEAR(A4311),MONTH(A4311),1)</f>
        <v>46174</v>
      </c>
      <c r="G4311" s="24" t="str">
        <f aca="false">INDEX(Products!$C$2:$C$49,MATCH(C4311,Products!$A$2:$A$49,0))</f>
        <v>Household</v>
      </c>
      <c r="H4311" s="33" t="n">
        <f aca="false">D4311*INDEX(Products!$E$2:$E$49,MATCH(C4311,Products!$A$2:$A$49,0))</f>
        <v>1650</v>
      </c>
      <c r="I4311" s="33" t="n">
        <f aca="false">D4311*INDEX(Products!$D$2:$D$49,MATCH(C4311,Products!$A$2:$A$49,0))*(1+INDEX(Assumptions!$B$16:$B$20,MATCH(B4311,Assumptions!$A$16:$A$20,0)))</f>
        <v>1306.624</v>
      </c>
      <c r="J4311" s="33" t="n">
        <f aca="false">H4311-I4311</f>
        <v>343.376</v>
      </c>
      <c r="K4311" s="33" t="n">
        <f aca="false">IF(OR(E4311=0,E4311&gt;=7),0,D4311/(7-E4311)*E4311*INDEX(Products!$E$2:$E$49,MATCH(C4311,Products!$A$2:$A$49,0)))</f>
        <v>0</v>
      </c>
    </row>
    <row r="4312" customFormat="false" ht="15" hidden="false" customHeight="false" outlineLevel="0" collapsed="false">
      <c r="A4312" s="36" t="n">
        <v>46188</v>
      </c>
      <c r="B4312" s="24" t="s">
        <v>64</v>
      </c>
      <c r="C4312" s="24" t="s">
        <v>171</v>
      </c>
      <c r="D4312" s="33" t="n">
        <v>5</v>
      </c>
      <c r="E4312" s="24" t="n">
        <v>5</v>
      </c>
      <c r="F4312" s="37" t="n">
        <f aca="false">DATE(YEAR(A4312),MONTH(A4312),1)</f>
        <v>46174</v>
      </c>
      <c r="G4312" s="24" t="str">
        <f aca="false">INDEX(Products!$C$2:$C$49,MATCH(C4312,Products!$A$2:$A$49,0))</f>
        <v>Household</v>
      </c>
      <c r="H4312" s="33" t="n">
        <f aca="false">D4312*INDEX(Products!$E$2:$E$49,MATCH(C4312,Products!$A$2:$A$49,0))</f>
        <v>750</v>
      </c>
      <c r="I4312" s="33" t="n">
        <f aca="false">D4312*INDEX(Products!$D$2:$D$49,MATCH(C4312,Products!$A$2:$A$49,0))*(1+INDEX(Assumptions!$B$16:$B$20,MATCH(B4312,Assumptions!$A$16:$A$20,0)))</f>
        <v>593.92</v>
      </c>
      <c r="J4312" s="33" t="n">
        <f aca="false">H4312-I4312</f>
        <v>156.08</v>
      </c>
      <c r="K4312" s="33" t="n">
        <f aca="false">IF(OR(E4312=0,E4312&gt;=7),0,D4312/(7-E4312)*E4312*INDEX(Products!$E$2:$E$49,MATCH(C4312,Products!$A$2:$A$49,0)))</f>
        <v>1875</v>
      </c>
    </row>
    <row r="4313" customFormat="false" ht="15" hidden="false" customHeight="false" outlineLevel="0" collapsed="false">
      <c r="A4313" s="36" t="n">
        <v>46195</v>
      </c>
      <c r="B4313" s="24" t="s">
        <v>64</v>
      </c>
      <c r="C4313" s="24" t="s">
        <v>171</v>
      </c>
      <c r="D4313" s="33" t="n">
        <v>6</v>
      </c>
      <c r="E4313" s="24" t="n">
        <v>0</v>
      </c>
      <c r="F4313" s="37" t="n">
        <f aca="false">DATE(YEAR(A4313),MONTH(A4313),1)</f>
        <v>46174</v>
      </c>
      <c r="G4313" s="24" t="str">
        <f aca="false">INDEX(Products!$C$2:$C$49,MATCH(C4313,Products!$A$2:$A$49,0))</f>
        <v>Household</v>
      </c>
      <c r="H4313" s="33" t="n">
        <f aca="false">D4313*INDEX(Products!$E$2:$E$49,MATCH(C4313,Products!$A$2:$A$49,0))</f>
        <v>900</v>
      </c>
      <c r="I4313" s="33" t="n">
        <f aca="false">D4313*INDEX(Products!$D$2:$D$49,MATCH(C4313,Products!$A$2:$A$49,0))*(1+INDEX(Assumptions!$B$16:$B$20,MATCH(B4313,Assumptions!$A$16:$A$20,0)))</f>
        <v>712.704</v>
      </c>
      <c r="J4313" s="33" t="n">
        <f aca="false">H4313-I4313</f>
        <v>187.296</v>
      </c>
      <c r="K4313" s="33" t="n">
        <f aca="false">IF(OR(E4313=0,E4313&gt;=7),0,D4313/(7-E4313)*E4313*INDEX(Products!$E$2:$E$49,MATCH(C4313,Products!$A$2:$A$49,0)))</f>
        <v>0</v>
      </c>
    </row>
    <row r="4314" customFormat="false" ht="15" hidden="false" customHeight="false" outlineLevel="0" collapsed="false">
      <c r="A4314" s="36" t="n">
        <v>46202</v>
      </c>
      <c r="B4314" s="24" t="s">
        <v>64</v>
      </c>
      <c r="C4314" s="24" t="s">
        <v>171</v>
      </c>
      <c r="D4314" s="33" t="n">
        <v>13</v>
      </c>
      <c r="E4314" s="24" t="n">
        <v>0</v>
      </c>
      <c r="F4314" s="37" t="n">
        <f aca="false">DATE(YEAR(A4314),MONTH(A4314),1)</f>
        <v>46174</v>
      </c>
      <c r="G4314" s="24" t="str">
        <f aca="false">INDEX(Products!$C$2:$C$49,MATCH(C4314,Products!$A$2:$A$49,0))</f>
        <v>Household</v>
      </c>
      <c r="H4314" s="33" t="n">
        <f aca="false">D4314*INDEX(Products!$E$2:$E$49,MATCH(C4314,Products!$A$2:$A$49,0))</f>
        <v>1950</v>
      </c>
      <c r="I4314" s="33" t="n">
        <f aca="false">D4314*INDEX(Products!$D$2:$D$49,MATCH(C4314,Products!$A$2:$A$49,0))*(1+INDEX(Assumptions!$B$16:$B$20,MATCH(B4314,Assumptions!$A$16:$A$20,0)))</f>
        <v>1544.192</v>
      </c>
      <c r="J4314" s="33" t="n">
        <f aca="false">H4314-I4314</f>
        <v>405.808</v>
      </c>
      <c r="K4314" s="33" t="n">
        <f aca="false">IF(OR(E4314=0,E4314&gt;=7),0,D4314/(7-E4314)*E4314*INDEX(Products!$E$2:$E$49,MATCH(C4314,Products!$A$2:$A$49,0)))</f>
        <v>0</v>
      </c>
    </row>
    <row r="4315" customFormat="false" ht="15" hidden="false" customHeight="false" outlineLevel="0" collapsed="false">
      <c r="A4315" s="36" t="n">
        <v>46209</v>
      </c>
      <c r="B4315" s="24" t="s">
        <v>64</v>
      </c>
      <c r="C4315" s="24" t="s">
        <v>171</v>
      </c>
      <c r="D4315" s="33" t="n">
        <v>12</v>
      </c>
      <c r="E4315" s="24" t="n">
        <v>0</v>
      </c>
      <c r="F4315" s="37" t="n">
        <f aca="false">DATE(YEAR(A4315),MONTH(A4315),1)</f>
        <v>46204</v>
      </c>
      <c r="G4315" s="24" t="str">
        <f aca="false">INDEX(Products!$C$2:$C$49,MATCH(C4315,Products!$A$2:$A$49,0))</f>
        <v>Household</v>
      </c>
      <c r="H4315" s="33" t="n">
        <f aca="false">D4315*INDEX(Products!$E$2:$E$49,MATCH(C4315,Products!$A$2:$A$49,0))</f>
        <v>1800</v>
      </c>
      <c r="I4315" s="33" t="n">
        <f aca="false">D4315*INDEX(Products!$D$2:$D$49,MATCH(C4315,Products!$A$2:$A$49,0))*(1+INDEX(Assumptions!$B$16:$B$20,MATCH(B4315,Assumptions!$A$16:$A$20,0)))</f>
        <v>1425.408</v>
      </c>
      <c r="J4315" s="33" t="n">
        <f aca="false">H4315-I4315</f>
        <v>374.592</v>
      </c>
      <c r="K4315" s="33" t="n">
        <f aca="false">IF(OR(E4315=0,E4315&gt;=7),0,D4315/(7-E4315)*E4315*INDEX(Products!$E$2:$E$49,MATCH(C4315,Products!$A$2:$A$49,0)))</f>
        <v>0</v>
      </c>
    </row>
    <row r="4316" customFormat="false" ht="15" hidden="false" customHeight="false" outlineLevel="0" collapsed="false">
      <c r="A4316" s="36" t="n">
        <v>46216</v>
      </c>
      <c r="B4316" s="24" t="s">
        <v>64</v>
      </c>
      <c r="C4316" s="24" t="s">
        <v>171</v>
      </c>
      <c r="D4316" s="33" t="n">
        <v>12</v>
      </c>
      <c r="E4316" s="24" t="n">
        <v>0</v>
      </c>
      <c r="F4316" s="37" t="n">
        <f aca="false">DATE(YEAR(A4316),MONTH(A4316),1)</f>
        <v>46204</v>
      </c>
      <c r="G4316" s="24" t="str">
        <f aca="false">INDEX(Products!$C$2:$C$49,MATCH(C4316,Products!$A$2:$A$49,0))</f>
        <v>Household</v>
      </c>
      <c r="H4316" s="33" t="n">
        <f aca="false">D4316*INDEX(Products!$E$2:$E$49,MATCH(C4316,Products!$A$2:$A$49,0))</f>
        <v>1800</v>
      </c>
      <c r="I4316" s="33" t="n">
        <f aca="false">D4316*INDEX(Products!$D$2:$D$49,MATCH(C4316,Products!$A$2:$A$49,0))*(1+INDEX(Assumptions!$B$16:$B$20,MATCH(B4316,Assumptions!$A$16:$A$20,0)))</f>
        <v>1425.408</v>
      </c>
      <c r="J4316" s="33" t="n">
        <f aca="false">H4316-I4316</f>
        <v>374.592</v>
      </c>
      <c r="K4316" s="33" t="n">
        <f aca="false">IF(OR(E4316=0,E4316&gt;=7),0,D4316/(7-E4316)*E4316*INDEX(Products!$E$2:$E$49,MATCH(C4316,Products!$A$2:$A$49,0)))</f>
        <v>0</v>
      </c>
    </row>
    <row r="4317" customFormat="false" ht="15" hidden="false" customHeight="false" outlineLevel="0" collapsed="false">
      <c r="A4317" s="36" t="n">
        <v>46223</v>
      </c>
      <c r="B4317" s="24" t="s">
        <v>64</v>
      </c>
      <c r="C4317" s="24" t="s">
        <v>171</v>
      </c>
      <c r="D4317" s="33" t="n">
        <v>19</v>
      </c>
      <c r="E4317" s="24" t="n">
        <v>0</v>
      </c>
      <c r="F4317" s="37" t="n">
        <f aca="false">DATE(YEAR(A4317),MONTH(A4317),1)</f>
        <v>46204</v>
      </c>
      <c r="G4317" s="24" t="str">
        <f aca="false">INDEX(Products!$C$2:$C$49,MATCH(C4317,Products!$A$2:$A$49,0))</f>
        <v>Household</v>
      </c>
      <c r="H4317" s="33" t="n">
        <f aca="false">D4317*INDEX(Products!$E$2:$E$49,MATCH(C4317,Products!$A$2:$A$49,0))</f>
        <v>2850</v>
      </c>
      <c r="I4317" s="33" t="n">
        <f aca="false">D4317*INDEX(Products!$D$2:$D$49,MATCH(C4317,Products!$A$2:$A$49,0))*(1+INDEX(Assumptions!$B$16:$B$20,MATCH(B4317,Assumptions!$A$16:$A$20,0)))</f>
        <v>2256.896</v>
      </c>
      <c r="J4317" s="33" t="n">
        <f aca="false">H4317-I4317</f>
        <v>593.104</v>
      </c>
      <c r="K4317" s="33" t="n">
        <f aca="false">IF(OR(E4317=0,E4317&gt;=7),0,D4317/(7-E4317)*E4317*INDEX(Products!$E$2:$E$49,MATCH(C4317,Products!$A$2:$A$49,0)))</f>
        <v>0</v>
      </c>
    </row>
    <row r="4318" customFormat="false" ht="15" hidden="false" customHeight="false" outlineLevel="0" collapsed="false">
      <c r="A4318" s="36" t="n">
        <v>46230</v>
      </c>
      <c r="B4318" s="24" t="s">
        <v>64</v>
      </c>
      <c r="C4318" s="24" t="s">
        <v>171</v>
      </c>
      <c r="D4318" s="33" t="n">
        <v>11</v>
      </c>
      <c r="E4318" s="24" t="n">
        <v>0</v>
      </c>
      <c r="F4318" s="37" t="n">
        <f aca="false">DATE(YEAR(A4318),MONTH(A4318),1)</f>
        <v>46204</v>
      </c>
      <c r="G4318" s="24" t="str">
        <f aca="false">INDEX(Products!$C$2:$C$49,MATCH(C4318,Products!$A$2:$A$49,0))</f>
        <v>Household</v>
      </c>
      <c r="H4318" s="33" t="n">
        <f aca="false">D4318*INDEX(Products!$E$2:$E$49,MATCH(C4318,Products!$A$2:$A$49,0))</f>
        <v>1650</v>
      </c>
      <c r="I4318" s="33" t="n">
        <f aca="false">D4318*INDEX(Products!$D$2:$D$49,MATCH(C4318,Products!$A$2:$A$49,0))*(1+INDEX(Assumptions!$B$16:$B$20,MATCH(B4318,Assumptions!$A$16:$A$20,0)))</f>
        <v>1306.624</v>
      </c>
      <c r="J4318" s="33" t="n">
        <f aca="false">H4318-I4318</f>
        <v>343.376</v>
      </c>
      <c r="K4318" s="33" t="n">
        <f aca="false">IF(OR(E4318=0,E4318&gt;=7),0,D4318/(7-E4318)*E4318*INDEX(Products!$E$2:$E$49,MATCH(C4318,Products!$A$2:$A$49,0)))</f>
        <v>0</v>
      </c>
    </row>
    <row r="4319" customFormat="false" ht="15" hidden="false" customHeight="false" outlineLevel="0" collapsed="false">
      <c r="A4319" s="36" t="n">
        <v>46237</v>
      </c>
      <c r="B4319" s="24" t="s">
        <v>64</v>
      </c>
      <c r="C4319" s="24" t="s">
        <v>171</v>
      </c>
      <c r="D4319" s="33" t="n">
        <v>13</v>
      </c>
      <c r="E4319" s="24" t="n">
        <v>0</v>
      </c>
      <c r="F4319" s="37" t="n">
        <f aca="false">DATE(YEAR(A4319),MONTH(A4319),1)</f>
        <v>46235</v>
      </c>
      <c r="G4319" s="24" t="str">
        <f aca="false">INDEX(Products!$C$2:$C$49,MATCH(C4319,Products!$A$2:$A$49,0))</f>
        <v>Household</v>
      </c>
      <c r="H4319" s="33" t="n">
        <f aca="false">D4319*INDEX(Products!$E$2:$E$49,MATCH(C4319,Products!$A$2:$A$49,0))</f>
        <v>1950</v>
      </c>
      <c r="I4319" s="33" t="n">
        <f aca="false">D4319*INDEX(Products!$D$2:$D$49,MATCH(C4319,Products!$A$2:$A$49,0))*(1+INDEX(Assumptions!$B$16:$B$20,MATCH(B4319,Assumptions!$A$16:$A$20,0)))</f>
        <v>1544.192</v>
      </c>
      <c r="J4319" s="33" t="n">
        <f aca="false">H4319-I4319</f>
        <v>405.808</v>
      </c>
      <c r="K4319" s="33" t="n">
        <f aca="false">IF(OR(E4319=0,E4319&gt;=7),0,D4319/(7-E4319)*E4319*INDEX(Products!$E$2:$E$49,MATCH(C4319,Products!$A$2:$A$49,0)))</f>
        <v>0</v>
      </c>
    </row>
    <row r="4320" customFormat="false" ht="15" hidden="false" customHeight="false" outlineLevel="0" collapsed="false">
      <c r="A4320" s="36" t="n">
        <v>46244</v>
      </c>
      <c r="B4320" s="24" t="s">
        <v>64</v>
      </c>
      <c r="C4320" s="24" t="s">
        <v>171</v>
      </c>
      <c r="D4320" s="33" t="n">
        <v>14</v>
      </c>
      <c r="E4320" s="24" t="n">
        <v>0</v>
      </c>
      <c r="F4320" s="37" t="n">
        <f aca="false">DATE(YEAR(A4320),MONTH(A4320),1)</f>
        <v>46235</v>
      </c>
      <c r="G4320" s="24" t="str">
        <f aca="false">INDEX(Products!$C$2:$C$49,MATCH(C4320,Products!$A$2:$A$49,0))</f>
        <v>Household</v>
      </c>
      <c r="H4320" s="33" t="n">
        <f aca="false">D4320*INDEX(Products!$E$2:$E$49,MATCH(C4320,Products!$A$2:$A$49,0))</f>
        <v>2100</v>
      </c>
      <c r="I4320" s="33" t="n">
        <f aca="false">D4320*INDEX(Products!$D$2:$D$49,MATCH(C4320,Products!$A$2:$A$49,0))*(1+INDEX(Assumptions!$B$16:$B$20,MATCH(B4320,Assumptions!$A$16:$A$20,0)))</f>
        <v>1662.976</v>
      </c>
      <c r="J4320" s="33" t="n">
        <f aca="false">H4320-I4320</f>
        <v>437.024</v>
      </c>
      <c r="K4320" s="33" t="n">
        <f aca="false">IF(OR(E4320=0,E4320&gt;=7),0,D4320/(7-E4320)*E4320*INDEX(Products!$E$2:$E$49,MATCH(C4320,Products!$A$2:$A$49,0)))</f>
        <v>0</v>
      </c>
    </row>
    <row r="4321" customFormat="false" ht="15" hidden="false" customHeight="false" outlineLevel="0" collapsed="false">
      <c r="A4321" s="36" t="n">
        <v>46251</v>
      </c>
      <c r="B4321" s="24" t="s">
        <v>64</v>
      </c>
      <c r="C4321" s="24" t="s">
        <v>171</v>
      </c>
      <c r="D4321" s="33" t="n">
        <v>22</v>
      </c>
      <c r="E4321" s="24" t="n">
        <v>0</v>
      </c>
      <c r="F4321" s="37" t="n">
        <f aca="false">DATE(YEAR(A4321),MONTH(A4321),1)</f>
        <v>46235</v>
      </c>
      <c r="G4321" s="24" t="str">
        <f aca="false">INDEX(Products!$C$2:$C$49,MATCH(C4321,Products!$A$2:$A$49,0))</f>
        <v>Household</v>
      </c>
      <c r="H4321" s="33" t="n">
        <f aca="false">D4321*INDEX(Products!$E$2:$E$49,MATCH(C4321,Products!$A$2:$A$49,0))</f>
        <v>3300</v>
      </c>
      <c r="I4321" s="33" t="n">
        <f aca="false">D4321*INDEX(Products!$D$2:$D$49,MATCH(C4321,Products!$A$2:$A$49,0))*(1+INDEX(Assumptions!$B$16:$B$20,MATCH(B4321,Assumptions!$A$16:$A$20,0)))</f>
        <v>2613.248</v>
      </c>
      <c r="J4321" s="33" t="n">
        <f aca="false">H4321-I4321</f>
        <v>686.752</v>
      </c>
      <c r="K4321" s="33" t="n">
        <f aca="false">IF(OR(E4321=0,E4321&gt;=7),0,D4321/(7-E4321)*E4321*INDEX(Products!$E$2:$E$49,MATCH(C4321,Products!$A$2:$A$49,0)))</f>
        <v>0</v>
      </c>
    </row>
    <row r="4322" customFormat="false" ht="15" hidden="false" customHeight="false" outlineLevel="0" collapsed="false">
      <c r="A4322" s="36" t="n">
        <v>46258</v>
      </c>
      <c r="B4322" s="24" t="s">
        <v>64</v>
      </c>
      <c r="C4322" s="24" t="s">
        <v>171</v>
      </c>
      <c r="D4322" s="33" t="n">
        <v>25</v>
      </c>
      <c r="E4322" s="24" t="n">
        <v>0</v>
      </c>
      <c r="F4322" s="37" t="n">
        <f aca="false">DATE(YEAR(A4322),MONTH(A4322),1)</f>
        <v>46235</v>
      </c>
      <c r="G4322" s="24" t="str">
        <f aca="false">INDEX(Products!$C$2:$C$49,MATCH(C4322,Products!$A$2:$A$49,0))</f>
        <v>Household</v>
      </c>
      <c r="H4322" s="33" t="n">
        <f aca="false">D4322*INDEX(Products!$E$2:$E$49,MATCH(C4322,Products!$A$2:$A$49,0))</f>
        <v>3750</v>
      </c>
      <c r="I4322" s="33" t="n">
        <f aca="false">D4322*INDEX(Products!$D$2:$D$49,MATCH(C4322,Products!$A$2:$A$49,0))*(1+INDEX(Assumptions!$B$16:$B$20,MATCH(B4322,Assumptions!$A$16:$A$20,0)))</f>
        <v>2969.6</v>
      </c>
      <c r="J4322" s="33" t="n">
        <f aca="false">H4322-I4322</f>
        <v>780.4</v>
      </c>
      <c r="K4322" s="33" t="n">
        <f aca="false">IF(OR(E4322=0,E4322&gt;=7),0,D4322/(7-E4322)*E4322*INDEX(Products!$E$2:$E$49,MATCH(C4322,Products!$A$2:$A$49,0)))</f>
        <v>0</v>
      </c>
    </row>
    <row r="4323" customFormat="false" ht="15" hidden="false" customHeight="false" outlineLevel="0" collapsed="false">
      <c r="A4323" s="36" t="n">
        <v>46265</v>
      </c>
      <c r="B4323" s="24" t="s">
        <v>64</v>
      </c>
      <c r="C4323" s="24" t="s">
        <v>171</v>
      </c>
      <c r="D4323" s="33" t="n">
        <v>13</v>
      </c>
      <c r="E4323" s="24" t="n">
        <v>0</v>
      </c>
      <c r="F4323" s="37" t="n">
        <f aca="false">DATE(YEAR(A4323),MONTH(A4323),1)</f>
        <v>46235</v>
      </c>
      <c r="G4323" s="24" t="str">
        <f aca="false">INDEX(Products!$C$2:$C$49,MATCH(C4323,Products!$A$2:$A$49,0))</f>
        <v>Household</v>
      </c>
      <c r="H4323" s="33" t="n">
        <f aca="false">D4323*INDEX(Products!$E$2:$E$49,MATCH(C4323,Products!$A$2:$A$49,0))</f>
        <v>1950</v>
      </c>
      <c r="I4323" s="33" t="n">
        <f aca="false">D4323*INDEX(Products!$D$2:$D$49,MATCH(C4323,Products!$A$2:$A$49,0))*(1+INDEX(Assumptions!$B$16:$B$20,MATCH(B4323,Assumptions!$A$16:$A$20,0)))</f>
        <v>1544.192</v>
      </c>
      <c r="J4323" s="33" t="n">
        <f aca="false">H4323-I4323</f>
        <v>405.808</v>
      </c>
      <c r="K4323" s="33" t="n">
        <f aca="false">IF(OR(E4323=0,E4323&gt;=7),0,D4323/(7-E4323)*E4323*INDEX(Products!$E$2:$E$49,MATCH(C4323,Products!$A$2:$A$49,0)))</f>
        <v>0</v>
      </c>
    </row>
    <row r="4324" customFormat="false" ht="15" hidden="false" customHeight="false" outlineLevel="0" collapsed="false">
      <c r="A4324" s="36" t="n">
        <v>46272</v>
      </c>
      <c r="B4324" s="24" t="s">
        <v>64</v>
      </c>
      <c r="C4324" s="24" t="s">
        <v>171</v>
      </c>
      <c r="D4324" s="33" t="n">
        <v>12</v>
      </c>
      <c r="E4324" s="24" t="n">
        <v>0</v>
      </c>
      <c r="F4324" s="37" t="n">
        <f aca="false">DATE(YEAR(A4324),MONTH(A4324),1)</f>
        <v>46266</v>
      </c>
      <c r="G4324" s="24" t="str">
        <f aca="false">INDEX(Products!$C$2:$C$49,MATCH(C4324,Products!$A$2:$A$49,0))</f>
        <v>Household</v>
      </c>
      <c r="H4324" s="33" t="n">
        <f aca="false">D4324*INDEX(Products!$E$2:$E$49,MATCH(C4324,Products!$A$2:$A$49,0))</f>
        <v>1800</v>
      </c>
      <c r="I4324" s="33" t="n">
        <f aca="false">D4324*INDEX(Products!$D$2:$D$49,MATCH(C4324,Products!$A$2:$A$49,0))*(1+INDEX(Assumptions!$B$16:$B$20,MATCH(B4324,Assumptions!$A$16:$A$20,0)))</f>
        <v>1425.408</v>
      </c>
      <c r="J4324" s="33" t="n">
        <f aca="false">H4324-I4324</f>
        <v>374.592</v>
      </c>
      <c r="K4324" s="33" t="n">
        <f aca="false">IF(OR(E4324=0,E4324&gt;=7),0,D4324/(7-E4324)*E4324*INDEX(Products!$E$2:$E$49,MATCH(C4324,Products!$A$2:$A$49,0)))</f>
        <v>0</v>
      </c>
    </row>
    <row r="4325" customFormat="false" ht="15" hidden="false" customHeight="false" outlineLevel="0" collapsed="false">
      <c r="A4325" s="36" t="n">
        <v>46279</v>
      </c>
      <c r="B4325" s="24" t="s">
        <v>64</v>
      </c>
      <c r="C4325" s="24" t="s">
        <v>171</v>
      </c>
      <c r="D4325" s="33" t="n">
        <v>12</v>
      </c>
      <c r="E4325" s="24" t="n">
        <v>0</v>
      </c>
      <c r="F4325" s="37" t="n">
        <f aca="false">DATE(YEAR(A4325),MONTH(A4325),1)</f>
        <v>46266</v>
      </c>
      <c r="G4325" s="24" t="str">
        <f aca="false">INDEX(Products!$C$2:$C$49,MATCH(C4325,Products!$A$2:$A$49,0))</f>
        <v>Household</v>
      </c>
      <c r="H4325" s="33" t="n">
        <f aca="false">D4325*INDEX(Products!$E$2:$E$49,MATCH(C4325,Products!$A$2:$A$49,0))</f>
        <v>1800</v>
      </c>
      <c r="I4325" s="33" t="n">
        <f aca="false">D4325*INDEX(Products!$D$2:$D$49,MATCH(C4325,Products!$A$2:$A$49,0))*(1+INDEX(Assumptions!$B$16:$B$20,MATCH(B4325,Assumptions!$A$16:$A$20,0)))</f>
        <v>1425.408</v>
      </c>
      <c r="J4325" s="33" t="n">
        <f aca="false">H4325-I4325</f>
        <v>374.592</v>
      </c>
      <c r="K4325" s="33" t="n">
        <f aca="false">IF(OR(E4325=0,E4325&gt;=7),0,D4325/(7-E4325)*E4325*INDEX(Products!$E$2:$E$49,MATCH(C4325,Products!$A$2:$A$49,0)))</f>
        <v>0</v>
      </c>
    </row>
    <row r="4326" customFormat="false" ht="15" hidden="false" customHeight="false" outlineLevel="0" collapsed="false">
      <c r="A4326" s="36" t="n">
        <v>46286</v>
      </c>
      <c r="B4326" s="24" t="s">
        <v>64</v>
      </c>
      <c r="C4326" s="24" t="s">
        <v>171</v>
      </c>
      <c r="D4326" s="33" t="n">
        <v>19</v>
      </c>
      <c r="E4326" s="24" t="n">
        <v>0</v>
      </c>
      <c r="F4326" s="37" t="n">
        <f aca="false">DATE(YEAR(A4326),MONTH(A4326),1)</f>
        <v>46266</v>
      </c>
      <c r="G4326" s="24" t="str">
        <f aca="false">INDEX(Products!$C$2:$C$49,MATCH(C4326,Products!$A$2:$A$49,0))</f>
        <v>Household</v>
      </c>
      <c r="H4326" s="33" t="n">
        <f aca="false">D4326*INDEX(Products!$E$2:$E$49,MATCH(C4326,Products!$A$2:$A$49,0))</f>
        <v>2850</v>
      </c>
      <c r="I4326" s="33" t="n">
        <f aca="false">D4326*INDEX(Products!$D$2:$D$49,MATCH(C4326,Products!$A$2:$A$49,0))*(1+INDEX(Assumptions!$B$16:$B$20,MATCH(B4326,Assumptions!$A$16:$A$20,0)))</f>
        <v>2256.896</v>
      </c>
      <c r="J4326" s="33" t="n">
        <f aca="false">H4326-I4326</f>
        <v>593.104</v>
      </c>
      <c r="K4326" s="33" t="n">
        <f aca="false">IF(OR(E4326=0,E4326&gt;=7),0,D4326/(7-E4326)*E4326*INDEX(Products!$E$2:$E$49,MATCH(C4326,Products!$A$2:$A$49,0)))</f>
        <v>0</v>
      </c>
    </row>
    <row r="4327" customFormat="false" ht="15" hidden="false" customHeight="false" outlineLevel="0" collapsed="false">
      <c r="A4327" s="36" t="n">
        <v>46118</v>
      </c>
      <c r="B4327" s="24" t="s">
        <v>64</v>
      </c>
      <c r="C4327" s="24" t="s">
        <v>173</v>
      </c>
      <c r="D4327" s="33" t="n">
        <v>21</v>
      </c>
      <c r="E4327" s="24" t="n">
        <v>0</v>
      </c>
      <c r="F4327" s="37" t="n">
        <f aca="false">DATE(YEAR(A4327),MONTH(A4327),1)</f>
        <v>46113</v>
      </c>
      <c r="G4327" s="24" t="str">
        <f aca="false">INDEX(Products!$C$2:$C$49,MATCH(C4327,Products!$A$2:$A$49,0))</f>
        <v>Household</v>
      </c>
      <c r="H4327" s="33" t="n">
        <f aca="false">D4327*INDEX(Products!$E$2:$E$49,MATCH(C4327,Products!$A$2:$A$49,0))</f>
        <v>5460</v>
      </c>
      <c r="I4327" s="33" t="n">
        <f aca="false">D4327*INDEX(Products!$D$2:$D$49,MATCH(C4327,Products!$A$2:$A$49,0))*(1+INDEX(Assumptions!$B$16:$B$20,MATCH(B4327,Assumptions!$A$16:$A$20,0)))</f>
        <v>4257.792</v>
      </c>
      <c r="J4327" s="33" t="n">
        <f aca="false">H4327-I4327</f>
        <v>1202.208</v>
      </c>
      <c r="K4327" s="33" t="n">
        <f aca="false">IF(OR(E4327=0,E4327&gt;=7),0,D4327/(7-E4327)*E4327*INDEX(Products!$E$2:$E$49,MATCH(C4327,Products!$A$2:$A$49,0)))</f>
        <v>0</v>
      </c>
    </row>
    <row r="4328" customFormat="false" ht="15" hidden="false" customHeight="false" outlineLevel="0" collapsed="false">
      <c r="A4328" s="36" t="n">
        <v>46125</v>
      </c>
      <c r="B4328" s="24" t="s">
        <v>64</v>
      </c>
      <c r="C4328" s="24" t="s">
        <v>173</v>
      </c>
      <c r="D4328" s="33" t="n">
        <v>23</v>
      </c>
      <c r="E4328" s="24" t="n">
        <v>0</v>
      </c>
      <c r="F4328" s="37" t="n">
        <f aca="false">DATE(YEAR(A4328),MONTH(A4328),1)</f>
        <v>46113</v>
      </c>
      <c r="G4328" s="24" t="str">
        <f aca="false">INDEX(Products!$C$2:$C$49,MATCH(C4328,Products!$A$2:$A$49,0))</f>
        <v>Household</v>
      </c>
      <c r="H4328" s="33" t="n">
        <f aca="false">D4328*INDEX(Products!$E$2:$E$49,MATCH(C4328,Products!$A$2:$A$49,0))</f>
        <v>5980</v>
      </c>
      <c r="I4328" s="33" t="n">
        <f aca="false">D4328*INDEX(Products!$D$2:$D$49,MATCH(C4328,Products!$A$2:$A$49,0))*(1+INDEX(Assumptions!$B$16:$B$20,MATCH(B4328,Assumptions!$A$16:$A$20,0)))</f>
        <v>4663.296</v>
      </c>
      <c r="J4328" s="33" t="n">
        <f aca="false">H4328-I4328</f>
        <v>1316.704</v>
      </c>
      <c r="K4328" s="33" t="n">
        <f aca="false">IF(OR(E4328=0,E4328&gt;=7),0,D4328/(7-E4328)*E4328*INDEX(Products!$E$2:$E$49,MATCH(C4328,Products!$A$2:$A$49,0)))</f>
        <v>0</v>
      </c>
    </row>
    <row r="4329" customFormat="false" ht="15" hidden="false" customHeight="false" outlineLevel="0" collapsed="false">
      <c r="A4329" s="36" t="n">
        <v>46132</v>
      </c>
      <c r="B4329" s="24" t="s">
        <v>64</v>
      </c>
      <c r="C4329" s="24" t="s">
        <v>173</v>
      </c>
      <c r="D4329" s="33" t="n">
        <v>28</v>
      </c>
      <c r="E4329" s="24" t="n">
        <v>0</v>
      </c>
      <c r="F4329" s="37" t="n">
        <f aca="false">DATE(YEAR(A4329),MONTH(A4329),1)</f>
        <v>46113</v>
      </c>
      <c r="G4329" s="24" t="str">
        <f aca="false">INDEX(Products!$C$2:$C$49,MATCH(C4329,Products!$A$2:$A$49,0))</f>
        <v>Household</v>
      </c>
      <c r="H4329" s="33" t="n">
        <f aca="false">D4329*INDEX(Products!$E$2:$E$49,MATCH(C4329,Products!$A$2:$A$49,0))</f>
        <v>7280</v>
      </c>
      <c r="I4329" s="33" t="n">
        <f aca="false">D4329*INDEX(Products!$D$2:$D$49,MATCH(C4329,Products!$A$2:$A$49,0))*(1+INDEX(Assumptions!$B$16:$B$20,MATCH(B4329,Assumptions!$A$16:$A$20,0)))</f>
        <v>5677.056</v>
      </c>
      <c r="J4329" s="33" t="n">
        <f aca="false">H4329-I4329</f>
        <v>1602.944</v>
      </c>
      <c r="K4329" s="33" t="n">
        <f aca="false">IF(OR(E4329=0,E4329&gt;=7),0,D4329/(7-E4329)*E4329*INDEX(Products!$E$2:$E$49,MATCH(C4329,Products!$A$2:$A$49,0)))</f>
        <v>0</v>
      </c>
    </row>
    <row r="4330" customFormat="false" ht="15" hidden="false" customHeight="false" outlineLevel="0" collapsed="false">
      <c r="A4330" s="36" t="n">
        <v>46139</v>
      </c>
      <c r="B4330" s="24" t="s">
        <v>64</v>
      </c>
      <c r="C4330" s="24" t="s">
        <v>173</v>
      </c>
      <c r="D4330" s="33" t="n">
        <v>26</v>
      </c>
      <c r="E4330" s="24" t="n">
        <v>0</v>
      </c>
      <c r="F4330" s="37" t="n">
        <f aca="false">DATE(YEAR(A4330),MONTH(A4330),1)</f>
        <v>46113</v>
      </c>
      <c r="G4330" s="24" t="str">
        <f aca="false">INDEX(Products!$C$2:$C$49,MATCH(C4330,Products!$A$2:$A$49,0))</f>
        <v>Household</v>
      </c>
      <c r="H4330" s="33" t="n">
        <f aca="false">D4330*INDEX(Products!$E$2:$E$49,MATCH(C4330,Products!$A$2:$A$49,0))</f>
        <v>6760</v>
      </c>
      <c r="I4330" s="33" t="n">
        <f aca="false">D4330*INDEX(Products!$D$2:$D$49,MATCH(C4330,Products!$A$2:$A$49,0))*(1+INDEX(Assumptions!$B$16:$B$20,MATCH(B4330,Assumptions!$A$16:$A$20,0)))</f>
        <v>5271.552</v>
      </c>
      <c r="J4330" s="33" t="n">
        <f aca="false">H4330-I4330</f>
        <v>1488.448</v>
      </c>
      <c r="K4330" s="33" t="n">
        <f aca="false">IF(OR(E4330=0,E4330&gt;=7),0,D4330/(7-E4330)*E4330*INDEX(Products!$E$2:$E$49,MATCH(C4330,Products!$A$2:$A$49,0)))</f>
        <v>0</v>
      </c>
    </row>
    <row r="4331" customFormat="false" ht="15" hidden="false" customHeight="false" outlineLevel="0" collapsed="false">
      <c r="A4331" s="36" t="n">
        <v>46146</v>
      </c>
      <c r="B4331" s="24" t="s">
        <v>64</v>
      </c>
      <c r="C4331" s="24" t="s">
        <v>173</v>
      </c>
      <c r="D4331" s="33" t="n">
        <v>38</v>
      </c>
      <c r="E4331" s="24" t="n">
        <v>0</v>
      </c>
      <c r="F4331" s="37" t="n">
        <f aca="false">DATE(YEAR(A4331),MONTH(A4331),1)</f>
        <v>46143</v>
      </c>
      <c r="G4331" s="24" t="str">
        <f aca="false">INDEX(Products!$C$2:$C$49,MATCH(C4331,Products!$A$2:$A$49,0))</f>
        <v>Household</v>
      </c>
      <c r="H4331" s="33" t="n">
        <f aca="false">D4331*INDEX(Products!$E$2:$E$49,MATCH(C4331,Products!$A$2:$A$49,0))</f>
        <v>9880</v>
      </c>
      <c r="I4331" s="33" t="n">
        <f aca="false">D4331*INDEX(Products!$D$2:$D$49,MATCH(C4331,Products!$A$2:$A$49,0))*(1+INDEX(Assumptions!$B$16:$B$20,MATCH(B4331,Assumptions!$A$16:$A$20,0)))</f>
        <v>7704.576</v>
      </c>
      <c r="J4331" s="33" t="n">
        <f aca="false">H4331-I4331</f>
        <v>2175.424</v>
      </c>
      <c r="K4331" s="33" t="n">
        <f aca="false">IF(OR(E4331=0,E4331&gt;=7),0,D4331/(7-E4331)*E4331*INDEX(Products!$E$2:$E$49,MATCH(C4331,Products!$A$2:$A$49,0)))</f>
        <v>0</v>
      </c>
    </row>
    <row r="4332" customFormat="false" ht="15" hidden="false" customHeight="false" outlineLevel="0" collapsed="false">
      <c r="A4332" s="36" t="n">
        <v>46153</v>
      </c>
      <c r="B4332" s="24" t="s">
        <v>64</v>
      </c>
      <c r="C4332" s="24" t="s">
        <v>173</v>
      </c>
      <c r="D4332" s="33" t="n">
        <v>11</v>
      </c>
      <c r="E4332" s="24" t="n">
        <v>0</v>
      </c>
      <c r="F4332" s="37" t="n">
        <f aca="false">DATE(YEAR(A4332),MONTH(A4332),1)</f>
        <v>46143</v>
      </c>
      <c r="G4332" s="24" t="str">
        <f aca="false">INDEX(Products!$C$2:$C$49,MATCH(C4332,Products!$A$2:$A$49,0))</f>
        <v>Household</v>
      </c>
      <c r="H4332" s="33" t="n">
        <f aca="false">D4332*INDEX(Products!$E$2:$E$49,MATCH(C4332,Products!$A$2:$A$49,0))</f>
        <v>2860</v>
      </c>
      <c r="I4332" s="33" t="n">
        <f aca="false">D4332*INDEX(Products!$D$2:$D$49,MATCH(C4332,Products!$A$2:$A$49,0))*(1+INDEX(Assumptions!$B$16:$B$20,MATCH(B4332,Assumptions!$A$16:$A$20,0)))</f>
        <v>2230.272</v>
      </c>
      <c r="J4332" s="33" t="n">
        <f aca="false">H4332-I4332</f>
        <v>629.728</v>
      </c>
      <c r="K4332" s="33" t="n">
        <f aca="false">IF(OR(E4332=0,E4332&gt;=7),0,D4332/(7-E4332)*E4332*INDEX(Products!$E$2:$E$49,MATCH(C4332,Products!$A$2:$A$49,0)))</f>
        <v>0</v>
      </c>
    </row>
    <row r="4333" customFormat="false" ht="15" hidden="false" customHeight="false" outlineLevel="0" collapsed="false">
      <c r="A4333" s="36" t="n">
        <v>46160</v>
      </c>
      <c r="B4333" s="24" t="s">
        <v>64</v>
      </c>
      <c r="C4333" s="24" t="s">
        <v>173</v>
      </c>
      <c r="D4333" s="33" t="n">
        <v>26</v>
      </c>
      <c r="E4333" s="24" t="n">
        <v>0</v>
      </c>
      <c r="F4333" s="37" t="n">
        <f aca="false">DATE(YEAR(A4333),MONTH(A4333),1)</f>
        <v>46143</v>
      </c>
      <c r="G4333" s="24" t="str">
        <f aca="false">INDEX(Products!$C$2:$C$49,MATCH(C4333,Products!$A$2:$A$49,0))</f>
        <v>Household</v>
      </c>
      <c r="H4333" s="33" t="n">
        <f aca="false">D4333*INDEX(Products!$E$2:$E$49,MATCH(C4333,Products!$A$2:$A$49,0))</f>
        <v>6760</v>
      </c>
      <c r="I4333" s="33" t="n">
        <f aca="false">D4333*INDEX(Products!$D$2:$D$49,MATCH(C4333,Products!$A$2:$A$49,0))*(1+INDEX(Assumptions!$B$16:$B$20,MATCH(B4333,Assumptions!$A$16:$A$20,0)))</f>
        <v>5271.552</v>
      </c>
      <c r="J4333" s="33" t="n">
        <f aca="false">H4333-I4333</f>
        <v>1488.448</v>
      </c>
      <c r="K4333" s="33" t="n">
        <f aca="false">IF(OR(E4333=0,E4333&gt;=7),0,D4333/(7-E4333)*E4333*INDEX(Products!$E$2:$E$49,MATCH(C4333,Products!$A$2:$A$49,0)))</f>
        <v>0</v>
      </c>
    </row>
    <row r="4334" customFormat="false" ht="15" hidden="false" customHeight="false" outlineLevel="0" collapsed="false">
      <c r="A4334" s="36" t="n">
        <v>46167</v>
      </c>
      <c r="B4334" s="24" t="s">
        <v>64</v>
      </c>
      <c r="C4334" s="24" t="s">
        <v>173</v>
      </c>
      <c r="D4334" s="33" t="n">
        <v>17</v>
      </c>
      <c r="E4334" s="24" t="n">
        <v>0</v>
      </c>
      <c r="F4334" s="37" t="n">
        <f aca="false">DATE(YEAR(A4334),MONTH(A4334),1)</f>
        <v>46143</v>
      </c>
      <c r="G4334" s="24" t="str">
        <f aca="false">INDEX(Products!$C$2:$C$49,MATCH(C4334,Products!$A$2:$A$49,0))</f>
        <v>Household</v>
      </c>
      <c r="H4334" s="33" t="n">
        <f aca="false">D4334*INDEX(Products!$E$2:$E$49,MATCH(C4334,Products!$A$2:$A$49,0))</f>
        <v>4420</v>
      </c>
      <c r="I4334" s="33" t="n">
        <f aca="false">D4334*INDEX(Products!$D$2:$D$49,MATCH(C4334,Products!$A$2:$A$49,0))*(1+INDEX(Assumptions!$B$16:$B$20,MATCH(B4334,Assumptions!$A$16:$A$20,0)))</f>
        <v>3446.784</v>
      </c>
      <c r="J4334" s="33" t="n">
        <f aca="false">H4334-I4334</f>
        <v>973.216</v>
      </c>
      <c r="K4334" s="33" t="n">
        <f aca="false">IF(OR(E4334=0,E4334&gt;=7),0,D4334/(7-E4334)*E4334*INDEX(Products!$E$2:$E$49,MATCH(C4334,Products!$A$2:$A$49,0)))</f>
        <v>0</v>
      </c>
    </row>
    <row r="4335" customFormat="false" ht="15" hidden="false" customHeight="false" outlineLevel="0" collapsed="false">
      <c r="A4335" s="36" t="n">
        <v>46174</v>
      </c>
      <c r="B4335" s="24" t="s">
        <v>64</v>
      </c>
      <c r="C4335" s="24" t="s">
        <v>173</v>
      </c>
      <c r="D4335" s="33" t="n">
        <v>22</v>
      </c>
      <c r="E4335" s="24" t="n">
        <v>0</v>
      </c>
      <c r="F4335" s="37" t="n">
        <f aca="false">DATE(YEAR(A4335),MONTH(A4335),1)</f>
        <v>46174</v>
      </c>
      <c r="G4335" s="24" t="str">
        <f aca="false">INDEX(Products!$C$2:$C$49,MATCH(C4335,Products!$A$2:$A$49,0))</f>
        <v>Household</v>
      </c>
      <c r="H4335" s="33" t="n">
        <f aca="false">D4335*INDEX(Products!$E$2:$E$49,MATCH(C4335,Products!$A$2:$A$49,0))</f>
        <v>5720</v>
      </c>
      <c r="I4335" s="33" t="n">
        <f aca="false">D4335*INDEX(Products!$D$2:$D$49,MATCH(C4335,Products!$A$2:$A$49,0))*(1+INDEX(Assumptions!$B$16:$B$20,MATCH(B4335,Assumptions!$A$16:$A$20,0)))</f>
        <v>4460.544</v>
      </c>
      <c r="J4335" s="33" t="n">
        <f aca="false">H4335-I4335</f>
        <v>1259.456</v>
      </c>
      <c r="K4335" s="33" t="n">
        <f aca="false">IF(OR(E4335=0,E4335&gt;=7),0,D4335/(7-E4335)*E4335*INDEX(Products!$E$2:$E$49,MATCH(C4335,Products!$A$2:$A$49,0)))</f>
        <v>0</v>
      </c>
    </row>
    <row r="4336" customFormat="false" ht="15" hidden="false" customHeight="false" outlineLevel="0" collapsed="false">
      <c r="A4336" s="36" t="n">
        <v>46181</v>
      </c>
      <c r="B4336" s="24" t="s">
        <v>64</v>
      </c>
      <c r="C4336" s="24" t="s">
        <v>173</v>
      </c>
      <c r="D4336" s="33" t="n">
        <v>30</v>
      </c>
      <c r="E4336" s="24" t="n">
        <v>0</v>
      </c>
      <c r="F4336" s="37" t="n">
        <f aca="false">DATE(YEAR(A4336),MONTH(A4336),1)</f>
        <v>46174</v>
      </c>
      <c r="G4336" s="24" t="str">
        <f aca="false">INDEX(Products!$C$2:$C$49,MATCH(C4336,Products!$A$2:$A$49,0))</f>
        <v>Household</v>
      </c>
      <c r="H4336" s="33" t="n">
        <f aca="false">D4336*INDEX(Products!$E$2:$E$49,MATCH(C4336,Products!$A$2:$A$49,0))</f>
        <v>7800</v>
      </c>
      <c r="I4336" s="33" t="n">
        <f aca="false">D4336*INDEX(Products!$D$2:$D$49,MATCH(C4336,Products!$A$2:$A$49,0))*(1+INDEX(Assumptions!$B$16:$B$20,MATCH(B4336,Assumptions!$A$16:$A$20,0)))</f>
        <v>6082.56</v>
      </c>
      <c r="J4336" s="33" t="n">
        <f aca="false">H4336-I4336</f>
        <v>1717.44</v>
      </c>
      <c r="K4336" s="33" t="n">
        <f aca="false">IF(OR(E4336=0,E4336&gt;=7),0,D4336/(7-E4336)*E4336*INDEX(Products!$E$2:$E$49,MATCH(C4336,Products!$A$2:$A$49,0)))</f>
        <v>0</v>
      </c>
    </row>
    <row r="4337" customFormat="false" ht="15" hidden="false" customHeight="false" outlineLevel="0" collapsed="false">
      <c r="A4337" s="36" t="n">
        <v>46188</v>
      </c>
      <c r="B4337" s="24" t="s">
        <v>64</v>
      </c>
      <c r="C4337" s="24" t="s">
        <v>173</v>
      </c>
      <c r="D4337" s="33" t="n">
        <v>22</v>
      </c>
      <c r="E4337" s="24" t="n">
        <v>1</v>
      </c>
      <c r="F4337" s="37" t="n">
        <f aca="false">DATE(YEAR(A4337),MONTH(A4337),1)</f>
        <v>46174</v>
      </c>
      <c r="G4337" s="24" t="str">
        <f aca="false">INDEX(Products!$C$2:$C$49,MATCH(C4337,Products!$A$2:$A$49,0))</f>
        <v>Household</v>
      </c>
      <c r="H4337" s="33" t="n">
        <f aca="false">D4337*INDEX(Products!$E$2:$E$49,MATCH(C4337,Products!$A$2:$A$49,0))</f>
        <v>5720</v>
      </c>
      <c r="I4337" s="33" t="n">
        <f aca="false">D4337*INDEX(Products!$D$2:$D$49,MATCH(C4337,Products!$A$2:$A$49,0))*(1+INDEX(Assumptions!$B$16:$B$20,MATCH(B4337,Assumptions!$A$16:$A$20,0)))</f>
        <v>4460.544</v>
      </c>
      <c r="J4337" s="33" t="n">
        <f aca="false">H4337-I4337</f>
        <v>1259.456</v>
      </c>
      <c r="K4337" s="33" t="n">
        <f aca="false">IF(OR(E4337=0,E4337&gt;=7),0,D4337/(7-E4337)*E4337*INDEX(Products!$E$2:$E$49,MATCH(C4337,Products!$A$2:$A$49,0)))</f>
        <v>953.333333333333</v>
      </c>
    </row>
    <row r="4338" customFormat="false" ht="15" hidden="false" customHeight="false" outlineLevel="0" collapsed="false">
      <c r="A4338" s="36" t="n">
        <v>46195</v>
      </c>
      <c r="B4338" s="24" t="s">
        <v>64</v>
      </c>
      <c r="C4338" s="24" t="s">
        <v>173</v>
      </c>
      <c r="D4338" s="33" t="n">
        <v>25</v>
      </c>
      <c r="E4338" s="24" t="n">
        <v>0</v>
      </c>
      <c r="F4338" s="37" t="n">
        <f aca="false">DATE(YEAR(A4338),MONTH(A4338),1)</f>
        <v>46174</v>
      </c>
      <c r="G4338" s="24" t="str">
        <f aca="false">INDEX(Products!$C$2:$C$49,MATCH(C4338,Products!$A$2:$A$49,0))</f>
        <v>Household</v>
      </c>
      <c r="H4338" s="33" t="n">
        <f aca="false">D4338*INDEX(Products!$E$2:$E$49,MATCH(C4338,Products!$A$2:$A$49,0))</f>
        <v>6500</v>
      </c>
      <c r="I4338" s="33" t="n">
        <f aca="false">D4338*INDEX(Products!$D$2:$D$49,MATCH(C4338,Products!$A$2:$A$49,0))*(1+INDEX(Assumptions!$B$16:$B$20,MATCH(B4338,Assumptions!$A$16:$A$20,0)))</f>
        <v>5068.8</v>
      </c>
      <c r="J4338" s="33" t="n">
        <f aca="false">H4338-I4338</f>
        <v>1431.2</v>
      </c>
      <c r="K4338" s="33" t="n">
        <f aca="false">IF(OR(E4338=0,E4338&gt;=7),0,D4338/(7-E4338)*E4338*INDEX(Products!$E$2:$E$49,MATCH(C4338,Products!$A$2:$A$49,0)))</f>
        <v>0</v>
      </c>
    </row>
    <row r="4339" customFormat="false" ht="15" hidden="false" customHeight="false" outlineLevel="0" collapsed="false">
      <c r="A4339" s="36" t="n">
        <v>46202</v>
      </c>
      <c r="B4339" s="24" t="s">
        <v>64</v>
      </c>
      <c r="C4339" s="24" t="s">
        <v>173</v>
      </c>
      <c r="D4339" s="33" t="n">
        <v>30</v>
      </c>
      <c r="E4339" s="24" t="n">
        <v>0</v>
      </c>
      <c r="F4339" s="37" t="n">
        <f aca="false">DATE(YEAR(A4339),MONTH(A4339),1)</f>
        <v>46174</v>
      </c>
      <c r="G4339" s="24" t="str">
        <f aca="false">INDEX(Products!$C$2:$C$49,MATCH(C4339,Products!$A$2:$A$49,0))</f>
        <v>Household</v>
      </c>
      <c r="H4339" s="33" t="n">
        <f aca="false">D4339*INDEX(Products!$E$2:$E$49,MATCH(C4339,Products!$A$2:$A$49,0))</f>
        <v>7800</v>
      </c>
      <c r="I4339" s="33" t="n">
        <f aca="false">D4339*INDEX(Products!$D$2:$D$49,MATCH(C4339,Products!$A$2:$A$49,0))*(1+INDEX(Assumptions!$B$16:$B$20,MATCH(B4339,Assumptions!$A$16:$A$20,0)))</f>
        <v>6082.56</v>
      </c>
      <c r="J4339" s="33" t="n">
        <f aca="false">H4339-I4339</f>
        <v>1717.44</v>
      </c>
      <c r="K4339" s="33" t="n">
        <f aca="false">IF(OR(E4339=0,E4339&gt;=7),0,D4339/(7-E4339)*E4339*INDEX(Products!$E$2:$E$49,MATCH(C4339,Products!$A$2:$A$49,0)))</f>
        <v>0</v>
      </c>
    </row>
    <row r="4340" customFormat="false" ht="15" hidden="false" customHeight="false" outlineLevel="0" collapsed="false">
      <c r="A4340" s="36" t="n">
        <v>46209</v>
      </c>
      <c r="B4340" s="24" t="s">
        <v>64</v>
      </c>
      <c r="C4340" s="24" t="s">
        <v>173</v>
      </c>
      <c r="D4340" s="33" t="n">
        <v>18</v>
      </c>
      <c r="E4340" s="24" t="n">
        <v>0</v>
      </c>
      <c r="F4340" s="37" t="n">
        <f aca="false">DATE(YEAR(A4340),MONTH(A4340),1)</f>
        <v>46204</v>
      </c>
      <c r="G4340" s="24" t="str">
        <f aca="false">INDEX(Products!$C$2:$C$49,MATCH(C4340,Products!$A$2:$A$49,0))</f>
        <v>Household</v>
      </c>
      <c r="H4340" s="33" t="n">
        <f aca="false">D4340*INDEX(Products!$E$2:$E$49,MATCH(C4340,Products!$A$2:$A$49,0))</f>
        <v>4680</v>
      </c>
      <c r="I4340" s="33" t="n">
        <f aca="false">D4340*INDEX(Products!$D$2:$D$49,MATCH(C4340,Products!$A$2:$A$49,0))*(1+INDEX(Assumptions!$B$16:$B$20,MATCH(B4340,Assumptions!$A$16:$A$20,0)))</f>
        <v>3649.536</v>
      </c>
      <c r="J4340" s="33" t="n">
        <f aca="false">H4340-I4340</f>
        <v>1030.464</v>
      </c>
      <c r="K4340" s="33" t="n">
        <f aca="false">IF(OR(E4340=0,E4340&gt;=7),0,D4340/(7-E4340)*E4340*INDEX(Products!$E$2:$E$49,MATCH(C4340,Products!$A$2:$A$49,0)))</f>
        <v>0</v>
      </c>
    </row>
    <row r="4341" customFormat="false" ht="15" hidden="false" customHeight="false" outlineLevel="0" collapsed="false">
      <c r="A4341" s="36" t="n">
        <v>46216</v>
      </c>
      <c r="B4341" s="24" t="s">
        <v>64</v>
      </c>
      <c r="C4341" s="24" t="s">
        <v>173</v>
      </c>
      <c r="D4341" s="33" t="n">
        <v>31</v>
      </c>
      <c r="E4341" s="24" t="n">
        <v>0</v>
      </c>
      <c r="F4341" s="37" t="n">
        <f aca="false">DATE(YEAR(A4341),MONTH(A4341),1)</f>
        <v>46204</v>
      </c>
      <c r="G4341" s="24" t="str">
        <f aca="false">INDEX(Products!$C$2:$C$49,MATCH(C4341,Products!$A$2:$A$49,0))</f>
        <v>Household</v>
      </c>
      <c r="H4341" s="33" t="n">
        <f aca="false">D4341*INDEX(Products!$E$2:$E$49,MATCH(C4341,Products!$A$2:$A$49,0))</f>
        <v>8060</v>
      </c>
      <c r="I4341" s="33" t="n">
        <f aca="false">D4341*INDEX(Products!$D$2:$D$49,MATCH(C4341,Products!$A$2:$A$49,0))*(1+INDEX(Assumptions!$B$16:$B$20,MATCH(B4341,Assumptions!$A$16:$A$20,0)))</f>
        <v>6285.312</v>
      </c>
      <c r="J4341" s="33" t="n">
        <f aca="false">H4341-I4341</f>
        <v>1774.688</v>
      </c>
      <c r="K4341" s="33" t="n">
        <f aca="false">IF(OR(E4341=0,E4341&gt;=7),0,D4341/(7-E4341)*E4341*INDEX(Products!$E$2:$E$49,MATCH(C4341,Products!$A$2:$A$49,0)))</f>
        <v>0</v>
      </c>
    </row>
    <row r="4342" customFormat="false" ht="15" hidden="false" customHeight="false" outlineLevel="0" collapsed="false">
      <c r="A4342" s="36" t="n">
        <v>46223</v>
      </c>
      <c r="B4342" s="24" t="s">
        <v>64</v>
      </c>
      <c r="C4342" s="24" t="s">
        <v>173</v>
      </c>
      <c r="D4342" s="33" t="n">
        <v>36</v>
      </c>
      <c r="E4342" s="24" t="n">
        <v>0</v>
      </c>
      <c r="F4342" s="37" t="n">
        <f aca="false">DATE(YEAR(A4342),MONTH(A4342),1)</f>
        <v>46204</v>
      </c>
      <c r="G4342" s="24" t="str">
        <f aca="false">INDEX(Products!$C$2:$C$49,MATCH(C4342,Products!$A$2:$A$49,0))</f>
        <v>Household</v>
      </c>
      <c r="H4342" s="33" t="n">
        <f aca="false">D4342*INDEX(Products!$E$2:$E$49,MATCH(C4342,Products!$A$2:$A$49,0))</f>
        <v>9360</v>
      </c>
      <c r="I4342" s="33" t="n">
        <f aca="false">D4342*INDEX(Products!$D$2:$D$49,MATCH(C4342,Products!$A$2:$A$49,0))*(1+INDEX(Assumptions!$B$16:$B$20,MATCH(B4342,Assumptions!$A$16:$A$20,0)))</f>
        <v>7299.072</v>
      </c>
      <c r="J4342" s="33" t="n">
        <f aca="false">H4342-I4342</f>
        <v>2060.928</v>
      </c>
      <c r="K4342" s="33" t="n">
        <f aca="false">IF(OR(E4342=0,E4342&gt;=7),0,D4342/(7-E4342)*E4342*INDEX(Products!$E$2:$E$49,MATCH(C4342,Products!$A$2:$A$49,0)))</f>
        <v>0</v>
      </c>
    </row>
    <row r="4343" customFormat="false" ht="15" hidden="false" customHeight="false" outlineLevel="0" collapsed="false">
      <c r="A4343" s="36" t="n">
        <v>46230</v>
      </c>
      <c r="B4343" s="24" t="s">
        <v>64</v>
      </c>
      <c r="C4343" s="24" t="s">
        <v>173</v>
      </c>
      <c r="D4343" s="33" t="n">
        <v>12</v>
      </c>
      <c r="E4343" s="24" t="n">
        <v>0</v>
      </c>
      <c r="F4343" s="37" t="n">
        <f aca="false">DATE(YEAR(A4343),MONTH(A4343),1)</f>
        <v>46204</v>
      </c>
      <c r="G4343" s="24" t="str">
        <f aca="false">INDEX(Products!$C$2:$C$49,MATCH(C4343,Products!$A$2:$A$49,0))</f>
        <v>Household</v>
      </c>
      <c r="H4343" s="33" t="n">
        <f aca="false">D4343*INDEX(Products!$E$2:$E$49,MATCH(C4343,Products!$A$2:$A$49,0))</f>
        <v>3120</v>
      </c>
      <c r="I4343" s="33" t="n">
        <f aca="false">D4343*INDEX(Products!$D$2:$D$49,MATCH(C4343,Products!$A$2:$A$49,0))*(1+INDEX(Assumptions!$B$16:$B$20,MATCH(B4343,Assumptions!$A$16:$A$20,0)))</f>
        <v>2433.024</v>
      </c>
      <c r="J4343" s="33" t="n">
        <f aca="false">H4343-I4343</f>
        <v>686.976</v>
      </c>
      <c r="K4343" s="33" t="n">
        <f aca="false">IF(OR(E4343=0,E4343&gt;=7),0,D4343/(7-E4343)*E4343*INDEX(Products!$E$2:$E$49,MATCH(C4343,Products!$A$2:$A$49,0)))</f>
        <v>0</v>
      </c>
    </row>
    <row r="4344" customFormat="false" ht="15" hidden="false" customHeight="false" outlineLevel="0" collapsed="false">
      <c r="A4344" s="36" t="n">
        <v>46237</v>
      </c>
      <c r="B4344" s="24" t="s">
        <v>64</v>
      </c>
      <c r="C4344" s="24" t="s">
        <v>173</v>
      </c>
      <c r="D4344" s="33" t="n">
        <v>20</v>
      </c>
      <c r="E4344" s="24" t="n">
        <v>0</v>
      </c>
      <c r="F4344" s="37" t="n">
        <f aca="false">DATE(YEAR(A4344),MONTH(A4344),1)</f>
        <v>46235</v>
      </c>
      <c r="G4344" s="24" t="str">
        <f aca="false">INDEX(Products!$C$2:$C$49,MATCH(C4344,Products!$A$2:$A$49,0))</f>
        <v>Household</v>
      </c>
      <c r="H4344" s="33" t="n">
        <f aca="false">D4344*INDEX(Products!$E$2:$E$49,MATCH(C4344,Products!$A$2:$A$49,0))</f>
        <v>5200</v>
      </c>
      <c r="I4344" s="33" t="n">
        <f aca="false">D4344*INDEX(Products!$D$2:$D$49,MATCH(C4344,Products!$A$2:$A$49,0))*(1+INDEX(Assumptions!$B$16:$B$20,MATCH(B4344,Assumptions!$A$16:$A$20,0)))</f>
        <v>4055.04</v>
      </c>
      <c r="J4344" s="33" t="n">
        <f aca="false">H4344-I4344</f>
        <v>1144.96</v>
      </c>
      <c r="K4344" s="33" t="n">
        <f aca="false">IF(OR(E4344=0,E4344&gt;=7),0,D4344/(7-E4344)*E4344*INDEX(Products!$E$2:$E$49,MATCH(C4344,Products!$A$2:$A$49,0)))</f>
        <v>0</v>
      </c>
    </row>
    <row r="4345" customFormat="false" ht="15" hidden="false" customHeight="false" outlineLevel="0" collapsed="false">
      <c r="A4345" s="36" t="n">
        <v>46244</v>
      </c>
      <c r="B4345" s="24" t="s">
        <v>64</v>
      </c>
      <c r="C4345" s="24" t="s">
        <v>173</v>
      </c>
      <c r="D4345" s="33" t="n">
        <v>19</v>
      </c>
      <c r="E4345" s="24" t="n">
        <v>0</v>
      </c>
      <c r="F4345" s="37" t="n">
        <f aca="false">DATE(YEAR(A4345),MONTH(A4345),1)</f>
        <v>46235</v>
      </c>
      <c r="G4345" s="24" t="str">
        <f aca="false">INDEX(Products!$C$2:$C$49,MATCH(C4345,Products!$A$2:$A$49,0))</f>
        <v>Household</v>
      </c>
      <c r="H4345" s="33" t="n">
        <f aca="false">D4345*INDEX(Products!$E$2:$E$49,MATCH(C4345,Products!$A$2:$A$49,0))</f>
        <v>4940</v>
      </c>
      <c r="I4345" s="33" t="n">
        <f aca="false">D4345*INDEX(Products!$D$2:$D$49,MATCH(C4345,Products!$A$2:$A$49,0))*(1+INDEX(Assumptions!$B$16:$B$20,MATCH(B4345,Assumptions!$A$16:$A$20,0)))</f>
        <v>3852.288</v>
      </c>
      <c r="J4345" s="33" t="n">
        <f aca="false">H4345-I4345</f>
        <v>1087.712</v>
      </c>
      <c r="K4345" s="33" t="n">
        <f aca="false">IF(OR(E4345=0,E4345&gt;=7),0,D4345/(7-E4345)*E4345*INDEX(Products!$E$2:$E$49,MATCH(C4345,Products!$A$2:$A$49,0)))</f>
        <v>0</v>
      </c>
    </row>
    <row r="4346" customFormat="false" ht="15" hidden="false" customHeight="false" outlineLevel="0" collapsed="false">
      <c r="A4346" s="36" t="n">
        <v>46251</v>
      </c>
      <c r="B4346" s="24" t="s">
        <v>64</v>
      </c>
      <c r="C4346" s="24" t="s">
        <v>173</v>
      </c>
      <c r="D4346" s="33" t="n">
        <v>21</v>
      </c>
      <c r="E4346" s="24" t="n">
        <v>0</v>
      </c>
      <c r="F4346" s="37" t="n">
        <f aca="false">DATE(YEAR(A4346),MONTH(A4346),1)</f>
        <v>46235</v>
      </c>
      <c r="G4346" s="24" t="str">
        <f aca="false">INDEX(Products!$C$2:$C$49,MATCH(C4346,Products!$A$2:$A$49,0))</f>
        <v>Household</v>
      </c>
      <c r="H4346" s="33" t="n">
        <f aca="false">D4346*INDEX(Products!$E$2:$E$49,MATCH(C4346,Products!$A$2:$A$49,0))</f>
        <v>5460</v>
      </c>
      <c r="I4346" s="33" t="n">
        <f aca="false">D4346*INDEX(Products!$D$2:$D$49,MATCH(C4346,Products!$A$2:$A$49,0))*(1+INDEX(Assumptions!$B$16:$B$20,MATCH(B4346,Assumptions!$A$16:$A$20,0)))</f>
        <v>4257.792</v>
      </c>
      <c r="J4346" s="33" t="n">
        <f aca="false">H4346-I4346</f>
        <v>1202.208</v>
      </c>
      <c r="K4346" s="33" t="n">
        <f aca="false">IF(OR(E4346=0,E4346&gt;=7),0,D4346/(7-E4346)*E4346*INDEX(Products!$E$2:$E$49,MATCH(C4346,Products!$A$2:$A$49,0)))</f>
        <v>0</v>
      </c>
    </row>
    <row r="4347" customFormat="false" ht="15" hidden="false" customHeight="false" outlineLevel="0" collapsed="false">
      <c r="A4347" s="36" t="n">
        <v>46258</v>
      </c>
      <c r="B4347" s="24" t="s">
        <v>64</v>
      </c>
      <c r="C4347" s="24" t="s">
        <v>173</v>
      </c>
      <c r="D4347" s="33" t="n">
        <v>26</v>
      </c>
      <c r="E4347" s="24" t="n">
        <v>0</v>
      </c>
      <c r="F4347" s="37" t="n">
        <f aca="false">DATE(YEAR(A4347),MONTH(A4347),1)</f>
        <v>46235</v>
      </c>
      <c r="G4347" s="24" t="str">
        <f aca="false">INDEX(Products!$C$2:$C$49,MATCH(C4347,Products!$A$2:$A$49,0))</f>
        <v>Household</v>
      </c>
      <c r="H4347" s="33" t="n">
        <f aca="false">D4347*INDEX(Products!$E$2:$E$49,MATCH(C4347,Products!$A$2:$A$49,0))</f>
        <v>6760</v>
      </c>
      <c r="I4347" s="33" t="n">
        <f aca="false">D4347*INDEX(Products!$D$2:$D$49,MATCH(C4347,Products!$A$2:$A$49,0))*(1+INDEX(Assumptions!$B$16:$B$20,MATCH(B4347,Assumptions!$A$16:$A$20,0)))</f>
        <v>5271.552</v>
      </c>
      <c r="J4347" s="33" t="n">
        <f aca="false">H4347-I4347</f>
        <v>1488.448</v>
      </c>
      <c r="K4347" s="33" t="n">
        <f aca="false">IF(OR(E4347=0,E4347&gt;=7),0,D4347/(7-E4347)*E4347*INDEX(Products!$E$2:$E$49,MATCH(C4347,Products!$A$2:$A$49,0)))</f>
        <v>0</v>
      </c>
    </row>
    <row r="4348" customFormat="false" ht="15" hidden="false" customHeight="false" outlineLevel="0" collapsed="false">
      <c r="A4348" s="36" t="n">
        <v>46265</v>
      </c>
      <c r="B4348" s="24" t="s">
        <v>64</v>
      </c>
      <c r="C4348" s="24" t="s">
        <v>173</v>
      </c>
      <c r="D4348" s="33" t="n">
        <v>24</v>
      </c>
      <c r="E4348" s="24" t="n">
        <v>0</v>
      </c>
      <c r="F4348" s="37" t="n">
        <f aca="false">DATE(YEAR(A4348),MONTH(A4348),1)</f>
        <v>46235</v>
      </c>
      <c r="G4348" s="24" t="str">
        <f aca="false">INDEX(Products!$C$2:$C$49,MATCH(C4348,Products!$A$2:$A$49,0))</f>
        <v>Household</v>
      </c>
      <c r="H4348" s="33" t="n">
        <f aca="false">D4348*INDEX(Products!$E$2:$E$49,MATCH(C4348,Products!$A$2:$A$49,0))</f>
        <v>6240</v>
      </c>
      <c r="I4348" s="33" t="n">
        <f aca="false">D4348*INDEX(Products!$D$2:$D$49,MATCH(C4348,Products!$A$2:$A$49,0))*(1+INDEX(Assumptions!$B$16:$B$20,MATCH(B4348,Assumptions!$A$16:$A$20,0)))</f>
        <v>4866.048</v>
      </c>
      <c r="J4348" s="33" t="n">
        <f aca="false">H4348-I4348</f>
        <v>1373.952</v>
      </c>
      <c r="K4348" s="33" t="n">
        <f aca="false">IF(OR(E4348=0,E4348&gt;=7),0,D4348/(7-E4348)*E4348*INDEX(Products!$E$2:$E$49,MATCH(C4348,Products!$A$2:$A$49,0)))</f>
        <v>0</v>
      </c>
    </row>
    <row r="4349" customFormat="false" ht="15" hidden="false" customHeight="false" outlineLevel="0" collapsed="false">
      <c r="A4349" s="36" t="n">
        <v>46272</v>
      </c>
      <c r="B4349" s="24" t="s">
        <v>64</v>
      </c>
      <c r="C4349" s="24" t="s">
        <v>173</v>
      </c>
      <c r="D4349" s="33" t="n">
        <v>22</v>
      </c>
      <c r="E4349" s="24" t="n">
        <v>0</v>
      </c>
      <c r="F4349" s="37" t="n">
        <f aca="false">DATE(YEAR(A4349),MONTH(A4349),1)</f>
        <v>46266</v>
      </c>
      <c r="G4349" s="24" t="str">
        <f aca="false">INDEX(Products!$C$2:$C$49,MATCH(C4349,Products!$A$2:$A$49,0))</f>
        <v>Household</v>
      </c>
      <c r="H4349" s="33" t="n">
        <f aca="false">D4349*INDEX(Products!$E$2:$E$49,MATCH(C4349,Products!$A$2:$A$49,0))</f>
        <v>5720</v>
      </c>
      <c r="I4349" s="33" t="n">
        <f aca="false">D4349*INDEX(Products!$D$2:$D$49,MATCH(C4349,Products!$A$2:$A$49,0))*(1+INDEX(Assumptions!$B$16:$B$20,MATCH(B4349,Assumptions!$A$16:$A$20,0)))</f>
        <v>4460.544</v>
      </c>
      <c r="J4349" s="33" t="n">
        <f aca="false">H4349-I4349</f>
        <v>1259.456</v>
      </c>
      <c r="K4349" s="33" t="n">
        <f aca="false">IF(OR(E4349=0,E4349&gt;=7),0,D4349/(7-E4349)*E4349*INDEX(Products!$E$2:$E$49,MATCH(C4349,Products!$A$2:$A$49,0)))</f>
        <v>0</v>
      </c>
    </row>
    <row r="4350" customFormat="false" ht="15" hidden="false" customHeight="false" outlineLevel="0" collapsed="false">
      <c r="A4350" s="36" t="n">
        <v>46279</v>
      </c>
      <c r="B4350" s="24" t="s">
        <v>64</v>
      </c>
      <c r="C4350" s="24" t="s">
        <v>173</v>
      </c>
      <c r="D4350" s="33" t="n">
        <v>24</v>
      </c>
      <c r="E4350" s="24" t="n">
        <v>0</v>
      </c>
      <c r="F4350" s="37" t="n">
        <f aca="false">DATE(YEAR(A4350),MONTH(A4350),1)</f>
        <v>46266</v>
      </c>
      <c r="G4350" s="24" t="str">
        <f aca="false">INDEX(Products!$C$2:$C$49,MATCH(C4350,Products!$A$2:$A$49,0))</f>
        <v>Household</v>
      </c>
      <c r="H4350" s="33" t="n">
        <f aca="false">D4350*INDEX(Products!$E$2:$E$49,MATCH(C4350,Products!$A$2:$A$49,0))</f>
        <v>6240</v>
      </c>
      <c r="I4350" s="33" t="n">
        <f aca="false">D4350*INDEX(Products!$D$2:$D$49,MATCH(C4350,Products!$A$2:$A$49,0))*(1+INDEX(Assumptions!$B$16:$B$20,MATCH(B4350,Assumptions!$A$16:$A$20,0)))</f>
        <v>4866.048</v>
      </c>
      <c r="J4350" s="33" t="n">
        <f aca="false">H4350-I4350</f>
        <v>1373.952</v>
      </c>
      <c r="K4350" s="33" t="n">
        <f aca="false">IF(OR(E4350=0,E4350&gt;=7),0,D4350/(7-E4350)*E4350*INDEX(Products!$E$2:$E$49,MATCH(C4350,Products!$A$2:$A$49,0)))</f>
        <v>0</v>
      </c>
    </row>
    <row r="4351" customFormat="false" ht="15" hidden="false" customHeight="false" outlineLevel="0" collapsed="false">
      <c r="A4351" s="36" t="n">
        <v>46286</v>
      </c>
      <c r="B4351" s="24" t="s">
        <v>64</v>
      </c>
      <c r="C4351" s="24" t="s">
        <v>173</v>
      </c>
      <c r="D4351" s="33" t="n">
        <v>27</v>
      </c>
      <c r="E4351" s="24" t="n">
        <v>0</v>
      </c>
      <c r="F4351" s="37" t="n">
        <f aca="false">DATE(YEAR(A4351),MONTH(A4351),1)</f>
        <v>46266</v>
      </c>
      <c r="G4351" s="24" t="str">
        <f aca="false">INDEX(Products!$C$2:$C$49,MATCH(C4351,Products!$A$2:$A$49,0))</f>
        <v>Household</v>
      </c>
      <c r="H4351" s="33" t="n">
        <f aca="false">D4351*INDEX(Products!$E$2:$E$49,MATCH(C4351,Products!$A$2:$A$49,0))</f>
        <v>7020</v>
      </c>
      <c r="I4351" s="33" t="n">
        <f aca="false">D4351*INDEX(Products!$D$2:$D$49,MATCH(C4351,Products!$A$2:$A$49,0))*(1+INDEX(Assumptions!$B$16:$B$20,MATCH(B4351,Assumptions!$A$16:$A$20,0)))</f>
        <v>5474.304</v>
      </c>
      <c r="J4351" s="33" t="n">
        <f aca="false">H4351-I4351</f>
        <v>1545.696</v>
      </c>
      <c r="K4351" s="33" t="n">
        <f aca="false">IF(OR(E4351=0,E4351&gt;=7),0,D4351/(7-E4351)*E4351*INDEX(Products!$E$2:$E$49,MATCH(C4351,Products!$A$2:$A$49,0)))</f>
        <v>0</v>
      </c>
    </row>
    <row r="4352" customFormat="false" ht="15" hidden="false" customHeight="false" outlineLevel="0" collapsed="false">
      <c r="A4352" s="36" t="n">
        <v>46118</v>
      </c>
      <c r="B4352" s="24" t="s">
        <v>64</v>
      </c>
      <c r="C4352" s="24" t="s">
        <v>175</v>
      </c>
      <c r="D4352" s="33" t="n">
        <v>64</v>
      </c>
      <c r="E4352" s="24" t="n">
        <v>0</v>
      </c>
      <c r="F4352" s="37" t="n">
        <f aca="false">DATE(YEAR(A4352),MONTH(A4352),1)</f>
        <v>46113</v>
      </c>
      <c r="G4352" s="24" t="str">
        <f aca="false">INDEX(Products!$C$2:$C$49,MATCH(C4352,Products!$A$2:$A$49,0))</f>
        <v>Household</v>
      </c>
      <c r="H4352" s="33" t="n">
        <f aca="false">D4352*INDEX(Products!$E$2:$E$49,MATCH(C4352,Products!$A$2:$A$49,0))</f>
        <v>3840</v>
      </c>
      <c r="I4352" s="33" t="n">
        <f aca="false">D4352*INDEX(Products!$D$2:$D$49,MATCH(C4352,Products!$A$2:$A$49,0))*(1+INDEX(Assumptions!$B$16:$B$20,MATCH(B4352,Assumptions!$A$16:$A$20,0)))</f>
        <v>3080.192</v>
      </c>
      <c r="J4352" s="33" t="n">
        <f aca="false">H4352-I4352</f>
        <v>759.808</v>
      </c>
      <c r="K4352" s="33" t="n">
        <f aca="false">IF(OR(E4352=0,E4352&gt;=7),0,D4352/(7-E4352)*E4352*INDEX(Products!$E$2:$E$49,MATCH(C4352,Products!$A$2:$A$49,0)))</f>
        <v>0</v>
      </c>
    </row>
    <row r="4353" customFormat="false" ht="15" hidden="false" customHeight="false" outlineLevel="0" collapsed="false">
      <c r="A4353" s="36" t="n">
        <v>46125</v>
      </c>
      <c r="B4353" s="24" t="s">
        <v>64</v>
      </c>
      <c r="C4353" s="24" t="s">
        <v>175</v>
      </c>
      <c r="D4353" s="33" t="n">
        <v>64</v>
      </c>
      <c r="E4353" s="24" t="n">
        <v>0</v>
      </c>
      <c r="F4353" s="37" t="n">
        <f aca="false">DATE(YEAR(A4353),MONTH(A4353),1)</f>
        <v>46113</v>
      </c>
      <c r="G4353" s="24" t="str">
        <f aca="false">INDEX(Products!$C$2:$C$49,MATCH(C4353,Products!$A$2:$A$49,0))</f>
        <v>Household</v>
      </c>
      <c r="H4353" s="33" t="n">
        <f aca="false">D4353*INDEX(Products!$E$2:$E$49,MATCH(C4353,Products!$A$2:$A$49,0))</f>
        <v>3840</v>
      </c>
      <c r="I4353" s="33" t="n">
        <f aca="false">D4353*INDEX(Products!$D$2:$D$49,MATCH(C4353,Products!$A$2:$A$49,0))*(1+INDEX(Assumptions!$B$16:$B$20,MATCH(B4353,Assumptions!$A$16:$A$20,0)))</f>
        <v>3080.192</v>
      </c>
      <c r="J4353" s="33" t="n">
        <f aca="false">H4353-I4353</f>
        <v>759.808</v>
      </c>
      <c r="K4353" s="33" t="n">
        <f aca="false">IF(OR(E4353=0,E4353&gt;=7),0,D4353/(7-E4353)*E4353*INDEX(Products!$E$2:$E$49,MATCH(C4353,Products!$A$2:$A$49,0)))</f>
        <v>0</v>
      </c>
    </row>
    <row r="4354" customFormat="false" ht="15" hidden="false" customHeight="false" outlineLevel="0" collapsed="false">
      <c r="A4354" s="36" t="n">
        <v>46132</v>
      </c>
      <c r="B4354" s="24" t="s">
        <v>64</v>
      </c>
      <c r="C4354" s="24" t="s">
        <v>175</v>
      </c>
      <c r="D4354" s="33" t="n">
        <v>72</v>
      </c>
      <c r="E4354" s="24" t="n">
        <v>0</v>
      </c>
      <c r="F4354" s="37" t="n">
        <f aca="false">DATE(YEAR(A4354),MONTH(A4354),1)</f>
        <v>46113</v>
      </c>
      <c r="G4354" s="24" t="str">
        <f aca="false">INDEX(Products!$C$2:$C$49,MATCH(C4354,Products!$A$2:$A$49,0))</f>
        <v>Household</v>
      </c>
      <c r="H4354" s="33" t="n">
        <f aca="false">D4354*INDEX(Products!$E$2:$E$49,MATCH(C4354,Products!$A$2:$A$49,0))</f>
        <v>4320</v>
      </c>
      <c r="I4354" s="33" t="n">
        <f aca="false">D4354*INDEX(Products!$D$2:$D$49,MATCH(C4354,Products!$A$2:$A$49,0))*(1+INDEX(Assumptions!$B$16:$B$20,MATCH(B4354,Assumptions!$A$16:$A$20,0)))</f>
        <v>3465.216</v>
      </c>
      <c r="J4354" s="33" t="n">
        <f aca="false">H4354-I4354</f>
        <v>854.784</v>
      </c>
      <c r="K4354" s="33" t="n">
        <f aca="false">IF(OR(E4354=0,E4354&gt;=7),0,D4354/(7-E4354)*E4354*INDEX(Products!$E$2:$E$49,MATCH(C4354,Products!$A$2:$A$49,0)))</f>
        <v>0</v>
      </c>
    </row>
    <row r="4355" customFormat="false" ht="15" hidden="false" customHeight="false" outlineLevel="0" collapsed="false">
      <c r="A4355" s="36" t="n">
        <v>46139</v>
      </c>
      <c r="B4355" s="24" t="s">
        <v>64</v>
      </c>
      <c r="C4355" s="24" t="s">
        <v>175</v>
      </c>
      <c r="D4355" s="33" t="n">
        <v>17</v>
      </c>
      <c r="E4355" s="24" t="n">
        <v>5</v>
      </c>
      <c r="F4355" s="37" t="n">
        <f aca="false">DATE(YEAR(A4355),MONTH(A4355),1)</f>
        <v>46113</v>
      </c>
      <c r="G4355" s="24" t="str">
        <f aca="false">INDEX(Products!$C$2:$C$49,MATCH(C4355,Products!$A$2:$A$49,0))</f>
        <v>Household</v>
      </c>
      <c r="H4355" s="33" t="n">
        <f aca="false">D4355*INDEX(Products!$E$2:$E$49,MATCH(C4355,Products!$A$2:$A$49,0))</f>
        <v>1020</v>
      </c>
      <c r="I4355" s="33" t="n">
        <f aca="false">D4355*INDEX(Products!$D$2:$D$49,MATCH(C4355,Products!$A$2:$A$49,0))*(1+INDEX(Assumptions!$B$16:$B$20,MATCH(B4355,Assumptions!$A$16:$A$20,0)))</f>
        <v>818.176</v>
      </c>
      <c r="J4355" s="33" t="n">
        <f aca="false">H4355-I4355</f>
        <v>201.824</v>
      </c>
      <c r="K4355" s="33" t="n">
        <f aca="false">IF(OR(E4355=0,E4355&gt;=7),0,D4355/(7-E4355)*E4355*INDEX(Products!$E$2:$E$49,MATCH(C4355,Products!$A$2:$A$49,0)))</f>
        <v>2550</v>
      </c>
    </row>
    <row r="4356" customFormat="false" ht="15" hidden="false" customHeight="false" outlineLevel="0" collapsed="false">
      <c r="A4356" s="36" t="n">
        <v>46146</v>
      </c>
      <c r="B4356" s="24" t="s">
        <v>64</v>
      </c>
      <c r="C4356" s="24" t="s">
        <v>175</v>
      </c>
      <c r="D4356" s="33" t="n">
        <v>65</v>
      </c>
      <c r="E4356" s="24" t="n">
        <v>0</v>
      </c>
      <c r="F4356" s="37" t="n">
        <f aca="false">DATE(YEAR(A4356),MONTH(A4356),1)</f>
        <v>46143</v>
      </c>
      <c r="G4356" s="24" t="str">
        <f aca="false">INDEX(Products!$C$2:$C$49,MATCH(C4356,Products!$A$2:$A$49,0))</f>
        <v>Household</v>
      </c>
      <c r="H4356" s="33" t="n">
        <f aca="false">D4356*INDEX(Products!$E$2:$E$49,MATCH(C4356,Products!$A$2:$A$49,0))</f>
        <v>3900</v>
      </c>
      <c r="I4356" s="33" t="n">
        <f aca="false">D4356*INDEX(Products!$D$2:$D$49,MATCH(C4356,Products!$A$2:$A$49,0))*(1+INDEX(Assumptions!$B$16:$B$20,MATCH(B4356,Assumptions!$A$16:$A$20,0)))</f>
        <v>3128.32</v>
      </c>
      <c r="J4356" s="33" t="n">
        <f aca="false">H4356-I4356</f>
        <v>771.68</v>
      </c>
      <c r="K4356" s="33" t="n">
        <f aca="false">IF(OR(E4356=0,E4356&gt;=7),0,D4356/(7-E4356)*E4356*INDEX(Products!$E$2:$E$49,MATCH(C4356,Products!$A$2:$A$49,0)))</f>
        <v>0</v>
      </c>
    </row>
    <row r="4357" customFormat="false" ht="15" hidden="false" customHeight="false" outlineLevel="0" collapsed="false">
      <c r="A4357" s="36" t="n">
        <v>46153</v>
      </c>
      <c r="B4357" s="24" t="s">
        <v>64</v>
      </c>
      <c r="C4357" s="24" t="s">
        <v>175</v>
      </c>
      <c r="D4357" s="33" t="n">
        <v>70</v>
      </c>
      <c r="E4357" s="24" t="n">
        <v>0</v>
      </c>
      <c r="F4357" s="37" t="n">
        <f aca="false">DATE(YEAR(A4357),MONTH(A4357),1)</f>
        <v>46143</v>
      </c>
      <c r="G4357" s="24" t="str">
        <f aca="false">INDEX(Products!$C$2:$C$49,MATCH(C4357,Products!$A$2:$A$49,0))</f>
        <v>Household</v>
      </c>
      <c r="H4357" s="33" t="n">
        <f aca="false">D4357*INDEX(Products!$E$2:$E$49,MATCH(C4357,Products!$A$2:$A$49,0))</f>
        <v>4200</v>
      </c>
      <c r="I4357" s="33" t="n">
        <f aca="false">D4357*INDEX(Products!$D$2:$D$49,MATCH(C4357,Products!$A$2:$A$49,0))*(1+INDEX(Assumptions!$B$16:$B$20,MATCH(B4357,Assumptions!$A$16:$A$20,0)))</f>
        <v>3368.96</v>
      </c>
      <c r="J4357" s="33" t="n">
        <f aca="false">H4357-I4357</f>
        <v>831.04</v>
      </c>
      <c r="K4357" s="33" t="n">
        <f aca="false">IF(OR(E4357=0,E4357&gt;=7),0,D4357/(7-E4357)*E4357*INDEX(Products!$E$2:$E$49,MATCH(C4357,Products!$A$2:$A$49,0)))</f>
        <v>0</v>
      </c>
    </row>
    <row r="4358" customFormat="false" ht="15" hidden="false" customHeight="false" outlineLevel="0" collapsed="false">
      <c r="A4358" s="36" t="n">
        <v>46160</v>
      </c>
      <c r="B4358" s="24" t="s">
        <v>64</v>
      </c>
      <c r="C4358" s="24" t="s">
        <v>175</v>
      </c>
      <c r="D4358" s="33" t="n">
        <v>80</v>
      </c>
      <c r="E4358" s="24" t="n">
        <v>0</v>
      </c>
      <c r="F4358" s="37" t="n">
        <f aca="false">DATE(YEAR(A4358),MONTH(A4358),1)</f>
        <v>46143</v>
      </c>
      <c r="G4358" s="24" t="str">
        <f aca="false">INDEX(Products!$C$2:$C$49,MATCH(C4358,Products!$A$2:$A$49,0))</f>
        <v>Household</v>
      </c>
      <c r="H4358" s="33" t="n">
        <f aca="false">D4358*INDEX(Products!$E$2:$E$49,MATCH(C4358,Products!$A$2:$A$49,0))</f>
        <v>4800</v>
      </c>
      <c r="I4358" s="33" t="n">
        <f aca="false">D4358*INDEX(Products!$D$2:$D$49,MATCH(C4358,Products!$A$2:$A$49,0))*(1+INDEX(Assumptions!$B$16:$B$20,MATCH(B4358,Assumptions!$A$16:$A$20,0)))</f>
        <v>3850.24</v>
      </c>
      <c r="J4358" s="33" t="n">
        <f aca="false">H4358-I4358</f>
        <v>949.76</v>
      </c>
      <c r="K4358" s="33" t="n">
        <f aca="false">IF(OR(E4358=0,E4358&gt;=7),0,D4358/(7-E4358)*E4358*INDEX(Products!$E$2:$E$49,MATCH(C4358,Products!$A$2:$A$49,0)))</f>
        <v>0</v>
      </c>
    </row>
    <row r="4359" customFormat="false" ht="15" hidden="false" customHeight="false" outlineLevel="0" collapsed="false">
      <c r="A4359" s="36" t="n">
        <v>46167</v>
      </c>
      <c r="B4359" s="24" t="s">
        <v>64</v>
      </c>
      <c r="C4359" s="24" t="s">
        <v>175</v>
      </c>
      <c r="D4359" s="33" t="n">
        <v>70</v>
      </c>
      <c r="E4359" s="24" t="n">
        <v>0</v>
      </c>
      <c r="F4359" s="37" t="n">
        <f aca="false">DATE(YEAR(A4359),MONTH(A4359),1)</f>
        <v>46143</v>
      </c>
      <c r="G4359" s="24" t="str">
        <f aca="false">INDEX(Products!$C$2:$C$49,MATCH(C4359,Products!$A$2:$A$49,0))</f>
        <v>Household</v>
      </c>
      <c r="H4359" s="33" t="n">
        <f aca="false">D4359*INDEX(Products!$E$2:$E$49,MATCH(C4359,Products!$A$2:$A$49,0))</f>
        <v>4200</v>
      </c>
      <c r="I4359" s="33" t="n">
        <f aca="false">D4359*INDEX(Products!$D$2:$D$49,MATCH(C4359,Products!$A$2:$A$49,0))*(1+INDEX(Assumptions!$B$16:$B$20,MATCH(B4359,Assumptions!$A$16:$A$20,0)))</f>
        <v>3368.96</v>
      </c>
      <c r="J4359" s="33" t="n">
        <f aca="false">H4359-I4359</f>
        <v>831.04</v>
      </c>
      <c r="K4359" s="33" t="n">
        <f aca="false">IF(OR(E4359=0,E4359&gt;=7),0,D4359/(7-E4359)*E4359*INDEX(Products!$E$2:$E$49,MATCH(C4359,Products!$A$2:$A$49,0)))</f>
        <v>0</v>
      </c>
    </row>
    <row r="4360" customFormat="false" ht="15" hidden="false" customHeight="false" outlineLevel="0" collapsed="false">
      <c r="A4360" s="36" t="n">
        <v>46174</v>
      </c>
      <c r="B4360" s="24" t="s">
        <v>64</v>
      </c>
      <c r="C4360" s="24" t="s">
        <v>175</v>
      </c>
      <c r="D4360" s="33" t="n">
        <v>17</v>
      </c>
      <c r="E4360" s="24" t="n">
        <v>5</v>
      </c>
      <c r="F4360" s="37" t="n">
        <f aca="false">DATE(YEAR(A4360),MONTH(A4360),1)</f>
        <v>46174</v>
      </c>
      <c r="G4360" s="24" t="str">
        <f aca="false">INDEX(Products!$C$2:$C$49,MATCH(C4360,Products!$A$2:$A$49,0))</f>
        <v>Household</v>
      </c>
      <c r="H4360" s="33" t="n">
        <f aca="false">D4360*INDEX(Products!$E$2:$E$49,MATCH(C4360,Products!$A$2:$A$49,0))</f>
        <v>1020</v>
      </c>
      <c r="I4360" s="33" t="n">
        <f aca="false">D4360*INDEX(Products!$D$2:$D$49,MATCH(C4360,Products!$A$2:$A$49,0))*(1+INDEX(Assumptions!$B$16:$B$20,MATCH(B4360,Assumptions!$A$16:$A$20,0)))</f>
        <v>818.176</v>
      </c>
      <c r="J4360" s="33" t="n">
        <f aca="false">H4360-I4360</f>
        <v>201.824</v>
      </c>
      <c r="K4360" s="33" t="n">
        <f aca="false">IF(OR(E4360=0,E4360&gt;=7),0,D4360/(7-E4360)*E4360*INDEX(Products!$E$2:$E$49,MATCH(C4360,Products!$A$2:$A$49,0)))</f>
        <v>2550</v>
      </c>
    </row>
    <row r="4361" customFormat="false" ht="15" hidden="false" customHeight="false" outlineLevel="0" collapsed="false">
      <c r="A4361" s="36" t="n">
        <v>46181</v>
      </c>
      <c r="B4361" s="24" t="s">
        <v>64</v>
      </c>
      <c r="C4361" s="24" t="s">
        <v>175</v>
      </c>
      <c r="D4361" s="33" t="n">
        <v>55</v>
      </c>
      <c r="E4361" s="24" t="n">
        <v>0</v>
      </c>
      <c r="F4361" s="37" t="n">
        <f aca="false">DATE(YEAR(A4361),MONTH(A4361),1)</f>
        <v>46174</v>
      </c>
      <c r="G4361" s="24" t="str">
        <f aca="false">INDEX(Products!$C$2:$C$49,MATCH(C4361,Products!$A$2:$A$49,0))</f>
        <v>Household</v>
      </c>
      <c r="H4361" s="33" t="n">
        <f aca="false">D4361*INDEX(Products!$E$2:$E$49,MATCH(C4361,Products!$A$2:$A$49,0))</f>
        <v>3300</v>
      </c>
      <c r="I4361" s="33" t="n">
        <f aca="false">D4361*INDEX(Products!$D$2:$D$49,MATCH(C4361,Products!$A$2:$A$49,0))*(1+INDEX(Assumptions!$B$16:$B$20,MATCH(B4361,Assumptions!$A$16:$A$20,0)))</f>
        <v>2647.04</v>
      </c>
      <c r="J4361" s="33" t="n">
        <f aca="false">H4361-I4361</f>
        <v>652.96</v>
      </c>
      <c r="K4361" s="33" t="n">
        <f aca="false">IF(OR(E4361=0,E4361&gt;=7),0,D4361/(7-E4361)*E4361*INDEX(Products!$E$2:$E$49,MATCH(C4361,Products!$A$2:$A$49,0)))</f>
        <v>0</v>
      </c>
    </row>
    <row r="4362" customFormat="false" ht="15" hidden="false" customHeight="false" outlineLevel="0" collapsed="false">
      <c r="A4362" s="36" t="n">
        <v>46188</v>
      </c>
      <c r="B4362" s="24" t="s">
        <v>64</v>
      </c>
      <c r="C4362" s="24" t="s">
        <v>175</v>
      </c>
      <c r="D4362" s="33" t="n">
        <v>53</v>
      </c>
      <c r="E4362" s="24" t="n">
        <v>0</v>
      </c>
      <c r="F4362" s="37" t="n">
        <f aca="false">DATE(YEAR(A4362),MONTH(A4362),1)</f>
        <v>46174</v>
      </c>
      <c r="G4362" s="24" t="str">
        <f aca="false">INDEX(Products!$C$2:$C$49,MATCH(C4362,Products!$A$2:$A$49,0))</f>
        <v>Household</v>
      </c>
      <c r="H4362" s="33" t="n">
        <f aca="false">D4362*INDEX(Products!$E$2:$E$49,MATCH(C4362,Products!$A$2:$A$49,0))</f>
        <v>3180</v>
      </c>
      <c r="I4362" s="33" t="n">
        <f aca="false">D4362*INDEX(Products!$D$2:$D$49,MATCH(C4362,Products!$A$2:$A$49,0))*(1+INDEX(Assumptions!$B$16:$B$20,MATCH(B4362,Assumptions!$A$16:$A$20,0)))</f>
        <v>2550.784</v>
      </c>
      <c r="J4362" s="33" t="n">
        <f aca="false">H4362-I4362</f>
        <v>629.216</v>
      </c>
      <c r="K4362" s="33" t="n">
        <f aca="false">IF(OR(E4362=0,E4362&gt;=7),0,D4362/(7-E4362)*E4362*INDEX(Products!$E$2:$E$49,MATCH(C4362,Products!$A$2:$A$49,0)))</f>
        <v>0</v>
      </c>
    </row>
    <row r="4363" customFormat="false" ht="15" hidden="false" customHeight="false" outlineLevel="0" collapsed="false">
      <c r="A4363" s="36" t="n">
        <v>46195</v>
      </c>
      <c r="B4363" s="24" t="s">
        <v>64</v>
      </c>
      <c r="C4363" s="24" t="s">
        <v>175</v>
      </c>
      <c r="D4363" s="33" t="n">
        <v>23</v>
      </c>
      <c r="E4363" s="24" t="n">
        <v>4</v>
      </c>
      <c r="F4363" s="37" t="n">
        <f aca="false">DATE(YEAR(A4363),MONTH(A4363),1)</f>
        <v>46174</v>
      </c>
      <c r="G4363" s="24" t="str">
        <f aca="false">INDEX(Products!$C$2:$C$49,MATCH(C4363,Products!$A$2:$A$49,0))</f>
        <v>Household</v>
      </c>
      <c r="H4363" s="33" t="n">
        <f aca="false">D4363*INDEX(Products!$E$2:$E$49,MATCH(C4363,Products!$A$2:$A$49,0))</f>
        <v>1380</v>
      </c>
      <c r="I4363" s="33" t="n">
        <f aca="false">D4363*INDEX(Products!$D$2:$D$49,MATCH(C4363,Products!$A$2:$A$49,0))*(1+INDEX(Assumptions!$B$16:$B$20,MATCH(B4363,Assumptions!$A$16:$A$20,0)))</f>
        <v>1106.944</v>
      </c>
      <c r="J4363" s="33" t="n">
        <f aca="false">H4363-I4363</f>
        <v>273.056</v>
      </c>
      <c r="K4363" s="33" t="n">
        <f aca="false">IF(OR(E4363=0,E4363&gt;=7),0,D4363/(7-E4363)*E4363*INDEX(Products!$E$2:$E$49,MATCH(C4363,Products!$A$2:$A$49,0)))</f>
        <v>1840</v>
      </c>
    </row>
    <row r="4364" customFormat="false" ht="15" hidden="false" customHeight="false" outlineLevel="0" collapsed="false">
      <c r="A4364" s="36" t="n">
        <v>46202</v>
      </c>
      <c r="B4364" s="24" t="s">
        <v>64</v>
      </c>
      <c r="C4364" s="24" t="s">
        <v>175</v>
      </c>
      <c r="D4364" s="33" t="n">
        <v>66</v>
      </c>
      <c r="E4364" s="24" t="n">
        <v>0</v>
      </c>
      <c r="F4364" s="37" t="n">
        <f aca="false">DATE(YEAR(A4364),MONTH(A4364),1)</f>
        <v>46174</v>
      </c>
      <c r="G4364" s="24" t="str">
        <f aca="false">INDEX(Products!$C$2:$C$49,MATCH(C4364,Products!$A$2:$A$49,0))</f>
        <v>Household</v>
      </c>
      <c r="H4364" s="33" t="n">
        <f aca="false">D4364*INDEX(Products!$E$2:$E$49,MATCH(C4364,Products!$A$2:$A$49,0))</f>
        <v>3960</v>
      </c>
      <c r="I4364" s="33" t="n">
        <f aca="false">D4364*INDEX(Products!$D$2:$D$49,MATCH(C4364,Products!$A$2:$A$49,0))*(1+INDEX(Assumptions!$B$16:$B$20,MATCH(B4364,Assumptions!$A$16:$A$20,0)))</f>
        <v>3176.448</v>
      </c>
      <c r="J4364" s="33" t="n">
        <f aca="false">H4364-I4364</f>
        <v>783.552</v>
      </c>
      <c r="K4364" s="33" t="n">
        <f aca="false">IF(OR(E4364=0,E4364&gt;=7),0,D4364/(7-E4364)*E4364*INDEX(Products!$E$2:$E$49,MATCH(C4364,Products!$A$2:$A$49,0)))</f>
        <v>0</v>
      </c>
    </row>
    <row r="4365" customFormat="false" ht="15" hidden="false" customHeight="false" outlineLevel="0" collapsed="false">
      <c r="A4365" s="36" t="n">
        <v>46209</v>
      </c>
      <c r="B4365" s="24" t="s">
        <v>64</v>
      </c>
      <c r="C4365" s="24" t="s">
        <v>175</v>
      </c>
      <c r="D4365" s="33" t="n">
        <v>57</v>
      </c>
      <c r="E4365" s="24" t="n">
        <v>1</v>
      </c>
      <c r="F4365" s="37" t="n">
        <f aca="false">DATE(YEAR(A4365),MONTH(A4365),1)</f>
        <v>46204</v>
      </c>
      <c r="G4365" s="24" t="str">
        <f aca="false">INDEX(Products!$C$2:$C$49,MATCH(C4365,Products!$A$2:$A$49,0))</f>
        <v>Household</v>
      </c>
      <c r="H4365" s="33" t="n">
        <f aca="false">D4365*INDEX(Products!$E$2:$E$49,MATCH(C4365,Products!$A$2:$A$49,0))</f>
        <v>3420</v>
      </c>
      <c r="I4365" s="33" t="n">
        <f aca="false">D4365*INDEX(Products!$D$2:$D$49,MATCH(C4365,Products!$A$2:$A$49,0))*(1+INDEX(Assumptions!$B$16:$B$20,MATCH(B4365,Assumptions!$A$16:$A$20,0)))</f>
        <v>2743.296</v>
      </c>
      <c r="J4365" s="33" t="n">
        <f aca="false">H4365-I4365</f>
        <v>676.704</v>
      </c>
      <c r="K4365" s="33" t="n">
        <f aca="false">IF(OR(E4365=0,E4365&gt;=7),0,D4365/(7-E4365)*E4365*INDEX(Products!$E$2:$E$49,MATCH(C4365,Products!$A$2:$A$49,0)))</f>
        <v>570</v>
      </c>
    </row>
    <row r="4366" customFormat="false" ht="15" hidden="false" customHeight="false" outlineLevel="0" collapsed="false">
      <c r="A4366" s="36" t="n">
        <v>46216</v>
      </c>
      <c r="B4366" s="24" t="s">
        <v>64</v>
      </c>
      <c r="C4366" s="24" t="s">
        <v>175</v>
      </c>
      <c r="D4366" s="33" t="n">
        <v>56</v>
      </c>
      <c r="E4366" s="24" t="n">
        <v>0</v>
      </c>
      <c r="F4366" s="37" t="n">
        <f aca="false">DATE(YEAR(A4366),MONTH(A4366),1)</f>
        <v>46204</v>
      </c>
      <c r="G4366" s="24" t="str">
        <f aca="false">INDEX(Products!$C$2:$C$49,MATCH(C4366,Products!$A$2:$A$49,0))</f>
        <v>Household</v>
      </c>
      <c r="H4366" s="33" t="n">
        <f aca="false">D4366*INDEX(Products!$E$2:$E$49,MATCH(C4366,Products!$A$2:$A$49,0))</f>
        <v>3360</v>
      </c>
      <c r="I4366" s="33" t="n">
        <f aca="false">D4366*INDEX(Products!$D$2:$D$49,MATCH(C4366,Products!$A$2:$A$49,0))*(1+INDEX(Assumptions!$B$16:$B$20,MATCH(B4366,Assumptions!$A$16:$A$20,0)))</f>
        <v>2695.168</v>
      </c>
      <c r="J4366" s="33" t="n">
        <f aca="false">H4366-I4366</f>
        <v>664.832</v>
      </c>
      <c r="K4366" s="33" t="n">
        <f aca="false">IF(OR(E4366=0,E4366&gt;=7),0,D4366/(7-E4366)*E4366*INDEX(Products!$E$2:$E$49,MATCH(C4366,Products!$A$2:$A$49,0)))</f>
        <v>0</v>
      </c>
    </row>
    <row r="4367" customFormat="false" ht="15" hidden="false" customHeight="false" outlineLevel="0" collapsed="false">
      <c r="A4367" s="36" t="n">
        <v>46223</v>
      </c>
      <c r="B4367" s="24" t="s">
        <v>64</v>
      </c>
      <c r="C4367" s="24" t="s">
        <v>175</v>
      </c>
      <c r="D4367" s="33" t="n">
        <v>60</v>
      </c>
      <c r="E4367" s="24" t="n">
        <v>0</v>
      </c>
      <c r="F4367" s="37" t="n">
        <f aca="false">DATE(YEAR(A4367),MONTH(A4367),1)</f>
        <v>46204</v>
      </c>
      <c r="G4367" s="24" t="str">
        <f aca="false">INDEX(Products!$C$2:$C$49,MATCH(C4367,Products!$A$2:$A$49,0))</f>
        <v>Household</v>
      </c>
      <c r="H4367" s="33" t="n">
        <f aca="false">D4367*INDEX(Products!$E$2:$E$49,MATCH(C4367,Products!$A$2:$A$49,0))</f>
        <v>3600</v>
      </c>
      <c r="I4367" s="33" t="n">
        <f aca="false">D4367*INDEX(Products!$D$2:$D$49,MATCH(C4367,Products!$A$2:$A$49,0))*(1+INDEX(Assumptions!$B$16:$B$20,MATCH(B4367,Assumptions!$A$16:$A$20,0)))</f>
        <v>2887.68</v>
      </c>
      <c r="J4367" s="33" t="n">
        <f aca="false">H4367-I4367</f>
        <v>712.32</v>
      </c>
      <c r="K4367" s="33" t="n">
        <f aca="false">IF(OR(E4367=0,E4367&gt;=7),0,D4367/(7-E4367)*E4367*INDEX(Products!$E$2:$E$49,MATCH(C4367,Products!$A$2:$A$49,0)))</f>
        <v>0</v>
      </c>
    </row>
    <row r="4368" customFormat="false" ht="15" hidden="false" customHeight="false" outlineLevel="0" collapsed="false">
      <c r="A4368" s="36" t="n">
        <v>46230</v>
      </c>
      <c r="B4368" s="24" t="s">
        <v>64</v>
      </c>
      <c r="C4368" s="24" t="s">
        <v>175</v>
      </c>
      <c r="D4368" s="33" t="n">
        <v>59</v>
      </c>
      <c r="E4368" s="24" t="n">
        <v>0</v>
      </c>
      <c r="F4368" s="37" t="n">
        <f aca="false">DATE(YEAR(A4368),MONTH(A4368),1)</f>
        <v>46204</v>
      </c>
      <c r="G4368" s="24" t="str">
        <f aca="false">INDEX(Products!$C$2:$C$49,MATCH(C4368,Products!$A$2:$A$49,0))</f>
        <v>Household</v>
      </c>
      <c r="H4368" s="33" t="n">
        <f aca="false">D4368*INDEX(Products!$E$2:$E$49,MATCH(C4368,Products!$A$2:$A$49,0))</f>
        <v>3540</v>
      </c>
      <c r="I4368" s="33" t="n">
        <f aca="false">D4368*INDEX(Products!$D$2:$D$49,MATCH(C4368,Products!$A$2:$A$49,0))*(1+INDEX(Assumptions!$B$16:$B$20,MATCH(B4368,Assumptions!$A$16:$A$20,0)))</f>
        <v>2839.552</v>
      </c>
      <c r="J4368" s="33" t="n">
        <f aca="false">H4368-I4368</f>
        <v>700.448</v>
      </c>
      <c r="K4368" s="33" t="n">
        <f aca="false">IF(OR(E4368=0,E4368&gt;=7),0,D4368/(7-E4368)*E4368*INDEX(Products!$E$2:$E$49,MATCH(C4368,Products!$A$2:$A$49,0)))</f>
        <v>0</v>
      </c>
    </row>
    <row r="4369" customFormat="false" ht="15" hidden="false" customHeight="false" outlineLevel="0" collapsed="false">
      <c r="A4369" s="36" t="n">
        <v>46237</v>
      </c>
      <c r="B4369" s="24" t="s">
        <v>64</v>
      </c>
      <c r="C4369" s="24" t="s">
        <v>175</v>
      </c>
      <c r="D4369" s="33" t="n">
        <v>74</v>
      </c>
      <c r="E4369" s="24" t="n">
        <v>0</v>
      </c>
      <c r="F4369" s="37" t="n">
        <f aca="false">DATE(YEAR(A4369),MONTH(A4369),1)</f>
        <v>46235</v>
      </c>
      <c r="G4369" s="24" t="str">
        <f aca="false">INDEX(Products!$C$2:$C$49,MATCH(C4369,Products!$A$2:$A$49,0))</f>
        <v>Household</v>
      </c>
      <c r="H4369" s="33" t="n">
        <f aca="false">D4369*INDEX(Products!$E$2:$E$49,MATCH(C4369,Products!$A$2:$A$49,0))</f>
        <v>4440</v>
      </c>
      <c r="I4369" s="33" t="n">
        <f aca="false">D4369*INDEX(Products!$D$2:$D$49,MATCH(C4369,Products!$A$2:$A$49,0))*(1+INDEX(Assumptions!$B$16:$B$20,MATCH(B4369,Assumptions!$A$16:$A$20,0)))</f>
        <v>3561.472</v>
      </c>
      <c r="J4369" s="33" t="n">
        <f aca="false">H4369-I4369</f>
        <v>878.528</v>
      </c>
      <c r="K4369" s="33" t="n">
        <f aca="false">IF(OR(E4369=0,E4369&gt;=7),0,D4369/(7-E4369)*E4369*INDEX(Products!$E$2:$E$49,MATCH(C4369,Products!$A$2:$A$49,0)))</f>
        <v>0</v>
      </c>
    </row>
    <row r="4370" customFormat="false" ht="15" hidden="false" customHeight="false" outlineLevel="0" collapsed="false">
      <c r="A4370" s="36" t="n">
        <v>46244</v>
      </c>
      <c r="B4370" s="24" t="s">
        <v>64</v>
      </c>
      <c r="C4370" s="24" t="s">
        <v>175</v>
      </c>
      <c r="D4370" s="33" t="n">
        <v>56</v>
      </c>
      <c r="E4370" s="24" t="n">
        <v>0</v>
      </c>
      <c r="F4370" s="37" t="n">
        <f aca="false">DATE(YEAR(A4370),MONTH(A4370),1)</f>
        <v>46235</v>
      </c>
      <c r="G4370" s="24" t="str">
        <f aca="false">INDEX(Products!$C$2:$C$49,MATCH(C4370,Products!$A$2:$A$49,0))</f>
        <v>Household</v>
      </c>
      <c r="H4370" s="33" t="n">
        <f aca="false">D4370*INDEX(Products!$E$2:$E$49,MATCH(C4370,Products!$A$2:$A$49,0))</f>
        <v>3360</v>
      </c>
      <c r="I4370" s="33" t="n">
        <f aca="false">D4370*INDEX(Products!$D$2:$D$49,MATCH(C4370,Products!$A$2:$A$49,0))*(1+INDEX(Assumptions!$B$16:$B$20,MATCH(B4370,Assumptions!$A$16:$A$20,0)))</f>
        <v>2695.168</v>
      </c>
      <c r="J4370" s="33" t="n">
        <f aca="false">H4370-I4370</f>
        <v>664.832</v>
      </c>
      <c r="K4370" s="33" t="n">
        <f aca="false">IF(OR(E4370=0,E4370&gt;=7),0,D4370/(7-E4370)*E4370*INDEX(Products!$E$2:$E$49,MATCH(C4370,Products!$A$2:$A$49,0)))</f>
        <v>0</v>
      </c>
    </row>
    <row r="4371" customFormat="false" ht="15" hidden="false" customHeight="false" outlineLevel="0" collapsed="false">
      <c r="A4371" s="36" t="n">
        <v>46251</v>
      </c>
      <c r="B4371" s="24" t="s">
        <v>64</v>
      </c>
      <c r="C4371" s="24" t="s">
        <v>175</v>
      </c>
      <c r="D4371" s="33" t="n">
        <v>77</v>
      </c>
      <c r="E4371" s="24" t="n">
        <v>0</v>
      </c>
      <c r="F4371" s="37" t="n">
        <f aca="false">DATE(YEAR(A4371),MONTH(A4371),1)</f>
        <v>46235</v>
      </c>
      <c r="G4371" s="24" t="str">
        <f aca="false">INDEX(Products!$C$2:$C$49,MATCH(C4371,Products!$A$2:$A$49,0))</f>
        <v>Household</v>
      </c>
      <c r="H4371" s="33" t="n">
        <f aca="false">D4371*INDEX(Products!$E$2:$E$49,MATCH(C4371,Products!$A$2:$A$49,0))</f>
        <v>4620</v>
      </c>
      <c r="I4371" s="33" t="n">
        <f aca="false">D4371*INDEX(Products!$D$2:$D$49,MATCH(C4371,Products!$A$2:$A$49,0))*(1+INDEX(Assumptions!$B$16:$B$20,MATCH(B4371,Assumptions!$A$16:$A$20,0)))</f>
        <v>3705.856</v>
      </c>
      <c r="J4371" s="33" t="n">
        <f aca="false">H4371-I4371</f>
        <v>914.144</v>
      </c>
      <c r="K4371" s="33" t="n">
        <f aca="false">IF(OR(E4371=0,E4371&gt;=7),0,D4371/(7-E4371)*E4371*INDEX(Products!$E$2:$E$49,MATCH(C4371,Products!$A$2:$A$49,0)))</f>
        <v>0</v>
      </c>
    </row>
    <row r="4372" customFormat="false" ht="15" hidden="false" customHeight="false" outlineLevel="0" collapsed="false">
      <c r="A4372" s="36" t="n">
        <v>46258</v>
      </c>
      <c r="B4372" s="24" t="s">
        <v>64</v>
      </c>
      <c r="C4372" s="24" t="s">
        <v>175</v>
      </c>
      <c r="D4372" s="33" t="n">
        <v>63</v>
      </c>
      <c r="E4372" s="24" t="n">
        <v>0</v>
      </c>
      <c r="F4372" s="37" t="n">
        <f aca="false">DATE(YEAR(A4372),MONTH(A4372),1)</f>
        <v>46235</v>
      </c>
      <c r="G4372" s="24" t="str">
        <f aca="false">INDEX(Products!$C$2:$C$49,MATCH(C4372,Products!$A$2:$A$49,0))</f>
        <v>Household</v>
      </c>
      <c r="H4372" s="33" t="n">
        <f aca="false">D4372*INDEX(Products!$E$2:$E$49,MATCH(C4372,Products!$A$2:$A$49,0))</f>
        <v>3780</v>
      </c>
      <c r="I4372" s="33" t="n">
        <f aca="false">D4372*INDEX(Products!$D$2:$D$49,MATCH(C4372,Products!$A$2:$A$49,0))*(1+INDEX(Assumptions!$B$16:$B$20,MATCH(B4372,Assumptions!$A$16:$A$20,0)))</f>
        <v>3032.064</v>
      </c>
      <c r="J4372" s="33" t="n">
        <f aca="false">H4372-I4372</f>
        <v>747.936</v>
      </c>
      <c r="K4372" s="33" t="n">
        <f aca="false">IF(OR(E4372=0,E4372&gt;=7),0,D4372/(7-E4372)*E4372*INDEX(Products!$E$2:$E$49,MATCH(C4372,Products!$A$2:$A$49,0)))</f>
        <v>0</v>
      </c>
    </row>
    <row r="4373" customFormat="false" ht="15" hidden="false" customHeight="false" outlineLevel="0" collapsed="false">
      <c r="A4373" s="36" t="n">
        <v>46265</v>
      </c>
      <c r="B4373" s="24" t="s">
        <v>64</v>
      </c>
      <c r="C4373" s="24" t="s">
        <v>175</v>
      </c>
      <c r="D4373" s="33" t="n">
        <v>69</v>
      </c>
      <c r="E4373" s="24" t="n">
        <v>0</v>
      </c>
      <c r="F4373" s="37" t="n">
        <f aca="false">DATE(YEAR(A4373),MONTH(A4373),1)</f>
        <v>46235</v>
      </c>
      <c r="G4373" s="24" t="str">
        <f aca="false">INDEX(Products!$C$2:$C$49,MATCH(C4373,Products!$A$2:$A$49,0))</f>
        <v>Household</v>
      </c>
      <c r="H4373" s="33" t="n">
        <f aca="false">D4373*INDEX(Products!$E$2:$E$49,MATCH(C4373,Products!$A$2:$A$49,0))</f>
        <v>4140</v>
      </c>
      <c r="I4373" s="33" t="n">
        <f aca="false">D4373*INDEX(Products!$D$2:$D$49,MATCH(C4373,Products!$A$2:$A$49,0))*(1+INDEX(Assumptions!$B$16:$B$20,MATCH(B4373,Assumptions!$A$16:$A$20,0)))</f>
        <v>3320.832</v>
      </c>
      <c r="J4373" s="33" t="n">
        <f aca="false">H4373-I4373</f>
        <v>819.168</v>
      </c>
      <c r="K4373" s="33" t="n">
        <f aca="false">IF(OR(E4373=0,E4373&gt;=7),0,D4373/(7-E4373)*E4373*INDEX(Products!$E$2:$E$49,MATCH(C4373,Products!$A$2:$A$49,0)))</f>
        <v>0</v>
      </c>
    </row>
    <row r="4374" customFormat="false" ht="15" hidden="false" customHeight="false" outlineLevel="0" collapsed="false">
      <c r="A4374" s="36" t="n">
        <v>46272</v>
      </c>
      <c r="B4374" s="24" t="s">
        <v>64</v>
      </c>
      <c r="C4374" s="24" t="s">
        <v>175</v>
      </c>
      <c r="D4374" s="33" t="n">
        <v>66</v>
      </c>
      <c r="E4374" s="24" t="n">
        <v>0</v>
      </c>
      <c r="F4374" s="37" t="n">
        <f aca="false">DATE(YEAR(A4374),MONTH(A4374),1)</f>
        <v>46266</v>
      </c>
      <c r="G4374" s="24" t="str">
        <f aca="false">INDEX(Products!$C$2:$C$49,MATCH(C4374,Products!$A$2:$A$49,0))</f>
        <v>Household</v>
      </c>
      <c r="H4374" s="33" t="n">
        <f aca="false">D4374*INDEX(Products!$E$2:$E$49,MATCH(C4374,Products!$A$2:$A$49,0))</f>
        <v>3960</v>
      </c>
      <c r="I4374" s="33" t="n">
        <f aca="false">D4374*INDEX(Products!$D$2:$D$49,MATCH(C4374,Products!$A$2:$A$49,0))*(1+INDEX(Assumptions!$B$16:$B$20,MATCH(B4374,Assumptions!$A$16:$A$20,0)))</f>
        <v>3176.448</v>
      </c>
      <c r="J4374" s="33" t="n">
        <f aca="false">H4374-I4374</f>
        <v>783.552</v>
      </c>
      <c r="K4374" s="33" t="n">
        <f aca="false">IF(OR(E4374=0,E4374&gt;=7),0,D4374/(7-E4374)*E4374*INDEX(Products!$E$2:$E$49,MATCH(C4374,Products!$A$2:$A$49,0)))</f>
        <v>0</v>
      </c>
    </row>
    <row r="4375" customFormat="false" ht="15" hidden="false" customHeight="false" outlineLevel="0" collapsed="false">
      <c r="A4375" s="36" t="n">
        <v>46279</v>
      </c>
      <c r="B4375" s="24" t="s">
        <v>64</v>
      </c>
      <c r="C4375" s="24" t="s">
        <v>175</v>
      </c>
      <c r="D4375" s="33" t="n">
        <v>64</v>
      </c>
      <c r="E4375" s="24" t="n">
        <v>0</v>
      </c>
      <c r="F4375" s="37" t="n">
        <f aca="false">DATE(YEAR(A4375),MONTH(A4375),1)</f>
        <v>46266</v>
      </c>
      <c r="G4375" s="24" t="str">
        <f aca="false">INDEX(Products!$C$2:$C$49,MATCH(C4375,Products!$A$2:$A$49,0))</f>
        <v>Household</v>
      </c>
      <c r="H4375" s="33" t="n">
        <f aca="false">D4375*INDEX(Products!$E$2:$E$49,MATCH(C4375,Products!$A$2:$A$49,0))</f>
        <v>3840</v>
      </c>
      <c r="I4375" s="33" t="n">
        <f aca="false">D4375*INDEX(Products!$D$2:$D$49,MATCH(C4375,Products!$A$2:$A$49,0))*(1+INDEX(Assumptions!$B$16:$B$20,MATCH(B4375,Assumptions!$A$16:$A$20,0)))</f>
        <v>3080.192</v>
      </c>
      <c r="J4375" s="33" t="n">
        <f aca="false">H4375-I4375</f>
        <v>759.808</v>
      </c>
      <c r="K4375" s="33" t="n">
        <f aca="false">IF(OR(E4375=0,E4375&gt;=7),0,D4375/(7-E4375)*E4375*INDEX(Products!$E$2:$E$49,MATCH(C4375,Products!$A$2:$A$49,0)))</f>
        <v>0</v>
      </c>
    </row>
    <row r="4376" customFormat="false" ht="15" hidden="false" customHeight="false" outlineLevel="0" collapsed="false">
      <c r="A4376" s="36" t="n">
        <v>46286</v>
      </c>
      <c r="B4376" s="24" t="s">
        <v>64</v>
      </c>
      <c r="C4376" s="24" t="s">
        <v>175</v>
      </c>
      <c r="D4376" s="33" t="n">
        <v>70</v>
      </c>
      <c r="E4376" s="24" t="n">
        <v>0</v>
      </c>
      <c r="F4376" s="37" t="n">
        <f aca="false">DATE(YEAR(A4376),MONTH(A4376),1)</f>
        <v>46266</v>
      </c>
      <c r="G4376" s="24" t="str">
        <f aca="false">INDEX(Products!$C$2:$C$49,MATCH(C4376,Products!$A$2:$A$49,0))</f>
        <v>Household</v>
      </c>
      <c r="H4376" s="33" t="n">
        <f aca="false">D4376*INDEX(Products!$E$2:$E$49,MATCH(C4376,Products!$A$2:$A$49,0))</f>
        <v>4200</v>
      </c>
      <c r="I4376" s="33" t="n">
        <f aca="false">D4376*INDEX(Products!$D$2:$D$49,MATCH(C4376,Products!$A$2:$A$49,0))*(1+INDEX(Assumptions!$B$16:$B$20,MATCH(B4376,Assumptions!$A$16:$A$20,0)))</f>
        <v>3368.96</v>
      </c>
      <c r="J4376" s="33" t="n">
        <f aca="false">H4376-I4376</f>
        <v>831.04</v>
      </c>
      <c r="K4376" s="33" t="n">
        <f aca="false">IF(OR(E4376=0,E4376&gt;=7),0,D4376/(7-E4376)*E4376*INDEX(Products!$E$2:$E$49,MATCH(C4376,Products!$A$2:$A$49,0)))</f>
        <v>0</v>
      </c>
    </row>
    <row r="4377" customFormat="false" ht="15" hidden="false" customHeight="false" outlineLevel="0" collapsed="false">
      <c r="A4377" s="36" t="n">
        <v>46118</v>
      </c>
      <c r="B4377" s="24" t="s">
        <v>64</v>
      </c>
      <c r="C4377" s="24" t="s">
        <v>177</v>
      </c>
      <c r="D4377" s="33" t="n">
        <v>31</v>
      </c>
      <c r="E4377" s="24" t="n">
        <v>0</v>
      </c>
      <c r="F4377" s="37" t="n">
        <f aca="false">DATE(YEAR(A4377),MONTH(A4377),1)</f>
        <v>46113</v>
      </c>
      <c r="G4377" s="24" t="str">
        <f aca="false">INDEX(Products!$C$2:$C$49,MATCH(C4377,Products!$A$2:$A$49,0))</f>
        <v>Household</v>
      </c>
      <c r="H4377" s="33" t="n">
        <f aca="false">D4377*INDEX(Products!$E$2:$E$49,MATCH(C4377,Products!$A$2:$A$49,0))</f>
        <v>3100</v>
      </c>
      <c r="I4377" s="33" t="n">
        <f aca="false">D4377*INDEX(Products!$D$2:$D$49,MATCH(C4377,Products!$A$2:$A$49,0))*(1+INDEX(Assumptions!$B$16:$B$20,MATCH(B4377,Assumptions!$A$16:$A$20,0)))</f>
        <v>2222.08</v>
      </c>
      <c r="J4377" s="33" t="n">
        <f aca="false">H4377-I4377</f>
        <v>877.92</v>
      </c>
      <c r="K4377" s="33" t="n">
        <f aca="false">IF(OR(E4377=0,E4377&gt;=7),0,D4377/(7-E4377)*E4377*INDEX(Products!$E$2:$E$49,MATCH(C4377,Products!$A$2:$A$49,0)))</f>
        <v>0</v>
      </c>
    </row>
    <row r="4378" customFormat="false" ht="15" hidden="false" customHeight="false" outlineLevel="0" collapsed="false">
      <c r="A4378" s="36" t="n">
        <v>46125</v>
      </c>
      <c r="B4378" s="24" t="s">
        <v>64</v>
      </c>
      <c r="C4378" s="24" t="s">
        <v>177</v>
      </c>
      <c r="D4378" s="33" t="n">
        <v>31</v>
      </c>
      <c r="E4378" s="24" t="n">
        <v>0</v>
      </c>
      <c r="F4378" s="37" t="n">
        <f aca="false">DATE(YEAR(A4378),MONTH(A4378),1)</f>
        <v>46113</v>
      </c>
      <c r="G4378" s="24" t="str">
        <f aca="false">INDEX(Products!$C$2:$C$49,MATCH(C4378,Products!$A$2:$A$49,0))</f>
        <v>Household</v>
      </c>
      <c r="H4378" s="33" t="n">
        <f aca="false">D4378*INDEX(Products!$E$2:$E$49,MATCH(C4378,Products!$A$2:$A$49,0))</f>
        <v>3100</v>
      </c>
      <c r="I4378" s="33" t="n">
        <f aca="false">D4378*INDEX(Products!$D$2:$D$49,MATCH(C4378,Products!$A$2:$A$49,0))*(1+INDEX(Assumptions!$B$16:$B$20,MATCH(B4378,Assumptions!$A$16:$A$20,0)))</f>
        <v>2222.08</v>
      </c>
      <c r="J4378" s="33" t="n">
        <f aca="false">H4378-I4378</f>
        <v>877.92</v>
      </c>
      <c r="K4378" s="33" t="n">
        <f aca="false">IF(OR(E4378=0,E4378&gt;=7),0,D4378/(7-E4378)*E4378*INDEX(Products!$E$2:$E$49,MATCH(C4378,Products!$A$2:$A$49,0)))</f>
        <v>0</v>
      </c>
    </row>
    <row r="4379" customFormat="false" ht="15" hidden="false" customHeight="false" outlineLevel="0" collapsed="false">
      <c r="A4379" s="36" t="n">
        <v>46132</v>
      </c>
      <c r="B4379" s="24" t="s">
        <v>64</v>
      </c>
      <c r="C4379" s="24" t="s">
        <v>177</v>
      </c>
      <c r="D4379" s="33" t="n">
        <v>25</v>
      </c>
      <c r="E4379" s="24" t="n">
        <v>0</v>
      </c>
      <c r="F4379" s="37" t="n">
        <f aca="false">DATE(YEAR(A4379),MONTH(A4379),1)</f>
        <v>46113</v>
      </c>
      <c r="G4379" s="24" t="str">
        <f aca="false">INDEX(Products!$C$2:$C$49,MATCH(C4379,Products!$A$2:$A$49,0))</f>
        <v>Household</v>
      </c>
      <c r="H4379" s="33" t="n">
        <f aca="false">D4379*INDEX(Products!$E$2:$E$49,MATCH(C4379,Products!$A$2:$A$49,0))</f>
        <v>2500</v>
      </c>
      <c r="I4379" s="33" t="n">
        <f aca="false">D4379*INDEX(Products!$D$2:$D$49,MATCH(C4379,Products!$A$2:$A$49,0))*(1+INDEX(Assumptions!$B$16:$B$20,MATCH(B4379,Assumptions!$A$16:$A$20,0)))</f>
        <v>1792</v>
      </c>
      <c r="J4379" s="33" t="n">
        <f aca="false">H4379-I4379</f>
        <v>708</v>
      </c>
      <c r="K4379" s="33" t="n">
        <f aca="false">IF(OR(E4379=0,E4379&gt;=7),0,D4379/(7-E4379)*E4379*INDEX(Products!$E$2:$E$49,MATCH(C4379,Products!$A$2:$A$49,0)))</f>
        <v>0</v>
      </c>
    </row>
    <row r="4380" customFormat="false" ht="15" hidden="false" customHeight="false" outlineLevel="0" collapsed="false">
      <c r="A4380" s="36" t="n">
        <v>46139</v>
      </c>
      <c r="B4380" s="24" t="s">
        <v>64</v>
      </c>
      <c r="C4380" s="24" t="s">
        <v>177</v>
      </c>
      <c r="D4380" s="33" t="n">
        <v>25</v>
      </c>
      <c r="E4380" s="24" t="n">
        <v>0</v>
      </c>
      <c r="F4380" s="37" t="n">
        <f aca="false">DATE(YEAR(A4380),MONTH(A4380),1)</f>
        <v>46113</v>
      </c>
      <c r="G4380" s="24" t="str">
        <f aca="false">INDEX(Products!$C$2:$C$49,MATCH(C4380,Products!$A$2:$A$49,0))</f>
        <v>Household</v>
      </c>
      <c r="H4380" s="33" t="n">
        <f aca="false">D4380*INDEX(Products!$E$2:$E$49,MATCH(C4380,Products!$A$2:$A$49,0))</f>
        <v>2500</v>
      </c>
      <c r="I4380" s="33" t="n">
        <f aca="false">D4380*INDEX(Products!$D$2:$D$49,MATCH(C4380,Products!$A$2:$A$49,0))*(1+INDEX(Assumptions!$B$16:$B$20,MATCH(B4380,Assumptions!$A$16:$A$20,0)))</f>
        <v>1792</v>
      </c>
      <c r="J4380" s="33" t="n">
        <f aca="false">H4380-I4380</f>
        <v>708</v>
      </c>
      <c r="K4380" s="33" t="n">
        <f aca="false">IF(OR(E4380=0,E4380&gt;=7),0,D4380/(7-E4380)*E4380*INDEX(Products!$E$2:$E$49,MATCH(C4380,Products!$A$2:$A$49,0)))</f>
        <v>0</v>
      </c>
    </row>
    <row r="4381" customFormat="false" ht="15" hidden="false" customHeight="false" outlineLevel="0" collapsed="false">
      <c r="A4381" s="36" t="n">
        <v>46146</v>
      </c>
      <c r="B4381" s="24" t="s">
        <v>64</v>
      </c>
      <c r="C4381" s="24" t="s">
        <v>177</v>
      </c>
      <c r="D4381" s="33" t="n">
        <v>25</v>
      </c>
      <c r="E4381" s="24" t="n">
        <v>0</v>
      </c>
      <c r="F4381" s="37" t="n">
        <f aca="false">DATE(YEAR(A4381),MONTH(A4381),1)</f>
        <v>46143</v>
      </c>
      <c r="G4381" s="24" t="str">
        <f aca="false">INDEX(Products!$C$2:$C$49,MATCH(C4381,Products!$A$2:$A$49,0))</f>
        <v>Household</v>
      </c>
      <c r="H4381" s="33" t="n">
        <f aca="false">D4381*INDEX(Products!$E$2:$E$49,MATCH(C4381,Products!$A$2:$A$49,0))</f>
        <v>2500</v>
      </c>
      <c r="I4381" s="33" t="n">
        <f aca="false">D4381*INDEX(Products!$D$2:$D$49,MATCH(C4381,Products!$A$2:$A$49,0))*(1+INDEX(Assumptions!$B$16:$B$20,MATCH(B4381,Assumptions!$A$16:$A$20,0)))</f>
        <v>1792</v>
      </c>
      <c r="J4381" s="33" t="n">
        <f aca="false">H4381-I4381</f>
        <v>708</v>
      </c>
      <c r="K4381" s="33" t="n">
        <f aca="false">IF(OR(E4381=0,E4381&gt;=7),0,D4381/(7-E4381)*E4381*INDEX(Products!$E$2:$E$49,MATCH(C4381,Products!$A$2:$A$49,0)))</f>
        <v>0</v>
      </c>
    </row>
    <row r="4382" customFormat="false" ht="15" hidden="false" customHeight="false" outlineLevel="0" collapsed="false">
      <c r="A4382" s="36" t="n">
        <v>46153</v>
      </c>
      <c r="B4382" s="24" t="s">
        <v>64</v>
      </c>
      <c r="C4382" s="24" t="s">
        <v>177</v>
      </c>
      <c r="D4382" s="33" t="n">
        <v>33</v>
      </c>
      <c r="E4382" s="24" t="n">
        <v>0</v>
      </c>
      <c r="F4382" s="37" t="n">
        <f aca="false">DATE(YEAR(A4382),MONTH(A4382),1)</f>
        <v>46143</v>
      </c>
      <c r="G4382" s="24" t="str">
        <f aca="false">INDEX(Products!$C$2:$C$49,MATCH(C4382,Products!$A$2:$A$49,0))</f>
        <v>Household</v>
      </c>
      <c r="H4382" s="33" t="n">
        <f aca="false">D4382*INDEX(Products!$E$2:$E$49,MATCH(C4382,Products!$A$2:$A$49,0))</f>
        <v>3300</v>
      </c>
      <c r="I4382" s="33" t="n">
        <f aca="false">D4382*INDEX(Products!$D$2:$D$49,MATCH(C4382,Products!$A$2:$A$49,0))*(1+INDEX(Assumptions!$B$16:$B$20,MATCH(B4382,Assumptions!$A$16:$A$20,0)))</f>
        <v>2365.44</v>
      </c>
      <c r="J4382" s="33" t="n">
        <f aca="false">H4382-I4382</f>
        <v>934.56</v>
      </c>
      <c r="K4382" s="33" t="n">
        <f aca="false">IF(OR(E4382=0,E4382&gt;=7),0,D4382/(7-E4382)*E4382*INDEX(Products!$E$2:$E$49,MATCH(C4382,Products!$A$2:$A$49,0)))</f>
        <v>0</v>
      </c>
    </row>
    <row r="4383" customFormat="false" ht="15" hidden="false" customHeight="false" outlineLevel="0" collapsed="false">
      <c r="A4383" s="36" t="n">
        <v>46160</v>
      </c>
      <c r="B4383" s="24" t="s">
        <v>64</v>
      </c>
      <c r="C4383" s="24" t="s">
        <v>177</v>
      </c>
      <c r="D4383" s="33" t="n">
        <v>31</v>
      </c>
      <c r="E4383" s="24" t="n">
        <v>0</v>
      </c>
      <c r="F4383" s="37" t="n">
        <f aca="false">DATE(YEAR(A4383),MONTH(A4383),1)</f>
        <v>46143</v>
      </c>
      <c r="G4383" s="24" t="str">
        <f aca="false">INDEX(Products!$C$2:$C$49,MATCH(C4383,Products!$A$2:$A$49,0))</f>
        <v>Household</v>
      </c>
      <c r="H4383" s="33" t="n">
        <f aca="false">D4383*INDEX(Products!$E$2:$E$49,MATCH(C4383,Products!$A$2:$A$49,0))</f>
        <v>3100</v>
      </c>
      <c r="I4383" s="33" t="n">
        <f aca="false">D4383*INDEX(Products!$D$2:$D$49,MATCH(C4383,Products!$A$2:$A$49,0))*(1+INDEX(Assumptions!$B$16:$B$20,MATCH(B4383,Assumptions!$A$16:$A$20,0)))</f>
        <v>2222.08</v>
      </c>
      <c r="J4383" s="33" t="n">
        <f aca="false">H4383-I4383</f>
        <v>877.92</v>
      </c>
      <c r="K4383" s="33" t="n">
        <f aca="false">IF(OR(E4383=0,E4383&gt;=7),0,D4383/(7-E4383)*E4383*INDEX(Products!$E$2:$E$49,MATCH(C4383,Products!$A$2:$A$49,0)))</f>
        <v>0</v>
      </c>
    </row>
    <row r="4384" customFormat="false" ht="15" hidden="false" customHeight="false" outlineLevel="0" collapsed="false">
      <c r="A4384" s="36" t="n">
        <v>46167</v>
      </c>
      <c r="B4384" s="24" t="s">
        <v>64</v>
      </c>
      <c r="C4384" s="24" t="s">
        <v>177</v>
      </c>
      <c r="D4384" s="33" t="n">
        <v>33</v>
      </c>
      <c r="E4384" s="24" t="n">
        <v>0</v>
      </c>
      <c r="F4384" s="37" t="n">
        <f aca="false">DATE(YEAR(A4384),MONTH(A4384),1)</f>
        <v>46143</v>
      </c>
      <c r="G4384" s="24" t="str">
        <f aca="false">INDEX(Products!$C$2:$C$49,MATCH(C4384,Products!$A$2:$A$49,0))</f>
        <v>Household</v>
      </c>
      <c r="H4384" s="33" t="n">
        <f aca="false">D4384*INDEX(Products!$E$2:$E$49,MATCH(C4384,Products!$A$2:$A$49,0))</f>
        <v>3300</v>
      </c>
      <c r="I4384" s="33" t="n">
        <f aca="false">D4384*INDEX(Products!$D$2:$D$49,MATCH(C4384,Products!$A$2:$A$49,0))*(1+INDEX(Assumptions!$B$16:$B$20,MATCH(B4384,Assumptions!$A$16:$A$20,0)))</f>
        <v>2365.44</v>
      </c>
      <c r="J4384" s="33" t="n">
        <f aca="false">H4384-I4384</f>
        <v>934.56</v>
      </c>
      <c r="K4384" s="33" t="n">
        <f aca="false">IF(OR(E4384=0,E4384&gt;=7),0,D4384/(7-E4384)*E4384*INDEX(Products!$E$2:$E$49,MATCH(C4384,Products!$A$2:$A$49,0)))</f>
        <v>0</v>
      </c>
    </row>
    <row r="4385" customFormat="false" ht="15" hidden="false" customHeight="false" outlineLevel="0" collapsed="false">
      <c r="A4385" s="36" t="n">
        <v>46174</v>
      </c>
      <c r="B4385" s="24" t="s">
        <v>64</v>
      </c>
      <c r="C4385" s="24" t="s">
        <v>177</v>
      </c>
      <c r="D4385" s="33" t="n">
        <v>27</v>
      </c>
      <c r="E4385" s="24" t="n">
        <v>0</v>
      </c>
      <c r="F4385" s="37" t="n">
        <f aca="false">DATE(YEAR(A4385),MONTH(A4385),1)</f>
        <v>46174</v>
      </c>
      <c r="G4385" s="24" t="str">
        <f aca="false">INDEX(Products!$C$2:$C$49,MATCH(C4385,Products!$A$2:$A$49,0))</f>
        <v>Household</v>
      </c>
      <c r="H4385" s="33" t="n">
        <f aca="false">D4385*INDEX(Products!$E$2:$E$49,MATCH(C4385,Products!$A$2:$A$49,0))</f>
        <v>2700</v>
      </c>
      <c r="I4385" s="33" t="n">
        <f aca="false">D4385*INDEX(Products!$D$2:$D$49,MATCH(C4385,Products!$A$2:$A$49,0))*(1+INDEX(Assumptions!$B$16:$B$20,MATCH(B4385,Assumptions!$A$16:$A$20,0)))</f>
        <v>1935.36</v>
      </c>
      <c r="J4385" s="33" t="n">
        <f aca="false">H4385-I4385</f>
        <v>764.64</v>
      </c>
      <c r="K4385" s="33" t="n">
        <f aca="false">IF(OR(E4385=0,E4385&gt;=7),0,D4385/(7-E4385)*E4385*INDEX(Products!$E$2:$E$49,MATCH(C4385,Products!$A$2:$A$49,0)))</f>
        <v>0</v>
      </c>
    </row>
    <row r="4386" customFormat="false" ht="15" hidden="false" customHeight="false" outlineLevel="0" collapsed="false">
      <c r="A4386" s="36" t="n">
        <v>46181</v>
      </c>
      <c r="B4386" s="24" t="s">
        <v>64</v>
      </c>
      <c r="C4386" s="24" t="s">
        <v>177</v>
      </c>
      <c r="D4386" s="33" t="n">
        <v>33</v>
      </c>
      <c r="E4386" s="24" t="n">
        <v>0</v>
      </c>
      <c r="F4386" s="37" t="n">
        <f aca="false">DATE(YEAR(A4386),MONTH(A4386),1)</f>
        <v>46174</v>
      </c>
      <c r="G4386" s="24" t="str">
        <f aca="false">INDEX(Products!$C$2:$C$49,MATCH(C4386,Products!$A$2:$A$49,0))</f>
        <v>Household</v>
      </c>
      <c r="H4386" s="33" t="n">
        <f aca="false">D4386*INDEX(Products!$E$2:$E$49,MATCH(C4386,Products!$A$2:$A$49,0))</f>
        <v>3300</v>
      </c>
      <c r="I4386" s="33" t="n">
        <f aca="false">D4386*INDEX(Products!$D$2:$D$49,MATCH(C4386,Products!$A$2:$A$49,0))*(1+INDEX(Assumptions!$B$16:$B$20,MATCH(B4386,Assumptions!$A$16:$A$20,0)))</f>
        <v>2365.44</v>
      </c>
      <c r="J4386" s="33" t="n">
        <f aca="false">H4386-I4386</f>
        <v>934.56</v>
      </c>
      <c r="K4386" s="33" t="n">
        <f aca="false">IF(OR(E4386=0,E4386&gt;=7),0,D4386/(7-E4386)*E4386*INDEX(Products!$E$2:$E$49,MATCH(C4386,Products!$A$2:$A$49,0)))</f>
        <v>0</v>
      </c>
    </row>
    <row r="4387" customFormat="false" ht="15" hidden="false" customHeight="false" outlineLevel="0" collapsed="false">
      <c r="A4387" s="36" t="n">
        <v>46188</v>
      </c>
      <c r="B4387" s="24" t="s">
        <v>64</v>
      </c>
      <c r="C4387" s="24" t="s">
        <v>177</v>
      </c>
      <c r="D4387" s="33" t="n">
        <v>28</v>
      </c>
      <c r="E4387" s="24" t="n">
        <v>0</v>
      </c>
      <c r="F4387" s="37" t="n">
        <f aca="false">DATE(YEAR(A4387),MONTH(A4387),1)</f>
        <v>46174</v>
      </c>
      <c r="G4387" s="24" t="str">
        <f aca="false">INDEX(Products!$C$2:$C$49,MATCH(C4387,Products!$A$2:$A$49,0))</f>
        <v>Household</v>
      </c>
      <c r="H4387" s="33" t="n">
        <f aca="false">D4387*INDEX(Products!$E$2:$E$49,MATCH(C4387,Products!$A$2:$A$49,0))</f>
        <v>2800</v>
      </c>
      <c r="I4387" s="33" t="n">
        <f aca="false">D4387*INDEX(Products!$D$2:$D$49,MATCH(C4387,Products!$A$2:$A$49,0))*(1+INDEX(Assumptions!$B$16:$B$20,MATCH(B4387,Assumptions!$A$16:$A$20,0)))</f>
        <v>2007.04</v>
      </c>
      <c r="J4387" s="33" t="n">
        <f aca="false">H4387-I4387</f>
        <v>792.96</v>
      </c>
      <c r="K4387" s="33" t="n">
        <f aca="false">IF(OR(E4387=0,E4387&gt;=7),0,D4387/(7-E4387)*E4387*INDEX(Products!$E$2:$E$49,MATCH(C4387,Products!$A$2:$A$49,0)))</f>
        <v>0</v>
      </c>
    </row>
    <row r="4388" customFormat="false" ht="15" hidden="false" customHeight="false" outlineLevel="0" collapsed="false">
      <c r="A4388" s="36" t="n">
        <v>46195</v>
      </c>
      <c r="B4388" s="24" t="s">
        <v>64</v>
      </c>
      <c r="C4388" s="24" t="s">
        <v>177</v>
      </c>
      <c r="D4388" s="33" t="n">
        <v>29</v>
      </c>
      <c r="E4388" s="24" t="n">
        <v>0</v>
      </c>
      <c r="F4388" s="37" t="n">
        <f aca="false">DATE(YEAR(A4388),MONTH(A4388),1)</f>
        <v>46174</v>
      </c>
      <c r="G4388" s="24" t="str">
        <f aca="false">INDEX(Products!$C$2:$C$49,MATCH(C4388,Products!$A$2:$A$49,0))</f>
        <v>Household</v>
      </c>
      <c r="H4388" s="33" t="n">
        <f aca="false">D4388*INDEX(Products!$E$2:$E$49,MATCH(C4388,Products!$A$2:$A$49,0))</f>
        <v>2900</v>
      </c>
      <c r="I4388" s="33" t="n">
        <f aca="false">D4388*INDEX(Products!$D$2:$D$49,MATCH(C4388,Products!$A$2:$A$49,0))*(1+INDEX(Assumptions!$B$16:$B$20,MATCH(B4388,Assumptions!$A$16:$A$20,0)))</f>
        <v>2078.72</v>
      </c>
      <c r="J4388" s="33" t="n">
        <f aca="false">H4388-I4388</f>
        <v>821.28</v>
      </c>
      <c r="K4388" s="33" t="n">
        <f aca="false">IF(OR(E4388=0,E4388&gt;=7),0,D4388/(7-E4388)*E4388*INDEX(Products!$E$2:$E$49,MATCH(C4388,Products!$A$2:$A$49,0)))</f>
        <v>0</v>
      </c>
    </row>
    <row r="4389" customFormat="false" ht="15" hidden="false" customHeight="false" outlineLevel="0" collapsed="false">
      <c r="A4389" s="36" t="n">
        <v>46202</v>
      </c>
      <c r="B4389" s="24" t="s">
        <v>64</v>
      </c>
      <c r="C4389" s="24" t="s">
        <v>177</v>
      </c>
      <c r="D4389" s="33" t="n">
        <v>41</v>
      </c>
      <c r="E4389" s="24" t="n">
        <v>0</v>
      </c>
      <c r="F4389" s="37" t="n">
        <f aca="false">DATE(YEAR(A4389),MONTH(A4389),1)</f>
        <v>46174</v>
      </c>
      <c r="G4389" s="24" t="str">
        <f aca="false">INDEX(Products!$C$2:$C$49,MATCH(C4389,Products!$A$2:$A$49,0))</f>
        <v>Household</v>
      </c>
      <c r="H4389" s="33" t="n">
        <f aca="false">D4389*INDEX(Products!$E$2:$E$49,MATCH(C4389,Products!$A$2:$A$49,0))</f>
        <v>4100</v>
      </c>
      <c r="I4389" s="33" t="n">
        <f aca="false">D4389*INDEX(Products!$D$2:$D$49,MATCH(C4389,Products!$A$2:$A$49,0))*(1+INDEX(Assumptions!$B$16:$B$20,MATCH(B4389,Assumptions!$A$16:$A$20,0)))</f>
        <v>2938.88</v>
      </c>
      <c r="J4389" s="33" t="n">
        <f aca="false">H4389-I4389</f>
        <v>1161.12</v>
      </c>
      <c r="K4389" s="33" t="n">
        <f aca="false">IF(OR(E4389=0,E4389&gt;=7),0,D4389/(7-E4389)*E4389*INDEX(Products!$E$2:$E$49,MATCH(C4389,Products!$A$2:$A$49,0)))</f>
        <v>0</v>
      </c>
    </row>
    <row r="4390" customFormat="false" ht="15" hidden="false" customHeight="false" outlineLevel="0" collapsed="false">
      <c r="A4390" s="36" t="n">
        <v>46209</v>
      </c>
      <c r="B4390" s="24" t="s">
        <v>64</v>
      </c>
      <c r="C4390" s="24" t="s">
        <v>177</v>
      </c>
      <c r="D4390" s="33" t="n">
        <v>27</v>
      </c>
      <c r="E4390" s="24" t="n">
        <v>0</v>
      </c>
      <c r="F4390" s="37" t="n">
        <f aca="false">DATE(YEAR(A4390),MONTH(A4390),1)</f>
        <v>46204</v>
      </c>
      <c r="G4390" s="24" t="str">
        <f aca="false">INDEX(Products!$C$2:$C$49,MATCH(C4390,Products!$A$2:$A$49,0))</f>
        <v>Household</v>
      </c>
      <c r="H4390" s="33" t="n">
        <f aca="false">D4390*INDEX(Products!$E$2:$E$49,MATCH(C4390,Products!$A$2:$A$49,0))</f>
        <v>2700</v>
      </c>
      <c r="I4390" s="33" t="n">
        <f aca="false">D4390*INDEX(Products!$D$2:$D$49,MATCH(C4390,Products!$A$2:$A$49,0))*(1+INDEX(Assumptions!$B$16:$B$20,MATCH(B4390,Assumptions!$A$16:$A$20,0)))</f>
        <v>1935.36</v>
      </c>
      <c r="J4390" s="33" t="n">
        <f aca="false">H4390-I4390</f>
        <v>764.64</v>
      </c>
      <c r="K4390" s="33" t="n">
        <f aca="false">IF(OR(E4390=0,E4390&gt;=7),0,D4390/(7-E4390)*E4390*INDEX(Products!$E$2:$E$49,MATCH(C4390,Products!$A$2:$A$49,0)))</f>
        <v>0</v>
      </c>
    </row>
    <row r="4391" customFormat="false" ht="15" hidden="false" customHeight="false" outlineLevel="0" collapsed="false">
      <c r="A4391" s="36" t="n">
        <v>46216</v>
      </c>
      <c r="B4391" s="24" t="s">
        <v>64</v>
      </c>
      <c r="C4391" s="24" t="s">
        <v>177</v>
      </c>
      <c r="D4391" s="33" t="n">
        <v>26</v>
      </c>
      <c r="E4391" s="24" t="n">
        <v>0</v>
      </c>
      <c r="F4391" s="37" t="n">
        <f aca="false">DATE(YEAR(A4391),MONTH(A4391),1)</f>
        <v>46204</v>
      </c>
      <c r="G4391" s="24" t="str">
        <f aca="false">INDEX(Products!$C$2:$C$49,MATCH(C4391,Products!$A$2:$A$49,0))</f>
        <v>Household</v>
      </c>
      <c r="H4391" s="33" t="n">
        <f aca="false">D4391*INDEX(Products!$E$2:$E$49,MATCH(C4391,Products!$A$2:$A$49,0))</f>
        <v>2600</v>
      </c>
      <c r="I4391" s="33" t="n">
        <f aca="false">D4391*INDEX(Products!$D$2:$D$49,MATCH(C4391,Products!$A$2:$A$49,0))*(1+INDEX(Assumptions!$B$16:$B$20,MATCH(B4391,Assumptions!$A$16:$A$20,0)))</f>
        <v>1863.68</v>
      </c>
      <c r="J4391" s="33" t="n">
        <f aca="false">H4391-I4391</f>
        <v>736.32</v>
      </c>
      <c r="K4391" s="33" t="n">
        <f aca="false">IF(OR(E4391=0,E4391&gt;=7),0,D4391/(7-E4391)*E4391*INDEX(Products!$E$2:$E$49,MATCH(C4391,Products!$A$2:$A$49,0)))</f>
        <v>0</v>
      </c>
    </row>
    <row r="4392" customFormat="false" ht="15" hidden="false" customHeight="false" outlineLevel="0" collapsed="false">
      <c r="A4392" s="36" t="n">
        <v>46223</v>
      </c>
      <c r="B4392" s="24" t="s">
        <v>64</v>
      </c>
      <c r="C4392" s="24" t="s">
        <v>177</v>
      </c>
      <c r="D4392" s="33" t="n">
        <v>28</v>
      </c>
      <c r="E4392" s="24" t="n">
        <v>0</v>
      </c>
      <c r="F4392" s="37" t="n">
        <f aca="false">DATE(YEAR(A4392),MONTH(A4392),1)</f>
        <v>46204</v>
      </c>
      <c r="G4392" s="24" t="str">
        <f aca="false">INDEX(Products!$C$2:$C$49,MATCH(C4392,Products!$A$2:$A$49,0))</f>
        <v>Household</v>
      </c>
      <c r="H4392" s="33" t="n">
        <f aca="false">D4392*INDEX(Products!$E$2:$E$49,MATCH(C4392,Products!$A$2:$A$49,0))</f>
        <v>2800</v>
      </c>
      <c r="I4392" s="33" t="n">
        <f aca="false">D4392*INDEX(Products!$D$2:$D$49,MATCH(C4392,Products!$A$2:$A$49,0))*(1+INDEX(Assumptions!$B$16:$B$20,MATCH(B4392,Assumptions!$A$16:$A$20,0)))</f>
        <v>2007.04</v>
      </c>
      <c r="J4392" s="33" t="n">
        <f aca="false">H4392-I4392</f>
        <v>792.96</v>
      </c>
      <c r="K4392" s="33" t="n">
        <f aca="false">IF(OR(E4392=0,E4392&gt;=7),0,D4392/(7-E4392)*E4392*INDEX(Products!$E$2:$E$49,MATCH(C4392,Products!$A$2:$A$49,0)))</f>
        <v>0</v>
      </c>
    </row>
    <row r="4393" customFormat="false" ht="15" hidden="false" customHeight="false" outlineLevel="0" collapsed="false">
      <c r="A4393" s="36" t="n">
        <v>46230</v>
      </c>
      <c r="B4393" s="24" t="s">
        <v>64</v>
      </c>
      <c r="C4393" s="24" t="s">
        <v>177</v>
      </c>
      <c r="D4393" s="33" t="n">
        <v>26</v>
      </c>
      <c r="E4393" s="24" t="n">
        <v>0</v>
      </c>
      <c r="F4393" s="37" t="n">
        <f aca="false">DATE(YEAR(A4393),MONTH(A4393),1)</f>
        <v>46204</v>
      </c>
      <c r="G4393" s="24" t="str">
        <f aca="false">INDEX(Products!$C$2:$C$49,MATCH(C4393,Products!$A$2:$A$49,0))</f>
        <v>Household</v>
      </c>
      <c r="H4393" s="33" t="n">
        <f aca="false">D4393*INDEX(Products!$E$2:$E$49,MATCH(C4393,Products!$A$2:$A$49,0))</f>
        <v>2600</v>
      </c>
      <c r="I4393" s="33" t="n">
        <f aca="false">D4393*INDEX(Products!$D$2:$D$49,MATCH(C4393,Products!$A$2:$A$49,0))*(1+INDEX(Assumptions!$B$16:$B$20,MATCH(B4393,Assumptions!$A$16:$A$20,0)))</f>
        <v>1863.68</v>
      </c>
      <c r="J4393" s="33" t="n">
        <f aca="false">H4393-I4393</f>
        <v>736.32</v>
      </c>
      <c r="K4393" s="33" t="n">
        <f aca="false">IF(OR(E4393=0,E4393&gt;=7),0,D4393/(7-E4393)*E4393*INDEX(Products!$E$2:$E$49,MATCH(C4393,Products!$A$2:$A$49,0)))</f>
        <v>0</v>
      </c>
    </row>
    <row r="4394" customFormat="false" ht="15" hidden="false" customHeight="false" outlineLevel="0" collapsed="false">
      <c r="A4394" s="36" t="n">
        <v>46237</v>
      </c>
      <c r="B4394" s="24" t="s">
        <v>64</v>
      </c>
      <c r="C4394" s="24" t="s">
        <v>177</v>
      </c>
      <c r="D4394" s="33" t="n">
        <v>30</v>
      </c>
      <c r="E4394" s="24" t="n">
        <v>0</v>
      </c>
      <c r="F4394" s="37" t="n">
        <f aca="false">DATE(YEAR(A4394),MONTH(A4394),1)</f>
        <v>46235</v>
      </c>
      <c r="G4394" s="24" t="str">
        <f aca="false">INDEX(Products!$C$2:$C$49,MATCH(C4394,Products!$A$2:$A$49,0))</f>
        <v>Household</v>
      </c>
      <c r="H4394" s="33" t="n">
        <f aca="false">D4394*INDEX(Products!$E$2:$E$49,MATCH(C4394,Products!$A$2:$A$49,0))</f>
        <v>3000</v>
      </c>
      <c r="I4394" s="33" t="n">
        <f aca="false">D4394*INDEX(Products!$D$2:$D$49,MATCH(C4394,Products!$A$2:$A$49,0))*(1+INDEX(Assumptions!$B$16:$B$20,MATCH(B4394,Assumptions!$A$16:$A$20,0)))</f>
        <v>2150.4</v>
      </c>
      <c r="J4394" s="33" t="n">
        <f aca="false">H4394-I4394</f>
        <v>849.6</v>
      </c>
      <c r="K4394" s="33" t="n">
        <f aca="false">IF(OR(E4394=0,E4394&gt;=7),0,D4394/(7-E4394)*E4394*INDEX(Products!$E$2:$E$49,MATCH(C4394,Products!$A$2:$A$49,0)))</f>
        <v>0</v>
      </c>
    </row>
    <row r="4395" customFormat="false" ht="15" hidden="false" customHeight="false" outlineLevel="0" collapsed="false">
      <c r="A4395" s="36" t="n">
        <v>46244</v>
      </c>
      <c r="B4395" s="24" t="s">
        <v>64</v>
      </c>
      <c r="C4395" s="24" t="s">
        <v>177</v>
      </c>
      <c r="D4395" s="33" t="n">
        <v>29</v>
      </c>
      <c r="E4395" s="24" t="n">
        <v>0</v>
      </c>
      <c r="F4395" s="37" t="n">
        <f aca="false">DATE(YEAR(A4395),MONTH(A4395),1)</f>
        <v>46235</v>
      </c>
      <c r="G4395" s="24" t="str">
        <f aca="false">INDEX(Products!$C$2:$C$49,MATCH(C4395,Products!$A$2:$A$49,0))</f>
        <v>Household</v>
      </c>
      <c r="H4395" s="33" t="n">
        <f aca="false">D4395*INDEX(Products!$E$2:$E$49,MATCH(C4395,Products!$A$2:$A$49,0))</f>
        <v>2900</v>
      </c>
      <c r="I4395" s="33" t="n">
        <f aca="false">D4395*INDEX(Products!$D$2:$D$49,MATCH(C4395,Products!$A$2:$A$49,0))*(1+INDEX(Assumptions!$B$16:$B$20,MATCH(B4395,Assumptions!$A$16:$A$20,0)))</f>
        <v>2078.72</v>
      </c>
      <c r="J4395" s="33" t="n">
        <f aca="false">H4395-I4395</f>
        <v>821.28</v>
      </c>
      <c r="K4395" s="33" t="n">
        <f aca="false">IF(OR(E4395=0,E4395&gt;=7),0,D4395/(7-E4395)*E4395*INDEX(Products!$E$2:$E$49,MATCH(C4395,Products!$A$2:$A$49,0)))</f>
        <v>0</v>
      </c>
    </row>
    <row r="4396" customFormat="false" ht="15" hidden="false" customHeight="false" outlineLevel="0" collapsed="false">
      <c r="A4396" s="36" t="n">
        <v>46251</v>
      </c>
      <c r="B4396" s="24" t="s">
        <v>64</v>
      </c>
      <c r="C4396" s="24" t="s">
        <v>177</v>
      </c>
      <c r="D4396" s="33" t="n">
        <v>25</v>
      </c>
      <c r="E4396" s="24" t="n">
        <v>0</v>
      </c>
      <c r="F4396" s="37" t="n">
        <f aca="false">DATE(YEAR(A4396),MONTH(A4396),1)</f>
        <v>46235</v>
      </c>
      <c r="G4396" s="24" t="str">
        <f aca="false">INDEX(Products!$C$2:$C$49,MATCH(C4396,Products!$A$2:$A$49,0))</f>
        <v>Household</v>
      </c>
      <c r="H4396" s="33" t="n">
        <f aca="false">D4396*INDEX(Products!$E$2:$E$49,MATCH(C4396,Products!$A$2:$A$49,0))</f>
        <v>2500</v>
      </c>
      <c r="I4396" s="33" t="n">
        <f aca="false">D4396*INDEX(Products!$D$2:$D$49,MATCH(C4396,Products!$A$2:$A$49,0))*(1+INDEX(Assumptions!$B$16:$B$20,MATCH(B4396,Assumptions!$A$16:$A$20,0)))</f>
        <v>1792</v>
      </c>
      <c r="J4396" s="33" t="n">
        <f aca="false">H4396-I4396</f>
        <v>708</v>
      </c>
      <c r="K4396" s="33" t="n">
        <f aca="false">IF(OR(E4396=0,E4396&gt;=7),0,D4396/(7-E4396)*E4396*INDEX(Products!$E$2:$E$49,MATCH(C4396,Products!$A$2:$A$49,0)))</f>
        <v>0</v>
      </c>
    </row>
    <row r="4397" customFormat="false" ht="15" hidden="false" customHeight="false" outlineLevel="0" collapsed="false">
      <c r="A4397" s="36" t="n">
        <v>46258</v>
      </c>
      <c r="B4397" s="24" t="s">
        <v>64</v>
      </c>
      <c r="C4397" s="24" t="s">
        <v>177</v>
      </c>
      <c r="D4397" s="33" t="n">
        <v>45</v>
      </c>
      <c r="E4397" s="24" t="n">
        <v>0</v>
      </c>
      <c r="F4397" s="37" t="n">
        <f aca="false">DATE(YEAR(A4397),MONTH(A4397),1)</f>
        <v>46235</v>
      </c>
      <c r="G4397" s="24" t="str">
        <f aca="false">INDEX(Products!$C$2:$C$49,MATCH(C4397,Products!$A$2:$A$49,0))</f>
        <v>Household</v>
      </c>
      <c r="H4397" s="33" t="n">
        <f aca="false">D4397*INDEX(Products!$E$2:$E$49,MATCH(C4397,Products!$A$2:$A$49,0))</f>
        <v>4500</v>
      </c>
      <c r="I4397" s="33" t="n">
        <f aca="false">D4397*INDEX(Products!$D$2:$D$49,MATCH(C4397,Products!$A$2:$A$49,0))*(1+INDEX(Assumptions!$B$16:$B$20,MATCH(B4397,Assumptions!$A$16:$A$20,0)))</f>
        <v>3225.6</v>
      </c>
      <c r="J4397" s="33" t="n">
        <f aca="false">H4397-I4397</f>
        <v>1274.4</v>
      </c>
      <c r="K4397" s="33" t="n">
        <f aca="false">IF(OR(E4397=0,E4397&gt;=7),0,D4397/(7-E4397)*E4397*INDEX(Products!$E$2:$E$49,MATCH(C4397,Products!$A$2:$A$49,0)))</f>
        <v>0</v>
      </c>
    </row>
    <row r="4398" customFormat="false" ht="15" hidden="false" customHeight="false" outlineLevel="0" collapsed="false">
      <c r="A4398" s="36" t="n">
        <v>46265</v>
      </c>
      <c r="B4398" s="24" t="s">
        <v>64</v>
      </c>
      <c r="C4398" s="24" t="s">
        <v>177</v>
      </c>
      <c r="D4398" s="33" t="n">
        <v>28</v>
      </c>
      <c r="E4398" s="24" t="n">
        <v>0</v>
      </c>
      <c r="F4398" s="37" t="n">
        <f aca="false">DATE(YEAR(A4398),MONTH(A4398),1)</f>
        <v>46235</v>
      </c>
      <c r="G4398" s="24" t="str">
        <f aca="false">INDEX(Products!$C$2:$C$49,MATCH(C4398,Products!$A$2:$A$49,0))</f>
        <v>Household</v>
      </c>
      <c r="H4398" s="33" t="n">
        <f aca="false">D4398*INDEX(Products!$E$2:$E$49,MATCH(C4398,Products!$A$2:$A$49,0))</f>
        <v>2800</v>
      </c>
      <c r="I4398" s="33" t="n">
        <f aca="false">D4398*INDEX(Products!$D$2:$D$49,MATCH(C4398,Products!$A$2:$A$49,0))*(1+INDEX(Assumptions!$B$16:$B$20,MATCH(B4398,Assumptions!$A$16:$A$20,0)))</f>
        <v>2007.04</v>
      </c>
      <c r="J4398" s="33" t="n">
        <f aca="false">H4398-I4398</f>
        <v>792.96</v>
      </c>
      <c r="K4398" s="33" t="n">
        <f aca="false">IF(OR(E4398=0,E4398&gt;=7),0,D4398/(7-E4398)*E4398*INDEX(Products!$E$2:$E$49,MATCH(C4398,Products!$A$2:$A$49,0)))</f>
        <v>0</v>
      </c>
    </row>
    <row r="4399" customFormat="false" ht="15" hidden="false" customHeight="false" outlineLevel="0" collapsed="false">
      <c r="A4399" s="36" t="n">
        <v>46272</v>
      </c>
      <c r="B4399" s="24" t="s">
        <v>64</v>
      </c>
      <c r="C4399" s="24" t="s">
        <v>177</v>
      </c>
      <c r="D4399" s="33" t="n">
        <v>32</v>
      </c>
      <c r="E4399" s="24" t="n">
        <v>0</v>
      </c>
      <c r="F4399" s="37" t="n">
        <f aca="false">DATE(YEAR(A4399),MONTH(A4399),1)</f>
        <v>46266</v>
      </c>
      <c r="G4399" s="24" t="str">
        <f aca="false">INDEX(Products!$C$2:$C$49,MATCH(C4399,Products!$A$2:$A$49,0))</f>
        <v>Household</v>
      </c>
      <c r="H4399" s="33" t="n">
        <f aca="false">D4399*INDEX(Products!$E$2:$E$49,MATCH(C4399,Products!$A$2:$A$49,0))</f>
        <v>3200</v>
      </c>
      <c r="I4399" s="33" t="n">
        <f aca="false">D4399*INDEX(Products!$D$2:$D$49,MATCH(C4399,Products!$A$2:$A$49,0))*(1+INDEX(Assumptions!$B$16:$B$20,MATCH(B4399,Assumptions!$A$16:$A$20,0)))</f>
        <v>2293.76</v>
      </c>
      <c r="J4399" s="33" t="n">
        <f aca="false">H4399-I4399</f>
        <v>906.24</v>
      </c>
      <c r="K4399" s="33" t="n">
        <f aca="false">IF(OR(E4399=0,E4399&gt;=7),0,D4399/(7-E4399)*E4399*INDEX(Products!$E$2:$E$49,MATCH(C4399,Products!$A$2:$A$49,0)))</f>
        <v>0</v>
      </c>
    </row>
    <row r="4400" customFormat="false" ht="15" hidden="false" customHeight="false" outlineLevel="0" collapsed="false">
      <c r="A4400" s="36" t="n">
        <v>46279</v>
      </c>
      <c r="B4400" s="24" t="s">
        <v>64</v>
      </c>
      <c r="C4400" s="24" t="s">
        <v>177</v>
      </c>
      <c r="D4400" s="33" t="n">
        <v>32</v>
      </c>
      <c r="E4400" s="24" t="n">
        <v>0</v>
      </c>
      <c r="F4400" s="37" t="n">
        <f aca="false">DATE(YEAR(A4400),MONTH(A4400),1)</f>
        <v>46266</v>
      </c>
      <c r="G4400" s="24" t="str">
        <f aca="false">INDEX(Products!$C$2:$C$49,MATCH(C4400,Products!$A$2:$A$49,0))</f>
        <v>Household</v>
      </c>
      <c r="H4400" s="33" t="n">
        <f aca="false">D4400*INDEX(Products!$E$2:$E$49,MATCH(C4400,Products!$A$2:$A$49,0))</f>
        <v>3200</v>
      </c>
      <c r="I4400" s="33" t="n">
        <f aca="false">D4400*INDEX(Products!$D$2:$D$49,MATCH(C4400,Products!$A$2:$A$49,0))*(1+INDEX(Assumptions!$B$16:$B$20,MATCH(B4400,Assumptions!$A$16:$A$20,0)))</f>
        <v>2293.76</v>
      </c>
      <c r="J4400" s="33" t="n">
        <f aca="false">H4400-I4400</f>
        <v>906.24</v>
      </c>
      <c r="K4400" s="33" t="n">
        <f aca="false">IF(OR(E4400=0,E4400&gt;=7),0,D4400/(7-E4400)*E4400*INDEX(Products!$E$2:$E$49,MATCH(C4400,Products!$A$2:$A$49,0)))</f>
        <v>0</v>
      </c>
    </row>
    <row r="4401" customFormat="false" ht="15" hidden="false" customHeight="false" outlineLevel="0" collapsed="false">
      <c r="A4401" s="36" t="n">
        <v>46286</v>
      </c>
      <c r="B4401" s="24" t="s">
        <v>64</v>
      </c>
      <c r="C4401" s="24" t="s">
        <v>177</v>
      </c>
      <c r="D4401" s="33" t="n">
        <v>25</v>
      </c>
      <c r="E4401" s="24" t="n">
        <v>0</v>
      </c>
      <c r="F4401" s="37" t="n">
        <f aca="false">DATE(YEAR(A4401),MONTH(A4401),1)</f>
        <v>46266</v>
      </c>
      <c r="G4401" s="24" t="str">
        <f aca="false">INDEX(Products!$C$2:$C$49,MATCH(C4401,Products!$A$2:$A$49,0))</f>
        <v>Household</v>
      </c>
      <c r="H4401" s="33" t="n">
        <f aca="false">D4401*INDEX(Products!$E$2:$E$49,MATCH(C4401,Products!$A$2:$A$49,0))</f>
        <v>2500</v>
      </c>
      <c r="I4401" s="33" t="n">
        <f aca="false">D4401*INDEX(Products!$D$2:$D$49,MATCH(C4401,Products!$A$2:$A$49,0))*(1+INDEX(Assumptions!$B$16:$B$20,MATCH(B4401,Assumptions!$A$16:$A$20,0)))</f>
        <v>1792</v>
      </c>
      <c r="J4401" s="33" t="n">
        <f aca="false">H4401-I4401</f>
        <v>708</v>
      </c>
      <c r="K4401" s="33" t="n">
        <f aca="false">IF(OR(E4401=0,E4401&gt;=7),0,D4401/(7-E4401)*E4401*INDEX(Products!$E$2:$E$49,MATCH(C4401,Products!$A$2:$A$49,0)))</f>
        <v>0</v>
      </c>
    </row>
    <row r="4402" customFormat="false" ht="15" hidden="false" customHeight="false" outlineLevel="0" collapsed="false">
      <c r="A4402" s="36" t="n">
        <v>46118</v>
      </c>
      <c r="B4402" s="24" t="s">
        <v>64</v>
      </c>
      <c r="C4402" s="24" t="s">
        <v>179</v>
      </c>
      <c r="D4402" s="33" t="n">
        <v>11</v>
      </c>
      <c r="E4402" s="24" t="n">
        <v>0</v>
      </c>
      <c r="F4402" s="37" t="n">
        <f aca="false">DATE(YEAR(A4402),MONTH(A4402),1)</f>
        <v>46113</v>
      </c>
      <c r="G4402" s="24" t="str">
        <f aca="false">INDEX(Products!$C$2:$C$49,MATCH(C4402,Products!$A$2:$A$49,0))</f>
        <v>Personal Care</v>
      </c>
      <c r="H4402" s="33" t="n">
        <f aca="false">D4402*INDEX(Products!$E$2:$E$49,MATCH(C4402,Products!$A$2:$A$49,0))</f>
        <v>1980</v>
      </c>
      <c r="I4402" s="33" t="n">
        <f aca="false">D4402*INDEX(Products!$D$2:$D$49,MATCH(C4402,Products!$A$2:$A$49,0))*(1+INDEX(Assumptions!$B$16:$B$20,MATCH(B4402,Assumptions!$A$16:$A$20,0)))</f>
        <v>1351.68</v>
      </c>
      <c r="J4402" s="33" t="n">
        <f aca="false">H4402-I4402</f>
        <v>628.32</v>
      </c>
      <c r="K4402" s="33" t="n">
        <f aca="false">IF(OR(E4402=0,E4402&gt;=7),0,D4402/(7-E4402)*E4402*INDEX(Products!$E$2:$E$49,MATCH(C4402,Products!$A$2:$A$49,0)))</f>
        <v>0</v>
      </c>
    </row>
    <row r="4403" customFormat="false" ht="15" hidden="false" customHeight="false" outlineLevel="0" collapsed="false">
      <c r="A4403" s="36" t="n">
        <v>46125</v>
      </c>
      <c r="B4403" s="24" t="s">
        <v>64</v>
      </c>
      <c r="C4403" s="24" t="s">
        <v>179</v>
      </c>
      <c r="D4403" s="33" t="n">
        <v>9</v>
      </c>
      <c r="E4403" s="24" t="n">
        <v>0</v>
      </c>
      <c r="F4403" s="37" t="n">
        <f aca="false">DATE(YEAR(A4403),MONTH(A4403),1)</f>
        <v>46113</v>
      </c>
      <c r="G4403" s="24" t="str">
        <f aca="false">INDEX(Products!$C$2:$C$49,MATCH(C4403,Products!$A$2:$A$49,0))</f>
        <v>Personal Care</v>
      </c>
      <c r="H4403" s="33" t="n">
        <f aca="false">D4403*INDEX(Products!$E$2:$E$49,MATCH(C4403,Products!$A$2:$A$49,0))</f>
        <v>1620</v>
      </c>
      <c r="I4403" s="33" t="n">
        <f aca="false">D4403*INDEX(Products!$D$2:$D$49,MATCH(C4403,Products!$A$2:$A$49,0))*(1+INDEX(Assumptions!$B$16:$B$20,MATCH(B4403,Assumptions!$A$16:$A$20,0)))</f>
        <v>1105.92</v>
      </c>
      <c r="J4403" s="33" t="n">
        <f aca="false">H4403-I4403</f>
        <v>514.08</v>
      </c>
      <c r="K4403" s="33" t="n">
        <f aca="false">IF(OR(E4403=0,E4403&gt;=7),0,D4403/(7-E4403)*E4403*INDEX(Products!$E$2:$E$49,MATCH(C4403,Products!$A$2:$A$49,0)))</f>
        <v>0</v>
      </c>
    </row>
    <row r="4404" customFormat="false" ht="15" hidden="false" customHeight="false" outlineLevel="0" collapsed="false">
      <c r="A4404" s="36" t="n">
        <v>46132</v>
      </c>
      <c r="B4404" s="24" t="s">
        <v>64</v>
      </c>
      <c r="C4404" s="24" t="s">
        <v>179</v>
      </c>
      <c r="D4404" s="33" t="n">
        <v>17</v>
      </c>
      <c r="E4404" s="24" t="n">
        <v>0</v>
      </c>
      <c r="F4404" s="37" t="n">
        <f aca="false">DATE(YEAR(A4404),MONTH(A4404),1)</f>
        <v>46113</v>
      </c>
      <c r="G4404" s="24" t="str">
        <f aca="false">INDEX(Products!$C$2:$C$49,MATCH(C4404,Products!$A$2:$A$49,0))</f>
        <v>Personal Care</v>
      </c>
      <c r="H4404" s="33" t="n">
        <f aca="false">D4404*INDEX(Products!$E$2:$E$49,MATCH(C4404,Products!$A$2:$A$49,0))</f>
        <v>3060</v>
      </c>
      <c r="I4404" s="33" t="n">
        <f aca="false">D4404*INDEX(Products!$D$2:$D$49,MATCH(C4404,Products!$A$2:$A$49,0))*(1+INDEX(Assumptions!$B$16:$B$20,MATCH(B4404,Assumptions!$A$16:$A$20,0)))</f>
        <v>2088.96</v>
      </c>
      <c r="J4404" s="33" t="n">
        <f aca="false">H4404-I4404</f>
        <v>971.04</v>
      </c>
      <c r="K4404" s="33" t="n">
        <f aca="false">IF(OR(E4404=0,E4404&gt;=7),0,D4404/(7-E4404)*E4404*INDEX(Products!$E$2:$E$49,MATCH(C4404,Products!$A$2:$A$49,0)))</f>
        <v>0</v>
      </c>
    </row>
    <row r="4405" customFormat="false" ht="15" hidden="false" customHeight="false" outlineLevel="0" collapsed="false">
      <c r="A4405" s="36" t="n">
        <v>46139</v>
      </c>
      <c r="B4405" s="24" t="s">
        <v>64</v>
      </c>
      <c r="C4405" s="24" t="s">
        <v>179</v>
      </c>
      <c r="D4405" s="33" t="n">
        <v>12</v>
      </c>
      <c r="E4405" s="24" t="n">
        <v>0</v>
      </c>
      <c r="F4405" s="37" t="n">
        <f aca="false">DATE(YEAR(A4405),MONTH(A4405),1)</f>
        <v>46113</v>
      </c>
      <c r="G4405" s="24" t="str">
        <f aca="false">INDEX(Products!$C$2:$C$49,MATCH(C4405,Products!$A$2:$A$49,0))</f>
        <v>Personal Care</v>
      </c>
      <c r="H4405" s="33" t="n">
        <f aca="false">D4405*INDEX(Products!$E$2:$E$49,MATCH(C4405,Products!$A$2:$A$49,0))</f>
        <v>2160</v>
      </c>
      <c r="I4405" s="33" t="n">
        <f aca="false">D4405*INDEX(Products!$D$2:$D$49,MATCH(C4405,Products!$A$2:$A$49,0))*(1+INDEX(Assumptions!$B$16:$B$20,MATCH(B4405,Assumptions!$A$16:$A$20,0)))</f>
        <v>1474.56</v>
      </c>
      <c r="J4405" s="33" t="n">
        <f aca="false">H4405-I4405</f>
        <v>685.44</v>
      </c>
      <c r="K4405" s="33" t="n">
        <f aca="false">IF(OR(E4405=0,E4405&gt;=7),0,D4405/(7-E4405)*E4405*INDEX(Products!$E$2:$E$49,MATCH(C4405,Products!$A$2:$A$49,0)))</f>
        <v>0</v>
      </c>
    </row>
    <row r="4406" customFormat="false" ht="15" hidden="false" customHeight="false" outlineLevel="0" collapsed="false">
      <c r="A4406" s="36" t="n">
        <v>46146</v>
      </c>
      <c r="B4406" s="24" t="s">
        <v>64</v>
      </c>
      <c r="C4406" s="24" t="s">
        <v>179</v>
      </c>
      <c r="D4406" s="33" t="n">
        <v>20</v>
      </c>
      <c r="E4406" s="24" t="n">
        <v>0</v>
      </c>
      <c r="F4406" s="37" t="n">
        <f aca="false">DATE(YEAR(A4406),MONTH(A4406),1)</f>
        <v>46143</v>
      </c>
      <c r="G4406" s="24" t="str">
        <f aca="false">INDEX(Products!$C$2:$C$49,MATCH(C4406,Products!$A$2:$A$49,0))</f>
        <v>Personal Care</v>
      </c>
      <c r="H4406" s="33" t="n">
        <f aca="false">D4406*INDEX(Products!$E$2:$E$49,MATCH(C4406,Products!$A$2:$A$49,0))</f>
        <v>3600</v>
      </c>
      <c r="I4406" s="33" t="n">
        <f aca="false">D4406*INDEX(Products!$D$2:$D$49,MATCH(C4406,Products!$A$2:$A$49,0))*(1+INDEX(Assumptions!$B$16:$B$20,MATCH(B4406,Assumptions!$A$16:$A$20,0)))</f>
        <v>2457.6</v>
      </c>
      <c r="J4406" s="33" t="n">
        <f aca="false">H4406-I4406</f>
        <v>1142.4</v>
      </c>
      <c r="K4406" s="33" t="n">
        <f aca="false">IF(OR(E4406=0,E4406&gt;=7),0,D4406/(7-E4406)*E4406*INDEX(Products!$E$2:$E$49,MATCH(C4406,Products!$A$2:$A$49,0)))</f>
        <v>0</v>
      </c>
    </row>
    <row r="4407" customFormat="false" ht="15" hidden="false" customHeight="false" outlineLevel="0" collapsed="false">
      <c r="A4407" s="36" t="n">
        <v>46153</v>
      </c>
      <c r="B4407" s="24" t="s">
        <v>64</v>
      </c>
      <c r="C4407" s="24" t="s">
        <v>179</v>
      </c>
      <c r="D4407" s="33" t="n">
        <v>18</v>
      </c>
      <c r="E4407" s="24" t="n">
        <v>0</v>
      </c>
      <c r="F4407" s="37" t="n">
        <f aca="false">DATE(YEAR(A4407),MONTH(A4407),1)</f>
        <v>46143</v>
      </c>
      <c r="G4407" s="24" t="str">
        <f aca="false">INDEX(Products!$C$2:$C$49,MATCH(C4407,Products!$A$2:$A$49,0))</f>
        <v>Personal Care</v>
      </c>
      <c r="H4407" s="33" t="n">
        <f aca="false">D4407*INDEX(Products!$E$2:$E$49,MATCH(C4407,Products!$A$2:$A$49,0))</f>
        <v>3240</v>
      </c>
      <c r="I4407" s="33" t="n">
        <f aca="false">D4407*INDEX(Products!$D$2:$D$49,MATCH(C4407,Products!$A$2:$A$49,0))*(1+INDEX(Assumptions!$B$16:$B$20,MATCH(B4407,Assumptions!$A$16:$A$20,0)))</f>
        <v>2211.84</v>
      </c>
      <c r="J4407" s="33" t="n">
        <f aca="false">H4407-I4407</f>
        <v>1028.16</v>
      </c>
      <c r="K4407" s="33" t="n">
        <f aca="false">IF(OR(E4407=0,E4407&gt;=7),0,D4407/(7-E4407)*E4407*INDEX(Products!$E$2:$E$49,MATCH(C4407,Products!$A$2:$A$49,0)))</f>
        <v>0</v>
      </c>
    </row>
    <row r="4408" customFormat="false" ht="15" hidden="false" customHeight="false" outlineLevel="0" collapsed="false">
      <c r="A4408" s="36" t="n">
        <v>46160</v>
      </c>
      <c r="B4408" s="24" t="s">
        <v>64</v>
      </c>
      <c r="C4408" s="24" t="s">
        <v>179</v>
      </c>
      <c r="D4408" s="33" t="n">
        <v>12</v>
      </c>
      <c r="E4408" s="24" t="n">
        <v>0</v>
      </c>
      <c r="F4408" s="37" t="n">
        <f aca="false">DATE(YEAR(A4408),MONTH(A4408),1)</f>
        <v>46143</v>
      </c>
      <c r="G4408" s="24" t="str">
        <f aca="false">INDEX(Products!$C$2:$C$49,MATCH(C4408,Products!$A$2:$A$49,0))</f>
        <v>Personal Care</v>
      </c>
      <c r="H4408" s="33" t="n">
        <f aca="false">D4408*INDEX(Products!$E$2:$E$49,MATCH(C4408,Products!$A$2:$A$49,0))</f>
        <v>2160</v>
      </c>
      <c r="I4408" s="33" t="n">
        <f aca="false">D4408*INDEX(Products!$D$2:$D$49,MATCH(C4408,Products!$A$2:$A$49,0))*(1+INDEX(Assumptions!$B$16:$B$20,MATCH(B4408,Assumptions!$A$16:$A$20,0)))</f>
        <v>1474.56</v>
      </c>
      <c r="J4408" s="33" t="n">
        <f aca="false">H4408-I4408</f>
        <v>685.44</v>
      </c>
      <c r="K4408" s="33" t="n">
        <f aca="false">IF(OR(E4408=0,E4408&gt;=7),0,D4408/(7-E4408)*E4408*INDEX(Products!$E$2:$E$49,MATCH(C4408,Products!$A$2:$A$49,0)))</f>
        <v>0</v>
      </c>
    </row>
    <row r="4409" customFormat="false" ht="15" hidden="false" customHeight="false" outlineLevel="0" collapsed="false">
      <c r="A4409" s="36" t="n">
        <v>46167</v>
      </c>
      <c r="B4409" s="24" t="s">
        <v>64</v>
      </c>
      <c r="C4409" s="24" t="s">
        <v>179</v>
      </c>
      <c r="D4409" s="33" t="n">
        <v>15</v>
      </c>
      <c r="E4409" s="24" t="n">
        <v>0</v>
      </c>
      <c r="F4409" s="37" t="n">
        <f aca="false">DATE(YEAR(A4409),MONTH(A4409),1)</f>
        <v>46143</v>
      </c>
      <c r="G4409" s="24" t="str">
        <f aca="false">INDEX(Products!$C$2:$C$49,MATCH(C4409,Products!$A$2:$A$49,0))</f>
        <v>Personal Care</v>
      </c>
      <c r="H4409" s="33" t="n">
        <f aca="false">D4409*INDEX(Products!$E$2:$E$49,MATCH(C4409,Products!$A$2:$A$49,0))</f>
        <v>2700</v>
      </c>
      <c r="I4409" s="33" t="n">
        <f aca="false">D4409*INDEX(Products!$D$2:$D$49,MATCH(C4409,Products!$A$2:$A$49,0))*(1+INDEX(Assumptions!$B$16:$B$20,MATCH(B4409,Assumptions!$A$16:$A$20,0)))</f>
        <v>1843.2</v>
      </c>
      <c r="J4409" s="33" t="n">
        <f aca="false">H4409-I4409</f>
        <v>856.8</v>
      </c>
      <c r="K4409" s="33" t="n">
        <f aca="false">IF(OR(E4409=0,E4409&gt;=7),0,D4409/(7-E4409)*E4409*INDEX(Products!$E$2:$E$49,MATCH(C4409,Products!$A$2:$A$49,0)))</f>
        <v>0</v>
      </c>
    </row>
    <row r="4410" customFormat="false" ht="15" hidden="false" customHeight="false" outlineLevel="0" collapsed="false">
      <c r="A4410" s="36" t="n">
        <v>46174</v>
      </c>
      <c r="B4410" s="24" t="s">
        <v>64</v>
      </c>
      <c r="C4410" s="24" t="s">
        <v>179</v>
      </c>
      <c r="D4410" s="33" t="n">
        <v>19</v>
      </c>
      <c r="E4410" s="24" t="n">
        <v>0</v>
      </c>
      <c r="F4410" s="37" t="n">
        <f aca="false">DATE(YEAR(A4410),MONTH(A4410),1)</f>
        <v>46174</v>
      </c>
      <c r="G4410" s="24" t="str">
        <f aca="false">INDEX(Products!$C$2:$C$49,MATCH(C4410,Products!$A$2:$A$49,0))</f>
        <v>Personal Care</v>
      </c>
      <c r="H4410" s="33" t="n">
        <f aca="false">D4410*INDEX(Products!$E$2:$E$49,MATCH(C4410,Products!$A$2:$A$49,0))</f>
        <v>3420</v>
      </c>
      <c r="I4410" s="33" t="n">
        <f aca="false">D4410*INDEX(Products!$D$2:$D$49,MATCH(C4410,Products!$A$2:$A$49,0))*(1+INDEX(Assumptions!$B$16:$B$20,MATCH(B4410,Assumptions!$A$16:$A$20,0)))</f>
        <v>2334.72</v>
      </c>
      <c r="J4410" s="33" t="n">
        <f aca="false">H4410-I4410</f>
        <v>1085.28</v>
      </c>
      <c r="K4410" s="33" t="n">
        <f aca="false">IF(OR(E4410=0,E4410&gt;=7),0,D4410/(7-E4410)*E4410*INDEX(Products!$E$2:$E$49,MATCH(C4410,Products!$A$2:$A$49,0)))</f>
        <v>0</v>
      </c>
    </row>
    <row r="4411" customFormat="false" ht="15" hidden="false" customHeight="false" outlineLevel="0" collapsed="false">
      <c r="A4411" s="36" t="n">
        <v>46181</v>
      </c>
      <c r="B4411" s="24" t="s">
        <v>64</v>
      </c>
      <c r="C4411" s="24" t="s">
        <v>179</v>
      </c>
      <c r="D4411" s="33" t="n">
        <v>9</v>
      </c>
      <c r="E4411" s="24" t="n">
        <v>0</v>
      </c>
      <c r="F4411" s="37" t="n">
        <f aca="false">DATE(YEAR(A4411),MONTH(A4411),1)</f>
        <v>46174</v>
      </c>
      <c r="G4411" s="24" t="str">
        <f aca="false">INDEX(Products!$C$2:$C$49,MATCH(C4411,Products!$A$2:$A$49,0))</f>
        <v>Personal Care</v>
      </c>
      <c r="H4411" s="33" t="n">
        <f aca="false">D4411*INDEX(Products!$E$2:$E$49,MATCH(C4411,Products!$A$2:$A$49,0))</f>
        <v>1620</v>
      </c>
      <c r="I4411" s="33" t="n">
        <f aca="false">D4411*INDEX(Products!$D$2:$D$49,MATCH(C4411,Products!$A$2:$A$49,0))*(1+INDEX(Assumptions!$B$16:$B$20,MATCH(B4411,Assumptions!$A$16:$A$20,0)))</f>
        <v>1105.92</v>
      </c>
      <c r="J4411" s="33" t="n">
        <f aca="false">H4411-I4411</f>
        <v>514.08</v>
      </c>
      <c r="K4411" s="33" t="n">
        <f aca="false">IF(OR(E4411=0,E4411&gt;=7),0,D4411/(7-E4411)*E4411*INDEX(Products!$E$2:$E$49,MATCH(C4411,Products!$A$2:$A$49,0)))</f>
        <v>0</v>
      </c>
    </row>
    <row r="4412" customFormat="false" ht="15" hidden="false" customHeight="false" outlineLevel="0" collapsed="false">
      <c r="A4412" s="36" t="n">
        <v>46188</v>
      </c>
      <c r="B4412" s="24" t="s">
        <v>64</v>
      </c>
      <c r="C4412" s="24" t="s">
        <v>179</v>
      </c>
      <c r="D4412" s="33" t="n">
        <v>16</v>
      </c>
      <c r="E4412" s="24" t="n">
        <v>0</v>
      </c>
      <c r="F4412" s="37" t="n">
        <f aca="false">DATE(YEAR(A4412),MONTH(A4412),1)</f>
        <v>46174</v>
      </c>
      <c r="G4412" s="24" t="str">
        <f aca="false">INDEX(Products!$C$2:$C$49,MATCH(C4412,Products!$A$2:$A$49,0))</f>
        <v>Personal Care</v>
      </c>
      <c r="H4412" s="33" t="n">
        <f aca="false">D4412*INDEX(Products!$E$2:$E$49,MATCH(C4412,Products!$A$2:$A$49,0))</f>
        <v>2880</v>
      </c>
      <c r="I4412" s="33" t="n">
        <f aca="false">D4412*INDEX(Products!$D$2:$D$49,MATCH(C4412,Products!$A$2:$A$49,0))*(1+INDEX(Assumptions!$B$16:$B$20,MATCH(B4412,Assumptions!$A$16:$A$20,0)))</f>
        <v>1966.08</v>
      </c>
      <c r="J4412" s="33" t="n">
        <f aca="false">H4412-I4412</f>
        <v>913.92</v>
      </c>
      <c r="K4412" s="33" t="n">
        <f aca="false">IF(OR(E4412=0,E4412&gt;=7),0,D4412/(7-E4412)*E4412*INDEX(Products!$E$2:$E$49,MATCH(C4412,Products!$A$2:$A$49,0)))</f>
        <v>0</v>
      </c>
    </row>
    <row r="4413" customFormat="false" ht="15" hidden="false" customHeight="false" outlineLevel="0" collapsed="false">
      <c r="A4413" s="36" t="n">
        <v>46195</v>
      </c>
      <c r="B4413" s="24" t="s">
        <v>64</v>
      </c>
      <c r="C4413" s="24" t="s">
        <v>179</v>
      </c>
      <c r="D4413" s="33" t="n">
        <v>9</v>
      </c>
      <c r="E4413" s="24" t="n">
        <v>0</v>
      </c>
      <c r="F4413" s="37" t="n">
        <f aca="false">DATE(YEAR(A4413),MONTH(A4413),1)</f>
        <v>46174</v>
      </c>
      <c r="G4413" s="24" t="str">
        <f aca="false">INDEX(Products!$C$2:$C$49,MATCH(C4413,Products!$A$2:$A$49,0))</f>
        <v>Personal Care</v>
      </c>
      <c r="H4413" s="33" t="n">
        <f aca="false">D4413*INDEX(Products!$E$2:$E$49,MATCH(C4413,Products!$A$2:$A$49,0))</f>
        <v>1620</v>
      </c>
      <c r="I4413" s="33" t="n">
        <f aca="false">D4413*INDEX(Products!$D$2:$D$49,MATCH(C4413,Products!$A$2:$A$49,0))*(1+INDEX(Assumptions!$B$16:$B$20,MATCH(B4413,Assumptions!$A$16:$A$20,0)))</f>
        <v>1105.92</v>
      </c>
      <c r="J4413" s="33" t="n">
        <f aca="false">H4413-I4413</f>
        <v>514.08</v>
      </c>
      <c r="K4413" s="33" t="n">
        <f aca="false">IF(OR(E4413=0,E4413&gt;=7),0,D4413/(7-E4413)*E4413*INDEX(Products!$E$2:$E$49,MATCH(C4413,Products!$A$2:$A$49,0)))</f>
        <v>0</v>
      </c>
    </row>
    <row r="4414" customFormat="false" ht="15" hidden="false" customHeight="false" outlineLevel="0" collapsed="false">
      <c r="A4414" s="36" t="n">
        <v>46202</v>
      </c>
      <c r="B4414" s="24" t="s">
        <v>64</v>
      </c>
      <c r="C4414" s="24" t="s">
        <v>179</v>
      </c>
      <c r="D4414" s="33" t="n">
        <v>12</v>
      </c>
      <c r="E4414" s="24" t="n">
        <v>0</v>
      </c>
      <c r="F4414" s="37" t="n">
        <f aca="false">DATE(YEAR(A4414),MONTH(A4414),1)</f>
        <v>46174</v>
      </c>
      <c r="G4414" s="24" t="str">
        <f aca="false">INDEX(Products!$C$2:$C$49,MATCH(C4414,Products!$A$2:$A$49,0))</f>
        <v>Personal Care</v>
      </c>
      <c r="H4414" s="33" t="n">
        <f aca="false">D4414*INDEX(Products!$E$2:$E$49,MATCH(C4414,Products!$A$2:$A$49,0))</f>
        <v>2160</v>
      </c>
      <c r="I4414" s="33" t="n">
        <f aca="false">D4414*INDEX(Products!$D$2:$D$49,MATCH(C4414,Products!$A$2:$A$49,0))*(1+INDEX(Assumptions!$B$16:$B$20,MATCH(B4414,Assumptions!$A$16:$A$20,0)))</f>
        <v>1474.56</v>
      </c>
      <c r="J4414" s="33" t="n">
        <f aca="false">H4414-I4414</f>
        <v>685.44</v>
      </c>
      <c r="K4414" s="33" t="n">
        <f aca="false">IF(OR(E4414=0,E4414&gt;=7),0,D4414/(7-E4414)*E4414*INDEX(Products!$E$2:$E$49,MATCH(C4414,Products!$A$2:$A$49,0)))</f>
        <v>0</v>
      </c>
    </row>
    <row r="4415" customFormat="false" ht="15" hidden="false" customHeight="false" outlineLevel="0" collapsed="false">
      <c r="A4415" s="36" t="n">
        <v>46209</v>
      </c>
      <c r="B4415" s="24" t="s">
        <v>64</v>
      </c>
      <c r="C4415" s="24" t="s">
        <v>179</v>
      </c>
      <c r="D4415" s="33" t="n">
        <v>8</v>
      </c>
      <c r="E4415" s="24" t="n">
        <v>0</v>
      </c>
      <c r="F4415" s="37" t="n">
        <f aca="false">DATE(YEAR(A4415),MONTH(A4415),1)</f>
        <v>46204</v>
      </c>
      <c r="G4415" s="24" t="str">
        <f aca="false">INDEX(Products!$C$2:$C$49,MATCH(C4415,Products!$A$2:$A$49,0))</f>
        <v>Personal Care</v>
      </c>
      <c r="H4415" s="33" t="n">
        <f aca="false">D4415*INDEX(Products!$E$2:$E$49,MATCH(C4415,Products!$A$2:$A$49,0))</f>
        <v>1440</v>
      </c>
      <c r="I4415" s="33" t="n">
        <f aca="false">D4415*INDEX(Products!$D$2:$D$49,MATCH(C4415,Products!$A$2:$A$49,0))*(1+INDEX(Assumptions!$B$16:$B$20,MATCH(B4415,Assumptions!$A$16:$A$20,0)))</f>
        <v>983.04</v>
      </c>
      <c r="J4415" s="33" t="n">
        <f aca="false">H4415-I4415</f>
        <v>456.96</v>
      </c>
      <c r="K4415" s="33" t="n">
        <f aca="false">IF(OR(E4415=0,E4415&gt;=7),0,D4415/(7-E4415)*E4415*INDEX(Products!$E$2:$E$49,MATCH(C4415,Products!$A$2:$A$49,0)))</f>
        <v>0</v>
      </c>
    </row>
    <row r="4416" customFormat="false" ht="15" hidden="false" customHeight="false" outlineLevel="0" collapsed="false">
      <c r="A4416" s="36" t="n">
        <v>46216</v>
      </c>
      <c r="B4416" s="24" t="s">
        <v>64</v>
      </c>
      <c r="C4416" s="24" t="s">
        <v>179</v>
      </c>
      <c r="D4416" s="33" t="n">
        <v>7</v>
      </c>
      <c r="E4416" s="24" t="n">
        <v>2</v>
      </c>
      <c r="F4416" s="37" t="n">
        <f aca="false">DATE(YEAR(A4416),MONTH(A4416),1)</f>
        <v>46204</v>
      </c>
      <c r="G4416" s="24" t="str">
        <f aca="false">INDEX(Products!$C$2:$C$49,MATCH(C4416,Products!$A$2:$A$49,0))</f>
        <v>Personal Care</v>
      </c>
      <c r="H4416" s="33" t="n">
        <f aca="false">D4416*INDEX(Products!$E$2:$E$49,MATCH(C4416,Products!$A$2:$A$49,0))</f>
        <v>1260</v>
      </c>
      <c r="I4416" s="33" t="n">
        <f aca="false">D4416*INDEX(Products!$D$2:$D$49,MATCH(C4416,Products!$A$2:$A$49,0))*(1+INDEX(Assumptions!$B$16:$B$20,MATCH(B4416,Assumptions!$A$16:$A$20,0)))</f>
        <v>860.16</v>
      </c>
      <c r="J4416" s="33" t="n">
        <f aca="false">H4416-I4416</f>
        <v>399.84</v>
      </c>
      <c r="K4416" s="33" t="n">
        <f aca="false">IF(OR(E4416=0,E4416&gt;=7),0,D4416/(7-E4416)*E4416*INDEX(Products!$E$2:$E$49,MATCH(C4416,Products!$A$2:$A$49,0)))</f>
        <v>504</v>
      </c>
    </row>
    <row r="4417" customFormat="false" ht="15" hidden="false" customHeight="false" outlineLevel="0" collapsed="false">
      <c r="A4417" s="36" t="n">
        <v>46223</v>
      </c>
      <c r="B4417" s="24" t="s">
        <v>64</v>
      </c>
      <c r="C4417" s="24" t="s">
        <v>179</v>
      </c>
      <c r="D4417" s="33" t="n">
        <v>13</v>
      </c>
      <c r="E4417" s="24" t="n">
        <v>0</v>
      </c>
      <c r="F4417" s="37" t="n">
        <f aca="false">DATE(YEAR(A4417),MONTH(A4417),1)</f>
        <v>46204</v>
      </c>
      <c r="G4417" s="24" t="str">
        <f aca="false">INDEX(Products!$C$2:$C$49,MATCH(C4417,Products!$A$2:$A$49,0))</f>
        <v>Personal Care</v>
      </c>
      <c r="H4417" s="33" t="n">
        <f aca="false">D4417*INDEX(Products!$E$2:$E$49,MATCH(C4417,Products!$A$2:$A$49,0))</f>
        <v>2340</v>
      </c>
      <c r="I4417" s="33" t="n">
        <f aca="false">D4417*INDEX(Products!$D$2:$D$49,MATCH(C4417,Products!$A$2:$A$49,0))*(1+INDEX(Assumptions!$B$16:$B$20,MATCH(B4417,Assumptions!$A$16:$A$20,0)))</f>
        <v>1597.44</v>
      </c>
      <c r="J4417" s="33" t="n">
        <f aca="false">H4417-I4417</f>
        <v>742.56</v>
      </c>
      <c r="K4417" s="33" t="n">
        <f aca="false">IF(OR(E4417=0,E4417&gt;=7),0,D4417/(7-E4417)*E4417*INDEX(Products!$E$2:$E$49,MATCH(C4417,Products!$A$2:$A$49,0)))</f>
        <v>0</v>
      </c>
    </row>
    <row r="4418" customFormat="false" ht="15" hidden="false" customHeight="false" outlineLevel="0" collapsed="false">
      <c r="A4418" s="36" t="n">
        <v>46230</v>
      </c>
      <c r="B4418" s="24" t="s">
        <v>64</v>
      </c>
      <c r="C4418" s="24" t="s">
        <v>179</v>
      </c>
      <c r="D4418" s="33" t="n">
        <v>18</v>
      </c>
      <c r="E4418" s="24" t="n">
        <v>0</v>
      </c>
      <c r="F4418" s="37" t="n">
        <f aca="false">DATE(YEAR(A4418),MONTH(A4418),1)</f>
        <v>46204</v>
      </c>
      <c r="G4418" s="24" t="str">
        <f aca="false">INDEX(Products!$C$2:$C$49,MATCH(C4418,Products!$A$2:$A$49,0))</f>
        <v>Personal Care</v>
      </c>
      <c r="H4418" s="33" t="n">
        <f aca="false">D4418*INDEX(Products!$E$2:$E$49,MATCH(C4418,Products!$A$2:$A$49,0))</f>
        <v>3240</v>
      </c>
      <c r="I4418" s="33" t="n">
        <f aca="false">D4418*INDEX(Products!$D$2:$D$49,MATCH(C4418,Products!$A$2:$A$49,0))*(1+INDEX(Assumptions!$B$16:$B$20,MATCH(B4418,Assumptions!$A$16:$A$20,0)))</f>
        <v>2211.84</v>
      </c>
      <c r="J4418" s="33" t="n">
        <f aca="false">H4418-I4418</f>
        <v>1028.16</v>
      </c>
      <c r="K4418" s="33" t="n">
        <f aca="false">IF(OR(E4418=0,E4418&gt;=7),0,D4418/(7-E4418)*E4418*INDEX(Products!$E$2:$E$49,MATCH(C4418,Products!$A$2:$A$49,0)))</f>
        <v>0</v>
      </c>
    </row>
    <row r="4419" customFormat="false" ht="15" hidden="false" customHeight="false" outlineLevel="0" collapsed="false">
      <c r="A4419" s="36" t="n">
        <v>46237</v>
      </c>
      <c r="B4419" s="24" t="s">
        <v>64</v>
      </c>
      <c r="C4419" s="24" t="s">
        <v>179</v>
      </c>
      <c r="D4419" s="33" t="n">
        <v>11</v>
      </c>
      <c r="E4419" s="24" t="n">
        <v>0</v>
      </c>
      <c r="F4419" s="37" t="n">
        <f aca="false">DATE(YEAR(A4419),MONTH(A4419),1)</f>
        <v>46235</v>
      </c>
      <c r="G4419" s="24" t="str">
        <f aca="false">INDEX(Products!$C$2:$C$49,MATCH(C4419,Products!$A$2:$A$49,0))</f>
        <v>Personal Care</v>
      </c>
      <c r="H4419" s="33" t="n">
        <f aca="false">D4419*INDEX(Products!$E$2:$E$49,MATCH(C4419,Products!$A$2:$A$49,0))</f>
        <v>1980</v>
      </c>
      <c r="I4419" s="33" t="n">
        <f aca="false">D4419*INDEX(Products!$D$2:$D$49,MATCH(C4419,Products!$A$2:$A$49,0))*(1+INDEX(Assumptions!$B$16:$B$20,MATCH(B4419,Assumptions!$A$16:$A$20,0)))</f>
        <v>1351.68</v>
      </c>
      <c r="J4419" s="33" t="n">
        <f aca="false">H4419-I4419</f>
        <v>628.32</v>
      </c>
      <c r="K4419" s="33" t="n">
        <f aca="false">IF(OR(E4419=0,E4419&gt;=7),0,D4419/(7-E4419)*E4419*INDEX(Products!$E$2:$E$49,MATCH(C4419,Products!$A$2:$A$49,0)))</f>
        <v>0</v>
      </c>
    </row>
    <row r="4420" customFormat="false" ht="15" hidden="false" customHeight="false" outlineLevel="0" collapsed="false">
      <c r="A4420" s="36" t="n">
        <v>46244</v>
      </c>
      <c r="B4420" s="24" t="s">
        <v>64</v>
      </c>
      <c r="C4420" s="24" t="s">
        <v>179</v>
      </c>
      <c r="D4420" s="33" t="n">
        <v>15</v>
      </c>
      <c r="E4420" s="24" t="n">
        <v>0</v>
      </c>
      <c r="F4420" s="37" t="n">
        <f aca="false">DATE(YEAR(A4420),MONTH(A4420),1)</f>
        <v>46235</v>
      </c>
      <c r="G4420" s="24" t="str">
        <f aca="false">INDEX(Products!$C$2:$C$49,MATCH(C4420,Products!$A$2:$A$49,0))</f>
        <v>Personal Care</v>
      </c>
      <c r="H4420" s="33" t="n">
        <f aca="false">D4420*INDEX(Products!$E$2:$E$49,MATCH(C4420,Products!$A$2:$A$49,0))</f>
        <v>2700</v>
      </c>
      <c r="I4420" s="33" t="n">
        <f aca="false">D4420*INDEX(Products!$D$2:$D$49,MATCH(C4420,Products!$A$2:$A$49,0))*(1+INDEX(Assumptions!$B$16:$B$20,MATCH(B4420,Assumptions!$A$16:$A$20,0)))</f>
        <v>1843.2</v>
      </c>
      <c r="J4420" s="33" t="n">
        <f aca="false">H4420-I4420</f>
        <v>856.8</v>
      </c>
      <c r="K4420" s="33" t="n">
        <f aca="false">IF(OR(E4420=0,E4420&gt;=7),0,D4420/(7-E4420)*E4420*INDEX(Products!$E$2:$E$49,MATCH(C4420,Products!$A$2:$A$49,0)))</f>
        <v>0</v>
      </c>
    </row>
    <row r="4421" customFormat="false" ht="15" hidden="false" customHeight="false" outlineLevel="0" collapsed="false">
      <c r="A4421" s="36" t="n">
        <v>46251</v>
      </c>
      <c r="B4421" s="24" t="s">
        <v>64</v>
      </c>
      <c r="C4421" s="24" t="s">
        <v>179</v>
      </c>
      <c r="D4421" s="33" t="n">
        <v>14</v>
      </c>
      <c r="E4421" s="24" t="n">
        <v>0</v>
      </c>
      <c r="F4421" s="37" t="n">
        <f aca="false">DATE(YEAR(A4421),MONTH(A4421),1)</f>
        <v>46235</v>
      </c>
      <c r="G4421" s="24" t="str">
        <f aca="false">INDEX(Products!$C$2:$C$49,MATCH(C4421,Products!$A$2:$A$49,0))</f>
        <v>Personal Care</v>
      </c>
      <c r="H4421" s="33" t="n">
        <f aca="false">D4421*INDEX(Products!$E$2:$E$49,MATCH(C4421,Products!$A$2:$A$49,0))</f>
        <v>2520</v>
      </c>
      <c r="I4421" s="33" t="n">
        <f aca="false">D4421*INDEX(Products!$D$2:$D$49,MATCH(C4421,Products!$A$2:$A$49,0))*(1+INDEX(Assumptions!$B$16:$B$20,MATCH(B4421,Assumptions!$A$16:$A$20,0)))</f>
        <v>1720.32</v>
      </c>
      <c r="J4421" s="33" t="n">
        <f aca="false">H4421-I4421</f>
        <v>799.68</v>
      </c>
      <c r="K4421" s="33" t="n">
        <f aca="false">IF(OR(E4421=0,E4421&gt;=7),0,D4421/(7-E4421)*E4421*INDEX(Products!$E$2:$E$49,MATCH(C4421,Products!$A$2:$A$49,0)))</f>
        <v>0</v>
      </c>
    </row>
    <row r="4422" customFormat="false" ht="15" hidden="false" customHeight="false" outlineLevel="0" collapsed="false">
      <c r="A4422" s="36" t="n">
        <v>46258</v>
      </c>
      <c r="B4422" s="24" t="s">
        <v>64</v>
      </c>
      <c r="C4422" s="24" t="s">
        <v>179</v>
      </c>
      <c r="D4422" s="33" t="n">
        <v>12</v>
      </c>
      <c r="E4422" s="24" t="n">
        <v>0</v>
      </c>
      <c r="F4422" s="37" t="n">
        <f aca="false">DATE(YEAR(A4422),MONTH(A4422),1)</f>
        <v>46235</v>
      </c>
      <c r="G4422" s="24" t="str">
        <f aca="false">INDEX(Products!$C$2:$C$49,MATCH(C4422,Products!$A$2:$A$49,0))</f>
        <v>Personal Care</v>
      </c>
      <c r="H4422" s="33" t="n">
        <f aca="false">D4422*INDEX(Products!$E$2:$E$49,MATCH(C4422,Products!$A$2:$A$49,0))</f>
        <v>2160</v>
      </c>
      <c r="I4422" s="33" t="n">
        <f aca="false">D4422*INDEX(Products!$D$2:$D$49,MATCH(C4422,Products!$A$2:$A$49,0))*(1+INDEX(Assumptions!$B$16:$B$20,MATCH(B4422,Assumptions!$A$16:$A$20,0)))</f>
        <v>1474.56</v>
      </c>
      <c r="J4422" s="33" t="n">
        <f aca="false">H4422-I4422</f>
        <v>685.44</v>
      </c>
      <c r="K4422" s="33" t="n">
        <f aca="false">IF(OR(E4422=0,E4422&gt;=7),0,D4422/(7-E4422)*E4422*INDEX(Products!$E$2:$E$49,MATCH(C4422,Products!$A$2:$A$49,0)))</f>
        <v>0</v>
      </c>
    </row>
    <row r="4423" customFormat="false" ht="15" hidden="false" customHeight="false" outlineLevel="0" collapsed="false">
      <c r="A4423" s="36" t="n">
        <v>46265</v>
      </c>
      <c r="B4423" s="24" t="s">
        <v>64</v>
      </c>
      <c r="C4423" s="24" t="s">
        <v>179</v>
      </c>
      <c r="D4423" s="33" t="n">
        <v>9</v>
      </c>
      <c r="E4423" s="24" t="n">
        <v>0</v>
      </c>
      <c r="F4423" s="37" t="n">
        <f aca="false">DATE(YEAR(A4423),MONTH(A4423),1)</f>
        <v>46235</v>
      </c>
      <c r="G4423" s="24" t="str">
        <f aca="false">INDEX(Products!$C$2:$C$49,MATCH(C4423,Products!$A$2:$A$49,0))</f>
        <v>Personal Care</v>
      </c>
      <c r="H4423" s="33" t="n">
        <f aca="false">D4423*INDEX(Products!$E$2:$E$49,MATCH(C4423,Products!$A$2:$A$49,0))</f>
        <v>1620</v>
      </c>
      <c r="I4423" s="33" t="n">
        <f aca="false">D4423*INDEX(Products!$D$2:$D$49,MATCH(C4423,Products!$A$2:$A$49,0))*(1+INDEX(Assumptions!$B$16:$B$20,MATCH(B4423,Assumptions!$A$16:$A$20,0)))</f>
        <v>1105.92</v>
      </c>
      <c r="J4423" s="33" t="n">
        <f aca="false">H4423-I4423</f>
        <v>514.08</v>
      </c>
      <c r="K4423" s="33" t="n">
        <f aca="false">IF(OR(E4423=0,E4423&gt;=7),0,D4423/(7-E4423)*E4423*INDEX(Products!$E$2:$E$49,MATCH(C4423,Products!$A$2:$A$49,0)))</f>
        <v>0</v>
      </c>
    </row>
    <row r="4424" customFormat="false" ht="15" hidden="false" customHeight="false" outlineLevel="0" collapsed="false">
      <c r="A4424" s="36" t="n">
        <v>46272</v>
      </c>
      <c r="B4424" s="24" t="s">
        <v>64</v>
      </c>
      <c r="C4424" s="24" t="s">
        <v>179</v>
      </c>
      <c r="D4424" s="33" t="n">
        <v>14</v>
      </c>
      <c r="E4424" s="24" t="n">
        <v>0</v>
      </c>
      <c r="F4424" s="37" t="n">
        <f aca="false">DATE(YEAR(A4424),MONTH(A4424),1)</f>
        <v>46266</v>
      </c>
      <c r="G4424" s="24" t="str">
        <f aca="false">INDEX(Products!$C$2:$C$49,MATCH(C4424,Products!$A$2:$A$49,0))</f>
        <v>Personal Care</v>
      </c>
      <c r="H4424" s="33" t="n">
        <f aca="false">D4424*INDEX(Products!$E$2:$E$49,MATCH(C4424,Products!$A$2:$A$49,0))</f>
        <v>2520</v>
      </c>
      <c r="I4424" s="33" t="n">
        <f aca="false">D4424*INDEX(Products!$D$2:$D$49,MATCH(C4424,Products!$A$2:$A$49,0))*(1+INDEX(Assumptions!$B$16:$B$20,MATCH(B4424,Assumptions!$A$16:$A$20,0)))</f>
        <v>1720.32</v>
      </c>
      <c r="J4424" s="33" t="n">
        <f aca="false">H4424-I4424</f>
        <v>799.68</v>
      </c>
      <c r="K4424" s="33" t="n">
        <f aca="false">IF(OR(E4424=0,E4424&gt;=7),0,D4424/(7-E4424)*E4424*INDEX(Products!$E$2:$E$49,MATCH(C4424,Products!$A$2:$A$49,0)))</f>
        <v>0</v>
      </c>
    </row>
    <row r="4425" customFormat="false" ht="15" hidden="false" customHeight="false" outlineLevel="0" collapsed="false">
      <c r="A4425" s="36" t="n">
        <v>46279</v>
      </c>
      <c r="B4425" s="24" t="s">
        <v>64</v>
      </c>
      <c r="C4425" s="24" t="s">
        <v>179</v>
      </c>
      <c r="D4425" s="33" t="n">
        <v>12</v>
      </c>
      <c r="E4425" s="24" t="n">
        <v>0</v>
      </c>
      <c r="F4425" s="37" t="n">
        <f aca="false">DATE(YEAR(A4425),MONTH(A4425),1)</f>
        <v>46266</v>
      </c>
      <c r="G4425" s="24" t="str">
        <f aca="false">INDEX(Products!$C$2:$C$49,MATCH(C4425,Products!$A$2:$A$49,0))</f>
        <v>Personal Care</v>
      </c>
      <c r="H4425" s="33" t="n">
        <f aca="false">D4425*INDEX(Products!$E$2:$E$49,MATCH(C4425,Products!$A$2:$A$49,0))</f>
        <v>2160</v>
      </c>
      <c r="I4425" s="33" t="n">
        <f aca="false">D4425*INDEX(Products!$D$2:$D$49,MATCH(C4425,Products!$A$2:$A$49,0))*(1+INDEX(Assumptions!$B$16:$B$20,MATCH(B4425,Assumptions!$A$16:$A$20,0)))</f>
        <v>1474.56</v>
      </c>
      <c r="J4425" s="33" t="n">
        <f aca="false">H4425-I4425</f>
        <v>685.44</v>
      </c>
      <c r="K4425" s="33" t="n">
        <f aca="false">IF(OR(E4425=0,E4425&gt;=7),0,D4425/(7-E4425)*E4425*INDEX(Products!$E$2:$E$49,MATCH(C4425,Products!$A$2:$A$49,0)))</f>
        <v>0</v>
      </c>
    </row>
    <row r="4426" customFormat="false" ht="15" hidden="false" customHeight="false" outlineLevel="0" collapsed="false">
      <c r="A4426" s="36" t="n">
        <v>46286</v>
      </c>
      <c r="B4426" s="24" t="s">
        <v>64</v>
      </c>
      <c r="C4426" s="24" t="s">
        <v>179</v>
      </c>
      <c r="D4426" s="33" t="n">
        <v>9</v>
      </c>
      <c r="E4426" s="24" t="n">
        <v>0</v>
      </c>
      <c r="F4426" s="37" t="n">
        <f aca="false">DATE(YEAR(A4426),MONTH(A4426),1)</f>
        <v>46266</v>
      </c>
      <c r="G4426" s="24" t="str">
        <f aca="false">INDEX(Products!$C$2:$C$49,MATCH(C4426,Products!$A$2:$A$49,0))</f>
        <v>Personal Care</v>
      </c>
      <c r="H4426" s="33" t="n">
        <f aca="false">D4426*INDEX(Products!$E$2:$E$49,MATCH(C4426,Products!$A$2:$A$49,0))</f>
        <v>1620</v>
      </c>
      <c r="I4426" s="33" t="n">
        <f aca="false">D4426*INDEX(Products!$D$2:$D$49,MATCH(C4426,Products!$A$2:$A$49,0))*(1+INDEX(Assumptions!$B$16:$B$20,MATCH(B4426,Assumptions!$A$16:$A$20,0)))</f>
        <v>1105.92</v>
      </c>
      <c r="J4426" s="33" t="n">
        <f aca="false">H4426-I4426</f>
        <v>514.08</v>
      </c>
      <c r="K4426" s="33" t="n">
        <f aca="false">IF(OR(E4426=0,E4426&gt;=7),0,D4426/(7-E4426)*E4426*INDEX(Products!$E$2:$E$49,MATCH(C4426,Products!$A$2:$A$49,0)))</f>
        <v>0</v>
      </c>
    </row>
    <row r="4427" customFormat="false" ht="15" hidden="false" customHeight="false" outlineLevel="0" collapsed="false">
      <c r="A4427" s="36" t="n">
        <v>46118</v>
      </c>
      <c r="B4427" s="24" t="s">
        <v>64</v>
      </c>
      <c r="C4427" s="24" t="s">
        <v>181</v>
      </c>
      <c r="D4427" s="33" t="n">
        <v>57</v>
      </c>
      <c r="E4427" s="24" t="n">
        <v>0</v>
      </c>
      <c r="F4427" s="37" t="n">
        <f aca="false">DATE(YEAR(A4427),MONTH(A4427),1)</f>
        <v>46113</v>
      </c>
      <c r="G4427" s="24" t="str">
        <f aca="false">INDEX(Products!$C$2:$C$49,MATCH(C4427,Products!$A$2:$A$49,0))</f>
        <v>Personal Care</v>
      </c>
      <c r="H4427" s="33" t="n">
        <f aca="false">D4427*INDEX(Products!$E$2:$E$49,MATCH(C4427,Products!$A$2:$A$49,0))</f>
        <v>19950</v>
      </c>
      <c r="I4427" s="33" t="n">
        <f aca="false">D4427*INDEX(Products!$D$2:$D$49,MATCH(C4427,Products!$A$2:$A$49,0))*(1+INDEX(Assumptions!$B$16:$B$20,MATCH(B4427,Assumptions!$A$16:$A$20,0)))</f>
        <v>14416.896</v>
      </c>
      <c r="J4427" s="33" t="n">
        <f aca="false">H4427-I4427</f>
        <v>5533.104</v>
      </c>
      <c r="K4427" s="33" t="n">
        <f aca="false">IF(OR(E4427=0,E4427&gt;=7),0,D4427/(7-E4427)*E4427*INDEX(Products!$E$2:$E$49,MATCH(C4427,Products!$A$2:$A$49,0)))</f>
        <v>0</v>
      </c>
    </row>
    <row r="4428" customFormat="false" ht="15" hidden="false" customHeight="false" outlineLevel="0" collapsed="false">
      <c r="A4428" s="36" t="n">
        <v>46125</v>
      </c>
      <c r="B4428" s="24" t="s">
        <v>64</v>
      </c>
      <c r="C4428" s="24" t="s">
        <v>181</v>
      </c>
      <c r="D4428" s="33" t="n">
        <v>60</v>
      </c>
      <c r="E4428" s="24" t="n">
        <v>0</v>
      </c>
      <c r="F4428" s="37" t="n">
        <f aca="false">DATE(YEAR(A4428),MONTH(A4428),1)</f>
        <v>46113</v>
      </c>
      <c r="G4428" s="24" t="str">
        <f aca="false">INDEX(Products!$C$2:$C$49,MATCH(C4428,Products!$A$2:$A$49,0))</f>
        <v>Personal Care</v>
      </c>
      <c r="H4428" s="33" t="n">
        <f aca="false">D4428*INDEX(Products!$E$2:$E$49,MATCH(C4428,Products!$A$2:$A$49,0))</f>
        <v>21000</v>
      </c>
      <c r="I4428" s="33" t="n">
        <f aca="false">D4428*INDEX(Products!$D$2:$D$49,MATCH(C4428,Products!$A$2:$A$49,0))*(1+INDEX(Assumptions!$B$16:$B$20,MATCH(B4428,Assumptions!$A$16:$A$20,0)))</f>
        <v>15175.68</v>
      </c>
      <c r="J4428" s="33" t="n">
        <f aca="false">H4428-I4428</f>
        <v>5824.32</v>
      </c>
      <c r="K4428" s="33" t="n">
        <f aca="false">IF(OR(E4428=0,E4428&gt;=7),0,D4428/(7-E4428)*E4428*INDEX(Products!$E$2:$E$49,MATCH(C4428,Products!$A$2:$A$49,0)))</f>
        <v>0</v>
      </c>
    </row>
    <row r="4429" customFormat="false" ht="15" hidden="false" customHeight="false" outlineLevel="0" collapsed="false">
      <c r="A4429" s="36" t="n">
        <v>46132</v>
      </c>
      <c r="B4429" s="24" t="s">
        <v>64</v>
      </c>
      <c r="C4429" s="24" t="s">
        <v>181</v>
      </c>
      <c r="D4429" s="33" t="n">
        <v>56</v>
      </c>
      <c r="E4429" s="24" t="n">
        <v>0</v>
      </c>
      <c r="F4429" s="37" t="n">
        <f aca="false">DATE(YEAR(A4429),MONTH(A4429),1)</f>
        <v>46113</v>
      </c>
      <c r="G4429" s="24" t="str">
        <f aca="false">INDEX(Products!$C$2:$C$49,MATCH(C4429,Products!$A$2:$A$49,0))</f>
        <v>Personal Care</v>
      </c>
      <c r="H4429" s="33" t="n">
        <f aca="false">D4429*INDEX(Products!$E$2:$E$49,MATCH(C4429,Products!$A$2:$A$49,0))</f>
        <v>19600</v>
      </c>
      <c r="I4429" s="33" t="n">
        <f aca="false">D4429*INDEX(Products!$D$2:$D$49,MATCH(C4429,Products!$A$2:$A$49,0))*(1+INDEX(Assumptions!$B$16:$B$20,MATCH(B4429,Assumptions!$A$16:$A$20,0)))</f>
        <v>14163.968</v>
      </c>
      <c r="J4429" s="33" t="n">
        <f aca="false">H4429-I4429</f>
        <v>5436.032</v>
      </c>
      <c r="K4429" s="33" t="n">
        <f aca="false">IF(OR(E4429=0,E4429&gt;=7),0,D4429/(7-E4429)*E4429*INDEX(Products!$E$2:$E$49,MATCH(C4429,Products!$A$2:$A$49,0)))</f>
        <v>0</v>
      </c>
    </row>
    <row r="4430" customFormat="false" ht="15" hidden="false" customHeight="false" outlineLevel="0" collapsed="false">
      <c r="A4430" s="36" t="n">
        <v>46139</v>
      </c>
      <c r="B4430" s="24" t="s">
        <v>64</v>
      </c>
      <c r="C4430" s="24" t="s">
        <v>181</v>
      </c>
      <c r="D4430" s="33" t="n">
        <v>61</v>
      </c>
      <c r="E4430" s="24" t="n">
        <v>0</v>
      </c>
      <c r="F4430" s="37" t="n">
        <f aca="false">DATE(YEAR(A4430),MONTH(A4430),1)</f>
        <v>46113</v>
      </c>
      <c r="G4430" s="24" t="str">
        <f aca="false">INDEX(Products!$C$2:$C$49,MATCH(C4430,Products!$A$2:$A$49,0))</f>
        <v>Personal Care</v>
      </c>
      <c r="H4430" s="33" t="n">
        <f aca="false">D4430*INDEX(Products!$E$2:$E$49,MATCH(C4430,Products!$A$2:$A$49,0))</f>
        <v>21350</v>
      </c>
      <c r="I4430" s="33" t="n">
        <f aca="false">D4430*INDEX(Products!$D$2:$D$49,MATCH(C4430,Products!$A$2:$A$49,0))*(1+INDEX(Assumptions!$B$16:$B$20,MATCH(B4430,Assumptions!$A$16:$A$20,0)))</f>
        <v>15428.608</v>
      </c>
      <c r="J4430" s="33" t="n">
        <f aca="false">H4430-I4430</f>
        <v>5921.392</v>
      </c>
      <c r="K4430" s="33" t="n">
        <f aca="false">IF(OR(E4430=0,E4430&gt;=7),0,D4430/(7-E4430)*E4430*INDEX(Products!$E$2:$E$49,MATCH(C4430,Products!$A$2:$A$49,0)))</f>
        <v>0</v>
      </c>
    </row>
    <row r="4431" customFormat="false" ht="15" hidden="false" customHeight="false" outlineLevel="0" collapsed="false">
      <c r="A4431" s="36" t="n">
        <v>46146</v>
      </c>
      <c r="B4431" s="24" t="s">
        <v>64</v>
      </c>
      <c r="C4431" s="24" t="s">
        <v>181</v>
      </c>
      <c r="D4431" s="33" t="n">
        <v>55</v>
      </c>
      <c r="E4431" s="24" t="n">
        <v>0</v>
      </c>
      <c r="F4431" s="37" t="n">
        <f aca="false">DATE(YEAR(A4431),MONTH(A4431),1)</f>
        <v>46143</v>
      </c>
      <c r="G4431" s="24" t="str">
        <f aca="false">INDEX(Products!$C$2:$C$49,MATCH(C4431,Products!$A$2:$A$49,0))</f>
        <v>Personal Care</v>
      </c>
      <c r="H4431" s="33" t="n">
        <f aca="false">D4431*INDEX(Products!$E$2:$E$49,MATCH(C4431,Products!$A$2:$A$49,0))</f>
        <v>19250</v>
      </c>
      <c r="I4431" s="33" t="n">
        <f aca="false">D4431*INDEX(Products!$D$2:$D$49,MATCH(C4431,Products!$A$2:$A$49,0))*(1+INDEX(Assumptions!$B$16:$B$20,MATCH(B4431,Assumptions!$A$16:$A$20,0)))</f>
        <v>13911.04</v>
      </c>
      <c r="J4431" s="33" t="n">
        <f aca="false">H4431-I4431</f>
        <v>5338.96</v>
      </c>
      <c r="K4431" s="33" t="n">
        <f aca="false">IF(OR(E4431=0,E4431&gt;=7),0,D4431/(7-E4431)*E4431*INDEX(Products!$E$2:$E$49,MATCH(C4431,Products!$A$2:$A$49,0)))</f>
        <v>0</v>
      </c>
    </row>
    <row r="4432" customFormat="false" ht="15" hidden="false" customHeight="false" outlineLevel="0" collapsed="false">
      <c r="A4432" s="36" t="n">
        <v>46153</v>
      </c>
      <c r="B4432" s="24" t="s">
        <v>64</v>
      </c>
      <c r="C4432" s="24" t="s">
        <v>181</v>
      </c>
      <c r="D4432" s="33" t="n">
        <v>51</v>
      </c>
      <c r="E4432" s="24" t="n">
        <v>0</v>
      </c>
      <c r="F4432" s="37" t="n">
        <f aca="false">DATE(YEAR(A4432),MONTH(A4432),1)</f>
        <v>46143</v>
      </c>
      <c r="G4432" s="24" t="str">
        <f aca="false">INDEX(Products!$C$2:$C$49,MATCH(C4432,Products!$A$2:$A$49,0))</f>
        <v>Personal Care</v>
      </c>
      <c r="H4432" s="33" t="n">
        <f aca="false">D4432*INDEX(Products!$E$2:$E$49,MATCH(C4432,Products!$A$2:$A$49,0))</f>
        <v>17850</v>
      </c>
      <c r="I4432" s="33" t="n">
        <f aca="false">D4432*INDEX(Products!$D$2:$D$49,MATCH(C4432,Products!$A$2:$A$49,0))*(1+INDEX(Assumptions!$B$16:$B$20,MATCH(B4432,Assumptions!$A$16:$A$20,0)))</f>
        <v>12899.328</v>
      </c>
      <c r="J4432" s="33" t="n">
        <f aca="false">H4432-I4432</f>
        <v>4950.672</v>
      </c>
      <c r="K4432" s="33" t="n">
        <f aca="false">IF(OR(E4432=0,E4432&gt;=7),0,D4432/(7-E4432)*E4432*INDEX(Products!$E$2:$E$49,MATCH(C4432,Products!$A$2:$A$49,0)))</f>
        <v>0</v>
      </c>
    </row>
    <row r="4433" customFormat="false" ht="15" hidden="false" customHeight="false" outlineLevel="0" collapsed="false">
      <c r="A4433" s="36" t="n">
        <v>46160</v>
      </c>
      <c r="B4433" s="24" t="s">
        <v>64</v>
      </c>
      <c r="C4433" s="24" t="s">
        <v>181</v>
      </c>
      <c r="D4433" s="33" t="n">
        <v>55</v>
      </c>
      <c r="E4433" s="24" t="n">
        <v>0</v>
      </c>
      <c r="F4433" s="37" t="n">
        <f aca="false">DATE(YEAR(A4433),MONTH(A4433),1)</f>
        <v>46143</v>
      </c>
      <c r="G4433" s="24" t="str">
        <f aca="false">INDEX(Products!$C$2:$C$49,MATCH(C4433,Products!$A$2:$A$49,0))</f>
        <v>Personal Care</v>
      </c>
      <c r="H4433" s="33" t="n">
        <f aca="false">D4433*INDEX(Products!$E$2:$E$49,MATCH(C4433,Products!$A$2:$A$49,0))</f>
        <v>19250</v>
      </c>
      <c r="I4433" s="33" t="n">
        <f aca="false">D4433*INDEX(Products!$D$2:$D$49,MATCH(C4433,Products!$A$2:$A$49,0))*(1+INDEX(Assumptions!$B$16:$B$20,MATCH(B4433,Assumptions!$A$16:$A$20,0)))</f>
        <v>13911.04</v>
      </c>
      <c r="J4433" s="33" t="n">
        <f aca="false">H4433-I4433</f>
        <v>5338.96</v>
      </c>
      <c r="K4433" s="33" t="n">
        <f aca="false">IF(OR(E4433=0,E4433&gt;=7),0,D4433/(7-E4433)*E4433*INDEX(Products!$E$2:$E$49,MATCH(C4433,Products!$A$2:$A$49,0)))</f>
        <v>0</v>
      </c>
    </row>
    <row r="4434" customFormat="false" ht="15" hidden="false" customHeight="false" outlineLevel="0" collapsed="false">
      <c r="A4434" s="36" t="n">
        <v>46167</v>
      </c>
      <c r="B4434" s="24" t="s">
        <v>64</v>
      </c>
      <c r="C4434" s="24" t="s">
        <v>181</v>
      </c>
      <c r="D4434" s="33" t="n">
        <v>51</v>
      </c>
      <c r="E4434" s="24" t="n">
        <v>0</v>
      </c>
      <c r="F4434" s="37" t="n">
        <f aca="false">DATE(YEAR(A4434),MONTH(A4434),1)</f>
        <v>46143</v>
      </c>
      <c r="G4434" s="24" t="str">
        <f aca="false">INDEX(Products!$C$2:$C$49,MATCH(C4434,Products!$A$2:$A$49,0))</f>
        <v>Personal Care</v>
      </c>
      <c r="H4434" s="33" t="n">
        <f aca="false">D4434*INDEX(Products!$E$2:$E$49,MATCH(C4434,Products!$A$2:$A$49,0))</f>
        <v>17850</v>
      </c>
      <c r="I4434" s="33" t="n">
        <f aca="false">D4434*INDEX(Products!$D$2:$D$49,MATCH(C4434,Products!$A$2:$A$49,0))*(1+INDEX(Assumptions!$B$16:$B$20,MATCH(B4434,Assumptions!$A$16:$A$20,0)))</f>
        <v>12899.328</v>
      </c>
      <c r="J4434" s="33" t="n">
        <f aca="false">H4434-I4434</f>
        <v>4950.672</v>
      </c>
      <c r="K4434" s="33" t="n">
        <f aca="false">IF(OR(E4434=0,E4434&gt;=7),0,D4434/(7-E4434)*E4434*INDEX(Products!$E$2:$E$49,MATCH(C4434,Products!$A$2:$A$49,0)))</f>
        <v>0</v>
      </c>
    </row>
    <row r="4435" customFormat="false" ht="15" hidden="false" customHeight="false" outlineLevel="0" collapsed="false">
      <c r="A4435" s="36" t="n">
        <v>46174</v>
      </c>
      <c r="B4435" s="24" t="s">
        <v>64</v>
      </c>
      <c r="C4435" s="24" t="s">
        <v>181</v>
      </c>
      <c r="D4435" s="33" t="n">
        <v>49</v>
      </c>
      <c r="E4435" s="24" t="n">
        <v>0</v>
      </c>
      <c r="F4435" s="37" t="n">
        <f aca="false">DATE(YEAR(A4435),MONTH(A4435),1)</f>
        <v>46174</v>
      </c>
      <c r="G4435" s="24" t="str">
        <f aca="false">INDEX(Products!$C$2:$C$49,MATCH(C4435,Products!$A$2:$A$49,0))</f>
        <v>Personal Care</v>
      </c>
      <c r="H4435" s="33" t="n">
        <f aca="false">D4435*INDEX(Products!$E$2:$E$49,MATCH(C4435,Products!$A$2:$A$49,0))</f>
        <v>17150</v>
      </c>
      <c r="I4435" s="33" t="n">
        <f aca="false">D4435*INDEX(Products!$D$2:$D$49,MATCH(C4435,Products!$A$2:$A$49,0))*(1+INDEX(Assumptions!$B$16:$B$20,MATCH(B4435,Assumptions!$A$16:$A$20,0)))</f>
        <v>12393.472</v>
      </c>
      <c r="J4435" s="33" t="n">
        <f aca="false">H4435-I4435</f>
        <v>4756.528</v>
      </c>
      <c r="K4435" s="33" t="n">
        <f aca="false">IF(OR(E4435=0,E4435&gt;=7),0,D4435/(7-E4435)*E4435*INDEX(Products!$E$2:$E$49,MATCH(C4435,Products!$A$2:$A$49,0)))</f>
        <v>0</v>
      </c>
    </row>
    <row r="4436" customFormat="false" ht="15" hidden="false" customHeight="false" outlineLevel="0" collapsed="false">
      <c r="A4436" s="36" t="n">
        <v>46181</v>
      </c>
      <c r="B4436" s="24" t="s">
        <v>64</v>
      </c>
      <c r="C4436" s="24" t="s">
        <v>181</v>
      </c>
      <c r="D4436" s="33" t="n">
        <v>72</v>
      </c>
      <c r="E4436" s="24" t="n">
        <v>0</v>
      </c>
      <c r="F4436" s="37" t="n">
        <f aca="false">DATE(YEAR(A4436),MONTH(A4436),1)</f>
        <v>46174</v>
      </c>
      <c r="G4436" s="24" t="str">
        <f aca="false">INDEX(Products!$C$2:$C$49,MATCH(C4436,Products!$A$2:$A$49,0))</f>
        <v>Personal Care</v>
      </c>
      <c r="H4436" s="33" t="n">
        <f aca="false">D4436*INDEX(Products!$E$2:$E$49,MATCH(C4436,Products!$A$2:$A$49,0))</f>
        <v>25200</v>
      </c>
      <c r="I4436" s="33" t="n">
        <f aca="false">D4436*INDEX(Products!$D$2:$D$49,MATCH(C4436,Products!$A$2:$A$49,0))*(1+INDEX(Assumptions!$B$16:$B$20,MATCH(B4436,Assumptions!$A$16:$A$20,0)))</f>
        <v>18210.816</v>
      </c>
      <c r="J4436" s="33" t="n">
        <f aca="false">H4436-I4436</f>
        <v>6989.184</v>
      </c>
      <c r="K4436" s="33" t="n">
        <f aca="false">IF(OR(E4436=0,E4436&gt;=7),0,D4436/(7-E4436)*E4436*INDEX(Products!$E$2:$E$49,MATCH(C4436,Products!$A$2:$A$49,0)))</f>
        <v>0</v>
      </c>
    </row>
    <row r="4437" customFormat="false" ht="15" hidden="false" customHeight="false" outlineLevel="0" collapsed="false">
      <c r="A4437" s="36" t="n">
        <v>46188</v>
      </c>
      <c r="B4437" s="24" t="s">
        <v>64</v>
      </c>
      <c r="C4437" s="24" t="s">
        <v>181</v>
      </c>
      <c r="D4437" s="33" t="n">
        <v>68</v>
      </c>
      <c r="E4437" s="24" t="n">
        <v>0</v>
      </c>
      <c r="F4437" s="37" t="n">
        <f aca="false">DATE(YEAR(A4437),MONTH(A4437),1)</f>
        <v>46174</v>
      </c>
      <c r="G4437" s="24" t="str">
        <f aca="false">INDEX(Products!$C$2:$C$49,MATCH(C4437,Products!$A$2:$A$49,0))</f>
        <v>Personal Care</v>
      </c>
      <c r="H4437" s="33" t="n">
        <f aca="false">D4437*INDEX(Products!$E$2:$E$49,MATCH(C4437,Products!$A$2:$A$49,0))</f>
        <v>23800</v>
      </c>
      <c r="I4437" s="33" t="n">
        <f aca="false">D4437*INDEX(Products!$D$2:$D$49,MATCH(C4437,Products!$A$2:$A$49,0))*(1+INDEX(Assumptions!$B$16:$B$20,MATCH(B4437,Assumptions!$A$16:$A$20,0)))</f>
        <v>17199.104</v>
      </c>
      <c r="J4437" s="33" t="n">
        <f aca="false">H4437-I4437</f>
        <v>6600.896</v>
      </c>
      <c r="K4437" s="33" t="n">
        <f aca="false">IF(OR(E4437=0,E4437&gt;=7),0,D4437/(7-E4437)*E4437*INDEX(Products!$E$2:$E$49,MATCH(C4437,Products!$A$2:$A$49,0)))</f>
        <v>0</v>
      </c>
    </row>
    <row r="4438" customFormat="false" ht="15" hidden="false" customHeight="false" outlineLevel="0" collapsed="false">
      <c r="A4438" s="36" t="n">
        <v>46195</v>
      </c>
      <c r="B4438" s="24" t="s">
        <v>64</v>
      </c>
      <c r="C4438" s="24" t="s">
        <v>181</v>
      </c>
      <c r="D4438" s="33" t="n">
        <v>57</v>
      </c>
      <c r="E4438" s="24" t="n">
        <v>0</v>
      </c>
      <c r="F4438" s="37" t="n">
        <f aca="false">DATE(YEAR(A4438),MONTH(A4438),1)</f>
        <v>46174</v>
      </c>
      <c r="G4438" s="24" t="str">
        <f aca="false">INDEX(Products!$C$2:$C$49,MATCH(C4438,Products!$A$2:$A$49,0))</f>
        <v>Personal Care</v>
      </c>
      <c r="H4438" s="33" t="n">
        <f aca="false">D4438*INDEX(Products!$E$2:$E$49,MATCH(C4438,Products!$A$2:$A$49,0))</f>
        <v>19950</v>
      </c>
      <c r="I4438" s="33" t="n">
        <f aca="false">D4438*INDEX(Products!$D$2:$D$49,MATCH(C4438,Products!$A$2:$A$49,0))*(1+INDEX(Assumptions!$B$16:$B$20,MATCH(B4438,Assumptions!$A$16:$A$20,0)))</f>
        <v>14416.896</v>
      </c>
      <c r="J4438" s="33" t="n">
        <f aca="false">H4438-I4438</f>
        <v>5533.104</v>
      </c>
      <c r="K4438" s="33" t="n">
        <f aca="false">IF(OR(E4438=0,E4438&gt;=7),0,D4438/(7-E4438)*E4438*INDEX(Products!$E$2:$E$49,MATCH(C4438,Products!$A$2:$A$49,0)))</f>
        <v>0</v>
      </c>
    </row>
    <row r="4439" customFormat="false" ht="15" hidden="false" customHeight="false" outlineLevel="0" collapsed="false">
      <c r="A4439" s="36" t="n">
        <v>46202</v>
      </c>
      <c r="B4439" s="24" t="s">
        <v>64</v>
      </c>
      <c r="C4439" s="24" t="s">
        <v>181</v>
      </c>
      <c r="D4439" s="33" t="n">
        <v>62</v>
      </c>
      <c r="E4439" s="24" t="n">
        <v>0</v>
      </c>
      <c r="F4439" s="37" t="n">
        <f aca="false">DATE(YEAR(A4439),MONTH(A4439),1)</f>
        <v>46174</v>
      </c>
      <c r="G4439" s="24" t="str">
        <f aca="false">INDEX(Products!$C$2:$C$49,MATCH(C4439,Products!$A$2:$A$49,0))</f>
        <v>Personal Care</v>
      </c>
      <c r="H4439" s="33" t="n">
        <f aca="false">D4439*INDEX(Products!$E$2:$E$49,MATCH(C4439,Products!$A$2:$A$49,0))</f>
        <v>21700</v>
      </c>
      <c r="I4439" s="33" t="n">
        <f aca="false">D4439*INDEX(Products!$D$2:$D$49,MATCH(C4439,Products!$A$2:$A$49,0))*(1+INDEX(Assumptions!$B$16:$B$20,MATCH(B4439,Assumptions!$A$16:$A$20,0)))</f>
        <v>15681.536</v>
      </c>
      <c r="J4439" s="33" t="n">
        <f aca="false">H4439-I4439</f>
        <v>6018.464</v>
      </c>
      <c r="K4439" s="33" t="n">
        <f aca="false">IF(OR(E4439=0,E4439&gt;=7),0,D4439/(7-E4439)*E4439*INDEX(Products!$E$2:$E$49,MATCH(C4439,Products!$A$2:$A$49,0)))</f>
        <v>0</v>
      </c>
    </row>
    <row r="4440" customFormat="false" ht="15" hidden="false" customHeight="false" outlineLevel="0" collapsed="false">
      <c r="A4440" s="36" t="n">
        <v>46209</v>
      </c>
      <c r="B4440" s="24" t="s">
        <v>64</v>
      </c>
      <c r="C4440" s="24" t="s">
        <v>181</v>
      </c>
      <c r="D4440" s="33" t="n">
        <v>69</v>
      </c>
      <c r="E4440" s="24" t="n">
        <v>0</v>
      </c>
      <c r="F4440" s="37" t="n">
        <f aca="false">DATE(YEAR(A4440),MONTH(A4440),1)</f>
        <v>46204</v>
      </c>
      <c r="G4440" s="24" t="str">
        <f aca="false">INDEX(Products!$C$2:$C$49,MATCH(C4440,Products!$A$2:$A$49,0))</f>
        <v>Personal Care</v>
      </c>
      <c r="H4440" s="33" t="n">
        <f aca="false">D4440*INDEX(Products!$E$2:$E$49,MATCH(C4440,Products!$A$2:$A$49,0))</f>
        <v>24150</v>
      </c>
      <c r="I4440" s="33" t="n">
        <f aca="false">D4440*INDEX(Products!$D$2:$D$49,MATCH(C4440,Products!$A$2:$A$49,0))*(1+INDEX(Assumptions!$B$16:$B$20,MATCH(B4440,Assumptions!$A$16:$A$20,0)))</f>
        <v>17452.032</v>
      </c>
      <c r="J4440" s="33" t="n">
        <f aca="false">H4440-I4440</f>
        <v>6697.968</v>
      </c>
      <c r="K4440" s="33" t="n">
        <f aca="false">IF(OR(E4440=0,E4440&gt;=7),0,D4440/(7-E4440)*E4440*INDEX(Products!$E$2:$E$49,MATCH(C4440,Products!$A$2:$A$49,0)))</f>
        <v>0</v>
      </c>
    </row>
    <row r="4441" customFormat="false" ht="15" hidden="false" customHeight="false" outlineLevel="0" collapsed="false">
      <c r="A4441" s="36" t="n">
        <v>46216</v>
      </c>
      <c r="B4441" s="24" t="s">
        <v>64</v>
      </c>
      <c r="C4441" s="24" t="s">
        <v>181</v>
      </c>
      <c r="D4441" s="33" t="n">
        <v>66</v>
      </c>
      <c r="E4441" s="24" t="n">
        <v>0</v>
      </c>
      <c r="F4441" s="37" t="n">
        <f aca="false">DATE(YEAR(A4441),MONTH(A4441),1)</f>
        <v>46204</v>
      </c>
      <c r="G4441" s="24" t="str">
        <f aca="false">INDEX(Products!$C$2:$C$49,MATCH(C4441,Products!$A$2:$A$49,0))</f>
        <v>Personal Care</v>
      </c>
      <c r="H4441" s="33" t="n">
        <f aca="false">D4441*INDEX(Products!$E$2:$E$49,MATCH(C4441,Products!$A$2:$A$49,0))</f>
        <v>23100</v>
      </c>
      <c r="I4441" s="33" t="n">
        <f aca="false">D4441*INDEX(Products!$D$2:$D$49,MATCH(C4441,Products!$A$2:$A$49,0))*(1+INDEX(Assumptions!$B$16:$B$20,MATCH(B4441,Assumptions!$A$16:$A$20,0)))</f>
        <v>16693.248</v>
      </c>
      <c r="J4441" s="33" t="n">
        <f aca="false">H4441-I4441</f>
        <v>6406.752</v>
      </c>
      <c r="K4441" s="33" t="n">
        <f aca="false">IF(OR(E4441=0,E4441&gt;=7),0,D4441/(7-E4441)*E4441*INDEX(Products!$E$2:$E$49,MATCH(C4441,Products!$A$2:$A$49,0)))</f>
        <v>0</v>
      </c>
    </row>
    <row r="4442" customFormat="false" ht="15" hidden="false" customHeight="false" outlineLevel="0" collapsed="false">
      <c r="A4442" s="36" t="n">
        <v>46223</v>
      </c>
      <c r="B4442" s="24" t="s">
        <v>64</v>
      </c>
      <c r="C4442" s="24" t="s">
        <v>181</v>
      </c>
      <c r="D4442" s="33" t="n">
        <v>65</v>
      </c>
      <c r="E4442" s="24" t="n">
        <v>0</v>
      </c>
      <c r="F4442" s="37" t="n">
        <f aca="false">DATE(YEAR(A4442),MONTH(A4442),1)</f>
        <v>46204</v>
      </c>
      <c r="G4442" s="24" t="str">
        <f aca="false">INDEX(Products!$C$2:$C$49,MATCH(C4442,Products!$A$2:$A$49,0))</f>
        <v>Personal Care</v>
      </c>
      <c r="H4442" s="33" t="n">
        <f aca="false">D4442*INDEX(Products!$E$2:$E$49,MATCH(C4442,Products!$A$2:$A$49,0))</f>
        <v>22750</v>
      </c>
      <c r="I4442" s="33" t="n">
        <f aca="false">D4442*INDEX(Products!$D$2:$D$49,MATCH(C4442,Products!$A$2:$A$49,0))*(1+INDEX(Assumptions!$B$16:$B$20,MATCH(B4442,Assumptions!$A$16:$A$20,0)))</f>
        <v>16440.32</v>
      </c>
      <c r="J4442" s="33" t="n">
        <f aca="false">H4442-I4442</f>
        <v>6309.68</v>
      </c>
      <c r="K4442" s="33" t="n">
        <f aca="false">IF(OR(E4442=0,E4442&gt;=7),0,D4442/(7-E4442)*E4442*INDEX(Products!$E$2:$E$49,MATCH(C4442,Products!$A$2:$A$49,0)))</f>
        <v>0</v>
      </c>
    </row>
    <row r="4443" customFormat="false" ht="15" hidden="false" customHeight="false" outlineLevel="0" collapsed="false">
      <c r="A4443" s="36" t="n">
        <v>46230</v>
      </c>
      <c r="B4443" s="24" t="s">
        <v>64</v>
      </c>
      <c r="C4443" s="24" t="s">
        <v>181</v>
      </c>
      <c r="D4443" s="33" t="n">
        <v>54</v>
      </c>
      <c r="E4443" s="24" t="n">
        <v>0</v>
      </c>
      <c r="F4443" s="37" t="n">
        <f aca="false">DATE(YEAR(A4443),MONTH(A4443),1)</f>
        <v>46204</v>
      </c>
      <c r="G4443" s="24" t="str">
        <f aca="false">INDEX(Products!$C$2:$C$49,MATCH(C4443,Products!$A$2:$A$49,0))</f>
        <v>Personal Care</v>
      </c>
      <c r="H4443" s="33" t="n">
        <f aca="false">D4443*INDEX(Products!$E$2:$E$49,MATCH(C4443,Products!$A$2:$A$49,0))</f>
        <v>18900</v>
      </c>
      <c r="I4443" s="33" t="n">
        <f aca="false">D4443*INDEX(Products!$D$2:$D$49,MATCH(C4443,Products!$A$2:$A$49,0))*(1+INDEX(Assumptions!$B$16:$B$20,MATCH(B4443,Assumptions!$A$16:$A$20,0)))</f>
        <v>13658.112</v>
      </c>
      <c r="J4443" s="33" t="n">
        <f aca="false">H4443-I4443</f>
        <v>5241.888</v>
      </c>
      <c r="K4443" s="33" t="n">
        <f aca="false">IF(OR(E4443=0,E4443&gt;=7),0,D4443/(7-E4443)*E4443*INDEX(Products!$E$2:$E$49,MATCH(C4443,Products!$A$2:$A$49,0)))</f>
        <v>0</v>
      </c>
    </row>
    <row r="4444" customFormat="false" ht="15" hidden="false" customHeight="false" outlineLevel="0" collapsed="false">
      <c r="A4444" s="36" t="n">
        <v>46237</v>
      </c>
      <c r="B4444" s="24" t="s">
        <v>64</v>
      </c>
      <c r="C4444" s="24" t="s">
        <v>181</v>
      </c>
      <c r="D4444" s="33" t="n">
        <v>54</v>
      </c>
      <c r="E4444" s="24" t="n">
        <v>0</v>
      </c>
      <c r="F4444" s="37" t="n">
        <f aca="false">DATE(YEAR(A4444),MONTH(A4444),1)</f>
        <v>46235</v>
      </c>
      <c r="G4444" s="24" t="str">
        <f aca="false">INDEX(Products!$C$2:$C$49,MATCH(C4444,Products!$A$2:$A$49,0))</f>
        <v>Personal Care</v>
      </c>
      <c r="H4444" s="33" t="n">
        <f aca="false">D4444*INDEX(Products!$E$2:$E$49,MATCH(C4444,Products!$A$2:$A$49,0))</f>
        <v>18900</v>
      </c>
      <c r="I4444" s="33" t="n">
        <f aca="false">D4444*INDEX(Products!$D$2:$D$49,MATCH(C4444,Products!$A$2:$A$49,0))*(1+INDEX(Assumptions!$B$16:$B$20,MATCH(B4444,Assumptions!$A$16:$A$20,0)))</f>
        <v>13658.112</v>
      </c>
      <c r="J4444" s="33" t="n">
        <f aca="false">H4444-I4444</f>
        <v>5241.888</v>
      </c>
      <c r="K4444" s="33" t="n">
        <f aca="false">IF(OR(E4444=0,E4444&gt;=7),0,D4444/(7-E4444)*E4444*INDEX(Products!$E$2:$E$49,MATCH(C4444,Products!$A$2:$A$49,0)))</f>
        <v>0</v>
      </c>
    </row>
    <row r="4445" customFormat="false" ht="15" hidden="false" customHeight="false" outlineLevel="0" collapsed="false">
      <c r="A4445" s="36" t="n">
        <v>46244</v>
      </c>
      <c r="B4445" s="24" t="s">
        <v>64</v>
      </c>
      <c r="C4445" s="24" t="s">
        <v>181</v>
      </c>
      <c r="D4445" s="33" t="n">
        <v>57</v>
      </c>
      <c r="E4445" s="24" t="n">
        <v>0</v>
      </c>
      <c r="F4445" s="37" t="n">
        <f aca="false">DATE(YEAR(A4445),MONTH(A4445),1)</f>
        <v>46235</v>
      </c>
      <c r="G4445" s="24" t="str">
        <f aca="false">INDEX(Products!$C$2:$C$49,MATCH(C4445,Products!$A$2:$A$49,0))</f>
        <v>Personal Care</v>
      </c>
      <c r="H4445" s="33" t="n">
        <f aca="false">D4445*INDEX(Products!$E$2:$E$49,MATCH(C4445,Products!$A$2:$A$49,0))</f>
        <v>19950</v>
      </c>
      <c r="I4445" s="33" t="n">
        <f aca="false">D4445*INDEX(Products!$D$2:$D$49,MATCH(C4445,Products!$A$2:$A$49,0))*(1+INDEX(Assumptions!$B$16:$B$20,MATCH(B4445,Assumptions!$A$16:$A$20,0)))</f>
        <v>14416.896</v>
      </c>
      <c r="J4445" s="33" t="n">
        <f aca="false">H4445-I4445</f>
        <v>5533.104</v>
      </c>
      <c r="K4445" s="33" t="n">
        <f aca="false">IF(OR(E4445=0,E4445&gt;=7),0,D4445/(7-E4445)*E4445*INDEX(Products!$E$2:$E$49,MATCH(C4445,Products!$A$2:$A$49,0)))</f>
        <v>0</v>
      </c>
    </row>
    <row r="4446" customFormat="false" ht="15" hidden="false" customHeight="false" outlineLevel="0" collapsed="false">
      <c r="A4446" s="36" t="n">
        <v>46251</v>
      </c>
      <c r="B4446" s="24" t="s">
        <v>64</v>
      </c>
      <c r="C4446" s="24" t="s">
        <v>181</v>
      </c>
      <c r="D4446" s="33" t="n">
        <v>80</v>
      </c>
      <c r="E4446" s="24" t="n">
        <v>0</v>
      </c>
      <c r="F4446" s="37" t="n">
        <f aca="false">DATE(YEAR(A4446),MONTH(A4446),1)</f>
        <v>46235</v>
      </c>
      <c r="G4446" s="24" t="str">
        <f aca="false">INDEX(Products!$C$2:$C$49,MATCH(C4446,Products!$A$2:$A$49,0))</f>
        <v>Personal Care</v>
      </c>
      <c r="H4446" s="33" t="n">
        <f aca="false">D4446*INDEX(Products!$E$2:$E$49,MATCH(C4446,Products!$A$2:$A$49,0))</f>
        <v>28000</v>
      </c>
      <c r="I4446" s="33" t="n">
        <f aca="false">D4446*INDEX(Products!$D$2:$D$49,MATCH(C4446,Products!$A$2:$A$49,0))*(1+INDEX(Assumptions!$B$16:$B$20,MATCH(B4446,Assumptions!$A$16:$A$20,0)))</f>
        <v>20234.24</v>
      </c>
      <c r="J4446" s="33" t="n">
        <f aca="false">H4446-I4446</f>
        <v>7765.76</v>
      </c>
      <c r="K4446" s="33" t="n">
        <f aca="false">IF(OR(E4446=0,E4446&gt;=7),0,D4446/(7-E4446)*E4446*INDEX(Products!$E$2:$E$49,MATCH(C4446,Products!$A$2:$A$49,0)))</f>
        <v>0</v>
      </c>
    </row>
    <row r="4447" customFormat="false" ht="15" hidden="false" customHeight="false" outlineLevel="0" collapsed="false">
      <c r="A4447" s="36" t="n">
        <v>46258</v>
      </c>
      <c r="B4447" s="24" t="s">
        <v>64</v>
      </c>
      <c r="C4447" s="24" t="s">
        <v>181</v>
      </c>
      <c r="D4447" s="33" t="n">
        <v>53</v>
      </c>
      <c r="E4447" s="24" t="n">
        <v>0</v>
      </c>
      <c r="F4447" s="37" t="n">
        <f aca="false">DATE(YEAR(A4447),MONTH(A4447),1)</f>
        <v>46235</v>
      </c>
      <c r="G4447" s="24" t="str">
        <f aca="false">INDEX(Products!$C$2:$C$49,MATCH(C4447,Products!$A$2:$A$49,0))</f>
        <v>Personal Care</v>
      </c>
      <c r="H4447" s="33" t="n">
        <f aca="false">D4447*INDEX(Products!$E$2:$E$49,MATCH(C4447,Products!$A$2:$A$49,0))</f>
        <v>18550</v>
      </c>
      <c r="I4447" s="33" t="n">
        <f aca="false">D4447*INDEX(Products!$D$2:$D$49,MATCH(C4447,Products!$A$2:$A$49,0))*(1+INDEX(Assumptions!$B$16:$B$20,MATCH(B4447,Assumptions!$A$16:$A$20,0)))</f>
        <v>13405.184</v>
      </c>
      <c r="J4447" s="33" t="n">
        <f aca="false">H4447-I4447</f>
        <v>5144.816</v>
      </c>
      <c r="K4447" s="33" t="n">
        <f aca="false">IF(OR(E4447=0,E4447&gt;=7),0,D4447/(7-E4447)*E4447*INDEX(Products!$E$2:$E$49,MATCH(C4447,Products!$A$2:$A$49,0)))</f>
        <v>0</v>
      </c>
    </row>
    <row r="4448" customFormat="false" ht="15" hidden="false" customHeight="false" outlineLevel="0" collapsed="false">
      <c r="A4448" s="36" t="n">
        <v>46265</v>
      </c>
      <c r="B4448" s="24" t="s">
        <v>64</v>
      </c>
      <c r="C4448" s="24" t="s">
        <v>181</v>
      </c>
      <c r="D4448" s="33" t="n">
        <v>64</v>
      </c>
      <c r="E4448" s="24" t="n">
        <v>0</v>
      </c>
      <c r="F4448" s="37" t="n">
        <f aca="false">DATE(YEAR(A4448),MONTH(A4448),1)</f>
        <v>46235</v>
      </c>
      <c r="G4448" s="24" t="str">
        <f aca="false">INDEX(Products!$C$2:$C$49,MATCH(C4448,Products!$A$2:$A$49,0))</f>
        <v>Personal Care</v>
      </c>
      <c r="H4448" s="33" t="n">
        <f aca="false">D4448*INDEX(Products!$E$2:$E$49,MATCH(C4448,Products!$A$2:$A$49,0))</f>
        <v>22400</v>
      </c>
      <c r="I4448" s="33" t="n">
        <f aca="false">D4448*INDEX(Products!$D$2:$D$49,MATCH(C4448,Products!$A$2:$A$49,0))*(1+INDEX(Assumptions!$B$16:$B$20,MATCH(B4448,Assumptions!$A$16:$A$20,0)))</f>
        <v>16187.392</v>
      </c>
      <c r="J4448" s="33" t="n">
        <f aca="false">H4448-I4448</f>
        <v>6212.608</v>
      </c>
      <c r="K4448" s="33" t="n">
        <f aca="false">IF(OR(E4448=0,E4448&gt;=7),0,D4448/(7-E4448)*E4448*INDEX(Products!$E$2:$E$49,MATCH(C4448,Products!$A$2:$A$49,0)))</f>
        <v>0</v>
      </c>
    </row>
    <row r="4449" customFormat="false" ht="15" hidden="false" customHeight="false" outlineLevel="0" collapsed="false">
      <c r="A4449" s="36" t="n">
        <v>46272</v>
      </c>
      <c r="B4449" s="24" t="s">
        <v>64</v>
      </c>
      <c r="C4449" s="24" t="s">
        <v>181</v>
      </c>
      <c r="D4449" s="33" t="n">
        <v>69</v>
      </c>
      <c r="E4449" s="24" t="n">
        <v>0</v>
      </c>
      <c r="F4449" s="37" t="n">
        <f aca="false">DATE(YEAR(A4449),MONTH(A4449),1)</f>
        <v>46266</v>
      </c>
      <c r="G4449" s="24" t="str">
        <f aca="false">INDEX(Products!$C$2:$C$49,MATCH(C4449,Products!$A$2:$A$49,0))</f>
        <v>Personal Care</v>
      </c>
      <c r="H4449" s="33" t="n">
        <f aca="false">D4449*INDEX(Products!$E$2:$E$49,MATCH(C4449,Products!$A$2:$A$49,0))</f>
        <v>24150</v>
      </c>
      <c r="I4449" s="33" t="n">
        <f aca="false">D4449*INDEX(Products!$D$2:$D$49,MATCH(C4449,Products!$A$2:$A$49,0))*(1+INDEX(Assumptions!$B$16:$B$20,MATCH(B4449,Assumptions!$A$16:$A$20,0)))</f>
        <v>17452.032</v>
      </c>
      <c r="J4449" s="33" t="n">
        <f aca="false">H4449-I4449</f>
        <v>6697.968</v>
      </c>
      <c r="K4449" s="33" t="n">
        <f aca="false">IF(OR(E4449=0,E4449&gt;=7),0,D4449/(7-E4449)*E4449*INDEX(Products!$E$2:$E$49,MATCH(C4449,Products!$A$2:$A$49,0)))</f>
        <v>0</v>
      </c>
    </row>
    <row r="4450" customFormat="false" ht="15" hidden="false" customHeight="false" outlineLevel="0" collapsed="false">
      <c r="A4450" s="36" t="n">
        <v>46279</v>
      </c>
      <c r="B4450" s="24" t="s">
        <v>64</v>
      </c>
      <c r="C4450" s="24" t="s">
        <v>181</v>
      </c>
      <c r="D4450" s="33" t="n">
        <v>63</v>
      </c>
      <c r="E4450" s="24" t="n">
        <v>0</v>
      </c>
      <c r="F4450" s="37" t="n">
        <f aca="false">DATE(YEAR(A4450),MONTH(A4450),1)</f>
        <v>46266</v>
      </c>
      <c r="G4450" s="24" t="str">
        <f aca="false">INDEX(Products!$C$2:$C$49,MATCH(C4450,Products!$A$2:$A$49,0))</f>
        <v>Personal Care</v>
      </c>
      <c r="H4450" s="33" t="n">
        <f aca="false">D4450*INDEX(Products!$E$2:$E$49,MATCH(C4450,Products!$A$2:$A$49,0))</f>
        <v>22050</v>
      </c>
      <c r="I4450" s="33" t="n">
        <f aca="false">D4450*INDEX(Products!$D$2:$D$49,MATCH(C4450,Products!$A$2:$A$49,0))*(1+INDEX(Assumptions!$B$16:$B$20,MATCH(B4450,Assumptions!$A$16:$A$20,0)))</f>
        <v>15934.464</v>
      </c>
      <c r="J4450" s="33" t="n">
        <f aca="false">H4450-I4450</f>
        <v>6115.536</v>
      </c>
      <c r="K4450" s="33" t="n">
        <f aca="false">IF(OR(E4450=0,E4450&gt;=7),0,D4450/(7-E4450)*E4450*INDEX(Products!$E$2:$E$49,MATCH(C4450,Products!$A$2:$A$49,0)))</f>
        <v>0</v>
      </c>
    </row>
    <row r="4451" customFormat="false" ht="15" hidden="false" customHeight="false" outlineLevel="0" collapsed="false">
      <c r="A4451" s="36" t="n">
        <v>46286</v>
      </c>
      <c r="B4451" s="24" t="s">
        <v>64</v>
      </c>
      <c r="C4451" s="24" t="s">
        <v>181</v>
      </c>
      <c r="D4451" s="33" t="n">
        <v>33</v>
      </c>
      <c r="E4451" s="24" t="n">
        <v>3</v>
      </c>
      <c r="F4451" s="37" t="n">
        <f aca="false">DATE(YEAR(A4451),MONTH(A4451),1)</f>
        <v>46266</v>
      </c>
      <c r="G4451" s="24" t="str">
        <f aca="false">INDEX(Products!$C$2:$C$49,MATCH(C4451,Products!$A$2:$A$49,0))</f>
        <v>Personal Care</v>
      </c>
      <c r="H4451" s="33" t="n">
        <f aca="false">D4451*INDEX(Products!$E$2:$E$49,MATCH(C4451,Products!$A$2:$A$49,0))</f>
        <v>11550</v>
      </c>
      <c r="I4451" s="33" t="n">
        <f aca="false">D4451*INDEX(Products!$D$2:$D$49,MATCH(C4451,Products!$A$2:$A$49,0))*(1+INDEX(Assumptions!$B$16:$B$20,MATCH(B4451,Assumptions!$A$16:$A$20,0)))</f>
        <v>8346.624</v>
      </c>
      <c r="J4451" s="33" t="n">
        <f aca="false">H4451-I4451</f>
        <v>3203.376</v>
      </c>
      <c r="K4451" s="33" t="n">
        <f aca="false">IF(OR(E4451=0,E4451&gt;=7),0,D4451/(7-E4451)*E4451*INDEX(Products!$E$2:$E$49,MATCH(C4451,Products!$A$2:$A$49,0)))</f>
        <v>8662.5</v>
      </c>
    </row>
    <row r="4452" customFormat="false" ht="15" hidden="false" customHeight="false" outlineLevel="0" collapsed="false">
      <c r="A4452" s="36" t="n">
        <v>46118</v>
      </c>
      <c r="B4452" s="24" t="s">
        <v>64</v>
      </c>
      <c r="C4452" s="24" t="s">
        <v>183</v>
      </c>
      <c r="D4452" s="33" t="n">
        <v>29</v>
      </c>
      <c r="E4452" s="24" t="n">
        <v>0</v>
      </c>
      <c r="F4452" s="37" t="n">
        <f aca="false">DATE(YEAR(A4452),MONTH(A4452),1)</f>
        <v>46113</v>
      </c>
      <c r="G4452" s="24" t="str">
        <f aca="false">INDEX(Products!$C$2:$C$49,MATCH(C4452,Products!$A$2:$A$49,0))</f>
        <v>Personal Care</v>
      </c>
      <c r="H4452" s="33" t="n">
        <f aca="false">D4452*INDEX(Products!$E$2:$E$49,MATCH(C4452,Products!$A$2:$A$49,0))</f>
        <v>9570</v>
      </c>
      <c r="I4452" s="33" t="n">
        <f aca="false">D4452*INDEX(Products!$D$2:$D$49,MATCH(C4452,Products!$A$2:$A$49,0))*(1+INDEX(Assumptions!$B$16:$B$20,MATCH(B4452,Assumptions!$A$16:$A$20,0)))</f>
        <v>6176.768</v>
      </c>
      <c r="J4452" s="33" t="n">
        <f aca="false">H4452-I4452</f>
        <v>3393.232</v>
      </c>
      <c r="K4452" s="33" t="n">
        <f aca="false">IF(OR(E4452=0,E4452&gt;=7),0,D4452/(7-E4452)*E4452*INDEX(Products!$E$2:$E$49,MATCH(C4452,Products!$A$2:$A$49,0)))</f>
        <v>0</v>
      </c>
    </row>
    <row r="4453" customFormat="false" ht="15" hidden="false" customHeight="false" outlineLevel="0" collapsed="false">
      <c r="A4453" s="36" t="n">
        <v>46125</v>
      </c>
      <c r="B4453" s="24" t="s">
        <v>64</v>
      </c>
      <c r="C4453" s="24" t="s">
        <v>183</v>
      </c>
      <c r="D4453" s="33" t="n">
        <v>32</v>
      </c>
      <c r="E4453" s="24" t="n">
        <v>0</v>
      </c>
      <c r="F4453" s="37" t="n">
        <f aca="false">DATE(YEAR(A4453),MONTH(A4453),1)</f>
        <v>46113</v>
      </c>
      <c r="G4453" s="24" t="str">
        <f aca="false">INDEX(Products!$C$2:$C$49,MATCH(C4453,Products!$A$2:$A$49,0))</f>
        <v>Personal Care</v>
      </c>
      <c r="H4453" s="33" t="n">
        <f aca="false">D4453*INDEX(Products!$E$2:$E$49,MATCH(C4453,Products!$A$2:$A$49,0))</f>
        <v>10560</v>
      </c>
      <c r="I4453" s="33" t="n">
        <f aca="false">D4453*INDEX(Products!$D$2:$D$49,MATCH(C4453,Products!$A$2:$A$49,0))*(1+INDEX(Assumptions!$B$16:$B$20,MATCH(B4453,Assumptions!$A$16:$A$20,0)))</f>
        <v>6815.744</v>
      </c>
      <c r="J4453" s="33" t="n">
        <f aca="false">H4453-I4453</f>
        <v>3744.256</v>
      </c>
      <c r="K4453" s="33" t="n">
        <f aca="false">IF(OR(E4453=0,E4453&gt;=7),0,D4453/(7-E4453)*E4453*INDEX(Products!$E$2:$E$49,MATCH(C4453,Products!$A$2:$A$49,0)))</f>
        <v>0</v>
      </c>
    </row>
    <row r="4454" customFormat="false" ht="15" hidden="false" customHeight="false" outlineLevel="0" collapsed="false">
      <c r="A4454" s="36" t="n">
        <v>46132</v>
      </c>
      <c r="B4454" s="24" t="s">
        <v>64</v>
      </c>
      <c r="C4454" s="24" t="s">
        <v>183</v>
      </c>
      <c r="D4454" s="33" t="n">
        <v>39</v>
      </c>
      <c r="E4454" s="24" t="n">
        <v>0</v>
      </c>
      <c r="F4454" s="37" t="n">
        <f aca="false">DATE(YEAR(A4454),MONTH(A4454),1)</f>
        <v>46113</v>
      </c>
      <c r="G4454" s="24" t="str">
        <f aca="false">INDEX(Products!$C$2:$C$49,MATCH(C4454,Products!$A$2:$A$49,0))</f>
        <v>Personal Care</v>
      </c>
      <c r="H4454" s="33" t="n">
        <f aca="false">D4454*INDEX(Products!$E$2:$E$49,MATCH(C4454,Products!$A$2:$A$49,0))</f>
        <v>12870</v>
      </c>
      <c r="I4454" s="33" t="n">
        <f aca="false">D4454*INDEX(Products!$D$2:$D$49,MATCH(C4454,Products!$A$2:$A$49,0))*(1+INDEX(Assumptions!$B$16:$B$20,MATCH(B4454,Assumptions!$A$16:$A$20,0)))</f>
        <v>8306.688</v>
      </c>
      <c r="J4454" s="33" t="n">
        <f aca="false">H4454-I4454</f>
        <v>4563.312</v>
      </c>
      <c r="K4454" s="33" t="n">
        <f aca="false">IF(OR(E4454=0,E4454&gt;=7),0,D4454/(7-E4454)*E4454*INDEX(Products!$E$2:$E$49,MATCH(C4454,Products!$A$2:$A$49,0)))</f>
        <v>0</v>
      </c>
    </row>
    <row r="4455" customFormat="false" ht="15" hidden="false" customHeight="false" outlineLevel="0" collapsed="false">
      <c r="A4455" s="36" t="n">
        <v>46139</v>
      </c>
      <c r="B4455" s="24" t="s">
        <v>64</v>
      </c>
      <c r="C4455" s="24" t="s">
        <v>183</v>
      </c>
      <c r="D4455" s="33" t="n">
        <v>53</v>
      </c>
      <c r="E4455" s="24" t="n">
        <v>0</v>
      </c>
      <c r="F4455" s="37" t="n">
        <f aca="false">DATE(YEAR(A4455),MONTH(A4455),1)</f>
        <v>46113</v>
      </c>
      <c r="G4455" s="24" t="str">
        <f aca="false">INDEX(Products!$C$2:$C$49,MATCH(C4455,Products!$A$2:$A$49,0))</f>
        <v>Personal Care</v>
      </c>
      <c r="H4455" s="33" t="n">
        <f aca="false">D4455*INDEX(Products!$E$2:$E$49,MATCH(C4455,Products!$A$2:$A$49,0))</f>
        <v>17490</v>
      </c>
      <c r="I4455" s="33" t="n">
        <f aca="false">D4455*INDEX(Products!$D$2:$D$49,MATCH(C4455,Products!$A$2:$A$49,0))*(1+INDEX(Assumptions!$B$16:$B$20,MATCH(B4455,Assumptions!$A$16:$A$20,0)))</f>
        <v>11288.576</v>
      </c>
      <c r="J4455" s="33" t="n">
        <f aca="false">H4455-I4455</f>
        <v>6201.424</v>
      </c>
      <c r="K4455" s="33" t="n">
        <f aca="false">IF(OR(E4455=0,E4455&gt;=7),0,D4455/(7-E4455)*E4455*INDEX(Products!$E$2:$E$49,MATCH(C4455,Products!$A$2:$A$49,0)))</f>
        <v>0</v>
      </c>
    </row>
    <row r="4456" customFormat="false" ht="15" hidden="false" customHeight="false" outlineLevel="0" collapsed="false">
      <c r="A4456" s="36" t="n">
        <v>46146</v>
      </c>
      <c r="B4456" s="24" t="s">
        <v>64</v>
      </c>
      <c r="C4456" s="24" t="s">
        <v>183</v>
      </c>
      <c r="D4456" s="33" t="n">
        <v>47</v>
      </c>
      <c r="E4456" s="24" t="n">
        <v>0</v>
      </c>
      <c r="F4456" s="37" t="n">
        <f aca="false">DATE(YEAR(A4456),MONTH(A4456),1)</f>
        <v>46143</v>
      </c>
      <c r="G4456" s="24" t="str">
        <f aca="false">INDEX(Products!$C$2:$C$49,MATCH(C4456,Products!$A$2:$A$49,0))</f>
        <v>Personal Care</v>
      </c>
      <c r="H4456" s="33" t="n">
        <f aca="false">D4456*INDEX(Products!$E$2:$E$49,MATCH(C4456,Products!$A$2:$A$49,0))</f>
        <v>15510</v>
      </c>
      <c r="I4456" s="33" t="n">
        <f aca="false">D4456*INDEX(Products!$D$2:$D$49,MATCH(C4456,Products!$A$2:$A$49,0))*(1+INDEX(Assumptions!$B$16:$B$20,MATCH(B4456,Assumptions!$A$16:$A$20,0)))</f>
        <v>10010.624</v>
      </c>
      <c r="J4456" s="33" t="n">
        <f aca="false">H4456-I4456</f>
        <v>5499.376</v>
      </c>
      <c r="K4456" s="33" t="n">
        <f aca="false">IF(OR(E4456=0,E4456&gt;=7),0,D4456/(7-E4456)*E4456*INDEX(Products!$E$2:$E$49,MATCH(C4456,Products!$A$2:$A$49,0)))</f>
        <v>0</v>
      </c>
    </row>
    <row r="4457" customFormat="false" ht="15" hidden="false" customHeight="false" outlineLevel="0" collapsed="false">
      <c r="A4457" s="36" t="n">
        <v>46153</v>
      </c>
      <c r="B4457" s="24" t="s">
        <v>64</v>
      </c>
      <c r="C4457" s="24" t="s">
        <v>183</v>
      </c>
      <c r="D4457" s="33" t="n">
        <v>15</v>
      </c>
      <c r="E4457" s="24" t="n">
        <v>4</v>
      </c>
      <c r="F4457" s="37" t="n">
        <f aca="false">DATE(YEAR(A4457),MONTH(A4457),1)</f>
        <v>46143</v>
      </c>
      <c r="G4457" s="24" t="str">
        <f aca="false">INDEX(Products!$C$2:$C$49,MATCH(C4457,Products!$A$2:$A$49,0))</f>
        <v>Personal Care</v>
      </c>
      <c r="H4457" s="33" t="n">
        <f aca="false">D4457*INDEX(Products!$E$2:$E$49,MATCH(C4457,Products!$A$2:$A$49,0))</f>
        <v>4950</v>
      </c>
      <c r="I4457" s="33" t="n">
        <f aca="false">D4457*INDEX(Products!$D$2:$D$49,MATCH(C4457,Products!$A$2:$A$49,0))*(1+INDEX(Assumptions!$B$16:$B$20,MATCH(B4457,Assumptions!$A$16:$A$20,0)))</f>
        <v>3194.88</v>
      </c>
      <c r="J4457" s="33" t="n">
        <f aca="false">H4457-I4457</f>
        <v>1755.12</v>
      </c>
      <c r="K4457" s="33" t="n">
        <f aca="false">IF(OR(E4457=0,E4457&gt;=7),0,D4457/(7-E4457)*E4457*INDEX(Products!$E$2:$E$49,MATCH(C4457,Products!$A$2:$A$49,0)))</f>
        <v>6600</v>
      </c>
    </row>
    <row r="4458" customFormat="false" ht="15" hidden="false" customHeight="false" outlineLevel="0" collapsed="false">
      <c r="A4458" s="36" t="n">
        <v>46160</v>
      </c>
      <c r="B4458" s="24" t="s">
        <v>64</v>
      </c>
      <c r="C4458" s="24" t="s">
        <v>183</v>
      </c>
      <c r="D4458" s="33" t="n">
        <v>49</v>
      </c>
      <c r="E4458" s="24" t="n">
        <v>0</v>
      </c>
      <c r="F4458" s="37" t="n">
        <f aca="false">DATE(YEAR(A4458),MONTH(A4458),1)</f>
        <v>46143</v>
      </c>
      <c r="G4458" s="24" t="str">
        <f aca="false">INDEX(Products!$C$2:$C$49,MATCH(C4458,Products!$A$2:$A$49,0))</f>
        <v>Personal Care</v>
      </c>
      <c r="H4458" s="33" t="n">
        <f aca="false">D4458*INDEX(Products!$E$2:$E$49,MATCH(C4458,Products!$A$2:$A$49,0))</f>
        <v>16170</v>
      </c>
      <c r="I4458" s="33" t="n">
        <f aca="false">D4458*INDEX(Products!$D$2:$D$49,MATCH(C4458,Products!$A$2:$A$49,0))*(1+INDEX(Assumptions!$B$16:$B$20,MATCH(B4458,Assumptions!$A$16:$A$20,0)))</f>
        <v>10436.608</v>
      </c>
      <c r="J4458" s="33" t="n">
        <f aca="false">H4458-I4458</f>
        <v>5733.392</v>
      </c>
      <c r="K4458" s="33" t="n">
        <f aca="false">IF(OR(E4458=0,E4458&gt;=7),0,D4458/(7-E4458)*E4458*INDEX(Products!$E$2:$E$49,MATCH(C4458,Products!$A$2:$A$49,0)))</f>
        <v>0</v>
      </c>
    </row>
    <row r="4459" customFormat="false" ht="15" hidden="false" customHeight="false" outlineLevel="0" collapsed="false">
      <c r="A4459" s="36" t="n">
        <v>46167</v>
      </c>
      <c r="B4459" s="24" t="s">
        <v>64</v>
      </c>
      <c r="C4459" s="24" t="s">
        <v>183</v>
      </c>
      <c r="D4459" s="33" t="n">
        <v>45</v>
      </c>
      <c r="E4459" s="24" t="n">
        <v>0</v>
      </c>
      <c r="F4459" s="37" t="n">
        <f aca="false">DATE(YEAR(A4459),MONTH(A4459),1)</f>
        <v>46143</v>
      </c>
      <c r="G4459" s="24" t="str">
        <f aca="false">INDEX(Products!$C$2:$C$49,MATCH(C4459,Products!$A$2:$A$49,0))</f>
        <v>Personal Care</v>
      </c>
      <c r="H4459" s="33" t="n">
        <f aca="false">D4459*INDEX(Products!$E$2:$E$49,MATCH(C4459,Products!$A$2:$A$49,0))</f>
        <v>14850</v>
      </c>
      <c r="I4459" s="33" t="n">
        <f aca="false">D4459*INDEX(Products!$D$2:$D$49,MATCH(C4459,Products!$A$2:$A$49,0))*(1+INDEX(Assumptions!$B$16:$B$20,MATCH(B4459,Assumptions!$A$16:$A$20,0)))</f>
        <v>9584.64</v>
      </c>
      <c r="J4459" s="33" t="n">
        <f aca="false">H4459-I4459</f>
        <v>5265.36</v>
      </c>
      <c r="K4459" s="33" t="n">
        <f aca="false">IF(OR(E4459=0,E4459&gt;=7),0,D4459/(7-E4459)*E4459*INDEX(Products!$E$2:$E$49,MATCH(C4459,Products!$A$2:$A$49,0)))</f>
        <v>0</v>
      </c>
    </row>
    <row r="4460" customFormat="false" ht="15" hidden="false" customHeight="false" outlineLevel="0" collapsed="false">
      <c r="A4460" s="36" t="n">
        <v>46174</v>
      </c>
      <c r="B4460" s="24" t="s">
        <v>64</v>
      </c>
      <c r="C4460" s="24" t="s">
        <v>183</v>
      </c>
      <c r="D4460" s="33" t="n">
        <v>50</v>
      </c>
      <c r="E4460" s="24" t="n">
        <v>0</v>
      </c>
      <c r="F4460" s="37" t="n">
        <f aca="false">DATE(YEAR(A4460),MONTH(A4460),1)</f>
        <v>46174</v>
      </c>
      <c r="G4460" s="24" t="str">
        <f aca="false">INDEX(Products!$C$2:$C$49,MATCH(C4460,Products!$A$2:$A$49,0))</f>
        <v>Personal Care</v>
      </c>
      <c r="H4460" s="33" t="n">
        <f aca="false">D4460*INDEX(Products!$E$2:$E$49,MATCH(C4460,Products!$A$2:$A$49,0))</f>
        <v>16500</v>
      </c>
      <c r="I4460" s="33" t="n">
        <f aca="false">D4460*INDEX(Products!$D$2:$D$49,MATCH(C4460,Products!$A$2:$A$49,0))*(1+INDEX(Assumptions!$B$16:$B$20,MATCH(B4460,Assumptions!$A$16:$A$20,0)))</f>
        <v>10649.6</v>
      </c>
      <c r="J4460" s="33" t="n">
        <f aca="false">H4460-I4460</f>
        <v>5850.4</v>
      </c>
      <c r="K4460" s="33" t="n">
        <f aca="false">IF(OR(E4460=0,E4460&gt;=7),0,D4460/(7-E4460)*E4460*INDEX(Products!$E$2:$E$49,MATCH(C4460,Products!$A$2:$A$49,0)))</f>
        <v>0</v>
      </c>
    </row>
    <row r="4461" customFormat="false" ht="15" hidden="false" customHeight="false" outlineLevel="0" collapsed="false">
      <c r="A4461" s="36" t="n">
        <v>46181</v>
      </c>
      <c r="B4461" s="24" t="s">
        <v>64</v>
      </c>
      <c r="C4461" s="24" t="s">
        <v>183</v>
      </c>
      <c r="D4461" s="33" t="n">
        <v>43</v>
      </c>
      <c r="E4461" s="24" t="n">
        <v>0</v>
      </c>
      <c r="F4461" s="37" t="n">
        <f aca="false">DATE(YEAR(A4461),MONTH(A4461),1)</f>
        <v>46174</v>
      </c>
      <c r="G4461" s="24" t="str">
        <f aca="false">INDEX(Products!$C$2:$C$49,MATCH(C4461,Products!$A$2:$A$49,0))</f>
        <v>Personal Care</v>
      </c>
      <c r="H4461" s="33" t="n">
        <f aca="false">D4461*INDEX(Products!$E$2:$E$49,MATCH(C4461,Products!$A$2:$A$49,0))</f>
        <v>14190</v>
      </c>
      <c r="I4461" s="33" t="n">
        <f aca="false">D4461*INDEX(Products!$D$2:$D$49,MATCH(C4461,Products!$A$2:$A$49,0))*(1+INDEX(Assumptions!$B$16:$B$20,MATCH(B4461,Assumptions!$A$16:$A$20,0)))</f>
        <v>9158.656</v>
      </c>
      <c r="J4461" s="33" t="n">
        <f aca="false">H4461-I4461</f>
        <v>5031.344</v>
      </c>
      <c r="K4461" s="33" t="n">
        <f aca="false">IF(OR(E4461=0,E4461&gt;=7),0,D4461/(7-E4461)*E4461*INDEX(Products!$E$2:$E$49,MATCH(C4461,Products!$A$2:$A$49,0)))</f>
        <v>0</v>
      </c>
    </row>
    <row r="4462" customFormat="false" ht="15" hidden="false" customHeight="false" outlineLevel="0" collapsed="false">
      <c r="A4462" s="36" t="n">
        <v>46188</v>
      </c>
      <c r="B4462" s="24" t="s">
        <v>64</v>
      </c>
      <c r="C4462" s="24" t="s">
        <v>183</v>
      </c>
      <c r="D4462" s="33" t="n">
        <v>50</v>
      </c>
      <c r="E4462" s="24" t="n">
        <v>0</v>
      </c>
      <c r="F4462" s="37" t="n">
        <f aca="false">DATE(YEAR(A4462),MONTH(A4462),1)</f>
        <v>46174</v>
      </c>
      <c r="G4462" s="24" t="str">
        <f aca="false">INDEX(Products!$C$2:$C$49,MATCH(C4462,Products!$A$2:$A$49,0))</f>
        <v>Personal Care</v>
      </c>
      <c r="H4462" s="33" t="n">
        <f aca="false">D4462*INDEX(Products!$E$2:$E$49,MATCH(C4462,Products!$A$2:$A$49,0))</f>
        <v>16500</v>
      </c>
      <c r="I4462" s="33" t="n">
        <f aca="false">D4462*INDEX(Products!$D$2:$D$49,MATCH(C4462,Products!$A$2:$A$49,0))*(1+INDEX(Assumptions!$B$16:$B$20,MATCH(B4462,Assumptions!$A$16:$A$20,0)))</f>
        <v>10649.6</v>
      </c>
      <c r="J4462" s="33" t="n">
        <f aca="false">H4462-I4462</f>
        <v>5850.4</v>
      </c>
      <c r="K4462" s="33" t="n">
        <f aca="false">IF(OR(E4462=0,E4462&gt;=7),0,D4462/(7-E4462)*E4462*INDEX(Products!$E$2:$E$49,MATCH(C4462,Products!$A$2:$A$49,0)))</f>
        <v>0</v>
      </c>
    </row>
    <row r="4463" customFormat="false" ht="15" hidden="false" customHeight="false" outlineLevel="0" collapsed="false">
      <c r="A4463" s="36" t="n">
        <v>46195</v>
      </c>
      <c r="B4463" s="24" t="s">
        <v>64</v>
      </c>
      <c r="C4463" s="24" t="s">
        <v>183</v>
      </c>
      <c r="D4463" s="33" t="n">
        <v>41</v>
      </c>
      <c r="E4463" s="24" t="n">
        <v>0</v>
      </c>
      <c r="F4463" s="37" t="n">
        <f aca="false">DATE(YEAR(A4463),MONTH(A4463),1)</f>
        <v>46174</v>
      </c>
      <c r="G4463" s="24" t="str">
        <f aca="false">INDEX(Products!$C$2:$C$49,MATCH(C4463,Products!$A$2:$A$49,0))</f>
        <v>Personal Care</v>
      </c>
      <c r="H4463" s="33" t="n">
        <f aca="false">D4463*INDEX(Products!$E$2:$E$49,MATCH(C4463,Products!$A$2:$A$49,0))</f>
        <v>13530</v>
      </c>
      <c r="I4463" s="33" t="n">
        <f aca="false">D4463*INDEX(Products!$D$2:$D$49,MATCH(C4463,Products!$A$2:$A$49,0))*(1+INDEX(Assumptions!$B$16:$B$20,MATCH(B4463,Assumptions!$A$16:$A$20,0)))</f>
        <v>8732.672</v>
      </c>
      <c r="J4463" s="33" t="n">
        <f aca="false">H4463-I4463</f>
        <v>4797.328</v>
      </c>
      <c r="K4463" s="33" t="n">
        <f aca="false">IF(OR(E4463=0,E4463&gt;=7),0,D4463/(7-E4463)*E4463*INDEX(Products!$E$2:$E$49,MATCH(C4463,Products!$A$2:$A$49,0)))</f>
        <v>0</v>
      </c>
    </row>
    <row r="4464" customFormat="false" ht="15" hidden="false" customHeight="false" outlineLevel="0" collapsed="false">
      <c r="A4464" s="36" t="n">
        <v>46202</v>
      </c>
      <c r="B4464" s="24" t="s">
        <v>64</v>
      </c>
      <c r="C4464" s="24" t="s">
        <v>183</v>
      </c>
      <c r="D4464" s="33" t="n">
        <v>33</v>
      </c>
      <c r="E4464" s="24" t="n">
        <v>0</v>
      </c>
      <c r="F4464" s="37" t="n">
        <f aca="false">DATE(YEAR(A4464),MONTH(A4464),1)</f>
        <v>46174</v>
      </c>
      <c r="G4464" s="24" t="str">
        <f aca="false">INDEX(Products!$C$2:$C$49,MATCH(C4464,Products!$A$2:$A$49,0))</f>
        <v>Personal Care</v>
      </c>
      <c r="H4464" s="33" t="n">
        <f aca="false">D4464*INDEX(Products!$E$2:$E$49,MATCH(C4464,Products!$A$2:$A$49,0))</f>
        <v>10890</v>
      </c>
      <c r="I4464" s="33" t="n">
        <f aca="false">D4464*INDEX(Products!$D$2:$D$49,MATCH(C4464,Products!$A$2:$A$49,0))*(1+INDEX(Assumptions!$B$16:$B$20,MATCH(B4464,Assumptions!$A$16:$A$20,0)))</f>
        <v>7028.736</v>
      </c>
      <c r="J4464" s="33" t="n">
        <f aca="false">H4464-I4464</f>
        <v>3861.264</v>
      </c>
      <c r="K4464" s="33" t="n">
        <f aca="false">IF(OR(E4464=0,E4464&gt;=7),0,D4464/(7-E4464)*E4464*INDEX(Products!$E$2:$E$49,MATCH(C4464,Products!$A$2:$A$49,0)))</f>
        <v>0</v>
      </c>
    </row>
    <row r="4465" customFormat="false" ht="15" hidden="false" customHeight="false" outlineLevel="0" collapsed="false">
      <c r="A4465" s="36" t="n">
        <v>46209</v>
      </c>
      <c r="B4465" s="24" t="s">
        <v>64</v>
      </c>
      <c r="C4465" s="24" t="s">
        <v>183</v>
      </c>
      <c r="D4465" s="33" t="n">
        <v>47</v>
      </c>
      <c r="E4465" s="24" t="n">
        <v>0</v>
      </c>
      <c r="F4465" s="37" t="n">
        <f aca="false">DATE(YEAR(A4465),MONTH(A4465),1)</f>
        <v>46204</v>
      </c>
      <c r="G4465" s="24" t="str">
        <f aca="false">INDEX(Products!$C$2:$C$49,MATCH(C4465,Products!$A$2:$A$49,0))</f>
        <v>Personal Care</v>
      </c>
      <c r="H4465" s="33" t="n">
        <f aca="false">D4465*INDEX(Products!$E$2:$E$49,MATCH(C4465,Products!$A$2:$A$49,0))</f>
        <v>15510</v>
      </c>
      <c r="I4465" s="33" t="n">
        <f aca="false">D4465*INDEX(Products!$D$2:$D$49,MATCH(C4465,Products!$A$2:$A$49,0))*(1+INDEX(Assumptions!$B$16:$B$20,MATCH(B4465,Assumptions!$A$16:$A$20,0)))</f>
        <v>10010.624</v>
      </c>
      <c r="J4465" s="33" t="n">
        <f aca="false">H4465-I4465</f>
        <v>5499.376</v>
      </c>
      <c r="K4465" s="33" t="n">
        <f aca="false">IF(OR(E4465=0,E4465&gt;=7),0,D4465/(7-E4465)*E4465*INDEX(Products!$E$2:$E$49,MATCH(C4465,Products!$A$2:$A$49,0)))</f>
        <v>0</v>
      </c>
    </row>
    <row r="4466" customFormat="false" ht="15" hidden="false" customHeight="false" outlineLevel="0" collapsed="false">
      <c r="A4466" s="36" t="n">
        <v>46216</v>
      </c>
      <c r="B4466" s="24" t="s">
        <v>64</v>
      </c>
      <c r="C4466" s="24" t="s">
        <v>183</v>
      </c>
      <c r="D4466" s="33" t="n">
        <v>34</v>
      </c>
      <c r="E4466" s="24" t="n">
        <v>0</v>
      </c>
      <c r="F4466" s="37" t="n">
        <f aca="false">DATE(YEAR(A4466),MONTH(A4466),1)</f>
        <v>46204</v>
      </c>
      <c r="G4466" s="24" t="str">
        <f aca="false">INDEX(Products!$C$2:$C$49,MATCH(C4466,Products!$A$2:$A$49,0))</f>
        <v>Personal Care</v>
      </c>
      <c r="H4466" s="33" t="n">
        <f aca="false">D4466*INDEX(Products!$E$2:$E$49,MATCH(C4466,Products!$A$2:$A$49,0))</f>
        <v>11220</v>
      </c>
      <c r="I4466" s="33" t="n">
        <f aca="false">D4466*INDEX(Products!$D$2:$D$49,MATCH(C4466,Products!$A$2:$A$49,0))*(1+INDEX(Assumptions!$B$16:$B$20,MATCH(B4466,Assumptions!$A$16:$A$20,0)))</f>
        <v>7241.728</v>
      </c>
      <c r="J4466" s="33" t="n">
        <f aca="false">H4466-I4466</f>
        <v>3978.272</v>
      </c>
      <c r="K4466" s="33" t="n">
        <f aca="false">IF(OR(E4466=0,E4466&gt;=7),0,D4466/(7-E4466)*E4466*INDEX(Products!$E$2:$E$49,MATCH(C4466,Products!$A$2:$A$49,0)))</f>
        <v>0</v>
      </c>
    </row>
    <row r="4467" customFormat="false" ht="15" hidden="false" customHeight="false" outlineLevel="0" collapsed="false">
      <c r="A4467" s="36" t="n">
        <v>46223</v>
      </c>
      <c r="B4467" s="24" t="s">
        <v>64</v>
      </c>
      <c r="C4467" s="24" t="s">
        <v>183</v>
      </c>
      <c r="D4467" s="33" t="n">
        <v>31</v>
      </c>
      <c r="E4467" s="24" t="n">
        <v>0</v>
      </c>
      <c r="F4467" s="37" t="n">
        <f aca="false">DATE(YEAR(A4467),MONTH(A4467),1)</f>
        <v>46204</v>
      </c>
      <c r="G4467" s="24" t="str">
        <f aca="false">INDEX(Products!$C$2:$C$49,MATCH(C4467,Products!$A$2:$A$49,0))</f>
        <v>Personal Care</v>
      </c>
      <c r="H4467" s="33" t="n">
        <f aca="false">D4467*INDEX(Products!$E$2:$E$49,MATCH(C4467,Products!$A$2:$A$49,0))</f>
        <v>10230</v>
      </c>
      <c r="I4467" s="33" t="n">
        <f aca="false">D4467*INDEX(Products!$D$2:$D$49,MATCH(C4467,Products!$A$2:$A$49,0))*(1+INDEX(Assumptions!$B$16:$B$20,MATCH(B4467,Assumptions!$A$16:$A$20,0)))</f>
        <v>6602.752</v>
      </c>
      <c r="J4467" s="33" t="n">
        <f aca="false">H4467-I4467</f>
        <v>3627.248</v>
      </c>
      <c r="K4467" s="33" t="n">
        <f aca="false">IF(OR(E4467=0,E4467&gt;=7),0,D4467/(7-E4467)*E4467*INDEX(Products!$E$2:$E$49,MATCH(C4467,Products!$A$2:$A$49,0)))</f>
        <v>0</v>
      </c>
    </row>
    <row r="4468" customFormat="false" ht="15" hidden="false" customHeight="false" outlineLevel="0" collapsed="false">
      <c r="A4468" s="36" t="n">
        <v>46230</v>
      </c>
      <c r="B4468" s="24" t="s">
        <v>64</v>
      </c>
      <c r="C4468" s="24" t="s">
        <v>183</v>
      </c>
      <c r="D4468" s="33" t="n">
        <v>46</v>
      </c>
      <c r="E4468" s="24" t="n">
        <v>0</v>
      </c>
      <c r="F4468" s="37" t="n">
        <f aca="false">DATE(YEAR(A4468),MONTH(A4468),1)</f>
        <v>46204</v>
      </c>
      <c r="G4468" s="24" t="str">
        <f aca="false">INDEX(Products!$C$2:$C$49,MATCH(C4468,Products!$A$2:$A$49,0))</f>
        <v>Personal Care</v>
      </c>
      <c r="H4468" s="33" t="n">
        <f aca="false">D4468*INDEX(Products!$E$2:$E$49,MATCH(C4468,Products!$A$2:$A$49,0))</f>
        <v>15180</v>
      </c>
      <c r="I4468" s="33" t="n">
        <f aca="false">D4468*INDEX(Products!$D$2:$D$49,MATCH(C4468,Products!$A$2:$A$49,0))*(1+INDEX(Assumptions!$B$16:$B$20,MATCH(B4468,Assumptions!$A$16:$A$20,0)))</f>
        <v>9797.632</v>
      </c>
      <c r="J4468" s="33" t="n">
        <f aca="false">H4468-I4468</f>
        <v>5382.368</v>
      </c>
      <c r="K4468" s="33" t="n">
        <f aca="false">IF(OR(E4468=0,E4468&gt;=7),0,D4468/(7-E4468)*E4468*INDEX(Products!$E$2:$E$49,MATCH(C4468,Products!$A$2:$A$49,0)))</f>
        <v>0</v>
      </c>
    </row>
    <row r="4469" customFormat="false" ht="15" hidden="false" customHeight="false" outlineLevel="0" collapsed="false">
      <c r="A4469" s="36" t="n">
        <v>46237</v>
      </c>
      <c r="B4469" s="24" t="s">
        <v>64</v>
      </c>
      <c r="C4469" s="24" t="s">
        <v>183</v>
      </c>
      <c r="D4469" s="33" t="n">
        <v>37</v>
      </c>
      <c r="E4469" s="24" t="n">
        <v>0</v>
      </c>
      <c r="F4469" s="37" t="n">
        <f aca="false">DATE(YEAR(A4469),MONTH(A4469),1)</f>
        <v>46235</v>
      </c>
      <c r="G4469" s="24" t="str">
        <f aca="false">INDEX(Products!$C$2:$C$49,MATCH(C4469,Products!$A$2:$A$49,0))</f>
        <v>Personal Care</v>
      </c>
      <c r="H4469" s="33" t="n">
        <f aca="false">D4469*INDEX(Products!$E$2:$E$49,MATCH(C4469,Products!$A$2:$A$49,0))</f>
        <v>12210</v>
      </c>
      <c r="I4469" s="33" t="n">
        <f aca="false">D4469*INDEX(Products!$D$2:$D$49,MATCH(C4469,Products!$A$2:$A$49,0))*(1+INDEX(Assumptions!$B$16:$B$20,MATCH(B4469,Assumptions!$A$16:$A$20,0)))</f>
        <v>7880.704</v>
      </c>
      <c r="J4469" s="33" t="n">
        <f aca="false">H4469-I4469</f>
        <v>4329.296</v>
      </c>
      <c r="K4469" s="33" t="n">
        <f aca="false">IF(OR(E4469=0,E4469&gt;=7),0,D4469/(7-E4469)*E4469*INDEX(Products!$E$2:$E$49,MATCH(C4469,Products!$A$2:$A$49,0)))</f>
        <v>0</v>
      </c>
    </row>
    <row r="4470" customFormat="false" ht="15" hidden="false" customHeight="false" outlineLevel="0" collapsed="false">
      <c r="A4470" s="36" t="n">
        <v>46244</v>
      </c>
      <c r="B4470" s="24" t="s">
        <v>64</v>
      </c>
      <c r="C4470" s="24" t="s">
        <v>183</v>
      </c>
      <c r="D4470" s="33" t="n">
        <v>44</v>
      </c>
      <c r="E4470" s="24" t="n">
        <v>0</v>
      </c>
      <c r="F4470" s="37" t="n">
        <f aca="false">DATE(YEAR(A4470),MONTH(A4470),1)</f>
        <v>46235</v>
      </c>
      <c r="G4470" s="24" t="str">
        <f aca="false">INDEX(Products!$C$2:$C$49,MATCH(C4470,Products!$A$2:$A$49,0))</f>
        <v>Personal Care</v>
      </c>
      <c r="H4470" s="33" t="n">
        <f aca="false">D4470*INDEX(Products!$E$2:$E$49,MATCH(C4470,Products!$A$2:$A$49,0))</f>
        <v>14520</v>
      </c>
      <c r="I4470" s="33" t="n">
        <f aca="false">D4470*INDEX(Products!$D$2:$D$49,MATCH(C4470,Products!$A$2:$A$49,0))*(1+INDEX(Assumptions!$B$16:$B$20,MATCH(B4470,Assumptions!$A$16:$A$20,0)))</f>
        <v>9371.648</v>
      </c>
      <c r="J4470" s="33" t="n">
        <f aca="false">H4470-I4470</f>
        <v>5148.352</v>
      </c>
      <c r="K4470" s="33" t="n">
        <f aca="false">IF(OR(E4470=0,E4470&gt;=7),0,D4470/(7-E4470)*E4470*INDEX(Products!$E$2:$E$49,MATCH(C4470,Products!$A$2:$A$49,0)))</f>
        <v>0</v>
      </c>
    </row>
    <row r="4471" customFormat="false" ht="15" hidden="false" customHeight="false" outlineLevel="0" collapsed="false">
      <c r="A4471" s="36" t="n">
        <v>46251</v>
      </c>
      <c r="B4471" s="24" t="s">
        <v>64</v>
      </c>
      <c r="C4471" s="24" t="s">
        <v>183</v>
      </c>
      <c r="D4471" s="33" t="n">
        <v>38</v>
      </c>
      <c r="E4471" s="24" t="n">
        <v>0</v>
      </c>
      <c r="F4471" s="37" t="n">
        <f aca="false">DATE(YEAR(A4471),MONTH(A4471),1)</f>
        <v>46235</v>
      </c>
      <c r="G4471" s="24" t="str">
        <f aca="false">INDEX(Products!$C$2:$C$49,MATCH(C4471,Products!$A$2:$A$49,0))</f>
        <v>Personal Care</v>
      </c>
      <c r="H4471" s="33" t="n">
        <f aca="false">D4471*INDEX(Products!$E$2:$E$49,MATCH(C4471,Products!$A$2:$A$49,0))</f>
        <v>12540</v>
      </c>
      <c r="I4471" s="33" t="n">
        <f aca="false">D4471*INDEX(Products!$D$2:$D$49,MATCH(C4471,Products!$A$2:$A$49,0))*(1+INDEX(Assumptions!$B$16:$B$20,MATCH(B4471,Assumptions!$A$16:$A$20,0)))</f>
        <v>8093.696</v>
      </c>
      <c r="J4471" s="33" t="n">
        <f aca="false">H4471-I4471</f>
        <v>4446.304</v>
      </c>
      <c r="K4471" s="33" t="n">
        <f aca="false">IF(OR(E4471=0,E4471&gt;=7),0,D4471/(7-E4471)*E4471*INDEX(Products!$E$2:$E$49,MATCH(C4471,Products!$A$2:$A$49,0)))</f>
        <v>0</v>
      </c>
    </row>
    <row r="4472" customFormat="false" ht="15" hidden="false" customHeight="false" outlineLevel="0" collapsed="false">
      <c r="A4472" s="36" t="n">
        <v>46258</v>
      </c>
      <c r="B4472" s="24" t="s">
        <v>64</v>
      </c>
      <c r="C4472" s="24" t="s">
        <v>183</v>
      </c>
      <c r="D4472" s="33" t="n">
        <v>36</v>
      </c>
      <c r="E4472" s="24" t="n">
        <v>0</v>
      </c>
      <c r="F4472" s="37" t="n">
        <f aca="false">DATE(YEAR(A4472),MONTH(A4472),1)</f>
        <v>46235</v>
      </c>
      <c r="G4472" s="24" t="str">
        <f aca="false">INDEX(Products!$C$2:$C$49,MATCH(C4472,Products!$A$2:$A$49,0))</f>
        <v>Personal Care</v>
      </c>
      <c r="H4472" s="33" t="n">
        <f aca="false">D4472*INDEX(Products!$E$2:$E$49,MATCH(C4472,Products!$A$2:$A$49,0))</f>
        <v>11880</v>
      </c>
      <c r="I4472" s="33" t="n">
        <f aca="false">D4472*INDEX(Products!$D$2:$D$49,MATCH(C4472,Products!$A$2:$A$49,0))*(1+INDEX(Assumptions!$B$16:$B$20,MATCH(B4472,Assumptions!$A$16:$A$20,0)))</f>
        <v>7667.712</v>
      </c>
      <c r="J4472" s="33" t="n">
        <f aca="false">H4472-I4472</f>
        <v>4212.288</v>
      </c>
      <c r="K4472" s="33" t="n">
        <f aca="false">IF(OR(E4472=0,E4472&gt;=7),0,D4472/(7-E4472)*E4472*INDEX(Products!$E$2:$E$49,MATCH(C4472,Products!$A$2:$A$49,0)))</f>
        <v>0</v>
      </c>
    </row>
    <row r="4473" customFormat="false" ht="15" hidden="false" customHeight="false" outlineLevel="0" collapsed="false">
      <c r="A4473" s="36" t="n">
        <v>46265</v>
      </c>
      <c r="B4473" s="24" t="s">
        <v>64</v>
      </c>
      <c r="C4473" s="24" t="s">
        <v>183</v>
      </c>
      <c r="D4473" s="33" t="n">
        <v>51</v>
      </c>
      <c r="E4473" s="24" t="n">
        <v>0</v>
      </c>
      <c r="F4473" s="37" t="n">
        <f aca="false">DATE(YEAR(A4473),MONTH(A4473),1)</f>
        <v>46235</v>
      </c>
      <c r="G4473" s="24" t="str">
        <f aca="false">INDEX(Products!$C$2:$C$49,MATCH(C4473,Products!$A$2:$A$49,0))</f>
        <v>Personal Care</v>
      </c>
      <c r="H4473" s="33" t="n">
        <f aca="false">D4473*INDEX(Products!$E$2:$E$49,MATCH(C4473,Products!$A$2:$A$49,0))</f>
        <v>16830</v>
      </c>
      <c r="I4473" s="33" t="n">
        <f aca="false">D4473*INDEX(Products!$D$2:$D$49,MATCH(C4473,Products!$A$2:$A$49,0))*(1+INDEX(Assumptions!$B$16:$B$20,MATCH(B4473,Assumptions!$A$16:$A$20,0)))</f>
        <v>10862.592</v>
      </c>
      <c r="J4473" s="33" t="n">
        <f aca="false">H4473-I4473</f>
        <v>5967.408</v>
      </c>
      <c r="K4473" s="33" t="n">
        <f aca="false">IF(OR(E4473=0,E4473&gt;=7),0,D4473/(7-E4473)*E4473*INDEX(Products!$E$2:$E$49,MATCH(C4473,Products!$A$2:$A$49,0)))</f>
        <v>0</v>
      </c>
    </row>
    <row r="4474" customFormat="false" ht="15" hidden="false" customHeight="false" outlineLevel="0" collapsed="false">
      <c r="A4474" s="36" t="n">
        <v>46272</v>
      </c>
      <c r="B4474" s="24" t="s">
        <v>64</v>
      </c>
      <c r="C4474" s="24" t="s">
        <v>183</v>
      </c>
      <c r="D4474" s="33" t="n">
        <v>42</v>
      </c>
      <c r="E4474" s="24" t="n">
        <v>0</v>
      </c>
      <c r="F4474" s="37" t="n">
        <f aca="false">DATE(YEAR(A4474),MONTH(A4474),1)</f>
        <v>46266</v>
      </c>
      <c r="G4474" s="24" t="str">
        <f aca="false">INDEX(Products!$C$2:$C$49,MATCH(C4474,Products!$A$2:$A$49,0))</f>
        <v>Personal Care</v>
      </c>
      <c r="H4474" s="33" t="n">
        <f aca="false">D4474*INDEX(Products!$E$2:$E$49,MATCH(C4474,Products!$A$2:$A$49,0))</f>
        <v>13860</v>
      </c>
      <c r="I4474" s="33" t="n">
        <f aca="false">D4474*INDEX(Products!$D$2:$D$49,MATCH(C4474,Products!$A$2:$A$49,0))*(1+INDEX(Assumptions!$B$16:$B$20,MATCH(B4474,Assumptions!$A$16:$A$20,0)))</f>
        <v>8945.664</v>
      </c>
      <c r="J4474" s="33" t="n">
        <f aca="false">H4474-I4474</f>
        <v>4914.336</v>
      </c>
      <c r="K4474" s="33" t="n">
        <f aca="false">IF(OR(E4474=0,E4474&gt;=7),0,D4474/(7-E4474)*E4474*INDEX(Products!$E$2:$E$49,MATCH(C4474,Products!$A$2:$A$49,0)))</f>
        <v>0</v>
      </c>
    </row>
    <row r="4475" customFormat="false" ht="15" hidden="false" customHeight="false" outlineLevel="0" collapsed="false">
      <c r="A4475" s="36" t="n">
        <v>46279</v>
      </c>
      <c r="B4475" s="24" t="s">
        <v>64</v>
      </c>
      <c r="C4475" s="24" t="s">
        <v>183</v>
      </c>
      <c r="D4475" s="33" t="n">
        <v>58</v>
      </c>
      <c r="E4475" s="24" t="n">
        <v>0</v>
      </c>
      <c r="F4475" s="37" t="n">
        <f aca="false">DATE(YEAR(A4475),MONTH(A4475),1)</f>
        <v>46266</v>
      </c>
      <c r="G4475" s="24" t="str">
        <f aca="false">INDEX(Products!$C$2:$C$49,MATCH(C4475,Products!$A$2:$A$49,0))</f>
        <v>Personal Care</v>
      </c>
      <c r="H4475" s="33" t="n">
        <f aca="false">D4475*INDEX(Products!$E$2:$E$49,MATCH(C4475,Products!$A$2:$A$49,0))</f>
        <v>19140</v>
      </c>
      <c r="I4475" s="33" t="n">
        <f aca="false">D4475*INDEX(Products!$D$2:$D$49,MATCH(C4475,Products!$A$2:$A$49,0))*(1+INDEX(Assumptions!$B$16:$B$20,MATCH(B4475,Assumptions!$A$16:$A$20,0)))</f>
        <v>12353.536</v>
      </c>
      <c r="J4475" s="33" t="n">
        <f aca="false">H4475-I4475</f>
        <v>6786.464</v>
      </c>
      <c r="K4475" s="33" t="n">
        <f aca="false">IF(OR(E4475=0,E4475&gt;=7),0,D4475/(7-E4475)*E4475*INDEX(Products!$E$2:$E$49,MATCH(C4475,Products!$A$2:$A$49,0)))</f>
        <v>0</v>
      </c>
    </row>
    <row r="4476" customFormat="false" ht="15" hidden="false" customHeight="false" outlineLevel="0" collapsed="false">
      <c r="A4476" s="36" t="n">
        <v>46286</v>
      </c>
      <c r="B4476" s="24" t="s">
        <v>64</v>
      </c>
      <c r="C4476" s="24" t="s">
        <v>183</v>
      </c>
      <c r="D4476" s="33" t="n">
        <v>49</v>
      </c>
      <c r="E4476" s="24" t="n">
        <v>0</v>
      </c>
      <c r="F4476" s="37" t="n">
        <f aca="false">DATE(YEAR(A4476),MONTH(A4476),1)</f>
        <v>46266</v>
      </c>
      <c r="G4476" s="24" t="str">
        <f aca="false">INDEX(Products!$C$2:$C$49,MATCH(C4476,Products!$A$2:$A$49,0))</f>
        <v>Personal Care</v>
      </c>
      <c r="H4476" s="33" t="n">
        <f aca="false">D4476*INDEX(Products!$E$2:$E$49,MATCH(C4476,Products!$A$2:$A$49,0))</f>
        <v>16170</v>
      </c>
      <c r="I4476" s="33" t="n">
        <f aca="false">D4476*INDEX(Products!$D$2:$D$49,MATCH(C4476,Products!$A$2:$A$49,0))*(1+INDEX(Assumptions!$B$16:$B$20,MATCH(B4476,Assumptions!$A$16:$A$20,0)))</f>
        <v>10436.608</v>
      </c>
      <c r="J4476" s="33" t="n">
        <f aca="false">H4476-I4476</f>
        <v>5733.392</v>
      </c>
      <c r="K4476" s="33" t="n">
        <f aca="false">IF(OR(E4476=0,E4476&gt;=7),0,D4476/(7-E4476)*E4476*INDEX(Products!$E$2:$E$49,MATCH(C4476,Products!$A$2:$A$49,0)))</f>
        <v>0</v>
      </c>
    </row>
    <row r="4477" customFormat="false" ht="15" hidden="false" customHeight="false" outlineLevel="0" collapsed="false">
      <c r="A4477" s="36" t="n">
        <v>46118</v>
      </c>
      <c r="B4477" s="24" t="s">
        <v>64</v>
      </c>
      <c r="C4477" s="24" t="s">
        <v>185</v>
      </c>
      <c r="D4477" s="33" t="n">
        <v>21</v>
      </c>
      <c r="E4477" s="24" t="n">
        <v>5</v>
      </c>
      <c r="F4477" s="37" t="n">
        <f aca="false">DATE(YEAR(A4477),MONTH(A4477),1)</f>
        <v>46113</v>
      </c>
      <c r="G4477" s="24" t="str">
        <f aca="false">INDEX(Products!$C$2:$C$49,MATCH(C4477,Products!$A$2:$A$49,0))</f>
        <v>Personal Care</v>
      </c>
      <c r="H4477" s="33" t="n">
        <f aca="false">D4477*INDEX(Products!$E$2:$E$49,MATCH(C4477,Products!$A$2:$A$49,0))</f>
        <v>5880</v>
      </c>
      <c r="I4477" s="33" t="n">
        <f aca="false">D4477*INDEX(Products!$D$2:$D$49,MATCH(C4477,Products!$A$2:$A$49,0))*(1+INDEX(Assumptions!$B$16:$B$20,MATCH(B4477,Assumptions!$A$16:$A$20,0)))</f>
        <v>4193.28</v>
      </c>
      <c r="J4477" s="33" t="n">
        <f aca="false">H4477-I4477</f>
        <v>1686.72</v>
      </c>
      <c r="K4477" s="33" t="n">
        <f aca="false">IF(OR(E4477=0,E4477&gt;=7),0,D4477/(7-E4477)*E4477*INDEX(Products!$E$2:$E$49,MATCH(C4477,Products!$A$2:$A$49,0)))</f>
        <v>14700</v>
      </c>
    </row>
    <row r="4478" customFormat="false" ht="15" hidden="false" customHeight="false" outlineLevel="0" collapsed="false">
      <c r="A4478" s="36" t="n">
        <v>46125</v>
      </c>
      <c r="B4478" s="24" t="s">
        <v>64</v>
      </c>
      <c r="C4478" s="24" t="s">
        <v>185</v>
      </c>
      <c r="D4478" s="33" t="n">
        <v>84</v>
      </c>
      <c r="E4478" s="24" t="n">
        <v>0</v>
      </c>
      <c r="F4478" s="37" t="n">
        <f aca="false">DATE(YEAR(A4478),MONTH(A4478),1)</f>
        <v>46113</v>
      </c>
      <c r="G4478" s="24" t="str">
        <f aca="false">INDEX(Products!$C$2:$C$49,MATCH(C4478,Products!$A$2:$A$49,0))</f>
        <v>Personal Care</v>
      </c>
      <c r="H4478" s="33" t="n">
        <f aca="false">D4478*INDEX(Products!$E$2:$E$49,MATCH(C4478,Products!$A$2:$A$49,0))</f>
        <v>23520</v>
      </c>
      <c r="I4478" s="33" t="n">
        <f aca="false">D4478*INDEX(Products!$D$2:$D$49,MATCH(C4478,Products!$A$2:$A$49,0))*(1+INDEX(Assumptions!$B$16:$B$20,MATCH(B4478,Assumptions!$A$16:$A$20,0)))</f>
        <v>16773.12</v>
      </c>
      <c r="J4478" s="33" t="n">
        <f aca="false">H4478-I4478</f>
        <v>6746.88</v>
      </c>
      <c r="K4478" s="33" t="n">
        <f aca="false">IF(OR(E4478=0,E4478&gt;=7),0,D4478/(7-E4478)*E4478*INDEX(Products!$E$2:$E$49,MATCH(C4478,Products!$A$2:$A$49,0)))</f>
        <v>0</v>
      </c>
    </row>
    <row r="4479" customFormat="false" ht="15" hidden="false" customHeight="false" outlineLevel="0" collapsed="false">
      <c r="A4479" s="36" t="n">
        <v>46132</v>
      </c>
      <c r="B4479" s="24" t="s">
        <v>64</v>
      </c>
      <c r="C4479" s="24" t="s">
        <v>185</v>
      </c>
      <c r="D4479" s="33" t="n">
        <v>96</v>
      </c>
      <c r="E4479" s="24" t="n">
        <v>0</v>
      </c>
      <c r="F4479" s="37" t="n">
        <f aca="false">DATE(YEAR(A4479),MONTH(A4479),1)</f>
        <v>46113</v>
      </c>
      <c r="G4479" s="24" t="str">
        <f aca="false">INDEX(Products!$C$2:$C$49,MATCH(C4479,Products!$A$2:$A$49,0))</f>
        <v>Personal Care</v>
      </c>
      <c r="H4479" s="33" t="n">
        <f aca="false">D4479*INDEX(Products!$E$2:$E$49,MATCH(C4479,Products!$A$2:$A$49,0))</f>
        <v>26880</v>
      </c>
      <c r="I4479" s="33" t="n">
        <f aca="false">D4479*INDEX(Products!$D$2:$D$49,MATCH(C4479,Products!$A$2:$A$49,0))*(1+INDEX(Assumptions!$B$16:$B$20,MATCH(B4479,Assumptions!$A$16:$A$20,0)))</f>
        <v>19169.28</v>
      </c>
      <c r="J4479" s="33" t="n">
        <f aca="false">H4479-I4479</f>
        <v>7710.72</v>
      </c>
      <c r="K4479" s="33" t="n">
        <f aca="false">IF(OR(E4479=0,E4479&gt;=7),0,D4479/(7-E4479)*E4479*INDEX(Products!$E$2:$E$49,MATCH(C4479,Products!$A$2:$A$49,0)))</f>
        <v>0</v>
      </c>
    </row>
    <row r="4480" customFormat="false" ht="15" hidden="false" customHeight="false" outlineLevel="0" collapsed="false">
      <c r="A4480" s="36" t="n">
        <v>46139</v>
      </c>
      <c r="B4480" s="24" t="s">
        <v>64</v>
      </c>
      <c r="C4480" s="24" t="s">
        <v>185</v>
      </c>
      <c r="D4480" s="33" t="n">
        <v>96</v>
      </c>
      <c r="E4480" s="24" t="n">
        <v>1</v>
      </c>
      <c r="F4480" s="37" t="n">
        <f aca="false">DATE(YEAR(A4480),MONTH(A4480),1)</f>
        <v>46113</v>
      </c>
      <c r="G4480" s="24" t="str">
        <f aca="false">INDEX(Products!$C$2:$C$49,MATCH(C4480,Products!$A$2:$A$49,0))</f>
        <v>Personal Care</v>
      </c>
      <c r="H4480" s="33" t="n">
        <f aca="false">D4480*INDEX(Products!$E$2:$E$49,MATCH(C4480,Products!$A$2:$A$49,0))</f>
        <v>26880</v>
      </c>
      <c r="I4480" s="33" t="n">
        <f aca="false">D4480*INDEX(Products!$D$2:$D$49,MATCH(C4480,Products!$A$2:$A$49,0))*(1+INDEX(Assumptions!$B$16:$B$20,MATCH(B4480,Assumptions!$A$16:$A$20,0)))</f>
        <v>19169.28</v>
      </c>
      <c r="J4480" s="33" t="n">
        <f aca="false">H4480-I4480</f>
        <v>7710.72</v>
      </c>
      <c r="K4480" s="33" t="n">
        <f aca="false">IF(OR(E4480=0,E4480&gt;=7),0,D4480/(7-E4480)*E4480*INDEX(Products!$E$2:$E$49,MATCH(C4480,Products!$A$2:$A$49,0)))</f>
        <v>4480</v>
      </c>
    </row>
    <row r="4481" customFormat="false" ht="15" hidden="false" customHeight="false" outlineLevel="0" collapsed="false">
      <c r="A4481" s="36" t="n">
        <v>46146</v>
      </c>
      <c r="B4481" s="24" t="s">
        <v>64</v>
      </c>
      <c r="C4481" s="24" t="s">
        <v>185</v>
      </c>
      <c r="D4481" s="33" t="n">
        <v>97</v>
      </c>
      <c r="E4481" s="24" t="n">
        <v>0</v>
      </c>
      <c r="F4481" s="37" t="n">
        <f aca="false">DATE(YEAR(A4481),MONTH(A4481),1)</f>
        <v>46143</v>
      </c>
      <c r="G4481" s="24" t="str">
        <f aca="false">INDEX(Products!$C$2:$C$49,MATCH(C4481,Products!$A$2:$A$49,0))</f>
        <v>Personal Care</v>
      </c>
      <c r="H4481" s="33" t="n">
        <f aca="false">D4481*INDEX(Products!$E$2:$E$49,MATCH(C4481,Products!$A$2:$A$49,0))</f>
        <v>27160</v>
      </c>
      <c r="I4481" s="33" t="n">
        <f aca="false">D4481*INDEX(Products!$D$2:$D$49,MATCH(C4481,Products!$A$2:$A$49,0))*(1+INDEX(Assumptions!$B$16:$B$20,MATCH(B4481,Assumptions!$A$16:$A$20,0)))</f>
        <v>19368.96</v>
      </c>
      <c r="J4481" s="33" t="n">
        <f aca="false">H4481-I4481</f>
        <v>7791.04</v>
      </c>
      <c r="K4481" s="33" t="n">
        <f aca="false">IF(OR(E4481=0,E4481&gt;=7),0,D4481/(7-E4481)*E4481*INDEX(Products!$E$2:$E$49,MATCH(C4481,Products!$A$2:$A$49,0)))</f>
        <v>0</v>
      </c>
    </row>
    <row r="4482" customFormat="false" ht="15" hidden="false" customHeight="false" outlineLevel="0" collapsed="false">
      <c r="A4482" s="36" t="n">
        <v>46153</v>
      </c>
      <c r="B4482" s="24" t="s">
        <v>64</v>
      </c>
      <c r="C4482" s="24" t="s">
        <v>185</v>
      </c>
      <c r="D4482" s="33" t="n">
        <v>103</v>
      </c>
      <c r="E4482" s="24" t="n">
        <v>0</v>
      </c>
      <c r="F4482" s="37" t="n">
        <f aca="false">DATE(YEAR(A4482),MONTH(A4482),1)</f>
        <v>46143</v>
      </c>
      <c r="G4482" s="24" t="str">
        <f aca="false">INDEX(Products!$C$2:$C$49,MATCH(C4482,Products!$A$2:$A$49,0))</f>
        <v>Personal Care</v>
      </c>
      <c r="H4482" s="33" t="n">
        <f aca="false">D4482*INDEX(Products!$E$2:$E$49,MATCH(C4482,Products!$A$2:$A$49,0))</f>
        <v>28840</v>
      </c>
      <c r="I4482" s="33" t="n">
        <f aca="false">D4482*INDEX(Products!$D$2:$D$49,MATCH(C4482,Products!$A$2:$A$49,0))*(1+INDEX(Assumptions!$B$16:$B$20,MATCH(B4482,Assumptions!$A$16:$A$20,0)))</f>
        <v>20567.04</v>
      </c>
      <c r="J4482" s="33" t="n">
        <f aca="false">H4482-I4482</f>
        <v>8272.96</v>
      </c>
      <c r="K4482" s="33" t="n">
        <f aca="false">IF(OR(E4482=0,E4482&gt;=7),0,D4482/(7-E4482)*E4482*INDEX(Products!$E$2:$E$49,MATCH(C4482,Products!$A$2:$A$49,0)))</f>
        <v>0</v>
      </c>
    </row>
    <row r="4483" customFormat="false" ht="15" hidden="false" customHeight="false" outlineLevel="0" collapsed="false">
      <c r="A4483" s="36" t="n">
        <v>46160</v>
      </c>
      <c r="B4483" s="24" t="s">
        <v>64</v>
      </c>
      <c r="C4483" s="24" t="s">
        <v>185</v>
      </c>
      <c r="D4483" s="33" t="n">
        <v>92</v>
      </c>
      <c r="E4483" s="24" t="n">
        <v>0</v>
      </c>
      <c r="F4483" s="37" t="n">
        <f aca="false">DATE(YEAR(A4483),MONTH(A4483),1)</f>
        <v>46143</v>
      </c>
      <c r="G4483" s="24" t="str">
        <f aca="false">INDEX(Products!$C$2:$C$49,MATCH(C4483,Products!$A$2:$A$49,0))</f>
        <v>Personal Care</v>
      </c>
      <c r="H4483" s="33" t="n">
        <f aca="false">D4483*INDEX(Products!$E$2:$E$49,MATCH(C4483,Products!$A$2:$A$49,0))</f>
        <v>25760</v>
      </c>
      <c r="I4483" s="33" t="n">
        <f aca="false">D4483*INDEX(Products!$D$2:$D$49,MATCH(C4483,Products!$A$2:$A$49,0))*(1+INDEX(Assumptions!$B$16:$B$20,MATCH(B4483,Assumptions!$A$16:$A$20,0)))</f>
        <v>18370.56</v>
      </c>
      <c r="J4483" s="33" t="n">
        <f aca="false">H4483-I4483</f>
        <v>7389.44</v>
      </c>
      <c r="K4483" s="33" t="n">
        <f aca="false">IF(OR(E4483=0,E4483&gt;=7),0,D4483/(7-E4483)*E4483*INDEX(Products!$E$2:$E$49,MATCH(C4483,Products!$A$2:$A$49,0)))</f>
        <v>0</v>
      </c>
    </row>
    <row r="4484" customFormat="false" ht="15" hidden="false" customHeight="false" outlineLevel="0" collapsed="false">
      <c r="A4484" s="36" t="n">
        <v>46167</v>
      </c>
      <c r="B4484" s="24" t="s">
        <v>64</v>
      </c>
      <c r="C4484" s="24" t="s">
        <v>185</v>
      </c>
      <c r="D4484" s="33" t="n">
        <v>110</v>
      </c>
      <c r="E4484" s="24" t="n">
        <v>0</v>
      </c>
      <c r="F4484" s="37" t="n">
        <f aca="false">DATE(YEAR(A4484),MONTH(A4484),1)</f>
        <v>46143</v>
      </c>
      <c r="G4484" s="24" t="str">
        <f aca="false">INDEX(Products!$C$2:$C$49,MATCH(C4484,Products!$A$2:$A$49,0))</f>
        <v>Personal Care</v>
      </c>
      <c r="H4484" s="33" t="n">
        <f aca="false">D4484*INDEX(Products!$E$2:$E$49,MATCH(C4484,Products!$A$2:$A$49,0))</f>
        <v>30800</v>
      </c>
      <c r="I4484" s="33" t="n">
        <f aca="false">D4484*INDEX(Products!$D$2:$D$49,MATCH(C4484,Products!$A$2:$A$49,0))*(1+INDEX(Assumptions!$B$16:$B$20,MATCH(B4484,Assumptions!$A$16:$A$20,0)))</f>
        <v>21964.8</v>
      </c>
      <c r="J4484" s="33" t="n">
        <f aca="false">H4484-I4484</f>
        <v>8835.2</v>
      </c>
      <c r="K4484" s="33" t="n">
        <f aca="false">IF(OR(E4484=0,E4484&gt;=7),0,D4484/(7-E4484)*E4484*INDEX(Products!$E$2:$E$49,MATCH(C4484,Products!$A$2:$A$49,0)))</f>
        <v>0</v>
      </c>
    </row>
    <row r="4485" customFormat="false" ht="15" hidden="false" customHeight="false" outlineLevel="0" collapsed="false">
      <c r="A4485" s="36" t="n">
        <v>46174</v>
      </c>
      <c r="B4485" s="24" t="s">
        <v>64</v>
      </c>
      <c r="C4485" s="24" t="s">
        <v>185</v>
      </c>
      <c r="D4485" s="33" t="n">
        <v>172</v>
      </c>
      <c r="E4485" s="24" t="n">
        <v>0</v>
      </c>
      <c r="F4485" s="37" t="n">
        <f aca="false">DATE(YEAR(A4485),MONTH(A4485),1)</f>
        <v>46174</v>
      </c>
      <c r="G4485" s="24" t="str">
        <f aca="false">INDEX(Products!$C$2:$C$49,MATCH(C4485,Products!$A$2:$A$49,0))</f>
        <v>Personal Care</v>
      </c>
      <c r="H4485" s="33" t="n">
        <f aca="false">D4485*INDEX(Products!$E$2:$E$49,MATCH(C4485,Products!$A$2:$A$49,0))</f>
        <v>48160</v>
      </c>
      <c r="I4485" s="33" t="n">
        <f aca="false">D4485*INDEX(Products!$D$2:$D$49,MATCH(C4485,Products!$A$2:$A$49,0))*(1+INDEX(Assumptions!$B$16:$B$20,MATCH(B4485,Assumptions!$A$16:$A$20,0)))</f>
        <v>34344.96</v>
      </c>
      <c r="J4485" s="33" t="n">
        <f aca="false">H4485-I4485</f>
        <v>13815.04</v>
      </c>
      <c r="K4485" s="33" t="n">
        <f aca="false">IF(OR(E4485=0,E4485&gt;=7),0,D4485/(7-E4485)*E4485*INDEX(Products!$E$2:$E$49,MATCH(C4485,Products!$A$2:$A$49,0)))</f>
        <v>0</v>
      </c>
    </row>
    <row r="4486" customFormat="false" ht="15" hidden="false" customHeight="false" outlineLevel="0" collapsed="false">
      <c r="A4486" s="36" t="n">
        <v>46181</v>
      </c>
      <c r="B4486" s="24" t="s">
        <v>64</v>
      </c>
      <c r="C4486" s="24" t="s">
        <v>185</v>
      </c>
      <c r="D4486" s="33" t="n">
        <v>102</v>
      </c>
      <c r="E4486" s="24" t="n">
        <v>0</v>
      </c>
      <c r="F4486" s="37" t="n">
        <f aca="false">DATE(YEAR(A4486),MONTH(A4486),1)</f>
        <v>46174</v>
      </c>
      <c r="G4486" s="24" t="str">
        <f aca="false">INDEX(Products!$C$2:$C$49,MATCH(C4486,Products!$A$2:$A$49,0))</f>
        <v>Personal Care</v>
      </c>
      <c r="H4486" s="33" t="n">
        <f aca="false">D4486*INDEX(Products!$E$2:$E$49,MATCH(C4486,Products!$A$2:$A$49,0))</f>
        <v>28560</v>
      </c>
      <c r="I4486" s="33" t="n">
        <f aca="false">D4486*INDEX(Products!$D$2:$D$49,MATCH(C4486,Products!$A$2:$A$49,0))*(1+INDEX(Assumptions!$B$16:$B$20,MATCH(B4486,Assumptions!$A$16:$A$20,0)))</f>
        <v>20367.36</v>
      </c>
      <c r="J4486" s="33" t="n">
        <f aca="false">H4486-I4486</f>
        <v>8192.64</v>
      </c>
      <c r="K4486" s="33" t="n">
        <f aca="false">IF(OR(E4486=0,E4486&gt;=7),0,D4486/(7-E4486)*E4486*INDEX(Products!$E$2:$E$49,MATCH(C4486,Products!$A$2:$A$49,0)))</f>
        <v>0</v>
      </c>
    </row>
    <row r="4487" customFormat="false" ht="15" hidden="false" customHeight="false" outlineLevel="0" collapsed="false">
      <c r="A4487" s="36" t="n">
        <v>46188</v>
      </c>
      <c r="B4487" s="24" t="s">
        <v>64</v>
      </c>
      <c r="C4487" s="24" t="s">
        <v>185</v>
      </c>
      <c r="D4487" s="33" t="n">
        <v>76</v>
      </c>
      <c r="E4487" s="24" t="n">
        <v>0</v>
      </c>
      <c r="F4487" s="37" t="n">
        <f aca="false">DATE(YEAR(A4487),MONTH(A4487),1)</f>
        <v>46174</v>
      </c>
      <c r="G4487" s="24" t="str">
        <f aca="false">INDEX(Products!$C$2:$C$49,MATCH(C4487,Products!$A$2:$A$49,0))</f>
        <v>Personal Care</v>
      </c>
      <c r="H4487" s="33" t="n">
        <f aca="false">D4487*INDEX(Products!$E$2:$E$49,MATCH(C4487,Products!$A$2:$A$49,0))</f>
        <v>21280</v>
      </c>
      <c r="I4487" s="33" t="n">
        <f aca="false">D4487*INDEX(Products!$D$2:$D$49,MATCH(C4487,Products!$A$2:$A$49,0))*(1+INDEX(Assumptions!$B$16:$B$20,MATCH(B4487,Assumptions!$A$16:$A$20,0)))</f>
        <v>15175.68</v>
      </c>
      <c r="J4487" s="33" t="n">
        <f aca="false">H4487-I4487</f>
        <v>6104.32</v>
      </c>
      <c r="K4487" s="33" t="n">
        <f aca="false">IF(OR(E4487=0,E4487&gt;=7),0,D4487/(7-E4487)*E4487*INDEX(Products!$E$2:$E$49,MATCH(C4487,Products!$A$2:$A$49,0)))</f>
        <v>0</v>
      </c>
    </row>
    <row r="4488" customFormat="false" ht="15" hidden="false" customHeight="false" outlineLevel="0" collapsed="false">
      <c r="A4488" s="36" t="n">
        <v>46195</v>
      </c>
      <c r="B4488" s="24" t="s">
        <v>64</v>
      </c>
      <c r="C4488" s="24" t="s">
        <v>185</v>
      </c>
      <c r="D4488" s="33" t="n">
        <v>109</v>
      </c>
      <c r="E4488" s="24" t="n">
        <v>0</v>
      </c>
      <c r="F4488" s="37" t="n">
        <f aca="false">DATE(YEAR(A4488),MONTH(A4488),1)</f>
        <v>46174</v>
      </c>
      <c r="G4488" s="24" t="str">
        <f aca="false">INDEX(Products!$C$2:$C$49,MATCH(C4488,Products!$A$2:$A$49,0))</f>
        <v>Personal Care</v>
      </c>
      <c r="H4488" s="33" t="n">
        <f aca="false">D4488*INDEX(Products!$E$2:$E$49,MATCH(C4488,Products!$A$2:$A$49,0))</f>
        <v>30520</v>
      </c>
      <c r="I4488" s="33" t="n">
        <f aca="false">D4488*INDEX(Products!$D$2:$D$49,MATCH(C4488,Products!$A$2:$A$49,0))*(1+INDEX(Assumptions!$B$16:$B$20,MATCH(B4488,Assumptions!$A$16:$A$20,0)))</f>
        <v>21765.12</v>
      </c>
      <c r="J4488" s="33" t="n">
        <f aca="false">H4488-I4488</f>
        <v>8754.88</v>
      </c>
      <c r="K4488" s="33" t="n">
        <f aca="false">IF(OR(E4488=0,E4488&gt;=7),0,D4488/(7-E4488)*E4488*INDEX(Products!$E$2:$E$49,MATCH(C4488,Products!$A$2:$A$49,0)))</f>
        <v>0</v>
      </c>
    </row>
    <row r="4489" customFormat="false" ht="15" hidden="false" customHeight="false" outlineLevel="0" collapsed="false">
      <c r="A4489" s="36" t="n">
        <v>46202</v>
      </c>
      <c r="B4489" s="24" t="s">
        <v>64</v>
      </c>
      <c r="C4489" s="24" t="s">
        <v>185</v>
      </c>
      <c r="D4489" s="33" t="n">
        <v>97</v>
      </c>
      <c r="E4489" s="24" t="n">
        <v>0</v>
      </c>
      <c r="F4489" s="37" t="n">
        <f aca="false">DATE(YEAR(A4489),MONTH(A4489),1)</f>
        <v>46174</v>
      </c>
      <c r="G4489" s="24" t="str">
        <f aca="false">INDEX(Products!$C$2:$C$49,MATCH(C4489,Products!$A$2:$A$49,0))</f>
        <v>Personal Care</v>
      </c>
      <c r="H4489" s="33" t="n">
        <f aca="false">D4489*INDEX(Products!$E$2:$E$49,MATCH(C4489,Products!$A$2:$A$49,0))</f>
        <v>27160</v>
      </c>
      <c r="I4489" s="33" t="n">
        <f aca="false">D4489*INDEX(Products!$D$2:$D$49,MATCH(C4489,Products!$A$2:$A$49,0))*(1+INDEX(Assumptions!$B$16:$B$20,MATCH(B4489,Assumptions!$A$16:$A$20,0)))</f>
        <v>19368.96</v>
      </c>
      <c r="J4489" s="33" t="n">
        <f aca="false">H4489-I4489</f>
        <v>7791.04</v>
      </c>
      <c r="K4489" s="33" t="n">
        <f aca="false">IF(OR(E4489=0,E4489&gt;=7),0,D4489/(7-E4489)*E4489*INDEX(Products!$E$2:$E$49,MATCH(C4489,Products!$A$2:$A$49,0)))</f>
        <v>0</v>
      </c>
    </row>
    <row r="4490" customFormat="false" ht="15" hidden="false" customHeight="false" outlineLevel="0" collapsed="false">
      <c r="A4490" s="36" t="n">
        <v>46209</v>
      </c>
      <c r="B4490" s="24" t="s">
        <v>64</v>
      </c>
      <c r="C4490" s="24" t="s">
        <v>185</v>
      </c>
      <c r="D4490" s="33" t="n">
        <v>85</v>
      </c>
      <c r="E4490" s="24" t="n">
        <v>0</v>
      </c>
      <c r="F4490" s="37" t="n">
        <f aca="false">DATE(YEAR(A4490),MONTH(A4490),1)</f>
        <v>46204</v>
      </c>
      <c r="G4490" s="24" t="str">
        <f aca="false">INDEX(Products!$C$2:$C$49,MATCH(C4490,Products!$A$2:$A$49,0))</f>
        <v>Personal Care</v>
      </c>
      <c r="H4490" s="33" t="n">
        <f aca="false">D4490*INDEX(Products!$E$2:$E$49,MATCH(C4490,Products!$A$2:$A$49,0))</f>
        <v>23800</v>
      </c>
      <c r="I4490" s="33" t="n">
        <f aca="false">D4490*INDEX(Products!$D$2:$D$49,MATCH(C4490,Products!$A$2:$A$49,0))*(1+INDEX(Assumptions!$B$16:$B$20,MATCH(B4490,Assumptions!$A$16:$A$20,0)))</f>
        <v>16972.8</v>
      </c>
      <c r="J4490" s="33" t="n">
        <f aca="false">H4490-I4490</f>
        <v>6827.2</v>
      </c>
      <c r="K4490" s="33" t="n">
        <f aca="false">IF(OR(E4490=0,E4490&gt;=7),0,D4490/(7-E4490)*E4490*INDEX(Products!$E$2:$E$49,MATCH(C4490,Products!$A$2:$A$49,0)))</f>
        <v>0</v>
      </c>
    </row>
    <row r="4491" customFormat="false" ht="15" hidden="false" customHeight="false" outlineLevel="0" collapsed="false">
      <c r="A4491" s="36" t="n">
        <v>46216</v>
      </c>
      <c r="B4491" s="24" t="s">
        <v>64</v>
      </c>
      <c r="C4491" s="24" t="s">
        <v>185</v>
      </c>
      <c r="D4491" s="33" t="n">
        <v>80</v>
      </c>
      <c r="E4491" s="24" t="n">
        <v>0</v>
      </c>
      <c r="F4491" s="37" t="n">
        <f aca="false">DATE(YEAR(A4491),MONTH(A4491),1)</f>
        <v>46204</v>
      </c>
      <c r="G4491" s="24" t="str">
        <f aca="false">INDEX(Products!$C$2:$C$49,MATCH(C4491,Products!$A$2:$A$49,0))</f>
        <v>Personal Care</v>
      </c>
      <c r="H4491" s="33" t="n">
        <f aca="false">D4491*INDEX(Products!$E$2:$E$49,MATCH(C4491,Products!$A$2:$A$49,0))</f>
        <v>22400</v>
      </c>
      <c r="I4491" s="33" t="n">
        <f aca="false">D4491*INDEX(Products!$D$2:$D$49,MATCH(C4491,Products!$A$2:$A$49,0))*(1+INDEX(Assumptions!$B$16:$B$20,MATCH(B4491,Assumptions!$A$16:$A$20,0)))</f>
        <v>15974.4</v>
      </c>
      <c r="J4491" s="33" t="n">
        <f aca="false">H4491-I4491</f>
        <v>6425.6</v>
      </c>
      <c r="K4491" s="33" t="n">
        <f aca="false">IF(OR(E4491=0,E4491&gt;=7),0,D4491/(7-E4491)*E4491*INDEX(Products!$E$2:$E$49,MATCH(C4491,Products!$A$2:$A$49,0)))</f>
        <v>0</v>
      </c>
    </row>
    <row r="4492" customFormat="false" ht="15" hidden="false" customHeight="false" outlineLevel="0" collapsed="false">
      <c r="A4492" s="36" t="n">
        <v>46223</v>
      </c>
      <c r="B4492" s="24" t="s">
        <v>64</v>
      </c>
      <c r="C4492" s="24" t="s">
        <v>185</v>
      </c>
      <c r="D4492" s="33" t="n">
        <v>90</v>
      </c>
      <c r="E4492" s="24" t="n">
        <v>0</v>
      </c>
      <c r="F4492" s="37" t="n">
        <f aca="false">DATE(YEAR(A4492),MONTH(A4492),1)</f>
        <v>46204</v>
      </c>
      <c r="G4492" s="24" t="str">
        <f aca="false">INDEX(Products!$C$2:$C$49,MATCH(C4492,Products!$A$2:$A$49,0))</f>
        <v>Personal Care</v>
      </c>
      <c r="H4492" s="33" t="n">
        <f aca="false">D4492*INDEX(Products!$E$2:$E$49,MATCH(C4492,Products!$A$2:$A$49,0))</f>
        <v>25200</v>
      </c>
      <c r="I4492" s="33" t="n">
        <f aca="false">D4492*INDEX(Products!$D$2:$D$49,MATCH(C4492,Products!$A$2:$A$49,0))*(1+INDEX(Assumptions!$B$16:$B$20,MATCH(B4492,Assumptions!$A$16:$A$20,0)))</f>
        <v>17971.2</v>
      </c>
      <c r="J4492" s="33" t="n">
        <f aca="false">H4492-I4492</f>
        <v>7228.8</v>
      </c>
      <c r="K4492" s="33" t="n">
        <f aca="false">IF(OR(E4492=0,E4492&gt;=7),0,D4492/(7-E4492)*E4492*INDEX(Products!$E$2:$E$49,MATCH(C4492,Products!$A$2:$A$49,0)))</f>
        <v>0</v>
      </c>
    </row>
    <row r="4493" customFormat="false" ht="15" hidden="false" customHeight="false" outlineLevel="0" collapsed="false">
      <c r="A4493" s="36" t="n">
        <v>46230</v>
      </c>
      <c r="B4493" s="24" t="s">
        <v>64</v>
      </c>
      <c r="C4493" s="24" t="s">
        <v>185</v>
      </c>
      <c r="D4493" s="33" t="n">
        <v>172</v>
      </c>
      <c r="E4493" s="24" t="n">
        <v>0</v>
      </c>
      <c r="F4493" s="37" t="n">
        <f aca="false">DATE(YEAR(A4493),MONTH(A4493),1)</f>
        <v>46204</v>
      </c>
      <c r="G4493" s="24" t="str">
        <f aca="false">INDEX(Products!$C$2:$C$49,MATCH(C4493,Products!$A$2:$A$49,0))</f>
        <v>Personal Care</v>
      </c>
      <c r="H4493" s="33" t="n">
        <f aca="false">D4493*INDEX(Products!$E$2:$E$49,MATCH(C4493,Products!$A$2:$A$49,0))</f>
        <v>48160</v>
      </c>
      <c r="I4493" s="33" t="n">
        <f aca="false">D4493*INDEX(Products!$D$2:$D$49,MATCH(C4493,Products!$A$2:$A$49,0))*(1+INDEX(Assumptions!$B$16:$B$20,MATCH(B4493,Assumptions!$A$16:$A$20,0)))</f>
        <v>34344.96</v>
      </c>
      <c r="J4493" s="33" t="n">
        <f aca="false">H4493-I4493</f>
        <v>13815.04</v>
      </c>
      <c r="K4493" s="33" t="n">
        <f aca="false">IF(OR(E4493=0,E4493&gt;=7),0,D4493/(7-E4493)*E4493*INDEX(Products!$E$2:$E$49,MATCH(C4493,Products!$A$2:$A$49,0)))</f>
        <v>0</v>
      </c>
    </row>
    <row r="4494" customFormat="false" ht="15" hidden="false" customHeight="false" outlineLevel="0" collapsed="false">
      <c r="A4494" s="36" t="n">
        <v>46237</v>
      </c>
      <c r="B4494" s="24" t="s">
        <v>64</v>
      </c>
      <c r="C4494" s="24" t="s">
        <v>185</v>
      </c>
      <c r="D4494" s="33" t="n">
        <v>75</v>
      </c>
      <c r="E4494" s="24" t="n">
        <v>0</v>
      </c>
      <c r="F4494" s="37" t="n">
        <f aca="false">DATE(YEAR(A4494),MONTH(A4494),1)</f>
        <v>46235</v>
      </c>
      <c r="G4494" s="24" t="str">
        <f aca="false">INDEX(Products!$C$2:$C$49,MATCH(C4494,Products!$A$2:$A$49,0))</f>
        <v>Personal Care</v>
      </c>
      <c r="H4494" s="33" t="n">
        <f aca="false">D4494*INDEX(Products!$E$2:$E$49,MATCH(C4494,Products!$A$2:$A$49,0))</f>
        <v>21000</v>
      </c>
      <c r="I4494" s="33" t="n">
        <f aca="false">D4494*INDEX(Products!$D$2:$D$49,MATCH(C4494,Products!$A$2:$A$49,0))*(1+INDEX(Assumptions!$B$16:$B$20,MATCH(B4494,Assumptions!$A$16:$A$20,0)))</f>
        <v>14976</v>
      </c>
      <c r="J4494" s="33" t="n">
        <f aca="false">H4494-I4494</f>
        <v>6024</v>
      </c>
      <c r="K4494" s="33" t="n">
        <f aca="false">IF(OR(E4494=0,E4494&gt;=7),0,D4494/(7-E4494)*E4494*INDEX(Products!$E$2:$E$49,MATCH(C4494,Products!$A$2:$A$49,0)))</f>
        <v>0</v>
      </c>
    </row>
    <row r="4495" customFormat="false" ht="15" hidden="false" customHeight="false" outlineLevel="0" collapsed="false">
      <c r="A4495" s="36" t="n">
        <v>46244</v>
      </c>
      <c r="B4495" s="24" t="s">
        <v>64</v>
      </c>
      <c r="C4495" s="24" t="s">
        <v>185</v>
      </c>
      <c r="D4495" s="33" t="n">
        <v>94</v>
      </c>
      <c r="E4495" s="24" t="n">
        <v>0</v>
      </c>
      <c r="F4495" s="37" t="n">
        <f aca="false">DATE(YEAR(A4495),MONTH(A4495),1)</f>
        <v>46235</v>
      </c>
      <c r="G4495" s="24" t="str">
        <f aca="false">INDEX(Products!$C$2:$C$49,MATCH(C4495,Products!$A$2:$A$49,0))</f>
        <v>Personal Care</v>
      </c>
      <c r="H4495" s="33" t="n">
        <f aca="false">D4495*INDEX(Products!$E$2:$E$49,MATCH(C4495,Products!$A$2:$A$49,0))</f>
        <v>26320</v>
      </c>
      <c r="I4495" s="33" t="n">
        <f aca="false">D4495*INDEX(Products!$D$2:$D$49,MATCH(C4495,Products!$A$2:$A$49,0))*(1+INDEX(Assumptions!$B$16:$B$20,MATCH(B4495,Assumptions!$A$16:$A$20,0)))</f>
        <v>18769.92</v>
      </c>
      <c r="J4495" s="33" t="n">
        <f aca="false">H4495-I4495</f>
        <v>7550.08</v>
      </c>
      <c r="K4495" s="33" t="n">
        <f aca="false">IF(OR(E4495=0,E4495&gt;=7),0,D4495/(7-E4495)*E4495*INDEX(Products!$E$2:$E$49,MATCH(C4495,Products!$A$2:$A$49,0)))</f>
        <v>0</v>
      </c>
    </row>
    <row r="4496" customFormat="false" ht="15" hidden="false" customHeight="false" outlineLevel="0" collapsed="false">
      <c r="A4496" s="36" t="n">
        <v>46251</v>
      </c>
      <c r="B4496" s="24" t="s">
        <v>64</v>
      </c>
      <c r="C4496" s="24" t="s">
        <v>185</v>
      </c>
      <c r="D4496" s="33" t="n">
        <v>75</v>
      </c>
      <c r="E4496" s="24" t="n">
        <v>0</v>
      </c>
      <c r="F4496" s="37" t="n">
        <f aca="false">DATE(YEAR(A4496),MONTH(A4496),1)</f>
        <v>46235</v>
      </c>
      <c r="G4496" s="24" t="str">
        <f aca="false">INDEX(Products!$C$2:$C$49,MATCH(C4496,Products!$A$2:$A$49,0))</f>
        <v>Personal Care</v>
      </c>
      <c r="H4496" s="33" t="n">
        <f aca="false">D4496*INDEX(Products!$E$2:$E$49,MATCH(C4496,Products!$A$2:$A$49,0))</f>
        <v>21000</v>
      </c>
      <c r="I4496" s="33" t="n">
        <f aca="false">D4496*INDEX(Products!$D$2:$D$49,MATCH(C4496,Products!$A$2:$A$49,0))*(1+INDEX(Assumptions!$B$16:$B$20,MATCH(B4496,Assumptions!$A$16:$A$20,0)))</f>
        <v>14976</v>
      </c>
      <c r="J4496" s="33" t="n">
        <f aca="false">H4496-I4496</f>
        <v>6024</v>
      </c>
      <c r="K4496" s="33" t="n">
        <f aca="false">IF(OR(E4496=0,E4496&gt;=7),0,D4496/(7-E4496)*E4496*INDEX(Products!$E$2:$E$49,MATCH(C4496,Products!$A$2:$A$49,0)))</f>
        <v>0</v>
      </c>
    </row>
    <row r="4497" customFormat="false" ht="15" hidden="false" customHeight="false" outlineLevel="0" collapsed="false">
      <c r="A4497" s="36" t="n">
        <v>46258</v>
      </c>
      <c r="B4497" s="24" t="s">
        <v>64</v>
      </c>
      <c r="C4497" s="24" t="s">
        <v>185</v>
      </c>
      <c r="D4497" s="33" t="n">
        <v>92</v>
      </c>
      <c r="E4497" s="24" t="n">
        <v>0</v>
      </c>
      <c r="F4497" s="37" t="n">
        <f aca="false">DATE(YEAR(A4497),MONTH(A4497),1)</f>
        <v>46235</v>
      </c>
      <c r="G4497" s="24" t="str">
        <f aca="false">INDEX(Products!$C$2:$C$49,MATCH(C4497,Products!$A$2:$A$49,0))</f>
        <v>Personal Care</v>
      </c>
      <c r="H4497" s="33" t="n">
        <f aca="false">D4497*INDEX(Products!$E$2:$E$49,MATCH(C4497,Products!$A$2:$A$49,0))</f>
        <v>25760</v>
      </c>
      <c r="I4497" s="33" t="n">
        <f aca="false">D4497*INDEX(Products!$D$2:$D$49,MATCH(C4497,Products!$A$2:$A$49,0))*(1+INDEX(Assumptions!$B$16:$B$20,MATCH(B4497,Assumptions!$A$16:$A$20,0)))</f>
        <v>18370.56</v>
      </c>
      <c r="J4497" s="33" t="n">
        <f aca="false">H4497-I4497</f>
        <v>7389.44</v>
      </c>
      <c r="K4497" s="33" t="n">
        <f aca="false">IF(OR(E4497=0,E4497&gt;=7),0,D4497/(7-E4497)*E4497*INDEX(Products!$E$2:$E$49,MATCH(C4497,Products!$A$2:$A$49,0)))</f>
        <v>0</v>
      </c>
    </row>
    <row r="4498" customFormat="false" ht="15" hidden="false" customHeight="false" outlineLevel="0" collapsed="false">
      <c r="A4498" s="36" t="n">
        <v>46265</v>
      </c>
      <c r="B4498" s="24" t="s">
        <v>64</v>
      </c>
      <c r="C4498" s="24" t="s">
        <v>185</v>
      </c>
      <c r="D4498" s="33" t="n">
        <v>85</v>
      </c>
      <c r="E4498" s="24" t="n">
        <v>0</v>
      </c>
      <c r="F4498" s="37" t="n">
        <f aca="false">DATE(YEAR(A4498),MONTH(A4498),1)</f>
        <v>46235</v>
      </c>
      <c r="G4498" s="24" t="str">
        <f aca="false">INDEX(Products!$C$2:$C$49,MATCH(C4498,Products!$A$2:$A$49,0))</f>
        <v>Personal Care</v>
      </c>
      <c r="H4498" s="33" t="n">
        <f aca="false">D4498*INDEX(Products!$E$2:$E$49,MATCH(C4498,Products!$A$2:$A$49,0))</f>
        <v>23800</v>
      </c>
      <c r="I4498" s="33" t="n">
        <f aca="false">D4498*INDEX(Products!$D$2:$D$49,MATCH(C4498,Products!$A$2:$A$49,0))*(1+INDEX(Assumptions!$B$16:$B$20,MATCH(B4498,Assumptions!$A$16:$A$20,0)))</f>
        <v>16972.8</v>
      </c>
      <c r="J4498" s="33" t="n">
        <f aca="false">H4498-I4498</f>
        <v>6827.2</v>
      </c>
      <c r="K4498" s="33" t="n">
        <f aca="false">IF(OR(E4498=0,E4498&gt;=7),0,D4498/(7-E4498)*E4498*INDEX(Products!$E$2:$E$49,MATCH(C4498,Products!$A$2:$A$49,0)))</f>
        <v>0</v>
      </c>
    </row>
    <row r="4499" customFormat="false" ht="15" hidden="false" customHeight="false" outlineLevel="0" collapsed="false">
      <c r="A4499" s="36" t="n">
        <v>46272</v>
      </c>
      <c r="B4499" s="24" t="s">
        <v>64</v>
      </c>
      <c r="C4499" s="24" t="s">
        <v>185</v>
      </c>
      <c r="D4499" s="33" t="n">
        <v>84</v>
      </c>
      <c r="E4499" s="24" t="n">
        <v>0</v>
      </c>
      <c r="F4499" s="37" t="n">
        <f aca="false">DATE(YEAR(A4499),MONTH(A4499),1)</f>
        <v>46266</v>
      </c>
      <c r="G4499" s="24" t="str">
        <f aca="false">INDEX(Products!$C$2:$C$49,MATCH(C4499,Products!$A$2:$A$49,0))</f>
        <v>Personal Care</v>
      </c>
      <c r="H4499" s="33" t="n">
        <f aca="false">D4499*INDEX(Products!$E$2:$E$49,MATCH(C4499,Products!$A$2:$A$49,0))</f>
        <v>23520</v>
      </c>
      <c r="I4499" s="33" t="n">
        <f aca="false">D4499*INDEX(Products!$D$2:$D$49,MATCH(C4499,Products!$A$2:$A$49,0))*(1+INDEX(Assumptions!$B$16:$B$20,MATCH(B4499,Assumptions!$A$16:$A$20,0)))</f>
        <v>16773.12</v>
      </c>
      <c r="J4499" s="33" t="n">
        <f aca="false">H4499-I4499</f>
        <v>6746.88</v>
      </c>
      <c r="K4499" s="33" t="n">
        <f aca="false">IF(OR(E4499=0,E4499&gt;=7),0,D4499/(7-E4499)*E4499*INDEX(Products!$E$2:$E$49,MATCH(C4499,Products!$A$2:$A$49,0)))</f>
        <v>0</v>
      </c>
    </row>
    <row r="4500" customFormat="false" ht="15" hidden="false" customHeight="false" outlineLevel="0" collapsed="false">
      <c r="A4500" s="36" t="n">
        <v>46279</v>
      </c>
      <c r="B4500" s="24" t="s">
        <v>64</v>
      </c>
      <c r="C4500" s="24" t="s">
        <v>185</v>
      </c>
      <c r="D4500" s="33" t="n">
        <v>92</v>
      </c>
      <c r="E4500" s="24" t="n">
        <v>0</v>
      </c>
      <c r="F4500" s="37" t="n">
        <f aca="false">DATE(YEAR(A4500),MONTH(A4500),1)</f>
        <v>46266</v>
      </c>
      <c r="G4500" s="24" t="str">
        <f aca="false">INDEX(Products!$C$2:$C$49,MATCH(C4500,Products!$A$2:$A$49,0))</f>
        <v>Personal Care</v>
      </c>
      <c r="H4500" s="33" t="n">
        <f aca="false">D4500*INDEX(Products!$E$2:$E$49,MATCH(C4500,Products!$A$2:$A$49,0))</f>
        <v>25760</v>
      </c>
      <c r="I4500" s="33" t="n">
        <f aca="false">D4500*INDEX(Products!$D$2:$D$49,MATCH(C4500,Products!$A$2:$A$49,0))*(1+INDEX(Assumptions!$B$16:$B$20,MATCH(B4500,Assumptions!$A$16:$A$20,0)))</f>
        <v>18370.56</v>
      </c>
      <c r="J4500" s="33" t="n">
        <f aca="false">H4500-I4500</f>
        <v>7389.44</v>
      </c>
      <c r="K4500" s="33" t="n">
        <f aca="false">IF(OR(E4500=0,E4500&gt;=7),0,D4500/(7-E4500)*E4500*INDEX(Products!$E$2:$E$49,MATCH(C4500,Products!$A$2:$A$49,0)))</f>
        <v>0</v>
      </c>
    </row>
    <row r="4501" customFormat="false" ht="15" hidden="false" customHeight="false" outlineLevel="0" collapsed="false">
      <c r="A4501" s="36" t="n">
        <v>46286</v>
      </c>
      <c r="B4501" s="24" t="s">
        <v>64</v>
      </c>
      <c r="C4501" s="24" t="s">
        <v>185</v>
      </c>
      <c r="D4501" s="33" t="n">
        <v>99</v>
      </c>
      <c r="E4501" s="24" t="n">
        <v>0</v>
      </c>
      <c r="F4501" s="37" t="n">
        <f aca="false">DATE(YEAR(A4501),MONTH(A4501),1)</f>
        <v>46266</v>
      </c>
      <c r="G4501" s="24" t="str">
        <f aca="false">INDEX(Products!$C$2:$C$49,MATCH(C4501,Products!$A$2:$A$49,0))</f>
        <v>Personal Care</v>
      </c>
      <c r="H4501" s="33" t="n">
        <f aca="false">D4501*INDEX(Products!$E$2:$E$49,MATCH(C4501,Products!$A$2:$A$49,0))</f>
        <v>27720</v>
      </c>
      <c r="I4501" s="33" t="n">
        <f aca="false">D4501*INDEX(Products!$D$2:$D$49,MATCH(C4501,Products!$A$2:$A$49,0))*(1+INDEX(Assumptions!$B$16:$B$20,MATCH(B4501,Assumptions!$A$16:$A$20,0)))</f>
        <v>19768.32</v>
      </c>
      <c r="J4501" s="33" t="n">
        <f aca="false">H4501-I4501</f>
        <v>7951.68</v>
      </c>
      <c r="K4501" s="33" t="n">
        <f aca="false">IF(OR(E4501=0,E4501&gt;=7),0,D4501/(7-E4501)*E4501*INDEX(Products!$E$2:$E$49,MATCH(C4501,Products!$A$2:$A$49,0)))</f>
        <v>0</v>
      </c>
    </row>
    <row r="4502" customFormat="false" ht="15" hidden="false" customHeight="false" outlineLevel="0" collapsed="false">
      <c r="A4502" s="36" t="n">
        <v>46118</v>
      </c>
      <c r="B4502" s="24" t="s">
        <v>64</v>
      </c>
      <c r="C4502" s="24" t="s">
        <v>187</v>
      </c>
      <c r="D4502" s="33" t="n">
        <v>13</v>
      </c>
      <c r="E4502" s="24" t="n">
        <v>4</v>
      </c>
      <c r="F4502" s="37" t="n">
        <f aca="false">DATE(YEAR(A4502),MONTH(A4502),1)</f>
        <v>46113</v>
      </c>
      <c r="G4502" s="24" t="str">
        <f aca="false">INDEX(Products!$C$2:$C$49,MATCH(C4502,Products!$A$2:$A$49,0))</f>
        <v>Personal Care</v>
      </c>
      <c r="H4502" s="33" t="n">
        <f aca="false">D4502*INDEX(Products!$E$2:$E$49,MATCH(C4502,Products!$A$2:$A$49,0))</f>
        <v>2080</v>
      </c>
      <c r="I4502" s="33" t="n">
        <f aca="false">D4502*INDEX(Products!$D$2:$D$49,MATCH(C4502,Products!$A$2:$A$49,0))*(1+INDEX(Assumptions!$B$16:$B$20,MATCH(B4502,Assumptions!$A$16:$A$20,0)))</f>
        <v>1517.568</v>
      </c>
      <c r="J4502" s="33" t="n">
        <f aca="false">H4502-I4502</f>
        <v>562.432</v>
      </c>
      <c r="K4502" s="33" t="n">
        <f aca="false">IF(OR(E4502=0,E4502&gt;=7),0,D4502/(7-E4502)*E4502*INDEX(Products!$E$2:$E$49,MATCH(C4502,Products!$A$2:$A$49,0)))</f>
        <v>2773.33333333333</v>
      </c>
    </row>
    <row r="4503" customFormat="false" ht="15" hidden="false" customHeight="false" outlineLevel="0" collapsed="false">
      <c r="A4503" s="36" t="n">
        <v>46125</v>
      </c>
      <c r="B4503" s="24" t="s">
        <v>64</v>
      </c>
      <c r="C4503" s="24" t="s">
        <v>187</v>
      </c>
      <c r="D4503" s="33" t="n">
        <v>31</v>
      </c>
      <c r="E4503" s="24" t="n">
        <v>0</v>
      </c>
      <c r="F4503" s="37" t="n">
        <f aca="false">DATE(YEAR(A4503),MONTH(A4503),1)</f>
        <v>46113</v>
      </c>
      <c r="G4503" s="24" t="str">
        <f aca="false">INDEX(Products!$C$2:$C$49,MATCH(C4503,Products!$A$2:$A$49,0))</f>
        <v>Personal Care</v>
      </c>
      <c r="H4503" s="33" t="n">
        <f aca="false">D4503*INDEX(Products!$E$2:$E$49,MATCH(C4503,Products!$A$2:$A$49,0))</f>
        <v>4960</v>
      </c>
      <c r="I4503" s="33" t="n">
        <f aca="false">D4503*INDEX(Products!$D$2:$D$49,MATCH(C4503,Products!$A$2:$A$49,0))*(1+INDEX(Assumptions!$B$16:$B$20,MATCH(B4503,Assumptions!$A$16:$A$20,0)))</f>
        <v>3618.816</v>
      </c>
      <c r="J4503" s="33" t="n">
        <f aca="false">H4503-I4503</f>
        <v>1341.184</v>
      </c>
      <c r="K4503" s="33" t="n">
        <f aca="false">IF(OR(E4503=0,E4503&gt;=7),0,D4503/(7-E4503)*E4503*INDEX(Products!$E$2:$E$49,MATCH(C4503,Products!$A$2:$A$49,0)))</f>
        <v>0</v>
      </c>
    </row>
    <row r="4504" customFormat="false" ht="15" hidden="false" customHeight="false" outlineLevel="0" collapsed="false">
      <c r="A4504" s="36" t="n">
        <v>46132</v>
      </c>
      <c r="B4504" s="24" t="s">
        <v>64</v>
      </c>
      <c r="C4504" s="24" t="s">
        <v>187</v>
      </c>
      <c r="D4504" s="33" t="n">
        <v>31</v>
      </c>
      <c r="E4504" s="24" t="n">
        <v>0</v>
      </c>
      <c r="F4504" s="37" t="n">
        <f aca="false">DATE(YEAR(A4504),MONTH(A4504),1)</f>
        <v>46113</v>
      </c>
      <c r="G4504" s="24" t="str">
        <f aca="false">INDEX(Products!$C$2:$C$49,MATCH(C4504,Products!$A$2:$A$49,0))</f>
        <v>Personal Care</v>
      </c>
      <c r="H4504" s="33" t="n">
        <f aca="false">D4504*INDEX(Products!$E$2:$E$49,MATCH(C4504,Products!$A$2:$A$49,0))</f>
        <v>4960</v>
      </c>
      <c r="I4504" s="33" t="n">
        <f aca="false">D4504*INDEX(Products!$D$2:$D$49,MATCH(C4504,Products!$A$2:$A$49,0))*(1+INDEX(Assumptions!$B$16:$B$20,MATCH(B4504,Assumptions!$A$16:$A$20,0)))</f>
        <v>3618.816</v>
      </c>
      <c r="J4504" s="33" t="n">
        <f aca="false">H4504-I4504</f>
        <v>1341.184</v>
      </c>
      <c r="K4504" s="33" t="n">
        <f aca="false">IF(OR(E4504=0,E4504&gt;=7),0,D4504/(7-E4504)*E4504*INDEX(Products!$E$2:$E$49,MATCH(C4504,Products!$A$2:$A$49,0)))</f>
        <v>0</v>
      </c>
    </row>
    <row r="4505" customFormat="false" ht="15" hidden="false" customHeight="false" outlineLevel="0" collapsed="false">
      <c r="A4505" s="36" t="n">
        <v>46139</v>
      </c>
      <c r="B4505" s="24" t="s">
        <v>64</v>
      </c>
      <c r="C4505" s="24" t="s">
        <v>187</v>
      </c>
      <c r="D4505" s="33" t="n">
        <v>41</v>
      </c>
      <c r="E4505" s="24" t="n">
        <v>0</v>
      </c>
      <c r="F4505" s="37" t="n">
        <f aca="false">DATE(YEAR(A4505),MONTH(A4505),1)</f>
        <v>46113</v>
      </c>
      <c r="G4505" s="24" t="str">
        <f aca="false">INDEX(Products!$C$2:$C$49,MATCH(C4505,Products!$A$2:$A$49,0))</f>
        <v>Personal Care</v>
      </c>
      <c r="H4505" s="33" t="n">
        <f aca="false">D4505*INDEX(Products!$E$2:$E$49,MATCH(C4505,Products!$A$2:$A$49,0))</f>
        <v>6560</v>
      </c>
      <c r="I4505" s="33" t="n">
        <f aca="false">D4505*INDEX(Products!$D$2:$D$49,MATCH(C4505,Products!$A$2:$A$49,0))*(1+INDEX(Assumptions!$B$16:$B$20,MATCH(B4505,Assumptions!$A$16:$A$20,0)))</f>
        <v>4786.176</v>
      </c>
      <c r="J4505" s="33" t="n">
        <f aca="false">H4505-I4505</f>
        <v>1773.824</v>
      </c>
      <c r="K4505" s="33" t="n">
        <f aca="false">IF(OR(E4505=0,E4505&gt;=7),0,D4505/(7-E4505)*E4505*INDEX(Products!$E$2:$E$49,MATCH(C4505,Products!$A$2:$A$49,0)))</f>
        <v>0</v>
      </c>
    </row>
    <row r="4506" customFormat="false" ht="15" hidden="false" customHeight="false" outlineLevel="0" collapsed="false">
      <c r="A4506" s="36" t="n">
        <v>46146</v>
      </c>
      <c r="B4506" s="24" t="s">
        <v>64</v>
      </c>
      <c r="C4506" s="24" t="s">
        <v>187</v>
      </c>
      <c r="D4506" s="33" t="n">
        <v>26</v>
      </c>
      <c r="E4506" s="24" t="n">
        <v>0</v>
      </c>
      <c r="F4506" s="37" t="n">
        <f aca="false">DATE(YEAR(A4506),MONTH(A4506),1)</f>
        <v>46143</v>
      </c>
      <c r="G4506" s="24" t="str">
        <f aca="false">INDEX(Products!$C$2:$C$49,MATCH(C4506,Products!$A$2:$A$49,0))</f>
        <v>Personal Care</v>
      </c>
      <c r="H4506" s="33" t="n">
        <f aca="false">D4506*INDEX(Products!$E$2:$E$49,MATCH(C4506,Products!$A$2:$A$49,0))</f>
        <v>4160</v>
      </c>
      <c r="I4506" s="33" t="n">
        <f aca="false">D4506*INDEX(Products!$D$2:$D$49,MATCH(C4506,Products!$A$2:$A$49,0))*(1+INDEX(Assumptions!$B$16:$B$20,MATCH(B4506,Assumptions!$A$16:$A$20,0)))</f>
        <v>3035.136</v>
      </c>
      <c r="J4506" s="33" t="n">
        <f aca="false">H4506-I4506</f>
        <v>1124.864</v>
      </c>
      <c r="K4506" s="33" t="n">
        <f aca="false">IF(OR(E4506=0,E4506&gt;=7),0,D4506/(7-E4506)*E4506*INDEX(Products!$E$2:$E$49,MATCH(C4506,Products!$A$2:$A$49,0)))</f>
        <v>0</v>
      </c>
    </row>
    <row r="4507" customFormat="false" ht="15" hidden="false" customHeight="false" outlineLevel="0" collapsed="false">
      <c r="A4507" s="36" t="n">
        <v>46153</v>
      </c>
      <c r="B4507" s="24" t="s">
        <v>64</v>
      </c>
      <c r="C4507" s="24" t="s">
        <v>187</v>
      </c>
      <c r="D4507" s="33" t="n">
        <v>31</v>
      </c>
      <c r="E4507" s="24" t="n">
        <v>0</v>
      </c>
      <c r="F4507" s="37" t="n">
        <f aca="false">DATE(YEAR(A4507),MONTH(A4507),1)</f>
        <v>46143</v>
      </c>
      <c r="G4507" s="24" t="str">
        <f aca="false">INDEX(Products!$C$2:$C$49,MATCH(C4507,Products!$A$2:$A$49,0))</f>
        <v>Personal Care</v>
      </c>
      <c r="H4507" s="33" t="n">
        <f aca="false">D4507*INDEX(Products!$E$2:$E$49,MATCH(C4507,Products!$A$2:$A$49,0))</f>
        <v>4960</v>
      </c>
      <c r="I4507" s="33" t="n">
        <f aca="false">D4507*INDEX(Products!$D$2:$D$49,MATCH(C4507,Products!$A$2:$A$49,0))*(1+INDEX(Assumptions!$B$16:$B$20,MATCH(B4507,Assumptions!$A$16:$A$20,0)))</f>
        <v>3618.816</v>
      </c>
      <c r="J4507" s="33" t="n">
        <f aca="false">H4507-I4507</f>
        <v>1341.184</v>
      </c>
      <c r="K4507" s="33" t="n">
        <f aca="false">IF(OR(E4507=0,E4507&gt;=7),0,D4507/(7-E4507)*E4507*INDEX(Products!$E$2:$E$49,MATCH(C4507,Products!$A$2:$A$49,0)))</f>
        <v>0</v>
      </c>
    </row>
    <row r="4508" customFormat="false" ht="15" hidden="false" customHeight="false" outlineLevel="0" collapsed="false">
      <c r="A4508" s="36" t="n">
        <v>46160</v>
      </c>
      <c r="B4508" s="24" t="s">
        <v>64</v>
      </c>
      <c r="C4508" s="24" t="s">
        <v>187</v>
      </c>
      <c r="D4508" s="33" t="n">
        <v>44</v>
      </c>
      <c r="E4508" s="24" t="n">
        <v>0</v>
      </c>
      <c r="F4508" s="37" t="n">
        <f aca="false">DATE(YEAR(A4508),MONTH(A4508),1)</f>
        <v>46143</v>
      </c>
      <c r="G4508" s="24" t="str">
        <f aca="false">INDEX(Products!$C$2:$C$49,MATCH(C4508,Products!$A$2:$A$49,0))</f>
        <v>Personal Care</v>
      </c>
      <c r="H4508" s="33" t="n">
        <f aca="false">D4508*INDEX(Products!$E$2:$E$49,MATCH(C4508,Products!$A$2:$A$49,0))</f>
        <v>7040</v>
      </c>
      <c r="I4508" s="33" t="n">
        <f aca="false">D4508*INDEX(Products!$D$2:$D$49,MATCH(C4508,Products!$A$2:$A$49,0))*(1+INDEX(Assumptions!$B$16:$B$20,MATCH(B4508,Assumptions!$A$16:$A$20,0)))</f>
        <v>5136.384</v>
      </c>
      <c r="J4508" s="33" t="n">
        <f aca="false">H4508-I4508</f>
        <v>1903.616</v>
      </c>
      <c r="K4508" s="33" t="n">
        <f aca="false">IF(OR(E4508=0,E4508&gt;=7),0,D4508/(7-E4508)*E4508*INDEX(Products!$E$2:$E$49,MATCH(C4508,Products!$A$2:$A$49,0)))</f>
        <v>0</v>
      </c>
    </row>
    <row r="4509" customFormat="false" ht="15" hidden="false" customHeight="false" outlineLevel="0" collapsed="false">
      <c r="A4509" s="36" t="n">
        <v>46167</v>
      </c>
      <c r="B4509" s="24" t="s">
        <v>64</v>
      </c>
      <c r="C4509" s="24" t="s">
        <v>187</v>
      </c>
      <c r="D4509" s="33" t="n">
        <v>35</v>
      </c>
      <c r="E4509" s="24" t="n">
        <v>0</v>
      </c>
      <c r="F4509" s="37" t="n">
        <f aca="false">DATE(YEAR(A4509),MONTH(A4509),1)</f>
        <v>46143</v>
      </c>
      <c r="G4509" s="24" t="str">
        <f aca="false">INDEX(Products!$C$2:$C$49,MATCH(C4509,Products!$A$2:$A$49,0))</f>
        <v>Personal Care</v>
      </c>
      <c r="H4509" s="33" t="n">
        <f aca="false">D4509*INDEX(Products!$E$2:$E$49,MATCH(C4509,Products!$A$2:$A$49,0))</f>
        <v>5600</v>
      </c>
      <c r="I4509" s="33" t="n">
        <f aca="false">D4509*INDEX(Products!$D$2:$D$49,MATCH(C4509,Products!$A$2:$A$49,0))*(1+INDEX(Assumptions!$B$16:$B$20,MATCH(B4509,Assumptions!$A$16:$A$20,0)))</f>
        <v>4085.76</v>
      </c>
      <c r="J4509" s="33" t="n">
        <f aca="false">H4509-I4509</f>
        <v>1514.24</v>
      </c>
      <c r="K4509" s="33" t="n">
        <f aca="false">IF(OR(E4509=0,E4509&gt;=7),0,D4509/(7-E4509)*E4509*INDEX(Products!$E$2:$E$49,MATCH(C4509,Products!$A$2:$A$49,0)))</f>
        <v>0</v>
      </c>
    </row>
    <row r="4510" customFormat="false" ht="15" hidden="false" customHeight="false" outlineLevel="0" collapsed="false">
      <c r="A4510" s="36" t="n">
        <v>46174</v>
      </c>
      <c r="B4510" s="24" t="s">
        <v>64</v>
      </c>
      <c r="C4510" s="24" t="s">
        <v>187</v>
      </c>
      <c r="D4510" s="33" t="n">
        <v>33</v>
      </c>
      <c r="E4510" s="24" t="n">
        <v>0</v>
      </c>
      <c r="F4510" s="37" t="n">
        <f aca="false">DATE(YEAR(A4510),MONTH(A4510),1)</f>
        <v>46174</v>
      </c>
      <c r="G4510" s="24" t="str">
        <f aca="false">INDEX(Products!$C$2:$C$49,MATCH(C4510,Products!$A$2:$A$49,0))</f>
        <v>Personal Care</v>
      </c>
      <c r="H4510" s="33" t="n">
        <f aca="false">D4510*INDEX(Products!$E$2:$E$49,MATCH(C4510,Products!$A$2:$A$49,0))</f>
        <v>5280</v>
      </c>
      <c r="I4510" s="33" t="n">
        <f aca="false">D4510*INDEX(Products!$D$2:$D$49,MATCH(C4510,Products!$A$2:$A$49,0))*(1+INDEX(Assumptions!$B$16:$B$20,MATCH(B4510,Assumptions!$A$16:$A$20,0)))</f>
        <v>3852.288</v>
      </c>
      <c r="J4510" s="33" t="n">
        <f aca="false">H4510-I4510</f>
        <v>1427.712</v>
      </c>
      <c r="K4510" s="33" t="n">
        <f aca="false">IF(OR(E4510=0,E4510&gt;=7),0,D4510/(7-E4510)*E4510*INDEX(Products!$E$2:$E$49,MATCH(C4510,Products!$A$2:$A$49,0)))</f>
        <v>0</v>
      </c>
    </row>
    <row r="4511" customFormat="false" ht="15" hidden="false" customHeight="false" outlineLevel="0" collapsed="false">
      <c r="A4511" s="36" t="n">
        <v>46181</v>
      </c>
      <c r="B4511" s="24" t="s">
        <v>64</v>
      </c>
      <c r="C4511" s="24" t="s">
        <v>187</v>
      </c>
      <c r="D4511" s="33" t="n">
        <v>28</v>
      </c>
      <c r="E4511" s="24" t="n">
        <v>0</v>
      </c>
      <c r="F4511" s="37" t="n">
        <f aca="false">DATE(YEAR(A4511),MONTH(A4511),1)</f>
        <v>46174</v>
      </c>
      <c r="G4511" s="24" t="str">
        <f aca="false">INDEX(Products!$C$2:$C$49,MATCH(C4511,Products!$A$2:$A$49,0))</f>
        <v>Personal Care</v>
      </c>
      <c r="H4511" s="33" t="n">
        <f aca="false">D4511*INDEX(Products!$E$2:$E$49,MATCH(C4511,Products!$A$2:$A$49,0))</f>
        <v>4480</v>
      </c>
      <c r="I4511" s="33" t="n">
        <f aca="false">D4511*INDEX(Products!$D$2:$D$49,MATCH(C4511,Products!$A$2:$A$49,0))*(1+INDEX(Assumptions!$B$16:$B$20,MATCH(B4511,Assumptions!$A$16:$A$20,0)))</f>
        <v>3268.608</v>
      </c>
      <c r="J4511" s="33" t="n">
        <f aca="false">H4511-I4511</f>
        <v>1211.392</v>
      </c>
      <c r="K4511" s="33" t="n">
        <f aca="false">IF(OR(E4511=0,E4511&gt;=7),0,D4511/(7-E4511)*E4511*INDEX(Products!$E$2:$E$49,MATCH(C4511,Products!$A$2:$A$49,0)))</f>
        <v>0</v>
      </c>
    </row>
    <row r="4512" customFormat="false" ht="15" hidden="false" customHeight="false" outlineLevel="0" collapsed="false">
      <c r="A4512" s="36" t="n">
        <v>46188</v>
      </c>
      <c r="B4512" s="24" t="s">
        <v>64</v>
      </c>
      <c r="C4512" s="24" t="s">
        <v>187</v>
      </c>
      <c r="D4512" s="33" t="n">
        <v>27</v>
      </c>
      <c r="E4512" s="24" t="n">
        <v>0</v>
      </c>
      <c r="F4512" s="37" t="n">
        <f aca="false">DATE(YEAR(A4512),MONTH(A4512),1)</f>
        <v>46174</v>
      </c>
      <c r="G4512" s="24" t="str">
        <f aca="false">INDEX(Products!$C$2:$C$49,MATCH(C4512,Products!$A$2:$A$49,0))</f>
        <v>Personal Care</v>
      </c>
      <c r="H4512" s="33" t="n">
        <f aca="false">D4512*INDEX(Products!$E$2:$E$49,MATCH(C4512,Products!$A$2:$A$49,0))</f>
        <v>4320</v>
      </c>
      <c r="I4512" s="33" t="n">
        <f aca="false">D4512*INDEX(Products!$D$2:$D$49,MATCH(C4512,Products!$A$2:$A$49,0))*(1+INDEX(Assumptions!$B$16:$B$20,MATCH(B4512,Assumptions!$A$16:$A$20,0)))</f>
        <v>3151.872</v>
      </c>
      <c r="J4512" s="33" t="n">
        <f aca="false">H4512-I4512</f>
        <v>1168.128</v>
      </c>
      <c r="K4512" s="33" t="n">
        <f aca="false">IF(OR(E4512=0,E4512&gt;=7),0,D4512/(7-E4512)*E4512*INDEX(Products!$E$2:$E$49,MATCH(C4512,Products!$A$2:$A$49,0)))</f>
        <v>0</v>
      </c>
    </row>
    <row r="4513" customFormat="false" ht="15" hidden="false" customHeight="false" outlineLevel="0" collapsed="false">
      <c r="A4513" s="36" t="n">
        <v>46195</v>
      </c>
      <c r="B4513" s="24" t="s">
        <v>64</v>
      </c>
      <c r="C4513" s="24" t="s">
        <v>187</v>
      </c>
      <c r="D4513" s="33" t="n">
        <v>37</v>
      </c>
      <c r="E4513" s="24" t="n">
        <v>0</v>
      </c>
      <c r="F4513" s="37" t="n">
        <f aca="false">DATE(YEAR(A4513),MONTH(A4513),1)</f>
        <v>46174</v>
      </c>
      <c r="G4513" s="24" t="str">
        <f aca="false">INDEX(Products!$C$2:$C$49,MATCH(C4513,Products!$A$2:$A$49,0))</f>
        <v>Personal Care</v>
      </c>
      <c r="H4513" s="33" t="n">
        <f aca="false">D4513*INDEX(Products!$E$2:$E$49,MATCH(C4513,Products!$A$2:$A$49,0))</f>
        <v>5920</v>
      </c>
      <c r="I4513" s="33" t="n">
        <f aca="false">D4513*INDEX(Products!$D$2:$D$49,MATCH(C4513,Products!$A$2:$A$49,0))*(1+INDEX(Assumptions!$B$16:$B$20,MATCH(B4513,Assumptions!$A$16:$A$20,0)))</f>
        <v>4319.232</v>
      </c>
      <c r="J4513" s="33" t="n">
        <f aca="false">H4513-I4513</f>
        <v>1600.768</v>
      </c>
      <c r="K4513" s="33" t="n">
        <f aca="false">IF(OR(E4513=0,E4513&gt;=7),0,D4513/(7-E4513)*E4513*INDEX(Products!$E$2:$E$49,MATCH(C4513,Products!$A$2:$A$49,0)))</f>
        <v>0</v>
      </c>
    </row>
    <row r="4514" customFormat="false" ht="15" hidden="false" customHeight="false" outlineLevel="0" collapsed="false">
      <c r="A4514" s="36" t="n">
        <v>46202</v>
      </c>
      <c r="B4514" s="24" t="s">
        <v>64</v>
      </c>
      <c r="C4514" s="24" t="s">
        <v>187</v>
      </c>
      <c r="D4514" s="33" t="n">
        <v>29</v>
      </c>
      <c r="E4514" s="24" t="n">
        <v>0</v>
      </c>
      <c r="F4514" s="37" t="n">
        <f aca="false">DATE(YEAR(A4514),MONTH(A4514),1)</f>
        <v>46174</v>
      </c>
      <c r="G4514" s="24" t="str">
        <f aca="false">INDEX(Products!$C$2:$C$49,MATCH(C4514,Products!$A$2:$A$49,0))</f>
        <v>Personal Care</v>
      </c>
      <c r="H4514" s="33" t="n">
        <f aca="false">D4514*INDEX(Products!$E$2:$E$49,MATCH(C4514,Products!$A$2:$A$49,0))</f>
        <v>4640</v>
      </c>
      <c r="I4514" s="33" t="n">
        <f aca="false">D4514*INDEX(Products!$D$2:$D$49,MATCH(C4514,Products!$A$2:$A$49,0))*(1+INDEX(Assumptions!$B$16:$B$20,MATCH(B4514,Assumptions!$A$16:$A$20,0)))</f>
        <v>3385.344</v>
      </c>
      <c r="J4514" s="33" t="n">
        <f aca="false">H4514-I4514</f>
        <v>1254.656</v>
      </c>
      <c r="K4514" s="33" t="n">
        <f aca="false">IF(OR(E4514=0,E4514&gt;=7),0,D4514/(7-E4514)*E4514*INDEX(Products!$E$2:$E$49,MATCH(C4514,Products!$A$2:$A$49,0)))</f>
        <v>0</v>
      </c>
    </row>
    <row r="4515" customFormat="false" ht="15" hidden="false" customHeight="false" outlineLevel="0" collapsed="false">
      <c r="A4515" s="36" t="n">
        <v>46209</v>
      </c>
      <c r="B4515" s="24" t="s">
        <v>64</v>
      </c>
      <c r="C4515" s="24" t="s">
        <v>187</v>
      </c>
      <c r="D4515" s="33" t="n">
        <v>34</v>
      </c>
      <c r="E4515" s="24" t="n">
        <v>0</v>
      </c>
      <c r="F4515" s="37" t="n">
        <f aca="false">DATE(YEAR(A4515),MONTH(A4515),1)</f>
        <v>46204</v>
      </c>
      <c r="G4515" s="24" t="str">
        <f aca="false">INDEX(Products!$C$2:$C$49,MATCH(C4515,Products!$A$2:$A$49,0))</f>
        <v>Personal Care</v>
      </c>
      <c r="H4515" s="33" t="n">
        <f aca="false">D4515*INDEX(Products!$E$2:$E$49,MATCH(C4515,Products!$A$2:$A$49,0))</f>
        <v>5440</v>
      </c>
      <c r="I4515" s="33" t="n">
        <f aca="false">D4515*INDEX(Products!$D$2:$D$49,MATCH(C4515,Products!$A$2:$A$49,0))*(1+INDEX(Assumptions!$B$16:$B$20,MATCH(B4515,Assumptions!$A$16:$A$20,0)))</f>
        <v>3969.024</v>
      </c>
      <c r="J4515" s="33" t="n">
        <f aca="false">H4515-I4515</f>
        <v>1470.976</v>
      </c>
      <c r="K4515" s="33" t="n">
        <f aca="false">IF(OR(E4515=0,E4515&gt;=7),0,D4515/(7-E4515)*E4515*INDEX(Products!$E$2:$E$49,MATCH(C4515,Products!$A$2:$A$49,0)))</f>
        <v>0</v>
      </c>
    </row>
    <row r="4516" customFormat="false" ht="15" hidden="false" customHeight="false" outlineLevel="0" collapsed="false">
      <c r="A4516" s="36" t="n">
        <v>46216</v>
      </c>
      <c r="B4516" s="24" t="s">
        <v>64</v>
      </c>
      <c r="C4516" s="24" t="s">
        <v>187</v>
      </c>
      <c r="D4516" s="33" t="n">
        <v>31</v>
      </c>
      <c r="E4516" s="24" t="n">
        <v>0</v>
      </c>
      <c r="F4516" s="37" t="n">
        <f aca="false">DATE(YEAR(A4516),MONTH(A4516),1)</f>
        <v>46204</v>
      </c>
      <c r="G4516" s="24" t="str">
        <f aca="false">INDEX(Products!$C$2:$C$49,MATCH(C4516,Products!$A$2:$A$49,0))</f>
        <v>Personal Care</v>
      </c>
      <c r="H4516" s="33" t="n">
        <f aca="false">D4516*INDEX(Products!$E$2:$E$49,MATCH(C4516,Products!$A$2:$A$49,0))</f>
        <v>4960</v>
      </c>
      <c r="I4516" s="33" t="n">
        <f aca="false">D4516*INDEX(Products!$D$2:$D$49,MATCH(C4516,Products!$A$2:$A$49,0))*(1+INDEX(Assumptions!$B$16:$B$20,MATCH(B4516,Assumptions!$A$16:$A$20,0)))</f>
        <v>3618.816</v>
      </c>
      <c r="J4516" s="33" t="n">
        <f aca="false">H4516-I4516</f>
        <v>1341.184</v>
      </c>
      <c r="K4516" s="33" t="n">
        <f aca="false">IF(OR(E4516=0,E4516&gt;=7),0,D4516/(7-E4516)*E4516*INDEX(Products!$E$2:$E$49,MATCH(C4516,Products!$A$2:$A$49,0)))</f>
        <v>0</v>
      </c>
    </row>
    <row r="4517" customFormat="false" ht="15" hidden="false" customHeight="false" outlineLevel="0" collapsed="false">
      <c r="A4517" s="36" t="n">
        <v>46223</v>
      </c>
      <c r="B4517" s="24" t="s">
        <v>64</v>
      </c>
      <c r="C4517" s="24" t="s">
        <v>187</v>
      </c>
      <c r="D4517" s="33" t="n">
        <v>36</v>
      </c>
      <c r="E4517" s="24" t="n">
        <v>0</v>
      </c>
      <c r="F4517" s="37" t="n">
        <f aca="false">DATE(YEAR(A4517),MONTH(A4517),1)</f>
        <v>46204</v>
      </c>
      <c r="G4517" s="24" t="str">
        <f aca="false">INDEX(Products!$C$2:$C$49,MATCH(C4517,Products!$A$2:$A$49,0))</f>
        <v>Personal Care</v>
      </c>
      <c r="H4517" s="33" t="n">
        <f aca="false">D4517*INDEX(Products!$E$2:$E$49,MATCH(C4517,Products!$A$2:$A$49,0))</f>
        <v>5760</v>
      </c>
      <c r="I4517" s="33" t="n">
        <f aca="false">D4517*INDEX(Products!$D$2:$D$49,MATCH(C4517,Products!$A$2:$A$49,0))*(1+INDEX(Assumptions!$B$16:$B$20,MATCH(B4517,Assumptions!$A$16:$A$20,0)))</f>
        <v>4202.496</v>
      </c>
      <c r="J4517" s="33" t="n">
        <f aca="false">H4517-I4517</f>
        <v>1557.504</v>
      </c>
      <c r="K4517" s="33" t="n">
        <f aca="false">IF(OR(E4517=0,E4517&gt;=7),0,D4517/(7-E4517)*E4517*INDEX(Products!$E$2:$E$49,MATCH(C4517,Products!$A$2:$A$49,0)))</f>
        <v>0</v>
      </c>
    </row>
    <row r="4518" customFormat="false" ht="15" hidden="false" customHeight="false" outlineLevel="0" collapsed="false">
      <c r="A4518" s="36" t="n">
        <v>46230</v>
      </c>
      <c r="B4518" s="24" t="s">
        <v>64</v>
      </c>
      <c r="C4518" s="24" t="s">
        <v>187</v>
      </c>
      <c r="D4518" s="33" t="n">
        <v>33</v>
      </c>
      <c r="E4518" s="24" t="n">
        <v>0</v>
      </c>
      <c r="F4518" s="37" t="n">
        <f aca="false">DATE(YEAR(A4518),MONTH(A4518),1)</f>
        <v>46204</v>
      </c>
      <c r="G4518" s="24" t="str">
        <f aca="false">INDEX(Products!$C$2:$C$49,MATCH(C4518,Products!$A$2:$A$49,0))</f>
        <v>Personal Care</v>
      </c>
      <c r="H4518" s="33" t="n">
        <f aca="false">D4518*INDEX(Products!$E$2:$E$49,MATCH(C4518,Products!$A$2:$A$49,0))</f>
        <v>5280</v>
      </c>
      <c r="I4518" s="33" t="n">
        <f aca="false">D4518*INDEX(Products!$D$2:$D$49,MATCH(C4518,Products!$A$2:$A$49,0))*(1+INDEX(Assumptions!$B$16:$B$20,MATCH(B4518,Assumptions!$A$16:$A$20,0)))</f>
        <v>3852.288</v>
      </c>
      <c r="J4518" s="33" t="n">
        <f aca="false">H4518-I4518</f>
        <v>1427.712</v>
      </c>
      <c r="K4518" s="33" t="n">
        <f aca="false">IF(OR(E4518=0,E4518&gt;=7),0,D4518/(7-E4518)*E4518*INDEX(Products!$E$2:$E$49,MATCH(C4518,Products!$A$2:$A$49,0)))</f>
        <v>0</v>
      </c>
    </row>
    <row r="4519" customFormat="false" ht="15" hidden="false" customHeight="false" outlineLevel="0" collapsed="false">
      <c r="A4519" s="36" t="n">
        <v>46237</v>
      </c>
      <c r="B4519" s="24" t="s">
        <v>64</v>
      </c>
      <c r="C4519" s="24" t="s">
        <v>187</v>
      </c>
      <c r="D4519" s="33" t="n">
        <v>28</v>
      </c>
      <c r="E4519" s="24" t="n">
        <v>0</v>
      </c>
      <c r="F4519" s="37" t="n">
        <f aca="false">DATE(YEAR(A4519),MONTH(A4519),1)</f>
        <v>46235</v>
      </c>
      <c r="G4519" s="24" t="str">
        <f aca="false">INDEX(Products!$C$2:$C$49,MATCH(C4519,Products!$A$2:$A$49,0))</f>
        <v>Personal Care</v>
      </c>
      <c r="H4519" s="33" t="n">
        <f aca="false">D4519*INDEX(Products!$E$2:$E$49,MATCH(C4519,Products!$A$2:$A$49,0))</f>
        <v>4480</v>
      </c>
      <c r="I4519" s="33" t="n">
        <f aca="false">D4519*INDEX(Products!$D$2:$D$49,MATCH(C4519,Products!$A$2:$A$49,0))*(1+INDEX(Assumptions!$B$16:$B$20,MATCH(B4519,Assumptions!$A$16:$A$20,0)))</f>
        <v>3268.608</v>
      </c>
      <c r="J4519" s="33" t="n">
        <f aca="false">H4519-I4519</f>
        <v>1211.392</v>
      </c>
      <c r="K4519" s="33" t="n">
        <f aca="false">IF(OR(E4519=0,E4519&gt;=7),0,D4519/(7-E4519)*E4519*INDEX(Products!$E$2:$E$49,MATCH(C4519,Products!$A$2:$A$49,0)))</f>
        <v>0</v>
      </c>
    </row>
    <row r="4520" customFormat="false" ht="15" hidden="false" customHeight="false" outlineLevel="0" collapsed="false">
      <c r="A4520" s="36" t="n">
        <v>46244</v>
      </c>
      <c r="B4520" s="24" t="s">
        <v>64</v>
      </c>
      <c r="C4520" s="24" t="s">
        <v>187</v>
      </c>
      <c r="D4520" s="33" t="n">
        <v>24</v>
      </c>
      <c r="E4520" s="24" t="n">
        <v>0</v>
      </c>
      <c r="F4520" s="37" t="n">
        <f aca="false">DATE(YEAR(A4520),MONTH(A4520),1)</f>
        <v>46235</v>
      </c>
      <c r="G4520" s="24" t="str">
        <f aca="false">INDEX(Products!$C$2:$C$49,MATCH(C4520,Products!$A$2:$A$49,0))</f>
        <v>Personal Care</v>
      </c>
      <c r="H4520" s="33" t="n">
        <f aca="false">D4520*INDEX(Products!$E$2:$E$49,MATCH(C4520,Products!$A$2:$A$49,0))</f>
        <v>3840</v>
      </c>
      <c r="I4520" s="33" t="n">
        <f aca="false">D4520*INDEX(Products!$D$2:$D$49,MATCH(C4520,Products!$A$2:$A$49,0))*(1+INDEX(Assumptions!$B$16:$B$20,MATCH(B4520,Assumptions!$A$16:$A$20,0)))</f>
        <v>2801.664</v>
      </c>
      <c r="J4520" s="33" t="n">
        <f aca="false">H4520-I4520</f>
        <v>1038.336</v>
      </c>
      <c r="K4520" s="33" t="n">
        <f aca="false">IF(OR(E4520=0,E4520&gt;=7),0,D4520/(7-E4520)*E4520*INDEX(Products!$E$2:$E$49,MATCH(C4520,Products!$A$2:$A$49,0)))</f>
        <v>0</v>
      </c>
    </row>
    <row r="4521" customFormat="false" ht="15" hidden="false" customHeight="false" outlineLevel="0" collapsed="false">
      <c r="A4521" s="36" t="n">
        <v>46251</v>
      </c>
      <c r="B4521" s="24" t="s">
        <v>64</v>
      </c>
      <c r="C4521" s="24" t="s">
        <v>187</v>
      </c>
      <c r="D4521" s="33" t="n">
        <v>12</v>
      </c>
      <c r="E4521" s="24" t="n">
        <v>3</v>
      </c>
      <c r="F4521" s="37" t="n">
        <f aca="false">DATE(YEAR(A4521),MONTH(A4521),1)</f>
        <v>46235</v>
      </c>
      <c r="G4521" s="24" t="str">
        <f aca="false">INDEX(Products!$C$2:$C$49,MATCH(C4521,Products!$A$2:$A$49,0))</f>
        <v>Personal Care</v>
      </c>
      <c r="H4521" s="33" t="n">
        <f aca="false">D4521*INDEX(Products!$E$2:$E$49,MATCH(C4521,Products!$A$2:$A$49,0))</f>
        <v>1920</v>
      </c>
      <c r="I4521" s="33" t="n">
        <f aca="false">D4521*INDEX(Products!$D$2:$D$49,MATCH(C4521,Products!$A$2:$A$49,0))*(1+INDEX(Assumptions!$B$16:$B$20,MATCH(B4521,Assumptions!$A$16:$A$20,0)))</f>
        <v>1400.832</v>
      </c>
      <c r="J4521" s="33" t="n">
        <f aca="false">H4521-I4521</f>
        <v>519.168</v>
      </c>
      <c r="K4521" s="33" t="n">
        <f aca="false">IF(OR(E4521=0,E4521&gt;=7),0,D4521/(7-E4521)*E4521*INDEX(Products!$E$2:$E$49,MATCH(C4521,Products!$A$2:$A$49,0)))</f>
        <v>1440</v>
      </c>
    </row>
    <row r="4522" customFormat="false" ht="15" hidden="false" customHeight="false" outlineLevel="0" collapsed="false">
      <c r="A4522" s="36" t="n">
        <v>46258</v>
      </c>
      <c r="B4522" s="24" t="s">
        <v>64</v>
      </c>
      <c r="C4522" s="24" t="s">
        <v>187</v>
      </c>
      <c r="D4522" s="33" t="n">
        <v>32</v>
      </c>
      <c r="E4522" s="24" t="n">
        <v>0</v>
      </c>
      <c r="F4522" s="37" t="n">
        <f aca="false">DATE(YEAR(A4522),MONTH(A4522),1)</f>
        <v>46235</v>
      </c>
      <c r="G4522" s="24" t="str">
        <f aca="false">INDEX(Products!$C$2:$C$49,MATCH(C4522,Products!$A$2:$A$49,0))</f>
        <v>Personal Care</v>
      </c>
      <c r="H4522" s="33" t="n">
        <f aca="false">D4522*INDEX(Products!$E$2:$E$49,MATCH(C4522,Products!$A$2:$A$49,0))</f>
        <v>5120</v>
      </c>
      <c r="I4522" s="33" t="n">
        <f aca="false">D4522*INDEX(Products!$D$2:$D$49,MATCH(C4522,Products!$A$2:$A$49,0))*(1+INDEX(Assumptions!$B$16:$B$20,MATCH(B4522,Assumptions!$A$16:$A$20,0)))</f>
        <v>3735.552</v>
      </c>
      <c r="J4522" s="33" t="n">
        <f aca="false">H4522-I4522</f>
        <v>1384.448</v>
      </c>
      <c r="K4522" s="33" t="n">
        <f aca="false">IF(OR(E4522=0,E4522&gt;=7),0,D4522/(7-E4522)*E4522*INDEX(Products!$E$2:$E$49,MATCH(C4522,Products!$A$2:$A$49,0)))</f>
        <v>0</v>
      </c>
    </row>
    <row r="4523" customFormat="false" ht="15" hidden="false" customHeight="false" outlineLevel="0" collapsed="false">
      <c r="A4523" s="36" t="n">
        <v>46265</v>
      </c>
      <c r="B4523" s="24" t="s">
        <v>64</v>
      </c>
      <c r="C4523" s="24" t="s">
        <v>187</v>
      </c>
      <c r="D4523" s="33" t="n">
        <v>22</v>
      </c>
      <c r="E4523" s="24" t="n">
        <v>1</v>
      </c>
      <c r="F4523" s="37" t="n">
        <f aca="false">DATE(YEAR(A4523),MONTH(A4523),1)</f>
        <v>46235</v>
      </c>
      <c r="G4523" s="24" t="str">
        <f aca="false">INDEX(Products!$C$2:$C$49,MATCH(C4523,Products!$A$2:$A$49,0))</f>
        <v>Personal Care</v>
      </c>
      <c r="H4523" s="33" t="n">
        <f aca="false">D4523*INDEX(Products!$E$2:$E$49,MATCH(C4523,Products!$A$2:$A$49,0))</f>
        <v>3520</v>
      </c>
      <c r="I4523" s="33" t="n">
        <f aca="false">D4523*INDEX(Products!$D$2:$D$49,MATCH(C4523,Products!$A$2:$A$49,0))*(1+INDEX(Assumptions!$B$16:$B$20,MATCH(B4523,Assumptions!$A$16:$A$20,0)))</f>
        <v>2568.192</v>
      </c>
      <c r="J4523" s="33" t="n">
        <f aca="false">H4523-I4523</f>
        <v>951.808</v>
      </c>
      <c r="K4523" s="33" t="n">
        <f aca="false">IF(OR(E4523=0,E4523&gt;=7),0,D4523/(7-E4523)*E4523*INDEX(Products!$E$2:$E$49,MATCH(C4523,Products!$A$2:$A$49,0)))</f>
        <v>586.666666666667</v>
      </c>
    </row>
    <row r="4524" customFormat="false" ht="15" hidden="false" customHeight="false" outlineLevel="0" collapsed="false">
      <c r="A4524" s="36" t="n">
        <v>46272</v>
      </c>
      <c r="B4524" s="24" t="s">
        <v>64</v>
      </c>
      <c r="C4524" s="24" t="s">
        <v>187</v>
      </c>
      <c r="D4524" s="33" t="n">
        <v>28</v>
      </c>
      <c r="E4524" s="24" t="n">
        <v>0</v>
      </c>
      <c r="F4524" s="37" t="n">
        <f aca="false">DATE(YEAR(A4524),MONTH(A4524),1)</f>
        <v>46266</v>
      </c>
      <c r="G4524" s="24" t="str">
        <f aca="false">INDEX(Products!$C$2:$C$49,MATCH(C4524,Products!$A$2:$A$49,0))</f>
        <v>Personal Care</v>
      </c>
      <c r="H4524" s="33" t="n">
        <f aca="false">D4524*INDEX(Products!$E$2:$E$49,MATCH(C4524,Products!$A$2:$A$49,0))</f>
        <v>4480</v>
      </c>
      <c r="I4524" s="33" t="n">
        <f aca="false">D4524*INDEX(Products!$D$2:$D$49,MATCH(C4524,Products!$A$2:$A$49,0))*(1+INDEX(Assumptions!$B$16:$B$20,MATCH(B4524,Assumptions!$A$16:$A$20,0)))</f>
        <v>3268.608</v>
      </c>
      <c r="J4524" s="33" t="n">
        <f aca="false">H4524-I4524</f>
        <v>1211.392</v>
      </c>
      <c r="K4524" s="33" t="n">
        <f aca="false">IF(OR(E4524=0,E4524&gt;=7),0,D4524/(7-E4524)*E4524*INDEX(Products!$E$2:$E$49,MATCH(C4524,Products!$A$2:$A$49,0)))</f>
        <v>0</v>
      </c>
    </row>
    <row r="4525" customFormat="false" ht="15" hidden="false" customHeight="false" outlineLevel="0" collapsed="false">
      <c r="A4525" s="36" t="n">
        <v>46279</v>
      </c>
      <c r="B4525" s="24" t="s">
        <v>64</v>
      </c>
      <c r="C4525" s="24" t="s">
        <v>187</v>
      </c>
      <c r="D4525" s="33" t="n">
        <v>63</v>
      </c>
      <c r="E4525" s="24" t="n">
        <v>0</v>
      </c>
      <c r="F4525" s="37" t="n">
        <f aca="false">DATE(YEAR(A4525),MONTH(A4525),1)</f>
        <v>46266</v>
      </c>
      <c r="G4525" s="24" t="str">
        <f aca="false">INDEX(Products!$C$2:$C$49,MATCH(C4525,Products!$A$2:$A$49,0))</f>
        <v>Personal Care</v>
      </c>
      <c r="H4525" s="33" t="n">
        <f aca="false">D4525*INDEX(Products!$E$2:$E$49,MATCH(C4525,Products!$A$2:$A$49,0))</f>
        <v>10080</v>
      </c>
      <c r="I4525" s="33" t="n">
        <f aca="false">D4525*INDEX(Products!$D$2:$D$49,MATCH(C4525,Products!$A$2:$A$49,0))*(1+INDEX(Assumptions!$B$16:$B$20,MATCH(B4525,Assumptions!$A$16:$A$20,0)))</f>
        <v>7354.368</v>
      </c>
      <c r="J4525" s="33" t="n">
        <f aca="false">H4525-I4525</f>
        <v>2725.632</v>
      </c>
      <c r="K4525" s="33" t="n">
        <f aca="false">IF(OR(E4525=0,E4525&gt;=7),0,D4525/(7-E4525)*E4525*INDEX(Products!$E$2:$E$49,MATCH(C4525,Products!$A$2:$A$49,0)))</f>
        <v>0</v>
      </c>
    </row>
    <row r="4526" customFormat="false" ht="15" hidden="false" customHeight="false" outlineLevel="0" collapsed="false">
      <c r="A4526" s="36" t="n">
        <v>46286</v>
      </c>
      <c r="B4526" s="24" t="s">
        <v>64</v>
      </c>
      <c r="C4526" s="24" t="s">
        <v>187</v>
      </c>
      <c r="D4526" s="33" t="n">
        <v>37</v>
      </c>
      <c r="E4526" s="24" t="n">
        <v>0</v>
      </c>
      <c r="F4526" s="37" t="n">
        <f aca="false">DATE(YEAR(A4526),MONTH(A4526),1)</f>
        <v>46266</v>
      </c>
      <c r="G4526" s="24" t="str">
        <f aca="false">INDEX(Products!$C$2:$C$49,MATCH(C4526,Products!$A$2:$A$49,0))</f>
        <v>Personal Care</v>
      </c>
      <c r="H4526" s="33" t="n">
        <f aca="false">D4526*INDEX(Products!$E$2:$E$49,MATCH(C4526,Products!$A$2:$A$49,0))</f>
        <v>5920</v>
      </c>
      <c r="I4526" s="33" t="n">
        <f aca="false">D4526*INDEX(Products!$D$2:$D$49,MATCH(C4526,Products!$A$2:$A$49,0))*(1+INDEX(Assumptions!$B$16:$B$20,MATCH(B4526,Assumptions!$A$16:$A$20,0)))</f>
        <v>4319.232</v>
      </c>
      <c r="J4526" s="33" t="n">
        <f aca="false">H4526-I4526</f>
        <v>1600.768</v>
      </c>
      <c r="K4526" s="33" t="n">
        <f aca="false">IF(OR(E4526=0,E4526&gt;=7),0,D4526/(7-E4526)*E4526*INDEX(Products!$E$2:$E$49,MATCH(C4526,Products!$A$2:$A$49,0)))</f>
        <v>0</v>
      </c>
    </row>
    <row r="4527" customFormat="false" ht="15" hidden="false" customHeight="false" outlineLevel="0" collapsed="false">
      <c r="A4527" s="36" t="n">
        <v>46118</v>
      </c>
      <c r="B4527" s="24" t="s">
        <v>64</v>
      </c>
      <c r="C4527" s="24" t="s">
        <v>189</v>
      </c>
      <c r="D4527" s="33" t="n">
        <v>19</v>
      </c>
      <c r="E4527" s="24" t="n">
        <v>0</v>
      </c>
      <c r="F4527" s="37" t="n">
        <f aca="false">DATE(YEAR(A4527),MONTH(A4527),1)</f>
        <v>46113</v>
      </c>
      <c r="G4527" s="24" t="str">
        <f aca="false">INDEX(Products!$C$2:$C$49,MATCH(C4527,Products!$A$2:$A$49,0))</f>
        <v>Personal Care</v>
      </c>
      <c r="H4527" s="33" t="n">
        <f aca="false">D4527*INDEX(Products!$E$2:$E$49,MATCH(C4527,Products!$A$2:$A$49,0))</f>
        <v>6840</v>
      </c>
      <c r="I4527" s="33" t="n">
        <f aca="false">D4527*INDEX(Products!$D$2:$D$49,MATCH(C4527,Products!$A$2:$A$49,0))*(1+INDEX(Assumptions!$B$16:$B$20,MATCH(B4527,Assumptions!$A$16:$A$20,0)))</f>
        <v>4533.248</v>
      </c>
      <c r="J4527" s="33" t="n">
        <f aca="false">H4527-I4527</f>
        <v>2306.752</v>
      </c>
      <c r="K4527" s="33" t="n">
        <f aca="false">IF(OR(E4527=0,E4527&gt;=7),0,D4527/(7-E4527)*E4527*INDEX(Products!$E$2:$E$49,MATCH(C4527,Products!$A$2:$A$49,0)))</f>
        <v>0</v>
      </c>
    </row>
    <row r="4528" customFormat="false" ht="15" hidden="false" customHeight="false" outlineLevel="0" collapsed="false">
      <c r="A4528" s="36" t="n">
        <v>46125</v>
      </c>
      <c r="B4528" s="24" t="s">
        <v>64</v>
      </c>
      <c r="C4528" s="24" t="s">
        <v>189</v>
      </c>
      <c r="D4528" s="33" t="n">
        <v>25</v>
      </c>
      <c r="E4528" s="24" t="n">
        <v>0</v>
      </c>
      <c r="F4528" s="37" t="n">
        <f aca="false">DATE(YEAR(A4528),MONTH(A4528),1)</f>
        <v>46113</v>
      </c>
      <c r="G4528" s="24" t="str">
        <f aca="false">INDEX(Products!$C$2:$C$49,MATCH(C4528,Products!$A$2:$A$49,0))</f>
        <v>Personal Care</v>
      </c>
      <c r="H4528" s="33" t="n">
        <f aca="false">D4528*INDEX(Products!$E$2:$E$49,MATCH(C4528,Products!$A$2:$A$49,0))</f>
        <v>9000</v>
      </c>
      <c r="I4528" s="33" t="n">
        <f aca="false">D4528*INDEX(Products!$D$2:$D$49,MATCH(C4528,Products!$A$2:$A$49,0))*(1+INDEX(Assumptions!$B$16:$B$20,MATCH(B4528,Assumptions!$A$16:$A$20,0)))</f>
        <v>5964.8</v>
      </c>
      <c r="J4528" s="33" t="n">
        <f aca="false">H4528-I4528</f>
        <v>3035.2</v>
      </c>
      <c r="K4528" s="33" t="n">
        <f aca="false">IF(OR(E4528=0,E4528&gt;=7),0,D4528/(7-E4528)*E4528*INDEX(Products!$E$2:$E$49,MATCH(C4528,Products!$A$2:$A$49,0)))</f>
        <v>0</v>
      </c>
    </row>
    <row r="4529" customFormat="false" ht="15" hidden="false" customHeight="false" outlineLevel="0" collapsed="false">
      <c r="A4529" s="36" t="n">
        <v>46132</v>
      </c>
      <c r="B4529" s="24" t="s">
        <v>64</v>
      </c>
      <c r="C4529" s="24" t="s">
        <v>189</v>
      </c>
      <c r="D4529" s="33" t="n">
        <v>19</v>
      </c>
      <c r="E4529" s="24" t="n">
        <v>0</v>
      </c>
      <c r="F4529" s="37" t="n">
        <f aca="false">DATE(YEAR(A4529),MONTH(A4529),1)</f>
        <v>46113</v>
      </c>
      <c r="G4529" s="24" t="str">
        <f aca="false">INDEX(Products!$C$2:$C$49,MATCH(C4529,Products!$A$2:$A$49,0))</f>
        <v>Personal Care</v>
      </c>
      <c r="H4529" s="33" t="n">
        <f aca="false">D4529*INDEX(Products!$E$2:$E$49,MATCH(C4529,Products!$A$2:$A$49,0))</f>
        <v>6840</v>
      </c>
      <c r="I4529" s="33" t="n">
        <f aca="false">D4529*INDEX(Products!$D$2:$D$49,MATCH(C4529,Products!$A$2:$A$49,0))*(1+INDEX(Assumptions!$B$16:$B$20,MATCH(B4529,Assumptions!$A$16:$A$20,0)))</f>
        <v>4533.248</v>
      </c>
      <c r="J4529" s="33" t="n">
        <f aca="false">H4529-I4529</f>
        <v>2306.752</v>
      </c>
      <c r="K4529" s="33" t="n">
        <f aca="false">IF(OR(E4529=0,E4529&gt;=7),0,D4529/(7-E4529)*E4529*INDEX(Products!$E$2:$E$49,MATCH(C4529,Products!$A$2:$A$49,0)))</f>
        <v>0</v>
      </c>
    </row>
    <row r="4530" customFormat="false" ht="15" hidden="false" customHeight="false" outlineLevel="0" collapsed="false">
      <c r="A4530" s="36" t="n">
        <v>46139</v>
      </c>
      <c r="B4530" s="24" t="s">
        <v>64</v>
      </c>
      <c r="C4530" s="24" t="s">
        <v>189</v>
      </c>
      <c r="D4530" s="33" t="n">
        <v>26</v>
      </c>
      <c r="E4530" s="24" t="n">
        <v>0</v>
      </c>
      <c r="F4530" s="37" t="n">
        <f aca="false">DATE(YEAR(A4530),MONTH(A4530),1)</f>
        <v>46113</v>
      </c>
      <c r="G4530" s="24" t="str">
        <f aca="false">INDEX(Products!$C$2:$C$49,MATCH(C4530,Products!$A$2:$A$49,0))</f>
        <v>Personal Care</v>
      </c>
      <c r="H4530" s="33" t="n">
        <f aca="false">D4530*INDEX(Products!$E$2:$E$49,MATCH(C4530,Products!$A$2:$A$49,0))</f>
        <v>9360</v>
      </c>
      <c r="I4530" s="33" t="n">
        <f aca="false">D4530*INDEX(Products!$D$2:$D$49,MATCH(C4530,Products!$A$2:$A$49,0))*(1+INDEX(Assumptions!$B$16:$B$20,MATCH(B4530,Assumptions!$A$16:$A$20,0)))</f>
        <v>6203.392</v>
      </c>
      <c r="J4530" s="33" t="n">
        <f aca="false">H4530-I4530</f>
        <v>3156.608</v>
      </c>
      <c r="K4530" s="33" t="n">
        <f aca="false">IF(OR(E4530=0,E4530&gt;=7),0,D4530/(7-E4530)*E4530*INDEX(Products!$E$2:$E$49,MATCH(C4530,Products!$A$2:$A$49,0)))</f>
        <v>0</v>
      </c>
    </row>
    <row r="4531" customFormat="false" ht="15" hidden="false" customHeight="false" outlineLevel="0" collapsed="false">
      <c r="A4531" s="36" t="n">
        <v>46146</v>
      </c>
      <c r="B4531" s="24" t="s">
        <v>64</v>
      </c>
      <c r="C4531" s="24" t="s">
        <v>189</v>
      </c>
      <c r="D4531" s="33" t="n">
        <v>38</v>
      </c>
      <c r="E4531" s="24" t="n">
        <v>0</v>
      </c>
      <c r="F4531" s="37" t="n">
        <f aca="false">DATE(YEAR(A4531),MONTH(A4531),1)</f>
        <v>46143</v>
      </c>
      <c r="G4531" s="24" t="str">
        <f aca="false">INDEX(Products!$C$2:$C$49,MATCH(C4531,Products!$A$2:$A$49,0))</f>
        <v>Personal Care</v>
      </c>
      <c r="H4531" s="33" t="n">
        <f aca="false">D4531*INDEX(Products!$E$2:$E$49,MATCH(C4531,Products!$A$2:$A$49,0))</f>
        <v>13680</v>
      </c>
      <c r="I4531" s="33" t="n">
        <f aca="false">D4531*INDEX(Products!$D$2:$D$49,MATCH(C4531,Products!$A$2:$A$49,0))*(1+INDEX(Assumptions!$B$16:$B$20,MATCH(B4531,Assumptions!$A$16:$A$20,0)))</f>
        <v>9066.496</v>
      </c>
      <c r="J4531" s="33" t="n">
        <f aca="false">H4531-I4531</f>
        <v>4613.504</v>
      </c>
      <c r="K4531" s="33" t="n">
        <f aca="false">IF(OR(E4531=0,E4531&gt;=7),0,D4531/(7-E4531)*E4531*INDEX(Products!$E$2:$E$49,MATCH(C4531,Products!$A$2:$A$49,0)))</f>
        <v>0</v>
      </c>
    </row>
    <row r="4532" customFormat="false" ht="15" hidden="false" customHeight="false" outlineLevel="0" collapsed="false">
      <c r="A4532" s="36" t="n">
        <v>46153</v>
      </c>
      <c r="B4532" s="24" t="s">
        <v>64</v>
      </c>
      <c r="C4532" s="24" t="s">
        <v>189</v>
      </c>
      <c r="D4532" s="33" t="n">
        <v>30</v>
      </c>
      <c r="E4532" s="24" t="n">
        <v>0</v>
      </c>
      <c r="F4532" s="37" t="n">
        <f aca="false">DATE(YEAR(A4532),MONTH(A4532),1)</f>
        <v>46143</v>
      </c>
      <c r="G4532" s="24" t="str">
        <f aca="false">INDEX(Products!$C$2:$C$49,MATCH(C4532,Products!$A$2:$A$49,0))</f>
        <v>Personal Care</v>
      </c>
      <c r="H4532" s="33" t="n">
        <f aca="false">D4532*INDEX(Products!$E$2:$E$49,MATCH(C4532,Products!$A$2:$A$49,0))</f>
        <v>10800</v>
      </c>
      <c r="I4532" s="33" t="n">
        <f aca="false">D4532*INDEX(Products!$D$2:$D$49,MATCH(C4532,Products!$A$2:$A$49,0))*(1+INDEX(Assumptions!$B$16:$B$20,MATCH(B4532,Assumptions!$A$16:$A$20,0)))</f>
        <v>7157.76</v>
      </c>
      <c r="J4532" s="33" t="n">
        <f aca="false">H4532-I4532</f>
        <v>3642.24</v>
      </c>
      <c r="K4532" s="33" t="n">
        <f aca="false">IF(OR(E4532=0,E4532&gt;=7),0,D4532/(7-E4532)*E4532*INDEX(Products!$E$2:$E$49,MATCH(C4532,Products!$A$2:$A$49,0)))</f>
        <v>0</v>
      </c>
    </row>
    <row r="4533" customFormat="false" ht="15" hidden="false" customHeight="false" outlineLevel="0" collapsed="false">
      <c r="A4533" s="36" t="n">
        <v>46160</v>
      </c>
      <c r="B4533" s="24" t="s">
        <v>64</v>
      </c>
      <c r="C4533" s="24" t="s">
        <v>189</v>
      </c>
      <c r="D4533" s="33" t="n">
        <v>21</v>
      </c>
      <c r="E4533" s="24" t="n">
        <v>0</v>
      </c>
      <c r="F4533" s="37" t="n">
        <f aca="false">DATE(YEAR(A4533),MONTH(A4533),1)</f>
        <v>46143</v>
      </c>
      <c r="G4533" s="24" t="str">
        <f aca="false">INDEX(Products!$C$2:$C$49,MATCH(C4533,Products!$A$2:$A$49,0))</f>
        <v>Personal Care</v>
      </c>
      <c r="H4533" s="33" t="n">
        <f aca="false">D4533*INDEX(Products!$E$2:$E$49,MATCH(C4533,Products!$A$2:$A$49,0))</f>
        <v>7560</v>
      </c>
      <c r="I4533" s="33" t="n">
        <f aca="false">D4533*INDEX(Products!$D$2:$D$49,MATCH(C4533,Products!$A$2:$A$49,0))*(1+INDEX(Assumptions!$B$16:$B$20,MATCH(B4533,Assumptions!$A$16:$A$20,0)))</f>
        <v>5010.432</v>
      </c>
      <c r="J4533" s="33" t="n">
        <f aca="false">H4533-I4533</f>
        <v>2549.568</v>
      </c>
      <c r="K4533" s="33" t="n">
        <f aca="false">IF(OR(E4533=0,E4533&gt;=7),0,D4533/(7-E4533)*E4533*INDEX(Products!$E$2:$E$49,MATCH(C4533,Products!$A$2:$A$49,0)))</f>
        <v>0</v>
      </c>
    </row>
    <row r="4534" customFormat="false" ht="15" hidden="false" customHeight="false" outlineLevel="0" collapsed="false">
      <c r="A4534" s="36" t="n">
        <v>46167</v>
      </c>
      <c r="B4534" s="24" t="s">
        <v>64</v>
      </c>
      <c r="C4534" s="24" t="s">
        <v>189</v>
      </c>
      <c r="D4534" s="33" t="n">
        <v>24</v>
      </c>
      <c r="E4534" s="24" t="n">
        <v>0</v>
      </c>
      <c r="F4534" s="37" t="n">
        <f aca="false">DATE(YEAR(A4534),MONTH(A4534),1)</f>
        <v>46143</v>
      </c>
      <c r="G4534" s="24" t="str">
        <f aca="false">INDEX(Products!$C$2:$C$49,MATCH(C4534,Products!$A$2:$A$49,0))</f>
        <v>Personal Care</v>
      </c>
      <c r="H4534" s="33" t="n">
        <f aca="false">D4534*INDEX(Products!$E$2:$E$49,MATCH(C4534,Products!$A$2:$A$49,0))</f>
        <v>8640</v>
      </c>
      <c r="I4534" s="33" t="n">
        <f aca="false">D4534*INDEX(Products!$D$2:$D$49,MATCH(C4534,Products!$A$2:$A$49,0))*(1+INDEX(Assumptions!$B$16:$B$20,MATCH(B4534,Assumptions!$A$16:$A$20,0)))</f>
        <v>5726.208</v>
      </c>
      <c r="J4534" s="33" t="n">
        <f aca="false">H4534-I4534</f>
        <v>2913.792</v>
      </c>
      <c r="K4534" s="33" t="n">
        <f aca="false">IF(OR(E4534=0,E4534&gt;=7),0,D4534/(7-E4534)*E4534*INDEX(Products!$E$2:$E$49,MATCH(C4534,Products!$A$2:$A$49,0)))</f>
        <v>0</v>
      </c>
    </row>
    <row r="4535" customFormat="false" ht="15" hidden="false" customHeight="false" outlineLevel="0" collapsed="false">
      <c r="A4535" s="36" t="n">
        <v>46174</v>
      </c>
      <c r="B4535" s="24" t="s">
        <v>64</v>
      </c>
      <c r="C4535" s="24" t="s">
        <v>189</v>
      </c>
      <c r="D4535" s="33" t="n">
        <v>18</v>
      </c>
      <c r="E4535" s="24" t="n">
        <v>0</v>
      </c>
      <c r="F4535" s="37" t="n">
        <f aca="false">DATE(YEAR(A4535),MONTH(A4535),1)</f>
        <v>46174</v>
      </c>
      <c r="G4535" s="24" t="str">
        <f aca="false">INDEX(Products!$C$2:$C$49,MATCH(C4535,Products!$A$2:$A$49,0))</f>
        <v>Personal Care</v>
      </c>
      <c r="H4535" s="33" t="n">
        <f aca="false">D4535*INDEX(Products!$E$2:$E$49,MATCH(C4535,Products!$A$2:$A$49,0))</f>
        <v>6480</v>
      </c>
      <c r="I4535" s="33" t="n">
        <f aca="false">D4535*INDEX(Products!$D$2:$D$49,MATCH(C4535,Products!$A$2:$A$49,0))*(1+INDEX(Assumptions!$B$16:$B$20,MATCH(B4535,Assumptions!$A$16:$A$20,0)))</f>
        <v>4294.656</v>
      </c>
      <c r="J4535" s="33" t="n">
        <f aca="false">H4535-I4535</f>
        <v>2185.344</v>
      </c>
      <c r="K4535" s="33" t="n">
        <f aca="false">IF(OR(E4535=0,E4535&gt;=7),0,D4535/(7-E4535)*E4535*INDEX(Products!$E$2:$E$49,MATCH(C4535,Products!$A$2:$A$49,0)))</f>
        <v>0</v>
      </c>
    </row>
    <row r="4536" customFormat="false" ht="15" hidden="false" customHeight="false" outlineLevel="0" collapsed="false">
      <c r="A4536" s="36" t="n">
        <v>46181</v>
      </c>
      <c r="B4536" s="24" t="s">
        <v>64</v>
      </c>
      <c r="C4536" s="24" t="s">
        <v>189</v>
      </c>
      <c r="D4536" s="33" t="n">
        <v>16</v>
      </c>
      <c r="E4536" s="24" t="n">
        <v>0</v>
      </c>
      <c r="F4536" s="37" t="n">
        <f aca="false">DATE(YEAR(A4536),MONTH(A4536),1)</f>
        <v>46174</v>
      </c>
      <c r="G4536" s="24" t="str">
        <f aca="false">INDEX(Products!$C$2:$C$49,MATCH(C4536,Products!$A$2:$A$49,0))</f>
        <v>Personal Care</v>
      </c>
      <c r="H4536" s="33" t="n">
        <f aca="false">D4536*INDEX(Products!$E$2:$E$49,MATCH(C4536,Products!$A$2:$A$49,0))</f>
        <v>5760</v>
      </c>
      <c r="I4536" s="33" t="n">
        <f aca="false">D4536*INDEX(Products!$D$2:$D$49,MATCH(C4536,Products!$A$2:$A$49,0))*(1+INDEX(Assumptions!$B$16:$B$20,MATCH(B4536,Assumptions!$A$16:$A$20,0)))</f>
        <v>3817.472</v>
      </c>
      <c r="J4536" s="33" t="n">
        <f aca="false">H4536-I4536</f>
        <v>1942.528</v>
      </c>
      <c r="K4536" s="33" t="n">
        <f aca="false">IF(OR(E4536=0,E4536&gt;=7),0,D4536/(7-E4536)*E4536*INDEX(Products!$E$2:$E$49,MATCH(C4536,Products!$A$2:$A$49,0)))</f>
        <v>0</v>
      </c>
    </row>
    <row r="4537" customFormat="false" ht="15" hidden="false" customHeight="false" outlineLevel="0" collapsed="false">
      <c r="A4537" s="36" t="n">
        <v>46188</v>
      </c>
      <c r="B4537" s="24" t="s">
        <v>64</v>
      </c>
      <c r="C4537" s="24" t="s">
        <v>189</v>
      </c>
      <c r="D4537" s="33" t="n">
        <v>26</v>
      </c>
      <c r="E4537" s="24" t="n">
        <v>0</v>
      </c>
      <c r="F4537" s="37" t="n">
        <f aca="false">DATE(YEAR(A4537),MONTH(A4537),1)</f>
        <v>46174</v>
      </c>
      <c r="G4537" s="24" t="str">
        <f aca="false">INDEX(Products!$C$2:$C$49,MATCH(C4537,Products!$A$2:$A$49,0))</f>
        <v>Personal Care</v>
      </c>
      <c r="H4537" s="33" t="n">
        <f aca="false">D4537*INDEX(Products!$E$2:$E$49,MATCH(C4537,Products!$A$2:$A$49,0))</f>
        <v>9360</v>
      </c>
      <c r="I4537" s="33" t="n">
        <f aca="false">D4537*INDEX(Products!$D$2:$D$49,MATCH(C4537,Products!$A$2:$A$49,0))*(1+INDEX(Assumptions!$B$16:$B$20,MATCH(B4537,Assumptions!$A$16:$A$20,0)))</f>
        <v>6203.392</v>
      </c>
      <c r="J4537" s="33" t="n">
        <f aca="false">H4537-I4537</f>
        <v>3156.608</v>
      </c>
      <c r="K4537" s="33" t="n">
        <f aca="false">IF(OR(E4537=0,E4537&gt;=7),0,D4537/(7-E4537)*E4537*INDEX(Products!$E$2:$E$49,MATCH(C4537,Products!$A$2:$A$49,0)))</f>
        <v>0</v>
      </c>
    </row>
    <row r="4538" customFormat="false" ht="15" hidden="false" customHeight="false" outlineLevel="0" collapsed="false">
      <c r="A4538" s="36" t="n">
        <v>46195</v>
      </c>
      <c r="B4538" s="24" t="s">
        <v>64</v>
      </c>
      <c r="C4538" s="24" t="s">
        <v>189</v>
      </c>
      <c r="D4538" s="33" t="n">
        <v>18</v>
      </c>
      <c r="E4538" s="24" t="n">
        <v>0</v>
      </c>
      <c r="F4538" s="37" t="n">
        <f aca="false">DATE(YEAR(A4538),MONTH(A4538),1)</f>
        <v>46174</v>
      </c>
      <c r="G4538" s="24" t="str">
        <f aca="false">INDEX(Products!$C$2:$C$49,MATCH(C4538,Products!$A$2:$A$49,0))</f>
        <v>Personal Care</v>
      </c>
      <c r="H4538" s="33" t="n">
        <f aca="false">D4538*INDEX(Products!$E$2:$E$49,MATCH(C4538,Products!$A$2:$A$49,0))</f>
        <v>6480</v>
      </c>
      <c r="I4538" s="33" t="n">
        <f aca="false">D4538*INDEX(Products!$D$2:$D$49,MATCH(C4538,Products!$A$2:$A$49,0))*(1+INDEX(Assumptions!$B$16:$B$20,MATCH(B4538,Assumptions!$A$16:$A$20,0)))</f>
        <v>4294.656</v>
      </c>
      <c r="J4538" s="33" t="n">
        <f aca="false">H4538-I4538</f>
        <v>2185.344</v>
      </c>
      <c r="K4538" s="33" t="n">
        <f aca="false">IF(OR(E4538=0,E4538&gt;=7),0,D4538/(7-E4538)*E4538*INDEX(Products!$E$2:$E$49,MATCH(C4538,Products!$A$2:$A$49,0)))</f>
        <v>0</v>
      </c>
    </row>
    <row r="4539" customFormat="false" ht="15" hidden="false" customHeight="false" outlineLevel="0" collapsed="false">
      <c r="A4539" s="36" t="n">
        <v>46202</v>
      </c>
      <c r="B4539" s="24" t="s">
        <v>64</v>
      </c>
      <c r="C4539" s="24" t="s">
        <v>189</v>
      </c>
      <c r="D4539" s="33" t="n">
        <v>28</v>
      </c>
      <c r="E4539" s="24" t="n">
        <v>0</v>
      </c>
      <c r="F4539" s="37" t="n">
        <f aca="false">DATE(YEAR(A4539),MONTH(A4539),1)</f>
        <v>46174</v>
      </c>
      <c r="G4539" s="24" t="str">
        <f aca="false">INDEX(Products!$C$2:$C$49,MATCH(C4539,Products!$A$2:$A$49,0))</f>
        <v>Personal Care</v>
      </c>
      <c r="H4539" s="33" t="n">
        <f aca="false">D4539*INDEX(Products!$E$2:$E$49,MATCH(C4539,Products!$A$2:$A$49,0))</f>
        <v>10080</v>
      </c>
      <c r="I4539" s="33" t="n">
        <f aca="false">D4539*INDEX(Products!$D$2:$D$49,MATCH(C4539,Products!$A$2:$A$49,0))*(1+INDEX(Assumptions!$B$16:$B$20,MATCH(B4539,Assumptions!$A$16:$A$20,0)))</f>
        <v>6680.576</v>
      </c>
      <c r="J4539" s="33" t="n">
        <f aca="false">H4539-I4539</f>
        <v>3399.424</v>
      </c>
      <c r="K4539" s="33" t="n">
        <f aca="false">IF(OR(E4539=0,E4539&gt;=7),0,D4539/(7-E4539)*E4539*INDEX(Products!$E$2:$E$49,MATCH(C4539,Products!$A$2:$A$49,0)))</f>
        <v>0</v>
      </c>
    </row>
    <row r="4540" customFormat="false" ht="15" hidden="false" customHeight="false" outlineLevel="0" collapsed="false">
      <c r="A4540" s="36" t="n">
        <v>46209</v>
      </c>
      <c r="B4540" s="24" t="s">
        <v>64</v>
      </c>
      <c r="C4540" s="24" t="s">
        <v>189</v>
      </c>
      <c r="D4540" s="33" t="n">
        <v>25</v>
      </c>
      <c r="E4540" s="24" t="n">
        <v>0</v>
      </c>
      <c r="F4540" s="37" t="n">
        <f aca="false">DATE(YEAR(A4540),MONTH(A4540),1)</f>
        <v>46204</v>
      </c>
      <c r="G4540" s="24" t="str">
        <f aca="false">INDEX(Products!$C$2:$C$49,MATCH(C4540,Products!$A$2:$A$49,0))</f>
        <v>Personal Care</v>
      </c>
      <c r="H4540" s="33" t="n">
        <f aca="false">D4540*INDEX(Products!$E$2:$E$49,MATCH(C4540,Products!$A$2:$A$49,0))</f>
        <v>9000</v>
      </c>
      <c r="I4540" s="33" t="n">
        <f aca="false">D4540*INDEX(Products!$D$2:$D$49,MATCH(C4540,Products!$A$2:$A$49,0))*(1+INDEX(Assumptions!$B$16:$B$20,MATCH(B4540,Assumptions!$A$16:$A$20,0)))</f>
        <v>5964.8</v>
      </c>
      <c r="J4540" s="33" t="n">
        <f aca="false">H4540-I4540</f>
        <v>3035.2</v>
      </c>
      <c r="K4540" s="33" t="n">
        <f aca="false">IF(OR(E4540=0,E4540&gt;=7),0,D4540/(7-E4540)*E4540*INDEX(Products!$E$2:$E$49,MATCH(C4540,Products!$A$2:$A$49,0)))</f>
        <v>0</v>
      </c>
    </row>
    <row r="4541" customFormat="false" ht="15" hidden="false" customHeight="false" outlineLevel="0" collapsed="false">
      <c r="A4541" s="36" t="n">
        <v>46216</v>
      </c>
      <c r="B4541" s="24" t="s">
        <v>64</v>
      </c>
      <c r="C4541" s="24" t="s">
        <v>189</v>
      </c>
      <c r="D4541" s="33" t="n">
        <v>18</v>
      </c>
      <c r="E4541" s="24" t="n">
        <v>0</v>
      </c>
      <c r="F4541" s="37" t="n">
        <f aca="false">DATE(YEAR(A4541),MONTH(A4541),1)</f>
        <v>46204</v>
      </c>
      <c r="G4541" s="24" t="str">
        <f aca="false">INDEX(Products!$C$2:$C$49,MATCH(C4541,Products!$A$2:$A$49,0))</f>
        <v>Personal Care</v>
      </c>
      <c r="H4541" s="33" t="n">
        <f aca="false">D4541*INDEX(Products!$E$2:$E$49,MATCH(C4541,Products!$A$2:$A$49,0))</f>
        <v>6480</v>
      </c>
      <c r="I4541" s="33" t="n">
        <f aca="false">D4541*INDEX(Products!$D$2:$D$49,MATCH(C4541,Products!$A$2:$A$49,0))*(1+INDEX(Assumptions!$B$16:$B$20,MATCH(B4541,Assumptions!$A$16:$A$20,0)))</f>
        <v>4294.656</v>
      </c>
      <c r="J4541" s="33" t="n">
        <f aca="false">H4541-I4541</f>
        <v>2185.344</v>
      </c>
      <c r="K4541" s="33" t="n">
        <f aca="false">IF(OR(E4541=0,E4541&gt;=7),0,D4541/(7-E4541)*E4541*INDEX(Products!$E$2:$E$49,MATCH(C4541,Products!$A$2:$A$49,0)))</f>
        <v>0</v>
      </c>
    </row>
    <row r="4542" customFormat="false" ht="15" hidden="false" customHeight="false" outlineLevel="0" collapsed="false">
      <c r="A4542" s="36" t="n">
        <v>46223</v>
      </c>
      <c r="B4542" s="24" t="s">
        <v>64</v>
      </c>
      <c r="C4542" s="24" t="s">
        <v>189</v>
      </c>
      <c r="D4542" s="33" t="n">
        <v>26</v>
      </c>
      <c r="E4542" s="24" t="n">
        <v>0</v>
      </c>
      <c r="F4542" s="37" t="n">
        <f aca="false">DATE(YEAR(A4542),MONTH(A4542),1)</f>
        <v>46204</v>
      </c>
      <c r="G4542" s="24" t="str">
        <f aca="false">INDEX(Products!$C$2:$C$49,MATCH(C4542,Products!$A$2:$A$49,0))</f>
        <v>Personal Care</v>
      </c>
      <c r="H4542" s="33" t="n">
        <f aca="false">D4542*INDEX(Products!$E$2:$E$49,MATCH(C4542,Products!$A$2:$A$49,0))</f>
        <v>9360</v>
      </c>
      <c r="I4542" s="33" t="n">
        <f aca="false">D4542*INDEX(Products!$D$2:$D$49,MATCH(C4542,Products!$A$2:$A$49,0))*(1+INDEX(Assumptions!$B$16:$B$20,MATCH(B4542,Assumptions!$A$16:$A$20,0)))</f>
        <v>6203.392</v>
      </c>
      <c r="J4542" s="33" t="n">
        <f aca="false">H4542-I4542</f>
        <v>3156.608</v>
      </c>
      <c r="K4542" s="33" t="n">
        <f aca="false">IF(OR(E4542=0,E4542&gt;=7),0,D4542/(7-E4542)*E4542*INDEX(Products!$E$2:$E$49,MATCH(C4542,Products!$A$2:$A$49,0)))</f>
        <v>0</v>
      </c>
    </row>
    <row r="4543" customFormat="false" ht="15" hidden="false" customHeight="false" outlineLevel="0" collapsed="false">
      <c r="A4543" s="36" t="n">
        <v>46230</v>
      </c>
      <c r="B4543" s="24" t="s">
        <v>64</v>
      </c>
      <c r="C4543" s="24" t="s">
        <v>189</v>
      </c>
      <c r="D4543" s="33" t="n">
        <v>22</v>
      </c>
      <c r="E4543" s="24" t="n">
        <v>0</v>
      </c>
      <c r="F4543" s="37" t="n">
        <f aca="false">DATE(YEAR(A4543),MONTH(A4543),1)</f>
        <v>46204</v>
      </c>
      <c r="G4543" s="24" t="str">
        <f aca="false">INDEX(Products!$C$2:$C$49,MATCH(C4543,Products!$A$2:$A$49,0))</f>
        <v>Personal Care</v>
      </c>
      <c r="H4543" s="33" t="n">
        <f aca="false">D4543*INDEX(Products!$E$2:$E$49,MATCH(C4543,Products!$A$2:$A$49,0))</f>
        <v>7920</v>
      </c>
      <c r="I4543" s="33" t="n">
        <f aca="false">D4543*INDEX(Products!$D$2:$D$49,MATCH(C4543,Products!$A$2:$A$49,0))*(1+INDEX(Assumptions!$B$16:$B$20,MATCH(B4543,Assumptions!$A$16:$A$20,0)))</f>
        <v>5249.024</v>
      </c>
      <c r="J4543" s="33" t="n">
        <f aca="false">H4543-I4543</f>
        <v>2670.976</v>
      </c>
      <c r="K4543" s="33" t="n">
        <f aca="false">IF(OR(E4543=0,E4543&gt;=7),0,D4543/(7-E4543)*E4543*INDEX(Products!$E$2:$E$49,MATCH(C4543,Products!$A$2:$A$49,0)))</f>
        <v>0</v>
      </c>
    </row>
    <row r="4544" customFormat="false" ht="15" hidden="false" customHeight="false" outlineLevel="0" collapsed="false">
      <c r="A4544" s="36" t="n">
        <v>46237</v>
      </c>
      <c r="B4544" s="24" t="s">
        <v>64</v>
      </c>
      <c r="C4544" s="24" t="s">
        <v>189</v>
      </c>
      <c r="D4544" s="33" t="n">
        <v>25</v>
      </c>
      <c r="E4544" s="24" t="n">
        <v>0</v>
      </c>
      <c r="F4544" s="37" t="n">
        <f aca="false">DATE(YEAR(A4544),MONTH(A4544),1)</f>
        <v>46235</v>
      </c>
      <c r="G4544" s="24" t="str">
        <f aca="false">INDEX(Products!$C$2:$C$49,MATCH(C4544,Products!$A$2:$A$49,0))</f>
        <v>Personal Care</v>
      </c>
      <c r="H4544" s="33" t="n">
        <f aca="false">D4544*INDEX(Products!$E$2:$E$49,MATCH(C4544,Products!$A$2:$A$49,0))</f>
        <v>9000</v>
      </c>
      <c r="I4544" s="33" t="n">
        <f aca="false">D4544*INDEX(Products!$D$2:$D$49,MATCH(C4544,Products!$A$2:$A$49,0))*(1+INDEX(Assumptions!$B$16:$B$20,MATCH(B4544,Assumptions!$A$16:$A$20,0)))</f>
        <v>5964.8</v>
      </c>
      <c r="J4544" s="33" t="n">
        <f aca="false">H4544-I4544</f>
        <v>3035.2</v>
      </c>
      <c r="K4544" s="33" t="n">
        <f aca="false">IF(OR(E4544=0,E4544&gt;=7),0,D4544/(7-E4544)*E4544*INDEX(Products!$E$2:$E$49,MATCH(C4544,Products!$A$2:$A$49,0)))</f>
        <v>0</v>
      </c>
    </row>
    <row r="4545" customFormat="false" ht="15" hidden="false" customHeight="false" outlineLevel="0" collapsed="false">
      <c r="A4545" s="36" t="n">
        <v>46244</v>
      </c>
      <c r="B4545" s="24" t="s">
        <v>64</v>
      </c>
      <c r="C4545" s="24" t="s">
        <v>189</v>
      </c>
      <c r="D4545" s="33" t="n">
        <v>18</v>
      </c>
      <c r="E4545" s="24" t="n">
        <v>0</v>
      </c>
      <c r="F4545" s="37" t="n">
        <f aca="false">DATE(YEAR(A4545),MONTH(A4545),1)</f>
        <v>46235</v>
      </c>
      <c r="G4545" s="24" t="str">
        <f aca="false">INDEX(Products!$C$2:$C$49,MATCH(C4545,Products!$A$2:$A$49,0))</f>
        <v>Personal Care</v>
      </c>
      <c r="H4545" s="33" t="n">
        <f aca="false">D4545*INDEX(Products!$E$2:$E$49,MATCH(C4545,Products!$A$2:$A$49,0))</f>
        <v>6480</v>
      </c>
      <c r="I4545" s="33" t="n">
        <f aca="false">D4545*INDEX(Products!$D$2:$D$49,MATCH(C4545,Products!$A$2:$A$49,0))*(1+INDEX(Assumptions!$B$16:$B$20,MATCH(B4545,Assumptions!$A$16:$A$20,0)))</f>
        <v>4294.656</v>
      </c>
      <c r="J4545" s="33" t="n">
        <f aca="false">H4545-I4545</f>
        <v>2185.344</v>
      </c>
      <c r="K4545" s="33" t="n">
        <f aca="false">IF(OR(E4545=0,E4545&gt;=7),0,D4545/(7-E4545)*E4545*INDEX(Products!$E$2:$E$49,MATCH(C4545,Products!$A$2:$A$49,0)))</f>
        <v>0</v>
      </c>
    </row>
    <row r="4546" customFormat="false" ht="15" hidden="false" customHeight="false" outlineLevel="0" collapsed="false">
      <c r="A4546" s="36" t="n">
        <v>46251</v>
      </c>
      <c r="B4546" s="24" t="s">
        <v>64</v>
      </c>
      <c r="C4546" s="24" t="s">
        <v>189</v>
      </c>
      <c r="D4546" s="33" t="n">
        <v>15</v>
      </c>
      <c r="E4546" s="24" t="n">
        <v>0</v>
      </c>
      <c r="F4546" s="37" t="n">
        <f aca="false">DATE(YEAR(A4546),MONTH(A4546),1)</f>
        <v>46235</v>
      </c>
      <c r="G4546" s="24" t="str">
        <f aca="false">INDEX(Products!$C$2:$C$49,MATCH(C4546,Products!$A$2:$A$49,0))</f>
        <v>Personal Care</v>
      </c>
      <c r="H4546" s="33" t="n">
        <f aca="false">D4546*INDEX(Products!$E$2:$E$49,MATCH(C4546,Products!$A$2:$A$49,0))</f>
        <v>5400</v>
      </c>
      <c r="I4546" s="33" t="n">
        <f aca="false">D4546*INDEX(Products!$D$2:$D$49,MATCH(C4546,Products!$A$2:$A$49,0))*(1+INDEX(Assumptions!$B$16:$B$20,MATCH(B4546,Assumptions!$A$16:$A$20,0)))</f>
        <v>3578.88</v>
      </c>
      <c r="J4546" s="33" t="n">
        <f aca="false">H4546-I4546</f>
        <v>1821.12</v>
      </c>
      <c r="K4546" s="33" t="n">
        <f aca="false">IF(OR(E4546=0,E4546&gt;=7),0,D4546/(7-E4546)*E4546*INDEX(Products!$E$2:$E$49,MATCH(C4546,Products!$A$2:$A$49,0)))</f>
        <v>0</v>
      </c>
    </row>
    <row r="4547" customFormat="false" ht="15" hidden="false" customHeight="false" outlineLevel="0" collapsed="false">
      <c r="A4547" s="36" t="n">
        <v>46258</v>
      </c>
      <c r="B4547" s="24" t="s">
        <v>64</v>
      </c>
      <c r="C4547" s="24" t="s">
        <v>189</v>
      </c>
      <c r="D4547" s="33" t="n">
        <v>22</v>
      </c>
      <c r="E4547" s="24" t="n">
        <v>0</v>
      </c>
      <c r="F4547" s="37" t="n">
        <f aca="false">DATE(YEAR(A4547),MONTH(A4547),1)</f>
        <v>46235</v>
      </c>
      <c r="G4547" s="24" t="str">
        <f aca="false">INDEX(Products!$C$2:$C$49,MATCH(C4547,Products!$A$2:$A$49,0))</f>
        <v>Personal Care</v>
      </c>
      <c r="H4547" s="33" t="n">
        <f aca="false">D4547*INDEX(Products!$E$2:$E$49,MATCH(C4547,Products!$A$2:$A$49,0))</f>
        <v>7920</v>
      </c>
      <c r="I4547" s="33" t="n">
        <f aca="false">D4547*INDEX(Products!$D$2:$D$49,MATCH(C4547,Products!$A$2:$A$49,0))*(1+INDEX(Assumptions!$B$16:$B$20,MATCH(B4547,Assumptions!$A$16:$A$20,0)))</f>
        <v>5249.024</v>
      </c>
      <c r="J4547" s="33" t="n">
        <f aca="false">H4547-I4547</f>
        <v>2670.976</v>
      </c>
      <c r="K4547" s="33" t="n">
        <f aca="false">IF(OR(E4547=0,E4547&gt;=7),0,D4547/(7-E4547)*E4547*INDEX(Products!$E$2:$E$49,MATCH(C4547,Products!$A$2:$A$49,0)))</f>
        <v>0</v>
      </c>
    </row>
    <row r="4548" customFormat="false" ht="15" hidden="false" customHeight="false" outlineLevel="0" collapsed="false">
      <c r="A4548" s="36" t="n">
        <v>46265</v>
      </c>
      <c r="B4548" s="24" t="s">
        <v>64</v>
      </c>
      <c r="C4548" s="24" t="s">
        <v>189</v>
      </c>
      <c r="D4548" s="33" t="n">
        <v>25</v>
      </c>
      <c r="E4548" s="24" t="n">
        <v>0</v>
      </c>
      <c r="F4548" s="37" t="n">
        <f aca="false">DATE(YEAR(A4548),MONTH(A4548),1)</f>
        <v>46235</v>
      </c>
      <c r="G4548" s="24" t="str">
        <f aca="false">INDEX(Products!$C$2:$C$49,MATCH(C4548,Products!$A$2:$A$49,0))</f>
        <v>Personal Care</v>
      </c>
      <c r="H4548" s="33" t="n">
        <f aca="false">D4548*INDEX(Products!$E$2:$E$49,MATCH(C4548,Products!$A$2:$A$49,0))</f>
        <v>9000</v>
      </c>
      <c r="I4548" s="33" t="n">
        <f aca="false">D4548*INDEX(Products!$D$2:$D$49,MATCH(C4548,Products!$A$2:$A$49,0))*(1+INDEX(Assumptions!$B$16:$B$20,MATCH(B4548,Assumptions!$A$16:$A$20,0)))</f>
        <v>5964.8</v>
      </c>
      <c r="J4548" s="33" t="n">
        <f aca="false">H4548-I4548</f>
        <v>3035.2</v>
      </c>
      <c r="K4548" s="33" t="n">
        <f aca="false">IF(OR(E4548=0,E4548&gt;=7),0,D4548/(7-E4548)*E4548*INDEX(Products!$E$2:$E$49,MATCH(C4548,Products!$A$2:$A$49,0)))</f>
        <v>0</v>
      </c>
    </row>
    <row r="4549" customFormat="false" ht="15" hidden="false" customHeight="false" outlineLevel="0" collapsed="false">
      <c r="A4549" s="36" t="n">
        <v>46272</v>
      </c>
      <c r="B4549" s="24" t="s">
        <v>64</v>
      </c>
      <c r="C4549" s="24" t="s">
        <v>189</v>
      </c>
      <c r="D4549" s="33" t="n">
        <v>24</v>
      </c>
      <c r="E4549" s="24" t="n">
        <v>0</v>
      </c>
      <c r="F4549" s="37" t="n">
        <f aca="false">DATE(YEAR(A4549),MONTH(A4549),1)</f>
        <v>46266</v>
      </c>
      <c r="G4549" s="24" t="str">
        <f aca="false">INDEX(Products!$C$2:$C$49,MATCH(C4549,Products!$A$2:$A$49,0))</f>
        <v>Personal Care</v>
      </c>
      <c r="H4549" s="33" t="n">
        <f aca="false">D4549*INDEX(Products!$E$2:$E$49,MATCH(C4549,Products!$A$2:$A$49,0))</f>
        <v>8640</v>
      </c>
      <c r="I4549" s="33" t="n">
        <f aca="false">D4549*INDEX(Products!$D$2:$D$49,MATCH(C4549,Products!$A$2:$A$49,0))*(1+INDEX(Assumptions!$B$16:$B$20,MATCH(B4549,Assumptions!$A$16:$A$20,0)))</f>
        <v>5726.208</v>
      </c>
      <c r="J4549" s="33" t="n">
        <f aca="false">H4549-I4549</f>
        <v>2913.792</v>
      </c>
      <c r="K4549" s="33" t="n">
        <f aca="false">IF(OR(E4549=0,E4549&gt;=7),0,D4549/(7-E4549)*E4549*INDEX(Products!$E$2:$E$49,MATCH(C4549,Products!$A$2:$A$49,0)))</f>
        <v>0</v>
      </c>
    </row>
    <row r="4550" customFormat="false" ht="15" hidden="false" customHeight="false" outlineLevel="0" collapsed="false">
      <c r="A4550" s="36" t="n">
        <v>46279</v>
      </c>
      <c r="B4550" s="24" t="s">
        <v>64</v>
      </c>
      <c r="C4550" s="24" t="s">
        <v>189</v>
      </c>
      <c r="D4550" s="33" t="n">
        <v>24</v>
      </c>
      <c r="E4550" s="24" t="n">
        <v>0</v>
      </c>
      <c r="F4550" s="37" t="n">
        <f aca="false">DATE(YEAR(A4550),MONTH(A4550),1)</f>
        <v>46266</v>
      </c>
      <c r="G4550" s="24" t="str">
        <f aca="false">INDEX(Products!$C$2:$C$49,MATCH(C4550,Products!$A$2:$A$49,0))</f>
        <v>Personal Care</v>
      </c>
      <c r="H4550" s="33" t="n">
        <f aca="false">D4550*INDEX(Products!$E$2:$E$49,MATCH(C4550,Products!$A$2:$A$49,0))</f>
        <v>8640</v>
      </c>
      <c r="I4550" s="33" t="n">
        <f aca="false">D4550*INDEX(Products!$D$2:$D$49,MATCH(C4550,Products!$A$2:$A$49,0))*(1+INDEX(Assumptions!$B$16:$B$20,MATCH(B4550,Assumptions!$A$16:$A$20,0)))</f>
        <v>5726.208</v>
      </c>
      <c r="J4550" s="33" t="n">
        <f aca="false">H4550-I4550</f>
        <v>2913.792</v>
      </c>
      <c r="K4550" s="33" t="n">
        <f aca="false">IF(OR(E4550=0,E4550&gt;=7),0,D4550/(7-E4550)*E4550*INDEX(Products!$E$2:$E$49,MATCH(C4550,Products!$A$2:$A$49,0)))</f>
        <v>0</v>
      </c>
    </row>
    <row r="4551" customFormat="false" ht="15" hidden="false" customHeight="false" outlineLevel="0" collapsed="false">
      <c r="A4551" s="36" t="n">
        <v>46286</v>
      </c>
      <c r="B4551" s="24" t="s">
        <v>64</v>
      </c>
      <c r="C4551" s="24" t="s">
        <v>189</v>
      </c>
      <c r="D4551" s="33" t="n">
        <v>23</v>
      </c>
      <c r="E4551" s="24" t="n">
        <v>0</v>
      </c>
      <c r="F4551" s="37" t="n">
        <f aca="false">DATE(YEAR(A4551),MONTH(A4551),1)</f>
        <v>46266</v>
      </c>
      <c r="G4551" s="24" t="str">
        <f aca="false">INDEX(Products!$C$2:$C$49,MATCH(C4551,Products!$A$2:$A$49,0))</f>
        <v>Personal Care</v>
      </c>
      <c r="H4551" s="33" t="n">
        <f aca="false">D4551*INDEX(Products!$E$2:$E$49,MATCH(C4551,Products!$A$2:$A$49,0))</f>
        <v>8280</v>
      </c>
      <c r="I4551" s="33" t="n">
        <f aca="false">D4551*INDEX(Products!$D$2:$D$49,MATCH(C4551,Products!$A$2:$A$49,0))*(1+INDEX(Assumptions!$B$16:$B$20,MATCH(B4551,Assumptions!$A$16:$A$20,0)))</f>
        <v>5487.616</v>
      </c>
      <c r="J4551" s="33" t="n">
        <f aca="false">H4551-I4551</f>
        <v>2792.384</v>
      </c>
      <c r="K4551" s="33" t="n">
        <f aca="false">IF(OR(E4551=0,E4551&gt;=7),0,D4551/(7-E4551)*E4551*INDEX(Products!$E$2:$E$49,MATCH(C4551,Products!$A$2:$A$49,0)))</f>
        <v>0</v>
      </c>
    </row>
    <row r="4552" customFormat="false" ht="15" hidden="false" customHeight="false" outlineLevel="0" collapsed="false">
      <c r="A4552" s="36" t="n">
        <v>46118</v>
      </c>
      <c r="B4552" s="24" t="s">
        <v>64</v>
      </c>
      <c r="C4552" s="24" t="s">
        <v>191</v>
      </c>
      <c r="D4552" s="33" t="n">
        <v>9</v>
      </c>
      <c r="E4552" s="24" t="n">
        <v>0</v>
      </c>
      <c r="F4552" s="37" t="n">
        <f aca="false">DATE(YEAR(A4552),MONTH(A4552),1)</f>
        <v>46113</v>
      </c>
      <c r="G4552" s="24" t="str">
        <f aca="false">INDEX(Products!$C$2:$C$49,MATCH(C4552,Products!$A$2:$A$49,0))</f>
        <v>Personal Care</v>
      </c>
      <c r="H4552" s="33" t="n">
        <f aca="false">D4552*INDEX(Products!$E$2:$E$49,MATCH(C4552,Products!$A$2:$A$49,0))</f>
        <v>1890</v>
      </c>
      <c r="I4552" s="33" t="n">
        <f aca="false">D4552*INDEX(Products!$D$2:$D$49,MATCH(C4552,Products!$A$2:$A$49,0))*(1+INDEX(Assumptions!$B$16:$B$20,MATCH(B4552,Assumptions!$A$16:$A$20,0)))</f>
        <v>1188.864</v>
      </c>
      <c r="J4552" s="33" t="n">
        <f aca="false">H4552-I4552</f>
        <v>701.136</v>
      </c>
      <c r="K4552" s="33" t="n">
        <f aca="false">IF(OR(E4552=0,E4552&gt;=7),0,D4552/(7-E4552)*E4552*INDEX(Products!$E$2:$E$49,MATCH(C4552,Products!$A$2:$A$49,0)))</f>
        <v>0</v>
      </c>
    </row>
    <row r="4553" customFormat="false" ht="15" hidden="false" customHeight="false" outlineLevel="0" collapsed="false">
      <c r="A4553" s="36" t="n">
        <v>46125</v>
      </c>
      <c r="B4553" s="24" t="s">
        <v>64</v>
      </c>
      <c r="C4553" s="24" t="s">
        <v>191</v>
      </c>
      <c r="D4553" s="33" t="n">
        <v>14</v>
      </c>
      <c r="E4553" s="24" t="n">
        <v>0</v>
      </c>
      <c r="F4553" s="37" t="n">
        <f aca="false">DATE(YEAR(A4553),MONTH(A4553),1)</f>
        <v>46113</v>
      </c>
      <c r="G4553" s="24" t="str">
        <f aca="false">INDEX(Products!$C$2:$C$49,MATCH(C4553,Products!$A$2:$A$49,0))</f>
        <v>Personal Care</v>
      </c>
      <c r="H4553" s="33" t="n">
        <f aca="false">D4553*INDEX(Products!$E$2:$E$49,MATCH(C4553,Products!$A$2:$A$49,0))</f>
        <v>2940</v>
      </c>
      <c r="I4553" s="33" t="n">
        <f aca="false">D4553*INDEX(Products!$D$2:$D$49,MATCH(C4553,Products!$A$2:$A$49,0))*(1+INDEX(Assumptions!$B$16:$B$20,MATCH(B4553,Assumptions!$A$16:$A$20,0)))</f>
        <v>1849.344</v>
      </c>
      <c r="J4553" s="33" t="n">
        <f aca="false">H4553-I4553</f>
        <v>1090.656</v>
      </c>
      <c r="K4553" s="33" t="n">
        <f aca="false">IF(OR(E4553=0,E4553&gt;=7),0,D4553/(7-E4553)*E4553*INDEX(Products!$E$2:$E$49,MATCH(C4553,Products!$A$2:$A$49,0)))</f>
        <v>0</v>
      </c>
    </row>
    <row r="4554" customFormat="false" ht="15" hidden="false" customHeight="false" outlineLevel="0" collapsed="false">
      <c r="A4554" s="36" t="n">
        <v>46132</v>
      </c>
      <c r="B4554" s="24" t="s">
        <v>64</v>
      </c>
      <c r="C4554" s="24" t="s">
        <v>191</v>
      </c>
      <c r="D4554" s="33" t="n">
        <v>15</v>
      </c>
      <c r="E4554" s="24" t="n">
        <v>0</v>
      </c>
      <c r="F4554" s="37" t="n">
        <f aca="false">DATE(YEAR(A4554),MONTH(A4554),1)</f>
        <v>46113</v>
      </c>
      <c r="G4554" s="24" t="str">
        <f aca="false">INDEX(Products!$C$2:$C$49,MATCH(C4554,Products!$A$2:$A$49,0))</f>
        <v>Personal Care</v>
      </c>
      <c r="H4554" s="33" t="n">
        <f aca="false">D4554*INDEX(Products!$E$2:$E$49,MATCH(C4554,Products!$A$2:$A$49,0))</f>
        <v>3150</v>
      </c>
      <c r="I4554" s="33" t="n">
        <f aca="false">D4554*INDEX(Products!$D$2:$D$49,MATCH(C4554,Products!$A$2:$A$49,0))*(1+INDEX(Assumptions!$B$16:$B$20,MATCH(B4554,Assumptions!$A$16:$A$20,0)))</f>
        <v>1981.44</v>
      </c>
      <c r="J4554" s="33" t="n">
        <f aca="false">H4554-I4554</f>
        <v>1168.56</v>
      </c>
      <c r="K4554" s="33" t="n">
        <f aca="false">IF(OR(E4554=0,E4554&gt;=7),0,D4554/(7-E4554)*E4554*INDEX(Products!$E$2:$E$49,MATCH(C4554,Products!$A$2:$A$49,0)))</f>
        <v>0</v>
      </c>
    </row>
    <row r="4555" customFormat="false" ht="15" hidden="false" customHeight="false" outlineLevel="0" collapsed="false">
      <c r="A4555" s="36" t="n">
        <v>46139</v>
      </c>
      <c r="B4555" s="24" t="s">
        <v>64</v>
      </c>
      <c r="C4555" s="24" t="s">
        <v>191</v>
      </c>
      <c r="D4555" s="33" t="n">
        <v>11</v>
      </c>
      <c r="E4555" s="24" t="n">
        <v>0</v>
      </c>
      <c r="F4555" s="37" t="n">
        <f aca="false">DATE(YEAR(A4555),MONTH(A4555),1)</f>
        <v>46113</v>
      </c>
      <c r="G4555" s="24" t="str">
        <f aca="false">INDEX(Products!$C$2:$C$49,MATCH(C4555,Products!$A$2:$A$49,0))</f>
        <v>Personal Care</v>
      </c>
      <c r="H4555" s="33" t="n">
        <f aca="false">D4555*INDEX(Products!$E$2:$E$49,MATCH(C4555,Products!$A$2:$A$49,0))</f>
        <v>2310</v>
      </c>
      <c r="I4555" s="33" t="n">
        <f aca="false">D4555*INDEX(Products!$D$2:$D$49,MATCH(C4555,Products!$A$2:$A$49,0))*(1+INDEX(Assumptions!$B$16:$B$20,MATCH(B4555,Assumptions!$A$16:$A$20,0)))</f>
        <v>1453.056</v>
      </c>
      <c r="J4555" s="33" t="n">
        <f aca="false">H4555-I4555</f>
        <v>856.944</v>
      </c>
      <c r="K4555" s="33" t="n">
        <f aca="false">IF(OR(E4555=0,E4555&gt;=7),0,D4555/(7-E4555)*E4555*INDEX(Products!$E$2:$E$49,MATCH(C4555,Products!$A$2:$A$49,0)))</f>
        <v>0</v>
      </c>
    </row>
    <row r="4556" customFormat="false" ht="15" hidden="false" customHeight="false" outlineLevel="0" collapsed="false">
      <c r="A4556" s="36" t="n">
        <v>46146</v>
      </c>
      <c r="B4556" s="24" t="s">
        <v>64</v>
      </c>
      <c r="C4556" s="24" t="s">
        <v>191</v>
      </c>
      <c r="D4556" s="33" t="n">
        <v>14</v>
      </c>
      <c r="E4556" s="24" t="n">
        <v>0</v>
      </c>
      <c r="F4556" s="37" t="n">
        <f aca="false">DATE(YEAR(A4556),MONTH(A4556),1)</f>
        <v>46143</v>
      </c>
      <c r="G4556" s="24" t="str">
        <f aca="false">INDEX(Products!$C$2:$C$49,MATCH(C4556,Products!$A$2:$A$49,0))</f>
        <v>Personal Care</v>
      </c>
      <c r="H4556" s="33" t="n">
        <f aca="false">D4556*INDEX(Products!$E$2:$E$49,MATCH(C4556,Products!$A$2:$A$49,0))</f>
        <v>2940</v>
      </c>
      <c r="I4556" s="33" t="n">
        <f aca="false">D4556*INDEX(Products!$D$2:$D$49,MATCH(C4556,Products!$A$2:$A$49,0))*(1+INDEX(Assumptions!$B$16:$B$20,MATCH(B4556,Assumptions!$A$16:$A$20,0)))</f>
        <v>1849.344</v>
      </c>
      <c r="J4556" s="33" t="n">
        <f aca="false">H4556-I4556</f>
        <v>1090.656</v>
      </c>
      <c r="K4556" s="33" t="n">
        <f aca="false">IF(OR(E4556=0,E4556&gt;=7),0,D4556/(7-E4556)*E4556*INDEX(Products!$E$2:$E$49,MATCH(C4556,Products!$A$2:$A$49,0)))</f>
        <v>0</v>
      </c>
    </row>
    <row r="4557" customFormat="false" ht="15" hidden="false" customHeight="false" outlineLevel="0" collapsed="false">
      <c r="A4557" s="36" t="n">
        <v>46153</v>
      </c>
      <c r="B4557" s="24" t="s">
        <v>64</v>
      </c>
      <c r="C4557" s="24" t="s">
        <v>191</v>
      </c>
      <c r="D4557" s="33" t="n">
        <v>15</v>
      </c>
      <c r="E4557" s="24" t="n">
        <v>0</v>
      </c>
      <c r="F4557" s="37" t="n">
        <f aca="false">DATE(YEAR(A4557),MONTH(A4557),1)</f>
        <v>46143</v>
      </c>
      <c r="G4557" s="24" t="str">
        <f aca="false">INDEX(Products!$C$2:$C$49,MATCH(C4557,Products!$A$2:$A$49,0))</f>
        <v>Personal Care</v>
      </c>
      <c r="H4557" s="33" t="n">
        <f aca="false">D4557*INDEX(Products!$E$2:$E$49,MATCH(C4557,Products!$A$2:$A$49,0))</f>
        <v>3150</v>
      </c>
      <c r="I4557" s="33" t="n">
        <f aca="false">D4557*INDEX(Products!$D$2:$D$49,MATCH(C4557,Products!$A$2:$A$49,0))*(1+INDEX(Assumptions!$B$16:$B$20,MATCH(B4557,Assumptions!$A$16:$A$20,0)))</f>
        <v>1981.44</v>
      </c>
      <c r="J4557" s="33" t="n">
        <f aca="false">H4557-I4557</f>
        <v>1168.56</v>
      </c>
      <c r="K4557" s="33" t="n">
        <f aca="false">IF(OR(E4557=0,E4557&gt;=7),0,D4557/(7-E4557)*E4557*INDEX(Products!$E$2:$E$49,MATCH(C4557,Products!$A$2:$A$49,0)))</f>
        <v>0</v>
      </c>
    </row>
    <row r="4558" customFormat="false" ht="15" hidden="false" customHeight="false" outlineLevel="0" collapsed="false">
      <c r="A4558" s="36" t="n">
        <v>46160</v>
      </c>
      <c r="B4558" s="24" t="s">
        <v>64</v>
      </c>
      <c r="C4558" s="24" t="s">
        <v>191</v>
      </c>
      <c r="D4558" s="33" t="n">
        <v>17</v>
      </c>
      <c r="E4558" s="24" t="n">
        <v>0</v>
      </c>
      <c r="F4558" s="37" t="n">
        <f aca="false">DATE(YEAR(A4558),MONTH(A4558),1)</f>
        <v>46143</v>
      </c>
      <c r="G4558" s="24" t="str">
        <f aca="false">INDEX(Products!$C$2:$C$49,MATCH(C4558,Products!$A$2:$A$49,0))</f>
        <v>Personal Care</v>
      </c>
      <c r="H4558" s="33" t="n">
        <f aca="false">D4558*INDEX(Products!$E$2:$E$49,MATCH(C4558,Products!$A$2:$A$49,0))</f>
        <v>3570</v>
      </c>
      <c r="I4558" s="33" t="n">
        <f aca="false">D4558*INDEX(Products!$D$2:$D$49,MATCH(C4558,Products!$A$2:$A$49,0))*(1+INDEX(Assumptions!$B$16:$B$20,MATCH(B4558,Assumptions!$A$16:$A$20,0)))</f>
        <v>2245.632</v>
      </c>
      <c r="J4558" s="33" t="n">
        <f aca="false">H4558-I4558</f>
        <v>1324.368</v>
      </c>
      <c r="K4558" s="33" t="n">
        <f aca="false">IF(OR(E4558=0,E4558&gt;=7),0,D4558/(7-E4558)*E4558*INDEX(Products!$E$2:$E$49,MATCH(C4558,Products!$A$2:$A$49,0)))</f>
        <v>0</v>
      </c>
    </row>
    <row r="4559" customFormat="false" ht="15" hidden="false" customHeight="false" outlineLevel="0" collapsed="false">
      <c r="A4559" s="36" t="n">
        <v>46167</v>
      </c>
      <c r="B4559" s="24" t="s">
        <v>64</v>
      </c>
      <c r="C4559" s="24" t="s">
        <v>191</v>
      </c>
      <c r="D4559" s="33" t="n">
        <v>2</v>
      </c>
      <c r="E4559" s="24" t="n">
        <v>5</v>
      </c>
      <c r="F4559" s="37" t="n">
        <f aca="false">DATE(YEAR(A4559),MONTH(A4559),1)</f>
        <v>46143</v>
      </c>
      <c r="G4559" s="24" t="str">
        <f aca="false">INDEX(Products!$C$2:$C$49,MATCH(C4559,Products!$A$2:$A$49,0))</f>
        <v>Personal Care</v>
      </c>
      <c r="H4559" s="33" t="n">
        <f aca="false">D4559*INDEX(Products!$E$2:$E$49,MATCH(C4559,Products!$A$2:$A$49,0))</f>
        <v>420</v>
      </c>
      <c r="I4559" s="33" t="n">
        <f aca="false">D4559*INDEX(Products!$D$2:$D$49,MATCH(C4559,Products!$A$2:$A$49,0))*(1+INDEX(Assumptions!$B$16:$B$20,MATCH(B4559,Assumptions!$A$16:$A$20,0)))</f>
        <v>264.192</v>
      </c>
      <c r="J4559" s="33" t="n">
        <f aca="false">H4559-I4559</f>
        <v>155.808</v>
      </c>
      <c r="K4559" s="33" t="n">
        <f aca="false">IF(OR(E4559=0,E4559&gt;=7),0,D4559/(7-E4559)*E4559*INDEX(Products!$E$2:$E$49,MATCH(C4559,Products!$A$2:$A$49,0)))</f>
        <v>1050</v>
      </c>
    </row>
    <row r="4560" customFormat="false" ht="15" hidden="false" customHeight="false" outlineLevel="0" collapsed="false">
      <c r="A4560" s="36" t="n">
        <v>46174</v>
      </c>
      <c r="B4560" s="24" t="s">
        <v>64</v>
      </c>
      <c r="C4560" s="24" t="s">
        <v>191</v>
      </c>
      <c r="D4560" s="33" t="n">
        <v>15</v>
      </c>
      <c r="E4560" s="24" t="n">
        <v>0</v>
      </c>
      <c r="F4560" s="37" t="n">
        <f aca="false">DATE(YEAR(A4560),MONTH(A4560),1)</f>
        <v>46174</v>
      </c>
      <c r="G4560" s="24" t="str">
        <f aca="false">INDEX(Products!$C$2:$C$49,MATCH(C4560,Products!$A$2:$A$49,0))</f>
        <v>Personal Care</v>
      </c>
      <c r="H4560" s="33" t="n">
        <f aca="false">D4560*INDEX(Products!$E$2:$E$49,MATCH(C4560,Products!$A$2:$A$49,0))</f>
        <v>3150</v>
      </c>
      <c r="I4560" s="33" t="n">
        <f aca="false">D4560*INDEX(Products!$D$2:$D$49,MATCH(C4560,Products!$A$2:$A$49,0))*(1+INDEX(Assumptions!$B$16:$B$20,MATCH(B4560,Assumptions!$A$16:$A$20,0)))</f>
        <v>1981.44</v>
      </c>
      <c r="J4560" s="33" t="n">
        <f aca="false">H4560-I4560</f>
        <v>1168.56</v>
      </c>
      <c r="K4560" s="33" t="n">
        <f aca="false">IF(OR(E4560=0,E4560&gt;=7),0,D4560/(7-E4560)*E4560*INDEX(Products!$E$2:$E$49,MATCH(C4560,Products!$A$2:$A$49,0)))</f>
        <v>0</v>
      </c>
    </row>
    <row r="4561" customFormat="false" ht="15" hidden="false" customHeight="false" outlineLevel="0" collapsed="false">
      <c r="A4561" s="36" t="n">
        <v>46181</v>
      </c>
      <c r="B4561" s="24" t="s">
        <v>64</v>
      </c>
      <c r="C4561" s="24" t="s">
        <v>191</v>
      </c>
      <c r="D4561" s="33" t="n">
        <v>13</v>
      </c>
      <c r="E4561" s="24" t="n">
        <v>0</v>
      </c>
      <c r="F4561" s="37" t="n">
        <f aca="false">DATE(YEAR(A4561),MONTH(A4561),1)</f>
        <v>46174</v>
      </c>
      <c r="G4561" s="24" t="str">
        <f aca="false">INDEX(Products!$C$2:$C$49,MATCH(C4561,Products!$A$2:$A$49,0))</f>
        <v>Personal Care</v>
      </c>
      <c r="H4561" s="33" t="n">
        <f aca="false">D4561*INDEX(Products!$E$2:$E$49,MATCH(C4561,Products!$A$2:$A$49,0))</f>
        <v>2730</v>
      </c>
      <c r="I4561" s="33" t="n">
        <f aca="false">D4561*INDEX(Products!$D$2:$D$49,MATCH(C4561,Products!$A$2:$A$49,0))*(1+INDEX(Assumptions!$B$16:$B$20,MATCH(B4561,Assumptions!$A$16:$A$20,0)))</f>
        <v>1717.248</v>
      </c>
      <c r="J4561" s="33" t="n">
        <f aca="false">H4561-I4561</f>
        <v>1012.752</v>
      </c>
      <c r="K4561" s="33" t="n">
        <f aca="false">IF(OR(E4561=0,E4561&gt;=7),0,D4561/(7-E4561)*E4561*INDEX(Products!$E$2:$E$49,MATCH(C4561,Products!$A$2:$A$49,0)))</f>
        <v>0</v>
      </c>
    </row>
    <row r="4562" customFormat="false" ht="15" hidden="false" customHeight="false" outlineLevel="0" collapsed="false">
      <c r="A4562" s="36" t="n">
        <v>46188</v>
      </c>
      <c r="B4562" s="24" t="s">
        <v>64</v>
      </c>
      <c r="C4562" s="24" t="s">
        <v>191</v>
      </c>
      <c r="D4562" s="33" t="n">
        <v>19</v>
      </c>
      <c r="E4562" s="24" t="n">
        <v>0</v>
      </c>
      <c r="F4562" s="37" t="n">
        <f aca="false">DATE(YEAR(A4562),MONTH(A4562),1)</f>
        <v>46174</v>
      </c>
      <c r="G4562" s="24" t="str">
        <f aca="false">INDEX(Products!$C$2:$C$49,MATCH(C4562,Products!$A$2:$A$49,0))</f>
        <v>Personal Care</v>
      </c>
      <c r="H4562" s="33" t="n">
        <f aca="false">D4562*INDEX(Products!$E$2:$E$49,MATCH(C4562,Products!$A$2:$A$49,0))</f>
        <v>3990</v>
      </c>
      <c r="I4562" s="33" t="n">
        <f aca="false">D4562*INDEX(Products!$D$2:$D$49,MATCH(C4562,Products!$A$2:$A$49,0))*(1+INDEX(Assumptions!$B$16:$B$20,MATCH(B4562,Assumptions!$A$16:$A$20,0)))</f>
        <v>2509.824</v>
      </c>
      <c r="J4562" s="33" t="n">
        <f aca="false">H4562-I4562</f>
        <v>1480.176</v>
      </c>
      <c r="K4562" s="33" t="n">
        <f aca="false">IF(OR(E4562=0,E4562&gt;=7),0,D4562/(7-E4562)*E4562*INDEX(Products!$E$2:$E$49,MATCH(C4562,Products!$A$2:$A$49,0)))</f>
        <v>0</v>
      </c>
    </row>
    <row r="4563" customFormat="false" ht="15" hidden="false" customHeight="false" outlineLevel="0" collapsed="false">
      <c r="A4563" s="36" t="n">
        <v>46195</v>
      </c>
      <c r="B4563" s="24" t="s">
        <v>64</v>
      </c>
      <c r="C4563" s="24" t="s">
        <v>191</v>
      </c>
      <c r="D4563" s="33" t="n">
        <v>14</v>
      </c>
      <c r="E4563" s="24" t="n">
        <v>0</v>
      </c>
      <c r="F4563" s="37" t="n">
        <f aca="false">DATE(YEAR(A4563),MONTH(A4563),1)</f>
        <v>46174</v>
      </c>
      <c r="G4563" s="24" t="str">
        <f aca="false">INDEX(Products!$C$2:$C$49,MATCH(C4563,Products!$A$2:$A$49,0))</f>
        <v>Personal Care</v>
      </c>
      <c r="H4563" s="33" t="n">
        <f aca="false">D4563*INDEX(Products!$E$2:$E$49,MATCH(C4563,Products!$A$2:$A$49,0))</f>
        <v>2940</v>
      </c>
      <c r="I4563" s="33" t="n">
        <f aca="false">D4563*INDEX(Products!$D$2:$D$49,MATCH(C4563,Products!$A$2:$A$49,0))*(1+INDEX(Assumptions!$B$16:$B$20,MATCH(B4563,Assumptions!$A$16:$A$20,0)))</f>
        <v>1849.344</v>
      </c>
      <c r="J4563" s="33" t="n">
        <f aca="false">H4563-I4563</f>
        <v>1090.656</v>
      </c>
      <c r="K4563" s="33" t="n">
        <f aca="false">IF(OR(E4563=0,E4563&gt;=7),0,D4563/(7-E4563)*E4563*INDEX(Products!$E$2:$E$49,MATCH(C4563,Products!$A$2:$A$49,0)))</f>
        <v>0</v>
      </c>
    </row>
    <row r="4564" customFormat="false" ht="15" hidden="false" customHeight="false" outlineLevel="0" collapsed="false">
      <c r="A4564" s="36" t="n">
        <v>46202</v>
      </c>
      <c r="B4564" s="24" t="s">
        <v>64</v>
      </c>
      <c r="C4564" s="24" t="s">
        <v>191</v>
      </c>
      <c r="D4564" s="33" t="n">
        <v>7</v>
      </c>
      <c r="E4564" s="24" t="n">
        <v>0</v>
      </c>
      <c r="F4564" s="37" t="n">
        <f aca="false">DATE(YEAR(A4564),MONTH(A4564),1)</f>
        <v>46174</v>
      </c>
      <c r="G4564" s="24" t="str">
        <f aca="false">INDEX(Products!$C$2:$C$49,MATCH(C4564,Products!$A$2:$A$49,0))</f>
        <v>Personal Care</v>
      </c>
      <c r="H4564" s="33" t="n">
        <f aca="false">D4564*INDEX(Products!$E$2:$E$49,MATCH(C4564,Products!$A$2:$A$49,0))</f>
        <v>1470</v>
      </c>
      <c r="I4564" s="33" t="n">
        <f aca="false">D4564*INDEX(Products!$D$2:$D$49,MATCH(C4564,Products!$A$2:$A$49,0))*(1+INDEX(Assumptions!$B$16:$B$20,MATCH(B4564,Assumptions!$A$16:$A$20,0)))</f>
        <v>924.672</v>
      </c>
      <c r="J4564" s="33" t="n">
        <f aca="false">H4564-I4564</f>
        <v>545.328</v>
      </c>
      <c r="K4564" s="33" t="n">
        <f aca="false">IF(OR(E4564=0,E4564&gt;=7),0,D4564/(7-E4564)*E4564*INDEX(Products!$E$2:$E$49,MATCH(C4564,Products!$A$2:$A$49,0)))</f>
        <v>0</v>
      </c>
    </row>
    <row r="4565" customFormat="false" ht="15" hidden="false" customHeight="false" outlineLevel="0" collapsed="false">
      <c r="A4565" s="36" t="n">
        <v>46209</v>
      </c>
      <c r="B4565" s="24" t="s">
        <v>64</v>
      </c>
      <c r="C4565" s="24" t="s">
        <v>191</v>
      </c>
      <c r="D4565" s="33" t="n">
        <v>15</v>
      </c>
      <c r="E4565" s="24" t="n">
        <v>0</v>
      </c>
      <c r="F4565" s="37" t="n">
        <f aca="false">DATE(YEAR(A4565),MONTH(A4565),1)</f>
        <v>46204</v>
      </c>
      <c r="G4565" s="24" t="str">
        <f aca="false">INDEX(Products!$C$2:$C$49,MATCH(C4565,Products!$A$2:$A$49,0))</f>
        <v>Personal Care</v>
      </c>
      <c r="H4565" s="33" t="n">
        <f aca="false">D4565*INDEX(Products!$E$2:$E$49,MATCH(C4565,Products!$A$2:$A$49,0))</f>
        <v>3150</v>
      </c>
      <c r="I4565" s="33" t="n">
        <f aca="false">D4565*INDEX(Products!$D$2:$D$49,MATCH(C4565,Products!$A$2:$A$49,0))*(1+INDEX(Assumptions!$B$16:$B$20,MATCH(B4565,Assumptions!$A$16:$A$20,0)))</f>
        <v>1981.44</v>
      </c>
      <c r="J4565" s="33" t="n">
        <f aca="false">H4565-I4565</f>
        <v>1168.56</v>
      </c>
      <c r="K4565" s="33" t="n">
        <f aca="false">IF(OR(E4565=0,E4565&gt;=7),0,D4565/(7-E4565)*E4565*INDEX(Products!$E$2:$E$49,MATCH(C4565,Products!$A$2:$A$49,0)))</f>
        <v>0</v>
      </c>
    </row>
    <row r="4566" customFormat="false" ht="15" hidden="false" customHeight="false" outlineLevel="0" collapsed="false">
      <c r="A4566" s="36" t="n">
        <v>46216</v>
      </c>
      <c r="B4566" s="24" t="s">
        <v>64</v>
      </c>
      <c r="C4566" s="24" t="s">
        <v>191</v>
      </c>
      <c r="D4566" s="33" t="n">
        <v>11</v>
      </c>
      <c r="E4566" s="24" t="n">
        <v>0</v>
      </c>
      <c r="F4566" s="37" t="n">
        <f aca="false">DATE(YEAR(A4566),MONTH(A4566),1)</f>
        <v>46204</v>
      </c>
      <c r="G4566" s="24" t="str">
        <f aca="false">INDEX(Products!$C$2:$C$49,MATCH(C4566,Products!$A$2:$A$49,0))</f>
        <v>Personal Care</v>
      </c>
      <c r="H4566" s="33" t="n">
        <f aca="false">D4566*INDEX(Products!$E$2:$E$49,MATCH(C4566,Products!$A$2:$A$49,0))</f>
        <v>2310</v>
      </c>
      <c r="I4566" s="33" t="n">
        <f aca="false">D4566*INDEX(Products!$D$2:$D$49,MATCH(C4566,Products!$A$2:$A$49,0))*(1+INDEX(Assumptions!$B$16:$B$20,MATCH(B4566,Assumptions!$A$16:$A$20,0)))</f>
        <v>1453.056</v>
      </c>
      <c r="J4566" s="33" t="n">
        <f aca="false">H4566-I4566</f>
        <v>856.944</v>
      </c>
      <c r="K4566" s="33" t="n">
        <f aca="false">IF(OR(E4566=0,E4566&gt;=7),0,D4566/(7-E4566)*E4566*INDEX(Products!$E$2:$E$49,MATCH(C4566,Products!$A$2:$A$49,0)))</f>
        <v>0</v>
      </c>
    </row>
    <row r="4567" customFormat="false" ht="15" hidden="false" customHeight="false" outlineLevel="0" collapsed="false">
      <c r="A4567" s="36" t="n">
        <v>46223</v>
      </c>
      <c r="B4567" s="24" t="s">
        <v>64</v>
      </c>
      <c r="C4567" s="24" t="s">
        <v>191</v>
      </c>
      <c r="D4567" s="33" t="n">
        <v>12</v>
      </c>
      <c r="E4567" s="24" t="n">
        <v>0</v>
      </c>
      <c r="F4567" s="37" t="n">
        <f aca="false">DATE(YEAR(A4567),MONTH(A4567),1)</f>
        <v>46204</v>
      </c>
      <c r="G4567" s="24" t="str">
        <f aca="false">INDEX(Products!$C$2:$C$49,MATCH(C4567,Products!$A$2:$A$49,0))</f>
        <v>Personal Care</v>
      </c>
      <c r="H4567" s="33" t="n">
        <f aca="false">D4567*INDEX(Products!$E$2:$E$49,MATCH(C4567,Products!$A$2:$A$49,0))</f>
        <v>2520</v>
      </c>
      <c r="I4567" s="33" t="n">
        <f aca="false">D4567*INDEX(Products!$D$2:$D$49,MATCH(C4567,Products!$A$2:$A$49,0))*(1+INDEX(Assumptions!$B$16:$B$20,MATCH(B4567,Assumptions!$A$16:$A$20,0)))</f>
        <v>1585.152</v>
      </c>
      <c r="J4567" s="33" t="n">
        <f aca="false">H4567-I4567</f>
        <v>934.848</v>
      </c>
      <c r="K4567" s="33" t="n">
        <f aca="false">IF(OR(E4567=0,E4567&gt;=7),0,D4567/(7-E4567)*E4567*INDEX(Products!$E$2:$E$49,MATCH(C4567,Products!$A$2:$A$49,0)))</f>
        <v>0</v>
      </c>
    </row>
    <row r="4568" customFormat="false" ht="15" hidden="false" customHeight="false" outlineLevel="0" collapsed="false">
      <c r="A4568" s="36" t="n">
        <v>46230</v>
      </c>
      <c r="B4568" s="24" t="s">
        <v>64</v>
      </c>
      <c r="C4568" s="24" t="s">
        <v>191</v>
      </c>
      <c r="D4568" s="33" t="n">
        <v>9</v>
      </c>
      <c r="E4568" s="24" t="n">
        <v>0</v>
      </c>
      <c r="F4568" s="37" t="n">
        <f aca="false">DATE(YEAR(A4568),MONTH(A4568),1)</f>
        <v>46204</v>
      </c>
      <c r="G4568" s="24" t="str">
        <f aca="false">INDEX(Products!$C$2:$C$49,MATCH(C4568,Products!$A$2:$A$49,0))</f>
        <v>Personal Care</v>
      </c>
      <c r="H4568" s="33" t="n">
        <f aca="false">D4568*INDEX(Products!$E$2:$E$49,MATCH(C4568,Products!$A$2:$A$49,0))</f>
        <v>1890</v>
      </c>
      <c r="I4568" s="33" t="n">
        <f aca="false">D4568*INDEX(Products!$D$2:$D$49,MATCH(C4568,Products!$A$2:$A$49,0))*(1+INDEX(Assumptions!$B$16:$B$20,MATCH(B4568,Assumptions!$A$16:$A$20,0)))</f>
        <v>1188.864</v>
      </c>
      <c r="J4568" s="33" t="n">
        <f aca="false">H4568-I4568</f>
        <v>701.136</v>
      </c>
      <c r="K4568" s="33" t="n">
        <f aca="false">IF(OR(E4568=0,E4568&gt;=7),0,D4568/(7-E4568)*E4568*INDEX(Products!$E$2:$E$49,MATCH(C4568,Products!$A$2:$A$49,0)))</f>
        <v>0</v>
      </c>
    </row>
    <row r="4569" customFormat="false" ht="15" hidden="false" customHeight="false" outlineLevel="0" collapsed="false">
      <c r="A4569" s="36" t="n">
        <v>46237</v>
      </c>
      <c r="B4569" s="24" t="s">
        <v>64</v>
      </c>
      <c r="C4569" s="24" t="s">
        <v>191</v>
      </c>
      <c r="D4569" s="33" t="n">
        <v>10</v>
      </c>
      <c r="E4569" s="24" t="n">
        <v>0</v>
      </c>
      <c r="F4569" s="37" t="n">
        <f aca="false">DATE(YEAR(A4569),MONTH(A4569),1)</f>
        <v>46235</v>
      </c>
      <c r="G4569" s="24" t="str">
        <f aca="false">INDEX(Products!$C$2:$C$49,MATCH(C4569,Products!$A$2:$A$49,0))</f>
        <v>Personal Care</v>
      </c>
      <c r="H4569" s="33" t="n">
        <f aca="false">D4569*INDEX(Products!$E$2:$E$49,MATCH(C4569,Products!$A$2:$A$49,0))</f>
        <v>2100</v>
      </c>
      <c r="I4569" s="33" t="n">
        <f aca="false">D4569*INDEX(Products!$D$2:$D$49,MATCH(C4569,Products!$A$2:$A$49,0))*(1+INDEX(Assumptions!$B$16:$B$20,MATCH(B4569,Assumptions!$A$16:$A$20,0)))</f>
        <v>1320.96</v>
      </c>
      <c r="J4569" s="33" t="n">
        <f aca="false">H4569-I4569</f>
        <v>779.04</v>
      </c>
      <c r="K4569" s="33" t="n">
        <f aca="false">IF(OR(E4569=0,E4569&gt;=7),0,D4569/(7-E4569)*E4569*INDEX(Products!$E$2:$E$49,MATCH(C4569,Products!$A$2:$A$49,0)))</f>
        <v>0</v>
      </c>
    </row>
    <row r="4570" customFormat="false" ht="15" hidden="false" customHeight="false" outlineLevel="0" collapsed="false">
      <c r="A4570" s="36" t="n">
        <v>46244</v>
      </c>
      <c r="B4570" s="24" t="s">
        <v>64</v>
      </c>
      <c r="C4570" s="24" t="s">
        <v>191</v>
      </c>
      <c r="D4570" s="33" t="n">
        <v>9</v>
      </c>
      <c r="E4570" s="24" t="n">
        <v>0</v>
      </c>
      <c r="F4570" s="37" t="n">
        <f aca="false">DATE(YEAR(A4570),MONTH(A4570),1)</f>
        <v>46235</v>
      </c>
      <c r="G4570" s="24" t="str">
        <f aca="false">INDEX(Products!$C$2:$C$49,MATCH(C4570,Products!$A$2:$A$49,0))</f>
        <v>Personal Care</v>
      </c>
      <c r="H4570" s="33" t="n">
        <f aca="false">D4570*INDEX(Products!$E$2:$E$49,MATCH(C4570,Products!$A$2:$A$49,0))</f>
        <v>1890</v>
      </c>
      <c r="I4570" s="33" t="n">
        <f aca="false">D4570*INDEX(Products!$D$2:$D$49,MATCH(C4570,Products!$A$2:$A$49,0))*(1+INDEX(Assumptions!$B$16:$B$20,MATCH(B4570,Assumptions!$A$16:$A$20,0)))</f>
        <v>1188.864</v>
      </c>
      <c r="J4570" s="33" t="n">
        <f aca="false">H4570-I4570</f>
        <v>701.136</v>
      </c>
      <c r="K4570" s="33" t="n">
        <f aca="false">IF(OR(E4570=0,E4570&gt;=7),0,D4570/(7-E4570)*E4570*INDEX(Products!$E$2:$E$49,MATCH(C4570,Products!$A$2:$A$49,0)))</f>
        <v>0</v>
      </c>
    </row>
    <row r="4571" customFormat="false" ht="15" hidden="false" customHeight="false" outlineLevel="0" collapsed="false">
      <c r="A4571" s="36" t="n">
        <v>46251</v>
      </c>
      <c r="B4571" s="24" t="s">
        <v>64</v>
      </c>
      <c r="C4571" s="24" t="s">
        <v>191</v>
      </c>
      <c r="D4571" s="33" t="n">
        <v>9</v>
      </c>
      <c r="E4571" s="24" t="n">
        <v>0</v>
      </c>
      <c r="F4571" s="37" t="n">
        <f aca="false">DATE(YEAR(A4571),MONTH(A4571),1)</f>
        <v>46235</v>
      </c>
      <c r="G4571" s="24" t="str">
        <f aca="false">INDEX(Products!$C$2:$C$49,MATCH(C4571,Products!$A$2:$A$49,0))</f>
        <v>Personal Care</v>
      </c>
      <c r="H4571" s="33" t="n">
        <f aca="false">D4571*INDEX(Products!$E$2:$E$49,MATCH(C4571,Products!$A$2:$A$49,0))</f>
        <v>1890</v>
      </c>
      <c r="I4571" s="33" t="n">
        <f aca="false">D4571*INDEX(Products!$D$2:$D$49,MATCH(C4571,Products!$A$2:$A$49,0))*(1+INDEX(Assumptions!$B$16:$B$20,MATCH(B4571,Assumptions!$A$16:$A$20,0)))</f>
        <v>1188.864</v>
      </c>
      <c r="J4571" s="33" t="n">
        <f aca="false">H4571-I4571</f>
        <v>701.136</v>
      </c>
      <c r="K4571" s="33" t="n">
        <f aca="false">IF(OR(E4571=0,E4571&gt;=7),0,D4571/(7-E4571)*E4571*INDEX(Products!$E$2:$E$49,MATCH(C4571,Products!$A$2:$A$49,0)))</f>
        <v>0</v>
      </c>
    </row>
    <row r="4572" customFormat="false" ht="15" hidden="false" customHeight="false" outlineLevel="0" collapsed="false">
      <c r="A4572" s="36" t="n">
        <v>46258</v>
      </c>
      <c r="B4572" s="24" t="s">
        <v>64</v>
      </c>
      <c r="C4572" s="24" t="s">
        <v>191</v>
      </c>
      <c r="D4572" s="33" t="n">
        <v>13</v>
      </c>
      <c r="E4572" s="24" t="n">
        <v>0</v>
      </c>
      <c r="F4572" s="37" t="n">
        <f aca="false">DATE(YEAR(A4572),MONTH(A4572),1)</f>
        <v>46235</v>
      </c>
      <c r="G4572" s="24" t="str">
        <f aca="false">INDEX(Products!$C$2:$C$49,MATCH(C4572,Products!$A$2:$A$49,0))</f>
        <v>Personal Care</v>
      </c>
      <c r="H4572" s="33" t="n">
        <f aca="false">D4572*INDEX(Products!$E$2:$E$49,MATCH(C4572,Products!$A$2:$A$49,0))</f>
        <v>2730</v>
      </c>
      <c r="I4572" s="33" t="n">
        <f aca="false">D4572*INDEX(Products!$D$2:$D$49,MATCH(C4572,Products!$A$2:$A$49,0))*(1+INDEX(Assumptions!$B$16:$B$20,MATCH(B4572,Assumptions!$A$16:$A$20,0)))</f>
        <v>1717.248</v>
      </c>
      <c r="J4572" s="33" t="n">
        <f aca="false">H4572-I4572</f>
        <v>1012.752</v>
      </c>
      <c r="K4572" s="33" t="n">
        <f aca="false">IF(OR(E4572=0,E4572&gt;=7),0,D4572/(7-E4572)*E4572*INDEX(Products!$E$2:$E$49,MATCH(C4572,Products!$A$2:$A$49,0)))</f>
        <v>0</v>
      </c>
    </row>
    <row r="4573" customFormat="false" ht="15" hidden="false" customHeight="false" outlineLevel="0" collapsed="false">
      <c r="A4573" s="36" t="n">
        <v>46265</v>
      </c>
      <c r="B4573" s="24" t="s">
        <v>64</v>
      </c>
      <c r="C4573" s="24" t="s">
        <v>191</v>
      </c>
      <c r="D4573" s="33" t="n">
        <v>10</v>
      </c>
      <c r="E4573" s="24" t="n">
        <v>0</v>
      </c>
      <c r="F4573" s="37" t="n">
        <f aca="false">DATE(YEAR(A4573),MONTH(A4573),1)</f>
        <v>46235</v>
      </c>
      <c r="G4573" s="24" t="str">
        <f aca="false">INDEX(Products!$C$2:$C$49,MATCH(C4573,Products!$A$2:$A$49,0))</f>
        <v>Personal Care</v>
      </c>
      <c r="H4573" s="33" t="n">
        <f aca="false">D4573*INDEX(Products!$E$2:$E$49,MATCH(C4573,Products!$A$2:$A$49,0))</f>
        <v>2100</v>
      </c>
      <c r="I4573" s="33" t="n">
        <f aca="false">D4573*INDEX(Products!$D$2:$D$49,MATCH(C4573,Products!$A$2:$A$49,0))*(1+INDEX(Assumptions!$B$16:$B$20,MATCH(B4573,Assumptions!$A$16:$A$20,0)))</f>
        <v>1320.96</v>
      </c>
      <c r="J4573" s="33" t="n">
        <f aca="false">H4573-I4573</f>
        <v>779.04</v>
      </c>
      <c r="K4573" s="33" t="n">
        <f aca="false">IF(OR(E4573=0,E4573&gt;=7),0,D4573/(7-E4573)*E4573*INDEX(Products!$E$2:$E$49,MATCH(C4573,Products!$A$2:$A$49,0)))</f>
        <v>0</v>
      </c>
    </row>
    <row r="4574" customFormat="false" ht="15" hidden="false" customHeight="false" outlineLevel="0" collapsed="false">
      <c r="A4574" s="36" t="n">
        <v>46272</v>
      </c>
      <c r="B4574" s="24" t="s">
        <v>64</v>
      </c>
      <c r="C4574" s="24" t="s">
        <v>191</v>
      </c>
      <c r="D4574" s="33" t="n">
        <v>16</v>
      </c>
      <c r="E4574" s="24" t="n">
        <v>0</v>
      </c>
      <c r="F4574" s="37" t="n">
        <f aca="false">DATE(YEAR(A4574),MONTH(A4574),1)</f>
        <v>46266</v>
      </c>
      <c r="G4574" s="24" t="str">
        <f aca="false">INDEX(Products!$C$2:$C$49,MATCH(C4574,Products!$A$2:$A$49,0))</f>
        <v>Personal Care</v>
      </c>
      <c r="H4574" s="33" t="n">
        <f aca="false">D4574*INDEX(Products!$E$2:$E$49,MATCH(C4574,Products!$A$2:$A$49,0))</f>
        <v>3360</v>
      </c>
      <c r="I4574" s="33" t="n">
        <f aca="false">D4574*INDEX(Products!$D$2:$D$49,MATCH(C4574,Products!$A$2:$A$49,0))*(1+INDEX(Assumptions!$B$16:$B$20,MATCH(B4574,Assumptions!$A$16:$A$20,0)))</f>
        <v>2113.536</v>
      </c>
      <c r="J4574" s="33" t="n">
        <f aca="false">H4574-I4574</f>
        <v>1246.464</v>
      </c>
      <c r="K4574" s="33" t="n">
        <f aca="false">IF(OR(E4574=0,E4574&gt;=7),0,D4574/(7-E4574)*E4574*INDEX(Products!$E$2:$E$49,MATCH(C4574,Products!$A$2:$A$49,0)))</f>
        <v>0</v>
      </c>
    </row>
    <row r="4575" customFormat="false" ht="15" hidden="false" customHeight="false" outlineLevel="0" collapsed="false">
      <c r="A4575" s="36" t="n">
        <v>46279</v>
      </c>
      <c r="B4575" s="24" t="s">
        <v>64</v>
      </c>
      <c r="C4575" s="24" t="s">
        <v>191</v>
      </c>
      <c r="D4575" s="33" t="n">
        <v>14</v>
      </c>
      <c r="E4575" s="24" t="n">
        <v>0</v>
      </c>
      <c r="F4575" s="37" t="n">
        <f aca="false">DATE(YEAR(A4575),MONTH(A4575),1)</f>
        <v>46266</v>
      </c>
      <c r="G4575" s="24" t="str">
        <f aca="false">INDEX(Products!$C$2:$C$49,MATCH(C4575,Products!$A$2:$A$49,0))</f>
        <v>Personal Care</v>
      </c>
      <c r="H4575" s="33" t="n">
        <f aca="false">D4575*INDEX(Products!$E$2:$E$49,MATCH(C4575,Products!$A$2:$A$49,0))</f>
        <v>2940</v>
      </c>
      <c r="I4575" s="33" t="n">
        <f aca="false">D4575*INDEX(Products!$D$2:$D$49,MATCH(C4575,Products!$A$2:$A$49,0))*(1+INDEX(Assumptions!$B$16:$B$20,MATCH(B4575,Assumptions!$A$16:$A$20,0)))</f>
        <v>1849.344</v>
      </c>
      <c r="J4575" s="33" t="n">
        <f aca="false">H4575-I4575</f>
        <v>1090.656</v>
      </c>
      <c r="K4575" s="33" t="n">
        <f aca="false">IF(OR(E4575=0,E4575&gt;=7),0,D4575/(7-E4575)*E4575*INDEX(Products!$E$2:$E$49,MATCH(C4575,Products!$A$2:$A$49,0)))</f>
        <v>0</v>
      </c>
    </row>
    <row r="4576" customFormat="false" ht="15" hidden="false" customHeight="false" outlineLevel="0" collapsed="false">
      <c r="A4576" s="36" t="n">
        <v>46286</v>
      </c>
      <c r="B4576" s="24" t="s">
        <v>64</v>
      </c>
      <c r="C4576" s="24" t="s">
        <v>191</v>
      </c>
      <c r="D4576" s="33" t="n">
        <v>16</v>
      </c>
      <c r="E4576" s="24" t="n">
        <v>0</v>
      </c>
      <c r="F4576" s="37" t="n">
        <f aca="false">DATE(YEAR(A4576),MONTH(A4576),1)</f>
        <v>46266</v>
      </c>
      <c r="G4576" s="24" t="str">
        <f aca="false">INDEX(Products!$C$2:$C$49,MATCH(C4576,Products!$A$2:$A$49,0))</f>
        <v>Personal Care</v>
      </c>
      <c r="H4576" s="33" t="n">
        <f aca="false">D4576*INDEX(Products!$E$2:$E$49,MATCH(C4576,Products!$A$2:$A$49,0))</f>
        <v>3360</v>
      </c>
      <c r="I4576" s="33" t="n">
        <f aca="false">D4576*INDEX(Products!$D$2:$D$49,MATCH(C4576,Products!$A$2:$A$49,0))*(1+INDEX(Assumptions!$B$16:$B$20,MATCH(B4576,Assumptions!$A$16:$A$20,0)))</f>
        <v>2113.536</v>
      </c>
      <c r="J4576" s="33" t="n">
        <f aca="false">H4576-I4576</f>
        <v>1246.464</v>
      </c>
      <c r="K4576" s="33" t="n">
        <f aca="false">IF(OR(E4576=0,E4576&gt;=7),0,D4576/(7-E4576)*E4576*INDEX(Products!$E$2:$E$49,MATCH(C4576,Products!$A$2:$A$49,0)))</f>
        <v>0</v>
      </c>
    </row>
    <row r="4577" customFormat="false" ht="15" hidden="false" customHeight="false" outlineLevel="0" collapsed="false">
      <c r="A4577" s="36" t="n">
        <v>46118</v>
      </c>
      <c r="B4577" s="24" t="s">
        <v>64</v>
      </c>
      <c r="C4577" s="24" t="s">
        <v>193</v>
      </c>
      <c r="D4577" s="33" t="n">
        <v>64</v>
      </c>
      <c r="E4577" s="24" t="n">
        <v>0</v>
      </c>
      <c r="F4577" s="37" t="n">
        <f aca="false">DATE(YEAR(A4577),MONTH(A4577),1)</f>
        <v>46113</v>
      </c>
      <c r="G4577" s="24" t="str">
        <f aca="false">INDEX(Products!$C$2:$C$49,MATCH(C4577,Products!$A$2:$A$49,0))</f>
        <v>Personal Care</v>
      </c>
      <c r="H4577" s="33" t="n">
        <f aca="false">D4577*INDEX(Products!$E$2:$E$49,MATCH(C4577,Products!$A$2:$A$49,0))</f>
        <v>14080</v>
      </c>
      <c r="I4577" s="33" t="n">
        <f aca="false">D4577*INDEX(Products!$D$2:$D$49,MATCH(C4577,Products!$A$2:$A$49,0))*(1+INDEX(Assumptions!$B$16:$B$20,MATCH(B4577,Assumptions!$A$16:$A$20,0)))</f>
        <v>10354.688</v>
      </c>
      <c r="J4577" s="33" t="n">
        <f aca="false">H4577-I4577</f>
        <v>3725.312</v>
      </c>
      <c r="K4577" s="33" t="n">
        <f aca="false">IF(OR(E4577=0,E4577&gt;=7),0,D4577/(7-E4577)*E4577*INDEX(Products!$E$2:$E$49,MATCH(C4577,Products!$A$2:$A$49,0)))</f>
        <v>0</v>
      </c>
    </row>
    <row r="4578" customFormat="false" ht="15" hidden="false" customHeight="false" outlineLevel="0" collapsed="false">
      <c r="A4578" s="36" t="n">
        <v>46125</v>
      </c>
      <c r="B4578" s="24" t="s">
        <v>64</v>
      </c>
      <c r="C4578" s="24" t="s">
        <v>193</v>
      </c>
      <c r="D4578" s="33" t="n">
        <v>73</v>
      </c>
      <c r="E4578" s="24" t="n">
        <v>0</v>
      </c>
      <c r="F4578" s="37" t="n">
        <f aca="false">DATE(YEAR(A4578),MONTH(A4578),1)</f>
        <v>46113</v>
      </c>
      <c r="G4578" s="24" t="str">
        <f aca="false">INDEX(Products!$C$2:$C$49,MATCH(C4578,Products!$A$2:$A$49,0))</f>
        <v>Personal Care</v>
      </c>
      <c r="H4578" s="33" t="n">
        <f aca="false">D4578*INDEX(Products!$E$2:$E$49,MATCH(C4578,Products!$A$2:$A$49,0))</f>
        <v>16060</v>
      </c>
      <c r="I4578" s="33" t="n">
        <f aca="false">D4578*INDEX(Products!$D$2:$D$49,MATCH(C4578,Products!$A$2:$A$49,0))*(1+INDEX(Assumptions!$B$16:$B$20,MATCH(B4578,Assumptions!$A$16:$A$20,0)))</f>
        <v>11810.816</v>
      </c>
      <c r="J4578" s="33" t="n">
        <f aca="false">H4578-I4578</f>
        <v>4249.184</v>
      </c>
      <c r="K4578" s="33" t="n">
        <f aca="false">IF(OR(E4578=0,E4578&gt;=7),0,D4578/(7-E4578)*E4578*INDEX(Products!$E$2:$E$49,MATCH(C4578,Products!$A$2:$A$49,0)))</f>
        <v>0</v>
      </c>
    </row>
    <row r="4579" customFormat="false" ht="15" hidden="false" customHeight="false" outlineLevel="0" collapsed="false">
      <c r="A4579" s="36" t="n">
        <v>46132</v>
      </c>
      <c r="B4579" s="24" t="s">
        <v>64</v>
      </c>
      <c r="C4579" s="24" t="s">
        <v>193</v>
      </c>
      <c r="D4579" s="33" t="n">
        <v>69</v>
      </c>
      <c r="E4579" s="24" t="n">
        <v>0</v>
      </c>
      <c r="F4579" s="37" t="n">
        <f aca="false">DATE(YEAR(A4579),MONTH(A4579),1)</f>
        <v>46113</v>
      </c>
      <c r="G4579" s="24" t="str">
        <f aca="false">INDEX(Products!$C$2:$C$49,MATCH(C4579,Products!$A$2:$A$49,0))</f>
        <v>Personal Care</v>
      </c>
      <c r="H4579" s="33" t="n">
        <f aca="false">D4579*INDEX(Products!$E$2:$E$49,MATCH(C4579,Products!$A$2:$A$49,0))</f>
        <v>15180</v>
      </c>
      <c r="I4579" s="33" t="n">
        <f aca="false">D4579*INDEX(Products!$D$2:$D$49,MATCH(C4579,Products!$A$2:$A$49,0))*(1+INDEX(Assumptions!$B$16:$B$20,MATCH(B4579,Assumptions!$A$16:$A$20,0)))</f>
        <v>11163.648</v>
      </c>
      <c r="J4579" s="33" t="n">
        <f aca="false">H4579-I4579</f>
        <v>4016.352</v>
      </c>
      <c r="K4579" s="33" t="n">
        <f aca="false">IF(OR(E4579=0,E4579&gt;=7),0,D4579/(7-E4579)*E4579*INDEX(Products!$E$2:$E$49,MATCH(C4579,Products!$A$2:$A$49,0)))</f>
        <v>0</v>
      </c>
    </row>
    <row r="4580" customFormat="false" ht="15" hidden="false" customHeight="false" outlineLevel="0" collapsed="false">
      <c r="A4580" s="36" t="n">
        <v>46139</v>
      </c>
      <c r="B4580" s="24" t="s">
        <v>64</v>
      </c>
      <c r="C4580" s="24" t="s">
        <v>193</v>
      </c>
      <c r="D4580" s="33" t="n">
        <v>112</v>
      </c>
      <c r="E4580" s="24" t="n">
        <v>0</v>
      </c>
      <c r="F4580" s="37" t="n">
        <f aca="false">DATE(YEAR(A4580),MONTH(A4580),1)</f>
        <v>46113</v>
      </c>
      <c r="G4580" s="24" t="str">
        <f aca="false">INDEX(Products!$C$2:$C$49,MATCH(C4580,Products!$A$2:$A$49,0))</f>
        <v>Personal Care</v>
      </c>
      <c r="H4580" s="33" t="n">
        <f aca="false">D4580*INDEX(Products!$E$2:$E$49,MATCH(C4580,Products!$A$2:$A$49,0))</f>
        <v>24640</v>
      </c>
      <c r="I4580" s="33" t="n">
        <f aca="false">D4580*INDEX(Products!$D$2:$D$49,MATCH(C4580,Products!$A$2:$A$49,0))*(1+INDEX(Assumptions!$B$16:$B$20,MATCH(B4580,Assumptions!$A$16:$A$20,0)))</f>
        <v>18120.704</v>
      </c>
      <c r="J4580" s="33" t="n">
        <f aca="false">H4580-I4580</f>
        <v>6519.296</v>
      </c>
      <c r="K4580" s="33" t="n">
        <f aca="false">IF(OR(E4580=0,E4580&gt;=7),0,D4580/(7-E4580)*E4580*INDEX(Products!$E$2:$E$49,MATCH(C4580,Products!$A$2:$A$49,0)))</f>
        <v>0</v>
      </c>
    </row>
    <row r="4581" customFormat="false" ht="15" hidden="false" customHeight="false" outlineLevel="0" collapsed="false">
      <c r="A4581" s="36" t="n">
        <v>46146</v>
      </c>
      <c r="B4581" s="24" t="s">
        <v>64</v>
      </c>
      <c r="C4581" s="24" t="s">
        <v>193</v>
      </c>
      <c r="D4581" s="33" t="n">
        <v>57</v>
      </c>
      <c r="E4581" s="24" t="n">
        <v>0</v>
      </c>
      <c r="F4581" s="37" t="n">
        <f aca="false">DATE(YEAR(A4581),MONTH(A4581),1)</f>
        <v>46143</v>
      </c>
      <c r="G4581" s="24" t="str">
        <f aca="false">INDEX(Products!$C$2:$C$49,MATCH(C4581,Products!$A$2:$A$49,0))</f>
        <v>Personal Care</v>
      </c>
      <c r="H4581" s="33" t="n">
        <f aca="false">D4581*INDEX(Products!$E$2:$E$49,MATCH(C4581,Products!$A$2:$A$49,0))</f>
        <v>12540</v>
      </c>
      <c r="I4581" s="33" t="n">
        <f aca="false">D4581*INDEX(Products!$D$2:$D$49,MATCH(C4581,Products!$A$2:$A$49,0))*(1+INDEX(Assumptions!$B$16:$B$20,MATCH(B4581,Assumptions!$A$16:$A$20,0)))</f>
        <v>9222.144</v>
      </c>
      <c r="J4581" s="33" t="n">
        <f aca="false">H4581-I4581</f>
        <v>3317.856</v>
      </c>
      <c r="K4581" s="33" t="n">
        <f aca="false">IF(OR(E4581=0,E4581&gt;=7),0,D4581/(7-E4581)*E4581*INDEX(Products!$E$2:$E$49,MATCH(C4581,Products!$A$2:$A$49,0)))</f>
        <v>0</v>
      </c>
    </row>
    <row r="4582" customFormat="false" ht="15" hidden="false" customHeight="false" outlineLevel="0" collapsed="false">
      <c r="A4582" s="36" t="n">
        <v>46153</v>
      </c>
      <c r="B4582" s="24" t="s">
        <v>64</v>
      </c>
      <c r="C4582" s="24" t="s">
        <v>193</v>
      </c>
      <c r="D4582" s="33" t="n">
        <v>67</v>
      </c>
      <c r="E4582" s="24" t="n">
        <v>0</v>
      </c>
      <c r="F4582" s="37" t="n">
        <f aca="false">DATE(YEAR(A4582),MONTH(A4582),1)</f>
        <v>46143</v>
      </c>
      <c r="G4582" s="24" t="str">
        <f aca="false">INDEX(Products!$C$2:$C$49,MATCH(C4582,Products!$A$2:$A$49,0))</f>
        <v>Personal Care</v>
      </c>
      <c r="H4582" s="33" t="n">
        <f aca="false">D4582*INDEX(Products!$E$2:$E$49,MATCH(C4582,Products!$A$2:$A$49,0))</f>
        <v>14740</v>
      </c>
      <c r="I4582" s="33" t="n">
        <f aca="false">D4582*INDEX(Products!$D$2:$D$49,MATCH(C4582,Products!$A$2:$A$49,0))*(1+INDEX(Assumptions!$B$16:$B$20,MATCH(B4582,Assumptions!$A$16:$A$20,0)))</f>
        <v>10840.064</v>
      </c>
      <c r="J4582" s="33" t="n">
        <f aca="false">H4582-I4582</f>
        <v>3899.936</v>
      </c>
      <c r="K4582" s="33" t="n">
        <f aca="false">IF(OR(E4582=0,E4582&gt;=7),0,D4582/(7-E4582)*E4582*INDEX(Products!$E$2:$E$49,MATCH(C4582,Products!$A$2:$A$49,0)))</f>
        <v>0</v>
      </c>
    </row>
    <row r="4583" customFormat="false" ht="15" hidden="false" customHeight="false" outlineLevel="0" collapsed="false">
      <c r="A4583" s="36" t="n">
        <v>46160</v>
      </c>
      <c r="B4583" s="24" t="s">
        <v>64</v>
      </c>
      <c r="C4583" s="24" t="s">
        <v>193</v>
      </c>
      <c r="D4583" s="33" t="n">
        <v>75</v>
      </c>
      <c r="E4583" s="24" t="n">
        <v>0</v>
      </c>
      <c r="F4583" s="37" t="n">
        <f aca="false">DATE(YEAR(A4583),MONTH(A4583),1)</f>
        <v>46143</v>
      </c>
      <c r="G4583" s="24" t="str">
        <f aca="false">INDEX(Products!$C$2:$C$49,MATCH(C4583,Products!$A$2:$A$49,0))</f>
        <v>Personal Care</v>
      </c>
      <c r="H4583" s="33" t="n">
        <f aca="false">D4583*INDEX(Products!$E$2:$E$49,MATCH(C4583,Products!$A$2:$A$49,0))</f>
        <v>16500</v>
      </c>
      <c r="I4583" s="33" t="n">
        <f aca="false">D4583*INDEX(Products!$D$2:$D$49,MATCH(C4583,Products!$A$2:$A$49,0))*(1+INDEX(Assumptions!$B$16:$B$20,MATCH(B4583,Assumptions!$A$16:$A$20,0)))</f>
        <v>12134.4</v>
      </c>
      <c r="J4583" s="33" t="n">
        <f aca="false">H4583-I4583</f>
        <v>4365.6</v>
      </c>
      <c r="K4583" s="33" t="n">
        <f aca="false">IF(OR(E4583=0,E4583&gt;=7),0,D4583/(7-E4583)*E4583*INDEX(Products!$E$2:$E$49,MATCH(C4583,Products!$A$2:$A$49,0)))</f>
        <v>0</v>
      </c>
    </row>
    <row r="4584" customFormat="false" ht="15" hidden="false" customHeight="false" outlineLevel="0" collapsed="false">
      <c r="A4584" s="36" t="n">
        <v>46167</v>
      </c>
      <c r="B4584" s="24" t="s">
        <v>64</v>
      </c>
      <c r="C4584" s="24" t="s">
        <v>193</v>
      </c>
      <c r="D4584" s="33" t="n">
        <v>81</v>
      </c>
      <c r="E4584" s="24" t="n">
        <v>0</v>
      </c>
      <c r="F4584" s="37" t="n">
        <f aca="false">DATE(YEAR(A4584),MONTH(A4584),1)</f>
        <v>46143</v>
      </c>
      <c r="G4584" s="24" t="str">
        <f aca="false">INDEX(Products!$C$2:$C$49,MATCH(C4584,Products!$A$2:$A$49,0))</f>
        <v>Personal Care</v>
      </c>
      <c r="H4584" s="33" t="n">
        <f aca="false">D4584*INDEX(Products!$E$2:$E$49,MATCH(C4584,Products!$A$2:$A$49,0))</f>
        <v>17820</v>
      </c>
      <c r="I4584" s="33" t="n">
        <f aca="false">D4584*INDEX(Products!$D$2:$D$49,MATCH(C4584,Products!$A$2:$A$49,0))*(1+INDEX(Assumptions!$B$16:$B$20,MATCH(B4584,Assumptions!$A$16:$A$20,0)))</f>
        <v>13105.152</v>
      </c>
      <c r="J4584" s="33" t="n">
        <f aca="false">H4584-I4584</f>
        <v>4714.848</v>
      </c>
      <c r="K4584" s="33" t="n">
        <f aca="false">IF(OR(E4584=0,E4584&gt;=7),0,D4584/(7-E4584)*E4584*INDEX(Products!$E$2:$E$49,MATCH(C4584,Products!$A$2:$A$49,0)))</f>
        <v>0</v>
      </c>
    </row>
    <row r="4585" customFormat="false" ht="15" hidden="false" customHeight="false" outlineLevel="0" collapsed="false">
      <c r="A4585" s="36" t="n">
        <v>46174</v>
      </c>
      <c r="B4585" s="24" t="s">
        <v>64</v>
      </c>
      <c r="C4585" s="24" t="s">
        <v>193</v>
      </c>
      <c r="D4585" s="33" t="n">
        <v>61</v>
      </c>
      <c r="E4585" s="24" t="n">
        <v>0</v>
      </c>
      <c r="F4585" s="37" t="n">
        <f aca="false">DATE(YEAR(A4585),MONTH(A4585),1)</f>
        <v>46174</v>
      </c>
      <c r="G4585" s="24" t="str">
        <f aca="false">INDEX(Products!$C$2:$C$49,MATCH(C4585,Products!$A$2:$A$49,0))</f>
        <v>Personal Care</v>
      </c>
      <c r="H4585" s="33" t="n">
        <f aca="false">D4585*INDEX(Products!$E$2:$E$49,MATCH(C4585,Products!$A$2:$A$49,0))</f>
        <v>13420</v>
      </c>
      <c r="I4585" s="33" t="n">
        <f aca="false">D4585*INDEX(Products!$D$2:$D$49,MATCH(C4585,Products!$A$2:$A$49,0))*(1+INDEX(Assumptions!$B$16:$B$20,MATCH(B4585,Assumptions!$A$16:$A$20,0)))</f>
        <v>9869.312</v>
      </c>
      <c r="J4585" s="33" t="n">
        <f aca="false">H4585-I4585</f>
        <v>3550.688</v>
      </c>
      <c r="K4585" s="33" t="n">
        <f aca="false">IF(OR(E4585=0,E4585&gt;=7),0,D4585/(7-E4585)*E4585*INDEX(Products!$E$2:$E$49,MATCH(C4585,Products!$A$2:$A$49,0)))</f>
        <v>0</v>
      </c>
    </row>
    <row r="4586" customFormat="false" ht="15" hidden="false" customHeight="false" outlineLevel="0" collapsed="false">
      <c r="A4586" s="36" t="n">
        <v>46181</v>
      </c>
      <c r="B4586" s="24" t="s">
        <v>64</v>
      </c>
      <c r="C4586" s="24" t="s">
        <v>193</v>
      </c>
      <c r="D4586" s="33" t="n">
        <v>67</v>
      </c>
      <c r="E4586" s="24" t="n">
        <v>0</v>
      </c>
      <c r="F4586" s="37" t="n">
        <f aca="false">DATE(YEAR(A4586),MONTH(A4586),1)</f>
        <v>46174</v>
      </c>
      <c r="G4586" s="24" t="str">
        <f aca="false">INDEX(Products!$C$2:$C$49,MATCH(C4586,Products!$A$2:$A$49,0))</f>
        <v>Personal Care</v>
      </c>
      <c r="H4586" s="33" t="n">
        <f aca="false">D4586*INDEX(Products!$E$2:$E$49,MATCH(C4586,Products!$A$2:$A$49,0))</f>
        <v>14740</v>
      </c>
      <c r="I4586" s="33" t="n">
        <f aca="false">D4586*INDEX(Products!$D$2:$D$49,MATCH(C4586,Products!$A$2:$A$49,0))*(1+INDEX(Assumptions!$B$16:$B$20,MATCH(B4586,Assumptions!$A$16:$A$20,0)))</f>
        <v>10840.064</v>
      </c>
      <c r="J4586" s="33" t="n">
        <f aca="false">H4586-I4586</f>
        <v>3899.936</v>
      </c>
      <c r="K4586" s="33" t="n">
        <f aca="false">IF(OR(E4586=0,E4586&gt;=7),0,D4586/(7-E4586)*E4586*INDEX(Products!$E$2:$E$49,MATCH(C4586,Products!$A$2:$A$49,0)))</f>
        <v>0</v>
      </c>
    </row>
    <row r="4587" customFormat="false" ht="15" hidden="false" customHeight="false" outlineLevel="0" collapsed="false">
      <c r="A4587" s="36" t="n">
        <v>46188</v>
      </c>
      <c r="B4587" s="24" t="s">
        <v>64</v>
      </c>
      <c r="C4587" s="24" t="s">
        <v>193</v>
      </c>
      <c r="D4587" s="33" t="n">
        <v>57</v>
      </c>
      <c r="E4587" s="24" t="n">
        <v>0</v>
      </c>
      <c r="F4587" s="37" t="n">
        <f aca="false">DATE(YEAR(A4587),MONTH(A4587),1)</f>
        <v>46174</v>
      </c>
      <c r="G4587" s="24" t="str">
        <f aca="false">INDEX(Products!$C$2:$C$49,MATCH(C4587,Products!$A$2:$A$49,0))</f>
        <v>Personal Care</v>
      </c>
      <c r="H4587" s="33" t="n">
        <f aca="false">D4587*INDEX(Products!$E$2:$E$49,MATCH(C4587,Products!$A$2:$A$49,0))</f>
        <v>12540</v>
      </c>
      <c r="I4587" s="33" t="n">
        <f aca="false">D4587*INDEX(Products!$D$2:$D$49,MATCH(C4587,Products!$A$2:$A$49,0))*(1+INDEX(Assumptions!$B$16:$B$20,MATCH(B4587,Assumptions!$A$16:$A$20,0)))</f>
        <v>9222.144</v>
      </c>
      <c r="J4587" s="33" t="n">
        <f aca="false">H4587-I4587</f>
        <v>3317.856</v>
      </c>
      <c r="K4587" s="33" t="n">
        <f aca="false">IF(OR(E4587=0,E4587&gt;=7),0,D4587/(7-E4587)*E4587*INDEX(Products!$E$2:$E$49,MATCH(C4587,Products!$A$2:$A$49,0)))</f>
        <v>0</v>
      </c>
    </row>
    <row r="4588" customFormat="false" ht="15" hidden="false" customHeight="false" outlineLevel="0" collapsed="false">
      <c r="A4588" s="36" t="n">
        <v>46195</v>
      </c>
      <c r="B4588" s="24" t="s">
        <v>64</v>
      </c>
      <c r="C4588" s="24" t="s">
        <v>193</v>
      </c>
      <c r="D4588" s="33" t="n">
        <v>63</v>
      </c>
      <c r="E4588" s="24" t="n">
        <v>0</v>
      </c>
      <c r="F4588" s="37" t="n">
        <f aca="false">DATE(YEAR(A4588),MONTH(A4588),1)</f>
        <v>46174</v>
      </c>
      <c r="G4588" s="24" t="str">
        <f aca="false">INDEX(Products!$C$2:$C$49,MATCH(C4588,Products!$A$2:$A$49,0))</f>
        <v>Personal Care</v>
      </c>
      <c r="H4588" s="33" t="n">
        <f aca="false">D4588*INDEX(Products!$E$2:$E$49,MATCH(C4588,Products!$A$2:$A$49,0))</f>
        <v>13860</v>
      </c>
      <c r="I4588" s="33" t="n">
        <f aca="false">D4588*INDEX(Products!$D$2:$D$49,MATCH(C4588,Products!$A$2:$A$49,0))*(1+INDEX(Assumptions!$B$16:$B$20,MATCH(B4588,Assumptions!$A$16:$A$20,0)))</f>
        <v>10192.896</v>
      </c>
      <c r="J4588" s="33" t="n">
        <f aca="false">H4588-I4588</f>
        <v>3667.104</v>
      </c>
      <c r="K4588" s="33" t="n">
        <f aca="false">IF(OR(E4588=0,E4588&gt;=7),0,D4588/(7-E4588)*E4588*INDEX(Products!$E$2:$E$49,MATCH(C4588,Products!$A$2:$A$49,0)))</f>
        <v>0</v>
      </c>
    </row>
    <row r="4589" customFormat="false" ht="15" hidden="false" customHeight="false" outlineLevel="0" collapsed="false">
      <c r="A4589" s="36" t="n">
        <v>46202</v>
      </c>
      <c r="B4589" s="24" t="s">
        <v>64</v>
      </c>
      <c r="C4589" s="24" t="s">
        <v>193</v>
      </c>
      <c r="D4589" s="33" t="n">
        <v>69</v>
      </c>
      <c r="E4589" s="24" t="n">
        <v>0</v>
      </c>
      <c r="F4589" s="37" t="n">
        <f aca="false">DATE(YEAR(A4589),MONTH(A4589),1)</f>
        <v>46174</v>
      </c>
      <c r="G4589" s="24" t="str">
        <f aca="false">INDEX(Products!$C$2:$C$49,MATCH(C4589,Products!$A$2:$A$49,0))</f>
        <v>Personal Care</v>
      </c>
      <c r="H4589" s="33" t="n">
        <f aca="false">D4589*INDEX(Products!$E$2:$E$49,MATCH(C4589,Products!$A$2:$A$49,0))</f>
        <v>15180</v>
      </c>
      <c r="I4589" s="33" t="n">
        <f aca="false">D4589*INDEX(Products!$D$2:$D$49,MATCH(C4589,Products!$A$2:$A$49,0))*(1+INDEX(Assumptions!$B$16:$B$20,MATCH(B4589,Assumptions!$A$16:$A$20,0)))</f>
        <v>11163.648</v>
      </c>
      <c r="J4589" s="33" t="n">
        <f aca="false">H4589-I4589</f>
        <v>4016.352</v>
      </c>
      <c r="K4589" s="33" t="n">
        <f aca="false">IF(OR(E4589=0,E4589&gt;=7),0,D4589/(7-E4589)*E4589*INDEX(Products!$E$2:$E$49,MATCH(C4589,Products!$A$2:$A$49,0)))</f>
        <v>0</v>
      </c>
    </row>
    <row r="4590" customFormat="false" ht="15" hidden="false" customHeight="false" outlineLevel="0" collapsed="false">
      <c r="A4590" s="36" t="n">
        <v>46209</v>
      </c>
      <c r="B4590" s="24" t="s">
        <v>64</v>
      </c>
      <c r="C4590" s="24" t="s">
        <v>193</v>
      </c>
      <c r="D4590" s="33" t="n">
        <v>49</v>
      </c>
      <c r="E4590" s="24" t="n">
        <v>0</v>
      </c>
      <c r="F4590" s="37" t="n">
        <f aca="false">DATE(YEAR(A4590),MONTH(A4590),1)</f>
        <v>46204</v>
      </c>
      <c r="G4590" s="24" t="str">
        <f aca="false">INDEX(Products!$C$2:$C$49,MATCH(C4590,Products!$A$2:$A$49,0))</f>
        <v>Personal Care</v>
      </c>
      <c r="H4590" s="33" t="n">
        <f aca="false">D4590*INDEX(Products!$E$2:$E$49,MATCH(C4590,Products!$A$2:$A$49,0))</f>
        <v>10780</v>
      </c>
      <c r="I4590" s="33" t="n">
        <f aca="false">D4590*INDEX(Products!$D$2:$D$49,MATCH(C4590,Products!$A$2:$A$49,0))*(1+INDEX(Assumptions!$B$16:$B$20,MATCH(B4590,Assumptions!$A$16:$A$20,0)))</f>
        <v>7927.808</v>
      </c>
      <c r="J4590" s="33" t="n">
        <f aca="false">H4590-I4590</f>
        <v>2852.192</v>
      </c>
      <c r="K4590" s="33" t="n">
        <f aca="false">IF(OR(E4590=0,E4590&gt;=7),0,D4590/(7-E4590)*E4590*INDEX(Products!$E$2:$E$49,MATCH(C4590,Products!$A$2:$A$49,0)))</f>
        <v>0</v>
      </c>
    </row>
    <row r="4591" customFormat="false" ht="15" hidden="false" customHeight="false" outlineLevel="0" collapsed="false">
      <c r="A4591" s="36" t="n">
        <v>46216</v>
      </c>
      <c r="B4591" s="24" t="s">
        <v>64</v>
      </c>
      <c r="C4591" s="24" t="s">
        <v>193</v>
      </c>
      <c r="D4591" s="33" t="n">
        <v>50</v>
      </c>
      <c r="E4591" s="24" t="n">
        <v>0</v>
      </c>
      <c r="F4591" s="37" t="n">
        <f aca="false">DATE(YEAR(A4591),MONTH(A4591),1)</f>
        <v>46204</v>
      </c>
      <c r="G4591" s="24" t="str">
        <f aca="false">INDEX(Products!$C$2:$C$49,MATCH(C4591,Products!$A$2:$A$49,0))</f>
        <v>Personal Care</v>
      </c>
      <c r="H4591" s="33" t="n">
        <f aca="false">D4591*INDEX(Products!$E$2:$E$49,MATCH(C4591,Products!$A$2:$A$49,0))</f>
        <v>11000</v>
      </c>
      <c r="I4591" s="33" t="n">
        <f aca="false">D4591*INDEX(Products!$D$2:$D$49,MATCH(C4591,Products!$A$2:$A$49,0))*(1+INDEX(Assumptions!$B$16:$B$20,MATCH(B4591,Assumptions!$A$16:$A$20,0)))</f>
        <v>8089.6</v>
      </c>
      <c r="J4591" s="33" t="n">
        <f aca="false">H4591-I4591</f>
        <v>2910.4</v>
      </c>
      <c r="K4591" s="33" t="n">
        <f aca="false">IF(OR(E4591=0,E4591&gt;=7),0,D4591/(7-E4591)*E4591*INDEX(Products!$E$2:$E$49,MATCH(C4591,Products!$A$2:$A$49,0)))</f>
        <v>0</v>
      </c>
    </row>
    <row r="4592" customFormat="false" ht="15" hidden="false" customHeight="false" outlineLevel="0" collapsed="false">
      <c r="A4592" s="36" t="n">
        <v>46223</v>
      </c>
      <c r="B4592" s="24" t="s">
        <v>64</v>
      </c>
      <c r="C4592" s="24" t="s">
        <v>193</v>
      </c>
      <c r="D4592" s="33" t="n">
        <v>44</v>
      </c>
      <c r="E4592" s="24" t="n">
        <v>0</v>
      </c>
      <c r="F4592" s="37" t="n">
        <f aca="false">DATE(YEAR(A4592),MONTH(A4592),1)</f>
        <v>46204</v>
      </c>
      <c r="G4592" s="24" t="str">
        <f aca="false">INDEX(Products!$C$2:$C$49,MATCH(C4592,Products!$A$2:$A$49,0))</f>
        <v>Personal Care</v>
      </c>
      <c r="H4592" s="33" t="n">
        <f aca="false">D4592*INDEX(Products!$E$2:$E$49,MATCH(C4592,Products!$A$2:$A$49,0))</f>
        <v>9680</v>
      </c>
      <c r="I4592" s="33" t="n">
        <f aca="false">D4592*INDEX(Products!$D$2:$D$49,MATCH(C4592,Products!$A$2:$A$49,0))*(1+INDEX(Assumptions!$B$16:$B$20,MATCH(B4592,Assumptions!$A$16:$A$20,0)))</f>
        <v>7118.848</v>
      </c>
      <c r="J4592" s="33" t="n">
        <f aca="false">H4592-I4592</f>
        <v>2561.152</v>
      </c>
      <c r="K4592" s="33" t="n">
        <f aca="false">IF(OR(E4592=0,E4592&gt;=7),0,D4592/(7-E4592)*E4592*INDEX(Products!$E$2:$E$49,MATCH(C4592,Products!$A$2:$A$49,0)))</f>
        <v>0</v>
      </c>
    </row>
    <row r="4593" customFormat="false" ht="15" hidden="false" customHeight="false" outlineLevel="0" collapsed="false">
      <c r="A4593" s="36" t="n">
        <v>46230</v>
      </c>
      <c r="B4593" s="24" t="s">
        <v>64</v>
      </c>
      <c r="C4593" s="24" t="s">
        <v>193</v>
      </c>
      <c r="D4593" s="33" t="n">
        <v>48</v>
      </c>
      <c r="E4593" s="24" t="n">
        <v>0</v>
      </c>
      <c r="F4593" s="37" t="n">
        <f aca="false">DATE(YEAR(A4593),MONTH(A4593),1)</f>
        <v>46204</v>
      </c>
      <c r="G4593" s="24" t="str">
        <f aca="false">INDEX(Products!$C$2:$C$49,MATCH(C4593,Products!$A$2:$A$49,0))</f>
        <v>Personal Care</v>
      </c>
      <c r="H4593" s="33" t="n">
        <f aca="false">D4593*INDEX(Products!$E$2:$E$49,MATCH(C4593,Products!$A$2:$A$49,0))</f>
        <v>10560</v>
      </c>
      <c r="I4593" s="33" t="n">
        <f aca="false">D4593*INDEX(Products!$D$2:$D$49,MATCH(C4593,Products!$A$2:$A$49,0))*(1+INDEX(Assumptions!$B$16:$B$20,MATCH(B4593,Assumptions!$A$16:$A$20,0)))</f>
        <v>7766.016</v>
      </c>
      <c r="J4593" s="33" t="n">
        <f aca="false">H4593-I4593</f>
        <v>2793.984</v>
      </c>
      <c r="K4593" s="33" t="n">
        <f aca="false">IF(OR(E4593=0,E4593&gt;=7),0,D4593/(7-E4593)*E4593*INDEX(Products!$E$2:$E$49,MATCH(C4593,Products!$A$2:$A$49,0)))</f>
        <v>0</v>
      </c>
    </row>
    <row r="4594" customFormat="false" ht="15" hidden="false" customHeight="false" outlineLevel="0" collapsed="false">
      <c r="A4594" s="36" t="n">
        <v>46237</v>
      </c>
      <c r="B4594" s="24" t="s">
        <v>64</v>
      </c>
      <c r="C4594" s="24" t="s">
        <v>193</v>
      </c>
      <c r="D4594" s="33" t="n">
        <v>52</v>
      </c>
      <c r="E4594" s="24" t="n">
        <v>0</v>
      </c>
      <c r="F4594" s="37" t="n">
        <f aca="false">DATE(YEAR(A4594),MONTH(A4594),1)</f>
        <v>46235</v>
      </c>
      <c r="G4594" s="24" t="str">
        <f aca="false">INDEX(Products!$C$2:$C$49,MATCH(C4594,Products!$A$2:$A$49,0))</f>
        <v>Personal Care</v>
      </c>
      <c r="H4594" s="33" t="n">
        <f aca="false">D4594*INDEX(Products!$E$2:$E$49,MATCH(C4594,Products!$A$2:$A$49,0))</f>
        <v>11440</v>
      </c>
      <c r="I4594" s="33" t="n">
        <f aca="false">D4594*INDEX(Products!$D$2:$D$49,MATCH(C4594,Products!$A$2:$A$49,0))*(1+INDEX(Assumptions!$B$16:$B$20,MATCH(B4594,Assumptions!$A$16:$A$20,0)))</f>
        <v>8413.184</v>
      </c>
      <c r="J4594" s="33" t="n">
        <f aca="false">H4594-I4594</f>
        <v>3026.816</v>
      </c>
      <c r="K4594" s="33" t="n">
        <f aca="false">IF(OR(E4594=0,E4594&gt;=7),0,D4594/(7-E4594)*E4594*INDEX(Products!$E$2:$E$49,MATCH(C4594,Products!$A$2:$A$49,0)))</f>
        <v>0</v>
      </c>
    </row>
    <row r="4595" customFormat="false" ht="15" hidden="false" customHeight="false" outlineLevel="0" collapsed="false">
      <c r="A4595" s="36" t="n">
        <v>46244</v>
      </c>
      <c r="B4595" s="24" t="s">
        <v>64</v>
      </c>
      <c r="C4595" s="24" t="s">
        <v>193</v>
      </c>
      <c r="D4595" s="33" t="n">
        <v>46</v>
      </c>
      <c r="E4595" s="24" t="n">
        <v>0</v>
      </c>
      <c r="F4595" s="37" t="n">
        <f aca="false">DATE(YEAR(A4595),MONTH(A4595),1)</f>
        <v>46235</v>
      </c>
      <c r="G4595" s="24" t="str">
        <f aca="false">INDEX(Products!$C$2:$C$49,MATCH(C4595,Products!$A$2:$A$49,0))</f>
        <v>Personal Care</v>
      </c>
      <c r="H4595" s="33" t="n">
        <f aca="false">D4595*INDEX(Products!$E$2:$E$49,MATCH(C4595,Products!$A$2:$A$49,0))</f>
        <v>10120</v>
      </c>
      <c r="I4595" s="33" t="n">
        <f aca="false">D4595*INDEX(Products!$D$2:$D$49,MATCH(C4595,Products!$A$2:$A$49,0))*(1+INDEX(Assumptions!$B$16:$B$20,MATCH(B4595,Assumptions!$A$16:$A$20,0)))</f>
        <v>7442.432</v>
      </c>
      <c r="J4595" s="33" t="n">
        <f aca="false">H4595-I4595</f>
        <v>2677.568</v>
      </c>
      <c r="K4595" s="33" t="n">
        <f aca="false">IF(OR(E4595=0,E4595&gt;=7),0,D4595/(7-E4595)*E4595*INDEX(Products!$E$2:$E$49,MATCH(C4595,Products!$A$2:$A$49,0)))</f>
        <v>0</v>
      </c>
    </row>
    <row r="4596" customFormat="false" ht="15" hidden="false" customHeight="false" outlineLevel="0" collapsed="false">
      <c r="A4596" s="36" t="n">
        <v>46251</v>
      </c>
      <c r="B4596" s="24" t="s">
        <v>64</v>
      </c>
      <c r="C4596" s="24" t="s">
        <v>193</v>
      </c>
      <c r="D4596" s="33" t="n">
        <v>55</v>
      </c>
      <c r="E4596" s="24" t="n">
        <v>0</v>
      </c>
      <c r="F4596" s="37" t="n">
        <f aca="false">DATE(YEAR(A4596),MONTH(A4596),1)</f>
        <v>46235</v>
      </c>
      <c r="G4596" s="24" t="str">
        <f aca="false">INDEX(Products!$C$2:$C$49,MATCH(C4596,Products!$A$2:$A$49,0))</f>
        <v>Personal Care</v>
      </c>
      <c r="H4596" s="33" t="n">
        <f aca="false">D4596*INDEX(Products!$E$2:$E$49,MATCH(C4596,Products!$A$2:$A$49,0))</f>
        <v>12100</v>
      </c>
      <c r="I4596" s="33" t="n">
        <f aca="false">D4596*INDEX(Products!$D$2:$D$49,MATCH(C4596,Products!$A$2:$A$49,0))*(1+INDEX(Assumptions!$B$16:$B$20,MATCH(B4596,Assumptions!$A$16:$A$20,0)))</f>
        <v>8898.56</v>
      </c>
      <c r="J4596" s="33" t="n">
        <f aca="false">H4596-I4596</f>
        <v>3201.44</v>
      </c>
      <c r="K4596" s="33" t="n">
        <f aca="false">IF(OR(E4596=0,E4596&gt;=7),0,D4596/(7-E4596)*E4596*INDEX(Products!$E$2:$E$49,MATCH(C4596,Products!$A$2:$A$49,0)))</f>
        <v>0</v>
      </c>
    </row>
    <row r="4597" customFormat="false" ht="15" hidden="false" customHeight="false" outlineLevel="0" collapsed="false">
      <c r="A4597" s="36" t="n">
        <v>46258</v>
      </c>
      <c r="B4597" s="24" t="s">
        <v>64</v>
      </c>
      <c r="C4597" s="24" t="s">
        <v>193</v>
      </c>
      <c r="D4597" s="33" t="n">
        <v>61</v>
      </c>
      <c r="E4597" s="24" t="n">
        <v>0</v>
      </c>
      <c r="F4597" s="37" t="n">
        <f aca="false">DATE(YEAR(A4597),MONTH(A4597),1)</f>
        <v>46235</v>
      </c>
      <c r="G4597" s="24" t="str">
        <f aca="false">INDEX(Products!$C$2:$C$49,MATCH(C4597,Products!$A$2:$A$49,0))</f>
        <v>Personal Care</v>
      </c>
      <c r="H4597" s="33" t="n">
        <f aca="false">D4597*INDEX(Products!$E$2:$E$49,MATCH(C4597,Products!$A$2:$A$49,0))</f>
        <v>13420</v>
      </c>
      <c r="I4597" s="33" t="n">
        <f aca="false">D4597*INDEX(Products!$D$2:$D$49,MATCH(C4597,Products!$A$2:$A$49,0))*(1+INDEX(Assumptions!$B$16:$B$20,MATCH(B4597,Assumptions!$A$16:$A$20,0)))</f>
        <v>9869.312</v>
      </c>
      <c r="J4597" s="33" t="n">
        <f aca="false">H4597-I4597</f>
        <v>3550.688</v>
      </c>
      <c r="K4597" s="33" t="n">
        <f aca="false">IF(OR(E4597=0,E4597&gt;=7),0,D4597/(7-E4597)*E4597*INDEX(Products!$E$2:$E$49,MATCH(C4597,Products!$A$2:$A$49,0)))</f>
        <v>0</v>
      </c>
    </row>
    <row r="4598" customFormat="false" ht="15" hidden="false" customHeight="false" outlineLevel="0" collapsed="false">
      <c r="A4598" s="36" t="n">
        <v>46265</v>
      </c>
      <c r="B4598" s="24" t="s">
        <v>64</v>
      </c>
      <c r="C4598" s="24" t="s">
        <v>193</v>
      </c>
      <c r="D4598" s="33" t="n">
        <v>61</v>
      </c>
      <c r="E4598" s="24" t="n">
        <v>0</v>
      </c>
      <c r="F4598" s="37" t="n">
        <f aca="false">DATE(YEAR(A4598),MONTH(A4598),1)</f>
        <v>46235</v>
      </c>
      <c r="G4598" s="24" t="str">
        <f aca="false">INDEX(Products!$C$2:$C$49,MATCH(C4598,Products!$A$2:$A$49,0))</f>
        <v>Personal Care</v>
      </c>
      <c r="H4598" s="33" t="n">
        <f aca="false">D4598*INDEX(Products!$E$2:$E$49,MATCH(C4598,Products!$A$2:$A$49,0))</f>
        <v>13420</v>
      </c>
      <c r="I4598" s="33" t="n">
        <f aca="false">D4598*INDEX(Products!$D$2:$D$49,MATCH(C4598,Products!$A$2:$A$49,0))*(1+INDEX(Assumptions!$B$16:$B$20,MATCH(B4598,Assumptions!$A$16:$A$20,0)))</f>
        <v>9869.312</v>
      </c>
      <c r="J4598" s="33" t="n">
        <f aca="false">H4598-I4598</f>
        <v>3550.688</v>
      </c>
      <c r="K4598" s="33" t="n">
        <f aca="false">IF(OR(E4598=0,E4598&gt;=7),0,D4598/(7-E4598)*E4598*INDEX(Products!$E$2:$E$49,MATCH(C4598,Products!$A$2:$A$49,0)))</f>
        <v>0</v>
      </c>
    </row>
    <row r="4599" customFormat="false" ht="15" hidden="false" customHeight="false" outlineLevel="0" collapsed="false">
      <c r="A4599" s="36" t="n">
        <v>46272</v>
      </c>
      <c r="B4599" s="24" t="s">
        <v>64</v>
      </c>
      <c r="C4599" s="24" t="s">
        <v>193</v>
      </c>
      <c r="D4599" s="33" t="n">
        <v>55</v>
      </c>
      <c r="E4599" s="24" t="n">
        <v>0</v>
      </c>
      <c r="F4599" s="37" t="n">
        <f aca="false">DATE(YEAR(A4599),MONTH(A4599),1)</f>
        <v>46266</v>
      </c>
      <c r="G4599" s="24" t="str">
        <f aca="false">INDEX(Products!$C$2:$C$49,MATCH(C4599,Products!$A$2:$A$49,0))</f>
        <v>Personal Care</v>
      </c>
      <c r="H4599" s="33" t="n">
        <f aca="false">D4599*INDEX(Products!$E$2:$E$49,MATCH(C4599,Products!$A$2:$A$49,0))</f>
        <v>12100</v>
      </c>
      <c r="I4599" s="33" t="n">
        <f aca="false">D4599*INDEX(Products!$D$2:$D$49,MATCH(C4599,Products!$A$2:$A$49,0))*(1+INDEX(Assumptions!$B$16:$B$20,MATCH(B4599,Assumptions!$A$16:$A$20,0)))</f>
        <v>8898.56</v>
      </c>
      <c r="J4599" s="33" t="n">
        <f aca="false">H4599-I4599</f>
        <v>3201.44</v>
      </c>
      <c r="K4599" s="33" t="n">
        <f aca="false">IF(OR(E4599=0,E4599&gt;=7),0,D4599/(7-E4599)*E4599*INDEX(Products!$E$2:$E$49,MATCH(C4599,Products!$A$2:$A$49,0)))</f>
        <v>0</v>
      </c>
    </row>
    <row r="4600" customFormat="false" ht="15" hidden="false" customHeight="false" outlineLevel="0" collapsed="false">
      <c r="A4600" s="36" t="n">
        <v>46279</v>
      </c>
      <c r="B4600" s="24" t="s">
        <v>64</v>
      </c>
      <c r="C4600" s="24" t="s">
        <v>193</v>
      </c>
      <c r="D4600" s="33" t="n">
        <v>64</v>
      </c>
      <c r="E4600" s="24" t="n">
        <v>0</v>
      </c>
      <c r="F4600" s="37" t="n">
        <f aca="false">DATE(YEAR(A4600),MONTH(A4600),1)</f>
        <v>46266</v>
      </c>
      <c r="G4600" s="24" t="str">
        <f aca="false">INDEX(Products!$C$2:$C$49,MATCH(C4600,Products!$A$2:$A$49,0))</f>
        <v>Personal Care</v>
      </c>
      <c r="H4600" s="33" t="n">
        <f aca="false">D4600*INDEX(Products!$E$2:$E$49,MATCH(C4600,Products!$A$2:$A$49,0))</f>
        <v>14080</v>
      </c>
      <c r="I4600" s="33" t="n">
        <f aca="false">D4600*INDEX(Products!$D$2:$D$49,MATCH(C4600,Products!$A$2:$A$49,0))*(1+INDEX(Assumptions!$B$16:$B$20,MATCH(B4600,Assumptions!$A$16:$A$20,0)))</f>
        <v>10354.688</v>
      </c>
      <c r="J4600" s="33" t="n">
        <f aca="false">H4600-I4600</f>
        <v>3725.312</v>
      </c>
      <c r="K4600" s="33" t="n">
        <f aca="false">IF(OR(E4600=0,E4600&gt;=7),0,D4600/(7-E4600)*E4600*INDEX(Products!$E$2:$E$49,MATCH(C4600,Products!$A$2:$A$49,0)))</f>
        <v>0</v>
      </c>
    </row>
    <row r="4601" customFormat="false" ht="15" hidden="false" customHeight="false" outlineLevel="0" collapsed="false">
      <c r="A4601" s="36" t="n">
        <v>46286</v>
      </c>
      <c r="B4601" s="24" t="s">
        <v>64</v>
      </c>
      <c r="C4601" s="24" t="s">
        <v>193</v>
      </c>
      <c r="D4601" s="33" t="n">
        <v>55</v>
      </c>
      <c r="E4601" s="24" t="n">
        <v>0</v>
      </c>
      <c r="F4601" s="37" t="n">
        <f aca="false">DATE(YEAR(A4601),MONTH(A4601),1)</f>
        <v>46266</v>
      </c>
      <c r="G4601" s="24" t="str">
        <f aca="false">INDEX(Products!$C$2:$C$49,MATCH(C4601,Products!$A$2:$A$49,0))</f>
        <v>Personal Care</v>
      </c>
      <c r="H4601" s="33" t="n">
        <f aca="false">D4601*INDEX(Products!$E$2:$E$49,MATCH(C4601,Products!$A$2:$A$49,0))</f>
        <v>12100</v>
      </c>
      <c r="I4601" s="33" t="n">
        <f aca="false">D4601*INDEX(Products!$D$2:$D$49,MATCH(C4601,Products!$A$2:$A$49,0))*(1+INDEX(Assumptions!$B$16:$B$20,MATCH(B4601,Assumptions!$A$16:$A$20,0)))</f>
        <v>8898.56</v>
      </c>
      <c r="J4601" s="33" t="n">
        <f aca="false">H4601-I4601</f>
        <v>3201.44</v>
      </c>
      <c r="K4601" s="33" t="n">
        <f aca="false">IF(OR(E4601=0,E4601&gt;=7),0,D4601/(7-E4601)*E4601*INDEX(Products!$E$2:$E$49,MATCH(C4601,Products!$A$2:$A$49,0)))</f>
        <v>0</v>
      </c>
    </row>
    <row r="4602" customFormat="false" ht="15" hidden="false" customHeight="false" outlineLevel="0" collapsed="false">
      <c r="A4602" s="36" t="n">
        <v>46118</v>
      </c>
      <c r="B4602" s="24" t="s">
        <v>64</v>
      </c>
      <c r="C4602" s="24" t="s">
        <v>195</v>
      </c>
      <c r="D4602" s="33" t="n">
        <v>220</v>
      </c>
      <c r="E4602" s="24" t="n">
        <v>0</v>
      </c>
      <c r="F4602" s="37" t="n">
        <f aca="false">DATE(YEAR(A4602),MONTH(A4602),1)</f>
        <v>46113</v>
      </c>
      <c r="G4602" s="24" t="str">
        <f aca="false">INDEX(Products!$C$2:$C$49,MATCH(C4602,Products!$A$2:$A$49,0))</f>
        <v>Snacks &amp; Confectionery</v>
      </c>
      <c r="H4602" s="33" t="n">
        <f aca="false">D4602*INDEX(Products!$E$2:$E$49,MATCH(C4602,Products!$A$2:$A$49,0))</f>
        <v>24200</v>
      </c>
      <c r="I4602" s="33" t="n">
        <f aca="false">D4602*INDEX(Products!$D$2:$D$49,MATCH(C4602,Products!$A$2:$A$49,0))*(1+INDEX(Assumptions!$B$16:$B$20,MATCH(B4602,Assumptions!$A$16:$A$20,0)))</f>
        <v>16670.72</v>
      </c>
      <c r="J4602" s="33" t="n">
        <f aca="false">H4602-I4602</f>
        <v>7529.28</v>
      </c>
      <c r="K4602" s="33" t="n">
        <f aca="false">IF(OR(E4602=0,E4602&gt;=7),0,D4602/(7-E4602)*E4602*INDEX(Products!$E$2:$E$49,MATCH(C4602,Products!$A$2:$A$49,0)))</f>
        <v>0</v>
      </c>
    </row>
    <row r="4603" customFormat="false" ht="15" hidden="false" customHeight="false" outlineLevel="0" collapsed="false">
      <c r="A4603" s="36" t="n">
        <v>46125</v>
      </c>
      <c r="B4603" s="24" t="s">
        <v>64</v>
      </c>
      <c r="C4603" s="24" t="s">
        <v>195</v>
      </c>
      <c r="D4603" s="33" t="n">
        <v>224</v>
      </c>
      <c r="E4603" s="24" t="n">
        <v>0</v>
      </c>
      <c r="F4603" s="37" t="n">
        <f aca="false">DATE(YEAR(A4603),MONTH(A4603),1)</f>
        <v>46113</v>
      </c>
      <c r="G4603" s="24" t="str">
        <f aca="false">INDEX(Products!$C$2:$C$49,MATCH(C4603,Products!$A$2:$A$49,0))</f>
        <v>Snacks &amp; Confectionery</v>
      </c>
      <c r="H4603" s="33" t="n">
        <f aca="false">D4603*INDEX(Products!$E$2:$E$49,MATCH(C4603,Products!$A$2:$A$49,0))</f>
        <v>24640</v>
      </c>
      <c r="I4603" s="33" t="n">
        <f aca="false">D4603*INDEX(Products!$D$2:$D$49,MATCH(C4603,Products!$A$2:$A$49,0))*(1+INDEX(Assumptions!$B$16:$B$20,MATCH(B4603,Assumptions!$A$16:$A$20,0)))</f>
        <v>16973.824</v>
      </c>
      <c r="J4603" s="33" t="n">
        <f aca="false">H4603-I4603</f>
        <v>7666.176</v>
      </c>
      <c r="K4603" s="33" t="n">
        <f aca="false">IF(OR(E4603=0,E4603&gt;=7),0,D4603/(7-E4603)*E4603*INDEX(Products!$E$2:$E$49,MATCH(C4603,Products!$A$2:$A$49,0)))</f>
        <v>0</v>
      </c>
    </row>
    <row r="4604" customFormat="false" ht="15" hidden="false" customHeight="false" outlineLevel="0" collapsed="false">
      <c r="A4604" s="36" t="n">
        <v>46132</v>
      </c>
      <c r="B4604" s="24" t="s">
        <v>64</v>
      </c>
      <c r="C4604" s="24" t="s">
        <v>195</v>
      </c>
      <c r="D4604" s="33" t="n">
        <v>245</v>
      </c>
      <c r="E4604" s="24" t="n">
        <v>0</v>
      </c>
      <c r="F4604" s="37" t="n">
        <f aca="false">DATE(YEAR(A4604),MONTH(A4604),1)</f>
        <v>46113</v>
      </c>
      <c r="G4604" s="24" t="str">
        <f aca="false">INDEX(Products!$C$2:$C$49,MATCH(C4604,Products!$A$2:$A$49,0))</f>
        <v>Snacks &amp; Confectionery</v>
      </c>
      <c r="H4604" s="33" t="n">
        <f aca="false">D4604*INDEX(Products!$E$2:$E$49,MATCH(C4604,Products!$A$2:$A$49,0))</f>
        <v>26950</v>
      </c>
      <c r="I4604" s="33" t="n">
        <f aca="false">D4604*INDEX(Products!$D$2:$D$49,MATCH(C4604,Products!$A$2:$A$49,0))*(1+INDEX(Assumptions!$B$16:$B$20,MATCH(B4604,Assumptions!$A$16:$A$20,0)))</f>
        <v>18565.12</v>
      </c>
      <c r="J4604" s="33" t="n">
        <f aca="false">H4604-I4604</f>
        <v>8384.88</v>
      </c>
      <c r="K4604" s="33" t="n">
        <f aca="false">IF(OR(E4604=0,E4604&gt;=7),0,D4604/(7-E4604)*E4604*INDEX(Products!$E$2:$E$49,MATCH(C4604,Products!$A$2:$A$49,0)))</f>
        <v>0</v>
      </c>
    </row>
    <row r="4605" customFormat="false" ht="15" hidden="false" customHeight="false" outlineLevel="0" collapsed="false">
      <c r="A4605" s="36" t="n">
        <v>46139</v>
      </c>
      <c r="B4605" s="24" t="s">
        <v>64</v>
      </c>
      <c r="C4605" s="24" t="s">
        <v>195</v>
      </c>
      <c r="D4605" s="33" t="n">
        <v>274</v>
      </c>
      <c r="E4605" s="24" t="n">
        <v>0</v>
      </c>
      <c r="F4605" s="37" t="n">
        <f aca="false">DATE(YEAR(A4605),MONTH(A4605),1)</f>
        <v>46113</v>
      </c>
      <c r="G4605" s="24" t="str">
        <f aca="false">INDEX(Products!$C$2:$C$49,MATCH(C4605,Products!$A$2:$A$49,0))</f>
        <v>Snacks &amp; Confectionery</v>
      </c>
      <c r="H4605" s="33" t="n">
        <f aca="false">D4605*INDEX(Products!$E$2:$E$49,MATCH(C4605,Products!$A$2:$A$49,0))</f>
        <v>30140</v>
      </c>
      <c r="I4605" s="33" t="n">
        <f aca="false">D4605*INDEX(Products!$D$2:$D$49,MATCH(C4605,Products!$A$2:$A$49,0))*(1+INDEX(Assumptions!$B$16:$B$20,MATCH(B4605,Assumptions!$A$16:$A$20,0)))</f>
        <v>20762.624</v>
      </c>
      <c r="J4605" s="33" t="n">
        <f aca="false">H4605-I4605</f>
        <v>9377.376</v>
      </c>
      <c r="K4605" s="33" t="n">
        <f aca="false">IF(OR(E4605=0,E4605&gt;=7),0,D4605/(7-E4605)*E4605*INDEX(Products!$E$2:$E$49,MATCH(C4605,Products!$A$2:$A$49,0)))</f>
        <v>0</v>
      </c>
    </row>
    <row r="4606" customFormat="false" ht="15" hidden="false" customHeight="false" outlineLevel="0" collapsed="false">
      <c r="A4606" s="36" t="n">
        <v>46146</v>
      </c>
      <c r="B4606" s="24" t="s">
        <v>64</v>
      </c>
      <c r="C4606" s="24" t="s">
        <v>195</v>
      </c>
      <c r="D4606" s="33" t="n">
        <v>212</v>
      </c>
      <c r="E4606" s="24" t="n">
        <v>0</v>
      </c>
      <c r="F4606" s="37" t="n">
        <f aca="false">DATE(YEAR(A4606),MONTH(A4606),1)</f>
        <v>46143</v>
      </c>
      <c r="G4606" s="24" t="str">
        <f aca="false">INDEX(Products!$C$2:$C$49,MATCH(C4606,Products!$A$2:$A$49,0))</f>
        <v>Snacks &amp; Confectionery</v>
      </c>
      <c r="H4606" s="33" t="n">
        <f aca="false">D4606*INDEX(Products!$E$2:$E$49,MATCH(C4606,Products!$A$2:$A$49,0))</f>
        <v>23320</v>
      </c>
      <c r="I4606" s="33" t="n">
        <f aca="false">D4606*INDEX(Products!$D$2:$D$49,MATCH(C4606,Products!$A$2:$A$49,0))*(1+INDEX(Assumptions!$B$16:$B$20,MATCH(B4606,Assumptions!$A$16:$A$20,0)))</f>
        <v>16064.512</v>
      </c>
      <c r="J4606" s="33" t="n">
        <f aca="false">H4606-I4606</f>
        <v>7255.488</v>
      </c>
      <c r="K4606" s="33" t="n">
        <f aca="false">IF(OR(E4606=0,E4606&gt;=7),0,D4606/(7-E4606)*E4606*INDEX(Products!$E$2:$E$49,MATCH(C4606,Products!$A$2:$A$49,0)))</f>
        <v>0</v>
      </c>
    </row>
    <row r="4607" customFormat="false" ht="15" hidden="false" customHeight="false" outlineLevel="0" collapsed="false">
      <c r="A4607" s="36" t="n">
        <v>46153</v>
      </c>
      <c r="B4607" s="24" t="s">
        <v>64</v>
      </c>
      <c r="C4607" s="24" t="s">
        <v>195</v>
      </c>
      <c r="D4607" s="33" t="n">
        <v>247</v>
      </c>
      <c r="E4607" s="24" t="n">
        <v>0</v>
      </c>
      <c r="F4607" s="37" t="n">
        <f aca="false">DATE(YEAR(A4607),MONTH(A4607),1)</f>
        <v>46143</v>
      </c>
      <c r="G4607" s="24" t="str">
        <f aca="false">INDEX(Products!$C$2:$C$49,MATCH(C4607,Products!$A$2:$A$49,0))</f>
        <v>Snacks &amp; Confectionery</v>
      </c>
      <c r="H4607" s="33" t="n">
        <f aca="false">D4607*INDEX(Products!$E$2:$E$49,MATCH(C4607,Products!$A$2:$A$49,0))</f>
        <v>27170</v>
      </c>
      <c r="I4607" s="33" t="n">
        <f aca="false">D4607*INDEX(Products!$D$2:$D$49,MATCH(C4607,Products!$A$2:$A$49,0))*(1+INDEX(Assumptions!$B$16:$B$20,MATCH(B4607,Assumptions!$A$16:$A$20,0)))</f>
        <v>18716.672</v>
      </c>
      <c r="J4607" s="33" t="n">
        <f aca="false">H4607-I4607</f>
        <v>8453.328</v>
      </c>
      <c r="K4607" s="33" t="n">
        <f aca="false">IF(OR(E4607=0,E4607&gt;=7),0,D4607/(7-E4607)*E4607*INDEX(Products!$E$2:$E$49,MATCH(C4607,Products!$A$2:$A$49,0)))</f>
        <v>0</v>
      </c>
    </row>
    <row r="4608" customFormat="false" ht="15" hidden="false" customHeight="false" outlineLevel="0" collapsed="false">
      <c r="A4608" s="36" t="n">
        <v>46160</v>
      </c>
      <c r="B4608" s="24" t="s">
        <v>64</v>
      </c>
      <c r="C4608" s="24" t="s">
        <v>195</v>
      </c>
      <c r="D4608" s="33" t="n">
        <v>254</v>
      </c>
      <c r="E4608" s="24" t="n">
        <v>0</v>
      </c>
      <c r="F4608" s="37" t="n">
        <f aca="false">DATE(YEAR(A4608),MONTH(A4608),1)</f>
        <v>46143</v>
      </c>
      <c r="G4608" s="24" t="str">
        <f aca="false">INDEX(Products!$C$2:$C$49,MATCH(C4608,Products!$A$2:$A$49,0))</f>
        <v>Snacks &amp; Confectionery</v>
      </c>
      <c r="H4608" s="33" t="n">
        <f aca="false">D4608*INDEX(Products!$E$2:$E$49,MATCH(C4608,Products!$A$2:$A$49,0))</f>
        <v>27940</v>
      </c>
      <c r="I4608" s="33" t="n">
        <f aca="false">D4608*INDEX(Products!$D$2:$D$49,MATCH(C4608,Products!$A$2:$A$49,0))*(1+INDEX(Assumptions!$B$16:$B$20,MATCH(B4608,Assumptions!$A$16:$A$20,0)))</f>
        <v>19247.104</v>
      </c>
      <c r="J4608" s="33" t="n">
        <f aca="false">H4608-I4608</f>
        <v>8692.896</v>
      </c>
      <c r="K4608" s="33" t="n">
        <f aca="false">IF(OR(E4608=0,E4608&gt;=7),0,D4608/(7-E4608)*E4608*INDEX(Products!$E$2:$E$49,MATCH(C4608,Products!$A$2:$A$49,0)))</f>
        <v>0</v>
      </c>
    </row>
    <row r="4609" customFormat="false" ht="15" hidden="false" customHeight="false" outlineLevel="0" collapsed="false">
      <c r="A4609" s="36" t="n">
        <v>46167</v>
      </c>
      <c r="B4609" s="24" t="s">
        <v>64</v>
      </c>
      <c r="C4609" s="24" t="s">
        <v>195</v>
      </c>
      <c r="D4609" s="33" t="n">
        <v>251</v>
      </c>
      <c r="E4609" s="24" t="n">
        <v>0</v>
      </c>
      <c r="F4609" s="37" t="n">
        <f aca="false">DATE(YEAR(A4609),MONTH(A4609),1)</f>
        <v>46143</v>
      </c>
      <c r="G4609" s="24" t="str">
        <f aca="false">INDEX(Products!$C$2:$C$49,MATCH(C4609,Products!$A$2:$A$49,0))</f>
        <v>Snacks &amp; Confectionery</v>
      </c>
      <c r="H4609" s="33" t="n">
        <f aca="false">D4609*INDEX(Products!$E$2:$E$49,MATCH(C4609,Products!$A$2:$A$49,0))</f>
        <v>27610</v>
      </c>
      <c r="I4609" s="33" t="n">
        <f aca="false">D4609*INDEX(Products!$D$2:$D$49,MATCH(C4609,Products!$A$2:$A$49,0))*(1+INDEX(Assumptions!$B$16:$B$20,MATCH(B4609,Assumptions!$A$16:$A$20,0)))</f>
        <v>19019.776</v>
      </c>
      <c r="J4609" s="33" t="n">
        <f aca="false">H4609-I4609</f>
        <v>8590.224</v>
      </c>
      <c r="K4609" s="33" t="n">
        <f aca="false">IF(OR(E4609=0,E4609&gt;=7),0,D4609/(7-E4609)*E4609*INDEX(Products!$E$2:$E$49,MATCH(C4609,Products!$A$2:$A$49,0)))</f>
        <v>0</v>
      </c>
    </row>
    <row r="4610" customFormat="false" ht="15" hidden="false" customHeight="false" outlineLevel="0" collapsed="false">
      <c r="A4610" s="36" t="n">
        <v>46174</v>
      </c>
      <c r="B4610" s="24" t="s">
        <v>64</v>
      </c>
      <c r="C4610" s="24" t="s">
        <v>195</v>
      </c>
      <c r="D4610" s="33" t="n">
        <v>220</v>
      </c>
      <c r="E4610" s="24" t="n">
        <v>0</v>
      </c>
      <c r="F4610" s="37" t="n">
        <f aca="false">DATE(YEAR(A4610),MONTH(A4610),1)</f>
        <v>46174</v>
      </c>
      <c r="G4610" s="24" t="str">
        <f aca="false">INDEX(Products!$C$2:$C$49,MATCH(C4610,Products!$A$2:$A$49,0))</f>
        <v>Snacks &amp; Confectionery</v>
      </c>
      <c r="H4610" s="33" t="n">
        <f aca="false">D4610*INDEX(Products!$E$2:$E$49,MATCH(C4610,Products!$A$2:$A$49,0))</f>
        <v>24200</v>
      </c>
      <c r="I4610" s="33" t="n">
        <f aca="false">D4610*INDEX(Products!$D$2:$D$49,MATCH(C4610,Products!$A$2:$A$49,0))*(1+INDEX(Assumptions!$B$16:$B$20,MATCH(B4610,Assumptions!$A$16:$A$20,0)))</f>
        <v>16670.72</v>
      </c>
      <c r="J4610" s="33" t="n">
        <f aca="false">H4610-I4610</f>
        <v>7529.28</v>
      </c>
      <c r="K4610" s="33" t="n">
        <f aca="false">IF(OR(E4610=0,E4610&gt;=7),0,D4610/(7-E4610)*E4610*INDEX(Products!$E$2:$E$49,MATCH(C4610,Products!$A$2:$A$49,0)))</f>
        <v>0</v>
      </c>
    </row>
    <row r="4611" customFormat="false" ht="15" hidden="false" customHeight="false" outlineLevel="0" collapsed="false">
      <c r="A4611" s="36" t="n">
        <v>46181</v>
      </c>
      <c r="B4611" s="24" t="s">
        <v>64</v>
      </c>
      <c r="C4611" s="24" t="s">
        <v>195</v>
      </c>
      <c r="D4611" s="33" t="n">
        <v>224</v>
      </c>
      <c r="E4611" s="24" t="n">
        <v>0</v>
      </c>
      <c r="F4611" s="37" t="n">
        <f aca="false">DATE(YEAR(A4611),MONTH(A4611),1)</f>
        <v>46174</v>
      </c>
      <c r="G4611" s="24" t="str">
        <f aca="false">INDEX(Products!$C$2:$C$49,MATCH(C4611,Products!$A$2:$A$49,0))</f>
        <v>Snacks &amp; Confectionery</v>
      </c>
      <c r="H4611" s="33" t="n">
        <f aca="false">D4611*INDEX(Products!$E$2:$E$49,MATCH(C4611,Products!$A$2:$A$49,0))</f>
        <v>24640</v>
      </c>
      <c r="I4611" s="33" t="n">
        <f aca="false">D4611*INDEX(Products!$D$2:$D$49,MATCH(C4611,Products!$A$2:$A$49,0))*(1+INDEX(Assumptions!$B$16:$B$20,MATCH(B4611,Assumptions!$A$16:$A$20,0)))</f>
        <v>16973.824</v>
      </c>
      <c r="J4611" s="33" t="n">
        <f aca="false">H4611-I4611</f>
        <v>7666.176</v>
      </c>
      <c r="K4611" s="33" t="n">
        <f aca="false">IF(OR(E4611=0,E4611&gt;=7),0,D4611/(7-E4611)*E4611*INDEX(Products!$E$2:$E$49,MATCH(C4611,Products!$A$2:$A$49,0)))</f>
        <v>0</v>
      </c>
    </row>
    <row r="4612" customFormat="false" ht="15" hidden="false" customHeight="false" outlineLevel="0" collapsed="false">
      <c r="A4612" s="36" t="n">
        <v>46188</v>
      </c>
      <c r="B4612" s="24" t="s">
        <v>64</v>
      </c>
      <c r="C4612" s="24" t="s">
        <v>195</v>
      </c>
      <c r="D4612" s="33" t="n">
        <v>205</v>
      </c>
      <c r="E4612" s="24" t="n">
        <v>0</v>
      </c>
      <c r="F4612" s="37" t="n">
        <f aca="false">DATE(YEAR(A4612),MONTH(A4612),1)</f>
        <v>46174</v>
      </c>
      <c r="G4612" s="24" t="str">
        <f aca="false">INDEX(Products!$C$2:$C$49,MATCH(C4612,Products!$A$2:$A$49,0))</f>
        <v>Snacks &amp; Confectionery</v>
      </c>
      <c r="H4612" s="33" t="n">
        <f aca="false">D4612*INDEX(Products!$E$2:$E$49,MATCH(C4612,Products!$A$2:$A$49,0))</f>
        <v>22550</v>
      </c>
      <c r="I4612" s="33" t="n">
        <f aca="false">D4612*INDEX(Products!$D$2:$D$49,MATCH(C4612,Products!$A$2:$A$49,0))*(1+INDEX(Assumptions!$B$16:$B$20,MATCH(B4612,Assumptions!$A$16:$A$20,0)))</f>
        <v>15534.08</v>
      </c>
      <c r="J4612" s="33" t="n">
        <f aca="false">H4612-I4612</f>
        <v>7015.92</v>
      </c>
      <c r="K4612" s="33" t="n">
        <f aca="false">IF(OR(E4612=0,E4612&gt;=7),0,D4612/(7-E4612)*E4612*INDEX(Products!$E$2:$E$49,MATCH(C4612,Products!$A$2:$A$49,0)))</f>
        <v>0</v>
      </c>
    </row>
    <row r="4613" customFormat="false" ht="15" hidden="false" customHeight="false" outlineLevel="0" collapsed="false">
      <c r="A4613" s="36" t="n">
        <v>46195</v>
      </c>
      <c r="B4613" s="24" t="s">
        <v>64</v>
      </c>
      <c r="C4613" s="24" t="s">
        <v>195</v>
      </c>
      <c r="D4613" s="33" t="n">
        <v>249</v>
      </c>
      <c r="E4613" s="24" t="n">
        <v>0</v>
      </c>
      <c r="F4613" s="37" t="n">
        <f aca="false">DATE(YEAR(A4613),MONTH(A4613),1)</f>
        <v>46174</v>
      </c>
      <c r="G4613" s="24" t="str">
        <f aca="false">INDEX(Products!$C$2:$C$49,MATCH(C4613,Products!$A$2:$A$49,0))</f>
        <v>Snacks &amp; Confectionery</v>
      </c>
      <c r="H4613" s="33" t="n">
        <f aca="false">D4613*INDEX(Products!$E$2:$E$49,MATCH(C4613,Products!$A$2:$A$49,0))</f>
        <v>27390</v>
      </c>
      <c r="I4613" s="33" t="n">
        <f aca="false">D4613*INDEX(Products!$D$2:$D$49,MATCH(C4613,Products!$A$2:$A$49,0))*(1+INDEX(Assumptions!$B$16:$B$20,MATCH(B4613,Assumptions!$A$16:$A$20,0)))</f>
        <v>18868.224</v>
      </c>
      <c r="J4613" s="33" t="n">
        <f aca="false">H4613-I4613</f>
        <v>8521.776</v>
      </c>
      <c r="K4613" s="33" t="n">
        <f aca="false">IF(OR(E4613=0,E4613&gt;=7),0,D4613/(7-E4613)*E4613*INDEX(Products!$E$2:$E$49,MATCH(C4613,Products!$A$2:$A$49,0)))</f>
        <v>0</v>
      </c>
    </row>
    <row r="4614" customFormat="false" ht="15" hidden="false" customHeight="false" outlineLevel="0" collapsed="false">
      <c r="A4614" s="36" t="n">
        <v>46202</v>
      </c>
      <c r="B4614" s="24" t="s">
        <v>64</v>
      </c>
      <c r="C4614" s="24" t="s">
        <v>195</v>
      </c>
      <c r="D4614" s="33" t="n">
        <v>245</v>
      </c>
      <c r="E4614" s="24" t="n">
        <v>0</v>
      </c>
      <c r="F4614" s="37" t="n">
        <f aca="false">DATE(YEAR(A4614),MONTH(A4614),1)</f>
        <v>46174</v>
      </c>
      <c r="G4614" s="24" t="str">
        <f aca="false">INDEX(Products!$C$2:$C$49,MATCH(C4614,Products!$A$2:$A$49,0))</f>
        <v>Snacks &amp; Confectionery</v>
      </c>
      <c r="H4614" s="33" t="n">
        <f aca="false">D4614*INDEX(Products!$E$2:$E$49,MATCH(C4614,Products!$A$2:$A$49,0))</f>
        <v>26950</v>
      </c>
      <c r="I4614" s="33" t="n">
        <f aca="false">D4614*INDEX(Products!$D$2:$D$49,MATCH(C4614,Products!$A$2:$A$49,0))*(1+INDEX(Assumptions!$B$16:$B$20,MATCH(B4614,Assumptions!$A$16:$A$20,0)))</f>
        <v>18565.12</v>
      </c>
      <c r="J4614" s="33" t="n">
        <f aca="false">H4614-I4614</f>
        <v>8384.88</v>
      </c>
      <c r="K4614" s="33" t="n">
        <f aca="false">IF(OR(E4614=0,E4614&gt;=7),0,D4614/(7-E4614)*E4614*INDEX(Products!$E$2:$E$49,MATCH(C4614,Products!$A$2:$A$49,0)))</f>
        <v>0</v>
      </c>
    </row>
    <row r="4615" customFormat="false" ht="15" hidden="false" customHeight="false" outlineLevel="0" collapsed="false">
      <c r="A4615" s="36" t="n">
        <v>46209</v>
      </c>
      <c r="B4615" s="24" t="s">
        <v>64</v>
      </c>
      <c r="C4615" s="24" t="s">
        <v>195</v>
      </c>
      <c r="D4615" s="33" t="n">
        <v>216</v>
      </c>
      <c r="E4615" s="24" t="n">
        <v>0</v>
      </c>
      <c r="F4615" s="37" t="n">
        <f aca="false">DATE(YEAR(A4615),MONTH(A4615),1)</f>
        <v>46204</v>
      </c>
      <c r="G4615" s="24" t="str">
        <f aca="false">INDEX(Products!$C$2:$C$49,MATCH(C4615,Products!$A$2:$A$49,0))</f>
        <v>Snacks &amp; Confectionery</v>
      </c>
      <c r="H4615" s="33" t="n">
        <f aca="false">D4615*INDEX(Products!$E$2:$E$49,MATCH(C4615,Products!$A$2:$A$49,0))</f>
        <v>23760</v>
      </c>
      <c r="I4615" s="33" t="n">
        <f aca="false">D4615*INDEX(Products!$D$2:$D$49,MATCH(C4615,Products!$A$2:$A$49,0))*(1+INDEX(Assumptions!$B$16:$B$20,MATCH(B4615,Assumptions!$A$16:$A$20,0)))</f>
        <v>16367.616</v>
      </c>
      <c r="J4615" s="33" t="n">
        <f aca="false">H4615-I4615</f>
        <v>7392.384</v>
      </c>
      <c r="K4615" s="33" t="n">
        <f aca="false">IF(OR(E4615=0,E4615&gt;=7),0,D4615/(7-E4615)*E4615*INDEX(Products!$E$2:$E$49,MATCH(C4615,Products!$A$2:$A$49,0)))</f>
        <v>0</v>
      </c>
    </row>
    <row r="4616" customFormat="false" ht="15" hidden="false" customHeight="false" outlineLevel="0" collapsed="false">
      <c r="A4616" s="36" t="n">
        <v>46216</v>
      </c>
      <c r="B4616" s="24" t="s">
        <v>64</v>
      </c>
      <c r="C4616" s="24" t="s">
        <v>195</v>
      </c>
      <c r="D4616" s="33" t="n">
        <v>199</v>
      </c>
      <c r="E4616" s="24" t="n">
        <v>0</v>
      </c>
      <c r="F4616" s="37" t="n">
        <f aca="false">DATE(YEAR(A4616),MONTH(A4616),1)</f>
        <v>46204</v>
      </c>
      <c r="G4616" s="24" t="str">
        <f aca="false">INDEX(Products!$C$2:$C$49,MATCH(C4616,Products!$A$2:$A$49,0))</f>
        <v>Snacks &amp; Confectionery</v>
      </c>
      <c r="H4616" s="33" t="n">
        <f aca="false">D4616*INDEX(Products!$E$2:$E$49,MATCH(C4616,Products!$A$2:$A$49,0))</f>
        <v>21890</v>
      </c>
      <c r="I4616" s="33" t="n">
        <f aca="false">D4616*INDEX(Products!$D$2:$D$49,MATCH(C4616,Products!$A$2:$A$49,0))*(1+INDEX(Assumptions!$B$16:$B$20,MATCH(B4616,Assumptions!$A$16:$A$20,0)))</f>
        <v>15079.424</v>
      </c>
      <c r="J4616" s="33" t="n">
        <f aca="false">H4616-I4616</f>
        <v>6810.576</v>
      </c>
      <c r="K4616" s="33" t="n">
        <f aca="false">IF(OR(E4616=0,E4616&gt;=7),0,D4616/(7-E4616)*E4616*INDEX(Products!$E$2:$E$49,MATCH(C4616,Products!$A$2:$A$49,0)))</f>
        <v>0</v>
      </c>
    </row>
    <row r="4617" customFormat="false" ht="15" hidden="false" customHeight="false" outlineLevel="0" collapsed="false">
      <c r="A4617" s="36" t="n">
        <v>46223</v>
      </c>
      <c r="B4617" s="24" t="s">
        <v>64</v>
      </c>
      <c r="C4617" s="24" t="s">
        <v>195</v>
      </c>
      <c r="D4617" s="33" t="n">
        <v>209</v>
      </c>
      <c r="E4617" s="24" t="n">
        <v>0</v>
      </c>
      <c r="F4617" s="37" t="n">
        <f aca="false">DATE(YEAR(A4617),MONTH(A4617),1)</f>
        <v>46204</v>
      </c>
      <c r="G4617" s="24" t="str">
        <f aca="false">INDEX(Products!$C$2:$C$49,MATCH(C4617,Products!$A$2:$A$49,0))</f>
        <v>Snacks &amp; Confectionery</v>
      </c>
      <c r="H4617" s="33" t="n">
        <f aca="false">D4617*INDEX(Products!$E$2:$E$49,MATCH(C4617,Products!$A$2:$A$49,0))</f>
        <v>22990</v>
      </c>
      <c r="I4617" s="33" t="n">
        <f aca="false">D4617*INDEX(Products!$D$2:$D$49,MATCH(C4617,Products!$A$2:$A$49,0))*(1+INDEX(Assumptions!$B$16:$B$20,MATCH(B4617,Assumptions!$A$16:$A$20,0)))</f>
        <v>15837.184</v>
      </c>
      <c r="J4617" s="33" t="n">
        <f aca="false">H4617-I4617</f>
        <v>7152.816</v>
      </c>
      <c r="K4617" s="33" t="n">
        <f aca="false">IF(OR(E4617=0,E4617&gt;=7),0,D4617/(7-E4617)*E4617*INDEX(Products!$E$2:$E$49,MATCH(C4617,Products!$A$2:$A$49,0)))</f>
        <v>0</v>
      </c>
    </row>
    <row r="4618" customFormat="false" ht="15" hidden="false" customHeight="false" outlineLevel="0" collapsed="false">
      <c r="A4618" s="36" t="n">
        <v>46230</v>
      </c>
      <c r="B4618" s="24" t="s">
        <v>64</v>
      </c>
      <c r="C4618" s="24" t="s">
        <v>195</v>
      </c>
      <c r="D4618" s="33" t="n">
        <v>254</v>
      </c>
      <c r="E4618" s="24" t="n">
        <v>0</v>
      </c>
      <c r="F4618" s="37" t="n">
        <f aca="false">DATE(YEAR(A4618),MONTH(A4618),1)</f>
        <v>46204</v>
      </c>
      <c r="G4618" s="24" t="str">
        <f aca="false">INDEX(Products!$C$2:$C$49,MATCH(C4618,Products!$A$2:$A$49,0))</f>
        <v>Snacks &amp; Confectionery</v>
      </c>
      <c r="H4618" s="33" t="n">
        <f aca="false">D4618*INDEX(Products!$E$2:$E$49,MATCH(C4618,Products!$A$2:$A$49,0))</f>
        <v>27940</v>
      </c>
      <c r="I4618" s="33" t="n">
        <f aca="false">D4618*INDEX(Products!$D$2:$D$49,MATCH(C4618,Products!$A$2:$A$49,0))*(1+INDEX(Assumptions!$B$16:$B$20,MATCH(B4618,Assumptions!$A$16:$A$20,0)))</f>
        <v>19247.104</v>
      </c>
      <c r="J4618" s="33" t="n">
        <f aca="false">H4618-I4618</f>
        <v>8692.896</v>
      </c>
      <c r="K4618" s="33" t="n">
        <f aca="false">IF(OR(E4618=0,E4618&gt;=7),0,D4618/(7-E4618)*E4618*INDEX(Products!$E$2:$E$49,MATCH(C4618,Products!$A$2:$A$49,0)))</f>
        <v>0</v>
      </c>
    </row>
    <row r="4619" customFormat="false" ht="15" hidden="false" customHeight="false" outlineLevel="0" collapsed="false">
      <c r="A4619" s="36" t="n">
        <v>46237</v>
      </c>
      <c r="B4619" s="24" t="s">
        <v>64</v>
      </c>
      <c r="C4619" s="24" t="s">
        <v>195</v>
      </c>
      <c r="D4619" s="33" t="n">
        <v>206</v>
      </c>
      <c r="E4619" s="24" t="n">
        <v>0</v>
      </c>
      <c r="F4619" s="37" t="n">
        <f aca="false">DATE(YEAR(A4619),MONTH(A4619),1)</f>
        <v>46235</v>
      </c>
      <c r="G4619" s="24" t="str">
        <f aca="false">INDEX(Products!$C$2:$C$49,MATCH(C4619,Products!$A$2:$A$49,0))</f>
        <v>Snacks &amp; Confectionery</v>
      </c>
      <c r="H4619" s="33" t="n">
        <f aca="false">D4619*INDEX(Products!$E$2:$E$49,MATCH(C4619,Products!$A$2:$A$49,0))</f>
        <v>22660</v>
      </c>
      <c r="I4619" s="33" t="n">
        <f aca="false">D4619*INDEX(Products!$D$2:$D$49,MATCH(C4619,Products!$A$2:$A$49,0))*(1+INDEX(Assumptions!$B$16:$B$20,MATCH(B4619,Assumptions!$A$16:$A$20,0)))</f>
        <v>15609.856</v>
      </c>
      <c r="J4619" s="33" t="n">
        <f aca="false">H4619-I4619</f>
        <v>7050.144</v>
      </c>
      <c r="K4619" s="33" t="n">
        <f aca="false">IF(OR(E4619=0,E4619&gt;=7),0,D4619/(7-E4619)*E4619*INDEX(Products!$E$2:$E$49,MATCH(C4619,Products!$A$2:$A$49,0)))</f>
        <v>0</v>
      </c>
    </row>
    <row r="4620" customFormat="false" ht="15" hidden="false" customHeight="false" outlineLevel="0" collapsed="false">
      <c r="A4620" s="36" t="n">
        <v>46244</v>
      </c>
      <c r="B4620" s="24" t="s">
        <v>64</v>
      </c>
      <c r="C4620" s="24" t="s">
        <v>195</v>
      </c>
      <c r="D4620" s="33" t="n">
        <v>179</v>
      </c>
      <c r="E4620" s="24" t="n">
        <v>0</v>
      </c>
      <c r="F4620" s="37" t="n">
        <f aca="false">DATE(YEAR(A4620),MONTH(A4620),1)</f>
        <v>46235</v>
      </c>
      <c r="G4620" s="24" t="str">
        <f aca="false">INDEX(Products!$C$2:$C$49,MATCH(C4620,Products!$A$2:$A$49,0))</f>
        <v>Snacks &amp; Confectionery</v>
      </c>
      <c r="H4620" s="33" t="n">
        <f aca="false">D4620*INDEX(Products!$E$2:$E$49,MATCH(C4620,Products!$A$2:$A$49,0))</f>
        <v>19690</v>
      </c>
      <c r="I4620" s="33" t="n">
        <f aca="false">D4620*INDEX(Products!$D$2:$D$49,MATCH(C4620,Products!$A$2:$A$49,0))*(1+INDEX(Assumptions!$B$16:$B$20,MATCH(B4620,Assumptions!$A$16:$A$20,0)))</f>
        <v>13563.904</v>
      </c>
      <c r="J4620" s="33" t="n">
        <f aca="false">H4620-I4620</f>
        <v>6126.096</v>
      </c>
      <c r="K4620" s="33" t="n">
        <f aca="false">IF(OR(E4620=0,E4620&gt;=7),0,D4620/(7-E4620)*E4620*INDEX(Products!$E$2:$E$49,MATCH(C4620,Products!$A$2:$A$49,0)))</f>
        <v>0</v>
      </c>
    </row>
    <row r="4621" customFormat="false" ht="15" hidden="false" customHeight="false" outlineLevel="0" collapsed="false">
      <c r="A4621" s="36" t="n">
        <v>46251</v>
      </c>
      <c r="B4621" s="24" t="s">
        <v>64</v>
      </c>
      <c r="C4621" s="24" t="s">
        <v>195</v>
      </c>
      <c r="D4621" s="33" t="n">
        <v>170</v>
      </c>
      <c r="E4621" s="24" t="n">
        <v>1</v>
      </c>
      <c r="F4621" s="37" t="n">
        <f aca="false">DATE(YEAR(A4621),MONTH(A4621),1)</f>
        <v>46235</v>
      </c>
      <c r="G4621" s="24" t="str">
        <f aca="false">INDEX(Products!$C$2:$C$49,MATCH(C4621,Products!$A$2:$A$49,0))</f>
        <v>Snacks &amp; Confectionery</v>
      </c>
      <c r="H4621" s="33" t="n">
        <f aca="false">D4621*INDEX(Products!$E$2:$E$49,MATCH(C4621,Products!$A$2:$A$49,0))</f>
        <v>18700</v>
      </c>
      <c r="I4621" s="33" t="n">
        <f aca="false">D4621*INDEX(Products!$D$2:$D$49,MATCH(C4621,Products!$A$2:$A$49,0))*(1+INDEX(Assumptions!$B$16:$B$20,MATCH(B4621,Assumptions!$A$16:$A$20,0)))</f>
        <v>12881.92</v>
      </c>
      <c r="J4621" s="33" t="n">
        <f aca="false">H4621-I4621</f>
        <v>5818.08</v>
      </c>
      <c r="K4621" s="33" t="n">
        <f aca="false">IF(OR(E4621=0,E4621&gt;=7),0,D4621/(7-E4621)*E4621*INDEX(Products!$E$2:$E$49,MATCH(C4621,Products!$A$2:$A$49,0)))</f>
        <v>3116.66666666667</v>
      </c>
    </row>
    <row r="4622" customFormat="false" ht="15" hidden="false" customHeight="false" outlineLevel="0" collapsed="false">
      <c r="A4622" s="36" t="n">
        <v>46258</v>
      </c>
      <c r="B4622" s="24" t="s">
        <v>64</v>
      </c>
      <c r="C4622" s="24" t="s">
        <v>195</v>
      </c>
      <c r="D4622" s="33" t="n">
        <v>246</v>
      </c>
      <c r="E4622" s="24" t="n">
        <v>0</v>
      </c>
      <c r="F4622" s="37" t="n">
        <f aca="false">DATE(YEAR(A4622),MONTH(A4622),1)</f>
        <v>46235</v>
      </c>
      <c r="G4622" s="24" t="str">
        <f aca="false">INDEX(Products!$C$2:$C$49,MATCH(C4622,Products!$A$2:$A$49,0))</f>
        <v>Snacks &amp; Confectionery</v>
      </c>
      <c r="H4622" s="33" t="n">
        <f aca="false">D4622*INDEX(Products!$E$2:$E$49,MATCH(C4622,Products!$A$2:$A$49,0))</f>
        <v>27060</v>
      </c>
      <c r="I4622" s="33" t="n">
        <f aca="false">D4622*INDEX(Products!$D$2:$D$49,MATCH(C4622,Products!$A$2:$A$49,0))*(1+INDEX(Assumptions!$B$16:$B$20,MATCH(B4622,Assumptions!$A$16:$A$20,0)))</f>
        <v>18640.896</v>
      </c>
      <c r="J4622" s="33" t="n">
        <f aca="false">H4622-I4622</f>
        <v>8419.104</v>
      </c>
      <c r="K4622" s="33" t="n">
        <f aca="false">IF(OR(E4622=0,E4622&gt;=7),0,D4622/(7-E4622)*E4622*INDEX(Products!$E$2:$E$49,MATCH(C4622,Products!$A$2:$A$49,0)))</f>
        <v>0</v>
      </c>
    </row>
    <row r="4623" customFormat="false" ht="15" hidden="false" customHeight="false" outlineLevel="0" collapsed="false">
      <c r="A4623" s="36" t="n">
        <v>46265</v>
      </c>
      <c r="B4623" s="24" t="s">
        <v>64</v>
      </c>
      <c r="C4623" s="24" t="s">
        <v>195</v>
      </c>
      <c r="D4623" s="33" t="n">
        <v>248</v>
      </c>
      <c r="E4623" s="24" t="n">
        <v>0</v>
      </c>
      <c r="F4623" s="37" t="n">
        <f aca="false">DATE(YEAR(A4623),MONTH(A4623),1)</f>
        <v>46235</v>
      </c>
      <c r="G4623" s="24" t="str">
        <f aca="false">INDEX(Products!$C$2:$C$49,MATCH(C4623,Products!$A$2:$A$49,0))</f>
        <v>Snacks &amp; Confectionery</v>
      </c>
      <c r="H4623" s="33" t="n">
        <f aca="false">D4623*INDEX(Products!$E$2:$E$49,MATCH(C4623,Products!$A$2:$A$49,0))</f>
        <v>27280</v>
      </c>
      <c r="I4623" s="33" t="n">
        <f aca="false">D4623*INDEX(Products!$D$2:$D$49,MATCH(C4623,Products!$A$2:$A$49,0))*(1+INDEX(Assumptions!$B$16:$B$20,MATCH(B4623,Assumptions!$A$16:$A$20,0)))</f>
        <v>18792.448</v>
      </c>
      <c r="J4623" s="33" t="n">
        <f aca="false">H4623-I4623</f>
        <v>8487.552</v>
      </c>
      <c r="K4623" s="33" t="n">
        <f aca="false">IF(OR(E4623=0,E4623&gt;=7),0,D4623/(7-E4623)*E4623*INDEX(Products!$E$2:$E$49,MATCH(C4623,Products!$A$2:$A$49,0)))</f>
        <v>0</v>
      </c>
    </row>
    <row r="4624" customFormat="false" ht="15" hidden="false" customHeight="false" outlineLevel="0" collapsed="false">
      <c r="A4624" s="36" t="n">
        <v>46272</v>
      </c>
      <c r="B4624" s="24" t="s">
        <v>64</v>
      </c>
      <c r="C4624" s="24" t="s">
        <v>195</v>
      </c>
      <c r="D4624" s="33" t="n">
        <v>221</v>
      </c>
      <c r="E4624" s="24" t="n">
        <v>0</v>
      </c>
      <c r="F4624" s="37" t="n">
        <f aca="false">DATE(YEAR(A4624),MONTH(A4624),1)</f>
        <v>46266</v>
      </c>
      <c r="G4624" s="24" t="str">
        <f aca="false">INDEX(Products!$C$2:$C$49,MATCH(C4624,Products!$A$2:$A$49,0))</f>
        <v>Snacks &amp; Confectionery</v>
      </c>
      <c r="H4624" s="33" t="n">
        <f aca="false">D4624*INDEX(Products!$E$2:$E$49,MATCH(C4624,Products!$A$2:$A$49,0))</f>
        <v>24310</v>
      </c>
      <c r="I4624" s="33" t="n">
        <f aca="false">D4624*INDEX(Products!$D$2:$D$49,MATCH(C4624,Products!$A$2:$A$49,0))*(1+INDEX(Assumptions!$B$16:$B$20,MATCH(B4624,Assumptions!$A$16:$A$20,0)))</f>
        <v>16746.496</v>
      </c>
      <c r="J4624" s="33" t="n">
        <f aca="false">H4624-I4624</f>
        <v>7563.504</v>
      </c>
      <c r="K4624" s="33" t="n">
        <f aca="false">IF(OR(E4624=0,E4624&gt;=7),0,D4624/(7-E4624)*E4624*INDEX(Products!$E$2:$E$49,MATCH(C4624,Products!$A$2:$A$49,0)))</f>
        <v>0</v>
      </c>
    </row>
    <row r="4625" customFormat="false" ht="15" hidden="false" customHeight="false" outlineLevel="0" collapsed="false">
      <c r="A4625" s="36" t="n">
        <v>46279</v>
      </c>
      <c r="B4625" s="24" t="s">
        <v>64</v>
      </c>
      <c r="C4625" s="24" t="s">
        <v>195</v>
      </c>
      <c r="D4625" s="33" t="n">
        <v>244</v>
      </c>
      <c r="E4625" s="24" t="n">
        <v>0</v>
      </c>
      <c r="F4625" s="37" t="n">
        <f aca="false">DATE(YEAR(A4625),MONTH(A4625),1)</f>
        <v>46266</v>
      </c>
      <c r="G4625" s="24" t="str">
        <f aca="false">INDEX(Products!$C$2:$C$49,MATCH(C4625,Products!$A$2:$A$49,0))</f>
        <v>Snacks &amp; Confectionery</v>
      </c>
      <c r="H4625" s="33" t="n">
        <f aca="false">D4625*INDEX(Products!$E$2:$E$49,MATCH(C4625,Products!$A$2:$A$49,0))</f>
        <v>26840</v>
      </c>
      <c r="I4625" s="33" t="n">
        <f aca="false">D4625*INDEX(Products!$D$2:$D$49,MATCH(C4625,Products!$A$2:$A$49,0))*(1+INDEX(Assumptions!$B$16:$B$20,MATCH(B4625,Assumptions!$A$16:$A$20,0)))</f>
        <v>18489.344</v>
      </c>
      <c r="J4625" s="33" t="n">
        <f aca="false">H4625-I4625</f>
        <v>8350.656</v>
      </c>
      <c r="K4625" s="33" t="n">
        <f aca="false">IF(OR(E4625=0,E4625&gt;=7),0,D4625/(7-E4625)*E4625*INDEX(Products!$E$2:$E$49,MATCH(C4625,Products!$A$2:$A$49,0)))</f>
        <v>0</v>
      </c>
    </row>
    <row r="4626" customFormat="false" ht="15" hidden="false" customHeight="false" outlineLevel="0" collapsed="false">
      <c r="A4626" s="36" t="n">
        <v>46286</v>
      </c>
      <c r="B4626" s="24" t="s">
        <v>64</v>
      </c>
      <c r="C4626" s="24" t="s">
        <v>195</v>
      </c>
      <c r="D4626" s="33" t="n">
        <v>238</v>
      </c>
      <c r="E4626" s="24" t="n">
        <v>0</v>
      </c>
      <c r="F4626" s="37" t="n">
        <f aca="false">DATE(YEAR(A4626),MONTH(A4626),1)</f>
        <v>46266</v>
      </c>
      <c r="G4626" s="24" t="str">
        <f aca="false">INDEX(Products!$C$2:$C$49,MATCH(C4626,Products!$A$2:$A$49,0))</f>
        <v>Snacks &amp; Confectionery</v>
      </c>
      <c r="H4626" s="33" t="n">
        <f aca="false">D4626*INDEX(Products!$E$2:$E$49,MATCH(C4626,Products!$A$2:$A$49,0))</f>
        <v>26180</v>
      </c>
      <c r="I4626" s="33" t="n">
        <f aca="false">D4626*INDEX(Products!$D$2:$D$49,MATCH(C4626,Products!$A$2:$A$49,0))*(1+INDEX(Assumptions!$B$16:$B$20,MATCH(B4626,Assumptions!$A$16:$A$20,0)))</f>
        <v>18034.688</v>
      </c>
      <c r="J4626" s="33" t="n">
        <f aca="false">H4626-I4626</f>
        <v>8145.312</v>
      </c>
      <c r="K4626" s="33" t="n">
        <f aca="false">IF(OR(E4626=0,E4626&gt;=7),0,D4626/(7-E4626)*E4626*INDEX(Products!$E$2:$E$49,MATCH(C4626,Products!$A$2:$A$49,0)))</f>
        <v>0</v>
      </c>
    </row>
    <row r="4627" customFormat="false" ht="15" hidden="false" customHeight="false" outlineLevel="0" collapsed="false">
      <c r="A4627" s="36" t="n">
        <v>46118</v>
      </c>
      <c r="B4627" s="24" t="s">
        <v>64</v>
      </c>
      <c r="C4627" s="24" t="s">
        <v>197</v>
      </c>
      <c r="D4627" s="33" t="n">
        <v>35</v>
      </c>
      <c r="E4627" s="24" t="n">
        <v>0</v>
      </c>
      <c r="F4627" s="37" t="n">
        <f aca="false">DATE(YEAR(A4627),MONTH(A4627),1)</f>
        <v>46113</v>
      </c>
      <c r="G4627" s="24" t="str">
        <f aca="false">INDEX(Products!$C$2:$C$49,MATCH(C4627,Products!$A$2:$A$49,0))</f>
        <v>Snacks &amp; Confectionery</v>
      </c>
      <c r="H4627" s="33" t="n">
        <f aca="false">D4627*INDEX(Products!$E$2:$E$49,MATCH(C4627,Products!$A$2:$A$49,0))</f>
        <v>3150</v>
      </c>
      <c r="I4627" s="33" t="n">
        <f aca="false">D4627*INDEX(Products!$D$2:$D$49,MATCH(C4627,Products!$A$2:$A$49,0))*(1+INDEX(Assumptions!$B$16:$B$20,MATCH(B4627,Assumptions!$A$16:$A$20,0)))</f>
        <v>2365.44</v>
      </c>
      <c r="J4627" s="33" t="n">
        <f aca="false">H4627-I4627</f>
        <v>784.56</v>
      </c>
      <c r="K4627" s="33" t="n">
        <f aca="false">IF(OR(E4627=0,E4627&gt;=7),0,D4627/(7-E4627)*E4627*INDEX(Products!$E$2:$E$49,MATCH(C4627,Products!$A$2:$A$49,0)))</f>
        <v>0</v>
      </c>
    </row>
    <row r="4628" customFormat="false" ht="15" hidden="false" customHeight="false" outlineLevel="0" collapsed="false">
      <c r="A4628" s="36" t="n">
        <v>46125</v>
      </c>
      <c r="B4628" s="24" t="s">
        <v>64</v>
      </c>
      <c r="C4628" s="24" t="s">
        <v>197</v>
      </c>
      <c r="D4628" s="33" t="n">
        <v>49</v>
      </c>
      <c r="E4628" s="24" t="n">
        <v>0</v>
      </c>
      <c r="F4628" s="37" t="n">
        <f aca="false">DATE(YEAR(A4628),MONTH(A4628),1)</f>
        <v>46113</v>
      </c>
      <c r="G4628" s="24" t="str">
        <f aca="false">INDEX(Products!$C$2:$C$49,MATCH(C4628,Products!$A$2:$A$49,0))</f>
        <v>Snacks &amp; Confectionery</v>
      </c>
      <c r="H4628" s="33" t="n">
        <f aca="false">D4628*INDEX(Products!$E$2:$E$49,MATCH(C4628,Products!$A$2:$A$49,0))</f>
        <v>4410</v>
      </c>
      <c r="I4628" s="33" t="n">
        <f aca="false">D4628*INDEX(Products!$D$2:$D$49,MATCH(C4628,Products!$A$2:$A$49,0))*(1+INDEX(Assumptions!$B$16:$B$20,MATCH(B4628,Assumptions!$A$16:$A$20,0)))</f>
        <v>3311.616</v>
      </c>
      <c r="J4628" s="33" t="n">
        <f aca="false">H4628-I4628</f>
        <v>1098.384</v>
      </c>
      <c r="K4628" s="33" t="n">
        <f aca="false">IF(OR(E4628=0,E4628&gt;=7),0,D4628/(7-E4628)*E4628*INDEX(Products!$E$2:$E$49,MATCH(C4628,Products!$A$2:$A$49,0)))</f>
        <v>0</v>
      </c>
    </row>
    <row r="4629" customFormat="false" ht="15" hidden="false" customHeight="false" outlineLevel="0" collapsed="false">
      <c r="A4629" s="36" t="n">
        <v>46132</v>
      </c>
      <c r="B4629" s="24" t="s">
        <v>64</v>
      </c>
      <c r="C4629" s="24" t="s">
        <v>197</v>
      </c>
      <c r="D4629" s="33" t="n">
        <v>30</v>
      </c>
      <c r="E4629" s="24" t="n">
        <v>0</v>
      </c>
      <c r="F4629" s="37" t="n">
        <f aca="false">DATE(YEAR(A4629),MONTH(A4629),1)</f>
        <v>46113</v>
      </c>
      <c r="G4629" s="24" t="str">
        <f aca="false">INDEX(Products!$C$2:$C$49,MATCH(C4629,Products!$A$2:$A$49,0))</f>
        <v>Snacks &amp; Confectionery</v>
      </c>
      <c r="H4629" s="33" t="n">
        <f aca="false">D4629*INDEX(Products!$E$2:$E$49,MATCH(C4629,Products!$A$2:$A$49,0))</f>
        <v>2700</v>
      </c>
      <c r="I4629" s="33" t="n">
        <f aca="false">D4629*INDEX(Products!$D$2:$D$49,MATCH(C4629,Products!$A$2:$A$49,0))*(1+INDEX(Assumptions!$B$16:$B$20,MATCH(B4629,Assumptions!$A$16:$A$20,0)))</f>
        <v>2027.52</v>
      </c>
      <c r="J4629" s="33" t="n">
        <f aca="false">H4629-I4629</f>
        <v>672.48</v>
      </c>
      <c r="K4629" s="33" t="n">
        <f aca="false">IF(OR(E4629=0,E4629&gt;=7),0,D4629/(7-E4629)*E4629*INDEX(Products!$E$2:$E$49,MATCH(C4629,Products!$A$2:$A$49,0)))</f>
        <v>0</v>
      </c>
    </row>
    <row r="4630" customFormat="false" ht="15" hidden="false" customHeight="false" outlineLevel="0" collapsed="false">
      <c r="A4630" s="36" t="n">
        <v>46139</v>
      </c>
      <c r="B4630" s="24" t="s">
        <v>64</v>
      </c>
      <c r="C4630" s="24" t="s">
        <v>197</v>
      </c>
      <c r="D4630" s="33" t="n">
        <v>35</v>
      </c>
      <c r="E4630" s="24" t="n">
        <v>0</v>
      </c>
      <c r="F4630" s="37" t="n">
        <f aca="false">DATE(YEAR(A4630),MONTH(A4630),1)</f>
        <v>46113</v>
      </c>
      <c r="G4630" s="24" t="str">
        <f aca="false">INDEX(Products!$C$2:$C$49,MATCH(C4630,Products!$A$2:$A$49,0))</f>
        <v>Snacks &amp; Confectionery</v>
      </c>
      <c r="H4630" s="33" t="n">
        <f aca="false">D4630*INDEX(Products!$E$2:$E$49,MATCH(C4630,Products!$A$2:$A$49,0))</f>
        <v>3150</v>
      </c>
      <c r="I4630" s="33" t="n">
        <f aca="false">D4630*INDEX(Products!$D$2:$D$49,MATCH(C4630,Products!$A$2:$A$49,0))*(1+INDEX(Assumptions!$B$16:$B$20,MATCH(B4630,Assumptions!$A$16:$A$20,0)))</f>
        <v>2365.44</v>
      </c>
      <c r="J4630" s="33" t="n">
        <f aca="false">H4630-I4630</f>
        <v>784.56</v>
      </c>
      <c r="K4630" s="33" t="n">
        <f aca="false">IF(OR(E4630=0,E4630&gt;=7),0,D4630/(7-E4630)*E4630*INDEX(Products!$E$2:$E$49,MATCH(C4630,Products!$A$2:$A$49,0)))</f>
        <v>0</v>
      </c>
    </row>
    <row r="4631" customFormat="false" ht="15" hidden="false" customHeight="false" outlineLevel="0" collapsed="false">
      <c r="A4631" s="36" t="n">
        <v>46146</v>
      </c>
      <c r="B4631" s="24" t="s">
        <v>64</v>
      </c>
      <c r="C4631" s="24" t="s">
        <v>197</v>
      </c>
      <c r="D4631" s="33" t="n">
        <v>30</v>
      </c>
      <c r="E4631" s="24" t="n">
        <v>0</v>
      </c>
      <c r="F4631" s="37" t="n">
        <f aca="false">DATE(YEAR(A4631),MONTH(A4631),1)</f>
        <v>46143</v>
      </c>
      <c r="G4631" s="24" t="str">
        <f aca="false">INDEX(Products!$C$2:$C$49,MATCH(C4631,Products!$A$2:$A$49,0))</f>
        <v>Snacks &amp; Confectionery</v>
      </c>
      <c r="H4631" s="33" t="n">
        <f aca="false">D4631*INDEX(Products!$E$2:$E$49,MATCH(C4631,Products!$A$2:$A$49,0))</f>
        <v>2700</v>
      </c>
      <c r="I4631" s="33" t="n">
        <f aca="false">D4631*INDEX(Products!$D$2:$D$49,MATCH(C4631,Products!$A$2:$A$49,0))*(1+INDEX(Assumptions!$B$16:$B$20,MATCH(B4631,Assumptions!$A$16:$A$20,0)))</f>
        <v>2027.52</v>
      </c>
      <c r="J4631" s="33" t="n">
        <f aca="false">H4631-I4631</f>
        <v>672.48</v>
      </c>
      <c r="K4631" s="33" t="n">
        <f aca="false">IF(OR(E4631=0,E4631&gt;=7),0,D4631/(7-E4631)*E4631*INDEX(Products!$E$2:$E$49,MATCH(C4631,Products!$A$2:$A$49,0)))</f>
        <v>0</v>
      </c>
    </row>
    <row r="4632" customFormat="false" ht="15" hidden="false" customHeight="false" outlineLevel="0" collapsed="false">
      <c r="A4632" s="36" t="n">
        <v>46153</v>
      </c>
      <c r="B4632" s="24" t="s">
        <v>64</v>
      </c>
      <c r="C4632" s="24" t="s">
        <v>197</v>
      </c>
      <c r="D4632" s="33" t="n">
        <v>40</v>
      </c>
      <c r="E4632" s="24" t="n">
        <v>0</v>
      </c>
      <c r="F4632" s="37" t="n">
        <f aca="false">DATE(YEAR(A4632),MONTH(A4632),1)</f>
        <v>46143</v>
      </c>
      <c r="G4632" s="24" t="str">
        <f aca="false">INDEX(Products!$C$2:$C$49,MATCH(C4632,Products!$A$2:$A$49,0))</f>
        <v>Snacks &amp; Confectionery</v>
      </c>
      <c r="H4632" s="33" t="n">
        <f aca="false">D4632*INDEX(Products!$E$2:$E$49,MATCH(C4632,Products!$A$2:$A$49,0))</f>
        <v>3600</v>
      </c>
      <c r="I4632" s="33" t="n">
        <f aca="false">D4632*INDEX(Products!$D$2:$D$49,MATCH(C4632,Products!$A$2:$A$49,0))*(1+INDEX(Assumptions!$B$16:$B$20,MATCH(B4632,Assumptions!$A$16:$A$20,0)))</f>
        <v>2703.36</v>
      </c>
      <c r="J4632" s="33" t="n">
        <f aca="false">H4632-I4632</f>
        <v>896.64</v>
      </c>
      <c r="K4632" s="33" t="n">
        <f aca="false">IF(OR(E4632=0,E4632&gt;=7),0,D4632/(7-E4632)*E4632*INDEX(Products!$E$2:$E$49,MATCH(C4632,Products!$A$2:$A$49,0)))</f>
        <v>0</v>
      </c>
    </row>
    <row r="4633" customFormat="false" ht="15" hidden="false" customHeight="false" outlineLevel="0" collapsed="false">
      <c r="A4633" s="36" t="n">
        <v>46160</v>
      </c>
      <c r="B4633" s="24" t="s">
        <v>64</v>
      </c>
      <c r="C4633" s="24" t="s">
        <v>197</v>
      </c>
      <c r="D4633" s="33" t="n">
        <v>32</v>
      </c>
      <c r="E4633" s="24" t="n">
        <v>0</v>
      </c>
      <c r="F4633" s="37" t="n">
        <f aca="false">DATE(YEAR(A4633),MONTH(A4633),1)</f>
        <v>46143</v>
      </c>
      <c r="G4633" s="24" t="str">
        <f aca="false">INDEX(Products!$C$2:$C$49,MATCH(C4633,Products!$A$2:$A$49,0))</f>
        <v>Snacks &amp; Confectionery</v>
      </c>
      <c r="H4633" s="33" t="n">
        <f aca="false">D4633*INDEX(Products!$E$2:$E$49,MATCH(C4633,Products!$A$2:$A$49,0))</f>
        <v>2880</v>
      </c>
      <c r="I4633" s="33" t="n">
        <f aca="false">D4633*INDEX(Products!$D$2:$D$49,MATCH(C4633,Products!$A$2:$A$49,0))*(1+INDEX(Assumptions!$B$16:$B$20,MATCH(B4633,Assumptions!$A$16:$A$20,0)))</f>
        <v>2162.688</v>
      </c>
      <c r="J4633" s="33" t="n">
        <f aca="false">H4633-I4633</f>
        <v>717.312</v>
      </c>
      <c r="K4633" s="33" t="n">
        <f aca="false">IF(OR(E4633=0,E4633&gt;=7),0,D4633/(7-E4633)*E4633*INDEX(Products!$E$2:$E$49,MATCH(C4633,Products!$A$2:$A$49,0)))</f>
        <v>0</v>
      </c>
    </row>
    <row r="4634" customFormat="false" ht="15" hidden="false" customHeight="false" outlineLevel="0" collapsed="false">
      <c r="A4634" s="36" t="n">
        <v>46167</v>
      </c>
      <c r="B4634" s="24" t="s">
        <v>64</v>
      </c>
      <c r="C4634" s="24" t="s">
        <v>197</v>
      </c>
      <c r="D4634" s="33" t="n">
        <v>11</v>
      </c>
      <c r="E4634" s="24" t="n">
        <v>5</v>
      </c>
      <c r="F4634" s="37" t="n">
        <f aca="false">DATE(YEAR(A4634),MONTH(A4634),1)</f>
        <v>46143</v>
      </c>
      <c r="G4634" s="24" t="str">
        <f aca="false">INDEX(Products!$C$2:$C$49,MATCH(C4634,Products!$A$2:$A$49,0))</f>
        <v>Snacks &amp; Confectionery</v>
      </c>
      <c r="H4634" s="33" t="n">
        <f aca="false">D4634*INDEX(Products!$E$2:$E$49,MATCH(C4634,Products!$A$2:$A$49,0))</f>
        <v>990</v>
      </c>
      <c r="I4634" s="33" t="n">
        <f aca="false">D4634*INDEX(Products!$D$2:$D$49,MATCH(C4634,Products!$A$2:$A$49,0))*(1+INDEX(Assumptions!$B$16:$B$20,MATCH(B4634,Assumptions!$A$16:$A$20,0)))</f>
        <v>743.424</v>
      </c>
      <c r="J4634" s="33" t="n">
        <f aca="false">H4634-I4634</f>
        <v>246.576</v>
      </c>
      <c r="K4634" s="33" t="n">
        <f aca="false">IF(OR(E4634=0,E4634&gt;=7),0,D4634/(7-E4634)*E4634*INDEX(Products!$E$2:$E$49,MATCH(C4634,Products!$A$2:$A$49,0)))</f>
        <v>2475</v>
      </c>
    </row>
    <row r="4635" customFormat="false" ht="15" hidden="false" customHeight="false" outlineLevel="0" collapsed="false">
      <c r="A4635" s="36" t="n">
        <v>46174</v>
      </c>
      <c r="B4635" s="24" t="s">
        <v>64</v>
      </c>
      <c r="C4635" s="24" t="s">
        <v>197</v>
      </c>
      <c r="D4635" s="33" t="n">
        <v>35</v>
      </c>
      <c r="E4635" s="24" t="n">
        <v>0</v>
      </c>
      <c r="F4635" s="37" t="n">
        <f aca="false">DATE(YEAR(A4635),MONTH(A4635),1)</f>
        <v>46174</v>
      </c>
      <c r="G4635" s="24" t="str">
        <f aca="false">INDEX(Products!$C$2:$C$49,MATCH(C4635,Products!$A$2:$A$49,0))</f>
        <v>Snacks &amp; Confectionery</v>
      </c>
      <c r="H4635" s="33" t="n">
        <f aca="false">D4635*INDEX(Products!$E$2:$E$49,MATCH(C4635,Products!$A$2:$A$49,0))</f>
        <v>3150</v>
      </c>
      <c r="I4635" s="33" t="n">
        <f aca="false">D4635*INDEX(Products!$D$2:$D$49,MATCH(C4635,Products!$A$2:$A$49,0))*(1+INDEX(Assumptions!$B$16:$B$20,MATCH(B4635,Assumptions!$A$16:$A$20,0)))</f>
        <v>2365.44</v>
      </c>
      <c r="J4635" s="33" t="n">
        <f aca="false">H4635-I4635</f>
        <v>784.56</v>
      </c>
      <c r="K4635" s="33" t="n">
        <f aca="false">IF(OR(E4635=0,E4635&gt;=7),0,D4635/(7-E4635)*E4635*INDEX(Products!$E$2:$E$49,MATCH(C4635,Products!$A$2:$A$49,0)))</f>
        <v>0</v>
      </c>
    </row>
    <row r="4636" customFormat="false" ht="15" hidden="false" customHeight="false" outlineLevel="0" collapsed="false">
      <c r="A4636" s="36" t="n">
        <v>46181</v>
      </c>
      <c r="B4636" s="24" t="s">
        <v>64</v>
      </c>
      <c r="C4636" s="24" t="s">
        <v>197</v>
      </c>
      <c r="D4636" s="33" t="n">
        <v>30</v>
      </c>
      <c r="E4636" s="24" t="n">
        <v>0</v>
      </c>
      <c r="F4636" s="37" t="n">
        <f aca="false">DATE(YEAR(A4636),MONTH(A4636),1)</f>
        <v>46174</v>
      </c>
      <c r="G4636" s="24" t="str">
        <f aca="false">INDEX(Products!$C$2:$C$49,MATCH(C4636,Products!$A$2:$A$49,0))</f>
        <v>Snacks &amp; Confectionery</v>
      </c>
      <c r="H4636" s="33" t="n">
        <f aca="false">D4636*INDEX(Products!$E$2:$E$49,MATCH(C4636,Products!$A$2:$A$49,0))</f>
        <v>2700</v>
      </c>
      <c r="I4636" s="33" t="n">
        <f aca="false">D4636*INDEX(Products!$D$2:$D$49,MATCH(C4636,Products!$A$2:$A$49,0))*(1+INDEX(Assumptions!$B$16:$B$20,MATCH(B4636,Assumptions!$A$16:$A$20,0)))</f>
        <v>2027.52</v>
      </c>
      <c r="J4636" s="33" t="n">
        <f aca="false">H4636-I4636</f>
        <v>672.48</v>
      </c>
      <c r="K4636" s="33" t="n">
        <f aca="false">IF(OR(E4636=0,E4636&gt;=7),0,D4636/(7-E4636)*E4636*INDEX(Products!$E$2:$E$49,MATCH(C4636,Products!$A$2:$A$49,0)))</f>
        <v>0</v>
      </c>
    </row>
    <row r="4637" customFormat="false" ht="15" hidden="false" customHeight="false" outlineLevel="0" collapsed="false">
      <c r="A4637" s="36" t="n">
        <v>46188</v>
      </c>
      <c r="B4637" s="24" t="s">
        <v>64</v>
      </c>
      <c r="C4637" s="24" t="s">
        <v>197</v>
      </c>
      <c r="D4637" s="33" t="n">
        <v>35</v>
      </c>
      <c r="E4637" s="24" t="n">
        <v>0</v>
      </c>
      <c r="F4637" s="37" t="n">
        <f aca="false">DATE(YEAR(A4637),MONTH(A4637),1)</f>
        <v>46174</v>
      </c>
      <c r="G4637" s="24" t="str">
        <f aca="false">INDEX(Products!$C$2:$C$49,MATCH(C4637,Products!$A$2:$A$49,0))</f>
        <v>Snacks &amp; Confectionery</v>
      </c>
      <c r="H4637" s="33" t="n">
        <f aca="false">D4637*INDEX(Products!$E$2:$E$49,MATCH(C4637,Products!$A$2:$A$49,0))</f>
        <v>3150</v>
      </c>
      <c r="I4637" s="33" t="n">
        <f aca="false">D4637*INDEX(Products!$D$2:$D$49,MATCH(C4637,Products!$A$2:$A$49,0))*(1+INDEX(Assumptions!$B$16:$B$20,MATCH(B4637,Assumptions!$A$16:$A$20,0)))</f>
        <v>2365.44</v>
      </c>
      <c r="J4637" s="33" t="n">
        <f aca="false">H4637-I4637</f>
        <v>784.56</v>
      </c>
      <c r="K4637" s="33" t="n">
        <f aca="false">IF(OR(E4637=0,E4637&gt;=7),0,D4637/(7-E4637)*E4637*INDEX(Products!$E$2:$E$49,MATCH(C4637,Products!$A$2:$A$49,0)))</f>
        <v>0</v>
      </c>
    </row>
    <row r="4638" customFormat="false" ht="15" hidden="false" customHeight="false" outlineLevel="0" collapsed="false">
      <c r="A4638" s="36" t="n">
        <v>46195</v>
      </c>
      <c r="B4638" s="24" t="s">
        <v>64</v>
      </c>
      <c r="C4638" s="24" t="s">
        <v>197</v>
      </c>
      <c r="D4638" s="33" t="n">
        <v>49</v>
      </c>
      <c r="E4638" s="24" t="n">
        <v>0</v>
      </c>
      <c r="F4638" s="37" t="n">
        <f aca="false">DATE(YEAR(A4638),MONTH(A4638),1)</f>
        <v>46174</v>
      </c>
      <c r="G4638" s="24" t="str">
        <f aca="false">INDEX(Products!$C$2:$C$49,MATCH(C4638,Products!$A$2:$A$49,0))</f>
        <v>Snacks &amp; Confectionery</v>
      </c>
      <c r="H4638" s="33" t="n">
        <f aca="false">D4638*INDEX(Products!$E$2:$E$49,MATCH(C4638,Products!$A$2:$A$49,0))</f>
        <v>4410</v>
      </c>
      <c r="I4638" s="33" t="n">
        <f aca="false">D4638*INDEX(Products!$D$2:$D$49,MATCH(C4638,Products!$A$2:$A$49,0))*(1+INDEX(Assumptions!$B$16:$B$20,MATCH(B4638,Assumptions!$A$16:$A$20,0)))</f>
        <v>3311.616</v>
      </c>
      <c r="J4638" s="33" t="n">
        <f aca="false">H4638-I4638</f>
        <v>1098.384</v>
      </c>
      <c r="K4638" s="33" t="n">
        <f aca="false">IF(OR(E4638=0,E4638&gt;=7),0,D4638/(7-E4638)*E4638*INDEX(Products!$E$2:$E$49,MATCH(C4638,Products!$A$2:$A$49,0)))</f>
        <v>0</v>
      </c>
    </row>
    <row r="4639" customFormat="false" ht="15" hidden="false" customHeight="false" outlineLevel="0" collapsed="false">
      <c r="A4639" s="36" t="n">
        <v>46202</v>
      </c>
      <c r="B4639" s="24" t="s">
        <v>64</v>
      </c>
      <c r="C4639" s="24" t="s">
        <v>197</v>
      </c>
      <c r="D4639" s="33" t="n">
        <v>32</v>
      </c>
      <c r="E4639" s="24" t="n">
        <v>0</v>
      </c>
      <c r="F4639" s="37" t="n">
        <f aca="false">DATE(YEAR(A4639),MONTH(A4639),1)</f>
        <v>46174</v>
      </c>
      <c r="G4639" s="24" t="str">
        <f aca="false">INDEX(Products!$C$2:$C$49,MATCH(C4639,Products!$A$2:$A$49,0))</f>
        <v>Snacks &amp; Confectionery</v>
      </c>
      <c r="H4639" s="33" t="n">
        <f aca="false">D4639*INDEX(Products!$E$2:$E$49,MATCH(C4639,Products!$A$2:$A$49,0))</f>
        <v>2880</v>
      </c>
      <c r="I4639" s="33" t="n">
        <f aca="false">D4639*INDEX(Products!$D$2:$D$49,MATCH(C4639,Products!$A$2:$A$49,0))*(1+INDEX(Assumptions!$B$16:$B$20,MATCH(B4639,Assumptions!$A$16:$A$20,0)))</f>
        <v>2162.688</v>
      </c>
      <c r="J4639" s="33" t="n">
        <f aca="false">H4639-I4639</f>
        <v>717.312</v>
      </c>
      <c r="K4639" s="33" t="n">
        <f aca="false">IF(OR(E4639=0,E4639&gt;=7),0,D4639/(7-E4639)*E4639*INDEX(Products!$E$2:$E$49,MATCH(C4639,Products!$A$2:$A$49,0)))</f>
        <v>0</v>
      </c>
    </row>
    <row r="4640" customFormat="false" ht="15" hidden="false" customHeight="false" outlineLevel="0" collapsed="false">
      <c r="A4640" s="36" t="n">
        <v>46209</v>
      </c>
      <c r="B4640" s="24" t="s">
        <v>64</v>
      </c>
      <c r="C4640" s="24" t="s">
        <v>197</v>
      </c>
      <c r="D4640" s="33" t="n">
        <v>36</v>
      </c>
      <c r="E4640" s="24" t="n">
        <v>0</v>
      </c>
      <c r="F4640" s="37" t="n">
        <f aca="false">DATE(YEAR(A4640),MONTH(A4640),1)</f>
        <v>46204</v>
      </c>
      <c r="G4640" s="24" t="str">
        <f aca="false">INDEX(Products!$C$2:$C$49,MATCH(C4640,Products!$A$2:$A$49,0))</f>
        <v>Snacks &amp; Confectionery</v>
      </c>
      <c r="H4640" s="33" t="n">
        <f aca="false">D4640*INDEX(Products!$E$2:$E$49,MATCH(C4640,Products!$A$2:$A$49,0))</f>
        <v>3240</v>
      </c>
      <c r="I4640" s="33" t="n">
        <f aca="false">D4640*INDEX(Products!$D$2:$D$49,MATCH(C4640,Products!$A$2:$A$49,0))*(1+INDEX(Assumptions!$B$16:$B$20,MATCH(B4640,Assumptions!$A$16:$A$20,0)))</f>
        <v>2433.024</v>
      </c>
      <c r="J4640" s="33" t="n">
        <f aca="false">H4640-I4640</f>
        <v>806.976</v>
      </c>
      <c r="K4640" s="33" t="n">
        <f aca="false">IF(OR(E4640=0,E4640&gt;=7),0,D4640/(7-E4640)*E4640*INDEX(Products!$E$2:$E$49,MATCH(C4640,Products!$A$2:$A$49,0)))</f>
        <v>0</v>
      </c>
    </row>
    <row r="4641" customFormat="false" ht="15" hidden="false" customHeight="false" outlineLevel="0" collapsed="false">
      <c r="A4641" s="36" t="n">
        <v>46216</v>
      </c>
      <c r="B4641" s="24" t="s">
        <v>64</v>
      </c>
      <c r="C4641" s="24" t="s">
        <v>197</v>
      </c>
      <c r="D4641" s="33" t="n">
        <v>33</v>
      </c>
      <c r="E4641" s="24" t="n">
        <v>0</v>
      </c>
      <c r="F4641" s="37" t="n">
        <f aca="false">DATE(YEAR(A4641),MONTH(A4641),1)</f>
        <v>46204</v>
      </c>
      <c r="G4641" s="24" t="str">
        <f aca="false">INDEX(Products!$C$2:$C$49,MATCH(C4641,Products!$A$2:$A$49,0))</f>
        <v>Snacks &amp; Confectionery</v>
      </c>
      <c r="H4641" s="33" t="n">
        <f aca="false">D4641*INDEX(Products!$E$2:$E$49,MATCH(C4641,Products!$A$2:$A$49,0))</f>
        <v>2970</v>
      </c>
      <c r="I4641" s="33" t="n">
        <f aca="false">D4641*INDEX(Products!$D$2:$D$49,MATCH(C4641,Products!$A$2:$A$49,0))*(1+INDEX(Assumptions!$B$16:$B$20,MATCH(B4641,Assumptions!$A$16:$A$20,0)))</f>
        <v>2230.272</v>
      </c>
      <c r="J4641" s="33" t="n">
        <f aca="false">H4641-I4641</f>
        <v>739.728</v>
      </c>
      <c r="K4641" s="33" t="n">
        <f aca="false">IF(OR(E4641=0,E4641&gt;=7),0,D4641/(7-E4641)*E4641*INDEX(Products!$E$2:$E$49,MATCH(C4641,Products!$A$2:$A$49,0)))</f>
        <v>0</v>
      </c>
    </row>
    <row r="4642" customFormat="false" ht="15" hidden="false" customHeight="false" outlineLevel="0" collapsed="false">
      <c r="A4642" s="36" t="n">
        <v>46223</v>
      </c>
      <c r="B4642" s="24" t="s">
        <v>64</v>
      </c>
      <c r="C4642" s="24" t="s">
        <v>197</v>
      </c>
      <c r="D4642" s="33" t="n">
        <v>30</v>
      </c>
      <c r="E4642" s="24" t="n">
        <v>0</v>
      </c>
      <c r="F4642" s="37" t="n">
        <f aca="false">DATE(YEAR(A4642),MONTH(A4642),1)</f>
        <v>46204</v>
      </c>
      <c r="G4642" s="24" t="str">
        <f aca="false">INDEX(Products!$C$2:$C$49,MATCH(C4642,Products!$A$2:$A$49,0))</f>
        <v>Snacks &amp; Confectionery</v>
      </c>
      <c r="H4642" s="33" t="n">
        <f aca="false">D4642*INDEX(Products!$E$2:$E$49,MATCH(C4642,Products!$A$2:$A$49,0))</f>
        <v>2700</v>
      </c>
      <c r="I4642" s="33" t="n">
        <f aca="false">D4642*INDEX(Products!$D$2:$D$49,MATCH(C4642,Products!$A$2:$A$49,0))*(1+INDEX(Assumptions!$B$16:$B$20,MATCH(B4642,Assumptions!$A$16:$A$20,0)))</f>
        <v>2027.52</v>
      </c>
      <c r="J4642" s="33" t="n">
        <f aca="false">H4642-I4642</f>
        <v>672.48</v>
      </c>
      <c r="K4642" s="33" t="n">
        <f aca="false">IF(OR(E4642=0,E4642&gt;=7),0,D4642/(7-E4642)*E4642*INDEX(Products!$E$2:$E$49,MATCH(C4642,Products!$A$2:$A$49,0)))</f>
        <v>0</v>
      </c>
    </row>
    <row r="4643" customFormat="false" ht="15" hidden="false" customHeight="false" outlineLevel="0" collapsed="false">
      <c r="A4643" s="36" t="n">
        <v>46230</v>
      </c>
      <c r="B4643" s="24" t="s">
        <v>64</v>
      </c>
      <c r="C4643" s="24" t="s">
        <v>197</v>
      </c>
      <c r="D4643" s="33" t="n">
        <v>35</v>
      </c>
      <c r="E4643" s="24" t="n">
        <v>0</v>
      </c>
      <c r="F4643" s="37" t="n">
        <f aca="false">DATE(YEAR(A4643),MONTH(A4643),1)</f>
        <v>46204</v>
      </c>
      <c r="G4643" s="24" t="str">
        <f aca="false">INDEX(Products!$C$2:$C$49,MATCH(C4643,Products!$A$2:$A$49,0))</f>
        <v>Snacks &amp; Confectionery</v>
      </c>
      <c r="H4643" s="33" t="n">
        <f aca="false">D4643*INDEX(Products!$E$2:$E$49,MATCH(C4643,Products!$A$2:$A$49,0))</f>
        <v>3150</v>
      </c>
      <c r="I4643" s="33" t="n">
        <f aca="false">D4643*INDEX(Products!$D$2:$D$49,MATCH(C4643,Products!$A$2:$A$49,0))*(1+INDEX(Assumptions!$B$16:$B$20,MATCH(B4643,Assumptions!$A$16:$A$20,0)))</f>
        <v>2365.44</v>
      </c>
      <c r="J4643" s="33" t="n">
        <f aca="false">H4643-I4643</f>
        <v>784.56</v>
      </c>
      <c r="K4643" s="33" t="n">
        <f aca="false">IF(OR(E4643=0,E4643&gt;=7),0,D4643/(7-E4643)*E4643*INDEX(Products!$E$2:$E$49,MATCH(C4643,Products!$A$2:$A$49,0)))</f>
        <v>0</v>
      </c>
    </row>
    <row r="4644" customFormat="false" ht="15" hidden="false" customHeight="false" outlineLevel="0" collapsed="false">
      <c r="A4644" s="36" t="n">
        <v>46237</v>
      </c>
      <c r="B4644" s="24" t="s">
        <v>64</v>
      </c>
      <c r="C4644" s="24" t="s">
        <v>197</v>
      </c>
      <c r="D4644" s="33" t="n">
        <v>41</v>
      </c>
      <c r="E4644" s="24" t="n">
        <v>0</v>
      </c>
      <c r="F4644" s="37" t="n">
        <f aca="false">DATE(YEAR(A4644),MONTH(A4644),1)</f>
        <v>46235</v>
      </c>
      <c r="G4644" s="24" t="str">
        <f aca="false">INDEX(Products!$C$2:$C$49,MATCH(C4644,Products!$A$2:$A$49,0))</f>
        <v>Snacks &amp; Confectionery</v>
      </c>
      <c r="H4644" s="33" t="n">
        <f aca="false">D4644*INDEX(Products!$E$2:$E$49,MATCH(C4644,Products!$A$2:$A$49,0))</f>
        <v>3690</v>
      </c>
      <c r="I4644" s="33" t="n">
        <f aca="false">D4644*INDEX(Products!$D$2:$D$49,MATCH(C4644,Products!$A$2:$A$49,0))*(1+INDEX(Assumptions!$B$16:$B$20,MATCH(B4644,Assumptions!$A$16:$A$20,0)))</f>
        <v>2770.944</v>
      </c>
      <c r="J4644" s="33" t="n">
        <f aca="false">H4644-I4644</f>
        <v>919.056</v>
      </c>
      <c r="K4644" s="33" t="n">
        <f aca="false">IF(OR(E4644=0,E4644&gt;=7),0,D4644/(7-E4644)*E4644*INDEX(Products!$E$2:$E$49,MATCH(C4644,Products!$A$2:$A$49,0)))</f>
        <v>0</v>
      </c>
    </row>
    <row r="4645" customFormat="false" ht="15" hidden="false" customHeight="false" outlineLevel="0" collapsed="false">
      <c r="A4645" s="36" t="n">
        <v>46244</v>
      </c>
      <c r="B4645" s="24" t="s">
        <v>64</v>
      </c>
      <c r="C4645" s="24" t="s">
        <v>197</v>
      </c>
      <c r="D4645" s="33" t="n">
        <v>26</v>
      </c>
      <c r="E4645" s="24" t="n">
        <v>0</v>
      </c>
      <c r="F4645" s="37" t="n">
        <f aca="false">DATE(YEAR(A4645),MONTH(A4645),1)</f>
        <v>46235</v>
      </c>
      <c r="G4645" s="24" t="str">
        <f aca="false">INDEX(Products!$C$2:$C$49,MATCH(C4645,Products!$A$2:$A$49,0))</f>
        <v>Snacks &amp; Confectionery</v>
      </c>
      <c r="H4645" s="33" t="n">
        <f aca="false">D4645*INDEX(Products!$E$2:$E$49,MATCH(C4645,Products!$A$2:$A$49,0))</f>
        <v>2340</v>
      </c>
      <c r="I4645" s="33" t="n">
        <f aca="false">D4645*INDEX(Products!$D$2:$D$49,MATCH(C4645,Products!$A$2:$A$49,0))*(1+INDEX(Assumptions!$B$16:$B$20,MATCH(B4645,Assumptions!$A$16:$A$20,0)))</f>
        <v>1757.184</v>
      </c>
      <c r="J4645" s="33" t="n">
        <f aca="false">H4645-I4645</f>
        <v>582.816</v>
      </c>
      <c r="K4645" s="33" t="n">
        <f aca="false">IF(OR(E4645=0,E4645&gt;=7),0,D4645/(7-E4645)*E4645*INDEX(Products!$E$2:$E$49,MATCH(C4645,Products!$A$2:$A$49,0)))</f>
        <v>0</v>
      </c>
    </row>
    <row r="4646" customFormat="false" ht="15" hidden="false" customHeight="false" outlineLevel="0" collapsed="false">
      <c r="A4646" s="36" t="n">
        <v>46251</v>
      </c>
      <c r="B4646" s="24" t="s">
        <v>64</v>
      </c>
      <c r="C4646" s="24" t="s">
        <v>197</v>
      </c>
      <c r="D4646" s="33" t="n">
        <v>28</v>
      </c>
      <c r="E4646" s="24" t="n">
        <v>0</v>
      </c>
      <c r="F4646" s="37" t="n">
        <f aca="false">DATE(YEAR(A4646),MONTH(A4646),1)</f>
        <v>46235</v>
      </c>
      <c r="G4646" s="24" t="str">
        <f aca="false">INDEX(Products!$C$2:$C$49,MATCH(C4646,Products!$A$2:$A$49,0))</f>
        <v>Snacks &amp; Confectionery</v>
      </c>
      <c r="H4646" s="33" t="n">
        <f aca="false">D4646*INDEX(Products!$E$2:$E$49,MATCH(C4646,Products!$A$2:$A$49,0))</f>
        <v>2520</v>
      </c>
      <c r="I4646" s="33" t="n">
        <f aca="false">D4646*INDEX(Products!$D$2:$D$49,MATCH(C4646,Products!$A$2:$A$49,0))*(1+INDEX(Assumptions!$B$16:$B$20,MATCH(B4646,Assumptions!$A$16:$A$20,0)))</f>
        <v>1892.352</v>
      </c>
      <c r="J4646" s="33" t="n">
        <f aca="false">H4646-I4646</f>
        <v>627.648</v>
      </c>
      <c r="K4646" s="33" t="n">
        <f aca="false">IF(OR(E4646=0,E4646&gt;=7),0,D4646/(7-E4646)*E4646*INDEX(Products!$E$2:$E$49,MATCH(C4646,Products!$A$2:$A$49,0)))</f>
        <v>0</v>
      </c>
    </row>
    <row r="4647" customFormat="false" ht="15" hidden="false" customHeight="false" outlineLevel="0" collapsed="false">
      <c r="A4647" s="36" t="n">
        <v>46258</v>
      </c>
      <c r="B4647" s="24" t="s">
        <v>64</v>
      </c>
      <c r="C4647" s="24" t="s">
        <v>197</v>
      </c>
      <c r="D4647" s="33" t="n">
        <v>34</v>
      </c>
      <c r="E4647" s="24" t="n">
        <v>0</v>
      </c>
      <c r="F4647" s="37" t="n">
        <f aca="false">DATE(YEAR(A4647),MONTH(A4647),1)</f>
        <v>46235</v>
      </c>
      <c r="G4647" s="24" t="str">
        <f aca="false">INDEX(Products!$C$2:$C$49,MATCH(C4647,Products!$A$2:$A$49,0))</f>
        <v>Snacks &amp; Confectionery</v>
      </c>
      <c r="H4647" s="33" t="n">
        <f aca="false">D4647*INDEX(Products!$E$2:$E$49,MATCH(C4647,Products!$A$2:$A$49,0))</f>
        <v>3060</v>
      </c>
      <c r="I4647" s="33" t="n">
        <f aca="false">D4647*INDEX(Products!$D$2:$D$49,MATCH(C4647,Products!$A$2:$A$49,0))*(1+INDEX(Assumptions!$B$16:$B$20,MATCH(B4647,Assumptions!$A$16:$A$20,0)))</f>
        <v>2297.856</v>
      </c>
      <c r="J4647" s="33" t="n">
        <f aca="false">H4647-I4647</f>
        <v>762.144</v>
      </c>
      <c r="K4647" s="33" t="n">
        <f aca="false">IF(OR(E4647=0,E4647&gt;=7),0,D4647/(7-E4647)*E4647*INDEX(Products!$E$2:$E$49,MATCH(C4647,Products!$A$2:$A$49,0)))</f>
        <v>0</v>
      </c>
    </row>
    <row r="4648" customFormat="false" ht="15" hidden="false" customHeight="false" outlineLevel="0" collapsed="false">
      <c r="A4648" s="36" t="n">
        <v>46265</v>
      </c>
      <c r="B4648" s="24" t="s">
        <v>64</v>
      </c>
      <c r="C4648" s="24" t="s">
        <v>197</v>
      </c>
      <c r="D4648" s="33" t="n">
        <v>31</v>
      </c>
      <c r="E4648" s="24" t="n">
        <v>0</v>
      </c>
      <c r="F4648" s="37" t="n">
        <f aca="false">DATE(YEAR(A4648),MONTH(A4648),1)</f>
        <v>46235</v>
      </c>
      <c r="G4648" s="24" t="str">
        <f aca="false">INDEX(Products!$C$2:$C$49,MATCH(C4648,Products!$A$2:$A$49,0))</f>
        <v>Snacks &amp; Confectionery</v>
      </c>
      <c r="H4648" s="33" t="n">
        <f aca="false">D4648*INDEX(Products!$E$2:$E$49,MATCH(C4648,Products!$A$2:$A$49,0))</f>
        <v>2790</v>
      </c>
      <c r="I4648" s="33" t="n">
        <f aca="false">D4648*INDEX(Products!$D$2:$D$49,MATCH(C4648,Products!$A$2:$A$49,0))*(1+INDEX(Assumptions!$B$16:$B$20,MATCH(B4648,Assumptions!$A$16:$A$20,0)))</f>
        <v>2095.104</v>
      </c>
      <c r="J4648" s="33" t="n">
        <f aca="false">H4648-I4648</f>
        <v>694.896</v>
      </c>
      <c r="K4648" s="33" t="n">
        <f aca="false">IF(OR(E4648=0,E4648&gt;=7),0,D4648/(7-E4648)*E4648*INDEX(Products!$E$2:$E$49,MATCH(C4648,Products!$A$2:$A$49,0)))</f>
        <v>0</v>
      </c>
    </row>
    <row r="4649" customFormat="false" ht="15" hidden="false" customHeight="false" outlineLevel="0" collapsed="false">
      <c r="A4649" s="36" t="n">
        <v>46272</v>
      </c>
      <c r="B4649" s="24" t="s">
        <v>64</v>
      </c>
      <c r="C4649" s="24" t="s">
        <v>197</v>
      </c>
      <c r="D4649" s="33" t="n">
        <v>44</v>
      </c>
      <c r="E4649" s="24" t="n">
        <v>0</v>
      </c>
      <c r="F4649" s="37" t="n">
        <f aca="false">DATE(YEAR(A4649),MONTH(A4649),1)</f>
        <v>46266</v>
      </c>
      <c r="G4649" s="24" t="str">
        <f aca="false">INDEX(Products!$C$2:$C$49,MATCH(C4649,Products!$A$2:$A$49,0))</f>
        <v>Snacks &amp; Confectionery</v>
      </c>
      <c r="H4649" s="33" t="n">
        <f aca="false">D4649*INDEX(Products!$E$2:$E$49,MATCH(C4649,Products!$A$2:$A$49,0))</f>
        <v>3960</v>
      </c>
      <c r="I4649" s="33" t="n">
        <f aca="false">D4649*INDEX(Products!$D$2:$D$49,MATCH(C4649,Products!$A$2:$A$49,0))*(1+INDEX(Assumptions!$B$16:$B$20,MATCH(B4649,Assumptions!$A$16:$A$20,0)))</f>
        <v>2973.696</v>
      </c>
      <c r="J4649" s="33" t="n">
        <f aca="false">H4649-I4649</f>
        <v>986.304</v>
      </c>
      <c r="K4649" s="33" t="n">
        <f aca="false">IF(OR(E4649=0,E4649&gt;=7),0,D4649/(7-E4649)*E4649*INDEX(Products!$E$2:$E$49,MATCH(C4649,Products!$A$2:$A$49,0)))</f>
        <v>0</v>
      </c>
    </row>
    <row r="4650" customFormat="false" ht="15" hidden="false" customHeight="false" outlineLevel="0" collapsed="false">
      <c r="A4650" s="36" t="n">
        <v>46279</v>
      </c>
      <c r="B4650" s="24" t="s">
        <v>64</v>
      </c>
      <c r="C4650" s="24" t="s">
        <v>197</v>
      </c>
      <c r="D4650" s="33" t="n">
        <v>35</v>
      </c>
      <c r="E4650" s="24" t="n">
        <v>0</v>
      </c>
      <c r="F4650" s="37" t="n">
        <f aca="false">DATE(YEAR(A4650),MONTH(A4650),1)</f>
        <v>46266</v>
      </c>
      <c r="G4650" s="24" t="str">
        <f aca="false">INDEX(Products!$C$2:$C$49,MATCH(C4650,Products!$A$2:$A$49,0))</f>
        <v>Snacks &amp; Confectionery</v>
      </c>
      <c r="H4650" s="33" t="n">
        <f aca="false">D4650*INDEX(Products!$E$2:$E$49,MATCH(C4650,Products!$A$2:$A$49,0))</f>
        <v>3150</v>
      </c>
      <c r="I4650" s="33" t="n">
        <f aca="false">D4650*INDEX(Products!$D$2:$D$49,MATCH(C4650,Products!$A$2:$A$49,0))*(1+INDEX(Assumptions!$B$16:$B$20,MATCH(B4650,Assumptions!$A$16:$A$20,0)))</f>
        <v>2365.44</v>
      </c>
      <c r="J4650" s="33" t="n">
        <f aca="false">H4650-I4650</f>
        <v>784.56</v>
      </c>
      <c r="K4650" s="33" t="n">
        <f aca="false">IF(OR(E4650=0,E4650&gt;=7),0,D4650/(7-E4650)*E4650*INDEX(Products!$E$2:$E$49,MATCH(C4650,Products!$A$2:$A$49,0)))</f>
        <v>0</v>
      </c>
    </row>
    <row r="4651" customFormat="false" ht="15" hidden="false" customHeight="false" outlineLevel="0" collapsed="false">
      <c r="A4651" s="36" t="n">
        <v>46286</v>
      </c>
      <c r="B4651" s="24" t="s">
        <v>64</v>
      </c>
      <c r="C4651" s="24" t="s">
        <v>197</v>
      </c>
      <c r="D4651" s="33" t="n">
        <v>39</v>
      </c>
      <c r="E4651" s="24" t="n">
        <v>0</v>
      </c>
      <c r="F4651" s="37" t="n">
        <f aca="false">DATE(YEAR(A4651),MONTH(A4651),1)</f>
        <v>46266</v>
      </c>
      <c r="G4651" s="24" t="str">
        <f aca="false">INDEX(Products!$C$2:$C$49,MATCH(C4651,Products!$A$2:$A$49,0))</f>
        <v>Snacks &amp; Confectionery</v>
      </c>
      <c r="H4651" s="33" t="n">
        <f aca="false">D4651*INDEX(Products!$E$2:$E$49,MATCH(C4651,Products!$A$2:$A$49,0))</f>
        <v>3510</v>
      </c>
      <c r="I4651" s="33" t="n">
        <f aca="false">D4651*INDEX(Products!$D$2:$D$49,MATCH(C4651,Products!$A$2:$A$49,0))*(1+INDEX(Assumptions!$B$16:$B$20,MATCH(B4651,Assumptions!$A$16:$A$20,0)))</f>
        <v>2635.776</v>
      </c>
      <c r="J4651" s="33" t="n">
        <f aca="false">H4651-I4651</f>
        <v>874.224</v>
      </c>
      <c r="K4651" s="33" t="n">
        <f aca="false">IF(OR(E4651=0,E4651&gt;=7),0,D4651/(7-E4651)*E4651*INDEX(Products!$E$2:$E$49,MATCH(C4651,Products!$A$2:$A$49,0)))</f>
        <v>0</v>
      </c>
    </row>
    <row r="4652" customFormat="false" ht="15" hidden="false" customHeight="false" outlineLevel="0" collapsed="false">
      <c r="A4652" s="36" t="n">
        <v>46118</v>
      </c>
      <c r="B4652" s="24" t="s">
        <v>64</v>
      </c>
      <c r="C4652" s="24" t="s">
        <v>199</v>
      </c>
      <c r="D4652" s="33" t="n">
        <v>35</v>
      </c>
      <c r="E4652" s="24" t="n">
        <v>0</v>
      </c>
      <c r="F4652" s="37" t="n">
        <f aca="false">DATE(YEAR(A4652),MONTH(A4652),1)</f>
        <v>46113</v>
      </c>
      <c r="G4652" s="24" t="str">
        <f aca="false">INDEX(Products!$C$2:$C$49,MATCH(C4652,Products!$A$2:$A$49,0))</f>
        <v>Snacks &amp; Confectionery</v>
      </c>
      <c r="H4652" s="33" t="n">
        <f aca="false">D4652*INDEX(Products!$E$2:$E$49,MATCH(C4652,Products!$A$2:$A$49,0))</f>
        <v>5250</v>
      </c>
      <c r="I4652" s="33" t="n">
        <f aca="false">D4652*INDEX(Products!$D$2:$D$49,MATCH(C4652,Products!$A$2:$A$49,0))*(1+INDEX(Assumptions!$B$16:$B$20,MATCH(B4652,Assumptions!$A$16:$A$20,0)))</f>
        <v>3978.24</v>
      </c>
      <c r="J4652" s="33" t="n">
        <f aca="false">H4652-I4652</f>
        <v>1271.76</v>
      </c>
      <c r="K4652" s="33" t="n">
        <f aca="false">IF(OR(E4652=0,E4652&gt;=7),0,D4652/(7-E4652)*E4652*INDEX(Products!$E$2:$E$49,MATCH(C4652,Products!$A$2:$A$49,0)))</f>
        <v>0</v>
      </c>
    </row>
    <row r="4653" customFormat="false" ht="15" hidden="false" customHeight="false" outlineLevel="0" collapsed="false">
      <c r="A4653" s="36" t="n">
        <v>46125</v>
      </c>
      <c r="B4653" s="24" t="s">
        <v>64</v>
      </c>
      <c r="C4653" s="24" t="s">
        <v>199</v>
      </c>
      <c r="D4653" s="33" t="n">
        <v>31</v>
      </c>
      <c r="E4653" s="24" t="n">
        <v>0</v>
      </c>
      <c r="F4653" s="37" t="n">
        <f aca="false">DATE(YEAR(A4653),MONTH(A4653),1)</f>
        <v>46113</v>
      </c>
      <c r="G4653" s="24" t="str">
        <f aca="false">INDEX(Products!$C$2:$C$49,MATCH(C4653,Products!$A$2:$A$49,0))</f>
        <v>Snacks &amp; Confectionery</v>
      </c>
      <c r="H4653" s="33" t="n">
        <f aca="false">D4653*INDEX(Products!$E$2:$E$49,MATCH(C4653,Products!$A$2:$A$49,0))</f>
        <v>4650</v>
      </c>
      <c r="I4653" s="33" t="n">
        <f aca="false">D4653*INDEX(Products!$D$2:$D$49,MATCH(C4653,Products!$A$2:$A$49,0))*(1+INDEX(Assumptions!$B$16:$B$20,MATCH(B4653,Assumptions!$A$16:$A$20,0)))</f>
        <v>3523.584</v>
      </c>
      <c r="J4653" s="33" t="n">
        <f aca="false">H4653-I4653</f>
        <v>1126.416</v>
      </c>
      <c r="K4653" s="33" t="n">
        <f aca="false">IF(OR(E4653=0,E4653&gt;=7),0,D4653/(7-E4653)*E4653*INDEX(Products!$E$2:$E$49,MATCH(C4653,Products!$A$2:$A$49,0)))</f>
        <v>0</v>
      </c>
    </row>
    <row r="4654" customFormat="false" ht="15" hidden="false" customHeight="false" outlineLevel="0" collapsed="false">
      <c r="A4654" s="36" t="n">
        <v>46132</v>
      </c>
      <c r="B4654" s="24" t="s">
        <v>64</v>
      </c>
      <c r="C4654" s="24" t="s">
        <v>199</v>
      </c>
      <c r="D4654" s="33" t="n">
        <v>34</v>
      </c>
      <c r="E4654" s="24" t="n">
        <v>0</v>
      </c>
      <c r="F4654" s="37" t="n">
        <f aca="false">DATE(YEAR(A4654),MONTH(A4654),1)</f>
        <v>46113</v>
      </c>
      <c r="G4654" s="24" t="str">
        <f aca="false">INDEX(Products!$C$2:$C$49,MATCH(C4654,Products!$A$2:$A$49,0))</f>
        <v>Snacks &amp; Confectionery</v>
      </c>
      <c r="H4654" s="33" t="n">
        <f aca="false">D4654*INDEX(Products!$E$2:$E$49,MATCH(C4654,Products!$A$2:$A$49,0))</f>
        <v>5100</v>
      </c>
      <c r="I4654" s="33" t="n">
        <f aca="false">D4654*INDEX(Products!$D$2:$D$49,MATCH(C4654,Products!$A$2:$A$49,0))*(1+INDEX(Assumptions!$B$16:$B$20,MATCH(B4654,Assumptions!$A$16:$A$20,0)))</f>
        <v>3864.576</v>
      </c>
      <c r="J4654" s="33" t="n">
        <f aca="false">H4654-I4654</f>
        <v>1235.424</v>
      </c>
      <c r="K4654" s="33" t="n">
        <f aca="false">IF(OR(E4654=0,E4654&gt;=7),0,D4654/(7-E4654)*E4654*INDEX(Products!$E$2:$E$49,MATCH(C4654,Products!$A$2:$A$49,0)))</f>
        <v>0</v>
      </c>
    </row>
    <row r="4655" customFormat="false" ht="15" hidden="false" customHeight="false" outlineLevel="0" collapsed="false">
      <c r="A4655" s="36" t="n">
        <v>46139</v>
      </c>
      <c r="B4655" s="24" t="s">
        <v>64</v>
      </c>
      <c r="C4655" s="24" t="s">
        <v>199</v>
      </c>
      <c r="D4655" s="33" t="n">
        <v>48</v>
      </c>
      <c r="E4655" s="24" t="n">
        <v>0</v>
      </c>
      <c r="F4655" s="37" t="n">
        <f aca="false">DATE(YEAR(A4655),MONTH(A4655),1)</f>
        <v>46113</v>
      </c>
      <c r="G4655" s="24" t="str">
        <f aca="false">INDEX(Products!$C$2:$C$49,MATCH(C4655,Products!$A$2:$A$49,0))</f>
        <v>Snacks &amp; Confectionery</v>
      </c>
      <c r="H4655" s="33" t="n">
        <f aca="false">D4655*INDEX(Products!$E$2:$E$49,MATCH(C4655,Products!$A$2:$A$49,0))</f>
        <v>7200</v>
      </c>
      <c r="I4655" s="33" t="n">
        <f aca="false">D4655*INDEX(Products!$D$2:$D$49,MATCH(C4655,Products!$A$2:$A$49,0))*(1+INDEX(Assumptions!$B$16:$B$20,MATCH(B4655,Assumptions!$A$16:$A$20,0)))</f>
        <v>5455.872</v>
      </c>
      <c r="J4655" s="33" t="n">
        <f aca="false">H4655-I4655</f>
        <v>1744.128</v>
      </c>
      <c r="K4655" s="33" t="n">
        <f aca="false">IF(OR(E4655=0,E4655&gt;=7),0,D4655/(7-E4655)*E4655*INDEX(Products!$E$2:$E$49,MATCH(C4655,Products!$A$2:$A$49,0)))</f>
        <v>0</v>
      </c>
    </row>
    <row r="4656" customFormat="false" ht="15" hidden="false" customHeight="false" outlineLevel="0" collapsed="false">
      <c r="A4656" s="36" t="n">
        <v>46146</v>
      </c>
      <c r="B4656" s="24" t="s">
        <v>64</v>
      </c>
      <c r="C4656" s="24" t="s">
        <v>199</v>
      </c>
      <c r="D4656" s="33" t="n">
        <v>45</v>
      </c>
      <c r="E4656" s="24" t="n">
        <v>0</v>
      </c>
      <c r="F4656" s="37" t="n">
        <f aca="false">DATE(YEAR(A4656),MONTH(A4656),1)</f>
        <v>46143</v>
      </c>
      <c r="G4656" s="24" t="str">
        <f aca="false">INDEX(Products!$C$2:$C$49,MATCH(C4656,Products!$A$2:$A$49,0))</f>
        <v>Snacks &amp; Confectionery</v>
      </c>
      <c r="H4656" s="33" t="n">
        <f aca="false">D4656*INDEX(Products!$E$2:$E$49,MATCH(C4656,Products!$A$2:$A$49,0))</f>
        <v>6750</v>
      </c>
      <c r="I4656" s="33" t="n">
        <f aca="false">D4656*INDEX(Products!$D$2:$D$49,MATCH(C4656,Products!$A$2:$A$49,0))*(1+INDEX(Assumptions!$B$16:$B$20,MATCH(B4656,Assumptions!$A$16:$A$20,0)))</f>
        <v>5114.88</v>
      </c>
      <c r="J4656" s="33" t="n">
        <f aca="false">H4656-I4656</f>
        <v>1635.12</v>
      </c>
      <c r="K4656" s="33" t="n">
        <f aca="false">IF(OR(E4656=0,E4656&gt;=7),0,D4656/(7-E4656)*E4656*INDEX(Products!$E$2:$E$49,MATCH(C4656,Products!$A$2:$A$49,0)))</f>
        <v>0</v>
      </c>
    </row>
    <row r="4657" customFormat="false" ht="15" hidden="false" customHeight="false" outlineLevel="0" collapsed="false">
      <c r="A4657" s="36" t="n">
        <v>46153</v>
      </c>
      <c r="B4657" s="24" t="s">
        <v>64</v>
      </c>
      <c r="C4657" s="24" t="s">
        <v>199</v>
      </c>
      <c r="D4657" s="33" t="n">
        <v>11</v>
      </c>
      <c r="E4657" s="24" t="n">
        <v>5</v>
      </c>
      <c r="F4657" s="37" t="n">
        <f aca="false">DATE(YEAR(A4657),MONTH(A4657),1)</f>
        <v>46143</v>
      </c>
      <c r="G4657" s="24" t="str">
        <f aca="false">INDEX(Products!$C$2:$C$49,MATCH(C4657,Products!$A$2:$A$49,0))</f>
        <v>Snacks &amp; Confectionery</v>
      </c>
      <c r="H4657" s="33" t="n">
        <f aca="false">D4657*INDEX(Products!$E$2:$E$49,MATCH(C4657,Products!$A$2:$A$49,0))</f>
        <v>1650</v>
      </c>
      <c r="I4657" s="33" t="n">
        <f aca="false">D4657*INDEX(Products!$D$2:$D$49,MATCH(C4657,Products!$A$2:$A$49,0))*(1+INDEX(Assumptions!$B$16:$B$20,MATCH(B4657,Assumptions!$A$16:$A$20,0)))</f>
        <v>1250.304</v>
      </c>
      <c r="J4657" s="33" t="n">
        <f aca="false">H4657-I4657</f>
        <v>399.696</v>
      </c>
      <c r="K4657" s="33" t="n">
        <f aca="false">IF(OR(E4657=0,E4657&gt;=7),0,D4657/(7-E4657)*E4657*INDEX(Products!$E$2:$E$49,MATCH(C4657,Products!$A$2:$A$49,0)))</f>
        <v>4125</v>
      </c>
    </row>
    <row r="4658" customFormat="false" ht="15" hidden="false" customHeight="false" outlineLevel="0" collapsed="false">
      <c r="A4658" s="36" t="n">
        <v>46160</v>
      </c>
      <c r="B4658" s="24" t="s">
        <v>64</v>
      </c>
      <c r="C4658" s="24" t="s">
        <v>199</v>
      </c>
      <c r="D4658" s="33" t="n">
        <v>36</v>
      </c>
      <c r="E4658" s="24" t="n">
        <v>0</v>
      </c>
      <c r="F4658" s="37" t="n">
        <f aca="false">DATE(YEAR(A4658),MONTH(A4658),1)</f>
        <v>46143</v>
      </c>
      <c r="G4658" s="24" t="str">
        <f aca="false">INDEX(Products!$C$2:$C$49,MATCH(C4658,Products!$A$2:$A$49,0))</f>
        <v>Snacks &amp; Confectionery</v>
      </c>
      <c r="H4658" s="33" t="n">
        <f aca="false">D4658*INDEX(Products!$E$2:$E$49,MATCH(C4658,Products!$A$2:$A$49,0))</f>
        <v>5400</v>
      </c>
      <c r="I4658" s="33" t="n">
        <f aca="false">D4658*INDEX(Products!$D$2:$D$49,MATCH(C4658,Products!$A$2:$A$49,0))*(1+INDEX(Assumptions!$B$16:$B$20,MATCH(B4658,Assumptions!$A$16:$A$20,0)))</f>
        <v>4091.904</v>
      </c>
      <c r="J4658" s="33" t="n">
        <f aca="false">H4658-I4658</f>
        <v>1308.096</v>
      </c>
      <c r="K4658" s="33" t="n">
        <f aca="false">IF(OR(E4658=0,E4658&gt;=7),0,D4658/(7-E4658)*E4658*INDEX(Products!$E$2:$E$49,MATCH(C4658,Products!$A$2:$A$49,0)))</f>
        <v>0</v>
      </c>
    </row>
    <row r="4659" customFormat="false" ht="15" hidden="false" customHeight="false" outlineLevel="0" collapsed="false">
      <c r="A4659" s="36" t="n">
        <v>46167</v>
      </c>
      <c r="B4659" s="24" t="s">
        <v>64</v>
      </c>
      <c r="C4659" s="24" t="s">
        <v>199</v>
      </c>
      <c r="D4659" s="33" t="n">
        <v>34</v>
      </c>
      <c r="E4659" s="24" t="n">
        <v>0</v>
      </c>
      <c r="F4659" s="37" t="n">
        <f aca="false">DATE(YEAR(A4659),MONTH(A4659),1)</f>
        <v>46143</v>
      </c>
      <c r="G4659" s="24" t="str">
        <f aca="false">INDEX(Products!$C$2:$C$49,MATCH(C4659,Products!$A$2:$A$49,0))</f>
        <v>Snacks &amp; Confectionery</v>
      </c>
      <c r="H4659" s="33" t="n">
        <f aca="false">D4659*INDEX(Products!$E$2:$E$49,MATCH(C4659,Products!$A$2:$A$49,0))</f>
        <v>5100</v>
      </c>
      <c r="I4659" s="33" t="n">
        <f aca="false">D4659*INDEX(Products!$D$2:$D$49,MATCH(C4659,Products!$A$2:$A$49,0))*(1+INDEX(Assumptions!$B$16:$B$20,MATCH(B4659,Assumptions!$A$16:$A$20,0)))</f>
        <v>3864.576</v>
      </c>
      <c r="J4659" s="33" t="n">
        <f aca="false">H4659-I4659</f>
        <v>1235.424</v>
      </c>
      <c r="K4659" s="33" t="n">
        <f aca="false">IF(OR(E4659=0,E4659&gt;=7),0,D4659/(7-E4659)*E4659*INDEX(Products!$E$2:$E$49,MATCH(C4659,Products!$A$2:$A$49,0)))</f>
        <v>0</v>
      </c>
    </row>
    <row r="4660" customFormat="false" ht="15" hidden="false" customHeight="false" outlineLevel="0" collapsed="false">
      <c r="A4660" s="36" t="n">
        <v>46174</v>
      </c>
      <c r="B4660" s="24" t="s">
        <v>64</v>
      </c>
      <c r="C4660" s="24" t="s">
        <v>199</v>
      </c>
      <c r="D4660" s="33" t="n">
        <v>22</v>
      </c>
      <c r="E4660" s="24" t="n">
        <v>0</v>
      </c>
      <c r="F4660" s="37" t="n">
        <f aca="false">DATE(YEAR(A4660),MONTH(A4660),1)</f>
        <v>46174</v>
      </c>
      <c r="G4660" s="24" t="str">
        <f aca="false">INDEX(Products!$C$2:$C$49,MATCH(C4660,Products!$A$2:$A$49,0))</f>
        <v>Snacks &amp; Confectionery</v>
      </c>
      <c r="H4660" s="33" t="n">
        <f aca="false">D4660*INDEX(Products!$E$2:$E$49,MATCH(C4660,Products!$A$2:$A$49,0))</f>
        <v>3300</v>
      </c>
      <c r="I4660" s="33" t="n">
        <f aca="false">D4660*INDEX(Products!$D$2:$D$49,MATCH(C4660,Products!$A$2:$A$49,0))*(1+INDEX(Assumptions!$B$16:$B$20,MATCH(B4660,Assumptions!$A$16:$A$20,0)))</f>
        <v>2500.608</v>
      </c>
      <c r="J4660" s="33" t="n">
        <f aca="false">H4660-I4660</f>
        <v>799.392</v>
      </c>
      <c r="K4660" s="33" t="n">
        <f aca="false">IF(OR(E4660=0,E4660&gt;=7),0,D4660/(7-E4660)*E4660*INDEX(Products!$E$2:$E$49,MATCH(C4660,Products!$A$2:$A$49,0)))</f>
        <v>0</v>
      </c>
    </row>
    <row r="4661" customFormat="false" ht="15" hidden="false" customHeight="false" outlineLevel="0" collapsed="false">
      <c r="A4661" s="36" t="n">
        <v>46181</v>
      </c>
      <c r="B4661" s="24" t="s">
        <v>64</v>
      </c>
      <c r="C4661" s="24" t="s">
        <v>199</v>
      </c>
      <c r="D4661" s="33" t="n">
        <v>31</v>
      </c>
      <c r="E4661" s="24" t="n">
        <v>0</v>
      </c>
      <c r="F4661" s="37" t="n">
        <f aca="false">DATE(YEAR(A4661),MONTH(A4661),1)</f>
        <v>46174</v>
      </c>
      <c r="G4661" s="24" t="str">
        <f aca="false">INDEX(Products!$C$2:$C$49,MATCH(C4661,Products!$A$2:$A$49,0))</f>
        <v>Snacks &amp; Confectionery</v>
      </c>
      <c r="H4661" s="33" t="n">
        <f aca="false">D4661*INDEX(Products!$E$2:$E$49,MATCH(C4661,Products!$A$2:$A$49,0))</f>
        <v>4650</v>
      </c>
      <c r="I4661" s="33" t="n">
        <f aca="false">D4661*INDEX(Products!$D$2:$D$49,MATCH(C4661,Products!$A$2:$A$49,0))*(1+INDEX(Assumptions!$B$16:$B$20,MATCH(B4661,Assumptions!$A$16:$A$20,0)))</f>
        <v>3523.584</v>
      </c>
      <c r="J4661" s="33" t="n">
        <f aca="false">H4661-I4661</f>
        <v>1126.416</v>
      </c>
      <c r="K4661" s="33" t="n">
        <f aca="false">IF(OR(E4661=0,E4661&gt;=7),0,D4661/(7-E4661)*E4661*INDEX(Products!$E$2:$E$49,MATCH(C4661,Products!$A$2:$A$49,0)))</f>
        <v>0</v>
      </c>
    </row>
    <row r="4662" customFormat="false" ht="15" hidden="false" customHeight="false" outlineLevel="0" collapsed="false">
      <c r="A4662" s="36" t="n">
        <v>46188</v>
      </c>
      <c r="B4662" s="24" t="s">
        <v>64</v>
      </c>
      <c r="C4662" s="24" t="s">
        <v>199</v>
      </c>
      <c r="D4662" s="33" t="n">
        <v>20</v>
      </c>
      <c r="E4662" s="24" t="n">
        <v>0</v>
      </c>
      <c r="F4662" s="37" t="n">
        <f aca="false">DATE(YEAR(A4662),MONTH(A4662),1)</f>
        <v>46174</v>
      </c>
      <c r="G4662" s="24" t="str">
        <f aca="false">INDEX(Products!$C$2:$C$49,MATCH(C4662,Products!$A$2:$A$49,0))</f>
        <v>Snacks &amp; Confectionery</v>
      </c>
      <c r="H4662" s="33" t="n">
        <f aca="false">D4662*INDEX(Products!$E$2:$E$49,MATCH(C4662,Products!$A$2:$A$49,0))</f>
        <v>3000</v>
      </c>
      <c r="I4662" s="33" t="n">
        <f aca="false">D4662*INDEX(Products!$D$2:$D$49,MATCH(C4662,Products!$A$2:$A$49,0))*(1+INDEX(Assumptions!$B$16:$B$20,MATCH(B4662,Assumptions!$A$16:$A$20,0)))</f>
        <v>2273.28</v>
      </c>
      <c r="J4662" s="33" t="n">
        <f aca="false">H4662-I4662</f>
        <v>726.72</v>
      </c>
      <c r="K4662" s="33" t="n">
        <f aca="false">IF(OR(E4662=0,E4662&gt;=7),0,D4662/(7-E4662)*E4662*INDEX(Products!$E$2:$E$49,MATCH(C4662,Products!$A$2:$A$49,0)))</f>
        <v>0</v>
      </c>
    </row>
    <row r="4663" customFormat="false" ht="15" hidden="false" customHeight="false" outlineLevel="0" collapsed="false">
      <c r="A4663" s="36" t="n">
        <v>46195</v>
      </c>
      <c r="B4663" s="24" t="s">
        <v>64</v>
      </c>
      <c r="C4663" s="24" t="s">
        <v>199</v>
      </c>
      <c r="D4663" s="33" t="n">
        <v>25</v>
      </c>
      <c r="E4663" s="24" t="n">
        <v>0</v>
      </c>
      <c r="F4663" s="37" t="n">
        <f aca="false">DATE(YEAR(A4663),MONTH(A4663),1)</f>
        <v>46174</v>
      </c>
      <c r="G4663" s="24" t="str">
        <f aca="false">INDEX(Products!$C$2:$C$49,MATCH(C4663,Products!$A$2:$A$49,0))</f>
        <v>Snacks &amp; Confectionery</v>
      </c>
      <c r="H4663" s="33" t="n">
        <f aca="false">D4663*INDEX(Products!$E$2:$E$49,MATCH(C4663,Products!$A$2:$A$49,0))</f>
        <v>3750</v>
      </c>
      <c r="I4663" s="33" t="n">
        <f aca="false">D4663*INDEX(Products!$D$2:$D$49,MATCH(C4663,Products!$A$2:$A$49,0))*(1+INDEX(Assumptions!$B$16:$B$20,MATCH(B4663,Assumptions!$A$16:$A$20,0)))</f>
        <v>2841.6</v>
      </c>
      <c r="J4663" s="33" t="n">
        <f aca="false">H4663-I4663</f>
        <v>908.4</v>
      </c>
      <c r="K4663" s="33" t="n">
        <f aca="false">IF(OR(E4663=0,E4663&gt;=7),0,D4663/(7-E4663)*E4663*INDEX(Products!$E$2:$E$49,MATCH(C4663,Products!$A$2:$A$49,0)))</f>
        <v>0</v>
      </c>
    </row>
    <row r="4664" customFormat="false" ht="15" hidden="false" customHeight="false" outlineLevel="0" collapsed="false">
      <c r="A4664" s="36" t="n">
        <v>46202</v>
      </c>
      <c r="B4664" s="24" t="s">
        <v>64</v>
      </c>
      <c r="C4664" s="24" t="s">
        <v>199</v>
      </c>
      <c r="D4664" s="33" t="n">
        <v>44</v>
      </c>
      <c r="E4664" s="24" t="n">
        <v>0</v>
      </c>
      <c r="F4664" s="37" t="n">
        <f aca="false">DATE(YEAR(A4664),MONTH(A4664),1)</f>
        <v>46174</v>
      </c>
      <c r="G4664" s="24" t="str">
        <f aca="false">INDEX(Products!$C$2:$C$49,MATCH(C4664,Products!$A$2:$A$49,0))</f>
        <v>Snacks &amp; Confectionery</v>
      </c>
      <c r="H4664" s="33" t="n">
        <f aca="false">D4664*INDEX(Products!$E$2:$E$49,MATCH(C4664,Products!$A$2:$A$49,0))</f>
        <v>6600</v>
      </c>
      <c r="I4664" s="33" t="n">
        <f aca="false">D4664*INDEX(Products!$D$2:$D$49,MATCH(C4664,Products!$A$2:$A$49,0))*(1+INDEX(Assumptions!$B$16:$B$20,MATCH(B4664,Assumptions!$A$16:$A$20,0)))</f>
        <v>5001.216</v>
      </c>
      <c r="J4664" s="33" t="n">
        <f aca="false">H4664-I4664</f>
        <v>1598.784</v>
      </c>
      <c r="K4664" s="33" t="n">
        <f aca="false">IF(OR(E4664=0,E4664&gt;=7),0,D4664/(7-E4664)*E4664*INDEX(Products!$E$2:$E$49,MATCH(C4664,Products!$A$2:$A$49,0)))</f>
        <v>0</v>
      </c>
    </row>
    <row r="4665" customFormat="false" ht="15" hidden="false" customHeight="false" outlineLevel="0" collapsed="false">
      <c r="A4665" s="36" t="n">
        <v>46209</v>
      </c>
      <c r="B4665" s="24" t="s">
        <v>64</v>
      </c>
      <c r="C4665" s="24" t="s">
        <v>199</v>
      </c>
      <c r="D4665" s="33" t="n">
        <v>27</v>
      </c>
      <c r="E4665" s="24" t="n">
        <v>0</v>
      </c>
      <c r="F4665" s="37" t="n">
        <f aca="false">DATE(YEAR(A4665),MONTH(A4665),1)</f>
        <v>46204</v>
      </c>
      <c r="G4665" s="24" t="str">
        <f aca="false">INDEX(Products!$C$2:$C$49,MATCH(C4665,Products!$A$2:$A$49,0))</f>
        <v>Snacks &amp; Confectionery</v>
      </c>
      <c r="H4665" s="33" t="n">
        <f aca="false">D4665*INDEX(Products!$E$2:$E$49,MATCH(C4665,Products!$A$2:$A$49,0))</f>
        <v>4050</v>
      </c>
      <c r="I4665" s="33" t="n">
        <f aca="false">D4665*INDEX(Products!$D$2:$D$49,MATCH(C4665,Products!$A$2:$A$49,0))*(1+INDEX(Assumptions!$B$16:$B$20,MATCH(B4665,Assumptions!$A$16:$A$20,0)))</f>
        <v>3068.928</v>
      </c>
      <c r="J4665" s="33" t="n">
        <f aca="false">H4665-I4665</f>
        <v>981.072</v>
      </c>
      <c r="K4665" s="33" t="n">
        <f aca="false">IF(OR(E4665=0,E4665&gt;=7),0,D4665/(7-E4665)*E4665*INDEX(Products!$E$2:$E$49,MATCH(C4665,Products!$A$2:$A$49,0)))</f>
        <v>0</v>
      </c>
    </row>
    <row r="4666" customFormat="false" ht="15" hidden="false" customHeight="false" outlineLevel="0" collapsed="false">
      <c r="A4666" s="36" t="n">
        <v>46216</v>
      </c>
      <c r="B4666" s="24" t="s">
        <v>64</v>
      </c>
      <c r="C4666" s="24" t="s">
        <v>199</v>
      </c>
      <c r="D4666" s="33" t="n">
        <v>22</v>
      </c>
      <c r="E4666" s="24" t="n">
        <v>0</v>
      </c>
      <c r="F4666" s="37" t="n">
        <f aca="false">DATE(YEAR(A4666),MONTH(A4666),1)</f>
        <v>46204</v>
      </c>
      <c r="G4666" s="24" t="str">
        <f aca="false">INDEX(Products!$C$2:$C$49,MATCH(C4666,Products!$A$2:$A$49,0))</f>
        <v>Snacks &amp; Confectionery</v>
      </c>
      <c r="H4666" s="33" t="n">
        <f aca="false">D4666*INDEX(Products!$E$2:$E$49,MATCH(C4666,Products!$A$2:$A$49,0))</f>
        <v>3300</v>
      </c>
      <c r="I4666" s="33" t="n">
        <f aca="false">D4666*INDEX(Products!$D$2:$D$49,MATCH(C4666,Products!$A$2:$A$49,0))*(1+INDEX(Assumptions!$B$16:$B$20,MATCH(B4666,Assumptions!$A$16:$A$20,0)))</f>
        <v>2500.608</v>
      </c>
      <c r="J4666" s="33" t="n">
        <f aca="false">H4666-I4666</f>
        <v>799.392</v>
      </c>
      <c r="K4666" s="33" t="n">
        <f aca="false">IF(OR(E4666=0,E4666&gt;=7),0,D4666/(7-E4666)*E4666*INDEX(Products!$E$2:$E$49,MATCH(C4666,Products!$A$2:$A$49,0)))</f>
        <v>0</v>
      </c>
    </row>
    <row r="4667" customFormat="false" ht="15" hidden="false" customHeight="false" outlineLevel="0" collapsed="false">
      <c r="A4667" s="36" t="n">
        <v>46223</v>
      </c>
      <c r="B4667" s="24" t="s">
        <v>64</v>
      </c>
      <c r="C4667" s="24" t="s">
        <v>199</v>
      </c>
      <c r="D4667" s="33" t="n">
        <v>36</v>
      </c>
      <c r="E4667" s="24" t="n">
        <v>0</v>
      </c>
      <c r="F4667" s="37" t="n">
        <f aca="false">DATE(YEAR(A4667),MONTH(A4667),1)</f>
        <v>46204</v>
      </c>
      <c r="G4667" s="24" t="str">
        <f aca="false">INDEX(Products!$C$2:$C$49,MATCH(C4667,Products!$A$2:$A$49,0))</f>
        <v>Snacks &amp; Confectionery</v>
      </c>
      <c r="H4667" s="33" t="n">
        <f aca="false">D4667*INDEX(Products!$E$2:$E$49,MATCH(C4667,Products!$A$2:$A$49,0))</f>
        <v>5400</v>
      </c>
      <c r="I4667" s="33" t="n">
        <f aca="false">D4667*INDEX(Products!$D$2:$D$49,MATCH(C4667,Products!$A$2:$A$49,0))*(1+INDEX(Assumptions!$B$16:$B$20,MATCH(B4667,Assumptions!$A$16:$A$20,0)))</f>
        <v>4091.904</v>
      </c>
      <c r="J4667" s="33" t="n">
        <f aca="false">H4667-I4667</f>
        <v>1308.096</v>
      </c>
      <c r="K4667" s="33" t="n">
        <f aca="false">IF(OR(E4667=0,E4667&gt;=7),0,D4667/(7-E4667)*E4667*INDEX(Products!$E$2:$E$49,MATCH(C4667,Products!$A$2:$A$49,0)))</f>
        <v>0</v>
      </c>
    </row>
    <row r="4668" customFormat="false" ht="15" hidden="false" customHeight="false" outlineLevel="0" collapsed="false">
      <c r="A4668" s="36" t="n">
        <v>46230</v>
      </c>
      <c r="B4668" s="24" t="s">
        <v>64</v>
      </c>
      <c r="C4668" s="24" t="s">
        <v>199</v>
      </c>
      <c r="D4668" s="33" t="n">
        <v>26</v>
      </c>
      <c r="E4668" s="24" t="n">
        <v>0</v>
      </c>
      <c r="F4668" s="37" t="n">
        <f aca="false">DATE(YEAR(A4668),MONTH(A4668),1)</f>
        <v>46204</v>
      </c>
      <c r="G4668" s="24" t="str">
        <f aca="false">INDEX(Products!$C$2:$C$49,MATCH(C4668,Products!$A$2:$A$49,0))</f>
        <v>Snacks &amp; Confectionery</v>
      </c>
      <c r="H4668" s="33" t="n">
        <f aca="false">D4668*INDEX(Products!$E$2:$E$49,MATCH(C4668,Products!$A$2:$A$49,0))</f>
        <v>3900</v>
      </c>
      <c r="I4668" s="33" t="n">
        <f aca="false">D4668*INDEX(Products!$D$2:$D$49,MATCH(C4668,Products!$A$2:$A$49,0))*(1+INDEX(Assumptions!$B$16:$B$20,MATCH(B4668,Assumptions!$A$16:$A$20,0)))</f>
        <v>2955.264</v>
      </c>
      <c r="J4668" s="33" t="n">
        <f aca="false">H4668-I4668</f>
        <v>944.736</v>
      </c>
      <c r="K4668" s="33" t="n">
        <f aca="false">IF(OR(E4668=0,E4668&gt;=7),0,D4668/(7-E4668)*E4668*INDEX(Products!$E$2:$E$49,MATCH(C4668,Products!$A$2:$A$49,0)))</f>
        <v>0</v>
      </c>
    </row>
    <row r="4669" customFormat="false" ht="15" hidden="false" customHeight="false" outlineLevel="0" collapsed="false">
      <c r="A4669" s="36" t="n">
        <v>46237</v>
      </c>
      <c r="B4669" s="24" t="s">
        <v>64</v>
      </c>
      <c r="C4669" s="24" t="s">
        <v>199</v>
      </c>
      <c r="D4669" s="33" t="n">
        <v>22</v>
      </c>
      <c r="E4669" s="24" t="n">
        <v>0</v>
      </c>
      <c r="F4669" s="37" t="n">
        <f aca="false">DATE(YEAR(A4669),MONTH(A4669),1)</f>
        <v>46235</v>
      </c>
      <c r="G4669" s="24" t="str">
        <f aca="false">INDEX(Products!$C$2:$C$49,MATCH(C4669,Products!$A$2:$A$49,0))</f>
        <v>Snacks &amp; Confectionery</v>
      </c>
      <c r="H4669" s="33" t="n">
        <f aca="false">D4669*INDEX(Products!$E$2:$E$49,MATCH(C4669,Products!$A$2:$A$49,0))</f>
        <v>3300</v>
      </c>
      <c r="I4669" s="33" t="n">
        <f aca="false">D4669*INDEX(Products!$D$2:$D$49,MATCH(C4669,Products!$A$2:$A$49,0))*(1+INDEX(Assumptions!$B$16:$B$20,MATCH(B4669,Assumptions!$A$16:$A$20,0)))</f>
        <v>2500.608</v>
      </c>
      <c r="J4669" s="33" t="n">
        <f aca="false">H4669-I4669</f>
        <v>799.392</v>
      </c>
      <c r="K4669" s="33" t="n">
        <f aca="false">IF(OR(E4669=0,E4669&gt;=7),0,D4669/(7-E4669)*E4669*INDEX(Products!$E$2:$E$49,MATCH(C4669,Products!$A$2:$A$49,0)))</f>
        <v>0</v>
      </c>
    </row>
    <row r="4670" customFormat="false" ht="15" hidden="false" customHeight="false" outlineLevel="0" collapsed="false">
      <c r="A4670" s="36" t="n">
        <v>46244</v>
      </c>
      <c r="B4670" s="24" t="s">
        <v>64</v>
      </c>
      <c r="C4670" s="24" t="s">
        <v>199</v>
      </c>
      <c r="D4670" s="33" t="n">
        <v>35</v>
      </c>
      <c r="E4670" s="24" t="n">
        <v>0</v>
      </c>
      <c r="F4670" s="37" t="n">
        <f aca="false">DATE(YEAR(A4670),MONTH(A4670),1)</f>
        <v>46235</v>
      </c>
      <c r="G4670" s="24" t="str">
        <f aca="false">INDEX(Products!$C$2:$C$49,MATCH(C4670,Products!$A$2:$A$49,0))</f>
        <v>Snacks &amp; Confectionery</v>
      </c>
      <c r="H4670" s="33" t="n">
        <f aca="false">D4670*INDEX(Products!$E$2:$E$49,MATCH(C4670,Products!$A$2:$A$49,0))</f>
        <v>5250</v>
      </c>
      <c r="I4670" s="33" t="n">
        <f aca="false">D4670*INDEX(Products!$D$2:$D$49,MATCH(C4670,Products!$A$2:$A$49,0))*(1+INDEX(Assumptions!$B$16:$B$20,MATCH(B4670,Assumptions!$A$16:$A$20,0)))</f>
        <v>3978.24</v>
      </c>
      <c r="J4670" s="33" t="n">
        <f aca="false">H4670-I4670</f>
        <v>1271.76</v>
      </c>
      <c r="K4670" s="33" t="n">
        <f aca="false">IF(OR(E4670=0,E4670&gt;=7),0,D4670/(7-E4670)*E4670*INDEX(Products!$E$2:$E$49,MATCH(C4670,Products!$A$2:$A$49,0)))</f>
        <v>0</v>
      </c>
    </row>
    <row r="4671" customFormat="false" ht="15" hidden="false" customHeight="false" outlineLevel="0" collapsed="false">
      <c r="A4671" s="36" t="n">
        <v>46251</v>
      </c>
      <c r="B4671" s="24" t="s">
        <v>64</v>
      </c>
      <c r="C4671" s="24" t="s">
        <v>199</v>
      </c>
      <c r="D4671" s="33" t="n">
        <v>23</v>
      </c>
      <c r="E4671" s="24" t="n">
        <v>0</v>
      </c>
      <c r="F4671" s="37" t="n">
        <f aca="false">DATE(YEAR(A4671),MONTH(A4671),1)</f>
        <v>46235</v>
      </c>
      <c r="G4671" s="24" t="str">
        <f aca="false">INDEX(Products!$C$2:$C$49,MATCH(C4671,Products!$A$2:$A$49,0))</f>
        <v>Snacks &amp; Confectionery</v>
      </c>
      <c r="H4671" s="33" t="n">
        <f aca="false">D4671*INDEX(Products!$E$2:$E$49,MATCH(C4671,Products!$A$2:$A$49,0))</f>
        <v>3450</v>
      </c>
      <c r="I4671" s="33" t="n">
        <f aca="false">D4671*INDEX(Products!$D$2:$D$49,MATCH(C4671,Products!$A$2:$A$49,0))*(1+INDEX(Assumptions!$B$16:$B$20,MATCH(B4671,Assumptions!$A$16:$A$20,0)))</f>
        <v>2614.272</v>
      </c>
      <c r="J4671" s="33" t="n">
        <f aca="false">H4671-I4671</f>
        <v>835.728</v>
      </c>
      <c r="K4671" s="33" t="n">
        <f aca="false">IF(OR(E4671=0,E4671&gt;=7),0,D4671/(7-E4671)*E4671*INDEX(Products!$E$2:$E$49,MATCH(C4671,Products!$A$2:$A$49,0)))</f>
        <v>0</v>
      </c>
    </row>
    <row r="4672" customFormat="false" ht="15" hidden="false" customHeight="false" outlineLevel="0" collapsed="false">
      <c r="A4672" s="36" t="n">
        <v>46258</v>
      </c>
      <c r="B4672" s="24" t="s">
        <v>64</v>
      </c>
      <c r="C4672" s="24" t="s">
        <v>199</v>
      </c>
      <c r="D4672" s="33" t="n">
        <v>29</v>
      </c>
      <c r="E4672" s="24" t="n">
        <v>0</v>
      </c>
      <c r="F4672" s="37" t="n">
        <f aca="false">DATE(YEAR(A4672),MONTH(A4672),1)</f>
        <v>46235</v>
      </c>
      <c r="G4672" s="24" t="str">
        <f aca="false">INDEX(Products!$C$2:$C$49,MATCH(C4672,Products!$A$2:$A$49,0))</f>
        <v>Snacks &amp; Confectionery</v>
      </c>
      <c r="H4672" s="33" t="n">
        <f aca="false">D4672*INDEX(Products!$E$2:$E$49,MATCH(C4672,Products!$A$2:$A$49,0))</f>
        <v>4350</v>
      </c>
      <c r="I4672" s="33" t="n">
        <f aca="false">D4672*INDEX(Products!$D$2:$D$49,MATCH(C4672,Products!$A$2:$A$49,0))*(1+INDEX(Assumptions!$B$16:$B$20,MATCH(B4672,Assumptions!$A$16:$A$20,0)))</f>
        <v>3296.256</v>
      </c>
      <c r="J4672" s="33" t="n">
        <f aca="false">H4672-I4672</f>
        <v>1053.744</v>
      </c>
      <c r="K4672" s="33" t="n">
        <f aca="false">IF(OR(E4672=0,E4672&gt;=7),0,D4672/(7-E4672)*E4672*INDEX(Products!$E$2:$E$49,MATCH(C4672,Products!$A$2:$A$49,0)))</f>
        <v>0</v>
      </c>
    </row>
    <row r="4673" customFormat="false" ht="15" hidden="false" customHeight="false" outlineLevel="0" collapsed="false">
      <c r="A4673" s="36" t="n">
        <v>46265</v>
      </c>
      <c r="B4673" s="24" t="s">
        <v>64</v>
      </c>
      <c r="C4673" s="24" t="s">
        <v>199</v>
      </c>
      <c r="D4673" s="33" t="n">
        <v>28</v>
      </c>
      <c r="E4673" s="24" t="n">
        <v>0</v>
      </c>
      <c r="F4673" s="37" t="n">
        <f aca="false">DATE(YEAR(A4673),MONTH(A4673),1)</f>
        <v>46235</v>
      </c>
      <c r="G4673" s="24" t="str">
        <f aca="false">INDEX(Products!$C$2:$C$49,MATCH(C4673,Products!$A$2:$A$49,0))</f>
        <v>Snacks &amp; Confectionery</v>
      </c>
      <c r="H4673" s="33" t="n">
        <f aca="false">D4673*INDEX(Products!$E$2:$E$49,MATCH(C4673,Products!$A$2:$A$49,0))</f>
        <v>4200</v>
      </c>
      <c r="I4673" s="33" t="n">
        <f aca="false">D4673*INDEX(Products!$D$2:$D$49,MATCH(C4673,Products!$A$2:$A$49,0))*(1+INDEX(Assumptions!$B$16:$B$20,MATCH(B4673,Assumptions!$A$16:$A$20,0)))</f>
        <v>3182.592</v>
      </c>
      <c r="J4673" s="33" t="n">
        <f aca="false">H4673-I4673</f>
        <v>1017.408</v>
      </c>
      <c r="K4673" s="33" t="n">
        <f aca="false">IF(OR(E4673=0,E4673&gt;=7),0,D4673/(7-E4673)*E4673*INDEX(Products!$E$2:$E$49,MATCH(C4673,Products!$A$2:$A$49,0)))</f>
        <v>0</v>
      </c>
    </row>
    <row r="4674" customFormat="false" ht="15" hidden="false" customHeight="false" outlineLevel="0" collapsed="false">
      <c r="A4674" s="36" t="n">
        <v>46272</v>
      </c>
      <c r="B4674" s="24" t="s">
        <v>64</v>
      </c>
      <c r="C4674" s="24" t="s">
        <v>199</v>
      </c>
      <c r="D4674" s="33" t="n">
        <v>23</v>
      </c>
      <c r="E4674" s="24" t="n">
        <v>0</v>
      </c>
      <c r="F4674" s="37" t="n">
        <f aca="false">DATE(YEAR(A4674),MONTH(A4674),1)</f>
        <v>46266</v>
      </c>
      <c r="G4674" s="24" t="str">
        <f aca="false">INDEX(Products!$C$2:$C$49,MATCH(C4674,Products!$A$2:$A$49,0))</f>
        <v>Snacks &amp; Confectionery</v>
      </c>
      <c r="H4674" s="33" t="n">
        <f aca="false">D4674*INDEX(Products!$E$2:$E$49,MATCH(C4674,Products!$A$2:$A$49,0))</f>
        <v>3450</v>
      </c>
      <c r="I4674" s="33" t="n">
        <f aca="false">D4674*INDEX(Products!$D$2:$D$49,MATCH(C4674,Products!$A$2:$A$49,0))*(1+INDEX(Assumptions!$B$16:$B$20,MATCH(B4674,Assumptions!$A$16:$A$20,0)))</f>
        <v>2614.272</v>
      </c>
      <c r="J4674" s="33" t="n">
        <f aca="false">H4674-I4674</f>
        <v>835.728</v>
      </c>
      <c r="K4674" s="33" t="n">
        <f aca="false">IF(OR(E4674=0,E4674&gt;=7),0,D4674/(7-E4674)*E4674*INDEX(Products!$E$2:$E$49,MATCH(C4674,Products!$A$2:$A$49,0)))</f>
        <v>0</v>
      </c>
    </row>
    <row r="4675" customFormat="false" ht="15" hidden="false" customHeight="false" outlineLevel="0" collapsed="false">
      <c r="A4675" s="36" t="n">
        <v>46279</v>
      </c>
      <c r="B4675" s="24" t="s">
        <v>64</v>
      </c>
      <c r="C4675" s="24" t="s">
        <v>199</v>
      </c>
      <c r="D4675" s="33" t="n">
        <v>27</v>
      </c>
      <c r="E4675" s="24" t="n">
        <v>0</v>
      </c>
      <c r="F4675" s="37" t="n">
        <f aca="false">DATE(YEAR(A4675),MONTH(A4675),1)</f>
        <v>46266</v>
      </c>
      <c r="G4675" s="24" t="str">
        <f aca="false">INDEX(Products!$C$2:$C$49,MATCH(C4675,Products!$A$2:$A$49,0))</f>
        <v>Snacks &amp; Confectionery</v>
      </c>
      <c r="H4675" s="33" t="n">
        <f aca="false">D4675*INDEX(Products!$E$2:$E$49,MATCH(C4675,Products!$A$2:$A$49,0))</f>
        <v>4050</v>
      </c>
      <c r="I4675" s="33" t="n">
        <f aca="false">D4675*INDEX(Products!$D$2:$D$49,MATCH(C4675,Products!$A$2:$A$49,0))*(1+INDEX(Assumptions!$B$16:$B$20,MATCH(B4675,Assumptions!$A$16:$A$20,0)))</f>
        <v>3068.928</v>
      </c>
      <c r="J4675" s="33" t="n">
        <f aca="false">H4675-I4675</f>
        <v>981.072</v>
      </c>
      <c r="K4675" s="33" t="n">
        <f aca="false">IF(OR(E4675=0,E4675&gt;=7),0,D4675/(7-E4675)*E4675*INDEX(Products!$E$2:$E$49,MATCH(C4675,Products!$A$2:$A$49,0)))</f>
        <v>0</v>
      </c>
    </row>
    <row r="4676" customFormat="false" ht="15" hidden="false" customHeight="false" outlineLevel="0" collapsed="false">
      <c r="A4676" s="36" t="n">
        <v>46286</v>
      </c>
      <c r="B4676" s="24" t="s">
        <v>64</v>
      </c>
      <c r="C4676" s="24" t="s">
        <v>199</v>
      </c>
      <c r="D4676" s="33" t="n">
        <v>23</v>
      </c>
      <c r="E4676" s="24" t="n">
        <v>0</v>
      </c>
      <c r="F4676" s="37" t="n">
        <f aca="false">DATE(YEAR(A4676),MONTH(A4676),1)</f>
        <v>46266</v>
      </c>
      <c r="G4676" s="24" t="str">
        <f aca="false">INDEX(Products!$C$2:$C$49,MATCH(C4676,Products!$A$2:$A$49,0))</f>
        <v>Snacks &amp; Confectionery</v>
      </c>
      <c r="H4676" s="33" t="n">
        <f aca="false">D4676*INDEX(Products!$E$2:$E$49,MATCH(C4676,Products!$A$2:$A$49,0))</f>
        <v>3450</v>
      </c>
      <c r="I4676" s="33" t="n">
        <f aca="false">D4676*INDEX(Products!$D$2:$D$49,MATCH(C4676,Products!$A$2:$A$49,0))*(1+INDEX(Assumptions!$B$16:$B$20,MATCH(B4676,Assumptions!$A$16:$A$20,0)))</f>
        <v>2614.272</v>
      </c>
      <c r="J4676" s="33" t="n">
        <f aca="false">H4676-I4676</f>
        <v>835.728</v>
      </c>
      <c r="K4676" s="33" t="n">
        <f aca="false">IF(OR(E4676=0,E4676&gt;=7),0,D4676/(7-E4676)*E4676*INDEX(Products!$E$2:$E$49,MATCH(C4676,Products!$A$2:$A$49,0)))</f>
        <v>0</v>
      </c>
    </row>
    <row r="4677" customFormat="false" ht="15" hidden="false" customHeight="false" outlineLevel="0" collapsed="false">
      <c r="A4677" s="36" t="n">
        <v>46118</v>
      </c>
      <c r="B4677" s="24" t="s">
        <v>64</v>
      </c>
      <c r="C4677" s="24" t="s">
        <v>201</v>
      </c>
      <c r="D4677" s="33" t="n">
        <v>71</v>
      </c>
      <c r="E4677" s="24" t="n">
        <v>0</v>
      </c>
      <c r="F4677" s="37" t="n">
        <f aca="false">DATE(YEAR(A4677),MONTH(A4677),1)</f>
        <v>46113</v>
      </c>
      <c r="G4677" s="24" t="str">
        <f aca="false">INDEX(Products!$C$2:$C$49,MATCH(C4677,Products!$A$2:$A$49,0))</f>
        <v>Snacks &amp; Confectionery</v>
      </c>
      <c r="H4677" s="33" t="n">
        <f aca="false">D4677*INDEX(Products!$E$2:$E$49,MATCH(C4677,Products!$A$2:$A$49,0))</f>
        <v>11360</v>
      </c>
      <c r="I4677" s="33" t="n">
        <f aca="false">D4677*INDEX(Products!$D$2:$D$49,MATCH(C4677,Products!$A$2:$A$49,0))*(1+INDEX(Assumptions!$B$16:$B$20,MATCH(B4677,Assumptions!$A$16:$A$20,0)))</f>
        <v>8724.48</v>
      </c>
      <c r="J4677" s="33" t="n">
        <f aca="false">H4677-I4677</f>
        <v>2635.52</v>
      </c>
      <c r="K4677" s="33" t="n">
        <f aca="false">IF(OR(E4677=0,E4677&gt;=7),0,D4677/(7-E4677)*E4677*INDEX(Products!$E$2:$E$49,MATCH(C4677,Products!$A$2:$A$49,0)))</f>
        <v>0</v>
      </c>
    </row>
    <row r="4678" customFormat="false" ht="15" hidden="false" customHeight="false" outlineLevel="0" collapsed="false">
      <c r="A4678" s="36" t="n">
        <v>46125</v>
      </c>
      <c r="B4678" s="24" t="s">
        <v>64</v>
      </c>
      <c r="C4678" s="24" t="s">
        <v>201</v>
      </c>
      <c r="D4678" s="33" t="n">
        <v>73</v>
      </c>
      <c r="E4678" s="24" t="n">
        <v>0</v>
      </c>
      <c r="F4678" s="37" t="n">
        <f aca="false">DATE(YEAR(A4678),MONTH(A4678),1)</f>
        <v>46113</v>
      </c>
      <c r="G4678" s="24" t="str">
        <f aca="false">INDEX(Products!$C$2:$C$49,MATCH(C4678,Products!$A$2:$A$49,0))</f>
        <v>Snacks &amp; Confectionery</v>
      </c>
      <c r="H4678" s="33" t="n">
        <f aca="false">D4678*INDEX(Products!$E$2:$E$49,MATCH(C4678,Products!$A$2:$A$49,0))</f>
        <v>11680</v>
      </c>
      <c r="I4678" s="33" t="n">
        <f aca="false">D4678*INDEX(Products!$D$2:$D$49,MATCH(C4678,Products!$A$2:$A$49,0))*(1+INDEX(Assumptions!$B$16:$B$20,MATCH(B4678,Assumptions!$A$16:$A$20,0)))</f>
        <v>8970.24</v>
      </c>
      <c r="J4678" s="33" t="n">
        <f aca="false">H4678-I4678</f>
        <v>2709.76</v>
      </c>
      <c r="K4678" s="33" t="n">
        <f aca="false">IF(OR(E4678=0,E4678&gt;=7),0,D4678/(7-E4678)*E4678*INDEX(Products!$E$2:$E$49,MATCH(C4678,Products!$A$2:$A$49,0)))</f>
        <v>0</v>
      </c>
    </row>
    <row r="4679" customFormat="false" ht="15" hidden="false" customHeight="false" outlineLevel="0" collapsed="false">
      <c r="A4679" s="36" t="n">
        <v>46132</v>
      </c>
      <c r="B4679" s="24" t="s">
        <v>64</v>
      </c>
      <c r="C4679" s="24" t="s">
        <v>201</v>
      </c>
      <c r="D4679" s="33" t="n">
        <v>84</v>
      </c>
      <c r="E4679" s="24" t="n">
        <v>0</v>
      </c>
      <c r="F4679" s="37" t="n">
        <f aca="false">DATE(YEAR(A4679),MONTH(A4679),1)</f>
        <v>46113</v>
      </c>
      <c r="G4679" s="24" t="str">
        <f aca="false">INDEX(Products!$C$2:$C$49,MATCH(C4679,Products!$A$2:$A$49,0))</f>
        <v>Snacks &amp; Confectionery</v>
      </c>
      <c r="H4679" s="33" t="n">
        <f aca="false">D4679*INDEX(Products!$E$2:$E$49,MATCH(C4679,Products!$A$2:$A$49,0))</f>
        <v>13440</v>
      </c>
      <c r="I4679" s="33" t="n">
        <f aca="false">D4679*INDEX(Products!$D$2:$D$49,MATCH(C4679,Products!$A$2:$A$49,0))*(1+INDEX(Assumptions!$B$16:$B$20,MATCH(B4679,Assumptions!$A$16:$A$20,0)))</f>
        <v>10321.92</v>
      </c>
      <c r="J4679" s="33" t="n">
        <f aca="false">H4679-I4679</f>
        <v>3118.08</v>
      </c>
      <c r="K4679" s="33" t="n">
        <f aca="false">IF(OR(E4679=0,E4679&gt;=7),0,D4679/(7-E4679)*E4679*INDEX(Products!$E$2:$E$49,MATCH(C4679,Products!$A$2:$A$49,0)))</f>
        <v>0</v>
      </c>
    </row>
    <row r="4680" customFormat="false" ht="15" hidden="false" customHeight="false" outlineLevel="0" collapsed="false">
      <c r="A4680" s="36" t="n">
        <v>46139</v>
      </c>
      <c r="B4680" s="24" t="s">
        <v>64</v>
      </c>
      <c r="C4680" s="24" t="s">
        <v>201</v>
      </c>
      <c r="D4680" s="33" t="n">
        <v>80</v>
      </c>
      <c r="E4680" s="24" t="n">
        <v>0</v>
      </c>
      <c r="F4680" s="37" t="n">
        <f aca="false">DATE(YEAR(A4680),MONTH(A4680),1)</f>
        <v>46113</v>
      </c>
      <c r="G4680" s="24" t="str">
        <f aca="false">INDEX(Products!$C$2:$C$49,MATCH(C4680,Products!$A$2:$A$49,0))</f>
        <v>Snacks &amp; Confectionery</v>
      </c>
      <c r="H4680" s="33" t="n">
        <f aca="false">D4680*INDEX(Products!$E$2:$E$49,MATCH(C4680,Products!$A$2:$A$49,0))</f>
        <v>12800</v>
      </c>
      <c r="I4680" s="33" t="n">
        <f aca="false">D4680*INDEX(Products!$D$2:$D$49,MATCH(C4680,Products!$A$2:$A$49,0))*(1+INDEX(Assumptions!$B$16:$B$20,MATCH(B4680,Assumptions!$A$16:$A$20,0)))</f>
        <v>9830.4</v>
      </c>
      <c r="J4680" s="33" t="n">
        <f aca="false">H4680-I4680</f>
        <v>2969.6</v>
      </c>
      <c r="K4680" s="33" t="n">
        <f aca="false">IF(OR(E4680=0,E4680&gt;=7),0,D4680/(7-E4680)*E4680*INDEX(Products!$E$2:$E$49,MATCH(C4680,Products!$A$2:$A$49,0)))</f>
        <v>0</v>
      </c>
    </row>
    <row r="4681" customFormat="false" ht="15" hidden="false" customHeight="false" outlineLevel="0" collapsed="false">
      <c r="A4681" s="36" t="n">
        <v>46146</v>
      </c>
      <c r="B4681" s="24" t="s">
        <v>64</v>
      </c>
      <c r="C4681" s="24" t="s">
        <v>201</v>
      </c>
      <c r="D4681" s="33" t="n">
        <v>84</v>
      </c>
      <c r="E4681" s="24" t="n">
        <v>0</v>
      </c>
      <c r="F4681" s="37" t="n">
        <f aca="false">DATE(YEAR(A4681),MONTH(A4681),1)</f>
        <v>46143</v>
      </c>
      <c r="G4681" s="24" t="str">
        <f aca="false">INDEX(Products!$C$2:$C$49,MATCH(C4681,Products!$A$2:$A$49,0))</f>
        <v>Snacks &amp; Confectionery</v>
      </c>
      <c r="H4681" s="33" t="n">
        <f aca="false">D4681*INDEX(Products!$E$2:$E$49,MATCH(C4681,Products!$A$2:$A$49,0))</f>
        <v>13440</v>
      </c>
      <c r="I4681" s="33" t="n">
        <f aca="false">D4681*INDEX(Products!$D$2:$D$49,MATCH(C4681,Products!$A$2:$A$49,0))*(1+INDEX(Assumptions!$B$16:$B$20,MATCH(B4681,Assumptions!$A$16:$A$20,0)))</f>
        <v>10321.92</v>
      </c>
      <c r="J4681" s="33" t="n">
        <f aca="false">H4681-I4681</f>
        <v>3118.08</v>
      </c>
      <c r="K4681" s="33" t="n">
        <f aca="false">IF(OR(E4681=0,E4681&gt;=7),0,D4681/(7-E4681)*E4681*INDEX(Products!$E$2:$E$49,MATCH(C4681,Products!$A$2:$A$49,0)))</f>
        <v>0</v>
      </c>
    </row>
    <row r="4682" customFormat="false" ht="15" hidden="false" customHeight="false" outlineLevel="0" collapsed="false">
      <c r="A4682" s="36" t="n">
        <v>46153</v>
      </c>
      <c r="B4682" s="24" t="s">
        <v>64</v>
      </c>
      <c r="C4682" s="24" t="s">
        <v>201</v>
      </c>
      <c r="D4682" s="33" t="n">
        <v>84</v>
      </c>
      <c r="E4682" s="24" t="n">
        <v>0</v>
      </c>
      <c r="F4682" s="37" t="n">
        <f aca="false">DATE(YEAR(A4682),MONTH(A4682),1)</f>
        <v>46143</v>
      </c>
      <c r="G4682" s="24" t="str">
        <f aca="false">INDEX(Products!$C$2:$C$49,MATCH(C4682,Products!$A$2:$A$49,0))</f>
        <v>Snacks &amp; Confectionery</v>
      </c>
      <c r="H4682" s="33" t="n">
        <f aca="false">D4682*INDEX(Products!$E$2:$E$49,MATCH(C4682,Products!$A$2:$A$49,0))</f>
        <v>13440</v>
      </c>
      <c r="I4682" s="33" t="n">
        <f aca="false">D4682*INDEX(Products!$D$2:$D$49,MATCH(C4682,Products!$A$2:$A$49,0))*(1+INDEX(Assumptions!$B$16:$B$20,MATCH(B4682,Assumptions!$A$16:$A$20,0)))</f>
        <v>10321.92</v>
      </c>
      <c r="J4682" s="33" t="n">
        <f aca="false">H4682-I4682</f>
        <v>3118.08</v>
      </c>
      <c r="K4682" s="33" t="n">
        <f aca="false">IF(OR(E4682=0,E4682&gt;=7),0,D4682/(7-E4682)*E4682*INDEX(Products!$E$2:$E$49,MATCH(C4682,Products!$A$2:$A$49,0)))</f>
        <v>0</v>
      </c>
    </row>
    <row r="4683" customFormat="false" ht="15" hidden="false" customHeight="false" outlineLevel="0" collapsed="false">
      <c r="A4683" s="36" t="n">
        <v>46160</v>
      </c>
      <c r="B4683" s="24" t="s">
        <v>64</v>
      </c>
      <c r="C4683" s="24" t="s">
        <v>201</v>
      </c>
      <c r="D4683" s="33" t="n">
        <v>87</v>
      </c>
      <c r="E4683" s="24" t="n">
        <v>0</v>
      </c>
      <c r="F4683" s="37" t="n">
        <f aca="false">DATE(YEAR(A4683),MONTH(A4683),1)</f>
        <v>46143</v>
      </c>
      <c r="G4683" s="24" t="str">
        <f aca="false">INDEX(Products!$C$2:$C$49,MATCH(C4683,Products!$A$2:$A$49,0))</f>
        <v>Snacks &amp; Confectionery</v>
      </c>
      <c r="H4683" s="33" t="n">
        <f aca="false">D4683*INDEX(Products!$E$2:$E$49,MATCH(C4683,Products!$A$2:$A$49,0))</f>
        <v>13920</v>
      </c>
      <c r="I4683" s="33" t="n">
        <f aca="false">D4683*INDEX(Products!$D$2:$D$49,MATCH(C4683,Products!$A$2:$A$49,0))*(1+INDEX(Assumptions!$B$16:$B$20,MATCH(B4683,Assumptions!$A$16:$A$20,0)))</f>
        <v>10690.56</v>
      </c>
      <c r="J4683" s="33" t="n">
        <f aca="false">H4683-I4683</f>
        <v>3229.44</v>
      </c>
      <c r="K4683" s="33" t="n">
        <f aca="false">IF(OR(E4683=0,E4683&gt;=7),0,D4683/(7-E4683)*E4683*INDEX(Products!$E$2:$E$49,MATCH(C4683,Products!$A$2:$A$49,0)))</f>
        <v>0</v>
      </c>
    </row>
    <row r="4684" customFormat="false" ht="15" hidden="false" customHeight="false" outlineLevel="0" collapsed="false">
      <c r="A4684" s="36" t="n">
        <v>46167</v>
      </c>
      <c r="B4684" s="24" t="s">
        <v>64</v>
      </c>
      <c r="C4684" s="24" t="s">
        <v>201</v>
      </c>
      <c r="D4684" s="33" t="n">
        <v>161</v>
      </c>
      <c r="E4684" s="24" t="n">
        <v>0</v>
      </c>
      <c r="F4684" s="37" t="n">
        <f aca="false">DATE(YEAR(A4684),MONTH(A4684),1)</f>
        <v>46143</v>
      </c>
      <c r="G4684" s="24" t="str">
        <f aca="false">INDEX(Products!$C$2:$C$49,MATCH(C4684,Products!$A$2:$A$49,0))</f>
        <v>Snacks &amp; Confectionery</v>
      </c>
      <c r="H4684" s="33" t="n">
        <f aca="false">D4684*INDEX(Products!$E$2:$E$49,MATCH(C4684,Products!$A$2:$A$49,0))</f>
        <v>25760</v>
      </c>
      <c r="I4684" s="33" t="n">
        <f aca="false">D4684*INDEX(Products!$D$2:$D$49,MATCH(C4684,Products!$A$2:$A$49,0))*(1+INDEX(Assumptions!$B$16:$B$20,MATCH(B4684,Assumptions!$A$16:$A$20,0)))</f>
        <v>19783.68</v>
      </c>
      <c r="J4684" s="33" t="n">
        <f aca="false">H4684-I4684</f>
        <v>5976.32</v>
      </c>
      <c r="K4684" s="33" t="n">
        <f aca="false">IF(OR(E4684=0,E4684&gt;=7),0,D4684/(7-E4684)*E4684*INDEX(Products!$E$2:$E$49,MATCH(C4684,Products!$A$2:$A$49,0)))</f>
        <v>0</v>
      </c>
    </row>
    <row r="4685" customFormat="false" ht="15" hidden="false" customHeight="false" outlineLevel="0" collapsed="false">
      <c r="A4685" s="36" t="n">
        <v>46174</v>
      </c>
      <c r="B4685" s="24" t="s">
        <v>64</v>
      </c>
      <c r="C4685" s="24" t="s">
        <v>201</v>
      </c>
      <c r="D4685" s="33" t="n">
        <v>70</v>
      </c>
      <c r="E4685" s="24" t="n">
        <v>0</v>
      </c>
      <c r="F4685" s="37" t="n">
        <f aca="false">DATE(YEAR(A4685),MONTH(A4685),1)</f>
        <v>46174</v>
      </c>
      <c r="G4685" s="24" t="str">
        <f aca="false">INDEX(Products!$C$2:$C$49,MATCH(C4685,Products!$A$2:$A$49,0))</f>
        <v>Snacks &amp; Confectionery</v>
      </c>
      <c r="H4685" s="33" t="n">
        <f aca="false">D4685*INDEX(Products!$E$2:$E$49,MATCH(C4685,Products!$A$2:$A$49,0))</f>
        <v>11200</v>
      </c>
      <c r="I4685" s="33" t="n">
        <f aca="false">D4685*INDEX(Products!$D$2:$D$49,MATCH(C4685,Products!$A$2:$A$49,0))*(1+INDEX(Assumptions!$B$16:$B$20,MATCH(B4685,Assumptions!$A$16:$A$20,0)))</f>
        <v>8601.6</v>
      </c>
      <c r="J4685" s="33" t="n">
        <f aca="false">H4685-I4685</f>
        <v>2598.4</v>
      </c>
      <c r="K4685" s="33" t="n">
        <f aca="false">IF(OR(E4685=0,E4685&gt;=7),0,D4685/(7-E4685)*E4685*INDEX(Products!$E$2:$E$49,MATCH(C4685,Products!$A$2:$A$49,0)))</f>
        <v>0</v>
      </c>
    </row>
    <row r="4686" customFormat="false" ht="15" hidden="false" customHeight="false" outlineLevel="0" collapsed="false">
      <c r="A4686" s="36" t="n">
        <v>46181</v>
      </c>
      <c r="B4686" s="24" t="s">
        <v>64</v>
      </c>
      <c r="C4686" s="24" t="s">
        <v>201</v>
      </c>
      <c r="D4686" s="33" t="n">
        <v>66</v>
      </c>
      <c r="E4686" s="24" t="n">
        <v>0</v>
      </c>
      <c r="F4686" s="37" t="n">
        <f aca="false">DATE(YEAR(A4686),MONTH(A4686),1)</f>
        <v>46174</v>
      </c>
      <c r="G4686" s="24" t="str">
        <f aca="false">INDEX(Products!$C$2:$C$49,MATCH(C4686,Products!$A$2:$A$49,0))</f>
        <v>Snacks &amp; Confectionery</v>
      </c>
      <c r="H4686" s="33" t="n">
        <f aca="false">D4686*INDEX(Products!$E$2:$E$49,MATCH(C4686,Products!$A$2:$A$49,0))</f>
        <v>10560</v>
      </c>
      <c r="I4686" s="33" t="n">
        <f aca="false">D4686*INDEX(Products!$D$2:$D$49,MATCH(C4686,Products!$A$2:$A$49,0))*(1+INDEX(Assumptions!$B$16:$B$20,MATCH(B4686,Assumptions!$A$16:$A$20,0)))</f>
        <v>8110.08</v>
      </c>
      <c r="J4686" s="33" t="n">
        <f aca="false">H4686-I4686</f>
        <v>2449.92</v>
      </c>
      <c r="K4686" s="33" t="n">
        <f aca="false">IF(OR(E4686=0,E4686&gt;=7),0,D4686/(7-E4686)*E4686*INDEX(Products!$E$2:$E$49,MATCH(C4686,Products!$A$2:$A$49,0)))</f>
        <v>0</v>
      </c>
    </row>
    <row r="4687" customFormat="false" ht="15" hidden="false" customHeight="false" outlineLevel="0" collapsed="false">
      <c r="A4687" s="36" t="n">
        <v>46188</v>
      </c>
      <c r="B4687" s="24" t="s">
        <v>64</v>
      </c>
      <c r="C4687" s="24" t="s">
        <v>201</v>
      </c>
      <c r="D4687" s="33" t="n">
        <v>73</v>
      </c>
      <c r="E4687" s="24" t="n">
        <v>0</v>
      </c>
      <c r="F4687" s="37" t="n">
        <f aca="false">DATE(YEAR(A4687),MONTH(A4687),1)</f>
        <v>46174</v>
      </c>
      <c r="G4687" s="24" t="str">
        <f aca="false">INDEX(Products!$C$2:$C$49,MATCH(C4687,Products!$A$2:$A$49,0))</f>
        <v>Snacks &amp; Confectionery</v>
      </c>
      <c r="H4687" s="33" t="n">
        <f aca="false">D4687*INDEX(Products!$E$2:$E$49,MATCH(C4687,Products!$A$2:$A$49,0))</f>
        <v>11680</v>
      </c>
      <c r="I4687" s="33" t="n">
        <f aca="false">D4687*INDEX(Products!$D$2:$D$49,MATCH(C4687,Products!$A$2:$A$49,0))*(1+INDEX(Assumptions!$B$16:$B$20,MATCH(B4687,Assumptions!$A$16:$A$20,0)))</f>
        <v>8970.24</v>
      </c>
      <c r="J4687" s="33" t="n">
        <f aca="false">H4687-I4687</f>
        <v>2709.76</v>
      </c>
      <c r="K4687" s="33" t="n">
        <f aca="false">IF(OR(E4687=0,E4687&gt;=7),0,D4687/(7-E4687)*E4687*INDEX(Products!$E$2:$E$49,MATCH(C4687,Products!$A$2:$A$49,0)))</f>
        <v>0</v>
      </c>
    </row>
    <row r="4688" customFormat="false" ht="15" hidden="false" customHeight="false" outlineLevel="0" collapsed="false">
      <c r="A4688" s="36" t="n">
        <v>46195</v>
      </c>
      <c r="B4688" s="24" t="s">
        <v>64</v>
      </c>
      <c r="C4688" s="24" t="s">
        <v>201</v>
      </c>
      <c r="D4688" s="33" t="n">
        <v>82</v>
      </c>
      <c r="E4688" s="24" t="n">
        <v>0</v>
      </c>
      <c r="F4688" s="37" t="n">
        <f aca="false">DATE(YEAR(A4688),MONTH(A4688),1)</f>
        <v>46174</v>
      </c>
      <c r="G4688" s="24" t="str">
        <f aca="false">INDEX(Products!$C$2:$C$49,MATCH(C4688,Products!$A$2:$A$49,0))</f>
        <v>Snacks &amp; Confectionery</v>
      </c>
      <c r="H4688" s="33" t="n">
        <f aca="false">D4688*INDEX(Products!$E$2:$E$49,MATCH(C4688,Products!$A$2:$A$49,0))</f>
        <v>13120</v>
      </c>
      <c r="I4688" s="33" t="n">
        <f aca="false">D4688*INDEX(Products!$D$2:$D$49,MATCH(C4688,Products!$A$2:$A$49,0))*(1+INDEX(Assumptions!$B$16:$B$20,MATCH(B4688,Assumptions!$A$16:$A$20,0)))</f>
        <v>10076.16</v>
      </c>
      <c r="J4688" s="33" t="n">
        <f aca="false">H4688-I4688</f>
        <v>3043.84</v>
      </c>
      <c r="K4688" s="33" t="n">
        <f aca="false">IF(OR(E4688=0,E4688&gt;=7),0,D4688/(7-E4688)*E4688*INDEX(Products!$E$2:$E$49,MATCH(C4688,Products!$A$2:$A$49,0)))</f>
        <v>0</v>
      </c>
    </row>
    <row r="4689" customFormat="false" ht="15" hidden="false" customHeight="false" outlineLevel="0" collapsed="false">
      <c r="A4689" s="36" t="n">
        <v>46202</v>
      </c>
      <c r="B4689" s="24" t="s">
        <v>64</v>
      </c>
      <c r="C4689" s="24" t="s">
        <v>201</v>
      </c>
      <c r="D4689" s="33" t="n">
        <v>73</v>
      </c>
      <c r="E4689" s="24" t="n">
        <v>0</v>
      </c>
      <c r="F4689" s="37" t="n">
        <f aca="false">DATE(YEAR(A4689),MONTH(A4689),1)</f>
        <v>46174</v>
      </c>
      <c r="G4689" s="24" t="str">
        <f aca="false">INDEX(Products!$C$2:$C$49,MATCH(C4689,Products!$A$2:$A$49,0))</f>
        <v>Snacks &amp; Confectionery</v>
      </c>
      <c r="H4689" s="33" t="n">
        <f aca="false">D4689*INDEX(Products!$E$2:$E$49,MATCH(C4689,Products!$A$2:$A$49,0))</f>
        <v>11680</v>
      </c>
      <c r="I4689" s="33" t="n">
        <f aca="false">D4689*INDEX(Products!$D$2:$D$49,MATCH(C4689,Products!$A$2:$A$49,0))*(1+INDEX(Assumptions!$B$16:$B$20,MATCH(B4689,Assumptions!$A$16:$A$20,0)))</f>
        <v>8970.24</v>
      </c>
      <c r="J4689" s="33" t="n">
        <f aca="false">H4689-I4689</f>
        <v>2709.76</v>
      </c>
      <c r="K4689" s="33" t="n">
        <f aca="false">IF(OR(E4689=0,E4689&gt;=7),0,D4689/(7-E4689)*E4689*INDEX(Products!$E$2:$E$49,MATCH(C4689,Products!$A$2:$A$49,0)))</f>
        <v>0</v>
      </c>
    </row>
    <row r="4690" customFormat="false" ht="15" hidden="false" customHeight="false" outlineLevel="0" collapsed="false">
      <c r="A4690" s="36" t="n">
        <v>46209</v>
      </c>
      <c r="B4690" s="24" t="s">
        <v>64</v>
      </c>
      <c r="C4690" s="24" t="s">
        <v>201</v>
      </c>
      <c r="D4690" s="33" t="n">
        <v>81</v>
      </c>
      <c r="E4690" s="24" t="n">
        <v>0</v>
      </c>
      <c r="F4690" s="37" t="n">
        <f aca="false">DATE(YEAR(A4690),MONTH(A4690),1)</f>
        <v>46204</v>
      </c>
      <c r="G4690" s="24" t="str">
        <f aca="false">INDEX(Products!$C$2:$C$49,MATCH(C4690,Products!$A$2:$A$49,0))</f>
        <v>Snacks &amp; Confectionery</v>
      </c>
      <c r="H4690" s="33" t="n">
        <f aca="false">D4690*INDEX(Products!$E$2:$E$49,MATCH(C4690,Products!$A$2:$A$49,0))</f>
        <v>12960</v>
      </c>
      <c r="I4690" s="33" t="n">
        <f aca="false">D4690*INDEX(Products!$D$2:$D$49,MATCH(C4690,Products!$A$2:$A$49,0))*(1+INDEX(Assumptions!$B$16:$B$20,MATCH(B4690,Assumptions!$A$16:$A$20,0)))</f>
        <v>9953.28</v>
      </c>
      <c r="J4690" s="33" t="n">
        <f aca="false">H4690-I4690</f>
        <v>3006.72</v>
      </c>
      <c r="K4690" s="33" t="n">
        <f aca="false">IF(OR(E4690=0,E4690&gt;=7),0,D4690/(7-E4690)*E4690*INDEX(Products!$E$2:$E$49,MATCH(C4690,Products!$A$2:$A$49,0)))</f>
        <v>0</v>
      </c>
    </row>
    <row r="4691" customFormat="false" ht="15" hidden="false" customHeight="false" outlineLevel="0" collapsed="false">
      <c r="A4691" s="36" t="n">
        <v>46216</v>
      </c>
      <c r="B4691" s="24" t="s">
        <v>64</v>
      </c>
      <c r="C4691" s="24" t="s">
        <v>201</v>
      </c>
      <c r="D4691" s="33" t="n">
        <v>86</v>
      </c>
      <c r="E4691" s="24" t="n">
        <v>0</v>
      </c>
      <c r="F4691" s="37" t="n">
        <f aca="false">DATE(YEAR(A4691),MONTH(A4691),1)</f>
        <v>46204</v>
      </c>
      <c r="G4691" s="24" t="str">
        <f aca="false">INDEX(Products!$C$2:$C$49,MATCH(C4691,Products!$A$2:$A$49,0))</f>
        <v>Snacks &amp; Confectionery</v>
      </c>
      <c r="H4691" s="33" t="n">
        <f aca="false">D4691*INDEX(Products!$E$2:$E$49,MATCH(C4691,Products!$A$2:$A$49,0))</f>
        <v>13760</v>
      </c>
      <c r="I4691" s="33" t="n">
        <f aca="false">D4691*INDEX(Products!$D$2:$D$49,MATCH(C4691,Products!$A$2:$A$49,0))*(1+INDEX(Assumptions!$B$16:$B$20,MATCH(B4691,Assumptions!$A$16:$A$20,0)))</f>
        <v>10567.68</v>
      </c>
      <c r="J4691" s="33" t="n">
        <f aca="false">H4691-I4691</f>
        <v>3192.32</v>
      </c>
      <c r="K4691" s="33" t="n">
        <f aca="false">IF(OR(E4691=0,E4691&gt;=7),0,D4691/(7-E4691)*E4691*INDEX(Products!$E$2:$E$49,MATCH(C4691,Products!$A$2:$A$49,0)))</f>
        <v>0</v>
      </c>
    </row>
    <row r="4692" customFormat="false" ht="15" hidden="false" customHeight="false" outlineLevel="0" collapsed="false">
      <c r="A4692" s="36" t="n">
        <v>46223</v>
      </c>
      <c r="B4692" s="24" t="s">
        <v>64</v>
      </c>
      <c r="C4692" s="24" t="s">
        <v>201</v>
      </c>
      <c r="D4692" s="33" t="n">
        <v>62</v>
      </c>
      <c r="E4692" s="24" t="n">
        <v>0</v>
      </c>
      <c r="F4692" s="37" t="n">
        <f aca="false">DATE(YEAR(A4692),MONTH(A4692),1)</f>
        <v>46204</v>
      </c>
      <c r="G4692" s="24" t="str">
        <f aca="false">INDEX(Products!$C$2:$C$49,MATCH(C4692,Products!$A$2:$A$49,0))</f>
        <v>Snacks &amp; Confectionery</v>
      </c>
      <c r="H4692" s="33" t="n">
        <f aca="false">D4692*INDEX(Products!$E$2:$E$49,MATCH(C4692,Products!$A$2:$A$49,0))</f>
        <v>9920</v>
      </c>
      <c r="I4692" s="33" t="n">
        <f aca="false">D4692*INDEX(Products!$D$2:$D$49,MATCH(C4692,Products!$A$2:$A$49,0))*(1+INDEX(Assumptions!$B$16:$B$20,MATCH(B4692,Assumptions!$A$16:$A$20,0)))</f>
        <v>7618.56</v>
      </c>
      <c r="J4692" s="33" t="n">
        <f aca="false">H4692-I4692</f>
        <v>2301.44</v>
      </c>
      <c r="K4692" s="33" t="n">
        <f aca="false">IF(OR(E4692=0,E4692&gt;=7),0,D4692/(7-E4692)*E4692*INDEX(Products!$E$2:$E$49,MATCH(C4692,Products!$A$2:$A$49,0)))</f>
        <v>0</v>
      </c>
    </row>
    <row r="4693" customFormat="false" ht="15" hidden="false" customHeight="false" outlineLevel="0" collapsed="false">
      <c r="A4693" s="36" t="n">
        <v>46230</v>
      </c>
      <c r="B4693" s="24" t="s">
        <v>64</v>
      </c>
      <c r="C4693" s="24" t="s">
        <v>201</v>
      </c>
      <c r="D4693" s="33" t="n">
        <v>74</v>
      </c>
      <c r="E4693" s="24" t="n">
        <v>2</v>
      </c>
      <c r="F4693" s="37" t="n">
        <f aca="false">DATE(YEAR(A4693),MONTH(A4693),1)</f>
        <v>46204</v>
      </c>
      <c r="G4693" s="24" t="str">
        <f aca="false">INDEX(Products!$C$2:$C$49,MATCH(C4693,Products!$A$2:$A$49,0))</f>
        <v>Snacks &amp; Confectionery</v>
      </c>
      <c r="H4693" s="33" t="n">
        <f aca="false">D4693*INDEX(Products!$E$2:$E$49,MATCH(C4693,Products!$A$2:$A$49,0))</f>
        <v>11840</v>
      </c>
      <c r="I4693" s="33" t="n">
        <f aca="false">D4693*INDEX(Products!$D$2:$D$49,MATCH(C4693,Products!$A$2:$A$49,0))*(1+INDEX(Assumptions!$B$16:$B$20,MATCH(B4693,Assumptions!$A$16:$A$20,0)))</f>
        <v>9093.12</v>
      </c>
      <c r="J4693" s="33" t="n">
        <f aca="false">H4693-I4693</f>
        <v>2746.88</v>
      </c>
      <c r="K4693" s="33" t="n">
        <f aca="false">IF(OR(E4693=0,E4693&gt;=7),0,D4693/(7-E4693)*E4693*INDEX(Products!$E$2:$E$49,MATCH(C4693,Products!$A$2:$A$49,0)))</f>
        <v>4736</v>
      </c>
    </row>
    <row r="4694" customFormat="false" ht="15" hidden="false" customHeight="false" outlineLevel="0" collapsed="false">
      <c r="A4694" s="36" t="n">
        <v>46237</v>
      </c>
      <c r="B4694" s="24" t="s">
        <v>64</v>
      </c>
      <c r="C4694" s="24" t="s">
        <v>201</v>
      </c>
      <c r="D4694" s="33" t="n">
        <v>64</v>
      </c>
      <c r="E4694" s="24" t="n">
        <v>0</v>
      </c>
      <c r="F4694" s="37" t="n">
        <f aca="false">DATE(YEAR(A4694),MONTH(A4694),1)</f>
        <v>46235</v>
      </c>
      <c r="G4694" s="24" t="str">
        <f aca="false">INDEX(Products!$C$2:$C$49,MATCH(C4694,Products!$A$2:$A$49,0))</f>
        <v>Snacks &amp; Confectionery</v>
      </c>
      <c r="H4694" s="33" t="n">
        <f aca="false">D4694*INDEX(Products!$E$2:$E$49,MATCH(C4694,Products!$A$2:$A$49,0))</f>
        <v>10240</v>
      </c>
      <c r="I4694" s="33" t="n">
        <f aca="false">D4694*INDEX(Products!$D$2:$D$49,MATCH(C4694,Products!$A$2:$A$49,0))*(1+INDEX(Assumptions!$B$16:$B$20,MATCH(B4694,Assumptions!$A$16:$A$20,0)))</f>
        <v>7864.32</v>
      </c>
      <c r="J4694" s="33" t="n">
        <f aca="false">H4694-I4694</f>
        <v>2375.68</v>
      </c>
      <c r="K4694" s="33" t="n">
        <f aca="false">IF(OR(E4694=0,E4694&gt;=7),0,D4694/(7-E4694)*E4694*INDEX(Products!$E$2:$E$49,MATCH(C4694,Products!$A$2:$A$49,0)))</f>
        <v>0</v>
      </c>
    </row>
    <row r="4695" customFormat="false" ht="15" hidden="false" customHeight="false" outlineLevel="0" collapsed="false">
      <c r="A4695" s="36" t="n">
        <v>46244</v>
      </c>
      <c r="B4695" s="24" t="s">
        <v>64</v>
      </c>
      <c r="C4695" s="24" t="s">
        <v>201</v>
      </c>
      <c r="D4695" s="33" t="n">
        <v>78</v>
      </c>
      <c r="E4695" s="24" t="n">
        <v>0</v>
      </c>
      <c r="F4695" s="37" t="n">
        <f aca="false">DATE(YEAR(A4695),MONTH(A4695),1)</f>
        <v>46235</v>
      </c>
      <c r="G4695" s="24" t="str">
        <f aca="false">INDEX(Products!$C$2:$C$49,MATCH(C4695,Products!$A$2:$A$49,0))</f>
        <v>Snacks &amp; Confectionery</v>
      </c>
      <c r="H4695" s="33" t="n">
        <f aca="false">D4695*INDEX(Products!$E$2:$E$49,MATCH(C4695,Products!$A$2:$A$49,0))</f>
        <v>12480</v>
      </c>
      <c r="I4695" s="33" t="n">
        <f aca="false">D4695*INDEX(Products!$D$2:$D$49,MATCH(C4695,Products!$A$2:$A$49,0))*(1+INDEX(Assumptions!$B$16:$B$20,MATCH(B4695,Assumptions!$A$16:$A$20,0)))</f>
        <v>9584.64</v>
      </c>
      <c r="J4695" s="33" t="n">
        <f aca="false">H4695-I4695</f>
        <v>2895.36</v>
      </c>
      <c r="K4695" s="33" t="n">
        <f aca="false">IF(OR(E4695=0,E4695&gt;=7),0,D4695/(7-E4695)*E4695*INDEX(Products!$E$2:$E$49,MATCH(C4695,Products!$A$2:$A$49,0)))</f>
        <v>0</v>
      </c>
    </row>
    <row r="4696" customFormat="false" ht="15" hidden="false" customHeight="false" outlineLevel="0" collapsed="false">
      <c r="A4696" s="36" t="n">
        <v>46251</v>
      </c>
      <c r="B4696" s="24" t="s">
        <v>64</v>
      </c>
      <c r="C4696" s="24" t="s">
        <v>201</v>
      </c>
      <c r="D4696" s="33" t="n">
        <v>60</v>
      </c>
      <c r="E4696" s="24" t="n">
        <v>0</v>
      </c>
      <c r="F4696" s="37" t="n">
        <f aca="false">DATE(YEAR(A4696),MONTH(A4696),1)</f>
        <v>46235</v>
      </c>
      <c r="G4696" s="24" t="str">
        <f aca="false">INDEX(Products!$C$2:$C$49,MATCH(C4696,Products!$A$2:$A$49,0))</f>
        <v>Snacks &amp; Confectionery</v>
      </c>
      <c r="H4696" s="33" t="n">
        <f aca="false">D4696*INDEX(Products!$E$2:$E$49,MATCH(C4696,Products!$A$2:$A$49,0))</f>
        <v>9600</v>
      </c>
      <c r="I4696" s="33" t="n">
        <f aca="false">D4696*INDEX(Products!$D$2:$D$49,MATCH(C4696,Products!$A$2:$A$49,0))*(1+INDEX(Assumptions!$B$16:$B$20,MATCH(B4696,Assumptions!$A$16:$A$20,0)))</f>
        <v>7372.8</v>
      </c>
      <c r="J4696" s="33" t="n">
        <f aca="false">H4696-I4696</f>
        <v>2227.2</v>
      </c>
      <c r="K4696" s="33" t="n">
        <f aca="false">IF(OR(E4696=0,E4696&gt;=7),0,D4696/(7-E4696)*E4696*INDEX(Products!$E$2:$E$49,MATCH(C4696,Products!$A$2:$A$49,0)))</f>
        <v>0</v>
      </c>
    </row>
    <row r="4697" customFormat="false" ht="15" hidden="false" customHeight="false" outlineLevel="0" collapsed="false">
      <c r="A4697" s="36" t="n">
        <v>46258</v>
      </c>
      <c r="B4697" s="24" t="s">
        <v>64</v>
      </c>
      <c r="C4697" s="24" t="s">
        <v>201</v>
      </c>
      <c r="D4697" s="33" t="n">
        <v>83</v>
      </c>
      <c r="E4697" s="24" t="n">
        <v>0</v>
      </c>
      <c r="F4697" s="37" t="n">
        <f aca="false">DATE(YEAR(A4697),MONTH(A4697),1)</f>
        <v>46235</v>
      </c>
      <c r="G4697" s="24" t="str">
        <f aca="false">INDEX(Products!$C$2:$C$49,MATCH(C4697,Products!$A$2:$A$49,0))</f>
        <v>Snacks &amp; Confectionery</v>
      </c>
      <c r="H4697" s="33" t="n">
        <f aca="false">D4697*INDEX(Products!$E$2:$E$49,MATCH(C4697,Products!$A$2:$A$49,0))</f>
        <v>13280</v>
      </c>
      <c r="I4697" s="33" t="n">
        <f aca="false">D4697*INDEX(Products!$D$2:$D$49,MATCH(C4697,Products!$A$2:$A$49,0))*(1+INDEX(Assumptions!$B$16:$B$20,MATCH(B4697,Assumptions!$A$16:$A$20,0)))</f>
        <v>10199.04</v>
      </c>
      <c r="J4697" s="33" t="n">
        <f aca="false">H4697-I4697</f>
        <v>3080.96</v>
      </c>
      <c r="K4697" s="33" t="n">
        <f aca="false">IF(OR(E4697=0,E4697&gt;=7),0,D4697/(7-E4697)*E4697*INDEX(Products!$E$2:$E$49,MATCH(C4697,Products!$A$2:$A$49,0)))</f>
        <v>0</v>
      </c>
    </row>
    <row r="4698" customFormat="false" ht="15" hidden="false" customHeight="false" outlineLevel="0" collapsed="false">
      <c r="A4698" s="36" t="n">
        <v>46265</v>
      </c>
      <c r="B4698" s="24" t="s">
        <v>64</v>
      </c>
      <c r="C4698" s="24" t="s">
        <v>201</v>
      </c>
      <c r="D4698" s="33" t="n">
        <v>73</v>
      </c>
      <c r="E4698" s="24" t="n">
        <v>0</v>
      </c>
      <c r="F4698" s="37" t="n">
        <f aca="false">DATE(YEAR(A4698),MONTH(A4698),1)</f>
        <v>46235</v>
      </c>
      <c r="G4698" s="24" t="str">
        <f aca="false">INDEX(Products!$C$2:$C$49,MATCH(C4698,Products!$A$2:$A$49,0))</f>
        <v>Snacks &amp; Confectionery</v>
      </c>
      <c r="H4698" s="33" t="n">
        <f aca="false">D4698*INDEX(Products!$E$2:$E$49,MATCH(C4698,Products!$A$2:$A$49,0))</f>
        <v>11680</v>
      </c>
      <c r="I4698" s="33" t="n">
        <f aca="false">D4698*INDEX(Products!$D$2:$D$49,MATCH(C4698,Products!$A$2:$A$49,0))*(1+INDEX(Assumptions!$B$16:$B$20,MATCH(B4698,Assumptions!$A$16:$A$20,0)))</f>
        <v>8970.24</v>
      </c>
      <c r="J4698" s="33" t="n">
        <f aca="false">H4698-I4698</f>
        <v>2709.76</v>
      </c>
      <c r="K4698" s="33" t="n">
        <f aca="false">IF(OR(E4698=0,E4698&gt;=7),0,D4698/(7-E4698)*E4698*INDEX(Products!$E$2:$E$49,MATCH(C4698,Products!$A$2:$A$49,0)))</f>
        <v>0</v>
      </c>
    </row>
    <row r="4699" customFormat="false" ht="15" hidden="false" customHeight="false" outlineLevel="0" collapsed="false">
      <c r="A4699" s="36" t="n">
        <v>46272</v>
      </c>
      <c r="B4699" s="24" t="s">
        <v>64</v>
      </c>
      <c r="C4699" s="24" t="s">
        <v>201</v>
      </c>
      <c r="D4699" s="33" t="n">
        <v>138</v>
      </c>
      <c r="E4699" s="24" t="n">
        <v>0</v>
      </c>
      <c r="F4699" s="37" t="n">
        <f aca="false">DATE(YEAR(A4699),MONTH(A4699),1)</f>
        <v>46266</v>
      </c>
      <c r="G4699" s="24" t="str">
        <f aca="false">INDEX(Products!$C$2:$C$49,MATCH(C4699,Products!$A$2:$A$49,0))</f>
        <v>Snacks &amp; Confectionery</v>
      </c>
      <c r="H4699" s="33" t="n">
        <f aca="false">D4699*INDEX(Products!$E$2:$E$49,MATCH(C4699,Products!$A$2:$A$49,0))</f>
        <v>22080</v>
      </c>
      <c r="I4699" s="33" t="n">
        <f aca="false">D4699*INDEX(Products!$D$2:$D$49,MATCH(C4699,Products!$A$2:$A$49,0))*(1+INDEX(Assumptions!$B$16:$B$20,MATCH(B4699,Assumptions!$A$16:$A$20,0)))</f>
        <v>16957.44</v>
      </c>
      <c r="J4699" s="33" t="n">
        <f aca="false">H4699-I4699</f>
        <v>5122.56</v>
      </c>
      <c r="K4699" s="33" t="n">
        <f aca="false">IF(OR(E4699=0,E4699&gt;=7),0,D4699/(7-E4699)*E4699*INDEX(Products!$E$2:$E$49,MATCH(C4699,Products!$A$2:$A$49,0)))</f>
        <v>0</v>
      </c>
    </row>
    <row r="4700" customFormat="false" ht="15" hidden="false" customHeight="false" outlineLevel="0" collapsed="false">
      <c r="A4700" s="36" t="n">
        <v>46279</v>
      </c>
      <c r="B4700" s="24" t="s">
        <v>64</v>
      </c>
      <c r="C4700" s="24" t="s">
        <v>201</v>
      </c>
      <c r="D4700" s="33" t="n">
        <v>76</v>
      </c>
      <c r="E4700" s="24" t="n">
        <v>0</v>
      </c>
      <c r="F4700" s="37" t="n">
        <f aca="false">DATE(YEAR(A4700),MONTH(A4700),1)</f>
        <v>46266</v>
      </c>
      <c r="G4700" s="24" t="str">
        <f aca="false">INDEX(Products!$C$2:$C$49,MATCH(C4700,Products!$A$2:$A$49,0))</f>
        <v>Snacks &amp; Confectionery</v>
      </c>
      <c r="H4700" s="33" t="n">
        <f aca="false">D4700*INDEX(Products!$E$2:$E$49,MATCH(C4700,Products!$A$2:$A$49,0))</f>
        <v>12160</v>
      </c>
      <c r="I4700" s="33" t="n">
        <f aca="false">D4700*INDEX(Products!$D$2:$D$49,MATCH(C4700,Products!$A$2:$A$49,0))*(1+INDEX(Assumptions!$B$16:$B$20,MATCH(B4700,Assumptions!$A$16:$A$20,0)))</f>
        <v>9338.88</v>
      </c>
      <c r="J4700" s="33" t="n">
        <f aca="false">H4700-I4700</f>
        <v>2821.12</v>
      </c>
      <c r="K4700" s="33" t="n">
        <f aca="false">IF(OR(E4700=0,E4700&gt;=7),0,D4700/(7-E4700)*E4700*INDEX(Products!$E$2:$E$49,MATCH(C4700,Products!$A$2:$A$49,0)))</f>
        <v>0</v>
      </c>
    </row>
    <row r="4701" customFormat="false" ht="15" hidden="false" customHeight="false" outlineLevel="0" collapsed="false">
      <c r="A4701" s="36" t="n">
        <v>46286</v>
      </c>
      <c r="B4701" s="24" t="s">
        <v>64</v>
      </c>
      <c r="C4701" s="24" t="s">
        <v>201</v>
      </c>
      <c r="D4701" s="33" t="n">
        <v>130</v>
      </c>
      <c r="E4701" s="24" t="n">
        <v>0</v>
      </c>
      <c r="F4701" s="37" t="n">
        <f aca="false">DATE(YEAR(A4701),MONTH(A4701),1)</f>
        <v>46266</v>
      </c>
      <c r="G4701" s="24" t="str">
        <f aca="false">INDEX(Products!$C$2:$C$49,MATCH(C4701,Products!$A$2:$A$49,0))</f>
        <v>Snacks &amp; Confectionery</v>
      </c>
      <c r="H4701" s="33" t="n">
        <f aca="false">D4701*INDEX(Products!$E$2:$E$49,MATCH(C4701,Products!$A$2:$A$49,0))</f>
        <v>20800</v>
      </c>
      <c r="I4701" s="33" t="n">
        <f aca="false">D4701*INDEX(Products!$D$2:$D$49,MATCH(C4701,Products!$A$2:$A$49,0))*(1+INDEX(Assumptions!$B$16:$B$20,MATCH(B4701,Assumptions!$A$16:$A$20,0)))</f>
        <v>15974.4</v>
      </c>
      <c r="J4701" s="33" t="n">
        <f aca="false">H4701-I4701</f>
        <v>4825.6</v>
      </c>
      <c r="K4701" s="33" t="n">
        <f aca="false">IF(OR(E4701=0,E4701&gt;=7),0,D4701/(7-E4701)*E4701*INDEX(Products!$E$2:$E$49,MATCH(C4701,Products!$A$2:$A$49,0)))</f>
        <v>0</v>
      </c>
    </row>
    <row r="4702" customFormat="false" ht="15" hidden="false" customHeight="false" outlineLevel="0" collapsed="false">
      <c r="A4702" s="36" t="n">
        <v>46118</v>
      </c>
      <c r="B4702" s="24" t="s">
        <v>64</v>
      </c>
      <c r="C4702" s="24" t="s">
        <v>203</v>
      </c>
      <c r="D4702" s="33" t="n">
        <v>23</v>
      </c>
      <c r="E4702" s="24" t="n">
        <v>0</v>
      </c>
      <c r="F4702" s="37" t="n">
        <f aca="false">DATE(YEAR(A4702),MONTH(A4702),1)</f>
        <v>46113</v>
      </c>
      <c r="G4702" s="24" t="str">
        <f aca="false">INDEX(Products!$C$2:$C$49,MATCH(C4702,Products!$A$2:$A$49,0))</f>
        <v>Snacks &amp; Confectionery</v>
      </c>
      <c r="H4702" s="33" t="n">
        <f aca="false">D4702*INDEX(Products!$E$2:$E$49,MATCH(C4702,Products!$A$2:$A$49,0))</f>
        <v>1495</v>
      </c>
      <c r="I4702" s="33" t="n">
        <f aca="false">D4702*INDEX(Products!$D$2:$D$49,MATCH(C4702,Products!$A$2:$A$49,0))*(1+INDEX(Assumptions!$B$16:$B$20,MATCH(B4702,Assumptions!$A$16:$A$20,0)))</f>
        <v>1106.944</v>
      </c>
      <c r="J4702" s="33" t="n">
        <f aca="false">H4702-I4702</f>
        <v>388.056</v>
      </c>
      <c r="K4702" s="33" t="n">
        <f aca="false">IF(OR(E4702=0,E4702&gt;=7),0,D4702/(7-E4702)*E4702*INDEX(Products!$E$2:$E$49,MATCH(C4702,Products!$A$2:$A$49,0)))</f>
        <v>0</v>
      </c>
    </row>
    <row r="4703" customFormat="false" ht="15" hidden="false" customHeight="false" outlineLevel="0" collapsed="false">
      <c r="A4703" s="36" t="n">
        <v>46125</v>
      </c>
      <c r="B4703" s="24" t="s">
        <v>64</v>
      </c>
      <c r="C4703" s="24" t="s">
        <v>203</v>
      </c>
      <c r="D4703" s="33" t="n">
        <v>46</v>
      </c>
      <c r="E4703" s="24" t="n">
        <v>0</v>
      </c>
      <c r="F4703" s="37" t="n">
        <f aca="false">DATE(YEAR(A4703),MONTH(A4703),1)</f>
        <v>46113</v>
      </c>
      <c r="G4703" s="24" t="str">
        <f aca="false">INDEX(Products!$C$2:$C$49,MATCH(C4703,Products!$A$2:$A$49,0))</f>
        <v>Snacks &amp; Confectionery</v>
      </c>
      <c r="H4703" s="33" t="n">
        <f aca="false">D4703*INDEX(Products!$E$2:$E$49,MATCH(C4703,Products!$A$2:$A$49,0))</f>
        <v>2990</v>
      </c>
      <c r="I4703" s="33" t="n">
        <f aca="false">D4703*INDEX(Products!$D$2:$D$49,MATCH(C4703,Products!$A$2:$A$49,0))*(1+INDEX(Assumptions!$B$16:$B$20,MATCH(B4703,Assumptions!$A$16:$A$20,0)))</f>
        <v>2213.888</v>
      </c>
      <c r="J4703" s="33" t="n">
        <f aca="false">H4703-I4703</f>
        <v>776.112</v>
      </c>
      <c r="K4703" s="33" t="n">
        <f aca="false">IF(OR(E4703=0,E4703&gt;=7),0,D4703/(7-E4703)*E4703*INDEX(Products!$E$2:$E$49,MATCH(C4703,Products!$A$2:$A$49,0)))</f>
        <v>0</v>
      </c>
    </row>
    <row r="4704" customFormat="false" ht="15" hidden="false" customHeight="false" outlineLevel="0" collapsed="false">
      <c r="A4704" s="36" t="n">
        <v>46132</v>
      </c>
      <c r="B4704" s="24" t="s">
        <v>64</v>
      </c>
      <c r="C4704" s="24" t="s">
        <v>203</v>
      </c>
      <c r="D4704" s="33" t="n">
        <v>39</v>
      </c>
      <c r="E4704" s="24" t="n">
        <v>0</v>
      </c>
      <c r="F4704" s="37" t="n">
        <f aca="false">DATE(YEAR(A4704),MONTH(A4704),1)</f>
        <v>46113</v>
      </c>
      <c r="G4704" s="24" t="str">
        <f aca="false">INDEX(Products!$C$2:$C$49,MATCH(C4704,Products!$A$2:$A$49,0))</f>
        <v>Snacks &amp; Confectionery</v>
      </c>
      <c r="H4704" s="33" t="n">
        <f aca="false">D4704*INDEX(Products!$E$2:$E$49,MATCH(C4704,Products!$A$2:$A$49,0))</f>
        <v>2535</v>
      </c>
      <c r="I4704" s="33" t="n">
        <f aca="false">D4704*INDEX(Products!$D$2:$D$49,MATCH(C4704,Products!$A$2:$A$49,0))*(1+INDEX(Assumptions!$B$16:$B$20,MATCH(B4704,Assumptions!$A$16:$A$20,0)))</f>
        <v>1876.992</v>
      </c>
      <c r="J4704" s="33" t="n">
        <f aca="false">H4704-I4704</f>
        <v>658.008</v>
      </c>
      <c r="K4704" s="33" t="n">
        <f aca="false">IF(OR(E4704=0,E4704&gt;=7),0,D4704/(7-E4704)*E4704*INDEX(Products!$E$2:$E$49,MATCH(C4704,Products!$A$2:$A$49,0)))</f>
        <v>0</v>
      </c>
    </row>
    <row r="4705" customFormat="false" ht="15" hidden="false" customHeight="false" outlineLevel="0" collapsed="false">
      <c r="A4705" s="36" t="n">
        <v>46139</v>
      </c>
      <c r="B4705" s="24" t="s">
        <v>64</v>
      </c>
      <c r="C4705" s="24" t="s">
        <v>203</v>
      </c>
      <c r="D4705" s="33" t="n">
        <v>40</v>
      </c>
      <c r="E4705" s="24" t="n">
        <v>0</v>
      </c>
      <c r="F4705" s="37" t="n">
        <f aca="false">DATE(YEAR(A4705),MONTH(A4705),1)</f>
        <v>46113</v>
      </c>
      <c r="G4705" s="24" t="str">
        <f aca="false">INDEX(Products!$C$2:$C$49,MATCH(C4705,Products!$A$2:$A$49,0))</f>
        <v>Snacks &amp; Confectionery</v>
      </c>
      <c r="H4705" s="33" t="n">
        <f aca="false">D4705*INDEX(Products!$E$2:$E$49,MATCH(C4705,Products!$A$2:$A$49,0))</f>
        <v>2600</v>
      </c>
      <c r="I4705" s="33" t="n">
        <f aca="false">D4705*INDEX(Products!$D$2:$D$49,MATCH(C4705,Products!$A$2:$A$49,0))*(1+INDEX(Assumptions!$B$16:$B$20,MATCH(B4705,Assumptions!$A$16:$A$20,0)))</f>
        <v>1925.12</v>
      </c>
      <c r="J4705" s="33" t="n">
        <f aca="false">H4705-I4705</f>
        <v>674.88</v>
      </c>
      <c r="K4705" s="33" t="n">
        <f aca="false">IF(OR(E4705=0,E4705&gt;=7),0,D4705/(7-E4705)*E4705*INDEX(Products!$E$2:$E$49,MATCH(C4705,Products!$A$2:$A$49,0)))</f>
        <v>0</v>
      </c>
    </row>
    <row r="4706" customFormat="false" ht="15" hidden="false" customHeight="false" outlineLevel="0" collapsed="false">
      <c r="A4706" s="36" t="n">
        <v>46146</v>
      </c>
      <c r="B4706" s="24" t="s">
        <v>64</v>
      </c>
      <c r="C4706" s="24" t="s">
        <v>203</v>
      </c>
      <c r="D4706" s="33" t="n">
        <v>31</v>
      </c>
      <c r="E4706" s="24" t="n">
        <v>0</v>
      </c>
      <c r="F4706" s="37" t="n">
        <f aca="false">DATE(YEAR(A4706),MONTH(A4706),1)</f>
        <v>46143</v>
      </c>
      <c r="G4706" s="24" t="str">
        <f aca="false">INDEX(Products!$C$2:$C$49,MATCH(C4706,Products!$A$2:$A$49,0))</f>
        <v>Snacks &amp; Confectionery</v>
      </c>
      <c r="H4706" s="33" t="n">
        <f aca="false">D4706*INDEX(Products!$E$2:$E$49,MATCH(C4706,Products!$A$2:$A$49,0))</f>
        <v>2015</v>
      </c>
      <c r="I4706" s="33" t="n">
        <f aca="false">D4706*INDEX(Products!$D$2:$D$49,MATCH(C4706,Products!$A$2:$A$49,0))*(1+INDEX(Assumptions!$B$16:$B$20,MATCH(B4706,Assumptions!$A$16:$A$20,0)))</f>
        <v>1491.968</v>
      </c>
      <c r="J4706" s="33" t="n">
        <f aca="false">H4706-I4706</f>
        <v>523.032</v>
      </c>
      <c r="K4706" s="33" t="n">
        <f aca="false">IF(OR(E4706=0,E4706&gt;=7),0,D4706/(7-E4706)*E4706*INDEX(Products!$E$2:$E$49,MATCH(C4706,Products!$A$2:$A$49,0)))</f>
        <v>0</v>
      </c>
    </row>
    <row r="4707" customFormat="false" ht="15" hidden="false" customHeight="false" outlineLevel="0" collapsed="false">
      <c r="A4707" s="36" t="n">
        <v>46153</v>
      </c>
      <c r="B4707" s="24" t="s">
        <v>64</v>
      </c>
      <c r="C4707" s="24" t="s">
        <v>203</v>
      </c>
      <c r="D4707" s="33" t="n">
        <v>39</v>
      </c>
      <c r="E4707" s="24" t="n">
        <v>0</v>
      </c>
      <c r="F4707" s="37" t="n">
        <f aca="false">DATE(YEAR(A4707),MONTH(A4707),1)</f>
        <v>46143</v>
      </c>
      <c r="G4707" s="24" t="str">
        <f aca="false">INDEX(Products!$C$2:$C$49,MATCH(C4707,Products!$A$2:$A$49,0))</f>
        <v>Snacks &amp; Confectionery</v>
      </c>
      <c r="H4707" s="33" t="n">
        <f aca="false">D4707*INDEX(Products!$E$2:$E$49,MATCH(C4707,Products!$A$2:$A$49,0))</f>
        <v>2535</v>
      </c>
      <c r="I4707" s="33" t="n">
        <f aca="false">D4707*INDEX(Products!$D$2:$D$49,MATCH(C4707,Products!$A$2:$A$49,0))*(1+INDEX(Assumptions!$B$16:$B$20,MATCH(B4707,Assumptions!$A$16:$A$20,0)))</f>
        <v>1876.992</v>
      </c>
      <c r="J4707" s="33" t="n">
        <f aca="false">H4707-I4707</f>
        <v>658.008</v>
      </c>
      <c r="K4707" s="33" t="n">
        <f aca="false">IF(OR(E4707=0,E4707&gt;=7),0,D4707/(7-E4707)*E4707*INDEX(Products!$E$2:$E$49,MATCH(C4707,Products!$A$2:$A$49,0)))</f>
        <v>0</v>
      </c>
    </row>
    <row r="4708" customFormat="false" ht="15" hidden="false" customHeight="false" outlineLevel="0" collapsed="false">
      <c r="A4708" s="36" t="n">
        <v>46160</v>
      </c>
      <c r="B4708" s="24" t="s">
        <v>64</v>
      </c>
      <c r="C4708" s="24" t="s">
        <v>203</v>
      </c>
      <c r="D4708" s="33" t="n">
        <v>23</v>
      </c>
      <c r="E4708" s="24" t="n">
        <v>0</v>
      </c>
      <c r="F4708" s="37" t="n">
        <f aca="false">DATE(YEAR(A4708),MONTH(A4708),1)</f>
        <v>46143</v>
      </c>
      <c r="G4708" s="24" t="str">
        <f aca="false">INDEX(Products!$C$2:$C$49,MATCH(C4708,Products!$A$2:$A$49,0))</f>
        <v>Snacks &amp; Confectionery</v>
      </c>
      <c r="H4708" s="33" t="n">
        <f aca="false">D4708*INDEX(Products!$E$2:$E$49,MATCH(C4708,Products!$A$2:$A$49,0))</f>
        <v>1495</v>
      </c>
      <c r="I4708" s="33" t="n">
        <f aca="false">D4708*INDEX(Products!$D$2:$D$49,MATCH(C4708,Products!$A$2:$A$49,0))*(1+INDEX(Assumptions!$B$16:$B$20,MATCH(B4708,Assumptions!$A$16:$A$20,0)))</f>
        <v>1106.944</v>
      </c>
      <c r="J4708" s="33" t="n">
        <f aca="false">H4708-I4708</f>
        <v>388.056</v>
      </c>
      <c r="K4708" s="33" t="n">
        <f aca="false">IF(OR(E4708=0,E4708&gt;=7),0,D4708/(7-E4708)*E4708*INDEX(Products!$E$2:$E$49,MATCH(C4708,Products!$A$2:$A$49,0)))</f>
        <v>0</v>
      </c>
    </row>
    <row r="4709" customFormat="false" ht="15" hidden="false" customHeight="false" outlineLevel="0" collapsed="false">
      <c r="A4709" s="36" t="n">
        <v>46167</v>
      </c>
      <c r="B4709" s="24" t="s">
        <v>64</v>
      </c>
      <c r="C4709" s="24" t="s">
        <v>203</v>
      </c>
      <c r="D4709" s="33" t="n">
        <v>40</v>
      </c>
      <c r="E4709" s="24" t="n">
        <v>0</v>
      </c>
      <c r="F4709" s="37" t="n">
        <f aca="false">DATE(YEAR(A4709),MONTH(A4709),1)</f>
        <v>46143</v>
      </c>
      <c r="G4709" s="24" t="str">
        <f aca="false">INDEX(Products!$C$2:$C$49,MATCH(C4709,Products!$A$2:$A$49,0))</f>
        <v>Snacks &amp; Confectionery</v>
      </c>
      <c r="H4709" s="33" t="n">
        <f aca="false">D4709*INDEX(Products!$E$2:$E$49,MATCH(C4709,Products!$A$2:$A$49,0))</f>
        <v>2600</v>
      </c>
      <c r="I4709" s="33" t="n">
        <f aca="false">D4709*INDEX(Products!$D$2:$D$49,MATCH(C4709,Products!$A$2:$A$49,0))*(1+INDEX(Assumptions!$B$16:$B$20,MATCH(B4709,Assumptions!$A$16:$A$20,0)))</f>
        <v>1925.12</v>
      </c>
      <c r="J4709" s="33" t="n">
        <f aca="false">H4709-I4709</f>
        <v>674.88</v>
      </c>
      <c r="K4709" s="33" t="n">
        <f aca="false">IF(OR(E4709=0,E4709&gt;=7),0,D4709/(7-E4709)*E4709*INDEX(Products!$E$2:$E$49,MATCH(C4709,Products!$A$2:$A$49,0)))</f>
        <v>0</v>
      </c>
    </row>
    <row r="4710" customFormat="false" ht="15" hidden="false" customHeight="false" outlineLevel="0" collapsed="false">
      <c r="A4710" s="36" t="n">
        <v>46174</v>
      </c>
      <c r="B4710" s="24" t="s">
        <v>64</v>
      </c>
      <c r="C4710" s="24" t="s">
        <v>203</v>
      </c>
      <c r="D4710" s="33" t="n">
        <v>38</v>
      </c>
      <c r="E4710" s="24" t="n">
        <v>0</v>
      </c>
      <c r="F4710" s="37" t="n">
        <f aca="false">DATE(YEAR(A4710),MONTH(A4710),1)</f>
        <v>46174</v>
      </c>
      <c r="G4710" s="24" t="str">
        <f aca="false">INDEX(Products!$C$2:$C$49,MATCH(C4710,Products!$A$2:$A$49,0))</f>
        <v>Snacks &amp; Confectionery</v>
      </c>
      <c r="H4710" s="33" t="n">
        <f aca="false">D4710*INDEX(Products!$E$2:$E$49,MATCH(C4710,Products!$A$2:$A$49,0))</f>
        <v>2470</v>
      </c>
      <c r="I4710" s="33" t="n">
        <f aca="false">D4710*INDEX(Products!$D$2:$D$49,MATCH(C4710,Products!$A$2:$A$49,0))*(1+INDEX(Assumptions!$B$16:$B$20,MATCH(B4710,Assumptions!$A$16:$A$20,0)))</f>
        <v>1828.864</v>
      </c>
      <c r="J4710" s="33" t="n">
        <f aca="false">H4710-I4710</f>
        <v>641.136</v>
      </c>
      <c r="K4710" s="33" t="n">
        <f aca="false">IF(OR(E4710=0,E4710&gt;=7),0,D4710/(7-E4710)*E4710*INDEX(Products!$E$2:$E$49,MATCH(C4710,Products!$A$2:$A$49,0)))</f>
        <v>0</v>
      </c>
    </row>
    <row r="4711" customFormat="false" ht="15" hidden="false" customHeight="false" outlineLevel="0" collapsed="false">
      <c r="A4711" s="36" t="n">
        <v>46181</v>
      </c>
      <c r="B4711" s="24" t="s">
        <v>64</v>
      </c>
      <c r="C4711" s="24" t="s">
        <v>203</v>
      </c>
      <c r="D4711" s="33" t="n">
        <v>31</v>
      </c>
      <c r="E4711" s="24" t="n">
        <v>0</v>
      </c>
      <c r="F4711" s="37" t="n">
        <f aca="false">DATE(YEAR(A4711),MONTH(A4711),1)</f>
        <v>46174</v>
      </c>
      <c r="G4711" s="24" t="str">
        <f aca="false">INDEX(Products!$C$2:$C$49,MATCH(C4711,Products!$A$2:$A$49,0))</f>
        <v>Snacks &amp; Confectionery</v>
      </c>
      <c r="H4711" s="33" t="n">
        <f aca="false">D4711*INDEX(Products!$E$2:$E$49,MATCH(C4711,Products!$A$2:$A$49,0))</f>
        <v>2015</v>
      </c>
      <c r="I4711" s="33" t="n">
        <f aca="false">D4711*INDEX(Products!$D$2:$D$49,MATCH(C4711,Products!$A$2:$A$49,0))*(1+INDEX(Assumptions!$B$16:$B$20,MATCH(B4711,Assumptions!$A$16:$A$20,0)))</f>
        <v>1491.968</v>
      </c>
      <c r="J4711" s="33" t="n">
        <f aca="false">H4711-I4711</f>
        <v>523.032</v>
      </c>
      <c r="K4711" s="33" t="n">
        <f aca="false">IF(OR(E4711=0,E4711&gt;=7),0,D4711/(7-E4711)*E4711*INDEX(Products!$E$2:$E$49,MATCH(C4711,Products!$A$2:$A$49,0)))</f>
        <v>0</v>
      </c>
    </row>
    <row r="4712" customFormat="false" ht="15" hidden="false" customHeight="false" outlineLevel="0" collapsed="false">
      <c r="A4712" s="36" t="n">
        <v>46188</v>
      </c>
      <c r="B4712" s="24" t="s">
        <v>64</v>
      </c>
      <c r="C4712" s="24" t="s">
        <v>203</v>
      </c>
      <c r="D4712" s="33" t="n">
        <v>31</v>
      </c>
      <c r="E4712" s="24" t="n">
        <v>0</v>
      </c>
      <c r="F4712" s="37" t="n">
        <f aca="false">DATE(YEAR(A4712),MONTH(A4712),1)</f>
        <v>46174</v>
      </c>
      <c r="G4712" s="24" t="str">
        <f aca="false">INDEX(Products!$C$2:$C$49,MATCH(C4712,Products!$A$2:$A$49,0))</f>
        <v>Snacks &amp; Confectionery</v>
      </c>
      <c r="H4712" s="33" t="n">
        <f aca="false">D4712*INDEX(Products!$E$2:$E$49,MATCH(C4712,Products!$A$2:$A$49,0))</f>
        <v>2015</v>
      </c>
      <c r="I4712" s="33" t="n">
        <f aca="false">D4712*INDEX(Products!$D$2:$D$49,MATCH(C4712,Products!$A$2:$A$49,0))*(1+INDEX(Assumptions!$B$16:$B$20,MATCH(B4712,Assumptions!$A$16:$A$20,0)))</f>
        <v>1491.968</v>
      </c>
      <c r="J4712" s="33" t="n">
        <f aca="false">H4712-I4712</f>
        <v>523.032</v>
      </c>
      <c r="K4712" s="33" t="n">
        <f aca="false">IF(OR(E4712=0,E4712&gt;=7),0,D4712/(7-E4712)*E4712*INDEX(Products!$E$2:$E$49,MATCH(C4712,Products!$A$2:$A$49,0)))</f>
        <v>0</v>
      </c>
    </row>
    <row r="4713" customFormat="false" ht="15" hidden="false" customHeight="false" outlineLevel="0" collapsed="false">
      <c r="A4713" s="36" t="n">
        <v>46195</v>
      </c>
      <c r="B4713" s="24" t="s">
        <v>64</v>
      </c>
      <c r="C4713" s="24" t="s">
        <v>203</v>
      </c>
      <c r="D4713" s="33" t="n">
        <v>31</v>
      </c>
      <c r="E4713" s="24" t="n">
        <v>0</v>
      </c>
      <c r="F4713" s="37" t="n">
        <f aca="false">DATE(YEAR(A4713),MONTH(A4713),1)</f>
        <v>46174</v>
      </c>
      <c r="G4713" s="24" t="str">
        <f aca="false">INDEX(Products!$C$2:$C$49,MATCH(C4713,Products!$A$2:$A$49,0))</f>
        <v>Snacks &amp; Confectionery</v>
      </c>
      <c r="H4713" s="33" t="n">
        <f aca="false">D4713*INDEX(Products!$E$2:$E$49,MATCH(C4713,Products!$A$2:$A$49,0))</f>
        <v>2015</v>
      </c>
      <c r="I4713" s="33" t="n">
        <f aca="false">D4713*INDEX(Products!$D$2:$D$49,MATCH(C4713,Products!$A$2:$A$49,0))*(1+INDEX(Assumptions!$B$16:$B$20,MATCH(B4713,Assumptions!$A$16:$A$20,0)))</f>
        <v>1491.968</v>
      </c>
      <c r="J4713" s="33" t="n">
        <f aca="false">H4713-I4713</f>
        <v>523.032</v>
      </c>
      <c r="K4713" s="33" t="n">
        <f aca="false">IF(OR(E4713=0,E4713&gt;=7),0,D4713/(7-E4713)*E4713*INDEX(Products!$E$2:$E$49,MATCH(C4713,Products!$A$2:$A$49,0)))</f>
        <v>0</v>
      </c>
    </row>
    <row r="4714" customFormat="false" ht="15" hidden="false" customHeight="false" outlineLevel="0" collapsed="false">
      <c r="A4714" s="36" t="n">
        <v>46202</v>
      </c>
      <c r="B4714" s="24" t="s">
        <v>64</v>
      </c>
      <c r="C4714" s="24" t="s">
        <v>203</v>
      </c>
      <c r="D4714" s="33" t="n">
        <v>30</v>
      </c>
      <c r="E4714" s="24" t="n">
        <v>0</v>
      </c>
      <c r="F4714" s="37" t="n">
        <f aca="false">DATE(YEAR(A4714),MONTH(A4714),1)</f>
        <v>46174</v>
      </c>
      <c r="G4714" s="24" t="str">
        <f aca="false">INDEX(Products!$C$2:$C$49,MATCH(C4714,Products!$A$2:$A$49,0))</f>
        <v>Snacks &amp; Confectionery</v>
      </c>
      <c r="H4714" s="33" t="n">
        <f aca="false">D4714*INDEX(Products!$E$2:$E$49,MATCH(C4714,Products!$A$2:$A$49,0))</f>
        <v>1950</v>
      </c>
      <c r="I4714" s="33" t="n">
        <f aca="false">D4714*INDEX(Products!$D$2:$D$49,MATCH(C4714,Products!$A$2:$A$49,0))*(1+INDEX(Assumptions!$B$16:$B$20,MATCH(B4714,Assumptions!$A$16:$A$20,0)))</f>
        <v>1443.84</v>
      </c>
      <c r="J4714" s="33" t="n">
        <f aca="false">H4714-I4714</f>
        <v>506.16</v>
      </c>
      <c r="K4714" s="33" t="n">
        <f aca="false">IF(OR(E4714=0,E4714&gt;=7),0,D4714/(7-E4714)*E4714*INDEX(Products!$E$2:$E$49,MATCH(C4714,Products!$A$2:$A$49,0)))</f>
        <v>0</v>
      </c>
    </row>
    <row r="4715" customFormat="false" ht="15" hidden="false" customHeight="false" outlineLevel="0" collapsed="false">
      <c r="A4715" s="36" t="n">
        <v>46209</v>
      </c>
      <c r="B4715" s="24" t="s">
        <v>64</v>
      </c>
      <c r="C4715" s="24" t="s">
        <v>203</v>
      </c>
      <c r="D4715" s="33" t="n">
        <v>32</v>
      </c>
      <c r="E4715" s="24" t="n">
        <v>0</v>
      </c>
      <c r="F4715" s="37" t="n">
        <f aca="false">DATE(YEAR(A4715),MONTH(A4715),1)</f>
        <v>46204</v>
      </c>
      <c r="G4715" s="24" t="str">
        <f aca="false">INDEX(Products!$C$2:$C$49,MATCH(C4715,Products!$A$2:$A$49,0))</f>
        <v>Snacks &amp; Confectionery</v>
      </c>
      <c r="H4715" s="33" t="n">
        <f aca="false">D4715*INDEX(Products!$E$2:$E$49,MATCH(C4715,Products!$A$2:$A$49,0))</f>
        <v>2080</v>
      </c>
      <c r="I4715" s="33" t="n">
        <f aca="false">D4715*INDEX(Products!$D$2:$D$49,MATCH(C4715,Products!$A$2:$A$49,0))*(1+INDEX(Assumptions!$B$16:$B$20,MATCH(B4715,Assumptions!$A$16:$A$20,0)))</f>
        <v>1540.096</v>
      </c>
      <c r="J4715" s="33" t="n">
        <f aca="false">H4715-I4715</f>
        <v>539.904</v>
      </c>
      <c r="K4715" s="33" t="n">
        <f aca="false">IF(OR(E4715=0,E4715&gt;=7),0,D4715/(7-E4715)*E4715*INDEX(Products!$E$2:$E$49,MATCH(C4715,Products!$A$2:$A$49,0)))</f>
        <v>0</v>
      </c>
    </row>
    <row r="4716" customFormat="false" ht="15" hidden="false" customHeight="false" outlineLevel="0" collapsed="false">
      <c r="A4716" s="36" t="n">
        <v>46216</v>
      </c>
      <c r="B4716" s="24" t="s">
        <v>64</v>
      </c>
      <c r="C4716" s="24" t="s">
        <v>203</v>
      </c>
      <c r="D4716" s="33" t="n">
        <v>18</v>
      </c>
      <c r="E4716" s="24" t="n">
        <v>2</v>
      </c>
      <c r="F4716" s="37" t="n">
        <f aca="false">DATE(YEAR(A4716),MONTH(A4716),1)</f>
        <v>46204</v>
      </c>
      <c r="G4716" s="24" t="str">
        <f aca="false">INDEX(Products!$C$2:$C$49,MATCH(C4716,Products!$A$2:$A$49,0))</f>
        <v>Snacks &amp; Confectionery</v>
      </c>
      <c r="H4716" s="33" t="n">
        <f aca="false">D4716*INDEX(Products!$E$2:$E$49,MATCH(C4716,Products!$A$2:$A$49,0))</f>
        <v>1170</v>
      </c>
      <c r="I4716" s="33" t="n">
        <f aca="false">D4716*INDEX(Products!$D$2:$D$49,MATCH(C4716,Products!$A$2:$A$49,0))*(1+INDEX(Assumptions!$B$16:$B$20,MATCH(B4716,Assumptions!$A$16:$A$20,0)))</f>
        <v>866.304</v>
      </c>
      <c r="J4716" s="33" t="n">
        <f aca="false">H4716-I4716</f>
        <v>303.696</v>
      </c>
      <c r="K4716" s="33" t="n">
        <f aca="false">IF(OR(E4716=0,E4716&gt;=7),0,D4716/(7-E4716)*E4716*INDEX(Products!$E$2:$E$49,MATCH(C4716,Products!$A$2:$A$49,0)))</f>
        <v>468</v>
      </c>
    </row>
    <row r="4717" customFormat="false" ht="15" hidden="false" customHeight="false" outlineLevel="0" collapsed="false">
      <c r="A4717" s="36" t="n">
        <v>46223</v>
      </c>
      <c r="B4717" s="24" t="s">
        <v>64</v>
      </c>
      <c r="C4717" s="24" t="s">
        <v>203</v>
      </c>
      <c r="D4717" s="33" t="n">
        <v>38</v>
      </c>
      <c r="E4717" s="24" t="n">
        <v>0</v>
      </c>
      <c r="F4717" s="37" t="n">
        <f aca="false">DATE(YEAR(A4717),MONTH(A4717),1)</f>
        <v>46204</v>
      </c>
      <c r="G4717" s="24" t="str">
        <f aca="false">INDEX(Products!$C$2:$C$49,MATCH(C4717,Products!$A$2:$A$49,0))</f>
        <v>Snacks &amp; Confectionery</v>
      </c>
      <c r="H4717" s="33" t="n">
        <f aca="false">D4717*INDEX(Products!$E$2:$E$49,MATCH(C4717,Products!$A$2:$A$49,0))</f>
        <v>2470</v>
      </c>
      <c r="I4717" s="33" t="n">
        <f aca="false">D4717*INDEX(Products!$D$2:$D$49,MATCH(C4717,Products!$A$2:$A$49,0))*(1+INDEX(Assumptions!$B$16:$B$20,MATCH(B4717,Assumptions!$A$16:$A$20,0)))</f>
        <v>1828.864</v>
      </c>
      <c r="J4717" s="33" t="n">
        <f aca="false">H4717-I4717</f>
        <v>641.136</v>
      </c>
      <c r="K4717" s="33" t="n">
        <f aca="false">IF(OR(E4717=0,E4717&gt;=7),0,D4717/(7-E4717)*E4717*INDEX(Products!$E$2:$E$49,MATCH(C4717,Products!$A$2:$A$49,0)))</f>
        <v>0</v>
      </c>
    </row>
    <row r="4718" customFormat="false" ht="15" hidden="false" customHeight="false" outlineLevel="0" collapsed="false">
      <c r="A4718" s="36" t="n">
        <v>46230</v>
      </c>
      <c r="B4718" s="24" t="s">
        <v>64</v>
      </c>
      <c r="C4718" s="24" t="s">
        <v>203</v>
      </c>
      <c r="D4718" s="33" t="n">
        <v>32</v>
      </c>
      <c r="E4718" s="24" t="n">
        <v>0</v>
      </c>
      <c r="F4718" s="37" t="n">
        <f aca="false">DATE(YEAR(A4718),MONTH(A4718),1)</f>
        <v>46204</v>
      </c>
      <c r="G4718" s="24" t="str">
        <f aca="false">INDEX(Products!$C$2:$C$49,MATCH(C4718,Products!$A$2:$A$49,0))</f>
        <v>Snacks &amp; Confectionery</v>
      </c>
      <c r="H4718" s="33" t="n">
        <f aca="false">D4718*INDEX(Products!$E$2:$E$49,MATCH(C4718,Products!$A$2:$A$49,0))</f>
        <v>2080</v>
      </c>
      <c r="I4718" s="33" t="n">
        <f aca="false">D4718*INDEX(Products!$D$2:$D$49,MATCH(C4718,Products!$A$2:$A$49,0))*(1+INDEX(Assumptions!$B$16:$B$20,MATCH(B4718,Assumptions!$A$16:$A$20,0)))</f>
        <v>1540.096</v>
      </c>
      <c r="J4718" s="33" t="n">
        <f aca="false">H4718-I4718</f>
        <v>539.904</v>
      </c>
      <c r="K4718" s="33" t="n">
        <f aca="false">IF(OR(E4718=0,E4718&gt;=7),0,D4718/(7-E4718)*E4718*INDEX(Products!$E$2:$E$49,MATCH(C4718,Products!$A$2:$A$49,0)))</f>
        <v>0</v>
      </c>
    </row>
    <row r="4719" customFormat="false" ht="15" hidden="false" customHeight="false" outlineLevel="0" collapsed="false">
      <c r="A4719" s="36" t="n">
        <v>46237</v>
      </c>
      <c r="B4719" s="24" t="s">
        <v>64</v>
      </c>
      <c r="C4719" s="24" t="s">
        <v>203</v>
      </c>
      <c r="D4719" s="33" t="n">
        <v>28</v>
      </c>
      <c r="E4719" s="24" t="n">
        <v>0</v>
      </c>
      <c r="F4719" s="37" t="n">
        <f aca="false">DATE(YEAR(A4719),MONTH(A4719),1)</f>
        <v>46235</v>
      </c>
      <c r="G4719" s="24" t="str">
        <f aca="false">INDEX(Products!$C$2:$C$49,MATCH(C4719,Products!$A$2:$A$49,0))</f>
        <v>Snacks &amp; Confectionery</v>
      </c>
      <c r="H4719" s="33" t="n">
        <f aca="false">D4719*INDEX(Products!$E$2:$E$49,MATCH(C4719,Products!$A$2:$A$49,0))</f>
        <v>1820</v>
      </c>
      <c r="I4719" s="33" t="n">
        <f aca="false">D4719*INDEX(Products!$D$2:$D$49,MATCH(C4719,Products!$A$2:$A$49,0))*(1+INDEX(Assumptions!$B$16:$B$20,MATCH(B4719,Assumptions!$A$16:$A$20,0)))</f>
        <v>1347.584</v>
      </c>
      <c r="J4719" s="33" t="n">
        <f aca="false">H4719-I4719</f>
        <v>472.416</v>
      </c>
      <c r="K4719" s="33" t="n">
        <f aca="false">IF(OR(E4719=0,E4719&gt;=7),0,D4719/(7-E4719)*E4719*INDEX(Products!$E$2:$E$49,MATCH(C4719,Products!$A$2:$A$49,0)))</f>
        <v>0</v>
      </c>
    </row>
    <row r="4720" customFormat="false" ht="15" hidden="false" customHeight="false" outlineLevel="0" collapsed="false">
      <c r="A4720" s="36" t="n">
        <v>46244</v>
      </c>
      <c r="B4720" s="24" t="s">
        <v>64</v>
      </c>
      <c r="C4720" s="24" t="s">
        <v>203</v>
      </c>
      <c r="D4720" s="33" t="n">
        <v>32</v>
      </c>
      <c r="E4720" s="24" t="n">
        <v>0</v>
      </c>
      <c r="F4720" s="37" t="n">
        <f aca="false">DATE(YEAR(A4720),MONTH(A4720),1)</f>
        <v>46235</v>
      </c>
      <c r="G4720" s="24" t="str">
        <f aca="false">INDEX(Products!$C$2:$C$49,MATCH(C4720,Products!$A$2:$A$49,0))</f>
        <v>Snacks &amp; Confectionery</v>
      </c>
      <c r="H4720" s="33" t="n">
        <f aca="false">D4720*INDEX(Products!$E$2:$E$49,MATCH(C4720,Products!$A$2:$A$49,0))</f>
        <v>2080</v>
      </c>
      <c r="I4720" s="33" t="n">
        <f aca="false">D4720*INDEX(Products!$D$2:$D$49,MATCH(C4720,Products!$A$2:$A$49,0))*(1+INDEX(Assumptions!$B$16:$B$20,MATCH(B4720,Assumptions!$A$16:$A$20,0)))</f>
        <v>1540.096</v>
      </c>
      <c r="J4720" s="33" t="n">
        <f aca="false">H4720-I4720</f>
        <v>539.904</v>
      </c>
      <c r="K4720" s="33" t="n">
        <f aca="false">IF(OR(E4720=0,E4720&gt;=7),0,D4720/(7-E4720)*E4720*INDEX(Products!$E$2:$E$49,MATCH(C4720,Products!$A$2:$A$49,0)))</f>
        <v>0</v>
      </c>
    </row>
    <row r="4721" customFormat="false" ht="15" hidden="false" customHeight="false" outlineLevel="0" collapsed="false">
      <c r="A4721" s="36" t="n">
        <v>46251</v>
      </c>
      <c r="B4721" s="24" t="s">
        <v>64</v>
      </c>
      <c r="C4721" s="24" t="s">
        <v>203</v>
      </c>
      <c r="D4721" s="33" t="n">
        <v>36</v>
      </c>
      <c r="E4721" s="24" t="n">
        <v>0</v>
      </c>
      <c r="F4721" s="37" t="n">
        <f aca="false">DATE(YEAR(A4721),MONTH(A4721),1)</f>
        <v>46235</v>
      </c>
      <c r="G4721" s="24" t="str">
        <f aca="false">INDEX(Products!$C$2:$C$49,MATCH(C4721,Products!$A$2:$A$49,0))</f>
        <v>Snacks &amp; Confectionery</v>
      </c>
      <c r="H4721" s="33" t="n">
        <f aca="false">D4721*INDEX(Products!$E$2:$E$49,MATCH(C4721,Products!$A$2:$A$49,0))</f>
        <v>2340</v>
      </c>
      <c r="I4721" s="33" t="n">
        <f aca="false">D4721*INDEX(Products!$D$2:$D$49,MATCH(C4721,Products!$A$2:$A$49,0))*(1+INDEX(Assumptions!$B$16:$B$20,MATCH(B4721,Assumptions!$A$16:$A$20,0)))</f>
        <v>1732.608</v>
      </c>
      <c r="J4721" s="33" t="n">
        <f aca="false">H4721-I4721</f>
        <v>607.392</v>
      </c>
      <c r="K4721" s="33" t="n">
        <f aca="false">IF(OR(E4721=0,E4721&gt;=7),0,D4721/(7-E4721)*E4721*INDEX(Products!$E$2:$E$49,MATCH(C4721,Products!$A$2:$A$49,0)))</f>
        <v>0</v>
      </c>
    </row>
    <row r="4722" customFormat="false" ht="15" hidden="false" customHeight="false" outlineLevel="0" collapsed="false">
      <c r="A4722" s="36" t="n">
        <v>46258</v>
      </c>
      <c r="B4722" s="24" t="s">
        <v>64</v>
      </c>
      <c r="C4722" s="24" t="s">
        <v>203</v>
      </c>
      <c r="D4722" s="33" t="n">
        <v>37</v>
      </c>
      <c r="E4722" s="24" t="n">
        <v>0</v>
      </c>
      <c r="F4722" s="37" t="n">
        <f aca="false">DATE(YEAR(A4722),MONTH(A4722),1)</f>
        <v>46235</v>
      </c>
      <c r="G4722" s="24" t="str">
        <f aca="false">INDEX(Products!$C$2:$C$49,MATCH(C4722,Products!$A$2:$A$49,0))</f>
        <v>Snacks &amp; Confectionery</v>
      </c>
      <c r="H4722" s="33" t="n">
        <f aca="false">D4722*INDEX(Products!$E$2:$E$49,MATCH(C4722,Products!$A$2:$A$49,0))</f>
        <v>2405</v>
      </c>
      <c r="I4722" s="33" t="n">
        <f aca="false">D4722*INDEX(Products!$D$2:$D$49,MATCH(C4722,Products!$A$2:$A$49,0))*(1+INDEX(Assumptions!$B$16:$B$20,MATCH(B4722,Assumptions!$A$16:$A$20,0)))</f>
        <v>1780.736</v>
      </c>
      <c r="J4722" s="33" t="n">
        <f aca="false">H4722-I4722</f>
        <v>624.264</v>
      </c>
      <c r="K4722" s="33" t="n">
        <f aca="false">IF(OR(E4722=0,E4722&gt;=7),0,D4722/(7-E4722)*E4722*INDEX(Products!$E$2:$E$49,MATCH(C4722,Products!$A$2:$A$49,0)))</f>
        <v>0</v>
      </c>
    </row>
    <row r="4723" customFormat="false" ht="15" hidden="false" customHeight="false" outlineLevel="0" collapsed="false">
      <c r="A4723" s="36" t="n">
        <v>46265</v>
      </c>
      <c r="B4723" s="24" t="s">
        <v>64</v>
      </c>
      <c r="C4723" s="24" t="s">
        <v>203</v>
      </c>
      <c r="D4723" s="33" t="n">
        <v>33</v>
      </c>
      <c r="E4723" s="24" t="n">
        <v>0</v>
      </c>
      <c r="F4723" s="37" t="n">
        <f aca="false">DATE(YEAR(A4723),MONTH(A4723),1)</f>
        <v>46235</v>
      </c>
      <c r="G4723" s="24" t="str">
        <f aca="false">INDEX(Products!$C$2:$C$49,MATCH(C4723,Products!$A$2:$A$49,0))</f>
        <v>Snacks &amp; Confectionery</v>
      </c>
      <c r="H4723" s="33" t="n">
        <f aca="false">D4723*INDEX(Products!$E$2:$E$49,MATCH(C4723,Products!$A$2:$A$49,0))</f>
        <v>2145</v>
      </c>
      <c r="I4723" s="33" t="n">
        <f aca="false">D4723*INDEX(Products!$D$2:$D$49,MATCH(C4723,Products!$A$2:$A$49,0))*(1+INDEX(Assumptions!$B$16:$B$20,MATCH(B4723,Assumptions!$A$16:$A$20,0)))</f>
        <v>1588.224</v>
      </c>
      <c r="J4723" s="33" t="n">
        <f aca="false">H4723-I4723</f>
        <v>556.776</v>
      </c>
      <c r="K4723" s="33" t="n">
        <f aca="false">IF(OR(E4723=0,E4723&gt;=7),0,D4723/(7-E4723)*E4723*INDEX(Products!$E$2:$E$49,MATCH(C4723,Products!$A$2:$A$49,0)))</f>
        <v>0</v>
      </c>
    </row>
    <row r="4724" customFormat="false" ht="15" hidden="false" customHeight="false" outlineLevel="0" collapsed="false">
      <c r="A4724" s="36" t="n">
        <v>46272</v>
      </c>
      <c r="B4724" s="24" t="s">
        <v>64</v>
      </c>
      <c r="C4724" s="24" t="s">
        <v>203</v>
      </c>
      <c r="D4724" s="33" t="n">
        <v>29</v>
      </c>
      <c r="E4724" s="24" t="n">
        <v>0</v>
      </c>
      <c r="F4724" s="37" t="n">
        <f aca="false">DATE(YEAR(A4724),MONTH(A4724),1)</f>
        <v>46266</v>
      </c>
      <c r="G4724" s="24" t="str">
        <f aca="false">INDEX(Products!$C$2:$C$49,MATCH(C4724,Products!$A$2:$A$49,0))</f>
        <v>Snacks &amp; Confectionery</v>
      </c>
      <c r="H4724" s="33" t="n">
        <f aca="false">D4724*INDEX(Products!$E$2:$E$49,MATCH(C4724,Products!$A$2:$A$49,0))</f>
        <v>1885</v>
      </c>
      <c r="I4724" s="33" t="n">
        <f aca="false">D4724*INDEX(Products!$D$2:$D$49,MATCH(C4724,Products!$A$2:$A$49,0))*(1+INDEX(Assumptions!$B$16:$B$20,MATCH(B4724,Assumptions!$A$16:$A$20,0)))</f>
        <v>1395.712</v>
      </c>
      <c r="J4724" s="33" t="n">
        <f aca="false">H4724-I4724</f>
        <v>489.288</v>
      </c>
      <c r="K4724" s="33" t="n">
        <f aca="false">IF(OR(E4724=0,E4724&gt;=7),0,D4724/(7-E4724)*E4724*INDEX(Products!$E$2:$E$49,MATCH(C4724,Products!$A$2:$A$49,0)))</f>
        <v>0</v>
      </c>
    </row>
    <row r="4725" customFormat="false" ht="15" hidden="false" customHeight="false" outlineLevel="0" collapsed="false">
      <c r="A4725" s="36" t="n">
        <v>46279</v>
      </c>
      <c r="B4725" s="24" t="s">
        <v>64</v>
      </c>
      <c r="C4725" s="24" t="s">
        <v>203</v>
      </c>
      <c r="D4725" s="33" t="n">
        <v>37</v>
      </c>
      <c r="E4725" s="24" t="n">
        <v>0</v>
      </c>
      <c r="F4725" s="37" t="n">
        <f aca="false">DATE(YEAR(A4725),MONTH(A4725),1)</f>
        <v>46266</v>
      </c>
      <c r="G4725" s="24" t="str">
        <f aca="false">INDEX(Products!$C$2:$C$49,MATCH(C4725,Products!$A$2:$A$49,0))</f>
        <v>Snacks &amp; Confectionery</v>
      </c>
      <c r="H4725" s="33" t="n">
        <f aca="false">D4725*INDEX(Products!$E$2:$E$49,MATCH(C4725,Products!$A$2:$A$49,0))</f>
        <v>2405</v>
      </c>
      <c r="I4725" s="33" t="n">
        <f aca="false">D4725*INDEX(Products!$D$2:$D$49,MATCH(C4725,Products!$A$2:$A$49,0))*(1+INDEX(Assumptions!$B$16:$B$20,MATCH(B4725,Assumptions!$A$16:$A$20,0)))</f>
        <v>1780.736</v>
      </c>
      <c r="J4725" s="33" t="n">
        <f aca="false">H4725-I4725</f>
        <v>624.264</v>
      </c>
      <c r="K4725" s="33" t="n">
        <f aca="false">IF(OR(E4725=0,E4725&gt;=7),0,D4725/(7-E4725)*E4725*INDEX(Products!$E$2:$E$49,MATCH(C4725,Products!$A$2:$A$49,0)))</f>
        <v>0</v>
      </c>
    </row>
    <row r="4726" customFormat="false" ht="15" hidden="false" customHeight="false" outlineLevel="0" collapsed="false">
      <c r="A4726" s="36" t="n">
        <v>46286</v>
      </c>
      <c r="B4726" s="24" t="s">
        <v>64</v>
      </c>
      <c r="C4726" s="24" t="s">
        <v>203</v>
      </c>
      <c r="D4726" s="33" t="n">
        <v>41</v>
      </c>
      <c r="E4726" s="24" t="n">
        <v>0</v>
      </c>
      <c r="F4726" s="37" t="n">
        <f aca="false">DATE(YEAR(A4726),MONTH(A4726),1)</f>
        <v>46266</v>
      </c>
      <c r="G4726" s="24" t="str">
        <f aca="false">INDEX(Products!$C$2:$C$49,MATCH(C4726,Products!$A$2:$A$49,0))</f>
        <v>Snacks &amp; Confectionery</v>
      </c>
      <c r="H4726" s="33" t="n">
        <f aca="false">D4726*INDEX(Products!$E$2:$E$49,MATCH(C4726,Products!$A$2:$A$49,0))</f>
        <v>2665</v>
      </c>
      <c r="I4726" s="33" t="n">
        <f aca="false">D4726*INDEX(Products!$D$2:$D$49,MATCH(C4726,Products!$A$2:$A$49,0))*(1+INDEX(Assumptions!$B$16:$B$20,MATCH(B4726,Assumptions!$A$16:$A$20,0)))</f>
        <v>1973.248</v>
      </c>
      <c r="J4726" s="33" t="n">
        <f aca="false">H4726-I4726</f>
        <v>691.752</v>
      </c>
      <c r="K4726" s="33" t="n">
        <f aca="false">IF(OR(E4726=0,E4726&gt;=7),0,D4726/(7-E4726)*E4726*INDEX(Products!$E$2:$E$49,MATCH(C4726,Products!$A$2:$A$49,0)))</f>
        <v>0</v>
      </c>
    </row>
    <row r="4727" customFormat="false" ht="15" hidden="false" customHeight="false" outlineLevel="0" collapsed="false">
      <c r="A4727" s="36" t="n">
        <v>46118</v>
      </c>
      <c r="B4727" s="24" t="s">
        <v>64</v>
      </c>
      <c r="C4727" s="24" t="s">
        <v>205</v>
      </c>
      <c r="D4727" s="33" t="n">
        <v>54</v>
      </c>
      <c r="E4727" s="24" t="n">
        <v>0</v>
      </c>
      <c r="F4727" s="37" t="n">
        <f aca="false">DATE(YEAR(A4727),MONTH(A4727),1)</f>
        <v>46113</v>
      </c>
      <c r="G4727" s="24" t="str">
        <f aca="false">INDEX(Products!$C$2:$C$49,MATCH(C4727,Products!$A$2:$A$49,0))</f>
        <v>Snacks &amp; Confectionery</v>
      </c>
      <c r="H4727" s="33" t="n">
        <f aca="false">D4727*INDEX(Products!$E$2:$E$49,MATCH(C4727,Products!$A$2:$A$49,0))</f>
        <v>6480</v>
      </c>
      <c r="I4727" s="33" t="n">
        <f aca="false">D4727*INDEX(Products!$D$2:$D$49,MATCH(C4727,Products!$A$2:$A$49,0))*(1+INDEX(Assumptions!$B$16:$B$20,MATCH(B4727,Assumptions!$A$16:$A$20,0)))</f>
        <v>4478.976</v>
      </c>
      <c r="J4727" s="33" t="n">
        <f aca="false">H4727-I4727</f>
        <v>2001.024</v>
      </c>
      <c r="K4727" s="33" t="n">
        <f aca="false">IF(OR(E4727=0,E4727&gt;=7),0,D4727/(7-E4727)*E4727*INDEX(Products!$E$2:$E$49,MATCH(C4727,Products!$A$2:$A$49,0)))</f>
        <v>0</v>
      </c>
    </row>
    <row r="4728" customFormat="false" ht="15" hidden="false" customHeight="false" outlineLevel="0" collapsed="false">
      <c r="A4728" s="36" t="n">
        <v>46125</v>
      </c>
      <c r="B4728" s="24" t="s">
        <v>64</v>
      </c>
      <c r="C4728" s="24" t="s">
        <v>205</v>
      </c>
      <c r="D4728" s="33" t="n">
        <v>48</v>
      </c>
      <c r="E4728" s="24" t="n">
        <v>0</v>
      </c>
      <c r="F4728" s="37" t="n">
        <f aca="false">DATE(YEAR(A4728),MONTH(A4728),1)</f>
        <v>46113</v>
      </c>
      <c r="G4728" s="24" t="str">
        <f aca="false">INDEX(Products!$C$2:$C$49,MATCH(C4728,Products!$A$2:$A$49,0))</f>
        <v>Snacks &amp; Confectionery</v>
      </c>
      <c r="H4728" s="33" t="n">
        <f aca="false">D4728*INDEX(Products!$E$2:$E$49,MATCH(C4728,Products!$A$2:$A$49,0))</f>
        <v>5760</v>
      </c>
      <c r="I4728" s="33" t="n">
        <f aca="false">D4728*INDEX(Products!$D$2:$D$49,MATCH(C4728,Products!$A$2:$A$49,0))*(1+INDEX(Assumptions!$B$16:$B$20,MATCH(B4728,Assumptions!$A$16:$A$20,0)))</f>
        <v>3981.312</v>
      </c>
      <c r="J4728" s="33" t="n">
        <f aca="false">H4728-I4728</f>
        <v>1778.688</v>
      </c>
      <c r="K4728" s="33" t="n">
        <f aca="false">IF(OR(E4728=0,E4728&gt;=7),0,D4728/(7-E4728)*E4728*INDEX(Products!$E$2:$E$49,MATCH(C4728,Products!$A$2:$A$49,0)))</f>
        <v>0</v>
      </c>
    </row>
    <row r="4729" customFormat="false" ht="15" hidden="false" customHeight="false" outlineLevel="0" collapsed="false">
      <c r="A4729" s="36" t="n">
        <v>46132</v>
      </c>
      <c r="B4729" s="24" t="s">
        <v>64</v>
      </c>
      <c r="C4729" s="24" t="s">
        <v>205</v>
      </c>
      <c r="D4729" s="33" t="n">
        <v>50</v>
      </c>
      <c r="E4729" s="24" t="n">
        <v>0</v>
      </c>
      <c r="F4729" s="37" t="n">
        <f aca="false">DATE(YEAR(A4729),MONTH(A4729),1)</f>
        <v>46113</v>
      </c>
      <c r="G4729" s="24" t="str">
        <f aca="false">INDEX(Products!$C$2:$C$49,MATCH(C4729,Products!$A$2:$A$49,0))</f>
        <v>Snacks &amp; Confectionery</v>
      </c>
      <c r="H4729" s="33" t="n">
        <f aca="false">D4729*INDEX(Products!$E$2:$E$49,MATCH(C4729,Products!$A$2:$A$49,0))</f>
        <v>6000</v>
      </c>
      <c r="I4729" s="33" t="n">
        <f aca="false">D4729*INDEX(Products!$D$2:$D$49,MATCH(C4729,Products!$A$2:$A$49,0))*(1+INDEX(Assumptions!$B$16:$B$20,MATCH(B4729,Assumptions!$A$16:$A$20,0)))</f>
        <v>4147.2</v>
      </c>
      <c r="J4729" s="33" t="n">
        <f aca="false">H4729-I4729</f>
        <v>1852.8</v>
      </c>
      <c r="K4729" s="33" t="n">
        <f aca="false">IF(OR(E4729=0,E4729&gt;=7),0,D4729/(7-E4729)*E4729*INDEX(Products!$E$2:$E$49,MATCH(C4729,Products!$A$2:$A$49,0)))</f>
        <v>0</v>
      </c>
    </row>
    <row r="4730" customFormat="false" ht="15" hidden="false" customHeight="false" outlineLevel="0" collapsed="false">
      <c r="A4730" s="36" t="n">
        <v>46139</v>
      </c>
      <c r="B4730" s="24" t="s">
        <v>64</v>
      </c>
      <c r="C4730" s="24" t="s">
        <v>205</v>
      </c>
      <c r="D4730" s="33" t="n">
        <v>53</v>
      </c>
      <c r="E4730" s="24" t="n">
        <v>0</v>
      </c>
      <c r="F4730" s="37" t="n">
        <f aca="false">DATE(YEAR(A4730),MONTH(A4730),1)</f>
        <v>46113</v>
      </c>
      <c r="G4730" s="24" t="str">
        <f aca="false">INDEX(Products!$C$2:$C$49,MATCH(C4730,Products!$A$2:$A$49,0))</f>
        <v>Snacks &amp; Confectionery</v>
      </c>
      <c r="H4730" s="33" t="n">
        <f aca="false">D4730*INDEX(Products!$E$2:$E$49,MATCH(C4730,Products!$A$2:$A$49,0))</f>
        <v>6360</v>
      </c>
      <c r="I4730" s="33" t="n">
        <f aca="false">D4730*INDEX(Products!$D$2:$D$49,MATCH(C4730,Products!$A$2:$A$49,0))*(1+INDEX(Assumptions!$B$16:$B$20,MATCH(B4730,Assumptions!$A$16:$A$20,0)))</f>
        <v>4396.032</v>
      </c>
      <c r="J4730" s="33" t="n">
        <f aca="false">H4730-I4730</f>
        <v>1963.968</v>
      </c>
      <c r="K4730" s="33" t="n">
        <f aca="false">IF(OR(E4730=0,E4730&gt;=7),0,D4730/(7-E4730)*E4730*INDEX(Products!$E$2:$E$49,MATCH(C4730,Products!$A$2:$A$49,0)))</f>
        <v>0</v>
      </c>
    </row>
    <row r="4731" customFormat="false" ht="15" hidden="false" customHeight="false" outlineLevel="0" collapsed="false">
      <c r="A4731" s="36" t="n">
        <v>46146</v>
      </c>
      <c r="B4731" s="24" t="s">
        <v>64</v>
      </c>
      <c r="C4731" s="24" t="s">
        <v>205</v>
      </c>
      <c r="D4731" s="33" t="n">
        <v>51</v>
      </c>
      <c r="E4731" s="24" t="n">
        <v>0</v>
      </c>
      <c r="F4731" s="37" t="n">
        <f aca="false">DATE(YEAR(A4731),MONTH(A4731),1)</f>
        <v>46143</v>
      </c>
      <c r="G4731" s="24" t="str">
        <f aca="false">INDEX(Products!$C$2:$C$49,MATCH(C4731,Products!$A$2:$A$49,0))</f>
        <v>Snacks &amp; Confectionery</v>
      </c>
      <c r="H4731" s="33" t="n">
        <f aca="false">D4731*INDEX(Products!$E$2:$E$49,MATCH(C4731,Products!$A$2:$A$49,0))</f>
        <v>6120</v>
      </c>
      <c r="I4731" s="33" t="n">
        <f aca="false">D4731*INDEX(Products!$D$2:$D$49,MATCH(C4731,Products!$A$2:$A$49,0))*(1+INDEX(Assumptions!$B$16:$B$20,MATCH(B4731,Assumptions!$A$16:$A$20,0)))</f>
        <v>4230.144</v>
      </c>
      <c r="J4731" s="33" t="n">
        <f aca="false">H4731-I4731</f>
        <v>1889.856</v>
      </c>
      <c r="K4731" s="33" t="n">
        <f aca="false">IF(OR(E4731=0,E4731&gt;=7),0,D4731/(7-E4731)*E4731*INDEX(Products!$E$2:$E$49,MATCH(C4731,Products!$A$2:$A$49,0)))</f>
        <v>0</v>
      </c>
    </row>
    <row r="4732" customFormat="false" ht="15" hidden="false" customHeight="false" outlineLevel="0" collapsed="false">
      <c r="A4732" s="36" t="n">
        <v>46153</v>
      </c>
      <c r="B4732" s="24" t="s">
        <v>64</v>
      </c>
      <c r="C4732" s="24" t="s">
        <v>205</v>
      </c>
      <c r="D4732" s="33" t="n">
        <v>54</v>
      </c>
      <c r="E4732" s="24" t="n">
        <v>0</v>
      </c>
      <c r="F4732" s="37" t="n">
        <f aca="false">DATE(YEAR(A4732),MONTH(A4732),1)</f>
        <v>46143</v>
      </c>
      <c r="G4732" s="24" t="str">
        <f aca="false">INDEX(Products!$C$2:$C$49,MATCH(C4732,Products!$A$2:$A$49,0))</f>
        <v>Snacks &amp; Confectionery</v>
      </c>
      <c r="H4732" s="33" t="n">
        <f aca="false">D4732*INDEX(Products!$E$2:$E$49,MATCH(C4732,Products!$A$2:$A$49,0))</f>
        <v>6480</v>
      </c>
      <c r="I4732" s="33" t="n">
        <f aca="false">D4732*INDEX(Products!$D$2:$D$49,MATCH(C4732,Products!$A$2:$A$49,0))*(1+INDEX(Assumptions!$B$16:$B$20,MATCH(B4732,Assumptions!$A$16:$A$20,0)))</f>
        <v>4478.976</v>
      </c>
      <c r="J4732" s="33" t="n">
        <f aca="false">H4732-I4732</f>
        <v>2001.024</v>
      </c>
      <c r="K4732" s="33" t="n">
        <f aca="false">IF(OR(E4732=0,E4732&gt;=7),0,D4732/(7-E4732)*E4732*INDEX(Products!$E$2:$E$49,MATCH(C4732,Products!$A$2:$A$49,0)))</f>
        <v>0</v>
      </c>
    </row>
    <row r="4733" customFormat="false" ht="15" hidden="false" customHeight="false" outlineLevel="0" collapsed="false">
      <c r="A4733" s="36" t="n">
        <v>46160</v>
      </c>
      <c r="B4733" s="24" t="s">
        <v>64</v>
      </c>
      <c r="C4733" s="24" t="s">
        <v>205</v>
      </c>
      <c r="D4733" s="33" t="n">
        <v>51</v>
      </c>
      <c r="E4733" s="24" t="n">
        <v>0</v>
      </c>
      <c r="F4733" s="37" t="n">
        <f aca="false">DATE(YEAR(A4733),MONTH(A4733),1)</f>
        <v>46143</v>
      </c>
      <c r="G4733" s="24" t="str">
        <f aca="false">INDEX(Products!$C$2:$C$49,MATCH(C4733,Products!$A$2:$A$49,0))</f>
        <v>Snacks &amp; Confectionery</v>
      </c>
      <c r="H4733" s="33" t="n">
        <f aca="false">D4733*INDEX(Products!$E$2:$E$49,MATCH(C4733,Products!$A$2:$A$49,0))</f>
        <v>6120</v>
      </c>
      <c r="I4733" s="33" t="n">
        <f aca="false">D4733*INDEX(Products!$D$2:$D$49,MATCH(C4733,Products!$A$2:$A$49,0))*(1+INDEX(Assumptions!$B$16:$B$20,MATCH(B4733,Assumptions!$A$16:$A$20,0)))</f>
        <v>4230.144</v>
      </c>
      <c r="J4733" s="33" t="n">
        <f aca="false">H4733-I4733</f>
        <v>1889.856</v>
      </c>
      <c r="K4733" s="33" t="n">
        <f aca="false">IF(OR(E4733=0,E4733&gt;=7),0,D4733/(7-E4733)*E4733*INDEX(Products!$E$2:$E$49,MATCH(C4733,Products!$A$2:$A$49,0)))</f>
        <v>0</v>
      </c>
    </row>
    <row r="4734" customFormat="false" ht="15" hidden="false" customHeight="false" outlineLevel="0" collapsed="false">
      <c r="A4734" s="36" t="n">
        <v>46167</v>
      </c>
      <c r="B4734" s="24" t="s">
        <v>64</v>
      </c>
      <c r="C4734" s="24" t="s">
        <v>205</v>
      </c>
      <c r="D4734" s="33" t="n">
        <v>52</v>
      </c>
      <c r="E4734" s="24" t="n">
        <v>0</v>
      </c>
      <c r="F4734" s="37" t="n">
        <f aca="false">DATE(YEAR(A4734),MONTH(A4734),1)</f>
        <v>46143</v>
      </c>
      <c r="G4734" s="24" t="str">
        <f aca="false">INDEX(Products!$C$2:$C$49,MATCH(C4734,Products!$A$2:$A$49,0))</f>
        <v>Snacks &amp; Confectionery</v>
      </c>
      <c r="H4734" s="33" t="n">
        <f aca="false">D4734*INDEX(Products!$E$2:$E$49,MATCH(C4734,Products!$A$2:$A$49,0))</f>
        <v>6240</v>
      </c>
      <c r="I4734" s="33" t="n">
        <f aca="false">D4734*INDEX(Products!$D$2:$D$49,MATCH(C4734,Products!$A$2:$A$49,0))*(1+INDEX(Assumptions!$B$16:$B$20,MATCH(B4734,Assumptions!$A$16:$A$20,0)))</f>
        <v>4313.088</v>
      </c>
      <c r="J4734" s="33" t="n">
        <f aca="false">H4734-I4734</f>
        <v>1926.912</v>
      </c>
      <c r="K4734" s="33" t="n">
        <f aca="false">IF(OR(E4734=0,E4734&gt;=7),0,D4734/(7-E4734)*E4734*INDEX(Products!$E$2:$E$49,MATCH(C4734,Products!$A$2:$A$49,0)))</f>
        <v>0</v>
      </c>
    </row>
    <row r="4735" customFormat="false" ht="15" hidden="false" customHeight="false" outlineLevel="0" collapsed="false">
      <c r="A4735" s="36" t="n">
        <v>46174</v>
      </c>
      <c r="B4735" s="24" t="s">
        <v>64</v>
      </c>
      <c r="C4735" s="24" t="s">
        <v>205</v>
      </c>
      <c r="D4735" s="33" t="n">
        <v>52</v>
      </c>
      <c r="E4735" s="24" t="n">
        <v>0</v>
      </c>
      <c r="F4735" s="37" t="n">
        <f aca="false">DATE(YEAR(A4735),MONTH(A4735),1)</f>
        <v>46174</v>
      </c>
      <c r="G4735" s="24" t="str">
        <f aca="false">INDEX(Products!$C$2:$C$49,MATCH(C4735,Products!$A$2:$A$49,0))</f>
        <v>Snacks &amp; Confectionery</v>
      </c>
      <c r="H4735" s="33" t="n">
        <f aca="false">D4735*INDEX(Products!$E$2:$E$49,MATCH(C4735,Products!$A$2:$A$49,0))</f>
        <v>6240</v>
      </c>
      <c r="I4735" s="33" t="n">
        <f aca="false">D4735*INDEX(Products!$D$2:$D$49,MATCH(C4735,Products!$A$2:$A$49,0))*(1+INDEX(Assumptions!$B$16:$B$20,MATCH(B4735,Assumptions!$A$16:$A$20,0)))</f>
        <v>4313.088</v>
      </c>
      <c r="J4735" s="33" t="n">
        <f aca="false">H4735-I4735</f>
        <v>1926.912</v>
      </c>
      <c r="K4735" s="33" t="n">
        <f aca="false">IF(OR(E4735=0,E4735&gt;=7),0,D4735/(7-E4735)*E4735*INDEX(Products!$E$2:$E$49,MATCH(C4735,Products!$A$2:$A$49,0)))</f>
        <v>0</v>
      </c>
    </row>
    <row r="4736" customFormat="false" ht="15" hidden="false" customHeight="false" outlineLevel="0" collapsed="false">
      <c r="A4736" s="36" t="n">
        <v>46181</v>
      </c>
      <c r="B4736" s="24" t="s">
        <v>64</v>
      </c>
      <c r="C4736" s="24" t="s">
        <v>205</v>
      </c>
      <c r="D4736" s="33" t="n">
        <v>56</v>
      </c>
      <c r="E4736" s="24" t="n">
        <v>0</v>
      </c>
      <c r="F4736" s="37" t="n">
        <f aca="false">DATE(YEAR(A4736),MONTH(A4736),1)</f>
        <v>46174</v>
      </c>
      <c r="G4736" s="24" t="str">
        <f aca="false">INDEX(Products!$C$2:$C$49,MATCH(C4736,Products!$A$2:$A$49,0))</f>
        <v>Snacks &amp; Confectionery</v>
      </c>
      <c r="H4736" s="33" t="n">
        <f aca="false">D4736*INDEX(Products!$E$2:$E$49,MATCH(C4736,Products!$A$2:$A$49,0))</f>
        <v>6720</v>
      </c>
      <c r="I4736" s="33" t="n">
        <f aca="false">D4736*INDEX(Products!$D$2:$D$49,MATCH(C4736,Products!$A$2:$A$49,0))*(1+INDEX(Assumptions!$B$16:$B$20,MATCH(B4736,Assumptions!$A$16:$A$20,0)))</f>
        <v>4644.864</v>
      </c>
      <c r="J4736" s="33" t="n">
        <f aca="false">H4736-I4736</f>
        <v>2075.136</v>
      </c>
      <c r="K4736" s="33" t="n">
        <f aca="false">IF(OR(E4736=0,E4736&gt;=7),0,D4736/(7-E4736)*E4736*INDEX(Products!$E$2:$E$49,MATCH(C4736,Products!$A$2:$A$49,0)))</f>
        <v>0</v>
      </c>
    </row>
    <row r="4737" customFormat="false" ht="15" hidden="false" customHeight="false" outlineLevel="0" collapsed="false">
      <c r="A4737" s="36" t="n">
        <v>46188</v>
      </c>
      <c r="B4737" s="24" t="s">
        <v>64</v>
      </c>
      <c r="C4737" s="24" t="s">
        <v>205</v>
      </c>
      <c r="D4737" s="33" t="n">
        <v>50</v>
      </c>
      <c r="E4737" s="24" t="n">
        <v>0</v>
      </c>
      <c r="F4737" s="37" t="n">
        <f aca="false">DATE(YEAR(A4737),MONTH(A4737),1)</f>
        <v>46174</v>
      </c>
      <c r="G4737" s="24" t="str">
        <f aca="false">INDEX(Products!$C$2:$C$49,MATCH(C4737,Products!$A$2:$A$49,0))</f>
        <v>Snacks &amp; Confectionery</v>
      </c>
      <c r="H4737" s="33" t="n">
        <f aca="false">D4737*INDEX(Products!$E$2:$E$49,MATCH(C4737,Products!$A$2:$A$49,0))</f>
        <v>6000</v>
      </c>
      <c r="I4737" s="33" t="n">
        <f aca="false">D4737*INDEX(Products!$D$2:$D$49,MATCH(C4737,Products!$A$2:$A$49,0))*(1+INDEX(Assumptions!$B$16:$B$20,MATCH(B4737,Assumptions!$A$16:$A$20,0)))</f>
        <v>4147.2</v>
      </c>
      <c r="J4737" s="33" t="n">
        <f aca="false">H4737-I4737</f>
        <v>1852.8</v>
      </c>
      <c r="K4737" s="33" t="n">
        <f aca="false">IF(OR(E4737=0,E4737&gt;=7),0,D4737/(7-E4737)*E4737*INDEX(Products!$E$2:$E$49,MATCH(C4737,Products!$A$2:$A$49,0)))</f>
        <v>0</v>
      </c>
    </row>
    <row r="4738" customFormat="false" ht="15" hidden="false" customHeight="false" outlineLevel="0" collapsed="false">
      <c r="A4738" s="36" t="n">
        <v>46195</v>
      </c>
      <c r="B4738" s="24" t="s">
        <v>64</v>
      </c>
      <c r="C4738" s="24" t="s">
        <v>205</v>
      </c>
      <c r="D4738" s="33" t="n">
        <v>49</v>
      </c>
      <c r="E4738" s="24" t="n">
        <v>0</v>
      </c>
      <c r="F4738" s="37" t="n">
        <f aca="false">DATE(YEAR(A4738),MONTH(A4738),1)</f>
        <v>46174</v>
      </c>
      <c r="G4738" s="24" t="str">
        <f aca="false">INDEX(Products!$C$2:$C$49,MATCH(C4738,Products!$A$2:$A$49,0))</f>
        <v>Snacks &amp; Confectionery</v>
      </c>
      <c r="H4738" s="33" t="n">
        <f aca="false">D4738*INDEX(Products!$E$2:$E$49,MATCH(C4738,Products!$A$2:$A$49,0))</f>
        <v>5880</v>
      </c>
      <c r="I4738" s="33" t="n">
        <f aca="false">D4738*INDEX(Products!$D$2:$D$49,MATCH(C4738,Products!$A$2:$A$49,0))*(1+INDEX(Assumptions!$B$16:$B$20,MATCH(B4738,Assumptions!$A$16:$A$20,0)))</f>
        <v>4064.256</v>
      </c>
      <c r="J4738" s="33" t="n">
        <f aca="false">H4738-I4738</f>
        <v>1815.744</v>
      </c>
      <c r="K4738" s="33" t="n">
        <f aca="false">IF(OR(E4738=0,E4738&gt;=7),0,D4738/(7-E4738)*E4738*INDEX(Products!$E$2:$E$49,MATCH(C4738,Products!$A$2:$A$49,0)))</f>
        <v>0</v>
      </c>
    </row>
    <row r="4739" customFormat="false" ht="15" hidden="false" customHeight="false" outlineLevel="0" collapsed="false">
      <c r="A4739" s="36" t="n">
        <v>46202</v>
      </c>
      <c r="B4739" s="24" t="s">
        <v>64</v>
      </c>
      <c r="C4739" s="24" t="s">
        <v>205</v>
      </c>
      <c r="D4739" s="33" t="n">
        <v>27</v>
      </c>
      <c r="E4739" s="24" t="n">
        <v>4</v>
      </c>
      <c r="F4739" s="37" t="n">
        <f aca="false">DATE(YEAR(A4739),MONTH(A4739),1)</f>
        <v>46174</v>
      </c>
      <c r="G4739" s="24" t="str">
        <f aca="false">INDEX(Products!$C$2:$C$49,MATCH(C4739,Products!$A$2:$A$49,0))</f>
        <v>Snacks &amp; Confectionery</v>
      </c>
      <c r="H4739" s="33" t="n">
        <f aca="false">D4739*INDEX(Products!$E$2:$E$49,MATCH(C4739,Products!$A$2:$A$49,0))</f>
        <v>3240</v>
      </c>
      <c r="I4739" s="33" t="n">
        <f aca="false">D4739*INDEX(Products!$D$2:$D$49,MATCH(C4739,Products!$A$2:$A$49,0))*(1+INDEX(Assumptions!$B$16:$B$20,MATCH(B4739,Assumptions!$A$16:$A$20,0)))</f>
        <v>2239.488</v>
      </c>
      <c r="J4739" s="33" t="n">
        <f aca="false">H4739-I4739</f>
        <v>1000.512</v>
      </c>
      <c r="K4739" s="33" t="n">
        <f aca="false">IF(OR(E4739=0,E4739&gt;=7),0,D4739/(7-E4739)*E4739*INDEX(Products!$E$2:$E$49,MATCH(C4739,Products!$A$2:$A$49,0)))</f>
        <v>4320</v>
      </c>
    </row>
    <row r="4740" customFormat="false" ht="15" hidden="false" customHeight="false" outlineLevel="0" collapsed="false">
      <c r="A4740" s="36" t="n">
        <v>46209</v>
      </c>
      <c r="B4740" s="24" t="s">
        <v>64</v>
      </c>
      <c r="C4740" s="24" t="s">
        <v>205</v>
      </c>
      <c r="D4740" s="33" t="n">
        <v>53</v>
      </c>
      <c r="E4740" s="24" t="n">
        <v>0</v>
      </c>
      <c r="F4740" s="37" t="n">
        <f aca="false">DATE(YEAR(A4740),MONTH(A4740),1)</f>
        <v>46204</v>
      </c>
      <c r="G4740" s="24" t="str">
        <f aca="false">INDEX(Products!$C$2:$C$49,MATCH(C4740,Products!$A$2:$A$49,0))</f>
        <v>Snacks &amp; Confectionery</v>
      </c>
      <c r="H4740" s="33" t="n">
        <f aca="false">D4740*INDEX(Products!$E$2:$E$49,MATCH(C4740,Products!$A$2:$A$49,0))</f>
        <v>6360</v>
      </c>
      <c r="I4740" s="33" t="n">
        <f aca="false">D4740*INDEX(Products!$D$2:$D$49,MATCH(C4740,Products!$A$2:$A$49,0))*(1+INDEX(Assumptions!$B$16:$B$20,MATCH(B4740,Assumptions!$A$16:$A$20,0)))</f>
        <v>4396.032</v>
      </c>
      <c r="J4740" s="33" t="n">
        <f aca="false">H4740-I4740</f>
        <v>1963.968</v>
      </c>
      <c r="K4740" s="33" t="n">
        <f aca="false">IF(OR(E4740=0,E4740&gt;=7),0,D4740/(7-E4740)*E4740*INDEX(Products!$E$2:$E$49,MATCH(C4740,Products!$A$2:$A$49,0)))</f>
        <v>0</v>
      </c>
    </row>
    <row r="4741" customFormat="false" ht="15" hidden="false" customHeight="false" outlineLevel="0" collapsed="false">
      <c r="A4741" s="36" t="n">
        <v>46216</v>
      </c>
      <c r="B4741" s="24" t="s">
        <v>64</v>
      </c>
      <c r="C4741" s="24" t="s">
        <v>205</v>
      </c>
      <c r="D4741" s="33" t="n">
        <v>41</v>
      </c>
      <c r="E4741" s="24" t="n">
        <v>0</v>
      </c>
      <c r="F4741" s="37" t="n">
        <f aca="false">DATE(YEAR(A4741),MONTH(A4741),1)</f>
        <v>46204</v>
      </c>
      <c r="G4741" s="24" t="str">
        <f aca="false">INDEX(Products!$C$2:$C$49,MATCH(C4741,Products!$A$2:$A$49,0))</f>
        <v>Snacks &amp; Confectionery</v>
      </c>
      <c r="H4741" s="33" t="n">
        <f aca="false">D4741*INDEX(Products!$E$2:$E$49,MATCH(C4741,Products!$A$2:$A$49,0))</f>
        <v>4920</v>
      </c>
      <c r="I4741" s="33" t="n">
        <f aca="false">D4741*INDEX(Products!$D$2:$D$49,MATCH(C4741,Products!$A$2:$A$49,0))*(1+INDEX(Assumptions!$B$16:$B$20,MATCH(B4741,Assumptions!$A$16:$A$20,0)))</f>
        <v>3400.704</v>
      </c>
      <c r="J4741" s="33" t="n">
        <f aca="false">H4741-I4741</f>
        <v>1519.296</v>
      </c>
      <c r="K4741" s="33" t="n">
        <f aca="false">IF(OR(E4741=0,E4741&gt;=7),0,D4741/(7-E4741)*E4741*INDEX(Products!$E$2:$E$49,MATCH(C4741,Products!$A$2:$A$49,0)))</f>
        <v>0</v>
      </c>
    </row>
    <row r="4742" customFormat="false" ht="15" hidden="false" customHeight="false" outlineLevel="0" collapsed="false">
      <c r="A4742" s="36" t="n">
        <v>46223</v>
      </c>
      <c r="B4742" s="24" t="s">
        <v>64</v>
      </c>
      <c r="C4742" s="24" t="s">
        <v>205</v>
      </c>
      <c r="D4742" s="33" t="n">
        <v>43</v>
      </c>
      <c r="E4742" s="24" t="n">
        <v>0</v>
      </c>
      <c r="F4742" s="37" t="n">
        <f aca="false">DATE(YEAR(A4742),MONTH(A4742),1)</f>
        <v>46204</v>
      </c>
      <c r="G4742" s="24" t="str">
        <f aca="false">INDEX(Products!$C$2:$C$49,MATCH(C4742,Products!$A$2:$A$49,0))</f>
        <v>Snacks &amp; Confectionery</v>
      </c>
      <c r="H4742" s="33" t="n">
        <f aca="false">D4742*INDEX(Products!$E$2:$E$49,MATCH(C4742,Products!$A$2:$A$49,0))</f>
        <v>5160</v>
      </c>
      <c r="I4742" s="33" t="n">
        <f aca="false">D4742*INDEX(Products!$D$2:$D$49,MATCH(C4742,Products!$A$2:$A$49,0))*(1+INDEX(Assumptions!$B$16:$B$20,MATCH(B4742,Assumptions!$A$16:$A$20,0)))</f>
        <v>3566.592</v>
      </c>
      <c r="J4742" s="33" t="n">
        <f aca="false">H4742-I4742</f>
        <v>1593.408</v>
      </c>
      <c r="K4742" s="33" t="n">
        <f aca="false">IF(OR(E4742=0,E4742&gt;=7),0,D4742/(7-E4742)*E4742*INDEX(Products!$E$2:$E$49,MATCH(C4742,Products!$A$2:$A$49,0)))</f>
        <v>0</v>
      </c>
    </row>
    <row r="4743" customFormat="false" ht="15" hidden="false" customHeight="false" outlineLevel="0" collapsed="false">
      <c r="A4743" s="36" t="n">
        <v>46230</v>
      </c>
      <c r="B4743" s="24" t="s">
        <v>64</v>
      </c>
      <c r="C4743" s="24" t="s">
        <v>205</v>
      </c>
      <c r="D4743" s="33" t="n">
        <v>16</v>
      </c>
      <c r="E4743" s="24" t="n">
        <v>4</v>
      </c>
      <c r="F4743" s="37" t="n">
        <f aca="false">DATE(YEAR(A4743),MONTH(A4743),1)</f>
        <v>46204</v>
      </c>
      <c r="G4743" s="24" t="str">
        <f aca="false">INDEX(Products!$C$2:$C$49,MATCH(C4743,Products!$A$2:$A$49,0))</f>
        <v>Snacks &amp; Confectionery</v>
      </c>
      <c r="H4743" s="33" t="n">
        <f aca="false">D4743*INDEX(Products!$E$2:$E$49,MATCH(C4743,Products!$A$2:$A$49,0))</f>
        <v>1920</v>
      </c>
      <c r="I4743" s="33" t="n">
        <f aca="false">D4743*INDEX(Products!$D$2:$D$49,MATCH(C4743,Products!$A$2:$A$49,0))*(1+INDEX(Assumptions!$B$16:$B$20,MATCH(B4743,Assumptions!$A$16:$A$20,0)))</f>
        <v>1327.104</v>
      </c>
      <c r="J4743" s="33" t="n">
        <f aca="false">H4743-I4743</f>
        <v>592.896</v>
      </c>
      <c r="K4743" s="33" t="n">
        <f aca="false">IF(OR(E4743=0,E4743&gt;=7),0,D4743/(7-E4743)*E4743*INDEX(Products!$E$2:$E$49,MATCH(C4743,Products!$A$2:$A$49,0)))</f>
        <v>2560</v>
      </c>
    </row>
    <row r="4744" customFormat="false" ht="15" hidden="false" customHeight="false" outlineLevel="0" collapsed="false">
      <c r="A4744" s="36" t="n">
        <v>46237</v>
      </c>
      <c r="B4744" s="24" t="s">
        <v>64</v>
      </c>
      <c r="C4744" s="24" t="s">
        <v>205</v>
      </c>
      <c r="D4744" s="33" t="n">
        <v>63</v>
      </c>
      <c r="E4744" s="24" t="n">
        <v>0</v>
      </c>
      <c r="F4744" s="37" t="n">
        <f aca="false">DATE(YEAR(A4744),MONTH(A4744),1)</f>
        <v>46235</v>
      </c>
      <c r="G4744" s="24" t="str">
        <f aca="false">INDEX(Products!$C$2:$C$49,MATCH(C4744,Products!$A$2:$A$49,0))</f>
        <v>Snacks &amp; Confectionery</v>
      </c>
      <c r="H4744" s="33" t="n">
        <f aca="false">D4744*INDEX(Products!$E$2:$E$49,MATCH(C4744,Products!$A$2:$A$49,0))</f>
        <v>7560</v>
      </c>
      <c r="I4744" s="33" t="n">
        <f aca="false">D4744*INDEX(Products!$D$2:$D$49,MATCH(C4744,Products!$A$2:$A$49,0))*(1+INDEX(Assumptions!$B$16:$B$20,MATCH(B4744,Assumptions!$A$16:$A$20,0)))</f>
        <v>5225.472</v>
      </c>
      <c r="J4744" s="33" t="n">
        <f aca="false">H4744-I4744</f>
        <v>2334.528</v>
      </c>
      <c r="K4744" s="33" t="n">
        <f aca="false">IF(OR(E4744=0,E4744&gt;=7),0,D4744/(7-E4744)*E4744*INDEX(Products!$E$2:$E$49,MATCH(C4744,Products!$A$2:$A$49,0)))</f>
        <v>0</v>
      </c>
    </row>
    <row r="4745" customFormat="false" ht="15" hidden="false" customHeight="false" outlineLevel="0" collapsed="false">
      <c r="A4745" s="36" t="n">
        <v>46244</v>
      </c>
      <c r="B4745" s="24" t="s">
        <v>64</v>
      </c>
      <c r="C4745" s="24" t="s">
        <v>205</v>
      </c>
      <c r="D4745" s="33" t="n">
        <v>33</v>
      </c>
      <c r="E4745" s="24" t="n">
        <v>0</v>
      </c>
      <c r="F4745" s="37" t="n">
        <f aca="false">DATE(YEAR(A4745),MONTH(A4745),1)</f>
        <v>46235</v>
      </c>
      <c r="G4745" s="24" t="str">
        <f aca="false">INDEX(Products!$C$2:$C$49,MATCH(C4745,Products!$A$2:$A$49,0))</f>
        <v>Snacks &amp; Confectionery</v>
      </c>
      <c r="H4745" s="33" t="n">
        <f aca="false">D4745*INDEX(Products!$E$2:$E$49,MATCH(C4745,Products!$A$2:$A$49,0))</f>
        <v>3960</v>
      </c>
      <c r="I4745" s="33" t="n">
        <f aca="false">D4745*INDEX(Products!$D$2:$D$49,MATCH(C4745,Products!$A$2:$A$49,0))*(1+INDEX(Assumptions!$B$16:$B$20,MATCH(B4745,Assumptions!$A$16:$A$20,0)))</f>
        <v>2737.152</v>
      </c>
      <c r="J4745" s="33" t="n">
        <f aca="false">H4745-I4745</f>
        <v>1222.848</v>
      </c>
      <c r="K4745" s="33" t="n">
        <f aca="false">IF(OR(E4745=0,E4745&gt;=7),0,D4745/(7-E4745)*E4745*INDEX(Products!$E$2:$E$49,MATCH(C4745,Products!$A$2:$A$49,0)))</f>
        <v>0</v>
      </c>
    </row>
    <row r="4746" customFormat="false" ht="15" hidden="false" customHeight="false" outlineLevel="0" collapsed="false">
      <c r="A4746" s="36" t="n">
        <v>46251</v>
      </c>
      <c r="B4746" s="24" t="s">
        <v>64</v>
      </c>
      <c r="C4746" s="24" t="s">
        <v>205</v>
      </c>
      <c r="D4746" s="33" t="n">
        <v>41</v>
      </c>
      <c r="E4746" s="24" t="n">
        <v>0</v>
      </c>
      <c r="F4746" s="37" t="n">
        <f aca="false">DATE(YEAR(A4746),MONTH(A4746),1)</f>
        <v>46235</v>
      </c>
      <c r="G4746" s="24" t="str">
        <f aca="false">INDEX(Products!$C$2:$C$49,MATCH(C4746,Products!$A$2:$A$49,0))</f>
        <v>Snacks &amp; Confectionery</v>
      </c>
      <c r="H4746" s="33" t="n">
        <f aca="false">D4746*INDEX(Products!$E$2:$E$49,MATCH(C4746,Products!$A$2:$A$49,0))</f>
        <v>4920</v>
      </c>
      <c r="I4746" s="33" t="n">
        <f aca="false">D4746*INDEX(Products!$D$2:$D$49,MATCH(C4746,Products!$A$2:$A$49,0))*(1+INDEX(Assumptions!$B$16:$B$20,MATCH(B4746,Assumptions!$A$16:$A$20,0)))</f>
        <v>3400.704</v>
      </c>
      <c r="J4746" s="33" t="n">
        <f aca="false">H4746-I4746</f>
        <v>1519.296</v>
      </c>
      <c r="K4746" s="33" t="n">
        <f aca="false">IF(OR(E4746=0,E4746&gt;=7),0,D4746/(7-E4746)*E4746*INDEX(Products!$E$2:$E$49,MATCH(C4746,Products!$A$2:$A$49,0)))</f>
        <v>0</v>
      </c>
    </row>
    <row r="4747" customFormat="false" ht="15" hidden="false" customHeight="false" outlineLevel="0" collapsed="false">
      <c r="A4747" s="36" t="n">
        <v>46258</v>
      </c>
      <c r="B4747" s="24" t="s">
        <v>64</v>
      </c>
      <c r="C4747" s="24" t="s">
        <v>205</v>
      </c>
      <c r="D4747" s="33" t="n">
        <v>36</v>
      </c>
      <c r="E4747" s="24" t="n">
        <v>1</v>
      </c>
      <c r="F4747" s="37" t="n">
        <f aca="false">DATE(YEAR(A4747),MONTH(A4747),1)</f>
        <v>46235</v>
      </c>
      <c r="G4747" s="24" t="str">
        <f aca="false">INDEX(Products!$C$2:$C$49,MATCH(C4747,Products!$A$2:$A$49,0))</f>
        <v>Snacks &amp; Confectionery</v>
      </c>
      <c r="H4747" s="33" t="n">
        <f aca="false">D4747*INDEX(Products!$E$2:$E$49,MATCH(C4747,Products!$A$2:$A$49,0))</f>
        <v>4320</v>
      </c>
      <c r="I4747" s="33" t="n">
        <f aca="false">D4747*INDEX(Products!$D$2:$D$49,MATCH(C4747,Products!$A$2:$A$49,0))*(1+INDEX(Assumptions!$B$16:$B$20,MATCH(B4747,Assumptions!$A$16:$A$20,0)))</f>
        <v>2985.984</v>
      </c>
      <c r="J4747" s="33" t="n">
        <f aca="false">H4747-I4747</f>
        <v>1334.016</v>
      </c>
      <c r="K4747" s="33" t="n">
        <f aca="false">IF(OR(E4747=0,E4747&gt;=7),0,D4747/(7-E4747)*E4747*INDEX(Products!$E$2:$E$49,MATCH(C4747,Products!$A$2:$A$49,0)))</f>
        <v>720</v>
      </c>
    </row>
    <row r="4748" customFormat="false" ht="15" hidden="false" customHeight="false" outlineLevel="0" collapsed="false">
      <c r="A4748" s="36" t="n">
        <v>46265</v>
      </c>
      <c r="B4748" s="24" t="s">
        <v>64</v>
      </c>
      <c r="C4748" s="24" t="s">
        <v>205</v>
      </c>
      <c r="D4748" s="33" t="n">
        <v>55</v>
      </c>
      <c r="E4748" s="24" t="n">
        <v>0</v>
      </c>
      <c r="F4748" s="37" t="n">
        <f aca="false">DATE(YEAR(A4748),MONTH(A4748),1)</f>
        <v>46235</v>
      </c>
      <c r="G4748" s="24" t="str">
        <f aca="false">INDEX(Products!$C$2:$C$49,MATCH(C4748,Products!$A$2:$A$49,0))</f>
        <v>Snacks &amp; Confectionery</v>
      </c>
      <c r="H4748" s="33" t="n">
        <f aca="false">D4748*INDEX(Products!$E$2:$E$49,MATCH(C4748,Products!$A$2:$A$49,0))</f>
        <v>6600</v>
      </c>
      <c r="I4748" s="33" t="n">
        <f aca="false">D4748*INDEX(Products!$D$2:$D$49,MATCH(C4748,Products!$A$2:$A$49,0))*(1+INDEX(Assumptions!$B$16:$B$20,MATCH(B4748,Assumptions!$A$16:$A$20,0)))</f>
        <v>4561.92</v>
      </c>
      <c r="J4748" s="33" t="n">
        <f aca="false">H4748-I4748</f>
        <v>2038.08</v>
      </c>
      <c r="K4748" s="33" t="n">
        <f aca="false">IF(OR(E4748=0,E4748&gt;=7),0,D4748/(7-E4748)*E4748*INDEX(Products!$E$2:$E$49,MATCH(C4748,Products!$A$2:$A$49,0)))</f>
        <v>0</v>
      </c>
    </row>
    <row r="4749" customFormat="false" ht="15" hidden="false" customHeight="false" outlineLevel="0" collapsed="false">
      <c r="A4749" s="36" t="n">
        <v>46272</v>
      </c>
      <c r="B4749" s="24" t="s">
        <v>64</v>
      </c>
      <c r="C4749" s="24" t="s">
        <v>205</v>
      </c>
      <c r="D4749" s="33" t="n">
        <v>56</v>
      </c>
      <c r="E4749" s="24" t="n">
        <v>0</v>
      </c>
      <c r="F4749" s="37" t="n">
        <f aca="false">DATE(YEAR(A4749),MONTH(A4749),1)</f>
        <v>46266</v>
      </c>
      <c r="G4749" s="24" t="str">
        <f aca="false">INDEX(Products!$C$2:$C$49,MATCH(C4749,Products!$A$2:$A$49,0))</f>
        <v>Snacks &amp; Confectionery</v>
      </c>
      <c r="H4749" s="33" t="n">
        <f aca="false">D4749*INDEX(Products!$E$2:$E$49,MATCH(C4749,Products!$A$2:$A$49,0))</f>
        <v>6720</v>
      </c>
      <c r="I4749" s="33" t="n">
        <f aca="false">D4749*INDEX(Products!$D$2:$D$49,MATCH(C4749,Products!$A$2:$A$49,0))*(1+INDEX(Assumptions!$B$16:$B$20,MATCH(B4749,Assumptions!$A$16:$A$20,0)))</f>
        <v>4644.864</v>
      </c>
      <c r="J4749" s="33" t="n">
        <f aca="false">H4749-I4749</f>
        <v>2075.136</v>
      </c>
      <c r="K4749" s="33" t="n">
        <f aca="false">IF(OR(E4749=0,E4749&gt;=7),0,D4749/(7-E4749)*E4749*INDEX(Products!$E$2:$E$49,MATCH(C4749,Products!$A$2:$A$49,0)))</f>
        <v>0</v>
      </c>
    </row>
    <row r="4750" customFormat="false" ht="15" hidden="false" customHeight="false" outlineLevel="0" collapsed="false">
      <c r="A4750" s="36" t="n">
        <v>46279</v>
      </c>
      <c r="B4750" s="24" t="s">
        <v>64</v>
      </c>
      <c r="C4750" s="24" t="s">
        <v>205</v>
      </c>
      <c r="D4750" s="33" t="n">
        <v>52</v>
      </c>
      <c r="E4750" s="24" t="n">
        <v>0</v>
      </c>
      <c r="F4750" s="37" t="n">
        <f aca="false">DATE(YEAR(A4750),MONTH(A4750),1)</f>
        <v>46266</v>
      </c>
      <c r="G4750" s="24" t="str">
        <f aca="false">INDEX(Products!$C$2:$C$49,MATCH(C4750,Products!$A$2:$A$49,0))</f>
        <v>Snacks &amp; Confectionery</v>
      </c>
      <c r="H4750" s="33" t="n">
        <f aca="false">D4750*INDEX(Products!$E$2:$E$49,MATCH(C4750,Products!$A$2:$A$49,0))</f>
        <v>6240</v>
      </c>
      <c r="I4750" s="33" t="n">
        <f aca="false">D4750*INDEX(Products!$D$2:$D$49,MATCH(C4750,Products!$A$2:$A$49,0))*(1+INDEX(Assumptions!$B$16:$B$20,MATCH(B4750,Assumptions!$A$16:$A$20,0)))</f>
        <v>4313.088</v>
      </c>
      <c r="J4750" s="33" t="n">
        <f aca="false">H4750-I4750</f>
        <v>1926.912</v>
      </c>
      <c r="K4750" s="33" t="n">
        <f aca="false">IF(OR(E4750=0,E4750&gt;=7),0,D4750/(7-E4750)*E4750*INDEX(Products!$E$2:$E$49,MATCH(C4750,Products!$A$2:$A$49,0)))</f>
        <v>0</v>
      </c>
    </row>
    <row r="4751" customFormat="false" ht="15" hidden="false" customHeight="false" outlineLevel="0" collapsed="false">
      <c r="A4751" s="36" t="n">
        <v>46286</v>
      </c>
      <c r="B4751" s="24" t="s">
        <v>64</v>
      </c>
      <c r="C4751" s="24" t="s">
        <v>205</v>
      </c>
      <c r="D4751" s="33" t="n">
        <v>57</v>
      </c>
      <c r="E4751" s="24" t="n">
        <v>0</v>
      </c>
      <c r="F4751" s="37" t="n">
        <f aca="false">DATE(YEAR(A4751),MONTH(A4751),1)</f>
        <v>46266</v>
      </c>
      <c r="G4751" s="24" t="str">
        <f aca="false">INDEX(Products!$C$2:$C$49,MATCH(C4751,Products!$A$2:$A$49,0))</f>
        <v>Snacks &amp; Confectionery</v>
      </c>
      <c r="H4751" s="33" t="n">
        <f aca="false">D4751*INDEX(Products!$E$2:$E$49,MATCH(C4751,Products!$A$2:$A$49,0))</f>
        <v>6840</v>
      </c>
      <c r="I4751" s="33" t="n">
        <f aca="false">D4751*INDEX(Products!$D$2:$D$49,MATCH(C4751,Products!$A$2:$A$49,0))*(1+INDEX(Assumptions!$B$16:$B$20,MATCH(B4751,Assumptions!$A$16:$A$20,0)))</f>
        <v>4727.808</v>
      </c>
      <c r="J4751" s="33" t="n">
        <f aca="false">H4751-I4751</f>
        <v>2112.192</v>
      </c>
      <c r="K4751" s="33" t="n">
        <f aca="false">IF(OR(E4751=0,E4751&gt;=7),0,D4751/(7-E4751)*E4751*INDEX(Products!$E$2:$E$49,MATCH(C4751,Products!$A$2:$A$49,0)))</f>
        <v>0</v>
      </c>
    </row>
    <row r="4752" customFormat="false" ht="15" hidden="false" customHeight="false" outlineLevel="0" collapsed="false">
      <c r="A4752" s="36" t="n">
        <v>46118</v>
      </c>
      <c r="B4752" s="24" t="s">
        <v>64</v>
      </c>
      <c r="C4752" s="24" t="s">
        <v>207</v>
      </c>
      <c r="D4752" s="33" t="n">
        <v>41</v>
      </c>
      <c r="E4752" s="24" t="n">
        <v>0</v>
      </c>
      <c r="F4752" s="37" t="n">
        <f aca="false">DATE(YEAR(A4752),MONTH(A4752),1)</f>
        <v>46113</v>
      </c>
      <c r="G4752" s="24" t="str">
        <f aca="false">INDEX(Products!$C$2:$C$49,MATCH(C4752,Products!$A$2:$A$49,0))</f>
        <v>Snacks &amp; Confectionery</v>
      </c>
      <c r="H4752" s="33" t="n">
        <f aca="false">D4752*INDEX(Products!$E$2:$E$49,MATCH(C4752,Products!$A$2:$A$49,0))</f>
        <v>7380</v>
      </c>
      <c r="I4752" s="33" t="n">
        <f aca="false">D4752*INDEX(Products!$D$2:$D$49,MATCH(C4752,Products!$A$2:$A$49,0))*(1+INDEX(Assumptions!$B$16:$B$20,MATCH(B4752,Assumptions!$A$16:$A$20,0)))</f>
        <v>5289.984</v>
      </c>
      <c r="J4752" s="33" t="n">
        <f aca="false">H4752-I4752</f>
        <v>2090.016</v>
      </c>
      <c r="K4752" s="33" t="n">
        <f aca="false">IF(OR(E4752=0,E4752&gt;=7),0,D4752/(7-E4752)*E4752*INDEX(Products!$E$2:$E$49,MATCH(C4752,Products!$A$2:$A$49,0)))</f>
        <v>0</v>
      </c>
    </row>
    <row r="4753" customFormat="false" ht="15" hidden="false" customHeight="false" outlineLevel="0" collapsed="false">
      <c r="A4753" s="36" t="n">
        <v>46125</v>
      </c>
      <c r="B4753" s="24" t="s">
        <v>64</v>
      </c>
      <c r="C4753" s="24" t="s">
        <v>207</v>
      </c>
      <c r="D4753" s="33" t="n">
        <v>62</v>
      </c>
      <c r="E4753" s="24" t="n">
        <v>0</v>
      </c>
      <c r="F4753" s="37" t="n">
        <f aca="false">DATE(YEAR(A4753),MONTH(A4753),1)</f>
        <v>46113</v>
      </c>
      <c r="G4753" s="24" t="str">
        <f aca="false">INDEX(Products!$C$2:$C$49,MATCH(C4753,Products!$A$2:$A$49,0))</f>
        <v>Snacks &amp; Confectionery</v>
      </c>
      <c r="H4753" s="33" t="n">
        <f aca="false">D4753*INDEX(Products!$E$2:$E$49,MATCH(C4753,Products!$A$2:$A$49,0))</f>
        <v>11160</v>
      </c>
      <c r="I4753" s="33" t="n">
        <f aca="false">D4753*INDEX(Products!$D$2:$D$49,MATCH(C4753,Products!$A$2:$A$49,0))*(1+INDEX(Assumptions!$B$16:$B$20,MATCH(B4753,Assumptions!$A$16:$A$20,0)))</f>
        <v>7999.488</v>
      </c>
      <c r="J4753" s="33" t="n">
        <f aca="false">H4753-I4753</f>
        <v>3160.512</v>
      </c>
      <c r="K4753" s="33" t="n">
        <f aca="false">IF(OR(E4753=0,E4753&gt;=7),0,D4753/(7-E4753)*E4753*INDEX(Products!$E$2:$E$49,MATCH(C4753,Products!$A$2:$A$49,0)))</f>
        <v>0</v>
      </c>
    </row>
    <row r="4754" customFormat="false" ht="15" hidden="false" customHeight="false" outlineLevel="0" collapsed="false">
      <c r="A4754" s="36" t="n">
        <v>46132</v>
      </c>
      <c r="B4754" s="24" t="s">
        <v>64</v>
      </c>
      <c r="C4754" s="24" t="s">
        <v>207</v>
      </c>
      <c r="D4754" s="33" t="n">
        <v>100</v>
      </c>
      <c r="E4754" s="24" t="n">
        <v>0</v>
      </c>
      <c r="F4754" s="37" t="n">
        <f aca="false">DATE(YEAR(A4754),MONTH(A4754),1)</f>
        <v>46113</v>
      </c>
      <c r="G4754" s="24" t="str">
        <f aca="false">INDEX(Products!$C$2:$C$49,MATCH(C4754,Products!$A$2:$A$49,0))</f>
        <v>Snacks &amp; Confectionery</v>
      </c>
      <c r="H4754" s="33" t="n">
        <f aca="false">D4754*INDEX(Products!$E$2:$E$49,MATCH(C4754,Products!$A$2:$A$49,0))</f>
        <v>18000</v>
      </c>
      <c r="I4754" s="33" t="n">
        <f aca="false">D4754*INDEX(Products!$D$2:$D$49,MATCH(C4754,Products!$A$2:$A$49,0))*(1+INDEX(Assumptions!$B$16:$B$20,MATCH(B4754,Assumptions!$A$16:$A$20,0)))</f>
        <v>12902.4</v>
      </c>
      <c r="J4754" s="33" t="n">
        <f aca="false">H4754-I4754</f>
        <v>5097.6</v>
      </c>
      <c r="K4754" s="33" t="n">
        <f aca="false">IF(OR(E4754=0,E4754&gt;=7),0,D4754/(7-E4754)*E4754*INDEX(Products!$E$2:$E$49,MATCH(C4754,Products!$A$2:$A$49,0)))</f>
        <v>0</v>
      </c>
    </row>
    <row r="4755" customFormat="false" ht="15" hidden="false" customHeight="false" outlineLevel="0" collapsed="false">
      <c r="A4755" s="36" t="n">
        <v>46139</v>
      </c>
      <c r="B4755" s="24" t="s">
        <v>64</v>
      </c>
      <c r="C4755" s="24" t="s">
        <v>207</v>
      </c>
      <c r="D4755" s="33" t="n">
        <v>50</v>
      </c>
      <c r="E4755" s="24" t="n">
        <v>0</v>
      </c>
      <c r="F4755" s="37" t="n">
        <f aca="false">DATE(YEAR(A4755),MONTH(A4755),1)</f>
        <v>46113</v>
      </c>
      <c r="G4755" s="24" t="str">
        <f aca="false">INDEX(Products!$C$2:$C$49,MATCH(C4755,Products!$A$2:$A$49,0))</f>
        <v>Snacks &amp; Confectionery</v>
      </c>
      <c r="H4755" s="33" t="n">
        <f aca="false">D4755*INDEX(Products!$E$2:$E$49,MATCH(C4755,Products!$A$2:$A$49,0))</f>
        <v>9000</v>
      </c>
      <c r="I4755" s="33" t="n">
        <f aca="false">D4755*INDEX(Products!$D$2:$D$49,MATCH(C4755,Products!$A$2:$A$49,0))*(1+INDEX(Assumptions!$B$16:$B$20,MATCH(B4755,Assumptions!$A$16:$A$20,0)))</f>
        <v>6451.2</v>
      </c>
      <c r="J4755" s="33" t="n">
        <f aca="false">H4755-I4755</f>
        <v>2548.8</v>
      </c>
      <c r="K4755" s="33" t="n">
        <f aca="false">IF(OR(E4755=0,E4755&gt;=7),0,D4755/(7-E4755)*E4755*INDEX(Products!$E$2:$E$49,MATCH(C4755,Products!$A$2:$A$49,0)))</f>
        <v>0</v>
      </c>
    </row>
    <row r="4756" customFormat="false" ht="15" hidden="false" customHeight="false" outlineLevel="0" collapsed="false">
      <c r="A4756" s="36" t="n">
        <v>46146</v>
      </c>
      <c r="B4756" s="24" t="s">
        <v>64</v>
      </c>
      <c r="C4756" s="24" t="s">
        <v>207</v>
      </c>
      <c r="D4756" s="33" t="n">
        <v>46</v>
      </c>
      <c r="E4756" s="24" t="n">
        <v>0</v>
      </c>
      <c r="F4756" s="37" t="n">
        <f aca="false">DATE(YEAR(A4756),MONTH(A4756),1)</f>
        <v>46143</v>
      </c>
      <c r="G4756" s="24" t="str">
        <f aca="false">INDEX(Products!$C$2:$C$49,MATCH(C4756,Products!$A$2:$A$49,0))</f>
        <v>Snacks &amp; Confectionery</v>
      </c>
      <c r="H4756" s="33" t="n">
        <f aca="false">D4756*INDEX(Products!$E$2:$E$49,MATCH(C4756,Products!$A$2:$A$49,0))</f>
        <v>8280</v>
      </c>
      <c r="I4756" s="33" t="n">
        <f aca="false">D4756*INDEX(Products!$D$2:$D$49,MATCH(C4756,Products!$A$2:$A$49,0))*(1+INDEX(Assumptions!$B$16:$B$20,MATCH(B4756,Assumptions!$A$16:$A$20,0)))</f>
        <v>5935.104</v>
      </c>
      <c r="J4756" s="33" t="n">
        <f aca="false">H4756-I4756</f>
        <v>2344.896</v>
      </c>
      <c r="K4756" s="33" t="n">
        <f aca="false">IF(OR(E4756=0,E4756&gt;=7),0,D4756/(7-E4756)*E4756*INDEX(Products!$E$2:$E$49,MATCH(C4756,Products!$A$2:$A$49,0)))</f>
        <v>0</v>
      </c>
    </row>
    <row r="4757" customFormat="false" ht="15" hidden="false" customHeight="false" outlineLevel="0" collapsed="false">
      <c r="A4757" s="36" t="n">
        <v>46153</v>
      </c>
      <c r="B4757" s="24" t="s">
        <v>64</v>
      </c>
      <c r="C4757" s="24" t="s">
        <v>207</v>
      </c>
      <c r="D4757" s="33" t="n">
        <v>52</v>
      </c>
      <c r="E4757" s="24" t="n">
        <v>0</v>
      </c>
      <c r="F4757" s="37" t="n">
        <f aca="false">DATE(YEAR(A4757),MONTH(A4757),1)</f>
        <v>46143</v>
      </c>
      <c r="G4757" s="24" t="str">
        <f aca="false">INDEX(Products!$C$2:$C$49,MATCH(C4757,Products!$A$2:$A$49,0))</f>
        <v>Snacks &amp; Confectionery</v>
      </c>
      <c r="H4757" s="33" t="n">
        <f aca="false">D4757*INDEX(Products!$E$2:$E$49,MATCH(C4757,Products!$A$2:$A$49,0))</f>
        <v>9360</v>
      </c>
      <c r="I4757" s="33" t="n">
        <f aca="false">D4757*INDEX(Products!$D$2:$D$49,MATCH(C4757,Products!$A$2:$A$49,0))*(1+INDEX(Assumptions!$B$16:$B$20,MATCH(B4757,Assumptions!$A$16:$A$20,0)))</f>
        <v>6709.248</v>
      </c>
      <c r="J4757" s="33" t="n">
        <f aca="false">H4757-I4757</f>
        <v>2650.752</v>
      </c>
      <c r="K4757" s="33" t="n">
        <f aca="false">IF(OR(E4757=0,E4757&gt;=7),0,D4757/(7-E4757)*E4757*INDEX(Products!$E$2:$E$49,MATCH(C4757,Products!$A$2:$A$49,0)))</f>
        <v>0</v>
      </c>
    </row>
    <row r="4758" customFormat="false" ht="15" hidden="false" customHeight="false" outlineLevel="0" collapsed="false">
      <c r="A4758" s="36" t="n">
        <v>46160</v>
      </c>
      <c r="B4758" s="24" t="s">
        <v>64</v>
      </c>
      <c r="C4758" s="24" t="s">
        <v>207</v>
      </c>
      <c r="D4758" s="33" t="n">
        <v>49</v>
      </c>
      <c r="E4758" s="24" t="n">
        <v>0</v>
      </c>
      <c r="F4758" s="37" t="n">
        <f aca="false">DATE(YEAR(A4758),MONTH(A4758),1)</f>
        <v>46143</v>
      </c>
      <c r="G4758" s="24" t="str">
        <f aca="false">INDEX(Products!$C$2:$C$49,MATCH(C4758,Products!$A$2:$A$49,0))</f>
        <v>Snacks &amp; Confectionery</v>
      </c>
      <c r="H4758" s="33" t="n">
        <f aca="false">D4758*INDEX(Products!$E$2:$E$49,MATCH(C4758,Products!$A$2:$A$49,0))</f>
        <v>8820</v>
      </c>
      <c r="I4758" s="33" t="n">
        <f aca="false">D4758*INDEX(Products!$D$2:$D$49,MATCH(C4758,Products!$A$2:$A$49,0))*(1+INDEX(Assumptions!$B$16:$B$20,MATCH(B4758,Assumptions!$A$16:$A$20,0)))</f>
        <v>6322.176</v>
      </c>
      <c r="J4758" s="33" t="n">
        <f aca="false">H4758-I4758</f>
        <v>2497.824</v>
      </c>
      <c r="K4758" s="33" t="n">
        <f aca="false">IF(OR(E4758=0,E4758&gt;=7),0,D4758/(7-E4758)*E4758*INDEX(Products!$E$2:$E$49,MATCH(C4758,Products!$A$2:$A$49,0)))</f>
        <v>0</v>
      </c>
    </row>
    <row r="4759" customFormat="false" ht="15" hidden="false" customHeight="false" outlineLevel="0" collapsed="false">
      <c r="A4759" s="36" t="n">
        <v>46167</v>
      </c>
      <c r="B4759" s="24" t="s">
        <v>64</v>
      </c>
      <c r="C4759" s="24" t="s">
        <v>207</v>
      </c>
      <c r="D4759" s="33" t="n">
        <v>55</v>
      </c>
      <c r="E4759" s="24" t="n">
        <v>0</v>
      </c>
      <c r="F4759" s="37" t="n">
        <f aca="false">DATE(YEAR(A4759),MONTH(A4759),1)</f>
        <v>46143</v>
      </c>
      <c r="G4759" s="24" t="str">
        <f aca="false">INDEX(Products!$C$2:$C$49,MATCH(C4759,Products!$A$2:$A$49,0))</f>
        <v>Snacks &amp; Confectionery</v>
      </c>
      <c r="H4759" s="33" t="n">
        <f aca="false">D4759*INDEX(Products!$E$2:$E$49,MATCH(C4759,Products!$A$2:$A$49,0))</f>
        <v>9900</v>
      </c>
      <c r="I4759" s="33" t="n">
        <f aca="false">D4759*INDEX(Products!$D$2:$D$49,MATCH(C4759,Products!$A$2:$A$49,0))*(1+INDEX(Assumptions!$B$16:$B$20,MATCH(B4759,Assumptions!$A$16:$A$20,0)))</f>
        <v>7096.32</v>
      </c>
      <c r="J4759" s="33" t="n">
        <f aca="false">H4759-I4759</f>
        <v>2803.68</v>
      </c>
      <c r="K4759" s="33" t="n">
        <f aca="false">IF(OR(E4759=0,E4759&gt;=7),0,D4759/(7-E4759)*E4759*INDEX(Products!$E$2:$E$49,MATCH(C4759,Products!$A$2:$A$49,0)))</f>
        <v>0</v>
      </c>
    </row>
    <row r="4760" customFormat="false" ht="15" hidden="false" customHeight="false" outlineLevel="0" collapsed="false">
      <c r="A4760" s="36" t="n">
        <v>46174</v>
      </c>
      <c r="B4760" s="24" t="s">
        <v>64</v>
      </c>
      <c r="C4760" s="24" t="s">
        <v>207</v>
      </c>
      <c r="D4760" s="33" t="n">
        <v>54</v>
      </c>
      <c r="E4760" s="24" t="n">
        <v>0</v>
      </c>
      <c r="F4760" s="37" t="n">
        <f aca="false">DATE(YEAR(A4760),MONTH(A4760),1)</f>
        <v>46174</v>
      </c>
      <c r="G4760" s="24" t="str">
        <f aca="false">INDEX(Products!$C$2:$C$49,MATCH(C4760,Products!$A$2:$A$49,0))</f>
        <v>Snacks &amp; Confectionery</v>
      </c>
      <c r="H4760" s="33" t="n">
        <f aca="false">D4760*INDEX(Products!$E$2:$E$49,MATCH(C4760,Products!$A$2:$A$49,0))</f>
        <v>9720</v>
      </c>
      <c r="I4760" s="33" t="n">
        <f aca="false">D4760*INDEX(Products!$D$2:$D$49,MATCH(C4760,Products!$A$2:$A$49,0))*(1+INDEX(Assumptions!$B$16:$B$20,MATCH(B4760,Assumptions!$A$16:$A$20,0)))</f>
        <v>6967.296</v>
      </c>
      <c r="J4760" s="33" t="n">
        <f aca="false">H4760-I4760</f>
        <v>2752.704</v>
      </c>
      <c r="K4760" s="33" t="n">
        <f aca="false">IF(OR(E4760=0,E4760&gt;=7),0,D4760/(7-E4760)*E4760*INDEX(Products!$E$2:$E$49,MATCH(C4760,Products!$A$2:$A$49,0)))</f>
        <v>0</v>
      </c>
    </row>
    <row r="4761" customFormat="false" ht="15" hidden="false" customHeight="false" outlineLevel="0" collapsed="false">
      <c r="A4761" s="36" t="n">
        <v>46181</v>
      </c>
      <c r="B4761" s="24" t="s">
        <v>64</v>
      </c>
      <c r="C4761" s="24" t="s">
        <v>207</v>
      </c>
      <c r="D4761" s="33" t="n">
        <v>45</v>
      </c>
      <c r="E4761" s="24" t="n">
        <v>0</v>
      </c>
      <c r="F4761" s="37" t="n">
        <f aca="false">DATE(YEAR(A4761),MONTH(A4761),1)</f>
        <v>46174</v>
      </c>
      <c r="G4761" s="24" t="str">
        <f aca="false">INDEX(Products!$C$2:$C$49,MATCH(C4761,Products!$A$2:$A$49,0))</f>
        <v>Snacks &amp; Confectionery</v>
      </c>
      <c r="H4761" s="33" t="n">
        <f aca="false">D4761*INDEX(Products!$E$2:$E$49,MATCH(C4761,Products!$A$2:$A$49,0))</f>
        <v>8100</v>
      </c>
      <c r="I4761" s="33" t="n">
        <f aca="false">D4761*INDEX(Products!$D$2:$D$49,MATCH(C4761,Products!$A$2:$A$49,0))*(1+INDEX(Assumptions!$B$16:$B$20,MATCH(B4761,Assumptions!$A$16:$A$20,0)))</f>
        <v>5806.08</v>
      </c>
      <c r="J4761" s="33" t="n">
        <f aca="false">H4761-I4761</f>
        <v>2293.92</v>
      </c>
      <c r="K4761" s="33" t="n">
        <f aca="false">IF(OR(E4761=0,E4761&gt;=7),0,D4761/(7-E4761)*E4761*INDEX(Products!$E$2:$E$49,MATCH(C4761,Products!$A$2:$A$49,0)))</f>
        <v>0</v>
      </c>
    </row>
    <row r="4762" customFormat="false" ht="15" hidden="false" customHeight="false" outlineLevel="0" collapsed="false">
      <c r="A4762" s="36" t="n">
        <v>46188</v>
      </c>
      <c r="B4762" s="24" t="s">
        <v>64</v>
      </c>
      <c r="C4762" s="24" t="s">
        <v>207</v>
      </c>
      <c r="D4762" s="33" t="n">
        <v>36</v>
      </c>
      <c r="E4762" s="24" t="n">
        <v>0</v>
      </c>
      <c r="F4762" s="37" t="n">
        <f aca="false">DATE(YEAR(A4762),MONTH(A4762),1)</f>
        <v>46174</v>
      </c>
      <c r="G4762" s="24" t="str">
        <f aca="false">INDEX(Products!$C$2:$C$49,MATCH(C4762,Products!$A$2:$A$49,0))</f>
        <v>Snacks &amp; Confectionery</v>
      </c>
      <c r="H4762" s="33" t="n">
        <f aca="false">D4762*INDEX(Products!$E$2:$E$49,MATCH(C4762,Products!$A$2:$A$49,0))</f>
        <v>6480</v>
      </c>
      <c r="I4762" s="33" t="n">
        <f aca="false">D4762*INDEX(Products!$D$2:$D$49,MATCH(C4762,Products!$A$2:$A$49,0))*(1+INDEX(Assumptions!$B$16:$B$20,MATCH(B4762,Assumptions!$A$16:$A$20,0)))</f>
        <v>4644.864</v>
      </c>
      <c r="J4762" s="33" t="n">
        <f aca="false">H4762-I4762</f>
        <v>1835.136</v>
      </c>
      <c r="K4762" s="33" t="n">
        <f aca="false">IF(OR(E4762=0,E4762&gt;=7),0,D4762/(7-E4762)*E4762*INDEX(Products!$E$2:$E$49,MATCH(C4762,Products!$A$2:$A$49,0)))</f>
        <v>0</v>
      </c>
    </row>
    <row r="4763" customFormat="false" ht="15" hidden="false" customHeight="false" outlineLevel="0" collapsed="false">
      <c r="A4763" s="36" t="n">
        <v>46195</v>
      </c>
      <c r="B4763" s="24" t="s">
        <v>64</v>
      </c>
      <c r="C4763" s="24" t="s">
        <v>207</v>
      </c>
      <c r="D4763" s="33" t="n">
        <v>53</v>
      </c>
      <c r="E4763" s="24" t="n">
        <v>0</v>
      </c>
      <c r="F4763" s="37" t="n">
        <f aca="false">DATE(YEAR(A4763),MONTH(A4763),1)</f>
        <v>46174</v>
      </c>
      <c r="G4763" s="24" t="str">
        <f aca="false">INDEX(Products!$C$2:$C$49,MATCH(C4763,Products!$A$2:$A$49,0))</f>
        <v>Snacks &amp; Confectionery</v>
      </c>
      <c r="H4763" s="33" t="n">
        <f aca="false">D4763*INDEX(Products!$E$2:$E$49,MATCH(C4763,Products!$A$2:$A$49,0))</f>
        <v>9540</v>
      </c>
      <c r="I4763" s="33" t="n">
        <f aca="false">D4763*INDEX(Products!$D$2:$D$49,MATCH(C4763,Products!$A$2:$A$49,0))*(1+INDEX(Assumptions!$B$16:$B$20,MATCH(B4763,Assumptions!$A$16:$A$20,0)))</f>
        <v>6838.272</v>
      </c>
      <c r="J4763" s="33" t="n">
        <f aca="false">H4763-I4763</f>
        <v>2701.728</v>
      </c>
      <c r="K4763" s="33" t="n">
        <f aca="false">IF(OR(E4763=0,E4763&gt;=7),0,D4763/(7-E4763)*E4763*INDEX(Products!$E$2:$E$49,MATCH(C4763,Products!$A$2:$A$49,0)))</f>
        <v>0</v>
      </c>
    </row>
    <row r="4764" customFormat="false" ht="15" hidden="false" customHeight="false" outlineLevel="0" collapsed="false">
      <c r="A4764" s="36" t="n">
        <v>46202</v>
      </c>
      <c r="B4764" s="24" t="s">
        <v>64</v>
      </c>
      <c r="C4764" s="24" t="s">
        <v>207</v>
      </c>
      <c r="D4764" s="33" t="n">
        <v>34</v>
      </c>
      <c r="E4764" s="24" t="n">
        <v>0</v>
      </c>
      <c r="F4764" s="37" t="n">
        <f aca="false">DATE(YEAR(A4764),MONTH(A4764),1)</f>
        <v>46174</v>
      </c>
      <c r="G4764" s="24" t="str">
        <f aca="false">INDEX(Products!$C$2:$C$49,MATCH(C4764,Products!$A$2:$A$49,0))</f>
        <v>Snacks &amp; Confectionery</v>
      </c>
      <c r="H4764" s="33" t="n">
        <f aca="false">D4764*INDEX(Products!$E$2:$E$49,MATCH(C4764,Products!$A$2:$A$49,0))</f>
        <v>6120</v>
      </c>
      <c r="I4764" s="33" t="n">
        <f aca="false">D4764*INDEX(Products!$D$2:$D$49,MATCH(C4764,Products!$A$2:$A$49,0))*(1+INDEX(Assumptions!$B$16:$B$20,MATCH(B4764,Assumptions!$A$16:$A$20,0)))</f>
        <v>4386.816</v>
      </c>
      <c r="J4764" s="33" t="n">
        <f aca="false">H4764-I4764</f>
        <v>1733.184</v>
      </c>
      <c r="K4764" s="33" t="n">
        <f aca="false">IF(OR(E4764=0,E4764&gt;=7),0,D4764/(7-E4764)*E4764*INDEX(Products!$E$2:$E$49,MATCH(C4764,Products!$A$2:$A$49,0)))</f>
        <v>0</v>
      </c>
    </row>
    <row r="4765" customFormat="false" ht="15" hidden="false" customHeight="false" outlineLevel="0" collapsed="false">
      <c r="A4765" s="36" t="n">
        <v>46209</v>
      </c>
      <c r="B4765" s="24" t="s">
        <v>64</v>
      </c>
      <c r="C4765" s="24" t="s">
        <v>207</v>
      </c>
      <c r="D4765" s="33" t="n">
        <v>36</v>
      </c>
      <c r="E4765" s="24" t="n">
        <v>0</v>
      </c>
      <c r="F4765" s="37" t="n">
        <f aca="false">DATE(YEAR(A4765),MONTH(A4765),1)</f>
        <v>46204</v>
      </c>
      <c r="G4765" s="24" t="str">
        <f aca="false">INDEX(Products!$C$2:$C$49,MATCH(C4765,Products!$A$2:$A$49,0))</f>
        <v>Snacks &amp; Confectionery</v>
      </c>
      <c r="H4765" s="33" t="n">
        <f aca="false">D4765*INDEX(Products!$E$2:$E$49,MATCH(C4765,Products!$A$2:$A$49,0))</f>
        <v>6480</v>
      </c>
      <c r="I4765" s="33" t="n">
        <f aca="false">D4765*INDEX(Products!$D$2:$D$49,MATCH(C4765,Products!$A$2:$A$49,0))*(1+INDEX(Assumptions!$B$16:$B$20,MATCH(B4765,Assumptions!$A$16:$A$20,0)))</f>
        <v>4644.864</v>
      </c>
      <c r="J4765" s="33" t="n">
        <f aca="false">H4765-I4765</f>
        <v>1835.136</v>
      </c>
      <c r="K4765" s="33" t="n">
        <f aca="false">IF(OR(E4765=0,E4765&gt;=7),0,D4765/(7-E4765)*E4765*INDEX(Products!$E$2:$E$49,MATCH(C4765,Products!$A$2:$A$49,0)))</f>
        <v>0</v>
      </c>
    </row>
    <row r="4766" customFormat="false" ht="15" hidden="false" customHeight="false" outlineLevel="0" collapsed="false">
      <c r="A4766" s="36" t="n">
        <v>46216</v>
      </c>
      <c r="B4766" s="24" t="s">
        <v>64</v>
      </c>
      <c r="C4766" s="24" t="s">
        <v>207</v>
      </c>
      <c r="D4766" s="33" t="n">
        <v>40</v>
      </c>
      <c r="E4766" s="24" t="n">
        <v>0</v>
      </c>
      <c r="F4766" s="37" t="n">
        <f aca="false">DATE(YEAR(A4766),MONTH(A4766),1)</f>
        <v>46204</v>
      </c>
      <c r="G4766" s="24" t="str">
        <f aca="false">INDEX(Products!$C$2:$C$49,MATCH(C4766,Products!$A$2:$A$49,0))</f>
        <v>Snacks &amp; Confectionery</v>
      </c>
      <c r="H4766" s="33" t="n">
        <f aca="false">D4766*INDEX(Products!$E$2:$E$49,MATCH(C4766,Products!$A$2:$A$49,0))</f>
        <v>7200</v>
      </c>
      <c r="I4766" s="33" t="n">
        <f aca="false">D4766*INDEX(Products!$D$2:$D$49,MATCH(C4766,Products!$A$2:$A$49,0))*(1+INDEX(Assumptions!$B$16:$B$20,MATCH(B4766,Assumptions!$A$16:$A$20,0)))</f>
        <v>5160.96</v>
      </c>
      <c r="J4766" s="33" t="n">
        <f aca="false">H4766-I4766</f>
        <v>2039.04</v>
      </c>
      <c r="K4766" s="33" t="n">
        <f aca="false">IF(OR(E4766=0,E4766&gt;=7),0,D4766/(7-E4766)*E4766*INDEX(Products!$E$2:$E$49,MATCH(C4766,Products!$A$2:$A$49,0)))</f>
        <v>0</v>
      </c>
    </row>
    <row r="4767" customFormat="false" ht="15" hidden="false" customHeight="false" outlineLevel="0" collapsed="false">
      <c r="A4767" s="36" t="n">
        <v>46223</v>
      </c>
      <c r="B4767" s="24" t="s">
        <v>64</v>
      </c>
      <c r="C4767" s="24" t="s">
        <v>207</v>
      </c>
      <c r="D4767" s="33" t="n">
        <v>57</v>
      </c>
      <c r="E4767" s="24" t="n">
        <v>0</v>
      </c>
      <c r="F4767" s="37" t="n">
        <f aca="false">DATE(YEAR(A4767),MONTH(A4767),1)</f>
        <v>46204</v>
      </c>
      <c r="G4767" s="24" t="str">
        <f aca="false">INDEX(Products!$C$2:$C$49,MATCH(C4767,Products!$A$2:$A$49,0))</f>
        <v>Snacks &amp; Confectionery</v>
      </c>
      <c r="H4767" s="33" t="n">
        <f aca="false">D4767*INDEX(Products!$E$2:$E$49,MATCH(C4767,Products!$A$2:$A$49,0))</f>
        <v>10260</v>
      </c>
      <c r="I4767" s="33" t="n">
        <f aca="false">D4767*INDEX(Products!$D$2:$D$49,MATCH(C4767,Products!$A$2:$A$49,0))*(1+INDEX(Assumptions!$B$16:$B$20,MATCH(B4767,Assumptions!$A$16:$A$20,0)))</f>
        <v>7354.368</v>
      </c>
      <c r="J4767" s="33" t="n">
        <f aca="false">H4767-I4767</f>
        <v>2905.632</v>
      </c>
      <c r="K4767" s="33" t="n">
        <f aca="false">IF(OR(E4767=0,E4767&gt;=7),0,D4767/(7-E4767)*E4767*INDEX(Products!$E$2:$E$49,MATCH(C4767,Products!$A$2:$A$49,0)))</f>
        <v>0</v>
      </c>
    </row>
    <row r="4768" customFormat="false" ht="15" hidden="false" customHeight="false" outlineLevel="0" collapsed="false">
      <c r="A4768" s="36" t="n">
        <v>46230</v>
      </c>
      <c r="B4768" s="24" t="s">
        <v>64</v>
      </c>
      <c r="C4768" s="24" t="s">
        <v>207</v>
      </c>
      <c r="D4768" s="33" t="n">
        <v>42</v>
      </c>
      <c r="E4768" s="24" t="n">
        <v>0</v>
      </c>
      <c r="F4768" s="37" t="n">
        <f aca="false">DATE(YEAR(A4768),MONTH(A4768),1)</f>
        <v>46204</v>
      </c>
      <c r="G4768" s="24" t="str">
        <f aca="false">INDEX(Products!$C$2:$C$49,MATCH(C4768,Products!$A$2:$A$49,0))</f>
        <v>Snacks &amp; Confectionery</v>
      </c>
      <c r="H4768" s="33" t="n">
        <f aca="false">D4768*INDEX(Products!$E$2:$E$49,MATCH(C4768,Products!$A$2:$A$49,0))</f>
        <v>7560</v>
      </c>
      <c r="I4768" s="33" t="n">
        <f aca="false">D4768*INDEX(Products!$D$2:$D$49,MATCH(C4768,Products!$A$2:$A$49,0))*(1+INDEX(Assumptions!$B$16:$B$20,MATCH(B4768,Assumptions!$A$16:$A$20,0)))</f>
        <v>5419.008</v>
      </c>
      <c r="J4768" s="33" t="n">
        <f aca="false">H4768-I4768</f>
        <v>2140.992</v>
      </c>
      <c r="K4768" s="33" t="n">
        <f aca="false">IF(OR(E4768=0,E4768&gt;=7),0,D4768/(7-E4768)*E4768*INDEX(Products!$E$2:$E$49,MATCH(C4768,Products!$A$2:$A$49,0)))</f>
        <v>0</v>
      </c>
    </row>
    <row r="4769" customFormat="false" ht="15" hidden="false" customHeight="false" outlineLevel="0" collapsed="false">
      <c r="A4769" s="36" t="n">
        <v>46237</v>
      </c>
      <c r="B4769" s="24" t="s">
        <v>64</v>
      </c>
      <c r="C4769" s="24" t="s">
        <v>207</v>
      </c>
      <c r="D4769" s="33" t="n">
        <v>44</v>
      </c>
      <c r="E4769" s="24" t="n">
        <v>0</v>
      </c>
      <c r="F4769" s="37" t="n">
        <f aca="false">DATE(YEAR(A4769),MONTH(A4769),1)</f>
        <v>46235</v>
      </c>
      <c r="G4769" s="24" t="str">
        <f aca="false">INDEX(Products!$C$2:$C$49,MATCH(C4769,Products!$A$2:$A$49,0))</f>
        <v>Snacks &amp; Confectionery</v>
      </c>
      <c r="H4769" s="33" t="n">
        <f aca="false">D4769*INDEX(Products!$E$2:$E$49,MATCH(C4769,Products!$A$2:$A$49,0))</f>
        <v>7920</v>
      </c>
      <c r="I4769" s="33" t="n">
        <f aca="false">D4769*INDEX(Products!$D$2:$D$49,MATCH(C4769,Products!$A$2:$A$49,0))*(1+INDEX(Assumptions!$B$16:$B$20,MATCH(B4769,Assumptions!$A$16:$A$20,0)))</f>
        <v>5677.056</v>
      </c>
      <c r="J4769" s="33" t="n">
        <f aca="false">H4769-I4769</f>
        <v>2242.944</v>
      </c>
      <c r="K4769" s="33" t="n">
        <f aca="false">IF(OR(E4769=0,E4769&gt;=7),0,D4769/(7-E4769)*E4769*INDEX(Products!$E$2:$E$49,MATCH(C4769,Products!$A$2:$A$49,0)))</f>
        <v>0</v>
      </c>
    </row>
    <row r="4770" customFormat="false" ht="15" hidden="false" customHeight="false" outlineLevel="0" collapsed="false">
      <c r="A4770" s="36" t="n">
        <v>46244</v>
      </c>
      <c r="B4770" s="24" t="s">
        <v>64</v>
      </c>
      <c r="C4770" s="24" t="s">
        <v>207</v>
      </c>
      <c r="D4770" s="33" t="n">
        <v>32</v>
      </c>
      <c r="E4770" s="24" t="n">
        <v>0</v>
      </c>
      <c r="F4770" s="37" t="n">
        <f aca="false">DATE(YEAR(A4770),MONTH(A4770),1)</f>
        <v>46235</v>
      </c>
      <c r="G4770" s="24" t="str">
        <f aca="false">INDEX(Products!$C$2:$C$49,MATCH(C4770,Products!$A$2:$A$49,0))</f>
        <v>Snacks &amp; Confectionery</v>
      </c>
      <c r="H4770" s="33" t="n">
        <f aca="false">D4770*INDEX(Products!$E$2:$E$49,MATCH(C4770,Products!$A$2:$A$49,0))</f>
        <v>5760</v>
      </c>
      <c r="I4770" s="33" t="n">
        <f aca="false">D4770*INDEX(Products!$D$2:$D$49,MATCH(C4770,Products!$A$2:$A$49,0))*(1+INDEX(Assumptions!$B$16:$B$20,MATCH(B4770,Assumptions!$A$16:$A$20,0)))</f>
        <v>4128.768</v>
      </c>
      <c r="J4770" s="33" t="n">
        <f aca="false">H4770-I4770</f>
        <v>1631.232</v>
      </c>
      <c r="K4770" s="33" t="n">
        <f aca="false">IF(OR(E4770=0,E4770&gt;=7),0,D4770/(7-E4770)*E4770*INDEX(Products!$E$2:$E$49,MATCH(C4770,Products!$A$2:$A$49,0)))</f>
        <v>0</v>
      </c>
    </row>
    <row r="4771" customFormat="false" ht="15" hidden="false" customHeight="false" outlineLevel="0" collapsed="false">
      <c r="A4771" s="36" t="n">
        <v>46251</v>
      </c>
      <c r="B4771" s="24" t="s">
        <v>64</v>
      </c>
      <c r="C4771" s="24" t="s">
        <v>207</v>
      </c>
      <c r="D4771" s="33" t="n">
        <v>36</v>
      </c>
      <c r="E4771" s="24" t="n">
        <v>0</v>
      </c>
      <c r="F4771" s="37" t="n">
        <f aca="false">DATE(YEAR(A4771),MONTH(A4771),1)</f>
        <v>46235</v>
      </c>
      <c r="G4771" s="24" t="str">
        <f aca="false">INDEX(Products!$C$2:$C$49,MATCH(C4771,Products!$A$2:$A$49,0))</f>
        <v>Snacks &amp; Confectionery</v>
      </c>
      <c r="H4771" s="33" t="n">
        <f aca="false">D4771*INDEX(Products!$E$2:$E$49,MATCH(C4771,Products!$A$2:$A$49,0))</f>
        <v>6480</v>
      </c>
      <c r="I4771" s="33" t="n">
        <f aca="false">D4771*INDEX(Products!$D$2:$D$49,MATCH(C4771,Products!$A$2:$A$49,0))*(1+INDEX(Assumptions!$B$16:$B$20,MATCH(B4771,Assumptions!$A$16:$A$20,0)))</f>
        <v>4644.864</v>
      </c>
      <c r="J4771" s="33" t="n">
        <f aca="false">H4771-I4771</f>
        <v>1835.136</v>
      </c>
      <c r="K4771" s="33" t="n">
        <f aca="false">IF(OR(E4771=0,E4771&gt;=7),0,D4771/(7-E4771)*E4771*INDEX(Products!$E$2:$E$49,MATCH(C4771,Products!$A$2:$A$49,0)))</f>
        <v>0</v>
      </c>
    </row>
    <row r="4772" customFormat="false" ht="15" hidden="false" customHeight="false" outlineLevel="0" collapsed="false">
      <c r="A4772" s="36" t="n">
        <v>46258</v>
      </c>
      <c r="B4772" s="24" t="s">
        <v>64</v>
      </c>
      <c r="C4772" s="24" t="s">
        <v>207</v>
      </c>
      <c r="D4772" s="33" t="n">
        <v>42</v>
      </c>
      <c r="E4772" s="24" t="n">
        <v>0</v>
      </c>
      <c r="F4772" s="37" t="n">
        <f aca="false">DATE(YEAR(A4772),MONTH(A4772),1)</f>
        <v>46235</v>
      </c>
      <c r="G4772" s="24" t="str">
        <f aca="false">INDEX(Products!$C$2:$C$49,MATCH(C4772,Products!$A$2:$A$49,0))</f>
        <v>Snacks &amp; Confectionery</v>
      </c>
      <c r="H4772" s="33" t="n">
        <f aca="false">D4772*INDEX(Products!$E$2:$E$49,MATCH(C4772,Products!$A$2:$A$49,0))</f>
        <v>7560</v>
      </c>
      <c r="I4772" s="33" t="n">
        <f aca="false">D4772*INDEX(Products!$D$2:$D$49,MATCH(C4772,Products!$A$2:$A$49,0))*(1+INDEX(Assumptions!$B$16:$B$20,MATCH(B4772,Assumptions!$A$16:$A$20,0)))</f>
        <v>5419.008</v>
      </c>
      <c r="J4772" s="33" t="n">
        <f aca="false">H4772-I4772</f>
        <v>2140.992</v>
      </c>
      <c r="K4772" s="33" t="n">
        <f aca="false">IF(OR(E4772=0,E4772&gt;=7),0,D4772/(7-E4772)*E4772*INDEX(Products!$E$2:$E$49,MATCH(C4772,Products!$A$2:$A$49,0)))</f>
        <v>0</v>
      </c>
    </row>
    <row r="4773" customFormat="false" ht="15" hidden="false" customHeight="false" outlineLevel="0" collapsed="false">
      <c r="A4773" s="36" t="n">
        <v>46265</v>
      </c>
      <c r="B4773" s="24" t="s">
        <v>64</v>
      </c>
      <c r="C4773" s="24" t="s">
        <v>207</v>
      </c>
      <c r="D4773" s="33" t="n">
        <v>45</v>
      </c>
      <c r="E4773" s="24" t="n">
        <v>0</v>
      </c>
      <c r="F4773" s="37" t="n">
        <f aca="false">DATE(YEAR(A4773),MONTH(A4773),1)</f>
        <v>46235</v>
      </c>
      <c r="G4773" s="24" t="str">
        <f aca="false">INDEX(Products!$C$2:$C$49,MATCH(C4773,Products!$A$2:$A$49,0))</f>
        <v>Snacks &amp; Confectionery</v>
      </c>
      <c r="H4773" s="33" t="n">
        <f aca="false">D4773*INDEX(Products!$E$2:$E$49,MATCH(C4773,Products!$A$2:$A$49,0))</f>
        <v>8100</v>
      </c>
      <c r="I4773" s="33" t="n">
        <f aca="false">D4773*INDEX(Products!$D$2:$D$49,MATCH(C4773,Products!$A$2:$A$49,0))*(1+INDEX(Assumptions!$B$16:$B$20,MATCH(B4773,Assumptions!$A$16:$A$20,0)))</f>
        <v>5806.08</v>
      </c>
      <c r="J4773" s="33" t="n">
        <f aca="false">H4773-I4773</f>
        <v>2293.92</v>
      </c>
      <c r="K4773" s="33" t="n">
        <f aca="false">IF(OR(E4773=0,E4773&gt;=7),0,D4773/(7-E4773)*E4773*INDEX(Products!$E$2:$E$49,MATCH(C4773,Products!$A$2:$A$49,0)))</f>
        <v>0</v>
      </c>
    </row>
    <row r="4774" customFormat="false" ht="15" hidden="false" customHeight="false" outlineLevel="0" collapsed="false">
      <c r="A4774" s="36" t="n">
        <v>46272</v>
      </c>
      <c r="B4774" s="24" t="s">
        <v>64</v>
      </c>
      <c r="C4774" s="24" t="s">
        <v>207</v>
      </c>
      <c r="D4774" s="33" t="n">
        <v>50</v>
      </c>
      <c r="E4774" s="24" t="n">
        <v>0</v>
      </c>
      <c r="F4774" s="37" t="n">
        <f aca="false">DATE(YEAR(A4774),MONTH(A4774),1)</f>
        <v>46266</v>
      </c>
      <c r="G4774" s="24" t="str">
        <f aca="false">INDEX(Products!$C$2:$C$49,MATCH(C4774,Products!$A$2:$A$49,0))</f>
        <v>Snacks &amp; Confectionery</v>
      </c>
      <c r="H4774" s="33" t="n">
        <f aca="false">D4774*INDEX(Products!$E$2:$E$49,MATCH(C4774,Products!$A$2:$A$49,0))</f>
        <v>9000</v>
      </c>
      <c r="I4774" s="33" t="n">
        <f aca="false">D4774*INDEX(Products!$D$2:$D$49,MATCH(C4774,Products!$A$2:$A$49,0))*(1+INDEX(Assumptions!$B$16:$B$20,MATCH(B4774,Assumptions!$A$16:$A$20,0)))</f>
        <v>6451.2</v>
      </c>
      <c r="J4774" s="33" t="n">
        <f aca="false">H4774-I4774</f>
        <v>2548.8</v>
      </c>
      <c r="K4774" s="33" t="n">
        <f aca="false">IF(OR(E4774=0,E4774&gt;=7),0,D4774/(7-E4774)*E4774*INDEX(Products!$E$2:$E$49,MATCH(C4774,Products!$A$2:$A$49,0)))</f>
        <v>0</v>
      </c>
    </row>
    <row r="4775" customFormat="false" ht="15" hidden="false" customHeight="false" outlineLevel="0" collapsed="false">
      <c r="A4775" s="36" t="n">
        <v>46279</v>
      </c>
      <c r="B4775" s="24" t="s">
        <v>64</v>
      </c>
      <c r="C4775" s="24" t="s">
        <v>207</v>
      </c>
      <c r="D4775" s="33" t="n">
        <v>42</v>
      </c>
      <c r="E4775" s="24" t="n">
        <v>0</v>
      </c>
      <c r="F4775" s="37" t="n">
        <f aca="false">DATE(YEAR(A4775),MONTH(A4775),1)</f>
        <v>46266</v>
      </c>
      <c r="G4775" s="24" t="str">
        <f aca="false">INDEX(Products!$C$2:$C$49,MATCH(C4775,Products!$A$2:$A$49,0))</f>
        <v>Snacks &amp; Confectionery</v>
      </c>
      <c r="H4775" s="33" t="n">
        <f aca="false">D4775*INDEX(Products!$E$2:$E$49,MATCH(C4775,Products!$A$2:$A$49,0))</f>
        <v>7560</v>
      </c>
      <c r="I4775" s="33" t="n">
        <f aca="false">D4775*INDEX(Products!$D$2:$D$49,MATCH(C4775,Products!$A$2:$A$49,0))*(1+INDEX(Assumptions!$B$16:$B$20,MATCH(B4775,Assumptions!$A$16:$A$20,0)))</f>
        <v>5419.008</v>
      </c>
      <c r="J4775" s="33" t="n">
        <f aca="false">H4775-I4775</f>
        <v>2140.992</v>
      </c>
      <c r="K4775" s="33" t="n">
        <f aca="false">IF(OR(E4775=0,E4775&gt;=7),0,D4775/(7-E4775)*E4775*INDEX(Products!$E$2:$E$49,MATCH(C4775,Products!$A$2:$A$49,0)))</f>
        <v>0</v>
      </c>
    </row>
    <row r="4776" customFormat="false" ht="15" hidden="false" customHeight="false" outlineLevel="0" collapsed="false">
      <c r="A4776" s="36" t="n">
        <v>46286</v>
      </c>
      <c r="B4776" s="24" t="s">
        <v>64</v>
      </c>
      <c r="C4776" s="24" t="s">
        <v>207</v>
      </c>
      <c r="D4776" s="33" t="n">
        <v>60</v>
      </c>
      <c r="E4776" s="24" t="n">
        <v>0</v>
      </c>
      <c r="F4776" s="37" t="n">
        <f aca="false">DATE(YEAR(A4776),MONTH(A4776),1)</f>
        <v>46266</v>
      </c>
      <c r="G4776" s="24" t="str">
        <f aca="false">INDEX(Products!$C$2:$C$49,MATCH(C4776,Products!$A$2:$A$49,0))</f>
        <v>Snacks &amp; Confectionery</v>
      </c>
      <c r="H4776" s="33" t="n">
        <f aca="false">D4776*INDEX(Products!$E$2:$E$49,MATCH(C4776,Products!$A$2:$A$49,0))</f>
        <v>10800</v>
      </c>
      <c r="I4776" s="33" t="n">
        <f aca="false">D4776*INDEX(Products!$D$2:$D$49,MATCH(C4776,Products!$A$2:$A$49,0))*(1+INDEX(Assumptions!$B$16:$B$20,MATCH(B4776,Assumptions!$A$16:$A$20,0)))</f>
        <v>7741.44</v>
      </c>
      <c r="J4776" s="33" t="n">
        <f aca="false">H4776-I4776</f>
        <v>3058.56</v>
      </c>
      <c r="K4776" s="33" t="n">
        <f aca="false">IF(OR(E4776=0,E4776&gt;=7),0,D4776/(7-E4776)*E4776*INDEX(Products!$E$2:$E$49,MATCH(C4776,Products!$A$2:$A$49,0)))</f>
        <v>0</v>
      </c>
    </row>
    <row r="4777" customFormat="false" ht="15" hidden="false" customHeight="false" outlineLevel="0" collapsed="false">
      <c r="A4777" s="36" t="n">
        <v>46118</v>
      </c>
      <c r="B4777" s="24" t="s">
        <v>64</v>
      </c>
      <c r="C4777" s="24" t="s">
        <v>209</v>
      </c>
      <c r="D4777" s="33" t="n">
        <v>44</v>
      </c>
      <c r="E4777" s="24" t="n">
        <v>0</v>
      </c>
      <c r="F4777" s="37" t="n">
        <f aca="false">DATE(YEAR(A4777),MONTH(A4777),1)</f>
        <v>46113</v>
      </c>
      <c r="G4777" s="24" t="str">
        <f aca="false">INDEX(Products!$C$2:$C$49,MATCH(C4777,Products!$A$2:$A$49,0))</f>
        <v>Snacks &amp; Confectionery</v>
      </c>
      <c r="H4777" s="33" t="n">
        <f aca="false">D4777*INDEX(Products!$E$2:$E$49,MATCH(C4777,Products!$A$2:$A$49,0))</f>
        <v>3080</v>
      </c>
      <c r="I4777" s="33" t="n">
        <f aca="false">D4777*INDEX(Products!$D$2:$D$49,MATCH(C4777,Products!$A$2:$A$49,0))*(1+INDEX(Assumptions!$B$16:$B$20,MATCH(B4777,Assumptions!$A$16:$A$20,0)))</f>
        <v>2117.632</v>
      </c>
      <c r="J4777" s="33" t="n">
        <f aca="false">H4777-I4777</f>
        <v>962.368</v>
      </c>
      <c r="K4777" s="33" t="n">
        <f aca="false">IF(OR(E4777=0,E4777&gt;=7),0,D4777/(7-E4777)*E4777*INDEX(Products!$E$2:$E$49,MATCH(C4777,Products!$A$2:$A$49,0)))</f>
        <v>0</v>
      </c>
    </row>
    <row r="4778" customFormat="false" ht="15" hidden="false" customHeight="false" outlineLevel="0" collapsed="false">
      <c r="A4778" s="36" t="n">
        <v>46125</v>
      </c>
      <c r="B4778" s="24" t="s">
        <v>64</v>
      </c>
      <c r="C4778" s="24" t="s">
        <v>209</v>
      </c>
      <c r="D4778" s="33" t="n">
        <v>59</v>
      </c>
      <c r="E4778" s="24" t="n">
        <v>0</v>
      </c>
      <c r="F4778" s="37" t="n">
        <f aca="false">DATE(YEAR(A4778),MONTH(A4778),1)</f>
        <v>46113</v>
      </c>
      <c r="G4778" s="24" t="str">
        <f aca="false">INDEX(Products!$C$2:$C$49,MATCH(C4778,Products!$A$2:$A$49,0))</f>
        <v>Snacks &amp; Confectionery</v>
      </c>
      <c r="H4778" s="33" t="n">
        <f aca="false">D4778*INDEX(Products!$E$2:$E$49,MATCH(C4778,Products!$A$2:$A$49,0))</f>
        <v>4130</v>
      </c>
      <c r="I4778" s="33" t="n">
        <f aca="false">D4778*INDEX(Products!$D$2:$D$49,MATCH(C4778,Products!$A$2:$A$49,0))*(1+INDEX(Assumptions!$B$16:$B$20,MATCH(B4778,Assumptions!$A$16:$A$20,0)))</f>
        <v>2839.552</v>
      </c>
      <c r="J4778" s="33" t="n">
        <f aca="false">H4778-I4778</f>
        <v>1290.448</v>
      </c>
      <c r="K4778" s="33" t="n">
        <f aca="false">IF(OR(E4778=0,E4778&gt;=7),0,D4778/(7-E4778)*E4778*INDEX(Products!$E$2:$E$49,MATCH(C4778,Products!$A$2:$A$49,0)))</f>
        <v>0</v>
      </c>
    </row>
    <row r="4779" customFormat="false" ht="15" hidden="false" customHeight="false" outlineLevel="0" collapsed="false">
      <c r="A4779" s="36" t="n">
        <v>46132</v>
      </c>
      <c r="B4779" s="24" t="s">
        <v>64</v>
      </c>
      <c r="C4779" s="24" t="s">
        <v>209</v>
      </c>
      <c r="D4779" s="33" t="n">
        <v>135</v>
      </c>
      <c r="E4779" s="24" t="n">
        <v>0</v>
      </c>
      <c r="F4779" s="37" t="n">
        <f aca="false">DATE(YEAR(A4779),MONTH(A4779),1)</f>
        <v>46113</v>
      </c>
      <c r="G4779" s="24" t="str">
        <f aca="false">INDEX(Products!$C$2:$C$49,MATCH(C4779,Products!$A$2:$A$49,0))</f>
        <v>Snacks &amp; Confectionery</v>
      </c>
      <c r="H4779" s="33" t="n">
        <f aca="false">D4779*INDEX(Products!$E$2:$E$49,MATCH(C4779,Products!$A$2:$A$49,0))</f>
        <v>9450</v>
      </c>
      <c r="I4779" s="33" t="n">
        <f aca="false">D4779*INDEX(Products!$D$2:$D$49,MATCH(C4779,Products!$A$2:$A$49,0))*(1+INDEX(Assumptions!$B$16:$B$20,MATCH(B4779,Assumptions!$A$16:$A$20,0)))</f>
        <v>6497.28</v>
      </c>
      <c r="J4779" s="33" t="n">
        <f aca="false">H4779-I4779</f>
        <v>2952.72</v>
      </c>
      <c r="K4779" s="33" t="n">
        <f aca="false">IF(OR(E4779=0,E4779&gt;=7),0,D4779/(7-E4779)*E4779*INDEX(Products!$E$2:$E$49,MATCH(C4779,Products!$A$2:$A$49,0)))</f>
        <v>0</v>
      </c>
    </row>
    <row r="4780" customFormat="false" ht="15" hidden="false" customHeight="false" outlineLevel="0" collapsed="false">
      <c r="A4780" s="36" t="n">
        <v>46139</v>
      </c>
      <c r="B4780" s="24" t="s">
        <v>64</v>
      </c>
      <c r="C4780" s="24" t="s">
        <v>209</v>
      </c>
      <c r="D4780" s="33" t="n">
        <v>83</v>
      </c>
      <c r="E4780" s="24" t="n">
        <v>0</v>
      </c>
      <c r="F4780" s="37" t="n">
        <f aca="false">DATE(YEAR(A4780),MONTH(A4780),1)</f>
        <v>46113</v>
      </c>
      <c r="G4780" s="24" t="str">
        <f aca="false">INDEX(Products!$C$2:$C$49,MATCH(C4780,Products!$A$2:$A$49,0))</f>
        <v>Snacks &amp; Confectionery</v>
      </c>
      <c r="H4780" s="33" t="n">
        <f aca="false">D4780*INDEX(Products!$E$2:$E$49,MATCH(C4780,Products!$A$2:$A$49,0))</f>
        <v>5810</v>
      </c>
      <c r="I4780" s="33" t="n">
        <f aca="false">D4780*INDEX(Products!$D$2:$D$49,MATCH(C4780,Products!$A$2:$A$49,0))*(1+INDEX(Assumptions!$B$16:$B$20,MATCH(B4780,Assumptions!$A$16:$A$20,0)))</f>
        <v>3994.624</v>
      </c>
      <c r="J4780" s="33" t="n">
        <f aca="false">H4780-I4780</f>
        <v>1815.376</v>
      </c>
      <c r="K4780" s="33" t="n">
        <f aca="false">IF(OR(E4780=0,E4780&gt;=7),0,D4780/(7-E4780)*E4780*INDEX(Products!$E$2:$E$49,MATCH(C4780,Products!$A$2:$A$49,0)))</f>
        <v>0</v>
      </c>
    </row>
    <row r="4781" customFormat="false" ht="15" hidden="false" customHeight="false" outlineLevel="0" collapsed="false">
      <c r="A4781" s="36" t="n">
        <v>46146</v>
      </c>
      <c r="B4781" s="24" t="s">
        <v>64</v>
      </c>
      <c r="C4781" s="24" t="s">
        <v>209</v>
      </c>
      <c r="D4781" s="33" t="n">
        <v>114</v>
      </c>
      <c r="E4781" s="24" t="n">
        <v>0</v>
      </c>
      <c r="F4781" s="37" t="n">
        <f aca="false">DATE(YEAR(A4781),MONTH(A4781),1)</f>
        <v>46143</v>
      </c>
      <c r="G4781" s="24" t="str">
        <f aca="false">INDEX(Products!$C$2:$C$49,MATCH(C4781,Products!$A$2:$A$49,0))</f>
        <v>Snacks &amp; Confectionery</v>
      </c>
      <c r="H4781" s="33" t="n">
        <f aca="false">D4781*INDEX(Products!$E$2:$E$49,MATCH(C4781,Products!$A$2:$A$49,0))</f>
        <v>7980</v>
      </c>
      <c r="I4781" s="33" t="n">
        <f aca="false">D4781*INDEX(Products!$D$2:$D$49,MATCH(C4781,Products!$A$2:$A$49,0))*(1+INDEX(Assumptions!$B$16:$B$20,MATCH(B4781,Assumptions!$A$16:$A$20,0)))</f>
        <v>5486.592</v>
      </c>
      <c r="J4781" s="33" t="n">
        <f aca="false">H4781-I4781</f>
        <v>2493.408</v>
      </c>
      <c r="K4781" s="33" t="n">
        <f aca="false">IF(OR(E4781=0,E4781&gt;=7),0,D4781/(7-E4781)*E4781*INDEX(Products!$E$2:$E$49,MATCH(C4781,Products!$A$2:$A$49,0)))</f>
        <v>0</v>
      </c>
    </row>
    <row r="4782" customFormat="false" ht="15" hidden="false" customHeight="false" outlineLevel="0" collapsed="false">
      <c r="A4782" s="36" t="n">
        <v>46153</v>
      </c>
      <c r="B4782" s="24" t="s">
        <v>64</v>
      </c>
      <c r="C4782" s="24" t="s">
        <v>209</v>
      </c>
      <c r="D4782" s="33" t="n">
        <v>74</v>
      </c>
      <c r="E4782" s="24" t="n">
        <v>0</v>
      </c>
      <c r="F4782" s="37" t="n">
        <f aca="false">DATE(YEAR(A4782),MONTH(A4782),1)</f>
        <v>46143</v>
      </c>
      <c r="G4782" s="24" t="str">
        <f aca="false">INDEX(Products!$C$2:$C$49,MATCH(C4782,Products!$A$2:$A$49,0))</f>
        <v>Snacks &amp; Confectionery</v>
      </c>
      <c r="H4782" s="33" t="n">
        <f aca="false">D4782*INDEX(Products!$E$2:$E$49,MATCH(C4782,Products!$A$2:$A$49,0))</f>
        <v>5180</v>
      </c>
      <c r="I4782" s="33" t="n">
        <f aca="false">D4782*INDEX(Products!$D$2:$D$49,MATCH(C4782,Products!$A$2:$A$49,0))*(1+INDEX(Assumptions!$B$16:$B$20,MATCH(B4782,Assumptions!$A$16:$A$20,0)))</f>
        <v>3561.472</v>
      </c>
      <c r="J4782" s="33" t="n">
        <f aca="false">H4782-I4782</f>
        <v>1618.528</v>
      </c>
      <c r="K4782" s="33" t="n">
        <f aca="false">IF(OR(E4782=0,E4782&gt;=7),0,D4782/(7-E4782)*E4782*INDEX(Products!$E$2:$E$49,MATCH(C4782,Products!$A$2:$A$49,0)))</f>
        <v>0</v>
      </c>
    </row>
    <row r="4783" customFormat="false" ht="15" hidden="false" customHeight="false" outlineLevel="0" collapsed="false">
      <c r="A4783" s="36" t="n">
        <v>46160</v>
      </c>
      <c r="B4783" s="24" t="s">
        <v>64</v>
      </c>
      <c r="C4783" s="24" t="s">
        <v>209</v>
      </c>
      <c r="D4783" s="33" t="n">
        <v>67</v>
      </c>
      <c r="E4783" s="24" t="n">
        <v>0</v>
      </c>
      <c r="F4783" s="37" t="n">
        <f aca="false">DATE(YEAR(A4783),MONTH(A4783),1)</f>
        <v>46143</v>
      </c>
      <c r="G4783" s="24" t="str">
        <f aca="false">INDEX(Products!$C$2:$C$49,MATCH(C4783,Products!$A$2:$A$49,0))</f>
        <v>Snacks &amp; Confectionery</v>
      </c>
      <c r="H4783" s="33" t="n">
        <f aca="false">D4783*INDEX(Products!$E$2:$E$49,MATCH(C4783,Products!$A$2:$A$49,0))</f>
        <v>4690</v>
      </c>
      <c r="I4783" s="33" t="n">
        <f aca="false">D4783*INDEX(Products!$D$2:$D$49,MATCH(C4783,Products!$A$2:$A$49,0))*(1+INDEX(Assumptions!$B$16:$B$20,MATCH(B4783,Assumptions!$A$16:$A$20,0)))</f>
        <v>3224.576</v>
      </c>
      <c r="J4783" s="33" t="n">
        <f aca="false">H4783-I4783</f>
        <v>1465.424</v>
      </c>
      <c r="K4783" s="33" t="n">
        <f aca="false">IF(OR(E4783=0,E4783&gt;=7),0,D4783/(7-E4783)*E4783*INDEX(Products!$E$2:$E$49,MATCH(C4783,Products!$A$2:$A$49,0)))</f>
        <v>0</v>
      </c>
    </row>
    <row r="4784" customFormat="false" ht="15" hidden="false" customHeight="false" outlineLevel="0" collapsed="false">
      <c r="A4784" s="36" t="n">
        <v>46167</v>
      </c>
      <c r="B4784" s="24" t="s">
        <v>64</v>
      </c>
      <c r="C4784" s="24" t="s">
        <v>209</v>
      </c>
      <c r="D4784" s="33" t="n">
        <v>140</v>
      </c>
      <c r="E4784" s="24" t="n">
        <v>0</v>
      </c>
      <c r="F4784" s="37" t="n">
        <f aca="false">DATE(YEAR(A4784),MONTH(A4784),1)</f>
        <v>46143</v>
      </c>
      <c r="G4784" s="24" t="str">
        <f aca="false">INDEX(Products!$C$2:$C$49,MATCH(C4784,Products!$A$2:$A$49,0))</f>
        <v>Snacks &amp; Confectionery</v>
      </c>
      <c r="H4784" s="33" t="n">
        <f aca="false">D4784*INDEX(Products!$E$2:$E$49,MATCH(C4784,Products!$A$2:$A$49,0))</f>
        <v>9800</v>
      </c>
      <c r="I4784" s="33" t="n">
        <f aca="false">D4784*INDEX(Products!$D$2:$D$49,MATCH(C4784,Products!$A$2:$A$49,0))*(1+INDEX(Assumptions!$B$16:$B$20,MATCH(B4784,Assumptions!$A$16:$A$20,0)))</f>
        <v>6737.92</v>
      </c>
      <c r="J4784" s="33" t="n">
        <f aca="false">H4784-I4784</f>
        <v>3062.08</v>
      </c>
      <c r="K4784" s="33" t="n">
        <f aca="false">IF(OR(E4784=0,E4784&gt;=7),0,D4784/(7-E4784)*E4784*INDEX(Products!$E$2:$E$49,MATCH(C4784,Products!$A$2:$A$49,0)))</f>
        <v>0</v>
      </c>
    </row>
    <row r="4785" customFormat="false" ht="15" hidden="false" customHeight="false" outlineLevel="0" collapsed="false">
      <c r="A4785" s="36" t="n">
        <v>46174</v>
      </c>
      <c r="B4785" s="24" t="s">
        <v>64</v>
      </c>
      <c r="C4785" s="24" t="s">
        <v>209</v>
      </c>
      <c r="D4785" s="33" t="n">
        <v>74</v>
      </c>
      <c r="E4785" s="24" t="n">
        <v>0</v>
      </c>
      <c r="F4785" s="37" t="n">
        <f aca="false">DATE(YEAR(A4785),MONTH(A4785),1)</f>
        <v>46174</v>
      </c>
      <c r="G4785" s="24" t="str">
        <f aca="false">INDEX(Products!$C$2:$C$49,MATCH(C4785,Products!$A$2:$A$49,0))</f>
        <v>Snacks &amp; Confectionery</v>
      </c>
      <c r="H4785" s="33" t="n">
        <f aca="false">D4785*INDEX(Products!$E$2:$E$49,MATCH(C4785,Products!$A$2:$A$49,0))</f>
        <v>5180</v>
      </c>
      <c r="I4785" s="33" t="n">
        <f aca="false">D4785*INDEX(Products!$D$2:$D$49,MATCH(C4785,Products!$A$2:$A$49,0))*(1+INDEX(Assumptions!$B$16:$B$20,MATCH(B4785,Assumptions!$A$16:$A$20,0)))</f>
        <v>3561.472</v>
      </c>
      <c r="J4785" s="33" t="n">
        <f aca="false">H4785-I4785</f>
        <v>1618.528</v>
      </c>
      <c r="K4785" s="33" t="n">
        <f aca="false">IF(OR(E4785=0,E4785&gt;=7),0,D4785/(7-E4785)*E4785*INDEX(Products!$E$2:$E$49,MATCH(C4785,Products!$A$2:$A$49,0)))</f>
        <v>0</v>
      </c>
    </row>
    <row r="4786" customFormat="false" ht="15" hidden="false" customHeight="false" outlineLevel="0" collapsed="false">
      <c r="A4786" s="36" t="n">
        <v>46181</v>
      </c>
      <c r="B4786" s="24" t="s">
        <v>64</v>
      </c>
      <c r="C4786" s="24" t="s">
        <v>209</v>
      </c>
      <c r="D4786" s="33" t="n">
        <v>76</v>
      </c>
      <c r="E4786" s="24" t="n">
        <v>0</v>
      </c>
      <c r="F4786" s="37" t="n">
        <f aca="false">DATE(YEAR(A4786),MONTH(A4786),1)</f>
        <v>46174</v>
      </c>
      <c r="G4786" s="24" t="str">
        <f aca="false">INDEX(Products!$C$2:$C$49,MATCH(C4786,Products!$A$2:$A$49,0))</f>
        <v>Snacks &amp; Confectionery</v>
      </c>
      <c r="H4786" s="33" t="n">
        <f aca="false">D4786*INDEX(Products!$E$2:$E$49,MATCH(C4786,Products!$A$2:$A$49,0))</f>
        <v>5320</v>
      </c>
      <c r="I4786" s="33" t="n">
        <f aca="false">D4786*INDEX(Products!$D$2:$D$49,MATCH(C4786,Products!$A$2:$A$49,0))*(1+INDEX(Assumptions!$B$16:$B$20,MATCH(B4786,Assumptions!$A$16:$A$20,0)))</f>
        <v>3657.728</v>
      </c>
      <c r="J4786" s="33" t="n">
        <f aca="false">H4786-I4786</f>
        <v>1662.272</v>
      </c>
      <c r="K4786" s="33" t="n">
        <f aca="false">IF(OR(E4786=0,E4786&gt;=7),0,D4786/(7-E4786)*E4786*INDEX(Products!$E$2:$E$49,MATCH(C4786,Products!$A$2:$A$49,0)))</f>
        <v>0</v>
      </c>
    </row>
    <row r="4787" customFormat="false" ht="15" hidden="false" customHeight="false" outlineLevel="0" collapsed="false">
      <c r="A4787" s="36" t="n">
        <v>46188</v>
      </c>
      <c r="B4787" s="24" t="s">
        <v>64</v>
      </c>
      <c r="C4787" s="24" t="s">
        <v>209</v>
      </c>
      <c r="D4787" s="33" t="n">
        <v>72</v>
      </c>
      <c r="E4787" s="24" t="n">
        <v>0</v>
      </c>
      <c r="F4787" s="37" t="n">
        <f aca="false">DATE(YEAR(A4787),MONTH(A4787),1)</f>
        <v>46174</v>
      </c>
      <c r="G4787" s="24" t="str">
        <f aca="false">INDEX(Products!$C$2:$C$49,MATCH(C4787,Products!$A$2:$A$49,0))</f>
        <v>Snacks &amp; Confectionery</v>
      </c>
      <c r="H4787" s="33" t="n">
        <f aca="false">D4787*INDEX(Products!$E$2:$E$49,MATCH(C4787,Products!$A$2:$A$49,0))</f>
        <v>5040</v>
      </c>
      <c r="I4787" s="33" t="n">
        <f aca="false">D4787*INDEX(Products!$D$2:$D$49,MATCH(C4787,Products!$A$2:$A$49,0))*(1+INDEX(Assumptions!$B$16:$B$20,MATCH(B4787,Assumptions!$A$16:$A$20,0)))</f>
        <v>3465.216</v>
      </c>
      <c r="J4787" s="33" t="n">
        <f aca="false">H4787-I4787</f>
        <v>1574.784</v>
      </c>
      <c r="K4787" s="33" t="n">
        <f aca="false">IF(OR(E4787=0,E4787&gt;=7),0,D4787/(7-E4787)*E4787*INDEX(Products!$E$2:$E$49,MATCH(C4787,Products!$A$2:$A$49,0)))</f>
        <v>0</v>
      </c>
    </row>
    <row r="4788" customFormat="false" ht="15" hidden="false" customHeight="false" outlineLevel="0" collapsed="false">
      <c r="A4788" s="36" t="n">
        <v>46195</v>
      </c>
      <c r="B4788" s="24" t="s">
        <v>64</v>
      </c>
      <c r="C4788" s="24" t="s">
        <v>209</v>
      </c>
      <c r="D4788" s="33" t="n">
        <v>164</v>
      </c>
      <c r="E4788" s="24" t="n">
        <v>0</v>
      </c>
      <c r="F4788" s="37" t="n">
        <f aca="false">DATE(YEAR(A4788),MONTH(A4788),1)</f>
        <v>46174</v>
      </c>
      <c r="G4788" s="24" t="str">
        <f aca="false">INDEX(Products!$C$2:$C$49,MATCH(C4788,Products!$A$2:$A$49,0))</f>
        <v>Snacks &amp; Confectionery</v>
      </c>
      <c r="H4788" s="33" t="n">
        <f aca="false">D4788*INDEX(Products!$E$2:$E$49,MATCH(C4788,Products!$A$2:$A$49,0))</f>
        <v>11480</v>
      </c>
      <c r="I4788" s="33" t="n">
        <f aca="false">D4788*INDEX(Products!$D$2:$D$49,MATCH(C4788,Products!$A$2:$A$49,0))*(1+INDEX(Assumptions!$B$16:$B$20,MATCH(B4788,Assumptions!$A$16:$A$20,0)))</f>
        <v>7892.992</v>
      </c>
      <c r="J4788" s="33" t="n">
        <f aca="false">H4788-I4788</f>
        <v>3587.008</v>
      </c>
      <c r="K4788" s="33" t="n">
        <f aca="false">IF(OR(E4788=0,E4788&gt;=7),0,D4788/(7-E4788)*E4788*INDEX(Products!$E$2:$E$49,MATCH(C4788,Products!$A$2:$A$49,0)))</f>
        <v>0</v>
      </c>
    </row>
    <row r="4789" customFormat="false" ht="15" hidden="false" customHeight="false" outlineLevel="0" collapsed="false">
      <c r="A4789" s="36" t="n">
        <v>46202</v>
      </c>
      <c r="B4789" s="24" t="s">
        <v>64</v>
      </c>
      <c r="C4789" s="24" t="s">
        <v>209</v>
      </c>
      <c r="D4789" s="33" t="n">
        <v>82</v>
      </c>
      <c r="E4789" s="24" t="n">
        <v>0</v>
      </c>
      <c r="F4789" s="37" t="n">
        <f aca="false">DATE(YEAR(A4789),MONTH(A4789),1)</f>
        <v>46174</v>
      </c>
      <c r="G4789" s="24" t="str">
        <f aca="false">INDEX(Products!$C$2:$C$49,MATCH(C4789,Products!$A$2:$A$49,0))</f>
        <v>Snacks &amp; Confectionery</v>
      </c>
      <c r="H4789" s="33" t="n">
        <f aca="false">D4789*INDEX(Products!$E$2:$E$49,MATCH(C4789,Products!$A$2:$A$49,0))</f>
        <v>5740</v>
      </c>
      <c r="I4789" s="33" t="n">
        <f aca="false">D4789*INDEX(Products!$D$2:$D$49,MATCH(C4789,Products!$A$2:$A$49,0))*(1+INDEX(Assumptions!$B$16:$B$20,MATCH(B4789,Assumptions!$A$16:$A$20,0)))</f>
        <v>3946.496</v>
      </c>
      <c r="J4789" s="33" t="n">
        <f aca="false">H4789-I4789</f>
        <v>1793.504</v>
      </c>
      <c r="K4789" s="33" t="n">
        <f aca="false">IF(OR(E4789=0,E4789&gt;=7),0,D4789/(7-E4789)*E4789*INDEX(Products!$E$2:$E$49,MATCH(C4789,Products!$A$2:$A$49,0)))</f>
        <v>0</v>
      </c>
    </row>
    <row r="4790" customFormat="false" ht="15" hidden="false" customHeight="false" outlineLevel="0" collapsed="false">
      <c r="A4790" s="36" t="n">
        <v>46209</v>
      </c>
      <c r="B4790" s="24" t="s">
        <v>64</v>
      </c>
      <c r="C4790" s="24" t="s">
        <v>209</v>
      </c>
      <c r="D4790" s="33" t="n">
        <v>59</v>
      </c>
      <c r="E4790" s="24" t="n">
        <v>0</v>
      </c>
      <c r="F4790" s="37" t="n">
        <f aca="false">DATE(YEAR(A4790),MONTH(A4790),1)</f>
        <v>46204</v>
      </c>
      <c r="G4790" s="24" t="str">
        <f aca="false">INDEX(Products!$C$2:$C$49,MATCH(C4790,Products!$A$2:$A$49,0))</f>
        <v>Snacks &amp; Confectionery</v>
      </c>
      <c r="H4790" s="33" t="n">
        <f aca="false">D4790*INDEX(Products!$E$2:$E$49,MATCH(C4790,Products!$A$2:$A$49,0))</f>
        <v>4130</v>
      </c>
      <c r="I4790" s="33" t="n">
        <f aca="false">D4790*INDEX(Products!$D$2:$D$49,MATCH(C4790,Products!$A$2:$A$49,0))*(1+INDEX(Assumptions!$B$16:$B$20,MATCH(B4790,Assumptions!$A$16:$A$20,0)))</f>
        <v>2839.552</v>
      </c>
      <c r="J4790" s="33" t="n">
        <f aca="false">H4790-I4790</f>
        <v>1290.448</v>
      </c>
      <c r="K4790" s="33" t="n">
        <f aca="false">IF(OR(E4790=0,E4790&gt;=7),0,D4790/(7-E4790)*E4790*INDEX(Products!$E$2:$E$49,MATCH(C4790,Products!$A$2:$A$49,0)))</f>
        <v>0</v>
      </c>
    </row>
    <row r="4791" customFormat="false" ht="15" hidden="false" customHeight="false" outlineLevel="0" collapsed="false">
      <c r="A4791" s="36" t="n">
        <v>46216</v>
      </c>
      <c r="B4791" s="24" t="s">
        <v>64</v>
      </c>
      <c r="C4791" s="24" t="s">
        <v>209</v>
      </c>
      <c r="D4791" s="33" t="n">
        <v>76</v>
      </c>
      <c r="E4791" s="24" t="n">
        <v>0</v>
      </c>
      <c r="F4791" s="37" t="n">
        <f aca="false">DATE(YEAR(A4791),MONTH(A4791),1)</f>
        <v>46204</v>
      </c>
      <c r="G4791" s="24" t="str">
        <f aca="false">INDEX(Products!$C$2:$C$49,MATCH(C4791,Products!$A$2:$A$49,0))</f>
        <v>Snacks &amp; Confectionery</v>
      </c>
      <c r="H4791" s="33" t="n">
        <f aca="false">D4791*INDEX(Products!$E$2:$E$49,MATCH(C4791,Products!$A$2:$A$49,0))</f>
        <v>5320</v>
      </c>
      <c r="I4791" s="33" t="n">
        <f aca="false">D4791*INDEX(Products!$D$2:$D$49,MATCH(C4791,Products!$A$2:$A$49,0))*(1+INDEX(Assumptions!$B$16:$B$20,MATCH(B4791,Assumptions!$A$16:$A$20,0)))</f>
        <v>3657.728</v>
      </c>
      <c r="J4791" s="33" t="n">
        <f aca="false">H4791-I4791</f>
        <v>1662.272</v>
      </c>
      <c r="K4791" s="33" t="n">
        <f aca="false">IF(OR(E4791=0,E4791&gt;=7),0,D4791/(7-E4791)*E4791*INDEX(Products!$E$2:$E$49,MATCH(C4791,Products!$A$2:$A$49,0)))</f>
        <v>0</v>
      </c>
    </row>
    <row r="4792" customFormat="false" ht="15" hidden="false" customHeight="false" outlineLevel="0" collapsed="false">
      <c r="A4792" s="36" t="n">
        <v>46223</v>
      </c>
      <c r="B4792" s="24" t="s">
        <v>64</v>
      </c>
      <c r="C4792" s="24" t="s">
        <v>209</v>
      </c>
      <c r="D4792" s="33" t="n">
        <v>66</v>
      </c>
      <c r="E4792" s="24" t="n">
        <v>0</v>
      </c>
      <c r="F4792" s="37" t="n">
        <f aca="false">DATE(YEAR(A4792),MONTH(A4792),1)</f>
        <v>46204</v>
      </c>
      <c r="G4792" s="24" t="str">
        <f aca="false">INDEX(Products!$C$2:$C$49,MATCH(C4792,Products!$A$2:$A$49,0))</f>
        <v>Snacks &amp; Confectionery</v>
      </c>
      <c r="H4792" s="33" t="n">
        <f aca="false">D4792*INDEX(Products!$E$2:$E$49,MATCH(C4792,Products!$A$2:$A$49,0))</f>
        <v>4620</v>
      </c>
      <c r="I4792" s="33" t="n">
        <f aca="false">D4792*INDEX(Products!$D$2:$D$49,MATCH(C4792,Products!$A$2:$A$49,0))*(1+INDEX(Assumptions!$B$16:$B$20,MATCH(B4792,Assumptions!$A$16:$A$20,0)))</f>
        <v>3176.448</v>
      </c>
      <c r="J4792" s="33" t="n">
        <f aca="false">H4792-I4792</f>
        <v>1443.552</v>
      </c>
      <c r="K4792" s="33" t="n">
        <f aca="false">IF(OR(E4792=0,E4792&gt;=7),0,D4792/(7-E4792)*E4792*INDEX(Products!$E$2:$E$49,MATCH(C4792,Products!$A$2:$A$49,0)))</f>
        <v>0</v>
      </c>
    </row>
    <row r="4793" customFormat="false" ht="15" hidden="false" customHeight="false" outlineLevel="0" collapsed="false">
      <c r="A4793" s="36" t="n">
        <v>46230</v>
      </c>
      <c r="B4793" s="24" t="s">
        <v>64</v>
      </c>
      <c r="C4793" s="24" t="s">
        <v>209</v>
      </c>
      <c r="D4793" s="33" t="n">
        <v>67</v>
      </c>
      <c r="E4793" s="24" t="n">
        <v>0</v>
      </c>
      <c r="F4793" s="37" t="n">
        <f aca="false">DATE(YEAR(A4793),MONTH(A4793),1)</f>
        <v>46204</v>
      </c>
      <c r="G4793" s="24" t="str">
        <f aca="false">INDEX(Products!$C$2:$C$49,MATCH(C4793,Products!$A$2:$A$49,0))</f>
        <v>Snacks &amp; Confectionery</v>
      </c>
      <c r="H4793" s="33" t="n">
        <f aca="false">D4793*INDEX(Products!$E$2:$E$49,MATCH(C4793,Products!$A$2:$A$49,0))</f>
        <v>4690</v>
      </c>
      <c r="I4793" s="33" t="n">
        <f aca="false">D4793*INDEX(Products!$D$2:$D$49,MATCH(C4793,Products!$A$2:$A$49,0))*(1+INDEX(Assumptions!$B$16:$B$20,MATCH(B4793,Assumptions!$A$16:$A$20,0)))</f>
        <v>3224.576</v>
      </c>
      <c r="J4793" s="33" t="n">
        <f aca="false">H4793-I4793</f>
        <v>1465.424</v>
      </c>
      <c r="K4793" s="33" t="n">
        <f aca="false">IF(OR(E4793=0,E4793&gt;=7),0,D4793/(7-E4793)*E4793*INDEX(Products!$E$2:$E$49,MATCH(C4793,Products!$A$2:$A$49,0)))</f>
        <v>0</v>
      </c>
    </row>
    <row r="4794" customFormat="false" ht="15" hidden="false" customHeight="false" outlineLevel="0" collapsed="false">
      <c r="A4794" s="36" t="n">
        <v>46237</v>
      </c>
      <c r="B4794" s="24" t="s">
        <v>64</v>
      </c>
      <c r="C4794" s="24" t="s">
        <v>209</v>
      </c>
      <c r="D4794" s="33" t="n">
        <v>55</v>
      </c>
      <c r="E4794" s="24" t="n">
        <v>0</v>
      </c>
      <c r="F4794" s="37" t="n">
        <f aca="false">DATE(YEAR(A4794),MONTH(A4794),1)</f>
        <v>46235</v>
      </c>
      <c r="G4794" s="24" t="str">
        <f aca="false">INDEX(Products!$C$2:$C$49,MATCH(C4794,Products!$A$2:$A$49,0))</f>
        <v>Snacks &amp; Confectionery</v>
      </c>
      <c r="H4794" s="33" t="n">
        <f aca="false">D4794*INDEX(Products!$E$2:$E$49,MATCH(C4794,Products!$A$2:$A$49,0))</f>
        <v>3850</v>
      </c>
      <c r="I4794" s="33" t="n">
        <f aca="false">D4794*INDEX(Products!$D$2:$D$49,MATCH(C4794,Products!$A$2:$A$49,0))*(1+INDEX(Assumptions!$B$16:$B$20,MATCH(B4794,Assumptions!$A$16:$A$20,0)))</f>
        <v>2647.04</v>
      </c>
      <c r="J4794" s="33" t="n">
        <f aca="false">H4794-I4794</f>
        <v>1202.96</v>
      </c>
      <c r="K4794" s="33" t="n">
        <f aca="false">IF(OR(E4794=0,E4794&gt;=7),0,D4794/(7-E4794)*E4794*INDEX(Products!$E$2:$E$49,MATCH(C4794,Products!$A$2:$A$49,0)))</f>
        <v>0</v>
      </c>
    </row>
    <row r="4795" customFormat="false" ht="15" hidden="false" customHeight="false" outlineLevel="0" collapsed="false">
      <c r="A4795" s="36" t="n">
        <v>46244</v>
      </c>
      <c r="B4795" s="24" t="s">
        <v>64</v>
      </c>
      <c r="C4795" s="24" t="s">
        <v>209</v>
      </c>
      <c r="D4795" s="33" t="n">
        <v>54</v>
      </c>
      <c r="E4795" s="24" t="n">
        <v>0</v>
      </c>
      <c r="F4795" s="37" t="n">
        <f aca="false">DATE(YEAR(A4795),MONTH(A4795),1)</f>
        <v>46235</v>
      </c>
      <c r="G4795" s="24" t="str">
        <f aca="false">INDEX(Products!$C$2:$C$49,MATCH(C4795,Products!$A$2:$A$49,0))</f>
        <v>Snacks &amp; Confectionery</v>
      </c>
      <c r="H4795" s="33" t="n">
        <f aca="false">D4795*INDEX(Products!$E$2:$E$49,MATCH(C4795,Products!$A$2:$A$49,0))</f>
        <v>3780</v>
      </c>
      <c r="I4795" s="33" t="n">
        <f aca="false">D4795*INDEX(Products!$D$2:$D$49,MATCH(C4795,Products!$A$2:$A$49,0))*(1+INDEX(Assumptions!$B$16:$B$20,MATCH(B4795,Assumptions!$A$16:$A$20,0)))</f>
        <v>2598.912</v>
      </c>
      <c r="J4795" s="33" t="n">
        <f aca="false">H4795-I4795</f>
        <v>1181.088</v>
      </c>
      <c r="K4795" s="33" t="n">
        <f aca="false">IF(OR(E4795=0,E4795&gt;=7),0,D4795/(7-E4795)*E4795*INDEX(Products!$E$2:$E$49,MATCH(C4795,Products!$A$2:$A$49,0)))</f>
        <v>0</v>
      </c>
    </row>
    <row r="4796" customFormat="false" ht="15" hidden="false" customHeight="false" outlineLevel="0" collapsed="false">
      <c r="A4796" s="36" t="n">
        <v>46251</v>
      </c>
      <c r="B4796" s="24" t="s">
        <v>64</v>
      </c>
      <c r="C4796" s="24" t="s">
        <v>209</v>
      </c>
      <c r="D4796" s="33" t="n">
        <v>83</v>
      </c>
      <c r="E4796" s="24" t="n">
        <v>0</v>
      </c>
      <c r="F4796" s="37" t="n">
        <f aca="false">DATE(YEAR(A4796),MONTH(A4796),1)</f>
        <v>46235</v>
      </c>
      <c r="G4796" s="24" t="str">
        <f aca="false">INDEX(Products!$C$2:$C$49,MATCH(C4796,Products!$A$2:$A$49,0))</f>
        <v>Snacks &amp; Confectionery</v>
      </c>
      <c r="H4796" s="33" t="n">
        <f aca="false">D4796*INDEX(Products!$E$2:$E$49,MATCH(C4796,Products!$A$2:$A$49,0))</f>
        <v>5810</v>
      </c>
      <c r="I4796" s="33" t="n">
        <f aca="false">D4796*INDEX(Products!$D$2:$D$49,MATCH(C4796,Products!$A$2:$A$49,0))*(1+INDEX(Assumptions!$B$16:$B$20,MATCH(B4796,Assumptions!$A$16:$A$20,0)))</f>
        <v>3994.624</v>
      </c>
      <c r="J4796" s="33" t="n">
        <f aca="false">H4796-I4796</f>
        <v>1815.376</v>
      </c>
      <c r="K4796" s="33" t="n">
        <f aca="false">IF(OR(E4796=0,E4796&gt;=7),0,D4796/(7-E4796)*E4796*INDEX(Products!$E$2:$E$49,MATCH(C4796,Products!$A$2:$A$49,0)))</f>
        <v>0</v>
      </c>
    </row>
    <row r="4797" customFormat="false" ht="15" hidden="false" customHeight="false" outlineLevel="0" collapsed="false">
      <c r="A4797" s="36" t="n">
        <v>46258</v>
      </c>
      <c r="B4797" s="24" t="s">
        <v>64</v>
      </c>
      <c r="C4797" s="24" t="s">
        <v>209</v>
      </c>
      <c r="D4797" s="33" t="n">
        <v>85</v>
      </c>
      <c r="E4797" s="24" t="n">
        <v>0</v>
      </c>
      <c r="F4797" s="37" t="n">
        <f aca="false">DATE(YEAR(A4797),MONTH(A4797),1)</f>
        <v>46235</v>
      </c>
      <c r="G4797" s="24" t="str">
        <f aca="false">INDEX(Products!$C$2:$C$49,MATCH(C4797,Products!$A$2:$A$49,0))</f>
        <v>Snacks &amp; Confectionery</v>
      </c>
      <c r="H4797" s="33" t="n">
        <f aca="false">D4797*INDEX(Products!$E$2:$E$49,MATCH(C4797,Products!$A$2:$A$49,0))</f>
        <v>5950</v>
      </c>
      <c r="I4797" s="33" t="n">
        <f aca="false">D4797*INDEX(Products!$D$2:$D$49,MATCH(C4797,Products!$A$2:$A$49,0))*(1+INDEX(Assumptions!$B$16:$B$20,MATCH(B4797,Assumptions!$A$16:$A$20,0)))</f>
        <v>4090.88</v>
      </c>
      <c r="J4797" s="33" t="n">
        <f aca="false">H4797-I4797</f>
        <v>1859.12</v>
      </c>
      <c r="K4797" s="33" t="n">
        <f aca="false">IF(OR(E4797=0,E4797&gt;=7),0,D4797/(7-E4797)*E4797*INDEX(Products!$E$2:$E$49,MATCH(C4797,Products!$A$2:$A$49,0)))</f>
        <v>0</v>
      </c>
    </row>
    <row r="4798" customFormat="false" ht="15" hidden="false" customHeight="false" outlineLevel="0" collapsed="false">
      <c r="A4798" s="36" t="n">
        <v>46265</v>
      </c>
      <c r="B4798" s="24" t="s">
        <v>64</v>
      </c>
      <c r="C4798" s="24" t="s">
        <v>209</v>
      </c>
      <c r="D4798" s="33" t="n">
        <v>88</v>
      </c>
      <c r="E4798" s="24" t="n">
        <v>0</v>
      </c>
      <c r="F4798" s="37" t="n">
        <f aca="false">DATE(YEAR(A4798),MONTH(A4798),1)</f>
        <v>46235</v>
      </c>
      <c r="G4798" s="24" t="str">
        <f aca="false">INDEX(Products!$C$2:$C$49,MATCH(C4798,Products!$A$2:$A$49,0))</f>
        <v>Snacks &amp; Confectionery</v>
      </c>
      <c r="H4798" s="33" t="n">
        <f aca="false">D4798*INDEX(Products!$E$2:$E$49,MATCH(C4798,Products!$A$2:$A$49,0))</f>
        <v>6160</v>
      </c>
      <c r="I4798" s="33" t="n">
        <f aca="false">D4798*INDEX(Products!$D$2:$D$49,MATCH(C4798,Products!$A$2:$A$49,0))*(1+INDEX(Assumptions!$B$16:$B$20,MATCH(B4798,Assumptions!$A$16:$A$20,0)))</f>
        <v>4235.264</v>
      </c>
      <c r="J4798" s="33" t="n">
        <f aca="false">H4798-I4798</f>
        <v>1924.736</v>
      </c>
      <c r="K4798" s="33" t="n">
        <f aca="false">IF(OR(E4798=0,E4798&gt;=7),0,D4798/(7-E4798)*E4798*INDEX(Products!$E$2:$E$49,MATCH(C4798,Products!$A$2:$A$49,0)))</f>
        <v>0</v>
      </c>
    </row>
    <row r="4799" customFormat="false" ht="15" hidden="false" customHeight="false" outlineLevel="0" collapsed="false">
      <c r="A4799" s="36" t="n">
        <v>46272</v>
      </c>
      <c r="B4799" s="24" t="s">
        <v>64</v>
      </c>
      <c r="C4799" s="24" t="s">
        <v>209</v>
      </c>
      <c r="D4799" s="33" t="n">
        <v>82</v>
      </c>
      <c r="E4799" s="24" t="n">
        <v>0</v>
      </c>
      <c r="F4799" s="37" t="n">
        <f aca="false">DATE(YEAR(A4799),MONTH(A4799),1)</f>
        <v>46266</v>
      </c>
      <c r="G4799" s="24" t="str">
        <f aca="false">INDEX(Products!$C$2:$C$49,MATCH(C4799,Products!$A$2:$A$49,0))</f>
        <v>Snacks &amp; Confectionery</v>
      </c>
      <c r="H4799" s="33" t="n">
        <f aca="false">D4799*INDEX(Products!$E$2:$E$49,MATCH(C4799,Products!$A$2:$A$49,0))</f>
        <v>5740</v>
      </c>
      <c r="I4799" s="33" t="n">
        <f aca="false">D4799*INDEX(Products!$D$2:$D$49,MATCH(C4799,Products!$A$2:$A$49,0))*(1+INDEX(Assumptions!$B$16:$B$20,MATCH(B4799,Assumptions!$A$16:$A$20,0)))</f>
        <v>3946.496</v>
      </c>
      <c r="J4799" s="33" t="n">
        <f aca="false">H4799-I4799</f>
        <v>1793.504</v>
      </c>
      <c r="K4799" s="33" t="n">
        <f aca="false">IF(OR(E4799=0,E4799&gt;=7),0,D4799/(7-E4799)*E4799*INDEX(Products!$E$2:$E$49,MATCH(C4799,Products!$A$2:$A$49,0)))</f>
        <v>0</v>
      </c>
    </row>
    <row r="4800" customFormat="false" ht="15" hidden="false" customHeight="false" outlineLevel="0" collapsed="false">
      <c r="A4800" s="36" t="n">
        <v>46279</v>
      </c>
      <c r="B4800" s="24" t="s">
        <v>64</v>
      </c>
      <c r="C4800" s="24" t="s">
        <v>209</v>
      </c>
      <c r="D4800" s="33" t="n">
        <v>87</v>
      </c>
      <c r="E4800" s="24" t="n">
        <v>0</v>
      </c>
      <c r="F4800" s="37" t="n">
        <f aca="false">DATE(YEAR(A4800),MONTH(A4800),1)</f>
        <v>46266</v>
      </c>
      <c r="G4800" s="24" t="str">
        <f aca="false">INDEX(Products!$C$2:$C$49,MATCH(C4800,Products!$A$2:$A$49,0))</f>
        <v>Snacks &amp; Confectionery</v>
      </c>
      <c r="H4800" s="33" t="n">
        <f aca="false">D4800*INDEX(Products!$E$2:$E$49,MATCH(C4800,Products!$A$2:$A$49,0))</f>
        <v>6090</v>
      </c>
      <c r="I4800" s="33" t="n">
        <f aca="false">D4800*INDEX(Products!$D$2:$D$49,MATCH(C4800,Products!$A$2:$A$49,0))*(1+INDEX(Assumptions!$B$16:$B$20,MATCH(B4800,Assumptions!$A$16:$A$20,0)))</f>
        <v>4187.136</v>
      </c>
      <c r="J4800" s="33" t="n">
        <f aca="false">H4800-I4800</f>
        <v>1902.864</v>
      </c>
      <c r="K4800" s="33" t="n">
        <f aca="false">IF(OR(E4800=0,E4800&gt;=7),0,D4800/(7-E4800)*E4800*INDEX(Products!$E$2:$E$49,MATCH(C4800,Products!$A$2:$A$49,0)))</f>
        <v>0</v>
      </c>
    </row>
    <row r="4801" customFormat="false" ht="15" hidden="false" customHeight="false" outlineLevel="0" collapsed="false">
      <c r="A4801" s="36" t="n">
        <v>46286</v>
      </c>
      <c r="B4801" s="24" t="s">
        <v>64</v>
      </c>
      <c r="C4801" s="24" t="s">
        <v>209</v>
      </c>
      <c r="D4801" s="33" t="n">
        <v>97</v>
      </c>
      <c r="E4801" s="24" t="n">
        <v>0</v>
      </c>
      <c r="F4801" s="37" t="n">
        <f aca="false">DATE(YEAR(A4801),MONTH(A4801),1)</f>
        <v>46266</v>
      </c>
      <c r="G4801" s="24" t="str">
        <f aca="false">INDEX(Products!$C$2:$C$49,MATCH(C4801,Products!$A$2:$A$49,0))</f>
        <v>Snacks &amp; Confectionery</v>
      </c>
      <c r="H4801" s="33" t="n">
        <f aca="false">D4801*INDEX(Products!$E$2:$E$49,MATCH(C4801,Products!$A$2:$A$49,0))</f>
        <v>6790</v>
      </c>
      <c r="I4801" s="33" t="n">
        <f aca="false">D4801*INDEX(Products!$D$2:$D$49,MATCH(C4801,Products!$A$2:$A$49,0))*(1+INDEX(Assumptions!$B$16:$B$20,MATCH(B4801,Assumptions!$A$16:$A$20,0)))</f>
        <v>4668.416</v>
      </c>
      <c r="J4801" s="33" t="n">
        <f aca="false">H4801-I4801</f>
        <v>2121.584</v>
      </c>
      <c r="K4801" s="33" t="n">
        <f aca="false">IF(OR(E4801=0,E4801&gt;=7),0,D4801/(7-E4801)*E4801*INDEX(Products!$E$2:$E$49,MATCH(C4801,Products!$A$2:$A$49,0)))</f>
        <v>0</v>
      </c>
    </row>
    <row r="4802" customFormat="false" ht="15" hidden="false" customHeight="false" outlineLevel="0" collapsed="false">
      <c r="A4802" s="36" t="n">
        <v>46118</v>
      </c>
      <c r="B4802" s="24" t="s">
        <v>65</v>
      </c>
      <c r="C4802" s="24" t="s">
        <v>115</v>
      </c>
      <c r="D4802" s="33" t="n">
        <v>125</v>
      </c>
      <c r="E4802" s="24" t="n">
        <v>0</v>
      </c>
      <c r="F4802" s="37" t="n">
        <f aca="false">DATE(YEAR(A4802),MONTH(A4802),1)</f>
        <v>46113</v>
      </c>
      <c r="G4802" s="24" t="str">
        <f aca="false">INDEX(Products!$C$2:$C$49,MATCH(C4802,Products!$A$2:$A$49,0))</f>
        <v>Grocery Staples</v>
      </c>
      <c r="H4802" s="33" t="n">
        <f aca="false">D4802*INDEX(Products!$E$2:$E$49,MATCH(C4802,Products!$A$2:$A$49,0))</f>
        <v>20625</v>
      </c>
      <c r="I4802" s="33" t="n">
        <f aca="false">D4802*INDEX(Products!$D$2:$D$49,MATCH(C4802,Products!$A$2:$A$49,0))*(1+INDEX(Assumptions!$B$16:$B$20,MATCH(B4802,Assumptions!$A$16:$A$20,0)))</f>
        <v>18360</v>
      </c>
      <c r="J4802" s="33" t="n">
        <f aca="false">H4802-I4802</f>
        <v>2265</v>
      </c>
      <c r="K4802" s="33" t="n">
        <f aca="false">IF(OR(E4802=0,E4802&gt;=7),0,D4802/(7-E4802)*E4802*INDEX(Products!$E$2:$E$49,MATCH(C4802,Products!$A$2:$A$49,0)))</f>
        <v>0</v>
      </c>
    </row>
    <row r="4803" customFormat="false" ht="15" hidden="false" customHeight="false" outlineLevel="0" collapsed="false">
      <c r="A4803" s="36" t="n">
        <v>46125</v>
      </c>
      <c r="B4803" s="24" t="s">
        <v>65</v>
      </c>
      <c r="C4803" s="24" t="s">
        <v>115</v>
      </c>
      <c r="D4803" s="33" t="n">
        <v>137</v>
      </c>
      <c r="E4803" s="24" t="n">
        <v>0</v>
      </c>
      <c r="F4803" s="37" t="n">
        <f aca="false">DATE(YEAR(A4803),MONTH(A4803),1)</f>
        <v>46113</v>
      </c>
      <c r="G4803" s="24" t="str">
        <f aca="false">INDEX(Products!$C$2:$C$49,MATCH(C4803,Products!$A$2:$A$49,0))</f>
        <v>Grocery Staples</v>
      </c>
      <c r="H4803" s="33" t="n">
        <f aca="false">D4803*INDEX(Products!$E$2:$E$49,MATCH(C4803,Products!$A$2:$A$49,0))</f>
        <v>22605</v>
      </c>
      <c r="I4803" s="33" t="n">
        <f aca="false">D4803*INDEX(Products!$D$2:$D$49,MATCH(C4803,Products!$A$2:$A$49,0))*(1+INDEX(Assumptions!$B$16:$B$20,MATCH(B4803,Assumptions!$A$16:$A$20,0)))</f>
        <v>20122.56</v>
      </c>
      <c r="J4803" s="33" t="n">
        <f aca="false">H4803-I4803</f>
        <v>2482.44</v>
      </c>
      <c r="K4803" s="33" t="n">
        <f aca="false">IF(OR(E4803=0,E4803&gt;=7),0,D4803/(7-E4803)*E4803*INDEX(Products!$E$2:$E$49,MATCH(C4803,Products!$A$2:$A$49,0)))</f>
        <v>0</v>
      </c>
    </row>
    <row r="4804" customFormat="false" ht="15" hidden="false" customHeight="false" outlineLevel="0" collapsed="false">
      <c r="A4804" s="36" t="n">
        <v>46132</v>
      </c>
      <c r="B4804" s="24" t="s">
        <v>65</v>
      </c>
      <c r="C4804" s="24" t="s">
        <v>115</v>
      </c>
      <c r="D4804" s="33" t="n">
        <v>182</v>
      </c>
      <c r="E4804" s="24" t="n">
        <v>0</v>
      </c>
      <c r="F4804" s="37" t="n">
        <f aca="false">DATE(YEAR(A4804),MONTH(A4804),1)</f>
        <v>46113</v>
      </c>
      <c r="G4804" s="24" t="str">
        <f aca="false">INDEX(Products!$C$2:$C$49,MATCH(C4804,Products!$A$2:$A$49,0))</f>
        <v>Grocery Staples</v>
      </c>
      <c r="H4804" s="33" t="n">
        <f aca="false">D4804*INDEX(Products!$E$2:$E$49,MATCH(C4804,Products!$A$2:$A$49,0))</f>
        <v>30030</v>
      </c>
      <c r="I4804" s="33" t="n">
        <f aca="false">D4804*INDEX(Products!$D$2:$D$49,MATCH(C4804,Products!$A$2:$A$49,0))*(1+INDEX(Assumptions!$B$16:$B$20,MATCH(B4804,Assumptions!$A$16:$A$20,0)))</f>
        <v>26732.16</v>
      </c>
      <c r="J4804" s="33" t="n">
        <f aca="false">H4804-I4804</f>
        <v>3297.84</v>
      </c>
      <c r="K4804" s="33" t="n">
        <f aca="false">IF(OR(E4804=0,E4804&gt;=7),0,D4804/(7-E4804)*E4804*INDEX(Products!$E$2:$E$49,MATCH(C4804,Products!$A$2:$A$49,0)))</f>
        <v>0</v>
      </c>
    </row>
    <row r="4805" customFormat="false" ht="15" hidden="false" customHeight="false" outlineLevel="0" collapsed="false">
      <c r="A4805" s="36" t="n">
        <v>46139</v>
      </c>
      <c r="B4805" s="24" t="s">
        <v>65</v>
      </c>
      <c r="C4805" s="24" t="s">
        <v>115</v>
      </c>
      <c r="D4805" s="33" t="n">
        <v>145</v>
      </c>
      <c r="E4805" s="24" t="n">
        <v>0</v>
      </c>
      <c r="F4805" s="37" t="n">
        <f aca="false">DATE(YEAR(A4805),MONTH(A4805),1)</f>
        <v>46113</v>
      </c>
      <c r="G4805" s="24" t="str">
        <f aca="false">INDEX(Products!$C$2:$C$49,MATCH(C4805,Products!$A$2:$A$49,0))</f>
        <v>Grocery Staples</v>
      </c>
      <c r="H4805" s="33" t="n">
        <f aca="false">D4805*INDEX(Products!$E$2:$E$49,MATCH(C4805,Products!$A$2:$A$49,0))</f>
        <v>23925</v>
      </c>
      <c r="I4805" s="33" t="n">
        <f aca="false">D4805*INDEX(Products!$D$2:$D$49,MATCH(C4805,Products!$A$2:$A$49,0))*(1+INDEX(Assumptions!$B$16:$B$20,MATCH(B4805,Assumptions!$A$16:$A$20,0)))</f>
        <v>21297.6</v>
      </c>
      <c r="J4805" s="33" t="n">
        <f aca="false">H4805-I4805</f>
        <v>2627.4</v>
      </c>
      <c r="K4805" s="33" t="n">
        <f aca="false">IF(OR(E4805=0,E4805&gt;=7),0,D4805/(7-E4805)*E4805*INDEX(Products!$E$2:$E$49,MATCH(C4805,Products!$A$2:$A$49,0)))</f>
        <v>0</v>
      </c>
    </row>
    <row r="4806" customFormat="false" ht="15" hidden="false" customHeight="false" outlineLevel="0" collapsed="false">
      <c r="A4806" s="36" t="n">
        <v>46146</v>
      </c>
      <c r="B4806" s="24" t="s">
        <v>65</v>
      </c>
      <c r="C4806" s="24" t="s">
        <v>115</v>
      </c>
      <c r="D4806" s="33" t="n">
        <v>152</v>
      </c>
      <c r="E4806" s="24" t="n">
        <v>0</v>
      </c>
      <c r="F4806" s="37" t="n">
        <f aca="false">DATE(YEAR(A4806),MONTH(A4806),1)</f>
        <v>46143</v>
      </c>
      <c r="G4806" s="24" t="str">
        <f aca="false">INDEX(Products!$C$2:$C$49,MATCH(C4806,Products!$A$2:$A$49,0))</f>
        <v>Grocery Staples</v>
      </c>
      <c r="H4806" s="33" t="n">
        <f aca="false">D4806*INDEX(Products!$E$2:$E$49,MATCH(C4806,Products!$A$2:$A$49,0))</f>
        <v>25080</v>
      </c>
      <c r="I4806" s="33" t="n">
        <f aca="false">D4806*INDEX(Products!$D$2:$D$49,MATCH(C4806,Products!$A$2:$A$49,0))*(1+INDEX(Assumptions!$B$16:$B$20,MATCH(B4806,Assumptions!$A$16:$A$20,0)))</f>
        <v>22325.76</v>
      </c>
      <c r="J4806" s="33" t="n">
        <f aca="false">H4806-I4806</f>
        <v>2754.24</v>
      </c>
      <c r="K4806" s="33" t="n">
        <f aca="false">IF(OR(E4806=0,E4806&gt;=7),0,D4806/(7-E4806)*E4806*INDEX(Products!$E$2:$E$49,MATCH(C4806,Products!$A$2:$A$49,0)))</f>
        <v>0</v>
      </c>
    </row>
    <row r="4807" customFormat="false" ht="15" hidden="false" customHeight="false" outlineLevel="0" collapsed="false">
      <c r="A4807" s="36" t="n">
        <v>46153</v>
      </c>
      <c r="B4807" s="24" t="s">
        <v>65</v>
      </c>
      <c r="C4807" s="24" t="s">
        <v>115</v>
      </c>
      <c r="D4807" s="33" t="n">
        <v>142</v>
      </c>
      <c r="E4807" s="24" t="n">
        <v>0</v>
      </c>
      <c r="F4807" s="37" t="n">
        <f aca="false">DATE(YEAR(A4807),MONTH(A4807),1)</f>
        <v>46143</v>
      </c>
      <c r="G4807" s="24" t="str">
        <f aca="false">INDEX(Products!$C$2:$C$49,MATCH(C4807,Products!$A$2:$A$49,0))</f>
        <v>Grocery Staples</v>
      </c>
      <c r="H4807" s="33" t="n">
        <f aca="false">D4807*INDEX(Products!$E$2:$E$49,MATCH(C4807,Products!$A$2:$A$49,0))</f>
        <v>23430</v>
      </c>
      <c r="I4807" s="33" t="n">
        <f aca="false">D4807*INDEX(Products!$D$2:$D$49,MATCH(C4807,Products!$A$2:$A$49,0))*(1+INDEX(Assumptions!$B$16:$B$20,MATCH(B4807,Assumptions!$A$16:$A$20,0)))</f>
        <v>20856.96</v>
      </c>
      <c r="J4807" s="33" t="n">
        <f aca="false">H4807-I4807</f>
        <v>2573.04</v>
      </c>
      <c r="K4807" s="33" t="n">
        <f aca="false">IF(OR(E4807=0,E4807&gt;=7),0,D4807/(7-E4807)*E4807*INDEX(Products!$E$2:$E$49,MATCH(C4807,Products!$A$2:$A$49,0)))</f>
        <v>0</v>
      </c>
    </row>
    <row r="4808" customFormat="false" ht="15" hidden="false" customHeight="false" outlineLevel="0" collapsed="false">
      <c r="A4808" s="36" t="n">
        <v>46160</v>
      </c>
      <c r="B4808" s="24" t="s">
        <v>65</v>
      </c>
      <c r="C4808" s="24" t="s">
        <v>115</v>
      </c>
      <c r="D4808" s="33" t="n">
        <v>143</v>
      </c>
      <c r="E4808" s="24" t="n">
        <v>0</v>
      </c>
      <c r="F4808" s="37" t="n">
        <f aca="false">DATE(YEAR(A4808),MONTH(A4808),1)</f>
        <v>46143</v>
      </c>
      <c r="G4808" s="24" t="str">
        <f aca="false">INDEX(Products!$C$2:$C$49,MATCH(C4808,Products!$A$2:$A$49,0))</f>
        <v>Grocery Staples</v>
      </c>
      <c r="H4808" s="33" t="n">
        <f aca="false">D4808*INDEX(Products!$E$2:$E$49,MATCH(C4808,Products!$A$2:$A$49,0))</f>
        <v>23595</v>
      </c>
      <c r="I4808" s="33" t="n">
        <f aca="false">D4808*INDEX(Products!$D$2:$D$49,MATCH(C4808,Products!$A$2:$A$49,0))*(1+INDEX(Assumptions!$B$16:$B$20,MATCH(B4808,Assumptions!$A$16:$A$20,0)))</f>
        <v>21003.84</v>
      </c>
      <c r="J4808" s="33" t="n">
        <f aca="false">H4808-I4808</f>
        <v>2591.16</v>
      </c>
      <c r="K4808" s="33" t="n">
        <f aca="false">IF(OR(E4808=0,E4808&gt;=7),0,D4808/(7-E4808)*E4808*INDEX(Products!$E$2:$E$49,MATCH(C4808,Products!$A$2:$A$49,0)))</f>
        <v>0</v>
      </c>
    </row>
    <row r="4809" customFormat="false" ht="15" hidden="false" customHeight="false" outlineLevel="0" collapsed="false">
      <c r="A4809" s="36" t="n">
        <v>46167</v>
      </c>
      <c r="B4809" s="24" t="s">
        <v>65</v>
      </c>
      <c r="C4809" s="24" t="s">
        <v>115</v>
      </c>
      <c r="D4809" s="33" t="n">
        <v>129</v>
      </c>
      <c r="E4809" s="24" t="n">
        <v>0</v>
      </c>
      <c r="F4809" s="37" t="n">
        <f aca="false">DATE(YEAR(A4809),MONTH(A4809),1)</f>
        <v>46143</v>
      </c>
      <c r="G4809" s="24" t="str">
        <f aca="false">INDEX(Products!$C$2:$C$49,MATCH(C4809,Products!$A$2:$A$49,0))</f>
        <v>Grocery Staples</v>
      </c>
      <c r="H4809" s="33" t="n">
        <f aca="false">D4809*INDEX(Products!$E$2:$E$49,MATCH(C4809,Products!$A$2:$A$49,0))</f>
        <v>21285</v>
      </c>
      <c r="I4809" s="33" t="n">
        <f aca="false">D4809*INDEX(Products!$D$2:$D$49,MATCH(C4809,Products!$A$2:$A$49,0))*(1+INDEX(Assumptions!$B$16:$B$20,MATCH(B4809,Assumptions!$A$16:$A$20,0)))</f>
        <v>18947.52</v>
      </c>
      <c r="J4809" s="33" t="n">
        <f aca="false">H4809-I4809</f>
        <v>2337.48</v>
      </c>
      <c r="K4809" s="33" t="n">
        <f aca="false">IF(OR(E4809=0,E4809&gt;=7),0,D4809/(7-E4809)*E4809*INDEX(Products!$E$2:$E$49,MATCH(C4809,Products!$A$2:$A$49,0)))</f>
        <v>0</v>
      </c>
    </row>
    <row r="4810" customFormat="false" ht="15" hidden="false" customHeight="false" outlineLevel="0" collapsed="false">
      <c r="A4810" s="36" t="n">
        <v>46174</v>
      </c>
      <c r="B4810" s="24" t="s">
        <v>65</v>
      </c>
      <c r="C4810" s="24" t="s">
        <v>115</v>
      </c>
      <c r="D4810" s="33" t="n">
        <v>153</v>
      </c>
      <c r="E4810" s="24" t="n">
        <v>0</v>
      </c>
      <c r="F4810" s="37" t="n">
        <f aca="false">DATE(YEAR(A4810),MONTH(A4810),1)</f>
        <v>46174</v>
      </c>
      <c r="G4810" s="24" t="str">
        <f aca="false">INDEX(Products!$C$2:$C$49,MATCH(C4810,Products!$A$2:$A$49,0))</f>
        <v>Grocery Staples</v>
      </c>
      <c r="H4810" s="33" t="n">
        <f aca="false">D4810*INDEX(Products!$E$2:$E$49,MATCH(C4810,Products!$A$2:$A$49,0))</f>
        <v>25245</v>
      </c>
      <c r="I4810" s="33" t="n">
        <f aca="false">D4810*INDEX(Products!$D$2:$D$49,MATCH(C4810,Products!$A$2:$A$49,0))*(1+INDEX(Assumptions!$B$16:$B$20,MATCH(B4810,Assumptions!$A$16:$A$20,0)))</f>
        <v>22472.64</v>
      </c>
      <c r="J4810" s="33" t="n">
        <f aca="false">H4810-I4810</f>
        <v>2772.36</v>
      </c>
      <c r="K4810" s="33" t="n">
        <f aca="false">IF(OR(E4810=0,E4810&gt;=7),0,D4810/(7-E4810)*E4810*INDEX(Products!$E$2:$E$49,MATCH(C4810,Products!$A$2:$A$49,0)))</f>
        <v>0</v>
      </c>
    </row>
    <row r="4811" customFormat="false" ht="15" hidden="false" customHeight="false" outlineLevel="0" collapsed="false">
      <c r="A4811" s="36" t="n">
        <v>46181</v>
      </c>
      <c r="B4811" s="24" t="s">
        <v>65</v>
      </c>
      <c r="C4811" s="24" t="s">
        <v>115</v>
      </c>
      <c r="D4811" s="33" t="n">
        <v>151</v>
      </c>
      <c r="E4811" s="24" t="n">
        <v>0</v>
      </c>
      <c r="F4811" s="37" t="n">
        <f aca="false">DATE(YEAR(A4811),MONTH(A4811),1)</f>
        <v>46174</v>
      </c>
      <c r="G4811" s="24" t="str">
        <f aca="false">INDEX(Products!$C$2:$C$49,MATCH(C4811,Products!$A$2:$A$49,0))</f>
        <v>Grocery Staples</v>
      </c>
      <c r="H4811" s="33" t="n">
        <f aca="false">D4811*INDEX(Products!$E$2:$E$49,MATCH(C4811,Products!$A$2:$A$49,0))</f>
        <v>24915</v>
      </c>
      <c r="I4811" s="33" t="n">
        <f aca="false">D4811*INDEX(Products!$D$2:$D$49,MATCH(C4811,Products!$A$2:$A$49,0))*(1+INDEX(Assumptions!$B$16:$B$20,MATCH(B4811,Assumptions!$A$16:$A$20,0)))</f>
        <v>22178.88</v>
      </c>
      <c r="J4811" s="33" t="n">
        <f aca="false">H4811-I4811</f>
        <v>2736.12</v>
      </c>
      <c r="K4811" s="33" t="n">
        <f aca="false">IF(OR(E4811=0,E4811&gt;=7),0,D4811/(7-E4811)*E4811*INDEX(Products!$E$2:$E$49,MATCH(C4811,Products!$A$2:$A$49,0)))</f>
        <v>0</v>
      </c>
    </row>
    <row r="4812" customFormat="false" ht="15" hidden="false" customHeight="false" outlineLevel="0" collapsed="false">
      <c r="A4812" s="36" t="n">
        <v>46188</v>
      </c>
      <c r="B4812" s="24" t="s">
        <v>65</v>
      </c>
      <c r="C4812" s="24" t="s">
        <v>115</v>
      </c>
      <c r="D4812" s="33" t="n">
        <v>80</v>
      </c>
      <c r="E4812" s="24" t="n">
        <v>3</v>
      </c>
      <c r="F4812" s="37" t="n">
        <f aca="false">DATE(YEAR(A4812),MONTH(A4812),1)</f>
        <v>46174</v>
      </c>
      <c r="G4812" s="24" t="str">
        <f aca="false">INDEX(Products!$C$2:$C$49,MATCH(C4812,Products!$A$2:$A$49,0))</f>
        <v>Grocery Staples</v>
      </c>
      <c r="H4812" s="33" t="n">
        <f aca="false">D4812*INDEX(Products!$E$2:$E$49,MATCH(C4812,Products!$A$2:$A$49,0))</f>
        <v>13200</v>
      </c>
      <c r="I4812" s="33" t="n">
        <f aca="false">D4812*INDEX(Products!$D$2:$D$49,MATCH(C4812,Products!$A$2:$A$49,0))*(1+INDEX(Assumptions!$B$16:$B$20,MATCH(B4812,Assumptions!$A$16:$A$20,0)))</f>
        <v>11750.4</v>
      </c>
      <c r="J4812" s="33" t="n">
        <f aca="false">H4812-I4812</f>
        <v>1449.6</v>
      </c>
      <c r="K4812" s="33" t="n">
        <f aca="false">IF(OR(E4812=0,E4812&gt;=7),0,D4812/(7-E4812)*E4812*INDEX(Products!$E$2:$E$49,MATCH(C4812,Products!$A$2:$A$49,0)))</f>
        <v>9900</v>
      </c>
    </row>
    <row r="4813" customFormat="false" ht="15" hidden="false" customHeight="false" outlineLevel="0" collapsed="false">
      <c r="A4813" s="36" t="n">
        <v>46195</v>
      </c>
      <c r="B4813" s="24" t="s">
        <v>65</v>
      </c>
      <c r="C4813" s="24" t="s">
        <v>115</v>
      </c>
      <c r="D4813" s="33" t="n">
        <v>163</v>
      </c>
      <c r="E4813" s="24" t="n">
        <v>0</v>
      </c>
      <c r="F4813" s="37" t="n">
        <f aca="false">DATE(YEAR(A4813),MONTH(A4813),1)</f>
        <v>46174</v>
      </c>
      <c r="G4813" s="24" t="str">
        <f aca="false">INDEX(Products!$C$2:$C$49,MATCH(C4813,Products!$A$2:$A$49,0))</f>
        <v>Grocery Staples</v>
      </c>
      <c r="H4813" s="33" t="n">
        <f aca="false">D4813*INDEX(Products!$E$2:$E$49,MATCH(C4813,Products!$A$2:$A$49,0))</f>
        <v>26895</v>
      </c>
      <c r="I4813" s="33" t="n">
        <f aca="false">D4813*INDEX(Products!$D$2:$D$49,MATCH(C4813,Products!$A$2:$A$49,0))*(1+INDEX(Assumptions!$B$16:$B$20,MATCH(B4813,Assumptions!$A$16:$A$20,0)))</f>
        <v>23941.44</v>
      </c>
      <c r="J4813" s="33" t="n">
        <f aca="false">H4813-I4813</f>
        <v>2953.56</v>
      </c>
      <c r="K4813" s="33" t="n">
        <f aca="false">IF(OR(E4813=0,E4813&gt;=7),0,D4813/(7-E4813)*E4813*INDEX(Products!$E$2:$E$49,MATCH(C4813,Products!$A$2:$A$49,0)))</f>
        <v>0</v>
      </c>
    </row>
    <row r="4814" customFormat="false" ht="15" hidden="false" customHeight="false" outlineLevel="0" collapsed="false">
      <c r="A4814" s="36" t="n">
        <v>46202</v>
      </c>
      <c r="B4814" s="24" t="s">
        <v>65</v>
      </c>
      <c r="C4814" s="24" t="s">
        <v>115</v>
      </c>
      <c r="D4814" s="33" t="n">
        <v>145</v>
      </c>
      <c r="E4814" s="24" t="n">
        <v>0</v>
      </c>
      <c r="F4814" s="37" t="n">
        <f aca="false">DATE(YEAR(A4814),MONTH(A4814),1)</f>
        <v>46174</v>
      </c>
      <c r="G4814" s="24" t="str">
        <f aca="false">INDEX(Products!$C$2:$C$49,MATCH(C4814,Products!$A$2:$A$49,0))</f>
        <v>Grocery Staples</v>
      </c>
      <c r="H4814" s="33" t="n">
        <f aca="false">D4814*INDEX(Products!$E$2:$E$49,MATCH(C4814,Products!$A$2:$A$49,0))</f>
        <v>23925</v>
      </c>
      <c r="I4814" s="33" t="n">
        <f aca="false">D4814*INDEX(Products!$D$2:$D$49,MATCH(C4814,Products!$A$2:$A$49,0))*(1+INDEX(Assumptions!$B$16:$B$20,MATCH(B4814,Assumptions!$A$16:$A$20,0)))</f>
        <v>21297.6</v>
      </c>
      <c r="J4814" s="33" t="n">
        <f aca="false">H4814-I4814</f>
        <v>2627.4</v>
      </c>
      <c r="K4814" s="33" t="n">
        <f aca="false">IF(OR(E4814=0,E4814&gt;=7),0,D4814/(7-E4814)*E4814*INDEX(Products!$E$2:$E$49,MATCH(C4814,Products!$A$2:$A$49,0)))</f>
        <v>0</v>
      </c>
    </row>
    <row r="4815" customFormat="false" ht="15" hidden="false" customHeight="false" outlineLevel="0" collapsed="false">
      <c r="A4815" s="36" t="n">
        <v>46209</v>
      </c>
      <c r="B4815" s="24" t="s">
        <v>65</v>
      </c>
      <c r="C4815" s="24" t="s">
        <v>115</v>
      </c>
      <c r="D4815" s="33" t="n">
        <v>135</v>
      </c>
      <c r="E4815" s="24" t="n">
        <v>0</v>
      </c>
      <c r="F4815" s="37" t="n">
        <f aca="false">DATE(YEAR(A4815),MONTH(A4815),1)</f>
        <v>46204</v>
      </c>
      <c r="G4815" s="24" t="str">
        <f aca="false">INDEX(Products!$C$2:$C$49,MATCH(C4815,Products!$A$2:$A$49,0))</f>
        <v>Grocery Staples</v>
      </c>
      <c r="H4815" s="33" t="n">
        <f aca="false">D4815*INDEX(Products!$E$2:$E$49,MATCH(C4815,Products!$A$2:$A$49,0))</f>
        <v>22275</v>
      </c>
      <c r="I4815" s="33" t="n">
        <f aca="false">D4815*INDEX(Products!$D$2:$D$49,MATCH(C4815,Products!$A$2:$A$49,0))*(1+INDEX(Assumptions!$B$16:$B$20,MATCH(B4815,Assumptions!$A$16:$A$20,0)))</f>
        <v>19828.8</v>
      </c>
      <c r="J4815" s="33" t="n">
        <f aca="false">H4815-I4815</f>
        <v>2446.2</v>
      </c>
      <c r="K4815" s="33" t="n">
        <f aca="false">IF(OR(E4815=0,E4815&gt;=7),0,D4815/(7-E4815)*E4815*INDEX(Products!$E$2:$E$49,MATCH(C4815,Products!$A$2:$A$49,0)))</f>
        <v>0</v>
      </c>
    </row>
    <row r="4816" customFormat="false" ht="15" hidden="false" customHeight="false" outlineLevel="0" collapsed="false">
      <c r="A4816" s="36" t="n">
        <v>46216</v>
      </c>
      <c r="B4816" s="24" t="s">
        <v>65</v>
      </c>
      <c r="C4816" s="24" t="s">
        <v>115</v>
      </c>
      <c r="D4816" s="33" t="n">
        <v>117</v>
      </c>
      <c r="E4816" s="24" t="n">
        <v>0</v>
      </c>
      <c r="F4816" s="37" t="n">
        <f aca="false">DATE(YEAR(A4816),MONTH(A4816),1)</f>
        <v>46204</v>
      </c>
      <c r="G4816" s="24" t="str">
        <f aca="false">INDEX(Products!$C$2:$C$49,MATCH(C4816,Products!$A$2:$A$49,0))</f>
        <v>Grocery Staples</v>
      </c>
      <c r="H4816" s="33" t="n">
        <f aca="false">D4816*INDEX(Products!$E$2:$E$49,MATCH(C4816,Products!$A$2:$A$49,0))</f>
        <v>19305</v>
      </c>
      <c r="I4816" s="33" t="n">
        <f aca="false">D4816*INDEX(Products!$D$2:$D$49,MATCH(C4816,Products!$A$2:$A$49,0))*(1+INDEX(Assumptions!$B$16:$B$20,MATCH(B4816,Assumptions!$A$16:$A$20,0)))</f>
        <v>17184.96</v>
      </c>
      <c r="J4816" s="33" t="n">
        <f aca="false">H4816-I4816</f>
        <v>2120.04</v>
      </c>
      <c r="K4816" s="33" t="n">
        <f aca="false">IF(OR(E4816=0,E4816&gt;=7),0,D4816/(7-E4816)*E4816*INDEX(Products!$E$2:$E$49,MATCH(C4816,Products!$A$2:$A$49,0)))</f>
        <v>0</v>
      </c>
    </row>
    <row r="4817" customFormat="false" ht="15" hidden="false" customHeight="false" outlineLevel="0" collapsed="false">
      <c r="A4817" s="36" t="n">
        <v>46223</v>
      </c>
      <c r="B4817" s="24" t="s">
        <v>65</v>
      </c>
      <c r="C4817" s="24" t="s">
        <v>115</v>
      </c>
      <c r="D4817" s="33" t="n">
        <v>143</v>
      </c>
      <c r="E4817" s="24" t="n">
        <v>0</v>
      </c>
      <c r="F4817" s="37" t="n">
        <f aca="false">DATE(YEAR(A4817),MONTH(A4817),1)</f>
        <v>46204</v>
      </c>
      <c r="G4817" s="24" t="str">
        <f aca="false">INDEX(Products!$C$2:$C$49,MATCH(C4817,Products!$A$2:$A$49,0))</f>
        <v>Grocery Staples</v>
      </c>
      <c r="H4817" s="33" t="n">
        <f aca="false">D4817*INDEX(Products!$E$2:$E$49,MATCH(C4817,Products!$A$2:$A$49,0))</f>
        <v>23595</v>
      </c>
      <c r="I4817" s="33" t="n">
        <f aca="false">D4817*INDEX(Products!$D$2:$D$49,MATCH(C4817,Products!$A$2:$A$49,0))*(1+INDEX(Assumptions!$B$16:$B$20,MATCH(B4817,Assumptions!$A$16:$A$20,0)))</f>
        <v>21003.84</v>
      </c>
      <c r="J4817" s="33" t="n">
        <f aca="false">H4817-I4817</f>
        <v>2591.16</v>
      </c>
      <c r="K4817" s="33" t="n">
        <f aca="false">IF(OR(E4817=0,E4817&gt;=7),0,D4817/(7-E4817)*E4817*INDEX(Products!$E$2:$E$49,MATCH(C4817,Products!$A$2:$A$49,0)))</f>
        <v>0</v>
      </c>
    </row>
    <row r="4818" customFormat="false" ht="15" hidden="false" customHeight="false" outlineLevel="0" collapsed="false">
      <c r="A4818" s="36" t="n">
        <v>46230</v>
      </c>
      <c r="B4818" s="24" t="s">
        <v>65</v>
      </c>
      <c r="C4818" s="24" t="s">
        <v>115</v>
      </c>
      <c r="D4818" s="33" t="n">
        <v>137</v>
      </c>
      <c r="E4818" s="24" t="n">
        <v>0</v>
      </c>
      <c r="F4818" s="37" t="n">
        <f aca="false">DATE(YEAR(A4818),MONTH(A4818),1)</f>
        <v>46204</v>
      </c>
      <c r="G4818" s="24" t="str">
        <f aca="false">INDEX(Products!$C$2:$C$49,MATCH(C4818,Products!$A$2:$A$49,0))</f>
        <v>Grocery Staples</v>
      </c>
      <c r="H4818" s="33" t="n">
        <f aca="false">D4818*INDEX(Products!$E$2:$E$49,MATCH(C4818,Products!$A$2:$A$49,0))</f>
        <v>22605</v>
      </c>
      <c r="I4818" s="33" t="n">
        <f aca="false">D4818*INDEX(Products!$D$2:$D$49,MATCH(C4818,Products!$A$2:$A$49,0))*(1+INDEX(Assumptions!$B$16:$B$20,MATCH(B4818,Assumptions!$A$16:$A$20,0)))</f>
        <v>20122.56</v>
      </c>
      <c r="J4818" s="33" t="n">
        <f aca="false">H4818-I4818</f>
        <v>2482.44</v>
      </c>
      <c r="K4818" s="33" t="n">
        <f aca="false">IF(OR(E4818=0,E4818&gt;=7),0,D4818/(7-E4818)*E4818*INDEX(Products!$E$2:$E$49,MATCH(C4818,Products!$A$2:$A$49,0)))</f>
        <v>0</v>
      </c>
    </row>
    <row r="4819" customFormat="false" ht="15" hidden="false" customHeight="false" outlineLevel="0" collapsed="false">
      <c r="A4819" s="36" t="n">
        <v>46237</v>
      </c>
      <c r="B4819" s="24" t="s">
        <v>65</v>
      </c>
      <c r="C4819" s="24" t="s">
        <v>115</v>
      </c>
      <c r="D4819" s="33" t="n">
        <v>122</v>
      </c>
      <c r="E4819" s="24" t="n">
        <v>0</v>
      </c>
      <c r="F4819" s="37" t="n">
        <f aca="false">DATE(YEAR(A4819),MONTH(A4819),1)</f>
        <v>46235</v>
      </c>
      <c r="G4819" s="24" t="str">
        <f aca="false">INDEX(Products!$C$2:$C$49,MATCH(C4819,Products!$A$2:$A$49,0))</f>
        <v>Grocery Staples</v>
      </c>
      <c r="H4819" s="33" t="n">
        <f aca="false">D4819*INDEX(Products!$E$2:$E$49,MATCH(C4819,Products!$A$2:$A$49,0))</f>
        <v>20130</v>
      </c>
      <c r="I4819" s="33" t="n">
        <f aca="false">D4819*INDEX(Products!$D$2:$D$49,MATCH(C4819,Products!$A$2:$A$49,0))*(1+INDEX(Assumptions!$B$16:$B$20,MATCH(B4819,Assumptions!$A$16:$A$20,0)))</f>
        <v>17919.36</v>
      </c>
      <c r="J4819" s="33" t="n">
        <f aca="false">H4819-I4819</f>
        <v>2210.64</v>
      </c>
      <c r="K4819" s="33" t="n">
        <f aca="false">IF(OR(E4819=0,E4819&gt;=7),0,D4819/(7-E4819)*E4819*INDEX(Products!$E$2:$E$49,MATCH(C4819,Products!$A$2:$A$49,0)))</f>
        <v>0</v>
      </c>
    </row>
    <row r="4820" customFormat="false" ht="15" hidden="false" customHeight="false" outlineLevel="0" collapsed="false">
      <c r="A4820" s="36" t="n">
        <v>46244</v>
      </c>
      <c r="B4820" s="24" t="s">
        <v>65</v>
      </c>
      <c r="C4820" s="24" t="s">
        <v>115</v>
      </c>
      <c r="D4820" s="33" t="n">
        <v>120</v>
      </c>
      <c r="E4820" s="24" t="n">
        <v>0</v>
      </c>
      <c r="F4820" s="37" t="n">
        <f aca="false">DATE(YEAR(A4820),MONTH(A4820),1)</f>
        <v>46235</v>
      </c>
      <c r="G4820" s="24" t="str">
        <f aca="false">INDEX(Products!$C$2:$C$49,MATCH(C4820,Products!$A$2:$A$49,0))</f>
        <v>Grocery Staples</v>
      </c>
      <c r="H4820" s="33" t="n">
        <f aca="false">D4820*INDEX(Products!$E$2:$E$49,MATCH(C4820,Products!$A$2:$A$49,0))</f>
        <v>19800</v>
      </c>
      <c r="I4820" s="33" t="n">
        <f aca="false">D4820*INDEX(Products!$D$2:$D$49,MATCH(C4820,Products!$A$2:$A$49,0))*(1+INDEX(Assumptions!$B$16:$B$20,MATCH(B4820,Assumptions!$A$16:$A$20,0)))</f>
        <v>17625.6</v>
      </c>
      <c r="J4820" s="33" t="n">
        <f aca="false">H4820-I4820</f>
        <v>2174.4</v>
      </c>
      <c r="K4820" s="33" t="n">
        <f aca="false">IF(OR(E4820=0,E4820&gt;=7),0,D4820/(7-E4820)*E4820*INDEX(Products!$E$2:$E$49,MATCH(C4820,Products!$A$2:$A$49,0)))</f>
        <v>0</v>
      </c>
    </row>
    <row r="4821" customFormat="false" ht="15" hidden="false" customHeight="false" outlineLevel="0" collapsed="false">
      <c r="A4821" s="36" t="n">
        <v>46251</v>
      </c>
      <c r="B4821" s="24" t="s">
        <v>65</v>
      </c>
      <c r="C4821" s="24" t="s">
        <v>115</v>
      </c>
      <c r="D4821" s="33" t="n">
        <v>131</v>
      </c>
      <c r="E4821" s="24" t="n">
        <v>0</v>
      </c>
      <c r="F4821" s="37" t="n">
        <f aca="false">DATE(YEAR(A4821),MONTH(A4821),1)</f>
        <v>46235</v>
      </c>
      <c r="G4821" s="24" t="str">
        <f aca="false">INDEX(Products!$C$2:$C$49,MATCH(C4821,Products!$A$2:$A$49,0))</f>
        <v>Grocery Staples</v>
      </c>
      <c r="H4821" s="33" t="n">
        <f aca="false">D4821*INDEX(Products!$E$2:$E$49,MATCH(C4821,Products!$A$2:$A$49,0))</f>
        <v>21615</v>
      </c>
      <c r="I4821" s="33" t="n">
        <f aca="false">D4821*INDEX(Products!$D$2:$D$49,MATCH(C4821,Products!$A$2:$A$49,0))*(1+INDEX(Assumptions!$B$16:$B$20,MATCH(B4821,Assumptions!$A$16:$A$20,0)))</f>
        <v>19241.28</v>
      </c>
      <c r="J4821" s="33" t="n">
        <f aca="false">H4821-I4821</f>
        <v>2373.72</v>
      </c>
      <c r="K4821" s="33" t="n">
        <f aca="false">IF(OR(E4821=0,E4821&gt;=7),0,D4821/(7-E4821)*E4821*INDEX(Products!$E$2:$E$49,MATCH(C4821,Products!$A$2:$A$49,0)))</f>
        <v>0</v>
      </c>
    </row>
    <row r="4822" customFormat="false" ht="15" hidden="false" customHeight="false" outlineLevel="0" collapsed="false">
      <c r="A4822" s="36" t="n">
        <v>46258</v>
      </c>
      <c r="B4822" s="24" t="s">
        <v>65</v>
      </c>
      <c r="C4822" s="24" t="s">
        <v>115</v>
      </c>
      <c r="D4822" s="33" t="n">
        <v>135</v>
      </c>
      <c r="E4822" s="24" t="n">
        <v>0</v>
      </c>
      <c r="F4822" s="37" t="n">
        <f aca="false">DATE(YEAR(A4822),MONTH(A4822),1)</f>
        <v>46235</v>
      </c>
      <c r="G4822" s="24" t="str">
        <f aca="false">INDEX(Products!$C$2:$C$49,MATCH(C4822,Products!$A$2:$A$49,0))</f>
        <v>Grocery Staples</v>
      </c>
      <c r="H4822" s="33" t="n">
        <f aca="false">D4822*INDEX(Products!$E$2:$E$49,MATCH(C4822,Products!$A$2:$A$49,0))</f>
        <v>22275</v>
      </c>
      <c r="I4822" s="33" t="n">
        <f aca="false">D4822*INDEX(Products!$D$2:$D$49,MATCH(C4822,Products!$A$2:$A$49,0))*(1+INDEX(Assumptions!$B$16:$B$20,MATCH(B4822,Assumptions!$A$16:$A$20,0)))</f>
        <v>19828.8</v>
      </c>
      <c r="J4822" s="33" t="n">
        <f aca="false">H4822-I4822</f>
        <v>2446.2</v>
      </c>
      <c r="K4822" s="33" t="n">
        <f aca="false">IF(OR(E4822=0,E4822&gt;=7),0,D4822/(7-E4822)*E4822*INDEX(Products!$E$2:$E$49,MATCH(C4822,Products!$A$2:$A$49,0)))</f>
        <v>0</v>
      </c>
    </row>
    <row r="4823" customFormat="false" ht="15" hidden="false" customHeight="false" outlineLevel="0" collapsed="false">
      <c r="A4823" s="36" t="n">
        <v>46265</v>
      </c>
      <c r="B4823" s="24" t="s">
        <v>65</v>
      </c>
      <c r="C4823" s="24" t="s">
        <v>115</v>
      </c>
      <c r="D4823" s="33" t="n">
        <v>166</v>
      </c>
      <c r="E4823" s="24" t="n">
        <v>0</v>
      </c>
      <c r="F4823" s="37" t="n">
        <f aca="false">DATE(YEAR(A4823),MONTH(A4823),1)</f>
        <v>46235</v>
      </c>
      <c r="G4823" s="24" t="str">
        <f aca="false">INDEX(Products!$C$2:$C$49,MATCH(C4823,Products!$A$2:$A$49,0))</f>
        <v>Grocery Staples</v>
      </c>
      <c r="H4823" s="33" t="n">
        <f aca="false">D4823*INDEX(Products!$E$2:$E$49,MATCH(C4823,Products!$A$2:$A$49,0))</f>
        <v>27390</v>
      </c>
      <c r="I4823" s="33" t="n">
        <f aca="false">D4823*INDEX(Products!$D$2:$D$49,MATCH(C4823,Products!$A$2:$A$49,0))*(1+INDEX(Assumptions!$B$16:$B$20,MATCH(B4823,Assumptions!$A$16:$A$20,0)))</f>
        <v>24382.08</v>
      </c>
      <c r="J4823" s="33" t="n">
        <f aca="false">H4823-I4823</f>
        <v>3007.92</v>
      </c>
      <c r="K4823" s="33" t="n">
        <f aca="false">IF(OR(E4823=0,E4823&gt;=7),0,D4823/(7-E4823)*E4823*INDEX(Products!$E$2:$E$49,MATCH(C4823,Products!$A$2:$A$49,0)))</f>
        <v>0</v>
      </c>
    </row>
    <row r="4824" customFormat="false" ht="15" hidden="false" customHeight="false" outlineLevel="0" collapsed="false">
      <c r="A4824" s="36" t="n">
        <v>46272</v>
      </c>
      <c r="B4824" s="24" t="s">
        <v>65</v>
      </c>
      <c r="C4824" s="24" t="s">
        <v>115</v>
      </c>
      <c r="D4824" s="33" t="n">
        <v>110</v>
      </c>
      <c r="E4824" s="24" t="n">
        <v>0</v>
      </c>
      <c r="F4824" s="37" t="n">
        <f aca="false">DATE(YEAR(A4824),MONTH(A4824),1)</f>
        <v>46266</v>
      </c>
      <c r="G4824" s="24" t="str">
        <f aca="false">INDEX(Products!$C$2:$C$49,MATCH(C4824,Products!$A$2:$A$49,0))</f>
        <v>Grocery Staples</v>
      </c>
      <c r="H4824" s="33" t="n">
        <f aca="false">D4824*INDEX(Products!$E$2:$E$49,MATCH(C4824,Products!$A$2:$A$49,0))</f>
        <v>18150</v>
      </c>
      <c r="I4824" s="33" t="n">
        <f aca="false">D4824*INDEX(Products!$D$2:$D$49,MATCH(C4824,Products!$A$2:$A$49,0))*(1+INDEX(Assumptions!$B$16:$B$20,MATCH(B4824,Assumptions!$A$16:$A$20,0)))</f>
        <v>16156.8</v>
      </c>
      <c r="J4824" s="33" t="n">
        <f aca="false">H4824-I4824</f>
        <v>1993.2</v>
      </c>
      <c r="K4824" s="33" t="n">
        <f aca="false">IF(OR(E4824=0,E4824&gt;=7),0,D4824/(7-E4824)*E4824*INDEX(Products!$E$2:$E$49,MATCH(C4824,Products!$A$2:$A$49,0)))</f>
        <v>0</v>
      </c>
    </row>
    <row r="4825" customFormat="false" ht="15" hidden="false" customHeight="false" outlineLevel="0" collapsed="false">
      <c r="A4825" s="36" t="n">
        <v>46279</v>
      </c>
      <c r="B4825" s="24" t="s">
        <v>65</v>
      </c>
      <c r="C4825" s="24" t="s">
        <v>115</v>
      </c>
      <c r="D4825" s="33" t="n">
        <v>140</v>
      </c>
      <c r="E4825" s="24" t="n">
        <v>0</v>
      </c>
      <c r="F4825" s="37" t="n">
        <f aca="false">DATE(YEAR(A4825),MONTH(A4825),1)</f>
        <v>46266</v>
      </c>
      <c r="G4825" s="24" t="str">
        <f aca="false">INDEX(Products!$C$2:$C$49,MATCH(C4825,Products!$A$2:$A$49,0))</f>
        <v>Grocery Staples</v>
      </c>
      <c r="H4825" s="33" t="n">
        <f aca="false">D4825*INDEX(Products!$E$2:$E$49,MATCH(C4825,Products!$A$2:$A$49,0))</f>
        <v>23100</v>
      </c>
      <c r="I4825" s="33" t="n">
        <f aca="false">D4825*INDEX(Products!$D$2:$D$49,MATCH(C4825,Products!$A$2:$A$49,0))*(1+INDEX(Assumptions!$B$16:$B$20,MATCH(B4825,Assumptions!$A$16:$A$20,0)))</f>
        <v>20563.2</v>
      </c>
      <c r="J4825" s="33" t="n">
        <f aca="false">H4825-I4825</f>
        <v>2536.8</v>
      </c>
      <c r="K4825" s="33" t="n">
        <f aca="false">IF(OR(E4825=0,E4825&gt;=7),0,D4825/(7-E4825)*E4825*INDEX(Products!$E$2:$E$49,MATCH(C4825,Products!$A$2:$A$49,0)))</f>
        <v>0</v>
      </c>
    </row>
    <row r="4826" customFormat="false" ht="15" hidden="false" customHeight="false" outlineLevel="0" collapsed="false">
      <c r="A4826" s="36" t="n">
        <v>46286</v>
      </c>
      <c r="B4826" s="24" t="s">
        <v>65</v>
      </c>
      <c r="C4826" s="24" t="s">
        <v>115</v>
      </c>
      <c r="D4826" s="33" t="n">
        <v>158</v>
      </c>
      <c r="E4826" s="24" t="n">
        <v>0</v>
      </c>
      <c r="F4826" s="37" t="n">
        <f aca="false">DATE(YEAR(A4826),MONTH(A4826),1)</f>
        <v>46266</v>
      </c>
      <c r="G4826" s="24" t="str">
        <f aca="false">INDEX(Products!$C$2:$C$49,MATCH(C4826,Products!$A$2:$A$49,0))</f>
        <v>Grocery Staples</v>
      </c>
      <c r="H4826" s="33" t="n">
        <f aca="false">D4826*INDEX(Products!$E$2:$E$49,MATCH(C4826,Products!$A$2:$A$49,0))</f>
        <v>26070</v>
      </c>
      <c r="I4826" s="33" t="n">
        <f aca="false">D4826*INDEX(Products!$D$2:$D$49,MATCH(C4826,Products!$A$2:$A$49,0))*(1+INDEX(Assumptions!$B$16:$B$20,MATCH(B4826,Assumptions!$A$16:$A$20,0)))</f>
        <v>23207.04</v>
      </c>
      <c r="J4826" s="33" t="n">
        <f aca="false">H4826-I4826</f>
        <v>2862.96</v>
      </c>
      <c r="K4826" s="33" t="n">
        <f aca="false">IF(OR(E4826=0,E4826&gt;=7),0,D4826/(7-E4826)*E4826*INDEX(Products!$E$2:$E$49,MATCH(C4826,Products!$A$2:$A$49,0)))</f>
        <v>0</v>
      </c>
    </row>
    <row r="4827" customFormat="false" ht="15" hidden="false" customHeight="false" outlineLevel="0" collapsed="false">
      <c r="A4827" s="36" t="n">
        <v>46118</v>
      </c>
      <c r="B4827" s="24" t="s">
        <v>65</v>
      </c>
      <c r="C4827" s="24" t="s">
        <v>117</v>
      </c>
      <c r="D4827" s="33" t="n">
        <v>116</v>
      </c>
      <c r="E4827" s="24" t="n">
        <v>0</v>
      </c>
      <c r="F4827" s="37" t="n">
        <f aca="false">DATE(YEAR(A4827),MONTH(A4827),1)</f>
        <v>46113</v>
      </c>
      <c r="G4827" s="24" t="str">
        <f aca="false">INDEX(Products!$C$2:$C$49,MATCH(C4827,Products!$A$2:$A$49,0))</f>
        <v>Grocery Staples</v>
      </c>
      <c r="H4827" s="33" t="n">
        <f aca="false">D4827*INDEX(Products!$E$2:$E$49,MATCH(C4827,Products!$A$2:$A$49,0))</f>
        <v>22040</v>
      </c>
      <c r="I4827" s="33" t="n">
        <f aca="false">D4827*INDEX(Products!$D$2:$D$49,MATCH(C4827,Products!$A$2:$A$49,0))*(1+INDEX(Assumptions!$B$16:$B$20,MATCH(B4827,Assumptions!$A$16:$A$20,0)))</f>
        <v>19877.76</v>
      </c>
      <c r="J4827" s="33" t="n">
        <f aca="false">H4827-I4827</f>
        <v>2162.24</v>
      </c>
      <c r="K4827" s="33" t="n">
        <f aca="false">IF(OR(E4827=0,E4827&gt;=7),0,D4827/(7-E4827)*E4827*INDEX(Products!$E$2:$E$49,MATCH(C4827,Products!$A$2:$A$49,0)))</f>
        <v>0</v>
      </c>
    </row>
    <row r="4828" customFormat="false" ht="15" hidden="false" customHeight="false" outlineLevel="0" collapsed="false">
      <c r="A4828" s="36" t="n">
        <v>46125</v>
      </c>
      <c r="B4828" s="24" t="s">
        <v>65</v>
      </c>
      <c r="C4828" s="24" t="s">
        <v>117</v>
      </c>
      <c r="D4828" s="33" t="n">
        <v>95</v>
      </c>
      <c r="E4828" s="24" t="n">
        <v>0</v>
      </c>
      <c r="F4828" s="37" t="n">
        <f aca="false">DATE(YEAR(A4828),MONTH(A4828),1)</f>
        <v>46113</v>
      </c>
      <c r="G4828" s="24" t="str">
        <f aca="false">INDEX(Products!$C$2:$C$49,MATCH(C4828,Products!$A$2:$A$49,0))</f>
        <v>Grocery Staples</v>
      </c>
      <c r="H4828" s="33" t="n">
        <f aca="false">D4828*INDEX(Products!$E$2:$E$49,MATCH(C4828,Products!$A$2:$A$49,0))</f>
        <v>18050</v>
      </c>
      <c r="I4828" s="33" t="n">
        <f aca="false">D4828*INDEX(Products!$D$2:$D$49,MATCH(C4828,Products!$A$2:$A$49,0))*(1+INDEX(Assumptions!$B$16:$B$20,MATCH(B4828,Assumptions!$A$16:$A$20,0)))</f>
        <v>16279.2</v>
      </c>
      <c r="J4828" s="33" t="n">
        <f aca="false">H4828-I4828</f>
        <v>1770.8</v>
      </c>
      <c r="K4828" s="33" t="n">
        <f aca="false">IF(OR(E4828=0,E4828&gt;=7),0,D4828/(7-E4828)*E4828*INDEX(Products!$E$2:$E$49,MATCH(C4828,Products!$A$2:$A$49,0)))</f>
        <v>0</v>
      </c>
    </row>
    <row r="4829" customFormat="false" ht="15" hidden="false" customHeight="false" outlineLevel="0" collapsed="false">
      <c r="A4829" s="36" t="n">
        <v>46132</v>
      </c>
      <c r="B4829" s="24" t="s">
        <v>65</v>
      </c>
      <c r="C4829" s="24" t="s">
        <v>117</v>
      </c>
      <c r="D4829" s="33" t="n">
        <v>141</v>
      </c>
      <c r="E4829" s="24" t="n">
        <v>0</v>
      </c>
      <c r="F4829" s="37" t="n">
        <f aca="false">DATE(YEAR(A4829),MONTH(A4829),1)</f>
        <v>46113</v>
      </c>
      <c r="G4829" s="24" t="str">
        <f aca="false">INDEX(Products!$C$2:$C$49,MATCH(C4829,Products!$A$2:$A$49,0))</f>
        <v>Grocery Staples</v>
      </c>
      <c r="H4829" s="33" t="n">
        <f aca="false">D4829*INDEX(Products!$E$2:$E$49,MATCH(C4829,Products!$A$2:$A$49,0))</f>
        <v>26790</v>
      </c>
      <c r="I4829" s="33" t="n">
        <f aca="false">D4829*INDEX(Products!$D$2:$D$49,MATCH(C4829,Products!$A$2:$A$49,0))*(1+INDEX(Assumptions!$B$16:$B$20,MATCH(B4829,Assumptions!$A$16:$A$20,0)))</f>
        <v>24161.76</v>
      </c>
      <c r="J4829" s="33" t="n">
        <f aca="false">H4829-I4829</f>
        <v>2628.24</v>
      </c>
      <c r="K4829" s="33" t="n">
        <f aca="false">IF(OR(E4829=0,E4829&gt;=7),0,D4829/(7-E4829)*E4829*INDEX(Products!$E$2:$E$49,MATCH(C4829,Products!$A$2:$A$49,0)))</f>
        <v>0</v>
      </c>
    </row>
    <row r="4830" customFormat="false" ht="15" hidden="false" customHeight="false" outlineLevel="0" collapsed="false">
      <c r="A4830" s="36" t="n">
        <v>46139</v>
      </c>
      <c r="B4830" s="24" t="s">
        <v>65</v>
      </c>
      <c r="C4830" s="24" t="s">
        <v>117</v>
      </c>
      <c r="D4830" s="33" t="n">
        <v>137</v>
      </c>
      <c r="E4830" s="24" t="n">
        <v>0</v>
      </c>
      <c r="F4830" s="37" t="n">
        <f aca="false">DATE(YEAR(A4830),MONTH(A4830),1)</f>
        <v>46113</v>
      </c>
      <c r="G4830" s="24" t="str">
        <f aca="false">INDEX(Products!$C$2:$C$49,MATCH(C4830,Products!$A$2:$A$49,0))</f>
        <v>Grocery Staples</v>
      </c>
      <c r="H4830" s="33" t="n">
        <f aca="false">D4830*INDEX(Products!$E$2:$E$49,MATCH(C4830,Products!$A$2:$A$49,0))</f>
        <v>26030</v>
      </c>
      <c r="I4830" s="33" t="n">
        <f aca="false">D4830*INDEX(Products!$D$2:$D$49,MATCH(C4830,Products!$A$2:$A$49,0))*(1+INDEX(Assumptions!$B$16:$B$20,MATCH(B4830,Assumptions!$A$16:$A$20,0)))</f>
        <v>23476.32</v>
      </c>
      <c r="J4830" s="33" t="n">
        <f aca="false">H4830-I4830</f>
        <v>2553.68</v>
      </c>
      <c r="K4830" s="33" t="n">
        <f aca="false">IF(OR(E4830=0,E4830&gt;=7),0,D4830/(7-E4830)*E4830*INDEX(Products!$E$2:$E$49,MATCH(C4830,Products!$A$2:$A$49,0)))</f>
        <v>0</v>
      </c>
    </row>
    <row r="4831" customFormat="false" ht="15" hidden="false" customHeight="false" outlineLevel="0" collapsed="false">
      <c r="A4831" s="36" t="n">
        <v>46146</v>
      </c>
      <c r="B4831" s="24" t="s">
        <v>65</v>
      </c>
      <c r="C4831" s="24" t="s">
        <v>117</v>
      </c>
      <c r="D4831" s="33" t="n">
        <v>114</v>
      </c>
      <c r="E4831" s="24" t="n">
        <v>0</v>
      </c>
      <c r="F4831" s="37" t="n">
        <f aca="false">DATE(YEAR(A4831),MONTH(A4831),1)</f>
        <v>46143</v>
      </c>
      <c r="G4831" s="24" t="str">
        <f aca="false">INDEX(Products!$C$2:$C$49,MATCH(C4831,Products!$A$2:$A$49,0))</f>
        <v>Grocery Staples</v>
      </c>
      <c r="H4831" s="33" t="n">
        <f aca="false">D4831*INDEX(Products!$E$2:$E$49,MATCH(C4831,Products!$A$2:$A$49,0))</f>
        <v>21660</v>
      </c>
      <c r="I4831" s="33" t="n">
        <f aca="false">D4831*INDEX(Products!$D$2:$D$49,MATCH(C4831,Products!$A$2:$A$49,0))*(1+INDEX(Assumptions!$B$16:$B$20,MATCH(B4831,Assumptions!$A$16:$A$20,0)))</f>
        <v>19535.04</v>
      </c>
      <c r="J4831" s="33" t="n">
        <f aca="false">H4831-I4831</f>
        <v>2124.96</v>
      </c>
      <c r="K4831" s="33" t="n">
        <f aca="false">IF(OR(E4831=0,E4831&gt;=7),0,D4831/(7-E4831)*E4831*INDEX(Products!$E$2:$E$49,MATCH(C4831,Products!$A$2:$A$49,0)))</f>
        <v>0</v>
      </c>
    </row>
    <row r="4832" customFormat="false" ht="15" hidden="false" customHeight="false" outlineLevel="0" collapsed="false">
      <c r="A4832" s="36" t="n">
        <v>46153</v>
      </c>
      <c r="B4832" s="24" t="s">
        <v>65</v>
      </c>
      <c r="C4832" s="24" t="s">
        <v>117</v>
      </c>
      <c r="D4832" s="33" t="n">
        <v>53</v>
      </c>
      <c r="E4832" s="24" t="n">
        <v>3</v>
      </c>
      <c r="F4832" s="37" t="n">
        <f aca="false">DATE(YEAR(A4832),MONTH(A4832),1)</f>
        <v>46143</v>
      </c>
      <c r="G4832" s="24" t="str">
        <f aca="false">INDEX(Products!$C$2:$C$49,MATCH(C4832,Products!$A$2:$A$49,0))</f>
        <v>Grocery Staples</v>
      </c>
      <c r="H4832" s="33" t="n">
        <f aca="false">D4832*INDEX(Products!$E$2:$E$49,MATCH(C4832,Products!$A$2:$A$49,0))</f>
        <v>10070</v>
      </c>
      <c r="I4832" s="33" t="n">
        <f aca="false">D4832*INDEX(Products!$D$2:$D$49,MATCH(C4832,Products!$A$2:$A$49,0))*(1+INDEX(Assumptions!$B$16:$B$20,MATCH(B4832,Assumptions!$A$16:$A$20,0)))</f>
        <v>9082.08</v>
      </c>
      <c r="J4832" s="33" t="n">
        <f aca="false">H4832-I4832</f>
        <v>987.92</v>
      </c>
      <c r="K4832" s="33" t="n">
        <f aca="false">IF(OR(E4832=0,E4832&gt;=7),0,D4832/(7-E4832)*E4832*INDEX(Products!$E$2:$E$49,MATCH(C4832,Products!$A$2:$A$49,0)))</f>
        <v>7552.5</v>
      </c>
    </row>
    <row r="4833" customFormat="false" ht="15" hidden="false" customHeight="false" outlineLevel="0" collapsed="false">
      <c r="A4833" s="36" t="n">
        <v>46160</v>
      </c>
      <c r="B4833" s="24" t="s">
        <v>65</v>
      </c>
      <c r="C4833" s="24" t="s">
        <v>117</v>
      </c>
      <c r="D4833" s="33" t="n">
        <v>129</v>
      </c>
      <c r="E4833" s="24" t="n">
        <v>0</v>
      </c>
      <c r="F4833" s="37" t="n">
        <f aca="false">DATE(YEAR(A4833),MONTH(A4833),1)</f>
        <v>46143</v>
      </c>
      <c r="G4833" s="24" t="str">
        <f aca="false">INDEX(Products!$C$2:$C$49,MATCH(C4833,Products!$A$2:$A$49,0))</f>
        <v>Grocery Staples</v>
      </c>
      <c r="H4833" s="33" t="n">
        <f aca="false">D4833*INDEX(Products!$E$2:$E$49,MATCH(C4833,Products!$A$2:$A$49,0))</f>
        <v>24510</v>
      </c>
      <c r="I4833" s="33" t="n">
        <f aca="false">D4833*INDEX(Products!$D$2:$D$49,MATCH(C4833,Products!$A$2:$A$49,0))*(1+INDEX(Assumptions!$B$16:$B$20,MATCH(B4833,Assumptions!$A$16:$A$20,0)))</f>
        <v>22105.44</v>
      </c>
      <c r="J4833" s="33" t="n">
        <f aca="false">H4833-I4833</f>
        <v>2404.56</v>
      </c>
      <c r="K4833" s="33" t="n">
        <f aca="false">IF(OR(E4833=0,E4833&gt;=7),0,D4833/(7-E4833)*E4833*INDEX(Products!$E$2:$E$49,MATCH(C4833,Products!$A$2:$A$49,0)))</f>
        <v>0</v>
      </c>
    </row>
    <row r="4834" customFormat="false" ht="15" hidden="false" customHeight="false" outlineLevel="0" collapsed="false">
      <c r="A4834" s="36" t="n">
        <v>46167</v>
      </c>
      <c r="B4834" s="24" t="s">
        <v>65</v>
      </c>
      <c r="C4834" s="24" t="s">
        <v>117</v>
      </c>
      <c r="D4834" s="33" t="n">
        <v>118</v>
      </c>
      <c r="E4834" s="24" t="n">
        <v>0</v>
      </c>
      <c r="F4834" s="37" t="n">
        <f aca="false">DATE(YEAR(A4834),MONTH(A4834),1)</f>
        <v>46143</v>
      </c>
      <c r="G4834" s="24" t="str">
        <f aca="false">INDEX(Products!$C$2:$C$49,MATCH(C4834,Products!$A$2:$A$49,0))</f>
        <v>Grocery Staples</v>
      </c>
      <c r="H4834" s="33" t="n">
        <f aca="false">D4834*INDEX(Products!$E$2:$E$49,MATCH(C4834,Products!$A$2:$A$49,0))</f>
        <v>22420</v>
      </c>
      <c r="I4834" s="33" t="n">
        <f aca="false">D4834*INDEX(Products!$D$2:$D$49,MATCH(C4834,Products!$A$2:$A$49,0))*(1+INDEX(Assumptions!$B$16:$B$20,MATCH(B4834,Assumptions!$A$16:$A$20,0)))</f>
        <v>20220.48</v>
      </c>
      <c r="J4834" s="33" t="n">
        <f aca="false">H4834-I4834</f>
        <v>2199.52</v>
      </c>
      <c r="K4834" s="33" t="n">
        <f aca="false">IF(OR(E4834=0,E4834&gt;=7),0,D4834/(7-E4834)*E4834*INDEX(Products!$E$2:$E$49,MATCH(C4834,Products!$A$2:$A$49,0)))</f>
        <v>0</v>
      </c>
    </row>
    <row r="4835" customFormat="false" ht="15" hidden="false" customHeight="false" outlineLevel="0" collapsed="false">
      <c r="A4835" s="36" t="n">
        <v>46174</v>
      </c>
      <c r="B4835" s="24" t="s">
        <v>65</v>
      </c>
      <c r="C4835" s="24" t="s">
        <v>117</v>
      </c>
      <c r="D4835" s="33" t="n">
        <v>120</v>
      </c>
      <c r="E4835" s="24" t="n">
        <v>0</v>
      </c>
      <c r="F4835" s="37" t="n">
        <f aca="false">DATE(YEAR(A4835),MONTH(A4835),1)</f>
        <v>46174</v>
      </c>
      <c r="G4835" s="24" t="str">
        <f aca="false">INDEX(Products!$C$2:$C$49,MATCH(C4835,Products!$A$2:$A$49,0))</f>
        <v>Grocery Staples</v>
      </c>
      <c r="H4835" s="33" t="n">
        <f aca="false">D4835*INDEX(Products!$E$2:$E$49,MATCH(C4835,Products!$A$2:$A$49,0))</f>
        <v>22800</v>
      </c>
      <c r="I4835" s="33" t="n">
        <f aca="false">D4835*INDEX(Products!$D$2:$D$49,MATCH(C4835,Products!$A$2:$A$49,0))*(1+INDEX(Assumptions!$B$16:$B$20,MATCH(B4835,Assumptions!$A$16:$A$20,0)))</f>
        <v>20563.2</v>
      </c>
      <c r="J4835" s="33" t="n">
        <f aca="false">H4835-I4835</f>
        <v>2236.8</v>
      </c>
      <c r="K4835" s="33" t="n">
        <f aca="false">IF(OR(E4835=0,E4835&gt;=7),0,D4835/(7-E4835)*E4835*INDEX(Products!$E$2:$E$49,MATCH(C4835,Products!$A$2:$A$49,0)))</f>
        <v>0</v>
      </c>
    </row>
    <row r="4836" customFormat="false" ht="15" hidden="false" customHeight="false" outlineLevel="0" collapsed="false">
      <c r="A4836" s="36" t="n">
        <v>46181</v>
      </c>
      <c r="B4836" s="24" t="s">
        <v>65</v>
      </c>
      <c r="C4836" s="24" t="s">
        <v>117</v>
      </c>
      <c r="D4836" s="33" t="n">
        <v>118</v>
      </c>
      <c r="E4836" s="24" t="n">
        <v>0</v>
      </c>
      <c r="F4836" s="37" t="n">
        <f aca="false">DATE(YEAR(A4836),MONTH(A4836),1)</f>
        <v>46174</v>
      </c>
      <c r="G4836" s="24" t="str">
        <f aca="false">INDEX(Products!$C$2:$C$49,MATCH(C4836,Products!$A$2:$A$49,0))</f>
        <v>Grocery Staples</v>
      </c>
      <c r="H4836" s="33" t="n">
        <f aca="false">D4836*INDEX(Products!$E$2:$E$49,MATCH(C4836,Products!$A$2:$A$49,0))</f>
        <v>22420</v>
      </c>
      <c r="I4836" s="33" t="n">
        <f aca="false">D4836*INDEX(Products!$D$2:$D$49,MATCH(C4836,Products!$A$2:$A$49,0))*(1+INDEX(Assumptions!$B$16:$B$20,MATCH(B4836,Assumptions!$A$16:$A$20,0)))</f>
        <v>20220.48</v>
      </c>
      <c r="J4836" s="33" t="n">
        <f aca="false">H4836-I4836</f>
        <v>2199.52</v>
      </c>
      <c r="K4836" s="33" t="n">
        <f aca="false">IF(OR(E4836=0,E4836&gt;=7),0,D4836/(7-E4836)*E4836*INDEX(Products!$E$2:$E$49,MATCH(C4836,Products!$A$2:$A$49,0)))</f>
        <v>0</v>
      </c>
    </row>
    <row r="4837" customFormat="false" ht="15" hidden="false" customHeight="false" outlineLevel="0" collapsed="false">
      <c r="A4837" s="36" t="n">
        <v>46188</v>
      </c>
      <c r="B4837" s="24" t="s">
        <v>65</v>
      </c>
      <c r="C4837" s="24" t="s">
        <v>117</v>
      </c>
      <c r="D4837" s="33" t="n">
        <v>120</v>
      </c>
      <c r="E4837" s="24" t="n">
        <v>0</v>
      </c>
      <c r="F4837" s="37" t="n">
        <f aca="false">DATE(YEAR(A4837),MONTH(A4837),1)</f>
        <v>46174</v>
      </c>
      <c r="G4837" s="24" t="str">
        <f aca="false">INDEX(Products!$C$2:$C$49,MATCH(C4837,Products!$A$2:$A$49,0))</f>
        <v>Grocery Staples</v>
      </c>
      <c r="H4837" s="33" t="n">
        <f aca="false">D4837*INDEX(Products!$E$2:$E$49,MATCH(C4837,Products!$A$2:$A$49,0))</f>
        <v>22800</v>
      </c>
      <c r="I4837" s="33" t="n">
        <f aca="false">D4837*INDEX(Products!$D$2:$D$49,MATCH(C4837,Products!$A$2:$A$49,0))*(1+INDEX(Assumptions!$B$16:$B$20,MATCH(B4837,Assumptions!$A$16:$A$20,0)))</f>
        <v>20563.2</v>
      </c>
      <c r="J4837" s="33" t="n">
        <f aca="false">H4837-I4837</f>
        <v>2236.8</v>
      </c>
      <c r="K4837" s="33" t="n">
        <f aca="false">IF(OR(E4837=0,E4837&gt;=7),0,D4837/(7-E4837)*E4837*INDEX(Products!$E$2:$E$49,MATCH(C4837,Products!$A$2:$A$49,0)))</f>
        <v>0</v>
      </c>
    </row>
    <row r="4838" customFormat="false" ht="15" hidden="false" customHeight="false" outlineLevel="0" collapsed="false">
      <c r="A4838" s="36" t="n">
        <v>46195</v>
      </c>
      <c r="B4838" s="24" t="s">
        <v>65</v>
      </c>
      <c r="C4838" s="24" t="s">
        <v>117</v>
      </c>
      <c r="D4838" s="33" t="n">
        <v>105</v>
      </c>
      <c r="E4838" s="24" t="n">
        <v>0</v>
      </c>
      <c r="F4838" s="37" t="n">
        <f aca="false">DATE(YEAR(A4838),MONTH(A4838),1)</f>
        <v>46174</v>
      </c>
      <c r="G4838" s="24" t="str">
        <f aca="false">INDEX(Products!$C$2:$C$49,MATCH(C4838,Products!$A$2:$A$49,0))</f>
        <v>Grocery Staples</v>
      </c>
      <c r="H4838" s="33" t="n">
        <f aca="false">D4838*INDEX(Products!$E$2:$E$49,MATCH(C4838,Products!$A$2:$A$49,0))</f>
        <v>19950</v>
      </c>
      <c r="I4838" s="33" t="n">
        <f aca="false">D4838*INDEX(Products!$D$2:$D$49,MATCH(C4838,Products!$A$2:$A$49,0))*(1+INDEX(Assumptions!$B$16:$B$20,MATCH(B4838,Assumptions!$A$16:$A$20,0)))</f>
        <v>17992.8</v>
      </c>
      <c r="J4838" s="33" t="n">
        <f aca="false">H4838-I4838</f>
        <v>1957.2</v>
      </c>
      <c r="K4838" s="33" t="n">
        <f aca="false">IF(OR(E4838=0,E4838&gt;=7),0,D4838/(7-E4838)*E4838*INDEX(Products!$E$2:$E$49,MATCH(C4838,Products!$A$2:$A$49,0)))</f>
        <v>0</v>
      </c>
    </row>
    <row r="4839" customFormat="false" ht="15" hidden="false" customHeight="false" outlineLevel="0" collapsed="false">
      <c r="A4839" s="36" t="n">
        <v>46202</v>
      </c>
      <c r="B4839" s="24" t="s">
        <v>65</v>
      </c>
      <c r="C4839" s="24" t="s">
        <v>117</v>
      </c>
      <c r="D4839" s="33" t="n">
        <v>217</v>
      </c>
      <c r="E4839" s="24" t="n">
        <v>0</v>
      </c>
      <c r="F4839" s="37" t="n">
        <f aca="false">DATE(YEAR(A4839),MONTH(A4839),1)</f>
        <v>46174</v>
      </c>
      <c r="G4839" s="24" t="str">
        <f aca="false">INDEX(Products!$C$2:$C$49,MATCH(C4839,Products!$A$2:$A$49,0))</f>
        <v>Grocery Staples</v>
      </c>
      <c r="H4839" s="33" t="n">
        <f aca="false">D4839*INDEX(Products!$E$2:$E$49,MATCH(C4839,Products!$A$2:$A$49,0))</f>
        <v>41230</v>
      </c>
      <c r="I4839" s="33" t="n">
        <f aca="false">D4839*INDEX(Products!$D$2:$D$49,MATCH(C4839,Products!$A$2:$A$49,0))*(1+INDEX(Assumptions!$B$16:$B$20,MATCH(B4839,Assumptions!$A$16:$A$20,0)))</f>
        <v>37185.12</v>
      </c>
      <c r="J4839" s="33" t="n">
        <f aca="false">H4839-I4839</f>
        <v>4044.88</v>
      </c>
      <c r="K4839" s="33" t="n">
        <f aca="false">IF(OR(E4839=0,E4839&gt;=7),0,D4839/(7-E4839)*E4839*INDEX(Products!$E$2:$E$49,MATCH(C4839,Products!$A$2:$A$49,0)))</f>
        <v>0</v>
      </c>
    </row>
    <row r="4840" customFormat="false" ht="15" hidden="false" customHeight="false" outlineLevel="0" collapsed="false">
      <c r="A4840" s="36" t="n">
        <v>46209</v>
      </c>
      <c r="B4840" s="24" t="s">
        <v>65</v>
      </c>
      <c r="C4840" s="24" t="s">
        <v>117</v>
      </c>
      <c r="D4840" s="33" t="n">
        <v>128</v>
      </c>
      <c r="E4840" s="24" t="n">
        <v>0</v>
      </c>
      <c r="F4840" s="37" t="n">
        <f aca="false">DATE(YEAR(A4840),MONTH(A4840),1)</f>
        <v>46204</v>
      </c>
      <c r="G4840" s="24" t="str">
        <f aca="false">INDEX(Products!$C$2:$C$49,MATCH(C4840,Products!$A$2:$A$49,0))</f>
        <v>Grocery Staples</v>
      </c>
      <c r="H4840" s="33" t="n">
        <f aca="false">D4840*INDEX(Products!$E$2:$E$49,MATCH(C4840,Products!$A$2:$A$49,0))</f>
        <v>24320</v>
      </c>
      <c r="I4840" s="33" t="n">
        <f aca="false">D4840*INDEX(Products!$D$2:$D$49,MATCH(C4840,Products!$A$2:$A$49,0))*(1+INDEX(Assumptions!$B$16:$B$20,MATCH(B4840,Assumptions!$A$16:$A$20,0)))</f>
        <v>21934.08</v>
      </c>
      <c r="J4840" s="33" t="n">
        <f aca="false">H4840-I4840</f>
        <v>2385.92</v>
      </c>
      <c r="K4840" s="33" t="n">
        <f aca="false">IF(OR(E4840=0,E4840&gt;=7),0,D4840/(7-E4840)*E4840*INDEX(Products!$E$2:$E$49,MATCH(C4840,Products!$A$2:$A$49,0)))</f>
        <v>0</v>
      </c>
    </row>
    <row r="4841" customFormat="false" ht="15" hidden="false" customHeight="false" outlineLevel="0" collapsed="false">
      <c r="A4841" s="36" t="n">
        <v>46216</v>
      </c>
      <c r="B4841" s="24" t="s">
        <v>65</v>
      </c>
      <c r="C4841" s="24" t="s">
        <v>117</v>
      </c>
      <c r="D4841" s="33" t="n">
        <v>86</v>
      </c>
      <c r="E4841" s="24" t="n">
        <v>0</v>
      </c>
      <c r="F4841" s="37" t="n">
        <f aca="false">DATE(YEAR(A4841),MONTH(A4841),1)</f>
        <v>46204</v>
      </c>
      <c r="G4841" s="24" t="str">
        <f aca="false">INDEX(Products!$C$2:$C$49,MATCH(C4841,Products!$A$2:$A$49,0))</f>
        <v>Grocery Staples</v>
      </c>
      <c r="H4841" s="33" t="n">
        <f aca="false">D4841*INDEX(Products!$E$2:$E$49,MATCH(C4841,Products!$A$2:$A$49,0))</f>
        <v>16340</v>
      </c>
      <c r="I4841" s="33" t="n">
        <f aca="false">D4841*INDEX(Products!$D$2:$D$49,MATCH(C4841,Products!$A$2:$A$49,0))*(1+INDEX(Assumptions!$B$16:$B$20,MATCH(B4841,Assumptions!$A$16:$A$20,0)))</f>
        <v>14736.96</v>
      </c>
      <c r="J4841" s="33" t="n">
        <f aca="false">H4841-I4841</f>
        <v>1603.04</v>
      </c>
      <c r="K4841" s="33" t="n">
        <f aca="false">IF(OR(E4841=0,E4841&gt;=7),0,D4841/(7-E4841)*E4841*INDEX(Products!$E$2:$E$49,MATCH(C4841,Products!$A$2:$A$49,0)))</f>
        <v>0</v>
      </c>
    </row>
    <row r="4842" customFormat="false" ht="15" hidden="false" customHeight="false" outlineLevel="0" collapsed="false">
      <c r="A4842" s="36" t="n">
        <v>46223</v>
      </c>
      <c r="B4842" s="24" t="s">
        <v>65</v>
      </c>
      <c r="C4842" s="24" t="s">
        <v>117</v>
      </c>
      <c r="D4842" s="33" t="n">
        <v>109</v>
      </c>
      <c r="E4842" s="24" t="n">
        <v>0</v>
      </c>
      <c r="F4842" s="37" t="n">
        <f aca="false">DATE(YEAR(A4842),MONTH(A4842),1)</f>
        <v>46204</v>
      </c>
      <c r="G4842" s="24" t="str">
        <f aca="false">INDEX(Products!$C$2:$C$49,MATCH(C4842,Products!$A$2:$A$49,0))</f>
        <v>Grocery Staples</v>
      </c>
      <c r="H4842" s="33" t="n">
        <f aca="false">D4842*INDEX(Products!$E$2:$E$49,MATCH(C4842,Products!$A$2:$A$49,0))</f>
        <v>20710</v>
      </c>
      <c r="I4842" s="33" t="n">
        <f aca="false">D4842*INDEX(Products!$D$2:$D$49,MATCH(C4842,Products!$A$2:$A$49,0))*(1+INDEX(Assumptions!$B$16:$B$20,MATCH(B4842,Assumptions!$A$16:$A$20,0)))</f>
        <v>18678.24</v>
      </c>
      <c r="J4842" s="33" t="n">
        <f aca="false">H4842-I4842</f>
        <v>2031.76</v>
      </c>
      <c r="K4842" s="33" t="n">
        <f aca="false">IF(OR(E4842=0,E4842&gt;=7),0,D4842/(7-E4842)*E4842*INDEX(Products!$E$2:$E$49,MATCH(C4842,Products!$A$2:$A$49,0)))</f>
        <v>0</v>
      </c>
    </row>
    <row r="4843" customFormat="false" ht="15" hidden="false" customHeight="false" outlineLevel="0" collapsed="false">
      <c r="A4843" s="36" t="n">
        <v>46230</v>
      </c>
      <c r="B4843" s="24" t="s">
        <v>65</v>
      </c>
      <c r="C4843" s="24" t="s">
        <v>117</v>
      </c>
      <c r="D4843" s="33" t="n">
        <v>47</v>
      </c>
      <c r="E4843" s="24" t="n">
        <v>4</v>
      </c>
      <c r="F4843" s="37" t="n">
        <f aca="false">DATE(YEAR(A4843),MONTH(A4843),1)</f>
        <v>46204</v>
      </c>
      <c r="G4843" s="24" t="str">
        <f aca="false">INDEX(Products!$C$2:$C$49,MATCH(C4843,Products!$A$2:$A$49,0))</f>
        <v>Grocery Staples</v>
      </c>
      <c r="H4843" s="33" t="n">
        <f aca="false">D4843*INDEX(Products!$E$2:$E$49,MATCH(C4843,Products!$A$2:$A$49,0))</f>
        <v>8930</v>
      </c>
      <c r="I4843" s="33" t="n">
        <f aca="false">D4843*INDEX(Products!$D$2:$D$49,MATCH(C4843,Products!$A$2:$A$49,0))*(1+INDEX(Assumptions!$B$16:$B$20,MATCH(B4843,Assumptions!$A$16:$A$20,0)))</f>
        <v>8053.92</v>
      </c>
      <c r="J4843" s="33" t="n">
        <f aca="false">H4843-I4843</f>
        <v>876.08</v>
      </c>
      <c r="K4843" s="33" t="n">
        <f aca="false">IF(OR(E4843=0,E4843&gt;=7),0,D4843/(7-E4843)*E4843*INDEX(Products!$E$2:$E$49,MATCH(C4843,Products!$A$2:$A$49,0)))</f>
        <v>11906.6666666667</v>
      </c>
    </row>
    <row r="4844" customFormat="false" ht="15" hidden="false" customHeight="false" outlineLevel="0" collapsed="false">
      <c r="A4844" s="36" t="n">
        <v>46237</v>
      </c>
      <c r="B4844" s="24" t="s">
        <v>65</v>
      </c>
      <c r="C4844" s="24" t="s">
        <v>117</v>
      </c>
      <c r="D4844" s="33" t="n">
        <v>113</v>
      </c>
      <c r="E4844" s="24" t="n">
        <v>0</v>
      </c>
      <c r="F4844" s="37" t="n">
        <f aca="false">DATE(YEAR(A4844),MONTH(A4844),1)</f>
        <v>46235</v>
      </c>
      <c r="G4844" s="24" t="str">
        <f aca="false">INDEX(Products!$C$2:$C$49,MATCH(C4844,Products!$A$2:$A$49,0))</f>
        <v>Grocery Staples</v>
      </c>
      <c r="H4844" s="33" t="n">
        <f aca="false">D4844*INDEX(Products!$E$2:$E$49,MATCH(C4844,Products!$A$2:$A$49,0))</f>
        <v>21470</v>
      </c>
      <c r="I4844" s="33" t="n">
        <f aca="false">D4844*INDEX(Products!$D$2:$D$49,MATCH(C4844,Products!$A$2:$A$49,0))*(1+INDEX(Assumptions!$B$16:$B$20,MATCH(B4844,Assumptions!$A$16:$A$20,0)))</f>
        <v>19363.68</v>
      </c>
      <c r="J4844" s="33" t="n">
        <f aca="false">H4844-I4844</f>
        <v>2106.32</v>
      </c>
      <c r="K4844" s="33" t="n">
        <f aca="false">IF(OR(E4844=0,E4844&gt;=7),0,D4844/(7-E4844)*E4844*INDEX(Products!$E$2:$E$49,MATCH(C4844,Products!$A$2:$A$49,0)))</f>
        <v>0</v>
      </c>
    </row>
    <row r="4845" customFormat="false" ht="15" hidden="false" customHeight="false" outlineLevel="0" collapsed="false">
      <c r="A4845" s="36" t="n">
        <v>46244</v>
      </c>
      <c r="B4845" s="24" t="s">
        <v>65</v>
      </c>
      <c r="C4845" s="24" t="s">
        <v>117</v>
      </c>
      <c r="D4845" s="33" t="n">
        <v>104</v>
      </c>
      <c r="E4845" s="24" t="n">
        <v>0</v>
      </c>
      <c r="F4845" s="37" t="n">
        <f aca="false">DATE(YEAR(A4845),MONTH(A4845),1)</f>
        <v>46235</v>
      </c>
      <c r="G4845" s="24" t="str">
        <f aca="false">INDEX(Products!$C$2:$C$49,MATCH(C4845,Products!$A$2:$A$49,0))</f>
        <v>Grocery Staples</v>
      </c>
      <c r="H4845" s="33" t="n">
        <f aca="false">D4845*INDEX(Products!$E$2:$E$49,MATCH(C4845,Products!$A$2:$A$49,0))</f>
        <v>19760</v>
      </c>
      <c r="I4845" s="33" t="n">
        <f aca="false">D4845*INDEX(Products!$D$2:$D$49,MATCH(C4845,Products!$A$2:$A$49,0))*(1+INDEX(Assumptions!$B$16:$B$20,MATCH(B4845,Assumptions!$A$16:$A$20,0)))</f>
        <v>17821.44</v>
      </c>
      <c r="J4845" s="33" t="n">
        <f aca="false">H4845-I4845</f>
        <v>1938.56</v>
      </c>
      <c r="K4845" s="33" t="n">
        <f aca="false">IF(OR(E4845=0,E4845&gt;=7),0,D4845/(7-E4845)*E4845*INDEX(Products!$E$2:$E$49,MATCH(C4845,Products!$A$2:$A$49,0)))</f>
        <v>0</v>
      </c>
    </row>
    <row r="4846" customFormat="false" ht="15" hidden="false" customHeight="false" outlineLevel="0" collapsed="false">
      <c r="A4846" s="36" t="n">
        <v>46251</v>
      </c>
      <c r="B4846" s="24" t="s">
        <v>65</v>
      </c>
      <c r="C4846" s="24" t="s">
        <v>117</v>
      </c>
      <c r="D4846" s="33" t="n">
        <v>60</v>
      </c>
      <c r="E4846" s="24" t="n">
        <v>3</v>
      </c>
      <c r="F4846" s="37" t="n">
        <f aca="false">DATE(YEAR(A4846),MONTH(A4846),1)</f>
        <v>46235</v>
      </c>
      <c r="G4846" s="24" t="str">
        <f aca="false">INDEX(Products!$C$2:$C$49,MATCH(C4846,Products!$A$2:$A$49,0))</f>
        <v>Grocery Staples</v>
      </c>
      <c r="H4846" s="33" t="n">
        <f aca="false">D4846*INDEX(Products!$E$2:$E$49,MATCH(C4846,Products!$A$2:$A$49,0))</f>
        <v>11400</v>
      </c>
      <c r="I4846" s="33" t="n">
        <f aca="false">D4846*INDEX(Products!$D$2:$D$49,MATCH(C4846,Products!$A$2:$A$49,0))*(1+INDEX(Assumptions!$B$16:$B$20,MATCH(B4846,Assumptions!$A$16:$A$20,0)))</f>
        <v>10281.6</v>
      </c>
      <c r="J4846" s="33" t="n">
        <f aca="false">H4846-I4846</f>
        <v>1118.4</v>
      </c>
      <c r="K4846" s="33" t="n">
        <f aca="false">IF(OR(E4846=0,E4846&gt;=7),0,D4846/(7-E4846)*E4846*INDEX(Products!$E$2:$E$49,MATCH(C4846,Products!$A$2:$A$49,0)))</f>
        <v>8550</v>
      </c>
    </row>
    <row r="4847" customFormat="false" ht="15" hidden="false" customHeight="false" outlineLevel="0" collapsed="false">
      <c r="A4847" s="36" t="n">
        <v>46258</v>
      </c>
      <c r="B4847" s="24" t="s">
        <v>65</v>
      </c>
      <c r="C4847" s="24" t="s">
        <v>117</v>
      </c>
      <c r="D4847" s="33" t="n">
        <v>121</v>
      </c>
      <c r="E4847" s="24" t="n">
        <v>0</v>
      </c>
      <c r="F4847" s="37" t="n">
        <f aca="false">DATE(YEAR(A4847),MONTH(A4847),1)</f>
        <v>46235</v>
      </c>
      <c r="G4847" s="24" t="str">
        <f aca="false">INDEX(Products!$C$2:$C$49,MATCH(C4847,Products!$A$2:$A$49,0))</f>
        <v>Grocery Staples</v>
      </c>
      <c r="H4847" s="33" t="n">
        <f aca="false">D4847*INDEX(Products!$E$2:$E$49,MATCH(C4847,Products!$A$2:$A$49,0))</f>
        <v>22990</v>
      </c>
      <c r="I4847" s="33" t="n">
        <f aca="false">D4847*INDEX(Products!$D$2:$D$49,MATCH(C4847,Products!$A$2:$A$49,0))*(1+INDEX(Assumptions!$B$16:$B$20,MATCH(B4847,Assumptions!$A$16:$A$20,0)))</f>
        <v>20734.56</v>
      </c>
      <c r="J4847" s="33" t="n">
        <f aca="false">H4847-I4847</f>
        <v>2255.44</v>
      </c>
      <c r="K4847" s="33" t="n">
        <f aca="false">IF(OR(E4847=0,E4847&gt;=7),0,D4847/(7-E4847)*E4847*INDEX(Products!$E$2:$E$49,MATCH(C4847,Products!$A$2:$A$49,0)))</f>
        <v>0</v>
      </c>
    </row>
    <row r="4848" customFormat="false" ht="15" hidden="false" customHeight="false" outlineLevel="0" collapsed="false">
      <c r="A4848" s="36" t="n">
        <v>46265</v>
      </c>
      <c r="B4848" s="24" t="s">
        <v>65</v>
      </c>
      <c r="C4848" s="24" t="s">
        <v>117</v>
      </c>
      <c r="D4848" s="33" t="n">
        <v>40</v>
      </c>
      <c r="E4848" s="24" t="n">
        <v>5</v>
      </c>
      <c r="F4848" s="37" t="n">
        <f aca="false">DATE(YEAR(A4848),MONTH(A4848),1)</f>
        <v>46235</v>
      </c>
      <c r="G4848" s="24" t="str">
        <f aca="false">INDEX(Products!$C$2:$C$49,MATCH(C4848,Products!$A$2:$A$49,0))</f>
        <v>Grocery Staples</v>
      </c>
      <c r="H4848" s="33" t="n">
        <f aca="false">D4848*INDEX(Products!$E$2:$E$49,MATCH(C4848,Products!$A$2:$A$49,0))</f>
        <v>7600</v>
      </c>
      <c r="I4848" s="33" t="n">
        <f aca="false">D4848*INDEX(Products!$D$2:$D$49,MATCH(C4848,Products!$A$2:$A$49,0))*(1+INDEX(Assumptions!$B$16:$B$20,MATCH(B4848,Assumptions!$A$16:$A$20,0)))</f>
        <v>6854.4</v>
      </c>
      <c r="J4848" s="33" t="n">
        <f aca="false">H4848-I4848</f>
        <v>745.6</v>
      </c>
      <c r="K4848" s="33" t="n">
        <f aca="false">IF(OR(E4848=0,E4848&gt;=7),0,D4848/(7-E4848)*E4848*INDEX(Products!$E$2:$E$49,MATCH(C4848,Products!$A$2:$A$49,0)))</f>
        <v>19000</v>
      </c>
    </row>
    <row r="4849" customFormat="false" ht="15" hidden="false" customHeight="false" outlineLevel="0" collapsed="false">
      <c r="A4849" s="36" t="n">
        <v>46272</v>
      </c>
      <c r="B4849" s="24" t="s">
        <v>65</v>
      </c>
      <c r="C4849" s="24" t="s">
        <v>117</v>
      </c>
      <c r="D4849" s="33" t="n">
        <v>65</v>
      </c>
      <c r="E4849" s="24" t="n">
        <v>3</v>
      </c>
      <c r="F4849" s="37" t="n">
        <f aca="false">DATE(YEAR(A4849),MONTH(A4849),1)</f>
        <v>46266</v>
      </c>
      <c r="G4849" s="24" t="str">
        <f aca="false">INDEX(Products!$C$2:$C$49,MATCH(C4849,Products!$A$2:$A$49,0))</f>
        <v>Grocery Staples</v>
      </c>
      <c r="H4849" s="33" t="n">
        <f aca="false">D4849*INDEX(Products!$E$2:$E$49,MATCH(C4849,Products!$A$2:$A$49,0))</f>
        <v>12350</v>
      </c>
      <c r="I4849" s="33" t="n">
        <f aca="false">D4849*INDEX(Products!$D$2:$D$49,MATCH(C4849,Products!$A$2:$A$49,0))*(1+INDEX(Assumptions!$B$16:$B$20,MATCH(B4849,Assumptions!$A$16:$A$20,0)))</f>
        <v>11138.4</v>
      </c>
      <c r="J4849" s="33" t="n">
        <f aca="false">H4849-I4849</f>
        <v>1211.6</v>
      </c>
      <c r="K4849" s="33" t="n">
        <f aca="false">IF(OR(E4849=0,E4849&gt;=7),0,D4849/(7-E4849)*E4849*INDEX(Products!$E$2:$E$49,MATCH(C4849,Products!$A$2:$A$49,0)))</f>
        <v>9262.5</v>
      </c>
    </row>
    <row r="4850" customFormat="false" ht="15" hidden="false" customHeight="false" outlineLevel="0" collapsed="false">
      <c r="A4850" s="36" t="n">
        <v>46279</v>
      </c>
      <c r="B4850" s="24" t="s">
        <v>65</v>
      </c>
      <c r="C4850" s="24" t="s">
        <v>117</v>
      </c>
      <c r="D4850" s="33" t="n">
        <v>131</v>
      </c>
      <c r="E4850" s="24" t="n">
        <v>0</v>
      </c>
      <c r="F4850" s="37" t="n">
        <f aca="false">DATE(YEAR(A4850),MONTH(A4850),1)</f>
        <v>46266</v>
      </c>
      <c r="G4850" s="24" t="str">
        <f aca="false">INDEX(Products!$C$2:$C$49,MATCH(C4850,Products!$A$2:$A$49,0))</f>
        <v>Grocery Staples</v>
      </c>
      <c r="H4850" s="33" t="n">
        <f aca="false">D4850*INDEX(Products!$E$2:$E$49,MATCH(C4850,Products!$A$2:$A$49,0))</f>
        <v>24890</v>
      </c>
      <c r="I4850" s="33" t="n">
        <f aca="false">D4850*INDEX(Products!$D$2:$D$49,MATCH(C4850,Products!$A$2:$A$49,0))*(1+INDEX(Assumptions!$B$16:$B$20,MATCH(B4850,Assumptions!$A$16:$A$20,0)))</f>
        <v>22448.16</v>
      </c>
      <c r="J4850" s="33" t="n">
        <f aca="false">H4850-I4850</f>
        <v>2441.84</v>
      </c>
      <c r="K4850" s="33" t="n">
        <f aca="false">IF(OR(E4850=0,E4850&gt;=7),0,D4850/(7-E4850)*E4850*INDEX(Products!$E$2:$E$49,MATCH(C4850,Products!$A$2:$A$49,0)))</f>
        <v>0</v>
      </c>
    </row>
    <row r="4851" customFormat="false" ht="15" hidden="false" customHeight="false" outlineLevel="0" collapsed="false">
      <c r="A4851" s="36" t="n">
        <v>46286</v>
      </c>
      <c r="B4851" s="24" t="s">
        <v>65</v>
      </c>
      <c r="C4851" s="24" t="s">
        <v>117</v>
      </c>
      <c r="D4851" s="33" t="n">
        <v>123</v>
      </c>
      <c r="E4851" s="24" t="n">
        <v>0</v>
      </c>
      <c r="F4851" s="37" t="n">
        <f aca="false">DATE(YEAR(A4851),MONTH(A4851),1)</f>
        <v>46266</v>
      </c>
      <c r="G4851" s="24" t="str">
        <f aca="false">INDEX(Products!$C$2:$C$49,MATCH(C4851,Products!$A$2:$A$49,0))</f>
        <v>Grocery Staples</v>
      </c>
      <c r="H4851" s="33" t="n">
        <f aca="false">D4851*INDEX(Products!$E$2:$E$49,MATCH(C4851,Products!$A$2:$A$49,0))</f>
        <v>23370</v>
      </c>
      <c r="I4851" s="33" t="n">
        <f aca="false">D4851*INDEX(Products!$D$2:$D$49,MATCH(C4851,Products!$A$2:$A$49,0))*(1+INDEX(Assumptions!$B$16:$B$20,MATCH(B4851,Assumptions!$A$16:$A$20,0)))</f>
        <v>21077.28</v>
      </c>
      <c r="J4851" s="33" t="n">
        <f aca="false">H4851-I4851</f>
        <v>2292.72</v>
      </c>
      <c r="K4851" s="33" t="n">
        <f aca="false">IF(OR(E4851=0,E4851&gt;=7),0,D4851/(7-E4851)*E4851*INDEX(Products!$E$2:$E$49,MATCH(C4851,Products!$A$2:$A$49,0)))</f>
        <v>0</v>
      </c>
    </row>
    <row r="4852" customFormat="false" ht="15" hidden="false" customHeight="false" outlineLevel="0" collapsed="false">
      <c r="A4852" s="36" t="n">
        <v>46118</v>
      </c>
      <c r="B4852" s="24" t="s">
        <v>65</v>
      </c>
      <c r="C4852" s="24" t="s">
        <v>119</v>
      </c>
      <c r="D4852" s="33" t="n">
        <v>85</v>
      </c>
      <c r="E4852" s="24" t="n">
        <v>0</v>
      </c>
      <c r="F4852" s="37" t="n">
        <f aca="false">DATE(YEAR(A4852),MONTH(A4852),1)</f>
        <v>46113</v>
      </c>
      <c r="G4852" s="24" t="str">
        <f aca="false">INDEX(Products!$C$2:$C$49,MATCH(C4852,Products!$A$2:$A$49,0))</f>
        <v>Grocery Staples</v>
      </c>
      <c r="H4852" s="33" t="n">
        <f aca="false">D4852*INDEX(Products!$E$2:$E$49,MATCH(C4852,Products!$A$2:$A$49,0))</f>
        <v>35700</v>
      </c>
      <c r="I4852" s="33" t="n">
        <f aca="false">D4852*INDEX(Products!$D$2:$D$49,MATCH(C4852,Products!$A$2:$A$49,0))*(1+INDEX(Assumptions!$B$16:$B$20,MATCH(B4852,Assumptions!$A$16:$A$20,0)))</f>
        <v>32599.2</v>
      </c>
      <c r="J4852" s="33" t="n">
        <f aca="false">H4852-I4852</f>
        <v>3100.8</v>
      </c>
      <c r="K4852" s="33" t="n">
        <f aca="false">IF(OR(E4852=0,E4852&gt;=7),0,D4852/(7-E4852)*E4852*INDEX(Products!$E$2:$E$49,MATCH(C4852,Products!$A$2:$A$49,0)))</f>
        <v>0</v>
      </c>
    </row>
    <row r="4853" customFormat="false" ht="15" hidden="false" customHeight="false" outlineLevel="0" collapsed="false">
      <c r="A4853" s="36" t="n">
        <v>46125</v>
      </c>
      <c r="B4853" s="24" t="s">
        <v>65</v>
      </c>
      <c r="C4853" s="24" t="s">
        <v>119</v>
      </c>
      <c r="D4853" s="33" t="n">
        <v>130</v>
      </c>
      <c r="E4853" s="24" t="n">
        <v>0</v>
      </c>
      <c r="F4853" s="37" t="n">
        <f aca="false">DATE(YEAR(A4853),MONTH(A4853),1)</f>
        <v>46113</v>
      </c>
      <c r="G4853" s="24" t="str">
        <f aca="false">INDEX(Products!$C$2:$C$49,MATCH(C4853,Products!$A$2:$A$49,0))</f>
        <v>Grocery Staples</v>
      </c>
      <c r="H4853" s="33" t="n">
        <f aca="false">D4853*INDEX(Products!$E$2:$E$49,MATCH(C4853,Products!$A$2:$A$49,0))</f>
        <v>54600</v>
      </c>
      <c r="I4853" s="33" t="n">
        <f aca="false">D4853*INDEX(Products!$D$2:$D$49,MATCH(C4853,Products!$A$2:$A$49,0))*(1+INDEX(Assumptions!$B$16:$B$20,MATCH(B4853,Assumptions!$A$16:$A$20,0)))</f>
        <v>49857.6</v>
      </c>
      <c r="J4853" s="33" t="n">
        <f aca="false">H4853-I4853</f>
        <v>4742.4</v>
      </c>
      <c r="K4853" s="33" t="n">
        <f aca="false">IF(OR(E4853=0,E4853&gt;=7),0,D4853/(7-E4853)*E4853*INDEX(Products!$E$2:$E$49,MATCH(C4853,Products!$A$2:$A$49,0)))</f>
        <v>0</v>
      </c>
    </row>
    <row r="4854" customFormat="false" ht="15" hidden="false" customHeight="false" outlineLevel="0" collapsed="false">
      <c r="A4854" s="36" t="n">
        <v>46132</v>
      </c>
      <c r="B4854" s="24" t="s">
        <v>65</v>
      </c>
      <c r="C4854" s="24" t="s">
        <v>119</v>
      </c>
      <c r="D4854" s="33" t="n">
        <v>72</v>
      </c>
      <c r="E4854" s="24" t="n">
        <v>0</v>
      </c>
      <c r="F4854" s="37" t="n">
        <f aca="false">DATE(YEAR(A4854),MONTH(A4854),1)</f>
        <v>46113</v>
      </c>
      <c r="G4854" s="24" t="str">
        <f aca="false">INDEX(Products!$C$2:$C$49,MATCH(C4854,Products!$A$2:$A$49,0))</f>
        <v>Grocery Staples</v>
      </c>
      <c r="H4854" s="33" t="n">
        <f aca="false">D4854*INDEX(Products!$E$2:$E$49,MATCH(C4854,Products!$A$2:$A$49,0))</f>
        <v>30240</v>
      </c>
      <c r="I4854" s="33" t="n">
        <f aca="false">D4854*INDEX(Products!$D$2:$D$49,MATCH(C4854,Products!$A$2:$A$49,0))*(1+INDEX(Assumptions!$B$16:$B$20,MATCH(B4854,Assumptions!$A$16:$A$20,0)))</f>
        <v>27613.44</v>
      </c>
      <c r="J4854" s="33" t="n">
        <f aca="false">H4854-I4854</f>
        <v>2626.56</v>
      </c>
      <c r="K4854" s="33" t="n">
        <f aca="false">IF(OR(E4854=0,E4854&gt;=7),0,D4854/(7-E4854)*E4854*INDEX(Products!$E$2:$E$49,MATCH(C4854,Products!$A$2:$A$49,0)))</f>
        <v>0</v>
      </c>
    </row>
    <row r="4855" customFormat="false" ht="15" hidden="false" customHeight="false" outlineLevel="0" collapsed="false">
      <c r="A4855" s="36" t="n">
        <v>46139</v>
      </c>
      <c r="B4855" s="24" t="s">
        <v>65</v>
      </c>
      <c r="C4855" s="24" t="s">
        <v>119</v>
      </c>
      <c r="D4855" s="33" t="n">
        <v>75</v>
      </c>
      <c r="E4855" s="24" t="n">
        <v>0</v>
      </c>
      <c r="F4855" s="37" t="n">
        <f aca="false">DATE(YEAR(A4855),MONTH(A4855),1)</f>
        <v>46113</v>
      </c>
      <c r="G4855" s="24" t="str">
        <f aca="false">INDEX(Products!$C$2:$C$49,MATCH(C4855,Products!$A$2:$A$49,0))</f>
        <v>Grocery Staples</v>
      </c>
      <c r="H4855" s="33" t="n">
        <f aca="false">D4855*INDEX(Products!$E$2:$E$49,MATCH(C4855,Products!$A$2:$A$49,0))</f>
        <v>31500</v>
      </c>
      <c r="I4855" s="33" t="n">
        <f aca="false">D4855*INDEX(Products!$D$2:$D$49,MATCH(C4855,Products!$A$2:$A$49,0))*(1+INDEX(Assumptions!$B$16:$B$20,MATCH(B4855,Assumptions!$A$16:$A$20,0)))</f>
        <v>28764</v>
      </c>
      <c r="J4855" s="33" t="n">
        <f aca="false">H4855-I4855</f>
        <v>2736</v>
      </c>
      <c r="K4855" s="33" t="n">
        <f aca="false">IF(OR(E4855=0,E4855&gt;=7),0,D4855/(7-E4855)*E4855*INDEX(Products!$E$2:$E$49,MATCH(C4855,Products!$A$2:$A$49,0)))</f>
        <v>0</v>
      </c>
    </row>
    <row r="4856" customFormat="false" ht="15" hidden="false" customHeight="false" outlineLevel="0" collapsed="false">
      <c r="A4856" s="36" t="n">
        <v>46146</v>
      </c>
      <c r="B4856" s="24" t="s">
        <v>65</v>
      </c>
      <c r="C4856" s="24" t="s">
        <v>119</v>
      </c>
      <c r="D4856" s="33" t="n">
        <v>92</v>
      </c>
      <c r="E4856" s="24" t="n">
        <v>0</v>
      </c>
      <c r="F4856" s="37" t="n">
        <f aca="false">DATE(YEAR(A4856),MONTH(A4856),1)</f>
        <v>46143</v>
      </c>
      <c r="G4856" s="24" t="str">
        <f aca="false">INDEX(Products!$C$2:$C$49,MATCH(C4856,Products!$A$2:$A$49,0))</f>
        <v>Grocery Staples</v>
      </c>
      <c r="H4856" s="33" t="n">
        <f aca="false">D4856*INDEX(Products!$E$2:$E$49,MATCH(C4856,Products!$A$2:$A$49,0))</f>
        <v>38640</v>
      </c>
      <c r="I4856" s="33" t="n">
        <f aca="false">D4856*INDEX(Products!$D$2:$D$49,MATCH(C4856,Products!$A$2:$A$49,0))*(1+INDEX(Assumptions!$B$16:$B$20,MATCH(B4856,Assumptions!$A$16:$A$20,0)))</f>
        <v>35283.84</v>
      </c>
      <c r="J4856" s="33" t="n">
        <f aca="false">H4856-I4856</f>
        <v>3356.16</v>
      </c>
      <c r="K4856" s="33" t="n">
        <f aca="false">IF(OR(E4856=0,E4856&gt;=7),0,D4856/(7-E4856)*E4856*INDEX(Products!$E$2:$E$49,MATCH(C4856,Products!$A$2:$A$49,0)))</f>
        <v>0</v>
      </c>
    </row>
    <row r="4857" customFormat="false" ht="15" hidden="false" customHeight="false" outlineLevel="0" collapsed="false">
      <c r="A4857" s="36" t="n">
        <v>46153</v>
      </c>
      <c r="B4857" s="24" t="s">
        <v>65</v>
      </c>
      <c r="C4857" s="24" t="s">
        <v>119</v>
      </c>
      <c r="D4857" s="33" t="n">
        <v>65</v>
      </c>
      <c r="E4857" s="24" t="n">
        <v>0</v>
      </c>
      <c r="F4857" s="37" t="n">
        <f aca="false">DATE(YEAR(A4857),MONTH(A4857),1)</f>
        <v>46143</v>
      </c>
      <c r="G4857" s="24" t="str">
        <f aca="false">INDEX(Products!$C$2:$C$49,MATCH(C4857,Products!$A$2:$A$49,0))</f>
        <v>Grocery Staples</v>
      </c>
      <c r="H4857" s="33" t="n">
        <f aca="false">D4857*INDEX(Products!$E$2:$E$49,MATCH(C4857,Products!$A$2:$A$49,0))</f>
        <v>27300</v>
      </c>
      <c r="I4857" s="33" t="n">
        <f aca="false">D4857*INDEX(Products!$D$2:$D$49,MATCH(C4857,Products!$A$2:$A$49,0))*(1+INDEX(Assumptions!$B$16:$B$20,MATCH(B4857,Assumptions!$A$16:$A$20,0)))</f>
        <v>24928.8</v>
      </c>
      <c r="J4857" s="33" t="n">
        <f aca="false">H4857-I4857</f>
        <v>2371.2</v>
      </c>
      <c r="K4857" s="33" t="n">
        <f aca="false">IF(OR(E4857=0,E4857&gt;=7),0,D4857/(7-E4857)*E4857*INDEX(Products!$E$2:$E$49,MATCH(C4857,Products!$A$2:$A$49,0)))</f>
        <v>0</v>
      </c>
    </row>
    <row r="4858" customFormat="false" ht="15" hidden="false" customHeight="false" outlineLevel="0" collapsed="false">
      <c r="A4858" s="36" t="n">
        <v>46160</v>
      </c>
      <c r="B4858" s="24" t="s">
        <v>65</v>
      </c>
      <c r="C4858" s="24" t="s">
        <v>119</v>
      </c>
      <c r="D4858" s="33" t="n">
        <v>92</v>
      </c>
      <c r="E4858" s="24" t="n">
        <v>0</v>
      </c>
      <c r="F4858" s="37" t="n">
        <f aca="false">DATE(YEAR(A4858),MONTH(A4858),1)</f>
        <v>46143</v>
      </c>
      <c r="G4858" s="24" t="str">
        <f aca="false">INDEX(Products!$C$2:$C$49,MATCH(C4858,Products!$A$2:$A$49,0))</f>
        <v>Grocery Staples</v>
      </c>
      <c r="H4858" s="33" t="n">
        <f aca="false">D4858*INDEX(Products!$E$2:$E$49,MATCH(C4858,Products!$A$2:$A$49,0))</f>
        <v>38640</v>
      </c>
      <c r="I4858" s="33" t="n">
        <f aca="false">D4858*INDEX(Products!$D$2:$D$49,MATCH(C4858,Products!$A$2:$A$49,0))*(1+INDEX(Assumptions!$B$16:$B$20,MATCH(B4858,Assumptions!$A$16:$A$20,0)))</f>
        <v>35283.84</v>
      </c>
      <c r="J4858" s="33" t="n">
        <f aca="false">H4858-I4858</f>
        <v>3356.16</v>
      </c>
      <c r="K4858" s="33" t="n">
        <f aca="false">IF(OR(E4858=0,E4858&gt;=7),0,D4858/(7-E4858)*E4858*INDEX(Products!$E$2:$E$49,MATCH(C4858,Products!$A$2:$A$49,0)))</f>
        <v>0</v>
      </c>
    </row>
    <row r="4859" customFormat="false" ht="15" hidden="false" customHeight="false" outlineLevel="0" collapsed="false">
      <c r="A4859" s="36" t="n">
        <v>46167</v>
      </c>
      <c r="B4859" s="24" t="s">
        <v>65</v>
      </c>
      <c r="C4859" s="24" t="s">
        <v>119</v>
      </c>
      <c r="D4859" s="33" t="n">
        <v>71</v>
      </c>
      <c r="E4859" s="24" t="n">
        <v>0</v>
      </c>
      <c r="F4859" s="37" t="n">
        <f aca="false">DATE(YEAR(A4859),MONTH(A4859),1)</f>
        <v>46143</v>
      </c>
      <c r="G4859" s="24" t="str">
        <f aca="false">INDEX(Products!$C$2:$C$49,MATCH(C4859,Products!$A$2:$A$49,0))</f>
        <v>Grocery Staples</v>
      </c>
      <c r="H4859" s="33" t="n">
        <f aca="false">D4859*INDEX(Products!$E$2:$E$49,MATCH(C4859,Products!$A$2:$A$49,0))</f>
        <v>29820</v>
      </c>
      <c r="I4859" s="33" t="n">
        <f aca="false">D4859*INDEX(Products!$D$2:$D$49,MATCH(C4859,Products!$A$2:$A$49,0))*(1+INDEX(Assumptions!$B$16:$B$20,MATCH(B4859,Assumptions!$A$16:$A$20,0)))</f>
        <v>27229.92</v>
      </c>
      <c r="J4859" s="33" t="n">
        <f aca="false">H4859-I4859</f>
        <v>2590.08</v>
      </c>
      <c r="K4859" s="33" t="n">
        <f aca="false">IF(OR(E4859=0,E4859&gt;=7),0,D4859/(7-E4859)*E4859*INDEX(Products!$E$2:$E$49,MATCH(C4859,Products!$A$2:$A$49,0)))</f>
        <v>0</v>
      </c>
    </row>
    <row r="4860" customFormat="false" ht="15" hidden="false" customHeight="false" outlineLevel="0" collapsed="false">
      <c r="A4860" s="36" t="n">
        <v>46174</v>
      </c>
      <c r="B4860" s="24" t="s">
        <v>65</v>
      </c>
      <c r="C4860" s="24" t="s">
        <v>119</v>
      </c>
      <c r="D4860" s="33" t="n">
        <v>68</v>
      </c>
      <c r="E4860" s="24" t="n">
        <v>0</v>
      </c>
      <c r="F4860" s="37" t="n">
        <f aca="false">DATE(YEAR(A4860),MONTH(A4860),1)</f>
        <v>46174</v>
      </c>
      <c r="G4860" s="24" t="str">
        <f aca="false">INDEX(Products!$C$2:$C$49,MATCH(C4860,Products!$A$2:$A$49,0))</f>
        <v>Grocery Staples</v>
      </c>
      <c r="H4860" s="33" t="n">
        <f aca="false">D4860*INDEX(Products!$E$2:$E$49,MATCH(C4860,Products!$A$2:$A$49,0))</f>
        <v>28560</v>
      </c>
      <c r="I4860" s="33" t="n">
        <f aca="false">D4860*INDEX(Products!$D$2:$D$49,MATCH(C4860,Products!$A$2:$A$49,0))*(1+INDEX(Assumptions!$B$16:$B$20,MATCH(B4860,Assumptions!$A$16:$A$20,0)))</f>
        <v>26079.36</v>
      </c>
      <c r="J4860" s="33" t="n">
        <f aca="false">H4860-I4860</f>
        <v>2480.64</v>
      </c>
      <c r="K4860" s="33" t="n">
        <f aca="false">IF(OR(E4860=0,E4860&gt;=7),0,D4860/(7-E4860)*E4860*INDEX(Products!$E$2:$E$49,MATCH(C4860,Products!$A$2:$A$49,0)))</f>
        <v>0</v>
      </c>
    </row>
    <row r="4861" customFormat="false" ht="15" hidden="false" customHeight="false" outlineLevel="0" collapsed="false">
      <c r="A4861" s="36" t="n">
        <v>46181</v>
      </c>
      <c r="B4861" s="24" t="s">
        <v>65</v>
      </c>
      <c r="C4861" s="24" t="s">
        <v>119</v>
      </c>
      <c r="D4861" s="33" t="n">
        <v>67</v>
      </c>
      <c r="E4861" s="24" t="n">
        <v>0</v>
      </c>
      <c r="F4861" s="37" t="n">
        <f aca="false">DATE(YEAR(A4861),MONTH(A4861),1)</f>
        <v>46174</v>
      </c>
      <c r="G4861" s="24" t="str">
        <f aca="false">INDEX(Products!$C$2:$C$49,MATCH(C4861,Products!$A$2:$A$49,0))</f>
        <v>Grocery Staples</v>
      </c>
      <c r="H4861" s="33" t="n">
        <f aca="false">D4861*INDEX(Products!$E$2:$E$49,MATCH(C4861,Products!$A$2:$A$49,0))</f>
        <v>28140</v>
      </c>
      <c r="I4861" s="33" t="n">
        <f aca="false">D4861*INDEX(Products!$D$2:$D$49,MATCH(C4861,Products!$A$2:$A$49,0))*(1+INDEX(Assumptions!$B$16:$B$20,MATCH(B4861,Assumptions!$A$16:$A$20,0)))</f>
        <v>25695.84</v>
      </c>
      <c r="J4861" s="33" t="n">
        <f aca="false">H4861-I4861</f>
        <v>2444.16</v>
      </c>
      <c r="K4861" s="33" t="n">
        <f aca="false">IF(OR(E4861=0,E4861&gt;=7),0,D4861/(7-E4861)*E4861*INDEX(Products!$E$2:$E$49,MATCH(C4861,Products!$A$2:$A$49,0)))</f>
        <v>0</v>
      </c>
    </row>
    <row r="4862" customFormat="false" ht="15" hidden="false" customHeight="false" outlineLevel="0" collapsed="false">
      <c r="A4862" s="36" t="n">
        <v>46188</v>
      </c>
      <c r="B4862" s="24" t="s">
        <v>65</v>
      </c>
      <c r="C4862" s="24" t="s">
        <v>119</v>
      </c>
      <c r="D4862" s="33" t="n">
        <v>64</v>
      </c>
      <c r="E4862" s="24" t="n">
        <v>0</v>
      </c>
      <c r="F4862" s="37" t="n">
        <f aca="false">DATE(YEAR(A4862),MONTH(A4862),1)</f>
        <v>46174</v>
      </c>
      <c r="G4862" s="24" t="str">
        <f aca="false">INDEX(Products!$C$2:$C$49,MATCH(C4862,Products!$A$2:$A$49,0))</f>
        <v>Grocery Staples</v>
      </c>
      <c r="H4862" s="33" t="n">
        <f aca="false">D4862*INDEX(Products!$E$2:$E$49,MATCH(C4862,Products!$A$2:$A$49,0))</f>
        <v>26880</v>
      </c>
      <c r="I4862" s="33" t="n">
        <f aca="false">D4862*INDEX(Products!$D$2:$D$49,MATCH(C4862,Products!$A$2:$A$49,0))*(1+INDEX(Assumptions!$B$16:$B$20,MATCH(B4862,Assumptions!$A$16:$A$20,0)))</f>
        <v>24545.28</v>
      </c>
      <c r="J4862" s="33" t="n">
        <f aca="false">H4862-I4862</f>
        <v>2334.72</v>
      </c>
      <c r="K4862" s="33" t="n">
        <f aca="false">IF(OR(E4862=0,E4862&gt;=7),0,D4862/(7-E4862)*E4862*INDEX(Products!$E$2:$E$49,MATCH(C4862,Products!$A$2:$A$49,0)))</f>
        <v>0</v>
      </c>
    </row>
    <row r="4863" customFormat="false" ht="15" hidden="false" customHeight="false" outlineLevel="0" collapsed="false">
      <c r="A4863" s="36" t="n">
        <v>46195</v>
      </c>
      <c r="B4863" s="24" t="s">
        <v>65</v>
      </c>
      <c r="C4863" s="24" t="s">
        <v>119</v>
      </c>
      <c r="D4863" s="33" t="n">
        <v>84</v>
      </c>
      <c r="E4863" s="24" t="n">
        <v>0</v>
      </c>
      <c r="F4863" s="37" t="n">
        <f aca="false">DATE(YEAR(A4863),MONTH(A4863),1)</f>
        <v>46174</v>
      </c>
      <c r="G4863" s="24" t="str">
        <f aca="false">INDEX(Products!$C$2:$C$49,MATCH(C4863,Products!$A$2:$A$49,0))</f>
        <v>Grocery Staples</v>
      </c>
      <c r="H4863" s="33" t="n">
        <f aca="false">D4863*INDEX(Products!$E$2:$E$49,MATCH(C4863,Products!$A$2:$A$49,0))</f>
        <v>35280</v>
      </c>
      <c r="I4863" s="33" t="n">
        <f aca="false">D4863*INDEX(Products!$D$2:$D$49,MATCH(C4863,Products!$A$2:$A$49,0))*(1+INDEX(Assumptions!$B$16:$B$20,MATCH(B4863,Assumptions!$A$16:$A$20,0)))</f>
        <v>32215.68</v>
      </c>
      <c r="J4863" s="33" t="n">
        <f aca="false">H4863-I4863</f>
        <v>3064.32</v>
      </c>
      <c r="K4863" s="33" t="n">
        <f aca="false">IF(OR(E4863=0,E4863&gt;=7),0,D4863/(7-E4863)*E4863*INDEX(Products!$E$2:$E$49,MATCH(C4863,Products!$A$2:$A$49,0)))</f>
        <v>0</v>
      </c>
    </row>
    <row r="4864" customFormat="false" ht="15" hidden="false" customHeight="false" outlineLevel="0" collapsed="false">
      <c r="A4864" s="36" t="n">
        <v>46202</v>
      </c>
      <c r="B4864" s="24" t="s">
        <v>65</v>
      </c>
      <c r="C4864" s="24" t="s">
        <v>119</v>
      </c>
      <c r="D4864" s="33" t="n">
        <v>75</v>
      </c>
      <c r="E4864" s="24" t="n">
        <v>0</v>
      </c>
      <c r="F4864" s="37" t="n">
        <f aca="false">DATE(YEAR(A4864),MONTH(A4864),1)</f>
        <v>46174</v>
      </c>
      <c r="G4864" s="24" t="str">
        <f aca="false">INDEX(Products!$C$2:$C$49,MATCH(C4864,Products!$A$2:$A$49,0))</f>
        <v>Grocery Staples</v>
      </c>
      <c r="H4864" s="33" t="n">
        <f aca="false">D4864*INDEX(Products!$E$2:$E$49,MATCH(C4864,Products!$A$2:$A$49,0))</f>
        <v>31500</v>
      </c>
      <c r="I4864" s="33" t="n">
        <f aca="false">D4864*INDEX(Products!$D$2:$D$49,MATCH(C4864,Products!$A$2:$A$49,0))*(1+INDEX(Assumptions!$B$16:$B$20,MATCH(B4864,Assumptions!$A$16:$A$20,0)))</f>
        <v>28764</v>
      </c>
      <c r="J4864" s="33" t="n">
        <f aca="false">H4864-I4864</f>
        <v>2736</v>
      </c>
      <c r="K4864" s="33" t="n">
        <f aca="false">IF(OR(E4864=0,E4864&gt;=7),0,D4864/(7-E4864)*E4864*INDEX(Products!$E$2:$E$49,MATCH(C4864,Products!$A$2:$A$49,0)))</f>
        <v>0</v>
      </c>
    </row>
    <row r="4865" customFormat="false" ht="15" hidden="false" customHeight="false" outlineLevel="0" collapsed="false">
      <c r="A4865" s="36" t="n">
        <v>46209</v>
      </c>
      <c r="B4865" s="24" t="s">
        <v>65</v>
      </c>
      <c r="C4865" s="24" t="s">
        <v>119</v>
      </c>
      <c r="D4865" s="33" t="n">
        <v>68</v>
      </c>
      <c r="E4865" s="24" t="n">
        <v>0</v>
      </c>
      <c r="F4865" s="37" t="n">
        <f aca="false">DATE(YEAR(A4865),MONTH(A4865),1)</f>
        <v>46204</v>
      </c>
      <c r="G4865" s="24" t="str">
        <f aca="false">INDEX(Products!$C$2:$C$49,MATCH(C4865,Products!$A$2:$A$49,0))</f>
        <v>Grocery Staples</v>
      </c>
      <c r="H4865" s="33" t="n">
        <f aca="false">D4865*INDEX(Products!$E$2:$E$49,MATCH(C4865,Products!$A$2:$A$49,0))</f>
        <v>28560</v>
      </c>
      <c r="I4865" s="33" t="n">
        <f aca="false">D4865*INDEX(Products!$D$2:$D$49,MATCH(C4865,Products!$A$2:$A$49,0))*(1+INDEX(Assumptions!$B$16:$B$20,MATCH(B4865,Assumptions!$A$16:$A$20,0)))</f>
        <v>26079.36</v>
      </c>
      <c r="J4865" s="33" t="n">
        <f aca="false">H4865-I4865</f>
        <v>2480.64</v>
      </c>
      <c r="K4865" s="33" t="n">
        <f aca="false">IF(OR(E4865=0,E4865&gt;=7),0,D4865/(7-E4865)*E4865*INDEX(Products!$E$2:$E$49,MATCH(C4865,Products!$A$2:$A$49,0)))</f>
        <v>0</v>
      </c>
    </row>
    <row r="4866" customFormat="false" ht="15" hidden="false" customHeight="false" outlineLevel="0" collapsed="false">
      <c r="A4866" s="36" t="n">
        <v>46216</v>
      </c>
      <c r="B4866" s="24" t="s">
        <v>65</v>
      </c>
      <c r="C4866" s="24" t="s">
        <v>119</v>
      </c>
      <c r="D4866" s="33" t="n">
        <v>64</v>
      </c>
      <c r="E4866" s="24" t="n">
        <v>4</v>
      </c>
      <c r="F4866" s="37" t="n">
        <f aca="false">DATE(YEAR(A4866),MONTH(A4866),1)</f>
        <v>46204</v>
      </c>
      <c r="G4866" s="24" t="str">
        <f aca="false">INDEX(Products!$C$2:$C$49,MATCH(C4866,Products!$A$2:$A$49,0))</f>
        <v>Grocery Staples</v>
      </c>
      <c r="H4866" s="33" t="n">
        <f aca="false">D4866*INDEX(Products!$E$2:$E$49,MATCH(C4866,Products!$A$2:$A$49,0))</f>
        <v>26880</v>
      </c>
      <c r="I4866" s="33" t="n">
        <f aca="false">D4866*INDEX(Products!$D$2:$D$49,MATCH(C4866,Products!$A$2:$A$49,0))*(1+INDEX(Assumptions!$B$16:$B$20,MATCH(B4866,Assumptions!$A$16:$A$20,0)))</f>
        <v>24545.28</v>
      </c>
      <c r="J4866" s="33" t="n">
        <f aca="false">H4866-I4866</f>
        <v>2334.72</v>
      </c>
      <c r="K4866" s="33" t="n">
        <f aca="false">IF(OR(E4866=0,E4866&gt;=7),0,D4866/(7-E4866)*E4866*INDEX(Products!$E$2:$E$49,MATCH(C4866,Products!$A$2:$A$49,0)))</f>
        <v>35840</v>
      </c>
    </row>
    <row r="4867" customFormat="false" ht="15" hidden="false" customHeight="false" outlineLevel="0" collapsed="false">
      <c r="A4867" s="36" t="n">
        <v>46223</v>
      </c>
      <c r="B4867" s="24" t="s">
        <v>65</v>
      </c>
      <c r="C4867" s="24" t="s">
        <v>119</v>
      </c>
      <c r="D4867" s="33" t="n">
        <v>92</v>
      </c>
      <c r="E4867" s="24" t="n">
        <v>0</v>
      </c>
      <c r="F4867" s="37" t="n">
        <f aca="false">DATE(YEAR(A4867),MONTH(A4867),1)</f>
        <v>46204</v>
      </c>
      <c r="G4867" s="24" t="str">
        <f aca="false">INDEX(Products!$C$2:$C$49,MATCH(C4867,Products!$A$2:$A$49,0))</f>
        <v>Grocery Staples</v>
      </c>
      <c r="H4867" s="33" t="n">
        <f aca="false">D4867*INDEX(Products!$E$2:$E$49,MATCH(C4867,Products!$A$2:$A$49,0))</f>
        <v>38640</v>
      </c>
      <c r="I4867" s="33" t="n">
        <f aca="false">D4867*INDEX(Products!$D$2:$D$49,MATCH(C4867,Products!$A$2:$A$49,0))*(1+INDEX(Assumptions!$B$16:$B$20,MATCH(B4867,Assumptions!$A$16:$A$20,0)))</f>
        <v>35283.84</v>
      </c>
      <c r="J4867" s="33" t="n">
        <f aca="false">H4867-I4867</f>
        <v>3356.16</v>
      </c>
      <c r="K4867" s="33" t="n">
        <f aca="false">IF(OR(E4867=0,E4867&gt;=7),0,D4867/(7-E4867)*E4867*INDEX(Products!$E$2:$E$49,MATCH(C4867,Products!$A$2:$A$49,0)))</f>
        <v>0</v>
      </c>
    </row>
    <row r="4868" customFormat="false" ht="15" hidden="false" customHeight="false" outlineLevel="0" collapsed="false">
      <c r="A4868" s="36" t="n">
        <v>46230</v>
      </c>
      <c r="B4868" s="24" t="s">
        <v>65</v>
      </c>
      <c r="C4868" s="24" t="s">
        <v>119</v>
      </c>
      <c r="D4868" s="33" t="n">
        <v>29</v>
      </c>
      <c r="E4868" s="24" t="n">
        <v>4</v>
      </c>
      <c r="F4868" s="37" t="n">
        <f aca="false">DATE(YEAR(A4868),MONTH(A4868),1)</f>
        <v>46204</v>
      </c>
      <c r="G4868" s="24" t="str">
        <f aca="false">INDEX(Products!$C$2:$C$49,MATCH(C4868,Products!$A$2:$A$49,0))</f>
        <v>Grocery Staples</v>
      </c>
      <c r="H4868" s="33" t="n">
        <f aca="false">D4868*INDEX(Products!$E$2:$E$49,MATCH(C4868,Products!$A$2:$A$49,0))</f>
        <v>12180</v>
      </c>
      <c r="I4868" s="33" t="n">
        <f aca="false">D4868*INDEX(Products!$D$2:$D$49,MATCH(C4868,Products!$A$2:$A$49,0))*(1+INDEX(Assumptions!$B$16:$B$20,MATCH(B4868,Assumptions!$A$16:$A$20,0)))</f>
        <v>11122.08</v>
      </c>
      <c r="J4868" s="33" t="n">
        <f aca="false">H4868-I4868</f>
        <v>1057.92</v>
      </c>
      <c r="K4868" s="33" t="n">
        <f aca="false">IF(OR(E4868=0,E4868&gt;=7),0,D4868/(7-E4868)*E4868*INDEX(Products!$E$2:$E$49,MATCH(C4868,Products!$A$2:$A$49,0)))</f>
        <v>16240</v>
      </c>
    </row>
    <row r="4869" customFormat="false" ht="15" hidden="false" customHeight="false" outlineLevel="0" collapsed="false">
      <c r="A4869" s="36" t="n">
        <v>46237</v>
      </c>
      <c r="B4869" s="24" t="s">
        <v>65</v>
      </c>
      <c r="C4869" s="24" t="s">
        <v>119</v>
      </c>
      <c r="D4869" s="33" t="n">
        <v>67</v>
      </c>
      <c r="E4869" s="24" t="n">
        <v>0</v>
      </c>
      <c r="F4869" s="37" t="n">
        <f aca="false">DATE(YEAR(A4869),MONTH(A4869),1)</f>
        <v>46235</v>
      </c>
      <c r="G4869" s="24" t="str">
        <f aca="false">INDEX(Products!$C$2:$C$49,MATCH(C4869,Products!$A$2:$A$49,0))</f>
        <v>Grocery Staples</v>
      </c>
      <c r="H4869" s="33" t="n">
        <f aca="false">D4869*INDEX(Products!$E$2:$E$49,MATCH(C4869,Products!$A$2:$A$49,0))</f>
        <v>28140</v>
      </c>
      <c r="I4869" s="33" t="n">
        <f aca="false">D4869*INDEX(Products!$D$2:$D$49,MATCH(C4869,Products!$A$2:$A$49,0))*(1+INDEX(Assumptions!$B$16:$B$20,MATCH(B4869,Assumptions!$A$16:$A$20,0)))</f>
        <v>25695.84</v>
      </c>
      <c r="J4869" s="33" t="n">
        <f aca="false">H4869-I4869</f>
        <v>2444.16</v>
      </c>
      <c r="K4869" s="33" t="n">
        <f aca="false">IF(OR(E4869=0,E4869&gt;=7),0,D4869/(7-E4869)*E4869*INDEX(Products!$E$2:$E$49,MATCH(C4869,Products!$A$2:$A$49,0)))</f>
        <v>0</v>
      </c>
    </row>
    <row r="4870" customFormat="false" ht="15" hidden="false" customHeight="false" outlineLevel="0" collapsed="false">
      <c r="A4870" s="36" t="n">
        <v>46244</v>
      </c>
      <c r="B4870" s="24" t="s">
        <v>65</v>
      </c>
      <c r="C4870" s="24" t="s">
        <v>119</v>
      </c>
      <c r="D4870" s="33" t="n">
        <v>90</v>
      </c>
      <c r="E4870" s="24" t="n">
        <v>0</v>
      </c>
      <c r="F4870" s="37" t="n">
        <f aca="false">DATE(YEAR(A4870),MONTH(A4870),1)</f>
        <v>46235</v>
      </c>
      <c r="G4870" s="24" t="str">
        <f aca="false">INDEX(Products!$C$2:$C$49,MATCH(C4870,Products!$A$2:$A$49,0))</f>
        <v>Grocery Staples</v>
      </c>
      <c r="H4870" s="33" t="n">
        <f aca="false">D4870*INDEX(Products!$E$2:$E$49,MATCH(C4870,Products!$A$2:$A$49,0))</f>
        <v>37800</v>
      </c>
      <c r="I4870" s="33" t="n">
        <f aca="false">D4870*INDEX(Products!$D$2:$D$49,MATCH(C4870,Products!$A$2:$A$49,0))*(1+INDEX(Assumptions!$B$16:$B$20,MATCH(B4870,Assumptions!$A$16:$A$20,0)))</f>
        <v>34516.8</v>
      </c>
      <c r="J4870" s="33" t="n">
        <f aca="false">H4870-I4870</f>
        <v>3283.2</v>
      </c>
      <c r="K4870" s="33" t="n">
        <f aca="false">IF(OR(E4870=0,E4870&gt;=7),0,D4870/(7-E4870)*E4870*INDEX(Products!$E$2:$E$49,MATCH(C4870,Products!$A$2:$A$49,0)))</f>
        <v>0</v>
      </c>
    </row>
    <row r="4871" customFormat="false" ht="15" hidden="false" customHeight="false" outlineLevel="0" collapsed="false">
      <c r="A4871" s="36" t="n">
        <v>46251</v>
      </c>
      <c r="B4871" s="24" t="s">
        <v>65</v>
      </c>
      <c r="C4871" s="24" t="s">
        <v>119</v>
      </c>
      <c r="D4871" s="33" t="n">
        <v>68</v>
      </c>
      <c r="E4871" s="24" t="n">
        <v>0</v>
      </c>
      <c r="F4871" s="37" t="n">
        <f aca="false">DATE(YEAR(A4871),MONTH(A4871),1)</f>
        <v>46235</v>
      </c>
      <c r="G4871" s="24" t="str">
        <f aca="false">INDEX(Products!$C$2:$C$49,MATCH(C4871,Products!$A$2:$A$49,0))</f>
        <v>Grocery Staples</v>
      </c>
      <c r="H4871" s="33" t="n">
        <f aca="false">D4871*INDEX(Products!$E$2:$E$49,MATCH(C4871,Products!$A$2:$A$49,0))</f>
        <v>28560</v>
      </c>
      <c r="I4871" s="33" t="n">
        <f aca="false">D4871*INDEX(Products!$D$2:$D$49,MATCH(C4871,Products!$A$2:$A$49,0))*(1+INDEX(Assumptions!$B$16:$B$20,MATCH(B4871,Assumptions!$A$16:$A$20,0)))</f>
        <v>26079.36</v>
      </c>
      <c r="J4871" s="33" t="n">
        <f aca="false">H4871-I4871</f>
        <v>2480.64</v>
      </c>
      <c r="K4871" s="33" t="n">
        <f aca="false">IF(OR(E4871=0,E4871&gt;=7),0,D4871/(7-E4871)*E4871*INDEX(Products!$E$2:$E$49,MATCH(C4871,Products!$A$2:$A$49,0)))</f>
        <v>0</v>
      </c>
    </row>
    <row r="4872" customFormat="false" ht="15" hidden="false" customHeight="false" outlineLevel="0" collapsed="false">
      <c r="A4872" s="36" t="n">
        <v>46258</v>
      </c>
      <c r="B4872" s="24" t="s">
        <v>65</v>
      </c>
      <c r="C4872" s="24" t="s">
        <v>119</v>
      </c>
      <c r="D4872" s="33" t="n">
        <v>90</v>
      </c>
      <c r="E4872" s="24" t="n">
        <v>0</v>
      </c>
      <c r="F4872" s="37" t="n">
        <f aca="false">DATE(YEAR(A4872),MONTH(A4872),1)</f>
        <v>46235</v>
      </c>
      <c r="G4872" s="24" t="str">
        <f aca="false">INDEX(Products!$C$2:$C$49,MATCH(C4872,Products!$A$2:$A$49,0))</f>
        <v>Grocery Staples</v>
      </c>
      <c r="H4872" s="33" t="n">
        <f aca="false">D4872*INDEX(Products!$E$2:$E$49,MATCH(C4872,Products!$A$2:$A$49,0))</f>
        <v>37800</v>
      </c>
      <c r="I4872" s="33" t="n">
        <f aca="false">D4872*INDEX(Products!$D$2:$D$49,MATCH(C4872,Products!$A$2:$A$49,0))*(1+INDEX(Assumptions!$B$16:$B$20,MATCH(B4872,Assumptions!$A$16:$A$20,0)))</f>
        <v>34516.8</v>
      </c>
      <c r="J4872" s="33" t="n">
        <f aca="false">H4872-I4872</f>
        <v>3283.2</v>
      </c>
      <c r="K4872" s="33" t="n">
        <f aca="false">IF(OR(E4872=0,E4872&gt;=7),0,D4872/(7-E4872)*E4872*INDEX(Products!$E$2:$E$49,MATCH(C4872,Products!$A$2:$A$49,0)))</f>
        <v>0</v>
      </c>
    </row>
    <row r="4873" customFormat="false" ht="15" hidden="false" customHeight="false" outlineLevel="0" collapsed="false">
      <c r="A4873" s="36" t="n">
        <v>46265</v>
      </c>
      <c r="B4873" s="24" t="s">
        <v>65</v>
      </c>
      <c r="C4873" s="24" t="s">
        <v>119</v>
      </c>
      <c r="D4873" s="33" t="n">
        <v>69</v>
      </c>
      <c r="E4873" s="24" t="n">
        <v>0</v>
      </c>
      <c r="F4873" s="37" t="n">
        <f aca="false">DATE(YEAR(A4873),MONTH(A4873),1)</f>
        <v>46235</v>
      </c>
      <c r="G4873" s="24" t="str">
        <f aca="false">INDEX(Products!$C$2:$C$49,MATCH(C4873,Products!$A$2:$A$49,0))</f>
        <v>Grocery Staples</v>
      </c>
      <c r="H4873" s="33" t="n">
        <f aca="false">D4873*INDEX(Products!$E$2:$E$49,MATCH(C4873,Products!$A$2:$A$49,0))</f>
        <v>28980</v>
      </c>
      <c r="I4873" s="33" t="n">
        <f aca="false">D4873*INDEX(Products!$D$2:$D$49,MATCH(C4873,Products!$A$2:$A$49,0))*(1+INDEX(Assumptions!$B$16:$B$20,MATCH(B4873,Assumptions!$A$16:$A$20,0)))</f>
        <v>26462.88</v>
      </c>
      <c r="J4873" s="33" t="n">
        <f aca="false">H4873-I4873</f>
        <v>2517.12</v>
      </c>
      <c r="K4873" s="33" t="n">
        <f aca="false">IF(OR(E4873=0,E4873&gt;=7),0,D4873/(7-E4873)*E4873*INDEX(Products!$E$2:$E$49,MATCH(C4873,Products!$A$2:$A$49,0)))</f>
        <v>0</v>
      </c>
    </row>
    <row r="4874" customFormat="false" ht="15" hidden="false" customHeight="false" outlineLevel="0" collapsed="false">
      <c r="A4874" s="36" t="n">
        <v>46272</v>
      </c>
      <c r="B4874" s="24" t="s">
        <v>65</v>
      </c>
      <c r="C4874" s="24" t="s">
        <v>119</v>
      </c>
      <c r="D4874" s="33" t="n">
        <v>76</v>
      </c>
      <c r="E4874" s="24" t="n">
        <v>0</v>
      </c>
      <c r="F4874" s="37" t="n">
        <f aca="false">DATE(YEAR(A4874),MONTH(A4874),1)</f>
        <v>46266</v>
      </c>
      <c r="G4874" s="24" t="str">
        <f aca="false">INDEX(Products!$C$2:$C$49,MATCH(C4874,Products!$A$2:$A$49,0))</f>
        <v>Grocery Staples</v>
      </c>
      <c r="H4874" s="33" t="n">
        <f aca="false">D4874*INDEX(Products!$E$2:$E$49,MATCH(C4874,Products!$A$2:$A$49,0))</f>
        <v>31920</v>
      </c>
      <c r="I4874" s="33" t="n">
        <f aca="false">D4874*INDEX(Products!$D$2:$D$49,MATCH(C4874,Products!$A$2:$A$49,0))*(1+INDEX(Assumptions!$B$16:$B$20,MATCH(B4874,Assumptions!$A$16:$A$20,0)))</f>
        <v>29147.52</v>
      </c>
      <c r="J4874" s="33" t="n">
        <f aca="false">H4874-I4874</f>
        <v>2772.48</v>
      </c>
      <c r="K4874" s="33" t="n">
        <f aca="false">IF(OR(E4874=0,E4874&gt;=7),0,D4874/(7-E4874)*E4874*INDEX(Products!$E$2:$E$49,MATCH(C4874,Products!$A$2:$A$49,0)))</f>
        <v>0</v>
      </c>
    </row>
    <row r="4875" customFormat="false" ht="15" hidden="false" customHeight="false" outlineLevel="0" collapsed="false">
      <c r="A4875" s="36" t="n">
        <v>46279</v>
      </c>
      <c r="B4875" s="24" t="s">
        <v>65</v>
      </c>
      <c r="C4875" s="24" t="s">
        <v>119</v>
      </c>
      <c r="D4875" s="33" t="n">
        <v>74</v>
      </c>
      <c r="E4875" s="24" t="n">
        <v>0</v>
      </c>
      <c r="F4875" s="37" t="n">
        <f aca="false">DATE(YEAR(A4875),MONTH(A4875),1)</f>
        <v>46266</v>
      </c>
      <c r="G4875" s="24" t="str">
        <f aca="false">INDEX(Products!$C$2:$C$49,MATCH(C4875,Products!$A$2:$A$49,0))</f>
        <v>Grocery Staples</v>
      </c>
      <c r="H4875" s="33" t="n">
        <f aca="false">D4875*INDEX(Products!$E$2:$E$49,MATCH(C4875,Products!$A$2:$A$49,0))</f>
        <v>31080</v>
      </c>
      <c r="I4875" s="33" t="n">
        <f aca="false">D4875*INDEX(Products!$D$2:$D$49,MATCH(C4875,Products!$A$2:$A$49,0))*(1+INDEX(Assumptions!$B$16:$B$20,MATCH(B4875,Assumptions!$A$16:$A$20,0)))</f>
        <v>28380.48</v>
      </c>
      <c r="J4875" s="33" t="n">
        <f aca="false">H4875-I4875</f>
        <v>2699.52</v>
      </c>
      <c r="K4875" s="33" t="n">
        <f aca="false">IF(OR(E4875=0,E4875&gt;=7),0,D4875/(7-E4875)*E4875*INDEX(Products!$E$2:$E$49,MATCH(C4875,Products!$A$2:$A$49,0)))</f>
        <v>0</v>
      </c>
    </row>
    <row r="4876" customFormat="false" ht="15" hidden="false" customHeight="false" outlineLevel="0" collapsed="false">
      <c r="A4876" s="36" t="n">
        <v>46286</v>
      </c>
      <c r="B4876" s="24" t="s">
        <v>65</v>
      </c>
      <c r="C4876" s="24" t="s">
        <v>119</v>
      </c>
      <c r="D4876" s="33" t="n">
        <v>106</v>
      </c>
      <c r="E4876" s="24" t="n">
        <v>0</v>
      </c>
      <c r="F4876" s="37" t="n">
        <f aca="false">DATE(YEAR(A4876),MONTH(A4876),1)</f>
        <v>46266</v>
      </c>
      <c r="G4876" s="24" t="str">
        <f aca="false">INDEX(Products!$C$2:$C$49,MATCH(C4876,Products!$A$2:$A$49,0))</f>
        <v>Grocery Staples</v>
      </c>
      <c r="H4876" s="33" t="n">
        <f aca="false">D4876*INDEX(Products!$E$2:$E$49,MATCH(C4876,Products!$A$2:$A$49,0))</f>
        <v>44520</v>
      </c>
      <c r="I4876" s="33" t="n">
        <f aca="false">D4876*INDEX(Products!$D$2:$D$49,MATCH(C4876,Products!$A$2:$A$49,0))*(1+INDEX(Assumptions!$B$16:$B$20,MATCH(B4876,Assumptions!$A$16:$A$20,0)))</f>
        <v>40653.12</v>
      </c>
      <c r="J4876" s="33" t="n">
        <f aca="false">H4876-I4876</f>
        <v>3866.88</v>
      </c>
      <c r="K4876" s="33" t="n">
        <f aca="false">IF(OR(E4876=0,E4876&gt;=7),0,D4876/(7-E4876)*E4876*INDEX(Products!$E$2:$E$49,MATCH(C4876,Products!$A$2:$A$49,0)))</f>
        <v>0</v>
      </c>
    </row>
    <row r="4877" customFormat="false" ht="15" hidden="false" customHeight="false" outlineLevel="0" collapsed="false">
      <c r="A4877" s="36" t="n">
        <v>46118</v>
      </c>
      <c r="B4877" s="24" t="s">
        <v>65</v>
      </c>
      <c r="C4877" s="24" t="s">
        <v>121</v>
      </c>
      <c r="D4877" s="33" t="n">
        <v>44</v>
      </c>
      <c r="E4877" s="24" t="n">
        <v>1</v>
      </c>
      <c r="F4877" s="37" t="n">
        <f aca="false">DATE(YEAR(A4877),MONTH(A4877),1)</f>
        <v>46113</v>
      </c>
      <c r="G4877" s="24" t="str">
        <f aca="false">INDEX(Products!$C$2:$C$49,MATCH(C4877,Products!$A$2:$A$49,0))</f>
        <v>Grocery Staples</v>
      </c>
      <c r="H4877" s="33" t="n">
        <f aca="false">D4877*INDEX(Products!$E$2:$E$49,MATCH(C4877,Products!$A$2:$A$49,0))</f>
        <v>8360</v>
      </c>
      <c r="I4877" s="33" t="n">
        <f aca="false">D4877*INDEX(Products!$D$2:$D$49,MATCH(C4877,Products!$A$2:$A$49,0))*(1+INDEX(Assumptions!$B$16:$B$20,MATCH(B4877,Assumptions!$A$16:$A$20,0)))</f>
        <v>7225.68</v>
      </c>
      <c r="J4877" s="33" t="n">
        <f aca="false">H4877-I4877</f>
        <v>1134.32</v>
      </c>
      <c r="K4877" s="33" t="n">
        <f aca="false">IF(OR(E4877=0,E4877&gt;=7),0,D4877/(7-E4877)*E4877*INDEX(Products!$E$2:$E$49,MATCH(C4877,Products!$A$2:$A$49,0)))</f>
        <v>1393.33333333333</v>
      </c>
    </row>
    <row r="4878" customFormat="false" ht="15" hidden="false" customHeight="false" outlineLevel="0" collapsed="false">
      <c r="A4878" s="36" t="n">
        <v>46125</v>
      </c>
      <c r="B4878" s="24" t="s">
        <v>65</v>
      </c>
      <c r="C4878" s="24" t="s">
        <v>121</v>
      </c>
      <c r="D4878" s="33" t="n">
        <v>24</v>
      </c>
      <c r="E4878" s="24" t="n">
        <v>5</v>
      </c>
      <c r="F4878" s="37" t="n">
        <f aca="false">DATE(YEAR(A4878),MONTH(A4878),1)</f>
        <v>46113</v>
      </c>
      <c r="G4878" s="24" t="str">
        <f aca="false">INDEX(Products!$C$2:$C$49,MATCH(C4878,Products!$A$2:$A$49,0))</f>
        <v>Grocery Staples</v>
      </c>
      <c r="H4878" s="33" t="n">
        <f aca="false">D4878*INDEX(Products!$E$2:$E$49,MATCH(C4878,Products!$A$2:$A$49,0))</f>
        <v>4560</v>
      </c>
      <c r="I4878" s="33" t="n">
        <f aca="false">D4878*INDEX(Products!$D$2:$D$49,MATCH(C4878,Products!$A$2:$A$49,0))*(1+INDEX(Assumptions!$B$16:$B$20,MATCH(B4878,Assumptions!$A$16:$A$20,0)))</f>
        <v>3941.28</v>
      </c>
      <c r="J4878" s="33" t="n">
        <f aca="false">H4878-I4878</f>
        <v>618.72</v>
      </c>
      <c r="K4878" s="33" t="n">
        <f aca="false">IF(OR(E4878=0,E4878&gt;=7),0,D4878/(7-E4878)*E4878*INDEX(Products!$E$2:$E$49,MATCH(C4878,Products!$A$2:$A$49,0)))</f>
        <v>11400</v>
      </c>
    </row>
    <row r="4879" customFormat="false" ht="15" hidden="false" customHeight="false" outlineLevel="0" collapsed="false">
      <c r="A4879" s="36" t="n">
        <v>46132</v>
      </c>
      <c r="B4879" s="24" t="s">
        <v>65</v>
      </c>
      <c r="C4879" s="24" t="s">
        <v>121</v>
      </c>
      <c r="D4879" s="33" t="n">
        <v>68</v>
      </c>
      <c r="E4879" s="24" t="n">
        <v>0</v>
      </c>
      <c r="F4879" s="37" t="n">
        <f aca="false">DATE(YEAR(A4879),MONTH(A4879),1)</f>
        <v>46113</v>
      </c>
      <c r="G4879" s="24" t="str">
        <f aca="false">INDEX(Products!$C$2:$C$49,MATCH(C4879,Products!$A$2:$A$49,0))</f>
        <v>Grocery Staples</v>
      </c>
      <c r="H4879" s="33" t="n">
        <f aca="false">D4879*INDEX(Products!$E$2:$E$49,MATCH(C4879,Products!$A$2:$A$49,0))</f>
        <v>12920</v>
      </c>
      <c r="I4879" s="33" t="n">
        <f aca="false">D4879*INDEX(Products!$D$2:$D$49,MATCH(C4879,Products!$A$2:$A$49,0))*(1+INDEX(Assumptions!$B$16:$B$20,MATCH(B4879,Assumptions!$A$16:$A$20,0)))</f>
        <v>11166.96</v>
      </c>
      <c r="J4879" s="33" t="n">
        <f aca="false">H4879-I4879</f>
        <v>1753.04</v>
      </c>
      <c r="K4879" s="33" t="n">
        <f aca="false">IF(OR(E4879=0,E4879&gt;=7),0,D4879/(7-E4879)*E4879*INDEX(Products!$E$2:$E$49,MATCH(C4879,Products!$A$2:$A$49,0)))</f>
        <v>0</v>
      </c>
    </row>
    <row r="4880" customFormat="false" ht="15" hidden="false" customHeight="false" outlineLevel="0" collapsed="false">
      <c r="A4880" s="36" t="n">
        <v>46139</v>
      </c>
      <c r="B4880" s="24" t="s">
        <v>65</v>
      </c>
      <c r="C4880" s="24" t="s">
        <v>121</v>
      </c>
      <c r="D4880" s="33" t="n">
        <v>49</v>
      </c>
      <c r="E4880" s="24" t="n">
        <v>0</v>
      </c>
      <c r="F4880" s="37" t="n">
        <f aca="false">DATE(YEAR(A4880),MONTH(A4880),1)</f>
        <v>46113</v>
      </c>
      <c r="G4880" s="24" t="str">
        <f aca="false">INDEX(Products!$C$2:$C$49,MATCH(C4880,Products!$A$2:$A$49,0))</f>
        <v>Grocery Staples</v>
      </c>
      <c r="H4880" s="33" t="n">
        <f aca="false">D4880*INDEX(Products!$E$2:$E$49,MATCH(C4880,Products!$A$2:$A$49,0))</f>
        <v>9310</v>
      </c>
      <c r="I4880" s="33" t="n">
        <f aca="false">D4880*INDEX(Products!$D$2:$D$49,MATCH(C4880,Products!$A$2:$A$49,0))*(1+INDEX(Assumptions!$B$16:$B$20,MATCH(B4880,Assumptions!$A$16:$A$20,0)))</f>
        <v>8046.78</v>
      </c>
      <c r="J4880" s="33" t="n">
        <f aca="false">H4880-I4880</f>
        <v>1263.22</v>
      </c>
      <c r="K4880" s="33" t="n">
        <f aca="false">IF(OR(E4880=0,E4880&gt;=7),0,D4880/(7-E4880)*E4880*INDEX(Products!$E$2:$E$49,MATCH(C4880,Products!$A$2:$A$49,0)))</f>
        <v>0</v>
      </c>
    </row>
    <row r="4881" customFormat="false" ht="15" hidden="false" customHeight="false" outlineLevel="0" collapsed="false">
      <c r="A4881" s="36" t="n">
        <v>46146</v>
      </c>
      <c r="B4881" s="24" t="s">
        <v>65</v>
      </c>
      <c r="C4881" s="24" t="s">
        <v>121</v>
      </c>
      <c r="D4881" s="33" t="n">
        <v>55</v>
      </c>
      <c r="E4881" s="24" t="n">
        <v>0</v>
      </c>
      <c r="F4881" s="37" t="n">
        <f aca="false">DATE(YEAR(A4881),MONTH(A4881),1)</f>
        <v>46143</v>
      </c>
      <c r="G4881" s="24" t="str">
        <f aca="false">INDEX(Products!$C$2:$C$49,MATCH(C4881,Products!$A$2:$A$49,0))</f>
        <v>Grocery Staples</v>
      </c>
      <c r="H4881" s="33" t="n">
        <f aca="false">D4881*INDEX(Products!$E$2:$E$49,MATCH(C4881,Products!$A$2:$A$49,0))</f>
        <v>10450</v>
      </c>
      <c r="I4881" s="33" t="n">
        <f aca="false">D4881*INDEX(Products!$D$2:$D$49,MATCH(C4881,Products!$A$2:$A$49,0))*(1+INDEX(Assumptions!$B$16:$B$20,MATCH(B4881,Assumptions!$A$16:$A$20,0)))</f>
        <v>9032.1</v>
      </c>
      <c r="J4881" s="33" t="n">
        <f aca="false">H4881-I4881</f>
        <v>1417.9</v>
      </c>
      <c r="K4881" s="33" t="n">
        <f aca="false">IF(OR(E4881=0,E4881&gt;=7),0,D4881/(7-E4881)*E4881*INDEX(Products!$E$2:$E$49,MATCH(C4881,Products!$A$2:$A$49,0)))</f>
        <v>0</v>
      </c>
    </row>
    <row r="4882" customFormat="false" ht="15" hidden="false" customHeight="false" outlineLevel="0" collapsed="false">
      <c r="A4882" s="36" t="n">
        <v>46153</v>
      </c>
      <c r="B4882" s="24" t="s">
        <v>65</v>
      </c>
      <c r="C4882" s="24" t="s">
        <v>121</v>
      </c>
      <c r="D4882" s="33" t="n">
        <v>63</v>
      </c>
      <c r="E4882" s="24" t="n">
        <v>0</v>
      </c>
      <c r="F4882" s="37" t="n">
        <f aca="false">DATE(YEAR(A4882),MONTH(A4882),1)</f>
        <v>46143</v>
      </c>
      <c r="G4882" s="24" t="str">
        <f aca="false">INDEX(Products!$C$2:$C$49,MATCH(C4882,Products!$A$2:$A$49,0))</f>
        <v>Grocery Staples</v>
      </c>
      <c r="H4882" s="33" t="n">
        <f aca="false">D4882*INDEX(Products!$E$2:$E$49,MATCH(C4882,Products!$A$2:$A$49,0))</f>
        <v>11970</v>
      </c>
      <c r="I4882" s="33" t="n">
        <f aca="false">D4882*INDEX(Products!$D$2:$D$49,MATCH(C4882,Products!$A$2:$A$49,0))*(1+INDEX(Assumptions!$B$16:$B$20,MATCH(B4882,Assumptions!$A$16:$A$20,0)))</f>
        <v>10345.86</v>
      </c>
      <c r="J4882" s="33" t="n">
        <f aca="false">H4882-I4882</f>
        <v>1624.14</v>
      </c>
      <c r="K4882" s="33" t="n">
        <f aca="false">IF(OR(E4882=0,E4882&gt;=7),0,D4882/(7-E4882)*E4882*INDEX(Products!$E$2:$E$49,MATCH(C4882,Products!$A$2:$A$49,0)))</f>
        <v>0</v>
      </c>
    </row>
    <row r="4883" customFormat="false" ht="15" hidden="false" customHeight="false" outlineLevel="0" collapsed="false">
      <c r="A4883" s="36" t="n">
        <v>46160</v>
      </c>
      <c r="B4883" s="24" t="s">
        <v>65</v>
      </c>
      <c r="C4883" s="24" t="s">
        <v>121</v>
      </c>
      <c r="D4883" s="33" t="n">
        <v>54</v>
      </c>
      <c r="E4883" s="24" t="n">
        <v>0</v>
      </c>
      <c r="F4883" s="37" t="n">
        <f aca="false">DATE(YEAR(A4883),MONTH(A4883),1)</f>
        <v>46143</v>
      </c>
      <c r="G4883" s="24" t="str">
        <f aca="false">INDEX(Products!$C$2:$C$49,MATCH(C4883,Products!$A$2:$A$49,0))</f>
        <v>Grocery Staples</v>
      </c>
      <c r="H4883" s="33" t="n">
        <f aca="false">D4883*INDEX(Products!$E$2:$E$49,MATCH(C4883,Products!$A$2:$A$49,0))</f>
        <v>10260</v>
      </c>
      <c r="I4883" s="33" t="n">
        <f aca="false">D4883*INDEX(Products!$D$2:$D$49,MATCH(C4883,Products!$A$2:$A$49,0))*(1+INDEX(Assumptions!$B$16:$B$20,MATCH(B4883,Assumptions!$A$16:$A$20,0)))</f>
        <v>8867.88</v>
      </c>
      <c r="J4883" s="33" t="n">
        <f aca="false">H4883-I4883</f>
        <v>1392.12</v>
      </c>
      <c r="K4883" s="33" t="n">
        <f aca="false">IF(OR(E4883=0,E4883&gt;=7),0,D4883/(7-E4883)*E4883*INDEX(Products!$E$2:$E$49,MATCH(C4883,Products!$A$2:$A$49,0)))</f>
        <v>0</v>
      </c>
    </row>
    <row r="4884" customFormat="false" ht="15" hidden="false" customHeight="false" outlineLevel="0" collapsed="false">
      <c r="A4884" s="36" t="n">
        <v>46167</v>
      </c>
      <c r="B4884" s="24" t="s">
        <v>65</v>
      </c>
      <c r="C4884" s="24" t="s">
        <v>121</v>
      </c>
      <c r="D4884" s="33" t="n">
        <v>66</v>
      </c>
      <c r="E4884" s="24" t="n">
        <v>0</v>
      </c>
      <c r="F4884" s="37" t="n">
        <f aca="false">DATE(YEAR(A4884),MONTH(A4884),1)</f>
        <v>46143</v>
      </c>
      <c r="G4884" s="24" t="str">
        <f aca="false">INDEX(Products!$C$2:$C$49,MATCH(C4884,Products!$A$2:$A$49,0))</f>
        <v>Grocery Staples</v>
      </c>
      <c r="H4884" s="33" t="n">
        <f aca="false">D4884*INDEX(Products!$E$2:$E$49,MATCH(C4884,Products!$A$2:$A$49,0))</f>
        <v>12540</v>
      </c>
      <c r="I4884" s="33" t="n">
        <f aca="false">D4884*INDEX(Products!$D$2:$D$49,MATCH(C4884,Products!$A$2:$A$49,0))*(1+INDEX(Assumptions!$B$16:$B$20,MATCH(B4884,Assumptions!$A$16:$A$20,0)))</f>
        <v>10838.52</v>
      </c>
      <c r="J4884" s="33" t="n">
        <f aca="false">H4884-I4884</f>
        <v>1701.48</v>
      </c>
      <c r="K4884" s="33" t="n">
        <f aca="false">IF(OR(E4884=0,E4884&gt;=7),0,D4884/(7-E4884)*E4884*INDEX(Products!$E$2:$E$49,MATCH(C4884,Products!$A$2:$A$49,0)))</f>
        <v>0</v>
      </c>
    </row>
    <row r="4885" customFormat="false" ht="15" hidden="false" customHeight="false" outlineLevel="0" collapsed="false">
      <c r="A4885" s="36" t="n">
        <v>46174</v>
      </c>
      <c r="B4885" s="24" t="s">
        <v>65</v>
      </c>
      <c r="C4885" s="24" t="s">
        <v>121</v>
      </c>
      <c r="D4885" s="33" t="n">
        <v>24</v>
      </c>
      <c r="E4885" s="24" t="n">
        <v>3</v>
      </c>
      <c r="F4885" s="37" t="n">
        <f aca="false">DATE(YEAR(A4885),MONTH(A4885),1)</f>
        <v>46174</v>
      </c>
      <c r="G4885" s="24" t="str">
        <f aca="false">INDEX(Products!$C$2:$C$49,MATCH(C4885,Products!$A$2:$A$49,0))</f>
        <v>Grocery Staples</v>
      </c>
      <c r="H4885" s="33" t="n">
        <f aca="false">D4885*INDEX(Products!$E$2:$E$49,MATCH(C4885,Products!$A$2:$A$49,0))</f>
        <v>4560</v>
      </c>
      <c r="I4885" s="33" t="n">
        <f aca="false">D4885*INDEX(Products!$D$2:$D$49,MATCH(C4885,Products!$A$2:$A$49,0))*(1+INDEX(Assumptions!$B$16:$B$20,MATCH(B4885,Assumptions!$A$16:$A$20,0)))</f>
        <v>3941.28</v>
      </c>
      <c r="J4885" s="33" t="n">
        <f aca="false">H4885-I4885</f>
        <v>618.72</v>
      </c>
      <c r="K4885" s="33" t="n">
        <f aca="false">IF(OR(E4885=0,E4885&gt;=7),0,D4885/(7-E4885)*E4885*INDEX(Products!$E$2:$E$49,MATCH(C4885,Products!$A$2:$A$49,0)))</f>
        <v>3420</v>
      </c>
    </row>
    <row r="4886" customFormat="false" ht="15" hidden="false" customHeight="false" outlineLevel="0" collapsed="false">
      <c r="A4886" s="36" t="n">
        <v>46181</v>
      </c>
      <c r="B4886" s="24" t="s">
        <v>65</v>
      </c>
      <c r="C4886" s="24" t="s">
        <v>121</v>
      </c>
      <c r="D4886" s="33" t="n">
        <v>52</v>
      </c>
      <c r="E4886" s="24" t="n">
        <v>0</v>
      </c>
      <c r="F4886" s="37" t="n">
        <f aca="false">DATE(YEAR(A4886),MONTH(A4886),1)</f>
        <v>46174</v>
      </c>
      <c r="G4886" s="24" t="str">
        <f aca="false">INDEX(Products!$C$2:$C$49,MATCH(C4886,Products!$A$2:$A$49,0))</f>
        <v>Grocery Staples</v>
      </c>
      <c r="H4886" s="33" t="n">
        <f aca="false">D4886*INDEX(Products!$E$2:$E$49,MATCH(C4886,Products!$A$2:$A$49,0))</f>
        <v>9880</v>
      </c>
      <c r="I4886" s="33" t="n">
        <f aca="false">D4886*INDEX(Products!$D$2:$D$49,MATCH(C4886,Products!$A$2:$A$49,0))*(1+INDEX(Assumptions!$B$16:$B$20,MATCH(B4886,Assumptions!$A$16:$A$20,0)))</f>
        <v>8539.44</v>
      </c>
      <c r="J4886" s="33" t="n">
        <f aca="false">H4886-I4886</f>
        <v>1340.56</v>
      </c>
      <c r="K4886" s="33" t="n">
        <f aca="false">IF(OR(E4886=0,E4886&gt;=7),0,D4886/(7-E4886)*E4886*INDEX(Products!$E$2:$E$49,MATCH(C4886,Products!$A$2:$A$49,0)))</f>
        <v>0</v>
      </c>
    </row>
    <row r="4887" customFormat="false" ht="15" hidden="false" customHeight="false" outlineLevel="0" collapsed="false">
      <c r="A4887" s="36" t="n">
        <v>46188</v>
      </c>
      <c r="B4887" s="24" t="s">
        <v>65</v>
      </c>
      <c r="C4887" s="24" t="s">
        <v>121</v>
      </c>
      <c r="D4887" s="33" t="n">
        <v>40</v>
      </c>
      <c r="E4887" s="24" t="n">
        <v>0</v>
      </c>
      <c r="F4887" s="37" t="n">
        <f aca="false">DATE(YEAR(A4887),MONTH(A4887),1)</f>
        <v>46174</v>
      </c>
      <c r="G4887" s="24" t="str">
        <f aca="false">INDEX(Products!$C$2:$C$49,MATCH(C4887,Products!$A$2:$A$49,0))</f>
        <v>Grocery Staples</v>
      </c>
      <c r="H4887" s="33" t="n">
        <f aca="false">D4887*INDEX(Products!$E$2:$E$49,MATCH(C4887,Products!$A$2:$A$49,0))</f>
        <v>7600</v>
      </c>
      <c r="I4887" s="33" t="n">
        <f aca="false">D4887*INDEX(Products!$D$2:$D$49,MATCH(C4887,Products!$A$2:$A$49,0))*(1+INDEX(Assumptions!$B$16:$B$20,MATCH(B4887,Assumptions!$A$16:$A$20,0)))</f>
        <v>6568.8</v>
      </c>
      <c r="J4887" s="33" t="n">
        <f aca="false">H4887-I4887</f>
        <v>1031.2</v>
      </c>
      <c r="K4887" s="33" t="n">
        <f aca="false">IF(OR(E4887=0,E4887&gt;=7),0,D4887/(7-E4887)*E4887*INDEX(Products!$E$2:$E$49,MATCH(C4887,Products!$A$2:$A$49,0)))</f>
        <v>0</v>
      </c>
    </row>
    <row r="4888" customFormat="false" ht="15" hidden="false" customHeight="false" outlineLevel="0" collapsed="false">
      <c r="A4888" s="36" t="n">
        <v>46195</v>
      </c>
      <c r="B4888" s="24" t="s">
        <v>65</v>
      </c>
      <c r="C4888" s="24" t="s">
        <v>121</v>
      </c>
      <c r="D4888" s="33" t="n">
        <v>52</v>
      </c>
      <c r="E4888" s="24" t="n">
        <v>0</v>
      </c>
      <c r="F4888" s="37" t="n">
        <f aca="false">DATE(YEAR(A4888),MONTH(A4888),1)</f>
        <v>46174</v>
      </c>
      <c r="G4888" s="24" t="str">
        <f aca="false">INDEX(Products!$C$2:$C$49,MATCH(C4888,Products!$A$2:$A$49,0))</f>
        <v>Grocery Staples</v>
      </c>
      <c r="H4888" s="33" t="n">
        <f aca="false">D4888*INDEX(Products!$E$2:$E$49,MATCH(C4888,Products!$A$2:$A$49,0))</f>
        <v>9880</v>
      </c>
      <c r="I4888" s="33" t="n">
        <f aca="false">D4888*INDEX(Products!$D$2:$D$49,MATCH(C4888,Products!$A$2:$A$49,0))*(1+INDEX(Assumptions!$B$16:$B$20,MATCH(B4888,Assumptions!$A$16:$A$20,0)))</f>
        <v>8539.44</v>
      </c>
      <c r="J4888" s="33" t="n">
        <f aca="false">H4888-I4888</f>
        <v>1340.56</v>
      </c>
      <c r="K4888" s="33" t="n">
        <f aca="false">IF(OR(E4888=0,E4888&gt;=7),0,D4888/(7-E4888)*E4888*INDEX(Products!$E$2:$E$49,MATCH(C4888,Products!$A$2:$A$49,0)))</f>
        <v>0</v>
      </c>
    </row>
    <row r="4889" customFormat="false" ht="15" hidden="false" customHeight="false" outlineLevel="0" collapsed="false">
      <c r="A4889" s="36" t="n">
        <v>46202</v>
      </c>
      <c r="B4889" s="24" t="s">
        <v>65</v>
      </c>
      <c r="C4889" s="24" t="s">
        <v>121</v>
      </c>
      <c r="D4889" s="33" t="n">
        <v>46</v>
      </c>
      <c r="E4889" s="24" t="n">
        <v>0</v>
      </c>
      <c r="F4889" s="37" t="n">
        <f aca="false">DATE(YEAR(A4889),MONTH(A4889),1)</f>
        <v>46174</v>
      </c>
      <c r="G4889" s="24" t="str">
        <f aca="false">INDEX(Products!$C$2:$C$49,MATCH(C4889,Products!$A$2:$A$49,0))</f>
        <v>Grocery Staples</v>
      </c>
      <c r="H4889" s="33" t="n">
        <f aca="false">D4889*INDEX(Products!$E$2:$E$49,MATCH(C4889,Products!$A$2:$A$49,0))</f>
        <v>8740</v>
      </c>
      <c r="I4889" s="33" t="n">
        <f aca="false">D4889*INDEX(Products!$D$2:$D$49,MATCH(C4889,Products!$A$2:$A$49,0))*(1+INDEX(Assumptions!$B$16:$B$20,MATCH(B4889,Assumptions!$A$16:$A$20,0)))</f>
        <v>7554.12</v>
      </c>
      <c r="J4889" s="33" t="n">
        <f aca="false">H4889-I4889</f>
        <v>1185.88</v>
      </c>
      <c r="K4889" s="33" t="n">
        <f aca="false">IF(OR(E4889=0,E4889&gt;=7),0,D4889/(7-E4889)*E4889*INDEX(Products!$E$2:$E$49,MATCH(C4889,Products!$A$2:$A$49,0)))</f>
        <v>0</v>
      </c>
    </row>
    <row r="4890" customFormat="false" ht="15" hidden="false" customHeight="false" outlineLevel="0" collapsed="false">
      <c r="A4890" s="36" t="n">
        <v>46209</v>
      </c>
      <c r="B4890" s="24" t="s">
        <v>65</v>
      </c>
      <c r="C4890" s="24" t="s">
        <v>121</v>
      </c>
      <c r="D4890" s="33" t="n">
        <v>45</v>
      </c>
      <c r="E4890" s="24" t="n">
        <v>0</v>
      </c>
      <c r="F4890" s="37" t="n">
        <f aca="false">DATE(YEAR(A4890),MONTH(A4890),1)</f>
        <v>46204</v>
      </c>
      <c r="G4890" s="24" t="str">
        <f aca="false">INDEX(Products!$C$2:$C$49,MATCH(C4890,Products!$A$2:$A$49,0))</f>
        <v>Grocery Staples</v>
      </c>
      <c r="H4890" s="33" t="n">
        <f aca="false">D4890*INDEX(Products!$E$2:$E$49,MATCH(C4890,Products!$A$2:$A$49,0))</f>
        <v>8550</v>
      </c>
      <c r="I4890" s="33" t="n">
        <f aca="false">D4890*INDEX(Products!$D$2:$D$49,MATCH(C4890,Products!$A$2:$A$49,0))*(1+INDEX(Assumptions!$B$16:$B$20,MATCH(B4890,Assumptions!$A$16:$A$20,0)))</f>
        <v>7389.9</v>
      </c>
      <c r="J4890" s="33" t="n">
        <f aca="false">H4890-I4890</f>
        <v>1160.1</v>
      </c>
      <c r="K4890" s="33" t="n">
        <f aca="false">IF(OR(E4890=0,E4890&gt;=7),0,D4890/(7-E4890)*E4890*INDEX(Products!$E$2:$E$49,MATCH(C4890,Products!$A$2:$A$49,0)))</f>
        <v>0</v>
      </c>
    </row>
    <row r="4891" customFormat="false" ht="15" hidden="false" customHeight="false" outlineLevel="0" collapsed="false">
      <c r="A4891" s="36" t="n">
        <v>46216</v>
      </c>
      <c r="B4891" s="24" t="s">
        <v>65</v>
      </c>
      <c r="C4891" s="24" t="s">
        <v>121</v>
      </c>
      <c r="D4891" s="33" t="n">
        <v>38</v>
      </c>
      <c r="E4891" s="24" t="n">
        <v>0</v>
      </c>
      <c r="F4891" s="37" t="n">
        <f aca="false">DATE(YEAR(A4891),MONTH(A4891),1)</f>
        <v>46204</v>
      </c>
      <c r="G4891" s="24" t="str">
        <f aca="false">INDEX(Products!$C$2:$C$49,MATCH(C4891,Products!$A$2:$A$49,0))</f>
        <v>Grocery Staples</v>
      </c>
      <c r="H4891" s="33" t="n">
        <f aca="false">D4891*INDEX(Products!$E$2:$E$49,MATCH(C4891,Products!$A$2:$A$49,0))</f>
        <v>7220</v>
      </c>
      <c r="I4891" s="33" t="n">
        <f aca="false">D4891*INDEX(Products!$D$2:$D$49,MATCH(C4891,Products!$A$2:$A$49,0))*(1+INDEX(Assumptions!$B$16:$B$20,MATCH(B4891,Assumptions!$A$16:$A$20,0)))</f>
        <v>6240.36</v>
      </c>
      <c r="J4891" s="33" t="n">
        <f aca="false">H4891-I4891</f>
        <v>979.64</v>
      </c>
      <c r="K4891" s="33" t="n">
        <f aca="false">IF(OR(E4891=0,E4891&gt;=7),0,D4891/(7-E4891)*E4891*INDEX(Products!$E$2:$E$49,MATCH(C4891,Products!$A$2:$A$49,0)))</f>
        <v>0</v>
      </c>
    </row>
    <row r="4892" customFormat="false" ht="15" hidden="false" customHeight="false" outlineLevel="0" collapsed="false">
      <c r="A4892" s="36" t="n">
        <v>46223</v>
      </c>
      <c r="B4892" s="24" t="s">
        <v>65</v>
      </c>
      <c r="C4892" s="24" t="s">
        <v>121</v>
      </c>
      <c r="D4892" s="33" t="n">
        <v>55</v>
      </c>
      <c r="E4892" s="24" t="n">
        <v>0</v>
      </c>
      <c r="F4892" s="37" t="n">
        <f aca="false">DATE(YEAR(A4892),MONTH(A4892),1)</f>
        <v>46204</v>
      </c>
      <c r="G4892" s="24" t="str">
        <f aca="false">INDEX(Products!$C$2:$C$49,MATCH(C4892,Products!$A$2:$A$49,0))</f>
        <v>Grocery Staples</v>
      </c>
      <c r="H4892" s="33" t="n">
        <f aca="false">D4892*INDEX(Products!$E$2:$E$49,MATCH(C4892,Products!$A$2:$A$49,0))</f>
        <v>10450</v>
      </c>
      <c r="I4892" s="33" t="n">
        <f aca="false">D4892*INDEX(Products!$D$2:$D$49,MATCH(C4892,Products!$A$2:$A$49,0))*(1+INDEX(Assumptions!$B$16:$B$20,MATCH(B4892,Assumptions!$A$16:$A$20,0)))</f>
        <v>9032.1</v>
      </c>
      <c r="J4892" s="33" t="n">
        <f aca="false">H4892-I4892</f>
        <v>1417.9</v>
      </c>
      <c r="K4892" s="33" t="n">
        <f aca="false">IF(OR(E4892=0,E4892&gt;=7),0,D4892/(7-E4892)*E4892*INDEX(Products!$E$2:$E$49,MATCH(C4892,Products!$A$2:$A$49,0)))</f>
        <v>0</v>
      </c>
    </row>
    <row r="4893" customFormat="false" ht="15" hidden="false" customHeight="false" outlineLevel="0" collapsed="false">
      <c r="A4893" s="36" t="n">
        <v>46230</v>
      </c>
      <c r="B4893" s="24" t="s">
        <v>65</v>
      </c>
      <c r="C4893" s="24" t="s">
        <v>121</v>
      </c>
      <c r="D4893" s="33" t="n">
        <v>50</v>
      </c>
      <c r="E4893" s="24" t="n">
        <v>0</v>
      </c>
      <c r="F4893" s="37" t="n">
        <f aca="false">DATE(YEAR(A4893),MONTH(A4893),1)</f>
        <v>46204</v>
      </c>
      <c r="G4893" s="24" t="str">
        <f aca="false">INDEX(Products!$C$2:$C$49,MATCH(C4893,Products!$A$2:$A$49,0))</f>
        <v>Grocery Staples</v>
      </c>
      <c r="H4893" s="33" t="n">
        <f aca="false">D4893*INDEX(Products!$E$2:$E$49,MATCH(C4893,Products!$A$2:$A$49,0))</f>
        <v>9500</v>
      </c>
      <c r="I4893" s="33" t="n">
        <f aca="false">D4893*INDEX(Products!$D$2:$D$49,MATCH(C4893,Products!$A$2:$A$49,0))*(1+INDEX(Assumptions!$B$16:$B$20,MATCH(B4893,Assumptions!$A$16:$A$20,0)))</f>
        <v>8211</v>
      </c>
      <c r="J4893" s="33" t="n">
        <f aca="false">H4893-I4893</f>
        <v>1289</v>
      </c>
      <c r="K4893" s="33" t="n">
        <f aca="false">IF(OR(E4893=0,E4893&gt;=7),0,D4893/(7-E4893)*E4893*INDEX(Products!$E$2:$E$49,MATCH(C4893,Products!$A$2:$A$49,0)))</f>
        <v>0</v>
      </c>
    </row>
    <row r="4894" customFormat="false" ht="15" hidden="false" customHeight="false" outlineLevel="0" collapsed="false">
      <c r="A4894" s="36" t="n">
        <v>46237</v>
      </c>
      <c r="B4894" s="24" t="s">
        <v>65</v>
      </c>
      <c r="C4894" s="24" t="s">
        <v>121</v>
      </c>
      <c r="D4894" s="33" t="n">
        <v>56</v>
      </c>
      <c r="E4894" s="24" t="n">
        <v>0</v>
      </c>
      <c r="F4894" s="37" t="n">
        <f aca="false">DATE(YEAR(A4894),MONTH(A4894),1)</f>
        <v>46235</v>
      </c>
      <c r="G4894" s="24" t="str">
        <f aca="false">INDEX(Products!$C$2:$C$49,MATCH(C4894,Products!$A$2:$A$49,0))</f>
        <v>Grocery Staples</v>
      </c>
      <c r="H4894" s="33" t="n">
        <f aca="false">D4894*INDEX(Products!$E$2:$E$49,MATCH(C4894,Products!$A$2:$A$49,0))</f>
        <v>10640</v>
      </c>
      <c r="I4894" s="33" t="n">
        <f aca="false">D4894*INDEX(Products!$D$2:$D$49,MATCH(C4894,Products!$A$2:$A$49,0))*(1+INDEX(Assumptions!$B$16:$B$20,MATCH(B4894,Assumptions!$A$16:$A$20,0)))</f>
        <v>9196.32</v>
      </c>
      <c r="J4894" s="33" t="n">
        <f aca="false">H4894-I4894</f>
        <v>1443.68</v>
      </c>
      <c r="K4894" s="33" t="n">
        <f aca="false">IF(OR(E4894=0,E4894&gt;=7),0,D4894/(7-E4894)*E4894*INDEX(Products!$E$2:$E$49,MATCH(C4894,Products!$A$2:$A$49,0)))</f>
        <v>0</v>
      </c>
    </row>
    <row r="4895" customFormat="false" ht="15" hidden="false" customHeight="false" outlineLevel="0" collapsed="false">
      <c r="A4895" s="36" t="n">
        <v>46244</v>
      </c>
      <c r="B4895" s="24" t="s">
        <v>65</v>
      </c>
      <c r="C4895" s="24" t="s">
        <v>121</v>
      </c>
      <c r="D4895" s="33" t="n">
        <v>36</v>
      </c>
      <c r="E4895" s="24" t="n">
        <v>0</v>
      </c>
      <c r="F4895" s="37" t="n">
        <f aca="false">DATE(YEAR(A4895),MONTH(A4895),1)</f>
        <v>46235</v>
      </c>
      <c r="G4895" s="24" t="str">
        <f aca="false">INDEX(Products!$C$2:$C$49,MATCH(C4895,Products!$A$2:$A$49,0))</f>
        <v>Grocery Staples</v>
      </c>
      <c r="H4895" s="33" t="n">
        <f aca="false">D4895*INDEX(Products!$E$2:$E$49,MATCH(C4895,Products!$A$2:$A$49,0))</f>
        <v>6840</v>
      </c>
      <c r="I4895" s="33" t="n">
        <f aca="false">D4895*INDEX(Products!$D$2:$D$49,MATCH(C4895,Products!$A$2:$A$49,0))*(1+INDEX(Assumptions!$B$16:$B$20,MATCH(B4895,Assumptions!$A$16:$A$20,0)))</f>
        <v>5911.92</v>
      </c>
      <c r="J4895" s="33" t="n">
        <f aca="false">H4895-I4895</f>
        <v>928.08</v>
      </c>
      <c r="K4895" s="33" t="n">
        <f aca="false">IF(OR(E4895=0,E4895&gt;=7),0,D4895/(7-E4895)*E4895*INDEX(Products!$E$2:$E$49,MATCH(C4895,Products!$A$2:$A$49,0)))</f>
        <v>0</v>
      </c>
    </row>
    <row r="4896" customFormat="false" ht="15" hidden="false" customHeight="false" outlineLevel="0" collapsed="false">
      <c r="A4896" s="36" t="n">
        <v>46251</v>
      </c>
      <c r="B4896" s="24" t="s">
        <v>65</v>
      </c>
      <c r="C4896" s="24" t="s">
        <v>121</v>
      </c>
      <c r="D4896" s="33" t="n">
        <v>45</v>
      </c>
      <c r="E4896" s="24" t="n">
        <v>0</v>
      </c>
      <c r="F4896" s="37" t="n">
        <f aca="false">DATE(YEAR(A4896),MONTH(A4896),1)</f>
        <v>46235</v>
      </c>
      <c r="G4896" s="24" t="str">
        <f aca="false">INDEX(Products!$C$2:$C$49,MATCH(C4896,Products!$A$2:$A$49,0))</f>
        <v>Grocery Staples</v>
      </c>
      <c r="H4896" s="33" t="n">
        <f aca="false">D4896*INDEX(Products!$E$2:$E$49,MATCH(C4896,Products!$A$2:$A$49,0))</f>
        <v>8550</v>
      </c>
      <c r="I4896" s="33" t="n">
        <f aca="false">D4896*INDEX(Products!$D$2:$D$49,MATCH(C4896,Products!$A$2:$A$49,0))*(1+INDEX(Assumptions!$B$16:$B$20,MATCH(B4896,Assumptions!$A$16:$A$20,0)))</f>
        <v>7389.9</v>
      </c>
      <c r="J4896" s="33" t="n">
        <f aca="false">H4896-I4896</f>
        <v>1160.1</v>
      </c>
      <c r="K4896" s="33" t="n">
        <f aca="false">IF(OR(E4896=0,E4896&gt;=7),0,D4896/(7-E4896)*E4896*INDEX(Products!$E$2:$E$49,MATCH(C4896,Products!$A$2:$A$49,0)))</f>
        <v>0</v>
      </c>
    </row>
    <row r="4897" customFormat="false" ht="15" hidden="false" customHeight="false" outlineLevel="0" collapsed="false">
      <c r="A4897" s="36" t="n">
        <v>46258</v>
      </c>
      <c r="B4897" s="24" t="s">
        <v>65</v>
      </c>
      <c r="C4897" s="24" t="s">
        <v>121</v>
      </c>
      <c r="D4897" s="33" t="n">
        <v>38</v>
      </c>
      <c r="E4897" s="24" t="n">
        <v>0</v>
      </c>
      <c r="F4897" s="37" t="n">
        <f aca="false">DATE(YEAR(A4897),MONTH(A4897),1)</f>
        <v>46235</v>
      </c>
      <c r="G4897" s="24" t="str">
        <f aca="false">INDEX(Products!$C$2:$C$49,MATCH(C4897,Products!$A$2:$A$49,0))</f>
        <v>Grocery Staples</v>
      </c>
      <c r="H4897" s="33" t="n">
        <f aca="false">D4897*INDEX(Products!$E$2:$E$49,MATCH(C4897,Products!$A$2:$A$49,0))</f>
        <v>7220</v>
      </c>
      <c r="I4897" s="33" t="n">
        <f aca="false">D4897*INDEX(Products!$D$2:$D$49,MATCH(C4897,Products!$A$2:$A$49,0))*(1+INDEX(Assumptions!$B$16:$B$20,MATCH(B4897,Assumptions!$A$16:$A$20,0)))</f>
        <v>6240.36</v>
      </c>
      <c r="J4897" s="33" t="n">
        <f aca="false">H4897-I4897</f>
        <v>979.64</v>
      </c>
      <c r="K4897" s="33" t="n">
        <f aca="false">IF(OR(E4897=0,E4897&gt;=7),0,D4897/(7-E4897)*E4897*INDEX(Products!$E$2:$E$49,MATCH(C4897,Products!$A$2:$A$49,0)))</f>
        <v>0</v>
      </c>
    </row>
    <row r="4898" customFormat="false" ht="15" hidden="false" customHeight="false" outlineLevel="0" collapsed="false">
      <c r="A4898" s="36" t="n">
        <v>46265</v>
      </c>
      <c r="B4898" s="24" t="s">
        <v>65</v>
      </c>
      <c r="C4898" s="24" t="s">
        <v>121</v>
      </c>
      <c r="D4898" s="33" t="n">
        <v>51</v>
      </c>
      <c r="E4898" s="24" t="n">
        <v>0</v>
      </c>
      <c r="F4898" s="37" t="n">
        <f aca="false">DATE(YEAR(A4898),MONTH(A4898),1)</f>
        <v>46235</v>
      </c>
      <c r="G4898" s="24" t="str">
        <f aca="false">INDEX(Products!$C$2:$C$49,MATCH(C4898,Products!$A$2:$A$49,0))</f>
        <v>Grocery Staples</v>
      </c>
      <c r="H4898" s="33" t="n">
        <f aca="false">D4898*INDEX(Products!$E$2:$E$49,MATCH(C4898,Products!$A$2:$A$49,0))</f>
        <v>9690</v>
      </c>
      <c r="I4898" s="33" t="n">
        <f aca="false">D4898*INDEX(Products!$D$2:$D$49,MATCH(C4898,Products!$A$2:$A$49,0))*(1+INDEX(Assumptions!$B$16:$B$20,MATCH(B4898,Assumptions!$A$16:$A$20,0)))</f>
        <v>8375.22</v>
      </c>
      <c r="J4898" s="33" t="n">
        <f aca="false">H4898-I4898</f>
        <v>1314.78</v>
      </c>
      <c r="K4898" s="33" t="n">
        <f aca="false">IF(OR(E4898=0,E4898&gt;=7),0,D4898/(7-E4898)*E4898*INDEX(Products!$E$2:$E$49,MATCH(C4898,Products!$A$2:$A$49,0)))</f>
        <v>0</v>
      </c>
    </row>
    <row r="4899" customFormat="false" ht="15" hidden="false" customHeight="false" outlineLevel="0" collapsed="false">
      <c r="A4899" s="36" t="n">
        <v>46272</v>
      </c>
      <c r="B4899" s="24" t="s">
        <v>65</v>
      </c>
      <c r="C4899" s="24" t="s">
        <v>121</v>
      </c>
      <c r="D4899" s="33" t="n">
        <v>45</v>
      </c>
      <c r="E4899" s="24" t="n">
        <v>0</v>
      </c>
      <c r="F4899" s="37" t="n">
        <f aca="false">DATE(YEAR(A4899),MONTH(A4899),1)</f>
        <v>46266</v>
      </c>
      <c r="G4899" s="24" t="str">
        <f aca="false">INDEX(Products!$C$2:$C$49,MATCH(C4899,Products!$A$2:$A$49,0))</f>
        <v>Grocery Staples</v>
      </c>
      <c r="H4899" s="33" t="n">
        <f aca="false">D4899*INDEX(Products!$E$2:$E$49,MATCH(C4899,Products!$A$2:$A$49,0))</f>
        <v>8550</v>
      </c>
      <c r="I4899" s="33" t="n">
        <f aca="false">D4899*INDEX(Products!$D$2:$D$49,MATCH(C4899,Products!$A$2:$A$49,0))*(1+INDEX(Assumptions!$B$16:$B$20,MATCH(B4899,Assumptions!$A$16:$A$20,0)))</f>
        <v>7389.9</v>
      </c>
      <c r="J4899" s="33" t="n">
        <f aca="false">H4899-I4899</f>
        <v>1160.1</v>
      </c>
      <c r="K4899" s="33" t="n">
        <f aca="false">IF(OR(E4899=0,E4899&gt;=7),0,D4899/(7-E4899)*E4899*INDEX(Products!$E$2:$E$49,MATCH(C4899,Products!$A$2:$A$49,0)))</f>
        <v>0</v>
      </c>
    </row>
    <row r="4900" customFormat="false" ht="15" hidden="false" customHeight="false" outlineLevel="0" collapsed="false">
      <c r="A4900" s="36" t="n">
        <v>46279</v>
      </c>
      <c r="B4900" s="24" t="s">
        <v>65</v>
      </c>
      <c r="C4900" s="24" t="s">
        <v>121</v>
      </c>
      <c r="D4900" s="33" t="n">
        <v>60</v>
      </c>
      <c r="E4900" s="24" t="n">
        <v>0</v>
      </c>
      <c r="F4900" s="37" t="n">
        <f aca="false">DATE(YEAR(A4900),MONTH(A4900),1)</f>
        <v>46266</v>
      </c>
      <c r="G4900" s="24" t="str">
        <f aca="false">INDEX(Products!$C$2:$C$49,MATCH(C4900,Products!$A$2:$A$49,0))</f>
        <v>Grocery Staples</v>
      </c>
      <c r="H4900" s="33" t="n">
        <f aca="false">D4900*INDEX(Products!$E$2:$E$49,MATCH(C4900,Products!$A$2:$A$49,0))</f>
        <v>11400</v>
      </c>
      <c r="I4900" s="33" t="n">
        <f aca="false">D4900*INDEX(Products!$D$2:$D$49,MATCH(C4900,Products!$A$2:$A$49,0))*(1+INDEX(Assumptions!$B$16:$B$20,MATCH(B4900,Assumptions!$A$16:$A$20,0)))</f>
        <v>9853.2</v>
      </c>
      <c r="J4900" s="33" t="n">
        <f aca="false">H4900-I4900</f>
        <v>1546.8</v>
      </c>
      <c r="K4900" s="33" t="n">
        <f aca="false">IF(OR(E4900=0,E4900&gt;=7),0,D4900/(7-E4900)*E4900*INDEX(Products!$E$2:$E$49,MATCH(C4900,Products!$A$2:$A$49,0)))</f>
        <v>0</v>
      </c>
    </row>
    <row r="4901" customFormat="false" ht="15" hidden="false" customHeight="false" outlineLevel="0" collapsed="false">
      <c r="A4901" s="36" t="n">
        <v>46286</v>
      </c>
      <c r="B4901" s="24" t="s">
        <v>65</v>
      </c>
      <c r="C4901" s="24" t="s">
        <v>121</v>
      </c>
      <c r="D4901" s="33" t="n">
        <v>46</v>
      </c>
      <c r="E4901" s="24" t="n">
        <v>0</v>
      </c>
      <c r="F4901" s="37" t="n">
        <f aca="false">DATE(YEAR(A4901),MONTH(A4901),1)</f>
        <v>46266</v>
      </c>
      <c r="G4901" s="24" t="str">
        <f aca="false">INDEX(Products!$C$2:$C$49,MATCH(C4901,Products!$A$2:$A$49,0))</f>
        <v>Grocery Staples</v>
      </c>
      <c r="H4901" s="33" t="n">
        <f aca="false">D4901*INDEX(Products!$E$2:$E$49,MATCH(C4901,Products!$A$2:$A$49,0))</f>
        <v>8740</v>
      </c>
      <c r="I4901" s="33" t="n">
        <f aca="false">D4901*INDEX(Products!$D$2:$D$49,MATCH(C4901,Products!$A$2:$A$49,0))*(1+INDEX(Assumptions!$B$16:$B$20,MATCH(B4901,Assumptions!$A$16:$A$20,0)))</f>
        <v>7554.12</v>
      </c>
      <c r="J4901" s="33" t="n">
        <f aca="false">H4901-I4901</f>
        <v>1185.88</v>
      </c>
      <c r="K4901" s="33" t="n">
        <f aca="false">IF(OR(E4901=0,E4901&gt;=7),0,D4901/(7-E4901)*E4901*INDEX(Products!$E$2:$E$49,MATCH(C4901,Products!$A$2:$A$49,0)))</f>
        <v>0</v>
      </c>
    </row>
    <row r="4902" customFormat="false" ht="15" hidden="false" customHeight="false" outlineLevel="0" collapsed="false">
      <c r="A4902" s="36" t="n">
        <v>46118</v>
      </c>
      <c r="B4902" s="24" t="s">
        <v>65</v>
      </c>
      <c r="C4902" s="24" t="s">
        <v>123</v>
      </c>
      <c r="D4902" s="33" t="n">
        <v>127</v>
      </c>
      <c r="E4902" s="24" t="n">
        <v>2</v>
      </c>
      <c r="F4902" s="37" t="n">
        <f aca="false">DATE(YEAR(A4902),MONTH(A4902),1)</f>
        <v>46113</v>
      </c>
      <c r="G4902" s="24" t="str">
        <f aca="false">INDEX(Products!$C$2:$C$49,MATCH(C4902,Products!$A$2:$A$49,0))</f>
        <v>Grocery Staples</v>
      </c>
      <c r="H4902" s="33" t="n">
        <f aca="false">D4902*INDEX(Products!$E$2:$E$49,MATCH(C4902,Products!$A$2:$A$49,0))</f>
        <v>43180</v>
      </c>
      <c r="I4902" s="33" t="n">
        <f aca="false">D4902*INDEX(Products!$D$2:$D$49,MATCH(C4902,Products!$A$2:$A$49,0))*(1+INDEX(Assumptions!$B$16:$B$20,MATCH(B4902,Assumptions!$A$16:$A$20,0)))</f>
        <v>38473.38</v>
      </c>
      <c r="J4902" s="33" t="n">
        <f aca="false">H4902-I4902</f>
        <v>4706.62</v>
      </c>
      <c r="K4902" s="33" t="n">
        <f aca="false">IF(OR(E4902=0,E4902&gt;=7),0,D4902/(7-E4902)*E4902*INDEX(Products!$E$2:$E$49,MATCH(C4902,Products!$A$2:$A$49,0)))</f>
        <v>17272</v>
      </c>
    </row>
    <row r="4903" customFormat="false" ht="15" hidden="false" customHeight="false" outlineLevel="0" collapsed="false">
      <c r="A4903" s="36" t="n">
        <v>46125</v>
      </c>
      <c r="B4903" s="24" t="s">
        <v>65</v>
      </c>
      <c r="C4903" s="24" t="s">
        <v>123</v>
      </c>
      <c r="D4903" s="33" t="n">
        <v>188</v>
      </c>
      <c r="E4903" s="24" t="n">
        <v>0</v>
      </c>
      <c r="F4903" s="37" t="n">
        <f aca="false">DATE(YEAR(A4903),MONTH(A4903),1)</f>
        <v>46113</v>
      </c>
      <c r="G4903" s="24" t="str">
        <f aca="false">INDEX(Products!$C$2:$C$49,MATCH(C4903,Products!$A$2:$A$49,0))</f>
        <v>Grocery Staples</v>
      </c>
      <c r="H4903" s="33" t="n">
        <f aca="false">D4903*INDEX(Products!$E$2:$E$49,MATCH(C4903,Products!$A$2:$A$49,0))</f>
        <v>63920</v>
      </c>
      <c r="I4903" s="33" t="n">
        <f aca="false">D4903*INDEX(Products!$D$2:$D$49,MATCH(C4903,Products!$A$2:$A$49,0))*(1+INDEX(Assumptions!$B$16:$B$20,MATCH(B4903,Assumptions!$A$16:$A$20,0)))</f>
        <v>56952.72</v>
      </c>
      <c r="J4903" s="33" t="n">
        <f aca="false">H4903-I4903</f>
        <v>6967.28</v>
      </c>
      <c r="K4903" s="33" t="n">
        <f aca="false">IF(OR(E4903=0,E4903&gt;=7),0,D4903/(7-E4903)*E4903*INDEX(Products!$E$2:$E$49,MATCH(C4903,Products!$A$2:$A$49,0)))</f>
        <v>0</v>
      </c>
    </row>
    <row r="4904" customFormat="false" ht="15" hidden="false" customHeight="false" outlineLevel="0" collapsed="false">
      <c r="A4904" s="36" t="n">
        <v>46132</v>
      </c>
      <c r="B4904" s="24" t="s">
        <v>65</v>
      </c>
      <c r="C4904" s="24" t="s">
        <v>123</v>
      </c>
      <c r="D4904" s="33" t="n">
        <v>193</v>
      </c>
      <c r="E4904" s="24" t="n">
        <v>0</v>
      </c>
      <c r="F4904" s="37" t="n">
        <f aca="false">DATE(YEAR(A4904),MONTH(A4904),1)</f>
        <v>46113</v>
      </c>
      <c r="G4904" s="24" t="str">
        <f aca="false">INDEX(Products!$C$2:$C$49,MATCH(C4904,Products!$A$2:$A$49,0))</f>
        <v>Grocery Staples</v>
      </c>
      <c r="H4904" s="33" t="n">
        <f aca="false">D4904*INDEX(Products!$E$2:$E$49,MATCH(C4904,Products!$A$2:$A$49,0))</f>
        <v>65620</v>
      </c>
      <c r="I4904" s="33" t="n">
        <f aca="false">D4904*INDEX(Products!$D$2:$D$49,MATCH(C4904,Products!$A$2:$A$49,0))*(1+INDEX(Assumptions!$B$16:$B$20,MATCH(B4904,Assumptions!$A$16:$A$20,0)))</f>
        <v>58467.42</v>
      </c>
      <c r="J4904" s="33" t="n">
        <f aca="false">H4904-I4904</f>
        <v>7152.58</v>
      </c>
      <c r="K4904" s="33" t="n">
        <f aca="false">IF(OR(E4904=0,E4904&gt;=7),0,D4904/(7-E4904)*E4904*INDEX(Products!$E$2:$E$49,MATCH(C4904,Products!$A$2:$A$49,0)))</f>
        <v>0</v>
      </c>
    </row>
    <row r="4905" customFormat="false" ht="15" hidden="false" customHeight="false" outlineLevel="0" collapsed="false">
      <c r="A4905" s="36" t="n">
        <v>46139</v>
      </c>
      <c r="B4905" s="24" t="s">
        <v>65</v>
      </c>
      <c r="C4905" s="24" t="s">
        <v>123</v>
      </c>
      <c r="D4905" s="33" t="n">
        <v>209</v>
      </c>
      <c r="E4905" s="24" t="n">
        <v>0</v>
      </c>
      <c r="F4905" s="37" t="n">
        <f aca="false">DATE(YEAR(A4905),MONTH(A4905),1)</f>
        <v>46113</v>
      </c>
      <c r="G4905" s="24" t="str">
        <f aca="false">INDEX(Products!$C$2:$C$49,MATCH(C4905,Products!$A$2:$A$49,0))</f>
        <v>Grocery Staples</v>
      </c>
      <c r="H4905" s="33" t="n">
        <f aca="false">D4905*INDEX(Products!$E$2:$E$49,MATCH(C4905,Products!$A$2:$A$49,0))</f>
        <v>71060</v>
      </c>
      <c r="I4905" s="33" t="n">
        <f aca="false">D4905*INDEX(Products!$D$2:$D$49,MATCH(C4905,Products!$A$2:$A$49,0))*(1+INDEX(Assumptions!$B$16:$B$20,MATCH(B4905,Assumptions!$A$16:$A$20,0)))</f>
        <v>63314.46</v>
      </c>
      <c r="J4905" s="33" t="n">
        <f aca="false">H4905-I4905</f>
        <v>7745.54</v>
      </c>
      <c r="K4905" s="33" t="n">
        <f aca="false">IF(OR(E4905=0,E4905&gt;=7),0,D4905/(7-E4905)*E4905*INDEX(Products!$E$2:$E$49,MATCH(C4905,Products!$A$2:$A$49,0)))</f>
        <v>0</v>
      </c>
    </row>
    <row r="4906" customFormat="false" ht="15" hidden="false" customHeight="false" outlineLevel="0" collapsed="false">
      <c r="A4906" s="36" t="n">
        <v>46146</v>
      </c>
      <c r="B4906" s="24" t="s">
        <v>65</v>
      </c>
      <c r="C4906" s="24" t="s">
        <v>123</v>
      </c>
      <c r="D4906" s="33" t="n">
        <v>190</v>
      </c>
      <c r="E4906" s="24" t="n">
        <v>0</v>
      </c>
      <c r="F4906" s="37" t="n">
        <f aca="false">DATE(YEAR(A4906),MONTH(A4906),1)</f>
        <v>46143</v>
      </c>
      <c r="G4906" s="24" t="str">
        <f aca="false">INDEX(Products!$C$2:$C$49,MATCH(C4906,Products!$A$2:$A$49,0))</f>
        <v>Grocery Staples</v>
      </c>
      <c r="H4906" s="33" t="n">
        <f aca="false">D4906*INDEX(Products!$E$2:$E$49,MATCH(C4906,Products!$A$2:$A$49,0))</f>
        <v>64600</v>
      </c>
      <c r="I4906" s="33" t="n">
        <f aca="false">D4906*INDEX(Products!$D$2:$D$49,MATCH(C4906,Products!$A$2:$A$49,0))*(1+INDEX(Assumptions!$B$16:$B$20,MATCH(B4906,Assumptions!$A$16:$A$20,0)))</f>
        <v>57558.6</v>
      </c>
      <c r="J4906" s="33" t="n">
        <f aca="false">H4906-I4906</f>
        <v>7041.4</v>
      </c>
      <c r="K4906" s="33" t="n">
        <f aca="false">IF(OR(E4906=0,E4906&gt;=7),0,D4906/(7-E4906)*E4906*INDEX(Products!$E$2:$E$49,MATCH(C4906,Products!$A$2:$A$49,0)))</f>
        <v>0</v>
      </c>
    </row>
    <row r="4907" customFormat="false" ht="15" hidden="false" customHeight="false" outlineLevel="0" collapsed="false">
      <c r="A4907" s="36" t="n">
        <v>46153</v>
      </c>
      <c r="B4907" s="24" t="s">
        <v>65</v>
      </c>
      <c r="C4907" s="24" t="s">
        <v>123</v>
      </c>
      <c r="D4907" s="33" t="n">
        <v>192</v>
      </c>
      <c r="E4907" s="24" t="n">
        <v>0</v>
      </c>
      <c r="F4907" s="37" t="n">
        <f aca="false">DATE(YEAR(A4907),MONTH(A4907),1)</f>
        <v>46143</v>
      </c>
      <c r="G4907" s="24" t="str">
        <f aca="false">INDEX(Products!$C$2:$C$49,MATCH(C4907,Products!$A$2:$A$49,0))</f>
        <v>Grocery Staples</v>
      </c>
      <c r="H4907" s="33" t="n">
        <f aca="false">D4907*INDEX(Products!$E$2:$E$49,MATCH(C4907,Products!$A$2:$A$49,0))</f>
        <v>65280</v>
      </c>
      <c r="I4907" s="33" t="n">
        <f aca="false">D4907*INDEX(Products!$D$2:$D$49,MATCH(C4907,Products!$A$2:$A$49,0))*(1+INDEX(Assumptions!$B$16:$B$20,MATCH(B4907,Assumptions!$A$16:$A$20,0)))</f>
        <v>58164.48</v>
      </c>
      <c r="J4907" s="33" t="n">
        <f aca="false">H4907-I4907</f>
        <v>7115.52</v>
      </c>
      <c r="K4907" s="33" t="n">
        <f aca="false">IF(OR(E4907=0,E4907&gt;=7),0,D4907/(7-E4907)*E4907*INDEX(Products!$E$2:$E$49,MATCH(C4907,Products!$A$2:$A$49,0)))</f>
        <v>0</v>
      </c>
    </row>
    <row r="4908" customFormat="false" ht="15" hidden="false" customHeight="false" outlineLevel="0" collapsed="false">
      <c r="A4908" s="36" t="n">
        <v>46160</v>
      </c>
      <c r="B4908" s="24" t="s">
        <v>65</v>
      </c>
      <c r="C4908" s="24" t="s">
        <v>123</v>
      </c>
      <c r="D4908" s="33" t="n">
        <v>221</v>
      </c>
      <c r="E4908" s="24" t="n">
        <v>0</v>
      </c>
      <c r="F4908" s="37" t="n">
        <f aca="false">DATE(YEAR(A4908),MONTH(A4908),1)</f>
        <v>46143</v>
      </c>
      <c r="G4908" s="24" t="str">
        <f aca="false">INDEX(Products!$C$2:$C$49,MATCH(C4908,Products!$A$2:$A$49,0))</f>
        <v>Grocery Staples</v>
      </c>
      <c r="H4908" s="33" t="n">
        <f aca="false">D4908*INDEX(Products!$E$2:$E$49,MATCH(C4908,Products!$A$2:$A$49,0))</f>
        <v>75140</v>
      </c>
      <c r="I4908" s="33" t="n">
        <f aca="false">D4908*INDEX(Products!$D$2:$D$49,MATCH(C4908,Products!$A$2:$A$49,0))*(1+INDEX(Assumptions!$B$16:$B$20,MATCH(B4908,Assumptions!$A$16:$A$20,0)))</f>
        <v>66949.74</v>
      </c>
      <c r="J4908" s="33" t="n">
        <f aca="false">H4908-I4908</f>
        <v>8190.26</v>
      </c>
      <c r="K4908" s="33" t="n">
        <f aca="false">IF(OR(E4908=0,E4908&gt;=7),0,D4908/(7-E4908)*E4908*INDEX(Products!$E$2:$E$49,MATCH(C4908,Products!$A$2:$A$49,0)))</f>
        <v>0</v>
      </c>
    </row>
    <row r="4909" customFormat="false" ht="15" hidden="false" customHeight="false" outlineLevel="0" collapsed="false">
      <c r="A4909" s="36" t="n">
        <v>46167</v>
      </c>
      <c r="B4909" s="24" t="s">
        <v>65</v>
      </c>
      <c r="C4909" s="24" t="s">
        <v>123</v>
      </c>
      <c r="D4909" s="33" t="n">
        <v>219</v>
      </c>
      <c r="E4909" s="24" t="n">
        <v>0</v>
      </c>
      <c r="F4909" s="37" t="n">
        <f aca="false">DATE(YEAR(A4909),MONTH(A4909),1)</f>
        <v>46143</v>
      </c>
      <c r="G4909" s="24" t="str">
        <f aca="false">INDEX(Products!$C$2:$C$49,MATCH(C4909,Products!$A$2:$A$49,0))</f>
        <v>Grocery Staples</v>
      </c>
      <c r="H4909" s="33" t="n">
        <f aca="false">D4909*INDEX(Products!$E$2:$E$49,MATCH(C4909,Products!$A$2:$A$49,0))</f>
        <v>74460</v>
      </c>
      <c r="I4909" s="33" t="n">
        <f aca="false">D4909*INDEX(Products!$D$2:$D$49,MATCH(C4909,Products!$A$2:$A$49,0))*(1+INDEX(Assumptions!$B$16:$B$20,MATCH(B4909,Assumptions!$A$16:$A$20,0)))</f>
        <v>66343.86</v>
      </c>
      <c r="J4909" s="33" t="n">
        <f aca="false">H4909-I4909</f>
        <v>8116.14</v>
      </c>
      <c r="K4909" s="33" t="n">
        <f aca="false">IF(OR(E4909=0,E4909&gt;=7),0,D4909/(7-E4909)*E4909*INDEX(Products!$E$2:$E$49,MATCH(C4909,Products!$A$2:$A$49,0)))</f>
        <v>0</v>
      </c>
    </row>
    <row r="4910" customFormat="false" ht="15" hidden="false" customHeight="false" outlineLevel="0" collapsed="false">
      <c r="A4910" s="36" t="n">
        <v>46174</v>
      </c>
      <c r="B4910" s="24" t="s">
        <v>65</v>
      </c>
      <c r="C4910" s="24" t="s">
        <v>123</v>
      </c>
      <c r="D4910" s="33" t="n">
        <v>187</v>
      </c>
      <c r="E4910" s="24" t="n">
        <v>0</v>
      </c>
      <c r="F4910" s="37" t="n">
        <f aca="false">DATE(YEAR(A4910),MONTH(A4910),1)</f>
        <v>46174</v>
      </c>
      <c r="G4910" s="24" t="str">
        <f aca="false">INDEX(Products!$C$2:$C$49,MATCH(C4910,Products!$A$2:$A$49,0))</f>
        <v>Grocery Staples</v>
      </c>
      <c r="H4910" s="33" t="n">
        <f aca="false">D4910*INDEX(Products!$E$2:$E$49,MATCH(C4910,Products!$A$2:$A$49,0))</f>
        <v>63580</v>
      </c>
      <c r="I4910" s="33" t="n">
        <f aca="false">D4910*INDEX(Products!$D$2:$D$49,MATCH(C4910,Products!$A$2:$A$49,0))*(1+INDEX(Assumptions!$B$16:$B$20,MATCH(B4910,Assumptions!$A$16:$A$20,0)))</f>
        <v>56649.78</v>
      </c>
      <c r="J4910" s="33" t="n">
        <f aca="false">H4910-I4910</f>
        <v>6930.22</v>
      </c>
      <c r="K4910" s="33" t="n">
        <f aca="false">IF(OR(E4910=0,E4910&gt;=7),0,D4910/(7-E4910)*E4910*INDEX(Products!$E$2:$E$49,MATCH(C4910,Products!$A$2:$A$49,0)))</f>
        <v>0</v>
      </c>
    </row>
    <row r="4911" customFormat="false" ht="15" hidden="false" customHeight="false" outlineLevel="0" collapsed="false">
      <c r="A4911" s="36" t="n">
        <v>46181</v>
      </c>
      <c r="B4911" s="24" t="s">
        <v>65</v>
      </c>
      <c r="C4911" s="24" t="s">
        <v>123</v>
      </c>
      <c r="D4911" s="33" t="n">
        <v>188</v>
      </c>
      <c r="E4911" s="24" t="n">
        <v>0</v>
      </c>
      <c r="F4911" s="37" t="n">
        <f aca="false">DATE(YEAR(A4911),MONTH(A4911),1)</f>
        <v>46174</v>
      </c>
      <c r="G4911" s="24" t="str">
        <f aca="false">INDEX(Products!$C$2:$C$49,MATCH(C4911,Products!$A$2:$A$49,0))</f>
        <v>Grocery Staples</v>
      </c>
      <c r="H4911" s="33" t="n">
        <f aca="false">D4911*INDEX(Products!$E$2:$E$49,MATCH(C4911,Products!$A$2:$A$49,0))</f>
        <v>63920</v>
      </c>
      <c r="I4911" s="33" t="n">
        <f aca="false">D4911*INDEX(Products!$D$2:$D$49,MATCH(C4911,Products!$A$2:$A$49,0))*(1+INDEX(Assumptions!$B$16:$B$20,MATCH(B4911,Assumptions!$A$16:$A$20,0)))</f>
        <v>56952.72</v>
      </c>
      <c r="J4911" s="33" t="n">
        <f aca="false">H4911-I4911</f>
        <v>6967.28</v>
      </c>
      <c r="K4911" s="33" t="n">
        <f aca="false">IF(OR(E4911=0,E4911&gt;=7),0,D4911/(7-E4911)*E4911*INDEX(Products!$E$2:$E$49,MATCH(C4911,Products!$A$2:$A$49,0)))</f>
        <v>0</v>
      </c>
    </row>
    <row r="4912" customFormat="false" ht="15" hidden="false" customHeight="false" outlineLevel="0" collapsed="false">
      <c r="A4912" s="36" t="n">
        <v>46188</v>
      </c>
      <c r="B4912" s="24" t="s">
        <v>65</v>
      </c>
      <c r="C4912" s="24" t="s">
        <v>123</v>
      </c>
      <c r="D4912" s="33" t="n">
        <v>200</v>
      </c>
      <c r="E4912" s="24" t="n">
        <v>0</v>
      </c>
      <c r="F4912" s="37" t="n">
        <f aca="false">DATE(YEAR(A4912),MONTH(A4912),1)</f>
        <v>46174</v>
      </c>
      <c r="G4912" s="24" t="str">
        <f aca="false">INDEX(Products!$C$2:$C$49,MATCH(C4912,Products!$A$2:$A$49,0))</f>
        <v>Grocery Staples</v>
      </c>
      <c r="H4912" s="33" t="n">
        <f aca="false">D4912*INDEX(Products!$E$2:$E$49,MATCH(C4912,Products!$A$2:$A$49,0))</f>
        <v>68000</v>
      </c>
      <c r="I4912" s="33" t="n">
        <f aca="false">D4912*INDEX(Products!$D$2:$D$49,MATCH(C4912,Products!$A$2:$A$49,0))*(1+INDEX(Assumptions!$B$16:$B$20,MATCH(B4912,Assumptions!$A$16:$A$20,0)))</f>
        <v>60588</v>
      </c>
      <c r="J4912" s="33" t="n">
        <f aca="false">H4912-I4912</f>
        <v>7412</v>
      </c>
      <c r="K4912" s="33" t="n">
        <f aca="false">IF(OR(E4912=0,E4912&gt;=7),0,D4912/(7-E4912)*E4912*INDEX(Products!$E$2:$E$49,MATCH(C4912,Products!$A$2:$A$49,0)))</f>
        <v>0</v>
      </c>
    </row>
    <row r="4913" customFormat="false" ht="15" hidden="false" customHeight="false" outlineLevel="0" collapsed="false">
      <c r="A4913" s="36" t="n">
        <v>46195</v>
      </c>
      <c r="B4913" s="24" t="s">
        <v>65</v>
      </c>
      <c r="C4913" s="24" t="s">
        <v>123</v>
      </c>
      <c r="D4913" s="33" t="n">
        <v>216</v>
      </c>
      <c r="E4913" s="24" t="n">
        <v>0</v>
      </c>
      <c r="F4913" s="37" t="n">
        <f aca="false">DATE(YEAR(A4913),MONTH(A4913),1)</f>
        <v>46174</v>
      </c>
      <c r="G4913" s="24" t="str">
        <f aca="false">INDEX(Products!$C$2:$C$49,MATCH(C4913,Products!$A$2:$A$49,0))</f>
        <v>Grocery Staples</v>
      </c>
      <c r="H4913" s="33" t="n">
        <f aca="false">D4913*INDEX(Products!$E$2:$E$49,MATCH(C4913,Products!$A$2:$A$49,0))</f>
        <v>73440</v>
      </c>
      <c r="I4913" s="33" t="n">
        <f aca="false">D4913*INDEX(Products!$D$2:$D$49,MATCH(C4913,Products!$A$2:$A$49,0))*(1+INDEX(Assumptions!$B$16:$B$20,MATCH(B4913,Assumptions!$A$16:$A$20,0)))</f>
        <v>65435.04</v>
      </c>
      <c r="J4913" s="33" t="n">
        <f aca="false">H4913-I4913</f>
        <v>8004.96</v>
      </c>
      <c r="K4913" s="33" t="n">
        <f aca="false">IF(OR(E4913=0,E4913&gt;=7),0,D4913/(7-E4913)*E4913*INDEX(Products!$E$2:$E$49,MATCH(C4913,Products!$A$2:$A$49,0)))</f>
        <v>0</v>
      </c>
    </row>
    <row r="4914" customFormat="false" ht="15" hidden="false" customHeight="false" outlineLevel="0" collapsed="false">
      <c r="A4914" s="36" t="n">
        <v>46202</v>
      </c>
      <c r="B4914" s="24" t="s">
        <v>65</v>
      </c>
      <c r="C4914" s="24" t="s">
        <v>123</v>
      </c>
      <c r="D4914" s="33" t="n">
        <v>207</v>
      </c>
      <c r="E4914" s="24" t="n">
        <v>0</v>
      </c>
      <c r="F4914" s="37" t="n">
        <f aca="false">DATE(YEAR(A4914),MONTH(A4914),1)</f>
        <v>46174</v>
      </c>
      <c r="G4914" s="24" t="str">
        <f aca="false">INDEX(Products!$C$2:$C$49,MATCH(C4914,Products!$A$2:$A$49,0))</f>
        <v>Grocery Staples</v>
      </c>
      <c r="H4914" s="33" t="n">
        <f aca="false">D4914*INDEX(Products!$E$2:$E$49,MATCH(C4914,Products!$A$2:$A$49,0))</f>
        <v>70380</v>
      </c>
      <c r="I4914" s="33" t="n">
        <f aca="false">D4914*INDEX(Products!$D$2:$D$49,MATCH(C4914,Products!$A$2:$A$49,0))*(1+INDEX(Assumptions!$B$16:$B$20,MATCH(B4914,Assumptions!$A$16:$A$20,0)))</f>
        <v>62708.58</v>
      </c>
      <c r="J4914" s="33" t="n">
        <f aca="false">H4914-I4914</f>
        <v>7671.42</v>
      </c>
      <c r="K4914" s="33" t="n">
        <f aca="false">IF(OR(E4914=0,E4914&gt;=7),0,D4914/(7-E4914)*E4914*INDEX(Products!$E$2:$E$49,MATCH(C4914,Products!$A$2:$A$49,0)))</f>
        <v>0</v>
      </c>
    </row>
    <row r="4915" customFormat="false" ht="15" hidden="false" customHeight="false" outlineLevel="0" collapsed="false">
      <c r="A4915" s="36" t="n">
        <v>46209</v>
      </c>
      <c r="B4915" s="24" t="s">
        <v>65</v>
      </c>
      <c r="C4915" s="24" t="s">
        <v>123</v>
      </c>
      <c r="D4915" s="33" t="n">
        <v>179</v>
      </c>
      <c r="E4915" s="24" t="n">
        <v>0</v>
      </c>
      <c r="F4915" s="37" t="n">
        <f aca="false">DATE(YEAR(A4915),MONTH(A4915),1)</f>
        <v>46204</v>
      </c>
      <c r="G4915" s="24" t="str">
        <f aca="false">INDEX(Products!$C$2:$C$49,MATCH(C4915,Products!$A$2:$A$49,0))</f>
        <v>Grocery Staples</v>
      </c>
      <c r="H4915" s="33" t="n">
        <f aca="false">D4915*INDEX(Products!$E$2:$E$49,MATCH(C4915,Products!$A$2:$A$49,0))</f>
        <v>60860</v>
      </c>
      <c r="I4915" s="33" t="n">
        <f aca="false">D4915*INDEX(Products!$D$2:$D$49,MATCH(C4915,Products!$A$2:$A$49,0))*(1+INDEX(Assumptions!$B$16:$B$20,MATCH(B4915,Assumptions!$A$16:$A$20,0)))</f>
        <v>54226.26</v>
      </c>
      <c r="J4915" s="33" t="n">
        <f aca="false">H4915-I4915</f>
        <v>6633.74</v>
      </c>
      <c r="K4915" s="33" t="n">
        <f aca="false">IF(OR(E4915=0,E4915&gt;=7),0,D4915/(7-E4915)*E4915*INDEX(Products!$E$2:$E$49,MATCH(C4915,Products!$A$2:$A$49,0)))</f>
        <v>0</v>
      </c>
    </row>
    <row r="4916" customFormat="false" ht="15" hidden="false" customHeight="false" outlineLevel="0" collapsed="false">
      <c r="A4916" s="36" t="n">
        <v>46216</v>
      </c>
      <c r="B4916" s="24" t="s">
        <v>65</v>
      </c>
      <c r="C4916" s="24" t="s">
        <v>123</v>
      </c>
      <c r="D4916" s="33" t="n">
        <v>209</v>
      </c>
      <c r="E4916" s="24" t="n">
        <v>0</v>
      </c>
      <c r="F4916" s="37" t="n">
        <f aca="false">DATE(YEAR(A4916),MONTH(A4916),1)</f>
        <v>46204</v>
      </c>
      <c r="G4916" s="24" t="str">
        <f aca="false">INDEX(Products!$C$2:$C$49,MATCH(C4916,Products!$A$2:$A$49,0))</f>
        <v>Grocery Staples</v>
      </c>
      <c r="H4916" s="33" t="n">
        <f aca="false">D4916*INDEX(Products!$E$2:$E$49,MATCH(C4916,Products!$A$2:$A$49,0))</f>
        <v>71060</v>
      </c>
      <c r="I4916" s="33" t="n">
        <f aca="false">D4916*INDEX(Products!$D$2:$D$49,MATCH(C4916,Products!$A$2:$A$49,0))*(1+INDEX(Assumptions!$B$16:$B$20,MATCH(B4916,Assumptions!$A$16:$A$20,0)))</f>
        <v>63314.46</v>
      </c>
      <c r="J4916" s="33" t="n">
        <f aca="false">H4916-I4916</f>
        <v>7745.54</v>
      </c>
      <c r="K4916" s="33" t="n">
        <f aca="false">IF(OR(E4916=0,E4916&gt;=7),0,D4916/(7-E4916)*E4916*INDEX(Products!$E$2:$E$49,MATCH(C4916,Products!$A$2:$A$49,0)))</f>
        <v>0</v>
      </c>
    </row>
    <row r="4917" customFormat="false" ht="15" hidden="false" customHeight="false" outlineLevel="0" collapsed="false">
      <c r="A4917" s="36" t="n">
        <v>46223</v>
      </c>
      <c r="B4917" s="24" t="s">
        <v>65</v>
      </c>
      <c r="C4917" s="24" t="s">
        <v>123</v>
      </c>
      <c r="D4917" s="33" t="n">
        <v>240</v>
      </c>
      <c r="E4917" s="24" t="n">
        <v>0</v>
      </c>
      <c r="F4917" s="37" t="n">
        <f aca="false">DATE(YEAR(A4917),MONTH(A4917),1)</f>
        <v>46204</v>
      </c>
      <c r="G4917" s="24" t="str">
        <f aca="false">INDEX(Products!$C$2:$C$49,MATCH(C4917,Products!$A$2:$A$49,0))</f>
        <v>Grocery Staples</v>
      </c>
      <c r="H4917" s="33" t="n">
        <f aca="false">D4917*INDEX(Products!$E$2:$E$49,MATCH(C4917,Products!$A$2:$A$49,0))</f>
        <v>81600</v>
      </c>
      <c r="I4917" s="33" t="n">
        <f aca="false">D4917*INDEX(Products!$D$2:$D$49,MATCH(C4917,Products!$A$2:$A$49,0))*(1+INDEX(Assumptions!$B$16:$B$20,MATCH(B4917,Assumptions!$A$16:$A$20,0)))</f>
        <v>72705.6</v>
      </c>
      <c r="J4917" s="33" t="n">
        <f aca="false">H4917-I4917</f>
        <v>8894.39999999999</v>
      </c>
      <c r="K4917" s="33" t="n">
        <f aca="false">IF(OR(E4917=0,E4917&gt;=7),0,D4917/(7-E4917)*E4917*INDEX(Products!$E$2:$E$49,MATCH(C4917,Products!$A$2:$A$49,0)))</f>
        <v>0</v>
      </c>
    </row>
    <row r="4918" customFormat="false" ht="15" hidden="false" customHeight="false" outlineLevel="0" collapsed="false">
      <c r="A4918" s="36" t="n">
        <v>46230</v>
      </c>
      <c r="B4918" s="24" t="s">
        <v>65</v>
      </c>
      <c r="C4918" s="24" t="s">
        <v>123</v>
      </c>
      <c r="D4918" s="33" t="n">
        <v>232</v>
      </c>
      <c r="E4918" s="24" t="n">
        <v>0</v>
      </c>
      <c r="F4918" s="37" t="n">
        <f aca="false">DATE(YEAR(A4918),MONTH(A4918),1)</f>
        <v>46204</v>
      </c>
      <c r="G4918" s="24" t="str">
        <f aca="false">INDEX(Products!$C$2:$C$49,MATCH(C4918,Products!$A$2:$A$49,0))</f>
        <v>Grocery Staples</v>
      </c>
      <c r="H4918" s="33" t="n">
        <f aca="false">D4918*INDEX(Products!$E$2:$E$49,MATCH(C4918,Products!$A$2:$A$49,0))</f>
        <v>78880</v>
      </c>
      <c r="I4918" s="33" t="n">
        <f aca="false">D4918*INDEX(Products!$D$2:$D$49,MATCH(C4918,Products!$A$2:$A$49,0))*(1+INDEX(Assumptions!$B$16:$B$20,MATCH(B4918,Assumptions!$A$16:$A$20,0)))</f>
        <v>70282.08</v>
      </c>
      <c r="J4918" s="33" t="n">
        <f aca="false">H4918-I4918</f>
        <v>8597.92</v>
      </c>
      <c r="K4918" s="33" t="n">
        <f aca="false">IF(OR(E4918=0,E4918&gt;=7),0,D4918/(7-E4918)*E4918*INDEX(Products!$E$2:$E$49,MATCH(C4918,Products!$A$2:$A$49,0)))</f>
        <v>0</v>
      </c>
    </row>
    <row r="4919" customFormat="false" ht="15" hidden="false" customHeight="false" outlineLevel="0" collapsed="false">
      <c r="A4919" s="36" t="n">
        <v>46237</v>
      </c>
      <c r="B4919" s="24" t="s">
        <v>65</v>
      </c>
      <c r="C4919" s="24" t="s">
        <v>123</v>
      </c>
      <c r="D4919" s="33" t="n">
        <v>193</v>
      </c>
      <c r="E4919" s="24" t="n">
        <v>0</v>
      </c>
      <c r="F4919" s="37" t="n">
        <f aca="false">DATE(YEAR(A4919),MONTH(A4919),1)</f>
        <v>46235</v>
      </c>
      <c r="G4919" s="24" t="str">
        <f aca="false">INDEX(Products!$C$2:$C$49,MATCH(C4919,Products!$A$2:$A$49,0))</f>
        <v>Grocery Staples</v>
      </c>
      <c r="H4919" s="33" t="n">
        <f aca="false">D4919*INDEX(Products!$E$2:$E$49,MATCH(C4919,Products!$A$2:$A$49,0))</f>
        <v>65620</v>
      </c>
      <c r="I4919" s="33" t="n">
        <f aca="false">D4919*INDEX(Products!$D$2:$D$49,MATCH(C4919,Products!$A$2:$A$49,0))*(1+INDEX(Assumptions!$B$16:$B$20,MATCH(B4919,Assumptions!$A$16:$A$20,0)))</f>
        <v>58467.42</v>
      </c>
      <c r="J4919" s="33" t="n">
        <f aca="false">H4919-I4919</f>
        <v>7152.58</v>
      </c>
      <c r="K4919" s="33" t="n">
        <f aca="false">IF(OR(E4919=0,E4919&gt;=7),0,D4919/(7-E4919)*E4919*INDEX(Products!$E$2:$E$49,MATCH(C4919,Products!$A$2:$A$49,0)))</f>
        <v>0</v>
      </c>
    </row>
    <row r="4920" customFormat="false" ht="15" hidden="false" customHeight="false" outlineLevel="0" collapsed="false">
      <c r="A4920" s="36" t="n">
        <v>46244</v>
      </c>
      <c r="B4920" s="24" t="s">
        <v>65</v>
      </c>
      <c r="C4920" s="24" t="s">
        <v>123</v>
      </c>
      <c r="D4920" s="33" t="n">
        <v>212</v>
      </c>
      <c r="E4920" s="24" t="n">
        <v>0</v>
      </c>
      <c r="F4920" s="37" t="n">
        <f aca="false">DATE(YEAR(A4920),MONTH(A4920),1)</f>
        <v>46235</v>
      </c>
      <c r="G4920" s="24" t="str">
        <f aca="false">INDEX(Products!$C$2:$C$49,MATCH(C4920,Products!$A$2:$A$49,0))</f>
        <v>Grocery Staples</v>
      </c>
      <c r="H4920" s="33" t="n">
        <f aca="false">D4920*INDEX(Products!$E$2:$E$49,MATCH(C4920,Products!$A$2:$A$49,0))</f>
        <v>72080</v>
      </c>
      <c r="I4920" s="33" t="n">
        <f aca="false">D4920*INDEX(Products!$D$2:$D$49,MATCH(C4920,Products!$A$2:$A$49,0))*(1+INDEX(Assumptions!$B$16:$B$20,MATCH(B4920,Assumptions!$A$16:$A$20,0)))</f>
        <v>64223.28</v>
      </c>
      <c r="J4920" s="33" t="n">
        <f aca="false">H4920-I4920</f>
        <v>7856.72</v>
      </c>
      <c r="K4920" s="33" t="n">
        <f aca="false">IF(OR(E4920=0,E4920&gt;=7),0,D4920/(7-E4920)*E4920*INDEX(Products!$E$2:$E$49,MATCH(C4920,Products!$A$2:$A$49,0)))</f>
        <v>0</v>
      </c>
    </row>
    <row r="4921" customFormat="false" ht="15" hidden="false" customHeight="false" outlineLevel="0" collapsed="false">
      <c r="A4921" s="36" t="n">
        <v>46251</v>
      </c>
      <c r="B4921" s="24" t="s">
        <v>65</v>
      </c>
      <c r="C4921" s="24" t="s">
        <v>123</v>
      </c>
      <c r="D4921" s="33" t="n">
        <v>222</v>
      </c>
      <c r="E4921" s="24" t="n">
        <v>0</v>
      </c>
      <c r="F4921" s="37" t="n">
        <f aca="false">DATE(YEAR(A4921),MONTH(A4921),1)</f>
        <v>46235</v>
      </c>
      <c r="G4921" s="24" t="str">
        <f aca="false">INDEX(Products!$C$2:$C$49,MATCH(C4921,Products!$A$2:$A$49,0))</f>
        <v>Grocery Staples</v>
      </c>
      <c r="H4921" s="33" t="n">
        <f aca="false">D4921*INDEX(Products!$E$2:$E$49,MATCH(C4921,Products!$A$2:$A$49,0))</f>
        <v>75480</v>
      </c>
      <c r="I4921" s="33" t="n">
        <f aca="false">D4921*INDEX(Products!$D$2:$D$49,MATCH(C4921,Products!$A$2:$A$49,0))*(1+INDEX(Assumptions!$B$16:$B$20,MATCH(B4921,Assumptions!$A$16:$A$20,0)))</f>
        <v>67252.68</v>
      </c>
      <c r="J4921" s="33" t="n">
        <f aca="false">H4921-I4921</f>
        <v>8227.31999999999</v>
      </c>
      <c r="K4921" s="33" t="n">
        <f aca="false">IF(OR(E4921=0,E4921&gt;=7),0,D4921/(7-E4921)*E4921*INDEX(Products!$E$2:$E$49,MATCH(C4921,Products!$A$2:$A$49,0)))</f>
        <v>0</v>
      </c>
    </row>
    <row r="4922" customFormat="false" ht="15" hidden="false" customHeight="false" outlineLevel="0" collapsed="false">
      <c r="A4922" s="36" t="n">
        <v>46258</v>
      </c>
      <c r="B4922" s="24" t="s">
        <v>65</v>
      </c>
      <c r="C4922" s="24" t="s">
        <v>123</v>
      </c>
      <c r="D4922" s="33" t="n">
        <v>244</v>
      </c>
      <c r="E4922" s="24" t="n">
        <v>0</v>
      </c>
      <c r="F4922" s="37" t="n">
        <f aca="false">DATE(YEAR(A4922),MONTH(A4922),1)</f>
        <v>46235</v>
      </c>
      <c r="G4922" s="24" t="str">
        <f aca="false">INDEX(Products!$C$2:$C$49,MATCH(C4922,Products!$A$2:$A$49,0))</f>
        <v>Grocery Staples</v>
      </c>
      <c r="H4922" s="33" t="n">
        <f aca="false">D4922*INDEX(Products!$E$2:$E$49,MATCH(C4922,Products!$A$2:$A$49,0))</f>
        <v>82960</v>
      </c>
      <c r="I4922" s="33" t="n">
        <f aca="false">D4922*INDEX(Products!$D$2:$D$49,MATCH(C4922,Products!$A$2:$A$49,0))*(1+INDEX(Assumptions!$B$16:$B$20,MATCH(B4922,Assumptions!$A$16:$A$20,0)))</f>
        <v>73917.36</v>
      </c>
      <c r="J4922" s="33" t="n">
        <f aca="false">H4922-I4922</f>
        <v>9042.64</v>
      </c>
      <c r="K4922" s="33" t="n">
        <f aca="false">IF(OR(E4922=0,E4922&gt;=7),0,D4922/(7-E4922)*E4922*INDEX(Products!$E$2:$E$49,MATCH(C4922,Products!$A$2:$A$49,0)))</f>
        <v>0</v>
      </c>
    </row>
    <row r="4923" customFormat="false" ht="15" hidden="false" customHeight="false" outlineLevel="0" collapsed="false">
      <c r="A4923" s="36" t="n">
        <v>46265</v>
      </c>
      <c r="B4923" s="24" t="s">
        <v>65</v>
      </c>
      <c r="C4923" s="24" t="s">
        <v>123</v>
      </c>
      <c r="D4923" s="33" t="n">
        <v>263</v>
      </c>
      <c r="E4923" s="24" t="n">
        <v>0</v>
      </c>
      <c r="F4923" s="37" t="n">
        <f aca="false">DATE(YEAR(A4923),MONTH(A4923),1)</f>
        <v>46235</v>
      </c>
      <c r="G4923" s="24" t="str">
        <f aca="false">INDEX(Products!$C$2:$C$49,MATCH(C4923,Products!$A$2:$A$49,0))</f>
        <v>Grocery Staples</v>
      </c>
      <c r="H4923" s="33" t="n">
        <f aca="false">D4923*INDEX(Products!$E$2:$E$49,MATCH(C4923,Products!$A$2:$A$49,0))</f>
        <v>89420</v>
      </c>
      <c r="I4923" s="33" t="n">
        <f aca="false">D4923*INDEX(Products!$D$2:$D$49,MATCH(C4923,Products!$A$2:$A$49,0))*(1+INDEX(Assumptions!$B$16:$B$20,MATCH(B4923,Assumptions!$A$16:$A$20,0)))</f>
        <v>79673.22</v>
      </c>
      <c r="J4923" s="33" t="n">
        <f aca="false">H4923-I4923</f>
        <v>9746.78</v>
      </c>
      <c r="K4923" s="33" t="n">
        <f aca="false">IF(OR(E4923=0,E4923&gt;=7),0,D4923/(7-E4923)*E4923*INDEX(Products!$E$2:$E$49,MATCH(C4923,Products!$A$2:$A$49,0)))</f>
        <v>0</v>
      </c>
    </row>
    <row r="4924" customFormat="false" ht="15" hidden="false" customHeight="false" outlineLevel="0" collapsed="false">
      <c r="A4924" s="36" t="n">
        <v>46272</v>
      </c>
      <c r="B4924" s="24" t="s">
        <v>65</v>
      </c>
      <c r="C4924" s="24" t="s">
        <v>123</v>
      </c>
      <c r="D4924" s="33" t="n">
        <v>234</v>
      </c>
      <c r="E4924" s="24" t="n">
        <v>0</v>
      </c>
      <c r="F4924" s="37" t="n">
        <f aca="false">DATE(YEAR(A4924),MONTH(A4924),1)</f>
        <v>46266</v>
      </c>
      <c r="G4924" s="24" t="str">
        <f aca="false">INDEX(Products!$C$2:$C$49,MATCH(C4924,Products!$A$2:$A$49,0))</f>
        <v>Grocery Staples</v>
      </c>
      <c r="H4924" s="33" t="n">
        <f aca="false">D4924*INDEX(Products!$E$2:$E$49,MATCH(C4924,Products!$A$2:$A$49,0))</f>
        <v>79560</v>
      </c>
      <c r="I4924" s="33" t="n">
        <f aca="false">D4924*INDEX(Products!$D$2:$D$49,MATCH(C4924,Products!$A$2:$A$49,0))*(1+INDEX(Assumptions!$B$16:$B$20,MATCH(B4924,Assumptions!$A$16:$A$20,0)))</f>
        <v>70887.96</v>
      </c>
      <c r="J4924" s="33" t="n">
        <f aca="false">H4924-I4924</f>
        <v>8672.03999999999</v>
      </c>
      <c r="K4924" s="33" t="n">
        <f aca="false">IF(OR(E4924=0,E4924&gt;=7),0,D4924/(7-E4924)*E4924*INDEX(Products!$E$2:$E$49,MATCH(C4924,Products!$A$2:$A$49,0)))</f>
        <v>0</v>
      </c>
    </row>
    <row r="4925" customFormat="false" ht="15" hidden="false" customHeight="false" outlineLevel="0" collapsed="false">
      <c r="A4925" s="36" t="n">
        <v>46279</v>
      </c>
      <c r="B4925" s="24" t="s">
        <v>65</v>
      </c>
      <c r="C4925" s="24" t="s">
        <v>123</v>
      </c>
      <c r="D4925" s="33" t="n">
        <v>285</v>
      </c>
      <c r="E4925" s="24" t="n">
        <v>0</v>
      </c>
      <c r="F4925" s="37" t="n">
        <f aca="false">DATE(YEAR(A4925),MONTH(A4925),1)</f>
        <v>46266</v>
      </c>
      <c r="G4925" s="24" t="str">
        <f aca="false">INDEX(Products!$C$2:$C$49,MATCH(C4925,Products!$A$2:$A$49,0))</f>
        <v>Grocery Staples</v>
      </c>
      <c r="H4925" s="33" t="n">
        <f aca="false">D4925*INDEX(Products!$E$2:$E$49,MATCH(C4925,Products!$A$2:$A$49,0))</f>
        <v>96900</v>
      </c>
      <c r="I4925" s="33" t="n">
        <f aca="false">D4925*INDEX(Products!$D$2:$D$49,MATCH(C4925,Products!$A$2:$A$49,0))*(1+INDEX(Assumptions!$B$16:$B$20,MATCH(B4925,Assumptions!$A$16:$A$20,0)))</f>
        <v>86337.9</v>
      </c>
      <c r="J4925" s="33" t="n">
        <f aca="false">H4925-I4925</f>
        <v>10562.1</v>
      </c>
      <c r="K4925" s="33" t="n">
        <f aca="false">IF(OR(E4925=0,E4925&gt;=7),0,D4925/(7-E4925)*E4925*INDEX(Products!$E$2:$E$49,MATCH(C4925,Products!$A$2:$A$49,0)))</f>
        <v>0</v>
      </c>
    </row>
    <row r="4926" customFormat="false" ht="15" hidden="false" customHeight="false" outlineLevel="0" collapsed="false">
      <c r="A4926" s="36" t="n">
        <v>46286</v>
      </c>
      <c r="B4926" s="24" t="s">
        <v>65</v>
      </c>
      <c r="C4926" s="24" t="s">
        <v>123</v>
      </c>
      <c r="D4926" s="33" t="n">
        <v>278</v>
      </c>
      <c r="E4926" s="24" t="n">
        <v>0</v>
      </c>
      <c r="F4926" s="37" t="n">
        <f aca="false">DATE(YEAR(A4926),MONTH(A4926),1)</f>
        <v>46266</v>
      </c>
      <c r="G4926" s="24" t="str">
        <f aca="false">INDEX(Products!$C$2:$C$49,MATCH(C4926,Products!$A$2:$A$49,0))</f>
        <v>Grocery Staples</v>
      </c>
      <c r="H4926" s="33" t="n">
        <f aca="false">D4926*INDEX(Products!$E$2:$E$49,MATCH(C4926,Products!$A$2:$A$49,0))</f>
        <v>94520</v>
      </c>
      <c r="I4926" s="33" t="n">
        <f aca="false">D4926*INDEX(Products!$D$2:$D$49,MATCH(C4926,Products!$A$2:$A$49,0))*(1+INDEX(Assumptions!$B$16:$B$20,MATCH(B4926,Assumptions!$A$16:$A$20,0)))</f>
        <v>84217.32</v>
      </c>
      <c r="J4926" s="33" t="n">
        <f aca="false">H4926-I4926</f>
        <v>10302.68</v>
      </c>
      <c r="K4926" s="33" t="n">
        <f aca="false">IF(OR(E4926=0,E4926&gt;=7),0,D4926/(7-E4926)*E4926*INDEX(Products!$E$2:$E$49,MATCH(C4926,Products!$A$2:$A$49,0)))</f>
        <v>0</v>
      </c>
    </row>
    <row r="4927" customFormat="false" ht="15" hidden="false" customHeight="false" outlineLevel="0" collapsed="false">
      <c r="A4927" s="36" t="n">
        <v>46118</v>
      </c>
      <c r="B4927" s="24" t="s">
        <v>65</v>
      </c>
      <c r="C4927" s="24" t="s">
        <v>125</v>
      </c>
      <c r="D4927" s="33" t="n">
        <v>47</v>
      </c>
      <c r="E4927" s="24" t="n">
        <v>0</v>
      </c>
      <c r="F4927" s="37" t="n">
        <f aca="false">DATE(YEAR(A4927),MONTH(A4927),1)</f>
        <v>46113</v>
      </c>
      <c r="G4927" s="24" t="str">
        <f aca="false">INDEX(Products!$C$2:$C$49,MATCH(C4927,Products!$A$2:$A$49,0))</f>
        <v>Grocery Staples</v>
      </c>
      <c r="H4927" s="33" t="n">
        <f aca="false">D4927*INDEX(Products!$E$2:$E$49,MATCH(C4927,Products!$A$2:$A$49,0))</f>
        <v>2115</v>
      </c>
      <c r="I4927" s="33" t="n">
        <f aca="false">D4927*INDEX(Products!$D$2:$D$49,MATCH(C4927,Products!$A$2:$A$49,0))*(1+INDEX(Assumptions!$B$16:$B$20,MATCH(B4927,Assumptions!$A$16:$A$20,0)))</f>
        <v>1917.6</v>
      </c>
      <c r="J4927" s="33" t="n">
        <f aca="false">H4927-I4927</f>
        <v>197.4</v>
      </c>
      <c r="K4927" s="33" t="n">
        <f aca="false">IF(OR(E4927=0,E4927&gt;=7),0,D4927/(7-E4927)*E4927*INDEX(Products!$E$2:$E$49,MATCH(C4927,Products!$A$2:$A$49,0)))</f>
        <v>0</v>
      </c>
    </row>
    <row r="4928" customFormat="false" ht="15" hidden="false" customHeight="false" outlineLevel="0" collapsed="false">
      <c r="A4928" s="36" t="n">
        <v>46125</v>
      </c>
      <c r="B4928" s="24" t="s">
        <v>65</v>
      </c>
      <c r="C4928" s="24" t="s">
        <v>125</v>
      </c>
      <c r="D4928" s="33" t="n">
        <v>45</v>
      </c>
      <c r="E4928" s="24" t="n">
        <v>0</v>
      </c>
      <c r="F4928" s="37" t="n">
        <f aca="false">DATE(YEAR(A4928),MONTH(A4928),1)</f>
        <v>46113</v>
      </c>
      <c r="G4928" s="24" t="str">
        <f aca="false">INDEX(Products!$C$2:$C$49,MATCH(C4928,Products!$A$2:$A$49,0))</f>
        <v>Grocery Staples</v>
      </c>
      <c r="H4928" s="33" t="n">
        <f aca="false">D4928*INDEX(Products!$E$2:$E$49,MATCH(C4928,Products!$A$2:$A$49,0))</f>
        <v>2025</v>
      </c>
      <c r="I4928" s="33" t="n">
        <f aca="false">D4928*INDEX(Products!$D$2:$D$49,MATCH(C4928,Products!$A$2:$A$49,0))*(1+INDEX(Assumptions!$B$16:$B$20,MATCH(B4928,Assumptions!$A$16:$A$20,0)))</f>
        <v>1836</v>
      </c>
      <c r="J4928" s="33" t="n">
        <f aca="false">H4928-I4928</f>
        <v>189</v>
      </c>
      <c r="K4928" s="33" t="n">
        <f aca="false">IF(OR(E4928=0,E4928&gt;=7),0,D4928/(7-E4928)*E4928*INDEX(Products!$E$2:$E$49,MATCH(C4928,Products!$A$2:$A$49,0)))</f>
        <v>0</v>
      </c>
    </row>
    <row r="4929" customFormat="false" ht="15" hidden="false" customHeight="false" outlineLevel="0" collapsed="false">
      <c r="A4929" s="36" t="n">
        <v>46132</v>
      </c>
      <c r="B4929" s="24" t="s">
        <v>65</v>
      </c>
      <c r="C4929" s="24" t="s">
        <v>125</v>
      </c>
      <c r="D4929" s="33" t="n">
        <v>44</v>
      </c>
      <c r="E4929" s="24" t="n">
        <v>0</v>
      </c>
      <c r="F4929" s="37" t="n">
        <f aca="false">DATE(YEAR(A4929),MONTH(A4929),1)</f>
        <v>46113</v>
      </c>
      <c r="G4929" s="24" t="str">
        <f aca="false">INDEX(Products!$C$2:$C$49,MATCH(C4929,Products!$A$2:$A$49,0))</f>
        <v>Grocery Staples</v>
      </c>
      <c r="H4929" s="33" t="n">
        <f aca="false">D4929*INDEX(Products!$E$2:$E$49,MATCH(C4929,Products!$A$2:$A$49,0))</f>
        <v>1980</v>
      </c>
      <c r="I4929" s="33" t="n">
        <f aca="false">D4929*INDEX(Products!$D$2:$D$49,MATCH(C4929,Products!$A$2:$A$49,0))*(1+INDEX(Assumptions!$B$16:$B$20,MATCH(B4929,Assumptions!$A$16:$A$20,0)))</f>
        <v>1795.2</v>
      </c>
      <c r="J4929" s="33" t="n">
        <f aca="false">H4929-I4929</f>
        <v>184.8</v>
      </c>
      <c r="K4929" s="33" t="n">
        <f aca="false">IF(OR(E4929=0,E4929&gt;=7),0,D4929/(7-E4929)*E4929*INDEX(Products!$E$2:$E$49,MATCH(C4929,Products!$A$2:$A$49,0)))</f>
        <v>0</v>
      </c>
    </row>
    <row r="4930" customFormat="false" ht="15" hidden="false" customHeight="false" outlineLevel="0" collapsed="false">
      <c r="A4930" s="36" t="n">
        <v>46139</v>
      </c>
      <c r="B4930" s="24" t="s">
        <v>65</v>
      </c>
      <c r="C4930" s="24" t="s">
        <v>125</v>
      </c>
      <c r="D4930" s="33" t="n">
        <v>54</v>
      </c>
      <c r="E4930" s="24" t="n">
        <v>0</v>
      </c>
      <c r="F4930" s="37" t="n">
        <f aca="false">DATE(YEAR(A4930),MONTH(A4930),1)</f>
        <v>46113</v>
      </c>
      <c r="G4930" s="24" t="str">
        <f aca="false">INDEX(Products!$C$2:$C$49,MATCH(C4930,Products!$A$2:$A$49,0))</f>
        <v>Grocery Staples</v>
      </c>
      <c r="H4930" s="33" t="n">
        <f aca="false">D4930*INDEX(Products!$E$2:$E$49,MATCH(C4930,Products!$A$2:$A$49,0))</f>
        <v>2430</v>
      </c>
      <c r="I4930" s="33" t="n">
        <f aca="false">D4930*INDEX(Products!$D$2:$D$49,MATCH(C4930,Products!$A$2:$A$49,0))*(1+INDEX(Assumptions!$B$16:$B$20,MATCH(B4930,Assumptions!$A$16:$A$20,0)))</f>
        <v>2203.2</v>
      </c>
      <c r="J4930" s="33" t="n">
        <f aca="false">H4930-I4930</f>
        <v>226.8</v>
      </c>
      <c r="K4930" s="33" t="n">
        <f aca="false">IF(OR(E4930=0,E4930&gt;=7),0,D4930/(7-E4930)*E4930*INDEX(Products!$E$2:$E$49,MATCH(C4930,Products!$A$2:$A$49,0)))</f>
        <v>0</v>
      </c>
    </row>
    <row r="4931" customFormat="false" ht="15" hidden="false" customHeight="false" outlineLevel="0" collapsed="false">
      <c r="A4931" s="36" t="n">
        <v>46146</v>
      </c>
      <c r="B4931" s="24" t="s">
        <v>65</v>
      </c>
      <c r="C4931" s="24" t="s">
        <v>125</v>
      </c>
      <c r="D4931" s="33" t="n">
        <v>12</v>
      </c>
      <c r="E4931" s="24" t="n">
        <v>5</v>
      </c>
      <c r="F4931" s="37" t="n">
        <f aca="false">DATE(YEAR(A4931),MONTH(A4931),1)</f>
        <v>46143</v>
      </c>
      <c r="G4931" s="24" t="str">
        <f aca="false">INDEX(Products!$C$2:$C$49,MATCH(C4931,Products!$A$2:$A$49,0))</f>
        <v>Grocery Staples</v>
      </c>
      <c r="H4931" s="33" t="n">
        <f aca="false">D4931*INDEX(Products!$E$2:$E$49,MATCH(C4931,Products!$A$2:$A$49,0))</f>
        <v>540</v>
      </c>
      <c r="I4931" s="33" t="n">
        <f aca="false">D4931*INDEX(Products!$D$2:$D$49,MATCH(C4931,Products!$A$2:$A$49,0))*(1+INDEX(Assumptions!$B$16:$B$20,MATCH(B4931,Assumptions!$A$16:$A$20,0)))</f>
        <v>489.6</v>
      </c>
      <c r="J4931" s="33" t="n">
        <f aca="false">H4931-I4931</f>
        <v>50.4</v>
      </c>
      <c r="K4931" s="33" t="n">
        <f aca="false">IF(OR(E4931=0,E4931&gt;=7),0,D4931/(7-E4931)*E4931*INDEX(Products!$E$2:$E$49,MATCH(C4931,Products!$A$2:$A$49,0)))</f>
        <v>1350</v>
      </c>
    </row>
    <row r="4932" customFormat="false" ht="15" hidden="false" customHeight="false" outlineLevel="0" collapsed="false">
      <c r="A4932" s="36" t="n">
        <v>46153</v>
      </c>
      <c r="B4932" s="24" t="s">
        <v>65</v>
      </c>
      <c r="C4932" s="24" t="s">
        <v>125</v>
      </c>
      <c r="D4932" s="33" t="n">
        <v>42</v>
      </c>
      <c r="E4932" s="24" t="n">
        <v>0</v>
      </c>
      <c r="F4932" s="37" t="n">
        <f aca="false">DATE(YEAR(A4932),MONTH(A4932),1)</f>
        <v>46143</v>
      </c>
      <c r="G4932" s="24" t="str">
        <f aca="false">INDEX(Products!$C$2:$C$49,MATCH(C4932,Products!$A$2:$A$49,0))</f>
        <v>Grocery Staples</v>
      </c>
      <c r="H4932" s="33" t="n">
        <f aca="false">D4932*INDEX(Products!$E$2:$E$49,MATCH(C4932,Products!$A$2:$A$49,0))</f>
        <v>1890</v>
      </c>
      <c r="I4932" s="33" t="n">
        <f aca="false">D4932*INDEX(Products!$D$2:$D$49,MATCH(C4932,Products!$A$2:$A$49,0))*(1+INDEX(Assumptions!$B$16:$B$20,MATCH(B4932,Assumptions!$A$16:$A$20,0)))</f>
        <v>1713.6</v>
      </c>
      <c r="J4932" s="33" t="n">
        <f aca="false">H4932-I4932</f>
        <v>176.4</v>
      </c>
      <c r="K4932" s="33" t="n">
        <f aca="false">IF(OR(E4932=0,E4932&gt;=7),0,D4932/(7-E4932)*E4932*INDEX(Products!$E$2:$E$49,MATCH(C4932,Products!$A$2:$A$49,0)))</f>
        <v>0</v>
      </c>
    </row>
    <row r="4933" customFormat="false" ht="15" hidden="false" customHeight="false" outlineLevel="0" collapsed="false">
      <c r="A4933" s="36" t="n">
        <v>46160</v>
      </c>
      <c r="B4933" s="24" t="s">
        <v>65</v>
      </c>
      <c r="C4933" s="24" t="s">
        <v>125</v>
      </c>
      <c r="D4933" s="33" t="n">
        <v>47</v>
      </c>
      <c r="E4933" s="24" t="n">
        <v>0</v>
      </c>
      <c r="F4933" s="37" t="n">
        <f aca="false">DATE(YEAR(A4933),MONTH(A4933),1)</f>
        <v>46143</v>
      </c>
      <c r="G4933" s="24" t="str">
        <f aca="false">INDEX(Products!$C$2:$C$49,MATCH(C4933,Products!$A$2:$A$49,0))</f>
        <v>Grocery Staples</v>
      </c>
      <c r="H4933" s="33" t="n">
        <f aca="false">D4933*INDEX(Products!$E$2:$E$49,MATCH(C4933,Products!$A$2:$A$49,0))</f>
        <v>2115</v>
      </c>
      <c r="I4933" s="33" t="n">
        <f aca="false">D4933*INDEX(Products!$D$2:$D$49,MATCH(C4933,Products!$A$2:$A$49,0))*(1+INDEX(Assumptions!$B$16:$B$20,MATCH(B4933,Assumptions!$A$16:$A$20,0)))</f>
        <v>1917.6</v>
      </c>
      <c r="J4933" s="33" t="n">
        <f aca="false">H4933-I4933</f>
        <v>197.4</v>
      </c>
      <c r="K4933" s="33" t="n">
        <f aca="false">IF(OR(E4933=0,E4933&gt;=7),0,D4933/(7-E4933)*E4933*INDEX(Products!$E$2:$E$49,MATCH(C4933,Products!$A$2:$A$49,0)))</f>
        <v>0</v>
      </c>
    </row>
    <row r="4934" customFormat="false" ht="15" hidden="false" customHeight="false" outlineLevel="0" collapsed="false">
      <c r="A4934" s="36" t="n">
        <v>46167</v>
      </c>
      <c r="B4934" s="24" t="s">
        <v>65</v>
      </c>
      <c r="C4934" s="24" t="s">
        <v>125</v>
      </c>
      <c r="D4934" s="33" t="n">
        <v>43</v>
      </c>
      <c r="E4934" s="24" t="n">
        <v>0</v>
      </c>
      <c r="F4934" s="37" t="n">
        <f aca="false">DATE(YEAR(A4934),MONTH(A4934),1)</f>
        <v>46143</v>
      </c>
      <c r="G4934" s="24" t="str">
        <f aca="false">INDEX(Products!$C$2:$C$49,MATCH(C4934,Products!$A$2:$A$49,0))</f>
        <v>Grocery Staples</v>
      </c>
      <c r="H4934" s="33" t="n">
        <f aca="false">D4934*INDEX(Products!$E$2:$E$49,MATCH(C4934,Products!$A$2:$A$49,0))</f>
        <v>1935</v>
      </c>
      <c r="I4934" s="33" t="n">
        <f aca="false">D4934*INDEX(Products!$D$2:$D$49,MATCH(C4934,Products!$A$2:$A$49,0))*(1+INDEX(Assumptions!$B$16:$B$20,MATCH(B4934,Assumptions!$A$16:$A$20,0)))</f>
        <v>1754.4</v>
      </c>
      <c r="J4934" s="33" t="n">
        <f aca="false">H4934-I4934</f>
        <v>180.6</v>
      </c>
      <c r="K4934" s="33" t="n">
        <f aca="false">IF(OR(E4934=0,E4934&gt;=7),0,D4934/(7-E4934)*E4934*INDEX(Products!$E$2:$E$49,MATCH(C4934,Products!$A$2:$A$49,0)))</f>
        <v>0</v>
      </c>
    </row>
    <row r="4935" customFormat="false" ht="15" hidden="false" customHeight="false" outlineLevel="0" collapsed="false">
      <c r="A4935" s="36" t="n">
        <v>46174</v>
      </c>
      <c r="B4935" s="24" t="s">
        <v>65</v>
      </c>
      <c r="C4935" s="24" t="s">
        <v>125</v>
      </c>
      <c r="D4935" s="33" t="n">
        <v>37</v>
      </c>
      <c r="E4935" s="24" t="n">
        <v>0</v>
      </c>
      <c r="F4935" s="37" t="n">
        <f aca="false">DATE(YEAR(A4935),MONTH(A4935),1)</f>
        <v>46174</v>
      </c>
      <c r="G4935" s="24" t="str">
        <f aca="false">INDEX(Products!$C$2:$C$49,MATCH(C4935,Products!$A$2:$A$49,0))</f>
        <v>Grocery Staples</v>
      </c>
      <c r="H4935" s="33" t="n">
        <f aca="false">D4935*INDEX(Products!$E$2:$E$49,MATCH(C4935,Products!$A$2:$A$49,0))</f>
        <v>1665</v>
      </c>
      <c r="I4935" s="33" t="n">
        <f aca="false">D4935*INDEX(Products!$D$2:$D$49,MATCH(C4935,Products!$A$2:$A$49,0))*(1+INDEX(Assumptions!$B$16:$B$20,MATCH(B4935,Assumptions!$A$16:$A$20,0)))</f>
        <v>1509.6</v>
      </c>
      <c r="J4935" s="33" t="n">
        <f aca="false">H4935-I4935</f>
        <v>155.4</v>
      </c>
      <c r="K4935" s="33" t="n">
        <f aca="false">IF(OR(E4935=0,E4935&gt;=7),0,D4935/(7-E4935)*E4935*INDEX(Products!$E$2:$E$49,MATCH(C4935,Products!$A$2:$A$49,0)))</f>
        <v>0</v>
      </c>
    </row>
    <row r="4936" customFormat="false" ht="15" hidden="false" customHeight="false" outlineLevel="0" collapsed="false">
      <c r="A4936" s="36" t="n">
        <v>46181</v>
      </c>
      <c r="B4936" s="24" t="s">
        <v>65</v>
      </c>
      <c r="C4936" s="24" t="s">
        <v>125</v>
      </c>
      <c r="D4936" s="33" t="n">
        <v>33</v>
      </c>
      <c r="E4936" s="24" t="n">
        <v>0</v>
      </c>
      <c r="F4936" s="37" t="n">
        <f aca="false">DATE(YEAR(A4936),MONTH(A4936),1)</f>
        <v>46174</v>
      </c>
      <c r="G4936" s="24" t="str">
        <f aca="false">INDEX(Products!$C$2:$C$49,MATCH(C4936,Products!$A$2:$A$49,0))</f>
        <v>Grocery Staples</v>
      </c>
      <c r="H4936" s="33" t="n">
        <f aca="false">D4936*INDEX(Products!$E$2:$E$49,MATCH(C4936,Products!$A$2:$A$49,0))</f>
        <v>1485</v>
      </c>
      <c r="I4936" s="33" t="n">
        <f aca="false">D4936*INDEX(Products!$D$2:$D$49,MATCH(C4936,Products!$A$2:$A$49,0))*(1+INDEX(Assumptions!$B$16:$B$20,MATCH(B4936,Assumptions!$A$16:$A$20,0)))</f>
        <v>1346.4</v>
      </c>
      <c r="J4936" s="33" t="n">
        <f aca="false">H4936-I4936</f>
        <v>138.6</v>
      </c>
      <c r="K4936" s="33" t="n">
        <f aca="false">IF(OR(E4936=0,E4936&gt;=7),0,D4936/(7-E4936)*E4936*INDEX(Products!$E$2:$E$49,MATCH(C4936,Products!$A$2:$A$49,0)))</f>
        <v>0</v>
      </c>
    </row>
    <row r="4937" customFormat="false" ht="15" hidden="false" customHeight="false" outlineLevel="0" collapsed="false">
      <c r="A4937" s="36" t="n">
        <v>46188</v>
      </c>
      <c r="B4937" s="24" t="s">
        <v>65</v>
      </c>
      <c r="C4937" s="24" t="s">
        <v>125</v>
      </c>
      <c r="D4937" s="33" t="n">
        <v>34</v>
      </c>
      <c r="E4937" s="24" t="n">
        <v>0</v>
      </c>
      <c r="F4937" s="37" t="n">
        <f aca="false">DATE(YEAR(A4937),MONTH(A4937),1)</f>
        <v>46174</v>
      </c>
      <c r="G4937" s="24" t="str">
        <f aca="false">INDEX(Products!$C$2:$C$49,MATCH(C4937,Products!$A$2:$A$49,0))</f>
        <v>Grocery Staples</v>
      </c>
      <c r="H4937" s="33" t="n">
        <f aca="false">D4937*INDEX(Products!$E$2:$E$49,MATCH(C4937,Products!$A$2:$A$49,0))</f>
        <v>1530</v>
      </c>
      <c r="I4937" s="33" t="n">
        <f aca="false">D4937*INDEX(Products!$D$2:$D$49,MATCH(C4937,Products!$A$2:$A$49,0))*(1+INDEX(Assumptions!$B$16:$B$20,MATCH(B4937,Assumptions!$A$16:$A$20,0)))</f>
        <v>1387.2</v>
      </c>
      <c r="J4937" s="33" t="n">
        <f aca="false">H4937-I4937</f>
        <v>142.8</v>
      </c>
      <c r="K4937" s="33" t="n">
        <f aca="false">IF(OR(E4937=0,E4937&gt;=7),0,D4937/(7-E4937)*E4937*INDEX(Products!$E$2:$E$49,MATCH(C4937,Products!$A$2:$A$49,0)))</f>
        <v>0</v>
      </c>
    </row>
    <row r="4938" customFormat="false" ht="15" hidden="false" customHeight="false" outlineLevel="0" collapsed="false">
      <c r="A4938" s="36" t="n">
        <v>46195</v>
      </c>
      <c r="B4938" s="24" t="s">
        <v>65</v>
      </c>
      <c r="C4938" s="24" t="s">
        <v>125</v>
      </c>
      <c r="D4938" s="33" t="n">
        <v>24</v>
      </c>
      <c r="E4938" s="24" t="n">
        <v>0</v>
      </c>
      <c r="F4938" s="37" t="n">
        <f aca="false">DATE(YEAR(A4938),MONTH(A4938),1)</f>
        <v>46174</v>
      </c>
      <c r="G4938" s="24" t="str">
        <f aca="false">INDEX(Products!$C$2:$C$49,MATCH(C4938,Products!$A$2:$A$49,0))</f>
        <v>Grocery Staples</v>
      </c>
      <c r="H4938" s="33" t="n">
        <f aca="false">D4938*INDEX(Products!$E$2:$E$49,MATCH(C4938,Products!$A$2:$A$49,0))</f>
        <v>1080</v>
      </c>
      <c r="I4938" s="33" t="n">
        <f aca="false">D4938*INDEX(Products!$D$2:$D$49,MATCH(C4938,Products!$A$2:$A$49,0))*(1+INDEX(Assumptions!$B$16:$B$20,MATCH(B4938,Assumptions!$A$16:$A$20,0)))</f>
        <v>979.2</v>
      </c>
      <c r="J4938" s="33" t="n">
        <f aca="false">H4938-I4938</f>
        <v>100.8</v>
      </c>
      <c r="K4938" s="33" t="n">
        <f aca="false">IF(OR(E4938=0,E4938&gt;=7),0,D4938/(7-E4938)*E4938*INDEX(Products!$E$2:$E$49,MATCH(C4938,Products!$A$2:$A$49,0)))</f>
        <v>0</v>
      </c>
    </row>
    <row r="4939" customFormat="false" ht="15" hidden="false" customHeight="false" outlineLevel="0" collapsed="false">
      <c r="A4939" s="36" t="n">
        <v>46202</v>
      </c>
      <c r="B4939" s="24" t="s">
        <v>65</v>
      </c>
      <c r="C4939" s="24" t="s">
        <v>125</v>
      </c>
      <c r="D4939" s="33" t="n">
        <v>35</v>
      </c>
      <c r="E4939" s="24" t="n">
        <v>0</v>
      </c>
      <c r="F4939" s="37" t="n">
        <f aca="false">DATE(YEAR(A4939),MONTH(A4939),1)</f>
        <v>46174</v>
      </c>
      <c r="G4939" s="24" t="str">
        <f aca="false">INDEX(Products!$C$2:$C$49,MATCH(C4939,Products!$A$2:$A$49,0))</f>
        <v>Grocery Staples</v>
      </c>
      <c r="H4939" s="33" t="n">
        <f aca="false">D4939*INDEX(Products!$E$2:$E$49,MATCH(C4939,Products!$A$2:$A$49,0))</f>
        <v>1575</v>
      </c>
      <c r="I4939" s="33" t="n">
        <f aca="false">D4939*INDEX(Products!$D$2:$D$49,MATCH(C4939,Products!$A$2:$A$49,0))*(1+INDEX(Assumptions!$B$16:$B$20,MATCH(B4939,Assumptions!$A$16:$A$20,0)))</f>
        <v>1428</v>
      </c>
      <c r="J4939" s="33" t="n">
        <f aca="false">H4939-I4939</f>
        <v>147</v>
      </c>
      <c r="K4939" s="33" t="n">
        <f aca="false">IF(OR(E4939=0,E4939&gt;=7),0,D4939/(7-E4939)*E4939*INDEX(Products!$E$2:$E$49,MATCH(C4939,Products!$A$2:$A$49,0)))</f>
        <v>0</v>
      </c>
    </row>
    <row r="4940" customFormat="false" ht="15" hidden="false" customHeight="false" outlineLevel="0" collapsed="false">
      <c r="A4940" s="36" t="n">
        <v>46209</v>
      </c>
      <c r="B4940" s="24" t="s">
        <v>65</v>
      </c>
      <c r="C4940" s="24" t="s">
        <v>125</v>
      </c>
      <c r="D4940" s="33" t="n">
        <v>33</v>
      </c>
      <c r="E4940" s="24" t="n">
        <v>0</v>
      </c>
      <c r="F4940" s="37" t="n">
        <f aca="false">DATE(YEAR(A4940),MONTH(A4940),1)</f>
        <v>46204</v>
      </c>
      <c r="G4940" s="24" t="str">
        <f aca="false">INDEX(Products!$C$2:$C$49,MATCH(C4940,Products!$A$2:$A$49,0))</f>
        <v>Grocery Staples</v>
      </c>
      <c r="H4940" s="33" t="n">
        <f aca="false">D4940*INDEX(Products!$E$2:$E$49,MATCH(C4940,Products!$A$2:$A$49,0))</f>
        <v>1485</v>
      </c>
      <c r="I4940" s="33" t="n">
        <f aca="false">D4940*INDEX(Products!$D$2:$D$49,MATCH(C4940,Products!$A$2:$A$49,0))*(1+INDEX(Assumptions!$B$16:$B$20,MATCH(B4940,Assumptions!$A$16:$A$20,0)))</f>
        <v>1346.4</v>
      </c>
      <c r="J4940" s="33" t="n">
        <f aca="false">H4940-I4940</f>
        <v>138.6</v>
      </c>
      <c r="K4940" s="33" t="n">
        <f aca="false">IF(OR(E4940=0,E4940&gt;=7),0,D4940/(7-E4940)*E4940*INDEX(Products!$E$2:$E$49,MATCH(C4940,Products!$A$2:$A$49,0)))</f>
        <v>0</v>
      </c>
    </row>
    <row r="4941" customFormat="false" ht="15" hidden="false" customHeight="false" outlineLevel="0" collapsed="false">
      <c r="A4941" s="36" t="n">
        <v>46216</v>
      </c>
      <c r="B4941" s="24" t="s">
        <v>65</v>
      </c>
      <c r="C4941" s="24" t="s">
        <v>125</v>
      </c>
      <c r="D4941" s="33" t="n">
        <v>38</v>
      </c>
      <c r="E4941" s="24" t="n">
        <v>0</v>
      </c>
      <c r="F4941" s="37" t="n">
        <f aca="false">DATE(YEAR(A4941),MONTH(A4941),1)</f>
        <v>46204</v>
      </c>
      <c r="G4941" s="24" t="str">
        <f aca="false">INDEX(Products!$C$2:$C$49,MATCH(C4941,Products!$A$2:$A$49,0))</f>
        <v>Grocery Staples</v>
      </c>
      <c r="H4941" s="33" t="n">
        <f aca="false">D4941*INDEX(Products!$E$2:$E$49,MATCH(C4941,Products!$A$2:$A$49,0))</f>
        <v>1710</v>
      </c>
      <c r="I4941" s="33" t="n">
        <f aca="false">D4941*INDEX(Products!$D$2:$D$49,MATCH(C4941,Products!$A$2:$A$49,0))*(1+INDEX(Assumptions!$B$16:$B$20,MATCH(B4941,Assumptions!$A$16:$A$20,0)))</f>
        <v>1550.4</v>
      </c>
      <c r="J4941" s="33" t="n">
        <f aca="false">H4941-I4941</f>
        <v>159.6</v>
      </c>
      <c r="K4941" s="33" t="n">
        <f aca="false">IF(OR(E4941=0,E4941&gt;=7),0,D4941/(7-E4941)*E4941*INDEX(Products!$E$2:$E$49,MATCH(C4941,Products!$A$2:$A$49,0)))</f>
        <v>0</v>
      </c>
    </row>
    <row r="4942" customFormat="false" ht="15" hidden="false" customHeight="false" outlineLevel="0" collapsed="false">
      <c r="A4942" s="36" t="n">
        <v>46223</v>
      </c>
      <c r="B4942" s="24" t="s">
        <v>65</v>
      </c>
      <c r="C4942" s="24" t="s">
        <v>125</v>
      </c>
      <c r="D4942" s="33" t="n">
        <v>25</v>
      </c>
      <c r="E4942" s="24" t="n">
        <v>0</v>
      </c>
      <c r="F4942" s="37" t="n">
        <f aca="false">DATE(YEAR(A4942),MONTH(A4942),1)</f>
        <v>46204</v>
      </c>
      <c r="G4942" s="24" t="str">
        <f aca="false">INDEX(Products!$C$2:$C$49,MATCH(C4942,Products!$A$2:$A$49,0))</f>
        <v>Grocery Staples</v>
      </c>
      <c r="H4942" s="33" t="n">
        <f aca="false">D4942*INDEX(Products!$E$2:$E$49,MATCH(C4942,Products!$A$2:$A$49,0))</f>
        <v>1125</v>
      </c>
      <c r="I4942" s="33" t="n">
        <f aca="false">D4942*INDEX(Products!$D$2:$D$49,MATCH(C4942,Products!$A$2:$A$49,0))*(1+INDEX(Assumptions!$B$16:$B$20,MATCH(B4942,Assumptions!$A$16:$A$20,0)))</f>
        <v>1020</v>
      </c>
      <c r="J4942" s="33" t="n">
        <f aca="false">H4942-I4942</f>
        <v>105</v>
      </c>
      <c r="K4942" s="33" t="n">
        <f aca="false">IF(OR(E4942=0,E4942&gt;=7),0,D4942/(7-E4942)*E4942*INDEX(Products!$E$2:$E$49,MATCH(C4942,Products!$A$2:$A$49,0)))</f>
        <v>0</v>
      </c>
    </row>
    <row r="4943" customFormat="false" ht="15" hidden="false" customHeight="false" outlineLevel="0" collapsed="false">
      <c r="A4943" s="36" t="n">
        <v>46230</v>
      </c>
      <c r="B4943" s="24" t="s">
        <v>65</v>
      </c>
      <c r="C4943" s="24" t="s">
        <v>125</v>
      </c>
      <c r="D4943" s="33" t="n">
        <v>36</v>
      </c>
      <c r="E4943" s="24" t="n">
        <v>0</v>
      </c>
      <c r="F4943" s="37" t="n">
        <f aca="false">DATE(YEAR(A4943),MONTH(A4943),1)</f>
        <v>46204</v>
      </c>
      <c r="G4943" s="24" t="str">
        <f aca="false">INDEX(Products!$C$2:$C$49,MATCH(C4943,Products!$A$2:$A$49,0))</f>
        <v>Grocery Staples</v>
      </c>
      <c r="H4943" s="33" t="n">
        <f aca="false">D4943*INDEX(Products!$E$2:$E$49,MATCH(C4943,Products!$A$2:$A$49,0))</f>
        <v>1620</v>
      </c>
      <c r="I4943" s="33" t="n">
        <f aca="false">D4943*INDEX(Products!$D$2:$D$49,MATCH(C4943,Products!$A$2:$A$49,0))*(1+INDEX(Assumptions!$B$16:$B$20,MATCH(B4943,Assumptions!$A$16:$A$20,0)))</f>
        <v>1468.8</v>
      </c>
      <c r="J4943" s="33" t="n">
        <f aca="false">H4943-I4943</f>
        <v>151.2</v>
      </c>
      <c r="K4943" s="33" t="n">
        <f aca="false">IF(OR(E4943=0,E4943&gt;=7),0,D4943/(7-E4943)*E4943*INDEX(Products!$E$2:$E$49,MATCH(C4943,Products!$A$2:$A$49,0)))</f>
        <v>0</v>
      </c>
    </row>
    <row r="4944" customFormat="false" ht="15" hidden="false" customHeight="false" outlineLevel="0" collapsed="false">
      <c r="A4944" s="36" t="n">
        <v>46237</v>
      </c>
      <c r="B4944" s="24" t="s">
        <v>65</v>
      </c>
      <c r="C4944" s="24" t="s">
        <v>125</v>
      </c>
      <c r="D4944" s="33" t="n">
        <v>18</v>
      </c>
      <c r="E4944" s="24" t="n">
        <v>0</v>
      </c>
      <c r="F4944" s="37" t="n">
        <f aca="false">DATE(YEAR(A4944),MONTH(A4944),1)</f>
        <v>46235</v>
      </c>
      <c r="G4944" s="24" t="str">
        <f aca="false">INDEX(Products!$C$2:$C$49,MATCH(C4944,Products!$A$2:$A$49,0))</f>
        <v>Grocery Staples</v>
      </c>
      <c r="H4944" s="33" t="n">
        <f aca="false">D4944*INDEX(Products!$E$2:$E$49,MATCH(C4944,Products!$A$2:$A$49,0))</f>
        <v>810</v>
      </c>
      <c r="I4944" s="33" t="n">
        <f aca="false">D4944*INDEX(Products!$D$2:$D$49,MATCH(C4944,Products!$A$2:$A$49,0))*(1+INDEX(Assumptions!$B$16:$B$20,MATCH(B4944,Assumptions!$A$16:$A$20,0)))</f>
        <v>734.4</v>
      </c>
      <c r="J4944" s="33" t="n">
        <f aca="false">H4944-I4944</f>
        <v>75.6</v>
      </c>
      <c r="K4944" s="33" t="n">
        <f aca="false">IF(OR(E4944=0,E4944&gt;=7),0,D4944/(7-E4944)*E4944*INDEX(Products!$E$2:$E$49,MATCH(C4944,Products!$A$2:$A$49,0)))</f>
        <v>0</v>
      </c>
    </row>
    <row r="4945" customFormat="false" ht="15" hidden="false" customHeight="false" outlineLevel="0" collapsed="false">
      <c r="A4945" s="36" t="n">
        <v>46244</v>
      </c>
      <c r="B4945" s="24" t="s">
        <v>65</v>
      </c>
      <c r="C4945" s="24" t="s">
        <v>125</v>
      </c>
      <c r="D4945" s="33" t="n">
        <v>29</v>
      </c>
      <c r="E4945" s="24" t="n">
        <v>0</v>
      </c>
      <c r="F4945" s="37" t="n">
        <f aca="false">DATE(YEAR(A4945),MONTH(A4945),1)</f>
        <v>46235</v>
      </c>
      <c r="G4945" s="24" t="str">
        <f aca="false">INDEX(Products!$C$2:$C$49,MATCH(C4945,Products!$A$2:$A$49,0))</f>
        <v>Grocery Staples</v>
      </c>
      <c r="H4945" s="33" t="n">
        <f aca="false">D4945*INDEX(Products!$E$2:$E$49,MATCH(C4945,Products!$A$2:$A$49,0))</f>
        <v>1305</v>
      </c>
      <c r="I4945" s="33" t="n">
        <f aca="false">D4945*INDEX(Products!$D$2:$D$49,MATCH(C4945,Products!$A$2:$A$49,0))*(1+INDEX(Assumptions!$B$16:$B$20,MATCH(B4945,Assumptions!$A$16:$A$20,0)))</f>
        <v>1183.2</v>
      </c>
      <c r="J4945" s="33" t="n">
        <f aca="false">H4945-I4945</f>
        <v>121.8</v>
      </c>
      <c r="K4945" s="33" t="n">
        <f aca="false">IF(OR(E4945=0,E4945&gt;=7),0,D4945/(7-E4945)*E4945*INDEX(Products!$E$2:$E$49,MATCH(C4945,Products!$A$2:$A$49,0)))</f>
        <v>0</v>
      </c>
    </row>
    <row r="4946" customFormat="false" ht="15" hidden="false" customHeight="false" outlineLevel="0" collapsed="false">
      <c r="A4946" s="36" t="n">
        <v>46251</v>
      </c>
      <c r="B4946" s="24" t="s">
        <v>65</v>
      </c>
      <c r="C4946" s="24" t="s">
        <v>125</v>
      </c>
      <c r="D4946" s="33" t="n">
        <v>9</v>
      </c>
      <c r="E4946" s="24" t="n">
        <v>4</v>
      </c>
      <c r="F4946" s="37" t="n">
        <f aca="false">DATE(YEAR(A4946),MONTH(A4946),1)</f>
        <v>46235</v>
      </c>
      <c r="G4946" s="24" t="str">
        <f aca="false">INDEX(Products!$C$2:$C$49,MATCH(C4946,Products!$A$2:$A$49,0))</f>
        <v>Grocery Staples</v>
      </c>
      <c r="H4946" s="33" t="n">
        <f aca="false">D4946*INDEX(Products!$E$2:$E$49,MATCH(C4946,Products!$A$2:$A$49,0))</f>
        <v>405</v>
      </c>
      <c r="I4946" s="33" t="n">
        <f aca="false">D4946*INDEX(Products!$D$2:$D$49,MATCH(C4946,Products!$A$2:$A$49,0))*(1+INDEX(Assumptions!$B$16:$B$20,MATCH(B4946,Assumptions!$A$16:$A$20,0)))</f>
        <v>367.2</v>
      </c>
      <c r="J4946" s="33" t="n">
        <f aca="false">H4946-I4946</f>
        <v>37.8</v>
      </c>
      <c r="K4946" s="33" t="n">
        <f aca="false">IF(OR(E4946=0,E4946&gt;=7),0,D4946/(7-E4946)*E4946*INDEX(Products!$E$2:$E$49,MATCH(C4946,Products!$A$2:$A$49,0)))</f>
        <v>540</v>
      </c>
    </row>
    <row r="4947" customFormat="false" ht="15" hidden="false" customHeight="false" outlineLevel="0" collapsed="false">
      <c r="A4947" s="36" t="n">
        <v>46258</v>
      </c>
      <c r="B4947" s="24" t="s">
        <v>65</v>
      </c>
      <c r="C4947" s="24" t="s">
        <v>125</v>
      </c>
      <c r="D4947" s="33" t="n">
        <v>31</v>
      </c>
      <c r="E4947" s="24" t="n">
        <v>0</v>
      </c>
      <c r="F4947" s="37" t="n">
        <f aca="false">DATE(YEAR(A4947),MONTH(A4947),1)</f>
        <v>46235</v>
      </c>
      <c r="G4947" s="24" t="str">
        <f aca="false">INDEX(Products!$C$2:$C$49,MATCH(C4947,Products!$A$2:$A$49,0))</f>
        <v>Grocery Staples</v>
      </c>
      <c r="H4947" s="33" t="n">
        <f aca="false">D4947*INDEX(Products!$E$2:$E$49,MATCH(C4947,Products!$A$2:$A$49,0))</f>
        <v>1395</v>
      </c>
      <c r="I4947" s="33" t="n">
        <f aca="false">D4947*INDEX(Products!$D$2:$D$49,MATCH(C4947,Products!$A$2:$A$49,0))*(1+INDEX(Assumptions!$B$16:$B$20,MATCH(B4947,Assumptions!$A$16:$A$20,0)))</f>
        <v>1264.8</v>
      </c>
      <c r="J4947" s="33" t="n">
        <f aca="false">H4947-I4947</f>
        <v>130.2</v>
      </c>
      <c r="K4947" s="33" t="n">
        <f aca="false">IF(OR(E4947=0,E4947&gt;=7),0,D4947/(7-E4947)*E4947*INDEX(Products!$E$2:$E$49,MATCH(C4947,Products!$A$2:$A$49,0)))</f>
        <v>0</v>
      </c>
    </row>
    <row r="4948" customFormat="false" ht="15" hidden="false" customHeight="false" outlineLevel="0" collapsed="false">
      <c r="A4948" s="36" t="n">
        <v>46265</v>
      </c>
      <c r="B4948" s="24" t="s">
        <v>65</v>
      </c>
      <c r="C4948" s="24" t="s">
        <v>125</v>
      </c>
      <c r="D4948" s="33" t="n">
        <v>25</v>
      </c>
      <c r="E4948" s="24" t="n">
        <v>0</v>
      </c>
      <c r="F4948" s="37" t="n">
        <f aca="false">DATE(YEAR(A4948),MONTH(A4948),1)</f>
        <v>46235</v>
      </c>
      <c r="G4948" s="24" t="str">
        <f aca="false">INDEX(Products!$C$2:$C$49,MATCH(C4948,Products!$A$2:$A$49,0))</f>
        <v>Grocery Staples</v>
      </c>
      <c r="H4948" s="33" t="n">
        <f aca="false">D4948*INDEX(Products!$E$2:$E$49,MATCH(C4948,Products!$A$2:$A$49,0))</f>
        <v>1125</v>
      </c>
      <c r="I4948" s="33" t="n">
        <f aca="false">D4948*INDEX(Products!$D$2:$D$49,MATCH(C4948,Products!$A$2:$A$49,0))*(1+INDEX(Assumptions!$B$16:$B$20,MATCH(B4948,Assumptions!$A$16:$A$20,0)))</f>
        <v>1020</v>
      </c>
      <c r="J4948" s="33" t="n">
        <f aca="false">H4948-I4948</f>
        <v>105</v>
      </c>
      <c r="K4948" s="33" t="n">
        <f aca="false">IF(OR(E4948=0,E4948&gt;=7),0,D4948/(7-E4948)*E4948*INDEX(Products!$E$2:$E$49,MATCH(C4948,Products!$A$2:$A$49,0)))</f>
        <v>0</v>
      </c>
    </row>
    <row r="4949" customFormat="false" ht="15" hidden="false" customHeight="false" outlineLevel="0" collapsed="false">
      <c r="A4949" s="36" t="n">
        <v>46272</v>
      </c>
      <c r="B4949" s="24" t="s">
        <v>65</v>
      </c>
      <c r="C4949" s="24" t="s">
        <v>125</v>
      </c>
      <c r="D4949" s="33" t="n">
        <v>27</v>
      </c>
      <c r="E4949" s="24" t="n">
        <v>0</v>
      </c>
      <c r="F4949" s="37" t="n">
        <f aca="false">DATE(YEAR(A4949),MONTH(A4949),1)</f>
        <v>46266</v>
      </c>
      <c r="G4949" s="24" t="str">
        <f aca="false">INDEX(Products!$C$2:$C$49,MATCH(C4949,Products!$A$2:$A$49,0))</f>
        <v>Grocery Staples</v>
      </c>
      <c r="H4949" s="33" t="n">
        <f aca="false">D4949*INDEX(Products!$E$2:$E$49,MATCH(C4949,Products!$A$2:$A$49,0))</f>
        <v>1215</v>
      </c>
      <c r="I4949" s="33" t="n">
        <f aca="false">D4949*INDEX(Products!$D$2:$D$49,MATCH(C4949,Products!$A$2:$A$49,0))*(1+INDEX(Assumptions!$B$16:$B$20,MATCH(B4949,Assumptions!$A$16:$A$20,0)))</f>
        <v>1101.6</v>
      </c>
      <c r="J4949" s="33" t="n">
        <f aca="false">H4949-I4949</f>
        <v>113.4</v>
      </c>
      <c r="K4949" s="33" t="n">
        <f aca="false">IF(OR(E4949=0,E4949&gt;=7),0,D4949/(7-E4949)*E4949*INDEX(Products!$E$2:$E$49,MATCH(C4949,Products!$A$2:$A$49,0)))</f>
        <v>0</v>
      </c>
    </row>
    <row r="4950" customFormat="false" ht="15" hidden="false" customHeight="false" outlineLevel="0" collapsed="false">
      <c r="A4950" s="36" t="n">
        <v>46279</v>
      </c>
      <c r="B4950" s="24" t="s">
        <v>65</v>
      </c>
      <c r="C4950" s="24" t="s">
        <v>125</v>
      </c>
      <c r="D4950" s="33" t="n">
        <v>17</v>
      </c>
      <c r="E4950" s="24" t="n">
        <v>0</v>
      </c>
      <c r="F4950" s="37" t="n">
        <f aca="false">DATE(YEAR(A4950),MONTH(A4950),1)</f>
        <v>46266</v>
      </c>
      <c r="G4950" s="24" t="str">
        <f aca="false">INDEX(Products!$C$2:$C$49,MATCH(C4950,Products!$A$2:$A$49,0))</f>
        <v>Grocery Staples</v>
      </c>
      <c r="H4950" s="33" t="n">
        <f aca="false">D4950*INDEX(Products!$E$2:$E$49,MATCH(C4950,Products!$A$2:$A$49,0))</f>
        <v>765</v>
      </c>
      <c r="I4950" s="33" t="n">
        <f aca="false">D4950*INDEX(Products!$D$2:$D$49,MATCH(C4950,Products!$A$2:$A$49,0))*(1+INDEX(Assumptions!$B$16:$B$20,MATCH(B4950,Assumptions!$A$16:$A$20,0)))</f>
        <v>693.6</v>
      </c>
      <c r="J4950" s="33" t="n">
        <f aca="false">H4950-I4950</f>
        <v>71.4</v>
      </c>
      <c r="K4950" s="33" t="n">
        <f aca="false">IF(OR(E4950=0,E4950&gt;=7),0,D4950/(7-E4950)*E4950*INDEX(Products!$E$2:$E$49,MATCH(C4950,Products!$A$2:$A$49,0)))</f>
        <v>0</v>
      </c>
    </row>
    <row r="4951" customFormat="false" ht="15" hidden="false" customHeight="false" outlineLevel="0" collapsed="false">
      <c r="A4951" s="36" t="n">
        <v>46286</v>
      </c>
      <c r="B4951" s="24" t="s">
        <v>65</v>
      </c>
      <c r="C4951" s="24" t="s">
        <v>125</v>
      </c>
      <c r="D4951" s="33" t="n">
        <v>47</v>
      </c>
      <c r="E4951" s="24" t="n">
        <v>0</v>
      </c>
      <c r="F4951" s="37" t="n">
        <f aca="false">DATE(YEAR(A4951),MONTH(A4951),1)</f>
        <v>46266</v>
      </c>
      <c r="G4951" s="24" t="str">
        <f aca="false">INDEX(Products!$C$2:$C$49,MATCH(C4951,Products!$A$2:$A$49,0))</f>
        <v>Grocery Staples</v>
      </c>
      <c r="H4951" s="33" t="n">
        <f aca="false">D4951*INDEX(Products!$E$2:$E$49,MATCH(C4951,Products!$A$2:$A$49,0))</f>
        <v>2115</v>
      </c>
      <c r="I4951" s="33" t="n">
        <f aca="false">D4951*INDEX(Products!$D$2:$D$49,MATCH(C4951,Products!$A$2:$A$49,0))*(1+INDEX(Assumptions!$B$16:$B$20,MATCH(B4951,Assumptions!$A$16:$A$20,0)))</f>
        <v>1917.6</v>
      </c>
      <c r="J4951" s="33" t="n">
        <f aca="false">H4951-I4951</f>
        <v>197.4</v>
      </c>
      <c r="K4951" s="33" t="n">
        <f aca="false">IF(OR(E4951=0,E4951&gt;=7),0,D4951/(7-E4951)*E4951*INDEX(Products!$E$2:$E$49,MATCH(C4951,Products!$A$2:$A$49,0)))</f>
        <v>0</v>
      </c>
    </row>
    <row r="4952" customFormat="false" ht="15" hidden="false" customHeight="false" outlineLevel="0" collapsed="false">
      <c r="A4952" s="36" t="n">
        <v>46118</v>
      </c>
      <c r="B4952" s="24" t="s">
        <v>65</v>
      </c>
      <c r="C4952" s="24" t="s">
        <v>127</v>
      </c>
      <c r="D4952" s="33" t="n">
        <v>106</v>
      </c>
      <c r="E4952" s="24" t="n">
        <v>0</v>
      </c>
      <c r="F4952" s="37" t="n">
        <f aca="false">DATE(YEAR(A4952),MONTH(A4952),1)</f>
        <v>46113</v>
      </c>
      <c r="G4952" s="24" t="str">
        <f aca="false">INDEX(Products!$C$2:$C$49,MATCH(C4952,Products!$A$2:$A$49,0))</f>
        <v>Grocery Staples</v>
      </c>
      <c r="H4952" s="33" t="n">
        <f aca="false">D4952*INDEX(Products!$E$2:$E$49,MATCH(C4952,Products!$A$2:$A$49,0))</f>
        <v>12720</v>
      </c>
      <c r="I4952" s="33" t="n">
        <f aca="false">D4952*INDEX(Products!$D$2:$D$49,MATCH(C4952,Products!$A$2:$A$49,0))*(1+INDEX(Assumptions!$B$16:$B$20,MATCH(B4952,Assumptions!$A$16:$A$20,0)))</f>
        <v>11136.36</v>
      </c>
      <c r="J4952" s="33" t="n">
        <f aca="false">H4952-I4952</f>
        <v>1583.64</v>
      </c>
      <c r="K4952" s="33" t="n">
        <f aca="false">IF(OR(E4952=0,E4952&gt;=7),0,D4952/(7-E4952)*E4952*INDEX(Products!$E$2:$E$49,MATCH(C4952,Products!$A$2:$A$49,0)))</f>
        <v>0</v>
      </c>
    </row>
    <row r="4953" customFormat="false" ht="15" hidden="false" customHeight="false" outlineLevel="0" collapsed="false">
      <c r="A4953" s="36" t="n">
        <v>46125</v>
      </c>
      <c r="B4953" s="24" t="s">
        <v>65</v>
      </c>
      <c r="C4953" s="24" t="s">
        <v>127</v>
      </c>
      <c r="D4953" s="33" t="n">
        <v>115</v>
      </c>
      <c r="E4953" s="24" t="n">
        <v>0</v>
      </c>
      <c r="F4953" s="37" t="n">
        <f aca="false">DATE(YEAR(A4953),MONTH(A4953),1)</f>
        <v>46113</v>
      </c>
      <c r="G4953" s="24" t="str">
        <f aca="false">INDEX(Products!$C$2:$C$49,MATCH(C4953,Products!$A$2:$A$49,0))</f>
        <v>Grocery Staples</v>
      </c>
      <c r="H4953" s="33" t="n">
        <f aca="false">D4953*INDEX(Products!$E$2:$E$49,MATCH(C4953,Products!$A$2:$A$49,0))</f>
        <v>13800</v>
      </c>
      <c r="I4953" s="33" t="n">
        <f aca="false">D4953*INDEX(Products!$D$2:$D$49,MATCH(C4953,Products!$A$2:$A$49,0))*(1+INDEX(Assumptions!$B$16:$B$20,MATCH(B4953,Assumptions!$A$16:$A$20,0)))</f>
        <v>12081.9</v>
      </c>
      <c r="J4953" s="33" t="n">
        <f aca="false">H4953-I4953</f>
        <v>1718.1</v>
      </c>
      <c r="K4953" s="33" t="n">
        <f aca="false">IF(OR(E4953=0,E4953&gt;=7),0,D4953/(7-E4953)*E4953*INDEX(Products!$E$2:$E$49,MATCH(C4953,Products!$A$2:$A$49,0)))</f>
        <v>0</v>
      </c>
    </row>
    <row r="4954" customFormat="false" ht="15" hidden="false" customHeight="false" outlineLevel="0" collapsed="false">
      <c r="A4954" s="36" t="n">
        <v>46132</v>
      </c>
      <c r="B4954" s="24" t="s">
        <v>65</v>
      </c>
      <c r="C4954" s="24" t="s">
        <v>127</v>
      </c>
      <c r="D4954" s="33" t="n">
        <v>132</v>
      </c>
      <c r="E4954" s="24" t="n">
        <v>0</v>
      </c>
      <c r="F4954" s="37" t="n">
        <f aca="false">DATE(YEAR(A4954),MONTH(A4954),1)</f>
        <v>46113</v>
      </c>
      <c r="G4954" s="24" t="str">
        <f aca="false">INDEX(Products!$C$2:$C$49,MATCH(C4954,Products!$A$2:$A$49,0))</f>
        <v>Grocery Staples</v>
      </c>
      <c r="H4954" s="33" t="n">
        <f aca="false">D4954*INDEX(Products!$E$2:$E$49,MATCH(C4954,Products!$A$2:$A$49,0))</f>
        <v>15840</v>
      </c>
      <c r="I4954" s="33" t="n">
        <f aca="false">D4954*INDEX(Products!$D$2:$D$49,MATCH(C4954,Products!$A$2:$A$49,0))*(1+INDEX(Assumptions!$B$16:$B$20,MATCH(B4954,Assumptions!$A$16:$A$20,0)))</f>
        <v>13867.92</v>
      </c>
      <c r="J4954" s="33" t="n">
        <f aca="false">H4954-I4954</f>
        <v>1972.08</v>
      </c>
      <c r="K4954" s="33" t="n">
        <f aca="false">IF(OR(E4954=0,E4954&gt;=7),0,D4954/(7-E4954)*E4954*INDEX(Products!$E$2:$E$49,MATCH(C4954,Products!$A$2:$A$49,0)))</f>
        <v>0</v>
      </c>
    </row>
    <row r="4955" customFormat="false" ht="15" hidden="false" customHeight="false" outlineLevel="0" collapsed="false">
      <c r="A4955" s="36" t="n">
        <v>46139</v>
      </c>
      <c r="B4955" s="24" t="s">
        <v>65</v>
      </c>
      <c r="C4955" s="24" t="s">
        <v>127</v>
      </c>
      <c r="D4955" s="33" t="n">
        <v>138</v>
      </c>
      <c r="E4955" s="24" t="n">
        <v>0</v>
      </c>
      <c r="F4955" s="37" t="n">
        <f aca="false">DATE(YEAR(A4955),MONTH(A4955),1)</f>
        <v>46113</v>
      </c>
      <c r="G4955" s="24" t="str">
        <f aca="false">INDEX(Products!$C$2:$C$49,MATCH(C4955,Products!$A$2:$A$49,0))</f>
        <v>Grocery Staples</v>
      </c>
      <c r="H4955" s="33" t="n">
        <f aca="false">D4955*INDEX(Products!$E$2:$E$49,MATCH(C4955,Products!$A$2:$A$49,0))</f>
        <v>16560</v>
      </c>
      <c r="I4955" s="33" t="n">
        <f aca="false">D4955*INDEX(Products!$D$2:$D$49,MATCH(C4955,Products!$A$2:$A$49,0))*(1+INDEX(Assumptions!$B$16:$B$20,MATCH(B4955,Assumptions!$A$16:$A$20,0)))</f>
        <v>14498.28</v>
      </c>
      <c r="J4955" s="33" t="n">
        <f aca="false">H4955-I4955</f>
        <v>2061.72</v>
      </c>
      <c r="K4955" s="33" t="n">
        <f aca="false">IF(OR(E4955=0,E4955&gt;=7),0,D4955/(7-E4955)*E4955*INDEX(Products!$E$2:$E$49,MATCH(C4955,Products!$A$2:$A$49,0)))</f>
        <v>0</v>
      </c>
    </row>
    <row r="4956" customFormat="false" ht="15" hidden="false" customHeight="false" outlineLevel="0" collapsed="false">
      <c r="A4956" s="36" t="n">
        <v>46146</v>
      </c>
      <c r="B4956" s="24" t="s">
        <v>65</v>
      </c>
      <c r="C4956" s="24" t="s">
        <v>127</v>
      </c>
      <c r="D4956" s="33" t="n">
        <v>91</v>
      </c>
      <c r="E4956" s="24" t="n">
        <v>0</v>
      </c>
      <c r="F4956" s="37" t="n">
        <f aca="false">DATE(YEAR(A4956),MONTH(A4956),1)</f>
        <v>46143</v>
      </c>
      <c r="G4956" s="24" t="str">
        <f aca="false">INDEX(Products!$C$2:$C$49,MATCH(C4956,Products!$A$2:$A$49,0))</f>
        <v>Grocery Staples</v>
      </c>
      <c r="H4956" s="33" t="n">
        <f aca="false">D4956*INDEX(Products!$E$2:$E$49,MATCH(C4956,Products!$A$2:$A$49,0))</f>
        <v>10920</v>
      </c>
      <c r="I4956" s="33" t="n">
        <f aca="false">D4956*INDEX(Products!$D$2:$D$49,MATCH(C4956,Products!$A$2:$A$49,0))*(1+INDEX(Assumptions!$B$16:$B$20,MATCH(B4956,Assumptions!$A$16:$A$20,0)))</f>
        <v>9560.46</v>
      </c>
      <c r="J4956" s="33" t="n">
        <f aca="false">H4956-I4956</f>
        <v>1359.54</v>
      </c>
      <c r="K4956" s="33" t="n">
        <f aca="false">IF(OR(E4956=0,E4956&gt;=7),0,D4956/(7-E4956)*E4956*INDEX(Products!$E$2:$E$49,MATCH(C4956,Products!$A$2:$A$49,0)))</f>
        <v>0</v>
      </c>
    </row>
    <row r="4957" customFormat="false" ht="15" hidden="false" customHeight="false" outlineLevel="0" collapsed="false">
      <c r="A4957" s="36" t="n">
        <v>46153</v>
      </c>
      <c r="B4957" s="24" t="s">
        <v>65</v>
      </c>
      <c r="C4957" s="24" t="s">
        <v>127</v>
      </c>
      <c r="D4957" s="33" t="n">
        <v>132</v>
      </c>
      <c r="E4957" s="24" t="n">
        <v>0</v>
      </c>
      <c r="F4957" s="37" t="n">
        <f aca="false">DATE(YEAR(A4957),MONTH(A4957),1)</f>
        <v>46143</v>
      </c>
      <c r="G4957" s="24" t="str">
        <f aca="false">INDEX(Products!$C$2:$C$49,MATCH(C4957,Products!$A$2:$A$49,0))</f>
        <v>Grocery Staples</v>
      </c>
      <c r="H4957" s="33" t="n">
        <f aca="false">D4957*INDEX(Products!$E$2:$E$49,MATCH(C4957,Products!$A$2:$A$49,0))</f>
        <v>15840</v>
      </c>
      <c r="I4957" s="33" t="n">
        <f aca="false">D4957*INDEX(Products!$D$2:$D$49,MATCH(C4957,Products!$A$2:$A$49,0))*(1+INDEX(Assumptions!$B$16:$B$20,MATCH(B4957,Assumptions!$A$16:$A$20,0)))</f>
        <v>13867.92</v>
      </c>
      <c r="J4957" s="33" t="n">
        <f aca="false">H4957-I4957</f>
        <v>1972.08</v>
      </c>
      <c r="K4957" s="33" t="n">
        <f aca="false">IF(OR(E4957=0,E4957&gt;=7),0,D4957/(7-E4957)*E4957*INDEX(Products!$E$2:$E$49,MATCH(C4957,Products!$A$2:$A$49,0)))</f>
        <v>0</v>
      </c>
    </row>
    <row r="4958" customFormat="false" ht="15" hidden="false" customHeight="false" outlineLevel="0" collapsed="false">
      <c r="A4958" s="36" t="n">
        <v>46160</v>
      </c>
      <c r="B4958" s="24" t="s">
        <v>65</v>
      </c>
      <c r="C4958" s="24" t="s">
        <v>127</v>
      </c>
      <c r="D4958" s="33" t="n">
        <v>131</v>
      </c>
      <c r="E4958" s="24" t="n">
        <v>0</v>
      </c>
      <c r="F4958" s="37" t="n">
        <f aca="false">DATE(YEAR(A4958),MONTH(A4958),1)</f>
        <v>46143</v>
      </c>
      <c r="G4958" s="24" t="str">
        <f aca="false">INDEX(Products!$C$2:$C$49,MATCH(C4958,Products!$A$2:$A$49,0))</f>
        <v>Grocery Staples</v>
      </c>
      <c r="H4958" s="33" t="n">
        <f aca="false">D4958*INDEX(Products!$E$2:$E$49,MATCH(C4958,Products!$A$2:$A$49,0))</f>
        <v>15720</v>
      </c>
      <c r="I4958" s="33" t="n">
        <f aca="false">D4958*INDEX(Products!$D$2:$D$49,MATCH(C4958,Products!$A$2:$A$49,0))*(1+INDEX(Assumptions!$B$16:$B$20,MATCH(B4958,Assumptions!$A$16:$A$20,0)))</f>
        <v>13762.86</v>
      </c>
      <c r="J4958" s="33" t="n">
        <f aca="false">H4958-I4958</f>
        <v>1957.14</v>
      </c>
      <c r="K4958" s="33" t="n">
        <f aca="false">IF(OR(E4958=0,E4958&gt;=7),0,D4958/(7-E4958)*E4958*INDEX(Products!$E$2:$E$49,MATCH(C4958,Products!$A$2:$A$49,0)))</f>
        <v>0</v>
      </c>
    </row>
    <row r="4959" customFormat="false" ht="15" hidden="false" customHeight="false" outlineLevel="0" collapsed="false">
      <c r="A4959" s="36" t="n">
        <v>46167</v>
      </c>
      <c r="B4959" s="24" t="s">
        <v>65</v>
      </c>
      <c r="C4959" s="24" t="s">
        <v>127</v>
      </c>
      <c r="D4959" s="33" t="n">
        <v>154</v>
      </c>
      <c r="E4959" s="24" t="n">
        <v>0</v>
      </c>
      <c r="F4959" s="37" t="n">
        <f aca="false">DATE(YEAR(A4959),MONTH(A4959),1)</f>
        <v>46143</v>
      </c>
      <c r="G4959" s="24" t="str">
        <f aca="false">INDEX(Products!$C$2:$C$49,MATCH(C4959,Products!$A$2:$A$49,0))</f>
        <v>Grocery Staples</v>
      </c>
      <c r="H4959" s="33" t="n">
        <f aca="false">D4959*INDEX(Products!$E$2:$E$49,MATCH(C4959,Products!$A$2:$A$49,0))</f>
        <v>18480</v>
      </c>
      <c r="I4959" s="33" t="n">
        <f aca="false">D4959*INDEX(Products!$D$2:$D$49,MATCH(C4959,Products!$A$2:$A$49,0))*(1+INDEX(Assumptions!$B$16:$B$20,MATCH(B4959,Assumptions!$A$16:$A$20,0)))</f>
        <v>16179.24</v>
      </c>
      <c r="J4959" s="33" t="n">
        <f aca="false">H4959-I4959</f>
        <v>2300.76</v>
      </c>
      <c r="K4959" s="33" t="n">
        <f aca="false">IF(OR(E4959=0,E4959&gt;=7),0,D4959/(7-E4959)*E4959*INDEX(Products!$E$2:$E$49,MATCH(C4959,Products!$A$2:$A$49,0)))</f>
        <v>0</v>
      </c>
    </row>
    <row r="4960" customFormat="false" ht="15" hidden="false" customHeight="false" outlineLevel="0" collapsed="false">
      <c r="A4960" s="36" t="n">
        <v>46174</v>
      </c>
      <c r="B4960" s="24" t="s">
        <v>65</v>
      </c>
      <c r="C4960" s="24" t="s">
        <v>127</v>
      </c>
      <c r="D4960" s="33" t="n">
        <v>133</v>
      </c>
      <c r="E4960" s="24" t="n">
        <v>0</v>
      </c>
      <c r="F4960" s="37" t="n">
        <f aca="false">DATE(YEAR(A4960),MONTH(A4960),1)</f>
        <v>46174</v>
      </c>
      <c r="G4960" s="24" t="str">
        <f aca="false">INDEX(Products!$C$2:$C$49,MATCH(C4960,Products!$A$2:$A$49,0))</f>
        <v>Grocery Staples</v>
      </c>
      <c r="H4960" s="33" t="n">
        <f aca="false">D4960*INDEX(Products!$E$2:$E$49,MATCH(C4960,Products!$A$2:$A$49,0))</f>
        <v>15960</v>
      </c>
      <c r="I4960" s="33" t="n">
        <f aca="false">D4960*INDEX(Products!$D$2:$D$49,MATCH(C4960,Products!$A$2:$A$49,0))*(1+INDEX(Assumptions!$B$16:$B$20,MATCH(B4960,Assumptions!$A$16:$A$20,0)))</f>
        <v>13972.98</v>
      </c>
      <c r="J4960" s="33" t="n">
        <f aca="false">H4960-I4960</f>
        <v>1987.02</v>
      </c>
      <c r="K4960" s="33" t="n">
        <f aca="false">IF(OR(E4960=0,E4960&gt;=7),0,D4960/(7-E4960)*E4960*INDEX(Products!$E$2:$E$49,MATCH(C4960,Products!$A$2:$A$49,0)))</f>
        <v>0</v>
      </c>
    </row>
    <row r="4961" customFormat="false" ht="15" hidden="false" customHeight="false" outlineLevel="0" collapsed="false">
      <c r="A4961" s="36" t="n">
        <v>46181</v>
      </c>
      <c r="B4961" s="24" t="s">
        <v>65</v>
      </c>
      <c r="C4961" s="24" t="s">
        <v>127</v>
      </c>
      <c r="D4961" s="33" t="n">
        <v>146</v>
      </c>
      <c r="E4961" s="24" t="n">
        <v>0</v>
      </c>
      <c r="F4961" s="37" t="n">
        <f aca="false">DATE(YEAR(A4961),MONTH(A4961),1)</f>
        <v>46174</v>
      </c>
      <c r="G4961" s="24" t="str">
        <f aca="false">INDEX(Products!$C$2:$C$49,MATCH(C4961,Products!$A$2:$A$49,0))</f>
        <v>Grocery Staples</v>
      </c>
      <c r="H4961" s="33" t="n">
        <f aca="false">D4961*INDEX(Products!$E$2:$E$49,MATCH(C4961,Products!$A$2:$A$49,0))</f>
        <v>17520</v>
      </c>
      <c r="I4961" s="33" t="n">
        <f aca="false">D4961*INDEX(Products!$D$2:$D$49,MATCH(C4961,Products!$A$2:$A$49,0))*(1+INDEX(Assumptions!$B$16:$B$20,MATCH(B4961,Assumptions!$A$16:$A$20,0)))</f>
        <v>15338.76</v>
      </c>
      <c r="J4961" s="33" t="n">
        <f aca="false">H4961-I4961</f>
        <v>2181.24</v>
      </c>
      <c r="K4961" s="33" t="n">
        <f aca="false">IF(OR(E4961=0,E4961&gt;=7),0,D4961/(7-E4961)*E4961*INDEX(Products!$E$2:$E$49,MATCH(C4961,Products!$A$2:$A$49,0)))</f>
        <v>0</v>
      </c>
    </row>
    <row r="4962" customFormat="false" ht="15" hidden="false" customHeight="false" outlineLevel="0" collapsed="false">
      <c r="A4962" s="36" t="n">
        <v>46188</v>
      </c>
      <c r="B4962" s="24" t="s">
        <v>65</v>
      </c>
      <c r="C4962" s="24" t="s">
        <v>127</v>
      </c>
      <c r="D4962" s="33" t="n">
        <v>131</v>
      </c>
      <c r="E4962" s="24" t="n">
        <v>1</v>
      </c>
      <c r="F4962" s="37" t="n">
        <f aca="false">DATE(YEAR(A4962),MONTH(A4962),1)</f>
        <v>46174</v>
      </c>
      <c r="G4962" s="24" t="str">
        <f aca="false">INDEX(Products!$C$2:$C$49,MATCH(C4962,Products!$A$2:$A$49,0))</f>
        <v>Grocery Staples</v>
      </c>
      <c r="H4962" s="33" t="n">
        <f aca="false">D4962*INDEX(Products!$E$2:$E$49,MATCH(C4962,Products!$A$2:$A$49,0))</f>
        <v>15720</v>
      </c>
      <c r="I4962" s="33" t="n">
        <f aca="false">D4962*INDEX(Products!$D$2:$D$49,MATCH(C4962,Products!$A$2:$A$49,0))*(1+INDEX(Assumptions!$B$16:$B$20,MATCH(B4962,Assumptions!$A$16:$A$20,0)))</f>
        <v>13762.86</v>
      </c>
      <c r="J4962" s="33" t="n">
        <f aca="false">H4962-I4962</f>
        <v>1957.14</v>
      </c>
      <c r="K4962" s="33" t="n">
        <f aca="false">IF(OR(E4962=0,E4962&gt;=7),0,D4962/(7-E4962)*E4962*INDEX(Products!$E$2:$E$49,MATCH(C4962,Products!$A$2:$A$49,0)))</f>
        <v>2620</v>
      </c>
    </row>
    <row r="4963" customFormat="false" ht="15" hidden="false" customHeight="false" outlineLevel="0" collapsed="false">
      <c r="A4963" s="36" t="n">
        <v>46195</v>
      </c>
      <c r="B4963" s="24" t="s">
        <v>65</v>
      </c>
      <c r="C4963" s="24" t="s">
        <v>127</v>
      </c>
      <c r="D4963" s="33" t="n">
        <v>146</v>
      </c>
      <c r="E4963" s="24" t="n">
        <v>0</v>
      </c>
      <c r="F4963" s="37" t="n">
        <f aca="false">DATE(YEAR(A4963),MONTH(A4963),1)</f>
        <v>46174</v>
      </c>
      <c r="G4963" s="24" t="str">
        <f aca="false">INDEX(Products!$C$2:$C$49,MATCH(C4963,Products!$A$2:$A$49,0))</f>
        <v>Grocery Staples</v>
      </c>
      <c r="H4963" s="33" t="n">
        <f aca="false">D4963*INDEX(Products!$E$2:$E$49,MATCH(C4963,Products!$A$2:$A$49,0))</f>
        <v>17520</v>
      </c>
      <c r="I4963" s="33" t="n">
        <f aca="false">D4963*INDEX(Products!$D$2:$D$49,MATCH(C4963,Products!$A$2:$A$49,0))*(1+INDEX(Assumptions!$B$16:$B$20,MATCH(B4963,Assumptions!$A$16:$A$20,0)))</f>
        <v>15338.76</v>
      </c>
      <c r="J4963" s="33" t="n">
        <f aca="false">H4963-I4963</f>
        <v>2181.24</v>
      </c>
      <c r="K4963" s="33" t="n">
        <f aca="false">IF(OR(E4963=0,E4963&gt;=7),0,D4963/(7-E4963)*E4963*INDEX(Products!$E$2:$E$49,MATCH(C4963,Products!$A$2:$A$49,0)))</f>
        <v>0</v>
      </c>
    </row>
    <row r="4964" customFormat="false" ht="15" hidden="false" customHeight="false" outlineLevel="0" collapsed="false">
      <c r="A4964" s="36" t="n">
        <v>46202</v>
      </c>
      <c r="B4964" s="24" t="s">
        <v>65</v>
      </c>
      <c r="C4964" s="24" t="s">
        <v>127</v>
      </c>
      <c r="D4964" s="33" t="n">
        <v>148</v>
      </c>
      <c r="E4964" s="24" t="n">
        <v>0</v>
      </c>
      <c r="F4964" s="37" t="n">
        <f aca="false">DATE(YEAR(A4964),MONTH(A4964),1)</f>
        <v>46174</v>
      </c>
      <c r="G4964" s="24" t="str">
        <f aca="false">INDEX(Products!$C$2:$C$49,MATCH(C4964,Products!$A$2:$A$49,0))</f>
        <v>Grocery Staples</v>
      </c>
      <c r="H4964" s="33" t="n">
        <f aca="false">D4964*INDEX(Products!$E$2:$E$49,MATCH(C4964,Products!$A$2:$A$49,0))</f>
        <v>17760</v>
      </c>
      <c r="I4964" s="33" t="n">
        <f aca="false">D4964*INDEX(Products!$D$2:$D$49,MATCH(C4964,Products!$A$2:$A$49,0))*(1+INDEX(Assumptions!$B$16:$B$20,MATCH(B4964,Assumptions!$A$16:$A$20,0)))</f>
        <v>15548.88</v>
      </c>
      <c r="J4964" s="33" t="n">
        <f aca="false">H4964-I4964</f>
        <v>2211.12</v>
      </c>
      <c r="K4964" s="33" t="n">
        <f aca="false">IF(OR(E4964=0,E4964&gt;=7),0,D4964/(7-E4964)*E4964*INDEX(Products!$E$2:$E$49,MATCH(C4964,Products!$A$2:$A$49,0)))</f>
        <v>0</v>
      </c>
    </row>
    <row r="4965" customFormat="false" ht="15" hidden="false" customHeight="false" outlineLevel="0" collapsed="false">
      <c r="A4965" s="36" t="n">
        <v>46209</v>
      </c>
      <c r="B4965" s="24" t="s">
        <v>65</v>
      </c>
      <c r="C4965" s="24" t="s">
        <v>127</v>
      </c>
      <c r="D4965" s="33" t="n">
        <v>116</v>
      </c>
      <c r="E4965" s="24" t="n">
        <v>0</v>
      </c>
      <c r="F4965" s="37" t="n">
        <f aca="false">DATE(YEAR(A4965),MONTH(A4965),1)</f>
        <v>46204</v>
      </c>
      <c r="G4965" s="24" t="str">
        <f aca="false">INDEX(Products!$C$2:$C$49,MATCH(C4965,Products!$A$2:$A$49,0))</f>
        <v>Grocery Staples</v>
      </c>
      <c r="H4965" s="33" t="n">
        <f aca="false">D4965*INDEX(Products!$E$2:$E$49,MATCH(C4965,Products!$A$2:$A$49,0))</f>
        <v>13920</v>
      </c>
      <c r="I4965" s="33" t="n">
        <f aca="false">D4965*INDEX(Products!$D$2:$D$49,MATCH(C4965,Products!$A$2:$A$49,0))*(1+INDEX(Assumptions!$B$16:$B$20,MATCH(B4965,Assumptions!$A$16:$A$20,0)))</f>
        <v>12186.96</v>
      </c>
      <c r="J4965" s="33" t="n">
        <f aca="false">H4965-I4965</f>
        <v>1733.04</v>
      </c>
      <c r="K4965" s="33" t="n">
        <f aca="false">IF(OR(E4965=0,E4965&gt;=7),0,D4965/(7-E4965)*E4965*INDEX(Products!$E$2:$E$49,MATCH(C4965,Products!$A$2:$A$49,0)))</f>
        <v>0</v>
      </c>
    </row>
    <row r="4966" customFormat="false" ht="15" hidden="false" customHeight="false" outlineLevel="0" collapsed="false">
      <c r="A4966" s="36" t="n">
        <v>46216</v>
      </c>
      <c r="B4966" s="24" t="s">
        <v>65</v>
      </c>
      <c r="C4966" s="24" t="s">
        <v>127</v>
      </c>
      <c r="D4966" s="33" t="n">
        <v>144</v>
      </c>
      <c r="E4966" s="24" t="n">
        <v>0</v>
      </c>
      <c r="F4966" s="37" t="n">
        <f aca="false">DATE(YEAR(A4966),MONTH(A4966),1)</f>
        <v>46204</v>
      </c>
      <c r="G4966" s="24" t="str">
        <f aca="false">INDEX(Products!$C$2:$C$49,MATCH(C4966,Products!$A$2:$A$49,0))</f>
        <v>Grocery Staples</v>
      </c>
      <c r="H4966" s="33" t="n">
        <f aca="false">D4966*INDEX(Products!$E$2:$E$49,MATCH(C4966,Products!$A$2:$A$49,0))</f>
        <v>17280</v>
      </c>
      <c r="I4966" s="33" t="n">
        <f aca="false">D4966*INDEX(Products!$D$2:$D$49,MATCH(C4966,Products!$A$2:$A$49,0))*(1+INDEX(Assumptions!$B$16:$B$20,MATCH(B4966,Assumptions!$A$16:$A$20,0)))</f>
        <v>15128.64</v>
      </c>
      <c r="J4966" s="33" t="n">
        <f aca="false">H4966-I4966</f>
        <v>2151.36</v>
      </c>
      <c r="K4966" s="33" t="n">
        <f aca="false">IF(OR(E4966=0,E4966&gt;=7),0,D4966/(7-E4966)*E4966*INDEX(Products!$E$2:$E$49,MATCH(C4966,Products!$A$2:$A$49,0)))</f>
        <v>0</v>
      </c>
    </row>
    <row r="4967" customFormat="false" ht="15" hidden="false" customHeight="false" outlineLevel="0" collapsed="false">
      <c r="A4967" s="36" t="n">
        <v>46223</v>
      </c>
      <c r="B4967" s="24" t="s">
        <v>65</v>
      </c>
      <c r="C4967" s="24" t="s">
        <v>127</v>
      </c>
      <c r="D4967" s="33" t="n">
        <v>170</v>
      </c>
      <c r="E4967" s="24" t="n">
        <v>0</v>
      </c>
      <c r="F4967" s="37" t="n">
        <f aca="false">DATE(YEAR(A4967),MONTH(A4967),1)</f>
        <v>46204</v>
      </c>
      <c r="G4967" s="24" t="str">
        <f aca="false">INDEX(Products!$C$2:$C$49,MATCH(C4967,Products!$A$2:$A$49,0))</f>
        <v>Grocery Staples</v>
      </c>
      <c r="H4967" s="33" t="n">
        <f aca="false">D4967*INDEX(Products!$E$2:$E$49,MATCH(C4967,Products!$A$2:$A$49,0))</f>
        <v>20400</v>
      </c>
      <c r="I4967" s="33" t="n">
        <f aca="false">D4967*INDEX(Products!$D$2:$D$49,MATCH(C4967,Products!$A$2:$A$49,0))*(1+INDEX(Assumptions!$B$16:$B$20,MATCH(B4967,Assumptions!$A$16:$A$20,0)))</f>
        <v>17860.2</v>
      </c>
      <c r="J4967" s="33" t="n">
        <f aca="false">H4967-I4967</f>
        <v>2539.8</v>
      </c>
      <c r="K4967" s="33" t="n">
        <f aca="false">IF(OR(E4967=0,E4967&gt;=7),0,D4967/(7-E4967)*E4967*INDEX(Products!$E$2:$E$49,MATCH(C4967,Products!$A$2:$A$49,0)))</f>
        <v>0</v>
      </c>
    </row>
    <row r="4968" customFormat="false" ht="15" hidden="false" customHeight="false" outlineLevel="0" collapsed="false">
      <c r="A4968" s="36" t="n">
        <v>46230</v>
      </c>
      <c r="B4968" s="24" t="s">
        <v>65</v>
      </c>
      <c r="C4968" s="24" t="s">
        <v>127</v>
      </c>
      <c r="D4968" s="33" t="n">
        <v>146</v>
      </c>
      <c r="E4968" s="24" t="n">
        <v>0</v>
      </c>
      <c r="F4968" s="37" t="n">
        <f aca="false">DATE(YEAR(A4968),MONTH(A4968),1)</f>
        <v>46204</v>
      </c>
      <c r="G4968" s="24" t="str">
        <f aca="false">INDEX(Products!$C$2:$C$49,MATCH(C4968,Products!$A$2:$A$49,0))</f>
        <v>Grocery Staples</v>
      </c>
      <c r="H4968" s="33" t="n">
        <f aca="false">D4968*INDEX(Products!$E$2:$E$49,MATCH(C4968,Products!$A$2:$A$49,0))</f>
        <v>17520</v>
      </c>
      <c r="I4968" s="33" t="n">
        <f aca="false">D4968*INDEX(Products!$D$2:$D$49,MATCH(C4968,Products!$A$2:$A$49,0))*(1+INDEX(Assumptions!$B$16:$B$20,MATCH(B4968,Assumptions!$A$16:$A$20,0)))</f>
        <v>15338.76</v>
      </c>
      <c r="J4968" s="33" t="n">
        <f aca="false">H4968-I4968</f>
        <v>2181.24</v>
      </c>
      <c r="K4968" s="33" t="n">
        <f aca="false">IF(OR(E4968=0,E4968&gt;=7),0,D4968/(7-E4968)*E4968*INDEX(Products!$E$2:$E$49,MATCH(C4968,Products!$A$2:$A$49,0)))</f>
        <v>0</v>
      </c>
    </row>
    <row r="4969" customFormat="false" ht="15" hidden="false" customHeight="false" outlineLevel="0" collapsed="false">
      <c r="A4969" s="36" t="n">
        <v>46237</v>
      </c>
      <c r="B4969" s="24" t="s">
        <v>65</v>
      </c>
      <c r="C4969" s="24" t="s">
        <v>127</v>
      </c>
      <c r="D4969" s="33" t="n">
        <v>138</v>
      </c>
      <c r="E4969" s="24" t="n">
        <v>0</v>
      </c>
      <c r="F4969" s="37" t="n">
        <f aca="false">DATE(YEAR(A4969),MONTH(A4969),1)</f>
        <v>46235</v>
      </c>
      <c r="G4969" s="24" t="str">
        <f aca="false">INDEX(Products!$C$2:$C$49,MATCH(C4969,Products!$A$2:$A$49,0))</f>
        <v>Grocery Staples</v>
      </c>
      <c r="H4969" s="33" t="n">
        <f aca="false">D4969*INDEX(Products!$E$2:$E$49,MATCH(C4969,Products!$A$2:$A$49,0))</f>
        <v>16560</v>
      </c>
      <c r="I4969" s="33" t="n">
        <f aca="false">D4969*INDEX(Products!$D$2:$D$49,MATCH(C4969,Products!$A$2:$A$49,0))*(1+INDEX(Assumptions!$B$16:$B$20,MATCH(B4969,Assumptions!$A$16:$A$20,0)))</f>
        <v>14498.28</v>
      </c>
      <c r="J4969" s="33" t="n">
        <f aca="false">H4969-I4969</f>
        <v>2061.72</v>
      </c>
      <c r="K4969" s="33" t="n">
        <f aca="false">IF(OR(E4969=0,E4969&gt;=7),0,D4969/(7-E4969)*E4969*INDEX(Products!$E$2:$E$49,MATCH(C4969,Products!$A$2:$A$49,0)))</f>
        <v>0</v>
      </c>
    </row>
    <row r="4970" customFormat="false" ht="15" hidden="false" customHeight="false" outlineLevel="0" collapsed="false">
      <c r="A4970" s="36" t="n">
        <v>46244</v>
      </c>
      <c r="B4970" s="24" t="s">
        <v>65</v>
      </c>
      <c r="C4970" s="24" t="s">
        <v>127</v>
      </c>
      <c r="D4970" s="33" t="n">
        <v>131</v>
      </c>
      <c r="E4970" s="24" t="n">
        <v>0</v>
      </c>
      <c r="F4970" s="37" t="n">
        <f aca="false">DATE(YEAR(A4970),MONTH(A4970),1)</f>
        <v>46235</v>
      </c>
      <c r="G4970" s="24" t="str">
        <f aca="false">INDEX(Products!$C$2:$C$49,MATCH(C4970,Products!$A$2:$A$49,0))</f>
        <v>Grocery Staples</v>
      </c>
      <c r="H4970" s="33" t="n">
        <f aca="false">D4970*INDEX(Products!$E$2:$E$49,MATCH(C4970,Products!$A$2:$A$49,0))</f>
        <v>15720</v>
      </c>
      <c r="I4970" s="33" t="n">
        <f aca="false">D4970*INDEX(Products!$D$2:$D$49,MATCH(C4970,Products!$A$2:$A$49,0))*(1+INDEX(Assumptions!$B$16:$B$20,MATCH(B4970,Assumptions!$A$16:$A$20,0)))</f>
        <v>13762.86</v>
      </c>
      <c r="J4970" s="33" t="n">
        <f aca="false">H4970-I4970</f>
        <v>1957.14</v>
      </c>
      <c r="K4970" s="33" t="n">
        <f aca="false">IF(OR(E4970=0,E4970&gt;=7),0,D4970/(7-E4970)*E4970*INDEX(Products!$E$2:$E$49,MATCH(C4970,Products!$A$2:$A$49,0)))</f>
        <v>0</v>
      </c>
    </row>
    <row r="4971" customFormat="false" ht="15" hidden="false" customHeight="false" outlineLevel="0" collapsed="false">
      <c r="A4971" s="36" t="n">
        <v>46251</v>
      </c>
      <c r="B4971" s="24" t="s">
        <v>65</v>
      </c>
      <c r="C4971" s="24" t="s">
        <v>127</v>
      </c>
      <c r="D4971" s="33" t="n">
        <v>143</v>
      </c>
      <c r="E4971" s="24" t="n">
        <v>0</v>
      </c>
      <c r="F4971" s="37" t="n">
        <f aca="false">DATE(YEAR(A4971),MONTH(A4971),1)</f>
        <v>46235</v>
      </c>
      <c r="G4971" s="24" t="str">
        <f aca="false">INDEX(Products!$C$2:$C$49,MATCH(C4971,Products!$A$2:$A$49,0))</f>
        <v>Grocery Staples</v>
      </c>
      <c r="H4971" s="33" t="n">
        <f aca="false">D4971*INDEX(Products!$E$2:$E$49,MATCH(C4971,Products!$A$2:$A$49,0))</f>
        <v>17160</v>
      </c>
      <c r="I4971" s="33" t="n">
        <f aca="false">D4971*INDEX(Products!$D$2:$D$49,MATCH(C4971,Products!$A$2:$A$49,0))*(1+INDEX(Assumptions!$B$16:$B$20,MATCH(B4971,Assumptions!$A$16:$A$20,0)))</f>
        <v>15023.58</v>
      </c>
      <c r="J4971" s="33" t="n">
        <f aca="false">H4971-I4971</f>
        <v>2136.42</v>
      </c>
      <c r="K4971" s="33" t="n">
        <f aca="false">IF(OR(E4971=0,E4971&gt;=7),0,D4971/(7-E4971)*E4971*INDEX(Products!$E$2:$E$49,MATCH(C4971,Products!$A$2:$A$49,0)))</f>
        <v>0</v>
      </c>
    </row>
    <row r="4972" customFormat="false" ht="15" hidden="false" customHeight="false" outlineLevel="0" collapsed="false">
      <c r="A4972" s="36" t="n">
        <v>46258</v>
      </c>
      <c r="B4972" s="24" t="s">
        <v>65</v>
      </c>
      <c r="C4972" s="24" t="s">
        <v>127</v>
      </c>
      <c r="D4972" s="33" t="n">
        <v>171</v>
      </c>
      <c r="E4972" s="24" t="n">
        <v>0</v>
      </c>
      <c r="F4972" s="37" t="n">
        <f aca="false">DATE(YEAR(A4972),MONTH(A4972),1)</f>
        <v>46235</v>
      </c>
      <c r="G4972" s="24" t="str">
        <f aca="false">INDEX(Products!$C$2:$C$49,MATCH(C4972,Products!$A$2:$A$49,0))</f>
        <v>Grocery Staples</v>
      </c>
      <c r="H4972" s="33" t="n">
        <f aca="false">D4972*INDEX(Products!$E$2:$E$49,MATCH(C4972,Products!$A$2:$A$49,0))</f>
        <v>20520</v>
      </c>
      <c r="I4972" s="33" t="n">
        <f aca="false">D4972*INDEX(Products!$D$2:$D$49,MATCH(C4972,Products!$A$2:$A$49,0))*(1+INDEX(Assumptions!$B$16:$B$20,MATCH(B4972,Assumptions!$A$16:$A$20,0)))</f>
        <v>17965.26</v>
      </c>
      <c r="J4972" s="33" t="n">
        <f aca="false">H4972-I4972</f>
        <v>2554.74</v>
      </c>
      <c r="K4972" s="33" t="n">
        <f aca="false">IF(OR(E4972=0,E4972&gt;=7),0,D4972/(7-E4972)*E4972*INDEX(Products!$E$2:$E$49,MATCH(C4972,Products!$A$2:$A$49,0)))</f>
        <v>0</v>
      </c>
    </row>
    <row r="4973" customFormat="false" ht="15" hidden="false" customHeight="false" outlineLevel="0" collapsed="false">
      <c r="A4973" s="36" t="n">
        <v>46265</v>
      </c>
      <c r="B4973" s="24" t="s">
        <v>65</v>
      </c>
      <c r="C4973" s="24" t="s">
        <v>127</v>
      </c>
      <c r="D4973" s="33" t="n">
        <v>167</v>
      </c>
      <c r="E4973" s="24" t="n">
        <v>0</v>
      </c>
      <c r="F4973" s="37" t="n">
        <f aca="false">DATE(YEAR(A4973),MONTH(A4973),1)</f>
        <v>46235</v>
      </c>
      <c r="G4973" s="24" t="str">
        <f aca="false">INDEX(Products!$C$2:$C$49,MATCH(C4973,Products!$A$2:$A$49,0))</f>
        <v>Grocery Staples</v>
      </c>
      <c r="H4973" s="33" t="n">
        <f aca="false">D4973*INDEX(Products!$E$2:$E$49,MATCH(C4973,Products!$A$2:$A$49,0))</f>
        <v>20040</v>
      </c>
      <c r="I4973" s="33" t="n">
        <f aca="false">D4973*INDEX(Products!$D$2:$D$49,MATCH(C4973,Products!$A$2:$A$49,0))*(1+INDEX(Assumptions!$B$16:$B$20,MATCH(B4973,Assumptions!$A$16:$A$20,0)))</f>
        <v>17545.02</v>
      </c>
      <c r="J4973" s="33" t="n">
        <f aca="false">H4973-I4973</f>
        <v>2494.98</v>
      </c>
      <c r="K4973" s="33" t="n">
        <f aca="false">IF(OR(E4973=0,E4973&gt;=7),0,D4973/(7-E4973)*E4973*INDEX(Products!$E$2:$E$49,MATCH(C4973,Products!$A$2:$A$49,0)))</f>
        <v>0</v>
      </c>
    </row>
    <row r="4974" customFormat="false" ht="15" hidden="false" customHeight="false" outlineLevel="0" collapsed="false">
      <c r="A4974" s="36" t="n">
        <v>46272</v>
      </c>
      <c r="B4974" s="24" t="s">
        <v>65</v>
      </c>
      <c r="C4974" s="24" t="s">
        <v>127</v>
      </c>
      <c r="D4974" s="33" t="n">
        <v>163</v>
      </c>
      <c r="E4974" s="24" t="n">
        <v>0</v>
      </c>
      <c r="F4974" s="37" t="n">
        <f aca="false">DATE(YEAR(A4974),MONTH(A4974),1)</f>
        <v>46266</v>
      </c>
      <c r="G4974" s="24" t="str">
        <f aca="false">INDEX(Products!$C$2:$C$49,MATCH(C4974,Products!$A$2:$A$49,0))</f>
        <v>Grocery Staples</v>
      </c>
      <c r="H4974" s="33" t="n">
        <f aca="false">D4974*INDEX(Products!$E$2:$E$49,MATCH(C4974,Products!$A$2:$A$49,0))</f>
        <v>19560</v>
      </c>
      <c r="I4974" s="33" t="n">
        <f aca="false">D4974*INDEX(Products!$D$2:$D$49,MATCH(C4974,Products!$A$2:$A$49,0))*(1+INDEX(Assumptions!$B$16:$B$20,MATCH(B4974,Assumptions!$A$16:$A$20,0)))</f>
        <v>17124.78</v>
      </c>
      <c r="J4974" s="33" t="n">
        <f aca="false">H4974-I4974</f>
        <v>2435.22</v>
      </c>
      <c r="K4974" s="33" t="n">
        <f aca="false">IF(OR(E4974=0,E4974&gt;=7),0,D4974/(7-E4974)*E4974*INDEX(Products!$E$2:$E$49,MATCH(C4974,Products!$A$2:$A$49,0)))</f>
        <v>0</v>
      </c>
    </row>
    <row r="4975" customFormat="false" ht="15" hidden="false" customHeight="false" outlineLevel="0" collapsed="false">
      <c r="A4975" s="36" t="n">
        <v>46279</v>
      </c>
      <c r="B4975" s="24" t="s">
        <v>65</v>
      </c>
      <c r="C4975" s="24" t="s">
        <v>127</v>
      </c>
      <c r="D4975" s="33" t="n">
        <v>148</v>
      </c>
      <c r="E4975" s="24" t="n">
        <v>0</v>
      </c>
      <c r="F4975" s="37" t="n">
        <f aca="false">DATE(YEAR(A4975),MONTH(A4975),1)</f>
        <v>46266</v>
      </c>
      <c r="G4975" s="24" t="str">
        <f aca="false">INDEX(Products!$C$2:$C$49,MATCH(C4975,Products!$A$2:$A$49,0))</f>
        <v>Grocery Staples</v>
      </c>
      <c r="H4975" s="33" t="n">
        <f aca="false">D4975*INDEX(Products!$E$2:$E$49,MATCH(C4975,Products!$A$2:$A$49,0))</f>
        <v>17760</v>
      </c>
      <c r="I4975" s="33" t="n">
        <f aca="false">D4975*INDEX(Products!$D$2:$D$49,MATCH(C4975,Products!$A$2:$A$49,0))*(1+INDEX(Assumptions!$B$16:$B$20,MATCH(B4975,Assumptions!$A$16:$A$20,0)))</f>
        <v>15548.88</v>
      </c>
      <c r="J4975" s="33" t="n">
        <f aca="false">H4975-I4975</f>
        <v>2211.12</v>
      </c>
      <c r="K4975" s="33" t="n">
        <f aca="false">IF(OR(E4975=0,E4975&gt;=7),0,D4975/(7-E4975)*E4975*INDEX(Products!$E$2:$E$49,MATCH(C4975,Products!$A$2:$A$49,0)))</f>
        <v>0</v>
      </c>
    </row>
    <row r="4976" customFormat="false" ht="15" hidden="false" customHeight="false" outlineLevel="0" collapsed="false">
      <c r="A4976" s="36" t="n">
        <v>46286</v>
      </c>
      <c r="B4976" s="24" t="s">
        <v>65</v>
      </c>
      <c r="C4976" s="24" t="s">
        <v>127</v>
      </c>
      <c r="D4976" s="33" t="n">
        <v>151</v>
      </c>
      <c r="E4976" s="24" t="n">
        <v>1</v>
      </c>
      <c r="F4976" s="37" t="n">
        <f aca="false">DATE(YEAR(A4976),MONTH(A4976),1)</f>
        <v>46266</v>
      </c>
      <c r="G4976" s="24" t="str">
        <f aca="false">INDEX(Products!$C$2:$C$49,MATCH(C4976,Products!$A$2:$A$49,0))</f>
        <v>Grocery Staples</v>
      </c>
      <c r="H4976" s="33" t="n">
        <f aca="false">D4976*INDEX(Products!$E$2:$E$49,MATCH(C4976,Products!$A$2:$A$49,0))</f>
        <v>18120</v>
      </c>
      <c r="I4976" s="33" t="n">
        <f aca="false">D4976*INDEX(Products!$D$2:$D$49,MATCH(C4976,Products!$A$2:$A$49,0))*(1+INDEX(Assumptions!$B$16:$B$20,MATCH(B4976,Assumptions!$A$16:$A$20,0)))</f>
        <v>15864.06</v>
      </c>
      <c r="J4976" s="33" t="n">
        <f aca="false">H4976-I4976</f>
        <v>2255.94</v>
      </c>
      <c r="K4976" s="33" t="n">
        <f aca="false">IF(OR(E4976=0,E4976&gt;=7),0,D4976/(7-E4976)*E4976*INDEX(Products!$E$2:$E$49,MATCH(C4976,Products!$A$2:$A$49,0)))</f>
        <v>3020</v>
      </c>
    </row>
    <row r="4977" customFormat="false" ht="15" hidden="false" customHeight="false" outlineLevel="0" collapsed="false">
      <c r="A4977" s="36" t="n">
        <v>46118</v>
      </c>
      <c r="B4977" s="24" t="s">
        <v>65</v>
      </c>
      <c r="C4977" s="24" t="s">
        <v>129</v>
      </c>
      <c r="D4977" s="33" t="n">
        <v>180</v>
      </c>
      <c r="E4977" s="24" t="n">
        <v>0</v>
      </c>
      <c r="F4977" s="37" t="n">
        <f aca="false">DATE(YEAR(A4977),MONTH(A4977),1)</f>
        <v>46113</v>
      </c>
      <c r="G4977" s="24" t="str">
        <f aca="false">INDEX(Products!$C$2:$C$49,MATCH(C4977,Products!$A$2:$A$49,0))</f>
        <v>Grocery Staples</v>
      </c>
      <c r="H4977" s="33" t="n">
        <f aca="false">D4977*INDEX(Products!$E$2:$E$49,MATCH(C4977,Products!$A$2:$A$49,0))</f>
        <v>37800</v>
      </c>
      <c r="I4977" s="33" t="n">
        <f aca="false">D4977*INDEX(Products!$D$2:$D$49,MATCH(C4977,Products!$A$2:$A$49,0))*(1+INDEX(Assumptions!$B$16:$B$20,MATCH(B4977,Assumptions!$A$16:$A$20,0)))</f>
        <v>34149.6</v>
      </c>
      <c r="J4977" s="33" t="n">
        <f aca="false">H4977-I4977</f>
        <v>3650.4</v>
      </c>
      <c r="K4977" s="33" t="n">
        <f aca="false">IF(OR(E4977=0,E4977&gt;=7),0,D4977/(7-E4977)*E4977*INDEX(Products!$E$2:$E$49,MATCH(C4977,Products!$A$2:$A$49,0)))</f>
        <v>0</v>
      </c>
    </row>
    <row r="4978" customFormat="false" ht="15" hidden="false" customHeight="false" outlineLevel="0" collapsed="false">
      <c r="A4978" s="36" t="n">
        <v>46125</v>
      </c>
      <c r="B4978" s="24" t="s">
        <v>65</v>
      </c>
      <c r="C4978" s="24" t="s">
        <v>129</v>
      </c>
      <c r="D4978" s="33" t="n">
        <v>175</v>
      </c>
      <c r="E4978" s="24" t="n">
        <v>0</v>
      </c>
      <c r="F4978" s="37" t="n">
        <f aca="false">DATE(YEAR(A4978),MONTH(A4978),1)</f>
        <v>46113</v>
      </c>
      <c r="G4978" s="24" t="str">
        <f aca="false">INDEX(Products!$C$2:$C$49,MATCH(C4978,Products!$A$2:$A$49,0))</f>
        <v>Grocery Staples</v>
      </c>
      <c r="H4978" s="33" t="n">
        <f aca="false">D4978*INDEX(Products!$E$2:$E$49,MATCH(C4978,Products!$A$2:$A$49,0))</f>
        <v>36750</v>
      </c>
      <c r="I4978" s="33" t="n">
        <f aca="false">D4978*INDEX(Products!$D$2:$D$49,MATCH(C4978,Products!$A$2:$A$49,0))*(1+INDEX(Assumptions!$B$16:$B$20,MATCH(B4978,Assumptions!$A$16:$A$20,0)))</f>
        <v>33201</v>
      </c>
      <c r="J4978" s="33" t="n">
        <f aca="false">H4978-I4978</f>
        <v>3549</v>
      </c>
      <c r="K4978" s="33" t="n">
        <f aca="false">IF(OR(E4978=0,E4978&gt;=7),0,D4978/(7-E4978)*E4978*INDEX(Products!$E$2:$E$49,MATCH(C4978,Products!$A$2:$A$49,0)))</f>
        <v>0</v>
      </c>
    </row>
    <row r="4979" customFormat="false" ht="15" hidden="false" customHeight="false" outlineLevel="0" collapsed="false">
      <c r="A4979" s="36" t="n">
        <v>46132</v>
      </c>
      <c r="B4979" s="24" t="s">
        <v>65</v>
      </c>
      <c r="C4979" s="24" t="s">
        <v>129</v>
      </c>
      <c r="D4979" s="33" t="n">
        <v>176</v>
      </c>
      <c r="E4979" s="24" t="n">
        <v>0</v>
      </c>
      <c r="F4979" s="37" t="n">
        <f aca="false">DATE(YEAR(A4979),MONTH(A4979),1)</f>
        <v>46113</v>
      </c>
      <c r="G4979" s="24" t="str">
        <f aca="false">INDEX(Products!$C$2:$C$49,MATCH(C4979,Products!$A$2:$A$49,0))</f>
        <v>Grocery Staples</v>
      </c>
      <c r="H4979" s="33" t="n">
        <f aca="false">D4979*INDEX(Products!$E$2:$E$49,MATCH(C4979,Products!$A$2:$A$49,0))</f>
        <v>36960</v>
      </c>
      <c r="I4979" s="33" t="n">
        <f aca="false">D4979*INDEX(Products!$D$2:$D$49,MATCH(C4979,Products!$A$2:$A$49,0))*(1+INDEX(Assumptions!$B$16:$B$20,MATCH(B4979,Assumptions!$A$16:$A$20,0)))</f>
        <v>33390.72</v>
      </c>
      <c r="J4979" s="33" t="n">
        <f aca="false">H4979-I4979</f>
        <v>3569.28</v>
      </c>
      <c r="K4979" s="33" t="n">
        <f aca="false">IF(OR(E4979=0,E4979&gt;=7),0,D4979/(7-E4979)*E4979*INDEX(Products!$E$2:$E$49,MATCH(C4979,Products!$A$2:$A$49,0)))</f>
        <v>0</v>
      </c>
    </row>
    <row r="4980" customFormat="false" ht="15" hidden="false" customHeight="false" outlineLevel="0" collapsed="false">
      <c r="A4980" s="36" t="n">
        <v>46139</v>
      </c>
      <c r="B4980" s="24" t="s">
        <v>65</v>
      </c>
      <c r="C4980" s="24" t="s">
        <v>129</v>
      </c>
      <c r="D4980" s="33" t="n">
        <v>189</v>
      </c>
      <c r="E4980" s="24" t="n">
        <v>0</v>
      </c>
      <c r="F4980" s="37" t="n">
        <f aca="false">DATE(YEAR(A4980),MONTH(A4980),1)</f>
        <v>46113</v>
      </c>
      <c r="G4980" s="24" t="str">
        <f aca="false">INDEX(Products!$C$2:$C$49,MATCH(C4980,Products!$A$2:$A$49,0))</f>
        <v>Grocery Staples</v>
      </c>
      <c r="H4980" s="33" t="n">
        <f aca="false">D4980*INDEX(Products!$E$2:$E$49,MATCH(C4980,Products!$A$2:$A$49,0))</f>
        <v>39690</v>
      </c>
      <c r="I4980" s="33" t="n">
        <f aca="false">D4980*INDEX(Products!$D$2:$D$49,MATCH(C4980,Products!$A$2:$A$49,0))*(1+INDEX(Assumptions!$B$16:$B$20,MATCH(B4980,Assumptions!$A$16:$A$20,0)))</f>
        <v>35857.08</v>
      </c>
      <c r="J4980" s="33" t="n">
        <f aca="false">H4980-I4980</f>
        <v>3832.92</v>
      </c>
      <c r="K4980" s="33" t="n">
        <f aca="false">IF(OR(E4980=0,E4980&gt;=7),0,D4980/(7-E4980)*E4980*INDEX(Products!$E$2:$E$49,MATCH(C4980,Products!$A$2:$A$49,0)))</f>
        <v>0</v>
      </c>
    </row>
    <row r="4981" customFormat="false" ht="15" hidden="false" customHeight="false" outlineLevel="0" collapsed="false">
      <c r="A4981" s="36" t="n">
        <v>46146</v>
      </c>
      <c r="B4981" s="24" t="s">
        <v>65</v>
      </c>
      <c r="C4981" s="24" t="s">
        <v>129</v>
      </c>
      <c r="D4981" s="33" t="n">
        <v>171</v>
      </c>
      <c r="E4981" s="24" t="n">
        <v>0</v>
      </c>
      <c r="F4981" s="37" t="n">
        <f aca="false">DATE(YEAR(A4981),MONTH(A4981),1)</f>
        <v>46143</v>
      </c>
      <c r="G4981" s="24" t="str">
        <f aca="false">INDEX(Products!$C$2:$C$49,MATCH(C4981,Products!$A$2:$A$49,0))</f>
        <v>Grocery Staples</v>
      </c>
      <c r="H4981" s="33" t="n">
        <f aca="false">D4981*INDEX(Products!$E$2:$E$49,MATCH(C4981,Products!$A$2:$A$49,0))</f>
        <v>35910</v>
      </c>
      <c r="I4981" s="33" t="n">
        <f aca="false">D4981*INDEX(Products!$D$2:$D$49,MATCH(C4981,Products!$A$2:$A$49,0))*(1+INDEX(Assumptions!$B$16:$B$20,MATCH(B4981,Assumptions!$A$16:$A$20,0)))</f>
        <v>32442.12</v>
      </c>
      <c r="J4981" s="33" t="n">
        <f aca="false">H4981-I4981</f>
        <v>3467.88</v>
      </c>
      <c r="K4981" s="33" t="n">
        <f aca="false">IF(OR(E4981=0,E4981&gt;=7),0,D4981/(7-E4981)*E4981*INDEX(Products!$E$2:$E$49,MATCH(C4981,Products!$A$2:$A$49,0)))</f>
        <v>0</v>
      </c>
    </row>
    <row r="4982" customFormat="false" ht="15" hidden="false" customHeight="false" outlineLevel="0" collapsed="false">
      <c r="A4982" s="36" t="n">
        <v>46153</v>
      </c>
      <c r="B4982" s="24" t="s">
        <v>65</v>
      </c>
      <c r="C4982" s="24" t="s">
        <v>129</v>
      </c>
      <c r="D4982" s="33" t="n">
        <v>189</v>
      </c>
      <c r="E4982" s="24" t="n">
        <v>0</v>
      </c>
      <c r="F4982" s="37" t="n">
        <f aca="false">DATE(YEAR(A4982),MONTH(A4982),1)</f>
        <v>46143</v>
      </c>
      <c r="G4982" s="24" t="str">
        <f aca="false">INDEX(Products!$C$2:$C$49,MATCH(C4982,Products!$A$2:$A$49,0))</f>
        <v>Grocery Staples</v>
      </c>
      <c r="H4982" s="33" t="n">
        <f aca="false">D4982*INDEX(Products!$E$2:$E$49,MATCH(C4982,Products!$A$2:$A$49,0))</f>
        <v>39690</v>
      </c>
      <c r="I4982" s="33" t="n">
        <f aca="false">D4982*INDEX(Products!$D$2:$D$49,MATCH(C4982,Products!$A$2:$A$49,0))*(1+INDEX(Assumptions!$B$16:$B$20,MATCH(B4982,Assumptions!$A$16:$A$20,0)))</f>
        <v>35857.08</v>
      </c>
      <c r="J4982" s="33" t="n">
        <f aca="false">H4982-I4982</f>
        <v>3832.92</v>
      </c>
      <c r="K4982" s="33" t="n">
        <f aca="false">IF(OR(E4982=0,E4982&gt;=7),0,D4982/(7-E4982)*E4982*INDEX(Products!$E$2:$E$49,MATCH(C4982,Products!$A$2:$A$49,0)))</f>
        <v>0</v>
      </c>
    </row>
    <row r="4983" customFormat="false" ht="15" hidden="false" customHeight="false" outlineLevel="0" collapsed="false">
      <c r="A4983" s="36" t="n">
        <v>46160</v>
      </c>
      <c r="B4983" s="24" t="s">
        <v>65</v>
      </c>
      <c r="C4983" s="24" t="s">
        <v>129</v>
      </c>
      <c r="D4983" s="33" t="n">
        <v>174</v>
      </c>
      <c r="E4983" s="24" t="n">
        <v>0</v>
      </c>
      <c r="F4983" s="37" t="n">
        <f aca="false">DATE(YEAR(A4983),MONTH(A4983),1)</f>
        <v>46143</v>
      </c>
      <c r="G4983" s="24" t="str">
        <f aca="false">INDEX(Products!$C$2:$C$49,MATCH(C4983,Products!$A$2:$A$49,0))</f>
        <v>Grocery Staples</v>
      </c>
      <c r="H4983" s="33" t="n">
        <f aca="false">D4983*INDEX(Products!$E$2:$E$49,MATCH(C4983,Products!$A$2:$A$49,0))</f>
        <v>36540</v>
      </c>
      <c r="I4983" s="33" t="n">
        <f aca="false">D4983*INDEX(Products!$D$2:$D$49,MATCH(C4983,Products!$A$2:$A$49,0))*(1+INDEX(Assumptions!$B$16:$B$20,MATCH(B4983,Assumptions!$A$16:$A$20,0)))</f>
        <v>33011.28</v>
      </c>
      <c r="J4983" s="33" t="n">
        <f aca="false">H4983-I4983</f>
        <v>3528.72</v>
      </c>
      <c r="K4983" s="33" t="n">
        <f aca="false">IF(OR(E4983=0,E4983&gt;=7),0,D4983/(7-E4983)*E4983*INDEX(Products!$E$2:$E$49,MATCH(C4983,Products!$A$2:$A$49,0)))</f>
        <v>0</v>
      </c>
    </row>
    <row r="4984" customFormat="false" ht="15" hidden="false" customHeight="false" outlineLevel="0" collapsed="false">
      <c r="A4984" s="36" t="n">
        <v>46167</v>
      </c>
      <c r="B4984" s="24" t="s">
        <v>65</v>
      </c>
      <c r="C4984" s="24" t="s">
        <v>129</v>
      </c>
      <c r="D4984" s="33" t="n">
        <v>150</v>
      </c>
      <c r="E4984" s="24" t="n">
        <v>1</v>
      </c>
      <c r="F4984" s="37" t="n">
        <f aca="false">DATE(YEAR(A4984),MONTH(A4984),1)</f>
        <v>46143</v>
      </c>
      <c r="G4984" s="24" t="str">
        <f aca="false">INDEX(Products!$C$2:$C$49,MATCH(C4984,Products!$A$2:$A$49,0))</f>
        <v>Grocery Staples</v>
      </c>
      <c r="H4984" s="33" t="n">
        <f aca="false">D4984*INDEX(Products!$E$2:$E$49,MATCH(C4984,Products!$A$2:$A$49,0))</f>
        <v>31500</v>
      </c>
      <c r="I4984" s="33" t="n">
        <f aca="false">D4984*INDEX(Products!$D$2:$D$49,MATCH(C4984,Products!$A$2:$A$49,0))*(1+INDEX(Assumptions!$B$16:$B$20,MATCH(B4984,Assumptions!$A$16:$A$20,0)))</f>
        <v>28458</v>
      </c>
      <c r="J4984" s="33" t="n">
        <f aca="false">H4984-I4984</f>
        <v>3042</v>
      </c>
      <c r="K4984" s="33" t="n">
        <f aca="false">IF(OR(E4984=0,E4984&gt;=7),0,D4984/(7-E4984)*E4984*INDEX(Products!$E$2:$E$49,MATCH(C4984,Products!$A$2:$A$49,0)))</f>
        <v>5250</v>
      </c>
    </row>
    <row r="4985" customFormat="false" ht="15" hidden="false" customHeight="false" outlineLevel="0" collapsed="false">
      <c r="A4985" s="36" t="n">
        <v>46174</v>
      </c>
      <c r="B4985" s="24" t="s">
        <v>65</v>
      </c>
      <c r="C4985" s="24" t="s">
        <v>129</v>
      </c>
      <c r="D4985" s="33" t="n">
        <v>189</v>
      </c>
      <c r="E4985" s="24" t="n">
        <v>0</v>
      </c>
      <c r="F4985" s="37" t="n">
        <f aca="false">DATE(YEAR(A4985),MONTH(A4985),1)</f>
        <v>46174</v>
      </c>
      <c r="G4985" s="24" t="str">
        <f aca="false">INDEX(Products!$C$2:$C$49,MATCH(C4985,Products!$A$2:$A$49,0))</f>
        <v>Grocery Staples</v>
      </c>
      <c r="H4985" s="33" t="n">
        <f aca="false">D4985*INDEX(Products!$E$2:$E$49,MATCH(C4985,Products!$A$2:$A$49,0))</f>
        <v>39690</v>
      </c>
      <c r="I4985" s="33" t="n">
        <f aca="false">D4985*INDEX(Products!$D$2:$D$49,MATCH(C4985,Products!$A$2:$A$49,0))*(1+INDEX(Assumptions!$B$16:$B$20,MATCH(B4985,Assumptions!$A$16:$A$20,0)))</f>
        <v>35857.08</v>
      </c>
      <c r="J4985" s="33" t="n">
        <f aca="false">H4985-I4985</f>
        <v>3832.92</v>
      </c>
      <c r="K4985" s="33" t="n">
        <f aca="false">IF(OR(E4985=0,E4985&gt;=7),0,D4985/(7-E4985)*E4985*INDEX(Products!$E$2:$E$49,MATCH(C4985,Products!$A$2:$A$49,0)))</f>
        <v>0</v>
      </c>
    </row>
    <row r="4986" customFormat="false" ht="15" hidden="false" customHeight="false" outlineLevel="0" collapsed="false">
      <c r="A4986" s="36" t="n">
        <v>46181</v>
      </c>
      <c r="B4986" s="24" t="s">
        <v>65</v>
      </c>
      <c r="C4986" s="24" t="s">
        <v>129</v>
      </c>
      <c r="D4986" s="33" t="n">
        <v>153</v>
      </c>
      <c r="E4986" s="24" t="n">
        <v>0</v>
      </c>
      <c r="F4986" s="37" t="n">
        <f aca="false">DATE(YEAR(A4986),MONTH(A4986),1)</f>
        <v>46174</v>
      </c>
      <c r="G4986" s="24" t="str">
        <f aca="false">INDEX(Products!$C$2:$C$49,MATCH(C4986,Products!$A$2:$A$49,0))</f>
        <v>Grocery Staples</v>
      </c>
      <c r="H4986" s="33" t="n">
        <f aca="false">D4986*INDEX(Products!$E$2:$E$49,MATCH(C4986,Products!$A$2:$A$49,0))</f>
        <v>32130</v>
      </c>
      <c r="I4986" s="33" t="n">
        <f aca="false">D4986*INDEX(Products!$D$2:$D$49,MATCH(C4986,Products!$A$2:$A$49,0))*(1+INDEX(Assumptions!$B$16:$B$20,MATCH(B4986,Assumptions!$A$16:$A$20,0)))</f>
        <v>29027.16</v>
      </c>
      <c r="J4986" s="33" t="n">
        <f aca="false">H4986-I4986</f>
        <v>3102.84</v>
      </c>
      <c r="K4986" s="33" t="n">
        <f aca="false">IF(OR(E4986=0,E4986&gt;=7),0,D4986/(7-E4986)*E4986*INDEX(Products!$E$2:$E$49,MATCH(C4986,Products!$A$2:$A$49,0)))</f>
        <v>0</v>
      </c>
    </row>
    <row r="4987" customFormat="false" ht="15" hidden="false" customHeight="false" outlineLevel="0" collapsed="false">
      <c r="A4987" s="36" t="n">
        <v>46188</v>
      </c>
      <c r="B4987" s="24" t="s">
        <v>65</v>
      </c>
      <c r="C4987" s="24" t="s">
        <v>129</v>
      </c>
      <c r="D4987" s="33" t="n">
        <v>120</v>
      </c>
      <c r="E4987" s="24" t="n">
        <v>4</v>
      </c>
      <c r="F4987" s="37" t="n">
        <f aca="false">DATE(YEAR(A4987),MONTH(A4987),1)</f>
        <v>46174</v>
      </c>
      <c r="G4987" s="24" t="str">
        <f aca="false">INDEX(Products!$C$2:$C$49,MATCH(C4987,Products!$A$2:$A$49,0))</f>
        <v>Grocery Staples</v>
      </c>
      <c r="H4987" s="33" t="n">
        <f aca="false">D4987*INDEX(Products!$E$2:$E$49,MATCH(C4987,Products!$A$2:$A$49,0))</f>
        <v>25200</v>
      </c>
      <c r="I4987" s="33" t="n">
        <f aca="false">D4987*INDEX(Products!$D$2:$D$49,MATCH(C4987,Products!$A$2:$A$49,0))*(1+INDEX(Assumptions!$B$16:$B$20,MATCH(B4987,Assumptions!$A$16:$A$20,0)))</f>
        <v>22766.4</v>
      </c>
      <c r="J4987" s="33" t="n">
        <f aca="false">H4987-I4987</f>
        <v>2433.6</v>
      </c>
      <c r="K4987" s="33" t="n">
        <f aca="false">IF(OR(E4987=0,E4987&gt;=7),0,D4987/(7-E4987)*E4987*INDEX(Products!$E$2:$E$49,MATCH(C4987,Products!$A$2:$A$49,0)))</f>
        <v>33600</v>
      </c>
    </row>
    <row r="4988" customFormat="false" ht="15" hidden="false" customHeight="false" outlineLevel="0" collapsed="false">
      <c r="A4988" s="36" t="n">
        <v>46195</v>
      </c>
      <c r="B4988" s="24" t="s">
        <v>65</v>
      </c>
      <c r="C4988" s="24" t="s">
        <v>129</v>
      </c>
      <c r="D4988" s="33" t="n">
        <v>197</v>
      </c>
      <c r="E4988" s="24" t="n">
        <v>0</v>
      </c>
      <c r="F4988" s="37" t="n">
        <f aca="false">DATE(YEAR(A4988),MONTH(A4988),1)</f>
        <v>46174</v>
      </c>
      <c r="G4988" s="24" t="str">
        <f aca="false">INDEX(Products!$C$2:$C$49,MATCH(C4988,Products!$A$2:$A$49,0))</f>
        <v>Grocery Staples</v>
      </c>
      <c r="H4988" s="33" t="n">
        <f aca="false">D4988*INDEX(Products!$E$2:$E$49,MATCH(C4988,Products!$A$2:$A$49,0))</f>
        <v>41370</v>
      </c>
      <c r="I4988" s="33" t="n">
        <f aca="false">D4988*INDEX(Products!$D$2:$D$49,MATCH(C4988,Products!$A$2:$A$49,0))*(1+INDEX(Assumptions!$B$16:$B$20,MATCH(B4988,Assumptions!$A$16:$A$20,0)))</f>
        <v>37374.84</v>
      </c>
      <c r="J4988" s="33" t="n">
        <f aca="false">H4988-I4988</f>
        <v>3995.16</v>
      </c>
      <c r="K4988" s="33" t="n">
        <f aca="false">IF(OR(E4988=0,E4988&gt;=7),0,D4988/(7-E4988)*E4988*INDEX(Products!$E$2:$E$49,MATCH(C4988,Products!$A$2:$A$49,0)))</f>
        <v>0</v>
      </c>
    </row>
    <row r="4989" customFormat="false" ht="15" hidden="false" customHeight="false" outlineLevel="0" collapsed="false">
      <c r="A4989" s="36" t="n">
        <v>46202</v>
      </c>
      <c r="B4989" s="24" t="s">
        <v>65</v>
      </c>
      <c r="C4989" s="24" t="s">
        <v>129</v>
      </c>
      <c r="D4989" s="33" t="n">
        <v>163</v>
      </c>
      <c r="E4989" s="24" t="n">
        <v>0</v>
      </c>
      <c r="F4989" s="37" t="n">
        <f aca="false">DATE(YEAR(A4989),MONTH(A4989),1)</f>
        <v>46174</v>
      </c>
      <c r="G4989" s="24" t="str">
        <f aca="false">INDEX(Products!$C$2:$C$49,MATCH(C4989,Products!$A$2:$A$49,0))</f>
        <v>Grocery Staples</v>
      </c>
      <c r="H4989" s="33" t="n">
        <f aca="false">D4989*INDEX(Products!$E$2:$E$49,MATCH(C4989,Products!$A$2:$A$49,0))</f>
        <v>34230</v>
      </c>
      <c r="I4989" s="33" t="n">
        <f aca="false">D4989*INDEX(Products!$D$2:$D$49,MATCH(C4989,Products!$A$2:$A$49,0))*(1+INDEX(Assumptions!$B$16:$B$20,MATCH(B4989,Assumptions!$A$16:$A$20,0)))</f>
        <v>30924.36</v>
      </c>
      <c r="J4989" s="33" t="n">
        <f aca="false">H4989-I4989</f>
        <v>3305.64</v>
      </c>
      <c r="K4989" s="33" t="n">
        <f aca="false">IF(OR(E4989=0,E4989&gt;=7),0,D4989/(7-E4989)*E4989*INDEX(Products!$E$2:$E$49,MATCH(C4989,Products!$A$2:$A$49,0)))</f>
        <v>0</v>
      </c>
    </row>
    <row r="4990" customFormat="false" ht="15" hidden="false" customHeight="false" outlineLevel="0" collapsed="false">
      <c r="A4990" s="36" t="n">
        <v>46209</v>
      </c>
      <c r="B4990" s="24" t="s">
        <v>65</v>
      </c>
      <c r="C4990" s="24" t="s">
        <v>129</v>
      </c>
      <c r="D4990" s="33" t="n">
        <v>156</v>
      </c>
      <c r="E4990" s="24" t="n">
        <v>0</v>
      </c>
      <c r="F4990" s="37" t="n">
        <f aca="false">DATE(YEAR(A4990),MONTH(A4990),1)</f>
        <v>46204</v>
      </c>
      <c r="G4990" s="24" t="str">
        <f aca="false">INDEX(Products!$C$2:$C$49,MATCH(C4990,Products!$A$2:$A$49,0))</f>
        <v>Grocery Staples</v>
      </c>
      <c r="H4990" s="33" t="n">
        <f aca="false">D4990*INDEX(Products!$E$2:$E$49,MATCH(C4990,Products!$A$2:$A$49,0))</f>
        <v>32760</v>
      </c>
      <c r="I4990" s="33" t="n">
        <f aca="false">D4990*INDEX(Products!$D$2:$D$49,MATCH(C4990,Products!$A$2:$A$49,0))*(1+INDEX(Assumptions!$B$16:$B$20,MATCH(B4990,Assumptions!$A$16:$A$20,0)))</f>
        <v>29596.32</v>
      </c>
      <c r="J4990" s="33" t="n">
        <f aca="false">H4990-I4990</f>
        <v>3163.68</v>
      </c>
      <c r="K4990" s="33" t="n">
        <f aca="false">IF(OR(E4990=0,E4990&gt;=7),0,D4990/(7-E4990)*E4990*INDEX(Products!$E$2:$E$49,MATCH(C4990,Products!$A$2:$A$49,0)))</f>
        <v>0</v>
      </c>
    </row>
    <row r="4991" customFormat="false" ht="15" hidden="false" customHeight="false" outlineLevel="0" collapsed="false">
      <c r="A4991" s="36" t="n">
        <v>46216</v>
      </c>
      <c r="B4991" s="24" t="s">
        <v>65</v>
      </c>
      <c r="C4991" s="24" t="s">
        <v>129</v>
      </c>
      <c r="D4991" s="33" t="n">
        <v>186</v>
      </c>
      <c r="E4991" s="24" t="n">
        <v>0</v>
      </c>
      <c r="F4991" s="37" t="n">
        <f aca="false">DATE(YEAR(A4991),MONTH(A4991),1)</f>
        <v>46204</v>
      </c>
      <c r="G4991" s="24" t="str">
        <f aca="false">INDEX(Products!$C$2:$C$49,MATCH(C4991,Products!$A$2:$A$49,0))</f>
        <v>Grocery Staples</v>
      </c>
      <c r="H4991" s="33" t="n">
        <f aca="false">D4991*INDEX(Products!$E$2:$E$49,MATCH(C4991,Products!$A$2:$A$49,0))</f>
        <v>39060</v>
      </c>
      <c r="I4991" s="33" t="n">
        <f aca="false">D4991*INDEX(Products!$D$2:$D$49,MATCH(C4991,Products!$A$2:$A$49,0))*(1+INDEX(Assumptions!$B$16:$B$20,MATCH(B4991,Assumptions!$A$16:$A$20,0)))</f>
        <v>35287.92</v>
      </c>
      <c r="J4991" s="33" t="n">
        <f aca="false">H4991-I4991</f>
        <v>3772.08</v>
      </c>
      <c r="K4991" s="33" t="n">
        <f aca="false">IF(OR(E4991=0,E4991&gt;=7),0,D4991/(7-E4991)*E4991*INDEX(Products!$E$2:$E$49,MATCH(C4991,Products!$A$2:$A$49,0)))</f>
        <v>0</v>
      </c>
    </row>
    <row r="4992" customFormat="false" ht="15" hidden="false" customHeight="false" outlineLevel="0" collapsed="false">
      <c r="A4992" s="36" t="n">
        <v>46223</v>
      </c>
      <c r="B4992" s="24" t="s">
        <v>65</v>
      </c>
      <c r="C4992" s="24" t="s">
        <v>129</v>
      </c>
      <c r="D4992" s="33" t="n">
        <v>165</v>
      </c>
      <c r="E4992" s="24" t="n">
        <v>0</v>
      </c>
      <c r="F4992" s="37" t="n">
        <f aca="false">DATE(YEAR(A4992),MONTH(A4992),1)</f>
        <v>46204</v>
      </c>
      <c r="G4992" s="24" t="str">
        <f aca="false">INDEX(Products!$C$2:$C$49,MATCH(C4992,Products!$A$2:$A$49,0))</f>
        <v>Grocery Staples</v>
      </c>
      <c r="H4992" s="33" t="n">
        <f aca="false">D4992*INDEX(Products!$E$2:$E$49,MATCH(C4992,Products!$A$2:$A$49,0))</f>
        <v>34650</v>
      </c>
      <c r="I4992" s="33" t="n">
        <f aca="false">D4992*INDEX(Products!$D$2:$D$49,MATCH(C4992,Products!$A$2:$A$49,0))*(1+INDEX(Assumptions!$B$16:$B$20,MATCH(B4992,Assumptions!$A$16:$A$20,0)))</f>
        <v>31303.8</v>
      </c>
      <c r="J4992" s="33" t="n">
        <f aca="false">H4992-I4992</f>
        <v>3346.2</v>
      </c>
      <c r="K4992" s="33" t="n">
        <f aca="false">IF(OR(E4992=0,E4992&gt;=7),0,D4992/(7-E4992)*E4992*INDEX(Products!$E$2:$E$49,MATCH(C4992,Products!$A$2:$A$49,0)))</f>
        <v>0</v>
      </c>
    </row>
    <row r="4993" customFormat="false" ht="15" hidden="false" customHeight="false" outlineLevel="0" collapsed="false">
      <c r="A4993" s="36" t="n">
        <v>46230</v>
      </c>
      <c r="B4993" s="24" t="s">
        <v>65</v>
      </c>
      <c r="C4993" s="24" t="s">
        <v>129</v>
      </c>
      <c r="D4993" s="33" t="n">
        <v>169</v>
      </c>
      <c r="E4993" s="24" t="n">
        <v>0</v>
      </c>
      <c r="F4993" s="37" t="n">
        <f aca="false">DATE(YEAR(A4993),MONTH(A4993),1)</f>
        <v>46204</v>
      </c>
      <c r="G4993" s="24" t="str">
        <f aca="false">INDEX(Products!$C$2:$C$49,MATCH(C4993,Products!$A$2:$A$49,0))</f>
        <v>Grocery Staples</v>
      </c>
      <c r="H4993" s="33" t="n">
        <f aca="false">D4993*INDEX(Products!$E$2:$E$49,MATCH(C4993,Products!$A$2:$A$49,0))</f>
        <v>35490</v>
      </c>
      <c r="I4993" s="33" t="n">
        <f aca="false">D4993*INDEX(Products!$D$2:$D$49,MATCH(C4993,Products!$A$2:$A$49,0))*(1+INDEX(Assumptions!$B$16:$B$20,MATCH(B4993,Assumptions!$A$16:$A$20,0)))</f>
        <v>32062.68</v>
      </c>
      <c r="J4993" s="33" t="n">
        <f aca="false">H4993-I4993</f>
        <v>3427.32</v>
      </c>
      <c r="K4993" s="33" t="n">
        <f aca="false">IF(OR(E4993=0,E4993&gt;=7),0,D4993/(7-E4993)*E4993*INDEX(Products!$E$2:$E$49,MATCH(C4993,Products!$A$2:$A$49,0)))</f>
        <v>0</v>
      </c>
    </row>
    <row r="4994" customFormat="false" ht="15" hidden="false" customHeight="false" outlineLevel="0" collapsed="false">
      <c r="A4994" s="36" t="n">
        <v>46237</v>
      </c>
      <c r="B4994" s="24" t="s">
        <v>65</v>
      </c>
      <c r="C4994" s="24" t="s">
        <v>129</v>
      </c>
      <c r="D4994" s="33" t="n">
        <v>158</v>
      </c>
      <c r="E4994" s="24" t="n">
        <v>0</v>
      </c>
      <c r="F4994" s="37" t="n">
        <f aca="false">DATE(YEAR(A4994),MONTH(A4994),1)</f>
        <v>46235</v>
      </c>
      <c r="G4994" s="24" t="str">
        <f aca="false">INDEX(Products!$C$2:$C$49,MATCH(C4994,Products!$A$2:$A$49,0))</f>
        <v>Grocery Staples</v>
      </c>
      <c r="H4994" s="33" t="n">
        <f aca="false">D4994*INDEX(Products!$E$2:$E$49,MATCH(C4994,Products!$A$2:$A$49,0))</f>
        <v>33180</v>
      </c>
      <c r="I4994" s="33" t="n">
        <f aca="false">D4994*INDEX(Products!$D$2:$D$49,MATCH(C4994,Products!$A$2:$A$49,0))*(1+INDEX(Assumptions!$B$16:$B$20,MATCH(B4994,Assumptions!$A$16:$A$20,0)))</f>
        <v>29975.76</v>
      </c>
      <c r="J4994" s="33" t="n">
        <f aca="false">H4994-I4994</f>
        <v>3204.24</v>
      </c>
      <c r="K4994" s="33" t="n">
        <f aca="false">IF(OR(E4994=0,E4994&gt;=7),0,D4994/(7-E4994)*E4994*INDEX(Products!$E$2:$E$49,MATCH(C4994,Products!$A$2:$A$49,0)))</f>
        <v>0</v>
      </c>
    </row>
    <row r="4995" customFormat="false" ht="15" hidden="false" customHeight="false" outlineLevel="0" collapsed="false">
      <c r="A4995" s="36" t="n">
        <v>46244</v>
      </c>
      <c r="B4995" s="24" t="s">
        <v>65</v>
      </c>
      <c r="C4995" s="24" t="s">
        <v>129</v>
      </c>
      <c r="D4995" s="33" t="n">
        <v>146</v>
      </c>
      <c r="E4995" s="24" t="n">
        <v>0</v>
      </c>
      <c r="F4995" s="37" t="n">
        <f aca="false">DATE(YEAR(A4995),MONTH(A4995),1)</f>
        <v>46235</v>
      </c>
      <c r="G4995" s="24" t="str">
        <f aca="false">INDEX(Products!$C$2:$C$49,MATCH(C4995,Products!$A$2:$A$49,0))</f>
        <v>Grocery Staples</v>
      </c>
      <c r="H4995" s="33" t="n">
        <f aca="false">D4995*INDEX(Products!$E$2:$E$49,MATCH(C4995,Products!$A$2:$A$49,0))</f>
        <v>30660</v>
      </c>
      <c r="I4995" s="33" t="n">
        <f aca="false">D4995*INDEX(Products!$D$2:$D$49,MATCH(C4995,Products!$A$2:$A$49,0))*(1+INDEX(Assumptions!$B$16:$B$20,MATCH(B4995,Assumptions!$A$16:$A$20,0)))</f>
        <v>27699.12</v>
      </c>
      <c r="J4995" s="33" t="n">
        <f aca="false">H4995-I4995</f>
        <v>2960.88</v>
      </c>
      <c r="K4995" s="33" t="n">
        <f aca="false">IF(OR(E4995=0,E4995&gt;=7),0,D4995/(7-E4995)*E4995*INDEX(Products!$E$2:$E$49,MATCH(C4995,Products!$A$2:$A$49,0)))</f>
        <v>0</v>
      </c>
    </row>
    <row r="4996" customFormat="false" ht="15" hidden="false" customHeight="false" outlineLevel="0" collapsed="false">
      <c r="A4996" s="36" t="n">
        <v>46251</v>
      </c>
      <c r="B4996" s="24" t="s">
        <v>65</v>
      </c>
      <c r="C4996" s="24" t="s">
        <v>129</v>
      </c>
      <c r="D4996" s="33" t="n">
        <v>160</v>
      </c>
      <c r="E4996" s="24" t="n">
        <v>0</v>
      </c>
      <c r="F4996" s="37" t="n">
        <f aca="false">DATE(YEAR(A4996),MONTH(A4996),1)</f>
        <v>46235</v>
      </c>
      <c r="G4996" s="24" t="str">
        <f aca="false">INDEX(Products!$C$2:$C$49,MATCH(C4996,Products!$A$2:$A$49,0))</f>
        <v>Grocery Staples</v>
      </c>
      <c r="H4996" s="33" t="n">
        <f aca="false">D4996*INDEX(Products!$E$2:$E$49,MATCH(C4996,Products!$A$2:$A$49,0))</f>
        <v>33600</v>
      </c>
      <c r="I4996" s="33" t="n">
        <f aca="false">D4996*INDEX(Products!$D$2:$D$49,MATCH(C4996,Products!$A$2:$A$49,0))*(1+INDEX(Assumptions!$B$16:$B$20,MATCH(B4996,Assumptions!$A$16:$A$20,0)))</f>
        <v>30355.2</v>
      </c>
      <c r="J4996" s="33" t="n">
        <f aca="false">H4996-I4996</f>
        <v>3244.8</v>
      </c>
      <c r="K4996" s="33" t="n">
        <f aca="false">IF(OR(E4996=0,E4996&gt;=7),0,D4996/(7-E4996)*E4996*INDEX(Products!$E$2:$E$49,MATCH(C4996,Products!$A$2:$A$49,0)))</f>
        <v>0</v>
      </c>
    </row>
    <row r="4997" customFormat="false" ht="15" hidden="false" customHeight="false" outlineLevel="0" collapsed="false">
      <c r="A4997" s="36" t="n">
        <v>46258</v>
      </c>
      <c r="B4997" s="24" t="s">
        <v>65</v>
      </c>
      <c r="C4997" s="24" t="s">
        <v>129</v>
      </c>
      <c r="D4997" s="33" t="n">
        <v>172</v>
      </c>
      <c r="E4997" s="24" t="n">
        <v>0</v>
      </c>
      <c r="F4997" s="37" t="n">
        <f aca="false">DATE(YEAR(A4997),MONTH(A4997),1)</f>
        <v>46235</v>
      </c>
      <c r="G4997" s="24" t="str">
        <f aca="false">INDEX(Products!$C$2:$C$49,MATCH(C4997,Products!$A$2:$A$49,0))</f>
        <v>Grocery Staples</v>
      </c>
      <c r="H4997" s="33" t="n">
        <f aca="false">D4997*INDEX(Products!$E$2:$E$49,MATCH(C4997,Products!$A$2:$A$49,0))</f>
        <v>36120</v>
      </c>
      <c r="I4997" s="33" t="n">
        <f aca="false">D4997*INDEX(Products!$D$2:$D$49,MATCH(C4997,Products!$A$2:$A$49,0))*(1+INDEX(Assumptions!$B$16:$B$20,MATCH(B4997,Assumptions!$A$16:$A$20,0)))</f>
        <v>32631.84</v>
      </c>
      <c r="J4997" s="33" t="n">
        <f aca="false">H4997-I4997</f>
        <v>3488.16</v>
      </c>
      <c r="K4997" s="33" t="n">
        <f aca="false">IF(OR(E4997=0,E4997&gt;=7),0,D4997/(7-E4997)*E4997*INDEX(Products!$E$2:$E$49,MATCH(C4997,Products!$A$2:$A$49,0)))</f>
        <v>0</v>
      </c>
    </row>
    <row r="4998" customFormat="false" ht="15" hidden="false" customHeight="false" outlineLevel="0" collapsed="false">
      <c r="A4998" s="36" t="n">
        <v>46265</v>
      </c>
      <c r="B4998" s="24" t="s">
        <v>65</v>
      </c>
      <c r="C4998" s="24" t="s">
        <v>129</v>
      </c>
      <c r="D4998" s="33" t="n">
        <v>115</v>
      </c>
      <c r="E4998" s="24" t="n">
        <v>2</v>
      </c>
      <c r="F4998" s="37" t="n">
        <f aca="false">DATE(YEAR(A4998),MONTH(A4998),1)</f>
        <v>46235</v>
      </c>
      <c r="G4998" s="24" t="str">
        <f aca="false">INDEX(Products!$C$2:$C$49,MATCH(C4998,Products!$A$2:$A$49,0))</f>
        <v>Grocery Staples</v>
      </c>
      <c r="H4998" s="33" t="n">
        <f aca="false">D4998*INDEX(Products!$E$2:$E$49,MATCH(C4998,Products!$A$2:$A$49,0))</f>
        <v>24150</v>
      </c>
      <c r="I4998" s="33" t="n">
        <f aca="false">D4998*INDEX(Products!$D$2:$D$49,MATCH(C4998,Products!$A$2:$A$49,0))*(1+INDEX(Assumptions!$B$16:$B$20,MATCH(B4998,Assumptions!$A$16:$A$20,0)))</f>
        <v>21817.8</v>
      </c>
      <c r="J4998" s="33" t="n">
        <f aca="false">H4998-I4998</f>
        <v>2332.2</v>
      </c>
      <c r="K4998" s="33" t="n">
        <f aca="false">IF(OR(E4998=0,E4998&gt;=7),0,D4998/(7-E4998)*E4998*INDEX(Products!$E$2:$E$49,MATCH(C4998,Products!$A$2:$A$49,0)))</f>
        <v>9660</v>
      </c>
    </row>
    <row r="4999" customFormat="false" ht="15" hidden="false" customHeight="false" outlineLevel="0" collapsed="false">
      <c r="A4999" s="36" t="n">
        <v>46272</v>
      </c>
      <c r="B4999" s="24" t="s">
        <v>65</v>
      </c>
      <c r="C4999" s="24" t="s">
        <v>129</v>
      </c>
      <c r="D4999" s="33" t="n">
        <v>164</v>
      </c>
      <c r="E4999" s="24" t="n">
        <v>0</v>
      </c>
      <c r="F4999" s="37" t="n">
        <f aca="false">DATE(YEAR(A4999),MONTH(A4999),1)</f>
        <v>46266</v>
      </c>
      <c r="G4999" s="24" t="str">
        <f aca="false">INDEX(Products!$C$2:$C$49,MATCH(C4999,Products!$A$2:$A$49,0))</f>
        <v>Grocery Staples</v>
      </c>
      <c r="H4999" s="33" t="n">
        <f aca="false">D4999*INDEX(Products!$E$2:$E$49,MATCH(C4999,Products!$A$2:$A$49,0))</f>
        <v>34440</v>
      </c>
      <c r="I4999" s="33" t="n">
        <f aca="false">D4999*INDEX(Products!$D$2:$D$49,MATCH(C4999,Products!$A$2:$A$49,0))*(1+INDEX(Assumptions!$B$16:$B$20,MATCH(B4999,Assumptions!$A$16:$A$20,0)))</f>
        <v>31114.08</v>
      </c>
      <c r="J4999" s="33" t="n">
        <f aca="false">H4999-I4999</f>
        <v>3325.92</v>
      </c>
      <c r="K4999" s="33" t="n">
        <f aca="false">IF(OR(E4999=0,E4999&gt;=7),0,D4999/(7-E4999)*E4999*INDEX(Products!$E$2:$E$49,MATCH(C4999,Products!$A$2:$A$49,0)))</f>
        <v>0</v>
      </c>
    </row>
    <row r="5000" customFormat="false" ht="15" hidden="false" customHeight="false" outlineLevel="0" collapsed="false">
      <c r="A5000" s="36" t="n">
        <v>46279</v>
      </c>
      <c r="B5000" s="24" t="s">
        <v>65</v>
      </c>
      <c r="C5000" s="24" t="s">
        <v>129</v>
      </c>
      <c r="D5000" s="33" t="n">
        <v>153</v>
      </c>
      <c r="E5000" s="24" t="n">
        <v>0</v>
      </c>
      <c r="F5000" s="37" t="n">
        <f aca="false">DATE(YEAR(A5000),MONTH(A5000),1)</f>
        <v>46266</v>
      </c>
      <c r="G5000" s="24" t="str">
        <f aca="false">INDEX(Products!$C$2:$C$49,MATCH(C5000,Products!$A$2:$A$49,0))</f>
        <v>Grocery Staples</v>
      </c>
      <c r="H5000" s="33" t="n">
        <f aca="false">D5000*INDEX(Products!$E$2:$E$49,MATCH(C5000,Products!$A$2:$A$49,0))</f>
        <v>32130</v>
      </c>
      <c r="I5000" s="33" t="n">
        <f aca="false">D5000*INDEX(Products!$D$2:$D$49,MATCH(C5000,Products!$A$2:$A$49,0))*(1+INDEX(Assumptions!$B$16:$B$20,MATCH(B5000,Assumptions!$A$16:$A$20,0)))</f>
        <v>29027.16</v>
      </c>
      <c r="J5000" s="33" t="n">
        <f aca="false">H5000-I5000</f>
        <v>3102.84</v>
      </c>
      <c r="K5000" s="33" t="n">
        <f aca="false">IF(OR(E5000=0,E5000&gt;=7),0,D5000/(7-E5000)*E5000*INDEX(Products!$E$2:$E$49,MATCH(C5000,Products!$A$2:$A$49,0)))</f>
        <v>0</v>
      </c>
    </row>
    <row r="5001" customFormat="false" ht="15" hidden="false" customHeight="false" outlineLevel="0" collapsed="false">
      <c r="A5001" s="36" t="n">
        <v>46286</v>
      </c>
      <c r="B5001" s="24" t="s">
        <v>65</v>
      </c>
      <c r="C5001" s="24" t="s">
        <v>129</v>
      </c>
      <c r="D5001" s="33" t="n">
        <v>179</v>
      </c>
      <c r="E5001" s="24" t="n">
        <v>0</v>
      </c>
      <c r="F5001" s="37" t="n">
        <f aca="false">DATE(YEAR(A5001),MONTH(A5001),1)</f>
        <v>46266</v>
      </c>
      <c r="G5001" s="24" t="str">
        <f aca="false">INDEX(Products!$C$2:$C$49,MATCH(C5001,Products!$A$2:$A$49,0))</f>
        <v>Grocery Staples</v>
      </c>
      <c r="H5001" s="33" t="n">
        <f aca="false">D5001*INDEX(Products!$E$2:$E$49,MATCH(C5001,Products!$A$2:$A$49,0))</f>
        <v>37590</v>
      </c>
      <c r="I5001" s="33" t="n">
        <f aca="false">D5001*INDEX(Products!$D$2:$D$49,MATCH(C5001,Products!$A$2:$A$49,0))*(1+INDEX(Assumptions!$B$16:$B$20,MATCH(B5001,Assumptions!$A$16:$A$20,0)))</f>
        <v>33959.88</v>
      </c>
      <c r="J5001" s="33" t="n">
        <f aca="false">H5001-I5001</f>
        <v>3630.12</v>
      </c>
      <c r="K5001" s="33" t="n">
        <f aca="false">IF(OR(E5001=0,E5001&gt;=7),0,D5001/(7-E5001)*E5001*INDEX(Products!$E$2:$E$49,MATCH(C5001,Products!$A$2:$A$49,0)))</f>
        <v>0</v>
      </c>
    </row>
    <row r="5002" customFormat="false" ht="15" hidden="false" customHeight="false" outlineLevel="0" collapsed="false">
      <c r="A5002" s="36" t="n">
        <v>46118</v>
      </c>
      <c r="B5002" s="24" t="s">
        <v>65</v>
      </c>
      <c r="C5002" s="24" t="s">
        <v>131</v>
      </c>
      <c r="D5002" s="33" t="n">
        <v>35</v>
      </c>
      <c r="E5002" s="24" t="n">
        <v>0</v>
      </c>
      <c r="F5002" s="37" t="n">
        <f aca="false">DATE(YEAR(A5002),MONTH(A5002),1)</f>
        <v>46113</v>
      </c>
      <c r="G5002" s="24" t="str">
        <f aca="false">INDEX(Products!$C$2:$C$49,MATCH(C5002,Products!$A$2:$A$49,0))</f>
        <v>Dairy &amp; Eggs</v>
      </c>
      <c r="H5002" s="33" t="n">
        <f aca="false">D5002*INDEX(Products!$E$2:$E$49,MATCH(C5002,Products!$A$2:$A$49,0))</f>
        <v>2275</v>
      </c>
      <c r="I5002" s="33" t="n">
        <f aca="false">D5002*INDEX(Products!$D$2:$D$49,MATCH(C5002,Products!$A$2:$A$49,0))*(1+INDEX(Assumptions!$B$16:$B$20,MATCH(B5002,Assumptions!$A$16:$A$20,0)))</f>
        <v>1820.7</v>
      </c>
      <c r="J5002" s="33" t="n">
        <f aca="false">H5002-I5002</f>
        <v>454.3</v>
      </c>
      <c r="K5002" s="33" t="n">
        <f aca="false">IF(OR(E5002=0,E5002&gt;=7),0,D5002/(7-E5002)*E5002*INDEX(Products!$E$2:$E$49,MATCH(C5002,Products!$A$2:$A$49,0)))</f>
        <v>0</v>
      </c>
    </row>
    <row r="5003" customFormat="false" ht="15" hidden="false" customHeight="false" outlineLevel="0" collapsed="false">
      <c r="A5003" s="36" t="n">
        <v>46125</v>
      </c>
      <c r="B5003" s="24" t="s">
        <v>65</v>
      </c>
      <c r="C5003" s="24" t="s">
        <v>131</v>
      </c>
      <c r="D5003" s="33" t="n">
        <v>35</v>
      </c>
      <c r="E5003" s="24" t="n">
        <v>0</v>
      </c>
      <c r="F5003" s="37" t="n">
        <f aca="false">DATE(YEAR(A5003),MONTH(A5003),1)</f>
        <v>46113</v>
      </c>
      <c r="G5003" s="24" t="str">
        <f aca="false">INDEX(Products!$C$2:$C$49,MATCH(C5003,Products!$A$2:$A$49,0))</f>
        <v>Dairy &amp; Eggs</v>
      </c>
      <c r="H5003" s="33" t="n">
        <f aca="false">D5003*INDEX(Products!$E$2:$E$49,MATCH(C5003,Products!$A$2:$A$49,0))</f>
        <v>2275</v>
      </c>
      <c r="I5003" s="33" t="n">
        <f aca="false">D5003*INDEX(Products!$D$2:$D$49,MATCH(C5003,Products!$A$2:$A$49,0))*(1+INDEX(Assumptions!$B$16:$B$20,MATCH(B5003,Assumptions!$A$16:$A$20,0)))</f>
        <v>1820.7</v>
      </c>
      <c r="J5003" s="33" t="n">
        <f aca="false">H5003-I5003</f>
        <v>454.3</v>
      </c>
      <c r="K5003" s="33" t="n">
        <f aca="false">IF(OR(E5003=0,E5003&gt;=7),0,D5003/(7-E5003)*E5003*INDEX(Products!$E$2:$E$49,MATCH(C5003,Products!$A$2:$A$49,0)))</f>
        <v>0</v>
      </c>
    </row>
    <row r="5004" customFormat="false" ht="15" hidden="false" customHeight="false" outlineLevel="0" collapsed="false">
      <c r="A5004" s="36" t="n">
        <v>46132</v>
      </c>
      <c r="B5004" s="24" t="s">
        <v>65</v>
      </c>
      <c r="C5004" s="24" t="s">
        <v>131</v>
      </c>
      <c r="D5004" s="33" t="n">
        <v>40</v>
      </c>
      <c r="E5004" s="24" t="n">
        <v>0</v>
      </c>
      <c r="F5004" s="37" t="n">
        <f aca="false">DATE(YEAR(A5004),MONTH(A5004),1)</f>
        <v>46113</v>
      </c>
      <c r="G5004" s="24" t="str">
        <f aca="false">INDEX(Products!$C$2:$C$49,MATCH(C5004,Products!$A$2:$A$49,0))</f>
        <v>Dairy &amp; Eggs</v>
      </c>
      <c r="H5004" s="33" t="n">
        <f aca="false">D5004*INDEX(Products!$E$2:$E$49,MATCH(C5004,Products!$A$2:$A$49,0))</f>
        <v>2600</v>
      </c>
      <c r="I5004" s="33" t="n">
        <f aca="false">D5004*INDEX(Products!$D$2:$D$49,MATCH(C5004,Products!$A$2:$A$49,0))*(1+INDEX(Assumptions!$B$16:$B$20,MATCH(B5004,Assumptions!$A$16:$A$20,0)))</f>
        <v>2080.8</v>
      </c>
      <c r="J5004" s="33" t="n">
        <f aca="false">H5004-I5004</f>
        <v>519.2</v>
      </c>
      <c r="K5004" s="33" t="n">
        <f aca="false">IF(OR(E5004=0,E5004&gt;=7),0,D5004/(7-E5004)*E5004*INDEX(Products!$E$2:$E$49,MATCH(C5004,Products!$A$2:$A$49,0)))</f>
        <v>0</v>
      </c>
    </row>
    <row r="5005" customFormat="false" ht="15" hidden="false" customHeight="false" outlineLevel="0" collapsed="false">
      <c r="A5005" s="36" t="n">
        <v>46139</v>
      </c>
      <c r="B5005" s="24" t="s">
        <v>65</v>
      </c>
      <c r="C5005" s="24" t="s">
        <v>131</v>
      </c>
      <c r="D5005" s="33" t="n">
        <v>46</v>
      </c>
      <c r="E5005" s="24" t="n">
        <v>0</v>
      </c>
      <c r="F5005" s="37" t="n">
        <f aca="false">DATE(YEAR(A5005),MONTH(A5005),1)</f>
        <v>46113</v>
      </c>
      <c r="G5005" s="24" t="str">
        <f aca="false">INDEX(Products!$C$2:$C$49,MATCH(C5005,Products!$A$2:$A$49,0))</f>
        <v>Dairy &amp; Eggs</v>
      </c>
      <c r="H5005" s="33" t="n">
        <f aca="false">D5005*INDEX(Products!$E$2:$E$49,MATCH(C5005,Products!$A$2:$A$49,0))</f>
        <v>2990</v>
      </c>
      <c r="I5005" s="33" t="n">
        <f aca="false">D5005*INDEX(Products!$D$2:$D$49,MATCH(C5005,Products!$A$2:$A$49,0))*(1+INDEX(Assumptions!$B$16:$B$20,MATCH(B5005,Assumptions!$A$16:$A$20,0)))</f>
        <v>2392.92</v>
      </c>
      <c r="J5005" s="33" t="n">
        <f aca="false">H5005-I5005</f>
        <v>597.08</v>
      </c>
      <c r="K5005" s="33" t="n">
        <f aca="false">IF(OR(E5005=0,E5005&gt;=7),0,D5005/(7-E5005)*E5005*INDEX(Products!$E$2:$E$49,MATCH(C5005,Products!$A$2:$A$49,0)))</f>
        <v>0</v>
      </c>
    </row>
    <row r="5006" customFormat="false" ht="15" hidden="false" customHeight="false" outlineLevel="0" collapsed="false">
      <c r="A5006" s="36" t="n">
        <v>46146</v>
      </c>
      <c r="B5006" s="24" t="s">
        <v>65</v>
      </c>
      <c r="C5006" s="24" t="s">
        <v>131</v>
      </c>
      <c r="D5006" s="33" t="n">
        <v>25</v>
      </c>
      <c r="E5006" s="24" t="n">
        <v>0</v>
      </c>
      <c r="F5006" s="37" t="n">
        <f aca="false">DATE(YEAR(A5006),MONTH(A5006),1)</f>
        <v>46143</v>
      </c>
      <c r="G5006" s="24" t="str">
        <f aca="false">INDEX(Products!$C$2:$C$49,MATCH(C5006,Products!$A$2:$A$49,0))</f>
        <v>Dairy &amp; Eggs</v>
      </c>
      <c r="H5006" s="33" t="n">
        <f aca="false">D5006*INDEX(Products!$E$2:$E$49,MATCH(C5006,Products!$A$2:$A$49,0))</f>
        <v>1625</v>
      </c>
      <c r="I5006" s="33" t="n">
        <f aca="false">D5006*INDEX(Products!$D$2:$D$49,MATCH(C5006,Products!$A$2:$A$49,0))*(1+INDEX(Assumptions!$B$16:$B$20,MATCH(B5006,Assumptions!$A$16:$A$20,0)))</f>
        <v>1300.5</v>
      </c>
      <c r="J5006" s="33" t="n">
        <f aca="false">H5006-I5006</f>
        <v>324.5</v>
      </c>
      <c r="K5006" s="33" t="n">
        <f aca="false">IF(OR(E5006=0,E5006&gt;=7),0,D5006/(7-E5006)*E5006*INDEX(Products!$E$2:$E$49,MATCH(C5006,Products!$A$2:$A$49,0)))</f>
        <v>0</v>
      </c>
    </row>
    <row r="5007" customFormat="false" ht="15" hidden="false" customHeight="false" outlineLevel="0" collapsed="false">
      <c r="A5007" s="36" t="n">
        <v>46153</v>
      </c>
      <c r="B5007" s="24" t="s">
        <v>65</v>
      </c>
      <c r="C5007" s="24" t="s">
        <v>131</v>
      </c>
      <c r="D5007" s="33" t="n">
        <v>31</v>
      </c>
      <c r="E5007" s="24" t="n">
        <v>0</v>
      </c>
      <c r="F5007" s="37" t="n">
        <f aca="false">DATE(YEAR(A5007),MONTH(A5007),1)</f>
        <v>46143</v>
      </c>
      <c r="G5007" s="24" t="str">
        <f aca="false">INDEX(Products!$C$2:$C$49,MATCH(C5007,Products!$A$2:$A$49,0))</f>
        <v>Dairy &amp; Eggs</v>
      </c>
      <c r="H5007" s="33" t="n">
        <f aca="false">D5007*INDEX(Products!$E$2:$E$49,MATCH(C5007,Products!$A$2:$A$49,0))</f>
        <v>2015</v>
      </c>
      <c r="I5007" s="33" t="n">
        <f aca="false">D5007*INDEX(Products!$D$2:$D$49,MATCH(C5007,Products!$A$2:$A$49,0))*(1+INDEX(Assumptions!$B$16:$B$20,MATCH(B5007,Assumptions!$A$16:$A$20,0)))</f>
        <v>1612.62</v>
      </c>
      <c r="J5007" s="33" t="n">
        <f aca="false">H5007-I5007</f>
        <v>402.38</v>
      </c>
      <c r="K5007" s="33" t="n">
        <f aca="false">IF(OR(E5007=0,E5007&gt;=7),0,D5007/(7-E5007)*E5007*INDEX(Products!$E$2:$E$49,MATCH(C5007,Products!$A$2:$A$49,0)))</f>
        <v>0</v>
      </c>
    </row>
    <row r="5008" customFormat="false" ht="15" hidden="false" customHeight="false" outlineLevel="0" collapsed="false">
      <c r="A5008" s="36" t="n">
        <v>46160</v>
      </c>
      <c r="B5008" s="24" t="s">
        <v>65</v>
      </c>
      <c r="C5008" s="24" t="s">
        <v>131</v>
      </c>
      <c r="D5008" s="33" t="n">
        <v>36</v>
      </c>
      <c r="E5008" s="24" t="n">
        <v>0</v>
      </c>
      <c r="F5008" s="37" t="n">
        <f aca="false">DATE(YEAR(A5008),MONTH(A5008),1)</f>
        <v>46143</v>
      </c>
      <c r="G5008" s="24" t="str">
        <f aca="false">INDEX(Products!$C$2:$C$49,MATCH(C5008,Products!$A$2:$A$49,0))</f>
        <v>Dairy &amp; Eggs</v>
      </c>
      <c r="H5008" s="33" t="n">
        <f aca="false">D5008*INDEX(Products!$E$2:$E$49,MATCH(C5008,Products!$A$2:$A$49,0))</f>
        <v>2340</v>
      </c>
      <c r="I5008" s="33" t="n">
        <f aca="false">D5008*INDEX(Products!$D$2:$D$49,MATCH(C5008,Products!$A$2:$A$49,0))*(1+INDEX(Assumptions!$B$16:$B$20,MATCH(B5008,Assumptions!$A$16:$A$20,0)))</f>
        <v>1872.72</v>
      </c>
      <c r="J5008" s="33" t="n">
        <f aca="false">H5008-I5008</f>
        <v>467.28</v>
      </c>
      <c r="K5008" s="33" t="n">
        <f aca="false">IF(OR(E5008=0,E5008&gt;=7),0,D5008/(7-E5008)*E5008*INDEX(Products!$E$2:$E$49,MATCH(C5008,Products!$A$2:$A$49,0)))</f>
        <v>0</v>
      </c>
    </row>
    <row r="5009" customFormat="false" ht="15" hidden="false" customHeight="false" outlineLevel="0" collapsed="false">
      <c r="A5009" s="36" t="n">
        <v>46167</v>
      </c>
      <c r="B5009" s="24" t="s">
        <v>65</v>
      </c>
      <c r="C5009" s="24" t="s">
        <v>131</v>
      </c>
      <c r="D5009" s="33" t="n">
        <v>43</v>
      </c>
      <c r="E5009" s="24" t="n">
        <v>0</v>
      </c>
      <c r="F5009" s="37" t="n">
        <f aca="false">DATE(YEAR(A5009),MONTH(A5009),1)</f>
        <v>46143</v>
      </c>
      <c r="G5009" s="24" t="str">
        <f aca="false">INDEX(Products!$C$2:$C$49,MATCH(C5009,Products!$A$2:$A$49,0))</f>
        <v>Dairy &amp; Eggs</v>
      </c>
      <c r="H5009" s="33" t="n">
        <f aca="false">D5009*INDEX(Products!$E$2:$E$49,MATCH(C5009,Products!$A$2:$A$49,0))</f>
        <v>2795</v>
      </c>
      <c r="I5009" s="33" t="n">
        <f aca="false">D5009*INDEX(Products!$D$2:$D$49,MATCH(C5009,Products!$A$2:$A$49,0))*(1+INDEX(Assumptions!$B$16:$B$20,MATCH(B5009,Assumptions!$A$16:$A$20,0)))</f>
        <v>2236.86</v>
      </c>
      <c r="J5009" s="33" t="n">
        <f aca="false">H5009-I5009</f>
        <v>558.14</v>
      </c>
      <c r="K5009" s="33" t="n">
        <f aca="false">IF(OR(E5009=0,E5009&gt;=7),0,D5009/(7-E5009)*E5009*INDEX(Products!$E$2:$E$49,MATCH(C5009,Products!$A$2:$A$49,0)))</f>
        <v>0</v>
      </c>
    </row>
    <row r="5010" customFormat="false" ht="15" hidden="false" customHeight="false" outlineLevel="0" collapsed="false">
      <c r="A5010" s="36" t="n">
        <v>46174</v>
      </c>
      <c r="B5010" s="24" t="s">
        <v>65</v>
      </c>
      <c r="C5010" s="24" t="s">
        <v>131</v>
      </c>
      <c r="D5010" s="33" t="n">
        <v>40</v>
      </c>
      <c r="E5010" s="24" t="n">
        <v>0</v>
      </c>
      <c r="F5010" s="37" t="n">
        <f aca="false">DATE(YEAR(A5010),MONTH(A5010),1)</f>
        <v>46174</v>
      </c>
      <c r="G5010" s="24" t="str">
        <f aca="false">INDEX(Products!$C$2:$C$49,MATCH(C5010,Products!$A$2:$A$49,0))</f>
        <v>Dairy &amp; Eggs</v>
      </c>
      <c r="H5010" s="33" t="n">
        <f aca="false">D5010*INDEX(Products!$E$2:$E$49,MATCH(C5010,Products!$A$2:$A$49,0))</f>
        <v>2600</v>
      </c>
      <c r="I5010" s="33" t="n">
        <f aca="false">D5010*INDEX(Products!$D$2:$D$49,MATCH(C5010,Products!$A$2:$A$49,0))*(1+INDEX(Assumptions!$B$16:$B$20,MATCH(B5010,Assumptions!$A$16:$A$20,0)))</f>
        <v>2080.8</v>
      </c>
      <c r="J5010" s="33" t="n">
        <f aca="false">H5010-I5010</f>
        <v>519.2</v>
      </c>
      <c r="K5010" s="33" t="n">
        <f aca="false">IF(OR(E5010=0,E5010&gt;=7),0,D5010/(7-E5010)*E5010*INDEX(Products!$E$2:$E$49,MATCH(C5010,Products!$A$2:$A$49,0)))</f>
        <v>0</v>
      </c>
    </row>
    <row r="5011" customFormat="false" ht="15" hidden="false" customHeight="false" outlineLevel="0" collapsed="false">
      <c r="A5011" s="36" t="n">
        <v>46181</v>
      </c>
      <c r="B5011" s="24" t="s">
        <v>65</v>
      </c>
      <c r="C5011" s="24" t="s">
        <v>131</v>
      </c>
      <c r="D5011" s="33" t="n">
        <v>23</v>
      </c>
      <c r="E5011" s="24" t="n">
        <v>0</v>
      </c>
      <c r="F5011" s="37" t="n">
        <f aca="false">DATE(YEAR(A5011),MONTH(A5011),1)</f>
        <v>46174</v>
      </c>
      <c r="G5011" s="24" t="str">
        <f aca="false">INDEX(Products!$C$2:$C$49,MATCH(C5011,Products!$A$2:$A$49,0))</f>
        <v>Dairy &amp; Eggs</v>
      </c>
      <c r="H5011" s="33" t="n">
        <f aca="false">D5011*INDEX(Products!$E$2:$E$49,MATCH(C5011,Products!$A$2:$A$49,0))</f>
        <v>1495</v>
      </c>
      <c r="I5011" s="33" t="n">
        <f aca="false">D5011*INDEX(Products!$D$2:$D$49,MATCH(C5011,Products!$A$2:$A$49,0))*(1+INDEX(Assumptions!$B$16:$B$20,MATCH(B5011,Assumptions!$A$16:$A$20,0)))</f>
        <v>1196.46</v>
      </c>
      <c r="J5011" s="33" t="n">
        <f aca="false">H5011-I5011</f>
        <v>298.54</v>
      </c>
      <c r="K5011" s="33" t="n">
        <f aca="false">IF(OR(E5011=0,E5011&gt;=7),0,D5011/(7-E5011)*E5011*INDEX(Products!$E$2:$E$49,MATCH(C5011,Products!$A$2:$A$49,0)))</f>
        <v>0</v>
      </c>
    </row>
    <row r="5012" customFormat="false" ht="15" hidden="false" customHeight="false" outlineLevel="0" collapsed="false">
      <c r="A5012" s="36" t="n">
        <v>46188</v>
      </c>
      <c r="B5012" s="24" t="s">
        <v>65</v>
      </c>
      <c r="C5012" s="24" t="s">
        <v>131</v>
      </c>
      <c r="D5012" s="33" t="n">
        <v>39</v>
      </c>
      <c r="E5012" s="24" t="n">
        <v>0</v>
      </c>
      <c r="F5012" s="37" t="n">
        <f aca="false">DATE(YEAR(A5012),MONTH(A5012),1)</f>
        <v>46174</v>
      </c>
      <c r="G5012" s="24" t="str">
        <f aca="false">INDEX(Products!$C$2:$C$49,MATCH(C5012,Products!$A$2:$A$49,0))</f>
        <v>Dairy &amp; Eggs</v>
      </c>
      <c r="H5012" s="33" t="n">
        <f aca="false">D5012*INDEX(Products!$E$2:$E$49,MATCH(C5012,Products!$A$2:$A$49,0))</f>
        <v>2535</v>
      </c>
      <c r="I5012" s="33" t="n">
        <f aca="false">D5012*INDEX(Products!$D$2:$D$49,MATCH(C5012,Products!$A$2:$A$49,0))*(1+INDEX(Assumptions!$B$16:$B$20,MATCH(B5012,Assumptions!$A$16:$A$20,0)))</f>
        <v>2028.78</v>
      </c>
      <c r="J5012" s="33" t="n">
        <f aca="false">H5012-I5012</f>
        <v>506.22</v>
      </c>
      <c r="K5012" s="33" t="n">
        <f aca="false">IF(OR(E5012=0,E5012&gt;=7),0,D5012/(7-E5012)*E5012*INDEX(Products!$E$2:$E$49,MATCH(C5012,Products!$A$2:$A$49,0)))</f>
        <v>0</v>
      </c>
    </row>
    <row r="5013" customFormat="false" ht="15" hidden="false" customHeight="false" outlineLevel="0" collapsed="false">
      <c r="A5013" s="36" t="n">
        <v>46195</v>
      </c>
      <c r="B5013" s="24" t="s">
        <v>65</v>
      </c>
      <c r="C5013" s="24" t="s">
        <v>131</v>
      </c>
      <c r="D5013" s="33" t="n">
        <v>36</v>
      </c>
      <c r="E5013" s="24" t="n">
        <v>0</v>
      </c>
      <c r="F5013" s="37" t="n">
        <f aca="false">DATE(YEAR(A5013),MONTH(A5013),1)</f>
        <v>46174</v>
      </c>
      <c r="G5013" s="24" t="str">
        <f aca="false">INDEX(Products!$C$2:$C$49,MATCH(C5013,Products!$A$2:$A$49,0))</f>
        <v>Dairy &amp; Eggs</v>
      </c>
      <c r="H5013" s="33" t="n">
        <f aca="false">D5013*INDEX(Products!$E$2:$E$49,MATCH(C5013,Products!$A$2:$A$49,0))</f>
        <v>2340</v>
      </c>
      <c r="I5013" s="33" t="n">
        <f aca="false">D5013*INDEX(Products!$D$2:$D$49,MATCH(C5013,Products!$A$2:$A$49,0))*(1+INDEX(Assumptions!$B$16:$B$20,MATCH(B5013,Assumptions!$A$16:$A$20,0)))</f>
        <v>1872.72</v>
      </c>
      <c r="J5013" s="33" t="n">
        <f aca="false">H5013-I5013</f>
        <v>467.28</v>
      </c>
      <c r="K5013" s="33" t="n">
        <f aca="false">IF(OR(E5013=0,E5013&gt;=7),0,D5013/(7-E5013)*E5013*INDEX(Products!$E$2:$E$49,MATCH(C5013,Products!$A$2:$A$49,0)))</f>
        <v>0</v>
      </c>
    </row>
    <row r="5014" customFormat="false" ht="15" hidden="false" customHeight="false" outlineLevel="0" collapsed="false">
      <c r="A5014" s="36" t="n">
        <v>46202</v>
      </c>
      <c r="B5014" s="24" t="s">
        <v>65</v>
      </c>
      <c r="C5014" s="24" t="s">
        <v>131</v>
      </c>
      <c r="D5014" s="33" t="n">
        <v>44</v>
      </c>
      <c r="E5014" s="24" t="n">
        <v>0</v>
      </c>
      <c r="F5014" s="37" t="n">
        <f aca="false">DATE(YEAR(A5014),MONTH(A5014),1)</f>
        <v>46174</v>
      </c>
      <c r="G5014" s="24" t="str">
        <f aca="false">INDEX(Products!$C$2:$C$49,MATCH(C5014,Products!$A$2:$A$49,0))</f>
        <v>Dairy &amp; Eggs</v>
      </c>
      <c r="H5014" s="33" t="n">
        <f aca="false">D5014*INDEX(Products!$E$2:$E$49,MATCH(C5014,Products!$A$2:$A$49,0))</f>
        <v>2860</v>
      </c>
      <c r="I5014" s="33" t="n">
        <f aca="false">D5014*INDEX(Products!$D$2:$D$49,MATCH(C5014,Products!$A$2:$A$49,0))*(1+INDEX(Assumptions!$B$16:$B$20,MATCH(B5014,Assumptions!$A$16:$A$20,0)))</f>
        <v>2288.88</v>
      </c>
      <c r="J5014" s="33" t="n">
        <f aca="false">H5014-I5014</f>
        <v>571.12</v>
      </c>
      <c r="K5014" s="33" t="n">
        <f aca="false">IF(OR(E5014=0,E5014&gt;=7),0,D5014/(7-E5014)*E5014*INDEX(Products!$E$2:$E$49,MATCH(C5014,Products!$A$2:$A$49,0)))</f>
        <v>0</v>
      </c>
    </row>
    <row r="5015" customFormat="false" ht="15" hidden="false" customHeight="false" outlineLevel="0" collapsed="false">
      <c r="A5015" s="36" t="n">
        <v>46209</v>
      </c>
      <c r="B5015" s="24" t="s">
        <v>65</v>
      </c>
      <c r="C5015" s="24" t="s">
        <v>131</v>
      </c>
      <c r="D5015" s="33" t="n">
        <v>39</v>
      </c>
      <c r="E5015" s="24" t="n">
        <v>0</v>
      </c>
      <c r="F5015" s="37" t="n">
        <f aca="false">DATE(YEAR(A5015),MONTH(A5015),1)</f>
        <v>46204</v>
      </c>
      <c r="G5015" s="24" t="str">
        <f aca="false">INDEX(Products!$C$2:$C$49,MATCH(C5015,Products!$A$2:$A$49,0))</f>
        <v>Dairy &amp; Eggs</v>
      </c>
      <c r="H5015" s="33" t="n">
        <f aca="false">D5015*INDEX(Products!$E$2:$E$49,MATCH(C5015,Products!$A$2:$A$49,0))</f>
        <v>2535</v>
      </c>
      <c r="I5015" s="33" t="n">
        <f aca="false">D5015*INDEX(Products!$D$2:$D$49,MATCH(C5015,Products!$A$2:$A$49,0))*(1+INDEX(Assumptions!$B$16:$B$20,MATCH(B5015,Assumptions!$A$16:$A$20,0)))</f>
        <v>2028.78</v>
      </c>
      <c r="J5015" s="33" t="n">
        <f aca="false">H5015-I5015</f>
        <v>506.22</v>
      </c>
      <c r="K5015" s="33" t="n">
        <f aca="false">IF(OR(E5015=0,E5015&gt;=7),0,D5015/(7-E5015)*E5015*INDEX(Products!$E$2:$E$49,MATCH(C5015,Products!$A$2:$A$49,0)))</f>
        <v>0</v>
      </c>
    </row>
    <row r="5016" customFormat="false" ht="15" hidden="false" customHeight="false" outlineLevel="0" collapsed="false">
      <c r="A5016" s="36" t="n">
        <v>46216</v>
      </c>
      <c r="B5016" s="24" t="s">
        <v>65</v>
      </c>
      <c r="C5016" s="24" t="s">
        <v>131</v>
      </c>
      <c r="D5016" s="33" t="n">
        <v>37</v>
      </c>
      <c r="E5016" s="24" t="n">
        <v>0</v>
      </c>
      <c r="F5016" s="37" t="n">
        <f aca="false">DATE(YEAR(A5016),MONTH(A5016),1)</f>
        <v>46204</v>
      </c>
      <c r="G5016" s="24" t="str">
        <f aca="false">INDEX(Products!$C$2:$C$49,MATCH(C5016,Products!$A$2:$A$49,0))</f>
        <v>Dairy &amp; Eggs</v>
      </c>
      <c r="H5016" s="33" t="n">
        <f aca="false">D5016*INDEX(Products!$E$2:$E$49,MATCH(C5016,Products!$A$2:$A$49,0))</f>
        <v>2405</v>
      </c>
      <c r="I5016" s="33" t="n">
        <f aca="false">D5016*INDEX(Products!$D$2:$D$49,MATCH(C5016,Products!$A$2:$A$49,0))*(1+INDEX(Assumptions!$B$16:$B$20,MATCH(B5016,Assumptions!$A$16:$A$20,0)))</f>
        <v>1924.74</v>
      </c>
      <c r="J5016" s="33" t="n">
        <f aca="false">H5016-I5016</f>
        <v>480.26</v>
      </c>
      <c r="K5016" s="33" t="n">
        <f aca="false">IF(OR(E5016=0,E5016&gt;=7),0,D5016/(7-E5016)*E5016*INDEX(Products!$E$2:$E$49,MATCH(C5016,Products!$A$2:$A$49,0)))</f>
        <v>0</v>
      </c>
    </row>
    <row r="5017" customFormat="false" ht="15" hidden="false" customHeight="false" outlineLevel="0" collapsed="false">
      <c r="A5017" s="36" t="n">
        <v>46223</v>
      </c>
      <c r="B5017" s="24" t="s">
        <v>65</v>
      </c>
      <c r="C5017" s="24" t="s">
        <v>131</v>
      </c>
      <c r="D5017" s="33" t="n">
        <v>44</v>
      </c>
      <c r="E5017" s="24" t="n">
        <v>0</v>
      </c>
      <c r="F5017" s="37" t="n">
        <f aca="false">DATE(YEAR(A5017),MONTH(A5017),1)</f>
        <v>46204</v>
      </c>
      <c r="G5017" s="24" t="str">
        <f aca="false">INDEX(Products!$C$2:$C$49,MATCH(C5017,Products!$A$2:$A$49,0))</f>
        <v>Dairy &amp; Eggs</v>
      </c>
      <c r="H5017" s="33" t="n">
        <f aca="false">D5017*INDEX(Products!$E$2:$E$49,MATCH(C5017,Products!$A$2:$A$49,0))</f>
        <v>2860</v>
      </c>
      <c r="I5017" s="33" t="n">
        <f aca="false">D5017*INDEX(Products!$D$2:$D$49,MATCH(C5017,Products!$A$2:$A$49,0))*(1+INDEX(Assumptions!$B$16:$B$20,MATCH(B5017,Assumptions!$A$16:$A$20,0)))</f>
        <v>2288.88</v>
      </c>
      <c r="J5017" s="33" t="n">
        <f aca="false">H5017-I5017</f>
        <v>571.12</v>
      </c>
      <c r="K5017" s="33" t="n">
        <f aca="false">IF(OR(E5017=0,E5017&gt;=7),0,D5017/(7-E5017)*E5017*INDEX(Products!$E$2:$E$49,MATCH(C5017,Products!$A$2:$A$49,0)))</f>
        <v>0</v>
      </c>
    </row>
    <row r="5018" customFormat="false" ht="15" hidden="false" customHeight="false" outlineLevel="0" collapsed="false">
      <c r="A5018" s="36" t="n">
        <v>46230</v>
      </c>
      <c r="B5018" s="24" t="s">
        <v>65</v>
      </c>
      <c r="C5018" s="24" t="s">
        <v>131</v>
      </c>
      <c r="D5018" s="33" t="n">
        <v>34</v>
      </c>
      <c r="E5018" s="24" t="n">
        <v>0</v>
      </c>
      <c r="F5018" s="37" t="n">
        <f aca="false">DATE(YEAR(A5018),MONTH(A5018),1)</f>
        <v>46204</v>
      </c>
      <c r="G5018" s="24" t="str">
        <f aca="false">INDEX(Products!$C$2:$C$49,MATCH(C5018,Products!$A$2:$A$49,0))</f>
        <v>Dairy &amp; Eggs</v>
      </c>
      <c r="H5018" s="33" t="n">
        <f aca="false">D5018*INDEX(Products!$E$2:$E$49,MATCH(C5018,Products!$A$2:$A$49,0))</f>
        <v>2210</v>
      </c>
      <c r="I5018" s="33" t="n">
        <f aca="false">D5018*INDEX(Products!$D$2:$D$49,MATCH(C5018,Products!$A$2:$A$49,0))*(1+INDEX(Assumptions!$B$16:$B$20,MATCH(B5018,Assumptions!$A$16:$A$20,0)))</f>
        <v>1768.68</v>
      </c>
      <c r="J5018" s="33" t="n">
        <f aca="false">H5018-I5018</f>
        <v>441.32</v>
      </c>
      <c r="K5018" s="33" t="n">
        <f aca="false">IF(OR(E5018=0,E5018&gt;=7),0,D5018/(7-E5018)*E5018*INDEX(Products!$E$2:$E$49,MATCH(C5018,Products!$A$2:$A$49,0)))</f>
        <v>0</v>
      </c>
    </row>
    <row r="5019" customFormat="false" ht="15" hidden="false" customHeight="false" outlineLevel="0" collapsed="false">
      <c r="A5019" s="36" t="n">
        <v>46237</v>
      </c>
      <c r="B5019" s="24" t="s">
        <v>65</v>
      </c>
      <c r="C5019" s="24" t="s">
        <v>131</v>
      </c>
      <c r="D5019" s="33" t="n">
        <v>29</v>
      </c>
      <c r="E5019" s="24" t="n">
        <v>0</v>
      </c>
      <c r="F5019" s="37" t="n">
        <f aca="false">DATE(YEAR(A5019),MONTH(A5019),1)</f>
        <v>46235</v>
      </c>
      <c r="G5019" s="24" t="str">
        <f aca="false">INDEX(Products!$C$2:$C$49,MATCH(C5019,Products!$A$2:$A$49,0))</f>
        <v>Dairy &amp; Eggs</v>
      </c>
      <c r="H5019" s="33" t="n">
        <f aca="false">D5019*INDEX(Products!$E$2:$E$49,MATCH(C5019,Products!$A$2:$A$49,0))</f>
        <v>1885</v>
      </c>
      <c r="I5019" s="33" t="n">
        <f aca="false">D5019*INDEX(Products!$D$2:$D$49,MATCH(C5019,Products!$A$2:$A$49,0))*(1+INDEX(Assumptions!$B$16:$B$20,MATCH(B5019,Assumptions!$A$16:$A$20,0)))</f>
        <v>1508.58</v>
      </c>
      <c r="J5019" s="33" t="n">
        <f aca="false">H5019-I5019</f>
        <v>376.42</v>
      </c>
      <c r="K5019" s="33" t="n">
        <f aca="false">IF(OR(E5019=0,E5019&gt;=7),0,D5019/(7-E5019)*E5019*INDEX(Products!$E$2:$E$49,MATCH(C5019,Products!$A$2:$A$49,0)))</f>
        <v>0</v>
      </c>
    </row>
    <row r="5020" customFormat="false" ht="15" hidden="false" customHeight="false" outlineLevel="0" collapsed="false">
      <c r="A5020" s="36" t="n">
        <v>46244</v>
      </c>
      <c r="B5020" s="24" t="s">
        <v>65</v>
      </c>
      <c r="C5020" s="24" t="s">
        <v>131</v>
      </c>
      <c r="D5020" s="33" t="n">
        <v>27</v>
      </c>
      <c r="E5020" s="24" t="n">
        <v>0</v>
      </c>
      <c r="F5020" s="37" t="n">
        <f aca="false">DATE(YEAR(A5020),MONTH(A5020),1)</f>
        <v>46235</v>
      </c>
      <c r="G5020" s="24" t="str">
        <f aca="false">INDEX(Products!$C$2:$C$49,MATCH(C5020,Products!$A$2:$A$49,0))</f>
        <v>Dairy &amp; Eggs</v>
      </c>
      <c r="H5020" s="33" t="n">
        <f aca="false">D5020*INDEX(Products!$E$2:$E$49,MATCH(C5020,Products!$A$2:$A$49,0))</f>
        <v>1755</v>
      </c>
      <c r="I5020" s="33" t="n">
        <f aca="false">D5020*INDEX(Products!$D$2:$D$49,MATCH(C5020,Products!$A$2:$A$49,0))*(1+INDEX(Assumptions!$B$16:$B$20,MATCH(B5020,Assumptions!$A$16:$A$20,0)))</f>
        <v>1404.54</v>
      </c>
      <c r="J5020" s="33" t="n">
        <f aca="false">H5020-I5020</f>
        <v>350.46</v>
      </c>
      <c r="K5020" s="33" t="n">
        <f aca="false">IF(OR(E5020=0,E5020&gt;=7),0,D5020/(7-E5020)*E5020*INDEX(Products!$E$2:$E$49,MATCH(C5020,Products!$A$2:$A$49,0)))</f>
        <v>0</v>
      </c>
    </row>
    <row r="5021" customFormat="false" ht="15" hidden="false" customHeight="false" outlineLevel="0" collapsed="false">
      <c r="A5021" s="36" t="n">
        <v>46251</v>
      </c>
      <c r="B5021" s="24" t="s">
        <v>65</v>
      </c>
      <c r="C5021" s="24" t="s">
        <v>131</v>
      </c>
      <c r="D5021" s="33" t="n">
        <v>31</v>
      </c>
      <c r="E5021" s="24" t="n">
        <v>0</v>
      </c>
      <c r="F5021" s="37" t="n">
        <f aca="false">DATE(YEAR(A5021),MONTH(A5021),1)</f>
        <v>46235</v>
      </c>
      <c r="G5021" s="24" t="str">
        <f aca="false">INDEX(Products!$C$2:$C$49,MATCH(C5021,Products!$A$2:$A$49,0))</f>
        <v>Dairy &amp; Eggs</v>
      </c>
      <c r="H5021" s="33" t="n">
        <f aca="false">D5021*INDEX(Products!$E$2:$E$49,MATCH(C5021,Products!$A$2:$A$49,0))</f>
        <v>2015</v>
      </c>
      <c r="I5021" s="33" t="n">
        <f aca="false">D5021*INDEX(Products!$D$2:$D$49,MATCH(C5021,Products!$A$2:$A$49,0))*(1+INDEX(Assumptions!$B$16:$B$20,MATCH(B5021,Assumptions!$A$16:$A$20,0)))</f>
        <v>1612.62</v>
      </c>
      <c r="J5021" s="33" t="n">
        <f aca="false">H5021-I5021</f>
        <v>402.38</v>
      </c>
      <c r="K5021" s="33" t="n">
        <f aca="false">IF(OR(E5021=0,E5021&gt;=7),0,D5021/(7-E5021)*E5021*INDEX(Products!$E$2:$E$49,MATCH(C5021,Products!$A$2:$A$49,0)))</f>
        <v>0</v>
      </c>
    </row>
    <row r="5022" customFormat="false" ht="15" hidden="false" customHeight="false" outlineLevel="0" collapsed="false">
      <c r="A5022" s="36" t="n">
        <v>46258</v>
      </c>
      <c r="B5022" s="24" t="s">
        <v>65</v>
      </c>
      <c r="C5022" s="24" t="s">
        <v>131</v>
      </c>
      <c r="D5022" s="33" t="n">
        <v>27</v>
      </c>
      <c r="E5022" s="24" t="n">
        <v>0</v>
      </c>
      <c r="F5022" s="37" t="n">
        <f aca="false">DATE(YEAR(A5022),MONTH(A5022),1)</f>
        <v>46235</v>
      </c>
      <c r="G5022" s="24" t="str">
        <f aca="false">INDEX(Products!$C$2:$C$49,MATCH(C5022,Products!$A$2:$A$49,0))</f>
        <v>Dairy &amp; Eggs</v>
      </c>
      <c r="H5022" s="33" t="n">
        <f aca="false">D5022*INDEX(Products!$E$2:$E$49,MATCH(C5022,Products!$A$2:$A$49,0))</f>
        <v>1755</v>
      </c>
      <c r="I5022" s="33" t="n">
        <f aca="false">D5022*INDEX(Products!$D$2:$D$49,MATCH(C5022,Products!$A$2:$A$49,0))*(1+INDEX(Assumptions!$B$16:$B$20,MATCH(B5022,Assumptions!$A$16:$A$20,0)))</f>
        <v>1404.54</v>
      </c>
      <c r="J5022" s="33" t="n">
        <f aca="false">H5022-I5022</f>
        <v>350.46</v>
      </c>
      <c r="K5022" s="33" t="n">
        <f aca="false">IF(OR(E5022=0,E5022&gt;=7),0,D5022/(7-E5022)*E5022*INDEX(Products!$E$2:$E$49,MATCH(C5022,Products!$A$2:$A$49,0)))</f>
        <v>0</v>
      </c>
    </row>
    <row r="5023" customFormat="false" ht="15" hidden="false" customHeight="false" outlineLevel="0" collapsed="false">
      <c r="A5023" s="36" t="n">
        <v>46265</v>
      </c>
      <c r="B5023" s="24" t="s">
        <v>65</v>
      </c>
      <c r="C5023" s="24" t="s">
        <v>131</v>
      </c>
      <c r="D5023" s="33" t="n">
        <v>36</v>
      </c>
      <c r="E5023" s="24" t="n">
        <v>0</v>
      </c>
      <c r="F5023" s="37" t="n">
        <f aca="false">DATE(YEAR(A5023),MONTH(A5023),1)</f>
        <v>46235</v>
      </c>
      <c r="G5023" s="24" t="str">
        <f aca="false">INDEX(Products!$C$2:$C$49,MATCH(C5023,Products!$A$2:$A$49,0))</f>
        <v>Dairy &amp; Eggs</v>
      </c>
      <c r="H5023" s="33" t="n">
        <f aca="false">D5023*INDEX(Products!$E$2:$E$49,MATCH(C5023,Products!$A$2:$A$49,0))</f>
        <v>2340</v>
      </c>
      <c r="I5023" s="33" t="n">
        <f aca="false">D5023*INDEX(Products!$D$2:$D$49,MATCH(C5023,Products!$A$2:$A$49,0))*(1+INDEX(Assumptions!$B$16:$B$20,MATCH(B5023,Assumptions!$A$16:$A$20,0)))</f>
        <v>1872.72</v>
      </c>
      <c r="J5023" s="33" t="n">
        <f aca="false">H5023-I5023</f>
        <v>467.28</v>
      </c>
      <c r="K5023" s="33" t="n">
        <f aca="false">IF(OR(E5023=0,E5023&gt;=7),0,D5023/(7-E5023)*E5023*INDEX(Products!$E$2:$E$49,MATCH(C5023,Products!$A$2:$A$49,0)))</f>
        <v>0</v>
      </c>
    </row>
    <row r="5024" customFormat="false" ht="15" hidden="false" customHeight="false" outlineLevel="0" collapsed="false">
      <c r="A5024" s="36" t="n">
        <v>46272</v>
      </c>
      <c r="B5024" s="24" t="s">
        <v>65</v>
      </c>
      <c r="C5024" s="24" t="s">
        <v>131</v>
      </c>
      <c r="D5024" s="33" t="n">
        <v>40</v>
      </c>
      <c r="E5024" s="24" t="n">
        <v>0</v>
      </c>
      <c r="F5024" s="37" t="n">
        <f aca="false">DATE(YEAR(A5024),MONTH(A5024),1)</f>
        <v>46266</v>
      </c>
      <c r="G5024" s="24" t="str">
        <f aca="false">INDEX(Products!$C$2:$C$49,MATCH(C5024,Products!$A$2:$A$49,0))</f>
        <v>Dairy &amp; Eggs</v>
      </c>
      <c r="H5024" s="33" t="n">
        <f aca="false">D5024*INDEX(Products!$E$2:$E$49,MATCH(C5024,Products!$A$2:$A$49,0))</f>
        <v>2600</v>
      </c>
      <c r="I5024" s="33" t="n">
        <f aca="false">D5024*INDEX(Products!$D$2:$D$49,MATCH(C5024,Products!$A$2:$A$49,0))*(1+INDEX(Assumptions!$B$16:$B$20,MATCH(B5024,Assumptions!$A$16:$A$20,0)))</f>
        <v>2080.8</v>
      </c>
      <c r="J5024" s="33" t="n">
        <f aca="false">H5024-I5024</f>
        <v>519.2</v>
      </c>
      <c r="K5024" s="33" t="n">
        <f aca="false">IF(OR(E5024=0,E5024&gt;=7),0,D5024/(7-E5024)*E5024*INDEX(Products!$E$2:$E$49,MATCH(C5024,Products!$A$2:$A$49,0)))</f>
        <v>0</v>
      </c>
    </row>
    <row r="5025" customFormat="false" ht="15" hidden="false" customHeight="false" outlineLevel="0" collapsed="false">
      <c r="A5025" s="36" t="n">
        <v>46279</v>
      </c>
      <c r="B5025" s="24" t="s">
        <v>65</v>
      </c>
      <c r="C5025" s="24" t="s">
        <v>131</v>
      </c>
      <c r="D5025" s="33" t="n">
        <v>29</v>
      </c>
      <c r="E5025" s="24" t="n">
        <v>0</v>
      </c>
      <c r="F5025" s="37" t="n">
        <f aca="false">DATE(YEAR(A5025),MONTH(A5025),1)</f>
        <v>46266</v>
      </c>
      <c r="G5025" s="24" t="str">
        <f aca="false">INDEX(Products!$C$2:$C$49,MATCH(C5025,Products!$A$2:$A$49,0))</f>
        <v>Dairy &amp; Eggs</v>
      </c>
      <c r="H5025" s="33" t="n">
        <f aca="false">D5025*INDEX(Products!$E$2:$E$49,MATCH(C5025,Products!$A$2:$A$49,0))</f>
        <v>1885</v>
      </c>
      <c r="I5025" s="33" t="n">
        <f aca="false">D5025*INDEX(Products!$D$2:$D$49,MATCH(C5025,Products!$A$2:$A$49,0))*(1+INDEX(Assumptions!$B$16:$B$20,MATCH(B5025,Assumptions!$A$16:$A$20,0)))</f>
        <v>1508.58</v>
      </c>
      <c r="J5025" s="33" t="n">
        <f aca="false">H5025-I5025</f>
        <v>376.42</v>
      </c>
      <c r="K5025" s="33" t="n">
        <f aca="false">IF(OR(E5025=0,E5025&gt;=7),0,D5025/(7-E5025)*E5025*INDEX(Products!$E$2:$E$49,MATCH(C5025,Products!$A$2:$A$49,0)))</f>
        <v>0</v>
      </c>
    </row>
    <row r="5026" customFormat="false" ht="15" hidden="false" customHeight="false" outlineLevel="0" collapsed="false">
      <c r="A5026" s="36" t="n">
        <v>46286</v>
      </c>
      <c r="B5026" s="24" t="s">
        <v>65</v>
      </c>
      <c r="C5026" s="24" t="s">
        <v>131</v>
      </c>
      <c r="D5026" s="33" t="n">
        <v>29</v>
      </c>
      <c r="E5026" s="24" t="n">
        <v>0</v>
      </c>
      <c r="F5026" s="37" t="n">
        <f aca="false">DATE(YEAR(A5026),MONTH(A5026),1)</f>
        <v>46266</v>
      </c>
      <c r="G5026" s="24" t="str">
        <f aca="false">INDEX(Products!$C$2:$C$49,MATCH(C5026,Products!$A$2:$A$49,0))</f>
        <v>Dairy &amp; Eggs</v>
      </c>
      <c r="H5026" s="33" t="n">
        <f aca="false">D5026*INDEX(Products!$E$2:$E$49,MATCH(C5026,Products!$A$2:$A$49,0))</f>
        <v>1885</v>
      </c>
      <c r="I5026" s="33" t="n">
        <f aca="false">D5026*INDEX(Products!$D$2:$D$49,MATCH(C5026,Products!$A$2:$A$49,0))*(1+INDEX(Assumptions!$B$16:$B$20,MATCH(B5026,Assumptions!$A$16:$A$20,0)))</f>
        <v>1508.58</v>
      </c>
      <c r="J5026" s="33" t="n">
        <f aca="false">H5026-I5026</f>
        <v>376.42</v>
      </c>
      <c r="K5026" s="33" t="n">
        <f aca="false">IF(OR(E5026=0,E5026&gt;=7),0,D5026/(7-E5026)*E5026*INDEX(Products!$E$2:$E$49,MATCH(C5026,Products!$A$2:$A$49,0)))</f>
        <v>0</v>
      </c>
    </row>
    <row r="5027" customFormat="false" ht="15" hidden="false" customHeight="false" outlineLevel="0" collapsed="false">
      <c r="A5027" s="36" t="n">
        <v>46118</v>
      </c>
      <c r="B5027" s="24" t="s">
        <v>65</v>
      </c>
      <c r="C5027" s="24" t="s">
        <v>133</v>
      </c>
      <c r="D5027" s="33" t="n">
        <v>66</v>
      </c>
      <c r="E5027" s="24" t="n">
        <v>0</v>
      </c>
      <c r="F5027" s="37" t="n">
        <f aca="false">DATE(YEAR(A5027),MONTH(A5027),1)</f>
        <v>46113</v>
      </c>
      <c r="G5027" s="24" t="str">
        <f aca="false">INDEX(Products!$C$2:$C$49,MATCH(C5027,Products!$A$2:$A$49,0))</f>
        <v>Dairy &amp; Eggs</v>
      </c>
      <c r="H5027" s="33" t="n">
        <f aca="false">D5027*INDEX(Products!$E$2:$E$49,MATCH(C5027,Products!$A$2:$A$49,0))</f>
        <v>8250</v>
      </c>
      <c r="I5027" s="33" t="n">
        <f aca="false">D5027*INDEX(Products!$D$2:$D$49,MATCH(C5027,Products!$A$2:$A$49,0))*(1+INDEX(Assumptions!$B$16:$B$20,MATCH(B5027,Assumptions!$A$16:$A$20,0)))</f>
        <v>7001.28</v>
      </c>
      <c r="J5027" s="33" t="n">
        <f aca="false">H5027-I5027</f>
        <v>1248.72</v>
      </c>
      <c r="K5027" s="33" t="n">
        <f aca="false">IF(OR(E5027=0,E5027&gt;=7),0,D5027/(7-E5027)*E5027*INDEX(Products!$E$2:$E$49,MATCH(C5027,Products!$A$2:$A$49,0)))</f>
        <v>0</v>
      </c>
    </row>
    <row r="5028" customFormat="false" ht="15" hidden="false" customHeight="false" outlineLevel="0" collapsed="false">
      <c r="A5028" s="36" t="n">
        <v>46125</v>
      </c>
      <c r="B5028" s="24" t="s">
        <v>65</v>
      </c>
      <c r="C5028" s="24" t="s">
        <v>133</v>
      </c>
      <c r="D5028" s="33" t="n">
        <v>65</v>
      </c>
      <c r="E5028" s="24" t="n">
        <v>0</v>
      </c>
      <c r="F5028" s="37" t="n">
        <f aca="false">DATE(YEAR(A5028),MONTH(A5028),1)</f>
        <v>46113</v>
      </c>
      <c r="G5028" s="24" t="str">
        <f aca="false">INDEX(Products!$C$2:$C$49,MATCH(C5028,Products!$A$2:$A$49,0))</f>
        <v>Dairy &amp; Eggs</v>
      </c>
      <c r="H5028" s="33" t="n">
        <f aca="false">D5028*INDEX(Products!$E$2:$E$49,MATCH(C5028,Products!$A$2:$A$49,0))</f>
        <v>8125</v>
      </c>
      <c r="I5028" s="33" t="n">
        <f aca="false">D5028*INDEX(Products!$D$2:$D$49,MATCH(C5028,Products!$A$2:$A$49,0))*(1+INDEX(Assumptions!$B$16:$B$20,MATCH(B5028,Assumptions!$A$16:$A$20,0)))</f>
        <v>6895.2</v>
      </c>
      <c r="J5028" s="33" t="n">
        <f aca="false">H5028-I5028</f>
        <v>1229.8</v>
      </c>
      <c r="K5028" s="33" t="n">
        <f aca="false">IF(OR(E5028=0,E5028&gt;=7),0,D5028/(7-E5028)*E5028*INDEX(Products!$E$2:$E$49,MATCH(C5028,Products!$A$2:$A$49,0)))</f>
        <v>0</v>
      </c>
    </row>
    <row r="5029" customFormat="false" ht="15" hidden="false" customHeight="false" outlineLevel="0" collapsed="false">
      <c r="A5029" s="36" t="n">
        <v>46132</v>
      </c>
      <c r="B5029" s="24" t="s">
        <v>65</v>
      </c>
      <c r="C5029" s="24" t="s">
        <v>133</v>
      </c>
      <c r="D5029" s="33" t="n">
        <v>45</v>
      </c>
      <c r="E5029" s="24" t="n">
        <v>2</v>
      </c>
      <c r="F5029" s="37" t="n">
        <f aca="false">DATE(YEAR(A5029),MONTH(A5029),1)</f>
        <v>46113</v>
      </c>
      <c r="G5029" s="24" t="str">
        <f aca="false">INDEX(Products!$C$2:$C$49,MATCH(C5029,Products!$A$2:$A$49,0))</f>
        <v>Dairy &amp; Eggs</v>
      </c>
      <c r="H5029" s="33" t="n">
        <f aca="false">D5029*INDEX(Products!$E$2:$E$49,MATCH(C5029,Products!$A$2:$A$49,0))</f>
        <v>5625</v>
      </c>
      <c r="I5029" s="33" t="n">
        <f aca="false">D5029*INDEX(Products!$D$2:$D$49,MATCH(C5029,Products!$A$2:$A$49,0))*(1+INDEX(Assumptions!$B$16:$B$20,MATCH(B5029,Assumptions!$A$16:$A$20,0)))</f>
        <v>4773.6</v>
      </c>
      <c r="J5029" s="33" t="n">
        <f aca="false">H5029-I5029</f>
        <v>851.4</v>
      </c>
      <c r="K5029" s="33" t="n">
        <f aca="false">IF(OR(E5029=0,E5029&gt;=7),0,D5029/(7-E5029)*E5029*INDEX(Products!$E$2:$E$49,MATCH(C5029,Products!$A$2:$A$49,0)))</f>
        <v>2250</v>
      </c>
    </row>
    <row r="5030" customFormat="false" ht="15" hidden="false" customHeight="false" outlineLevel="0" collapsed="false">
      <c r="A5030" s="36" t="n">
        <v>46139</v>
      </c>
      <c r="B5030" s="24" t="s">
        <v>65</v>
      </c>
      <c r="C5030" s="24" t="s">
        <v>133</v>
      </c>
      <c r="D5030" s="33" t="n">
        <v>79</v>
      </c>
      <c r="E5030" s="24" t="n">
        <v>0</v>
      </c>
      <c r="F5030" s="37" t="n">
        <f aca="false">DATE(YEAR(A5030),MONTH(A5030),1)</f>
        <v>46113</v>
      </c>
      <c r="G5030" s="24" t="str">
        <f aca="false">INDEX(Products!$C$2:$C$49,MATCH(C5030,Products!$A$2:$A$49,0))</f>
        <v>Dairy &amp; Eggs</v>
      </c>
      <c r="H5030" s="33" t="n">
        <f aca="false">D5030*INDEX(Products!$E$2:$E$49,MATCH(C5030,Products!$A$2:$A$49,0))</f>
        <v>9875</v>
      </c>
      <c r="I5030" s="33" t="n">
        <f aca="false">D5030*INDEX(Products!$D$2:$D$49,MATCH(C5030,Products!$A$2:$A$49,0))*(1+INDEX(Assumptions!$B$16:$B$20,MATCH(B5030,Assumptions!$A$16:$A$20,0)))</f>
        <v>8380.32</v>
      </c>
      <c r="J5030" s="33" t="n">
        <f aca="false">H5030-I5030</f>
        <v>1494.68</v>
      </c>
      <c r="K5030" s="33" t="n">
        <f aca="false">IF(OR(E5030=0,E5030&gt;=7),0,D5030/(7-E5030)*E5030*INDEX(Products!$E$2:$E$49,MATCH(C5030,Products!$A$2:$A$49,0)))</f>
        <v>0</v>
      </c>
    </row>
    <row r="5031" customFormat="false" ht="15" hidden="false" customHeight="false" outlineLevel="0" collapsed="false">
      <c r="A5031" s="36" t="n">
        <v>46146</v>
      </c>
      <c r="B5031" s="24" t="s">
        <v>65</v>
      </c>
      <c r="C5031" s="24" t="s">
        <v>133</v>
      </c>
      <c r="D5031" s="33" t="n">
        <v>83</v>
      </c>
      <c r="E5031" s="24" t="n">
        <v>0</v>
      </c>
      <c r="F5031" s="37" t="n">
        <f aca="false">DATE(YEAR(A5031),MONTH(A5031),1)</f>
        <v>46143</v>
      </c>
      <c r="G5031" s="24" t="str">
        <f aca="false">INDEX(Products!$C$2:$C$49,MATCH(C5031,Products!$A$2:$A$49,0))</f>
        <v>Dairy &amp; Eggs</v>
      </c>
      <c r="H5031" s="33" t="n">
        <f aca="false">D5031*INDEX(Products!$E$2:$E$49,MATCH(C5031,Products!$A$2:$A$49,0))</f>
        <v>10375</v>
      </c>
      <c r="I5031" s="33" t="n">
        <f aca="false">D5031*INDEX(Products!$D$2:$D$49,MATCH(C5031,Products!$A$2:$A$49,0))*(1+INDEX(Assumptions!$B$16:$B$20,MATCH(B5031,Assumptions!$A$16:$A$20,0)))</f>
        <v>8804.64</v>
      </c>
      <c r="J5031" s="33" t="n">
        <f aca="false">H5031-I5031</f>
        <v>1570.36</v>
      </c>
      <c r="K5031" s="33" t="n">
        <f aca="false">IF(OR(E5031=0,E5031&gt;=7),0,D5031/(7-E5031)*E5031*INDEX(Products!$E$2:$E$49,MATCH(C5031,Products!$A$2:$A$49,0)))</f>
        <v>0</v>
      </c>
    </row>
    <row r="5032" customFormat="false" ht="15" hidden="false" customHeight="false" outlineLevel="0" collapsed="false">
      <c r="A5032" s="36" t="n">
        <v>46153</v>
      </c>
      <c r="B5032" s="24" t="s">
        <v>65</v>
      </c>
      <c r="C5032" s="24" t="s">
        <v>133</v>
      </c>
      <c r="D5032" s="33" t="n">
        <v>78</v>
      </c>
      <c r="E5032" s="24" t="n">
        <v>0</v>
      </c>
      <c r="F5032" s="37" t="n">
        <f aca="false">DATE(YEAR(A5032),MONTH(A5032),1)</f>
        <v>46143</v>
      </c>
      <c r="G5032" s="24" t="str">
        <f aca="false">INDEX(Products!$C$2:$C$49,MATCH(C5032,Products!$A$2:$A$49,0))</f>
        <v>Dairy &amp; Eggs</v>
      </c>
      <c r="H5032" s="33" t="n">
        <f aca="false">D5032*INDEX(Products!$E$2:$E$49,MATCH(C5032,Products!$A$2:$A$49,0))</f>
        <v>9750</v>
      </c>
      <c r="I5032" s="33" t="n">
        <f aca="false">D5032*INDEX(Products!$D$2:$D$49,MATCH(C5032,Products!$A$2:$A$49,0))*(1+INDEX(Assumptions!$B$16:$B$20,MATCH(B5032,Assumptions!$A$16:$A$20,0)))</f>
        <v>8274.24</v>
      </c>
      <c r="J5032" s="33" t="n">
        <f aca="false">H5032-I5032</f>
        <v>1475.76</v>
      </c>
      <c r="K5032" s="33" t="n">
        <f aca="false">IF(OR(E5032=0,E5032&gt;=7),0,D5032/(7-E5032)*E5032*INDEX(Products!$E$2:$E$49,MATCH(C5032,Products!$A$2:$A$49,0)))</f>
        <v>0</v>
      </c>
    </row>
    <row r="5033" customFormat="false" ht="15" hidden="false" customHeight="false" outlineLevel="0" collapsed="false">
      <c r="A5033" s="36" t="n">
        <v>46160</v>
      </c>
      <c r="B5033" s="24" t="s">
        <v>65</v>
      </c>
      <c r="C5033" s="24" t="s">
        <v>133</v>
      </c>
      <c r="D5033" s="33" t="n">
        <v>77</v>
      </c>
      <c r="E5033" s="24" t="n">
        <v>0</v>
      </c>
      <c r="F5033" s="37" t="n">
        <f aca="false">DATE(YEAR(A5033),MONTH(A5033),1)</f>
        <v>46143</v>
      </c>
      <c r="G5033" s="24" t="str">
        <f aca="false">INDEX(Products!$C$2:$C$49,MATCH(C5033,Products!$A$2:$A$49,0))</f>
        <v>Dairy &amp; Eggs</v>
      </c>
      <c r="H5033" s="33" t="n">
        <f aca="false">D5033*INDEX(Products!$E$2:$E$49,MATCH(C5033,Products!$A$2:$A$49,0))</f>
        <v>9625</v>
      </c>
      <c r="I5033" s="33" t="n">
        <f aca="false">D5033*INDEX(Products!$D$2:$D$49,MATCH(C5033,Products!$A$2:$A$49,0))*(1+INDEX(Assumptions!$B$16:$B$20,MATCH(B5033,Assumptions!$A$16:$A$20,0)))</f>
        <v>8168.16</v>
      </c>
      <c r="J5033" s="33" t="n">
        <f aca="false">H5033-I5033</f>
        <v>1456.84</v>
      </c>
      <c r="K5033" s="33" t="n">
        <f aca="false">IF(OR(E5033=0,E5033&gt;=7),0,D5033/(7-E5033)*E5033*INDEX(Products!$E$2:$E$49,MATCH(C5033,Products!$A$2:$A$49,0)))</f>
        <v>0</v>
      </c>
    </row>
    <row r="5034" customFormat="false" ht="15" hidden="false" customHeight="false" outlineLevel="0" collapsed="false">
      <c r="A5034" s="36" t="n">
        <v>46167</v>
      </c>
      <c r="B5034" s="24" t="s">
        <v>65</v>
      </c>
      <c r="C5034" s="24" t="s">
        <v>133</v>
      </c>
      <c r="D5034" s="33" t="n">
        <v>110</v>
      </c>
      <c r="E5034" s="24" t="n">
        <v>0</v>
      </c>
      <c r="F5034" s="37" t="n">
        <f aca="false">DATE(YEAR(A5034),MONTH(A5034),1)</f>
        <v>46143</v>
      </c>
      <c r="G5034" s="24" t="str">
        <f aca="false">INDEX(Products!$C$2:$C$49,MATCH(C5034,Products!$A$2:$A$49,0))</f>
        <v>Dairy &amp; Eggs</v>
      </c>
      <c r="H5034" s="33" t="n">
        <f aca="false">D5034*INDEX(Products!$E$2:$E$49,MATCH(C5034,Products!$A$2:$A$49,0))</f>
        <v>13750</v>
      </c>
      <c r="I5034" s="33" t="n">
        <f aca="false">D5034*INDEX(Products!$D$2:$D$49,MATCH(C5034,Products!$A$2:$A$49,0))*(1+INDEX(Assumptions!$B$16:$B$20,MATCH(B5034,Assumptions!$A$16:$A$20,0)))</f>
        <v>11668.8</v>
      </c>
      <c r="J5034" s="33" t="n">
        <f aca="false">H5034-I5034</f>
        <v>2081.2</v>
      </c>
      <c r="K5034" s="33" t="n">
        <f aca="false">IF(OR(E5034=0,E5034&gt;=7),0,D5034/(7-E5034)*E5034*INDEX(Products!$E$2:$E$49,MATCH(C5034,Products!$A$2:$A$49,0)))</f>
        <v>0</v>
      </c>
    </row>
    <row r="5035" customFormat="false" ht="15" hidden="false" customHeight="false" outlineLevel="0" collapsed="false">
      <c r="A5035" s="36" t="n">
        <v>46174</v>
      </c>
      <c r="B5035" s="24" t="s">
        <v>65</v>
      </c>
      <c r="C5035" s="24" t="s">
        <v>133</v>
      </c>
      <c r="D5035" s="33" t="n">
        <v>69</v>
      </c>
      <c r="E5035" s="24" t="n">
        <v>0</v>
      </c>
      <c r="F5035" s="37" t="n">
        <f aca="false">DATE(YEAR(A5035),MONTH(A5035),1)</f>
        <v>46174</v>
      </c>
      <c r="G5035" s="24" t="str">
        <f aca="false">INDEX(Products!$C$2:$C$49,MATCH(C5035,Products!$A$2:$A$49,0))</f>
        <v>Dairy &amp; Eggs</v>
      </c>
      <c r="H5035" s="33" t="n">
        <f aca="false">D5035*INDEX(Products!$E$2:$E$49,MATCH(C5035,Products!$A$2:$A$49,0))</f>
        <v>8625</v>
      </c>
      <c r="I5035" s="33" t="n">
        <f aca="false">D5035*INDEX(Products!$D$2:$D$49,MATCH(C5035,Products!$A$2:$A$49,0))*(1+INDEX(Assumptions!$B$16:$B$20,MATCH(B5035,Assumptions!$A$16:$A$20,0)))</f>
        <v>7319.52</v>
      </c>
      <c r="J5035" s="33" t="n">
        <f aca="false">H5035-I5035</f>
        <v>1305.48</v>
      </c>
      <c r="K5035" s="33" t="n">
        <f aca="false">IF(OR(E5035=0,E5035&gt;=7),0,D5035/(7-E5035)*E5035*INDEX(Products!$E$2:$E$49,MATCH(C5035,Products!$A$2:$A$49,0)))</f>
        <v>0</v>
      </c>
    </row>
    <row r="5036" customFormat="false" ht="15" hidden="false" customHeight="false" outlineLevel="0" collapsed="false">
      <c r="A5036" s="36" t="n">
        <v>46181</v>
      </c>
      <c r="B5036" s="24" t="s">
        <v>65</v>
      </c>
      <c r="C5036" s="24" t="s">
        <v>133</v>
      </c>
      <c r="D5036" s="33" t="n">
        <v>75</v>
      </c>
      <c r="E5036" s="24" t="n">
        <v>0</v>
      </c>
      <c r="F5036" s="37" t="n">
        <f aca="false">DATE(YEAR(A5036),MONTH(A5036),1)</f>
        <v>46174</v>
      </c>
      <c r="G5036" s="24" t="str">
        <f aca="false">INDEX(Products!$C$2:$C$49,MATCH(C5036,Products!$A$2:$A$49,0))</f>
        <v>Dairy &amp; Eggs</v>
      </c>
      <c r="H5036" s="33" t="n">
        <f aca="false">D5036*INDEX(Products!$E$2:$E$49,MATCH(C5036,Products!$A$2:$A$49,0))</f>
        <v>9375</v>
      </c>
      <c r="I5036" s="33" t="n">
        <f aca="false">D5036*INDEX(Products!$D$2:$D$49,MATCH(C5036,Products!$A$2:$A$49,0))*(1+INDEX(Assumptions!$B$16:$B$20,MATCH(B5036,Assumptions!$A$16:$A$20,0)))</f>
        <v>7956</v>
      </c>
      <c r="J5036" s="33" t="n">
        <f aca="false">H5036-I5036</f>
        <v>1419</v>
      </c>
      <c r="K5036" s="33" t="n">
        <f aca="false">IF(OR(E5036=0,E5036&gt;=7),0,D5036/(7-E5036)*E5036*INDEX(Products!$E$2:$E$49,MATCH(C5036,Products!$A$2:$A$49,0)))</f>
        <v>0</v>
      </c>
    </row>
    <row r="5037" customFormat="false" ht="15" hidden="false" customHeight="false" outlineLevel="0" collapsed="false">
      <c r="A5037" s="36" t="n">
        <v>46188</v>
      </c>
      <c r="B5037" s="24" t="s">
        <v>65</v>
      </c>
      <c r="C5037" s="24" t="s">
        <v>133</v>
      </c>
      <c r="D5037" s="33" t="n">
        <v>58</v>
      </c>
      <c r="E5037" s="24" t="n">
        <v>0</v>
      </c>
      <c r="F5037" s="37" t="n">
        <f aca="false">DATE(YEAR(A5037),MONTH(A5037),1)</f>
        <v>46174</v>
      </c>
      <c r="G5037" s="24" t="str">
        <f aca="false">INDEX(Products!$C$2:$C$49,MATCH(C5037,Products!$A$2:$A$49,0))</f>
        <v>Dairy &amp; Eggs</v>
      </c>
      <c r="H5037" s="33" t="n">
        <f aca="false">D5037*INDEX(Products!$E$2:$E$49,MATCH(C5037,Products!$A$2:$A$49,0))</f>
        <v>7250</v>
      </c>
      <c r="I5037" s="33" t="n">
        <f aca="false">D5037*INDEX(Products!$D$2:$D$49,MATCH(C5037,Products!$A$2:$A$49,0))*(1+INDEX(Assumptions!$B$16:$B$20,MATCH(B5037,Assumptions!$A$16:$A$20,0)))</f>
        <v>6152.64</v>
      </c>
      <c r="J5037" s="33" t="n">
        <f aca="false">H5037-I5037</f>
        <v>1097.36</v>
      </c>
      <c r="K5037" s="33" t="n">
        <f aca="false">IF(OR(E5037=0,E5037&gt;=7),0,D5037/(7-E5037)*E5037*INDEX(Products!$E$2:$E$49,MATCH(C5037,Products!$A$2:$A$49,0)))</f>
        <v>0</v>
      </c>
    </row>
    <row r="5038" customFormat="false" ht="15" hidden="false" customHeight="false" outlineLevel="0" collapsed="false">
      <c r="A5038" s="36" t="n">
        <v>46195</v>
      </c>
      <c r="B5038" s="24" t="s">
        <v>65</v>
      </c>
      <c r="C5038" s="24" t="s">
        <v>133</v>
      </c>
      <c r="D5038" s="33" t="n">
        <v>72</v>
      </c>
      <c r="E5038" s="24" t="n">
        <v>0</v>
      </c>
      <c r="F5038" s="37" t="n">
        <f aca="false">DATE(YEAR(A5038),MONTH(A5038),1)</f>
        <v>46174</v>
      </c>
      <c r="G5038" s="24" t="str">
        <f aca="false">INDEX(Products!$C$2:$C$49,MATCH(C5038,Products!$A$2:$A$49,0))</f>
        <v>Dairy &amp; Eggs</v>
      </c>
      <c r="H5038" s="33" t="n">
        <f aca="false">D5038*INDEX(Products!$E$2:$E$49,MATCH(C5038,Products!$A$2:$A$49,0))</f>
        <v>9000</v>
      </c>
      <c r="I5038" s="33" t="n">
        <f aca="false">D5038*INDEX(Products!$D$2:$D$49,MATCH(C5038,Products!$A$2:$A$49,0))*(1+INDEX(Assumptions!$B$16:$B$20,MATCH(B5038,Assumptions!$A$16:$A$20,0)))</f>
        <v>7637.76</v>
      </c>
      <c r="J5038" s="33" t="n">
        <f aca="false">H5038-I5038</f>
        <v>1362.24</v>
      </c>
      <c r="K5038" s="33" t="n">
        <f aca="false">IF(OR(E5038=0,E5038&gt;=7),0,D5038/(7-E5038)*E5038*INDEX(Products!$E$2:$E$49,MATCH(C5038,Products!$A$2:$A$49,0)))</f>
        <v>0</v>
      </c>
    </row>
    <row r="5039" customFormat="false" ht="15" hidden="false" customHeight="false" outlineLevel="0" collapsed="false">
      <c r="A5039" s="36" t="n">
        <v>46202</v>
      </c>
      <c r="B5039" s="24" t="s">
        <v>65</v>
      </c>
      <c r="C5039" s="24" t="s">
        <v>133</v>
      </c>
      <c r="D5039" s="33" t="n">
        <v>65</v>
      </c>
      <c r="E5039" s="24" t="n">
        <v>0</v>
      </c>
      <c r="F5039" s="37" t="n">
        <f aca="false">DATE(YEAR(A5039),MONTH(A5039),1)</f>
        <v>46174</v>
      </c>
      <c r="G5039" s="24" t="str">
        <f aca="false">INDEX(Products!$C$2:$C$49,MATCH(C5039,Products!$A$2:$A$49,0))</f>
        <v>Dairy &amp; Eggs</v>
      </c>
      <c r="H5039" s="33" t="n">
        <f aca="false">D5039*INDEX(Products!$E$2:$E$49,MATCH(C5039,Products!$A$2:$A$49,0))</f>
        <v>8125</v>
      </c>
      <c r="I5039" s="33" t="n">
        <f aca="false">D5039*INDEX(Products!$D$2:$D$49,MATCH(C5039,Products!$A$2:$A$49,0))*(1+INDEX(Assumptions!$B$16:$B$20,MATCH(B5039,Assumptions!$A$16:$A$20,0)))</f>
        <v>6895.2</v>
      </c>
      <c r="J5039" s="33" t="n">
        <f aca="false">H5039-I5039</f>
        <v>1229.8</v>
      </c>
      <c r="K5039" s="33" t="n">
        <f aca="false">IF(OR(E5039=0,E5039&gt;=7),0,D5039/(7-E5039)*E5039*INDEX(Products!$E$2:$E$49,MATCH(C5039,Products!$A$2:$A$49,0)))</f>
        <v>0</v>
      </c>
    </row>
    <row r="5040" customFormat="false" ht="15" hidden="false" customHeight="false" outlineLevel="0" collapsed="false">
      <c r="A5040" s="36" t="n">
        <v>46209</v>
      </c>
      <c r="B5040" s="24" t="s">
        <v>65</v>
      </c>
      <c r="C5040" s="24" t="s">
        <v>133</v>
      </c>
      <c r="D5040" s="33" t="n">
        <v>68</v>
      </c>
      <c r="E5040" s="24" t="n">
        <v>0</v>
      </c>
      <c r="F5040" s="37" t="n">
        <f aca="false">DATE(YEAR(A5040),MONTH(A5040),1)</f>
        <v>46204</v>
      </c>
      <c r="G5040" s="24" t="str">
        <f aca="false">INDEX(Products!$C$2:$C$49,MATCH(C5040,Products!$A$2:$A$49,0))</f>
        <v>Dairy &amp; Eggs</v>
      </c>
      <c r="H5040" s="33" t="n">
        <f aca="false">D5040*INDEX(Products!$E$2:$E$49,MATCH(C5040,Products!$A$2:$A$49,0))</f>
        <v>8500</v>
      </c>
      <c r="I5040" s="33" t="n">
        <f aca="false">D5040*INDEX(Products!$D$2:$D$49,MATCH(C5040,Products!$A$2:$A$49,0))*(1+INDEX(Assumptions!$B$16:$B$20,MATCH(B5040,Assumptions!$A$16:$A$20,0)))</f>
        <v>7213.44</v>
      </c>
      <c r="J5040" s="33" t="n">
        <f aca="false">H5040-I5040</f>
        <v>1286.56</v>
      </c>
      <c r="K5040" s="33" t="n">
        <f aca="false">IF(OR(E5040=0,E5040&gt;=7),0,D5040/(7-E5040)*E5040*INDEX(Products!$E$2:$E$49,MATCH(C5040,Products!$A$2:$A$49,0)))</f>
        <v>0</v>
      </c>
    </row>
    <row r="5041" customFormat="false" ht="15" hidden="false" customHeight="false" outlineLevel="0" collapsed="false">
      <c r="A5041" s="36" t="n">
        <v>46216</v>
      </c>
      <c r="B5041" s="24" t="s">
        <v>65</v>
      </c>
      <c r="C5041" s="24" t="s">
        <v>133</v>
      </c>
      <c r="D5041" s="33" t="n">
        <v>55</v>
      </c>
      <c r="E5041" s="24" t="n">
        <v>0</v>
      </c>
      <c r="F5041" s="37" t="n">
        <f aca="false">DATE(YEAR(A5041),MONTH(A5041),1)</f>
        <v>46204</v>
      </c>
      <c r="G5041" s="24" t="str">
        <f aca="false">INDEX(Products!$C$2:$C$49,MATCH(C5041,Products!$A$2:$A$49,0))</f>
        <v>Dairy &amp; Eggs</v>
      </c>
      <c r="H5041" s="33" t="n">
        <f aca="false">D5041*INDEX(Products!$E$2:$E$49,MATCH(C5041,Products!$A$2:$A$49,0))</f>
        <v>6875</v>
      </c>
      <c r="I5041" s="33" t="n">
        <f aca="false">D5041*INDEX(Products!$D$2:$D$49,MATCH(C5041,Products!$A$2:$A$49,0))*(1+INDEX(Assumptions!$B$16:$B$20,MATCH(B5041,Assumptions!$A$16:$A$20,0)))</f>
        <v>5834.4</v>
      </c>
      <c r="J5041" s="33" t="n">
        <f aca="false">H5041-I5041</f>
        <v>1040.6</v>
      </c>
      <c r="K5041" s="33" t="n">
        <f aca="false">IF(OR(E5041=0,E5041&gt;=7),0,D5041/(7-E5041)*E5041*INDEX(Products!$E$2:$E$49,MATCH(C5041,Products!$A$2:$A$49,0)))</f>
        <v>0</v>
      </c>
    </row>
    <row r="5042" customFormat="false" ht="15" hidden="false" customHeight="false" outlineLevel="0" collapsed="false">
      <c r="A5042" s="36" t="n">
        <v>46223</v>
      </c>
      <c r="B5042" s="24" t="s">
        <v>65</v>
      </c>
      <c r="C5042" s="24" t="s">
        <v>133</v>
      </c>
      <c r="D5042" s="33" t="n">
        <v>65</v>
      </c>
      <c r="E5042" s="24" t="n">
        <v>0</v>
      </c>
      <c r="F5042" s="37" t="n">
        <f aca="false">DATE(YEAR(A5042),MONTH(A5042),1)</f>
        <v>46204</v>
      </c>
      <c r="G5042" s="24" t="str">
        <f aca="false">INDEX(Products!$C$2:$C$49,MATCH(C5042,Products!$A$2:$A$49,0))</f>
        <v>Dairy &amp; Eggs</v>
      </c>
      <c r="H5042" s="33" t="n">
        <f aca="false">D5042*INDEX(Products!$E$2:$E$49,MATCH(C5042,Products!$A$2:$A$49,0))</f>
        <v>8125</v>
      </c>
      <c r="I5042" s="33" t="n">
        <f aca="false">D5042*INDEX(Products!$D$2:$D$49,MATCH(C5042,Products!$A$2:$A$49,0))*(1+INDEX(Assumptions!$B$16:$B$20,MATCH(B5042,Assumptions!$A$16:$A$20,0)))</f>
        <v>6895.2</v>
      </c>
      <c r="J5042" s="33" t="n">
        <f aca="false">H5042-I5042</f>
        <v>1229.8</v>
      </c>
      <c r="K5042" s="33" t="n">
        <f aca="false">IF(OR(E5042=0,E5042&gt;=7),0,D5042/(7-E5042)*E5042*INDEX(Products!$E$2:$E$49,MATCH(C5042,Products!$A$2:$A$49,0)))</f>
        <v>0</v>
      </c>
    </row>
    <row r="5043" customFormat="false" ht="15" hidden="false" customHeight="false" outlineLevel="0" collapsed="false">
      <c r="A5043" s="36" t="n">
        <v>46230</v>
      </c>
      <c r="B5043" s="24" t="s">
        <v>65</v>
      </c>
      <c r="C5043" s="24" t="s">
        <v>133</v>
      </c>
      <c r="D5043" s="33" t="n">
        <v>69</v>
      </c>
      <c r="E5043" s="24" t="n">
        <v>0</v>
      </c>
      <c r="F5043" s="37" t="n">
        <f aca="false">DATE(YEAR(A5043),MONTH(A5043),1)</f>
        <v>46204</v>
      </c>
      <c r="G5043" s="24" t="str">
        <f aca="false">INDEX(Products!$C$2:$C$49,MATCH(C5043,Products!$A$2:$A$49,0))</f>
        <v>Dairy &amp; Eggs</v>
      </c>
      <c r="H5043" s="33" t="n">
        <f aca="false">D5043*INDEX(Products!$E$2:$E$49,MATCH(C5043,Products!$A$2:$A$49,0))</f>
        <v>8625</v>
      </c>
      <c r="I5043" s="33" t="n">
        <f aca="false">D5043*INDEX(Products!$D$2:$D$49,MATCH(C5043,Products!$A$2:$A$49,0))*(1+INDEX(Assumptions!$B$16:$B$20,MATCH(B5043,Assumptions!$A$16:$A$20,0)))</f>
        <v>7319.52</v>
      </c>
      <c r="J5043" s="33" t="n">
        <f aca="false">H5043-I5043</f>
        <v>1305.48</v>
      </c>
      <c r="K5043" s="33" t="n">
        <f aca="false">IF(OR(E5043=0,E5043&gt;=7),0,D5043/(7-E5043)*E5043*INDEX(Products!$E$2:$E$49,MATCH(C5043,Products!$A$2:$A$49,0)))</f>
        <v>0</v>
      </c>
    </row>
    <row r="5044" customFormat="false" ht="15" hidden="false" customHeight="false" outlineLevel="0" collapsed="false">
      <c r="A5044" s="36" t="n">
        <v>46237</v>
      </c>
      <c r="B5044" s="24" t="s">
        <v>65</v>
      </c>
      <c r="C5044" s="24" t="s">
        <v>133</v>
      </c>
      <c r="D5044" s="33" t="n">
        <v>72</v>
      </c>
      <c r="E5044" s="24" t="n">
        <v>0</v>
      </c>
      <c r="F5044" s="37" t="n">
        <f aca="false">DATE(YEAR(A5044),MONTH(A5044),1)</f>
        <v>46235</v>
      </c>
      <c r="G5044" s="24" t="str">
        <f aca="false">INDEX(Products!$C$2:$C$49,MATCH(C5044,Products!$A$2:$A$49,0))</f>
        <v>Dairy &amp; Eggs</v>
      </c>
      <c r="H5044" s="33" t="n">
        <f aca="false">D5044*INDEX(Products!$E$2:$E$49,MATCH(C5044,Products!$A$2:$A$49,0))</f>
        <v>9000</v>
      </c>
      <c r="I5044" s="33" t="n">
        <f aca="false">D5044*INDEX(Products!$D$2:$D$49,MATCH(C5044,Products!$A$2:$A$49,0))*(1+INDEX(Assumptions!$B$16:$B$20,MATCH(B5044,Assumptions!$A$16:$A$20,0)))</f>
        <v>7637.76</v>
      </c>
      <c r="J5044" s="33" t="n">
        <f aca="false">H5044-I5044</f>
        <v>1362.24</v>
      </c>
      <c r="K5044" s="33" t="n">
        <f aca="false">IF(OR(E5044=0,E5044&gt;=7),0,D5044/(7-E5044)*E5044*INDEX(Products!$E$2:$E$49,MATCH(C5044,Products!$A$2:$A$49,0)))</f>
        <v>0</v>
      </c>
    </row>
    <row r="5045" customFormat="false" ht="15" hidden="false" customHeight="false" outlineLevel="0" collapsed="false">
      <c r="A5045" s="36" t="n">
        <v>46244</v>
      </c>
      <c r="B5045" s="24" t="s">
        <v>65</v>
      </c>
      <c r="C5045" s="24" t="s">
        <v>133</v>
      </c>
      <c r="D5045" s="33" t="n">
        <v>68</v>
      </c>
      <c r="E5045" s="24" t="n">
        <v>0</v>
      </c>
      <c r="F5045" s="37" t="n">
        <f aca="false">DATE(YEAR(A5045),MONTH(A5045),1)</f>
        <v>46235</v>
      </c>
      <c r="G5045" s="24" t="str">
        <f aca="false">INDEX(Products!$C$2:$C$49,MATCH(C5045,Products!$A$2:$A$49,0))</f>
        <v>Dairy &amp; Eggs</v>
      </c>
      <c r="H5045" s="33" t="n">
        <f aca="false">D5045*INDEX(Products!$E$2:$E$49,MATCH(C5045,Products!$A$2:$A$49,0))</f>
        <v>8500</v>
      </c>
      <c r="I5045" s="33" t="n">
        <f aca="false">D5045*INDEX(Products!$D$2:$D$49,MATCH(C5045,Products!$A$2:$A$49,0))*(1+INDEX(Assumptions!$B$16:$B$20,MATCH(B5045,Assumptions!$A$16:$A$20,0)))</f>
        <v>7213.44</v>
      </c>
      <c r="J5045" s="33" t="n">
        <f aca="false">H5045-I5045</f>
        <v>1286.56</v>
      </c>
      <c r="K5045" s="33" t="n">
        <f aca="false">IF(OR(E5045=0,E5045&gt;=7),0,D5045/(7-E5045)*E5045*INDEX(Products!$E$2:$E$49,MATCH(C5045,Products!$A$2:$A$49,0)))</f>
        <v>0</v>
      </c>
    </row>
    <row r="5046" customFormat="false" ht="15" hidden="false" customHeight="false" outlineLevel="0" collapsed="false">
      <c r="A5046" s="36" t="n">
        <v>46251</v>
      </c>
      <c r="B5046" s="24" t="s">
        <v>65</v>
      </c>
      <c r="C5046" s="24" t="s">
        <v>133</v>
      </c>
      <c r="D5046" s="33" t="n">
        <v>64</v>
      </c>
      <c r="E5046" s="24" t="n">
        <v>0</v>
      </c>
      <c r="F5046" s="37" t="n">
        <f aca="false">DATE(YEAR(A5046),MONTH(A5046),1)</f>
        <v>46235</v>
      </c>
      <c r="G5046" s="24" t="str">
        <f aca="false">INDEX(Products!$C$2:$C$49,MATCH(C5046,Products!$A$2:$A$49,0))</f>
        <v>Dairy &amp; Eggs</v>
      </c>
      <c r="H5046" s="33" t="n">
        <f aca="false">D5046*INDEX(Products!$E$2:$E$49,MATCH(C5046,Products!$A$2:$A$49,0))</f>
        <v>8000</v>
      </c>
      <c r="I5046" s="33" t="n">
        <f aca="false">D5046*INDEX(Products!$D$2:$D$49,MATCH(C5046,Products!$A$2:$A$49,0))*(1+INDEX(Assumptions!$B$16:$B$20,MATCH(B5046,Assumptions!$A$16:$A$20,0)))</f>
        <v>6789.12</v>
      </c>
      <c r="J5046" s="33" t="n">
        <f aca="false">H5046-I5046</f>
        <v>1210.88</v>
      </c>
      <c r="K5046" s="33" t="n">
        <f aca="false">IF(OR(E5046=0,E5046&gt;=7),0,D5046/(7-E5046)*E5046*INDEX(Products!$E$2:$E$49,MATCH(C5046,Products!$A$2:$A$49,0)))</f>
        <v>0</v>
      </c>
    </row>
    <row r="5047" customFormat="false" ht="15" hidden="false" customHeight="false" outlineLevel="0" collapsed="false">
      <c r="A5047" s="36" t="n">
        <v>46258</v>
      </c>
      <c r="B5047" s="24" t="s">
        <v>65</v>
      </c>
      <c r="C5047" s="24" t="s">
        <v>133</v>
      </c>
      <c r="D5047" s="33" t="n">
        <v>67</v>
      </c>
      <c r="E5047" s="24" t="n">
        <v>0</v>
      </c>
      <c r="F5047" s="37" t="n">
        <f aca="false">DATE(YEAR(A5047),MONTH(A5047),1)</f>
        <v>46235</v>
      </c>
      <c r="G5047" s="24" t="str">
        <f aca="false">INDEX(Products!$C$2:$C$49,MATCH(C5047,Products!$A$2:$A$49,0))</f>
        <v>Dairy &amp; Eggs</v>
      </c>
      <c r="H5047" s="33" t="n">
        <f aca="false">D5047*INDEX(Products!$E$2:$E$49,MATCH(C5047,Products!$A$2:$A$49,0))</f>
        <v>8375</v>
      </c>
      <c r="I5047" s="33" t="n">
        <f aca="false">D5047*INDEX(Products!$D$2:$D$49,MATCH(C5047,Products!$A$2:$A$49,0))*(1+INDEX(Assumptions!$B$16:$B$20,MATCH(B5047,Assumptions!$A$16:$A$20,0)))</f>
        <v>7107.36</v>
      </c>
      <c r="J5047" s="33" t="n">
        <f aca="false">H5047-I5047</f>
        <v>1267.64</v>
      </c>
      <c r="K5047" s="33" t="n">
        <f aca="false">IF(OR(E5047=0,E5047&gt;=7),0,D5047/(7-E5047)*E5047*INDEX(Products!$E$2:$E$49,MATCH(C5047,Products!$A$2:$A$49,0)))</f>
        <v>0</v>
      </c>
    </row>
    <row r="5048" customFormat="false" ht="15" hidden="false" customHeight="false" outlineLevel="0" collapsed="false">
      <c r="A5048" s="36" t="n">
        <v>46265</v>
      </c>
      <c r="B5048" s="24" t="s">
        <v>65</v>
      </c>
      <c r="C5048" s="24" t="s">
        <v>133</v>
      </c>
      <c r="D5048" s="33" t="n">
        <v>72</v>
      </c>
      <c r="E5048" s="24" t="n">
        <v>0</v>
      </c>
      <c r="F5048" s="37" t="n">
        <f aca="false">DATE(YEAR(A5048),MONTH(A5048),1)</f>
        <v>46235</v>
      </c>
      <c r="G5048" s="24" t="str">
        <f aca="false">INDEX(Products!$C$2:$C$49,MATCH(C5048,Products!$A$2:$A$49,0))</f>
        <v>Dairy &amp; Eggs</v>
      </c>
      <c r="H5048" s="33" t="n">
        <f aca="false">D5048*INDEX(Products!$E$2:$E$49,MATCH(C5048,Products!$A$2:$A$49,0))</f>
        <v>9000</v>
      </c>
      <c r="I5048" s="33" t="n">
        <f aca="false">D5048*INDEX(Products!$D$2:$D$49,MATCH(C5048,Products!$A$2:$A$49,0))*(1+INDEX(Assumptions!$B$16:$B$20,MATCH(B5048,Assumptions!$A$16:$A$20,0)))</f>
        <v>7637.76</v>
      </c>
      <c r="J5048" s="33" t="n">
        <f aca="false">H5048-I5048</f>
        <v>1362.24</v>
      </c>
      <c r="K5048" s="33" t="n">
        <f aca="false">IF(OR(E5048=0,E5048&gt;=7),0,D5048/(7-E5048)*E5048*INDEX(Products!$E$2:$E$49,MATCH(C5048,Products!$A$2:$A$49,0)))</f>
        <v>0</v>
      </c>
    </row>
    <row r="5049" customFormat="false" ht="15" hidden="false" customHeight="false" outlineLevel="0" collapsed="false">
      <c r="A5049" s="36" t="n">
        <v>46272</v>
      </c>
      <c r="B5049" s="24" t="s">
        <v>65</v>
      </c>
      <c r="C5049" s="24" t="s">
        <v>133</v>
      </c>
      <c r="D5049" s="33" t="n">
        <v>58</v>
      </c>
      <c r="E5049" s="24" t="n">
        <v>0</v>
      </c>
      <c r="F5049" s="37" t="n">
        <f aca="false">DATE(YEAR(A5049),MONTH(A5049),1)</f>
        <v>46266</v>
      </c>
      <c r="G5049" s="24" t="str">
        <f aca="false">INDEX(Products!$C$2:$C$49,MATCH(C5049,Products!$A$2:$A$49,0))</f>
        <v>Dairy &amp; Eggs</v>
      </c>
      <c r="H5049" s="33" t="n">
        <f aca="false">D5049*INDEX(Products!$E$2:$E$49,MATCH(C5049,Products!$A$2:$A$49,0))</f>
        <v>7250</v>
      </c>
      <c r="I5049" s="33" t="n">
        <f aca="false">D5049*INDEX(Products!$D$2:$D$49,MATCH(C5049,Products!$A$2:$A$49,0))*(1+INDEX(Assumptions!$B$16:$B$20,MATCH(B5049,Assumptions!$A$16:$A$20,0)))</f>
        <v>6152.64</v>
      </c>
      <c r="J5049" s="33" t="n">
        <f aca="false">H5049-I5049</f>
        <v>1097.36</v>
      </c>
      <c r="K5049" s="33" t="n">
        <f aca="false">IF(OR(E5049=0,E5049&gt;=7),0,D5049/(7-E5049)*E5049*INDEX(Products!$E$2:$E$49,MATCH(C5049,Products!$A$2:$A$49,0)))</f>
        <v>0</v>
      </c>
    </row>
    <row r="5050" customFormat="false" ht="15" hidden="false" customHeight="false" outlineLevel="0" collapsed="false">
      <c r="A5050" s="36" t="n">
        <v>46279</v>
      </c>
      <c r="B5050" s="24" t="s">
        <v>65</v>
      </c>
      <c r="C5050" s="24" t="s">
        <v>133</v>
      </c>
      <c r="D5050" s="33" t="n">
        <v>84</v>
      </c>
      <c r="E5050" s="24" t="n">
        <v>0</v>
      </c>
      <c r="F5050" s="37" t="n">
        <f aca="false">DATE(YEAR(A5050),MONTH(A5050),1)</f>
        <v>46266</v>
      </c>
      <c r="G5050" s="24" t="str">
        <f aca="false">INDEX(Products!$C$2:$C$49,MATCH(C5050,Products!$A$2:$A$49,0))</f>
        <v>Dairy &amp; Eggs</v>
      </c>
      <c r="H5050" s="33" t="n">
        <f aca="false">D5050*INDEX(Products!$E$2:$E$49,MATCH(C5050,Products!$A$2:$A$49,0))</f>
        <v>10500</v>
      </c>
      <c r="I5050" s="33" t="n">
        <f aca="false">D5050*INDEX(Products!$D$2:$D$49,MATCH(C5050,Products!$A$2:$A$49,0))*(1+INDEX(Assumptions!$B$16:$B$20,MATCH(B5050,Assumptions!$A$16:$A$20,0)))</f>
        <v>8910.72</v>
      </c>
      <c r="J5050" s="33" t="n">
        <f aca="false">H5050-I5050</f>
        <v>1589.28</v>
      </c>
      <c r="K5050" s="33" t="n">
        <f aca="false">IF(OR(E5050=0,E5050&gt;=7),0,D5050/(7-E5050)*E5050*INDEX(Products!$E$2:$E$49,MATCH(C5050,Products!$A$2:$A$49,0)))</f>
        <v>0</v>
      </c>
    </row>
    <row r="5051" customFormat="false" ht="15" hidden="false" customHeight="false" outlineLevel="0" collapsed="false">
      <c r="A5051" s="36" t="n">
        <v>46286</v>
      </c>
      <c r="B5051" s="24" t="s">
        <v>65</v>
      </c>
      <c r="C5051" s="24" t="s">
        <v>133</v>
      </c>
      <c r="D5051" s="33" t="n">
        <v>74</v>
      </c>
      <c r="E5051" s="24" t="n">
        <v>0</v>
      </c>
      <c r="F5051" s="37" t="n">
        <f aca="false">DATE(YEAR(A5051),MONTH(A5051),1)</f>
        <v>46266</v>
      </c>
      <c r="G5051" s="24" t="str">
        <f aca="false">INDEX(Products!$C$2:$C$49,MATCH(C5051,Products!$A$2:$A$49,0))</f>
        <v>Dairy &amp; Eggs</v>
      </c>
      <c r="H5051" s="33" t="n">
        <f aca="false">D5051*INDEX(Products!$E$2:$E$49,MATCH(C5051,Products!$A$2:$A$49,0))</f>
        <v>9250</v>
      </c>
      <c r="I5051" s="33" t="n">
        <f aca="false">D5051*INDEX(Products!$D$2:$D$49,MATCH(C5051,Products!$A$2:$A$49,0))*(1+INDEX(Assumptions!$B$16:$B$20,MATCH(B5051,Assumptions!$A$16:$A$20,0)))</f>
        <v>7849.92</v>
      </c>
      <c r="J5051" s="33" t="n">
        <f aca="false">H5051-I5051</f>
        <v>1400.08</v>
      </c>
      <c r="K5051" s="33" t="n">
        <f aca="false">IF(OR(E5051=0,E5051&gt;=7),0,D5051/(7-E5051)*E5051*INDEX(Products!$E$2:$E$49,MATCH(C5051,Products!$A$2:$A$49,0)))</f>
        <v>0</v>
      </c>
    </row>
    <row r="5052" customFormat="false" ht="15" hidden="false" customHeight="false" outlineLevel="0" collapsed="false">
      <c r="A5052" s="36" t="n">
        <v>46118</v>
      </c>
      <c r="B5052" s="24" t="s">
        <v>65</v>
      </c>
      <c r="C5052" s="24" t="s">
        <v>135</v>
      </c>
      <c r="D5052" s="33" t="n">
        <v>35</v>
      </c>
      <c r="E5052" s="24" t="n">
        <v>0</v>
      </c>
      <c r="F5052" s="37" t="n">
        <f aca="false">DATE(YEAR(A5052),MONTH(A5052),1)</f>
        <v>46113</v>
      </c>
      <c r="G5052" s="24" t="str">
        <f aca="false">INDEX(Products!$C$2:$C$49,MATCH(C5052,Products!$A$2:$A$49,0))</f>
        <v>Dairy &amp; Eggs</v>
      </c>
      <c r="H5052" s="33" t="n">
        <f aca="false">D5052*INDEX(Products!$E$2:$E$49,MATCH(C5052,Products!$A$2:$A$49,0))</f>
        <v>4550</v>
      </c>
      <c r="I5052" s="33" t="n">
        <f aca="false">D5052*INDEX(Products!$D$2:$D$49,MATCH(C5052,Products!$A$2:$A$49,0))*(1+INDEX(Assumptions!$B$16:$B$20,MATCH(B5052,Assumptions!$A$16:$A$20,0)))</f>
        <v>3927</v>
      </c>
      <c r="J5052" s="33" t="n">
        <f aca="false">H5052-I5052</f>
        <v>623</v>
      </c>
      <c r="K5052" s="33" t="n">
        <f aca="false">IF(OR(E5052=0,E5052&gt;=7),0,D5052/(7-E5052)*E5052*INDEX(Products!$E$2:$E$49,MATCH(C5052,Products!$A$2:$A$49,0)))</f>
        <v>0</v>
      </c>
    </row>
    <row r="5053" customFormat="false" ht="15" hidden="false" customHeight="false" outlineLevel="0" collapsed="false">
      <c r="A5053" s="36" t="n">
        <v>46125</v>
      </c>
      <c r="B5053" s="24" t="s">
        <v>65</v>
      </c>
      <c r="C5053" s="24" t="s">
        <v>135</v>
      </c>
      <c r="D5053" s="33" t="n">
        <v>36</v>
      </c>
      <c r="E5053" s="24" t="n">
        <v>0</v>
      </c>
      <c r="F5053" s="37" t="n">
        <f aca="false">DATE(YEAR(A5053),MONTH(A5053),1)</f>
        <v>46113</v>
      </c>
      <c r="G5053" s="24" t="str">
        <f aca="false">INDEX(Products!$C$2:$C$49,MATCH(C5053,Products!$A$2:$A$49,0))</f>
        <v>Dairy &amp; Eggs</v>
      </c>
      <c r="H5053" s="33" t="n">
        <f aca="false">D5053*INDEX(Products!$E$2:$E$49,MATCH(C5053,Products!$A$2:$A$49,0))</f>
        <v>4680</v>
      </c>
      <c r="I5053" s="33" t="n">
        <f aca="false">D5053*INDEX(Products!$D$2:$D$49,MATCH(C5053,Products!$A$2:$A$49,0))*(1+INDEX(Assumptions!$B$16:$B$20,MATCH(B5053,Assumptions!$A$16:$A$20,0)))</f>
        <v>4039.2</v>
      </c>
      <c r="J5053" s="33" t="n">
        <f aca="false">H5053-I5053</f>
        <v>640.8</v>
      </c>
      <c r="K5053" s="33" t="n">
        <f aca="false">IF(OR(E5053=0,E5053&gt;=7),0,D5053/(7-E5053)*E5053*INDEX(Products!$E$2:$E$49,MATCH(C5053,Products!$A$2:$A$49,0)))</f>
        <v>0</v>
      </c>
    </row>
    <row r="5054" customFormat="false" ht="15" hidden="false" customHeight="false" outlineLevel="0" collapsed="false">
      <c r="A5054" s="36" t="n">
        <v>46132</v>
      </c>
      <c r="B5054" s="24" t="s">
        <v>65</v>
      </c>
      <c r="C5054" s="24" t="s">
        <v>135</v>
      </c>
      <c r="D5054" s="33" t="n">
        <v>39</v>
      </c>
      <c r="E5054" s="24" t="n">
        <v>0</v>
      </c>
      <c r="F5054" s="37" t="n">
        <f aca="false">DATE(YEAR(A5054),MONTH(A5054),1)</f>
        <v>46113</v>
      </c>
      <c r="G5054" s="24" t="str">
        <f aca="false">INDEX(Products!$C$2:$C$49,MATCH(C5054,Products!$A$2:$A$49,0))</f>
        <v>Dairy &amp; Eggs</v>
      </c>
      <c r="H5054" s="33" t="n">
        <f aca="false">D5054*INDEX(Products!$E$2:$E$49,MATCH(C5054,Products!$A$2:$A$49,0))</f>
        <v>5070</v>
      </c>
      <c r="I5054" s="33" t="n">
        <f aca="false">D5054*INDEX(Products!$D$2:$D$49,MATCH(C5054,Products!$A$2:$A$49,0))*(1+INDEX(Assumptions!$B$16:$B$20,MATCH(B5054,Assumptions!$A$16:$A$20,0)))</f>
        <v>4375.8</v>
      </c>
      <c r="J5054" s="33" t="n">
        <f aca="false">H5054-I5054</f>
        <v>694.2</v>
      </c>
      <c r="K5054" s="33" t="n">
        <f aca="false">IF(OR(E5054=0,E5054&gt;=7),0,D5054/(7-E5054)*E5054*INDEX(Products!$E$2:$E$49,MATCH(C5054,Products!$A$2:$A$49,0)))</f>
        <v>0</v>
      </c>
    </row>
    <row r="5055" customFormat="false" ht="15" hidden="false" customHeight="false" outlineLevel="0" collapsed="false">
      <c r="A5055" s="36" t="n">
        <v>46139</v>
      </c>
      <c r="B5055" s="24" t="s">
        <v>65</v>
      </c>
      <c r="C5055" s="24" t="s">
        <v>135</v>
      </c>
      <c r="D5055" s="33" t="n">
        <v>51</v>
      </c>
      <c r="E5055" s="24" t="n">
        <v>0</v>
      </c>
      <c r="F5055" s="37" t="n">
        <f aca="false">DATE(YEAR(A5055),MONTH(A5055),1)</f>
        <v>46113</v>
      </c>
      <c r="G5055" s="24" t="str">
        <f aca="false">INDEX(Products!$C$2:$C$49,MATCH(C5055,Products!$A$2:$A$49,0))</f>
        <v>Dairy &amp; Eggs</v>
      </c>
      <c r="H5055" s="33" t="n">
        <f aca="false">D5055*INDEX(Products!$E$2:$E$49,MATCH(C5055,Products!$A$2:$A$49,0))</f>
        <v>6630</v>
      </c>
      <c r="I5055" s="33" t="n">
        <f aca="false">D5055*INDEX(Products!$D$2:$D$49,MATCH(C5055,Products!$A$2:$A$49,0))*(1+INDEX(Assumptions!$B$16:$B$20,MATCH(B5055,Assumptions!$A$16:$A$20,0)))</f>
        <v>5722.2</v>
      </c>
      <c r="J5055" s="33" t="n">
        <f aca="false">H5055-I5055</f>
        <v>907.8</v>
      </c>
      <c r="K5055" s="33" t="n">
        <f aca="false">IF(OR(E5055=0,E5055&gt;=7),0,D5055/(7-E5055)*E5055*INDEX(Products!$E$2:$E$49,MATCH(C5055,Products!$A$2:$A$49,0)))</f>
        <v>0</v>
      </c>
    </row>
    <row r="5056" customFormat="false" ht="15" hidden="false" customHeight="false" outlineLevel="0" collapsed="false">
      <c r="A5056" s="36" t="n">
        <v>46146</v>
      </c>
      <c r="B5056" s="24" t="s">
        <v>65</v>
      </c>
      <c r="C5056" s="24" t="s">
        <v>135</v>
      </c>
      <c r="D5056" s="33" t="n">
        <v>45</v>
      </c>
      <c r="E5056" s="24" t="n">
        <v>0</v>
      </c>
      <c r="F5056" s="37" t="n">
        <f aca="false">DATE(YEAR(A5056),MONTH(A5056),1)</f>
        <v>46143</v>
      </c>
      <c r="G5056" s="24" t="str">
        <f aca="false">INDEX(Products!$C$2:$C$49,MATCH(C5056,Products!$A$2:$A$49,0))</f>
        <v>Dairy &amp; Eggs</v>
      </c>
      <c r="H5056" s="33" t="n">
        <f aca="false">D5056*INDEX(Products!$E$2:$E$49,MATCH(C5056,Products!$A$2:$A$49,0))</f>
        <v>5850</v>
      </c>
      <c r="I5056" s="33" t="n">
        <f aca="false">D5056*INDEX(Products!$D$2:$D$49,MATCH(C5056,Products!$A$2:$A$49,0))*(1+INDEX(Assumptions!$B$16:$B$20,MATCH(B5056,Assumptions!$A$16:$A$20,0)))</f>
        <v>5049</v>
      </c>
      <c r="J5056" s="33" t="n">
        <f aca="false">H5056-I5056</f>
        <v>801</v>
      </c>
      <c r="K5056" s="33" t="n">
        <f aca="false">IF(OR(E5056=0,E5056&gt;=7),0,D5056/(7-E5056)*E5056*INDEX(Products!$E$2:$E$49,MATCH(C5056,Products!$A$2:$A$49,0)))</f>
        <v>0</v>
      </c>
    </row>
    <row r="5057" customFormat="false" ht="15" hidden="false" customHeight="false" outlineLevel="0" collapsed="false">
      <c r="A5057" s="36" t="n">
        <v>46153</v>
      </c>
      <c r="B5057" s="24" t="s">
        <v>65</v>
      </c>
      <c r="C5057" s="24" t="s">
        <v>135</v>
      </c>
      <c r="D5057" s="33" t="n">
        <v>44</v>
      </c>
      <c r="E5057" s="24" t="n">
        <v>0</v>
      </c>
      <c r="F5057" s="37" t="n">
        <f aca="false">DATE(YEAR(A5057),MONTH(A5057),1)</f>
        <v>46143</v>
      </c>
      <c r="G5057" s="24" t="str">
        <f aca="false">INDEX(Products!$C$2:$C$49,MATCH(C5057,Products!$A$2:$A$49,0))</f>
        <v>Dairy &amp; Eggs</v>
      </c>
      <c r="H5057" s="33" t="n">
        <f aca="false">D5057*INDEX(Products!$E$2:$E$49,MATCH(C5057,Products!$A$2:$A$49,0))</f>
        <v>5720</v>
      </c>
      <c r="I5057" s="33" t="n">
        <f aca="false">D5057*INDEX(Products!$D$2:$D$49,MATCH(C5057,Products!$A$2:$A$49,0))*(1+INDEX(Assumptions!$B$16:$B$20,MATCH(B5057,Assumptions!$A$16:$A$20,0)))</f>
        <v>4936.8</v>
      </c>
      <c r="J5057" s="33" t="n">
        <f aca="false">H5057-I5057</f>
        <v>783.2</v>
      </c>
      <c r="K5057" s="33" t="n">
        <f aca="false">IF(OR(E5057=0,E5057&gt;=7),0,D5057/(7-E5057)*E5057*INDEX(Products!$E$2:$E$49,MATCH(C5057,Products!$A$2:$A$49,0)))</f>
        <v>0</v>
      </c>
    </row>
    <row r="5058" customFormat="false" ht="15" hidden="false" customHeight="false" outlineLevel="0" collapsed="false">
      <c r="A5058" s="36" t="n">
        <v>46160</v>
      </c>
      <c r="B5058" s="24" t="s">
        <v>65</v>
      </c>
      <c r="C5058" s="24" t="s">
        <v>135</v>
      </c>
      <c r="D5058" s="33" t="n">
        <v>38</v>
      </c>
      <c r="E5058" s="24" t="n">
        <v>0</v>
      </c>
      <c r="F5058" s="37" t="n">
        <f aca="false">DATE(YEAR(A5058),MONTH(A5058),1)</f>
        <v>46143</v>
      </c>
      <c r="G5058" s="24" t="str">
        <f aca="false">INDEX(Products!$C$2:$C$49,MATCH(C5058,Products!$A$2:$A$49,0))</f>
        <v>Dairy &amp; Eggs</v>
      </c>
      <c r="H5058" s="33" t="n">
        <f aca="false">D5058*INDEX(Products!$E$2:$E$49,MATCH(C5058,Products!$A$2:$A$49,0))</f>
        <v>4940</v>
      </c>
      <c r="I5058" s="33" t="n">
        <f aca="false">D5058*INDEX(Products!$D$2:$D$49,MATCH(C5058,Products!$A$2:$A$49,0))*(1+INDEX(Assumptions!$B$16:$B$20,MATCH(B5058,Assumptions!$A$16:$A$20,0)))</f>
        <v>4263.6</v>
      </c>
      <c r="J5058" s="33" t="n">
        <f aca="false">H5058-I5058</f>
        <v>676.4</v>
      </c>
      <c r="K5058" s="33" t="n">
        <f aca="false">IF(OR(E5058=0,E5058&gt;=7),0,D5058/(7-E5058)*E5058*INDEX(Products!$E$2:$E$49,MATCH(C5058,Products!$A$2:$A$49,0)))</f>
        <v>0</v>
      </c>
    </row>
    <row r="5059" customFormat="false" ht="15" hidden="false" customHeight="false" outlineLevel="0" collapsed="false">
      <c r="A5059" s="36" t="n">
        <v>46167</v>
      </c>
      <c r="B5059" s="24" t="s">
        <v>65</v>
      </c>
      <c r="C5059" s="24" t="s">
        <v>135</v>
      </c>
      <c r="D5059" s="33" t="n">
        <v>48</v>
      </c>
      <c r="E5059" s="24" t="n">
        <v>0</v>
      </c>
      <c r="F5059" s="37" t="n">
        <f aca="false">DATE(YEAR(A5059),MONTH(A5059),1)</f>
        <v>46143</v>
      </c>
      <c r="G5059" s="24" t="str">
        <f aca="false">INDEX(Products!$C$2:$C$49,MATCH(C5059,Products!$A$2:$A$49,0))</f>
        <v>Dairy &amp; Eggs</v>
      </c>
      <c r="H5059" s="33" t="n">
        <f aca="false">D5059*INDEX(Products!$E$2:$E$49,MATCH(C5059,Products!$A$2:$A$49,0))</f>
        <v>6240</v>
      </c>
      <c r="I5059" s="33" t="n">
        <f aca="false">D5059*INDEX(Products!$D$2:$D$49,MATCH(C5059,Products!$A$2:$A$49,0))*(1+INDEX(Assumptions!$B$16:$B$20,MATCH(B5059,Assumptions!$A$16:$A$20,0)))</f>
        <v>5385.6</v>
      </c>
      <c r="J5059" s="33" t="n">
        <f aca="false">H5059-I5059</f>
        <v>854.4</v>
      </c>
      <c r="K5059" s="33" t="n">
        <f aca="false">IF(OR(E5059=0,E5059&gt;=7),0,D5059/(7-E5059)*E5059*INDEX(Products!$E$2:$E$49,MATCH(C5059,Products!$A$2:$A$49,0)))</f>
        <v>0</v>
      </c>
    </row>
    <row r="5060" customFormat="false" ht="15" hidden="false" customHeight="false" outlineLevel="0" collapsed="false">
      <c r="A5060" s="36" t="n">
        <v>46174</v>
      </c>
      <c r="B5060" s="24" t="s">
        <v>65</v>
      </c>
      <c r="C5060" s="24" t="s">
        <v>135</v>
      </c>
      <c r="D5060" s="33" t="n">
        <v>49</v>
      </c>
      <c r="E5060" s="24" t="n">
        <v>0</v>
      </c>
      <c r="F5060" s="37" t="n">
        <f aca="false">DATE(YEAR(A5060),MONTH(A5060),1)</f>
        <v>46174</v>
      </c>
      <c r="G5060" s="24" t="str">
        <f aca="false">INDEX(Products!$C$2:$C$49,MATCH(C5060,Products!$A$2:$A$49,0))</f>
        <v>Dairy &amp; Eggs</v>
      </c>
      <c r="H5060" s="33" t="n">
        <f aca="false">D5060*INDEX(Products!$E$2:$E$49,MATCH(C5060,Products!$A$2:$A$49,0))</f>
        <v>6370</v>
      </c>
      <c r="I5060" s="33" t="n">
        <f aca="false">D5060*INDEX(Products!$D$2:$D$49,MATCH(C5060,Products!$A$2:$A$49,0))*(1+INDEX(Assumptions!$B$16:$B$20,MATCH(B5060,Assumptions!$A$16:$A$20,0)))</f>
        <v>5497.8</v>
      </c>
      <c r="J5060" s="33" t="n">
        <f aca="false">H5060-I5060</f>
        <v>872.2</v>
      </c>
      <c r="K5060" s="33" t="n">
        <f aca="false">IF(OR(E5060=0,E5060&gt;=7),0,D5060/(7-E5060)*E5060*INDEX(Products!$E$2:$E$49,MATCH(C5060,Products!$A$2:$A$49,0)))</f>
        <v>0</v>
      </c>
    </row>
    <row r="5061" customFormat="false" ht="15" hidden="false" customHeight="false" outlineLevel="0" collapsed="false">
      <c r="A5061" s="36" t="n">
        <v>46181</v>
      </c>
      <c r="B5061" s="24" t="s">
        <v>65</v>
      </c>
      <c r="C5061" s="24" t="s">
        <v>135</v>
      </c>
      <c r="D5061" s="33" t="n">
        <v>41</v>
      </c>
      <c r="E5061" s="24" t="n">
        <v>0</v>
      </c>
      <c r="F5061" s="37" t="n">
        <f aca="false">DATE(YEAR(A5061),MONTH(A5061),1)</f>
        <v>46174</v>
      </c>
      <c r="G5061" s="24" t="str">
        <f aca="false">INDEX(Products!$C$2:$C$49,MATCH(C5061,Products!$A$2:$A$49,0))</f>
        <v>Dairy &amp; Eggs</v>
      </c>
      <c r="H5061" s="33" t="n">
        <f aca="false">D5061*INDEX(Products!$E$2:$E$49,MATCH(C5061,Products!$A$2:$A$49,0))</f>
        <v>5330</v>
      </c>
      <c r="I5061" s="33" t="n">
        <f aca="false">D5061*INDEX(Products!$D$2:$D$49,MATCH(C5061,Products!$A$2:$A$49,0))*(1+INDEX(Assumptions!$B$16:$B$20,MATCH(B5061,Assumptions!$A$16:$A$20,0)))</f>
        <v>4600.2</v>
      </c>
      <c r="J5061" s="33" t="n">
        <f aca="false">H5061-I5061</f>
        <v>729.8</v>
      </c>
      <c r="K5061" s="33" t="n">
        <f aca="false">IF(OR(E5061=0,E5061&gt;=7),0,D5061/(7-E5061)*E5061*INDEX(Products!$E$2:$E$49,MATCH(C5061,Products!$A$2:$A$49,0)))</f>
        <v>0</v>
      </c>
    </row>
    <row r="5062" customFormat="false" ht="15" hidden="false" customHeight="false" outlineLevel="0" collapsed="false">
      <c r="A5062" s="36" t="n">
        <v>46188</v>
      </c>
      <c r="B5062" s="24" t="s">
        <v>65</v>
      </c>
      <c r="C5062" s="24" t="s">
        <v>135</v>
      </c>
      <c r="D5062" s="33" t="n">
        <v>29</v>
      </c>
      <c r="E5062" s="24" t="n">
        <v>0</v>
      </c>
      <c r="F5062" s="37" t="n">
        <f aca="false">DATE(YEAR(A5062),MONTH(A5062),1)</f>
        <v>46174</v>
      </c>
      <c r="G5062" s="24" t="str">
        <f aca="false">INDEX(Products!$C$2:$C$49,MATCH(C5062,Products!$A$2:$A$49,0))</f>
        <v>Dairy &amp; Eggs</v>
      </c>
      <c r="H5062" s="33" t="n">
        <f aca="false">D5062*INDEX(Products!$E$2:$E$49,MATCH(C5062,Products!$A$2:$A$49,0))</f>
        <v>3770</v>
      </c>
      <c r="I5062" s="33" t="n">
        <f aca="false">D5062*INDEX(Products!$D$2:$D$49,MATCH(C5062,Products!$A$2:$A$49,0))*(1+INDEX(Assumptions!$B$16:$B$20,MATCH(B5062,Assumptions!$A$16:$A$20,0)))</f>
        <v>3253.8</v>
      </c>
      <c r="J5062" s="33" t="n">
        <f aca="false">H5062-I5062</f>
        <v>516.2</v>
      </c>
      <c r="K5062" s="33" t="n">
        <f aca="false">IF(OR(E5062=0,E5062&gt;=7),0,D5062/(7-E5062)*E5062*INDEX(Products!$E$2:$E$49,MATCH(C5062,Products!$A$2:$A$49,0)))</f>
        <v>0</v>
      </c>
    </row>
    <row r="5063" customFormat="false" ht="15" hidden="false" customHeight="false" outlineLevel="0" collapsed="false">
      <c r="A5063" s="36" t="n">
        <v>46195</v>
      </c>
      <c r="B5063" s="24" t="s">
        <v>65</v>
      </c>
      <c r="C5063" s="24" t="s">
        <v>135</v>
      </c>
      <c r="D5063" s="33" t="n">
        <v>43</v>
      </c>
      <c r="E5063" s="24" t="n">
        <v>0</v>
      </c>
      <c r="F5063" s="37" t="n">
        <f aca="false">DATE(YEAR(A5063),MONTH(A5063),1)</f>
        <v>46174</v>
      </c>
      <c r="G5063" s="24" t="str">
        <f aca="false">INDEX(Products!$C$2:$C$49,MATCH(C5063,Products!$A$2:$A$49,0))</f>
        <v>Dairy &amp; Eggs</v>
      </c>
      <c r="H5063" s="33" t="n">
        <f aca="false">D5063*INDEX(Products!$E$2:$E$49,MATCH(C5063,Products!$A$2:$A$49,0))</f>
        <v>5590</v>
      </c>
      <c r="I5063" s="33" t="n">
        <f aca="false">D5063*INDEX(Products!$D$2:$D$49,MATCH(C5063,Products!$A$2:$A$49,0))*(1+INDEX(Assumptions!$B$16:$B$20,MATCH(B5063,Assumptions!$A$16:$A$20,0)))</f>
        <v>4824.6</v>
      </c>
      <c r="J5063" s="33" t="n">
        <f aca="false">H5063-I5063</f>
        <v>765.4</v>
      </c>
      <c r="K5063" s="33" t="n">
        <f aca="false">IF(OR(E5063=0,E5063&gt;=7),0,D5063/(7-E5063)*E5063*INDEX(Products!$E$2:$E$49,MATCH(C5063,Products!$A$2:$A$49,0)))</f>
        <v>0</v>
      </c>
    </row>
    <row r="5064" customFormat="false" ht="15" hidden="false" customHeight="false" outlineLevel="0" collapsed="false">
      <c r="A5064" s="36" t="n">
        <v>46202</v>
      </c>
      <c r="B5064" s="24" t="s">
        <v>65</v>
      </c>
      <c r="C5064" s="24" t="s">
        <v>135</v>
      </c>
      <c r="D5064" s="33" t="n">
        <v>38</v>
      </c>
      <c r="E5064" s="24" t="n">
        <v>0</v>
      </c>
      <c r="F5064" s="37" t="n">
        <f aca="false">DATE(YEAR(A5064),MONTH(A5064),1)</f>
        <v>46174</v>
      </c>
      <c r="G5064" s="24" t="str">
        <f aca="false">INDEX(Products!$C$2:$C$49,MATCH(C5064,Products!$A$2:$A$49,0))</f>
        <v>Dairy &amp; Eggs</v>
      </c>
      <c r="H5064" s="33" t="n">
        <f aca="false">D5064*INDEX(Products!$E$2:$E$49,MATCH(C5064,Products!$A$2:$A$49,0))</f>
        <v>4940</v>
      </c>
      <c r="I5064" s="33" t="n">
        <f aca="false">D5064*INDEX(Products!$D$2:$D$49,MATCH(C5064,Products!$A$2:$A$49,0))*(1+INDEX(Assumptions!$B$16:$B$20,MATCH(B5064,Assumptions!$A$16:$A$20,0)))</f>
        <v>4263.6</v>
      </c>
      <c r="J5064" s="33" t="n">
        <f aca="false">H5064-I5064</f>
        <v>676.4</v>
      </c>
      <c r="K5064" s="33" t="n">
        <f aca="false">IF(OR(E5064=0,E5064&gt;=7),0,D5064/(7-E5064)*E5064*INDEX(Products!$E$2:$E$49,MATCH(C5064,Products!$A$2:$A$49,0)))</f>
        <v>0</v>
      </c>
    </row>
    <row r="5065" customFormat="false" ht="15" hidden="false" customHeight="false" outlineLevel="0" collapsed="false">
      <c r="A5065" s="36" t="n">
        <v>46209</v>
      </c>
      <c r="B5065" s="24" t="s">
        <v>65</v>
      </c>
      <c r="C5065" s="24" t="s">
        <v>135</v>
      </c>
      <c r="D5065" s="33" t="n">
        <v>77</v>
      </c>
      <c r="E5065" s="24" t="n">
        <v>0</v>
      </c>
      <c r="F5065" s="37" t="n">
        <f aca="false">DATE(YEAR(A5065),MONTH(A5065),1)</f>
        <v>46204</v>
      </c>
      <c r="G5065" s="24" t="str">
        <f aca="false">INDEX(Products!$C$2:$C$49,MATCH(C5065,Products!$A$2:$A$49,0))</f>
        <v>Dairy &amp; Eggs</v>
      </c>
      <c r="H5065" s="33" t="n">
        <f aca="false">D5065*INDEX(Products!$E$2:$E$49,MATCH(C5065,Products!$A$2:$A$49,0))</f>
        <v>10010</v>
      </c>
      <c r="I5065" s="33" t="n">
        <f aca="false">D5065*INDEX(Products!$D$2:$D$49,MATCH(C5065,Products!$A$2:$A$49,0))*(1+INDEX(Assumptions!$B$16:$B$20,MATCH(B5065,Assumptions!$A$16:$A$20,0)))</f>
        <v>8639.4</v>
      </c>
      <c r="J5065" s="33" t="n">
        <f aca="false">H5065-I5065</f>
        <v>1370.6</v>
      </c>
      <c r="K5065" s="33" t="n">
        <f aca="false">IF(OR(E5065=0,E5065&gt;=7),0,D5065/(7-E5065)*E5065*INDEX(Products!$E$2:$E$49,MATCH(C5065,Products!$A$2:$A$49,0)))</f>
        <v>0</v>
      </c>
    </row>
    <row r="5066" customFormat="false" ht="15" hidden="false" customHeight="false" outlineLevel="0" collapsed="false">
      <c r="A5066" s="36" t="n">
        <v>46216</v>
      </c>
      <c r="B5066" s="24" t="s">
        <v>65</v>
      </c>
      <c r="C5066" s="24" t="s">
        <v>135</v>
      </c>
      <c r="D5066" s="33" t="n">
        <v>41</v>
      </c>
      <c r="E5066" s="24" t="n">
        <v>0</v>
      </c>
      <c r="F5066" s="37" t="n">
        <f aca="false">DATE(YEAR(A5066),MONTH(A5066),1)</f>
        <v>46204</v>
      </c>
      <c r="G5066" s="24" t="str">
        <f aca="false">INDEX(Products!$C$2:$C$49,MATCH(C5066,Products!$A$2:$A$49,0))</f>
        <v>Dairy &amp; Eggs</v>
      </c>
      <c r="H5066" s="33" t="n">
        <f aca="false">D5066*INDEX(Products!$E$2:$E$49,MATCH(C5066,Products!$A$2:$A$49,0))</f>
        <v>5330</v>
      </c>
      <c r="I5066" s="33" t="n">
        <f aca="false">D5066*INDEX(Products!$D$2:$D$49,MATCH(C5066,Products!$A$2:$A$49,0))*(1+INDEX(Assumptions!$B$16:$B$20,MATCH(B5066,Assumptions!$A$16:$A$20,0)))</f>
        <v>4600.2</v>
      </c>
      <c r="J5066" s="33" t="n">
        <f aca="false">H5066-I5066</f>
        <v>729.8</v>
      </c>
      <c r="K5066" s="33" t="n">
        <f aca="false">IF(OR(E5066=0,E5066&gt;=7),0,D5066/(7-E5066)*E5066*INDEX(Products!$E$2:$E$49,MATCH(C5066,Products!$A$2:$A$49,0)))</f>
        <v>0</v>
      </c>
    </row>
    <row r="5067" customFormat="false" ht="15" hidden="false" customHeight="false" outlineLevel="0" collapsed="false">
      <c r="A5067" s="36" t="n">
        <v>46223</v>
      </c>
      <c r="B5067" s="24" t="s">
        <v>65</v>
      </c>
      <c r="C5067" s="24" t="s">
        <v>135</v>
      </c>
      <c r="D5067" s="33" t="n">
        <v>46</v>
      </c>
      <c r="E5067" s="24" t="n">
        <v>0</v>
      </c>
      <c r="F5067" s="37" t="n">
        <f aca="false">DATE(YEAR(A5067),MONTH(A5067),1)</f>
        <v>46204</v>
      </c>
      <c r="G5067" s="24" t="str">
        <f aca="false">INDEX(Products!$C$2:$C$49,MATCH(C5067,Products!$A$2:$A$49,0))</f>
        <v>Dairy &amp; Eggs</v>
      </c>
      <c r="H5067" s="33" t="n">
        <f aca="false">D5067*INDEX(Products!$E$2:$E$49,MATCH(C5067,Products!$A$2:$A$49,0))</f>
        <v>5980</v>
      </c>
      <c r="I5067" s="33" t="n">
        <f aca="false">D5067*INDEX(Products!$D$2:$D$49,MATCH(C5067,Products!$A$2:$A$49,0))*(1+INDEX(Assumptions!$B$16:$B$20,MATCH(B5067,Assumptions!$A$16:$A$20,0)))</f>
        <v>5161.2</v>
      </c>
      <c r="J5067" s="33" t="n">
        <f aca="false">H5067-I5067</f>
        <v>818.8</v>
      </c>
      <c r="K5067" s="33" t="n">
        <f aca="false">IF(OR(E5067=0,E5067&gt;=7),0,D5067/(7-E5067)*E5067*INDEX(Products!$E$2:$E$49,MATCH(C5067,Products!$A$2:$A$49,0)))</f>
        <v>0</v>
      </c>
    </row>
    <row r="5068" customFormat="false" ht="15" hidden="false" customHeight="false" outlineLevel="0" collapsed="false">
      <c r="A5068" s="36" t="n">
        <v>46230</v>
      </c>
      <c r="B5068" s="24" t="s">
        <v>65</v>
      </c>
      <c r="C5068" s="24" t="s">
        <v>135</v>
      </c>
      <c r="D5068" s="33" t="n">
        <v>41</v>
      </c>
      <c r="E5068" s="24" t="n">
        <v>0</v>
      </c>
      <c r="F5068" s="37" t="n">
        <f aca="false">DATE(YEAR(A5068),MONTH(A5068),1)</f>
        <v>46204</v>
      </c>
      <c r="G5068" s="24" t="str">
        <f aca="false">INDEX(Products!$C$2:$C$49,MATCH(C5068,Products!$A$2:$A$49,0))</f>
        <v>Dairy &amp; Eggs</v>
      </c>
      <c r="H5068" s="33" t="n">
        <f aca="false">D5068*INDEX(Products!$E$2:$E$49,MATCH(C5068,Products!$A$2:$A$49,0))</f>
        <v>5330</v>
      </c>
      <c r="I5068" s="33" t="n">
        <f aca="false">D5068*INDEX(Products!$D$2:$D$49,MATCH(C5068,Products!$A$2:$A$49,0))*(1+INDEX(Assumptions!$B$16:$B$20,MATCH(B5068,Assumptions!$A$16:$A$20,0)))</f>
        <v>4600.2</v>
      </c>
      <c r="J5068" s="33" t="n">
        <f aca="false">H5068-I5068</f>
        <v>729.8</v>
      </c>
      <c r="K5068" s="33" t="n">
        <f aca="false">IF(OR(E5068=0,E5068&gt;=7),0,D5068/(7-E5068)*E5068*INDEX(Products!$E$2:$E$49,MATCH(C5068,Products!$A$2:$A$49,0)))</f>
        <v>0</v>
      </c>
    </row>
    <row r="5069" customFormat="false" ht="15" hidden="false" customHeight="false" outlineLevel="0" collapsed="false">
      <c r="A5069" s="36" t="n">
        <v>46237</v>
      </c>
      <c r="B5069" s="24" t="s">
        <v>65</v>
      </c>
      <c r="C5069" s="24" t="s">
        <v>135</v>
      </c>
      <c r="D5069" s="33" t="n">
        <v>50</v>
      </c>
      <c r="E5069" s="24" t="n">
        <v>0</v>
      </c>
      <c r="F5069" s="37" t="n">
        <f aca="false">DATE(YEAR(A5069),MONTH(A5069),1)</f>
        <v>46235</v>
      </c>
      <c r="G5069" s="24" t="str">
        <f aca="false">INDEX(Products!$C$2:$C$49,MATCH(C5069,Products!$A$2:$A$49,0))</f>
        <v>Dairy &amp; Eggs</v>
      </c>
      <c r="H5069" s="33" t="n">
        <f aca="false">D5069*INDEX(Products!$E$2:$E$49,MATCH(C5069,Products!$A$2:$A$49,0))</f>
        <v>6500</v>
      </c>
      <c r="I5069" s="33" t="n">
        <f aca="false">D5069*INDEX(Products!$D$2:$D$49,MATCH(C5069,Products!$A$2:$A$49,0))*(1+INDEX(Assumptions!$B$16:$B$20,MATCH(B5069,Assumptions!$A$16:$A$20,0)))</f>
        <v>5610</v>
      </c>
      <c r="J5069" s="33" t="n">
        <f aca="false">H5069-I5069</f>
        <v>890</v>
      </c>
      <c r="K5069" s="33" t="n">
        <f aca="false">IF(OR(E5069=0,E5069&gt;=7),0,D5069/(7-E5069)*E5069*INDEX(Products!$E$2:$E$49,MATCH(C5069,Products!$A$2:$A$49,0)))</f>
        <v>0</v>
      </c>
    </row>
    <row r="5070" customFormat="false" ht="15" hidden="false" customHeight="false" outlineLevel="0" collapsed="false">
      <c r="A5070" s="36" t="n">
        <v>46244</v>
      </c>
      <c r="B5070" s="24" t="s">
        <v>65</v>
      </c>
      <c r="C5070" s="24" t="s">
        <v>135</v>
      </c>
      <c r="D5070" s="33" t="n">
        <v>44</v>
      </c>
      <c r="E5070" s="24" t="n">
        <v>0</v>
      </c>
      <c r="F5070" s="37" t="n">
        <f aca="false">DATE(YEAR(A5070),MONTH(A5070),1)</f>
        <v>46235</v>
      </c>
      <c r="G5070" s="24" t="str">
        <f aca="false">INDEX(Products!$C$2:$C$49,MATCH(C5070,Products!$A$2:$A$49,0))</f>
        <v>Dairy &amp; Eggs</v>
      </c>
      <c r="H5070" s="33" t="n">
        <f aca="false">D5070*INDEX(Products!$E$2:$E$49,MATCH(C5070,Products!$A$2:$A$49,0))</f>
        <v>5720</v>
      </c>
      <c r="I5070" s="33" t="n">
        <f aca="false">D5070*INDEX(Products!$D$2:$D$49,MATCH(C5070,Products!$A$2:$A$49,0))*(1+INDEX(Assumptions!$B$16:$B$20,MATCH(B5070,Assumptions!$A$16:$A$20,0)))</f>
        <v>4936.8</v>
      </c>
      <c r="J5070" s="33" t="n">
        <f aca="false">H5070-I5070</f>
        <v>783.2</v>
      </c>
      <c r="K5070" s="33" t="n">
        <f aca="false">IF(OR(E5070=0,E5070&gt;=7),0,D5070/(7-E5070)*E5070*INDEX(Products!$E$2:$E$49,MATCH(C5070,Products!$A$2:$A$49,0)))</f>
        <v>0</v>
      </c>
    </row>
    <row r="5071" customFormat="false" ht="15" hidden="false" customHeight="false" outlineLevel="0" collapsed="false">
      <c r="A5071" s="36" t="n">
        <v>46251</v>
      </c>
      <c r="B5071" s="24" t="s">
        <v>65</v>
      </c>
      <c r="C5071" s="24" t="s">
        <v>135</v>
      </c>
      <c r="D5071" s="33" t="n">
        <v>34</v>
      </c>
      <c r="E5071" s="24" t="n">
        <v>0</v>
      </c>
      <c r="F5071" s="37" t="n">
        <f aca="false">DATE(YEAR(A5071),MONTH(A5071),1)</f>
        <v>46235</v>
      </c>
      <c r="G5071" s="24" t="str">
        <f aca="false">INDEX(Products!$C$2:$C$49,MATCH(C5071,Products!$A$2:$A$49,0))</f>
        <v>Dairy &amp; Eggs</v>
      </c>
      <c r="H5071" s="33" t="n">
        <f aca="false">D5071*INDEX(Products!$E$2:$E$49,MATCH(C5071,Products!$A$2:$A$49,0))</f>
        <v>4420</v>
      </c>
      <c r="I5071" s="33" t="n">
        <f aca="false">D5071*INDEX(Products!$D$2:$D$49,MATCH(C5071,Products!$A$2:$A$49,0))*(1+INDEX(Assumptions!$B$16:$B$20,MATCH(B5071,Assumptions!$A$16:$A$20,0)))</f>
        <v>3814.8</v>
      </c>
      <c r="J5071" s="33" t="n">
        <f aca="false">H5071-I5071</f>
        <v>605.2</v>
      </c>
      <c r="K5071" s="33" t="n">
        <f aca="false">IF(OR(E5071=0,E5071&gt;=7),0,D5071/(7-E5071)*E5071*INDEX(Products!$E$2:$E$49,MATCH(C5071,Products!$A$2:$A$49,0)))</f>
        <v>0</v>
      </c>
    </row>
    <row r="5072" customFormat="false" ht="15" hidden="false" customHeight="false" outlineLevel="0" collapsed="false">
      <c r="A5072" s="36" t="n">
        <v>46258</v>
      </c>
      <c r="B5072" s="24" t="s">
        <v>65</v>
      </c>
      <c r="C5072" s="24" t="s">
        <v>135</v>
      </c>
      <c r="D5072" s="33" t="n">
        <v>43</v>
      </c>
      <c r="E5072" s="24" t="n">
        <v>0</v>
      </c>
      <c r="F5072" s="37" t="n">
        <f aca="false">DATE(YEAR(A5072),MONTH(A5072),1)</f>
        <v>46235</v>
      </c>
      <c r="G5072" s="24" t="str">
        <f aca="false">INDEX(Products!$C$2:$C$49,MATCH(C5072,Products!$A$2:$A$49,0))</f>
        <v>Dairy &amp; Eggs</v>
      </c>
      <c r="H5072" s="33" t="n">
        <f aca="false">D5072*INDEX(Products!$E$2:$E$49,MATCH(C5072,Products!$A$2:$A$49,0))</f>
        <v>5590</v>
      </c>
      <c r="I5072" s="33" t="n">
        <f aca="false">D5072*INDEX(Products!$D$2:$D$49,MATCH(C5072,Products!$A$2:$A$49,0))*(1+INDEX(Assumptions!$B$16:$B$20,MATCH(B5072,Assumptions!$A$16:$A$20,0)))</f>
        <v>4824.6</v>
      </c>
      <c r="J5072" s="33" t="n">
        <f aca="false">H5072-I5072</f>
        <v>765.4</v>
      </c>
      <c r="K5072" s="33" t="n">
        <f aca="false">IF(OR(E5072=0,E5072&gt;=7),0,D5072/(7-E5072)*E5072*INDEX(Products!$E$2:$E$49,MATCH(C5072,Products!$A$2:$A$49,0)))</f>
        <v>0</v>
      </c>
    </row>
    <row r="5073" customFormat="false" ht="15" hidden="false" customHeight="false" outlineLevel="0" collapsed="false">
      <c r="A5073" s="36" t="n">
        <v>46265</v>
      </c>
      <c r="B5073" s="24" t="s">
        <v>65</v>
      </c>
      <c r="C5073" s="24" t="s">
        <v>135</v>
      </c>
      <c r="D5073" s="33" t="n">
        <v>31</v>
      </c>
      <c r="E5073" s="24" t="n">
        <v>0</v>
      </c>
      <c r="F5073" s="37" t="n">
        <f aca="false">DATE(YEAR(A5073),MONTH(A5073),1)</f>
        <v>46235</v>
      </c>
      <c r="G5073" s="24" t="str">
        <f aca="false">INDEX(Products!$C$2:$C$49,MATCH(C5073,Products!$A$2:$A$49,0))</f>
        <v>Dairy &amp; Eggs</v>
      </c>
      <c r="H5073" s="33" t="n">
        <f aca="false">D5073*INDEX(Products!$E$2:$E$49,MATCH(C5073,Products!$A$2:$A$49,0))</f>
        <v>4030</v>
      </c>
      <c r="I5073" s="33" t="n">
        <f aca="false">D5073*INDEX(Products!$D$2:$D$49,MATCH(C5073,Products!$A$2:$A$49,0))*(1+INDEX(Assumptions!$B$16:$B$20,MATCH(B5073,Assumptions!$A$16:$A$20,0)))</f>
        <v>3478.2</v>
      </c>
      <c r="J5073" s="33" t="n">
        <f aca="false">H5073-I5073</f>
        <v>551.8</v>
      </c>
      <c r="K5073" s="33" t="n">
        <f aca="false">IF(OR(E5073=0,E5073&gt;=7),0,D5073/(7-E5073)*E5073*INDEX(Products!$E$2:$E$49,MATCH(C5073,Products!$A$2:$A$49,0)))</f>
        <v>0</v>
      </c>
    </row>
    <row r="5074" customFormat="false" ht="15" hidden="false" customHeight="false" outlineLevel="0" collapsed="false">
      <c r="A5074" s="36" t="n">
        <v>46272</v>
      </c>
      <c r="B5074" s="24" t="s">
        <v>65</v>
      </c>
      <c r="C5074" s="24" t="s">
        <v>135</v>
      </c>
      <c r="D5074" s="33" t="n">
        <v>37</v>
      </c>
      <c r="E5074" s="24" t="n">
        <v>0</v>
      </c>
      <c r="F5074" s="37" t="n">
        <f aca="false">DATE(YEAR(A5074),MONTH(A5074),1)</f>
        <v>46266</v>
      </c>
      <c r="G5074" s="24" t="str">
        <f aca="false">INDEX(Products!$C$2:$C$49,MATCH(C5074,Products!$A$2:$A$49,0))</f>
        <v>Dairy &amp; Eggs</v>
      </c>
      <c r="H5074" s="33" t="n">
        <f aca="false">D5074*INDEX(Products!$E$2:$E$49,MATCH(C5074,Products!$A$2:$A$49,0))</f>
        <v>4810</v>
      </c>
      <c r="I5074" s="33" t="n">
        <f aca="false">D5074*INDEX(Products!$D$2:$D$49,MATCH(C5074,Products!$A$2:$A$49,0))*(1+INDEX(Assumptions!$B$16:$B$20,MATCH(B5074,Assumptions!$A$16:$A$20,0)))</f>
        <v>4151.4</v>
      </c>
      <c r="J5074" s="33" t="n">
        <f aca="false">H5074-I5074</f>
        <v>658.6</v>
      </c>
      <c r="K5074" s="33" t="n">
        <f aca="false">IF(OR(E5074=0,E5074&gt;=7),0,D5074/(7-E5074)*E5074*INDEX(Products!$E$2:$E$49,MATCH(C5074,Products!$A$2:$A$49,0)))</f>
        <v>0</v>
      </c>
    </row>
    <row r="5075" customFormat="false" ht="15" hidden="false" customHeight="false" outlineLevel="0" collapsed="false">
      <c r="A5075" s="36" t="n">
        <v>46279</v>
      </c>
      <c r="B5075" s="24" t="s">
        <v>65</v>
      </c>
      <c r="C5075" s="24" t="s">
        <v>135</v>
      </c>
      <c r="D5075" s="33" t="n">
        <v>39</v>
      </c>
      <c r="E5075" s="24" t="n">
        <v>0</v>
      </c>
      <c r="F5075" s="37" t="n">
        <f aca="false">DATE(YEAR(A5075),MONTH(A5075),1)</f>
        <v>46266</v>
      </c>
      <c r="G5075" s="24" t="str">
        <f aca="false">INDEX(Products!$C$2:$C$49,MATCH(C5075,Products!$A$2:$A$49,0))</f>
        <v>Dairy &amp; Eggs</v>
      </c>
      <c r="H5075" s="33" t="n">
        <f aca="false">D5075*INDEX(Products!$E$2:$E$49,MATCH(C5075,Products!$A$2:$A$49,0))</f>
        <v>5070</v>
      </c>
      <c r="I5075" s="33" t="n">
        <f aca="false">D5075*INDEX(Products!$D$2:$D$49,MATCH(C5075,Products!$A$2:$A$49,0))*(1+INDEX(Assumptions!$B$16:$B$20,MATCH(B5075,Assumptions!$A$16:$A$20,0)))</f>
        <v>4375.8</v>
      </c>
      <c r="J5075" s="33" t="n">
        <f aca="false">H5075-I5075</f>
        <v>694.2</v>
      </c>
      <c r="K5075" s="33" t="n">
        <f aca="false">IF(OR(E5075=0,E5075&gt;=7),0,D5075/(7-E5075)*E5075*INDEX(Products!$E$2:$E$49,MATCH(C5075,Products!$A$2:$A$49,0)))</f>
        <v>0</v>
      </c>
    </row>
    <row r="5076" customFormat="false" ht="15" hidden="false" customHeight="false" outlineLevel="0" collapsed="false">
      <c r="A5076" s="36" t="n">
        <v>46286</v>
      </c>
      <c r="B5076" s="24" t="s">
        <v>65</v>
      </c>
      <c r="C5076" s="24" t="s">
        <v>135</v>
      </c>
      <c r="D5076" s="33" t="n">
        <v>41</v>
      </c>
      <c r="E5076" s="24" t="n">
        <v>0</v>
      </c>
      <c r="F5076" s="37" t="n">
        <f aca="false">DATE(YEAR(A5076),MONTH(A5076),1)</f>
        <v>46266</v>
      </c>
      <c r="G5076" s="24" t="str">
        <f aca="false">INDEX(Products!$C$2:$C$49,MATCH(C5076,Products!$A$2:$A$49,0))</f>
        <v>Dairy &amp; Eggs</v>
      </c>
      <c r="H5076" s="33" t="n">
        <f aca="false">D5076*INDEX(Products!$E$2:$E$49,MATCH(C5076,Products!$A$2:$A$49,0))</f>
        <v>5330</v>
      </c>
      <c r="I5076" s="33" t="n">
        <f aca="false">D5076*INDEX(Products!$D$2:$D$49,MATCH(C5076,Products!$A$2:$A$49,0))*(1+INDEX(Assumptions!$B$16:$B$20,MATCH(B5076,Assumptions!$A$16:$A$20,0)))</f>
        <v>4600.2</v>
      </c>
      <c r="J5076" s="33" t="n">
        <f aca="false">H5076-I5076</f>
        <v>729.8</v>
      </c>
      <c r="K5076" s="33" t="n">
        <f aca="false">IF(OR(E5076=0,E5076&gt;=7),0,D5076/(7-E5076)*E5076*INDEX(Products!$E$2:$E$49,MATCH(C5076,Products!$A$2:$A$49,0)))</f>
        <v>0</v>
      </c>
    </row>
    <row r="5077" customFormat="false" ht="15" hidden="false" customHeight="false" outlineLevel="0" collapsed="false">
      <c r="A5077" s="36" t="n">
        <v>46118</v>
      </c>
      <c r="B5077" s="24" t="s">
        <v>65</v>
      </c>
      <c r="C5077" s="24" t="s">
        <v>137</v>
      </c>
      <c r="D5077" s="33" t="n">
        <v>101</v>
      </c>
      <c r="E5077" s="24" t="n">
        <v>0</v>
      </c>
      <c r="F5077" s="37" t="n">
        <f aca="false">DATE(YEAR(A5077),MONTH(A5077),1)</f>
        <v>46113</v>
      </c>
      <c r="G5077" s="24" t="str">
        <f aca="false">INDEX(Products!$C$2:$C$49,MATCH(C5077,Products!$A$2:$A$49,0))</f>
        <v>Dairy &amp; Eggs</v>
      </c>
      <c r="H5077" s="33" t="n">
        <f aca="false">D5077*INDEX(Products!$E$2:$E$49,MATCH(C5077,Products!$A$2:$A$49,0))</f>
        <v>32320</v>
      </c>
      <c r="I5077" s="33" t="n">
        <f aca="false">D5077*INDEX(Products!$D$2:$D$49,MATCH(C5077,Products!$A$2:$A$49,0))*(1+INDEX(Assumptions!$B$16:$B$20,MATCH(B5077,Assumptions!$A$16:$A$20,0)))</f>
        <v>27609.36</v>
      </c>
      <c r="J5077" s="33" t="n">
        <f aca="false">H5077-I5077</f>
        <v>4710.64</v>
      </c>
      <c r="K5077" s="33" t="n">
        <f aca="false">IF(OR(E5077=0,E5077&gt;=7),0,D5077/(7-E5077)*E5077*INDEX(Products!$E$2:$E$49,MATCH(C5077,Products!$A$2:$A$49,0)))</f>
        <v>0</v>
      </c>
    </row>
    <row r="5078" customFormat="false" ht="15" hidden="false" customHeight="false" outlineLevel="0" collapsed="false">
      <c r="A5078" s="36" t="n">
        <v>46125</v>
      </c>
      <c r="B5078" s="24" t="s">
        <v>65</v>
      </c>
      <c r="C5078" s="24" t="s">
        <v>137</v>
      </c>
      <c r="D5078" s="33" t="n">
        <v>107</v>
      </c>
      <c r="E5078" s="24" t="n">
        <v>0</v>
      </c>
      <c r="F5078" s="37" t="n">
        <f aca="false">DATE(YEAR(A5078),MONTH(A5078),1)</f>
        <v>46113</v>
      </c>
      <c r="G5078" s="24" t="str">
        <f aca="false">INDEX(Products!$C$2:$C$49,MATCH(C5078,Products!$A$2:$A$49,0))</f>
        <v>Dairy &amp; Eggs</v>
      </c>
      <c r="H5078" s="33" t="n">
        <f aca="false">D5078*INDEX(Products!$E$2:$E$49,MATCH(C5078,Products!$A$2:$A$49,0))</f>
        <v>34240</v>
      </c>
      <c r="I5078" s="33" t="n">
        <f aca="false">D5078*INDEX(Products!$D$2:$D$49,MATCH(C5078,Products!$A$2:$A$49,0))*(1+INDEX(Assumptions!$B$16:$B$20,MATCH(B5078,Assumptions!$A$16:$A$20,0)))</f>
        <v>29249.52</v>
      </c>
      <c r="J5078" s="33" t="n">
        <f aca="false">H5078-I5078</f>
        <v>4990.48</v>
      </c>
      <c r="K5078" s="33" t="n">
        <f aca="false">IF(OR(E5078=0,E5078&gt;=7),0,D5078/(7-E5078)*E5078*INDEX(Products!$E$2:$E$49,MATCH(C5078,Products!$A$2:$A$49,0)))</f>
        <v>0</v>
      </c>
    </row>
    <row r="5079" customFormat="false" ht="15" hidden="false" customHeight="false" outlineLevel="0" collapsed="false">
      <c r="A5079" s="36" t="n">
        <v>46132</v>
      </c>
      <c r="B5079" s="24" t="s">
        <v>65</v>
      </c>
      <c r="C5079" s="24" t="s">
        <v>137</v>
      </c>
      <c r="D5079" s="33" t="n">
        <v>98</v>
      </c>
      <c r="E5079" s="24" t="n">
        <v>0</v>
      </c>
      <c r="F5079" s="37" t="n">
        <f aca="false">DATE(YEAR(A5079),MONTH(A5079),1)</f>
        <v>46113</v>
      </c>
      <c r="G5079" s="24" t="str">
        <f aca="false">INDEX(Products!$C$2:$C$49,MATCH(C5079,Products!$A$2:$A$49,0))</f>
        <v>Dairy &amp; Eggs</v>
      </c>
      <c r="H5079" s="33" t="n">
        <f aca="false">D5079*INDEX(Products!$E$2:$E$49,MATCH(C5079,Products!$A$2:$A$49,0))</f>
        <v>31360</v>
      </c>
      <c r="I5079" s="33" t="n">
        <f aca="false">D5079*INDEX(Products!$D$2:$D$49,MATCH(C5079,Products!$A$2:$A$49,0))*(1+INDEX(Assumptions!$B$16:$B$20,MATCH(B5079,Assumptions!$A$16:$A$20,0)))</f>
        <v>26789.28</v>
      </c>
      <c r="J5079" s="33" t="n">
        <f aca="false">H5079-I5079</f>
        <v>4570.72</v>
      </c>
      <c r="K5079" s="33" t="n">
        <f aca="false">IF(OR(E5079=0,E5079&gt;=7),0,D5079/(7-E5079)*E5079*INDEX(Products!$E$2:$E$49,MATCH(C5079,Products!$A$2:$A$49,0)))</f>
        <v>0</v>
      </c>
    </row>
    <row r="5080" customFormat="false" ht="15" hidden="false" customHeight="false" outlineLevel="0" collapsed="false">
      <c r="A5080" s="36" t="n">
        <v>46139</v>
      </c>
      <c r="B5080" s="24" t="s">
        <v>65</v>
      </c>
      <c r="C5080" s="24" t="s">
        <v>137</v>
      </c>
      <c r="D5080" s="33" t="n">
        <v>96</v>
      </c>
      <c r="E5080" s="24" t="n">
        <v>0</v>
      </c>
      <c r="F5080" s="37" t="n">
        <f aca="false">DATE(YEAR(A5080),MONTH(A5080),1)</f>
        <v>46113</v>
      </c>
      <c r="G5080" s="24" t="str">
        <f aca="false">INDEX(Products!$C$2:$C$49,MATCH(C5080,Products!$A$2:$A$49,0))</f>
        <v>Dairy &amp; Eggs</v>
      </c>
      <c r="H5080" s="33" t="n">
        <f aca="false">D5080*INDEX(Products!$E$2:$E$49,MATCH(C5080,Products!$A$2:$A$49,0))</f>
        <v>30720</v>
      </c>
      <c r="I5080" s="33" t="n">
        <f aca="false">D5080*INDEX(Products!$D$2:$D$49,MATCH(C5080,Products!$A$2:$A$49,0))*(1+INDEX(Assumptions!$B$16:$B$20,MATCH(B5080,Assumptions!$A$16:$A$20,0)))</f>
        <v>26242.56</v>
      </c>
      <c r="J5080" s="33" t="n">
        <f aca="false">H5080-I5080</f>
        <v>4477.44</v>
      </c>
      <c r="K5080" s="33" t="n">
        <f aca="false">IF(OR(E5080=0,E5080&gt;=7),0,D5080/(7-E5080)*E5080*INDEX(Products!$E$2:$E$49,MATCH(C5080,Products!$A$2:$A$49,0)))</f>
        <v>0</v>
      </c>
    </row>
    <row r="5081" customFormat="false" ht="15" hidden="false" customHeight="false" outlineLevel="0" collapsed="false">
      <c r="A5081" s="36" t="n">
        <v>46146</v>
      </c>
      <c r="B5081" s="24" t="s">
        <v>65</v>
      </c>
      <c r="C5081" s="24" t="s">
        <v>137</v>
      </c>
      <c r="D5081" s="33" t="n">
        <v>91</v>
      </c>
      <c r="E5081" s="24" t="n">
        <v>0</v>
      </c>
      <c r="F5081" s="37" t="n">
        <f aca="false">DATE(YEAR(A5081),MONTH(A5081),1)</f>
        <v>46143</v>
      </c>
      <c r="G5081" s="24" t="str">
        <f aca="false">INDEX(Products!$C$2:$C$49,MATCH(C5081,Products!$A$2:$A$49,0))</f>
        <v>Dairy &amp; Eggs</v>
      </c>
      <c r="H5081" s="33" t="n">
        <f aca="false">D5081*INDEX(Products!$E$2:$E$49,MATCH(C5081,Products!$A$2:$A$49,0))</f>
        <v>29120</v>
      </c>
      <c r="I5081" s="33" t="n">
        <f aca="false">D5081*INDEX(Products!$D$2:$D$49,MATCH(C5081,Products!$A$2:$A$49,0))*(1+INDEX(Assumptions!$B$16:$B$20,MATCH(B5081,Assumptions!$A$16:$A$20,0)))</f>
        <v>24875.76</v>
      </c>
      <c r="J5081" s="33" t="n">
        <f aca="false">H5081-I5081</f>
        <v>4244.24</v>
      </c>
      <c r="K5081" s="33" t="n">
        <f aca="false">IF(OR(E5081=0,E5081&gt;=7),0,D5081/(7-E5081)*E5081*INDEX(Products!$E$2:$E$49,MATCH(C5081,Products!$A$2:$A$49,0)))</f>
        <v>0</v>
      </c>
    </row>
    <row r="5082" customFormat="false" ht="15" hidden="false" customHeight="false" outlineLevel="0" collapsed="false">
      <c r="A5082" s="36" t="n">
        <v>46153</v>
      </c>
      <c r="B5082" s="24" t="s">
        <v>65</v>
      </c>
      <c r="C5082" s="24" t="s">
        <v>137</v>
      </c>
      <c r="D5082" s="33" t="n">
        <v>45</v>
      </c>
      <c r="E5082" s="24" t="n">
        <v>4</v>
      </c>
      <c r="F5082" s="37" t="n">
        <f aca="false">DATE(YEAR(A5082),MONTH(A5082),1)</f>
        <v>46143</v>
      </c>
      <c r="G5082" s="24" t="str">
        <f aca="false">INDEX(Products!$C$2:$C$49,MATCH(C5082,Products!$A$2:$A$49,0))</f>
        <v>Dairy &amp; Eggs</v>
      </c>
      <c r="H5082" s="33" t="n">
        <f aca="false">D5082*INDEX(Products!$E$2:$E$49,MATCH(C5082,Products!$A$2:$A$49,0))</f>
        <v>14400</v>
      </c>
      <c r="I5082" s="33" t="n">
        <f aca="false">D5082*INDEX(Products!$D$2:$D$49,MATCH(C5082,Products!$A$2:$A$49,0))*(1+INDEX(Assumptions!$B$16:$B$20,MATCH(B5082,Assumptions!$A$16:$A$20,0)))</f>
        <v>12301.2</v>
      </c>
      <c r="J5082" s="33" t="n">
        <f aca="false">H5082-I5082</f>
        <v>2098.8</v>
      </c>
      <c r="K5082" s="33" t="n">
        <f aca="false">IF(OR(E5082=0,E5082&gt;=7),0,D5082/(7-E5082)*E5082*INDEX(Products!$E$2:$E$49,MATCH(C5082,Products!$A$2:$A$49,0)))</f>
        <v>19200</v>
      </c>
    </row>
    <row r="5083" customFormat="false" ht="15" hidden="false" customHeight="false" outlineLevel="0" collapsed="false">
      <c r="A5083" s="36" t="n">
        <v>46160</v>
      </c>
      <c r="B5083" s="24" t="s">
        <v>65</v>
      </c>
      <c r="C5083" s="24" t="s">
        <v>137</v>
      </c>
      <c r="D5083" s="33" t="n">
        <v>106</v>
      </c>
      <c r="E5083" s="24" t="n">
        <v>0</v>
      </c>
      <c r="F5083" s="37" t="n">
        <f aca="false">DATE(YEAR(A5083),MONTH(A5083),1)</f>
        <v>46143</v>
      </c>
      <c r="G5083" s="24" t="str">
        <f aca="false">INDEX(Products!$C$2:$C$49,MATCH(C5083,Products!$A$2:$A$49,0))</f>
        <v>Dairy &amp; Eggs</v>
      </c>
      <c r="H5083" s="33" t="n">
        <f aca="false">D5083*INDEX(Products!$E$2:$E$49,MATCH(C5083,Products!$A$2:$A$49,0))</f>
        <v>33920</v>
      </c>
      <c r="I5083" s="33" t="n">
        <f aca="false">D5083*INDEX(Products!$D$2:$D$49,MATCH(C5083,Products!$A$2:$A$49,0))*(1+INDEX(Assumptions!$B$16:$B$20,MATCH(B5083,Assumptions!$A$16:$A$20,0)))</f>
        <v>28976.16</v>
      </c>
      <c r="J5083" s="33" t="n">
        <f aca="false">H5083-I5083</f>
        <v>4943.84</v>
      </c>
      <c r="K5083" s="33" t="n">
        <f aca="false">IF(OR(E5083=0,E5083&gt;=7),0,D5083/(7-E5083)*E5083*INDEX(Products!$E$2:$E$49,MATCH(C5083,Products!$A$2:$A$49,0)))</f>
        <v>0</v>
      </c>
    </row>
    <row r="5084" customFormat="false" ht="15" hidden="false" customHeight="false" outlineLevel="0" collapsed="false">
      <c r="A5084" s="36" t="n">
        <v>46167</v>
      </c>
      <c r="B5084" s="24" t="s">
        <v>65</v>
      </c>
      <c r="C5084" s="24" t="s">
        <v>137</v>
      </c>
      <c r="D5084" s="33" t="n">
        <v>117</v>
      </c>
      <c r="E5084" s="24" t="n">
        <v>0</v>
      </c>
      <c r="F5084" s="37" t="n">
        <f aca="false">DATE(YEAR(A5084),MONTH(A5084),1)</f>
        <v>46143</v>
      </c>
      <c r="G5084" s="24" t="str">
        <f aca="false">INDEX(Products!$C$2:$C$49,MATCH(C5084,Products!$A$2:$A$49,0))</f>
        <v>Dairy &amp; Eggs</v>
      </c>
      <c r="H5084" s="33" t="n">
        <f aca="false">D5084*INDEX(Products!$E$2:$E$49,MATCH(C5084,Products!$A$2:$A$49,0))</f>
        <v>37440</v>
      </c>
      <c r="I5084" s="33" t="n">
        <f aca="false">D5084*INDEX(Products!$D$2:$D$49,MATCH(C5084,Products!$A$2:$A$49,0))*(1+INDEX(Assumptions!$B$16:$B$20,MATCH(B5084,Assumptions!$A$16:$A$20,0)))</f>
        <v>31983.12</v>
      </c>
      <c r="J5084" s="33" t="n">
        <f aca="false">H5084-I5084</f>
        <v>5456.88</v>
      </c>
      <c r="K5084" s="33" t="n">
        <f aca="false">IF(OR(E5084=0,E5084&gt;=7),0,D5084/(7-E5084)*E5084*INDEX(Products!$E$2:$E$49,MATCH(C5084,Products!$A$2:$A$49,0)))</f>
        <v>0</v>
      </c>
    </row>
    <row r="5085" customFormat="false" ht="15" hidden="false" customHeight="false" outlineLevel="0" collapsed="false">
      <c r="A5085" s="36" t="n">
        <v>46174</v>
      </c>
      <c r="B5085" s="24" t="s">
        <v>65</v>
      </c>
      <c r="C5085" s="24" t="s">
        <v>137</v>
      </c>
      <c r="D5085" s="33" t="n">
        <v>103</v>
      </c>
      <c r="E5085" s="24" t="n">
        <v>0</v>
      </c>
      <c r="F5085" s="37" t="n">
        <f aca="false">DATE(YEAR(A5085),MONTH(A5085),1)</f>
        <v>46174</v>
      </c>
      <c r="G5085" s="24" t="str">
        <f aca="false">INDEX(Products!$C$2:$C$49,MATCH(C5085,Products!$A$2:$A$49,0))</f>
        <v>Dairy &amp; Eggs</v>
      </c>
      <c r="H5085" s="33" t="n">
        <f aca="false">D5085*INDEX(Products!$E$2:$E$49,MATCH(C5085,Products!$A$2:$A$49,0))</f>
        <v>32960</v>
      </c>
      <c r="I5085" s="33" t="n">
        <f aca="false">D5085*INDEX(Products!$D$2:$D$49,MATCH(C5085,Products!$A$2:$A$49,0))*(1+INDEX(Assumptions!$B$16:$B$20,MATCH(B5085,Assumptions!$A$16:$A$20,0)))</f>
        <v>28156.08</v>
      </c>
      <c r="J5085" s="33" t="n">
        <f aca="false">H5085-I5085</f>
        <v>4803.92</v>
      </c>
      <c r="K5085" s="33" t="n">
        <f aca="false">IF(OR(E5085=0,E5085&gt;=7),0,D5085/(7-E5085)*E5085*INDEX(Products!$E$2:$E$49,MATCH(C5085,Products!$A$2:$A$49,0)))</f>
        <v>0</v>
      </c>
    </row>
    <row r="5086" customFormat="false" ht="15" hidden="false" customHeight="false" outlineLevel="0" collapsed="false">
      <c r="A5086" s="36" t="n">
        <v>46181</v>
      </c>
      <c r="B5086" s="24" t="s">
        <v>65</v>
      </c>
      <c r="C5086" s="24" t="s">
        <v>137</v>
      </c>
      <c r="D5086" s="33" t="n">
        <v>112</v>
      </c>
      <c r="E5086" s="24" t="n">
        <v>0</v>
      </c>
      <c r="F5086" s="37" t="n">
        <f aca="false">DATE(YEAR(A5086),MONTH(A5086),1)</f>
        <v>46174</v>
      </c>
      <c r="G5086" s="24" t="str">
        <f aca="false">INDEX(Products!$C$2:$C$49,MATCH(C5086,Products!$A$2:$A$49,0))</f>
        <v>Dairy &amp; Eggs</v>
      </c>
      <c r="H5086" s="33" t="n">
        <f aca="false">D5086*INDEX(Products!$E$2:$E$49,MATCH(C5086,Products!$A$2:$A$49,0))</f>
        <v>35840</v>
      </c>
      <c r="I5086" s="33" t="n">
        <f aca="false">D5086*INDEX(Products!$D$2:$D$49,MATCH(C5086,Products!$A$2:$A$49,0))*(1+INDEX(Assumptions!$B$16:$B$20,MATCH(B5086,Assumptions!$A$16:$A$20,0)))</f>
        <v>30616.32</v>
      </c>
      <c r="J5086" s="33" t="n">
        <f aca="false">H5086-I5086</f>
        <v>5223.68</v>
      </c>
      <c r="K5086" s="33" t="n">
        <f aca="false">IF(OR(E5086=0,E5086&gt;=7),0,D5086/(7-E5086)*E5086*INDEX(Products!$E$2:$E$49,MATCH(C5086,Products!$A$2:$A$49,0)))</f>
        <v>0</v>
      </c>
    </row>
    <row r="5087" customFormat="false" ht="15" hidden="false" customHeight="false" outlineLevel="0" collapsed="false">
      <c r="A5087" s="36" t="n">
        <v>46188</v>
      </c>
      <c r="B5087" s="24" t="s">
        <v>65</v>
      </c>
      <c r="C5087" s="24" t="s">
        <v>137</v>
      </c>
      <c r="D5087" s="33" t="n">
        <v>85</v>
      </c>
      <c r="E5087" s="24" t="n">
        <v>0</v>
      </c>
      <c r="F5087" s="37" t="n">
        <f aca="false">DATE(YEAR(A5087),MONTH(A5087),1)</f>
        <v>46174</v>
      </c>
      <c r="G5087" s="24" t="str">
        <f aca="false">INDEX(Products!$C$2:$C$49,MATCH(C5087,Products!$A$2:$A$49,0))</f>
        <v>Dairy &amp; Eggs</v>
      </c>
      <c r="H5087" s="33" t="n">
        <f aca="false">D5087*INDEX(Products!$E$2:$E$49,MATCH(C5087,Products!$A$2:$A$49,0))</f>
        <v>27200</v>
      </c>
      <c r="I5087" s="33" t="n">
        <f aca="false">D5087*INDEX(Products!$D$2:$D$49,MATCH(C5087,Products!$A$2:$A$49,0))*(1+INDEX(Assumptions!$B$16:$B$20,MATCH(B5087,Assumptions!$A$16:$A$20,0)))</f>
        <v>23235.6</v>
      </c>
      <c r="J5087" s="33" t="n">
        <f aca="false">H5087-I5087</f>
        <v>3964.4</v>
      </c>
      <c r="K5087" s="33" t="n">
        <f aca="false">IF(OR(E5087=0,E5087&gt;=7),0,D5087/(7-E5087)*E5087*INDEX(Products!$E$2:$E$49,MATCH(C5087,Products!$A$2:$A$49,0)))</f>
        <v>0</v>
      </c>
    </row>
    <row r="5088" customFormat="false" ht="15" hidden="false" customHeight="false" outlineLevel="0" collapsed="false">
      <c r="A5088" s="36" t="n">
        <v>46195</v>
      </c>
      <c r="B5088" s="24" t="s">
        <v>65</v>
      </c>
      <c r="C5088" s="24" t="s">
        <v>137</v>
      </c>
      <c r="D5088" s="33" t="n">
        <v>100</v>
      </c>
      <c r="E5088" s="24" t="n">
        <v>0</v>
      </c>
      <c r="F5088" s="37" t="n">
        <f aca="false">DATE(YEAR(A5088),MONTH(A5088),1)</f>
        <v>46174</v>
      </c>
      <c r="G5088" s="24" t="str">
        <f aca="false">INDEX(Products!$C$2:$C$49,MATCH(C5088,Products!$A$2:$A$49,0))</f>
        <v>Dairy &amp; Eggs</v>
      </c>
      <c r="H5088" s="33" t="n">
        <f aca="false">D5088*INDEX(Products!$E$2:$E$49,MATCH(C5088,Products!$A$2:$A$49,0))</f>
        <v>32000</v>
      </c>
      <c r="I5088" s="33" t="n">
        <f aca="false">D5088*INDEX(Products!$D$2:$D$49,MATCH(C5088,Products!$A$2:$A$49,0))*(1+INDEX(Assumptions!$B$16:$B$20,MATCH(B5088,Assumptions!$A$16:$A$20,0)))</f>
        <v>27336</v>
      </c>
      <c r="J5088" s="33" t="n">
        <f aca="false">H5088-I5088</f>
        <v>4664</v>
      </c>
      <c r="K5088" s="33" t="n">
        <f aca="false">IF(OR(E5088=0,E5088&gt;=7),0,D5088/(7-E5088)*E5088*INDEX(Products!$E$2:$E$49,MATCH(C5088,Products!$A$2:$A$49,0)))</f>
        <v>0</v>
      </c>
    </row>
    <row r="5089" customFormat="false" ht="15" hidden="false" customHeight="false" outlineLevel="0" collapsed="false">
      <c r="A5089" s="36" t="n">
        <v>46202</v>
      </c>
      <c r="B5089" s="24" t="s">
        <v>65</v>
      </c>
      <c r="C5089" s="24" t="s">
        <v>137</v>
      </c>
      <c r="D5089" s="33" t="n">
        <v>85</v>
      </c>
      <c r="E5089" s="24" t="n">
        <v>0</v>
      </c>
      <c r="F5089" s="37" t="n">
        <f aca="false">DATE(YEAR(A5089),MONTH(A5089),1)</f>
        <v>46174</v>
      </c>
      <c r="G5089" s="24" t="str">
        <f aca="false">INDEX(Products!$C$2:$C$49,MATCH(C5089,Products!$A$2:$A$49,0))</f>
        <v>Dairy &amp; Eggs</v>
      </c>
      <c r="H5089" s="33" t="n">
        <f aca="false">D5089*INDEX(Products!$E$2:$E$49,MATCH(C5089,Products!$A$2:$A$49,0))</f>
        <v>27200</v>
      </c>
      <c r="I5089" s="33" t="n">
        <f aca="false">D5089*INDEX(Products!$D$2:$D$49,MATCH(C5089,Products!$A$2:$A$49,0))*(1+INDEX(Assumptions!$B$16:$B$20,MATCH(B5089,Assumptions!$A$16:$A$20,0)))</f>
        <v>23235.6</v>
      </c>
      <c r="J5089" s="33" t="n">
        <f aca="false">H5089-I5089</f>
        <v>3964.4</v>
      </c>
      <c r="K5089" s="33" t="n">
        <f aca="false">IF(OR(E5089=0,E5089&gt;=7),0,D5089/(7-E5089)*E5089*INDEX(Products!$E$2:$E$49,MATCH(C5089,Products!$A$2:$A$49,0)))</f>
        <v>0</v>
      </c>
    </row>
    <row r="5090" customFormat="false" ht="15" hidden="false" customHeight="false" outlineLevel="0" collapsed="false">
      <c r="A5090" s="36" t="n">
        <v>46209</v>
      </c>
      <c r="B5090" s="24" t="s">
        <v>65</v>
      </c>
      <c r="C5090" s="24" t="s">
        <v>137</v>
      </c>
      <c r="D5090" s="33" t="n">
        <v>82</v>
      </c>
      <c r="E5090" s="24" t="n">
        <v>0</v>
      </c>
      <c r="F5090" s="37" t="n">
        <f aca="false">DATE(YEAR(A5090),MONTH(A5090),1)</f>
        <v>46204</v>
      </c>
      <c r="G5090" s="24" t="str">
        <f aca="false">INDEX(Products!$C$2:$C$49,MATCH(C5090,Products!$A$2:$A$49,0))</f>
        <v>Dairy &amp; Eggs</v>
      </c>
      <c r="H5090" s="33" t="n">
        <f aca="false">D5090*INDEX(Products!$E$2:$E$49,MATCH(C5090,Products!$A$2:$A$49,0))</f>
        <v>26240</v>
      </c>
      <c r="I5090" s="33" t="n">
        <f aca="false">D5090*INDEX(Products!$D$2:$D$49,MATCH(C5090,Products!$A$2:$A$49,0))*(1+INDEX(Assumptions!$B$16:$B$20,MATCH(B5090,Assumptions!$A$16:$A$20,0)))</f>
        <v>22415.52</v>
      </c>
      <c r="J5090" s="33" t="n">
        <f aca="false">H5090-I5090</f>
        <v>3824.48</v>
      </c>
      <c r="K5090" s="33" t="n">
        <f aca="false">IF(OR(E5090=0,E5090&gt;=7),0,D5090/(7-E5090)*E5090*INDEX(Products!$E$2:$E$49,MATCH(C5090,Products!$A$2:$A$49,0)))</f>
        <v>0</v>
      </c>
    </row>
    <row r="5091" customFormat="false" ht="15" hidden="false" customHeight="false" outlineLevel="0" collapsed="false">
      <c r="A5091" s="36" t="n">
        <v>46216</v>
      </c>
      <c r="B5091" s="24" t="s">
        <v>65</v>
      </c>
      <c r="C5091" s="24" t="s">
        <v>137</v>
      </c>
      <c r="D5091" s="33" t="n">
        <v>76</v>
      </c>
      <c r="E5091" s="24" t="n">
        <v>0</v>
      </c>
      <c r="F5091" s="37" t="n">
        <f aca="false">DATE(YEAR(A5091),MONTH(A5091),1)</f>
        <v>46204</v>
      </c>
      <c r="G5091" s="24" t="str">
        <f aca="false">INDEX(Products!$C$2:$C$49,MATCH(C5091,Products!$A$2:$A$49,0))</f>
        <v>Dairy &amp; Eggs</v>
      </c>
      <c r="H5091" s="33" t="n">
        <f aca="false">D5091*INDEX(Products!$E$2:$E$49,MATCH(C5091,Products!$A$2:$A$49,0))</f>
        <v>24320</v>
      </c>
      <c r="I5091" s="33" t="n">
        <f aca="false">D5091*INDEX(Products!$D$2:$D$49,MATCH(C5091,Products!$A$2:$A$49,0))*(1+INDEX(Assumptions!$B$16:$B$20,MATCH(B5091,Assumptions!$A$16:$A$20,0)))</f>
        <v>20775.36</v>
      </c>
      <c r="J5091" s="33" t="n">
        <f aca="false">H5091-I5091</f>
        <v>3544.64</v>
      </c>
      <c r="K5091" s="33" t="n">
        <f aca="false">IF(OR(E5091=0,E5091&gt;=7),0,D5091/(7-E5091)*E5091*INDEX(Products!$E$2:$E$49,MATCH(C5091,Products!$A$2:$A$49,0)))</f>
        <v>0</v>
      </c>
    </row>
    <row r="5092" customFormat="false" ht="15" hidden="false" customHeight="false" outlineLevel="0" collapsed="false">
      <c r="A5092" s="36" t="n">
        <v>46223</v>
      </c>
      <c r="B5092" s="24" t="s">
        <v>65</v>
      </c>
      <c r="C5092" s="24" t="s">
        <v>137</v>
      </c>
      <c r="D5092" s="33" t="n">
        <v>99</v>
      </c>
      <c r="E5092" s="24" t="n">
        <v>0</v>
      </c>
      <c r="F5092" s="37" t="n">
        <f aca="false">DATE(YEAR(A5092),MONTH(A5092),1)</f>
        <v>46204</v>
      </c>
      <c r="G5092" s="24" t="str">
        <f aca="false">INDEX(Products!$C$2:$C$49,MATCH(C5092,Products!$A$2:$A$49,0))</f>
        <v>Dairy &amp; Eggs</v>
      </c>
      <c r="H5092" s="33" t="n">
        <f aca="false">D5092*INDEX(Products!$E$2:$E$49,MATCH(C5092,Products!$A$2:$A$49,0))</f>
        <v>31680</v>
      </c>
      <c r="I5092" s="33" t="n">
        <f aca="false">D5092*INDEX(Products!$D$2:$D$49,MATCH(C5092,Products!$A$2:$A$49,0))*(1+INDEX(Assumptions!$B$16:$B$20,MATCH(B5092,Assumptions!$A$16:$A$20,0)))</f>
        <v>27062.64</v>
      </c>
      <c r="J5092" s="33" t="n">
        <f aca="false">H5092-I5092</f>
        <v>4617.36</v>
      </c>
      <c r="K5092" s="33" t="n">
        <f aca="false">IF(OR(E5092=0,E5092&gt;=7),0,D5092/(7-E5092)*E5092*INDEX(Products!$E$2:$E$49,MATCH(C5092,Products!$A$2:$A$49,0)))</f>
        <v>0</v>
      </c>
    </row>
    <row r="5093" customFormat="false" ht="15" hidden="false" customHeight="false" outlineLevel="0" collapsed="false">
      <c r="A5093" s="36" t="n">
        <v>46230</v>
      </c>
      <c r="B5093" s="24" t="s">
        <v>65</v>
      </c>
      <c r="C5093" s="24" t="s">
        <v>137</v>
      </c>
      <c r="D5093" s="33" t="n">
        <v>109</v>
      </c>
      <c r="E5093" s="24" t="n">
        <v>0</v>
      </c>
      <c r="F5093" s="37" t="n">
        <f aca="false">DATE(YEAR(A5093),MONTH(A5093),1)</f>
        <v>46204</v>
      </c>
      <c r="G5093" s="24" t="str">
        <f aca="false">INDEX(Products!$C$2:$C$49,MATCH(C5093,Products!$A$2:$A$49,0))</f>
        <v>Dairy &amp; Eggs</v>
      </c>
      <c r="H5093" s="33" t="n">
        <f aca="false">D5093*INDEX(Products!$E$2:$E$49,MATCH(C5093,Products!$A$2:$A$49,0))</f>
        <v>34880</v>
      </c>
      <c r="I5093" s="33" t="n">
        <f aca="false">D5093*INDEX(Products!$D$2:$D$49,MATCH(C5093,Products!$A$2:$A$49,0))*(1+INDEX(Assumptions!$B$16:$B$20,MATCH(B5093,Assumptions!$A$16:$A$20,0)))</f>
        <v>29796.24</v>
      </c>
      <c r="J5093" s="33" t="n">
        <f aca="false">H5093-I5093</f>
        <v>5083.76</v>
      </c>
      <c r="K5093" s="33" t="n">
        <f aca="false">IF(OR(E5093=0,E5093&gt;=7),0,D5093/(7-E5093)*E5093*INDEX(Products!$E$2:$E$49,MATCH(C5093,Products!$A$2:$A$49,0)))</f>
        <v>0</v>
      </c>
    </row>
    <row r="5094" customFormat="false" ht="15" hidden="false" customHeight="false" outlineLevel="0" collapsed="false">
      <c r="A5094" s="36" t="n">
        <v>46237</v>
      </c>
      <c r="B5094" s="24" t="s">
        <v>65</v>
      </c>
      <c r="C5094" s="24" t="s">
        <v>137</v>
      </c>
      <c r="D5094" s="33" t="n">
        <v>80</v>
      </c>
      <c r="E5094" s="24" t="n">
        <v>0</v>
      </c>
      <c r="F5094" s="37" t="n">
        <f aca="false">DATE(YEAR(A5094),MONTH(A5094),1)</f>
        <v>46235</v>
      </c>
      <c r="G5094" s="24" t="str">
        <f aca="false">INDEX(Products!$C$2:$C$49,MATCH(C5094,Products!$A$2:$A$49,0))</f>
        <v>Dairy &amp; Eggs</v>
      </c>
      <c r="H5094" s="33" t="n">
        <f aca="false">D5094*INDEX(Products!$E$2:$E$49,MATCH(C5094,Products!$A$2:$A$49,0))</f>
        <v>25600</v>
      </c>
      <c r="I5094" s="33" t="n">
        <f aca="false">D5094*INDEX(Products!$D$2:$D$49,MATCH(C5094,Products!$A$2:$A$49,0))*(1+INDEX(Assumptions!$B$16:$B$20,MATCH(B5094,Assumptions!$A$16:$A$20,0)))</f>
        <v>21868.8</v>
      </c>
      <c r="J5094" s="33" t="n">
        <f aca="false">H5094-I5094</f>
        <v>3731.2</v>
      </c>
      <c r="K5094" s="33" t="n">
        <f aca="false">IF(OR(E5094=0,E5094&gt;=7),0,D5094/(7-E5094)*E5094*INDEX(Products!$E$2:$E$49,MATCH(C5094,Products!$A$2:$A$49,0)))</f>
        <v>0</v>
      </c>
    </row>
    <row r="5095" customFormat="false" ht="15" hidden="false" customHeight="false" outlineLevel="0" collapsed="false">
      <c r="A5095" s="36" t="n">
        <v>46244</v>
      </c>
      <c r="B5095" s="24" t="s">
        <v>65</v>
      </c>
      <c r="C5095" s="24" t="s">
        <v>137</v>
      </c>
      <c r="D5095" s="33" t="n">
        <v>81</v>
      </c>
      <c r="E5095" s="24" t="n">
        <v>0</v>
      </c>
      <c r="F5095" s="37" t="n">
        <f aca="false">DATE(YEAR(A5095),MONTH(A5095),1)</f>
        <v>46235</v>
      </c>
      <c r="G5095" s="24" t="str">
        <f aca="false">INDEX(Products!$C$2:$C$49,MATCH(C5095,Products!$A$2:$A$49,0))</f>
        <v>Dairy &amp; Eggs</v>
      </c>
      <c r="H5095" s="33" t="n">
        <f aca="false">D5095*INDEX(Products!$E$2:$E$49,MATCH(C5095,Products!$A$2:$A$49,0))</f>
        <v>25920</v>
      </c>
      <c r="I5095" s="33" t="n">
        <f aca="false">D5095*INDEX(Products!$D$2:$D$49,MATCH(C5095,Products!$A$2:$A$49,0))*(1+INDEX(Assumptions!$B$16:$B$20,MATCH(B5095,Assumptions!$A$16:$A$20,0)))</f>
        <v>22142.16</v>
      </c>
      <c r="J5095" s="33" t="n">
        <f aca="false">H5095-I5095</f>
        <v>3777.84</v>
      </c>
      <c r="K5095" s="33" t="n">
        <f aca="false">IF(OR(E5095=0,E5095&gt;=7),0,D5095/(7-E5095)*E5095*INDEX(Products!$E$2:$E$49,MATCH(C5095,Products!$A$2:$A$49,0)))</f>
        <v>0</v>
      </c>
    </row>
    <row r="5096" customFormat="false" ht="15" hidden="false" customHeight="false" outlineLevel="0" collapsed="false">
      <c r="A5096" s="36" t="n">
        <v>46251</v>
      </c>
      <c r="B5096" s="24" t="s">
        <v>65</v>
      </c>
      <c r="C5096" s="24" t="s">
        <v>137</v>
      </c>
      <c r="D5096" s="33" t="n">
        <v>91</v>
      </c>
      <c r="E5096" s="24" t="n">
        <v>0</v>
      </c>
      <c r="F5096" s="37" t="n">
        <f aca="false">DATE(YEAR(A5096),MONTH(A5096),1)</f>
        <v>46235</v>
      </c>
      <c r="G5096" s="24" t="str">
        <f aca="false">INDEX(Products!$C$2:$C$49,MATCH(C5096,Products!$A$2:$A$49,0))</f>
        <v>Dairy &amp; Eggs</v>
      </c>
      <c r="H5096" s="33" t="n">
        <f aca="false">D5096*INDEX(Products!$E$2:$E$49,MATCH(C5096,Products!$A$2:$A$49,0))</f>
        <v>29120</v>
      </c>
      <c r="I5096" s="33" t="n">
        <f aca="false">D5096*INDEX(Products!$D$2:$D$49,MATCH(C5096,Products!$A$2:$A$49,0))*(1+INDEX(Assumptions!$B$16:$B$20,MATCH(B5096,Assumptions!$A$16:$A$20,0)))</f>
        <v>24875.76</v>
      </c>
      <c r="J5096" s="33" t="n">
        <f aca="false">H5096-I5096</f>
        <v>4244.24</v>
      </c>
      <c r="K5096" s="33" t="n">
        <f aca="false">IF(OR(E5096=0,E5096&gt;=7),0,D5096/(7-E5096)*E5096*INDEX(Products!$E$2:$E$49,MATCH(C5096,Products!$A$2:$A$49,0)))</f>
        <v>0</v>
      </c>
    </row>
    <row r="5097" customFormat="false" ht="15" hidden="false" customHeight="false" outlineLevel="0" collapsed="false">
      <c r="A5097" s="36" t="n">
        <v>46258</v>
      </c>
      <c r="B5097" s="24" t="s">
        <v>65</v>
      </c>
      <c r="C5097" s="24" t="s">
        <v>137</v>
      </c>
      <c r="D5097" s="33" t="n">
        <v>185</v>
      </c>
      <c r="E5097" s="24" t="n">
        <v>0</v>
      </c>
      <c r="F5097" s="37" t="n">
        <f aca="false">DATE(YEAR(A5097),MONTH(A5097),1)</f>
        <v>46235</v>
      </c>
      <c r="G5097" s="24" t="str">
        <f aca="false">INDEX(Products!$C$2:$C$49,MATCH(C5097,Products!$A$2:$A$49,0))</f>
        <v>Dairy &amp; Eggs</v>
      </c>
      <c r="H5097" s="33" t="n">
        <f aca="false">D5097*INDEX(Products!$E$2:$E$49,MATCH(C5097,Products!$A$2:$A$49,0))</f>
        <v>59200</v>
      </c>
      <c r="I5097" s="33" t="n">
        <f aca="false">D5097*INDEX(Products!$D$2:$D$49,MATCH(C5097,Products!$A$2:$A$49,0))*(1+INDEX(Assumptions!$B$16:$B$20,MATCH(B5097,Assumptions!$A$16:$A$20,0)))</f>
        <v>50571.6</v>
      </c>
      <c r="J5097" s="33" t="n">
        <f aca="false">H5097-I5097</f>
        <v>8628.4</v>
      </c>
      <c r="K5097" s="33" t="n">
        <f aca="false">IF(OR(E5097=0,E5097&gt;=7),0,D5097/(7-E5097)*E5097*INDEX(Products!$E$2:$E$49,MATCH(C5097,Products!$A$2:$A$49,0)))</f>
        <v>0</v>
      </c>
    </row>
    <row r="5098" customFormat="false" ht="15" hidden="false" customHeight="false" outlineLevel="0" collapsed="false">
      <c r="A5098" s="36" t="n">
        <v>46265</v>
      </c>
      <c r="B5098" s="24" t="s">
        <v>65</v>
      </c>
      <c r="C5098" s="24" t="s">
        <v>137</v>
      </c>
      <c r="D5098" s="33" t="n">
        <v>103</v>
      </c>
      <c r="E5098" s="24" t="n">
        <v>0</v>
      </c>
      <c r="F5098" s="37" t="n">
        <f aca="false">DATE(YEAR(A5098),MONTH(A5098),1)</f>
        <v>46235</v>
      </c>
      <c r="G5098" s="24" t="str">
        <f aca="false">INDEX(Products!$C$2:$C$49,MATCH(C5098,Products!$A$2:$A$49,0))</f>
        <v>Dairy &amp; Eggs</v>
      </c>
      <c r="H5098" s="33" t="n">
        <f aca="false">D5098*INDEX(Products!$E$2:$E$49,MATCH(C5098,Products!$A$2:$A$49,0))</f>
        <v>32960</v>
      </c>
      <c r="I5098" s="33" t="n">
        <f aca="false">D5098*INDEX(Products!$D$2:$D$49,MATCH(C5098,Products!$A$2:$A$49,0))*(1+INDEX(Assumptions!$B$16:$B$20,MATCH(B5098,Assumptions!$A$16:$A$20,0)))</f>
        <v>28156.08</v>
      </c>
      <c r="J5098" s="33" t="n">
        <f aca="false">H5098-I5098</f>
        <v>4803.92</v>
      </c>
      <c r="K5098" s="33" t="n">
        <f aca="false">IF(OR(E5098=0,E5098&gt;=7),0,D5098/(7-E5098)*E5098*INDEX(Products!$E$2:$E$49,MATCH(C5098,Products!$A$2:$A$49,0)))</f>
        <v>0</v>
      </c>
    </row>
    <row r="5099" customFormat="false" ht="15" hidden="false" customHeight="false" outlineLevel="0" collapsed="false">
      <c r="A5099" s="36" t="n">
        <v>46272</v>
      </c>
      <c r="B5099" s="24" t="s">
        <v>65</v>
      </c>
      <c r="C5099" s="24" t="s">
        <v>137</v>
      </c>
      <c r="D5099" s="33" t="n">
        <v>82</v>
      </c>
      <c r="E5099" s="24" t="n">
        <v>0</v>
      </c>
      <c r="F5099" s="37" t="n">
        <f aca="false">DATE(YEAR(A5099),MONTH(A5099),1)</f>
        <v>46266</v>
      </c>
      <c r="G5099" s="24" t="str">
        <f aca="false">INDEX(Products!$C$2:$C$49,MATCH(C5099,Products!$A$2:$A$49,0))</f>
        <v>Dairy &amp; Eggs</v>
      </c>
      <c r="H5099" s="33" t="n">
        <f aca="false">D5099*INDEX(Products!$E$2:$E$49,MATCH(C5099,Products!$A$2:$A$49,0))</f>
        <v>26240</v>
      </c>
      <c r="I5099" s="33" t="n">
        <f aca="false">D5099*INDEX(Products!$D$2:$D$49,MATCH(C5099,Products!$A$2:$A$49,0))*(1+INDEX(Assumptions!$B$16:$B$20,MATCH(B5099,Assumptions!$A$16:$A$20,0)))</f>
        <v>22415.52</v>
      </c>
      <c r="J5099" s="33" t="n">
        <f aca="false">H5099-I5099</f>
        <v>3824.48</v>
      </c>
      <c r="K5099" s="33" t="n">
        <f aca="false">IF(OR(E5099=0,E5099&gt;=7),0,D5099/(7-E5099)*E5099*INDEX(Products!$E$2:$E$49,MATCH(C5099,Products!$A$2:$A$49,0)))</f>
        <v>0</v>
      </c>
    </row>
    <row r="5100" customFormat="false" ht="15" hidden="false" customHeight="false" outlineLevel="0" collapsed="false">
      <c r="A5100" s="36" t="n">
        <v>46279</v>
      </c>
      <c r="B5100" s="24" t="s">
        <v>65</v>
      </c>
      <c r="C5100" s="24" t="s">
        <v>137</v>
      </c>
      <c r="D5100" s="33" t="n">
        <v>102</v>
      </c>
      <c r="E5100" s="24" t="n">
        <v>0</v>
      </c>
      <c r="F5100" s="37" t="n">
        <f aca="false">DATE(YEAR(A5100),MONTH(A5100),1)</f>
        <v>46266</v>
      </c>
      <c r="G5100" s="24" t="str">
        <f aca="false">INDEX(Products!$C$2:$C$49,MATCH(C5100,Products!$A$2:$A$49,0))</f>
        <v>Dairy &amp; Eggs</v>
      </c>
      <c r="H5100" s="33" t="n">
        <f aca="false">D5100*INDEX(Products!$E$2:$E$49,MATCH(C5100,Products!$A$2:$A$49,0))</f>
        <v>32640</v>
      </c>
      <c r="I5100" s="33" t="n">
        <f aca="false">D5100*INDEX(Products!$D$2:$D$49,MATCH(C5100,Products!$A$2:$A$49,0))*(1+INDEX(Assumptions!$B$16:$B$20,MATCH(B5100,Assumptions!$A$16:$A$20,0)))</f>
        <v>27882.72</v>
      </c>
      <c r="J5100" s="33" t="n">
        <f aca="false">H5100-I5100</f>
        <v>4757.28</v>
      </c>
      <c r="K5100" s="33" t="n">
        <f aca="false">IF(OR(E5100=0,E5100&gt;=7),0,D5100/(7-E5100)*E5100*INDEX(Products!$E$2:$E$49,MATCH(C5100,Products!$A$2:$A$49,0)))</f>
        <v>0</v>
      </c>
    </row>
    <row r="5101" customFormat="false" ht="15" hidden="false" customHeight="false" outlineLevel="0" collapsed="false">
      <c r="A5101" s="36" t="n">
        <v>46286</v>
      </c>
      <c r="B5101" s="24" t="s">
        <v>65</v>
      </c>
      <c r="C5101" s="24" t="s">
        <v>137</v>
      </c>
      <c r="D5101" s="33" t="n">
        <v>135</v>
      </c>
      <c r="E5101" s="24" t="n">
        <v>2</v>
      </c>
      <c r="F5101" s="37" t="n">
        <f aca="false">DATE(YEAR(A5101),MONTH(A5101),1)</f>
        <v>46266</v>
      </c>
      <c r="G5101" s="24" t="str">
        <f aca="false">INDEX(Products!$C$2:$C$49,MATCH(C5101,Products!$A$2:$A$49,0))</f>
        <v>Dairy &amp; Eggs</v>
      </c>
      <c r="H5101" s="33" t="n">
        <f aca="false">D5101*INDEX(Products!$E$2:$E$49,MATCH(C5101,Products!$A$2:$A$49,0))</f>
        <v>43200</v>
      </c>
      <c r="I5101" s="33" t="n">
        <f aca="false">D5101*INDEX(Products!$D$2:$D$49,MATCH(C5101,Products!$A$2:$A$49,0))*(1+INDEX(Assumptions!$B$16:$B$20,MATCH(B5101,Assumptions!$A$16:$A$20,0)))</f>
        <v>36903.6</v>
      </c>
      <c r="J5101" s="33" t="n">
        <f aca="false">H5101-I5101</f>
        <v>6296.4</v>
      </c>
      <c r="K5101" s="33" t="n">
        <f aca="false">IF(OR(E5101=0,E5101&gt;=7),0,D5101/(7-E5101)*E5101*INDEX(Products!$E$2:$E$49,MATCH(C5101,Products!$A$2:$A$49,0)))</f>
        <v>17280</v>
      </c>
    </row>
    <row r="5102" customFormat="false" ht="15" hidden="false" customHeight="false" outlineLevel="0" collapsed="false">
      <c r="A5102" s="36" t="n">
        <v>46118</v>
      </c>
      <c r="B5102" s="24" t="s">
        <v>65</v>
      </c>
      <c r="C5102" s="24" t="s">
        <v>139</v>
      </c>
      <c r="D5102" s="33" t="n">
        <v>198</v>
      </c>
      <c r="E5102" s="24" t="n">
        <v>0</v>
      </c>
      <c r="F5102" s="37" t="n">
        <f aca="false">DATE(YEAR(A5102),MONTH(A5102),1)</f>
        <v>46113</v>
      </c>
      <c r="G5102" s="24" t="str">
        <f aca="false">INDEX(Products!$C$2:$C$49,MATCH(C5102,Products!$A$2:$A$49,0))</f>
        <v>Dairy &amp; Eggs</v>
      </c>
      <c r="H5102" s="33" t="n">
        <f aca="false">D5102*INDEX(Products!$E$2:$E$49,MATCH(C5102,Products!$A$2:$A$49,0))</f>
        <v>102960</v>
      </c>
      <c r="I5102" s="33" t="n">
        <f aca="false">D5102*INDEX(Products!$D$2:$D$49,MATCH(C5102,Products!$A$2:$A$49,0))*(1+INDEX(Assumptions!$B$16:$B$20,MATCH(B5102,Assumptions!$A$16:$A$20,0)))</f>
        <v>86640.84</v>
      </c>
      <c r="J5102" s="33" t="n">
        <f aca="false">H5102-I5102</f>
        <v>16319.16</v>
      </c>
      <c r="K5102" s="33" t="n">
        <f aca="false">IF(OR(E5102=0,E5102&gt;=7),0,D5102/(7-E5102)*E5102*INDEX(Products!$E$2:$E$49,MATCH(C5102,Products!$A$2:$A$49,0)))</f>
        <v>0</v>
      </c>
    </row>
    <row r="5103" customFormat="false" ht="15" hidden="false" customHeight="false" outlineLevel="0" collapsed="false">
      <c r="A5103" s="36" t="n">
        <v>46125</v>
      </c>
      <c r="B5103" s="24" t="s">
        <v>65</v>
      </c>
      <c r="C5103" s="24" t="s">
        <v>139</v>
      </c>
      <c r="D5103" s="33" t="n">
        <v>354</v>
      </c>
      <c r="E5103" s="24" t="n">
        <v>0</v>
      </c>
      <c r="F5103" s="37" t="n">
        <f aca="false">DATE(YEAR(A5103),MONTH(A5103),1)</f>
        <v>46113</v>
      </c>
      <c r="G5103" s="24" t="str">
        <f aca="false">INDEX(Products!$C$2:$C$49,MATCH(C5103,Products!$A$2:$A$49,0))</f>
        <v>Dairy &amp; Eggs</v>
      </c>
      <c r="H5103" s="33" t="n">
        <f aca="false">D5103*INDEX(Products!$E$2:$E$49,MATCH(C5103,Products!$A$2:$A$49,0))</f>
        <v>184080</v>
      </c>
      <c r="I5103" s="33" t="n">
        <f aca="false">D5103*INDEX(Products!$D$2:$D$49,MATCH(C5103,Products!$A$2:$A$49,0))*(1+INDEX(Assumptions!$B$16:$B$20,MATCH(B5103,Assumptions!$A$16:$A$20,0)))</f>
        <v>154903.32</v>
      </c>
      <c r="J5103" s="33" t="n">
        <f aca="false">H5103-I5103</f>
        <v>29176.68</v>
      </c>
      <c r="K5103" s="33" t="n">
        <f aca="false">IF(OR(E5103=0,E5103&gt;=7),0,D5103/(7-E5103)*E5103*INDEX(Products!$E$2:$E$49,MATCH(C5103,Products!$A$2:$A$49,0)))</f>
        <v>0</v>
      </c>
    </row>
    <row r="5104" customFormat="false" ht="15" hidden="false" customHeight="false" outlineLevel="0" collapsed="false">
      <c r="A5104" s="36" t="n">
        <v>46132</v>
      </c>
      <c r="B5104" s="24" t="s">
        <v>65</v>
      </c>
      <c r="C5104" s="24" t="s">
        <v>139</v>
      </c>
      <c r="D5104" s="33" t="n">
        <v>221</v>
      </c>
      <c r="E5104" s="24" t="n">
        <v>0</v>
      </c>
      <c r="F5104" s="37" t="n">
        <f aca="false">DATE(YEAR(A5104),MONTH(A5104),1)</f>
        <v>46113</v>
      </c>
      <c r="G5104" s="24" t="str">
        <f aca="false">INDEX(Products!$C$2:$C$49,MATCH(C5104,Products!$A$2:$A$49,0))</f>
        <v>Dairy &amp; Eggs</v>
      </c>
      <c r="H5104" s="33" t="n">
        <f aca="false">D5104*INDEX(Products!$E$2:$E$49,MATCH(C5104,Products!$A$2:$A$49,0))</f>
        <v>114920</v>
      </c>
      <c r="I5104" s="33" t="n">
        <f aca="false">D5104*INDEX(Products!$D$2:$D$49,MATCH(C5104,Products!$A$2:$A$49,0))*(1+INDEX(Assumptions!$B$16:$B$20,MATCH(B5104,Assumptions!$A$16:$A$20,0)))</f>
        <v>96705.18</v>
      </c>
      <c r="J5104" s="33" t="n">
        <f aca="false">H5104-I5104</f>
        <v>18214.82</v>
      </c>
      <c r="K5104" s="33" t="n">
        <f aca="false">IF(OR(E5104=0,E5104&gt;=7),0,D5104/(7-E5104)*E5104*INDEX(Products!$E$2:$E$49,MATCH(C5104,Products!$A$2:$A$49,0)))</f>
        <v>0</v>
      </c>
    </row>
    <row r="5105" customFormat="false" ht="15" hidden="false" customHeight="false" outlineLevel="0" collapsed="false">
      <c r="A5105" s="36" t="n">
        <v>46139</v>
      </c>
      <c r="B5105" s="24" t="s">
        <v>65</v>
      </c>
      <c r="C5105" s="24" t="s">
        <v>139</v>
      </c>
      <c r="D5105" s="33" t="n">
        <v>243</v>
      </c>
      <c r="E5105" s="24" t="n">
        <v>0</v>
      </c>
      <c r="F5105" s="37" t="n">
        <f aca="false">DATE(YEAR(A5105),MONTH(A5105),1)</f>
        <v>46113</v>
      </c>
      <c r="G5105" s="24" t="str">
        <f aca="false">INDEX(Products!$C$2:$C$49,MATCH(C5105,Products!$A$2:$A$49,0))</f>
        <v>Dairy &amp; Eggs</v>
      </c>
      <c r="H5105" s="33" t="n">
        <f aca="false">D5105*INDEX(Products!$E$2:$E$49,MATCH(C5105,Products!$A$2:$A$49,0))</f>
        <v>126360</v>
      </c>
      <c r="I5105" s="33" t="n">
        <f aca="false">D5105*INDEX(Products!$D$2:$D$49,MATCH(C5105,Products!$A$2:$A$49,0))*(1+INDEX(Assumptions!$B$16:$B$20,MATCH(B5105,Assumptions!$A$16:$A$20,0)))</f>
        <v>106331.94</v>
      </c>
      <c r="J5105" s="33" t="n">
        <f aca="false">H5105-I5105</f>
        <v>20028.06</v>
      </c>
      <c r="K5105" s="33" t="n">
        <f aca="false">IF(OR(E5105=0,E5105&gt;=7),0,D5105/(7-E5105)*E5105*INDEX(Products!$E$2:$E$49,MATCH(C5105,Products!$A$2:$A$49,0)))</f>
        <v>0</v>
      </c>
    </row>
    <row r="5106" customFormat="false" ht="15" hidden="false" customHeight="false" outlineLevel="0" collapsed="false">
      <c r="A5106" s="36" t="n">
        <v>46146</v>
      </c>
      <c r="B5106" s="24" t="s">
        <v>65</v>
      </c>
      <c r="C5106" s="24" t="s">
        <v>139</v>
      </c>
      <c r="D5106" s="33" t="n">
        <v>189</v>
      </c>
      <c r="E5106" s="24" t="n">
        <v>0</v>
      </c>
      <c r="F5106" s="37" t="n">
        <f aca="false">DATE(YEAR(A5106),MONTH(A5106),1)</f>
        <v>46143</v>
      </c>
      <c r="G5106" s="24" t="str">
        <f aca="false">INDEX(Products!$C$2:$C$49,MATCH(C5106,Products!$A$2:$A$49,0))</f>
        <v>Dairy &amp; Eggs</v>
      </c>
      <c r="H5106" s="33" t="n">
        <f aca="false">D5106*INDEX(Products!$E$2:$E$49,MATCH(C5106,Products!$A$2:$A$49,0))</f>
        <v>98280</v>
      </c>
      <c r="I5106" s="33" t="n">
        <f aca="false">D5106*INDEX(Products!$D$2:$D$49,MATCH(C5106,Products!$A$2:$A$49,0))*(1+INDEX(Assumptions!$B$16:$B$20,MATCH(B5106,Assumptions!$A$16:$A$20,0)))</f>
        <v>82702.62</v>
      </c>
      <c r="J5106" s="33" t="n">
        <f aca="false">H5106-I5106</f>
        <v>15577.38</v>
      </c>
      <c r="K5106" s="33" t="n">
        <f aca="false">IF(OR(E5106=0,E5106&gt;=7),0,D5106/(7-E5106)*E5106*INDEX(Products!$E$2:$E$49,MATCH(C5106,Products!$A$2:$A$49,0)))</f>
        <v>0</v>
      </c>
    </row>
    <row r="5107" customFormat="false" ht="15" hidden="false" customHeight="false" outlineLevel="0" collapsed="false">
      <c r="A5107" s="36" t="n">
        <v>46153</v>
      </c>
      <c r="B5107" s="24" t="s">
        <v>65</v>
      </c>
      <c r="C5107" s="24" t="s">
        <v>139</v>
      </c>
      <c r="D5107" s="33" t="n">
        <v>203</v>
      </c>
      <c r="E5107" s="24" t="n">
        <v>0</v>
      </c>
      <c r="F5107" s="37" t="n">
        <f aca="false">DATE(YEAR(A5107),MONTH(A5107),1)</f>
        <v>46143</v>
      </c>
      <c r="G5107" s="24" t="str">
        <f aca="false">INDEX(Products!$C$2:$C$49,MATCH(C5107,Products!$A$2:$A$49,0))</f>
        <v>Dairy &amp; Eggs</v>
      </c>
      <c r="H5107" s="33" t="n">
        <f aca="false">D5107*INDEX(Products!$E$2:$E$49,MATCH(C5107,Products!$A$2:$A$49,0))</f>
        <v>105560</v>
      </c>
      <c r="I5107" s="33" t="n">
        <f aca="false">D5107*INDEX(Products!$D$2:$D$49,MATCH(C5107,Products!$A$2:$A$49,0))*(1+INDEX(Assumptions!$B$16:$B$20,MATCH(B5107,Assumptions!$A$16:$A$20,0)))</f>
        <v>88828.74</v>
      </c>
      <c r="J5107" s="33" t="n">
        <f aca="false">H5107-I5107</f>
        <v>16731.26</v>
      </c>
      <c r="K5107" s="33" t="n">
        <f aca="false">IF(OR(E5107=0,E5107&gt;=7),0,D5107/(7-E5107)*E5107*INDEX(Products!$E$2:$E$49,MATCH(C5107,Products!$A$2:$A$49,0)))</f>
        <v>0</v>
      </c>
    </row>
    <row r="5108" customFormat="false" ht="15" hidden="false" customHeight="false" outlineLevel="0" collapsed="false">
      <c r="A5108" s="36" t="n">
        <v>46160</v>
      </c>
      <c r="B5108" s="24" t="s">
        <v>65</v>
      </c>
      <c r="C5108" s="24" t="s">
        <v>139</v>
      </c>
      <c r="D5108" s="33" t="n">
        <v>197</v>
      </c>
      <c r="E5108" s="24" t="n">
        <v>0</v>
      </c>
      <c r="F5108" s="37" t="n">
        <f aca="false">DATE(YEAR(A5108),MONTH(A5108),1)</f>
        <v>46143</v>
      </c>
      <c r="G5108" s="24" t="str">
        <f aca="false">INDEX(Products!$C$2:$C$49,MATCH(C5108,Products!$A$2:$A$49,0))</f>
        <v>Dairy &amp; Eggs</v>
      </c>
      <c r="H5108" s="33" t="n">
        <f aca="false">D5108*INDEX(Products!$E$2:$E$49,MATCH(C5108,Products!$A$2:$A$49,0))</f>
        <v>102440</v>
      </c>
      <c r="I5108" s="33" t="n">
        <f aca="false">D5108*INDEX(Products!$D$2:$D$49,MATCH(C5108,Products!$A$2:$A$49,0))*(1+INDEX(Assumptions!$B$16:$B$20,MATCH(B5108,Assumptions!$A$16:$A$20,0)))</f>
        <v>86203.26</v>
      </c>
      <c r="J5108" s="33" t="n">
        <f aca="false">H5108-I5108</f>
        <v>16236.74</v>
      </c>
      <c r="K5108" s="33" t="n">
        <f aca="false">IF(OR(E5108=0,E5108&gt;=7),0,D5108/(7-E5108)*E5108*INDEX(Products!$E$2:$E$49,MATCH(C5108,Products!$A$2:$A$49,0)))</f>
        <v>0</v>
      </c>
    </row>
    <row r="5109" customFormat="false" ht="15" hidden="false" customHeight="false" outlineLevel="0" collapsed="false">
      <c r="A5109" s="36" t="n">
        <v>46167</v>
      </c>
      <c r="B5109" s="24" t="s">
        <v>65</v>
      </c>
      <c r="C5109" s="24" t="s">
        <v>139</v>
      </c>
      <c r="D5109" s="33" t="n">
        <v>191</v>
      </c>
      <c r="E5109" s="24" t="n">
        <v>0</v>
      </c>
      <c r="F5109" s="37" t="n">
        <f aca="false">DATE(YEAR(A5109),MONTH(A5109),1)</f>
        <v>46143</v>
      </c>
      <c r="G5109" s="24" t="str">
        <f aca="false">INDEX(Products!$C$2:$C$49,MATCH(C5109,Products!$A$2:$A$49,0))</f>
        <v>Dairy &amp; Eggs</v>
      </c>
      <c r="H5109" s="33" t="n">
        <f aca="false">D5109*INDEX(Products!$E$2:$E$49,MATCH(C5109,Products!$A$2:$A$49,0))</f>
        <v>99320</v>
      </c>
      <c r="I5109" s="33" t="n">
        <f aca="false">D5109*INDEX(Products!$D$2:$D$49,MATCH(C5109,Products!$A$2:$A$49,0))*(1+INDEX(Assumptions!$B$16:$B$20,MATCH(B5109,Assumptions!$A$16:$A$20,0)))</f>
        <v>83577.78</v>
      </c>
      <c r="J5109" s="33" t="n">
        <f aca="false">H5109-I5109</f>
        <v>15742.22</v>
      </c>
      <c r="K5109" s="33" t="n">
        <f aca="false">IF(OR(E5109=0,E5109&gt;=7),0,D5109/(7-E5109)*E5109*INDEX(Products!$E$2:$E$49,MATCH(C5109,Products!$A$2:$A$49,0)))</f>
        <v>0</v>
      </c>
    </row>
    <row r="5110" customFormat="false" ht="15" hidden="false" customHeight="false" outlineLevel="0" collapsed="false">
      <c r="A5110" s="36" t="n">
        <v>46174</v>
      </c>
      <c r="B5110" s="24" t="s">
        <v>65</v>
      </c>
      <c r="C5110" s="24" t="s">
        <v>139</v>
      </c>
      <c r="D5110" s="33" t="n">
        <v>164</v>
      </c>
      <c r="E5110" s="24" t="n">
        <v>0</v>
      </c>
      <c r="F5110" s="37" t="n">
        <f aca="false">DATE(YEAR(A5110),MONTH(A5110),1)</f>
        <v>46174</v>
      </c>
      <c r="G5110" s="24" t="str">
        <f aca="false">INDEX(Products!$C$2:$C$49,MATCH(C5110,Products!$A$2:$A$49,0))</f>
        <v>Dairy &amp; Eggs</v>
      </c>
      <c r="H5110" s="33" t="n">
        <f aca="false">D5110*INDEX(Products!$E$2:$E$49,MATCH(C5110,Products!$A$2:$A$49,0))</f>
        <v>85280</v>
      </c>
      <c r="I5110" s="33" t="n">
        <f aca="false">D5110*INDEX(Products!$D$2:$D$49,MATCH(C5110,Products!$A$2:$A$49,0))*(1+INDEX(Assumptions!$B$16:$B$20,MATCH(B5110,Assumptions!$A$16:$A$20,0)))</f>
        <v>71763.12</v>
      </c>
      <c r="J5110" s="33" t="n">
        <f aca="false">H5110-I5110</f>
        <v>13516.88</v>
      </c>
      <c r="K5110" s="33" t="n">
        <f aca="false">IF(OR(E5110=0,E5110&gt;=7),0,D5110/(7-E5110)*E5110*INDEX(Products!$E$2:$E$49,MATCH(C5110,Products!$A$2:$A$49,0)))</f>
        <v>0</v>
      </c>
    </row>
    <row r="5111" customFormat="false" ht="15" hidden="false" customHeight="false" outlineLevel="0" collapsed="false">
      <c r="A5111" s="36" t="n">
        <v>46181</v>
      </c>
      <c r="B5111" s="24" t="s">
        <v>65</v>
      </c>
      <c r="C5111" s="24" t="s">
        <v>139</v>
      </c>
      <c r="D5111" s="33" t="n">
        <v>193</v>
      </c>
      <c r="E5111" s="24" t="n">
        <v>0</v>
      </c>
      <c r="F5111" s="37" t="n">
        <f aca="false">DATE(YEAR(A5111),MONTH(A5111),1)</f>
        <v>46174</v>
      </c>
      <c r="G5111" s="24" t="str">
        <f aca="false">INDEX(Products!$C$2:$C$49,MATCH(C5111,Products!$A$2:$A$49,0))</f>
        <v>Dairy &amp; Eggs</v>
      </c>
      <c r="H5111" s="33" t="n">
        <f aca="false">D5111*INDEX(Products!$E$2:$E$49,MATCH(C5111,Products!$A$2:$A$49,0))</f>
        <v>100360</v>
      </c>
      <c r="I5111" s="33" t="n">
        <f aca="false">D5111*INDEX(Products!$D$2:$D$49,MATCH(C5111,Products!$A$2:$A$49,0))*(1+INDEX(Assumptions!$B$16:$B$20,MATCH(B5111,Assumptions!$A$16:$A$20,0)))</f>
        <v>84452.94</v>
      </c>
      <c r="J5111" s="33" t="n">
        <f aca="false">H5111-I5111</f>
        <v>15907.06</v>
      </c>
      <c r="K5111" s="33" t="n">
        <f aca="false">IF(OR(E5111=0,E5111&gt;=7),0,D5111/(7-E5111)*E5111*INDEX(Products!$E$2:$E$49,MATCH(C5111,Products!$A$2:$A$49,0)))</f>
        <v>0</v>
      </c>
    </row>
    <row r="5112" customFormat="false" ht="15" hidden="false" customHeight="false" outlineLevel="0" collapsed="false">
      <c r="A5112" s="36" t="n">
        <v>46188</v>
      </c>
      <c r="B5112" s="24" t="s">
        <v>65</v>
      </c>
      <c r="C5112" s="24" t="s">
        <v>139</v>
      </c>
      <c r="D5112" s="33" t="n">
        <v>199</v>
      </c>
      <c r="E5112" s="24" t="n">
        <v>0</v>
      </c>
      <c r="F5112" s="37" t="n">
        <f aca="false">DATE(YEAR(A5112),MONTH(A5112),1)</f>
        <v>46174</v>
      </c>
      <c r="G5112" s="24" t="str">
        <f aca="false">INDEX(Products!$C$2:$C$49,MATCH(C5112,Products!$A$2:$A$49,0))</f>
        <v>Dairy &amp; Eggs</v>
      </c>
      <c r="H5112" s="33" t="n">
        <f aca="false">D5112*INDEX(Products!$E$2:$E$49,MATCH(C5112,Products!$A$2:$A$49,0))</f>
        <v>103480</v>
      </c>
      <c r="I5112" s="33" t="n">
        <f aca="false">D5112*INDEX(Products!$D$2:$D$49,MATCH(C5112,Products!$A$2:$A$49,0))*(1+INDEX(Assumptions!$B$16:$B$20,MATCH(B5112,Assumptions!$A$16:$A$20,0)))</f>
        <v>87078.42</v>
      </c>
      <c r="J5112" s="33" t="n">
        <f aca="false">H5112-I5112</f>
        <v>16401.58</v>
      </c>
      <c r="K5112" s="33" t="n">
        <f aca="false">IF(OR(E5112=0,E5112&gt;=7),0,D5112/(7-E5112)*E5112*INDEX(Products!$E$2:$E$49,MATCH(C5112,Products!$A$2:$A$49,0)))</f>
        <v>0</v>
      </c>
    </row>
    <row r="5113" customFormat="false" ht="15" hidden="false" customHeight="false" outlineLevel="0" collapsed="false">
      <c r="A5113" s="36" t="n">
        <v>46195</v>
      </c>
      <c r="B5113" s="24" t="s">
        <v>65</v>
      </c>
      <c r="C5113" s="24" t="s">
        <v>139</v>
      </c>
      <c r="D5113" s="33" t="n">
        <v>210</v>
      </c>
      <c r="E5113" s="24" t="n">
        <v>0</v>
      </c>
      <c r="F5113" s="37" t="n">
        <f aca="false">DATE(YEAR(A5113),MONTH(A5113),1)</f>
        <v>46174</v>
      </c>
      <c r="G5113" s="24" t="str">
        <f aca="false">INDEX(Products!$C$2:$C$49,MATCH(C5113,Products!$A$2:$A$49,0))</f>
        <v>Dairy &amp; Eggs</v>
      </c>
      <c r="H5113" s="33" t="n">
        <f aca="false">D5113*INDEX(Products!$E$2:$E$49,MATCH(C5113,Products!$A$2:$A$49,0))</f>
        <v>109200</v>
      </c>
      <c r="I5113" s="33" t="n">
        <f aca="false">D5113*INDEX(Products!$D$2:$D$49,MATCH(C5113,Products!$A$2:$A$49,0))*(1+INDEX(Assumptions!$B$16:$B$20,MATCH(B5113,Assumptions!$A$16:$A$20,0)))</f>
        <v>91891.8</v>
      </c>
      <c r="J5113" s="33" t="n">
        <f aca="false">H5113-I5113</f>
        <v>17308.2</v>
      </c>
      <c r="K5113" s="33" t="n">
        <f aca="false">IF(OR(E5113=0,E5113&gt;=7),0,D5113/(7-E5113)*E5113*INDEX(Products!$E$2:$E$49,MATCH(C5113,Products!$A$2:$A$49,0)))</f>
        <v>0</v>
      </c>
    </row>
    <row r="5114" customFormat="false" ht="15" hidden="false" customHeight="false" outlineLevel="0" collapsed="false">
      <c r="A5114" s="36" t="n">
        <v>46202</v>
      </c>
      <c r="B5114" s="24" t="s">
        <v>65</v>
      </c>
      <c r="C5114" s="24" t="s">
        <v>139</v>
      </c>
      <c r="D5114" s="33" t="n">
        <v>235</v>
      </c>
      <c r="E5114" s="24" t="n">
        <v>0</v>
      </c>
      <c r="F5114" s="37" t="n">
        <f aca="false">DATE(YEAR(A5114),MONTH(A5114),1)</f>
        <v>46174</v>
      </c>
      <c r="G5114" s="24" t="str">
        <f aca="false">INDEX(Products!$C$2:$C$49,MATCH(C5114,Products!$A$2:$A$49,0))</f>
        <v>Dairy &amp; Eggs</v>
      </c>
      <c r="H5114" s="33" t="n">
        <f aca="false">D5114*INDEX(Products!$E$2:$E$49,MATCH(C5114,Products!$A$2:$A$49,0))</f>
        <v>122200</v>
      </c>
      <c r="I5114" s="33" t="n">
        <f aca="false">D5114*INDEX(Products!$D$2:$D$49,MATCH(C5114,Products!$A$2:$A$49,0))*(1+INDEX(Assumptions!$B$16:$B$20,MATCH(B5114,Assumptions!$A$16:$A$20,0)))</f>
        <v>102831.3</v>
      </c>
      <c r="J5114" s="33" t="n">
        <f aca="false">H5114-I5114</f>
        <v>19368.7</v>
      </c>
      <c r="K5114" s="33" t="n">
        <f aca="false">IF(OR(E5114=0,E5114&gt;=7),0,D5114/(7-E5114)*E5114*INDEX(Products!$E$2:$E$49,MATCH(C5114,Products!$A$2:$A$49,0)))</f>
        <v>0</v>
      </c>
    </row>
    <row r="5115" customFormat="false" ht="15" hidden="false" customHeight="false" outlineLevel="0" collapsed="false">
      <c r="A5115" s="36" t="n">
        <v>46209</v>
      </c>
      <c r="B5115" s="24" t="s">
        <v>65</v>
      </c>
      <c r="C5115" s="24" t="s">
        <v>139</v>
      </c>
      <c r="D5115" s="33" t="n">
        <v>178</v>
      </c>
      <c r="E5115" s="24" t="n">
        <v>0</v>
      </c>
      <c r="F5115" s="37" t="n">
        <f aca="false">DATE(YEAR(A5115),MONTH(A5115),1)</f>
        <v>46204</v>
      </c>
      <c r="G5115" s="24" t="str">
        <f aca="false">INDEX(Products!$C$2:$C$49,MATCH(C5115,Products!$A$2:$A$49,0))</f>
        <v>Dairy &amp; Eggs</v>
      </c>
      <c r="H5115" s="33" t="n">
        <f aca="false">D5115*INDEX(Products!$E$2:$E$49,MATCH(C5115,Products!$A$2:$A$49,0))</f>
        <v>92560</v>
      </c>
      <c r="I5115" s="33" t="n">
        <f aca="false">D5115*INDEX(Products!$D$2:$D$49,MATCH(C5115,Products!$A$2:$A$49,0))*(1+INDEX(Assumptions!$B$16:$B$20,MATCH(B5115,Assumptions!$A$16:$A$20,0)))</f>
        <v>77889.24</v>
      </c>
      <c r="J5115" s="33" t="n">
        <f aca="false">H5115-I5115</f>
        <v>14670.76</v>
      </c>
      <c r="K5115" s="33" t="n">
        <f aca="false">IF(OR(E5115=0,E5115&gt;=7),0,D5115/(7-E5115)*E5115*INDEX(Products!$E$2:$E$49,MATCH(C5115,Products!$A$2:$A$49,0)))</f>
        <v>0</v>
      </c>
    </row>
    <row r="5116" customFormat="false" ht="15" hidden="false" customHeight="false" outlineLevel="0" collapsed="false">
      <c r="A5116" s="36" t="n">
        <v>46216</v>
      </c>
      <c r="B5116" s="24" t="s">
        <v>65</v>
      </c>
      <c r="C5116" s="24" t="s">
        <v>139</v>
      </c>
      <c r="D5116" s="33" t="n">
        <v>196</v>
      </c>
      <c r="E5116" s="24" t="n">
        <v>0</v>
      </c>
      <c r="F5116" s="37" t="n">
        <f aca="false">DATE(YEAR(A5116),MONTH(A5116),1)</f>
        <v>46204</v>
      </c>
      <c r="G5116" s="24" t="str">
        <f aca="false">INDEX(Products!$C$2:$C$49,MATCH(C5116,Products!$A$2:$A$49,0))</f>
        <v>Dairy &amp; Eggs</v>
      </c>
      <c r="H5116" s="33" t="n">
        <f aca="false">D5116*INDEX(Products!$E$2:$E$49,MATCH(C5116,Products!$A$2:$A$49,0))</f>
        <v>101920</v>
      </c>
      <c r="I5116" s="33" t="n">
        <f aca="false">D5116*INDEX(Products!$D$2:$D$49,MATCH(C5116,Products!$A$2:$A$49,0))*(1+INDEX(Assumptions!$B$16:$B$20,MATCH(B5116,Assumptions!$A$16:$A$20,0)))</f>
        <v>85765.68</v>
      </c>
      <c r="J5116" s="33" t="n">
        <f aca="false">H5116-I5116</f>
        <v>16154.32</v>
      </c>
      <c r="K5116" s="33" t="n">
        <f aca="false">IF(OR(E5116=0,E5116&gt;=7),0,D5116/(7-E5116)*E5116*INDEX(Products!$E$2:$E$49,MATCH(C5116,Products!$A$2:$A$49,0)))</f>
        <v>0</v>
      </c>
    </row>
    <row r="5117" customFormat="false" ht="15" hidden="false" customHeight="false" outlineLevel="0" collapsed="false">
      <c r="A5117" s="36" t="n">
        <v>46223</v>
      </c>
      <c r="B5117" s="24" t="s">
        <v>65</v>
      </c>
      <c r="C5117" s="24" t="s">
        <v>139</v>
      </c>
      <c r="D5117" s="33" t="n">
        <v>381</v>
      </c>
      <c r="E5117" s="24" t="n">
        <v>0</v>
      </c>
      <c r="F5117" s="37" t="n">
        <f aca="false">DATE(YEAR(A5117),MONTH(A5117),1)</f>
        <v>46204</v>
      </c>
      <c r="G5117" s="24" t="str">
        <f aca="false">INDEX(Products!$C$2:$C$49,MATCH(C5117,Products!$A$2:$A$49,0))</f>
        <v>Dairy &amp; Eggs</v>
      </c>
      <c r="H5117" s="33" t="n">
        <f aca="false">D5117*INDEX(Products!$E$2:$E$49,MATCH(C5117,Products!$A$2:$A$49,0))</f>
        <v>198120</v>
      </c>
      <c r="I5117" s="33" t="n">
        <f aca="false">D5117*INDEX(Products!$D$2:$D$49,MATCH(C5117,Products!$A$2:$A$49,0))*(1+INDEX(Assumptions!$B$16:$B$20,MATCH(B5117,Assumptions!$A$16:$A$20,0)))</f>
        <v>166717.98</v>
      </c>
      <c r="J5117" s="33" t="n">
        <f aca="false">H5117-I5117</f>
        <v>31402.02</v>
      </c>
      <c r="K5117" s="33" t="n">
        <f aca="false">IF(OR(E5117=0,E5117&gt;=7),0,D5117/(7-E5117)*E5117*INDEX(Products!$E$2:$E$49,MATCH(C5117,Products!$A$2:$A$49,0)))</f>
        <v>0</v>
      </c>
    </row>
    <row r="5118" customFormat="false" ht="15" hidden="false" customHeight="false" outlineLevel="0" collapsed="false">
      <c r="A5118" s="36" t="n">
        <v>46230</v>
      </c>
      <c r="B5118" s="24" t="s">
        <v>65</v>
      </c>
      <c r="C5118" s="24" t="s">
        <v>139</v>
      </c>
      <c r="D5118" s="33" t="n">
        <v>187</v>
      </c>
      <c r="E5118" s="24" t="n">
        <v>0</v>
      </c>
      <c r="F5118" s="37" t="n">
        <f aca="false">DATE(YEAR(A5118),MONTH(A5118),1)</f>
        <v>46204</v>
      </c>
      <c r="G5118" s="24" t="str">
        <f aca="false">INDEX(Products!$C$2:$C$49,MATCH(C5118,Products!$A$2:$A$49,0))</f>
        <v>Dairy &amp; Eggs</v>
      </c>
      <c r="H5118" s="33" t="n">
        <f aca="false">D5118*INDEX(Products!$E$2:$E$49,MATCH(C5118,Products!$A$2:$A$49,0))</f>
        <v>97240</v>
      </c>
      <c r="I5118" s="33" t="n">
        <f aca="false">D5118*INDEX(Products!$D$2:$D$49,MATCH(C5118,Products!$A$2:$A$49,0))*(1+INDEX(Assumptions!$B$16:$B$20,MATCH(B5118,Assumptions!$A$16:$A$20,0)))</f>
        <v>81827.46</v>
      </c>
      <c r="J5118" s="33" t="n">
        <f aca="false">H5118-I5118</f>
        <v>15412.54</v>
      </c>
      <c r="K5118" s="33" t="n">
        <f aca="false">IF(OR(E5118=0,E5118&gt;=7),0,D5118/(7-E5118)*E5118*INDEX(Products!$E$2:$E$49,MATCH(C5118,Products!$A$2:$A$49,0)))</f>
        <v>0</v>
      </c>
    </row>
    <row r="5119" customFormat="false" ht="15" hidden="false" customHeight="false" outlineLevel="0" collapsed="false">
      <c r="A5119" s="36" t="n">
        <v>46237</v>
      </c>
      <c r="B5119" s="24" t="s">
        <v>65</v>
      </c>
      <c r="C5119" s="24" t="s">
        <v>139</v>
      </c>
      <c r="D5119" s="33" t="n">
        <v>176</v>
      </c>
      <c r="E5119" s="24" t="n">
        <v>0</v>
      </c>
      <c r="F5119" s="37" t="n">
        <f aca="false">DATE(YEAR(A5119),MONTH(A5119),1)</f>
        <v>46235</v>
      </c>
      <c r="G5119" s="24" t="str">
        <f aca="false">INDEX(Products!$C$2:$C$49,MATCH(C5119,Products!$A$2:$A$49,0))</f>
        <v>Dairy &amp; Eggs</v>
      </c>
      <c r="H5119" s="33" t="n">
        <f aca="false">D5119*INDEX(Products!$E$2:$E$49,MATCH(C5119,Products!$A$2:$A$49,0))</f>
        <v>91520</v>
      </c>
      <c r="I5119" s="33" t="n">
        <f aca="false">D5119*INDEX(Products!$D$2:$D$49,MATCH(C5119,Products!$A$2:$A$49,0))*(1+INDEX(Assumptions!$B$16:$B$20,MATCH(B5119,Assumptions!$A$16:$A$20,0)))</f>
        <v>77014.08</v>
      </c>
      <c r="J5119" s="33" t="n">
        <f aca="false">H5119-I5119</f>
        <v>14505.92</v>
      </c>
      <c r="K5119" s="33" t="n">
        <f aca="false">IF(OR(E5119=0,E5119&gt;=7),0,D5119/(7-E5119)*E5119*INDEX(Products!$E$2:$E$49,MATCH(C5119,Products!$A$2:$A$49,0)))</f>
        <v>0</v>
      </c>
    </row>
    <row r="5120" customFormat="false" ht="15" hidden="false" customHeight="false" outlineLevel="0" collapsed="false">
      <c r="A5120" s="36" t="n">
        <v>46244</v>
      </c>
      <c r="B5120" s="24" t="s">
        <v>65</v>
      </c>
      <c r="C5120" s="24" t="s">
        <v>139</v>
      </c>
      <c r="D5120" s="33" t="n">
        <v>164</v>
      </c>
      <c r="E5120" s="24" t="n">
        <v>0</v>
      </c>
      <c r="F5120" s="37" t="n">
        <f aca="false">DATE(YEAR(A5120),MONTH(A5120),1)</f>
        <v>46235</v>
      </c>
      <c r="G5120" s="24" t="str">
        <f aca="false">INDEX(Products!$C$2:$C$49,MATCH(C5120,Products!$A$2:$A$49,0))</f>
        <v>Dairy &amp; Eggs</v>
      </c>
      <c r="H5120" s="33" t="n">
        <f aca="false">D5120*INDEX(Products!$E$2:$E$49,MATCH(C5120,Products!$A$2:$A$49,0))</f>
        <v>85280</v>
      </c>
      <c r="I5120" s="33" t="n">
        <f aca="false">D5120*INDEX(Products!$D$2:$D$49,MATCH(C5120,Products!$A$2:$A$49,0))*(1+INDEX(Assumptions!$B$16:$B$20,MATCH(B5120,Assumptions!$A$16:$A$20,0)))</f>
        <v>71763.12</v>
      </c>
      <c r="J5120" s="33" t="n">
        <f aca="false">H5120-I5120</f>
        <v>13516.88</v>
      </c>
      <c r="K5120" s="33" t="n">
        <f aca="false">IF(OR(E5120=0,E5120&gt;=7),0,D5120/(7-E5120)*E5120*INDEX(Products!$E$2:$E$49,MATCH(C5120,Products!$A$2:$A$49,0)))</f>
        <v>0</v>
      </c>
    </row>
    <row r="5121" customFormat="false" ht="15" hidden="false" customHeight="false" outlineLevel="0" collapsed="false">
      <c r="A5121" s="36" t="n">
        <v>46251</v>
      </c>
      <c r="B5121" s="24" t="s">
        <v>65</v>
      </c>
      <c r="C5121" s="24" t="s">
        <v>139</v>
      </c>
      <c r="D5121" s="33" t="n">
        <v>174</v>
      </c>
      <c r="E5121" s="24" t="n">
        <v>0</v>
      </c>
      <c r="F5121" s="37" t="n">
        <f aca="false">DATE(YEAR(A5121),MONTH(A5121),1)</f>
        <v>46235</v>
      </c>
      <c r="G5121" s="24" t="str">
        <f aca="false">INDEX(Products!$C$2:$C$49,MATCH(C5121,Products!$A$2:$A$49,0))</f>
        <v>Dairy &amp; Eggs</v>
      </c>
      <c r="H5121" s="33" t="n">
        <f aca="false">D5121*INDEX(Products!$E$2:$E$49,MATCH(C5121,Products!$A$2:$A$49,0))</f>
        <v>90480</v>
      </c>
      <c r="I5121" s="33" t="n">
        <f aca="false">D5121*INDEX(Products!$D$2:$D$49,MATCH(C5121,Products!$A$2:$A$49,0))*(1+INDEX(Assumptions!$B$16:$B$20,MATCH(B5121,Assumptions!$A$16:$A$20,0)))</f>
        <v>76138.92</v>
      </c>
      <c r="J5121" s="33" t="n">
        <f aca="false">H5121-I5121</f>
        <v>14341.08</v>
      </c>
      <c r="K5121" s="33" t="n">
        <f aca="false">IF(OR(E5121=0,E5121&gt;=7),0,D5121/(7-E5121)*E5121*INDEX(Products!$E$2:$E$49,MATCH(C5121,Products!$A$2:$A$49,0)))</f>
        <v>0</v>
      </c>
    </row>
    <row r="5122" customFormat="false" ht="15" hidden="false" customHeight="false" outlineLevel="0" collapsed="false">
      <c r="A5122" s="36" t="n">
        <v>46258</v>
      </c>
      <c r="B5122" s="24" t="s">
        <v>65</v>
      </c>
      <c r="C5122" s="24" t="s">
        <v>139</v>
      </c>
      <c r="D5122" s="33" t="n">
        <v>207</v>
      </c>
      <c r="E5122" s="24" t="n">
        <v>0</v>
      </c>
      <c r="F5122" s="37" t="n">
        <f aca="false">DATE(YEAR(A5122),MONTH(A5122),1)</f>
        <v>46235</v>
      </c>
      <c r="G5122" s="24" t="str">
        <f aca="false">INDEX(Products!$C$2:$C$49,MATCH(C5122,Products!$A$2:$A$49,0))</f>
        <v>Dairy &amp; Eggs</v>
      </c>
      <c r="H5122" s="33" t="n">
        <f aca="false">D5122*INDEX(Products!$E$2:$E$49,MATCH(C5122,Products!$A$2:$A$49,0))</f>
        <v>107640</v>
      </c>
      <c r="I5122" s="33" t="n">
        <f aca="false">D5122*INDEX(Products!$D$2:$D$49,MATCH(C5122,Products!$A$2:$A$49,0))*(1+INDEX(Assumptions!$B$16:$B$20,MATCH(B5122,Assumptions!$A$16:$A$20,0)))</f>
        <v>90579.06</v>
      </c>
      <c r="J5122" s="33" t="n">
        <f aca="false">H5122-I5122</f>
        <v>17060.94</v>
      </c>
      <c r="K5122" s="33" t="n">
        <f aca="false">IF(OR(E5122=0,E5122&gt;=7),0,D5122/(7-E5122)*E5122*INDEX(Products!$E$2:$E$49,MATCH(C5122,Products!$A$2:$A$49,0)))</f>
        <v>0</v>
      </c>
    </row>
    <row r="5123" customFormat="false" ht="15" hidden="false" customHeight="false" outlineLevel="0" collapsed="false">
      <c r="A5123" s="36" t="n">
        <v>46265</v>
      </c>
      <c r="B5123" s="24" t="s">
        <v>65</v>
      </c>
      <c r="C5123" s="24" t="s">
        <v>139</v>
      </c>
      <c r="D5123" s="33" t="n">
        <v>209</v>
      </c>
      <c r="E5123" s="24" t="n">
        <v>0</v>
      </c>
      <c r="F5123" s="37" t="n">
        <f aca="false">DATE(YEAR(A5123),MONTH(A5123),1)</f>
        <v>46235</v>
      </c>
      <c r="G5123" s="24" t="str">
        <f aca="false">INDEX(Products!$C$2:$C$49,MATCH(C5123,Products!$A$2:$A$49,0))</f>
        <v>Dairy &amp; Eggs</v>
      </c>
      <c r="H5123" s="33" t="n">
        <f aca="false">D5123*INDEX(Products!$E$2:$E$49,MATCH(C5123,Products!$A$2:$A$49,0))</f>
        <v>108680</v>
      </c>
      <c r="I5123" s="33" t="n">
        <f aca="false">D5123*INDEX(Products!$D$2:$D$49,MATCH(C5123,Products!$A$2:$A$49,0))*(1+INDEX(Assumptions!$B$16:$B$20,MATCH(B5123,Assumptions!$A$16:$A$20,0)))</f>
        <v>91454.22</v>
      </c>
      <c r="J5123" s="33" t="n">
        <f aca="false">H5123-I5123</f>
        <v>17225.78</v>
      </c>
      <c r="K5123" s="33" t="n">
        <f aca="false">IF(OR(E5123=0,E5123&gt;=7),0,D5123/(7-E5123)*E5123*INDEX(Products!$E$2:$E$49,MATCH(C5123,Products!$A$2:$A$49,0)))</f>
        <v>0</v>
      </c>
    </row>
    <row r="5124" customFormat="false" ht="15" hidden="false" customHeight="false" outlineLevel="0" collapsed="false">
      <c r="A5124" s="36" t="n">
        <v>46272</v>
      </c>
      <c r="B5124" s="24" t="s">
        <v>65</v>
      </c>
      <c r="C5124" s="24" t="s">
        <v>139</v>
      </c>
      <c r="D5124" s="33" t="n">
        <v>176</v>
      </c>
      <c r="E5124" s="24" t="n">
        <v>0</v>
      </c>
      <c r="F5124" s="37" t="n">
        <f aca="false">DATE(YEAR(A5124),MONTH(A5124),1)</f>
        <v>46266</v>
      </c>
      <c r="G5124" s="24" t="str">
        <f aca="false">INDEX(Products!$C$2:$C$49,MATCH(C5124,Products!$A$2:$A$49,0))</f>
        <v>Dairy &amp; Eggs</v>
      </c>
      <c r="H5124" s="33" t="n">
        <f aca="false">D5124*INDEX(Products!$E$2:$E$49,MATCH(C5124,Products!$A$2:$A$49,0))</f>
        <v>91520</v>
      </c>
      <c r="I5124" s="33" t="n">
        <f aca="false">D5124*INDEX(Products!$D$2:$D$49,MATCH(C5124,Products!$A$2:$A$49,0))*(1+INDEX(Assumptions!$B$16:$B$20,MATCH(B5124,Assumptions!$A$16:$A$20,0)))</f>
        <v>77014.08</v>
      </c>
      <c r="J5124" s="33" t="n">
        <f aca="false">H5124-I5124</f>
        <v>14505.92</v>
      </c>
      <c r="K5124" s="33" t="n">
        <f aca="false">IF(OR(E5124=0,E5124&gt;=7),0,D5124/(7-E5124)*E5124*INDEX(Products!$E$2:$E$49,MATCH(C5124,Products!$A$2:$A$49,0)))</f>
        <v>0</v>
      </c>
    </row>
    <row r="5125" customFormat="false" ht="15" hidden="false" customHeight="false" outlineLevel="0" collapsed="false">
      <c r="A5125" s="36" t="n">
        <v>46279</v>
      </c>
      <c r="B5125" s="24" t="s">
        <v>65</v>
      </c>
      <c r="C5125" s="24" t="s">
        <v>139</v>
      </c>
      <c r="D5125" s="33" t="n">
        <v>192</v>
      </c>
      <c r="E5125" s="24" t="n">
        <v>0</v>
      </c>
      <c r="F5125" s="37" t="n">
        <f aca="false">DATE(YEAR(A5125),MONTH(A5125),1)</f>
        <v>46266</v>
      </c>
      <c r="G5125" s="24" t="str">
        <f aca="false">INDEX(Products!$C$2:$C$49,MATCH(C5125,Products!$A$2:$A$49,0))</f>
        <v>Dairy &amp; Eggs</v>
      </c>
      <c r="H5125" s="33" t="n">
        <f aca="false">D5125*INDEX(Products!$E$2:$E$49,MATCH(C5125,Products!$A$2:$A$49,0))</f>
        <v>99840</v>
      </c>
      <c r="I5125" s="33" t="n">
        <f aca="false">D5125*INDEX(Products!$D$2:$D$49,MATCH(C5125,Products!$A$2:$A$49,0))*(1+INDEX(Assumptions!$B$16:$B$20,MATCH(B5125,Assumptions!$A$16:$A$20,0)))</f>
        <v>84015.36</v>
      </c>
      <c r="J5125" s="33" t="n">
        <f aca="false">H5125-I5125</f>
        <v>15824.64</v>
      </c>
      <c r="K5125" s="33" t="n">
        <f aca="false">IF(OR(E5125=0,E5125&gt;=7),0,D5125/(7-E5125)*E5125*INDEX(Products!$E$2:$E$49,MATCH(C5125,Products!$A$2:$A$49,0)))</f>
        <v>0</v>
      </c>
    </row>
    <row r="5126" customFormat="false" ht="15" hidden="false" customHeight="false" outlineLevel="0" collapsed="false">
      <c r="A5126" s="36" t="n">
        <v>46286</v>
      </c>
      <c r="B5126" s="24" t="s">
        <v>65</v>
      </c>
      <c r="C5126" s="24" t="s">
        <v>139</v>
      </c>
      <c r="D5126" s="33" t="n">
        <v>216</v>
      </c>
      <c r="E5126" s="24" t="n">
        <v>0</v>
      </c>
      <c r="F5126" s="37" t="n">
        <f aca="false">DATE(YEAR(A5126),MONTH(A5126),1)</f>
        <v>46266</v>
      </c>
      <c r="G5126" s="24" t="str">
        <f aca="false">INDEX(Products!$C$2:$C$49,MATCH(C5126,Products!$A$2:$A$49,0))</f>
        <v>Dairy &amp; Eggs</v>
      </c>
      <c r="H5126" s="33" t="n">
        <f aca="false">D5126*INDEX(Products!$E$2:$E$49,MATCH(C5126,Products!$A$2:$A$49,0))</f>
        <v>112320</v>
      </c>
      <c r="I5126" s="33" t="n">
        <f aca="false">D5126*INDEX(Products!$D$2:$D$49,MATCH(C5126,Products!$A$2:$A$49,0))*(1+INDEX(Assumptions!$B$16:$B$20,MATCH(B5126,Assumptions!$A$16:$A$20,0)))</f>
        <v>94517.28</v>
      </c>
      <c r="J5126" s="33" t="n">
        <f aca="false">H5126-I5126</f>
        <v>17802.72</v>
      </c>
      <c r="K5126" s="33" t="n">
        <f aca="false">IF(OR(E5126=0,E5126&gt;=7),0,D5126/(7-E5126)*E5126*INDEX(Products!$E$2:$E$49,MATCH(C5126,Products!$A$2:$A$49,0)))</f>
        <v>0</v>
      </c>
    </row>
    <row r="5127" customFormat="false" ht="15" hidden="false" customHeight="false" outlineLevel="0" collapsed="false">
      <c r="A5127" s="36" t="n">
        <v>46118</v>
      </c>
      <c r="B5127" s="24" t="s">
        <v>65</v>
      </c>
      <c r="C5127" s="24" t="s">
        <v>141</v>
      </c>
      <c r="D5127" s="33" t="n">
        <v>252</v>
      </c>
      <c r="E5127" s="24" t="n">
        <v>0</v>
      </c>
      <c r="F5127" s="37" t="n">
        <f aca="false">DATE(YEAR(A5127),MONTH(A5127),1)</f>
        <v>46113</v>
      </c>
      <c r="G5127" s="24" t="str">
        <f aca="false">INDEX(Products!$C$2:$C$49,MATCH(C5127,Products!$A$2:$A$49,0))</f>
        <v>Dairy &amp; Eggs</v>
      </c>
      <c r="H5127" s="33" t="n">
        <f aca="false">D5127*INDEX(Products!$E$2:$E$49,MATCH(C5127,Products!$A$2:$A$49,0))</f>
        <v>103320</v>
      </c>
      <c r="I5127" s="33" t="n">
        <f aca="false">D5127*INDEX(Products!$D$2:$D$49,MATCH(C5127,Products!$A$2:$A$49,0))*(1+INDEX(Assumptions!$B$16:$B$20,MATCH(B5127,Assumptions!$A$16:$A$20,0)))</f>
        <v>86108.4</v>
      </c>
      <c r="J5127" s="33" t="n">
        <f aca="false">H5127-I5127</f>
        <v>17211.6</v>
      </c>
      <c r="K5127" s="33" t="n">
        <f aca="false">IF(OR(E5127=0,E5127&gt;=7),0,D5127/(7-E5127)*E5127*INDEX(Products!$E$2:$E$49,MATCH(C5127,Products!$A$2:$A$49,0)))</f>
        <v>0</v>
      </c>
    </row>
    <row r="5128" customFormat="false" ht="15" hidden="false" customHeight="false" outlineLevel="0" collapsed="false">
      <c r="A5128" s="36" t="n">
        <v>46125</v>
      </c>
      <c r="B5128" s="24" t="s">
        <v>65</v>
      </c>
      <c r="C5128" s="24" t="s">
        <v>141</v>
      </c>
      <c r="D5128" s="33" t="n">
        <v>254</v>
      </c>
      <c r="E5128" s="24" t="n">
        <v>0</v>
      </c>
      <c r="F5128" s="37" t="n">
        <f aca="false">DATE(YEAR(A5128),MONTH(A5128),1)</f>
        <v>46113</v>
      </c>
      <c r="G5128" s="24" t="str">
        <f aca="false">INDEX(Products!$C$2:$C$49,MATCH(C5128,Products!$A$2:$A$49,0))</f>
        <v>Dairy &amp; Eggs</v>
      </c>
      <c r="H5128" s="33" t="n">
        <f aca="false">D5128*INDEX(Products!$E$2:$E$49,MATCH(C5128,Products!$A$2:$A$49,0))</f>
        <v>104140</v>
      </c>
      <c r="I5128" s="33" t="n">
        <f aca="false">D5128*INDEX(Products!$D$2:$D$49,MATCH(C5128,Products!$A$2:$A$49,0))*(1+INDEX(Assumptions!$B$16:$B$20,MATCH(B5128,Assumptions!$A$16:$A$20,0)))</f>
        <v>86791.8</v>
      </c>
      <c r="J5128" s="33" t="n">
        <f aca="false">H5128-I5128</f>
        <v>17348.2</v>
      </c>
      <c r="K5128" s="33" t="n">
        <f aca="false">IF(OR(E5128=0,E5128&gt;=7),0,D5128/(7-E5128)*E5128*INDEX(Products!$E$2:$E$49,MATCH(C5128,Products!$A$2:$A$49,0)))</f>
        <v>0</v>
      </c>
    </row>
    <row r="5129" customFormat="false" ht="15" hidden="false" customHeight="false" outlineLevel="0" collapsed="false">
      <c r="A5129" s="36" t="n">
        <v>46132</v>
      </c>
      <c r="B5129" s="24" t="s">
        <v>65</v>
      </c>
      <c r="C5129" s="24" t="s">
        <v>141</v>
      </c>
      <c r="D5129" s="33" t="n">
        <v>197</v>
      </c>
      <c r="E5129" s="24" t="n">
        <v>2</v>
      </c>
      <c r="F5129" s="37" t="n">
        <f aca="false">DATE(YEAR(A5129),MONTH(A5129),1)</f>
        <v>46113</v>
      </c>
      <c r="G5129" s="24" t="str">
        <f aca="false">INDEX(Products!$C$2:$C$49,MATCH(C5129,Products!$A$2:$A$49,0))</f>
        <v>Dairy &amp; Eggs</v>
      </c>
      <c r="H5129" s="33" t="n">
        <f aca="false">D5129*INDEX(Products!$E$2:$E$49,MATCH(C5129,Products!$A$2:$A$49,0))</f>
        <v>80770</v>
      </c>
      <c r="I5129" s="33" t="n">
        <f aca="false">D5129*INDEX(Products!$D$2:$D$49,MATCH(C5129,Products!$A$2:$A$49,0))*(1+INDEX(Assumptions!$B$16:$B$20,MATCH(B5129,Assumptions!$A$16:$A$20,0)))</f>
        <v>67314.9</v>
      </c>
      <c r="J5129" s="33" t="n">
        <f aca="false">H5129-I5129</f>
        <v>13455.1</v>
      </c>
      <c r="K5129" s="33" t="n">
        <f aca="false">IF(OR(E5129=0,E5129&gt;=7),0,D5129/(7-E5129)*E5129*INDEX(Products!$E$2:$E$49,MATCH(C5129,Products!$A$2:$A$49,0)))</f>
        <v>32308</v>
      </c>
    </row>
    <row r="5130" customFormat="false" ht="15" hidden="false" customHeight="false" outlineLevel="0" collapsed="false">
      <c r="A5130" s="36" t="n">
        <v>46139</v>
      </c>
      <c r="B5130" s="24" t="s">
        <v>65</v>
      </c>
      <c r="C5130" s="24" t="s">
        <v>141</v>
      </c>
      <c r="D5130" s="33" t="n">
        <v>261</v>
      </c>
      <c r="E5130" s="24" t="n">
        <v>0</v>
      </c>
      <c r="F5130" s="37" t="n">
        <f aca="false">DATE(YEAR(A5130),MONTH(A5130),1)</f>
        <v>46113</v>
      </c>
      <c r="G5130" s="24" t="str">
        <f aca="false">INDEX(Products!$C$2:$C$49,MATCH(C5130,Products!$A$2:$A$49,0))</f>
        <v>Dairy &amp; Eggs</v>
      </c>
      <c r="H5130" s="33" t="n">
        <f aca="false">D5130*INDEX(Products!$E$2:$E$49,MATCH(C5130,Products!$A$2:$A$49,0))</f>
        <v>107010</v>
      </c>
      <c r="I5130" s="33" t="n">
        <f aca="false">D5130*INDEX(Products!$D$2:$D$49,MATCH(C5130,Products!$A$2:$A$49,0))*(1+INDEX(Assumptions!$B$16:$B$20,MATCH(B5130,Assumptions!$A$16:$A$20,0)))</f>
        <v>89183.7</v>
      </c>
      <c r="J5130" s="33" t="n">
        <f aca="false">H5130-I5130</f>
        <v>17826.3</v>
      </c>
      <c r="K5130" s="33" t="n">
        <f aca="false">IF(OR(E5130=0,E5130&gt;=7),0,D5130/(7-E5130)*E5130*INDEX(Products!$E$2:$E$49,MATCH(C5130,Products!$A$2:$A$49,0)))</f>
        <v>0</v>
      </c>
    </row>
    <row r="5131" customFormat="false" ht="15" hidden="false" customHeight="false" outlineLevel="0" collapsed="false">
      <c r="A5131" s="36" t="n">
        <v>46146</v>
      </c>
      <c r="B5131" s="24" t="s">
        <v>65</v>
      </c>
      <c r="C5131" s="24" t="s">
        <v>141</v>
      </c>
      <c r="D5131" s="33" t="n">
        <v>277</v>
      </c>
      <c r="E5131" s="24" t="n">
        <v>0</v>
      </c>
      <c r="F5131" s="37" t="n">
        <f aca="false">DATE(YEAR(A5131),MONTH(A5131),1)</f>
        <v>46143</v>
      </c>
      <c r="G5131" s="24" t="str">
        <f aca="false">INDEX(Products!$C$2:$C$49,MATCH(C5131,Products!$A$2:$A$49,0))</f>
        <v>Dairy &amp; Eggs</v>
      </c>
      <c r="H5131" s="33" t="n">
        <f aca="false">D5131*INDEX(Products!$E$2:$E$49,MATCH(C5131,Products!$A$2:$A$49,0))</f>
        <v>113570</v>
      </c>
      <c r="I5131" s="33" t="n">
        <f aca="false">D5131*INDEX(Products!$D$2:$D$49,MATCH(C5131,Products!$A$2:$A$49,0))*(1+INDEX(Assumptions!$B$16:$B$20,MATCH(B5131,Assumptions!$A$16:$A$20,0)))</f>
        <v>94650.9</v>
      </c>
      <c r="J5131" s="33" t="n">
        <f aca="false">H5131-I5131</f>
        <v>18919.1</v>
      </c>
      <c r="K5131" s="33" t="n">
        <f aca="false">IF(OR(E5131=0,E5131&gt;=7),0,D5131/(7-E5131)*E5131*INDEX(Products!$E$2:$E$49,MATCH(C5131,Products!$A$2:$A$49,0)))</f>
        <v>0</v>
      </c>
    </row>
    <row r="5132" customFormat="false" ht="15" hidden="false" customHeight="false" outlineLevel="0" collapsed="false">
      <c r="A5132" s="36" t="n">
        <v>46153</v>
      </c>
      <c r="B5132" s="24" t="s">
        <v>65</v>
      </c>
      <c r="C5132" s="24" t="s">
        <v>141</v>
      </c>
      <c r="D5132" s="33" t="n">
        <v>256</v>
      </c>
      <c r="E5132" s="24" t="n">
        <v>0</v>
      </c>
      <c r="F5132" s="37" t="n">
        <f aca="false">DATE(YEAR(A5132),MONTH(A5132),1)</f>
        <v>46143</v>
      </c>
      <c r="G5132" s="24" t="str">
        <f aca="false">INDEX(Products!$C$2:$C$49,MATCH(C5132,Products!$A$2:$A$49,0))</f>
        <v>Dairy &amp; Eggs</v>
      </c>
      <c r="H5132" s="33" t="n">
        <f aca="false">D5132*INDEX(Products!$E$2:$E$49,MATCH(C5132,Products!$A$2:$A$49,0))</f>
        <v>104960</v>
      </c>
      <c r="I5132" s="33" t="n">
        <f aca="false">D5132*INDEX(Products!$D$2:$D$49,MATCH(C5132,Products!$A$2:$A$49,0))*(1+INDEX(Assumptions!$B$16:$B$20,MATCH(B5132,Assumptions!$A$16:$A$20,0)))</f>
        <v>87475.2</v>
      </c>
      <c r="J5132" s="33" t="n">
        <f aca="false">H5132-I5132</f>
        <v>17484.8</v>
      </c>
      <c r="K5132" s="33" t="n">
        <f aca="false">IF(OR(E5132=0,E5132&gt;=7),0,D5132/(7-E5132)*E5132*INDEX(Products!$E$2:$E$49,MATCH(C5132,Products!$A$2:$A$49,0)))</f>
        <v>0</v>
      </c>
    </row>
    <row r="5133" customFormat="false" ht="15" hidden="false" customHeight="false" outlineLevel="0" collapsed="false">
      <c r="A5133" s="36" t="n">
        <v>46160</v>
      </c>
      <c r="B5133" s="24" t="s">
        <v>65</v>
      </c>
      <c r="C5133" s="24" t="s">
        <v>141</v>
      </c>
      <c r="D5133" s="33" t="n">
        <v>278</v>
      </c>
      <c r="E5133" s="24" t="n">
        <v>0</v>
      </c>
      <c r="F5133" s="37" t="n">
        <f aca="false">DATE(YEAR(A5133),MONTH(A5133),1)</f>
        <v>46143</v>
      </c>
      <c r="G5133" s="24" t="str">
        <f aca="false">INDEX(Products!$C$2:$C$49,MATCH(C5133,Products!$A$2:$A$49,0))</f>
        <v>Dairy &amp; Eggs</v>
      </c>
      <c r="H5133" s="33" t="n">
        <f aca="false">D5133*INDEX(Products!$E$2:$E$49,MATCH(C5133,Products!$A$2:$A$49,0))</f>
        <v>113980</v>
      </c>
      <c r="I5133" s="33" t="n">
        <f aca="false">D5133*INDEX(Products!$D$2:$D$49,MATCH(C5133,Products!$A$2:$A$49,0))*(1+INDEX(Assumptions!$B$16:$B$20,MATCH(B5133,Assumptions!$A$16:$A$20,0)))</f>
        <v>94992.6</v>
      </c>
      <c r="J5133" s="33" t="n">
        <f aca="false">H5133-I5133</f>
        <v>18987.4</v>
      </c>
      <c r="K5133" s="33" t="n">
        <f aca="false">IF(OR(E5133=0,E5133&gt;=7),0,D5133/(7-E5133)*E5133*INDEX(Products!$E$2:$E$49,MATCH(C5133,Products!$A$2:$A$49,0)))</f>
        <v>0</v>
      </c>
    </row>
    <row r="5134" customFormat="false" ht="15" hidden="false" customHeight="false" outlineLevel="0" collapsed="false">
      <c r="A5134" s="36" t="n">
        <v>46167</v>
      </c>
      <c r="B5134" s="24" t="s">
        <v>65</v>
      </c>
      <c r="C5134" s="24" t="s">
        <v>141</v>
      </c>
      <c r="D5134" s="33" t="n">
        <v>275</v>
      </c>
      <c r="E5134" s="24" t="n">
        <v>0</v>
      </c>
      <c r="F5134" s="37" t="n">
        <f aca="false">DATE(YEAR(A5134),MONTH(A5134),1)</f>
        <v>46143</v>
      </c>
      <c r="G5134" s="24" t="str">
        <f aca="false">INDEX(Products!$C$2:$C$49,MATCH(C5134,Products!$A$2:$A$49,0))</f>
        <v>Dairy &amp; Eggs</v>
      </c>
      <c r="H5134" s="33" t="n">
        <f aca="false">D5134*INDEX(Products!$E$2:$E$49,MATCH(C5134,Products!$A$2:$A$49,0))</f>
        <v>112750</v>
      </c>
      <c r="I5134" s="33" t="n">
        <f aca="false">D5134*INDEX(Products!$D$2:$D$49,MATCH(C5134,Products!$A$2:$A$49,0))*(1+INDEX(Assumptions!$B$16:$B$20,MATCH(B5134,Assumptions!$A$16:$A$20,0)))</f>
        <v>93967.5</v>
      </c>
      <c r="J5134" s="33" t="n">
        <f aca="false">H5134-I5134</f>
        <v>18782.5</v>
      </c>
      <c r="K5134" s="33" t="n">
        <f aca="false">IF(OR(E5134=0,E5134&gt;=7),0,D5134/(7-E5134)*E5134*INDEX(Products!$E$2:$E$49,MATCH(C5134,Products!$A$2:$A$49,0)))</f>
        <v>0</v>
      </c>
    </row>
    <row r="5135" customFormat="false" ht="15" hidden="false" customHeight="false" outlineLevel="0" collapsed="false">
      <c r="A5135" s="36" t="n">
        <v>46174</v>
      </c>
      <c r="B5135" s="24" t="s">
        <v>65</v>
      </c>
      <c r="C5135" s="24" t="s">
        <v>141</v>
      </c>
      <c r="D5135" s="33" t="n">
        <v>266</v>
      </c>
      <c r="E5135" s="24" t="n">
        <v>0</v>
      </c>
      <c r="F5135" s="37" t="n">
        <f aca="false">DATE(YEAR(A5135),MONTH(A5135),1)</f>
        <v>46174</v>
      </c>
      <c r="G5135" s="24" t="str">
        <f aca="false">INDEX(Products!$C$2:$C$49,MATCH(C5135,Products!$A$2:$A$49,0))</f>
        <v>Dairy &amp; Eggs</v>
      </c>
      <c r="H5135" s="33" t="n">
        <f aca="false">D5135*INDEX(Products!$E$2:$E$49,MATCH(C5135,Products!$A$2:$A$49,0))</f>
        <v>109060</v>
      </c>
      <c r="I5135" s="33" t="n">
        <f aca="false">D5135*INDEX(Products!$D$2:$D$49,MATCH(C5135,Products!$A$2:$A$49,0))*(1+INDEX(Assumptions!$B$16:$B$20,MATCH(B5135,Assumptions!$A$16:$A$20,0)))</f>
        <v>90892.2</v>
      </c>
      <c r="J5135" s="33" t="n">
        <f aca="false">H5135-I5135</f>
        <v>18167.8</v>
      </c>
      <c r="K5135" s="33" t="n">
        <f aca="false">IF(OR(E5135=0,E5135&gt;=7),0,D5135/(7-E5135)*E5135*INDEX(Products!$E$2:$E$49,MATCH(C5135,Products!$A$2:$A$49,0)))</f>
        <v>0</v>
      </c>
    </row>
    <row r="5136" customFormat="false" ht="15" hidden="false" customHeight="false" outlineLevel="0" collapsed="false">
      <c r="A5136" s="36" t="n">
        <v>46181</v>
      </c>
      <c r="B5136" s="24" t="s">
        <v>65</v>
      </c>
      <c r="C5136" s="24" t="s">
        <v>141</v>
      </c>
      <c r="D5136" s="33" t="n">
        <v>289</v>
      </c>
      <c r="E5136" s="24" t="n">
        <v>0</v>
      </c>
      <c r="F5136" s="37" t="n">
        <f aca="false">DATE(YEAR(A5136),MONTH(A5136),1)</f>
        <v>46174</v>
      </c>
      <c r="G5136" s="24" t="str">
        <f aca="false">INDEX(Products!$C$2:$C$49,MATCH(C5136,Products!$A$2:$A$49,0))</f>
        <v>Dairy &amp; Eggs</v>
      </c>
      <c r="H5136" s="33" t="n">
        <f aca="false">D5136*INDEX(Products!$E$2:$E$49,MATCH(C5136,Products!$A$2:$A$49,0))</f>
        <v>118490</v>
      </c>
      <c r="I5136" s="33" t="n">
        <f aca="false">D5136*INDEX(Products!$D$2:$D$49,MATCH(C5136,Products!$A$2:$A$49,0))*(1+INDEX(Assumptions!$B$16:$B$20,MATCH(B5136,Assumptions!$A$16:$A$20,0)))</f>
        <v>98751.3</v>
      </c>
      <c r="J5136" s="33" t="n">
        <f aca="false">H5136-I5136</f>
        <v>19738.7</v>
      </c>
      <c r="K5136" s="33" t="n">
        <f aca="false">IF(OR(E5136=0,E5136&gt;=7),0,D5136/(7-E5136)*E5136*INDEX(Products!$E$2:$E$49,MATCH(C5136,Products!$A$2:$A$49,0)))</f>
        <v>0</v>
      </c>
    </row>
    <row r="5137" customFormat="false" ht="15" hidden="false" customHeight="false" outlineLevel="0" collapsed="false">
      <c r="A5137" s="36" t="n">
        <v>46188</v>
      </c>
      <c r="B5137" s="24" t="s">
        <v>65</v>
      </c>
      <c r="C5137" s="24" t="s">
        <v>141</v>
      </c>
      <c r="D5137" s="33" t="n">
        <v>444</v>
      </c>
      <c r="E5137" s="24" t="n">
        <v>0</v>
      </c>
      <c r="F5137" s="37" t="n">
        <f aca="false">DATE(YEAR(A5137),MONTH(A5137),1)</f>
        <v>46174</v>
      </c>
      <c r="G5137" s="24" t="str">
        <f aca="false">INDEX(Products!$C$2:$C$49,MATCH(C5137,Products!$A$2:$A$49,0))</f>
        <v>Dairy &amp; Eggs</v>
      </c>
      <c r="H5137" s="33" t="n">
        <f aca="false">D5137*INDEX(Products!$E$2:$E$49,MATCH(C5137,Products!$A$2:$A$49,0))</f>
        <v>182040</v>
      </c>
      <c r="I5137" s="33" t="n">
        <f aca="false">D5137*INDEX(Products!$D$2:$D$49,MATCH(C5137,Products!$A$2:$A$49,0))*(1+INDEX(Assumptions!$B$16:$B$20,MATCH(B5137,Assumptions!$A$16:$A$20,0)))</f>
        <v>151714.8</v>
      </c>
      <c r="J5137" s="33" t="n">
        <f aca="false">H5137-I5137</f>
        <v>30325.2</v>
      </c>
      <c r="K5137" s="33" t="n">
        <f aca="false">IF(OR(E5137=0,E5137&gt;=7),0,D5137/(7-E5137)*E5137*INDEX(Products!$E$2:$E$49,MATCH(C5137,Products!$A$2:$A$49,0)))</f>
        <v>0</v>
      </c>
    </row>
    <row r="5138" customFormat="false" ht="15" hidden="false" customHeight="false" outlineLevel="0" collapsed="false">
      <c r="A5138" s="36" t="n">
        <v>46195</v>
      </c>
      <c r="B5138" s="24" t="s">
        <v>65</v>
      </c>
      <c r="C5138" s="24" t="s">
        <v>141</v>
      </c>
      <c r="D5138" s="33" t="n">
        <v>289</v>
      </c>
      <c r="E5138" s="24" t="n">
        <v>0</v>
      </c>
      <c r="F5138" s="37" t="n">
        <f aca="false">DATE(YEAR(A5138),MONTH(A5138),1)</f>
        <v>46174</v>
      </c>
      <c r="G5138" s="24" t="str">
        <f aca="false">INDEX(Products!$C$2:$C$49,MATCH(C5138,Products!$A$2:$A$49,0))</f>
        <v>Dairy &amp; Eggs</v>
      </c>
      <c r="H5138" s="33" t="n">
        <f aca="false">D5138*INDEX(Products!$E$2:$E$49,MATCH(C5138,Products!$A$2:$A$49,0))</f>
        <v>118490</v>
      </c>
      <c r="I5138" s="33" t="n">
        <f aca="false">D5138*INDEX(Products!$D$2:$D$49,MATCH(C5138,Products!$A$2:$A$49,0))*(1+INDEX(Assumptions!$B$16:$B$20,MATCH(B5138,Assumptions!$A$16:$A$20,0)))</f>
        <v>98751.3</v>
      </c>
      <c r="J5138" s="33" t="n">
        <f aca="false">H5138-I5138</f>
        <v>19738.7</v>
      </c>
      <c r="K5138" s="33" t="n">
        <f aca="false">IF(OR(E5138=0,E5138&gt;=7),0,D5138/(7-E5138)*E5138*INDEX(Products!$E$2:$E$49,MATCH(C5138,Products!$A$2:$A$49,0)))</f>
        <v>0</v>
      </c>
    </row>
    <row r="5139" customFormat="false" ht="15" hidden="false" customHeight="false" outlineLevel="0" collapsed="false">
      <c r="A5139" s="36" t="n">
        <v>46202</v>
      </c>
      <c r="B5139" s="24" t="s">
        <v>65</v>
      </c>
      <c r="C5139" s="24" t="s">
        <v>141</v>
      </c>
      <c r="D5139" s="33" t="n">
        <v>288</v>
      </c>
      <c r="E5139" s="24" t="n">
        <v>0</v>
      </c>
      <c r="F5139" s="37" t="n">
        <f aca="false">DATE(YEAR(A5139),MONTH(A5139),1)</f>
        <v>46174</v>
      </c>
      <c r="G5139" s="24" t="str">
        <f aca="false">INDEX(Products!$C$2:$C$49,MATCH(C5139,Products!$A$2:$A$49,0))</f>
        <v>Dairy &amp; Eggs</v>
      </c>
      <c r="H5139" s="33" t="n">
        <f aca="false">D5139*INDEX(Products!$E$2:$E$49,MATCH(C5139,Products!$A$2:$A$49,0))</f>
        <v>118080</v>
      </c>
      <c r="I5139" s="33" t="n">
        <f aca="false">D5139*INDEX(Products!$D$2:$D$49,MATCH(C5139,Products!$A$2:$A$49,0))*(1+INDEX(Assumptions!$B$16:$B$20,MATCH(B5139,Assumptions!$A$16:$A$20,0)))</f>
        <v>98409.6</v>
      </c>
      <c r="J5139" s="33" t="n">
        <f aca="false">H5139-I5139</f>
        <v>19670.4</v>
      </c>
      <c r="K5139" s="33" t="n">
        <f aca="false">IF(OR(E5139=0,E5139&gt;=7),0,D5139/(7-E5139)*E5139*INDEX(Products!$E$2:$E$49,MATCH(C5139,Products!$A$2:$A$49,0)))</f>
        <v>0</v>
      </c>
    </row>
    <row r="5140" customFormat="false" ht="15" hidden="false" customHeight="false" outlineLevel="0" collapsed="false">
      <c r="A5140" s="36" t="n">
        <v>46209</v>
      </c>
      <c r="B5140" s="24" t="s">
        <v>65</v>
      </c>
      <c r="C5140" s="24" t="s">
        <v>141</v>
      </c>
      <c r="D5140" s="33" t="n">
        <v>402</v>
      </c>
      <c r="E5140" s="24" t="n">
        <v>0</v>
      </c>
      <c r="F5140" s="37" t="n">
        <f aca="false">DATE(YEAR(A5140),MONTH(A5140),1)</f>
        <v>46204</v>
      </c>
      <c r="G5140" s="24" t="str">
        <f aca="false">INDEX(Products!$C$2:$C$49,MATCH(C5140,Products!$A$2:$A$49,0))</f>
        <v>Dairy &amp; Eggs</v>
      </c>
      <c r="H5140" s="33" t="n">
        <f aca="false">D5140*INDEX(Products!$E$2:$E$49,MATCH(C5140,Products!$A$2:$A$49,0))</f>
        <v>164820</v>
      </c>
      <c r="I5140" s="33" t="n">
        <f aca="false">D5140*INDEX(Products!$D$2:$D$49,MATCH(C5140,Products!$A$2:$A$49,0))*(1+INDEX(Assumptions!$B$16:$B$20,MATCH(B5140,Assumptions!$A$16:$A$20,0)))</f>
        <v>137363.4</v>
      </c>
      <c r="J5140" s="33" t="n">
        <f aca="false">H5140-I5140</f>
        <v>27456.6</v>
      </c>
      <c r="K5140" s="33" t="n">
        <f aca="false">IF(OR(E5140=0,E5140&gt;=7),0,D5140/(7-E5140)*E5140*INDEX(Products!$E$2:$E$49,MATCH(C5140,Products!$A$2:$A$49,0)))</f>
        <v>0</v>
      </c>
    </row>
    <row r="5141" customFormat="false" ht="15" hidden="false" customHeight="false" outlineLevel="0" collapsed="false">
      <c r="A5141" s="36" t="n">
        <v>46216</v>
      </c>
      <c r="B5141" s="24" t="s">
        <v>65</v>
      </c>
      <c r="C5141" s="24" t="s">
        <v>141</v>
      </c>
      <c r="D5141" s="33" t="n">
        <v>265</v>
      </c>
      <c r="E5141" s="24" t="n">
        <v>0</v>
      </c>
      <c r="F5141" s="37" t="n">
        <f aca="false">DATE(YEAR(A5141),MONTH(A5141),1)</f>
        <v>46204</v>
      </c>
      <c r="G5141" s="24" t="str">
        <f aca="false">INDEX(Products!$C$2:$C$49,MATCH(C5141,Products!$A$2:$A$49,0))</f>
        <v>Dairy &amp; Eggs</v>
      </c>
      <c r="H5141" s="33" t="n">
        <f aca="false">D5141*INDEX(Products!$E$2:$E$49,MATCH(C5141,Products!$A$2:$A$49,0))</f>
        <v>108650</v>
      </c>
      <c r="I5141" s="33" t="n">
        <f aca="false">D5141*INDEX(Products!$D$2:$D$49,MATCH(C5141,Products!$A$2:$A$49,0))*(1+INDEX(Assumptions!$B$16:$B$20,MATCH(B5141,Assumptions!$A$16:$A$20,0)))</f>
        <v>90550.5</v>
      </c>
      <c r="J5141" s="33" t="n">
        <f aca="false">H5141-I5141</f>
        <v>18099.5</v>
      </c>
      <c r="K5141" s="33" t="n">
        <f aca="false">IF(OR(E5141=0,E5141&gt;=7),0,D5141/(7-E5141)*E5141*INDEX(Products!$E$2:$E$49,MATCH(C5141,Products!$A$2:$A$49,0)))</f>
        <v>0</v>
      </c>
    </row>
    <row r="5142" customFormat="false" ht="15" hidden="false" customHeight="false" outlineLevel="0" collapsed="false">
      <c r="A5142" s="36" t="n">
        <v>46223</v>
      </c>
      <c r="B5142" s="24" t="s">
        <v>65</v>
      </c>
      <c r="C5142" s="24" t="s">
        <v>141</v>
      </c>
      <c r="D5142" s="33" t="n">
        <v>258</v>
      </c>
      <c r="E5142" s="24" t="n">
        <v>0</v>
      </c>
      <c r="F5142" s="37" t="n">
        <f aca="false">DATE(YEAR(A5142),MONTH(A5142),1)</f>
        <v>46204</v>
      </c>
      <c r="G5142" s="24" t="str">
        <f aca="false">INDEX(Products!$C$2:$C$49,MATCH(C5142,Products!$A$2:$A$49,0))</f>
        <v>Dairy &amp; Eggs</v>
      </c>
      <c r="H5142" s="33" t="n">
        <f aca="false">D5142*INDEX(Products!$E$2:$E$49,MATCH(C5142,Products!$A$2:$A$49,0))</f>
        <v>105780</v>
      </c>
      <c r="I5142" s="33" t="n">
        <f aca="false">D5142*INDEX(Products!$D$2:$D$49,MATCH(C5142,Products!$A$2:$A$49,0))*(1+INDEX(Assumptions!$B$16:$B$20,MATCH(B5142,Assumptions!$A$16:$A$20,0)))</f>
        <v>88158.6</v>
      </c>
      <c r="J5142" s="33" t="n">
        <f aca="false">H5142-I5142</f>
        <v>17621.4</v>
      </c>
      <c r="K5142" s="33" t="n">
        <f aca="false">IF(OR(E5142=0,E5142&gt;=7),0,D5142/(7-E5142)*E5142*INDEX(Products!$E$2:$E$49,MATCH(C5142,Products!$A$2:$A$49,0)))</f>
        <v>0</v>
      </c>
    </row>
    <row r="5143" customFormat="false" ht="15" hidden="false" customHeight="false" outlineLevel="0" collapsed="false">
      <c r="A5143" s="36" t="n">
        <v>46230</v>
      </c>
      <c r="B5143" s="24" t="s">
        <v>65</v>
      </c>
      <c r="C5143" s="24" t="s">
        <v>141</v>
      </c>
      <c r="D5143" s="33" t="n">
        <v>232</v>
      </c>
      <c r="E5143" s="24" t="n">
        <v>0</v>
      </c>
      <c r="F5143" s="37" t="n">
        <f aca="false">DATE(YEAR(A5143),MONTH(A5143),1)</f>
        <v>46204</v>
      </c>
      <c r="G5143" s="24" t="str">
        <f aca="false">INDEX(Products!$C$2:$C$49,MATCH(C5143,Products!$A$2:$A$49,0))</f>
        <v>Dairy &amp; Eggs</v>
      </c>
      <c r="H5143" s="33" t="n">
        <f aca="false">D5143*INDEX(Products!$E$2:$E$49,MATCH(C5143,Products!$A$2:$A$49,0))</f>
        <v>95120</v>
      </c>
      <c r="I5143" s="33" t="n">
        <f aca="false">D5143*INDEX(Products!$D$2:$D$49,MATCH(C5143,Products!$A$2:$A$49,0))*(1+INDEX(Assumptions!$B$16:$B$20,MATCH(B5143,Assumptions!$A$16:$A$20,0)))</f>
        <v>79274.4</v>
      </c>
      <c r="J5143" s="33" t="n">
        <f aca="false">H5143-I5143</f>
        <v>15845.6</v>
      </c>
      <c r="K5143" s="33" t="n">
        <f aca="false">IF(OR(E5143=0,E5143&gt;=7),0,D5143/(7-E5143)*E5143*INDEX(Products!$E$2:$E$49,MATCH(C5143,Products!$A$2:$A$49,0)))</f>
        <v>0</v>
      </c>
    </row>
    <row r="5144" customFormat="false" ht="15" hidden="false" customHeight="false" outlineLevel="0" collapsed="false">
      <c r="A5144" s="36" t="n">
        <v>46237</v>
      </c>
      <c r="B5144" s="24" t="s">
        <v>65</v>
      </c>
      <c r="C5144" s="24" t="s">
        <v>141</v>
      </c>
      <c r="D5144" s="33" t="n">
        <v>238</v>
      </c>
      <c r="E5144" s="24" t="n">
        <v>0</v>
      </c>
      <c r="F5144" s="37" t="n">
        <f aca="false">DATE(YEAR(A5144),MONTH(A5144),1)</f>
        <v>46235</v>
      </c>
      <c r="G5144" s="24" t="str">
        <f aca="false">INDEX(Products!$C$2:$C$49,MATCH(C5144,Products!$A$2:$A$49,0))</f>
        <v>Dairy &amp; Eggs</v>
      </c>
      <c r="H5144" s="33" t="n">
        <f aca="false">D5144*INDEX(Products!$E$2:$E$49,MATCH(C5144,Products!$A$2:$A$49,0))</f>
        <v>97580</v>
      </c>
      <c r="I5144" s="33" t="n">
        <f aca="false">D5144*INDEX(Products!$D$2:$D$49,MATCH(C5144,Products!$A$2:$A$49,0))*(1+INDEX(Assumptions!$B$16:$B$20,MATCH(B5144,Assumptions!$A$16:$A$20,0)))</f>
        <v>81324.6</v>
      </c>
      <c r="J5144" s="33" t="n">
        <f aca="false">H5144-I5144</f>
        <v>16255.4</v>
      </c>
      <c r="K5144" s="33" t="n">
        <f aca="false">IF(OR(E5144=0,E5144&gt;=7),0,D5144/(7-E5144)*E5144*INDEX(Products!$E$2:$E$49,MATCH(C5144,Products!$A$2:$A$49,0)))</f>
        <v>0</v>
      </c>
    </row>
    <row r="5145" customFormat="false" ht="15" hidden="false" customHeight="false" outlineLevel="0" collapsed="false">
      <c r="A5145" s="36" t="n">
        <v>46244</v>
      </c>
      <c r="B5145" s="24" t="s">
        <v>65</v>
      </c>
      <c r="C5145" s="24" t="s">
        <v>141</v>
      </c>
      <c r="D5145" s="33" t="n">
        <v>253</v>
      </c>
      <c r="E5145" s="24" t="n">
        <v>0</v>
      </c>
      <c r="F5145" s="37" t="n">
        <f aca="false">DATE(YEAR(A5145),MONTH(A5145),1)</f>
        <v>46235</v>
      </c>
      <c r="G5145" s="24" t="str">
        <f aca="false">INDEX(Products!$C$2:$C$49,MATCH(C5145,Products!$A$2:$A$49,0))</f>
        <v>Dairy &amp; Eggs</v>
      </c>
      <c r="H5145" s="33" t="n">
        <f aca="false">D5145*INDEX(Products!$E$2:$E$49,MATCH(C5145,Products!$A$2:$A$49,0))</f>
        <v>103730</v>
      </c>
      <c r="I5145" s="33" t="n">
        <f aca="false">D5145*INDEX(Products!$D$2:$D$49,MATCH(C5145,Products!$A$2:$A$49,0))*(1+INDEX(Assumptions!$B$16:$B$20,MATCH(B5145,Assumptions!$A$16:$A$20,0)))</f>
        <v>86450.1</v>
      </c>
      <c r="J5145" s="33" t="n">
        <f aca="false">H5145-I5145</f>
        <v>17279.9</v>
      </c>
      <c r="K5145" s="33" t="n">
        <f aca="false">IF(OR(E5145=0,E5145&gt;=7),0,D5145/(7-E5145)*E5145*INDEX(Products!$E$2:$E$49,MATCH(C5145,Products!$A$2:$A$49,0)))</f>
        <v>0</v>
      </c>
    </row>
    <row r="5146" customFormat="false" ht="15" hidden="false" customHeight="false" outlineLevel="0" collapsed="false">
      <c r="A5146" s="36" t="n">
        <v>46251</v>
      </c>
      <c r="B5146" s="24" t="s">
        <v>65</v>
      </c>
      <c r="C5146" s="24" t="s">
        <v>141</v>
      </c>
      <c r="D5146" s="33" t="n">
        <v>238</v>
      </c>
      <c r="E5146" s="24" t="n">
        <v>0</v>
      </c>
      <c r="F5146" s="37" t="n">
        <f aca="false">DATE(YEAR(A5146),MONTH(A5146),1)</f>
        <v>46235</v>
      </c>
      <c r="G5146" s="24" t="str">
        <f aca="false">INDEX(Products!$C$2:$C$49,MATCH(C5146,Products!$A$2:$A$49,0))</f>
        <v>Dairy &amp; Eggs</v>
      </c>
      <c r="H5146" s="33" t="n">
        <f aca="false">D5146*INDEX(Products!$E$2:$E$49,MATCH(C5146,Products!$A$2:$A$49,0))</f>
        <v>97580</v>
      </c>
      <c r="I5146" s="33" t="n">
        <f aca="false">D5146*INDEX(Products!$D$2:$D$49,MATCH(C5146,Products!$A$2:$A$49,0))*(1+INDEX(Assumptions!$B$16:$B$20,MATCH(B5146,Assumptions!$A$16:$A$20,0)))</f>
        <v>81324.6</v>
      </c>
      <c r="J5146" s="33" t="n">
        <f aca="false">H5146-I5146</f>
        <v>16255.4</v>
      </c>
      <c r="K5146" s="33" t="n">
        <f aca="false">IF(OR(E5146=0,E5146&gt;=7),0,D5146/(7-E5146)*E5146*INDEX(Products!$E$2:$E$49,MATCH(C5146,Products!$A$2:$A$49,0)))</f>
        <v>0</v>
      </c>
    </row>
    <row r="5147" customFormat="false" ht="15" hidden="false" customHeight="false" outlineLevel="0" collapsed="false">
      <c r="A5147" s="36" t="n">
        <v>46258</v>
      </c>
      <c r="B5147" s="24" t="s">
        <v>65</v>
      </c>
      <c r="C5147" s="24" t="s">
        <v>141</v>
      </c>
      <c r="D5147" s="33" t="n">
        <v>266</v>
      </c>
      <c r="E5147" s="24" t="n">
        <v>0</v>
      </c>
      <c r="F5147" s="37" t="n">
        <f aca="false">DATE(YEAR(A5147),MONTH(A5147),1)</f>
        <v>46235</v>
      </c>
      <c r="G5147" s="24" t="str">
        <f aca="false">INDEX(Products!$C$2:$C$49,MATCH(C5147,Products!$A$2:$A$49,0))</f>
        <v>Dairy &amp; Eggs</v>
      </c>
      <c r="H5147" s="33" t="n">
        <f aca="false">D5147*INDEX(Products!$E$2:$E$49,MATCH(C5147,Products!$A$2:$A$49,0))</f>
        <v>109060</v>
      </c>
      <c r="I5147" s="33" t="n">
        <f aca="false">D5147*INDEX(Products!$D$2:$D$49,MATCH(C5147,Products!$A$2:$A$49,0))*(1+INDEX(Assumptions!$B$16:$B$20,MATCH(B5147,Assumptions!$A$16:$A$20,0)))</f>
        <v>90892.2</v>
      </c>
      <c r="J5147" s="33" t="n">
        <f aca="false">H5147-I5147</f>
        <v>18167.8</v>
      </c>
      <c r="K5147" s="33" t="n">
        <f aca="false">IF(OR(E5147=0,E5147&gt;=7),0,D5147/(7-E5147)*E5147*INDEX(Products!$E$2:$E$49,MATCH(C5147,Products!$A$2:$A$49,0)))</f>
        <v>0</v>
      </c>
    </row>
    <row r="5148" customFormat="false" ht="15" hidden="false" customHeight="false" outlineLevel="0" collapsed="false">
      <c r="A5148" s="36" t="n">
        <v>46265</v>
      </c>
      <c r="B5148" s="24" t="s">
        <v>65</v>
      </c>
      <c r="C5148" s="24" t="s">
        <v>141</v>
      </c>
      <c r="D5148" s="33" t="n">
        <v>284</v>
      </c>
      <c r="E5148" s="24" t="n">
        <v>0</v>
      </c>
      <c r="F5148" s="37" t="n">
        <f aca="false">DATE(YEAR(A5148),MONTH(A5148),1)</f>
        <v>46235</v>
      </c>
      <c r="G5148" s="24" t="str">
        <f aca="false">INDEX(Products!$C$2:$C$49,MATCH(C5148,Products!$A$2:$A$49,0))</f>
        <v>Dairy &amp; Eggs</v>
      </c>
      <c r="H5148" s="33" t="n">
        <f aca="false">D5148*INDEX(Products!$E$2:$E$49,MATCH(C5148,Products!$A$2:$A$49,0))</f>
        <v>116440</v>
      </c>
      <c r="I5148" s="33" t="n">
        <f aca="false">D5148*INDEX(Products!$D$2:$D$49,MATCH(C5148,Products!$A$2:$A$49,0))*(1+INDEX(Assumptions!$B$16:$B$20,MATCH(B5148,Assumptions!$A$16:$A$20,0)))</f>
        <v>97042.8</v>
      </c>
      <c r="J5148" s="33" t="n">
        <f aca="false">H5148-I5148</f>
        <v>19397.2</v>
      </c>
      <c r="K5148" s="33" t="n">
        <f aca="false">IF(OR(E5148=0,E5148&gt;=7),0,D5148/(7-E5148)*E5148*INDEX(Products!$E$2:$E$49,MATCH(C5148,Products!$A$2:$A$49,0)))</f>
        <v>0</v>
      </c>
    </row>
    <row r="5149" customFormat="false" ht="15" hidden="false" customHeight="false" outlineLevel="0" collapsed="false">
      <c r="A5149" s="36" t="n">
        <v>46272</v>
      </c>
      <c r="B5149" s="24" t="s">
        <v>65</v>
      </c>
      <c r="C5149" s="24" t="s">
        <v>141</v>
      </c>
      <c r="D5149" s="33" t="n">
        <v>263</v>
      </c>
      <c r="E5149" s="24" t="n">
        <v>0</v>
      </c>
      <c r="F5149" s="37" t="n">
        <f aca="false">DATE(YEAR(A5149),MONTH(A5149),1)</f>
        <v>46266</v>
      </c>
      <c r="G5149" s="24" t="str">
        <f aca="false">INDEX(Products!$C$2:$C$49,MATCH(C5149,Products!$A$2:$A$49,0))</f>
        <v>Dairy &amp; Eggs</v>
      </c>
      <c r="H5149" s="33" t="n">
        <f aca="false">D5149*INDEX(Products!$E$2:$E$49,MATCH(C5149,Products!$A$2:$A$49,0))</f>
        <v>107830</v>
      </c>
      <c r="I5149" s="33" t="n">
        <f aca="false">D5149*INDEX(Products!$D$2:$D$49,MATCH(C5149,Products!$A$2:$A$49,0))*(1+INDEX(Assumptions!$B$16:$B$20,MATCH(B5149,Assumptions!$A$16:$A$20,0)))</f>
        <v>89867.1</v>
      </c>
      <c r="J5149" s="33" t="n">
        <f aca="false">H5149-I5149</f>
        <v>17962.9</v>
      </c>
      <c r="K5149" s="33" t="n">
        <f aca="false">IF(OR(E5149=0,E5149&gt;=7),0,D5149/(7-E5149)*E5149*INDEX(Products!$E$2:$E$49,MATCH(C5149,Products!$A$2:$A$49,0)))</f>
        <v>0</v>
      </c>
    </row>
    <row r="5150" customFormat="false" ht="15" hidden="false" customHeight="false" outlineLevel="0" collapsed="false">
      <c r="A5150" s="36" t="n">
        <v>46279</v>
      </c>
      <c r="B5150" s="24" t="s">
        <v>65</v>
      </c>
      <c r="C5150" s="24" t="s">
        <v>141</v>
      </c>
      <c r="D5150" s="33" t="n">
        <v>236</v>
      </c>
      <c r="E5150" s="24" t="n">
        <v>0</v>
      </c>
      <c r="F5150" s="37" t="n">
        <f aca="false">DATE(YEAR(A5150),MONTH(A5150),1)</f>
        <v>46266</v>
      </c>
      <c r="G5150" s="24" t="str">
        <f aca="false">INDEX(Products!$C$2:$C$49,MATCH(C5150,Products!$A$2:$A$49,0))</f>
        <v>Dairy &amp; Eggs</v>
      </c>
      <c r="H5150" s="33" t="n">
        <f aca="false">D5150*INDEX(Products!$E$2:$E$49,MATCH(C5150,Products!$A$2:$A$49,0))</f>
        <v>96760</v>
      </c>
      <c r="I5150" s="33" t="n">
        <f aca="false">D5150*INDEX(Products!$D$2:$D$49,MATCH(C5150,Products!$A$2:$A$49,0))*(1+INDEX(Assumptions!$B$16:$B$20,MATCH(B5150,Assumptions!$A$16:$A$20,0)))</f>
        <v>80641.2</v>
      </c>
      <c r="J5150" s="33" t="n">
        <f aca="false">H5150-I5150</f>
        <v>16118.8</v>
      </c>
      <c r="K5150" s="33" t="n">
        <f aca="false">IF(OR(E5150=0,E5150&gt;=7),0,D5150/(7-E5150)*E5150*INDEX(Products!$E$2:$E$49,MATCH(C5150,Products!$A$2:$A$49,0)))</f>
        <v>0</v>
      </c>
    </row>
    <row r="5151" customFormat="false" ht="15" hidden="false" customHeight="false" outlineLevel="0" collapsed="false">
      <c r="A5151" s="36" t="n">
        <v>46286</v>
      </c>
      <c r="B5151" s="24" t="s">
        <v>65</v>
      </c>
      <c r="C5151" s="24" t="s">
        <v>141</v>
      </c>
      <c r="D5151" s="33" t="n">
        <v>275</v>
      </c>
      <c r="E5151" s="24" t="n">
        <v>0</v>
      </c>
      <c r="F5151" s="37" t="n">
        <f aca="false">DATE(YEAR(A5151),MONTH(A5151),1)</f>
        <v>46266</v>
      </c>
      <c r="G5151" s="24" t="str">
        <f aca="false">INDEX(Products!$C$2:$C$49,MATCH(C5151,Products!$A$2:$A$49,0))</f>
        <v>Dairy &amp; Eggs</v>
      </c>
      <c r="H5151" s="33" t="n">
        <f aca="false">D5151*INDEX(Products!$E$2:$E$49,MATCH(C5151,Products!$A$2:$A$49,0))</f>
        <v>112750</v>
      </c>
      <c r="I5151" s="33" t="n">
        <f aca="false">D5151*INDEX(Products!$D$2:$D$49,MATCH(C5151,Products!$A$2:$A$49,0))*(1+INDEX(Assumptions!$B$16:$B$20,MATCH(B5151,Assumptions!$A$16:$A$20,0)))</f>
        <v>93967.5</v>
      </c>
      <c r="J5151" s="33" t="n">
        <f aca="false">H5151-I5151</f>
        <v>18782.5</v>
      </c>
      <c r="K5151" s="33" t="n">
        <f aca="false">IF(OR(E5151=0,E5151&gt;=7),0,D5151/(7-E5151)*E5151*INDEX(Products!$E$2:$E$49,MATCH(C5151,Products!$A$2:$A$49,0)))</f>
        <v>0</v>
      </c>
    </row>
    <row r="5152" customFormat="false" ht="15" hidden="false" customHeight="false" outlineLevel="0" collapsed="false">
      <c r="A5152" s="36" t="n">
        <v>46118</v>
      </c>
      <c r="B5152" s="24" t="s">
        <v>65</v>
      </c>
      <c r="C5152" s="24" t="s">
        <v>143</v>
      </c>
      <c r="D5152" s="33" t="n">
        <v>36</v>
      </c>
      <c r="E5152" s="24" t="n">
        <v>0</v>
      </c>
      <c r="F5152" s="37" t="n">
        <f aca="false">DATE(YEAR(A5152),MONTH(A5152),1)</f>
        <v>46113</v>
      </c>
      <c r="G5152" s="24" t="str">
        <f aca="false">INDEX(Products!$C$2:$C$49,MATCH(C5152,Products!$A$2:$A$49,0))</f>
        <v>Dairy &amp; Eggs</v>
      </c>
      <c r="H5152" s="33" t="n">
        <f aca="false">D5152*INDEX(Products!$E$2:$E$49,MATCH(C5152,Products!$A$2:$A$49,0))</f>
        <v>8640</v>
      </c>
      <c r="I5152" s="33" t="n">
        <f aca="false">D5152*INDEX(Products!$D$2:$D$49,MATCH(C5152,Products!$A$2:$A$49,0))*(1+INDEX(Assumptions!$B$16:$B$20,MATCH(B5152,Assumptions!$A$16:$A$20,0)))</f>
        <v>6940.08</v>
      </c>
      <c r="J5152" s="33" t="n">
        <f aca="false">H5152-I5152</f>
        <v>1699.92</v>
      </c>
      <c r="K5152" s="33" t="n">
        <f aca="false">IF(OR(E5152=0,E5152&gt;=7),0,D5152/(7-E5152)*E5152*INDEX(Products!$E$2:$E$49,MATCH(C5152,Products!$A$2:$A$49,0)))</f>
        <v>0</v>
      </c>
    </row>
    <row r="5153" customFormat="false" ht="15" hidden="false" customHeight="false" outlineLevel="0" collapsed="false">
      <c r="A5153" s="36" t="n">
        <v>46125</v>
      </c>
      <c r="B5153" s="24" t="s">
        <v>65</v>
      </c>
      <c r="C5153" s="24" t="s">
        <v>143</v>
      </c>
      <c r="D5153" s="33" t="n">
        <v>26</v>
      </c>
      <c r="E5153" s="24" t="n">
        <v>0</v>
      </c>
      <c r="F5153" s="37" t="n">
        <f aca="false">DATE(YEAR(A5153),MONTH(A5153),1)</f>
        <v>46113</v>
      </c>
      <c r="G5153" s="24" t="str">
        <f aca="false">INDEX(Products!$C$2:$C$49,MATCH(C5153,Products!$A$2:$A$49,0))</f>
        <v>Dairy &amp; Eggs</v>
      </c>
      <c r="H5153" s="33" t="n">
        <f aca="false">D5153*INDEX(Products!$E$2:$E$49,MATCH(C5153,Products!$A$2:$A$49,0))</f>
        <v>6240</v>
      </c>
      <c r="I5153" s="33" t="n">
        <f aca="false">D5153*INDEX(Products!$D$2:$D$49,MATCH(C5153,Products!$A$2:$A$49,0))*(1+INDEX(Assumptions!$B$16:$B$20,MATCH(B5153,Assumptions!$A$16:$A$20,0)))</f>
        <v>5012.28</v>
      </c>
      <c r="J5153" s="33" t="n">
        <f aca="false">H5153-I5153</f>
        <v>1227.72</v>
      </c>
      <c r="K5153" s="33" t="n">
        <f aca="false">IF(OR(E5153=0,E5153&gt;=7),0,D5153/(7-E5153)*E5153*INDEX(Products!$E$2:$E$49,MATCH(C5153,Products!$A$2:$A$49,0)))</f>
        <v>0</v>
      </c>
    </row>
    <row r="5154" customFormat="false" ht="15" hidden="false" customHeight="false" outlineLevel="0" collapsed="false">
      <c r="A5154" s="36" t="n">
        <v>46132</v>
      </c>
      <c r="B5154" s="24" t="s">
        <v>65</v>
      </c>
      <c r="C5154" s="24" t="s">
        <v>143</v>
      </c>
      <c r="D5154" s="33" t="n">
        <v>38</v>
      </c>
      <c r="E5154" s="24" t="n">
        <v>0</v>
      </c>
      <c r="F5154" s="37" t="n">
        <f aca="false">DATE(YEAR(A5154),MONTH(A5154),1)</f>
        <v>46113</v>
      </c>
      <c r="G5154" s="24" t="str">
        <f aca="false">INDEX(Products!$C$2:$C$49,MATCH(C5154,Products!$A$2:$A$49,0))</f>
        <v>Dairy &amp; Eggs</v>
      </c>
      <c r="H5154" s="33" t="n">
        <f aca="false">D5154*INDEX(Products!$E$2:$E$49,MATCH(C5154,Products!$A$2:$A$49,0))</f>
        <v>9120</v>
      </c>
      <c r="I5154" s="33" t="n">
        <f aca="false">D5154*INDEX(Products!$D$2:$D$49,MATCH(C5154,Products!$A$2:$A$49,0))*(1+INDEX(Assumptions!$B$16:$B$20,MATCH(B5154,Assumptions!$A$16:$A$20,0)))</f>
        <v>7325.64</v>
      </c>
      <c r="J5154" s="33" t="n">
        <f aca="false">H5154-I5154</f>
        <v>1794.36</v>
      </c>
      <c r="K5154" s="33" t="n">
        <f aca="false">IF(OR(E5154=0,E5154&gt;=7),0,D5154/(7-E5154)*E5154*INDEX(Products!$E$2:$E$49,MATCH(C5154,Products!$A$2:$A$49,0)))</f>
        <v>0</v>
      </c>
    </row>
    <row r="5155" customFormat="false" ht="15" hidden="false" customHeight="false" outlineLevel="0" collapsed="false">
      <c r="A5155" s="36" t="n">
        <v>46139</v>
      </c>
      <c r="B5155" s="24" t="s">
        <v>65</v>
      </c>
      <c r="C5155" s="24" t="s">
        <v>143</v>
      </c>
      <c r="D5155" s="33" t="n">
        <v>35</v>
      </c>
      <c r="E5155" s="24" t="n">
        <v>0</v>
      </c>
      <c r="F5155" s="37" t="n">
        <f aca="false">DATE(YEAR(A5155),MONTH(A5155),1)</f>
        <v>46113</v>
      </c>
      <c r="G5155" s="24" t="str">
        <f aca="false">INDEX(Products!$C$2:$C$49,MATCH(C5155,Products!$A$2:$A$49,0))</f>
        <v>Dairy &amp; Eggs</v>
      </c>
      <c r="H5155" s="33" t="n">
        <f aca="false">D5155*INDEX(Products!$E$2:$E$49,MATCH(C5155,Products!$A$2:$A$49,0))</f>
        <v>8400</v>
      </c>
      <c r="I5155" s="33" t="n">
        <f aca="false">D5155*INDEX(Products!$D$2:$D$49,MATCH(C5155,Products!$A$2:$A$49,0))*(1+INDEX(Assumptions!$B$16:$B$20,MATCH(B5155,Assumptions!$A$16:$A$20,0)))</f>
        <v>6747.3</v>
      </c>
      <c r="J5155" s="33" t="n">
        <f aca="false">H5155-I5155</f>
        <v>1652.7</v>
      </c>
      <c r="K5155" s="33" t="n">
        <f aca="false">IF(OR(E5155=0,E5155&gt;=7),0,D5155/(7-E5155)*E5155*INDEX(Products!$E$2:$E$49,MATCH(C5155,Products!$A$2:$A$49,0)))</f>
        <v>0</v>
      </c>
    </row>
    <row r="5156" customFormat="false" ht="15" hidden="false" customHeight="false" outlineLevel="0" collapsed="false">
      <c r="A5156" s="36" t="n">
        <v>46146</v>
      </c>
      <c r="B5156" s="24" t="s">
        <v>65</v>
      </c>
      <c r="C5156" s="24" t="s">
        <v>143</v>
      </c>
      <c r="D5156" s="33" t="n">
        <v>34</v>
      </c>
      <c r="E5156" s="24" t="n">
        <v>0</v>
      </c>
      <c r="F5156" s="37" t="n">
        <f aca="false">DATE(YEAR(A5156),MONTH(A5156),1)</f>
        <v>46143</v>
      </c>
      <c r="G5156" s="24" t="str">
        <f aca="false">INDEX(Products!$C$2:$C$49,MATCH(C5156,Products!$A$2:$A$49,0))</f>
        <v>Dairy &amp; Eggs</v>
      </c>
      <c r="H5156" s="33" t="n">
        <f aca="false">D5156*INDEX(Products!$E$2:$E$49,MATCH(C5156,Products!$A$2:$A$49,0))</f>
        <v>8160</v>
      </c>
      <c r="I5156" s="33" t="n">
        <f aca="false">D5156*INDEX(Products!$D$2:$D$49,MATCH(C5156,Products!$A$2:$A$49,0))*(1+INDEX(Assumptions!$B$16:$B$20,MATCH(B5156,Assumptions!$A$16:$A$20,0)))</f>
        <v>6554.52</v>
      </c>
      <c r="J5156" s="33" t="n">
        <f aca="false">H5156-I5156</f>
        <v>1605.48</v>
      </c>
      <c r="K5156" s="33" t="n">
        <f aca="false">IF(OR(E5156=0,E5156&gt;=7),0,D5156/(7-E5156)*E5156*INDEX(Products!$E$2:$E$49,MATCH(C5156,Products!$A$2:$A$49,0)))</f>
        <v>0</v>
      </c>
    </row>
    <row r="5157" customFormat="false" ht="15" hidden="false" customHeight="false" outlineLevel="0" collapsed="false">
      <c r="A5157" s="36" t="n">
        <v>46153</v>
      </c>
      <c r="B5157" s="24" t="s">
        <v>65</v>
      </c>
      <c r="C5157" s="24" t="s">
        <v>143</v>
      </c>
      <c r="D5157" s="33" t="n">
        <v>34</v>
      </c>
      <c r="E5157" s="24" t="n">
        <v>0</v>
      </c>
      <c r="F5157" s="37" t="n">
        <f aca="false">DATE(YEAR(A5157),MONTH(A5157),1)</f>
        <v>46143</v>
      </c>
      <c r="G5157" s="24" t="str">
        <f aca="false">INDEX(Products!$C$2:$C$49,MATCH(C5157,Products!$A$2:$A$49,0))</f>
        <v>Dairy &amp; Eggs</v>
      </c>
      <c r="H5157" s="33" t="n">
        <f aca="false">D5157*INDEX(Products!$E$2:$E$49,MATCH(C5157,Products!$A$2:$A$49,0))</f>
        <v>8160</v>
      </c>
      <c r="I5157" s="33" t="n">
        <f aca="false">D5157*INDEX(Products!$D$2:$D$49,MATCH(C5157,Products!$A$2:$A$49,0))*(1+INDEX(Assumptions!$B$16:$B$20,MATCH(B5157,Assumptions!$A$16:$A$20,0)))</f>
        <v>6554.52</v>
      </c>
      <c r="J5157" s="33" t="n">
        <f aca="false">H5157-I5157</f>
        <v>1605.48</v>
      </c>
      <c r="K5157" s="33" t="n">
        <f aca="false">IF(OR(E5157=0,E5157&gt;=7),0,D5157/(7-E5157)*E5157*INDEX(Products!$E$2:$E$49,MATCH(C5157,Products!$A$2:$A$49,0)))</f>
        <v>0</v>
      </c>
    </row>
    <row r="5158" customFormat="false" ht="15" hidden="false" customHeight="false" outlineLevel="0" collapsed="false">
      <c r="A5158" s="36" t="n">
        <v>46160</v>
      </c>
      <c r="B5158" s="24" t="s">
        <v>65</v>
      </c>
      <c r="C5158" s="24" t="s">
        <v>143</v>
      </c>
      <c r="D5158" s="33" t="n">
        <v>27</v>
      </c>
      <c r="E5158" s="24" t="n">
        <v>0</v>
      </c>
      <c r="F5158" s="37" t="n">
        <f aca="false">DATE(YEAR(A5158),MONTH(A5158),1)</f>
        <v>46143</v>
      </c>
      <c r="G5158" s="24" t="str">
        <f aca="false">INDEX(Products!$C$2:$C$49,MATCH(C5158,Products!$A$2:$A$49,0))</f>
        <v>Dairy &amp; Eggs</v>
      </c>
      <c r="H5158" s="33" t="n">
        <f aca="false">D5158*INDEX(Products!$E$2:$E$49,MATCH(C5158,Products!$A$2:$A$49,0))</f>
        <v>6480</v>
      </c>
      <c r="I5158" s="33" t="n">
        <f aca="false">D5158*INDEX(Products!$D$2:$D$49,MATCH(C5158,Products!$A$2:$A$49,0))*(1+INDEX(Assumptions!$B$16:$B$20,MATCH(B5158,Assumptions!$A$16:$A$20,0)))</f>
        <v>5205.06</v>
      </c>
      <c r="J5158" s="33" t="n">
        <f aca="false">H5158-I5158</f>
        <v>1274.94</v>
      </c>
      <c r="K5158" s="33" t="n">
        <f aca="false">IF(OR(E5158=0,E5158&gt;=7),0,D5158/(7-E5158)*E5158*INDEX(Products!$E$2:$E$49,MATCH(C5158,Products!$A$2:$A$49,0)))</f>
        <v>0</v>
      </c>
    </row>
    <row r="5159" customFormat="false" ht="15" hidden="false" customHeight="false" outlineLevel="0" collapsed="false">
      <c r="A5159" s="36" t="n">
        <v>46167</v>
      </c>
      <c r="B5159" s="24" t="s">
        <v>65</v>
      </c>
      <c r="C5159" s="24" t="s">
        <v>143</v>
      </c>
      <c r="D5159" s="33" t="n">
        <v>44</v>
      </c>
      <c r="E5159" s="24" t="n">
        <v>0</v>
      </c>
      <c r="F5159" s="37" t="n">
        <f aca="false">DATE(YEAR(A5159),MONTH(A5159),1)</f>
        <v>46143</v>
      </c>
      <c r="G5159" s="24" t="str">
        <f aca="false">INDEX(Products!$C$2:$C$49,MATCH(C5159,Products!$A$2:$A$49,0))</f>
        <v>Dairy &amp; Eggs</v>
      </c>
      <c r="H5159" s="33" t="n">
        <f aca="false">D5159*INDEX(Products!$E$2:$E$49,MATCH(C5159,Products!$A$2:$A$49,0))</f>
        <v>10560</v>
      </c>
      <c r="I5159" s="33" t="n">
        <f aca="false">D5159*INDEX(Products!$D$2:$D$49,MATCH(C5159,Products!$A$2:$A$49,0))*(1+INDEX(Assumptions!$B$16:$B$20,MATCH(B5159,Assumptions!$A$16:$A$20,0)))</f>
        <v>8482.32</v>
      </c>
      <c r="J5159" s="33" t="n">
        <f aca="false">H5159-I5159</f>
        <v>2077.68</v>
      </c>
      <c r="K5159" s="33" t="n">
        <f aca="false">IF(OR(E5159=0,E5159&gt;=7),0,D5159/(7-E5159)*E5159*INDEX(Products!$E$2:$E$49,MATCH(C5159,Products!$A$2:$A$49,0)))</f>
        <v>0</v>
      </c>
    </row>
    <row r="5160" customFormat="false" ht="15" hidden="false" customHeight="false" outlineLevel="0" collapsed="false">
      <c r="A5160" s="36" t="n">
        <v>46174</v>
      </c>
      <c r="B5160" s="24" t="s">
        <v>65</v>
      </c>
      <c r="C5160" s="24" t="s">
        <v>143</v>
      </c>
      <c r="D5160" s="33" t="n">
        <v>31</v>
      </c>
      <c r="E5160" s="24" t="n">
        <v>0</v>
      </c>
      <c r="F5160" s="37" t="n">
        <f aca="false">DATE(YEAR(A5160),MONTH(A5160),1)</f>
        <v>46174</v>
      </c>
      <c r="G5160" s="24" t="str">
        <f aca="false">INDEX(Products!$C$2:$C$49,MATCH(C5160,Products!$A$2:$A$49,0))</f>
        <v>Dairy &amp; Eggs</v>
      </c>
      <c r="H5160" s="33" t="n">
        <f aca="false">D5160*INDEX(Products!$E$2:$E$49,MATCH(C5160,Products!$A$2:$A$49,0))</f>
        <v>7440</v>
      </c>
      <c r="I5160" s="33" t="n">
        <f aca="false">D5160*INDEX(Products!$D$2:$D$49,MATCH(C5160,Products!$A$2:$A$49,0))*(1+INDEX(Assumptions!$B$16:$B$20,MATCH(B5160,Assumptions!$A$16:$A$20,0)))</f>
        <v>5976.18</v>
      </c>
      <c r="J5160" s="33" t="n">
        <f aca="false">H5160-I5160</f>
        <v>1463.82</v>
      </c>
      <c r="K5160" s="33" t="n">
        <f aca="false">IF(OR(E5160=0,E5160&gt;=7),0,D5160/(7-E5160)*E5160*INDEX(Products!$E$2:$E$49,MATCH(C5160,Products!$A$2:$A$49,0)))</f>
        <v>0</v>
      </c>
    </row>
    <row r="5161" customFormat="false" ht="15" hidden="false" customHeight="false" outlineLevel="0" collapsed="false">
      <c r="A5161" s="36" t="n">
        <v>46181</v>
      </c>
      <c r="B5161" s="24" t="s">
        <v>65</v>
      </c>
      <c r="C5161" s="24" t="s">
        <v>143</v>
      </c>
      <c r="D5161" s="33" t="n">
        <v>14</v>
      </c>
      <c r="E5161" s="24" t="n">
        <v>0</v>
      </c>
      <c r="F5161" s="37" t="n">
        <f aca="false">DATE(YEAR(A5161),MONTH(A5161),1)</f>
        <v>46174</v>
      </c>
      <c r="G5161" s="24" t="str">
        <f aca="false">INDEX(Products!$C$2:$C$49,MATCH(C5161,Products!$A$2:$A$49,0))</f>
        <v>Dairy &amp; Eggs</v>
      </c>
      <c r="H5161" s="33" t="n">
        <f aca="false">D5161*INDEX(Products!$E$2:$E$49,MATCH(C5161,Products!$A$2:$A$49,0))</f>
        <v>3360</v>
      </c>
      <c r="I5161" s="33" t="n">
        <f aca="false">D5161*INDEX(Products!$D$2:$D$49,MATCH(C5161,Products!$A$2:$A$49,0))*(1+INDEX(Assumptions!$B$16:$B$20,MATCH(B5161,Assumptions!$A$16:$A$20,0)))</f>
        <v>2698.92</v>
      </c>
      <c r="J5161" s="33" t="n">
        <f aca="false">H5161-I5161</f>
        <v>661.08</v>
      </c>
      <c r="K5161" s="33" t="n">
        <f aca="false">IF(OR(E5161=0,E5161&gt;=7),0,D5161/(7-E5161)*E5161*INDEX(Products!$E$2:$E$49,MATCH(C5161,Products!$A$2:$A$49,0)))</f>
        <v>0</v>
      </c>
    </row>
    <row r="5162" customFormat="false" ht="15" hidden="false" customHeight="false" outlineLevel="0" collapsed="false">
      <c r="A5162" s="36" t="n">
        <v>46188</v>
      </c>
      <c r="B5162" s="24" t="s">
        <v>65</v>
      </c>
      <c r="C5162" s="24" t="s">
        <v>143</v>
      </c>
      <c r="D5162" s="33" t="n">
        <v>30</v>
      </c>
      <c r="E5162" s="24" t="n">
        <v>0</v>
      </c>
      <c r="F5162" s="37" t="n">
        <f aca="false">DATE(YEAR(A5162),MONTH(A5162),1)</f>
        <v>46174</v>
      </c>
      <c r="G5162" s="24" t="str">
        <f aca="false">INDEX(Products!$C$2:$C$49,MATCH(C5162,Products!$A$2:$A$49,0))</f>
        <v>Dairy &amp; Eggs</v>
      </c>
      <c r="H5162" s="33" t="n">
        <f aca="false">D5162*INDEX(Products!$E$2:$E$49,MATCH(C5162,Products!$A$2:$A$49,0))</f>
        <v>7200</v>
      </c>
      <c r="I5162" s="33" t="n">
        <f aca="false">D5162*INDEX(Products!$D$2:$D$49,MATCH(C5162,Products!$A$2:$A$49,0))*(1+INDEX(Assumptions!$B$16:$B$20,MATCH(B5162,Assumptions!$A$16:$A$20,0)))</f>
        <v>5783.4</v>
      </c>
      <c r="J5162" s="33" t="n">
        <f aca="false">H5162-I5162</f>
        <v>1416.6</v>
      </c>
      <c r="K5162" s="33" t="n">
        <f aca="false">IF(OR(E5162=0,E5162&gt;=7),0,D5162/(7-E5162)*E5162*INDEX(Products!$E$2:$E$49,MATCH(C5162,Products!$A$2:$A$49,0)))</f>
        <v>0</v>
      </c>
    </row>
    <row r="5163" customFormat="false" ht="15" hidden="false" customHeight="false" outlineLevel="0" collapsed="false">
      <c r="A5163" s="36" t="n">
        <v>46195</v>
      </c>
      <c r="B5163" s="24" t="s">
        <v>65</v>
      </c>
      <c r="C5163" s="24" t="s">
        <v>143</v>
      </c>
      <c r="D5163" s="33" t="n">
        <v>33</v>
      </c>
      <c r="E5163" s="24" t="n">
        <v>0</v>
      </c>
      <c r="F5163" s="37" t="n">
        <f aca="false">DATE(YEAR(A5163),MONTH(A5163),1)</f>
        <v>46174</v>
      </c>
      <c r="G5163" s="24" t="str">
        <f aca="false">INDEX(Products!$C$2:$C$49,MATCH(C5163,Products!$A$2:$A$49,0))</f>
        <v>Dairy &amp; Eggs</v>
      </c>
      <c r="H5163" s="33" t="n">
        <f aca="false">D5163*INDEX(Products!$E$2:$E$49,MATCH(C5163,Products!$A$2:$A$49,0))</f>
        <v>7920</v>
      </c>
      <c r="I5163" s="33" t="n">
        <f aca="false">D5163*INDEX(Products!$D$2:$D$49,MATCH(C5163,Products!$A$2:$A$49,0))*(1+INDEX(Assumptions!$B$16:$B$20,MATCH(B5163,Assumptions!$A$16:$A$20,0)))</f>
        <v>6361.74</v>
      </c>
      <c r="J5163" s="33" t="n">
        <f aca="false">H5163-I5163</f>
        <v>1558.26</v>
      </c>
      <c r="K5163" s="33" t="n">
        <f aca="false">IF(OR(E5163=0,E5163&gt;=7),0,D5163/(7-E5163)*E5163*INDEX(Products!$E$2:$E$49,MATCH(C5163,Products!$A$2:$A$49,0)))</f>
        <v>0</v>
      </c>
    </row>
    <row r="5164" customFormat="false" ht="15" hidden="false" customHeight="false" outlineLevel="0" collapsed="false">
      <c r="A5164" s="36" t="n">
        <v>46202</v>
      </c>
      <c r="B5164" s="24" t="s">
        <v>65</v>
      </c>
      <c r="C5164" s="24" t="s">
        <v>143</v>
      </c>
      <c r="D5164" s="33" t="n">
        <v>34</v>
      </c>
      <c r="E5164" s="24" t="n">
        <v>0</v>
      </c>
      <c r="F5164" s="37" t="n">
        <f aca="false">DATE(YEAR(A5164),MONTH(A5164),1)</f>
        <v>46174</v>
      </c>
      <c r="G5164" s="24" t="str">
        <f aca="false">INDEX(Products!$C$2:$C$49,MATCH(C5164,Products!$A$2:$A$49,0))</f>
        <v>Dairy &amp; Eggs</v>
      </c>
      <c r="H5164" s="33" t="n">
        <f aca="false">D5164*INDEX(Products!$E$2:$E$49,MATCH(C5164,Products!$A$2:$A$49,0))</f>
        <v>8160</v>
      </c>
      <c r="I5164" s="33" t="n">
        <f aca="false">D5164*INDEX(Products!$D$2:$D$49,MATCH(C5164,Products!$A$2:$A$49,0))*(1+INDEX(Assumptions!$B$16:$B$20,MATCH(B5164,Assumptions!$A$16:$A$20,0)))</f>
        <v>6554.52</v>
      </c>
      <c r="J5164" s="33" t="n">
        <f aca="false">H5164-I5164</f>
        <v>1605.48</v>
      </c>
      <c r="K5164" s="33" t="n">
        <f aca="false">IF(OR(E5164=0,E5164&gt;=7),0,D5164/(7-E5164)*E5164*INDEX(Products!$E$2:$E$49,MATCH(C5164,Products!$A$2:$A$49,0)))</f>
        <v>0</v>
      </c>
    </row>
    <row r="5165" customFormat="false" ht="15" hidden="false" customHeight="false" outlineLevel="0" collapsed="false">
      <c r="A5165" s="36" t="n">
        <v>46209</v>
      </c>
      <c r="B5165" s="24" t="s">
        <v>65</v>
      </c>
      <c r="C5165" s="24" t="s">
        <v>143</v>
      </c>
      <c r="D5165" s="33" t="n">
        <v>32</v>
      </c>
      <c r="E5165" s="24" t="n">
        <v>0</v>
      </c>
      <c r="F5165" s="37" t="n">
        <f aca="false">DATE(YEAR(A5165),MONTH(A5165),1)</f>
        <v>46204</v>
      </c>
      <c r="G5165" s="24" t="str">
        <f aca="false">INDEX(Products!$C$2:$C$49,MATCH(C5165,Products!$A$2:$A$49,0))</f>
        <v>Dairy &amp; Eggs</v>
      </c>
      <c r="H5165" s="33" t="n">
        <f aca="false">D5165*INDEX(Products!$E$2:$E$49,MATCH(C5165,Products!$A$2:$A$49,0))</f>
        <v>7680</v>
      </c>
      <c r="I5165" s="33" t="n">
        <f aca="false">D5165*INDEX(Products!$D$2:$D$49,MATCH(C5165,Products!$A$2:$A$49,0))*(1+INDEX(Assumptions!$B$16:$B$20,MATCH(B5165,Assumptions!$A$16:$A$20,0)))</f>
        <v>6168.96</v>
      </c>
      <c r="J5165" s="33" t="n">
        <f aca="false">H5165-I5165</f>
        <v>1511.04</v>
      </c>
      <c r="K5165" s="33" t="n">
        <f aca="false">IF(OR(E5165=0,E5165&gt;=7),0,D5165/(7-E5165)*E5165*INDEX(Products!$E$2:$E$49,MATCH(C5165,Products!$A$2:$A$49,0)))</f>
        <v>0</v>
      </c>
    </row>
    <row r="5166" customFormat="false" ht="15" hidden="false" customHeight="false" outlineLevel="0" collapsed="false">
      <c r="A5166" s="36" t="n">
        <v>46216</v>
      </c>
      <c r="B5166" s="24" t="s">
        <v>65</v>
      </c>
      <c r="C5166" s="24" t="s">
        <v>143</v>
      </c>
      <c r="D5166" s="33" t="n">
        <v>27</v>
      </c>
      <c r="E5166" s="24" t="n">
        <v>0</v>
      </c>
      <c r="F5166" s="37" t="n">
        <f aca="false">DATE(YEAR(A5166),MONTH(A5166),1)</f>
        <v>46204</v>
      </c>
      <c r="G5166" s="24" t="str">
        <f aca="false">INDEX(Products!$C$2:$C$49,MATCH(C5166,Products!$A$2:$A$49,0))</f>
        <v>Dairy &amp; Eggs</v>
      </c>
      <c r="H5166" s="33" t="n">
        <f aca="false">D5166*INDEX(Products!$E$2:$E$49,MATCH(C5166,Products!$A$2:$A$49,0))</f>
        <v>6480</v>
      </c>
      <c r="I5166" s="33" t="n">
        <f aca="false">D5166*INDEX(Products!$D$2:$D$49,MATCH(C5166,Products!$A$2:$A$49,0))*(1+INDEX(Assumptions!$B$16:$B$20,MATCH(B5166,Assumptions!$A$16:$A$20,0)))</f>
        <v>5205.06</v>
      </c>
      <c r="J5166" s="33" t="n">
        <f aca="false">H5166-I5166</f>
        <v>1274.94</v>
      </c>
      <c r="K5166" s="33" t="n">
        <f aca="false">IF(OR(E5166=0,E5166&gt;=7),0,D5166/(7-E5166)*E5166*INDEX(Products!$E$2:$E$49,MATCH(C5166,Products!$A$2:$A$49,0)))</f>
        <v>0</v>
      </c>
    </row>
    <row r="5167" customFormat="false" ht="15" hidden="false" customHeight="false" outlineLevel="0" collapsed="false">
      <c r="A5167" s="36" t="n">
        <v>46223</v>
      </c>
      <c r="B5167" s="24" t="s">
        <v>65</v>
      </c>
      <c r="C5167" s="24" t="s">
        <v>143</v>
      </c>
      <c r="D5167" s="33" t="n">
        <v>30</v>
      </c>
      <c r="E5167" s="24" t="n">
        <v>0</v>
      </c>
      <c r="F5167" s="37" t="n">
        <f aca="false">DATE(YEAR(A5167),MONTH(A5167),1)</f>
        <v>46204</v>
      </c>
      <c r="G5167" s="24" t="str">
        <f aca="false">INDEX(Products!$C$2:$C$49,MATCH(C5167,Products!$A$2:$A$49,0))</f>
        <v>Dairy &amp; Eggs</v>
      </c>
      <c r="H5167" s="33" t="n">
        <f aca="false">D5167*INDEX(Products!$E$2:$E$49,MATCH(C5167,Products!$A$2:$A$49,0))</f>
        <v>7200</v>
      </c>
      <c r="I5167" s="33" t="n">
        <f aca="false">D5167*INDEX(Products!$D$2:$D$49,MATCH(C5167,Products!$A$2:$A$49,0))*(1+INDEX(Assumptions!$B$16:$B$20,MATCH(B5167,Assumptions!$A$16:$A$20,0)))</f>
        <v>5783.4</v>
      </c>
      <c r="J5167" s="33" t="n">
        <f aca="false">H5167-I5167</f>
        <v>1416.6</v>
      </c>
      <c r="K5167" s="33" t="n">
        <f aca="false">IF(OR(E5167=0,E5167&gt;=7),0,D5167/(7-E5167)*E5167*INDEX(Products!$E$2:$E$49,MATCH(C5167,Products!$A$2:$A$49,0)))</f>
        <v>0</v>
      </c>
    </row>
    <row r="5168" customFormat="false" ht="15" hidden="false" customHeight="false" outlineLevel="0" collapsed="false">
      <c r="A5168" s="36" t="n">
        <v>46230</v>
      </c>
      <c r="B5168" s="24" t="s">
        <v>65</v>
      </c>
      <c r="C5168" s="24" t="s">
        <v>143</v>
      </c>
      <c r="D5168" s="33" t="n">
        <v>29</v>
      </c>
      <c r="E5168" s="24" t="n">
        <v>0</v>
      </c>
      <c r="F5168" s="37" t="n">
        <f aca="false">DATE(YEAR(A5168),MONTH(A5168),1)</f>
        <v>46204</v>
      </c>
      <c r="G5168" s="24" t="str">
        <f aca="false">INDEX(Products!$C$2:$C$49,MATCH(C5168,Products!$A$2:$A$49,0))</f>
        <v>Dairy &amp; Eggs</v>
      </c>
      <c r="H5168" s="33" t="n">
        <f aca="false">D5168*INDEX(Products!$E$2:$E$49,MATCH(C5168,Products!$A$2:$A$49,0))</f>
        <v>6960</v>
      </c>
      <c r="I5168" s="33" t="n">
        <f aca="false">D5168*INDEX(Products!$D$2:$D$49,MATCH(C5168,Products!$A$2:$A$49,0))*(1+INDEX(Assumptions!$B$16:$B$20,MATCH(B5168,Assumptions!$A$16:$A$20,0)))</f>
        <v>5590.62</v>
      </c>
      <c r="J5168" s="33" t="n">
        <f aca="false">H5168-I5168</f>
        <v>1369.38</v>
      </c>
      <c r="K5168" s="33" t="n">
        <f aca="false">IF(OR(E5168=0,E5168&gt;=7),0,D5168/(7-E5168)*E5168*INDEX(Products!$E$2:$E$49,MATCH(C5168,Products!$A$2:$A$49,0)))</f>
        <v>0</v>
      </c>
    </row>
    <row r="5169" customFormat="false" ht="15" hidden="false" customHeight="false" outlineLevel="0" collapsed="false">
      <c r="A5169" s="36" t="n">
        <v>46237</v>
      </c>
      <c r="B5169" s="24" t="s">
        <v>65</v>
      </c>
      <c r="C5169" s="24" t="s">
        <v>143</v>
      </c>
      <c r="D5169" s="33" t="n">
        <v>35</v>
      </c>
      <c r="E5169" s="24" t="n">
        <v>0</v>
      </c>
      <c r="F5169" s="37" t="n">
        <f aca="false">DATE(YEAR(A5169),MONTH(A5169),1)</f>
        <v>46235</v>
      </c>
      <c r="G5169" s="24" t="str">
        <f aca="false">INDEX(Products!$C$2:$C$49,MATCH(C5169,Products!$A$2:$A$49,0))</f>
        <v>Dairy &amp; Eggs</v>
      </c>
      <c r="H5169" s="33" t="n">
        <f aca="false">D5169*INDEX(Products!$E$2:$E$49,MATCH(C5169,Products!$A$2:$A$49,0))</f>
        <v>8400</v>
      </c>
      <c r="I5169" s="33" t="n">
        <f aca="false">D5169*INDEX(Products!$D$2:$D$49,MATCH(C5169,Products!$A$2:$A$49,0))*(1+INDEX(Assumptions!$B$16:$B$20,MATCH(B5169,Assumptions!$A$16:$A$20,0)))</f>
        <v>6747.3</v>
      </c>
      <c r="J5169" s="33" t="n">
        <f aca="false">H5169-I5169</f>
        <v>1652.7</v>
      </c>
      <c r="K5169" s="33" t="n">
        <f aca="false">IF(OR(E5169=0,E5169&gt;=7),0,D5169/(7-E5169)*E5169*INDEX(Products!$E$2:$E$49,MATCH(C5169,Products!$A$2:$A$49,0)))</f>
        <v>0</v>
      </c>
    </row>
    <row r="5170" customFormat="false" ht="15" hidden="false" customHeight="false" outlineLevel="0" collapsed="false">
      <c r="A5170" s="36" t="n">
        <v>46244</v>
      </c>
      <c r="B5170" s="24" t="s">
        <v>65</v>
      </c>
      <c r="C5170" s="24" t="s">
        <v>143</v>
      </c>
      <c r="D5170" s="33" t="n">
        <v>22</v>
      </c>
      <c r="E5170" s="24" t="n">
        <v>0</v>
      </c>
      <c r="F5170" s="37" t="n">
        <f aca="false">DATE(YEAR(A5170),MONTH(A5170),1)</f>
        <v>46235</v>
      </c>
      <c r="G5170" s="24" t="str">
        <f aca="false">INDEX(Products!$C$2:$C$49,MATCH(C5170,Products!$A$2:$A$49,0))</f>
        <v>Dairy &amp; Eggs</v>
      </c>
      <c r="H5170" s="33" t="n">
        <f aca="false">D5170*INDEX(Products!$E$2:$E$49,MATCH(C5170,Products!$A$2:$A$49,0))</f>
        <v>5280</v>
      </c>
      <c r="I5170" s="33" t="n">
        <f aca="false">D5170*INDEX(Products!$D$2:$D$49,MATCH(C5170,Products!$A$2:$A$49,0))*(1+INDEX(Assumptions!$B$16:$B$20,MATCH(B5170,Assumptions!$A$16:$A$20,0)))</f>
        <v>4241.16</v>
      </c>
      <c r="J5170" s="33" t="n">
        <f aca="false">H5170-I5170</f>
        <v>1038.84</v>
      </c>
      <c r="K5170" s="33" t="n">
        <f aca="false">IF(OR(E5170=0,E5170&gt;=7),0,D5170/(7-E5170)*E5170*INDEX(Products!$E$2:$E$49,MATCH(C5170,Products!$A$2:$A$49,0)))</f>
        <v>0</v>
      </c>
    </row>
    <row r="5171" customFormat="false" ht="15" hidden="false" customHeight="false" outlineLevel="0" collapsed="false">
      <c r="A5171" s="36" t="n">
        <v>46251</v>
      </c>
      <c r="B5171" s="24" t="s">
        <v>65</v>
      </c>
      <c r="C5171" s="24" t="s">
        <v>143</v>
      </c>
      <c r="D5171" s="33" t="n">
        <v>24</v>
      </c>
      <c r="E5171" s="24" t="n">
        <v>0</v>
      </c>
      <c r="F5171" s="37" t="n">
        <f aca="false">DATE(YEAR(A5171),MONTH(A5171),1)</f>
        <v>46235</v>
      </c>
      <c r="G5171" s="24" t="str">
        <f aca="false">INDEX(Products!$C$2:$C$49,MATCH(C5171,Products!$A$2:$A$49,0))</f>
        <v>Dairy &amp; Eggs</v>
      </c>
      <c r="H5171" s="33" t="n">
        <f aca="false">D5171*INDEX(Products!$E$2:$E$49,MATCH(C5171,Products!$A$2:$A$49,0))</f>
        <v>5760</v>
      </c>
      <c r="I5171" s="33" t="n">
        <f aca="false">D5171*INDEX(Products!$D$2:$D$49,MATCH(C5171,Products!$A$2:$A$49,0))*(1+INDEX(Assumptions!$B$16:$B$20,MATCH(B5171,Assumptions!$A$16:$A$20,0)))</f>
        <v>4626.72</v>
      </c>
      <c r="J5171" s="33" t="n">
        <f aca="false">H5171-I5171</f>
        <v>1133.28</v>
      </c>
      <c r="K5171" s="33" t="n">
        <f aca="false">IF(OR(E5171=0,E5171&gt;=7),0,D5171/(7-E5171)*E5171*INDEX(Products!$E$2:$E$49,MATCH(C5171,Products!$A$2:$A$49,0)))</f>
        <v>0</v>
      </c>
    </row>
    <row r="5172" customFormat="false" ht="15" hidden="false" customHeight="false" outlineLevel="0" collapsed="false">
      <c r="A5172" s="36" t="n">
        <v>46258</v>
      </c>
      <c r="B5172" s="24" t="s">
        <v>65</v>
      </c>
      <c r="C5172" s="24" t="s">
        <v>143</v>
      </c>
      <c r="D5172" s="33" t="n">
        <v>34</v>
      </c>
      <c r="E5172" s="24" t="n">
        <v>0</v>
      </c>
      <c r="F5172" s="37" t="n">
        <f aca="false">DATE(YEAR(A5172),MONTH(A5172),1)</f>
        <v>46235</v>
      </c>
      <c r="G5172" s="24" t="str">
        <f aca="false">INDEX(Products!$C$2:$C$49,MATCH(C5172,Products!$A$2:$A$49,0))</f>
        <v>Dairy &amp; Eggs</v>
      </c>
      <c r="H5172" s="33" t="n">
        <f aca="false">D5172*INDEX(Products!$E$2:$E$49,MATCH(C5172,Products!$A$2:$A$49,0))</f>
        <v>8160</v>
      </c>
      <c r="I5172" s="33" t="n">
        <f aca="false">D5172*INDEX(Products!$D$2:$D$49,MATCH(C5172,Products!$A$2:$A$49,0))*(1+INDEX(Assumptions!$B$16:$B$20,MATCH(B5172,Assumptions!$A$16:$A$20,0)))</f>
        <v>6554.52</v>
      </c>
      <c r="J5172" s="33" t="n">
        <f aca="false">H5172-I5172</f>
        <v>1605.48</v>
      </c>
      <c r="K5172" s="33" t="n">
        <f aca="false">IF(OR(E5172=0,E5172&gt;=7),0,D5172/(7-E5172)*E5172*INDEX(Products!$E$2:$E$49,MATCH(C5172,Products!$A$2:$A$49,0)))</f>
        <v>0</v>
      </c>
    </row>
    <row r="5173" customFormat="false" ht="15" hidden="false" customHeight="false" outlineLevel="0" collapsed="false">
      <c r="A5173" s="36" t="n">
        <v>46265</v>
      </c>
      <c r="B5173" s="24" t="s">
        <v>65</v>
      </c>
      <c r="C5173" s="24" t="s">
        <v>143</v>
      </c>
      <c r="D5173" s="33" t="n">
        <v>27</v>
      </c>
      <c r="E5173" s="24" t="n">
        <v>0</v>
      </c>
      <c r="F5173" s="37" t="n">
        <f aca="false">DATE(YEAR(A5173),MONTH(A5173),1)</f>
        <v>46235</v>
      </c>
      <c r="G5173" s="24" t="str">
        <f aca="false">INDEX(Products!$C$2:$C$49,MATCH(C5173,Products!$A$2:$A$49,0))</f>
        <v>Dairy &amp; Eggs</v>
      </c>
      <c r="H5173" s="33" t="n">
        <f aca="false">D5173*INDEX(Products!$E$2:$E$49,MATCH(C5173,Products!$A$2:$A$49,0))</f>
        <v>6480</v>
      </c>
      <c r="I5173" s="33" t="n">
        <f aca="false">D5173*INDEX(Products!$D$2:$D$49,MATCH(C5173,Products!$A$2:$A$49,0))*(1+INDEX(Assumptions!$B$16:$B$20,MATCH(B5173,Assumptions!$A$16:$A$20,0)))</f>
        <v>5205.06</v>
      </c>
      <c r="J5173" s="33" t="n">
        <f aca="false">H5173-I5173</f>
        <v>1274.94</v>
      </c>
      <c r="K5173" s="33" t="n">
        <f aca="false">IF(OR(E5173=0,E5173&gt;=7),0,D5173/(7-E5173)*E5173*INDEX(Products!$E$2:$E$49,MATCH(C5173,Products!$A$2:$A$49,0)))</f>
        <v>0</v>
      </c>
    </row>
    <row r="5174" customFormat="false" ht="15" hidden="false" customHeight="false" outlineLevel="0" collapsed="false">
      <c r="A5174" s="36" t="n">
        <v>46272</v>
      </c>
      <c r="B5174" s="24" t="s">
        <v>65</v>
      </c>
      <c r="C5174" s="24" t="s">
        <v>143</v>
      </c>
      <c r="D5174" s="33" t="n">
        <v>27</v>
      </c>
      <c r="E5174" s="24" t="n">
        <v>0</v>
      </c>
      <c r="F5174" s="37" t="n">
        <f aca="false">DATE(YEAR(A5174),MONTH(A5174),1)</f>
        <v>46266</v>
      </c>
      <c r="G5174" s="24" t="str">
        <f aca="false">INDEX(Products!$C$2:$C$49,MATCH(C5174,Products!$A$2:$A$49,0))</f>
        <v>Dairy &amp; Eggs</v>
      </c>
      <c r="H5174" s="33" t="n">
        <f aca="false">D5174*INDEX(Products!$E$2:$E$49,MATCH(C5174,Products!$A$2:$A$49,0))</f>
        <v>6480</v>
      </c>
      <c r="I5174" s="33" t="n">
        <f aca="false">D5174*INDEX(Products!$D$2:$D$49,MATCH(C5174,Products!$A$2:$A$49,0))*(1+INDEX(Assumptions!$B$16:$B$20,MATCH(B5174,Assumptions!$A$16:$A$20,0)))</f>
        <v>5205.06</v>
      </c>
      <c r="J5174" s="33" t="n">
        <f aca="false">H5174-I5174</f>
        <v>1274.94</v>
      </c>
      <c r="K5174" s="33" t="n">
        <f aca="false">IF(OR(E5174=0,E5174&gt;=7),0,D5174/(7-E5174)*E5174*INDEX(Products!$E$2:$E$49,MATCH(C5174,Products!$A$2:$A$49,0)))</f>
        <v>0</v>
      </c>
    </row>
    <row r="5175" customFormat="false" ht="15" hidden="false" customHeight="false" outlineLevel="0" collapsed="false">
      <c r="A5175" s="36" t="n">
        <v>46279</v>
      </c>
      <c r="B5175" s="24" t="s">
        <v>65</v>
      </c>
      <c r="C5175" s="24" t="s">
        <v>143</v>
      </c>
      <c r="D5175" s="33" t="n">
        <v>34</v>
      </c>
      <c r="E5175" s="24" t="n">
        <v>0</v>
      </c>
      <c r="F5175" s="37" t="n">
        <f aca="false">DATE(YEAR(A5175),MONTH(A5175),1)</f>
        <v>46266</v>
      </c>
      <c r="G5175" s="24" t="str">
        <f aca="false">INDEX(Products!$C$2:$C$49,MATCH(C5175,Products!$A$2:$A$49,0))</f>
        <v>Dairy &amp; Eggs</v>
      </c>
      <c r="H5175" s="33" t="n">
        <f aca="false">D5175*INDEX(Products!$E$2:$E$49,MATCH(C5175,Products!$A$2:$A$49,0))</f>
        <v>8160</v>
      </c>
      <c r="I5175" s="33" t="n">
        <f aca="false">D5175*INDEX(Products!$D$2:$D$49,MATCH(C5175,Products!$A$2:$A$49,0))*(1+INDEX(Assumptions!$B$16:$B$20,MATCH(B5175,Assumptions!$A$16:$A$20,0)))</f>
        <v>6554.52</v>
      </c>
      <c r="J5175" s="33" t="n">
        <f aca="false">H5175-I5175</f>
        <v>1605.48</v>
      </c>
      <c r="K5175" s="33" t="n">
        <f aca="false">IF(OR(E5175=0,E5175&gt;=7),0,D5175/(7-E5175)*E5175*INDEX(Products!$E$2:$E$49,MATCH(C5175,Products!$A$2:$A$49,0)))</f>
        <v>0</v>
      </c>
    </row>
    <row r="5176" customFormat="false" ht="15" hidden="false" customHeight="false" outlineLevel="0" collapsed="false">
      <c r="A5176" s="36" t="n">
        <v>46286</v>
      </c>
      <c r="B5176" s="24" t="s">
        <v>65</v>
      </c>
      <c r="C5176" s="24" t="s">
        <v>143</v>
      </c>
      <c r="D5176" s="33" t="n">
        <v>34</v>
      </c>
      <c r="E5176" s="24" t="n">
        <v>0</v>
      </c>
      <c r="F5176" s="37" t="n">
        <f aca="false">DATE(YEAR(A5176),MONTH(A5176),1)</f>
        <v>46266</v>
      </c>
      <c r="G5176" s="24" t="str">
        <f aca="false">INDEX(Products!$C$2:$C$49,MATCH(C5176,Products!$A$2:$A$49,0))</f>
        <v>Dairy &amp; Eggs</v>
      </c>
      <c r="H5176" s="33" t="n">
        <f aca="false">D5176*INDEX(Products!$E$2:$E$49,MATCH(C5176,Products!$A$2:$A$49,0))</f>
        <v>8160</v>
      </c>
      <c r="I5176" s="33" t="n">
        <f aca="false">D5176*INDEX(Products!$D$2:$D$49,MATCH(C5176,Products!$A$2:$A$49,0))*(1+INDEX(Assumptions!$B$16:$B$20,MATCH(B5176,Assumptions!$A$16:$A$20,0)))</f>
        <v>6554.52</v>
      </c>
      <c r="J5176" s="33" t="n">
        <f aca="false">H5176-I5176</f>
        <v>1605.48</v>
      </c>
      <c r="K5176" s="33" t="n">
        <f aca="false">IF(OR(E5176=0,E5176&gt;=7),0,D5176/(7-E5176)*E5176*INDEX(Products!$E$2:$E$49,MATCH(C5176,Products!$A$2:$A$49,0)))</f>
        <v>0</v>
      </c>
    </row>
    <row r="5177" customFormat="false" ht="15" hidden="false" customHeight="false" outlineLevel="0" collapsed="false">
      <c r="A5177" s="36" t="n">
        <v>46118</v>
      </c>
      <c r="B5177" s="24" t="s">
        <v>65</v>
      </c>
      <c r="C5177" s="24" t="s">
        <v>145</v>
      </c>
      <c r="D5177" s="33" t="n">
        <v>66</v>
      </c>
      <c r="E5177" s="24" t="n">
        <v>0</v>
      </c>
      <c r="F5177" s="37" t="n">
        <f aca="false">DATE(YEAR(A5177),MONTH(A5177),1)</f>
        <v>46113</v>
      </c>
      <c r="G5177" s="24" t="str">
        <f aca="false">INDEX(Products!$C$2:$C$49,MATCH(C5177,Products!$A$2:$A$49,0))</f>
        <v>Dairy &amp; Eggs</v>
      </c>
      <c r="H5177" s="33" t="n">
        <f aca="false">D5177*INDEX(Products!$E$2:$E$49,MATCH(C5177,Products!$A$2:$A$49,0))</f>
        <v>9240</v>
      </c>
      <c r="I5177" s="33" t="n">
        <f aca="false">D5177*INDEX(Products!$D$2:$D$49,MATCH(C5177,Products!$A$2:$A$49,0))*(1+INDEX(Assumptions!$B$16:$B$20,MATCH(B5177,Assumptions!$A$16:$A$20,0)))</f>
        <v>7539.84</v>
      </c>
      <c r="J5177" s="33" t="n">
        <f aca="false">H5177-I5177</f>
        <v>1700.16</v>
      </c>
      <c r="K5177" s="33" t="n">
        <f aca="false">IF(OR(E5177=0,E5177&gt;=7),0,D5177/(7-E5177)*E5177*INDEX(Products!$E$2:$E$49,MATCH(C5177,Products!$A$2:$A$49,0)))</f>
        <v>0</v>
      </c>
    </row>
    <row r="5178" customFormat="false" ht="15" hidden="false" customHeight="false" outlineLevel="0" collapsed="false">
      <c r="A5178" s="36" t="n">
        <v>46125</v>
      </c>
      <c r="B5178" s="24" t="s">
        <v>65</v>
      </c>
      <c r="C5178" s="24" t="s">
        <v>145</v>
      </c>
      <c r="D5178" s="33" t="n">
        <v>50</v>
      </c>
      <c r="E5178" s="24" t="n">
        <v>0</v>
      </c>
      <c r="F5178" s="37" t="n">
        <f aca="false">DATE(YEAR(A5178),MONTH(A5178),1)</f>
        <v>46113</v>
      </c>
      <c r="G5178" s="24" t="str">
        <f aca="false">INDEX(Products!$C$2:$C$49,MATCH(C5178,Products!$A$2:$A$49,0))</f>
        <v>Dairy &amp; Eggs</v>
      </c>
      <c r="H5178" s="33" t="n">
        <f aca="false">D5178*INDEX(Products!$E$2:$E$49,MATCH(C5178,Products!$A$2:$A$49,0))</f>
        <v>7000</v>
      </c>
      <c r="I5178" s="33" t="n">
        <f aca="false">D5178*INDEX(Products!$D$2:$D$49,MATCH(C5178,Products!$A$2:$A$49,0))*(1+INDEX(Assumptions!$B$16:$B$20,MATCH(B5178,Assumptions!$A$16:$A$20,0)))</f>
        <v>5712</v>
      </c>
      <c r="J5178" s="33" t="n">
        <f aca="false">H5178-I5178</f>
        <v>1288</v>
      </c>
      <c r="K5178" s="33" t="n">
        <f aca="false">IF(OR(E5178=0,E5178&gt;=7),0,D5178/(7-E5178)*E5178*INDEX(Products!$E$2:$E$49,MATCH(C5178,Products!$A$2:$A$49,0)))</f>
        <v>0</v>
      </c>
    </row>
    <row r="5179" customFormat="false" ht="15" hidden="false" customHeight="false" outlineLevel="0" collapsed="false">
      <c r="A5179" s="36" t="n">
        <v>46132</v>
      </c>
      <c r="B5179" s="24" t="s">
        <v>65</v>
      </c>
      <c r="C5179" s="24" t="s">
        <v>145</v>
      </c>
      <c r="D5179" s="33" t="n">
        <v>79</v>
      </c>
      <c r="E5179" s="24" t="n">
        <v>0</v>
      </c>
      <c r="F5179" s="37" t="n">
        <f aca="false">DATE(YEAR(A5179),MONTH(A5179),1)</f>
        <v>46113</v>
      </c>
      <c r="G5179" s="24" t="str">
        <f aca="false">INDEX(Products!$C$2:$C$49,MATCH(C5179,Products!$A$2:$A$49,0))</f>
        <v>Dairy &amp; Eggs</v>
      </c>
      <c r="H5179" s="33" t="n">
        <f aca="false">D5179*INDEX(Products!$E$2:$E$49,MATCH(C5179,Products!$A$2:$A$49,0))</f>
        <v>11060</v>
      </c>
      <c r="I5179" s="33" t="n">
        <f aca="false">D5179*INDEX(Products!$D$2:$D$49,MATCH(C5179,Products!$A$2:$A$49,0))*(1+INDEX(Assumptions!$B$16:$B$20,MATCH(B5179,Assumptions!$A$16:$A$20,0)))</f>
        <v>9024.96</v>
      </c>
      <c r="J5179" s="33" t="n">
        <f aca="false">H5179-I5179</f>
        <v>2035.04</v>
      </c>
      <c r="K5179" s="33" t="n">
        <f aca="false">IF(OR(E5179=0,E5179&gt;=7),0,D5179/(7-E5179)*E5179*INDEX(Products!$E$2:$E$49,MATCH(C5179,Products!$A$2:$A$49,0)))</f>
        <v>0</v>
      </c>
    </row>
    <row r="5180" customFormat="false" ht="15" hidden="false" customHeight="false" outlineLevel="0" collapsed="false">
      <c r="A5180" s="36" t="n">
        <v>46139</v>
      </c>
      <c r="B5180" s="24" t="s">
        <v>65</v>
      </c>
      <c r="C5180" s="24" t="s">
        <v>145</v>
      </c>
      <c r="D5180" s="33" t="n">
        <v>84</v>
      </c>
      <c r="E5180" s="24" t="n">
        <v>0</v>
      </c>
      <c r="F5180" s="37" t="n">
        <f aca="false">DATE(YEAR(A5180),MONTH(A5180),1)</f>
        <v>46113</v>
      </c>
      <c r="G5180" s="24" t="str">
        <f aca="false">INDEX(Products!$C$2:$C$49,MATCH(C5180,Products!$A$2:$A$49,0))</f>
        <v>Dairy &amp; Eggs</v>
      </c>
      <c r="H5180" s="33" t="n">
        <f aca="false">D5180*INDEX(Products!$E$2:$E$49,MATCH(C5180,Products!$A$2:$A$49,0))</f>
        <v>11760</v>
      </c>
      <c r="I5180" s="33" t="n">
        <f aca="false">D5180*INDEX(Products!$D$2:$D$49,MATCH(C5180,Products!$A$2:$A$49,0))*(1+INDEX(Assumptions!$B$16:$B$20,MATCH(B5180,Assumptions!$A$16:$A$20,0)))</f>
        <v>9596.16</v>
      </c>
      <c r="J5180" s="33" t="n">
        <f aca="false">H5180-I5180</f>
        <v>2163.84</v>
      </c>
      <c r="K5180" s="33" t="n">
        <f aca="false">IF(OR(E5180=0,E5180&gt;=7),0,D5180/(7-E5180)*E5180*INDEX(Products!$E$2:$E$49,MATCH(C5180,Products!$A$2:$A$49,0)))</f>
        <v>0</v>
      </c>
    </row>
    <row r="5181" customFormat="false" ht="15" hidden="false" customHeight="false" outlineLevel="0" collapsed="false">
      <c r="A5181" s="36" t="n">
        <v>46146</v>
      </c>
      <c r="B5181" s="24" t="s">
        <v>65</v>
      </c>
      <c r="C5181" s="24" t="s">
        <v>145</v>
      </c>
      <c r="D5181" s="33" t="n">
        <v>62</v>
      </c>
      <c r="E5181" s="24" t="n">
        <v>0</v>
      </c>
      <c r="F5181" s="37" t="n">
        <f aca="false">DATE(YEAR(A5181),MONTH(A5181),1)</f>
        <v>46143</v>
      </c>
      <c r="G5181" s="24" t="str">
        <f aca="false">INDEX(Products!$C$2:$C$49,MATCH(C5181,Products!$A$2:$A$49,0))</f>
        <v>Dairy &amp; Eggs</v>
      </c>
      <c r="H5181" s="33" t="n">
        <f aca="false">D5181*INDEX(Products!$E$2:$E$49,MATCH(C5181,Products!$A$2:$A$49,0))</f>
        <v>8680</v>
      </c>
      <c r="I5181" s="33" t="n">
        <f aca="false">D5181*INDEX(Products!$D$2:$D$49,MATCH(C5181,Products!$A$2:$A$49,0))*(1+INDEX(Assumptions!$B$16:$B$20,MATCH(B5181,Assumptions!$A$16:$A$20,0)))</f>
        <v>7082.88</v>
      </c>
      <c r="J5181" s="33" t="n">
        <f aca="false">H5181-I5181</f>
        <v>1597.12</v>
      </c>
      <c r="K5181" s="33" t="n">
        <f aca="false">IF(OR(E5181=0,E5181&gt;=7),0,D5181/(7-E5181)*E5181*INDEX(Products!$E$2:$E$49,MATCH(C5181,Products!$A$2:$A$49,0)))</f>
        <v>0</v>
      </c>
    </row>
    <row r="5182" customFormat="false" ht="15" hidden="false" customHeight="false" outlineLevel="0" collapsed="false">
      <c r="A5182" s="36" t="n">
        <v>46153</v>
      </c>
      <c r="B5182" s="24" t="s">
        <v>65</v>
      </c>
      <c r="C5182" s="24" t="s">
        <v>145</v>
      </c>
      <c r="D5182" s="33" t="n">
        <v>70</v>
      </c>
      <c r="E5182" s="24" t="n">
        <v>0</v>
      </c>
      <c r="F5182" s="37" t="n">
        <f aca="false">DATE(YEAR(A5182),MONTH(A5182),1)</f>
        <v>46143</v>
      </c>
      <c r="G5182" s="24" t="str">
        <f aca="false">INDEX(Products!$C$2:$C$49,MATCH(C5182,Products!$A$2:$A$49,0))</f>
        <v>Dairy &amp; Eggs</v>
      </c>
      <c r="H5182" s="33" t="n">
        <f aca="false">D5182*INDEX(Products!$E$2:$E$49,MATCH(C5182,Products!$A$2:$A$49,0))</f>
        <v>9800</v>
      </c>
      <c r="I5182" s="33" t="n">
        <f aca="false">D5182*INDEX(Products!$D$2:$D$49,MATCH(C5182,Products!$A$2:$A$49,0))*(1+INDEX(Assumptions!$B$16:$B$20,MATCH(B5182,Assumptions!$A$16:$A$20,0)))</f>
        <v>7996.8</v>
      </c>
      <c r="J5182" s="33" t="n">
        <f aca="false">H5182-I5182</f>
        <v>1803.2</v>
      </c>
      <c r="K5182" s="33" t="n">
        <f aca="false">IF(OR(E5182=0,E5182&gt;=7),0,D5182/(7-E5182)*E5182*INDEX(Products!$E$2:$E$49,MATCH(C5182,Products!$A$2:$A$49,0)))</f>
        <v>0</v>
      </c>
    </row>
    <row r="5183" customFormat="false" ht="15" hidden="false" customHeight="false" outlineLevel="0" collapsed="false">
      <c r="A5183" s="36" t="n">
        <v>46160</v>
      </c>
      <c r="B5183" s="24" t="s">
        <v>65</v>
      </c>
      <c r="C5183" s="24" t="s">
        <v>145</v>
      </c>
      <c r="D5183" s="33" t="n">
        <v>74</v>
      </c>
      <c r="E5183" s="24" t="n">
        <v>0</v>
      </c>
      <c r="F5183" s="37" t="n">
        <f aca="false">DATE(YEAR(A5183),MONTH(A5183),1)</f>
        <v>46143</v>
      </c>
      <c r="G5183" s="24" t="str">
        <f aca="false">INDEX(Products!$C$2:$C$49,MATCH(C5183,Products!$A$2:$A$49,0))</f>
        <v>Dairy &amp; Eggs</v>
      </c>
      <c r="H5183" s="33" t="n">
        <f aca="false">D5183*INDEX(Products!$E$2:$E$49,MATCH(C5183,Products!$A$2:$A$49,0))</f>
        <v>10360</v>
      </c>
      <c r="I5183" s="33" t="n">
        <f aca="false">D5183*INDEX(Products!$D$2:$D$49,MATCH(C5183,Products!$A$2:$A$49,0))*(1+INDEX(Assumptions!$B$16:$B$20,MATCH(B5183,Assumptions!$A$16:$A$20,0)))</f>
        <v>8453.76</v>
      </c>
      <c r="J5183" s="33" t="n">
        <f aca="false">H5183-I5183</f>
        <v>1906.24</v>
      </c>
      <c r="K5183" s="33" t="n">
        <f aca="false">IF(OR(E5183=0,E5183&gt;=7),0,D5183/(7-E5183)*E5183*INDEX(Products!$E$2:$E$49,MATCH(C5183,Products!$A$2:$A$49,0)))</f>
        <v>0</v>
      </c>
    </row>
    <row r="5184" customFormat="false" ht="15" hidden="false" customHeight="false" outlineLevel="0" collapsed="false">
      <c r="A5184" s="36" t="n">
        <v>46167</v>
      </c>
      <c r="B5184" s="24" t="s">
        <v>65</v>
      </c>
      <c r="C5184" s="24" t="s">
        <v>145</v>
      </c>
      <c r="D5184" s="33" t="n">
        <v>71</v>
      </c>
      <c r="E5184" s="24" t="n">
        <v>0</v>
      </c>
      <c r="F5184" s="37" t="n">
        <f aca="false">DATE(YEAR(A5184),MONTH(A5184),1)</f>
        <v>46143</v>
      </c>
      <c r="G5184" s="24" t="str">
        <f aca="false">INDEX(Products!$C$2:$C$49,MATCH(C5184,Products!$A$2:$A$49,0))</f>
        <v>Dairy &amp; Eggs</v>
      </c>
      <c r="H5184" s="33" t="n">
        <f aca="false">D5184*INDEX(Products!$E$2:$E$49,MATCH(C5184,Products!$A$2:$A$49,0))</f>
        <v>9940</v>
      </c>
      <c r="I5184" s="33" t="n">
        <f aca="false">D5184*INDEX(Products!$D$2:$D$49,MATCH(C5184,Products!$A$2:$A$49,0))*(1+INDEX(Assumptions!$B$16:$B$20,MATCH(B5184,Assumptions!$A$16:$A$20,0)))</f>
        <v>8111.04</v>
      </c>
      <c r="J5184" s="33" t="n">
        <f aca="false">H5184-I5184</f>
        <v>1828.96</v>
      </c>
      <c r="K5184" s="33" t="n">
        <f aca="false">IF(OR(E5184=0,E5184&gt;=7),0,D5184/(7-E5184)*E5184*INDEX(Products!$E$2:$E$49,MATCH(C5184,Products!$A$2:$A$49,0)))</f>
        <v>0</v>
      </c>
    </row>
    <row r="5185" customFormat="false" ht="15" hidden="false" customHeight="false" outlineLevel="0" collapsed="false">
      <c r="A5185" s="36" t="n">
        <v>46174</v>
      </c>
      <c r="B5185" s="24" t="s">
        <v>65</v>
      </c>
      <c r="C5185" s="24" t="s">
        <v>145</v>
      </c>
      <c r="D5185" s="33" t="n">
        <v>31</v>
      </c>
      <c r="E5185" s="24" t="n">
        <v>4</v>
      </c>
      <c r="F5185" s="37" t="n">
        <f aca="false">DATE(YEAR(A5185),MONTH(A5185),1)</f>
        <v>46174</v>
      </c>
      <c r="G5185" s="24" t="str">
        <f aca="false">INDEX(Products!$C$2:$C$49,MATCH(C5185,Products!$A$2:$A$49,0))</f>
        <v>Dairy &amp; Eggs</v>
      </c>
      <c r="H5185" s="33" t="n">
        <f aca="false">D5185*INDEX(Products!$E$2:$E$49,MATCH(C5185,Products!$A$2:$A$49,0))</f>
        <v>4340</v>
      </c>
      <c r="I5185" s="33" t="n">
        <f aca="false">D5185*INDEX(Products!$D$2:$D$49,MATCH(C5185,Products!$A$2:$A$49,0))*(1+INDEX(Assumptions!$B$16:$B$20,MATCH(B5185,Assumptions!$A$16:$A$20,0)))</f>
        <v>3541.44</v>
      </c>
      <c r="J5185" s="33" t="n">
        <f aca="false">H5185-I5185</f>
        <v>798.56</v>
      </c>
      <c r="K5185" s="33" t="n">
        <f aca="false">IF(OR(E5185=0,E5185&gt;=7),0,D5185/(7-E5185)*E5185*INDEX(Products!$E$2:$E$49,MATCH(C5185,Products!$A$2:$A$49,0)))</f>
        <v>5786.66666666667</v>
      </c>
    </row>
    <row r="5186" customFormat="false" ht="15" hidden="false" customHeight="false" outlineLevel="0" collapsed="false">
      <c r="A5186" s="36" t="n">
        <v>46181</v>
      </c>
      <c r="B5186" s="24" t="s">
        <v>65</v>
      </c>
      <c r="C5186" s="24" t="s">
        <v>145</v>
      </c>
      <c r="D5186" s="33" t="n">
        <v>70</v>
      </c>
      <c r="E5186" s="24" t="n">
        <v>0</v>
      </c>
      <c r="F5186" s="37" t="n">
        <f aca="false">DATE(YEAR(A5186),MONTH(A5186),1)</f>
        <v>46174</v>
      </c>
      <c r="G5186" s="24" t="str">
        <f aca="false">INDEX(Products!$C$2:$C$49,MATCH(C5186,Products!$A$2:$A$49,0))</f>
        <v>Dairy &amp; Eggs</v>
      </c>
      <c r="H5186" s="33" t="n">
        <f aca="false">D5186*INDEX(Products!$E$2:$E$49,MATCH(C5186,Products!$A$2:$A$49,0))</f>
        <v>9800</v>
      </c>
      <c r="I5186" s="33" t="n">
        <f aca="false">D5186*INDEX(Products!$D$2:$D$49,MATCH(C5186,Products!$A$2:$A$49,0))*(1+INDEX(Assumptions!$B$16:$B$20,MATCH(B5186,Assumptions!$A$16:$A$20,0)))</f>
        <v>7996.8</v>
      </c>
      <c r="J5186" s="33" t="n">
        <f aca="false">H5186-I5186</f>
        <v>1803.2</v>
      </c>
      <c r="K5186" s="33" t="n">
        <f aca="false">IF(OR(E5186=0,E5186&gt;=7),0,D5186/(7-E5186)*E5186*INDEX(Products!$E$2:$E$49,MATCH(C5186,Products!$A$2:$A$49,0)))</f>
        <v>0</v>
      </c>
    </row>
    <row r="5187" customFormat="false" ht="15" hidden="false" customHeight="false" outlineLevel="0" collapsed="false">
      <c r="A5187" s="36" t="n">
        <v>46188</v>
      </c>
      <c r="B5187" s="24" t="s">
        <v>65</v>
      </c>
      <c r="C5187" s="24" t="s">
        <v>145</v>
      </c>
      <c r="D5187" s="33" t="n">
        <v>76</v>
      </c>
      <c r="E5187" s="24" t="n">
        <v>0</v>
      </c>
      <c r="F5187" s="37" t="n">
        <f aca="false">DATE(YEAR(A5187),MONTH(A5187),1)</f>
        <v>46174</v>
      </c>
      <c r="G5187" s="24" t="str">
        <f aca="false">INDEX(Products!$C$2:$C$49,MATCH(C5187,Products!$A$2:$A$49,0))</f>
        <v>Dairy &amp; Eggs</v>
      </c>
      <c r="H5187" s="33" t="n">
        <f aca="false">D5187*INDEX(Products!$E$2:$E$49,MATCH(C5187,Products!$A$2:$A$49,0))</f>
        <v>10640</v>
      </c>
      <c r="I5187" s="33" t="n">
        <f aca="false">D5187*INDEX(Products!$D$2:$D$49,MATCH(C5187,Products!$A$2:$A$49,0))*(1+INDEX(Assumptions!$B$16:$B$20,MATCH(B5187,Assumptions!$A$16:$A$20,0)))</f>
        <v>8682.24</v>
      </c>
      <c r="J5187" s="33" t="n">
        <f aca="false">H5187-I5187</f>
        <v>1957.76</v>
      </c>
      <c r="K5187" s="33" t="n">
        <f aca="false">IF(OR(E5187=0,E5187&gt;=7),0,D5187/(7-E5187)*E5187*INDEX(Products!$E$2:$E$49,MATCH(C5187,Products!$A$2:$A$49,0)))</f>
        <v>0</v>
      </c>
    </row>
    <row r="5188" customFormat="false" ht="15" hidden="false" customHeight="false" outlineLevel="0" collapsed="false">
      <c r="A5188" s="36" t="n">
        <v>46195</v>
      </c>
      <c r="B5188" s="24" t="s">
        <v>65</v>
      </c>
      <c r="C5188" s="24" t="s">
        <v>145</v>
      </c>
      <c r="D5188" s="33" t="n">
        <v>66</v>
      </c>
      <c r="E5188" s="24" t="n">
        <v>0</v>
      </c>
      <c r="F5188" s="37" t="n">
        <f aca="false">DATE(YEAR(A5188),MONTH(A5188),1)</f>
        <v>46174</v>
      </c>
      <c r="G5188" s="24" t="str">
        <f aca="false">INDEX(Products!$C$2:$C$49,MATCH(C5188,Products!$A$2:$A$49,0))</f>
        <v>Dairy &amp; Eggs</v>
      </c>
      <c r="H5188" s="33" t="n">
        <f aca="false">D5188*INDEX(Products!$E$2:$E$49,MATCH(C5188,Products!$A$2:$A$49,0))</f>
        <v>9240</v>
      </c>
      <c r="I5188" s="33" t="n">
        <f aca="false">D5188*INDEX(Products!$D$2:$D$49,MATCH(C5188,Products!$A$2:$A$49,0))*(1+INDEX(Assumptions!$B$16:$B$20,MATCH(B5188,Assumptions!$A$16:$A$20,0)))</f>
        <v>7539.84</v>
      </c>
      <c r="J5188" s="33" t="n">
        <f aca="false">H5188-I5188</f>
        <v>1700.16</v>
      </c>
      <c r="K5188" s="33" t="n">
        <f aca="false">IF(OR(E5188=0,E5188&gt;=7),0,D5188/(7-E5188)*E5188*INDEX(Products!$E$2:$E$49,MATCH(C5188,Products!$A$2:$A$49,0)))</f>
        <v>0</v>
      </c>
    </row>
    <row r="5189" customFormat="false" ht="15" hidden="false" customHeight="false" outlineLevel="0" collapsed="false">
      <c r="A5189" s="36" t="n">
        <v>46202</v>
      </c>
      <c r="B5189" s="24" t="s">
        <v>65</v>
      </c>
      <c r="C5189" s="24" t="s">
        <v>145</v>
      </c>
      <c r="D5189" s="33" t="n">
        <v>67</v>
      </c>
      <c r="E5189" s="24" t="n">
        <v>0</v>
      </c>
      <c r="F5189" s="37" t="n">
        <f aca="false">DATE(YEAR(A5189),MONTH(A5189),1)</f>
        <v>46174</v>
      </c>
      <c r="G5189" s="24" t="str">
        <f aca="false">INDEX(Products!$C$2:$C$49,MATCH(C5189,Products!$A$2:$A$49,0))</f>
        <v>Dairy &amp; Eggs</v>
      </c>
      <c r="H5189" s="33" t="n">
        <f aca="false">D5189*INDEX(Products!$E$2:$E$49,MATCH(C5189,Products!$A$2:$A$49,0))</f>
        <v>9380</v>
      </c>
      <c r="I5189" s="33" t="n">
        <f aca="false">D5189*INDEX(Products!$D$2:$D$49,MATCH(C5189,Products!$A$2:$A$49,0))*(1+INDEX(Assumptions!$B$16:$B$20,MATCH(B5189,Assumptions!$A$16:$A$20,0)))</f>
        <v>7654.08</v>
      </c>
      <c r="J5189" s="33" t="n">
        <f aca="false">H5189-I5189</f>
        <v>1725.92</v>
      </c>
      <c r="K5189" s="33" t="n">
        <f aca="false">IF(OR(E5189=0,E5189&gt;=7),0,D5189/(7-E5189)*E5189*INDEX(Products!$E$2:$E$49,MATCH(C5189,Products!$A$2:$A$49,0)))</f>
        <v>0</v>
      </c>
    </row>
    <row r="5190" customFormat="false" ht="15" hidden="false" customHeight="false" outlineLevel="0" collapsed="false">
      <c r="A5190" s="36" t="n">
        <v>46209</v>
      </c>
      <c r="B5190" s="24" t="s">
        <v>65</v>
      </c>
      <c r="C5190" s="24" t="s">
        <v>145</v>
      </c>
      <c r="D5190" s="33" t="n">
        <v>51</v>
      </c>
      <c r="E5190" s="24" t="n">
        <v>0</v>
      </c>
      <c r="F5190" s="37" t="n">
        <f aca="false">DATE(YEAR(A5190),MONTH(A5190),1)</f>
        <v>46204</v>
      </c>
      <c r="G5190" s="24" t="str">
        <f aca="false">INDEX(Products!$C$2:$C$49,MATCH(C5190,Products!$A$2:$A$49,0))</f>
        <v>Dairy &amp; Eggs</v>
      </c>
      <c r="H5190" s="33" t="n">
        <f aca="false">D5190*INDEX(Products!$E$2:$E$49,MATCH(C5190,Products!$A$2:$A$49,0))</f>
        <v>7140</v>
      </c>
      <c r="I5190" s="33" t="n">
        <f aca="false">D5190*INDEX(Products!$D$2:$D$49,MATCH(C5190,Products!$A$2:$A$49,0))*(1+INDEX(Assumptions!$B$16:$B$20,MATCH(B5190,Assumptions!$A$16:$A$20,0)))</f>
        <v>5826.24</v>
      </c>
      <c r="J5190" s="33" t="n">
        <f aca="false">H5190-I5190</f>
        <v>1313.76</v>
      </c>
      <c r="K5190" s="33" t="n">
        <f aca="false">IF(OR(E5190=0,E5190&gt;=7),0,D5190/(7-E5190)*E5190*INDEX(Products!$E$2:$E$49,MATCH(C5190,Products!$A$2:$A$49,0)))</f>
        <v>0</v>
      </c>
    </row>
    <row r="5191" customFormat="false" ht="15" hidden="false" customHeight="false" outlineLevel="0" collapsed="false">
      <c r="A5191" s="36" t="n">
        <v>46216</v>
      </c>
      <c r="B5191" s="24" t="s">
        <v>65</v>
      </c>
      <c r="C5191" s="24" t="s">
        <v>145</v>
      </c>
      <c r="D5191" s="33" t="n">
        <v>68</v>
      </c>
      <c r="E5191" s="24" t="n">
        <v>0</v>
      </c>
      <c r="F5191" s="37" t="n">
        <f aca="false">DATE(YEAR(A5191),MONTH(A5191),1)</f>
        <v>46204</v>
      </c>
      <c r="G5191" s="24" t="str">
        <f aca="false">INDEX(Products!$C$2:$C$49,MATCH(C5191,Products!$A$2:$A$49,0))</f>
        <v>Dairy &amp; Eggs</v>
      </c>
      <c r="H5191" s="33" t="n">
        <f aca="false">D5191*INDEX(Products!$E$2:$E$49,MATCH(C5191,Products!$A$2:$A$49,0))</f>
        <v>9520</v>
      </c>
      <c r="I5191" s="33" t="n">
        <f aca="false">D5191*INDEX(Products!$D$2:$D$49,MATCH(C5191,Products!$A$2:$A$49,0))*(1+INDEX(Assumptions!$B$16:$B$20,MATCH(B5191,Assumptions!$A$16:$A$20,0)))</f>
        <v>7768.32</v>
      </c>
      <c r="J5191" s="33" t="n">
        <f aca="false">H5191-I5191</f>
        <v>1751.68</v>
      </c>
      <c r="K5191" s="33" t="n">
        <f aca="false">IF(OR(E5191=0,E5191&gt;=7),0,D5191/(7-E5191)*E5191*INDEX(Products!$E$2:$E$49,MATCH(C5191,Products!$A$2:$A$49,0)))</f>
        <v>0</v>
      </c>
    </row>
    <row r="5192" customFormat="false" ht="15" hidden="false" customHeight="false" outlineLevel="0" collapsed="false">
      <c r="A5192" s="36" t="n">
        <v>46223</v>
      </c>
      <c r="B5192" s="24" t="s">
        <v>65</v>
      </c>
      <c r="C5192" s="24" t="s">
        <v>145</v>
      </c>
      <c r="D5192" s="33" t="n">
        <v>72</v>
      </c>
      <c r="E5192" s="24" t="n">
        <v>0</v>
      </c>
      <c r="F5192" s="37" t="n">
        <f aca="false">DATE(YEAR(A5192),MONTH(A5192),1)</f>
        <v>46204</v>
      </c>
      <c r="G5192" s="24" t="str">
        <f aca="false">INDEX(Products!$C$2:$C$49,MATCH(C5192,Products!$A$2:$A$49,0))</f>
        <v>Dairy &amp; Eggs</v>
      </c>
      <c r="H5192" s="33" t="n">
        <f aca="false">D5192*INDEX(Products!$E$2:$E$49,MATCH(C5192,Products!$A$2:$A$49,0))</f>
        <v>10080</v>
      </c>
      <c r="I5192" s="33" t="n">
        <f aca="false">D5192*INDEX(Products!$D$2:$D$49,MATCH(C5192,Products!$A$2:$A$49,0))*(1+INDEX(Assumptions!$B$16:$B$20,MATCH(B5192,Assumptions!$A$16:$A$20,0)))</f>
        <v>8225.28</v>
      </c>
      <c r="J5192" s="33" t="n">
        <f aca="false">H5192-I5192</f>
        <v>1854.72</v>
      </c>
      <c r="K5192" s="33" t="n">
        <f aca="false">IF(OR(E5192=0,E5192&gt;=7),0,D5192/(7-E5192)*E5192*INDEX(Products!$E$2:$E$49,MATCH(C5192,Products!$A$2:$A$49,0)))</f>
        <v>0</v>
      </c>
    </row>
    <row r="5193" customFormat="false" ht="15" hidden="false" customHeight="false" outlineLevel="0" collapsed="false">
      <c r="A5193" s="36" t="n">
        <v>46230</v>
      </c>
      <c r="B5193" s="24" t="s">
        <v>65</v>
      </c>
      <c r="C5193" s="24" t="s">
        <v>145</v>
      </c>
      <c r="D5193" s="33" t="n">
        <v>59</v>
      </c>
      <c r="E5193" s="24" t="n">
        <v>0</v>
      </c>
      <c r="F5193" s="37" t="n">
        <f aca="false">DATE(YEAR(A5193),MONTH(A5193),1)</f>
        <v>46204</v>
      </c>
      <c r="G5193" s="24" t="str">
        <f aca="false">INDEX(Products!$C$2:$C$49,MATCH(C5193,Products!$A$2:$A$49,0))</f>
        <v>Dairy &amp; Eggs</v>
      </c>
      <c r="H5193" s="33" t="n">
        <f aca="false">D5193*INDEX(Products!$E$2:$E$49,MATCH(C5193,Products!$A$2:$A$49,0))</f>
        <v>8260</v>
      </c>
      <c r="I5193" s="33" t="n">
        <f aca="false">D5193*INDEX(Products!$D$2:$D$49,MATCH(C5193,Products!$A$2:$A$49,0))*(1+INDEX(Assumptions!$B$16:$B$20,MATCH(B5193,Assumptions!$A$16:$A$20,0)))</f>
        <v>6740.16</v>
      </c>
      <c r="J5193" s="33" t="n">
        <f aca="false">H5193-I5193</f>
        <v>1519.84</v>
      </c>
      <c r="K5193" s="33" t="n">
        <f aca="false">IF(OR(E5193=0,E5193&gt;=7),0,D5193/(7-E5193)*E5193*INDEX(Products!$E$2:$E$49,MATCH(C5193,Products!$A$2:$A$49,0)))</f>
        <v>0</v>
      </c>
    </row>
    <row r="5194" customFormat="false" ht="15" hidden="false" customHeight="false" outlineLevel="0" collapsed="false">
      <c r="A5194" s="36" t="n">
        <v>46237</v>
      </c>
      <c r="B5194" s="24" t="s">
        <v>65</v>
      </c>
      <c r="C5194" s="24" t="s">
        <v>145</v>
      </c>
      <c r="D5194" s="33" t="n">
        <v>76</v>
      </c>
      <c r="E5194" s="24" t="n">
        <v>0</v>
      </c>
      <c r="F5194" s="37" t="n">
        <f aca="false">DATE(YEAR(A5194),MONTH(A5194),1)</f>
        <v>46235</v>
      </c>
      <c r="G5194" s="24" t="str">
        <f aca="false">INDEX(Products!$C$2:$C$49,MATCH(C5194,Products!$A$2:$A$49,0))</f>
        <v>Dairy &amp; Eggs</v>
      </c>
      <c r="H5194" s="33" t="n">
        <f aca="false">D5194*INDEX(Products!$E$2:$E$49,MATCH(C5194,Products!$A$2:$A$49,0))</f>
        <v>10640</v>
      </c>
      <c r="I5194" s="33" t="n">
        <f aca="false">D5194*INDEX(Products!$D$2:$D$49,MATCH(C5194,Products!$A$2:$A$49,0))*(1+INDEX(Assumptions!$B$16:$B$20,MATCH(B5194,Assumptions!$A$16:$A$20,0)))</f>
        <v>8682.24</v>
      </c>
      <c r="J5194" s="33" t="n">
        <f aca="false">H5194-I5194</f>
        <v>1957.76</v>
      </c>
      <c r="K5194" s="33" t="n">
        <f aca="false">IF(OR(E5194=0,E5194&gt;=7),0,D5194/(7-E5194)*E5194*INDEX(Products!$E$2:$E$49,MATCH(C5194,Products!$A$2:$A$49,0)))</f>
        <v>0</v>
      </c>
    </row>
    <row r="5195" customFormat="false" ht="15" hidden="false" customHeight="false" outlineLevel="0" collapsed="false">
      <c r="A5195" s="36" t="n">
        <v>46244</v>
      </c>
      <c r="B5195" s="24" t="s">
        <v>65</v>
      </c>
      <c r="C5195" s="24" t="s">
        <v>145</v>
      </c>
      <c r="D5195" s="33" t="n">
        <v>52</v>
      </c>
      <c r="E5195" s="24" t="n">
        <v>0</v>
      </c>
      <c r="F5195" s="37" t="n">
        <f aca="false">DATE(YEAR(A5195),MONTH(A5195),1)</f>
        <v>46235</v>
      </c>
      <c r="G5195" s="24" t="str">
        <f aca="false">INDEX(Products!$C$2:$C$49,MATCH(C5195,Products!$A$2:$A$49,0))</f>
        <v>Dairy &amp; Eggs</v>
      </c>
      <c r="H5195" s="33" t="n">
        <f aca="false">D5195*INDEX(Products!$E$2:$E$49,MATCH(C5195,Products!$A$2:$A$49,0))</f>
        <v>7280</v>
      </c>
      <c r="I5195" s="33" t="n">
        <f aca="false">D5195*INDEX(Products!$D$2:$D$49,MATCH(C5195,Products!$A$2:$A$49,0))*(1+INDEX(Assumptions!$B$16:$B$20,MATCH(B5195,Assumptions!$A$16:$A$20,0)))</f>
        <v>5940.48</v>
      </c>
      <c r="J5195" s="33" t="n">
        <f aca="false">H5195-I5195</f>
        <v>1339.52</v>
      </c>
      <c r="K5195" s="33" t="n">
        <f aca="false">IF(OR(E5195=0,E5195&gt;=7),0,D5195/(7-E5195)*E5195*INDEX(Products!$E$2:$E$49,MATCH(C5195,Products!$A$2:$A$49,0)))</f>
        <v>0</v>
      </c>
    </row>
    <row r="5196" customFormat="false" ht="15" hidden="false" customHeight="false" outlineLevel="0" collapsed="false">
      <c r="A5196" s="36" t="n">
        <v>46251</v>
      </c>
      <c r="B5196" s="24" t="s">
        <v>65</v>
      </c>
      <c r="C5196" s="24" t="s">
        <v>145</v>
      </c>
      <c r="D5196" s="33" t="n">
        <v>55</v>
      </c>
      <c r="E5196" s="24" t="n">
        <v>0</v>
      </c>
      <c r="F5196" s="37" t="n">
        <f aca="false">DATE(YEAR(A5196),MONTH(A5196),1)</f>
        <v>46235</v>
      </c>
      <c r="G5196" s="24" t="str">
        <f aca="false">INDEX(Products!$C$2:$C$49,MATCH(C5196,Products!$A$2:$A$49,0))</f>
        <v>Dairy &amp; Eggs</v>
      </c>
      <c r="H5196" s="33" t="n">
        <f aca="false">D5196*INDEX(Products!$E$2:$E$49,MATCH(C5196,Products!$A$2:$A$49,0))</f>
        <v>7700</v>
      </c>
      <c r="I5196" s="33" t="n">
        <f aca="false">D5196*INDEX(Products!$D$2:$D$49,MATCH(C5196,Products!$A$2:$A$49,0))*(1+INDEX(Assumptions!$B$16:$B$20,MATCH(B5196,Assumptions!$A$16:$A$20,0)))</f>
        <v>6283.2</v>
      </c>
      <c r="J5196" s="33" t="n">
        <f aca="false">H5196-I5196</f>
        <v>1416.8</v>
      </c>
      <c r="K5196" s="33" t="n">
        <f aca="false">IF(OR(E5196=0,E5196&gt;=7),0,D5196/(7-E5196)*E5196*INDEX(Products!$E$2:$E$49,MATCH(C5196,Products!$A$2:$A$49,0)))</f>
        <v>0</v>
      </c>
    </row>
    <row r="5197" customFormat="false" ht="15" hidden="false" customHeight="false" outlineLevel="0" collapsed="false">
      <c r="A5197" s="36" t="n">
        <v>46258</v>
      </c>
      <c r="B5197" s="24" t="s">
        <v>65</v>
      </c>
      <c r="C5197" s="24" t="s">
        <v>145</v>
      </c>
      <c r="D5197" s="33" t="n">
        <v>123</v>
      </c>
      <c r="E5197" s="24" t="n">
        <v>0</v>
      </c>
      <c r="F5197" s="37" t="n">
        <f aca="false">DATE(YEAR(A5197),MONTH(A5197),1)</f>
        <v>46235</v>
      </c>
      <c r="G5197" s="24" t="str">
        <f aca="false">INDEX(Products!$C$2:$C$49,MATCH(C5197,Products!$A$2:$A$49,0))</f>
        <v>Dairy &amp; Eggs</v>
      </c>
      <c r="H5197" s="33" t="n">
        <f aca="false">D5197*INDEX(Products!$E$2:$E$49,MATCH(C5197,Products!$A$2:$A$49,0))</f>
        <v>17220</v>
      </c>
      <c r="I5197" s="33" t="n">
        <f aca="false">D5197*INDEX(Products!$D$2:$D$49,MATCH(C5197,Products!$A$2:$A$49,0))*(1+INDEX(Assumptions!$B$16:$B$20,MATCH(B5197,Assumptions!$A$16:$A$20,0)))</f>
        <v>14051.52</v>
      </c>
      <c r="J5197" s="33" t="n">
        <f aca="false">H5197-I5197</f>
        <v>3168.48</v>
      </c>
      <c r="K5197" s="33" t="n">
        <f aca="false">IF(OR(E5197=0,E5197&gt;=7),0,D5197/(7-E5197)*E5197*INDEX(Products!$E$2:$E$49,MATCH(C5197,Products!$A$2:$A$49,0)))</f>
        <v>0</v>
      </c>
    </row>
    <row r="5198" customFormat="false" ht="15" hidden="false" customHeight="false" outlineLevel="0" collapsed="false">
      <c r="A5198" s="36" t="n">
        <v>46265</v>
      </c>
      <c r="B5198" s="24" t="s">
        <v>65</v>
      </c>
      <c r="C5198" s="24" t="s">
        <v>145</v>
      </c>
      <c r="D5198" s="33" t="n">
        <v>56</v>
      </c>
      <c r="E5198" s="24" t="n">
        <v>0</v>
      </c>
      <c r="F5198" s="37" t="n">
        <f aca="false">DATE(YEAR(A5198),MONTH(A5198),1)</f>
        <v>46235</v>
      </c>
      <c r="G5198" s="24" t="str">
        <f aca="false">INDEX(Products!$C$2:$C$49,MATCH(C5198,Products!$A$2:$A$49,0))</f>
        <v>Dairy &amp; Eggs</v>
      </c>
      <c r="H5198" s="33" t="n">
        <f aca="false">D5198*INDEX(Products!$E$2:$E$49,MATCH(C5198,Products!$A$2:$A$49,0))</f>
        <v>7840</v>
      </c>
      <c r="I5198" s="33" t="n">
        <f aca="false">D5198*INDEX(Products!$D$2:$D$49,MATCH(C5198,Products!$A$2:$A$49,0))*(1+INDEX(Assumptions!$B$16:$B$20,MATCH(B5198,Assumptions!$A$16:$A$20,0)))</f>
        <v>6397.44</v>
      </c>
      <c r="J5198" s="33" t="n">
        <f aca="false">H5198-I5198</f>
        <v>1442.56</v>
      </c>
      <c r="K5198" s="33" t="n">
        <f aca="false">IF(OR(E5198=0,E5198&gt;=7),0,D5198/(7-E5198)*E5198*INDEX(Products!$E$2:$E$49,MATCH(C5198,Products!$A$2:$A$49,0)))</f>
        <v>0</v>
      </c>
    </row>
    <row r="5199" customFormat="false" ht="15" hidden="false" customHeight="false" outlineLevel="0" collapsed="false">
      <c r="A5199" s="36" t="n">
        <v>46272</v>
      </c>
      <c r="B5199" s="24" t="s">
        <v>65</v>
      </c>
      <c r="C5199" s="24" t="s">
        <v>145</v>
      </c>
      <c r="D5199" s="33" t="n">
        <v>53</v>
      </c>
      <c r="E5199" s="24" t="n">
        <v>0</v>
      </c>
      <c r="F5199" s="37" t="n">
        <f aca="false">DATE(YEAR(A5199),MONTH(A5199),1)</f>
        <v>46266</v>
      </c>
      <c r="G5199" s="24" t="str">
        <f aca="false">INDEX(Products!$C$2:$C$49,MATCH(C5199,Products!$A$2:$A$49,0))</f>
        <v>Dairy &amp; Eggs</v>
      </c>
      <c r="H5199" s="33" t="n">
        <f aca="false">D5199*INDEX(Products!$E$2:$E$49,MATCH(C5199,Products!$A$2:$A$49,0))</f>
        <v>7420</v>
      </c>
      <c r="I5199" s="33" t="n">
        <f aca="false">D5199*INDEX(Products!$D$2:$D$49,MATCH(C5199,Products!$A$2:$A$49,0))*(1+INDEX(Assumptions!$B$16:$B$20,MATCH(B5199,Assumptions!$A$16:$A$20,0)))</f>
        <v>6054.72</v>
      </c>
      <c r="J5199" s="33" t="n">
        <f aca="false">H5199-I5199</f>
        <v>1365.28</v>
      </c>
      <c r="K5199" s="33" t="n">
        <f aca="false">IF(OR(E5199=0,E5199&gt;=7),0,D5199/(7-E5199)*E5199*INDEX(Products!$E$2:$E$49,MATCH(C5199,Products!$A$2:$A$49,0)))</f>
        <v>0</v>
      </c>
    </row>
    <row r="5200" customFormat="false" ht="15" hidden="false" customHeight="false" outlineLevel="0" collapsed="false">
      <c r="A5200" s="36" t="n">
        <v>46279</v>
      </c>
      <c r="B5200" s="24" t="s">
        <v>65</v>
      </c>
      <c r="C5200" s="24" t="s">
        <v>145</v>
      </c>
      <c r="D5200" s="33" t="n">
        <v>52</v>
      </c>
      <c r="E5200" s="24" t="n">
        <v>0</v>
      </c>
      <c r="F5200" s="37" t="n">
        <f aca="false">DATE(YEAR(A5200),MONTH(A5200),1)</f>
        <v>46266</v>
      </c>
      <c r="G5200" s="24" t="str">
        <f aca="false">INDEX(Products!$C$2:$C$49,MATCH(C5200,Products!$A$2:$A$49,0))</f>
        <v>Dairy &amp; Eggs</v>
      </c>
      <c r="H5200" s="33" t="n">
        <f aca="false">D5200*INDEX(Products!$E$2:$E$49,MATCH(C5200,Products!$A$2:$A$49,0))</f>
        <v>7280</v>
      </c>
      <c r="I5200" s="33" t="n">
        <f aca="false">D5200*INDEX(Products!$D$2:$D$49,MATCH(C5200,Products!$A$2:$A$49,0))*(1+INDEX(Assumptions!$B$16:$B$20,MATCH(B5200,Assumptions!$A$16:$A$20,0)))</f>
        <v>5940.48</v>
      </c>
      <c r="J5200" s="33" t="n">
        <f aca="false">H5200-I5200</f>
        <v>1339.52</v>
      </c>
      <c r="K5200" s="33" t="n">
        <f aca="false">IF(OR(E5200=0,E5200&gt;=7),0,D5200/(7-E5200)*E5200*INDEX(Products!$E$2:$E$49,MATCH(C5200,Products!$A$2:$A$49,0)))</f>
        <v>0</v>
      </c>
    </row>
    <row r="5201" customFormat="false" ht="15" hidden="false" customHeight="false" outlineLevel="0" collapsed="false">
      <c r="A5201" s="36" t="n">
        <v>46286</v>
      </c>
      <c r="B5201" s="24" t="s">
        <v>65</v>
      </c>
      <c r="C5201" s="24" t="s">
        <v>145</v>
      </c>
      <c r="D5201" s="33" t="n">
        <v>71</v>
      </c>
      <c r="E5201" s="24" t="n">
        <v>0</v>
      </c>
      <c r="F5201" s="37" t="n">
        <f aca="false">DATE(YEAR(A5201),MONTH(A5201),1)</f>
        <v>46266</v>
      </c>
      <c r="G5201" s="24" t="str">
        <f aca="false">INDEX(Products!$C$2:$C$49,MATCH(C5201,Products!$A$2:$A$49,0))</f>
        <v>Dairy &amp; Eggs</v>
      </c>
      <c r="H5201" s="33" t="n">
        <f aca="false">D5201*INDEX(Products!$E$2:$E$49,MATCH(C5201,Products!$A$2:$A$49,0))</f>
        <v>9940</v>
      </c>
      <c r="I5201" s="33" t="n">
        <f aca="false">D5201*INDEX(Products!$D$2:$D$49,MATCH(C5201,Products!$A$2:$A$49,0))*(1+INDEX(Assumptions!$B$16:$B$20,MATCH(B5201,Assumptions!$A$16:$A$20,0)))</f>
        <v>8111.04</v>
      </c>
      <c r="J5201" s="33" t="n">
        <f aca="false">H5201-I5201</f>
        <v>1828.96</v>
      </c>
      <c r="K5201" s="33" t="n">
        <f aca="false">IF(OR(E5201=0,E5201&gt;=7),0,D5201/(7-E5201)*E5201*INDEX(Products!$E$2:$E$49,MATCH(C5201,Products!$A$2:$A$49,0)))</f>
        <v>0</v>
      </c>
    </row>
    <row r="5202" customFormat="false" ht="15" hidden="false" customHeight="false" outlineLevel="0" collapsed="false">
      <c r="A5202" s="36" t="n">
        <v>46118</v>
      </c>
      <c r="B5202" s="24" t="s">
        <v>65</v>
      </c>
      <c r="C5202" s="24" t="s">
        <v>147</v>
      </c>
      <c r="D5202" s="33" t="n">
        <v>127</v>
      </c>
      <c r="E5202" s="24" t="n">
        <v>0</v>
      </c>
      <c r="F5202" s="37" t="n">
        <f aca="false">DATE(YEAR(A5202),MONTH(A5202),1)</f>
        <v>46113</v>
      </c>
      <c r="G5202" s="24" t="str">
        <f aca="false">INDEX(Products!$C$2:$C$49,MATCH(C5202,Products!$A$2:$A$49,0))</f>
        <v>Beverages</v>
      </c>
      <c r="H5202" s="33" t="n">
        <f aca="false">D5202*INDEX(Products!$E$2:$E$49,MATCH(C5202,Products!$A$2:$A$49,0))</f>
        <v>8890</v>
      </c>
      <c r="I5202" s="33" t="n">
        <f aca="false">D5202*INDEX(Products!$D$2:$D$49,MATCH(C5202,Products!$A$2:$A$49,0))*(1+INDEX(Assumptions!$B$16:$B$20,MATCH(B5202,Assumptions!$A$16:$A$20,0)))</f>
        <v>6995.16</v>
      </c>
      <c r="J5202" s="33" t="n">
        <f aca="false">H5202-I5202</f>
        <v>1894.84</v>
      </c>
      <c r="K5202" s="33" t="n">
        <f aca="false">IF(OR(E5202=0,E5202&gt;=7),0,D5202/(7-E5202)*E5202*INDEX(Products!$E$2:$E$49,MATCH(C5202,Products!$A$2:$A$49,0)))</f>
        <v>0</v>
      </c>
    </row>
    <row r="5203" customFormat="false" ht="15" hidden="false" customHeight="false" outlineLevel="0" collapsed="false">
      <c r="A5203" s="36" t="n">
        <v>46125</v>
      </c>
      <c r="B5203" s="24" t="s">
        <v>65</v>
      </c>
      <c r="C5203" s="24" t="s">
        <v>147</v>
      </c>
      <c r="D5203" s="33" t="n">
        <v>85</v>
      </c>
      <c r="E5203" s="24" t="n">
        <v>0</v>
      </c>
      <c r="F5203" s="37" t="n">
        <f aca="false">DATE(YEAR(A5203),MONTH(A5203),1)</f>
        <v>46113</v>
      </c>
      <c r="G5203" s="24" t="str">
        <f aca="false">INDEX(Products!$C$2:$C$49,MATCH(C5203,Products!$A$2:$A$49,0))</f>
        <v>Beverages</v>
      </c>
      <c r="H5203" s="33" t="n">
        <f aca="false">D5203*INDEX(Products!$E$2:$E$49,MATCH(C5203,Products!$A$2:$A$49,0))</f>
        <v>5950</v>
      </c>
      <c r="I5203" s="33" t="n">
        <f aca="false">D5203*INDEX(Products!$D$2:$D$49,MATCH(C5203,Products!$A$2:$A$49,0))*(1+INDEX(Assumptions!$B$16:$B$20,MATCH(B5203,Assumptions!$A$16:$A$20,0)))</f>
        <v>4681.8</v>
      </c>
      <c r="J5203" s="33" t="n">
        <f aca="false">H5203-I5203</f>
        <v>1268.2</v>
      </c>
      <c r="K5203" s="33" t="n">
        <f aca="false">IF(OR(E5203=0,E5203&gt;=7),0,D5203/(7-E5203)*E5203*INDEX(Products!$E$2:$E$49,MATCH(C5203,Products!$A$2:$A$49,0)))</f>
        <v>0</v>
      </c>
    </row>
    <row r="5204" customFormat="false" ht="15" hidden="false" customHeight="false" outlineLevel="0" collapsed="false">
      <c r="A5204" s="36" t="n">
        <v>46132</v>
      </c>
      <c r="B5204" s="24" t="s">
        <v>65</v>
      </c>
      <c r="C5204" s="24" t="s">
        <v>147</v>
      </c>
      <c r="D5204" s="33" t="n">
        <v>115</v>
      </c>
      <c r="E5204" s="24" t="n">
        <v>0</v>
      </c>
      <c r="F5204" s="37" t="n">
        <f aca="false">DATE(YEAR(A5204),MONTH(A5204),1)</f>
        <v>46113</v>
      </c>
      <c r="G5204" s="24" t="str">
        <f aca="false">INDEX(Products!$C$2:$C$49,MATCH(C5204,Products!$A$2:$A$49,0))</f>
        <v>Beverages</v>
      </c>
      <c r="H5204" s="33" t="n">
        <f aca="false">D5204*INDEX(Products!$E$2:$E$49,MATCH(C5204,Products!$A$2:$A$49,0))</f>
        <v>8050</v>
      </c>
      <c r="I5204" s="33" t="n">
        <f aca="false">D5204*INDEX(Products!$D$2:$D$49,MATCH(C5204,Products!$A$2:$A$49,0))*(1+INDEX(Assumptions!$B$16:$B$20,MATCH(B5204,Assumptions!$A$16:$A$20,0)))</f>
        <v>6334.2</v>
      </c>
      <c r="J5204" s="33" t="n">
        <f aca="false">H5204-I5204</f>
        <v>1715.8</v>
      </c>
      <c r="K5204" s="33" t="n">
        <f aca="false">IF(OR(E5204=0,E5204&gt;=7),0,D5204/(7-E5204)*E5204*INDEX(Products!$E$2:$E$49,MATCH(C5204,Products!$A$2:$A$49,0)))</f>
        <v>0</v>
      </c>
    </row>
    <row r="5205" customFormat="false" ht="15" hidden="false" customHeight="false" outlineLevel="0" collapsed="false">
      <c r="A5205" s="36" t="n">
        <v>46139</v>
      </c>
      <c r="B5205" s="24" t="s">
        <v>65</v>
      </c>
      <c r="C5205" s="24" t="s">
        <v>147</v>
      </c>
      <c r="D5205" s="33" t="n">
        <v>133</v>
      </c>
      <c r="E5205" s="24" t="n">
        <v>0</v>
      </c>
      <c r="F5205" s="37" t="n">
        <f aca="false">DATE(YEAR(A5205),MONTH(A5205),1)</f>
        <v>46113</v>
      </c>
      <c r="G5205" s="24" t="str">
        <f aca="false">INDEX(Products!$C$2:$C$49,MATCH(C5205,Products!$A$2:$A$49,0))</f>
        <v>Beverages</v>
      </c>
      <c r="H5205" s="33" t="n">
        <f aca="false">D5205*INDEX(Products!$E$2:$E$49,MATCH(C5205,Products!$A$2:$A$49,0))</f>
        <v>9310</v>
      </c>
      <c r="I5205" s="33" t="n">
        <f aca="false">D5205*INDEX(Products!$D$2:$D$49,MATCH(C5205,Products!$A$2:$A$49,0))*(1+INDEX(Assumptions!$B$16:$B$20,MATCH(B5205,Assumptions!$A$16:$A$20,0)))</f>
        <v>7325.64</v>
      </c>
      <c r="J5205" s="33" t="n">
        <f aca="false">H5205-I5205</f>
        <v>1984.36</v>
      </c>
      <c r="K5205" s="33" t="n">
        <f aca="false">IF(OR(E5205=0,E5205&gt;=7),0,D5205/(7-E5205)*E5205*INDEX(Products!$E$2:$E$49,MATCH(C5205,Products!$A$2:$A$49,0)))</f>
        <v>0</v>
      </c>
    </row>
    <row r="5206" customFormat="false" ht="15" hidden="false" customHeight="false" outlineLevel="0" collapsed="false">
      <c r="A5206" s="36" t="n">
        <v>46146</v>
      </c>
      <c r="B5206" s="24" t="s">
        <v>65</v>
      </c>
      <c r="C5206" s="24" t="s">
        <v>147</v>
      </c>
      <c r="D5206" s="33" t="n">
        <v>115</v>
      </c>
      <c r="E5206" s="24" t="n">
        <v>0</v>
      </c>
      <c r="F5206" s="37" t="n">
        <f aca="false">DATE(YEAR(A5206),MONTH(A5206),1)</f>
        <v>46143</v>
      </c>
      <c r="G5206" s="24" t="str">
        <f aca="false">INDEX(Products!$C$2:$C$49,MATCH(C5206,Products!$A$2:$A$49,0))</f>
        <v>Beverages</v>
      </c>
      <c r="H5206" s="33" t="n">
        <f aca="false">D5206*INDEX(Products!$E$2:$E$49,MATCH(C5206,Products!$A$2:$A$49,0))</f>
        <v>8050</v>
      </c>
      <c r="I5206" s="33" t="n">
        <f aca="false">D5206*INDEX(Products!$D$2:$D$49,MATCH(C5206,Products!$A$2:$A$49,0))*(1+INDEX(Assumptions!$B$16:$B$20,MATCH(B5206,Assumptions!$A$16:$A$20,0)))</f>
        <v>6334.2</v>
      </c>
      <c r="J5206" s="33" t="n">
        <f aca="false">H5206-I5206</f>
        <v>1715.8</v>
      </c>
      <c r="K5206" s="33" t="n">
        <f aca="false">IF(OR(E5206=0,E5206&gt;=7),0,D5206/(7-E5206)*E5206*INDEX(Products!$E$2:$E$49,MATCH(C5206,Products!$A$2:$A$49,0)))</f>
        <v>0</v>
      </c>
    </row>
    <row r="5207" customFormat="false" ht="15" hidden="false" customHeight="false" outlineLevel="0" collapsed="false">
      <c r="A5207" s="36" t="n">
        <v>46153</v>
      </c>
      <c r="B5207" s="24" t="s">
        <v>65</v>
      </c>
      <c r="C5207" s="24" t="s">
        <v>147</v>
      </c>
      <c r="D5207" s="33" t="n">
        <v>126</v>
      </c>
      <c r="E5207" s="24" t="n">
        <v>0</v>
      </c>
      <c r="F5207" s="37" t="n">
        <f aca="false">DATE(YEAR(A5207),MONTH(A5207),1)</f>
        <v>46143</v>
      </c>
      <c r="G5207" s="24" t="str">
        <f aca="false">INDEX(Products!$C$2:$C$49,MATCH(C5207,Products!$A$2:$A$49,0))</f>
        <v>Beverages</v>
      </c>
      <c r="H5207" s="33" t="n">
        <f aca="false">D5207*INDEX(Products!$E$2:$E$49,MATCH(C5207,Products!$A$2:$A$49,0))</f>
        <v>8820</v>
      </c>
      <c r="I5207" s="33" t="n">
        <f aca="false">D5207*INDEX(Products!$D$2:$D$49,MATCH(C5207,Products!$A$2:$A$49,0))*(1+INDEX(Assumptions!$B$16:$B$20,MATCH(B5207,Assumptions!$A$16:$A$20,0)))</f>
        <v>6940.08</v>
      </c>
      <c r="J5207" s="33" t="n">
        <f aca="false">H5207-I5207</f>
        <v>1879.92</v>
      </c>
      <c r="K5207" s="33" t="n">
        <f aca="false">IF(OR(E5207=0,E5207&gt;=7),0,D5207/(7-E5207)*E5207*INDEX(Products!$E$2:$E$49,MATCH(C5207,Products!$A$2:$A$49,0)))</f>
        <v>0</v>
      </c>
    </row>
    <row r="5208" customFormat="false" ht="15" hidden="false" customHeight="false" outlineLevel="0" collapsed="false">
      <c r="A5208" s="36" t="n">
        <v>46160</v>
      </c>
      <c r="B5208" s="24" t="s">
        <v>65</v>
      </c>
      <c r="C5208" s="24" t="s">
        <v>147</v>
      </c>
      <c r="D5208" s="33" t="n">
        <v>144</v>
      </c>
      <c r="E5208" s="24" t="n">
        <v>0</v>
      </c>
      <c r="F5208" s="37" t="n">
        <f aca="false">DATE(YEAR(A5208),MONTH(A5208),1)</f>
        <v>46143</v>
      </c>
      <c r="G5208" s="24" t="str">
        <f aca="false">INDEX(Products!$C$2:$C$49,MATCH(C5208,Products!$A$2:$A$49,0))</f>
        <v>Beverages</v>
      </c>
      <c r="H5208" s="33" t="n">
        <f aca="false">D5208*INDEX(Products!$E$2:$E$49,MATCH(C5208,Products!$A$2:$A$49,0))</f>
        <v>10080</v>
      </c>
      <c r="I5208" s="33" t="n">
        <f aca="false">D5208*INDEX(Products!$D$2:$D$49,MATCH(C5208,Products!$A$2:$A$49,0))*(1+INDEX(Assumptions!$B$16:$B$20,MATCH(B5208,Assumptions!$A$16:$A$20,0)))</f>
        <v>7931.52</v>
      </c>
      <c r="J5208" s="33" t="n">
        <f aca="false">H5208-I5208</f>
        <v>2148.48</v>
      </c>
      <c r="K5208" s="33" t="n">
        <f aca="false">IF(OR(E5208=0,E5208&gt;=7),0,D5208/(7-E5208)*E5208*INDEX(Products!$E$2:$E$49,MATCH(C5208,Products!$A$2:$A$49,0)))</f>
        <v>0</v>
      </c>
    </row>
    <row r="5209" customFormat="false" ht="15" hidden="false" customHeight="false" outlineLevel="0" collapsed="false">
      <c r="A5209" s="36" t="n">
        <v>46167</v>
      </c>
      <c r="B5209" s="24" t="s">
        <v>65</v>
      </c>
      <c r="C5209" s="24" t="s">
        <v>147</v>
      </c>
      <c r="D5209" s="33" t="n">
        <v>139</v>
      </c>
      <c r="E5209" s="24" t="n">
        <v>0</v>
      </c>
      <c r="F5209" s="37" t="n">
        <f aca="false">DATE(YEAR(A5209),MONTH(A5209),1)</f>
        <v>46143</v>
      </c>
      <c r="G5209" s="24" t="str">
        <f aca="false">INDEX(Products!$C$2:$C$49,MATCH(C5209,Products!$A$2:$A$49,0))</f>
        <v>Beverages</v>
      </c>
      <c r="H5209" s="33" t="n">
        <f aca="false">D5209*INDEX(Products!$E$2:$E$49,MATCH(C5209,Products!$A$2:$A$49,0))</f>
        <v>9730</v>
      </c>
      <c r="I5209" s="33" t="n">
        <f aca="false">D5209*INDEX(Products!$D$2:$D$49,MATCH(C5209,Products!$A$2:$A$49,0))*(1+INDEX(Assumptions!$B$16:$B$20,MATCH(B5209,Assumptions!$A$16:$A$20,0)))</f>
        <v>7656.12</v>
      </c>
      <c r="J5209" s="33" t="n">
        <f aca="false">H5209-I5209</f>
        <v>2073.88</v>
      </c>
      <c r="K5209" s="33" t="n">
        <f aca="false">IF(OR(E5209=0,E5209&gt;=7),0,D5209/(7-E5209)*E5209*INDEX(Products!$E$2:$E$49,MATCH(C5209,Products!$A$2:$A$49,0)))</f>
        <v>0</v>
      </c>
    </row>
    <row r="5210" customFormat="false" ht="15" hidden="false" customHeight="false" outlineLevel="0" collapsed="false">
      <c r="A5210" s="36" t="n">
        <v>46174</v>
      </c>
      <c r="B5210" s="24" t="s">
        <v>65</v>
      </c>
      <c r="C5210" s="24" t="s">
        <v>147</v>
      </c>
      <c r="D5210" s="33" t="n">
        <v>134</v>
      </c>
      <c r="E5210" s="24" t="n">
        <v>0</v>
      </c>
      <c r="F5210" s="37" t="n">
        <f aca="false">DATE(YEAR(A5210),MONTH(A5210),1)</f>
        <v>46174</v>
      </c>
      <c r="G5210" s="24" t="str">
        <f aca="false">INDEX(Products!$C$2:$C$49,MATCH(C5210,Products!$A$2:$A$49,0))</f>
        <v>Beverages</v>
      </c>
      <c r="H5210" s="33" t="n">
        <f aca="false">D5210*INDEX(Products!$E$2:$E$49,MATCH(C5210,Products!$A$2:$A$49,0))</f>
        <v>9380</v>
      </c>
      <c r="I5210" s="33" t="n">
        <f aca="false">D5210*INDEX(Products!$D$2:$D$49,MATCH(C5210,Products!$A$2:$A$49,0))*(1+INDEX(Assumptions!$B$16:$B$20,MATCH(B5210,Assumptions!$A$16:$A$20,0)))</f>
        <v>7380.72</v>
      </c>
      <c r="J5210" s="33" t="n">
        <f aca="false">H5210-I5210</f>
        <v>1999.28</v>
      </c>
      <c r="K5210" s="33" t="n">
        <f aca="false">IF(OR(E5210=0,E5210&gt;=7),0,D5210/(7-E5210)*E5210*INDEX(Products!$E$2:$E$49,MATCH(C5210,Products!$A$2:$A$49,0)))</f>
        <v>0</v>
      </c>
    </row>
    <row r="5211" customFormat="false" ht="15" hidden="false" customHeight="false" outlineLevel="0" collapsed="false">
      <c r="A5211" s="36" t="n">
        <v>46181</v>
      </c>
      <c r="B5211" s="24" t="s">
        <v>65</v>
      </c>
      <c r="C5211" s="24" t="s">
        <v>147</v>
      </c>
      <c r="D5211" s="33" t="n">
        <v>125</v>
      </c>
      <c r="E5211" s="24" t="n">
        <v>0</v>
      </c>
      <c r="F5211" s="37" t="n">
        <f aca="false">DATE(YEAR(A5211),MONTH(A5211),1)</f>
        <v>46174</v>
      </c>
      <c r="G5211" s="24" t="str">
        <f aca="false">INDEX(Products!$C$2:$C$49,MATCH(C5211,Products!$A$2:$A$49,0))</f>
        <v>Beverages</v>
      </c>
      <c r="H5211" s="33" t="n">
        <f aca="false">D5211*INDEX(Products!$E$2:$E$49,MATCH(C5211,Products!$A$2:$A$49,0))</f>
        <v>8750</v>
      </c>
      <c r="I5211" s="33" t="n">
        <f aca="false">D5211*INDEX(Products!$D$2:$D$49,MATCH(C5211,Products!$A$2:$A$49,0))*(1+INDEX(Assumptions!$B$16:$B$20,MATCH(B5211,Assumptions!$A$16:$A$20,0)))</f>
        <v>6885</v>
      </c>
      <c r="J5211" s="33" t="n">
        <f aca="false">H5211-I5211</f>
        <v>1865</v>
      </c>
      <c r="K5211" s="33" t="n">
        <f aca="false">IF(OR(E5211=0,E5211&gt;=7),0,D5211/(7-E5211)*E5211*INDEX(Products!$E$2:$E$49,MATCH(C5211,Products!$A$2:$A$49,0)))</f>
        <v>0</v>
      </c>
    </row>
    <row r="5212" customFormat="false" ht="15" hidden="false" customHeight="false" outlineLevel="0" collapsed="false">
      <c r="A5212" s="36" t="n">
        <v>46188</v>
      </c>
      <c r="B5212" s="24" t="s">
        <v>65</v>
      </c>
      <c r="C5212" s="24" t="s">
        <v>147</v>
      </c>
      <c r="D5212" s="33" t="n">
        <v>129</v>
      </c>
      <c r="E5212" s="24" t="n">
        <v>0</v>
      </c>
      <c r="F5212" s="37" t="n">
        <f aca="false">DATE(YEAR(A5212),MONTH(A5212),1)</f>
        <v>46174</v>
      </c>
      <c r="G5212" s="24" t="str">
        <f aca="false">INDEX(Products!$C$2:$C$49,MATCH(C5212,Products!$A$2:$A$49,0))</f>
        <v>Beverages</v>
      </c>
      <c r="H5212" s="33" t="n">
        <f aca="false">D5212*INDEX(Products!$E$2:$E$49,MATCH(C5212,Products!$A$2:$A$49,0))</f>
        <v>9030</v>
      </c>
      <c r="I5212" s="33" t="n">
        <f aca="false">D5212*INDEX(Products!$D$2:$D$49,MATCH(C5212,Products!$A$2:$A$49,0))*(1+INDEX(Assumptions!$B$16:$B$20,MATCH(B5212,Assumptions!$A$16:$A$20,0)))</f>
        <v>7105.32</v>
      </c>
      <c r="J5212" s="33" t="n">
        <f aca="false">H5212-I5212</f>
        <v>1924.68</v>
      </c>
      <c r="K5212" s="33" t="n">
        <f aca="false">IF(OR(E5212=0,E5212&gt;=7),0,D5212/(7-E5212)*E5212*INDEX(Products!$E$2:$E$49,MATCH(C5212,Products!$A$2:$A$49,0)))</f>
        <v>0</v>
      </c>
    </row>
    <row r="5213" customFormat="false" ht="15" hidden="false" customHeight="false" outlineLevel="0" collapsed="false">
      <c r="A5213" s="36" t="n">
        <v>46195</v>
      </c>
      <c r="B5213" s="24" t="s">
        <v>65</v>
      </c>
      <c r="C5213" s="24" t="s">
        <v>147</v>
      </c>
      <c r="D5213" s="33" t="n">
        <v>129</v>
      </c>
      <c r="E5213" s="24" t="n">
        <v>0</v>
      </c>
      <c r="F5213" s="37" t="n">
        <f aca="false">DATE(YEAR(A5213),MONTH(A5213),1)</f>
        <v>46174</v>
      </c>
      <c r="G5213" s="24" t="str">
        <f aca="false">INDEX(Products!$C$2:$C$49,MATCH(C5213,Products!$A$2:$A$49,0))</f>
        <v>Beverages</v>
      </c>
      <c r="H5213" s="33" t="n">
        <f aca="false">D5213*INDEX(Products!$E$2:$E$49,MATCH(C5213,Products!$A$2:$A$49,0))</f>
        <v>9030</v>
      </c>
      <c r="I5213" s="33" t="n">
        <f aca="false">D5213*INDEX(Products!$D$2:$D$49,MATCH(C5213,Products!$A$2:$A$49,0))*(1+INDEX(Assumptions!$B$16:$B$20,MATCH(B5213,Assumptions!$A$16:$A$20,0)))</f>
        <v>7105.32</v>
      </c>
      <c r="J5213" s="33" t="n">
        <f aca="false">H5213-I5213</f>
        <v>1924.68</v>
      </c>
      <c r="K5213" s="33" t="n">
        <f aca="false">IF(OR(E5213=0,E5213&gt;=7),0,D5213/(7-E5213)*E5213*INDEX(Products!$E$2:$E$49,MATCH(C5213,Products!$A$2:$A$49,0)))</f>
        <v>0</v>
      </c>
    </row>
    <row r="5214" customFormat="false" ht="15" hidden="false" customHeight="false" outlineLevel="0" collapsed="false">
      <c r="A5214" s="36" t="n">
        <v>46202</v>
      </c>
      <c r="B5214" s="24" t="s">
        <v>65</v>
      </c>
      <c r="C5214" s="24" t="s">
        <v>147</v>
      </c>
      <c r="D5214" s="33" t="n">
        <v>160</v>
      </c>
      <c r="E5214" s="24" t="n">
        <v>0</v>
      </c>
      <c r="F5214" s="37" t="n">
        <f aca="false">DATE(YEAR(A5214),MONTH(A5214),1)</f>
        <v>46174</v>
      </c>
      <c r="G5214" s="24" t="str">
        <f aca="false">INDEX(Products!$C$2:$C$49,MATCH(C5214,Products!$A$2:$A$49,0))</f>
        <v>Beverages</v>
      </c>
      <c r="H5214" s="33" t="n">
        <f aca="false">D5214*INDEX(Products!$E$2:$E$49,MATCH(C5214,Products!$A$2:$A$49,0))</f>
        <v>11200</v>
      </c>
      <c r="I5214" s="33" t="n">
        <f aca="false">D5214*INDEX(Products!$D$2:$D$49,MATCH(C5214,Products!$A$2:$A$49,0))*(1+INDEX(Assumptions!$B$16:$B$20,MATCH(B5214,Assumptions!$A$16:$A$20,0)))</f>
        <v>8812.8</v>
      </c>
      <c r="J5214" s="33" t="n">
        <f aca="false">H5214-I5214</f>
        <v>2387.2</v>
      </c>
      <c r="K5214" s="33" t="n">
        <f aca="false">IF(OR(E5214=0,E5214&gt;=7),0,D5214/(7-E5214)*E5214*INDEX(Products!$E$2:$E$49,MATCH(C5214,Products!$A$2:$A$49,0)))</f>
        <v>0</v>
      </c>
    </row>
    <row r="5215" customFormat="false" ht="15" hidden="false" customHeight="false" outlineLevel="0" collapsed="false">
      <c r="A5215" s="36" t="n">
        <v>46209</v>
      </c>
      <c r="B5215" s="24" t="s">
        <v>65</v>
      </c>
      <c r="C5215" s="24" t="s">
        <v>147</v>
      </c>
      <c r="D5215" s="33" t="n">
        <v>123</v>
      </c>
      <c r="E5215" s="24" t="n">
        <v>0</v>
      </c>
      <c r="F5215" s="37" t="n">
        <f aca="false">DATE(YEAR(A5215),MONTH(A5215),1)</f>
        <v>46204</v>
      </c>
      <c r="G5215" s="24" t="str">
        <f aca="false">INDEX(Products!$C$2:$C$49,MATCH(C5215,Products!$A$2:$A$49,0))</f>
        <v>Beverages</v>
      </c>
      <c r="H5215" s="33" t="n">
        <f aca="false">D5215*INDEX(Products!$E$2:$E$49,MATCH(C5215,Products!$A$2:$A$49,0))</f>
        <v>8610</v>
      </c>
      <c r="I5215" s="33" t="n">
        <f aca="false">D5215*INDEX(Products!$D$2:$D$49,MATCH(C5215,Products!$A$2:$A$49,0))*(1+INDEX(Assumptions!$B$16:$B$20,MATCH(B5215,Assumptions!$A$16:$A$20,0)))</f>
        <v>6774.84</v>
      </c>
      <c r="J5215" s="33" t="n">
        <f aca="false">H5215-I5215</f>
        <v>1835.16</v>
      </c>
      <c r="K5215" s="33" t="n">
        <f aca="false">IF(OR(E5215=0,E5215&gt;=7),0,D5215/(7-E5215)*E5215*INDEX(Products!$E$2:$E$49,MATCH(C5215,Products!$A$2:$A$49,0)))</f>
        <v>0</v>
      </c>
    </row>
    <row r="5216" customFormat="false" ht="15" hidden="false" customHeight="false" outlineLevel="0" collapsed="false">
      <c r="A5216" s="36" t="n">
        <v>46216</v>
      </c>
      <c r="B5216" s="24" t="s">
        <v>65</v>
      </c>
      <c r="C5216" s="24" t="s">
        <v>147</v>
      </c>
      <c r="D5216" s="33" t="n">
        <v>131</v>
      </c>
      <c r="E5216" s="24" t="n">
        <v>0</v>
      </c>
      <c r="F5216" s="37" t="n">
        <f aca="false">DATE(YEAR(A5216),MONTH(A5216),1)</f>
        <v>46204</v>
      </c>
      <c r="G5216" s="24" t="str">
        <f aca="false">INDEX(Products!$C$2:$C$49,MATCH(C5216,Products!$A$2:$A$49,0))</f>
        <v>Beverages</v>
      </c>
      <c r="H5216" s="33" t="n">
        <f aca="false">D5216*INDEX(Products!$E$2:$E$49,MATCH(C5216,Products!$A$2:$A$49,0))</f>
        <v>9170</v>
      </c>
      <c r="I5216" s="33" t="n">
        <f aca="false">D5216*INDEX(Products!$D$2:$D$49,MATCH(C5216,Products!$A$2:$A$49,0))*(1+INDEX(Assumptions!$B$16:$B$20,MATCH(B5216,Assumptions!$A$16:$A$20,0)))</f>
        <v>7215.48</v>
      </c>
      <c r="J5216" s="33" t="n">
        <f aca="false">H5216-I5216</f>
        <v>1954.52</v>
      </c>
      <c r="K5216" s="33" t="n">
        <f aca="false">IF(OR(E5216=0,E5216&gt;=7),0,D5216/(7-E5216)*E5216*INDEX(Products!$E$2:$E$49,MATCH(C5216,Products!$A$2:$A$49,0)))</f>
        <v>0</v>
      </c>
    </row>
    <row r="5217" customFormat="false" ht="15" hidden="false" customHeight="false" outlineLevel="0" collapsed="false">
      <c r="A5217" s="36" t="n">
        <v>46223</v>
      </c>
      <c r="B5217" s="24" t="s">
        <v>65</v>
      </c>
      <c r="C5217" s="24" t="s">
        <v>147</v>
      </c>
      <c r="D5217" s="33" t="n">
        <v>139</v>
      </c>
      <c r="E5217" s="24" t="n">
        <v>0</v>
      </c>
      <c r="F5217" s="37" t="n">
        <f aca="false">DATE(YEAR(A5217),MONTH(A5217),1)</f>
        <v>46204</v>
      </c>
      <c r="G5217" s="24" t="str">
        <f aca="false">INDEX(Products!$C$2:$C$49,MATCH(C5217,Products!$A$2:$A$49,0))</f>
        <v>Beverages</v>
      </c>
      <c r="H5217" s="33" t="n">
        <f aca="false">D5217*INDEX(Products!$E$2:$E$49,MATCH(C5217,Products!$A$2:$A$49,0))</f>
        <v>9730</v>
      </c>
      <c r="I5217" s="33" t="n">
        <f aca="false">D5217*INDEX(Products!$D$2:$D$49,MATCH(C5217,Products!$A$2:$A$49,0))*(1+INDEX(Assumptions!$B$16:$B$20,MATCH(B5217,Assumptions!$A$16:$A$20,0)))</f>
        <v>7656.12</v>
      </c>
      <c r="J5217" s="33" t="n">
        <f aca="false">H5217-I5217</f>
        <v>2073.88</v>
      </c>
      <c r="K5217" s="33" t="n">
        <f aca="false">IF(OR(E5217=0,E5217&gt;=7),0,D5217/(7-E5217)*E5217*INDEX(Products!$E$2:$E$49,MATCH(C5217,Products!$A$2:$A$49,0)))</f>
        <v>0</v>
      </c>
    </row>
    <row r="5218" customFormat="false" ht="15" hidden="false" customHeight="false" outlineLevel="0" collapsed="false">
      <c r="A5218" s="36" t="n">
        <v>46230</v>
      </c>
      <c r="B5218" s="24" t="s">
        <v>65</v>
      </c>
      <c r="C5218" s="24" t="s">
        <v>147</v>
      </c>
      <c r="D5218" s="33" t="n">
        <v>138</v>
      </c>
      <c r="E5218" s="24" t="n">
        <v>0</v>
      </c>
      <c r="F5218" s="37" t="n">
        <f aca="false">DATE(YEAR(A5218),MONTH(A5218),1)</f>
        <v>46204</v>
      </c>
      <c r="G5218" s="24" t="str">
        <f aca="false">INDEX(Products!$C$2:$C$49,MATCH(C5218,Products!$A$2:$A$49,0))</f>
        <v>Beverages</v>
      </c>
      <c r="H5218" s="33" t="n">
        <f aca="false">D5218*INDEX(Products!$E$2:$E$49,MATCH(C5218,Products!$A$2:$A$49,0))</f>
        <v>9660</v>
      </c>
      <c r="I5218" s="33" t="n">
        <f aca="false">D5218*INDEX(Products!$D$2:$D$49,MATCH(C5218,Products!$A$2:$A$49,0))*(1+INDEX(Assumptions!$B$16:$B$20,MATCH(B5218,Assumptions!$A$16:$A$20,0)))</f>
        <v>7601.04</v>
      </c>
      <c r="J5218" s="33" t="n">
        <f aca="false">H5218-I5218</f>
        <v>2058.96</v>
      </c>
      <c r="K5218" s="33" t="n">
        <f aca="false">IF(OR(E5218=0,E5218&gt;=7),0,D5218/(7-E5218)*E5218*INDEX(Products!$E$2:$E$49,MATCH(C5218,Products!$A$2:$A$49,0)))</f>
        <v>0</v>
      </c>
    </row>
    <row r="5219" customFormat="false" ht="15" hidden="false" customHeight="false" outlineLevel="0" collapsed="false">
      <c r="A5219" s="36" t="n">
        <v>46237</v>
      </c>
      <c r="B5219" s="24" t="s">
        <v>65</v>
      </c>
      <c r="C5219" s="24" t="s">
        <v>147</v>
      </c>
      <c r="D5219" s="33" t="n">
        <v>122</v>
      </c>
      <c r="E5219" s="24" t="n">
        <v>0</v>
      </c>
      <c r="F5219" s="37" t="n">
        <f aca="false">DATE(YEAR(A5219),MONTH(A5219),1)</f>
        <v>46235</v>
      </c>
      <c r="G5219" s="24" t="str">
        <f aca="false">INDEX(Products!$C$2:$C$49,MATCH(C5219,Products!$A$2:$A$49,0))</f>
        <v>Beverages</v>
      </c>
      <c r="H5219" s="33" t="n">
        <f aca="false">D5219*INDEX(Products!$E$2:$E$49,MATCH(C5219,Products!$A$2:$A$49,0))</f>
        <v>8540</v>
      </c>
      <c r="I5219" s="33" t="n">
        <f aca="false">D5219*INDEX(Products!$D$2:$D$49,MATCH(C5219,Products!$A$2:$A$49,0))*(1+INDEX(Assumptions!$B$16:$B$20,MATCH(B5219,Assumptions!$A$16:$A$20,0)))</f>
        <v>6719.76</v>
      </c>
      <c r="J5219" s="33" t="n">
        <f aca="false">H5219-I5219</f>
        <v>1820.24</v>
      </c>
      <c r="K5219" s="33" t="n">
        <f aca="false">IF(OR(E5219=0,E5219&gt;=7),0,D5219/(7-E5219)*E5219*INDEX(Products!$E$2:$E$49,MATCH(C5219,Products!$A$2:$A$49,0)))</f>
        <v>0</v>
      </c>
    </row>
    <row r="5220" customFormat="false" ht="15" hidden="false" customHeight="false" outlineLevel="0" collapsed="false">
      <c r="A5220" s="36" t="n">
        <v>46244</v>
      </c>
      <c r="B5220" s="24" t="s">
        <v>65</v>
      </c>
      <c r="C5220" s="24" t="s">
        <v>147</v>
      </c>
      <c r="D5220" s="33" t="n">
        <v>134</v>
      </c>
      <c r="E5220" s="24" t="n">
        <v>0</v>
      </c>
      <c r="F5220" s="37" t="n">
        <f aca="false">DATE(YEAR(A5220),MONTH(A5220),1)</f>
        <v>46235</v>
      </c>
      <c r="G5220" s="24" t="str">
        <f aca="false">INDEX(Products!$C$2:$C$49,MATCH(C5220,Products!$A$2:$A$49,0))</f>
        <v>Beverages</v>
      </c>
      <c r="H5220" s="33" t="n">
        <f aca="false">D5220*INDEX(Products!$E$2:$E$49,MATCH(C5220,Products!$A$2:$A$49,0))</f>
        <v>9380</v>
      </c>
      <c r="I5220" s="33" t="n">
        <f aca="false">D5220*INDEX(Products!$D$2:$D$49,MATCH(C5220,Products!$A$2:$A$49,0))*(1+INDEX(Assumptions!$B$16:$B$20,MATCH(B5220,Assumptions!$A$16:$A$20,0)))</f>
        <v>7380.72</v>
      </c>
      <c r="J5220" s="33" t="n">
        <f aca="false">H5220-I5220</f>
        <v>1999.28</v>
      </c>
      <c r="K5220" s="33" t="n">
        <f aca="false">IF(OR(E5220=0,E5220&gt;=7),0,D5220/(7-E5220)*E5220*INDEX(Products!$E$2:$E$49,MATCH(C5220,Products!$A$2:$A$49,0)))</f>
        <v>0</v>
      </c>
    </row>
    <row r="5221" customFormat="false" ht="15" hidden="false" customHeight="false" outlineLevel="0" collapsed="false">
      <c r="A5221" s="36" t="n">
        <v>46251</v>
      </c>
      <c r="B5221" s="24" t="s">
        <v>65</v>
      </c>
      <c r="C5221" s="24" t="s">
        <v>147</v>
      </c>
      <c r="D5221" s="33" t="n">
        <v>141</v>
      </c>
      <c r="E5221" s="24" t="n">
        <v>0</v>
      </c>
      <c r="F5221" s="37" t="n">
        <f aca="false">DATE(YEAR(A5221),MONTH(A5221),1)</f>
        <v>46235</v>
      </c>
      <c r="G5221" s="24" t="str">
        <f aca="false">INDEX(Products!$C$2:$C$49,MATCH(C5221,Products!$A$2:$A$49,0))</f>
        <v>Beverages</v>
      </c>
      <c r="H5221" s="33" t="n">
        <f aca="false">D5221*INDEX(Products!$E$2:$E$49,MATCH(C5221,Products!$A$2:$A$49,0))</f>
        <v>9870</v>
      </c>
      <c r="I5221" s="33" t="n">
        <f aca="false">D5221*INDEX(Products!$D$2:$D$49,MATCH(C5221,Products!$A$2:$A$49,0))*(1+INDEX(Assumptions!$B$16:$B$20,MATCH(B5221,Assumptions!$A$16:$A$20,0)))</f>
        <v>7766.28</v>
      </c>
      <c r="J5221" s="33" t="n">
        <f aca="false">H5221-I5221</f>
        <v>2103.72</v>
      </c>
      <c r="K5221" s="33" t="n">
        <f aca="false">IF(OR(E5221=0,E5221&gt;=7),0,D5221/(7-E5221)*E5221*INDEX(Products!$E$2:$E$49,MATCH(C5221,Products!$A$2:$A$49,0)))</f>
        <v>0</v>
      </c>
    </row>
    <row r="5222" customFormat="false" ht="15" hidden="false" customHeight="false" outlineLevel="0" collapsed="false">
      <c r="A5222" s="36" t="n">
        <v>46258</v>
      </c>
      <c r="B5222" s="24" t="s">
        <v>65</v>
      </c>
      <c r="C5222" s="24" t="s">
        <v>147</v>
      </c>
      <c r="D5222" s="33" t="n">
        <v>146</v>
      </c>
      <c r="E5222" s="24" t="n">
        <v>0</v>
      </c>
      <c r="F5222" s="37" t="n">
        <f aca="false">DATE(YEAR(A5222),MONTH(A5222),1)</f>
        <v>46235</v>
      </c>
      <c r="G5222" s="24" t="str">
        <f aca="false">INDEX(Products!$C$2:$C$49,MATCH(C5222,Products!$A$2:$A$49,0))</f>
        <v>Beverages</v>
      </c>
      <c r="H5222" s="33" t="n">
        <f aca="false">D5222*INDEX(Products!$E$2:$E$49,MATCH(C5222,Products!$A$2:$A$49,0))</f>
        <v>10220</v>
      </c>
      <c r="I5222" s="33" t="n">
        <f aca="false">D5222*INDEX(Products!$D$2:$D$49,MATCH(C5222,Products!$A$2:$A$49,0))*(1+INDEX(Assumptions!$B$16:$B$20,MATCH(B5222,Assumptions!$A$16:$A$20,0)))</f>
        <v>8041.68</v>
      </c>
      <c r="J5222" s="33" t="n">
        <f aca="false">H5222-I5222</f>
        <v>2178.32</v>
      </c>
      <c r="K5222" s="33" t="n">
        <f aca="false">IF(OR(E5222=0,E5222&gt;=7),0,D5222/(7-E5222)*E5222*INDEX(Products!$E$2:$E$49,MATCH(C5222,Products!$A$2:$A$49,0)))</f>
        <v>0</v>
      </c>
    </row>
    <row r="5223" customFormat="false" ht="15" hidden="false" customHeight="false" outlineLevel="0" collapsed="false">
      <c r="A5223" s="36" t="n">
        <v>46265</v>
      </c>
      <c r="B5223" s="24" t="s">
        <v>65</v>
      </c>
      <c r="C5223" s="24" t="s">
        <v>147</v>
      </c>
      <c r="D5223" s="33" t="n">
        <v>175</v>
      </c>
      <c r="E5223" s="24" t="n">
        <v>0</v>
      </c>
      <c r="F5223" s="37" t="n">
        <f aca="false">DATE(YEAR(A5223),MONTH(A5223),1)</f>
        <v>46235</v>
      </c>
      <c r="G5223" s="24" t="str">
        <f aca="false">INDEX(Products!$C$2:$C$49,MATCH(C5223,Products!$A$2:$A$49,0))</f>
        <v>Beverages</v>
      </c>
      <c r="H5223" s="33" t="n">
        <f aca="false">D5223*INDEX(Products!$E$2:$E$49,MATCH(C5223,Products!$A$2:$A$49,0))</f>
        <v>12250</v>
      </c>
      <c r="I5223" s="33" t="n">
        <f aca="false">D5223*INDEX(Products!$D$2:$D$49,MATCH(C5223,Products!$A$2:$A$49,0))*(1+INDEX(Assumptions!$B$16:$B$20,MATCH(B5223,Assumptions!$A$16:$A$20,0)))</f>
        <v>9639</v>
      </c>
      <c r="J5223" s="33" t="n">
        <f aca="false">H5223-I5223</f>
        <v>2611</v>
      </c>
      <c r="K5223" s="33" t="n">
        <f aca="false">IF(OR(E5223=0,E5223&gt;=7),0,D5223/(7-E5223)*E5223*INDEX(Products!$E$2:$E$49,MATCH(C5223,Products!$A$2:$A$49,0)))</f>
        <v>0</v>
      </c>
    </row>
    <row r="5224" customFormat="false" ht="15" hidden="false" customHeight="false" outlineLevel="0" collapsed="false">
      <c r="A5224" s="36" t="n">
        <v>46272</v>
      </c>
      <c r="B5224" s="24" t="s">
        <v>65</v>
      </c>
      <c r="C5224" s="24" t="s">
        <v>147</v>
      </c>
      <c r="D5224" s="33" t="n">
        <v>158</v>
      </c>
      <c r="E5224" s="24" t="n">
        <v>0</v>
      </c>
      <c r="F5224" s="37" t="n">
        <f aca="false">DATE(YEAR(A5224),MONTH(A5224),1)</f>
        <v>46266</v>
      </c>
      <c r="G5224" s="24" t="str">
        <f aca="false">INDEX(Products!$C$2:$C$49,MATCH(C5224,Products!$A$2:$A$49,0))</f>
        <v>Beverages</v>
      </c>
      <c r="H5224" s="33" t="n">
        <f aca="false">D5224*INDEX(Products!$E$2:$E$49,MATCH(C5224,Products!$A$2:$A$49,0))</f>
        <v>11060</v>
      </c>
      <c r="I5224" s="33" t="n">
        <f aca="false">D5224*INDEX(Products!$D$2:$D$49,MATCH(C5224,Products!$A$2:$A$49,0))*(1+INDEX(Assumptions!$B$16:$B$20,MATCH(B5224,Assumptions!$A$16:$A$20,0)))</f>
        <v>8702.64</v>
      </c>
      <c r="J5224" s="33" t="n">
        <f aca="false">H5224-I5224</f>
        <v>2357.36</v>
      </c>
      <c r="K5224" s="33" t="n">
        <f aca="false">IF(OR(E5224=0,E5224&gt;=7),0,D5224/(7-E5224)*E5224*INDEX(Products!$E$2:$E$49,MATCH(C5224,Products!$A$2:$A$49,0)))</f>
        <v>0</v>
      </c>
    </row>
    <row r="5225" customFormat="false" ht="15" hidden="false" customHeight="false" outlineLevel="0" collapsed="false">
      <c r="A5225" s="36" t="n">
        <v>46279</v>
      </c>
      <c r="B5225" s="24" t="s">
        <v>65</v>
      </c>
      <c r="C5225" s="24" t="s">
        <v>147</v>
      </c>
      <c r="D5225" s="33" t="n">
        <v>162</v>
      </c>
      <c r="E5225" s="24" t="n">
        <v>0</v>
      </c>
      <c r="F5225" s="37" t="n">
        <f aca="false">DATE(YEAR(A5225),MONTH(A5225),1)</f>
        <v>46266</v>
      </c>
      <c r="G5225" s="24" t="str">
        <f aca="false">INDEX(Products!$C$2:$C$49,MATCH(C5225,Products!$A$2:$A$49,0))</f>
        <v>Beverages</v>
      </c>
      <c r="H5225" s="33" t="n">
        <f aca="false">D5225*INDEX(Products!$E$2:$E$49,MATCH(C5225,Products!$A$2:$A$49,0))</f>
        <v>11340</v>
      </c>
      <c r="I5225" s="33" t="n">
        <f aca="false">D5225*INDEX(Products!$D$2:$D$49,MATCH(C5225,Products!$A$2:$A$49,0))*(1+INDEX(Assumptions!$B$16:$B$20,MATCH(B5225,Assumptions!$A$16:$A$20,0)))</f>
        <v>8922.96</v>
      </c>
      <c r="J5225" s="33" t="n">
        <f aca="false">H5225-I5225</f>
        <v>2417.04</v>
      </c>
      <c r="K5225" s="33" t="n">
        <f aca="false">IF(OR(E5225=0,E5225&gt;=7),0,D5225/(7-E5225)*E5225*INDEX(Products!$E$2:$E$49,MATCH(C5225,Products!$A$2:$A$49,0)))</f>
        <v>0</v>
      </c>
    </row>
    <row r="5226" customFormat="false" ht="15" hidden="false" customHeight="false" outlineLevel="0" collapsed="false">
      <c r="A5226" s="36" t="n">
        <v>46286</v>
      </c>
      <c r="B5226" s="24" t="s">
        <v>65</v>
      </c>
      <c r="C5226" s="24" t="s">
        <v>147</v>
      </c>
      <c r="D5226" s="33" t="n">
        <v>177</v>
      </c>
      <c r="E5226" s="24" t="n">
        <v>0</v>
      </c>
      <c r="F5226" s="37" t="n">
        <f aca="false">DATE(YEAR(A5226),MONTH(A5226),1)</f>
        <v>46266</v>
      </c>
      <c r="G5226" s="24" t="str">
        <f aca="false">INDEX(Products!$C$2:$C$49,MATCH(C5226,Products!$A$2:$A$49,0))</f>
        <v>Beverages</v>
      </c>
      <c r="H5226" s="33" t="n">
        <f aca="false">D5226*INDEX(Products!$E$2:$E$49,MATCH(C5226,Products!$A$2:$A$49,0))</f>
        <v>12390</v>
      </c>
      <c r="I5226" s="33" t="n">
        <f aca="false">D5226*INDEX(Products!$D$2:$D$49,MATCH(C5226,Products!$A$2:$A$49,0))*(1+INDEX(Assumptions!$B$16:$B$20,MATCH(B5226,Assumptions!$A$16:$A$20,0)))</f>
        <v>9749.16</v>
      </c>
      <c r="J5226" s="33" t="n">
        <f aca="false">H5226-I5226</f>
        <v>2640.84</v>
      </c>
      <c r="K5226" s="33" t="n">
        <f aca="false">IF(OR(E5226=0,E5226&gt;=7),0,D5226/(7-E5226)*E5226*INDEX(Products!$E$2:$E$49,MATCH(C5226,Products!$A$2:$A$49,0)))</f>
        <v>0</v>
      </c>
    </row>
    <row r="5227" customFormat="false" ht="15" hidden="false" customHeight="false" outlineLevel="0" collapsed="false">
      <c r="A5227" s="36" t="n">
        <v>46118</v>
      </c>
      <c r="B5227" s="24" t="s">
        <v>65</v>
      </c>
      <c r="C5227" s="24" t="s">
        <v>149</v>
      </c>
      <c r="D5227" s="33" t="n">
        <v>136</v>
      </c>
      <c r="E5227" s="24" t="n">
        <v>0</v>
      </c>
      <c r="F5227" s="37" t="n">
        <f aca="false">DATE(YEAR(A5227),MONTH(A5227),1)</f>
        <v>46113</v>
      </c>
      <c r="G5227" s="24" t="str">
        <f aca="false">INDEX(Products!$C$2:$C$49,MATCH(C5227,Products!$A$2:$A$49,0))</f>
        <v>Beverages</v>
      </c>
      <c r="H5227" s="33" t="n">
        <f aca="false">D5227*INDEX(Products!$E$2:$E$49,MATCH(C5227,Products!$A$2:$A$49,0))</f>
        <v>25840</v>
      </c>
      <c r="I5227" s="33" t="n">
        <f aca="false">D5227*INDEX(Products!$D$2:$D$49,MATCH(C5227,Products!$A$2:$A$49,0))*(1+INDEX(Assumptions!$B$16:$B$20,MATCH(B5227,Assumptions!$A$16:$A$20,0)))</f>
        <v>21085.44</v>
      </c>
      <c r="J5227" s="33" t="n">
        <f aca="false">H5227-I5227</f>
        <v>4754.56</v>
      </c>
      <c r="K5227" s="33" t="n">
        <f aca="false">IF(OR(E5227=0,E5227&gt;=7),0,D5227/(7-E5227)*E5227*INDEX(Products!$E$2:$E$49,MATCH(C5227,Products!$A$2:$A$49,0)))</f>
        <v>0</v>
      </c>
    </row>
    <row r="5228" customFormat="false" ht="15" hidden="false" customHeight="false" outlineLevel="0" collapsed="false">
      <c r="A5228" s="36" t="n">
        <v>46125</v>
      </c>
      <c r="B5228" s="24" t="s">
        <v>65</v>
      </c>
      <c r="C5228" s="24" t="s">
        <v>149</v>
      </c>
      <c r="D5228" s="33" t="n">
        <v>166</v>
      </c>
      <c r="E5228" s="24" t="n">
        <v>0</v>
      </c>
      <c r="F5228" s="37" t="n">
        <f aca="false">DATE(YEAR(A5228),MONTH(A5228),1)</f>
        <v>46113</v>
      </c>
      <c r="G5228" s="24" t="str">
        <f aca="false">INDEX(Products!$C$2:$C$49,MATCH(C5228,Products!$A$2:$A$49,0))</f>
        <v>Beverages</v>
      </c>
      <c r="H5228" s="33" t="n">
        <f aca="false">D5228*INDEX(Products!$E$2:$E$49,MATCH(C5228,Products!$A$2:$A$49,0))</f>
        <v>31540</v>
      </c>
      <c r="I5228" s="33" t="n">
        <f aca="false">D5228*INDEX(Products!$D$2:$D$49,MATCH(C5228,Products!$A$2:$A$49,0))*(1+INDEX(Assumptions!$B$16:$B$20,MATCH(B5228,Assumptions!$A$16:$A$20,0)))</f>
        <v>25736.64</v>
      </c>
      <c r="J5228" s="33" t="n">
        <f aca="false">H5228-I5228</f>
        <v>5803.36</v>
      </c>
      <c r="K5228" s="33" t="n">
        <f aca="false">IF(OR(E5228=0,E5228&gt;=7),0,D5228/(7-E5228)*E5228*INDEX(Products!$E$2:$E$49,MATCH(C5228,Products!$A$2:$A$49,0)))</f>
        <v>0</v>
      </c>
    </row>
    <row r="5229" customFormat="false" ht="15" hidden="false" customHeight="false" outlineLevel="0" collapsed="false">
      <c r="A5229" s="36" t="n">
        <v>46132</v>
      </c>
      <c r="B5229" s="24" t="s">
        <v>65</v>
      </c>
      <c r="C5229" s="24" t="s">
        <v>149</v>
      </c>
      <c r="D5229" s="33" t="n">
        <v>158</v>
      </c>
      <c r="E5229" s="24" t="n">
        <v>0</v>
      </c>
      <c r="F5229" s="37" t="n">
        <f aca="false">DATE(YEAR(A5229),MONTH(A5229),1)</f>
        <v>46113</v>
      </c>
      <c r="G5229" s="24" t="str">
        <f aca="false">INDEX(Products!$C$2:$C$49,MATCH(C5229,Products!$A$2:$A$49,0))</f>
        <v>Beverages</v>
      </c>
      <c r="H5229" s="33" t="n">
        <f aca="false">D5229*INDEX(Products!$E$2:$E$49,MATCH(C5229,Products!$A$2:$A$49,0))</f>
        <v>30020</v>
      </c>
      <c r="I5229" s="33" t="n">
        <f aca="false">D5229*INDEX(Products!$D$2:$D$49,MATCH(C5229,Products!$A$2:$A$49,0))*(1+INDEX(Assumptions!$B$16:$B$20,MATCH(B5229,Assumptions!$A$16:$A$20,0)))</f>
        <v>24496.32</v>
      </c>
      <c r="J5229" s="33" t="n">
        <f aca="false">H5229-I5229</f>
        <v>5523.68</v>
      </c>
      <c r="K5229" s="33" t="n">
        <f aca="false">IF(OR(E5229=0,E5229&gt;=7),0,D5229/(7-E5229)*E5229*INDEX(Products!$E$2:$E$49,MATCH(C5229,Products!$A$2:$A$49,0)))</f>
        <v>0</v>
      </c>
    </row>
    <row r="5230" customFormat="false" ht="15" hidden="false" customHeight="false" outlineLevel="0" collapsed="false">
      <c r="A5230" s="36" t="n">
        <v>46139</v>
      </c>
      <c r="B5230" s="24" t="s">
        <v>65</v>
      </c>
      <c r="C5230" s="24" t="s">
        <v>149</v>
      </c>
      <c r="D5230" s="33" t="n">
        <v>196</v>
      </c>
      <c r="E5230" s="24" t="n">
        <v>0</v>
      </c>
      <c r="F5230" s="37" t="n">
        <f aca="false">DATE(YEAR(A5230),MONTH(A5230),1)</f>
        <v>46113</v>
      </c>
      <c r="G5230" s="24" t="str">
        <f aca="false">INDEX(Products!$C$2:$C$49,MATCH(C5230,Products!$A$2:$A$49,0))</f>
        <v>Beverages</v>
      </c>
      <c r="H5230" s="33" t="n">
        <f aca="false">D5230*INDEX(Products!$E$2:$E$49,MATCH(C5230,Products!$A$2:$A$49,0))</f>
        <v>37240</v>
      </c>
      <c r="I5230" s="33" t="n">
        <f aca="false">D5230*INDEX(Products!$D$2:$D$49,MATCH(C5230,Products!$A$2:$A$49,0))*(1+INDEX(Assumptions!$B$16:$B$20,MATCH(B5230,Assumptions!$A$16:$A$20,0)))</f>
        <v>30387.84</v>
      </c>
      <c r="J5230" s="33" t="n">
        <f aca="false">H5230-I5230</f>
        <v>6852.16</v>
      </c>
      <c r="K5230" s="33" t="n">
        <f aca="false">IF(OR(E5230=0,E5230&gt;=7),0,D5230/(7-E5230)*E5230*INDEX(Products!$E$2:$E$49,MATCH(C5230,Products!$A$2:$A$49,0)))</f>
        <v>0</v>
      </c>
    </row>
    <row r="5231" customFormat="false" ht="15" hidden="false" customHeight="false" outlineLevel="0" collapsed="false">
      <c r="A5231" s="36" t="n">
        <v>46146</v>
      </c>
      <c r="B5231" s="24" t="s">
        <v>65</v>
      </c>
      <c r="C5231" s="24" t="s">
        <v>149</v>
      </c>
      <c r="D5231" s="33" t="n">
        <v>159</v>
      </c>
      <c r="E5231" s="24" t="n">
        <v>0</v>
      </c>
      <c r="F5231" s="37" t="n">
        <f aca="false">DATE(YEAR(A5231),MONTH(A5231),1)</f>
        <v>46143</v>
      </c>
      <c r="G5231" s="24" t="str">
        <f aca="false">INDEX(Products!$C$2:$C$49,MATCH(C5231,Products!$A$2:$A$49,0))</f>
        <v>Beverages</v>
      </c>
      <c r="H5231" s="33" t="n">
        <f aca="false">D5231*INDEX(Products!$E$2:$E$49,MATCH(C5231,Products!$A$2:$A$49,0))</f>
        <v>30210</v>
      </c>
      <c r="I5231" s="33" t="n">
        <f aca="false">D5231*INDEX(Products!$D$2:$D$49,MATCH(C5231,Products!$A$2:$A$49,0))*(1+INDEX(Assumptions!$B$16:$B$20,MATCH(B5231,Assumptions!$A$16:$A$20,0)))</f>
        <v>24651.36</v>
      </c>
      <c r="J5231" s="33" t="n">
        <f aca="false">H5231-I5231</f>
        <v>5558.64</v>
      </c>
      <c r="K5231" s="33" t="n">
        <f aca="false">IF(OR(E5231=0,E5231&gt;=7),0,D5231/(7-E5231)*E5231*INDEX(Products!$E$2:$E$49,MATCH(C5231,Products!$A$2:$A$49,0)))</f>
        <v>0</v>
      </c>
    </row>
    <row r="5232" customFormat="false" ht="15" hidden="false" customHeight="false" outlineLevel="0" collapsed="false">
      <c r="A5232" s="36" t="n">
        <v>46153</v>
      </c>
      <c r="B5232" s="24" t="s">
        <v>65</v>
      </c>
      <c r="C5232" s="24" t="s">
        <v>149</v>
      </c>
      <c r="D5232" s="33" t="n">
        <v>154</v>
      </c>
      <c r="E5232" s="24" t="n">
        <v>0</v>
      </c>
      <c r="F5232" s="37" t="n">
        <f aca="false">DATE(YEAR(A5232),MONTH(A5232),1)</f>
        <v>46143</v>
      </c>
      <c r="G5232" s="24" t="str">
        <f aca="false">INDEX(Products!$C$2:$C$49,MATCH(C5232,Products!$A$2:$A$49,0))</f>
        <v>Beverages</v>
      </c>
      <c r="H5232" s="33" t="n">
        <f aca="false">D5232*INDEX(Products!$E$2:$E$49,MATCH(C5232,Products!$A$2:$A$49,0))</f>
        <v>29260</v>
      </c>
      <c r="I5232" s="33" t="n">
        <f aca="false">D5232*INDEX(Products!$D$2:$D$49,MATCH(C5232,Products!$A$2:$A$49,0))*(1+INDEX(Assumptions!$B$16:$B$20,MATCH(B5232,Assumptions!$A$16:$A$20,0)))</f>
        <v>23876.16</v>
      </c>
      <c r="J5232" s="33" t="n">
        <f aca="false">H5232-I5232</f>
        <v>5383.84</v>
      </c>
      <c r="K5232" s="33" t="n">
        <f aca="false">IF(OR(E5232=0,E5232&gt;=7),0,D5232/(7-E5232)*E5232*INDEX(Products!$E$2:$E$49,MATCH(C5232,Products!$A$2:$A$49,0)))</f>
        <v>0</v>
      </c>
    </row>
    <row r="5233" customFormat="false" ht="15" hidden="false" customHeight="false" outlineLevel="0" collapsed="false">
      <c r="A5233" s="36" t="n">
        <v>46160</v>
      </c>
      <c r="B5233" s="24" t="s">
        <v>65</v>
      </c>
      <c r="C5233" s="24" t="s">
        <v>149</v>
      </c>
      <c r="D5233" s="33" t="n">
        <v>168</v>
      </c>
      <c r="E5233" s="24" t="n">
        <v>0</v>
      </c>
      <c r="F5233" s="37" t="n">
        <f aca="false">DATE(YEAR(A5233),MONTH(A5233),1)</f>
        <v>46143</v>
      </c>
      <c r="G5233" s="24" t="str">
        <f aca="false">INDEX(Products!$C$2:$C$49,MATCH(C5233,Products!$A$2:$A$49,0))</f>
        <v>Beverages</v>
      </c>
      <c r="H5233" s="33" t="n">
        <f aca="false">D5233*INDEX(Products!$E$2:$E$49,MATCH(C5233,Products!$A$2:$A$49,0))</f>
        <v>31920</v>
      </c>
      <c r="I5233" s="33" t="n">
        <f aca="false">D5233*INDEX(Products!$D$2:$D$49,MATCH(C5233,Products!$A$2:$A$49,0))*(1+INDEX(Assumptions!$B$16:$B$20,MATCH(B5233,Assumptions!$A$16:$A$20,0)))</f>
        <v>26046.72</v>
      </c>
      <c r="J5233" s="33" t="n">
        <f aca="false">H5233-I5233</f>
        <v>5873.28</v>
      </c>
      <c r="K5233" s="33" t="n">
        <f aca="false">IF(OR(E5233=0,E5233&gt;=7),0,D5233/(7-E5233)*E5233*INDEX(Products!$E$2:$E$49,MATCH(C5233,Products!$A$2:$A$49,0)))</f>
        <v>0</v>
      </c>
    </row>
    <row r="5234" customFormat="false" ht="15" hidden="false" customHeight="false" outlineLevel="0" collapsed="false">
      <c r="A5234" s="36" t="n">
        <v>46167</v>
      </c>
      <c r="B5234" s="24" t="s">
        <v>65</v>
      </c>
      <c r="C5234" s="24" t="s">
        <v>149</v>
      </c>
      <c r="D5234" s="33" t="n">
        <v>157</v>
      </c>
      <c r="E5234" s="24" t="n">
        <v>0</v>
      </c>
      <c r="F5234" s="37" t="n">
        <f aca="false">DATE(YEAR(A5234),MONTH(A5234),1)</f>
        <v>46143</v>
      </c>
      <c r="G5234" s="24" t="str">
        <f aca="false">INDEX(Products!$C$2:$C$49,MATCH(C5234,Products!$A$2:$A$49,0))</f>
        <v>Beverages</v>
      </c>
      <c r="H5234" s="33" t="n">
        <f aca="false">D5234*INDEX(Products!$E$2:$E$49,MATCH(C5234,Products!$A$2:$A$49,0))</f>
        <v>29830</v>
      </c>
      <c r="I5234" s="33" t="n">
        <f aca="false">D5234*INDEX(Products!$D$2:$D$49,MATCH(C5234,Products!$A$2:$A$49,0))*(1+INDEX(Assumptions!$B$16:$B$20,MATCH(B5234,Assumptions!$A$16:$A$20,0)))</f>
        <v>24341.28</v>
      </c>
      <c r="J5234" s="33" t="n">
        <f aca="false">H5234-I5234</f>
        <v>5488.72</v>
      </c>
      <c r="K5234" s="33" t="n">
        <f aca="false">IF(OR(E5234=0,E5234&gt;=7),0,D5234/(7-E5234)*E5234*INDEX(Products!$E$2:$E$49,MATCH(C5234,Products!$A$2:$A$49,0)))</f>
        <v>0</v>
      </c>
    </row>
    <row r="5235" customFormat="false" ht="15" hidden="false" customHeight="false" outlineLevel="0" collapsed="false">
      <c r="A5235" s="36" t="n">
        <v>46174</v>
      </c>
      <c r="B5235" s="24" t="s">
        <v>65</v>
      </c>
      <c r="C5235" s="24" t="s">
        <v>149</v>
      </c>
      <c r="D5235" s="33" t="n">
        <v>153</v>
      </c>
      <c r="E5235" s="24" t="n">
        <v>0</v>
      </c>
      <c r="F5235" s="37" t="n">
        <f aca="false">DATE(YEAR(A5235),MONTH(A5235),1)</f>
        <v>46174</v>
      </c>
      <c r="G5235" s="24" t="str">
        <f aca="false">INDEX(Products!$C$2:$C$49,MATCH(C5235,Products!$A$2:$A$49,0))</f>
        <v>Beverages</v>
      </c>
      <c r="H5235" s="33" t="n">
        <f aca="false">D5235*INDEX(Products!$E$2:$E$49,MATCH(C5235,Products!$A$2:$A$49,0))</f>
        <v>29070</v>
      </c>
      <c r="I5235" s="33" t="n">
        <f aca="false">D5235*INDEX(Products!$D$2:$D$49,MATCH(C5235,Products!$A$2:$A$49,0))*(1+INDEX(Assumptions!$B$16:$B$20,MATCH(B5235,Assumptions!$A$16:$A$20,0)))</f>
        <v>23721.12</v>
      </c>
      <c r="J5235" s="33" t="n">
        <f aca="false">H5235-I5235</f>
        <v>5348.88</v>
      </c>
      <c r="K5235" s="33" t="n">
        <f aca="false">IF(OR(E5235=0,E5235&gt;=7),0,D5235/(7-E5235)*E5235*INDEX(Products!$E$2:$E$49,MATCH(C5235,Products!$A$2:$A$49,0)))</f>
        <v>0</v>
      </c>
    </row>
    <row r="5236" customFormat="false" ht="15" hidden="false" customHeight="false" outlineLevel="0" collapsed="false">
      <c r="A5236" s="36" t="n">
        <v>46181</v>
      </c>
      <c r="B5236" s="24" t="s">
        <v>65</v>
      </c>
      <c r="C5236" s="24" t="s">
        <v>149</v>
      </c>
      <c r="D5236" s="33" t="n">
        <v>139</v>
      </c>
      <c r="E5236" s="24" t="n">
        <v>0</v>
      </c>
      <c r="F5236" s="37" t="n">
        <f aca="false">DATE(YEAR(A5236),MONTH(A5236),1)</f>
        <v>46174</v>
      </c>
      <c r="G5236" s="24" t="str">
        <f aca="false">INDEX(Products!$C$2:$C$49,MATCH(C5236,Products!$A$2:$A$49,0))</f>
        <v>Beverages</v>
      </c>
      <c r="H5236" s="33" t="n">
        <f aca="false">D5236*INDEX(Products!$E$2:$E$49,MATCH(C5236,Products!$A$2:$A$49,0))</f>
        <v>26410</v>
      </c>
      <c r="I5236" s="33" t="n">
        <f aca="false">D5236*INDEX(Products!$D$2:$D$49,MATCH(C5236,Products!$A$2:$A$49,0))*(1+INDEX(Assumptions!$B$16:$B$20,MATCH(B5236,Assumptions!$A$16:$A$20,0)))</f>
        <v>21550.56</v>
      </c>
      <c r="J5236" s="33" t="n">
        <f aca="false">H5236-I5236</f>
        <v>4859.44</v>
      </c>
      <c r="K5236" s="33" t="n">
        <f aca="false">IF(OR(E5236=0,E5236&gt;=7),0,D5236/(7-E5236)*E5236*INDEX(Products!$E$2:$E$49,MATCH(C5236,Products!$A$2:$A$49,0)))</f>
        <v>0</v>
      </c>
    </row>
    <row r="5237" customFormat="false" ht="15" hidden="false" customHeight="false" outlineLevel="0" collapsed="false">
      <c r="A5237" s="36" t="n">
        <v>46188</v>
      </c>
      <c r="B5237" s="24" t="s">
        <v>65</v>
      </c>
      <c r="C5237" s="24" t="s">
        <v>149</v>
      </c>
      <c r="D5237" s="33" t="n">
        <v>144</v>
      </c>
      <c r="E5237" s="24" t="n">
        <v>0</v>
      </c>
      <c r="F5237" s="37" t="n">
        <f aca="false">DATE(YEAR(A5237),MONTH(A5237),1)</f>
        <v>46174</v>
      </c>
      <c r="G5237" s="24" t="str">
        <f aca="false">INDEX(Products!$C$2:$C$49,MATCH(C5237,Products!$A$2:$A$49,0))</f>
        <v>Beverages</v>
      </c>
      <c r="H5237" s="33" t="n">
        <f aca="false">D5237*INDEX(Products!$E$2:$E$49,MATCH(C5237,Products!$A$2:$A$49,0))</f>
        <v>27360</v>
      </c>
      <c r="I5237" s="33" t="n">
        <f aca="false">D5237*INDEX(Products!$D$2:$D$49,MATCH(C5237,Products!$A$2:$A$49,0))*(1+INDEX(Assumptions!$B$16:$B$20,MATCH(B5237,Assumptions!$A$16:$A$20,0)))</f>
        <v>22325.76</v>
      </c>
      <c r="J5237" s="33" t="n">
        <f aca="false">H5237-I5237</f>
        <v>5034.24</v>
      </c>
      <c r="K5237" s="33" t="n">
        <f aca="false">IF(OR(E5237=0,E5237&gt;=7),0,D5237/(7-E5237)*E5237*INDEX(Products!$E$2:$E$49,MATCH(C5237,Products!$A$2:$A$49,0)))</f>
        <v>0</v>
      </c>
    </row>
    <row r="5238" customFormat="false" ht="15" hidden="false" customHeight="false" outlineLevel="0" collapsed="false">
      <c r="A5238" s="36" t="n">
        <v>46195</v>
      </c>
      <c r="B5238" s="24" t="s">
        <v>65</v>
      </c>
      <c r="C5238" s="24" t="s">
        <v>149</v>
      </c>
      <c r="D5238" s="33" t="n">
        <v>145</v>
      </c>
      <c r="E5238" s="24" t="n">
        <v>0</v>
      </c>
      <c r="F5238" s="37" t="n">
        <f aca="false">DATE(YEAR(A5238),MONTH(A5238),1)</f>
        <v>46174</v>
      </c>
      <c r="G5238" s="24" t="str">
        <f aca="false">INDEX(Products!$C$2:$C$49,MATCH(C5238,Products!$A$2:$A$49,0))</f>
        <v>Beverages</v>
      </c>
      <c r="H5238" s="33" t="n">
        <f aca="false">D5238*INDEX(Products!$E$2:$E$49,MATCH(C5238,Products!$A$2:$A$49,0))</f>
        <v>27550</v>
      </c>
      <c r="I5238" s="33" t="n">
        <f aca="false">D5238*INDEX(Products!$D$2:$D$49,MATCH(C5238,Products!$A$2:$A$49,0))*(1+INDEX(Assumptions!$B$16:$B$20,MATCH(B5238,Assumptions!$A$16:$A$20,0)))</f>
        <v>22480.8</v>
      </c>
      <c r="J5238" s="33" t="n">
        <f aca="false">H5238-I5238</f>
        <v>5069.2</v>
      </c>
      <c r="K5238" s="33" t="n">
        <f aca="false">IF(OR(E5238=0,E5238&gt;=7),0,D5238/(7-E5238)*E5238*INDEX(Products!$E$2:$E$49,MATCH(C5238,Products!$A$2:$A$49,0)))</f>
        <v>0</v>
      </c>
    </row>
    <row r="5239" customFormat="false" ht="15" hidden="false" customHeight="false" outlineLevel="0" collapsed="false">
      <c r="A5239" s="36" t="n">
        <v>46202</v>
      </c>
      <c r="B5239" s="24" t="s">
        <v>65</v>
      </c>
      <c r="C5239" s="24" t="s">
        <v>149</v>
      </c>
      <c r="D5239" s="33" t="n">
        <v>137</v>
      </c>
      <c r="E5239" s="24" t="n">
        <v>0</v>
      </c>
      <c r="F5239" s="37" t="n">
        <f aca="false">DATE(YEAR(A5239),MONTH(A5239),1)</f>
        <v>46174</v>
      </c>
      <c r="G5239" s="24" t="str">
        <f aca="false">INDEX(Products!$C$2:$C$49,MATCH(C5239,Products!$A$2:$A$49,0))</f>
        <v>Beverages</v>
      </c>
      <c r="H5239" s="33" t="n">
        <f aca="false">D5239*INDEX(Products!$E$2:$E$49,MATCH(C5239,Products!$A$2:$A$49,0))</f>
        <v>26030</v>
      </c>
      <c r="I5239" s="33" t="n">
        <f aca="false">D5239*INDEX(Products!$D$2:$D$49,MATCH(C5239,Products!$A$2:$A$49,0))*(1+INDEX(Assumptions!$B$16:$B$20,MATCH(B5239,Assumptions!$A$16:$A$20,0)))</f>
        <v>21240.48</v>
      </c>
      <c r="J5239" s="33" t="n">
        <f aca="false">H5239-I5239</f>
        <v>4789.52</v>
      </c>
      <c r="K5239" s="33" t="n">
        <f aca="false">IF(OR(E5239=0,E5239&gt;=7),0,D5239/(7-E5239)*E5239*INDEX(Products!$E$2:$E$49,MATCH(C5239,Products!$A$2:$A$49,0)))</f>
        <v>0</v>
      </c>
    </row>
    <row r="5240" customFormat="false" ht="15" hidden="false" customHeight="false" outlineLevel="0" collapsed="false">
      <c r="A5240" s="36" t="n">
        <v>46209</v>
      </c>
      <c r="B5240" s="24" t="s">
        <v>65</v>
      </c>
      <c r="C5240" s="24" t="s">
        <v>149</v>
      </c>
      <c r="D5240" s="33" t="n">
        <v>138</v>
      </c>
      <c r="E5240" s="24" t="n">
        <v>0</v>
      </c>
      <c r="F5240" s="37" t="n">
        <f aca="false">DATE(YEAR(A5240),MONTH(A5240),1)</f>
        <v>46204</v>
      </c>
      <c r="G5240" s="24" t="str">
        <f aca="false">INDEX(Products!$C$2:$C$49,MATCH(C5240,Products!$A$2:$A$49,0))</f>
        <v>Beverages</v>
      </c>
      <c r="H5240" s="33" t="n">
        <f aca="false">D5240*INDEX(Products!$E$2:$E$49,MATCH(C5240,Products!$A$2:$A$49,0))</f>
        <v>26220</v>
      </c>
      <c r="I5240" s="33" t="n">
        <f aca="false">D5240*INDEX(Products!$D$2:$D$49,MATCH(C5240,Products!$A$2:$A$49,0))*(1+INDEX(Assumptions!$B$16:$B$20,MATCH(B5240,Assumptions!$A$16:$A$20,0)))</f>
        <v>21395.52</v>
      </c>
      <c r="J5240" s="33" t="n">
        <f aca="false">H5240-I5240</f>
        <v>4824.48</v>
      </c>
      <c r="K5240" s="33" t="n">
        <f aca="false">IF(OR(E5240=0,E5240&gt;=7),0,D5240/(7-E5240)*E5240*INDEX(Products!$E$2:$E$49,MATCH(C5240,Products!$A$2:$A$49,0)))</f>
        <v>0</v>
      </c>
    </row>
    <row r="5241" customFormat="false" ht="15" hidden="false" customHeight="false" outlineLevel="0" collapsed="false">
      <c r="A5241" s="36" t="n">
        <v>46216</v>
      </c>
      <c r="B5241" s="24" t="s">
        <v>65</v>
      </c>
      <c r="C5241" s="24" t="s">
        <v>149</v>
      </c>
      <c r="D5241" s="33" t="n">
        <v>100</v>
      </c>
      <c r="E5241" s="24" t="n">
        <v>0</v>
      </c>
      <c r="F5241" s="37" t="n">
        <f aca="false">DATE(YEAR(A5241),MONTH(A5241),1)</f>
        <v>46204</v>
      </c>
      <c r="G5241" s="24" t="str">
        <f aca="false">INDEX(Products!$C$2:$C$49,MATCH(C5241,Products!$A$2:$A$49,0))</f>
        <v>Beverages</v>
      </c>
      <c r="H5241" s="33" t="n">
        <f aca="false">D5241*INDEX(Products!$E$2:$E$49,MATCH(C5241,Products!$A$2:$A$49,0))</f>
        <v>19000</v>
      </c>
      <c r="I5241" s="33" t="n">
        <f aca="false">D5241*INDEX(Products!$D$2:$D$49,MATCH(C5241,Products!$A$2:$A$49,0))*(1+INDEX(Assumptions!$B$16:$B$20,MATCH(B5241,Assumptions!$A$16:$A$20,0)))</f>
        <v>15504</v>
      </c>
      <c r="J5241" s="33" t="n">
        <f aca="false">H5241-I5241</f>
        <v>3496</v>
      </c>
      <c r="K5241" s="33" t="n">
        <f aca="false">IF(OR(E5241=0,E5241&gt;=7),0,D5241/(7-E5241)*E5241*INDEX(Products!$E$2:$E$49,MATCH(C5241,Products!$A$2:$A$49,0)))</f>
        <v>0</v>
      </c>
    </row>
    <row r="5242" customFormat="false" ht="15" hidden="false" customHeight="false" outlineLevel="0" collapsed="false">
      <c r="A5242" s="36" t="n">
        <v>46223</v>
      </c>
      <c r="B5242" s="24" t="s">
        <v>65</v>
      </c>
      <c r="C5242" s="24" t="s">
        <v>149</v>
      </c>
      <c r="D5242" s="33" t="n">
        <v>139</v>
      </c>
      <c r="E5242" s="24" t="n">
        <v>0</v>
      </c>
      <c r="F5242" s="37" t="n">
        <f aca="false">DATE(YEAR(A5242),MONTH(A5242),1)</f>
        <v>46204</v>
      </c>
      <c r="G5242" s="24" t="str">
        <f aca="false">INDEX(Products!$C$2:$C$49,MATCH(C5242,Products!$A$2:$A$49,0))</f>
        <v>Beverages</v>
      </c>
      <c r="H5242" s="33" t="n">
        <f aca="false">D5242*INDEX(Products!$E$2:$E$49,MATCH(C5242,Products!$A$2:$A$49,0))</f>
        <v>26410</v>
      </c>
      <c r="I5242" s="33" t="n">
        <f aca="false">D5242*INDEX(Products!$D$2:$D$49,MATCH(C5242,Products!$A$2:$A$49,0))*(1+INDEX(Assumptions!$B$16:$B$20,MATCH(B5242,Assumptions!$A$16:$A$20,0)))</f>
        <v>21550.56</v>
      </c>
      <c r="J5242" s="33" t="n">
        <f aca="false">H5242-I5242</f>
        <v>4859.44</v>
      </c>
      <c r="K5242" s="33" t="n">
        <f aca="false">IF(OR(E5242=0,E5242&gt;=7),0,D5242/(7-E5242)*E5242*INDEX(Products!$E$2:$E$49,MATCH(C5242,Products!$A$2:$A$49,0)))</f>
        <v>0</v>
      </c>
    </row>
    <row r="5243" customFormat="false" ht="15" hidden="false" customHeight="false" outlineLevel="0" collapsed="false">
      <c r="A5243" s="36" t="n">
        <v>46230</v>
      </c>
      <c r="B5243" s="24" t="s">
        <v>65</v>
      </c>
      <c r="C5243" s="24" t="s">
        <v>149</v>
      </c>
      <c r="D5243" s="33" t="n">
        <v>134</v>
      </c>
      <c r="E5243" s="24" t="n">
        <v>0</v>
      </c>
      <c r="F5243" s="37" t="n">
        <f aca="false">DATE(YEAR(A5243),MONTH(A5243),1)</f>
        <v>46204</v>
      </c>
      <c r="G5243" s="24" t="str">
        <f aca="false">INDEX(Products!$C$2:$C$49,MATCH(C5243,Products!$A$2:$A$49,0))</f>
        <v>Beverages</v>
      </c>
      <c r="H5243" s="33" t="n">
        <f aca="false">D5243*INDEX(Products!$E$2:$E$49,MATCH(C5243,Products!$A$2:$A$49,0))</f>
        <v>25460</v>
      </c>
      <c r="I5243" s="33" t="n">
        <f aca="false">D5243*INDEX(Products!$D$2:$D$49,MATCH(C5243,Products!$A$2:$A$49,0))*(1+INDEX(Assumptions!$B$16:$B$20,MATCH(B5243,Assumptions!$A$16:$A$20,0)))</f>
        <v>20775.36</v>
      </c>
      <c r="J5243" s="33" t="n">
        <f aca="false">H5243-I5243</f>
        <v>4684.64</v>
      </c>
      <c r="K5243" s="33" t="n">
        <f aca="false">IF(OR(E5243=0,E5243&gt;=7),0,D5243/(7-E5243)*E5243*INDEX(Products!$E$2:$E$49,MATCH(C5243,Products!$A$2:$A$49,0)))</f>
        <v>0</v>
      </c>
    </row>
    <row r="5244" customFormat="false" ht="15" hidden="false" customHeight="false" outlineLevel="0" collapsed="false">
      <c r="A5244" s="36" t="n">
        <v>46237</v>
      </c>
      <c r="B5244" s="24" t="s">
        <v>65</v>
      </c>
      <c r="C5244" s="24" t="s">
        <v>149</v>
      </c>
      <c r="D5244" s="33" t="n">
        <v>129</v>
      </c>
      <c r="E5244" s="24" t="n">
        <v>0</v>
      </c>
      <c r="F5244" s="37" t="n">
        <f aca="false">DATE(YEAR(A5244),MONTH(A5244),1)</f>
        <v>46235</v>
      </c>
      <c r="G5244" s="24" t="str">
        <f aca="false">INDEX(Products!$C$2:$C$49,MATCH(C5244,Products!$A$2:$A$49,0))</f>
        <v>Beverages</v>
      </c>
      <c r="H5244" s="33" t="n">
        <f aca="false">D5244*INDEX(Products!$E$2:$E$49,MATCH(C5244,Products!$A$2:$A$49,0))</f>
        <v>24510</v>
      </c>
      <c r="I5244" s="33" t="n">
        <f aca="false">D5244*INDEX(Products!$D$2:$D$49,MATCH(C5244,Products!$A$2:$A$49,0))*(1+INDEX(Assumptions!$B$16:$B$20,MATCH(B5244,Assumptions!$A$16:$A$20,0)))</f>
        <v>20000.16</v>
      </c>
      <c r="J5244" s="33" t="n">
        <f aca="false">H5244-I5244</f>
        <v>4509.84</v>
      </c>
      <c r="K5244" s="33" t="n">
        <f aca="false">IF(OR(E5244=0,E5244&gt;=7),0,D5244/(7-E5244)*E5244*INDEX(Products!$E$2:$E$49,MATCH(C5244,Products!$A$2:$A$49,0)))</f>
        <v>0</v>
      </c>
    </row>
    <row r="5245" customFormat="false" ht="15" hidden="false" customHeight="false" outlineLevel="0" collapsed="false">
      <c r="A5245" s="36" t="n">
        <v>46244</v>
      </c>
      <c r="B5245" s="24" t="s">
        <v>65</v>
      </c>
      <c r="C5245" s="24" t="s">
        <v>149</v>
      </c>
      <c r="D5245" s="33" t="n">
        <v>119</v>
      </c>
      <c r="E5245" s="24" t="n">
        <v>0</v>
      </c>
      <c r="F5245" s="37" t="n">
        <f aca="false">DATE(YEAR(A5245),MONTH(A5245),1)</f>
        <v>46235</v>
      </c>
      <c r="G5245" s="24" t="str">
        <f aca="false">INDEX(Products!$C$2:$C$49,MATCH(C5245,Products!$A$2:$A$49,0))</f>
        <v>Beverages</v>
      </c>
      <c r="H5245" s="33" t="n">
        <f aca="false">D5245*INDEX(Products!$E$2:$E$49,MATCH(C5245,Products!$A$2:$A$49,0))</f>
        <v>22610</v>
      </c>
      <c r="I5245" s="33" t="n">
        <f aca="false">D5245*INDEX(Products!$D$2:$D$49,MATCH(C5245,Products!$A$2:$A$49,0))*(1+INDEX(Assumptions!$B$16:$B$20,MATCH(B5245,Assumptions!$A$16:$A$20,0)))</f>
        <v>18449.76</v>
      </c>
      <c r="J5245" s="33" t="n">
        <f aca="false">H5245-I5245</f>
        <v>4160.24</v>
      </c>
      <c r="K5245" s="33" t="n">
        <f aca="false">IF(OR(E5245=0,E5245&gt;=7),0,D5245/(7-E5245)*E5245*INDEX(Products!$E$2:$E$49,MATCH(C5245,Products!$A$2:$A$49,0)))</f>
        <v>0</v>
      </c>
    </row>
    <row r="5246" customFormat="false" ht="15" hidden="false" customHeight="false" outlineLevel="0" collapsed="false">
      <c r="A5246" s="36" t="n">
        <v>46251</v>
      </c>
      <c r="B5246" s="24" t="s">
        <v>65</v>
      </c>
      <c r="C5246" s="24" t="s">
        <v>149</v>
      </c>
      <c r="D5246" s="33" t="n">
        <v>125</v>
      </c>
      <c r="E5246" s="24" t="n">
        <v>0</v>
      </c>
      <c r="F5246" s="37" t="n">
        <f aca="false">DATE(YEAR(A5246),MONTH(A5246),1)</f>
        <v>46235</v>
      </c>
      <c r="G5246" s="24" t="str">
        <f aca="false">INDEX(Products!$C$2:$C$49,MATCH(C5246,Products!$A$2:$A$49,0))</f>
        <v>Beverages</v>
      </c>
      <c r="H5246" s="33" t="n">
        <f aca="false">D5246*INDEX(Products!$E$2:$E$49,MATCH(C5246,Products!$A$2:$A$49,0))</f>
        <v>23750</v>
      </c>
      <c r="I5246" s="33" t="n">
        <f aca="false">D5246*INDEX(Products!$D$2:$D$49,MATCH(C5246,Products!$A$2:$A$49,0))*(1+INDEX(Assumptions!$B$16:$B$20,MATCH(B5246,Assumptions!$A$16:$A$20,0)))</f>
        <v>19380</v>
      </c>
      <c r="J5246" s="33" t="n">
        <f aca="false">H5246-I5246</f>
        <v>4370</v>
      </c>
      <c r="K5246" s="33" t="n">
        <f aca="false">IF(OR(E5246=0,E5246&gt;=7),0,D5246/(7-E5246)*E5246*INDEX(Products!$E$2:$E$49,MATCH(C5246,Products!$A$2:$A$49,0)))</f>
        <v>0</v>
      </c>
    </row>
    <row r="5247" customFormat="false" ht="15" hidden="false" customHeight="false" outlineLevel="0" collapsed="false">
      <c r="A5247" s="36" t="n">
        <v>46258</v>
      </c>
      <c r="B5247" s="24" t="s">
        <v>65</v>
      </c>
      <c r="C5247" s="24" t="s">
        <v>149</v>
      </c>
      <c r="D5247" s="33" t="n">
        <v>111</v>
      </c>
      <c r="E5247" s="24" t="n">
        <v>0</v>
      </c>
      <c r="F5247" s="37" t="n">
        <f aca="false">DATE(YEAR(A5247),MONTH(A5247),1)</f>
        <v>46235</v>
      </c>
      <c r="G5247" s="24" t="str">
        <f aca="false">INDEX(Products!$C$2:$C$49,MATCH(C5247,Products!$A$2:$A$49,0))</f>
        <v>Beverages</v>
      </c>
      <c r="H5247" s="33" t="n">
        <f aca="false">D5247*INDEX(Products!$E$2:$E$49,MATCH(C5247,Products!$A$2:$A$49,0))</f>
        <v>21090</v>
      </c>
      <c r="I5247" s="33" t="n">
        <f aca="false">D5247*INDEX(Products!$D$2:$D$49,MATCH(C5247,Products!$A$2:$A$49,0))*(1+INDEX(Assumptions!$B$16:$B$20,MATCH(B5247,Assumptions!$A$16:$A$20,0)))</f>
        <v>17209.44</v>
      </c>
      <c r="J5247" s="33" t="n">
        <f aca="false">H5247-I5247</f>
        <v>3880.56</v>
      </c>
      <c r="K5247" s="33" t="n">
        <f aca="false">IF(OR(E5247=0,E5247&gt;=7),0,D5247/(7-E5247)*E5247*INDEX(Products!$E$2:$E$49,MATCH(C5247,Products!$A$2:$A$49,0)))</f>
        <v>0</v>
      </c>
    </row>
    <row r="5248" customFormat="false" ht="15" hidden="false" customHeight="false" outlineLevel="0" collapsed="false">
      <c r="A5248" s="36" t="n">
        <v>46265</v>
      </c>
      <c r="B5248" s="24" t="s">
        <v>65</v>
      </c>
      <c r="C5248" s="24" t="s">
        <v>149</v>
      </c>
      <c r="D5248" s="33" t="n">
        <v>120</v>
      </c>
      <c r="E5248" s="24" t="n">
        <v>0</v>
      </c>
      <c r="F5248" s="37" t="n">
        <f aca="false">DATE(YEAR(A5248),MONTH(A5248),1)</f>
        <v>46235</v>
      </c>
      <c r="G5248" s="24" t="str">
        <f aca="false">INDEX(Products!$C$2:$C$49,MATCH(C5248,Products!$A$2:$A$49,0))</f>
        <v>Beverages</v>
      </c>
      <c r="H5248" s="33" t="n">
        <f aca="false">D5248*INDEX(Products!$E$2:$E$49,MATCH(C5248,Products!$A$2:$A$49,0))</f>
        <v>22800</v>
      </c>
      <c r="I5248" s="33" t="n">
        <f aca="false">D5248*INDEX(Products!$D$2:$D$49,MATCH(C5248,Products!$A$2:$A$49,0))*(1+INDEX(Assumptions!$B$16:$B$20,MATCH(B5248,Assumptions!$A$16:$A$20,0)))</f>
        <v>18604.8</v>
      </c>
      <c r="J5248" s="33" t="n">
        <f aca="false">H5248-I5248</f>
        <v>4195.2</v>
      </c>
      <c r="K5248" s="33" t="n">
        <f aca="false">IF(OR(E5248=0,E5248&gt;=7),0,D5248/(7-E5248)*E5248*INDEX(Products!$E$2:$E$49,MATCH(C5248,Products!$A$2:$A$49,0)))</f>
        <v>0</v>
      </c>
    </row>
    <row r="5249" customFormat="false" ht="15" hidden="false" customHeight="false" outlineLevel="0" collapsed="false">
      <c r="A5249" s="36" t="n">
        <v>46272</v>
      </c>
      <c r="B5249" s="24" t="s">
        <v>65</v>
      </c>
      <c r="C5249" s="24" t="s">
        <v>149</v>
      </c>
      <c r="D5249" s="33" t="n">
        <v>102</v>
      </c>
      <c r="E5249" s="24" t="n">
        <v>0</v>
      </c>
      <c r="F5249" s="37" t="n">
        <f aca="false">DATE(YEAR(A5249),MONTH(A5249),1)</f>
        <v>46266</v>
      </c>
      <c r="G5249" s="24" t="str">
        <f aca="false">INDEX(Products!$C$2:$C$49,MATCH(C5249,Products!$A$2:$A$49,0))</f>
        <v>Beverages</v>
      </c>
      <c r="H5249" s="33" t="n">
        <f aca="false">D5249*INDEX(Products!$E$2:$E$49,MATCH(C5249,Products!$A$2:$A$49,0))</f>
        <v>19380</v>
      </c>
      <c r="I5249" s="33" t="n">
        <f aca="false">D5249*INDEX(Products!$D$2:$D$49,MATCH(C5249,Products!$A$2:$A$49,0))*(1+INDEX(Assumptions!$B$16:$B$20,MATCH(B5249,Assumptions!$A$16:$A$20,0)))</f>
        <v>15814.08</v>
      </c>
      <c r="J5249" s="33" t="n">
        <f aca="false">H5249-I5249</f>
        <v>3565.92</v>
      </c>
      <c r="K5249" s="33" t="n">
        <f aca="false">IF(OR(E5249=0,E5249&gt;=7),0,D5249/(7-E5249)*E5249*INDEX(Products!$E$2:$E$49,MATCH(C5249,Products!$A$2:$A$49,0)))</f>
        <v>0</v>
      </c>
    </row>
    <row r="5250" customFormat="false" ht="15" hidden="false" customHeight="false" outlineLevel="0" collapsed="false">
      <c r="A5250" s="36" t="n">
        <v>46279</v>
      </c>
      <c r="B5250" s="24" t="s">
        <v>65</v>
      </c>
      <c r="C5250" s="24" t="s">
        <v>149</v>
      </c>
      <c r="D5250" s="33" t="n">
        <v>107</v>
      </c>
      <c r="E5250" s="24" t="n">
        <v>0</v>
      </c>
      <c r="F5250" s="37" t="n">
        <f aca="false">DATE(YEAR(A5250),MONTH(A5250),1)</f>
        <v>46266</v>
      </c>
      <c r="G5250" s="24" t="str">
        <f aca="false">INDEX(Products!$C$2:$C$49,MATCH(C5250,Products!$A$2:$A$49,0))</f>
        <v>Beverages</v>
      </c>
      <c r="H5250" s="33" t="n">
        <f aca="false">D5250*INDEX(Products!$E$2:$E$49,MATCH(C5250,Products!$A$2:$A$49,0))</f>
        <v>20330</v>
      </c>
      <c r="I5250" s="33" t="n">
        <f aca="false">D5250*INDEX(Products!$D$2:$D$49,MATCH(C5250,Products!$A$2:$A$49,0))*(1+INDEX(Assumptions!$B$16:$B$20,MATCH(B5250,Assumptions!$A$16:$A$20,0)))</f>
        <v>16589.28</v>
      </c>
      <c r="J5250" s="33" t="n">
        <f aca="false">H5250-I5250</f>
        <v>3740.72</v>
      </c>
      <c r="K5250" s="33" t="n">
        <f aca="false">IF(OR(E5250=0,E5250&gt;=7),0,D5250/(7-E5250)*E5250*INDEX(Products!$E$2:$E$49,MATCH(C5250,Products!$A$2:$A$49,0)))</f>
        <v>0</v>
      </c>
    </row>
    <row r="5251" customFormat="false" ht="15" hidden="false" customHeight="false" outlineLevel="0" collapsed="false">
      <c r="A5251" s="36" t="n">
        <v>46286</v>
      </c>
      <c r="B5251" s="24" t="s">
        <v>65</v>
      </c>
      <c r="C5251" s="24" t="s">
        <v>149</v>
      </c>
      <c r="D5251" s="33" t="n">
        <v>120</v>
      </c>
      <c r="E5251" s="24" t="n">
        <v>0</v>
      </c>
      <c r="F5251" s="37" t="n">
        <f aca="false">DATE(YEAR(A5251),MONTH(A5251),1)</f>
        <v>46266</v>
      </c>
      <c r="G5251" s="24" t="str">
        <f aca="false">INDEX(Products!$C$2:$C$49,MATCH(C5251,Products!$A$2:$A$49,0))</f>
        <v>Beverages</v>
      </c>
      <c r="H5251" s="33" t="n">
        <f aca="false">D5251*INDEX(Products!$E$2:$E$49,MATCH(C5251,Products!$A$2:$A$49,0))</f>
        <v>22800</v>
      </c>
      <c r="I5251" s="33" t="n">
        <f aca="false">D5251*INDEX(Products!$D$2:$D$49,MATCH(C5251,Products!$A$2:$A$49,0))*(1+INDEX(Assumptions!$B$16:$B$20,MATCH(B5251,Assumptions!$A$16:$A$20,0)))</f>
        <v>18604.8</v>
      </c>
      <c r="J5251" s="33" t="n">
        <f aca="false">H5251-I5251</f>
        <v>4195.2</v>
      </c>
      <c r="K5251" s="33" t="n">
        <f aca="false">IF(OR(E5251=0,E5251&gt;=7),0,D5251/(7-E5251)*E5251*INDEX(Products!$E$2:$E$49,MATCH(C5251,Products!$A$2:$A$49,0)))</f>
        <v>0</v>
      </c>
    </row>
    <row r="5252" customFormat="false" ht="15" hidden="false" customHeight="false" outlineLevel="0" collapsed="false">
      <c r="A5252" s="36" t="n">
        <v>46118</v>
      </c>
      <c r="B5252" s="24" t="s">
        <v>65</v>
      </c>
      <c r="C5252" s="24" t="s">
        <v>151</v>
      </c>
      <c r="D5252" s="33" t="n">
        <v>97</v>
      </c>
      <c r="E5252" s="24" t="n">
        <v>0</v>
      </c>
      <c r="F5252" s="37" t="n">
        <f aca="false">DATE(YEAR(A5252),MONTH(A5252),1)</f>
        <v>46113</v>
      </c>
      <c r="G5252" s="24" t="str">
        <f aca="false">INDEX(Products!$C$2:$C$49,MATCH(C5252,Products!$A$2:$A$49,0))</f>
        <v>Beverages</v>
      </c>
      <c r="H5252" s="33" t="n">
        <f aca="false">D5252*INDEX(Products!$E$2:$E$49,MATCH(C5252,Products!$A$2:$A$49,0))</f>
        <v>18430</v>
      </c>
      <c r="I5252" s="33" t="n">
        <f aca="false">D5252*INDEX(Products!$D$2:$D$49,MATCH(C5252,Products!$A$2:$A$49,0))*(1+INDEX(Assumptions!$B$16:$B$20,MATCH(B5252,Assumptions!$A$16:$A$20,0)))</f>
        <v>14742.06</v>
      </c>
      <c r="J5252" s="33" t="n">
        <f aca="false">H5252-I5252</f>
        <v>3687.94</v>
      </c>
      <c r="K5252" s="33" t="n">
        <f aca="false">IF(OR(E5252=0,E5252&gt;=7),0,D5252/(7-E5252)*E5252*INDEX(Products!$E$2:$E$49,MATCH(C5252,Products!$A$2:$A$49,0)))</f>
        <v>0</v>
      </c>
    </row>
    <row r="5253" customFormat="false" ht="15" hidden="false" customHeight="false" outlineLevel="0" collapsed="false">
      <c r="A5253" s="36" t="n">
        <v>46125</v>
      </c>
      <c r="B5253" s="24" t="s">
        <v>65</v>
      </c>
      <c r="C5253" s="24" t="s">
        <v>151</v>
      </c>
      <c r="D5253" s="33" t="n">
        <v>101</v>
      </c>
      <c r="E5253" s="24" t="n">
        <v>0</v>
      </c>
      <c r="F5253" s="37" t="n">
        <f aca="false">DATE(YEAR(A5253),MONTH(A5253),1)</f>
        <v>46113</v>
      </c>
      <c r="G5253" s="24" t="str">
        <f aca="false">INDEX(Products!$C$2:$C$49,MATCH(C5253,Products!$A$2:$A$49,0))</f>
        <v>Beverages</v>
      </c>
      <c r="H5253" s="33" t="n">
        <f aca="false">D5253*INDEX(Products!$E$2:$E$49,MATCH(C5253,Products!$A$2:$A$49,0))</f>
        <v>19190</v>
      </c>
      <c r="I5253" s="33" t="n">
        <f aca="false">D5253*INDEX(Products!$D$2:$D$49,MATCH(C5253,Products!$A$2:$A$49,0))*(1+INDEX(Assumptions!$B$16:$B$20,MATCH(B5253,Assumptions!$A$16:$A$20,0)))</f>
        <v>15349.98</v>
      </c>
      <c r="J5253" s="33" t="n">
        <f aca="false">H5253-I5253</f>
        <v>3840.02</v>
      </c>
      <c r="K5253" s="33" t="n">
        <f aca="false">IF(OR(E5253=0,E5253&gt;=7),0,D5253/(7-E5253)*E5253*INDEX(Products!$E$2:$E$49,MATCH(C5253,Products!$A$2:$A$49,0)))</f>
        <v>0</v>
      </c>
    </row>
    <row r="5254" customFormat="false" ht="15" hidden="false" customHeight="false" outlineLevel="0" collapsed="false">
      <c r="A5254" s="36" t="n">
        <v>46132</v>
      </c>
      <c r="B5254" s="24" t="s">
        <v>65</v>
      </c>
      <c r="C5254" s="24" t="s">
        <v>151</v>
      </c>
      <c r="D5254" s="33" t="n">
        <v>95</v>
      </c>
      <c r="E5254" s="24" t="n">
        <v>0</v>
      </c>
      <c r="F5254" s="37" t="n">
        <f aca="false">DATE(YEAR(A5254),MONTH(A5254),1)</f>
        <v>46113</v>
      </c>
      <c r="G5254" s="24" t="str">
        <f aca="false">INDEX(Products!$C$2:$C$49,MATCH(C5254,Products!$A$2:$A$49,0))</f>
        <v>Beverages</v>
      </c>
      <c r="H5254" s="33" t="n">
        <f aca="false">D5254*INDEX(Products!$E$2:$E$49,MATCH(C5254,Products!$A$2:$A$49,0))</f>
        <v>18050</v>
      </c>
      <c r="I5254" s="33" t="n">
        <f aca="false">D5254*INDEX(Products!$D$2:$D$49,MATCH(C5254,Products!$A$2:$A$49,0))*(1+INDEX(Assumptions!$B$16:$B$20,MATCH(B5254,Assumptions!$A$16:$A$20,0)))</f>
        <v>14438.1</v>
      </c>
      <c r="J5254" s="33" t="n">
        <f aca="false">H5254-I5254</f>
        <v>3611.9</v>
      </c>
      <c r="K5254" s="33" t="n">
        <f aca="false">IF(OR(E5254=0,E5254&gt;=7),0,D5254/(7-E5254)*E5254*INDEX(Products!$E$2:$E$49,MATCH(C5254,Products!$A$2:$A$49,0)))</f>
        <v>0</v>
      </c>
    </row>
    <row r="5255" customFormat="false" ht="15" hidden="false" customHeight="false" outlineLevel="0" collapsed="false">
      <c r="A5255" s="36" t="n">
        <v>46139</v>
      </c>
      <c r="B5255" s="24" t="s">
        <v>65</v>
      </c>
      <c r="C5255" s="24" t="s">
        <v>151</v>
      </c>
      <c r="D5255" s="33" t="n">
        <v>123</v>
      </c>
      <c r="E5255" s="24" t="n">
        <v>0</v>
      </c>
      <c r="F5255" s="37" t="n">
        <f aca="false">DATE(YEAR(A5255),MONTH(A5255),1)</f>
        <v>46113</v>
      </c>
      <c r="G5255" s="24" t="str">
        <f aca="false">INDEX(Products!$C$2:$C$49,MATCH(C5255,Products!$A$2:$A$49,0))</f>
        <v>Beverages</v>
      </c>
      <c r="H5255" s="33" t="n">
        <f aca="false">D5255*INDEX(Products!$E$2:$E$49,MATCH(C5255,Products!$A$2:$A$49,0))</f>
        <v>23370</v>
      </c>
      <c r="I5255" s="33" t="n">
        <f aca="false">D5255*INDEX(Products!$D$2:$D$49,MATCH(C5255,Products!$A$2:$A$49,0))*(1+INDEX(Assumptions!$B$16:$B$20,MATCH(B5255,Assumptions!$A$16:$A$20,0)))</f>
        <v>18693.54</v>
      </c>
      <c r="J5255" s="33" t="n">
        <f aca="false">H5255-I5255</f>
        <v>4676.46</v>
      </c>
      <c r="K5255" s="33" t="n">
        <f aca="false">IF(OR(E5255=0,E5255&gt;=7),0,D5255/(7-E5255)*E5255*INDEX(Products!$E$2:$E$49,MATCH(C5255,Products!$A$2:$A$49,0)))</f>
        <v>0</v>
      </c>
    </row>
    <row r="5256" customFormat="false" ht="15" hidden="false" customHeight="false" outlineLevel="0" collapsed="false">
      <c r="A5256" s="36" t="n">
        <v>46146</v>
      </c>
      <c r="B5256" s="24" t="s">
        <v>65</v>
      </c>
      <c r="C5256" s="24" t="s">
        <v>151</v>
      </c>
      <c r="D5256" s="33" t="n">
        <v>106</v>
      </c>
      <c r="E5256" s="24" t="n">
        <v>0</v>
      </c>
      <c r="F5256" s="37" t="n">
        <f aca="false">DATE(YEAR(A5256),MONTH(A5256),1)</f>
        <v>46143</v>
      </c>
      <c r="G5256" s="24" t="str">
        <f aca="false">INDEX(Products!$C$2:$C$49,MATCH(C5256,Products!$A$2:$A$49,0))</f>
        <v>Beverages</v>
      </c>
      <c r="H5256" s="33" t="n">
        <f aca="false">D5256*INDEX(Products!$E$2:$E$49,MATCH(C5256,Products!$A$2:$A$49,0))</f>
        <v>20140</v>
      </c>
      <c r="I5256" s="33" t="n">
        <f aca="false">D5256*INDEX(Products!$D$2:$D$49,MATCH(C5256,Products!$A$2:$A$49,0))*(1+INDEX(Assumptions!$B$16:$B$20,MATCH(B5256,Assumptions!$A$16:$A$20,0)))</f>
        <v>16109.88</v>
      </c>
      <c r="J5256" s="33" t="n">
        <f aca="false">H5256-I5256</f>
        <v>4030.12</v>
      </c>
      <c r="K5256" s="33" t="n">
        <f aca="false">IF(OR(E5256=0,E5256&gt;=7),0,D5256/(7-E5256)*E5256*INDEX(Products!$E$2:$E$49,MATCH(C5256,Products!$A$2:$A$49,0)))</f>
        <v>0</v>
      </c>
    </row>
    <row r="5257" customFormat="false" ht="15" hidden="false" customHeight="false" outlineLevel="0" collapsed="false">
      <c r="A5257" s="36" t="n">
        <v>46153</v>
      </c>
      <c r="B5257" s="24" t="s">
        <v>65</v>
      </c>
      <c r="C5257" s="24" t="s">
        <v>151</v>
      </c>
      <c r="D5257" s="33" t="n">
        <v>100</v>
      </c>
      <c r="E5257" s="24" t="n">
        <v>0</v>
      </c>
      <c r="F5257" s="37" t="n">
        <f aca="false">DATE(YEAR(A5257),MONTH(A5257),1)</f>
        <v>46143</v>
      </c>
      <c r="G5257" s="24" t="str">
        <f aca="false">INDEX(Products!$C$2:$C$49,MATCH(C5257,Products!$A$2:$A$49,0))</f>
        <v>Beverages</v>
      </c>
      <c r="H5257" s="33" t="n">
        <f aca="false">D5257*INDEX(Products!$E$2:$E$49,MATCH(C5257,Products!$A$2:$A$49,0))</f>
        <v>19000</v>
      </c>
      <c r="I5257" s="33" t="n">
        <f aca="false">D5257*INDEX(Products!$D$2:$D$49,MATCH(C5257,Products!$A$2:$A$49,0))*(1+INDEX(Assumptions!$B$16:$B$20,MATCH(B5257,Assumptions!$A$16:$A$20,0)))</f>
        <v>15198</v>
      </c>
      <c r="J5257" s="33" t="n">
        <f aca="false">H5257-I5257</f>
        <v>3802</v>
      </c>
      <c r="K5257" s="33" t="n">
        <f aca="false">IF(OR(E5257=0,E5257&gt;=7),0,D5257/(7-E5257)*E5257*INDEX(Products!$E$2:$E$49,MATCH(C5257,Products!$A$2:$A$49,0)))</f>
        <v>0</v>
      </c>
    </row>
    <row r="5258" customFormat="false" ht="15" hidden="false" customHeight="false" outlineLevel="0" collapsed="false">
      <c r="A5258" s="36" t="n">
        <v>46160</v>
      </c>
      <c r="B5258" s="24" t="s">
        <v>65</v>
      </c>
      <c r="C5258" s="24" t="s">
        <v>151</v>
      </c>
      <c r="D5258" s="33" t="n">
        <v>104</v>
      </c>
      <c r="E5258" s="24" t="n">
        <v>0</v>
      </c>
      <c r="F5258" s="37" t="n">
        <f aca="false">DATE(YEAR(A5258),MONTH(A5258),1)</f>
        <v>46143</v>
      </c>
      <c r="G5258" s="24" t="str">
        <f aca="false">INDEX(Products!$C$2:$C$49,MATCH(C5258,Products!$A$2:$A$49,0))</f>
        <v>Beverages</v>
      </c>
      <c r="H5258" s="33" t="n">
        <f aca="false">D5258*INDEX(Products!$E$2:$E$49,MATCH(C5258,Products!$A$2:$A$49,0))</f>
        <v>19760</v>
      </c>
      <c r="I5258" s="33" t="n">
        <f aca="false">D5258*INDEX(Products!$D$2:$D$49,MATCH(C5258,Products!$A$2:$A$49,0))*(1+INDEX(Assumptions!$B$16:$B$20,MATCH(B5258,Assumptions!$A$16:$A$20,0)))</f>
        <v>15805.92</v>
      </c>
      <c r="J5258" s="33" t="n">
        <f aca="false">H5258-I5258</f>
        <v>3954.08</v>
      </c>
      <c r="K5258" s="33" t="n">
        <f aca="false">IF(OR(E5258=0,E5258&gt;=7),0,D5258/(7-E5258)*E5258*INDEX(Products!$E$2:$E$49,MATCH(C5258,Products!$A$2:$A$49,0)))</f>
        <v>0</v>
      </c>
    </row>
    <row r="5259" customFormat="false" ht="15" hidden="false" customHeight="false" outlineLevel="0" collapsed="false">
      <c r="A5259" s="36" t="n">
        <v>46167</v>
      </c>
      <c r="B5259" s="24" t="s">
        <v>65</v>
      </c>
      <c r="C5259" s="24" t="s">
        <v>151</v>
      </c>
      <c r="D5259" s="33" t="n">
        <v>108</v>
      </c>
      <c r="E5259" s="24" t="n">
        <v>0</v>
      </c>
      <c r="F5259" s="37" t="n">
        <f aca="false">DATE(YEAR(A5259),MONTH(A5259),1)</f>
        <v>46143</v>
      </c>
      <c r="G5259" s="24" t="str">
        <f aca="false">INDEX(Products!$C$2:$C$49,MATCH(C5259,Products!$A$2:$A$49,0))</f>
        <v>Beverages</v>
      </c>
      <c r="H5259" s="33" t="n">
        <f aca="false">D5259*INDEX(Products!$E$2:$E$49,MATCH(C5259,Products!$A$2:$A$49,0))</f>
        <v>20520</v>
      </c>
      <c r="I5259" s="33" t="n">
        <f aca="false">D5259*INDEX(Products!$D$2:$D$49,MATCH(C5259,Products!$A$2:$A$49,0))*(1+INDEX(Assumptions!$B$16:$B$20,MATCH(B5259,Assumptions!$A$16:$A$20,0)))</f>
        <v>16413.84</v>
      </c>
      <c r="J5259" s="33" t="n">
        <f aca="false">H5259-I5259</f>
        <v>4106.16</v>
      </c>
      <c r="K5259" s="33" t="n">
        <f aca="false">IF(OR(E5259=0,E5259&gt;=7),0,D5259/(7-E5259)*E5259*INDEX(Products!$E$2:$E$49,MATCH(C5259,Products!$A$2:$A$49,0)))</f>
        <v>0</v>
      </c>
    </row>
    <row r="5260" customFormat="false" ht="15" hidden="false" customHeight="false" outlineLevel="0" collapsed="false">
      <c r="A5260" s="36" t="n">
        <v>46174</v>
      </c>
      <c r="B5260" s="24" t="s">
        <v>65</v>
      </c>
      <c r="C5260" s="24" t="s">
        <v>151</v>
      </c>
      <c r="D5260" s="33" t="n">
        <v>58</v>
      </c>
      <c r="E5260" s="24" t="n">
        <v>3</v>
      </c>
      <c r="F5260" s="37" t="n">
        <f aca="false">DATE(YEAR(A5260),MONTH(A5260),1)</f>
        <v>46174</v>
      </c>
      <c r="G5260" s="24" t="str">
        <f aca="false">INDEX(Products!$C$2:$C$49,MATCH(C5260,Products!$A$2:$A$49,0))</f>
        <v>Beverages</v>
      </c>
      <c r="H5260" s="33" t="n">
        <f aca="false">D5260*INDEX(Products!$E$2:$E$49,MATCH(C5260,Products!$A$2:$A$49,0))</f>
        <v>11020</v>
      </c>
      <c r="I5260" s="33" t="n">
        <f aca="false">D5260*INDEX(Products!$D$2:$D$49,MATCH(C5260,Products!$A$2:$A$49,0))*(1+INDEX(Assumptions!$B$16:$B$20,MATCH(B5260,Assumptions!$A$16:$A$20,0)))</f>
        <v>8814.84</v>
      </c>
      <c r="J5260" s="33" t="n">
        <f aca="false">H5260-I5260</f>
        <v>2205.16</v>
      </c>
      <c r="K5260" s="33" t="n">
        <f aca="false">IF(OR(E5260=0,E5260&gt;=7),0,D5260/(7-E5260)*E5260*INDEX(Products!$E$2:$E$49,MATCH(C5260,Products!$A$2:$A$49,0)))</f>
        <v>8265</v>
      </c>
    </row>
    <row r="5261" customFormat="false" ht="15" hidden="false" customHeight="false" outlineLevel="0" collapsed="false">
      <c r="A5261" s="36" t="n">
        <v>46181</v>
      </c>
      <c r="B5261" s="24" t="s">
        <v>65</v>
      </c>
      <c r="C5261" s="24" t="s">
        <v>151</v>
      </c>
      <c r="D5261" s="33" t="n">
        <v>91</v>
      </c>
      <c r="E5261" s="24" t="n">
        <v>0</v>
      </c>
      <c r="F5261" s="37" t="n">
        <f aca="false">DATE(YEAR(A5261),MONTH(A5261),1)</f>
        <v>46174</v>
      </c>
      <c r="G5261" s="24" t="str">
        <f aca="false">INDEX(Products!$C$2:$C$49,MATCH(C5261,Products!$A$2:$A$49,0))</f>
        <v>Beverages</v>
      </c>
      <c r="H5261" s="33" t="n">
        <f aca="false">D5261*INDEX(Products!$E$2:$E$49,MATCH(C5261,Products!$A$2:$A$49,0))</f>
        <v>17290</v>
      </c>
      <c r="I5261" s="33" t="n">
        <f aca="false">D5261*INDEX(Products!$D$2:$D$49,MATCH(C5261,Products!$A$2:$A$49,0))*(1+INDEX(Assumptions!$B$16:$B$20,MATCH(B5261,Assumptions!$A$16:$A$20,0)))</f>
        <v>13830.18</v>
      </c>
      <c r="J5261" s="33" t="n">
        <f aca="false">H5261-I5261</f>
        <v>3459.82</v>
      </c>
      <c r="K5261" s="33" t="n">
        <f aca="false">IF(OR(E5261=0,E5261&gt;=7),0,D5261/(7-E5261)*E5261*INDEX(Products!$E$2:$E$49,MATCH(C5261,Products!$A$2:$A$49,0)))</f>
        <v>0</v>
      </c>
    </row>
    <row r="5262" customFormat="false" ht="15" hidden="false" customHeight="false" outlineLevel="0" collapsed="false">
      <c r="A5262" s="36" t="n">
        <v>46188</v>
      </c>
      <c r="B5262" s="24" t="s">
        <v>65</v>
      </c>
      <c r="C5262" s="24" t="s">
        <v>151</v>
      </c>
      <c r="D5262" s="33" t="n">
        <v>105</v>
      </c>
      <c r="E5262" s="24" t="n">
        <v>0</v>
      </c>
      <c r="F5262" s="37" t="n">
        <f aca="false">DATE(YEAR(A5262),MONTH(A5262),1)</f>
        <v>46174</v>
      </c>
      <c r="G5262" s="24" t="str">
        <f aca="false">INDEX(Products!$C$2:$C$49,MATCH(C5262,Products!$A$2:$A$49,0))</f>
        <v>Beverages</v>
      </c>
      <c r="H5262" s="33" t="n">
        <f aca="false">D5262*INDEX(Products!$E$2:$E$49,MATCH(C5262,Products!$A$2:$A$49,0))</f>
        <v>19950</v>
      </c>
      <c r="I5262" s="33" t="n">
        <f aca="false">D5262*INDEX(Products!$D$2:$D$49,MATCH(C5262,Products!$A$2:$A$49,0))*(1+INDEX(Assumptions!$B$16:$B$20,MATCH(B5262,Assumptions!$A$16:$A$20,0)))</f>
        <v>15957.9</v>
      </c>
      <c r="J5262" s="33" t="n">
        <f aca="false">H5262-I5262</f>
        <v>3992.1</v>
      </c>
      <c r="K5262" s="33" t="n">
        <f aca="false">IF(OR(E5262=0,E5262&gt;=7),0,D5262/(7-E5262)*E5262*INDEX(Products!$E$2:$E$49,MATCH(C5262,Products!$A$2:$A$49,0)))</f>
        <v>0</v>
      </c>
    </row>
    <row r="5263" customFormat="false" ht="15" hidden="false" customHeight="false" outlineLevel="0" collapsed="false">
      <c r="A5263" s="36" t="n">
        <v>46195</v>
      </c>
      <c r="B5263" s="24" t="s">
        <v>65</v>
      </c>
      <c r="C5263" s="24" t="s">
        <v>151</v>
      </c>
      <c r="D5263" s="33" t="n">
        <v>106</v>
      </c>
      <c r="E5263" s="24" t="n">
        <v>0</v>
      </c>
      <c r="F5263" s="37" t="n">
        <f aca="false">DATE(YEAR(A5263),MONTH(A5263),1)</f>
        <v>46174</v>
      </c>
      <c r="G5263" s="24" t="str">
        <f aca="false">INDEX(Products!$C$2:$C$49,MATCH(C5263,Products!$A$2:$A$49,0))</f>
        <v>Beverages</v>
      </c>
      <c r="H5263" s="33" t="n">
        <f aca="false">D5263*INDEX(Products!$E$2:$E$49,MATCH(C5263,Products!$A$2:$A$49,0))</f>
        <v>20140</v>
      </c>
      <c r="I5263" s="33" t="n">
        <f aca="false">D5263*INDEX(Products!$D$2:$D$49,MATCH(C5263,Products!$A$2:$A$49,0))*(1+INDEX(Assumptions!$B$16:$B$20,MATCH(B5263,Assumptions!$A$16:$A$20,0)))</f>
        <v>16109.88</v>
      </c>
      <c r="J5263" s="33" t="n">
        <f aca="false">H5263-I5263</f>
        <v>4030.12</v>
      </c>
      <c r="K5263" s="33" t="n">
        <f aca="false">IF(OR(E5263=0,E5263&gt;=7),0,D5263/(7-E5263)*E5263*INDEX(Products!$E$2:$E$49,MATCH(C5263,Products!$A$2:$A$49,0)))</f>
        <v>0</v>
      </c>
    </row>
    <row r="5264" customFormat="false" ht="15" hidden="false" customHeight="false" outlineLevel="0" collapsed="false">
      <c r="A5264" s="36" t="n">
        <v>46202</v>
      </c>
      <c r="B5264" s="24" t="s">
        <v>65</v>
      </c>
      <c r="C5264" s="24" t="s">
        <v>151</v>
      </c>
      <c r="D5264" s="33" t="n">
        <v>95</v>
      </c>
      <c r="E5264" s="24" t="n">
        <v>0</v>
      </c>
      <c r="F5264" s="37" t="n">
        <f aca="false">DATE(YEAR(A5264),MONTH(A5264),1)</f>
        <v>46174</v>
      </c>
      <c r="G5264" s="24" t="str">
        <f aca="false">INDEX(Products!$C$2:$C$49,MATCH(C5264,Products!$A$2:$A$49,0))</f>
        <v>Beverages</v>
      </c>
      <c r="H5264" s="33" t="n">
        <f aca="false">D5264*INDEX(Products!$E$2:$E$49,MATCH(C5264,Products!$A$2:$A$49,0))</f>
        <v>18050</v>
      </c>
      <c r="I5264" s="33" t="n">
        <f aca="false">D5264*INDEX(Products!$D$2:$D$49,MATCH(C5264,Products!$A$2:$A$49,0))*(1+INDEX(Assumptions!$B$16:$B$20,MATCH(B5264,Assumptions!$A$16:$A$20,0)))</f>
        <v>14438.1</v>
      </c>
      <c r="J5264" s="33" t="n">
        <f aca="false">H5264-I5264</f>
        <v>3611.9</v>
      </c>
      <c r="K5264" s="33" t="n">
        <f aca="false">IF(OR(E5264=0,E5264&gt;=7),0,D5264/(7-E5264)*E5264*INDEX(Products!$E$2:$E$49,MATCH(C5264,Products!$A$2:$A$49,0)))</f>
        <v>0</v>
      </c>
    </row>
    <row r="5265" customFormat="false" ht="15" hidden="false" customHeight="false" outlineLevel="0" collapsed="false">
      <c r="A5265" s="36" t="n">
        <v>46209</v>
      </c>
      <c r="B5265" s="24" t="s">
        <v>65</v>
      </c>
      <c r="C5265" s="24" t="s">
        <v>151</v>
      </c>
      <c r="D5265" s="33" t="n">
        <v>80</v>
      </c>
      <c r="E5265" s="24" t="n">
        <v>0</v>
      </c>
      <c r="F5265" s="37" t="n">
        <f aca="false">DATE(YEAR(A5265),MONTH(A5265),1)</f>
        <v>46204</v>
      </c>
      <c r="G5265" s="24" t="str">
        <f aca="false">INDEX(Products!$C$2:$C$49,MATCH(C5265,Products!$A$2:$A$49,0))</f>
        <v>Beverages</v>
      </c>
      <c r="H5265" s="33" t="n">
        <f aca="false">D5265*INDEX(Products!$E$2:$E$49,MATCH(C5265,Products!$A$2:$A$49,0))</f>
        <v>15200</v>
      </c>
      <c r="I5265" s="33" t="n">
        <f aca="false">D5265*INDEX(Products!$D$2:$D$49,MATCH(C5265,Products!$A$2:$A$49,0))*(1+INDEX(Assumptions!$B$16:$B$20,MATCH(B5265,Assumptions!$A$16:$A$20,0)))</f>
        <v>12158.4</v>
      </c>
      <c r="J5265" s="33" t="n">
        <f aca="false">H5265-I5265</f>
        <v>3041.6</v>
      </c>
      <c r="K5265" s="33" t="n">
        <f aca="false">IF(OR(E5265=0,E5265&gt;=7),0,D5265/(7-E5265)*E5265*INDEX(Products!$E$2:$E$49,MATCH(C5265,Products!$A$2:$A$49,0)))</f>
        <v>0</v>
      </c>
    </row>
    <row r="5266" customFormat="false" ht="15" hidden="false" customHeight="false" outlineLevel="0" collapsed="false">
      <c r="A5266" s="36" t="n">
        <v>46216</v>
      </c>
      <c r="B5266" s="24" t="s">
        <v>65</v>
      </c>
      <c r="C5266" s="24" t="s">
        <v>151</v>
      </c>
      <c r="D5266" s="33" t="n">
        <v>80</v>
      </c>
      <c r="E5266" s="24" t="n">
        <v>0</v>
      </c>
      <c r="F5266" s="37" t="n">
        <f aca="false">DATE(YEAR(A5266),MONTH(A5266),1)</f>
        <v>46204</v>
      </c>
      <c r="G5266" s="24" t="str">
        <f aca="false">INDEX(Products!$C$2:$C$49,MATCH(C5266,Products!$A$2:$A$49,0))</f>
        <v>Beverages</v>
      </c>
      <c r="H5266" s="33" t="n">
        <f aca="false">D5266*INDEX(Products!$E$2:$E$49,MATCH(C5266,Products!$A$2:$A$49,0))</f>
        <v>15200</v>
      </c>
      <c r="I5266" s="33" t="n">
        <f aca="false">D5266*INDEX(Products!$D$2:$D$49,MATCH(C5266,Products!$A$2:$A$49,0))*(1+INDEX(Assumptions!$B$16:$B$20,MATCH(B5266,Assumptions!$A$16:$A$20,0)))</f>
        <v>12158.4</v>
      </c>
      <c r="J5266" s="33" t="n">
        <f aca="false">H5266-I5266</f>
        <v>3041.6</v>
      </c>
      <c r="K5266" s="33" t="n">
        <f aca="false">IF(OR(E5266=0,E5266&gt;=7),0,D5266/(7-E5266)*E5266*INDEX(Products!$E$2:$E$49,MATCH(C5266,Products!$A$2:$A$49,0)))</f>
        <v>0</v>
      </c>
    </row>
    <row r="5267" customFormat="false" ht="15" hidden="false" customHeight="false" outlineLevel="0" collapsed="false">
      <c r="A5267" s="36" t="n">
        <v>46223</v>
      </c>
      <c r="B5267" s="24" t="s">
        <v>65</v>
      </c>
      <c r="C5267" s="24" t="s">
        <v>151</v>
      </c>
      <c r="D5267" s="33" t="n">
        <v>78</v>
      </c>
      <c r="E5267" s="24" t="n">
        <v>0</v>
      </c>
      <c r="F5267" s="37" t="n">
        <f aca="false">DATE(YEAR(A5267),MONTH(A5267),1)</f>
        <v>46204</v>
      </c>
      <c r="G5267" s="24" t="str">
        <f aca="false">INDEX(Products!$C$2:$C$49,MATCH(C5267,Products!$A$2:$A$49,0))</f>
        <v>Beverages</v>
      </c>
      <c r="H5267" s="33" t="n">
        <f aca="false">D5267*INDEX(Products!$E$2:$E$49,MATCH(C5267,Products!$A$2:$A$49,0))</f>
        <v>14820</v>
      </c>
      <c r="I5267" s="33" t="n">
        <f aca="false">D5267*INDEX(Products!$D$2:$D$49,MATCH(C5267,Products!$A$2:$A$49,0))*(1+INDEX(Assumptions!$B$16:$B$20,MATCH(B5267,Assumptions!$A$16:$A$20,0)))</f>
        <v>11854.44</v>
      </c>
      <c r="J5267" s="33" t="n">
        <f aca="false">H5267-I5267</f>
        <v>2965.56</v>
      </c>
      <c r="K5267" s="33" t="n">
        <f aca="false">IF(OR(E5267=0,E5267&gt;=7),0,D5267/(7-E5267)*E5267*INDEX(Products!$E$2:$E$49,MATCH(C5267,Products!$A$2:$A$49,0)))</f>
        <v>0</v>
      </c>
    </row>
    <row r="5268" customFormat="false" ht="15" hidden="false" customHeight="false" outlineLevel="0" collapsed="false">
      <c r="A5268" s="36" t="n">
        <v>46230</v>
      </c>
      <c r="B5268" s="24" t="s">
        <v>65</v>
      </c>
      <c r="C5268" s="24" t="s">
        <v>151</v>
      </c>
      <c r="D5268" s="33" t="n">
        <v>103</v>
      </c>
      <c r="E5268" s="24" t="n">
        <v>0</v>
      </c>
      <c r="F5268" s="37" t="n">
        <f aca="false">DATE(YEAR(A5268),MONTH(A5268),1)</f>
        <v>46204</v>
      </c>
      <c r="G5268" s="24" t="str">
        <f aca="false">INDEX(Products!$C$2:$C$49,MATCH(C5268,Products!$A$2:$A$49,0))</f>
        <v>Beverages</v>
      </c>
      <c r="H5268" s="33" t="n">
        <f aca="false">D5268*INDEX(Products!$E$2:$E$49,MATCH(C5268,Products!$A$2:$A$49,0))</f>
        <v>19570</v>
      </c>
      <c r="I5268" s="33" t="n">
        <f aca="false">D5268*INDEX(Products!$D$2:$D$49,MATCH(C5268,Products!$A$2:$A$49,0))*(1+INDEX(Assumptions!$B$16:$B$20,MATCH(B5268,Assumptions!$A$16:$A$20,0)))</f>
        <v>15653.94</v>
      </c>
      <c r="J5268" s="33" t="n">
        <f aca="false">H5268-I5268</f>
        <v>3916.06</v>
      </c>
      <c r="K5268" s="33" t="n">
        <f aca="false">IF(OR(E5268=0,E5268&gt;=7),0,D5268/(7-E5268)*E5268*INDEX(Products!$E$2:$E$49,MATCH(C5268,Products!$A$2:$A$49,0)))</f>
        <v>0</v>
      </c>
    </row>
    <row r="5269" customFormat="false" ht="15" hidden="false" customHeight="false" outlineLevel="0" collapsed="false">
      <c r="A5269" s="36" t="n">
        <v>46237</v>
      </c>
      <c r="B5269" s="24" t="s">
        <v>65</v>
      </c>
      <c r="C5269" s="24" t="s">
        <v>151</v>
      </c>
      <c r="D5269" s="33" t="n">
        <v>85</v>
      </c>
      <c r="E5269" s="24" t="n">
        <v>0</v>
      </c>
      <c r="F5269" s="37" t="n">
        <f aca="false">DATE(YEAR(A5269),MONTH(A5269),1)</f>
        <v>46235</v>
      </c>
      <c r="G5269" s="24" t="str">
        <f aca="false">INDEX(Products!$C$2:$C$49,MATCH(C5269,Products!$A$2:$A$49,0))</f>
        <v>Beverages</v>
      </c>
      <c r="H5269" s="33" t="n">
        <f aca="false">D5269*INDEX(Products!$E$2:$E$49,MATCH(C5269,Products!$A$2:$A$49,0))</f>
        <v>16150</v>
      </c>
      <c r="I5269" s="33" t="n">
        <f aca="false">D5269*INDEX(Products!$D$2:$D$49,MATCH(C5269,Products!$A$2:$A$49,0))*(1+INDEX(Assumptions!$B$16:$B$20,MATCH(B5269,Assumptions!$A$16:$A$20,0)))</f>
        <v>12918.3</v>
      </c>
      <c r="J5269" s="33" t="n">
        <f aca="false">H5269-I5269</f>
        <v>3231.7</v>
      </c>
      <c r="K5269" s="33" t="n">
        <f aca="false">IF(OR(E5269=0,E5269&gt;=7),0,D5269/(7-E5269)*E5269*INDEX(Products!$E$2:$E$49,MATCH(C5269,Products!$A$2:$A$49,0)))</f>
        <v>0</v>
      </c>
    </row>
    <row r="5270" customFormat="false" ht="15" hidden="false" customHeight="false" outlineLevel="0" collapsed="false">
      <c r="A5270" s="36" t="n">
        <v>46244</v>
      </c>
      <c r="B5270" s="24" t="s">
        <v>65</v>
      </c>
      <c r="C5270" s="24" t="s">
        <v>151</v>
      </c>
      <c r="D5270" s="33" t="n">
        <v>75</v>
      </c>
      <c r="E5270" s="24" t="n">
        <v>0</v>
      </c>
      <c r="F5270" s="37" t="n">
        <f aca="false">DATE(YEAR(A5270),MONTH(A5270),1)</f>
        <v>46235</v>
      </c>
      <c r="G5270" s="24" t="str">
        <f aca="false">INDEX(Products!$C$2:$C$49,MATCH(C5270,Products!$A$2:$A$49,0))</f>
        <v>Beverages</v>
      </c>
      <c r="H5270" s="33" t="n">
        <f aca="false">D5270*INDEX(Products!$E$2:$E$49,MATCH(C5270,Products!$A$2:$A$49,0))</f>
        <v>14250</v>
      </c>
      <c r="I5270" s="33" t="n">
        <f aca="false">D5270*INDEX(Products!$D$2:$D$49,MATCH(C5270,Products!$A$2:$A$49,0))*(1+INDEX(Assumptions!$B$16:$B$20,MATCH(B5270,Assumptions!$A$16:$A$20,0)))</f>
        <v>11398.5</v>
      </c>
      <c r="J5270" s="33" t="n">
        <f aca="false">H5270-I5270</f>
        <v>2851.5</v>
      </c>
      <c r="K5270" s="33" t="n">
        <f aca="false">IF(OR(E5270=0,E5270&gt;=7),0,D5270/(7-E5270)*E5270*INDEX(Products!$E$2:$E$49,MATCH(C5270,Products!$A$2:$A$49,0)))</f>
        <v>0</v>
      </c>
    </row>
    <row r="5271" customFormat="false" ht="15" hidden="false" customHeight="false" outlineLevel="0" collapsed="false">
      <c r="A5271" s="36" t="n">
        <v>46251</v>
      </c>
      <c r="B5271" s="24" t="s">
        <v>65</v>
      </c>
      <c r="C5271" s="24" t="s">
        <v>151</v>
      </c>
      <c r="D5271" s="33" t="n">
        <v>93</v>
      </c>
      <c r="E5271" s="24" t="n">
        <v>0</v>
      </c>
      <c r="F5271" s="37" t="n">
        <f aca="false">DATE(YEAR(A5271),MONTH(A5271),1)</f>
        <v>46235</v>
      </c>
      <c r="G5271" s="24" t="str">
        <f aca="false">INDEX(Products!$C$2:$C$49,MATCH(C5271,Products!$A$2:$A$49,0))</f>
        <v>Beverages</v>
      </c>
      <c r="H5271" s="33" t="n">
        <f aca="false">D5271*INDEX(Products!$E$2:$E$49,MATCH(C5271,Products!$A$2:$A$49,0))</f>
        <v>17670</v>
      </c>
      <c r="I5271" s="33" t="n">
        <f aca="false">D5271*INDEX(Products!$D$2:$D$49,MATCH(C5271,Products!$A$2:$A$49,0))*(1+INDEX(Assumptions!$B$16:$B$20,MATCH(B5271,Assumptions!$A$16:$A$20,0)))</f>
        <v>14134.14</v>
      </c>
      <c r="J5271" s="33" t="n">
        <f aca="false">H5271-I5271</f>
        <v>3535.86</v>
      </c>
      <c r="K5271" s="33" t="n">
        <f aca="false">IF(OR(E5271=0,E5271&gt;=7),0,D5271/(7-E5271)*E5271*INDEX(Products!$E$2:$E$49,MATCH(C5271,Products!$A$2:$A$49,0)))</f>
        <v>0</v>
      </c>
    </row>
    <row r="5272" customFormat="false" ht="15" hidden="false" customHeight="false" outlineLevel="0" collapsed="false">
      <c r="A5272" s="36" t="n">
        <v>46258</v>
      </c>
      <c r="B5272" s="24" t="s">
        <v>65</v>
      </c>
      <c r="C5272" s="24" t="s">
        <v>151</v>
      </c>
      <c r="D5272" s="33" t="n">
        <v>109</v>
      </c>
      <c r="E5272" s="24" t="n">
        <v>0</v>
      </c>
      <c r="F5272" s="37" t="n">
        <f aca="false">DATE(YEAR(A5272),MONTH(A5272),1)</f>
        <v>46235</v>
      </c>
      <c r="G5272" s="24" t="str">
        <f aca="false">INDEX(Products!$C$2:$C$49,MATCH(C5272,Products!$A$2:$A$49,0))</f>
        <v>Beverages</v>
      </c>
      <c r="H5272" s="33" t="n">
        <f aca="false">D5272*INDEX(Products!$E$2:$E$49,MATCH(C5272,Products!$A$2:$A$49,0))</f>
        <v>20710</v>
      </c>
      <c r="I5272" s="33" t="n">
        <f aca="false">D5272*INDEX(Products!$D$2:$D$49,MATCH(C5272,Products!$A$2:$A$49,0))*(1+INDEX(Assumptions!$B$16:$B$20,MATCH(B5272,Assumptions!$A$16:$A$20,0)))</f>
        <v>16565.82</v>
      </c>
      <c r="J5272" s="33" t="n">
        <f aca="false">H5272-I5272</f>
        <v>4144.18</v>
      </c>
      <c r="K5272" s="33" t="n">
        <f aca="false">IF(OR(E5272=0,E5272&gt;=7),0,D5272/(7-E5272)*E5272*INDEX(Products!$E$2:$E$49,MATCH(C5272,Products!$A$2:$A$49,0)))</f>
        <v>0</v>
      </c>
    </row>
    <row r="5273" customFormat="false" ht="15" hidden="false" customHeight="false" outlineLevel="0" collapsed="false">
      <c r="A5273" s="36" t="n">
        <v>46265</v>
      </c>
      <c r="B5273" s="24" t="s">
        <v>65</v>
      </c>
      <c r="C5273" s="24" t="s">
        <v>151</v>
      </c>
      <c r="D5273" s="33" t="n">
        <v>32</v>
      </c>
      <c r="E5273" s="24" t="n">
        <v>5</v>
      </c>
      <c r="F5273" s="37" t="n">
        <f aca="false">DATE(YEAR(A5273),MONTH(A5273),1)</f>
        <v>46235</v>
      </c>
      <c r="G5273" s="24" t="str">
        <f aca="false">INDEX(Products!$C$2:$C$49,MATCH(C5273,Products!$A$2:$A$49,0))</f>
        <v>Beverages</v>
      </c>
      <c r="H5273" s="33" t="n">
        <f aca="false">D5273*INDEX(Products!$E$2:$E$49,MATCH(C5273,Products!$A$2:$A$49,0))</f>
        <v>6080</v>
      </c>
      <c r="I5273" s="33" t="n">
        <f aca="false">D5273*INDEX(Products!$D$2:$D$49,MATCH(C5273,Products!$A$2:$A$49,0))*(1+INDEX(Assumptions!$B$16:$B$20,MATCH(B5273,Assumptions!$A$16:$A$20,0)))</f>
        <v>4863.36</v>
      </c>
      <c r="J5273" s="33" t="n">
        <f aca="false">H5273-I5273</f>
        <v>1216.64</v>
      </c>
      <c r="K5273" s="33" t="n">
        <f aca="false">IF(OR(E5273=0,E5273&gt;=7),0,D5273/(7-E5273)*E5273*INDEX(Products!$E$2:$E$49,MATCH(C5273,Products!$A$2:$A$49,0)))</f>
        <v>15200</v>
      </c>
    </row>
    <row r="5274" customFormat="false" ht="15" hidden="false" customHeight="false" outlineLevel="0" collapsed="false">
      <c r="A5274" s="36" t="n">
        <v>46272</v>
      </c>
      <c r="B5274" s="24" t="s">
        <v>65</v>
      </c>
      <c r="C5274" s="24" t="s">
        <v>151</v>
      </c>
      <c r="D5274" s="33" t="n">
        <v>105</v>
      </c>
      <c r="E5274" s="24" t="n">
        <v>0</v>
      </c>
      <c r="F5274" s="37" t="n">
        <f aca="false">DATE(YEAR(A5274),MONTH(A5274),1)</f>
        <v>46266</v>
      </c>
      <c r="G5274" s="24" t="str">
        <f aca="false">INDEX(Products!$C$2:$C$49,MATCH(C5274,Products!$A$2:$A$49,0))</f>
        <v>Beverages</v>
      </c>
      <c r="H5274" s="33" t="n">
        <f aca="false">D5274*INDEX(Products!$E$2:$E$49,MATCH(C5274,Products!$A$2:$A$49,0))</f>
        <v>19950</v>
      </c>
      <c r="I5274" s="33" t="n">
        <f aca="false">D5274*INDEX(Products!$D$2:$D$49,MATCH(C5274,Products!$A$2:$A$49,0))*(1+INDEX(Assumptions!$B$16:$B$20,MATCH(B5274,Assumptions!$A$16:$A$20,0)))</f>
        <v>15957.9</v>
      </c>
      <c r="J5274" s="33" t="n">
        <f aca="false">H5274-I5274</f>
        <v>3992.1</v>
      </c>
      <c r="K5274" s="33" t="n">
        <f aca="false">IF(OR(E5274=0,E5274&gt;=7),0,D5274/(7-E5274)*E5274*INDEX(Products!$E$2:$E$49,MATCH(C5274,Products!$A$2:$A$49,0)))</f>
        <v>0</v>
      </c>
    </row>
    <row r="5275" customFormat="false" ht="15" hidden="false" customHeight="false" outlineLevel="0" collapsed="false">
      <c r="A5275" s="36" t="n">
        <v>46279</v>
      </c>
      <c r="B5275" s="24" t="s">
        <v>65</v>
      </c>
      <c r="C5275" s="24" t="s">
        <v>151</v>
      </c>
      <c r="D5275" s="33" t="n">
        <v>92</v>
      </c>
      <c r="E5275" s="24" t="n">
        <v>0</v>
      </c>
      <c r="F5275" s="37" t="n">
        <f aca="false">DATE(YEAR(A5275),MONTH(A5275),1)</f>
        <v>46266</v>
      </c>
      <c r="G5275" s="24" t="str">
        <f aca="false">INDEX(Products!$C$2:$C$49,MATCH(C5275,Products!$A$2:$A$49,0))</f>
        <v>Beverages</v>
      </c>
      <c r="H5275" s="33" t="n">
        <f aca="false">D5275*INDEX(Products!$E$2:$E$49,MATCH(C5275,Products!$A$2:$A$49,0))</f>
        <v>17480</v>
      </c>
      <c r="I5275" s="33" t="n">
        <f aca="false">D5275*INDEX(Products!$D$2:$D$49,MATCH(C5275,Products!$A$2:$A$49,0))*(1+INDEX(Assumptions!$B$16:$B$20,MATCH(B5275,Assumptions!$A$16:$A$20,0)))</f>
        <v>13982.16</v>
      </c>
      <c r="J5275" s="33" t="n">
        <f aca="false">H5275-I5275</f>
        <v>3497.84</v>
      </c>
      <c r="K5275" s="33" t="n">
        <f aca="false">IF(OR(E5275=0,E5275&gt;=7),0,D5275/(7-E5275)*E5275*INDEX(Products!$E$2:$E$49,MATCH(C5275,Products!$A$2:$A$49,0)))</f>
        <v>0</v>
      </c>
    </row>
    <row r="5276" customFormat="false" ht="15" hidden="false" customHeight="false" outlineLevel="0" collapsed="false">
      <c r="A5276" s="36" t="n">
        <v>46286</v>
      </c>
      <c r="B5276" s="24" t="s">
        <v>65</v>
      </c>
      <c r="C5276" s="24" t="s">
        <v>151</v>
      </c>
      <c r="D5276" s="33" t="n">
        <v>84</v>
      </c>
      <c r="E5276" s="24" t="n">
        <v>0</v>
      </c>
      <c r="F5276" s="37" t="n">
        <f aca="false">DATE(YEAR(A5276),MONTH(A5276),1)</f>
        <v>46266</v>
      </c>
      <c r="G5276" s="24" t="str">
        <f aca="false">INDEX(Products!$C$2:$C$49,MATCH(C5276,Products!$A$2:$A$49,0))</f>
        <v>Beverages</v>
      </c>
      <c r="H5276" s="33" t="n">
        <f aca="false">D5276*INDEX(Products!$E$2:$E$49,MATCH(C5276,Products!$A$2:$A$49,0))</f>
        <v>15960</v>
      </c>
      <c r="I5276" s="33" t="n">
        <f aca="false">D5276*INDEX(Products!$D$2:$D$49,MATCH(C5276,Products!$A$2:$A$49,0))*(1+INDEX(Assumptions!$B$16:$B$20,MATCH(B5276,Assumptions!$A$16:$A$20,0)))</f>
        <v>12766.32</v>
      </c>
      <c r="J5276" s="33" t="n">
        <f aca="false">H5276-I5276</f>
        <v>3193.68</v>
      </c>
      <c r="K5276" s="33" t="n">
        <f aca="false">IF(OR(E5276=0,E5276&gt;=7),0,D5276/(7-E5276)*E5276*INDEX(Products!$E$2:$E$49,MATCH(C5276,Products!$A$2:$A$49,0)))</f>
        <v>0</v>
      </c>
    </row>
    <row r="5277" customFormat="false" ht="15" hidden="false" customHeight="false" outlineLevel="0" collapsed="false">
      <c r="A5277" s="36" t="n">
        <v>46118</v>
      </c>
      <c r="B5277" s="24" t="s">
        <v>65</v>
      </c>
      <c r="C5277" s="24" t="s">
        <v>153</v>
      </c>
      <c r="D5277" s="33" t="n">
        <v>46</v>
      </c>
      <c r="E5277" s="24" t="n">
        <v>0</v>
      </c>
      <c r="F5277" s="37" t="n">
        <f aca="false">DATE(YEAR(A5277),MONTH(A5277),1)</f>
        <v>46113</v>
      </c>
      <c r="G5277" s="24" t="str">
        <f aca="false">INDEX(Products!$C$2:$C$49,MATCH(C5277,Products!$A$2:$A$49,0))</f>
        <v>Beverages</v>
      </c>
      <c r="H5277" s="33" t="n">
        <f aca="false">D5277*INDEX(Products!$E$2:$E$49,MATCH(C5277,Products!$A$2:$A$49,0))</f>
        <v>2300</v>
      </c>
      <c r="I5277" s="33" t="n">
        <f aca="false">D5277*INDEX(Products!$D$2:$D$49,MATCH(C5277,Products!$A$2:$A$49,0))*(1+INDEX(Assumptions!$B$16:$B$20,MATCH(B5277,Assumptions!$A$16:$A$20,0)))</f>
        <v>1642.2</v>
      </c>
      <c r="J5277" s="33" t="n">
        <f aca="false">H5277-I5277</f>
        <v>657.8</v>
      </c>
      <c r="K5277" s="33" t="n">
        <f aca="false">IF(OR(E5277=0,E5277&gt;=7),0,D5277/(7-E5277)*E5277*INDEX(Products!$E$2:$E$49,MATCH(C5277,Products!$A$2:$A$49,0)))</f>
        <v>0</v>
      </c>
    </row>
    <row r="5278" customFormat="false" ht="15" hidden="false" customHeight="false" outlineLevel="0" collapsed="false">
      <c r="A5278" s="36" t="n">
        <v>46125</v>
      </c>
      <c r="B5278" s="24" t="s">
        <v>65</v>
      </c>
      <c r="C5278" s="24" t="s">
        <v>153</v>
      </c>
      <c r="D5278" s="33" t="n">
        <v>48</v>
      </c>
      <c r="E5278" s="24" t="n">
        <v>0</v>
      </c>
      <c r="F5278" s="37" t="n">
        <f aca="false">DATE(YEAR(A5278),MONTH(A5278),1)</f>
        <v>46113</v>
      </c>
      <c r="G5278" s="24" t="str">
        <f aca="false">INDEX(Products!$C$2:$C$49,MATCH(C5278,Products!$A$2:$A$49,0))</f>
        <v>Beverages</v>
      </c>
      <c r="H5278" s="33" t="n">
        <f aca="false">D5278*INDEX(Products!$E$2:$E$49,MATCH(C5278,Products!$A$2:$A$49,0))</f>
        <v>2400</v>
      </c>
      <c r="I5278" s="33" t="n">
        <f aca="false">D5278*INDEX(Products!$D$2:$D$49,MATCH(C5278,Products!$A$2:$A$49,0))*(1+INDEX(Assumptions!$B$16:$B$20,MATCH(B5278,Assumptions!$A$16:$A$20,0)))</f>
        <v>1713.6</v>
      </c>
      <c r="J5278" s="33" t="n">
        <f aca="false">H5278-I5278</f>
        <v>686.4</v>
      </c>
      <c r="K5278" s="33" t="n">
        <f aca="false">IF(OR(E5278=0,E5278&gt;=7),0,D5278/(7-E5278)*E5278*INDEX(Products!$E$2:$E$49,MATCH(C5278,Products!$A$2:$A$49,0)))</f>
        <v>0</v>
      </c>
    </row>
    <row r="5279" customFormat="false" ht="15" hidden="false" customHeight="false" outlineLevel="0" collapsed="false">
      <c r="A5279" s="36" t="n">
        <v>46132</v>
      </c>
      <c r="B5279" s="24" t="s">
        <v>65</v>
      </c>
      <c r="C5279" s="24" t="s">
        <v>153</v>
      </c>
      <c r="D5279" s="33" t="n">
        <v>63</v>
      </c>
      <c r="E5279" s="24" t="n">
        <v>0</v>
      </c>
      <c r="F5279" s="37" t="n">
        <f aca="false">DATE(YEAR(A5279),MONTH(A5279),1)</f>
        <v>46113</v>
      </c>
      <c r="G5279" s="24" t="str">
        <f aca="false">INDEX(Products!$C$2:$C$49,MATCH(C5279,Products!$A$2:$A$49,0))</f>
        <v>Beverages</v>
      </c>
      <c r="H5279" s="33" t="n">
        <f aca="false">D5279*INDEX(Products!$E$2:$E$49,MATCH(C5279,Products!$A$2:$A$49,0))</f>
        <v>3150</v>
      </c>
      <c r="I5279" s="33" t="n">
        <f aca="false">D5279*INDEX(Products!$D$2:$D$49,MATCH(C5279,Products!$A$2:$A$49,0))*(1+INDEX(Assumptions!$B$16:$B$20,MATCH(B5279,Assumptions!$A$16:$A$20,0)))</f>
        <v>2249.1</v>
      </c>
      <c r="J5279" s="33" t="n">
        <f aca="false">H5279-I5279</f>
        <v>900.9</v>
      </c>
      <c r="K5279" s="33" t="n">
        <f aca="false">IF(OR(E5279=0,E5279&gt;=7),0,D5279/(7-E5279)*E5279*INDEX(Products!$E$2:$E$49,MATCH(C5279,Products!$A$2:$A$49,0)))</f>
        <v>0</v>
      </c>
    </row>
    <row r="5280" customFormat="false" ht="15" hidden="false" customHeight="false" outlineLevel="0" collapsed="false">
      <c r="A5280" s="36" t="n">
        <v>46139</v>
      </c>
      <c r="B5280" s="24" t="s">
        <v>65</v>
      </c>
      <c r="C5280" s="24" t="s">
        <v>153</v>
      </c>
      <c r="D5280" s="33" t="n">
        <v>51</v>
      </c>
      <c r="E5280" s="24" t="n">
        <v>0</v>
      </c>
      <c r="F5280" s="37" t="n">
        <f aca="false">DATE(YEAR(A5280),MONTH(A5280),1)</f>
        <v>46113</v>
      </c>
      <c r="G5280" s="24" t="str">
        <f aca="false">INDEX(Products!$C$2:$C$49,MATCH(C5280,Products!$A$2:$A$49,0))</f>
        <v>Beverages</v>
      </c>
      <c r="H5280" s="33" t="n">
        <f aca="false">D5280*INDEX(Products!$E$2:$E$49,MATCH(C5280,Products!$A$2:$A$49,0))</f>
        <v>2550</v>
      </c>
      <c r="I5280" s="33" t="n">
        <f aca="false">D5280*INDEX(Products!$D$2:$D$49,MATCH(C5280,Products!$A$2:$A$49,0))*(1+INDEX(Assumptions!$B$16:$B$20,MATCH(B5280,Assumptions!$A$16:$A$20,0)))</f>
        <v>1820.7</v>
      </c>
      <c r="J5280" s="33" t="n">
        <f aca="false">H5280-I5280</f>
        <v>729.3</v>
      </c>
      <c r="K5280" s="33" t="n">
        <f aca="false">IF(OR(E5280=0,E5280&gt;=7),0,D5280/(7-E5280)*E5280*INDEX(Products!$E$2:$E$49,MATCH(C5280,Products!$A$2:$A$49,0)))</f>
        <v>0</v>
      </c>
    </row>
    <row r="5281" customFormat="false" ht="15" hidden="false" customHeight="false" outlineLevel="0" collapsed="false">
      <c r="A5281" s="36" t="n">
        <v>46146</v>
      </c>
      <c r="B5281" s="24" t="s">
        <v>65</v>
      </c>
      <c r="C5281" s="24" t="s">
        <v>153</v>
      </c>
      <c r="D5281" s="33" t="n">
        <v>55</v>
      </c>
      <c r="E5281" s="24" t="n">
        <v>0</v>
      </c>
      <c r="F5281" s="37" t="n">
        <f aca="false">DATE(YEAR(A5281),MONTH(A5281),1)</f>
        <v>46143</v>
      </c>
      <c r="G5281" s="24" t="str">
        <f aca="false">INDEX(Products!$C$2:$C$49,MATCH(C5281,Products!$A$2:$A$49,0))</f>
        <v>Beverages</v>
      </c>
      <c r="H5281" s="33" t="n">
        <f aca="false">D5281*INDEX(Products!$E$2:$E$49,MATCH(C5281,Products!$A$2:$A$49,0))</f>
        <v>2750</v>
      </c>
      <c r="I5281" s="33" t="n">
        <f aca="false">D5281*INDEX(Products!$D$2:$D$49,MATCH(C5281,Products!$A$2:$A$49,0))*(1+INDEX(Assumptions!$B$16:$B$20,MATCH(B5281,Assumptions!$A$16:$A$20,0)))</f>
        <v>1963.5</v>
      </c>
      <c r="J5281" s="33" t="n">
        <f aca="false">H5281-I5281</f>
        <v>786.5</v>
      </c>
      <c r="K5281" s="33" t="n">
        <f aca="false">IF(OR(E5281=0,E5281&gt;=7),0,D5281/(7-E5281)*E5281*INDEX(Products!$E$2:$E$49,MATCH(C5281,Products!$A$2:$A$49,0)))</f>
        <v>0</v>
      </c>
    </row>
    <row r="5282" customFormat="false" ht="15" hidden="false" customHeight="false" outlineLevel="0" collapsed="false">
      <c r="A5282" s="36" t="n">
        <v>46153</v>
      </c>
      <c r="B5282" s="24" t="s">
        <v>65</v>
      </c>
      <c r="C5282" s="24" t="s">
        <v>153</v>
      </c>
      <c r="D5282" s="33" t="n">
        <v>59</v>
      </c>
      <c r="E5282" s="24" t="n">
        <v>0</v>
      </c>
      <c r="F5282" s="37" t="n">
        <f aca="false">DATE(YEAR(A5282),MONTH(A5282),1)</f>
        <v>46143</v>
      </c>
      <c r="G5282" s="24" t="str">
        <f aca="false">INDEX(Products!$C$2:$C$49,MATCH(C5282,Products!$A$2:$A$49,0))</f>
        <v>Beverages</v>
      </c>
      <c r="H5282" s="33" t="n">
        <f aca="false">D5282*INDEX(Products!$E$2:$E$49,MATCH(C5282,Products!$A$2:$A$49,0))</f>
        <v>2950</v>
      </c>
      <c r="I5282" s="33" t="n">
        <f aca="false">D5282*INDEX(Products!$D$2:$D$49,MATCH(C5282,Products!$A$2:$A$49,0))*(1+INDEX(Assumptions!$B$16:$B$20,MATCH(B5282,Assumptions!$A$16:$A$20,0)))</f>
        <v>2106.3</v>
      </c>
      <c r="J5282" s="33" t="n">
        <f aca="false">H5282-I5282</f>
        <v>843.7</v>
      </c>
      <c r="K5282" s="33" t="n">
        <f aca="false">IF(OR(E5282=0,E5282&gt;=7),0,D5282/(7-E5282)*E5282*INDEX(Products!$E$2:$E$49,MATCH(C5282,Products!$A$2:$A$49,0)))</f>
        <v>0</v>
      </c>
    </row>
    <row r="5283" customFormat="false" ht="15" hidden="false" customHeight="false" outlineLevel="0" collapsed="false">
      <c r="A5283" s="36" t="n">
        <v>46160</v>
      </c>
      <c r="B5283" s="24" t="s">
        <v>65</v>
      </c>
      <c r="C5283" s="24" t="s">
        <v>153</v>
      </c>
      <c r="D5283" s="33" t="n">
        <v>48</v>
      </c>
      <c r="E5283" s="24" t="n">
        <v>0</v>
      </c>
      <c r="F5283" s="37" t="n">
        <f aca="false">DATE(YEAR(A5283),MONTH(A5283),1)</f>
        <v>46143</v>
      </c>
      <c r="G5283" s="24" t="str">
        <f aca="false">INDEX(Products!$C$2:$C$49,MATCH(C5283,Products!$A$2:$A$49,0))</f>
        <v>Beverages</v>
      </c>
      <c r="H5283" s="33" t="n">
        <f aca="false">D5283*INDEX(Products!$E$2:$E$49,MATCH(C5283,Products!$A$2:$A$49,0))</f>
        <v>2400</v>
      </c>
      <c r="I5283" s="33" t="n">
        <f aca="false">D5283*INDEX(Products!$D$2:$D$49,MATCH(C5283,Products!$A$2:$A$49,0))*(1+INDEX(Assumptions!$B$16:$B$20,MATCH(B5283,Assumptions!$A$16:$A$20,0)))</f>
        <v>1713.6</v>
      </c>
      <c r="J5283" s="33" t="n">
        <f aca="false">H5283-I5283</f>
        <v>686.4</v>
      </c>
      <c r="K5283" s="33" t="n">
        <f aca="false">IF(OR(E5283=0,E5283&gt;=7),0,D5283/(7-E5283)*E5283*INDEX(Products!$E$2:$E$49,MATCH(C5283,Products!$A$2:$A$49,0)))</f>
        <v>0</v>
      </c>
    </row>
    <row r="5284" customFormat="false" ht="15" hidden="false" customHeight="false" outlineLevel="0" collapsed="false">
      <c r="A5284" s="36" t="n">
        <v>46167</v>
      </c>
      <c r="B5284" s="24" t="s">
        <v>65</v>
      </c>
      <c r="C5284" s="24" t="s">
        <v>153</v>
      </c>
      <c r="D5284" s="33" t="n">
        <v>48</v>
      </c>
      <c r="E5284" s="24" t="n">
        <v>0</v>
      </c>
      <c r="F5284" s="37" t="n">
        <f aca="false">DATE(YEAR(A5284),MONTH(A5284),1)</f>
        <v>46143</v>
      </c>
      <c r="G5284" s="24" t="str">
        <f aca="false">INDEX(Products!$C$2:$C$49,MATCH(C5284,Products!$A$2:$A$49,0))</f>
        <v>Beverages</v>
      </c>
      <c r="H5284" s="33" t="n">
        <f aca="false">D5284*INDEX(Products!$E$2:$E$49,MATCH(C5284,Products!$A$2:$A$49,0))</f>
        <v>2400</v>
      </c>
      <c r="I5284" s="33" t="n">
        <f aca="false">D5284*INDEX(Products!$D$2:$D$49,MATCH(C5284,Products!$A$2:$A$49,0))*(1+INDEX(Assumptions!$B$16:$B$20,MATCH(B5284,Assumptions!$A$16:$A$20,0)))</f>
        <v>1713.6</v>
      </c>
      <c r="J5284" s="33" t="n">
        <f aca="false">H5284-I5284</f>
        <v>686.4</v>
      </c>
      <c r="K5284" s="33" t="n">
        <f aca="false">IF(OR(E5284=0,E5284&gt;=7),0,D5284/(7-E5284)*E5284*INDEX(Products!$E$2:$E$49,MATCH(C5284,Products!$A$2:$A$49,0)))</f>
        <v>0</v>
      </c>
    </row>
    <row r="5285" customFormat="false" ht="15" hidden="false" customHeight="false" outlineLevel="0" collapsed="false">
      <c r="A5285" s="36" t="n">
        <v>46174</v>
      </c>
      <c r="B5285" s="24" t="s">
        <v>65</v>
      </c>
      <c r="C5285" s="24" t="s">
        <v>153</v>
      </c>
      <c r="D5285" s="33" t="n">
        <v>54</v>
      </c>
      <c r="E5285" s="24" t="n">
        <v>0</v>
      </c>
      <c r="F5285" s="37" t="n">
        <f aca="false">DATE(YEAR(A5285),MONTH(A5285),1)</f>
        <v>46174</v>
      </c>
      <c r="G5285" s="24" t="str">
        <f aca="false">INDEX(Products!$C$2:$C$49,MATCH(C5285,Products!$A$2:$A$49,0))</f>
        <v>Beverages</v>
      </c>
      <c r="H5285" s="33" t="n">
        <f aca="false">D5285*INDEX(Products!$E$2:$E$49,MATCH(C5285,Products!$A$2:$A$49,0))</f>
        <v>2700</v>
      </c>
      <c r="I5285" s="33" t="n">
        <f aca="false">D5285*INDEX(Products!$D$2:$D$49,MATCH(C5285,Products!$A$2:$A$49,0))*(1+INDEX(Assumptions!$B$16:$B$20,MATCH(B5285,Assumptions!$A$16:$A$20,0)))</f>
        <v>1927.8</v>
      </c>
      <c r="J5285" s="33" t="n">
        <f aca="false">H5285-I5285</f>
        <v>772.2</v>
      </c>
      <c r="K5285" s="33" t="n">
        <f aca="false">IF(OR(E5285=0,E5285&gt;=7),0,D5285/(7-E5285)*E5285*INDEX(Products!$E$2:$E$49,MATCH(C5285,Products!$A$2:$A$49,0)))</f>
        <v>0</v>
      </c>
    </row>
    <row r="5286" customFormat="false" ht="15" hidden="false" customHeight="false" outlineLevel="0" collapsed="false">
      <c r="A5286" s="36" t="n">
        <v>46181</v>
      </c>
      <c r="B5286" s="24" t="s">
        <v>65</v>
      </c>
      <c r="C5286" s="24" t="s">
        <v>153</v>
      </c>
      <c r="D5286" s="33" t="n">
        <v>47</v>
      </c>
      <c r="E5286" s="24" t="n">
        <v>0</v>
      </c>
      <c r="F5286" s="37" t="n">
        <f aca="false">DATE(YEAR(A5286),MONTH(A5286),1)</f>
        <v>46174</v>
      </c>
      <c r="G5286" s="24" t="str">
        <f aca="false">INDEX(Products!$C$2:$C$49,MATCH(C5286,Products!$A$2:$A$49,0))</f>
        <v>Beverages</v>
      </c>
      <c r="H5286" s="33" t="n">
        <f aca="false">D5286*INDEX(Products!$E$2:$E$49,MATCH(C5286,Products!$A$2:$A$49,0))</f>
        <v>2350</v>
      </c>
      <c r="I5286" s="33" t="n">
        <f aca="false">D5286*INDEX(Products!$D$2:$D$49,MATCH(C5286,Products!$A$2:$A$49,0))*(1+INDEX(Assumptions!$B$16:$B$20,MATCH(B5286,Assumptions!$A$16:$A$20,0)))</f>
        <v>1677.9</v>
      </c>
      <c r="J5286" s="33" t="n">
        <f aca="false">H5286-I5286</f>
        <v>672.1</v>
      </c>
      <c r="K5286" s="33" t="n">
        <f aca="false">IF(OR(E5286=0,E5286&gt;=7),0,D5286/(7-E5286)*E5286*INDEX(Products!$E$2:$E$49,MATCH(C5286,Products!$A$2:$A$49,0)))</f>
        <v>0</v>
      </c>
    </row>
    <row r="5287" customFormat="false" ht="15" hidden="false" customHeight="false" outlineLevel="0" collapsed="false">
      <c r="A5287" s="36" t="n">
        <v>46188</v>
      </c>
      <c r="B5287" s="24" t="s">
        <v>65</v>
      </c>
      <c r="C5287" s="24" t="s">
        <v>153</v>
      </c>
      <c r="D5287" s="33" t="n">
        <v>34</v>
      </c>
      <c r="E5287" s="24" t="n">
        <v>0</v>
      </c>
      <c r="F5287" s="37" t="n">
        <f aca="false">DATE(YEAR(A5287),MONTH(A5287),1)</f>
        <v>46174</v>
      </c>
      <c r="G5287" s="24" t="str">
        <f aca="false">INDEX(Products!$C$2:$C$49,MATCH(C5287,Products!$A$2:$A$49,0))</f>
        <v>Beverages</v>
      </c>
      <c r="H5287" s="33" t="n">
        <f aca="false">D5287*INDEX(Products!$E$2:$E$49,MATCH(C5287,Products!$A$2:$A$49,0))</f>
        <v>1700</v>
      </c>
      <c r="I5287" s="33" t="n">
        <f aca="false">D5287*INDEX(Products!$D$2:$D$49,MATCH(C5287,Products!$A$2:$A$49,0))*(1+INDEX(Assumptions!$B$16:$B$20,MATCH(B5287,Assumptions!$A$16:$A$20,0)))</f>
        <v>1213.8</v>
      </c>
      <c r="J5287" s="33" t="n">
        <f aca="false">H5287-I5287</f>
        <v>486.2</v>
      </c>
      <c r="K5287" s="33" t="n">
        <f aca="false">IF(OR(E5287=0,E5287&gt;=7),0,D5287/(7-E5287)*E5287*INDEX(Products!$E$2:$E$49,MATCH(C5287,Products!$A$2:$A$49,0)))</f>
        <v>0</v>
      </c>
    </row>
    <row r="5288" customFormat="false" ht="15" hidden="false" customHeight="false" outlineLevel="0" collapsed="false">
      <c r="A5288" s="36" t="n">
        <v>46195</v>
      </c>
      <c r="B5288" s="24" t="s">
        <v>65</v>
      </c>
      <c r="C5288" s="24" t="s">
        <v>153</v>
      </c>
      <c r="D5288" s="33" t="n">
        <v>53</v>
      </c>
      <c r="E5288" s="24" t="n">
        <v>0</v>
      </c>
      <c r="F5288" s="37" t="n">
        <f aca="false">DATE(YEAR(A5288),MONTH(A5288),1)</f>
        <v>46174</v>
      </c>
      <c r="G5288" s="24" t="str">
        <f aca="false">INDEX(Products!$C$2:$C$49,MATCH(C5288,Products!$A$2:$A$49,0))</f>
        <v>Beverages</v>
      </c>
      <c r="H5288" s="33" t="n">
        <f aca="false">D5288*INDEX(Products!$E$2:$E$49,MATCH(C5288,Products!$A$2:$A$49,0))</f>
        <v>2650</v>
      </c>
      <c r="I5288" s="33" t="n">
        <f aca="false">D5288*INDEX(Products!$D$2:$D$49,MATCH(C5288,Products!$A$2:$A$49,0))*(1+INDEX(Assumptions!$B$16:$B$20,MATCH(B5288,Assumptions!$A$16:$A$20,0)))</f>
        <v>1892.1</v>
      </c>
      <c r="J5288" s="33" t="n">
        <f aca="false">H5288-I5288</f>
        <v>757.9</v>
      </c>
      <c r="K5288" s="33" t="n">
        <f aca="false">IF(OR(E5288=0,E5288&gt;=7),0,D5288/(7-E5288)*E5288*INDEX(Products!$E$2:$E$49,MATCH(C5288,Products!$A$2:$A$49,0)))</f>
        <v>0</v>
      </c>
    </row>
    <row r="5289" customFormat="false" ht="15" hidden="false" customHeight="false" outlineLevel="0" collapsed="false">
      <c r="A5289" s="36" t="n">
        <v>46202</v>
      </c>
      <c r="B5289" s="24" t="s">
        <v>65</v>
      </c>
      <c r="C5289" s="24" t="s">
        <v>153</v>
      </c>
      <c r="D5289" s="33" t="n">
        <v>53</v>
      </c>
      <c r="E5289" s="24" t="n">
        <v>0</v>
      </c>
      <c r="F5289" s="37" t="n">
        <f aca="false">DATE(YEAR(A5289),MONTH(A5289),1)</f>
        <v>46174</v>
      </c>
      <c r="G5289" s="24" t="str">
        <f aca="false">INDEX(Products!$C$2:$C$49,MATCH(C5289,Products!$A$2:$A$49,0))</f>
        <v>Beverages</v>
      </c>
      <c r="H5289" s="33" t="n">
        <f aca="false">D5289*INDEX(Products!$E$2:$E$49,MATCH(C5289,Products!$A$2:$A$49,0))</f>
        <v>2650</v>
      </c>
      <c r="I5289" s="33" t="n">
        <f aca="false">D5289*INDEX(Products!$D$2:$D$49,MATCH(C5289,Products!$A$2:$A$49,0))*(1+INDEX(Assumptions!$B$16:$B$20,MATCH(B5289,Assumptions!$A$16:$A$20,0)))</f>
        <v>1892.1</v>
      </c>
      <c r="J5289" s="33" t="n">
        <f aca="false">H5289-I5289</f>
        <v>757.9</v>
      </c>
      <c r="K5289" s="33" t="n">
        <f aca="false">IF(OR(E5289=0,E5289&gt;=7),0,D5289/(7-E5289)*E5289*INDEX(Products!$E$2:$E$49,MATCH(C5289,Products!$A$2:$A$49,0)))</f>
        <v>0</v>
      </c>
    </row>
    <row r="5290" customFormat="false" ht="15" hidden="false" customHeight="false" outlineLevel="0" collapsed="false">
      <c r="A5290" s="36" t="n">
        <v>46209</v>
      </c>
      <c r="B5290" s="24" t="s">
        <v>65</v>
      </c>
      <c r="C5290" s="24" t="s">
        <v>153</v>
      </c>
      <c r="D5290" s="33" t="n">
        <v>41</v>
      </c>
      <c r="E5290" s="24" t="n">
        <v>0</v>
      </c>
      <c r="F5290" s="37" t="n">
        <f aca="false">DATE(YEAR(A5290),MONTH(A5290),1)</f>
        <v>46204</v>
      </c>
      <c r="G5290" s="24" t="str">
        <f aca="false">INDEX(Products!$C$2:$C$49,MATCH(C5290,Products!$A$2:$A$49,0))</f>
        <v>Beverages</v>
      </c>
      <c r="H5290" s="33" t="n">
        <f aca="false">D5290*INDEX(Products!$E$2:$E$49,MATCH(C5290,Products!$A$2:$A$49,0))</f>
        <v>2050</v>
      </c>
      <c r="I5290" s="33" t="n">
        <f aca="false">D5290*INDEX(Products!$D$2:$D$49,MATCH(C5290,Products!$A$2:$A$49,0))*(1+INDEX(Assumptions!$B$16:$B$20,MATCH(B5290,Assumptions!$A$16:$A$20,0)))</f>
        <v>1463.7</v>
      </c>
      <c r="J5290" s="33" t="n">
        <f aca="false">H5290-I5290</f>
        <v>586.3</v>
      </c>
      <c r="K5290" s="33" t="n">
        <f aca="false">IF(OR(E5290=0,E5290&gt;=7),0,D5290/(7-E5290)*E5290*INDEX(Products!$E$2:$E$49,MATCH(C5290,Products!$A$2:$A$49,0)))</f>
        <v>0</v>
      </c>
    </row>
    <row r="5291" customFormat="false" ht="15" hidden="false" customHeight="false" outlineLevel="0" collapsed="false">
      <c r="A5291" s="36" t="n">
        <v>46216</v>
      </c>
      <c r="B5291" s="24" t="s">
        <v>65</v>
      </c>
      <c r="C5291" s="24" t="s">
        <v>153</v>
      </c>
      <c r="D5291" s="33" t="n">
        <v>33</v>
      </c>
      <c r="E5291" s="24" t="n">
        <v>0</v>
      </c>
      <c r="F5291" s="37" t="n">
        <f aca="false">DATE(YEAR(A5291),MONTH(A5291),1)</f>
        <v>46204</v>
      </c>
      <c r="G5291" s="24" t="str">
        <f aca="false">INDEX(Products!$C$2:$C$49,MATCH(C5291,Products!$A$2:$A$49,0))</f>
        <v>Beverages</v>
      </c>
      <c r="H5291" s="33" t="n">
        <f aca="false">D5291*INDEX(Products!$E$2:$E$49,MATCH(C5291,Products!$A$2:$A$49,0))</f>
        <v>1650</v>
      </c>
      <c r="I5291" s="33" t="n">
        <f aca="false">D5291*INDEX(Products!$D$2:$D$49,MATCH(C5291,Products!$A$2:$A$49,0))*(1+INDEX(Assumptions!$B$16:$B$20,MATCH(B5291,Assumptions!$A$16:$A$20,0)))</f>
        <v>1178.1</v>
      </c>
      <c r="J5291" s="33" t="n">
        <f aca="false">H5291-I5291</f>
        <v>471.9</v>
      </c>
      <c r="K5291" s="33" t="n">
        <f aca="false">IF(OR(E5291=0,E5291&gt;=7),0,D5291/(7-E5291)*E5291*INDEX(Products!$E$2:$E$49,MATCH(C5291,Products!$A$2:$A$49,0)))</f>
        <v>0</v>
      </c>
    </row>
    <row r="5292" customFormat="false" ht="15" hidden="false" customHeight="false" outlineLevel="0" collapsed="false">
      <c r="A5292" s="36" t="n">
        <v>46223</v>
      </c>
      <c r="B5292" s="24" t="s">
        <v>65</v>
      </c>
      <c r="C5292" s="24" t="s">
        <v>153</v>
      </c>
      <c r="D5292" s="33" t="n">
        <v>53</v>
      </c>
      <c r="E5292" s="24" t="n">
        <v>0</v>
      </c>
      <c r="F5292" s="37" t="n">
        <f aca="false">DATE(YEAR(A5292),MONTH(A5292),1)</f>
        <v>46204</v>
      </c>
      <c r="G5292" s="24" t="str">
        <f aca="false">INDEX(Products!$C$2:$C$49,MATCH(C5292,Products!$A$2:$A$49,0))</f>
        <v>Beverages</v>
      </c>
      <c r="H5292" s="33" t="n">
        <f aca="false">D5292*INDEX(Products!$E$2:$E$49,MATCH(C5292,Products!$A$2:$A$49,0))</f>
        <v>2650</v>
      </c>
      <c r="I5292" s="33" t="n">
        <f aca="false">D5292*INDEX(Products!$D$2:$D$49,MATCH(C5292,Products!$A$2:$A$49,0))*(1+INDEX(Assumptions!$B$16:$B$20,MATCH(B5292,Assumptions!$A$16:$A$20,0)))</f>
        <v>1892.1</v>
      </c>
      <c r="J5292" s="33" t="n">
        <f aca="false">H5292-I5292</f>
        <v>757.9</v>
      </c>
      <c r="K5292" s="33" t="n">
        <f aca="false">IF(OR(E5292=0,E5292&gt;=7),0,D5292/(7-E5292)*E5292*INDEX(Products!$E$2:$E$49,MATCH(C5292,Products!$A$2:$A$49,0)))</f>
        <v>0</v>
      </c>
    </row>
    <row r="5293" customFormat="false" ht="15" hidden="false" customHeight="false" outlineLevel="0" collapsed="false">
      <c r="A5293" s="36" t="n">
        <v>46230</v>
      </c>
      <c r="B5293" s="24" t="s">
        <v>65</v>
      </c>
      <c r="C5293" s="24" t="s">
        <v>153</v>
      </c>
      <c r="D5293" s="33" t="n">
        <v>65</v>
      </c>
      <c r="E5293" s="24" t="n">
        <v>0</v>
      </c>
      <c r="F5293" s="37" t="n">
        <f aca="false">DATE(YEAR(A5293),MONTH(A5293),1)</f>
        <v>46204</v>
      </c>
      <c r="G5293" s="24" t="str">
        <f aca="false">INDEX(Products!$C$2:$C$49,MATCH(C5293,Products!$A$2:$A$49,0))</f>
        <v>Beverages</v>
      </c>
      <c r="H5293" s="33" t="n">
        <f aca="false">D5293*INDEX(Products!$E$2:$E$49,MATCH(C5293,Products!$A$2:$A$49,0))</f>
        <v>3250</v>
      </c>
      <c r="I5293" s="33" t="n">
        <f aca="false">D5293*INDEX(Products!$D$2:$D$49,MATCH(C5293,Products!$A$2:$A$49,0))*(1+INDEX(Assumptions!$B$16:$B$20,MATCH(B5293,Assumptions!$A$16:$A$20,0)))</f>
        <v>2320.5</v>
      </c>
      <c r="J5293" s="33" t="n">
        <f aca="false">H5293-I5293</f>
        <v>929.5</v>
      </c>
      <c r="K5293" s="33" t="n">
        <f aca="false">IF(OR(E5293=0,E5293&gt;=7),0,D5293/(7-E5293)*E5293*INDEX(Products!$E$2:$E$49,MATCH(C5293,Products!$A$2:$A$49,0)))</f>
        <v>0</v>
      </c>
    </row>
    <row r="5294" customFormat="false" ht="15" hidden="false" customHeight="false" outlineLevel="0" collapsed="false">
      <c r="A5294" s="36" t="n">
        <v>46237</v>
      </c>
      <c r="B5294" s="24" t="s">
        <v>65</v>
      </c>
      <c r="C5294" s="24" t="s">
        <v>153</v>
      </c>
      <c r="D5294" s="33" t="n">
        <v>36</v>
      </c>
      <c r="E5294" s="24" t="n">
        <v>0</v>
      </c>
      <c r="F5294" s="37" t="n">
        <f aca="false">DATE(YEAR(A5294),MONTH(A5294),1)</f>
        <v>46235</v>
      </c>
      <c r="G5294" s="24" t="str">
        <f aca="false">INDEX(Products!$C$2:$C$49,MATCH(C5294,Products!$A$2:$A$49,0))</f>
        <v>Beverages</v>
      </c>
      <c r="H5294" s="33" t="n">
        <f aca="false">D5294*INDEX(Products!$E$2:$E$49,MATCH(C5294,Products!$A$2:$A$49,0))</f>
        <v>1800</v>
      </c>
      <c r="I5294" s="33" t="n">
        <f aca="false">D5294*INDEX(Products!$D$2:$D$49,MATCH(C5294,Products!$A$2:$A$49,0))*(1+INDEX(Assumptions!$B$16:$B$20,MATCH(B5294,Assumptions!$A$16:$A$20,0)))</f>
        <v>1285.2</v>
      </c>
      <c r="J5294" s="33" t="n">
        <f aca="false">H5294-I5294</f>
        <v>514.8</v>
      </c>
      <c r="K5294" s="33" t="n">
        <f aca="false">IF(OR(E5294=0,E5294&gt;=7),0,D5294/(7-E5294)*E5294*INDEX(Products!$E$2:$E$49,MATCH(C5294,Products!$A$2:$A$49,0)))</f>
        <v>0</v>
      </c>
    </row>
    <row r="5295" customFormat="false" ht="15" hidden="false" customHeight="false" outlineLevel="0" collapsed="false">
      <c r="A5295" s="36" t="n">
        <v>46244</v>
      </c>
      <c r="B5295" s="24" t="s">
        <v>65</v>
      </c>
      <c r="C5295" s="24" t="s">
        <v>153</v>
      </c>
      <c r="D5295" s="33" t="n">
        <v>39</v>
      </c>
      <c r="E5295" s="24" t="n">
        <v>0</v>
      </c>
      <c r="F5295" s="37" t="n">
        <f aca="false">DATE(YEAR(A5295),MONTH(A5295),1)</f>
        <v>46235</v>
      </c>
      <c r="G5295" s="24" t="str">
        <f aca="false">INDEX(Products!$C$2:$C$49,MATCH(C5295,Products!$A$2:$A$49,0))</f>
        <v>Beverages</v>
      </c>
      <c r="H5295" s="33" t="n">
        <f aca="false">D5295*INDEX(Products!$E$2:$E$49,MATCH(C5295,Products!$A$2:$A$49,0))</f>
        <v>1950</v>
      </c>
      <c r="I5295" s="33" t="n">
        <f aca="false">D5295*INDEX(Products!$D$2:$D$49,MATCH(C5295,Products!$A$2:$A$49,0))*(1+INDEX(Assumptions!$B$16:$B$20,MATCH(B5295,Assumptions!$A$16:$A$20,0)))</f>
        <v>1392.3</v>
      </c>
      <c r="J5295" s="33" t="n">
        <f aca="false">H5295-I5295</f>
        <v>557.7</v>
      </c>
      <c r="K5295" s="33" t="n">
        <f aca="false">IF(OR(E5295=0,E5295&gt;=7),0,D5295/(7-E5295)*E5295*INDEX(Products!$E$2:$E$49,MATCH(C5295,Products!$A$2:$A$49,0)))</f>
        <v>0</v>
      </c>
    </row>
    <row r="5296" customFormat="false" ht="15" hidden="false" customHeight="false" outlineLevel="0" collapsed="false">
      <c r="A5296" s="36" t="n">
        <v>46251</v>
      </c>
      <c r="B5296" s="24" t="s">
        <v>65</v>
      </c>
      <c r="C5296" s="24" t="s">
        <v>153</v>
      </c>
      <c r="D5296" s="33" t="n">
        <v>46</v>
      </c>
      <c r="E5296" s="24" t="n">
        <v>0</v>
      </c>
      <c r="F5296" s="37" t="n">
        <f aca="false">DATE(YEAR(A5296),MONTH(A5296),1)</f>
        <v>46235</v>
      </c>
      <c r="G5296" s="24" t="str">
        <f aca="false">INDEX(Products!$C$2:$C$49,MATCH(C5296,Products!$A$2:$A$49,0))</f>
        <v>Beverages</v>
      </c>
      <c r="H5296" s="33" t="n">
        <f aca="false">D5296*INDEX(Products!$E$2:$E$49,MATCH(C5296,Products!$A$2:$A$49,0))</f>
        <v>2300</v>
      </c>
      <c r="I5296" s="33" t="n">
        <f aca="false">D5296*INDEX(Products!$D$2:$D$49,MATCH(C5296,Products!$A$2:$A$49,0))*(1+INDEX(Assumptions!$B$16:$B$20,MATCH(B5296,Assumptions!$A$16:$A$20,0)))</f>
        <v>1642.2</v>
      </c>
      <c r="J5296" s="33" t="n">
        <f aca="false">H5296-I5296</f>
        <v>657.8</v>
      </c>
      <c r="K5296" s="33" t="n">
        <f aca="false">IF(OR(E5296=0,E5296&gt;=7),0,D5296/(7-E5296)*E5296*INDEX(Products!$E$2:$E$49,MATCH(C5296,Products!$A$2:$A$49,0)))</f>
        <v>0</v>
      </c>
    </row>
    <row r="5297" customFormat="false" ht="15" hidden="false" customHeight="false" outlineLevel="0" collapsed="false">
      <c r="A5297" s="36" t="n">
        <v>46258</v>
      </c>
      <c r="B5297" s="24" t="s">
        <v>65</v>
      </c>
      <c r="C5297" s="24" t="s">
        <v>153</v>
      </c>
      <c r="D5297" s="33" t="n">
        <v>47</v>
      </c>
      <c r="E5297" s="24" t="n">
        <v>0</v>
      </c>
      <c r="F5297" s="37" t="n">
        <f aca="false">DATE(YEAR(A5297),MONTH(A5297),1)</f>
        <v>46235</v>
      </c>
      <c r="G5297" s="24" t="str">
        <f aca="false">INDEX(Products!$C$2:$C$49,MATCH(C5297,Products!$A$2:$A$49,0))</f>
        <v>Beverages</v>
      </c>
      <c r="H5297" s="33" t="n">
        <f aca="false">D5297*INDEX(Products!$E$2:$E$49,MATCH(C5297,Products!$A$2:$A$49,0))</f>
        <v>2350</v>
      </c>
      <c r="I5297" s="33" t="n">
        <f aca="false">D5297*INDEX(Products!$D$2:$D$49,MATCH(C5297,Products!$A$2:$A$49,0))*(1+INDEX(Assumptions!$B$16:$B$20,MATCH(B5297,Assumptions!$A$16:$A$20,0)))</f>
        <v>1677.9</v>
      </c>
      <c r="J5297" s="33" t="n">
        <f aca="false">H5297-I5297</f>
        <v>672.1</v>
      </c>
      <c r="K5297" s="33" t="n">
        <f aca="false">IF(OR(E5297=0,E5297&gt;=7),0,D5297/(7-E5297)*E5297*INDEX(Products!$E$2:$E$49,MATCH(C5297,Products!$A$2:$A$49,0)))</f>
        <v>0</v>
      </c>
    </row>
    <row r="5298" customFormat="false" ht="15" hidden="false" customHeight="false" outlineLevel="0" collapsed="false">
      <c r="A5298" s="36" t="n">
        <v>46265</v>
      </c>
      <c r="B5298" s="24" t="s">
        <v>65</v>
      </c>
      <c r="C5298" s="24" t="s">
        <v>153</v>
      </c>
      <c r="D5298" s="33" t="n">
        <v>49</v>
      </c>
      <c r="E5298" s="24" t="n">
        <v>0</v>
      </c>
      <c r="F5298" s="37" t="n">
        <f aca="false">DATE(YEAR(A5298),MONTH(A5298),1)</f>
        <v>46235</v>
      </c>
      <c r="G5298" s="24" t="str">
        <f aca="false">INDEX(Products!$C$2:$C$49,MATCH(C5298,Products!$A$2:$A$49,0))</f>
        <v>Beverages</v>
      </c>
      <c r="H5298" s="33" t="n">
        <f aca="false">D5298*INDEX(Products!$E$2:$E$49,MATCH(C5298,Products!$A$2:$A$49,0))</f>
        <v>2450</v>
      </c>
      <c r="I5298" s="33" t="n">
        <f aca="false">D5298*INDEX(Products!$D$2:$D$49,MATCH(C5298,Products!$A$2:$A$49,0))*(1+INDEX(Assumptions!$B$16:$B$20,MATCH(B5298,Assumptions!$A$16:$A$20,0)))</f>
        <v>1749.3</v>
      </c>
      <c r="J5298" s="33" t="n">
        <f aca="false">H5298-I5298</f>
        <v>700.7</v>
      </c>
      <c r="K5298" s="33" t="n">
        <f aca="false">IF(OR(E5298=0,E5298&gt;=7),0,D5298/(7-E5298)*E5298*INDEX(Products!$E$2:$E$49,MATCH(C5298,Products!$A$2:$A$49,0)))</f>
        <v>0</v>
      </c>
    </row>
    <row r="5299" customFormat="false" ht="15" hidden="false" customHeight="false" outlineLevel="0" collapsed="false">
      <c r="A5299" s="36" t="n">
        <v>46272</v>
      </c>
      <c r="B5299" s="24" t="s">
        <v>65</v>
      </c>
      <c r="C5299" s="24" t="s">
        <v>153</v>
      </c>
      <c r="D5299" s="33" t="n">
        <v>43</v>
      </c>
      <c r="E5299" s="24" t="n">
        <v>0</v>
      </c>
      <c r="F5299" s="37" t="n">
        <f aca="false">DATE(YEAR(A5299),MONTH(A5299),1)</f>
        <v>46266</v>
      </c>
      <c r="G5299" s="24" t="str">
        <f aca="false">INDEX(Products!$C$2:$C$49,MATCH(C5299,Products!$A$2:$A$49,0))</f>
        <v>Beverages</v>
      </c>
      <c r="H5299" s="33" t="n">
        <f aca="false">D5299*INDEX(Products!$E$2:$E$49,MATCH(C5299,Products!$A$2:$A$49,0))</f>
        <v>2150</v>
      </c>
      <c r="I5299" s="33" t="n">
        <f aca="false">D5299*INDEX(Products!$D$2:$D$49,MATCH(C5299,Products!$A$2:$A$49,0))*(1+INDEX(Assumptions!$B$16:$B$20,MATCH(B5299,Assumptions!$A$16:$A$20,0)))</f>
        <v>1535.1</v>
      </c>
      <c r="J5299" s="33" t="n">
        <f aca="false">H5299-I5299</f>
        <v>614.9</v>
      </c>
      <c r="K5299" s="33" t="n">
        <f aca="false">IF(OR(E5299=0,E5299&gt;=7),0,D5299/(7-E5299)*E5299*INDEX(Products!$E$2:$E$49,MATCH(C5299,Products!$A$2:$A$49,0)))</f>
        <v>0</v>
      </c>
    </row>
    <row r="5300" customFormat="false" ht="15" hidden="false" customHeight="false" outlineLevel="0" collapsed="false">
      <c r="A5300" s="36" t="n">
        <v>46279</v>
      </c>
      <c r="B5300" s="24" t="s">
        <v>65</v>
      </c>
      <c r="C5300" s="24" t="s">
        <v>153</v>
      </c>
      <c r="D5300" s="33" t="n">
        <v>43</v>
      </c>
      <c r="E5300" s="24" t="n">
        <v>0</v>
      </c>
      <c r="F5300" s="37" t="n">
        <f aca="false">DATE(YEAR(A5300),MONTH(A5300),1)</f>
        <v>46266</v>
      </c>
      <c r="G5300" s="24" t="str">
        <f aca="false">INDEX(Products!$C$2:$C$49,MATCH(C5300,Products!$A$2:$A$49,0))</f>
        <v>Beverages</v>
      </c>
      <c r="H5300" s="33" t="n">
        <f aca="false">D5300*INDEX(Products!$E$2:$E$49,MATCH(C5300,Products!$A$2:$A$49,0))</f>
        <v>2150</v>
      </c>
      <c r="I5300" s="33" t="n">
        <f aca="false">D5300*INDEX(Products!$D$2:$D$49,MATCH(C5300,Products!$A$2:$A$49,0))*(1+INDEX(Assumptions!$B$16:$B$20,MATCH(B5300,Assumptions!$A$16:$A$20,0)))</f>
        <v>1535.1</v>
      </c>
      <c r="J5300" s="33" t="n">
        <f aca="false">H5300-I5300</f>
        <v>614.9</v>
      </c>
      <c r="K5300" s="33" t="n">
        <f aca="false">IF(OR(E5300=0,E5300&gt;=7),0,D5300/(7-E5300)*E5300*INDEX(Products!$E$2:$E$49,MATCH(C5300,Products!$A$2:$A$49,0)))</f>
        <v>0</v>
      </c>
    </row>
    <row r="5301" customFormat="false" ht="15" hidden="false" customHeight="false" outlineLevel="0" collapsed="false">
      <c r="A5301" s="36" t="n">
        <v>46286</v>
      </c>
      <c r="B5301" s="24" t="s">
        <v>65</v>
      </c>
      <c r="C5301" s="24" t="s">
        <v>153</v>
      </c>
      <c r="D5301" s="33" t="n">
        <v>52</v>
      </c>
      <c r="E5301" s="24" t="n">
        <v>0</v>
      </c>
      <c r="F5301" s="37" t="n">
        <f aca="false">DATE(YEAR(A5301),MONTH(A5301),1)</f>
        <v>46266</v>
      </c>
      <c r="G5301" s="24" t="str">
        <f aca="false">INDEX(Products!$C$2:$C$49,MATCH(C5301,Products!$A$2:$A$49,0))</f>
        <v>Beverages</v>
      </c>
      <c r="H5301" s="33" t="n">
        <f aca="false">D5301*INDEX(Products!$E$2:$E$49,MATCH(C5301,Products!$A$2:$A$49,0))</f>
        <v>2600</v>
      </c>
      <c r="I5301" s="33" t="n">
        <f aca="false">D5301*INDEX(Products!$D$2:$D$49,MATCH(C5301,Products!$A$2:$A$49,0))*(1+INDEX(Assumptions!$B$16:$B$20,MATCH(B5301,Assumptions!$A$16:$A$20,0)))</f>
        <v>1856.4</v>
      </c>
      <c r="J5301" s="33" t="n">
        <f aca="false">H5301-I5301</f>
        <v>743.6</v>
      </c>
      <c r="K5301" s="33" t="n">
        <f aca="false">IF(OR(E5301=0,E5301&gt;=7),0,D5301/(7-E5301)*E5301*INDEX(Products!$E$2:$E$49,MATCH(C5301,Products!$A$2:$A$49,0)))</f>
        <v>0</v>
      </c>
    </row>
    <row r="5302" customFormat="false" ht="15" hidden="false" customHeight="false" outlineLevel="0" collapsed="false">
      <c r="A5302" s="36" t="n">
        <v>46118</v>
      </c>
      <c r="B5302" s="24" t="s">
        <v>65</v>
      </c>
      <c r="C5302" s="24" t="s">
        <v>155</v>
      </c>
      <c r="D5302" s="33" t="n">
        <v>79</v>
      </c>
      <c r="E5302" s="24" t="n">
        <v>0</v>
      </c>
      <c r="F5302" s="37" t="n">
        <f aca="false">DATE(YEAR(A5302),MONTH(A5302),1)</f>
        <v>46113</v>
      </c>
      <c r="G5302" s="24" t="str">
        <f aca="false">INDEX(Products!$C$2:$C$49,MATCH(C5302,Products!$A$2:$A$49,0))</f>
        <v>Beverages</v>
      </c>
      <c r="H5302" s="33" t="n">
        <f aca="false">D5302*INDEX(Products!$E$2:$E$49,MATCH(C5302,Products!$A$2:$A$49,0))</f>
        <v>2765</v>
      </c>
      <c r="I5302" s="33" t="n">
        <f aca="false">D5302*INDEX(Products!$D$2:$D$49,MATCH(C5302,Products!$A$2:$A$49,0))*(1+INDEX(Assumptions!$B$16:$B$20,MATCH(B5302,Assumptions!$A$16:$A$20,0)))</f>
        <v>2095.08</v>
      </c>
      <c r="J5302" s="33" t="n">
        <f aca="false">H5302-I5302</f>
        <v>669.92</v>
      </c>
      <c r="K5302" s="33" t="n">
        <f aca="false">IF(OR(E5302=0,E5302&gt;=7),0,D5302/(7-E5302)*E5302*INDEX(Products!$E$2:$E$49,MATCH(C5302,Products!$A$2:$A$49,0)))</f>
        <v>0</v>
      </c>
    </row>
    <row r="5303" customFormat="false" ht="15" hidden="false" customHeight="false" outlineLevel="0" collapsed="false">
      <c r="A5303" s="36" t="n">
        <v>46125</v>
      </c>
      <c r="B5303" s="24" t="s">
        <v>65</v>
      </c>
      <c r="C5303" s="24" t="s">
        <v>155</v>
      </c>
      <c r="D5303" s="33" t="n">
        <v>79</v>
      </c>
      <c r="E5303" s="24" t="n">
        <v>0</v>
      </c>
      <c r="F5303" s="37" t="n">
        <f aca="false">DATE(YEAR(A5303),MONTH(A5303),1)</f>
        <v>46113</v>
      </c>
      <c r="G5303" s="24" t="str">
        <f aca="false">INDEX(Products!$C$2:$C$49,MATCH(C5303,Products!$A$2:$A$49,0))</f>
        <v>Beverages</v>
      </c>
      <c r="H5303" s="33" t="n">
        <f aca="false">D5303*INDEX(Products!$E$2:$E$49,MATCH(C5303,Products!$A$2:$A$49,0))</f>
        <v>2765</v>
      </c>
      <c r="I5303" s="33" t="n">
        <f aca="false">D5303*INDEX(Products!$D$2:$D$49,MATCH(C5303,Products!$A$2:$A$49,0))*(1+INDEX(Assumptions!$B$16:$B$20,MATCH(B5303,Assumptions!$A$16:$A$20,0)))</f>
        <v>2095.08</v>
      </c>
      <c r="J5303" s="33" t="n">
        <f aca="false">H5303-I5303</f>
        <v>669.92</v>
      </c>
      <c r="K5303" s="33" t="n">
        <f aca="false">IF(OR(E5303=0,E5303&gt;=7),0,D5303/(7-E5303)*E5303*INDEX(Products!$E$2:$E$49,MATCH(C5303,Products!$A$2:$A$49,0)))</f>
        <v>0</v>
      </c>
    </row>
    <row r="5304" customFormat="false" ht="15" hidden="false" customHeight="false" outlineLevel="0" collapsed="false">
      <c r="A5304" s="36" t="n">
        <v>46132</v>
      </c>
      <c r="B5304" s="24" t="s">
        <v>65</v>
      </c>
      <c r="C5304" s="24" t="s">
        <v>155</v>
      </c>
      <c r="D5304" s="33" t="n">
        <v>79</v>
      </c>
      <c r="E5304" s="24" t="n">
        <v>0</v>
      </c>
      <c r="F5304" s="37" t="n">
        <f aca="false">DATE(YEAR(A5304),MONTH(A5304),1)</f>
        <v>46113</v>
      </c>
      <c r="G5304" s="24" t="str">
        <f aca="false">INDEX(Products!$C$2:$C$49,MATCH(C5304,Products!$A$2:$A$49,0))</f>
        <v>Beverages</v>
      </c>
      <c r="H5304" s="33" t="n">
        <f aca="false">D5304*INDEX(Products!$E$2:$E$49,MATCH(C5304,Products!$A$2:$A$49,0))</f>
        <v>2765</v>
      </c>
      <c r="I5304" s="33" t="n">
        <f aca="false">D5304*INDEX(Products!$D$2:$D$49,MATCH(C5304,Products!$A$2:$A$49,0))*(1+INDEX(Assumptions!$B$16:$B$20,MATCH(B5304,Assumptions!$A$16:$A$20,0)))</f>
        <v>2095.08</v>
      </c>
      <c r="J5304" s="33" t="n">
        <f aca="false">H5304-I5304</f>
        <v>669.92</v>
      </c>
      <c r="K5304" s="33" t="n">
        <f aca="false">IF(OR(E5304=0,E5304&gt;=7),0,D5304/(7-E5304)*E5304*INDEX(Products!$E$2:$E$49,MATCH(C5304,Products!$A$2:$A$49,0)))</f>
        <v>0</v>
      </c>
    </row>
    <row r="5305" customFormat="false" ht="15" hidden="false" customHeight="false" outlineLevel="0" collapsed="false">
      <c r="A5305" s="36" t="n">
        <v>46139</v>
      </c>
      <c r="B5305" s="24" t="s">
        <v>65</v>
      </c>
      <c r="C5305" s="24" t="s">
        <v>155</v>
      </c>
      <c r="D5305" s="33" t="n">
        <v>102</v>
      </c>
      <c r="E5305" s="24" t="n">
        <v>0</v>
      </c>
      <c r="F5305" s="37" t="n">
        <f aca="false">DATE(YEAR(A5305),MONTH(A5305),1)</f>
        <v>46113</v>
      </c>
      <c r="G5305" s="24" t="str">
        <f aca="false">INDEX(Products!$C$2:$C$49,MATCH(C5305,Products!$A$2:$A$49,0))</f>
        <v>Beverages</v>
      </c>
      <c r="H5305" s="33" t="n">
        <f aca="false">D5305*INDEX(Products!$E$2:$E$49,MATCH(C5305,Products!$A$2:$A$49,0))</f>
        <v>3570</v>
      </c>
      <c r="I5305" s="33" t="n">
        <f aca="false">D5305*INDEX(Products!$D$2:$D$49,MATCH(C5305,Products!$A$2:$A$49,0))*(1+INDEX(Assumptions!$B$16:$B$20,MATCH(B5305,Assumptions!$A$16:$A$20,0)))</f>
        <v>2705.04</v>
      </c>
      <c r="J5305" s="33" t="n">
        <f aca="false">H5305-I5305</f>
        <v>864.96</v>
      </c>
      <c r="K5305" s="33" t="n">
        <f aca="false">IF(OR(E5305=0,E5305&gt;=7),0,D5305/(7-E5305)*E5305*INDEX(Products!$E$2:$E$49,MATCH(C5305,Products!$A$2:$A$49,0)))</f>
        <v>0</v>
      </c>
    </row>
    <row r="5306" customFormat="false" ht="15" hidden="false" customHeight="false" outlineLevel="0" collapsed="false">
      <c r="A5306" s="36" t="n">
        <v>46146</v>
      </c>
      <c r="B5306" s="24" t="s">
        <v>65</v>
      </c>
      <c r="C5306" s="24" t="s">
        <v>155</v>
      </c>
      <c r="D5306" s="33" t="n">
        <v>93</v>
      </c>
      <c r="E5306" s="24" t="n">
        <v>0</v>
      </c>
      <c r="F5306" s="37" t="n">
        <f aca="false">DATE(YEAR(A5306),MONTH(A5306),1)</f>
        <v>46143</v>
      </c>
      <c r="G5306" s="24" t="str">
        <f aca="false">INDEX(Products!$C$2:$C$49,MATCH(C5306,Products!$A$2:$A$49,0))</f>
        <v>Beverages</v>
      </c>
      <c r="H5306" s="33" t="n">
        <f aca="false">D5306*INDEX(Products!$E$2:$E$49,MATCH(C5306,Products!$A$2:$A$49,0))</f>
        <v>3255</v>
      </c>
      <c r="I5306" s="33" t="n">
        <f aca="false">D5306*INDEX(Products!$D$2:$D$49,MATCH(C5306,Products!$A$2:$A$49,0))*(1+INDEX(Assumptions!$B$16:$B$20,MATCH(B5306,Assumptions!$A$16:$A$20,0)))</f>
        <v>2466.36</v>
      </c>
      <c r="J5306" s="33" t="n">
        <f aca="false">H5306-I5306</f>
        <v>788.64</v>
      </c>
      <c r="K5306" s="33" t="n">
        <f aca="false">IF(OR(E5306=0,E5306&gt;=7),0,D5306/(7-E5306)*E5306*INDEX(Products!$E$2:$E$49,MATCH(C5306,Products!$A$2:$A$49,0)))</f>
        <v>0</v>
      </c>
    </row>
    <row r="5307" customFormat="false" ht="15" hidden="false" customHeight="false" outlineLevel="0" collapsed="false">
      <c r="A5307" s="36" t="n">
        <v>46153</v>
      </c>
      <c r="B5307" s="24" t="s">
        <v>65</v>
      </c>
      <c r="C5307" s="24" t="s">
        <v>155</v>
      </c>
      <c r="D5307" s="33" t="n">
        <v>92</v>
      </c>
      <c r="E5307" s="24" t="n">
        <v>0</v>
      </c>
      <c r="F5307" s="37" t="n">
        <f aca="false">DATE(YEAR(A5307),MONTH(A5307),1)</f>
        <v>46143</v>
      </c>
      <c r="G5307" s="24" t="str">
        <f aca="false">INDEX(Products!$C$2:$C$49,MATCH(C5307,Products!$A$2:$A$49,0))</f>
        <v>Beverages</v>
      </c>
      <c r="H5307" s="33" t="n">
        <f aca="false">D5307*INDEX(Products!$E$2:$E$49,MATCH(C5307,Products!$A$2:$A$49,0))</f>
        <v>3220</v>
      </c>
      <c r="I5307" s="33" t="n">
        <f aca="false">D5307*INDEX(Products!$D$2:$D$49,MATCH(C5307,Products!$A$2:$A$49,0))*(1+INDEX(Assumptions!$B$16:$B$20,MATCH(B5307,Assumptions!$A$16:$A$20,0)))</f>
        <v>2439.84</v>
      </c>
      <c r="J5307" s="33" t="n">
        <f aca="false">H5307-I5307</f>
        <v>780.16</v>
      </c>
      <c r="K5307" s="33" t="n">
        <f aca="false">IF(OR(E5307=0,E5307&gt;=7),0,D5307/(7-E5307)*E5307*INDEX(Products!$E$2:$E$49,MATCH(C5307,Products!$A$2:$A$49,0)))</f>
        <v>0</v>
      </c>
    </row>
    <row r="5308" customFormat="false" ht="15" hidden="false" customHeight="false" outlineLevel="0" collapsed="false">
      <c r="A5308" s="36" t="n">
        <v>46160</v>
      </c>
      <c r="B5308" s="24" t="s">
        <v>65</v>
      </c>
      <c r="C5308" s="24" t="s">
        <v>155</v>
      </c>
      <c r="D5308" s="33" t="n">
        <v>98</v>
      </c>
      <c r="E5308" s="24" t="n">
        <v>0</v>
      </c>
      <c r="F5308" s="37" t="n">
        <f aca="false">DATE(YEAR(A5308),MONTH(A5308),1)</f>
        <v>46143</v>
      </c>
      <c r="G5308" s="24" t="str">
        <f aca="false">INDEX(Products!$C$2:$C$49,MATCH(C5308,Products!$A$2:$A$49,0))</f>
        <v>Beverages</v>
      </c>
      <c r="H5308" s="33" t="n">
        <f aca="false">D5308*INDEX(Products!$E$2:$E$49,MATCH(C5308,Products!$A$2:$A$49,0))</f>
        <v>3430</v>
      </c>
      <c r="I5308" s="33" t="n">
        <f aca="false">D5308*INDEX(Products!$D$2:$D$49,MATCH(C5308,Products!$A$2:$A$49,0))*(1+INDEX(Assumptions!$B$16:$B$20,MATCH(B5308,Assumptions!$A$16:$A$20,0)))</f>
        <v>2598.96</v>
      </c>
      <c r="J5308" s="33" t="n">
        <f aca="false">H5308-I5308</f>
        <v>831.04</v>
      </c>
      <c r="K5308" s="33" t="n">
        <f aca="false">IF(OR(E5308=0,E5308&gt;=7),0,D5308/(7-E5308)*E5308*INDEX(Products!$E$2:$E$49,MATCH(C5308,Products!$A$2:$A$49,0)))</f>
        <v>0</v>
      </c>
    </row>
    <row r="5309" customFormat="false" ht="15" hidden="false" customHeight="false" outlineLevel="0" collapsed="false">
      <c r="A5309" s="36" t="n">
        <v>46167</v>
      </c>
      <c r="B5309" s="24" t="s">
        <v>65</v>
      </c>
      <c r="C5309" s="24" t="s">
        <v>155</v>
      </c>
      <c r="D5309" s="33" t="n">
        <v>107</v>
      </c>
      <c r="E5309" s="24" t="n">
        <v>0</v>
      </c>
      <c r="F5309" s="37" t="n">
        <f aca="false">DATE(YEAR(A5309),MONTH(A5309),1)</f>
        <v>46143</v>
      </c>
      <c r="G5309" s="24" t="str">
        <f aca="false">INDEX(Products!$C$2:$C$49,MATCH(C5309,Products!$A$2:$A$49,0))</f>
        <v>Beverages</v>
      </c>
      <c r="H5309" s="33" t="n">
        <f aca="false">D5309*INDEX(Products!$E$2:$E$49,MATCH(C5309,Products!$A$2:$A$49,0))</f>
        <v>3745</v>
      </c>
      <c r="I5309" s="33" t="n">
        <f aca="false">D5309*INDEX(Products!$D$2:$D$49,MATCH(C5309,Products!$A$2:$A$49,0))*(1+INDEX(Assumptions!$B$16:$B$20,MATCH(B5309,Assumptions!$A$16:$A$20,0)))</f>
        <v>2837.64</v>
      </c>
      <c r="J5309" s="33" t="n">
        <f aca="false">H5309-I5309</f>
        <v>907.36</v>
      </c>
      <c r="K5309" s="33" t="n">
        <f aca="false">IF(OR(E5309=0,E5309&gt;=7),0,D5309/(7-E5309)*E5309*INDEX(Products!$E$2:$E$49,MATCH(C5309,Products!$A$2:$A$49,0)))</f>
        <v>0</v>
      </c>
    </row>
    <row r="5310" customFormat="false" ht="15" hidden="false" customHeight="false" outlineLevel="0" collapsed="false">
      <c r="A5310" s="36" t="n">
        <v>46174</v>
      </c>
      <c r="B5310" s="24" t="s">
        <v>65</v>
      </c>
      <c r="C5310" s="24" t="s">
        <v>155</v>
      </c>
      <c r="D5310" s="33" t="n">
        <v>95</v>
      </c>
      <c r="E5310" s="24" t="n">
        <v>0</v>
      </c>
      <c r="F5310" s="37" t="n">
        <f aca="false">DATE(YEAR(A5310),MONTH(A5310),1)</f>
        <v>46174</v>
      </c>
      <c r="G5310" s="24" t="str">
        <f aca="false">INDEX(Products!$C$2:$C$49,MATCH(C5310,Products!$A$2:$A$49,0))</f>
        <v>Beverages</v>
      </c>
      <c r="H5310" s="33" t="n">
        <f aca="false">D5310*INDEX(Products!$E$2:$E$49,MATCH(C5310,Products!$A$2:$A$49,0))</f>
        <v>3325</v>
      </c>
      <c r="I5310" s="33" t="n">
        <f aca="false">D5310*INDEX(Products!$D$2:$D$49,MATCH(C5310,Products!$A$2:$A$49,0))*(1+INDEX(Assumptions!$B$16:$B$20,MATCH(B5310,Assumptions!$A$16:$A$20,0)))</f>
        <v>2519.4</v>
      </c>
      <c r="J5310" s="33" t="n">
        <f aca="false">H5310-I5310</f>
        <v>805.6</v>
      </c>
      <c r="K5310" s="33" t="n">
        <f aca="false">IF(OR(E5310=0,E5310&gt;=7),0,D5310/(7-E5310)*E5310*INDEX(Products!$E$2:$E$49,MATCH(C5310,Products!$A$2:$A$49,0)))</f>
        <v>0</v>
      </c>
    </row>
    <row r="5311" customFormat="false" ht="15" hidden="false" customHeight="false" outlineLevel="0" collapsed="false">
      <c r="A5311" s="36" t="n">
        <v>46181</v>
      </c>
      <c r="B5311" s="24" t="s">
        <v>65</v>
      </c>
      <c r="C5311" s="24" t="s">
        <v>155</v>
      </c>
      <c r="D5311" s="33" t="n">
        <v>84</v>
      </c>
      <c r="E5311" s="24" t="n">
        <v>0</v>
      </c>
      <c r="F5311" s="37" t="n">
        <f aca="false">DATE(YEAR(A5311),MONTH(A5311),1)</f>
        <v>46174</v>
      </c>
      <c r="G5311" s="24" t="str">
        <f aca="false">INDEX(Products!$C$2:$C$49,MATCH(C5311,Products!$A$2:$A$49,0))</f>
        <v>Beverages</v>
      </c>
      <c r="H5311" s="33" t="n">
        <f aca="false">D5311*INDEX(Products!$E$2:$E$49,MATCH(C5311,Products!$A$2:$A$49,0))</f>
        <v>2940</v>
      </c>
      <c r="I5311" s="33" t="n">
        <f aca="false">D5311*INDEX(Products!$D$2:$D$49,MATCH(C5311,Products!$A$2:$A$49,0))*(1+INDEX(Assumptions!$B$16:$B$20,MATCH(B5311,Assumptions!$A$16:$A$20,0)))</f>
        <v>2227.68</v>
      </c>
      <c r="J5311" s="33" t="n">
        <f aca="false">H5311-I5311</f>
        <v>712.32</v>
      </c>
      <c r="K5311" s="33" t="n">
        <f aca="false">IF(OR(E5311=0,E5311&gt;=7),0,D5311/(7-E5311)*E5311*INDEX(Products!$E$2:$E$49,MATCH(C5311,Products!$A$2:$A$49,0)))</f>
        <v>0</v>
      </c>
    </row>
    <row r="5312" customFormat="false" ht="15" hidden="false" customHeight="false" outlineLevel="0" collapsed="false">
      <c r="A5312" s="36" t="n">
        <v>46188</v>
      </c>
      <c r="B5312" s="24" t="s">
        <v>65</v>
      </c>
      <c r="C5312" s="24" t="s">
        <v>155</v>
      </c>
      <c r="D5312" s="33" t="n">
        <v>82</v>
      </c>
      <c r="E5312" s="24" t="n">
        <v>0</v>
      </c>
      <c r="F5312" s="37" t="n">
        <f aca="false">DATE(YEAR(A5312),MONTH(A5312),1)</f>
        <v>46174</v>
      </c>
      <c r="G5312" s="24" t="str">
        <f aca="false">INDEX(Products!$C$2:$C$49,MATCH(C5312,Products!$A$2:$A$49,0))</f>
        <v>Beverages</v>
      </c>
      <c r="H5312" s="33" t="n">
        <f aca="false">D5312*INDEX(Products!$E$2:$E$49,MATCH(C5312,Products!$A$2:$A$49,0))</f>
        <v>2870</v>
      </c>
      <c r="I5312" s="33" t="n">
        <f aca="false">D5312*INDEX(Products!$D$2:$D$49,MATCH(C5312,Products!$A$2:$A$49,0))*(1+INDEX(Assumptions!$B$16:$B$20,MATCH(B5312,Assumptions!$A$16:$A$20,0)))</f>
        <v>2174.64</v>
      </c>
      <c r="J5312" s="33" t="n">
        <f aca="false">H5312-I5312</f>
        <v>695.36</v>
      </c>
      <c r="K5312" s="33" t="n">
        <f aca="false">IF(OR(E5312=0,E5312&gt;=7),0,D5312/(7-E5312)*E5312*INDEX(Products!$E$2:$E$49,MATCH(C5312,Products!$A$2:$A$49,0)))</f>
        <v>0</v>
      </c>
    </row>
    <row r="5313" customFormat="false" ht="15" hidden="false" customHeight="false" outlineLevel="0" collapsed="false">
      <c r="A5313" s="36" t="n">
        <v>46195</v>
      </c>
      <c r="B5313" s="24" t="s">
        <v>65</v>
      </c>
      <c r="C5313" s="24" t="s">
        <v>155</v>
      </c>
      <c r="D5313" s="33" t="n">
        <v>89</v>
      </c>
      <c r="E5313" s="24" t="n">
        <v>0</v>
      </c>
      <c r="F5313" s="37" t="n">
        <f aca="false">DATE(YEAR(A5313),MONTH(A5313),1)</f>
        <v>46174</v>
      </c>
      <c r="G5313" s="24" t="str">
        <f aca="false">INDEX(Products!$C$2:$C$49,MATCH(C5313,Products!$A$2:$A$49,0))</f>
        <v>Beverages</v>
      </c>
      <c r="H5313" s="33" t="n">
        <f aca="false">D5313*INDEX(Products!$E$2:$E$49,MATCH(C5313,Products!$A$2:$A$49,0))</f>
        <v>3115</v>
      </c>
      <c r="I5313" s="33" t="n">
        <f aca="false">D5313*INDEX(Products!$D$2:$D$49,MATCH(C5313,Products!$A$2:$A$49,0))*(1+INDEX(Assumptions!$B$16:$B$20,MATCH(B5313,Assumptions!$A$16:$A$20,0)))</f>
        <v>2360.28</v>
      </c>
      <c r="J5313" s="33" t="n">
        <f aca="false">H5313-I5313</f>
        <v>754.72</v>
      </c>
      <c r="K5313" s="33" t="n">
        <f aca="false">IF(OR(E5313=0,E5313&gt;=7),0,D5313/(7-E5313)*E5313*INDEX(Products!$E$2:$E$49,MATCH(C5313,Products!$A$2:$A$49,0)))</f>
        <v>0</v>
      </c>
    </row>
    <row r="5314" customFormat="false" ht="15" hidden="false" customHeight="false" outlineLevel="0" collapsed="false">
      <c r="A5314" s="36" t="n">
        <v>46202</v>
      </c>
      <c r="B5314" s="24" t="s">
        <v>65</v>
      </c>
      <c r="C5314" s="24" t="s">
        <v>155</v>
      </c>
      <c r="D5314" s="33" t="n">
        <v>84</v>
      </c>
      <c r="E5314" s="24" t="n">
        <v>0</v>
      </c>
      <c r="F5314" s="37" t="n">
        <f aca="false">DATE(YEAR(A5314),MONTH(A5314),1)</f>
        <v>46174</v>
      </c>
      <c r="G5314" s="24" t="str">
        <f aca="false">INDEX(Products!$C$2:$C$49,MATCH(C5314,Products!$A$2:$A$49,0))</f>
        <v>Beverages</v>
      </c>
      <c r="H5314" s="33" t="n">
        <f aca="false">D5314*INDEX(Products!$E$2:$E$49,MATCH(C5314,Products!$A$2:$A$49,0))</f>
        <v>2940</v>
      </c>
      <c r="I5314" s="33" t="n">
        <f aca="false">D5314*INDEX(Products!$D$2:$D$49,MATCH(C5314,Products!$A$2:$A$49,0))*(1+INDEX(Assumptions!$B$16:$B$20,MATCH(B5314,Assumptions!$A$16:$A$20,0)))</f>
        <v>2227.68</v>
      </c>
      <c r="J5314" s="33" t="n">
        <f aca="false">H5314-I5314</f>
        <v>712.32</v>
      </c>
      <c r="K5314" s="33" t="n">
        <f aca="false">IF(OR(E5314=0,E5314&gt;=7),0,D5314/(7-E5314)*E5314*INDEX(Products!$E$2:$E$49,MATCH(C5314,Products!$A$2:$A$49,0)))</f>
        <v>0</v>
      </c>
    </row>
    <row r="5315" customFormat="false" ht="15" hidden="false" customHeight="false" outlineLevel="0" collapsed="false">
      <c r="A5315" s="36" t="n">
        <v>46209</v>
      </c>
      <c r="B5315" s="24" t="s">
        <v>65</v>
      </c>
      <c r="C5315" s="24" t="s">
        <v>155</v>
      </c>
      <c r="D5315" s="33" t="n">
        <v>97</v>
      </c>
      <c r="E5315" s="24" t="n">
        <v>0</v>
      </c>
      <c r="F5315" s="37" t="n">
        <f aca="false">DATE(YEAR(A5315),MONTH(A5315),1)</f>
        <v>46204</v>
      </c>
      <c r="G5315" s="24" t="str">
        <f aca="false">INDEX(Products!$C$2:$C$49,MATCH(C5315,Products!$A$2:$A$49,0))</f>
        <v>Beverages</v>
      </c>
      <c r="H5315" s="33" t="n">
        <f aca="false">D5315*INDEX(Products!$E$2:$E$49,MATCH(C5315,Products!$A$2:$A$49,0))</f>
        <v>3395</v>
      </c>
      <c r="I5315" s="33" t="n">
        <f aca="false">D5315*INDEX(Products!$D$2:$D$49,MATCH(C5315,Products!$A$2:$A$49,0))*(1+INDEX(Assumptions!$B$16:$B$20,MATCH(B5315,Assumptions!$A$16:$A$20,0)))</f>
        <v>2572.44</v>
      </c>
      <c r="J5315" s="33" t="n">
        <f aca="false">H5315-I5315</f>
        <v>822.56</v>
      </c>
      <c r="K5315" s="33" t="n">
        <f aca="false">IF(OR(E5315=0,E5315&gt;=7),0,D5315/(7-E5315)*E5315*INDEX(Products!$E$2:$E$49,MATCH(C5315,Products!$A$2:$A$49,0)))</f>
        <v>0</v>
      </c>
    </row>
    <row r="5316" customFormat="false" ht="15" hidden="false" customHeight="false" outlineLevel="0" collapsed="false">
      <c r="A5316" s="36" t="n">
        <v>46216</v>
      </c>
      <c r="B5316" s="24" t="s">
        <v>65</v>
      </c>
      <c r="C5316" s="24" t="s">
        <v>155</v>
      </c>
      <c r="D5316" s="33" t="n">
        <v>105</v>
      </c>
      <c r="E5316" s="24" t="n">
        <v>0</v>
      </c>
      <c r="F5316" s="37" t="n">
        <f aca="false">DATE(YEAR(A5316),MONTH(A5316),1)</f>
        <v>46204</v>
      </c>
      <c r="G5316" s="24" t="str">
        <f aca="false">INDEX(Products!$C$2:$C$49,MATCH(C5316,Products!$A$2:$A$49,0))</f>
        <v>Beverages</v>
      </c>
      <c r="H5316" s="33" t="n">
        <f aca="false">D5316*INDEX(Products!$E$2:$E$49,MATCH(C5316,Products!$A$2:$A$49,0))</f>
        <v>3675</v>
      </c>
      <c r="I5316" s="33" t="n">
        <f aca="false">D5316*INDEX(Products!$D$2:$D$49,MATCH(C5316,Products!$A$2:$A$49,0))*(1+INDEX(Assumptions!$B$16:$B$20,MATCH(B5316,Assumptions!$A$16:$A$20,0)))</f>
        <v>2784.6</v>
      </c>
      <c r="J5316" s="33" t="n">
        <f aca="false">H5316-I5316</f>
        <v>890.4</v>
      </c>
      <c r="K5316" s="33" t="n">
        <f aca="false">IF(OR(E5316=0,E5316&gt;=7),0,D5316/(7-E5316)*E5316*INDEX(Products!$E$2:$E$49,MATCH(C5316,Products!$A$2:$A$49,0)))</f>
        <v>0</v>
      </c>
    </row>
    <row r="5317" customFormat="false" ht="15" hidden="false" customHeight="false" outlineLevel="0" collapsed="false">
      <c r="A5317" s="36" t="n">
        <v>46223</v>
      </c>
      <c r="B5317" s="24" t="s">
        <v>65</v>
      </c>
      <c r="C5317" s="24" t="s">
        <v>155</v>
      </c>
      <c r="D5317" s="33" t="n">
        <v>80</v>
      </c>
      <c r="E5317" s="24" t="n">
        <v>0</v>
      </c>
      <c r="F5317" s="37" t="n">
        <f aca="false">DATE(YEAR(A5317),MONTH(A5317),1)</f>
        <v>46204</v>
      </c>
      <c r="G5317" s="24" t="str">
        <f aca="false">INDEX(Products!$C$2:$C$49,MATCH(C5317,Products!$A$2:$A$49,0))</f>
        <v>Beverages</v>
      </c>
      <c r="H5317" s="33" t="n">
        <f aca="false">D5317*INDEX(Products!$E$2:$E$49,MATCH(C5317,Products!$A$2:$A$49,0))</f>
        <v>2800</v>
      </c>
      <c r="I5317" s="33" t="n">
        <f aca="false">D5317*INDEX(Products!$D$2:$D$49,MATCH(C5317,Products!$A$2:$A$49,0))*(1+INDEX(Assumptions!$B$16:$B$20,MATCH(B5317,Assumptions!$A$16:$A$20,0)))</f>
        <v>2121.6</v>
      </c>
      <c r="J5317" s="33" t="n">
        <f aca="false">H5317-I5317</f>
        <v>678.4</v>
      </c>
      <c r="K5317" s="33" t="n">
        <f aca="false">IF(OR(E5317=0,E5317&gt;=7),0,D5317/(7-E5317)*E5317*INDEX(Products!$E$2:$E$49,MATCH(C5317,Products!$A$2:$A$49,0)))</f>
        <v>0</v>
      </c>
    </row>
    <row r="5318" customFormat="false" ht="15" hidden="false" customHeight="false" outlineLevel="0" collapsed="false">
      <c r="A5318" s="36" t="n">
        <v>46230</v>
      </c>
      <c r="B5318" s="24" t="s">
        <v>65</v>
      </c>
      <c r="C5318" s="24" t="s">
        <v>155</v>
      </c>
      <c r="D5318" s="33" t="n">
        <v>86</v>
      </c>
      <c r="E5318" s="24" t="n">
        <v>0</v>
      </c>
      <c r="F5318" s="37" t="n">
        <f aca="false">DATE(YEAR(A5318),MONTH(A5318),1)</f>
        <v>46204</v>
      </c>
      <c r="G5318" s="24" t="str">
        <f aca="false">INDEX(Products!$C$2:$C$49,MATCH(C5318,Products!$A$2:$A$49,0))</f>
        <v>Beverages</v>
      </c>
      <c r="H5318" s="33" t="n">
        <f aca="false">D5318*INDEX(Products!$E$2:$E$49,MATCH(C5318,Products!$A$2:$A$49,0))</f>
        <v>3010</v>
      </c>
      <c r="I5318" s="33" t="n">
        <f aca="false">D5318*INDEX(Products!$D$2:$D$49,MATCH(C5318,Products!$A$2:$A$49,0))*(1+INDEX(Assumptions!$B$16:$B$20,MATCH(B5318,Assumptions!$A$16:$A$20,0)))</f>
        <v>2280.72</v>
      </c>
      <c r="J5318" s="33" t="n">
        <f aca="false">H5318-I5318</f>
        <v>729.28</v>
      </c>
      <c r="K5318" s="33" t="n">
        <f aca="false">IF(OR(E5318=0,E5318&gt;=7),0,D5318/(7-E5318)*E5318*INDEX(Products!$E$2:$E$49,MATCH(C5318,Products!$A$2:$A$49,0)))</f>
        <v>0</v>
      </c>
    </row>
    <row r="5319" customFormat="false" ht="15" hidden="false" customHeight="false" outlineLevel="0" collapsed="false">
      <c r="A5319" s="36" t="n">
        <v>46237</v>
      </c>
      <c r="B5319" s="24" t="s">
        <v>65</v>
      </c>
      <c r="C5319" s="24" t="s">
        <v>155</v>
      </c>
      <c r="D5319" s="33" t="n">
        <v>80</v>
      </c>
      <c r="E5319" s="24" t="n">
        <v>0</v>
      </c>
      <c r="F5319" s="37" t="n">
        <f aca="false">DATE(YEAR(A5319),MONTH(A5319),1)</f>
        <v>46235</v>
      </c>
      <c r="G5319" s="24" t="str">
        <f aca="false">INDEX(Products!$C$2:$C$49,MATCH(C5319,Products!$A$2:$A$49,0))</f>
        <v>Beverages</v>
      </c>
      <c r="H5319" s="33" t="n">
        <f aca="false">D5319*INDEX(Products!$E$2:$E$49,MATCH(C5319,Products!$A$2:$A$49,0))</f>
        <v>2800</v>
      </c>
      <c r="I5319" s="33" t="n">
        <f aca="false">D5319*INDEX(Products!$D$2:$D$49,MATCH(C5319,Products!$A$2:$A$49,0))*(1+INDEX(Assumptions!$B$16:$B$20,MATCH(B5319,Assumptions!$A$16:$A$20,0)))</f>
        <v>2121.6</v>
      </c>
      <c r="J5319" s="33" t="n">
        <f aca="false">H5319-I5319</f>
        <v>678.4</v>
      </c>
      <c r="K5319" s="33" t="n">
        <f aca="false">IF(OR(E5319=0,E5319&gt;=7),0,D5319/(7-E5319)*E5319*INDEX(Products!$E$2:$E$49,MATCH(C5319,Products!$A$2:$A$49,0)))</f>
        <v>0</v>
      </c>
    </row>
    <row r="5320" customFormat="false" ht="15" hidden="false" customHeight="false" outlineLevel="0" collapsed="false">
      <c r="A5320" s="36" t="n">
        <v>46244</v>
      </c>
      <c r="B5320" s="24" t="s">
        <v>65</v>
      </c>
      <c r="C5320" s="24" t="s">
        <v>155</v>
      </c>
      <c r="D5320" s="33" t="n">
        <v>80</v>
      </c>
      <c r="E5320" s="24" t="n">
        <v>0</v>
      </c>
      <c r="F5320" s="37" t="n">
        <f aca="false">DATE(YEAR(A5320),MONTH(A5320),1)</f>
        <v>46235</v>
      </c>
      <c r="G5320" s="24" t="str">
        <f aca="false">INDEX(Products!$C$2:$C$49,MATCH(C5320,Products!$A$2:$A$49,0))</f>
        <v>Beverages</v>
      </c>
      <c r="H5320" s="33" t="n">
        <f aca="false">D5320*INDEX(Products!$E$2:$E$49,MATCH(C5320,Products!$A$2:$A$49,0))</f>
        <v>2800</v>
      </c>
      <c r="I5320" s="33" t="n">
        <f aca="false">D5320*INDEX(Products!$D$2:$D$49,MATCH(C5320,Products!$A$2:$A$49,0))*(1+INDEX(Assumptions!$B$16:$B$20,MATCH(B5320,Assumptions!$A$16:$A$20,0)))</f>
        <v>2121.6</v>
      </c>
      <c r="J5320" s="33" t="n">
        <f aca="false">H5320-I5320</f>
        <v>678.4</v>
      </c>
      <c r="K5320" s="33" t="n">
        <f aca="false">IF(OR(E5320=0,E5320&gt;=7),0,D5320/(7-E5320)*E5320*INDEX(Products!$E$2:$E$49,MATCH(C5320,Products!$A$2:$A$49,0)))</f>
        <v>0</v>
      </c>
    </row>
    <row r="5321" customFormat="false" ht="15" hidden="false" customHeight="false" outlineLevel="0" collapsed="false">
      <c r="A5321" s="36" t="n">
        <v>46251</v>
      </c>
      <c r="B5321" s="24" t="s">
        <v>65</v>
      </c>
      <c r="C5321" s="24" t="s">
        <v>155</v>
      </c>
      <c r="D5321" s="33" t="n">
        <v>70</v>
      </c>
      <c r="E5321" s="24" t="n">
        <v>0</v>
      </c>
      <c r="F5321" s="37" t="n">
        <f aca="false">DATE(YEAR(A5321),MONTH(A5321),1)</f>
        <v>46235</v>
      </c>
      <c r="G5321" s="24" t="str">
        <f aca="false">INDEX(Products!$C$2:$C$49,MATCH(C5321,Products!$A$2:$A$49,0))</f>
        <v>Beverages</v>
      </c>
      <c r="H5321" s="33" t="n">
        <f aca="false">D5321*INDEX(Products!$E$2:$E$49,MATCH(C5321,Products!$A$2:$A$49,0))</f>
        <v>2450</v>
      </c>
      <c r="I5321" s="33" t="n">
        <f aca="false">D5321*INDEX(Products!$D$2:$D$49,MATCH(C5321,Products!$A$2:$A$49,0))*(1+INDEX(Assumptions!$B$16:$B$20,MATCH(B5321,Assumptions!$A$16:$A$20,0)))</f>
        <v>1856.4</v>
      </c>
      <c r="J5321" s="33" t="n">
        <f aca="false">H5321-I5321</f>
        <v>593.6</v>
      </c>
      <c r="K5321" s="33" t="n">
        <f aca="false">IF(OR(E5321=0,E5321&gt;=7),0,D5321/(7-E5321)*E5321*INDEX(Products!$E$2:$E$49,MATCH(C5321,Products!$A$2:$A$49,0)))</f>
        <v>0</v>
      </c>
    </row>
    <row r="5322" customFormat="false" ht="15" hidden="false" customHeight="false" outlineLevel="0" collapsed="false">
      <c r="A5322" s="36" t="n">
        <v>46258</v>
      </c>
      <c r="B5322" s="24" t="s">
        <v>65</v>
      </c>
      <c r="C5322" s="24" t="s">
        <v>155</v>
      </c>
      <c r="D5322" s="33" t="n">
        <v>109</v>
      </c>
      <c r="E5322" s="24" t="n">
        <v>0</v>
      </c>
      <c r="F5322" s="37" t="n">
        <f aca="false">DATE(YEAR(A5322),MONTH(A5322),1)</f>
        <v>46235</v>
      </c>
      <c r="G5322" s="24" t="str">
        <f aca="false">INDEX(Products!$C$2:$C$49,MATCH(C5322,Products!$A$2:$A$49,0))</f>
        <v>Beverages</v>
      </c>
      <c r="H5322" s="33" t="n">
        <f aca="false">D5322*INDEX(Products!$E$2:$E$49,MATCH(C5322,Products!$A$2:$A$49,0))</f>
        <v>3815</v>
      </c>
      <c r="I5322" s="33" t="n">
        <f aca="false">D5322*INDEX(Products!$D$2:$D$49,MATCH(C5322,Products!$A$2:$A$49,0))*(1+INDEX(Assumptions!$B$16:$B$20,MATCH(B5322,Assumptions!$A$16:$A$20,0)))</f>
        <v>2890.68</v>
      </c>
      <c r="J5322" s="33" t="n">
        <f aca="false">H5322-I5322</f>
        <v>924.32</v>
      </c>
      <c r="K5322" s="33" t="n">
        <f aca="false">IF(OR(E5322=0,E5322&gt;=7),0,D5322/(7-E5322)*E5322*INDEX(Products!$E$2:$E$49,MATCH(C5322,Products!$A$2:$A$49,0)))</f>
        <v>0</v>
      </c>
    </row>
    <row r="5323" customFormat="false" ht="15" hidden="false" customHeight="false" outlineLevel="0" collapsed="false">
      <c r="A5323" s="36" t="n">
        <v>46265</v>
      </c>
      <c r="B5323" s="24" t="s">
        <v>65</v>
      </c>
      <c r="C5323" s="24" t="s">
        <v>155</v>
      </c>
      <c r="D5323" s="33" t="n">
        <v>100</v>
      </c>
      <c r="E5323" s="24" t="n">
        <v>0</v>
      </c>
      <c r="F5323" s="37" t="n">
        <f aca="false">DATE(YEAR(A5323),MONTH(A5323),1)</f>
        <v>46235</v>
      </c>
      <c r="G5323" s="24" t="str">
        <f aca="false">INDEX(Products!$C$2:$C$49,MATCH(C5323,Products!$A$2:$A$49,0))</f>
        <v>Beverages</v>
      </c>
      <c r="H5323" s="33" t="n">
        <f aca="false">D5323*INDEX(Products!$E$2:$E$49,MATCH(C5323,Products!$A$2:$A$49,0))</f>
        <v>3500</v>
      </c>
      <c r="I5323" s="33" t="n">
        <f aca="false">D5323*INDEX(Products!$D$2:$D$49,MATCH(C5323,Products!$A$2:$A$49,0))*(1+INDEX(Assumptions!$B$16:$B$20,MATCH(B5323,Assumptions!$A$16:$A$20,0)))</f>
        <v>2652</v>
      </c>
      <c r="J5323" s="33" t="n">
        <f aca="false">H5323-I5323</f>
        <v>848</v>
      </c>
      <c r="K5323" s="33" t="n">
        <f aca="false">IF(OR(E5323=0,E5323&gt;=7),0,D5323/(7-E5323)*E5323*INDEX(Products!$E$2:$E$49,MATCH(C5323,Products!$A$2:$A$49,0)))</f>
        <v>0</v>
      </c>
    </row>
    <row r="5324" customFormat="false" ht="15" hidden="false" customHeight="false" outlineLevel="0" collapsed="false">
      <c r="A5324" s="36" t="n">
        <v>46272</v>
      </c>
      <c r="B5324" s="24" t="s">
        <v>65</v>
      </c>
      <c r="C5324" s="24" t="s">
        <v>155</v>
      </c>
      <c r="D5324" s="33" t="n">
        <v>154</v>
      </c>
      <c r="E5324" s="24" t="n">
        <v>0</v>
      </c>
      <c r="F5324" s="37" t="n">
        <f aca="false">DATE(YEAR(A5324),MONTH(A5324),1)</f>
        <v>46266</v>
      </c>
      <c r="G5324" s="24" t="str">
        <f aca="false">INDEX(Products!$C$2:$C$49,MATCH(C5324,Products!$A$2:$A$49,0))</f>
        <v>Beverages</v>
      </c>
      <c r="H5324" s="33" t="n">
        <f aca="false">D5324*INDEX(Products!$E$2:$E$49,MATCH(C5324,Products!$A$2:$A$49,0))</f>
        <v>5390</v>
      </c>
      <c r="I5324" s="33" t="n">
        <f aca="false">D5324*INDEX(Products!$D$2:$D$49,MATCH(C5324,Products!$A$2:$A$49,0))*(1+INDEX(Assumptions!$B$16:$B$20,MATCH(B5324,Assumptions!$A$16:$A$20,0)))</f>
        <v>4084.08</v>
      </c>
      <c r="J5324" s="33" t="n">
        <f aca="false">H5324-I5324</f>
        <v>1305.92</v>
      </c>
      <c r="K5324" s="33" t="n">
        <f aca="false">IF(OR(E5324=0,E5324&gt;=7),0,D5324/(7-E5324)*E5324*INDEX(Products!$E$2:$E$49,MATCH(C5324,Products!$A$2:$A$49,0)))</f>
        <v>0</v>
      </c>
    </row>
    <row r="5325" customFormat="false" ht="15" hidden="false" customHeight="false" outlineLevel="0" collapsed="false">
      <c r="A5325" s="36" t="n">
        <v>46279</v>
      </c>
      <c r="B5325" s="24" t="s">
        <v>65</v>
      </c>
      <c r="C5325" s="24" t="s">
        <v>155</v>
      </c>
      <c r="D5325" s="33" t="n">
        <v>95</v>
      </c>
      <c r="E5325" s="24" t="n">
        <v>0</v>
      </c>
      <c r="F5325" s="37" t="n">
        <f aca="false">DATE(YEAR(A5325),MONTH(A5325),1)</f>
        <v>46266</v>
      </c>
      <c r="G5325" s="24" t="str">
        <f aca="false">INDEX(Products!$C$2:$C$49,MATCH(C5325,Products!$A$2:$A$49,0))</f>
        <v>Beverages</v>
      </c>
      <c r="H5325" s="33" t="n">
        <f aca="false">D5325*INDEX(Products!$E$2:$E$49,MATCH(C5325,Products!$A$2:$A$49,0))</f>
        <v>3325</v>
      </c>
      <c r="I5325" s="33" t="n">
        <f aca="false">D5325*INDEX(Products!$D$2:$D$49,MATCH(C5325,Products!$A$2:$A$49,0))*(1+INDEX(Assumptions!$B$16:$B$20,MATCH(B5325,Assumptions!$A$16:$A$20,0)))</f>
        <v>2519.4</v>
      </c>
      <c r="J5325" s="33" t="n">
        <f aca="false">H5325-I5325</f>
        <v>805.6</v>
      </c>
      <c r="K5325" s="33" t="n">
        <f aca="false">IF(OR(E5325=0,E5325&gt;=7),0,D5325/(7-E5325)*E5325*INDEX(Products!$E$2:$E$49,MATCH(C5325,Products!$A$2:$A$49,0)))</f>
        <v>0</v>
      </c>
    </row>
    <row r="5326" customFormat="false" ht="15" hidden="false" customHeight="false" outlineLevel="0" collapsed="false">
      <c r="A5326" s="36" t="n">
        <v>46286</v>
      </c>
      <c r="B5326" s="24" t="s">
        <v>65</v>
      </c>
      <c r="C5326" s="24" t="s">
        <v>155</v>
      </c>
      <c r="D5326" s="33" t="n">
        <v>77</v>
      </c>
      <c r="E5326" s="24" t="n">
        <v>1</v>
      </c>
      <c r="F5326" s="37" t="n">
        <f aca="false">DATE(YEAR(A5326),MONTH(A5326),1)</f>
        <v>46266</v>
      </c>
      <c r="G5326" s="24" t="str">
        <f aca="false">INDEX(Products!$C$2:$C$49,MATCH(C5326,Products!$A$2:$A$49,0))</f>
        <v>Beverages</v>
      </c>
      <c r="H5326" s="33" t="n">
        <f aca="false">D5326*INDEX(Products!$E$2:$E$49,MATCH(C5326,Products!$A$2:$A$49,0))</f>
        <v>2695</v>
      </c>
      <c r="I5326" s="33" t="n">
        <f aca="false">D5326*INDEX(Products!$D$2:$D$49,MATCH(C5326,Products!$A$2:$A$49,0))*(1+INDEX(Assumptions!$B$16:$B$20,MATCH(B5326,Assumptions!$A$16:$A$20,0)))</f>
        <v>2042.04</v>
      </c>
      <c r="J5326" s="33" t="n">
        <f aca="false">H5326-I5326</f>
        <v>652.96</v>
      </c>
      <c r="K5326" s="33" t="n">
        <f aca="false">IF(OR(E5326=0,E5326&gt;=7),0,D5326/(7-E5326)*E5326*INDEX(Products!$E$2:$E$49,MATCH(C5326,Products!$A$2:$A$49,0)))</f>
        <v>449.166666666667</v>
      </c>
    </row>
    <row r="5327" customFormat="false" ht="15" hidden="false" customHeight="false" outlineLevel="0" collapsed="false">
      <c r="A5327" s="36" t="n">
        <v>46118</v>
      </c>
      <c r="B5327" s="24" t="s">
        <v>65</v>
      </c>
      <c r="C5327" s="24" t="s">
        <v>157</v>
      </c>
      <c r="D5327" s="33" t="n">
        <v>72</v>
      </c>
      <c r="E5327" s="24" t="n">
        <v>0</v>
      </c>
      <c r="F5327" s="37" t="n">
        <f aca="false">DATE(YEAR(A5327),MONTH(A5327),1)</f>
        <v>46113</v>
      </c>
      <c r="G5327" s="24" t="str">
        <f aca="false">INDEX(Products!$C$2:$C$49,MATCH(C5327,Products!$A$2:$A$49,0))</f>
        <v>Beverages</v>
      </c>
      <c r="H5327" s="33" t="n">
        <f aca="false">D5327*INDEX(Products!$E$2:$E$49,MATCH(C5327,Products!$A$2:$A$49,0))</f>
        <v>8640</v>
      </c>
      <c r="I5327" s="33" t="n">
        <f aca="false">D5327*INDEX(Products!$D$2:$D$49,MATCH(C5327,Products!$A$2:$A$49,0))*(1+INDEX(Assumptions!$B$16:$B$20,MATCH(B5327,Assumptions!$A$16:$A$20,0)))</f>
        <v>6462.72</v>
      </c>
      <c r="J5327" s="33" t="n">
        <f aca="false">H5327-I5327</f>
        <v>2177.28</v>
      </c>
      <c r="K5327" s="33" t="n">
        <f aca="false">IF(OR(E5327=0,E5327&gt;=7),0,D5327/(7-E5327)*E5327*INDEX(Products!$E$2:$E$49,MATCH(C5327,Products!$A$2:$A$49,0)))</f>
        <v>0</v>
      </c>
    </row>
    <row r="5328" customFormat="false" ht="15" hidden="false" customHeight="false" outlineLevel="0" collapsed="false">
      <c r="A5328" s="36" t="n">
        <v>46125</v>
      </c>
      <c r="B5328" s="24" t="s">
        <v>65</v>
      </c>
      <c r="C5328" s="24" t="s">
        <v>157</v>
      </c>
      <c r="D5328" s="33" t="n">
        <v>90</v>
      </c>
      <c r="E5328" s="24" t="n">
        <v>0</v>
      </c>
      <c r="F5328" s="37" t="n">
        <f aca="false">DATE(YEAR(A5328),MONTH(A5328),1)</f>
        <v>46113</v>
      </c>
      <c r="G5328" s="24" t="str">
        <f aca="false">INDEX(Products!$C$2:$C$49,MATCH(C5328,Products!$A$2:$A$49,0))</f>
        <v>Beverages</v>
      </c>
      <c r="H5328" s="33" t="n">
        <f aca="false">D5328*INDEX(Products!$E$2:$E$49,MATCH(C5328,Products!$A$2:$A$49,0))</f>
        <v>10800</v>
      </c>
      <c r="I5328" s="33" t="n">
        <f aca="false">D5328*INDEX(Products!$D$2:$D$49,MATCH(C5328,Products!$A$2:$A$49,0))*(1+INDEX(Assumptions!$B$16:$B$20,MATCH(B5328,Assumptions!$A$16:$A$20,0)))</f>
        <v>8078.4</v>
      </c>
      <c r="J5328" s="33" t="n">
        <f aca="false">H5328-I5328</f>
        <v>2721.6</v>
      </c>
      <c r="K5328" s="33" t="n">
        <f aca="false">IF(OR(E5328=0,E5328&gt;=7),0,D5328/(7-E5328)*E5328*INDEX(Products!$E$2:$E$49,MATCH(C5328,Products!$A$2:$A$49,0)))</f>
        <v>0</v>
      </c>
    </row>
    <row r="5329" customFormat="false" ht="15" hidden="false" customHeight="false" outlineLevel="0" collapsed="false">
      <c r="A5329" s="36" t="n">
        <v>46132</v>
      </c>
      <c r="B5329" s="24" t="s">
        <v>65</v>
      </c>
      <c r="C5329" s="24" t="s">
        <v>157</v>
      </c>
      <c r="D5329" s="33" t="n">
        <v>80</v>
      </c>
      <c r="E5329" s="24" t="n">
        <v>0</v>
      </c>
      <c r="F5329" s="37" t="n">
        <f aca="false">DATE(YEAR(A5329),MONTH(A5329),1)</f>
        <v>46113</v>
      </c>
      <c r="G5329" s="24" t="str">
        <f aca="false">INDEX(Products!$C$2:$C$49,MATCH(C5329,Products!$A$2:$A$49,0))</f>
        <v>Beverages</v>
      </c>
      <c r="H5329" s="33" t="n">
        <f aca="false">D5329*INDEX(Products!$E$2:$E$49,MATCH(C5329,Products!$A$2:$A$49,0))</f>
        <v>9600</v>
      </c>
      <c r="I5329" s="33" t="n">
        <f aca="false">D5329*INDEX(Products!$D$2:$D$49,MATCH(C5329,Products!$A$2:$A$49,0))*(1+INDEX(Assumptions!$B$16:$B$20,MATCH(B5329,Assumptions!$A$16:$A$20,0)))</f>
        <v>7180.8</v>
      </c>
      <c r="J5329" s="33" t="n">
        <f aca="false">H5329-I5329</f>
        <v>2419.2</v>
      </c>
      <c r="K5329" s="33" t="n">
        <f aca="false">IF(OR(E5329=0,E5329&gt;=7),0,D5329/(7-E5329)*E5329*INDEX(Products!$E$2:$E$49,MATCH(C5329,Products!$A$2:$A$49,0)))</f>
        <v>0</v>
      </c>
    </row>
    <row r="5330" customFormat="false" ht="15" hidden="false" customHeight="false" outlineLevel="0" collapsed="false">
      <c r="A5330" s="36" t="n">
        <v>46139</v>
      </c>
      <c r="B5330" s="24" t="s">
        <v>65</v>
      </c>
      <c r="C5330" s="24" t="s">
        <v>157</v>
      </c>
      <c r="D5330" s="33" t="n">
        <v>82</v>
      </c>
      <c r="E5330" s="24" t="n">
        <v>0</v>
      </c>
      <c r="F5330" s="37" t="n">
        <f aca="false">DATE(YEAR(A5330),MONTH(A5330),1)</f>
        <v>46113</v>
      </c>
      <c r="G5330" s="24" t="str">
        <f aca="false">INDEX(Products!$C$2:$C$49,MATCH(C5330,Products!$A$2:$A$49,0))</f>
        <v>Beverages</v>
      </c>
      <c r="H5330" s="33" t="n">
        <f aca="false">D5330*INDEX(Products!$E$2:$E$49,MATCH(C5330,Products!$A$2:$A$49,0))</f>
        <v>9840</v>
      </c>
      <c r="I5330" s="33" t="n">
        <f aca="false">D5330*INDEX(Products!$D$2:$D$49,MATCH(C5330,Products!$A$2:$A$49,0))*(1+INDEX(Assumptions!$B$16:$B$20,MATCH(B5330,Assumptions!$A$16:$A$20,0)))</f>
        <v>7360.32</v>
      </c>
      <c r="J5330" s="33" t="n">
        <f aca="false">H5330-I5330</f>
        <v>2479.68</v>
      </c>
      <c r="K5330" s="33" t="n">
        <f aca="false">IF(OR(E5330=0,E5330&gt;=7),0,D5330/(7-E5330)*E5330*INDEX(Products!$E$2:$E$49,MATCH(C5330,Products!$A$2:$A$49,0)))</f>
        <v>0</v>
      </c>
    </row>
    <row r="5331" customFormat="false" ht="15" hidden="false" customHeight="false" outlineLevel="0" collapsed="false">
      <c r="A5331" s="36" t="n">
        <v>46146</v>
      </c>
      <c r="B5331" s="24" t="s">
        <v>65</v>
      </c>
      <c r="C5331" s="24" t="s">
        <v>157</v>
      </c>
      <c r="D5331" s="33" t="n">
        <v>64</v>
      </c>
      <c r="E5331" s="24" t="n">
        <v>0</v>
      </c>
      <c r="F5331" s="37" t="n">
        <f aca="false">DATE(YEAR(A5331),MONTH(A5331),1)</f>
        <v>46143</v>
      </c>
      <c r="G5331" s="24" t="str">
        <f aca="false">INDEX(Products!$C$2:$C$49,MATCH(C5331,Products!$A$2:$A$49,0))</f>
        <v>Beverages</v>
      </c>
      <c r="H5331" s="33" t="n">
        <f aca="false">D5331*INDEX(Products!$E$2:$E$49,MATCH(C5331,Products!$A$2:$A$49,0))</f>
        <v>7680</v>
      </c>
      <c r="I5331" s="33" t="n">
        <f aca="false">D5331*INDEX(Products!$D$2:$D$49,MATCH(C5331,Products!$A$2:$A$49,0))*(1+INDEX(Assumptions!$B$16:$B$20,MATCH(B5331,Assumptions!$A$16:$A$20,0)))</f>
        <v>5744.64</v>
      </c>
      <c r="J5331" s="33" t="n">
        <f aca="false">H5331-I5331</f>
        <v>1935.36</v>
      </c>
      <c r="K5331" s="33" t="n">
        <f aca="false">IF(OR(E5331=0,E5331&gt;=7),0,D5331/(7-E5331)*E5331*INDEX(Products!$E$2:$E$49,MATCH(C5331,Products!$A$2:$A$49,0)))</f>
        <v>0</v>
      </c>
    </row>
    <row r="5332" customFormat="false" ht="15" hidden="false" customHeight="false" outlineLevel="0" collapsed="false">
      <c r="A5332" s="36" t="n">
        <v>46153</v>
      </c>
      <c r="B5332" s="24" t="s">
        <v>65</v>
      </c>
      <c r="C5332" s="24" t="s">
        <v>157</v>
      </c>
      <c r="D5332" s="33" t="n">
        <v>84</v>
      </c>
      <c r="E5332" s="24" t="n">
        <v>0</v>
      </c>
      <c r="F5332" s="37" t="n">
        <f aca="false">DATE(YEAR(A5332),MONTH(A5332),1)</f>
        <v>46143</v>
      </c>
      <c r="G5332" s="24" t="str">
        <f aca="false">INDEX(Products!$C$2:$C$49,MATCH(C5332,Products!$A$2:$A$49,0))</f>
        <v>Beverages</v>
      </c>
      <c r="H5332" s="33" t="n">
        <f aca="false">D5332*INDEX(Products!$E$2:$E$49,MATCH(C5332,Products!$A$2:$A$49,0))</f>
        <v>10080</v>
      </c>
      <c r="I5332" s="33" t="n">
        <f aca="false">D5332*INDEX(Products!$D$2:$D$49,MATCH(C5332,Products!$A$2:$A$49,0))*(1+INDEX(Assumptions!$B$16:$B$20,MATCH(B5332,Assumptions!$A$16:$A$20,0)))</f>
        <v>7539.84</v>
      </c>
      <c r="J5332" s="33" t="n">
        <f aca="false">H5332-I5332</f>
        <v>2540.16</v>
      </c>
      <c r="K5332" s="33" t="n">
        <f aca="false">IF(OR(E5332=0,E5332&gt;=7),0,D5332/(7-E5332)*E5332*INDEX(Products!$E$2:$E$49,MATCH(C5332,Products!$A$2:$A$49,0)))</f>
        <v>0</v>
      </c>
    </row>
    <row r="5333" customFormat="false" ht="15" hidden="false" customHeight="false" outlineLevel="0" collapsed="false">
      <c r="A5333" s="36" t="n">
        <v>46160</v>
      </c>
      <c r="B5333" s="24" t="s">
        <v>65</v>
      </c>
      <c r="C5333" s="24" t="s">
        <v>157</v>
      </c>
      <c r="D5333" s="33" t="n">
        <v>22</v>
      </c>
      <c r="E5333" s="24" t="n">
        <v>5</v>
      </c>
      <c r="F5333" s="37" t="n">
        <f aca="false">DATE(YEAR(A5333),MONTH(A5333),1)</f>
        <v>46143</v>
      </c>
      <c r="G5333" s="24" t="str">
        <f aca="false">INDEX(Products!$C$2:$C$49,MATCH(C5333,Products!$A$2:$A$49,0))</f>
        <v>Beverages</v>
      </c>
      <c r="H5333" s="33" t="n">
        <f aca="false">D5333*INDEX(Products!$E$2:$E$49,MATCH(C5333,Products!$A$2:$A$49,0))</f>
        <v>2640</v>
      </c>
      <c r="I5333" s="33" t="n">
        <f aca="false">D5333*INDEX(Products!$D$2:$D$49,MATCH(C5333,Products!$A$2:$A$49,0))*(1+INDEX(Assumptions!$B$16:$B$20,MATCH(B5333,Assumptions!$A$16:$A$20,0)))</f>
        <v>1974.72</v>
      </c>
      <c r="J5333" s="33" t="n">
        <f aca="false">H5333-I5333</f>
        <v>665.28</v>
      </c>
      <c r="K5333" s="33" t="n">
        <f aca="false">IF(OR(E5333=0,E5333&gt;=7),0,D5333/(7-E5333)*E5333*INDEX(Products!$E$2:$E$49,MATCH(C5333,Products!$A$2:$A$49,0)))</f>
        <v>6600</v>
      </c>
    </row>
    <row r="5334" customFormat="false" ht="15" hidden="false" customHeight="false" outlineLevel="0" collapsed="false">
      <c r="A5334" s="36" t="n">
        <v>46167</v>
      </c>
      <c r="B5334" s="24" t="s">
        <v>65</v>
      </c>
      <c r="C5334" s="24" t="s">
        <v>157</v>
      </c>
      <c r="D5334" s="33" t="n">
        <v>81</v>
      </c>
      <c r="E5334" s="24" t="n">
        <v>0</v>
      </c>
      <c r="F5334" s="37" t="n">
        <f aca="false">DATE(YEAR(A5334),MONTH(A5334),1)</f>
        <v>46143</v>
      </c>
      <c r="G5334" s="24" t="str">
        <f aca="false">INDEX(Products!$C$2:$C$49,MATCH(C5334,Products!$A$2:$A$49,0))</f>
        <v>Beverages</v>
      </c>
      <c r="H5334" s="33" t="n">
        <f aca="false">D5334*INDEX(Products!$E$2:$E$49,MATCH(C5334,Products!$A$2:$A$49,0))</f>
        <v>9720</v>
      </c>
      <c r="I5334" s="33" t="n">
        <f aca="false">D5334*INDEX(Products!$D$2:$D$49,MATCH(C5334,Products!$A$2:$A$49,0))*(1+INDEX(Assumptions!$B$16:$B$20,MATCH(B5334,Assumptions!$A$16:$A$20,0)))</f>
        <v>7270.56</v>
      </c>
      <c r="J5334" s="33" t="n">
        <f aca="false">H5334-I5334</f>
        <v>2449.44</v>
      </c>
      <c r="K5334" s="33" t="n">
        <f aca="false">IF(OR(E5334=0,E5334&gt;=7),0,D5334/(7-E5334)*E5334*INDEX(Products!$E$2:$E$49,MATCH(C5334,Products!$A$2:$A$49,0)))</f>
        <v>0</v>
      </c>
    </row>
    <row r="5335" customFormat="false" ht="15" hidden="false" customHeight="false" outlineLevel="0" collapsed="false">
      <c r="A5335" s="36" t="n">
        <v>46174</v>
      </c>
      <c r="B5335" s="24" t="s">
        <v>65</v>
      </c>
      <c r="C5335" s="24" t="s">
        <v>157</v>
      </c>
      <c r="D5335" s="33" t="n">
        <v>101</v>
      </c>
      <c r="E5335" s="24" t="n">
        <v>0</v>
      </c>
      <c r="F5335" s="37" t="n">
        <f aca="false">DATE(YEAR(A5335),MONTH(A5335),1)</f>
        <v>46174</v>
      </c>
      <c r="G5335" s="24" t="str">
        <f aca="false">INDEX(Products!$C$2:$C$49,MATCH(C5335,Products!$A$2:$A$49,0))</f>
        <v>Beverages</v>
      </c>
      <c r="H5335" s="33" t="n">
        <f aca="false">D5335*INDEX(Products!$E$2:$E$49,MATCH(C5335,Products!$A$2:$A$49,0))</f>
        <v>12120</v>
      </c>
      <c r="I5335" s="33" t="n">
        <f aca="false">D5335*INDEX(Products!$D$2:$D$49,MATCH(C5335,Products!$A$2:$A$49,0))*(1+INDEX(Assumptions!$B$16:$B$20,MATCH(B5335,Assumptions!$A$16:$A$20,0)))</f>
        <v>9065.76</v>
      </c>
      <c r="J5335" s="33" t="n">
        <f aca="false">H5335-I5335</f>
        <v>3054.24</v>
      </c>
      <c r="K5335" s="33" t="n">
        <f aca="false">IF(OR(E5335=0,E5335&gt;=7),0,D5335/(7-E5335)*E5335*INDEX(Products!$E$2:$E$49,MATCH(C5335,Products!$A$2:$A$49,0)))</f>
        <v>0</v>
      </c>
    </row>
    <row r="5336" customFormat="false" ht="15" hidden="false" customHeight="false" outlineLevel="0" collapsed="false">
      <c r="A5336" s="36" t="n">
        <v>46181</v>
      </c>
      <c r="B5336" s="24" t="s">
        <v>65</v>
      </c>
      <c r="C5336" s="24" t="s">
        <v>157</v>
      </c>
      <c r="D5336" s="33" t="n">
        <v>81</v>
      </c>
      <c r="E5336" s="24" t="n">
        <v>0</v>
      </c>
      <c r="F5336" s="37" t="n">
        <f aca="false">DATE(YEAR(A5336),MONTH(A5336),1)</f>
        <v>46174</v>
      </c>
      <c r="G5336" s="24" t="str">
        <f aca="false">INDEX(Products!$C$2:$C$49,MATCH(C5336,Products!$A$2:$A$49,0))</f>
        <v>Beverages</v>
      </c>
      <c r="H5336" s="33" t="n">
        <f aca="false">D5336*INDEX(Products!$E$2:$E$49,MATCH(C5336,Products!$A$2:$A$49,0))</f>
        <v>9720</v>
      </c>
      <c r="I5336" s="33" t="n">
        <f aca="false">D5336*INDEX(Products!$D$2:$D$49,MATCH(C5336,Products!$A$2:$A$49,0))*(1+INDEX(Assumptions!$B$16:$B$20,MATCH(B5336,Assumptions!$A$16:$A$20,0)))</f>
        <v>7270.56</v>
      </c>
      <c r="J5336" s="33" t="n">
        <f aca="false">H5336-I5336</f>
        <v>2449.44</v>
      </c>
      <c r="K5336" s="33" t="n">
        <f aca="false">IF(OR(E5336=0,E5336&gt;=7),0,D5336/(7-E5336)*E5336*INDEX(Products!$E$2:$E$49,MATCH(C5336,Products!$A$2:$A$49,0)))</f>
        <v>0</v>
      </c>
    </row>
    <row r="5337" customFormat="false" ht="15" hidden="false" customHeight="false" outlineLevel="0" collapsed="false">
      <c r="A5337" s="36" t="n">
        <v>46188</v>
      </c>
      <c r="B5337" s="24" t="s">
        <v>65</v>
      </c>
      <c r="C5337" s="24" t="s">
        <v>157</v>
      </c>
      <c r="D5337" s="33" t="n">
        <v>69</v>
      </c>
      <c r="E5337" s="24" t="n">
        <v>0</v>
      </c>
      <c r="F5337" s="37" t="n">
        <f aca="false">DATE(YEAR(A5337),MONTH(A5337),1)</f>
        <v>46174</v>
      </c>
      <c r="G5337" s="24" t="str">
        <f aca="false">INDEX(Products!$C$2:$C$49,MATCH(C5337,Products!$A$2:$A$49,0))</f>
        <v>Beverages</v>
      </c>
      <c r="H5337" s="33" t="n">
        <f aca="false">D5337*INDEX(Products!$E$2:$E$49,MATCH(C5337,Products!$A$2:$A$49,0))</f>
        <v>8280</v>
      </c>
      <c r="I5337" s="33" t="n">
        <f aca="false">D5337*INDEX(Products!$D$2:$D$49,MATCH(C5337,Products!$A$2:$A$49,0))*(1+INDEX(Assumptions!$B$16:$B$20,MATCH(B5337,Assumptions!$A$16:$A$20,0)))</f>
        <v>6193.44</v>
      </c>
      <c r="J5337" s="33" t="n">
        <f aca="false">H5337-I5337</f>
        <v>2086.56</v>
      </c>
      <c r="K5337" s="33" t="n">
        <f aca="false">IF(OR(E5337=0,E5337&gt;=7),0,D5337/(7-E5337)*E5337*INDEX(Products!$E$2:$E$49,MATCH(C5337,Products!$A$2:$A$49,0)))</f>
        <v>0</v>
      </c>
    </row>
    <row r="5338" customFormat="false" ht="15" hidden="false" customHeight="false" outlineLevel="0" collapsed="false">
      <c r="A5338" s="36" t="n">
        <v>46195</v>
      </c>
      <c r="B5338" s="24" t="s">
        <v>65</v>
      </c>
      <c r="C5338" s="24" t="s">
        <v>157</v>
      </c>
      <c r="D5338" s="33" t="n">
        <v>75</v>
      </c>
      <c r="E5338" s="24" t="n">
        <v>0</v>
      </c>
      <c r="F5338" s="37" t="n">
        <f aca="false">DATE(YEAR(A5338),MONTH(A5338),1)</f>
        <v>46174</v>
      </c>
      <c r="G5338" s="24" t="str">
        <f aca="false">INDEX(Products!$C$2:$C$49,MATCH(C5338,Products!$A$2:$A$49,0))</f>
        <v>Beverages</v>
      </c>
      <c r="H5338" s="33" t="n">
        <f aca="false">D5338*INDEX(Products!$E$2:$E$49,MATCH(C5338,Products!$A$2:$A$49,0))</f>
        <v>9000</v>
      </c>
      <c r="I5338" s="33" t="n">
        <f aca="false">D5338*INDEX(Products!$D$2:$D$49,MATCH(C5338,Products!$A$2:$A$49,0))*(1+INDEX(Assumptions!$B$16:$B$20,MATCH(B5338,Assumptions!$A$16:$A$20,0)))</f>
        <v>6732</v>
      </c>
      <c r="J5338" s="33" t="n">
        <f aca="false">H5338-I5338</f>
        <v>2268</v>
      </c>
      <c r="K5338" s="33" t="n">
        <f aca="false">IF(OR(E5338=0,E5338&gt;=7),0,D5338/(7-E5338)*E5338*INDEX(Products!$E$2:$E$49,MATCH(C5338,Products!$A$2:$A$49,0)))</f>
        <v>0</v>
      </c>
    </row>
    <row r="5339" customFormat="false" ht="15" hidden="false" customHeight="false" outlineLevel="0" collapsed="false">
      <c r="A5339" s="36" t="n">
        <v>46202</v>
      </c>
      <c r="B5339" s="24" t="s">
        <v>65</v>
      </c>
      <c r="C5339" s="24" t="s">
        <v>157</v>
      </c>
      <c r="D5339" s="33" t="n">
        <v>64</v>
      </c>
      <c r="E5339" s="24" t="n">
        <v>0</v>
      </c>
      <c r="F5339" s="37" t="n">
        <f aca="false">DATE(YEAR(A5339),MONTH(A5339),1)</f>
        <v>46174</v>
      </c>
      <c r="G5339" s="24" t="str">
        <f aca="false">INDEX(Products!$C$2:$C$49,MATCH(C5339,Products!$A$2:$A$49,0))</f>
        <v>Beverages</v>
      </c>
      <c r="H5339" s="33" t="n">
        <f aca="false">D5339*INDEX(Products!$E$2:$E$49,MATCH(C5339,Products!$A$2:$A$49,0))</f>
        <v>7680</v>
      </c>
      <c r="I5339" s="33" t="n">
        <f aca="false">D5339*INDEX(Products!$D$2:$D$49,MATCH(C5339,Products!$A$2:$A$49,0))*(1+INDEX(Assumptions!$B$16:$B$20,MATCH(B5339,Assumptions!$A$16:$A$20,0)))</f>
        <v>5744.64</v>
      </c>
      <c r="J5339" s="33" t="n">
        <f aca="false">H5339-I5339</f>
        <v>1935.36</v>
      </c>
      <c r="K5339" s="33" t="n">
        <f aca="false">IF(OR(E5339=0,E5339&gt;=7),0,D5339/(7-E5339)*E5339*INDEX(Products!$E$2:$E$49,MATCH(C5339,Products!$A$2:$A$49,0)))</f>
        <v>0</v>
      </c>
    </row>
    <row r="5340" customFormat="false" ht="15" hidden="false" customHeight="false" outlineLevel="0" collapsed="false">
      <c r="A5340" s="36" t="n">
        <v>46209</v>
      </c>
      <c r="B5340" s="24" t="s">
        <v>65</v>
      </c>
      <c r="C5340" s="24" t="s">
        <v>157</v>
      </c>
      <c r="D5340" s="33" t="n">
        <v>74</v>
      </c>
      <c r="E5340" s="24" t="n">
        <v>0</v>
      </c>
      <c r="F5340" s="37" t="n">
        <f aca="false">DATE(YEAR(A5340),MONTH(A5340),1)</f>
        <v>46204</v>
      </c>
      <c r="G5340" s="24" t="str">
        <f aca="false">INDEX(Products!$C$2:$C$49,MATCH(C5340,Products!$A$2:$A$49,0))</f>
        <v>Beverages</v>
      </c>
      <c r="H5340" s="33" t="n">
        <f aca="false">D5340*INDEX(Products!$E$2:$E$49,MATCH(C5340,Products!$A$2:$A$49,0))</f>
        <v>8880</v>
      </c>
      <c r="I5340" s="33" t="n">
        <f aca="false">D5340*INDEX(Products!$D$2:$D$49,MATCH(C5340,Products!$A$2:$A$49,0))*(1+INDEX(Assumptions!$B$16:$B$20,MATCH(B5340,Assumptions!$A$16:$A$20,0)))</f>
        <v>6642.24</v>
      </c>
      <c r="J5340" s="33" t="n">
        <f aca="false">H5340-I5340</f>
        <v>2237.76</v>
      </c>
      <c r="K5340" s="33" t="n">
        <f aca="false">IF(OR(E5340=0,E5340&gt;=7),0,D5340/(7-E5340)*E5340*INDEX(Products!$E$2:$E$49,MATCH(C5340,Products!$A$2:$A$49,0)))</f>
        <v>0</v>
      </c>
    </row>
    <row r="5341" customFormat="false" ht="15" hidden="false" customHeight="false" outlineLevel="0" collapsed="false">
      <c r="A5341" s="36" t="n">
        <v>46216</v>
      </c>
      <c r="B5341" s="24" t="s">
        <v>65</v>
      </c>
      <c r="C5341" s="24" t="s">
        <v>157</v>
      </c>
      <c r="D5341" s="33" t="n">
        <v>60</v>
      </c>
      <c r="E5341" s="24" t="n">
        <v>0</v>
      </c>
      <c r="F5341" s="37" t="n">
        <f aca="false">DATE(YEAR(A5341),MONTH(A5341),1)</f>
        <v>46204</v>
      </c>
      <c r="G5341" s="24" t="str">
        <f aca="false">INDEX(Products!$C$2:$C$49,MATCH(C5341,Products!$A$2:$A$49,0))</f>
        <v>Beverages</v>
      </c>
      <c r="H5341" s="33" t="n">
        <f aca="false">D5341*INDEX(Products!$E$2:$E$49,MATCH(C5341,Products!$A$2:$A$49,0))</f>
        <v>7200</v>
      </c>
      <c r="I5341" s="33" t="n">
        <f aca="false">D5341*INDEX(Products!$D$2:$D$49,MATCH(C5341,Products!$A$2:$A$49,0))*(1+INDEX(Assumptions!$B$16:$B$20,MATCH(B5341,Assumptions!$A$16:$A$20,0)))</f>
        <v>5385.6</v>
      </c>
      <c r="J5341" s="33" t="n">
        <f aca="false">H5341-I5341</f>
        <v>1814.4</v>
      </c>
      <c r="K5341" s="33" t="n">
        <f aca="false">IF(OR(E5341=0,E5341&gt;=7),0,D5341/(7-E5341)*E5341*INDEX(Products!$E$2:$E$49,MATCH(C5341,Products!$A$2:$A$49,0)))</f>
        <v>0</v>
      </c>
    </row>
    <row r="5342" customFormat="false" ht="15" hidden="false" customHeight="false" outlineLevel="0" collapsed="false">
      <c r="A5342" s="36" t="n">
        <v>46223</v>
      </c>
      <c r="B5342" s="24" t="s">
        <v>65</v>
      </c>
      <c r="C5342" s="24" t="s">
        <v>157</v>
      </c>
      <c r="D5342" s="33" t="n">
        <v>77</v>
      </c>
      <c r="E5342" s="24" t="n">
        <v>0</v>
      </c>
      <c r="F5342" s="37" t="n">
        <f aca="false">DATE(YEAR(A5342),MONTH(A5342),1)</f>
        <v>46204</v>
      </c>
      <c r="G5342" s="24" t="str">
        <f aca="false">INDEX(Products!$C$2:$C$49,MATCH(C5342,Products!$A$2:$A$49,0))</f>
        <v>Beverages</v>
      </c>
      <c r="H5342" s="33" t="n">
        <f aca="false">D5342*INDEX(Products!$E$2:$E$49,MATCH(C5342,Products!$A$2:$A$49,0))</f>
        <v>9240</v>
      </c>
      <c r="I5342" s="33" t="n">
        <f aca="false">D5342*INDEX(Products!$D$2:$D$49,MATCH(C5342,Products!$A$2:$A$49,0))*(1+INDEX(Assumptions!$B$16:$B$20,MATCH(B5342,Assumptions!$A$16:$A$20,0)))</f>
        <v>6911.52</v>
      </c>
      <c r="J5342" s="33" t="n">
        <f aca="false">H5342-I5342</f>
        <v>2328.48</v>
      </c>
      <c r="K5342" s="33" t="n">
        <f aca="false">IF(OR(E5342=0,E5342&gt;=7),0,D5342/(7-E5342)*E5342*INDEX(Products!$E$2:$E$49,MATCH(C5342,Products!$A$2:$A$49,0)))</f>
        <v>0</v>
      </c>
    </row>
    <row r="5343" customFormat="false" ht="15" hidden="false" customHeight="false" outlineLevel="0" collapsed="false">
      <c r="A5343" s="36" t="n">
        <v>46230</v>
      </c>
      <c r="B5343" s="24" t="s">
        <v>65</v>
      </c>
      <c r="C5343" s="24" t="s">
        <v>157</v>
      </c>
      <c r="D5343" s="33" t="n">
        <v>83</v>
      </c>
      <c r="E5343" s="24" t="n">
        <v>0</v>
      </c>
      <c r="F5343" s="37" t="n">
        <f aca="false">DATE(YEAR(A5343),MONTH(A5343),1)</f>
        <v>46204</v>
      </c>
      <c r="G5343" s="24" t="str">
        <f aca="false">INDEX(Products!$C$2:$C$49,MATCH(C5343,Products!$A$2:$A$49,0))</f>
        <v>Beverages</v>
      </c>
      <c r="H5343" s="33" t="n">
        <f aca="false">D5343*INDEX(Products!$E$2:$E$49,MATCH(C5343,Products!$A$2:$A$49,0))</f>
        <v>9960</v>
      </c>
      <c r="I5343" s="33" t="n">
        <f aca="false">D5343*INDEX(Products!$D$2:$D$49,MATCH(C5343,Products!$A$2:$A$49,0))*(1+INDEX(Assumptions!$B$16:$B$20,MATCH(B5343,Assumptions!$A$16:$A$20,0)))</f>
        <v>7450.08</v>
      </c>
      <c r="J5343" s="33" t="n">
        <f aca="false">H5343-I5343</f>
        <v>2509.92</v>
      </c>
      <c r="K5343" s="33" t="n">
        <f aca="false">IF(OR(E5343=0,E5343&gt;=7),0,D5343/(7-E5343)*E5343*INDEX(Products!$E$2:$E$49,MATCH(C5343,Products!$A$2:$A$49,0)))</f>
        <v>0</v>
      </c>
    </row>
    <row r="5344" customFormat="false" ht="15" hidden="false" customHeight="false" outlineLevel="0" collapsed="false">
      <c r="A5344" s="36" t="n">
        <v>46237</v>
      </c>
      <c r="B5344" s="24" t="s">
        <v>65</v>
      </c>
      <c r="C5344" s="24" t="s">
        <v>157</v>
      </c>
      <c r="D5344" s="33" t="n">
        <v>71</v>
      </c>
      <c r="E5344" s="24" t="n">
        <v>0</v>
      </c>
      <c r="F5344" s="37" t="n">
        <f aca="false">DATE(YEAR(A5344),MONTH(A5344),1)</f>
        <v>46235</v>
      </c>
      <c r="G5344" s="24" t="str">
        <f aca="false">INDEX(Products!$C$2:$C$49,MATCH(C5344,Products!$A$2:$A$49,0))</f>
        <v>Beverages</v>
      </c>
      <c r="H5344" s="33" t="n">
        <f aca="false">D5344*INDEX(Products!$E$2:$E$49,MATCH(C5344,Products!$A$2:$A$49,0))</f>
        <v>8520</v>
      </c>
      <c r="I5344" s="33" t="n">
        <f aca="false">D5344*INDEX(Products!$D$2:$D$49,MATCH(C5344,Products!$A$2:$A$49,0))*(1+INDEX(Assumptions!$B$16:$B$20,MATCH(B5344,Assumptions!$A$16:$A$20,0)))</f>
        <v>6372.96</v>
      </c>
      <c r="J5344" s="33" t="n">
        <f aca="false">H5344-I5344</f>
        <v>2147.04</v>
      </c>
      <c r="K5344" s="33" t="n">
        <f aca="false">IF(OR(E5344=0,E5344&gt;=7),0,D5344/(7-E5344)*E5344*INDEX(Products!$E$2:$E$49,MATCH(C5344,Products!$A$2:$A$49,0)))</f>
        <v>0</v>
      </c>
    </row>
    <row r="5345" customFormat="false" ht="15" hidden="false" customHeight="false" outlineLevel="0" collapsed="false">
      <c r="A5345" s="36" t="n">
        <v>46244</v>
      </c>
      <c r="B5345" s="24" t="s">
        <v>65</v>
      </c>
      <c r="C5345" s="24" t="s">
        <v>157</v>
      </c>
      <c r="D5345" s="33" t="n">
        <v>16</v>
      </c>
      <c r="E5345" s="24" t="n">
        <v>5</v>
      </c>
      <c r="F5345" s="37" t="n">
        <f aca="false">DATE(YEAR(A5345),MONTH(A5345),1)</f>
        <v>46235</v>
      </c>
      <c r="G5345" s="24" t="str">
        <f aca="false">INDEX(Products!$C$2:$C$49,MATCH(C5345,Products!$A$2:$A$49,0))</f>
        <v>Beverages</v>
      </c>
      <c r="H5345" s="33" t="n">
        <f aca="false">D5345*INDEX(Products!$E$2:$E$49,MATCH(C5345,Products!$A$2:$A$49,0))</f>
        <v>1920</v>
      </c>
      <c r="I5345" s="33" t="n">
        <f aca="false">D5345*INDEX(Products!$D$2:$D$49,MATCH(C5345,Products!$A$2:$A$49,0))*(1+INDEX(Assumptions!$B$16:$B$20,MATCH(B5345,Assumptions!$A$16:$A$20,0)))</f>
        <v>1436.16</v>
      </c>
      <c r="J5345" s="33" t="n">
        <f aca="false">H5345-I5345</f>
        <v>483.84</v>
      </c>
      <c r="K5345" s="33" t="n">
        <f aca="false">IF(OR(E5345=0,E5345&gt;=7),0,D5345/(7-E5345)*E5345*INDEX(Products!$E$2:$E$49,MATCH(C5345,Products!$A$2:$A$49,0)))</f>
        <v>4800</v>
      </c>
    </row>
    <row r="5346" customFormat="false" ht="15" hidden="false" customHeight="false" outlineLevel="0" collapsed="false">
      <c r="A5346" s="36" t="n">
        <v>46251</v>
      </c>
      <c r="B5346" s="24" t="s">
        <v>65</v>
      </c>
      <c r="C5346" s="24" t="s">
        <v>157</v>
      </c>
      <c r="D5346" s="33" t="n">
        <v>69</v>
      </c>
      <c r="E5346" s="24" t="n">
        <v>0</v>
      </c>
      <c r="F5346" s="37" t="n">
        <f aca="false">DATE(YEAR(A5346),MONTH(A5346),1)</f>
        <v>46235</v>
      </c>
      <c r="G5346" s="24" t="str">
        <f aca="false">INDEX(Products!$C$2:$C$49,MATCH(C5346,Products!$A$2:$A$49,0))</f>
        <v>Beverages</v>
      </c>
      <c r="H5346" s="33" t="n">
        <f aca="false">D5346*INDEX(Products!$E$2:$E$49,MATCH(C5346,Products!$A$2:$A$49,0))</f>
        <v>8280</v>
      </c>
      <c r="I5346" s="33" t="n">
        <f aca="false">D5346*INDEX(Products!$D$2:$D$49,MATCH(C5346,Products!$A$2:$A$49,0))*(1+INDEX(Assumptions!$B$16:$B$20,MATCH(B5346,Assumptions!$A$16:$A$20,0)))</f>
        <v>6193.44</v>
      </c>
      <c r="J5346" s="33" t="n">
        <f aca="false">H5346-I5346</f>
        <v>2086.56</v>
      </c>
      <c r="K5346" s="33" t="n">
        <f aca="false">IF(OR(E5346=0,E5346&gt;=7),0,D5346/(7-E5346)*E5346*INDEX(Products!$E$2:$E$49,MATCH(C5346,Products!$A$2:$A$49,0)))</f>
        <v>0</v>
      </c>
    </row>
    <row r="5347" customFormat="false" ht="15" hidden="false" customHeight="false" outlineLevel="0" collapsed="false">
      <c r="A5347" s="36" t="n">
        <v>46258</v>
      </c>
      <c r="B5347" s="24" t="s">
        <v>65</v>
      </c>
      <c r="C5347" s="24" t="s">
        <v>157</v>
      </c>
      <c r="D5347" s="33" t="n">
        <v>85</v>
      </c>
      <c r="E5347" s="24" t="n">
        <v>0</v>
      </c>
      <c r="F5347" s="37" t="n">
        <f aca="false">DATE(YEAR(A5347),MONTH(A5347),1)</f>
        <v>46235</v>
      </c>
      <c r="G5347" s="24" t="str">
        <f aca="false">INDEX(Products!$C$2:$C$49,MATCH(C5347,Products!$A$2:$A$49,0))</f>
        <v>Beverages</v>
      </c>
      <c r="H5347" s="33" t="n">
        <f aca="false">D5347*INDEX(Products!$E$2:$E$49,MATCH(C5347,Products!$A$2:$A$49,0))</f>
        <v>10200</v>
      </c>
      <c r="I5347" s="33" t="n">
        <f aca="false">D5347*INDEX(Products!$D$2:$D$49,MATCH(C5347,Products!$A$2:$A$49,0))*(1+INDEX(Assumptions!$B$16:$B$20,MATCH(B5347,Assumptions!$A$16:$A$20,0)))</f>
        <v>7629.6</v>
      </c>
      <c r="J5347" s="33" t="n">
        <f aca="false">H5347-I5347</f>
        <v>2570.4</v>
      </c>
      <c r="K5347" s="33" t="n">
        <f aca="false">IF(OR(E5347=0,E5347&gt;=7),0,D5347/(7-E5347)*E5347*INDEX(Products!$E$2:$E$49,MATCH(C5347,Products!$A$2:$A$49,0)))</f>
        <v>0</v>
      </c>
    </row>
    <row r="5348" customFormat="false" ht="15" hidden="false" customHeight="false" outlineLevel="0" collapsed="false">
      <c r="A5348" s="36" t="n">
        <v>46265</v>
      </c>
      <c r="B5348" s="24" t="s">
        <v>65</v>
      </c>
      <c r="C5348" s="24" t="s">
        <v>157</v>
      </c>
      <c r="D5348" s="33" t="n">
        <v>75</v>
      </c>
      <c r="E5348" s="24" t="n">
        <v>0</v>
      </c>
      <c r="F5348" s="37" t="n">
        <f aca="false">DATE(YEAR(A5348),MONTH(A5348),1)</f>
        <v>46235</v>
      </c>
      <c r="G5348" s="24" t="str">
        <f aca="false">INDEX(Products!$C$2:$C$49,MATCH(C5348,Products!$A$2:$A$49,0))</f>
        <v>Beverages</v>
      </c>
      <c r="H5348" s="33" t="n">
        <f aca="false">D5348*INDEX(Products!$E$2:$E$49,MATCH(C5348,Products!$A$2:$A$49,0))</f>
        <v>9000</v>
      </c>
      <c r="I5348" s="33" t="n">
        <f aca="false">D5348*INDEX(Products!$D$2:$D$49,MATCH(C5348,Products!$A$2:$A$49,0))*(1+INDEX(Assumptions!$B$16:$B$20,MATCH(B5348,Assumptions!$A$16:$A$20,0)))</f>
        <v>6732</v>
      </c>
      <c r="J5348" s="33" t="n">
        <f aca="false">H5348-I5348</f>
        <v>2268</v>
      </c>
      <c r="K5348" s="33" t="n">
        <f aca="false">IF(OR(E5348=0,E5348&gt;=7),0,D5348/(7-E5348)*E5348*INDEX(Products!$E$2:$E$49,MATCH(C5348,Products!$A$2:$A$49,0)))</f>
        <v>0</v>
      </c>
    </row>
    <row r="5349" customFormat="false" ht="15" hidden="false" customHeight="false" outlineLevel="0" collapsed="false">
      <c r="A5349" s="36" t="n">
        <v>46272</v>
      </c>
      <c r="B5349" s="24" t="s">
        <v>65</v>
      </c>
      <c r="C5349" s="24" t="s">
        <v>157</v>
      </c>
      <c r="D5349" s="33" t="n">
        <v>73</v>
      </c>
      <c r="E5349" s="24" t="n">
        <v>0</v>
      </c>
      <c r="F5349" s="37" t="n">
        <f aca="false">DATE(YEAR(A5349),MONTH(A5349),1)</f>
        <v>46266</v>
      </c>
      <c r="G5349" s="24" t="str">
        <f aca="false">INDEX(Products!$C$2:$C$49,MATCH(C5349,Products!$A$2:$A$49,0))</f>
        <v>Beverages</v>
      </c>
      <c r="H5349" s="33" t="n">
        <f aca="false">D5349*INDEX(Products!$E$2:$E$49,MATCH(C5349,Products!$A$2:$A$49,0))</f>
        <v>8760</v>
      </c>
      <c r="I5349" s="33" t="n">
        <f aca="false">D5349*INDEX(Products!$D$2:$D$49,MATCH(C5349,Products!$A$2:$A$49,0))*(1+INDEX(Assumptions!$B$16:$B$20,MATCH(B5349,Assumptions!$A$16:$A$20,0)))</f>
        <v>6552.48</v>
      </c>
      <c r="J5349" s="33" t="n">
        <f aca="false">H5349-I5349</f>
        <v>2207.52</v>
      </c>
      <c r="K5349" s="33" t="n">
        <f aca="false">IF(OR(E5349=0,E5349&gt;=7),0,D5349/(7-E5349)*E5349*INDEX(Products!$E$2:$E$49,MATCH(C5349,Products!$A$2:$A$49,0)))</f>
        <v>0</v>
      </c>
    </row>
    <row r="5350" customFormat="false" ht="15" hidden="false" customHeight="false" outlineLevel="0" collapsed="false">
      <c r="A5350" s="36" t="n">
        <v>46279</v>
      </c>
      <c r="B5350" s="24" t="s">
        <v>65</v>
      </c>
      <c r="C5350" s="24" t="s">
        <v>157</v>
      </c>
      <c r="D5350" s="33" t="n">
        <v>66</v>
      </c>
      <c r="E5350" s="24" t="n">
        <v>0</v>
      </c>
      <c r="F5350" s="37" t="n">
        <f aca="false">DATE(YEAR(A5350),MONTH(A5350),1)</f>
        <v>46266</v>
      </c>
      <c r="G5350" s="24" t="str">
        <f aca="false">INDEX(Products!$C$2:$C$49,MATCH(C5350,Products!$A$2:$A$49,0))</f>
        <v>Beverages</v>
      </c>
      <c r="H5350" s="33" t="n">
        <f aca="false">D5350*INDEX(Products!$E$2:$E$49,MATCH(C5350,Products!$A$2:$A$49,0))</f>
        <v>7920</v>
      </c>
      <c r="I5350" s="33" t="n">
        <f aca="false">D5350*INDEX(Products!$D$2:$D$49,MATCH(C5350,Products!$A$2:$A$49,0))*(1+INDEX(Assumptions!$B$16:$B$20,MATCH(B5350,Assumptions!$A$16:$A$20,0)))</f>
        <v>5924.16</v>
      </c>
      <c r="J5350" s="33" t="n">
        <f aca="false">H5350-I5350</f>
        <v>1995.84</v>
      </c>
      <c r="K5350" s="33" t="n">
        <f aca="false">IF(OR(E5350=0,E5350&gt;=7),0,D5350/(7-E5350)*E5350*INDEX(Products!$E$2:$E$49,MATCH(C5350,Products!$A$2:$A$49,0)))</f>
        <v>0</v>
      </c>
    </row>
    <row r="5351" customFormat="false" ht="15" hidden="false" customHeight="false" outlineLevel="0" collapsed="false">
      <c r="A5351" s="36" t="n">
        <v>46286</v>
      </c>
      <c r="B5351" s="24" t="s">
        <v>65</v>
      </c>
      <c r="C5351" s="24" t="s">
        <v>157</v>
      </c>
      <c r="D5351" s="33" t="n">
        <v>90</v>
      </c>
      <c r="E5351" s="24" t="n">
        <v>0</v>
      </c>
      <c r="F5351" s="37" t="n">
        <f aca="false">DATE(YEAR(A5351),MONTH(A5351),1)</f>
        <v>46266</v>
      </c>
      <c r="G5351" s="24" t="str">
        <f aca="false">INDEX(Products!$C$2:$C$49,MATCH(C5351,Products!$A$2:$A$49,0))</f>
        <v>Beverages</v>
      </c>
      <c r="H5351" s="33" t="n">
        <f aca="false">D5351*INDEX(Products!$E$2:$E$49,MATCH(C5351,Products!$A$2:$A$49,0))</f>
        <v>10800</v>
      </c>
      <c r="I5351" s="33" t="n">
        <f aca="false">D5351*INDEX(Products!$D$2:$D$49,MATCH(C5351,Products!$A$2:$A$49,0))*(1+INDEX(Assumptions!$B$16:$B$20,MATCH(B5351,Assumptions!$A$16:$A$20,0)))</f>
        <v>8078.4</v>
      </c>
      <c r="J5351" s="33" t="n">
        <f aca="false">H5351-I5351</f>
        <v>2721.6</v>
      </c>
      <c r="K5351" s="33" t="n">
        <f aca="false">IF(OR(E5351=0,E5351&gt;=7),0,D5351/(7-E5351)*E5351*INDEX(Products!$E$2:$E$49,MATCH(C5351,Products!$A$2:$A$49,0)))</f>
        <v>0</v>
      </c>
    </row>
    <row r="5352" customFormat="false" ht="15" hidden="false" customHeight="false" outlineLevel="0" collapsed="false">
      <c r="A5352" s="36" t="n">
        <v>46118</v>
      </c>
      <c r="B5352" s="24" t="s">
        <v>65</v>
      </c>
      <c r="C5352" s="24" t="s">
        <v>159</v>
      </c>
      <c r="D5352" s="33" t="n">
        <v>52</v>
      </c>
      <c r="E5352" s="24" t="n">
        <v>0</v>
      </c>
      <c r="F5352" s="37" t="n">
        <f aca="false">DATE(YEAR(A5352),MONTH(A5352),1)</f>
        <v>46113</v>
      </c>
      <c r="G5352" s="24" t="str">
        <f aca="false">INDEX(Products!$C$2:$C$49,MATCH(C5352,Products!$A$2:$A$49,0))</f>
        <v>Beverages</v>
      </c>
      <c r="H5352" s="33" t="n">
        <f aca="false">D5352*INDEX(Products!$E$2:$E$49,MATCH(C5352,Products!$A$2:$A$49,0))</f>
        <v>23400</v>
      </c>
      <c r="I5352" s="33" t="n">
        <f aca="false">D5352*INDEX(Products!$D$2:$D$49,MATCH(C5352,Products!$A$2:$A$49,0))*(1+INDEX(Assumptions!$B$16:$B$20,MATCH(B5352,Assumptions!$A$16:$A$20,0)))</f>
        <v>18988.32</v>
      </c>
      <c r="J5352" s="33" t="n">
        <f aca="false">H5352-I5352</f>
        <v>4411.68</v>
      </c>
      <c r="K5352" s="33" t="n">
        <f aca="false">IF(OR(E5352=0,E5352&gt;=7),0,D5352/(7-E5352)*E5352*INDEX(Products!$E$2:$E$49,MATCH(C5352,Products!$A$2:$A$49,0)))</f>
        <v>0</v>
      </c>
    </row>
    <row r="5353" customFormat="false" ht="15" hidden="false" customHeight="false" outlineLevel="0" collapsed="false">
      <c r="A5353" s="36" t="n">
        <v>46125</v>
      </c>
      <c r="B5353" s="24" t="s">
        <v>65</v>
      </c>
      <c r="C5353" s="24" t="s">
        <v>159</v>
      </c>
      <c r="D5353" s="33" t="n">
        <v>91</v>
      </c>
      <c r="E5353" s="24" t="n">
        <v>0</v>
      </c>
      <c r="F5353" s="37" t="n">
        <f aca="false">DATE(YEAR(A5353),MONTH(A5353),1)</f>
        <v>46113</v>
      </c>
      <c r="G5353" s="24" t="str">
        <f aca="false">INDEX(Products!$C$2:$C$49,MATCH(C5353,Products!$A$2:$A$49,0))</f>
        <v>Beverages</v>
      </c>
      <c r="H5353" s="33" t="n">
        <f aca="false">D5353*INDEX(Products!$E$2:$E$49,MATCH(C5353,Products!$A$2:$A$49,0))</f>
        <v>40950</v>
      </c>
      <c r="I5353" s="33" t="n">
        <f aca="false">D5353*INDEX(Products!$D$2:$D$49,MATCH(C5353,Products!$A$2:$A$49,0))*(1+INDEX(Assumptions!$B$16:$B$20,MATCH(B5353,Assumptions!$A$16:$A$20,0)))</f>
        <v>33229.56</v>
      </c>
      <c r="J5353" s="33" t="n">
        <f aca="false">H5353-I5353</f>
        <v>7720.44</v>
      </c>
      <c r="K5353" s="33" t="n">
        <f aca="false">IF(OR(E5353=0,E5353&gt;=7),0,D5353/(7-E5353)*E5353*INDEX(Products!$E$2:$E$49,MATCH(C5353,Products!$A$2:$A$49,0)))</f>
        <v>0</v>
      </c>
    </row>
    <row r="5354" customFormat="false" ht="15" hidden="false" customHeight="false" outlineLevel="0" collapsed="false">
      <c r="A5354" s="36" t="n">
        <v>46132</v>
      </c>
      <c r="B5354" s="24" t="s">
        <v>65</v>
      </c>
      <c r="C5354" s="24" t="s">
        <v>159</v>
      </c>
      <c r="D5354" s="33" t="n">
        <v>69</v>
      </c>
      <c r="E5354" s="24" t="n">
        <v>0</v>
      </c>
      <c r="F5354" s="37" t="n">
        <f aca="false">DATE(YEAR(A5354),MONTH(A5354),1)</f>
        <v>46113</v>
      </c>
      <c r="G5354" s="24" t="str">
        <f aca="false">INDEX(Products!$C$2:$C$49,MATCH(C5354,Products!$A$2:$A$49,0))</f>
        <v>Beverages</v>
      </c>
      <c r="H5354" s="33" t="n">
        <f aca="false">D5354*INDEX(Products!$E$2:$E$49,MATCH(C5354,Products!$A$2:$A$49,0))</f>
        <v>31050</v>
      </c>
      <c r="I5354" s="33" t="n">
        <f aca="false">D5354*INDEX(Products!$D$2:$D$49,MATCH(C5354,Products!$A$2:$A$49,0))*(1+INDEX(Assumptions!$B$16:$B$20,MATCH(B5354,Assumptions!$A$16:$A$20,0)))</f>
        <v>25196.04</v>
      </c>
      <c r="J5354" s="33" t="n">
        <f aca="false">H5354-I5354</f>
        <v>5853.96</v>
      </c>
      <c r="K5354" s="33" t="n">
        <f aca="false">IF(OR(E5354=0,E5354&gt;=7),0,D5354/(7-E5354)*E5354*INDEX(Products!$E$2:$E$49,MATCH(C5354,Products!$A$2:$A$49,0)))</f>
        <v>0</v>
      </c>
    </row>
    <row r="5355" customFormat="false" ht="15" hidden="false" customHeight="false" outlineLevel="0" collapsed="false">
      <c r="A5355" s="36" t="n">
        <v>46139</v>
      </c>
      <c r="B5355" s="24" t="s">
        <v>65</v>
      </c>
      <c r="C5355" s="24" t="s">
        <v>159</v>
      </c>
      <c r="D5355" s="33" t="n">
        <v>83</v>
      </c>
      <c r="E5355" s="24" t="n">
        <v>0</v>
      </c>
      <c r="F5355" s="37" t="n">
        <f aca="false">DATE(YEAR(A5355),MONTH(A5355),1)</f>
        <v>46113</v>
      </c>
      <c r="G5355" s="24" t="str">
        <f aca="false">INDEX(Products!$C$2:$C$49,MATCH(C5355,Products!$A$2:$A$49,0))</f>
        <v>Beverages</v>
      </c>
      <c r="H5355" s="33" t="n">
        <f aca="false">D5355*INDEX(Products!$E$2:$E$49,MATCH(C5355,Products!$A$2:$A$49,0))</f>
        <v>37350</v>
      </c>
      <c r="I5355" s="33" t="n">
        <f aca="false">D5355*INDEX(Products!$D$2:$D$49,MATCH(C5355,Products!$A$2:$A$49,0))*(1+INDEX(Assumptions!$B$16:$B$20,MATCH(B5355,Assumptions!$A$16:$A$20,0)))</f>
        <v>30308.28</v>
      </c>
      <c r="J5355" s="33" t="n">
        <f aca="false">H5355-I5355</f>
        <v>7041.72</v>
      </c>
      <c r="K5355" s="33" t="n">
        <f aca="false">IF(OR(E5355=0,E5355&gt;=7),0,D5355/(7-E5355)*E5355*INDEX(Products!$E$2:$E$49,MATCH(C5355,Products!$A$2:$A$49,0)))</f>
        <v>0</v>
      </c>
    </row>
    <row r="5356" customFormat="false" ht="15" hidden="false" customHeight="false" outlineLevel="0" collapsed="false">
      <c r="A5356" s="36" t="n">
        <v>46146</v>
      </c>
      <c r="B5356" s="24" t="s">
        <v>65</v>
      </c>
      <c r="C5356" s="24" t="s">
        <v>159</v>
      </c>
      <c r="D5356" s="33" t="n">
        <v>67</v>
      </c>
      <c r="E5356" s="24" t="n">
        <v>0</v>
      </c>
      <c r="F5356" s="37" t="n">
        <f aca="false">DATE(YEAR(A5356),MONTH(A5356),1)</f>
        <v>46143</v>
      </c>
      <c r="G5356" s="24" t="str">
        <f aca="false">INDEX(Products!$C$2:$C$49,MATCH(C5356,Products!$A$2:$A$49,0))</f>
        <v>Beverages</v>
      </c>
      <c r="H5356" s="33" t="n">
        <f aca="false">D5356*INDEX(Products!$E$2:$E$49,MATCH(C5356,Products!$A$2:$A$49,0))</f>
        <v>30150</v>
      </c>
      <c r="I5356" s="33" t="n">
        <f aca="false">D5356*INDEX(Products!$D$2:$D$49,MATCH(C5356,Products!$A$2:$A$49,0))*(1+INDEX(Assumptions!$B$16:$B$20,MATCH(B5356,Assumptions!$A$16:$A$20,0)))</f>
        <v>24465.72</v>
      </c>
      <c r="J5356" s="33" t="n">
        <f aca="false">H5356-I5356</f>
        <v>5684.28</v>
      </c>
      <c r="K5356" s="33" t="n">
        <f aca="false">IF(OR(E5356=0,E5356&gt;=7),0,D5356/(7-E5356)*E5356*INDEX(Products!$E$2:$E$49,MATCH(C5356,Products!$A$2:$A$49,0)))</f>
        <v>0</v>
      </c>
    </row>
    <row r="5357" customFormat="false" ht="15" hidden="false" customHeight="false" outlineLevel="0" collapsed="false">
      <c r="A5357" s="36" t="n">
        <v>46153</v>
      </c>
      <c r="B5357" s="24" t="s">
        <v>65</v>
      </c>
      <c r="C5357" s="24" t="s">
        <v>159</v>
      </c>
      <c r="D5357" s="33" t="n">
        <v>69</v>
      </c>
      <c r="E5357" s="24" t="n">
        <v>0</v>
      </c>
      <c r="F5357" s="37" t="n">
        <f aca="false">DATE(YEAR(A5357),MONTH(A5357),1)</f>
        <v>46143</v>
      </c>
      <c r="G5357" s="24" t="str">
        <f aca="false">INDEX(Products!$C$2:$C$49,MATCH(C5357,Products!$A$2:$A$49,0))</f>
        <v>Beverages</v>
      </c>
      <c r="H5357" s="33" t="n">
        <f aca="false">D5357*INDEX(Products!$E$2:$E$49,MATCH(C5357,Products!$A$2:$A$49,0))</f>
        <v>31050</v>
      </c>
      <c r="I5357" s="33" t="n">
        <f aca="false">D5357*INDEX(Products!$D$2:$D$49,MATCH(C5357,Products!$A$2:$A$49,0))*(1+INDEX(Assumptions!$B$16:$B$20,MATCH(B5357,Assumptions!$A$16:$A$20,0)))</f>
        <v>25196.04</v>
      </c>
      <c r="J5357" s="33" t="n">
        <f aca="false">H5357-I5357</f>
        <v>5853.96</v>
      </c>
      <c r="K5357" s="33" t="n">
        <f aca="false">IF(OR(E5357=0,E5357&gt;=7),0,D5357/(7-E5357)*E5357*INDEX(Products!$E$2:$E$49,MATCH(C5357,Products!$A$2:$A$49,0)))</f>
        <v>0</v>
      </c>
    </row>
    <row r="5358" customFormat="false" ht="15" hidden="false" customHeight="false" outlineLevel="0" collapsed="false">
      <c r="A5358" s="36" t="n">
        <v>46160</v>
      </c>
      <c r="B5358" s="24" t="s">
        <v>65</v>
      </c>
      <c r="C5358" s="24" t="s">
        <v>159</v>
      </c>
      <c r="D5358" s="33" t="n">
        <v>68</v>
      </c>
      <c r="E5358" s="24" t="n">
        <v>0</v>
      </c>
      <c r="F5358" s="37" t="n">
        <f aca="false">DATE(YEAR(A5358),MONTH(A5358),1)</f>
        <v>46143</v>
      </c>
      <c r="G5358" s="24" t="str">
        <f aca="false">INDEX(Products!$C$2:$C$49,MATCH(C5358,Products!$A$2:$A$49,0))</f>
        <v>Beverages</v>
      </c>
      <c r="H5358" s="33" t="n">
        <f aca="false">D5358*INDEX(Products!$E$2:$E$49,MATCH(C5358,Products!$A$2:$A$49,0))</f>
        <v>30600</v>
      </c>
      <c r="I5358" s="33" t="n">
        <f aca="false">D5358*INDEX(Products!$D$2:$D$49,MATCH(C5358,Products!$A$2:$A$49,0))*(1+INDEX(Assumptions!$B$16:$B$20,MATCH(B5358,Assumptions!$A$16:$A$20,0)))</f>
        <v>24830.88</v>
      </c>
      <c r="J5358" s="33" t="n">
        <f aca="false">H5358-I5358</f>
        <v>5769.12</v>
      </c>
      <c r="K5358" s="33" t="n">
        <f aca="false">IF(OR(E5358=0,E5358&gt;=7),0,D5358/(7-E5358)*E5358*INDEX(Products!$E$2:$E$49,MATCH(C5358,Products!$A$2:$A$49,0)))</f>
        <v>0</v>
      </c>
    </row>
    <row r="5359" customFormat="false" ht="15" hidden="false" customHeight="false" outlineLevel="0" collapsed="false">
      <c r="A5359" s="36" t="n">
        <v>46167</v>
      </c>
      <c r="B5359" s="24" t="s">
        <v>65</v>
      </c>
      <c r="C5359" s="24" t="s">
        <v>159</v>
      </c>
      <c r="D5359" s="33" t="n">
        <v>69</v>
      </c>
      <c r="E5359" s="24" t="n">
        <v>0</v>
      </c>
      <c r="F5359" s="37" t="n">
        <f aca="false">DATE(YEAR(A5359),MONTH(A5359),1)</f>
        <v>46143</v>
      </c>
      <c r="G5359" s="24" t="str">
        <f aca="false">INDEX(Products!$C$2:$C$49,MATCH(C5359,Products!$A$2:$A$49,0))</f>
        <v>Beverages</v>
      </c>
      <c r="H5359" s="33" t="n">
        <f aca="false">D5359*INDEX(Products!$E$2:$E$49,MATCH(C5359,Products!$A$2:$A$49,0))</f>
        <v>31050</v>
      </c>
      <c r="I5359" s="33" t="n">
        <f aca="false">D5359*INDEX(Products!$D$2:$D$49,MATCH(C5359,Products!$A$2:$A$49,0))*(1+INDEX(Assumptions!$B$16:$B$20,MATCH(B5359,Assumptions!$A$16:$A$20,0)))</f>
        <v>25196.04</v>
      </c>
      <c r="J5359" s="33" t="n">
        <f aca="false">H5359-I5359</f>
        <v>5853.96</v>
      </c>
      <c r="K5359" s="33" t="n">
        <f aca="false">IF(OR(E5359=0,E5359&gt;=7),0,D5359/(7-E5359)*E5359*INDEX(Products!$E$2:$E$49,MATCH(C5359,Products!$A$2:$A$49,0)))</f>
        <v>0</v>
      </c>
    </row>
    <row r="5360" customFormat="false" ht="15" hidden="false" customHeight="false" outlineLevel="0" collapsed="false">
      <c r="A5360" s="36" t="n">
        <v>46174</v>
      </c>
      <c r="B5360" s="24" t="s">
        <v>65</v>
      </c>
      <c r="C5360" s="24" t="s">
        <v>159</v>
      </c>
      <c r="D5360" s="33" t="n">
        <v>58</v>
      </c>
      <c r="E5360" s="24" t="n">
        <v>0</v>
      </c>
      <c r="F5360" s="37" t="n">
        <f aca="false">DATE(YEAR(A5360),MONTH(A5360),1)</f>
        <v>46174</v>
      </c>
      <c r="G5360" s="24" t="str">
        <f aca="false">INDEX(Products!$C$2:$C$49,MATCH(C5360,Products!$A$2:$A$49,0))</f>
        <v>Beverages</v>
      </c>
      <c r="H5360" s="33" t="n">
        <f aca="false">D5360*INDEX(Products!$E$2:$E$49,MATCH(C5360,Products!$A$2:$A$49,0))</f>
        <v>26100</v>
      </c>
      <c r="I5360" s="33" t="n">
        <f aca="false">D5360*INDEX(Products!$D$2:$D$49,MATCH(C5360,Products!$A$2:$A$49,0))*(1+INDEX(Assumptions!$B$16:$B$20,MATCH(B5360,Assumptions!$A$16:$A$20,0)))</f>
        <v>21179.28</v>
      </c>
      <c r="J5360" s="33" t="n">
        <f aca="false">H5360-I5360</f>
        <v>4920.72</v>
      </c>
      <c r="K5360" s="33" t="n">
        <f aca="false">IF(OR(E5360=0,E5360&gt;=7),0,D5360/(7-E5360)*E5360*INDEX(Products!$E$2:$E$49,MATCH(C5360,Products!$A$2:$A$49,0)))</f>
        <v>0</v>
      </c>
    </row>
    <row r="5361" customFormat="false" ht="15" hidden="false" customHeight="false" outlineLevel="0" collapsed="false">
      <c r="A5361" s="36" t="n">
        <v>46181</v>
      </c>
      <c r="B5361" s="24" t="s">
        <v>65</v>
      </c>
      <c r="C5361" s="24" t="s">
        <v>159</v>
      </c>
      <c r="D5361" s="33" t="n">
        <v>67</v>
      </c>
      <c r="E5361" s="24" t="n">
        <v>0</v>
      </c>
      <c r="F5361" s="37" t="n">
        <f aca="false">DATE(YEAR(A5361),MONTH(A5361),1)</f>
        <v>46174</v>
      </c>
      <c r="G5361" s="24" t="str">
        <f aca="false">INDEX(Products!$C$2:$C$49,MATCH(C5361,Products!$A$2:$A$49,0))</f>
        <v>Beverages</v>
      </c>
      <c r="H5361" s="33" t="n">
        <f aca="false">D5361*INDEX(Products!$E$2:$E$49,MATCH(C5361,Products!$A$2:$A$49,0))</f>
        <v>30150</v>
      </c>
      <c r="I5361" s="33" t="n">
        <f aca="false">D5361*INDEX(Products!$D$2:$D$49,MATCH(C5361,Products!$A$2:$A$49,0))*(1+INDEX(Assumptions!$B$16:$B$20,MATCH(B5361,Assumptions!$A$16:$A$20,0)))</f>
        <v>24465.72</v>
      </c>
      <c r="J5361" s="33" t="n">
        <f aca="false">H5361-I5361</f>
        <v>5684.28</v>
      </c>
      <c r="K5361" s="33" t="n">
        <f aca="false">IF(OR(E5361=0,E5361&gt;=7),0,D5361/(7-E5361)*E5361*INDEX(Products!$E$2:$E$49,MATCH(C5361,Products!$A$2:$A$49,0)))</f>
        <v>0</v>
      </c>
    </row>
    <row r="5362" customFormat="false" ht="15" hidden="false" customHeight="false" outlineLevel="0" collapsed="false">
      <c r="A5362" s="36" t="n">
        <v>46188</v>
      </c>
      <c r="B5362" s="24" t="s">
        <v>65</v>
      </c>
      <c r="C5362" s="24" t="s">
        <v>159</v>
      </c>
      <c r="D5362" s="33" t="n">
        <v>68</v>
      </c>
      <c r="E5362" s="24" t="n">
        <v>0</v>
      </c>
      <c r="F5362" s="37" t="n">
        <f aca="false">DATE(YEAR(A5362),MONTH(A5362),1)</f>
        <v>46174</v>
      </c>
      <c r="G5362" s="24" t="str">
        <f aca="false">INDEX(Products!$C$2:$C$49,MATCH(C5362,Products!$A$2:$A$49,0))</f>
        <v>Beverages</v>
      </c>
      <c r="H5362" s="33" t="n">
        <f aca="false">D5362*INDEX(Products!$E$2:$E$49,MATCH(C5362,Products!$A$2:$A$49,0))</f>
        <v>30600</v>
      </c>
      <c r="I5362" s="33" t="n">
        <f aca="false">D5362*INDEX(Products!$D$2:$D$49,MATCH(C5362,Products!$A$2:$A$49,0))*(1+INDEX(Assumptions!$B$16:$B$20,MATCH(B5362,Assumptions!$A$16:$A$20,0)))</f>
        <v>24830.88</v>
      </c>
      <c r="J5362" s="33" t="n">
        <f aca="false">H5362-I5362</f>
        <v>5769.12</v>
      </c>
      <c r="K5362" s="33" t="n">
        <f aca="false">IF(OR(E5362=0,E5362&gt;=7),0,D5362/(7-E5362)*E5362*INDEX(Products!$E$2:$E$49,MATCH(C5362,Products!$A$2:$A$49,0)))</f>
        <v>0</v>
      </c>
    </row>
    <row r="5363" customFormat="false" ht="15" hidden="false" customHeight="false" outlineLevel="0" collapsed="false">
      <c r="A5363" s="36" t="n">
        <v>46195</v>
      </c>
      <c r="B5363" s="24" t="s">
        <v>65</v>
      </c>
      <c r="C5363" s="24" t="s">
        <v>159</v>
      </c>
      <c r="D5363" s="33" t="n">
        <v>83</v>
      </c>
      <c r="E5363" s="24" t="n">
        <v>0</v>
      </c>
      <c r="F5363" s="37" t="n">
        <f aca="false">DATE(YEAR(A5363),MONTH(A5363),1)</f>
        <v>46174</v>
      </c>
      <c r="G5363" s="24" t="str">
        <f aca="false">INDEX(Products!$C$2:$C$49,MATCH(C5363,Products!$A$2:$A$49,0))</f>
        <v>Beverages</v>
      </c>
      <c r="H5363" s="33" t="n">
        <f aca="false">D5363*INDEX(Products!$E$2:$E$49,MATCH(C5363,Products!$A$2:$A$49,0))</f>
        <v>37350</v>
      </c>
      <c r="I5363" s="33" t="n">
        <f aca="false">D5363*INDEX(Products!$D$2:$D$49,MATCH(C5363,Products!$A$2:$A$49,0))*(1+INDEX(Assumptions!$B$16:$B$20,MATCH(B5363,Assumptions!$A$16:$A$20,0)))</f>
        <v>30308.28</v>
      </c>
      <c r="J5363" s="33" t="n">
        <f aca="false">H5363-I5363</f>
        <v>7041.72</v>
      </c>
      <c r="K5363" s="33" t="n">
        <f aca="false">IF(OR(E5363=0,E5363&gt;=7),0,D5363/(7-E5363)*E5363*INDEX(Products!$E$2:$E$49,MATCH(C5363,Products!$A$2:$A$49,0)))</f>
        <v>0</v>
      </c>
    </row>
    <row r="5364" customFormat="false" ht="15" hidden="false" customHeight="false" outlineLevel="0" collapsed="false">
      <c r="A5364" s="36" t="n">
        <v>46202</v>
      </c>
      <c r="B5364" s="24" t="s">
        <v>65</v>
      </c>
      <c r="C5364" s="24" t="s">
        <v>159</v>
      </c>
      <c r="D5364" s="33" t="n">
        <v>63</v>
      </c>
      <c r="E5364" s="24" t="n">
        <v>0</v>
      </c>
      <c r="F5364" s="37" t="n">
        <f aca="false">DATE(YEAR(A5364),MONTH(A5364),1)</f>
        <v>46174</v>
      </c>
      <c r="G5364" s="24" t="str">
        <f aca="false">INDEX(Products!$C$2:$C$49,MATCH(C5364,Products!$A$2:$A$49,0))</f>
        <v>Beverages</v>
      </c>
      <c r="H5364" s="33" t="n">
        <f aca="false">D5364*INDEX(Products!$E$2:$E$49,MATCH(C5364,Products!$A$2:$A$49,0))</f>
        <v>28350</v>
      </c>
      <c r="I5364" s="33" t="n">
        <f aca="false">D5364*INDEX(Products!$D$2:$D$49,MATCH(C5364,Products!$A$2:$A$49,0))*(1+INDEX(Assumptions!$B$16:$B$20,MATCH(B5364,Assumptions!$A$16:$A$20,0)))</f>
        <v>23005.08</v>
      </c>
      <c r="J5364" s="33" t="n">
        <f aca="false">H5364-I5364</f>
        <v>5344.92</v>
      </c>
      <c r="K5364" s="33" t="n">
        <f aca="false">IF(OR(E5364=0,E5364&gt;=7),0,D5364/(7-E5364)*E5364*INDEX(Products!$E$2:$E$49,MATCH(C5364,Products!$A$2:$A$49,0)))</f>
        <v>0</v>
      </c>
    </row>
    <row r="5365" customFormat="false" ht="15" hidden="false" customHeight="false" outlineLevel="0" collapsed="false">
      <c r="A5365" s="36" t="n">
        <v>46209</v>
      </c>
      <c r="B5365" s="24" t="s">
        <v>65</v>
      </c>
      <c r="C5365" s="24" t="s">
        <v>159</v>
      </c>
      <c r="D5365" s="33" t="n">
        <v>63</v>
      </c>
      <c r="E5365" s="24" t="n">
        <v>0</v>
      </c>
      <c r="F5365" s="37" t="n">
        <f aca="false">DATE(YEAR(A5365),MONTH(A5365),1)</f>
        <v>46204</v>
      </c>
      <c r="G5365" s="24" t="str">
        <f aca="false">INDEX(Products!$C$2:$C$49,MATCH(C5365,Products!$A$2:$A$49,0))</f>
        <v>Beverages</v>
      </c>
      <c r="H5365" s="33" t="n">
        <f aca="false">D5365*INDEX(Products!$E$2:$E$49,MATCH(C5365,Products!$A$2:$A$49,0))</f>
        <v>28350</v>
      </c>
      <c r="I5365" s="33" t="n">
        <f aca="false">D5365*INDEX(Products!$D$2:$D$49,MATCH(C5365,Products!$A$2:$A$49,0))*(1+INDEX(Assumptions!$B$16:$B$20,MATCH(B5365,Assumptions!$A$16:$A$20,0)))</f>
        <v>23005.08</v>
      </c>
      <c r="J5365" s="33" t="n">
        <f aca="false">H5365-I5365</f>
        <v>5344.92</v>
      </c>
      <c r="K5365" s="33" t="n">
        <f aca="false">IF(OR(E5365=0,E5365&gt;=7),0,D5365/(7-E5365)*E5365*INDEX(Products!$E$2:$E$49,MATCH(C5365,Products!$A$2:$A$49,0)))</f>
        <v>0</v>
      </c>
    </row>
    <row r="5366" customFormat="false" ht="15" hidden="false" customHeight="false" outlineLevel="0" collapsed="false">
      <c r="A5366" s="36" t="n">
        <v>46216</v>
      </c>
      <c r="B5366" s="24" t="s">
        <v>65</v>
      </c>
      <c r="C5366" s="24" t="s">
        <v>159</v>
      </c>
      <c r="D5366" s="33" t="n">
        <v>41</v>
      </c>
      <c r="E5366" s="24" t="n">
        <v>3</v>
      </c>
      <c r="F5366" s="37" t="n">
        <f aca="false">DATE(YEAR(A5366),MONTH(A5366),1)</f>
        <v>46204</v>
      </c>
      <c r="G5366" s="24" t="str">
        <f aca="false">INDEX(Products!$C$2:$C$49,MATCH(C5366,Products!$A$2:$A$49,0))</f>
        <v>Beverages</v>
      </c>
      <c r="H5366" s="33" t="n">
        <f aca="false">D5366*INDEX(Products!$E$2:$E$49,MATCH(C5366,Products!$A$2:$A$49,0))</f>
        <v>18450</v>
      </c>
      <c r="I5366" s="33" t="n">
        <f aca="false">D5366*INDEX(Products!$D$2:$D$49,MATCH(C5366,Products!$A$2:$A$49,0))*(1+INDEX(Assumptions!$B$16:$B$20,MATCH(B5366,Assumptions!$A$16:$A$20,0)))</f>
        <v>14971.56</v>
      </c>
      <c r="J5366" s="33" t="n">
        <f aca="false">H5366-I5366</f>
        <v>3478.44</v>
      </c>
      <c r="K5366" s="33" t="n">
        <f aca="false">IF(OR(E5366=0,E5366&gt;=7),0,D5366/(7-E5366)*E5366*INDEX(Products!$E$2:$E$49,MATCH(C5366,Products!$A$2:$A$49,0)))</f>
        <v>13837.5</v>
      </c>
    </row>
    <row r="5367" customFormat="false" ht="15" hidden="false" customHeight="false" outlineLevel="0" collapsed="false">
      <c r="A5367" s="36" t="n">
        <v>46223</v>
      </c>
      <c r="B5367" s="24" t="s">
        <v>65</v>
      </c>
      <c r="C5367" s="24" t="s">
        <v>159</v>
      </c>
      <c r="D5367" s="33" t="n">
        <v>73</v>
      </c>
      <c r="E5367" s="24" t="n">
        <v>0</v>
      </c>
      <c r="F5367" s="37" t="n">
        <f aca="false">DATE(YEAR(A5367),MONTH(A5367),1)</f>
        <v>46204</v>
      </c>
      <c r="G5367" s="24" t="str">
        <f aca="false">INDEX(Products!$C$2:$C$49,MATCH(C5367,Products!$A$2:$A$49,0))</f>
        <v>Beverages</v>
      </c>
      <c r="H5367" s="33" t="n">
        <f aca="false">D5367*INDEX(Products!$E$2:$E$49,MATCH(C5367,Products!$A$2:$A$49,0))</f>
        <v>32850</v>
      </c>
      <c r="I5367" s="33" t="n">
        <f aca="false">D5367*INDEX(Products!$D$2:$D$49,MATCH(C5367,Products!$A$2:$A$49,0))*(1+INDEX(Assumptions!$B$16:$B$20,MATCH(B5367,Assumptions!$A$16:$A$20,0)))</f>
        <v>26656.68</v>
      </c>
      <c r="J5367" s="33" t="n">
        <f aca="false">H5367-I5367</f>
        <v>6193.32</v>
      </c>
      <c r="K5367" s="33" t="n">
        <f aca="false">IF(OR(E5367=0,E5367&gt;=7),0,D5367/(7-E5367)*E5367*INDEX(Products!$E$2:$E$49,MATCH(C5367,Products!$A$2:$A$49,0)))</f>
        <v>0</v>
      </c>
    </row>
    <row r="5368" customFormat="false" ht="15" hidden="false" customHeight="false" outlineLevel="0" collapsed="false">
      <c r="A5368" s="36" t="n">
        <v>46230</v>
      </c>
      <c r="B5368" s="24" t="s">
        <v>65</v>
      </c>
      <c r="C5368" s="24" t="s">
        <v>159</v>
      </c>
      <c r="D5368" s="33" t="n">
        <v>69</v>
      </c>
      <c r="E5368" s="24" t="n">
        <v>0</v>
      </c>
      <c r="F5368" s="37" t="n">
        <f aca="false">DATE(YEAR(A5368),MONTH(A5368),1)</f>
        <v>46204</v>
      </c>
      <c r="G5368" s="24" t="str">
        <f aca="false">INDEX(Products!$C$2:$C$49,MATCH(C5368,Products!$A$2:$A$49,0))</f>
        <v>Beverages</v>
      </c>
      <c r="H5368" s="33" t="n">
        <f aca="false">D5368*INDEX(Products!$E$2:$E$49,MATCH(C5368,Products!$A$2:$A$49,0))</f>
        <v>31050</v>
      </c>
      <c r="I5368" s="33" t="n">
        <f aca="false">D5368*INDEX(Products!$D$2:$D$49,MATCH(C5368,Products!$A$2:$A$49,0))*(1+INDEX(Assumptions!$B$16:$B$20,MATCH(B5368,Assumptions!$A$16:$A$20,0)))</f>
        <v>25196.04</v>
      </c>
      <c r="J5368" s="33" t="n">
        <f aca="false">H5368-I5368</f>
        <v>5853.96</v>
      </c>
      <c r="K5368" s="33" t="n">
        <f aca="false">IF(OR(E5368=0,E5368&gt;=7),0,D5368/(7-E5368)*E5368*INDEX(Products!$E$2:$E$49,MATCH(C5368,Products!$A$2:$A$49,0)))</f>
        <v>0</v>
      </c>
    </row>
    <row r="5369" customFormat="false" ht="15" hidden="false" customHeight="false" outlineLevel="0" collapsed="false">
      <c r="A5369" s="36" t="n">
        <v>46237</v>
      </c>
      <c r="B5369" s="24" t="s">
        <v>65</v>
      </c>
      <c r="C5369" s="24" t="s">
        <v>159</v>
      </c>
      <c r="D5369" s="33" t="n">
        <v>82</v>
      </c>
      <c r="E5369" s="24" t="n">
        <v>0</v>
      </c>
      <c r="F5369" s="37" t="n">
        <f aca="false">DATE(YEAR(A5369),MONTH(A5369),1)</f>
        <v>46235</v>
      </c>
      <c r="G5369" s="24" t="str">
        <f aca="false">INDEX(Products!$C$2:$C$49,MATCH(C5369,Products!$A$2:$A$49,0))</f>
        <v>Beverages</v>
      </c>
      <c r="H5369" s="33" t="n">
        <f aca="false">D5369*INDEX(Products!$E$2:$E$49,MATCH(C5369,Products!$A$2:$A$49,0))</f>
        <v>36900</v>
      </c>
      <c r="I5369" s="33" t="n">
        <f aca="false">D5369*INDEX(Products!$D$2:$D$49,MATCH(C5369,Products!$A$2:$A$49,0))*(1+INDEX(Assumptions!$B$16:$B$20,MATCH(B5369,Assumptions!$A$16:$A$20,0)))</f>
        <v>29943.12</v>
      </c>
      <c r="J5369" s="33" t="n">
        <f aca="false">H5369-I5369</f>
        <v>6956.88</v>
      </c>
      <c r="K5369" s="33" t="n">
        <f aca="false">IF(OR(E5369=0,E5369&gt;=7),0,D5369/(7-E5369)*E5369*INDEX(Products!$E$2:$E$49,MATCH(C5369,Products!$A$2:$A$49,0)))</f>
        <v>0</v>
      </c>
    </row>
    <row r="5370" customFormat="false" ht="15" hidden="false" customHeight="false" outlineLevel="0" collapsed="false">
      <c r="A5370" s="36" t="n">
        <v>46244</v>
      </c>
      <c r="B5370" s="24" t="s">
        <v>65</v>
      </c>
      <c r="C5370" s="24" t="s">
        <v>159</v>
      </c>
      <c r="D5370" s="33" t="n">
        <v>53</v>
      </c>
      <c r="E5370" s="24" t="n">
        <v>0</v>
      </c>
      <c r="F5370" s="37" t="n">
        <f aca="false">DATE(YEAR(A5370),MONTH(A5370),1)</f>
        <v>46235</v>
      </c>
      <c r="G5370" s="24" t="str">
        <f aca="false">INDEX(Products!$C$2:$C$49,MATCH(C5370,Products!$A$2:$A$49,0))</f>
        <v>Beverages</v>
      </c>
      <c r="H5370" s="33" t="n">
        <f aca="false">D5370*INDEX(Products!$E$2:$E$49,MATCH(C5370,Products!$A$2:$A$49,0))</f>
        <v>23850</v>
      </c>
      <c r="I5370" s="33" t="n">
        <f aca="false">D5370*INDEX(Products!$D$2:$D$49,MATCH(C5370,Products!$A$2:$A$49,0))*(1+INDEX(Assumptions!$B$16:$B$20,MATCH(B5370,Assumptions!$A$16:$A$20,0)))</f>
        <v>19353.48</v>
      </c>
      <c r="J5370" s="33" t="n">
        <f aca="false">H5370-I5370</f>
        <v>4496.52</v>
      </c>
      <c r="K5370" s="33" t="n">
        <f aca="false">IF(OR(E5370=0,E5370&gt;=7),0,D5370/(7-E5370)*E5370*INDEX(Products!$E$2:$E$49,MATCH(C5370,Products!$A$2:$A$49,0)))</f>
        <v>0</v>
      </c>
    </row>
    <row r="5371" customFormat="false" ht="15" hidden="false" customHeight="false" outlineLevel="0" collapsed="false">
      <c r="A5371" s="36" t="n">
        <v>46251</v>
      </c>
      <c r="B5371" s="24" t="s">
        <v>65</v>
      </c>
      <c r="C5371" s="24" t="s">
        <v>159</v>
      </c>
      <c r="D5371" s="33" t="n">
        <v>60</v>
      </c>
      <c r="E5371" s="24" t="n">
        <v>0</v>
      </c>
      <c r="F5371" s="37" t="n">
        <f aca="false">DATE(YEAR(A5371),MONTH(A5371),1)</f>
        <v>46235</v>
      </c>
      <c r="G5371" s="24" t="str">
        <f aca="false">INDEX(Products!$C$2:$C$49,MATCH(C5371,Products!$A$2:$A$49,0))</f>
        <v>Beverages</v>
      </c>
      <c r="H5371" s="33" t="n">
        <f aca="false">D5371*INDEX(Products!$E$2:$E$49,MATCH(C5371,Products!$A$2:$A$49,0))</f>
        <v>27000</v>
      </c>
      <c r="I5371" s="33" t="n">
        <f aca="false">D5371*INDEX(Products!$D$2:$D$49,MATCH(C5371,Products!$A$2:$A$49,0))*(1+INDEX(Assumptions!$B$16:$B$20,MATCH(B5371,Assumptions!$A$16:$A$20,0)))</f>
        <v>21909.6</v>
      </c>
      <c r="J5371" s="33" t="n">
        <f aca="false">H5371-I5371</f>
        <v>5090.4</v>
      </c>
      <c r="K5371" s="33" t="n">
        <f aca="false">IF(OR(E5371=0,E5371&gt;=7),0,D5371/(7-E5371)*E5371*INDEX(Products!$E$2:$E$49,MATCH(C5371,Products!$A$2:$A$49,0)))</f>
        <v>0</v>
      </c>
    </row>
    <row r="5372" customFormat="false" ht="15" hidden="false" customHeight="false" outlineLevel="0" collapsed="false">
      <c r="A5372" s="36" t="n">
        <v>46258</v>
      </c>
      <c r="B5372" s="24" t="s">
        <v>65</v>
      </c>
      <c r="C5372" s="24" t="s">
        <v>159</v>
      </c>
      <c r="D5372" s="33" t="n">
        <v>66</v>
      </c>
      <c r="E5372" s="24" t="n">
        <v>0</v>
      </c>
      <c r="F5372" s="37" t="n">
        <f aca="false">DATE(YEAR(A5372),MONTH(A5372),1)</f>
        <v>46235</v>
      </c>
      <c r="G5372" s="24" t="str">
        <f aca="false">INDEX(Products!$C$2:$C$49,MATCH(C5372,Products!$A$2:$A$49,0))</f>
        <v>Beverages</v>
      </c>
      <c r="H5372" s="33" t="n">
        <f aca="false">D5372*INDEX(Products!$E$2:$E$49,MATCH(C5372,Products!$A$2:$A$49,0))</f>
        <v>29700</v>
      </c>
      <c r="I5372" s="33" t="n">
        <f aca="false">D5372*INDEX(Products!$D$2:$D$49,MATCH(C5372,Products!$A$2:$A$49,0))*(1+INDEX(Assumptions!$B$16:$B$20,MATCH(B5372,Assumptions!$A$16:$A$20,0)))</f>
        <v>24100.56</v>
      </c>
      <c r="J5372" s="33" t="n">
        <f aca="false">H5372-I5372</f>
        <v>5599.44</v>
      </c>
      <c r="K5372" s="33" t="n">
        <f aca="false">IF(OR(E5372=0,E5372&gt;=7),0,D5372/(7-E5372)*E5372*INDEX(Products!$E$2:$E$49,MATCH(C5372,Products!$A$2:$A$49,0)))</f>
        <v>0</v>
      </c>
    </row>
    <row r="5373" customFormat="false" ht="15" hidden="false" customHeight="false" outlineLevel="0" collapsed="false">
      <c r="A5373" s="36" t="n">
        <v>46265</v>
      </c>
      <c r="B5373" s="24" t="s">
        <v>65</v>
      </c>
      <c r="C5373" s="24" t="s">
        <v>159</v>
      </c>
      <c r="D5373" s="33" t="n">
        <v>74</v>
      </c>
      <c r="E5373" s="24" t="n">
        <v>0</v>
      </c>
      <c r="F5373" s="37" t="n">
        <f aca="false">DATE(YEAR(A5373),MONTH(A5373),1)</f>
        <v>46235</v>
      </c>
      <c r="G5373" s="24" t="str">
        <f aca="false">INDEX(Products!$C$2:$C$49,MATCH(C5373,Products!$A$2:$A$49,0))</f>
        <v>Beverages</v>
      </c>
      <c r="H5373" s="33" t="n">
        <f aca="false">D5373*INDEX(Products!$E$2:$E$49,MATCH(C5373,Products!$A$2:$A$49,0))</f>
        <v>33300</v>
      </c>
      <c r="I5373" s="33" t="n">
        <f aca="false">D5373*INDEX(Products!$D$2:$D$49,MATCH(C5373,Products!$A$2:$A$49,0))*(1+INDEX(Assumptions!$B$16:$B$20,MATCH(B5373,Assumptions!$A$16:$A$20,0)))</f>
        <v>27021.84</v>
      </c>
      <c r="J5373" s="33" t="n">
        <f aca="false">H5373-I5373</f>
        <v>6278.16</v>
      </c>
      <c r="K5373" s="33" t="n">
        <f aca="false">IF(OR(E5373=0,E5373&gt;=7),0,D5373/(7-E5373)*E5373*INDEX(Products!$E$2:$E$49,MATCH(C5373,Products!$A$2:$A$49,0)))</f>
        <v>0</v>
      </c>
    </row>
    <row r="5374" customFormat="false" ht="15" hidden="false" customHeight="false" outlineLevel="0" collapsed="false">
      <c r="A5374" s="36" t="n">
        <v>46272</v>
      </c>
      <c r="B5374" s="24" t="s">
        <v>65</v>
      </c>
      <c r="C5374" s="24" t="s">
        <v>159</v>
      </c>
      <c r="D5374" s="33" t="n">
        <v>61</v>
      </c>
      <c r="E5374" s="24" t="n">
        <v>0</v>
      </c>
      <c r="F5374" s="37" t="n">
        <f aca="false">DATE(YEAR(A5374),MONTH(A5374),1)</f>
        <v>46266</v>
      </c>
      <c r="G5374" s="24" t="str">
        <f aca="false">INDEX(Products!$C$2:$C$49,MATCH(C5374,Products!$A$2:$A$49,0))</f>
        <v>Beverages</v>
      </c>
      <c r="H5374" s="33" t="n">
        <f aca="false">D5374*INDEX(Products!$E$2:$E$49,MATCH(C5374,Products!$A$2:$A$49,0))</f>
        <v>27450</v>
      </c>
      <c r="I5374" s="33" t="n">
        <f aca="false">D5374*INDEX(Products!$D$2:$D$49,MATCH(C5374,Products!$A$2:$A$49,0))*(1+INDEX(Assumptions!$B$16:$B$20,MATCH(B5374,Assumptions!$A$16:$A$20,0)))</f>
        <v>22274.76</v>
      </c>
      <c r="J5374" s="33" t="n">
        <f aca="false">H5374-I5374</f>
        <v>5175.24</v>
      </c>
      <c r="K5374" s="33" t="n">
        <f aca="false">IF(OR(E5374=0,E5374&gt;=7),0,D5374/(7-E5374)*E5374*INDEX(Products!$E$2:$E$49,MATCH(C5374,Products!$A$2:$A$49,0)))</f>
        <v>0</v>
      </c>
    </row>
    <row r="5375" customFormat="false" ht="15" hidden="false" customHeight="false" outlineLevel="0" collapsed="false">
      <c r="A5375" s="36" t="n">
        <v>46279</v>
      </c>
      <c r="B5375" s="24" t="s">
        <v>65</v>
      </c>
      <c r="C5375" s="24" t="s">
        <v>159</v>
      </c>
      <c r="D5375" s="33" t="n">
        <v>54</v>
      </c>
      <c r="E5375" s="24" t="n">
        <v>0</v>
      </c>
      <c r="F5375" s="37" t="n">
        <f aca="false">DATE(YEAR(A5375),MONTH(A5375),1)</f>
        <v>46266</v>
      </c>
      <c r="G5375" s="24" t="str">
        <f aca="false">INDEX(Products!$C$2:$C$49,MATCH(C5375,Products!$A$2:$A$49,0))</f>
        <v>Beverages</v>
      </c>
      <c r="H5375" s="33" t="n">
        <f aca="false">D5375*INDEX(Products!$E$2:$E$49,MATCH(C5375,Products!$A$2:$A$49,0))</f>
        <v>24300</v>
      </c>
      <c r="I5375" s="33" t="n">
        <f aca="false">D5375*INDEX(Products!$D$2:$D$49,MATCH(C5375,Products!$A$2:$A$49,0))*(1+INDEX(Assumptions!$B$16:$B$20,MATCH(B5375,Assumptions!$A$16:$A$20,0)))</f>
        <v>19718.64</v>
      </c>
      <c r="J5375" s="33" t="n">
        <f aca="false">H5375-I5375</f>
        <v>4581.36</v>
      </c>
      <c r="K5375" s="33" t="n">
        <f aca="false">IF(OR(E5375=0,E5375&gt;=7),0,D5375/(7-E5375)*E5375*INDEX(Products!$E$2:$E$49,MATCH(C5375,Products!$A$2:$A$49,0)))</f>
        <v>0</v>
      </c>
    </row>
    <row r="5376" customFormat="false" ht="15" hidden="false" customHeight="false" outlineLevel="0" collapsed="false">
      <c r="A5376" s="36" t="n">
        <v>46286</v>
      </c>
      <c r="B5376" s="24" t="s">
        <v>65</v>
      </c>
      <c r="C5376" s="24" t="s">
        <v>159</v>
      </c>
      <c r="D5376" s="33" t="n">
        <v>65</v>
      </c>
      <c r="E5376" s="24" t="n">
        <v>0</v>
      </c>
      <c r="F5376" s="37" t="n">
        <f aca="false">DATE(YEAR(A5376),MONTH(A5376),1)</f>
        <v>46266</v>
      </c>
      <c r="G5376" s="24" t="str">
        <f aca="false">INDEX(Products!$C$2:$C$49,MATCH(C5376,Products!$A$2:$A$49,0))</f>
        <v>Beverages</v>
      </c>
      <c r="H5376" s="33" t="n">
        <f aca="false">D5376*INDEX(Products!$E$2:$E$49,MATCH(C5376,Products!$A$2:$A$49,0))</f>
        <v>29250</v>
      </c>
      <c r="I5376" s="33" t="n">
        <f aca="false">D5376*INDEX(Products!$D$2:$D$49,MATCH(C5376,Products!$A$2:$A$49,0))*(1+INDEX(Assumptions!$B$16:$B$20,MATCH(B5376,Assumptions!$A$16:$A$20,0)))</f>
        <v>23735.4</v>
      </c>
      <c r="J5376" s="33" t="n">
        <f aca="false">H5376-I5376</f>
        <v>5514.6</v>
      </c>
      <c r="K5376" s="33" t="n">
        <f aca="false">IF(OR(E5376=0,E5376&gt;=7),0,D5376/(7-E5376)*E5376*INDEX(Products!$E$2:$E$49,MATCH(C5376,Products!$A$2:$A$49,0)))</f>
        <v>0</v>
      </c>
    </row>
    <row r="5377" customFormat="false" ht="15" hidden="false" customHeight="false" outlineLevel="0" collapsed="false">
      <c r="A5377" s="36" t="n">
        <v>46118</v>
      </c>
      <c r="B5377" s="24" t="s">
        <v>65</v>
      </c>
      <c r="C5377" s="24" t="s">
        <v>161</v>
      </c>
      <c r="D5377" s="33" t="n">
        <v>52</v>
      </c>
      <c r="E5377" s="24" t="n">
        <v>0</v>
      </c>
      <c r="F5377" s="37" t="n">
        <f aca="false">DATE(YEAR(A5377),MONTH(A5377),1)</f>
        <v>46113</v>
      </c>
      <c r="G5377" s="24" t="str">
        <f aca="false">INDEX(Products!$C$2:$C$49,MATCH(C5377,Products!$A$2:$A$49,0))</f>
        <v>Beverages</v>
      </c>
      <c r="H5377" s="33" t="n">
        <f aca="false">D5377*INDEX(Products!$E$2:$E$49,MATCH(C5377,Products!$A$2:$A$49,0))</f>
        <v>19760</v>
      </c>
      <c r="I5377" s="33" t="n">
        <f aca="false">D5377*INDEX(Products!$D$2:$D$49,MATCH(C5377,Products!$A$2:$A$49,0))*(1+INDEX(Assumptions!$B$16:$B$20,MATCH(B5377,Assumptions!$A$16:$A$20,0)))</f>
        <v>16071.12</v>
      </c>
      <c r="J5377" s="33" t="n">
        <f aca="false">H5377-I5377</f>
        <v>3688.88</v>
      </c>
      <c r="K5377" s="33" t="n">
        <f aca="false">IF(OR(E5377=0,E5377&gt;=7),0,D5377/(7-E5377)*E5377*INDEX(Products!$E$2:$E$49,MATCH(C5377,Products!$A$2:$A$49,0)))</f>
        <v>0</v>
      </c>
    </row>
    <row r="5378" customFormat="false" ht="15" hidden="false" customHeight="false" outlineLevel="0" collapsed="false">
      <c r="A5378" s="36" t="n">
        <v>46125</v>
      </c>
      <c r="B5378" s="24" t="s">
        <v>65</v>
      </c>
      <c r="C5378" s="24" t="s">
        <v>161</v>
      </c>
      <c r="D5378" s="33" t="n">
        <v>59</v>
      </c>
      <c r="E5378" s="24" t="n">
        <v>0</v>
      </c>
      <c r="F5378" s="37" t="n">
        <f aca="false">DATE(YEAR(A5378),MONTH(A5378),1)</f>
        <v>46113</v>
      </c>
      <c r="G5378" s="24" t="str">
        <f aca="false">INDEX(Products!$C$2:$C$49,MATCH(C5378,Products!$A$2:$A$49,0))</f>
        <v>Beverages</v>
      </c>
      <c r="H5378" s="33" t="n">
        <f aca="false">D5378*INDEX(Products!$E$2:$E$49,MATCH(C5378,Products!$A$2:$A$49,0))</f>
        <v>22420</v>
      </c>
      <c r="I5378" s="33" t="n">
        <f aca="false">D5378*INDEX(Products!$D$2:$D$49,MATCH(C5378,Products!$A$2:$A$49,0))*(1+INDEX(Assumptions!$B$16:$B$20,MATCH(B5378,Assumptions!$A$16:$A$20,0)))</f>
        <v>18234.54</v>
      </c>
      <c r="J5378" s="33" t="n">
        <f aca="false">H5378-I5378</f>
        <v>4185.46</v>
      </c>
      <c r="K5378" s="33" t="n">
        <f aca="false">IF(OR(E5378=0,E5378&gt;=7),0,D5378/(7-E5378)*E5378*INDEX(Products!$E$2:$E$49,MATCH(C5378,Products!$A$2:$A$49,0)))</f>
        <v>0</v>
      </c>
    </row>
    <row r="5379" customFormat="false" ht="15" hidden="false" customHeight="false" outlineLevel="0" collapsed="false">
      <c r="A5379" s="36" t="n">
        <v>46132</v>
      </c>
      <c r="B5379" s="24" t="s">
        <v>65</v>
      </c>
      <c r="C5379" s="24" t="s">
        <v>161</v>
      </c>
      <c r="D5379" s="33" t="n">
        <v>62</v>
      </c>
      <c r="E5379" s="24" t="n">
        <v>0</v>
      </c>
      <c r="F5379" s="37" t="n">
        <f aca="false">DATE(YEAR(A5379),MONTH(A5379),1)</f>
        <v>46113</v>
      </c>
      <c r="G5379" s="24" t="str">
        <f aca="false">INDEX(Products!$C$2:$C$49,MATCH(C5379,Products!$A$2:$A$49,0))</f>
        <v>Beverages</v>
      </c>
      <c r="H5379" s="33" t="n">
        <f aca="false">D5379*INDEX(Products!$E$2:$E$49,MATCH(C5379,Products!$A$2:$A$49,0))</f>
        <v>23560</v>
      </c>
      <c r="I5379" s="33" t="n">
        <f aca="false">D5379*INDEX(Products!$D$2:$D$49,MATCH(C5379,Products!$A$2:$A$49,0))*(1+INDEX(Assumptions!$B$16:$B$20,MATCH(B5379,Assumptions!$A$16:$A$20,0)))</f>
        <v>19161.72</v>
      </c>
      <c r="J5379" s="33" t="n">
        <f aca="false">H5379-I5379</f>
        <v>4398.28</v>
      </c>
      <c r="K5379" s="33" t="n">
        <f aca="false">IF(OR(E5379=0,E5379&gt;=7),0,D5379/(7-E5379)*E5379*INDEX(Products!$E$2:$E$49,MATCH(C5379,Products!$A$2:$A$49,0)))</f>
        <v>0</v>
      </c>
    </row>
    <row r="5380" customFormat="false" ht="15" hidden="false" customHeight="false" outlineLevel="0" collapsed="false">
      <c r="A5380" s="36" t="n">
        <v>46139</v>
      </c>
      <c r="B5380" s="24" t="s">
        <v>65</v>
      </c>
      <c r="C5380" s="24" t="s">
        <v>161</v>
      </c>
      <c r="D5380" s="33" t="n">
        <v>51</v>
      </c>
      <c r="E5380" s="24" t="n">
        <v>0</v>
      </c>
      <c r="F5380" s="37" t="n">
        <f aca="false">DATE(YEAR(A5380),MONTH(A5380),1)</f>
        <v>46113</v>
      </c>
      <c r="G5380" s="24" t="str">
        <f aca="false">INDEX(Products!$C$2:$C$49,MATCH(C5380,Products!$A$2:$A$49,0))</f>
        <v>Beverages</v>
      </c>
      <c r="H5380" s="33" t="n">
        <f aca="false">D5380*INDEX(Products!$E$2:$E$49,MATCH(C5380,Products!$A$2:$A$49,0))</f>
        <v>19380</v>
      </c>
      <c r="I5380" s="33" t="n">
        <f aca="false">D5380*INDEX(Products!$D$2:$D$49,MATCH(C5380,Products!$A$2:$A$49,0))*(1+INDEX(Assumptions!$B$16:$B$20,MATCH(B5380,Assumptions!$A$16:$A$20,0)))</f>
        <v>15762.06</v>
      </c>
      <c r="J5380" s="33" t="n">
        <f aca="false">H5380-I5380</f>
        <v>3617.94</v>
      </c>
      <c r="K5380" s="33" t="n">
        <f aca="false">IF(OR(E5380=0,E5380&gt;=7),0,D5380/(7-E5380)*E5380*INDEX(Products!$E$2:$E$49,MATCH(C5380,Products!$A$2:$A$49,0)))</f>
        <v>0</v>
      </c>
    </row>
    <row r="5381" customFormat="false" ht="15" hidden="false" customHeight="false" outlineLevel="0" collapsed="false">
      <c r="A5381" s="36" t="n">
        <v>46146</v>
      </c>
      <c r="B5381" s="24" t="s">
        <v>65</v>
      </c>
      <c r="C5381" s="24" t="s">
        <v>161</v>
      </c>
      <c r="D5381" s="33" t="n">
        <v>33</v>
      </c>
      <c r="E5381" s="24" t="n">
        <v>0</v>
      </c>
      <c r="F5381" s="37" t="n">
        <f aca="false">DATE(YEAR(A5381),MONTH(A5381),1)</f>
        <v>46143</v>
      </c>
      <c r="G5381" s="24" t="str">
        <f aca="false">INDEX(Products!$C$2:$C$49,MATCH(C5381,Products!$A$2:$A$49,0))</f>
        <v>Beverages</v>
      </c>
      <c r="H5381" s="33" t="n">
        <f aca="false">D5381*INDEX(Products!$E$2:$E$49,MATCH(C5381,Products!$A$2:$A$49,0))</f>
        <v>12540</v>
      </c>
      <c r="I5381" s="33" t="n">
        <f aca="false">D5381*INDEX(Products!$D$2:$D$49,MATCH(C5381,Products!$A$2:$A$49,0))*(1+INDEX(Assumptions!$B$16:$B$20,MATCH(B5381,Assumptions!$A$16:$A$20,0)))</f>
        <v>10198.98</v>
      </c>
      <c r="J5381" s="33" t="n">
        <f aca="false">H5381-I5381</f>
        <v>2341.02</v>
      </c>
      <c r="K5381" s="33" t="n">
        <f aca="false">IF(OR(E5381=0,E5381&gt;=7),0,D5381/(7-E5381)*E5381*INDEX(Products!$E$2:$E$49,MATCH(C5381,Products!$A$2:$A$49,0)))</f>
        <v>0</v>
      </c>
    </row>
    <row r="5382" customFormat="false" ht="15" hidden="false" customHeight="false" outlineLevel="0" collapsed="false">
      <c r="A5382" s="36" t="n">
        <v>46153</v>
      </c>
      <c r="B5382" s="24" t="s">
        <v>65</v>
      </c>
      <c r="C5382" s="24" t="s">
        <v>161</v>
      </c>
      <c r="D5382" s="33" t="n">
        <v>58</v>
      </c>
      <c r="E5382" s="24" t="n">
        <v>0</v>
      </c>
      <c r="F5382" s="37" t="n">
        <f aca="false">DATE(YEAR(A5382),MONTH(A5382),1)</f>
        <v>46143</v>
      </c>
      <c r="G5382" s="24" t="str">
        <f aca="false">INDEX(Products!$C$2:$C$49,MATCH(C5382,Products!$A$2:$A$49,0))</f>
        <v>Beverages</v>
      </c>
      <c r="H5382" s="33" t="n">
        <f aca="false">D5382*INDEX(Products!$E$2:$E$49,MATCH(C5382,Products!$A$2:$A$49,0))</f>
        <v>22040</v>
      </c>
      <c r="I5382" s="33" t="n">
        <f aca="false">D5382*INDEX(Products!$D$2:$D$49,MATCH(C5382,Products!$A$2:$A$49,0))*(1+INDEX(Assumptions!$B$16:$B$20,MATCH(B5382,Assumptions!$A$16:$A$20,0)))</f>
        <v>17925.48</v>
      </c>
      <c r="J5382" s="33" t="n">
        <f aca="false">H5382-I5382</f>
        <v>4114.52</v>
      </c>
      <c r="K5382" s="33" t="n">
        <f aca="false">IF(OR(E5382=0,E5382&gt;=7),0,D5382/(7-E5382)*E5382*INDEX(Products!$E$2:$E$49,MATCH(C5382,Products!$A$2:$A$49,0)))</f>
        <v>0</v>
      </c>
    </row>
    <row r="5383" customFormat="false" ht="15" hidden="false" customHeight="false" outlineLevel="0" collapsed="false">
      <c r="A5383" s="36" t="n">
        <v>46160</v>
      </c>
      <c r="B5383" s="24" t="s">
        <v>65</v>
      </c>
      <c r="C5383" s="24" t="s">
        <v>161</v>
      </c>
      <c r="D5383" s="33" t="n">
        <v>53</v>
      </c>
      <c r="E5383" s="24" t="n">
        <v>0</v>
      </c>
      <c r="F5383" s="37" t="n">
        <f aca="false">DATE(YEAR(A5383),MONTH(A5383),1)</f>
        <v>46143</v>
      </c>
      <c r="G5383" s="24" t="str">
        <f aca="false">INDEX(Products!$C$2:$C$49,MATCH(C5383,Products!$A$2:$A$49,0))</f>
        <v>Beverages</v>
      </c>
      <c r="H5383" s="33" t="n">
        <f aca="false">D5383*INDEX(Products!$E$2:$E$49,MATCH(C5383,Products!$A$2:$A$49,0))</f>
        <v>20140</v>
      </c>
      <c r="I5383" s="33" t="n">
        <f aca="false">D5383*INDEX(Products!$D$2:$D$49,MATCH(C5383,Products!$A$2:$A$49,0))*(1+INDEX(Assumptions!$B$16:$B$20,MATCH(B5383,Assumptions!$A$16:$A$20,0)))</f>
        <v>16380.18</v>
      </c>
      <c r="J5383" s="33" t="n">
        <f aca="false">H5383-I5383</f>
        <v>3759.82</v>
      </c>
      <c r="K5383" s="33" t="n">
        <f aca="false">IF(OR(E5383=0,E5383&gt;=7),0,D5383/(7-E5383)*E5383*INDEX(Products!$E$2:$E$49,MATCH(C5383,Products!$A$2:$A$49,0)))</f>
        <v>0</v>
      </c>
    </row>
    <row r="5384" customFormat="false" ht="15" hidden="false" customHeight="false" outlineLevel="0" collapsed="false">
      <c r="A5384" s="36" t="n">
        <v>46167</v>
      </c>
      <c r="B5384" s="24" t="s">
        <v>65</v>
      </c>
      <c r="C5384" s="24" t="s">
        <v>161</v>
      </c>
      <c r="D5384" s="33" t="n">
        <v>73</v>
      </c>
      <c r="E5384" s="24" t="n">
        <v>0</v>
      </c>
      <c r="F5384" s="37" t="n">
        <f aca="false">DATE(YEAR(A5384),MONTH(A5384),1)</f>
        <v>46143</v>
      </c>
      <c r="G5384" s="24" t="str">
        <f aca="false">INDEX(Products!$C$2:$C$49,MATCH(C5384,Products!$A$2:$A$49,0))</f>
        <v>Beverages</v>
      </c>
      <c r="H5384" s="33" t="n">
        <f aca="false">D5384*INDEX(Products!$E$2:$E$49,MATCH(C5384,Products!$A$2:$A$49,0))</f>
        <v>27740</v>
      </c>
      <c r="I5384" s="33" t="n">
        <f aca="false">D5384*INDEX(Products!$D$2:$D$49,MATCH(C5384,Products!$A$2:$A$49,0))*(1+INDEX(Assumptions!$B$16:$B$20,MATCH(B5384,Assumptions!$A$16:$A$20,0)))</f>
        <v>22561.38</v>
      </c>
      <c r="J5384" s="33" t="n">
        <f aca="false">H5384-I5384</f>
        <v>5178.62</v>
      </c>
      <c r="K5384" s="33" t="n">
        <f aca="false">IF(OR(E5384=0,E5384&gt;=7),0,D5384/(7-E5384)*E5384*INDEX(Products!$E$2:$E$49,MATCH(C5384,Products!$A$2:$A$49,0)))</f>
        <v>0</v>
      </c>
    </row>
    <row r="5385" customFormat="false" ht="15" hidden="false" customHeight="false" outlineLevel="0" collapsed="false">
      <c r="A5385" s="36" t="n">
        <v>46174</v>
      </c>
      <c r="B5385" s="24" t="s">
        <v>65</v>
      </c>
      <c r="C5385" s="24" t="s">
        <v>161</v>
      </c>
      <c r="D5385" s="33" t="n">
        <v>51</v>
      </c>
      <c r="E5385" s="24" t="n">
        <v>0</v>
      </c>
      <c r="F5385" s="37" t="n">
        <f aca="false">DATE(YEAR(A5385),MONTH(A5385),1)</f>
        <v>46174</v>
      </c>
      <c r="G5385" s="24" t="str">
        <f aca="false">INDEX(Products!$C$2:$C$49,MATCH(C5385,Products!$A$2:$A$49,0))</f>
        <v>Beverages</v>
      </c>
      <c r="H5385" s="33" t="n">
        <f aca="false">D5385*INDEX(Products!$E$2:$E$49,MATCH(C5385,Products!$A$2:$A$49,0))</f>
        <v>19380</v>
      </c>
      <c r="I5385" s="33" t="n">
        <f aca="false">D5385*INDEX(Products!$D$2:$D$49,MATCH(C5385,Products!$A$2:$A$49,0))*(1+INDEX(Assumptions!$B$16:$B$20,MATCH(B5385,Assumptions!$A$16:$A$20,0)))</f>
        <v>15762.06</v>
      </c>
      <c r="J5385" s="33" t="n">
        <f aca="false">H5385-I5385</f>
        <v>3617.94</v>
      </c>
      <c r="K5385" s="33" t="n">
        <f aca="false">IF(OR(E5385=0,E5385&gt;=7),0,D5385/(7-E5385)*E5385*INDEX(Products!$E$2:$E$49,MATCH(C5385,Products!$A$2:$A$49,0)))</f>
        <v>0</v>
      </c>
    </row>
    <row r="5386" customFormat="false" ht="15" hidden="false" customHeight="false" outlineLevel="0" collapsed="false">
      <c r="A5386" s="36" t="n">
        <v>46181</v>
      </c>
      <c r="B5386" s="24" t="s">
        <v>65</v>
      </c>
      <c r="C5386" s="24" t="s">
        <v>161</v>
      </c>
      <c r="D5386" s="33" t="n">
        <v>52</v>
      </c>
      <c r="E5386" s="24" t="n">
        <v>0</v>
      </c>
      <c r="F5386" s="37" t="n">
        <f aca="false">DATE(YEAR(A5386),MONTH(A5386),1)</f>
        <v>46174</v>
      </c>
      <c r="G5386" s="24" t="str">
        <f aca="false">INDEX(Products!$C$2:$C$49,MATCH(C5386,Products!$A$2:$A$49,0))</f>
        <v>Beverages</v>
      </c>
      <c r="H5386" s="33" t="n">
        <f aca="false">D5386*INDEX(Products!$E$2:$E$49,MATCH(C5386,Products!$A$2:$A$49,0))</f>
        <v>19760</v>
      </c>
      <c r="I5386" s="33" t="n">
        <f aca="false">D5386*INDEX(Products!$D$2:$D$49,MATCH(C5386,Products!$A$2:$A$49,0))*(1+INDEX(Assumptions!$B$16:$B$20,MATCH(B5386,Assumptions!$A$16:$A$20,0)))</f>
        <v>16071.12</v>
      </c>
      <c r="J5386" s="33" t="n">
        <f aca="false">H5386-I5386</f>
        <v>3688.88</v>
      </c>
      <c r="K5386" s="33" t="n">
        <f aca="false">IF(OR(E5386=0,E5386&gt;=7),0,D5386/(7-E5386)*E5386*INDEX(Products!$E$2:$E$49,MATCH(C5386,Products!$A$2:$A$49,0)))</f>
        <v>0</v>
      </c>
    </row>
    <row r="5387" customFormat="false" ht="15" hidden="false" customHeight="false" outlineLevel="0" collapsed="false">
      <c r="A5387" s="36" t="n">
        <v>46188</v>
      </c>
      <c r="B5387" s="24" t="s">
        <v>65</v>
      </c>
      <c r="C5387" s="24" t="s">
        <v>161</v>
      </c>
      <c r="D5387" s="33" t="n">
        <v>50</v>
      </c>
      <c r="E5387" s="24" t="n">
        <v>0</v>
      </c>
      <c r="F5387" s="37" t="n">
        <f aca="false">DATE(YEAR(A5387),MONTH(A5387),1)</f>
        <v>46174</v>
      </c>
      <c r="G5387" s="24" t="str">
        <f aca="false">INDEX(Products!$C$2:$C$49,MATCH(C5387,Products!$A$2:$A$49,0))</f>
        <v>Beverages</v>
      </c>
      <c r="H5387" s="33" t="n">
        <f aca="false">D5387*INDEX(Products!$E$2:$E$49,MATCH(C5387,Products!$A$2:$A$49,0))</f>
        <v>19000</v>
      </c>
      <c r="I5387" s="33" t="n">
        <f aca="false">D5387*INDEX(Products!$D$2:$D$49,MATCH(C5387,Products!$A$2:$A$49,0))*(1+INDEX(Assumptions!$B$16:$B$20,MATCH(B5387,Assumptions!$A$16:$A$20,0)))</f>
        <v>15453</v>
      </c>
      <c r="J5387" s="33" t="n">
        <f aca="false">H5387-I5387</f>
        <v>3547</v>
      </c>
      <c r="K5387" s="33" t="n">
        <f aca="false">IF(OR(E5387=0,E5387&gt;=7),0,D5387/(7-E5387)*E5387*INDEX(Products!$E$2:$E$49,MATCH(C5387,Products!$A$2:$A$49,0)))</f>
        <v>0</v>
      </c>
    </row>
    <row r="5388" customFormat="false" ht="15" hidden="false" customHeight="false" outlineLevel="0" collapsed="false">
      <c r="A5388" s="36" t="n">
        <v>46195</v>
      </c>
      <c r="B5388" s="24" t="s">
        <v>65</v>
      </c>
      <c r="C5388" s="24" t="s">
        <v>161</v>
      </c>
      <c r="D5388" s="33" t="n">
        <v>56</v>
      </c>
      <c r="E5388" s="24" t="n">
        <v>0</v>
      </c>
      <c r="F5388" s="37" t="n">
        <f aca="false">DATE(YEAR(A5388),MONTH(A5388),1)</f>
        <v>46174</v>
      </c>
      <c r="G5388" s="24" t="str">
        <f aca="false">INDEX(Products!$C$2:$C$49,MATCH(C5388,Products!$A$2:$A$49,0))</f>
        <v>Beverages</v>
      </c>
      <c r="H5388" s="33" t="n">
        <f aca="false">D5388*INDEX(Products!$E$2:$E$49,MATCH(C5388,Products!$A$2:$A$49,0))</f>
        <v>21280</v>
      </c>
      <c r="I5388" s="33" t="n">
        <f aca="false">D5388*INDEX(Products!$D$2:$D$49,MATCH(C5388,Products!$A$2:$A$49,0))*(1+INDEX(Assumptions!$B$16:$B$20,MATCH(B5388,Assumptions!$A$16:$A$20,0)))</f>
        <v>17307.36</v>
      </c>
      <c r="J5388" s="33" t="n">
        <f aca="false">H5388-I5388</f>
        <v>3972.64</v>
      </c>
      <c r="K5388" s="33" t="n">
        <f aca="false">IF(OR(E5388=0,E5388&gt;=7),0,D5388/(7-E5388)*E5388*INDEX(Products!$E$2:$E$49,MATCH(C5388,Products!$A$2:$A$49,0)))</f>
        <v>0</v>
      </c>
    </row>
    <row r="5389" customFormat="false" ht="15" hidden="false" customHeight="false" outlineLevel="0" collapsed="false">
      <c r="A5389" s="36" t="n">
        <v>46202</v>
      </c>
      <c r="B5389" s="24" t="s">
        <v>65</v>
      </c>
      <c r="C5389" s="24" t="s">
        <v>161</v>
      </c>
      <c r="D5389" s="33" t="n">
        <v>53</v>
      </c>
      <c r="E5389" s="24" t="n">
        <v>0</v>
      </c>
      <c r="F5389" s="37" t="n">
        <f aca="false">DATE(YEAR(A5389),MONTH(A5389),1)</f>
        <v>46174</v>
      </c>
      <c r="G5389" s="24" t="str">
        <f aca="false">INDEX(Products!$C$2:$C$49,MATCH(C5389,Products!$A$2:$A$49,0))</f>
        <v>Beverages</v>
      </c>
      <c r="H5389" s="33" t="n">
        <f aca="false">D5389*INDEX(Products!$E$2:$E$49,MATCH(C5389,Products!$A$2:$A$49,0))</f>
        <v>20140</v>
      </c>
      <c r="I5389" s="33" t="n">
        <f aca="false">D5389*INDEX(Products!$D$2:$D$49,MATCH(C5389,Products!$A$2:$A$49,0))*(1+INDEX(Assumptions!$B$16:$B$20,MATCH(B5389,Assumptions!$A$16:$A$20,0)))</f>
        <v>16380.18</v>
      </c>
      <c r="J5389" s="33" t="n">
        <f aca="false">H5389-I5389</f>
        <v>3759.82</v>
      </c>
      <c r="K5389" s="33" t="n">
        <f aca="false">IF(OR(E5389=0,E5389&gt;=7),0,D5389/(7-E5389)*E5389*INDEX(Products!$E$2:$E$49,MATCH(C5389,Products!$A$2:$A$49,0)))</f>
        <v>0</v>
      </c>
    </row>
    <row r="5390" customFormat="false" ht="15" hidden="false" customHeight="false" outlineLevel="0" collapsed="false">
      <c r="A5390" s="36" t="n">
        <v>46209</v>
      </c>
      <c r="B5390" s="24" t="s">
        <v>65</v>
      </c>
      <c r="C5390" s="24" t="s">
        <v>161</v>
      </c>
      <c r="D5390" s="33" t="n">
        <v>50</v>
      </c>
      <c r="E5390" s="24" t="n">
        <v>0</v>
      </c>
      <c r="F5390" s="37" t="n">
        <f aca="false">DATE(YEAR(A5390),MONTH(A5390),1)</f>
        <v>46204</v>
      </c>
      <c r="G5390" s="24" t="str">
        <f aca="false">INDEX(Products!$C$2:$C$49,MATCH(C5390,Products!$A$2:$A$49,0))</f>
        <v>Beverages</v>
      </c>
      <c r="H5390" s="33" t="n">
        <f aca="false">D5390*INDEX(Products!$E$2:$E$49,MATCH(C5390,Products!$A$2:$A$49,0))</f>
        <v>19000</v>
      </c>
      <c r="I5390" s="33" t="n">
        <f aca="false">D5390*INDEX(Products!$D$2:$D$49,MATCH(C5390,Products!$A$2:$A$49,0))*(1+INDEX(Assumptions!$B$16:$B$20,MATCH(B5390,Assumptions!$A$16:$A$20,0)))</f>
        <v>15453</v>
      </c>
      <c r="J5390" s="33" t="n">
        <f aca="false">H5390-I5390</f>
        <v>3547</v>
      </c>
      <c r="K5390" s="33" t="n">
        <f aca="false">IF(OR(E5390=0,E5390&gt;=7),0,D5390/(7-E5390)*E5390*INDEX(Products!$E$2:$E$49,MATCH(C5390,Products!$A$2:$A$49,0)))</f>
        <v>0</v>
      </c>
    </row>
    <row r="5391" customFormat="false" ht="15" hidden="false" customHeight="false" outlineLevel="0" collapsed="false">
      <c r="A5391" s="36" t="n">
        <v>46216</v>
      </c>
      <c r="B5391" s="24" t="s">
        <v>65</v>
      </c>
      <c r="C5391" s="24" t="s">
        <v>161</v>
      </c>
      <c r="D5391" s="33" t="n">
        <v>45</v>
      </c>
      <c r="E5391" s="24" t="n">
        <v>0</v>
      </c>
      <c r="F5391" s="37" t="n">
        <f aca="false">DATE(YEAR(A5391),MONTH(A5391),1)</f>
        <v>46204</v>
      </c>
      <c r="G5391" s="24" t="str">
        <f aca="false">INDEX(Products!$C$2:$C$49,MATCH(C5391,Products!$A$2:$A$49,0))</f>
        <v>Beverages</v>
      </c>
      <c r="H5391" s="33" t="n">
        <f aca="false">D5391*INDEX(Products!$E$2:$E$49,MATCH(C5391,Products!$A$2:$A$49,0))</f>
        <v>17100</v>
      </c>
      <c r="I5391" s="33" t="n">
        <f aca="false">D5391*INDEX(Products!$D$2:$D$49,MATCH(C5391,Products!$A$2:$A$49,0))*(1+INDEX(Assumptions!$B$16:$B$20,MATCH(B5391,Assumptions!$A$16:$A$20,0)))</f>
        <v>13907.7</v>
      </c>
      <c r="J5391" s="33" t="n">
        <f aca="false">H5391-I5391</f>
        <v>3192.3</v>
      </c>
      <c r="K5391" s="33" t="n">
        <f aca="false">IF(OR(E5391=0,E5391&gt;=7),0,D5391/(7-E5391)*E5391*INDEX(Products!$E$2:$E$49,MATCH(C5391,Products!$A$2:$A$49,0)))</f>
        <v>0</v>
      </c>
    </row>
    <row r="5392" customFormat="false" ht="15" hidden="false" customHeight="false" outlineLevel="0" collapsed="false">
      <c r="A5392" s="36" t="n">
        <v>46223</v>
      </c>
      <c r="B5392" s="24" t="s">
        <v>65</v>
      </c>
      <c r="C5392" s="24" t="s">
        <v>161</v>
      </c>
      <c r="D5392" s="33" t="n">
        <v>55</v>
      </c>
      <c r="E5392" s="24" t="n">
        <v>0</v>
      </c>
      <c r="F5392" s="37" t="n">
        <f aca="false">DATE(YEAR(A5392),MONTH(A5392),1)</f>
        <v>46204</v>
      </c>
      <c r="G5392" s="24" t="str">
        <f aca="false">INDEX(Products!$C$2:$C$49,MATCH(C5392,Products!$A$2:$A$49,0))</f>
        <v>Beverages</v>
      </c>
      <c r="H5392" s="33" t="n">
        <f aca="false">D5392*INDEX(Products!$E$2:$E$49,MATCH(C5392,Products!$A$2:$A$49,0))</f>
        <v>20900</v>
      </c>
      <c r="I5392" s="33" t="n">
        <f aca="false">D5392*INDEX(Products!$D$2:$D$49,MATCH(C5392,Products!$A$2:$A$49,0))*(1+INDEX(Assumptions!$B$16:$B$20,MATCH(B5392,Assumptions!$A$16:$A$20,0)))</f>
        <v>16998.3</v>
      </c>
      <c r="J5392" s="33" t="n">
        <f aca="false">H5392-I5392</f>
        <v>3901.7</v>
      </c>
      <c r="K5392" s="33" t="n">
        <f aca="false">IF(OR(E5392=0,E5392&gt;=7),0,D5392/(7-E5392)*E5392*INDEX(Products!$E$2:$E$49,MATCH(C5392,Products!$A$2:$A$49,0)))</f>
        <v>0</v>
      </c>
    </row>
    <row r="5393" customFormat="false" ht="15" hidden="false" customHeight="false" outlineLevel="0" collapsed="false">
      <c r="A5393" s="36" t="n">
        <v>46230</v>
      </c>
      <c r="B5393" s="24" t="s">
        <v>65</v>
      </c>
      <c r="C5393" s="24" t="s">
        <v>161</v>
      </c>
      <c r="D5393" s="33" t="n">
        <v>49</v>
      </c>
      <c r="E5393" s="24" t="n">
        <v>0</v>
      </c>
      <c r="F5393" s="37" t="n">
        <f aca="false">DATE(YEAR(A5393),MONTH(A5393),1)</f>
        <v>46204</v>
      </c>
      <c r="G5393" s="24" t="str">
        <f aca="false">INDEX(Products!$C$2:$C$49,MATCH(C5393,Products!$A$2:$A$49,0))</f>
        <v>Beverages</v>
      </c>
      <c r="H5393" s="33" t="n">
        <f aca="false">D5393*INDEX(Products!$E$2:$E$49,MATCH(C5393,Products!$A$2:$A$49,0))</f>
        <v>18620</v>
      </c>
      <c r="I5393" s="33" t="n">
        <f aca="false">D5393*INDEX(Products!$D$2:$D$49,MATCH(C5393,Products!$A$2:$A$49,0))*(1+INDEX(Assumptions!$B$16:$B$20,MATCH(B5393,Assumptions!$A$16:$A$20,0)))</f>
        <v>15143.94</v>
      </c>
      <c r="J5393" s="33" t="n">
        <f aca="false">H5393-I5393</f>
        <v>3476.06</v>
      </c>
      <c r="K5393" s="33" t="n">
        <f aca="false">IF(OR(E5393=0,E5393&gt;=7),0,D5393/(7-E5393)*E5393*INDEX(Products!$E$2:$E$49,MATCH(C5393,Products!$A$2:$A$49,0)))</f>
        <v>0</v>
      </c>
    </row>
    <row r="5394" customFormat="false" ht="15" hidden="false" customHeight="false" outlineLevel="0" collapsed="false">
      <c r="A5394" s="36" t="n">
        <v>46237</v>
      </c>
      <c r="B5394" s="24" t="s">
        <v>65</v>
      </c>
      <c r="C5394" s="24" t="s">
        <v>161</v>
      </c>
      <c r="D5394" s="33" t="n">
        <v>88</v>
      </c>
      <c r="E5394" s="24" t="n">
        <v>0</v>
      </c>
      <c r="F5394" s="37" t="n">
        <f aca="false">DATE(YEAR(A5394),MONTH(A5394),1)</f>
        <v>46235</v>
      </c>
      <c r="G5394" s="24" t="str">
        <f aca="false">INDEX(Products!$C$2:$C$49,MATCH(C5394,Products!$A$2:$A$49,0))</f>
        <v>Beverages</v>
      </c>
      <c r="H5394" s="33" t="n">
        <f aca="false">D5394*INDEX(Products!$E$2:$E$49,MATCH(C5394,Products!$A$2:$A$49,0))</f>
        <v>33440</v>
      </c>
      <c r="I5394" s="33" t="n">
        <f aca="false">D5394*INDEX(Products!$D$2:$D$49,MATCH(C5394,Products!$A$2:$A$49,0))*(1+INDEX(Assumptions!$B$16:$B$20,MATCH(B5394,Assumptions!$A$16:$A$20,0)))</f>
        <v>27197.28</v>
      </c>
      <c r="J5394" s="33" t="n">
        <f aca="false">H5394-I5394</f>
        <v>6242.72</v>
      </c>
      <c r="K5394" s="33" t="n">
        <f aca="false">IF(OR(E5394=0,E5394&gt;=7),0,D5394/(7-E5394)*E5394*INDEX(Products!$E$2:$E$49,MATCH(C5394,Products!$A$2:$A$49,0)))</f>
        <v>0</v>
      </c>
    </row>
    <row r="5395" customFormat="false" ht="15" hidden="false" customHeight="false" outlineLevel="0" collapsed="false">
      <c r="A5395" s="36" t="n">
        <v>46244</v>
      </c>
      <c r="B5395" s="24" t="s">
        <v>65</v>
      </c>
      <c r="C5395" s="24" t="s">
        <v>161</v>
      </c>
      <c r="D5395" s="33" t="n">
        <v>45</v>
      </c>
      <c r="E5395" s="24" t="n">
        <v>0</v>
      </c>
      <c r="F5395" s="37" t="n">
        <f aca="false">DATE(YEAR(A5395),MONTH(A5395),1)</f>
        <v>46235</v>
      </c>
      <c r="G5395" s="24" t="str">
        <f aca="false">INDEX(Products!$C$2:$C$49,MATCH(C5395,Products!$A$2:$A$49,0))</f>
        <v>Beverages</v>
      </c>
      <c r="H5395" s="33" t="n">
        <f aca="false">D5395*INDEX(Products!$E$2:$E$49,MATCH(C5395,Products!$A$2:$A$49,0))</f>
        <v>17100</v>
      </c>
      <c r="I5395" s="33" t="n">
        <f aca="false">D5395*INDEX(Products!$D$2:$D$49,MATCH(C5395,Products!$A$2:$A$49,0))*(1+INDEX(Assumptions!$B$16:$B$20,MATCH(B5395,Assumptions!$A$16:$A$20,0)))</f>
        <v>13907.7</v>
      </c>
      <c r="J5395" s="33" t="n">
        <f aca="false">H5395-I5395</f>
        <v>3192.3</v>
      </c>
      <c r="K5395" s="33" t="n">
        <f aca="false">IF(OR(E5395=0,E5395&gt;=7),0,D5395/(7-E5395)*E5395*INDEX(Products!$E$2:$E$49,MATCH(C5395,Products!$A$2:$A$49,0)))</f>
        <v>0</v>
      </c>
    </row>
    <row r="5396" customFormat="false" ht="15" hidden="false" customHeight="false" outlineLevel="0" collapsed="false">
      <c r="A5396" s="36" t="n">
        <v>46251</v>
      </c>
      <c r="B5396" s="24" t="s">
        <v>65</v>
      </c>
      <c r="C5396" s="24" t="s">
        <v>161</v>
      </c>
      <c r="D5396" s="33" t="n">
        <v>40</v>
      </c>
      <c r="E5396" s="24" t="n">
        <v>0</v>
      </c>
      <c r="F5396" s="37" t="n">
        <f aca="false">DATE(YEAR(A5396),MONTH(A5396),1)</f>
        <v>46235</v>
      </c>
      <c r="G5396" s="24" t="str">
        <f aca="false">INDEX(Products!$C$2:$C$49,MATCH(C5396,Products!$A$2:$A$49,0))</f>
        <v>Beverages</v>
      </c>
      <c r="H5396" s="33" t="n">
        <f aca="false">D5396*INDEX(Products!$E$2:$E$49,MATCH(C5396,Products!$A$2:$A$49,0))</f>
        <v>15200</v>
      </c>
      <c r="I5396" s="33" t="n">
        <f aca="false">D5396*INDEX(Products!$D$2:$D$49,MATCH(C5396,Products!$A$2:$A$49,0))*(1+INDEX(Assumptions!$B$16:$B$20,MATCH(B5396,Assumptions!$A$16:$A$20,0)))</f>
        <v>12362.4</v>
      </c>
      <c r="J5396" s="33" t="n">
        <f aca="false">H5396-I5396</f>
        <v>2837.6</v>
      </c>
      <c r="K5396" s="33" t="n">
        <f aca="false">IF(OR(E5396=0,E5396&gt;=7),0,D5396/(7-E5396)*E5396*INDEX(Products!$E$2:$E$49,MATCH(C5396,Products!$A$2:$A$49,0)))</f>
        <v>0</v>
      </c>
    </row>
    <row r="5397" customFormat="false" ht="15" hidden="false" customHeight="false" outlineLevel="0" collapsed="false">
      <c r="A5397" s="36" t="n">
        <v>46258</v>
      </c>
      <c r="B5397" s="24" t="s">
        <v>65</v>
      </c>
      <c r="C5397" s="24" t="s">
        <v>161</v>
      </c>
      <c r="D5397" s="33" t="n">
        <v>47</v>
      </c>
      <c r="E5397" s="24" t="n">
        <v>0</v>
      </c>
      <c r="F5397" s="37" t="n">
        <f aca="false">DATE(YEAR(A5397),MONTH(A5397),1)</f>
        <v>46235</v>
      </c>
      <c r="G5397" s="24" t="str">
        <f aca="false">INDEX(Products!$C$2:$C$49,MATCH(C5397,Products!$A$2:$A$49,0))</f>
        <v>Beverages</v>
      </c>
      <c r="H5397" s="33" t="n">
        <f aca="false">D5397*INDEX(Products!$E$2:$E$49,MATCH(C5397,Products!$A$2:$A$49,0))</f>
        <v>17860</v>
      </c>
      <c r="I5397" s="33" t="n">
        <f aca="false">D5397*INDEX(Products!$D$2:$D$49,MATCH(C5397,Products!$A$2:$A$49,0))*(1+INDEX(Assumptions!$B$16:$B$20,MATCH(B5397,Assumptions!$A$16:$A$20,0)))</f>
        <v>14525.82</v>
      </c>
      <c r="J5397" s="33" t="n">
        <f aca="false">H5397-I5397</f>
        <v>3334.18</v>
      </c>
      <c r="K5397" s="33" t="n">
        <f aca="false">IF(OR(E5397=0,E5397&gt;=7),0,D5397/(7-E5397)*E5397*INDEX(Products!$E$2:$E$49,MATCH(C5397,Products!$A$2:$A$49,0)))</f>
        <v>0</v>
      </c>
    </row>
    <row r="5398" customFormat="false" ht="15" hidden="false" customHeight="false" outlineLevel="0" collapsed="false">
      <c r="A5398" s="36" t="n">
        <v>46265</v>
      </c>
      <c r="B5398" s="24" t="s">
        <v>65</v>
      </c>
      <c r="C5398" s="24" t="s">
        <v>161</v>
      </c>
      <c r="D5398" s="33" t="n">
        <v>49</v>
      </c>
      <c r="E5398" s="24" t="n">
        <v>0</v>
      </c>
      <c r="F5398" s="37" t="n">
        <f aca="false">DATE(YEAR(A5398),MONTH(A5398),1)</f>
        <v>46235</v>
      </c>
      <c r="G5398" s="24" t="str">
        <f aca="false">INDEX(Products!$C$2:$C$49,MATCH(C5398,Products!$A$2:$A$49,0))</f>
        <v>Beverages</v>
      </c>
      <c r="H5398" s="33" t="n">
        <f aca="false">D5398*INDEX(Products!$E$2:$E$49,MATCH(C5398,Products!$A$2:$A$49,0))</f>
        <v>18620</v>
      </c>
      <c r="I5398" s="33" t="n">
        <f aca="false">D5398*INDEX(Products!$D$2:$D$49,MATCH(C5398,Products!$A$2:$A$49,0))*(1+INDEX(Assumptions!$B$16:$B$20,MATCH(B5398,Assumptions!$A$16:$A$20,0)))</f>
        <v>15143.94</v>
      </c>
      <c r="J5398" s="33" t="n">
        <f aca="false">H5398-I5398</f>
        <v>3476.06</v>
      </c>
      <c r="K5398" s="33" t="n">
        <f aca="false">IF(OR(E5398=0,E5398&gt;=7),0,D5398/(7-E5398)*E5398*INDEX(Products!$E$2:$E$49,MATCH(C5398,Products!$A$2:$A$49,0)))</f>
        <v>0</v>
      </c>
    </row>
    <row r="5399" customFormat="false" ht="15" hidden="false" customHeight="false" outlineLevel="0" collapsed="false">
      <c r="A5399" s="36" t="n">
        <v>46272</v>
      </c>
      <c r="B5399" s="24" t="s">
        <v>65</v>
      </c>
      <c r="C5399" s="24" t="s">
        <v>161</v>
      </c>
      <c r="D5399" s="33" t="n">
        <v>46</v>
      </c>
      <c r="E5399" s="24" t="n">
        <v>0</v>
      </c>
      <c r="F5399" s="37" t="n">
        <f aca="false">DATE(YEAR(A5399),MONTH(A5399),1)</f>
        <v>46266</v>
      </c>
      <c r="G5399" s="24" t="str">
        <f aca="false">INDEX(Products!$C$2:$C$49,MATCH(C5399,Products!$A$2:$A$49,0))</f>
        <v>Beverages</v>
      </c>
      <c r="H5399" s="33" t="n">
        <f aca="false">D5399*INDEX(Products!$E$2:$E$49,MATCH(C5399,Products!$A$2:$A$49,0))</f>
        <v>17480</v>
      </c>
      <c r="I5399" s="33" t="n">
        <f aca="false">D5399*INDEX(Products!$D$2:$D$49,MATCH(C5399,Products!$A$2:$A$49,0))*(1+INDEX(Assumptions!$B$16:$B$20,MATCH(B5399,Assumptions!$A$16:$A$20,0)))</f>
        <v>14216.76</v>
      </c>
      <c r="J5399" s="33" t="n">
        <f aca="false">H5399-I5399</f>
        <v>3263.24</v>
      </c>
      <c r="K5399" s="33" t="n">
        <f aca="false">IF(OR(E5399=0,E5399&gt;=7),0,D5399/(7-E5399)*E5399*INDEX(Products!$E$2:$E$49,MATCH(C5399,Products!$A$2:$A$49,0)))</f>
        <v>0</v>
      </c>
    </row>
    <row r="5400" customFormat="false" ht="15" hidden="false" customHeight="false" outlineLevel="0" collapsed="false">
      <c r="A5400" s="36" t="n">
        <v>46279</v>
      </c>
      <c r="B5400" s="24" t="s">
        <v>65</v>
      </c>
      <c r="C5400" s="24" t="s">
        <v>161</v>
      </c>
      <c r="D5400" s="33" t="n">
        <v>49</v>
      </c>
      <c r="E5400" s="24" t="n">
        <v>0</v>
      </c>
      <c r="F5400" s="37" t="n">
        <f aca="false">DATE(YEAR(A5400),MONTH(A5400),1)</f>
        <v>46266</v>
      </c>
      <c r="G5400" s="24" t="str">
        <f aca="false">INDEX(Products!$C$2:$C$49,MATCH(C5400,Products!$A$2:$A$49,0))</f>
        <v>Beverages</v>
      </c>
      <c r="H5400" s="33" t="n">
        <f aca="false">D5400*INDEX(Products!$E$2:$E$49,MATCH(C5400,Products!$A$2:$A$49,0))</f>
        <v>18620</v>
      </c>
      <c r="I5400" s="33" t="n">
        <f aca="false">D5400*INDEX(Products!$D$2:$D$49,MATCH(C5400,Products!$A$2:$A$49,0))*(1+INDEX(Assumptions!$B$16:$B$20,MATCH(B5400,Assumptions!$A$16:$A$20,0)))</f>
        <v>15143.94</v>
      </c>
      <c r="J5400" s="33" t="n">
        <f aca="false">H5400-I5400</f>
        <v>3476.06</v>
      </c>
      <c r="K5400" s="33" t="n">
        <f aca="false">IF(OR(E5400=0,E5400&gt;=7),0,D5400/(7-E5400)*E5400*INDEX(Products!$E$2:$E$49,MATCH(C5400,Products!$A$2:$A$49,0)))</f>
        <v>0</v>
      </c>
    </row>
    <row r="5401" customFormat="false" ht="15" hidden="false" customHeight="false" outlineLevel="0" collapsed="false">
      <c r="A5401" s="36" t="n">
        <v>46286</v>
      </c>
      <c r="B5401" s="24" t="s">
        <v>65</v>
      </c>
      <c r="C5401" s="24" t="s">
        <v>161</v>
      </c>
      <c r="D5401" s="33" t="n">
        <v>66</v>
      </c>
      <c r="E5401" s="24" t="n">
        <v>0</v>
      </c>
      <c r="F5401" s="37" t="n">
        <f aca="false">DATE(YEAR(A5401),MONTH(A5401),1)</f>
        <v>46266</v>
      </c>
      <c r="G5401" s="24" t="str">
        <f aca="false">INDEX(Products!$C$2:$C$49,MATCH(C5401,Products!$A$2:$A$49,0))</f>
        <v>Beverages</v>
      </c>
      <c r="H5401" s="33" t="n">
        <f aca="false">D5401*INDEX(Products!$E$2:$E$49,MATCH(C5401,Products!$A$2:$A$49,0))</f>
        <v>25080</v>
      </c>
      <c r="I5401" s="33" t="n">
        <f aca="false">D5401*INDEX(Products!$D$2:$D$49,MATCH(C5401,Products!$A$2:$A$49,0))*(1+INDEX(Assumptions!$B$16:$B$20,MATCH(B5401,Assumptions!$A$16:$A$20,0)))</f>
        <v>20397.96</v>
      </c>
      <c r="J5401" s="33" t="n">
        <f aca="false">H5401-I5401</f>
        <v>4682.04</v>
      </c>
      <c r="K5401" s="33" t="n">
        <f aca="false">IF(OR(E5401=0,E5401&gt;=7),0,D5401/(7-E5401)*E5401*INDEX(Products!$E$2:$E$49,MATCH(C5401,Products!$A$2:$A$49,0)))</f>
        <v>0</v>
      </c>
    </row>
    <row r="5402" customFormat="false" ht="15" hidden="false" customHeight="false" outlineLevel="0" collapsed="false">
      <c r="A5402" s="36" t="n">
        <v>46118</v>
      </c>
      <c r="B5402" s="24" t="s">
        <v>65</v>
      </c>
      <c r="C5402" s="24" t="s">
        <v>163</v>
      </c>
      <c r="D5402" s="33" t="n">
        <v>76</v>
      </c>
      <c r="E5402" s="24" t="n">
        <v>0</v>
      </c>
      <c r="F5402" s="37" t="n">
        <f aca="false">DATE(YEAR(A5402),MONTH(A5402),1)</f>
        <v>46113</v>
      </c>
      <c r="G5402" s="24" t="str">
        <f aca="false">INDEX(Products!$C$2:$C$49,MATCH(C5402,Products!$A$2:$A$49,0))</f>
        <v>Household</v>
      </c>
      <c r="H5402" s="33" t="n">
        <f aca="false">D5402*INDEX(Products!$E$2:$E$49,MATCH(C5402,Products!$A$2:$A$49,0))</f>
        <v>25080</v>
      </c>
      <c r="I5402" s="33" t="n">
        <f aca="false">D5402*INDEX(Products!$D$2:$D$49,MATCH(C5402,Products!$A$2:$A$49,0))*(1+INDEX(Assumptions!$B$16:$B$20,MATCH(B5402,Assumptions!$A$16:$A$20,0)))</f>
        <v>17752.08</v>
      </c>
      <c r="J5402" s="33" t="n">
        <f aca="false">H5402-I5402</f>
        <v>7327.92</v>
      </c>
      <c r="K5402" s="33" t="n">
        <f aca="false">IF(OR(E5402=0,E5402&gt;=7),0,D5402/(7-E5402)*E5402*INDEX(Products!$E$2:$E$49,MATCH(C5402,Products!$A$2:$A$49,0)))</f>
        <v>0</v>
      </c>
    </row>
    <row r="5403" customFormat="false" ht="15" hidden="false" customHeight="false" outlineLevel="0" collapsed="false">
      <c r="A5403" s="36" t="n">
        <v>46125</v>
      </c>
      <c r="B5403" s="24" t="s">
        <v>65</v>
      </c>
      <c r="C5403" s="24" t="s">
        <v>163</v>
      </c>
      <c r="D5403" s="33" t="n">
        <v>55</v>
      </c>
      <c r="E5403" s="24" t="n">
        <v>0</v>
      </c>
      <c r="F5403" s="37" t="n">
        <f aca="false">DATE(YEAR(A5403),MONTH(A5403),1)</f>
        <v>46113</v>
      </c>
      <c r="G5403" s="24" t="str">
        <f aca="false">INDEX(Products!$C$2:$C$49,MATCH(C5403,Products!$A$2:$A$49,0))</f>
        <v>Household</v>
      </c>
      <c r="H5403" s="33" t="n">
        <f aca="false">D5403*INDEX(Products!$E$2:$E$49,MATCH(C5403,Products!$A$2:$A$49,0))</f>
        <v>18150</v>
      </c>
      <c r="I5403" s="33" t="n">
        <f aca="false">D5403*INDEX(Products!$D$2:$D$49,MATCH(C5403,Products!$A$2:$A$49,0))*(1+INDEX(Assumptions!$B$16:$B$20,MATCH(B5403,Assumptions!$A$16:$A$20,0)))</f>
        <v>12846.9</v>
      </c>
      <c r="J5403" s="33" t="n">
        <f aca="false">H5403-I5403</f>
        <v>5303.1</v>
      </c>
      <c r="K5403" s="33" t="n">
        <f aca="false">IF(OR(E5403=0,E5403&gt;=7),0,D5403/(7-E5403)*E5403*INDEX(Products!$E$2:$E$49,MATCH(C5403,Products!$A$2:$A$49,0)))</f>
        <v>0</v>
      </c>
    </row>
    <row r="5404" customFormat="false" ht="15" hidden="false" customHeight="false" outlineLevel="0" collapsed="false">
      <c r="A5404" s="36" t="n">
        <v>46132</v>
      </c>
      <c r="B5404" s="24" t="s">
        <v>65</v>
      </c>
      <c r="C5404" s="24" t="s">
        <v>163</v>
      </c>
      <c r="D5404" s="33" t="n">
        <v>59</v>
      </c>
      <c r="E5404" s="24" t="n">
        <v>0</v>
      </c>
      <c r="F5404" s="37" t="n">
        <f aca="false">DATE(YEAR(A5404),MONTH(A5404),1)</f>
        <v>46113</v>
      </c>
      <c r="G5404" s="24" t="str">
        <f aca="false">INDEX(Products!$C$2:$C$49,MATCH(C5404,Products!$A$2:$A$49,0))</f>
        <v>Household</v>
      </c>
      <c r="H5404" s="33" t="n">
        <f aca="false">D5404*INDEX(Products!$E$2:$E$49,MATCH(C5404,Products!$A$2:$A$49,0))</f>
        <v>19470</v>
      </c>
      <c r="I5404" s="33" t="n">
        <f aca="false">D5404*INDEX(Products!$D$2:$D$49,MATCH(C5404,Products!$A$2:$A$49,0))*(1+INDEX(Assumptions!$B$16:$B$20,MATCH(B5404,Assumptions!$A$16:$A$20,0)))</f>
        <v>13781.22</v>
      </c>
      <c r="J5404" s="33" t="n">
        <f aca="false">H5404-I5404</f>
        <v>5688.78</v>
      </c>
      <c r="K5404" s="33" t="n">
        <f aca="false">IF(OR(E5404=0,E5404&gt;=7),0,D5404/(7-E5404)*E5404*INDEX(Products!$E$2:$E$49,MATCH(C5404,Products!$A$2:$A$49,0)))</f>
        <v>0</v>
      </c>
    </row>
    <row r="5405" customFormat="false" ht="15" hidden="false" customHeight="false" outlineLevel="0" collapsed="false">
      <c r="A5405" s="36" t="n">
        <v>46139</v>
      </c>
      <c r="B5405" s="24" t="s">
        <v>65</v>
      </c>
      <c r="C5405" s="24" t="s">
        <v>163</v>
      </c>
      <c r="D5405" s="33" t="n">
        <v>78</v>
      </c>
      <c r="E5405" s="24" t="n">
        <v>0</v>
      </c>
      <c r="F5405" s="37" t="n">
        <f aca="false">DATE(YEAR(A5405),MONTH(A5405),1)</f>
        <v>46113</v>
      </c>
      <c r="G5405" s="24" t="str">
        <f aca="false">INDEX(Products!$C$2:$C$49,MATCH(C5405,Products!$A$2:$A$49,0))</f>
        <v>Household</v>
      </c>
      <c r="H5405" s="33" t="n">
        <f aca="false">D5405*INDEX(Products!$E$2:$E$49,MATCH(C5405,Products!$A$2:$A$49,0))</f>
        <v>25740</v>
      </c>
      <c r="I5405" s="33" t="n">
        <f aca="false">D5405*INDEX(Products!$D$2:$D$49,MATCH(C5405,Products!$A$2:$A$49,0))*(1+INDEX(Assumptions!$B$16:$B$20,MATCH(B5405,Assumptions!$A$16:$A$20,0)))</f>
        <v>18219.24</v>
      </c>
      <c r="J5405" s="33" t="n">
        <f aca="false">H5405-I5405</f>
        <v>7520.76</v>
      </c>
      <c r="K5405" s="33" t="n">
        <f aca="false">IF(OR(E5405=0,E5405&gt;=7),0,D5405/(7-E5405)*E5405*INDEX(Products!$E$2:$E$49,MATCH(C5405,Products!$A$2:$A$49,0)))</f>
        <v>0</v>
      </c>
    </row>
    <row r="5406" customFormat="false" ht="15" hidden="false" customHeight="false" outlineLevel="0" collapsed="false">
      <c r="A5406" s="36" t="n">
        <v>46146</v>
      </c>
      <c r="B5406" s="24" t="s">
        <v>65</v>
      </c>
      <c r="C5406" s="24" t="s">
        <v>163</v>
      </c>
      <c r="D5406" s="33" t="n">
        <v>49</v>
      </c>
      <c r="E5406" s="24" t="n">
        <v>2</v>
      </c>
      <c r="F5406" s="37" t="n">
        <f aca="false">DATE(YEAR(A5406),MONTH(A5406),1)</f>
        <v>46143</v>
      </c>
      <c r="G5406" s="24" t="str">
        <f aca="false">INDEX(Products!$C$2:$C$49,MATCH(C5406,Products!$A$2:$A$49,0))</f>
        <v>Household</v>
      </c>
      <c r="H5406" s="33" t="n">
        <f aca="false">D5406*INDEX(Products!$E$2:$E$49,MATCH(C5406,Products!$A$2:$A$49,0))</f>
        <v>16170</v>
      </c>
      <c r="I5406" s="33" t="n">
        <f aca="false">D5406*INDEX(Products!$D$2:$D$49,MATCH(C5406,Products!$A$2:$A$49,0))*(1+INDEX(Assumptions!$B$16:$B$20,MATCH(B5406,Assumptions!$A$16:$A$20,0)))</f>
        <v>11445.42</v>
      </c>
      <c r="J5406" s="33" t="n">
        <f aca="false">H5406-I5406</f>
        <v>4724.58</v>
      </c>
      <c r="K5406" s="33" t="n">
        <f aca="false">IF(OR(E5406=0,E5406&gt;=7),0,D5406/(7-E5406)*E5406*INDEX(Products!$E$2:$E$49,MATCH(C5406,Products!$A$2:$A$49,0)))</f>
        <v>6468</v>
      </c>
    </row>
    <row r="5407" customFormat="false" ht="15" hidden="false" customHeight="false" outlineLevel="0" collapsed="false">
      <c r="A5407" s="36" t="n">
        <v>46153</v>
      </c>
      <c r="B5407" s="24" t="s">
        <v>65</v>
      </c>
      <c r="C5407" s="24" t="s">
        <v>163</v>
      </c>
      <c r="D5407" s="33" t="n">
        <v>72</v>
      </c>
      <c r="E5407" s="24" t="n">
        <v>0</v>
      </c>
      <c r="F5407" s="37" t="n">
        <f aca="false">DATE(YEAR(A5407),MONTH(A5407),1)</f>
        <v>46143</v>
      </c>
      <c r="G5407" s="24" t="str">
        <f aca="false">INDEX(Products!$C$2:$C$49,MATCH(C5407,Products!$A$2:$A$49,0))</f>
        <v>Household</v>
      </c>
      <c r="H5407" s="33" t="n">
        <f aca="false">D5407*INDEX(Products!$E$2:$E$49,MATCH(C5407,Products!$A$2:$A$49,0))</f>
        <v>23760</v>
      </c>
      <c r="I5407" s="33" t="n">
        <f aca="false">D5407*INDEX(Products!$D$2:$D$49,MATCH(C5407,Products!$A$2:$A$49,0))*(1+INDEX(Assumptions!$B$16:$B$20,MATCH(B5407,Assumptions!$A$16:$A$20,0)))</f>
        <v>16817.76</v>
      </c>
      <c r="J5407" s="33" t="n">
        <f aca="false">H5407-I5407</f>
        <v>6942.24</v>
      </c>
      <c r="K5407" s="33" t="n">
        <f aca="false">IF(OR(E5407=0,E5407&gt;=7),0,D5407/(7-E5407)*E5407*INDEX(Products!$E$2:$E$49,MATCH(C5407,Products!$A$2:$A$49,0)))</f>
        <v>0</v>
      </c>
    </row>
    <row r="5408" customFormat="false" ht="15" hidden="false" customHeight="false" outlineLevel="0" collapsed="false">
      <c r="A5408" s="36" t="n">
        <v>46160</v>
      </c>
      <c r="B5408" s="24" t="s">
        <v>65</v>
      </c>
      <c r="C5408" s="24" t="s">
        <v>163</v>
      </c>
      <c r="D5408" s="33" t="n">
        <v>69</v>
      </c>
      <c r="E5408" s="24" t="n">
        <v>0</v>
      </c>
      <c r="F5408" s="37" t="n">
        <f aca="false">DATE(YEAR(A5408),MONTH(A5408),1)</f>
        <v>46143</v>
      </c>
      <c r="G5408" s="24" t="str">
        <f aca="false">INDEX(Products!$C$2:$C$49,MATCH(C5408,Products!$A$2:$A$49,0))</f>
        <v>Household</v>
      </c>
      <c r="H5408" s="33" t="n">
        <f aca="false">D5408*INDEX(Products!$E$2:$E$49,MATCH(C5408,Products!$A$2:$A$49,0))</f>
        <v>22770</v>
      </c>
      <c r="I5408" s="33" t="n">
        <f aca="false">D5408*INDEX(Products!$D$2:$D$49,MATCH(C5408,Products!$A$2:$A$49,0))*(1+INDEX(Assumptions!$B$16:$B$20,MATCH(B5408,Assumptions!$A$16:$A$20,0)))</f>
        <v>16117.02</v>
      </c>
      <c r="J5408" s="33" t="n">
        <f aca="false">H5408-I5408</f>
        <v>6652.98</v>
      </c>
      <c r="K5408" s="33" t="n">
        <f aca="false">IF(OR(E5408=0,E5408&gt;=7),0,D5408/(7-E5408)*E5408*INDEX(Products!$E$2:$E$49,MATCH(C5408,Products!$A$2:$A$49,0)))</f>
        <v>0</v>
      </c>
    </row>
    <row r="5409" customFormat="false" ht="15" hidden="false" customHeight="false" outlineLevel="0" collapsed="false">
      <c r="A5409" s="36" t="n">
        <v>46167</v>
      </c>
      <c r="B5409" s="24" t="s">
        <v>65</v>
      </c>
      <c r="C5409" s="24" t="s">
        <v>163</v>
      </c>
      <c r="D5409" s="33" t="n">
        <v>62</v>
      </c>
      <c r="E5409" s="24" t="n">
        <v>0</v>
      </c>
      <c r="F5409" s="37" t="n">
        <f aca="false">DATE(YEAR(A5409),MONTH(A5409),1)</f>
        <v>46143</v>
      </c>
      <c r="G5409" s="24" t="str">
        <f aca="false">INDEX(Products!$C$2:$C$49,MATCH(C5409,Products!$A$2:$A$49,0))</f>
        <v>Household</v>
      </c>
      <c r="H5409" s="33" t="n">
        <f aca="false">D5409*INDEX(Products!$E$2:$E$49,MATCH(C5409,Products!$A$2:$A$49,0))</f>
        <v>20460</v>
      </c>
      <c r="I5409" s="33" t="n">
        <f aca="false">D5409*INDEX(Products!$D$2:$D$49,MATCH(C5409,Products!$A$2:$A$49,0))*(1+INDEX(Assumptions!$B$16:$B$20,MATCH(B5409,Assumptions!$A$16:$A$20,0)))</f>
        <v>14481.96</v>
      </c>
      <c r="J5409" s="33" t="n">
        <f aca="false">H5409-I5409</f>
        <v>5978.04</v>
      </c>
      <c r="K5409" s="33" t="n">
        <f aca="false">IF(OR(E5409=0,E5409&gt;=7),0,D5409/(7-E5409)*E5409*INDEX(Products!$E$2:$E$49,MATCH(C5409,Products!$A$2:$A$49,0)))</f>
        <v>0</v>
      </c>
    </row>
    <row r="5410" customFormat="false" ht="15" hidden="false" customHeight="false" outlineLevel="0" collapsed="false">
      <c r="A5410" s="36" t="n">
        <v>46174</v>
      </c>
      <c r="B5410" s="24" t="s">
        <v>65</v>
      </c>
      <c r="C5410" s="24" t="s">
        <v>163</v>
      </c>
      <c r="D5410" s="33" t="n">
        <v>84</v>
      </c>
      <c r="E5410" s="24" t="n">
        <v>0</v>
      </c>
      <c r="F5410" s="37" t="n">
        <f aca="false">DATE(YEAR(A5410),MONTH(A5410),1)</f>
        <v>46174</v>
      </c>
      <c r="G5410" s="24" t="str">
        <f aca="false">INDEX(Products!$C$2:$C$49,MATCH(C5410,Products!$A$2:$A$49,0))</f>
        <v>Household</v>
      </c>
      <c r="H5410" s="33" t="n">
        <f aca="false">D5410*INDEX(Products!$E$2:$E$49,MATCH(C5410,Products!$A$2:$A$49,0))</f>
        <v>27720</v>
      </c>
      <c r="I5410" s="33" t="n">
        <f aca="false">D5410*INDEX(Products!$D$2:$D$49,MATCH(C5410,Products!$A$2:$A$49,0))*(1+INDEX(Assumptions!$B$16:$B$20,MATCH(B5410,Assumptions!$A$16:$A$20,0)))</f>
        <v>19620.72</v>
      </c>
      <c r="J5410" s="33" t="n">
        <f aca="false">H5410-I5410</f>
        <v>8099.28</v>
      </c>
      <c r="K5410" s="33" t="n">
        <f aca="false">IF(OR(E5410=0,E5410&gt;=7),0,D5410/(7-E5410)*E5410*INDEX(Products!$E$2:$E$49,MATCH(C5410,Products!$A$2:$A$49,0)))</f>
        <v>0</v>
      </c>
    </row>
    <row r="5411" customFormat="false" ht="15" hidden="false" customHeight="false" outlineLevel="0" collapsed="false">
      <c r="A5411" s="36" t="n">
        <v>46181</v>
      </c>
      <c r="B5411" s="24" t="s">
        <v>65</v>
      </c>
      <c r="C5411" s="24" t="s">
        <v>163</v>
      </c>
      <c r="D5411" s="33" t="n">
        <v>74</v>
      </c>
      <c r="E5411" s="24" t="n">
        <v>0</v>
      </c>
      <c r="F5411" s="37" t="n">
        <f aca="false">DATE(YEAR(A5411),MONTH(A5411),1)</f>
        <v>46174</v>
      </c>
      <c r="G5411" s="24" t="str">
        <f aca="false">INDEX(Products!$C$2:$C$49,MATCH(C5411,Products!$A$2:$A$49,0))</f>
        <v>Household</v>
      </c>
      <c r="H5411" s="33" t="n">
        <f aca="false">D5411*INDEX(Products!$E$2:$E$49,MATCH(C5411,Products!$A$2:$A$49,0))</f>
        <v>24420</v>
      </c>
      <c r="I5411" s="33" t="n">
        <f aca="false">D5411*INDEX(Products!$D$2:$D$49,MATCH(C5411,Products!$A$2:$A$49,0))*(1+INDEX(Assumptions!$B$16:$B$20,MATCH(B5411,Assumptions!$A$16:$A$20,0)))</f>
        <v>17284.92</v>
      </c>
      <c r="J5411" s="33" t="n">
        <f aca="false">H5411-I5411</f>
        <v>7135.08</v>
      </c>
      <c r="K5411" s="33" t="n">
        <f aca="false">IF(OR(E5411=0,E5411&gt;=7),0,D5411/(7-E5411)*E5411*INDEX(Products!$E$2:$E$49,MATCH(C5411,Products!$A$2:$A$49,0)))</f>
        <v>0</v>
      </c>
    </row>
    <row r="5412" customFormat="false" ht="15" hidden="false" customHeight="false" outlineLevel="0" collapsed="false">
      <c r="A5412" s="36" t="n">
        <v>46188</v>
      </c>
      <c r="B5412" s="24" t="s">
        <v>65</v>
      </c>
      <c r="C5412" s="24" t="s">
        <v>163</v>
      </c>
      <c r="D5412" s="33" t="n">
        <v>71</v>
      </c>
      <c r="E5412" s="24" t="n">
        <v>0</v>
      </c>
      <c r="F5412" s="37" t="n">
        <f aca="false">DATE(YEAR(A5412),MONTH(A5412),1)</f>
        <v>46174</v>
      </c>
      <c r="G5412" s="24" t="str">
        <f aca="false">INDEX(Products!$C$2:$C$49,MATCH(C5412,Products!$A$2:$A$49,0))</f>
        <v>Household</v>
      </c>
      <c r="H5412" s="33" t="n">
        <f aca="false">D5412*INDEX(Products!$E$2:$E$49,MATCH(C5412,Products!$A$2:$A$49,0))</f>
        <v>23430</v>
      </c>
      <c r="I5412" s="33" t="n">
        <f aca="false">D5412*INDEX(Products!$D$2:$D$49,MATCH(C5412,Products!$A$2:$A$49,0))*(1+INDEX(Assumptions!$B$16:$B$20,MATCH(B5412,Assumptions!$A$16:$A$20,0)))</f>
        <v>16584.18</v>
      </c>
      <c r="J5412" s="33" t="n">
        <f aca="false">H5412-I5412</f>
        <v>6845.82</v>
      </c>
      <c r="K5412" s="33" t="n">
        <f aca="false">IF(OR(E5412=0,E5412&gt;=7),0,D5412/(7-E5412)*E5412*INDEX(Products!$E$2:$E$49,MATCH(C5412,Products!$A$2:$A$49,0)))</f>
        <v>0</v>
      </c>
    </row>
    <row r="5413" customFormat="false" ht="15" hidden="false" customHeight="false" outlineLevel="0" collapsed="false">
      <c r="A5413" s="36" t="n">
        <v>46195</v>
      </c>
      <c r="B5413" s="24" t="s">
        <v>65</v>
      </c>
      <c r="C5413" s="24" t="s">
        <v>163</v>
      </c>
      <c r="D5413" s="33" t="n">
        <v>62</v>
      </c>
      <c r="E5413" s="24" t="n">
        <v>0</v>
      </c>
      <c r="F5413" s="37" t="n">
        <f aca="false">DATE(YEAR(A5413),MONTH(A5413),1)</f>
        <v>46174</v>
      </c>
      <c r="G5413" s="24" t="str">
        <f aca="false">INDEX(Products!$C$2:$C$49,MATCH(C5413,Products!$A$2:$A$49,0))</f>
        <v>Household</v>
      </c>
      <c r="H5413" s="33" t="n">
        <f aca="false">D5413*INDEX(Products!$E$2:$E$49,MATCH(C5413,Products!$A$2:$A$49,0))</f>
        <v>20460</v>
      </c>
      <c r="I5413" s="33" t="n">
        <f aca="false">D5413*INDEX(Products!$D$2:$D$49,MATCH(C5413,Products!$A$2:$A$49,0))*(1+INDEX(Assumptions!$B$16:$B$20,MATCH(B5413,Assumptions!$A$16:$A$20,0)))</f>
        <v>14481.96</v>
      </c>
      <c r="J5413" s="33" t="n">
        <f aca="false">H5413-I5413</f>
        <v>5978.04</v>
      </c>
      <c r="K5413" s="33" t="n">
        <f aca="false">IF(OR(E5413=0,E5413&gt;=7),0,D5413/(7-E5413)*E5413*INDEX(Products!$E$2:$E$49,MATCH(C5413,Products!$A$2:$A$49,0)))</f>
        <v>0</v>
      </c>
    </row>
    <row r="5414" customFormat="false" ht="15" hidden="false" customHeight="false" outlineLevel="0" collapsed="false">
      <c r="A5414" s="36" t="n">
        <v>46202</v>
      </c>
      <c r="B5414" s="24" t="s">
        <v>65</v>
      </c>
      <c r="C5414" s="24" t="s">
        <v>163</v>
      </c>
      <c r="D5414" s="33" t="n">
        <v>54</v>
      </c>
      <c r="E5414" s="24" t="n">
        <v>0</v>
      </c>
      <c r="F5414" s="37" t="n">
        <f aca="false">DATE(YEAR(A5414),MONTH(A5414),1)</f>
        <v>46174</v>
      </c>
      <c r="G5414" s="24" t="str">
        <f aca="false">INDEX(Products!$C$2:$C$49,MATCH(C5414,Products!$A$2:$A$49,0))</f>
        <v>Household</v>
      </c>
      <c r="H5414" s="33" t="n">
        <f aca="false">D5414*INDEX(Products!$E$2:$E$49,MATCH(C5414,Products!$A$2:$A$49,0))</f>
        <v>17820</v>
      </c>
      <c r="I5414" s="33" t="n">
        <f aca="false">D5414*INDEX(Products!$D$2:$D$49,MATCH(C5414,Products!$A$2:$A$49,0))*(1+INDEX(Assumptions!$B$16:$B$20,MATCH(B5414,Assumptions!$A$16:$A$20,0)))</f>
        <v>12613.32</v>
      </c>
      <c r="J5414" s="33" t="n">
        <f aca="false">H5414-I5414</f>
        <v>5206.68</v>
      </c>
      <c r="K5414" s="33" t="n">
        <f aca="false">IF(OR(E5414=0,E5414&gt;=7),0,D5414/(7-E5414)*E5414*INDEX(Products!$E$2:$E$49,MATCH(C5414,Products!$A$2:$A$49,0)))</f>
        <v>0</v>
      </c>
    </row>
    <row r="5415" customFormat="false" ht="15" hidden="false" customHeight="false" outlineLevel="0" collapsed="false">
      <c r="A5415" s="36" t="n">
        <v>46209</v>
      </c>
      <c r="B5415" s="24" t="s">
        <v>65</v>
      </c>
      <c r="C5415" s="24" t="s">
        <v>163</v>
      </c>
      <c r="D5415" s="33" t="n">
        <v>75</v>
      </c>
      <c r="E5415" s="24" t="n">
        <v>0</v>
      </c>
      <c r="F5415" s="37" t="n">
        <f aca="false">DATE(YEAR(A5415),MONTH(A5415),1)</f>
        <v>46204</v>
      </c>
      <c r="G5415" s="24" t="str">
        <f aca="false">INDEX(Products!$C$2:$C$49,MATCH(C5415,Products!$A$2:$A$49,0))</f>
        <v>Household</v>
      </c>
      <c r="H5415" s="33" t="n">
        <f aca="false">D5415*INDEX(Products!$E$2:$E$49,MATCH(C5415,Products!$A$2:$A$49,0))</f>
        <v>24750</v>
      </c>
      <c r="I5415" s="33" t="n">
        <f aca="false">D5415*INDEX(Products!$D$2:$D$49,MATCH(C5415,Products!$A$2:$A$49,0))*(1+INDEX(Assumptions!$B$16:$B$20,MATCH(B5415,Assumptions!$A$16:$A$20,0)))</f>
        <v>17518.5</v>
      </c>
      <c r="J5415" s="33" t="n">
        <f aca="false">H5415-I5415</f>
        <v>7231.5</v>
      </c>
      <c r="K5415" s="33" t="n">
        <f aca="false">IF(OR(E5415=0,E5415&gt;=7),0,D5415/(7-E5415)*E5415*INDEX(Products!$E$2:$E$49,MATCH(C5415,Products!$A$2:$A$49,0)))</f>
        <v>0</v>
      </c>
    </row>
    <row r="5416" customFormat="false" ht="15" hidden="false" customHeight="false" outlineLevel="0" collapsed="false">
      <c r="A5416" s="36" t="n">
        <v>46216</v>
      </c>
      <c r="B5416" s="24" t="s">
        <v>65</v>
      </c>
      <c r="C5416" s="24" t="s">
        <v>163</v>
      </c>
      <c r="D5416" s="33" t="n">
        <v>63</v>
      </c>
      <c r="E5416" s="24" t="n">
        <v>0</v>
      </c>
      <c r="F5416" s="37" t="n">
        <f aca="false">DATE(YEAR(A5416),MONTH(A5416),1)</f>
        <v>46204</v>
      </c>
      <c r="G5416" s="24" t="str">
        <f aca="false">INDEX(Products!$C$2:$C$49,MATCH(C5416,Products!$A$2:$A$49,0))</f>
        <v>Household</v>
      </c>
      <c r="H5416" s="33" t="n">
        <f aca="false">D5416*INDEX(Products!$E$2:$E$49,MATCH(C5416,Products!$A$2:$A$49,0))</f>
        <v>20790</v>
      </c>
      <c r="I5416" s="33" t="n">
        <f aca="false">D5416*INDEX(Products!$D$2:$D$49,MATCH(C5416,Products!$A$2:$A$49,0))*(1+INDEX(Assumptions!$B$16:$B$20,MATCH(B5416,Assumptions!$A$16:$A$20,0)))</f>
        <v>14715.54</v>
      </c>
      <c r="J5416" s="33" t="n">
        <f aca="false">H5416-I5416</f>
        <v>6074.46</v>
      </c>
      <c r="K5416" s="33" t="n">
        <f aca="false">IF(OR(E5416=0,E5416&gt;=7),0,D5416/(7-E5416)*E5416*INDEX(Products!$E$2:$E$49,MATCH(C5416,Products!$A$2:$A$49,0)))</f>
        <v>0</v>
      </c>
    </row>
    <row r="5417" customFormat="false" ht="15" hidden="false" customHeight="false" outlineLevel="0" collapsed="false">
      <c r="A5417" s="36" t="n">
        <v>46223</v>
      </c>
      <c r="B5417" s="24" t="s">
        <v>65</v>
      </c>
      <c r="C5417" s="24" t="s">
        <v>163</v>
      </c>
      <c r="D5417" s="33" t="n">
        <v>68</v>
      </c>
      <c r="E5417" s="24" t="n">
        <v>0</v>
      </c>
      <c r="F5417" s="37" t="n">
        <f aca="false">DATE(YEAR(A5417),MONTH(A5417),1)</f>
        <v>46204</v>
      </c>
      <c r="G5417" s="24" t="str">
        <f aca="false">INDEX(Products!$C$2:$C$49,MATCH(C5417,Products!$A$2:$A$49,0))</f>
        <v>Household</v>
      </c>
      <c r="H5417" s="33" t="n">
        <f aca="false">D5417*INDEX(Products!$E$2:$E$49,MATCH(C5417,Products!$A$2:$A$49,0))</f>
        <v>22440</v>
      </c>
      <c r="I5417" s="33" t="n">
        <f aca="false">D5417*INDEX(Products!$D$2:$D$49,MATCH(C5417,Products!$A$2:$A$49,0))*(1+INDEX(Assumptions!$B$16:$B$20,MATCH(B5417,Assumptions!$A$16:$A$20,0)))</f>
        <v>15883.44</v>
      </c>
      <c r="J5417" s="33" t="n">
        <f aca="false">H5417-I5417</f>
        <v>6556.56</v>
      </c>
      <c r="K5417" s="33" t="n">
        <f aca="false">IF(OR(E5417=0,E5417&gt;=7),0,D5417/(7-E5417)*E5417*INDEX(Products!$E$2:$E$49,MATCH(C5417,Products!$A$2:$A$49,0)))</f>
        <v>0</v>
      </c>
    </row>
    <row r="5418" customFormat="false" ht="15" hidden="false" customHeight="false" outlineLevel="0" collapsed="false">
      <c r="A5418" s="36" t="n">
        <v>46230</v>
      </c>
      <c r="B5418" s="24" t="s">
        <v>65</v>
      </c>
      <c r="C5418" s="24" t="s">
        <v>163</v>
      </c>
      <c r="D5418" s="33" t="n">
        <v>66</v>
      </c>
      <c r="E5418" s="24" t="n">
        <v>0</v>
      </c>
      <c r="F5418" s="37" t="n">
        <f aca="false">DATE(YEAR(A5418),MONTH(A5418),1)</f>
        <v>46204</v>
      </c>
      <c r="G5418" s="24" t="str">
        <f aca="false">INDEX(Products!$C$2:$C$49,MATCH(C5418,Products!$A$2:$A$49,0))</f>
        <v>Household</v>
      </c>
      <c r="H5418" s="33" t="n">
        <f aca="false">D5418*INDEX(Products!$E$2:$E$49,MATCH(C5418,Products!$A$2:$A$49,0))</f>
        <v>21780</v>
      </c>
      <c r="I5418" s="33" t="n">
        <f aca="false">D5418*INDEX(Products!$D$2:$D$49,MATCH(C5418,Products!$A$2:$A$49,0))*(1+INDEX(Assumptions!$B$16:$B$20,MATCH(B5418,Assumptions!$A$16:$A$20,0)))</f>
        <v>15416.28</v>
      </c>
      <c r="J5418" s="33" t="n">
        <f aca="false">H5418-I5418</f>
        <v>6363.72</v>
      </c>
      <c r="K5418" s="33" t="n">
        <f aca="false">IF(OR(E5418=0,E5418&gt;=7),0,D5418/(7-E5418)*E5418*INDEX(Products!$E$2:$E$49,MATCH(C5418,Products!$A$2:$A$49,0)))</f>
        <v>0</v>
      </c>
    </row>
    <row r="5419" customFormat="false" ht="15" hidden="false" customHeight="false" outlineLevel="0" collapsed="false">
      <c r="A5419" s="36" t="n">
        <v>46237</v>
      </c>
      <c r="B5419" s="24" t="s">
        <v>65</v>
      </c>
      <c r="C5419" s="24" t="s">
        <v>163</v>
      </c>
      <c r="D5419" s="33" t="n">
        <v>57</v>
      </c>
      <c r="E5419" s="24" t="n">
        <v>0</v>
      </c>
      <c r="F5419" s="37" t="n">
        <f aca="false">DATE(YEAR(A5419),MONTH(A5419),1)</f>
        <v>46235</v>
      </c>
      <c r="G5419" s="24" t="str">
        <f aca="false">INDEX(Products!$C$2:$C$49,MATCH(C5419,Products!$A$2:$A$49,0))</f>
        <v>Household</v>
      </c>
      <c r="H5419" s="33" t="n">
        <f aca="false">D5419*INDEX(Products!$E$2:$E$49,MATCH(C5419,Products!$A$2:$A$49,0))</f>
        <v>18810</v>
      </c>
      <c r="I5419" s="33" t="n">
        <f aca="false">D5419*INDEX(Products!$D$2:$D$49,MATCH(C5419,Products!$A$2:$A$49,0))*(1+INDEX(Assumptions!$B$16:$B$20,MATCH(B5419,Assumptions!$A$16:$A$20,0)))</f>
        <v>13314.06</v>
      </c>
      <c r="J5419" s="33" t="n">
        <f aca="false">H5419-I5419</f>
        <v>5495.94</v>
      </c>
      <c r="K5419" s="33" t="n">
        <f aca="false">IF(OR(E5419=0,E5419&gt;=7),0,D5419/(7-E5419)*E5419*INDEX(Products!$E$2:$E$49,MATCH(C5419,Products!$A$2:$A$49,0)))</f>
        <v>0</v>
      </c>
    </row>
    <row r="5420" customFormat="false" ht="15" hidden="false" customHeight="false" outlineLevel="0" collapsed="false">
      <c r="A5420" s="36" t="n">
        <v>46244</v>
      </c>
      <c r="B5420" s="24" t="s">
        <v>65</v>
      </c>
      <c r="C5420" s="24" t="s">
        <v>163</v>
      </c>
      <c r="D5420" s="33" t="n">
        <v>13</v>
      </c>
      <c r="E5420" s="24" t="n">
        <v>5</v>
      </c>
      <c r="F5420" s="37" t="n">
        <f aca="false">DATE(YEAR(A5420),MONTH(A5420),1)</f>
        <v>46235</v>
      </c>
      <c r="G5420" s="24" t="str">
        <f aca="false">INDEX(Products!$C$2:$C$49,MATCH(C5420,Products!$A$2:$A$49,0))</f>
        <v>Household</v>
      </c>
      <c r="H5420" s="33" t="n">
        <f aca="false">D5420*INDEX(Products!$E$2:$E$49,MATCH(C5420,Products!$A$2:$A$49,0))</f>
        <v>4290</v>
      </c>
      <c r="I5420" s="33" t="n">
        <f aca="false">D5420*INDEX(Products!$D$2:$D$49,MATCH(C5420,Products!$A$2:$A$49,0))*(1+INDEX(Assumptions!$B$16:$B$20,MATCH(B5420,Assumptions!$A$16:$A$20,0)))</f>
        <v>3036.54</v>
      </c>
      <c r="J5420" s="33" t="n">
        <f aca="false">H5420-I5420</f>
        <v>1253.46</v>
      </c>
      <c r="K5420" s="33" t="n">
        <f aca="false">IF(OR(E5420=0,E5420&gt;=7),0,D5420/(7-E5420)*E5420*INDEX(Products!$E$2:$E$49,MATCH(C5420,Products!$A$2:$A$49,0)))</f>
        <v>10725</v>
      </c>
    </row>
    <row r="5421" customFormat="false" ht="15" hidden="false" customHeight="false" outlineLevel="0" collapsed="false">
      <c r="A5421" s="36" t="n">
        <v>46251</v>
      </c>
      <c r="B5421" s="24" t="s">
        <v>65</v>
      </c>
      <c r="C5421" s="24" t="s">
        <v>163</v>
      </c>
      <c r="D5421" s="33" t="n">
        <v>60</v>
      </c>
      <c r="E5421" s="24" t="n">
        <v>0</v>
      </c>
      <c r="F5421" s="37" t="n">
        <f aca="false">DATE(YEAR(A5421),MONTH(A5421),1)</f>
        <v>46235</v>
      </c>
      <c r="G5421" s="24" t="str">
        <f aca="false">INDEX(Products!$C$2:$C$49,MATCH(C5421,Products!$A$2:$A$49,0))</f>
        <v>Household</v>
      </c>
      <c r="H5421" s="33" t="n">
        <f aca="false">D5421*INDEX(Products!$E$2:$E$49,MATCH(C5421,Products!$A$2:$A$49,0))</f>
        <v>19800</v>
      </c>
      <c r="I5421" s="33" t="n">
        <f aca="false">D5421*INDEX(Products!$D$2:$D$49,MATCH(C5421,Products!$A$2:$A$49,0))*(1+INDEX(Assumptions!$B$16:$B$20,MATCH(B5421,Assumptions!$A$16:$A$20,0)))</f>
        <v>14014.8</v>
      </c>
      <c r="J5421" s="33" t="n">
        <f aca="false">H5421-I5421</f>
        <v>5785.2</v>
      </c>
      <c r="K5421" s="33" t="n">
        <f aca="false">IF(OR(E5421=0,E5421&gt;=7),0,D5421/(7-E5421)*E5421*INDEX(Products!$E$2:$E$49,MATCH(C5421,Products!$A$2:$A$49,0)))</f>
        <v>0</v>
      </c>
    </row>
    <row r="5422" customFormat="false" ht="15" hidden="false" customHeight="false" outlineLevel="0" collapsed="false">
      <c r="A5422" s="36" t="n">
        <v>46258</v>
      </c>
      <c r="B5422" s="24" t="s">
        <v>65</v>
      </c>
      <c r="C5422" s="24" t="s">
        <v>163</v>
      </c>
      <c r="D5422" s="33" t="n">
        <v>68</v>
      </c>
      <c r="E5422" s="24" t="n">
        <v>0</v>
      </c>
      <c r="F5422" s="37" t="n">
        <f aca="false">DATE(YEAR(A5422),MONTH(A5422),1)</f>
        <v>46235</v>
      </c>
      <c r="G5422" s="24" t="str">
        <f aca="false">INDEX(Products!$C$2:$C$49,MATCH(C5422,Products!$A$2:$A$49,0))</f>
        <v>Household</v>
      </c>
      <c r="H5422" s="33" t="n">
        <f aca="false">D5422*INDEX(Products!$E$2:$E$49,MATCH(C5422,Products!$A$2:$A$49,0))</f>
        <v>22440</v>
      </c>
      <c r="I5422" s="33" t="n">
        <f aca="false">D5422*INDEX(Products!$D$2:$D$49,MATCH(C5422,Products!$A$2:$A$49,0))*(1+INDEX(Assumptions!$B$16:$B$20,MATCH(B5422,Assumptions!$A$16:$A$20,0)))</f>
        <v>15883.44</v>
      </c>
      <c r="J5422" s="33" t="n">
        <f aca="false">H5422-I5422</f>
        <v>6556.56</v>
      </c>
      <c r="K5422" s="33" t="n">
        <f aca="false">IF(OR(E5422=0,E5422&gt;=7),0,D5422/(7-E5422)*E5422*INDEX(Products!$E$2:$E$49,MATCH(C5422,Products!$A$2:$A$49,0)))</f>
        <v>0</v>
      </c>
    </row>
    <row r="5423" customFormat="false" ht="15" hidden="false" customHeight="false" outlineLevel="0" collapsed="false">
      <c r="A5423" s="36" t="n">
        <v>46265</v>
      </c>
      <c r="B5423" s="24" t="s">
        <v>65</v>
      </c>
      <c r="C5423" s="24" t="s">
        <v>163</v>
      </c>
      <c r="D5423" s="33" t="n">
        <v>71</v>
      </c>
      <c r="E5423" s="24" t="n">
        <v>0</v>
      </c>
      <c r="F5423" s="37" t="n">
        <f aca="false">DATE(YEAR(A5423),MONTH(A5423),1)</f>
        <v>46235</v>
      </c>
      <c r="G5423" s="24" t="str">
        <f aca="false">INDEX(Products!$C$2:$C$49,MATCH(C5423,Products!$A$2:$A$49,0))</f>
        <v>Household</v>
      </c>
      <c r="H5423" s="33" t="n">
        <f aca="false">D5423*INDEX(Products!$E$2:$E$49,MATCH(C5423,Products!$A$2:$A$49,0))</f>
        <v>23430</v>
      </c>
      <c r="I5423" s="33" t="n">
        <f aca="false">D5423*INDEX(Products!$D$2:$D$49,MATCH(C5423,Products!$A$2:$A$49,0))*(1+INDEX(Assumptions!$B$16:$B$20,MATCH(B5423,Assumptions!$A$16:$A$20,0)))</f>
        <v>16584.18</v>
      </c>
      <c r="J5423" s="33" t="n">
        <f aca="false">H5423-I5423</f>
        <v>6845.82</v>
      </c>
      <c r="K5423" s="33" t="n">
        <f aca="false">IF(OR(E5423=0,E5423&gt;=7),0,D5423/(7-E5423)*E5423*INDEX(Products!$E$2:$E$49,MATCH(C5423,Products!$A$2:$A$49,0)))</f>
        <v>0</v>
      </c>
    </row>
    <row r="5424" customFormat="false" ht="15" hidden="false" customHeight="false" outlineLevel="0" collapsed="false">
      <c r="A5424" s="36" t="n">
        <v>46272</v>
      </c>
      <c r="B5424" s="24" t="s">
        <v>65</v>
      </c>
      <c r="C5424" s="24" t="s">
        <v>163</v>
      </c>
      <c r="D5424" s="33" t="n">
        <v>110</v>
      </c>
      <c r="E5424" s="24" t="n">
        <v>0</v>
      </c>
      <c r="F5424" s="37" t="n">
        <f aca="false">DATE(YEAR(A5424),MONTH(A5424),1)</f>
        <v>46266</v>
      </c>
      <c r="G5424" s="24" t="str">
        <f aca="false">INDEX(Products!$C$2:$C$49,MATCH(C5424,Products!$A$2:$A$49,0))</f>
        <v>Household</v>
      </c>
      <c r="H5424" s="33" t="n">
        <f aca="false">D5424*INDEX(Products!$E$2:$E$49,MATCH(C5424,Products!$A$2:$A$49,0))</f>
        <v>36300</v>
      </c>
      <c r="I5424" s="33" t="n">
        <f aca="false">D5424*INDEX(Products!$D$2:$D$49,MATCH(C5424,Products!$A$2:$A$49,0))*(1+INDEX(Assumptions!$B$16:$B$20,MATCH(B5424,Assumptions!$A$16:$A$20,0)))</f>
        <v>25693.8</v>
      </c>
      <c r="J5424" s="33" t="n">
        <f aca="false">H5424-I5424</f>
        <v>10606.2</v>
      </c>
      <c r="K5424" s="33" t="n">
        <f aca="false">IF(OR(E5424=0,E5424&gt;=7),0,D5424/(7-E5424)*E5424*INDEX(Products!$E$2:$E$49,MATCH(C5424,Products!$A$2:$A$49,0)))</f>
        <v>0</v>
      </c>
    </row>
    <row r="5425" customFormat="false" ht="15" hidden="false" customHeight="false" outlineLevel="0" collapsed="false">
      <c r="A5425" s="36" t="n">
        <v>46279</v>
      </c>
      <c r="B5425" s="24" t="s">
        <v>65</v>
      </c>
      <c r="C5425" s="24" t="s">
        <v>163</v>
      </c>
      <c r="D5425" s="33" t="n">
        <v>63</v>
      </c>
      <c r="E5425" s="24" t="n">
        <v>0</v>
      </c>
      <c r="F5425" s="37" t="n">
        <f aca="false">DATE(YEAR(A5425),MONTH(A5425),1)</f>
        <v>46266</v>
      </c>
      <c r="G5425" s="24" t="str">
        <f aca="false">INDEX(Products!$C$2:$C$49,MATCH(C5425,Products!$A$2:$A$49,0))</f>
        <v>Household</v>
      </c>
      <c r="H5425" s="33" t="n">
        <f aca="false">D5425*INDEX(Products!$E$2:$E$49,MATCH(C5425,Products!$A$2:$A$49,0))</f>
        <v>20790</v>
      </c>
      <c r="I5425" s="33" t="n">
        <f aca="false">D5425*INDEX(Products!$D$2:$D$49,MATCH(C5425,Products!$A$2:$A$49,0))*(1+INDEX(Assumptions!$B$16:$B$20,MATCH(B5425,Assumptions!$A$16:$A$20,0)))</f>
        <v>14715.54</v>
      </c>
      <c r="J5425" s="33" t="n">
        <f aca="false">H5425-I5425</f>
        <v>6074.46</v>
      </c>
      <c r="K5425" s="33" t="n">
        <f aca="false">IF(OR(E5425=0,E5425&gt;=7),0,D5425/(7-E5425)*E5425*INDEX(Products!$E$2:$E$49,MATCH(C5425,Products!$A$2:$A$49,0)))</f>
        <v>0</v>
      </c>
    </row>
    <row r="5426" customFormat="false" ht="15" hidden="false" customHeight="false" outlineLevel="0" collapsed="false">
      <c r="A5426" s="36" t="n">
        <v>46286</v>
      </c>
      <c r="B5426" s="24" t="s">
        <v>65</v>
      </c>
      <c r="C5426" s="24" t="s">
        <v>163</v>
      </c>
      <c r="D5426" s="33" t="n">
        <v>85</v>
      </c>
      <c r="E5426" s="24" t="n">
        <v>0</v>
      </c>
      <c r="F5426" s="37" t="n">
        <f aca="false">DATE(YEAR(A5426),MONTH(A5426),1)</f>
        <v>46266</v>
      </c>
      <c r="G5426" s="24" t="str">
        <f aca="false">INDEX(Products!$C$2:$C$49,MATCH(C5426,Products!$A$2:$A$49,0))</f>
        <v>Household</v>
      </c>
      <c r="H5426" s="33" t="n">
        <f aca="false">D5426*INDEX(Products!$E$2:$E$49,MATCH(C5426,Products!$A$2:$A$49,0))</f>
        <v>28050</v>
      </c>
      <c r="I5426" s="33" t="n">
        <f aca="false">D5426*INDEX(Products!$D$2:$D$49,MATCH(C5426,Products!$A$2:$A$49,0))*(1+INDEX(Assumptions!$B$16:$B$20,MATCH(B5426,Assumptions!$A$16:$A$20,0)))</f>
        <v>19854.3</v>
      </c>
      <c r="J5426" s="33" t="n">
        <f aca="false">H5426-I5426</f>
        <v>8195.7</v>
      </c>
      <c r="K5426" s="33" t="n">
        <f aca="false">IF(OR(E5426=0,E5426&gt;=7),0,D5426/(7-E5426)*E5426*INDEX(Products!$E$2:$E$49,MATCH(C5426,Products!$A$2:$A$49,0)))</f>
        <v>0</v>
      </c>
    </row>
    <row r="5427" customFormat="false" ht="15" hidden="false" customHeight="false" outlineLevel="0" collapsed="false">
      <c r="A5427" s="36" t="n">
        <v>46118</v>
      </c>
      <c r="B5427" s="24" t="s">
        <v>65</v>
      </c>
      <c r="C5427" s="24" t="s">
        <v>165</v>
      </c>
      <c r="D5427" s="33" t="n">
        <v>62</v>
      </c>
      <c r="E5427" s="24" t="n">
        <v>0</v>
      </c>
      <c r="F5427" s="37" t="n">
        <f aca="false">DATE(YEAR(A5427),MONTH(A5427),1)</f>
        <v>46113</v>
      </c>
      <c r="G5427" s="24" t="str">
        <f aca="false">INDEX(Products!$C$2:$C$49,MATCH(C5427,Products!$A$2:$A$49,0))</f>
        <v>Household</v>
      </c>
      <c r="H5427" s="33" t="n">
        <f aca="false">D5427*INDEX(Products!$E$2:$E$49,MATCH(C5427,Products!$A$2:$A$49,0))</f>
        <v>11780</v>
      </c>
      <c r="I5427" s="33" t="n">
        <f aca="false">D5427*INDEX(Products!$D$2:$D$49,MATCH(C5427,Products!$A$2:$A$49,0))*(1+INDEX(Assumptions!$B$16:$B$20,MATCH(B5427,Assumptions!$A$16:$A$20,0)))</f>
        <v>8663.88</v>
      </c>
      <c r="J5427" s="33" t="n">
        <f aca="false">H5427-I5427</f>
        <v>3116.12</v>
      </c>
      <c r="K5427" s="33" t="n">
        <f aca="false">IF(OR(E5427=0,E5427&gt;=7),0,D5427/(7-E5427)*E5427*INDEX(Products!$E$2:$E$49,MATCH(C5427,Products!$A$2:$A$49,0)))</f>
        <v>0</v>
      </c>
    </row>
    <row r="5428" customFormat="false" ht="15" hidden="false" customHeight="false" outlineLevel="0" collapsed="false">
      <c r="A5428" s="36" t="n">
        <v>46125</v>
      </c>
      <c r="B5428" s="24" t="s">
        <v>65</v>
      </c>
      <c r="C5428" s="24" t="s">
        <v>165</v>
      </c>
      <c r="D5428" s="33" t="n">
        <v>68</v>
      </c>
      <c r="E5428" s="24" t="n">
        <v>0</v>
      </c>
      <c r="F5428" s="37" t="n">
        <f aca="false">DATE(YEAR(A5428),MONTH(A5428),1)</f>
        <v>46113</v>
      </c>
      <c r="G5428" s="24" t="str">
        <f aca="false">INDEX(Products!$C$2:$C$49,MATCH(C5428,Products!$A$2:$A$49,0))</f>
        <v>Household</v>
      </c>
      <c r="H5428" s="33" t="n">
        <f aca="false">D5428*INDEX(Products!$E$2:$E$49,MATCH(C5428,Products!$A$2:$A$49,0))</f>
        <v>12920</v>
      </c>
      <c r="I5428" s="33" t="n">
        <f aca="false">D5428*INDEX(Products!$D$2:$D$49,MATCH(C5428,Products!$A$2:$A$49,0))*(1+INDEX(Assumptions!$B$16:$B$20,MATCH(B5428,Assumptions!$A$16:$A$20,0)))</f>
        <v>9502.32</v>
      </c>
      <c r="J5428" s="33" t="n">
        <f aca="false">H5428-I5428</f>
        <v>3417.68</v>
      </c>
      <c r="K5428" s="33" t="n">
        <f aca="false">IF(OR(E5428=0,E5428&gt;=7),0,D5428/(7-E5428)*E5428*INDEX(Products!$E$2:$E$49,MATCH(C5428,Products!$A$2:$A$49,0)))</f>
        <v>0</v>
      </c>
    </row>
    <row r="5429" customFormat="false" ht="15" hidden="false" customHeight="false" outlineLevel="0" collapsed="false">
      <c r="A5429" s="36" t="n">
        <v>46132</v>
      </c>
      <c r="B5429" s="24" t="s">
        <v>65</v>
      </c>
      <c r="C5429" s="24" t="s">
        <v>165</v>
      </c>
      <c r="D5429" s="33" t="n">
        <v>77</v>
      </c>
      <c r="E5429" s="24" t="n">
        <v>0</v>
      </c>
      <c r="F5429" s="37" t="n">
        <f aca="false">DATE(YEAR(A5429),MONTH(A5429),1)</f>
        <v>46113</v>
      </c>
      <c r="G5429" s="24" t="str">
        <f aca="false">INDEX(Products!$C$2:$C$49,MATCH(C5429,Products!$A$2:$A$49,0))</f>
        <v>Household</v>
      </c>
      <c r="H5429" s="33" t="n">
        <f aca="false">D5429*INDEX(Products!$E$2:$E$49,MATCH(C5429,Products!$A$2:$A$49,0))</f>
        <v>14630</v>
      </c>
      <c r="I5429" s="33" t="n">
        <f aca="false">D5429*INDEX(Products!$D$2:$D$49,MATCH(C5429,Products!$A$2:$A$49,0))*(1+INDEX(Assumptions!$B$16:$B$20,MATCH(B5429,Assumptions!$A$16:$A$20,0)))</f>
        <v>10759.98</v>
      </c>
      <c r="J5429" s="33" t="n">
        <f aca="false">H5429-I5429</f>
        <v>3870.02</v>
      </c>
      <c r="K5429" s="33" t="n">
        <f aca="false">IF(OR(E5429=0,E5429&gt;=7),0,D5429/(7-E5429)*E5429*INDEX(Products!$E$2:$E$49,MATCH(C5429,Products!$A$2:$A$49,0)))</f>
        <v>0</v>
      </c>
    </row>
    <row r="5430" customFormat="false" ht="15" hidden="false" customHeight="false" outlineLevel="0" collapsed="false">
      <c r="A5430" s="36" t="n">
        <v>46139</v>
      </c>
      <c r="B5430" s="24" t="s">
        <v>65</v>
      </c>
      <c r="C5430" s="24" t="s">
        <v>165</v>
      </c>
      <c r="D5430" s="33" t="n">
        <v>67</v>
      </c>
      <c r="E5430" s="24" t="n">
        <v>0</v>
      </c>
      <c r="F5430" s="37" t="n">
        <f aca="false">DATE(YEAR(A5430),MONTH(A5430),1)</f>
        <v>46113</v>
      </c>
      <c r="G5430" s="24" t="str">
        <f aca="false">INDEX(Products!$C$2:$C$49,MATCH(C5430,Products!$A$2:$A$49,0))</f>
        <v>Household</v>
      </c>
      <c r="H5430" s="33" t="n">
        <f aca="false">D5430*INDEX(Products!$E$2:$E$49,MATCH(C5430,Products!$A$2:$A$49,0))</f>
        <v>12730</v>
      </c>
      <c r="I5430" s="33" t="n">
        <f aca="false">D5430*INDEX(Products!$D$2:$D$49,MATCH(C5430,Products!$A$2:$A$49,0))*(1+INDEX(Assumptions!$B$16:$B$20,MATCH(B5430,Assumptions!$A$16:$A$20,0)))</f>
        <v>9362.58</v>
      </c>
      <c r="J5430" s="33" t="n">
        <f aca="false">H5430-I5430</f>
        <v>3367.42</v>
      </c>
      <c r="K5430" s="33" t="n">
        <f aca="false">IF(OR(E5430=0,E5430&gt;=7),0,D5430/(7-E5430)*E5430*INDEX(Products!$E$2:$E$49,MATCH(C5430,Products!$A$2:$A$49,0)))</f>
        <v>0</v>
      </c>
    </row>
    <row r="5431" customFormat="false" ht="15" hidden="false" customHeight="false" outlineLevel="0" collapsed="false">
      <c r="A5431" s="36" t="n">
        <v>46146</v>
      </c>
      <c r="B5431" s="24" t="s">
        <v>65</v>
      </c>
      <c r="C5431" s="24" t="s">
        <v>165</v>
      </c>
      <c r="D5431" s="33" t="n">
        <v>68</v>
      </c>
      <c r="E5431" s="24" t="n">
        <v>0</v>
      </c>
      <c r="F5431" s="37" t="n">
        <f aca="false">DATE(YEAR(A5431),MONTH(A5431),1)</f>
        <v>46143</v>
      </c>
      <c r="G5431" s="24" t="str">
        <f aca="false">INDEX(Products!$C$2:$C$49,MATCH(C5431,Products!$A$2:$A$49,0))</f>
        <v>Household</v>
      </c>
      <c r="H5431" s="33" t="n">
        <f aca="false">D5431*INDEX(Products!$E$2:$E$49,MATCH(C5431,Products!$A$2:$A$49,0))</f>
        <v>12920</v>
      </c>
      <c r="I5431" s="33" t="n">
        <f aca="false">D5431*INDEX(Products!$D$2:$D$49,MATCH(C5431,Products!$A$2:$A$49,0))*(1+INDEX(Assumptions!$B$16:$B$20,MATCH(B5431,Assumptions!$A$16:$A$20,0)))</f>
        <v>9502.32</v>
      </c>
      <c r="J5431" s="33" t="n">
        <f aca="false">H5431-I5431</f>
        <v>3417.68</v>
      </c>
      <c r="K5431" s="33" t="n">
        <f aca="false">IF(OR(E5431=0,E5431&gt;=7),0,D5431/(7-E5431)*E5431*INDEX(Products!$E$2:$E$49,MATCH(C5431,Products!$A$2:$A$49,0)))</f>
        <v>0</v>
      </c>
    </row>
    <row r="5432" customFormat="false" ht="15" hidden="false" customHeight="false" outlineLevel="0" collapsed="false">
      <c r="A5432" s="36" t="n">
        <v>46153</v>
      </c>
      <c r="B5432" s="24" t="s">
        <v>65</v>
      </c>
      <c r="C5432" s="24" t="s">
        <v>165</v>
      </c>
      <c r="D5432" s="33" t="n">
        <v>61</v>
      </c>
      <c r="E5432" s="24" t="n">
        <v>0</v>
      </c>
      <c r="F5432" s="37" t="n">
        <f aca="false">DATE(YEAR(A5432),MONTH(A5432),1)</f>
        <v>46143</v>
      </c>
      <c r="G5432" s="24" t="str">
        <f aca="false">INDEX(Products!$C$2:$C$49,MATCH(C5432,Products!$A$2:$A$49,0))</f>
        <v>Household</v>
      </c>
      <c r="H5432" s="33" t="n">
        <f aca="false">D5432*INDEX(Products!$E$2:$E$49,MATCH(C5432,Products!$A$2:$A$49,0))</f>
        <v>11590</v>
      </c>
      <c r="I5432" s="33" t="n">
        <f aca="false">D5432*INDEX(Products!$D$2:$D$49,MATCH(C5432,Products!$A$2:$A$49,0))*(1+INDEX(Assumptions!$B$16:$B$20,MATCH(B5432,Assumptions!$A$16:$A$20,0)))</f>
        <v>8524.14</v>
      </c>
      <c r="J5432" s="33" t="n">
        <f aca="false">H5432-I5432</f>
        <v>3065.86</v>
      </c>
      <c r="K5432" s="33" t="n">
        <f aca="false">IF(OR(E5432=0,E5432&gt;=7),0,D5432/(7-E5432)*E5432*INDEX(Products!$E$2:$E$49,MATCH(C5432,Products!$A$2:$A$49,0)))</f>
        <v>0</v>
      </c>
    </row>
    <row r="5433" customFormat="false" ht="15" hidden="false" customHeight="false" outlineLevel="0" collapsed="false">
      <c r="A5433" s="36" t="n">
        <v>46160</v>
      </c>
      <c r="B5433" s="24" t="s">
        <v>65</v>
      </c>
      <c r="C5433" s="24" t="s">
        <v>165</v>
      </c>
      <c r="D5433" s="33" t="n">
        <v>71</v>
      </c>
      <c r="E5433" s="24" t="n">
        <v>0</v>
      </c>
      <c r="F5433" s="37" t="n">
        <f aca="false">DATE(YEAR(A5433),MONTH(A5433),1)</f>
        <v>46143</v>
      </c>
      <c r="G5433" s="24" t="str">
        <f aca="false">INDEX(Products!$C$2:$C$49,MATCH(C5433,Products!$A$2:$A$49,0))</f>
        <v>Household</v>
      </c>
      <c r="H5433" s="33" t="n">
        <f aca="false">D5433*INDEX(Products!$E$2:$E$49,MATCH(C5433,Products!$A$2:$A$49,0))</f>
        <v>13490</v>
      </c>
      <c r="I5433" s="33" t="n">
        <f aca="false">D5433*INDEX(Products!$D$2:$D$49,MATCH(C5433,Products!$A$2:$A$49,0))*(1+INDEX(Assumptions!$B$16:$B$20,MATCH(B5433,Assumptions!$A$16:$A$20,0)))</f>
        <v>9921.54</v>
      </c>
      <c r="J5433" s="33" t="n">
        <f aca="false">H5433-I5433</f>
        <v>3568.46</v>
      </c>
      <c r="K5433" s="33" t="n">
        <f aca="false">IF(OR(E5433=0,E5433&gt;=7),0,D5433/(7-E5433)*E5433*INDEX(Products!$E$2:$E$49,MATCH(C5433,Products!$A$2:$A$49,0)))</f>
        <v>0</v>
      </c>
    </row>
    <row r="5434" customFormat="false" ht="15" hidden="false" customHeight="false" outlineLevel="0" collapsed="false">
      <c r="A5434" s="36" t="n">
        <v>46167</v>
      </c>
      <c r="B5434" s="24" t="s">
        <v>65</v>
      </c>
      <c r="C5434" s="24" t="s">
        <v>165</v>
      </c>
      <c r="D5434" s="33" t="n">
        <v>85</v>
      </c>
      <c r="E5434" s="24" t="n">
        <v>0</v>
      </c>
      <c r="F5434" s="37" t="n">
        <f aca="false">DATE(YEAR(A5434),MONTH(A5434),1)</f>
        <v>46143</v>
      </c>
      <c r="G5434" s="24" t="str">
        <f aca="false">INDEX(Products!$C$2:$C$49,MATCH(C5434,Products!$A$2:$A$49,0))</f>
        <v>Household</v>
      </c>
      <c r="H5434" s="33" t="n">
        <f aca="false">D5434*INDEX(Products!$E$2:$E$49,MATCH(C5434,Products!$A$2:$A$49,0))</f>
        <v>16150</v>
      </c>
      <c r="I5434" s="33" t="n">
        <f aca="false">D5434*INDEX(Products!$D$2:$D$49,MATCH(C5434,Products!$A$2:$A$49,0))*(1+INDEX(Assumptions!$B$16:$B$20,MATCH(B5434,Assumptions!$A$16:$A$20,0)))</f>
        <v>11877.9</v>
      </c>
      <c r="J5434" s="33" t="n">
        <f aca="false">H5434-I5434</f>
        <v>4272.1</v>
      </c>
      <c r="K5434" s="33" t="n">
        <f aca="false">IF(OR(E5434=0,E5434&gt;=7),0,D5434/(7-E5434)*E5434*INDEX(Products!$E$2:$E$49,MATCH(C5434,Products!$A$2:$A$49,0)))</f>
        <v>0</v>
      </c>
    </row>
    <row r="5435" customFormat="false" ht="15" hidden="false" customHeight="false" outlineLevel="0" collapsed="false">
      <c r="A5435" s="36" t="n">
        <v>46174</v>
      </c>
      <c r="B5435" s="24" t="s">
        <v>65</v>
      </c>
      <c r="C5435" s="24" t="s">
        <v>165</v>
      </c>
      <c r="D5435" s="33" t="n">
        <v>66</v>
      </c>
      <c r="E5435" s="24" t="n">
        <v>0</v>
      </c>
      <c r="F5435" s="37" t="n">
        <f aca="false">DATE(YEAR(A5435),MONTH(A5435),1)</f>
        <v>46174</v>
      </c>
      <c r="G5435" s="24" t="str">
        <f aca="false">INDEX(Products!$C$2:$C$49,MATCH(C5435,Products!$A$2:$A$49,0))</f>
        <v>Household</v>
      </c>
      <c r="H5435" s="33" t="n">
        <f aca="false">D5435*INDEX(Products!$E$2:$E$49,MATCH(C5435,Products!$A$2:$A$49,0))</f>
        <v>12540</v>
      </c>
      <c r="I5435" s="33" t="n">
        <f aca="false">D5435*INDEX(Products!$D$2:$D$49,MATCH(C5435,Products!$A$2:$A$49,0))*(1+INDEX(Assumptions!$B$16:$B$20,MATCH(B5435,Assumptions!$A$16:$A$20,0)))</f>
        <v>9222.84</v>
      </c>
      <c r="J5435" s="33" t="n">
        <f aca="false">H5435-I5435</f>
        <v>3317.16</v>
      </c>
      <c r="K5435" s="33" t="n">
        <f aca="false">IF(OR(E5435=0,E5435&gt;=7),0,D5435/(7-E5435)*E5435*INDEX(Products!$E$2:$E$49,MATCH(C5435,Products!$A$2:$A$49,0)))</f>
        <v>0</v>
      </c>
    </row>
    <row r="5436" customFormat="false" ht="15" hidden="false" customHeight="false" outlineLevel="0" collapsed="false">
      <c r="A5436" s="36" t="n">
        <v>46181</v>
      </c>
      <c r="B5436" s="24" t="s">
        <v>65</v>
      </c>
      <c r="C5436" s="24" t="s">
        <v>165</v>
      </c>
      <c r="D5436" s="33" t="n">
        <v>64</v>
      </c>
      <c r="E5436" s="24" t="n">
        <v>0</v>
      </c>
      <c r="F5436" s="37" t="n">
        <f aca="false">DATE(YEAR(A5436),MONTH(A5436),1)</f>
        <v>46174</v>
      </c>
      <c r="G5436" s="24" t="str">
        <f aca="false">INDEX(Products!$C$2:$C$49,MATCH(C5436,Products!$A$2:$A$49,0))</f>
        <v>Household</v>
      </c>
      <c r="H5436" s="33" t="n">
        <f aca="false">D5436*INDEX(Products!$E$2:$E$49,MATCH(C5436,Products!$A$2:$A$49,0))</f>
        <v>12160</v>
      </c>
      <c r="I5436" s="33" t="n">
        <f aca="false">D5436*INDEX(Products!$D$2:$D$49,MATCH(C5436,Products!$A$2:$A$49,0))*(1+INDEX(Assumptions!$B$16:$B$20,MATCH(B5436,Assumptions!$A$16:$A$20,0)))</f>
        <v>8943.36</v>
      </c>
      <c r="J5436" s="33" t="n">
        <f aca="false">H5436-I5436</f>
        <v>3216.64</v>
      </c>
      <c r="K5436" s="33" t="n">
        <f aca="false">IF(OR(E5436=0,E5436&gt;=7),0,D5436/(7-E5436)*E5436*INDEX(Products!$E$2:$E$49,MATCH(C5436,Products!$A$2:$A$49,0)))</f>
        <v>0</v>
      </c>
    </row>
    <row r="5437" customFormat="false" ht="15" hidden="false" customHeight="false" outlineLevel="0" collapsed="false">
      <c r="A5437" s="36" t="n">
        <v>46188</v>
      </c>
      <c r="B5437" s="24" t="s">
        <v>65</v>
      </c>
      <c r="C5437" s="24" t="s">
        <v>165</v>
      </c>
      <c r="D5437" s="33" t="n">
        <v>69</v>
      </c>
      <c r="E5437" s="24" t="n">
        <v>0</v>
      </c>
      <c r="F5437" s="37" t="n">
        <f aca="false">DATE(YEAR(A5437),MONTH(A5437),1)</f>
        <v>46174</v>
      </c>
      <c r="G5437" s="24" t="str">
        <f aca="false">INDEX(Products!$C$2:$C$49,MATCH(C5437,Products!$A$2:$A$49,0))</f>
        <v>Household</v>
      </c>
      <c r="H5437" s="33" t="n">
        <f aca="false">D5437*INDEX(Products!$E$2:$E$49,MATCH(C5437,Products!$A$2:$A$49,0))</f>
        <v>13110</v>
      </c>
      <c r="I5437" s="33" t="n">
        <f aca="false">D5437*INDEX(Products!$D$2:$D$49,MATCH(C5437,Products!$A$2:$A$49,0))*(1+INDEX(Assumptions!$B$16:$B$20,MATCH(B5437,Assumptions!$A$16:$A$20,0)))</f>
        <v>9642.06</v>
      </c>
      <c r="J5437" s="33" t="n">
        <f aca="false">H5437-I5437</f>
        <v>3467.94</v>
      </c>
      <c r="K5437" s="33" t="n">
        <f aca="false">IF(OR(E5437=0,E5437&gt;=7),0,D5437/(7-E5437)*E5437*INDEX(Products!$E$2:$E$49,MATCH(C5437,Products!$A$2:$A$49,0)))</f>
        <v>0</v>
      </c>
    </row>
    <row r="5438" customFormat="false" ht="15" hidden="false" customHeight="false" outlineLevel="0" collapsed="false">
      <c r="A5438" s="36" t="n">
        <v>46195</v>
      </c>
      <c r="B5438" s="24" t="s">
        <v>65</v>
      </c>
      <c r="C5438" s="24" t="s">
        <v>165</v>
      </c>
      <c r="D5438" s="33" t="n">
        <v>61</v>
      </c>
      <c r="E5438" s="24" t="n">
        <v>0</v>
      </c>
      <c r="F5438" s="37" t="n">
        <f aca="false">DATE(YEAR(A5438),MONTH(A5438),1)</f>
        <v>46174</v>
      </c>
      <c r="G5438" s="24" t="str">
        <f aca="false">INDEX(Products!$C$2:$C$49,MATCH(C5438,Products!$A$2:$A$49,0))</f>
        <v>Household</v>
      </c>
      <c r="H5438" s="33" t="n">
        <f aca="false">D5438*INDEX(Products!$E$2:$E$49,MATCH(C5438,Products!$A$2:$A$49,0))</f>
        <v>11590</v>
      </c>
      <c r="I5438" s="33" t="n">
        <f aca="false">D5438*INDEX(Products!$D$2:$D$49,MATCH(C5438,Products!$A$2:$A$49,0))*(1+INDEX(Assumptions!$B$16:$B$20,MATCH(B5438,Assumptions!$A$16:$A$20,0)))</f>
        <v>8524.14</v>
      </c>
      <c r="J5438" s="33" t="n">
        <f aca="false">H5438-I5438</f>
        <v>3065.86</v>
      </c>
      <c r="K5438" s="33" t="n">
        <f aca="false">IF(OR(E5438=0,E5438&gt;=7),0,D5438/(7-E5438)*E5438*INDEX(Products!$E$2:$E$49,MATCH(C5438,Products!$A$2:$A$49,0)))</f>
        <v>0</v>
      </c>
    </row>
    <row r="5439" customFormat="false" ht="15" hidden="false" customHeight="false" outlineLevel="0" collapsed="false">
      <c r="A5439" s="36" t="n">
        <v>46202</v>
      </c>
      <c r="B5439" s="24" t="s">
        <v>65</v>
      </c>
      <c r="C5439" s="24" t="s">
        <v>165</v>
      </c>
      <c r="D5439" s="33" t="n">
        <v>54</v>
      </c>
      <c r="E5439" s="24" t="n">
        <v>0</v>
      </c>
      <c r="F5439" s="37" t="n">
        <f aca="false">DATE(YEAR(A5439),MONTH(A5439),1)</f>
        <v>46174</v>
      </c>
      <c r="G5439" s="24" t="str">
        <f aca="false">INDEX(Products!$C$2:$C$49,MATCH(C5439,Products!$A$2:$A$49,0))</f>
        <v>Household</v>
      </c>
      <c r="H5439" s="33" t="n">
        <f aca="false">D5439*INDEX(Products!$E$2:$E$49,MATCH(C5439,Products!$A$2:$A$49,0))</f>
        <v>10260</v>
      </c>
      <c r="I5439" s="33" t="n">
        <f aca="false">D5439*INDEX(Products!$D$2:$D$49,MATCH(C5439,Products!$A$2:$A$49,0))*(1+INDEX(Assumptions!$B$16:$B$20,MATCH(B5439,Assumptions!$A$16:$A$20,0)))</f>
        <v>7545.96</v>
      </c>
      <c r="J5439" s="33" t="n">
        <f aca="false">H5439-I5439</f>
        <v>2714.04</v>
      </c>
      <c r="K5439" s="33" t="n">
        <f aca="false">IF(OR(E5439=0,E5439&gt;=7),0,D5439/(7-E5439)*E5439*INDEX(Products!$E$2:$E$49,MATCH(C5439,Products!$A$2:$A$49,0)))</f>
        <v>0</v>
      </c>
    </row>
    <row r="5440" customFormat="false" ht="15" hidden="false" customHeight="false" outlineLevel="0" collapsed="false">
      <c r="A5440" s="36" t="n">
        <v>46209</v>
      </c>
      <c r="B5440" s="24" t="s">
        <v>65</v>
      </c>
      <c r="C5440" s="24" t="s">
        <v>165</v>
      </c>
      <c r="D5440" s="33" t="n">
        <v>62</v>
      </c>
      <c r="E5440" s="24" t="n">
        <v>0</v>
      </c>
      <c r="F5440" s="37" t="n">
        <f aca="false">DATE(YEAR(A5440),MONTH(A5440),1)</f>
        <v>46204</v>
      </c>
      <c r="G5440" s="24" t="str">
        <f aca="false">INDEX(Products!$C$2:$C$49,MATCH(C5440,Products!$A$2:$A$49,0))</f>
        <v>Household</v>
      </c>
      <c r="H5440" s="33" t="n">
        <f aca="false">D5440*INDEX(Products!$E$2:$E$49,MATCH(C5440,Products!$A$2:$A$49,0))</f>
        <v>11780</v>
      </c>
      <c r="I5440" s="33" t="n">
        <f aca="false">D5440*INDEX(Products!$D$2:$D$49,MATCH(C5440,Products!$A$2:$A$49,0))*(1+INDEX(Assumptions!$B$16:$B$20,MATCH(B5440,Assumptions!$A$16:$A$20,0)))</f>
        <v>8663.88</v>
      </c>
      <c r="J5440" s="33" t="n">
        <f aca="false">H5440-I5440</f>
        <v>3116.12</v>
      </c>
      <c r="K5440" s="33" t="n">
        <f aca="false">IF(OR(E5440=0,E5440&gt;=7),0,D5440/(7-E5440)*E5440*INDEX(Products!$E$2:$E$49,MATCH(C5440,Products!$A$2:$A$49,0)))</f>
        <v>0</v>
      </c>
    </row>
    <row r="5441" customFormat="false" ht="15" hidden="false" customHeight="false" outlineLevel="0" collapsed="false">
      <c r="A5441" s="36" t="n">
        <v>46216</v>
      </c>
      <c r="B5441" s="24" t="s">
        <v>65</v>
      </c>
      <c r="C5441" s="24" t="s">
        <v>165</v>
      </c>
      <c r="D5441" s="33" t="n">
        <v>61</v>
      </c>
      <c r="E5441" s="24" t="n">
        <v>0</v>
      </c>
      <c r="F5441" s="37" t="n">
        <f aca="false">DATE(YEAR(A5441),MONTH(A5441),1)</f>
        <v>46204</v>
      </c>
      <c r="G5441" s="24" t="str">
        <f aca="false">INDEX(Products!$C$2:$C$49,MATCH(C5441,Products!$A$2:$A$49,0))</f>
        <v>Household</v>
      </c>
      <c r="H5441" s="33" t="n">
        <f aca="false">D5441*INDEX(Products!$E$2:$E$49,MATCH(C5441,Products!$A$2:$A$49,0))</f>
        <v>11590</v>
      </c>
      <c r="I5441" s="33" t="n">
        <f aca="false">D5441*INDEX(Products!$D$2:$D$49,MATCH(C5441,Products!$A$2:$A$49,0))*(1+INDEX(Assumptions!$B$16:$B$20,MATCH(B5441,Assumptions!$A$16:$A$20,0)))</f>
        <v>8524.14</v>
      </c>
      <c r="J5441" s="33" t="n">
        <f aca="false">H5441-I5441</f>
        <v>3065.86</v>
      </c>
      <c r="K5441" s="33" t="n">
        <f aca="false">IF(OR(E5441=0,E5441&gt;=7),0,D5441/(7-E5441)*E5441*INDEX(Products!$E$2:$E$49,MATCH(C5441,Products!$A$2:$A$49,0)))</f>
        <v>0</v>
      </c>
    </row>
    <row r="5442" customFormat="false" ht="15" hidden="false" customHeight="false" outlineLevel="0" collapsed="false">
      <c r="A5442" s="36" t="n">
        <v>46223</v>
      </c>
      <c r="B5442" s="24" t="s">
        <v>65</v>
      </c>
      <c r="C5442" s="24" t="s">
        <v>165</v>
      </c>
      <c r="D5442" s="33" t="n">
        <v>55</v>
      </c>
      <c r="E5442" s="24" t="n">
        <v>0</v>
      </c>
      <c r="F5442" s="37" t="n">
        <f aca="false">DATE(YEAR(A5442),MONTH(A5442),1)</f>
        <v>46204</v>
      </c>
      <c r="G5442" s="24" t="str">
        <f aca="false">INDEX(Products!$C$2:$C$49,MATCH(C5442,Products!$A$2:$A$49,0))</f>
        <v>Household</v>
      </c>
      <c r="H5442" s="33" t="n">
        <f aca="false">D5442*INDEX(Products!$E$2:$E$49,MATCH(C5442,Products!$A$2:$A$49,0))</f>
        <v>10450</v>
      </c>
      <c r="I5442" s="33" t="n">
        <f aca="false">D5442*INDEX(Products!$D$2:$D$49,MATCH(C5442,Products!$A$2:$A$49,0))*(1+INDEX(Assumptions!$B$16:$B$20,MATCH(B5442,Assumptions!$A$16:$A$20,0)))</f>
        <v>7685.7</v>
      </c>
      <c r="J5442" s="33" t="n">
        <f aca="false">H5442-I5442</f>
        <v>2764.3</v>
      </c>
      <c r="K5442" s="33" t="n">
        <f aca="false">IF(OR(E5442=0,E5442&gt;=7),0,D5442/(7-E5442)*E5442*INDEX(Products!$E$2:$E$49,MATCH(C5442,Products!$A$2:$A$49,0)))</f>
        <v>0</v>
      </c>
    </row>
    <row r="5443" customFormat="false" ht="15" hidden="false" customHeight="false" outlineLevel="0" collapsed="false">
      <c r="A5443" s="36" t="n">
        <v>46230</v>
      </c>
      <c r="B5443" s="24" t="s">
        <v>65</v>
      </c>
      <c r="C5443" s="24" t="s">
        <v>165</v>
      </c>
      <c r="D5443" s="33" t="n">
        <v>67</v>
      </c>
      <c r="E5443" s="24" t="n">
        <v>0</v>
      </c>
      <c r="F5443" s="37" t="n">
        <f aca="false">DATE(YEAR(A5443),MONTH(A5443),1)</f>
        <v>46204</v>
      </c>
      <c r="G5443" s="24" t="str">
        <f aca="false">INDEX(Products!$C$2:$C$49,MATCH(C5443,Products!$A$2:$A$49,0))</f>
        <v>Household</v>
      </c>
      <c r="H5443" s="33" t="n">
        <f aca="false">D5443*INDEX(Products!$E$2:$E$49,MATCH(C5443,Products!$A$2:$A$49,0))</f>
        <v>12730</v>
      </c>
      <c r="I5443" s="33" t="n">
        <f aca="false">D5443*INDEX(Products!$D$2:$D$49,MATCH(C5443,Products!$A$2:$A$49,0))*(1+INDEX(Assumptions!$B$16:$B$20,MATCH(B5443,Assumptions!$A$16:$A$20,0)))</f>
        <v>9362.58</v>
      </c>
      <c r="J5443" s="33" t="n">
        <f aca="false">H5443-I5443</f>
        <v>3367.42</v>
      </c>
      <c r="K5443" s="33" t="n">
        <f aca="false">IF(OR(E5443=0,E5443&gt;=7),0,D5443/(7-E5443)*E5443*INDEX(Products!$E$2:$E$49,MATCH(C5443,Products!$A$2:$A$49,0)))</f>
        <v>0</v>
      </c>
    </row>
    <row r="5444" customFormat="false" ht="15" hidden="false" customHeight="false" outlineLevel="0" collapsed="false">
      <c r="A5444" s="36" t="n">
        <v>46237</v>
      </c>
      <c r="B5444" s="24" t="s">
        <v>65</v>
      </c>
      <c r="C5444" s="24" t="s">
        <v>165</v>
      </c>
      <c r="D5444" s="33" t="n">
        <v>56</v>
      </c>
      <c r="E5444" s="24" t="n">
        <v>0</v>
      </c>
      <c r="F5444" s="37" t="n">
        <f aca="false">DATE(YEAR(A5444),MONTH(A5444),1)</f>
        <v>46235</v>
      </c>
      <c r="G5444" s="24" t="str">
        <f aca="false">INDEX(Products!$C$2:$C$49,MATCH(C5444,Products!$A$2:$A$49,0))</f>
        <v>Household</v>
      </c>
      <c r="H5444" s="33" t="n">
        <f aca="false">D5444*INDEX(Products!$E$2:$E$49,MATCH(C5444,Products!$A$2:$A$49,0))</f>
        <v>10640</v>
      </c>
      <c r="I5444" s="33" t="n">
        <f aca="false">D5444*INDEX(Products!$D$2:$D$49,MATCH(C5444,Products!$A$2:$A$49,0))*(1+INDEX(Assumptions!$B$16:$B$20,MATCH(B5444,Assumptions!$A$16:$A$20,0)))</f>
        <v>7825.44</v>
      </c>
      <c r="J5444" s="33" t="n">
        <f aca="false">H5444-I5444</f>
        <v>2814.56</v>
      </c>
      <c r="K5444" s="33" t="n">
        <f aca="false">IF(OR(E5444=0,E5444&gt;=7),0,D5444/(7-E5444)*E5444*INDEX(Products!$E$2:$E$49,MATCH(C5444,Products!$A$2:$A$49,0)))</f>
        <v>0</v>
      </c>
    </row>
    <row r="5445" customFormat="false" ht="15" hidden="false" customHeight="false" outlineLevel="0" collapsed="false">
      <c r="A5445" s="36" t="n">
        <v>46244</v>
      </c>
      <c r="B5445" s="24" t="s">
        <v>65</v>
      </c>
      <c r="C5445" s="24" t="s">
        <v>165</v>
      </c>
      <c r="D5445" s="33" t="n">
        <v>70</v>
      </c>
      <c r="E5445" s="24" t="n">
        <v>0</v>
      </c>
      <c r="F5445" s="37" t="n">
        <f aca="false">DATE(YEAR(A5445),MONTH(A5445),1)</f>
        <v>46235</v>
      </c>
      <c r="G5445" s="24" t="str">
        <f aca="false">INDEX(Products!$C$2:$C$49,MATCH(C5445,Products!$A$2:$A$49,0))</f>
        <v>Household</v>
      </c>
      <c r="H5445" s="33" t="n">
        <f aca="false">D5445*INDEX(Products!$E$2:$E$49,MATCH(C5445,Products!$A$2:$A$49,0))</f>
        <v>13300</v>
      </c>
      <c r="I5445" s="33" t="n">
        <f aca="false">D5445*INDEX(Products!$D$2:$D$49,MATCH(C5445,Products!$A$2:$A$49,0))*(1+INDEX(Assumptions!$B$16:$B$20,MATCH(B5445,Assumptions!$A$16:$A$20,0)))</f>
        <v>9781.8</v>
      </c>
      <c r="J5445" s="33" t="n">
        <f aca="false">H5445-I5445</f>
        <v>3518.2</v>
      </c>
      <c r="K5445" s="33" t="n">
        <f aca="false">IF(OR(E5445=0,E5445&gt;=7),0,D5445/(7-E5445)*E5445*INDEX(Products!$E$2:$E$49,MATCH(C5445,Products!$A$2:$A$49,0)))</f>
        <v>0</v>
      </c>
    </row>
    <row r="5446" customFormat="false" ht="15" hidden="false" customHeight="false" outlineLevel="0" collapsed="false">
      <c r="A5446" s="36" t="n">
        <v>46251</v>
      </c>
      <c r="B5446" s="24" t="s">
        <v>65</v>
      </c>
      <c r="C5446" s="24" t="s">
        <v>165</v>
      </c>
      <c r="D5446" s="33" t="n">
        <v>57</v>
      </c>
      <c r="E5446" s="24" t="n">
        <v>0</v>
      </c>
      <c r="F5446" s="37" t="n">
        <f aca="false">DATE(YEAR(A5446),MONTH(A5446),1)</f>
        <v>46235</v>
      </c>
      <c r="G5446" s="24" t="str">
        <f aca="false">INDEX(Products!$C$2:$C$49,MATCH(C5446,Products!$A$2:$A$49,0))</f>
        <v>Household</v>
      </c>
      <c r="H5446" s="33" t="n">
        <f aca="false">D5446*INDEX(Products!$E$2:$E$49,MATCH(C5446,Products!$A$2:$A$49,0))</f>
        <v>10830</v>
      </c>
      <c r="I5446" s="33" t="n">
        <f aca="false">D5446*INDEX(Products!$D$2:$D$49,MATCH(C5446,Products!$A$2:$A$49,0))*(1+INDEX(Assumptions!$B$16:$B$20,MATCH(B5446,Assumptions!$A$16:$A$20,0)))</f>
        <v>7965.18</v>
      </c>
      <c r="J5446" s="33" t="n">
        <f aca="false">H5446-I5446</f>
        <v>2864.82</v>
      </c>
      <c r="K5446" s="33" t="n">
        <f aca="false">IF(OR(E5446=0,E5446&gt;=7),0,D5446/(7-E5446)*E5446*INDEX(Products!$E$2:$E$49,MATCH(C5446,Products!$A$2:$A$49,0)))</f>
        <v>0</v>
      </c>
    </row>
    <row r="5447" customFormat="false" ht="15" hidden="false" customHeight="false" outlineLevel="0" collapsed="false">
      <c r="A5447" s="36" t="n">
        <v>46258</v>
      </c>
      <c r="B5447" s="24" t="s">
        <v>65</v>
      </c>
      <c r="C5447" s="24" t="s">
        <v>165</v>
      </c>
      <c r="D5447" s="33" t="n">
        <v>58</v>
      </c>
      <c r="E5447" s="24" t="n">
        <v>0</v>
      </c>
      <c r="F5447" s="37" t="n">
        <f aca="false">DATE(YEAR(A5447),MONTH(A5447),1)</f>
        <v>46235</v>
      </c>
      <c r="G5447" s="24" t="str">
        <f aca="false">INDEX(Products!$C$2:$C$49,MATCH(C5447,Products!$A$2:$A$49,0))</f>
        <v>Household</v>
      </c>
      <c r="H5447" s="33" t="n">
        <f aca="false">D5447*INDEX(Products!$E$2:$E$49,MATCH(C5447,Products!$A$2:$A$49,0))</f>
        <v>11020</v>
      </c>
      <c r="I5447" s="33" t="n">
        <f aca="false">D5447*INDEX(Products!$D$2:$D$49,MATCH(C5447,Products!$A$2:$A$49,0))*(1+INDEX(Assumptions!$B$16:$B$20,MATCH(B5447,Assumptions!$A$16:$A$20,0)))</f>
        <v>8104.92</v>
      </c>
      <c r="J5447" s="33" t="n">
        <f aca="false">H5447-I5447</f>
        <v>2915.08</v>
      </c>
      <c r="K5447" s="33" t="n">
        <f aca="false">IF(OR(E5447=0,E5447&gt;=7),0,D5447/(7-E5447)*E5447*INDEX(Products!$E$2:$E$49,MATCH(C5447,Products!$A$2:$A$49,0)))</f>
        <v>0</v>
      </c>
    </row>
    <row r="5448" customFormat="false" ht="15" hidden="false" customHeight="false" outlineLevel="0" collapsed="false">
      <c r="A5448" s="36" t="n">
        <v>46265</v>
      </c>
      <c r="B5448" s="24" t="s">
        <v>65</v>
      </c>
      <c r="C5448" s="24" t="s">
        <v>165</v>
      </c>
      <c r="D5448" s="33" t="n">
        <v>67</v>
      </c>
      <c r="E5448" s="24" t="n">
        <v>0</v>
      </c>
      <c r="F5448" s="37" t="n">
        <f aca="false">DATE(YEAR(A5448),MONTH(A5448),1)</f>
        <v>46235</v>
      </c>
      <c r="G5448" s="24" t="str">
        <f aca="false">INDEX(Products!$C$2:$C$49,MATCH(C5448,Products!$A$2:$A$49,0))</f>
        <v>Household</v>
      </c>
      <c r="H5448" s="33" t="n">
        <f aca="false">D5448*INDEX(Products!$E$2:$E$49,MATCH(C5448,Products!$A$2:$A$49,0))</f>
        <v>12730</v>
      </c>
      <c r="I5448" s="33" t="n">
        <f aca="false">D5448*INDEX(Products!$D$2:$D$49,MATCH(C5448,Products!$A$2:$A$49,0))*(1+INDEX(Assumptions!$B$16:$B$20,MATCH(B5448,Assumptions!$A$16:$A$20,0)))</f>
        <v>9362.58</v>
      </c>
      <c r="J5448" s="33" t="n">
        <f aca="false">H5448-I5448</f>
        <v>3367.42</v>
      </c>
      <c r="K5448" s="33" t="n">
        <f aca="false">IF(OR(E5448=0,E5448&gt;=7),0,D5448/(7-E5448)*E5448*INDEX(Products!$E$2:$E$49,MATCH(C5448,Products!$A$2:$A$49,0)))</f>
        <v>0</v>
      </c>
    </row>
    <row r="5449" customFormat="false" ht="15" hidden="false" customHeight="false" outlineLevel="0" collapsed="false">
      <c r="A5449" s="36" t="n">
        <v>46272</v>
      </c>
      <c r="B5449" s="24" t="s">
        <v>65</v>
      </c>
      <c r="C5449" s="24" t="s">
        <v>165</v>
      </c>
      <c r="D5449" s="33" t="n">
        <v>56</v>
      </c>
      <c r="E5449" s="24" t="n">
        <v>0</v>
      </c>
      <c r="F5449" s="37" t="n">
        <f aca="false">DATE(YEAR(A5449),MONTH(A5449),1)</f>
        <v>46266</v>
      </c>
      <c r="G5449" s="24" t="str">
        <f aca="false">INDEX(Products!$C$2:$C$49,MATCH(C5449,Products!$A$2:$A$49,0))</f>
        <v>Household</v>
      </c>
      <c r="H5449" s="33" t="n">
        <f aca="false">D5449*INDEX(Products!$E$2:$E$49,MATCH(C5449,Products!$A$2:$A$49,0))</f>
        <v>10640</v>
      </c>
      <c r="I5449" s="33" t="n">
        <f aca="false">D5449*INDEX(Products!$D$2:$D$49,MATCH(C5449,Products!$A$2:$A$49,0))*(1+INDEX(Assumptions!$B$16:$B$20,MATCH(B5449,Assumptions!$A$16:$A$20,0)))</f>
        <v>7825.44</v>
      </c>
      <c r="J5449" s="33" t="n">
        <f aca="false">H5449-I5449</f>
        <v>2814.56</v>
      </c>
      <c r="K5449" s="33" t="n">
        <f aca="false">IF(OR(E5449=0,E5449&gt;=7),0,D5449/(7-E5449)*E5449*INDEX(Products!$E$2:$E$49,MATCH(C5449,Products!$A$2:$A$49,0)))</f>
        <v>0</v>
      </c>
    </row>
    <row r="5450" customFormat="false" ht="15" hidden="false" customHeight="false" outlineLevel="0" collapsed="false">
      <c r="A5450" s="36" t="n">
        <v>46279</v>
      </c>
      <c r="B5450" s="24" t="s">
        <v>65</v>
      </c>
      <c r="C5450" s="24" t="s">
        <v>165</v>
      </c>
      <c r="D5450" s="33" t="n">
        <v>56</v>
      </c>
      <c r="E5450" s="24" t="n">
        <v>0</v>
      </c>
      <c r="F5450" s="37" t="n">
        <f aca="false">DATE(YEAR(A5450),MONTH(A5450),1)</f>
        <v>46266</v>
      </c>
      <c r="G5450" s="24" t="str">
        <f aca="false">INDEX(Products!$C$2:$C$49,MATCH(C5450,Products!$A$2:$A$49,0))</f>
        <v>Household</v>
      </c>
      <c r="H5450" s="33" t="n">
        <f aca="false">D5450*INDEX(Products!$E$2:$E$49,MATCH(C5450,Products!$A$2:$A$49,0))</f>
        <v>10640</v>
      </c>
      <c r="I5450" s="33" t="n">
        <f aca="false">D5450*INDEX(Products!$D$2:$D$49,MATCH(C5450,Products!$A$2:$A$49,0))*(1+INDEX(Assumptions!$B$16:$B$20,MATCH(B5450,Assumptions!$A$16:$A$20,0)))</f>
        <v>7825.44</v>
      </c>
      <c r="J5450" s="33" t="n">
        <f aca="false">H5450-I5450</f>
        <v>2814.56</v>
      </c>
      <c r="K5450" s="33" t="n">
        <f aca="false">IF(OR(E5450=0,E5450&gt;=7),0,D5450/(7-E5450)*E5450*INDEX(Products!$E$2:$E$49,MATCH(C5450,Products!$A$2:$A$49,0)))</f>
        <v>0</v>
      </c>
    </row>
    <row r="5451" customFormat="false" ht="15" hidden="false" customHeight="false" outlineLevel="0" collapsed="false">
      <c r="A5451" s="36" t="n">
        <v>46286</v>
      </c>
      <c r="B5451" s="24" t="s">
        <v>65</v>
      </c>
      <c r="C5451" s="24" t="s">
        <v>165</v>
      </c>
      <c r="D5451" s="33" t="n">
        <v>60</v>
      </c>
      <c r="E5451" s="24" t="n">
        <v>0</v>
      </c>
      <c r="F5451" s="37" t="n">
        <f aca="false">DATE(YEAR(A5451),MONTH(A5451),1)</f>
        <v>46266</v>
      </c>
      <c r="G5451" s="24" t="str">
        <f aca="false">INDEX(Products!$C$2:$C$49,MATCH(C5451,Products!$A$2:$A$49,0))</f>
        <v>Household</v>
      </c>
      <c r="H5451" s="33" t="n">
        <f aca="false">D5451*INDEX(Products!$E$2:$E$49,MATCH(C5451,Products!$A$2:$A$49,0))</f>
        <v>11400</v>
      </c>
      <c r="I5451" s="33" t="n">
        <f aca="false">D5451*INDEX(Products!$D$2:$D$49,MATCH(C5451,Products!$A$2:$A$49,0))*(1+INDEX(Assumptions!$B$16:$B$20,MATCH(B5451,Assumptions!$A$16:$A$20,0)))</f>
        <v>8384.4</v>
      </c>
      <c r="J5451" s="33" t="n">
        <f aca="false">H5451-I5451</f>
        <v>3015.6</v>
      </c>
      <c r="K5451" s="33" t="n">
        <f aca="false">IF(OR(E5451=0,E5451&gt;=7),0,D5451/(7-E5451)*E5451*INDEX(Products!$E$2:$E$49,MATCH(C5451,Products!$A$2:$A$49,0)))</f>
        <v>0</v>
      </c>
    </row>
    <row r="5452" customFormat="false" ht="15" hidden="false" customHeight="false" outlineLevel="0" collapsed="false">
      <c r="A5452" s="36" t="n">
        <v>46118</v>
      </c>
      <c r="B5452" s="24" t="s">
        <v>65</v>
      </c>
      <c r="C5452" s="24" t="s">
        <v>167</v>
      </c>
      <c r="D5452" s="33" t="n">
        <v>53</v>
      </c>
      <c r="E5452" s="24" t="n">
        <v>0</v>
      </c>
      <c r="F5452" s="37" t="n">
        <f aca="false">DATE(YEAR(A5452),MONTH(A5452),1)</f>
        <v>46113</v>
      </c>
      <c r="G5452" s="24" t="str">
        <f aca="false">INDEX(Products!$C$2:$C$49,MATCH(C5452,Products!$A$2:$A$49,0))</f>
        <v>Household</v>
      </c>
      <c r="H5452" s="33" t="n">
        <f aca="false">D5452*INDEX(Products!$E$2:$E$49,MATCH(C5452,Products!$A$2:$A$49,0))</f>
        <v>7950</v>
      </c>
      <c r="I5452" s="33" t="n">
        <f aca="false">D5452*INDEX(Products!$D$2:$D$49,MATCH(C5452,Products!$A$2:$A$49,0))*(1+INDEX(Assumptions!$B$16:$B$20,MATCH(B5452,Assumptions!$A$16:$A$20,0)))</f>
        <v>6054.72</v>
      </c>
      <c r="J5452" s="33" t="n">
        <f aca="false">H5452-I5452</f>
        <v>1895.28</v>
      </c>
      <c r="K5452" s="33" t="n">
        <f aca="false">IF(OR(E5452=0,E5452&gt;=7),0,D5452/(7-E5452)*E5452*INDEX(Products!$E$2:$E$49,MATCH(C5452,Products!$A$2:$A$49,0)))</f>
        <v>0</v>
      </c>
    </row>
    <row r="5453" customFormat="false" ht="15" hidden="false" customHeight="false" outlineLevel="0" collapsed="false">
      <c r="A5453" s="36" t="n">
        <v>46125</v>
      </c>
      <c r="B5453" s="24" t="s">
        <v>65</v>
      </c>
      <c r="C5453" s="24" t="s">
        <v>167</v>
      </c>
      <c r="D5453" s="33" t="n">
        <v>51</v>
      </c>
      <c r="E5453" s="24" t="n">
        <v>0</v>
      </c>
      <c r="F5453" s="37" t="n">
        <f aca="false">DATE(YEAR(A5453),MONTH(A5453),1)</f>
        <v>46113</v>
      </c>
      <c r="G5453" s="24" t="str">
        <f aca="false">INDEX(Products!$C$2:$C$49,MATCH(C5453,Products!$A$2:$A$49,0))</f>
        <v>Household</v>
      </c>
      <c r="H5453" s="33" t="n">
        <f aca="false">D5453*INDEX(Products!$E$2:$E$49,MATCH(C5453,Products!$A$2:$A$49,0))</f>
        <v>7650</v>
      </c>
      <c r="I5453" s="33" t="n">
        <f aca="false">D5453*INDEX(Products!$D$2:$D$49,MATCH(C5453,Products!$A$2:$A$49,0))*(1+INDEX(Assumptions!$B$16:$B$20,MATCH(B5453,Assumptions!$A$16:$A$20,0)))</f>
        <v>5826.24</v>
      </c>
      <c r="J5453" s="33" t="n">
        <f aca="false">H5453-I5453</f>
        <v>1823.76</v>
      </c>
      <c r="K5453" s="33" t="n">
        <f aca="false">IF(OR(E5453=0,E5453&gt;=7),0,D5453/(7-E5453)*E5453*INDEX(Products!$E$2:$E$49,MATCH(C5453,Products!$A$2:$A$49,0)))</f>
        <v>0</v>
      </c>
    </row>
    <row r="5454" customFormat="false" ht="15" hidden="false" customHeight="false" outlineLevel="0" collapsed="false">
      <c r="A5454" s="36" t="n">
        <v>46132</v>
      </c>
      <c r="B5454" s="24" t="s">
        <v>65</v>
      </c>
      <c r="C5454" s="24" t="s">
        <v>167</v>
      </c>
      <c r="D5454" s="33" t="n">
        <v>62</v>
      </c>
      <c r="E5454" s="24" t="n">
        <v>0</v>
      </c>
      <c r="F5454" s="37" t="n">
        <f aca="false">DATE(YEAR(A5454),MONTH(A5454),1)</f>
        <v>46113</v>
      </c>
      <c r="G5454" s="24" t="str">
        <f aca="false">INDEX(Products!$C$2:$C$49,MATCH(C5454,Products!$A$2:$A$49,0))</f>
        <v>Household</v>
      </c>
      <c r="H5454" s="33" t="n">
        <f aca="false">D5454*INDEX(Products!$E$2:$E$49,MATCH(C5454,Products!$A$2:$A$49,0))</f>
        <v>9300</v>
      </c>
      <c r="I5454" s="33" t="n">
        <f aca="false">D5454*INDEX(Products!$D$2:$D$49,MATCH(C5454,Products!$A$2:$A$49,0))*(1+INDEX(Assumptions!$B$16:$B$20,MATCH(B5454,Assumptions!$A$16:$A$20,0)))</f>
        <v>7082.88</v>
      </c>
      <c r="J5454" s="33" t="n">
        <f aca="false">H5454-I5454</f>
        <v>2217.12</v>
      </c>
      <c r="K5454" s="33" t="n">
        <f aca="false">IF(OR(E5454=0,E5454&gt;=7),0,D5454/(7-E5454)*E5454*INDEX(Products!$E$2:$E$49,MATCH(C5454,Products!$A$2:$A$49,0)))</f>
        <v>0</v>
      </c>
    </row>
    <row r="5455" customFormat="false" ht="15" hidden="false" customHeight="false" outlineLevel="0" collapsed="false">
      <c r="A5455" s="36" t="n">
        <v>46139</v>
      </c>
      <c r="B5455" s="24" t="s">
        <v>65</v>
      </c>
      <c r="C5455" s="24" t="s">
        <v>167</v>
      </c>
      <c r="D5455" s="33" t="n">
        <v>53</v>
      </c>
      <c r="E5455" s="24" t="n">
        <v>0</v>
      </c>
      <c r="F5455" s="37" t="n">
        <f aca="false">DATE(YEAR(A5455),MONTH(A5455),1)</f>
        <v>46113</v>
      </c>
      <c r="G5455" s="24" t="str">
        <f aca="false">INDEX(Products!$C$2:$C$49,MATCH(C5455,Products!$A$2:$A$49,0))</f>
        <v>Household</v>
      </c>
      <c r="H5455" s="33" t="n">
        <f aca="false">D5455*INDEX(Products!$E$2:$E$49,MATCH(C5455,Products!$A$2:$A$49,0))</f>
        <v>7950</v>
      </c>
      <c r="I5455" s="33" t="n">
        <f aca="false">D5455*INDEX(Products!$D$2:$D$49,MATCH(C5455,Products!$A$2:$A$49,0))*(1+INDEX(Assumptions!$B$16:$B$20,MATCH(B5455,Assumptions!$A$16:$A$20,0)))</f>
        <v>6054.72</v>
      </c>
      <c r="J5455" s="33" t="n">
        <f aca="false">H5455-I5455</f>
        <v>1895.28</v>
      </c>
      <c r="K5455" s="33" t="n">
        <f aca="false">IF(OR(E5455=0,E5455&gt;=7),0,D5455/(7-E5455)*E5455*INDEX(Products!$E$2:$E$49,MATCH(C5455,Products!$A$2:$A$49,0)))</f>
        <v>0</v>
      </c>
    </row>
    <row r="5456" customFormat="false" ht="15" hidden="false" customHeight="false" outlineLevel="0" collapsed="false">
      <c r="A5456" s="36" t="n">
        <v>46146</v>
      </c>
      <c r="B5456" s="24" t="s">
        <v>65</v>
      </c>
      <c r="C5456" s="24" t="s">
        <v>167</v>
      </c>
      <c r="D5456" s="33" t="n">
        <v>51</v>
      </c>
      <c r="E5456" s="24" t="n">
        <v>0</v>
      </c>
      <c r="F5456" s="37" t="n">
        <f aca="false">DATE(YEAR(A5456),MONTH(A5456),1)</f>
        <v>46143</v>
      </c>
      <c r="G5456" s="24" t="str">
        <f aca="false">INDEX(Products!$C$2:$C$49,MATCH(C5456,Products!$A$2:$A$49,0))</f>
        <v>Household</v>
      </c>
      <c r="H5456" s="33" t="n">
        <f aca="false">D5456*INDEX(Products!$E$2:$E$49,MATCH(C5456,Products!$A$2:$A$49,0))</f>
        <v>7650</v>
      </c>
      <c r="I5456" s="33" t="n">
        <f aca="false">D5456*INDEX(Products!$D$2:$D$49,MATCH(C5456,Products!$A$2:$A$49,0))*(1+INDEX(Assumptions!$B$16:$B$20,MATCH(B5456,Assumptions!$A$16:$A$20,0)))</f>
        <v>5826.24</v>
      </c>
      <c r="J5456" s="33" t="n">
        <f aca="false">H5456-I5456</f>
        <v>1823.76</v>
      </c>
      <c r="K5456" s="33" t="n">
        <f aca="false">IF(OR(E5456=0,E5456&gt;=7),0,D5456/(7-E5456)*E5456*INDEX(Products!$E$2:$E$49,MATCH(C5456,Products!$A$2:$A$49,0)))</f>
        <v>0</v>
      </c>
    </row>
    <row r="5457" customFormat="false" ht="15" hidden="false" customHeight="false" outlineLevel="0" collapsed="false">
      <c r="A5457" s="36" t="n">
        <v>46153</v>
      </c>
      <c r="B5457" s="24" t="s">
        <v>65</v>
      </c>
      <c r="C5457" s="24" t="s">
        <v>167</v>
      </c>
      <c r="D5457" s="33" t="n">
        <v>34</v>
      </c>
      <c r="E5457" s="24" t="n">
        <v>0</v>
      </c>
      <c r="F5457" s="37" t="n">
        <f aca="false">DATE(YEAR(A5457),MONTH(A5457),1)</f>
        <v>46143</v>
      </c>
      <c r="G5457" s="24" t="str">
        <f aca="false">INDEX(Products!$C$2:$C$49,MATCH(C5457,Products!$A$2:$A$49,0))</f>
        <v>Household</v>
      </c>
      <c r="H5457" s="33" t="n">
        <f aca="false">D5457*INDEX(Products!$E$2:$E$49,MATCH(C5457,Products!$A$2:$A$49,0))</f>
        <v>5100</v>
      </c>
      <c r="I5457" s="33" t="n">
        <f aca="false">D5457*INDEX(Products!$D$2:$D$49,MATCH(C5457,Products!$A$2:$A$49,0))*(1+INDEX(Assumptions!$B$16:$B$20,MATCH(B5457,Assumptions!$A$16:$A$20,0)))</f>
        <v>3884.16</v>
      </c>
      <c r="J5457" s="33" t="n">
        <f aca="false">H5457-I5457</f>
        <v>1215.84</v>
      </c>
      <c r="K5457" s="33" t="n">
        <f aca="false">IF(OR(E5457=0,E5457&gt;=7),0,D5457/(7-E5457)*E5457*INDEX(Products!$E$2:$E$49,MATCH(C5457,Products!$A$2:$A$49,0)))</f>
        <v>0</v>
      </c>
    </row>
    <row r="5458" customFormat="false" ht="15" hidden="false" customHeight="false" outlineLevel="0" collapsed="false">
      <c r="A5458" s="36" t="n">
        <v>46160</v>
      </c>
      <c r="B5458" s="24" t="s">
        <v>65</v>
      </c>
      <c r="C5458" s="24" t="s">
        <v>167</v>
      </c>
      <c r="D5458" s="33" t="n">
        <v>56</v>
      </c>
      <c r="E5458" s="24" t="n">
        <v>0</v>
      </c>
      <c r="F5458" s="37" t="n">
        <f aca="false">DATE(YEAR(A5458),MONTH(A5458),1)</f>
        <v>46143</v>
      </c>
      <c r="G5458" s="24" t="str">
        <f aca="false">INDEX(Products!$C$2:$C$49,MATCH(C5458,Products!$A$2:$A$49,0))</f>
        <v>Household</v>
      </c>
      <c r="H5458" s="33" t="n">
        <f aca="false">D5458*INDEX(Products!$E$2:$E$49,MATCH(C5458,Products!$A$2:$A$49,0))</f>
        <v>8400</v>
      </c>
      <c r="I5458" s="33" t="n">
        <f aca="false">D5458*INDEX(Products!$D$2:$D$49,MATCH(C5458,Products!$A$2:$A$49,0))*(1+INDEX(Assumptions!$B$16:$B$20,MATCH(B5458,Assumptions!$A$16:$A$20,0)))</f>
        <v>6397.44</v>
      </c>
      <c r="J5458" s="33" t="n">
        <f aca="false">H5458-I5458</f>
        <v>2002.56</v>
      </c>
      <c r="K5458" s="33" t="n">
        <f aca="false">IF(OR(E5458=0,E5458&gt;=7),0,D5458/(7-E5458)*E5458*INDEX(Products!$E$2:$E$49,MATCH(C5458,Products!$A$2:$A$49,0)))</f>
        <v>0</v>
      </c>
    </row>
    <row r="5459" customFormat="false" ht="15" hidden="false" customHeight="false" outlineLevel="0" collapsed="false">
      <c r="A5459" s="36" t="n">
        <v>46167</v>
      </c>
      <c r="B5459" s="24" t="s">
        <v>65</v>
      </c>
      <c r="C5459" s="24" t="s">
        <v>167</v>
      </c>
      <c r="D5459" s="33" t="n">
        <v>63</v>
      </c>
      <c r="E5459" s="24" t="n">
        <v>0</v>
      </c>
      <c r="F5459" s="37" t="n">
        <f aca="false">DATE(YEAR(A5459),MONTH(A5459),1)</f>
        <v>46143</v>
      </c>
      <c r="G5459" s="24" t="str">
        <f aca="false">INDEX(Products!$C$2:$C$49,MATCH(C5459,Products!$A$2:$A$49,0))</f>
        <v>Household</v>
      </c>
      <c r="H5459" s="33" t="n">
        <f aca="false">D5459*INDEX(Products!$E$2:$E$49,MATCH(C5459,Products!$A$2:$A$49,0))</f>
        <v>9450</v>
      </c>
      <c r="I5459" s="33" t="n">
        <f aca="false">D5459*INDEX(Products!$D$2:$D$49,MATCH(C5459,Products!$A$2:$A$49,0))*(1+INDEX(Assumptions!$B$16:$B$20,MATCH(B5459,Assumptions!$A$16:$A$20,0)))</f>
        <v>7197.12</v>
      </c>
      <c r="J5459" s="33" t="n">
        <f aca="false">H5459-I5459</f>
        <v>2252.88</v>
      </c>
      <c r="K5459" s="33" t="n">
        <f aca="false">IF(OR(E5459=0,E5459&gt;=7),0,D5459/(7-E5459)*E5459*INDEX(Products!$E$2:$E$49,MATCH(C5459,Products!$A$2:$A$49,0)))</f>
        <v>0</v>
      </c>
    </row>
    <row r="5460" customFormat="false" ht="15" hidden="false" customHeight="false" outlineLevel="0" collapsed="false">
      <c r="A5460" s="36" t="n">
        <v>46174</v>
      </c>
      <c r="B5460" s="24" t="s">
        <v>65</v>
      </c>
      <c r="C5460" s="24" t="s">
        <v>167</v>
      </c>
      <c r="D5460" s="33" t="n">
        <v>14</v>
      </c>
      <c r="E5460" s="24" t="n">
        <v>5</v>
      </c>
      <c r="F5460" s="37" t="n">
        <f aca="false">DATE(YEAR(A5460),MONTH(A5460),1)</f>
        <v>46174</v>
      </c>
      <c r="G5460" s="24" t="str">
        <f aca="false">INDEX(Products!$C$2:$C$49,MATCH(C5460,Products!$A$2:$A$49,0))</f>
        <v>Household</v>
      </c>
      <c r="H5460" s="33" t="n">
        <f aca="false">D5460*INDEX(Products!$E$2:$E$49,MATCH(C5460,Products!$A$2:$A$49,0))</f>
        <v>2100</v>
      </c>
      <c r="I5460" s="33" t="n">
        <f aca="false">D5460*INDEX(Products!$D$2:$D$49,MATCH(C5460,Products!$A$2:$A$49,0))*(1+INDEX(Assumptions!$B$16:$B$20,MATCH(B5460,Assumptions!$A$16:$A$20,0)))</f>
        <v>1599.36</v>
      </c>
      <c r="J5460" s="33" t="n">
        <f aca="false">H5460-I5460</f>
        <v>500.64</v>
      </c>
      <c r="K5460" s="33" t="n">
        <f aca="false">IF(OR(E5460=0,E5460&gt;=7),0,D5460/(7-E5460)*E5460*INDEX(Products!$E$2:$E$49,MATCH(C5460,Products!$A$2:$A$49,0)))</f>
        <v>5250</v>
      </c>
    </row>
    <row r="5461" customFormat="false" ht="15" hidden="false" customHeight="false" outlineLevel="0" collapsed="false">
      <c r="A5461" s="36" t="n">
        <v>46181</v>
      </c>
      <c r="B5461" s="24" t="s">
        <v>65</v>
      </c>
      <c r="C5461" s="24" t="s">
        <v>167</v>
      </c>
      <c r="D5461" s="33" t="n">
        <v>56</v>
      </c>
      <c r="E5461" s="24" t="n">
        <v>0</v>
      </c>
      <c r="F5461" s="37" t="n">
        <f aca="false">DATE(YEAR(A5461),MONTH(A5461),1)</f>
        <v>46174</v>
      </c>
      <c r="G5461" s="24" t="str">
        <f aca="false">INDEX(Products!$C$2:$C$49,MATCH(C5461,Products!$A$2:$A$49,0))</f>
        <v>Household</v>
      </c>
      <c r="H5461" s="33" t="n">
        <f aca="false">D5461*INDEX(Products!$E$2:$E$49,MATCH(C5461,Products!$A$2:$A$49,0))</f>
        <v>8400</v>
      </c>
      <c r="I5461" s="33" t="n">
        <f aca="false">D5461*INDEX(Products!$D$2:$D$49,MATCH(C5461,Products!$A$2:$A$49,0))*(1+INDEX(Assumptions!$B$16:$B$20,MATCH(B5461,Assumptions!$A$16:$A$20,0)))</f>
        <v>6397.44</v>
      </c>
      <c r="J5461" s="33" t="n">
        <f aca="false">H5461-I5461</f>
        <v>2002.56</v>
      </c>
      <c r="K5461" s="33" t="n">
        <f aca="false">IF(OR(E5461=0,E5461&gt;=7),0,D5461/(7-E5461)*E5461*INDEX(Products!$E$2:$E$49,MATCH(C5461,Products!$A$2:$A$49,0)))</f>
        <v>0</v>
      </c>
    </row>
    <row r="5462" customFormat="false" ht="15" hidden="false" customHeight="false" outlineLevel="0" collapsed="false">
      <c r="A5462" s="36" t="n">
        <v>46188</v>
      </c>
      <c r="B5462" s="24" t="s">
        <v>65</v>
      </c>
      <c r="C5462" s="24" t="s">
        <v>167</v>
      </c>
      <c r="D5462" s="33" t="n">
        <v>46</v>
      </c>
      <c r="E5462" s="24" t="n">
        <v>0</v>
      </c>
      <c r="F5462" s="37" t="n">
        <f aca="false">DATE(YEAR(A5462),MONTH(A5462),1)</f>
        <v>46174</v>
      </c>
      <c r="G5462" s="24" t="str">
        <f aca="false">INDEX(Products!$C$2:$C$49,MATCH(C5462,Products!$A$2:$A$49,0))</f>
        <v>Household</v>
      </c>
      <c r="H5462" s="33" t="n">
        <f aca="false">D5462*INDEX(Products!$E$2:$E$49,MATCH(C5462,Products!$A$2:$A$49,0))</f>
        <v>6900</v>
      </c>
      <c r="I5462" s="33" t="n">
        <f aca="false">D5462*INDEX(Products!$D$2:$D$49,MATCH(C5462,Products!$A$2:$A$49,0))*(1+INDEX(Assumptions!$B$16:$B$20,MATCH(B5462,Assumptions!$A$16:$A$20,0)))</f>
        <v>5255.04</v>
      </c>
      <c r="J5462" s="33" t="n">
        <f aca="false">H5462-I5462</f>
        <v>1644.96</v>
      </c>
      <c r="K5462" s="33" t="n">
        <f aca="false">IF(OR(E5462=0,E5462&gt;=7),0,D5462/(7-E5462)*E5462*INDEX(Products!$E$2:$E$49,MATCH(C5462,Products!$A$2:$A$49,0)))</f>
        <v>0</v>
      </c>
    </row>
    <row r="5463" customFormat="false" ht="15" hidden="false" customHeight="false" outlineLevel="0" collapsed="false">
      <c r="A5463" s="36" t="n">
        <v>46195</v>
      </c>
      <c r="B5463" s="24" t="s">
        <v>65</v>
      </c>
      <c r="C5463" s="24" t="s">
        <v>167</v>
      </c>
      <c r="D5463" s="33" t="n">
        <v>51</v>
      </c>
      <c r="E5463" s="24" t="n">
        <v>0</v>
      </c>
      <c r="F5463" s="37" t="n">
        <f aca="false">DATE(YEAR(A5463),MONTH(A5463),1)</f>
        <v>46174</v>
      </c>
      <c r="G5463" s="24" t="str">
        <f aca="false">INDEX(Products!$C$2:$C$49,MATCH(C5463,Products!$A$2:$A$49,0))</f>
        <v>Household</v>
      </c>
      <c r="H5463" s="33" t="n">
        <f aca="false">D5463*INDEX(Products!$E$2:$E$49,MATCH(C5463,Products!$A$2:$A$49,0))</f>
        <v>7650</v>
      </c>
      <c r="I5463" s="33" t="n">
        <f aca="false">D5463*INDEX(Products!$D$2:$D$49,MATCH(C5463,Products!$A$2:$A$49,0))*(1+INDEX(Assumptions!$B$16:$B$20,MATCH(B5463,Assumptions!$A$16:$A$20,0)))</f>
        <v>5826.24</v>
      </c>
      <c r="J5463" s="33" t="n">
        <f aca="false">H5463-I5463</f>
        <v>1823.76</v>
      </c>
      <c r="K5463" s="33" t="n">
        <f aca="false">IF(OR(E5463=0,E5463&gt;=7),0,D5463/(7-E5463)*E5463*INDEX(Products!$E$2:$E$49,MATCH(C5463,Products!$A$2:$A$49,0)))</f>
        <v>0</v>
      </c>
    </row>
    <row r="5464" customFormat="false" ht="15" hidden="false" customHeight="false" outlineLevel="0" collapsed="false">
      <c r="A5464" s="36" t="n">
        <v>46202</v>
      </c>
      <c r="B5464" s="24" t="s">
        <v>65</v>
      </c>
      <c r="C5464" s="24" t="s">
        <v>167</v>
      </c>
      <c r="D5464" s="33" t="n">
        <v>49</v>
      </c>
      <c r="E5464" s="24" t="n">
        <v>0</v>
      </c>
      <c r="F5464" s="37" t="n">
        <f aca="false">DATE(YEAR(A5464),MONTH(A5464),1)</f>
        <v>46174</v>
      </c>
      <c r="G5464" s="24" t="str">
        <f aca="false">INDEX(Products!$C$2:$C$49,MATCH(C5464,Products!$A$2:$A$49,0))</f>
        <v>Household</v>
      </c>
      <c r="H5464" s="33" t="n">
        <f aca="false">D5464*INDEX(Products!$E$2:$E$49,MATCH(C5464,Products!$A$2:$A$49,0))</f>
        <v>7350</v>
      </c>
      <c r="I5464" s="33" t="n">
        <f aca="false">D5464*INDEX(Products!$D$2:$D$49,MATCH(C5464,Products!$A$2:$A$49,0))*(1+INDEX(Assumptions!$B$16:$B$20,MATCH(B5464,Assumptions!$A$16:$A$20,0)))</f>
        <v>5597.76</v>
      </c>
      <c r="J5464" s="33" t="n">
        <f aca="false">H5464-I5464</f>
        <v>1752.24</v>
      </c>
      <c r="K5464" s="33" t="n">
        <f aca="false">IF(OR(E5464=0,E5464&gt;=7),0,D5464/(7-E5464)*E5464*INDEX(Products!$E$2:$E$49,MATCH(C5464,Products!$A$2:$A$49,0)))</f>
        <v>0</v>
      </c>
    </row>
    <row r="5465" customFormat="false" ht="15" hidden="false" customHeight="false" outlineLevel="0" collapsed="false">
      <c r="A5465" s="36" t="n">
        <v>46209</v>
      </c>
      <c r="B5465" s="24" t="s">
        <v>65</v>
      </c>
      <c r="C5465" s="24" t="s">
        <v>167</v>
      </c>
      <c r="D5465" s="33" t="n">
        <v>45</v>
      </c>
      <c r="E5465" s="24" t="n">
        <v>0</v>
      </c>
      <c r="F5465" s="37" t="n">
        <f aca="false">DATE(YEAR(A5465),MONTH(A5465),1)</f>
        <v>46204</v>
      </c>
      <c r="G5465" s="24" t="str">
        <f aca="false">INDEX(Products!$C$2:$C$49,MATCH(C5465,Products!$A$2:$A$49,0))</f>
        <v>Household</v>
      </c>
      <c r="H5465" s="33" t="n">
        <f aca="false">D5465*INDEX(Products!$E$2:$E$49,MATCH(C5465,Products!$A$2:$A$49,0))</f>
        <v>6750</v>
      </c>
      <c r="I5465" s="33" t="n">
        <f aca="false">D5465*INDEX(Products!$D$2:$D$49,MATCH(C5465,Products!$A$2:$A$49,0))*(1+INDEX(Assumptions!$B$16:$B$20,MATCH(B5465,Assumptions!$A$16:$A$20,0)))</f>
        <v>5140.8</v>
      </c>
      <c r="J5465" s="33" t="n">
        <f aca="false">H5465-I5465</f>
        <v>1609.2</v>
      </c>
      <c r="K5465" s="33" t="n">
        <f aca="false">IF(OR(E5465=0,E5465&gt;=7),0,D5465/(7-E5465)*E5465*INDEX(Products!$E$2:$E$49,MATCH(C5465,Products!$A$2:$A$49,0)))</f>
        <v>0</v>
      </c>
    </row>
    <row r="5466" customFormat="false" ht="15" hidden="false" customHeight="false" outlineLevel="0" collapsed="false">
      <c r="A5466" s="36" t="n">
        <v>46216</v>
      </c>
      <c r="B5466" s="24" t="s">
        <v>65</v>
      </c>
      <c r="C5466" s="24" t="s">
        <v>167</v>
      </c>
      <c r="D5466" s="33" t="n">
        <v>51</v>
      </c>
      <c r="E5466" s="24" t="n">
        <v>0</v>
      </c>
      <c r="F5466" s="37" t="n">
        <f aca="false">DATE(YEAR(A5466),MONTH(A5466),1)</f>
        <v>46204</v>
      </c>
      <c r="G5466" s="24" t="str">
        <f aca="false">INDEX(Products!$C$2:$C$49,MATCH(C5466,Products!$A$2:$A$49,0))</f>
        <v>Household</v>
      </c>
      <c r="H5466" s="33" t="n">
        <f aca="false">D5466*INDEX(Products!$E$2:$E$49,MATCH(C5466,Products!$A$2:$A$49,0))</f>
        <v>7650</v>
      </c>
      <c r="I5466" s="33" t="n">
        <f aca="false">D5466*INDEX(Products!$D$2:$D$49,MATCH(C5466,Products!$A$2:$A$49,0))*(1+INDEX(Assumptions!$B$16:$B$20,MATCH(B5466,Assumptions!$A$16:$A$20,0)))</f>
        <v>5826.24</v>
      </c>
      <c r="J5466" s="33" t="n">
        <f aca="false">H5466-I5466</f>
        <v>1823.76</v>
      </c>
      <c r="K5466" s="33" t="n">
        <f aca="false">IF(OR(E5466=0,E5466&gt;=7),0,D5466/(7-E5466)*E5466*INDEX(Products!$E$2:$E$49,MATCH(C5466,Products!$A$2:$A$49,0)))</f>
        <v>0</v>
      </c>
    </row>
    <row r="5467" customFormat="false" ht="15" hidden="false" customHeight="false" outlineLevel="0" collapsed="false">
      <c r="A5467" s="36" t="n">
        <v>46223</v>
      </c>
      <c r="B5467" s="24" t="s">
        <v>65</v>
      </c>
      <c r="C5467" s="24" t="s">
        <v>167</v>
      </c>
      <c r="D5467" s="33" t="n">
        <v>89</v>
      </c>
      <c r="E5467" s="24" t="n">
        <v>0</v>
      </c>
      <c r="F5467" s="37" t="n">
        <f aca="false">DATE(YEAR(A5467),MONTH(A5467),1)</f>
        <v>46204</v>
      </c>
      <c r="G5467" s="24" t="str">
        <f aca="false">INDEX(Products!$C$2:$C$49,MATCH(C5467,Products!$A$2:$A$49,0))</f>
        <v>Household</v>
      </c>
      <c r="H5467" s="33" t="n">
        <f aca="false">D5467*INDEX(Products!$E$2:$E$49,MATCH(C5467,Products!$A$2:$A$49,0))</f>
        <v>13350</v>
      </c>
      <c r="I5467" s="33" t="n">
        <f aca="false">D5467*INDEX(Products!$D$2:$D$49,MATCH(C5467,Products!$A$2:$A$49,0))*(1+INDEX(Assumptions!$B$16:$B$20,MATCH(B5467,Assumptions!$A$16:$A$20,0)))</f>
        <v>10167.36</v>
      </c>
      <c r="J5467" s="33" t="n">
        <f aca="false">H5467-I5467</f>
        <v>3182.64</v>
      </c>
      <c r="K5467" s="33" t="n">
        <f aca="false">IF(OR(E5467=0,E5467&gt;=7),0,D5467/(7-E5467)*E5467*INDEX(Products!$E$2:$E$49,MATCH(C5467,Products!$A$2:$A$49,0)))</f>
        <v>0</v>
      </c>
    </row>
    <row r="5468" customFormat="false" ht="15" hidden="false" customHeight="false" outlineLevel="0" collapsed="false">
      <c r="A5468" s="36" t="n">
        <v>46230</v>
      </c>
      <c r="B5468" s="24" t="s">
        <v>65</v>
      </c>
      <c r="C5468" s="24" t="s">
        <v>167</v>
      </c>
      <c r="D5468" s="33" t="n">
        <v>44</v>
      </c>
      <c r="E5468" s="24" t="n">
        <v>0</v>
      </c>
      <c r="F5468" s="37" t="n">
        <f aca="false">DATE(YEAR(A5468),MONTH(A5468),1)</f>
        <v>46204</v>
      </c>
      <c r="G5468" s="24" t="str">
        <f aca="false">INDEX(Products!$C$2:$C$49,MATCH(C5468,Products!$A$2:$A$49,0))</f>
        <v>Household</v>
      </c>
      <c r="H5468" s="33" t="n">
        <f aca="false">D5468*INDEX(Products!$E$2:$E$49,MATCH(C5468,Products!$A$2:$A$49,0))</f>
        <v>6600</v>
      </c>
      <c r="I5468" s="33" t="n">
        <f aca="false">D5468*INDEX(Products!$D$2:$D$49,MATCH(C5468,Products!$A$2:$A$49,0))*(1+INDEX(Assumptions!$B$16:$B$20,MATCH(B5468,Assumptions!$A$16:$A$20,0)))</f>
        <v>5026.56</v>
      </c>
      <c r="J5468" s="33" t="n">
        <f aca="false">H5468-I5468</f>
        <v>1573.44</v>
      </c>
      <c r="K5468" s="33" t="n">
        <f aca="false">IF(OR(E5468=0,E5468&gt;=7),0,D5468/(7-E5468)*E5468*INDEX(Products!$E$2:$E$49,MATCH(C5468,Products!$A$2:$A$49,0)))</f>
        <v>0</v>
      </c>
    </row>
    <row r="5469" customFormat="false" ht="15" hidden="false" customHeight="false" outlineLevel="0" collapsed="false">
      <c r="A5469" s="36" t="n">
        <v>46237</v>
      </c>
      <c r="B5469" s="24" t="s">
        <v>65</v>
      </c>
      <c r="C5469" s="24" t="s">
        <v>167</v>
      </c>
      <c r="D5469" s="33" t="n">
        <v>38</v>
      </c>
      <c r="E5469" s="24" t="n">
        <v>0</v>
      </c>
      <c r="F5469" s="37" t="n">
        <f aca="false">DATE(YEAR(A5469),MONTH(A5469),1)</f>
        <v>46235</v>
      </c>
      <c r="G5469" s="24" t="str">
        <f aca="false">INDEX(Products!$C$2:$C$49,MATCH(C5469,Products!$A$2:$A$49,0))</f>
        <v>Household</v>
      </c>
      <c r="H5469" s="33" t="n">
        <f aca="false">D5469*INDEX(Products!$E$2:$E$49,MATCH(C5469,Products!$A$2:$A$49,0))</f>
        <v>5700</v>
      </c>
      <c r="I5469" s="33" t="n">
        <f aca="false">D5469*INDEX(Products!$D$2:$D$49,MATCH(C5469,Products!$A$2:$A$49,0))*(1+INDEX(Assumptions!$B$16:$B$20,MATCH(B5469,Assumptions!$A$16:$A$20,0)))</f>
        <v>4341.12</v>
      </c>
      <c r="J5469" s="33" t="n">
        <f aca="false">H5469-I5469</f>
        <v>1358.88</v>
      </c>
      <c r="K5469" s="33" t="n">
        <f aca="false">IF(OR(E5469=0,E5469&gt;=7),0,D5469/(7-E5469)*E5469*INDEX(Products!$E$2:$E$49,MATCH(C5469,Products!$A$2:$A$49,0)))</f>
        <v>0</v>
      </c>
    </row>
    <row r="5470" customFormat="false" ht="15" hidden="false" customHeight="false" outlineLevel="0" collapsed="false">
      <c r="A5470" s="36" t="n">
        <v>46244</v>
      </c>
      <c r="B5470" s="24" t="s">
        <v>65</v>
      </c>
      <c r="C5470" s="24" t="s">
        <v>167</v>
      </c>
      <c r="D5470" s="33" t="n">
        <v>39</v>
      </c>
      <c r="E5470" s="24" t="n">
        <v>0</v>
      </c>
      <c r="F5470" s="37" t="n">
        <f aca="false">DATE(YEAR(A5470),MONTH(A5470),1)</f>
        <v>46235</v>
      </c>
      <c r="G5470" s="24" t="str">
        <f aca="false">INDEX(Products!$C$2:$C$49,MATCH(C5470,Products!$A$2:$A$49,0))</f>
        <v>Household</v>
      </c>
      <c r="H5470" s="33" t="n">
        <f aca="false">D5470*INDEX(Products!$E$2:$E$49,MATCH(C5470,Products!$A$2:$A$49,0))</f>
        <v>5850</v>
      </c>
      <c r="I5470" s="33" t="n">
        <f aca="false">D5470*INDEX(Products!$D$2:$D$49,MATCH(C5470,Products!$A$2:$A$49,0))*(1+INDEX(Assumptions!$B$16:$B$20,MATCH(B5470,Assumptions!$A$16:$A$20,0)))</f>
        <v>4455.36</v>
      </c>
      <c r="J5470" s="33" t="n">
        <f aca="false">H5470-I5470</f>
        <v>1394.64</v>
      </c>
      <c r="K5470" s="33" t="n">
        <f aca="false">IF(OR(E5470=0,E5470&gt;=7),0,D5470/(7-E5470)*E5470*INDEX(Products!$E$2:$E$49,MATCH(C5470,Products!$A$2:$A$49,0)))</f>
        <v>0</v>
      </c>
    </row>
    <row r="5471" customFormat="false" ht="15" hidden="false" customHeight="false" outlineLevel="0" collapsed="false">
      <c r="A5471" s="36" t="n">
        <v>46251</v>
      </c>
      <c r="B5471" s="24" t="s">
        <v>65</v>
      </c>
      <c r="C5471" s="24" t="s">
        <v>167</v>
      </c>
      <c r="D5471" s="33" t="n">
        <v>51</v>
      </c>
      <c r="E5471" s="24" t="n">
        <v>0</v>
      </c>
      <c r="F5471" s="37" t="n">
        <f aca="false">DATE(YEAR(A5471),MONTH(A5471),1)</f>
        <v>46235</v>
      </c>
      <c r="G5471" s="24" t="str">
        <f aca="false">INDEX(Products!$C$2:$C$49,MATCH(C5471,Products!$A$2:$A$49,0))</f>
        <v>Household</v>
      </c>
      <c r="H5471" s="33" t="n">
        <f aca="false">D5471*INDEX(Products!$E$2:$E$49,MATCH(C5471,Products!$A$2:$A$49,0))</f>
        <v>7650</v>
      </c>
      <c r="I5471" s="33" t="n">
        <f aca="false">D5471*INDEX(Products!$D$2:$D$49,MATCH(C5471,Products!$A$2:$A$49,0))*(1+INDEX(Assumptions!$B$16:$B$20,MATCH(B5471,Assumptions!$A$16:$A$20,0)))</f>
        <v>5826.24</v>
      </c>
      <c r="J5471" s="33" t="n">
        <f aca="false">H5471-I5471</f>
        <v>1823.76</v>
      </c>
      <c r="K5471" s="33" t="n">
        <f aca="false">IF(OR(E5471=0,E5471&gt;=7),0,D5471/(7-E5471)*E5471*INDEX(Products!$E$2:$E$49,MATCH(C5471,Products!$A$2:$A$49,0)))</f>
        <v>0</v>
      </c>
    </row>
    <row r="5472" customFormat="false" ht="15" hidden="false" customHeight="false" outlineLevel="0" collapsed="false">
      <c r="A5472" s="36" t="n">
        <v>46258</v>
      </c>
      <c r="B5472" s="24" t="s">
        <v>65</v>
      </c>
      <c r="C5472" s="24" t="s">
        <v>167</v>
      </c>
      <c r="D5472" s="33" t="n">
        <v>46</v>
      </c>
      <c r="E5472" s="24" t="n">
        <v>0</v>
      </c>
      <c r="F5472" s="37" t="n">
        <f aca="false">DATE(YEAR(A5472),MONTH(A5472),1)</f>
        <v>46235</v>
      </c>
      <c r="G5472" s="24" t="str">
        <f aca="false">INDEX(Products!$C$2:$C$49,MATCH(C5472,Products!$A$2:$A$49,0))</f>
        <v>Household</v>
      </c>
      <c r="H5472" s="33" t="n">
        <f aca="false">D5472*INDEX(Products!$E$2:$E$49,MATCH(C5472,Products!$A$2:$A$49,0))</f>
        <v>6900</v>
      </c>
      <c r="I5472" s="33" t="n">
        <f aca="false">D5472*INDEX(Products!$D$2:$D$49,MATCH(C5472,Products!$A$2:$A$49,0))*(1+INDEX(Assumptions!$B$16:$B$20,MATCH(B5472,Assumptions!$A$16:$A$20,0)))</f>
        <v>5255.04</v>
      </c>
      <c r="J5472" s="33" t="n">
        <f aca="false">H5472-I5472</f>
        <v>1644.96</v>
      </c>
      <c r="K5472" s="33" t="n">
        <f aca="false">IF(OR(E5472=0,E5472&gt;=7),0,D5472/(7-E5472)*E5472*INDEX(Products!$E$2:$E$49,MATCH(C5472,Products!$A$2:$A$49,0)))</f>
        <v>0</v>
      </c>
    </row>
    <row r="5473" customFormat="false" ht="15" hidden="false" customHeight="false" outlineLevel="0" collapsed="false">
      <c r="A5473" s="36" t="n">
        <v>46265</v>
      </c>
      <c r="B5473" s="24" t="s">
        <v>65</v>
      </c>
      <c r="C5473" s="24" t="s">
        <v>167</v>
      </c>
      <c r="D5473" s="33" t="n">
        <v>62</v>
      </c>
      <c r="E5473" s="24" t="n">
        <v>0</v>
      </c>
      <c r="F5473" s="37" t="n">
        <f aca="false">DATE(YEAR(A5473),MONTH(A5473),1)</f>
        <v>46235</v>
      </c>
      <c r="G5473" s="24" t="str">
        <f aca="false">INDEX(Products!$C$2:$C$49,MATCH(C5473,Products!$A$2:$A$49,0))</f>
        <v>Household</v>
      </c>
      <c r="H5473" s="33" t="n">
        <f aca="false">D5473*INDEX(Products!$E$2:$E$49,MATCH(C5473,Products!$A$2:$A$49,0))</f>
        <v>9300</v>
      </c>
      <c r="I5473" s="33" t="n">
        <f aca="false">D5473*INDEX(Products!$D$2:$D$49,MATCH(C5473,Products!$A$2:$A$49,0))*(1+INDEX(Assumptions!$B$16:$B$20,MATCH(B5473,Assumptions!$A$16:$A$20,0)))</f>
        <v>7082.88</v>
      </c>
      <c r="J5473" s="33" t="n">
        <f aca="false">H5473-I5473</f>
        <v>2217.12</v>
      </c>
      <c r="K5473" s="33" t="n">
        <f aca="false">IF(OR(E5473=0,E5473&gt;=7),0,D5473/(7-E5473)*E5473*INDEX(Products!$E$2:$E$49,MATCH(C5473,Products!$A$2:$A$49,0)))</f>
        <v>0</v>
      </c>
    </row>
    <row r="5474" customFormat="false" ht="15" hidden="false" customHeight="false" outlineLevel="0" collapsed="false">
      <c r="A5474" s="36" t="n">
        <v>46272</v>
      </c>
      <c r="B5474" s="24" t="s">
        <v>65</v>
      </c>
      <c r="C5474" s="24" t="s">
        <v>167</v>
      </c>
      <c r="D5474" s="33" t="n">
        <v>45</v>
      </c>
      <c r="E5474" s="24" t="n">
        <v>0</v>
      </c>
      <c r="F5474" s="37" t="n">
        <f aca="false">DATE(YEAR(A5474),MONTH(A5474),1)</f>
        <v>46266</v>
      </c>
      <c r="G5474" s="24" t="str">
        <f aca="false">INDEX(Products!$C$2:$C$49,MATCH(C5474,Products!$A$2:$A$49,0))</f>
        <v>Household</v>
      </c>
      <c r="H5474" s="33" t="n">
        <f aca="false">D5474*INDEX(Products!$E$2:$E$49,MATCH(C5474,Products!$A$2:$A$49,0))</f>
        <v>6750</v>
      </c>
      <c r="I5474" s="33" t="n">
        <f aca="false">D5474*INDEX(Products!$D$2:$D$49,MATCH(C5474,Products!$A$2:$A$49,0))*(1+INDEX(Assumptions!$B$16:$B$20,MATCH(B5474,Assumptions!$A$16:$A$20,0)))</f>
        <v>5140.8</v>
      </c>
      <c r="J5474" s="33" t="n">
        <f aca="false">H5474-I5474</f>
        <v>1609.2</v>
      </c>
      <c r="K5474" s="33" t="n">
        <f aca="false">IF(OR(E5474=0,E5474&gt;=7),0,D5474/(7-E5474)*E5474*INDEX(Products!$E$2:$E$49,MATCH(C5474,Products!$A$2:$A$49,0)))</f>
        <v>0</v>
      </c>
    </row>
    <row r="5475" customFormat="false" ht="15" hidden="false" customHeight="false" outlineLevel="0" collapsed="false">
      <c r="A5475" s="36" t="n">
        <v>46279</v>
      </c>
      <c r="B5475" s="24" t="s">
        <v>65</v>
      </c>
      <c r="C5475" s="24" t="s">
        <v>167</v>
      </c>
      <c r="D5475" s="33" t="n">
        <v>59</v>
      </c>
      <c r="E5475" s="24" t="n">
        <v>0</v>
      </c>
      <c r="F5475" s="37" t="n">
        <f aca="false">DATE(YEAR(A5475),MONTH(A5475),1)</f>
        <v>46266</v>
      </c>
      <c r="G5475" s="24" t="str">
        <f aca="false">INDEX(Products!$C$2:$C$49,MATCH(C5475,Products!$A$2:$A$49,0))</f>
        <v>Household</v>
      </c>
      <c r="H5475" s="33" t="n">
        <f aca="false">D5475*INDEX(Products!$E$2:$E$49,MATCH(C5475,Products!$A$2:$A$49,0))</f>
        <v>8850</v>
      </c>
      <c r="I5475" s="33" t="n">
        <f aca="false">D5475*INDEX(Products!$D$2:$D$49,MATCH(C5475,Products!$A$2:$A$49,0))*(1+INDEX(Assumptions!$B$16:$B$20,MATCH(B5475,Assumptions!$A$16:$A$20,0)))</f>
        <v>6740.16</v>
      </c>
      <c r="J5475" s="33" t="n">
        <f aca="false">H5475-I5475</f>
        <v>2109.84</v>
      </c>
      <c r="K5475" s="33" t="n">
        <f aca="false">IF(OR(E5475=0,E5475&gt;=7),0,D5475/(7-E5475)*E5475*INDEX(Products!$E$2:$E$49,MATCH(C5475,Products!$A$2:$A$49,0)))</f>
        <v>0</v>
      </c>
    </row>
    <row r="5476" customFormat="false" ht="15" hidden="false" customHeight="false" outlineLevel="0" collapsed="false">
      <c r="A5476" s="36" t="n">
        <v>46286</v>
      </c>
      <c r="B5476" s="24" t="s">
        <v>65</v>
      </c>
      <c r="C5476" s="24" t="s">
        <v>167</v>
      </c>
      <c r="D5476" s="33" t="n">
        <v>51</v>
      </c>
      <c r="E5476" s="24" t="n">
        <v>0</v>
      </c>
      <c r="F5476" s="37" t="n">
        <f aca="false">DATE(YEAR(A5476),MONTH(A5476),1)</f>
        <v>46266</v>
      </c>
      <c r="G5476" s="24" t="str">
        <f aca="false">INDEX(Products!$C$2:$C$49,MATCH(C5476,Products!$A$2:$A$49,0))</f>
        <v>Household</v>
      </c>
      <c r="H5476" s="33" t="n">
        <f aca="false">D5476*INDEX(Products!$E$2:$E$49,MATCH(C5476,Products!$A$2:$A$49,0))</f>
        <v>7650</v>
      </c>
      <c r="I5476" s="33" t="n">
        <f aca="false">D5476*INDEX(Products!$D$2:$D$49,MATCH(C5476,Products!$A$2:$A$49,0))*(1+INDEX(Assumptions!$B$16:$B$20,MATCH(B5476,Assumptions!$A$16:$A$20,0)))</f>
        <v>5826.24</v>
      </c>
      <c r="J5476" s="33" t="n">
        <f aca="false">H5476-I5476</f>
        <v>1823.76</v>
      </c>
      <c r="K5476" s="33" t="n">
        <f aca="false">IF(OR(E5476=0,E5476&gt;=7),0,D5476/(7-E5476)*E5476*INDEX(Products!$E$2:$E$49,MATCH(C5476,Products!$A$2:$A$49,0)))</f>
        <v>0</v>
      </c>
    </row>
    <row r="5477" customFormat="false" ht="15" hidden="false" customHeight="false" outlineLevel="0" collapsed="false">
      <c r="A5477" s="36" t="n">
        <v>46118</v>
      </c>
      <c r="B5477" s="24" t="s">
        <v>65</v>
      </c>
      <c r="C5477" s="24" t="s">
        <v>169</v>
      </c>
      <c r="D5477" s="33" t="n">
        <v>46</v>
      </c>
      <c r="E5477" s="24" t="n">
        <v>0</v>
      </c>
      <c r="F5477" s="37" t="n">
        <f aca="false">DATE(YEAR(A5477),MONTH(A5477),1)</f>
        <v>46113</v>
      </c>
      <c r="G5477" s="24" t="str">
        <f aca="false">INDEX(Products!$C$2:$C$49,MATCH(C5477,Products!$A$2:$A$49,0))</f>
        <v>Household</v>
      </c>
      <c r="H5477" s="33" t="n">
        <f aca="false">D5477*INDEX(Products!$E$2:$E$49,MATCH(C5477,Products!$A$2:$A$49,0))</f>
        <v>19320</v>
      </c>
      <c r="I5477" s="33" t="n">
        <f aca="false">D5477*INDEX(Products!$D$2:$D$49,MATCH(C5477,Products!$A$2:$A$49,0))*(1+INDEX(Assumptions!$B$16:$B$20,MATCH(B5477,Assumptions!$A$16:$A$20,0)))</f>
        <v>14732.88</v>
      </c>
      <c r="J5477" s="33" t="n">
        <f aca="false">H5477-I5477</f>
        <v>4587.12</v>
      </c>
      <c r="K5477" s="33" t="n">
        <f aca="false">IF(OR(E5477=0,E5477&gt;=7),0,D5477/(7-E5477)*E5477*INDEX(Products!$E$2:$E$49,MATCH(C5477,Products!$A$2:$A$49,0)))</f>
        <v>0</v>
      </c>
    </row>
    <row r="5478" customFormat="false" ht="15" hidden="false" customHeight="false" outlineLevel="0" collapsed="false">
      <c r="A5478" s="36" t="n">
        <v>46125</v>
      </c>
      <c r="B5478" s="24" t="s">
        <v>65</v>
      </c>
      <c r="C5478" s="24" t="s">
        <v>169</v>
      </c>
      <c r="D5478" s="33" t="n">
        <v>42</v>
      </c>
      <c r="E5478" s="24" t="n">
        <v>0</v>
      </c>
      <c r="F5478" s="37" t="n">
        <f aca="false">DATE(YEAR(A5478),MONTH(A5478),1)</f>
        <v>46113</v>
      </c>
      <c r="G5478" s="24" t="str">
        <f aca="false">INDEX(Products!$C$2:$C$49,MATCH(C5478,Products!$A$2:$A$49,0))</f>
        <v>Household</v>
      </c>
      <c r="H5478" s="33" t="n">
        <f aca="false">D5478*INDEX(Products!$E$2:$E$49,MATCH(C5478,Products!$A$2:$A$49,0))</f>
        <v>17640</v>
      </c>
      <c r="I5478" s="33" t="n">
        <f aca="false">D5478*INDEX(Products!$D$2:$D$49,MATCH(C5478,Products!$A$2:$A$49,0))*(1+INDEX(Assumptions!$B$16:$B$20,MATCH(B5478,Assumptions!$A$16:$A$20,0)))</f>
        <v>13451.76</v>
      </c>
      <c r="J5478" s="33" t="n">
        <f aca="false">H5478-I5478</f>
        <v>4188.24</v>
      </c>
      <c r="K5478" s="33" t="n">
        <f aca="false">IF(OR(E5478=0,E5478&gt;=7),0,D5478/(7-E5478)*E5478*INDEX(Products!$E$2:$E$49,MATCH(C5478,Products!$A$2:$A$49,0)))</f>
        <v>0</v>
      </c>
    </row>
    <row r="5479" customFormat="false" ht="15" hidden="false" customHeight="false" outlineLevel="0" collapsed="false">
      <c r="A5479" s="36" t="n">
        <v>46132</v>
      </c>
      <c r="B5479" s="24" t="s">
        <v>65</v>
      </c>
      <c r="C5479" s="24" t="s">
        <v>169</v>
      </c>
      <c r="D5479" s="33" t="n">
        <v>65</v>
      </c>
      <c r="E5479" s="24" t="n">
        <v>0</v>
      </c>
      <c r="F5479" s="37" t="n">
        <f aca="false">DATE(YEAR(A5479),MONTH(A5479),1)</f>
        <v>46113</v>
      </c>
      <c r="G5479" s="24" t="str">
        <f aca="false">INDEX(Products!$C$2:$C$49,MATCH(C5479,Products!$A$2:$A$49,0))</f>
        <v>Household</v>
      </c>
      <c r="H5479" s="33" t="n">
        <f aca="false">D5479*INDEX(Products!$E$2:$E$49,MATCH(C5479,Products!$A$2:$A$49,0))</f>
        <v>27300</v>
      </c>
      <c r="I5479" s="33" t="n">
        <f aca="false">D5479*INDEX(Products!$D$2:$D$49,MATCH(C5479,Products!$A$2:$A$49,0))*(1+INDEX(Assumptions!$B$16:$B$20,MATCH(B5479,Assumptions!$A$16:$A$20,0)))</f>
        <v>20818.2</v>
      </c>
      <c r="J5479" s="33" t="n">
        <f aca="false">H5479-I5479</f>
        <v>6481.8</v>
      </c>
      <c r="K5479" s="33" t="n">
        <f aca="false">IF(OR(E5479=0,E5479&gt;=7),0,D5479/(7-E5479)*E5479*INDEX(Products!$E$2:$E$49,MATCH(C5479,Products!$A$2:$A$49,0)))</f>
        <v>0</v>
      </c>
    </row>
    <row r="5480" customFormat="false" ht="15" hidden="false" customHeight="false" outlineLevel="0" collapsed="false">
      <c r="A5480" s="36" t="n">
        <v>46139</v>
      </c>
      <c r="B5480" s="24" t="s">
        <v>65</v>
      </c>
      <c r="C5480" s="24" t="s">
        <v>169</v>
      </c>
      <c r="D5480" s="33" t="n">
        <v>57</v>
      </c>
      <c r="E5480" s="24" t="n">
        <v>0</v>
      </c>
      <c r="F5480" s="37" t="n">
        <f aca="false">DATE(YEAR(A5480),MONTH(A5480),1)</f>
        <v>46113</v>
      </c>
      <c r="G5480" s="24" t="str">
        <f aca="false">INDEX(Products!$C$2:$C$49,MATCH(C5480,Products!$A$2:$A$49,0))</f>
        <v>Household</v>
      </c>
      <c r="H5480" s="33" t="n">
        <f aca="false">D5480*INDEX(Products!$E$2:$E$49,MATCH(C5480,Products!$A$2:$A$49,0))</f>
        <v>23940</v>
      </c>
      <c r="I5480" s="33" t="n">
        <f aca="false">D5480*INDEX(Products!$D$2:$D$49,MATCH(C5480,Products!$A$2:$A$49,0))*(1+INDEX(Assumptions!$B$16:$B$20,MATCH(B5480,Assumptions!$A$16:$A$20,0)))</f>
        <v>18255.96</v>
      </c>
      <c r="J5480" s="33" t="n">
        <f aca="false">H5480-I5480</f>
        <v>5684.04</v>
      </c>
      <c r="K5480" s="33" t="n">
        <f aca="false">IF(OR(E5480=0,E5480&gt;=7),0,D5480/(7-E5480)*E5480*INDEX(Products!$E$2:$E$49,MATCH(C5480,Products!$A$2:$A$49,0)))</f>
        <v>0</v>
      </c>
    </row>
    <row r="5481" customFormat="false" ht="15" hidden="false" customHeight="false" outlineLevel="0" collapsed="false">
      <c r="A5481" s="36" t="n">
        <v>46146</v>
      </c>
      <c r="B5481" s="24" t="s">
        <v>65</v>
      </c>
      <c r="C5481" s="24" t="s">
        <v>169</v>
      </c>
      <c r="D5481" s="33" t="n">
        <v>58</v>
      </c>
      <c r="E5481" s="24" t="n">
        <v>0</v>
      </c>
      <c r="F5481" s="37" t="n">
        <f aca="false">DATE(YEAR(A5481),MONTH(A5481),1)</f>
        <v>46143</v>
      </c>
      <c r="G5481" s="24" t="str">
        <f aca="false">INDEX(Products!$C$2:$C$49,MATCH(C5481,Products!$A$2:$A$49,0))</f>
        <v>Household</v>
      </c>
      <c r="H5481" s="33" t="n">
        <f aca="false">D5481*INDEX(Products!$E$2:$E$49,MATCH(C5481,Products!$A$2:$A$49,0))</f>
        <v>24360</v>
      </c>
      <c r="I5481" s="33" t="n">
        <f aca="false">D5481*INDEX(Products!$D$2:$D$49,MATCH(C5481,Products!$A$2:$A$49,0))*(1+INDEX(Assumptions!$B$16:$B$20,MATCH(B5481,Assumptions!$A$16:$A$20,0)))</f>
        <v>18576.24</v>
      </c>
      <c r="J5481" s="33" t="n">
        <f aca="false">H5481-I5481</f>
        <v>5783.76</v>
      </c>
      <c r="K5481" s="33" t="n">
        <f aca="false">IF(OR(E5481=0,E5481&gt;=7),0,D5481/(7-E5481)*E5481*INDEX(Products!$E$2:$E$49,MATCH(C5481,Products!$A$2:$A$49,0)))</f>
        <v>0</v>
      </c>
    </row>
    <row r="5482" customFormat="false" ht="15" hidden="false" customHeight="false" outlineLevel="0" collapsed="false">
      <c r="A5482" s="36" t="n">
        <v>46153</v>
      </c>
      <c r="B5482" s="24" t="s">
        <v>65</v>
      </c>
      <c r="C5482" s="24" t="s">
        <v>169</v>
      </c>
      <c r="D5482" s="33" t="n">
        <v>43</v>
      </c>
      <c r="E5482" s="24" t="n">
        <v>0</v>
      </c>
      <c r="F5482" s="37" t="n">
        <f aca="false">DATE(YEAR(A5482),MONTH(A5482),1)</f>
        <v>46143</v>
      </c>
      <c r="G5482" s="24" t="str">
        <f aca="false">INDEX(Products!$C$2:$C$49,MATCH(C5482,Products!$A$2:$A$49,0))</f>
        <v>Household</v>
      </c>
      <c r="H5482" s="33" t="n">
        <f aca="false">D5482*INDEX(Products!$E$2:$E$49,MATCH(C5482,Products!$A$2:$A$49,0))</f>
        <v>18060</v>
      </c>
      <c r="I5482" s="33" t="n">
        <f aca="false">D5482*INDEX(Products!$D$2:$D$49,MATCH(C5482,Products!$A$2:$A$49,0))*(1+INDEX(Assumptions!$B$16:$B$20,MATCH(B5482,Assumptions!$A$16:$A$20,0)))</f>
        <v>13772.04</v>
      </c>
      <c r="J5482" s="33" t="n">
        <f aca="false">H5482-I5482</f>
        <v>4287.96</v>
      </c>
      <c r="K5482" s="33" t="n">
        <f aca="false">IF(OR(E5482=0,E5482&gt;=7),0,D5482/(7-E5482)*E5482*INDEX(Products!$E$2:$E$49,MATCH(C5482,Products!$A$2:$A$49,0)))</f>
        <v>0</v>
      </c>
    </row>
    <row r="5483" customFormat="false" ht="15" hidden="false" customHeight="false" outlineLevel="0" collapsed="false">
      <c r="A5483" s="36" t="n">
        <v>46160</v>
      </c>
      <c r="B5483" s="24" t="s">
        <v>65</v>
      </c>
      <c r="C5483" s="24" t="s">
        <v>169</v>
      </c>
      <c r="D5483" s="33" t="n">
        <v>32</v>
      </c>
      <c r="E5483" s="24" t="n">
        <v>0</v>
      </c>
      <c r="F5483" s="37" t="n">
        <f aca="false">DATE(YEAR(A5483),MONTH(A5483),1)</f>
        <v>46143</v>
      </c>
      <c r="G5483" s="24" t="str">
        <f aca="false">INDEX(Products!$C$2:$C$49,MATCH(C5483,Products!$A$2:$A$49,0))</f>
        <v>Household</v>
      </c>
      <c r="H5483" s="33" t="n">
        <f aca="false">D5483*INDEX(Products!$E$2:$E$49,MATCH(C5483,Products!$A$2:$A$49,0))</f>
        <v>13440</v>
      </c>
      <c r="I5483" s="33" t="n">
        <f aca="false">D5483*INDEX(Products!$D$2:$D$49,MATCH(C5483,Products!$A$2:$A$49,0))*(1+INDEX(Assumptions!$B$16:$B$20,MATCH(B5483,Assumptions!$A$16:$A$20,0)))</f>
        <v>10248.96</v>
      </c>
      <c r="J5483" s="33" t="n">
        <f aca="false">H5483-I5483</f>
        <v>3191.04</v>
      </c>
      <c r="K5483" s="33" t="n">
        <f aca="false">IF(OR(E5483=0,E5483&gt;=7),0,D5483/(7-E5483)*E5483*INDEX(Products!$E$2:$E$49,MATCH(C5483,Products!$A$2:$A$49,0)))</f>
        <v>0</v>
      </c>
    </row>
    <row r="5484" customFormat="false" ht="15" hidden="false" customHeight="false" outlineLevel="0" collapsed="false">
      <c r="A5484" s="36" t="n">
        <v>46167</v>
      </c>
      <c r="B5484" s="24" t="s">
        <v>65</v>
      </c>
      <c r="C5484" s="24" t="s">
        <v>169</v>
      </c>
      <c r="D5484" s="33" t="n">
        <v>40</v>
      </c>
      <c r="E5484" s="24" t="n">
        <v>0</v>
      </c>
      <c r="F5484" s="37" t="n">
        <f aca="false">DATE(YEAR(A5484),MONTH(A5484),1)</f>
        <v>46143</v>
      </c>
      <c r="G5484" s="24" t="str">
        <f aca="false">INDEX(Products!$C$2:$C$49,MATCH(C5484,Products!$A$2:$A$49,0))</f>
        <v>Household</v>
      </c>
      <c r="H5484" s="33" t="n">
        <f aca="false">D5484*INDEX(Products!$E$2:$E$49,MATCH(C5484,Products!$A$2:$A$49,0))</f>
        <v>16800</v>
      </c>
      <c r="I5484" s="33" t="n">
        <f aca="false">D5484*INDEX(Products!$D$2:$D$49,MATCH(C5484,Products!$A$2:$A$49,0))*(1+INDEX(Assumptions!$B$16:$B$20,MATCH(B5484,Assumptions!$A$16:$A$20,0)))</f>
        <v>12811.2</v>
      </c>
      <c r="J5484" s="33" t="n">
        <f aca="false">H5484-I5484</f>
        <v>3988.8</v>
      </c>
      <c r="K5484" s="33" t="n">
        <f aca="false">IF(OR(E5484=0,E5484&gt;=7),0,D5484/(7-E5484)*E5484*INDEX(Products!$E$2:$E$49,MATCH(C5484,Products!$A$2:$A$49,0)))</f>
        <v>0</v>
      </c>
    </row>
    <row r="5485" customFormat="false" ht="15" hidden="false" customHeight="false" outlineLevel="0" collapsed="false">
      <c r="A5485" s="36" t="n">
        <v>46174</v>
      </c>
      <c r="B5485" s="24" t="s">
        <v>65</v>
      </c>
      <c r="C5485" s="24" t="s">
        <v>169</v>
      </c>
      <c r="D5485" s="33" t="n">
        <v>42</v>
      </c>
      <c r="E5485" s="24" t="n">
        <v>0</v>
      </c>
      <c r="F5485" s="37" t="n">
        <f aca="false">DATE(YEAR(A5485),MONTH(A5485),1)</f>
        <v>46174</v>
      </c>
      <c r="G5485" s="24" t="str">
        <f aca="false">INDEX(Products!$C$2:$C$49,MATCH(C5485,Products!$A$2:$A$49,0))</f>
        <v>Household</v>
      </c>
      <c r="H5485" s="33" t="n">
        <f aca="false">D5485*INDEX(Products!$E$2:$E$49,MATCH(C5485,Products!$A$2:$A$49,0))</f>
        <v>17640</v>
      </c>
      <c r="I5485" s="33" t="n">
        <f aca="false">D5485*INDEX(Products!$D$2:$D$49,MATCH(C5485,Products!$A$2:$A$49,0))*(1+INDEX(Assumptions!$B$16:$B$20,MATCH(B5485,Assumptions!$A$16:$A$20,0)))</f>
        <v>13451.76</v>
      </c>
      <c r="J5485" s="33" t="n">
        <f aca="false">H5485-I5485</f>
        <v>4188.24</v>
      </c>
      <c r="K5485" s="33" t="n">
        <f aca="false">IF(OR(E5485=0,E5485&gt;=7),0,D5485/(7-E5485)*E5485*INDEX(Products!$E$2:$E$49,MATCH(C5485,Products!$A$2:$A$49,0)))</f>
        <v>0</v>
      </c>
    </row>
    <row r="5486" customFormat="false" ht="15" hidden="false" customHeight="false" outlineLevel="0" collapsed="false">
      <c r="A5486" s="36" t="n">
        <v>46181</v>
      </c>
      <c r="B5486" s="24" t="s">
        <v>65</v>
      </c>
      <c r="C5486" s="24" t="s">
        <v>169</v>
      </c>
      <c r="D5486" s="33" t="n">
        <v>46</v>
      </c>
      <c r="E5486" s="24" t="n">
        <v>0</v>
      </c>
      <c r="F5486" s="37" t="n">
        <f aca="false">DATE(YEAR(A5486),MONTH(A5486),1)</f>
        <v>46174</v>
      </c>
      <c r="G5486" s="24" t="str">
        <f aca="false">INDEX(Products!$C$2:$C$49,MATCH(C5486,Products!$A$2:$A$49,0))</f>
        <v>Household</v>
      </c>
      <c r="H5486" s="33" t="n">
        <f aca="false">D5486*INDEX(Products!$E$2:$E$49,MATCH(C5486,Products!$A$2:$A$49,0))</f>
        <v>19320</v>
      </c>
      <c r="I5486" s="33" t="n">
        <f aca="false">D5486*INDEX(Products!$D$2:$D$49,MATCH(C5486,Products!$A$2:$A$49,0))*(1+INDEX(Assumptions!$B$16:$B$20,MATCH(B5486,Assumptions!$A$16:$A$20,0)))</f>
        <v>14732.88</v>
      </c>
      <c r="J5486" s="33" t="n">
        <f aca="false">H5486-I5486</f>
        <v>4587.12</v>
      </c>
      <c r="K5486" s="33" t="n">
        <f aca="false">IF(OR(E5486=0,E5486&gt;=7),0,D5486/(7-E5486)*E5486*INDEX(Products!$E$2:$E$49,MATCH(C5486,Products!$A$2:$A$49,0)))</f>
        <v>0</v>
      </c>
    </row>
    <row r="5487" customFormat="false" ht="15" hidden="false" customHeight="false" outlineLevel="0" collapsed="false">
      <c r="A5487" s="36" t="n">
        <v>46188</v>
      </c>
      <c r="B5487" s="24" t="s">
        <v>65</v>
      </c>
      <c r="C5487" s="24" t="s">
        <v>169</v>
      </c>
      <c r="D5487" s="33" t="n">
        <v>43</v>
      </c>
      <c r="E5487" s="24" t="n">
        <v>0</v>
      </c>
      <c r="F5487" s="37" t="n">
        <f aca="false">DATE(YEAR(A5487),MONTH(A5487),1)</f>
        <v>46174</v>
      </c>
      <c r="G5487" s="24" t="str">
        <f aca="false">INDEX(Products!$C$2:$C$49,MATCH(C5487,Products!$A$2:$A$49,0))</f>
        <v>Household</v>
      </c>
      <c r="H5487" s="33" t="n">
        <f aca="false">D5487*INDEX(Products!$E$2:$E$49,MATCH(C5487,Products!$A$2:$A$49,0))</f>
        <v>18060</v>
      </c>
      <c r="I5487" s="33" t="n">
        <f aca="false">D5487*INDEX(Products!$D$2:$D$49,MATCH(C5487,Products!$A$2:$A$49,0))*(1+INDEX(Assumptions!$B$16:$B$20,MATCH(B5487,Assumptions!$A$16:$A$20,0)))</f>
        <v>13772.04</v>
      </c>
      <c r="J5487" s="33" t="n">
        <f aca="false">H5487-I5487</f>
        <v>4287.96</v>
      </c>
      <c r="K5487" s="33" t="n">
        <f aca="false">IF(OR(E5487=0,E5487&gt;=7),0,D5487/(7-E5487)*E5487*INDEX(Products!$E$2:$E$49,MATCH(C5487,Products!$A$2:$A$49,0)))</f>
        <v>0</v>
      </c>
    </row>
    <row r="5488" customFormat="false" ht="15" hidden="false" customHeight="false" outlineLevel="0" collapsed="false">
      <c r="A5488" s="36" t="n">
        <v>46195</v>
      </c>
      <c r="B5488" s="24" t="s">
        <v>65</v>
      </c>
      <c r="C5488" s="24" t="s">
        <v>169</v>
      </c>
      <c r="D5488" s="33" t="n">
        <v>36</v>
      </c>
      <c r="E5488" s="24" t="n">
        <v>0</v>
      </c>
      <c r="F5488" s="37" t="n">
        <f aca="false">DATE(YEAR(A5488),MONTH(A5488),1)</f>
        <v>46174</v>
      </c>
      <c r="G5488" s="24" t="str">
        <f aca="false">INDEX(Products!$C$2:$C$49,MATCH(C5488,Products!$A$2:$A$49,0))</f>
        <v>Household</v>
      </c>
      <c r="H5488" s="33" t="n">
        <f aca="false">D5488*INDEX(Products!$E$2:$E$49,MATCH(C5488,Products!$A$2:$A$49,0))</f>
        <v>15120</v>
      </c>
      <c r="I5488" s="33" t="n">
        <f aca="false">D5488*INDEX(Products!$D$2:$D$49,MATCH(C5488,Products!$A$2:$A$49,0))*(1+INDEX(Assumptions!$B$16:$B$20,MATCH(B5488,Assumptions!$A$16:$A$20,0)))</f>
        <v>11530.08</v>
      </c>
      <c r="J5488" s="33" t="n">
        <f aca="false">H5488-I5488</f>
        <v>3589.92</v>
      </c>
      <c r="K5488" s="33" t="n">
        <f aca="false">IF(OR(E5488=0,E5488&gt;=7),0,D5488/(7-E5488)*E5488*INDEX(Products!$E$2:$E$49,MATCH(C5488,Products!$A$2:$A$49,0)))</f>
        <v>0</v>
      </c>
    </row>
    <row r="5489" customFormat="false" ht="15" hidden="false" customHeight="false" outlineLevel="0" collapsed="false">
      <c r="A5489" s="36" t="n">
        <v>46202</v>
      </c>
      <c r="B5489" s="24" t="s">
        <v>65</v>
      </c>
      <c r="C5489" s="24" t="s">
        <v>169</v>
      </c>
      <c r="D5489" s="33" t="n">
        <v>35</v>
      </c>
      <c r="E5489" s="24" t="n">
        <v>0</v>
      </c>
      <c r="F5489" s="37" t="n">
        <f aca="false">DATE(YEAR(A5489),MONTH(A5489),1)</f>
        <v>46174</v>
      </c>
      <c r="G5489" s="24" t="str">
        <f aca="false">INDEX(Products!$C$2:$C$49,MATCH(C5489,Products!$A$2:$A$49,0))</f>
        <v>Household</v>
      </c>
      <c r="H5489" s="33" t="n">
        <f aca="false">D5489*INDEX(Products!$E$2:$E$49,MATCH(C5489,Products!$A$2:$A$49,0))</f>
        <v>14700</v>
      </c>
      <c r="I5489" s="33" t="n">
        <f aca="false">D5489*INDEX(Products!$D$2:$D$49,MATCH(C5489,Products!$A$2:$A$49,0))*(1+INDEX(Assumptions!$B$16:$B$20,MATCH(B5489,Assumptions!$A$16:$A$20,0)))</f>
        <v>11209.8</v>
      </c>
      <c r="J5489" s="33" t="n">
        <f aca="false">H5489-I5489</f>
        <v>3490.2</v>
      </c>
      <c r="K5489" s="33" t="n">
        <f aca="false">IF(OR(E5489=0,E5489&gt;=7),0,D5489/(7-E5489)*E5489*INDEX(Products!$E$2:$E$49,MATCH(C5489,Products!$A$2:$A$49,0)))</f>
        <v>0</v>
      </c>
    </row>
    <row r="5490" customFormat="false" ht="15" hidden="false" customHeight="false" outlineLevel="0" collapsed="false">
      <c r="A5490" s="36" t="n">
        <v>46209</v>
      </c>
      <c r="B5490" s="24" t="s">
        <v>65</v>
      </c>
      <c r="C5490" s="24" t="s">
        <v>169</v>
      </c>
      <c r="D5490" s="33" t="n">
        <v>36</v>
      </c>
      <c r="E5490" s="24" t="n">
        <v>0</v>
      </c>
      <c r="F5490" s="37" t="n">
        <f aca="false">DATE(YEAR(A5490),MONTH(A5490),1)</f>
        <v>46204</v>
      </c>
      <c r="G5490" s="24" t="str">
        <f aca="false">INDEX(Products!$C$2:$C$49,MATCH(C5490,Products!$A$2:$A$49,0))</f>
        <v>Household</v>
      </c>
      <c r="H5490" s="33" t="n">
        <f aca="false">D5490*INDEX(Products!$E$2:$E$49,MATCH(C5490,Products!$A$2:$A$49,0))</f>
        <v>15120</v>
      </c>
      <c r="I5490" s="33" t="n">
        <f aca="false">D5490*INDEX(Products!$D$2:$D$49,MATCH(C5490,Products!$A$2:$A$49,0))*(1+INDEX(Assumptions!$B$16:$B$20,MATCH(B5490,Assumptions!$A$16:$A$20,0)))</f>
        <v>11530.08</v>
      </c>
      <c r="J5490" s="33" t="n">
        <f aca="false">H5490-I5490</f>
        <v>3589.92</v>
      </c>
      <c r="K5490" s="33" t="n">
        <f aca="false">IF(OR(E5490=0,E5490&gt;=7),0,D5490/(7-E5490)*E5490*INDEX(Products!$E$2:$E$49,MATCH(C5490,Products!$A$2:$A$49,0)))</f>
        <v>0</v>
      </c>
    </row>
    <row r="5491" customFormat="false" ht="15" hidden="false" customHeight="false" outlineLevel="0" collapsed="false">
      <c r="A5491" s="36" t="n">
        <v>46216</v>
      </c>
      <c r="B5491" s="24" t="s">
        <v>65</v>
      </c>
      <c r="C5491" s="24" t="s">
        <v>169</v>
      </c>
      <c r="D5491" s="33" t="n">
        <v>38</v>
      </c>
      <c r="E5491" s="24" t="n">
        <v>0</v>
      </c>
      <c r="F5491" s="37" t="n">
        <f aca="false">DATE(YEAR(A5491),MONTH(A5491),1)</f>
        <v>46204</v>
      </c>
      <c r="G5491" s="24" t="str">
        <f aca="false">INDEX(Products!$C$2:$C$49,MATCH(C5491,Products!$A$2:$A$49,0))</f>
        <v>Household</v>
      </c>
      <c r="H5491" s="33" t="n">
        <f aca="false">D5491*INDEX(Products!$E$2:$E$49,MATCH(C5491,Products!$A$2:$A$49,0))</f>
        <v>15960</v>
      </c>
      <c r="I5491" s="33" t="n">
        <f aca="false">D5491*INDEX(Products!$D$2:$D$49,MATCH(C5491,Products!$A$2:$A$49,0))*(1+INDEX(Assumptions!$B$16:$B$20,MATCH(B5491,Assumptions!$A$16:$A$20,0)))</f>
        <v>12170.64</v>
      </c>
      <c r="J5491" s="33" t="n">
        <f aca="false">H5491-I5491</f>
        <v>3789.36</v>
      </c>
      <c r="K5491" s="33" t="n">
        <f aca="false">IF(OR(E5491=0,E5491&gt;=7),0,D5491/(7-E5491)*E5491*INDEX(Products!$E$2:$E$49,MATCH(C5491,Products!$A$2:$A$49,0)))</f>
        <v>0</v>
      </c>
    </row>
    <row r="5492" customFormat="false" ht="15" hidden="false" customHeight="false" outlineLevel="0" collapsed="false">
      <c r="A5492" s="36" t="n">
        <v>46223</v>
      </c>
      <c r="B5492" s="24" t="s">
        <v>65</v>
      </c>
      <c r="C5492" s="24" t="s">
        <v>169</v>
      </c>
      <c r="D5492" s="33" t="n">
        <v>38</v>
      </c>
      <c r="E5492" s="24" t="n">
        <v>0</v>
      </c>
      <c r="F5492" s="37" t="n">
        <f aca="false">DATE(YEAR(A5492),MONTH(A5492),1)</f>
        <v>46204</v>
      </c>
      <c r="G5492" s="24" t="str">
        <f aca="false">INDEX(Products!$C$2:$C$49,MATCH(C5492,Products!$A$2:$A$49,0))</f>
        <v>Household</v>
      </c>
      <c r="H5492" s="33" t="n">
        <f aca="false">D5492*INDEX(Products!$E$2:$E$49,MATCH(C5492,Products!$A$2:$A$49,0))</f>
        <v>15960</v>
      </c>
      <c r="I5492" s="33" t="n">
        <f aca="false">D5492*INDEX(Products!$D$2:$D$49,MATCH(C5492,Products!$A$2:$A$49,0))*(1+INDEX(Assumptions!$B$16:$B$20,MATCH(B5492,Assumptions!$A$16:$A$20,0)))</f>
        <v>12170.64</v>
      </c>
      <c r="J5492" s="33" t="n">
        <f aca="false">H5492-I5492</f>
        <v>3789.36</v>
      </c>
      <c r="K5492" s="33" t="n">
        <f aca="false">IF(OR(E5492=0,E5492&gt;=7),0,D5492/(7-E5492)*E5492*INDEX(Products!$E$2:$E$49,MATCH(C5492,Products!$A$2:$A$49,0)))</f>
        <v>0</v>
      </c>
    </row>
    <row r="5493" customFormat="false" ht="15" hidden="false" customHeight="false" outlineLevel="0" collapsed="false">
      <c r="A5493" s="36" t="n">
        <v>46230</v>
      </c>
      <c r="B5493" s="24" t="s">
        <v>65</v>
      </c>
      <c r="C5493" s="24" t="s">
        <v>169</v>
      </c>
      <c r="D5493" s="33" t="n">
        <v>45</v>
      </c>
      <c r="E5493" s="24" t="n">
        <v>0</v>
      </c>
      <c r="F5493" s="37" t="n">
        <f aca="false">DATE(YEAR(A5493),MONTH(A5493),1)</f>
        <v>46204</v>
      </c>
      <c r="G5493" s="24" t="str">
        <f aca="false">INDEX(Products!$C$2:$C$49,MATCH(C5493,Products!$A$2:$A$49,0))</f>
        <v>Household</v>
      </c>
      <c r="H5493" s="33" t="n">
        <f aca="false">D5493*INDEX(Products!$E$2:$E$49,MATCH(C5493,Products!$A$2:$A$49,0))</f>
        <v>18900</v>
      </c>
      <c r="I5493" s="33" t="n">
        <f aca="false">D5493*INDEX(Products!$D$2:$D$49,MATCH(C5493,Products!$A$2:$A$49,0))*(1+INDEX(Assumptions!$B$16:$B$20,MATCH(B5493,Assumptions!$A$16:$A$20,0)))</f>
        <v>14412.6</v>
      </c>
      <c r="J5493" s="33" t="n">
        <f aca="false">H5493-I5493</f>
        <v>4487.4</v>
      </c>
      <c r="K5493" s="33" t="n">
        <f aca="false">IF(OR(E5493=0,E5493&gt;=7),0,D5493/(7-E5493)*E5493*INDEX(Products!$E$2:$E$49,MATCH(C5493,Products!$A$2:$A$49,0)))</f>
        <v>0</v>
      </c>
    </row>
    <row r="5494" customFormat="false" ht="15" hidden="false" customHeight="false" outlineLevel="0" collapsed="false">
      <c r="A5494" s="36" t="n">
        <v>46237</v>
      </c>
      <c r="B5494" s="24" t="s">
        <v>65</v>
      </c>
      <c r="C5494" s="24" t="s">
        <v>169</v>
      </c>
      <c r="D5494" s="33" t="n">
        <v>31</v>
      </c>
      <c r="E5494" s="24" t="n">
        <v>0</v>
      </c>
      <c r="F5494" s="37" t="n">
        <f aca="false">DATE(YEAR(A5494),MONTH(A5494),1)</f>
        <v>46235</v>
      </c>
      <c r="G5494" s="24" t="str">
        <f aca="false">INDEX(Products!$C$2:$C$49,MATCH(C5494,Products!$A$2:$A$49,0))</f>
        <v>Household</v>
      </c>
      <c r="H5494" s="33" t="n">
        <f aca="false">D5494*INDEX(Products!$E$2:$E$49,MATCH(C5494,Products!$A$2:$A$49,0))</f>
        <v>13020</v>
      </c>
      <c r="I5494" s="33" t="n">
        <f aca="false">D5494*INDEX(Products!$D$2:$D$49,MATCH(C5494,Products!$A$2:$A$49,0))*(1+INDEX(Assumptions!$B$16:$B$20,MATCH(B5494,Assumptions!$A$16:$A$20,0)))</f>
        <v>9928.68</v>
      </c>
      <c r="J5494" s="33" t="n">
        <f aca="false">H5494-I5494</f>
        <v>3091.32</v>
      </c>
      <c r="K5494" s="33" t="n">
        <f aca="false">IF(OR(E5494=0,E5494&gt;=7),0,D5494/(7-E5494)*E5494*INDEX(Products!$E$2:$E$49,MATCH(C5494,Products!$A$2:$A$49,0)))</f>
        <v>0</v>
      </c>
    </row>
    <row r="5495" customFormat="false" ht="15" hidden="false" customHeight="false" outlineLevel="0" collapsed="false">
      <c r="A5495" s="36" t="n">
        <v>46244</v>
      </c>
      <c r="B5495" s="24" t="s">
        <v>65</v>
      </c>
      <c r="C5495" s="24" t="s">
        <v>169</v>
      </c>
      <c r="D5495" s="33" t="n">
        <v>25</v>
      </c>
      <c r="E5495" s="24" t="n">
        <v>0</v>
      </c>
      <c r="F5495" s="37" t="n">
        <f aca="false">DATE(YEAR(A5495),MONTH(A5495),1)</f>
        <v>46235</v>
      </c>
      <c r="G5495" s="24" t="str">
        <f aca="false">INDEX(Products!$C$2:$C$49,MATCH(C5495,Products!$A$2:$A$49,0))</f>
        <v>Household</v>
      </c>
      <c r="H5495" s="33" t="n">
        <f aca="false">D5495*INDEX(Products!$E$2:$E$49,MATCH(C5495,Products!$A$2:$A$49,0))</f>
        <v>10500</v>
      </c>
      <c r="I5495" s="33" t="n">
        <f aca="false">D5495*INDEX(Products!$D$2:$D$49,MATCH(C5495,Products!$A$2:$A$49,0))*(1+INDEX(Assumptions!$B$16:$B$20,MATCH(B5495,Assumptions!$A$16:$A$20,0)))</f>
        <v>8007</v>
      </c>
      <c r="J5495" s="33" t="n">
        <f aca="false">H5495-I5495</f>
        <v>2493</v>
      </c>
      <c r="K5495" s="33" t="n">
        <f aca="false">IF(OR(E5495=0,E5495&gt;=7),0,D5495/(7-E5495)*E5495*INDEX(Products!$E$2:$E$49,MATCH(C5495,Products!$A$2:$A$49,0)))</f>
        <v>0</v>
      </c>
    </row>
    <row r="5496" customFormat="false" ht="15" hidden="false" customHeight="false" outlineLevel="0" collapsed="false">
      <c r="A5496" s="36" t="n">
        <v>46251</v>
      </c>
      <c r="B5496" s="24" t="s">
        <v>65</v>
      </c>
      <c r="C5496" s="24" t="s">
        <v>169</v>
      </c>
      <c r="D5496" s="33" t="n">
        <v>29</v>
      </c>
      <c r="E5496" s="24" t="n">
        <v>0</v>
      </c>
      <c r="F5496" s="37" t="n">
        <f aca="false">DATE(YEAR(A5496),MONTH(A5496),1)</f>
        <v>46235</v>
      </c>
      <c r="G5496" s="24" t="str">
        <f aca="false">INDEX(Products!$C$2:$C$49,MATCH(C5496,Products!$A$2:$A$49,0))</f>
        <v>Household</v>
      </c>
      <c r="H5496" s="33" t="n">
        <f aca="false">D5496*INDEX(Products!$E$2:$E$49,MATCH(C5496,Products!$A$2:$A$49,0))</f>
        <v>12180</v>
      </c>
      <c r="I5496" s="33" t="n">
        <f aca="false">D5496*INDEX(Products!$D$2:$D$49,MATCH(C5496,Products!$A$2:$A$49,0))*(1+INDEX(Assumptions!$B$16:$B$20,MATCH(B5496,Assumptions!$A$16:$A$20,0)))</f>
        <v>9288.12</v>
      </c>
      <c r="J5496" s="33" t="n">
        <f aca="false">H5496-I5496</f>
        <v>2891.88</v>
      </c>
      <c r="K5496" s="33" t="n">
        <f aca="false">IF(OR(E5496=0,E5496&gt;=7),0,D5496/(7-E5496)*E5496*INDEX(Products!$E$2:$E$49,MATCH(C5496,Products!$A$2:$A$49,0)))</f>
        <v>0</v>
      </c>
    </row>
    <row r="5497" customFormat="false" ht="15" hidden="false" customHeight="false" outlineLevel="0" collapsed="false">
      <c r="A5497" s="36" t="n">
        <v>46258</v>
      </c>
      <c r="B5497" s="24" t="s">
        <v>65</v>
      </c>
      <c r="C5497" s="24" t="s">
        <v>169</v>
      </c>
      <c r="D5497" s="33" t="n">
        <v>29</v>
      </c>
      <c r="E5497" s="24" t="n">
        <v>0</v>
      </c>
      <c r="F5497" s="37" t="n">
        <f aca="false">DATE(YEAR(A5497),MONTH(A5497),1)</f>
        <v>46235</v>
      </c>
      <c r="G5497" s="24" t="str">
        <f aca="false">INDEX(Products!$C$2:$C$49,MATCH(C5497,Products!$A$2:$A$49,0))</f>
        <v>Household</v>
      </c>
      <c r="H5497" s="33" t="n">
        <f aca="false">D5497*INDEX(Products!$E$2:$E$49,MATCH(C5497,Products!$A$2:$A$49,0))</f>
        <v>12180</v>
      </c>
      <c r="I5497" s="33" t="n">
        <f aca="false">D5497*INDEX(Products!$D$2:$D$49,MATCH(C5497,Products!$A$2:$A$49,0))*(1+INDEX(Assumptions!$B$16:$B$20,MATCH(B5497,Assumptions!$A$16:$A$20,0)))</f>
        <v>9288.12</v>
      </c>
      <c r="J5497" s="33" t="n">
        <f aca="false">H5497-I5497</f>
        <v>2891.88</v>
      </c>
      <c r="K5497" s="33" t="n">
        <f aca="false">IF(OR(E5497=0,E5497&gt;=7),0,D5497/(7-E5497)*E5497*INDEX(Products!$E$2:$E$49,MATCH(C5497,Products!$A$2:$A$49,0)))</f>
        <v>0</v>
      </c>
    </row>
    <row r="5498" customFormat="false" ht="15" hidden="false" customHeight="false" outlineLevel="0" collapsed="false">
      <c r="A5498" s="36" t="n">
        <v>46265</v>
      </c>
      <c r="B5498" s="24" t="s">
        <v>65</v>
      </c>
      <c r="C5498" s="24" t="s">
        <v>169</v>
      </c>
      <c r="D5498" s="33" t="n">
        <v>17</v>
      </c>
      <c r="E5498" s="24" t="n">
        <v>2</v>
      </c>
      <c r="F5498" s="37" t="n">
        <f aca="false">DATE(YEAR(A5498),MONTH(A5498),1)</f>
        <v>46235</v>
      </c>
      <c r="G5498" s="24" t="str">
        <f aca="false">INDEX(Products!$C$2:$C$49,MATCH(C5498,Products!$A$2:$A$49,0))</f>
        <v>Household</v>
      </c>
      <c r="H5498" s="33" t="n">
        <f aca="false">D5498*INDEX(Products!$E$2:$E$49,MATCH(C5498,Products!$A$2:$A$49,0))</f>
        <v>7140</v>
      </c>
      <c r="I5498" s="33" t="n">
        <f aca="false">D5498*INDEX(Products!$D$2:$D$49,MATCH(C5498,Products!$A$2:$A$49,0))*(1+INDEX(Assumptions!$B$16:$B$20,MATCH(B5498,Assumptions!$A$16:$A$20,0)))</f>
        <v>5444.76</v>
      </c>
      <c r="J5498" s="33" t="n">
        <f aca="false">H5498-I5498</f>
        <v>1695.24</v>
      </c>
      <c r="K5498" s="33" t="n">
        <f aca="false">IF(OR(E5498=0,E5498&gt;=7),0,D5498/(7-E5498)*E5498*INDEX(Products!$E$2:$E$49,MATCH(C5498,Products!$A$2:$A$49,0)))</f>
        <v>2856</v>
      </c>
    </row>
    <row r="5499" customFormat="false" ht="15" hidden="false" customHeight="false" outlineLevel="0" collapsed="false">
      <c r="A5499" s="36" t="n">
        <v>46272</v>
      </c>
      <c r="B5499" s="24" t="s">
        <v>65</v>
      </c>
      <c r="C5499" s="24" t="s">
        <v>169</v>
      </c>
      <c r="D5499" s="33" t="n">
        <v>26</v>
      </c>
      <c r="E5499" s="24" t="n">
        <v>0</v>
      </c>
      <c r="F5499" s="37" t="n">
        <f aca="false">DATE(YEAR(A5499),MONTH(A5499),1)</f>
        <v>46266</v>
      </c>
      <c r="G5499" s="24" t="str">
        <f aca="false">INDEX(Products!$C$2:$C$49,MATCH(C5499,Products!$A$2:$A$49,0))</f>
        <v>Household</v>
      </c>
      <c r="H5499" s="33" t="n">
        <f aca="false">D5499*INDEX(Products!$E$2:$E$49,MATCH(C5499,Products!$A$2:$A$49,0))</f>
        <v>10920</v>
      </c>
      <c r="I5499" s="33" t="n">
        <f aca="false">D5499*INDEX(Products!$D$2:$D$49,MATCH(C5499,Products!$A$2:$A$49,0))*(1+INDEX(Assumptions!$B$16:$B$20,MATCH(B5499,Assumptions!$A$16:$A$20,0)))</f>
        <v>8327.28</v>
      </c>
      <c r="J5499" s="33" t="n">
        <f aca="false">H5499-I5499</f>
        <v>2592.72</v>
      </c>
      <c r="K5499" s="33" t="n">
        <f aca="false">IF(OR(E5499=0,E5499&gt;=7),0,D5499/(7-E5499)*E5499*INDEX(Products!$E$2:$E$49,MATCH(C5499,Products!$A$2:$A$49,0)))</f>
        <v>0</v>
      </c>
    </row>
    <row r="5500" customFormat="false" ht="15" hidden="false" customHeight="false" outlineLevel="0" collapsed="false">
      <c r="A5500" s="36" t="n">
        <v>46279</v>
      </c>
      <c r="B5500" s="24" t="s">
        <v>65</v>
      </c>
      <c r="C5500" s="24" t="s">
        <v>169</v>
      </c>
      <c r="D5500" s="33" t="n">
        <v>24</v>
      </c>
      <c r="E5500" s="24" t="n">
        <v>0</v>
      </c>
      <c r="F5500" s="37" t="n">
        <f aca="false">DATE(YEAR(A5500),MONTH(A5500),1)</f>
        <v>46266</v>
      </c>
      <c r="G5500" s="24" t="str">
        <f aca="false">INDEX(Products!$C$2:$C$49,MATCH(C5500,Products!$A$2:$A$49,0))</f>
        <v>Household</v>
      </c>
      <c r="H5500" s="33" t="n">
        <f aca="false">D5500*INDEX(Products!$E$2:$E$49,MATCH(C5500,Products!$A$2:$A$49,0))</f>
        <v>10080</v>
      </c>
      <c r="I5500" s="33" t="n">
        <f aca="false">D5500*INDEX(Products!$D$2:$D$49,MATCH(C5500,Products!$A$2:$A$49,0))*(1+INDEX(Assumptions!$B$16:$B$20,MATCH(B5500,Assumptions!$A$16:$A$20,0)))</f>
        <v>7686.72</v>
      </c>
      <c r="J5500" s="33" t="n">
        <f aca="false">H5500-I5500</f>
        <v>2393.28</v>
      </c>
      <c r="K5500" s="33" t="n">
        <f aca="false">IF(OR(E5500=0,E5500&gt;=7),0,D5500/(7-E5500)*E5500*INDEX(Products!$E$2:$E$49,MATCH(C5500,Products!$A$2:$A$49,0)))</f>
        <v>0</v>
      </c>
    </row>
    <row r="5501" customFormat="false" ht="15" hidden="false" customHeight="false" outlineLevel="0" collapsed="false">
      <c r="A5501" s="36" t="n">
        <v>46286</v>
      </c>
      <c r="B5501" s="24" t="s">
        <v>65</v>
      </c>
      <c r="C5501" s="24" t="s">
        <v>169</v>
      </c>
      <c r="D5501" s="33" t="n">
        <v>30</v>
      </c>
      <c r="E5501" s="24" t="n">
        <v>0</v>
      </c>
      <c r="F5501" s="37" t="n">
        <f aca="false">DATE(YEAR(A5501),MONTH(A5501),1)</f>
        <v>46266</v>
      </c>
      <c r="G5501" s="24" t="str">
        <f aca="false">INDEX(Products!$C$2:$C$49,MATCH(C5501,Products!$A$2:$A$49,0))</f>
        <v>Household</v>
      </c>
      <c r="H5501" s="33" t="n">
        <f aca="false">D5501*INDEX(Products!$E$2:$E$49,MATCH(C5501,Products!$A$2:$A$49,0))</f>
        <v>12600</v>
      </c>
      <c r="I5501" s="33" t="n">
        <f aca="false">D5501*INDEX(Products!$D$2:$D$49,MATCH(C5501,Products!$A$2:$A$49,0))*(1+INDEX(Assumptions!$B$16:$B$20,MATCH(B5501,Assumptions!$A$16:$A$20,0)))</f>
        <v>9608.4</v>
      </c>
      <c r="J5501" s="33" t="n">
        <f aca="false">H5501-I5501</f>
        <v>2991.6</v>
      </c>
      <c r="K5501" s="33" t="n">
        <f aca="false">IF(OR(E5501=0,E5501&gt;=7),0,D5501/(7-E5501)*E5501*INDEX(Products!$E$2:$E$49,MATCH(C5501,Products!$A$2:$A$49,0)))</f>
        <v>0</v>
      </c>
    </row>
    <row r="5502" customFormat="false" ht="15" hidden="false" customHeight="false" outlineLevel="0" collapsed="false">
      <c r="A5502" s="36" t="n">
        <v>46118</v>
      </c>
      <c r="B5502" s="24" t="s">
        <v>65</v>
      </c>
      <c r="C5502" s="24" t="s">
        <v>171</v>
      </c>
      <c r="D5502" s="33" t="n">
        <v>20</v>
      </c>
      <c r="E5502" s="24" t="n">
        <v>0</v>
      </c>
      <c r="F5502" s="37" t="n">
        <f aca="false">DATE(YEAR(A5502),MONTH(A5502),1)</f>
        <v>46113</v>
      </c>
      <c r="G5502" s="24" t="str">
        <f aca="false">INDEX(Products!$C$2:$C$49,MATCH(C5502,Products!$A$2:$A$49,0))</f>
        <v>Household</v>
      </c>
      <c r="H5502" s="33" t="n">
        <f aca="false">D5502*INDEX(Products!$E$2:$E$49,MATCH(C5502,Products!$A$2:$A$49,0))</f>
        <v>3000</v>
      </c>
      <c r="I5502" s="33" t="n">
        <f aca="false">D5502*INDEX(Products!$D$2:$D$49,MATCH(C5502,Products!$A$2:$A$49,0))*(1+INDEX(Assumptions!$B$16:$B$20,MATCH(B5502,Assumptions!$A$16:$A$20,0)))</f>
        <v>2366.4</v>
      </c>
      <c r="J5502" s="33" t="n">
        <f aca="false">H5502-I5502</f>
        <v>633.6</v>
      </c>
      <c r="K5502" s="33" t="n">
        <f aca="false">IF(OR(E5502=0,E5502&gt;=7),0,D5502/(7-E5502)*E5502*INDEX(Products!$E$2:$E$49,MATCH(C5502,Products!$A$2:$A$49,0)))</f>
        <v>0</v>
      </c>
    </row>
    <row r="5503" customFormat="false" ht="15" hidden="false" customHeight="false" outlineLevel="0" collapsed="false">
      <c r="A5503" s="36" t="n">
        <v>46125</v>
      </c>
      <c r="B5503" s="24" t="s">
        <v>65</v>
      </c>
      <c r="C5503" s="24" t="s">
        <v>171</v>
      </c>
      <c r="D5503" s="33" t="n">
        <v>33</v>
      </c>
      <c r="E5503" s="24" t="n">
        <v>0</v>
      </c>
      <c r="F5503" s="37" t="n">
        <f aca="false">DATE(YEAR(A5503),MONTH(A5503),1)</f>
        <v>46113</v>
      </c>
      <c r="G5503" s="24" t="str">
        <f aca="false">INDEX(Products!$C$2:$C$49,MATCH(C5503,Products!$A$2:$A$49,0))</f>
        <v>Household</v>
      </c>
      <c r="H5503" s="33" t="n">
        <f aca="false">D5503*INDEX(Products!$E$2:$E$49,MATCH(C5503,Products!$A$2:$A$49,0))</f>
        <v>4950</v>
      </c>
      <c r="I5503" s="33" t="n">
        <f aca="false">D5503*INDEX(Products!$D$2:$D$49,MATCH(C5503,Products!$A$2:$A$49,0))*(1+INDEX(Assumptions!$B$16:$B$20,MATCH(B5503,Assumptions!$A$16:$A$20,0)))</f>
        <v>3904.56</v>
      </c>
      <c r="J5503" s="33" t="n">
        <f aca="false">H5503-I5503</f>
        <v>1045.44</v>
      </c>
      <c r="K5503" s="33" t="n">
        <f aca="false">IF(OR(E5503=0,E5503&gt;=7),0,D5503/(7-E5503)*E5503*INDEX(Products!$E$2:$E$49,MATCH(C5503,Products!$A$2:$A$49,0)))</f>
        <v>0</v>
      </c>
    </row>
    <row r="5504" customFormat="false" ht="15" hidden="false" customHeight="false" outlineLevel="0" collapsed="false">
      <c r="A5504" s="36" t="n">
        <v>46132</v>
      </c>
      <c r="B5504" s="24" t="s">
        <v>65</v>
      </c>
      <c r="C5504" s="24" t="s">
        <v>171</v>
      </c>
      <c r="D5504" s="33" t="n">
        <v>27</v>
      </c>
      <c r="E5504" s="24" t="n">
        <v>0</v>
      </c>
      <c r="F5504" s="37" t="n">
        <f aca="false">DATE(YEAR(A5504),MONTH(A5504),1)</f>
        <v>46113</v>
      </c>
      <c r="G5504" s="24" t="str">
        <f aca="false">INDEX(Products!$C$2:$C$49,MATCH(C5504,Products!$A$2:$A$49,0))</f>
        <v>Household</v>
      </c>
      <c r="H5504" s="33" t="n">
        <f aca="false">D5504*INDEX(Products!$E$2:$E$49,MATCH(C5504,Products!$A$2:$A$49,0))</f>
        <v>4050</v>
      </c>
      <c r="I5504" s="33" t="n">
        <f aca="false">D5504*INDEX(Products!$D$2:$D$49,MATCH(C5504,Products!$A$2:$A$49,0))*(1+INDEX(Assumptions!$B$16:$B$20,MATCH(B5504,Assumptions!$A$16:$A$20,0)))</f>
        <v>3194.64</v>
      </c>
      <c r="J5504" s="33" t="n">
        <f aca="false">H5504-I5504</f>
        <v>855.36</v>
      </c>
      <c r="K5504" s="33" t="n">
        <f aca="false">IF(OR(E5504=0,E5504&gt;=7),0,D5504/(7-E5504)*E5504*INDEX(Products!$E$2:$E$49,MATCH(C5504,Products!$A$2:$A$49,0)))</f>
        <v>0</v>
      </c>
    </row>
    <row r="5505" customFormat="false" ht="15" hidden="false" customHeight="false" outlineLevel="0" collapsed="false">
      <c r="A5505" s="36" t="n">
        <v>46139</v>
      </c>
      <c r="B5505" s="24" t="s">
        <v>65</v>
      </c>
      <c r="C5505" s="24" t="s">
        <v>171</v>
      </c>
      <c r="D5505" s="33" t="n">
        <v>32</v>
      </c>
      <c r="E5505" s="24" t="n">
        <v>0</v>
      </c>
      <c r="F5505" s="37" t="n">
        <f aca="false">DATE(YEAR(A5505),MONTH(A5505),1)</f>
        <v>46113</v>
      </c>
      <c r="G5505" s="24" t="str">
        <f aca="false">INDEX(Products!$C$2:$C$49,MATCH(C5505,Products!$A$2:$A$49,0))</f>
        <v>Household</v>
      </c>
      <c r="H5505" s="33" t="n">
        <f aca="false">D5505*INDEX(Products!$E$2:$E$49,MATCH(C5505,Products!$A$2:$A$49,0))</f>
        <v>4800</v>
      </c>
      <c r="I5505" s="33" t="n">
        <f aca="false">D5505*INDEX(Products!$D$2:$D$49,MATCH(C5505,Products!$A$2:$A$49,0))*(1+INDEX(Assumptions!$B$16:$B$20,MATCH(B5505,Assumptions!$A$16:$A$20,0)))</f>
        <v>3786.24</v>
      </c>
      <c r="J5505" s="33" t="n">
        <f aca="false">H5505-I5505</f>
        <v>1013.76</v>
      </c>
      <c r="K5505" s="33" t="n">
        <f aca="false">IF(OR(E5505=0,E5505&gt;=7),0,D5505/(7-E5505)*E5505*INDEX(Products!$E$2:$E$49,MATCH(C5505,Products!$A$2:$A$49,0)))</f>
        <v>0</v>
      </c>
    </row>
    <row r="5506" customFormat="false" ht="15" hidden="false" customHeight="false" outlineLevel="0" collapsed="false">
      <c r="A5506" s="36" t="n">
        <v>46146</v>
      </c>
      <c r="B5506" s="24" t="s">
        <v>65</v>
      </c>
      <c r="C5506" s="24" t="s">
        <v>171</v>
      </c>
      <c r="D5506" s="33" t="n">
        <v>22</v>
      </c>
      <c r="E5506" s="24" t="n">
        <v>0</v>
      </c>
      <c r="F5506" s="37" t="n">
        <f aca="false">DATE(YEAR(A5506),MONTH(A5506),1)</f>
        <v>46143</v>
      </c>
      <c r="G5506" s="24" t="str">
        <f aca="false">INDEX(Products!$C$2:$C$49,MATCH(C5506,Products!$A$2:$A$49,0))</f>
        <v>Household</v>
      </c>
      <c r="H5506" s="33" t="n">
        <f aca="false">D5506*INDEX(Products!$E$2:$E$49,MATCH(C5506,Products!$A$2:$A$49,0))</f>
        <v>3300</v>
      </c>
      <c r="I5506" s="33" t="n">
        <f aca="false">D5506*INDEX(Products!$D$2:$D$49,MATCH(C5506,Products!$A$2:$A$49,0))*(1+INDEX(Assumptions!$B$16:$B$20,MATCH(B5506,Assumptions!$A$16:$A$20,0)))</f>
        <v>2603.04</v>
      </c>
      <c r="J5506" s="33" t="n">
        <f aca="false">H5506-I5506</f>
        <v>696.96</v>
      </c>
      <c r="K5506" s="33" t="n">
        <f aca="false">IF(OR(E5506=0,E5506&gt;=7),0,D5506/(7-E5506)*E5506*INDEX(Products!$E$2:$E$49,MATCH(C5506,Products!$A$2:$A$49,0)))</f>
        <v>0</v>
      </c>
    </row>
    <row r="5507" customFormat="false" ht="15" hidden="false" customHeight="false" outlineLevel="0" collapsed="false">
      <c r="A5507" s="36" t="n">
        <v>46153</v>
      </c>
      <c r="B5507" s="24" t="s">
        <v>65</v>
      </c>
      <c r="C5507" s="24" t="s">
        <v>171</v>
      </c>
      <c r="D5507" s="33" t="n">
        <v>27</v>
      </c>
      <c r="E5507" s="24" t="n">
        <v>0</v>
      </c>
      <c r="F5507" s="37" t="n">
        <f aca="false">DATE(YEAR(A5507),MONTH(A5507),1)</f>
        <v>46143</v>
      </c>
      <c r="G5507" s="24" t="str">
        <f aca="false">INDEX(Products!$C$2:$C$49,MATCH(C5507,Products!$A$2:$A$49,0))</f>
        <v>Household</v>
      </c>
      <c r="H5507" s="33" t="n">
        <f aca="false">D5507*INDEX(Products!$E$2:$E$49,MATCH(C5507,Products!$A$2:$A$49,0))</f>
        <v>4050</v>
      </c>
      <c r="I5507" s="33" t="n">
        <f aca="false">D5507*INDEX(Products!$D$2:$D$49,MATCH(C5507,Products!$A$2:$A$49,0))*(1+INDEX(Assumptions!$B$16:$B$20,MATCH(B5507,Assumptions!$A$16:$A$20,0)))</f>
        <v>3194.64</v>
      </c>
      <c r="J5507" s="33" t="n">
        <f aca="false">H5507-I5507</f>
        <v>855.36</v>
      </c>
      <c r="K5507" s="33" t="n">
        <f aca="false">IF(OR(E5507=0,E5507&gt;=7),0,D5507/(7-E5507)*E5507*INDEX(Products!$E$2:$E$49,MATCH(C5507,Products!$A$2:$A$49,0)))</f>
        <v>0</v>
      </c>
    </row>
    <row r="5508" customFormat="false" ht="15" hidden="false" customHeight="false" outlineLevel="0" collapsed="false">
      <c r="A5508" s="36" t="n">
        <v>46160</v>
      </c>
      <c r="B5508" s="24" t="s">
        <v>65</v>
      </c>
      <c r="C5508" s="24" t="s">
        <v>171</v>
      </c>
      <c r="D5508" s="33" t="n">
        <v>28</v>
      </c>
      <c r="E5508" s="24" t="n">
        <v>0</v>
      </c>
      <c r="F5508" s="37" t="n">
        <f aca="false">DATE(YEAR(A5508),MONTH(A5508),1)</f>
        <v>46143</v>
      </c>
      <c r="G5508" s="24" t="str">
        <f aca="false">INDEX(Products!$C$2:$C$49,MATCH(C5508,Products!$A$2:$A$49,0))</f>
        <v>Household</v>
      </c>
      <c r="H5508" s="33" t="n">
        <f aca="false">D5508*INDEX(Products!$E$2:$E$49,MATCH(C5508,Products!$A$2:$A$49,0))</f>
        <v>4200</v>
      </c>
      <c r="I5508" s="33" t="n">
        <f aca="false">D5508*INDEX(Products!$D$2:$D$49,MATCH(C5508,Products!$A$2:$A$49,0))*(1+INDEX(Assumptions!$B$16:$B$20,MATCH(B5508,Assumptions!$A$16:$A$20,0)))</f>
        <v>3312.96</v>
      </c>
      <c r="J5508" s="33" t="n">
        <f aca="false">H5508-I5508</f>
        <v>887.04</v>
      </c>
      <c r="K5508" s="33" t="n">
        <f aca="false">IF(OR(E5508=0,E5508&gt;=7),0,D5508/(7-E5508)*E5508*INDEX(Products!$E$2:$E$49,MATCH(C5508,Products!$A$2:$A$49,0)))</f>
        <v>0</v>
      </c>
    </row>
    <row r="5509" customFormat="false" ht="15" hidden="false" customHeight="false" outlineLevel="0" collapsed="false">
      <c r="A5509" s="36" t="n">
        <v>46167</v>
      </c>
      <c r="B5509" s="24" t="s">
        <v>65</v>
      </c>
      <c r="C5509" s="24" t="s">
        <v>171</v>
      </c>
      <c r="D5509" s="33" t="n">
        <v>24</v>
      </c>
      <c r="E5509" s="24" t="n">
        <v>0</v>
      </c>
      <c r="F5509" s="37" t="n">
        <f aca="false">DATE(YEAR(A5509),MONTH(A5509),1)</f>
        <v>46143</v>
      </c>
      <c r="G5509" s="24" t="str">
        <f aca="false">INDEX(Products!$C$2:$C$49,MATCH(C5509,Products!$A$2:$A$49,0))</f>
        <v>Household</v>
      </c>
      <c r="H5509" s="33" t="n">
        <f aca="false">D5509*INDEX(Products!$E$2:$E$49,MATCH(C5509,Products!$A$2:$A$49,0))</f>
        <v>3600</v>
      </c>
      <c r="I5509" s="33" t="n">
        <f aca="false">D5509*INDEX(Products!$D$2:$D$49,MATCH(C5509,Products!$A$2:$A$49,0))*(1+INDEX(Assumptions!$B$16:$B$20,MATCH(B5509,Assumptions!$A$16:$A$20,0)))</f>
        <v>2839.68</v>
      </c>
      <c r="J5509" s="33" t="n">
        <f aca="false">H5509-I5509</f>
        <v>760.32</v>
      </c>
      <c r="K5509" s="33" t="n">
        <f aca="false">IF(OR(E5509=0,E5509&gt;=7),0,D5509/(7-E5509)*E5509*INDEX(Products!$E$2:$E$49,MATCH(C5509,Products!$A$2:$A$49,0)))</f>
        <v>0</v>
      </c>
    </row>
    <row r="5510" customFormat="false" ht="15" hidden="false" customHeight="false" outlineLevel="0" collapsed="false">
      <c r="A5510" s="36" t="n">
        <v>46174</v>
      </c>
      <c r="B5510" s="24" t="s">
        <v>65</v>
      </c>
      <c r="C5510" s="24" t="s">
        <v>171</v>
      </c>
      <c r="D5510" s="33" t="n">
        <v>29</v>
      </c>
      <c r="E5510" s="24" t="n">
        <v>0</v>
      </c>
      <c r="F5510" s="37" t="n">
        <f aca="false">DATE(YEAR(A5510),MONTH(A5510),1)</f>
        <v>46174</v>
      </c>
      <c r="G5510" s="24" t="str">
        <f aca="false">INDEX(Products!$C$2:$C$49,MATCH(C5510,Products!$A$2:$A$49,0))</f>
        <v>Household</v>
      </c>
      <c r="H5510" s="33" t="n">
        <f aca="false">D5510*INDEX(Products!$E$2:$E$49,MATCH(C5510,Products!$A$2:$A$49,0))</f>
        <v>4350</v>
      </c>
      <c r="I5510" s="33" t="n">
        <f aca="false">D5510*INDEX(Products!$D$2:$D$49,MATCH(C5510,Products!$A$2:$A$49,0))*(1+INDEX(Assumptions!$B$16:$B$20,MATCH(B5510,Assumptions!$A$16:$A$20,0)))</f>
        <v>3431.28</v>
      </c>
      <c r="J5510" s="33" t="n">
        <f aca="false">H5510-I5510</f>
        <v>918.72</v>
      </c>
      <c r="K5510" s="33" t="n">
        <f aca="false">IF(OR(E5510=0,E5510&gt;=7),0,D5510/(7-E5510)*E5510*INDEX(Products!$E$2:$E$49,MATCH(C5510,Products!$A$2:$A$49,0)))</f>
        <v>0</v>
      </c>
    </row>
    <row r="5511" customFormat="false" ht="15" hidden="false" customHeight="false" outlineLevel="0" collapsed="false">
      <c r="A5511" s="36" t="n">
        <v>46181</v>
      </c>
      <c r="B5511" s="24" t="s">
        <v>65</v>
      </c>
      <c r="C5511" s="24" t="s">
        <v>171</v>
      </c>
      <c r="D5511" s="33" t="n">
        <v>31</v>
      </c>
      <c r="E5511" s="24" t="n">
        <v>0</v>
      </c>
      <c r="F5511" s="37" t="n">
        <f aca="false">DATE(YEAR(A5511),MONTH(A5511),1)</f>
        <v>46174</v>
      </c>
      <c r="G5511" s="24" t="str">
        <f aca="false">INDEX(Products!$C$2:$C$49,MATCH(C5511,Products!$A$2:$A$49,0))</f>
        <v>Household</v>
      </c>
      <c r="H5511" s="33" t="n">
        <f aca="false">D5511*INDEX(Products!$E$2:$E$49,MATCH(C5511,Products!$A$2:$A$49,0))</f>
        <v>4650</v>
      </c>
      <c r="I5511" s="33" t="n">
        <f aca="false">D5511*INDEX(Products!$D$2:$D$49,MATCH(C5511,Products!$A$2:$A$49,0))*(1+INDEX(Assumptions!$B$16:$B$20,MATCH(B5511,Assumptions!$A$16:$A$20,0)))</f>
        <v>3667.92</v>
      </c>
      <c r="J5511" s="33" t="n">
        <f aca="false">H5511-I5511</f>
        <v>982.08</v>
      </c>
      <c r="K5511" s="33" t="n">
        <f aca="false">IF(OR(E5511=0,E5511&gt;=7),0,D5511/(7-E5511)*E5511*INDEX(Products!$E$2:$E$49,MATCH(C5511,Products!$A$2:$A$49,0)))</f>
        <v>0</v>
      </c>
    </row>
    <row r="5512" customFormat="false" ht="15" hidden="false" customHeight="false" outlineLevel="0" collapsed="false">
      <c r="A5512" s="36" t="n">
        <v>46188</v>
      </c>
      <c r="B5512" s="24" t="s">
        <v>65</v>
      </c>
      <c r="C5512" s="24" t="s">
        <v>171</v>
      </c>
      <c r="D5512" s="33" t="n">
        <v>34</v>
      </c>
      <c r="E5512" s="24" t="n">
        <v>0</v>
      </c>
      <c r="F5512" s="37" t="n">
        <f aca="false">DATE(YEAR(A5512),MONTH(A5512),1)</f>
        <v>46174</v>
      </c>
      <c r="G5512" s="24" t="str">
        <f aca="false">INDEX(Products!$C$2:$C$49,MATCH(C5512,Products!$A$2:$A$49,0))</f>
        <v>Household</v>
      </c>
      <c r="H5512" s="33" t="n">
        <f aca="false">D5512*INDEX(Products!$E$2:$E$49,MATCH(C5512,Products!$A$2:$A$49,0))</f>
        <v>5100</v>
      </c>
      <c r="I5512" s="33" t="n">
        <f aca="false">D5512*INDEX(Products!$D$2:$D$49,MATCH(C5512,Products!$A$2:$A$49,0))*(1+INDEX(Assumptions!$B$16:$B$20,MATCH(B5512,Assumptions!$A$16:$A$20,0)))</f>
        <v>4022.88</v>
      </c>
      <c r="J5512" s="33" t="n">
        <f aca="false">H5512-I5512</f>
        <v>1077.12</v>
      </c>
      <c r="K5512" s="33" t="n">
        <f aca="false">IF(OR(E5512=0,E5512&gt;=7),0,D5512/(7-E5512)*E5512*INDEX(Products!$E$2:$E$49,MATCH(C5512,Products!$A$2:$A$49,0)))</f>
        <v>0</v>
      </c>
    </row>
    <row r="5513" customFormat="false" ht="15" hidden="false" customHeight="false" outlineLevel="0" collapsed="false">
      <c r="A5513" s="36" t="n">
        <v>46195</v>
      </c>
      <c r="B5513" s="24" t="s">
        <v>65</v>
      </c>
      <c r="C5513" s="24" t="s">
        <v>171</v>
      </c>
      <c r="D5513" s="33" t="n">
        <v>35</v>
      </c>
      <c r="E5513" s="24" t="n">
        <v>0</v>
      </c>
      <c r="F5513" s="37" t="n">
        <f aca="false">DATE(YEAR(A5513),MONTH(A5513),1)</f>
        <v>46174</v>
      </c>
      <c r="G5513" s="24" t="str">
        <f aca="false">INDEX(Products!$C$2:$C$49,MATCH(C5513,Products!$A$2:$A$49,0))</f>
        <v>Household</v>
      </c>
      <c r="H5513" s="33" t="n">
        <f aca="false">D5513*INDEX(Products!$E$2:$E$49,MATCH(C5513,Products!$A$2:$A$49,0))</f>
        <v>5250</v>
      </c>
      <c r="I5513" s="33" t="n">
        <f aca="false">D5513*INDEX(Products!$D$2:$D$49,MATCH(C5513,Products!$A$2:$A$49,0))*(1+INDEX(Assumptions!$B$16:$B$20,MATCH(B5513,Assumptions!$A$16:$A$20,0)))</f>
        <v>4141.2</v>
      </c>
      <c r="J5513" s="33" t="n">
        <f aca="false">H5513-I5513</f>
        <v>1108.8</v>
      </c>
      <c r="K5513" s="33" t="n">
        <f aca="false">IF(OR(E5513=0,E5513&gt;=7),0,D5513/(7-E5513)*E5513*INDEX(Products!$E$2:$E$49,MATCH(C5513,Products!$A$2:$A$49,0)))</f>
        <v>0</v>
      </c>
    </row>
    <row r="5514" customFormat="false" ht="15" hidden="false" customHeight="false" outlineLevel="0" collapsed="false">
      <c r="A5514" s="36" t="n">
        <v>46202</v>
      </c>
      <c r="B5514" s="24" t="s">
        <v>65</v>
      </c>
      <c r="C5514" s="24" t="s">
        <v>171</v>
      </c>
      <c r="D5514" s="33" t="n">
        <v>42</v>
      </c>
      <c r="E5514" s="24" t="n">
        <v>0</v>
      </c>
      <c r="F5514" s="37" t="n">
        <f aca="false">DATE(YEAR(A5514),MONTH(A5514),1)</f>
        <v>46174</v>
      </c>
      <c r="G5514" s="24" t="str">
        <f aca="false">INDEX(Products!$C$2:$C$49,MATCH(C5514,Products!$A$2:$A$49,0))</f>
        <v>Household</v>
      </c>
      <c r="H5514" s="33" t="n">
        <f aca="false">D5514*INDEX(Products!$E$2:$E$49,MATCH(C5514,Products!$A$2:$A$49,0))</f>
        <v>6300</v>
      </c>
      <c r="I5514" s="33" t="n">
        <f aca="false">D5514*INDEX(Products!$D$2:$D$49,MATCH(C5514,Products!$A$2:$A$49,0))*(1+INDEX(Assumptions!$B$16:$B$20,MATCH(B5514,Assumptions!$A$16:$A$20,0)))</f>
        <v>4969.44</v>
      </c>
      <c r="J5514" s="33" t="n">
        <f aca="false">H5514-I5514</f>
        <v>1330.56</v>
      </c>
      <c r="K5514" s="33" t="n">
        <f aca="false">IF(OR(E5514=0,E5514&gt;=7),0,D5514/(7-E5514)*E5514*INDEX(Products!$E$2:$E$49,MATCH(C5514,Products!$A$2:$A$49,0)))</f>
        <v>0</v>
      </c>
    </row>
    <row r="5515" customFormat="false" ht="15" hidden="false" customHeight="false" outlineLevel="0" collapsed="false">
      <c r="A5515" s="36" t="n">
        <v>46209</v>
      </c>
      <c r="B5515" s="24" t="s">
        <v>65</v>
      </c>
      <c r="C5515" s="24" t="s">
        <v>171</v>
      </c>
      <c r="D5515" s="33" t="n">
        <v>28</v>
      </c>
      <c r="E5515" s="24" t="n">
        <v>0</v>
      </c>
      <c r="F5515" s="37" t="n">
        <f aca="false">DATE(YEAR(A5515),MONTH(A5515),1)</f>
        <v>46204</v>
      </c>
      <c r="G5515" s="24" t="str">
        <f aca="false">INDEX(Products!$C$2:$C$49,MATCH(C5515,Products!$A$2:$A$49,0))</f>
        <v>Household</v>
      </c>
      <c r="H5515" s="33" t="n">
        <f aca="false">D5515*INDEX(Products!$E$2:$E$49,MATCH(C5515,Products!$A$2:$A$49,0))</f>
        <v>4200</v>
      </c>
      <c r="I5515" s="33" t="n">
        <f aca="false">D5515*INDEX(Products!$D$2:$D$49,MATCH(C5515,Products!$A$2:$A$49,0))*(1+INDEX(Assumptions!$B$16:$B$20,MATCH(B5515,Assumptions!$A$16:$A$20,0)))</f>
        <v>3312.96</v>
      </c>
      <c r="J5515" s="33" t="n">
        <f aca="false">H5515-I5515</f>
        <v>887.04</v>
      </c>
      <c r="K5515" s="33" t="n">
        <f aca="false">IF(OR(E5515=0,E5515&gt;=7),0,D5515/(7-E5515)*E5515*INDEX(Products!$E$2:$E$49,MATCH(C5515,Products!$A$2:$A$49,0)))</f>
        <v>0</v>
      </c>
    </row>
    <row r="5516" customFormat="false" ht="15" hidden="false" customHeight="false" outlineLevel="0" collapsed="false">
      <c r="A5516" s="36" t="n">
        <v>46216</v>
      </c>
      <c r="B5516" s="24" t="s">
        <v>65</v>
      </c>
      <c r="C5516" s="24" t="s">
        <v>171</v>
      </c>
      <c r="D5516" s="33" t="n">
        <v>23</v>
      </c>
      <c r="E5516" s="24" t="n">
        <v>0</v>
      </c>
      <c r="F5516" s="37" t="n">
        <f aca="false">DATE(YEAR(A5516),MONTH(A5516),1)</f>
        <v>46204</v>
      </c>
      <c r="G5516" s="24" t="str">
        <f aca="false">INDEX(Products!$C$2:$C$49,MATCH(C5516,Products!$A$2:$A$49,0))</f>
        <v>Household</v>
      </c>
      <c r="H5516" s="33" t="n">
        <f aca="false">D5516*INDEX(Products!$E$2:$E$49,MATCH(C5516,Products!$A$2:$A$49,0))</f>
        <v>3450</v>
      </c>
      <c r="I5516" s="33" t="n">
        <f aca="false">D5516*INDEX(Products!$D$2:$D$49,MATCH(C5516,Products!$A$2:$A$49,0))*(1+INDEX(Assumptions!$B$16:$B$20,MATCH(B5516,Assumptions!$A$16:$A$20,0)))</f>
        <v>2721.36</v>
      </c>
      <c r="J5516" s="33" t="n">
        <f aca="false">H5516-I5516</f>
        <v>728.64</v>
      </c>
      <c r="K5516" s="33" t="n">
        <f aca="false">IF(OR(E5516=0,E5516&gt;=7),0,D5516/(7-E5516)*E5516*INDEX(Products!$E$2:$E$49,MATCH(C5516,Products!$A$2:$A$49,0)))</f>
        <v>0</v>
      </c>
    </row>
    <row r="5517" customFormat="false" ht="15" hidden="false" customHeight="false" outlineLevel="0" collapsed="false">
      <c r="A5517" s="36" t="n">
        <v>46223</v>
      </c>
      <c r="B5517" s="24" t="s">
        <v>65</v>
      </c>
      <c r="C5517" s="24" t="s">
        <v>171</v>
      </c>
      <c r="D5517" s="33" t="n">
        <v>24</v>
      </c>
      <c r="E5517" s="24" t="n">
        <v>0</v>
      </c>
      <c r="F5517" s="37" t="n">
        <f aca="false">DATE(YEAR(A5517),MONTH(A5517),1)</f>
        <v>46204</v>
      </c>
      <c r="G5517" s="24" t="str">
        <f aca="false">INDEX(Products!$C$2:$C$49,MATCH(C5517,Products!$A$2:$A$49,0))</f>
        <v>Household</v>
      </c>
      <c r="H5517" s="33" t="n">
        <f aca="false">D5517*INDEX(Products!$E$2:$E$49,MATCH(C5517,Products!$A$2:$A$49,0))</f>
        <v>3600</v>
      </c>
      <c r="I5517" s="33" t="n">
        <f aca="false">D5517*INDEX(Products!$D$2:$D$49,MATCH(C5517,Products!$A$2:$A$49,0))*(1+INDEX(Assumptions!$B$16:$B$20,MATCH(B5517,Assumptions!$A$16:$A$20,0)))</f>
        <v>2839.68</v>
      </c>
      <c r="J5517" s="33" t="n">
        <f aca="false">H5517-I5517</f>
        <v>760.32</v>
      </c>
      <c r="K5517" s="33" t="n">
        <f aca="false">IF(OR(E5517=0,E5517&gt;=7),0,D5517/(7-E5517)*E5517*INDEX(Products!$E$2:$E$49,MATCH(C5517,Products!$A$2:$A$49,0)))</f>
        <v>0</v>
      </c>
    </row>
    <row r="5518" customFormat="false" ht="15" hidden="false" customHeight="false" outlineLevel="0" collapsed="false">
      <c r="A5518" s="36" t="n">
        <v>46230</v>
      </c>
      <c r="B5518" s="24" t="s">
        <v>65</v>
      </c>
      <c r="C5518" s="24" t="s">
        <v>171</v>
      </c>
      <c r="D5518" s="33" t="n">
        <v>21</v>
      </c>
      <c r="E5518" s="24" t="n">
        <v>0</v>
      </c>
      <c r="F5518" s="37" t="n">
        <f aca="false">DATE(YEAR(A5518),MONTH(A5518),1)</f>
        <v>46204</v>
      </c>
      <c r="G5518" s="24" t="str">
        <f aca="false">INDEX(Products!$C$2:$C$49,MATCH(C5518,Products!$A$2:$A$49,0))</f>
        <v>Household</v>
      </c>
      <c r="H5518" s="33" t="n">
        <f aca="false">D5518*INDEX(Products!$E$2:$E$49,MATCH(C5518,Products!$A$2:$A$49,0))</f>
        <v>3150</v>
      </c>
      <c r="I5518" s="33" t="n">
        <f aca="false">D5518*INDEX(Products!$D$2:$D$49,MATCH(C5518,Products!$A$2:$A$49,0))*(1+INDEX(Assumptions!$B$16:$B$20,MATCH(B5518,Assumptions!$A$16:$A$20,0)))</f>
        <v>2484.72</v>
      </c>
      <c r="J5518" s="33" t="n">
        <f aca="false">H5518-I5518</f>
        <v>665.28</v>
      </c>
      <c r="K5518" s="33" t="n">
        <f aca="false">IF(OR(E5518=0,E5518&gt;=7),0,D5518/(7-E5518)*E5518*INDEX(Products!$E$2:$E$49,MATCH(C5518,Products!$A$2:$A$49,0)))</f>
        <v>0</v>
      </c>
    </row>
    <row r="5519" customFormat="false" ht="15" hidden="false" customHeight="false" outlineLevel="0" collapsed="false">
      <c r="A5519" s="36" t="n">
        <v>46237</v>
      </c>
      <c r="B5519" s="24" t="s">
        <v>65</v>
      </c>
      <c r="C5519" s="24" t="s">
        <v>171</v>
      </c>
      <c r="D5519" s="33" t="n">
        <v>31</v>
      </c>
      <c r="E5519" s="24" t="n">
        <v>0</v>
      </c>
      <c r="F5519" s="37" t="n">
        <f aca="false">DATE(YEAR(A5519),MONTH(A5519),1)</f>
        <v>46235</v>
      </c>
      <c r="G5519" s="24" t="str">
        <f aca="false">INDEX(Products!$C$2:$C$49,MATCH(C5519,Products!$A$2:$A$49,0))</f>
        <v>Household</v>
      </c>
      <c r="H5519" s="33" t="n">
        <f aca="false">D5519*INDEX(Products!$E$2:$E$49,MATCH(C5519,Products!$A$2:$A$49,0))</f>
        <v>4650</v>
      </c>
      <c r="I5519" s="33" t="n">
        <f aca="false">D5519*INDEX(Products!$D$2:$D$49,MATCH(C5519,Products!$A$2:$A$49,0))*(1+INDEX(Assumptions!$B$16:$B$20,MATCH(B5519,Assumptions!$A$16:$A$20,0)))</f>
        <v>3667.92</v>
      </c>
      <c r="J5519" s="33" t="n">
        <f aca="false">H5519-I5519</f>
        <v>982.08</v>
      </c>
      <c r="K5519" s="33" t="n">
        <f aca="false">IF(OR(E5519=0,E5519&gt;=7),0,D5519/(7-E5519)*E5519*INDEX(Products!$E$2:$E$49,MATCH(C5519,Products!$A$2:$A$49,0)))</f>
        <v>0</v>
      </c>
    </row>
    <row r="5520" customFormat="false" ht="15" hidden="false" customHeight="false" outlineLevel="0" collapsed="false">
      <c r="A5520" s="36" t="n">
        <v>46244</v>
      </c>
      <c r="B5520" s="24" t="s">
        <v>65</v>
      </c>
      <c r="C5520" s="24" t="s">
        <v>171</v>
      </c>
      <c r="D5520" s="33" t="n">
        <v>30</v>
      </c>
      <c r="E5520" s="24" t="n">
        <v>0</v>
      </c>
      <c r="F5520" s="37" t="n">
        <f aca="false">DATE(YEAR(A5520),MONTH(A5520),1)</f>
        <v>46235</v>
      </c>
      <c r="G5520" s="24" t="str">
        <f aca="false">INDEX(Products!$C$2:$C$49,MATCH(C5520,Products!$A$2:$A$49,0))</f>
        <v>Household</v>
      </c>
      <c r="H5520" s="33" t="n">
        <f aca="false">D5520*INDEX(Products!$E$2:$E$49,MATCH(C5520,Products!$A$2:$A$49,0))</f>
        <v>4500</v>
      </c>
      <c r="I5520" s="33" t="n">
        <f aca="false">D5520*INDEX(Products!$D$2:$D$49,MATCH(C5520,Products!$A$2:$A$49,0))*(1+INDEX(Assumptions!$B$16:$B$20,MATCH(B5520,Assumptions!$A$16:$A$20,0)))</f>
        <v>3549.6</v>
      </c>
      <c r="J5520" s="33" t="n">
        <f aca="false">H5520-I5520</f>
        <v>950.4</v>
      </c>
      <c r="K5520" s="33" t="n">
        <f aca="false">IF(OR(E5520=0,E5520&gt;=7),0,D5520/(7-E5520)*E5520*INDEX(Products!$E$2:$E$49,MATCH(C5520,Products!$A$2:$A$49,0)))</f>
        <v>0</v>
      </c>
    </row>
    <row r="5521" customFormat="false" ht="15" hidden="false" customHeight="false" outlineLevel="0" collapsed="false">
      <c r="A5521" s="36" t="n">
        <v>46251</v>
      </c>
      <c r="B5521" s="24" t="s">
        <v>65</v>
      </c>
      <c r="C5521" s="24" t="s">
        <v>171</v>
      </c>
      <c r="D5521" s="33" t="n">
        <v>20</v>
      </c>
      <c r="E5521" s="24" t="n">
        <v>0</v>
      </c>
      <c r="F5521" s="37" t="n">
        <f aca="false">DATE(YEAR(A5521),MONTH(A5521),1)</f>
        <v>46235</v>
      </c>
      <c r="G5521" s="24" t="str">
        <f aca="false">INDEX(Products!$C$2:$C$49,MATCH(C5521,Products!$A$2:$A$49,0))</f>
        <v>Household</v>
      </c>
      <c r="H5521" s="33" t="n">
        <f aca="false">D5521*INDEX(Products!$E$2:$E$49,MATCH(C5521,Products!$A$2:$A$49,0))</f>
        <v>3000</v>
      </c>
      <c r="I5521" s="33" t="n">
        <f aca="false">D5521*INDEX(Products!$D$2:$D$49,MATCH(C5521,Products!$A$2:$A$49,0))*(1+INDEX(Assumptions!$B$16:$B$20,MATCH(B5521,Assumptions!$A$16:$A$20,0)))</f>
        <v>2366.4</v>
      </c>
      <c r="J5521" s="33" t="n">
        <f aca="false">H5521-I5521</f>
        <v>633.6</v>
      </c>
      <c r="K5521" s="33" t="n">
        <f aca="false">IF(OR(E5521=0,E5521&gt;=7),0,D5521/(7-E5521)*E5521*INDEX(Products!$E$2:$E$49,MATCH(C5521,Products!$A$2:$A$49,0)))</f>
        <v>0</v>
      </c>
    </row>
    <row r="5522" customFormat="false" ht="15" hidden="false" customHeight="false" outlineLevel="0" collapsed="false">
      <c r="A5522" s="36" t="n">
        <v>46258</v>
      </c>
      <c r="B5522" s="24" t="s">
        <v>65</v>
      </c>
      <c r="C5522" s="24" t="s">
        <v>171</v>
      </c>
      <c r="D5522" s="33" t="n">
        <v>17</v>
      </c>
      <c r="E5522" s="24" t="n">
        <v>0</v>
      </c>
      <c r="F5522" s="37" t="n">
        <f aca="false">DATE(YEAR(A5522),MONTH(A5522),1)</f>
        <v>46235</v>
      </c>
      <c r="G5522" s="24" t="str">
        <f aca="false">INDEX(Products!$C$2:$C$49,MATCH(C5522,Products!$A$2:$A$49,0))</f>
        <v>Household</v>
      </c>
      <c r="H5522" s="33" t="n">
        <f aca="false">D5522*INDEX(Products!$E$2:$E$49,MATCH(C5522,Products!$A$2:$A$49,0))</f>
        <v>2550</v>
      </c>
      <c r="I5522" s="33" t="n">
        <f aca="false">D5522*INDEX(Products!$D$2:$D$49,MATCH(C5522,Products!$A$2:$A$49,0))*(1+INDEX(Assumptions!$B$16:$B$20,MATCH(B5522,Assumptions!$A$16:$A$20,0)))</f>
        <v>2011.44</v>
      </c>
      <c r="J5522" s="33" t="n">
        <f aca="false">H5522-I5522</f>
        <v>538.56</v>
      </c>
      <c r="K5522" s="33" t="n">
        <f aca="false">IF(OR(E5522=0,E5522&gt;=7),0,D5522/(7-E5522)*E5522*INDEX(Products!$E$2:$E$49,MATCH(C5522,Products!$A$2:$A$49,0)))</f>
        <v>0</v>
      </c>
    </row>
    <row r="5523" customFormat="false" ht="15" hidden="false" customHeight="false" outlineLevel="0" collapsed="false">
      <c r="A5523" s="36" t="n">
        <v>46265</v>
      </c>
      <c r="B5523" s="24" t="s">
        <v>65</v>
      </c>
      <c r="C5523" s="24" t="s">
        <v>171</v>
      </c>
      <c r="D5523" s="33" t="n">
        <v>17</v>
      </c>
      <c r="E5523" s="24" t="n">
        <v>0</v>
      </c>
      <c r="F5523" s="37" t="n">
        <f aca="false">DATE(YEAR(A5523),MONTH(A5523),1)</f>
        <v>46235</v>
      </c>
      <c r="G5523" s="24" t="str">
        <f aca="false">INDEX(Products!$C$2:$C$49,MATCH(C5523,Products!$A$2:$A$49,0))</f>
        <v>Household</v>
      </c>
      <c r="H5523" s="33" t="n">
        <f aca="false">D5523*INDEX(Products!$E$2:$E$49,MATCH(C5523,Products!$A$2:$A$49,0))</f>
        <v>2550</v>
      </c>
      <c r="I5523" s="33" t="n">
        <f aca="false">D5523*INDEX(Products!$D$2:$D$49,MATCH(C5523,Products!$A$2:$A$49,0))*(1+INDEX(Assumptions!$B$16:$B$20,MATCH(B5523,Assumptions!$A$16:$A$20,0)))</f>
        <v>2011.44</v>
      </c>
      <c r="J5523" s="33" t="n">
        <f aca="false">H5523-I5523</f>
        <v>538.56</v>
      </c>
      <c r="K5523" s="33" t="n">
        <f aca="false">IF(OR(E5523=0,E5523&gt;=7),0,D5523/(7-E5523)*E5523*INDEX(Products!$E$2:$E$49,MATCH(C5523,Products!$A$2:$A$49,0)))</f>
        <v>0</v>
      </c>
    </row>
    <row r="5524" customFormat="false" ht="15" hidden="false" customHeight="false" outlineLevel="0" collapsed="false">
      <c r="A5524" s="36" t="n">
        <v>46272</v>
      </c>
      <c r="B5524" s="24" t="s">
        <v>65</v>
      </c>
      <c r="C5524" s="24" t="s">
        <v>171</v>
      </c>
      <c r="D5524" s="33" t="n">
        <v>29</v>
      </c>
      <c r="E5524" s="24" t="n">
        <v>0</v>
      </c>
      <c r="F5524" s="37" t="n">
        <f aca="false">DATE(YEAR(A5524),MONTH(A5524),1)</f>
        <v>46266</v>
      </c>
      <c r="G5524" s="24" t="str">
        <f aca="false">INDEX(Products!$C$2:$C$49,MATCH(C5524,Products!$A$2:$A$49,0))</f>
        <v>Household</v>
      </c>
      <c r="H5524" s="33" t="n">
        <f aca="false">D5524*INDEX(Products!$E$2:$E$49,MATCH(C5524,Products!$A$2:$A$49,0))</f>
        <v>4350</v>
      </c>
      <c r="I5524" s="33" t="n">
        <f aca="false">D5524*INDEX(Products!$D$2:$D$49,MATCH(C5524,Products!$A$2:$A$49,0))*(1+INDEX(Assumptions!$B$16:$B$20,MATCH(B5524,Assumptions!$A$16:$A$20,0)))</f>
        <v>3431.28</v>
      </c>
      <c r="J5524" s="33" t="n">
        <f aca="false">H5524-I5524</f>
        <v>918.72</v>
      </c>
      <c r="K5524" s="33" t="n">
        <f aca="false">IF(OR(E5524=0,E5524&gt;=7),0,D5524/(7-E5524)*E5524*INDEX(Products!$E$2:$E$49,MATCH(C5524,Products!$A$2:$A$49,0)))</f>
        <v>0</v>
      </c>
    </row>
    <row r="5525" customFormat="false" ht="15" hidden="false" customHeight="false" outlineLevel="0" collapsed="false">
      <c r="A5525" s="36" t="n">
        <v>46279</v>
      </c>
      <c r="B5525" s="24" t="s">
        <v>65</v>
      </c>
      <c r="C5525" s="24" t="s">
        <v>171</v>
      </c>
      <c r="D5525" s="33" t="n">
        <v>26</v>
      </c>
      <c r="E5525" s="24" t="n">
        <v>0</v>
      </c>
      <c r="F5525" s="37" t="n">
        <f aca="false">DATE(YEAR(A5525),MONTH(A5525),1)</f>
        <v>46266</v>
      </c>
      <c r="G5525" s="24" t="str">
        <f aca="false">INDEX(Products!$C$2:$C$49,MATCH(C5525,Products!$A$2:$A$49,0))</f>
        <v>Household</v>
      </c>
      <c r="H5525" s="33" t="n">
        <f aca="false">D5525*INDEX(Products!$E$2:$E$49,MATCH(C5525,Products!$A$2:$A$49,0))</f>
        <v>3900</v>
      </c>
      <c r="I5525" s="33" t="n">
        <f aca="false">D5525*INDEX(Products!$D$2:$D$49,MATCH(C5525,Products!$A$2:$A$49,0))*(1+INDEX(Assumptions!$B$16:$B$20,MATCH(B5525,Assumptions!$A$16:$A$20,0)))</f>
        <v>3076.32</v>
      </c>
      <c r="J5525" s="33" t="n">
        <f aca="false">H5525-I5525</f>
        <v>823.68</v>
      </c>
      <c r="K5525" s="33" t="n">
        <f aca="false">IF(OR(E5525=0,E5525&gt;=7),0,D5525/(7-E5525)*E5525*INDEX(Products!$E$2:$E$49,MATCH(C5525,Products!$A$2:$A$49,0)))</f>
        <v>0</v>
      </c>
    </row>
    <row r="5526" customFormat="false" ht="15" hidden="false" customHeight="false" outlineLevel="0" collapsed="false">
      <c r="A5526" s="36" t="n">
        <v>46286</v>
      </c>
      <c r="B5526" s="24" t="s">
        <v>65</v>
      </c>
      <c r="C5526" s="24" t="s">
        <v>171</v>
      </c>
      <c r="D5526" s="33" t="n">
        <v>31</v>
      </c>
      <c r="E5526" s="24" t="n">
        <v>0</v>
      </c>
      <c r="F5526" s="37" t="n">
        <f aca="false">DATE(YEAR(A5526),MONTH(A5526),1)</f>
        <v>46266</v>
      </c>
      <c r="G5526" s="24" t="str">
        <f aca="false">INDEX(Products!$C$2:$C$49,MATCH(C5526,Products!$A$2:$A$49,0))</f>
        <v>Household</v>
      </c>
      <c r="H5526" s="33" t="n">
        <f aca="false">D5526*INDEX(Products!$E$2:$E$49,MATCH(C5526,Products!$A$2:$A$49,0))</f>
        <v>4650</v>
      </c>
      <c r="I5526" s="33" t="n">
        <f aca="false">D5526*INDEX(Products!$D$2:$D$49,MATCH(C5526,Products!$A$2:$A$49,0))*(1+INDEX(Assumptions!$B$16:$B$20,MATCH(B5526,Assumptions!$A$16:$A$20,0)))</f>
        <v>3667.92</v>
      </c>
      <c r="J5526" s="33" t="n">
        <f aca="false">H5526-I5526</f>
        <v>982.08</v>
      </c>
      <c r="K5526" s="33" t="n">
        <f aca="false">IF(OR(E5526=0,E5526&gt;=7),0,D5526/(7-E5526)*E5526*INDEX(Products!$E$2:$E$49,MATCH(C5526,Products!$A$2:$A$49,0)))</f>
        <v>0</v>
      </c>
    </row>
    <row r="5527" customFormat="false" ht="15" hidden="false" customHeight="false" outlineLevel="0" collapsed="false">
      <c r="A5527" s="36" t="n">
        <v>46118</v>
      </c>
      <c r="B5527" s="24" t="s">
        <v>65</v>
      </c>
      <c r="C5527" s="24" t="s">
        <v>173</v>
      </c>
      <c r="D5527" s="33" t="n">
        <v>24</v>
      </c>
      <c r="E5527" s="24" t="n">
        <v>3</v>
      </c>
      <c r="F5527" s="37" t="n">
        <f aca="false">DATE(YEAR(A5527),MONTH(A5527),1)</f>
        <v>46113</v>
      </c>
      <c r="G5527" s="24" t="str">
        <f aca="false">INDEX(Products!$C$2:$C$49,MATCH(C5527,Products!$A$2:$A$49,0))</f>
        <v>Household</v>
      </c>
      <c r="H5527" s="33" t="n">
        <f aca="false">D5527*INDEX(Products!$E$2:$E$49,MATCH(C5527,Products!$A$2:$A$49,0))</f>
        <v>6240</v>
      </c>
      <c r="I5527" s="33" t="n">
        <f aca="false">D5527*INDEX(Products!$D$2:$D$49,MATCH(C5527,Products!$A$2:$A$49,0))*(1+INDEX(Assumptions!$B$16:$B$20,MATCH(B5527,Assumptions!$A$16:$A$20,0)))</f>
        <v>4847.04</v>
      </c>
      <c r="J5527" s="33" t="n">
        <f aca="false">H5527-I5527</f>
        <v>1392.96</v>
      </c>
      <c r="K5527" s="33" t="n">
        <f aca="false">IF(OR(E5527=0,E5527&gt;=7),0,D5527/(7-E5527)*E5527*INDEX(Products!$E$2:$E$49,MATCH(C5527,Products!$A$2:$A$49,0)))</f>
        <v>4680</v>
      </c>
    </row>
    <row r="5528" customFormat="false" ht="15" hidden="false" customHeight="false" outlineLevel="0" collapsed="false">
      <c r="A5528" s="36" t="n">
        <v>46125</v>
      </c>
      <c r="B5528" s="24" t="s">
        <v>65</v>
      </c>
      <c r="C5528" s="24" t="s">
        <v>173</v>
      </c>
      <c r="D5528" s="33" t="n">
        <v>35</v>
      </c>
      <c r="E5528" s="24" t="n">
        <v>0</v>
      </c>
      <c r="F5528" s="37" t="n">
        <f aca="false">DATE(YEAR(A5528),MONTH(A5528),1)</f>
        <v>46113</v>
      </c>
      <c r="G5528" s="24" t="str">
        <f aca="false">INDEX(Products!$C$2:$C$49,MATCH(C5528,Products!$A$2:$A$49,0))</f>
        <v>Household</v>
      </c>
      <c r="H5528" s="33" t="n">
        <f aca="false">D5528*INDEX(Products!$E$2:$E$49,MATCH(C5528,Products!$A$2:$A$49,0))</f>
        <v>9100</v>
      </c>
      <c r="I5528" s="33" t="n">
        <f aca="false">D5528*INDEX(Products!$D$2:$D$49,MATCH(C5528,Products!$A$2:$A$49,0))*(1+INDEX(Assumptions!$B$16:$B$20,MATCH(B5528,Assumptions!$A$16:$A$20,0)))</f>
        <v>7068.6</v>
      </c>
      <c r="J5528" s="33" t="n">
        <f aca="false">H5528-I5528</f>
        <v>2031.4</v>
      </c>
      <c r="K5528" s="33" t="n">
        <f aca="false">IF(OR(E5528=0,E5528&gt;=7),0,D5528/(7-E5528)*E5528*INDEX(Products!$E$2:$E$49,MATCH(C5528,Products!$A$2:$A$49,0)))</f>
        <v>0</v>
      </c>
    </row>
    <row r="5529" customFormat="false" ht="15" hidden="false" customHeight="false" outlineLevel="0" collapsed="false">
      <c r="A5529" s="36" t="n">
        <v>46132</v>
      </c>
      <c r="B5529" s="24" t="s">
        <v>65</v>
      </c>
      <c r="C5529" s="24" t="s">
        <v>173</v>
      </c>
      <c r="D5529" s="33" t="n">
        <v>56</v>
      </c>
      <c r="E5529" s="24" t="n">
        <v>0</v>
      </c>
      <c r="F5529" s="37" t="n">
        <f aca="false">DATE(YEAR(A5529),MONTH(A5529),1)</f>
        <v>46113</v>
      </c>
      <c r="G5529" s="24" t="str">
        <f aca="false">INDEX(Products!$C$2:$C$49,MATCH(C5529,Products!$A$2:$A$49,0))</f>
        <v>Household</v>
      </c>
      <c r="H5529" s="33" t="n">
        <f aca="false">D5529*INDEX(Products!$E$2:$E$49,MATCH(C5529,Products!$A$2:$A$49,0))</f>
        <v>14560</v>
      </c>
      <c r="I5529" s="33" t="n">
        <f aca="false">D5529*INDEX(Products!$D$2:$D$49,MATCH(C5529,Products!$A$2:$A$49,0))*(1+INDEX(Assumptions!$B$16:$B$20,MATCH(B5529,Assumptions!$A$16:$A$20,0)))</f>
        <v>11309.76</v>
      </c>
      <c r="J5529" s="33" t="n">
        <f aca="false">H5529-I5529</f>
        <v>3250.24</v>
      </c>
      <c r="K5529" s="33" t="n">
        <f aca="false">IF(OR(E5529=0,E5529&gt;=7),0,D5529/(7-E5529)*E5529*INDEX(Products!$E$2:$E$49,MATCH(C5529,Products!$A$2:$A$49,0)))</f>
        <v>0</v>
      </c>
    </row>
    <row r="5530" customFormat="false" ht="15" hidden="false" customHeight="false" outlineLevel="0" collapsed="false">
      <c r="A5530" s="36" t="n">
        <v>46139</v>
      </c>
      <c r="B5530" s="24" t="s">
        <v>65</v>
      </c>
      <c r="C5530" s="24" t="s">
        <v>173</v>
      </c>
      <c r="D5530" s="33" t="n">
        <v>57</v>
      </c>
      <c r="E5530" s="24" t="n">
        <v>0</v>
      </c>
      <c r="F5530" s="37" t="n">
        <f aca="false">DATE(YEAR(A5530),MONTH(A5530),1)</f>
        <v>46113</v>
      </c>
      <c r="G5530" s="24" t="str">
        <f aca="false">INDEX(Products!$C$2:$C$49,MATCH(C5530,Products!$A$2:$A$49,0))</f>
        <v>Household</v>
      </c>
      <c r="H5530" s="33" t="n">
        <f aca="false">D5530*INDEX(Products!$E$2:$E$49,MATCH(C5530,Products!$A$2:$A$49,0))</f>
        <v>14820</v>
      </c>
      <c r="I5530" s="33" t="n">
        <f aca="false">D5530*INDEX(Products!$D$2:$D$49,MATCH(C5530,Products!$A$2:$A$49,0))*(1+INDEX(Assumptions!$B$16:$B$20,MATCH(B5530,Assumptions!$A$16:$A$20,0)))</f>
        <v>11511.72</v>
      </c>
      <c r="J5530" s="33" t="n">
        <f aca="false">H5530-I5530</f>
        <v>3308.28</v>
      </c>
      <c r="K5530" s="33" t="n">
        <f aca="false">IF(OR(E5530=0,E5530&gt;=7),0,D5530/(7-E5530)*E5530*INDEX(Products!$E$2:$E$49,MATCH(C5530,Products!$A$2:$A$49,0)))</f>
        <v>0</v>
      </c>
    </row>
    <row r="5531" customFormat="false" ht="15" hidden="false" customHeight="false" outlineLevel="0" collapsed="false">
      <c r="A5531" s="36" t="n">
        <v>46146</v>
      </c>
      <c r="B5531" s="24" t="s">
        <v>65</v>
      </c>
      <c r="C5531" s="24" t="s">
        <v>173</v>
      </c>
      <c r="D5531" s="33" t="n">
        <v>43</v>
      </c>
      <c r="E5531" s="24" t="n">
        <v>0</v>
      </c>
      <c r="F5531" s="37" t="n">
        <f aca="false">DATE(YEAR(A5531),MONTH(A5531),1)</f>
        <v>46143</v>
      </c>
      <c r="G5531" s="24" t="str">
        <f aca="false">INDEX(Products!$C$2:$C$49,MATCH(C5531,Products!$A$2:$A$49,0))</f>
        <v>Household</v>
      </c>
      <c r="H5531" s="33" t="n">
        <f aca="false">D5531*INDEX(Products!$E$2:$E$49,MATCH(C5531,Products!$A$2:$A$49,0))</f>
        <v>11180</v>
      </c>
      <c r="I5531" s="33" t="n">
        <f aca="false">D5531*INDEX(Products!$D$2:$D$49,MATCH(C5531,Products!$A$2:$A$49,0))*(1+INDEX(Assumptions!$B$16:$B$20,MATCH(B5531,Assumptions!$A$16:$A$20,0)))</f>
        <v>8684.28</v>
      </c>
      <c r="J5531" s="33" t="n">
        <f aca="false">H5531-I5531</f>
        <v>2495.72</v>
      </c>
      <c r="K5531" s="33" t="n">
        <f aca="false">IF(OR(E5531=0,E5531&gt;=7),0,D5531/(7-E5531)*E5531*INDEX(Products!$E$2:$E$49,MATCH(C5531,Products!$A$2:$A$49,0)))</f>
        <v>0</v>
      </c>
    </row>
    <row r="5532" customFormat="false" ht="15" hidden="false" customHeight="false" outlineLevel="0" collapsed="false">
      <c r="A5532" s="36" t="n">
        <v>46153</v>
      </c>
      <c r="B5532" s="24" t="s">
        <v>65</v>
      </c>
      <c r="C5532" s="24" t="s">
        <v>173</v>
      </c>
      <c r="D5532" s="33" t="n">
        <v>55</v>
      </c>
      <c r="E5532" s="24" t="n">
        <v>0</v>
      </c>
      <c r="F5532" s="37" t="n">
        <f aca="false">DATE(YEAR(A5532),MONTH(A5532),1)</f>
        <v>46143</v>
      </c>
      <c r="G5532" s="24" t="str">
        <f aca="false">INDEX(Products!$C$2:$C$49,MATCH(C5532,Products!$A$2:$A$49,0))</f>
        <v>Household</v>
      </c>
      <c r="H5532" s="33" t="n">
        <f aca="false">D5532*INDEX(Products!$E$2:$E$49,MATCH(C5532,Products!$A$2:$A$49,0))</f>
        <v>14300</v>
      </c>
      <c r="I5532" s="33" t="n">
        <f aca="false">D5532*INDEX(Products!$D$2:$D$49,MATCH(C5532,Products!$A$2:$A$49,0))*(1+INDEX(Assumptions!$B$16:$B$20,MATCH(B5532,Assumptions!$A$16:$A$20,0)))</f>
        <v>11107.8</v>
      </c>
      <c r="J5532" s="33" t="n">
        <f aca="false">H5532-I5532</f>
        <v>3192.2</v>
      </c>
      <c r="K5532" s="33" t="n">
        <f aca="false">IF(OR(E5532=0,E5532&gt;=7),0,D5532/(7-E5532)*E5532*INDEX(Products!$E$2:$E$49,MATCH(C5532,Products!$A$2:$A$49,0)))</f>
        <v>0</v>
      </c>
    </row>
    <row r="5533" customFormat="false" ht="15" hidden="false" customHeight="false" outlineLevel="0" collapsed="false">
      <c r="A5533" s="36" t="n">
        <v>46160</v>
      </c>
      <c r="B5533" s="24" t="s">
        <v>65</v>
      </c>
      <c r="C5533" s="24" t="s">
        <v>173</v>
      </c>
      <c r="D5533" s="33" t="n">
        <v>43</v>
      </c>
      <c r="E5533" s="24" t="n">
        <v>0</v>
      </c>
      <c r="F5533" s="37" t="n">
        <f aca="false">DATE(YEAR(A5533),MONTH(A5533),1)</f>
        <v>46143</v>
      </c>
      <c r="G5533" s="24" t="str">
        <f aca="false">INDEX(Products!$C$2:$C$49,MATCH(C5533,Products!$A$2:$A$49,0))</f>
        <v>Household</v>
      </c>
      <c r="H5533" s="33" t="n">
        <f aca="false">D5533*INDEX(Products!$E$2:$E$49,MATCH(C5533,Products!$A$2:$A$49,0))</f>
        <v>11180</v>
      </c>
      <c r="I5533" s="33" t="n">
        <f aca="false">D5533*INDEX(Products!$D$2:$D$49,MATCH(C5533,Products!$A$2:$A$49,0))*(1+INDEX(Assumptions!$B$16:$B$20,MATCH(B5533,Assumptions!$A$16:$A$20,0)))</f>
        <v>8684.28</v>
      </c>
      <c r="J5533" s="33" t="n">
        <f aca="false">H5533-I5533</f>
        <v>2495.72</v>
      </c>
      <c r="K5533" s="33" t="n">
        <f aca="false">IF(OR(E5533=0,E5533&gt;=7),0,D5533/(7-E5533)*E5533*INDEX(Products!$E$2:$E$49,MATCH(C5533,Products!$A$2:$A$49,0)))</f>
        <v>0</v>
      </c>
    </row>
    <row r="5534" customFormat="false" ht="15" hidden="false" customHeight="false" outlineLevel="0" collapsed="false">
      <c r="A5534" s="36" t="n">
        <v>46167</v>
      </c>
      <c r="B5534" s="24" t="s">
        <v>65</v>
      </c>
      <c r="C5534" s="24" t="s">
        <v>173</v>
      </c>
      <c r="D5534" s="33" t="n">
        <v>47</v>
      </c>
      <c r="E5534" s="24" t="n">
        <v>0</v>
      </c>
      <c r="F5534" s="37" t="n">
        <f aca="false">DATE(YEAR(A5534),MONTH(A5534),1)</f>
        <v>46143</v>
      </c>
      <c r="G5534" s="24" t="str">
        <f aca="false">INDEX(Products!$C$2:$C$49,MATCH(C5534,Products!$A$2:$A$49,0))</f>
        <v>Household</v>
      </c>
      <c r="H5534" s="33" t="n">
        <f aca="false">D5534*INDEX(Products!$E$2:$E$49,MATCH(C5534,Products!$A$2:$A$49,0))</f>
        <v>12220</v>
      </c>
      <c r="I5534" s="33" t="n">
        <f aca="false">D5534*INDEX(Products!$D$2:$D$49,MATCH(C5534,Products!$A$2:$A$49,0))*(1+INDEX(Assumptions!$B$16:$B$20,MATCH(B5534,Assumptions!$A$16:$A$20,0)))</f>
        <v>9492.12</v>
      </c>
      <c r="J5534" s="33" t="n">
        <f aca="false">H5534-I5534</f>
        <v>2727.88</v>
      </c>
      <c r="K5534" s="33" t="n">
        <f aca="false">IF(OR(E5534=0,E5534&gt;=7),0,D5534/(7-E5534)*E5534*INDEX(Products!$E$2:$E$49,MATCH(C5534,Products!$A$2:$A$49,0)))</f>
        <v>0</v>
      </c>
    </row>
    <row r="5535" customFormat="false" ht="15" hidden="false" customHeight="false" outlineLevel="0" collapsed="false">
      <c r="A5535" s="36" t="n">
        <v>46174</v>
      </c>
      <c r="B5535" s="24" t="s">
        <v>65</v>
      </c>
      <c r="C5535" s="24" t="s">
        <v>173</v>
      </c>
      <c r="D5535" s="33" t="n">
        <v>48</v>
      </c>
      <c r="E5535" s="24" t="n">
        <v>0</v>
      </c>
      <c r="F5535" s="37" t="n">
        <f aca="false">DATE(YEAR(A5535),MONTH(A5535),1)</f>
        <v>46174</v>
      </c>
      <c r="G5535" s="24" t="str">
        <f aca="false">INDEX(Products!$C$2:$C$49,MATCH(C5535,Products!$A$2:$A$49,0))</f>
        <v>Household</v>
      </c>
      <c r="H5535" s="33" t="n">
        <f aca="false">D5535*INDEX(Products!$E$2:$E$49,MATCH(C5535,Products!$A$2:$A$49,0))</f>
        <v>12480</v>
      </c>
      <c r="I5535" s="33" t="n">
        <f aca="false">D5535*INDEX(Products!$D$2:$D$49,MATCH(C5535,Products!$A$2:$A$49,0))*(1+INDEX(Assumptions!$B$16:$B$20,MATCH(B5535,Assumptions!$A$16:$A$20,0)))</f>
        <v>9694.08</v>
      </c>
      <c r="J5535" s="33" t="n">
        <f aca="false">H5535-I5535</f>
        <v>2785.92</v>
      </c>
      <c r="K5535" s="33" t="n">
        <f aca="false">IF(OR(E5535=0,E5535&gt;=7),0,D5535/(7-E5535)*E5535*INDEX(Products!$E$2:$E$49,MATCH(C5535,Products!$A$2:$A$49,0)))</f>
        <v>0</v>
      </c>
    </row>
    <row r="5536" customFormat="false" ht="15" hidden="false" customHeight="false" outlineLevel="0" collapsed="false">
      <c r="A5536" s="36" t="n">
        <v>46181</v>
      </c>
      <c r="B5536" s="24" t="s">
        <v>65</v>
      </c>
      <c r="C5536" s="24" t="s">
        <v>173</v>
      </c>
      <c r="D5536" s="33" t="n">
        <v>34</v>
      </c>
      <c r="E5536" s="24" t="n">
        <v>0</v>
      </c>
      <c r="F5536" s="37" t="n">
        <f aca="false">DATE(YEAR(A5536),MONTH(A5536),1)</f>
        <v>46174</v>
      </c>
      <c r="G5536" s="24" t="str">
        <f aca="false">INDEX(Products!$C$2:$C$49,MATCH(C5536,Products!$A$2:$A$49,0))</f>
        <v>Household</v>
      </c>
      <c r="H5536" s="33" t="n">
        <f aca="false">D5536*INDEX(Products!$E$2:$E$49,MATCH(C5536,Products!$A$2:$A$49,0))</f>
        <v>8840</v>
      </c>
      <c r="I5536" s="33" t="n">
        <f aca="false">D5536*INDEX(Products!$D$2:$D$49,MATCH(C5536,Products!$A$2:$A$49,0))*(1+INDEX(Assumptions!$B$16:$B$20,MATCH(B5536,Assumptions!$A$16:$A$20,0)))</f>
        <v>6866.64</v>
      </c>
      <c r="J5536" s="33" t="n">
        <f aca="false">H5536-I5536</f>
        <v>1973.36</v>
      </c>
      <c r="K5536" s="33" t="n">
        <f aca="false">IF(OR(E5536=0,E5536&gt;=7),0,D5536/(7-E5536)*E5536*INDEX(Products!$E$2:$E$49,MATCH(C5536,Products!$A$2:$A$49,0)))</f>
        <v>0</v>
      </c>
    </row>
    <row r="5537" customFormat="false" ht="15" hidden="false" customHeight="false" outlineLevel="0" collapsed="false">
      <c r="A5537" s="36" t="n">
        <v>46188</v>
      </c>
      <c r="B5537" s="24" t="s">
        <v>65</v>
      </c>
      <c r="C5537" s="24" t="s">
        <v>173</v>
      </c>
      <c r="D5537" s="33" t="n">
        <v>39</v>
      </c>
      <c r="E5537" s="24" t="n">
        <v>0</v>
      </c>
      <c r="F5537" s="37" t="n">
        <f aca="false">DATE(YEAR(A5537),MONTH(A5537),1)</f>
        <v>46174</v>
      </c>
      <c r="G5537" s="24" t="str">
        <f aca="false">INDEX(Products!$C$2:$C$49,MATCH(C5537,Products!$A$2:$A$49,0))</f>
        <v>Household</v>
      </c>
      <c r="H5537" s="33" t="n">
        <f aca="false">D5537*INDEX(Products!$E$2:$E$49,MATCH(C5537,Products!$A$2:$A$49,0))</f>
        <v>10140</v>
      </c>
      <c r="I5537" s="33" t="n">
        <f aca="false">D5537*INDEX(Products!$D$2:$D$49,MATCH(C5537,Products!$A$2:$A$49,0))*(1+INDEX(Assumptions!$B$16:$B$20,MATCH(B5537,Assumptions!$A$16:$A$20,0)))</f>
        <v>7876.44</v>
      </c>
      <c r="J5537" s="33" t="n">
        <f aca="false">H5537-I5537</f>
        <v>2263.56</v>
      </c>
      <c r="K5537" s="33" t="n">
        <f aca="false">IF(OR(E5537=0,E5537&gt;=7),0,D5537/(7-E5537)*E5537*INDEX(Products!$E$2:$E$49,MATCH(C5537,Products!$A$2:$A$49,0)))</f>
        <v>0</v>
      </c>
    </row>
    <row r="5538" customFormat="false" ht="15" hidden="false" customHeight="false" outlineLevel="0" collapsed="false">
      <c r="A5538" s="36" t="n">
        <v>46195</v>
      </c>
      <c r="B5538" s="24" t="s">
        <v>65</v>
      </c>
      <c r="C5538" s="24" t="s">
        <v>173</v>
      </c>
      <c r="D5538" s="33" t="n">
        <v>37</v>
      </c>
      <c r="E5538" s="24" t="n">
        <v>0</v>
      </c>
      <c r="F5538" s="37" t="n">
        <f aca="false">DATE(YEAR(A5538),MONTH(A5538),1)</f>
        <v>46174</v>
      </c>
      <c r="G5538" s="24" t="str">
        <f aca="false">INDEX(Products!$C$2:$C$49,MATCH(C5538,Products!$A$2:$A$49,0))</f>
        <v>Household</v>
      </c>
      <c r="H5538" s="33" t="n">
        <f aca="false">D5538*INDEX(Products!$E$2:$E$49,MATCH(C5538,Products!$A$2:$A$49,0))</f>
        <v>9620</v>
      </c>
      <c r="I5538" s="33" t="n">
        <f aca="false">D5538*INDEX(Products!$D$2:$D$49,MATCH(C5538,Products!$A$2:$A$49,0))*(1+INDEX(Assumptions!$B$16:$B$20,MATCH(B5538,Assumptions!$A$16:$A$20,0)))</f>
        <v>7472.52</v>
      </c>
      <c r="J5538" s="33" t="n">
        <f aca="false">H5538-I5538</f>
        <v>2147.48</v>
      </c>
      <c r="K5538" s="33" t="n">
        <f aca="false">IF(OR(E5538=0,E5538&gt;=7),0,D5538/(7-E5538)*E5538*INDEX(Products!$E$2:$E$49,MATCH(C5538,Products!$A$2:$A$49,0)))</f>
        <v>0</v>
      </c>
    </row>
    <row r="5539" customFormat="false" ht="15" hidden="false" customHeight="false" outlineLevel="0" collapsed="false">
      <c r="A5539" s="36" t="n">
        <v>46202</v>
      </c>
      <c r="B5539" s="24" t="s">
        <v>65</v>
      </c>
      <c r="C5539" s="24" t="s">
        <v>173</v>
      </c>
      <c r="D5539" s="33" t="n">
        <v>35</v>
      </c>
      <c r="E5539" s="24" t="n">
        <v>0</v>
      </c>
      <c r="F5539" s="37" t="n">
        <f aca="false">DATE(YEAR(A5539),MONTH(A5539),1)</f>
        <v>46174</v>
      </c>
      <c r="G5539" s="24" t="str">
        <f aca="false">INDEX(Products!$C$2:$C$49,MATCH(C5539,Products!$A$2:$A$49,0))</f>
        <v>Household</v>
      </c>
      <c r="H5539" s="33" t="n">
        <f aca="false">D5539*INDEX(Products!$E$2:$E$49,MATCH(C5539,Products!$A$2:$A$49,0))</f>
        <v>9100</v>
      </c>
      <c r="I5539" s="33" t="n">
        <f aca="false">D5539*INDEX(Products!$D$2:$D$49,MATCH(C5539,Products!$A$2:$A$49,0))*(1+INDEX(Assumptions!$B$16:$B$20,MATCH(B5539,Assumptions!$A$16:$A$20,0)))</f>
        <v>7068.6</v>
      </c>
      <c r="J5539" s="33" t="n">
        <f aca="false">H5539-I5539</f>
        <v>2031.4</v>
      </c>
      <c r="K5539" s="33" t="n">
        <f aca="false">IF(OR(E5539=0,E5539&gt;=7),0,D5539/(7-E5539)*E5539*INDEX(Products!$E$2:$E$49,MATCH(C5539,Products!$A$2:$A$49,0)))</f>
        <v>0</v>
      </c>
    </row>
    <row r="5540" customFormat="false" ht="15" hidden="false" customHeight="false" outlineLevel="0" collapsed="false">
      <c r="A5540" s="36" t="n">
        <v>46209</v>
      </c>
      <c r="B5540" s="24" t="s">
        <v>65</v>
      </c>
      <c r="C5540" s="24" t="s">
        <v>173</v>
      </c>
      <c r="D5540" s="33" t="n">
        <v>37</v>
      </c>
      <c r="E5540" s="24" t="n">
        <v>0</v>
      </c>
      <c r="F5540" s="37" t="n">
        <f aca="false">DATE(YEAR(A5540),MONTH(A5540),1)</f>
        <v>46204</v>
      </c>
      <c r="G5540" s="24" t="str">
        <f aca="false">INDEX(Products!$C$2:$C$49,MATCH(C5540,Products!$A$2:$A$49,0))</f>
        <v>Household</v>
      </c>
      <c r="H5540" s="33" t="n">
        <f aca="false">D5540*INDEX(Products!$E$2:$E$49,MATCH(C5540,Products!$A$2:$A$49,0))</f>
        <v>9620</v>
      </c>
      <c r="I5540" s="33" t="n">
        <f aca="false">D5540*INDEX(Products!$D$2:$D$49,MATCH(C5540,Products!$A$2:$A$49,0))*(1+INDEX(Assumptions!$B$16:$B$20,MATCH(B5540,Assumptions!$A$16:$A$20,0)))</f>
        <v>7472.52</v>
      </c>
      <c r="J5540" s="33" t="n">
        <f aca="false">H5540-I5540</f>
        <v>2147.48</v>
      </c>
      <c r="K5540" s="33" t="n">
        <f aca="false">IF(OR(E5540=0,E5540&gt;=7),0,D5540/(7-E5540)*E5540*INDEX(Products!$E$2:$E$49,MATCH(C5540,Products!$A$2:$A$49,0)))</f>
        <v>0</v>
      </c>
    </row>
    <row r="5541" customFormat="false" ht="15" hidden="false" customHeight="false" outlineLevel="0" collapsed="false">
      <c r="A5541" s="36" t="n">
        <v>46216</v>
      </c>
      <c r="B5541" s="24" t="s">
        <v>65</v>
      </c>
      <c r="C5541" s="24" t="s">
        <v>173</v>
      </c>
      <c r="D5541" s="33" t="n">
        <v>11</v>
      </c>
      <c r="E5541" s="24" t="n">
        <v>5</v>
      </c>
      <c r="F5541" s="37" t="n">
        <f aca="false">DATE(YEAR(A5541),MONTH(A5541),1)</f>
        <v>46204</v>
      </c>
      <c r="G5541" s="24" t="str">
        <f aca="false">INDEX(Products!$C$2:$C$49,MATCH(C5541,Products!$A$2:$A$49,0))</f>
        <v>Household</v>
      </c>
      <c r="H5541" s="33" t="n">
        <f aca="false">D5541*INDEX(Products!$E$2:$E$49,MATCH(C5541,Products!$A$2:$A$49,0))</f>
        <v>2860</v>
      </c>
      <c r="I5541" s="33" t="n">
        <f aca="false">D5541*INDEX(Products!$D$2:$D$49,MATCH(C5541,Products!$A$2:$A$49,0))*(1+INDEX(Assumptions!$B$16:$B$20,MATCH(B5541,Assumptions!$A$16:$A$20,0)))</f>
        <v>2221.56</v>
      </c>
      <c r="J5541" s="33" t="n">
        <f aca="false">H5541-I5541</f>
        <v>638.44</v>
      </c>
      <c r="K5541" s="33" t="n">
        <f aca="false">IF(OR(E5541=0,E5541&gt;=7),0,D5541/(7-E5541)*E5541*INDEX(Products!$E$2:$E$49,MATCH(C5541,Products!$A$2:$A$49,0)))</f>
        <v>7150</v>
      </c>
    </row>
    <row r="5542" customFormat="false" ht="15" hidden="false" customHeight="false" outlineLevel="0" collapsed="false">
      <c r="A5542" s="36" t="n">
        <v>46223</v>
      </c>
      <c r="B5542" s="24" t="s">
        <v>65</v>
      </c>
      <c r="C5542" s="24" t="s">
        <v>173</v>
      </c>
      <c r="D5542" s="33" t="n">
        <v>41</v>
      </c>
      <c r="E5542" s="24" t="n">
        <v>0</v>
      </c>
      <c r="F5542" s="37" t="n">
        <f aca="false">DATE(YEAR(A5542),MONTH(A5542),1)</f>
        <v>46204</v>
      </c>
      <c r="G5542" s="24" t="str">
        <f aca="false">INDEX(Products!$C$2:$C$49,MATCH(C5542,Products!$A$2:$A$49,0))</f>
        <v>Household</v>
      </c>
      <c r="H5542" s="33" t="n">
        <f aca="false">D5542*INDEX(Products!$E$2:$E$49,MATCH(C5542,Products!$A$2:$A$49,0))</f>
        <v>10660</v>
      </c>
      <c r="I5542" s="33" t="n">
        <f aca="false">D5542*INDEX(Products!$D$2:$D$49,MATCH(C5542,Products!$A$2:$A$49,0))*(1+INDEX(Assumptions!$B$16:$B$20,MATCH(B5542,Assumptions!$A$16:$A$20,0)))</f>
        <v>8280.36</v>
      </c>
      <c r="J5542" s="33" t="n">
        <f aca="false">H5542-I5542</f>
        <v>2379.64</v>
      </c>
      <c r="K5542" s="33" t="n">
        <f aca="false">IF(OR(E5542=0,E5542&gt;=7),0,D5542/(7-E5542)*E5542*INDEX(Products!$E$2:$E$49,MATCH(C5542,Products!$A$2:$A$49,0)))</f>
        <v>0</v>
      </c>
    </row>
    <row r="5543" customFormat="false" ht="15" hidden="false" customHeight="false" outlineLevel="0" collapsed="false">
      <c r="A5543" s="36" t="n">
        <v>46230</v>
      </c>
      <c r="B5543" s="24" t="s">
        <v>65</v>
      </c>
      <c r="C5543" s="24" t="s">
        <v>173</v>
      </c>
      <c r="D5543" s="33" t="n">
        <v>44</v>
      </c>
      <c r="E5543" s="24" t="n">
        <v>0</v>
      </c>
      <c r="F5543" s="37" t="n">
        <f aca="false">DATE(YEAR(A5543),MONTH(A5543),1)</f>
        <v>46204</v>
      </c>
      <c r="G5543" s="24" t="str">
        <f aca="false">INDEX(Products!$C$2:$C$49,MATCH(C5543,Products!$A$2:$A$49,0))</f>
        <v>Household</v>
      </c>
      <c r="H5543" s="33" t="n">
        <f aca="false">D5543*INDEX(Products!$E$2:$E$49,MATCH(C5543,Products!$A$2:$A$49,0))</f>
        <v>11440</v>
      </c>
      <c r="I5543" s="33" t="n">
        <f aca="false">D5543*INDEX(Products!$D$2:$D$49,MATCH(C5543,Products!$A$2:$A$49,0))*(1+INDEX(Assumptions!$B$16:$B$20,MATCH(B5543,Assumptions!$A$16:$A$20,0)))</f>
        <v>8886.24</v>
      </c>
      <c r="J5543" s="33" t="n">
        <f aca="false">H5543-I5543</f>
        <v>2553.76</v>
      </c>
      <c r="K5543" s="33" t="n">
        <f aca="false">IF(OR(E5543=0,E5543&gt;=7),0,D5543/(7-E5543)*E5543*INDEX(Products!$E$2:$E$49,MATCH(C5543,Products!$A$2:$A$49,0)))</f>
        <v>0</v>
      </c>
    </row>
    <row r="5544" customFormat="false" ht="15" hidden="false" customHeight="false" outlineLevel="0" collapsed="false">
      <c r="A5544" s="36" t="n">
        <v>46237</v>
      </c>
      <c r="B5544" s="24" t="s">
        <v>65</v>
      </c>
      <c r="C5544" s="24" t="s">
        <v>173</v>
      </c>
      <c r="D5544" s="33" t="n">
        <v>40</v>
      </c>
      <c r="E5544" s="24" t="n">
        <v>0</v>
      </c>
      <c r="F5544" s="37" t="n">
        <f aca="false">DATE(YEAR(A5544),MONTH(A5544),1)</f>
        <v>46235</v>
      </c>
      <c r="G5544" s="24" t="str">
        <f aca="false">INDEX(Products!$C$2:$C$49,MATCH(C5544,Products!$A$2:$A$49,0))</f>
        <v>Household</v>
      </c>
      <c r="H5544" s="33" t="n">
        <f aca="false">D5544*INDEX(Products!$E$2:$E$49,MATCH(C5544,Products!$A$2:$A$49,0))</f>
        <v>10400</v>
      </c>
      <c r="I5544" s="33" t="n">
        <f aca="false">D5544*INDEX(Products!$D$2:$D$49,MATCH(C5544,Products!$A$2:$A$49,0))*(1+INDEX(Assumptions!$B$16:$B$20,MATCH(B5544,Assumptions!$A$16:$A$20,0)))</f>
        <v>8078.4</v>
      </c>
      <c r="J5544" s="33" t="n">
        <f aca="false">H5544-I5544</f>
        <v>2321.6</v>
      </c>
      <c r="K5544" s="33" t="n">
        <f aca="false">IF(OR(E5544=0,E5544&gt;=7),0,D5544/(7-E5544)*E5544*INDEX(Products!$E$2:$E$49,MATCH(C5544,Products!$A$2:$A$49,0)))</f>
        <v>0</v>
      </c>
    </row>
    <row r="5545" customFormat="false" ht="15" hidden="false" customHeight="false" outlineLevel="0" collapsed="false">
      <c r="A5545" s="36" t="n">
        <v>46244</v>
      </c>
      <c r="B5545" s="24" t="s">
        <v>65</v>
      </c>
      <c r="C5545" s="24" t="s">
        <v>173</v>
      </c>
      <c r="D5545" s="33" t="n">
        <v>22</v>
      </c>
      <c r="E5545" s="24" t="n">
        <v>3</v>
      </c>
      <c r="F5545" s="37" t="n">
        <f aca="false">DATE(YEAR(A5545),MONTH(A5545),1)</f>
        <v>46235</v>
      </c>
      <c r="G5545" s="24" t="str">
        <f aca="false">INDEX(Products!$C$2:$C$49,MATCH(C5545,Products!$A$2:$A$49,0))</f>
        <v>Household</v>
      </c>
      <c r="H5545" s="33" t="n">
        <f aca="false">D5545*INDEX(Products!$E$2:$E$49,MATCH(C5545,Products!$A$2:$A$49,0))</f>
        <v>5720</v>
      </c>
      <c r="I5545" s="33" t="n">
        <f aca="false">D5545*INDEX(Products!$D$2:$D$49,MATCH(C5545,Products!$A$2:$A$49,0))*(1+INDEX(Assumptions!$B$16:$B$20,MATCH(B5545,Assumptions!$A$16:$A$20,0)))</f>
        <v>4443.12</v>
      </c>
      <c r="J5545" s="33" t="n">
        <f aca="false">H5545-I5545</f>
        <v>1276.88</v>
      </c>
      <c r="K5545" s="33" t="n">
        <f aca="false">IF(OR(E5545=0,E5545&gt;=7),0,D5545/(7-E5545)*E5545*INDEX(Products!$E$2:$E$49,MATCH(C5545,Products!$A$2:$A$49,0)))</f>
        <v>4290</v>
      </c>
    </row>
    <row r="5546" customFormat="false" ht="15" hidden="false" customHeight="false" outlineLevel="0" collapsed="false">
      <c r="A5546" s="36" t="n">
        <v>46251</v>
      </c>
      <c r="B5546" s="24" t="s">
        <v>65</v>
      </c>
      <c r="C5546" s="24" t="s">
        <v>173</v>
      </c>
      <c r="D5546" s="33" t="n">
        <v>34</v>
      </c>
      <c r="E5546" s="24" t="n">
        <v>0</v>
      </c>
      <c r="F5546" s="37" t="n">
        <f aca="false">DATE(YEAR(A5546),MONTH(A5546),1)</f>
        <v>46235</v>
      </c>
      <c r="G5546" s="24" t="str">
        <f aca="false">INDEX(Products!$C$2:$C$49,MATCH(C5546,Products!$A$2:$A$49,0))</f>
        <v>Household</v>
      </c>
      <c r="H5546" s="33" t="n">
        <f aca="false">D5546*INDEX(Products!$E$2:$E$49,MATCH(C5546,Products!$A$2:$A$49,0))</f>
        <v>8840</v>
      </c>
      <c r="I5546" s="33" t="n">
        <f aca="false">D5546*INDEX(Products!$D$2:$D$49,MATCH(C5546,Products!$A$2:$A$49,0))*(1+INDEX(Assumptions!$B$16:$B$20,MATCH(B5546,Assumptions!$A$16:$A$20,0)))</f>
        <v>6866.64</v>
      </c>
      <c r="J5546" s="33" t="n">
        <f aca="false">H5546-I5546</f>
        <v>1973.36</v>
      </c>
      <c r="K5546" s="33" t="n">
        <f aca="false">IF(OR(E5546=0,E5546&gt;=7),0,D5546/(7-E5546)*E5546*INDEX(Products!$E$2:$E$49,MATCH(C5546,Products!$A$2:$A$49,0)))</f>
        <v>0</v>
      </c>
    </row>
    <row r="5547" customFormat="false" ht="15" hidden="false" customHeight="false" outlineLevel="0" collapsed="false">
      <c r="A5547" s="36" t="n">
        <v>46258</v>
      </c>
      <c r="B5547" s="24" t="s">
        <v>65</v>
      </c>
      <c r="C5547" s="24" t="s">
        <v>173</v>
      </c>
      <c r="D5547" s="33" t="n">
        <v>88</v>
      </c>
      <c r="E5547" s="24" t="n">
        <v>0</v>
      </c>
      <c r="F5547" s="37" t="n">
        <f aca="false">DATE(YEAR(A5547),MONTH(A5547),1)</f>
        <v>46235</v>
      </c>
      <c r="G5547" s="24" t="str">
        <f aca="false">INDEX(Products!$C$2:$C$49,MATCH(C5547,Products!$A$2:$A$49,0))</f>
        <v>Household</v>
      </c>
      <c r="H5547" s="33" t="n">
        <f aca="false">D5547*INDEX(Products!$E$2:$E$49,MATCH(C5547,Products!$A$2:$A$49,0))</f>
        <v>22880</v>
      </c>
      <c r="I5547" s="33" t="n">
        <f aca="false">D5547*INDEX(Products!$D$2:$D$49,MATCH(C5547,Products!$A$2:$A$49,0))*(1+INDEX(Assumptions!$B$16:$B$20,MATCH(B5547,Assumptions!$A$16:$A$20,0)))</f>
        <v>17772.48</v>
      </c>
      <c r="J5547" s="33" t="n">
        <f aca="false">H5547-I5547</f>
        <v>5107.52</v>
      </c>
      <c r="K5547" s="33" t="n">
        <f aca="false">IF(OR(E5547=0,E5547&gt;=7),0,D5547/(7-E5547)*E5547*INDEX(Products!$E$2:$E$49,MATCH(C5547,Products!$A$2:$A$49,0)))</f>
        <v>0</v>
      </c>
    </row>
    <row r="5548" customFormat="false" ht="15" hidden="false" customHeight="false" outlineLevel="0" collapsed="false">
      <c r="A5548" s="36" t="n">
        <v>46265</v>
      </c>
      <c r="B5548" s="24" t="s">
        <v>65</v>
      </c>
      <c r="C5548" s="24" t="s">
        <v>173</v>
      </c>
      <c r="D5548" s="33" t="n">
        <v>42</v>
      </c>
      <c r="E5548" s="24" t="n">
        <v>0</v>
      </c>
      <c r="F5548" s="37" t="n">
        <f aca="false">DATE(YEAR(A5548),MONTH(A5548),1)</f>
        <v>46235</v>
      </c>
      <c r="G5548" s="24" t="str">
        <f aca="false">INDEX(Products!$C$2:$C$49,MATCH(C5548,Products!$A$2:$A$49,0))</f>
        <v>Household</v>
      </c>
      <c r="H5548" s="33" t="n">
        <f aca="false">D5548*INDEX(Products!$E$2:$E$49,MATCH(C5548,Products!$A$2:$A$49,0))</f>
        <v>10920</v>
      </c>
      <c r="I5548" s="33" t="n">
        <f aca="false">D5548*INDEX(Products!$D$2:$D$49,MATCH(C5548,Products!$A$2:$A$49,0))*(1+INDEX(Assumptions!$B$16:$B$20,MATCH(B5548,Assumptions!$A$16:$A$20,0)))</f>
        <v>8482.32</v>
      </c>
      <c r="J5548" s="33" t="n">
        <f aca="false">H5548-I5548</f>
        <v>2437.68</v>
      </c>
      <c r="K5548" s="33" t="n">
        <f aca="false">IF(OR(E5548=0,E5548&gt;=7),0,D5548/(7-E5548)*E5548*INDEX(Products!$E$2:$E$49,MATCH(C5548,Products!$A$2:$A$49,0)))</f>
        <v>0</v>
      </c>
    </row>
    <row r="5549" customFormat="false" ht="15" hidden="false" customHeight="false" outlineLevel="0" collapsed="false">
      <c r="A5549" s="36" t="n">
        <v>46272</v>
      </c>
      <c r="B5549" s="24" t="s">
        <v>65</v>
      </c>
      <c r="C5549" s="24" t="s">
        <v>173</v>
      </c>
      <c r="D5549" s="33" t="n">
        <v>37</v>
      </c>
      <c r="E5549" s="24" t="n">
        <v>0</v>
      </c>
      <c r="F5549" s="37" t="n">
        <f aca="false">DATE(YEAR(A5549),MONTH(A5549),1)</f>
        <v>46266</v>
      </c>
      <c r="G5549" s="24" t="str">
        <f aca="false">INDEX(Products!$C$2:$C$49,MATCH(C5549,Products!$A$2:$A$49,0))</f>
        <v>Household</v>
      </c>
      <c r="H5549" s="33" t="n">
        <f aca="false">D5549*INDEX(Products!$E$2:$E$49,MATCH(C5549,Products!$A$2:$A$49,0))</f>
        <v>9620</v>
      </c>
      <c r="I5549" s="33" t="n">
        <f aca="false">D5549*INDEX(Products!$D$2:$D$49,MATCH(C5549,Products!$A$2:$A$49,0))*(1+INDEX(Assumptions!$B$16:$B$20,MATCH(B5549,Assumptions!$A$16:$A$20,0)))</f>
        <v>7472.52</v>
      </c>
      <c r="J5549" s="33" t="n">
        <f aca="false">H5549-I5549</f>
        <v>2147.48</v>
      </c>
      <c r="K5549" s="33" t="n">
        <f aca="false">IF(OR(E5549=0,E5549&gt;=7),0,D5549/(7-E5549)*E5549*INDEX(Products!$E$2:$E$49,MATCH(C5549,Products!$A$2:$A$49,0)))</f>
        <v>0</v>
      </c>
    </row>
    <row r="5550" customFormat="false" ht="15" hidden="false" customHeight="false" outlineLevel="0" collapsed="false">
      <c r="A5550" s="36" t="n">
        <v>46279</v>
      </c>
      <c r="B5550" s="24" t="s">
        <v>65</v>
      </c>
      <c r="C5550" s="24" t="s">
        <v>173</v>
      </c>
      <c r="D5550" s="33" t="n">
        <v>24</v>
      </c>
      <c r="E5550" s="24" t="n">
        <v>0</v>
      </c>
      <c r="F5550" s="37" t="n">
        <f aca="false">DATE(YEAR(A5550),MONTH(A5550),1)</f>
        <v>46266</v>
      </c>
      <c r="G5550" s="24" t="str">
        <f aca="false">INDEX(Products!$C$2:$C$49,MATCH(C5550,Products!$A$2:$A$49,0))</f>
        <v>Household</v>
      </c>
      <c r="H5550" s="33" t="n">
        <f aca="false">D5550*INDEX(Products!$E$2:$E$49,MATCH(C5550,Products!$A$2:$A$49,0))</f>
        <v>6240</v>
      </c>
      <c r="I5550" s="33" t="n">
        <f aca="false">D5550*INDEX(Products!$D$2:$D$49,MATCH(C5550,Products!$A$2:$A$49,0))*(1+INDEX(Assumptions!$B$16:$B$20,MATCH(B5550,Assumptions!$A$16:$A$20,0)))</f>
        <v>4847.04</v>
      </c>
      <c r="J5550" s="33" t="n">
        <f aca="false">H5550-I5550</f>
        <v>1392.96</v>
      </c>
      <c r="K5550" s="33" t="n">
        <f aca="false">IF(OR(E5550=0,E5550&gt;=7),0,D5550/(7-E5550)*E5550*INDEX(Products!$E$2:$E$49,MATCH(C5550,Products!$A$2:$A$49,0)))</f>
        <v>0</v>
      </c>
    </row>
    <row r="5551" customFormat="false" ht="15" hidden="false" customHeight="false" outlineLevel="0" collapsed="false">
      <c r="A5551" s="36" t="n">
        <v>46286</v>
      </c>
      <c r="B5551" s="24" t="s">
        <v>65</v>
      </c>
      <c r="C5551" s="24" t="s">
        <v>173</v>
      </c>
      <c r="D5551" s="33" t="n">
        <v>46</v>
      </c>
      <c r="E5551" s="24" t="n">
        <v>0</v>
      </c>
      <c r="F5551" s="37" t="n">
        <f aca="false">DATE(YEAR(A5551),MONTH(A5551),1)</f>
        <v>46266</v>
      </c>
      <c r="G5551" s="24" t="str">
        <f aca="false">INDEX(Products!$C$2:$C$49,MATCH(C5551,Products!$A$2:$A$49,0))</f>
        <v>Household</v>
      </c>
      <c r="H5551" s="33" t="n">
        <f aca="false">D5551*INDEX(Products!$E$2:$E$49,MATCH(C5551,Products!$A$2:$A$49,0))</f>
        <v>11960</v>
      </c>
      <c r="I5551" s="33" t="n">
        <f aca="false">D5551*INDEX(Products!$D$2:$D$49,MATCH(C5551,Products!$A$2:$A$49,0))*(1+INDEX(Assumptions!$B$16:$B$20,MATCH(B5551,Assumptions!$A$16:$A$20,0)))</f>
        <v>9290.16</v>
      </c>
      <c r="J5551" s="33" t="n">
        <f aca="false">H5551-I5551</f>
        <v>2669.84</v>
      </c>
      <c r="K5551" s="33" t="n">
        <f aca="false">IF(OR(E5551=0,E5551&gt;=7),0,D5551/(7-E5551)*E5551*INDEX(Products!$E$2:$E$49,MATCH(C5551,Products!$A$2:$A$49,0)))</f>
        <v>0</v>
      </c>
    </row>
    <row r="5552" customFormat="false" ht="15" hidden="false" customHeight="false" outlineLevel="0" collapsed="false">
      <c r="A5552" s="36" t="n">
        <v>46118</v>
      </c>
      <c r="B5552" s="24" t="s">
        <v>65</v>
      </c>
      <c r="C5552" s="24" t="s">
        <v>175</v>
      </c>
      <c r="D5552" s="33" t="n">
        <v>31</v>
      </c>
      <c r="E5552" s="24" t="n">
        <v>5</v>
      </c>
      <c r="F5552" s="37" t="n">
        <f aca="false">DATE(YEAR(A5552),MONTH(A5552),1)</f>
        <v>46113</v>
      </c>
      <c r="G5552" s="24" t="str">
        <f aca="false">INDEX(Products!$C$2:$C$49,MATCH(C5552,Products!$A$2:$A$49,0))</f>
        <v>Household</v>
      </c>
      <c r="H5552" s="33" t="n">
        <f aca="false">D5552*INDEX(Products!$E$2:$E$49,MATCH(C5552,Products!$A$2:$A$49,0))</f>
        <v>1860</v>
      </c>
      <c r="I5552" s="33" t="n">
        <f aca="false">D5552*INDEX(Products!$D$2:$D$49,MATCH(C5552,Products!$A$2:$A$49,0))*(1+INDEX(Assumptions!$B$16:$B$20,MATCH(B5552,Assumptions!$A$16:$A$20,0)))</f>
        <v>1486.14</v>
      </c>
      <c r="J5552" s="33" t="n">
        <f aca="false">H5552-I5552</f>
        <v>373.86</v>
      </c>
      <c r="K5552" s="33" t="n">
        <f aca="false">IF(OR(E5552=0,E5552&gt;=7),0,D5552/(7-E5552)*E5552*INDEX(Products!$E$2:$E$49,MATCH(C5552,Products!$A$2:$A$49,0)))</f>
        <v>4650</v>
      </c>
    </row>
    <row r="5553" customFormat="false" ht="15" hidden="false" customHeight="false" outlineLevel="0" collapsed="false">
      <c r="A5553" s="36" t="n">
        <v>46125</v>
      </c>
      <c r="B5553" s="24" t="s">
        <v>65</v>
      </c>
      <c r="C5553" s="24" t="s">
        <v>175</v>
      </c>
      <c r="D5553" s="33" t="n">
        <v>97</v>
      </c>
      <c r="E5553" s="24" t="n">
        <v>0</v>
      </c>
      <c r="F5553" s="37" t="n">
        <f aca="false">DATE(YEAR(A5553),MONTH(A5553),1)</f>
        <v>46113</v>
      </c>
      <c r="G5553" s="24" t="str">
        <f aca="false">INDEX(Products!$C$2:$C$49,MATCH(C5553,Products!$A$2:$A$49,0))</f>
        <v>Household</v>
      </c>
      <c r="H5553" s="33" t="n">
        <f aca="false">D5553*INDEX(Products!$E$2:$E$49,MATCH(C5553,Products!$A$2:$A$49,0))</f>
        <v>5820</v>
      </c>
      <c r="I5553" s="33" t="n">
        <f aca="false">D5553*INDEX(Products!$D$2:$D$49,MATCH(C5553,Products!$A$2:$A$49,0))*(1+INDEX(Assumptions!$B$16:$B$20,MATCH(B5553,Assumptions!$A$16:$A$20,0)))</f>
        <v>4650.18</v>
      </c>
      <c r="J5553" s="33" t="n">
        <f aca="false">H5553-I5553</f>
        <v>1169.82</v>
      </c>
      <c r="K5553" s="33" t="n">
        <f aca="false">IF(OR(E5553=0,E5553&gt;=7),0,D5553/(7-E5553)*E5553*INDEX(Products!$E$2:$E$49,MATCH(C5553,Products!$A$2:$A$49,0)))</f>
        <v>0</v>
      </c>
    </row>
    <row r="5554" customFormat="false" ht="15" hidden="false" customHeight="false" outlineLevel="0" collapsed="false">
      <c r="A5554" s="36" t="n">
        <v>46132</v>
      </c>
      <c r="B5554" s="24" t="s">
        <v>65</v>
      </c>
      <c r="C5554" s="24" t="s">
        <v>175</v>
      </c>
      <c r="D5554" s="33" t="n">
        <v>114</v>
      </c>
      <c r="E5554" s="24" t="n">
        <v>0</v>
      </c>
      <c r="F5554" s="37" t="n">
        <f aca="false">DATE(YEAR(A5554),MONTH(A5554),1)</f>
        <v>46113</v>
      </c>
      <c r="G5554" s="24" t="str">
        <f aca="false">INDEX(Products!$C$2:$C$49,MATCH(C5554,Products!$A$2:$A$49,0))</f>
        <v>Household</v>
      </c>
      <c r="H5554" s="33" t="n">
        <f aca="false">D5554*INDEX(Products!$E$2:$E$49,MATCH(C5554,Products!$A$2:$A$49,0))</f>
        <v>6840</v>
      </c>
      <c r="I5554" s="33" t="n">
        <f aca="false">D5554*INDEX(Products!$D$2:$D$49,MATCH(C5554,Products!$A$2:$A$49,0))*(1+INDEX(Assumptions!$B$16:$B$20,MATCH(B5554,Assumptions!$A$16:$A$20,0)))</f>
        <v>5465.16</v>
      </c>
      <c r="J5554" s="33" t="n">
        <f aca="false">H5554-I5554</f>
        <v>1374.84</v>
      </c>
      <c r="K5554" s="33" t="n">
        <f aca="false">IF(OR(E5554=0,E5554&gt;=7),0,D5554/(7-E5554)*E5554*INDEX(Products!$E$2:$E$49,MATCH(C5554,Products!$A$2:$A$49,0)))</f>
        <v>0</v>
      </c>
    </row>
    <row r="5555" customFormat="false" ht="15" hidden="false" customHeight="false" outlineLevel="0" collapsed="false">
      <c r="A5555" s="36" t="n">
        <v>46139</v>
      </c>
      <c r="B5555" s="24" t="s">
        <v>65</v>
      </c>
      <c r="C5555" s="24" t="s">
        <v>175</v>
      </c>
      <c r="D5555" s="33" t="n">
        <v>131</v>
      </c>
      <c r="E5555" s="24" t="n">
        <v>0</v>
      </c>
      <c r="F5555" s="37" t="n">
        <f aca="false">DATE(YEAR(A5555),MONTH(A5555),1)</f>
        <v>46113</v>
      </c>
      <c r="G5555" s="24" t="str">
        <f aca="false">INDEX(Products!$C$2:$C$49,MATCH(C5555,Products!$A$2:$A$49,0))</f>
        <v>Household</v>
      </c>
      <c r="H5555" s="33" t="n">
        <f aca="false">D5555*INDEX(Products!$E$2:$E$49,MATCH(C5555,Products!$A$2:$A$49,0))</f>
        <v>7860</v>
      </c>
      <c r="I5555" s="33" t="n">
        <f aca="false">D5555*INDEX(Products!$D$2:$D$49,MATCH(C5555,Products!$A$2:$A$49,0))*(1+INDEX(Assumptions!$B$16:$B$20,MATCH(B5555,Assumptions!$A$16:$A$20,0)))</f>
        <v>6280.14</v>
      </c>
      <c r="J5555" s="33" t="n">
        <f aca="false">H5555-I5555</f>
        <v>1579.86</v>
      </c>
      <c r="K5555" s="33" t="n">
        <f aca="false">IF(OR(E5555=0,E5555&gt;=7),0,D5555/(7-E5555)*E5555*INDEX(Products!$E$2:$E$49,MATCH(C5555,Products!$A$2:$A$49,0)))</f>
        <v>0</v>
      </c>
    </row>
    <row r="5556" customFormat="false" ht="15" hidden="false" customHeight="false" outlineLevel="0" collapsed="false">
      <c r="A5556" s="36" t="n">
        <v>46146</v>
      </c>
      <c r="B5556" s="24" t="s">
        <v>65</v>
      </c>
      <c r="C5556" s="24" t="s">
        <v>175</v>
      </c>
      <c r="D5556" s="33" t="n">
        <v>101</v>
      </c>
      <c r="E5556" s="24" t="n">
        <v>0</v>
      </c>
      <c r="F5556" s="37" t="n">
        <f aca="false">DATE(YEAR(A5556),MONTH(A5556),1)</f>
        <v>46143</v>
      </c>
      <c r="G5556" s="24" t="str">
        <f aca="false">INDEX(Products!$C$2:$C$49,MATCH(C5556,Products!$A$2:$A$49,0))</f>
        <v>Household</v>
      </c>
      <c r="H5556" s="33" t="n">
        <f aca="false">D5556*INDEX(Products!$E$2:$E$49,MATCH(C5556,Products!$A$2:$A$49,0))</f>
        <v>6060</v>
      </c>
      <c r="I5556" s="33" t="n">
        <f aca="false">D5556*INDEX(Products!$D$2:$D$49,MATCH(C5556,Products!$A$2:$A$49,0))*(1+INDEX(Assumptions!$B$16:$B$20,MATCH(B5556,Assumptions!$A$16:$A$20,0)))</f>
        <v>4841.94</v>
      </c>
      <c r="J5556" s="33" t="n">
        <f aca="false">H5556-I5556</f>
        <v>1218.06</v>
      </c>
      <c r="K5556" s="33" t="n">
        <f aca="false">IF(OR(E5556=0,E5556&gt;=7),0,D5556/(7-E5556)*E5556*INDEX(Products!$E$2:$E$49,MATCH(C5556,Products!$A$2:$A$49,0)))</f>
        <v>0</v>
      </c>
    </row>
    <row r="5557" customFormat="false" ht="15" hidden="false" customHeight="false" outlineLevel="0" collapsed="false">
      <c r="A5557" s="36" t="n">
        <v>46153</v>
      </c>
      <c r="B5557" s="24" t="s">
        <v>65</v>
      </c>
      <c r="C5557" s="24" t="s">
        <v>175</v>
      </c>
      <c r="D5557" s="33" t="n">
        <v>114</v>
      </c>
      <c r="E5557" s="24" t="n">
        <v>0</v>
      </c>
      <c r="F5557" s="37" t="n">
        <f aca="false">DATE(YEAR(A5557),MONTH(A5557),1)</f>
        <v>46143</v>
      </c>
      <c r="G5557" s="24" t="str">
        <f aca="false">INDEX(Products!$C$2:$C$49,MATCH(C5557,Products!$A$2:$A$49,0))</f>
        <v>Household</v>
      </c>
      <c r="H5557" s="33" t="n">
        <f aca="false">D5557*INDEX(Products!$E$2:$E$49,MATCH(C5557,Products!$A$2:$A$49,0))</f>
        <v>6840</v>
      </c>
      <c r="I5557" s="33" t="n">
        <f aca="false">D5557*INDEX(Products!$D$2:$D$49,MATCH(C5557,Products!$A$2:$A$49,0))*(1+INDEX(Assumptions!$B$16:$B$20,MATCH(B5557,Assumptions!$A$16:$A$20,0)))</f>
        <v>5465.16</v>
      </c>
      <c r="J5557" s="33" t="n">
        <f aca="false">H5557-I5557</f>
        <v>1374.84</v>
      </c>
      <c r="K5557" s="33" t="n">
        <f aca="false">IF(OR(E5557=0,E5557&gt;=7),0,D5557/(7-E5557)*E5557*INDEX(Products!$E$2:$E$49,MATCH(C5557,Products!$A$2:$A$49,0)))</f>
        <v>0</v>
      </c>
    </row>
    <row r="5558" customFormat="false" ht="15" hidden="false" customHeight="false" outlineLevel="0" collapsed="false">
      <c r="A5558" s="36" t="n">
        <v>46160</v>
      </c>
      <c r="B5558" s="24" t="s">
        <v>65</v>
      </c>
      <c r="C5558" s="24" t="s">
        <v>175</v>
      </c>
      <c r="D5558" s="33" t="n">
        <v>104</v>
      </c>
      <c r="E5558" s="24" t="n">
        <v>0</v>
      </c>
      <c r="F5558" s="37" t="n">
        <f aca="false">DATE(YEAR(A5558),MONTH(A5558),1)</f>
        <v>46143</v>
      </c>
      <c r="G5558" s="24" t="str">
        <f aca="false">INDEX(Products!$C$2:$C$49,MATCH(C5558,Products!$A$2:$A$49,0))</f>
        <v>Household</v>
      </c>
      <c r="H5558" s="33" t="n">
        <f aca="false">D5558*INDEX(Products!$E$2:$E$49,MATCH(C5558,Products!$A$2:$A$49,0))</f>
        <v>6240</v>
      </c>
      <c r="I5558" s="33" t="n">
        <f aca="false">D5558*INDEX(Products!$D$2:$D$49,MATCH(C5558,Products!$A$2:$A$49,0))*(1+INDEX(Assumptions!$B$16:$B$20,MATCH(B5558,Assumptions!$A$16:$A$20,0)))</f>
        <v>4985.76</v>
      </c>
      <c r="J5558" s="33" t="n">
        <f aca="false">H5558-I5558</f>
        <v>1254.24</v>
      </c>
      <c r="K5558" s="33" t="n">
        <f aca="false">IF(OR(E5558=0,E5558&gt;=7),0,D5558/(7-E5558)*E5558*INDEX(Products!$E$2:$E$49,MATCH(C5558,Products!$A$2:$A$49,0)))</f>
        <v>0</v>
      </c>
    </row>
    <row r="5559" customFormat="false" ht="15" hidden="false" customHeight="false" outlineLevel="0" collapsed="false">
      <c r="A5559" s="36" t="n">
        <v>46167</v>
      </c>
      <c r="B5559" s="24" t="s">
        <v>65</v>
      </c>
      <c r="C5559" s="24" t="s">
        <v>175</v>
      </c>
      <c r="D5559" s="33" t="n">
        <v>131</v>
      </c>
      <c r="E5559" s="24" t="n">
        <v>0</v>
      </c>
      <c r="F5559" s="37" t="n">
        <f aca="false">DATE(YEAR(A5559),MONTH(A5559),1)</f>
        <v>46143</v>
      </c>
      <c r="G5559" s="24" t="str">
        <f aca="false">INDEX(Products!$C$2:$C$49,MATCH(C5559,Products!$A$2:$A$49,0))</f>
        <v>Household</v>
      </c>
      <c r="H5559" s="33" t="n">
        <f aca="false">D5559*INDEX(Products!$E$2:$E$49,MATCH(C5559,Products!$A$2:$A$49,0))</f>
        <v>7860</v>
      </c>
      <c r="I5559" s="33" t="n">
        <f aca="false">D5559*INDEX(Products!$D$2:$D$49,MATCH(C5559,Products!$A$2:$A$49,0))*(1+INDEX(Assumptions!$B$16:$B$20,MATCH(B5559,Assumptions!$A$16:$A$20,0)))</f>
        <v>6280.14</v>
      </c>
      <c r="J5559" s="33" t="n">
        <f aca="false">H5559-I5559</f>
        <v>1579.86</v>
      </c>
      <c r="K5559" s="33" t="n">
        <f aca="false">IF(OR(E5559=0,E5559&gt;=7),0,D5559/(7-E5559)*E5559*INDEX(Products!$E$2:$E$49,MATCH(C5559,Products!$A$2:$A$49,0)))</f>
        <v>0</v>
      </c>
    </row>
    <row r="5560" customFormat="false" ht="15" hidden="false" customHeight="false" outlineLevel="0" collapsed="false">
      <c r="A5560" s="36" t="n">
        <v>46174</v>
      </c>
      <c r="B5560" s="24" t="s">
        <v>65</v>
      </c>
      <c r="C5560" s="24" t="s">
        <v>175</v>
      </c>
      <c r="D5560" s="33" t="n">
        <v>118</v>
      </c>
      <c r="E5560" s="24" t="n">
        <v>0</v>
      </c>
      <c r="F5560" s="37" t="n">
        <f aca="false">DATE(YEAR(A5560),MONTH(A5560),1)</f>
        <v>46174</v>
      </c>
      <c r="G5560" s="24" t="str">
        <f aca="false">INDEX(Products!$C$2:$C$49,MATCH(C5560,Products!$A$2:$A$49,0))</f>
        <v>Household</v>
      </c>
      <c r="H5560" s="33" t="n">
        <f aca="false">D5560*INDEX(Products!$E$2:$E$49,MATCH(C5560,Products!$A$2:$A$49,0))</f>
        <v>7080</v>
      </c>
      <c r="I5560" s="33" t="n">
        <f aca="false">D5560*INDEX(Products!$D$2:$D$49,MATCH(C5560,Products!$A$2:$A$49,0))*(1+INDEX(Assumptions!$B$16:$B$20,MATCH(B5560,Assumptions!$A$16:$A$20,0)))</f>
        <v>5656.92</v>
      </c>
      <c r="J5560" s="33" t="n">
        <f aca="false">H5560-I5560</f>
        <v>1423.08</v>
      </c>
      <c r="K5560" s="33" t="n">
        <f aca="false">IF(OR(E5560=0,E5560&gt;=7),0,D5560/(7-E5560)*E5560*INDEX(Products!$E$2:$E$49,MATCH(C5560,Products!$A$2:$A$49,0)))</f>
        <v>0</v>
      </c>
    </row>
    <row r="5561" customFormat="false" ht="15" hidden="false" customHeight="false" outlineLevel="0" collapsed="false">
      <c r="A5561" s="36" t="n">
        <v>46181</v>
      </c>
      <c r="B5561" s="24" t="s">
        <v>65</v>
      </c>
      <c r="C5561" s="24" t="s">
        <v>175</v>
      </c>
      <c r="D5561" s="33" t="n">
        <v>100</v>
      </c>
      <c r="E5561" s="24" t="n">
        <v>0</v>
      </c>
      <c r="F5561" s="37" t="n">
        <f aca="false">DATE(YEAR(A5561),MONTH(A5561),1)</f>
        <v>46174</v>
      </c>
      <c r="G5561" s="24" t="str">
        <f aca="false">INDEX(Products!$C$2:$C$49,MATCH(C5561,Products!$A$2:$A$49,0))</f>
        <v>Household</v>
      </c>
      <c r="H5561" s="33" t="n">
        <f aca="false">D5561*INDEX(Products!$E$2:$E$49,MATCH(C5561,Products!$A$2:$A$49,0))</f>
        <v>6000</v>
      </c>
      <c r="I5561" s="33" t="n">
        <f aca="false">D5561*INDEX(Products!$D$2:$D$49,MATCH(C5561,Products!$A$2:$A$49,0))*(1+INDEX(Assumptions!$B$16:$B$20,MATCH(B5561,Assumptions!$A$16:$A$20,0)))</f>
        <v>4794</v>
      </c>
      <c r="J5561" s="33" t="n">
        <f aca="false">H5561-I5561</f>
        <v>1206</v>
      </c>
      <c r="K5561" s="33" t="n">
        <f aca="false">IF(OR(E5561=0,E5561&gt;=7),0,D5561/(7-E5561)*E5561*INDEX(Products!$E$2:$E$49,MATCH(C5561,Products!$A$2:$A$49,0)))</f>
        <v>0</v>
      </c>
    </row>
    <row r="5562" customFormat="false" ht="15" hidden="false" customHeight="false" outlineLevel="0" collapsed="false">
      <c r="A5562" s="36" t="n">
        <v>46188</v>
      </c>
      <c r="B5562" s="24" t="s">
        <v>65</v>
      </c>
      <c r="C5562" s="24" t="s">
        <v>175</v>
      </c>
      <c r="D5562" s="33" t="n">
        <v>105</v>
      </c>
      <c r="E5562" s="24" t="n">
        <v>0</v>
      </c>
      <c r="F5562" s="37" t="n">
        <f aca="false">DATE(YEAR(A5562),MONTH(A5562),1)</f>
        <v>46174</v>
      </c>
      <c r="G5562" s="24" t="str">
        <f aca="false">INDEX(Products!$C$2:$C$49,MATCH(C5562,Products!$A$2:$A$49,0))</f>
        <v>Household</v>
      </c>
      <c r="H5562" s="33" t="n">
        <f aca="false">D5562*INDEX(Products!$E$2:$E$49,MATCH(C5562,Products!$A$2:$A$49,0))</f>
        <v>6300</v>
      </c>
      <c r="I5562" s="33" t="n">
        <f aca="false">D5562*INDEX(Products!$D$2:$D$49,MATCH(C5562,Products!$A$2:$A$49,0))*(1+INDEX(Assumptions!$B$16:$B$20,MATCH(B5562,Assumptions!$A$16:$A$20,0)))</f>
        <v>5033.7</v>
      </c>
      <c r="J5562" s="33" t="n">
        <f aca="false">H5562-I5562</f>
        <v>1266.3</v>
      </c>
      <c r="K5562" s="33" t="n">
        <f aca="false">IF(OR(E5562=0,E5562&gt;=7),0,D5562/(7-E5562)*E5562*INDEX(Products!$E$2:$E$49,MATCH(C5562,Products!$A$2:$A$49,0)))</f>
        <v>0</v>
      </c>
    </row>
    <row r="5563" customFormat="false" ht="15" hidden="false" customHeight="false" outlineLevel="0" collapsed="false">
      <c r="A5563" s="36" t="n">
        <v>46195</v>
      </c>
      <c r="B5563" s="24" t="s">
        <v>65</v>
      </c>
      <c r="C5563" s="24" t="s">
        <v>175</v>
      </c>
      <c r="D5563" s="33" t="n">
        <v>98</v>
      </c>
      <c r="E5563" s="24" t="n">
        <v>0</v>
      </c>
      <c r="F5563" s="37" t="n">
        <f aca="false">DATE(YEAR(A5563),MONTH(A5563),1)</f>
        <v>46174</v>
      </c>
      <c r="G5563" s="24" t="str">
        <f aca="false">INDEX(Products!$C$2:$C$49,MATCH(C5563,Products!$A$2:$A$49,0))</f>
        <v>Household</v>
      </c>
      <c r="H5563" s="33" t="n">
        <f aca="false">D5563*INDEX(Products!$E$2:$E$49,MATCH(C5563,Products!$A$2:$A$49,0))</f>
        <v>5880</v>
      </c>
      <c r="I5563" s="33" t="n">
        <f aca="false">D5563*INDEX(Products!$D$2:$D$49,MATCH(C5563,Products!$A$2:$A$49,0))*(1+INDEX(Assumptions!$B$16:$B$20,MATCH(B5563,Assumptions!$A$16:$A$20,0)))</f>
        <v>4698.12</v>
      </c>
      <c r="J5563" s="33" t="n">
        <f aca="false">H5563-I5563</f>
        <v>1181.88</v>
      </c>
      <c r="K5563" s="33" t="n">
        <f aca="false">IF(OR(E5563=0,E5563&gt;=7),0,D5563/(7-E5563)*E5563*INDEX(Products!$E$2:$E$49,MATCH(C5563,Products!$A$2:$A$49,0)))</f>
        <v>0</v>
      </c>
    </row>
    <row r="5564" customFormat="false" ht="15" hidden="false" customHeight="false" outlineLevel="0" collapsed="false">
      <c r="A5564" s="36" t="n">
        <v>46202</v>
      </c>
      <c r="B5564" s="24" t="s">
        <v>65</v>
      </c>
      <c r="C5564" s="24" t="s">
        <v>175</v>
      </c>
      <c r="D5564" s="33" t="n">
        <v>111</v>
      </c>
      <c r="E5564" s="24" t="n">
        <v>0</v>
      </c>
      <c r="F5564" s="37" t="n">
        <f aca="false">DATE(YEAR(A5564),MONTH(A5564),1)</f>
        <v>46174</v>
      </c>
      <c r="G5564" s="24" t="str">
        <f aca="false">INDEX(Products!$C$2:$C$49,MATCH(C5564,Products!$A$2:$A$49,0))</f>
        <v>Household</v>
      </c>
      <c r="H5564" s="33" t="n">
        <f aca="false">D5564*INDEX(Products!$E$2:$E$49,MATCH(C5564,Products!$A$2:$A$49,0))</f>
        <v>6660</v>
      </c>
      <c r="I5564" s="33" t="n">
        <f aca="false">D5564*INDEX(Products!$D$2:$D$49,MATCH(C5564,Products!$A$2:$A$49,0))*(1+INDEX(Assumptions!$B$16:$B$20,MATCH(B5564,Assumptions!$A$16:$A$20,0)))</f>
        <v>5321.34</v>
      </c>
      <c r="J5564" s="33" t="n">
        <f aca="false">H5564-I5564</f>
        <v>1338.66</v>
      </c>
      <c r="K5564" s="33" t="n">
        <f aca="false">IF(OR(E5564=0,E5564&gt;=7),0,D5564/(7-E5564)*E5564*INDEX(Products!$E$2:$E$49,MATCH(C5564,Products!$A$2:$A$49,0)))</f>
        <v>0</v>
      </c>
    </row>
    <row r="5565" customFormat="false" ht="15" hidden="false" customHeight="false" outlineLevel="0" collapsed="false">
      <c r="A5565" s="36" t="n">
        <v>46209</v>
      </c>
      <c r="B5565" s="24" t="s">
        <v>65</v>
      </c>
      <c r="C5565" s="24" t="s">
        <v>175</v>
      </c>
      <c r="D5565" s="33" t="n">
        <v>88</v>
      </c>
      <c r="E5565" s="24" t="n">
        <v>0</v>
      </c>
      <c r="F5565" s="37" t="n">
        <f aca="false">DATE(YEAR(A5565),MONTH(A5565),1)</f>
        <v>46204</v>
      </c>
      <c r="G5565" s="24" t="str">
        <f aca="false">INDEX(Products!$C$2:$C$49,MATCH(C5565,Products!$A$2:$A$49,0))</f>
        <v>Household</v>
      </c>
      <c r="H5565" s="33" t="n">
        <f aca="false">D5565*INDEX(Products!$E$2:$E$49,MATCH(C5565,Products!$A$2:$A$49,0))</f>
        <v>5280</v>
      </c>
      <c r="I5565" s="33" t="n">
        <f aca="false">D5565*INDEX(Products!$D$2:$D$49,MATCH(C5565,Products!$A$2:$A$49,0))*(1+INDEX(Assumptions!$B$16:$B$20,MATCH(B5565,Assumptions!$A$16:$A$20,0)))</f>
        <v>4218.72</v>
      </c>
      <c r="J5565" s="33" t="n">
        <f aca="false">H5565-I5565</f>
        <v>1061.28</v>
      </c>
      <c r="K5565" s="33" t="n">
        <f aca="false">IF(OR(E5565=0,E5565&gt;=7),0,D5565/(7-E5565)*E5565*INDEX(Products!$E$2:$E$49,MATCH(C5565,Products!$A$2:$A$49,0)))</f>
        <v>0</v>
      </c>
    </row>
    <row r="5566" customFormat="false" ht="15" hidden="false" customHeight="false" outlineLevel="0" collapsed="false">
      <c r="A5566" s="36" t="n">
        <v>46216</v>
      </c>
      <c r="B5566" s="24" t="s">
        <v>65</v>
      </c>
      <c r="C5566" s="24" t="s">
        <v>175</v>
      </c>
      <c r="D5566" s="33" t="n">
        <v>111</v>
      </c>
      <c r="E5566" s="24" t="n">
        <v>0</v>
      </c>
      <c r="F5566" s="37" t="n">
        <f aca="false">DATE(YEAR(A5566),MONTH(A5566),1)</f>
        <v>46204</v>
      </c>
      <c r="G5566" s="24" t="str">
        <f aca="false">INDEX(Products!$C$2:$C$49,MATCH(C5566,Products!$A$2:$A$49,0))</f>
        <v>Household</v>
      </c>
      <c r="H5566" s="33" t="n">
        <f aca="false">D5566*INDEX(Products!$E$2:$E$49,MATCH(C5566,Products!$A$2:$A$49,0))</f>
        <v>6660</v>
      </c>
      <c r="I5566" s="33" t="n">
        <f aca="false">D5566*INDEX(Products!$D$2:$D$49,MATCH(C5566,Products!$A$2:$A$49,0))*(1+INDEX(Assumptions!$B$16:$B$20,MATCH(B5566,Assumptions!$A$16:$A$20,0)))</f>
        <v>5321.34</v>
      </c>
      <c r="J5566" s="33" t="n">
        <f aca="false">H5566-I5566</f>
        <v>1338.66</v>
      </c>
      <c r="K5566" s="33" t="n">
        <f aca="false">IF(OR(E5566=0,E5566&gt;=7),0,D5566/(7-E5566)*E5566*INDEX(Products!$E$2:$E$49,MATCH(C5566,Products!$A$2:$A$49,0)))</f>
        <v>0</v>
      </c>
    </row>
    <row r="5567" customFormat="false" ht="15" hidden="false" customHeight="false" outlineLevel="0" collapsed="false">
      <c r="A5567" s="36" t="n">
        <v>46223</v>
      </c>
      <c r="B5567" s="24" t="s">
        <v>65</v>
      </c>
      <c r="C5567" s="24" t="s">
        <v>175</v>
      </c>
      <c r="D5567" s="33" t="n">
        <v>126</v>
      </c>
      <c r="E5567" s="24" t="n">
        <v>0</v>
      </c>
      <c r="F5567" s="37" t="n">
        <f aca="false">DATE(YEAR(A5567),MONTH(A5567),1)</f>
        <v>46204</v>
      </c>
      <c r="G5567" s="24" t="str">
        <f aca="false">INDEX(Products!$C$2:$C$49,MATCH(C5567,Products!$A$2:$A$49,0))</f>
        <v>Household</v>
      </c>
      <c r="H5567" s="33" t="n">
        <f aca="false">D5567*INDEX(Products!$E$2:$E$49,MATCH(C5567,Products!$A$2:$A$49,0))</f>
        <v>7560</v>
      </c>
      <c r="I5567" s="33" t="n">
        <f aca="false">D5567*INDEX(Products!$D$2:$D$49,MATCH(C5567,Products!$A$2:$A$49,0))*(1+INDEX(Assumptions!$B$16:$B$20,MATCH(B5567,Assumptions!$A$16:$A$20,0)))</f>
        <v>6040.44</v>
      </c>
      <c r="J5567" s="33" t="n">
        <f aca="false">H5567-I5567</f>
        <v>1519.56</v>
      </c>
      <c r="K5567" s="33" t="n">
        <f aca="false">IF(OR(E5567=0,E5567&gt;=7),0,D5567/(7-E5567)*E5567*INDEX(Products!$E$2:$E$49,MATCH(C5567,Products!$A$2:$A$49,0)))</f>
        <v>0</v>
      </c>
    </row>
    <row r="5568" customFormat="false" ht="15" hidden="false" customHeight="false" outlineLevel="0" collapsed="false">
      <c r="A5568" s="36" t="n">
        <v>46230</v>
      </c>
      <c r="B5568" s="24" t="s">
        <v>65</v>
      </c>
      <c r="C5568" s="24" t="s">
        <v>175</v>
      </c>
      <c r="D5568" s="33" t="n">
        <v>97</v>
      </c>
      <c r="E5568" s="24" t="n">
        <v>0</v>
      </c>
      <c r="F5568" s="37" t="n">
        <f aca="false">DATE(YEAR(A5568),MONTH(A5568),1)</f>
        <v>46204</v>
      </c>
      <c r="G5568" s="24" t="str">
        <f aca="false">INDEX(Products!$C$2:$C$49,MATCH(C5568,Products!$A$2:$A$49,0))</f>
        <v>Household</v>
      </c>
      <c r="H5568" s="33" t="n">
        <f aca="false">D5568*INDEX(Products!$E$2:$E$49,MATCH(C5568,Products!$A$2:$A$49,0))</f>
        <v>5820</v>
      </c>
      <c r="I5568" s="33" t="n">
        <f aca="false">D5568*INDEX(Products!$D$2:$D$49,MATCH(C5568,Products!$A$2:$A$49,0))*(1+INDEX(Assumptions!$B$16:$B$20,MATCH(B5568,Assumptions!$A$16:$A$20,0)))</f>
        <v>4650.18</v>
      </c>
      <c r="J5568" s="33" t="n">
        <f aca="false">H5568-I5568</f>
        <v>1169.82</v>
      </c>
      <c r="K5568" s="33" t="n">
        <f aca="false">IF(OR(E5568=0,E5568&gt;=7),0,D5568/(7-E5568)*E5568*INDEX(Products!$E$2:$E$49,MATCH(C5568,Products!$A$2:$A$49,0)))</f>
        <v>0</v>
      </c>
    </row>
    <row r="5569" customFormat="false" ht="15" hidden="false" customHeight="false" outlineLevel="0" collapsed="false">
      <c r="A5569" s="36" t="n">
        <v>46237</v>
      </c>
      <c r="B5569" s="24" t="s">
        <v>65</v>
      </c>
      <c r="C5569" s="24" t="s">
        <v>175</v>
      </c>
      <c r="D5569" s="33" t="n">
        <v>87</v>
      </c>
      <c r="E5569" s="24" t="n">
        <v>0</v>
      </c>
      <c r="F5569" s="37" t="n">
        <f aca="false">DATE(YEAR(A5569),MONTH(A5569),1)</f>
        <v>46235</v>
      </c>
      <c r="G5569" s="24" t="str">
        <f aca="false">INDEX(Products!$C$2:$C$49,MATCH(C5569,Products!$A$2:$A$49,0))</f>
        <v>Household</v>
      </c>
      <c r="H5569" s="33" t="n">
        <f aca="false">D5569*INDEX(Products!$E$2:$E$49,MATCH(C5569,Products!$A$2:$A$49,0))</f>
        <v>5220</v>
      </c>
      <c r="I5569" s="33" t="n">
        <f aca="false">D5569*INDEX(Products!$D$2:$D$49,MATCH(C5569,Products!$A$2:$A$49,0))*(1+INDEX(Assumptions!$B$16:$B$20,MATCH(B5569,Assumptions!$A$16:$A$20,0)))</f>
        <v>4170.78</v>
      </c>
      <c r="J5569" s="33" t="n">
        <f aca="false">H5569-I5569</f>
        <v>1049.22</v>
      </c>
      <c r="K5569" s="33" t="n">
        <f aca="false">IF(OR(E5569=0,E5569&gt;=7),0,D5569/(7-E5569)*E5569*INDEX(Products!$E$2:$E$49,MATCH(C5569,Products!$A$2:$A$49,0)))</f>
        <v>0</v>
      </c>
    </row>
    <row r="5570" customFormat="false" ht="15" hidden="false" customHeight="false" outlineLevel="0" collapsed="false">
      <c r="A5570" s="36" t="n">
        <v>46244</v>
      </c>
      <c r="B5570" s="24" t="s">
        <v>65</v>
      </c>
      <c r="C5570" s="24" t="s">
        <v>175</v>
      </c>
      <c r="D5570" s="33" t="n">
        <v>160</v>
      </c>
      <c r="E5570" s="24" t="n">
        <v>0</v>
      </c>
      <c r="F5570" s="37" t="n">
        <f aca="false">DATE(YEAR(A5570),MONTH(A5570),1)</f>
        <v>46235</v>
      </c>
      <c r="G5570" s="24" t="str">
        <f aca="false">INDEX(Products!$C$2:$C$49,MATCH(C5570,Products!$A$2:$A$49,0))</f>
        <v>Household</v>
      </c>
      <c r="H5570" s="33" t="n">
        <f aca="false">D5570*INDEX(Products!$E$2:$E$49,MATCH(C5570,Products!$A$2:$A$49,0))</f>
        <v>9600</v>
      </c>
      <c r="I5570" s="33" t="n">
        <f aca="false">D5570*INDEX(Products!$D$2:$D$49,MATCH(C5570,Products!$A$2:$A$49,0))*(1+INDEX(Assumptions!$B$16:$B$20,MATCH(B5570,Assumptions!$A$16:$A$20,0)))</f>
        <v>7670.4</v>
      </c>
      <c r="J5570" s="33" t="n">
        <f aca="false">H5570-I5570</f>
        <v>1929.6</v>
      </c>
      <c r="K5570" s="33" t="n">
        <f aca="false">IF(OR(E5570=0,E5570&gt;=7),0,D5570/(7-E5570)*E5570*INDEX(Products!$E$2:$E$49,MATCH(C5570,Products!$A$2:$A$49,0)))</f>
        <v>0</v>
      </c>
    </row>
    <row r="5571" customFormat="false" ht="15" hidden="false" customHeight="false" outlineLevel="0" collapsed="false">
      <c r="A5571" s="36" t="n">
        <v>46251</v>
      </c>
      <c r="B5571" s="24" t="s">
        <v>65</v>
      </c>
      <c r="C5571" s="24" t="s">
        <v>175</v>
      </c>
      <c r="D5571" s="33" t="n">
        <v>90</v>
      </c>
      <c r="E5571" s="24" t="n">
        <v>0</v>
      </c>
      <c r="F5571" s="37" t="n">
        <f aca="false">DATE(YEAR(A5571),MONTH(A5571),1)</f>
        <v>46235</v>
      </c>
      <c r="G5571" s="24" t="str">
        <f aca="false">INDEX(Products!$C$2:$C$49,MATCH(C5571,Products!$A$2:$A$49,0))</f>
        <v>Household</v>
      </c>
      <c r="H5571" s="33" t="n">
        <f aca="false">D5571*INDEX(Products!$E$2:$E$49,MATCH(C5571,Products!$A$2:$A$49,0))</f>
        <v>5400</v>
      </c>
      <c r="I5571" s="33" t="n">
        <f aca="false">D5571*INDEX(Products!$D$2:$D$49,MATCH(C5571,Products!$A$2:$A$49,0))*(1+INDEX(Assumptions!$B$16:$B$20,MATCH(B5571,Assumptions!$A$16:$A$20,0)))</f>
        <v>4314.6</v>
      </c>
      <c r="J5571" s="33" t="n">
        <f aca="false">H5571-I5571</f>
        <v>1085.4</v>
      </c>
      <c r="K5571" s="33" t="n">
        <f aca="false">IF(OR(E5571=0,E5571&gt;=7),0,D5571/(7-E5571)*E5571*INDEX(Products!$E$2:$E$49,MATCH(C5571,Products!$A$2:$A$49,0)))</f>
        <v>0</v>
      </c>
    </row>
    <row r="5572" customFormat="false" ht="15" hidden="false" customHeight="false" outlineLevel="0" collapsed="false">
      <c r="A5572" s="36" t="n">
        <v>46258</v>
      </c>
      <c r="B5572" s="24" t="s">
        <v>65</v>
      </c>
      <c r="C5572" s="24" t="s">
        <v>175</v>
      </c>
      <c r="D5572" s="33" t="n">
        <v>100</v>
      </c>
      <c r="E5572" s="24" t="n">
        <v>0</v>
      </c>
      <c r="F5572" s="37" t="n">
        <f aca="false">DATE(YEAR(A5572),MONTH(A5572),1)</f>
        <v>46235</v>
      </c>
      <c r="G5572" s="24" t="str">
        <f aca="false">INDEX(Products!$C$2:$C$49,MATCH(C5572,Products!$A$2:$A$49,0))</f>
        <v>Household</v>
      </c>
      <c r="H5572" s="33" t="n">
        <f aca="false">D5572*INDEX(Products!$E$2:$E$49,MATCH(C5572,Products!$A$2:$A$49,0))</f>
        <v>6000</v>
      </c>
      <c r="I5572" s="33" t="n">
        <f aca="false">D5572*INDEX(Products!$D$2:$D$49,MATCH(C5572,Products!$A$2:$A$49,0))*(1+INDEX(Assumptions!$B$16:$B$20,MATCH(B5572,Assumptions!$A$16:$A$20,0)))</f>
        <v>4794</v>
      </c>
      <c r="J5572" s="33" t="n">
        <f aca="false">H5572-I5572</f>
        <v>1206</v>
      </c>
      <c r="K5572" s="33" t="n">
        <f aca="false">IF(OR(E5572=0,E5572&gt;=7),0,D5572/(7-E5572)*E5572*INDEX(Products!$E$2:$E$49,MATCH(C5572,Products!$A$2:$A$49,0)))</f>
        <v>0</v>
      </c>
    </row>
    <row r="5573" customFormat="false" ht="15" hidden="false" customHeight="false" outlineLevel="0" collapsed="false">
      <c r="A5573" s="36" t="n">
        <v>46265</v>
      </c>
      <c r="B5573" s="24" t="s">
        <v>65</v>
      </c>
      <c r="C5573" s="24" t="s">
        <v>175</v>
      </c>
      <c r="D5573" s="33" t="n">
        <v>114</v>
      </c>
      <c r="E5573" s="24" t="n">
        <v>0</v>
      </c>
      <c r="F5573" s="37" t="n">
        <f aca="false">DATE(YEAR(A5573),MONTH(A5573),1)</f>
        <v>46235</v>
      </c>
      <c r="G5573" s="24" t="str">
        <f aca="false">INDEX(Products!$C$2:$C$49,MATCH(C5573,Products!$A$2:$A$49,0))</f>
        <v>Household</v>
      </c>
      <c r="H5573" s="33" t="n">
        <f aca="false">D5573*INDEX(Products!$E$2:$E$49,MATCH(C5573,Products!$A$2:$A$49,0))</f>
        <v>6840</v>
      </c>
      <c r="I5573" s="33" t="n">
        <f aca="false">D5573*INDEX(Products!$D$2:$D$49,MATCH(C5573,Products!$A$2:$A$49,0))*(1+INDEX(Assumptions!$B$16:$B$20,MATCH(B5573,Assumptions!$A$16:$A$20,0)))</f>
        <v>5465.16</v>
      </c>
      <c r="J5573" s="33" t="n">
        <f aca="false">H5573-I5573</f>
        <v>1374.84</v>
      </c>
      <c r="K5573" s="33" t="n">
        <f aca="false">IF(OR(E5573=0,E5573&gt;=7),0,D5573/(7-E5573)*E5573*INDEX(Products!$E$2:$E$49,MATCH(C5573,Products!$A$2:$A$49,0)))</f>
        <v>0</v>
      </c>
    </row>
    <row r="5574" customFormat="false" ht="15" hidden="false" customHeight="false" outlineLevel="0" collapsed="false">
      <c r="A5574" s="36" t="n">
        <v>46272</v>
      </c>
      <c r="B5574" s="24" t="s">
        <v>65</v>
      </c>
      <c r="C5574" s="24" t="s">
        <v>175</v>
      </c>
      <c r="D5574" s="33" t="n">
        <v>109</v>
      </c>
      <c r="E5574" s="24" t="n">
        <v>0</v>
      </c>
      <c r="F5574" s="37" t="n">
        <f aca="false">DATE(YEAR(A5574),MONTH(A5574),1)</f>
        <v>46266</v>
      </c>
      <c r="G5574" s="24" t="str">
        <f aca="false">INDEX(Products!$C$2:$C$49,MATCH(C5574,Products!$A$2:$A$49,0))</f>
        <v>Household</v>
      </c>
      <c r="H5574" s="33" t="n">
        <f aca="false">D5574*INDEX(Products!$E$2:$E$49,MATCH(C5574,Products!$A$2:$A$49,0))</f>
        <v>6540</v>
      </c>
      <c r="I5574" s="33" t="n">
        <f aca="false">D5574*INDEX(Products!$D$2:$D$49,MATCH(C5574,Products!$A$2:$A$49,0))*(1+INDEX(Assumptions!$B$16:$B$20,MATCH(B5574,Assumptions!$A$16:$A$20,0)))</f>
        <v>5225.46</v>
      </c>
      <c r="J5574" s="33" t="n">
        <f aca="false">H5574-I5574</f>
        <v>1314.54</v>
      </c>
      <c r="K5574" s="33" t="n">
        <f aca="false">IF(OR(E5574=0,E5574&gt;=7),0,D5574/(7-E5574)*E5574*INDEX(Products!$E$2:$E$49,MATCH(C5574,Products!$A$2:$A$49,0)))</f>
        <v>0</v>
      </c>
    </row>
    <row r="5575" customFormat="false" ht="15" hidden="false" customHeight="false" outlineLevel="0" collapsed="false">
      <c r="A5575" s="36" t="n">
        <v>46279</v>
      </c>
      <c r="B5575" s="24" t="s">
        <v>65</v>
      </c>
      <c r="C5575" s="24" t="s">
        <v>175</v>
      </c>
      <c r="D5575" s="33" t="n">
        <v>112</v>
      </c>
      <c r="E5575" s="24" t="n">
        <v>0</v>
      </c>
      <c r="F5575" s="37" t="n">
        <f aca="false">DATE(YEAR(A5575),MONTH(A5575),1)</f>
        <v>46266</v>
      </c>
      <c r="G5575" s="24" t="str">
        <f aca="false">INDEX(Products!$C$2:$C$49,MATCH(C5575,Products!$A$2:$A$49,0))</f>
        <v>Household</v>
      </c>
      <c r="H5575" s="33" t="n">
        <f aca="false">D5575*INDEX(Products!$E$2:$E$49,MATCH(C5575,Products!$A$2:$A$49,0))</f>
        <v>6720</v>
      </c>
      <c r="I5575" s="33" t="n">
        <f aca="false">D5575*INDEX(Products!$D$2:$D$49,MATCH(C5575,Products!$A$2:$A$49,0))*(1+INDEX(Assumptions!$B$16:$B$20,MATCH(B5575,Assumptions!$A$16:$A$20,0)))</f>
        <v>5369.28</v>
      </c>
      <c r="J5575" s="33" t="n">
        <f aca="false">H5575-I5575</f>
        <v>1350.72</v>
      </c>
      <c r="K5575" s="33" t="n">
        <f aca="false">IF(OR(E5575=0,E5575&gt;=7),0,D5575/(7-E5575)*E5575*INDEX(Products!$E$2:$E$49,MATCH(C5575,Products!$A$2:$A$49,0)))</f>
        <v>0</v>
      </c>
    </row>
    <row r="5576" customFormat="false" ht="15" hidden="false" customHeight="false" outlineLevel="0" collapsed="false">
      <c r="A5576" s="36" t="n">
        <v>46286</v>
      </c>
      <c r="B5576" s="24" t="s">
        <v>65</v>
      </c>
      <c r="C5576" s="24" t="s">
        <v>175</v>
      </c>
      <c r="D5576" s="33" t="n">
        <v>121</v>
      </c>
      <c r="E5576" s="24" t="n">
        <v>0</v>
      </c>
      <c r="F5576" s="37" t="n">
        <f aca="false">DATE(YEAR(A5576),MONTH(A5576),1)</f>
        <v>46266</v>
      </c>
      <c r="G5576" s="24" t="str">
        <f aca="false">INDEX(Products!$C$2:$C$49,MATCH(C5576,Products!$A$2:$A$49,0))</f>
        <v>Household</v>
      </c>
      <c r="H5576" s="33" t="n">
        <f aca="false">D5576*INDEX(Products!$E$2:$E$49,MATCH(C5576,Products!$A$2:$A$49,0))</f>
        <v>7260</v>
      </c>
      <c r="I5576" s="33" t="n">
        <f aca="false">D5576*INDEX(Products!$D$2:$D$49,MATCH(C5576,Products!$A$2:$A$49,0))*(1+INDEX(Assumptions!$B$16:$B$20,MATCH(B5576,Assumptions!$A$16:$A$20,0)))</f>
        <v>5800.74</v>
      </c>
      <c r="J5576" s="33" t="n">
        <f aca="false">H5576-I5576</f>
        <v>1459.26</v>
      </c>
      <c r="K5576" s="33" t="n">
        <f aca="false">IF(OR(E5576=0,E5576&gt;=7),0,D5576/(7-E5576)*E5576*INDEX(Products!$E$2:$E$49,MATCH(C5576,Products!$A$2:$A$49,0)))</f>
        <v>0</v>
      </c>
    </row>
    <row r="5577" customFormat="false" ht="15" hidden="false" customHeight="false" outlineLevel="0" collapsed="false">
      <c r="A5577" s="36" t="n">
        <v>46118</v>
      </c>
      <c r="B5577" s="24" t="s">
        <v>65</v>
      </c>
      <c r="C5577" s="24" t="s">
        <v>177</v>
      </c>
      <c r="D5577" s="33" t="n">
        <v>48</v>
      </c>
      <c r="E5577" s="24" t="n">
        <v>0</v>
      </c>
      <c r="F5577" s="37" t="n">
        <f aca="false">DATE(YEAR(A5577),MONTH(A5577),1)</f>
        <v>46113</v>
      </c>
      <c r="G5577" s="24" t="str">
        <f aca="false">INDEX(Products!$C$2:$C$49,MATCH(C5577,Products!$A$2:$A$49,0))</f>
        <v>Household</v>
      </c>
      <c r="H5577" s="33" t="n">
        <f aca="false">D5577*INDEX(Products!$E$2:$E$49,MATCH(C5577,Products!$A$2:$A$49,0))</f>
        <v>4800</v>
      </c>
      <c r="I5577" s="33" t="n">
        <f aca="false">D5577*INDEX(Products!$D$2:$D$49,MATCH(C5577,Products!$A$2:$A$49,0))*(1+INDEX(Assumptions!$B$16:$B$20,MATCH(B5577,Assumptions!$A$16:$A$20,0)))</f>
        <v>3427.2</v>
      </c>
      <c r="J5577" s="33" t="n">
        <f aca="false">H5577-I5577</f>
        <v>1372.8</v>
      </c>
      <c r="K5577" s="33" t="n">
        <f aca="false">IF(OR(E5577=0,E5577&gt;=7),0,D5577/(7-E5577)*E5577*INDEX(Products!$E$2:$E$49,MATCH(C5577,Products!$A$2:$A$49,0)))</f>
        <v>0</v>
      </c>
    </row>
    <row r="5578" customFormat="false" ht="15" hidden="false" customHeight="false" outlineLevel="0" collapsed="false">
      <c r="A5578" s="36" t="n">
        <v>46125</v>
      </c>
      <c r="B5578" s="24" t="s">
        <v>65</v>
      </c>
      <c r="C5578" s="24" t="s">
        <v>177</v>
      </c>
      <c r="D5578" s="33" t="n">
        <v>92</v>
      </c>
      <c r="E5578" s="24" t="n">
        <v>0</v>
      </c>
      <c r="F5578" s="37" t="n">
        <f aca="false">DATE(YEAR(A5578),MONTH(A5578),1)</f>
        <v>46113</v>
      </c>
      <c r="G5578" s="24" t="str">
        <f aca="false">INDEX(Products!$C$2:$C$49,MATCH(C5578,Products!$A$2:$A$49,0))</f>
        <v>Household</v>
      </c>
      <c r="H5578" s="33" t="n">
        <f aca="false">D5578*INDEX(Products!$E$2:$E$49,MATCH(C5578,Products!$A$2:$A$49,0))</f>
        <v>9200</v>
      </c>
      <c r="I5578" s="33" t="n">
        <f aca="false">D5578*INDEX(Products!$D$2:$D$49,MATCH(C5578,Products!$A$2:$A$49,0))*(1+INDEX(Assumptions!$B$16:$B$20,MATCH(B5578,Assumptions!$A$16:$A$20,0)))</f>
        <v>6568.8</v>
      </c>
      <c r="J5578" s="33" t="n">
        <f aca="false">H5578-I5578</f>
        <v>2631.2</v>
      </c>
      <c r="K5578" s="33" t="n">
        <f aca="false">IF(OR(E5578=0,E5578&gt;=7),0,D5578/(7-E5578)*E5578*INDEX(Products!$E$2:$E$49,MATCH(C5578,Products!$A$2:$A$49,0)))</f>
        <v>0</v>
      </c>
    </row>
    <row r="5579" customFormat="false" ht="15" hidden="false" customHeight="false" outlineLevel="0" collapsed="false">
      <c r="A5579" s="36" t="n">
        <v>46132</v>
      </c>
      <c r="B5579" s="24" t="s">
        <v>65</v>
      </c>
      <c r="C5579" s="24" t="s">
        <v>177</v>
      </c>
      <c r="D5579" s="33" t="n">
        <v>47</v>
      </c>
      <c r="E5579" s="24" t="n">
        <v>0</v>
      </c>
      <c r="F5579" s="37" t="n">
        <f aca="false">DATE(YEAR(A5579),MONTH(A5579),1)</f>
        <v>46113</v>
      </c>
      <c r="G5579" s="24" t="str">
        <f aca="false">INDEX(Products!$C$2:$C$49,MATCH(C5579,Products!$A$2:$A$49,0))</f>
        <v>Household</v>
      </c>
      <c r="H5579" s="33" t="n">
        <f aca="false">D5579*INDEX(Products!$E$2:$E$49,MATCH(C5579,Products!$A$2:$A$49,0))</f>
        <v>4700</v>
      </c>
      <c r="I5579" s="33" t="n">
        <f aca="false">D5579*INDEX(Products!$D$2:$D$49,MATCH(C5579,Products!$A$2:$A$49,0))*(1+INDEX(Assumptions!$B$16:$B$20,MATCH(B5579,Assumptions!$A$16:$A$20,0)))</f>
        <v>3355.8</v>
      </c>
      <c r="J5579" s="33" t="n">
        <f aca="false">H5579-I5579</f>
        <v>1344.2</v>
      </c>
      <c r="K5579" s="33" t="n">
        <f aca="false">IF(OR(E5579=0,E5579&gt;=7),0,D5579/(7-E5579)*E5579*INDEX(Products!$E$2:$E$49,MATCH(C5579,Products!$A$2:$A$49,0)))</f>
        <v>0</v>
      </c>
    </row>
    <row r="5580" customFormat="false" ht="15" hidden="false" customHeight="false" outlineLevel="0" collapsed="false">
      <c r="A5580" s="36" t="n">
        <v>46139</v>
      </c>
      <c r="B5580" s="24" t="s">
        <v>65</v>
      </c>
      <c r="C5580" s="24" t="s">
        <v>177</v>
      </c>
      <c r="D5580" s="33" t="n">
        <v>59</v>
      </c>
      <c r="E5580" s="24" t="n">
        <v>0</v>
      </c>
      <c r="F5580" s="37" t="n">
        <f aca="false">DATE(YEAR(A5580),MONTH(A5580),1)</f>
        <v>46113</v>
      </c>
      <c r="G5580" s="24" t="str">
        <f aca="false">INDEX(Products!$C$2:$C$49,MATCH(C5580,Products!$A$2:$A$49,0))</f>
        <v>Household</v>
      </c>
      <c r="H5580" s="33" t="n">
        <f aca="false">D5580*INDEX(Products!$E$2:$E$49,MATCH(C5580,Products!$A$2:$A$49,0))</f>
        <v>5900</v>
      </c>
      <c r="I5580" s="33" t="n">
        <f aca="false">D5580*INDEX(Products!$D$2:$D$49,MATCH(C5580,Products!$A$2:$A$49,0))*(1+INDEX(Assumptions!$B$16:$B$20,MATCH(B5580,Assumptions!$A$16:$A$20,0)))</f>
        <v>4212.6</v>
      </c>
      <c r="J5580" s="33" t="n">
        <f aca="false">H5580-I5580</f>
        <v>1687.4</v>
      </c>
      <c r="K5580" s="33" t="n">
        <f aca="false">IF(OR(E5580=0,E5580&gt;=7),0,D5580/(7-E5580)*E5580*INDEX(Products!$E$2:$E$49,MATCH(C5580,Products!$A$2:$A$49,0)))</f>
        <v>0</v>
      </c>
    </row>
    <row r="5581" customFormat="false" ht="15" hidden="false" customHeight="false" outlineLevel="0" collapsed="false">
      <c r="A5581" s="36" t="n">
        <v>46146</v>
      </c>
      <c r="B5581" s="24" t="s">
        <v>65</v>
      </c>
      <c r="C5581" s="24" t="s">
        <v>177</v>
      </c>
      <c r="D5581" s="33" t="n">
        <v>51</v>
      </c>
      <c r="E5581" s="24" t="n">
        <v>0</v>
      </c>
      <c r="F5581" s="37" t="n">
        <f aca="false">DATE(YEAR(A5581),MONTH(A5581),1)</f>
        <v>46143</v>
      </c>
      <c r="G5581" s="24" t="str">
        <f aca="false">INDEX(Products!$C$2:$C$49,MATCH(C5581,Products!$A$2:$A$49,0))</f>
        <v>Household</v>
      </c>
      <c r="H5581" s="33" t="n">
        <f aca="false">D5581*INDEX(Products!$E$2:$E$49,MATCH(C5581,Products!$A$2:$A$49,0))</f>
        <v>5100</v>
      </c>
      <c r="I5581" s="33" t="n">
        <f aca="false">D5581*INDEX(Products!$D$2:$D$49,MATCH(C5581,Products!$A$2:$A$49,0))*(1+INDEX(Assumptions!$B$16:$B$20,MATCH(B5581,Assumptions!$A$16:$A$20,0)))</f>
        <v>3641.4</v>
      </c>
      <c r="J5581" s="33" t="n">
        <f aca="false">H5581-I5581</f>
        <v>1458.6</v>
      </c>
      <c r="K5581" s="33" t="n">
        <f aca="false">IF(OR(E5581=0,E5581&gt;=7),0,D5581/(7-E5581)*E5581*INDEX(Products!$E$2:$E$49,MATCH(C5581,Products!$A$2:$A$49,0)))</f>
        <v>0</v>
      </c>
    </row>
    <row r="5582" customFormat="false" ht="15" hidden="false" customHeight="false" outlineLevel="0" collapsed="false">
      <c r="A5582" s="36" t="n">
        <v>46153</v>
      </c>
      <c r="B5582" s="24" t="s">
        <v>65</v>
      </c>
      <c r="C5582" s="24" t="s">
        <v>177</v>
      </c>
      <c r="D5582" s="33" t="n">
        <v>52</v>
      </c>
      <c r="E5582" s="24" t="n">
        <v>0</v>
      </c>
      <c r="F5582" s="37" t="n">
        <f aca="false">DATE(YEAR(A5582),MONTH(A5582),1)</f>
        <v>46143</v>
      </c>
      <c r="G5582" s="24" t="str">
        <f aca="false">INDEX(Products!$C$2:$C$49,MATCH(C5582,Products!$A$2:$A$49,0))</f>
        <v>Household</v>
      </c>
      <c r="H5582" s="33" t="n">
        <f aca="false">D5582*INDEX(Products!$E$2:$E$49,MATCH(C5582,Products!$A$2:$A$49,0))</f>
        <v>5200</v>
      </c>
      <c r="I5582" s="33" t="n">
        <f aca="false">D5582*INDEX(Products!$D$2:$D$49,MATCH(C5582,Products!$A$2:$A$49,0))*(1+INDEX(Assumptions!$B$16:$B$20,MATCH(B5582,Assumptions!$A$16:$A$20,0)))</f>
        <v>3712.8</v>
      </c>
      <c r="J5582" s="33" t="n">
        <f aca="false">H5582-I5582</f>
        <v>1487.2</v>
      </c>
      <c r="K5582" s="33" t="n">
        <f aca="false">IF(OR(E5582=0,E5582&gt;=7),0,D5582/(7-E5582)*E5582*INDEX(Products!$E$2:$E$49,MATCH(C5582,Products!$A$2:$A$49,0)))</f>
        <v>0</v>
      </c>
    </row>
    <row r="5583" customFormat="false" ht="15" hidden="false" customHeight="false" outlineLevel="0" collapsed="false">
      <c r="A5583" s="36" t="n">
        <v>46160</v>
      </c>
      <c r="B5583" s="24" t="s">
        <v>65</v>
      </c>
      <c r="C5583" s="24" t="s">
        <v>177</v>
      </c>
      <c r="D5583" s="33" t="n">
        <v>36</v>
      </c>
      <c r="E5583" s="24" t="n">
        <v>1</v>
      </c>
      <c r="F5583" s="37" t="n">
        <f aca="false">DATE(YEAR(A5583),MONTH(A5583),1)</f>
        <v>46143</v>
      </c>
      <c r="G5583" s="24" t="str">
        <f aca="false">INDEX(Products!$C$2:$C$49,MATCH(C5583,Products!$A$2:$A$49,0))</f>
        <v>Household</v>
      </c>
      <c r="H5583" s="33" t="n">
        <f aca="false">D5583*INDEX(Products!$E$2:$E$49,MATCH(C5583,Products!$A$2:$A$49,0))</f>
        <v>3600</v>
      </c>
      <c r="I5583" s="33" t="n">
        <f aca="false">D5583*INDEX(Products!$D$2:$D$49,MATCH(C5583,Products!$A$2:$A$49,0))*(1+INDEX(Assumptions!$B$16:$B$20,MATCH(B5583,Assumptions!$A$16:$A$20,0)))</f>
        <v>2570.4</v>
      </c>
      <c r="J5583" s="33" t="n">
        <f aca="false">H5583-I5583</f>
        <v>1029.6</v>
      </c>
      <c r="K5583" s="33" t="n">
        <f aca="false">IF(OR(E5583=0,E5583&gt;=7),0,D5583/(7-E5583)*E5583*INDEX(Products!$E$2:$E$49,MATCH(C5583,Products!$A$2:$A$49,0)))</f>
        <v>600</v>
      </c>
    </row>
    <row r="5584" customFormat="false" ht="15" hidden="false" customHeight="false" outlineLevel="0" collapsed="false">
      <c r="A5584" s="36" t="n">
        <v>46167</v>
      </c>
      <c r="B5584" s="24" t="s">
        <v>65</v>
      </c>
      <c r="C5584" s="24" t="s">
        <v>177</v>
      </c>
      <c r="D5584" s="33" t="n">
        <v>59</v>
      </c>
      <c r="E5584" s="24" t="n">
        <v>0</v>
      </c>
      <c r="F5584" s="37" t="n">
        <f aca="false">DATE(YEAR(A5584),MONTH(A5584),1)</f>
        <v>46143</v>
      </c>
      <c r="G5584" s="24" t="str">
        <f aca="false">INDEX(Products!$C$2:$C$49,MATCH(C5584,Products!$A$2:$A$49,0))</f>
        <v>Household</v>
      </c>
      <c r="H5584" s="33" t="n">
        <f aca="false">D5584*INDEX(Products!$E$2:$E$49,MATCH(C5584,Products!$A$2:$A$49,0))</f>
        <v>5900</v>
      </c>
      <c r="I5584" s="33" t="n">
        <f aca="false">D5584*INDEX(Products!$D$2:$D$49,MATCH(C5584,Products!$A$2:$A$49,0))*(1+INDEX(Assumptions!$B$16:$B$20,MATCH(B5584,Assumptions!$A$16:$A$20,0)))</f>
        <v>4212.6</v>
      </c>
      <c r="J5584" s="33" t="n">
        <f aca="false">H5584-I5584</f>
        <v>1687.4</v>
      </c>
      <c r="K5584" s="33" t="n">
        <f aca="false">IF(OR(E5584=0,E5584&gt;=7),0,D5584/(7-E5584)*E5584*INDEX(Products!$E$2:$E$49,MATCH(C5584,Products!$A$2:$A$49,0)))</f>
        <v>0</v>
      </c>
    </row>
    <row r="5585" customFormat="false" ht="15" hidden="false" customHeight="false" outlineLevel="0" collapsed="false">
      <c r="A5585" s="36" t="n">
        <v>46174</v>
      </c>
      <c r="B5585" s="24" t="s">
        <v>65</v>
      </c>
      <c r="C5585" s="24" t="s">
        <v>177</v>
      </c>
      <c r="D5585" s="33" t="n">
        <v>45</v>
      </c>
      <c r="E5585" s="24" t="n">
        <v>0</v>
      </c>
      <c r="F5585" s="37" t="n">
        <f aca="false">DATE(YEAR(A5585),MONTH(A5585),1)</f>
        <v>46174</v>
      </c>
      <c r="G5585" s="24" t="str">
        <f aca="false">INDEX(Products!$C$2:$C$49,MATCH(C5585,Products!$A$2:$A$49,0))</f>
        <v>Household</v>
      </c>
      <c r="H5585" s="33" t="n">
        <f aca="false">D5585*INDEX(Products!$E$2:$E$49,MATCH(C5585,Products!$A$2:$A$49,0))</f>
        <v>4500</v>
      </c>
      <c r="I5585" s="33" t="n">
        <f aca="false">D5585*INDEX(Products!$D$2:$D$49,MATCH(C5585,Products!$A$2:$A$49,0))*(1+INDEX(Assumptions!$B$16:$B$20,MATCH(B5585,Assumptions!$A$16:$A$20,0)))</f>
        <v>3213</v>
      </c>
      <c r="J5585" s="33" t="n">
        <f aca="false">H5585-I5585</f>
        <v>1287</v>
      </c>
      <c r="K5585" s="33" t="n">
        <f aca="false">IF(OR(E5585=0,E5585&gt;=7),0,D5585/(7-E5585)*E5585*INDEX(Products!$E$2:$E$49,MATCH(C5585,Products!$A$2:$A$49,0)))</f>
        <v>0</v>
      </c>
    </row>
    <row r="5586" customFormat="false" ht="15" hidden="false" customHeight="false" outlineLevel="0" collapsed="false">
      <c r="A5586" s="36" t="n">
        <v>46181</v>
      </c>
      <c r="B5586" s="24" t="s">
        <v>65</v>
      </c>
      <c r="C5586" s="24" t="s">
        <v>177</v>
      </c>
      <c r="D5586" s="33" t="n">
        <v>38</v>
      </c>
      <c r="E5586" s="24" t="n">
        <v>0</v>
      </c>
      <c r="F5586" s="37" t="n">
        <f aca="false">DATE(YEAR(A5586),MONTH(A5586),1)</f>
        <v>46174</v>
      </c>
      <c r="G5586" s="24" t="str">
        <f aca="false">INDEX(Products!$C$2:$C$49,MATCH(C5586,Products!$A$2:$A$49,0))</f>
        <v>Household</v>
      </c>
      <c r="H5586" s="33" t="n">
        <f aca="false">D5586*INDEX(Products!$E$2:$E$49,MATCH(C5586,Products!$A$2:$A$49,0))</f>
        <v>3800</v>
      </c>
      <c r="I5586" s="33" t="n">
        <f aca="false">D5586*INDEX(Products!$D$2:$D$49,MATCH(C5586,Products!$A$2:$A$49,0))*(1+INDEX(Assumptions!$B$16:$B$20,MATCH(B5586,Assumptions!$A$16:$A$20,0)))</f>
        <v>2713.2</v>
      </c>
      <c r="J5586" s="33" t="n">
        <f aca="false">H5586-I5586</f>
        <v>1086.8</v>
      </c>
      <c r="K5586" s="33" t="n">
        <f aca="false">IF(OR(E5586=0,E5586&gt;=7),0,D5586/(7-E5586)*E5586*INDEX(Products!$E$2:$E$49,MATCH(C5586,Products!$A$2:$A$49,0)))</f>
        <v>0</v>
      </c>
    </row>
    <row r="5587" customFormat="false" ht="15" hidden="false" customHeight="false" outlineLevel="0" collapsed="false">
      <c r="A5587" s="36" t="n">
        <v>46188</v>
      </c>
      <c r="B5587" s="24" t="s">
        <v>65</v>
      </c>
      <c r="C5587" s="24" t="s">
        <v>177</v>
      </c>
      <c r="D5587" s="33" t="n">
        <v>41</v>
      </c>
      <c r="E5587" s="24" t="n">
        <v>1</v>
      </c>
      <c r="F5587" s="37" t="n">
        <f aca="false">DATE(YEAR(A5587),MONTH(A5587),1)</f>
        <v>46174</v>
      </c>
      <c r="G5587" s="24" t="str">
        <f aca="false">INDEX(Products!$C$2:$C$49,MATCH(C5587,Products!$A$2:$A$49,0))</f>
        <v>Household</v>
      </c>
      <c r="H5587" s="33" t="n">
        <f aca="false">D5587*INDEX(Products!$E$2:$E$49,MATCH(C5587,Products!$A$2:$A$49,0))</f>
        <v>4100</v>
      </c>
      <c r="I5587" s="33" t="n">
        <f aca="false">D5587*INDEX(Products!$D$2:$D$49,MATCH(C5587,Products!$A$2:$A$49,0))*(1+INDEX(Assumptions!$B$16:$B$20,MATCH(B5587,Assumptions!$A$16:$A$20,0)))</f>
        <v>2927.4</v>
      </c>
      <c r="J5587" s="33" t="n">
        <f aca="false">H5587-I5587</f>
        <v>1172.6</v>
      </c>
      <c r="K5587" s="33" t="n">
        <f aca="false">IF(OR(E5587=0,E5587&gt;=7),0,D5587/(7-E5587)*E5587*INDEX(Products!$E$2:$E$49,MATCH(C5587,Products!$A$2:$A$49,0)))</f>
        <v>683.333333333333</v>
      </c>
    </row>
    <row r="5588" customFormat="false" ht="15" hidden="false" customHeight="false" outlineLevel="0" collapsed="false">
      <c r="A5588" s="36" t="n">
        <v>46195</v>
      </c>
      <c r="B5588" s="24" t="s">
        <v>65</v>
      </c>
      <c r="C5588" s="24" t="s">
        <v>177</v>
      </c>
      <c r="D5588" s="33" t="n">
        <v>62</v>
      </c>
      <c r="E5588" s="24" t="n">
        <v>0</v>
      </c>
      <c r="F5588" s="37" t="n">
        <f aca="false">DATE(YEAR(A5588),MONTH(A5588),1)</f>
        <v>46174</v>
      </c>
      <c r="G5588" s="24" t="str">
        <f aca="false">INDEX(Products!$C$2:$C$49,MATCH(C5588,Products!$A$2:$A$49,0))</f>
        <v>Household</v>
      </c>
      <c r="H5588" s="33" t="n">
        <f aca="false">D5588*INDEX(Products!$E$2:$E$49,MATCH(C5588,Products!$A$2:$A$49,0))</f>
        <v>6200</v>
      </c>
      <c r="I5588" s="33" t="n">
        <f aca="false">D5588*INDEX(Products!$D$2:$D$49,MATCH(C5588,Products!$A$2:$A$49,0))*(1+INDEX(Assumptions!$B$16:$B$20,MATCH(B5588,Assumptions!$A$16:$A$20,0)))</f>
        <v>4426.8</v>
      </c>
      <c r="J5588" s="33" t="n">
        <f aca="false">H5588-I5588</f>
        <v>1773.2</v>
      </c>
      <c r="K5588" s="33" t="n">
        <f aca="false">IF(OR(E5588=0,E5588&gt;=7),0,D5588/(7-E5588)*E5588*INDEX(Products!$E$2:$E$49,MATCH(C5588,Products!$A$2:$A$49,0)))</f>
        <v>0</v>
      </c>
    </row>
    <row r="5589" customFormat="false" ht="15" hidden="false" customHeight="false" outlineLevel="0" collapsed="false">
      <c r="A5589" s="36" t="n">
        <v>46202</v>
      </c>
      <c r="B5589" s="24" t="s">
        <v>65</v>
      </c>
      <c r="C5589" s="24" t="s">
        <v>177</v>
      </c>
      <c r="D5589" s="33" t="n">
        <v>62</v>
      </c>
      <c r="E5589" s="24" t="n">
        <v>0</v>
      </c>
      <c r="F5589" s="37" t="n">
        <f aca="false">DATE(YEAR(A5589),MONTH(A5589),1)</f>
        <v>46174</v>
      </c>
      <c r="G5589" s="24" t="str">
        <f aca="false">INDEX(Products!$C$2:$C$49,MATCH(C5589,Products!$A$2:$A$49,0))</f>
        <v>Household</v>
      </c>
      <c r="H5589" s="33" t="n">
        <f aca="false">D5589*INDEX(Products!$E$2:$E$49,MATCH(C5589,Products!$A$2:$A$49,0))</f>
        <v>6200</v>
      </c>
      <c r="I5589" s="33" t="n">
        <f aca="false">D5589*INDEX(Products!$D$2:$D$49,MATCH(C5589,Products!$A$2:$A$49,0))*(1+INDEX(Assumptions!$B$16:$B$20,MATCH(B5589,Assumptions!$A$16:$A$20,0)))</f>
        <v>4426.8</v>
      </c>
      <c r="J5589" s="33" t="n">
        <f aca="false">H5589-I5589</f>
        <v>1773.2</v>
      </c>
      <c r="K5589" s="33" t="n">
        <f aca="false">IF(OR(E5589=0,E5589&gt;=7),0,D5589/(7-E5589)*E5589*INDEX(Products!$E$2:$E$49,MATCH(C5589,Products!$A$2:$A$49,0)))</f>
        <v>0</v>
      </c>
    </row>
    <row r="5590" customFormat="false" ht="15" hidden="false" customHeight="false" outlineLevel="0" collapsed="false">
      <c r="A5590" s="36" t="n">
        <v>46209</v>
      </c>
      <c r="B5590" s="24" t="s">
        <v>65</v>
      </c>
      <c r="C5590" s="24" t="s">
        <v>177</v>
      </c>
      <c r="D5590" s="33" t="n">
        <v>56</v>
      </c>
      <c r="E5590" s="24" t="n">
        <v>0</v>
      </c>
      <c r="F5590" s="37" t="n">
        <f aca="false">DATE(YEAR(A5590),MONTH(A5590),1)</f>
        <v>46204</v>
      </c>
      <c r="G5590" s="24" t="str">
        <f aca="false">INDEX(Products!$C$2:$C$49,MATCH(C5590,Products!$A$2:$A$49,0))</f>
        <v>Household</v>
      </c>
      <c r="H5590" s="33" t="n">
        <f aca="false">D5590*INDEX(Products!$E$2:$E$49,MATCH(C5590,Products!$A$2:$A$49,0))</f>
        <v>5600</v>
      </c>
      <c r="I5590" s="33" t="n">
        <f aca="false">D5590*INDEX(Products!$D$2:$D$49,MATCH(C5590,Products!$A$2:$A$49,0))*(1+INDEX(Assumptions!$B$16:$B$20,MATCH(B5590,Assumptions!$A$16:$A$20,0)))</f>
        <v>3998.4</v>
      </c>
      <c r="J5590" s="33" t="n">
        <f aca="false">H5590-I5590</f>
        <v>1601.6</v>
      </c>
      <c r="K5590" s="33" t="n">
        <f aca="false">IF(OR(E5590=0,E5590&gt;=7),0,D5590/(7-E5590)*E5590*INDEX(Products!$E$2:$E$49,MATCH(C5590,Products!$A$2:$A$49,0)))</f>
        <v>0</v>
      </c>
    </row>
    <row r="5591" customFormat="false" ht="15" hidden="false" customHeight="false" outlineLevel="0" collapsed="false">
      <c r="A5591" s="36" t="n">
        <v>46216</v>
      </c>
      <c r="B5591" s="24" t="s">
        <v>65</v>
      </c>
      <c r="C5591" s="24" t="s">
        <v>177</v>
      </c>
      <c r="D5591" s="33" t="n">
        <v>45</v>
      </c>
      <c r="E5591" s="24" t="n">
        <v>0</v>
      </c>
      <c r="F5591" s="37" t="n">
        <f aca="false">DATE(YEAR(A5591),MONTH(A5591),1)</f>
        <v>46204</v>
      </c>
      <c r="G5591" s="24" t="str">
        <f aca="false">INDEX(Products!$C$2:$C$49,MATCH(C5591,Products!$A$2:$A$49,0))</f>
        <v>Household</v>
      </c>
      <c r="H5591" s="33" t="n">
        <f aca="false">D5591*INDEX(Products!$E$2:$E$49,MATCH(C5591,Products!$A$2:$A$49,0))</f>
        <v>4500</v>
      </c>
      <c r="I5591" s="33" t="n">
        <f aca="false">D5591*INDEX(Products!$D$2:$D$49,MATCH(C5591,Products!$A$2:$A$49,0))*(1+INDEX(Assumptions!$B$16:$B$20,MATCH(B5591,Assumptions!$A$16:$A$20,0)))</f>
        <v>3213</v>
      </c>
      <c r="J5591" s="33" t="n">
        <f aca="false">H5591-I5591</f>
        <v>1287</v>
      </c>
      <c r="K5591" s="33" t="n">
        <f aca="false">IF(OR(E5591=0,E5591&gt;=7),0,D5591/(7-E5591)*E5591*INDEX(Products!$E$2:$E$49,MATCH(C5591,Products!$A$2:$A$49,0)))</f>
        <v>0</v>
      </c>
    </row>
    <row r="5592" customFormat="false" ht="15" hidden="false" customHeight="false" outlineLevel="0" collapsed="false">
      <c r="A5592" s="36" t="n">
        <v>46223</v>
      </c>
      <c r="B5592" s="24" t="s">
        <v>65</v>
      </c>
      <c r="C5592" s="24" t="s">
        <v>177</v>
      </c>
      <c r="D5592" s="33" t="n">
        <v>54</v>
      </c>
      <c r="E5592" s="24" t="n">
        <v>0</v>
      </c>
      <c r="F5592" s="37" t="n">
        <f aca="false">DATE(YEAR(A5592),MONTH(A5592),1)</f>
        <v>46204</v>
      </c>
      <c r="G5592" s="24" t="str">
        <f aca="false">INDEX(Products!$C$2:$C$49,MATCH(C5592,Products!$A$2:$A$49,0))</f>
        <v>Household</v>
      </c>
      <c r="H5592" s="33" t="n">
        <f aca="false">D5592*INDEX(Products!$E$2:$E$49,MATCH(C5592,Products!$A$2:$A$49,0))</f>
        <v>5400</v>
      </c>
      <c r="I5592" s="33" t="n">
        <f aca="false">D5592*INDEX(Products!$D$2:$D$49,MATCH(C5592,Products!$A$2:$A$49,0))*(1+INDEX(Assumptions!$B$16:$B$20,MATCH(B5592,Assumptions!$A$16:$A$20,0)))</f>
        <v>3855.6</v>
      </c>
      <c r="J5592" s="33" t="n">
        <f aca="false">H5592-I5592</f>
        <v>1544.4</v>
      </c>
      <c r="K5592" s="33" t="n">
        <f aca="false">IF(OR(E5592=0,E5592&gt;=7),0,D5592/(7-E5592)*E5592*INDEX(Products!$E$2:$E$49,MATCH(C5592,Products!$A$2:$A$49,0)))</f>
        <v>0</v>
      </c>
    </row>
    <row r="5593" customFormat="false" ht="15" hidden="false" customHeight="false" outlineLevel="0" collapsed="false">
      <c r="A5593" s="36" t="n">
        <v>46230</v>
      </c>
      <c r="B5593" s="24" t="s">
        <v>65</v>
      </c>
      <c r="C5593" s="24" t="s">
        <v>177</v>
      </c>
      <c r="D5593" s="33" t="n">
        <v>48</v>
      </c>
      <c r="E5593" s="24" t="n">
        <v>0</v>
      </c>
      <c r="F5593" s="37" t="n">
        <f aca="false">DATE(YEAR(A5593),MONTH(A5593),1)</f>
        <v>46204</v>
      </c>
      <c r="G5593" s="24" t="str">
        <f aca="false">INDEX(Products!$C$2:$C$49,MATCH(C5593,Products!$A$2:$A$49,0))</f>
        <v>Household</v>
      </c>
      <c r="H5593" s="33" t="n">
        <f aca="false">D5593*INDEX(Products!$E$2:$E$49,MATCH(C5593,Products!$A$2:$A$49,0))</f>
        <v>4800</v>
      </c>
      <c r="I5593" s="33" t="n">
        <f aca="false">D5593*INDEX(Products!$D$2:$D$49,MATCH(C5593,Products!$A$2:$A$49,0))*(1+INDEX(Assumptions!$B$16:$B$20,MATCH(B5593,Assumptions!$A$16:$A$20,0)))</f>
        <v>3427.2</v>
      </c>
      <c r="J5593" s="33" t="n">
        <f aca="false">H5593-I5593</f>
        <v>1372.8</v>
      </c>
      <c r="K5593" s="33" t="n">
        <f aca="false">IF(OR(E5593=0,E5593&gt;=7),0,D5593/(7-E5593)*E5593*INDEX(Products!$E$2:$E$49,MATCH(C5593,Products!$A$2:$A$49,0)))</f>
        <v>0</v>
      </c>
    </row>
    <row r="5594" customFormat="false" ht="15" hidden="false" customHeight="false" outlineLevel="0" collapsed="false">
      <c r="A5594" s="36" t="n">
        <v>46237</v>
      </c>
      <c r="B5594" s="24" t="s">
        <v>65</v>
      </c>
      <c r="C5594" s="24" t="s">
        <v>177</v>
      </c>
      <c r="D5594" s="33" t="n">
        <v>40</v>
      </c>
      <c r="E5594" s="24" t="n">
        <v>0</v>
      </c>
      <c r="F5594" s="37" t="n">
        <f aca="false">DATE(YEAR(A5594),MONTH(A5594),1)</f>
        <v>46235</v>
      </c>
      <c r="G5594" s="24" t="str">
        <f aca="false">INDEX(Products!$C$2:$C$49,MATCH(C5594,Products!$A$2:$A$49,0))</f>
        <v>Household</v>
      </c>
      <c r="H5594" s="33" t="n">
        <f aca="false">D5594*INDEX(Products!$E$2:$E$49,MATCH(C5594,Products!$A$2:$A$49,0))</f>
        <v>4000</v>
      </c>
      <c r="I5594" s="33" t="n">
        <f aca="false">D5594*INDEX(Products!$D$2:$D$49,MATCH(C5594,Products!$A$2:$A$49,0))*(1+INDEX(Assumptions!$B$16:$B$20,MATCH(B5594,Assumptions!$A$16:$A$20,0)))</f>
        <v>2856</v>
      </c>
      <c r="J5594" s="33" t="n">
        <f aca="false">H5594-I5594</f>
        <v>1144</v>
      </c>
      <c r="K5594" s="33" t="n">
        <f aca="false">IF(OR(E5594=0,E5594&gt;=7),0,D5594/(7-E5594)*E5594*INDEX(Products!$E$2:$E$49,MATCH(C5594,Products!$A$2:$A$49,0)))</f>
        <v>0</v>
      </c>
    </row>
    <row r="5595" customFormat="false" ht="15" hidden="false" customHeight="false" outlineLevel="0" collapsed="false">
      <c r="A5595" s="36" t="n">
        <v>46244</v>
      </c>
      <c r="B5595" s="24" t="s">
        <v>65</v>
      </c>
      <c r="C5595" s="24" t="s">
        <v>177</v>
      </c>
      <c r="D5595" s="33" t="n">
        <v>43</v>
      </c>
      <c r="E5595" s="24" t="n">
        <v>0</v>
      </c>
      <c r="F5595" s="37" t="n">
        <f aca="false">DATE(YEAR(A5595),MONTH(A5595),1)</f>
        <v>46235</v>
      </c>
      <c r="G5595" s="24" t="str">
        <f aca="false">INDEX(Products!$C$2:$C$49,MATCH(C5595,Products!$A$2:$A$49,0))</f>
        <v>Household</v>
      </c>
      <c r="H5595" s="33" t="n">
        <f aca="false">D5595*INDEX(Products!$E$2:$E$49,MATCH(C5595,Products!$A$2:$A$49,0))</f>
        <v>4300</v>
      </c>
      <c r="I5595" s="33" t="n">
        <f aca="false">D5595*INDEX(Products!$D$2:$D$49,MATCH(C5595,Products!$A$2:$A$49,0))*(1+INDEX(Assumptions!$B$16:$B$20,MATCH(B5595,Assumptions!$A$16:$A$20,0)))</f>
        <v>3070.2</v>
      </c>
      <c r="J5595" s="33" t="n">
        <f aca="false">H5595-I5595</f>
        <v>1229.8</v>
      </c>
      <c r="K5595" s="33" t="n">
        <f aca="false">IF(OR(E5595=0,E5595&gt;=7),0,D5595/(7-E5595)*E5595*INDEX(Products!$E$2:$E$49,MATCH(C5595,Products!$A$2:$A$49,0)))</f>
        <v>0</v>
      </c>
    </row>
    <row r="5596" customFormat="false" ht="15" hidden="false" customHeight="false" outlineLevel="0" collapsed="false">
      <c r="A5596" s="36" t="n">
        <v>46251</v>
      </c>
      <c r="B5596" s="24" t="s">
        <v>65</v>
      </c>
      <c r="C5596" s="24" t="s">
        <v>177</v>
      </c>
      <c r="D5596" s="33" t="n">
        <v>39</v>
      </c>
      <c r="E5596" s="24" t="n">
        <v>0</v>
      </c>
      <c r="F5596" s="37" t="n">
        <f aca="false">DATE(YEAR(A5596),MONTH(A5596),1)</f>
        <v>46235</v>
      </c>
      <c r="G5596" s="24" t="str">
        <f aca="false">INDEX(Products!$C$2:$C$49,MATCH(C5596,Products!$A$2:$A$49,0))</f>
        <v>Household</v>
      </c>
      <c r="H5596" s="33" t="n">
        <f aca="false">D5596*INDEX(Products!$E$2:$E$49,MATCH(C5596,Products!$A$2:$A$49,0))</f>
        <v>3900</v>
      </c>
      <c r="I5596" s="33" t="n">
        <f aca="false">D5596*INDEX(Products!$D$2:$D$49,MATCH(C5596,Products!$A$2:$A$49,0))*(1+INDEX(Assumptions!$B$16:$B$20,MATCH(B5596,Assumptions!$A$16:$A$20,0)))</f>
        <v>2784.6</v>
      </c>
      <c r="J5596" s="33" t="n">
        <f aca="false">H5596-I5596</f>
        <v>1115.4</v>
      </c>
      <c r="K5596" s="33" t="n">
        <f aca="false">IF(OR(E5596=0,E5596&gt;=7),0,D5596/(7-E5596)*E5596*INDEX(Products!$E$2:$E$49,MATCH(C5596,Products!$A$2:$A$49,0)))</f>
        <v>0</v>
      </c>
    </row>
    <row r="5597" customFormat="false" ht="15" hidden="false" customHeight="false" outlineLevel="0" collapsed="false">
      <c r="A5597" s="36" t="n">
        <v>46258</v>
      </c>
      <c r="B5597" s="24" t="s">
        <v>65</v>
      </c>
      <c r="C5597" s="24" t="s">
        <v>177</v>
      </c>
      <c r="D5597" s="33" t="n">
        <v>48</v>
      </c>
      <c r="E5597" s="24" t="n">
        <v>0</v>
      </c>
      <c r="F5597" s="37" t="n">
        <f aca="false">DATE(YEAR(A5597),MONTH(A5597),1)</f>
        <v>46235</v>
      </c>
      <c r="G5597" s="24" t="str">
        <f aca="false">INDEX(Products!$C$2:$C$49,MATCH(C5597,Products!$A$2:$A$49,0))</f>
        <v>Household</v>
      </c>
      <c r="H5597" s="33" t="n">
        <f aca="false">D5597*INDEX(Products!$E$2:$E$49,MATCH(C5597,Products!$A$2:$A$49,0))</f>
        <v>4800</v>
      </c>
      <c r="I5597" s="33" t="n">
        <f aca="false">D5597*INDEX(Products!$D$2:$D$49,MATCH(C5597,Products!$A$2:$A$49,0))*(1+INDEX(Assumptions!$B$16:$B$20,MATCH(B5597,Assumptions!$A$16:$A$20,0)))</f>
        <v>3427.2</v>
      </c>
      <c r="J5597" s="33" t="n">
        <f aca="false">H5597-I5597</f>
        <v>1372.8</v>
      </c>
      <c r="K5597" s="33" t="n">
        <f aca="false">IF(OR(E5597=0,E5597&gt;=7),0,D5597/(7-E5597)*E5597*INDEX(Products!$E$2:$E$49,MATCH(C5597,Products!$A$2:$A$49,0)))</f>
        <v>0</v>
      </c>
    </row>
    <row r="5598" customFormat="false" ht="15" hidden="false" customHeight="false" outlineLevel="0" collapsed="false">
      <c r="A5598" s="36" t="n">
        <v>46265</v>
      </c>
      <c r="B5598" s="24" t="s">
        <v>65</v>
      </c>
      <c r="C5598" s="24" t="s">
        <v>177</v>
      </c>
      <c r="D5598" s="33" t="n">
        <v>48</v>
      </c>
      <c r="E5598" s="24" t="n">
        <v>0</v>
      </c>
      <c r="F5598" s="37" t="n">
        <f aca="false">DATE(YEAR(A5598),MONTH(A5598),1)</f>
        <v>46235</v>
      </c>
      <c r="G5598" s="24" t="str">
        <f aca="false">INDEX(Products!$C$2:$C$49,MATCH(C5598,Products!$A$2:$A$49,0))</f>
        <v>Household</v>
      </c>
      <c r="H5598" s="33" t="n">
        <f aca="false">D5598*INDEX(Products!$E$2:$E$49,MATCH(C5598,Products!$A$2:$A$49,0))</f>
        <v>4800</v>
      </c>
      <c r="I5598" s="33" t="n">
        <f aca="false">D5598*INDEX(Products!$D$2:$D$49,MATCH(C5598,Products!$A$2:$A$49,0))*(1+INDEX(Assumptions!$B$16:$B$20,MATCH(B5598,Assumptions!$A$16:$A$20,0)))</f>
        <v>3427.2</v>
      </c>
      <c r="J5598" s="33" t="n">
        <f aca="false">H5598-I5598</f>
        <v>1372.8</v>
      </c>
      <c r="K5598" s="33" t="n">
        <f aca="false">IF(OR(E5598=0,E5598&gt;=7),0,D5598/(7-E5598)*E5598*INDEX(Products!$E$2:$E$49,MATCH(C5598,Products!$A$2:$A$49,0)))</f>
        <v>0</v>
      </c>
    </row>
    <row r="5599" customFormat="false" ht="15" hidden="false" customHeight="false" outlineLevel="0" collapsed="false">
      <c r="A5599" s="36" t="n">
        <v>46272</v>
      </c>
      <c r="B5599" s="24" t="s">
        <v>65</v>
      </c>
      <c r="C5599" s="24" t="s">
        <v>177</v>
      </c>
      <c r="D5599" s="33" t="n">
        <v>54</v>
      </c>
      <c r="E5599" s="24" t="n">
        <v>0</v>
      </c>
      <c r="F5599" s="37" t="n">
        <f aca="false">DATE(YEAR(A5599),MONTH(A5599),1)</f>
        <v>46266</v>
      </c>
      <c r="G5599" s="24" t="str">
        <f aca="false">INDEX(Products!$C$2:$C$49,MATCH(C5599,Products!$A$2:$A$49,0))</f>
        <v>Household</v>
      </c>
      <c r="H5599" s="33" t="n">
        <f aca="false">D5599*INDEX(Products!$E$2:$E$49,MATCH(C5599,Products!$A$2:$A$49,0))</f>
        <v>5400</v>
      </c>
      <c r="I5599" s="33" t="n">
        <f aca="false">D5599*INDEX(Products!$D$2:$D$49,MATCH(C5599,Products!$A$2:$A$49,0))*(1+INDEX(Assumptions!$B$16:$B$20,MATCH(B5599,Assumptions!$A$16:$A$20,0)))</f>
        <v>3855.6</v>
      </c>
      <c r="J5599" s="33" t="n">
        <f aca="false">H5599-I5599</f>
        <v>1544.4</v>
      </c>
      <c r="K5599" s="33" t="n">
        <f aca="false">IF(OR(E5599=0,E5599&gt;=7),0,D5599/(7-E5599)*E5599*INDEX(Products!$E$2:$E$49,MATCH(C5599,Products!$A$2:$A$49,0)))</f>
        <v>0</v>
      </c>
    </row>
    <row r="5600" customFormat="false" ht="15" hidden="false" customHeight="false" outlineLevel="0" collapsed="false">
      <c r="A5600" s="36" t="n">
        <v>46279</v>
      </c>
      <c r="B5600" s="24" t="s">
        <v>65</v>
      </c>
      <c r="C5600" s="24" t="s">
        <v>177</v>
      </c>
      <c r="D5600" s="33" t="n">
        <v>45</v>
      </c>
      <c r="E5600" s="24" t="n">
        <v>0</v>
      </c>
      <c r="F5600" s="37" t="n">
        <f aca="false">DATE(YEAR(A5600),MONTH(A5600),1)</f>
        <v>46266</v>
      </c>
      <c r="G5600" s="24" t="str">
        <f aca="false">INDEX(Products!$C$2:$C$49,MATCH(C5600,Products!$A$2:$A$49,0))</f>
        <v>Household</v>
      </c>
      <c r="H5600" s="33" t="n">
        <f aca="false">D5600*INDEX(Products!$E$2:$E$49,MATCH(C5600,Products!$A$2:$A$49,0))</f>
        <v>4500</v>
      </c>
      <c r="I5600" s="33" t="n">
        <f aca="false">D5600*INDEX(Products!$D$2:$D$49,MATCH(C5600,Products!$A$2:$A$49,0))*(1+INDEX(Assumptions!$B$16:$B$20,MATCH(B5600,Assumptions!$A$16:$A$20,0)))</f>
        <v>3213</v>
      </c>
      <c r="J5600" s="33" t="n">
        <f aca="false">H5600-I5600</f>
        <v>1287</v>
      </c>
      <c r="K5600" s="33" t="n">
        <f aca="false">IF(OR(E5600=0,E5600&gt;=7),0,D5600/(7-E5600)*E5600*INDEX(Products!$E$2:$E$49,MATCH(C5600,Products!$A$2:$A$49,0)))</f>
        <v>0</v>
      </c>
    </row>
    <row r="5601" customFormat="false" ht="15" hidden="false" customHeight="false" outlineLevel="0" collapsed="false">
      <c r="A5601" s="36" t="n">
        <v>46286</v>
      </c>
      <c r="B5601" s="24" t="s">
        <v>65</v>
      </c>
      <c r="C5601" s="24" t="s">
        <v>177</v>
      </c>
      <c r="D5601" s="33" t="n">
        <v>46</v>
      </c>
      <c r="E5601" s="24" t="n">
        <v>0</v>
      </c>
      <c r="F5601" s="37" t="n">
        <f aca="false">DATE(YEAR(A5601),MONTH(A5601),1)</f>
        <v>46266</v>
      </c>
      <c r="G5601" s="24" t="str">
        <f aca="false">INDEX(Products!$C$2:$C$49,MATCH(C5601,Products!$A$2:$A$49,0))</f>
        <v>Household</v>
      </c>
      <c r="H5601" s="33" t="n">
        <f aca="false">D5601*INDEX(Products!$E$2:$E$49,MATCH(C5601,Products!$A$2:$A$49,0))</f>
        <v>4600</v>
      </c>
      <c r="I5601" s="33" t="n">
        <f aca="false">D5601*INDEX(Products!$D$2:$D$49,MATCH(C5601,Products!$A$2:$A$49,0))*(1+INDEX(Assumptions!$B$16:$B$20,MATCH(B5601,Assumptions!$A$16:$A$20,0)))</f>
        <v>3284.4</v>
      </c>
      <c r="J5601" s="33" t="n">
        <f aca="false">H5601-I5601</f>
        <v>1315.6</v>
      </c>
      <c r="K5601" s="33" t="n">
        <f aca="false">IF(OR(E5601=0,E5601&gt;=7),0,D5601/(7-E5601)*E5601*INDEX(Products!$E$2:$E$49,MATCH(C5601,Products!$A$2:$A$49,0)))</f>
        <v>0</v>
      </c>
    </row>
    <row r="5602" customFormat="false" ht="15" hidden="false" customHeight="false" outlineLevel="0" collapsed="false">
      <c r="A5602" s="36" t="n">
        <v>46118</v>
      </c>
      <c r="B5602" s="24" t="s">
        <v>65</v>
      </c>
      <c r="C5602" s="24" t="s">
        <v>179</v>
      </c>
      <c r="D5602" s="33" t="n">
        <v>12</v>
      </c>
      <c r="E5602" s="24" t="n">
        <v>0</v>
      </c>
      <c r="F5602" s="37" t="n">
        <f aca="false">DATE(YEAR(A5602),MONTH(A5602),1)</f>
        <v>46113</v>
      </c>
      <c r="G5602" s="24" t="str">
        <f aca="false">INDEX(Products!$C$2:$C$49,MATCH(C5602,Products!$A$2:$A$49,0))</f>
        <v>Personal Care</v>
      </c>
      <c r="H5602" s="33" t="n">
        <f aca="false">D5602*INDEX(Products!$E$2:$E$49,MATCH(C5602,Products!$A$2:$A$49,0))</f>
        <v>2160</v>
      </c>
      <c r="I5602" s="33" t="n">
        <f aca="false">D5602*INDEX(Products!$D$2:$D$49,MATCH(C5602,Products!$A$2:$A$49,0))*(1+INDEX(Assumptions!$B$16:$B$20,MATCH(B5602,Assumptions!$A$16:$A$20,0)))</f>
        <v>1468.8</v>
      </c>
      <c r="J5602" s="33" t="n">
        <f aca="false">H5602-I5602</f>
        <v>691.2</v>
      </c>
      <c r="K5602" s="33" t="n">
        <f aca="false">IF(OR(E5602=0,E5602&gt;=7),0,D5602/(7-E5602)*E5602*INDEX(Products!$E$2:$E$49,MATCH(C5602,Products!$A$2:$A$49,0)))</f>
        <v>0</v>
      </c>
    </row>
    <row r="5603" customFormat="false" ht="15" hidden="false" customHeight="false" outlineLevel="0" collapsed="false">
      <c r="A5603" s="36" t="n">
        <v>46125</v>
      </c>
      <c r="B5603" s="24" t="s">
        <v>65</v>
      </c>
      <c r="C5603" s="24" t="s">
        <v>179</v>
      </c>
      <c r="D5603" s="33" t="n">
        <v>22</v>
      </c>
      <c r="E5603" s="24" t="n">
        <v>0</v>
      </c>
      <c r="F5603" s="37" t="n">
        <f aca="false">DATE(YEAR(A5603),MONTH(A5603),1)</f>
        <v>46113</v>
      </c>
      <c r="G5603" s="24" t="str">
        <f aca="false">INDEX(Products!$C$2:$C$49,MATCH(C5603,Products!$A$2:$A$49,0))</f>
        <v>Personal Care</v>
      </c>
      <c r="H5603" s="33" t="n">
        <f aca="false">D5603*INDEX(Products!$E$2:$E$49,MATCH(C5603,Products!$A$2:$A$49,0))</f>
        <v>3960</v>
      </c>
      <c r="I5603" s="33" t="n">
        <f aca="false">D5603*INDEX(Products!$D$2:$D$49,MATCH(C5603,Products!$A$2:$A$49,0))*(1+INDEX(Assumptions!$B$16:$B$20,MATCH(B5603,Assumptions!$A$16:$A$20,0)))</f>
        <v>2692.8</v>
      </c>
      <c r="J5603" s="33" t="n">
        <f aca="false">H5603-I5603</f>
        <v>1267.2</v>
      </c>
      <c r="K5603" s="33" t="n">
        <f aca="false">IF(OR(E5603=0,E5603&gt;=7),0,D5603/(7-E5603)*E5603*INDEX(Products!$E$2:$E$49,MATCH(C5603,Products!$A$2:$A$49,0)))</f>
        <v>0</v>
      </c>
    </row>
    <row r="5604" customFormat="false" ht="15" hidden="false" customHeight="false" outlineLevel="0" collapsed="false">
      <c r="A5604" s="36" t="n">
        <v>46132</v>
      </c>
      <c r="B5604" s="24" t="s">
        <v>65</v>
      </c>
      <c r="C5604" s="24" t="s">
        <v>179</v>
      </c>
      <c r="D5604" s="33" t="n">
        <v>21</v>
      </c>
      <c r="E5604" s="24" t="n">
        <v>0</v>
      </c>
      <c r="F5604" s="37" t="n">
        <f aca="false">DATE(YEAR(A5604),MONTH(A5604),1)</f>
        <v>46113</v>
      </c>
      <c r="G5604" s="24" t="str">
        <f aca="false">INDEX(Products!$C$2:$C$49,MATCH(C5604,Products!$A$2:$A$49,0))</f>
        <v>Personal Care</v>
      </c>
      <c r="H5604" s="33" t="n">
        <f aca="false">D5604*INDEX(Products!$E$2:$E$49,MATCH(C5604,Products!$A$2:$A$49,0))</f>
        <v>3780</v>
      </c>
      <c r="I5604" s="33" t="n">
        <f aca="false">D5604*INDEX(Products!$D$2:$D$49,MATCH(C5604,Products!$A$2:$A$49,0))*(1+INDEX(Assumptions!$B$16:$B$20,MATCH(B5604,Assumptions!$A$16:$A$20,0)))</f>
        <v>2570.4</v>
      </c>
      <c r="J5604" s="33" t="n">
        <f aca="false">H5604-I5604</f>
        <v>1209.6</v>
      </c>
      <c r="K5604" s="33" t="n">
        <f aca="false">IF(OR(E5604=0,E5604&gt;=7),0,D5604/(7-E5604)*E5604*INDEX(Products!$E$2:$E$49,MATCH(C5604,Products!$A$2:$A$49,0)))</f>
        <v>0</v>
      </c>
    </row>
    <row r="5605" customFormat="false" ht="15" hidden="false" customHeight="false" outlineLevel="0" collapsed="false">
      <c r="A5605" s="36" t="n">
        <v>46139</v>
      </c>
      <c r="B5605" s="24" t="s">
        <v>65</v>
      </c>
      <c r="C5605" s="24" t="s">
        <v>179</v>
      </c>
      <c r="D5605" s="33" t="n">
        <v>28</v>
      </c>
      <c r="E5605" s="24" t="n">
        <v>0</v>
      </c>
      <c r="F5605" s="37" t="n">
        <f aca="false">DATE(YEAR(A5605),MONTH(A5605),1)</f>
        <v>46113</v>
      </c>
      <c r="G5605" s="24" t="str">
        <f aca="false">INDEX(Products!$C$2:$C$49,MATCH(C5605,Products!$A$2:$A$49,0))</f>
        <v>Personal Care</v>
      </c>
      <c r="H5605" s="33" t="n">
        <f aca="false">D5605*INDEX(Products!$E$2:$E$49,MATCH(C5605,Products!$A$2:$A$49,0))</f>
        <v>5040</v>
      </c>
      <c r="I5605" s="33" t="n">
        <f aca="false">D5605*INDEX(Products!$D$2:$D$49,MATCH(C5605,Products!$A$2:$A$49,0))*(1+INDEX(Assumptions!$B$16:$B$20,MATCH(B5605,Assumptions!$A$16:$A$20,0)))</f>
        <v>3427.2</v>
      </c>
      <c r="J5605" s="33" t="n">
        <f aca="false">H5605-I5605</f>
        <v>1612.8</v>
      </c>
      <c r="K5605" s="33" t="n">
        <f aca="false">IF(OR(E5605=0,E5605&gt;=7),0,D5605/(7-E5605)*E5605*INDEX(Products!$E$2:$E$49,MATCH(C5605,Products!$A$2:$A$49,0)))</f>
        <v>0</v>
      </c>
    </row>
    <row r="5606" customFormat="false" ht="15" hidden="false" customHeight="false" outlineLevel="0" collapsed="false">
      <c r="A5606" s="36" t="n">
        <v>46146</v>
      </c>
      <c r="B5606" s="24" t="s">
        <v>65</v>
      </c>
      <c r="C5606" s="24" t="s">
        <v>179</v>
      </c>
      <c r="D5606" s="33" t="n">
        <v>8</v>
      </c>
      <c r="E5606" s="24" t="n">
        <v>0</v>
      </c>
      <c r="F5606" s="37" t="n">
        <f aca="false">DATE(YEAR(A5606),MONTH(A5606),1)</f>
        <v>46143</v>
      </c>
      <c r="G5606" s="24" t="str">
        <f aca="false">INDEX(Products!$C$2:$C$49,MATCH(C5606,Products!$A$2:$A$49,0))</f>
        <v>Personal Care</v>
      </c>
      <c r="H5606" s="33" t="n">
        <f aca="false">D5606*INDEX(Products!$E$2:$E$49,MATCH(C5606,Products!$A$2:$A$49,0))</f>
        <v>1440</v>
      </c>
      <c r="I5606" s="33" t="n">
        <f aca="false">D5606*INDEX(Products!$D$2:$D$49,MATCH(C5606,Products!$A$2:$A$49,0))*(1+INDEX(Assumptions!$B$16:$B$20,MATCH(B5606,Assumptions!$A$16:$A$20,0)))</f>
        <v>979.2</v>
      </c>
      <c r="J5606" s="33" t="n">
        <f aca="false">H5606-I5606</f>
        <v>460.8</v>
      </c>
      <c r="K5606" s="33" t="n">
        <f aca="false">IF(OR(E5606=0,E5606&gt;=7),0,D5606/(7-E5606)*E5606*INDEX(Products!$E$2:$E$49,MATCH(C5606,Products!$A$2:$A$49,0)))</f>
        <v>0</v>
      </c>
    </row>
    <row r="5607" customFormat="false" ht="15" hidden="false" customHeight="false" outlineLevel="0" collapsed="false">
      <c r="A5607" s="36" t="n">
        <v>46153</v>
      </c>
      <c r="B5607" s="24" t="s">
        <v>65</v>
      </c>
      <c r="C5607" s="24" t="s">
        <v>179</v>
      </c>
      <c r="D5607" s="33" t="n">
        <v>7</v>
      </c>
      <c r="E5607" s="24" t="n">
        <v>4</v>
      </c>
      <c r="F5607" s="37" t="n">
        <f aca="false">DATE(YEAR(A5607),MONTH(A5607),1)</f>
        <v>46143</v>
      </c>
      <c r="G5607" s="24" t="str">
        <f aca="false">INDEX(Products!$C$2:$C$49,MATCH(C5607,Products!$A$2:$A$49,0))</f>
        <v>Personal Care</v>
      </c>
      <c r="H5607" s="33" t="n">
        <f aca="false">D5607*INDEX(Products!$E$2:$E$49,MATCH(C5607,Products!$A$2:$A$49,0))</f>
        <v>1260</v>
      </c>
      <c r="I5607" s="33" t="n">
        <f aca="false">D5607*INDEX(Products!$D$2:$D$49,MATCH(C5607,Products!$A$2:$A$49,0))*(1+INDEX(Assumptions!$B$16:$B$20,MATCH(B5607,Assumptions!$A$16:$A$20,0)))</f>
        <v>856.8</v>
      </c>
      <c r="J5607" s="33" t="n">
        <f aca="false">H5607-I5607</f>
        <v>403.2</v>
      </c>
      <c r="K5607" s="33" t="n">
        <f aca="false">IF(OR(E5607=0,E5607&gt;=7),0,D5607/(7-E5607)*E5607*INDEX(Products!$E$2:$E$49,MATCH(C5607,Products!$A$2:$A$49,0)))</f>
        <v>1680</v>
      </c>
    </row>
    <row r="5608" customFormat="false" ht="15" hidden="false" customHeight="false" outlineLevel="0" collapsed="false">
      <c r="A5608" s="36" t="n">
        <v>46160</v>
      </c>
      <c r="B5608" s="24" t="s">
        <v>65</v>
      </c>
      <c r="C5608" s="24" t="s">
        <v>179</v>
      </c>
      <c r="D5608" s="33" t="n">
        <v>15</v>
      </c>
      <c r="E5608" s="24" t="n">
        <v>0</v>
      </c>
      <c r="F5608" s="37" t="n">
        <f aca="false">DATE(YEAR(A5608),MONTH(A5608),1)</f>
        <v>46143</v>
      </c>
      <c r="G5608" s="24" t="str">
        <f aca="false">INDEX(Products!$C$2:$C$49,MATCH(C5608,Products!$A$2:$A$49,0))</f>
        <v>Personal Care</v>
      </c>
      <c r="H5608" s="33" t="n">
        <f aca="false">D5608*INDEX(Products!$E$2:$E$49,MATCH(C5608,Products!$A$2:$A$49,0))</f>
        <v>2700</v>
      </c>
      <c r="I5608" s="33" t="n">
        <f aca="false">D5608*INDEX(Products!$D$2:$D$49,MATCH(C5608,Products!$A$2:$A$49,0))*(1+INDEX(Assumptions!$B$16:$B$20,MATCH(B5608,Assumptions!$A$16:$A$20,0)))</f>
        <v>1836</v>
      </c>
      <c r="J5608" s="33" t="n">
        <f aca="false">H5608-I5608</f>
        <v>864</v>
      </c>
      <c r="K5608" s="33" t="n">
        <f aca="false">IF(OR(E5608=0,E5608&gt;=7),0,D5608/(7-E5608)*E5608*INDEX(Products!$E$2:$E$49,MATCH(C5608,Products!$A$2:$A$49,0)))</f>
        <v>0</v>
      </c>
    </row>
    <row r="5609" customFormat="false" ht="15" hidden="false" customHeight="false" outlineLevel="0" collapsed="false">
      <c r="A5609" s="36" t="n">
        <v>46167</v>
      </c>
      <c r="B5609" s="24" t="s">
        <v>65</v>
      </c>
      <c r="C5609" s="24" t="s">
        <v>179</v>
      </c>
      <c r="D5609" s="33" t="n">
        <v>34</v>
      </c>
      <c r="E5609" s="24" t="n">
        <v>0</v>
      </c>
      <c r="F5609" s="37" t="n">
        <f aca="false">DATE(YEAR(A5609),MONTH(A5609),1)</f>
        <v>46143</v>
      </c>
      <c r="G5609" s="24" t="str">
        <f aca="false">INDEX(Products!$C$2:$C$49,MATCH(C5609,Products!$A$2:$A$49,0))</f>
        <v>Personal Care</v>
      </c>
      <c r="H5609" s="33" t="n">
        <f aca="false">D5609*INDEX(Products!$E$2:$E$49,MATCH(C5609,Products!$A$2:$A$49,0))</f>
        <v>6120</v>
      </c>
      <c r="I5609" s="33" t="n">
        <f aca="false">D5609*INDEX(Products!$D$2:$D$49,MATCH(C5609,Products!$A$2:$A$49,0))*(1+INDEX(Assumptions!$B$16:$B$20,MATCH(B5609,Assumptions!$A$16:$A$20,0)))</f>
        <v>4161.6</v>
      </c>
      <c r="J5609" s="33" t="n">
        <f aca="false">H5609-I5609</f>
        <v>1958.4</v>
      </c>
      <c r="K5609" s="33" t="n">
        <f aca="false">IF(OR(E5609=0,E5609&gt;=7),0,D5609/(7-E5609)*E5609*INDEX(Products!$E$2:$E$49,MATCH(C5609,Products!$A$2:$A$49,0)))</f>
        <v>0</v>
      </c>
    </row>
    <row r="5610" customFormat="false" ht="15" hidden="false" customHeight="false" outlineLevel="0" collapsed="false">
      <c r="A5610" s="36" t="n">
        <v>46174</v>
      </c>
      <c r="B5610" s="24" t="s">
        <v>65</v>
      </c>
      <c r="C5610" s="24" t="s">
        <v>179</v>
      </c>
      <c r="D5610" s="33" t="n">
        <v>17</v>
      </c>
      <c r="E5610" s="24" t="n">
        <v>0</v>
      </c>
      <c r="F5610" s="37" t="n">
        <f aca="false">DATE(YEAR(A5610),MONTH(A5610),1)</f>
        <v>46174</v>
      </c>
      <c r="G5610" s="24" t="str">
        <f aca="false">INDEX(Products!$C$2:$C$49,MATCH(C5610,Products!$A$2:$A$49,0))</f>
        <v>Personal Care</v>
      </c>
      <c r="H5610" s="33" t="n">
        <f aca="false">D5610*INDEX(Products!$E$2:$E$49,MATCH(C5610,Products!$A$2:$A$49,0))</f>
        <v>3060</v>
      </c>
      <c r="I5610" s="33" t="n">
        <f aca="false">D5610*INDEX(Products!$D$2:$D$49,MATCH(C5610,Products!$A$2:$A$49,0))*(1+INDEX(Assumptions!$B$16:$B$20,MATCH(B5610,Assumptions!$A$16:$A$20,0)))</f>
        <v>2080.8</v>
      </c>
      <c r="J5610" s="33" t="n">
        <f aca="false">H5610-I5610</f>
        <v>979.2</v>
      </c>
      <c r="K5610" s="33" t="n">
        <f aca="false">IF(OR(E5610=0,E5610&gt;=7),0,D5610/(7-E5610)*E5610*INDEX(Products!$E$2:$E$49,MATCH(C5610,Products!$A$2:$A$49,0)))</f>
        <v>0</v>
      </c>
    </row>
    <row r="5611" customFormat="false" ht="15" hidden="false" customHeight="false" outlineLevel="0" collapsed="false">
      <c r="A5611" s="36" t="n">
        <v>46181</v>
      </c>
      <c r="B5611" s="24" t="s">
        <v>65</v>
      </c>
      <c r="C5611" s="24" t="s">
        <v>179</v>
      </c>
      <c r="D5611" s="33" t="n">
        <v>16</v>
      </c>
      <c r="E5611" s="24" t="n">
        <v>0</v>
      </c>
      <c r="F5611" s="37" t="n">
        <f aca="false">DATE(YEAR(A5611),MONTH(A5611),1)</f>
        <v>46174</v>
      </c>
      <c r="G5611" s="24" t="str">
        <f aca="false">INDEX(Products!$C$2:$C$49,MATCH(C5611,Products!$A$2:$A$49,0))</f>
        <v>Personal Care</v>
      </c>
      <c r="H5611" s="33" t="n">
        <f aca="false">D5611*INDEX(Products!$E$2:$E$49,MATCH(C5611,Products!$A$2:$A$49,0))</f>
        <v>2880</v>
      </c>
      <c r="I5611" s="33" t="n">
        <f aca="false">D5611*INDEX(Products!$D$2:$D$49,MATCH(C5611,Products!$A$2:$A$49,0))*(1+INDEX(Assumptions!$B$16:$B$20,MATCH(B5611,Assumptions!$A$16:$A$20,0)))</f>
        <v>1958.4</v>
      </c>
      <c r="J5611" s="33" t="n">
        <f aca="false">H5611-I5611</f>
        <v>921.6</v>
      </c>
      <c r="K5611" s="33" t="n">
        <f aca="false">IF(OR(E5611=0,E5611&gt;=7),0,D5611/(7-E5611)*E5611*INDEX(Products!$E$2:$E$49,MATCH(C5611,Products!$A$2:$A$49,0)))</f>
        <v>0</v>
      </c>
    </row>
    <row r="5612" customFormat="false" ht="15" hidden="false" customHeight="false" outlineLevel="0" collapsed="false">
      <c r="A5612" s="36" t="n">
        <v>46188</v>
      </c>
      <c r="B5612" s="24" t="s">
        <v>65</v>
      </c>
      <c r="C5612" s="24" t="s">
        <v>179</v>
      </c>
      <c r="D5612" s="33" t="n">
        <v>15</v>
      </c>
      <c r="E5612" s="24" t="n">
        <v>0</v>
      </c>
      <c r="F5612" s="37" t="n">
        <f aca="false">DATE(YEAR(A5612),MONTH(A5612),1)</f>
        <v>46174</v>
      </c>
      <c r="G5612" s="24" t="str">
        <f aca="false">INDEX(Products!$C$2:$C$49,MATCH(C5612,Products!$A$2:$A$49,0))</f>
        <v>Personal Care</v>
      </c>
      <c r="H5612" s="33" t="n">
        <f aca="false">D5612*INDEX(Products!$E$2:$E$49,MATCH(C5612,Products!$A$2:$A$49,0))</f>
        <v>2700</v>
      </c>
      <c r="I5612" s="33" t="n">
        <f aca="false">D5612*INDEX(Products!$D$2:$D$49,MATCH(C5612,Products!$A$2:$A$49,0))*(1+INDEX(Assumptions!$B$16:$B$20,MATCH(B5612,Assumptions!$A$16:$A$20,0)))</f>
        <v>1836</v>
      </c>
      <c r="J5612" s="33" t="n">
        <f aca="false">H5612-I5612</f>
        <v>864</v>
      </c>
      <c r="K5612" s="33" t="n">
        <f aca="false">IF(OR(E5612=0,E5612&gt;=7),0,D5612/(7-E5612)*E5612*INDEX(Products!$E$2:$E$49,MATCH(C5612,Products!$A$2:$A$49,0)))</f>
        <v>0</v>
      </c>
    </row>
    <row r="5613" customFormat="false" ht="15" hidden="false" customHeight="false" outlineLevel="0" collapsed="false">
      <c r="A5613" s="36" t="n">
        <v>46195</v>
      </c>
      <c r="B5613" s="24" t="s">
        <v>65</v>
      </c>
      <c r="C5613" s="24" t="s">
        <v>179</v>
      </c>
      <c r="D5613" s="33" t="n">
        <v>19</v>
      </c>
      <c r="E5613" s="24" t="n">
        <v>0</v>
      </c>
      <c r="F5613" s="37" t="n">
        <f aca="false">DATE(YEAR(A5613),MONTH(A5613),1)</f>
        <v>46174</v>
      </c>
      <c r="G5613" s="24" t="str">
        <f aca="false">INDEX(Products!$C$2:$C$49,MATCH(C5613,Products!$A$2:$A$49,0))</f>
        <v>Personal Care</v>
      </c>
      <c r="H5613" s="33" t="n">
        <f aca="false">D5613*INDEX(Products!$E$2:$E$49,MATCH(C5613,Products!$A$2:$A$49,0))</f>
        <v>3420</v>
      </c>
      <c r="I5613" s="33" t="n">
        <f aca="false">D5613*INDEX(Products!$D$2:$D$49,MATCH(C5613,Products!$A$2:$A$49,0))*(1+INDEX(Assumptions!$B$16:$B$20,MATCH(B5613,Assumptions!$A$16:$A$20,0)))</f>
        <v>2325.6</v>
      </c>
      <c r="J5613" s="33" t="n">
        <f aca="false">H5613-I5613</f>
        <v>1094.4</v>
      </c>
      <c r="K5613" s="33" t="n">
        <f aca="false">IF(OR(E5613=0,E5613&gt;=7),0,D5613/(7-E5613)*E5613*INDEX(Products!$E$2:$E$49,MATCH(C5613,Products!$A$2:$A$49,0)))</f>
        <v>0</v>
      </c>
    </row>
    <row r="5614" customFormat="false" ht="15" hidden="false" customHeight="false" outlineLevel="0" collapsed="false">
      <c r="A5614" s="36" t="n">
        <v>46202</v>
      </c>
      <c r="B5614" s="24" t="s">
        <v>65</v>
      </c>
      <c r="C5614" s="24" t="s">
        <v>179</v>
      </c>
      <c r="D5614" s="33" t="n">
        <v>26</v>
      </c>
      <c r="E5614" s="24" t="n">
        <v>0</v>
      </c>
      <c r="F5614" s="37" t="n">
        <f aca="false">DATE(YEAR(A5614),MONTH(A5614),1)</f>
        <v>46174</v>
      </c>
      <c r="G5614" s="24" t="str">
        <f aca="false">INDEX(Products!$C$2:$C$49,MATCH(C5614,Products!$A$2:$A$49,0))</f>
        <v>Personal Care</v>
      </c>
      <c r="H5614" s="33" t="n">
        <f aca="false">D5614*INDEX(Products!$E$2:$E$49,MATCH(C5614,Products!$A$2:$A$49,0))</f>
        <v>4680</v>
      </c>
      <c r="I5614" s="33" t="n">
        <f aca="false">D5614*INDEX(Products!$D$2:$D$49,MATCH(C5614,Products!$A$2:$A$49,0))*(1+INDEX(Assumptions!$B$16:$B$20,MATCH(B5614,Assumptions!$A$16:$A$20,0)))</f>
        <v>3182.4</v>
      </c>
      <c r="J5614" s="33" t="n">
        <f aca="false">H5614-I5614</f>
        <v>1497.6</v>
      </c>
      <c r="K5614" s="33" t="n">
        <f aca="false">IF(OR(E5614=0,E5614&gt;=7),0,D5614/(7-E5614)*E5614*INDEX(Products!$E$2:$E$49,MATCH(C5614,Products!$A$2:$A$49,0)))</f>
        <v>0</v>
      </c>
    </row>
    <row r="5615" customFormat="false" ht="15" hidden="false" customHeight="false" outlineLevel="0" collapsed="false">
      <c r="A5615" s="36" t="n">
        <v>46209</v>
      </c>
      <c r="B5615" s="24" t="s">
        <v>65</v>
      </c>
      <c r="C5615" s="24" t="s">
        <v>179</v>
      </c>
      <c r="D5615" s="33" t="n">
        <v>17</v>
      </c>
      <c r="E5615" s="24" t="n">
        <v>0</v>
      </c>
      <c r="F5615" s="37" t="n">
        <f aca="false">DATE(YEAR(A5615),MONTH(A5615),1)</f>
        <v>46204</v>
      </c>
      <c r="G5615" s="24" t="str">
        <f aca="false">INDEX(Products!$C$2:$C$49,MATCH(C5615,Products!$A$2:$A$49,0))</f>
        <v>Personal Care</v>
      </c>
      <c r="H5615" s="33" t="n">
        <f aca="false">D5615*INDEX(Products!$E$2:$E$49,MATCH(C5615,Products!$A$2:$A$49,0))</f>
        <v>3060</v>
      </c>
      <c r="I5615" s="33" t="n">
        <f aca="false">D5615*INDEX(Products!$D$2:$D$49,MATCH(C5615,Products!$A$2:$A$49,0))*(1+INDEX(Assumptions!$B$16:$B$20,MATCH(B5615,Assumptions!$A$16:$A$20,0)))</f>
        <v>2080.8</v>
      </c>
      <c r="J5615" s="33" t="n">
        <f aca="false">H5615-I5615</f>
        <v>979.2</v>
      </c>
      <c r="K5615" s="33" t="n">
        <f aca="false">IF(OR(E5615=0,E5615&gt;=7),0,D5615/(7-E5615)*E5615*INDEX(Products!$E$2:$E$49,MATCH(C5615,Products!$A$2:$A$49,0)))</f>
        <v>0</v>
      </c>
    </row>
    <row r="5616" customFormat="false" ht="15" hidden="false" customHeight="false" outlineLevel="0" collapsed="false">
      <c r="A5616" s="36" t="n">
        <v>46216</v>
      </c>
      <c r="B5616" s="24" t="s">
        <v>65</v>
      </c>
      <c r="C5616" s="24" t="s">
        <v>179</v>
      </c>
      <c r="D5616" s="33" t="n">
        <v>20</v>
      </c>
      <c r="E5616" s="24" t="n">
        <v>0</v>
      </c>
      <c r="F5616" s="37" t="n">
        <f aca="false">DATE(YEAR(A5616),MONTH(A5616),1)</f>
        <v>46204</v>
      </c>
      <c r="G5616" s="24" t="str">
        <f aca="false">INDEX(Products!$C$2:$C$49,MATCH(C5616,Products!$A$2:$A$49,0))</f>
        <v>Personal Care</v>
      </c>
      <c r="H5616" s="33" t="n">
        <f aca="false">D5616*INDEX(Products!$E$2:$E$49,MATCH(C5616,Products!$A$2:$A$49,0))</f>
        <v>3600</v>
      </c>
      <c r="I5616" s="33" t="n">
        <f aca="false">D5616*INDEX(Products!$D$2:$D$49,MATCH(C5616,Products!$A$2:$A$49,0))*(1+INDEX(Assumptions!$B$16:$B$20,MATCH(B5616,Assumptions!$A$16:$A$20,0)))</f>
        <v>2448</v>
      </c>
      <c r="J5616" s="33" t="n">
        <f aca="false">H5616-I5616</f>
        <v>1152</v>
      </c>
      <c r="K5616" s="33" t="n">
        <f aca="false">IF(OR(E5616=0,E5616&gt;=7),0,D5616/(7-E5616)*E5616*INDEX(Products!$E$2:$E$49,MATCH(C5616,Products!$A$2:$A$49,0)))</f>
        <v>0</v>
      </c>
    </row>
    <row r="5617" customFormat="false" ht="15" hidden="false" customHeight="false" outlineLevel="0" collapsed="false">
      <c r="A5617" s="36" t="n">
        <v>46223</v>
      </c>
      <c r="B5617" s="24" t="s">
        <v>65</v>
      </c>
      <c r="C5617" s="24" t="s">
        <v>179</v>
      </c>
      <c r="D5617" s="33" t="n">
        <v>21</v>
      </c>
      <c r="E5617" s="24" t="n">
        <v>0</v>
      </c>
      <c r="F5617" s="37" t="n">
        <f aca="false">DATE(YEAR(A5617),MONTH(A5617),1)</f>
        <v>46204</v>
      </c>
      <c r="G5617" s="24" t="str">
        <f aca="false">INDEX(Products!$C$2:$C$49,MATCH(C5617,Products!$A$2:$A$49,0))</f>
        <v>Personal Care</v>
      </c>
      <c r="H5617" s="33" t="n">
        <f aca="false">D5617*INDEX(Products!$E$2:$E$49,MATCH(C5617,Products!$A$2:$A$49,0))</f>
        <v>3780</v>
      </c>
      <c r="I5617" s="33" t="n">
        <f aca="false">D5617*INDEX(Products!$D$2:$D$49,MATCH(C5617,Products!$A$2:$A$49,0))*(1+INDEX(Assumptions!$B$16:$B$20,MATCH(B5617,Assumptions!$A$16:$A$20,0)))</f>
        <v>2570.4</v>
      </c>
      <c r="J5617" s="33" t="n">
        <f aca="false">H5617-I5617</f>
        <v>1209.6</v>
      </c>
      <c r="K5617" s="33" t="n">
        <f aca="false">IF(OR(E5617=0,E5617&gt;=7),0,D5617/(7-E5617)*E5617*INDEX(Products!$E$2:$E$49,MATCH(C5617,Products!$A$2:$A$49,0)))</f>
        <v>0</v>
      </c>
    </row>
    <row r="5618" customFormat="false" ht="15" hidden="false" customHeight="false" outlineLevel="0" collapsed="false">
      <c r="A5618" s="36" t="n">
        <v>46230</v>
      </c>
      <c r="B5618" s="24" t="s">
        <v>65</v>
      </c>
      <c r="C5618" s="24" t="s">
        <v>179</v>
      </c>
      <c r="D5618" s="33" t="n">
        <v>17</v>
      </c>
      <c r="E5618" s="24" t="n">
        <v>0</v>
      </c>
      <c r="F5618" s="37" t="n">
        <f aca="false">DATE(YEAR(A5618),MONTH(A5618),1)</f>
        <v>46204</v>
      </c>
      <c r="G5618" s="24" t="str">
        <f aca="false">INDEX(Products!$C$2:$C$49,MATCH(C5618,Products!$A$2:$A$49,0))</f>
        <v>Personal Care</v>
      </c>
      <c r="H5618" s="33" t="n">
        <f aca="false">D5618*INDEX(Products!$E$2:$E$49,MATCH(C5618,Products!$A$2:$A$49,0))</f>
        <v>3060</v>
      </c>
      <c r="I5618" s="33" t="n">
        <f aca="false">D5618*INDEX(Products!$D$2:$D$49,MATCH(C5618,Products!$A$2:$A$49,0))*(1+INDEX(Assumptions!$B$16:$B$20,MATCH(B5618,Assumptions!$A$16:$A$20,0)))</f>
        <v>2080.8</v>
      </c>
      <c r="J5618" s="33" t="n">
        <f aca="false">H5618-I5618</f>
        <v>979.2</v>
      </c>
      <c r="K5618" s="33" t="n">
        <f aca="false">IF(OR(E5618=0,E5618&gt;=7),0,D5618/(7-E5618)*E5618*INDEX(Products!$E$2:$E$49,MATCH(C5618,Products!$A$2:$A$49,0)))</f>
        <v>0</v>
      </c>
    </row>
    <row r="5619" customFormat="false" ht="15" hidden="false" customHeight="false" outlineLevel="0" collapsed="false">
      <c r="A5619" s="36" t="n">
        <v>46237</v>
      </c>
      <c r="B5619" s="24" t="s">
        <v>65</v>
      </c>
      <c r="C5619" s="24" t="s">
        <v>179</v>
      </c>
      <c r="D5619" s="33" t="n">
        <v>10</v>
      </c>
      <c r="E5619" s="24" t="n">
        <v>1</v>
      </c>
      <c r="F5619" s="37" t="n">
        <f aca="false">DATE(YEAR(A5619),MONTH(A5619),1)</f>
        <v>46235</v>
      </c>
      <c r="G5619" s="24" t="str">
        <f aca="false">INDEX(Products!$C$2:$C$49,MATCH(C5619,Products!$A$2:$A$49,0))</f>
        <v>Personal Care</v>
      </c>
      <c r="H5619" s="33" t="n">
        <f aca="false">D5619*INDEX(Products!$E$2:$E$49,MATCH(C5619,Products!$A$2:$A$49,0))</f>
        <v>1800</v>
      </c>
      <c r="I5619" s="33" t="n">
        <f aca="false">D5619*INDEX(Products!$D$2:$D$49,MATCH(C5619,Products!$A$2:$A$49,0))*(1+INDEX(Assumptions!$B$16:$B$20,MATCH(B5619,Assumptions!$A$16:$A$20,0)))</f>
        <v>1224</v>
      </c>
      <c r="J5619" s="33" t="n">
        <f aca="false">H5619-I5619</f>
        <v>576</v>
      </c>
      <c r="K5619" s="33" t="n">
        <f aca="false">IF(OR(E5619=0,E5619&gt;=7),0,D5619/(7-E5619)*E5619*INDEX(Products!$E$2:$E$49,MATCH(C5619,Products!$A$2:$A$49,0)))</f>
        <v>300</v>
      </c>
    </row>
    <row r="5620" customFormat="false" ht="15" hidden="false" customHeight="false" outlineLevel="0" collapsed="false">
      <c r="A5620" s="36" t="n">
        <v>46244</v>
      </c>
      <c r="B5620" s="24" t="s">
        <v>65</v>
      </c>
      <c r="C5620" s="24" t="s">
        <v>179</v>
      </c>
      <c r="D5620" s="33" t="n">
        <v>14</v>
      </c>
      <c r="E5620" s="24" t="n">
        <v>0</v>
      </c>
      <c r="F5620" s="37" t="n">
        <f aca="false">DATE(YEAR(A5620),MONTH(A5620),1)</f>
        <v>46235</v>
      </c>
      <c r="G5620" s="24" t="str">
        <f aca="false">INDEX(Products!$C$2:$C$49,MATCH(C5620,Products!$A$2:$A$49,0))</f>
        <v>Personal Care</v>
      </c>
      <c r="H5620" s="33" t="n">
        <f aca="false">D5620*INDEX(Products!$E$2:$E$49,MATCH(C5620,Products!$A$2:$A$49,0))</f>
        <v>2520</v>
      </c>
      <c r="I5620" s="33" t="n">
        <f aca="false">D5620*INDEX(Products!$D$2:$D$49,MATCH(C5620,Products!$A$2:$A$49,0))*(1+INDEX(Assumptions!$B$16:$B$20,MATCH(B5620,Assumptions!$A$16:$A$20,0)))</f>
        <v>1713.6</v>
      </c>
      <c r="J5620" s="33" t="n">
        <f aca="false">H5620-I5620</f>
        <v>806.4</v>
      </c>
      <c r="K5620" s="33" t="n">
        <f aca="false">IF(OR(E5620=0,E5620&gt;=7),0,D5620/(7-E5620)*E5620*INDEX(Products!$E$2:$E$49,MATCH(C5620,Products!$A$2:$A$49,0)))</f>
        <v>0</v>
      </c>
    </row>
    <row r="5621" customFormat="false" ht="15" hidden="false" customHeight="false" outlineLevel="0" collapsed="false">
      <c r="A5621" s="36" t="n">
        <v>46251</v>
      </c>
      <c r="B5621" s="24" t="s">
        <v>65</v>
      </c>
      <c r="C5621" s="24" t="s">
        <v>179</v>
      </c>
      <c r="D5621" s="33" t="n">
        <v>21</v>
      </c>
      <c r="E5621" s="24" t="n">
        <v>0</v>
      </c>
      <c r="F5621" s="37" t="n">
        <f aca="false">DATE(YEAR(A5621),MONTH(A5621),1)</f>
        <v>46235</v>
      </c>
      <c r="G5621" s="24" t="str">
        <f aca="false">INDEX(Products!$C$2:$C$49,MATCH(C5621,Products!$A$2:$A$49,0))</f>
        <v>Personal Care</v>
      </c>
      <c r="H5621" s="33" t="n">
        <f aca="false">D5621*INDEX(Products!$E$2:$E$49,MATCH(C5621,Products!$A$2:$A$49,0))</f>
        <v>3780</v>
      </c>
      <c r="I5621" s="33" t="n">
        <f aca="false">D5621*INDEX(Products!$D$2:$D$49,MATCH(C5621,Products!$A$2:$A$49,0))*(1+INDEX(Assumptions!$B$16:$B$20,MATCH(B5621,Assumptions!$A$16:$A$20,0)))</f>
        <v>2570.4</v>
      </c>
      <c r="J5621" s="33" t="n">
        <f aca="false">H5621-I5621</f>
        <v>1209.6</v>
      </c>
      <c r="K5621" s="33" t="n">
        <f aca="false">IF(OR(E5621=0,E5621&gt;=7),0,D5621/(7-E5621)*E5621*INDEX(Products!$E$2:$E$49,MATCH(C5621,Products!$A$2:$A$49,0)))</f>
        <v>0</v>
      </c>
    </row>
    <row r="5622" customFormat="false" ht="15" hidden="false" customHeight="false" outlineLevel="0" collapsed="false">
      <c r="A5622" s="36" t="n">
        <v>46258</v>
      </c>
      <c r="B5622" s="24" t="s">
        <v>65</v>
      </c>
      <c r="C5622" s="24" t="s">
        <v>179</v>
      </c>
      <c r="D5622" s="33" t="n">
        <v>17</v>
      </c>
      <c r="E5622" s="24" t="n">
        <v>0</v>
      </c>
      <c r="F5622" s="37" t="n">
        <f aca="false">DATE(YEAR(A5622),MONTH(A5622),1)</f>
        <v>46235</v>
      </c>
      <c r="G5622" s="24" t="str">
        <f aca="false">INDEX(Products!$C$2:$C$49,MATCH(C5622,Products!$A$2:$A$49,0))</f>
        <v>Personal Care</v>
      </c>
      <c r="H5622" s="33" t="n">
        <f aca="false">D5622*INDEX(Products!$E$2:$E$49,MATCH(C5622,Products!$A$2:$A$49,0))</f>
        <v>3060</v>
      </c>
      <c r="I5622" s="33" t="n">
        <f aca="false">D5622*INDEX(Products!$D$2:$D$49,MATCH(C5622,Products!$A$2:$A$49,0))*(1+INDEX(Assumptions!$B$16:$B$20,MATCH(B5622,Assumptions!$A$16:$A$20,0)))</f>
        <v>2080.8</v>
      </c>
      <c r="J5622" s="33" t="n">
        <f aca="false">H5622-I5622</f>
        <v>979.2</v>
      </c>
      <c r="K5622" s="33" t="n">
        <f aca="false">IF(OR(E5622=0,E5622&gt;=7),0,D5622/(7-E5622)*E5622*INDEX(Products!$E$2:$E$49,MATCH(C5622,Products!$A$2:$A$49,0)))</f>
        <v>0</v>
      </c>
    </row>
    <row r="5623" customFormat="false" ht="15" hidden="false" customHeight="false" outlineLevel="0" collapsed="false">
      <c r="A5623" s="36" t="n">
        <v>46265</v>
      </c>
      <c r="B5623" s="24" t="s">
        <v>65</v>
      </c>
      <c r="C5623" s="24" t="s">
        <v>179</v>
      </c>
      <c r="D5623" s="33" t="n">
        <v>25</v>
      </c>
      <c r="E5623" s="24" t="n">
        <v>0</v>
      </c>
      <c r="F5623" s="37" t="n">
        <f aca="false">DATE(YEAR(A5623),MONTH(A5623),1)</f>
        <v>46235</v>
      </c>
      <c r="G5623" s="24" t="str">
        <f aca="false">INDEX(Products!$C$2:$C$49,MATCH(C5623,Products!$A$2:$A$49,0))</f>
        <v>Personal Care</v>
      </c>
      <c r="H5623" s="33" t="n">
        <f aca="false">D5623*INDEX(Products!$E$2:$E$49,MATCH(C5623,Products!$A$2:$A$49,0))</f>
        <v>4500</v>
      </c>
      <c r="I5623" s="33" t="n">
        <f aca="false">D5623*INDEX(Products!$D$2:$D$49,MATCH(C5623,Products!$A$2:$A$49,0))*(1+INDEX(Assumptions!$B$16:$B$20,MATCH(B5623,Assumptions!$A$16:$A$20,0)))</f>
        <v>3060</v>
      </c>
      <c r="J5623" s="33" t="n">
        <f aca="false">H5623-I5623</f>
        <v>1440</v>
      </c>
      <c r="K5623" s="33" t="n">
        <f aca="false">IF(OR(E5623=0,E5623&gt;=7),0,D5623/(7-E5623)*E5623*INDEX(Products!$E$2:$E$49,MATCH(C5623,Products!$A$2:$A$49,0)))</f>
        <v>0</v>
      </c>
    </row>
    <row r="5624" customFormat="false" ht="15" hidden="false" customHeight="false" outlineLevel="0" collapsed="false">
      <c r="A5624" s="36" t="n">
        <v>46272</v>
      </c>
      <c r="B5624" s="24" t="s">
        <v>65</v>
      </c>
      <c r="C5624" s="24" t="s">
        <v>179</v>
      </c>
      <c r="D5624" s="33" t="n">
        <v>13</v>
      </c>
      <c r="E5624" s="24" t="n">
        <v>0</v>
      </c>
      <c r="F5624" s="37" t="n">
        <f aca="false">DATE(YEAR(A5624),MONTH(A5624),1)</f>
        <v>46266</v>
      </c>
      <c r="G5624" s="24" t="str">
        <f aca="false">INDEX(Products!$C$2:$C$49,MATCH(C5624,Products!$A$2:$A$49,0))</f>
        <v>Personal Care</v>
      </c>
      <c r="H5624" s="33" t="n">
        <f aca="false">D5624*INDEX(Products!$E$2:$E$49,MATCH(C5624,Products!$A$2:$A$49,0))</f>
        <v>2340</v>
      </c>
      <c r="I5624" s="33" t="n">
        <f aca="false">D5624*INDEX(Products!$D$2:$D$49,MATCH(C5624,Products!$A$2:$A$49,0))*(1+INDEX(Assumptions!$B$16:$B$20,MATCH(B5624,Assumptions!$A$16:$A$20,0)))</f>
        <v>1591.2</v>
      </c>
      <c r="J5624" s="33" t="n">
        <f aca="false">H5624-I5624</f>
        <v>748.8</v>
      </c>
      <c r="K5624" s="33" t="n">
        <f aca="false">IF(OR(E5624=0,E5624&gt;=7),0,D5624/(7-E5624)*E5624*INDEX(Products!$E$2:$E$49,MATCH(C5624,Products!$A$2:$A$49,0)))</f>
        <v>0</v>
      </c>
    </row>
    <row r="5625" customFormat="false" ht="15" hidden="false" customHeight="false" outlineLevel="0" collapsed="false">
      <c r="A5625" s="36" t="n">
        <v>46279</v>
      </c>
      <c r="B5625" s="24" t="s">
        <v>65</v>
      </c>
      <c r="C5625" s="24" t="s">
        <v>179</v>
      </c>
      <c r="D5625" s="33" t="n">
        <v>16</v>
      </c>
      <c r="E5625" s="24" t="n">
        <v>0</v>
      </c>
      <c r="F5625" s="37" t="n">
        <f aca="false">DATE(YEAR(A5625),MONTH(A5625),1)</f>
        <v>46266</v>
      </c>
      <c r="G5625" s="24" t="str">
        <f aca="false">INDEX(Products!$C$2:$C$49,MATCH(C5625,Products!$A$2:$A$49,0))</f>
        <v>Personal Care</v>
      </c>
      <c r="H5625" s="33" t="n">
        <f aca="false">D5625*INDEX(Products!$E$2:$E$49,MATCH(C5625,Products!$A$2:$A$49,0))</f>
        <v>2880</v>
      </c>
      <c r="I5625" s="33" t="n">
        <f aca="false">D5625*INDEX(Products!$D$2:$D$49,MATCH(C5625,Products!$A$2:$A$49,0))*(1+INDEX(Assumptions!$B$16:$B$20,MATCH(B5625,Assumptions!$A$16:$A$20,0)))</f>
        <v>1958.4</v>
      </c>
      <c r="J5625" s="33" t="n">
        <f aca="false">H5625-I5625</f>
        <v>921.6</v>
      </c>
      <c r="K5625" s="33" t="n">
        <f aca="false">IF(OR(E5625=0,E5625&gt;=7),0,D5625/(7-E5625)*E5625*INDEX(Products!$E$2:$E$49,MATCH(C5625,Products!$A$2:$A$49,0)))</f>
        <v>0</v>
      </c>
    </row>
    <row r="5626" customFormat="false" ht="15" hidden="false" customHeight="false" outlineLevel="0" collapsed="false">
      <c r="A5626" s="36" t="n">
        <v>46286</v>
      </c>
      <c r="B5626" s="24" t="s">
        <v>65</v>
      </c>
      <c r="C5626" s="24" t="s">
        <v>179</v>
      </c>
      <c r="D5626" s="33" t="n">
        <v>24</v>
      </c>
      <c r="E5626" s="24" t="n">
        <v>0</v>
      </c>
      <c r="F5626" s="37" t="n">
        <f aca="false">DATE(YEAR(A5626),MONTH(A5626),1)</f>
        <v>46266</v>
      </c>
      <c r="G5626" s="24" t="str">
        <f aca="false">INDEX(Products!$C$2:$C$49,MATCH(C5626,Products!$A$2:$A$49,0))</f>
        <v>Personal Care</v>
      </c>
      <c r="H5626" s="33" t="n">
        <f aca="false">D5626*INDEX(Products!$E$2:$E$49,MATCH(C5626,Products!$A$2:$A$49,0))</f>
        <v>4320</v>
      </c>
      <c r="I5626" s="33" t="n">
        <f aca="false">D5626*INDEX(Products!$D$2:$D$49,MATCH(C5626,Products!$A$2:$A$49,0))*(1+INDEX(Assumptions!$B$16:$B$20,MATCH(B5626,Assumptions!$A$16:$A$20,0)))</f>
        <v>2937.6</v>
      </c>
      <c r="J5626" s="33" t="n">
        <f aca="false">H5626-I5626</f>
        <v>1382.4</v>
      </c>
      <c r="K5626" s="33" t="n">
        <f aca="false">IF(OR(E5626=0,E5626&gt;=7),0,D5626/(7-E5626)*E5626*INDEX(Products!$E$2:$E$49,MATCH(C5626,Products!$A$2:$A$49,0)))</f>
        <v>0</v>
      </c>
    </row>
    <row r="5627" customFormat="false" ht="15" hidden="false" customHeight="false" outlineLevel="0" collapsed="false">
      <c r="A5627" s="36" t="n">
        <v>46118</v>
      </c>
      <c r="B5627" s="24" t="s">
        <v>65</v>
      </c>
      <c r="C5627" s="24" t="s">
        <v>181</v>
      </c>
      <c r="D5627" s="33" t="n">
        <v>68</v>
      </c>
      <c r="E5627" s="24" t="n">
        <v>0</v>
      </c>
      <c r="F5627" s="37" t="n">
        <f aca="false">DATE(YEAR(A5627),MONTH(A5627),1)</f>
        <v>46113</v>
      </c>
      <c r="G5627" s="24" t="str">
        <f aca="false">INDEX(Products!$C$2:$C$49,MATCH(C5627,Products!$A$2:$A$49,0))</f>
        <v>Personal Care</v>
      </c>
      <c r="H5627" s="33" t="n">
        <f aca="false">D5627*INDEX(Products!$E$2:$E$49,MATCH(C5627,Products!$A$2:$A$49,0))</f>
        <v>23800</v>
      </c>
      <c r="I5627" s="33" t="n">
        <f aca="false">D5627*INDEX(Products!$D$2:$D$49,MATCH(C5627,Products!$A$2:$A$49,0))*(1+INDEX(Assumptions!$B$16:$B$20,MATCH(B5627,Assumptions!$A$16:$A$20,0)))</f>
        <v>17131.92</v>
      </c>
      <c r="J5627" s="33" t="n">
        <f aca="false">H5627-I5627</f>
        <v>6668.08</v>
      </c>
      <c r="K5627" s="33" t="n">
        <f aca="false">IF(OR(E5627=0,E5627&gt;=7),0,D5627/(7-E5627)*E5627*INDEX(Products!$E$2:$E$49,MATCH(C5627,Products!$A$2:$A$49,0)))</f>
        <v>0</v>
      </c>
    </row>
    <row r="5628" customFormat="false" ht="15" hidden="false" customHeight="false" outlineLevel="0" collapsed="false">
      <c r="A5628" s="36" t="n">
        <v>46125</v>
      </c>
      <c r="B5628" s="24" t="s">
        <v>65</v>
      </c>
      <c r="C5628" s="24" t="s">
        <v>181</v>
      </c>
      <c r="D5628" s="33" t="n">
        <v>104</v>
      </c>
      <c r="E5628" s="24" t="n">
        <v>0</v>
      </c>
      <c r="F5628" s="37" t="n">
        <f aca="false">DATE(YEAR(A5628),MONTH(A5628),1)</f>
        <v>46113</v>
      </c>
      <c r="G5628" s="24" t="str">
        <f aca="false">INDEX(Products!$C$2:$C$49,MATCH(C5628,Products!$A$2:$A$49,0))</f>
        <v>Personal Care</v>
      </c>
      <c r="H5628" s="33" t="n">
        <f aca="false">D5628*INDEX(Products!$E$2:$E$49,MATCH(C5628,Products!$A$2:$A$49,0))</f>
        <v>36400</v>
      </c>
      <c r="I5628" s="33" t="n">
        <f aca="false">D5628*INDEX(Products!$D$2:$D$49,MATCH(C5628,Products!$A$2:$A$49,0))*(1+INDEX(Assumptions!$B$16:$B$20,MATCH(B5628,Assumptions!$A$16:$A$20,0)))</f>
        <v>26201.76</v>
      </c>
      <c r="J5628" s="33" t="n">
        <f aca="false">H5628-I5628</f>
        <v>10198.24</v>
      </c>
      <c r="K5628" s="33" t="n">
        <f aca="false">IF(OR(E5628=0,E5628&gt;=7),0,D5628/(7-E5628)*E5628*INDEX(Products!$E$2:$E$49,MATCH(C5628,Products!$A$2:$A$49,0)))</f>
        <v>0</v>
      </c>
    </row>
    <row r="5629" customFormat="false" ht="15" hidden="false" customHeight="false" outlineLevel="0" collapsed="false">
      <c r="A5629" s="36" t="n">
        <v>46132</v>
      </c>
      <c r="B5629" s="24" t="s">
        <v>65</v>
      </c>
      <c r="C5629" s="24" t="s">
        <v>181</v>
      </c>
      <c r="D5629" s="33" t="n">
        <v>95</v>
      </c>
      <c r="E5629" s="24" t="n">
        <v>0</v>
      </c>
      <c r="F5629" s="37" t="n">
        <f aca="false">DATE(YEAR(A5629),MONTH(A5629),1)</f>
        <v>46113</v>
      </c>
      <c r="G5629" s="24" t="str">
        <f aca="false">INDEX(Products!$C$2:$C$49,MATCH(C5629,Products!$A$2:$A$49,0))</f>
        <v>Personal Care</v>
      </c>
      <c r="H5629" s="33" t="n">
        <f aca="false">D5629*INDEX(Products!$E$2:$E$49,MATCH(C5629,Products!$A$2:$A$49,0))</f>
        <v>33250</v>
      </c>
      <c r="I5629" s="33" t="n">
        <f aca="false">D5629*INDEX(Products!$D$2:$D$49,MATCH(C5629,Products!$A$2:$A$49,0))*(1+INDEX(Assumptions!$B$16:$B$20,MATCH(B5629,Assumptions!$A$16:$A$20,0)))</f>
        <v>23934.3</v>
      </c>
      <c r="J5629" s="33" t="n">
        <f aca="false">H5629-I5629</f>
        <v>9315.7</v>
      </c>
      <c r="K5629" s="33" t="n">
        <f aca="false">IF(OR(E5629=0,E5629&gt;=7),0,D5629/(7-E5629)*E5629*INDEX(Products!$E$2:$E$49,MATCH(C5629,Products!$A$2:$A$49,0)))</f>
        <v>0</v>
      </c>
    </row>
    <row r="5630" customFormat="false" ht="15" hidden="false" customHeight="false" outlineLevel="0" collapsed="false">
      <c r="A5630" s="36" t="n">
        <v>46139</v>
      </c>
      <c r="B5630" s="24" t="s">
        <v>65</v>
      </c>
      <c r="C5630" s="24" t="s">
        <v>181</v>
      </c>
      <c r="D5630" s="33" t="n">
        <v>101</v>
      </c>
      <c r="E5630" s="24" t="n">
        <v>0</v>
      </c>
      <c r="F5630" s="37" t="n">
        <f aca="false">DATE(YEAR(A5630),MONTH(A5630),1)</f>
        <v>46113</v>
      </c>
      <c r="G5630" s="24" t="str">
        <f aca="false">INDEX(Products!$C$2:$C$49,MATCH(C5630,Products!$A$2:$A$49,0))</f>
        <v>Personal Care</v>
      </c>
      <c r="H5630" s="33" t="n">
        <f aca="false">D5630*INDEX(Products!$E$2:$E$49,MATCH(C5630,Products!$A$2:$A$49,0))</f>
        <v>35350</v>
      </c>
      <c r="I5630" s="33" t="n">
        <f aca="false">D5630*INDEX(Products!$D$2:$D$49,MATCH(C5630,Products!$A$2:$A$49,0))*(1+INDEX(Assumptions!$B$16:$B$20,MATCH(B5630,Assumptions!$A$16:$A$20,0)))</f>
        <v>25445.94</v>
      </c>
      <c r="J5630" s="33" t="n">
        <f aca="false">H5630-I5630</f>
        <v>9904.06</v>
      </c>
      <c r="K5630" s="33" t="n">
        <f aca="false">IF(OR(E5630=0,E5630&gt;=7),0,D5630/(7-E5630)*E5630*INDEX(Products!$E$2:$E$49,MATCH(C5630,Products!$A$2:$A$49,0)))</f>
        <v>0</v>
      </c>
    </row>
    <row r="5631" customFormat="false" ht="15" hidden="false" customHeight="false" outlineLevel="0" collapsed="false">
      <c r="A5631" s="36" t="n">
        <v>46146</v>
      </c>
      <c r="B5631" s="24" t="s">
        <v>65</v>
      </c>
      <c r="C5631" s="24" t="s">
        <v>181</v>
      </c>
      <c r="D5631" s="33" t="n">
        <v>90</v>
      </c>
      <c r="E5631" s="24" t="n">
        <v>0</v>
      </c>
      <c r="F5631" s="37" t="n">
        <f aca="false">DATE(YEAR(A5631),MONTH(A5631),1)</f>
        <v>46143</v>
      </c>
      <c r="G5631" s="24" t="str">
        <f aca="false">INDEX(Products!$C$2:$C$49,MATCH(C5631,Products!$A$2:$A$49,0))</f>
        <v>Personal Care</v>
      </c>
      <c r="H5631" s="33" t="n">
        <f aca="false">D5631*INDEX(Products!$E$2:$E$49,MATCH(C5631,Products!$A$2:$A$49,0))</f>
        <v>31500</v>
      </c>
      <c r="I5631" s="33" t="n">
        <f aca="false">D5631*INDEX(Products!$D$2:$D$49,MATCH(C5631,Products!$A$2:$A$49,0))*(1+INDEX(Assumptions!$B$16:$B$20,MATCH(B5631,Assumptions!$A$16:$A$20,0)))</f>
        <v>22674.6</v>
      </c>
      <c r="J5631" s="33" t="n">
        <f aca="false">H5631-I5631</f>
        <v>8825.4</v>
      </c>
      <c r="K5631" s="33" t="n">
        <f aca="false">IF(OR(E5631=0,E5631&gt;=7),0,D5631/(7-E5631)*E5631*INDEX(Products!$E$2:$E$49,MATCH(C5631,Products!$A$2:$A$49,0)))</f>
        <v>0</v>
      </c>
    </row>
    <row r="5632" customFormat="false" ht="15" hidden="false" customHeight="false" outlineLevel="0" collapsed="false">
      <c r="A5632" s="36" t="n">
        <v>46153</v>
      </c>
      <c r="B5632" s="24" t="s">
        <v>65</v>
      </c>
      <c r="C5632" s="24" t="s">
        <v>181</v>
      </c>
      <c r="D5632" s="33" t="n">
        <v>81</v>
      </c>
      <c r="E5632" s="24" t="n">
        <v>0</v>
      </c>
      <c r="F5632" s="37" t="n">
        <f aca="false">DATE(YEAR(A5632),MONTH(A5632),1)</f>
        <v>46143</v>
      </c>
      <c r="G5632" s="24" t="str">
        <f aca="false">INDEX(Products!$C$2:$C$49,MATCH(C5632,Products!$A$2:$A$49,0))</f>
        <v>Personal Care</v>
      </c>
      <c r="H5632" s="33" t="n">
        <f aca="false">D5632*INDEX(Products!$E$2:$E$49,MATCH(C5632,Products!$A$2:$A$49,0))</f>
        <v>28350</v>
      </c>
      <c r="I5632" s="33" t="n">
        <f aca="false">D5632*INDEX(Products!$D$2:$D$49,MATCH(C5632,Products!$A$2:$A$49,0))*(1+INDEX(Assumptions!$B$16:$B$20,MATCH(B5632,Assumptions!$A$16:$A$20,0)))</f>
        <v>20407.14</v>
      </c>
      <c r="J5632" s="33" t="n">
        <f aca="false">H5632-I5632</f>
        <v>7942.86</v>
      </c>
      <c r="K5632" s="33" t="n">
        <f aca="false">IF(OR(E5632=0,E5632&gt;=7),0,D5632/(7-E5632)*E5632*INDEX(Products!$E$2:$E$49,MATCH(C5632,Products!$A$2:$A$49,0)))</f>
        <v>0</v>
      </c>
    </row>
    <row r="5633" customFormat="false" ht="15" hidden="false" customHeight="false" outlineLevel="0" collapsed="false">
      <c r="A5633" s="36" t="n">
        <v>46160</v>
      </c>
      <c r="B5633" s="24" t="s">
        <v>65</v>
      </c>
      <c r="C5633" s="24" t="s">
        <v>181</v>
      </c>
      <c r="D5633" s="33" t="n">
        <v>83</v>
      </c>
      <c r="E5633" s="24" t="n">
        <v>0</v>
      </c>
      <c r="F5633" s="37" t="n">
        <f aca="false">DATE(YEAR(A5633),MONTH(A5633),1)</f>
        <v>46143</v>
      </c>
      <c r="G5633" s="24" t="str">
        <f aca="false">INDEX(Products!$C$2:$C$49,MATCH(C5633,Products!$A$2:$A$49,0))</f>
        <v>Personal Care</v>
      </c>
      <c r="H5633" s="33" t="n">
        <f aca="false">D5633*INDEX(Products!$E$2:$E$49,MATCH(C5633,Products!$A$2:$A$49,0))</f>
        <v>29050</v>
      </c>
      <c r="I5633" s="33" t="n">
        <f aca="false">D5633*INDEX(Products!$D$2:$D$49,MATCH(C5633,Products!$A$2:$A$49,0))*(1+INDEX(Assumptions!$B$16:$B$20,MATCH(B5633,Assumptions!$A$16:$A$20,0)))</f>
        <v>20911.02</v>
      </c>
      <c r="J5633" s="33" t="n">
        <f aca="false">H5633-I5633</f>
        <v>8138.98</v>
      </c>
      <c r="K5633" s="33" t="n">
        <f aca="false">IF(OR(E5633=0,E5633&gt;=7),0,D5633/(7-E5633)*E5633*INDEX(Products!$E$2:$E$49,MATCH(C5633,Products!$A$2:$A$49,0)))</f>
        <v>0</v>
      </c>
    </row>
    <row r="5634" customFormat="false" ht="15" hidden="false" customHeight="false" outlineLevel="0" collapsed="false">
      <c r="A5634" s="36" t="n">
        <v>46167</v>
      </c>
      <c r="B5634" s="24" t="s">
        <v>65</v>
      </c>
      <c r="C5634" s="24" t="s">
        <v>181</v>
      </c>
      <c r="D5634" s="33" t="n">
        <v>99</v>
      </c>
      <c r="E5634" s="24" t="n">
        <v>0</v>
      </c>
      <c r="F5634" s="37" t="n">
        <f aca="false">DATE(YEAR(A5634),MONTH(A5634),1)</f>
        <v>46143</v>
      </c>
      <c r="G5634" s="24" t="str">
        <f aca="false">INDEX(Products!$C$2:$C$49,MATCH(C5634,Products!$A$2:$A$49,0))</f>
        <v>Personal Care</v>
      </c>
      <c r="H5634" s="33" t="n">
        <f aca="false">D5634*INDEX(Products!$E$2:$E$49,MATCH(C5634,Products!$A$2:$A$49,0))</f>
        <v>34650</v>
      </c>
      <c r="I5634" s="33" t="n">
        <f aca="false">D5634*INDEX(Products!$D$2:$D$49,MATCH(C5634,Products!$A$2:$A$49,0))*(1+INDEX(Assumptions!$B$16:$B$20,MATCH(B5634,Assumptions!$A$16:$A$20,0)))</f>
        <v>24942.06</v>
      </c>
      <c r="J5634" s="33" t="n">
        <f aca="false">H5634-I5634</f>
        <v>9707.94</v>
      </c>
      <c r="K5634" s="33" t="n">
        <f aca="false">IF(OR(E5634=0,E5634&gt;=7),0,D5634/(7-E5634)*E5634*INDEX(Products!$E$2:$E$49,MATCH(C5634,Products!$A$2:$A$49,0)))</f>
        <v>0</v>
      </c>
    </row>
    <row r="5635" customFormat="false" ht="15" hidden="false" customHeight="false" outlineLevel="0" collapsed="false">
      <c r="A5635" s="36" t="n">
        <v>46174</v>
      </c>
      <c r="B5635" s="24" t="s">
        <v>65</v>
      </c>
      <c r="C5635" s="24" t="s">
        <v>181</v>
      </c>
      <c r="D5635" s="33" t="n">
        <v>97</v>
      </c>
      <c r="E5635" s="24" t="n">
        <v>0</v>
      </c>
      <c r="F5635" s="37" t="n">
        <f aca="false">DATE(YEAR(A5635),MONTH(A5635),1)</f>
        <v>46174</v>
      </c>
      <c r="G5635" s="24" t="str">
        <f aca="false">INDEX(Products!$C$2:$C$49,MATCH(C5635,Products!$A$2:$A$49,0))</f>
        <v>Personal Care</v>
      </c>
      <c r="H5635" s="33" t="n">
        <f aca="false">D5635*INDEX(Products!$E$2:$E$49,MATCH(C5635,Products!$A$2:$A$49,0))</f>
        <v>33950</v>
      </c>
      <c r="I5635" s="33" t="n">
        <f aca="false">D5635*INDEX(Products!$D$2:$D$49,MATCH(C5635,Products!$A$2:$A$49,0))*(1+INDEX(Assumptions!$B$16:$B$20,MATCH(B5635,Assumptions!$A$16:$A$20,0)))</f>
        <v>24438.18</v>
      </c>
      <c r="J5635" s="33" t="n">
        <f aca="false">H5635-I5635</f>
        <v>9511.82</v>
      </c>
      <c r="K5635" s="33" t="n">
        <f aca="false">IF(OR(E5635=0,E5635&gt;=7),0,D5635/(7-E5635)*E5635*INDEX(Products!$E$2:$E$49,MATCH(C5635,Products!$A$2:$A$49,0)))</f>
        <v>0</v>
      </c>
    </row>
    <row r="5636" customFormat="false" ht="15" hidden="false" customHeight="false" outlineLevel="0" collapsed="false">
      <c r="A5636" s="36" t="n">
        <v>46181</v>
      </c>
      <c r="B5636" s="24" t="s">
        <v>65</v>
      </c>
      <c r="C5636" s="24" t="s">
        <v>181</v>
      </c>
      <c r="D5636" s="33" t="n">
        <v>88</v>
      </c>
      <c r="E5636" s="24" t="n">
        <v>0</v>
      </c>
      <c r="F5636" s="37" t="n">
        <f aca="false">DATE(YEAR(A5636),MONTH(A5636),1)</f>
        <v>46174</v>
      </c>
      <c r="G5636" s="24" t="str">
        <f aca="false">INDEX(Products!$C$2:$C$49,MATCH(C5636,Products!$A$2:$A$49,0))</f>
        <v>Personal Care</v>
      </c>
      <c r="H5636" s="33" t="n">
        <f aca="false">D5636*INDEX(Products!$E$2:$E$49,MATCH(C5636,Products!$A$2:$A$49,0))</f>
        <v>30800</v>
      </c>
      <c r="I5636" s="33" t="n">
        <f aca="false">D5636*INDEX(Products!$D$2:$D$49,MATCH(C5636,Products!$A$2:$A$49,0))*(1+INDEX(Assumptions!$B$16:$B$20,MATCH(B5636,Assumptions!$A$16:$A$20,0)))</f>
        <v>22170.72</v>
      </c>
      <c r="J5636" s="33" t="n">
        <f aca="false">H5636-I5636</f>
        <v>8629.28</v>
      </c>
      <c r="K5636" s="33" t="n">
        <f aca="false">IF(OR(E5636=0,E5636&gt;=7),0,D5636/(7-E5636)*E5636*INDEX(Products!$E$2:$E$49,MATCH(C5636,Products!$A$2:$A$49,0)))</f>
        <v>0</v>
      </c>
    </row>
    <row r="5637" customFormat="false" ht="15" hidden="false" customHeight="false" outlineLevel="0" collapsed="false">
      <c r="A5637" s="36" t="n">
        <v>46188</v>
      </c>
      <c r="B5637" s="24" t="s">
        <v>65</v>
      </c>
      <c r="C5637" s="24" t="s">
        <v>181</v>
      </c>
      <c r="D5637" s="33" t="n">
        <v>76</v>
      </c>
      <c r="E5637" s="24" t="n">
        <v>0</v>
      </c>
      <c r="F5637" s="37" t="n">
        <f aca="false">DATE(YEAR(A5637),MONTH(A5637),1)</f>
        <v>46174</v>
      </c>
      <c r="G5637" s="24" t="str">
        <f aca="false">INDEX(Products!$C$2:$C$49,MATCH(C5637,Products!$A$2:$A$49,0))</f>
        <v>Personal Care</v>
      </c>
      <c r="H5637" s="33" t="n">
        <f aca="false">D5637*INDEX(Products!$E$2:$E$49,MATCH(C5637,Products!$A$2:$A$49,0))</f>
        <v>26600</v>
      </c>
      <c r="I5637" s="33" t="n">
        <f aca="false">D5637*INDEX(Products!$D$2:$D$49,MATCH(C5637,Products!$A$2:$A$49,0))*(1+INDEX(Assumptions!$B$16:$B$20,MATCH(B5637,Assumptions!$A$16:$A$20,0)))</f>
        <v>19147.44</v>
      </c>
      <c r="J5637" s="33" t="n">
        <f aca="false">H5637-I5637</f>
        <v>7452.56</v>
      </c>
      <c r="K5637" s="33" t="n">
        <f aca="false">IF(OR(E5637=0,E5637&gt;=7),0,D5637/(7-E5637)*E5637*INDEX(Products!$E$2:$E$49,MATCH(C5637,Products!$A$2:$A$49,0)))</f>
        <v>0</v>
      </c>
    </row>
    <row r="5638" customFormat="false" ht="15" hidden="false" customHeight="false" outlineLevel="0" collapsed="false">
      <c r="A5638" s="36" t="n">
        <v>46195</v>
      </c>
      <c r="B5638" s="24" t="s">
        <v>65</v>
      </c>
      <c r="C5638" s="24" t="s">
        <v>181</v>
      </c>
      <c r="D5638" s="33" t="n">
        <v>106</v>
      </c>
      <c r="E5638" s="24" t="n">
        <v>0</v>
      </c>
      <c r="F5638" s="37" t="n">
        <f aca="false">DATE(YEAR(A5638),MONTH(A5638),1)</f>
        <v>46174</v>
      </c>
      <c r="G5638" s="24" t="str">
        <f aca="false">INDEX(Products!$C$2:$C$49,MATCH(C5638,Products!$A$2:$A$49,0))</f>
        <v>Personal Care</v>
      </c>
      <c r="H5638" s="33" t="n">
        <f aca="false">D5638*INDEX(Products!$E$2:$E$49,MATCH(C5638,Products!$A$2:$A$49,0))</f>
        <v>37100</v>
      </c>
      <c r="I5638" s="33" t="n">
        <f aca="false">D5638*INDEX(Products!$D$2:$D$49,MATCH(C5638,Products!$A$2:$A$49,0))*(1+INDEX(Assumptions!$B$16:$B$20,MATCH(B5638,Assumptions!$A$16:$A$20,0)))</f>
        <v>26705.64</v>
      </c>
      <c r="J5638" s="33" t="n">
        <f aca="false">H5638-I5638</f>
        <v>10394.36</v>
      </c>
      <c r="K5638" s="33" t="n">
        <f aca="false">IF(OR(E5638=0,E5638&gt;=7),0,D5638/(7-E5638)*E5638*INDEX(Products!$E$2:$E$49,MATCH(C5638,Products!$A$2:$A$49,0)))</f>
        <v>0</v>
      </c>
    </row>
    <row r="5639" customFormat="false" ht="15" hidden="false" customHeight="false" outlineLevel="0" collapsed="false">
      <c r="A5639" s="36" t="n">
        <v>46202</v>
      </c>
      <c r="B5639" s="24" t="s">
        <v>65</v>
      </c>
      <c r="C5639" s="24" t="s">
        <v>181</v>
      </c>
      <c r="D5639" s="33" t="n">
        <v>83</v>
      </c>
      <c r="E5639" s="24" t="n">
        <v>0</v>
      </c>
      <c r="F5639" s="37" t="n">
        <f aca="false">DATE(YEAR(A5639),MONTH(A5639),1)</f>
        <v>46174</v>
      </c>
      <c r="G5639" s="24" t="str">
        <f aca="false">INDEX(Products!$C$2:$C$49,MATCH(C5639,Products!$A$2:$A$49,0))</f>
        <v>Personal Care</v>
      </c>
      <c r="H5639" s="33" t="n">
        <f aca="false">D5639*INDEX(Products!$E$2:$E$49,MATCH(C5639,Products!$A$2:$A$49,0))</f>
        <v>29050</v>
      </c>
      <c r="I5639" s="33" t="n">
        <f aca="false">D5639*INDEX(Products!$D$2:$D$49,MATCH(C5639,Products!$A$2:$A$49,0))*(1+INDEX(Assumptions!$B$16:$B$20,MATCH(B5639,Assumptions!$A$16:$A$20,0)))</f>
        <v>20911.02</v>
      </c>
      <c r="J5639" s="33" t="n">
        <f aca="false">H5639-I5639</f>
        <v>8138.98</v>
      </c>
      <c r="K5639" s="33" t="n">
        <f aca="false">IF(OR(E5639=0,E5639&gt;=7),0,D5639/(7-E5639)*E5639*INDEX(Products!$E$2:$E$49,MATCH(C5639,Products!$A$2:$A$49,0)))</f>
        <v>0</v>
      </c>
    </row>
    <row r="5640" customFormat="false" ht="15" hidden="false" customHeight="false" outlineLevel="0" collapsed="false">
      <c r="A5640" s="36" t="n">
        <v>46209</v>
      </c>
      <c r="B5640" s="24" t="s">
        <v>65</v>
      </c>
      <c r="C5640" s="24" t="s">
        <v>181</v>
      </c>
      <c r="D5640" s="33" t="n">
        <v>70</v>
      </c>
      <c r="E5640" s="24" t="n">
        <v>0</v>
      </c>
      <c r="F5640" s="37" t="n">
        <f aca="false">DATE(YEAR(A5640),MONTH(A5640),1)</f>
        <v>46204</v>
      </c>
      <c r="G5640" s="24" t="str">
        <f aca="false">INDEX(Products!$C$2:$C$49,MATCH(C5640,Products!$A$2:$A$49,0))</f>
        <v>Personal Care</v>
      </c>
      <c r="H5640" s="33" t="n">
        <f aca="false">D5640*INDEX(Products!$E$2:$E$49,MATCH(C5640,Products!$A$2:$A$49,0))</f>
        <v>24500</v>
      </c>
      <c r="I5640" s="33" t="n">
        <f aca="false">D5640*INDEX(Products!$D$2:$D$49,MATCH(C5640,Products!$A$2:$A$49,0))*(1+INDEX(Assumptions!$B$16:$B$20,MATCH(B5640,Assumptions!$A$16:$A$20,0)))</f>
        <v>17635.8</v>
      </c>
      <c r="J5640" s="33" t="n">
        <f aca="false">H5640-I5640</f>
        <v>6864.2</v>
      </c>
      <c r="K5640" s="33" t="n">
        <f aca="false">IF(OR(E5640=0,E5640&gt;=7),0,D5640/(7-E5640)*E5640*INDEX(Products!$E$2:$E$49,MATCH(C5640,Products!$A$2:$A$49,0)))</f>
        <v>0</v>
      </c>
    </row>
    <row r="5641" customFormat="false" ht="15" hidden="false" customHeight="false" outlineLevel="0" collapsed="false">
      <c r="A5641" s="36" t="n">
        <v>46216</v>
      </c>
      <c r="B5641" s="24" t="s">
        <v>65</v>
      </c>
      <c r="C5641" s="24" t="s">
        <v>181</v>
      </c>
      <c r="D5641" s="33" t="n">
        <v>73</v>
      </c>
      <c r="E5641" s="24" t="n">
        <v>0</v>
      </c>
      <c r="F5641" s="37" t="n">
        <f aca="false">DATE(YEAR(A5641),MONTH(A5641),1)</f>
        <v>46204</v>
      </c>
      <c r="G5641" s="24" t="str">
        <f aca="false">INDEX(Products!$C$2:$C$49,MATCH(C5641,Products!$A$2:$A$49,0))</f>
        <v>Personal Care</v>
      </c>
      <c r="H5641" s="33" t="n">
        <f aca="false">D5641*INDEX(Products!$E$2:$E$49,MATCH(C5641,Products!$A$2:$A$49,0))</f>
        <v>25550</v>
      </c>
      <c r="I5641" s="33" t="n">
        <f aca="false">D5641*INDEX(Products!$D$2:$D$49,MATCH(C5641,Products!$A$2:$A$49,0))*(1+INDEX(Assumptions!$B$16:$B$20,MATCH(B5641,Assumptions!$A$16:$A$20,0)))</f>
        <v>18391.62</v>
      </c>
      <c r="J5641" s="33" t="n">
        <f aca="false">H5641-I5641</f>
        <v>7158.38</v>
      </c>
      <c r="K5641" s="33" t="n">
        <f aca="false">IF(OR(E5641=0,E5641&gt;=7),0,D5641/(7-E5641)*E5641*INDEX(Products!$E$2:$E$49,MATCH(C5641,Products!$A$2:$A$49,0)))</f>
        <v>0</v>
      </c>
    </row>
    <row r="5642" customFormat="false" ht="15" hidden="false" customHeight="false" outlineLevel="0" collapsed="false">
      <c r="A5642" s="36" t="n">
        <v>46223</v>
      </c>
      <c r="B5642" s="24" t="s">
        <v>65</v>
      </c>
      <c r="C5642" s="24" t="s">
        <v>181</v>
      </c>
      <c r="D5642" s="33" t="n">
        <v>82</v>
      </c>
      <c r="E5642" s="24" t="n">
        <v>0</v>
      </c>
      <c r="F5642" s="37" t="n">
        <f aca="false">DATE(YEAR(A5642),MONTH(A5642),1)</f>
        <v>46204</v>
      </c>
      <c r="G5642" s="24" t="str">
        <f aca="false">INDEX(Products!$C$2:$C$49,MATCH(C5642,Products!$A$2:$A$49,0))</f>
        <v>Personal Care</v>
      </c>
      <c r="H5642" s="33" t="n">
        <f aca="false">D5642*INDEX(Products!$E$2:$E$49,MATCH(C5642,Products!$A$2:$A$49,0))</f>
        <v>28700</v>
      </c>
      <c r="I5642" s="33" t="n">
        <f aca="false">D5642*INDEX(Products!$D$2:$D$49,MATCH(C5642,Products!$A$2:$A$49,0))*(1+INDEX(Assumptions!$B$16:$B$20,MATCH(B5642,Assumptions!$A$16:$A$20,0)))</f>
        <v>20659.08</v>
      </c>
      <c r="J5642" s="33" t="n">
        <f aca="false">H5642-I5642</f>
        <v>8040.92</v>
      </c>
      <c r="K5642" s="33" t="n">
        <f aca="false">IF(OR(E5642=0,E5642&gt;=7),0,D5642/(7-E5642)*E5642*INDEX(Products!$E$2:$E$49,MATCH(C5642,Products!$A$2:$A$49,0)))</f>
        <v>0</v>
      </c>
    </row>
    <row r="5643" customFormat="false" ht="15" hidden="false" customHeight="false" outlineLevel="0" collapsed="false">
      <c r="A5643" s="36" t="n">
        <v>46230</v>
      </c>
      <c r="B5643" s="24" t="s">
        <v>65</v>
      </c>
      <c r="C5643" s="24" t="s">
        <v>181</v>
      </c>
      <c r="D5643" s="33" t="n">
        <v>85</v>
      </c>
      <c r="E5643" s="24" t="n">
        <v>0</v>
      </c>
      <c r="F5643" s="37" t="n">
        <f aca="false">DATE(YEAR(A5643),MONTH(A5643),1)</f>
        <v>46204</v>
      </c>
      <c r="G5643" s="24" t="str">
        <f aca="false">INDEX(Products!$C$2:$C$49,MATCH(C5643,Products!$A$2:$A$49,0))</f>
        <v>Personal Care</v>
      </c>
      <c r="H5643" s="33" t="n">
        <f aca="false">D5643*INDEX(Products!$E$2:$E$49,MATCH(C5643,Products!$A$2:$A$49,0))</f>
        <v>29750</v>
      </c>
      <c r="I5643" s="33" t="n">
        <f aca="false">D5643*INDEX(Products!$D$2:$D$49,MATCH(C5643,Products!$A$2:$A$49,0))*(1+INDEX(Assumptions!$B$16:$B$20,MATCH(B5643,Assumptions!$A$16:$A$20,0)))</f>
        <v>21414.9</v>
      </c>
      <c r="J5643" s="33" t="n">
        <f aca="false">H5643-I5643</f>
        <v>8335.1</v>
      </c>
      <c r="K5643" s="33" t="n">
        <f aca="false">IF(OR(E5643=0,E5643&gt;=7),0,D5643/(7-E5643)*E5643*INDEX(Products!$E$2:$E$49,MATCH(C5643,Products!$A$2:$A$49,0)))</f>
        <v>0</v>
      </c>
    </row>
    <row r="5644" customFormat="false" ht="15" hidden="false" customHeight="false" outlineLevel="0" collapsed="false">
      <c r="A5644" s="36" t="n">
        <v>46237</v>
      </c>
      <c r="B5644" s="24" t="s">
        <v>65</v>
      </c>
      <c r="C5644" s="24" t="s">
        <v>181</v>
      </c>
      <c r="D5644" s="33" t="n">
        <v>83</v>
      </c>
      <c r="E5644" s="24" t="n">
        <v>0</v>
      </c>
      <c r="F5644" s="37" t="n">
        <f aca="false">DATE(YEAR(A5644),MONTH(A5644),1)</f>
        <v>46235</v>
      </c>
      <c r="G5644" s="24" t="str">
        <f aca="false">INDEX(Products!$C$2:$C$49,MATCH(C5644,Products!$A$2:$A$49,0))</f>
        <v>Personal Care</v>
      </c>
      <c r="H5644" s="33" t="n">
        <f aca="false">D5644*INDEX(Products!$E$2:$E$49,MATCH(C5644,Products!$A$2:$A$49,0))</f>
        <v>29050</v>
      </c>
      <c r="I5644" s="33" t="n">
        <f aca="false">D5644*INDEX(Products!$D$2:$D$49,MATCH(C5644,Products!$A$2:$A$49,0))*(1+INDEX(Assumptions!$B$16:$B$20,MATCH(B5644,Assumptions!$A$16:$A$20,0)))</f>
        <v>20911.02</v>
      </c>
      <c r="J5644" s="33" t="n">
        <f aca="false">H5644-I5644</f>
        <v>8138.98</v>
      </c>
      <c r="K5644" s="33" t="n">
        <f aca="false">IF(OR(E5644=0,E5644&gt;=7),0,D5644/(7-E5644)*E5644*INDEX(Products!$E$2:$E$49,MATCH(C5644,Products!$A$2:$A$49,0)))</f>
        <v>0</v>
      </c>
    </row>
    <row r="5645" customFormat="false" ht="15" hidden="false" customHeight="false" outlineLevel="0" collapsed="false">
      <c r="A5645" s="36" t="n">
        <v>46244</v>
      </c>
      <c r="B5645" s="24" t="s">
        <v>65</v>
      </c>
      <c r="C5645" s="24" t="s">
        <v>181</v>
      </c>
      <c r="D5645" s="33" t="n">
        <v>57</v>
      </c>
      <c r="E5645" s="24" t="n">
        <v>2</v>
      </c>
      <c r="F5645" s="37" t="n">
        <f aca="false">DATE(YEAR(A5645),MONTH(A5645),1)</f>
        <v>46235</v>
      </c>
      <c r="G5645" s="24" t="str">
        <f aca="false">INDEX(Products!$C$2:$C$49,MATCH(C5645,Products!$A$2:$A$49,0))</f>
        <v>Personal Care</v>
      </c>
      <c r="H5645" s="33" t="n">
        <f aca="false">D5645*INDEX(Products!$E$2:$E$49,MATCH(C5645,Products!$A$2:$A$49,0))</f>
        <v>19950</v>
      </c>
      <c r="I5645" s="33" t="n">
        <f aca="false">D5645*INDEX(Products!$D$2:$D$49,MATCH(C5645,Products!$A$2:$A$49,0))*(1+INDEX(Assumptions!$B$16:$B$20,MATCH(B5645,Assumptions!$A$16:$A$20,0)))</f>
        <v>14360.58</v>
      </c>
      <c r="J5645" s="33" t="n">
        <f aca="false">H5645-I5645</f>
        <v>5589.42</v>
      </c>
      <c r="K5645" s="33" t="n">
        <f aca="false">IF(OR(E5645=0,E5645&gt;=7),0,D5645/(7-E5645)*E5645*INDEX(Products!$E$2:$E$49,MATCH(C5645,Products!$A$2:$A$49,0)))</f>
        <v>7980</v>
      </c>
    </row>
    <row r="5646" customFormat="false" ht="15" hidden="false" customHeight="false" outlineLevel="0" collapsed="false">
      <c r="A5646" s="36" t="n">
        <v>46251</v>
      </c>
      <c r="B5646" s="24" t="s">
        <v>65</v>
      </c>
      <c r="C5646" s="24" t="s">
        <v>181</v>
      </c>
      <c r="D5646" s="33" t="n">
        <v>142</v>
      </c>
      <c r="E5646" s="24" t="n">
        <v>0</v>
      </c>
      <c r="F5646" s="37" t="n">
        <f aca="false">DATE(YEAR(A5646),MONTH(A5646),1)</f>
        <v>46235</v>
      </c>
      <c r="G5646" s="24" t="str">
        <f aca="false">INDEX(Products!$C$2:$C$49,MATCH(C5646,Products!$A$2:$A$49,0))</f>
        <v>Personal Care</v>
      </c>
      <c r="H5646" s="33" t="n">
        <f aca="false">D5646*INDEX(Products!$E$2:$E$49,MATCH(C5646,Products!$A$2:$A$49,0))</f>
        <v>49700</v>
      </c>
      <c r="I5646" s="33" t="n">
        <f aca="false">D5646*INDEX(Products!$D$2:$D$49,MATCH(C5646,Products!$A$2:$A$49,0))*(1+INDEX(Assumptions!$B$16:$B$20,MATCH(B5646,Assumptions!$A$16:$A$20,0)))</f>
        <v>35775.48</v>
      </c>
      <c r="J5646" s="33" t="n">
        <f aca="false">H5646-I5646</f>
        <v>13924.52</v>
      </c>
      <c r="K5646" s="33" t="n">
        <f aca="false">IF(OR(E5646=0,E5646&gt;=7),0,D5646/(7-E5646)*E5646*INDEX(Products!$E$2:$E$49,MATCH(C5646,Products!$A$2:$A$49,0)))</f>
        <v>0</v>
      </c>
    </row>
    <row r="5647" customFormat="false" ht="15" hidden="false" customHeight="false" outlineLevel="0" collapsed="false">
      <c r="A5647" s="36" t="n">
        <v>46258</v>
      </c>
      <c r="B5647" s="24" t="s">
        <v>65</v>
      </c>
      <c r="C5647" s="24" t="s">
        <v>181</v>
      </c>
      <c r="D5647" s="33" t="n">
        <v>79</v>
      </c>
      <c r="E5647" s="24" t="n">
        <v>0</v>
      </c>
      <c r="F5647" s="37" t="n">
        <f aca="false">DATE(YEAR(A5647),MONTH(A5647),1)</f>
        <v>46235</v>
      </c>
      <c r="G5647" s="24" t="str">
        <f aca="false">INDEX(Products!$C$2:$C$49,MATCH(C5647,Products!$A$2:$A$49,0))</f>
        <v>Personal Care</v>
      </c>
      <c r="H5647" s="33" t="n">
        <f aca="false">D5647*INDEX(Products!$E$2:$E$49,MATCH(C5647,Products!$A$2:$A$49,0))</f>
        <v>27650</v>
      </c>
      <c r="I5647" s="33" t="n">
        <f aca="false">D5647*INDEX(Products!$D$2:$D$49,MATCH(C5647,Products!$A$2:$A$49,0))*(1+INDEX(Assumptions!$B$16:$B$20,MATCH(B5647,Assumptions!$A$16:$A$20,0)))</f>
        <v>19903.26</v>
      </c>
      <c r="J5647" s="33" t="n">
        <f aca="false">H5647-I5647</f>
        <v>7746.74</v>
      </c>
      <c r="K5647" s="33" t="n">
        <f aca="false">IF(OR(E5647=0,E5647&gt;=7),0,D5647/(7-E5647)*E5647*INDEX(Products!$E$2:$E$49,MATCH(C5647,Products!$A$2:$A$49,0)))</f>
        <v>0</v>
      </c>
    </row>
    <row r="5648" customFormat="false" ht="15" hidden="false" customHeight="false" outlineLevel="0" collapsed="false">
      <c r="A5648" s="36" t="n">
        <v>46265</v>
      </c>
      <c r="B5648" s="24" t="s">
        <v>65</v>
      </c>
      <c r="C5648" s="24" t="s">
        <v>181</v>
      </c>
      <c r="D5648" s="33" t="n">
        <v>94</v>
      </c>
      <c r="E5648" s="24" t="n">
        <v>0</v>
      </c>
      <c r="F5648" s="37" t="n">
        <f aca="false">DATE(YEAR(A5648),MONTH(A5648),1)</f>
        <v>46235</v>
      </c>
      <c r="G5648" s="24" t="str">
        <f aca="false">INDEX(Products!$C$2:$C$49,MATCH(C5648,Products!$A$2:$A$49,0))</f>
        <v>Personal Care</v>
      </c>
      <c r="H5648" s="33" t="n">
        <f aca="false">D5648*INDEX(Products!$E$2:$E$49,MATCH(C5648,Products!$A$2:$A$49,0))</f>
        <v>32900</v>
      </c>
      <c r="I5648" s="33" t="n">
        <f aca="false">D5648*INDEX(Products!$D$2:$D$49,MATCH(C5648,Products!$A$2:$A$49,0))*(1+INDEX(Assumptions!$B$16:$B$20,MATCH(B5648,Assumptions!$A$16:$A$20,0)))</f>
        <v>23682.36</v>
      </c>
      <c r="J5648" s="33" t="n">
        <f aca="false">H5648-I5648</f>
        <v>9217.64</v>
      </c>
      <c r="K5648" s="33" t="n">
        <f aca="false">IF(OR(E5648=0,E5648&gt;=7),0,D5648/(7-E5648)*E5648*INDEX(Products!$E$2:$E$49,MATCH(C5648,Products!$A$2:$A$49,0)))</f>
        <v>0</v>
      </c>
    </row>
    <row r="5649" customFormat="false" ht="15" hidden="false" customHeight="false" outlineLevel="0" collapsed="false">
      <c r="A5649" s="36" t="n">
        <v>46272</v>
      </c>
      <c r="B5649" s="24" t="s">
        <v>65</v>
      </c>
      <c r="C5649" s="24" t="s">
        <v>181</v>
      </c>
      <c r="D5649" s="33" t="n">
        <v>90</v>
      </c>
      <c r="E5649" s="24" t="n">
        <v>0</v>
      </c>
      <c r="F5649" s="37" t="n">
        <f aca="false">DATE(YEAR(A5649),MONTH(A5649),1)</f>
        <v>46266</v>
      </c>
      <c r="G5649" s="24" t="str">
        <f aca="false">INDEX(Products!$C$2:$C$49,MATCH(C5649,Products!$A$2:$A$49,0))</f>
        <v>Personal Care</v>
      </c>
      <c r="H5649" s="33" t="n">
        <f aca="false">D5649*INDEX(Products!$E$2:$E$49,MATCH(C5649,Products!$A$2:$A$49,0))</f>
        <v>31500</v>
      </c>
      <c r="I5649" s="33" t="n">
        <f aca="false">D5649*INDEX(Products!$D$2:$D$49,MATCH(C5649,Products!$A$2:$A$49,0))*(1+INDEX(Assumptions!$B$16:$B$20,MATCH(B5649,Assumptions!$A$16:$A$20,0)))</f>
        <v>22674.6</v>
      </c>
      <c r="J5649" s="33" t="n">
        <f aca="false">H5649-I5649</f>
        <v>8825.4</v>
      </c>
      <c r="K5649" s="33" t="n">
        <f aca="false">IF(OR(E5649=0,E5649&gt;=7),0,D5649/(7-E5649)*E5649*INDEX(Products!$E$2:$E$49,MATCH(C5649,Products!$A$2:$A$49,0)))</f>
        <v>0</v>
      </c>
    </row>
    <row r="5650" customFormat="false" ht="15" hidden="false" customHeight="false" outlineLevel="0" collapsed="false">
      <c r="A5650" s="36" t="n">
        <v>46279</v>
      </c>
      <c r="B5650" s="24" t="s">
        <v>65</v>
      </c>
      <c r="C5650" s="24" t="s">
        <v>181</v>
      </c>
      <c r="D5650" s="33" t="n">
        <v>108</v>
      </c>
      <c r="E5650" s="24" t="n">
        <v>0</v>
      </c>
      <c r="F5650" s="37" t="n">
        <f aca="false">DATE(YEAR(A5650),MONTH(A5650),1)</f>
        <v>46266</v>
      </c>
      <c r="G5650" s="24" t="str">
        <f aca="false">INDEX(Products!$C$2:$C$49,MATCH(C5650,Products!$A$2:$A$49,0))</f>
        <v>Personal Care</v>
      </c>
      <c r="H5650" s="33" t="n">
        <f aca="false">D5650*INDEX(Products!$E$2:$E$49,MATCH(C5650,Products!$A$2:$A$49,0))</f>
        <v>37800</v>
      </c>
      <c r="I5650" s="33" t="n">
        <f aca="false">D5650*INDEX(Products!$D$2:$D$49,MATCH(C5650,Products!$A$2:$A$49,0))*(1+INDEX(Assumptions!$B$16:$B$20,MATCH(B5650,Assumptions!$A$16:$A$20,0)))</f>
        <v>27209.52</v>
      </c>
      <c r="J5650" s="33" t="n">
        <f aca="false">H5650-I5650</f>
        <v>10590.48</v>
      </c>
      <c r="K5650" s="33" t="n">
        <f aca="false">IF(OR(E5650=0,E5650&gt;=7),0,D5650/(7-E5650)*E5650*INDEX(Products!$E$2:$E$49,MATCH(C5650,Products!$A$2:$A$49,0)))</f>
        <v>0</v>
      </c>
    </row>
    <row r="5651" customFormat="false" ht="15" hidden="false" customHeight="false" outlineLevel="0" collapsed="false">
      <c r="A5651" s="36" t="n">
        <v>46286</v>
      </c>
      <c r="B5651" s="24" t="s">
        <v>65</v>
      </c>
      <c r="C5651" s="24" t="s">
        <v>181</v>
      </c>
      <c r="D5651" s="33" t="n">
        <v>101</v>
      </c>
      <c r="E5651" s="24" t="n">
        <v>0</v>
      </c>
      <c r="F5651" s="37" t="n">
        <f aca="false">DATE(YEAR(A5651),MONTH(A5651),1)</f>
        <v>46266</v>
      </c>
      <c r="G5651" s="24" t="str">
        <f aca="false">INDEX(Products!$C$2:$C$49,MATCH(C5651,Products!$A$2:$A$49,0))</f>
        <v>Personal Care</v>
      </c>
      <c r="H5651" s="33" t="n">
        <f aca="false">D5651*INDEX(Products!$E$2:$E$49,MATCH(C5651,Products!$A$2:$A$49,0))</f>
        <v>35350</v>
      </c>
      <c r="I5651" s="33" t="n">
        <f aca="false">D5651*INDEX(Products!$D$2:$D$49,MATCH(C5651,Products!$A$2:$A$49,0))*(1+INDEX(Assumptions!$B$16:$B$20,MATCH(B5651,Assumptions!$A$16:$A$20,0)))</f>
        <v>25445.94</v>
      </c>
      <c r="J5651" s="33" t="n">
        <f aca="false">H5651-I5651</f>
        <v>9904.06</v>
      </c>
      <c r="K5651" s="33" t="n">
        <f aca="false">IF(OR(E5651=0,E5651&gt;=7),0,D5651/(7-E5651)*E5651*INDEX(Products!$E$2:$E$49,MATCH(C5651,Products!$A$2:$A$49,0)))</f>
        <v>0</v>
      </c>
    </row>
    <row r="5652" customFormat="false" ht="15" hidden="false" customHeight="false" outlineLevel="0" collapsed="false">
      <c r="A5652" s="36" t="n">
        <v>46118</v>
      </c>
      <c r="B5652" s="24" t="s">
        <v>65</v>
      </c>
      <c r="C5652" s="24" t="s">
        <v>183</v>
      </c>
      <c r="D5652" s="33" t="n">
        <v>48</v>
      </c>
      <c r="E5652" s="24" t="n">
        <v>0</v>
      </c>
      <c r="F5652" s="37" t="n">
        <f aca="false">DATE(YEAR(A5652),MONTH(A5652),1)</f>
        <v>46113</v>
      </c>
      <c r="G5652" s="24" t="str">
        <f aca="false">INDEX(Products!$C$2:$C$49,MATCH(C5652,Products!$A$2:$A$49,0))</f>
        <v>Personal Care</v>
      </c>
      <c r="H5652" s="33" t="n">
        <f aca="false">D5652*INDEX(Products!$E$2:$E$49,MATCH(C5652,Products!$A$2:$A$49,0))</f>
        <v>15840</v>
      </c>
      <c r="I5652" s="33" t="n">
        <f aca="false">D5652*INDEX(Products!$D$2:$D$49,MATCH(C5652,Products!$A$2:$A$49,0))*(1+INDEX(Assumptions!$B$16:$B$20,MATCH(B5652,Assumptions!$A$16:$A$20,0)))</f>
        <v>10183.68</v>
      </c>
      <c r="J5652" s="33" t="n">
        <f aca="false">H5652-I5652</f>
        <v>5656.32</v>
      </c>
      <c r="K5652" s="33" t="n">
        <f aca="false">IF(OR(E5652=0,E5652&gt;=7),0,D5652/(7-E5652)*E5652*INDEX(Products!$E$2:$E$49,MATCH(C5652,Products!$A$2:$A$49,0)))</f>
        <v>0</v>
      </c>
    </row>
    <row r="5653" customFormat="false" ht="15" hidden="false" customHeight="false" outlineLevel="0" collapsed="false">
      <c r="A5653" s="36" t="n">
        <v>46125</v>
      </c>
      <c r="B5653" s="24" t="s">
        <v>65</v>
      </c>
      <c r="C5653" s="24" t="s">
        <v>183</v>
      </c>
      <c r="D5653" s="33" t="n">
        <v>67</v>
      </c>
      <c r="E5653" s="24" t="n">
        <v>0</v>
      </c>
      <c r="F5653" s="37" t="n">
        <f aca="false">DATE(YEAR(A5653),MONTH(A5653),1)</f>
        <v>46113</v>
      </c>
      <c r="G5653" s="24" t="str">
        <f aca="false">INDEX(Products!$C$2:$C$49,MATCH(C5653,Products!$A$2:$A$49,0))</f>
        <v>Personal Care</v>
      </c>
      <c r="H5653" s="33" t="n">
        <f aca="false">D5653*INDEX(Products!$E$2:$E$49,MATCH(C5653,Products!$A$2:$A$49,0))</f>
        <v>22110</v>
      </c>
      <c r="I5653" s="33" t="n">
        <f aca="false">D5653*INDEX(Products!$D$2:$D$49,MATCH(C5653,Products!$A$2:$A$49,0))*(1+INDEX(Assumptions!$B$16:$B$20,MATCH(B5653,Assumptions!$A$16:$A$20,0)))</f>
        <v>14214.72</v>
      </c>
      <c r="J5653" s="33" t="n">
        <f aca="false">H5653-I5653</f>
        <v>7895.28</v>
      </c>
      <c r="K5653" s="33" t="n">
        <f aca="false">IF(OR(E5653=0,E5653&gt;=7),0,D5653/(7-E5653)*E5653*INDEX(Products!$E$2:$E$49,MATCH(C5653,Products!$A$2:$A$49,0)))</f>
        <v>0</v>
      </c>
    </row>
    <row r="5654" customFormat="false" ht="15" hidden="false" customHeight="false" outlineLevel="0" collapsed="false">
      <c r="A5654" s="36" t="n">
        <v>46132</v>
      </c>
      <c r="B5654" s="24" t="s">
        <v>65</v>
      </c>
      <c r="C5654" s="24" t="s">
        <v>183</v>
      </c>
      <c r="D5654" s="33" t="n">
        <v>66</v>
      </c>
      <c r="E5654" s="24" t="n">
        <v>0</v>
      </c>
      <c r="F5654" s="37" t="n">
        <f aca="false">DATE(YEAR(A5654),MONTH(A5654),1)</f>
        <v>46113</v>
      </c>
      <c r="G5654" s="24" t="str">
        <f aca="false">INDEX(Products!$C$2:$C$49,MATCH(C5654,Products!$A$2:$A$49,0))</f>
        <v>Personal Care</v>
      </c>
      <c r="H5654" s="33" t="n">
        <f aca="false">D5654*INDEX(Products!$E$2:$E$49,MATCH(C5654,Products!$A$2:$A$49,0))</f>
        <v>21780</v>
      </c>
      <c r="I5654" s="33" t="n">
        <f aca="false">D5654*INDEX(Products!$D$2:$D$49,MATCH(C5654,Products!$A$2:$A$49,0))*(1+INDEX(Assumptions!$B$16:$B$20,MATCH(B5654,Assumptions!$A$16:$A$20,0)))</f>
        <v>14002.56</v>
      </c>
      <c r="J5654" s="33" t="n">
        <f aca="false">H5654-I5654</f>
        <v>7777.44</v>
      </c>
      <c r="K5654" s="33" t="n">
        <f aca="false">IF(OR(E5654=0,E5654&gt;=7),0,D5654/(7-E5654)*E5654*INDEX(Products!$E$2:$E$49,MATCH(C5654,Products!$A$2:$A$49,0)))</f>
        <v>0</v>
      </c>
    </row>
    <row r="5655" customFormat="false" ht="15" hidden="false" customHeight="false" outlineLevel="0" collapsed="false">
      <c r="A5655" s="36" t="n">
        <v>46139</v>
      </c>
      <c r="B5655" s="24" t="s">
        <v>65</v>
      </c>
      <c r="C5655" s="24" t="s">
        <v>183</v>
      </c>
      <c r="D5655" s="33" t="n">
        <v>57</v>
      </c>
      <c r="E5655" s="24" t="n">
        <v>0</v>
      </c>
      <c r="F5655" s="37" t="n">
        <f aca="false">DATE(YEAR(A5655),MONTH(A5655),1)</f>
        <v>46113</v>
      </c>
      <c r="G5655" s="24" t="str">
        <f aca="false">INDEX(Products!$C$2:$C$49,MATCH(C5655,Products!$A$2:$A$49,0))</f>
        <v>Personal Care</v>
      </c>
      <c r="H5655" s="33" t="n">
        <f aca="false">D5655*INDEX(Products!$E$2:$E$49,MATCH(C5655,Products!$A$2:$A$49,0))</f>
        <v>18810</v>
      </c>
      <c r="I5655" s="33" t="n">
        <f aca="false">D5655*INDEX(Products!$D$2:$D$49,MATCH(C5655,Products!$A$2:$A$49,0))*(1+INDEX(Assumptions!$B$16:$B$20,MATCH(B5655,Assumptions!$A$16:$A$20,0)))</f>
        <v>12093.12</v>
      </c>
      <c r="J5655" s="33" t="n">
        <f aca="false">H5655-I5655</f>
        <v>6716.88</v>
      </c>
      <c r="K5655" s="33" t="n">
        <f aca="false">IF(OR(E5655=0,E5655&gt;=7),0,D5655/(7-E5655)*E5655*INDEX(Products!$E$2:$E$49,MATCH(C5655,Products!$A$2:$A$49,0)))</f>
        <v>0</v>
      </c>
    </row>
    <row r="5656" customFormat="false" ht="15" hidden="false" customHeight="false" outlineLevel="0" collapsed="false">
      <c r="A5656" s="36" t="n">
        <v>46146</v>
      </c>
      <c r="B5656" s="24" t="s">
        <v>65</v>
      </c>
      <c r="C5656" s="24" t="s">
        <v>183</v>
      </c>
      <c r="D5656" s="33" t="n">
        <v>51</v>
      </c>
      <c r="E5656" s="24" t="n">
        <v>0</v>
      </c>
      <c r="F5656" s="37" t="n">
        <f aca="false">DATE(YEAR(A5656),MONTH(A5656),1)</f>
        <v>46143</v>
      </c>
      <c r="G5656" s="24" t="str">
        <f aca="false">INDEX(Products!$C$2:$C$49,MATCH(C5656,Products!$A$2:$A$49,0))</f>
        <v>Personal Care</v>
      </c>
      <c r="H5656" s="33" t="n">
        <f aca="false">D5656*INDEX(Products!$E$2:$E$49,MATCH(C5656,Products!$A$2:$A$49,0))</f>
        <v>16830</v>
      </c>
      <c r="I5656" s="33" t="n">
        <f aca="false">D5656*INDEX(Products!$D$2:$D$49,MATCH(C5656,Products!$A$2:$A$49,0))*(1+INDEX(Assumptions!$B$16:$B$20,MATCH(B5656,Assumptions!$A$16:$A$20,0)))</f>
        <v>10820.16</v>
      </c>
      <c r="J5656" s="33" t="n">
        <f aca="false">H5656-I5656</f>
        <v>6009.84</v>
      </c>
      <c r="K5656" s="33" t="n">
        <f aca="false">IF(OR(E5656=0,E5656&gt;=7),0,D5656/(7-E5656)*E5656*INDEX(Products!$E$2:$E$49,MATCH(C5656,Products!$A$2:$A$49,0)))</f>
        <v>0</v>
      </c>
    </row>
    <row r="5657" customFormat="false" ht="15" hidden="false" customHeight="false" outlineLevel="0" collapsed="false">
      <c r="A5657" s="36" t="n">
        <v>46153</v>
      </c>
      <c r="B5657" s="24" t="s">
        <v>65</v>
      </c>
      <c r="C5657" s="24" t="s">
        <v>183</v>
      </c>
      <c r="D5657" s="33" t="n">
        <v>64</v>
      </c>
      <c r="E5657" s="24" t="n">
        <v>0</v>
      </c>
      <c r="F5657" s="37" t="n">
        <f aca="false">DATE(YEAR(A5657),MONTH(A5657),1)</f>
        <v>46143</v>
      </c>
      <c r="G5657" s="24" t="str">
        <f aca="false">INDEX(Products!$C$2:$C$49,MATCH(C5657,Products!$A$2:$A$49,0))</f>
        <v>Personal Care</v>
      </c>
      <c r="H5657" s="33" t="n">
        <f aca="false">D5657*INDEX(Products!$E$2:$E$49,MATCH(C5657,Products!$A$2:$A$49,0))</f>
        <v>21120</v>
      </c>
      <c r="I5657" s="33" t="n">
        <f aca="false">D5657*INDEX(Products!$D$2:$D$49,MATCH(C5657,Products!$A$2:$A$49,0))*(1+INDEX(Assumptions!$B$16:$B$20,MATCH(B5657,Assumptions!$A$16:$A$20,0)))</f>
        <v>13578.24</v>
      </c>
      <c r="J5657" s="33" t="n">
        <f aca="false">H5657-I5657</f>
        <v>7541.76</v>
      </c>
      <c r="K5657" s="33" t="n">
        <f aca="false">IF(OR(E5657=0,E5657&gt;=7),0,D5657/(7-E5657)*E5657*INDEX(Products!$E$2:$E$49,MATCH(C5657,Products!$A$2:$A$49,0)))</f>
        <v>0</v>
      </c>
    </row>
    <row r="5658" customFormat="false" ht="15" hidden="false" customHeight="false" outlineLevel="0" collapsed="false">
      <c r="A5658" s="36" t="n">
        <v>46160</v>
      </c>
      <c r="B5658" s="24" t="s">
        <v>65</v>
      </c>
      <c r="C5658" s="24" t="s">
        <v>183</v>
      </c>
      <c r="D5658" s="33" t="n">
        <v>53</v>
      </c>
      <c r="E5658" s="24" t="n">
        <v>0</v>
      </c>
      <c r="F5658" s="37" t="n">
        <f aca="false">DATE(YEAR(A5658),MONTH(A5658),1)</f>
        <v>46143</v>
      </c>
      <c r="G5658" s="24" t="str">
        <f aca="false">INDEX(Products!$C$2:$C$49,MATCH(C5658,Products!$A$2:$A$49,0))</f>
        <v>Personal Care</v>
      </c>
      <c r="H5658" s="33" t="n">
        <f aca="false">D5658*INDEX(Products!$E$2:$E$49,MATCH(C5658,Products!$A$2:$A$49,0))</f>
        <v>17490</v>
      </c>
      <c r="I5658" s="33" t="n">
        <f aca="false">D5658*INDEX(Products!$D$2:$D$49,MATCH(C5658,Products!$A$2:$A$49,0))*(1+INDEX(Assumptions!$B$16:$B$20,MATCH(B5658,Assumptions!$A$16:$A$20,0)))</f>
        <v>11244.48</v>
      </c>
      <c r="J5658" s="33" t="n">
        <f aca="false">H5658-I5658</f>
        <v>6245.52</v>
      </c>
      <c r="K5658" s="33" t="n">
        <f aca="false">IF(OR(E5658=0,E5658&gt;=7),0,D5658/(7-E5658)*E5658*INDEX(Products!$E$2:$E$49,MATCH(C5658,Products!$A$2:$A$49,0)))</f>
        <v>0</v>
      </c>
    </row>
    <row r="5659" customFormat="false" ht="15" hidden="false" customHeight="false" outlineLevel="0" collapsed="false">
      <c r="A5659" s="36" t="n">
        <v>46167</v>
      </c>
      <c r="B5659" s="24" t="s">
        <v>65</v>
      </c>
      <c r="C5659" s="24" t="s">
        <v>183</v>
      </c>
      <c r="D5659" s="33" t="n">
        <v>69</v>
      </c>
      <c r="E5659" s="24" t="n">
        <v>0</v>
      </c>
      <c r="F5659" s="37" t="n">
        <f aca="false">DATE(YEAR(A5659),MONTH(A5659),1)</f>
        <v>46143</v>
      </c>
      <c r="G5659" s="24" t="str">
        <f aca="false">INDEX(Products!$C$2:$C$49,MATCH(C5659,Products!$A$2:$A$49,0))</f>
        <v>Personal Care</v>
      </c>
      <c r="H5659" s="33" t="n">
        <f aca="false">D5659*INDEX(Products!$E$2:$E$49,MATCH(C5659,Products!$A$2:$A$49,0))</f>
        <v>22770</v>
      </c>
      <c r="I5659" s="33" t="n">
        <f aca="false">D5659*INDEX(Products!$D$2:$D$49,MATCH(C5659,Products!$A$2:$A$49,0))*(1+INDEX(Assumptions!$B$16:$B$20,MATCH(B5659,Assumptions!$A$16:$A$20,0)))</f>
        <v>14639.04</v>
      </c>
      <c r="J5659" s="33" t="n">
        <f aca="false">H5659-I5659</f>
        <v>8130.96</v>
      </c>
      <c r="K5659" s="33" t="n">
        <f aca="false">IF(OR(E5659=0,E5659&gt;=7),0,D5659/(7-E5659)*E5659*INDEX(Products!$E$2:$E$49,MATCH(C5659,Products!$A$2:$A$49,0)))</f>
        <v>0</v>
      </c>
    </row>
    <row r="5660" customFormat="false" ht="15" hidden="false" customHeight="false" outlineLevel="0" collapsed="false">
      <c r="A5660" s="36" t="n">
        <v>46174</v>
      </c>
      <c r="B5660" s="24" t="s">
        <v>65</v>
      </c>
      <c r="C5660" s="24" t="s">
        <v>183</v>
      </c>
      <c r="D5660" s="33" t="n">
        <v>67</v>
      </c>
      <c r="E5660" s="24" t="n">
        <v>0</v>
      </c>
      <c r="F5660" s="37" t="n">
        <f aca="false">DATE(YEAR(A5660),MONTH(A5660),1)</f>
        <v>46174</v>
      </c>
      <c r="G5660" s="24" t="str">
        <f aca="false">INDEX(Products!$C$2:$C$49,MATCH(C5660,Products!$A$2:$A$49,0))</f>
        <v>Personal Care</v>
      </c>
      <c r="H5660" s="33" t="n">
        <f aca="false">D5660*INDEX(Products!$E$2:$E$49,MATCH(C5660,Products!$A$2:$A$49,0))</f>
        <v>22110</v>
      </c>
      <c r="I5660" s="33" t="n">
        <f aca="false">D5660*INDEX(Products!$D$2:$D$49,MATCH(C5660,Products!$A$2:$A$49,0))*(1+INDEX(Assumptions!$B$16:$B$20,MATCH(B5660,Assumptions!$A$16:$A$20,0)))</f>
        <v>14214.72</v>
      </c>
      <c r="J5660" s="33" t="n">
        <f aca="false">H5660-I5660</f>
        <v>7895.28</v>
      </c>
      <c r="K5660" s="33" t="n">
        <f aca="false">IF(OR(E5660=0,E5660&gt;=7),0,D5660/(7-E5660)*E5660*INDEX(Products!$E$2:$E$49,MATCH(C5660,Products!$A$2:$A$49,0)))</f>
        <v>0</v>
      </c>
    </row>
    <row r="5661" customFormat="false" ht="15" hidden="false" customHeight="false" outlineLevel="0" collapsed="false">
      <c r="A5661" s="36" t="n">
        <v>46181</v>
      </c>
      <c r="B5661" s="24" t="s">
        <v>65</v>
      </c>
      <c r="C5661" s="24" t="s">
        <v>183</v>
      </c>
      <c r="D5661" s="33" t="n">
        <v>40</v>
      </c>
      <c r="E5661" s="24" t="n">
        <v>0</v>
      </c>
      <c r="F5661" s="37" t="n">
        <f aca="false">DATE(YEAR(A5661),MONTH(A5661),1)</f>
        <v>46174</v>
      </c>
      <c r="G5661" s="24" t="str">
        <f aca="false">INDEX(Products!$C$2:$C$49,MATCH(C5661,Products!$A$2:$A$49,0))</f>
        <v>Personal Care</v>
      </c>
      <c r="H5661" s="33" t="n">
        <f aca="false">D5661*INDEX(Products!$E$2:$E$49,MATCH(C5661,Products!$A$2:$A$49,0))</f>
        <v>13200</v>
      </c>
      <c r="I5661" s="33" t="n">
        <f aca="false">D5661*INDEX(Products!$D$2:$D$49,MATCH(C5661,Products!$A$2:$A$49,0))*(1+INDEX(Assumptions!$B$16:$B$20,MATCH(B5661,Assumptions!$A$16:$A$20,0)))</f>
        <v>8486.4</v>
      </c>
      <c r="J5661" s="33" t="n">
        <f aca="false">H5661-I5661</f>
        <v>4713.6</v>
      </c>
      <c r="K5661" s="33" t="n">
        <f aca="false">IF(OR(E5661=0,E5661&gt;=7),0,D5661/(7-E5661)*E5661*INDEX(Products!$E$2:$E$49,MATCH(C5661,Products!$A$2:$A$49,0)))</f>
        <v>0</v>
      </c>
    </row>
    <row r="5662" customFormat="false" ht="15" hidden="false" customHeight="false" outlineLevel="0" collapsed="false">
      <c r="A5662" s="36" t="n">
        <v>46188</v>
      </c>
      <c r="B5662" s="24" t="s">
        <v>65</v>
      </c>
      <c r="C5662" s="24" t="s">
        <v>183</v>
      </c>
      <c r="D5662" s="33" t="n">
        <v>62</v>
      </c>
      <c r="E5662" s="24" t="n">
        <v>0</v>
      </c>
      <c r="F5662" s="37" t="n">
        <f aca="false">DATE(YEAR(A5662),MONTH(A5662),1)</f>
        <v>46174</v>
      </c>
      <c r="G5662" s="24" t="str">
        <f aca="false">INDEX(Products!$C$2:$C$49,MATCH(C5662,Products!$A$2:$A$49,0))</f>
        <v>Personal Care</v>
      </c>
      <c r="H5662" s="33" t="n">
        <f aca="false">D5662*INDEX(Products!$E$2:$E$49,MATCH(C5662,Products!$A$2:$A$49,0))</f>
        <v>20460</v>
      </c>
      <c r="I5662" s="33" t="n">
        <f aca="false">D5662*INDEX(Products!$D$2:$D$49,MATCH(C5662,Products!$A$2:$A$49,0))*(1+INDEX(Assumptions!$B$16:$B$20,MATCH(B5662,Assumptions!$A$16:$A$20,0)))</f>
        <v>13153.92</v>
      </c>
      <c r="J5662" s="33" t="n">
        <f aca="false">H5662-I5662</f>
        <v>7306.08</v>
      </c>
      <c r="K5662" s="33" t="n">
        <f aca="false">IF(OR(E5662=0,E5662&gt;=7),0,D5662/(7-E5662)*E5662*INDEX(Products!$E$2:$E$49,MATCH(C5662,Products!$A$2:$A$49,0)))</f>
        <v>0</v>
      </c>
    </row>
    <row r="5663" customFormat="false" ht="15" hidden="false" customHeight="false" outlineLevel="0" collapsed="false">
      <c r="A5663" s="36" t="n">
        <v>46195</v>
      </c>
      <c r="B5663" s="24" t="s">
        <v>65</v>
      </c>
      <c r="C5663" s="24" t="s">
        <v>183</v>
      </c>
      <c r="D5663" s="33" t="n">
        <v>56</v>
      </c>
      <c r="E5663" s="24" t="n">
        <v>0</v>
      </c>
      <c r="F5663" s="37" t="n">
        <f aca="false">DATE(YEAR(A5663),MONTH(A5663),1)</f>
        <v>46174</v>
      </c>
      <c r="G5663" s="24" t="str">
        <f aca="false">INDEX(Products!$C$2:$C$49,MATCH(C5663,Products!$A$2:$A$49,0))</f>
        <v>Personal Care</v>
      </c>
      <c r="H5663" s="33" t="n">
        <f aca="false">D5663*INDEX(Products!$E$2:$E$49,MATCH(C5663,Products!$A$2:$A$49,0))</f>
        <v>18480</v>
      </c>
      <c r="I5663" s="33" t="n">
        <f aca="false">D5663*INDEX(Products!$D$2:$D$49,MATCH(C5663,Products!$A$2:$A$49,0))*(1+INDEX(Assumptions!$B$16:$B$20,MATCH(B5663,Assumptions!$A$16:$A$20,0)))</f>
        <v>11880.96</v>
      </c>
      <c r="J5663" s="33" t="n">
        <f aca="false">H5663-I5663</f>
        <v>6599.04</v>
      </c>
      <c r="K5663" s="33" t="n">
        <f aca="false">IF(OR(E5663=0,E5663&gt;=7),0,D5663/(7-E5663)*E5663*INDEX(Products!$E$2:$E$49,MATCH(C5663,Products!$A$2:$A$49,0)))</f>
        <v>0</v>
      </c>
    </row>
    <row r="5664" customFormat="false" ht="15" hidden="false" customHeight="false" outlineLevel="0" collapsed="false">
      <c r="A5664" s="36" t="n">
        <v>46202</v>
      </c>
      <c r="B5664" s="24" t="s">
        <v>65</v>
      </c>
      <c r="C5664" s="24" t="s">
        <v>183</v>
      </c>
      <c r="D5664" s="33" t="n">
        <v>51</v>
      </c>
      <c r="E5664" s="24" t="n">
        <v>0</v>
      </c>
      <c r="F5664" s="37" t="n">
        <f aca="false">DATE(YEAR(A5664),MONTH(A5664),1)</f>
        <v>46174</v>
      </c>
      <c r="G5664" s="24" t="str">
        <f aca="false">INDEX(Products!$C$2:$C$49,MATCH(C5664,Products!$A$2:$A$49,0))</f>
        <v>Personal Care</v>
      </c>
      <c r="H5664" s="33" t="n">
        <f aca="false">D5664*INDEX(Products!$E$2:$E$49,MATCH(C5664,Products!$A$2:$A$49,0))</f>
        <v>16830</v>
      </c>
      <c r="I5664" s="33" t="n">
        <f aca="false">D5664*INDEX(Products!$D$2:$D$49,MATCH(C5664,Products!$A$2:$A$49,0))*(1+INDEX(Assumptions!$B$16:$B$20,MATCH(B5664,Assumptions!$A$16:$A$20,0)))</f>
        <v>10820.16</v>
      </c>
      <c r="J5664" s="33" t="n">
        <f aca="false">H5664-I5664</f>
        <v>6009.84</v>
      </c>
      <c r="K5664" s="33" t="n">
        <f aca="false">IF(OR(E5664=0,E5664&gt;=7),0,D5664/(7-E5664)*E5664*INDEX(Products!$E$2:$E$49,MATCH(C5664,Products!$A$2:$A$49,0)))</f>
        <v>0</v>
      </c>
    </row>
    <row r="5665" customFormat="false" ht="15" hidden="false" customHeight="false" outlineLevel="0" collapsed="false">
      <c r="A5665" s="36" t="n">
        <v>46209</v>
      </c>
      <c r="B5665" s="24" t="s">
        <v>65</v>
      </c>
      <c r="C5665" s="24" t="s">
        <v>183</v>
      </c>
      <c r="D5665" s="33" t="n">
        <v>55</v>
      </c>
      <c r="E5665" s="24" t="n">
        <v>0</v>
      </c>
      <c r="F5665" s="37" t="n">
        <f aca="false">DATE(YEAR(A5665),MONTH(A5665),1)</f>
        <v>46204</v>
      </c>
      <c r="G5665" s="24" t="str">
        <f aca="false">INDEX(Products!$C$2:$C$49,MATCH(C5665,Products!$A$2:$A$49,0))</f>
        <v>Personal Care</v>
      </c>
      <c r="H5665" s="33" t="n">
        <f aca="false">D5665*INDEX(Products!$E$2:$E$49,MATCH(C5665,Products!$A$2:$A$49,0))</f>
        <v>18150</v>
      </c>
      <c r="I5665" s="33" t="n">
        <f aca="false">D5665*INDEX(Products!$D$2:$D$49,MATCH(C5665,Products!$A$2:$A$49,0))*(1+INDEX(Assumptions!$B$16:$B$20,MATCH(B5665,Assumptions!$A$16:$A$20,0)))</f>
        <v>11668.8</v>
      </c>
      <c r="J5665" s="33" t="n">
        <f aca="false">H5665-I5665</f>
        <v>6481.2</v>
      </c>
      <c r="K5665" s="33" t="n">
        <f aca="false">IF(OR(E5665=0,E5665&gt;=7),0,D5665/(7-E5665)*E5665*INDEX(Products!$E$2:$E$49,MATCH(C5665,Products!$A$2:$A$49,0)))</f>
        <v>0</v>
      </c>
    </row>
    <row r="5666" customFormat="false" ht="15" hidden="false" customHeight="false" outlineLevel="0" collapsed="false">
      <c r="A5666" s="36" t="n">
        <v>46216</v>
      </c>
      <c r="B5666" s="24" t="s">
        <v>65</v>
      </c>
      <c r="C5666" s="24" t="s">
        <v>183</v>
      </c>
      <c r="D5666" s="33" t="n">
        <v>54</v>
      </c>
      <c r="E5666" s="24" t="n">
        <v>0</v>
      </c>
      <c r="F5666" s="37" t="n">
        <f aca="false">DATE(YEAR(A5666),MONTH(A5666),1)</f>
        <v>46204</v>
      </c>
      <c r="G5666" s="24" t="str">
        <f aca="false">INDEX(Products!$C$2:$C$49,MATCH(C5666,Products!$A$2:$A$49,0))</f>
        <v>Personal Care</v>
      </c>
      <c r="H5666" s="33" t="n">
        <f aca="false">D5666*INDEX(Products!$E$2:$E$49,MATCH(C5666,Products!$A$2:$A$49,0))</f>
        <v>17820</v>
      </c>
      <c r="I5666" s="33" t="n">
        <f aca="false">D5666*INDEX(Products!$D$2:$D$49,MATCH(C5666,Products!$A$2:$A$49,0))*(1+INDEX(Assumptions!$B$16:$B$20,MATCH(B5666,Assumptions!$A$16:$A$20,0)))</f>
        <v>11456.64</v>
      </c>
      <c r="J5666" s="33" t="n">
        <f aca="false">H5666-I5666</f>
        <v>6363.36</v>
      </c>
      <c r="K5666" s="33" t="n">
        <f aca="false">IF(OR(E5666=0,E5666&gt;=7),0,D5666/(7-E5666)*E5666*INDEX(Products!$E$2:$E$49,MATCH(C5666,Products!$A$2:$A$49,0)))</f>
        <v>0</v>
      </c>
    </row>
    <row r="5667" customFormat="false" ht="15" hidden="false" customHeight="false" outlineLevel="0" collapsed="false">
      <c r="A5667" s="36" t="n">
        <v>46223</v>
      </c>
      <c r="B5667" s="24" t="s">
        <v>65</v>
      </c>
      <c r="C5667" s="24" t="s">
        <v>183</v>
      </c>
      <c r="D5667" s="33" t="n">
        <v>55</v>
      </c>
      <c r="E5667" s="24" t="n">
        <v>0</v>
      </c>
      <c r="F5667" s="37" t="n">
        <f aca="false">DATE(YEAR(A5667),MONTH(A5667),1)</f>
        <v>46204</v>
      </c>
      <c r="G5667" s="24" t="str">
        <f aca="false">INDEX(Products!$C$2:$C$49,MATCH(C5667,Products!$A$2:$A$49,0))</f>
        <v>Personal Care</v>
      </c>
      <c r="H5667" s="33" t="n">
        <f aca="false">D5667*INDEX(Products!$E$2:$E$49,MATCH(C5667,Products!$A$2:$A$49,0))</f>
        <v>18150</v>
      </c>
      <c r="I5667" s="33" t="n">
        <f aca="false">D5667*INDEX(Products!$D$2:$D$49,MATCH(C5667,Products!$A$2:$A$49,0))*(1+INDEX(Assumptions!$B$16:$B$20,MATCH(B5667,Assumptions!$A$16:$A$20,0)))</f>
        <v>11668.8</v>
      </c>
      <c r="J5667" s="33" t="n">
        <f aca="false">H5667-I5667</f>
        <v>6481.2</v>
      </c>
      <c r="K5667" s="33" t="n">
        <f aca="false">IF(OR(E5667=0,E5667&gt;=7),0,D5667/(7-E5667)*E5667*INDEX(Products!$E$2:$E$49,MATCH(C5667,Products!$A$2:$A$49,0)))</f>
        <v>0</v>
      </c>
    </row>
    <row r="5668" customFormat="false" ht="15" hidden="false" customHeight="false" outlineLevel="0" collapsed="false">
      <c r="A5668" s="36" t="n">
        <v>46230</v>
      </c>
      <c r="B5668" s="24" t="s">
        <v>65</v>
      </c>
      <c r="C5668" s="24" t="s">
        <v>183</v>
      </c>
      <c r="D5668" s="33" t="n">
        <v>40</v>
      </c>
      <c r="E5668" s="24" t="n">
        <v>0</v>
      </c>
      <c r="F5668" s="37" t="n">
        <f aca="false">DATE(YEAR(A5668),MONTH(A5668),1)</f>
        <v>46204</v>
      </c>
      <c r="G5668" s="24" t="str">
        <f aca="false">INDEX(Products!$C$2:$C$49,MATCH(C5668,Products!$A$2:$A$49,0))</f>
        <v>Personal Care</v>
      </c>
      <c r="H5668" s="33" t="n">
        <f aca="false">D5668*INDEX(Products!$E$2:$E$49,MATCH(C5668,Products!$A$2:$A$49,0))</f>
        <v>13200</v>
      </c>
      <c r="I5668" s="33" t="n">
        <f aca="false">D5668*INDEX(Products!$D$2:$D$49,MATCH(C5668,Products!$A$2:$A$49,0))*(1+INDEX(Assumptions!$B$16:$B$20,MATCH(B5668,Assumptions!$A$16:$A$20,0)))</f>
        <v>8486.4</v>
      </c>
      <c r="J5668" s="33" t="n">
        <f aca="false">H5668-I5668</f>
        <v>4713.6</v>
      </c>
      <c r="K5668" s="33" t="n">
        <f aca="false">IF(OR(E5668=0,E5668&gt;=7),0,D5668/(7-E5668)*E5668*INDEX(Products!$E$2:$E$49,MATCH(C5668,Products!$A$2:$A$49,0)))</f>
        <v>0</v>
      </c>
    </row>
    <row r="5669" customFormat="false" ht="15" hidden="false" customHeight="false" outlineLevel="0" collapsed="false">
      <c r="A5669" s="36" t="n">
        <v>46237</v>
      </c>
      <c r="B5669" s="24" t="s">
        <v>65</v>
      </c>
      <c r="C5669" s="24" t="s">
        <v>183</v>
      </c>
      <c r="D5669" s="33" t="n">
        <v>39</v>
      </c>
      <c r="E5669" s="24" t="n">
        <v>0</v>
      </c>
      <c r="F5669" s="37" t="n">
        <f aca="false">DATE(YEAR(A5669),MONTH(A5669),1)</f>
        <v>46235</v>
      </c>
      <c r="G5669" s="24" t="str">
        <f aca="false">INDEX(Products!$C$2:$C$49,MATCH(C5669,Products!$A$2:$A$49,0))</f>
        <v>Personal Care</v>
      </c>
      <c r="H5669" s="33" t="n">
        <f aca="false">D5669*INDEX(Products!$E$2:$E$49,MATCH(C5669,Products!$A$2:$A$49,0))</f>
        <v>12870</v>
      </c>
      <c r="I5669" s="33" t="n">
        <f aca="false">D5669*INDEX(Products!$D$2:$D$49,MATCH(C5669,Products!$A$2:$A$49,0))*(1+INDEX(Assumptions!$B$16:$B$20,MATCH(B5669,Assumptions!$A$16:$A$20,0)))</f>
        <v>8274.24</v>
      </c>
      <c r="J5669" s="33" t="n">
        <f aca="false">H5669-I5669</f>
        <v>4595.76</v>
      </c>
      <c r="K5669" s="33" t="n">
        <f aca="false">IF(OR(E5669=0,E5669&gt;=7),0,D5669/(7-E5669)*E5669*INDEX(Products!$E$2:$E$49,MATCH(C5669,Products!$A$2:$A$49,0)))</f>
        <v>0</v>
      </c>
    </row>
    <row r="5670" customFormat="false" ht="15" hidden="false" customHeight="false" outlineLevel="0" collapsed="false">
      <c r="A5670" s="36" t="n">
        <v>46244</v>
      </c>
      <c r="B5670" s="24" t="s">
        <v>65</v>
      </c>
      <c r="C5670" s="24" t="s">
        <v>183</v>
      </c>
      <c r="D5670" s="33" t="n">
        <v>50</v>
      </c>
      <c r="E5670" s="24" t="n">
        <v>0</v>
      </c>
      <c r="F5670" s="37" t="n">
        <f aca="false">DATE(YEAR(A5670),MONTH(A5670),1)</f>
        <v>46235</v>
      </c>
      <c r="G5670" s="24" t="str">
        <f aca="false">INDEX(Products!$C$2:$C$49,MATCH(C5670,Products!$A$2:$A$49,0))</f>
        <v>Personal Care</v>
      </c>
      <c r="H5670" s="33" t="n">
        <f aca="false">D5670*INDEX(Products!$E$2:$E$49,MATCH(C5670,Products!$A$2:$A$49,0))</f>
        <v>16500</v>
      </c>
      <c r="I5670" s="33" t="n">
        <f aca="false">D5670*INDEX(Products!$D$2:$D$49,MATCH(C5670,Products!$A$2:$A$49,0))*(1+INDEX(Assumptions!$B$16:$B$20,MATCH(B5670,Assumptions!$A$16:$A$20,0)))</f>
        <v>10608</v>
      </c>
      <c r="J5670" s="33" t="n">
        <f aca="false">H5670-I5670</f>
        <v>5892</v>
      </c>
      <c r="K5670" s="33" t="n">
        <f aca="false">IF(OR(E5670=0,E5670&gt;=7),0,D5670/(7-E5670)*E5670*INDEX(Products!$E$2:$E$49,MATCH(C5670,Products!$A$2:$A$49,0)))</f>
        <v>0</v>
      </c>
    </row>
    <row r="5671" customFormat="false" ht="15" hidden="false" customHeight="false" outlineLevel="0" collapsed="false">
      <c r="A5671" s="36" t="n">
        <v>46251</v>
      </c>
      <c r="B5671" s="24" t="s">
        <v>65</v>
      </c>
      <c r="C5671" s="24" t="s">
        <v>183</v>
      </c>
      <c r="D5671" s="33" t="n">
        <v>39</v>
      </c>
      <c r="E5671" s="24" t="n">
        <v>1</v>
      </c>
      <c r="F5671" s="37" t="n">
        <f aca="false">DATE(YEAR(A5671),MONTH(A5671),1)</f>
        <v>46235</v>
      </c>
      <c r="G5671" s="24" t="str">
        <f aca="false">INDEX(Products!$C$2:$C$49,MATCH(C5671,Products!$A$2:$A$49,0))</f>
        <v>Personal Care</v>
      </c>
      <c r="H5671" s="33" t="n">
        <f aca="false">D5671*INDEX(Products!$E$2:$E$49,MATCH(C5671,Products!$A$2:$A$49,0))</f>
        <v>12870</v>
      </c>
      <c r="I5671" s="33" t="n">
        <f aca="false">D5671*INDEX(Products!$D$2:$D$49,MATCH(C5671,Products!$A$2:$A$49,0))*(1+INDEX(Assumptions!$B$16:$B$20,MATCH(B5671,Assumptions!$A$16:$A$20,0)))</f>
        <v>8274.24</v>
      </c>
      <c r="J5671" s="33" t="n">
        <f aca="false">H5671-I5671</f>
        <v>4595.76</v>
      </c>
      <c r="K5671" s="33" t="n">
        <f aca="false">IF(OR(E5671=0,E5671&gt;=7),0,D5671/(7-E5671)*E5671*INDEX(Products!$E$2:$E$49,MATCH(C5671,Products!$A$2:$A$49,0)))</f>
        <v>2145</v>
      </c>
    </row>
    <row r="5672" customFormat="false" ht="15" hidden="false" customHeight="false" outlineLevel="0" collapsed="false">
      <c r="A5672" s="36" t="n">
        <v>46258</v>
      </c>
      <c r="B5672" s="24" t="s">
        <v>65</v>
      </c>
      <c r="C5672" s="24" t="s">
        <v>183</v>
      </c>
      <c r="D5672" s="33" t="n">
        <v>52</v>
      </c>
      <c r="E5672" s="24" t="n">
        <v>0</v>
      </c>
      <c r="F5672" s="37" t="n">
        <f aca="false">DATE(YEAR(A5672),MONTH(A5672),1)</f>
        <v>46235</v>
      </c>
      <c r="G5672" s="24" t="str">
        <f aca="false">INDEX(Products!$C$2:$C$49,MATCH(C5672,Products!$A$2:$A$49,0))</f>
        <v>Personal Care</v>
      </c>
      <c r="H5672" s="33" t="n">
        <f aca="false">D5672*INDEX(Products!$E$2:$E$49,MATCH(C5672,Products!$A$2:$A$49,0))</f>
        <v>17160</v>
      </c>
      <c r="I5672" s="33" t="n">
        <f aca="false">D5672*INDEX(Products!$D$2:$D$49,MATCH(C5672,Products!$A$2:$A$49,0))*(1+INDEX(Assumptions!$B$16:$B$20,MATCH(B5672,Assumptions!$A$16:$A$20,0)))</f>
        <v>11032.32</v>
      </c>
      <c r="J5672" s="33" t="n">
        <f aca="false">H5672-I5672</f>
        <v>6127.68</v>
      </c>
      <c r="K5672" s="33" t="n">
        <f aca="false">IF(OR(E5672=0,E5672&gt;=7),0,D5672/(7-E5672)*E5672*INDEX(Products!$E$2:$E$49,MATCH(C5672,Products!$A$2:$A$49,0)))</f>
        <v>0</v>
      </c>
    </row>
    <row r="5673" customFormat="false" ht="15" hidden="false" customHeight="false" outlineLevel="0" collapsed="false">
      <c r="A5673" s="36" t="n">
        <v>46265</v>
      </c>
      <c r="B5673" s="24" t="s">
        <v>65</v>
      </c>
      <c r="C5673" s="24" t="s">
        <v>183</v>
      </c>
      <c r="D5673" s="33" t="n">
        <v>66</v>
      </c>
      <c r="E5673" s="24" t="n">
        <v>0</v>
      </c>
      <c r="F5673" s="37" t="n">
        <f aca="false">DATE(YEAR(A5673),MONTH(A5673),1)</f>
        <v>46235</v>
      </c>
      <c r="G5673" s="24" t="str">
        <f aca="false">INDEX(Products!$C$2:$C$49,MATCH(C5673,Products!$A$2:$A$49,0))</f>
        <v>Personal Care</v>
      </c>
      <c r="H5673" s="33" t="n">
        <f aca="false">D5673*INDEX(Products!$E$2:$E$49,MATCH(C5673,Products!$A$2:$A$49,0))</f>
        <v>21780</v>
      </c>
      <c r="I5673" s="33" t="n">
        <f aca="false">D5673*INDEX(Products!$D$2:$D$49,MATCH(C5673,Products!$A$2:$A$49,0))*(1+INDEX(Assumptions!$B$16:$B$20,MATCH(B5673,Assumptions!$A$16:$A$20,0)))</f>
        <v>14002.56</v>
      </c>
      <c r="J5673" s="33" t="n">
        <f aca="false">H5673-I5673</f>
        <v>7777.44</v>
      </c>
      <c r="K5673" s="33" t="n">
        <f aca="false">IF(OR(E5673=0,E5673&gt;=7),0,D5673/(7-E5673)*E5673*INDEX(Products!$E$2:$E$49,MATCH(C5673,Products!$A$2:$A$49,0)))</f>
        <v>0</v>
      </c>
    </row>
    <row r="5674" customFormat="false" ht="15" hidden="false" customHeight="false" outlineLevel="0" collapsed="false">
      <c r="A5674" s="36" t="n">
        <v>46272</v>
      </c>
      <c r="B5674" s="24" t="s">
        <v>65</v>
      </c>
      <c r="C5674" s="24" t="s">
        <v>183</v>
      </c>
      <c r="D5674" s="33" t="n">
        <v>47</v>
      </c>
      <c r="E5674" s="24" t="n">
        <v>0</v>
      </c>
      <c r="F5674" s="37" t="n">
        <f aca="false">DATE(YEAR(A5674),MONTH(A5674),1)</f>
        <v>46266</v>
      </c>
      <c r="G5674" s="24" t="str">
        <f aca="false">INDEX(Products!$C$2:$C$49,MATCH(C5674,Products!$A$2:$A$49,0))</f>
        <v>Personal Care</v>
      </c>
      <c r="H5674" s="33" t="n">
        <f aca="false">D5674*INDEX(Products!$E$2:$E$49,MATCH(C5674,Products!$A$2:$A$49,0))</f>
        <v>15510</v>
      </c>
      <c r="I5674" s="33" t="n">
        <f aca="false">D5674*INDEX(Products!$D$2:$D$49,MATCH(C5674,Products!$A$2:$A$49,0))*(1+INDEX(Assumptions!$B$16:$B$20,MATCH(B5674,Assumptions!$A$16:$A$20,0)))</f>
        <v>9971.52</v>
      </c>
      <c r="J5674" s="33" t="n">
        <f aca="false">H5674-I5674</f>
        <v>5538.48</v>
      </c>
      <c r="K5674" s="33" t="n">
        <f aca="false">IF(OR(E5674=0,E5674&gt;=7),0,D5674/(7-E5674)*E5674*INDEX(Products!$E$2:$E$49,MATCH(C5674,Products!$A$2:$A$49,0)))</f>
        <v>0</v>
      </c>
    </row>
    <row r="5675" customFormat="false" ht="15" hidden="false" customHeight="false" outlineLevel="0" collapsed="false">
      <c r="A5675" s="36" t="n">
        <v>46279</v>
      </c>
      <c r="B5675" s="24" t="s">
        <v>65</v>
      </c>
      <c r="C5675" s="24" t="s">
        <v>183</v>
      </c>
      <c r="D5675" s="33" t="n">
        <v>60</v>
      </c>
      <c r="E5675" s="24" t="n">
        <v>0</v>
      </c>
      <c r="F5675" s="37" t="n">
        <f aca="false">DATE(YEAR(A5675),MONTH(A5675),1)</f>
        <v>46266</v>
      </c>
      <c r="G5675" s="24" t="str">
        <f aca="false">INDEX(Products!$C$2:$C$49,MATCH(C5675,Products!$A$2:$A$49,0))</f>
        <v>Personal Care</v>
      </c>
      <c r="H5675" s="33" t="n">
        <f aca="false">D5675*INDEX(Products!$E$2:$E$49,MATCH(C5675,Products!$A$2:$A$49,0))</f>
        <v>19800</v>
      </c>
      <c r="I5675" s="33" t="n">
        <f aca="false">D5675*INDEX(Products!$D$2:$D$49,MATCH(C5675,Products!$A$2:$A$49,0))*(1+INDEX(Assumptions!$B$16:$B$20,MATCH(B5675,Assumptions!$A$16:$A$20,0)))</f>
        <v>12729.6</v>
      </c>
      <c r="J5675" s="33" t="n">
        <f aca="false">H5675-I5675</f>
        <v>7070.4</v>
      </c>
      <c r="K5675" s="33" t="n">
        <f aca="false">IF(OR(E5675=0,E5675&gt;=7),0,D5675/(7-E5675)*E5675*INDEX(Products!$E$2:$E$49,MATCH(C5675,Products!$A$2:$A$49,0)))</f>
        <v>0</v>
      </c>
    </row>
    <row r="5676" customFormat="false" ht="15" hidden="false" customHeight="false" outlineLevel="0" collapsed="false">
      <c r="A5676" s="36" t="n">
        <v>46286</v>
      </c>
      <c r="B5676" s="24" t="s">
        <v>65</v>
      </c>
      <c r="C5676" s="24" t="s">
        <v>183</v>
      </c>
      <c r="D5676" s="33" t="n">
        <v>70</v>
      </c>
      <c r="E5676" s="24" t="n">
        <v>0</v>
      </c>
      <c r="F5676" s="37" t="n">
        <f aca="false">DATE(YEAR(A5676),MONTH(A5676),1)</f>
        <v>46266</v>
      </c>
      <c r="G5676" s="24" t="str">
        <f aca="false">INDEX(Products!$C$2:$C$49,MATCH(C5676,Products!$A$2:$A$49,0))</f>
        <v>Personal Care</v>
      </c>
      <c r="H5676" s="33" t="n">
        <f aca="false">D5676*INDEX(Products!$E$2:$E$49,MATCH(C5676,Products!$A$2:$A$49,0))</f>
        <v>23100</v>
      </c>
      <c r="I5676" s="33" t="n">
        <f aca="false">D5676*INDEX(Products!$D$2:$D$49,MATCH(C5676,Products!$A$2:$A$49,0))*(1+INDEX(Assumptions!$B$16:$B$20,MATCH(B5676,Assumptions!$A$16:$A$20,0)))</f>
        <v>14851.2</v>
      </c>
      <c r="J5676" s="33" t="n">
        <f aca="false">H5676-I5676</f>
        <v>8248.8</v>
      </c>
      <c r="K5676" s="33" t="n">
        <f aca="false">IF(OR(E5676=0,E5676&gt;=7),0,D5676/(7-E5676)*E5676*INDEX(Products!$E$2:$E$49,MATCH(C5676,Products!$A$2:$A$49,0)))</f>
        <v>0</v>
      </c>
    </row>
    <row r="5677" customFormat="false" ht="15" hidden="false" customHeight="false" outlineLevel="0" collapsed="false">
      <c r="A5677" s="36" t="n">
        <v>46118</v>
      </c>
      <c r="B5677" s="24" t="s">
        <v>65</v>
      </c>
      <c r="C5677" s="24" t="s">
        <v>185</v>
      </c>
      <c r="D5677" s="33" t="n">
        <v>143</v>
      </c>
      <c r="E5677" s="24" t="n">
        <v>0</v>
      </c>
      <c r="F5677" s="37" t="n">
        <f aca="false">DATE(YEAR(A5677),MONTH(A5677),1)</f>
        <v>46113</v>
      </c>
      <c r="G5677" s="24" t="str">
        <f aca="false">INDEX(Products!$C$2:$C$49,MATCH(C5677,Products!$A$2:$A$49,0))</f>
        <v>Personal Care</v>
      </c>
      <c r="H5677" s="33" t="n">
        <f aca="false">D5677*INDEX(Products!$E$2:$E$49,MATCH(C5677,Products!$A$2:$A$49,0))</f>
        <v>40040</v>
      </c>
      <c r="I5677" s="33" t="n">
        <f aca="false">D5677*INDEX(Products!$D$2:$D$49,MATCH(C5677,Products!$A$2:$A$49,0))*(1+INDEX(Assumptions!$B$16:$B$20,MATCH(B5677,Assumptions!$A$16:$A$20,0)))</f>
        <v>28442.7</v>
      </c>
      <c r="J5677" s="33" t="n">
        <f aca="false">H5677-I5677</f>
        <v>11597.3</v>
      </c>
      <c r="K5677" s="33" t="n">
        <f aca="false">IF(OR(E5677=0,E5677&gt;=7),0,D5677/(7-E5677)*E5677*INDEX(Products!$E$2:$E$49,MATCH(C5677,Products!$A$2:$A$49,0)))</f>
        <v>0</v>
      </c>
    </row>
    <row r="5678" customFormat="false" ht="15" hidden="false" customHeight="false" outlineLevel="0" collapsed="false">
      <c r="A5678" s="36" t="n">
        <v>46125</v>
      </c>
      <c r="B5678" s="24" t="s">
        <v>65</v>
      </c>
      <c r="C5678" s="24" t="s">
        <v>185</v>
      </c>
      <c r="D5678" s="33" t="n">
        <v>240</v>
      </c>
      <c r="E5678" s="24" t="n">
        <v>0</v>
      </c>
      <c r="F5678" s="37" t="n">
        <f aca="false">DATE(YEAR(A5678),MONTH(A5678),1)</f>
        <v>46113</v>
      </c>
      <c r="G5678" s="24" t="str">
        <f aca="false">INDEX(Products!$C$2:$C$49,MATCH(C5678,Products!$A$2:$A$49,0))</f>
        <v>Personal Care</v>
      </c>
      <c r="H5678" s="33" t="n">
        <f aca="false">D5678*INDEX(Products!$E$2:$E$49,MATCH(C5678,Products!$A$2:$A$49,0))</f>
        <v>67200</v>
      </c>
      <c r="I5678" s="33" t="n">
        <f aca="false">D5678*INDEX(Products!$D$2:$D$49,MATCH(C5678,Products!$A$2:$A$49,0))*(1+INDEX(Assumptions!$B$16:$B$20,MATCH(B5678,Assumptions!$A$16:$A$20,0)))</f>
        <v>47736</v>
      </c>
      <c r="J5678" s="33" t="n">
        <f aca="false">H5678-I5678</f>
        <v>19464</v>
      </c>
      <c r="K5678" s="33" t="n">
        <f aca="false">IF(OR(E5678=0,E5678&gt;=7),0,D5678/(7-E5678)*E5678*INDEX(Products!$E$2:$E$49,MATCH(C5678,Products!$A$2:$A$49,0)))</f>
        <v>0</v>
      </c>
    </row>
    <row r="5679" customFormat="false" ht="15" hidden="false" customHeight="false" outlineLevel="0" collapsed="false">
      <c r="A5679" s="36" t="n">
        <v>46132</v>
      </c>
      <c r="B5679" s="24" t="s">
        <v>65</v>
      </c>
      <c r="C5679" s="24" t="s">
        <v>185</v>
      </c>
      <c r="D5679" s="33" t="n">
        <v>154</v>
      </c>
      <c r="E5679" s="24" t="n">
        <v>0</v>
      </c>
      <c r="F5679" s="37" t="n">
        <f aca="false">DATE(YEAR(A5679),MONTH(A5679),1)</f>
        <v>46113</v>
      </c>
      <c r="G5679" s="24" t="str">
        <f aca="false">INDEX(Products!$C$2:$C$49,MATCH(C5679,Products!$A$2:$A$49,0))</f>
        <v>Personal Care</v>
      </c>
      <c r="H5679" s="33" t="n">
        <f aca="false">D5679*INDEX(Products!$E$2:$E$49,MATCH(C5679,Products!$A$2:$A$49,0))</f>
        <v>43120</v>
      </c>
      <c r="I5679" s="33" t="n">
        <f aca="false">D5679*INDEX(Products!$D$2:$D$49,MATCH(C5679,Products!$A$2:$A$49,0))*(1+INDEX(Assumptions!$B$16:$B$20,MATCH(B5679,Assumptions!$A$16:$A$20,0)))</f>
        <v>30630.6</v>
      </c>
      <c r="J5679" s="33" t="n">
        <f aca="false">H5679-I5679</f>
        <v>12489.4</v>
      </c>
      <c r="K5679" s="33" t="n">
        <f aca="false">IF(OR(E5679=0,E5679&gt;=7),0,D5679/(7-E5679)*E5679*INDEX(Products!$E$2:$E$49,MATCH(C5679,Products!$A$2:$A$49,0)))</f>
        <v>0</v>
      </c>
    </row>
    <row r="5680" customFormat="false" ht="15" hidden="false" customHeight="false" outlineLevel="0" collapsed="false">
      <c r="A5680" s="36" t="n">
        <v>46139</v>
      </c>
      <c r="B5680" s="24" t="s">
        <v>65</v>
      </c>
      <c r="C5680" s="24" t="s">
        <v>185</v>
      </c>
      <c r="D5680" s="33" t="n">
        <v>157</v>
      </c>
      <c r="E5680" s="24" t="n">
        <v>0</v>
      </c>
      <c r="F5680" s="37" t="n">
        <f aca="false">DATE(YEAR(A5680),MONTH(A5680),1)</f>
        <v>46113</v>
      </c>
      <c r="G5680" s="24" t="str">
        <f aca="false">INDEX(Products!$C$2:$C$49,MATCH(C5680,Products!$A$2:$A$49,0))</f>
        <v>Personal Care</v>
      </c>
      <c r="H5680" s="33" t="n">
        <f aca="false">D5680*INDEX(Products!$E$2:$E$49,MATCH(C5680,Products!$A$2:$A$49,0))</f>
        <v>43960</v>
      </c>
      <c r="I5680" s="33" t="n">
        <f aca="false">D5680*INDEX(Products!$D$2:$D$49,MATCH(C5680,Products!$A$2:$A$49,0))*(1+INDEX(Assumptions!$B$16:$B$20,MATCH(B5680,Assumptions!$A$16:$A$20,0)))</f>
        <v>31227.3</v>
      </c>
      <c r="J5680" s="33" t="n">
        <f aca="false">H5680-I5680</f>
        <v>12732.7</v>
      </c>
      <c r="K5680" s="33" t="n">
        <f aca="false">IF(OR(E5680=0,E5680&gt;=7),0,D5680/(7-E5680)*E5680*INDEX(Products!$E$2:$E$49,MATCH(C5680,Products!$A$2:$A$49,0)))</f>
        <v>0</v>
      </c>
    </row>
    <row r="5681" customFormat="false" ht="15" hidden="false" customHeight="false" outlineLevel="0" collapsed="false">
      <c r="A5681" s="36" t="n">
        <v>46146</v>
      </c>
      <c r="B5681" s="24" t="s">
        <v>65</v>
      </c>
      <c r="C5681" s="24" t="s">
        <v>185</v>
      </c>
      <c r="D5681" s="33" t="n">
        <v>138</v>
      </c>
      <c r="E5681" s="24" t="n">
        <v>0</v>
      </c>
      <c r="F5681" s="37" t="n">
        <f aca="false">DATE(YEAR(A5681),MONTH(A5681),1)</f>
        <v>46143</v>
      </c>
      <c r="G5681" s="24" t="str">
        <f aca="false">INDEX(Products!$C$2:$C$49,MATCH(C5681,Products!$A$2:$A$49,0))</f>
        <v>Personal Care</v>
      </c>
      <c r="H5681" s="33" t="n">
        <f aca="false">D5681*INDEX(Products!$E$2:$E$49,MATCH(C5681,Products!$A$2:$A$49,0))</f>
        <v>38640</v>
      </c>
      <c r="I5681" s="33" t="n">
        <f aca="false">D5681*INDEX(Products!$D$2:$D$49,MATCH(C5681,Products!$A$2:$A$49,0))*(1+INDEX(Assumptions!$B$16:$B$20,MATCH(B5681,Assumptions!$A$16:$A$20,0)))</f>
        <v>27448.2</v>
      </c>
      <c r="J5681" s="33" t="n">
        <f aca="false">H5681-I5681</f>
        <v>11191.8</v>
      </c>
      <c r="K5681" s="33" t="n">
        <f aca="false">IF(OR(E5681=0,E5681&gt;=7),0,D5681/(7-E5681)*E5681*INDEX(Products!$E$2:$E$49,MATCH(C5681,Products!$A$2:$A$49,0)))</f>
        <v>0</v>
      </c>
    </row>
    <row r="5682" customFormat="false" ht="15" hidden="false" customHeight="false" outlineLevel="0" collapsed="false">
      <c r="A5682" s="36" t="n">
        <v>46153</v>
      </c>
      <c r="B5682" s="24" t="s">
        <v>65</v>
      </c>
      <c r="C5682" s="24" t="s">
        <v>185</v>
      </c>
      <c r="D5682" s="33" t="n">
        <v>121</v>
      </c>
      <c r="E5682" s="24" t="n">
        <v>0</v>
      </c>
      <c r="F5682" s="37" t="n">
        <f aca="false">DATE(YEAR(A5682),MONTH(A5682),1)</f>
        <v>46143</v>
      </c>
      <c r="G5682" s="24" t="str">
        <f aca="false">INDEX(Products!$C$2:$C$49,MATCH(C5682,Products!$A$2:$A$49,0))</f>
        <v>Personal Care</v>
      </c>
      <c r="H5682" s="33" t="n">
        <f aca="false">D5682*INDEX(Products!$E$2:$E$49,MATCH(C5682,Products!$A$2:$A$49,0))</f>
        <v>33880</v>
      </c>
      <c r="I5682" s="33" t="n">
        <f aca="false">D5682*INDEX(Products!$D$2:$D$49,MATCH(C5682,Products!$A$2:$A$49,0))*(1+INDEX(Assumptions!$B$16:$B$20,MATCH(B5682,Assumptions!$A$16:$A$20,0)))</f>
        <v>24066.9</v>
      </c>
      <c r="J5682" s="33" t="n">
        <f aca="false">H5682-I5682</f>
        <v>9813.1</v>
      </c>
      <c r="K5682" s="33" t="n">
        <f aca="false">IF(OR(E5682=0,E5682&gt;=7),0,D5682/(7-E5682)*E5682*INDEX(Products!$E$2:$E$49,MATCH(C5682,Products!$A$2:$A$49,0)))</f>
        <v>0</v>
      </c>
    </row>
    <row r="5683" customFormat="false" ht="15" hidden="false" customHeight="false" outlineLevel="0" collapsed="false">
      <c r="A5683" s="36" t="n">
        <v>46160</v>
      </c>
      <c r="B5683" s="24" t="s">
        <v>65</v>
      </c>
      <c r="C5683" s="24" t="s">
        <v>185</v>
      </c>
      <c r="D5683" s="33" t="n">
        <v>158</v>
      </c>
      <c r="E5683" s="24" t="n">
        <v>0</v>
      </c>
      <c r="F5683" s="37" t="n">
        <f aca="false">DATE(YEAR(A5683),MONTH(A5683),1)</f>
        <v>46143</v>
      </c>
      <c r="G5683" s="24" t="str">
        <f aca="false">INDEX(Products!$C$2:$C$49,MATCH(C5683,Products!$A$2:$A$49,0))</f>
        <v>Personal Care</v>
      </c>
      <c r="H5683" s="33" t="n">
        <f aca="false">D5683*INDEX(Products!$E$2:$E$49,MATCH(C5683,Products!$A$2:$A$49,0))</f>
        <v>44240</v>
      </c>
      <c r="I5683" s="33" t="n">
        <f aca="false">D5683*INDEX(Products!$D$2:$D$49,MATCH(C5683,Products!$A$2:$A$49,0))*(1+INDEX(Assumptions!$B$16:$B$20,MATCH(B5683,Assumptions!$A$16:$A$20,0)))</f>
        <v>31426.2</v>
      </c>
      <c r="J5683" s="33" t="n">
        <f aca="false">H5683-I5683</f>
        <v>12813.8</v>
      </c>
      <c r="K5683" s="33" t="n">
        <f aca="false">IF(OR(E5683=0,E5683&gt;=7),0,D5683/(7-E5683)*E5683*INDEX(Products!$E$2:$E$49,MATCH(C5683,Products!$A$2:$A$49,0)))</f>
        <v>0</v>
      </c>
    </row>
    <row r="5684" customFormat="false" ht="15" hidden="false" customHeight="false" outlineLevel="0" collapsed="false">
      <c r="A5684" s="36" t="n">
        <v>46167</v>
      </c>
      <c r="B5684" s="24" t="s">
        <v>65</v>
      </c>
      <c r="C5684" s="24" t="s">
        <v>185</v>
      </c>
      <c r="D5684" s="33" t="n">
        <v>139</v>
      </c>
      <c r="E5684" s="24" t="n">
        <v>0</v>
      </c>
      <c r="F5684" s="37" t="n">
        <f aca="false">DATE(YEAR(A5684),MONTH(A5684),1)</f>
        <v>46143</v>
      </c>
      <c r="G5684" s="24" t="str">
        <f aca="false">INDEX(Products!$C$2:$C$49,MATCH(C5684,Products!$A$2:$A$49,0))</f>
        <v>Personal Care</v>
      </c>
      <c r="H5684" s="33" t="n">
        <f aca="false">D5684*INDEX(Products!$E$2:$E$49,MATCH(C5684,Products!$A$2:$A$49,0))</f>
        <v>38920</v>
      </c>
      <c r="I5684" s="33" t="n">
        <f aca="false">D5684*INDEX(Products!$D$2:$D$49,MATCH(C5684,Products!$A$2:$A$49,0))*(1+INDEX(Assumptions!$B$16:$B$20,MATCH(B5684,Assumptions!$A$16:$A$20,0)))</f>
        <v>27647.1</v>
      </c>
      <c r="J5684" s="33" t="n">
        <f aca="false">H5684-I5684</f>
        <v>11272.9</v>
      </c>
      <c r="K5684" s="33" t="n">
        <f aca="false">IF(OR(E5684=0,E5684&gt;=7),0,D5684/(7-E5684)*E5684*INDEX(Products!$E$2:$E$49,MATCH(C5684,Products!$A$2:$A$49,0)))</f>
        <v>0</v>
      </c>
    </row>
    <row r="5685" customFormat="false" ht="15" hidden="false" customHeight="false" outlineLevel="0" collapsed="false">
      <c r="A5685" s="36" t="n">
        <v>46174</v>
      </c>
      <c r="B5685" s="24" t="s">
        <v>65</v>
      </c>
      <c r="C5685" s="24" t="s">
        <v>185</v>
      </c>
      <c r="D5685" s="33" t="n">
        <v>133</v>
      </c>
      <c r="E5685" s="24" t="n">
        <v>0</v>
      </c>
      <c r="F5685" s="37" t="n">
        <f aca="false">DATE(YEAR(A5685),MONTH(A5685),1)</f>
        <v>46174</v>
      </c>
      <c r="G5685" s="24" t="str">
        <f aca="false">INDEX(Products!$C$2:$C$49,MATCH(C5685,Products!$A$2:$A$49,0))</f>
        <v>Personal Care</v>
      </c>
      <c r="H5685" s="33" t="n">
        <f aca="false">D5685*INDEX(Products!$E$2:$E$49,MATCH(C5685,Products!$A$2:$A$49,0))</f>
        <v>37240</v>
      </c>
      <c r="I5685" s="33" t="n">
        <f aca="false">D5685*INDEX(Products!$D$2:$D$49,MATCH(C5685,Products!$A$2:$A$49,0))*(1+INDEX(Assumptions!$B$16:$B$20,MATCH(B5685,Assumptions!$A$16:$A$20,0)))</f>
        <v>26453.7</v>
      </c>
      <c r="J5685" s="33" t="n">
        <f aca="false">H5685-I5685</f>
        <v>10786.3</v>
      </c>
      <c r="K5685" s="33" t="n">
        <f aca="false">IF(OR(E5685=0,E5685&gt;=7),0,D5685/(7-E5685)*E5685*INDEX(Products!$E$2:$E$49,MATCH(C5685,Products!$A$2:$A$49,0)))</f>
        <v>0</v>
      </c>
    </row>
    <row r="5686" customFormat="false" ht="15" hidden="false" customHeight="false" outlineLevel="0" collapsed="false">
      <c r="A5686" s="36" t="n">
        <v>46181</v>
      </c>
      <c r="B5686" s="24" t="s">
        <v>65</v>
      </c>
      <c r="C5686" s="24" t="s">
        <v>185</v>
      </c>
      <c r="D5686" s="33" t="n">
        <v>131</v>
      </c>
      <c r="E5686" s="24" t="n">
        <v>0</v>
      </c>
      <c r="F5686" s="37" t="n">
        <f aca="false">DATE(YEAR(A5686),MONTH(A5686),1)</f>
        <v>46174</v>
      </c>
      <c r="G5686" s="24" t="str">
        <f aca="false">INDEX(Products!$C$2:$C$49,MATCH(C5686,Products!$A$2:$A$49,0))</f>
        <v>Personal Care</v>
      </c>
      <c r="H5686" s="33" t="n">
        <f aca="false">D5686*INDEX(Products!$E$2:$E$49,MATCH(C5686,Products!$A$2:$A$49,0))</f>
        <v>36680</v>
      </c>
      <c r="I5686" s="33" t="n">
        <f aca="false">D5686*INDEX(Products!$D$2:$D$49,MATCH(C5686,Products!$A$2:$A$49,0))*(1+INDEX(Assumptions!$B$16:$B$20,MATCH(B5686,Assumptions!$A$16:$A$20,0)))</f>
        <v>26055.9</v>
      </c>
      <c r="J5686" s="33" t="n">
        <f aca="false">H5686-I5686</f>
        <v>10624.1</v>
      </c>
      <c r="K5686" s="33" t="n">
        <f aca="false">IF(OR(E5686=0,E5686&gt;=7),0,D5686/(7-E5686)*E5686*INDEX(Products!$E$2:$E$49,MATCH(C5686,Products!$A$2:$A$49,0)))</f>
        <v>0</v>
      </c>
    </row>
    <row r="5687" customFormat="false" ht="15" hidden="false" customHeight="false" outlineLevel="0" collapsed="false">
      <c r="A5687" s="36" t="n">
        <v>46188</v>
      </c>
      <c r="B5687" s="24" t="s">
        <v>65</v>
      </c>
      <c r="C5687" s="24" t="s">
        <v>185</v>
      </c>
      <c r="D5687" s="33" t="n">
        <v>126</v>
      </c>
      <c r="E5687" s="24" t="n">
        <v>0</v>
      </c>
      <c r="F5687" s="37" t="n">
        <f aca="false">DATE(YEAR(A5687),MONTH(A5687),1)</f>
        <v>46174</v>
      </c>
      <c r="G5687" s="24" t="str">
        <f aca="false">INDEX(Products!$C$2:$C$49,MATCH(C5687,Products!$A$2:$A$49,0))</f>
        <v>Personal Care</v>
      </c>
      <c r="H5687" s="33" t="n">
        <f aca="false">D5687*INDEX(Products!$E$2:$E$49,MATCH(C5687,Products!$A$2:$A$49,0))</f>
        <v>35280</v>
      </c>
      <c r="I5687" s="33" t="n">
        <f aca="false">D5687*INDEX(Products!$D$2:$D$49,MATCH(C5687,Products!$A$2:$A$49,0))*(1+INDEX(Assumptions!$B$16:$B$20,MATCH(B5687,Assumptions!$A$16:$A$20,0)))</f>
        <v>25061.4</v>
      </c>
      <c r="J5687" s="33" t="n">
        <f aca="false">H5687-I5687</f>
        <v>10218.6</v>
      </c>
      <c r="K5687" s="33" t="n">
        <f aca="false">IF(OR(E5687=0,E5687&gt;=7),0,D5687/(7-E5687)*E5687*INDEX(Products!$E$2:$E$49,MATCH(C5687,Products!$A$2:$A$49,0)))</f>
        <v>0</v>
      </c>
    </row>
    <row r="5688" customFormat="false" ht="15" hidden="false" customHeight="false" outlineLevel="0" collapsed="false">
      <c r="A5688" s="36" t="n">
        <v>46195</v>
      </c>
      <c r="B5688" s="24" t="s">
        <v>65</v>
      </c>
      <c r="C5688" s="24" t="s">
        <v>185</v>
      </c>
      <c r="D5688" s="33" t="n">
        <v>159</v>
      </c>
      <c r="E5688" s="24" t="n">
        <v>0</v>
      </c>
      <c r="F5688" s="37" t="n">
        <f aca="false">DATE(YEAR(A5688),MONTH(A5688),1)</f>
        <v>46174</v>
      </c>
      <c r="G5688" s="24" t="str">
        <f aca="false">INDEX(Products!$C$2:$C$49,MATCH(C5688,Products!$A$2:$A$49,0))</f>
        <v>Personal Care</v>
      </c>
      <c r="H5688" s="33" t="n">
        <f aca="false">D5688*INDEX(Products!$E$2:$E$49,MATCH(C5688,Products!$A$2:$A$49,0))</f>
        <v>44520</v>
      </c>
      <c r="I5688" s="33" t="n">
        <f aca="false">D5688*INDEX(Products!$D$2:$D$49,MATCH(C5688,Products!$A$2:$A$49,0))*(1+INDEX(Assumptions!$B$16:$B$20,MATCH(B5688,Assumptions!$A$16:$A$20,0)))</f>
        <v>31625.1</v>
      </c>
      <c r="J5688" s="33" t="n">
        <f aca="false">H5688-I5688</f>
        <v>12894.9</v>
      </c>
      <c r="K5688" s="33" t="n">
        <f aca="false">IF(OR(E5688=0,E5688&gt;=7),0,D5688/(7-E5688)*E5688*INDEX(Products!$E$2:$E$49,MATCH(C5688,Products!$A$2:$A$49,0)))</f>
        <v>0</v>
      </c>
    </row>
    <row r="5689" customFormat="false" ht="15" hidden="false" customHeight="false" outlineLevel="0" collapsed="false">
      <c r="A5689" s="36" t="n">
        <v>46202</v>
      </c>
      <c r="B5689" s="24" t="s">
        <v>65</v>
      </c>
      <c r="C5689" s="24" t="s">
        <v>185</v>
      </c>
      <c r="D5689" s="33" t="n">
        <v>145</v>
      </c>
      <c r="E5689" s="24" t="n">
        <v>0</v>
      </c>
      <c r="F5689" s="37" t="n">
        <f aca="false">DATE(YEAR(A5689),MONTH(A5689),1)</f>
        <v>46174</v>
      </c>
      <c r="G5689" s="24" t="str">
        <f aca="false">INDEX(Products!$C$2:$C$49,MATCH(C5689,Products!$A$2:$A$49,0))</f>
        <v>Personal Care</v>
      </c>
      <c r="H5689" s="33" t="n">
        <f aca="false">D5689*INDEX(Products!$E$2:$E$49,MATCH(C5689,Products!$A$2:$A$49,0))</f>
        <v>40600</v>
      </c>
      <c r="I5689" s="33" t="n">
        <f aca="false">D5689*INDEX(Products!$D$2:$D$49,MATCH(C5689,Products!$A$2:$A$49,0))*(1+INDEX(Assumptions!$B$16:$B$20,MATCH(B5689,Assumptions!$A$16:$A$20,0)))</f>
        <v>28840.5</v>
      </c>
      <c r="J5689" s="33" t="n">
        <f aca="false">H5689-I5689</f>
        <v>11759.5</v>
      </c>
      <c r="K5689" s="33" t="n">
        <f aca="false">IF(OR(E5689=0,E5689&gt;=7),0,D5689/(7-E5689)*E5689*INDEX(Products!$E$2:$E$49,MATCH(C5689,Products!$A$2:$A$49,0)))</f>
        <v>0</v>
      </c>
    </row>
    <row r="5690" customFormat="false" ht="15" hidden="false" customHeight="false" outlineLevel="0" collapsed="false">
      <c r="A5690" s="36" t="n">
        <v>46209</v>
      </c>
      <c r="B5690" s="24" t="s">
        <v>65</v>
      </c>
      <c r="C5690" s="24" t="s">
        <v>185</v>
      </c>
      <c r="D5690" s="33" t="n">
        <v>139</v>
      </c>
      <c r="E5690" s="24" t="n">
        <v>0</v>
      </c>
      <c r="F5690" s="37" t="n">
        <f aca="false">DATE(YEAR(A5690),MONTH(A5690),1)</f>
        <v>46204</v>
      </c>
      <c r="G5690" s="24" t="str">
        <f aca="false">INDEX(Products!$C$2:$C$49,MATCH(C5690,Products!$A$2:$A$49,0))</f>
        <v>Personal Care</v>
      </c>
      <c r="H5690" s="33" t="n">
        <f aca="false">D5690*INDEX(Products!$E$2:$E$49,MATCH(C5690,Products!$A$2:$A$49,0))</f>
        <v>38920</v>
      </c>
      <c r="I5690" s="33" t="n">
        <f aca="false">D5690*INDEX(Products!$D$2:$D$49,MATCH(C5690,Products!$A$2:$A$49,0))*(1+INDEX(Assumptions!$B$16:$B$20,MATCH(B5690,Assumptions!$A$16:$A$20,0)))</f>
        <v>27647.1</v>
      </c>
      <c r="J5690" s="33" t="n">
        <f aca="false">H5690-I5690</f>
        <v>11272.9</v>
      </c>
      <c r="K5690" s="33" t="n">
        <f aca="false">IF(OR(E5690=0,E5690&gt;=7),0,D5690/(7-E5690)*E5690*INDEX(Products!$E$2:$E$49,MATCH(C5690,Products!$A$2:$A$49,0)))</f>
        <v>0</v>
      </c>
    </row>
    <row r="5691" customFormat="false" ht="15" hidden="false" customHeight="false" outlineLevel="0" collapsed="false">
      <c r="A5691" s="36" t="n">
        <v>46216</v>
      </c>
      <c r="B5691" s="24" t="s">
        <v>65</v>
      </c>
      <c r="C5691" s="24" t="s">
        <v>185</v>
      </c>
      <c r="D5691" s="33" t="n">
        <v>136</v>
      </c>
      <c r="E5691" s="24" t="n">
        <v>0</v>
      </c>
      <c r="F5691" s="37" t="n">
        <f aca="false">DATE(YEAR(A5691),MONTH(A5691),1)</f>
        <v>46204</v>
      </c>
      <c r="G5691" s="24" t="str">
        <f aca="false">INDEX(Products!$C$2:$C$49,MATCH(C5691,Products!$A$2:$A$49,0))</f>
        <v>Personal Care</v>
      </c>
      <c r="H5691" s="33" t="n">
        <f aca="false">D5691*INDEX(Products!$E$2:$E$49,MATCH(C5691,Products!$A$2:$A$49,0))</f>
        <v>38080</v>
      </c>
      <c r="I5691" s="33" t="n">
        <f aca="false">D5691*INDEX(Products!$D$2:$D$49,MATCH(C5691,Products!$A$2:$A$49,0))*(1+INDEX(Assumptions!$B$16:$B$20,MATCH(B5691,Assumptions!$A$16:$A$20,0)))</f>
        <v>27050.4</v>
      </c>
      <c r="J5691" s="33" t="n">
        <f aca="false">H5691-I5691</f>
        <v>11029.6</v>
      </c>
      <c r="K5691" s="33" t="n">
        <f aca="false">IF(OR(E5691=0,E5691&gt;=7),0,D5691/(7-E5691)*E5691*INDEX(Products!$E$2:$E$49,MATCH(C5691,Products!$A$2:$A$49,0)))</f>
        <v>0</v>
      </c>
    </row>
    <row r="5692" customFormat="false" ht="15" hidden="false" customHeight="false" outlineLevel="0" collapsed="false">
      <c r="A5692" s="36" t="n">
        <v>46223</v>
      </c>
      <c r="B5692" s="24" t="s">
        <v>65</v>
      </c>
      <c r="C5692" s="24" t="s">
        <v>185</v>
      </c>
      <c r="D5692" s="33" t="n">
        <v>137</v>
      </c>
      <c r="E5692" s="24" t="n">
        <v>0</v>
      </c>
      <c r="F5692" s="37" t="n">
        <f aca="false">DATE(YEAR(A5692),MONTH(A5692),1)</f>
        <v>46204</v>
      </c>
      <c r="G5692" s="24" t="str">
        <f aca="false">INDEX(Products!$C$2:$C$49,MATCH(C5692,Products!$A$2:$A$49,0))</f>
        <v>Personal Care</v>
      </c>
      <c r="H5692" s="33" t="n">
        <f aca="false">D5692*INDEX(Products!$E$2:$E$49,MATCH(C5692,Products!$A$2:$A$49,0))</f>
        <v>38360</v>
      </c>
      <c r="I5692" s="33" t="n">
        <f aca="false">D5692*INDEX(Products!$D$2:$D$49,MATCH(C5692,Products!$A$2:$A$49,0))*(1+INDEX(Assumptions!$B$16:$B$20,MATCH(B5692,Assumptions!$A$16:$A$20,0)))</f>
        <v>27249.3</v>
      </c>
      <c r="J5692" s="33" t="n">
        <f aca="false">H5692-I5692</f>
        <v>11110.7</v>
      </c>
      <c r="K5692" s="33" t="n">
        <f aca="false">IF(OR(E5692=0,E5692&gt;=7),0,D5692/(7-E5692)*E5692*INDEX(Products!$E$2:$E$49,MATCH(C5692,Products!$A$2:$A$49,0)))</f>
        <v>0</v>
      </c>
    </row>
    <row r="5693" customFormat="false" ht="15" hidden="false" customHeight="false" outlineLevel="0" collapsed="false">
      <c r="A5693" s="36" t="n">
        <v>46230</v>
      </c>
      <c r="B5693" s="24" t="s">
        <v>65</v>
      </c>
      <c r="C5693" s="24" t="s">
        <v>185</v>
      </c>
      <c r="D5693" s="33" t="n">
        <v>148</v>
      </c>
      <c r="E5693" s="24" t="n">
        <v>0</v>
      </c>
      <c r="F5693" s="37" t="n">
        <f aca="false">DATE(YEAR(A5693),MONTH(A5693),1)</f>
        <v>46204</v>
      </c>
      <c r="G5693" s="24" t="str">
        <f aca="false">INDEX(Products!$C$2:$C$49,MATCH(C5693,Products!$A$2:$A$49,0))</f>
        <v>Personal Care</v>
      </c>
      <c r="H5693" s="33" t="n">
        <f aca="false">D5693*INDEX(Products!$E$2:$E$49,MATCH(C5693,Products!$A$2:$A$49,0))</f>
        <v>41440</v>
      </c>
      <c r="I5693" s="33" t="n">
        <f aca="false">D5693*INDEX(Products!$D$2:$D$49,MATCH(C5693,Products!$A$2:$A$49,0))*(1+INDEX(Assumptions!$B$16:$B$20,MATCH(B5693,Assumptions!$A$16:$A$20,0)))</f>
        <v>29437.2</v>
      </c>
      <c r="J5693" s="33" t="n">
        <f aca="false">H5693-I5693</f>
        <v>12002.8</v>
      </c>
      <c r="K5693" s="33" t="n">
        <f aca="false">IF(OR(E5693=0,E5693&gt;=7),0,D5693/(7-E5693)*E5693*INDEX(Products!$E$2:$E$49,MATCH(C5693,Products!$A$2:$A$49,0)))</f>
        <v>0</v>
      </c>
    </row>
    <row r="5694" customFormat="false" ht="15" hidden="false" customHeight="false" outlineLevel="0" collapsed="false">
      <c r="A5694" s="36" t="n">
        <v>46237</v>
      </c>
      <c r="B5694" s="24" t="s">
        <v>65</v>
      </c>
      <c r="C5694" s="24" t="s">
        <v>185</v>
      </c>
      <c r="D5694" s="33" t="n">
        <v>131</v>
      </c>
      <c r="E5694" s="24" t="n">
        <v>0</v>
      </c>
      <c r="F5694" s="37" t="n">
        <f aca="false">DATE(YEAR(A5694),MONTH(A5694),1)</f>
        <v>46235</v>
      </c>
      <c r="G5694" s="24" t="str">
        <f aca="false">INDEX(Products!$C$2:$C$49,MATCH(C5694,Products!$A$2:$A$49,0))</f>
        <v>Personal Care</v>
      </c>
      <c r="H5694" s="33" t="n">
        <f aca="false">D5694*INDEX(Products!$E$2:$E$49,MATCH(C5694,Products!$A$2:$A$49,0))</f>
        <v>36680</v>
      </c>
      <c r="I5694" s="33" t="n">
        <f aca="false">D5694*INDEX(Products!$D$2:$D$49,MATCH(C5694,Products!$A$2:$A$49,0))*(1+INDEX(Assumptions!$B$16:$B$20,MATCH(B5694,Assumptions!$A$16:$A$20,0)))</f>
        <v>26055.9</v>
      </c>
      <c r="J5694" s="33" t="n">
        <f aca="false">H5694-I5694</f>
        <v>10624.1</v>
      </c>
      <c r="K5694" s="33" t="n">
        <f aca="false">IF(OR(E5694=0,E5694&gt;=7),0,D5694/(7-E5694)*E5694*INDEX(Products!$E$2:$E$49,MATCH(C5694,Products!$A$2:$A$49,0)))</f>
        <v>0</v>
      </c>
    </row>
    <row r="5695" customFormat="false" ht="15" hidden="false" customHeight="false" outlineLevel="0" collapsed="false">
      <c r="A5695" s="36" t="n">
        <v>46244</v>
      </c>
      <c r="B5695" s="24" t="s">
        <v>65</v>
      </c>
      <c r="C5695" s="24" t="s">
        <v>185</v>
      </c>
      <c r="D5695" s="33" t="n">
        <v>212</v>
      </c>
      <c r="E5695" s="24" t="n">
        <v>0</v>
      </c>
      <c r="F5695" s="37" t="n">
        <f aca="false">DATE(YEAR(A5695),MONTH(A5695),1)</f>
        <v>46235</v>
      </c>
      <c r="G5695" s="24" t="str">
        <f aca="false">INDEX(Products!$C$2:$C$49,MATCH(C5695,Products!$A$2:$A$49,0))</f>
        <v>Personal Care</v>
      </c>
      <c r="H5695" s="33" t="n">
        <f aca="false">D5695*INDEX(Products!$E$2:$E$49,MATCH(C5695,Products!$A$2:$A$49,0))</f>
        <v>59360</v>
      </c>
      <c r="I5695" s="33" t="n">
        <f aca="false">D5695*INDEX(Products!$D$2:$D$49,MATCH(C5695,Products!$A$2:$A$49,0))*(1+INDEX(Assumptions!$B$16:$B$20,MATCH(B5695,Assumptions!$A$16:$A$20,0)))</f>
        <v>42166.8</v>
      </c>
      <c r="J5695" s="33" t="n">
        <f aca="false">H5695-I5695</f>
        <v>17193.2</v>
      </c>
      <c r="K5695" s="33" t="n">
        <f aca="false">IF(OR(E5695=0,E5695&gt;=7),0,D5695/(7-E5695)*E5695*INDEX(Products!$E$2:$E$49,MATCH(C5695,Products!$A$2:$A$49,0)))</f>
        <v>0</v>
      </c>
    </row>
    <row r="5696" customFormat="false" ht="15" hidden="false" customHeight="false" outlineLevel="0" collapsed="false">
      <c r="A5696" s="36" t="n">
        <v>46251</v>
      </c>
      <c r="B5696" s="24" t="s">
        <v>65</v>
      </c>
      <c r="C5696" s="24" t="s">
        <v>185</v>
      </c>
      <c r="D5696" s="33" t="n">
        <v>120</v>
      </c>
      <c r="E5696" s="24" t="n">
        <v>0</v>
      </c>
      <c r="F5696" s="37" t="n">
        <f aca="false">DATE(YEAR(A5696),MONTH(A5696),1)</f>
        <v>46235</v>
      </c>
      <c r="G5696" s="24" t="str">
        <f aca="false">INDEX(Products!$C$2:$C$49,MATCH(C5696,Products!$A$2:$A$49,0))</f>
        <v>Personal Care</v>
      </c>
      <c r="H5696" s="33" t="n">
        <f aca="false">D5696*INDEX(Products!$E$2:$E$49,MATCH(C5696,Products!$A$2:$A$49,0))</f>
        <v>33600</v>
      </c>
      <c r="I5696" s="33" t="n">
        <f aca="false">D5696*INDEX(Products!$D$2:$D$49,MATCH(C5696,Products!$A$2:$A$49,0))*(1+INDEX(Assumptions!$B$16:$B$20,MATCH(B5696,Assumptions!$A$16:$A$20,0)))</f>
        <v>23868</v>
      </c>
      <c r="J5696" s="33" t="n">
        <f aca="false">H5696-I5696</f>
        <v>9732</v>
      </c>
      <c r="K5696" s="33" t="n">
        <f aca="false">IF(OR(E5696=0,E5696&gt;=7),0,D5696/(7-E5696)*E5696*INDEX(Products!$E$2:$E$49,MATCH(C5696,Products!$A$2:$A$49,0)))</f>
        <v>0</v>
      </c>
    </row>
    <row r="5697" customFormat="false" ht="15" hidden="false" customHeight="false" outlineLevel="0" collapsed="false">
      <c r="A5697" s="36" t="n">
        <v>46258</v>
      </c>
      <c r="B5697" s="24" t="s">
        <v>65</v>
      </c>
      <c r="C5697" s="24" t="s">
        <v>185</v>
      </c>
      <c r="D5697" s="33" t="n">
        <v>147</v>
      </c>
      <c r="E5697" s="24" t="n">
        <v>0</v>
      </c>
      <c r="F5697" s="37" t="n">
        <f aca="false">DATE(YEAR(A5697),MONTH(A5697),1)</f>
        <v>46235</v>
      </c>
      <c r="G5697" s="24" t="str">
        <f aca="false">INDEX(Products!$C$2:$C$49,MATCH(C5697,Products!$A$2:$A$49,0))</f>
        <v>Personal Care</v>
      </c>
      <c r="H5697" s="33" t="n">
        <f aca="false">D5697*INDEX(Products!$E$2:$E$49,MATCH(C5697,Products!$A$2:$A$49,0))</f>
        <v>41160</v>
      </c>
      <c r="I5697" s="33" t="n">
        <f aca="false">D5697*INDEX(Products!$D$2:$D$49,MATCH(C5697,Products!$A$2:$A$49,0))*(1+INDEX(Assumptions!$B$16:$B$20,MATCH(B5697,Assumptions!$A$16:$A$20,0)))</f>
        <v>29238.3</v>
      </c>
      <c r="J5697" s="33" t="n">
        <f aca="false">H5697-I5697</f>
        <v>11921.7</v>
      </c>
      <c r="K5697" s="33" t="n">
        <f aca="false">IF(OR(E5697=0,E5697&gt;=7),0,D5697/(7-E5697)*E5697*INDEX(Products!$E$2:$E$49,MATCH(C5697,Products!$A$2:$A$49,0)))</f>
        <v>0</v>
      </c>
    </row>
    <row r="5698" customFormat="false" ht="15" hidden="false" customHeight="false" outlineLevel="0" collapsed="false">
      <c r="A5698" s="36" t="n">
        <v>46265</v>
      </c>
      <c r="B5698" s="24" t="s">
        <v>65</v>
      </c>
      <c r="C5698" s="24" t="s">
        <v>185</v>
      </c>
      <c r="D5698" s="33" t="n">
        <v>135</v>
      </c>
      <c r="E5698" s="24" t="n">
        <v>0</v>
      </c>
      <c r="F5698" s="37" t="n">
        <f aca="false">DATE(YEAR(A5698),MONTH(A5698),1)</f>
        <v>46235</v>
      </c>
      <c r="G5698" s="24" t="str">
        <f aca="false">INDEX(Products!$C$2:$C$49,MATCH(C5698,Products!$A$2:$A$49,0))</f>
        <v>Personal Care</v>
      </c>
      <c r="H5698" s="33" t="n">
        <f aca="false">D5698*INDEX(Products!$E$2:$E$49,MATCH(C5698,Products!$A$2:$A$49,0))</f>
        <v>37800</v>
      </c>
      <c r="I5698" s="33" t="n">
        <f aca="false">D5698*INDEX(Products!$D$2:$D$49,MATCH(C5698,Products!$A$2:$A$49,0))*(1+INDEX(Assumptions!$B$16:$B$20,MATCH(B5698,Assumptions!$A$16:$A$20,0)))</f>
        <v>26851.5</v>
      </c>
      <c r="J5698" s="33" t="n">
        <f aca="false">H5698-I5698</f>
        <v>10948.5</v>
      </c>
      <c r="K5698" s="33" t="n">
        <f aca="false">IF(OR(E5698=0,E5698&gt;=7),0,D5698/(7-E5698)*E5698*INDEX(Products!$E$2:$E$49,MATCH(C5698,Products!$A$2:$A$49,0)))</f>
        <v>0</v>
      </c>
    </row>
    <row r="5699" customFormat="false" ht="15" hidden="false" customHeight="false" outlineLevel="0" collapsed="false">
      <c r="A5699" s="36" t="n">
        <v>46272</v>
      </c>
      <c r="B5699" s="24" t="s">
        <v>65</v>
      </c>
      <c r="C5699" s="24" t="s">
        <v>185</v>
      </c>
      <c r="D5699" s="33" t="n">
        <v>132</v>
      </c>
      <c r="E5699" s="24" t="n">
        <v>0</v>
      </c>
      <c r="F5699" s="37" t="n">
        <f aca="false">DATE(YEAR(A5699),MONTH(A5699),1)</f>
        <v>46266</v>
      </c>
      <c r="G5699" s="24" t="str">
        <f aca="false">INDEX(Products!$C$2:$C$49,MATCH(C5699,Products!$A$2:$A$49,0))</f>
        <v>Personal Care</v>
      </c>
      <c r="H5699" s="33" t="n">
        <f aca="false">D5699*INDEX(Products!$E$2:$E$49,MATCH(C5699,Products!$A$2:$A$49,0))</f>
        <v>36960</v>
      </c>
      <c r="I5699" s="33" t="n">
        <f aca="false">D5699*INDEX(Products!$D$2:$D$49,MATCH(C5699,Products!$A$2:$A$49,0))*(1+INDEX(Assumptions!$B$16:$B$20,MATCH(B5699,Assumptions!$A$16:$A$20,0)))</f>
        <v>26254.8</v>
      </c>
      <c r="J5699" s="33" t="n">
        <f aca="false">H5699-I5699</f>
        <v>10705.2</v>
      </c>
      <c r="K5699" s="33" t="n">
        <f aca="false">IF(OR(E5699=0,E5699&gt;=7),0,D5699/(7-E5699)*E5699*INDEX(Products!$E$2:$E$49,MATCH(C5699,Products!$A$2:$A$49,0)))</f>
        <v>0</v>
      </c>
    </row>
    <row r="5700" customFormat="false" ht="15" hidden="false" customHeight="false" outlineLevel="0" collapsed="false">
      <c r="A5700" s="36" t="n">
        <v>46279</v>
      </c>
      <c r="B5700" s="24" t="s">
        <v>65</v>
      </c>
      <c r="C5700" s="24" t="s">
        <v>185</v>
      </c>
      <c r="D5700" s="33" t="n">
        <v>139</v>
      </c>
      <c r="E5700" s="24" t="n">
        <v>0</v>
      </c>
      <c r="F5700" s="37" t="n">
        <f aca="false">DATE(YEAR(A5700),MONTH(A5700),1)</f>
        <v>46266</v>
      </c>
      <c r="G5700" s="24" t="str">
        <f aca="false">INDEX(Products!$C$2:$C$49,MATCH(C5700,Products!$A$2:$A$49,0))</f>
        <v>Personal Care</v>
      </c>
      <c r="H5700" s="33" t="n">
        <f aca="false">D5700*INDEX(Products!$E$2:$E$49,MATCH(C5700,Products!$A$2:$A$49,0))</f>
        <v>38920</v>
      </c>
      <c r="I5700" s="33" t="n">
        <f aca="false">D5700*INDEX(Products!$D$2:$D$49,MATCH(C5700,Products!$A$2:$A$49,0))*(1+INDEX(Assumptions!$B$16:$B$20,MATCH(B5700,Assumptions!$A$16:$A$20,0)))</f>
        <v>27647.1</v>
      </c>
      <c r="J5700" s="33" t="n">
        <f aca="false">H5700-I5700</f>
        <v>11272.9</v>
      </c>
      <c r="K5700" s="33" t="n">
        <f aca="false">IF(OR(E5700=0,E5700&gt;=7),0,D5700/(7-E5700)*E5700*INDEX(Products!$E$2:$E$49,MATCH(C5700,Products!$A$2:$A$49,0)))</f>
        <v>0</v>
      </c>
    </row>
    <row r="5701" customFormat="false" ht="15" hidden="false" customHeight="false" outlineLevel="0" collapsed="false">
      <c r="A5701" s="36" t="n">
        <v>46286</v>
      </c>
      <c r="B5701" s="24" t="s">
        <v>65</v>
      </c>
      <c r="C5701" s="24" t="s">
        <v>185</v>
      </c>
      <c r="D5701" s="33" t="n">
        <v>164</v>
      </c>
      <c r="E5701" s="24" t="n">
        <v>0</v>
      </c>
      <c r="F5701" s="37" t="n">
        <f aca="false">DATE(YEAR(A5701),MONTH(A5701),1)</f>
        <v>46266</v>
      </c>
      <c r="G5701" s="24" t="str">
        <f aca="false">INDEX(Products!$C$2:$C$49,MATCH(C5701,Products!$A$2:$A$49,0))</f>
        <v>Personal Care</v>
      </c>
      <c r="H5701" s="33" t="n">
        <f aca="false">D5701*INDEX(Products!$E$2:$E$49,MATCH(C5701,Products!$A$2:$A$49,0))</f>
        <v>45920</v>
      </c>
      <c r="I5701" s="33" t="n">
        <f aca="false">D5701*INDEX(Products!$D$2:$D$49,MATCH(C5701,Products!$A$2:$A$49,0))*(1+INDEX(Assumptions!$B$16:$B$20,MATCH(B5701,Assumptions!$A$16:$A$20,0)))</f>
        <v>32619.6</v>
      </c>
      <c r="J5701" s="33" t="n">
        <f aca="false">H5701-I5701</f>
        <v>13300.4</v>
      </c>
      <c r="K5701" s="33" t="n">
        <f aca="false">IF(OR(E5701=0,E5701&gt;=7),0,D5701/(7-E5701)*E5701*INDEX(Products!$E$2:$E$49,MATCH(C5701,Products!$A$2:$A$49,0)))</f>
        <v>0</v>
      </c>
    </row>
    <row r="5702" customFormat="false" ht="15" hidden="false" customHeight="false" outlineLevel="0" collapsed="false">
      <c r="A5702" s="36" t="n">
        <v>46118</v>
      </c>
      <c r="B5702" s="24" t="s">
        <v>65</v>
      </c>
      <c r="C5702" s="24" t="s">
        <v>187</v>
      </c>
      <c r="D5702" s="33" t="n">
        <v>46</v>
      </c>
      <c r="E5702" s="24" t="n">
        <v>0</v>
      </c>
      <c r="F5702" s="37" t="n">
        <f aca="false">DATE(YEAR(A5702),MONTH(A5702),1)</f>
        <v>46113</v>
      </c>
      <c r="G5702" s="24" t="str">
        <f aca="false">INDEX(Products!$C$2:$C$49,MATCH(C5702,Products!$A$2:$A$49,0))</f>
        <v>Personal Care</v>
      </c>
      <c r="H5702" s="33" t="n">
        <f aca="false">D5702*INDEX(Products!$E$2:$E$49,MATCH(C5702,Products!$A$2:$A$49,0))</f>
        <v>7360</v>
      </c>
      <c r="I5702" s="33" t="n">
        <f aca="false">D5702*INDEX(Products!$D$2:$D$49,MATCH(C5702,Products!$A$2:$A$49,0))*(1+INDEX(Assumptions!$B$16:$B$20,MATCH(B5702,Assumptions!$A$16:$A$20,0)))</f>
        <v>5348.88</v>
      </c>
      <c r="J5702" s="33" t="n">
        <f aca="false">H5702-I5702</f>
        <v>2011.12</v>
      </c>
      <c r="K5702" s="33" t="n">
        <f aca="false">IF(OR(E5702=0,E5702&gt;=7),0,D5702/(7-E5702)*E5702*INDEX(Products!$E$2:$E$49,MATCH(C5702,Products!$A$2:$A$49,0)))</f>
        <v>0</v>
      </c>
    </row>
    <row r="5703" customFormat="false" ht="15" hidden="false" customHeight="false" outlineLevel="0" collapsed="false">
      <c r="A5703" s="36" t="n">
        <v>46125</v>
      </c>
      <c r="B5703" s="24" t="s">
        <v>65</v>
      </c>
      <c r="C5703" s="24" t="s">
        <v>187</v>
      </c>
      <c r="D5703" s="33" t="n">
        <v>49</v>
      </c>
      <c r="E5703" s="24" t="n">
        <v>0</v>
      </c>
      <c r="F5703" s="37" t="n">
        <f aca="false">DATE(YEAR(A5703),MONTH(A5703),1)</f>
        <v>46113</v>
      </c>
      <c r="G5703" s="24" t="str">
        <f aca="false">INDEX(Products!$C$2:$C$49,MATCH(C5703,Products!$A$2:$A$49,0))</f>
        <v>Personal Care</v>
      </c>
      <c r="H5703" s="33" t="n">
        <f aca="false">D5703*INDEX(Products!$E$2:$E$49,MATCH(C5703,Products!$A$2:$A$49,0))</f>
        <v>7840</v>
      </c>
      <c r="I5703" s="33" t="n">
        <f aca="false">D5703*INDEX(Products!$D$2:$D$49,MATCH(C5703,Products!$A$2:$A$49,0))*(1+INDEX(Assumptions!$B$16:$B$20,MATCH(B5703,Assumptions!$A$16:$A$20,0)))</f>
        <v>5697.72</v>
      </c>
      <c r="J5703" s="33" t="n">
        <f aca="false">H5703-I5703</f>
        <v>2142.28</v>
      </c>
      <c r="K5703" s="33" t="n">
        <f aca="false">IF(OR(E5703=0,E5703&gt;=7),0,D5703/(7-E5703)*E5703*INDEX(Products!$E$2:$E$49,MATCH(C5703,Products!$A$2:$A$49,0)))</f>
        <v>0</v>
      </c>
    </row>
    <row r="5704" customFormat="false" ht="15" hidden="false" customHeight="false" outlineLevel="0" collapsed="false">
      <c r="A5704" s="36" t="n">
        <v>46132</v>
      </c>
      <c r="B5704" s="24" t="s">
        <v>65</v>
      </c>
      <c r="C5704" s="24" t="s">
        <v>187</v>
      </c>
      <c r="D5704" s="33" t="n">
        <v>35</v>
      </c>
      <c r="E5704" s="24" t="n">
        <v>0</v>
      </c>
      <c r="F5704" s="37" t="n">
        <f aca="false">DATE(YEAR(A5704),MONTH(A5704),1)</f>
        <v>46113</v>
      </c>
      <c r="G5704" s="24" t="str">
        <f aca="false">INDEX(Products!$C$2:$C$49,MATCH(C5704,Products!$A$2:$A$49,0))</f>
        <v>Personal Care</v>
      </c>
      <c r="H5704" s="33" t="n">
        <f aca="false">D5704*INDEX(Products!$E$2:$E$49,MATCH(C5704,Products!$A$2:$A$49,0))</f>
        <v>5600</v>
      </c>
      <c r="I5704" s="33" t="n">
        <f aca="false">D5704*INDEX(Products!$D$2:$D$49,MATCH(C5704,Products!$A$2:$A$49,0))*(1+INDEX(Assumptions!$B$16:$B$20,MATCH(B5704,Assumptions!$A$16:$A$20,0)))</f>
        <v>4069.8</v>
      </c>
      <c r="J5704" s="33" t="n">
        <f aca="false">H5704-I5704</f>
        <v>1530.2</v>
      </c>
      <c r="K5704" s="33" t="n">
        <f aca="false">IF(OR(E5704=0,E5704&gt;=7),0,D5704/(7-E5704)*E5704*INDEX(Products!$E$2:$E$49,MATCH(C5704,Products!$A$2:$A$49,0)))</f>
        <v>0</v>
      </c>
    </row>
    <row r="5705" customFormat="false" ht="15" hidden="false" customHeight="false" outlineLevel="0" collapsed="false">
      <c r="A5705" s="36" t="n">
        <v>46139</v>
      </c>
      <c r="B5705" s="24" t="s">
        <v>65</v>
      </c>
      <c r="C5705" s="24" t="s">
        <v>187</v>
      </c>
      <c r="D5705" s="33" t="n">
        <v>51</v>
      </c>
      <c r="E5705" s="24" t="n">
        <v>0</v>
      </c>
      <c r="F5705" s="37" t="n">
        <f aca="false">DATE(YEAR(A5705),MONTH(A5705),1)</f>
        <v>46113</v>
      </c>
      <c r="G5705" s="24" t="str">
        <f aca="false">INDEX(Products!$C$2:$C$49,MATCH(C5705,Products!$A$2:$A$49,0))</f>
        <v>Personal Care</v>
      </c>
      <c r="H5705" s="33" t="n">
        <f aca="false">D5705*INDEX(Products!$E$2:$E$49,MATCH(C5705,Products!$A$2:$A$49,0))</f>
        <v>8160</v>
      </c>
      <c r="I5705" s="33" t="n">
        <f aca="false">D5705*INDEX(Products!$D$2:$D$49,MATCH(C5705,Products!$A$2:$A$49,0))*(1+INDEX(Assumptions!$B$16:$B$20,MATCH(B5705,Assumptions!$A$16:$A$20,0)))</f>
        <v>5930.28</v>
      </c>
      <c r="J5705" s="33" t="n">
        <f aca="false">H5705-I5705</f>
        <v>2229.72</v>
      </c>
      <c r="K5705" s="33" t="n">
        <f aca="false">IF(OR(E5705=0,E5705&gt;=7),0,D5705/(7-E5705)*E5705*INDEX(Products!$E$2:$E$49,MATCH(C5705,Products!$A$2:$A$49,0)))</f>
        <v>0</v>
      </c>
    </row>
    <row r="5706" customFormat="false" ht="15" hidden="false" customHeight="false" outlineLevel="0" collapsed="false">
      <c r="A5706" s="36" t="n">
        <v>46146</v>
      </c>
      <c r="B5706" s="24" t="s">
        <v>65</v>
      </c>
      <c r="C5706" s="24" t="s">
        <v>187</v>
      </c>
      <c r="D5706" s="33" t="n">
        <v>40</v>
      </c>
      <c r="E5706" s="24" t="n">
        <v>0</v>
      </c>
      <c r="F5706" s="37" t="n">
        <f aca="false">DATE(YEAR(A5706),MONTH(A5706),1)</f>
        <v>46143</v>
      </c>
      <c r="G5706" s="24" t="str">
        <f aca="false">INDEX(Products!$C$2:$C$49,MATCH(C5706,Products!$A$2:$A$49,0))</f>
        <v>Personal Care</v>
      </c>
      <c r="H5706" s="33" t="n">
        <f aca="false">D5706*INDEX(Products!$E$2:$E$49,MATCH(C5706,Products!$A$2:$A$49,0))</f>
        <v>6400</v>
      </c>
      <c r="I5706" s="33" t="n">
        <f aca="false">D5706*INDEX(Products!$D$2:$D$49,MATCH(C5706,Products!$A$2:$A$49,0))*(1+INDEX(Assumptions!$B$16:$B$20,MATCH(B5706,Assumptions!$A$16:$A$20,0)))</f>
        <v>4651.2</v>
      </c>
      <c r="J5706" s="33" t="n">
        <f aca="false">H5706-I5706</f>
        <v>1748.8</v>
      </c>
      <c r="K5706" s="33" t="n">
        <f aca="false">IF(OR(E5706=0,E5706&gt;=7),0,D5706/(7-E5706)*E5706*INDEX(Products!$E$2:$E$49,MATCH(C5706,Products!$A$2:$A$49,0)))</f>
        <v>0</v>
      </c>
    </row>
    <row r="5707" customFormat="false" ht="15" hidden="false" customHeight="false" outlineLevel="0" collapsed="false">
      <c r="A5707" s="36" t="n">
        <v>46153</v>
      </c>
      <c r="B5707" s="24" t="s">
        <v>65</v>
      </c>
      <c r="C5707" s="24" t="s">
        <v>187</v>
      </c>
      <c r="D5707" s="33" t="n">
        <v>53</v>
      </c>
      <c r="E5707" s="24" t="n">
        <v>0</v>
      </c>
      <c r="F5707" s="37" t="n">
        <f aca="false">DATE(YEAR(A5707),MONTH(A5707),1)</f>
        <v>46143</v>
      </c>
      <c r="G5707" s="24" t="str">
        <f aca="false">INDEX(Products!$C$2:$C$49,MATCH(C5707,Products!$A$2:$A$49,0))</f>
        <v>Personal Care</v>
      </c>
      <c r="H5707" s="33" t="n">
        <f aca="false">D5707*INDEX(Products!$E$2:$E$49,MATCH(C5707,Products!$A$2:$A$49,0))</f>
        <v>8480</v>
      </c>
      <c r="I5707" s="33" t="n">
        <f aca="false">D5707*INDEX(Products!$D$2:$D$49,MATCH(C5707,Products!$A$2:$A$49,0))*(1+INDEX(Assumptions!$B$16:$B$20,MATCH(B5707,Assumptions!$A$16:$A$20,0)))</f>
        <v>6162.84</v>
      </c>
      <c r="J5707" s="33" t="n">
        <f aca="false">H5707-I5707</f>
        <v>2317.16</v>
      </c>
      <c r="K5707" s="33" t="n">
        <f aca="false">IF(OR(E5707=0,E5707&gt;=7),0,D5707/(7-E5707)*E5707*INDEX(Products!$E$2:$E$49,MATCH(C5707,Products!$A$2:$A$49,0)))</f>
        <v>0</v>
      </c>
    </row>
    <row r="5708" customFormat="false" ht="15" hidden="false" customHeight="false" outlineLevel="0" collapsed="false">
      <c r="A5708" s="36" t="n">
        <v>46160</v>
      </c>
      <c r="B5708" s="24" t="s">
        <v>65</v>
      </c>
      <c r="C5708" s="24" t="s">
        <v>187</v>
      </c>
      <c r="D5708" s="33" t="n">
        <v>45</v>
      </c>
      <c r="E5708" s="24" t="n">
        <v>0</v>
      </c>
      <c r="F5708" s="37" t="n">
        <f aca="false">DATE(YEAR(A5708),MONTH(A5708),1)</f>
        <v>46143</v>
      </c>
      <c r="G5708" s="24" t="str">
        <f aca="false">INDEX(Products!$C$2:$C$49,MATCH(C5708,Products!$A$2:$A$49,0))</f>
        <v>Personal Care</v>
      </c>
      <c r="H5708" s="33" t="n">
        <f aca="false">D5708*INDEX(Products!$E$2:$E$49,MATCH(C5708,Products!$A$2:$A$49,0))</f>
        <v>7200</v>
      </c>
      <c r="I5708" s="33" t="n">
        <f aca="false">D5708*INDEX(Products!$D$2:$D$49,MATCH(C5708,Products!$A$2:$A$49,0))*(1+INDEX(Assumptions!$B$16:$B$20,MATCH(B5708,Assumptions!$A$16:$A$20,0)))</f>
        <v>5232.6</v>
      </c>
      <c r="J5708" s="33" t="n">
        <f aca="false">H5708-I5708</f>
        <v>1967.4</v>
      </c>
      <c r="K5708" s="33" t="n">
        <f aca="false">IF(OR(E5708=0,E5708&gt;=7),0,D5708/(7-E5708)*E5708*INDEX(Products!$E$2:$E$49,MATCH(C5708,Products!$A$2:$A$49,0)))</f>
        <v>0</v>
      </c>
    </row>
    <row r="5709" customFormat="false" ht="15" hidden="false" customHeight="false" outlineLevel="0" collapsed="false">
      <c r="A5709" s="36" t="n">
        <v>46167</v>
      </c>
      <c r="B5709" s="24" t="s">
        <v>65</v>
      </c>
      <c r="C5709" s="24" t="s">
        <v>187</v>
      </c>
      <c r="D5709" s="33" t="n">
        <v>51</v>
      </c>
      <c r="E5709" s="24" t="n">
        <v>0</v>
      </c>
      <c r="F5709" s="37" t="n">
        <f aca="false">DATE(YEAR(A5709),MONTH(A5709),1)</f>
        <v>46143</v>
      </c>
      <c r="G5709" s="24" t="str">
        <f aca="false">INDEX(Products!$C$2:$C$49,MATCH(C5709,Products!$A$2:$A$49,0))</f>
        <v>Personal Care</v>
      </c>
      <c r="H5709" s="33" t="n">
        <f aca="false">D5709*INDEX(Products!$E$2:$E$49,MATCH(C5709,Products!$A$2:$A$49,0))</f>
        <v>8160</v>
      </c>
      <c r="I5709" s="33" t="n">
        <f aca="false">D5709*INDEX(Products!$D$2:$D$49,MATCH(C5709,Products!$A$2:$A$49,0))*(1+INDEX(Assumptions!$B$16:$B$20,MATCH(B5709,Assumptions!$A$16:$A$20,0)))</f>
        <v>5930.28</v>
      </c>
      <c r="J5709" s="33" t="n">
        <f aca="false">H5709-I5709</f>
        <v>2229.72</v>
      </c>
      <c r="K5709" s="33" t="n">
        <f aca="false">IF(OR(E5709=0,E5709&gt;=7),0,D5709/(7-E5709)*E5709*INDEX(Products!$E$2:$E$49,MATCH(C5709,Products!$A$2:$A$49,0)))</f>
        <v>0</v>
      </c>
    </row>
    <row r="5710" customFormat="false" ht="15" hidden="false" customHeight="false" outlineLevel="0" collapsed="false">
      <c r="A5710" s="36" t="n">
        <v>46174</v>
      </c>
      <c r="B5710" s="24" t="s">
        <v>65</v>
      </c>
      <c r="C5710" s="24" t="s">
        <v>187</v>
      </c>
      <c r="D5710" s="33" t="n">
        <v>51</v>
      </c>
      <c r="E5710" s="24" t="n">
        <v>0</v>
      </c>
      <c r="F5710" s="37" t="n">
        <f aca="false">DATE(YEAR(A5710),MONTH(A5710),1)</f>
        <v>46174</v>
      </c>
      <c r="G5710" s="24" t="str">
        <f aca="false">INDEX(Products!$C$2:$C$49,MATCH(C5710,Products!$A$2:$A$49,0))</f>
        <v>Personal Care</v>
      </c>
      <c r="H5710" s="33" t="n">
        <f aca="false">D5710*INDEX(Products!$E$2:$E$49,MATCH(C5710,Products!$A$2:$A$49,0))</f>
        <v>8160</v>
      </c>
      <c r="I5710" s="33" t="n">
        <f aca="false">D5710*INDEX(Products!$D$2:$D$49,MATCH(C5710,Products!$A$2:$A$49,0))*(1+INDEX(Assumptions!$B$16:$B$20,MATCH(B5710,Assumptions!$A$16:$A$20,0)))</f>
        <v>5930.28</v>
      </c>
      <c r="J5710" s="33" t="n">
        <f aca="false">H5710-I5710</f>
        <v>2229.72</v>
      </c>
      <c r="K5710" s="33" t="n">
        <f aca="false">IF(OR(E5710=0,E5710&gt;=7),0,D5710/(7-E5710)*E5710*INDEX(Products!$E$2:$E$49,MATCH(C5710,Products!$A$2:$A$49,0)))</f>
        <v>0</v>
      </c>
    </row>
    <row r="5711" customFormat="false" ht="15" hidden="false" customHeight="false" outlineLevel="0" collapsed="false">
      <c r="A5711" s="36" t="n">
        <v>46181</v>
      </c>
      <c r="B5711" s="24" t="s">
        <v>65</v>
      </c>
      <c r="C5711" s="24" t="s">
        <v>187</v>
      </c>
      <c r="D5711" s="33" t="n">
        <v>26</v>
      </c>
      <c r="E5711" s="24" t="n">
        <v>3</v>
      </c>
      <c r="F5711" s="37" t="n">
        <f aca="false">DATE(YEAR(A5711),MONTH(A5711),1)</f>
        <v>46174</v>
      </c>
      <c r="G5711" s="24" t="str">
        <f aca="false">INDEX(Products!$C$2:$C$49,MATCH(C5711,Products!$A$2:$A$49,0))</f>
        <v>Personal Care</v>
      </c>
      <c r="H5711" s="33" t="n">
        <f aca="false">D5711*INDEX(Products!$E$2:$E$49,MATCH(C5711,Products!$A$2:$A$49,0))</f>
        <v>4160</v>
      </c>
      <c r="I5711" s="33" t="n">
        <f aca="false">D5711*INDEX(Products!$D$2:$D$49,MATCH(C5711,Products!$A$2:$A$49,0))*(1+INDEX(Assumptions!$B$16:$B$20,MATCH(B5711,Assumptions!$A$16:$A$20,0)))</f>
        <v>3023.28</v>
      </c>
      <c r="J5711" s="33" t="n">
        <f aca="false">H5711-I5711</f>
        <v>1136.72</v>
      </c>
      <c r="K5711" s="33" t="n">
        <f aca="false">IF(OR(E5711=0,E5711&gt;=7),0,D5711/(7-E5711)*E5711*INDEX(Products!$E$2:$E$49,MATCH(C5711,Products!$A$2:$A$49,0)))</f>
        <v>3120</v>
      </c>
    </row>
    <row r="5712" customFormat="false" ht="15" hidden="false" customHeight="false" outlineLevel="0" collapsed="false">
      <c r="A5712" s="36" t="n">
        <v>46188</v>
      </c>
      <c r="B5712" s="24" t="s">
        <v>65</v>
      </c>
      <c r="C5712" s="24" t="s">
        <v>187</v>
      </c>
      <c r="D5712" s="33" t="n">
        <v>46</v>
      </c>
      <c r="E5712" s="24" t="n">
        <v>0</v>
      </c>
      <c r="F5712" s="37" t="n">
        <f aca="false">DATE(YEAR(A5712),MONTH(A5712),1)</f>
        <v>46174</v>
      </c>
      <c r="G5712" s="24" t="str">
        <f aca="false">INDEX(Products!$C$2:$C$49,MATCH(C5712,Products!$A$2:$A$49,0))</f>
        <v>Personal Care</v>
      </c>
      <c r="H5712" s="33" t="n">
        <f aca="false">D5712*INDEX(Products!$E$2:$E$49,MATCH(C5712,Products!$A$2:$A$49,0))</f>
        <v>7360</v>
      </c>
      <c r="I5712" s="33" t="n">
        <f aca="false">D5712*INDEX(Products!$D$2:$D$49,MATCH(C5712,Products!$A$2:$A$49,0))*(1+INDEX(Assumptions!$B$16:$B$20,MATCH(B5712,Assumptions!$A$16:$A$20,0)))</f>
        <v>5348.88</v>
      </c>
      <c r="J5712" s="33" t="n">
        <f aca="false">H5712-I5712</f>
        <v>2011.12</v>
      </c>
      <c r="K5712" s="33" t="n">
        <f aca="false">IF(OR(E5712=0,E5712&gt;=7),0,D5712/(7-E5712)*E5712*INDEX(Products!$E$2:$E$49,MATCH(C5712,Products!$A$2:$A$49,0)))</f>
        <v>0</v>
      </c>
    </row>
    <row r="5713" customFormat="false" ht="15" hidden="false" customHeight="false" outlineLevel="0" collapsed="false">
      <c r="A5713" s="36" t="n">
        <v>46195</v>
      </c>
      <c r="B5713" s="24" t="s">
        <v>65</v>
      </c>
      <c r="C5713" s="24" t="s">
        <v>187</v>
      </c>
      <c r="D5713" s="33" t="n">
        <v>46</v>
      </c>
      <c r="E5713" s="24" t="n">
        <v>0</v>
      </c>
      <c r="F5713" s="37" t="n">
        <f aca="false">DATE(YEAR(A5713),MONTH(A5713),1)</f>
        <v>46174</v>
      </c>
      <c r="G5713" s="24" t="str">
        <f aca="false">INDEX(Products!$C$2:$C$49,MATCH(C5713,Products!$A$2:$A$49,0))</f>
        <v>Personal Care</v>
      </c>
      <c r="H5713" s="33" t="n">
        <f aca="false">D5713*INDEX(Products!$E$2:$E$49,MATCH(C5713,Products!$A$2:$A$49,0))</f>
        <v>7360</v>
      </c>
      <c r="I5713" s="33" t="n">
        <f aca="false">D5713*INDEX(Products!$D$2:$D$49,MATCH(C5713,Products!$A$2:$A$49,0))*(1+INDEX(Assumptions!$B$16:$B$20,MATCH(B5713,Assumptions!$A$16:$A$20,0)))</f>
        <v>5348.88</v>
      </c>
      <c r="J5713" s="33" t="n">
        <f aca="false">H5713-I5713</f>
        <v>2011.12</v>
      </c>
      <c r="K5713" s="33" t="n">
        <f aca="false">IF(OR(E5713=0,E5713&gt;=7),0,D5713/(7-E5713)*E5713*INDEX(Products!$E$2:$E$49,MATCH(C5713,Products!$A$2:$A$49,0)))</f>
        <v>0</v>
      </c>
    </row>
    <row r="5714" customFormat="false" ht="15" hidden="false" customHeight="false" outlineLevel="0" collapsed="false">
      <c r="A5714" s="36" t="n">
        <v>46202</v>
      </c>
      <c r="B5714" s="24" t="s">
        <v>65</v>
      </c>
      <c r="C5714" s="24" t="s">
        <v>187</v>
      </c>
      <c r="D5714" s="33" t="n">
        <v>46</v>
      </c>
      <c r="E5714" s="24" t="n">
        <v>0</v>
      </c>
      <c r="F5714" s="37" t="n">
        <f aca="false">DATE(YEAR(A5714),MONTH(A5714),1)</f>
        <v>46174</v>
      </c>
      <c r="G5714" s="24" t="str">
        <f aca="false">INDEX(Products!$C$2:$C$49,MATCH(C5714,Products!$A$2:$A$49,0))</f>
        <v>Personal Care</v>
      </c>
      <c r="H5714" s="33" t="n">
        <f aca="false">D5714*INDEX(Products!$E$2:$E$49,MATCH(C5714,Products!$A$2:$A$49,0))</f>
        <v>7360</v>
      </c>
      <c r="I5714" s="33" t="n">
        <f aca="false">D5714*INDEX(Products!$D$2:$D$49,MATCH(C5714,Products!$A$2:$A$49,0))*(1+INDEX(Assumptions!$B$16:$B$20,MATCH(B5714,Assumptions!$A$16:$A$20,0)))</f>
        <v>5348.88</v>
      </c>
      <c r="J5714" s="33" t="n">
        <f aca="false">H5714-I5714</f>
        <v>2011.12</v>
      </c>
      <c r="K5714" s="33" t="n">
        <f aca="false">IF(OR(E5714=0,E5714&gt;=7),0,D5714/(7-E5714)*E5714*INDEX(Products!$E$2:$E$49,MATCH(C5714,Products!$A$2:$A$49,0)))</f>
        <v>0</v>
      </c>
    </row>
    <row r="5715" customFormat="false" ht="15" hidden="false" customHeight="false" outlineLevel="0" collapsed="false">
      <c r="A5715" s="36" t="n">
        <v>46209</v>
      </c>
      <c r="B5715" s="24" t="s">
        <v>65</v>
      </c>
      <c r="C5715" s="24" t="s">
        <v>187</v>
      </c>
      <c r="D5715" s="33" t="n">
        <v>40</v>
      </c>
      <c r="E5715" s="24" t="n">
        <v>0</v>
      </c>
      <c r="F5715" s="37" t="n">
        <f aca="false">DATE(YEAR(A5715),MONTH(A5715),1)</f>
        <v>46204</v>
      </c>
      <c r="G5715" s="24" t="str">
        <f aca="false">INDEX(Products!$C$2:$C$49,MATCH(C5715,Products!$A$2:$A$49,0))</f>
        <v>Personal Care</v>
      </c>
      <c r="H5715" s="33" t="n">
        <f aca="false">D5715*INDEX(Products!$E$2:$E$49,MATCH(C5715,Products!$A$2:$A$49,0))</f>
        <v>6400</v>
      </c>
      <c r="I5715" s="33" t="n">
        <f aca="false">D5715*INDEX(Products!$D$2:$D$49,MATCH(C5715,Products!$A$2:$A$49,0))*(1+INDEX(Assumptions!$B$16:$B$20,MATCH(B5715,Assumptions!$A$16:$A$20,0)))</f>
        <v>4651.2</v>
      </c>
      <c r="J5715" s="33" t="n">
        <f aca="false">H5715-I5715</f>
        <v>1748.8</v>
      </c>
      <c r="K5715" s="33" t="n">
        <f aca="false">IF(OR(E5715=0,E5715&gt;=7),0,D5715/(7-E5715)*E5715*INDEX(Products!$E$2:$E$49,MATCH(C5715,Products!$A$2:$A$49,0)))</f>
        <v>0</v>
      </c>
    </row>
    <row r="5716" customFormat="false" ht="15" hidden="false" customHeight="false" outlineLevel="0" collapsed="false">
      <c r="A5716" s="36" t="n">
        <v>46216</v>
      </c>
      <c r="B5716" s="24" t="s">
        <v>65</v>
      </c>
      <c r="C5716" s="24" t="s">
        <v>187</v>
      </c>
      <c r="D5716" s="33" t="n">
        <v>45</v>
      </c>
      <c r="E5716" s="24" t="n">
        <v>0</v>
      </c>
      <c r="F5716" s="37" t="n">
        <f aca="false">DATE(YEAR(A5716),MONTH(A5716),1)</f>
        <v>46204</v>
      </c>
      <c r="G5716" s="24" t="str">
        <f aca="false">INDEX(Products!$C$2:$C$49,MATCH(C5716,Products!$A$2:$A$49,0))</f>
        <v>Personal Care</v>
      </c>
      <c r="H5716" s="33" t="n">
        <f aca="false">D5716*INDEX(Products!$E$2:$E$49,MATCH(C5716,Products!$A$2:$A$49,0))</f>
        <v>7200</v>
      </c>
      <c r="I5716" s="33" t="n">
        <f aca="false">D5716*INDEX(Products!$D$2:$D$49,MATCH(C5716,Products!$A$2:$A$49,0))*(1+INDEX(Assumptions!$B$16:$B$20,MATCH(B5716,Assumptions!$A$16:$A$20,0)))</f>
        <v>5232.6</v>
      </c>
      <c r="J5716" s="33" t="n">
        <f aca="false">H5716-I5716</f>
        <v>1967.4</v>
      </c>
      <c r="K5716" s="33" t="n">
        <f aca="false">IF(OR(E5716=0,E5716&gt;=7),0,D5716/(7-E5716)*E5716*INDEX(Products!$E$2:$E$49,MATCH(C5716,Products!$A$2:$A$49,0)))</f>
        <v>0</v>
      </c>
    </row>
    <row r="5717" customFormat="false" ht="15" hidden="false" customHeight="false" outlineLevel="0" collapsed="false">
      <c r="A5717" s="36" t="n">
        <v>46223</v>
      </c>
      <c r="B5717" s="24" t="s">
        <v>65</v>
      </c>
      <c r="C5717" s="24" t="s">
        <v>187</v>
      </c>
      <c r="D5717" s="33" t="n">
        <v>40</v>
      </c>
      <c r="E5717" s="24" t="n">
        <v>0</v>
      </c>
      <c r="F5717" s="37" t="n">
        <f aca="false">DATE(YEAR(A5717),MONTH(A5717),1)</f>
        <v>46204</v>
      </c>
      <c r="G5717" s="24" t="str">
        <f aca="false">INDEX(Products!$C$2:$C$49,MATCH(C5717,Products!$A$2:$A$49,0))</f>
        <v>Personal Care</v>
      </c>
      <c r="H5717" s="33" t="n">
        <f aca="false">D5717*INDEX(Products!$E$2:$E$49,MATCH(C5717,Products!$A$2:$A$49,0))</f>
        <v>6400</v>
      </c>
      <c r="I5717" s="33" t="n">
        <f aca="false">D5717*INDEX(Products!$D$2:$D$49,MATCH(C5717,Products!$A$2:$A$49,0))*(1+INDEX(Assumptions!$B$16:$B$20,MATCH(B5717,Assumptions!$A$16:$A$20,0)))</f>
        <v>4651.2</v>
      </c>
      <c r="J5717" s="33" t="n">
        <f aca="false">H5717-I5717</f>
        <v>1748.8</v>
      </c>
      <c r="K5717" s="33" t="n">
        <f aca="false">IF(OR(E5717=0,E5717&gt;=7),0,D5717/(7-E5717)*E5717*INDEX(Products!$E$2:$E$49,MATCH(C5717,Products!$A$2:$A$49,0)))</f>
        <v>0</v>
      </c>
    </row>
    <row r="5718" customFormat="false" ht="15" hidden="false" customHeight="false" outlineLevel="0" collapsed="false">
      <c r="A5718" s="36" t="n">
        <v>46230</v>
      </c>
      <c r="B5718" s="24" t="s">
        <v>65</v>
      </c>
      <c r="C5718" s="24" t="s">
        <v>187</v>
      </c>
      <c r="D5718" s="33" t="n">
        <v>50</v>
      </c>
      <c r="E5718" s="24" t="n">
        <v>0</v>
      </c>
      <c r="F5718" s="37" t="n">
        <f aca="false">DATE(YEAR(A5718),MONTH(A5718),1)</f>
        <v>46204</v>
      </c>
      <c r="G5718" s="24" t="str">
        <f aca="false">INDEX(Products!$C$2:$C$49,MATCH(C5718,Products!$A$2:$A$49,0))</f>
        <v>Personal Care</v>
      </c>
      <c r="H5718" s="33" t="n">
        <f aca="false">D5718*INDEX(Products!$E$2:$E$49,MATCH(C5718,Products!$A$2:$A$49,0))</f>
        <v>8000</v>
      </c>
      <c r="I5718" s="33" t="n">
        <f aca="false">D5718*INDEX(Products!$D$2:$D$49,MATCH(C5718,Products!$A$2:$A$49,0))*(1+INDEX(Assumptions!$B$16:$B$20,MATCH(B5718,Assumptions!$A$16:$A$20,0)))</f>
        <v>5814</v>
      </c>
      <c r="J5718" s="33" t="n">
        <f aca="false">H5718-I5718</f>
        <v>2186</v>
      </c>
      <c r="K5718" s="33" t="n">
        <f aca="false">IF(OR(E5718=0,E5718&gt;=7),0,D5718/(7-E5718)*E5718*INDEX(Products!$E$2:$E$49,MATCH(C5718,Products!$A$2:$A$49,0)))</f>
        <v>0</v>
      </c>
    </row>
    <row r="5719" customFormat="false" ht="15" hidden="false" customHeight="false" outlineLevel="0" collapsed="false">
      <c r="A5719" s="36" t="n">
        <v>46237</v>
      </c>
      <c r="B5719" s="24" t="s">
        <v>65</v>
      </c>
      <c r="C5719" s="24" t="s">
        <v>187</v>
      </c>
      <c r="D5719" s="33" t="n">
        <v>24</v>
      </c>
      <c r="E5719" s="24" t="n">
        <v>0</v>
      </c>
      <c r="F5719" s="37" t="n">
        <f aca="false">DATE(YEAR(A5719),MONTH(A5719),1)</f>
        <v>46235</v>
      </c>
      <c r="G5719" s="24" t="str">
        <f aca="false">INDEX(Products!$C$2:$C$49,MATCH(C5719,Products!$A$2:$A$49,0))</f>
        <v>Personal Care</v>
      </c>
      <c r="H5719" s="33" t="n">
        <f aca="false">D5719*INDEX(Products!$E$2:$E$49,MATCH(C5719,Products!$A$2:$A$49,0))</f>
        <v>3840</v>
      </c>
      <c r="I5719" s="33" t="n">
        <f aca="false">D5719*INDEX(Products!$D$2:$D$49,MATCH(C5719,Products!$A$2:$A$49,0))*(1+INDEX(Assumptions!$B$16:$B$20,MATCH(B5719,Assumptions!$A$16:$A$20,0)))</f>
        <v>2790.72</v>
      </c>
      <c r="J5719" s="33" t="n">
        <f aca="false">H5719-I5719</f>
        <v>1049.28</v>
      </c>
      <c r="K5719" s="33" t="n">
        <f aca="false">IF(OR(E5719=0,E5719&gt;=7),0,D5719/(7-E5719)*E5719*INDEX(Products!$E$2:$E$49,MATCH(C5719,Products!$A$2:$A$49,0)))</f>
        <v>0</v>
      </c>
    </row>
    <row r="5720" customFormat="false" ht="15" hidden="false" customHeight="false" outlineLevel="0" collapsed="false">
      <c r="A5720" s="36" t="n">
        <v>46244</v>
      </c>
      <c r="B5720" s="24" t="s">
        <v>65</v>
      </c>
      <c r="C5720" s="24" t="s">
        <v>187</v>
      </c>
      <c r="D5720" s="33" t="n">
        <v>38</v>
      </c>
      <c r="E5720" s="24" t="n">
        <v>0</v>
      </c>
      <c r="F5720" s="37" t="n">
        <f aca="false">DATE(YEAR(A5720),MONTH(A5720),1)</f>
        <v>46235</v>
      </c>
      <c r="G5720" s="24" t="str">
        <f aca="false">INDEX(Products!$C$2:$C$49,MATCH(C5720,Products!$A$2:$A$49,0))</f>
        <v>Personal Care</v>
      </c>
      <c r="H5720" s="33" t="n">
        <f aca="false">D5720*INDEX(Products!$E$2:$E$49,MATCH(C5720,Products!$A$2:$A$49,0))</f>
        <v>6080</v>
      </c>
      <c r="I5720" s="33" t="n">
        <f aca="false">D5720*INDEX(Products!$D$2:$D$49,MATCH(C5720,Products!$A$2:$A$49,0))*(1+INDEX(Assumptions!$B$16:$B$20,MATCH(B5720,Assumptions!$A$16:$A$20,0)))</f>
        <v>4418.64</v>
      </c>
      <c r="J5720" s="33" t="n">
        <f aca="false">H5720-I5720</f>
        <v>1661.36</v>
      </c>
      <c r="K5720" s="33" t="n">
        <f aca="false">IF(OR(E5720=0,E5720&gt;=7),0,D5720/(7-E5720)*E5720*INDEX(Products!$E$2:$E$49,MATCH(C5720,Products!$A$2:$A$49,0)))</f>
        <v>0</v>
      </c>
    </row>
    <row r="5721" customFormat="false" ht="15" hidden="false" customHeight="false" outlineLevel="0" collapsed="false">
      <c r="A5721" s="36" t="n">
        <v>46251</v>
      </c>
      <c r="B5721" s="24" t="s">
        <v>65</v>
      </c>
      <c r="C5721" s="24" t="s">
        <v>187</v>
      </c>
      <c r="D5721" s="33" t="n">
        <v>43</v>
      </c>
      <c r="E5721" s="24" t="n">
        <v>0</v>
      </c>
      <c r="F5721" s="37" t="n">
        <f aca="false">DATE(YEAR(A5721),MONTH(A5721),1)</f>
        <v>46235</v>
      </c>
      <c r="G5721" s="24" t="str">
        <f aca="false">INDEX(Products!$C$2:$C$49,MATCH(C5721,Products!$A$2:$A$49,0))</f>
        <v>Personal Care</v>
      </c>
      <c r="H5721" s="33" t="n">
        <f aca="false">D5721*INDEX(Products!$E$2:$E$49,MATCH(C5721,Products!$A$2:$A$49,0))</f>
        <v>6880</v>
      </c>
      <c r="I5721" s="33" t="n">
        <f aca="false">D5721*INDEX(Products!$D$2:$D$49,MATCH(C5721,Products!$A$2:$A$49,0))*(1+INDEX(Assumptions!$B$16:$B$20,MATCH(B5721,Assumptions!$A$16:$A$20,0)))</f>
        <v>5000.04</v>
      </c>
      <c r="J5721" s="33" t="n">
        <f aca="false">H5721-I5721</f>
        <v>1879.96</v>
      </c>
      <c r="K5721" s="33" t="n">
        <f aca="false">IF(OR(E5721=0,E5721&gt;=7),0,D5721/(7-E5721)*E5721*INDEX(Products!$E$2:$E$49,MATCH(C5721,Products!$A$2:$A$49,0)))</f>
        <v>0</v>
      </c>
    </row>
    <row r="5722" customFormat="false" ht="15" hidden="false" customHeight="false" outlineLevel="0" collapsed="false">
      <c r="A5722" s="36" t="n">
        <v>46258</v>
      </c>
      <c r="B5722" s="24" t="s">
        <v>65</v>
      </c>
      <c r="C5722" s="24" t="s">
        <v>187</v>
      </c>
      <c r="D5722" s="33" t="n">
        <v>41</v>
      </c>
      <c r="E5722" s="24" t="n">
        <v>0</v>
      </c>
      <c r="F5722" s="37" t="n">
        <f aca="false">DATE(YEAR(A5722),MONTH(A5722),1)</f>
        <v>46235</v>
      </c>
      <c r="G5722" s="24" t="str">
        <f aca="false">INDEX(Products!$C$2:$C$49,MATCH(C5722,Products!$A$2:$A$49,0))</f>
        <v>Personal Care</v>
      </c>
      <c r="H5722" s="33" t="n">
        <f aca="false">D5722*INDEX(Products!$E$2:$E$49,MATCH(C5722,Products!$A$2:$A$49,0))</f>
        <v>6560</v>
      </c>
      <c r="I5722" s="33" t="n">
        <f aca="false">D5722*INDEX(Products!$D$2:$D$49,MATCH(C5722,Products!$A$2:$A$49,0))*(1+INDEX(Assumptions!$B$16:$B$20,MATCH(B5722,Assumptions!$A$16:$A$20,0)))</f>
        <v>4767.48</v>
      </c>
      <c r="J5722" s="33" t="n">
        <f aca="false">H5722-I5722</f>
        <v>1792.52</v>
      </c>
      <c r="K5722" s="33" t="n">
        <f aca="false">IF(OR(E5722=0,E5722&gt;=7),0,D5722/(7-E5722)*E5722*INDEX(Products!$E$2:$E$49,MATCH(C5722,Products!$A$2:$A$49,0)))</f>
        <v>0</v>
      </c>
    </row>
    <row r="5723" customFormat="false" ht="15" hidden="false" customHeight="false" outlineLevel="0" collapsed="false">
      <c r="A5723" s="36" t="n">
        <v>46265</v>
      </c>
      <c r="B5723" s="24" t="s">
        <v>65</v>
      </c>
      <c r="C5723" s="24" t="s">
        <v>187</v>
      </c>
      <c r="D5723" s="33" t="n">
        <v>32</v>
      </c>
      <c r="E5723" s="24" t="n">
        <v>3</v>
      </c>
      <c r="F5723" s="37" t="n">
        <f aca="false">DATE(YEAR(A5723),MONTH(A5723),1)</f>
        <v>46235</v>
      </c>
      <c r="G5723" s="24" t="str">
        <f aca="false">INDEX(Products!$C$2:$C$49,MATCH(C5723,Products!$A$2:$A$49,0))</f>
        <v>Personal Care</v>
      </c>
      <c r="H5723" s="33" t="n">
        <f aca="false">D5723*INDEX(Products!$E$2:$E$49,MATCH(C5723,Products!$A$2:$A$49,0))</f>
        <v>5120</v>
      </c>
      <c r="I5723" s="33" t="n">
        <f aca="false">D5723*INDEX(Products!$D$2:$D$49,MATCH(C5723,Products!$A$2:$A$49,0))*(1+INDEX(Assumptions!$B$16:$B$20,MATCH(B5723,Assumptions!$A$16:$A$20,0)))</f>
        <v>3720.96</v>
      </c>
      <c r="J5723" s="33" t="n">
        <f aca="false">H5723-I5723</f>
        <v>1399.04</v>
      </c>
      <c r="K5723" s="33" t="n">
        <f aca="false">IF(OR(E5723=0,E5723&gt;=7),0,D5723/(7-E5723)*E5723*INDEX(Products!$E$2:$E$49,MATCH(C5723,Products!$A$2:$A$49,0)))</f>
        <v>3840</v>
      </c>
    </row>
    <row r="5724" customFormat="false" ht="15" hidden="false" customHeight="false" outlineLevel="0" collapsed="false">
      <c r="A5724" s="36" t="n">
        <v>46272</v>
      </c>
      <c r="B5724" s="24" t="s">
        <v>65</v>
      </c>
      <c r="C5724" s="24" t="s">
        <v>187</v>
      </c>
      <c r="D5724" s="33" t="n">
        <v>38</v>
      </c>
      <c r="E5724" s="24" t="n">
        <v>0</v>
      </c>
      <c r="F5724" s="37" t="n">
        <f aca="false">DATE(YEAR(A5724),MONTH(A5724),1)</f>
        <v>46266</v>
      </c>
      <c r="G5724" s="24" t="str">
        <f aca="false">INDEX(Products!$C$2:$C$49,MATCH(C5724,Products!$A$2:$A$49,0))</f>
        <v>Personal Care</v>
      </c>
      <c r="H5724" s="33" t="n">
        <f aca="false">D5724*INDEX(Products!$E$2:$E$49,MATCH(C5724,Products!$A$2:$A$49,0))</f>
        <v>6080</v>
      </c>
      <c r="I5724" s="33" t="n">
        <f aca="false">D5724*INDEX(Products!$D$2:$D$49,MATCH(C5724,Products!$A$2:$A$49,0))*(1+INDEX(Assumptions!$B$16:$B$20,MATCH(B5724,Assumptions!$A$16:$A$20,0)))</f>
        <v>4418.64</v>
      </c>
      <c r="J5724" s="33" t="n">
        <f aca="false">H5724-I5724</f>
        <v>1661.36</v>
      </c>
      <c r="K5724" s="33" t="n">
        <f aca="false">IF(OR(E5724=0,E5724&gt;=7),0,D5724/(7-E5724)*E5724*INDEX(Products!$E$2:$E$49,MATCH(C5724,Products!$A$2:$A$49,0)))</f>
        <v>0</v>
      </c>
    </row>
    <row r="5725" customFormat="false" ht="15" hidden="false" customHeight="false" outlineLevel="0" collapsed="false">
      <c r="A5725" s="36" t="n">
        <v>46279</v>
      </c>
      <c r="B5725" s="24" t="s">
        <v>65</v>
      </c>
      <c r="C5725" s="24" t="s">
        <v>187</v>
      </c>
      <c r="D5725" s="33" t="n">
        <v>33</v>
      </c>
      <c r="E5725" s="24" t="n">
        <v>0</v>
      </c>
      <c r="F5725" s="37" t="n">
        <f aca="false">DATE(YEAR(A5725),MONTH(A5725),1)</f>
        <v>46266</v>
      </c>
      <c r="G5725" s="24" t="str">
        <f aca="false">INDEX(Products!$C$2:$C$49,MATCH(C5725,Products!$A$2:$A$49,0))</f>
        <v>Personal Care</v>
      </c>
      <c r="H5725" s="33" t="n">
        <f aca="false">D5725*INDEX(Products!$E$2:$E$49,MATCH(C5725,Products!$A$2:$A$49,0))</f>
        <v>5280</v>
      </c>
      <c r="I5725" s="33" t="n">
        <f aca="false">D5725*INDEX(Products!$D$2:$D$49,MATCH(C5725,Products!$A$2:$A$49,0))*(1+INDEX(Assumptions!$B$16:$B$20,MATCH(B5725,Assumptions!$A$16:$A$20,0)))</f>
        <v>3837.24</v>
      </c>
      <c r="J5725" s="33" t="n">
        <f aca="false">H5725-I5725</f>
        <v>1442.76</v>
      </c>
      <c r="K5725" s="33" t="n">
        <f aca="false">IF(OR(E5725=0,E5725&gt;=7),0,D5725/(7-E5725)*E5725*INDEX(Products!$E$2:$E$49,MATCH(C5725,Products!$A$2:$A$49,0)))</f>
        <v>0</v>
      </c>
    </row>
    <row r="5726" customFormat="false" ht="15" hidden="false" customHeight="false" outlineLevel="0" collapsed="false">
      <c r="A5726" s="36" t="n">
        <v>46286</v>
      </c>
      <c r="B5726" s="24" t="s">
        <v>65</v>
      </c>
      <c r="C5726" s="24" t="s">
        <v>187</v>
      </c>
      <c r="D5726" s="33" t="n">
        <v>55</v>
      </c>
      <c r="E5726" s="24" t="n">
        <v>0</v>
      </c>
      <c r="F5726" s="37" t="n">
        <f aca="false">DATE(YEAR(A5726),MONTH(A5726),1)</f>
        <v>46266</v>
      </c>
      <c r="G5726" s="24" t="str">
        <f aca="false">INDEX(Products!$C$2:$C$49,MATCH(C5726,Products!$A$2:$A$49,0))</f>
        <v>Personal Care</v>
      </c>
      <c r="H5726" s="33" t="n">
        <f aca="false">D5726*INDEX(Products!$E$2:$E$49,MATCH(C5726,Products!$A$2:$A$49,0))</f>
        <v>8800</v>
      </c>
      <c r="I5726" s="33" t="n">
        <f aca="false">D5726*INDEX(Products!$D$2:$D$49,MATCH(C5726,Products!$A$2:$A$49,0))*(1+INDEX(Assumptions!$B$16:$B$20,MATCH(B5726,Assumptions!$A$16:$A$20,0)))</f>
        <v>6395.4</v>
      </c>
      <c r="J5726" s="33" t="n">
        <f aca="false">H5726-I5726</f>
        <v>2404.6</v>
      </c>
      <c r="K5726" s="33" t="n">
        <f aca="false">IF(OR(E5726=0,E5726&gt;=7),0,D5726/(7-E5726)*E5726*INDEX(Products!$E$2:$E$49,MATCH(C5726,Products!$A$2:$A$49,0)))</f>
        <v>0</v>
      </c>
    </row>
    <row r="5727" customFormat="false" ht="15" hidden="false" customHeight="false" outlineLevel="0" collapsed="false">
      <c r="A5727" s="36" t="n">
        <v>46118</v>
      </c>
      <c r="B5727" s="24" t="s">
        <v>65</v>
      </c>
      <c r="C5727" s="24" t="s">
        <v>189</v>
      </c>
      <c r="D5727" s="33" t="n">
        <v>31</v>
      </c>
      <c r="E5727" s="24" t="n">
        <v>0</v>
      </c>
      <c r="F5727" s="37" t="n">
        <f aca="false">DATE(YEAR(A5727),MONTH(A5727),1)</f>
        <v>46113</v>
      </c>
      <c r="G5727" s="24" t="str">
        <f aca="false">INDEX(Products!$C$2:$C$49,MATCH(C5727,Products!$A$2:$A$49,0))</f>
        <v>Personal Care</v>
      </c>
      <c r="H5727" s="33" t="n">
        <f aca="false">D5727*INDEX(Products!$E$2:$E$49,MATCH(C5727,Products!$A$2:$A$49,0))</f>
        <v>11160</v>
      </c>
      <c r="I5727" s="33" t="n">
        <f aca="false">D5727*INDEX(Products!$D$2:$D$49,MATCH(C5727,Products!$A$2:$A$49,0))*(1+INDEX(Assumptions!$B$16:$B$20,MATCH(B5727,Assumptions!$A$16:$A$20,0)))</f>
        <v>7367.46</v>
      </c>
      <c r="J5727" s="33" t="n">
        <f aca="false">H5727-I5727</f>
        <v>3792.54</v>
      </c>
      <c r="K5727" s="33" t="n">
        <f aca="false">IF(OR(E5727=0,E5727&gt;=7),0,D5727/(7-E5727)*E5727*INDEX(Products!$E$2:$E$49,MATCH(C5727,Products!$A$2:$A$49,0)))</f>
        <v>0</v>
      </c>
    </row>
    <row r="5728" customFormat="false" ht="15" hidden="false" customHeight="false" outlineLevel="0" collapsed="false">
      <c r="A5728" s="36" t="n">
        <v>46125</v>
      </c>
      <c r="B5728" s="24" t="s">
        <v>65</v>
      </c>
      <c r="C5728" s="24" t="s">
        <v>189</v>
      </c>
      <c r="D5728" s="33" t="n">
        <v>24</v>
      </c>
      <c r="E5728" s="24" t="n">
        <v>0</v>
      </c>
      <c r="F5728" s="37" t="n">
        <f aca="false">DATE(YEAR(A5728),MONTH(A5728),1)</f>
        <v>46113</v>
      </c>
      <c r="G5728" s="24" t="str">
        <f aca="false">INDEX(Products!$C$2:$C$49,MATCH(C5728,Products!$A$2:$A$49,0))</f>
        <v>Personal Care</v>
      </c>
      <c r="H5728" s="33" t="n">
        <f aca="false">D5728*INDEX(Products!$E$2:$E$49,MATCH(C5728,Products!$A$2:$A$49,0))</f>
        <v>8640</v>
      </c>
      <c r="I5728" s="33" t="n">
        <f aca="false">D5728*INDEX(Products!$D$2:$D$49,MATCH(C5728,Products!$A$2:$A$49,0))*(1+INDEX(Assumptions!$B$16:$B$20,MATCH(B5728,Assumptions!$A$16:$A$20,0)))</f>
        <v>5703.84</v>
      </c>
      <c r="J5728" s="33" t="n">
        <f aca="false">H5728-I5728</f>
        <v>2936.16</v>
      </c>
      <c r="K5728" s="33" t="n">
        <f aca="false">IF(OR(E5728=0,E5728&gt;=7),0,D5728/(7-E5728)*E5728*INDEX(Products!$E$2:$E$49,MATCH(C5728,Products!$A$2:$A$49,0)))</f>
        <v>0</v>
      </c>
    </row>
    <row r="5729" customFormat="false" ht="15" hidden="false" customHeight="false" outlineLevel="0" collapsed="false">
      <c r="A5729" s="36" t="n">
        <v>46132</v>
      </c>
      <c r="B5729" s="24" t="s">
        <v>65</v>
      </c>
      <c r="C5729" s="24" t="s">
        <v>189</v>
      </c>
      <c r="D5729" s="33" t="n">
        <v>34</v>
      </c>
      <c r="E5729" s="24" t="n">
        <v>0</v>
      </c>
      <c r="F5729" s="37" t="n">
        <f aca="false">DATE(YEAR(A5729),MONTH(A5729),1)</f>
        <v>46113</v>
      </c>
      <c r="G5729" s="24" t="str">
        <f aca="false">INDEX(Products!$C$2:$C$49,MATCH(C5729,Products!$A$2:$A$49,0))</f>
        <v>Personal Care</v>
      </c>
      <c r="H5729" s="33" t="n">
        <f aca="false">D5729*INDEX(Products!$E$2:$E$49,MATCH(C5729,Products!$A$2:$A$49,0))</f>
        <v>12240</v>
      </c>
      <c r="I5729" s="33" t="n">
        <f aca="false">D5729*INDEX(Products!$D$2:$D$49,MATCH(C5729,Products!$A$2:$A$49,0))*(1+INDEX(Assumptions!$B$16:$B$20,MATCH(B5729,Assumptions!$A$16:$A$20,0)))</f>
        <v>8080.44</v>
      </c>
      <c r="J5729" s="33" t="n">
        <f aca="false">H5729-I5729</f>
        <v>4159.56</v>
      </c>
      <c r="K5729" s="33" t="n">
        <f aca="false">IF(OR(E5729=0,E5729&gt;=7),0,D5729/(7-E5729)*E5729*INDEX(Products!$E$2:$E$49,MATCH(C5729,Products!$A$2:$A$49,0)))</f>
        <v>0</v>
      </c>
    </row>
    <row r="5730" customFormat="false" ht="15" hidden="false" customHeight="false" outlineLevel="0" collapsed="false">
      <c r="A5730" s="36" t="n">
        <v>46139</v>
      </c>
      <c r="B5730" s="24" t="s">
        <v>65</v>
      </c>
      <c r="C5730" s="24" t="s">
        <v>189</v>
      </c>
      <c r="D5730" s="33" t="n">
        <v>73</v>
      </c>
      <c r="E5730" s="24" t="n">
        <v>0</v>
      </c>
      <c r="F5730" s="37" t="n">
        <f aca="false">DATE(YEAR(A5730),MONTH(A5730),1)</f>
        <v>46113</v>
      </c>
      <c r="G5730" s="24" t="str">
        <f aca="false">INDEX(Products!$C$2:$C$49,MATCH(C5730,Products!$A$2:$A$49,0))</f>
        <v>Personal Care</v>
      </c>
      <c r="H5730" s="33" t="n">
        <f aca="false">D5730*INDEX(Products!$E$2:$E$49,MATCH(C5730,Products!$A$2:$A$49,0))</f>
        <v>26280</v>
      </c>
      <c r="I5730" s="33" t="n">
        <f aca="false">D5730*INDEX(Products!$D$2:$D$49,MATCH(C5730,Products!$A$2:$A$49,0))*(1+INDEX(Assumptions!$B$16:$B$20,MATCH(B5730,Assumptions!$A$16:$A$20,0)))</f>
        <v>17349.18</v>
      </c>
      <c r="J5730" s="33" t="n">
        <f aca="false">H5730-I5730</f>
        <v>8930.82</v>
      </c>
      <c r="K5730" s="33" t="n">
        <f aca="false">IF(OR(E5730=0,E5730&gt;=7),0,D5730/(7-E5730)*E5730*INDEX(Products!$E$2:$E$49,MATCH(C5730,Products!$A$2:$A$49,0)))</f>
        <v>0</v>
      </c>
    </row>
    <row r="5731" customFormat="false" ht="15" hidden="false" customHeight="false" outlineLevel="0" collapsed="false">
      <c r="A5731" s="36" t="n">
        <v>46146</v>
      </c>
      <c r="B5731" s="24" t="s">
        <v>65</v>
      </c>
      <c r="C5731" s="24" t="s">
        <v>189</v>
      </c>
      <c r="D5731" s="33" t="n">
        <v>36</v>
      </c>
      <c r="E5731" s="24" t="n">
        <v>0</v>
      </c>
      <c r="F5731" s="37" t="n">
        <f aca="false">DATE(YEAR(A5731),MONTH(A5731),1)</f>
        <v>46143</v>
      </c>
      <c r="G5731" s="24" t="str">
        <f aca="false">INDEX(Products!$C$2:$C$49,MATCH(C5731,Products!$A$2:$A$49,0))</f>
        <v>Personal Care</v>
      </c>
      <c r="H5731" s="33" t="n">
        <f aca="false">D5731*INDEX(Products!$E$2:$E$49,MATCH(C5731,Products!$A$2:$A$49,0))</f>
        <v>12960</v>
      </c>
      <c r="I5731" s="33" t="n">
        <f aca="false">D5731*INDEX(Products!$D$2:$D$49,MATCH(C5731,Products!$A$2:$A$49,0))*(1+INDEX(Assumptions!$B$16:$B$20,MATCH(B5731,Assumptions!$A$16:$A$20,0)))</f>
        <v>8555.76</v>
      </c>
      <c r="J5731" s="33" t="n">
        <f aca="false">H5731-I5731</f>
        <v>4404.24</v>
      </c>
      <c r="K5731" s="33" t="n">
        <f aca="false">IF(OR(E5731=0,E5731&gt;=7),0,D5731/(7-E5731)*E5731*INDEX(Products!$E$2:$E$49,MATCH(C5731,Products!$A$2:$A$49,0)))</f>
        <v>0</v>
      </c>
    </row>
    <row r="5732" customFormat="false" ht="15" hidden="false" customHeight="false" outlineLevel="0" collapsed="false">
      <c r="A5732" s="36" t="n">
        <v>46153</v>
      </c>
      <c r="B5732" s="24" t="s">
        <v>65</v>
      </c>
      <c r="C5732" s="24" t="s">
        <v>189</v>
      </c>
      <c r="D5732" s="33" t="n">
        <v>24</v>
      </c>
      <c r="E5732" s="24" t="n">
        <v>2</v>
      </c>
      <c r="F5732" s="37" t="n">
        <f aca="false">DATE(YEAR(A5732),MONTH(A5732),1)</f>
        <v>46143</v>
      </c>
      <c r="G5732" s="24" t="str">
        <f aca="false">INDEX(Products!$C$2:$C$49,MATCH(C5732,Products!$A$2:$A$49,0))</f>
        <v>Personal Care</v>
      </c>
      <c r="H5732" s="33" t="n">
        <f aca="false">D5732*INDEX(Products!$E$2:$E$49,MATCH(C5732,Products!$A$2:$A$49,0))</f>
        <v>8640</v>
      </c>
      <c r="I5732" s="33" t="n">
        <f aca="false">D5732*INDEX(Products!$D$2:$D$49,MATCH(C5732,Products!$A$2:$A$49,0))*(1+INDEX(Assumptions!$B$16:$B$20,MATCH(B5732,Assumptions!$A$16:$A$20,0)))</f>
        <v>5703.84</v>
      </c>
      <c r="J5732" s="33" t="n">
        <f aca="false">H5732-I5732</f>
        <v>2936.16</v>
      </c>
      <c r="K5732" s="33" t="n">
        <f aca="false">IF(OR(E5732=0,E5732&gt;=7),0,D5732/(7-E5732)*E5732*INDEX(Products!$E$2:$E$49,MATCH(C5732,Products!$A$2:$A$49,0)))</f>
        <v>3456</v>
      </c>
    </row>
    <row r="5733" customFormat="false" ht="15" hidden="false" customHeight="false" outlineLevel="0" collapsed="false">
      <c r="A5733" s="36" t="n">
        <v>46160</v>
      </c>
      <c r="B5733" s="24" t="s">
        <v>65</v>
      </c>
      <c r="C5733" s="24" t="s">
        <v>189</v>
      </c>
      <c r="D5733" s="33" t="n">
        <v>31</v>
      </c>
      <c r="E5733" s="24" t="n">
        <v>0</v>
      </c>
      <c r="F5733" s="37" t="n">
        <f aca="false">DATE(YEAR(A5733),MONTH(A5733),1)</f>
        <v>46143</v>
      </c>
      <c r="G5733" s="24" t="str">
        <f aca="false">INDEX(Products!$C$2:$C$49,MATCH(C5733,Products!$A$2:$A$49,0))</f>
        <v>Personal Care</v>
      </c>
      <c r="H5733" s="33" t="n">
        <f aca="false">D5733*INDEX(Products!$E$2:$E$49,MATCH(C5733,Products!$A$2:$A$49,0))</f>
        <v>11160</v>
      </c>
      <c r="I5733" s="33" t="n">
        <f aca="false">D5733*INDEX(Products!$D$2:$D$49,MATCH(C5733,Products!$A$2:$A$49,0))*(1+INDEX(Assumptions!$B$16:$B$20,MATCH(B5733,Assumptions!$A$16:$A$20,0)))</f>
        <v>7367.46</v>
      </c>
      <c r="J5733" s="33" t="n">
        <f aca="false">H5733-I5733</f>
        <v>3792.54</v>
      </c>
      <c r="K5733" s="33" t="n">
        <f aca="false">IF(OR(E5733=0,E5733&gt;=7),0,D5733/(7-E5733)*E5733*INDEX(Products!$E$2:$E$49,MATCH(C5733,Products!$A$2:$A$49,0)))</f>
        <v>0</v>
      </c>
    </row>
    <row r="5734" customFormat="false" ht="15" hidden="false" customHeight="false" outlineLevel="0" collapsed="false">
      <c r="A5734" s="36" t="n">
        <v>46167</v>
      </c>
      <c r="B5734" s="24" t="s">
        <v>65</v>
      </c>
      <c r="C5734" s="24" t="s">
        <v>189</v>
      </c>
      <c r="D5734" s="33" t="n">
        <v>38</v>
      </c>
      <c r="E5734" s="24" t="n">
        <v>0</v>
      </c>
      <c r="F5734" s="37" t="n">
        <f aca="false">DATE(YEAR(A5734),MONTH(A5734),1)</f>
        <v>46143</v>
      </c>
      <c r="G5734" s="24" t="str">
        <f aca="false">INDEX(Products!$C$2:$C$49,MATCH(C5734,Products!$A$2:$A$49,0))</f>
        <v>Personal Care</v>
      </c>
      <c r="H5734" s="33" t="n">
        <f aca="false">D5734*INDEX(Products!$E$2:$E$49,MATCH(C5734,Products!$A$2:$A$49,0))</f>
        <v>13680</v>
      </c>
      <c r="I5734" s="33" t="n">
        <f aca="false">D5734*INDEX(Products!$D$2:$D$49,MATCH(C5734,Products!$A$2:$A$49,0))*(1+INDEX(Assumptions!$B$16:$B$20,MATCH(B5734,Assumptions!$A$16:$A$20,0)))</f>
        <v>9031.08</v>
      </c>
      <c r="J5734" s="33" t="n">
        <f aca="false">H5734-I5734</f>
        <v>4648.92</v>
      </c>
      <c r="K5734" s="33" t="n">
        <f aca="false">IF(OR(E5734=0,E5734&gt;=7),0,D5734/(7-E5734)*E5734*INDEX(Products!$E$2:$E$49,MATCH(C5734,Products!$A$2:$A$49,0)))</f>
        <v>0</v>
      </c>
    </row>
    <row r="5735" customFormat="false" ht="15" hidden="false" customHeight="false" outlineLevel="0" collapsed="false">
      <c r="A5735" s="36" t="n">
        <v>46174</v>
      </c>
      <c r="B5735" s="24" t="s">
        <v>65</v>
      </c>
      <c r="C5735" s="24" t="s">
        <v>189</v>
      </c>
      <c r="D5735" s="33" t="n">
        <v>34</v>
      </c>
      <c r="E5735" s="24" t="n">
        <v>0</v>
      </c>
      <c r="F5735" s="37" t="n">
        <f aca="false">DATE(YEAR(A5735),MONTH(A5735),1)</f>
        <v>46174</v>
      </c>
      <c r="G5735" s="24" t="str">
        <f aca="false">INDEX(Products!$C$2:$C$49,MATCH(C5735,Products!$A$2:$A$49,0))</f>
        <v>Personal Care</v>
      </c>
      <c r="H5735" s="33" t="n">
        <f aca="false">D5735*INDEX(Products!$E$2:$E$49,MATCH(C5735,Products!$A$2:$A$49,0))</f>
        <v>12240</v>
      </c>
      <c r="I5735" s="33" t="n">
        <f aca="false">D5735*INDEX(Products!$D$2:$D$49,MATCH(C5735,Products!$A$2:$A$49,0))*(1+INDEX(Assumptions!$B$16:$B$20,MATCH(B5735,Assumptions!$A$16:$A$20,0)))</f>
        <v>8080.44</v>
      </c>
      <c r="J5735" s="33" t="n">
        <f aca="false">H5735-I5735</f>
        <v>4159.56</v>
      </c>
      <c r="K5735" s="33" t="n">
        <f aca="false">IF(OR(E5735=0,E5735&gt;=7),0,D5735/(7-E5735)*E5735*INDEX(Products!$E$2:$E$49,MATCH(C5735,Products!$A$2:$A$49,0)))</f>
        <v>0</v>
      </c>
    </row>
    <row r="5736" customFormat="false" ht="15" hidden="false" customHeight="false" outlineLevel="0" collapsed="false">
      <c r="A5736" s="36" t="n">
        <v>46181</v>
      </c>
      <c r="B5736" s="24" t="s">
        <v>65</v>
      </c>
      <c r="C5736" s="24" t="s">
        <v>189</v>
      </c>
      <c r="D5736" s="33" t="n">
        <v>34</v>
      </c>
      <c r="E5736" s="24" t="n">
        <v>0</v>
      </c>
      <c r="F5736" s="37" t="n">
        <f aca="false">DATE(YEAR(A5736),MONTH(A5736),1)</f>
        <v>46174</v>
      </c>
      <c r="G5736" s="24" t="str">
        <f aca="false">INDEX(Products!$C$2:$C$49,MATCH(C5736,Products!$A$2:$A$49,0))</f>
        <v>Personal Care</v>
      </c>
      <c r="H5736" s="33" t="n">
        <f aca="false">D5736*INDEX(Products!$E$2:$E$49,MATCH(C5736,Products!$A$2:$A$49,0))</f>
        <v>12240</v>
      </c>
      <c r="I5736" s="33" t="n">
        <f aca="false">D5736*INDEX(Products!$D$2:$D$49,MATCH(C5736,Products!$A$2:$A$49,0))*(1+INDEX(Assumptions!$B$16:$B$20,MATCH(B5736,Assumptions!$A$16:$A$20,0)))</f>
        <v>8080.44</v>
      </c>
      <c r="J5736" s="33" t="n">
        <f aca="false">H5736-I5736</f>
        <v>4159.56</v>
      </c>
      <c r="K5736" s="33" t="n">
        <f aca="false">IF(OR(E5736=0,E5736&gt;=7),0,D5736/(7-E5736)*E5736*INDEX(Products!$E$2:$E$49,MATCH(C5736,Products!$A$2:$A$49,0)))</f>
        <v>0</v>
      </c>
    </row>
    <row r="5737" customFormat="false" ht="15" hidden="false" customHeight="false" outlineLevel="0" collapsed="false">
      <c r="A5737" s="36" t="n">
        <v>46188</v>
      </c>
      <c r="B5737" s="24" t="s">
        <v>65</v>
      </c>
      <c r="C5737" s="24" t="s">
        <v>189</v>
      </c>
      <c r="D5737" s="33" t="n">
        <v>48</v>
      </c>
      <c r="E5737" s="24" t="n">
        <v>0</v>
      </c>
      <c r="F5737" s="37" t="n">
        <f aca="false">DATE(YEAR(A5737),MONTH(A5737),1)</f>
        <v>46174</v>
      </c>
      <c r="G5737" s="24" t="str">
        <f aca="false">INDEX(Products!$C$2:$C$49,MATCH(C5737,Products!$A$2:$A$49,0))</f>
        <v>Personal Care</v>
      </c>
      <c r="H5737" s="33" t="n">
        <f aca="false">D5737*INDEX(Products!$E$2:$E$49,MATCH(C5737,Products!$A$2:$A$49,0))</f>
        <v>17280</v>
      </c>
      <c r="I5737" s="33" t="n">
        <f aca="false">D5737*INDEX(Products!$D$2:$D$49,MATCH(C5737,Products!$A$2:$A$49,0))*(1+INDEX(Assumptions!$B$16:$B$20,MATCH(B5737,Assumptions!$A$16:$A$20,0)))</f>
        <v>11407.68</v>
      </c>
      <c r="J5737" s="33" t="n">
        <f aca="false">H5737-I5737</f>
        <v>5872.32</v>
      </c>
      <c r="K5737" s="33" t="n">
        <f aca="false">IF(OR(E5737=0,E5737&gt;=7),0,D5737/(7-E5737)*E5737*INDEX(Products!$E$2:$E$49,MATCH(C5737,Products!$A$2:$A$49,0)))</f>
        <v>0</v>
      </c>
    </row>
    <row r="5738" customFormat="false" ht="15" hidden="false" customHeight="false" outlineLevel="0" collapsed="false">
      <c r="A5738" s="36" t="n">
        <v>46195</v>
      </c>
      <c r="B5738" s="24" t="s">
        <v>65</v>
      </c>
      <c r="C5738" s="24" t="s">
        <v>189</v>
      </c>
      <c r="D5738" s="33" t="n">
        <v>29</v>
      </c>
      <c r="E5738" s="24" t="n">
        <v>0</v>
      </c>
      <c r="F5738" s="37" t="n">
        <f aca="false">DATE(YEAR(A5738),MONTH(A5738),1)</f>
        <v>46174</v>
      </c>
      <c r="G5738" s="24" t="str">
        <f aca="false">INDEX(Products!$C$2:$C$49,MATCH(C5738,Products!$A$2:$A$49,0))</f>
        <v>Personal Care</v>
      </c>
      <c r="H5738" s="33" t="n">
        <f aca="false">D5738*INDEX(Products!$E$2:$E$49,MATCH(C5738,Products!$A$2:$A$49,0))</f>
        <v>10440</v>
      </c>
      <c r="I5738" s="33" t="n">
        <f aca="false">D5738*INDEX(Products!$D$2:$D$49,MATCH(C5738,Products!$A$2:$A$49,0))*(1+INDEX(Assumptions!$B$16:$B$20,MATCH(B5738,Assumptions!$A$16:$A$20,0)))</f>
        <v>6892.14</v>
      </c>
      <c r="J5738" s="33" t="n">
        <f aca="false">H5738-I5738</f>
        <v>3547.86</v>
      </c>
      <c r="K5738" s="33" t="n">
        <f aca="false">IF(OR(E5738=0,E5738&gt;=7),0,D5738/(7-E5738)*E5738*INDEX(Products!$E$2:$E$49,MATCH(C5738,Products!$A$2:$A$49,0)))</f>
        <v>0</v>
      </c>
    </row>
    <row r="5739" customFormat="false" ht="15" hidden="false" customHeight="false" outlineLevel="0" collapsed="false">
      <c r="A5739" s="36" t="n">
        <v>46202</v>
      </c>
      <c r="B5739" s="24" t="s">
        <v>65</v>
      </c>
      <c r="C5739" s="24" t="s">
        <v>189</v>
      </c>
      <c r="D5739" s="33" t="n">
        <v>36</v>
      </c>
      <c r="E5739" s="24" t="n">
        <v>0</v>
      </c>
      <c r="F5739" s="37" t="n">
        <f aca="false">DATE(YEAR(A5739),MONTH(A5739),1)</f>
        <v>46174</v>
      </c>
      <c r="G5739" s="24" t="str">
        <f aca="false">INDEX(Products!$C$2:$C$49,MATCH(C5739,Products!$A$2:$A$49,0))</f>
        <v>Personal Care</v>
      </c>
      <c r="H5739" s="33" t="n">
        <f aca="false">D5739*INDEX(Products!$E$2:$E$49,MATCH(C5739,Products!$A$2:$A$49,0))</f>
        <v>12960</v>
      </c>
      <c r="I5739" s="33" t="n">
        <f aca="false">D5739*INDEX(Products!$D$2:$D$49,MATCH(C5739,Products!$A$2:$A$49,0))*(1+INDEX(Assumptions!$B$16:$B$20,MATCH(B5739,Assumptions!$A$16:$A$20,0)))</f>
        <v>8555.76</v>
      </c>
      <c r="J5739" s="33" t="n">
        <f aca="false">H5739-I5739</f>
        <v>4404.24</v>
      </c>
      <c r="K5739" s="33" t="n">
        <f aca="false">IF(OR(E5739=0,E5739&gt;=7),0,D5739/(7-E5739)*E5739*INDEX(Products!$E$2:$E$49,MATCH(C5739,Products!$A$2:$A$49,0)))</f>
        <v>0</v>
      </c>
    </row>
    <row r="5740" customFormat="false" ht="15" hidden="false" customHeight="false" outlineLevel="0" collapsed="false">
      <c r="A5740" s="36" t="n">
        <v>46209</v>
      </c>
      <c r="B5740" s="24" t="s">
        <v>65</v>
      </c>
      <c r="C5740" s="24" t="s">
        <v>189</v>
      </c>
      <c r="D5740" s="33" t="n">
        <v>24</v>
      </c>
      <c r="E5740" s="24" t="n">
        <v>0</v>
      </c>
      <c r="F5740" s="37" t="n">
        <f aca="false">DATE(YEAR(A5740),MONTH(A5740),1)</f>
        <v>46204</v>
      </c>
      <c r="G5740" s="24" t="str">
        <f aca="false">INDEX(Products!$C$2:$C$49,MATCH(C5740,Products!$A$2:$A$49,0))</f>
        <v>Personal Care</v>
      </c>
      <c r="H5740" s="33" t="n">
        <f aca="false">D5740*INDEX(Products!$E$2:$E$49,MATCH(C5740,Products!$A$2:$A$49,0))</f>
        <v>8640</v>
      </c>
      <c r="I5740" s="33" t="n">
        <f aca="false">D5740*INDEX(Products!$D$2:$D$49,MATCH(C5740,Products!$A$2:$A$49,0))*(1+INDEX(Assumptions!$B$16:$B$20,MATCH(B5740,Assumptions!$A$16:$A$20,0)))</f>
        <v>5703.84</v>
      </c>
      <c r="J5740" s="33" t="n">
        <f aca="false">H5740-I5740</f>
        <v>2936.16</v>
      </c>
      <c r="K5740" s="33" t="n">
        <f aca="false">IF(OR(E5740=0,E5740&gt;=7),0,D5740/(7-E5740)*E5740*INDEX(Products!$E$2:$E$49,MATCH(C5740,Products!$A$2:$A$49,0)))</f>
        <v>0</v>
      </c>
    </row>
    <row r="5741" customFormat="false" ht="15" hidden="false" customHeight="false" outlineLevel="0" collapsed="false">
      <c r="A5741" s="36" t="n">
        <v>46216</v>
      </c>
      <c r="B5741" s="24" t="s">
        <v>65</v>
      </c>
      <c r="C5741" s="24" t="s">
        <v>189</v>
      </c>
      <c r="D5741" s="33" t="n">
        <v>36</v>
      </c>
      <c r="E5741" s="24" t="n">
        <v>0</v>
      </c>
      <c r="F5741" s="37" t="n">
        <f aca="false">DATE(YEAR(A5741),MONTH(A5741),1)</f>
        <v>46204</v>
      </c>
      <c r="G5741" s="24" t="str">
        <f aca="false">INDEX(Products!$C$2:$C$49,MATCH(C5741,Products!$A$2:$A$49,0))</f>
        <v>Personal Care</v>
      </c>
      <c r="H5741" s="33" t="n">
        <f aca="false">D5741*INDEX(Products!$E$2:$E$49,MATCH(C5741,Products!$A$2:$A$49,0))</f>
        <v>12960</v>
      </c>
      <c r="I5741" s="33" t="n">
        <f aca="false">D5741*INDEX(Products!$D$2:$D$49,MATCH(C5741,Products!$A$2:$A$49,0))*(1+INDEX(Assumptions!$B$16:$B$20,MATCH(B5741,Assumptions!$A$16:$A$20,0)))</f>
        <v>8555.76</v>
      </c>
      <c r="J5741" s="33" t="n">
        <f aca="false">H5741-I5741</f>
        <v>4404.24</v>
      </c>
      <c r="K5741" s="33" t="n">
        <f aca="false">IF(OR(E5741=0,E5741&gt;=7),0,D5741/(7-E5741)*E5741*INDEX(Products!$E$2:$E$49,MATCH(C5741,Products!$A$2:$A$49,0)))</f>
        <v>0</v>
      </c>
    </row>
    <row r="5742" customFormat="false" ht="15" hidden="false" customHeight="false" outlineLevel="0" collapsed="false">
      <c r="A5742" s="36" t="n">
        <v>46223</v>
      </c>
      <c r="B5742" s="24" t="s">
        <v>65</v>
      </c>
      <c r="C5742" s="24" t="s">
        <v>189</v>
      </c>
      <c r="D5742" s="33" t="n">
        <v>21</v>
      </c>
      <c r="E5742" s="24" t="n">
        <v>0</v>
      </c>
      <c r="F5742" s="37" t="n">
        <f aca="false">DATE(YEAR(A5742),MONTH(A5742),1)</f>
        <v>46204</v>
      </c>
      <c r="G5742" s="24" t="str">
        <f aca="false">INDEX(Products!$C$2:$C$49,MATCH(C5742,Products!$A$2:$A$49,0))</f>
        <v>Personal Care</v>
      </c>
      <c r="H5742" s="33" t="n">
        <f aca="false">D5742*INDEX(Products!$E$2:$E$49,MATCH(C5742,Products!$A$2:$A$49,0))</f>
        <v>7560</v>
      </c>
      <c r="I5742" s="33" t="n">
        <f aca="false">D5742*INDEX(Products!$D$2:$D$49,MATCH(C5742,Products!$A$2:$A$49,0))*(1+INDEX(Assumptions!$B$16:$B$20,MATCH(B5742,Assumptions!$A$16:$A$20,0)))</f>
        <v>4990.86</v>
      </c>
      <c r="J5742" s="33" t="n">
        <f aca="false">H5742-I5742</f>
        <v>2569.14</v>
      </c>
      <c r="K5742" s="33" t="n">
        <f aca="false">IF(OR(E5742=0,E5742&gt;=7),0,D5742/(7-E5742)*E5742*INDEX(Products!$E$2:$E$49,MATCH(C5742,Products!$A$2:$A$49,0)))</f>
        <v>0</v>
      </c>
    </row>
    <row r="5743" customFormat="false" ht="15" hidden="false" customHeight="false" outlineLevel="0" collapsed="false">
      <c r="A5743" s="36" t="n">
        <v>46230</v>
      </c>
      <c r="B5743" s="24" t="s">
        <v>65</v>
      </c>
      <c r="C5743" s="24" t="s">
        <v>189</v>
      </c>
      <c r="D5743" s="33" t="n">
        <v>28</v>
      </c>
      <c r="E5743" s="24" t="n">
        <v>0</v>
      </c>
      <c r="F5743" s="37" t="n">
        <f aca="false">DATE(YEAR(A5743),MONTH(A5743),1)</f>
        <v>46204</v>
      </c>
      <c r="G5743" s="24" t="str">
        <f aca="false">INDEX(Products!$C$2:$C$49,MATCH(C5743,Products!$A$2:$A$49,0))</f>
        <v>Personal Care</v>
      </c>
      <c r="H5743" s="33" t="n">
        <f aca="false">D5743*INDEX(Products!$E$2:$E$49,MATCH(C5743,Products!$A$2:$A$49,0))</f>
        <v>10080</v>
      </c>
      <c r="I5743" s="33" t="n">
        <f aca="false">D5743*INDEX(Products!$D$2:$D$49,MATCH(C5743,Products!$A$2:$A$49,0))*(1+INDEX(Assumptions!$B$16:$B$20,MATCH(B5743,Assumptions!$A$16:$A$20,0)))</f>
        <v>6654.48</v>
      </c>
      <c r="J5743" s="33" t="n">
        <f aca="false">H5743-I5743</f>
        <v>3425.52</v>
      </c>
      <c r="K5743" s="33" t="n">
        <f aca="false">IF(OR(E5743=0,E5743&gt;=7),0,D5743/(7-E5743)*E5743*INDEX(Products!$E$2:$E$49,MATCH(C5743,Products!$A$2:$A$49,0)))</f>
        <v>0</v>
      </c>
    </row>
    <row r="5744" customFormat="false" ht="15" hidden="false" customHeight="false" outlineLevel="0" collapsed="false">
      <c r="A5744" s="36" t="n">
        <v>46237</v>
      </c>
      <c r="B5744" s="24" t="s">
        <v>65</v>
      </c>
      <c r="C5744" s="24" t="s">
        <v>189</v>
      </c>
      <c r="D5744" s="33" t="n">
        <v>27</v>
      </c>
      <c r="E5744" s="24" t="n">
        <v>0</v>
      </c>
      <c r="F5744" s="37" t="n">
        <f aca="false">DATE(YEAR(A5744),MONTH(A5744),1)</f>
        <v>46235</v>
      </c>
      <c r="G5744" s="24" t="str">
        <f aca="false">INDEX(Products!$C$2:$C$49,MATCH(C5744,Products!$A$2:$A$49,0))</f>
        <v>Personal Care</v>
      </c>
      <c r="H5744" s="33" t="n">
        <f aca="false">D5744*INDEX(Products!$E$2:$E$49,MATCH(C5744,Products!$A$2:$A$49,0))</f>
        <v>9720</v>
      </c>
      <c r="I5744" s="33" t="n">
        <f aca="false">D5744*INDEX(Products!$D$2:$D$49,MATCH(C5744,Products!$A$2:$A$49,0))*(1+INDEX(Assumptions!$B$16:$B$20,MATCH(B5744,Assumptions!$A$16:$A$20,0)))</f>
        <v>6416.82</v>
      </c>
      <c r="J5744" s="33" t="n">
        <f aca="false">H5744-I5744</f>
        <v>3303.18</v>
      </c>
      <c r="K5744" s="33" t="n">
        <f aca="false">IF(OR(E5744=0,E5744&gt;=7),0,D5744/(7-E5744)*E5744*INDEX(Products!$E$2:$E$49,MATCH(C5744,Products!$A$2:$A$49,0)))</f>
        <v>0</v>
      </c>
    </row>
    <row r="5745" customFormat="false" ht="15" hidden="false" customHeight="false" outlineLevel="0" collapsed="false">
      <c r="A5745" s="36" t="n">
        <v>46244</v>
      </c>
      <c r="B5745" s="24" t="s">
        <v>65</v>
      </c>
      <c r="C5745" s="24" t="s">
        <v>189</v>
      </c>
      <c r="D5745" s="33" t="n">
        <v>63</v>
      </c>
      <c r="E5745" s="24" t="n">
        <v>0</v>
      </c>
      <c r="F5745" s="37" t="n">
        <f aca="false">DATE(YEAR(A5745),MONTH(A5745),1)</f>
        <v>46235</v>
      </c>
      <c r="G5745" s="24" t="str">
        <f aca="false">INDEX(Products!$C$2:$C$49,MATCH(C5745,Products!$A$2:$A$49,0))</f>
        <v>Personal Care</v>
      </c>
      <c r="H5745" s="33" t="n">
        <f aca="false">D5745*INDEX(Products!$E$2:$E$49,MATCH(C5745,Products!$A$2:$A$49,0))</f>
        <v>22680</v>
      </c>
      <c r="I5745" s="33" t="n">
        <f aca="false">D5745*INDEX(Products!$D$2:$D$49,MATCH(C5745,Products!$A$2:$A$49,0))*(1+INDEX(Assumptions!$B$16:$B$20,MATCH(B5745,Assumptions!$A$16:$A$20,0)))</f>
        <v>14972.58</v>
      </c>
      <c r="J5745" s="33" t="n">
        <f aca="false">H5745-I5745</f>
        <v>7707.42</v>
      </c>
      <c r="K5745" s="33" t="n">
        <f aca="false">IF(OR(E5745=0,E5745&gt;=7),0,D5745/(7-E5745)*E5745*INDEX(Products!$E$2:$E$49,MATCH(C5745,Products!$A$2:$A$49,0)))</f>
        <v>0</v>
      </c>
    </row>
    <row r="5746" customFormat="false" ht="15" hidden="false" customHeight="false" outlineLevel="0" collapsed="false">
      <c r="A5746" s="36" t="n">
        <v>46251</v>
      </c>
      <c r="B5746" s="24" t="s">
        <v>65</v>
      </c>
      <c r="C5746" s="24" t="s">
        <v>189</v>
      </c>
      <c r="D5746" s="33" t="n">
        <v>31</v>
      </c>
      <c r="E5746" s="24" t="n">
        <v>0</v>
      </c>
      <c r="F5746" s="37" t="n">
        <f aca="false">DATE(YEAR(A5746),MONTH(A5746),1)</f>
        <v>46235</v>
      </c>
      <c r="G5746" s="24" t="str">
        <f aca="false">INDEX(Products!$C$2:$C$49,MATCH(C5746,Products!$A$2:$A$49,0))</f>
        <v>Personal Care</v>
      </c>
      <c r="H5746" s="33" t="n">
        <f aca="false">D5746*INDEX(Products!$E$2:$E$49,MATCH(C5746,Products!$A$2:$A$49,0))</f>
        <v>11160</v>
      </c>
      <c r="I5746" s="33" t="n">
        <f aca="false">D5746*INDEX(Products!$D$2:$D$49,MATCH(C5746,Products!$A$2:$A$49,0))*(1+INDEX(Assumptions!$B$16:$B$20,MATCH(B5746,Assumptions!$A$16:$A$20,0)))</f>
        <v>7367.46</v>
      </c>
      <c r="J5746" s="33" t="n">
        <f aca="false">H5746-I5746</f>
        <v>3792.54</v>
      </c>
      <c r="K5746" s="33" t="n">
        <f aca="false">IF(OR(E5746=0,E5746&gt;=7),0,D5746/(7-E5746)*E5746*INDEX(Products!$E$2:$E$49,MATCH(C5746,Products!$A$2:$A$49,0)))</f>
        <v>0</v>
      </c>
    </row>
    <row r="5747" customFormat="false" ht="15" hidden="false" customHeight="false" outlineLevel="0" collapsed="false">
      <c r="A5747" s="36" t="n">
        <v>46258</v>
      </c>
      <c r="B5747" s="24" t="s">
        <v>65</v>
      </c>
      <c r="C5747" s="24" t="s">
        <v>189</v>
      </c>
      <c r="D5747" s="33" t="n">
        <v>37</v>
      </c>
      <c r="E5747" s="24" t="n">
        <v>0</v>
      </c>
      <c r="F5747" s="37" t="n">
        <f aca="false">DATE(YEAR(A5747),MONTH(A5747),1)</f>
        <v>46235</v>
      </c>
      <c r="G5747" s="24" t="str">
        <f aca="false">INDEX(Products!$C$2:$C$49,MATCH(C5747,Products!$A$2:$A$49,0))</f>
        <v>Personal Care</v>
      </c>
      <c r="H5747" s="33" t="n">
        <f aca="false">D5747*INDEX(Products!$E$2:$E$49,MATCH(C5747,Products!$A$2:$A$49,0))</f>
        <v>13320</v>
      </c>
      <c r="I5747" s="33" t="n">
        <f aca="false">D5747*INDEX(Products!$D$2:$D$49,MATCH(C5747,Products!$A$2:$A$49,0))*(1+INDEX(Assumptions!$B$16:$B$20,MATCH(B5747,Assumptions!$A$16:$A$20,0)))</f>
        <v>8793.42</v>
      </c>
      <c r="J5747" s="33" t="n">
        <f aca="false">H5747-I5747</f>
        <v>4526.58</v>
      </c>
      <c r="K5747" s="33" t="n">
        <f aca="false">IF(OR(E5747=0,E5747&gt;=7),0,D5747/(7-E5747)*E5747*INDEX(Products!$E$2:$E$49,MATCH(C5747,Products!$A$2:$A$49,0)))</f>
        <v>0</v>
      </c>
    </row>
    <row r="5748" customFormat="false" ht="15" hidden="false" customHeight="false" outlineLevel="0" collapsed="false">
      <c r="A5748" s="36" t="n">
        <v>46265</v>
      </c>
      <c r="B5748" s="24" t="s">
        <v>65</v>
      </c>
      <c r="C5748" s="24" t="s">
        <v>189</v>
      </c>
      <c r="D5748" s="33" t="n">
        <v>33</v>
      </c>
      <c r="E5748" s="24" t="n">
        <v>0</v>
      </c>
      <c r="F5748" s="37" t="n">
        <f aca="false">DATE(YEAR(A5748),MONTH(A5748),1)</f>
        <v>46235</v>
      </c>
      <c r="G5748" s="24" t="str">
        <f aca="false">INDEX(Products!$C$2:$C$49,MATCH(C5748,Products!$A$2:$A$49,0))</f>
        <v>Personal Care</v>
      </c>
      <c r="H5748" s="33" t="n">
        <f aca="false">D5748*INDEX(Products!$E$2:$E$49,MATCH(C5748,Products!$A$2:$A$49,0))</f>
        <v>11880</v>
      </c>
      <c r="I5748" s="33" t="n">
        <f aca="false">D5748*INDEX(Products!$D$2:$D$49,MATCH(C5748,Products!$A$2:$A$49,0))*(1+INDEX(Assumptions!$B$16:$B$20,MATCH(B5748,Assumptions!$A$16:$A$20,0)))</f>
        <v>7842.78</v>
      </c>
      <c r="J5748" s="33" t="n">
        <f aca="false">H5748-I5748</f>
        <v>4037.22</v>
      </c>
      <c r="K5748" s="33" t="n">
        <f aca="false">IF(OR(E5748=0,E5748&gt;=7),0,D5748/(7-E5748)*E5748*INDEX(Products!$E$2:$E$49,MATCH(C5748,Products!$A$2:$A$49,0)))</f>
        <v>0</v>
      </c>
    </row>
    <row r="5749" customFormat="false" ht="15" hidden="false" customHeight="false" outlineLevel="0" collapsed="false">
      <c r="A5749" s="36" t="n">
        <v>46272</v>
      </c>
      <c r="B5749" s="24" t="s">
        <v>65</v>
      </c>
      <c r="C5749" s="24" t="s">
        <v>189</v>
      </c>
      <c r="D5749" s="33" t="n">
        <v>33</v>
      </c>
      <c r="E5749" s="24" t="n">
        <v>0</v>
      </c>
      <c r="F5749" s="37" t="n">
        <f aca="false">DATE(YEAR(A5749),MONTH(A5749),1)</f>
        <v>46266</v>
      </c>
      <c r="G5749" s="24" t="str">
        <f aca="false">INDEX(Products!$C$2:$C$49,MATCH(C5749,Products!$A$2:$A$49,0))</f>
        <v>Personal Care</v>
      </c>
      <c r="H5749" s="33" t="n">
        <f aca="false">D5749*INDEX(Products!$E$2:$E$49,MATCH(C5749,Products!$A$2:$A$49,0))</f>
        <v>11880</v>
      </c>
      <c r="I5749" s="33" t="n">
        <f aca="false">D5749*INDEX(Products!$D$2:$D$49,MATCH(C5749,Products!$A$2:$A$49,0))*(1+INDEX(Assumptions!$B$16:$B$20,MATCH(B5749,Assumptions!$A$16:$A$20,0)))</f>
        <v>7842.78</v>
      </c>
      <c r="J5749" s="33" t="n">
        <f aca="false">H5749-I5749</f>
        <v>4037.22</v>
      </c>
      <c r="K5749" s="33" t="n">
        <f aca="false">IF(OR(E5749=0,E5749&gt;=7),0,D5749/(7-E5749)*E5749*INDEX(Products!$E$2:$E$49,MATCH(C5749,Products!$A$2:$A$49,0)))</f>
        <v>0</v>
      </c>
    </row>
    <row r="5750" customFormat="false" ht="15" hidden="false" customHeight="false" outlineLevel="0" collapsed="false">
      <c r="A5750" s="36" t="n">
        <v>46279</v>
      </c>
      <c r="B5750" s="24" t="s">
        <v>65</v>
      </c>
      <c r="C5750" s="24" t="s">
        <v>189</v>
      </c>
      <c r="D5750" s="33" t="n">
        <v>20</v>
      </c>
      <c r="E5750" s="24" t="n">
        <v>0</v>
      </c>
      <c r="F5750" s="37" t="n">
        <f aca="false">DATE(YEAR(A5750),MONTH(A5750),1)</f>
        <v>46266</v>
      </c>
      <c r="G5750" s="24" t="str">
        <f aca="false">INDEX(Products!$C$2:$C$49,MATCH(C5750,Products!$A$2:$A$49,0))</f>
        <v>Personal Care</v>
      </c>
      <c r="H5750" s="33" t="n">
        <f aca="false">D5750*INDEX(Products!$E$2:$E$49,MATCH(C5750,Products!$A$2:$A$49,0))</f>
        <v>7200</v>
      </c>
      <c r="I5750" s="33" t="n">
        <f aca="false">D5750*INDEX(Products!$D$2:$D$49,MATCH(C5750,Products!$A$2:$A$49,0))*(1+INDEX(Assumptions!$B$16:$B$20,MATCH(B5750,Assumptions!$A$16:$A$20,0)))</f>
        <v>4753.2</v>
      </c>
      <c r="J5750" s="33" t="n">
        <f aca="false">H5750-I5750</f>
        <v>2446.8</v>
      </c>
      <c r="K5750" s="33" t="n">
        <f aca="false">IF(OR(E5750=0,E5750&gt;=7),0,D5750/(7-E5750)*E5750*INDEX(Products!$E$2:$E$49,MATCH(C5750,Products!$A$2:$A$49,0)))</f>
        <v>0</v>
      </c>
    </row>
    <row r="5751" customFormat="false" ht="15" hidden="false" customHeight="false" outlineLevel="0" collapsed="false">
      <c r="A5751" s="36" t="n">
        <v>46286</v>
      </c>
      <c r="B5751" s="24" t="s">
        <v>65</v>
      </c>
      <c r="C5751" s="24" t="s">
        <v>189</v>
      </c>
      <c r="D5751" s="33" t="n">
        <v>37</v>
      </c>
      <c r="E5751" s="24" t="n">
        <v>0</v>
      </c>
      <c r="F5751" s="37" t="n">
        <f aca="false">DATE(YEAR(A5751),MONTH(A5751),1)</f>
        <v>46266</v>
      </c>
      <c r="G5751" s="24" t="str">
        <f aca="false">INDEX(Products!$C$2:$C$49,MATCH(C5751,Products!$A$2:$A$49,0))</f>
        <v>Personal Care</v>
      </c>
      <c r="H5751" s="33" t="n">
        <f aca="false">D5751*INDEX(Products!$E$2:$E$49,MATCH(C5751,Products!$A$2:$A$49,0))</f>
        <v>13320</v>
      </c>
      <c r="I5751" s="33" t="n">
        <f aca="false">D5751*INDEX(Products!$D$2:$D$49,MATCH(C5751,Products!$A$2:$A$49,0))*(1+INDEX(Assumptions!$B$16:$B$20,MATCH(B5751,Assumptions!$A$16:$A$20,0)))</f>
        <v>8793.42</v>
      </c>
      <c r="J5751" s="33" t="n">
        <f aca="false">H5751-I5751</f>
        <v>4526.58</v>
      </c>
      <c r="K5751" s="33" t="n">
        <f aca="false">IF(OR(E5751=0,E5751&gt;=7),0,D5751/(7-E5751)*E5751*INDEX(Products!$E$2:$E$49,MATCH(C5751,Products!$A$2:$A$49,0)))</f>
        <v>0</v>
      </c>
    </row>
    <row r="5752" customFormat="false" ht="15" hidden="false" customHeight="false" outlineLevel="0" collapsed="false">
      <c r="A5752" s="36" t="n">
        <v>46118</v>
      </c>
      <c r="B5752" s="24" t="s">
        <v>65</v>
      </c>
      <c r="C5752" s="24" t="s">
        <v>191</v>
      </c>
      <c r="D5752" s="33" t="n">
        <v>3</v>
      </c>
      <c r="E5752" s="24" t="n">
        <v>5</v>
      </c>
      <c r="F5752" s="37" t="n">
        <f aca="false">DATE(YEAR(A5752),MONTH(A5752),1)</f>
        <v>46113</v>
      </c>
      <c r="G5752" s="24" t="str">
        <f aca="false">INDEX(Products!$C$2:$C$49,MATCH(C5752,Products!$A$2:$A$49,0))</f>
        <v>Personal Care</v>
      </c>
      <c r="H5752" s="33" t="n">
        <f aca="false">D5752*INDEX(Products!$E$2:$E$49,MATCH(C5752,Products!$A$2:$A$49,0))</f>
        <v>630</v>
      </c>
      <c r="I5752" s="33" t="n">
        <f aca="false">D5752*INDEX(Products!$D$2:$D$49,MATCH(C5752,Products!$A$2:$A$49,0))*(1+INDEX(Assumptions!$B$16:$B$20,MATCH(B5752,Assumptions!$A$16:$A$20,0)))</f>
        <v>394.74</v>
      </c>
      <c r="J5752" s="33" t="n">
        <f aca="false">H5752-I5752</f>
        <v>235.26</v>
      </c>
      <c r="K5752" s="33" t="n">
        <f aca="false">IF(OR(E5752=0,E5752&gt;=7),0,D5752/(7-E5752)*E5752*INDEX(Products!$E$2:$E$49,MATCH(C5752,Products!$A$2:$A$49,0)))</f>
        <v>1575</v>
      </c>
    </row>
    <row r="5753" customFormat="false" ht="15" hidden="false" customHeight="false" outlineLevel="0" collapsed="false">
      <c r="A5753" s="36" t="n">
        <v>46125</v>
      </c>
      <c r="B5753" s="24" t="s">
        <v>65</v>
      </c>
      <c r="C5753" s="24" t="s">
        <v>191</v>
      </c>
      <c r="D5753" s="33" t="n">
        <v>29</v>
      </c>
      <c r="E5753" s="24" t="n">
        <v>0</v>
      </c>
      <c r="F5753" s="37" t="n">
        <f aca="false">DATE(YEAR(A5753),MONTH(A5753),1)</f>
        <v>46113</v>
      </c>
      <c r="G5753" s="24" t="str">
        <f aca="false">INDEX(Products!$C$2:$C$49,MATCH(C5753,Products!$A$2:$A$49,0))</f>
        <v>Personal Care</v>
      </c>
      <c r="H5753" s="33" t="n">
        <f aca="false">D5753*INDEX(Products!$E$2:$E$49,MATCH(C5753,Products!$A$2:$A$49,0))</f>
        <v>6090</v>
      </c>
      <c r="I5753" s="33" t="n">
        <f aca="false">D5753*INDEX(Products!$D$2:$D$49,MATCH(C5753,Products!$A$2:$A$49,0))*(1+INDEX(Assumptions!$B$16:$B$20,MATCH(B5753,Assumptions!$A$16:$A$20,0)))</f>
        <v>3815.82</v>
      </c>
      <c r="J5753" s="33" t="n">
        <f aca="false">H5753-I5753</f>
        <v>2274.18</v>
      </c>
      <c r="K5753" s="33" t="n">
        <f aca="false">IF(OR(E5753=0,E5753&gt;=7),0,D5753/(7-E5753)*E5753*INDEX(Products!$E$2:$E$49,MATCH(C5753,Products!$A$2:$A$49,0)))</f>
        <v>0</v>
      </c>
    </row>
    <row r="5754" customFormat="false" ht="15" hidden="false" customHeight="false" outlineLevel="0" collapsed="false">
      <c r="A5754" s="36" t="n">
        <v>46132</v>
      </c>
      <c r="B5754" s="24" t="s">
        <v>65</v>
      </c>
      <c r="C5754" s="24" t="s">
        <v>191</v>
      </c>
      <c r="D5754" s="33" t="n">
        <v>16</v>
      </c>
      <c r="E5754" s="24" t="n">
        <v>0</v>
      </c>
      <c r="F5754" s="37" t="n">
        <f aca="false">DATE(YEAR(A5754),MONTH(A5754),1)</f>
        <v>46113</v>
      </c>
      <c r="G5754" s="24" t="str">
        <f aca="false">INDEX(Products!$C$2:$C$49,MATCH(C5754,Products!$A$2:$A$49,0))</f>
        <v>Personal Care</v>
      </c>
      <c r="H5754" s="33" t="n">
        <f aca="false">D5754*INDEX(Products!$E$2:$E$49,MATCH(C5754,Products!$A$2:$A$49,0))</f>
        <v>3360</v>
      </c>
      <c r="I5754" s="33" t="n">
        <f aca="false">D5754*INDEX(Products!$D$2:$D$49,MATCH(C5754,Products!$A$2:$A$49,0))*(1+INDEX(Assumptions!$B$16:$B$20,MATCH(B5754,Assumptions!$A$16:$A$20,0)))</f>
        <v>2105.28</v>
      </c>
      <c r="J5754" s="33" t="n">
        <f aca="false">H5754-I5754</f>
        <v>1254.72</v>
      </c>
      <c r="K5754" s="33" t="n">
        <f aca="false">IF(OR(E5754=0,E5754&gt;=7),0,D5754/(7-E5754)*E5754*INDEX(Products!$E$2:$E$49,MATCH(C5754,Products!$A$2:$A$49,0)))</f>
        <v>0</v>
      </c>
    </row>
    <row r="5755" customFormat="false" ht="15" hidden="false" customHeight="false" outlineLevel="0" collapsed="false">
      <c r="A5755" s="36" t="n">
        <v>46139</v>
      </c>
      <c r="B5755" s="24" t="s">
        <v>65</v>
      </c>
      <c r="C5755" s="24" t="s">
        <v>191</v>
      </c>
      <c r="D5755" s="33" t="n">
        <v>19</v>
      </c>
      <c r="E5755" s="24" t="n">
        <v>0</v>
      </c>
      <c r="F5755" s="37" t="n">
        <f aca="false">DATE(YEAR(A5755),MONTH(A5755),1)</f>
        <v>46113</v>
      </c>
      <c r="G5755" s="24" t="str">
        <f aca="false">INDEX(Products!$C$2:$C$49,MATCH(C5755,Products!$A$2:$A$49,0))</f>
        <v>Personal Care</v>
      </c>
      <c r="H5755" s="33" t="n">
        <f aca="false">D5755*INDEX(Products!$E$2:$E$49,MATCH(C5755,Products!$A$2:$A$49,0))</f>
        <v>3990</v>
      </c>
      <c r="I5755" s="33" t="n">
        <f aca="false">D5755*INDEX(Products!$D$2:$D$49,MATCH(C5755,Products!$A$2:$A$49,0))*(1+INDEX(Assumptions!$B$16:$B$20,MATCH(B5755,Assumptions!$A$16:$A$20,0)))</f>
        <v>2500.02</v>
      </c>
      <c r="J5755" s="33" t="n">
        <f aca="false">H5755-I5755</f>
        <v>1489.98</v>
      </c>
      <c r="K5755" s="33" t="n">
        <f aca="false">IF(OR(E5755=0,E5755&gt;=7),0,D5755/(7-E5755)*E5755*INDEX(Products!$E$2:$E$49,MATCH(C5755,Products!$A$2:$A$49,0)))</f>
        <v>0</v>
      </c>
    </row>
    <row r="5756" customFormat="false" ht="15" hidden="false" customHeight="false" outlineLevel="0" collapsed="false">
      <c r="A5756" s="36" t="n">
        <v>46146</v>
      </c>
      <c r="B5756" s="24" t="s">
        <v>65</v>
      </c>
      <c r="C5756" s="24" t="s">
        <v>191</v>
      </c>
      <c r="D5756" s="33" t="n">
        <v>11</v>
      </c>
      <c r="E5756" s="24" t="n">
        <v>2</v>
      </c>
      <c r="F5756" s="37" t="n">
        <f aca="false">DATE(YEAR(A5756),MONTH(A5756),1)</f>
        <v>46143</v>
      </c>
      <c r="G5756" s="24" t="str">
        <f aca="false">INDEX(Products!$C$2:$C$49,MATCH(C5756,Products!$A$2:$A$49,0))</f>
        <v>Personal Care</v>
      </c>
      <c r="H5756" s="33" t="n">
        <f aca="false">D5756*INDEX(Products!$E$2:$E$49,MATCH(C5756,Products!$A$2:$A$49,0))</f>
        <v>2310</v>
      </c>
      <c r="I5756" s="33" t="n">
        <f aca="false">D5756*INDEX(Products!$D$2:$D$49,MATCH(C5756,Products!$A$2:$A$49,0))*(1+INDEX(Assumptions!$B$16:$B$20,MATCH(B5756,Assumptions!$A$16:$A$20,0)))</f>
        <v>1447.38</v>
      </c>
      <c r="J5756" s="33" t="n">
        <f aca="false">H5756-I5756</f>
        <v>862.62</v>
      </c>
      <c r="K5756" s="33" t="n">
        <f aca="false">IF(OR(E5756=0,E5756&gt;=7),0,D5756/(7-E5756)*E5756*INDEX(Products!$E$2:$E$49,MATCH(C5756,Products!$A$2:$A$49,0)))</f>
        <v>924</v>
      </c>
    </row>
    <row r="5757" customFormat="false" ht="15" hidden="false" customHeight="false" outlineLevel="0" collapsed="false">
      <c r="A5757" s="36" t="n">
        <v>46153</v>
      </c>
      <c r="B5757" s="24" t="s">
        <v>65</v>
      </c>
      <c r="C5757" s="24" t="s">
        <v>191</v>
      </c>
      <c r="D5757" s="33" t="n">
        <v>16</v>
      </c>
      <c r="E5757" s="24" t="n">
        <v>0</v>
      </c>
      <c r="F5757" s="37" t="n">
        <f aca="false">DATE(YEAR(A5757),MONTH(A5757),1)</f>
        <v>46143</v>
      </c>
      <c r="G5757" s="24" t="str">
        <f aca="false">INDEX(Products!$C$2:$C$49,MATCH(C5757,Products!$A$2:$A$49,0))</f>
        <v>Personal Care</v>
      </c>
      <c r="H5757" s="33" t="n">
        <f aca="false">D5757*INDEX(Products!$E$2:$E$49,MATCH(C5757,Products!$A$2:$A$49,0))</f>
        <v>3360</v>
      </c>
      <c r="I5757" s="33" t="n">
        <f aca="false">D5757*INDEX(Products!$D$2:$D$49,MATCH(C5757,Products!$A$2:$A$49,0))*(1+INDEX(Assumptions!$B$16:$B$20,MATCH(B5757,Assumptions!$A$16:$A$20,0)))</f>
        <v>2105.28</v>
      </c>
      <c r="J5757" s="33" t="n">
        <f aca="false">H5757-I5757</f>
        <v>1254.72</v>
      </c>
      <c r="K5757" s="33" t="n">
        <f aca="false">IF(OR(E5757=0,E5757&gt;=7),0,D5757/(7-E5757)*E5757*INDEX(Products!$E$2:$E$49,MATCH(C5757,Products!$A$2:$A$49,0)))</f>
        <v>0</v>
      </c>
    </row>
    <row r="5758" customFormat="false" ht="15" hidden="false" customHeight="false" outlineLevel="0" collapsed="false">
      <c r="A5758" s="36" t="n">
        <v>46160</v>
      </c>
      <c r="B5758" s="24" t="s">
        <v>65</v>
      </c>
      <c r="C5758" s="24" t="s">
        <v>191</v>
      </c>
      <c r="D5758" s="33" t="n">
        <v>19</v>
      </c>
      <c r="E5758" s="24" t="n">
        <v>0</v>
      </c>
      <c r="F5758" s="37" t="n">
        <f aca="false">DATE(YEAR(A5758),MONTH(A5758),1)</f>
        <v>46143</v>
      </c>
      <c r="G5758" s="24" t="str">
        <f aca="false">INDEX(Products!$C$2:$C$49,MATCH(C5758,Products!$A$2:$A$49,0))</f>
        <v>Personal Care</v>
      </c>
      <c r="H5758" s="33" t="n">
        <f aca="false">D5758*INDEX(Products!$E$2:$E$49,MATCH(C5758,Products!$A$2:$A$49,0))</f>
        <v>3990</v>
      </c>
      <c r="I5758" s="33" t="n">
        <f aca="false">D5758*INDEX(Products!$D$2:$D$49,MATCH(C5758,Products!$A$2:$A$49,0))*(1+INDEX(Assumptions!$B$16:$B$20,MATCH(B5758,Assumptions!$A$16:$A$20,0)))</f>
        <v>2500.02</v>
      </c>
      <c r="J5758" s="33" t="n">
        <f aca="false">H5758-I5758</f>
        <v>1489.98</v>
      </c>
      <c r="K5758" s="33" t="n">
        <f aca="false">IF(OR(E5758=0,E5758&gt;=7),0,D5758/(7-E5758)*E5758*INDEX(Products!$E$2:$E$49,MATCH(C5758,Products!$A$2:$A$49,0)))</f>
        <v>0</v>
      </c>
    </row>
    <row r="5759" customFormat="false" ht="15" hidden="false" customHeight="false" outlineLevel="0" collapsed="false">
      <c r="A5759" s="36" t="n">
        <v>46167</v>
      </c>
      <c r="B5759" s="24" t="s">
        <v>65</v>
      </c>
      <c r="C5759" s="24" t="s">
        <v>191</v>
      </c>
      <c r="D5759" s="33" t="n">
        <v>15</v>
      </c>
      <c r="E5759" s="24" t="n">
        <v>0</v>
      </c>
      <c r="F5759" s="37" t="n">
        <f aca="false">DATE(YEAR(A5759),MONTH(A5759),1)</f>
        <v>46143</v>
      </c>
      <c r="G5759" s="24" t="str">
        <f aca="false">INDEX(Products!$C$2:$C$49,MATCH(C5759,Products!$A$2:$A$49,0))</f>
        <v>Personal Care</v>
      </c>
      <c r="H5759" s="33" t="n">
        <f aca="false">D5759*INDEX(Products!$E$2:$E$49,MATCH(C5759,Products!$A$2:$A$49,0))</f>
        <v>3150</v>
      </c>
      <c r="I5759" s="33" t="n">
        <f aca="false">D5759*INDEX(Products!$D$2:$D$49,MATCH(C5759,Products!$A$2:$A$49,0))*(1+INDEX(Assumptions!$B$16:$B$20,MATCH(B5759,Assumptions!$A$16:$A$20,0)))</f>
        <v>1973.7</v>
      </c>
      <c r="J5759" s="33" t="n">
        <f aca="false">H5759-I5759</f>
        <v>1176.3</v>
      </c>
      <c r="K5759" s="33" t="n">
        <f aca="false">IF(OR(E5759=0,E5759&gt;=7),0,D5759/(7-E5759)*E5759*INDEX(Products!$E$2:$E$49,MATCH(C5759,Products!$A$2:$A$49,0)))</f>
        <v>0</v>
      </c>
    </row>
    <row r="5760" customFormat="false" ht="15" hidden="false" customHeight="false" outlineLevel="0" collapsed="false">
      <c r="A5760" s="36" t="n">
        <v>46174</v>
      </c>
      <c r="B5760" s="24" t="s">
        <v>65</v>
      </c>
      <c r="C5760" s="24" t="s">
        <v>191</v>
      </c>
      <c r="D5760" s="33" t="n">
        <v>17</v>
      </c>
      <c r="E5760" s="24" t="n">
        <v>0</v>
      </c>
      <c r="F5760" s="37" t="n">
        <f aca="false">DATE(YEAR(A5760),MONTH(A5760),1)</f>
        <v>46174</v>
      </c>
      <c r="G5760" s="24" t="str">
        <f aca="false">INDEX(Products!$C$2:$C$49,MATCH(C5760,Products!$A$2:$A$49,0))</f>
        <v>Personal Care</v>
      </c>
      <c r="H5760" s="33" t="n">
        <f aca="false">D5760*INDEX(Products!$E$2:$E$49,MATCH(C5760,Products!$A$2:$A$49,0))</f>
        <v>3570</v>
      </c>
      <c r="I5760" s="33" t="n">
        <f aca="false">D5760*INDEX(Products!$D$2:$D$49,MATCH(C5760,Products!$A$2:$A$49,0))*(1+INDEX(Assumptions!$B$16:$B$20,MATCH(B5760,Assumptions!$A$16:$A$20,0)))</f>
        <v>2236.86</v>
      </c>
      <c r="J5760" s="33" t="n">
        <f aca="false">H5760-I5760</f>
        <v>1333.14</v>
      </c>
      <c r="K5760" s="33" t="n">
        <f aca="false">IF(OR(E5760=0,E5760&gt;=7),0,D5760/(7-E5760)*E5760*INDEX(Products!$E$2:$E$49,MATCH(C5760,Products!$A$2:$A$49,0)))</f>
        <v>0</v>
      </c>
    </row>
    <row r="5761" customFormat="false" ht="15" hidden="false" customHeight="false" outlineLevel="0" collapsed="false">
      <c r="A5761" s="36" t="n">
        <v>46181</v>
      </c>
      <c r="B5761" s="24" t="s">
        <v>65</v>
      </c>
      <c r="C5761" s="24" t="s">
        <v>191</v>
      </c>
      <c r="D5761" s="33" t="n">
        <v>13</v>
      </c>
      <c r="E5761" s="24" t="n">
        <v>0</v>
      </c>
      <c r="F5761" s="37" t="n">
        <f aca="false">DATE(YEAR(A5761),MONTH(A5761),1)</f>
        <v>46174</v>
      </c>
      <c r="G5761" s="24" t="str">
        <f aca="false">INDEX(Products!$C$2:$C$49,MATCH(C5761,Products!$A$2:$A$49,0))</f>
        <v>Personal Care</v>
      </c>
      <c r="H5761" s="33" t="n">
        <f aca="false">D5761*INDEX(Products!$E$2:$E$49,MATCH(C5761,Products!$A$2:$A$49,0))</f>
        <v>2730</v>
      </c>
      <c r="I5761" s="33" t="n">
        <f aca="false">D5761*INDEX(Products!$D$2:$D$49,MATCH(C5761,Products!$A$2:$A$49,0))*(1+INDEX(Assumptions!$B$16:$B$20,MATCH(B5761,Assumptions!$A$16:$A$20,0)))</f>
        <v>1710.54</v>
      </c>
      <c r="J5761" s="33" t="n">
        <f aca="false">H5761-I5761</f>
        <v>1019.46</v>
      </c>
      <c r="K5761" s="33" t="n">
        <f aca="false">IF(OR(E5761=0,E5761&gt;=7),0,D5761/(7-E5761)*E5761*INDEX(Products!$E$2:$E$49,MATCH(C5761,Products!$A$2:$A$49,0)))</f>
        <v>0</v>
      </c>
    </row>
    <row r="5762" customFormat="false" ht="15" hidden="false" customHeight="false" outlineLevel="0" collapsed="false">
      <c r="A5762" s="36" t="n">
        <v>46188</v>
      </c>
      <c r="B5762" s="24" t="s">
        <v>65</v>
      </c>
      <c r="C5762" s="24" t="s">
        <v>191</v>
      </c>
      <c r="D5762" s="33" t="n">
        <v>16</v>
      </c>
      <c r="E5762" s="24" t="n">
        <v>0</v>
      </c>
      <c r="F5762" s="37" t="n">
        <f aca="false">DATE(YEAR(A5762),MONTH(A5762),1)</f>
        <v>46174</v>
      </c>
      <c r="G5762" s="24" t="str">
        <f aca="false">INDEX(Products!$C$2:$C$49,MATCH(C5762,Products!$A$2:$A$49,0))</f>
        <v>Personal Care</v>
      </c>
      <c r="H5762" s="33" t="n">
        <f aca="false">D5762*INDEX(Products!$E$2:$E$49,MATCH(C5762,Products!$A$2:$A$49,0))</f>
        <v>3360</v>
      </c>
      <c r="I5762" s="33" t="n">
        <f aca="false">D5762*INDEX(Products!$D$2:$D$49,MATCH(C5762,Products!$A$2:$A$49,0))*(1+INDEX(Assumptions!$B$16:$B$20,MATCH(B5762,Assumptions!$A$16:$A$20,0)))</f>
        <v>2105.28</v>
      </c>
      <c r="J5762" s="33" t="n">
        <f aca="false">H5762-I5762</f>
        <v>1254.72</v>
      </c>
      <c r="K5762" s="33" t="n">
        <f aca="false">IF(OR(E5762=0,E5762&gt;=7),0,D5762/(7-E5762)*E5762*INDEX(Products!$E$2:$E$49,MATCH(C5762,Products!$A$2:$A$49,0)))</f>
        <v>0</v>
      </c>
    </row>
    <row r="5763" customFormat="false" ht="15" hidden="false" customHeight="false" outlineLevel="0" collapsed="false">
      <c r="A5763" s="36" t="n">
        <v>46195</v>
      </c>
      <c r="B5763" s="24" t="s">
        <v>65</v>
      </c>
      <c r="C5763" s="24" t="s">
        <v>191</v>
      </c>
      <c r="D5763" s="33" t="n">
        <v>14</v>
      </c>
      <c r="E5763" s="24" t="n">
        <v>0</v>
      </c>
      <c r="F5763" s="37" t="n">
        <f aca="false">DATE(YEAR(A5763),MONTH(A5763),1)</f>
        <v>46174</v>
      </c>
      <c r="G5763" s="24" t="str">
        <f aca="false">INDEX(Products!$C$2:$C$49,MATCH(C5763,Products!$A$2:$A$49,0))</f>
        <v>Personal Care</v>
      </c>
      <c r="H5763" s="33" t="n">
        <f aca="false">D5763*INDEX(Products!$E$2:$E$49,MATCH(C5763,Products!$A$2:$A$49,0))</f>
        <v>2940</v>
      </c>
      <c r="I5763" s="33" t="n">
        <f aca="false">D5763*INDEX(Products!$D$2:$D$49,MATCH(C5763,Products!$A$2:$A$49,0))*(1+INDEX(Assumptions!$B$16:$B$20,MATCH(B5763,Assumptions!$A$16:$A$20,0)))</f>
        <v>1842.12</v>
      </c>
      <c r="J5763" s="33" t="n">
        <f aca="false">H5763-I5763</f>
        <v>1097.88</v>
      </c>
      <c r="K5763" s="33" t="n">
        <f aca="false">IF(OR(E5763=0,E5763&gt;=7),0,D5763/(7-E5763)*E5763*INDEX(Products!$E$2:$E$49,MATCH(C5763,Products!$A$2:$A$49,0)))</f>
        <v>0</v>
      </c>
    </row>
    <row r="5764" customFormat="false" ht="15" hidden="false" customHeight="false" outlineLevel="0" collapsed="false">
      <c r="A5764" s="36" t="n">
        <v>46202</v>
      </c>
      <c r="B5764" s="24" t="s">
        <v>65</v>
      </c>
      <c r="C5764" s="24" t="s">
        <v>191</v>
      </c>
      <c r="D5764" s="33" t="n">
        <v>30</v>
      </c>
      <c r="E5764" s="24" t="n">
        <v>0</v>
      </c>
      <c r="F5764" s="37" t="n">
        <f aca="false">DATE(YEAR(A5764),MONTH(A5764),1)</f>
        <v>46174</v>
      </c>
      <c r="G5764" s="24" t="str">
        <f aca="false">INDEX(Products!$C$2:$C$49,MATCH(C5764,Products!$A$2:$A$49,0))</f>
        <v>Personal Care</v>
      </c>
      <c r="H5764" s="33" t="n">
        <f aca="false">D5764*INDEX(Products!$E$2:$E$49,MATCH(C5764,Products!$A$2:$A$49,0))</f>
        <v>6300</v>
      </c>
      <c r="I5764" s="33" t="n">
        <f aca="false">D5764*INDEX(Products!$D$2:$D$49,MATCH(C5764,Products!$A$2:$A$49,0))*(1+INDEX(Assumptions!$B$16:$B$20,MATCH(B5764,Assumptions!$A$16:$A$20,0)))</f>
        <v>3947.4</v>
      </c>
      <c r="J5764" s="33" t="n">
        <f aca="false">H5764-I5764</f>
        <v>2352.6</v>
      </c>
      <c r="K5764" s="33" t="n">
        <f aca="false">IF(OR(E5764=0,E5764&gt;=7),0,D5764/(7-E5764)*E5764*INDEX(Products!$E$2:$E$49,MATCH(C5764,Products!$A$2:$A$49,0)))</f>
        <v>0</v>
      </c>
    </row>
    <row r="5765" customFormat="false" ht="15" hidden="false" customHeight="false" outlineLevel="0" collapsed="false">
      <c r="A5765" s="36" t="n">
        <v>46209</v>
      </c>
      <c r="B5765" s="24" t="s">
        <v>65</v>
      </c>
      <c r="C5765" s="24" t="s">
        <v>191</v>
      </c>
      <c r="D5765" s="33" t="n">
        <v>20</v>
      </c>
      <c r="E5765" s="24" t="n">
        <v>0</v>
      </c>
      <c r="F5765" s="37" t="n">
        <f aca="false">DATE(YEAR(A5765),MONTH(A5765),1)</f>
        <v>46204</v>
      </c>
      <c r="G5765" s="24" t="str">
        <f aca="false">INDEX(Products!$C$2:$C$49,MATCH(C5765,Products!$A$2:$A$49,0))</f>
        <v>Personal Care</v>
      </c>
      <c r="H5765" s="33" t="n">
        <f aca="false">D5765*INDEX(Products!$E$2:$E$49,MATCH(C5765,Products!$A$2:$A$49,0))</f>
        <v>4200</v>
      </c>
      <c r="I5765" s="33" t="n">
        <f aca="false">D5765*INDEX(Products!$D$2:$D$49,MATCH(C5765,Products!$A$2:$A$49,0))*(1+INDEX(Assumptions!$B$16:$B$20,MATCH(B5765,Assumptions!$A$16:$A$20,0)))</f>
        <v>2631.6</v>
      </c>
      <c r="J5765" s="33" t="n">
        <f aca="false">H5765-I5765</f>
        <v>1568.4</v>
      </c>
      <c r="K5765" s="33" t="n">
        <f aca="false">IF(OR(E5765=0,E5765&gt;=7),0,D5765/(7-E5765)*E5765*INDEX(Products!$E$2:$E$49,MATCH(C5765,Products!$A$2:$A$49,0)))</f>
        <v>0</v>
      </c>
    </row>
    <row r="5766" customFormat="false" ht="15" hidden="false" customHeight="false" outlineLevel="0" collapsed="false">
      <c r="A5766" s="36" t="n">
        <v>46216</v>
      </c>
      <c r="B5766" s="24" t="s">
        <v>65</v>
      </c>
      <c r="C5766" s="24" t="s">
        <v>191</v>
      </c>
      <c r="D5766" s="33" t="n">
        <v>14</v>
      </c>
      <c r="E5766" s="24" t="n">
        <v>0</v>
      </c>
      <c r="F5766" s="37" t="n">
        <f aca="false">DATE(YEAR(A5766),MONTH(A5766),1)</f>
        <v>46204</v>
      </c>
      <c r="G5766" s="24" t="str">
        <f aca="false">INDEX(Products!$C$2:$C$49,MATCH(C5766,Products!$A$2:$A$49,0))</f>
        <v>Personal Care</v>
      </c>
      <c r="H5766" s="33" t="n">
        <f aca="false">D5766*INDEX(Products!$E$2:$E$49,MATCH(C5766,Products!$A$2:$A$49,0))</f>
        <v>2940</v>
      </c>
      <c r="I5766" s="33" t="n">
        <f aca="false">D5766*INDEX(Products!$D$2:$D$49,MATCH(C5766,Products!$A$2:$A$49,0))*(1+INDEX(Assumptions!$B$16:$B$20,MATCH(B5766,Assumptions!$A$16:$A$20,0)))</f>
        <v>1842.12</v>
      </c>
      <c r="J5766" s="33" t="n">
        <f aca="false">H5766-I5766</f>
        <v>1097.88</v>
      </c>
      <c r="K5766" s="33" t="n">
        <f aca="false">IF(OR(E5766=0,E5766&gt;=7),0,D5766/(7-E5766)*E5766*INDEX(Products!$E$2:$E$49,MATCH(C5766,Products!$A$2:$A$49,0)))</f>
        <v>0</v>
      </c>
    </row>
    <row r="5767" customFormat="false" ht="15" hidden="false" customHeight="false" outlineLevel="0" collapsed="false">
      <c r="A5767" s="36" t="n">
        <v>46223</v>
      </c>
      <c r="B5767" s="24" t="s">
        <v>65</v>
      </c>
      <c r="C5767" s="24" t="s">
        <v>191</v>
      </c>
      <c r="D5767" s="33" t="n">
        <v>24</v>
      </c>
      <c r="E5767" s="24" t="n">
        <v>0</v>
      </c>
      <c r="F5767" s="37" t="n">
        <f aca="false">DATE(YEAR(A5767),MONTH(A5767),1)</f>
        <v>46204</v>
      </c>
      <c r="G5767" s="24" t="str">
        <f aca="false">INDEX(Products!$C$2:$C$49,MATCH(C5767,Products!$A$2:$A$49,0))</f>
        <v>Personal Care</v>
      </c>
      <c r="H5767" s="33" t="n">
        <f aca="false">D5767*INDEX(Products!$E$2:$E$49,MATCH(C5767,Products!$A$2:$A$49,0))</f>
        <v>5040</v>
      </c>
      <c r="I5767" s="33" t="n">
        <f aca="false">D5767*INDEX(Products!$D$2:$D$49,MATCH(C5767,Products!$A$2:$A$49,0))*(1+INDEX(Assumptions!$B$16:$B$20,MATCH(B5767,Assumptions!$A$16:$A$20,0)))</f>
        <v>3157.92</v>
      </c>
      <c r="J5767" s="33" t="n">
        <f aca="false">H5767-I5767</f>
        <v>1882.08</v>
      </c>
      <c r="K5767" s="33" t="n">
        <f aca="false">IF(OR(E5767=0,E5767&gt;=7),0,D5767/(7-E5767)*E5767*INDEX(Products!$E$2:$E$49,MATCH(C5767,Products!$A$2:$A$49,0)))</f>
        <v>0</v>
      </c>
    </row>
    <row r="5768" customFormat="false" ht="15" hidden="false" customHeight="false" outlineLevel="0" collapsed="false">
      <c r="A5768" s="36" t="n">
        <v>46230</v>
      </c>
      <c r="B5768" s="24" t="s">
        <v>65</v>
      </c>
      <c r="C5768" s="24" t="s">
        <v>191</v>
      </c>
      <c r="D5768" s="33" t="n">
        <v>16</v>
      </c>
      <c r="E5768" s="24" t="n">
        <v>0</v>
      </c>
      <c r="F5768" s="37" t="n">
        <f aca="false">DATE(YEAR(A5768),MONTH(A5768),1)</f>
        <v>46204</v>
      </c>
      <c r="G5768" s="24" t="str">
        <f aca="false">INDEX(Products!$C$2:$C$49,MATCH(C5768,Products!$A$2:$A$49,0))</f>
        <v>Personal Care</v>
      </c>
      <c r="H5768" s="33" t="n">
        <f aca="false">D5768*INDEX(Products!$E$2:$E$49,MATCH(C5768,Products!$A$2:$A$49,0))</f>
        <v>3360</v>
      </c>
      <c r="I5768" s="33" t="n">
        <f aca="false">D5768*INDEX(Products!$D$2:$D$49,MATCH(C5768,Products!$A$2:$A$49,0))*(1+INDEX(Assumptions!$B$16:$B$20,MATCH(B5768,Assumptions!$A$16:$A$20,0)))</f>
        <v>2105.28</v>
      </c>
      <c r="J5768" s="33" t="n">
        <f aca="false">H5768-I5768</f>
        <v>1254.72</v>
      </c>
      <c r="K5768" s="33" t="n">
        <f aca="false">IF(OR(E5768=0,E5768&gt;=7),0,D5768/(7-E5768)*E5768*INDEX(Products!$E$2:$E$49,MATCH(C5768,Products!$A$2:$A$49,0)))</f>
        <v>0</v>
      </c>
    </row>
    <row r="5769" customFormat="false" ht="15" hidden="false" customHeight="false" outlineLevel="0" collapsed="false">
      <c r="A5769" s="36" t="n">
        <v>46237</v>
      </c>
      <c r="B5769" s="24" t="s">
        <v>65</v>
      </c>
      <c r="C5769" s="24" t="s">
        <v>191</v>
      </c>
      <c r="D5769" s="33" t="n">
        <v>15</v>
      </c>
      <c r="E5769" s="24" t="n">
        <v>0</v>
      </c>
      <c r="F5769" s="37" t="n">
        <f aca="false">DATE(YEAR(A5769),MONTH(A5769),1)</f>
        <v>46235</v>
      </c>
      <c r="G5769" s="24" t="str">
        <f aca="false">INDEX(Products!$C$2:$C$49,MATCH(C5769,Products!$A$2:$A$49,0))</f>
        <v>Personal Care</v>
      </c>
      <c r="H5769" s="33" t="n">
        <f aca="false">D5769*INDEX(Products!$E$2:$E$49,MATCH(C5769,Products!$A$2:$A$49,0))</f>
        <v>3150</v>
      </c>
      <c r="I5769" s="33" t="n">
        <f aca="false">D5769*INDEX(Products!$D$2:$D$49,MATCH(C5769,Products!$A$2:$A$49,0))*(1+INDEX(Assumptions!$B$16:$B$20,MATCH(B5769,Assumptions!$A$16:$A$20,0)))</f>
        <v>1973.7</v>
      </c>
      <c r="J5769" s="33" t="n">
        <f aca="false">H5769-I5769</f>
        <v>1176.3</v>
      </c>
      <c r="K5769" s="33" t="n">
        <f aca="false">IF(OR(E5769=0,E5769&gt;=7),0,D5769/(7-E5769)*E5769*INDEX(Products!$E$2:$E$49,MATCH(C5769,Products!$A$2:$A$49,0)))</f>
        <v>0</v>
      </c>
    </row>
    <row r="5770" customFormat="false" ht="15" hidden="false" customHeight="false" outlineLevel="0" collapsed="false">
      <c r="A5770" s="36" t="n">
        <v>46244</v>
      </c>
      <c r="B5770" s="24" t="s">
        <v>65</v>
      </c>
      <c r="C5770" s="24" t="s">
        <v>191</v>
      </c>
      <c r="D5770" s="33" t="n">
        <v>14</v>
      </c>
      <c r="E5770" s="24" t="n">
        <v>0</v>
      </c>
      <c r="F5770" s="37" t="n">
        <f aca="false">DATE(YEAR(A5770),MONTH(A5770),1)</f>
        <v>46235</v>
      </c>
      <c r="G5770" s="24" t="str">
        <f aca="false">INDEX(Products!$C$2:$C$49,MATCH(C5770,Products!$A$2:$A$49,0))</f>
        <v>Personal Care</v>
      </c>
      <c r="H5770" s="33" t="n">
        <f aca="false">D5770*INDEX(Products!$E$2:$E$49,MATCH(C5770,Products!$A$2:$A$49,0))</f>
        <v>2940</v>
      </c>
      <c r="I5770" s="33" t="n">
        <f aca="false">D5770*INDEX(Products!$D$2:$D$49,MATCH(C5770,Products!$A$2:$A$49,0))*(1+INDEX(Assumptions!$B$16:$B$20,MATCH(B5770,Assumptions!$A$16:$A$20,0)))</f>
        <v>1842.12</v>
      </c>
      <c r="J5770" s="33" t="n">
        <f aca="false">H5770-I5770</f>
        <v>1097.88</v>
      </c>
      <c r="K5770" s="33" t="n">
        <f aca="false">IF(OR(E5770=0,E5770&gt;=7),0,D5770/(7-E5770)*E5770*INDEX(Products!$E$2:$E$49,MATCH(C5770,Products!$A$2:$A$49,0)))</f>
        <v>0</v>
      </c>
    </row>
    <row r="5771" customFormat="false" ht="15" hidden="false" customHeight="false" outlineLevel="0" collapsed="false">
      <c r="A5771" s="36" t="n">
        <v>46251</v>
      </c>
      <c r="B5771" s="24" t="s">
        <v>65</v>
      </c>
      <c r="C5771" s="24" t="s">
        <v>191</v>
      </c>
      <c r="D5771" s="33" t="n">
        <v>18</v>
      </c>
      <c r="E5771" s="24" t="n">
        <v>0</v>
      </c>
      <c r="F5771" s="37" t="n">
        <f aca="false">DATE(YEAR(A5771),MONTH(A5771),1)</f>
        <v>46235</v>
      </c>
      <c r="G5771" s="24" t="str">
        <f aca="false">INDEX(Products!$C$2:$C$49,MATCH(C5771,Products!$A$2:$A$49,0))</f>
        <v>Personal Care</v>
      </c>
      <c r="H5771" s="33" t="n">
        <f aca="false">D5771*INDEX(Products!$E$2:$E$49,MATCH(C5771,Products!$A$2:$A$49,0))</f>
        <v>3780</v>
      </c>
      <c r="I5771" s="33" t="n">
        <f aca="false">D5771*INDEX(Products!$D$2:$D$49,MATCH(C5771,Products!$A$2:$A$49,0))*(1+INDEX(Assumptions!$B$16:$B$20,MATCH(B5771,Assumptions!$A$16:$A$20,0)))</f>
        <v>2368.44</v>
      </c>
      <c r="J5771" s="33" t="n">
        <f aca="false">H5771-I5771</f>
        <v>1411.56</v>
      </c>
      <c r="K5771" s="33" t="n">
        <f aca="false">IF(OR(E5771=0,E5771&gt;=7),0,D5771/(7-E5771)*E5771*INDEX(Products!$E$2:$E$49,MATCH(C5771,Products!$A$2:$A$49,0)))</f>
        <v>0</v>
      </c>
    </row>
    <row r="5772" customFormat="false" ht="15" hidden="false" customHeight="false" outlineLevel="0" collapsed="false">
      <c r="A5772" s="36" t="n">
        <v>46258</v>
      </c>
      <c r="B5772" s="24" t="s">
        <v>65</v>
      </c>
      <c r="C5772" s="24" t="s">
        <v>191</v>
      </c>
      <c r="D5772" s="33" t="n">
        <v>21</v>
      </c>
      <c r="E5772" s="24" t="n">
        <v>0</v>
      </c>
      <c r="F5772" s="37" t="n">
        <f aca="false">DATE(YEAR(A5772),MONTH(A5772),1)</f>
        <v>46235</v>
      </c>
      <c r="G5772" s="24" t="str">
        <f aca="false">INDEX(Products!$C$2:$C$49,MATCH(C5772,Products!$A$2:$A$49,0))</f>
        <v>Personal Care</v>
      </c>
      <c r="H5772" s="33" t="n">
        <f aca="false">D5772*INDEX(Products!$E$2:$E$49,MATCH(C5772,Products!$A$2:$A$49,0))</f>
        <v>4410</v>
      </c>
      <c r="I5772" s="33" t="n">
        <f aca="false">D5772*INDEX(Products!$D$2:$D$49,MATCH(C5772,Products!$A$2:$A$49,0))*(1+INDEX(Assumptions!$B$16:$B$20,MATCH(B5772,Assumptions!$A$16:$A$20,0)))</f>
        <v>2763.18</v>
      </c>
      <c r="J5772" s="33" t="n">
        <f aca="false">H5772-I5772</f>
        <v>1646.82</v>
      </c>
      <c r="K5772" s="33" t="n">
        <f aca="false">IF(OR(E5772=0,E5772&gt;=7),0,D5772/(7-E5772)*E5772*INDEX(Products!$E$2:$E$49,MATCH(C5772,Products!$A$2:$A$49,0)))</f>
        <v>0</v>
      </c>
    </row>
    <row r="5773" customFormat="false" ht="15" hidden="false" customHeight="false" outlineLevel="0" collapsed="false">
      <c r="A5773" s="36" t="n">
        <v>46265</v>
      </c>
      <c r="B5773" s="24" t="s">
        <v>65</v>
      </c>
      <c r="C5773" s="24" t="s">
        <v>191</v>
      </c>
      <c r="D5773" s="33" t="n">
        <v>16</v>
      </c>
      <c r="E5773" s="24" t="n">
        <v>0</v>
      </c>
      <c r="F5773" s="37" t="n">
        <f aca="false">DATE(YEAR(A5773),MONTH(A5773),1)</f>
        <v>46235</v>
      </c>
      <c r="G5773" s="24" t="str">
        <f aca="false">INDEX(Products!$C$2:$C$49,MATCH(C5773,Products!$A$2:$A$49,0))</f>
        <v>Personal Care</v>
      </c>
      <c r="H5773" s="33" t="n">
        <f aca="false">D5773*INDEX(Products!$E$2:$E$49,MATCH(C5773,Products!$A$2:$A$49,0))</f>
        <v>3360</v>
      </c>
      <c r="I5773" s="33" t="n">
        <f aca="false">D5773*INDEX(Products!$D$2:$D$49,MATCH(C5773,Products!$A$2:$A$49,0))*(1+INDEX(Assumptions!$B$16:$B$20,MATCH(B5773,Assumptions!$A$16:$A$20,0)))</f>
        <v>2105.28</v>
      </c>
      <c r="J5773" s="33" t="n">
        <f aca="false">H5773-I5773</f>
        <v>1254.72</v>
      </c>
      <c r="K5773" s="33" t="n">
        <f aca="false">IF(OR(E5773=0,E5773&gt;=7),0,D5773/(7-E5773)*E5773*INDEX(Products!$E$2:$E$49,MATCH(C5773,Products!$A$2:$A$49,0)))</f>
        <v>0</v>
      </c>
    </row>
    <row r="5774" customFormat="false" ht="15" hidden="false" customHeight="false" outlineLevel="0" collapsed="false">
      <c r="A5774" s="36" t="n">
        <v>46272</v>
      </c>
      <c r="B5774" s="24" t="s">
        <v>65</v>
      </c>
      <c r="C5774" s="24" t="s">
        <v>191</v>
      </c>
      <c r="D5774" s="33" t="n">
        <v>18</v>
      </c>
      <c r="E5774" s="24" t="n">
        <v>0</v>
      </c>
      <c r="F5774" s="37" t="n">
        <f aca="false">DATE(YEAR(A5774),MONTH(A5774),1)</f>
        <v>46266</v>
      </c>
      <c r="G5774" s="24" t="str">
        <f aca="false">INDEX(Products!$C$2:$C$49,MATCH(C5774,Products!$A$2:$A$49,0))</f>
        <v>Personal Care</v>
      </c>
      <c r="H5774" s="33" t="n">
        <f aca="false">D5774*INDEX(Products!$E$2:$E$49,MATCH(C5774,Products!$A$2:$A$49,0))</f>
        <v>3780</v>
      </c>
      <c r="I5774" s="33" t="n">
        <f aca="false">D5774*INDEX(Products!$D$2:$D$49,MATCH(C5774,Products!$A$2:$A$49,0))*(1+INDEX(Assumptions!$B$16:$B$20,MATCH(B5774,Assumptions!$A$16:$A$20,0)))</f>
        <v>2368.44</v>
      </c>
      <c r="J5774" s="33" t="n">
        <f aca="false">H5774-I5774</f>
        <v>1411.56</v>
      </c>
      <c r="K5774" s="33" t="n">
        <f aca="false">IF(OR(E5774=0,E5774&gt;=7),0,D5774/(7-E5774)*E5774*INDEX(Products!$E$2:$E$49,MATCH(C5774,Products!$A$2:$A$49,0)))</f>
        <v>0</v>
      </c>
    </row>
    <row r="5775" customFormat="false" ht="15" hidden="false" customHeight="false" outlineLevel="0" collapsed="false">
      <c r="A5775" s="36" t="n">
        <v>46279</v>
      </c>
      <c r="B5775" s="24" t="s">
        <v>65</v>
      </c>
      <c r="C5775" s="24" t="s">
        <v>191</v>
      </c>
      <c r="D5775" s="33" t="n">
        <v>23</v>
      </c>
      <c r="E5775" s="24" t="n">
        <v>0</v>
      </c>
      <c r="F5775" s="37" t="n">
        <f aca="false">DATE(YEAR(A5775),MONTH(A5775),1)</f>
        <v>46266</v>
      </c>
      <c r="G5775" s="24" t="str">
        <f aca="false">INDEX(Products!$C$2:$C$49,MATCH(C5775,Products!$A$2:$A$49,0))</f>
        <v>Personal Care</v>
      </c>
      <c r="H5775" s="33" t="n">
        <f aca="false">D5775*INDEX(Products!$E$2:$E$49,MATCH(C5775,Products!$A$2:$A$49,0))</f>
        <v>4830</v>
      </c>
      <c r="I5775" s="33" t="n">
        <f aca="false">D5775*INDEX(Products!$D$2:$D$49,MATCH(C5775,Products!$A$2:$A$49,0))*(1+INDEX(Assumptions!$B$16:$B$20,MATCH(B5775,Assumptions!$A$16:$A$20,0)))</f>
        <v>3026.34</v>
      </c>
      <c r="J5775" s="33" t="n">
        <f aca="false">H5775-I5775</f>
        <v>1803.66</v>
      </c>
      <c r="K5775" s="33" t="n">
        <f aca="false">IF(OR(E5775=0,E5775&gt;=7),0,D5775/(7-E5775)*E5775*INDEX(Products!$E$2:$E$49,MATCH(C5775,Products!$A$2:$A$49,0)))</f>
        <v>0</v>
      </c>
    </row>
    <row r="5776" customFormat="false" ht="15" hidden="false" customHeight="false" outlineLevel="0" collapsed="false">
      <c r="A5776" s="36" t="n">
        <v>46286</v>
      </c>
      <c r="B5776" s="24" t="s">
        <v>65</v>
      </c>
      <c r="C5776" s="24" t="s">
        <v>191</v>
      </c>
      <c r="D5776" s="33" t="n">
        <v>11</v>
      </c>
      <c r="E5776" s="24" t="n">
        <v>0</v>
      </c>
      <c r="F5776" s="37" t="n">
        <f aca="false">DATE(YEAR(A5776),MONTH(A5776),1)</f>
        <v>46266</v>
      </c>
      <c r="G5776" s="24" t="str">
        <f aca="false">INDEX(Products!$C$2:$C$49,MATCH(C5776,Products!$A$2:$A$49,0))</f>
        <v>Personal Care</v>
      </c>
      <c r="H5776" s="33" t="n">
        <f aca="false">D5776*INDEX(Products!$E$2:$E$49,MATCH(C5776,Products!$A$2:$A$49,0))</f>
        <v>2310</v>
      </c>
      <c r="I5776" s="33" t="n">
        <f aca="false">D5776*INDEX(Products!$D$2:$D$49,MATCH(C5776,Products!$A$2:$A$49,0))*(1+INDEX(Assumptions!$B$16:$B$20,MATCH(B5776,Assumptions!$A$16:$A$20,0)))</f>
        <v>1447.38</v>
      </c>
      <c r="J5776" s="33" t="n">
        <f aca="false">H5776-I5776</f>
        <v>862.62</v>
      </c>
      <c r="K5776" s="33" t="n">
        <f aca="false">IF(OR(E5776=0,E5776&gt;=7),0,D5776/(7-E5776)*E5776*INDEX(Products!$E$2:$E$49,MATCH(C5776,Products!$A$2:$A$49,0)))</f>
        <v>0</v>
      </c>
    </row>
    <row r="5777" customFormat="false" ht="15" hidden="false" customHeight="false" outlineLevel="0" collapsed="false">
      <c r="A5777" s="36" t="n">
        <v>46118</v>
      </c>
      <c r="B5777" s="24" t="s">
        <v>65</v>
      </c>
      <c r="C5777" s="24" t="s">
        <v>193</v>
      </c>
      <c r="D5777" s="33" t="n">
        <v>81</v>
      </c>
      <c r="E5777" s="24" t="n">
        <v>0</v>
      </c>
      <c r="F5777" s="37" t="n">
        <f aca="false">DATE(YEAR(A5777),MONTH(A5777),1)</f>
        <v>46113</v>
      </c>
      <c r="G5777" s="24" t="str">
        <f aca="false">INDEX(Products!$C$2:$C$49,MATCH(C5777,Products!$A$2:$A$49,0))</f>
        <v>Personal Care</v>
      </c>
      <c r="H5777" s="33" t="n">
        <f aca="false">D5777*INDEX(Products!$E$2:$E$49,MATCH(C5777,Products!$A$2:$A$49,0))</f>
        <v>17820</v>
      </c>
      <c r="I5777" s="33" t="n">
        <f aca="false">D5777*INDEX(Products!$D$2:$D$49,MATCH(C5777,Products!$A$2:$A$49,0))*(1+INDEX(Assumptions!$B$16:$B$20,MATCH(B5777,Assumptions!$A$16:$A$20,0)))</f>
        <v>13053.96</v>
      </c>
      <c r="J5777" s="33" t="n">
        <f aca="false">H5777-I5777</f>
        <v>4766.04</v>
      </c>
      <c r="K5777" s="33" t="n">
        <f aca="false">IF(OR(E5777=0,E5777&gt;=7),0,D5777/(7-E5777)*E5777*INDEX(Products!$E$2:$E$49,MATCH(C5777,Products!$A$2:$A$49,0)))</f>
        <v>0</v>
      </c>
    </row>
    <row r="5778" customFormat="false" ht="15" hidden="false" customHeight="false" outlineLevel="0" collapsed="false">
      <c r="A5778" s="36" t="n">
        <v>46125</v>
      </c>
      <c r="B5778" s="24" t="s">
        <v>65</v>
      </c>
      <c r="C5778" s="24" t="s">
        <v>193</v>
      </c>
      <c r="D5778" s="33" t="n">
        <v>86</v>
      </c>
      <c r="E5778" s="24" t="n">
        <v>0</v>
      </c>
      <c r="F5778" s="37" t="n">
        <f aca="false">DATE(YEAR(A5778),MONTH(A5778),1)</f>
        <v>46113</v>
      </c>
      <c r="G5778" s="24" t="str">
        <f aca="false">INDEX(Products!$C$2:$C$49,MATCH(C5778,Products!$A$2:$A$49,0))</f>
        <v>Personal Care</v>
      </c>
      <c r="H5778" s="33" t="n">
        <f aca="false">D5778*INDEX(Products!$E$2:$E$49,MATCH(C5778,Products!$A$2:$A$49,0))</f>
        <v>18920</v>
      </c>
      <c r="I5778" s="33" t="n">
        <f aca="false">D5778*INDEX(Products!$D$2:$D$49,MATCH(C5778,Products!$A$2:$A$49,0))*(1+INDEX(Assumptions!$B$16:$B$20,MATCH(B5778,Assumptions!$A$16:$A$20,0)))</f>
        <v>13859.76</v>
      </c>
      <c r="J5778" s="33" t="n">
        <f aca="false">H5778-I5778</f>
        <v>5060.24</v>
      </c>
      <c r="K5778" s="33" t="n">
        <f aca="false">IF(OR(E5778=0,E5778&gt;=7),0,D5778/(7-E5778)*E5778*INDEX(Products!$E$2:$E$49,MATCH(C5778,Products!$A$2:$A$49,0)))</f>
        <v>0</v>
      </c>
    </row>
    <row r="5779" customFormat="false" ht="15" hidden="false" customHeight="false" outlineLevel="0" collapsed="false">
      <c r="A5779" s="36" t="n">
        <v>46132</v>
      </c>
      <c r="B5779" s="24" t="s">
        <v>65</v>
      </c>
      <c r="C5779" s="24" t="s">
        <v>193</v>
      </c>
      <c r="D5779" s="33" t="n">
        <v>95</v>
      </c>
      <c r="E5779" s="24" t="n">
        <v>0</v>
      </c>
      <c r="F5779" s="37" t="n">
        <f aca="false">DATE(YEAR(A5779),MONTH(A5779),1)</f>
        <v>46113</v>
      </c>
      <c r="G5779" s="24" t="str">
        <f aca="false">INDEX(Products!$C$2:$C$49,MATCH(C5779,Products!$A$2:$A$49,0))</f>
        <v>Personal Care</v>
      </c>
      <c r="H5779" s="33" t="n">
        <f aca="false">D5779*INDEX(Products!$E$2:$E$49,MATCH(C5779,Products!$A$2:$A$49,0))</f>
        <v>20900</v>
      </c>
      <c r="I5779" s="33" t="n">
        <f aca="false">D5779*INDEX(Products!$D$2:$D$49,MATCH(C5779,Products!$A$2:$A$49,0))*(1+INDEX(Assumptions!$B$16:$B$20,MATCH(B5779,Assumptions!$A$16:$A$20,0)))</f>
        <v>15310.2</v>
      </c>
      <c r="J5779" s="33" t="n">
        <f aca="false">H5779-I5779</f>
        <v>5589.8</v>
      </c>
      <c r="K5779" s="33" t="n">
        <f aca="false">IF(OR(E5779=0,E5779&gt;=7),0,D5779/(7-E5779)*E5779*INDEX(Products!$E$2:$E$49,MATCH(C5779,Products!$A$2:$A$49,0)))</f>
        <v>0</v>
      </c>
    </row>
    <row r="5780" customFormat="false" ht="15" hidden="false" customHeight="false" outlineLevel="0" collapsed="false">
      <c r="A5780" s="36" t="n">
        <v>46139</v>
      </c>
      <c r="B5780" s="24" t="s">
        <v>65</v>
      </c>
      <c r="C5780" s="24" t="s">
        <v>193</v>
      </c>
      <c r="D5780" s="33" t="n">
        <v>99</v>
      </c>
      <c r="E5780" s="24" t="n">
        <v>0</v>
      </c>
      <c r="F5780" s="37" t="n">
        <f aca="false">DATE(YEAR(A5780),MONTH(A5780),1)</f>
        <v>46113</v>
      </c>
      <c r="G5780" s="24" t="str">
        <f aca="false">INDEX(Products!$C$2:$C$49,MATCH(C5780,Products!$A$2:$A$49,0))</f>
        <v>Personal Care</v>
      </c>
      <c r="H5780" s="33" t="n">
        <f aca="false">D5780*INDEX(Products!$E$2:$E$49,MATCH(C5780,Products!$A$2:$A$49,0))</f>
        <v>21780</v>
      </c>
      <c r="I5780" s="33" t="n">
        <f aca="false">D5780*INDEX(Products!$D$2:$D$49,MATCH(C5780,Products!$A$2:$A$49,0))*(1+INDEX(Assumptions!$B$16:$B$20,MATCH(B5780,Assumptions!$A$16:$A$20,0)))</f>
        <v>15954.84</v>
      </c>
      <c r="J5780" s="33" t="n">
        <f aca="false">H5780-I5780</f>
        <v>5825.16</v>
      </c>
      <c r="K5780" s="33" t="n">
        <f aca="false">IF(OR(E5780=0,E5780&gt;=7),0,D5780/(7-E5780)*E5780*INDEX(Products!$E$2:$E$49,MATCH(C5780,Products!$A$2:$A$49,0)))</f>
        <v>0</v>
      </c>
    </row>
    <row r="5781" customFormat="false" ht="15" hidden="false" customHeight="false" outlineLevel="0" collapsed="false">
      <c r="A5781" s="36" t="n">
        <v>46146</v>
      </c>
      <c r="B5781" s="24" t="s">
        <v>65</v>
      </c>
      <c r="C5781" s="24" t="s">
        <v>193</v>
      </c>
      <c r="D5781" s="33" t="n">
        <v>92</v>
      </c>
      <c r="E5781" s="24" t="n">
        <v>0</v>
      </c>
      <c r="F5781" s="37" t="n">
        <f aca="false">DATE(YEAR(A5781),MONTH(A5781),1)</f>
        <v>46143</v>
      </c>
      <c r="G5781" s="24" t="str">
        <f aca="false">INDEX(Products!$C$2:$C$49,MATCH(C5781,Products!$A$2:$A$49,0))</f>
        <v>Personal Care</v>
      </c>
      <c r="H5781" s="33" t="n">
        <f aca="false">D5781*INDEX(Products!$E$2:$E$49,MATCH(C5781,Products!$A$2:$A$49,0))</f>
        <v>20240</v>
      </c>
      <c r="I5781" s="33" t="n">
        <f aca="false">D5781*INDEX(Products!$D$2:$D$49,MATCH(C5781,Products!$A$2:$A$49,0))*(1+INDEX(Assumptions!$B$16:$B$20,MATCH(B5781,Assumptions!$A$16:$A$20,0)))</f>
        <v>14826.72</v>
      </c>
      <c r="J5781" s="33" t="n">
        <f aca="false">H5781-I5781</f>
        <v>5413.28</v>
      </c>
      <c r="K5781" s="33" t="n">
        <f aca="false">IF(OR(E5781=0,E5781&gt;=7),0,D5781/(7-E5781)*E5781*INDEX(Products!$E$2:$E$49,MATCH(C5781,Products!$A$2:$A$49,0)))</f>
        <v>0</v>
      </c>
    </row>
    <row r="5782" customFormat="false" ht="15" hidden="false" customHeight="false" outlineLevel="0" collapsed="false">
      <c r="A5782" s="36" t="n">
        <v>46153</v>
      </c>
      <c r="B5782" s="24" t="s">
        <v>65</v>
      </c>
      <c r="C5782" s="24" t="s">
        <v>193</v>
      </c>
      <c r="D5782" s="33" t="n">
        <v>86</v>
      </c>
      <c r="E5782" s="24" t="n">
        <v>0</v>
      </c>
      <c r="F5782" s="37" t="n">
        <f aca="false">DATE(YEAR(A5782),MONTH(A5782),1)</f>
        <v>46143</v>
      </c>
      <c r="G5782" s="24" t="str">
        <f aca="false">INDEX(Products!$C$2:$C$49,MATCH(C5782,Products!$A$2:$A$49,0))</f>
        <v>Personal Care</v>
      </c>
      <c r="H5782" s="33" t="n">
        <f aca="false">D5782*INDEX(Products!$E$2:$E$49,MATCH(C5782,Products!$A$2:$A$49,0))</f>
        <v>18920</v>
      </c>
      <c r="I5782" s="33" t="n">
        <f aca="false">D5782*INDEX(Products!$D$2:$D$49,MATCH(C5782,Products!$A$2:$A$49,0))*(1+INDEX(Assumptions!$B$16:$B$20,MATCH(B5782,Assumptions!$A$16:$A$20,0)))</f>
        <v>13859.76</v>
      </c>
      <c r="J5782" s="33" t="n">
        <f aca="false">H5782-I5782</f>
        <v>5060.24</v>
      </c>
      <c r="K5782" s="33" t="n">
        <f aca="false">IF(OR(E5782=0,E5782&gt;=7),0,D5782/(7-E5782)*E5782*INDEX(Products!$E$2:$E$49,MATCH(C5782,Products!$A$2:$A$49,0)))</f>
        <v>0</v>
      </c>
    </row>
    <row r="5783" customFormat="false" ht="15" hidden="false" customHeight="false" outlineLevel="0" collapsed="false">
      <c r="A5783" s="36" t="n">
        <v>46160</v>
      </c>
      <c r="B5783" s="24" t="s">
        <v>65</v>
      </c>
      <c r="C5783" s="24" t="s">
        <v>193</v>
      </c>
      <c r="D5783" s="33" t="n">
        <v>116</v>
      </c>
      <c r="E5783" s="24" t="n">
        <v>0</v>
      </c>
      <c r="F5783" s="37" t="n">
        <f aca="false">DATE(YEAR(A5783),MONTH(A5783),1)</f>
        <v>46143</v>
      </c>
      <c r="G5783" s="24" t="str">
        <f aca="false">INDEX(Products!$C$2:$C$49,MATCH(C5783,Products!$A$2:$A$49,0))</f>
        <v>Personal Care</v>
      </c>
      <c r="H5783" s="33" t="n">
        <f aca="false">D5783*INDEX(Products!$E$2:$E$49,MATCH(C5783,Products!$A$2:$A$49,0))</f>
        <v>25520</v>
      </c>
      <c r="I5783" s="33" t="n">
        <f aca="false">D5783*INDEX(Products!$D$2:$D$49,MATCH(C5783,Products!$A$2:$A$49,0))*(1+INDEX(Assumptions!$B$16:$B$20,MATCH(B5783,Assumptions!$A$16:$A$20,0)))</f>
        <v>18694.56</v>
      </c>
      <c r="J5783" s="33" t="n">
        <f aca="false">H5783-I5783</f>
        <v>6825.44</v>
      </c>
      <c r="K5783" s="33" t="n">
        <f aca="false">IF(OR(E5783=0,E5783&gt;=7),0,D5783/(7-E5783)*E5783*INDEX(Products!$E$2:$E$49,MATCH(C5783,Products!$A$2:$A$49,0)))</f>
        <v>0</v>
      </c>
    </row>
    <row r="5784" customFormat="false" ht="15" hidden="false" customHeight="false" outlineLevel="0" collapsed="false">
      <c r="A5784" s="36" t="n">
        <v>46167</v>
      </c>
      <c r="B5784" s="24" t="s">
        <v>65</v>
      </c>
      <c r="C5784" s="24" t="s">
        <v>193</v>
      </c>
      <c r="D5784" s="33" t="n">
        <v>102</v>
      </c>
      <c r="E5784" s="24" t="n">
        <v>0</v>
      </c>
      <c r="F5784" s="37" t="n">
        <f aca="false">DATE(YEAR(A5784),MONTH(A5784),1)</f>
        <v>46143</v>
      </c>
      <c r="G5784" s="24" t="str">
        <f aca="false">INDEX(Products!$C$2:$C$49,MATCH(C5784,Products!$A$2:$A$49,0))</f>
        <v>Personal Care</v>
      </c>
      <c r="H5784" s="33" t="n">
        <f aca="false">D5784*INDEX(Products!$E$2:$E$49,MATCH(C5784,Products!$A$2:$A$49,0))</f>
        <v>22440</v>
      </c>
      <c r="I5784" s="33" t="n">
        <f aca="false">D5784*INDEX(Products!$D$2:$D$49,MATCH(C5784,Products!$A$2:$A$49,0))*(1+INDEX(Assumptions!$B$16:$B$20,MATCH(B5784,Assumptions!$A$16:$A$20,0)))</f>
        <v>16438.32</v>
      </c>
      <c r="J5784" s="33" t="n">
        <f aca="false">H5784-I5784</f>
        <v>6001.68</v>
      </c>
      <c r="K5784" s="33" t="n">
        <f aca="false">IF(OR(E5784=0,E5784&gt;=7),0,D5784/(7-E5784)*E5784*INDEX(Products!$E$2:$E$49,MATCH(C5784,Products!$A$2:$A$49,0)))</f>
        <v>0</v>
      </c>
    </row>
    <row r="5785" customFormat="false" ht="15" hidden="false" customHeight="false" outlineLevel="0" collapsed="false">
      <c r="A5785" s="36" t="n">
        <v>46174</v>
      </c>
      <c r="B5785" s="24" t="s">
        <v>65</v>
      </c>
      <c r="C5785" s="24" t="s">
        <v>193</v>
      </c>
      <c r="D5785" s="33" t="n">
        <v>84</v>
      </c>
      <c r="E5785" s="24" t="n">
        <v>0</v>
      </c>
      <c r="F5785" s="37" t="n">
        <f aca="false">DATE(YEAR(A5785),MONTH(A5785),1)</f>
        <v>46174</v>
      </c>
      <c r="G5785" s="24" t="str">
        <f aca="false">INDEX(Products!$C$2:$C$49,MATCH(C5785,Products!$A$2:$A$49,0))</f>
        <v>Personal Care</v>
      </c>
      <c r="H5785" s="33" t="n">
        <f aca="false">D5785*INDEX(Products!$E$2:$E$49,MATCH(C5785,Products!$A$2:$A$49,0))</f>
        <v>18480</v>
      </c>
      <c r="I5785" s="33" t="n">
        <f aca="false">D5785*INDEX(Products!$D$2:$D$49,MATCH(C5785,Products!$A$2:$A$49,0))*(1+INDEX(Assumptions!$B$16:$B$20,MATCH(B5785,Assumptions!$A$16:$A$20,0)))</f>
        <v>13537.44</v>
      </c>
      <c r="J5785" s="33" t="n">
        <f aca="false">H5785-I5785</f>
        <v>4942.56</v>
      </c>
      <c r="K5785" s="33" t="n">
        <f aca="false">IF(OR(E5785=0,E5785&gt;=7),0,D5785/(7-E5785)*E5785*INDEX(Products!$E$2:$E$49,MATCH(C5785,Products!$A$2:$A$49,0)))</f>
        <v>0</v>
      </c>
    </row>
    <row r="5786" customFormat="false" ht="15" hidden="false" customHeight="false" outlineLevel="0" collapsed="false">
      <c r="A5786" s="36" t="n">
        <v>46181</v>
      </c>
      <c r="B5786" s="24" t="s">
        <v>65</v>
      </c>
      <c r="C5786" s="24" t="s">
        <v>193</v>
      </c>
      <c r="D5786" s="33" t="n">
        <v>99</v>
      </c>
      <c r="E5786" s="24" t="n">
        <v>0</v>
      </c>
      <c r="F5786" s="37" t="n">
        <f aca="false">DATE(YEAR(A5786),MONTH(A5786),1)</f>
        <v>46174</v>
      </c>
      <c r="G5786" s="24" t="str">
        <f aca="false">INDEX(Products!$C$2:$C$49,MATCH(C5786,Products!$A$2:$A$49,0))</f>
        <v>Personal Care</v>
      </c>
      <c r="H5786" s="33" t="n">
        <f aca="false">D5786*INDEX(Products!$E$2:$E$49,MATCH(C5786,Products!$A$2:$A$49,0))</f>
        <v>21780</v>
      </c>
      <c r="I5786" s="33" t="n">
        <f aca="false">D5786*INDEX(Products!$D$2:$D$49,MATCH(C5786,Products!$A$2:$A$49,0))*(1+INDEX(Assumptions!$B$16:$B$20,MATCH(B5786,Assumptions!$A$16:$A$20,0)))</f>
        <v>15954.84</v>
      </c>
      <c r="J5786" s="33" t="n">
        <f aca="false">H5786-I5786</f>
        <v>5825.16</v>
      </c>
      <c r="K5786" s="33" t="n">
        <f aca="false">IF(OR(E5786=0,E5786&gt;=7),0,D5786/(7-E5786)*E5786*INDEX(Products!$E$2:$E$49,MATCH(C5786,Products!$A$2:$A$49,0)))</f>
        <v>0</v>
      </c>
    </row>
    <row r="5787" customFormat="false" ht="15" hidden="false" customHeight="false" outlineLevel="0" collapsed="false">
      <c r="A5787" s="36" t="n">
        <v>46188</v>
      </c>
      <c r="B5787" s="24" t="s">
        <v>65</v>
      </c>
      <c r="C5787" s="24" t="s">
        <v>193</v>
      </c>
      <c r="D5787" s="33" t="n">
        <v>80</v>
      </c>
      <c r="E5787" s="24" t="n">
        <v>0</v>
      </c>
      <c r="F5787" s="37" t="n">
        <f aca="false">DATE(YEAR(A5787),MONTH(A5787),1)</f>
        <v>46174</v>
      </c>
      <c r="G5787" s="24" t="str">
        <f aca="false">INDEX(Products!$C$2:$C$49,MATCH(C5787,Products!$A$2:$A$49,0))</f>
        <v>Personal Care</v>
      </c>
      <c r="H5787" s="33" t="n">
        <f aca="false">D5787*INDEX(Products!$E$2:$E$49,MATCH(C5787,Products!$A$2:$A$49,0))</f>
        <v>17600</v>
      </c>
      <c r="I5787" s="33" t="n">
        <f aca="false">D5787*INDEX(Products!$D$2:$D$49,MATCH(C5787,Products!$A$2:$A$49,0))*(1+INDEX(Assumptions!$B$16:$B$20,MATCH(B5787,Assumptions!$A$16:$A$20,0)))</f>
        <v>12892.8</v>
      </c>
      <c r="J5787" s="33" t="n">
        <f aca="false">H5787-I5787</f>
        <v>4707.2</v>
      </c>
      <c r="K5787" s="33" t="n">
        <f aca="false">IF(OR(E5787=0,E5787&gt;=7),0,D5787/(7-E5787)*E5787*INDEX(Products!$E$2:$E$49,MATCH(C5787,Products!$A$2:$A$49,0)))</f>
        <v>0</v>
      </c>
    </row>
    <row r="5788" customFormat="false" ht="15" hidden="false" customHeight="false" outlineLevel="0" collapsed="false">
      <c r="A5788" s="36" t="n">
        <v>46195</v>
      </c>
      <c r="B5788" s="24" t="s">
        <v>65</v>
      </c>
      <c r="C5788" s="24" t="s">
        <v>193</v>
      </c>
      <c r="D5788" s="33" t="n">
        <v>89</v>
      </c>
      <c r="E5788" s="24" t="n">
        <v>0</v>
      </c>
      <c r="F5788" s="37" t="n">
        <f aca="false">DATE(YEAR(A5788),MONTH(A5788),1)</f>
        <v>46174</v>
      </c>
      <c r="G5788" s="24" t="str">
        <f aca="false">INDEX(Products!$C$2:$C$49,MATCH(C5788,Products!$A$2:$A$49,0))</f>
        <v>Personal Care</v>
      </c>
      <c r="H5788" s="33" t="n">
        <f aca="false">D5788*INDEX(Products!$E$2:$E$49,MATCH(C5788,Products!$A$2:$A$49,0))</f>
        <v>19580</v>
      </c>
      <c r="I5788" s="33" t="n">
        <f aca="false">D5788*INDEX(Products!$D$2:$D$49,MATCH(C5788,Products!$A$2:$A$49,0))*(1+INDEX(Assumptions!$B$16:$B$20,MATCH(B5788,Assumptions!$A$16:$A$20,0)))</f>
        <v>14343.24</v>
      </c>
      <c r="J5788" s="33" t="n">
        <f aca="false">H5788-I5788</f>
        <v>5236.76</v>
      </c>
      <c r="K5788" s="33" t="n">
        <f aca="false">IF(OR(E5788=0,E5788&gt;=7),0,D5788/(7-E5788)*E5788*INDEX(Products!$E$2:$E$49,MATCH(C5788,Products!$A$2:$A$49,0)))</f>
        <v>0</v>
      </c>
    </row>
    <row r="5789" customFormat="false" ht="15" hidden="false" customHeight="false" outlineLevel="0" collapsed="false">
      <c r="A5789" s="36" t="n">
        <v>46202</v>
      </c>
      <c r="B5789" s="24" t="s">
        <v>65</v>
      </c>
      <c r="C5789" s="24" t="s">
        <v>193</v>
      </c>
      <c r="D5789" s="33" t="n">
        <v>96</v>
      </c>
      <c r="E5789" s="24" t="n">
        <v>0</v>
      </c>
      <c r="F5789" s="37" t="n">
        <f aca="false">DATE(YEAR(A5789),MONTH(A5789),1)</f>
        <v>46174</v>
      </c>
      <c r="G5789" s="24" t="str">
        <f aca="false">INDEX(Products!$C$2:$C$49,MATCH(C5789,Products!$A$2:$A$49,0))</f>
        <v>Personal Care</v>
      </c>
      <c r="H5789" s="33" t="n">
        <f aca="false">D5789*INDEX(Products!$E$2:$E$49,MATCH(C5789,Products!$A$2:$A$49,0))</f>
        <v>21120</v>
      </c>
      <c r="I5789" s="33" t="n">
        <f aca="false">D5789*INDEX(Products!$D$2:$D$49,MATCH(C5789,Products!$A$2:$A$49,0))*(1+INDEX(Assumptions!$B$16:$B$20,MATCH(B5789,Assumptions!$A$16:$A$20,0)))</f>
        <v>15471.36</v>
      </c>
      <c r="J5789" s="33" t="n">
        <f aca="false">H5789-I5789</f>
        <v>5648.64</v>
      </c>
      <c r="K5789" s="33" t="n">
        <f aca="false">IF(OR(E5789=0,E5789&gt;=7),0,D5789/(7-E5789)*E5789*INDEX(Products!$E$2:$E$49,MATCH(C5789,Products!$A$2:$A$49,0)))</f>
        <v>0</v>
      </c>
    </row>
    <row r="5790" customFormat="false" ht="15" hidden="false" customHeight="false" outlineLevel="0" collapsed="false">
      <c r="A5790" s="36" t="n">
        <v>46209</v>
      </c>
      <c r="B5790" s="24" t="s">
        <v>65</v>
      </c>
      <c r="C5790" s="24" t="s">
        <v>193</v>
      </c>
      <c r="D5790" s="33" t="n">
        <v>73</v>
      </c>
      <c r="E5790" s="24" t="n">
        <v>0</v>
      </c>
      <c r="F5790" s="37" t="n">
        <f aca="false">DATE(YEAR(A5790),MONTH(A5790),1)</f>
        <v>46204</v>
      </c>
      <c r="G5790" s="24" t="str">
        <f aca="false">INDEX(Products!$C$2:$C$49,MATCH(C5790,Products!$A$2:$A$49,0))</f>
        <v>Personal Care</v>
      </c>
      <c r="H5790" s="33" t="n">
        <f aca="false">D5790*INDEX(Products!$E$2:$E$49,MATCH(C5790,Products!$A$2:$A$49,0))</f>
        <v>16060</v>
      </c>
      <c r="I5790" s="33" t="n">
        <f aca="false">D5790*INDEX(Products!$D$2:$D$49,MATCH(C5790,Products!$A$2:$A$49,0))*(1+INDEX(Assumptions!$B$16:$B$20,MATCH(B5790,Assumptions!$A$16:$A$20,0)))</f>
        <v>11764.68</v>
      </c>
      <c r="J5790" s="33" t="n">
        <f aca="false">H5790-I5790</f>
        <v>4295.32</v>
      </c>
      <c r="K5790" s="33" t="n">
        <f aca="false">IF(OR(E5790=0,E5790&gt;=7),0,D5790/(7-E5790)*E5790*INDEX(Products!$E$2:$E$49,MATCH(C5790,Products!$A$2:$A$49,0)))</f>
        <v>0</v>
      </c>
    </row>
    <row r="5791" customFormat="false" ht="15" hidden="false" customHeight="false" outlineLevel="0" collapsed="false">
      <c r="A5791" s="36" t="n">
        <v>46216</v>
      </c>
      <c r="B5791" s="24" t="s">
        <v>65</v>
      </c>
      <c r="C5791" s="24" t="s">
        <v>193</v>
      </c>
      <c r="D5791" s="33" t="n">
        <v>136</v>
      </c>
      <c r="E5791" s="24" t="n">
        <v>0</v>
      </c>
      <c r="F5791" s="37" t="n">
        <f aca="false">DATE(YEAR(A5791),MONTH(A5791),1)</f>
        <v>46204</v>
      </c>
      <c r="G5791" s="24" t="str">
        <f aca="false">INDEX(Products!$C$2:$C$49,MATCH(C5791,Products!$A$2:$A$49,0))</f>
        <v>Personal Care</v>
      </c>
      <c r="H5791" s="33" t="n">
        <f aca="false">D5791*INDEX(Products!$E$2:$E$49,MATCH(C5791,Products!$A$2:$A$49,0))</f>
        <v>29920</v>
      </c>
      <c r="I5791" s="33" t="n">
        <f aca="false">D5791*INDEX(Products!$D$2:$D$49,MATCH(C5791,Products!$A$2:$A$49,0))*(1+INDEX(Assumptions!$B$16:$B$20,MATCH(B5791,Assumptions!$A$16:$A$20,0)))</f>
        <v>21917.76</v>
      </c>
      <c r="J5791" s="33" t="n">
        <f aca="false">H5791-I5791</f>
        <v>8002.24</v>
      </c>
      <c r="K5791" s="33" t="n">
        <f aca="false">IF(OR(E5791=0,E5791&gt;=7),0,D5791/(7-E5791)*E5791*INDEX(Products!$E$2:$E$49,MATCH(C5791,Products!$A$2:$A$49,0)))</f>
        <v>0</v>
      </c>
    </row>
    <row r="5792" customFormat="false" ht="15" hidden="false" customHeight="false" outlineLevel="0" collapsed="false">
      <c r="A5792" s="36" t="n">
        <v>46223</v>
      </c>
      <c r="B5792" s="24" t="s">
        <v>65</v>
      </c>
      <c r="C5792" s="24" t="s">
        <v>193</v>
      </c>
      <c r="D5792" s="33" t="n">
        <v>158</v>
      </c>
      <c r="E5792" s="24" t="n">
        <v>0</v>
      </c>
      <c r="F5792" s="37" t="n">
        <f aca="false">DATE(YEAR(A5792),MONTH(A5792),1)</f>
        <v>46204</v>
      </c>
      <c r="G5792" s="24" t="str">
        <f aca="false">INDEX(Products!$C$2:$C$49,MATCH(C5792,Products!$A$2:$A$49,0))</f>
        <v>Personal Care</v>
      </c>
      <c r="H5792" s="33" t="n">
        <f aca="false">D5792*INDEX(Products!$E$2:$E$49,MATCH(C5792,Products!$A$2:$A$49,0))</f>
        <v>34760</v>
      </c>
      <c r="I5792" s="33" t="n">
        <f aca="false">D5792*INDEX(Products!$D$2:$D$49,MATCH(C5792,Products!$A$2:$A$49,0))*(1+INDEX(Assumptions!$B$16:$B$20,MATCH(B5792,Assumptions!$A$16:$A$20,0)))</f>
        <v>25463.28</v>
      </c>
      <c r="J5792" s="33" t="n">
        <f aca="false">H5792-I5792</f>
        <v>9296.72</v>
      </c>
      <c r="K5792" s="33" t="n">
        <f aca="false">IF(OR(E5792=0,E5792&gt;=7),0,D5792/(7-E5792)*E5792*INDEX(Products!$E$2:$E$49,MATCH(C5792,Products!$A$2:$A$49,0)))</f>
        <v>0</v>
      </c>
    </row>
    <row r="5793" customFormat="false" ht="15" hidden="false" customHeight="false" outlineLevel="0" collapsed="false">
      <c r="A5793" s="36" t="n">
        <v>46230</v>
      </c>
      <c r="B5793" s="24" t="s">
        <v>65</v>
      </c>
      <c r="C5793" s="24" t="s">
        <v>193</v>
      </c>
      <c r="D5793" s="33" t="n">
        <v>98</v>
      </c>
      <c r="E5793" s="24" t="n">
        <v>0</v>
      </c>
      <c r="F5793" s="37" t="n">
        <f aca="false">DATE(YEAR(A5793),MONTH(A5793),1)</f>
        <v>46204</v>
      </c>
      <c r="G5793" s="24" t="str">
        <f aca="false">INDEX(Products!$C$2:$C$49,MATCH(C5793,Products!$A$2:$A$49,0))</f>
        <v>Personal Care</v>
      </c>
      <c r="H5793" s="33" t="n">
        <f aca="false">D5793*INDEX(Products!$E$2:$E$49,MATCH(C5793,Products!$A$2:$A$49,0))</f>
        <v>21560</v>
      </c>
      <c r="I5793" s="33" t="n">
        <f aca="false">D5793*INDEX(Products!$D$2:$D$49,MATCH(C5793,Products!$A$2:$A$49,0))*(1+INDEX(Assumptions!$B$16:$B$20,MATCH(B5793,Assumptions!$A$16:$A$20,0)))</f>
        <v>15793.68</v>
      </c>
      <c r="J5793" s="33" t="n">
        <f aca="false">H5793-I5793</f>
        <v>5766.32</v>
      </c>
      <c r="K5793" s="33" t="n">
        <f aca="false">IF(OR(E5793=0,E5793&gt;=7),0,D5793/(7-E5793)*E5793*INDEX(Products!$E$2:$E$49,MATCH(C5793,Products!$A$2:$A$49,0)))</f>
        <v>0</v>
      </c>
    </row>
    <row r="5794" customFormat="false" ht="15" hidden="false" customHeight="false" outlineLevel="0" collapsed="false">
      <c r="A5794" s="36" t="n">
        <v>46237</v>
      </c>
      <c r="B5794" s="24" t="s">
        <v>65</v>
      </c>
      <c r="C5794" s="24" t="s">
        <v>193</v>
      </c>
      <c r="D5794" s="33" t="n">
        <v>76</v>
      </c>
      <c r="E5794" s="24" t="n">
        <v>0</v>
      </c>
      <c r="F5794" s="37" t="n">
        <f aca="false">DATE(YEAR(A5794),MONTH(A5794),1)</f>
        <v>46235</v>
      </c>
      <c r="G5794" s="24" t="str">
        <f aca="false">INDEX(Products!$C$2:$C$49,MATCH(C5794,Products!$A$2:$A$49,0))</f>
        <v>Personal Care</v>
      </c>
      <c r="H5794" s="33" t="n">
        <f aca="false">D5794*INDEX(Products!$E$2:$E$49,MATCH(C5794,Products!$A$2:$A$49,0))</f>
        <v>16720</v>
      </c>
      <c r="I5794" s="33" t="n">
        <f aca="false">D5794*INDEX(Products!$D$2:$D$49,MATCH(C5794,Products!$A$2:$A$49,0))*(1+INDEX(Assumptions!$B$16:$B$20,MATCH(B5794,Assumptions!$A$16:$A$20,0)))</f>
        <v>12248.16</v>
      </c>
      <c r="J5794" s="33" t="n">
        <f aca="false">H5794-I5794</f>
        <v>4471.84</v>
      </c>
      <c r="K5794" s="33" t="n">
        <f aca="false">IF(OR(E5794=0,E5794&gt;=7),0,D5794/(7-E5794)*E5794*INDEX(Products!$E$2:$E$49,MATCH(C5794,Products!$A$2:$A$49,0)))</f>
        <v>0</v>
      </c>
    </row>
    <row r="5795" customFormat="false" ht="15" hidden="false" customHeight="false" outlineLevel="0" collapsed="false">
      <c r="A5795" s="36" t="n">
        <v>46244</v>
      </c>
      <c r="B5795" s="24" t="s">
        <v>65</v>
      </c>
      <c r="C5795" s="24" t="s">
        <v>193</v>
      </c>
      <c r="D5795" s="33" t="n">
        <v>74</v>
      </c>
      <c r="E5795" s="24" t="n">
        <v>0</v>
      </c>
      <c r="F5795" s="37" t="n">
        <f aca="false">DATE(YEAR(A5795),MONTH(A5795),1)</f>
        <v>46235</v>
      </c>
      <c r="G5795" s="24" t="str">
        <f aca="false">INDEX(Products!$C$2:$C$49,MATCH(C5795,Products!$A$2:$A$49,0))</f>
        <v>Personal Care</v>
      </c>
      <c r="H5795" s="33" t="n">
        <f aca="false">D5795*INDEX(Products!$E$2:$E$49,MATCH(C5795,Products!$A$2:$A$49,0))</f>
        <v>16280</v>
      </c>
      <c r="I5795" s="33" t="n">
        <f aca="false">D5795*INDEX(Products!$D$2:$D$49,MATCH(C5795,Products!$A$2:$A$49,0))*(1+INDEX(Assumptions!$B$16:$B$20,MATCH(B5795,Assumptions!$A$16:$A$20,0)))</f>
        <v>11925.84</v>
      </c>
      <c r="J5795" s="33" t="n">
        <f aca="false">H5795-I5795</f>
        <v>4354.16</v>
      </c>
      <c r="K5795" s="33" t="n">
        <f aca="false">IF(OR(E5795=0,E5795&gt;=7),0,D5795/(7-E5795)*E5795*INDEX(Products!$E$2:$E$49,MATCH(C5795,Products!$A$2:$A$49,0)))</f>
        <v>0</v>
      </c>
    </row>
    <row r="5796" customFormat="false" ht="15" hidden="false" customHeight="false" outlineLevel="0" collapsed="false">
      <c r="A5796" s="36" t="n">
        <v>46251</v>
      </c>
      <c r="B5796" s="24" t="s">
        <v>65</v>
      </c>
      <c r="C5796" s="24" t="s">
        <v>193</v>
      </c>
      <c r="D5796" s="33" t="n">
        <v>76</v>
      </c>
      <c r="E5796" s="24" t="n">
        <v>0</v>
      </c>
      <c r="F5796" s="37" t="n">
        <f aca="false">DATE(YEAR(A5796),MONTH(A5796),1)</f>
        <v>46235</v>
      </c>
      <c r="G5796" s="24" t="str">
        <f aca="false">INDEX(Products!$C$2:$C$49,MATCH(C5796,Products!$A$2:$A$49,0))</f>
        <v>Personal Care</v>
      </c>
      <c r="H5796" s="33" t="n">
        <f aca="false">D5796*INDEX(Products!$E$2:$E$49,MATCH(C5796,Products!$A$2:$A$49,0))</f>
        <v>16720</v>
      </c>
      <c r="I5796" s="33" t="n">
        <f aca="false">D5796*INDEX(Products!$D$2:$D$49,MATCH(C5796,Products!$A$2:$A$49,0))*(1+INDEX(Assumptions!$B$16:$B$20,MATCH(B5796,Assumptions!$A$16:$A$20,0)))</f>
        <v>12248.16</v>
      </c>
      <c r="J5796" s="33" t="n">
        <f aca="false">H5796-I5796</f>
        <v>4471.84</v>
      </c>
      <c r="K5796" s="33" t="n">
        <f aca="false">IF(OR(E5796=0,E5796&gt;=7),0,D5796/(7-E5796)*E5796*INDEX(Products!$E$2:$E$49,MATCH(C5796,Products!$A$2:$A$49,0)))</f>
        <v>0</v>
      </c>
    </row>
    <row r="5797" customFormat="false" ht="15" hidden="false" customHeight="false" outlineLevel="0" collapsed="false">
      <c r="A5797" s="36" t="n">
        <v>46258</v>
      </c>
      <c r="B5797" s="24" t="s">
        <v>65</v>
      </c>
      <c r="C5797" s="24" t="s">
        <v>193</v>
      </c>
      <c r="D5797" s="33" t="n">
        <v>73</v>
      </c>
      <c r="E5797" s="24" t="n">
        <v>0</v>
      </c>
      <c r="F5797" s="37" t="n">
        <f aca="false">DATE(YEAR(A5797),MONTH(A5797),1)</f>
        <v>46235</v>
      </c>
      <c r="G5797" s="24" t="str">
        <f aca="false">INDEX(Products!$C$2:$C$49,MATCH(C5797,Products!$A$2:$A$49,0))</f>
        <v>Personal Care</v>
      </c>
      <c r="H5797" s="33" t="n">
        <f aca="false">D5797*INDEX(Products!$E$2:$E$49,MATCH(C5797,Products!$A$2:$A$49,0))</f>
        <v>16060</v>
      </c>
      <c r="I5797" s="33" t="n">
        <f aca="false">D5797*INDEX(Products!$D$2:$D$49,MATCH(C5797,Products!$A$2:$A$49,0))*(1+INDEX(Assumptions!$B$16:$B$20,MATCH(B5797,Assumptions!$A$16:$A$20,0)))</f>
        <v>11764.68</v>
      </c>
      <c r="J5797" s="33" t="n">
        <f aca="false">H5797-I5797</f>
        <v>4295.32</v>
      </c>
      <c r="K5797" s="33" t="n">
        <f aca="false">IF(OR(E5797=0,E5797&gt;=7),0,D5797/(7-E5797)*E5797*INDEX(Products!$E$2:$E$49,MATCH(C5797,Products!$A$2:$A$49,0)))</f>
        <v>0</v>
      </c>
    </row>
    <row r="5798" customFormat="false" ht="15" hidden="false" customHeight="false" outlineLevel="0" collapsed="false">
      <c r="A5798" s="36" t="n">
        <v>46265</v>
      </c>
      <c r="B5798" s="24" t="s">
        <v>65</v>
      </c>
      <c r="C5798" s="24" t="s">
        <v>193</v>
      </c>
      <c r="D5798" s="33" t="n">
        <v>95</v>
      </c>
      <c r="E5798" s="24" t="n">
        <v>0</v>
      </c>
      <c r="F5798" s="37" t="n">
        <f aca="false">DATE(YEAR(A5798),MONTH(A5798),1)</f>
        <v>46235</v>
      </c>
      <c r="G5798" s="24" t="str">
        <f aca="false">INDEX(Products!$C$2:$C$49,MATCH(C5798,Products!$A$2:$A$49,0))</f>
        <v>Personal Care</v>
      </c>
      <c r="H5798" s="33" t="n">
        <f aca="false">D5798*INDEX(Products!$E$2:$E$49,MATCH(C5798,Products!$A$2:$A$49,0))</f>
        <v>20900</v>
      </c>
      <c r="I5798" s="33" t="n">
        <f aca="false">D5798*INDEX(Products!$D$2:$D$49,MATCH(C5798,Products!$A$2:$A$49,0))*(1+INDEX(Assumptions!$B$16:$B$20,MATCH(B5798,Assumptions!$A$16:$A$20,0)))</f>
        <v>15310.2</v>
      </c>
      <c r="J5798" s="33" t="n">
        <f aca="false">H5798-I5798</f>
        <v>5589.8</v>
      </c>
      <c r="K5798" s="33" t="n">
        <f aca="false">IF(OR(E5798=0,E5798&gt;=7),0,D5798/(7-E5798)*E5798*INDEX(Products!$E$2:$E$49,MATCH(C5798,Products!$A$2:$A$49,0)))</f>
        <v>0</v>
      </c>
    </row>
    <row r="5799" customFormat="false" ht="15" hidden="false" customHeight="false" outlineLevel="0" collapsed="false">
      <c r="A5799" s="36" t="n">
        <v>46272</v>
      </c>
      <c r="B5799" s="24" t="s">
        <v>65</v>
      </c>
      <c r="C5799" s="24" t="s">
        <v>193</v>
      </c>
      <c r="D5799" s="33" t="n">
        <v>91</v>
      </c>
      <c r="E5799" s="24" t="n">
        <v>0</v>
      </c>
      <c r="F5799" s="37" t="n">
        <f aca="false">DATE(YEAR(A5799),MONTH(A5799),1)</f>
        <v>46266</v>
      </c>
      <c r="G5799" s="24" t="str">
        <f aca="false">INDEX(Products!$C$2:$C$49,MATCH(C5799,Products!$A$2:$A$49,0))</f>
        <v>Personal Care</v>
      </c>
      <c r="H5799" s="33" t="n">
        <f aca="false">D5799*INDEX(Products!$E$2:$E$49,MATCH(C5799,Products!$A$2:$A$49,0))</f>
        <v>20020</v>
      </c>
      <c r="I5799" s="33" t="n">
        <f aca="false">D5799*INDEX(Products!$D$2:$D$49,MATCH(C5799,Products!$A$2:$A$49,0))*(1+INDEX(Assumptions!$B$16:$B$20,MATCH(B5799,Assumptions!$A$16:$A$20,0)))</f>
        <v>14665.56</v>
      </c>
      <c r="J5799" s="33" t="n">
        <f aca="false">H5799-I5799</f>
        <v>5354.44</v>
      </c>
      <c r="K5799" s="33" t="n">
        <f aca="false">IF(OR(E5799=0,E5799&gt;=7),0,D5799/(7-E5799)*E5799*INDEX(Products!$E$2:$E$49,MATCH(C5799,Products!$A$2:$A$49,0)))</f>
        <v>0</v>
      </c>
    </row>
    <row r="5800" customFormat="false" ht="15" hidden="false" customHeight="false" outlineLevel="0" collapsed="false">
      <c r="A5800" s="36" t="n">
        <v>46279</v>
      </c>
      <c r="B5800" s="24" t="s">
        <v>65</v>
      </c>
      <c r="C5800" s="24" t="s">
        <v>193</v>
      </c>
      <c r="D5800" s="33" t="n">
        <v>77</v>
      </c>
      <c r="E5800" s="24" t="n">
        <v>0</v>
      </c>
      <c r="F5800" s="37" t="n">
        <f aca="false">DATE(YEAR(A5800),MONTH(A5800),1)</f>
        <v>46266</v>
      </c>
      <c r="G5800" s="24" t="str">
        <f aca="false">INDEX(Products!$C$2:$C$49,MATCH(C5800,Products!$A$2:$A$49,0))</f>
        <v>Personal Care</v>
      </c>
      <c r="H5800" s="33" t="n">
        <f aca="false">D5800*INDEX(Products!$E$2:$E$49,MATCH(C5800,Products!$A$2:$A$49,0))</f>
        <v>16940</v>
      </c>
      <c r="I5800" s="33" t="n">
        <f aca="false">D5800*INDEX(Products!$D$2:$D$49,MATCH(C5800,Products!$A$2:$A$49,0))*(1+INDEX(Assumptions!$B$16:$B$20,MATCH(B5800,Assumptions!$A$16:$A$20,0)))</f>
        <v>12409.32</v>
      </c>
      <c r="J5800" s="33" t="n">
        <f aca="false">H5800-I5800</f>
        <v>4530.68</v>
      </c>
      <c r="K5800" s="33" t="n">
        <f aca="false">IF(OR(E5800=0,E5800&gt;=7),0,D5800/(7-E5800)*E5800*INDEX(Products!$E$2:$E$49,MATCH(C5800,Products!$A$2:$A$49,0)))</f>
        <v>0</v>
      </c>
    </row>
    <row r="5801" customFormat="false" ht="15" hidden="false" customHeight="false" outlineLevel="0" collapsed="false">
      <c r="A5801" s="36" t="n">
        <v>46286</v>
      </c>
      <c r="B5801" s="24" t="s">
        <v>65</v>
      </c>
      <c r="C5801" s="24" t="s">
        <v>193</v>
      </c>
      <c r="D5801" s="33" t="n">
        <v>103</v>
      </c>
      <c r="E5801" s="24" t="n">
        <v>0</v>
      </c>
      <c r="F5801" s="37" t="n">
        <f aca="false">DATE(YEAR(A5801),MONTH(A5801),1)</f>
        <v>46266</v>
      </c>
      <c r="G5801" s="24" t="str">
        <f aca="false">INDEX(Products!$C$2:$C$49,MATCH(C5801,Products!$A$2:$A$49,0))</f>
        <v>Personal Care</v>
      </c>
      <c r="H5801" s="33" t="n">
        <f aca="false">D5801*INDEX(Products!$E$2:$E$49,MATCH(C5801,Products!$A$2:$A$49,0))</f>
        <v>22660</v>
      </c>
      <c r="I5801" s="33" t="n">
        <f aca="false">D5801*INDEX(Products!$D$2:$D$49,MATCH(C5801,Products!$A$2:$A$49,0))*(1+INDEX(Assumptions!$B$16:$B$20,MATCH(B5801,Assumptions!$A$16:$A$20,0)))</f>
        <v>16599.48</v>
      </c>
      <c r="J5801" s="33" t="n">
        <f aca="false">H5801-I5801</f>
        <v>6060.52</v>
      </c>
      <c r="K5801" s="33" t="n">
        <f aca="false">IF(OR(E5801=0,E5801&gt;=7),0,D5801/(7-E5801)*E5801*INDEX(Products!$E$2:$E$49,MATCH(C5801,Products!$A$2:$A$49,0)))</f>
        <v>0</v>
      </c>
    </row>
    <row r="5802" customFormat="false" ht="15" hidden="false" customHeight="false" outlineLevel="0" collapsed="false">
      <c r="A5802" s="36" t="n">
        <v>46118</v>
      </c>
      <c r="B5802" s="24" t="s">
        <v>65</v>
      </c>
      <c r="C5802" s="24" t="s">
        <v>195</v>
      </c>
      <c r="D5802" s="33" t="n">
        <v>232</v>
      </c>
      <c r="E5802" s="24" t="n">
        <v>0</v>
      </c>
      <c r="F5802" s="37" t="n">
        <f aca="false">DATE(YEAR(A5802),MONTH(A5802),1)</f>
        <v>46113</v>
      </c>
      <c r="G5802" s="24" t="str">
        <f aca="false">INDEX(Products!$C$2:$C$49,MATCH(C5802,Products!$A$2:$A$49,0))</f>
        <v>Snacks &amp; Confectionery</v>
      </c>
      <c r="H5802" s="33" t="n">
        <f aca="false">D5802*INDEX(Products!$E$2:$E$49,MATCH(C5802,Products!$A$2:$A$49,0))</f>
        <v>25520</v>
      </c>
      <c r="I5802" s="33" t="n">
        <f aca="false">D5802*INDEX(Products!$D$2:$D$49,MATCH(C5802,Products!$A$2:$A$49,0))*(1+INDEX(Assumptions!$B$16:$B$20,MATCH(B5802,Assumptions!$A$16:$A$20,0)))</f>
        <v>17511.36</v>
      </c>
      <c r="J5802" s="33" t="n">
        <f aca="false">H5802-I5802</f>
        <v>8008.64</v>
      </c>
      <c r="K5802" s="33" t="n">
        <f aca="false">IF(OR(E5802=0,E5802&gt;=7),0,D5802/(7-E5802)*E5802*INDEX(Products!$E$2:$E$49,MATCH(C5802,Products!$A$2:$A$49,0)))</f>
        <v>0</v>
      </c>
    </row>
    <row r="5803" customFormat="false" ht="15" hidden="false" customHeight="false" outlineLevel="0" collapsed="false">
      <c r="A5803" s="36" t="n">
        <v>46125</v>
      </c>
      <c r="B5803" s="24" t="s">
        <v>65</v>
      </c>
      <c r="C5803" s="24" t="s">
        <v>195</v>
      </c>
      <c r="D5803" s="33" t="n">
        <v>244</v>
      </c>
      <c r="E5803" s="24" t="n">
        <v>0</v>
      </c>
      <c r="F5803" s="37" t="n">
        <f aca="false">DATE(YEAR(A5803),MONTH(A5803),1)</f>
        <v>46113</v>
      </c>
      <c r="G5803" s="24" t="str">
        <f aca="false">INDEX(Products!$C$2:$C$49,MATCH(C5803,Products!$A$2:$A$49,0))</f>
        <v>Snacks &amp; Confectionery</v>
      </c>
      <c r="H5803" s="33" t="n">
        <f aca="false">D5803*INDEX(Products!$E$2:$E$49,MATCH(C5803,Products!$A$2:$A$49,0))</f>
        <v>26840</v>
      </c>
      <c r="I5803" s="33" t="n">
        <f aca="false">D5803*INDEX(Products!$D$2:$D$49,MATCH(C5803,Products!$A$2:$A$49,0))*(1+INDEX(Assumptions!$B$16:$B$20,MATCH(B5803,Assumptions!$A$16:$A$20,0)))</f>
        <v>18417.12</v>
      </c>
      <c r="J5803" s="33" t="n">
        <f aca="false">H5803-I5803</f>
        <v>8422.88</v>
      </c>
      <c r="K5803" s="33" t="n">
        <f aca="false">IF(OR(E5803=0,E5803&gt;=7),0,D5803/(7-E5803)*E5803*INDEX(Products!$E$2:$E$49,MATCH(C5803,Products!$A$2:$A$49,0)))</f>
        <v>0</v>
      </c>
    </row>
    <row r="5804" customFormat="false" ht="15" hidden="false" customHeight="false" outlineLevel="0" collapsed="false">
      <c r="A5804" s="36" t="n">
        <v>46132</v>
      </c>
      <c r="B5804" s="24" t="s">
        <v>65</v>
      </c>
      <c r="C5804" s="24" t="s">
        <v>195</v>
      </c>
      <c r="D5804" s="33" t="n">
        <v>251</v>
      </c>
      <c r="E5804" s="24" t="n">
        <v>0</v>
      </c>
      <c r="F5804" s="37" t="n">
        <f aca="false">DATE(YEAR(A5804),MONTH(A5804),1)</f>
        <v>46113</v>
      </c>
      <c r="G5804" s="24" t="str">
        <f aca="false">INDEX(Products!$C$2:$C$49,MATCH(C5804,Products!$A$2:$A$49,0))</f>
        <v>Snacks &amp; Confectionery</v>
      </c>
      <c r="H5804" s="33" t="n">
        <f aca="false">D5804*INDEX(Products!$E$2:$E$49,MATCH(C5804,Products!$A$2:$A$49,0))</f>
        <v>27610</v>
      </c>
      <c r="I5804" s="33" t="n">
        <f aca="false">D5804*INDEX(Products!$D$2:$D$49,MATCH(C5804,Products!$A$2:$A$49,0))*(1+INDEX(Assumptions!$B$16:$B$20,MATCH(B5804,Assumptions!$A$16:$A$20,0)))</f>
        <v>18945.48</v>
      </c>
      <c r="J5804" s="33" t="n">
        <f aca="false">H5804-I5804</f>
        <v>8664.52</v>
      </c>
      <c r="K5804" s="33" t="n">
        <f aca="false">IF(OR(E5804=0,E5804&gt;=7),0,D5804/(7-E5804)*E5804*INDEX(Products!$E$2:$E$49,MATCH(C5804,Products!$A$2:$A$49,0)))</f>
        <v>0</v>
      </c>
    </row>
    <row r="5805" customFormat="false" ht="15" hidden="false" customHeight="false" outlineLevel="0" collapsed="false">
      <c r="A5805" s="36" t="n">
        <v>46139</v>
      </c>
      <c r="B5805" s="24" t="s">
        <v>65</v>
      </c>
      <c r="C5805" s="24" t="s">
        <v>195</v>
      </c>
      <c r="D5805" s="33" t="n">
        <v>274</v>
      </c>
      <c r="E5805" s="24" t="n">
        <v>0</v>
      </c>
      <c r="F5805" s="37" t="n">
        <f aca="false">DATE(YEAR(A5805),MONTH(A5805),1)</f>
        <v>46113</v>
      </c>
      <c r="G5805" s="24" t="str">
        <f aca="false">INDEX(Products!$C$2:$C$49,MATCH(C5805,Products!$A$2:$A$49,0))</f>
        <v>Snacks &amp; Confectionery</v>
      </c>
      <c r="H5805" s="33" t="n">
        <f aca="false">D5805*INDEX(Products!$E$2:$E$49,MATCH(C5805,Products!$A$2:$A$49,0))</f>
        <v>30140</v>
      </c>
      <c r="I5805" s="33" t="n">
        <f aca="false">D5805*INDEX(Products!$D$2:$D$49,MATCH(C5805,Products!$A$2:$A$49,0))*(1+INDEX(Assumptions!$B$16:$B$20,MATCH(B5805,Assumptions!$A$16:$A$20,0)))</f>
        <v>20681.52</v>
      </c>
      <c r="J5805" s="33" t="n">
        <f aca="false">H5805-I5805</f>
        <v>9458.48</v>
      </c>
      <c r="K5805" s="33" t="n">
        <f aca="false">IF(OR(E5805=0,E5805&gt;=7),0,D5805/(7-E5805)*E5805*INDEX(Products!$E$2:$E$49,MATCH(C5805,Products!$A$2:$A$49,0)))</f>
        <v>0</v>
      </c>
    </row>
    <row r="5806" customFormat="false" ht="15" hidden="false" customHeight="false" outlineLevel="0" collapsed="false">
      <c r="A5806" s="36" t="n">
        <v>46146</v>
      </c>
      <c r="B5806" s="24" t="s">
        <v>65</v>
      </c>
      <c r="C5806" s="24" t="s">
        <v>195</v>
      </c>
      <c r="D5806" s="33" t="n">
        <v>226</v>
      </c>
      <c r="E5806" s="24" t="n">
        <v>0</v>
      </c>
      <c r="F5806" s="37" t="n">
        <f aca="false">DATE(YEAR(A5806),MONTH(A5806),1)</f>
        <v>46143</v>
      </c>
      <c r="G5806" s="24" t="str">
        <f aca="false">INDEX(Products!$C$2:$C$49,MATCH(C5806,Products!$A$2:$A$49,0))</f>
        <v>Snacks &amp; Confectionery</v>
      </c>
      <c r="H5806" s="33" t="n">
        <f aca="false">D5806*INDEX(Products!$E$2:$E$49,MATCH(C5806,Products!$A$2:$A$49,0))</f>
        <v>24860</v>
      </c>
      <c r="I5806" s="33" t="n">
        <f aca="false">D5806*INDEX(Products!$D$2:$D$49,MATCH(C5806,Products!$A$2:$A$49,0))*(1+INDEX(Assumptions!$B$16:$B$20,MATCH(B5806,Assumptions!$A$16:$A$20,0)))</f>
        <v>17058.48</v>
      </c>
      <c r="J5806" s="33" t="n">
        <f aca="false">H5806-I5806</f>
        <v>7801.52</v>
      </c>
      <c r="K5806" s="33" t="n">
        <f aca="false">IF(OR(E5806=0,E5806&gt;=7),0,D5806/(7-E5806)*E5806*INDEX(Products!$E$2:$E$49,MATCH(C5806,Products!$A$2:$A$49,0)))</f>
        <v>0</v>
      </c>
    </row>
    <row r="5807" customFormat="false" ht="15" hidden="false" customHeight="false" outlineLevel="0" collapsed="false">
      <c r="A5807" s="36" t="n">
        <v>46153</v>
      </c>
      <c r="B5807" s="24" t="s">
        <v>65</v>
      </c>
      <c r="C5807" s="24" t="s">
        <v>195</v>
      </c>
      <c r="D5807" s="33" t="n">
        <v>245</v>
      </c>
      <c r="E5807" s="24" t="n">
        <v>0</v>
      </c>
      <c r="F5807" s="37" t="n">
        <f aca="false">DATE(YEAR(A5807),MONTH(A5807),1)</f>
        <v>46143</v>
      </c>
      <c r="G5807" s="24" t="str">
        <f aca="false">INDEX(Products!$C$2:$C$49,MATCH(C5807,Products!$A$2:$A$49,0))</f>
        <v>Snacks &amp; Confectionery</v>
      </c>
      <c r="H5807" s="33" t="n">
        <f aca="false">D5807*INDEX(Products!$E$2:$E$49,MATCH(C5807,Products!$A$2:$A$49,0))</f>
        <v>26950</v>
      </c>
      <c r="I5807" s="33" t="n">
        <f aca="false">D5807*INDEX(Products!$D$2:$D$49,MATCH(C5807,Products!$A$2:$A$49,0))*(1+INDEX(Assumptions!$B$16:$B$20,MATCH(B5807,Assumptions!$A$16:$A$20,0)))</f>
        <v>18492.6</v>
      </c>
      <c r="J5807" s="33" t="n">
        <f aca="false">H5807-I5807</f>
        <v>8457.4</v>
      </c>
      <c r="K5807" s="33" t="n">
        <f aca="false">IF(OR(E5807=0,E5807&gt;=7),0,D5807/(7-E5807)*E5807*INDEX(Products!$E$2:$E$49,MATCH(C5807,Products!$A$2:$A$49,0)))</f>
        <v>0</v>
      </c>
    </row>
    <row r="5808" customFormat="false" ht="15" hidden="false" customHeight="false" outlineLevel="0" collapsed="false">
      <c r="A5808" s="36" t="n">
        <v>46160</v>
      </c>
      <c r="B5808" s="24" t="s">
        <v>65</v>
      </c>
      <c r="C5808" s="24" t="s">
        <v>195</v>
      </c>
      <c r="D5808" s="33" t="n">
        <v>244</v>
      </c>
      <c r="E5808" s="24" t="n">
        <v>0</v>
      </c>
      <c r="F5808" s="37" t="n">
        <f aca="false">DATE(YEAR(A5808),MONTH(A5808),1)</f>
        <v>46143</v>
      </c>
      <c r="G5808" s="24" t="str">
        <f aca="false">INDEX(Products!$C$2:$C$49,MATCH(C5808,Products!$A$2:$A$49,0))</f>
        <v>Snacks &amp; Confectionery</v>
      </c>
      <c r="H5808" s="33" t="n">
        <f aca="false">D5808*INDEX(Products!$E$2:$E$49,MATCH(C5808,Products!$A$2:$A$49,0))</f>
        <v>26840</v>
      </c>
      <c r="I5808" s="33" t="n">
        <f aca="false">D5808*INDEX(Products!$D$2:$D$49,MATCH(C5808,Products!$A$2:$A$49,0))*(1+INDEX(Assumptions!$B$16:$B$20,MATCH(B5808,Assumptions!$A$16:$A$20,0)))</f>
        <v>18417.12</v>
      </c>
      <c r="J5808" s="33" t="n">
        <f aca="false">H5808-I5808</f>
        <v>8422.88</v>
      </c>
      <c r="K5808" s="33" t="n">
        <f aca="false">IF(OR(E5808=0,E5808&gt;=7),0,D5808/(7-E5808)*E5808*INDEX(Products!$E$2:$E$49,MATCH(C5808,Products!$A$2:$A$49,0)))</f>
        <v>0</v>
      </c>
    </row>
    <row r="5809" customFormat="false" ht="15" hidden="false" customHeight="false" outlineLevel="0" collapsed="false">
      <c r="A5809" s="36" t="n">
        <v>46167</v>
      </c>
      <c r="B5809" s="24" t="s">
        <v>65</v>
      </c>
      <c r="C5809" s="24" t="s">
        <v>195</v>
      </c>
      <c r="D5809" s="33" t="n">
        <v>270</v>
      </c>
      <c r="E5809" s="24" t="n">
        <v>0</v>
      </c>
      <c r="F5809" s="37" t="n">
        <f aca="false">DATE(YEAR(A5809),MONTH(A5809),1)</f>
        <v>46143</v>
      </c>
      <c r="G5809" s="24" t="str">
        <f aca="false">INDEX(Products!$C$2:$C$49,MATCH(C5809,Products!$A$2:$A$49,0))</f>
        <v>Snacks &amp; Confectionery</v>
      </c>
      <c r="H5809" s="33" t="n">
        <f aca="false">D5809*INDEX(Products!$E$2:$E$49,MATCH(C5809,Products!$A$2:$A$49,0))</f>
        <v>29700</v>
      </c>
      <c r="I5809" s="33" t="n">
        <f aca="false">D5809*INDEX(Products!$D$2:$D$49,MATCH(C5809,Products!$A$2:$A$49,0))*(1+INDEX(Assumptions!$B$16:$B$20,MATCH(B5809,Assumptions!$A$16:$A$20,0)))</f>
        <v>20379.6</v>
      </c>
      <c r="J5809" s="33" t="n">
        <f aca="false">H5809-I5809</f>
        <v>9320.4</v>
      </c>
      <c r="K5809" s="33" t="n">
        <f aca="false">IF(OR(E5809=0,E5809&gt;=7),0,D5809/(7-E5809)*E5809*INDEX(Products!$E$2:$E$49,MATCH(C5809,Products!$A$2:$A$49,0)))</f>
        <v>0</v>
      </c>
    </row>
    <row r="5810" customFormat="false" ht="15" hidden="false" customHeight="false" outlineLevel="0" collapsed="false">
      <c r="A5810" s="36" t="n">
        <v>46174</v>
      </c>
      <c r="B5810" s="24" t="s">
        <v>65</v>
      </c>
      <c r="C5810" s="24" t="s">
        <v>195</v>
      </c>
      <c r="D5810" s="33" t="n">
        <v>233</v>
      </c>
      <c r="E5810" s="24" t="n">
        <v>0</v>
      </c>
      <c r="F5810" s="37" t="n">
        <f aca="false">DATE(YEAR(A5810),MONTH(A5810),1)</f>
        <v>46174</v>
      </c>
      <c r="G5810" s="24" t="str">
        <f aca="false">INDEX(Products!$C$2:$C$49,MATCH(C5810,Products!$A$2:$A$49,0))</f>
        <v>Snacks &amp; Confectionery</v>
      </c>
      <c r="H5810" s="33" t="n">
        <f aca="false">D5810*INDEX(Products!$E$2:$E$49,MATCH(C5810,Products!$A$2:$A$49,0))</f>
        <v>25630</v>
      </c>
      <c r="I5810" s="33" t="n">
        <f aca="false">D5810*INDEX(Products!$D$2:$D$49,MATCH(C5810,Products!$A$2:$A$49,0))*(1+INDEX(Assumptions!$B$16:$B$20,MATCH(B5810,Assumptions!$A$16:$A$20,0)))</f>
        <v>17586.84</v>
      </c>
      <c r="J5810" s="33" t="n">
        <f aca="false">H5810-I5810</f>
        <v>8043.16</v>
      </c>
      <c r="K5810" s="33" t="n">
        <f aca="false">IF(OR(E5810=0,E5810&gt;=7),0,D5810/(7-E5810)*E5810*INDEX(Products!$E$2:$E$49,MATCH(C5810,Products!$A$2:$A$49,0)))</f>
        <v>0</v>
      </c>
    </row>
    <row r="5811" customFormat="false" ht="15" hidden="false" customHeight="false" outlineLevel="0" collapsed="false">
      <c r="A5811" s="36" t="n">
        <v>46181</v>
      </c>
      <c r="B5811" s="24" t="s">
        <v>65</v>
      </c>
      <c r="C5811" s="24" t="s">
        <v>195</v>
      </c>
      <c r="D5811" s="33" t="n">
        <v>217</v>
      </c>
      <c r="E5811" s="24" t="n">
        <v>0</v>
      </c>
      <c r="F5811" s="37" t="n">
        <f aca="false">DATE(YEAR(A5811),MONTH(A5811),1)</f>
        <v>46174</v>
      </c>
      <c r="G5811" s="24" t="str">
        <f aca="false">INDEX(Products!$C$2:$C$49,MATCH(C5811,Products!$A$2:$A$49,0))</f>
        <v>Snacks &amp; Confectionery</v>
      </c>
      <c r="H5811" s="33" t="n">
        <f aca="false">D5811*INDEX(Products!$E$2:$E$49,MATCH(C5811,Products!$A$2:$A$49,0))</f>
        <v>23870</v>
      </c>
      <c r="I5811" s="33" t="n">
        <f aca="false">D5811*INDEX(Products!$D$2:$D$49,MATCH(C5811,Products!$A$2:$A$49,0))*(1+INDEX(Assumptions!$B$16:$B$20,MATCH(B5811,Assumptions!$A$16:$A$20,0)))</f>
        <v>16379.16</v>
      </c>
      <c r="J5811" s="33" t="n">
        <f aca="false">H5811-I5811</f>
        <v>7490.84</v>
      </c>
      <c r="K5811" s="33" t="n">
        <f aca="false">IF(OR(E5811=0,E5811&gt;=7),0,D5811/(7-E5811)*E5811*INDEX(Products!$E$2:$E$49,MATCH(C5811,Products!$A$2:$A$49,0)))</f>
        <v>0</v>
      </c>
    </row>
    <row r="5812" customFormat="false" ht="15" hidden="false" customHeight="false" outlineLevel="0" collapsed="false">
      <c r="A5812" s="36" t="n">
        <v>46188</v>
      </c>
      <c r="B5812" s="24" t="s">
        <v>65</v>
      </c>
      <c r="C5812" s="24" t="s">
        <v>195</v>
      </c>
      <c r="D5812" s="33" t="n">
        <v>226</v>
      </c>
      <c r="E5812" s="24" t="n">
        <v>0</v>
      </c>
      <c r="F5812" s="37" t="n">
        <f aca="false">DATE(YEAR(A5812),MONTH(A5812),1)</f>
        <v>46174</v>
      </c>
      <c r="G5812" s="24" t="str">
        <f aca="false">INDEX(Products!$C$2:$C$49,MATCH(C5812,Products!$A$2:$A$49,0))</f>
        <v>Snacks &amp; Confectionery</v>
      </c>
      <c r="H5812" s="33" t="n">
        <f aca="false">D5812*INDEX(Products!$E$2:$E$49,MATCH(C5812,Products!$A$2:$A$49,0))</f>
        <v>24860</v>
      </c>
      <c r="I5812" s="33" t="n">
        <f aca="false">D5812*INDEX(Products!$D$2:$D$49,MATCH(C5812,Products!$A$2:$A$49,0))*(1+INDEX(Assumptions!$B$16:$B$20,MATCH(B5812,Assumptions!$A$16:$A$20,0)))</f>
        <v>17058.48</v>
      </c>
      <c r="J5812" s="33" t="n">
        <f aca="false">H5812-I5812</f>
        <v>7801.52</v>
      </c>
      <c r="K5812" s="33" t="n">
        <f aca="false">IF(OR(E5812=0,E5812&gt;=7),0,D5812/(7-E5812)*E5812*INDEX(Products!$E$2:$E$49,MATCH(C5812,Products!$A$2:$A$49,0)))</f>
        <v>0</v>
      </c>
    </row>
    <row r="5813" customFormat="false" ht="15" hidden="false" customHeight="false" outlineLevel="0" collapsed="false">
      <c r="A5813" s="36" t="n">
        <v>46195</v>
      </c>
      <c r="B5813" s="24" t="s">
        <v>65</v>
      </c>
      <c r="C5813" s="24" t="s">
        <v>195</v>
      </c>
      <c r="D5813" s="33" t="n">
        <v>249</v>
      </c>
      <c r="E5813" s="24" t="n">
        <v>0</v>
      </c>
      <c r="F5813" s="37" t="n">
        <f aca="false">DATE(YEAR(A5813),MONTH(A5813),1)</f>
        <v>46174</v>
      </c>
      <c r="G5813" s="24" t="str">
        <f aca="false">INDEX(Products!$C$2:$C$49,MATCH(C5813,Products!$A$2:$A$49,0))</f>
        <v>Snacks &amp; Confectionery</v>
      </c>
      <c r="H5813" s="33" t="n">
        <f aca="false">D5813*INDEX(Products!$E$2:$E$49,MATCH(C5813,Products!$A$2:$A$49,0))</f>
        <v>27390</v>
      </c>
      <c r="I5813" s="33" t="n">
        <f aca="false">D5813*INDEX(Products!$D$2:$D$49,MATCH(C5813,Products!$A$2:$A$49,0))*(1+INDEX(Assumptions!$B$16:$B$20,MATCH(B5813,Assumptions!$A$16:$A$20,0)))</f>
        <v>18794.52</v>
      </c>
      <c r="J5813" s="33" t="n">
        <f aca="false">H5813-I5813</f>
        <v>8595.48</v>
      </c>
      <c r="K5813" s="33" t="n">
        <f aca="false">IF(OR(E5813=0,E5813&gt;=7),0,D5813/(7-E5813)*E5813*INDEX(Products!$E$2:$E$49,MATCH(C5813,Products!$A$2:$A$49,0)))</f>
        <v>0</v>
      </c>
    </row>
    <row r="5814" customFormat="false" ht="15" hidden="false" customHeight="false" outlineLevel="0" collapsed="false">
      <c r="A5814" s="36" t="n">
        <v>46202</v>
      </c>
      <c r="B5814" s="24" t="s">
        <v>65</v>
      </c>
      <c r="C5814" s="24" t="s">
        <v>195</v>
      </c>
      <c r="D5814" s="33" t="n">
        <v>226</v>
      </c>
      <c r="E5814" s="24" t="n">
        <v>1</v>
      </c>
      <c r="F5814" s="37" t="n">
        <f aca="false">DATE(YEAR(A5814),MONTH(A5814),1)</f>
        <v>46174</v>
      </c>
      <c r="G5814" s="24" t="str">
        <f aca="false">INDEX(Products!$C$2:$C$49,MATCH(C5814,Products!$A$2:$A$49,0))</f>
        <v>Snacks &amp; Confectionery</v>
      </c>
      <c r="H5814" s="33" t="n">
        <f aca="false">D5814*INDEX(Products!$E$2:$E$49,MATCH(C5814,Products!$A$2:$A$49,0))</f>
        <v>24860</v>
      </c>
      <c r="I5814" s="33" t="n">
        <f aca="false">D5814*INDEX(Products!$D$2:$D$49,MATCH(C5814,Products!$A$2:$A$49,0))*(1+INDEX(Assumptions!$B$16:$B$20,MATCH(B5814,Assumptions!$A$16:$A$20,0)))</f>
        <v>17058.48</v>
      </c>
      <c r="J5814" s="33" t="n">
        <f aca="false">H5814-I5814</f>
        <v>7801.52</v>
      </c>
      <c r="K5814" s="33" t="n">
        <f aca="false">IF(OR(E5814=0,E5814&gt;=7),0,D5814/(7-E5814)*E5814*INDEX(Products!$E$2:$E$49,MATCH(C5814,Products!$A$2:$A$49,0)))</f>
        <v>4143.33333333333</v>
      </c>
    </row>
    <row r="5815" customFormat="false" ht="15" hidden="false" customHeight="false" outlineLevel="0" collapsed="false">
      <c r="A5815" s="36" t="n">
        <v>46209</v>
      </c>
      <c r="B5815" s="24" t="s">
        <v>65</v>
      </c>
      <c r="C5815" s="24" t="s">
        <v>195</v>
      </c>
      <c r="D5815" s="33" t="n">
        <v>216</v>
      </c>
      <c r="E5815" s="24" t="n">
        <v>0</v>
      </c>
      <c r="F5815" s="37" t="n">
        <f aca="false">DATE(YEAR(A5815),MONTH(A5815),1)</f>
        <v>46204</v>
      </c>
      <c r="G5815" s="24" t="str">
        <f aca="false">INDEX(Products!$C$2:$C$49,MATCH(C5815,Products!$A$2:$A$49,0))</f>
        <v>Snacks &amp; Confectionery</v>
      </c>
      <c r="H5815" s="33" t="n">
        <f aca="false">D5815*INDEX(Products!$E$2:$E$49,MATCH(C5815,Products!$A$2:$A$49,0))</f>
        <v>23760</v>
      </c>
      <c r="I5815" s="33" t="n">
        <f aca="false">D5815*INDEX(Products!$D$2:$D$49,MATCH(C5815,Products!$A$2:$A$49,0))*(1+INDEX(Assumptions!$B$16:$B$20,MATCH(B5815,Assumptions!$A$16:$A$20,0)))</f>
        <v>16303.68</v>
      </c>
      <c r="J5815" s="33" t="n">
        <f aca="false">H5815-I5815</f>
        <v>7456.32</v>
      </c>
      <c r="K5815" s="33" t="n">
        <f aca="false">IF(OR(E5815=0,E5815&gt;=7),0,D5815/(7-E5815)*E5815*INDEX(Products!$E$2:$E$49,MATCH(C5815,Products!$A$2:$A$49,0)))</f>
        <v>0</v>
      </c>
    </row>
    <row r="5816" customFormat="false" ht="15" hidden="false" customHeight="false" outlineLevel="0" collapsed="false">
      <c r="A5816" s="36" t="n">
        <v>46216</v>
      </c>
      <c r="B5816" s="24" t="s">
        <v>65</v>
      </c>
      <c r="C5816" s="24" t="s">
        <v>195</v>
      </c>
      <c r="D5816" s="33" t="n">
        <v>198</v>
      </c>
      <c r="E5816" s="24" t="n">
        <v>0</v>
      </c>
      <c r="F5816" s="37" t="n">
        <f aca="false">DATE(YEAR(A5816),MONTH(A5816),1)</f>
        <v>46204</v>
      </c>
      <c r="G5816" s="24" t="str">
        <f aca="false">INDEX(Products!$C$2:$C$49,MATCH(C5816,Products!$A$2:$A$49,0))</f>
        <v>Snacks &amp; Confectionery</v>
      </c>
      <c r="H5816" s="33" t="n">
        <f aca="false">D5816*INDEX(Products!$E$2:$E$49,MATCH(C5816,Products!$A$2:$A$49,0))</f>
        <v>21780</v>
      </c>
      <c r="I5816" s="33" t="n">
        <f aca="false">D5816*INDEX(Products!$D$2:$D$49,MATCH(C5816,Products!$A$2:$A$49,0))*(1+INDEX(Assumptions!$B$16:$B$20,MATCH(B5816,Assumptions!$A$16:$A$20,0)))</f>
        <v>14945.04</v>
      </c>
      <c r="J5816" s="33" t="n">
        <f aca="false">H5816-I5816</f>
        <v>6834.96</v>
      </c>
      <c r="K5816" s="33" t="n">
        <f aca="false">IF(OR(E5816=0,E5816&gt;=7),0,D5816/(7-E5816)*E5816*INDEX(Products!$E$2:$E$49,MATCH(C5816,Products!$A$2:$A$49,0)))</f>
        <v>0</v>
      </c>
    </row>
    <row r="5817" customFormat="false" ht="15" hidden="false" customHeight="false" outlineLevel="0" collapsed="false">
      <c r="A5817" s="36" t="n">
        <v>46223</v>
      </c>
      <c r="B5817" s="24" t="s">
        <v>65</v>
      </c>
      <c r="C5817" s="24" t="s">
        <v>195</v>
      </c>
      <c r="D5817" s="33" t="n">
        <v>220</v>
      </c>
      <c r="E5817" s="24" t="n">
        <v>0</v>
      </c>
      <c r="F5817" s="37" t="n">
        <f aca="false">DATE(YEAR(A5817),MONTH(A5817),1)</f>
        <v>46204</v>
      </c>
      <c r="G5817" s="24" t="str">
        <f aca="false">INDEX(Products!$C$2:$C$49,MATCH(C5817,Products!$A$2:$A$49,0))</f>
        <v>Snacks &amp; Confectionery</v>
      </c>
      <c r="H5817" s="33" t="n">
        <f aca="false">D5817*INDEX(Products!$E$2:$E$49,MATCH(C5817,Products!$A$2:$A$49,0))</f>
        <v>24200</v>
      </c>
      <c r="I5817" s="33" t="n">
        <f aca="false">D5817*INDEX(Products!$D$2:$D$49,MATCH(C5817,Products!$A$2:$A$49,0))*(1+INDEX(Assumptions!$B$16:$B$20,MATCH(B5817,Assumptions!$A$16:$A$20,0)))</f>
        <v>16605.6</v>
      </c>
      <c r="J5817" s="33" t="n">
        <f aca="false">H5817-I5817</f>
        <v>7594.4</v>
      </c>
      <c r="K5817" s="33" t="n">
        <f aca="false">IF(OR(E5817=0,E5817&gt;=7),0,D5817/(7-E5817)*E5817*INDEX(Products!$E$2:$E$49,MATCH(C5817,Products!$A$2:$A$49,0)))</f>
        <v>0</v>
      </c>
    </row>
    <row r="5818" customFormat="false" ht="15" hidden="false" customHeight="false" outlineLevel="0" collapsed="false">
      <c r="A5818" s="36" t="n">
        <v>46230</v>
      </c>
      <c r="B5818" s="24" t="s">
        <v>65</v>
      </c>
      <c r="C5818" s="24" t="s">
        <v>195</v>
      </c>
      <c r="D5818" s="33" t="n">
        <v>236</v>
      </c>
      <c r="E5818" s="24" t="n">
        <v>0</v>
      </c>
      <c r="F5818" s="37" t="n">
        <f aca="false">DATE(YEAR(A5818),MONTH(A5818),1)</f>
        <v>46204</v>
      </c>
      <c r="G5818" s="24" t="str">
        <f aca="false">INDEX(Products!$C$2:$C$49,MATCH(C5818,Products!$A$2:$A$49,0))</f>
        <v>Snacks &amp; Confectionery</v>
      </c>
      <c r="H5818" s="33" t="n">
        <f aca="false">D5818*INDEX(Products!$E$2:$E$49,MATCH(C5818,Products!$A$2:$A$49,0))</f>
        <v>25960</v>
      </c>
      <c r="I5818" s="33" t="n">
        <f aca="false">D5818*INDEX(Products!$D$2:$D$49,MATCH(C5818,Products!$A$2:$A$49,0))*(1+INDEX(Assumptions!$B$16:$B$20,MATCH(B5818,Assumptions!$A$16:$A$20,0)))</f>
        <v>17813.28</v>
      </c>
      <c r="J5818" s="33" t="n">
        <f aca="false">H5818-I5818</f>
        <v>8146.72</v>
      </c>
      <c r="K5818" s="33" t="n">
        <f aca="false">IF(OR(E5818=0,E5818&gt;=7),0,D5818/(7-E5818)*E5818*INDEX(Products!$E$2:$E$49,MATCH(C5818,Products!$A$2:$A$49,0)))</f>
        <v>0</v>
      </c>
    </row>
    <row r="5819" customFormat="false" ht="15" hidden="false" customHeight="false" outlineLevel="0" collapsed="false">
      <c r="A5819" s="36" t="n">
        <v>46237</v>
      </c>
      <c r="B5819" s="24" t="s">
        <v>65</v>
      </c>
      <c r="C5819" s="24" t="s">
        <v>195</v>
      </c>
      <c r="D5819" s="33" t="n">
        <v>218</v>
      </c>
      <c r="E5819" s="24" t="n">
        <v>0</v>
      </c>
      <c r="F5819" s="37" t="n">
        <f aca="false">DATE(YEAR(A5819),MONTH(A5819),1)</f>
        <v>46235</v>
      </c>
      <c r="G5819" s="24" t="str">
        <f aca="false">INDEX(Products!$C$2:$C$49,MATCH(C5819,Products!$A$2:$A$49,0))</f>
        <v>Snacks &amp; Confectionery</v>
      </c>
      <c r="H5819" s="33" t="n">
        <f aca="false">D5819*INDEX(Products!$E$2:$E$49,MATCH(C5819,Products!$A$2:$A$49,0))</f>
        <v>23980</v>
      </c>
      <c r="I5819" s="33" t="n">
        <f aca="false">D5819*INDEX(Products!$D$2:$D$49,MATCH(C5819,Products!$A$2:$A$49,0))*(1+INDEX(Assumptions!$B$16:$B$20,MATCH(B5819,Assumptions!$A$16:$A$20,0)))</f>
        <v>16454.64</v>
      </c>
      <c r="J5819" s="33" t="n">
        <f aca="false">H5819-I5819</f>
        <v>7525.36</v>
      </c>
      <c r="K5819" s="33" t="n">
        <f aca="false">IF(OR(E5819=0,E5819&gt;=7),0,D5819/(7-E5819)*E5819*INDEX(Products!$E$2:$E$49,MATCH(C5819,Products!$A$2:$A$49,0)))</f>
        <v>0</v>
      </c>
    </row>
    <row r="5820" customFormat="false" ht="15" hidden="false" customHeight="false" outlineLevel="0" collapsed="false">
      <c r="A5820" s="36" t="n">
        <v>46244</v>
      </c>
      <c r="B5820" s="24" t="s">
        <v>65</v>
      </c>
      <c r="C5820" s="24" t="s">
        <v>195</v>
      </c>
      <c r="D5820" s="33" t="n">
        <v>177</v>
      </c>
      <c r="E5820" s="24" t="n">
        <v>0</v>
      </c>
      <c r="F5820" s="37" t="n">
        <f aca="false">DATE(YEAR(A5820),MONTH(A5820),1)</f>
        <v>46235</v>
      </c>
      <c r="G5820" s="24" t="str">
        <f aca="false">INDEX(Products!$C$2:$C$49,MATCH(C5820,Products!$A$2:$A$49,0))</f>
        <v>Snacks &amp; Confectionery</v>
      </c>
      <c r="H5820" s="33" t="n">
        <f aca="false">D5820*INDEX(Products!$E$2:$E$49,MATCH(C5820,Products!$A$2:$A$49,0))</f>
        <v>19470</v>
      </c>
      <c r="I5820" s="33" t="n">
        <f aca="false">D5820*INDEX(Products!$D$2:$D$49,MATCH(C5820,Products!$A$2:$A$49,0))*(1+INDEX(Assumptions!$B$16:$B$20,MATCH(B5820,Assumptions!$A$16:$A$20,0)))</f>
        <v>13359.96</v>
      </c>
      <c r="J5820" s="33" t="n">
        <f aca="false">H5820-I5820</f>
        <v>6110.04</v>
      </c>
      <c r="K5820" s="33" t="n">
        <f aca="false">IF(OR(E5820=0,E5820&gt;=7),0,D5820/(7-E5820)*E5820*INDEX(Products!$E$2:$E$49,MATCH(C5820,Products!$A$2:$A$49,0)))</f>
        <v>0</v>
      </c>
    </row>
    <row r="5821" customFormat="false" ht="15" hidden="false" customHeight="false" outlineLevel="0" collapsed="false">
      <c r="A5821" s="36" t="n">
        <v>46251</v>
      </c>
      <c r="B5821" s="24" t="s">
        <v>65</v>
      </c>
      <c r="C5821" s="24" t="s">
        <v>195</v>
      </c>
      <c r="D5821" s="33" t="n">
        <v>203</v>
      </c>
      <c r="E5821" s="24" t="n">
        <v>0</v>
      </c>
      <c r="F5821" s="37" t="n">
        <f aca="false">DATE(YEAR(A5821),MONTH(A5821),1)</f>
        <v>46235</v>
      </c>
      <c r="G5821" s="24" t="str">
        <f aca="false">INDEX(Products!$C$2:$C$49,MATCH(C5821,Products!$A$2:$A$49,0))</f>
        <v>Snacks &amp; Confectionery</v>
      </c>
      <c r="H5821" s="33" t="n">
        <f aca="false">D5821*INDEX(Products!$E$2:$E$49,MATCH(C5821,Products!$A$2:$A$49,0))</f>
        <v>22330</v>
      </c>
      <c r="I5821" s="33" t="n">
        <f aca="false">D5821*INDEX(Products!$D$2:$D$49,MATCH(C5821,Products!$A$2:$A$49,0))*(1+INDEX(Assumptions!$B$16:$B$20,MATCH(B5821,Assumptions!$A$16:$A$20,0)))</f>
        <v>15322.44</v>
      </c>
      <c r="J5821" s="33" t="n">
        <f aca="false">H5821-I5821</f>
        <v>7007.56</v>
      </c>
      <c r="K5821" s="33" t="n">
        <f aca="false">IF(OR(E5821=0,E5821&gt;=7),0,D5821/(7-E5821)*E5821*INDEX(Products!$E$2:$E$49,MATCH(C5821,Products!$A$2:$A$49,0)))</f>
        <v>0</v>
      </c>
    </row>
    <row r="5822" customFormat="false" ht="15" hidden="false" customHeight="false" outlineLevel="0" collapsed="false">
      <c r="A5822" s="36" t="n">
        <v>46258</v>
      </c>
      <c r="B5822" s="24" t="s">
        <v>65</v>
      </c>
      <c r="C5822" s="24" t="s">
        <v>195</v>
      </c>
      <c r="D5822" s="33" t="n">
        <v>214</v>
      </c>
      <c r="E5822" s="24" t="n">
        <v>0</v>
      </c>
      <c r="F5822" s="37" t="n">
        <f aca="false">DATE(YEAR(A5822),MONTH(A5822),1)</f>
        <v>46235</v>
      </c>
      <c r="G5822" s="24" t="str">
        <f aca="false">INDEX(Products!$C$2:$C$49,MATCH(C5822,Products!$A$2:$A$49,0))</f>
        <v>Snacks &amp; Confectionery</v>
      </c>
      <c r="H5822" s="33" t="n">
        <f aca="false">D5822*INDEX(Products!$E$2:$E$49,MATCH(C5822,Products!$A$2:$A$49,0))</f>
        <v>23540</v>
      </c>
      <c r="I5822" s="33" t="n">
        <f aca="false">D5822*INDEX(Products!$D$2:$D$49,MATCH(C5822,Products!$A$2:$A$49,0))*(1+INDEX(Assumptions!$B$16:$B$20,MATCH(B5822,Assumptions!$A$16:$A$20,0)))</f>
        <v>16152.72</v>
      </c>
      <c r="J5822" s="33" t="n">
        <f aca="false">H5822-I5822</f>
        <v>7387.28</v>
      </c>
      <c r="K5822" s="33" t="n">
        <f aca="false">IF(OR(E5822=0,E5822&gt;=7),0,D5822/(7-E5822)*E5822*INDEX(Products!$E$2:$E$49,MATCH(C5822,Products!$A$2:$A$49,0)))</f>
        <v>0</v>
      </c>
    </row>
    <row r="5823" customFormat="false" ht="15" hidden="false" customHeight="false" outlineLevel="0" collapsed="false">
      <c r="A5823" s="36" t="n">
        <v>46265</v>
      </c>
      <c r="B5823" s="24" t="s">
        <v>65</v>
      </c>
      <c r="C5823" s="24" t="s">
        <v>195</v>
      </c>
      <c r="D5823" s="33" t="n">
        <v>220</v>
      </c>
      <c r="E5823" s="24" t="n">
        <v>0</v>
      </c>
      <c r="F5823" s="37" t="n">
        <f aca="false">DATE(YEAR(A5823),MONTH(A5823),1)</f>
        <v>46235</v>
      </c>
      <c r="G5823" s="24" t="str">
        <f aca="false">INDEX(Products!$C$2:$C$49,MATCH(C5823,Products!$A$2:$A$49,0))</f>
        <v>Snacks &amp; Confectionery</v>
      </c>
      <c r="H5823" s="33" t="n">
        <f aca="false">D5823*INDEX(Products!$E$2:$E$49,MATCH(C5823,Products!$A$2:$A$49,0))</f>
        <v>24200</v>
      </c>
      <c r="I5823" s="33" t="n">
        <f aca="false">D5823*INDEX(Products!$D$2:$D$49,MATCH(C5823,Products!$A$2:$A$49,0))*(1+INDEX(Assumptions!$B$16:$B$20,MATCH(B5823,Assumptions!$A$16:$A$20,0)))</f>
        <v>16605.6</v>
      </c>
      <c r="J5823" s="33" t="n">
        <f aca="false">H5823-I5823</f>
        <v>7594.4</v>
      </c>
      <c r="K5823" s="33" t="n">
        <f aca="false">IF(OR(E5823=0,E5823&gt;=7),0,D5823/(7-E5823)*E5823*INDEX(Products!$E$2:$E$49,MATCH(C5823,Products!$A$2:$A$49,0)))</f>
        <v>0</v>
      </c>
    </row>
    <row r="5824" customFormat="false" ht="15" hidden="false" customHeight="false" outlineLevel="0" collapsed="false">
      <c r="A5824" s="36" t="n">
        <v>46272</v>
      </c>
      <c r="B5824" s="24" t="s">
        <v>65</v>
      </c>
      <c r="C5824" s="24" t="s">
        <v>195</v>
      </c>
      <c r="D5824" s="33" t="n">
        <v>222</v>
      </c>
      <c r="E5824" s="24" t="n">
        <v>0</v>
      </c>
      <c r="F5824" s="37" t="n">
        <f aca="false">DATE(YEAR(A5824),MONTH(A5824),1)</f>
        <v>46266</v>
      </c>
      <c r="G5824" s="24" t="str">
        <f aca="false">INDEX(Products!$C$2:$C$49,MATCH(C5824,Products!$A$2:$A$49,0))</f>
        <v>Snacks &amp; Confectionery</v>
      </c>
      <c r="H5824" s="33" t="n">
        <f aca="false">D5824*INDEX(Products!$E$2:$E$49,MATCH(C5824,Products!$A$2:$A$49,0))</f>
        <v>24420</v>
      </c>
      <c r="I5824" s="33" t="n">
        <f aca="false">D5824*INDEX(Products!$D$2:$D$49,MATCH(C5824,Products!$A$2:$A$49,0))*(1+INDEX(Assumptions!$B$16:$B$20,MATCH(B5824,Assumptions!$A$16:$A$20,0)))</f>
        <v>16756.56</v>
      </c>
      <c r="J5824" s="33" t="n">
        <f aca="false">H5824-I5824</f>
        <v>7663.44</v>
      </c>
      <c r="K5824" s="33" t="n">
        <f aca="false">IF(OR(E5824=0,E5824&gt;=7),0,D5824/(7-E5824)*E5824*INDEX(Products!$E$2:$E$49,MATCH(C5824,Products!$A$2:$A$49,0)))</f>
        <v>0</v>
      </c>
    </row>
    <row r="5825" customFormat="false" ht="15" hidden="false" customHeight="false" outlineLevel="0" collapsed="false">
      <c r="A5825" s="36" t="n">
        <v>46279</v>
      </c>
      <c r="B5825" s="24" t="s">
        <v>65</v>
      </c>
      <c r="C5825" s="24" t="s">
        <v>195</v>
      </c>
      <c r="D5825" s="33" t="n">
        <v>233</v>
      </c>
      <c r="E5825" s="24" t="n">
        <v>0</v>
      </c>
      <c r="F5825" s="37" t="n">
        <f aca="false">DATE(YEAR(A5825),MONTH(A5825),1)</f>
        <v>46266</v>
      </c>
      <c r="G5825" s="24" t="str">
        <f aca="false">INDEX(Products!$C$2:$C$49,MATCH(C5825,Products!$A$2:$A$49,0))</f>
        <v>Snacks &amp; Confectionery</v>
      </c>
      <c r="H5825" s="33" t="n">
        <f aca="false">D5825*INDEX(Products!$E$2:$E$49,MATCH(C5825,Products!$A$2:$A$49,0))</f>
        <v>25630</v>
      </c>
      <c r="I5825" s="33" t="n">
        <f aca="false">D5825*INDEX(Products!$D$2:$D$49,MATCH(C5825,Products!$A$2:$A$49,0))*(1+INDEX(Assumptions!$B$16:$B$20,MATCH(B5825,Assumptions!$A$16:$A$20,0)))</f>
        <v>17586.84</v>
      </c>
      <c r="J5825" s="33" t="n">
        <f aca="false">H5825-I5825</f>
        <v>8043.16</v>
      </c>
      <c r="K5825" s="33" t="n">
        <f aca="false">IF(OR(E5825=0,E5825&gt;=7),0,D5825/(7-E5825)*E5825*INDEX(Products!$E$2:$E$49,MATCH(C5825,Products!$A$2:$A$49,0)))</f>
        <v>0</v>
      </c>
    </row>
    <row r="5826" customFormat="false" ht="15" hidden="false" customHeight="false" outlineLevel="0" collapsed="false">
      <c r="A5826" s="36" t="n">
        <v>46286</v>
      </c>
      <c r="B5826" s="24" t="s">
        <v>65</v>
      </c>
      <c r="C5826" s="24" t="s">
        <v>195</v>
      </c>
      <c r="D5826" s="33" t="n">
        <v>256</v>
      </c>
      <c r="E5826" s="24" t="n">
        <v>0</v>
      </c>
      <c r="F5826" s="37" t="n">
        <f aca="false">DATE(YEAR(A5826),MONTH(A5826),1)</f>
        <v>46266</v>
      </c>
      <c r="G5826" s="24" t="str">
        <f aca="false">INDEX(Products!$C$2:$C$49,MATCH(C5826,Products!$A$2:$A$49,0))</f>
        <v>Snacks &amp; Confectionery</v>
      </c>
      <c r="H5826" s="33" t="n">
        <f aca="false">D5826*INDEX(Products!$E$2:$E$49,MATCH(C5826,Products!$A$2:$A$49,0))</f>
        <v>28160</v>
      </c>
      <c r="I5826" s="33" t="n">
        <f aca="false">D5826*INDEX(Products!$D$2:$D$49,MATCH(C5826,Products!$A$2:$A$49,0))*(1+INDEX(Assumptions!$B$16:$B$20,MATCH(B5826,Assumptions!$A$16:$A$20,0)))</f>
        <v>19322.88</v>
      </c>
      <c r="J5826" s="33" t="n">
        <f aca="false">H5826-I5826</f>
        <v>8837.12</v>
      </c>
      <c r="K5826" s="33" t="n">
        <f aca="false">IF(OR(E5826=0,E5826&gt;=7),0,D5826/(7-E5826)*E5826*INDEX(Products!$E$2:$E$49,MATCH(C5826,Products!$A$2:$A$49,0)))</f>
        <v>0</v>
      </c>
    </row>
    <row r="5827" customFormat="false" ht="15" hidden="false" customHeight="false" outlineLevel="0" collapsed="false">
      <c r="A5827" s="36" t="n">
        <v>46118</v>
      </c>
      <c r="B5827" s="24" t="s">
        <v>65</v>
      </c>
      <c r="C5827" s="24" t="s">
        <v>197</v>
      </c>
      <c r="D5827" s="33" t="n">
        <v>37</v>
      </c>
      <c r="E5827" s="24" t="n">
        <v>0</v>
      </c>
      <c r="F5827" s="37" t="n">
        <f aca="false">DATE(YEAR(A5827),MONTH(A5827),1)</f>
        <v>46113</v>
      </c>
      <c r="G5827" s="24" t="str">
        <f aca="false">INDEX(Products!$C$2:$C$49,MATCH(C5827,Products!$A$2:$A$49,0))</f>
        <v>Snacks &amp; Confectionery</v>
      </c>
      <c r="H5827" s="33" t="n">
        <f aca="false">D5827*INDEX(Products!$E$2:$E$49,MATCH(C5827,Products!$A$2:$A$49,0))</f>
        <v>3330</v>
      </c>
      <c r="I5827" s="33" t="n">
        <f aca="false">D5827*INDEX(Products!$D$2:$D$49,MATCH(C5827,Products!$A$2:$A$49,0))*(1+INDEX(Assumptions!$B$16:$B$20,MATCH(B5827,Assumptions!$A$16:$A$20,0)))</f>
        <v>2490.84</v>
      </c>
      <c r="J5827" s="33" t="n">
        <f aca="false">H5827-I5827</f>
        <v>839.16</v>
      </c>
      <c r="K5827" s="33" t="n">
        <f aca="false">IF(OR(E5827=0,E5827&gt;=7),0,D5827/(7-E5827)*E5827*INDEX(Products!$E$2:$E$49,MATCH(C5827,Products!$A$2:$A$49,0)))</f>
        <v>0</v>
      </c>
    </row>
    <row r="5828" customFormat="false" ht="15" hidden="false" customHeight="false" outlineLevel="0" collapsed="false">
      <c r="A5828" s="36" t="n">
        <v>46125</v>
      </c>
      <c r="B5828" s="24" t="s">
        <v>65</v>
      </c>
      <c r="C5828" s="24" t="s">
        <v>197</v>
      </c>
      <c r="D5828" s="33" t="n">
        <v>39</v>
      </c>
      <c r="E5828" s="24" t="n">
        <v>0</v>
      </c>
      <c r="F5828" s="37" t="n">
        <f aca="false">DATE(YEAR(A5828),MONTH(A5828),1)</f>
        <v>46113</v>
      </c>
      <c r="G5828" s="24" t="str">
        <f aca="false">INDEX(Products!$C$2:$C$49,MATCH(C5828,Products!$A$2:$A$49,0))</f>
        <v>Snacks &amp; Confectionery</v>
      </c>
      <c r="H5828" s="33" t="n">
        <f aca="false">D5828*INDEX(Products!$E$2:$E$49,MATCH(C5828,Products!$A$2:$A$49,0))</f>
        <v>3510</v>
      </c>
      <c r="I5828" s="33" t="n">
        <f aca="false">D5828*INDEX(Products!$D$2:$D$49,MATCH(C5828,Products!$A$2:$A$49,0))*(1+INDEX(Assumptions!$B$16:$B$20,MATCH(B5828,Assumptions!$A$16:$A$20,0)))</f>
        <v>2625.48</v>
      </c>
      <c r="J5828" s="33" t="n">
        <f aca="false">H5828-I5828</f>
        <v>884.52</v>
      </c>
      <c r="K5828" s="33" t="n">
        <f aca="false">IF(OR(E5828=0,E5828&gt;=7),0,D5828/(7-E5828)*E5828*INDEX(Products!$E$2:$E$49,MATCH(C5828,Products!$A$2:$A$49,0)))</f>
        <v>0</v>
      </c>
    </row>
    <row r="5829" customFormat="false" ht="15" hidden="false" customHeight="false" outlineLevel="0" collapsed="false">
      <c r="A5829" s="36" t="n">
        <v>46132</v>
      </c>
      <c r="B5829" s="24" t="s">
        <v>65</v>
      </c>
      <c r="C5829" s="24" t="s">
        <v>197</v>
      </c>
      <c r="D5829" s="33" t="n">
        <v>43</v>
      </c>
      <c r="E5829" s="24" t="n">
        <v>0</v>
      </c>
      <c r="F5829" s="37" t="n">
        <f aca="false">DATE(YEAR(A5829),MONTH(A5829),1)</f>
        <v>46113</v>
      </c>
      <c r="G5829" s="24" t="str">
        <f aca="false">INDEX(Products!$C$2:$C$49,MATCH(C5829,Products!$A$2:$A$49,0))</f>
        <v>Snacks &amp; Confectionery</v>
      </c>
      <c r="H5829" s="33" t="n">
        <f aca="false">D5829*INDEX(Products!$E$2:$E$49,MATCH(C5829,Products!$A$2:$A$49,0))</f>
        <v>3870</v>
      </c>
      <c r="I5829" s="33" t="n">
        <f aca="false">D5829*INDEX(Products!$D$2:$D$49,MATCH(C5829,Products!$A$2:$A$49,0))*(1+INDEX(Assumptions!$B$16:$B$20,MATCH(B5829,Assumptions!$A$16:$A$20,0)))</f>
        <v>2894.76</v>
      </c>
      <c r="J5829" s="33" t="n">
        <f aca="false">H5829-I5829</f>
        <v>975.24</v>
      </c>
      <c r="K5829" s="33" t="n">
        <f aca="false">IF(OR(E5829=0,E5829&gt;=7),0,D5829/(7-E5829)*E5829*INDEX(Products!$E$2:$E$49,MATCH(C5829,Products!$A$2:$A$49,0)))</f>
        <v>0</v>
      </c>
    </row>
    <row r="5830" customFormat="false" ht="15" hidden="false" customHeight="false" outlineLevel="0" collapsed="false">
      <c r="A5830" s="36" t="n">
        <v>46139</v>
      </c>
      <c r="B5830" s="24" t="s">
        <v>65</v>
      </c>
      <c r="C5830" s="24" t="s">
        <v>197</v>
      </c>
      <c r="D5830" s="33" t="n">
        <v>38</v>
      </c>
      <c r="E5830" s="24" t="n">
        <v>0</v>
      </c>
      <c r="F5830" s="37" t="n">
        <f aca="false">DATE(YEAR(A5830),MONTH(A5830),1)</f>
        <v>46113</v>
      </c>
      <c r="G5830" s="24" t="str">
        <f aca="false">INDEX(Products!$C$2:$C$49,MATCH(C5830,Products!$A$2:$A$49,0))</f>
        <v>Snacks &amp; Confectionery</v>
      </c>
      <c r="H5830" s="33" t="n">
        <f aca="false">D5830*INDEX(Products!$E$2:$E$49,MATCH(C5830,Products!$A$2:$A$49,0))</f>
        <v>3420</v>
      </c>
      <c r="I5830" s="33" t="n">
        <f aca="false">D5830*INDEX(Products!$D$2:$D$49,MATCH(C5830,Products!$A$2:$A$49,0))*(1+INDEX(Assumptions!$B$16:$B$20,MATCH(B5830,Assumptions!$A$16:$A$20,0)))</f>
        <v>2558.16</v>
      </c>
      <c r="J5830" s="33" t="n">
        <f aca="false">H5830-I5830</f>
        <v>861.84</v>
      </c>
      <c r="K5830" s="33" t="n">
        <f aca="false">IF(OR(E5830=0,E5830&gt;=7),0,D5830/(7-E5830)*E5830*INDEX(Products!$E$2:$E$49,MATCH(C5830,Products!$A$2:$A$49,0)))</f>
        <v>0</v>
      </c>
    </row>
    <row r="5831" customFormat="false" ht="15" hidden="false" customHeight="false" outlineLevel="0" collapsed="false">
      <c r="A5831" s="36" t="n">
        <v>46146</v>
      </c>
      <c r="B5831" s="24" t="s">
        <v>65</v>
      </c>
      <c r="C5831" s="24" t="s">
        <v>197</v>
      </c>
      <c r="D5831" s="33" t="n">
        <v>29</v>
      </c>
      <c r="E5831" s="24" t="n">
        <v>0</v>
      </c>
      <c r="F5831" s="37" t="n">
        <f aca="false">DATE(YEAR(A5831),MONTH(A5831),1)</f>
        <v>46143</v>
      </c>
      <c r="G5831" s="24" t="str">
        <f aca="false">INDEX(Products!$C$2:$C$49,MATCH(C5831,Products!$A$2:$A$49,0))</f>
        <v>Snacks &amp; Confectionery</v>
      </c>
      <c r="H5831" s="33" t="n">
        <f aca="false">D5831*INDEX(Products!$E$2:$E$49,MATCH(C5831,Products!$A$2:$A$49,0))</f>
        <v>2610</v>
      </c>
      <c r="I5831" s="33" t="n">
        <f aca="false">D5831*INDEX(Products!$D$2:$D$49,MATCH(C5831,Products!$A$2:$A$49,0))*(1+INDEX(Assumptions!$B$16:$B$20,MATCH(B5831,Assumptions!$A$16:$A$20,0)))</f>
        <v>1952.28</v>
      </c>
      <c r="J5831" s="33" t="n">
        <f aca="false">H5831-I5831</f>
        <v>657.72</v>
      </c>
      <c r="K5831" s="33" t="n">
        <f aca="false">IF(OR(E5831=0,E5831&gt;=7),0,D5831/(7-E5831)*E5831*INDEX(Products!$E$2:$E$49,MATCH(C5831,Products!$A$2:$A$49,0)))</f>
        <v>0</v>
      </c>
    </row>
    <row r="5832" customFormat="false" ht="15" hidden="false" customHeight="false" outlineLevel="0" collapsed="false">
      <c r="A5832" s="36" t="n">
        <v>46153</v>
      </c>
      <c r="B5832" s="24" t="s">
        <v>65</v>
      </c>
      <c r="C5832" s="24" t="s">
        <v>197</v>
      </c>
      <c r="D5832" s="33" t="n">
        <v>32</v>
      </c>
      <c r="E5832" s="24" t="n">
        <v>0</v>
      </c>
      <c r="F5832" s="37" t="n">
        <f aca="false">DATE(YEAR(A5832),MONTH(A5832),1)</f>
        <v>46143</v>
      </c>
      <c r="G5832" s="24" t="str">
        <f aca="false">INDEX(Products!$C$2:$C$49,MATCH(C5832,Products!$A$2:$A$49,0))</f>
        <v>Snacks &amp; Confectionery</v>
      </c>
      <c r="H5832" s="33" t="n">
        <f aca="false">D5832*INDEX(Products!$E$2:$E$49,MATCH(C5832,Products!$A$2:$A$49,0))</f>
        <v>2880</v>
      </c>
      <c r="I5832" s="33" t="n">
        <f aca="false">D5832*INDEX(Products!$D$2:$D$49,MATCH(C5832,Products!$A$2:$A$49,0))*(1+INDEX(Assumptions!$B$16:$B$20,MATCH(B5832,Assumptions!$A$16:$A$20,0)))</f>
        <v>2154.24</v>
      </c>
      <c r="J5832" s="33" t="n">
        <f aca="false">H5832-I5832</f>
        <v>725.76</v>
      </c>
      <c r="K5832" s="33" t="n">
        <f aca="false">IF(OR(E5832=0,E5832&gt;=7),0,D5832/(7-E5832)*E5832*INDEX(Products!$E$2:$E$49,MATCH(C5832,Products!$A$2:$A$49,0)))</f>
        <v>0</v>
      </c>
    </row>
    <row r="5833" customFormat="false" ht="15" hidden="false" customHeight="false" outlineLevel="0" collapsed="false">
      <c r="A5833" s="36" t="n">
        <v>46160</v>
      </c>
      <c r="B5833" s="24" t="s">
        <v>65</v>
      </c>
      <c r="C5833" s="24" t="s">
        <v>197</v>
      </c>
      <c r="D5833" s="33" t="n">
        <v>34</v>
      </c>
      <c r="E5833" s="24" t="n">
        <v>0</v>
      </c>
      <c r="F5833" s="37" t="n">
        <f aca="false">DATE(YEAR(A5833),MONTH(A5833),1)</f>
        <v>46143</v>
      </c>
      <c r="G5833" s="24" t="str">
        <f aca="false">INDEX(Products!$C$2:$C$49,MATCH(C5833,Products!$A$2:$A$49,0))</f>
        <v>Snacks &amp; Confectionery</v>
      </c>
      <c r="H5833" s="33" t="n">
        <f aca="false">D5833*INDEX(Products!$E$2:$E$49,MATCH(C5833,Products!$A$2:$A$49,0))</f>
        <v>3060</v>
      </c>
      <c r="I5833" s="33" t="n">
        <f aca="false">D5833*INDEX(Products!$D$2:$D$49,MATCH(C5833,Products!$A$2:$A$49,0))*(1+INDEX(Assumptions!$B$16:$B$20,MATCH(B5833,Assumptions!$A$16:$A$20,0)))</f>
        <v>2288.88</v>
      </c>
      <c r="J5833" s="33" t="n">
        <f aca="false">H5833-I5833</f>
        <v>771.12</v>
      </c>
      <c r="K5833" s="33" t="n">
        <f aca="false">IF(OR(E5833=0,E5833&gt;=7),0,D5833/(7-E5833)*E5833*INDEX(Products!$E$2:$E$49,MATCH(C5833,Products!$A$2:$A$49,0)))</f>
        <v>0</v>
      </c>
    </row>
    <row r="5834" customFormat="false" ht="15" hidden="false" customHeight="false" outlineLevel="0" collapsed="false">
      <c r="A5834" s="36" t="n">
        <v>46167</v>
      </c>
      <c r="B5834" s="24" t="s">
        <v>65</v>
      </c>
      <c r="C5834" s="24" t="s">
        <v>197</v>
      </c>
      <c r="D5834" s="33" t="n">
        <v>42</v>
      </c>
      <c r="E5834" s="24" t="n">
        <v>0</v>
      </c>
      <c r="F5834" s="37" t="n">
        <f aca="false">DATE(YEAR(A5834),MONTH(A5834),1)</f>
        <v>46143</v>
      </c>
      <c r="G5834" s="24" t="str">
        <f aca="false">INDEX(Products!$C$2:$C$49,MATCH(C5834,Products!$A$2:$A$49,0))</f>
        <v>Snacks &amp; Confectionery</v>
      </c>
      <c r="H5834" s="33" t="n">
        <f aca="false">D5834*INDEX(Products!$E$2:$E$49,MATCH(C5834,Products!$A$2:$A$49,0))</f>
        <v>3780</v>
      </c>
      <c r="I5834" s="33" t="n">
        <f aca="false">D5834*INDEX(Products!$D$2:$D$49,MATCH(C5834,Products!$A$2:$A$49,0))*(1+INDEX(Assumptions!$B$16:$B$20,MATCH(B5834,Assumptions!$A$16:$A$20,0)))</f>
        <v>2827.44</v>
      </c>
      <c r="J5834" s="33" t="n">
        <f aca="false">H5834-I5834</f>
        <v>952.56</v>
      </c>
      <c r="K5834" s="33" t="n">
        <f aca="false">IF(OR(E5834=0,E5834&gt;=7),0,D5834/(7-E5834)*E5834*INDEX(Products!$E$2:$E$49,MATCH(C5834,Products!$A$2:$A$49,0)))</f>
        <v>0</v>
      </c>
    </row>
    <row r="5835" customFormat="false" ht="15" hidden="false" customHeight="false" outlineLevel="0" collapsed="false">
      <c r="A5835" s="36" t="n">
        <v>46174</v>
      </c>
      <c r="B5835" s="24" t="s">
        <v>65</v>
      </c>
      <c r="C5835" s="24" t="s">
        <v>197</v>
      </c>
      <c r="D5835" s="33" t="n">
        <v>34</v>
      </c>
      <c r="E5835" s="24" t="n">
        <v>0</v>
      </c>
      <c r="F5835" s="37" t="n">
        <f aca="false">DATE(YEAR(A5835),MONTH(A5835),1)</f>
        <v>46174</v>
      </c>
      <c r="G5835" s="24" t="str">
        <f aca="false">INDEX(Products!$C$2:$C$49,MATCH(C5835,Products!$A$2:$A$49,0))</f>
        <v>Snacks &amp; Confectionery</v>
      </c>
      <c r="H5835" s="33" t="n">
        <f aca="false">D5835*INDEX(Products!$E$2:$E$49,MATCH(C5835,Products!$A$2:$A$49,0))</f>
        <v>3060</v>
      </c>
      <c r="I5835" s="33" t="n">
        <f aca="false">D5835*INDEX(Products!$D$2:$D$49,MATCH(C5835,Products!$A$2:$A$49,0))*(1+INDEX(Assumptions!$B$16:$B$20,MATCH(B5835,Assumptions!$A$16:$A$20,0)))</f>
        <v>2288.88</v>
      </c>
      <c r="J5835" s="33" t="n">
        <f aca="false">H5835-I5835</f>
        <v>771.12</v>
      </c>
      <c r="K5835" s="33" t="n">
        <f aca="false">IF(OR(E5835=0,E5835&gt;=7),0,D5835/(7-E5835)*E5835*INDEX(Products!$E$2:$E$49,MATCH(C5835,Products!$A$2:$A$49,0)))</f>
        <v>0</v>
      </c>
    </row>
    <row r="5836" customFormat="false" ht="15" hidden="false" customHeight="false" outlineLevel="0" collapsed="false">
      <c r="A5836" s="36" t="n">
        <v>46181</v>
      </c>
      <c r="B5836" s="24" t="s">
        <v>65</v>
      </c>
      <c r="C5836" s="24" t="s">
        <v>197</v>
      </c>
      <c r="D5836" s="33" t="n">
        <v>35</v>
      </c>
      <c r="E5836" s="24" t="n">
        <v>0</v>
      </c>
      <c r="F5836" s="37" t="n">
        <f aca="false">DATE(YEAR(A5836),MONTH(A5836),1)</f>
        <v>46174</v>
      </c>
      <c r="G5836" s="24" t="str">
        <f aca="false">INDEX(Products!$C$2:$C$49,MATCH(C5836,Products!$A$2:$A$49,0))</f>
        <v>Snacks &amp; Confectionery</v>
      </c>
      <c r="H5836" s="33" t="n">
        <f aca="false">D5836*INDEX(Products!$E$2:$E$49,MATCH(C5836,Products!$A$2:$A$49,0))</f>
        <v>3150</v>
      </c>
      <c r="I5836" s="33" t="n">
        <f aca="false">D5836*INDEX(Products!$D$2:$D$49,MATCH(C5836,Products!$A$2:$A$49,0))*(1+INDEX(Assumptions!$B$16:$B$20,MATCH(B5836,Assumptions!$A$16:$A$20,0)))</f>
        <v>2356.2</v>
      </c>
      <c r="J5836" s="33" t="n">
        <f aca="false">H5836-I5836</f>
        <v>793.8</v>
      </c>
      <c r="K5836" s="33" t="n">
        <f aca="false">IF(OR(E5836=0,E5836&gt;=7),0,D5836/(7-E5836)*E5836*INDEX(Products!$E$2:$E$49,MATCH(C5836,Products!$A$2:$A$49,0)))</f>
        <v>0</v>
      </c>
    </row>
    <row r="5837" customFormat="false" ht="15" hidden="false" customHeight="false" outlineLevel="0" collapsed="false">
      <c r="A5837" s="36" t="n">
        <v>46188</v>
      </c>
      <c r="B5837" s="24" t="s">
        <v>65</v>
      </c>
      <c r="C5837" s="24" t="s">
        <v>197</v>
      </c>
      <c r="D5837" s="33" t="n">
        <v>26</v>
      </c>
      <c r="E5837" s="24" t="n">
        <v>0</v>
      </c>
      <c r="F5837" s="37" t="n">
        <f aca="false">DATE(YEAR(A5837),MONTH(A5837),1)</f>
        <v>46174</v>
      </c>
      <c r="G5837" s="24" t="str">
        <f aca="false">INDEX(Products!$C$2:$C$49,MATCH(C5837,Products!$A$2:$A$49,0))</f>
        <v>Snacks &amp; Confectionery</v>
      </c>
      <c r="H5837" s="33" t="n">
        <f aca="false">D5837*INDEX(Products!$E$2:$E$49,MATCH(C5837,Products!$A$2:$A$49,0))</f>
        <v>2340</v>
      </c>
      <c r="I5837" s="33" t="n">
        <f aca="false">D5837*INDEX(Products!$D$2:$D$49,MATCH(C5837,Products!$A$2:$A$49,0))*(1+INDEX(Assumptions!$B$16:$B$20,MATCH(B5837,Assumptions!$A$16:$A$20,0)))</f>
        <v>1750.32</v>
      </c>
      <c r="J5837" s="33" t="n">
        <f aca="false">H5837-I5837</f>
        <v>589.68</v>
      </c>
      <c r="K5837" s="33" t="n">
        <f aca="false">IF(OR(E5837=0,E5837&gt;=7),0,D5837/(7-E5837)*E5837*INDEX(Products!$E$2:$E$49,MATCH(C5837,Products!$A$2:$A$49,0)))</f>
        <v>0</v>
      </c>
    </row>
    <row r="5838" customFormat="false" ht="15" hidden="false" customHeight="false" outlineLevel="0" collapsed="false">
      <c r="A5838" s="36" t="n">
        <v>46195</v>
      </c>
      <c r="B5838" s="24" t="s">
        <v>65</v>
      </c>
      <c r="C5838" s="24" t="s">
        <v>197</v>
      </c>
      <c r="D5838" s="33" t="n">
        <v>42</v>
      </c>
      <c r="E5838" s="24" t="n">
        <v>0</v>
      </c>
      <c r="F5838" s="37" t="n">
        <f aca="false">DATE(YEAR(A5838),MONTH(A5838),1)</f>
        <v>46174</v>
      </c>
      <c r="G5838" s="24" t="str">
        <f aca="false">INDEX(Products!$C$2:$C$49,MATCH(C5838,Products!$A$2:$A$49,0))</f>
        <v>Snacks &amp; Confectionery</v>
      </c>
      <c r="H5838" s="33" t="n">
        <f aca="false">D5838*INDEX(Products!$E$2:$E$49,MATCH(C5838,Products!$A$2:$A$49,0))</f>
        <v>3780</v>
      </c>
      <c r="I5838" s="33" t="n">
        <f aca="false">D5838*INDEX(Products!$D$2:$D$49,MATCH(C5838,Products!$A$2:$A$49,0))*(1+INDEX(Assumptions!$B$16:$B$20,MATCH(B5838,Assumptions!$A$16:$A$20,0)))</f>
        <v>2827.44</v>
      </c>
      <c r="J5838" s="33" t="n">
        <f aca="false">H5838-I5838</f>
        <v>952.56</v>
      </c>
      <c r="K5838" s="33" t="n">
        <f aca="false">IF(OR(E5838=0,E5838&gt;=7),0,D5838/(7-E5838)*E5838*INDEX(Products!$E$2:$E$49,MATCH(C5838,Products!$A$2:$A$49,0)))</f>
        <v>0</v>
      </c>
    </row>
    <row r="5839" customFormat="false" ht="15" hidden="false" customHeight="false" outlineLevel="0" collapsed="false">
      <c r="A5839" s="36" t="n">
        <v>46202</v>
      </c>
      <c r="B5839" s="24" t="s">
        <v>65</v>
      </c>
      <c r="C5839" s="24" t="s">
        <v>197</v>
      </c>
      <c r="D5839" s="33" t="n">
        <v>35</v>
      </c>
      <c r="E5839" s="24" t="n">
        <v>0</v>
      </c>
      <c r="F5839" s="37" t="n">
        <f aca="false">DATE(YEAR(A5839),MONTH(A5839),1)</f>
        <v>46174</v>
      </c>
      <c r="G5839" s="24" t="str">
        <f aca="false">INDEX(Products!$C$2:$C$49,MATCH(C5839,Products!$A$2:$A$49,0))</f>
        <v>Snacks &amp; Confectionery</v>
      </c>
      <c r="H5839" s="33" t="n">
        <f aca="false">D5839*INDEX(Products!$E$2:$E$49,MATCH(C5839,Products!$A$2:$A$49,0))</f>
        <v>3150</v>
      </c>
      <c r="I5839" s="33" t="n">
        <f aca="false">D5839*INDEX(Products!$D$2:$D$49,MATCH(C5839,Products!$A$2:$A$49,0))*(1+INDEX(Assumptions!$B$16:$B$20,MATCH(B5839,Assumptions!$A$16:$A$20,0)))</f>
        <v>2356.2</v>
      </c>
      <c r="J5839" s="33" t="n">
        <f aca="false">H5839-I5839</f>
        <v>793.8</v>
      </c>
      <c r="K5839" s="33" t="n">
        <f aca="false">IF(OR(E5839=0,E5839&gt;=7),0,D5839/(7-E5839)*E5839*INDEX(Products!$E$2:$E$49,MATCH(C5839,Products!$A$2:$A$49,0)))</f>
        <v>0</v>
      </c>
    </row>
    <row r="5840" customFormat="false" ht="15" hidden="false" customHeight="false" outlineLevel="0" collapsed="false">
      <c r="A5840" s="36" t="n">
        <v>46209</v>
      </c>
      <c r="B5840" s="24" t="s">
        <v>65</v>
      </c>
      <c r="C5840" s="24" t="s">
        <v>197</v>
      </c>
      <c r="D5840" s="33" t="n">
        <v>46</v>
      </c>
      <c r="E5840" s="24" t="n">
        <v>0</v>
      </c>
      <c r="F5840" s="37" t="n">
        <f aca="false">DATE(YEAR(A5840),MONTH(A5840),1)</f>
        <v>46204</v>
      </c>
      <c r="G5840" s="24" t="str">
        <f aca="false">INDEX(Products!$C$2:$C$49,MATCH(C5840,Products!$A$2:$A$49,0))</f>
        <v>Snacks &amp; Confectionery</v>
      </c>
      <c r="H5840" s="33" t="n">
        <f aca="false">D5840*INDEX(Products!$E$2:$E$49,MATCH(C5840,Products!$A$2:$A$49,0))</f>
        <v>4140</v>
      </c>
      <c r="I5840" s="33" t="n">
        <f aca="false">D5840*INDEX(Products!$D$2:$D$49,MATCH(C5840,Products!$A$2:$A$49,0))*(1+INDEX(Assumptions!$B$16:$B$20,MATCH(B5840,Assumptions!$A$16:$A$20,0)))</f>
        <v>3096.72</v>
      </c>
      <c r="J5840" s="33" t="n">
        <f aca="false">H5840-I5840</f>
        <v>1043.28</v>
      </c>
      <c r="K5840" s="33" t="n">
        <f aca="false">IF(OR(E5840=0,E5840&gt;=7),0,D5840/(7-E5840)*E5840*INDEX(Products!$E$2:$E$49,MATCH(C5840,Products!$A$2:$A$49,0)))</f>
        <v>0</v>
      </c>
    </row>
    <row r="5841" customFormat="false" ht="15" hidden="false" customHeight="false" outlineLevel="0" collapsed="false">
      <c r="A5841" s="36" t="n">
        <v>46216</v>
      </c>
      <c r="B5841" s="24" t="s">
        <v>65</v>
      </c>
      <c r="C5841" s="24" t="s">
        <v>197</v>
      </c>
      <c r="D5841" s="33" t="n">
        <v>33</v>
      </c>
      <c r="E5841" s="24" t="n">
        <v>0</v>
      </c>
      <c r="F5841" s="37" t="n">
        <f aca="false">DATE(YEAR(A5841),MONTH(A5841),1)</f>
        <v>46204</v>
      </c>
      <c r="G5841" s="24" t="str">
        <f aca="false">INDEX(Products!$C$2:$C$49,MATCH(C5841,Products!$A$2:$A$49,0))</f>
        <v>Snacks &amp; Confectionery</v>
      </c>
      <c r="H5841" s="33" t="n">
        <f aca="false">D5841*INDEX(Products!$E$2:$E$49,MATCH(C5841,Products!$A$2:$A$49,0))</f>
        <v>2970</v>
      </c>
      <c r="I5841" s="33" t="n">
        <f aca="false">D5841*INDEX(Products!$D$2:$D$49,MATCH(C5841,Products!$A$2:$A$49,0))*(1+INDEX(Assumptions!$B$16:$B$20,MATCH(B5841,Assumptions!$A$16:$A$20,0)))</f>
        <v>2221.56</v>
      </c>
      <c r="J5841" s="33" t="n">
        <f aca="false">H5841-I5841</f>
        <v>748.44</v>
      </c>
      <c r="K5841" s="33" t="n">
        <f aca="false">IF(OR(E5841=0,E5841&gt;=7),0,D5841/(7-E5841)*E5841*INDEX(Products!$E$2:$E$49,MATCH(C5841,Products!$A$2:$A$49,0)))</f>
        <v>0</v>
      </c>
    </row>
    <row r="5842" customFormat="false" ht="15" hidden="false" customHeight="false" outlineLevel="0" collapsed="false">
      <c r="A5842" s="36" t="n">
        <v>46223</v>
      </c>
      <c r="B5842" s="24" t="s">
        <v>65</v>
      </c>
      <c r="C5842" s="24" t="s">
        <v>197</v>
      </c>
      <c r="D5842" s="33" t="n">
        <v>30</v>
      </c>
      <c r="E5842" s="24" t="n">
        <v>0</v>
      </c>
      <c r="F5842" s="37" t="n">
        <f aca="false">DATE(YEAR(A5842),MONTH(A5842),1)</f>
        <v>46204</v>
      </c>
      <c r="G5842" s="24" t="str">
        <f aca="false">INDEX(Products!$C$2:$C$49,MATCH(C5842,Products!$A$2:$A$49,0))</f>
        <v>Snacks &amp; Confectionery</v>
      </c>
      <c r="H5842" s="33" t="n">
        <f aca="false">D5842*INDEX(Products!$E$2:$E$49,MATCH(C5842,Products!$A$2:$A$49,0))</f>
        <v>2700</v>
      </c>
      <c r="I5842" s="33" t="n">
        <f aca="false">D5842*INDEX(Products!$D$2:$D$49,MATCH(C5842,Products!$A$2:$A$49,0))*(1+INDEX(Assumptions!$B$16:$B$20,MATCH(B5842,Assumptions!$A$16:$A$20,0)))</f>
        <v>2019.6</v>
      </c>
      <c r="J5842" s="33" t="n">
        <f aca="false">H5842-I5842</f>
        <v>680.4</v>
      </c>
      <c r="K5842" s="33" t="n">
        <f aca="false">IF(OR(E5842=0,E5842&gt;=7),0,D5842/(7-E5842)*E5842*INDEX(Products!$E$2:$E$49,MATCH(C5842,Products!$A$2:$A$49,0)))</f>
        <v>0</v>
      </c>
    </row>
    <row r="5843" customFormat="false" ht="15" hidden="false" customHeight="false" outlineLevel="0" collapsed="false">
      <c r="A5843" s="36" t="n">
        <v>46230</v>
      </c>
      <c r="B5843" s="24" t="s">
        <v>65</v>
      </c>
      <c r="C5843" s="24" t="s">
        <v>197</v>
      </c>
      <c r="D5843" s="33" t="n">
        <v>32</v>
      </c>
      <c r="E5843" s="24" t="n">
        <v>0</v>
      </c>
      <c r="F5843" s="37" t="n">
        <f aca="false">DATE(YEAR(A5843),MONTH(A5843),1)</f>
        <v>46204</v>
      </c>
      <c r="G5843" s="24" t="str">
        <f aca="false">INDEX(Products!$C$2:$C$49,MATCH(C5843,Products!$A$2:$A$49,0))</f>
        <v>Snacks &amp; Confectionery</v>
      </c>
      <c r="H5843" s="33" t="n">
        <f aca="false">D5843*INDEX(Products!$E$2:$E$49,MATCH(C5843,Products!$A$2:$A$49,0))</f>
        <v>2880</v>
      </c>
      <c r="I5843" s="33" t="n">
        <f aca="false">D5843*INDEX(Products!$D$2:$D$49,MATCH(C5843,Products!$A$2:$A$49,0))*(1+INDEX(Assumptions!$B$16:$B$20,MATCH(B5843,Assumptions!$A$16:$A$20,0)))</f>
        <v>2154.24</v>
      </c>
      <c r="J5843" s="33" t="n">
        <f aca="false">H5843-I5843</f>
        <v>725.76</v>
      </c>
      <c r="K5843" s="33" t="n">
        <f aca="false">IF(OR(E5843=0,E5843&gt;=7),0,D5843/(7-E5843)*E5843*INDEX(Products!$E$2:$E$49,MATCH(C5843,Products!$A$2:$A$49,0)))</f>
        <v>0</v>
      </c>
    </row>
    <row r="5844" customFormat="false" ht="15" hidden="false" customHeight="false" outlineLevel="0" collapsed="false">
      <c r="A5844" s="36" t="n">
        <v>46237</v>
      </c>
      <c r="B5844" s="24" t="s">
        <v>65</v>
      </c>
      <c r="C5844" s="24" t="s">
        <v>197</v>
      </c>
      <c r="D5844" s="33" t="n">
        <v>32</v>
      </c>
      <c r="E5844" s="24" t="n">
        <v>0</v>
      </c>
      <c r="F5844" s="37" t="n">
        <f aca="false">DATE(YEAR(A5844),MONTH(A5844),1)</f>
        <v>46235</v>
      </c>
      <c r="G5844" s="24" t="str">
        <f aca="false">INDEX(Products!$C$2:$C$49,MATCH(C5844,Products!$A$2:$A$49,0))</f>
        <v>Snacks &amp; Confectionery</v>
      </c>
      <c r="H5844" s="33" t="n">
        <f aca="false">D5844*INDEX(Products!$E$2:$E$49,MATCH(C5844,Products!$A$2:$A$49,0))</f>
        <v>2880</v>
      </c>
      <c r="I5844" s="33" t="n">
        <f aca="false">D5844*INDEX(Products!$D$2:$D$49,MATCH(C5844,Products!$A$2:$A$49,0))*(1+INDEX(Assumptions!$B$16:$B$20,MATCH(B5844,Assumptions!$A$16:$A$20,0)))</f>
        <v>2154.24</v>
      </c>
      <c r="J5844" s="33" t="n">
        <f aca="false">H5844-I5844</f>
        <v>725.76</v>
      </c>
      <c r="K5844" s="33" t="n">
        <f aca="false">IF(OR(E5844=0,E5844&gt;=7),0,D5844/(7-E5844)*E5844*INDEX(Products!$E$2:$E$49,MATCH(C5844,Products!$A$2:$A$49,0)))</f>
        <v>0</v>
      </c>
    </row>
    <row r="5845" customFormat="false" ht="15" hidden="false" customHeight="false" outlineLevel="0" collapsed="false">
      <c r="A5845" s="36" t="n">
        <v>46244</v>
      </c>
      <c r="B5845" s="24" t="s">
        <v>65</v>
      </c>
      <c r="C5845" s="24" t="s">
        <v>197</v>
      </c>
      <c r="D5845" s="33" t="n">
        <v>31</v>
      </c>
      <c r="E5845" s="24" t="n">
        <v>0</v>
      </c>
      <c r="F5845" s="37" t="n">
        <f aca="false">DATE(YEAR(A5845),MONTH(A5845),1)</f>
        <v>46235</v>
      </c>
      <c r="G5845" s="24" t="str">
        <f aca="false">INDEX(Products!$C$2:$C$49,MATCH(C5845,Products!$A$2:$A$49,0))</f>
        <v>Snacks &amp; Confectionery</v>
      </c>
      <c r="H5845" s="33" t="n">
        <f aca="false">D5845*INDEX(Products!$E$2:$E$49,MATCH(C5845,Products!$A$2:$A$49,0))</f>
        <v>2790</v>
      </c>
      <c r="I5845" s="33" t="n">
        <f aca="false">D5845*INDEX(Products!$D$2:$D$49,MATCH(C5845,Products!$A$2:$A$49,0))*(1+INDEX(Assumptions!$B$16:$B$20,MATCH(B5845,Assumptions!$A$16:$A$20,0)))</f>
        <v>2086.92</v>
      </c>
      <c r="J5845" s="33" t="n">
        <f aca="false">H5845-I5845</f>
        <v>703.08</v>
      </c>
      <c r="K5845" s="33" t="n">
        <f aca="false">IF(OR(E5845=0,E5845&gt;=7),0,D5845/(7-E5845)*E5845*INDEX(Products!$E$2:$E$49,MATCH(C5845,Products!$A$2:$A$49,0)))</f>
        <v>0</v>
      </c>
    </row>
    <row r="5846" customFormat="false" ht="15" hidden="false" customHeight="false" outlineLevel="0" collapsed="false">
      <c r="A5846" s="36" t="n">
        <v>46251</v>
      </c>
      <c r="B5846" s="24" t="s">
        <v>65</v>
      </c>
      <c r="C5846" s="24" t="s">
        <v>197</v>
      </c>
      <c r="D5846" s="33" t="n">
        <v>26</v>
      </c>
      <c r="E5846" s="24" t="n">
        <v>0</v>
      </c>
      <c r="F5846" s="37" t="n">
        <f aca="false">DATE(YEAR(A5846),MONTH(A5846),1)</f>
        <v>46235</v>
      </c>
      <c r="G5846" s="24" t="str">
        <f aca="false">INDEX(Products!$C$2:$C$49,MATCH(C5846,Products!$A$2:$A$49,0))</f>
        <v>Snacks &amp; Confectionery</v>
      </c>
      <c r="H5846" s="33" t="n">
        <f aca="false">D5846*INDEX(Products!$E$2:$E$49,MATCH(C5846,Products!$A$2:$A$49,0))</f>
        <v>2340</v>
      </c>
      <c r="I5846" s="33" t="n">
        <f aca="false">D5846*INDEX(Products!$D$2:$D$49,MATCH(C5846,Products!$A$2:$A$49,0))*(1+INDEX(Assumptions!$B$16:$B$20,MATCH(B5846,Assumptions!$A$16:$A$20,0)))</f>
        <v>1750.32</v>
      </c>
      <c r="J5846" s="33" t="n">
        <f aca="false">H5846-I5846</f>
        <v>589.68</v>
      </c>
      <c r="K5846" s="33" t="n">
        <f aca="false">IF(OR(E5846=0,E5846&gt;=7),0,D5846/(7-E5846)*E5846*INDEX(Products!$E$2:$E$49,MATCH(C5846,Products!$A$2:$A$49,0)))</f>
        <v>0</v>
      </c>
    </row>
    <row r="5847" customFormat="false" ht="15" hidden="false" customHeight="false" outlineLevel="0" collapsed="false">
      <c r="A5847" s="36" t="n">
        <v>46258</v>
      </c>
      <c r="B5847" s="24" t="s">
        <v>65</v>
      </c>
      <c r="C5847" s="24" t="s">
        <v>197</v>
      </c>
      <c r="D5847" s="33" t="n">
        <v>27</v>
      </c>
      <c r="E5847" s="24" t="n">
        <v>0</v>
      </c>
      <c r="F5847" s="37" t="n">
        <f aca="false">DATE(YEAR(A5847),MONTH(A5847),1)</f>
        <v>46235</v>
      </c>
      <c r="G5847" s="24" t="str">
        <f aca="false">INDEX(Products!$C$2:$C$49,MATCH(C5847,Products!$A$2:$A$49,0))</f>
        <v>Snacks &amp; Confectionery</v>
      </c>
      <c r="H5847" s="33" t="n">
        <f aca="false">D5847*INDEX(Products!$E$2:$E$49,MATCH(C5847,Products!$A$2:$A$49,0))</f>
        <v>2430</v>
      </c>
      <c r="I5847" s="33" t="n">
        <f aca="false">D5847*INDEX(Products!$D$2:$D$49,MATCH(C5847,Products!$A$2:$A$49,0))*(1+INDEX(Assumptions!$B$16:$B$20,MATCH(B5847,Assumptions!$A$16:$A$20,0)))</f>
        <v>1817.64</v>
      </c>
      <c r="J5847" s="33" t="n">
        <f aca="false">H5847-I5847</f>
        <v>612.36</v>
      </c>
      <c r="K5847" s="33" t="n">
        <f aca="false">IF(OR(E5847=0,E5847&gt;=7),0,D5847/(7-E5847)*E5847*INDEX(Products!$E$2:$E$49,MATCH(C5847,Products!$A$2:$A$49,0)))</f>
        <v>0</v>
      </c>
    </row>
    <row r="5848" customFormat="false" ht="15" hidden="false" customHeight="false" outlineLevel="0" collapsed="false">
      <c r="A5848" s="36" t="n">
        <v>46265</v>
      </c>
      <c r="B5848" s="24" t="s">
        <v>65</v>
      </c>
      <c r="C5848" s="24" t="s">
        <v>197</v>
      </c>
      <c r="D5848" s="33" t="n">
        <v>34</v>
      </c>
      <c r="E5848" s="24" t="n">
        <v>0</v>
      </c>
      <c r="F5848" s="37" t="n">
        <f aca="false">DATE(YEAR(A5848),MONTH(A5848),1)</f>
        <v>46235</v>
      </c>
      <c r="G5848" s="24" t="str">
        <f aca="false">INDEX(Products!$C$2:$C$49,MATCH(C5848,Products!$A$2:$A$49,0))</f>
        <v>Snacks &amp; Confectionery</v>
      </c>
      <c r="H5848" s="33" t="n">
        <f aca="false">D5848*INDEX(Products!$E$2:$E$49,MATCH(C5848,Products!$A$2:$A$49,0))</f>
        <v>3060</v>
      </c>
      <c r="I5848" s="33" t="n">
        <f aca="false">D5848*INDEX(Products!$D$2:$D$49,MATCH(C5848,Products!$A$2:$A$49,0))*(1+INDEX(Assumptions!$B$16:$B$20,MATCH(B5848,Assumptions!$A$16:$A$20,0)))</f>
        <v>2288.88</v>
      </c>
      <c r="J5848" s="33" t="n">
        <f aca="false">H5848-I5848</f>
        <v>771.12</v>
      </c>
      <c r="K5848" s="33" t="n">
        <f aca="false">IF(OR(E5848=0,E5848&gt;=7),0,D5848/(7-E5848)*E5848*INDEX(Products!$E$2:$E$49,MATCH(C5848,Products!$A$2:$A$49,0)))</f>
        <v>0</v>
      </c>
    </row>
    <row r="5849" customFormat="false" ht="15" hidden="false" customHeight="false" outlineLevel="0" collapsed="false">
      <c r="A5849" s="36" t="n">
        <v>46272</v>
      </c>
      <c r="B5849" s="24" t="s">
        <v>65</v>
      </c>
      <c r="C5849" s="24" t="s">
        <v>197</v>
      </c>
      <c r="D5849" s="33" t="n">
        <v>26</v>
      </c>
      <c r="E5849" s="24" t="n">
        <v>0</v>
      </c>
      <c r="F5849" s="37" t="n">
        <f aca="false">DATE(YEAR(A5849),MONTH(A5849),1)</f>
        <v>46266</v>
      </c>
      <c r="G5849" s="24" t="str">
        <f aca="false">INDEX(Products!$C$2:$C$49,MATCH(C5849,Products!$A$2:$A$49,0))</f>
        <v>Snacks &amp; Confectionery</v>
      </c>
      <c r="H5849" s="33" t="n">
        <f aca="false">D5849*INDEX(Products!$E$2:$E$49,MATCH(C5849,Products!$A$2:$A$49,0))</f>
        <v>2340</v>
      </c>
      <c r="I5849" s="33" t="n">
        <f aca="false">D5849*INDEX(Products!$D$2:$D$49,MATCH(C5849,Products!$A$2:$A$49,0))*(1+INDEX(Assumptions!$B$16:$B$20,MATCH(B5849,Assumptions!$A$16:$A$20,0)))</f>
        <v>1750.32</v>
      </c>
      <c r="J5849" s="33" t="n">
        <f aca="false">H5849-I5849</f>
        <v>589.68</v>
      </c>
      <c r="K5849" s="33" t="n">
        <f aca="false">IF(OR(E5849=0,E5849&gt;=7),0,D5849/(7-E5849)*E5849*INDEX(Products!$E$2:$E$49,MATCH(C5849,Products!$A$2:$A$49,0)))</f>
        <v>0</v>
      </c>
    </row>
    <row r="5850" customFormat="false" ht="15" hidden="false" customHeight="false" outlineLevel="0" collapsed="false">
      <c r="A5850" s="36" t="n">
        <v>46279</v>
      </c>
      <c r="B5850" s="24" t="s">
        <v>65</v>
      </c>
      <c r="C5850" s="24" t="s">
        <v>197</v>
      </c>
      <c r="D5850" s="33" t="n">
        <v>39</v>
      </c>
      <c r="E5850" s="24" t="n">
        <v>0</v>
      </c>
      <c r="F5850" s="37" t="n">
        <f aca="false">DATE(YEAR(A5850),MONTH(A5850),1)</f>
        <v>46266</v>
      </c>
      <c r="G5850" s="24" t="str">
        <f aca="false">INDEX(Products!$C$2:$C$49,MATCH(C5850,Products!$A$2:$A$49,0))</f>
        <v>Snacks &amp; Confectionery</v>
      </c>
      <c r="H5850" s="33" t="n">
        <f aca="false">D5850*INDEX(Products!$E$2:$E$49,MATCH(C5850,Products!$A$2:$A$49,0))</f>
        <v>3510</v>
      </c>
      <c r="I5850" s="33" t="n">
        <f aca="false">D5850*INDEX(Products!$D$2:$D$49,MATCH(C5850,Products!$A$2:$A$49,0))*(1+INDEX(Assumptions!$B$16:$B$20,MATCH(B5850,Assumptions!$A$16:$A$20,0)))</f>
        <v>2625.48</v>
      </c>
      <c r="J5850" s="33" t="n">
        <f aca="false">H5850-I5850</f>
        <v>884.52</v>
      </c>
      <c r="K5850" s="33" t="n">
        <f aca="false">IF(OR(E5850=0,E5850&gt;=7),0,D5850/(7-E5850)*E5850*INDEX(Products!$E$2:$E$49,MATCH(C5850,Products!$A$2:$A$49,0)))</f>
        <v>0</v>
      </c>
    </row>
    <row r="5851" customFormat="false" ht="15" hidden="false" customHeight="false" outlineLevel="0" collapsed="false">
      <c r="A5851" s="36" t="n">
        <v>46286</v>
      </c>
      <c r="B5851" s="24" t="s">
        <v>65</v>
      </c>
      <c r="C5851" s="24" t="s">
        <v>197</v>
      </c>
      <c r="D5851" s="33" t="n">
        <v>45</v>
      </c>
      <c r="E5851" s="24" t="n">
        <v>0</v>
      </c>
      <c r="F5851" s="37" t="n">
        <f aca="false">DATE(YEAR(A5851),MONTH(A5851),1)</f>
        <v>46266</v>
      </c>
      <c r="G5851" s="24" t="str">
        <f aca="false">INDEX(Products!$C$2:$C$49,MATCH(C5851,Products!$A$2:$A$49,0))</f>
        <v>Snacks &amp; Confectionery</v>
      </c>
      <c r="H5851" s="33" t="n">
        <f aca="false">D5851*INDEX(Products!$E$2:$E$49,MATCH(C5851,Products!$A$2:$A$49,0))</f>
        <v>4050</v>
      </c>
      <c r="I5851" s="33" t="n">
        <f aca="false">D5851*INDEX(Products!$D$2:$D$49,MATCH(C5851,Products!$A$2:$A$49,0))*(1+INDEX(Assumptions!$B$16:$B$20,MATCH(B5851,Assumptions!$A$16:$A$20,0)))</f>
        <v>3029.4</v>
      </c>
      <c r="J5851" s="33" t="n">
        <f aca="false">H5851-I5851</f>
        <v>1020.6</v>
      </c>
      <c r="K5851" s="33" t="n">
        <f aca="false">IF(OR(E5851=0,E5851&gt;=7),0,D5851/(7-E5851)*E5851*INDEX(Products!$E$2:$E$49,MATCH(C5851,Products!$A$2:$A$49,0)))</f>
        <v>0</v>
      </c>
    </row>
    <row r="5852" customFormat="false" ht="15" hidden="false" customHeight="false" outlineLevel="0" collapsed="false">
      <c r="A5852" s="36" t="n">
        <v>46118</v>
      </c>
      <c r="B5852" s="24" t="s">
        <v>65</v>
      </c>
      <c r="C5852" s="24" t="s">
        <v>199</v>
      </c>
      <c r="D5852" s="33" t="n">
        <v>38</v>
      </c>
      <c r="E5852" s="24" t="n">
        <v>0</v>
      </c>
      <c r="F5852" s="37" t="n">
        <f aca="false">DATE(YEAR(A5852),MONTH(A5852),1)</f>
        <v>46113</v>
      </c>
      <c r="G5852" s="24" t="str">
        <f aca="false">INDEX(Products!$C$2:$C$49,MATCH(C5852,Products!$A$2:$A$49,0))</f>
        <v>Snacks &amp; Confectionery</v>
      </c>
      <c r="H5852" s="33" t="n">
        <f aca="false">D5852*INDEX(Products!$E$2:$E$49,MATCH(C5852,Products!$A$2:$A$49,0))</f>
        <v>5700</v>
      </c>
      <c r="I5852" s="33" t="n">
        <f aca="false">D5852*INDEX(Products!$D$2:$D$49,MATCH(C5852,Products!$A$2:$A$49,0))*(1+INDEX(Assumptions!$B$16:$B$20,MATCH(B5852,Assumptions!$A$16:$A$20,0)))</f>
        <v>4302.36</v>
      </c>
      <c r="J5852" s="33" t="n">
        <f aca="false">H5852-I5852</f>
        <v>1397.64</v>
      </c>
      <c r="K5852" s="33" t="n">
        <f aca="false">IF(OR(E5852=0,E5852&gt;=7),0,D5852/(7-E5852)*E5852*INDEX(Products!$E$2:$E$49,MATCH(C5852,Products!$A$2:$A$49,0)))</f>
        <v>0</v>
      </c>
    </row>
    <row r="5853" customFormat="false" ht="15" hidden="false" customHeight="false" outlineLevel="0" collapsed="false">
      <c r="A5853" s="36" t="n">
        <v>46125</v>
      </c>
      <c r="B5853" s="24" t="s">
        <v>65</v>
      </c>
      <c r="C5853" s="24" t="s">
        <v>199</v>
      </c>
      <c r="D5853" s="33" t="n">
        <v>31</v>
      </c>
      <c r="E5853" s="24" t="n">
        <v>0</v>
      </c>
      <c r="F5853" s="37" t="n">
        <f aca="false">DATE(YEAR(A5853),MONTH(A5853),1)</f>
        <v>46113</v>
      </c>
      <c r="G5853" s="24" t="str">
        <f aca="false">INDEX(Products!$C$2:$C$49,MATCH(C5853,Products!$A$2:$A$49,0))</f>
        <v>Snacks &amp; Confectionery</v>
      </c>
      <c r="H5853" s="33" t="n">
        <f aca="false">D5853*INDEX(Products!$E$2:$E$49,MATCH(C5853,Products!$A$2:$A$49,0))</f>
        <v>4650</v>
      </c>
      <c r="I5853" s="33" t="n">
        <f aca="false">D5853*INDEX(Products!$D$2:$D$49,MATCH(C5853,Products!$A$2:$A$49,0))*(1+INDEX(Assumptions!$B$16:$B$20,MATCH(B5853,Assumptions!$A$16:$A$20,0)))</f>
        <v>3509.82</v>
      </c>
      <c r="J5853" s="33" t="n">
        <f aca="false">H5853-I5853</f>
        <v>1140.18</v>
      </c>
      <c r="K5853" s="33" t="n">
        <f aca="false">IF(OR(E5853=0,E5853&gt;=7),0,D5853/(7-E5853)*E5853*INDEX(Products!$E$2:$E$49,MATCH(C5853,Products!$A$2:$A$49,0)))</f>
        <v>0</v>
      </c>
    </row>
    <row r="5854" customFormat="false" ht="15" hidden="false" customHeight="false" outlineLevel="0" collapsed="false">
      <c r="A5854" s="36" t="n">
        <v>46132</v>
      </c>
      <c r="B5854" s="24" t="s">
        <v>65</v>
      </c>
      <c r="C5854" s="24" t="s">
        <v>199</v>
      </c>
      <c r="D5854" s="33" t="n">
        <v>41</v>
      </c>
      <c r="E5854" s="24" t="n">
        <v>0</v>
      </c>
      <c r="F5854" s="37" t="n">
        <f aca="false">DATE(YEAR(A5854),MONTH(A5854),1)</f>
        <v>46113</v>
      </c>
      <c r="G5854" s="24" t="str">
        <f aca="false">INDEX(Products!$C$2:$C$49,MATCH(C5854,Products!$A$2:$A$49,0))</f>
        <v>Snacks &amp; Confectionery</v>
      </c>
      <c r="H5854" s="33" t="n">
        <f aca="false">D5854*INDEX(Products!$E$2:$E$49,MATCH(C5854,Products!$A$2:$A$49,0))</f>
        <v>6150</v>
      </c>
      <c r="I5854" s="33" t="n">
        <f aca="false">D5854*INDEX(Products!$D$2:$D$49,MATCH(C5854,Products!$A$2:$A$49,0))*(1+INDEX(Assumptions!$B$16:$B$20,MATCH(B5854,Assumptions!$A$16:$A$20,0)))</f>
        <v>4642.02</v>
      </c>
      <c r="J5854" s="33" t="n">
        <f aca="false">H5854-I5854</f>
        <v>1507.98</v>
      </c>
      <c r="K5854" s="33" t="n">
        <f aca="false">IF(OR(E5854=0,E5854&gt;=7),0,D5854/(7-E5854)*E5854*INDEX(Products!$E$2:$E$49,MATCH(C5854,Products!$A$2:$A$49,0)))</f>
        <v>0</v>
      </c>
    </row>
    <row r="5855" customFormat="false" ht="15" hidden="false" customHeight="false" outlineLevel="0" collapsed="false">
      <c r="A5855" s="36" t="n">
        <v>46139</v>
      </c>
      <c r="B5855" s="24" t="s">
        <v>65</v>
      </c>
      <c r="C5855" s="24" t="s">
        <v>199</v>
      </c>
      <c r="D5855" s="33" t="n">
        <v>52</v>
      </c>
      <c r="E5855" s="24" t="n">
        <v>0</v>
      </c>
      <c r="F5855" s="37" t="n">
        <f aca="false">DATE(YEAR(A5855),MONTH(A5855),1)</f>
        <v>46113</v>
      </c>
      <c r="G5855" s="24" t="str">
        <f aca="false">INDEX(Products!$C$2:$C$49,MATCH(C5855,Products!$A$2:$A$49,0))</f>
        <v>Snacks &amp; Confectionery</v>
      </c>
      <c r="H5855" s="33" t="n">
        <f aca="false">D5855*INDEX(Products!$E$2:$E$49,MATCH(C5855,Products!$A$2:$A$49,0))</f>
        <v>7800</v>
      </c>
      <c r="I5855" s="33" t="n">
        <f aca="false">D5855*INDEX(Products!$D$2:$D$49,MATCH(C5855,Products!$A$2:$A$49,0))*(1+INDEX(Assumptions!$B$16:$B$20,MATCH(B5855,Assumptions!$A$16:$A$20,0)))</f>
        <v>5887.44</v>
      </c>
      <c r="J5855" s="33" t="n">
        <f aca="false">H5855-I5855</f>
        <v>1912.56</v>
      </c>
      <c r="K5855" s="33" t="n">
        <f aca="false">IF(OR(E5855=0,E5855&gt;=7),0,D5855/(7-E5855)*E5855*INDEX(Products!$E$2:$E$49,MATCH(C5855,Products!$A$2:$A$49,0)))</f>
        <v>0</v>
      </c>
    </row>
    <row r="5856" customFormat="false" ht="15" hidden="false" customHeight="false" outlineLevel="0" collapsed="false">
      <c r="A5856" s="36" t="n">
        <v>46146</v>
      </c>
      <c r="B5856" s="24" t="s">
        <v>65</v>
      </c>
      <c r="C5856" s="24" t="s">
        <v>199</v>
      </c>
      <c r="D5856" s="33" t="n">
        <v>41</v>
      </c>
      <c r="E5856" s="24" t="n">
        <v>0</v>
      </c>
      <c r="F5856" s="37" t="n">
        <f aca="false">DATE(YEAR(A5856),MONTH(A5856),1)</f>
        <v>46143</v>
      </c>
      <c r="G5856" s="24" t="str">
        <f aca="false">INDEX(Products!$C$2:$C$49,MATCH(C5856,Products!$A$2:$A$49,0))</f>
        <v>Snacks &amp; Confectionery</v>
      </c>
      <c r="H5856" s="33" t="n">
        <f aca="false">D5856*INDEX(Products!$E$2:$E$49,MATCH(C5856,Products!$A$2:$A$49,0))</f>
        <v>6150</v>
      </c>
      <c r="I5856" s="33" t="n">
        <f aca="false">D5856*INDEX(Products!$D$2:$D$49,MATCH(C5856,Products!$A$2:$A$49,0))*(1+INDEX(Assumptions!$B$16:$B$20,MATCH(B5856,Assumptions!$A$16:$A$20,0)))</f>
        <v>4642.02</v>
      </c>
      <c r="J5856" s="33" t="n">
        <f aca="false">H5856-I5856</f>
        <v>1507.98</v>
      </c>
      <c r="K5856" s="33" t="n">
        <f aca="false">IF(OR(E5856=0,E5856&gt;=7),0,D5856/(7-E5856)*E5856*INDEX(Products!$E$2:$E$49,MATCH(C5856,Products!$A$2:$A$49,0)))</f>
        <v>0</v>
      </c>
    </row>
    <row r="5857" customFormat="false" ht="15" hidden="false" customHeight="false" outlineLevel="0" collapsed="false">
      <c r="A5857" s="36" t="n">
        <v>46153</v>
      </c>
      <c r="B5857" s="24" t="s">
        <v>65</v>
      </c>
      <c r="C5857" s="24" t="s">
        <v>199</v>
      </c>
      <c r="D5857" s="33" t="n">
        <v>40</v>
      </c>
      <c r="E5857" s="24" t="n">
        <v>0</v>
      </c>
      <c r="F5857" s="37" t="n">
        <f aca="false">DATE(YEAR(A5857),MONTH(A5857),1)</f>
        <v>46143</v>
      </c>
      <c r="G5857" s="24" t="str">
        <f aca="false">INDEX(Products!$C$2:$C$49,MATCH(C5857,Products!$A$2:$A$49,0))</f>
        <v>Snacks &amp; Confectionery</v>
      </c>
      <c r="H5857" s="33" t="n">
        <f aca="false">D5857*INDEX(Products!$E$2:$E$49,MATCH(C5857,Products!$A$2:$A$49,0))</f>
        <v>6000</v>
      </c>
      <c r="I5857" s="33" t="n">
        <f aca="false">D5857*INDEX(Products!$D$2:$D$49,MATCH(C5857,Products!$A$2:$A$49,0))*(1+INDEX(Assumptions!$B$16:$B$20,MATCH(B5857,Assumptions!$A$16:$A$20,0)))</f>
        <v>4528.8</v>
      </c>
      <c r="J5857" s="33" t="n">
        <f aca="false">H5857-I5857</f>
        <v>1471.2</v>
      </c>
      <c r="K5857" s="33" t="n">
        <f aca="false">IF(OR(E5857=0,E5857&gt;=7),0,D5857/(7-E5857)*E5857*INDEX(Products!$E$2:$E$49,MATCH(C5857,Products!$A$2:$A$49,0)))</f>
        <v>0</v>
      </c>
    </row>
    <row r="5858" customFormat="false" ht="15" hidden="false" customHeight="false" outlineLevel="0" collapsed="false">
      <c r="A5858" s="36" t="n">
        <v>46160</v>
      </c>
      <c r="B5858" s="24" t="s">
        <v>65</v>
      </c>
      <c r="C5858" s="24" t="s">
        <v>199</v>
      </c>
      <c r="D5858" s="33" t="n">
        <v>79</v>
      </c>
      <c r="E5858" s="24" t="n">
        <v>0</v>
      </c>
      <c r="F5858" s="37" t="n">
        <f aca="false">DATE(YEAR(A5858),MONTH(A5858),1)</f>
        <v>46143</v>
      </c>
      <c r="G5858" s="24" t="str">
        <f aca="false">INDEX(Products!$C$2:$C$49,MATCH(C5858,Products!$A$2:$A$49,0))</f>
        <v>Snacks &amp; Confectionery</v>
      </c>
      <c r="H5858" s="33" t="n">
        <f aca="false">D5858*INDEX(Products!$E$2:$E$49,MATCH(C5858,Products!$A$2:$A$49,0))</f>
        <v>11850</v>
      </c>
      <c r="I5858" s="33" t="n">
        <f aca="false">D5858*INDEX(Products!$D$2:$D$49,MATCH(C5858,Products!$A$2:$A$49,0))*(1+INDEX(Assumptions!$B$16:$B$20,MATCH(B5858,Assumptions!$A$16:$A$20,0)))</f>
        <v>8944.38</v>
      </c>
      <c r="J5858" s="33" t="n">
        <f aca="false">H5858-I5858</f>
        <v>2905.62</v>
      </c>
      <c r="K5858" s="33" t="n">
        <f aca="false">IF(OR(E5858=0,E5858&gt;=7),0,D5858/(7-E5858)*E5858*INDEX(Products!$E$2:$E$49,MATCH(C5858,Products!$A$2:$A$49,0)))</f>
        <v>0</v>
      </c>
    </row>
    <row r="5859" customFormat="false" ht="15" hidden="false" customHeight="false" outlineLevel="0" collapsed="false">
      <c r="A5859" s="36" t="n">
        <v>46167</v>
      </c>
      <c r="B5859" s="24" t="s">
        <v>65</v>
      </c>
      <c r="C5859" s="24" t="s">
        <v>199</v>
      </c>
      <c r="D5859" s="33" t="n">
        <v>52</v>
      </c>
      <c r="E5859" s="24" t="n">
        <v>0</v>
      </c>
      <c r="F5859" s="37" t="n">
        <f aca="false">DATE(YEAR(A5859),MONTH(A5859),1)</f>
        <v>46143</v>
      </c>
      <c r="G5859" s="24" t="str">
        <f aca="false">INDEX(Products!$C$2:$C$49,MATCH(C5859,Products!$A$2:$A$49,0))</f>
        <v>Snacks &amp; Confectionery</v>
      </c>
      <c r="H5859" s="33" t="n">
        <f aca="false">D5859*INDEX(Products!$E$2:$E$49,MATCH(C5859,Products!$A$2:$A$49,0))</f>
        <v>7800</v>
      </c>
      <c r="I5859" s="33" t="n">
        <f aca="false">D5859*INDEX(Products!$D$2:$D$49,MATCH(C5859,Products!$A$2:$A$49,0))*(1+INDEX(Assumptions!$B$16:$B$20,MATCH(B5859,Assumptions!$A$16:$A$20,0)))</f>
        <v>5887.44</v>
      </c>
      <c r="J5859" s="33" t="n">
        <f aca="false">H5859-I5859</f>
        <v>1912.56</v>
      </c>
      <c r="K5859" s="33" t="n">
        <f aca="false">IF(OR(E5859=0,E5859&gt;=7),0,D5859/(7-E5859)*E5859*INDEX(Products!$E$2:$E$49,MATCH(C5859,Products!$A$2:$A$49,0)))</f>
        <v>0</v>
      </c>
    </row>
    <row r="5860" customFormat="false" ht="15" hidden="false" customHeight="false" outlineLevel="0" collapsed="false">
      <c r="A5860" s="36" t="n">
        <v>46174</v>
      </c>
      <c r="B5860" s="24" t="s">
        <v>65</v>
      </c>
      <c r="C5860" s="24" t="s">
        <v>199</v>
      </c>
      <c r="D5860" s="33" t="n">
        <v>59</v>
      </c>
      <c r="E5860" s="24" t="n">
        <v>0</v>
      </c>
      <c r="F5860" s="37" t="n">
        <f aca="false">DATE(YEAR(A5860),MONTH(A5860),1)</f>
        <v>46174</v>
      </c>
      <c r="G5860" s="24" t="str">
        <f aca="false">INDEX(Products!$C$2:$C$49,MATCH(C5860,Products!$A$2:$A$49,0))</f>
        <v>Snacks &amp; Confectionery</v>
      </c>
      <c r="H5860" s="33" t="n">
        <f aca="false">D5860*INDEX(Products!$E$2:$E$49,MATCH(C5860,Products!$A$2:$A$49,0))</f>
        <v>8850</v>
      </c>
      <c r="I5860" s="33" t="n">
        <f aca="false">D5860*INDEX(Products!$D$2:$D$49,MATCH(C5860,Products!$A$2:$A$49,0))*(1+INDEX(Assumptions!$B$16:$B$20,MATCH(B5860,Assumptions!$A$16:$A$20,0)))</f>
        <v>6679.98</v>
      </c>
      <c r="J5860" s="33" t="n">
        <f aca="false">H5860-I5860</f>
        <v>2170.02</v>
      </c>
      <c r="K5860" s="33" t="n">
        <f aca="false">IF(OR(E5860=0,E5860&gt;=7),0,D5860/(7-E5860)*E5860*INDEX(Products!$E$2:$E$49,MATCH(C5860,Products!$A$2:$A$49,0)))</f>
        <v>0</v>
      </c>
    </row>
    <row r="5861" customFormat="false" ht="15" hidden="false" customHeight="false" outlineLevel="0" collapsed="false">
      <c r="A5861" s="36" t="n">
        <v>46181</v>
      </c>
      <c r="B5861" s="24" t="s">
        <v>65</v>
      </c>
      <c r="C5861" s="24" t="s">
        <v>199</v>
      </c>
      <c r="D5861" s="33" t="n">
        <v>38</v>
      </c>
      <c r="E5861" s="24" t="n">
        <v>0</v>
      </c>
      <c r="F5861" s="37" t="n">
        <f aca="false">DATE(YEAR(A5861),MONTH(A5861),1)</f>
        <v>46174</v>
      </c>
      <c r="G5861" s="24" t="str">
        <f aca="false">INDEX(Products!$C$2:$C$49,MATCH(C5861,Products!$A$2:$A$49,0))</f>
        <v>Snacks &amp; Confectionery</v>
      </c>
      <c r="H5861" s="33" t="n">
        <f aca="false">D5861*INDEX(Products!$E$2:$E$49,MATCH(C5861,Products!$A$2:$A$49,0))</f>
        <v>5700</v>
      </c>
      <c r="I5861" s="33" t="n">
        <f aca="false">D5861*INDEX(Products!$D$2:$D$49,MATCH(C5861,Products!$A$2:$A$49,0))*(1+INDEX(Assumptions!$B$16:$B$20,MATCH(B5861,Assumptions!$A$16:$A$20,0)))</f>
        <v>4302.36</v>
      </c>
      <c r="J5861" s="33" t="n">
        <f aca="false">H5861-I5861</f>
        <v>1397.64</v>
      </c>
      <c r="K5861" s="33" t="n">
        <f aca="false">IF(OR(E5861=0,E5861&gt;=7),0,D5861/(7-E5861)*E5861*INDEX(Products!$E$2:$E$49,MATCH(C5861,Products!$A$2:$A$49,0)))</f>
        <v>0</v>
      </c>
    </row>
    <row r="5862" customFormat="false" ht="15" hidden="false" customHeight="false" outlineLevel="0" collapsed="false">
      <c r="A5862" s="36" t="n">
        <v>46188</v>
      </c>
      <c r="B5862" s="24" t="s">
        <v>65</v>
      </c>
      <c r="C5862" s="24" t="s">
        <v>199</v>
      </c>
      <c r="D5862" s="33" t="n">
        <v>27</v>
      </c>
      <c r="E5862" s="24" t="n">
        <v>0</v>
      </c>
      <c r="F5862" s="37" t="n">
        <f aca="false">DATE(YEAR(A5862),MONTH(A5862),1)</f>
        <v>46174</v>
      </c>
      <c r="G5862" s="24" t="str">
        <f aca="false">INDEX(Products!$C$2:$C$49,MATCH(C5862,Products!$A$2:$A$49,0))</f>
        <v>Snacks &amp; Confectionery</v>
      </c>
      <c r="H5862" s="33" t="n">
        <f aca="false">D5862*INDEX(Products!$E$2:$E$49,MATCH(C5862,Products!$A$2:$A$49,0))</f>
        <v>4050</v>
      </c>
      <c r="I5862" s="33" t="n">
        <f aca="false">D5862*INDEX(Products!$D$2:$D$49,MATCH(C5862,Products!$A$2:$A$49,0))*(1+INDEX(Assumptions!$B$16:$B$20,MATCH(B5862,Assumptions!$A$16:$A$20,0)))</f>
        <v>3056.94</v>
      </c>
      <c r="J5862" s="33" t="n">
        <f aca="false">H5862-I5862</f>
        <v>993.06</v>
      </c>
      <c r="K5862" s="33" t="n">
        <f aca="false">IF(OR(E5862=0,E5862&gt;=7),0,D5862/(7-E5862)*E5862*INDEX(Products!$E$2:$E$49,MATCH(C5862,Products!$A$2:$A$49,0)))</f>
        <v>0</v>
      </c>
    </row>
    <row r="5863" customFormat="false" ht="15" hidden="false" customHeight="false" outlineLevel="0" collapsed="false">
      <c r="A5863" s="36" t="n">
        <v>46195</v>
      </c>
      <c r="B5863" s="24" t="s">
        <v>65</v>
      </c>
      <c r="C5863" s="24" t="s">
        <v>199</v>
      </c>
      <c r="D5863" s="33" t="n">
        <v>13</v>
      </c>
      <c r="E5863" s="24" t="n">
        <v>5</v>
      </c>
      <c r="F5863" s="37" t="n">
        <f aca="false">DATE(YEAR(A5863),MONTH(A5863),1)</f>
        <v>46174</v>
      </c>
      <c r="G5863" s="24" t="str">
        <f aca="false">INDEX(Products!$C$2:$C$49,MATCH(C5863,Products!$A$2:$A$49,0))</f>
        <v>Snacks &amp; Confectionery</v>
      </c>
      <c r="H5863" s="33" t="n">
        <f aca="false">D5863*INDEX(Products!$E$2:$E$49,MATCH(C5863,Products!$A$2:$A$49,0))</f>
        <v>1950</v>
      </c>
      <c r="I5863" s="33" t="n">
        <f aca="false">D5863*INDEX(Products!$D$2:$D$49,MATCH(C5863,Products!$A$2:$A$49,0))*(1+INDEX(Assumptions!$B$16:$B$20,MATCH(B5863,Assumptions!$A$16:$A$20,0)))</f>
        <v>1471.86</v>
      </c>
      <c r="J5863" s="33" t="n">
        <f aca="false">H5863-I5863</f>
        <v>478.14</v>
      </c>
      <c r="K5863" s="33" t="n">
        <f aca="false">IF(OR(E5863=0,E5863&gt;=7),0,D5863/(7-E5863)*E5863*INDEX(Products!$E$2:$E$49,MATCH(C5863,Products!$A$2:$A$49,0)))</f>
        <v>4875</v>
      </c>
    </row>
    <row r="5864" customFormat="false" ht="15" hidden="false" customHeight="false" outlineLevel="0" collapsed="false">
      <c r="A5864" s="36" t="n">
        <v>46202</v>
      </c>
      <c r="B5864" s="24" t="s">
        <v>65</v>
      </c>
      <c r="C5864" s="24" t="s">
        <v>199</v>
      </c>
      <c r="D5864" s="33" t="n">
        <v>39</v>
      </c>
      <c r="E5864" s="24" t="n">
        <v>0</v>
      </c>
      <c r="F5864" s="37" t="n">
        <f aca="false">DATE(YEAR(A5864),MONTH(A5864),1)</f>
        <v>46174</v>
      </c>
      <c r="G5864" s="24" t="str">
        <f aca="false">INDEX(Products!$C$2:$C$49,MATCH(C5864,Products!$A$2:$A$49,0))</f>
        <v>Snacks &amp; Confectionery</v>
      </c>
      <c r="H5864" s="33" t="n">
        <f aca="false">D5864*INDEX(Products!$E$2:$E$49,MATCH(C5864,Products!$A$2:$A$49,0))</f>
        <v>5850</v>
      </c>
      <c r="I5864" s="33" t="n">
        <f aca="false">D5864*INDEX(Products!$D$2:$D$49,MATCH(C5864,Products!$A$2:$A$49,0))*(1+INDEX(Assumptions!$B$16:$B$20,MATCH(B5864,Assumptions!$A$16:$A$20,0)))</f>
        <v>4415.58</v>
      </c>
      <c r="J5864" s="33" t="n">
        <f aca="false">H5864-I5864</f>
        <v>1434.42</v>
      </c>
      <c r="K5864" s="33" t="n">
        <f aca="false">IF(OR(E5864=0,E5864&gt;=7),0,D5864/(7-E5864)*E5864*INDEX(Products!$E$2:$E$49,MATCH(C5864,Products!$A$2:$A$49,0)))</f>
        <v>0</v>
      </c>
    </row>
    <row r="5865" customFormat="false" ht="15" hidden="false" customHeight="false" outlineLevel="0" collapsed="false">
      <c r="A5865" s="36" t="n">
        <v>46209</v>
      </c>
      <c r="B5865" s="24" t="s">
        <v>65</v>
      </c>
      <c r="C5865" s="24" t="s">
        <v>199</v>
      </c>
      <c r="D5865" s="33" t="n">
        <v>29</v>
      </c>
      <c r="E5865" s="24" t="n">
        <v>0</v>
      </c>
      <c r="F5865" s="37" t="n">
        <f aca="false">DATE(YEAR(A5865),MONTH(A5865),1)</f>
        <v>46204</v>
      </c>
      <c r="G5865" s="24" t="str">
        <f aca="false">INDEX(Products!$C$2:$C$49,MATCH(C5865,Products!$A$2:$A$49,0))</f>
        <v>Snacks &amp; Confectionery</v>
      </c>
      <c r="H5865" s="33" t="n">
        <f aca="false">D5865*INDEX(Products!$E$2:$E$49,MATCH(C5865,Products!$A$2:$A$49,0))</f>
        <v>4350</v>
      </c>
      <c r="I5865" s="33" t="n">
        <f aca="false">D5865*INDEX(Products!$D$2:$D$49,MATCH(C5865,Products!$A$2:$A$49,0))*(1+INDEX(Assumptions!$B$16:$B$20,MATCH(B5865,Assumptions!$A$16:$A$20,0)))</f>
        <v>3283.38</v>
      </c>
      <c r="J5865" s="33" t="n">
        <f aca="false">H5865-I5865</f>
        <v>1066.62</v>
      </c>
      <c r="K5865" s="33" t="n">
        <f aca="false">IF(OR(E5865=0,E5865&gt;=7),0,D5865/(7-E5865)*E5865*INDEX(Products!$E$2:$E$49,MATCH(C5865,Products!$A$2:$A$49,0)))</f>
        <v>0</v>
      </c>
    </row>
    <row r="5866" customFormat="false" ht="15" hidden="false" customHeight="false" outlineLevel="0" collapsed="false">
      <c r="A5866" s="36" t="n">
        <v>46216</v>
      </c>
      <c r="B5866" s="24" t="s">
        <v>65</v>
      </c>
      <c r="C5866" s="24" t="s">
        <v>199</v>
      </c>
      <c r="D5866" s="33" t="n">
        <v>5</v>
      </c>
      <c r="E5866" s="24" t="n">
        <v>5</v>
      </c>
      <c r="F5866" s="37" t="n">
        <f aca="false">DATE(YEAR(A5866),MONTH(A5866),1)</f>
        <v>46204</v>
      </c>
      <c r="G5866" s="24" t="str">
        <f aca="false">INDEX(Products!$C$2:$C$49,MATCH(C5866,Products!$A$2:$A$49,0))</f>
        <v>Snacks &amp; Confectionery</v>
      </c>
      <c r="H5866" s="33" t="n">
        <f aca="false">D5866*INDEX(Products!$E$2:$E$49,MATCH(C5866,Products!$A$2:$A$49,0))</f>
        <v>750</v>
      </c>
      <c r="I5866" s="33" t="n">
        <f aca="false">D5866*INDEX(Products!$D$2:$D$49,MATCH(C5866,Products!$A$2:$A$49,0))*(1+INDEX(Assumptions!$B$16:$B$20,MATCH(B5866,Assumptions!$A$16:$A$20,0)))</f>
        <v>566.1</v>
      </c>
      <c r="J5866" s="33" t="n">
        <f aca="false">H5866-I5866</f>
        <v>183.9</v>
      </c>
      <c r="K5866" s="33" t="n">
        <f aca="false">IF(OR(E5866=0,E5866&gt;=7),0,D5866/(7-E5866)*E5866*INDEX(Products!$E$2:$E$49,MATCH(C5866,Products!$A$2:$A$49,0)))</f>
        <v>1875</v>
      </c>
    </row>
    <row r="5867" customFormat="false" ht="15" hidden="false" customHeight="false" outlineLevel="0" collapsed="false">
      <c r="A5867" s="36" t="n">
        <v>46223</v>
      </c>
      <c r="B5867" s="24" t="s">
        <v>65</v>
      </c>
      <c r="C5867" s="24" t="s">
        <v>199</v>
      </c>
      <c r="D5867" s="33" t="n">
        <v>36</v>
      </c>
      <c r="E5867" s="24" t="n">
        <v>0</v>
      </c>
      <c r="F5867" s="37" t="n">
        <f aca="false">DATE(YEAR(A5867),MONTH(A5867),1)</f>
        <v>46204</v>
      </c>
      <c r="G5867" s="24" t="str">
        <f aca="false">INDEX(Products!$C$2:$C$49,MATCH(C5867,Products!$A$2:$A$49,0))</f>
        <v>Snacks &amp; Confectionery</v>
      </c>
      <c r="H5867" s="33" t="n">
        <f aca="false">D5867*INDEX(Products!$E$2:$E$49,MATCH(C5867,Products!$A$2:$A$49,0))</f>
        <v>5400</v>
      </c>
      <c r="I5867" s="33" t="n">
        <f aca="false">D5867*INDEX(Products!$D$2:$D$49,MATCH(C5867,Products!$A$2:$A$49,0))*(1+INDEX(Assumptions!$B$16:$B$20,MATCH(B5867,Assumptions!$A$16:$A$20,0)))</f>
        <v>4075.92</v>
      </c>
      <c r="J5867" s="33" t="n">
        <f aca="false">H5867-I5867</f>
        <v>1324.08</v>
      </c>
      <c r="K5867" s="33" t="n">
        <f aca="false">IF(OR(E5867=0,E5867&gt;=7),0,D5867/(7-E5867)*E5867*INDEX(Products!$E$2:$E$49,MATCH(C5867,Products!$A$2:$A$49,0)))</f>
        <v>0</v>
      </c>
    </row>
    <row r="5868" customFormat="false" ht="15" hidden="false" customHeight="false" outlineLevel="0" collapsed="false">
      <c r="A5868" s="36" t="n">
        <v>46230</v>
      </c>
      <c r="B5868" s="24" t="s">
        <v>65</v>
      </c>
      <c r="C5868" s="24" t="s">
        <v>199</v>
      </c>
      <c r="D5868" s="33" t="n">
        <v>26</v>
      </c>
      <c r="E5868" s="24" t="n">
        <v>0</v>
      </c>
      <c r="F5868" s="37" t="n">
        <f aca="false">DATE(YEAR(A5868),MONTH(A5868),1)</f>
        <v>46204</v>
      </c>
      <c r="G5868" s="24" t="str">
        <f aca="false">INDEX(Products!$C$2:$C$49,MATCH(C5868,Products!$A$2:$A$49,0))</f>
        <v>Snacks &amp; Confectionery</v>
      </c>
      <c r="H5868" s="33" t="n">
        <f aca="false">D5868*INDEX(Products!$E$2:$E$49,MATCH(C5868,Products!$A$2:$A$49,0))</f>
        <v>3900</v>
      </c>
      <c r="I5868" s="33" t="n">
        <f aca="false">D5868*INDEX(Products!$D$2:$D$49,MATCH(C5868,Products!$A$2:$A$49,0))*(1+INDEX(Assumptions!$B$16:$B$20,MATCH(B5868,Assumptions!$A$16:$A$20,0)))</f>
        <v>2943.72</v>
      </c>
      <c r="J5868" s="33" t="n">
        <f aca="false">H5868-I5868</f>
        <v>956.28</v>
      </c>
      <c r="K5868" s="33" t="n">
        <f aca="false">IF(OR(E5868=0,E5868&gt;=7),0,D5868/(7-E5868)*E5868*INDEX(Products!$E$2:$E$49,MATCH(C5868,Products!$A$2:$A$49,0)))</f>
        <v>0</v>
      </c>
    </row>
    <row r="5869" customFormat="false" ht="15" hidden="false" customHeight="false" outlineLevel="0" collapsed="false">
      <c r="A5869" s="36" t="n">
        <v>46237</v>
      </c>
      <c r="B5869" s="24" t="s">
        <v>65</v>
      </c>
      <c r="C5869" s="24" t="s">
        <v>199</v>
      </c>
      <c r="D5869" s="33" t="n">
        <v>24</v>
      </c>
      <c r="E5869" s="24" t="n">
        <v>0</v>
      </c>
      <c r="F5869" s="37" t="n">
        <f aca="false">DATE(YEAR(A5869),MONTH(A5869),1)</f>
        <v>46235</v>
      </c>
      <c r="G5869" s="24" t="str">
        <f aca="false">INDEX(Products!$C$2:$C$49,MATCH(C5869,Products!$A$2:$A$49,0))</f>
        <v>Snacks &amp; Confectionery</v>
      </c>
      <c r="H5869" s="33" t="n">
        <f aca="false">D5869*INDEX(Products!$E$2:$E$49,MATCH(C5869,Products!$A$2:$A$49,0))</f>
        <v>3600</v>
      </c>
      <c r="I5869" s="33" t="n">
        <f aca="false">D5869*INDEX(Products!$D$2:$D$49,MATCH(C5869,Products!$A$2:$A$49,0))*(1+INDEX(Assumptions!$B$16:$B$20,MATCH(B5869,Assumptions!$A$16:$A$20,0)))</f>
        <v>2717.28</v>
      </c>
      <c r="J5869" s="33" t="n">
        <f aca="false">H5869-I5869</f>
        <v>882.72</v>
      </c>
      <c r="K5869" s="33" t="n">
        <f aca="false">IF(OR(E5869=0,E5869&gt;=7),0,D5869/(7-E5869)*E5869*INDEX(Products!$E$2:$E$49,MATCH(C5869,Products!$A$2:$A$49,0)))</f>
        <v>0</v>
      </c>
    </row>
    <row r="5870" customFormat="false" ht="15" hidden="false" customHeight="false" outlineLevel="0" collapsed="false">
      <c r="A5870" s="36" t="n">
        <v>46244</v>
      </c>
      <c r="B5870" s="24" t="s">
        <v>65</v>
      </c>
      <c r="C5870" s="24" t="s">
        <v>199</v>
      </c>
      <c r="D5870" s="33" t="n">
        <v>25</v>
      </c>
      <c r="E5870" s="24" t="n">
        <v>0</v>
      </c>
      <c r="F5870" s="37" t="n">
        <f aca="false">DATE(YEAR(A5870),MONTH(A5870),1)</f>
        <v>46235</v>
      </c>
      <c r="G5870" s="24" t="str">
        <f aca="false">INDEX(Products!$C$2:$C$49,MATCH(C5870,Products!$A$2:$A$49,0))</f>
        <v>Snacks &amp; Confectionery</v>
      </c>
      <c r="H5870" s="33" t="n">
        <f aca="false">D5870*INDEX(Products!$E$2:$E$49,MATCH(C5870,Products!$A$2:$A$49,0))</f>
        <v>3750</v>
      </c>
      <c r="I5870" s="33" t="n">
        <f aca="false">D5870*INDEX(Products!$D$2:$D$49,MATCH(C5870,Products!$A$2:$A$49,0))*(1+INDEX(Assumptions!$B$16:$B$20,MATCH(B5870,Assumptions!$A$16:$A$20,0)))</f>
        <v>2830.5</v>
      </c>
      <c r="J5870" s="33" t="n">
        <f aca="false">H5870-I5870</f>
        <v>919.5</v>
      </c>
      <c r="K5870" s="33" t="n">
        <f aca="false">IF(OR(E5870=0,E5870&gt;=7),0,D5870/(7-E5870)*E5870*INDEX(Products!$E$2:$E$49,MATCH(C5870,Products!$A$2:$A$49,0)))</f>
        <v>0</v>
      </c>
    </row>
    <row r="5871" customFormat="false" ht="15" hidden="false" customHeight="false" outlineLevel="0" collapsed="false">
      <c r="A5871" s="36" t="n">
        <v>46251</v>
      </c>
      <c r="B5871" s="24" t="s">
        <v>65</v>
      </c>
      <c r="C5871" s="24" t="s">
        <v>199</v>
      </c>
      <c r="D5871" s="33" t="n">
        <v>27</v>
      </c>
      <c r="E5871" s="24" t="n">
        <v>0</v>
      </c>
      <c r="F5871" s="37" t="n">
        <f aca="false">DATE(YEAR(A5871),MONTH(A5871),1)</f>
        <v>46235</v>
      </c>
      <c r="G5871" s="24" t="str">
        <f aca="false">INDEX(Products!$C$2:$C$49,MATCH(C5871,Products!$A$2:$A$49,0))</f>
        <v>Snacks &amp; Confectionery</v>
      </c>
      <c r="H5871" s="33" t="n">
        <f aca="false">D5871*INDEX(Products!$E$2:$E$49,MATCH(C5871,Products!$A$2:$A$49,0))</f>
        <v>4050</v>
      </c>
      <c r="I5871" s="33" t="n">
        <f aca="false">D5871*INDEX(Products!$D$2:$D$49,MATCH(C5871,Products!$A$2:$A$49,0))*(1+INDEX(Assumptions!$B$16:$B$20,MATCH(B5871,Assumptions!$A$16:$A$20,0)))</f>
        <v>3056.94</v>
      </c>
      <c r="J5871" s="33" t="n">
        <f aca="false">H5871-I5871</f>
        <v>993.06</v>
      </c>
      <c r="K5871" s="33" t="n">
        <f aca="false">IF(OR(E5871=0,E5871&gt;=7),0,D5871/(7-E5871)*E5871*INDEX(Products!$E$2:$E$49,MATCH(C5871,Products!$A$2:$A$49,0)))</f>
        <v>0</v>
      </c>
    </row>
    <row r="5872" customFormat="false" ht="15" hidden="false" customHeight="false" outlineLevel="0" collapsed="false">
      <c r="A5872" s="36" t="n">
        <v>46258</v>
      </c>
      <c r="B5872" s="24" t="s">
        <v>65</v>
      </c>
      <c r="C5872" s="24" t="s">
        <v>199</v>
      </c>
      <c r="D5872" s="33" t="n">
        <v>31</v>
      </c>
      <c r="E5872" s="24" t="n">
        <v>0</v>
      </c>
      <c r="F5872" s="37" t="n">
        <f aca="false">DATE(YEAR(A5872),MONTH(A5872),1)</f>
        <v>46235</v>
      </c>
      <c r="G5872" s="24" t="str">
        <f aca="false">INDEX(Products!$C$2:$C$49,MATCH(C5872,Products!$A$2:$A$49,0))</f>
        <v>Snacks &amp; Confectionery</v>
      </c>
      <c r="H5872" s="33" t="n">
        <f aca="false">D5872*INDEX(Products!$E$2:$E$49,MATCH(C5872,Products!$A$2:$A$49,0))</f>
        <v>4650</v>
      </c>
      <c r="I5872" s="33" t="n">
        <f aca="false">D5872*INDEX(Products!$D$2:$D$49,MATCH(C5872,Products!$A$2:$A$49,0))*(1+INDEX(Assumptions!$B$16:$B$20,MATCH(B5872,Assumptions!$A$16:$A$20,0)))</f>
        <v>3509.82</v>
      </c>
      <c r="J5872" s="33" t="n">
        <f aca="false">H5872-I5872</f>
        <v>1140.18</v>
      </c>
      <c r="K5872" s="33" t="n">
        <f aca="false">IF(OR(E5872=0,E5872&gt;=7),0,D5872/(7-E5872)*E5872*INDEX(Products!$E$2:$E$49,MATCH(C5872,Products!$A$2:$A$49,0)))</f>
        <v>0</v>
      </c>
    </row>
    <row r="5873" customFormat="false" ht="15" hidden="false" customHeight="false" outlineLevel="0" collapsed="false">
      <c r="A5873" s="36" t="n">
        <v>46265</v>
      </c>
      <c r="B5873" s="24" t="s">
        <v>65</v>
      </c>
      <c r="C5873" s="24" t="s">
        <v>199</v>
      </c>
      <c r="D5873" s="33" t="n">
        <v>28</v>
      </c>
      <c r="E5873" s="24" t="n">
        <v>0</v>
      </c>
      <c r="F5873" s="37" t="n">
        <f aca="false">DATE(YEAR(A5873),MONTH(A5873),1)</f>
        <v>46235</v>
      </c>
      <c r="G5873" s="24" t="str">
        <f aca="false">INDEX(Products!$C$2:$C$49,MATCH(C5873,Products!$A$2:$A$49,0))</f>
        <v>Snacks &amp; Confectionery</v>
      </c>
      <c r="H5873" s="33" t="n">
        <f aca="false">D5873*INDEX(Products!$E$2:$E$49,MATCH(C5873,Products!$A$2:$A$49,0))</f>
        <v>4200</v>
      </c>
      <c r="I5873" s="33" t="n">
        <f aca="false">D5873*INDEX(Products!$D$2:$D$49,MATCH(C5873,Products!$A$2:$A$49,0))*(1+INDEX(Assumptions!$B$16:$B$20,MATCH(B5873,Assumptions!$A$16:$A$20,0)))</f>
        <v>3170.16</v>
      </c>
      <c r="J5873" s="33" t="n">
        <f aca="false">H5873-I5873</f>
        <v>1029.84</v>
      </c>
      <c r="K5873" s="33" t="n">
        <f aca="false">IF(OR(E5873=0,E5873&gt;=7),0,D5873/(7-E5873)*E5873*INDEX(Products!$E$2:$E$49,MATCH(C5873,Products!$A$2:$A$49,0)))</f>
        <v>0</v>
      </c>
    </row>
    <row r="5874" customFormat="false" ht="15" hidden="false" customHeight="false" outlineLevel="0" collapsed="false">
      <c r="A5874" s="36" t="n">
        <v>46272</v>
      </c>
      <c r="B5874" s="24" t="s">
        <v>65</v>
      </c>
      <c r="C5874" s="24" t="s">
        <v>199</v>
      </c>
      <c r="D5874" s="33" t="n">
        <v>30</v>
      </c>
      <c r="E5874" s="24" t="n">
        <v>0</v>
      </c>
      <c r="F5874" s="37" t="n">
        <f aca="false">DATE(YEAR(A5874),MONTH(A5874),1)</f>
        <v>46266</v>
      </c>
      <c r="G5874" s="24" t="str">
        <f aca="false">INDEX(Products!$C$2:$C$49,MATCH(C5874,Products!$A$2:$A$49,0))</f>
        <v>Snacks &amp; Confectionery</v>
      </c>
      <c r="H5874" s="33" t="n">
        <f aca="false">D5874*INDEX(Products!$E$2:$E$49,MATCH(C5874,Products!$A$2:$A$49,0))</f>
        <v>4500</v>
      </c>
      <c r="I5874" s="33" t="n">
        <f aca="false">D5874*INDEX(Products!$D$2:$D$49,MATCH(C5874,Products!$A$2:$A$49,0))*(1+INDEX(Assumptions!$B$16:$B$20,MATCH(B5874,Assumptions!$A$16:$A$20,0)))</f>
        <v>3396.6</v>
      </c>
      <c r="J5874" s="33" t="n">
        <f aca="false">H5874-I5874</f>
        <v>1103.4</v>
      </c>
      <c r="K5874" s="33" t="n">
        <f aca="false">IF(OR(E5874=0,E5874&gt;=7),0,D5874/(7-E5874)*E5874*INDEX(Products!$E$2:$E$49,MATCH(C5874,Products!$A$2:$A$49,0)))</f>
        <v>0</v>
      </c>
    </row>
    <row r="5875" customFormat="false" ht="15" hidden="false" customHeight="false" outlineLevel="0" collapsed="false">
      <c r="A5875" s="36" t="n">
        <v>46279</v>
      </c>
      <c r="B5875" s="24" t="s">
        <v>65</v>
      </c>
      <c r="C5875" s="24" t="s">
        <v>199</v>
      </c>
      <c r="D5875" s="33" t="n">
        <v>24</v>
      </c>
      <c r="E5875" s="24" t="n">
        <v>0</v>
      </c>
      <c r="F5875" s="37" t="n">
        <f aca="false">DATE(YEAR(A5875),MONTH(A5875),1)</f>
        <v>46266</v>
      </c>
      <c r="G5875" s="24" t="str">
        <f aca="false">INDEX(Products!$C$2:$C$49,MATCH(C5875,Products!$A$2:$A$49,0))</f>
        <v>Snacks &amp; Confectionery</v>
      </c>
      <c r="H5875" s="33" t="n">
        <f aca="false">D5875*INDEX(Products!$E$2:$E$49,MATCH(C5875,Products!$A$2:$A$49,0))</f>
        <v>3600</v>
      </c>
      <c r="I5875" s="33" t="n">
        <f aca="false">D5875*INDEX(Products!$D$2:$D$49,MATCH(C5875,Products!$A$2:$A$49,0))*(1+INDEX(Assumptions!$B$16:$B$20,MATCH(B5875,Assumptions!$A$16:$A$20,0)))</f>
        <v>2717.28</v>
      </c>
      <c r="J5875" s="33" t="n">
        <f aca="false">H5875-I5875</f>
        <v>882.72</v>
      </c>
      <c r="K5875" s="33" t="n">
        <f aca="false">IF(OR(E5875=0,E5875&gt;=7),0,D5875/(7-E5875)*E5875*INDEX(Products!$E$2:$E$49,MATCH(C5875,Products!$A$2:$A$49,0)))</f>
        <v>0</v>
      </c>
    </row>
    <row r="5876" customFormat="false" ht="15" hidden="false" customHeight="false" outlineLevel="0" collapsed="false">
      <c r="A5876" s="36" t="n">
        <v>46286</v>
      </c>
      <c r="B5876" s="24" t="s">
        <v>65</v>
      </c>
      <c r="C5876" s="24" t="s">
        <v>199</v>
      </c>
      <c r="D5876" s="33" t="n">
        <v>22</v>
      </c>
      <c r="E5876" s="24" t="n">
        <v>0</v>
      </c>
      <c r="F5876" s="37" t="n">
        <f aca="false">DATE(YEAR(A5876),MONTH(A5876),1)</f>
        <v>46266</v>
      </c>
      <c r="G5876" s="24" t="str">
        <f aca="false">INDEX(Products!$C$2:$C$49,MATCH(C5876,Products!$A$2:$A$49,0))</f>
        <v>Snacks &amp; Confectionery</v>
      </c>
      <c r="H5876" s="33" t="n">
        <f aca="false">D5876*INDEX(Products!$E$2:$E$49,MATCH(C5876,Products!$A$2:$A$49,0))</f>
        <v>3300</v>
      </c>
      <c r="I5876" s="33" t="n">
        <f aca="false">D5876*INDEX(Products!$D$2:$D$49,MATCH(C5876,Products!$A$2:$A$49,0))*(1+INDEX(Assumptions!$B$16:$B$20,MATCH(B5876,Assumptions!$A$16:$A$20,0)))</f>
        <v>2490.84</v>
      </c>
      <c r="J5876" s="33" t="n">
        <f aca="false">H5876-I5876</f>
        <v>809.16</v>
      </c>
      <c r="K5876" s="33" t="n">
        <f aca="false">IF(OR(E5876=0,E5876&gt;=7),0,D5876/(7-E5876)*E5876*INDEX(Products!$E$2:$E$49,MATCH(C5876,Products!$A$2:$A$49,0)))</f>
        <v>0</v>
      </c>
    </row>
    <row r="5877" customFormat="false" ht="15" hidden="false" customHeight="false" outlineLevel="0" collapsed="false">
      <c r="A5877" s="36" t="n">
        <v>46118</v>
      </c>
      <c r="B5877" s="24" t="s">
        <v>65</v>
      </c>
      <c r="C5877" s="24" t="s">
        <v>201</v>
      </c>
      <c r="D5877" s="33" t="n">
        <v>70</v>
      </c>
      <c r="E5877" s="24" t="n">
        <v>0</v>
      </c>
      <c r="F5877" s="37" t="n">
        <f aca="false">DATE(YEAR(A5877),MONTH(A5877),1)</f>
        <v>46113</v>
      </c>
      <c r="G5877" s="24" t="str">
        <f aca="false">INDEX(Products!$C$2:$C$49,MATCH(C5877,Products!$A$2:$A$49,0))</f>
        <v>Snacks &amp; Confectionery</v>
      </c>
      <c r="H5877" s="33" t="n">
        <f aca="false">D5877*INDEX(Products!$E$2:$E$49,MATCH(C5877,Products!$A$2:$A$49,0))</f>
        <v>11200</v>
      </c>
      <c r="I5877" s="33" t="n">
        <f aca="false">D5877*INDEX(Products!$D$2:$D$49,MATCH(C5877,Products!$A$2:$A$49,0))*(1+INDEX(Assumptions!$B$16:$B$20,MATCH(B5877,Assumptions!$A$16:$A$20,0)))</f>
        <v>8568</v>
      </c>
      <c r="J5877" s="33" t="n">
        <f aca="false">H5877-I5877</f>
        <v>2632</v>
      </c>
      <c r="K5877" s="33" t="n">
        <f aca="false">IF(OR(E5877=0,E5877&gt;=7),0,D5877/(7-E5877)*E5877*INDEX(Products!$E$2:$E$49,MATCH(C5877,Products!$A$2:$A$49,0)))</f>
        <v>0</v>
      </c>
    </row>
    <row r="5878" customFormat="false" ht="15" hidden="false" customHeight="false" outlineLevel="0" collapsed="false">
      <c r="A5878" s="36" t="n">
        <v>46125</v>
      </c>
      <c r="B5878" s="24" t="s">
        <v>65</v>
      </c>
      <c r="C5878" s="24" t="s">
        <v>201</v>
      </c>
      <c r="D5878" s="33" t="n">
        <v>67</v>
      </c>
      <c r="E5878" s="24" t="n">
        <v>0</v>
      </c>
      <c r="F5878" s="37" t="n">
        <f aca="false">DATE(YEAR(A5878),MONTH(A5878),1)</f>
        <v>46113</v>
      </c>
      <c r="G5878" s="24" t="str">
        <f aca="false">INDEX(Products!$C$2:$C$49,MATCH(C5878,Products!$A$2:$A$49,0))</f>
        <v>Snacks &amp; Confectionery</v>
      </c>
      <c r="H5878" s="33" t="n">
        <f aca="false">D5878*INDEX(Products!$E$2:$E$49,MATCH(C5878,Products!$A$2:$A$49,0))</f>
        <v>10720</v>
      </c>
      <c r="I5878" s="33" t="n">
        <f aca="false">D5878*INDEX(Products!$D$2:$D$49,MATCH(C5878,Products!$A$2:$A$49,0))*(1+INDEX(Assumptions!$B$16:$B$20,MATCH(B5878,Assumptions!$A$16:$A$20,0)))</f>
        <v>8200.8</v>
      </c>
      <c r="J5878" s="33" t="n">
        <f aca="false">H5878-I5878</f>
        <v>2519.2</v>
      </c>
      <c r="K5878" s="33" t="n">
        <f aca="false">IF(OR(E5878=0,E5878&gt;=7),0,D5878/(7-E5878)*E5878*INDEX(Products!$E$2:$E$49,MATCH(C5878,Products!$A$2:$A$49,0)))</f>
        <v>0</v>
      </c>
    </row>
    <row r="5879" customFormat="false" ht="15" hidden="false" customHeight="false" outlineLevel="0" collapsed="false">
      <c r="A5879" s="36" t="n">
        <v>46132</v>
      </c>
      <c r="B5879" s="24" t="s">
        <v>65</v>
      </c>
      <c r="C5879" s="24" t="s">
        <v>201</v>
      </c>
      <c r="D5879" s="33" t="n">
        <v>94</v>
      </c>
      <c r="E5879" s="24" t="n">
        <v>0</v>
      </c>
      <c r="F5879" s="37" t="n">
        <f aca="false">DATE(YEAR(A5879),MONTH(A5879),1)</f>
        <v>46113</v>
      </c>
      <c r="G5879" s="24" t="str">
        <f aca="false">INDEX(Products!$C$2:$C$49,MATCH(C5879,Products!$A$2:$A$49,0))</f>
        <v>Snacks &amp; Confectionery</v>
      </c>
      <c r="H5879" s="33" t="n">
        <f aca="false">D5879*INDEX(Products!$E$2:$E$49,MATCH(C5879,Products!$A$2:$A$49,0))</f>
        <v>15040</v>
      </c>
      <c r="I5879" s="33" t="n">
        <f aca="false">D5879*INDEX(Products!$D$2:$D$49,MATCH(C5879,Products!$A$2:$A$49,0))*(1+INDEX(Assumptions!$B$16:$B$20,MATCH(B5879,Assumptions!$A$16:$A$20,0)))</f>
        <v>11505.6</v>
      </c>
      <c r="J5879" s="33" t="n">
        <f aca="false">H5879-I5879</f>
        <v>3534.4</v>
      </c>
      <c r="K5879" s="33" t="n">
        <f aca="false">IF(OR(E5879=0,E5879&gt;=7),0,D5879/(7-E5879)*E5879*INDEX(Products!$E$2:$E$49,MATCH(C5879,Products!$A$2:$A$49,0)))</f>
        <v>0</v>
      </c>
    </row>
    <row r="5880" customFormat="false" ht="15" hidden="false" customHeight="false" outlineLevel="0" collapsed="false">
      <c r="A5880" s="36" t="n">
        <v>46139</v>
      </c>
      <c r="B5880" s="24" t="s">
        <v>65</v>
      </c>
      <c r="C5880" s="24" t="s">
        <v>201</v>
      </c>
      <c r="D5880" s="33" t="n">
        <v>100</v>
      </c>
      <c r="E5880" s="24" t="n">
        <v>0</v>
      </c>
      <c r="F5880" s="37" t="n">
        <f aca="false">DATE(YEAR(A5880),MONTH(A5880),1)</f>
        <v>46113</v>
      </c>
      <c r="G5880" s="24" t="str">
        <f aca="false">INDEX(Products!$C$2:$C$49,MATCH(C5880,Products!$A$2:$A$49,0))</f>
        <v>Snacks &amp; Confectionery</v>
      </c>
      <c r="H5880" s="33" t="n">
        <f aca="false">D5880*INDEX(Products!$E$2:$E$49,MATCH(C5880,Products!$A$2:$A$49,0))</f>
        <v>16000</v>
      </c>
      <c r="I5880" s="33" t="n">
        <f aca="false">D5880*INDEX(Products!$D$2:$D$49,MATCH(C5880,Products!$A$2:$A$49,0))*(1+INDEX(Assumptions!$B$16:$B$20,MATCH(B5880,Assumptions!$A$16:$A$20,0)))</f>
        <v>12240</v>
      </c>
      <c r="J5880" s="33" t="n">
        <f aca="false">H5880-I5880</f>
        <v>3760</v>
      </c>
      <c r="K5880" s="33" t="n">
        <f aca="false">IF(OR(E5880=0,E5880&gt;=7),0,D5880/(7-E5880)*E5880*INDEX(Products!$E$2:$E$49,MATCH(C5880,Products!$A$2:$A$49,0)))</f>
        <v>0</v>
      </c>
    </row>
    <row r="5881" customFormat="false" ht="15" hidden="false" customHeight="false" outlineLevel="0" collapsed="false">
      <c r="A5881" s="36" t="n">
        <v>46146</v>
      </c>
      <c r="B5881" s="24" t="s">
        <v>65</v>
      </c>
      <c r="C5881" s="24" t="s">
        <v>201</v>
      </c>
      <c r="D5881" s="33" t="n">
        <v>88</v>
      </c>
      <c r="E5881" s="24" t="n">
        <v>0</v>
      </c>
      <c r="F5881" s="37" t="n">
        <f aca="false">DATE(YEAR(A5881),MONTH(A5881),1)</f>
        <v>46143</v>
      </c>
      <c r="G5881" s="24" t="str">
        <f aca="false">INDEX(Products!$C$2:$C$49,MATCH(C5881,Products!$A$2:$A$49,0))</f>
        <v>Snacks &amp; Confectionery</v>
      </c>
      <c r="H5881" s="33" t="n">
        <f aca="false">D5881*INDEX(Products!$E$2:$E$49,MATCH(C5881,Products!$A$2:$A$49,0))</f>
        <v>14080</v>
      </c>
      <c r="I5881" s="33" t="n">
        <f aca="false">D5881*INDEX(Products!$D$2:$D$49,MATCH(C5881,Products!$A$2:$A$49,0))*(1+INDEX(Assumptions!$B$16:$B$20,MATCH(B5881,Assumptions!$A$16:$A$20,0)))</f>
        <v>10771.2</v>
      </c>
      <c r="J5881" s="33" t="n">
        <f aca="false">H5881-I5881</f>
        <v>3308.8</v>
      </c>
      <c r="K5881" s="33" t="n">
        <f aca="false">IF(OR(E5881=0,E5881&gt;=7),0,D5881/(7-E5881)*E5881*INDEX(Products!$E$2:$E$49,MATCH(C5881,Products!$A$2:$A$49,0)))</f>
        <v>0</v>
      </c>
    </row>
    <row r="5882" customFormat="false" ht="15" hidden="false" customHeight="false" outlineLevel="0" collapsed="false">
      <c r="A5882" s="36" t="n">
        <v>46153</v>
      </c>
      <c r="B5882" s="24" t="s">
        <v>65</v>
      </c>
      <c r="C5882" s="24" t="s">
        <v>201</v>
      </c>
      <c r="D5882" s="33" t="n">
        <v>76</v>
      </c>
      <c r="E5882" s="24" t="n">
        <v>0</v>
      </c>
      <c r="F5882" s="37" t="n">
        <f aca="false">DATE(YEAR(A5882),MONTH(A5882),1)</f>
        <v>46143</v>
      </c>
      <c r="G5882" s="24" t="str">
        <f aca="false">INDEX(Products!$C$2:$C$49,MATCH(C5882,Products!$A$2:$A$49,0))</f>
        <v>Snacks &amp; Confectionery</v>
      </c>
      <c r="H5882" s="33" t="n">
        <f aca="false">D5882*INDEX(Products!$E$2:$E$49,MATCH(C5882,Products!$A$2:$A$49,0))</f>
        <v>12160</v>
      </c>
      <c r="I5882" s="33" t="n">
        <f aca="false">D5882*INDEX(Products!$D$2:$D$49,MATCH(C5882,Products!$A$2:$A$49,0))*(1+INDEX(Assumptions!$B$16:$B$20,MATCH(B5882,Assumptions!$A$16:$A$20,0)))</f>
        <v>9302.4</v>
      </c>
      <c r="J5882" s="33" t="n">
        <f aca="false">H5882-I5882</f>
        <v>2857.6</v>
      </c>
      <c r="K5882" s="33" t="n">
        <f aca="false">IF(OR(E5882=0,E5882&gt;=7),0,D5882/(7-E5882)*E5882*INDEX(Products!$E$2:$E$49,MATCH(C5882,Products!$A$2:$A$49,0)))</f>
        <v>0</v>
      </c>
    </row>
    <row r="5883" customFormat="false" ht="15" hidden="false" customHeight="false" outlineLevel="0" collapsed="false">
      <c r="A5883" s="36" t="n">
        <v>46160</v>
      </c>
      <c r="B5883" s="24" t="s">
        <v>65</v>
      </c>
      <c r="C5883" s="24" t="s">
        <v>201</v>
      </c>
      <c r="D5883" s="33" t="n">
        <v>150</v>
      </c>
      <c r="E5883" s="24" t="n">
        <v>0</v>
      </c>
      <c r="F5883" s="37" t="n">
        <f aca="false">DATE(YEAR(A5883),MONTH(A5883),1)</f>
        <v>46143</v>
      </c>
      <c r="G5883" s="24" t="str">
        <f aca="false">INDEX(Products!$C$2:$C$49,MATCH(C5883,Products!$A$2:$A$49,0))</f>
        <v>Snacks &amp; Confectionery</v>
      </c>
      <c r="H5883" s="33" t="n">
        <f aca="false">D5883*INDEX(Products!$E$2:$E$49,MATCH(C5883,Products!$A$2:$A$49,0))</f>
        <v>24000</v>
      </c>
      <c r="I5883" s="33" t="n">
        <f aca="false">D5883*INDEX(Products!$D$2:$D$49,MATCH(C5883,Products!$A$2:$A$49,0))*(1+INDEX(Assumptions!$B$16:$B$20,MATCH(B5883,Assumptions!$A$16:$A$20,0)))</f>
        <v>18360</v>
      </c>
      <c r="J5883" s="33" t="n">
        <f aca="false">H5883-I5883</f>
        <v>5640</v>
      </c>
      <c r="K5883" s="33" t="n">
        <f aca="false">IF(OR(E5883=0,E5883&gt;=7),0,D5883/(7-E5883)*E5883*INDEX(Products!$E$2:$E$49,MATCH(C5883,Products!$A$2:$A$49,0)))</f>
        <v>0</v>
      </c>
    </row>
    <row r="5884" customFormat="false" ht="15" hidden="false" customHeight="false" outlineLevel="0" collapsed="false">
      <c r="A5884" s="36" t="n">
        <v>46167</v>
      </c>
      <c r="B5884" s="24" t="s">
        <v>65</v>
      </c>
      <c r="C5884" s="24" t="s">
        <v>201</v>
      </c>
      <c r="D5884" s="33" t="n">
        <v>86</v>
      </c>
      <c r="E5884" s="24" t="n">
        <v>0</v>
      </c>
      <c r="F5884" s="37" t="n">
        <f aca="false">DATE(YEAR(A5884),MONTH(A5884),1)</f>
        <v>46143</v>
      </c>
      <c r="G5884" s="24" t="str">
        <f aca="false">INDEX(Products!$C$2:$C$49,MATCH(C5884,Products!$A$2:$A$49,0))</f>
        <v>Snacks &amp; Confectionery</v>
      </c>
      <c r="H5884" s="33" t="n">
        <f aca="false">D5884*INDEX(Products!$E$2:$E$49,MATCH(C5884,Products!$A$2:$A$49,0))</f>
        <v>13760</v>
      </c>
      <c r="I5884" s="33" t="n">
        <f aca="false">D5884*INDEX(Products!$D$2:$D$49,MATCH(C5884,Products!$A$2:$A$49,0))*(1+INDEX(Assumptions!$B$16:$B$20,MATCH(B5884,Assumptions!$A$16:$A$20,0)))</f>
        <v>10526.4</v>
      </c>
      <c r="J5884" s="33" t="n">
        <f aca="false">H5884-I5884</f>
        <v>3233.6</v>
      </c>
      <c r="K5884" s="33" t="n">
        <f aca="false">IF(OR(E5884=0,E5884&gt;=7),0,D5884/(7-E5884)*E5884*INDEX(Products!$E$2:$E$49,MATCH(C5884,Products!$A$2:$A$49,0)))</f>
        <v>0</v>
      </c>
    </row>
    <row r="5885" customFormat="false" ht="15" hidden="false" customHeight="false" outlineLevel="0" collapsed="false">
      <c r="A5885" s="36" t="n">
        <v>46174</v>
      </c>
      <c r="B5885" s="24" t="s">
        <v>65</v>
      </c>
      <c r="C5885" s="24" t="s">
        <v>201</v>
      </c>
      <c r="D5885" s="33" t="n">
        <v>85</v>
      </c>
      <c r="E5885" s="24" t="n">
        <v>0</v>
      </c>
      <c r="F5885" s="37" t="n">
        <f aca="false">DATE(YEAR(A5885),MONTH(A5885),1)</f>
        <v>46174</v>
      </c>
      <c r="G5885" s="24" t="str">
        <f aca="false">INDEX(Products!$C$2:$C$49,MATCH(C5885,Products!$A$2:$A$49,0))</f>
        <v>Snacks &amp; Confectionery</v>
      </c>
      <c r="H5885" s="33" t="n">
        <f aca="false">D5885*INDEX(Products!$E$2:$E$49,MATCH(C5885,Products!$A$2:$A$49,0))</f>
        <v>13600</v>
      </c>
      <c r="I5885" s="33" t="n">
        <f aca="false">D5885*INDEX(Products!$D$2:$D$49,MATCH(C5885,Products!$A$2:$A$49,0))*(1+INDEX(Assumptions!$B$16:$B$20,MATCH(B5885,Assumptions!$A$16:$A$20,0)))</f>
        <v>10404</v>
      </c>
      <c r="J5885" s="33" t="n">
        <f aca="false">H5885-I5885</f>
        <v>3196</v>
      </c>
      <c r="K5885" s="33" t="n">
        <f aca="false">IF(OR(E5885=0,E5885&gt;=7),0,D5885/(7-E5885)*E5885*INDEX(Products!$E$2:$E$49,MATCH(C5885,Products!$A$2:$A$49,0)))</f>
        <v>0</v>
      </c>
    </row>
    <row r="5886" customFormat="false" ht="15" hidden="false" customHeight="false" outlineLevel="0" collapsed="false">
      <c r="A5886" s="36" t="n">
        <v>46181</v>
      </c>
      <c r="B5886" s="24" t="s">
        <v>65</v>
      </c>
      <c r="C5886" s="24" t="s">
        <v>201</v>
      </c>
      <c r="D5886" s="33" t="n">
        <v>87</v>
      </c>
      <c r="E5886" s="24" t="n">
        <v>0</v>
      </c>
      <c r="F5886" s="37" t="n">
        <f aca="false">DATE(YEAR(A5886),MONTH(A5886),1)</f>
        <v>46174</v>
      </c>
      <c r="G5886" s="24" t="str">
        <f aca="false">INDEX(Products!$C$2:$C$49,MATCH(C5886,Products!$A$2:$A$49,0))</f>
        <v>Snacks &amp; Confectionery</v>
      </c>
      <c r="H5886" s="33" t="n">
        <f aca="false">D5886*INDEX(Products!$E$2:$E$49,MATCH(C5886,Products!$A$2:$A$49,0))</f>
        <v>13920</v>
      </c>
      <c r="I5886" s="33" t="n">
        <f aca="false">D5886*INDEX(Products!$D$2:$D$49,MATCH(C5886,Products!$A$2:$A$49,0))*(1+INDEX(Assumptions!$B$16:$B$20,MATCH(B5886,Assumptions!$A$16:$A$20,0)))</f>
        <v>10648.8</v>
      </c>
      <c r="J5886" s="33" t="n">
        <f aca="false">H5886-I5886</f>
        <v>3271.2</v>
      </c>
      <c r="K5886" s="33" t="n">
        <f aca="false">IF(OR(E5886=0,E5886&gt;=7),0,D5886/(7-E5886)*E5886*INDEX(Products!$E$2:$E$49,MATCH(C5886,Products!$A$2:$A$49,0)))</f>
        <v>0</v>
      </c>
    </row>
    <row r="5887" customFormat="false" ht="15" hidden="false" customHeight="false" outlineLevel="0" collapsed="false">
      <c r="A5887" s="36" t="n">
        <v>46188</v>
      </c>
      <c r="B5887" s="24" t="s">
        <v>65</v>
      </c>
      <c r="C5887" s="24" t="s">
        <v>201</v>
      </c>
      <c r="D5887" s="33" t="n">
        <v>73</v>
      </c>
      <c r="E5887" s="24" t="n">
        <v>0</v>
      </c>
      <c r="F5887" s="37" t="n">
        <f aca="false">DATE(YEAR(A5887),MONTH(A5887),1)</f>
        <v>46174</v>
      </c>
      <c r="G5887" s="24" t="str">
        <f aca="false">INDEX(Products!$C$2:$C$49,MATCH(C5887,Products!$A$2:$A$49,0))</f>
        <v>Snacks &amp; Confectionery</v>
      </c>
      <c r="H5887" s="33" t="n">
        <f aca="false">D5887*INDEX(Products!$E$2:$E$49,MATCH(C5887,Products!$A$2:$A$49,0))</f>
        <v>11680</v>
      </c>
      <c r="I5887" s="33" t="n">
        <f aca="false">D5887*INDEX(Products!$D$2:$D$49,MATCH(C5887,Products!$A$2:$A$49,0))*(1+INDEX(Assumptions!$B$16:$B$20,MATCH(B5887,Assumptions!$A$16:$A$20,0)))</f>
        <v>8935.2</v>
      </c>
      <c r="J5887" s="33" t="n">
        <f aca="false">H5887-I5887</f>
        <v>2744.8</v>
      </c>
      <c r="K5887" s="33" t="n">
        <f aca="false">IF(OR(E5887=0,E5887&gt;=7),0,D5887/(7-E5887)*E5887*INDEX(Products!$E$2:$E$49,MATCH(C5887,Products!$A$2:$A$49,0)))</f>
        <v>0</v>
      </c>
    </row>
    <row r="5888" customFormat="false" ht="15" hidden="false" customHeight="false" outlineLevel="0" collapsed="false">
      <c r="A5888" s="36" t="n">
        <v>46195</v>
      </c>
      <c r="B5888" s="24" t="s">
        <v>65</v>
      </c>
      <c r="C5888" s="24" t="s">
        <v>201</v>
      </c>
      <c r="D5888" s="33" t="n">
        <v>70</v>
      </c>
      <c r="E5888" s="24" t="n">
        <v>0</v>
      </c>
      <c r="F5888" s="37" t="n">
        <f aca="false">DATE(YEAR(A5888),MONTH(A5888),1)</f>
        <v>46174</v>
      </c>
      <c r="G5888" s="24" t="str">
        <f aca="false">INDEX(Products!$C$2:$C$49,MATCH(C5888,Products!$A$2:$A$49,0))</f>
        <v>Snacks &amp; Confectionery</v>
      </c>
      <c r="H5888" s="33" t="n">
        <f aca="false">D5888*INDEX(Products!$E$2:$E$49,MATCH(C5888,Products!$A$2:$A$49,0))</f>
        <v>11200</v>
      </c>
      <c r="I5888" s="33" t="n">
        <f aca="false">D5888*INDEX(Products!$D$2:$D$49,MATCH(C5888,Products!$A$2:$A$49,0))*(1+INDEX(Assumptions!$B$16:$B$20,MATCH(B5888,Assumptions!$A$16:$A$20,0)))</f>
        <v>8568</v>
      </c>
      <c r="J5888" s="33" t="n">
        <f aca="false">H5888-I5888</f>
        <v>2632</v>
      </c>
      <c r="K5888" s="33" t="n">
        <f aca="false">IF(OR(E5888=0,E5888&gt;=7),0,D5888/(7-E5888)*E5888*INDEX(Products!$E$2:$E$49,MATCH(C5888,Products!$A$2:$A$49,0)))</f>
        <v>0</v>
      </c>
    </row>
    <row r="5889" customFormat="false" ht="15" hidden="false" customHeight="false" outlineLevel="0" collapsed="false">
      <c r="A5889" s="36" t="n">
        <v>46202</v>
      </c>
      <c r="B5889" s="24" t="s">
        <v>65</v>
      </c>
      <c r="C5889" s="24" t="s">
        <v>201</v>
      </c>
      <c r="D5889" s="33" t="n">
        <v>77</v>
      </c>
      <c r="E5889" s="24" t="n">
        <v>0</v>
      </c>
      <c r="F5889" s="37" t="n">
        <f aca="false">DATE(YEAR(A5889),MONTH(A5889),1)</f>
        <v>46174</v>
      </c>
      <c r="G5889" s="24" t="str">
        <f aca="false">INDEX(Products!$C$2:$C$49,MATCH(C5889,Products!$A$2:$A$49,0))</f>
        <v>Snacks &amp; Confectionery</v>
      </c>
      <c r="H5889" s="33" t="n">
        <f aca="false">D5889*INDEX(Products!$E$2:$E$49,MATCH(C5889,Products!$A$2:$A$49,0))</f>
        <v>12320</v>
      </c>
      <c r="I5889" s="33" t="n">
        <f aca="false">D5889*INDEX(Products!$D$2:$D$49,MATCH(C5889,Products!$A$2:$A$49,0))*(1+INDEX(Assumptions!$B$16:$B$20,MATCH(B5889,Assumptions!$A$16:$A$20,0)))</f>
        <v>9424.8</v>
      </c>
      <c r="J5889" s="33" t="n">
        <f aca="false">H5889-I5889</f>
        <v>2895.2</v>
      </c>
      <c r="K5889" s="33" t="n">
        <f aca="false">IF(OR(E5889=0,E5889&gt;=7),0,D5889/(7-E5889)*E5889*INDEX(Products!$E$2:$E$49,MATCH(C5889,Products!$A$2:$A$49,0)))</f>
        <v>0</v>
      </c>
    </row>
    <row r="5890" customFormat="false" ht="15" hidden="false" customHeight="false" outlineLevel="0" collapsed="false">
      <c r="A5890" s="36" t="n">
        <v>46209</v>
      </c>
      <c r="B5890" s="24" t="s">
        <v>65</v>
      </c>
      <c r="C5890" s="24" t="s">
        <v>201</v>
      </c>
      <c r="D5890" s="33" t="n">
        <v>86</v>
      </c>
      <c r="E5890" s="24" t="n">
        <v>0</v>
      </c>
      <c r="F5890" s="37" t="n">
        <f aca="false">DATE(YEAR(A5890),MONTH(A5890),1)</f>
        <v>46204</v>
      </c>
      <c r="G5890" s="24" t="str">
        <f aca="false">INDEX(Products!$C$2:$C$49,MATCH(C5890,Products!$A$2:$A$49,0))</f>
        <v>Snacks &amp; Confectionery</v>
      </c>
      <c r="H5890" s="33" t="n">
        <f aca="false">D5890*INDEX(Products!$E$2:$E$49,MATCH(C5890,Products!$A$2:$A$49,0))</f>
        <v>13760</v>
      </c>
      <c r="I5890" s="33" t="n">
        <f aca="false">D5890*INDEX(Products!$D$2:$D$49,MATCH(C5890,Products!$A$2:$A$49,0))*(1+INDEX(Assumptions!$B$16:$B$20,MATCH(B5890,Assumptions!$A$16:$A$20,0)))</f>
        <v>10526.4</v>
      </c>
      <c r="J5890" s="33" t="n">
        <f aca="false">H5890-I5890</f>
        <v>3233.6</v>
      </c>
      <c r="K5890" s="33" t="n">
        <f aca="false">IF(OR(E5890=0,E5890&gt;=7),0,D5890/(7-E5890)*E5890*INDEX(Products!$E$2:$E$49,MATCH(C5890,Products!$A$2:$A$49,0)))</f>
        <v>0</v>
      </c>
    </row>
    <row r="5891" customFormat="false" ht="15" hidden="false" customHeight="false" outlineLevel="0" collapsed="false">
      <c r="A5891" s="36" t="n">
        <v>46216</v>
      </c>
      <c r="B5891" s="24" t="s">
        <v>65</v>
      </c>
      <c r="C5891" s="24" t="s">
        <v>201</v>
      </c>
      <c r="D5891" s="33" t="n">
        <v>59</v>
      </c>
      <c r="E5891" s="24" t="n">
        <v>0</v>
      </c>
      <c r="F5891" s="37" t="n">
        <f aca="false">DATE(YEAR(A5891),MONTH(A5891),1)</f>
        <v>46204</v>
      </c>
      <c r="G5891" s="24" t="str">
        <f aca="false">INDEX(Products!$C$2:$C$49,MATCH(C5891,Products!$A$2:$A$49,0))</f>
        <v>Snacks &amp; Confectionery</v>
      </c>
      <c r="H5891" s="33" t="n">
        <f aca="false">D5891*INDEX(Products!$E$2:$E$49,MATCH(C5891,Products!$A$2:$A$49,0))</f>
        <v>9440</v>
      </c>
      <c r="I5891" s="33" t="n">
        <f aca="false">D5891*INDEX(Products!$D$2:$D$49,MATCH(C5891,Products!$A$2:$A$49,0))*(1+INDEX(Assumptions!$B$16:$B$20,MATCH(B5891,Assumptions!$A$16:$A$20,0)))</f>
        <v>7221.6</v>
      </c>
      <c r="J5891" s="33" t="n">
        <f aca="false">H5891-I5891</f>
        <v>2218.4</v>
      </c>
      <c r="K5891" s="33" t="n">
        <f aca="false">IF(OR(E5891=0,E5891&gt;=7),0,D5891/(7-E5891)*E5891*INDEX(Products!$E$2:$E$49,MATCH(C5891,Products!$A$2:$A$49,0)))</f>
        <v>0</v>
      </c>
    </row>
    <row r="5892" customFormat="false" ht="15" hidden="false" customHeight="false" outlineLevel="0" collapsed="false">
      <c r="A5892" s="36" t="n">
        <v>46223</v>
      </c>
      <c r="B5892" s="24" t="s">
        <v>65</v>
      </c>
      <c r="C5892" s="24" t="s">
        <v>201</v>
      </c>
      <c r="D5892" s="33" t="n">
        <v>82</v>
      </c>
      <c r="E5892" s="24" t="n">
        <v>0</v>
      </c>
      <c r="F5892" s="37" t="n">
        <f aca="false">DATE(YEAR(A5892),MONTH(A5892),1)</f>
        <v>46204</v>
      </c>
      <c r="G5892" s="24" t="str">
        <f aca="false">INDEX(Products!$C$2:$C$49,MATCH(C5892,Products!$A$2:$A$49,0))</f>
        <v>Snacks &amp; Confectionery</v>
      </c>
      <c r="H5892" s="33" t="n">
        <f aca="false">D5892*INDEX(Products!$E$2:$E$49,MATCH(C5892,Products!$A$2:$A$49,0))</f>
        <v>13120</v>
      </c>
      <c r="I5892" s="33" t="n">
        <f aca="false">D5892*INDEX(Products!$D$2:$D$49,MATCH(C5892,Products!$A$2:$A$49,0))*(1+INDEX(Assumptions!$B$16:$B$20,MATCH(B5892,Assumptions!$A$16:$A$20,0)))</f>
        <v>10036.8</v>
      </c>
      <c r="J5892" s="33" t="n">
        <f aca="false">H5892-I5892</f>
        <v>3083.2</v>
      </c>
      <c r="K5892" s="33" t="n">
        <f aca="false">IF(OR(E5892=0,E5892&gt;=7),0,D5892/(7-E5892)*E5892*INDEX(Products!$E$2:$E$49,MATCH(C5892,Products!$A$2:$A$49,0)))</f>
        <v>0</v>
      </c>
    </row>
    <row r="5893" customFormat="false" ht="15" hidden="false" customHeight="false" outlineLevel="0" collapsed="false">
      <c r="A5893" s="36" t="n">
        <v>46230</v>
      </c>
      <c r="B5893" s="24" t="s">
        <v>65</v>
      </c>
      <c r="C5893" s="24" t="s">
        <v>201</v>
      </c>
      <c r="D5893" s="33" t="n">
        <v>67</v>
      </c>
      <c r="E5893" s="24" t="n">
        <v>0</v>
      </c>
      <c r="F5893" s="37" t="n">
        <f aca="false">DATE(YEAR(A5893),MONTH(A5893),1)</f>
        <v>46204</v>
      </c>
      <c r="G5893" s="24" t="str">
        <f aca="false">INDEX(Products!$C$2:$C$49,MATCH(C5893,Products!$A$2:$A$49,0))</f>
        <v>Snacks &amp; Confectionery</v>
      </c>
      <c r="H5893" s="33" t="n">
        <f aca="false">D5893*INDEX(Products!$E$2:$E$49,MATCH(C5893,Products!$A$2:$A$49,0))</f>
        <v>10720</v>
      </c>
      <c r="I5893" s="33" t="n">
        <f aca="false">D5893*INDEX(Products!$D$2:$D$49,MATCH(C5893,Products!$A$2:$A$49,0))*(1+INDEX(Assumptions!$B$16:$B$20,MATCH(B5893,Assumptions!$A$16:$A$20,0)))</f>
        <v>8200.8</v>
      </c>
      <c r="J5893" s="33" t="n">
        <f aca="false">H5893-I5893</f>
        <v>2519.2</v>
      </c>
      <c r="K5893" s="33" t="n">
        <f aca="false">IF(OR(E5893=0,E5893&gt;=7),0,D5893/(7-E5893)*E5893*INDEX(Products!$E$2:$E$49,MATCH(C5893,Products!$A$2:$A$49,0)))</f>
        <v>0</v>
      </c>
    </row>
    <row r="5894" customFormat="false" ht="15" hidden="false" customHeight="false" outlineLevel="0" collapsed="false">
      <c r="A5894" s="36" t="n">
        <v>46237</v>
      </c>
      <c r="B5894" s="24" t="s">
        <v>65</v>
      </c>
      <c r="C5894" s="24" t="s">
        <v>201</v>
      </c>
      <c r="D5894" s="33" t="n">
        <v>74</v>
      </c>
      <c r="E5894" s="24" t="n">
        <v>0</v>
      </c>
      <c r="F5894" s="37" t="n">
        <f aca="false">DATE(YEAR(A5894),MONTH(A5894),1)</f>
        <v>46235</v>
      </c>
      <c r="G5894" s="24" t="str">
        <f aca="false">INDEX(Products!$C$2:$C$49,MATCH(C5894,Products!$A$2:$A$49,0))</f>
        <v>Snacks &amp; Confectionery</v>
      </c>
      <c r="H5894" s="33" t="n">
        <f aca="false">D5894*INDEX(Products!$E$2:$E$49,MATCH(C5894,Products!$A$2:$A$49,0))</f>
        <v>11840</v>
      </c>
      <c r="I5894" s="33" t="n">
        <f aca="false">D5894*INDEX(Products!$D$2:$D$49,MATCH(C5894,Products!$A$2:$A$49,0))*(1+INDEX(Assumptions!$B$16:$B$20,MATCH(B5894,Assumptions!$A$16:$A$20,0)))</f>
        <v>9057.6</v>
      </c>
      <c r="J5894" s="33" t="n">
        <f aca="false">H5894-I5894</f>
        <v>2782.4</v>
      </c>
      <c r="K5894" s="33" t="n">
        <f aca="false">IF(OR(E5894=0,E5894&gt;=7),0,D5894/(7-E5894)*E5894*INDEX(Products!$E$2:$E$49,MATCH(C5894,Products!$A$2:$A$49,0)))</f>
        <v>0</v>
      </c>
    </row>
    <row r="5895" customFormat="false" ht="15" hidden="false" customHeight="false" outlineLevel="0" collapsed="false">
      <c r="A5895" s="36" t="n">
        <v>46244</v>
      </c>
      <c r="B5895" s="24" t="s">
        <v>65</v>
      </c>
      <c r="C5895" s="24" t="s">
        <v>201</v>
      </c>
      <c r="D5895" s="33" t="n">
        <v>62</v>
      </c>
      <c r="E5895" s="24" t="n">
        <v>0</v>
      </c>
      <c r="F5895" s="37" t="n">
        <f aca="false">DATE(YEAR(A5895),MONTH(A5895),1)</f>
        <v>46235</v>
      </c>
      <c r="G5895" s="24" t="str">
        <f aca="false">INDEX(Products!$C$2:$C$49,MATCH(C5895,Products!$A$2:$A$49,0))</f>
        <v>Snacks &amp; Confectionery</v>
      </c>
      <c r="H5895" s="33" t="n">
        <f aca="false">D5895*INDEX(Products!$E$2:$E$49,MATCH(C5895,Products!$A$2:$A$49,0))</f>
        <v>9920</v>
      </c>
      <c r="I5895" s="33" t="n">
        <f aca="false">D5895*INDEX(Products!$D$2:$D$49,MATCH(C5895,Products!$A$2:$A$49,0))*(1+INDEX(Assumptions!$B$16:$B$20,MATCH(B5895,Assumptions!$A$16:$A$20,0)))</f>
        <v>7588.8</v>
      </c>
      <c r="J5895" s="33" t="n">
        <f aca="false">H5895-I5895</f>
        <v>2331.2</v>
      </c>
      <c r="K5895" s="33" t="n">
        <f aca="false">IF(OR(E5895=0,E5895&gt;=7),0,D5895/(7-E5895)*E5895*INDEX(Products!$E$2:$E$49,MATCH(C5895,Products!$A$2:$A$49,0)))</f>
        <v>0</v>
      </c>
    </row>
    <row r="5896" customFormat="false" ht="15" hidden="false" customHeight="false" outlineLevel="0" collapsed="false">
      <c r="A5896" s="36" t="n">
        <v>46251</v>
      </c>
      <c r="B5896" s="24" t="s">
        <v>65</v>
      </c>
      <c r="C5896" s="24" t="s">
        <v>201</v>
      </c>
      <c r="D5896" s="33" t="n">
        <v>72</v>
      </c>
      <c r="E5896" s="24" t="n">
        <v>0</v>
      </c>
      <c r="F5896" s="37" t="n">
        <f aca="false">DATE(YEAR(A5896),MONTH(A5896),1)</f>
        <v>46235</v>
      </c>
      <c r="G5896" s="24" t="str">
        <f aca="false">INDEX(Products!$C$2:$C$49,MATCH(C5896,Products!$A$2:$A$49,0))</f>
        <v>Snacks &amp; Confectionery</v>
      </c>
      <c r="H5896" s="33" t="n">
        <f aca="false">D5896*INDEX(Products!$E$2:$E$49,MATCH(C5896,Products!$A$2:$A$49,0))</f>
        <v>11520</v>
      </c>
      <c r="I5896" s="33" t="n">
        <f aca="false">D5896*INDEX(Products!$D$2:$D$49,MATCH(C5896,Products!$A$2:$A$49,0))*(1+INDEX(Assumptions!$B$16:$B$20,MATCH(B5896,Assumptions!$A$16:$A$20,0)))</f>
        <v>8812.8</v>
      </c>
      <c r="J5896" s="33" t="n">
        <f aca="false">H5896-I5896</f>
        <v>2707.2</v>
      </c>
      <c r="K5896" s="33" t="n">
        <f aca="false">IF(OR(E5896=0,E5896&gt;=7),0,D5896/(7-E5896)*E5896*INDEX(Products!$E$2:$E$49,MATCH(C5896,Products!$A$2:$A$49,0)))</f>
        <v>0</v>
      </c>
    </row>
    <row r="5897" customFormat="false" ht="15" hidden="false" customHeight="false" outlineLevel="0" collapsed="false">
      <c r="A5897" s="36" t="n">
        <v>46258</v>
      </c>
      <c r="B5897" s="24" t="s">
        <v>65</v>
      </c>
      <c r="C5897" s="24" t="s">
        <v>201</v>
      </c>
      <c r="D5897" s="33" t="n">
        <v>83</v>
      </c>
      <c r="E5897" s="24" t="n">
        <v>0</v>
      </c>
      <c r="F5897" s="37" t="n">
        <f aca="false">DATE(YEAR(A5897),MONTH(A5897),1)</f>
        <v>46235</v>
      </c>
      <c r="G5897" s="24" t="str">
        <f aca="false">INDEX(Products!$C$2:$C$49,MATCH(C5897,Products!$A$2:$A$49,0))</f>
        <v>Snacks &amp; Confectionery</v>
      </c>
      <c r="H5897" s="33" t="n">
        <f aca="false">D5897*INDEX(Products!$E$2:$E$49,MATCH(C5897,Products!$A$2:$A$49,0))</f>
        <v>13280</v>
      </c>
      <c r="I5897" s="33" t="n">
        <f aca="false">D5897*INDEX(Products!$D$2:$D$49,MATCH(C5897,Products!$A$2:$A$49,0))*(1+INDEX(Assumptions!$B$16:$B$20,MATCH(B5897,Assumptions!$A$16:$A$20,0)))</f>
        <v>10159.2</v>
      </c>
      <c r="J5897" s="33" t="n">
        <f aca="false">H5897-I5897</f>
        <v>3120.8</v>
      </c>
      <c r="K5897" s="33" t="n">
        <f aca="false">IF(OR(E5897=0,E5897&gt;=7),0,D5897/(7-E5897)*E5897*INDEX(Products!$E$2:$E$49,MATCH(C5897,Products!$A$2:$A$49,0)))</f>
        <v>0</v>
      </c>
    </row>
    <row r="5898" customFormat="false" ht="15" hidden="false" customHeight="false" outlineLevel="0" collapsed="false">
      <c r="A5898" s="36" t="n">
        <v>46265</v>
      </c>
      <c r="B5898" s="24" t="s">
        <v>65</v>
      </c>
      <c r="C5898" s="24" t="s">
        <v>201</v>
      </c>
      <c r="D5898" s="33" t="n">
        <v>78</v>
      </c>
      <c r="E5898" s="24" t="n">
        <v>0</v>
      </c>
      <c r="F5898" s="37" t="n">
        <f aca="false">DATE(YEAR(A5898),MONTH(A5898),1)</f>
        <v>46235</v>
      </c>
      <c r="G5898" s="24" t="str">
        <f aca="false">INDEX(Products!$C$2:$C$49,MATCH(C5898,Products!$A$2:$A$49,0))</f>
        <v>Snacks &amp; Confectionery</v>
      </c>
      <c r="H5898" s="33" t="n">
        <f aca="false">D5898*INDEX(Products!$E$2:$E$49,MATCH(C5898,Products!$A$2:$A$49,0))</f>
        <v>12480</v>
      </c>
      <c r="I5898" s="33" t="n">
        <f aca="false">D5898*INDEX(Products!$D$2:$D$49,MATCH(C5898,Products!$A$2:$A$49,0))*(1+INDEX(Assumptions!$B$16:$B$20,MATCH(B5898,Assumptions!$A$16:$A$20,0)))</f>
        <v>9547.2</v>
      </c>
      <c r="J5898" s="33" t="n">
        <f aca="false">H5898-I5898</f>
        <v>2932.8</v>
      </c>
      <c r="K5898" s="33" t="n">
        <f aca="false">IF(OR(E5898=0,E5898&gt;=7),0,D5898/(7-E5898)*E5898*INDEX(Products!$E$2:$E$49,MATCH(C5898,Products!$A$2:$A$49,0)))</f>
        <v>0</v>
      </c>
    </row>
    <row r="5899" customFormat="false" ht="15" hidden="false" customHeight="false" outlineLevel="0" collapsed="false">
      <c r="A5899" s="36" t="n">
        <v>46272</v>
      </c>
      <c r="B5899" s="24" t="s">
        <v>65</v>
      </c>
      <c r="C5899" s="24" t="s">
        <v>201</v>
      </c>
      <c r="D5899" s="33" t="n">
        <v>69</v>
      </c>
      <c r="E5899" s="24" t="n">
        <v>0</v>
      </c>
      <c r="F5899" s="37" t="n">
        <f aca="false">DATE(YEAR(A5899),MONTH(A5899),1)</f>
        <v>46266</v>
      </c>
      <c r="G5899" s="24" t="str">
        <f aca="false">INDEX(Products!$C$2:$C$49,MATCH(C5899,Products!$A$2:$A$49,0))</f>
        <v>Snacks &amp; Confectionery</v>
      </c>
      <c r="H5899" s="33" t="n">
        <f aca="false">D5899*INDEX(Products!$E$2:$E$49,MATCH(C5899,Products!$A$2:$A$49,0))</f>
        <v>11040</v>
      </c>
      <c r="I5899" s="33" t="n">
        <f aca="false">D5899*INDEX(Products!$D$2:$D$49,MATCH(C5899,Products!$A$2:$A$49,0))*(1+INDEX(Assumptions!$B$16:$B$20,MATCH(B5899,Assumptions!$A$16:$A$20,0)))</f>
        <v>8445.6</v>
      </c>
      <c r="J5899" s="33" t="n">
        <f aca="false">H5899-I5899</f>
        <v>2594.4</v>
      </c>
      <c r="K5899" s="33" t="n">
        <f aca="false">IF(OR(E5899=0,E5899&gt;=7),0,D5899/(7-E5899)*E5899*INDEX(Products!$E$2:$E$49,MATCH(C5899,Products!$A$2:$A$49,0)))</f>
        <v>0</v>
      </c>
    </row>
    <row r="5900" customFormat="false" ht="15" hidden="false" customHeight="false" outlineLevel="0" collapsed="false">
      <c r="A5900" s="36" t="n">
        <v>46279</v>
      </c>
      <c r="B5900" s="24" t="s">
        <v>65</v>
      </c>
      <c r="C5900" s="24" t="s">
        <v>201</v>
      </c>
      <c r="D5900" s="33" t="n">
        <v>68</v>
      </c>
      <c r="E5900" s="24" t="n">
        <v>0</v>
      </c>
      <c r="F5900" s="37" t="n">
        <f aca="false">DATE(YEAR(A5900),MONTH(A5900),1)</f>
        <v>46266</v>
      </c>
      <c r="G5900" s="24" t="str">
        <f aca="false">INDEX(Products!$C$2:$C$49,MATCH(C5900,Products!$A$2:$A$49,0))</f>
        <v>Snacks &amp; Confectionery</v>
      </c>
      <c r="H5900" s="33" t="n">
        <f aca="false">D5900*INDEX(Products!$E$2:$E$49,MATCH(C5900,Products!$A$2:$A$49,0))</f>
        <v>10880</v>
      </c>
      <c r="I5900" s="33" t="n">
        <f aca="false">D5900*INDEX(Products!$D$2:$D$49,MATCH(C5900,Products!$A$2:$A$49,0))*(1+INDEX(Assumptions!$B$16:$B$20,MATCH(B5900,Assumptions!$A$16:$A$20,0)))</f>
        <v>8323.2</v>
      </c>
      <c r="J5900" s="33" t="n">
        <f aca="false">H5900-I5900</f>
        <v>2556.8</v>
      </c>
      <c r="K5900" s="33" t="n">
        <f aca="false">IF(OR(E5900=0,E5900&gt;=7),0,D5900/(7-E5900)*E5900*INDEX(Products!$E$2:$E$49,MATCH(C5900,Products!$A$2:$A$49,0)))</f>
        <v>0</v>
      </c>
    </row>
    <row r="5901" customFormat="false" ht="15" hidden="false" customHeight="false" outlineLevel="0" collapsed="false">
      <c r="A5901" s="36" t="n">
        <v>46286</v>
      </c>
      <c r="B5901" s="24" t="s">
        <v>65</v>
      </c>
      <c r="C5901" s="24" t="s">
        <v>201</v>
      </c>
      <c r="D5901" s="33" t="n">
        <v>101</v>
      </c>
      <c r="E5901" s="24" t="n">
        <v>0</v>
      </c>
      <c r="F5901" s="37" t="n">
        <f aca="false">DATE(YEAR(A5901),MONTH(A5901),1)</f>
        <v>46266</v>
      </c>
      <c r="G5901" s="24" t="str">
        <f aca="false">INDEX(Products!$C$2:$C$49,MATCH(C5901,Products!$A$2:$A$49,0))</f>
        <v>Snacks &amp; Confectionery</v>
      </c>
      <c r="H5901" s="33" t="n">
        <f aca="false">D5901*INDEX(Products!$E$2:$E$49,MATCH(C5901,Products!$A$2:$A$49,0))</f>
        <v>16160</v>
      </c>
      <c r="I5901" s="33" t="n">
        <f aca="false">D5901*INDEX(Products!$D$2:$D$49,MATCH(C5901,Products!$A$2:$A$49,0))*(1+INDEX(Assumptions!$B$16:$B$20,MATCH(B5901,Assumptions!$A$16:$A$20,0)))</f>
        <v>12362.4</v>
      </c>
      <c r="J5901" s="33" t="n">
        <f aca="false">H5901-I5901</f>
        <v>3797.6</v>
      </c>
      <c r="K5901" s="33" t="n">
        <f aca="false">IF(OR(E5901=0,E5901&gt;=7),0,D5901/(7-E5901)*E5901*INDEX(Products!$E$2:$E$49,MATCH(C5901,Products!$A$2:$A$49,0)))</f>
        <v>0</v>
      </c>
    </row>
    <row r="5902" customFormat="false" ht="15" hidden="false" customHeight="false" outlineLevel="0" collapsed="false">
      <c r="A5902" s="36" t="n">
        <v>46118</v>
      </c>
      <c r="B5902" s="24" t="s">
        <v>65</v>
      </c>
      <c r="C5902" s="24" t="s">
        <v>203</v>
      </c>
      <c r="D5902" s="33" t="n">
        <v>31</v>
      </c>
      <c r="E5902" s="24" t="n">
        <v>0</v>
      </c>
      <c r="F5902" s="37" t="n">
        <f aca="false">DATE(YEAR(A5902),MONTH(A5902),1)</f>
        <v>46113</v>
      </c>
      <c r="G5902" s="24" t="str">
        <f aca="false">INDEX(Products!$C$2:$C$49,MATCH(C5902,Products!$A$2:$A$49,0))</f>
        <v>Snacks &amp; Confectionery</v>
      </c>
      <c r="H5902" s="33" t="n">
        <f aca="false">D5902*INDEX(Products!$E$2:$E$49,MATCH(C5902,Products!$A$2:$A$49,0))</f>
        <v>2015</v>
      </c>
      <c r="I5902" s="33" t="n">
        <f aca="false">D5902*INDEX(Products!$D$2:$D$49,MATCH(C5902,Products!$A$2:$A$49,0))*(1+INDEX(Assumptions!$B$16:$B$20,MATCH(B5902,Assumptions!$A$16:$A$20,0)))</f>
        <v>1486.14</v>
      </c>
      <c r="J5902" s="33" t="n">
        <f aca="false">H5902-I5902</f>
        <v>528.86</v>
      </c>
      <c r="K5902" s="33" t="n">
        <f aca="false">IF(OR(E5902=0,E5902&gt;=7),0,D5902/(7-E5902)*E5902*INDEX(Products!$E$2:$E$49,MATCH(C5902,Products!$A$2:$A$49,0)))</f>
        <v>0</v>
      </c>
    </row>
    <row r="5903" customFormat="false" ht="15" hidden="false" customHeight="false" outlineLevel="0" collapsed="false">
      <c r="A5903" s="36" t="n">
        <v>46125</v>
      </c>
      <c r="B5903" s="24" t="s">
        <v>65</v>
      </c>
      <c r="C5903" s="24" t="s">
        <v>203</v>
      </c>
      <c r="D5903" s="33" t="n">
        <v>33</v>
      </c>
      <c r="E5903" s="24" t="n">
        <v>0</v>
      </c>
      <c r="F5903" s="37" t="n">
        <f aca="false">DATE(YEAR(A5903),MONTH(A5903),1)</f>
        <v>46113</v>
      </c>
      <c r="G5903" s="24" t="str">
        <f aca="false">INDEX(Products!$C$2:$C$49,MATCH(C5903,Products!$A$2:$A$49,0))</f>
        <v>Snacks &amp; Confectionery</v>
      </c>
      <c r="H5903" s="33" t="n">
        <f aca="false">D5903*INDEX(Products!$E$2:$E$49,MATCH(C5903,Products!$A$2:$A$49,0))</f>
        <v>2145</v>
      </c>
      <c r="I5903" s="33" t="n">
        <f aca="false">D5903*INDEX(Products!$D$2:$D$49,MATCH(C5903,Products!$A$2:$A$49,0))*(1+INDEX(Assumptions!$B$16:$B$20,MATCH(B5903,Assumptions!$A$16:$A$20,0)))</f>
        <v>1582.02</v>
      </c>
      <c r="J5903" s="33" t="n">
        <f aca="false">H5903-I5903</f>
        <v>562.98</v>
      </c>
      <c r="K5903" s="33" t="n">
        <f aca="false">IF(OR(E5903=0,E5903&gt;=7),0,D5903/(7-E5903)*E5903*INDEX(Products!$E$2:$E$49,MATCH(C5903,Products!$A$2:$A$49,0)))</f>
        <v>0</v>
      </c>
    </row>
    <row r="5904" customFormat="false" ht="15" hidden="false" customHeight="false" outlineLevel="0" collapsed="false">
      <c r="A5904" s="36" t="n">
        <v>46132</v>
      </c>
      <c r="B5904" s="24" t="s">
        <v>65</v>
      </c>
      <c r="C5904" s="24" t="s">
        <v>203</v>
      </c>
      <c r="D5904" s="33" t="n">
        <v>40</v>
      </c>
      <c r="E5904" s="24" t="n">
        <v>0</v>
      </c>
      <c r="F5904" s="37" t="n">
        <f aca="false">DATE(YEAR(A5904),MONTH(A5904),1)</f>
        <v>46113</v>
      </c>
      <c r="G5904" s="24" t="str">
        <f aca="false">INDEX(Products!$C$2:$C$49,MATCH(C5904,Products!$A$2:$A$49,0))</f>
        <v>Snacks &amp; Confectionery</v>
      </c>
      <c r="H5904" s="33" t="n">
        <f aca="false">D5904*INDEX(Products!$E$2:$E$49,MATCH(C5904,Products!$A$2:$A$49,0))</f>
        <v>2600</v>
      </c>
      <c r="I5904" s="33" t="n">
        <f aca="false">D5904*INDEX(Products!$D$2:$D$49,MATCH(C5904,Products!$A$2:$A$49,0))*(1+INDEX(Assumptions!$B$16:$B$20,MATCH(B5904,Assumptions!$A$16:$A$20,0)))</f>
        <v>1917.6</v>
      </c>
      <c r="J5904" s="33" t="n">
        <f aca="false">H5904-I5904</f>
        <v>682.4</v>
      </c>
      <c r="K5904" s="33" t="n">
        <f aca="false">IF(OR(E5904=0,E5904&gt;=7),0,D5904/(7-E5904)*E5904*INDEX(Products!$E$2:$E$49,MATCH(C5904,Products!$A$2:$A$49,0)))</f>
        <v>0</v>
      </c>
    </row>
    <row r="5905" customFormat="false" ht="15" hidden="false" customHeight="false" outlineLevel="0" collapsed="false">
      <c r="A5905" s="36" t="n">
        <v>46139</v>
      </c>
      <c r="B5905" s="24" t="s">
        <v>65</v>
      </c>
      <c r="C5905" s="24" t="s">
        <v>203</v>
      </c>
      <c r="D5905" s="33" t="n">
        <v>34</v>
      </c>
      <c r="E5905" s="24" t="n">
        <v>0</v>
      </c>
      <c r="F5905" s="37" t="n">
        <f aca="false">DATE(YEAR(A5905),MONTH(A5905),1)</f>
        <v>46113</v>
      </c>
      <c r="G5905" s="24" t="str">
        <f aca="false">INDEX(Products!$C$2:$C$49,MATCH(C5905,Products!$A$2:$A$49,0))</f>
        <v>Snacks &amp; Confectionery</v>
      </c>
      <c r="H5905" s="33" t="n">
        <f aca="false">D5905*INDEX(Products!$E$2:$E$49,MATCH(C5905,Products!$A$2:$A$49,0))</f>
        <v>2210</v>
      </c>
      <c r="I5905" s="33" t="n">
        <f aca="false">D5905*INDEX(Products!$D$2:$D$49,MATCH(C5905,Products!$A$2:$A$49,0))*(1+INDEX(Assumptions!$B$16:$B$20,MATCH(B5905,Assumptions!$A$16:$A$20,0)))</f>
        <v>1629.96</v>
      </c>
      <c r="J5905" s="33" t="n">
        <f aca="false">H5905-I5905</f>
        <v>580.04</v>
      </c>
      <c r="K5905" s="33" t="n">
        <f aca="false">IF(OR(E5905=0,E5905&gt;=7),0,D5905/(7-E5905)*E5905*INDEX(Products!$E$2:$E$49,MATCH(C5905,Products!$A$2:$A$49,0)))</f>
        <v>0</v>
      </c>
    </row>
    <row r="5906" customFormat="false" ht="15" hidden="false" customHeight="false" outlineLevel="0" collapsed="false">
      <c r="A5906" s="36" t="n">
        <v>46146</v>
      </c>
      <c r="B5906" s="24" t="s">
        <v>65</v>
      </c>
      <c r="C5906" s="24" t="s">
        <v>203</v>
      </c>
      <c r="D5906" s="33" t="n">
        <v>39</v>
      </c>
      <c r="E5906" s="24" t="n">
        <v>0</v>
      </c>
      <c r="F5906" s="37" t="n">
        <f aca="false">DATE(YEAR(A5906),MONTH(A5906),1)</f>
        <v>46143</v>
      </c>
      <c r="G5906" s="24" t="str">
        <f aca="false">INDEX(Products!$C$2:$C$49,MATCH(C5906,Products!$A$2:$A$49,0))</f>
        <v>Snacks &amp; Confectionery</v>
      </c>
      <c r="H5906" s="33" t="n">
        <f aca="false">D5906*INDEX(Products!$E$2:$E$49,MATCH(C5906,Products!$A$2:$A$49,0))</f>
        <v>2535</v>
      </c>
      <c r="I5906" s="33" t="n">
        <f aca="false">D5906*INDEX(Products!$D$2:$D$49,MATCH(C5906,Products!$A$2:$A$49,0))*(1+INDEX(Assumptions!$B$16:$B$20,MATCH(B5906,Assumptions!$A$16:$A$20,0)))</f>
        <v>1869.66</v>
      </c>
      <c r="J5906" s="33" t="n">
        <f aca="false">H5906-I5906</f>
        <v>665.34</v>
      </c>
      <c r="K5906" s="33" t="n">
        <f aca="false">IF(OR(E5906=0,E5906&gt;=7),0,D5906/(7-E5906)*E5906*INDEX(Products!$E$2:$E$49,MATCH(C5906,Products!$A$2:$A$49,0)))</f>
        <v>0</v>
      </c>
    </row>
    <row r="5907" customFormat="false" ht="15" hidden="false" customHeight="false" outlineLevel="0" collapsed="false">
      <c r="A5907" s="36" t="n">
        <v>46153</v>
      </c>
      <c r="B5907" s="24" t="s">
        <v>65</v>
      </c>
      <c r="C5907" s="24" t="s">
        <v>203</v>
      </c>
      <c r="D5907" s="33" t="n">
        <v>46</v>
      </c>
      <c r="E5907" s="24" t="n">
        <v>0</v>
      </c>
      <c r="F5907" s="37" t="n">
        <f aca="false">DATE(YEAR(A5907),MONTH(A5907),1)</f>
        <v>46143</v>
      </c>
      <c r="G5907" s="24" t="str">
        <f aca="false">INDEX(Products!$C$2:$C$49,MATCH(C5907,Products!$A$2:$A$49,0))</f>
        <v>Snacks &amp; Confectionery</v>
      </c>
      <c r="H5907" s="33" t="n">
        <f aca="false">D5907*INDEX(Products!$E$2:$E$49,MATCH(C5907,Products!$A$2:$A$49,0))</f>
        <v>2990</v>
      </c>
      <c r="I5907" s="33" t="n">
        <f aca="false">D5907*INDEX(Products!$D$2:$D$49,MATCH(C5907,Products!$A$2:$A$49,0))*(1+INDEX(Assumptions!$B$16:$B$20,MATCH(B5907,Assumptions!$A$16:$A$20,0)))</f>
        <v>2205.24</v>
      </c>
      <c r="J5907" s="33" t="n">
        <f aca="false">H5907-I5907</f>
        <v>784.76</v>
      </c>
      <c r="K5907" s="33" t="n">
        <f aca="false">IF(OR(E5907=0,E5907&gt;=7),0,D5907/(7-E5907)*E5907*INDEX(Products!$E$2:$E$49,MATCH(C5907,Products!$A$2:$A$49,0)))</f>
        <v>0</v>
      </c>
    </row>
    <row r="5908" customFormat="false" ht="15" hidden="false" customHeight="false" outlineLevel="0" collapsed="false">
      <c r="A5908" s="36" t="n">
        <v>46160</v>
      </c>
      <c r="B5908" s="24" t="s">
        <v>65</v>
      </c>
      <c r="C5908" s="24" t="s">
        <v>203</v>
      </c>
      <c r="D5908" s="33" t="n">
        <v>37</v>
      </c>
      <c r="E5908" s="24" t="n">
        <v>0</v>
      </c>
      <c r="F5908" s="37" t="n">
        <f aca="false">DATE(YEAR(A5908),MONTH(A5908),1)</f>
        <v>46143</v>
      </c>
      <c r="G5908" s="24" t="str">
        <f aca="false">INDEX(Products!$C$2:$C$49,MATCH(C5908,Products!$A$2:$A$49,0))</f>
        <v>Snacks &amp; Confectionery</v>
      </c>
      <c r="H5908" s="33" t="n">
        <f aca="false">D5908*INDEX(Products!$E$2:$E$49,MATCH(C5908,Products!$A$2:$A$49,0))</f>
        <v>2405</v>
      </c>
      <c r="I5908" s="33" t="n">
        <f aca="false">D5908*INDEX(Products!$D$2:$D$49,MATCH(C5908,Products!$A$2:$A$49,0))*(1+INDEX(Assumptions!$B$16:$B$20,MATCH(B5908,Assumptions!$A$16:$A$20,0)))</f>
        <v>1773.78</v>
      </c>
      <c r="J5908" s="33" t="n">
        <f aca="false">H5908-I5908</f>
        <v>631.22</v>
      </c>
      <c r="K5908" s="33" t="n">
        <f aca="false">IF(OR(E5908=0,E5908&gt;=7),0,D5908/(7-E5908)*E5908*INDEX(Products!$E$2:$E$49,MATCH(C5908,Products!$A$2:$A$49,0)))</f>
        <v>0</v>
      </c>
    </row>
    <row r="5909" customFormat="false" ht="15" hidden="false" customHeight="false" outlineLevel="0" collapsed="false">
      <c r="A5909" s="36" t="n">
        <v>46167</v>
      </c>
      <c r="B5909" s="24" t="s">
        <v>65</v>
      </c>
      <c r="C5909" s="24" t="s">
        <v>203</v>
      </c>
      <c r="D5909" s="33" t="n">
        <v>47</v>
      </c>
      <c r="E5909" s="24" t="n">
        <v>0</v>
      </c>
      <c r="F5909" s="37" t="n">
        <f aca="false">DATE(YEAR(A5909),MONTH(A5909),1)</f>
        <v>46143</v>
      </c>
      <c r="G5909" s="24" t="str">
        <f aca="false">INDEX(Products!$C$2:$C$49,MATCH(C5909,Products!$A$2:$A$49,0))</f>
        <v>Snacks &amp; Confectionery</v>
      </c>
      <c r="H5909" s="33" t="n">
        <f aca="false">D5909*INDEX(Products!$E$2:$E$49,MATCH(C5909,Products!$A$2:$A$49,0))</f>
        <v>3055</v>
      </c>
      <c r="I5909" s="33" t="n">
        <f aca="false">D5909*INDEX(Products!$D$2:$D$49,MATCH(C5909,Products!$A$2:$A$49,0))*(1+INDEX(Assumptions!$B$16:$B$20,MATCH(B5909,Assumptions!$A$16:$A$20,0)))</f>
        <v>2253.18</v>
      </c>
      <c r="J5909" s="33" t="n">
        <f aca="false">H5909-I5909</f>
        <v>801.82</v>
      </c>
      <c r="K5909" s="33" t="n">
        <f aca="false">IF(OR(E5909=0,E5909&gt;=7),0,D5909/(7-E5909)*E5909*INDEX(Products!$E$2:$E$49,MATCH(C5909,Products!$A$2:$A$49,0)))</f>
        <v>0</v>
      </c>
    </row>
    <row r="5910" customFormat="false" ht="15" hidden="false" customHeight="false" outlineLevel="0" collapsed="false">
      <c r="A5910" s="36" t="n">
        <v>46174</v>
      </c>
      <c r="B5910" s="24" t="s">
        <v>65</v>
      </c>
      <c r="C5910" s="24" t="s">
        <v>203</v>
      </c>
      <c r="D5910" s="33" t="n">
        <v>27</v>
      </c>
      <c r="E5910" s="24" t="n">
        <v>0</v>
      </c>
      <c r="F5910" s="37" t="n">
        <f aca="false">DATE(YEAR(A5910),MONTH(A5910),1)</f>
        <v>46174</v>
      </c>
      <c r="G5910" s="24" t="str">
        <f aca="false">INDEX(Products!$C$2:$C$49,MATCH(C5910,Products!$A$2:$A$49,0))</f>
        <v>Snacks &amp; Confectionery</v>
      </c>
      <c r="H5910" s="33" t="n">
        <f aca="false">D5910*INDEX(Products!$E$2:$E$49,MATCH(C5910,Products!$A$2:$A$49,0))</f>
        <v>1755</v>
      </c>
      <c r="I5910" s="33" t="n">
        <f aca="false">D5910*INDEX(Products!$D$2:$D$49,MATCH(C5910,Products!$A$2:$A$49,0))*(1+INDEX(Assumptions!$B$16:$B$20,MATCH(B5910,Assumptions!$A$16:$A$20,0)))</f>
        <v>1294.38</v>
      </c>
      <c r="J5910" s="33" t="n">
        <f aca="false">H5910-I5910</f>
        <v>460.62</v>
      </c>
      <c r="K5910" s="33" t="n">
        <f aca="false">IF(OR(E5910=0,E5910&gt;=7),0,D5910/(7-E5910)*E5910*INDEX(Products!$E$2:$E$49,MATCH(C5910,Products!$A$2:$A$49,0)))</f>
        <v>0</v>
      </c>
    </row>
    <row r="5911" customFormat="false" ht="15" hidden="false" customHeight="false" outlineLevel="0" collapsed="false">
      <c r="A5911" s="36" t="n">
        <v>46181</v>
      </c>
      <c r="B5911" s="24" t="s">
        <v>65</v>
      </c>
      <c r="C5911" s="24" t="s">
        <v>203</v>
      </c>
      <c r="D5911" s="33" t="n">
        <v>31</v>
      </c>
      <c r="E5911" s="24" t="n">
        <v>0</v>
      </c>
      <c r="F5911" s="37" t="n">
        <f aca="false">DATE(YEAR(A5911),MONTH(A5911),1)</f>
        <v>46174</v>
      </c>
      <c r="G5911" s="24" t="str">
        <f aca="false">INDEX(Products!$C$2:$C$49,MATCH(C5911,Products!$A$2:$A$49,0))</f>
        <v>Snacks &amp; Confectionery</v>
      </c>
      <c r="H5911" s="33" t="n">
        <f aca="false">D5911*INDEX(Products!$E$2:$E$49,MATCH(C5911,Products!$A$2:$A$49,0))</f>
        <v>2015</v>
      </c>
      <c r="I5911" s="33" t="n">
        <f aca="false">D5911*INDEX(Products!$D$2:$D$49,MATCH(C5911,Products!$A$2:$A$49,0))*(1+INDEX(Assumptions!$B$16:$B$20,MATCH(B5911,Assumptions!$A$16:$A$20,0)))</f>
        <v>1486.14</v>
      </c>
      <c r="J5911" s="33" t="n">
        <f aca="false">H5911-I5911</f>
        <v>528.86</v>
      </c>
      <c r="K5911" s="33" t="n">
        <f aca="false">IF(OR(E5911=0,E5911&gt;=7),0,D5911/(7-E5911)*E5911*INDEX(Products!$E$2:$E$49,MATCH(C5911,Products!$A$2:$A$49,0)))</f>
        <v>0</v>
      </c>
    </row>
    <row r="5912" customFormat="false" ht="15" hidden="false" customHeight="false" outlineLevel="0" collapsed="false">
      <c r="A5912" s="36" t="n">
        <v>46188</v>
      </c>
      <c r="B5912" s="24" t="s">
        <v>65</v>
      </c>
      <c r="C5912" s="24" t="s">
        <v>203</v>
      </c>
      <c r="D5912" s="33" t="n">
        <v>28</v>
      </c>
      <c r="E5912" s="24" t="n">
        <v>0</v>
      </c>
      <c r="F5912" s="37" t="n">
        <f aca="false">DATE(YEAR(A5912),MONTH(A5912),1)</f>
        <v>46174</v>
      </c>
      <c r="G5912" s="24" t="str">
        <f aca="false">INDEX(Products!$C$2:$C$49,MATCH(C5912,Products!$A$2:$A$49,0))</f>
        <v>Snacks &amp; Confectionery</v>
      </c>
      <c r="H5912" s="33" t="n">
        <f aca="false">D5912*INDEX(Products!$E$2:$E$49,MATCH(C5912,Products!$A$2:$A$49,0))</f>
        <v>1820</v>
      </c>
      <c r="I5912" s="33" t="n">
        <f aca="false">D5912*INDEX(Products!$D$2:$D$49,MATCH(C5912,Products!$A$2:$A$49,0))*(1+INDEX(Assumptions!$B$16:$B$20,MATCH(B5912,Assumptions!$A$16:$A$20,0)))</f>
        <v>1342.32</v>
      </c>
      <c r="J5912" s="33" t="n">
        <f aca="false">H5912-I5912</f>
        <v>477.68</v>
      </c>
      <c r="K5912" s="33" t="n">
        <f aca="false">IF(OR(E5912=0,E5912&gt;=7),0,D5912/(7-E5912)*E5912*INDEX(Products!$E$2:$E$49,MATCH(C5912,Products!$A$2:$A$49,0)))</f>
        <v>0</v>
      </c>
    </row>
    <row r="5913" customFormat="false" ht="15" hidden="false" customHeight="false" outlineLevel="0" collapsed="false">
      <c r="A5913" s="36" t="n">
        <v>46195</v>
      </c>
      <c r="B5913" s="24" t="s">
        <v>65</v>
      </c>
      <c r="C5913" s="24" t="s">
        <v>203</v>
      </c>
      <c r="D5913" s="33" t="n">
        <v>38</v>
      </c>
      <c r="E5913" s="24" t="n">
        <v>0</v>
      </c>
      <c r="F5913" s="37" t="n">
        <f aca="false">DATE(YEAR(A5913),MONTH(A5913),1)</f>
        <v>46174</v>
      </c>
      <c r="G5913" s="24" t="str">
        <f aca="false">INDEX(Products!$C$2:$C$49,MATCH(C5913,Products!$A$2:$A$49,0))</f>
        <v>Snacks &amp; Confectionery</v>
      </c>
      <c r="H5913" s="33" t="n">
        <f aca="false">D5913*INDEX(Products!$E$2:$E$49,MATCH(C5913,Products!$A$2:$A$49,0))</f>
        <v>2470</v>
      </c>
      <c r="I5913" s="33" t="n">
        <f aca="false">D5913*INDEX(Products!$D$2:$D$49,MATCH(C5913,Products!$A$2:$A$49,0))*(1+INDEX(Assumptions!$B$16:$B$20,MATCH(B5913,Assumptions!$A$16:$A$20,0)))</f>
        <v>1821.72</v>
      </c>
      <c r="J5913" s="33" t="n">
        <f aca="false">H5913-I5913</f>
        <v>648.28</v>
      </c>
      <c r="K5913" s="33" t="n">
        <f aca="false">IF(OR(E5913=0,E5913&gt;=7),0,D5913/(7-E5913)*E5913*INDEX(Products!$E$2:$E$49,MATCH(C5913,Products!$A$2:$A$49,0)))</f>
        <v>0</v>
      </c>
    </row>
    <row r="5914" customFormat="false" ht="15" hidden="false" customHeight="false" outlineLevel="0" collapsed="false">
      <c r="A5914" s="36" t="n">
        <v>46202</v>
      </c>
      <c r="B5914" s="24" t="s">
        <v>65</v>
      </c>
      <c r="C5914" s="24" t="s">
        <v>203</v>
      </c>
      <c r="D5914" s="33" t="n">
        <v>39</v>
      </c>
      <c r="E5914" s="24" t="n">
        <v>0</v>
      </c>
      <c r="F5914" s="37" t="n">
        <f aca="false">DATE(YEAR(A5914),MONTH(A5914),1)</f>
        <v>46174</v>
      </c>
      <c r="G5914" s="24" t="str">
        <f aca="false">INDEX(Products!$C$2:$C$49,MATCH(C5914,Products!$A$2:$A$49,0))</f>
        <v>Snacks &amp; Confectionery</v>
      </c>
      <c r="H5914" s="33" t="n">
        <f aca="false">D5914*INDEX(Products!$E$2:$E$49,MATCH(C5914,Products!$A$2:$A$49,0))</f>
        <v>2535</v>
      </c>
      <c r="I5914" s="33" t="n">
        <f aca="false">D5914*INDEX(Products!$D$2:$D$49,MATCH(C5914,Products!$A$2:$A$49,0))*(1+INDEX(Assumptions!$B$16:$B$20,MATCH(B5914,Assumptions!$A$16:$A$20,0)))</f>
        <v>1869.66</v>
      </c>
      <c r="J5914" s="33" t="n">
        <f aca="false">H5914-I5914</f>
        <v>665.34</v>
      </c>
      <c r="K5914" s="33" t="n">
        <f aca="false">IF(OR(E5914=0,E5914&gt;=7),0,D5914/(7-E5914)*E5914*INDEX(Products!$E$2:$E$49,MATCH(C5914,Products!$A$2:$A$49,0)))</f>
        <v>0</v>
      </c>
    </row>
    <row r="5915" customFormat="false" ht="15" hidden="false" customHeight="false" outlineLevel="0" collapsed="false">
      <c r="A5915" s="36" t="n">
        <v>46209</v>
      </c>
      <c r="B5915" s="24" t="s">
        <v>65</v>
      </c>
      <c r="C5915" s="24" t="s">
        <v>203</v>
      </c>
      <c r="D5915" s="33" t="n">
        <v>28</v>
      </c>
      <c r="E5915" s="24" t="n">
        <v>0</v>
      </c>
      <c r="F5915" s="37" t="n">
        <f aca="false">DATE(YEAR(A5915),MONTH(A5915),1)</f>
        <v>46204</v>
      </c>
      <c r="G5915" s="24" t="str">
        <f aca="false">INDEX(Products!$C$2:$C$49,MATCH(C5915,Products!$A$2:$A$49,0))</f>
        <v>Snacks &amp; Confectionery</v>
      </c>
      <c r="H5915" s="33" t="n">
        <f aca="false">D5915*INDEX(Products!$E$2:$E$49,MATCH(C5915,Products!$A$2:$A$49,0))</f>
        <v>1820</v>
      </c>
      <c r="I5915" s="33" t="n">
        <f aca="false">D5915*INDEX(Products!$D$2:$D$49,MATCH(C5915,Products!$A$2:$A$49,0))*(1+INDEX(Assumptions!$B$16:$B$20,MATCH(B5915,Assumptions!$A$16:$A$20,0)))</f>
        <v>1342.32</v>
      </c>
      <c r="J5915" s="33" t="n">
        <f aca="false">H5915-I5915</f>
        <v>477.68</v>
      </c>
      <c r="K5915" s="33" t="n">
        <f aca="false">IF(OR(E5915=0,E5915&gt;=7),0,D5915/(7-E5915)*E5915*INDEX(Products!$E$2:$E$49,MATCH(C5915,Products!$A$2:$A$49,0)))</f>
        <v>0</v>
      </c>
    </row>
    <row r="5916" customFormat="false" ht="15" hidden="false" customHeight="false" outlineLevel="0" collapsed="false">
      <c r="A5916" s="36" t="n">
        <v>46216</v>
      </c>
      <c r="B5916" s="24" t="s">
        <v>65</v>
      </c>
      <c r="C5916" s="24" t="s">
        <v>203</v>
      </c>
      <c r="D5916" s="33" t="n">
        <v>46</v>
      </c>
      <c r="E5916" s="24" t="n">
        <v>0</v>
      </c>
      <c r="F5916" s="37" t="n">
        <f aca="false">DATE(YEAR(A5916),MONTH(A5916),1)</f>
        <v>46204</v>
      </c>
      <c r="G5916" s="24" t="str">
        <f aca="false">INDEX(Products!$C$2:$C$49,MATCH(C5916,Products!$A$2:$A$49,0))</f>
        <v>Snacks &amp; Confectionery</v>
      </c>
      <c r="H5916" s="33" t="n">
        <f aca="false">D5916*INDEX(Products!$E$2:$E$49,MATCH(C5916,Products!$A$2:$A$49,0))</f>
        <v>2990</v>
      </c>
      <c r="I5916" s="33" t="n">
        <f aca="false">D5916*INDEX(Products!$D$2:$D$49,MATCH(C5916,Products!$A$2:$A$49,0))*(1+INDEX(Assumptions!$B$16:$B$20,MATCH(B5916,Assumptions!$A$16:$A$20,0)))</f>
        <v>2205.24</v>
      </c>
      <c r="J5916" s="33" t="n">
        <f aca="false">H5916-I5916</f>
        <v>784.76</v>
      </c>
      <c r="K5916" s="33" t="n">
        <f aca="false">IF(OR(E5916=0,E5916&gt;=7),0,D5916/(7-E5916)*E5916*INDEX(Products!$E$2:$E$49,MATCH(C5916,Products!$A$2:$A$49,0)))</f>
        <v>0</v>
      </c>
    </row>
    <row r="5917" customFormat="false" ht="15" hidden="false" customHeight="false" outlineLevel="0" collapsed="false">
      <c r="A5917" s="36" t="n">
        <v>46223</v>
      </c>
      <c r="B5917" s="24" t="s">
        <v>65</v>
      </c>
      <c r="C5917" s="24" t="s">
        <v>203</v>
      </c>
      <c r="D5917" s="33" t="n">
        <v>45</v>
      </c>
      <c r="E5917" s="24" t="n">
        <v>0</v>
      </c>
      <c r="F5917" s="37" t="n">
        <f aca="false">DATE(YEAR(A5917),MONTH(A5917),1)</f>
        <v>46204</v>
      </c>
      <c r="G5917" s="24" t="str">
        <f aca="false">INDEX(Products!$C$2:$C$49,MATCH(C5917,Products!$A$2:$A$49,0))</f>
        <v>Snacks &amp; Confectionery</v>
      </c>
      <c r="H5917" s="33" t="n">
        <f aca="false">D5917*INDEX(Products!$E$2:$E$49,MATCH(C5917,Products!$A$2:$A$49,0))</f>
        <v>2925</v>
      </c>
      <c r="I5917" s="33" t="n">
        <f aca="false">D5917*INDEX(Products!$D$2:$D$49,MATCH(C5917,Products!$A$2:$A$49,0))*(1+INDEX(Assumptions!$B$16:$B$20,MATCH(B5917,Assumptions!$A$16:$A$20,0)))</f>
        <v>2157.3</v>
      </c>
      <c r="J5917" s="33" t="n">
        <f aca="false">H5917-I5917</f>
        <v>767.7</v>
      </c>
      <c r="K5917" s="33" t="n">
        <f aca="false">IF(OR(E5917=0,E5917&gt;=7),0,D5917/(7-E5917)*E5917*INDEX(Products!$E$2:$E$49,MATCH(C5917,Products!$A$2:$A$49,0)))</f>
        <v>0</v>
      </c>
    </row>
    <row r="5918" customFormat="false" ht="15" hidden="false" customHeight="false" outlineLevel="0" collapsed="false">
      <c r="A5918" s="36" t="n">
        <v>46230</v>
      </c>
      <c r="B5918" s="24" t="s">
        <v>65</v>
      </c>
      <c r="C5918" s="24" t="s">
        <v>203</v>
      </c>
      <c r="D5918" s="33" t="n">
        <v>39</v>
      </c>
      <c r="E5918" s="24" t="n">
        <v>0</v>
      </c>
      <c r="F5918" s="37" t="n">
        <f aca="false">DATE(YEAR(A5918),MONTH(A5918),1)</f>
        <v>46204</v>
      </c>
      <c r="G5918" s="24" t="str">
        <f aca="false">INDEX(Products!$C$2:$C$49,MATCH(C5918,Products!$A$2:$A$49,0))</f>
        <v>Snacks &amp; Confectionery</v>
      </c>
      <c r="H5918" s="33" t="n">
        <f aca="false">D5918*INDEX(Products!$E$2:$E$49,MATCH(C5918,Products!$A$2:$A$49,0))</f>
        <v>2535</v>
      </c>
      <c r="I5918" s="33" t="n">
        <f aca="false">D5918*INDEX(Products!$D$2:$D$49,MATCH(C5918,Products!$A$2:$A$49,0))*(1+INDEX(Assumptions!$B$16:$B$20,MATCH(B5918,Assumptions!$A$16:$A$20,0)))</f>
        <v>1869.66</v>
      </c>
      <c r="J5918" s="33" t="n">
        <f aca="false">H5918-I5918</f>
        <v>665.34</v>
      </c>
      <c r="K5918" s="33" t="n">
        <f aca="false">IF(OR(E5918=0,E5918&gt;=7),0,D5918/(7-E5918)*E5918*INDEX(Products!$E$2:$E$49,MATCH(C5918,Products!$A$2:$A$49,0)))</f>
        <v>0</v>
      </c>
    </row>
    <row r="5919" customFormat="false" ht="15" hidden="false" customHeight="false" outlineLevel="0" collapsed="false">
      <c r="A5919" s="36" t="n">
        <v>46237</v>
      </c>
      <c r="B5919" s="24" t="s">
        <v>65</v>
      </c>
      <c r="C5919" s="24" t="s">
        <v>203</v>
      </c>
      <c r="D5919" s="33" t="n">
        <v>24</v>
      </c>
      <c r="E5919" s="24" t="n">
        <v>0</v>
      </c>
      <c r="F5919" s="37" t="n">
        <f aca="false">DATE(YEAR(A5919),MONTH(A5919),1)</f>
        <v>46235</v>
      </c>
      <c r="G5919" s="24" t="str">
        <f aca="false">INDEX(Products!$C$2:$C$49,MATCH(C5919,Products!$A$2:$A$49,0))</f>
        <v>Snacks &amp; Confectionery</v>
      </c>
      <c r="H5919" s="33" t="n">
        <f aca="false">D5919*INDEX(Products!$E$2:$E$49,MATCH(C5919,Products!$A$2:$A$49,0))</f>
        <v>1560</v>
      </c>
      <c r="I5919" s="33" t="n">
        <f aca="false">D5919*INDEX(Products!$D$2:$D$49,MATCH(C5919,Products!$A$2:$A$49,0))*(1+INDEX(Assumptions!$B$16:$B$20,MATCH(B5919,Assumptions!$A$16:$A$20,0)))</f>
        <v>1150.56</v>
      </c>
      <c r="J5919" s="33" t="n">
        <f aca="false">H5919-I5919</f>
        <v>409.44</v>
      </c>
      <c r="K5919" s="33" t="n">
        <f aca="false">IF(OR(E5919=0,E5919&gt;=7),0,D5919/(7-E5919)*E5919*INDEX(Products!$E$2:$E$49,MATCH(C5919,Products!$A$2:$A$49,0)))</f>
        <v>0</v>
      </c>
    </row>
    <row r="5920" customFormat="false" ht="15" hidden="false" customHeight="false" outlineLevel="0" collapsed="false">
      <c r="A5920" s="36" t="n">
        <v>46244</v>
      </c>
      <c r="B5920" s="24" t="s">
        <v>65</v>
      </c>
      <c r="C5920" s="24" t="s">
        <v>203</v>
      </c>
      <c r="D5920" s="33" t="n">
        <v>26</v>
      </c>
      <c r="E5920" s="24" t="n">
        <v>0</v>
      </c>
      <c r="F5920" s="37" t="n">
        <f aca="false">DATE(YEAR(A5920),MONTH(A5920),1)</f>
        <v>46235</v>
      </c>
      <c r="G5920" s="24" t="str">
        <f aca="false">INDEX(Products!$C$2:$C$49,MATCH(C5920,Products!$A$2:$A$49,0))</f>
        <v>Snacks &amp; Confectionery</v>
      </c>
      <c r="H5920" s="33" t="n">
        <f aca="false">D5920*INDEX(Products!$E$2:$E$49,MATCH(C5920,Products!$A$2:$A$49,0))</f>
        <v>1690</v>
      </c>
      <c r="I5920" s="33" t="n">
        <f aca="false">D5920*INDEX(Products!$D$2:$D$49,MATCH(C5920,Products!$A$2:$A$49,0))*(1+INDEX(Assumptions!$B$16:$B$20,MATCH(B5920,Assumptions!$A$16:$A$20,0)))</f>
        <v>1246.44</v>
      </c>
      <c r="J5920" s="33" t="n">
        <f aca="false">H5920-I5920</f>
        <v>443.56</v>
      </c>
      <c r="K5920" s="33" t="n">
        <f aca="false">IF(OR(E5920=0,E5920&gt;=7),0,D5920/(7-E5920)*E5920*INDEX(Products!$E$2:$E$49,MATCH(C5920,Products!$A$2:$A$49,0)))</f>
        <v>0</v>
      </c>
    </row>
    <row r="5921" customFormat="false" ht="15" hidden="false" customHeight="false" outlineLevel="0" collapsed="false">
      <c r="A5921" s="36" t="n">
        <v>46251</v>
      </c>
      <c r="B5921" s="24" t="s">
        <v>65</v>
      </c>
      <c r="C5921" s="24" t="s">
        <v>203</v>
      </c>
      <c r="D5921" s="33" t="n">
        <v>29</v>
      </c>
      <c r="E5921" s="24" t="n">
        <v>0</v>
      </c>
      <c r="F5921" s="37" t="n">
        <f aca="false">DATE(YEAR(A5921),MONTH(A5921),1)</f>
        <v>46235</v>
      </c>
      <c r="G5921" s="24" t="str">
        <f aca="false">INDEX(Products!$C$2:$C$49,MATCH(C5921,Products!$A$2:$A$49,0))</f>
        <v>Snacks &amp; Confectionery</v>
      </c>
      <c r="H5921" s="33" t="n">
        <f aca="false">D5921*INDEX(Products!$E$2:$E$49,MATCH(C5921,Products!$A$2:$A$49,0))</f>
        <v>1885</v>
      </c>
      <c r="I5921" s="33" t="n">
        <f aca="false">D5921*INDEX(Products!$D$2:$D$49,MATCH(C5921,Products!$A$2:$A$49,0))*(1+INDEX(Assumptions!$B$16:$B$20,MATCH(B5921,Assumptions!$A$16:$A$20,0)))</f>
        <v>1390.26</v>
      </c>
      <c r="J5921" s="33" t="n">
        <f aca="false">H5921-I5921</f>
        <v>494.74</v>
      </c>
      <c r="K5921" s="33" t="n">
        <f aca="false">IF(OR(E5921=0,E5921&gt;=7),0,D5921/(7-E5921)*E5921*INDEX(Products!$E$2:$E$49,MATCH(C5921,Products!$A$2:$A$49,0)))</f>
        <v>0</v>
      </c>
    </row>
    <row r="5922" customFormat="false" ht="15" hidden="false" customHeight="false" outlineLevel="0" collapsed="false">
      <c r="A5922" s="36" t="n">
        <v>46258</v>
      </c>
      <c r="B5922" s="24" t="s">
        <v>65</v>
      </c>
      <c r="C5922" s="24" t="s">
        <v>203</v>
      </c>
      <c r="D5922" s="33" t="n">
        <v>41</v>
      </c>
      <c r="E5922" s="24" t="n">
        <v>0</v>
      </c>
      <c r="F5922" s="37" t="n">
        <f aca="false">DATE(YEAR(A5922),MONTH(A5922),1)</f>
        <v>46235</v>
      </c>
      <c r="G5922" s="24" t="str">
        <f aca="false">INDEX(Products!$C$2:$C$49,MATCH(C5922,Products!$A$2:$A$49,0))</f>
        <v>Snacks &amp; Confectionery</v>
      </c>
      <c r="H5922" s="33" t="n">
        <f aca="false">D5922*INDEX(Products!$E$2:$E$49,MATCH(C5922,Products!$A$2:$A$49,0))</f>
        <v>2665</v>
      </c>
      <c r="I5922" s="33" t="n">
        <f aca="false">D5922*INDEX(Products!$D$2:$D$49,MATCH(C5922,Products!$A$2:$A$49,0))*(1+INDEX(Assumptions!$B$16:$B$20,MATCH(B5922,Assumptions!$A$16:$A$20,0)))</f>
        <v>1965.54</v>
      </c>
      <c r="J5922" s="33" t="n">
        <f aca="false">H5922-I5922</f>
        <v>699.46</v>
      </c>
      <c r="K5922" s="33" t="n">
        <f aca="false">IF(OR(E5922=0,E5922&gt;=7),0,D5922/(7-E5922)*E5922*INDEX(Products!$E$2:$E$49,MATCH(C5922,Products!$A$2:$A$49,0)))</f>
        <v>0</v>
      </c>
    </row>
    <row r="5923" customFormat="false" ht="15" hidden="false" customHeight="false" outlineLevel="0" collapsed="false">
      <c r="A5923" s="36" t="n">
        <v>46265</v>
      </c>
      <c r="B5923" s="24" t="s">
        <v>65</v>
      </c>
      <c r="C5923" s="24" t="s">
        <v>203</v>
      </c>
      <c r="D5923" s="33" t="n">
        <v>57</v>
      </c>
      <c r="E5923" s="24" t="n">
        <v>0</v>
      </c>
      <c r="F5923" s="37" t="n">
        <f aca="false">DATE(YEAR(A5923),MONTH(A5923),1)</f>
        <v>46235</v>
      </c>
      <c r="G5923" s="24" t="str">
        <f aca="false">INDEX(Products!$C$2:$C$49,MATCH(C5923,Products!$A$2:$A$49,0))</f>
        <v>Snacks &amp; Confectionery</v>
      </c>
      <c r="H5923" s="33" t="n">
        <f aca="false">D5923*INDEX(Products!$E$2:$E$49,MATCH(C5923,Products!$A$2:$A$49,0))</f>
        <v>3705</v>
      </c>
      <c r="I5923" s="33" t="n">
        <f aca="false">D5923*INDEX(Products!$D$2:$D$49,MATCH(C5923,Products!$A$2:$A$49,0))*(1+INDEX(Assumptions!$B$16:$B$20,MATCH(B5923,Assumptions!$A$16:$A$20,0)))</f>
        <v>2732.58</v>
      </c>
      <c r="J5923" s="33" t="n">
        <f aca="false">H5923-I5923</f>
        <v>972.42</v>
      </c>
      <c r="K5923" s="33" t="n">
        <f aca="false">IF(OR(E5923=0,E5923&gt;=7),0,D5923/(7-E5923)*E5923*INDEX(Products!$E$2:$E$49,MATCH(C5923,Products!$A$2:$A$49,0)))</f>
        <v>0</v>
      </c>
    </row>
    <row r="5924" customFormat="false" ht="15" hidden="false" customHeight="false" outlineLevel="0" collapsed="false">
      <c r="A5924" s="36" t="n">
        <v>46272</v>
      </c>
      <c r="B5924" s="24" t="s">
        <v>65</v>
      </c>
      <c r="C5924" s="24" t="s">
        <v>203</v>
      </c>
      <c r="D5924" s="33" t="n">
        <v>36</v>
      </c>
      <c r="E5924" s="24" t="n">
        <v>0</v>
      </c>
      <c r="F5924" s="37" t="n">
        <f aca="false">DATE(YEAR(A5924),MONTH(A5924),1)</f>
        <v>46266</v>
      </c>
      <c r="G5924" s="24" t="str">
        <f aca="false">INDEX(Products!$C$2:$C$49,MATCH(C5924,Products!$A$2:$A$49,0))</f>
        <v>Snacks &amp; Confectionery</v>
      </c>
      <c r="H5924" s="33" t="n">
        <f aca="false">D5924*INDEX(Products!$E$2:$E$49,MATCH(C5924,Products!$A$2:$A$49,0))</f>
        <v>2340</v>
      </c>
      <c r="I5924" s="33" t="n">
        <f aca="false">D5924*INDEX(Products!$D$2:$D$49,MATCH(C5924,Products!$A$2:$A$49,0))*(1+INDEX(Assumptions!$B$16:$B$20,MATCH(B5924,Assumptions!$A$16:$A$20,0)))</f>
        <v>1725.84</v>
      </c>
      <c r="J5924" s="33" t="n">
        <f aca="false">H5924-I5924</f>
        <v>614.16</v>
      </c>
      <c r="K5924" s="33" t="n">
        <f aca="false">IF(OR(E5924=0,E5924&gt;=7),0,D5924/(7-E5924)*E5924*INDEX(Products!$E$2:$E$49,MATCH(C5924,Products!$A$2:$A$49,0)))</f>
        <v>0</v>
      </c>
    </row>
    <row r="5925" customFormat="false" ht="15" hidden="false" customHeight="false" outlineLevel="0" collapsed="false">
      <c r="A5925" s="36" t="n">
        <v>46279</v>
      </c>
      <c r="B5925" s="24" t="s">
        <v>65</v>
      </c>
      <c r="C5925" s="24" t="s">
        <v>203</v>
      </c>
      <c r="D5925" s="33" t="n">
        <v>39</v>
      </c>
      <c r="E5925" s="24" t="n">
        <v>0</v>
      </c>
      <c r="F5925" s="37" t="n">
        <f aca="false">DATE(YEAR(A5925),MONTH(A5925),1)</f>
        <v>46266</v>
      </c>
      <c r="G5925" s="24" t="str">
        <f aca="false">INDEX(Products!$C$2:$C$49,MATCH(C5925,Products!$A$2:$A$49,0))</f>
        <v>Snacks &amp; Confectionery</v>
      </c>
      <c r="H5925" s="33" t="n">
        <f aca="false">D5925*INDEX(Products!$E$2:$E$49,MATCH(C5925,Products!$A$2:$A$49,0))</f>
        <v>2535</v>
      </c>
      <c r="I5925" s="33" t="n">
        <f aca="false">D5925*INDEX(Products!$D$2:$D$49,MATCH(C5925,Products!$A$2:$A$49,0))*(1+INDEX(Assumptions!$B$16:$B$20,MATCH(B5925,Assumptions!$A$16:$A$20,0)))</f>
        <v>1869.66</v>
      </c>
      <c r="J5925" s="33" t="n">
        <f aca="false">H5925-I5925</f>
        <v>665.34</v>
      </c>
      <c r="K5925" s="33" t="n">
        <f aca="false">IF(OR(E5925=0,E5925&gt;=7),0,D5925/(7-E5925)*E5925*INDEX(Products!$E$2:$E$49,MATCH(C5925,Products!$A$2:$A$49,0)))</f>
        <v>0</v>
      </c>
    </row>
    <row r="5926" customFormat="false" ht="15" hidden="false" customHeight="false" outlineLevel="0" collapsed="false">
      <c r="A5926" s="36" t="n">
        <v>46286</v>
      </c>
      <c r="B5926" s="24" t="s">
        <v>65</v>
      </c>
      <c r="C5926" s="24" t="s">
        <v>203</v>
      </c>
      <c r="D5926" s="33" t="n">
        <v>43</v>
      </c>
      <c r="E5926" s="24" t="n">
        <v>0</v>
      </c>
      <c r="F5926" s="37" t="n">
        <f aca="false">DATE(YEAR(A5926),MONTH(A5926),1)</f>
        <v>46266</v>
      </c>
      <c r="G5926" s="24" t="str">
        <f aca="false">INDEX(Products!$C$2:$C$49,MATCH(C5926,Products!$A$2:$A$49,0))</f>
        <v>Snacks &amp; Confectionery</v>
      </c>
      <c r="H5926" s="33" t="n">
        <f aca="false">D5926*INDEX(Products!$E$2:$E$49,MATCH(C5926,Products!$A$2:$A$49,0))</f>
        <v>2795</v>
      </c>
      <c r="I5926" s="33" t="n">
        <f aca="false">D5926*INDEX(Products!$D$2:$D$49,MATCH(C5926,Products!$A$2:$A$49,0))*(1+INDEX(Assumptions!$B$16:$B$20,MATCH(B5926,Assumptions!$A$16:$A$20,0)))</f>
        <v>2061.42</v>
      </c>
      <c r="J5926" s="33" t="n">
        <f aca="false">H5926-I5926</f>
        <v>733.58</v>
      </c>
      <c r="K5926" s="33" t="n">
        <f aca="false">IF(OR(E5926=0,E5926&gt;=7),0,D5926/(7-E5926)*E5926*INDEX(Products!$E$2:$E$49,MATCH(C5926,Products!$A$2:$A$49,0)))</f>
        <v>0</v>
      </c>
    </row>
    <row r="5927" customFormat="false" ht="15" hidden="false" customHeight="false" outlineLevel="0" collapsed="false">
      <c r="A5927" s="36" t="n">
        <v>46118</v>
      </c>
      <c r="B5927" s="24" t="s">
        <v>65</v>
      </c>
      <c r="C5927" s="24" t="s">
        <v>205</v>
      </c>
      <c r="D5927" s="33" t="n">
        <v>44</v>
      </c>
      <c r="E5927" s="24" t="n">
        <v>0</v>
      </c>
      <c r="F5927" s="37" t="n">
        <f aca="false">DATE(YEAR(A5927),MONTH(A5927),1)</f>
        <v>46113</v>
      </c>
      <c r="G5927" s="24" t="str">
        <f aca="false">INDEX(Products!$C$2:$C$49,MATCH(C5927,Products!$A$2:$A$49,0))</f>
        <v>Snacks &amp; Confectionery</v>
      </c>
      <c r="H5927" s="33" t="n">
        <f aca="false">D5927*INDEX(Products!$E$2:$E$49,MATCH(C5927,Products!$A$2:$A$49,0))</f>
        <v>5280</v>
      </c>
      <c r="I5927" s="33" t="n">
        <f aca="false">D5927*INDEX(Products!$D$2:$D$49,MATCH(C5927,Products!$A$2:$A$49,0))*(1+INDEX(Assumptions!$B$16:$B$20,MATCH(B5927,Assumptions!$A$16:$A$20,0)))</f>
        <v>3635.28</v>
      </c>
      <c r="J5927" s="33" t="n">
        <f aca="false">H5927-I5927</f>
        <v>1644.72</v>
      </c>
      <c r="K5927" s="33" t="n">
        <f aca="false">IF(OR(E5927=0,E5927&gt;=7),0,D5927/(7-E5927)*E5927*INDEX(Products!$E$2:$E$49,MATCH(C5927,Products!$A$2:$A$49,0)))</f>
        <v>0</v>
      </c>
    </row>
    <row r="5928" customFormat="false" ht="15" hidden="false" customHeight="false" outlineLevel="0" collapsed="false">
      <c r="A5928" s="36" t="n">
        <v>46125</v>
      </c>
      <c r="B5928" s="24" t="s">
        <v>65</v>
      </c>
      <c r="C5928" s="24" t="s">
        <v>205</v>
      </c>
      <c r="D5928" s="33" t="n">
        <v>63</v>
      </c>
      <c r="E5928" s="24" t="n">
        <v>0</v>
      </c>
      <c r="F5928" s="37" t="n">
        <f aca="false">DATE(YEAR(A5928),MONTH(A5928),1)</f>
        <v>46113</v>
      </c>
      <c r="G5928" s="24" t="str">
        <f aca="false">INDEX(Products!$C$2:$C$49,MATCH(C5928,Products!$A$2:$A$49,0))</f>
        <v>Snacks &amp; Confectionery</v>
      </c>
      <c r="H5928" s="33" t="n">
        <f aca="false">D5928*INDEX(Products!$E$2:$E$49,MATCH(C5928,Products!$A$2:$A$49,0))</f>
        <v>7560</v>
      </c>
      <c r="I5928" s="33" t="n">
        <f aca="false">D5928*INDEX(Products!$D$2:$D$49,MATCH(C5928,Products!$A$2:$A$49,0))*(1+INDEX(Assumptions!$B$16:$B$20,MATCH(B5928,Assumptions!$A$16:$A$20,0)))</f>
        <v>5205.06</v>
      </c>
      <c r="J5928" s="33" t="n">
        <f aca="false">H5928-I5928</f>
        <v>2354.94</v>
      </c>
      <c r="K5928" s="33" t="n">
        <f aca="false">IF(OR(E5928=0,E5928&gt;=7),0,D5928/(7-E5928)*E5928*INDEX(Products!$E$2:$E$49,MATCH(C5928,Products!$A$2:$A$49,0)))</f>
        <v>0</v>
      </c>
    </row>
    <row r="5929" customFormat="false" ht="15" hidden="false" customHeight="false" outlineLevel="0" collapsed="false">
      <c r="A5929" s="36" t="n">
        <v>46132</v>
      </c>
      <c r="B5929" s="24" t="s">
        <v>65</v>
      </c>
      <c r="C5929" s="24" t="s">
        <v>205</v>
      </c>
      <c r="D5929" s="33" t="n">
        <v>45</v>
      </c>
      <c r="E5929" s="24" t="n">
        <v>0</v>
      </c>
      <c r="F5929" s="37" t="n">
        <f aca="false">DATE(YEAR(A5929),MONTH(A5929),1)</f>
        <v>46113</v>
      </c>
      <c r="G5929" s="24" t="str">
        <f aca="false">INDEX(Products!$C$2:$C$49,MATCH(C5929,Products!$A$2:$A$49,0))</f>
        <v>Snacks &amp; Confectionery</v>
      </c>
      <c r="H5929" s="33" t="n">
        <f aca="false">D5929*INDEX(Products!$E$2:$E$49,MATCH(C5929,Products!$A$2:$A$49,0))</f>
        <v>5400</v>
      </c>
      <c r="I5929" s="33" t="n">
        <f aca="false">D5929*INDEX(Products!$D$2:$D$49,MATCH(C5929,Products!$A$2:$A$49,0))*(1+INDEX(Assumptions!$B$16:$B$20,MATCH(B5929,Assumptions!$A$16:$A$20,0)))</f>
        <v>3717.9</v>
      </c>
      <c r="J5929" s="33" t="n">
        <f aca="false">H5929-I5929</f>
        <v>1682.1</v>
      </c>
      <c r="K5929" s="33" t="n">
        <f aca="false">IF(OR(E5929=0,E5929&gt;=7),0,D5929/(7-E5929)*E5929*INDEX(Products!$E$2:$E$49,MATCH(C5929,Products!$A$2:$A$49,0)))</f>
        <v>0</v>
      </c>
    </row>
    <row r="5930" customFormat="false" ht="15" hidden="false" customHeight="false" outlineLevel="0" collapsed="false">
      <c r="A5930" s="36" t="n">
        <v>46139</v>
      </c>
      <c r="B5930" s="24" t="s">
        <v>65</v>
      </c>
      <c r="C5930" s="24" t="s">
        <v>205</v>
      </c>
      <c r="D5930" s="33" t="n">
        <v>59</v>
      </c>
      <c r="E5930" s="24" t="n">
        <v>0</v>
      </c>
      <c r="F5930" s="37" t="n">
        <f aca="false">DATE(YEAR(A5930),MONTH(A5930),1)</f>
        <v>46113</v>
      </c>
      <c r="G5930" s="24" t="str">
        <f aca="false">INDEX(Products!$C$2:$C$49,MATCH(C5930,Products!$A$2:$A$49,0))</f>
        <v>Snacks &amp; Confectionery</v>
      </c>
      <c r="H5930" s="33" t="n">
        <f aca="false">D5930*INDEX(Products!$E$2:$E$49,MATCH(C5930,Products!$A$2:$A$49,0))</f>
        <v>7080</v>
      </c>
      <c r="I5930" s="33" t="n">
        <f aca="false">D5930*INDEX(Products!$D$2:$D$49,MATCH(C5930,Products!$A$2:$A$49,0))*(1+INDEX(Assumptions!$B$16:$B$20,MATCH(B5930,Assumptions!$A$16:$A$20,0)))</f>
        <v>4874.58</v>
      </c>
      <c r="J5930" s="33" t="n">
        <f aca="false">H5930-I5930</f>
        <v>2205.42</v>
      </c>
      <c r="K5930" s="33" t="n">
        <f aca="false">IF(OR(E5930=0,E5930&gt;=7),0,D5930/(7-E5930)*E5930*INDEX(Products!$E$2:$E$49,MATCH(C5930,Products!$A$2:$A$49,0)))</f>
        <v>0</v>
      </c>
    </row>
    <row r="5931" customFormat="false" ht="15" hidden="false" customHeight="false" outlineLevel="0" collapsed="false">
      <c r="A5931" s="36" t="n">
        <v>46146</v>
      </c>
      <c r="B5931" s="24" t="s">
        <v>65</v>
      </c>
      <c r="C5931" s="24" t="s">
        <v>205</v>
      </c>
      <c r="D5931" s="33" t="n">
        <v>35</v>
      </c>
      <c r="E5931" s="24" t="n">
        <v>0</v>
      </c>
      <c r="F5931" s="37" t="n">
        <f aca="false">DATE(YEAR(A5931),MONTH(A5931),1)</f>
        <v>46143</v>
      </c>
      <c r="G5931" s="24" t="str">
        <f aca="false">INDEX(Products!$C$2:$C$49,MATCH(C5931,Products!$A$2:$A$49,0))</f>
        <v>Snacks &amp; Confectionery</v>
      </c>
      <c r="H5931" s="33" t="n">
        <f aca="false">D5931*INDEX(Products!$E$2:$E$49,MATCH(C5931,Products!$A$2:$A$49,0))</f>
        <v>4200</v>
      </c>
      <c r="I5931" s="33" t="n">
        <f aca="false">D5931*INDEX(Products!$D$2:$D$49,MATCH(C5931,Products!$A$2:$A$49,0))*(1+INDEX(Assumptions!$B$16:$B$20,MATCH(B5931,Assumptions!$A$16:$A$20,0)))</f>
        <v>2891.7</v>
      </c>
      <c r="J5931" s="33" t="n">
        <f aca="false">H5931-I5931</f>
        <v>1308.3</v>
      </c>
      <c r="K5931" s="33" t="n">
        <f aca="false">IF(OR(E5931=0,E5931&gt;=7),0,D5931/(7-E5931)*E5931*INDEX(Products!$E$2:$E$49,MATCH(C5931,Products!$A$2:$A$49,0)))</f>
        <v>0</v>
      </c>
    </row>
    <row r="5932" customFormat="false" ht="15" hidden="false" customHeight="false" outlineLevel="0" collapsed="false">
      <c r="A5932" s="36" t="n">
        <v>46153</v>
      </c>
      <c r="B5932" s="24" t="s">
        <v>65</v>
      </c>
      <c r="C5932" s="24" t="s">
        <v>205</v>
      </c>
      <c r="D5932" s="33" t="n">
        <v>58</v>
      </c>
      <c r="E5932" s="24" t="n">
        <v>0</v>
      </c>
      <c r="F5932" s="37" t="n">
        <f aca="false">DATE(YEAR(A5932),MONTH(A5932),1)</f>
        <v>46143</v>
      </c>
      <c r="G5932" s="24" t="str">
        <f aca="false">INDEX(Products!$C$2:$C$49,MATCH(C5932,Products!$A$2:$A$49,0))</f>
        <v>Snacks &amp; Confectionery</v>
      </c>
      <c r="H5932" s="33" t="n">
        <f aca="false">D5932*INDEX(Products!$E$2:$E$49,MATCH(C5932,Products!$A$2:$A$49,0))</f>
        <v>6960</v>
      </c>
      <c r="I5932" s="33" t="n">
        <f aca="false">D5932*INDEX(Products!$D$2:$D$49,MATCH(C5932,Products!$A$2:$A$49,0))*(1+INDEX(Assumptions!$B$16:$B$20,MATCH(B5932,Assumptions!$A$16:$A$20,0)))</f>
        <v>4791.96</v>
      </c>
      <c r="J5932" s="33" t="n">
        <f aca="false">H5932-I5932</f>
        <v>2168.04</v>
      </c>
      <c r="K5932" s="33" t="n">
        <f aca="false">IF(OR(E5932=0,E5932&gt;=7),0,D5932/(7-E5932)*E5932*INDEX(Products!$E$2:$E$49,MATCH(C5932,Products!$A$2:$A$49,0)))</f>
        <v>0</v>
      </c>
    </row>
    <row r="5933" customFormat="false" ht="15" hidden="false" customHeight="false" outlineLevel="0" collapsed="false">
      <c r="A5933" s="36" t="n">
        <v>46160</v>
      </c>
      <c r="B5933" s="24" t="s">
        <v>65</v>
      </c>
      <c r="C5933" s="24" t="s">
        <v>205</v>
      </c>
      <c r="D5933" s="33" t="n">
        <v>57</v>
      </c>
      <c r="E5933" s="24" t="n">
        <v>0</v>
      </c>
      <c r="F5933" s="37" t="n">
        <f aca="false">DATE(YEAR(A5933),MONTH(A5933),1)</f>
        <v>46143</v>
      </c>
      <c r="G5933" s="24" t="str">
        <f aca="false">INDEX(Products!$C$2:$C$49,MATCH(C5933,Products!$A$2:$A$49,0))</f>
        <v>Snacks &amp; Confectionery</v>
      </c>
      <c r="H5933" s="33" t="n">
        <f aca="false">D5933*INDEX(Products!$E$2:$E$49,MATCH(C5933,Products!$A$2:$A$49,0))</f>
        <v>6840</v>
      </c>
      <c r="I5933" s="33" t="n">
        <f aca="false">D5933*INDEX(Products!$D$2:$D$49,MATCH(C5933,Products!$A$2:$A$49,0))*(1+INDEX(Assumptions!$B$16:$B$20,MATCH(B5933,Assumptions!$A$16:$A$20,0)))</f>
        <v>4709.34</v>
      </c>
      <c r="J5933" s="33" t="n">
        <f aca="false">H5933-I5933</f>
        <v>2130.66</v>
      </c>
      <c r="K5933" s="33" t="n">
        <f aca="false">IF(OR(E5933=0,E5933&gt;=7),0,D5933/(7-E5933)*E5933*INDEX(Products!$E$2:$E$49,MATCH(C5933,Products!$A$2:$A$49,0)))</f>
        <v>0</v>
      </c>
    </row>
    <row r="5934" customFormat="false" ht="15" hidden="false" customHeight="false" outlineLevel="0" collapsed="false">
      <c r="A5934" s="36" t="n">
        <v>46167</v>
      </c>
      <c r="B5934" s="24" t="s">
        <v>65</v>
      </c>
      <c r="C5934" s="24" t="s">
        <v>205</v>
      </c>
      <c r="D5934" s="33" t="n">
        <v>61</v>
      </c>
      <c r="E5934" s="24" t="n">
        <v>0</v>
      </c>
      <c r="F5934" s="37" t="n">
        <f aca="false">DATE(YEAR(A5934),MONTH(A5934),1)</f>
        <v>46143</v>
      </c>
      <c r="G5934" s="24" t="str">
        <f aca="false">INDEX(Products!$C$2:$C$49,MATCH(C5934,Products!$A$2:$A$49,0))</f>
        <v>Snacks &amp; Confectionery</v>
      </c>
      <c r="H5934" s="33" t="n">
        <f aca="false">D5934*INDEX(Products!$E$2:$E$49,MATCH(C5934,Products!$A$2:$A$49,0))</f>
        <v>7320</v>
      </c>
      <c r="I5934" s="33" t="n">
        <f aca="false">D5934*INDEX(Products!$D$2:$D$49,MATCH(C5934,Products!$A$2:$A$49,0))*(1+INDEX(Assumptions!$B$16:$B$20,MATCH(B5934,Assumptions!$A$16:$A$20,0)))</f>
        <v>5039.82</v>
      </c>
      <c r="J5934" s="33" t="n">
        <f aca="false">H5934-I5934</f>
        <v>2280.18</v>
      </c>
      <c r="K5934" s="33" t="n">
        <f aca="false">IF(OR(E5934=0,E5934&gt;=7),0,D5934/(7-E5934)*E5934*INDEX(Products!$E$2:$E$49,MATCH(C5934,Products!$A$2:$A$49,0)))</f>
        <v>0</v>
      </c>
    </row>
    <row r="5935" customFormat="false" ht="15" hidden="false" customHeight="false" outlineLevel="0" collapsed="false">
      <c r="A5935" s="36" t="n">
        <v>46174</v>
      </c>
      <c r="B5935" s="24" t="s">
        <v>65</v>
      </c>
      <c r="C5935" s="24" t="s">
        <v>205</v>
      </c>
      <c r="D5935" s="33" t="n">
        <v>50</v>
      </c>
      <c r="E5935" s="24" t="n">
        <v>0</v>
      </c>
      <c r="F5935" s="37" t="n">
        <f aca="false">DATE(YEAR(A5935),MONTH(A5935),1)</f>
        <v>46174</v>
      </c>
      <c r="G5935" s="24" t="str">
        <f aca="false">INDEX(Products!$C$2:$C$49,MATCH(C5935,Products!$A$2:$A$49,0))</f>
        <v>Snacks &amp; Confectionery</v>
      </c>
      <c r="H5935" s="33" t="n">
        <f aca="false">D5935*INDEX(Products!$E$2:$E$49,MATCH(C5935,Products!$A$2:$A$49,0))</f>
        <v>6000</v>
      </c>
      <c r="I5935" s="33" t="n">
        <f aca="false">D5935*INDEX(Products!$D$2:$D$49,MATCH(C5935,Products!$A$2:$A$49,0))*(1+INDEX(Assumptions!$B$16:$B$20,MATCH(B5935,Assumptions!$A$16:$A$20,0)))</f>
        <v>4131</v>
      </c>
      <c r="J5935" s="33" t="n">
        <f aca="false">H5935-I5935</f>
        <v>1869</v>
      </c>
      <c r="K5935" s="33" t="n">
        <f aca="false">IF(OR(E5935=0,E5935&gt;=7),0,D5935/(7-E5935)*E5935*INDEX(Products!$E$2:$E$49,MATCH(C5935,Products!$A$2:$A$49,0)))</f>
        <v>0</v>
      </c>
    </row>
    <row r="5936" customFormat="false" ht="15" hidden="false" customHeight="false" outlineLevel="0" collapsed="false">
      <c r="A5936" s="36" t="n">
        <v>46181</v>
      </c>
      <c r="B5936" s="24" t="s">
        <v>65</v>
      </c>
      <c r="C5936" s="24" t="s">
        <v>205</v>
      </c>
      <c r="D5936" s="33" t="n">
        <v>64</v>
      </c>
      <c r="E5936" s="24" t="n">
        <v>0</v>
      </c>
      <c r="F5936" s="37" t="n">
        <f aca="false">DATE(YEAR(A5936),MONTH(A5936),1)</f>
        <v>46174</v>
      </c>
      <c r="G5936" s="24" t="str">
        <f aca="false">INDEX(Products!$C$2:$C$49,MATCH(C5936,Products!$A$2:$A$49,0))</f>
        <v>Snacks &amp; Confectionery</v>
      </c>
      <c r="H5936" s="33" t="n">
        <f aca="false">D5936*INDEX(Products!$E$2:$E$49,MATCH(C5936,Products!$A$2:$A$49,0))</f>
        <v>7680</v>
      </c>
      <c r="I5936" s="33" t="n">
        <f aca="false">D5936*INDEX(Products!$D$2:$D$49,MATCH(C5936,Products!$A$2:$A$49,0))*(1+INDEX(Assumptions!$B$16:$B$20,MATCH(B5936,Assumptions!$A$16:$A$20,0)))</f>
        <v>5287.68</v>
      </c>
      <c r="J5936" s="33" t="n">
        <f aca="false">H5936-I5936</f>
        <v>2392.32</v>
      </c>
      <c r="K5936" s="33" t="n">
        <f aca="false">IF(OR(E5936=0,E5936&gt;=7),0,D5936/(7-E5936)*E5936*INDEX(Products!$E$2:$E$49,MATCH(C5936,Products!$A$2:$A$49,0)))</f>
        <v>0</v>
      </c>
    </row>
    <row r="5937" customFormat="false" ht="15" hidden="false" customHeight="false" outlineLevel="0" collapsed="false">
      <c r="A5937" s="36" t="n">
        <v>46188</v>
      </c>
      <c r="B5937" s="24" t="s">
        <v>65</v>
      </c>
      <c r="C5937" s="24" t="s">
        <v>205</v>
      </c>
      <c r="D5937" s="33" t="n">
        <v>44</v>
      </c>
      <c r="E5937" s="24" t="n">
        <v>0</v>
      </c>
      <c r="F5937" s="37" t="n">
        <f aca="false">DATE(YEAR(A5937),MONTH(A5937),1)</f>
        <v>46174</v>
      </c>
      <c r="G5937" s="24" t="str">
        <f aca="false">INDEX(Products!$C$2:$C$49,MATCH(C5937,Products!$A$2:$A$49,0))</f>
        <v>Snacks &amp; Confectionery</v>
      </c>
      <c r="H5937" s="33" t="n">
        <f aca="false">D5937*INDEX(Products!$E$2:$E$49,MATCH(C5937,Products!$A$2:$A$49,0))</f>
        <v>5280</v>
      </c>
      <c r="I5937" s="33" t="n">
        <f aca="false">D5937*INDEX(Products!$D$2:$D$49,MATCH(C5937,Products!$A$2:$A$49,0))*(1+INDEX(Assumptions!$B$16:$B$20,MATCH(B5937,Assumptions!$A$16:$A$20,0)))</f>
        <v>3635.28</v>
      </c>
      <c r="J5937" s="33" t="n">
        <f aca="false">H5937-I5937</f>
        <v>1644.72</v>
      </c>
      <c r="K5937" s="33" t="n">
        <f aca="false">IF(OR(E5937=0,E5937&gt;=7),0,D5937/(7-E5937)*E5937*INDEX(Products!$E$2:$E$49,MATCH(C5937,Products!$A$2:$A$49,0)))</f>
        <v>0</v>
      </c>
    </row>
    <row r="5938" customFormat="false" ht="15" hidden="false" customHeight="false" outlineLevel="0" collapsed="false">
      <c r="A5938" s="36" t="n">
        <v>46195</v>
      </c>
      <c r="B5938" s="24" t="s">
        <v>65</v>
      </c>
      <c r="C5938" s="24" t="s">
        <v>205</v>
      </c>
      <c r="D5938" s="33" t="n">
        <v>53</v>
      </c>
      <c r="E5938" s="24" t="n">
        <v>0</v>
      </c>
      <c r="F5938" s="37" t="n">
        <f aca="false">DATE(YEAR(A5938),MONTH(A5938),1)</f>
        <v>46174</v>
      </c>
      <c r="G5938" s="24" t="str">
        <f aca="false">INDEX(Products!$C$2:$C$49,MATCH(C5938,Products!$A$2:$A$49,0))</f>
        <v>Snacks &amp; Confectionery</v>
      </c>
      <c r="H5938" s="33" t="n">
        <f aca="false">D5938*INDEX(Products!$E$2:$E$49,MATCH(C5938,Products!$A$2:$A$49,0))</f>
        <v>6360</v>
      </c>
      <c r="I5938" s="33" t="n">
        <f aca="false">D5938*INDEX(Products!$D$2:$D$49,MATCH(C5938,Products!$A$2:$A$49,0))*(1+INDEX(Assumptions!$B$16:$B$20,MATCH(B5938,Assumptions!$A$16:$A$20,0)))</f>
        <v>4378.86</v>
      </c>
      <c r="J5938" s="33" t="n">
        <f aca="false">H5938-I5938</f>
        <v>1981.14</v>
      </c>
      <c r="K5938" s="33" t="n">
        <f aca="false">IF(OR(E5938=0,E5938&gt;=7),0,D5938/(7-E5938)*E5938*INDEX(Products!$E$2:$E$49,MATCH(C5938,Products!$A$2:$A$49,0)))</f>
        <v>0</v>
      </c>
    </row>
    <row r="5939" customFormat="false" ht="15" hidden="false" customHeight="false" outlineLevel="0" collapsed="false">
      <c r="A5939" s="36" t="n">
        <v>46202</v>
      </c>
      <c r="B5939" s="24" t="s">
        <v>65</v>
      </c>
      <c r="C5939" s="24" t="s">
        <v>205</v>
      </c>
      <c r="D5939" s="33" t="n">
        <v>47</v>
      </c>
      <c r="E5939" s="24" t="n">
        <v>0</v>
      </c>
      <c r="F5939" s="37" t="n">
        <f aca="false">DATE(YEAR(A5939),MONTH(A5939),1)</f>
        <v>46174</v>
      </c>
      <c r="G5939" s="24" t="str">
        <f aca="false">INDEX(Products!$C$2:$C$49,MATCH(C5939,Products!$A$2:$A$49,0))</f>
        <v>Snacks &amp; Confectionery</v>
      </c>
      <c r="H5939" s="33" t="n">
        <f aca="false">D5939*INDEX(Products!$E$2:$E$49,MATCH(C5939,Products!$A$2:$A$49,0))</f>
        <v>5640</v>
      </c>
      <c r="I5939" s="33" t="n">
        <f aca="false">D5939*INDEX(Products!$D$2:$D$49,MATCH(C5939,Products!$A$2:$A$49,0))*(1+INDEX(Assumptions!$B$16:$B$20,MATCH(B5939,Assumptions!$A$16:$A$20,0)))</f>
        <v>3883.14</v>
      </c>
      <c r="J5939" s="33" t="n">
        <f aca="false">H5939-I5939</f>
        <v>1756.86</v>
      </c>
      <c r="K5939" s="33" t="n">
        <f aca="false">IF(OR(E5939=0,E5939&gt;=7),0,D5939/(7-E5939)*E5939*INDEX(Products!$E$2:$E$49,MATCH(C5939,Products!$A$2:$A$49,0)))</f>
        <v>0</v>
      </c>
    </row>
    <row r="5940" customFormat="false" ht="15" hidden="false" customHeight="false" outlineLevel="0" collapsed="false">
      <c r="A5940" s="36" t="n">
        <v>46209</v>
      </c>
      <c r="B5940" s="24" t="s">
        <v>65</v>
      </c>
      <c r="C5940" s="24" t="s">
        <v>205</v>
      </c>
      <c r="D5940" s="33" t="n">
        <v>54</v>
      </c>
      <c r="E5940" s="24" t="n">
        <v>0</v>
      </c>
      <c r="F5940" s="37" t="n">
        <f aca="false">DATE(YEAR(A5940),MONTH(A5940),1)</f>
        <v>46204</v>
      </c>
      <c r="G5940" s="24" t="str">
        <f aca="false">INDEX(Products!$C$2:$C$49,MATCH(C5940,Products!$A$2:$A$49,0))</f>
        <v>Snacks &amp; Confectionery</v>
      </c>
      <c r="H5940" s="33" t="n">
        <f aca="false">D5940*INDEX(Products!$E$2:$E$49,MATCH(C5940,Products!$A$2:$A$49,0))</f>
        <v>6480</v>
      </c>
      <c r="I5940" s="33" t="n">
        <f aca="false">D5940*INDEX(Products!$D$2:$D$49,MATCH(C5940,Products!$A$2:$A$49,0))*(1+INDEX(Assumptions!$B$16:$B$20,MATCH(B5940,Assumptions!$A$16:$A$20,0)))</f>
        <v>4461.48</v>
      </c>
      <c r="J5940" s="33" t="n">
        <f aca="false">H5940-I5940</f>
        <v>2018.52</v>
      </c>
      <c r="K5940" s="33" t="n">
        <f aca="false">IF(OR(E5940=0,E5940&gt;=7),0,D5940/(7-E5940)*E5940*INDEX(Products!$E$2:$E$49,MATCH(C5940,Products!$A$2:$A$49,0)))</f>
        <v>0</v>
      </c>
    </row>
    <row r="5941" customFormat="false" ht="15" hidden="false" customHeight="false" outlineLevel="0" collapsed="false">
      <c r="A5941" s="36" t="n">
        <v>46216</v>
      </c>
      <c r="B5941" s="24" t="s">
        <v>65</v>
      </c>
      <c r="C5941" s="24" t="s">
        <v>205</v>
      </c>
      <c r="D5941" s="33" t="n">
        <v>36</v>
      </c>
      <c r="E5941" s="24" t="n">
        <v>0</v>
      </c>
      <c r="F5941" s="37" t="n">
        <f aca="false">DATE(YEAR(A5941),MONTH(A5941),1)</f>
        <v>46204</v>
      </c>
      <c r="G5941" s="24" t="str">
        <f aca="false">INDEX(Products!$C$2:$C$49,MATCH(C5941,Products!$A$2:$A$49,0))</f>
        <v>Snacks &amp; Confectionery</v>
      </c>
      <c r="H5941" s="33" t="n">
        <f aca="false">D5941*INDEX(Products!$E$2:$E$49,MATCH(C5941,Products!$A$2:$A$49,0))</f>
        <v>4320</v>
      </c>
      <c r="I5941" s="33" t="n">
        <f aca="false">D5941*INDEX(Products!$D$2:$D$49,MATCH(C5941,Products!$A$2:$A$49,0))*(1+INDEX(Assumptions!$B$16:$B$20,MATCH(B5941,Assumptions!$A$16:$A$20,0)))</f>
        <v>2974.32</v>
      </c>
      <c r="J5941" s="33" t="n">
        <f aca="false">H5941-I5941</f>
        <v>1345.68</v>
      </c>
      <c r="K5941" s="33" t="n">
        <f aca="false">IF(OR(E5941=0,E5941&gt;=7),0,D5941/(7-E5941)*E5941*INDEX(Products!$E$2:$E$49,MATCH(C5941,Products!$A$2:$A$49,0)))</f>
        <v>0</v>
      </c>
    </row>
    <row r="5942" customFormat="false" ht="15" hidden="false" customHeight="false" outlineLevel="0" collapsed="false">
      <c r="A5942" s="36" t="n">
        <v>46223</v>
      </c>
      <c r="B5942" s="24" t="s">
        <v>65</v>
      </c>
      <c r="C5942" s="24" t="s">
        <v>205</v>
      </c>
      <c r="D5942" s="33" t="n">
        <v>47</v>
      </c>
      <c r="E5942" s="24" t="n">
        <v>0</v>
      </c>
      <c r="F5942" s="37" t="n">
        <f aca="false">DATE(YEAR(A5942),MONTH(A5942),1)</f>
        <v>46204</v>
      </c>
      <c r="G5942" s="24" t="str">
        <f aca="false">INDEX(Products!$C$2:$C$49,MATCH(C5942,Products!$A$2:$A$49,0))</f>
        <v>Snacks &amp; Confectionery</v>
      </c>
      <c r="H5942" s="33" t="n">
        <f aca="false">D5942*INDEX(Products!$E$2:$E$49,MATCH(C5942,Products!$A$2:$A$49,0))</f>
        <v>5640</v>
      </c>
      <c r="I5942" s="33" t="n">
        <f aca="false">D5942*INDEX(Products!$D$2:$D$49,MATCH(C5942,Products!$A$2:$A$49,0))*(1+INDEX(Assumptions!$B$16:$B$20,MATCH(B5942,Assumptions!$A$16:$A$20,0)))</f>
        <v>3883.14</v>
      </c>
      <c r="J5942" s="33" t="n">
        <f aca="false">H5942-I5942</f>
        <v>1756.86</v>
      </c>
      <c r="K5942" s="33" t="n">
        <f aca="false">IF(OR(E5942=0,E5942&gt;=7),0,D5942/(7-E5942)*E5942*INDEX(Products!$E$2:$E$49,MATCH(C5942,Products!$A$2:$A$49,0)))</f>
        <v>0</v>
      </c>
    </row>
    <row r="5943" customFormat="false" ht="15" hidden="false" customHeight="false" outlineLevel="0" collapsed="false">
      <c r="A5943" s="36" t="n">
        <v>46230</v>
      </c>
      <c r="B5943" s="24" t="s">
        <v>65</v>
      </c>
      <c r="C5943" s="24" t="s">
        <v>205</v>
      </c>
      <c r="D5943" s="33" t="n">
        <v>45</v>
      </c>
      <c r="E5943" s="24" t="n">
        <v>0</v>
      </c>
      <c r="F5943" s="37" t="n">
        <f aca="false">DATE(YEAR(A5943),MONTH(A5943),1)</f>
        <v>46204</v>
      </c>
      <c r="G5943" s="24" t="str">
        <f aca="false">INDEX(Products!$C$2:$C$49,MATCH(C5943,Products!$A$2:$A$49,0))</f>
        <v>Snacks &amp; Confectionery</v>
      </c>
      <c r="H5943" s="33" t="n">
        <f aca="false">D5943*INDEX(Products!$E$2:$E$49,MATCH(C5943,Products!$A$2:$A$49,0))</f>
        <v>5400</v>
      </c>
      <c r="I5943" s="33" t="n">
        <f aca="false">D5943*INDEX(Products!$D$2:$D$49,MATCH(C5943,Products!$A$2:$A$49,0))*(1+INDEX(Assumptions!$B$16:$B$20,MATCH(B5943,Assumptions!$A$16:$A$20,0)))</f>
        <v>3717.9</v>
      </c>
      <c r="J5943" s="33" t="n">
        <f aca="false">H5943-I5943</f>
        <v>1682.1</v>
      </c>
      <c r="K5943" s="33" t="n">
        <f aca="false">IF(OR(E5943=0,E5943&gt;=7),0,D5943/(7-E5943)*E5943*INDEX(Products!$E$2:$E$49,MATCH(C5943,Products!$A$2:$A$49,0)))</f>
        <v>0</v>
      </c>
    </row>
    <row r="5944" customFormat="false" ht="15" hidden="false" customHeight="false" outlineLevel="0" collapsed="false">
      <c r="A5944" s="36" t="n">
        <v>46237</v>
      </c>
      <c r="B5944" s="24" t="s">
        <v>65</v>
      </c>
      <c r="C5944" s="24" t="s">
        <v>205</v>
      </c>
      <c r="D5944" s="33" t="n">
        <v>44</v>
      </c>
      <c r="E5944" s="24" t="n">
        <v>0</v>
      </c>
      <c r="F5944" s="37" t="n">
        <f aca="false">DATE(YEAR(A5944),MONTH(A5944),1)</f>
        <v>46235</v>
      </c>
      <c r="G5944" s="24" t="str">
        <f aca="false">INDEX(Products!$C$2:$C$49,MATCH(C5944,Products!$A$2:$A$49,0))</f>
        <v>Snacks &amp; Confectionery</v>
      </c>
      <c r="H5944" s="33" t="n">
        <f aca="false">D5944*INDEX(Products!$E$2:$E$49,MATCH(C5944,Products!$A$2:$A$49,0))</f>
        <v>5280</v>
      </c>
      <c r="I5944" s="33" t="n">
        <f aca="false">D5944*INDEX(Products!$D$2:$D$49,MATCH(C5944,Products!$A$2:$A$49,0))*(1+INDEX(Assumptions!$B$16:$B$20,MATCH(B5944,Assumptions!$A$16:$A$20,0)))</f>
        <v>3635.28</v>
      </c>
      <c r="J5944" s="33" t="n">
        <f aca="false">H5944-I5944</f>
        <v>1644.72</v>
      </c>
      <c r="K5944" s="33" t="n">
        <f aca="false">IF(OR(E5944=0,E5944&gt;=7),0,D5944/(7-E5944)*E5944*INDEX(Products!$E$2:$E$49,MATCH(C5944,Products!$A$2:$A$49,0)))</f>
        <v>0</v>
      </c>
    </row>
    <row r="5945" customFormat="false" ht="15" hidden="false" customHeight="false" outlineLevel="0" collapsed="false">
      <c r="A5945" s="36" t="n">
        <v>46244</v>
      </c>
      <c r="B5945" s="24" t="s">
        <v>65</v>
      </c>
      <c r="C5945" s="24" t="s">
        <v>205</v>
      </c>
      <c r="D5945" s="33" t="n">
        <v>34</v>
      </c>
      <c r="E5945" s="24" t="n">
        <v>0</v>
      </c>
      <c r="F5945" s="37" t="n">
        <f aca="false">DATE(YEAR(A5945),MONTH(A5945),1)</f>
        <v>46235</v>
      </c>
      <c r="G5945" s="24" t="str">
        <f aca="false">INDEX(Products!$C$2:$C$49,MATCH(C5945,Products!$A$2:$A$49,0))</f>
        <v>Snacks &amp; Confectionery</v>
      </c>
      <c r="H5945" s="33" t="n">
        <f aca="false">D5945*INDEX(Products!$E$2:$E$49,MATCH(C5945,Products!$A$2:$A$49,0))</f>
        <v>4080</v>
      </c>
      <c r="I5945" s="33" t="n">
        <f aca="false">D5945*INDEX(Products!$D$2:$D$49,MATCH(C5945,Products!$A$2:$A$49,0))*(1+INDEX(Assumptions!$B$16:$B$20,MATCH(B5945,Assumptions!$A$16:$A$20,0)))</f>
        <v>2809.08</v>
      </c>
      <c r="J5945" s="33" t="n">
        <f aca="false">H5945-I5945</f>
        <v>1270.92</v>
      </c>
      <c r="K5945" s="33" t="n">
        <f aca="false">IF(OR(E5945=0,E5945&gt;=7),0,D5945/(7-E5945)*E5945*INDEX(Products!$E$2:$E$49,MATCH(C5945,Products!$A$2:$A$49,0)))</f>
        <v>0</v>
      </c>
    </row>
    <row r="5946" customFormat="false" ht="15" hidden="false" customHeight="false" outlineLevel="0" collapsed="false">
      <c r="A5946" s="36" t="n">
        <v>46251</v>
      </c>
      <c r="B5946" s="24" t="s">
        <v>65</v>
      </c>
      <c r="C5946" s="24" t="s">
        <v>205</v>
      </c>
      <c r="D5946" s="33" t="n">
        <v>35</v>
      </c>
      <c r="E5946" s="24" t="n">
        <v>0</v>
      </c>
      <c r="F5946" s="37" t="n">
        <f aca="false">DATE(YEAR(A5946),MONTH(A5946),1)</f>
        <v>46235</v>
      </c>
      <c r="G5946" s="24" t="str">
        <f aca="false">INDEX(Products!$C$2:$C$49,MATCH(C5946,Products!$A$2:$A$49,0))</f>
        <v>Snacks &amp; Confectionery</v>
      </c>
      <c r="H5946" s="33" t="n">
        <f aca="false">D5946*INDEX(Products!$E$2:$E$49,MATCH(C5946,Products!$A$2:$A$49,0))</f>
        <v>4200</v>
      </c>
      <c r="I5946" s="33" t="n">
        <f aca="false">D5946*INDEX(Products!$D$2:$D$49,MATCH(C5946,Products!$A$2:$A$49,0))*(1+INDEX(Assumptions!$B$16:$B$20,MATCH(B5946,Assumptions!$A$16:$A$20,0)))</f>
        <v>2891.7</v>
      </c>
      <c r="J5946" s="33" t="n">
        <f aca="false">H5946-I5946</f>
        <v>1308.3</v>
      </c>
      <c r="K5946" s="33" t="n">
        <f aca="false">IF(OR(E5946=0,E5946&gt;=7),0,D5946/(7-E5946)*E5946*INDEX(Products!$E$2:$E$49,MATCH(C5946,Products!$A$2:$A$49,0)))</f>
        <v>0</v>
      </c>
    </row>
    <row r="5947" customFormat="false" ht="15" hidden="false" customHeight="false" outlineLevel="0" collapsed="false">
      <c r="A5947" s="36" t="n">
        <v>46258</v>
      </c>
      <c r="B5947" s="24" t="s">
        <v>65</v>
      </c>
      <c r="C5947" s="24" t="s">
        <v>205</v>
      </c>
      <c r="D5947" s="33" t="n">
        <v>42</v>
      </c>
      <c r="E5947" s="24" t="n">
        <v>0</v>
      </c>
      <c r="F5947" s="37" t="n">
        <f aca="false">DATE(YEAR(A5947),MONTH(A5947),1)</f>
        <v>46235</v>
      </c>
      <c r="G5947" s="24" t="str">
        <f aca="false">INDEX(Products!$C$2:$C$49,MATCH(C5947,Products!$A$2:$A$49,0))</f>
        <v>Snacks &amp; Confectionery</v>
      </c>
      <c r="H5947" s="33" t="n">
        <f aca="false">D5947*INDEX(Products!$E$2:$E$49,MATCH(C5947,Products!$A$2:$A$49,0))</f>
        <v>5040</v>
      </c>
      <c r="I5947" s="33" t="n">
        <f aca="false">D5947*INDEX(Products!$D$2:$D$49,MATCH(C5947,Products!$A$2:$A$49,0))*(1+INDEX(Assumptions!$B$16:$B$20,MATCH(B5947,Assumptions!$A$16:$A$20,0)))</f>
        <v>3470.04</v>
      </c>
      <c r="J5947" s="33" t="n">
        <f aca="false">H5947-I5947</f>
        <v>1569.96</v>
      </c>
      <c r="K5947" s="33" t="n">
        <f aca="false">IF(OR(E5947=0,E5947&gt;=7),0,D5947/(7-E5947)*E5947*INDEX(Products!$E$2:$E$49,MATCH(C5947,Products!$A$2:$A$49,0)))</f>
        <v>0</v>
      </c>
    </row>
    <row r="5948" customFormat="false" ht="15" hidden="false" customHeight="false" outlineLevel="0" collapsed="false">
      <c r="A5948" s="36" t="n">
        <v>46265</v>
      </c>
      <c r="B5948" s="24" t="s">
        <v>65</v>
      </c>
      <c r="C5948" s="24" t="s">
        <v>205</v>
      </c>
      <c r="D5948" s="33" t="n">
        <v>54</v>
      </c>
      <c r="E5948" s="24" t="n">
        <v>0</v>
      </c>
      <c r="F5948" s="37" t="n">
        <f aca="false">DATE(YEAR(A5948),MONTH(A5948),1)</f>
        <v>46235</v>
      </c>
      <c r="G5948" s="24" t="str">
        <f aca="false">INDEX(Products!$C$2:$C$49,MATCH(C5948,Products!$A$2:$A$49,0))</f>
        <v>Snacks &amp; Confectionery</v>
      </c>
      <c r="H5948" s="33" t="n">
        <f aca="false">D5948*INDEX(Products!$E$2:$E$49,MATCH(C5948,Products!$A$2:$A$49,0))</f>
        <v>6480</v>
      </c>
      <c r="I5948" s="33" t="n">
        <f aca="false">D5948*INDEX(Products!$D$2:$D$49,MATCH(C5948,Products!$A$2:$A$49,0))*(1+INDEX(Assumptions!$B$16:$B$20,MATCH(B5948,Assumptions!$A$16:$A$20,0)))</f>
        <v>4461.48</v>
      </c>
      <c r="J5948" s="33" t="n">
        <f aca="false">H5948-I5948</f>
        <v>2018.52</v>
      </c>
      <c r="K5948" s="33" t="n">
        <f aca="false">IF(OR(E5948=0,E5948&gt;=7),0,D5948/(7-E5948)*E5948*INDEX(Products!$E$2:$E$49,MATCH(C5948,Products!$A$2:$A$49,0)))</f>
        <v>0</v>
      </c>
    </row>
    <row r="5949" customFormat="false" ht="15" hidden="false" customHeight="false" outlineLevel="0" collapsed="false">
      <c r="A5949" s="36" t="n">
        <v>46272</v>
      </c>
      <c r="B5949" s="24" t="s">
        <v>65</v>
      </c>
      <c r="C5949" s="24" t="s">
        <v>205</v>
      </c>
      <c r="D5949" s="33" t="n">
        <v>46</v>
      </c>
      <c r="E5949" s="24" t="n">
        <v>0</v>
      </c>
      <c r="F5949" s="37" t="n">
        <f aca="false">DATE(YEAR(A5949),MONTH(A5949),1)</f>
        <v>46266</v>
      </c>
      <c r="G5949" s="24" t="str">
        <f aca="false">INDEX(Products!$C$2:$C$49,MATCH(C5949,Products!$A$2:$A$49,0))</f>
        <v>Snacks &amp; Confectionery</v>
      </c>
      <c r="H5949" s="33" t="n">
        <f aca="false">D5949*INDEX(Products!$E$2:$E$49,MATCH(C5949,Products!$A$2:$A$49,0))</f>
        <v>5520</v>
      </c>
      <c r="I5949" s="33" t="n">
        <f aca="false">D5949*INDEX(Products!$D$2:$D$49,MATCH(C5949,Products!$A$2:$A$49,0))*(1+INDEX(Assumptions!$B$16:$B$20,MATCH(B5949,Assumptions!$A$16:$A$20,0)))</f>
        <v>3800.52</v>
      </c>
      <c r="J5949" s="33" t="n">
        <f aca="false">H5949-I5949</f>
        <v>1719.48</v>
      </c>
      <c r="K5949" s="33" t="n">
        <f aca="false">IF(OR(E5949=0,E5949&gt;=7),0,D5949/(7-E5949)*E5949*INDEX(Products!$E$2:$E$49,MATCH(C5949,Products!$A$2:$A$49,0)))</f>
        <v>0</v>
      </c>
    </row>
    <row r="5950" customFormat="false" ht="15" hidden="false" customHeight="false" outlineLevel="0" collapsed="false">
      <c r="A5950" s="36" t="n">
        <v>46279</v>
      </c>
      <c r="B5950" s="24" t="s">
        <v>65</v>
      </c>
      <c r="C5950" s="24" t="s">
        <v>205</v>
      </c>
      <c r="D5950" s="33" t="n">
        <v>38</v>
      </c>
      <c r="E5950" s="24" t="n">
        <v>0</v>
      </c>
      <c r="F5950" s="37" t="n">
        <f aca="false">DATE(YEAR(A5950),MONTH(A5950),1)</f>
        <v>46266</v>
      </c>
      <c r="G5950" s="24" t="str">
        <f aca="false">INDEX(Products!$C$2:$C$49,MATCH(C5950,Products!$A$2:$A$49,0))</f>
        <v>Snacks &amp; Confectionery</v>
      </c>
      <c r="H5950" s="33" t="n">
        <f aca="false">D5950*INDEX(Products!$E$2:$E$49,MATCH(C5950,Products!$A$2:$A$49,0))</f>
        <v>4560</v>
      </c>
      <c r="I5950" s="33" t="n">
        <f aca="false">D5950*INDEX(Products!$D$2:$D$49,MATCH(C5950,Products!$A$2:$A$49,0))*(1+INDEX(Assumptions!$B$16:$B$20,MATCH(B5950,Assumptions!$A$16:$A$20,0)))</f>
        <v>3139.56</v>
      </c>
      <c r="J5950" s="33" t="n">
        <f aca="false">H5950-I5950</f>
        <v>1420.44</v>
      </c>
      <c r="K5950" s="33" t="n">
        <f aca="false">IF(OR(E5950=0,E5950&gt;=7),0,D5950/(7-E5950)*E5950*INDEX(Products!$E$2:$E$49,MATCH(C5950,Products!$A$2:$A$49,0)))</f>
        <v>0</v>
      </c>
    </row>
    <row r="5951" customFormat="false" ht="15" hidden="false" customHeight="false" outlineLevel="0" collapsed="false">
      <c r="A5951" s="36" t="n">
        <v>46286</v>
      </c>
      <c r="B5951" s="24" t="s">
        <v>65</v>
      </c>
      <c r="C5951" s="24" t="s">
        <v>205</v>
      </c>
      <c r="D5951" s="33" t="n">
        <v>53</v>
      </c>
      <c r="E5951" s="24" t="n">
        <v>0</v>
      </c>
      <c r="F5951" s="37" t="n">
        <f aca="false">DATE(YEAR(A5951),MONTH(A5951),1)</f>
        <v>46266</v>
      </c>
      <c r="G5951" s="24" t="str">
        <f aca="false">INDEX(Products!$C$2:$C$49,MATCH(C5951,Products!$A$2:$A$49,0))</f>
        <v>Snacks &amp; Confectionery</v>
      </c>
      <c r="H5951" s="33" t="n">
        <f aca="false">D5951*INDEX(Products!$E$2:$E$49,MATCH(C5951,Products!$A$2:$A$49,0))</f>
        <v>6360</v>
      </c>
      <c r="I5951" s="33" t="n">
        <f aca="false">D5951*INDEX(Products!$D$2:$D$49,MATCH(C5951,Products!$A$2:$A$49,0))*(1+INDEX(Assumptions!$B$16:$B$20,MATCH(B5951,Assumptions!$A$16:$A$20,0)))</f>
        <v>4378.86</v>
      </c>
      <c r="J5951" s="33" t="n">
        <f aca="false">H5951-I5951</f>
        <v>1981.14</v>
      </c>
      <c r="K5951" s="33" t="n">
        <f aca="false">IF(OR(E5951=0,E5951&gt;=7),0,D5951/(7-E5951)*E5951*INDEX(Products!$E$2:$E$49,MATCH(C5951,Products!$A$2:$A$49,0)))</f>
        <v>0</v>
      </c>
    </row>
    <row r="5952" customFormat="false" ht="15" hidden="false" customHeight="false" outlineLevel="0" collapsed="false">
      <c r="A5952" s="36" t="n">
        <v>46118</v>
      </c>
      <c r="B5952" s="24" t="s">
        <v>65</v>
      </c>
      <c r="C5952" s="24" t="s">
        <v>207</v>
      </c>
      <c r="D5952" s="33" t="n">
        <v>53</v>
      </c>
      <c r="E5952" s="24" t="n">
        <v>0</v>
      </c>
      <c r="F5952" s="37" t="n">
        <f aca="false">DATE(YEAR(A5952),MONTH(A5952),1)</f>
        <v>46113</v>
      </c>
      <c r="G5952" s="24" t="str">
        <f aca="false">INDEX(Products!$C$2:$C$49,MATCH(C5952,Products!$A$2:$A$49,0))</f>
        <v>Snacks &amp; Confectionery</v>
      </c>
      <c r="H5952" s="33" t="n">
        <f aca="false">D5952*INDEX(Products!$E$2:$E$49,MATCH(C5952,Products!$A$2:$A$49,0))</f>
        <v>9540</v>
      </c>
      <c r="I5952" s="33" t="n">
        <f aca="false">D5952*INDEX(Products!$D$2:$D$49,MATCH(C5952,Products!$A$2:$A$49,0))*(1+INDEX(Assumptions!$B$16:$B$20,MATCH(B5952,Assumptions!$A$16:$A$20,0)))</f>
        <v>6811.56</v>
      </c>
      <c r="J5952" s="33" t="n">
        <f aca="false">H5952-I5952</f>
        <v>2728.44</v>
      </c>
      <c r="K5952" s="33" t="n">
        <f aca="false">IF(OR(E5952=0,E5952&gt;=7),0,D5952/(7-E5952)*E5952*INDEX(Products!$E$2:$E$49,MATCH(C5952,Products!$A$2:$A$49,0)))</f>
        <v>0</v>
      </c>
    </row>
    <row r="5953" customFormat="false" ht="15" hidden="false" customHeight="false" outlineLevel="0" collapsed="false">
      <c r="A5953" s="36" t="n">
        <v>46125</v>
      </c>
      <c r="B5953" s="24" t="s">
        <v>65</v>
      </c>
      <c r="C5953" s="24" t="s">
        <v>207</v>
      </c>
      <c r="D5953" s="33" t="n">
        <v>49</v>
      </c>
      <c r="E5953" s="24" t="n">
        <v>0</v>
      </c>
      <c r="F5953" s="37" t="n">
        <f aca="false">DATE(YEAR(A5953),MONTH(A5953),1)</f>
        <v>46113</v>
      </c>
      <c r="G5953" s="24" t="str">
        <f aca="false">INDEX(Products!$C$2:$C$49,MATCH(C5953,Products!$A$2:$A$49,0))</f>
        <v>Snacks &amp; Confectionery</v>
      </c>
      <c r="H5953" s="33" t="n">
        <f aca="false">D5953*INDEX(Products!$E$2:$E$49,MATCH(C5953,Products!$A$2:$A$49,0))</f>
        <v>8820</v>
      </c>
      <c r="I5953" s="33" t="n">
        <f aca="false">D5953*INDEX(Products!$D$2:$D$49,MATCH(C5953,Products!$A$2:$A$49,0))*(1+INDEX(Assumptions!$B$16:$B$20,MATCH(B5953,Assumptions!$A$16:$A$20,0)))</f>
        <v>6297.48</v>
      </c>
      <c r="J5953" s="33" t="n">
        <f aca="false">H5953-I5953</f>
        <v>2522.52</v>
      </c>
      <c r="K5953" s="33" t="n">
        <f aca="false">IF(OR(E5953=0,E5953&gt;=7),0,D5953/(7-E5953)*E5953*INDEX(Products!$E$2:$E$49,MATCH(C5953,Products!$A$2:$A$49,0)))</f>
        <v>0</v>
      </c>
    </row>
    <row r="5954" customFormat="false" ht="15" hidden="false" customHeight="false" outlineLevel="0" collapsed="false">
      <c r="A5954" s="36" t="n">
        <v>46132</v>
      </c>
      <c r="B5954" s="24" t="s">
        <v>65</v>
      </c>
      <c r="C5954" s="24" t="s">
        <v>207</v>
      </c>
      <c r="D5954" s="33" t="n">
        <v>48</v>
      </c>
      <c r="E5954" s="24" t="n">
        <v>1</v>
      </c>
      <c r="F5954" s="37" t="n">
        <f aca="false">DATE(YEAR(A5954),MONTH(A5954),1)</f>
        <v>46113</v>
      </c>
      <c r="G5954" s="24" t="str">
        <f aca="false">INDEX(Products!$C$2:$C$49,MATCH(C5954,Products!$A$2:$A$49,0))</f>
        <v>Snacks &amp; Confectionery</v>
      </c>
      <c r="H5954" s="33" t="n">
        <f aca="false">D5954*INDEX(Products!$E$2:$E$49,MATCH(C5954,Products!$A$2:$A$49,0))</f>
        <v>8640</v>
      </c>
      <c r="I5954" s="33" t="n">
        <f aca="false">D5954*INDEX(Products!$D$2:$D$49,MATCH(C5954,Products!$A$2:$A$49,0))*(1+INDEX(Assumptions!$B$16:$B$20,MATCH(B5954,Assumptions!$A$16:$A$20,0)))</f>
        <v>6168.96</v>
      </c>
      <c r="J5954" s="33" t="n">
        <f aca="false">H5954-I5954</f>
        <v>2471.04</v>
      </c>
      <c r="K5954" s="33" t="n">
        <f aca="false">IF(OR(E5954=0,E5954&gt;=7),0,D5954/(7-E5954)*E5954*INDEX(Products!$E$2:$E$49,MATCH(C5954,Products!$A$2:$A$49,0)))</f>
        <v>1440</v>
      </c>
    </row>
    <row r="5955" customFormat="false" ht="15" hidden="false" customHeight="false" outlineLevel="0" collapsed="false">
      <c r="A5955" s="36" t="n">
        <v>46139</v>
      </c>
      <c r="B5955" s="24" t="s">
        <v>65</v>
      </c>
      <c r="C5955" s="24" t="s">
        <v>207</v>
      </c>
      <c r="D5955" s="33" t="n">
        <v>51</v>
      </c>
      <c r="E5955" s="24" t="n">
        <v>0</v>
      </c>
      <c r="F5955" s="37" t="n">
        <f aca="false">DATE(YEAR(A5955),MONTH(A5955),1)</f>
        <v>46113</v>
      </c>
      <c r="G5955" s="24" t="str">
        <f aca="false">INDEX(Products!$C$2:$C$49,MATCH(C5955,Products!$A$2:$A$49,0))</f>
        <v>Snacks &amp; Confectionery</v>
      </c>
      <c r="H5955" s="33" t="n">
        <f aca="false">D5955*INDEX(Products!$E$2:$E$49,MATCH(C5955,Products!$A$2:$A$49,0))</f>
        <v>9180</v>
      </c>
      <c r="I5955" s="33" t="n">
        <f aca="false">D5955*INDEX(Products!$D$2:$D$49,MATCH(C5955,Products!$A$2:$A$49,0))*(1+INDEX(Assumptions!$B$16:$B$20,MATCH(B5955,Assumptions!$A$16:$A$20,0)))</f>
        <v>6554.52</v>
      </c>
      <c r="J5955" s="33" t="n">
        <f aca="false">H5955-I5955</f>
        <v>2625.48</v>
      </c>
      <c r="K5955" s="33" t="n">
        <f aca="false">IF(OR(E5955=0,E5955&gt;=7),0,D5955/(7-E5955)*E5955*INDEX(Products!$E$2:$E$49,MATCH(C5955,Products!$A$2:$A$49,0)))</f>
        <v>0</v>
      </c>
    </row>
    <row r="5956" customFormat="false" ht="15" hidden="false" customHeight="false" outlineLevel="0" collapsed="false">
      <c r="A5956" s="36" t="n">
        <v>46146</v>
      </c>
      <c r="B5956" s="24" t="s">
        <v>65</v>
      </c>
      <c r="C5956" s="24" t="s">
        <v>207</v>
      </c>
      <c r="D5956" s="33" t="n">
        <v>45</v>
      </c>
      <c r="E5956" s="24" t="n">
        <v>0</v>
      </c>
      <c r="F5956" s="37" t="n">
        <f aca="false">DATE(YEAR(A5956),MONTH(A5956),1)</f>
        <v>46143</v>
      </c>
      <c r="G5956" s="24" t="str">
        <f aca="false">INDEX(Products!$C$2:$C$49,MATCH(C5956,Products!$A$2:$A$49,0))</f>
        <v>Snacks &amp; Confectionery</v>
      </c>
      <c r="H5956" s="33" t="n">
        <f aca="false">D5956*INDEX(Products!$E$2:$E$49,MATCH(C5956,Products!$A$2:$A$49,0))</f>
        <v>8100</v>
      </c>
      <c r="I5956" s="33" t="n">
        <f aca="false">D5956*INDEX(Products!$D$2:$D$49,MATCH(C5956,Products!$A$2:$A$49,0))*(1+INDEX(Assumptions!$B$16:$B$20,MATCH(B5956,Assumptions!$A$16:$A$20,0)))</f>
        <v>5783.4</v>
      </c>
      <c r="J5956" s="33" t="n">
        <f aca="false">H5956-I5956</f>
        <v>2316.6</v>
      </c>
      <c r="K5956" s="33" t="n">
        <f aca="false">IF(OR(E5956=0,E5956&gt;=7),0,D5956/(7-E5956)*E5956*INDEX(Products!$E$2:$E$49,MATCH(C5956,Products!$A$2:$A$49,0)))</f>
        <v>0</v>
      </c>
    </row>
    <row r="5957" customFormat="false" ht="15" hidden="false" customHeight="false" outlineLevel="0" collapsed="false">
      <c r="A5957" s="36" t="n">
        <v>46153</v>
      </c>
      <c r="B5957" s="24" t="s">
        <v>65</v>
      </c>
      <c r="C5957" s="24" t="s">
        <v>207</v>
      </c>
      <c r="D5957" s="33" t="n">
        <v>36</v>
      </c>
      <c r="E5957" s="24" t="n">
        <v>0</v>
      </c>
      <c r="F5957" s="37" t="n">
        <f aca="false">DATE(YEAR(A5957),MONTH(A5957),1)</f>
        <v>46143</v>
      </c>
      <c r="G5957" s="24" t="str">
        <f aca="false">INDEX(Products!$C$2:$C$49,MATCH(C5957,Products!$A$2:$A$49,0))</f>
        <v>Snacks &amp; Confectionery</v>
      </c>
      <c r="H5957" s="33" t="n">
        <f aca="false">D5957*INDEX(Products!$E$2:$E$49,MATCH(C5957,Products!$A$2:$A$49,0))</f>
        <v>6480</v>
      </c>
      <c r="I5957" s="33" t="n">
        <f aca="false">D5957*INDEX(Products!$D$2:$D$49,MATCH(C5957,Products!$A$2:$A$49,0))*(1+INDEX(Assumptions!$B$16:$B$20,MATCH(B5957,Assumptions!$A$16:$A$20,0)))</f>
        <v>4626.72</v>
      </c>
      <c r="J5957" s="33" t="n">
        <f aca="false">H5957-I5957</f>
        <v>1853.28</v>
      </c>
      <c r="K5957" s="33" t="n">
        <f aca="false">IF(OR(E5957=0,E5957&gt;=7),0,D5957/(7-E5957)*E5957*INDEX(Products!$E$2:$E$49,MATCH(C5957,Products!$A$2:$A$49,0)))</f>
        <v>0</v>
      </c>
    </row>
    <row r="5958" customFormat="false" ht="15" hidden="false" customHeight="false" outlineLevel="0" collapsed="false">
      <c r="A5958" s="36" t="n">
        <v>46160</v>
      </c>
      <c r="B5958" s="24" t="s">
        <v>65</v>
      </c>
      <c r="C5958" s="24" t="s">
        <v>207</v>
      </c>
      <c r="D5958" s="33" t="n">
        <v>36</v>
      </c>
      <c r="E5958" s="24" t="n">
        <v>0</v>
      </c>
      <c r="F5958" s="37" t="n">
        <f aca="false">DATE(YEAR(A5958),MONTH(A5958),1)</f>
        <v>46143</v>
      </c>
      <c r="G5958" s="24" t="str">
        <f aca="false">INDEX(Products!$C$2:$C$49,MATCH(C5958,Products!$A$2:$A$49,0))</f>
        <v>Snacks &amp; Confectionery</v>
      </c>
      <c r="H5958" s="33" t="n">
        <f aca="false">D5958*INDEX(Products!$E$2:$E$49,MATCH(C5958,Products!$A$2:$A$49,0))</f>
        <v>6480</v>
      </c>
      <c r="I5958" s="33" t="n">
        <f aca="false">D5958*INDEX(Products!$D$2:$D$49,MATCH(C5958,Products!$A$2:$A$49,0))*(1+INDEX(Assumptions!$B$16:$B$20,MATCH(B5958,Assumptions!$A$16:$A$20,0)))</f>
        <v>4626.72</v>
      </c>
      <c r="J5958" s="33" t="n">
        <f aca="false">H5958-I5958</f>
        <v>1853.28</v>
      </c>
      <c r="K5958" s="33" t="n">
        <f aca="false">IF(OR(E5958=0,E5958&gt;=7),0,D5958/(7-E5958)*E5958*INDEX(Products!$E$2:$E$49,MATCH(C5958,Products!$A$2:$A$49,0)))</f>
        <v>0</v>
      </c>
    </row>
    <row r="5959" customFormat="false" ht="15" hidden="false" customHeight="false" outlineLevel="0" collapsed="false">
      <c r="A5959" s="36" t="n">
        <v>46167</v>
      </c>
      <c r="B5959" s="24" t="s">
        <v>65</v>
      </c>
      <c r="C5959" s="24" t="s">
        <v>207</v>
      </c>
      <c r="D5959" s="33" t="n">
        <v>53</v>
      </c>
      <c r="E5959" s="24" t="n">
        <v>0</v>
      </c>
      <c r="F5959" s="37" t="n">
        <f aca="false">DATE(YEAR(A5959),MONTH(A5959),1)</f>
        <v>46143</v>
      </c>
      <c r="G5959" s="24" t="str">
        <f aca="false">INDEX(Products!$C$2:$C$49,MATCH(C5959,Products!$A$2:$A$49,0))</f>
        <v>Snacks &amp; Confectionery</v>
      </c>
      <c r="H5959" s="33" t="n">
        <f aca="false">D5959*INDEX(Products!$E$2:$E$49,MATCH(C5959,Products!$A$2:$A$49,0))</f>
        <v>9540</v>
      </c>
      <c r="I5959" s="33" t="n">
        <f aca="false">D5959*INDEX(Products!$D$2:$D$49,MATCH(C5959,Products!$A$2:$A$49,0))*(1+INDEX(Assumptions!$B$16:$B$20,MATCH(B5959,Assumptions!$A$16:$A$20,0)))</f>
        <v>6811.56</v>
      </c>
      <c r="J5959" s="33" t="n">
        <f aca="false">H5959-I5959</f>
        <v>2728.44</v>
      </c>
      <c r="K5959" s="33" t="n">
        <f aca="false">IF(OR(E5959=0,E5959&gt;=7),0,D5959/(7-E5959)*E5959*INDEX(Products!$E$2:$E$49,MATCH(C5959,Products!$A$2:$A$49,0)))</f>
        <v>0</v>
      </c>
    </row>
    <row r="5960" customFormat="false" ht="15" hidden="false" customHeight="false" outlineLevel="0" collapsed="false">
      <c r="A5960" s="36" t="n">
        <v>46174</v>
      </c>
      <c r="B5960" s="24" t="s">
        <v>65</v>
      </c>
      <c r="C5960" s="24" t="s">
        <v>207</v>
      </c>
      <c r="D5960" s="33" t="n">
        <v>34</v>
      </c>
      <c r="E5960" s="24" t="n">
        <v>0</v>
      </c>
      <c r="F5960" s="37" t="n">
        <f aca="false">DATE(YEAR(A5960),MONTH(A5960),1)</f>
        <v>46174</v>
      </c>
      <c r="G5960" s="24" t="str">
        <f aca="false">INDEX(Products!$C$2:$C$49,MATCH(C5960,Products!$A$2:$A$49,0))</f>
        <v>Snacks &amp; Confectionery</v>
      </c>
      <c r="H5960" s="33" t="n">
        <f aca="false">D5960*INDEX(Products!$E$2:$E$49,MATCH(C5960,Products!$A$2:$A$49,0))</f>
        <v>6120</v>
      </c>
      <c r="I5960" s="33" t="n">
        <f aca="false">D5960*INDEX(Products!$D$2:$D$49,MATCH(C5960,Products!$A$2:$A$49,0))*(1+INDEX(Assumptions!$B$16:$B$20,MATCH(B5960,Assumptions!$A$16:$A$20,0)))</f>
        <v>4369.68</v>
      </c>
      <c r="J5960" s="33" t="n">
        <f aca="false">H5960-I5960</f>
        <v>1750.32</v>
      </c>
      <c r="K5960" s="33" t="n">
        <f aca="false">IF(OR(E5960=0,E5960&gt;=7),0,D5960/(7-E5960)*E5960*INDEX(Products!$E$2:$E$49,MATCH(C5960,Products!$A$2:$A$49,0)))</f>
        <v>0</v>
      </c>
    </row>
    <row r="5961" customFormat="false" ht="15" hidden="false" customHeight="false" outlineLevel="0" collapsed="false">
      <c r="A5961" s="36" t="n">
        <v>46181</v>
      </c>
      <c r="B5961" s="24" t="s">
        <v>65</v>
      </c>
      <c r="C5961" s="24" t="s">
        <v>207</v>
      </c>
      <c r="D5961" s="33" t="n">
        <v>55</v>
      </c>
      <c r="E5961" s="24" t="n">
        <v>0</v>
      </c>
      <c r="F5961" s="37" t="n">
        <f aca="false">DATE(YEAR(A5961),MONTH(A5961),1)</f>
        <v>46174</v>
      </c>
      <c r="G5961" s="24" t="str">
        <f aca="false">INDEX(Products!$C$2:$C$49,MATCH(C5961,Products!$A$2:$A$49,0))</f>
        <v>Snacks &amp; Confectionery</v>
      </c>
      <c r="H5961" s="33" t="n">
        <f aca="false">D5961*INDEX(Products!$E$2:$E$49,MATCH(C5961,Products!$A$2:$A$49,0))</f>
        <v>9900</v>
      </c>
      <c r="I5961" s="33" t="n">
        <f aca="false">D5961*INDEX(Products!$D$2:$D$49,MATCH(C5961,Products!$A$2:$A$49,0))*(1+INDEX(Assumptions!$B$16:$B$20,MATCH(B5961,Assumptions!$A$16:$A$20,0)))</f>
        <v>7068.6</v>
      </c>
      <c r="J5961" s="33" t="n">
        <f aca="false">H5961-I5961</f>
        <v>2831.4</v>
      </c>
      <c r="K5961" s="33" t="n">
        <f aca="false">IF(OR(E5961=0,E5961&gt;=7),0,D5961/(7-E5961)*E5961*INDEX(Products!$E$2:$E$49,MATCH(C5961,Products!$A$2:$A$49,0)))</f>
        <v>0</v>
      </c>
    </row>
    <row r="5962" customFormat="false" ht="15" hidden="false" customHeight="false" outlineLevel="0" collapsed="false">
      <c r="A5962" s="36" t="n">
        <v>46188</v>
      </c>
      <c r="B5962" s="24" t="s">
        <v>65</v>
      </c>
      <c r="C5962" s="24" t="s">
        <v>207</v>
      </c>
      <c r="D5962" s="33" t="n">
        <v>40</v>
      </c>
      <c r="E5962" s="24" t="n">
        <v>0</v>
      </c>
      <c r="F5962" s="37" t="n">
        <f aca="false">DATE(YEAR(A5962),MONTH(A5962),1)</f>
        <v>46174</v>
      </c>
      <c r="G5962" s="24" t="str">
        <f aca="false">INDEX(Products!$C$2:$C$49,MATCH(C5962,Products!$A$2:$A$49,0))</f>
        <v>Snacks &amp; Confectionery</v>
      </c>
      <c r="H5962" s="33" t="n">
        <f aca="false">D5962*INDEX(Products!$E$2:$E$49,MATCH(C5962,Products!$A$2:$A$49,0))</f>
        <v>7200</v>
      </c>
      <c r="I5962" s="33" t="n">
        <f aca="false">D5962*INDEX(Products!$D$2:$D$49,MATCH(C5962,Products!$A$2:$A$49,0))*(1+INDEX(Assumptions!$B$16:$B$20,MATCH(B5962,Assumptions!$A$16:$A$20,0)))</f>
        <v>5140.8</v>
      </c>
      <c r="J5962" s="33" t="n">
        <f aca="false">H5962-I5962</f>
        <v>2059.2</v>
      </c>
      <c r="K5962" s="33" t="n">
        <f aca="false">IF(OR(E5962=0,E5962&gt;=7),0,D5962/(7-E5962)*E5962*INDEX(Products!$E$2:$E$49,MATCH(C5962,Products!$A$2:$A$49,0)))</f>
        <v>0</v>
      </c>
    </row>
    <row r="5963" customFormat="false" ht="15" hidden="false" customHeight="false" outlineLevel="0" collapsed="false">
      <c r="A5963" s="36" t="n">
        <v>46195</v>
      </c>
      <c r="B5963" s="24" t="s">
        <v>65</v>
      </c>
      <c r="C5963" s="24" t="s">
        <v>207</v>
      </c>
      <c r="D5963" s="33" t="n">
        <v>51</v>
      </c>
      <c r="E5963" s="24" t="n">
        <v>0</v>
      </c>
      <c r="F5963" s="37" t="n">
        <f aca="false">DATE(YEAR(A5963),MONTH(A5963),1)</f>
        <v>46174</v>
      </c>
      <c r="G5963" s="24" t="str">
        <f aca="false">INDEX(Products!$C$2:$C$49,MATCH(C5963,Products!$A$2:$A$49,0))</f>
        <v>Snacks &amp; Confectionery</v>
      </c>
      <c r="H5963" s="33" t="n">
        <f aca="false">D5963*INDEX(Products!$E$2:$E$49,MATCH(C5963,Products!$A$2:$A$49,0))</f>
        <v>9180</v>
      </c>
      <c r="I5963" s="33" t="n">
        <f aca="false">D5963*INDEX(Products!$D$2:$D$49,MATCH(C5963,Products!$A$2:$A$49,0))*(1+INDEX(Assumptions!$B$16:$B$20,MATCH(B5963,Assumptions!$A$16:$A$20,0)))</f>
        <v>6554.52</v>
      </c>
      <c r="J5963" s="33" t="n">
        <f aca="false">H5963-I5963</f>
        <v>2625.48</v>
      </c>
      <c r="K5963" s="33" t="n">
        <f aca="false">IF(OR(E5963=0,E5963&gt;=7),0,D5963/(7-E5963)*E5963*INDEX(Products!$E$2:$E$49,MATCH(C5963,Products!$A$2:$A$49,0)))</f>
        <v>0</v>
      </c>
    </row>
    <row r="5964" customFormat="false" ht="15" hidden="false" customHeight="false" outlineLevel="0" collapsed="false">
      <c r="A5964" s="36" t="n">
        <v>46202</v>
      </c>
      <c r="B5964" s="24" t="s">
        <v>65</v>
      </c>
      <c r="C5964" s="24" t="s">
        <v>207</v>
      </c>
      <c r="D5964" s="33" t="n">
        <v>53</v>
      </c>
      <c r="E5964" s="24" t="n">
        <v>0</v>
      </c>
      <c r="F5964" s="37" t="n">
        <f aca="false">DATE(YEAR(A5964),MONTH(A5964),1)</f>
        <v>46174</v>
      </c>
      <c r="G5964" s="24" t="str">
        <f aca="false">INDEX(Products!$C$2:$C$49,MATCH(C5964,Products!$A$2:$A$49,0))</f>
        <v>Snacks &amp; Confectionery</v>
      </c>
      <c r="H5964" s="33" t="n">
        <f aca="false">D5964*INDEX(Products!$E$2:$E$49,MATCH(C5964,Products!$A$2:$A$49,0))</f>
        <v>9540</v>
      </c>
      <c r="I5964" s="33" t="n">
        <f aca="false">D5964*INDEX(Products!$D$2:$D$49,MATCH(C5964,Products!$A$2:$A$49,0))*(1+INDEX(Assumptions!$B$16:$B$20,MATCH(B5964,Assumptions!$A$16:$A$20,0)))</f>
        <v>6811.56</v>
      </c>
      <c r="J5964" s="33" t="n">
        <f aca="false">H5964-I5964</f>
        <v>2728.44</v>
      </c>
      <c r="K5964" s="33" t="n">
        <f aca="false">IF(OR(E5964=0,E5964&gt;=7),0,D5964/(7-E5964)*E5964*INDEX(Products!$E$2:$E$49,MATCH(C5964,Products!$A$2:$A$49,0)))</f>
        <v>0</v>
      </c>
    </row>
    <row r="5965" customFormat="false" ht="15" hidden="false" customHeight="false" outlineLevel="0" collapsed="false">
      <c r="A5965" s="36" t="n">
        <v>46209</v>
      </c>
      <c r="B5965" s="24" t="s">
        <v>65</v>
      </c>
      <c r="C5965" s="24" t="s">
        <v>207</v>
      </c>
      <c r="D5965" s="33" t="n">
        <v>40</v>
      </c>
      <c r="E5965" s="24" t="n">
        <v>0</v>
      </c>
      <c r="F5965" s="37" t="n">
        <f aca="false">DATE(YEAR(A5965),MONTH(A5965),1)</f>
        <v>46204</v>
      </c>
      <c r="G5965" s="24" t="str">
        <f aca="false">INDEX(Products!$C$2:$C$49,MATCH(C5965,Products!$A$2:$A$49,0))</f>
        <v>Snacks &amp; Confectionery</v>
      </c>
      <c r="H5965" s="33" t="n">
        <f aca="false">D5965*INDEX(Products!$E$2:$E$49,MATCH(C5965,Products!$A$2:$A$49,0))</f>
        <v>7200</v>
      </c>
      <c r="I5965" s="33" t="n">
        <f aca="false">D5965*INDEX(Products!$D$2:$D$49,MATCH(C5965,Products!$A$2:$A$49,0))*(1+INDEX(Assumptions!$B$16:$B$20,MATCH(B5965,Assumptions!$A$16:$A$20,0)))</f>
        <v>5140.8</v>
      </c>
      <c r="J5965" s="33" t="n">
        <f aca="false">H5965-I5965</f>
        <v>2059.2</v>
      </c>
      <c r="K5965" s="33" t="n">
        <f aca="false">IF(OR(E5965=0,E5965&gt;=7),0,D5965/(7-E5965)*E5965*INDEX(Products!$E$2:$E$49,MATCH(C5965,Products!$A$2:$A$49,0)))</f>
        <v>0</v>
      </c>
    </row>
    <row r="5966" customFormat="false" ht="15" hidden="false" customHeight="false" outlineLevel="0" collapsed="false">
      <c r="A5966" s="36" t="n">
        <v>46216</v>
      </c>
      <c r="B5966" s="24" t="s">
        <v>65</v>
      </c>
      <c r="C5966" s="24" t="s">
        <v>207</v>
      </c>
      <c r="D5966" s="33" t="n">
        <v>36</v>
      </c>
      <c r="E5966" s="24" t="n">
        <v>0</v>
      </c>
      <c r="F5966" s="37" t="n">
        <f aca="false">DATE(YEAR(A5966),MONTH(A5966),1)</f>
        <v>46204</v>
      </c>
      <c r="G5966" s="24" t="str">
        <f aca="false">INDEX(Products!$C$2:$C$49,MATCH(C5966,Products!$A$2:$A$49,0))</f>
        <v>Snacks &amp; Confectionery</v>
      </c>
      <c r="H5966" s="33" t="n">
        <f aca="false">D5966*INDEX(Products!$E$2:$E$49,MATCH(C5966,Products!$A$2:$A$49,0))</f>
        <v>6480</v>
      </c>
      <c r="I5966" s="33" t="n">
        <f aca="false">D5966*INDEX(Products!$D$2:$D$49,MATCH(C5966,Products!$A$2:$A$49,0))*(1+INDEX(Assumptions!$B$16:$B$20,MATCH(B5966,Assumptions!$A$16:$A$20,0)))</f>
        <v>4626.72</v>
      </c>
      <c r="J5966" s="33" t="n">
        <f aca="false">H5966-I5966</f>
        <v>1853.28</v>
      </c>
      <c r="K5966" s="33" t="n">
        <f aca="false">IF(OR(E5966=0,E5966&gt;=7),0,D5966/(7-E5966)*E5966*INDEX(Products!$E$2:$E$49,MATCH(C5966,Products!$A$2:$A$49,0)))</f>
        <v>0</v>
      </c>
    </row>
    <row r="5967" customFormat="false" ht="15" hidden="false" customHeight="false" outlineLevel="0" collapsed="false">
      <c r="A5967" s="36" t="n">
        <v>46223</v>
      </c>
      <c r="B5967" s="24" t="s">
        <v>65</v>
      </c>
      <c r="C5967" s="24" t="s">
        <v>207</v>
      </c>
      <c r="D5967" s="33" t="n">
        <v>38</v>
      </c>
      <c r="E5967" s="24" t="n">
        <v>0</v>
      </c>
      <c r="F5967" s="37" t="n">
        <f aca="false">DATE(YEAR(A5967),MONTH(A5967),1)</f>
        <v>46204</v>
      </c>
      <c r="G5967" s="24" t="str">
        <f aca="false">INDEX(Products!$C$2:$C$49,MATCH(C5967,Products!$A$2:$A$49,0))</f>
        <v>Snacks &amp; Confectionery</v>
      </c>
      <c r="H5967" s="33" t="n">
        <f aca="false">D5967*INDEX(Products!$E$2:$E$49,MATCH(C5967,Products!$A$2:$A$49,0))</f>
        <v>6840</v>
      </c>
      <c r="I5967" s="33" t="n">
        <f aca="false">D5967*INDEX(Products!$D$2:$D$49,MATCH(C5967,Products!$A$2:$A$49,0))*(1+INDEX(Assumptions!$B$16:$B$20,MATCH(B5967,Assumptions!$A$16:$A$20,0)))</f>
        <v>4883.76</v>
      </c>
      <c r="J5967" s="33" t="n">
        <f aca="false">H5967-I5967</f>
        <v>1956.24</v>
      </c>
      <c r="K5967" s="33" t="n">
        <f aca="false">IF(OR(E5967=0,E5967&gt;=7),0,D5967/(7-E5967)*E5967*INDEX(Products!$E$2:$E$49,MATCH(C5967,Products!$A$2:$A$49,0)))</f>
        <v>0</v>
      </c>
    </row>
    <row r="5968" customFormat="false" ht="15" hidden="false" customHeight="false" outlineLevel="0" collapsed="false">
      <c r="A5968" s="36" t="n">
        <v>46230</v>
      </c>
      <c r="B5968" s="24" t="s">
        <v>65</v>
      </c>
      <c r="C5968" s="24" t="s">
        <v>207</v>
      </c>
      <c r="D5968" s="33" t="n">
        <v>48</v>
      </c>
      <c r="E5968" s="24" t="n">
        <v>0</v>
      </c>
      <c r="F5968" s="37" t="n">
        <f aca="false">DATE(YEAR(A5968),MONTH(A5968),1)</f>
        <v>46204</v>
      </c>
      <c r="G5968" s="24" t="str">
        <f aca="false">INDEX(Products!$C$2:$C$49,MATCH(C5968,Products!$A$2:$A$49,0))</f>
        <v>Snacks &amp; Confectionery</v>
      </c>
      <c r="H5968" s="33" t="n">
        <f aca="false">D5968*INDEX(Products!$E$2:$E$49,MATCH(C5968,Products!$A$2:$A$49,0))</f>
        <v>8640</v>
      </c>
      <c r="I5968" s="33" t="n">
        <f aca="false">D5968*INDEX(Products!$D$2:$D$49,MATCH(C5968,Products!$A$2:$A$49,0))*(1+INDEX(Assumptions!$B$16:$B$20,MATCH(B5968,Assumptions!$A$16:$A$20,0)))</f>
        <v>6168.96</v>
      </c>
      <c r="J5968" s="33" t="n">
        <f aca="false">H5968-I5968</f>
        <v>2471.04</v>
      </c>
      <c r="K5968" s="33" t="n">
        <f aca="false">IF(OR(E5968=0,E5968&gt;=7),0,D5968/(7-E5968)*E5968*INDEX(Products!$E$2:$E$49,MATCH(C5968,Products!$A$2:$A$49,0)))</f>
        <v>0</v>
      </c>
    </row>
    <row r="5969" customFormat="false" ht="15" hidden="false" customHeight="false" outlineLevel="0" collapsed="false">
      <c r="A5969" s="36" t="n">
        <v>46237</v>
      </c>
      <c r="B5969" s="24" t="s">
        <v>65</v>
      </c>
      <c r="C5969" s="24" t="s">
        <v>207</v>
      </c>
      <c r="D5969" s="33" t="n">
        <v>36</v>
      </c>
      <c r="E5969" s="24" t="n">
        <v>0</v>
      </c>
      <c r="F5969" s="37" t="n">
        <f aca="false">DATE(YEAR(A5969),MONTH(A5969),1)</f>
        <v>46235</v>
      </c>
      <c r="G5969" s="24" t="str">
        <f aca="false">INDEX(Products!$C$2:$C$49,MATCH(C5969,Products!$A$2:$A$49,0))</f>
        <v>Snacks &amp; Confectionery</v>
      </c>
      <c r="H5969" s="33" t="n">
        <f aca="false">D5969*INDEX(Products!$E$2:$E$49,MATCH(C5969,Products!$A$2:$A$49,0))</f>
        <v>6480</v>
      </c>
      <c r="I5969" s="33" t="n">
        <f aca="false">D5969*INDEX(Products!$D$2:$D$49,MATCH(C5969,Products!$A$2:$A$49,0))*(1+INDEX(Assumptions!$B$16:$B$20,MATCH(B5969,Assumptions!$A$16:$A$20,0)))</f>
        <v>4626.72</v>
      </c>
      <c r="J5969" s="33" t="n">
        <f aca="false">H5969-I5969</f>
        <v>1853.28</v>
      </c>
      <c r="K5969" s="33" t="n">
        <f aca="false">IF(OR(E5969=0,E5969&gt;=7),0,D5969/(7-E5969)*E5969*INDEX(Products!$E$2:$E$49,MATCH(C5969,Products!$A$2:$A$49,0)))</f>
        <v>0</v>
      </c>
    </row>
    <row r="5970" customFormat="false" ht="15" hidden="false" customHeight="false" outlineLevel="0" collapsed="false">
      <c r="A5970" s="36" t="n">
        <v>46244</v>
      </c>
      <c r="B5970" s="24" t="s">
        <v>65</v>
      </c>
      <c r="C5970" s="24" t="s">
        <v>207</v>
      </c>
      <c r="D5970" s="33" t="n">
        <v>44</v>
      </c>
      <c r="E5970" s="24" t="n">
        <v>0</v>
      </c>
      <c r="F5970" s="37" t="n">
        <f aca="false">DATE(YEAR(A5970),MONTH(A5970),1)</f>
        <v>46235</v>
      </c>
      <c r="G5970" s="24" t="str">
        <f aca="false">INDEX(Products!$C$2:$C$49,MATCH(C5970,Products!$A$2:$A$49,0))</f>
        <v>Snacks &amp; Confectionery</v>
      </c>
      <c r="H5970" s="33" t="n">
        <f aca="false">D5970*INDEX(Products!$E$2:$E$49,MATCH(C5970,Products!$A$2:$A$49,0))</f>
        <v>7920</v>
      </c>
      <c r="I5970" s="33" t="n">
        <f aca="false">D5970*INDEX(Products!$D$2:$D$49,MATCH(C5970,Products!$A$2:$A$49,0))*(1+INDEX(Assumptions!$B$16:$B$20,MATCH(B5970,Assumptions!$A$16:$A$20,0)))</f>
        <v>5654.88</v>
      </c>
      <c r="J5970" s="33" t="n">
        <f aca="false">H5970-I5970</f>
        <v>2265.12</v>
      </c>
      <c r="K5970" s="33" t="n">
        <f aca="false">IF(OR(E5970=0,E5970&gt;=7),0,D5970/(7-E5970)*E5970*INDEX(Products!$E$2:$E$49,MATCH(C5970,Products!$A$2:$A$49,0)))</f>
        <v>0</v>
      </c>
    </row>
    <row r="5971" customFormat="false" ht="15" hidden="false" customHeight="false" outlineLevel="0" collapsed="false">
      <c r="A5971" s="36" t="n">
        <v>46251</v>
      </c>
      <c r="B5971" s="24" t="s">
        <v>65</v>
      </c>
      <c r="C5971" s="24" t="s">
        <v>207</v>
      </c>
      <c r="D5971" s="33" t="n">
        <v>44</v>
      </c>
      <c r="E5971" s="24" t="n">
        <v>0</v>
      </c>
      <c r="F5971" s="37" t="n">
        <f aca="false">DATE(YEAR(A5971),MONTH(A5971),1)</f>
        <v>46235</v>
      </c>
      <c r="G5971" s="24" t="str">
        <f aca="false">INDEX(Products!$C$2:$C$49,MATCH(C5971,Products!$A$2:$A$49,0))</f>
        <v>Snacks &amp; Confectionery</v>
      </c>
      <c r="H5971" s="33" t="n">
        <f aca="false">D5971*INDEX(Products!$E$2:$E$49,MATCH(C5971,Products!$A$2:$A$49,0))</f>
        <v>7920</v>
      </c>
      <c r="I5971" s="33" t="n">
        <f aca="false">D5971*INDEX(Products!$D$2:$D$49,MATCH(C5971,Products!$A$2:$A$49,0))*(1+INDEX(Assumptions!$B$16:$B$20,MATCH(B5971,Assumptions!$A$16:$A$20,0)))</f>
        <v>5654.88</v>
      </c>
      <c r="J5971" s="33" t="n">
        <f aca="false">H5971-I5971</f>
        <v>2265.12</v>
      </c>
      <c r="K5971" s="33" t="n">
        <f aca="false">IF(OR(E5971=0,E5971&gt;=7),0,D5971/(7-E5971)*E5971*INDEX(Products!$E$2:$E$49,MATCH(C5971,Products!$A$2:$A$49,0)))</f>
        <v>0</v>
      </c>
    </row>
    <row r="5972" customFormat="false" ht="15" hidden="false" customHeight="false" outlineLevel="0" collapsed="false">
      <c r="A5972" s="36" t="n">
        <v>46258</v>
      </c>
      <c r="B5972" s="24" t="s">
        <v>65</v>
      </c>
      <c r="C5972" s="24" t="s">
        <v>207</v>
      </c>
      <c r="D5972" s="33" t="n">
        <v>56</v>
      </c>
      <c r="E5972" s="24" t="n">
        <v>0</v>
      </c>
      <c r="F5972" s="37" t="n">
        <f aca="false">DATE(YEAR(A5972),MONTH(A5972),1)</f>
        <v>46235</v>
      </c>
      <c r="G5972" s="24" t="str">
        <f aca="false">INDEX(Products!$C$2:$C$49,MATCH(C5972,Products!$A$2:$A$49,0))</f>
        <v>Snacks &amp; Confectionery</v>
      </c>
      <c r="H5972" s="33" t="n">
        <f aca="false">D5972*INDEX(Products!$E$2:$E$49,MATCH(C5972,Products!$A$2:$A$49,0))</f>
        <v>10080</v>
      </c>
      <c r="I5972" s="33" t="n">
        <f aca="false">D5972*INDEX(Products!$D$2:$D$49,MATCH(C5972,Products!$A$2:$A$49,0))*(1+INDEX(Assumptions!$B$16:$B$20,MATCH(B5972,Assumptions!$A$16:$A$20,0)))</f>
        <v>7197.12</v>
      </c>
      <c r="J5972" s="33" t="n">
        <f aca="false">H5972-I5972</f>
        <v>2882.88</v>
      </c>
      <c r="K5972" s="33" t="n">
        <f aca="false">IF(OR(E5972=0,E5972&gt;=7),0,D5972/(7-E5972)*E5972*INDEX(Products!$E$2:$E$49,MATCH(C5972,Products!$A$2:$A$49,0)))</f>
        <v>0</v>
      </c>
    </row>
    <row r="5973" customFormat="false" ht="15" hidden="false" customHeight="false" outlineLevel="0" collapsed="false">
      <c r="A5973" s="36" t="n">
        <v>46265</v>
      </c>
      <c r="B5973" s="24" t="s">
        <v>65</v>
      </c>
      <c r="C5973" s="24" t="s">
        <v>207</v>
      </c>
      <c r="D5973" s="33" t="n">
        <v>57</v>
      </c>
      <c r="E5973" s="24" t="n">
        <v>0</v>
      </c>
      <c r="F5973" s="37" t="n">
        <f aca="false">DATE(YEAR(A5973),MONTH(A5973),1)</f>
        <v>46235</v>
      </c>
      <c r="G5973" s="24" t="str">
        <f aca="false">INDEX(Products!$C$2:$C$49,MATCH(C5973,Products!$A$2:$A$49,0))</f>
        <v>Snacks &amp; Confectionery</v>
      </c>
      <c r="H5973" s="33" t="n">
        <f aca="false">D5973*INDEX(Products!$E$2:$E$49,MATCH(C5973,Products!$A$2:$A$49,0))</f>
        <v>10260</v>
      </c>
      <c r="I5973" s="33" t="n">
        <f aca="false">D5973*INDEX(Products!$D$2:$D$49,MATCH(C5973,Products!$A$2:$A$49,0))*(1+INDEX(Assumptions!$B$16:$B$20,MATCH(B5973,Assumptions!$A$16:$A$20,0)))</f>
        <v>7325.64</v>
      </c>
      <c r="J5973" s="33" t="n">
        <f aca="false">H5973-I5973</f>
        <v>2934.36</v>
      </c>
      <c r="K5973" s="33" t="n">
        <f aca="false">IF(OR(E5973=0,E5973&gt;=7),0,D5973/(7-E5973)*E5973*INDEX(Products!$E$2:$E$49,MATCH(C5973,Products!$A$2:$A$49,0)))</f>
        <v>0</v>
      </c>
    </row>
    <row r="5974" customFormat="false" ht="15" hidden="false" customHeight="false" outlineLevel="0" collapsed="false">
      <c r="A5974" s="36" t="n">
        <v>46272</v>
      </c>
      <c r="B5974" s="24" t="s">
        <v>65</v>
      </c>
      <c r="C5974" s="24" t="s">
        <v>207</v>
      </c>
      <c r="D5974" s="33" t="n">
        <v>52</v>
      </c>
      <c r="E5974" s="24" t="n">
        <v>0</v>
      </c>
      <c r="F5974" s="37" t="n">
        <f aca="false">DATE(YEAR(A5974),MONTH(A5974),1)</f>
        <v>46266</v>
      </c>
      <c r="G5974" s="24" t="str">
        <f aca="false">INDEX(Products!$C$2:$C$49,MATCH(C5974,Products!$A$2:$A$49,0))</f>
        <v>Snacks &amp; Confectionery</v>
      </c>
      <c r="H5974" s="33" t="n">
        <f aca="false">D5974*INDEX(Products!$E$2:$E$49,MATCH(C5974,Products!$A$2:$A$49,0))</f>
        <v>9360</v>
      </c>
      <c r="I5974" s="33" t="n">
        <f aca="false">D5974*INDEX(Products!$D$2:$D$49,MATCH(C5974,Products!$A$2:$A$49,0))*(1+INDEX(Assumptions!$B$16:$B$20,MATCH(B5974,Assumptions!$A$16:$A$20,0)))</f>
        <v>6683.04</v>
      </c>
      <c r="J5974" s="33" t="n">
        <f aca="false">H5974-I5974</f>
        <v>2676.96</v>
      </c>
      <c r="K5974" s="33" t="n">
        <f aca="false">IF(OR(E5974=0,E5974&gt;=7),0,D5974/(7-E5974)*E5974*INDEX(Products!$E$2:$E$49,MATCH(C5974,Products!$A$2:$A$49,0)))</f>
        <v>0</v>
      </c>
    </row>
    <row r="5975" customFormat="false" ht="15" hidden="false" customHeight="false" outlineLevel="0" collapsed="false">
      <c r="A5975" s="36" t="n">
        <v>46279</v>
      </c>
      <c r="B5975" s="24" t="s">
        <v>65</v>
      </c>
      <c r="C5975" s="24" t="s">
        <v>207</v>
      </c>
      <c r="D5975" s="33" t="n">
        <v>44</v>
      </c>
      <c r="E5975" s="24" t="n">
        <v>0</v>
      </c>
      <c r="F5975" s="37" t="n">
        <f aca="false">DATE(YEAR(A5975),MONTH(A5975),1)</f>
        <v>46266</v>
      </c>
      <c r="G5975" s="24" t="str">
        <f aca="false">INDEX(Products!$C$2:$C$49,MATCH(C5975,Products!$A$2:$A$49,0))</f>
        <v>Snacks &amp; Confectionery</v>
      </c>
      <c r="H5975" s="33" t="n">
        <f aca="false">D5975*INDEX(Products!$E$2:$E$49,MATCH(C5975,Products!$A$2:$A$49,0))</f>
        <v>7920</v>
      </c>
      <c r="I5975" s="33" t="n">
        <f aca="false">D5975*INDEX(Products!$D$2:$D$49,MATCH(C5975,Products!$A$2:$A$49,0))*(1+INDEX(Assumptions!$B$16:$B$20,MATCH(B5975,Assumptions!$A$16:$A$20,0)))</f>
        <v>5654.88</v>
      </c>
      <c r="J5975" s="33" t="n">
        <f aca="false">H5975-I5975</f>
        <v>2265.12</v>
      </c>
      <c r="K5975" s="33" t="n">
        <f aca="false">IF(OR(E5975=0,E5975&gt;=7),0,D5975/(7-E5975)*E5975*INDEX(Products!$E$2:$E$49,MATCH(C5975,Products!$A$2:$A$49,0)))</f>
        <v>0</v>
      </c>
    </row>
    <row r="5976" customFormat="false" ht="15" hidden="false" customHeight="false" outlineLevel="0" collapsed="false">
      <c r="A5976" s="36" t="n">
        <v>46286</v>
      </c>
      <c r="B5976" s="24" t="s">
        <v>65</v>
      </c>
      <c r="C5976" s="24" t="s">
        <v>207</v>
      </c>
      <c r="D5976" s="33" t="n">
        <v>47</v>
      </c>
      <c r="E5976" s="24" t="n">
        <v>0</v>
      </c>
      <c r="F5976" s="37" t="n">
        <f aca="false">DATE(YEAR(A5976),MONTH(A5976),1)</f>
        <v>46266</v>
      </c>
      <c r="G5976" s="24" t="str">
        <f aca="false">INDEX(Products!$C$2:$C$49,MATCH(C5976,Products!$A$2:$A$49,0))</f>
        <v>Snacks &amp; Confectionery</v>
      </c>
      <c r="H5976" s="33" t="n">
        <f aca="false">D5976*INDEX(Products!$E$2:$E$49,MATCH(C5976,Products!$A$2:$A$49,0))</f>
        <v>8460</v>
      </c>
      <c r="I5976" s="33" t="n">
        <f aca="false">D5976*INDEX(Products!$D$2:$D$49,MATCH(C5976,Products!$A$2:$A$49,0))*(1+INDEX(Assumptions!$B$16:$B$20,MATCH(B5976,Assumptions!$A$16:$A$20,0)))</f>
        <v>6040.44</v>
      </c>
      <c r="J5976" s="33" t="n">
        <f aca="false">H5976-I5976</f>
        <v>2419.56</v>
      </c>
      <c r="K5976" s="33" t="n">
        <f aca="false">IF(OR(E5976=0,E5976&gt;=7),0,D5976/(7-E5976)*E5976*INDEX(Products!$E$2:$E$49,MATCH(C5976,Products!$A$2:$A$49,0)))</f>
        <v>0</v>
      </c>
    </row>
    <row r="5977" customFormat="false" ht="15" hidden="false" customHeight="false" outlineLevel="0" collapsed="false">
      <c r="A5977" s="36" t="n">
        <v>46118</v>
      </c>
      <c r="B5977" s="24" t="s">
        <v>65</v>
      </c>
      <c r="C5977" s="24" t="s">
        <v>209</v>
      </c>
      <c r="D5977" s="33" t="n">
        <v>89</v>
      </c>
      <c r="E5977" s="24" t="n">
        <v>0</v>
      </c>
      <c r="F5977" s="37" t="n">
        <f aca="false">DATE(YEAR(A5977),MONTH(A5977),1)</f>
        <v>46113</v>
      </c>
      <c r="G5977" s="24" t="str">
        <f aca="false">INDEX(Products!$C$2:$C$49,MATCH(C5977,Products!$A$2:$A$49,0))</f>
        <v>Snacks &amp; Confectionery</v>
      </c>
      <c r="H5977" s="33" t="n">
        <f aca="false">D5977*INDEX(Products!$E$2:$E$49,MATCH(C5977,Products!$A$2:$A$49,0))</f>
        <v>6230</v>
      </c>
      <c r="I5977" s="33" t="n">
        <f aca="false">D5977*INDEX(Products!$D$2:$D$49,MATCH(C5977,Products!$A$2:$A$49,0))*(1+INDEX(Assumptions!$B$16:$B$20,MATCH(B5977,Assumptions!$A$16:$A$20,0)))</f>
        <v>4266.66</v>
      </c>
      <c r="J5977" s="33" t="n">
        <f aca="false">H5977-I5977</f>
        <v>1963.34</v>
      </c>
      <c r="K5977" s="33" t="n">
        <f aca="false">IF(OR(E5977=0,E5977&gt;=7),0,D5977/(7-E5977)*E5977*INDEX(Products!$E$2:$E$49,MATCH(C5977,Products!$A$2:$A$49,0)))</f>
        <v>0</v>
      </c>
    </row>
    <row r="5978" customFormat="false" ht="15" hidden="false" customHeight="false" outlineLevel="0" collapsed="false">
      <c r="A5978" s="36" t="n">
        <v>46125</v>
      </c>
      <c r="B5978" s="24" t="s">
        <v>65</v>
      </c>
      <c r="C5978" s="24" t="s">
        <v>209</v>
      </c>
      <c r="D5978" s="33" t="n">
        <v>40</v>
      </c>
      <c r="E5978" s="24" t="n">
        <v>0</v>
      </c>
      <c r="F5978" s="37" t="n">
        <f aca="false">DATE(YEAR(A5978),MONTH(A5978),1)</f>
        <v>46113</v>
      </c>
      <c r="G5978" s="24" t="str">
        <f aca="false">INDEX(Products!$C$2:$C$49,MATCH(C5978,Products!$A$2:$A$49,0))</f>
        <v>Snacks &amp; Confectionery</v>
      </c>
      <c r="H5978" s="33" t="n">
        <f aca="false">D5978*INDEX(Products!$E$2:$E$49,MATCH(C5978,Products!$A$2:$A$49,0))</f>
        <v>2800</v>
      </c>
      <c r="I5978" s="33" t="n">
        <f aca="false">D5978*INDEX(Products!$D$2:$D$49,MATCH(C5978,Products!$A$2:$A$49,0))*(1+INDEX(Assumptions!$B$16:$B$20,MATCH(B5978,Assumptions!$A$16:$A$20,0)))</f>
        <v>1917.6</v>
      </c>
      <c r="J5978" s="33" t="n">
        <f aca="false">H5978-I5978</f>
        <v>882.4</v>
      </c>
      <c r="K5978" s="33" t="n">
        <f aca="false">IF(OR(E5978=0,E5978&gt;=7),0,D5978/(7-E5978)*E5978*INDEX(Products!$E$2:$E$49,MATCH(C5978,Products!$A$2:$A$49,0)))</f>
        <v>0</v>
      </c>
    </row>
    <row r="5979" customFormat="false" ht="15" hidden="false" customHeight="false" outlineLevel="0" collapsed="false">
      <c r="A5979" s="36" t="n">
        <v>46132</v>
      </c>
      <c r="B5979" s="24" t="s">
        <v>65</v>
      </c>
      <c r="C5979" s="24" t="s">
        <v>209</v>
      </c>
      <c r="D5979" s="33" t="n">
        <v>71</v>
      </c>
      <c r="E5979" s="24" t="n">
        <v>0</v>
      </c>
      <c r="F5979" s="37" t="n">
        <f aca="false">DATE(YEAR(A5979),MONTH(A5979),1)</f>
        <v>46113</v>
      </c>
      <c r="G5979" s="24" t="str">
        <f aca="false">INDEX(Products!$C$2:$C$49,MATCH(C5979,Products!$A$2:$A$49,0))</f>
        <v>Snacks &amp; Confectionery</v>
      </c>
      <c r="H5979" s="33" t="n">
        <f aca="false">D5979*INDEX(Products!$E$2:$E$49,MATCH(C5979,Products!$A$2:$A$49,0))</f>
        <v>4970</v>
      </c>
      <c r="I5979" s="33" t="n">
        <f aca="false">D5979*INDEX(Products!$D$2:$D$49,MATCH(C5979,Products!$A$2:$A$49,0))*(1+INDEX(Assumptions!$B$16:$B$20,MATCH(B5979,Assumptions!$A$16:$A$20,0)))</f>
        <v>3403.74</v>
      </c>
      <c r="J5979" s="33" t="n">
        <f aca="false">H5979-I5979</f>
        <v>1566.26</v>
      </c>
      <c r="K5979" s="33" t="n">
        <f aca="false">IF(OR(E5979=0,E5979&gt;=7),0,D5979/(7-E5979)*E5979*INDEX(Products!$E$2:$E$49,MATCH(C5979,Products!$A$2:$A$49,0)))</f>
        <v>0</v>
      </c>
    </row>
    <row r="5980" customFormat="false" ht="15" hidden="false" customHeight="false" outlineLevel="0" collapsed="false">
      <c r="A5980" s="36" t="n">
        <v>46139</v>
      </c>
      <c r="B5980" s="24" t="s">
        <v>65</v>
      </c>
      <c r="C5980" s="24" t="s">
        <v>209</v>
      </c>
      <c r="D5980" s="33" t="n">
        <v>79</v>
      </c>
      <c r="E5980" s="24" t="n">
        <v>0</v>
      </c>
      <c r="F5980" s="37" t="n">
        <f aca="false">DATE(YEAR(A5980),MONTH(A5980),1)</f>
        <v>46113</v>
      </c>
      <c r="G5980" s="24" t="str">
        <f aca="false">INDEX(Products!$C$2:$C$49,MATCH(C5980,Products!$A$2:$A$49,0))</f>
        <v>Snacks &amp; Confectionery</v>
      </c>
      <c r="H5980" s="33" t="n">
        <f aca="false">D5980*INDEX(Products!$E$2:$E$49,MATCH(C5980,Products!$A$2:$A$49,0))</f>
        <v>5530</v>
      </c>
      <c r="I5980" s="33" t="n">
        <f aca="false">D5980*INDEX(Products!$D$2:$D$49,MATCH(C5980,Products!$A$2:$A$49,0))*(1+INDEX(Assumptions!$B$16:$B$20,MATCH(B5980,Assumptions!$A$16:$A$20,0)))</f>
        <v>3787.26</v>
      </c>
      <c r="J5980" s="33" t="n">
        <f aca="false">H5980-I5980</f>
        <v>1742.74</v>
      </c>
      <c r="K5980" s="33" t="n">
        <f aca="false">IF(OR(E5980=0,E5980&gt;=7),0,D5980/(7-E5980)*E5980*INDEX(Products!$E$2:$E$49,MATCH(C5980,Products!$A$2:$A$49,0)))</f>
        <v>0</v>
      </c>
    </row>
    <row r="5981" customFormat="false" ht="15" hidden="false" customHeight="false" outlineLevel="0" collapsed="false">
      <c r="A5981" s="36" t="n">
        <v>46146</v>
      </c>
      <c r="B5981" s="24" t="s">
        <v>65</v>
      </c>
      <c r="C5981" s="24" t="s">
        <v>209</v>
      </c>
      <c r="D5981" s="33" t="n">
        <v>59</v>
      </c>
      <c r="E5981" s="24" t="n">
        <v>0</v>
      </c>
      <c r="F5981" s="37" t="n">
        <f aca="false">DATE(YEAR(A5981),MONTH(A5981),1)</f>
        <v>46143</v>
      </c>
      <c r="G5981" s="24" t="str">
        <f aca="false">INDEX(Products!$C$2:$C$49,MATCH(C5981,Products!$A$2:$A$49,0))</f>
        <v>Snacks &amp; Confectionery</v>
      </c>
      <c r="H5981" s="33" t="n">
        <f aca="false">D5981*INDEX(Products!$E$2:$E$49,MATCH(C5981,Products!$A$2:$A$49,0))</f>
        <v>4130</v>
      </c>
      <c r="I5981" s="33" t="n">
        <f aca="false">D5981*INDEX(Products!$D$2:$D$49,MATCH(C5981,Products!$A$2:$A$49,0))*(1+INDEX(Assumptions!$B$16:$B$20,MATCH(B5981,Assumptions!$A$16:$A$20,0)))</f>
        <v>2828.46</v>
      </c>
      <c r="J5981" s="33" t="n">
        <f aca="false">H5981-I5981</f>
        <v>1301.54</v>
      </c>
      <c r="K5981" s="33" t="n">
        <f aca="false">IF(OR(E5981=0,E5981&gt;=7),0,D5981/(7-E5981)*E5981*INDEX(Products!$E$2:$E$49,MATCH(C5981,Products!$A$2:$A$49,0)))</f>
        <v>0</v>
      </c>
    </row>
    <row r="5982" customFormat="false" ht="15" hidden="false" customHeight="false" outlineLevel="0" collapsed="false">
      <c r="A5982" s="36" t="n">
        <v>46153</v>
      </c>
      <c r="B5982" s="24" t="s">
        <v>65</v>
      </c>
      <c r="C5982" s="24" t="s">
        <v>209</v>
      </c>
      <c r="D5982" s="33" t="n">
        <v>74</v>
      </c>
      <c r="E5982" s="24" t="n">
        <v>0</v>
      </c>
      <c r="F5982" s="37" t="n">
        <f aca="false">DATE(YEAR(A5982),MONTH(A5982),1)</f>
        <v>46143</v>
      </c>
      <c r="G5982" s="24" t="str">
        <f aca="false">INDEX(Products!$C$2:$C$49,MATCH(C5982,Products!$A$2:$A$49,0))</f>
        <v>Snacks &amp; Confectionery</v>
      </c>
      <c r="H5982" s="33" t="n">
        <f aca="false">D5982*INDEX(Products!$E$2:$E$49,MATCH(C5982,Products!$A$2:$A$49,0))</f>
        <v>5180</v>
      </c>
      <c r="I5982" s="33" t="n">
        <f aca="false">D5982*INDEX(Products!$D$2:$D$49,MATCH(C5982,Products!$A$2:$A$49,0))*(1+INDEX(Assumptions!$B$16:$B$20,MATCH(B5982,Assumptions!$A$16:$A$20,0)))</f>
        <v>3547.56</v>
      </c>
      <c r="J5982" s="33" t="n">
        <f aca="false">H5982-I5982</f>
        <v>1632.44</v>
      </c>
      <c r="K5982" s="33" t="n">
        <f aca="false">IF(OR(E5982=0,E5982&gt;=7),0,D5982/(7-E5982)*E5982*INDEX(Products!$E$2:$E$49,MATCH(C5982,Products!$A$2:$A$49,0)))</f>
        <v>0</v>
      </c>
    </row>
    <row r="5983" customFormat="false" ht="15" hidden="false" customHeight="false" outlineLevel="0" collapsed="false">
      <c r="A5983" s="36" t="n">
        <v>46160</v>
      </c>
      <c r="B5983" s="24" t="s">
        <v>65</v>
      </c>
      <c r="C5983" s="24" t="s">
        <v>209</v>
      </c>
      <c r="D5983" s="33" t="n">
        <v>68</v>
      </c>
      <c r="E5983" s="24" t="n">
        <v>0</v>
      </c>
      <c r="F5983" s="37" t="n">
        <f aca="false">DATE(YEAR(A5983),MONTH(A5983),1)</f>
        <v>46143</v>
      </c>
      <c r="G5983" s="24" t="str">
        <f aca="false">INDEX(Products!$C$2:$C$49,MATCH(C5983,Products!$A$2:$A$49,0))</f>
        <v>Snacks &amp; Confectionery</v>
      </c>
      <c r="H5983" s="33" t="n">
        <f aca="false">D5983*INDEX(Products!$E$2:$E$49,MATCH(C5983,Products!$A$2:$A$49,0))</f>
        <v>4760</v>
      </c>
      <c r="I5983" s="33" t="n">
        <f aca="false">D5983*INDEX(Products!$D$2:$D$49,MATCH(C5983,Products!$A$2:$A$49,0))*(1+INDEX(Assumptions!$B$16:$B$20,MATCH(B5983,Assumptions!$A$16:$A$20,0)))</f>
        <v>3259.92</v>
      </c>
      <c r="J5983" s="33" t="n">
        <f aca="false">H5983-I5983</f>
        <v>1500.08</v>
      </c>
      <c r="K5983" s="33" t="n">
        <f aca="false">IF(OR(E5983=0,E5983&gt;=7),0,D5983/(7-E5983)*E5983*INDEX(Products!$E$2:$E$49,MATCH(C5983,Products!$A$2:$A$49,0)))</f>
        <v>0</v>
      </c>
    </row>
    <row r="5984" customFormat="false" ht="15" hidden="false" customHeight="false" outlineLevel="0" collapsed="false">
      <c r="A5984" s="36" t="n">
        <v>46167</v>
      </c>
      <c r="B5984" s="24" t="s">
        <v>65</v>
      </c>
      <c r="C5984" s="24" t="s">
        <v>209</v>
      </c>
      <c r="D5984" s="33" t="n">
        <v>76</v>
      </c>
      <c r="E5984" s="24" t="n">
        <v>0</v>
      </c>
      <c r="F5984" s="37" t="n">
        <f aca="false">DATE(YEAR(A5984),MONTH(A5984),1)</f>
        <v>46143</v>
      </c>
      <c r="G5984" s="24" t="str">
        <f aca="false">INDEX(Products!$C$2:$C$49,MATCH(C5984,Products!$A$2:$A$49,0))</f>
        <v>Snacks &amp; Confectionery</v>
      </c>
      <c r="H5984" s="33" t="n">
        <f aca="false">D5984*INDEX(Products!$E$2:$E$49,MATCH(C5984,Products!$A$2:$A$49,0))</f>
        <v>5320</v>
      </c>
      <c r="I5984" s="33" t="n">
        <f aca="false">D5984*INDEX(Products!$D$2:$D$49,MATCH(C5984,Products!$A$2:$A$49,0))*(1+INDEX(Assumptions!$B$16:$B$20,MATCH(B5984,Assumptions!$A$16:$A$20,0)))</f>
        <v>3643.44</v>
      </c>
      <c r="J5984" s="33" t="n">
        <f aca="false">H5984-I5984</f>
        <v>1676.56</v>
      </c>
      <c r="K5984" s="33" t="n">
        <f aca="false">IF(OR(E5984=0,E5984&gt;=7),0,D5984/(7-E5984)*E5984*INDEX(Products!$E$2:$E$49,MATCH(C5984,Products!$A$2:$A$49,0)))</f>
        <v>0</v>
      </c>
    </row>
    <row r="5985" customFormat="false" ht="15" hidden="false" customHeight="false" outlineLevel="0" collapsed="false">
      <c r="A5985" s="36" t="n">
        <v>46174</v>
      </c>
      <c r="B5985" s="24" t="s">
        <v>65</v>
      </c>
      <c r="C5985" s="24" t="s">
        <v>209</v>
      </c>
      <c r="D5985" s="33" t="n">
        <v>90</v>
      </c>
      <c r="E5985" s="24" t="n">
        <v>0</v>
      </c>
      <c r="F5985" s="37" t="n">
        <f aca="false">DATE(YEAR(A5985),MONTH(A5985),1)</f>
        <v>46174</v>
      </c>
      <c r="G5985" s="24" t="str">
        <f aca="false">INDEX(Products!$C$2:$C$49,MATCH(C5985,Products!$A$2:$A$49,0))</f>
        <v>Snacks &amp; Confectionery</v>
      </c>
      <c r="H5985" s="33" t="n">
        <f aca="false">D5985*INDEX(Products!$E$2:$E$49,MATCH(C5985,Products!$A$2:$A$49,0))</f>
        <v>6300</v>
      </c>
      <c r="I5985" s="33" t="n">
        <f aca="false">D5985*INDEX(Products!$D$2:$D$49,MATCH(C5985,Products!$A$2:$A$49,0))*(1+INDEX(Assumptions!$B$16:$B$20,MATCH(B5985,Assumptions!$A$16:$A$20,0)))</f>
        <v>4314.6</v>
      </c>
      <c r="J5985" s="33" t="n">
        <f aca="false">H5985-I5985</f>
        <v>1985.4</v>
      </c>
      <c r="K5985" s="33" t="n">
        <f aca="false">IF(OR(E5985=0,E5985&gt;=7),0,D5985/(7-E5985)*E5985*INDEX(Products!$E$2:$E$49,MATCH(C5985,Products!$A$2:$A$49,0)))</f>
        <v>0</v>
      </c>
    </row>
    <row r="5986" customFormat="false" ht="15" hidden="false" customHeight="false" outlineLevel="0" collapsed="false">
      <c r="A5986" s="36" t="n">
        <v>46181</v>
      </c>
      <c r="B5986" s="24" t="s">
        <v>65</v>
      </c>
      <c r="C5986" s="24" t="s">
        <v>209</v>
      </c>
      <c r="D5986" s="33" t="n">
        <v>75</v>
      </c>
      <c r="E5986" s="24" t="n">
        <v>0</v>
      </c>
      <c r="F5986" s="37" t="n">
        <f aca="false">DATE(YEAR(A5986),MONTH(A5986),1)</f>
        <v>46174</v>
      </c>
      <c r="G5986" s="24" t="str">
        <f aca="false">INDEX(Products!$C$2:$C$49,MATCH(C5986,Products!$A$2:$A$49,0))</f>
        <v>Snacks &amp; Confectionery</v>
      </c>
      <c r="H5986" s="33" t="n">
        <f aca="false">D5986*INDEX(Products!$E$2:$E$49,MATCH(C5986,Products!$A$2:$A$49,0))</f>
        <v>5250</v>
      </c>
      <c r="I5986" s="33" t="n">
        <f aca="false">D5986*INDEX(Products!$D$2:$D$49,MATCH(C5986,Products!$A$2:$A$49,0))*(1+INDEX(Assumptions!$B$16:$B$20,MATCH(B5986,Assumptions!$A$16:$A$20,0)))</f>
        <v>3595.5</v>
      </c>
      <c r="J5986" s="33" t="n">
        <f aca="false">H5986-I5986</f>
        <v>1654.5</v>
      </c>
      <c r="K5986" s="33" t="n">
        <f aca="false">IF(OR(E5986=0,E5986&gt;=7),0,D5986/(7-E5986)*E5986*INDEX(Products!$E$2:$E$49,MATCH(C5986,Products!$A$2:$A$49,0)))</f>
        <v>0</v>
      </c>
    </row>
    <row r="5987" customFormat="false" ht="15" hidden="false" customHeight="false" outlineLevel="0" collapsed="false">
      <c r="A5987" s="36" t="n">
        <v>46188</v>
      </c>
      <c r="B5987" s="24" t="s">
        <v>65</v>
      </c>
      <c r="C5987" s="24" t="s">
        <v>209</v>
      </c>
      <c r="D5987" s="33" t="n">
        <v>76</v>
      </c>
      <c r="E5987" s="24" t="n">
        <v>0</v>
      </c>
      <c r="F5987" s="37" t="n">
        <f aca="false">DATE(YEAR(A5987),MONTH(A5987),1)</f>
        <v>46174</v>
      </c>
      <c r="G5987" s="24" t="str">
        <f aca="false">INDEX(Products!$C$2:$C$49,MATCH(C5987,Products!$A$2:$A$49,0))</f>
        <v>Snacks &amp; Confectionery</v>
      </c>
      <c r="H5987" s="33" t="n">
        <f aca="false">D5987*INDEX(Products!$E$2:$E$49,MATCH(C5987,Products!$A$2:$A$49,0))</f>
        <v>5320</v>
      </c>
      <c r="I5987" s="33" t="n">
        <f aca="false">D5987*INDEX(Products!$D$2:$D$49,MATCH(C5987,Products!$A$2:$A$49,0))*(1+INDEX(Assumptions!$B$16:$B$20,MATCH(B5987,Assumptions!$A$16:$A$20,0)))</f>
        <v>3643.44</v>
      </c>
      <c r="J5987" s="33" t="n">
        <f aca="false">H5987-I5987</f>
        <v>1676.56</v>
      </c>
      <c r="K5987" s="33" t="n">
        <f aca="false">IF(OR(E5987=0,E5987&gt;=7),0,D5987/(7-E5987)*E5987*INDEX(Products!$E$2:$E$49,MATCH(C5987,Products!$A$2:$A$49,0)))</f>
        <v>0</v>
      </c>
    </row>
    <row r="5988" customFormat="false" ht="15" hidden="false" customHeight="false" outlineLevel="0" collapsed="false">
      <c r="A5988" s="36" t="n">
        <v>46195</v>
      </c>
      <c r="B5988" s="24" t="s">
        <v>65</v>
      </c>
      <c r="C5988" s="24" t="s">
        <v>209</v>
      </c>
      <c r="D5988" s="33" t="n">
        <v>89</v>
      </c>
      <c r="E5988" s="24" t="n">
        <v>0</v>
      </c>
      <c r="F5988" s="37" t="n">
        <f aca="false">DATE(YEAR(A5988),MONTH(A5988),1)</f>
        <v>46174</v>
      </c>
      <c r="G5988" s="24" t="str">
        <f aca="false">INDEX(Products!$C$2:$C$49,MATCH(C5988,Products!$A$2:$A$49,0))</f>
        <v>Snacks &amp; Confectionery</v>
      </c>
      <c r="H5988" s="33" t="n">
        <f aca="false">D5988*INDEX(Products!$E$2:$E$49,MATCH(C5988,Products!$A$2:$A$49,0))</f>
        <v>6230</v>
      </c>
      <c r="I5988" s="33" t="n">
        <f aca="false">D5988*INDEX(Products!$D$2:$D$49,MATCH(C5988,Products!$A$2:$A$49,0))*(1+INDEX(Assumptions!$B$16:$B$20,MATCH(B5988,Assumptions!$A$16:$A$20,0)))</f>
        <v>4266.66</v>
      </c>
      <c r="J5988" s="33" t="n">
        <f aca="false">H5988-I5988</f>
        <v>1963.34</v>
      </c>
      <c r="K5988" s="33" t="n">
        <f aca="false">IF(OR(E5988=0,E5988&gt;=7),0,D5988/(7-E5988)*E5988*INDEX(Products!$E$2:$E$49,MATCH(C5988,Products!$A$2:$A$49,0)))</f>
        <v>0</v>
      </c>
    </row>
    <row r="5989" customFormat="false" ht="15" hidden="false" customHeight="false" outlineLevel="0" collapsed="false">
      <c r="A5989" s="36" t="n">
        <v>46202</v>
      </c>
      <c r="B5989" s="24" t="s">
        <v>65</v>
      </c>
      <c r="C5989" s="24" t="s">
        <v>209</v>
      </c>
      <c r="D5989" s="33" t="n">
        <v>83</v>
      </c>
      <c r="E5989" s="24" t="n">
        <v>0</v>
      </c>
      <c r="F5989" s="37" t="n">
        <f aca="false">DATE(YEAR(A5989),MONTH(A5989),1)</f>
        <v>46174</v>
      </c>
      <c r="G5989" s="24" t="str">
        <f aca="false">INDEX(Products!$C$2:$C$49,MATCH(C5989,Products!$A$2:$A$49,0))</f>
        <v>Snacks &amp; Confectionery</v>
      </c>
      <c r="H5989" s="33" t="n">
        <f aca="false">D5989*INDEX(Products!$E$2:$E$49,MATCH(C5989,Products!$A$2:$A$49,0))</f>
        <v>5810</v>
      </c>
      <c r="I5989" s="33" t="n">
        <f aca="false">D5989*INDEX(Products!$D$2:$D$49,MATCH(C5989,Products!$A$2:$A$49,0))*(1+INDEX(Assumptions!$B$16:$B$20,MATCH(B5989,Assumptions!$A$16:$A$20,0)))</f>
        <v>3979.02</v>
      </c>
      <c r="J5989" s="33" t="n">
        <f aca="false">H5989-I5989</f>
        <v>1830.98</v>
      </c>
      <c r="K5989" s="33" t="n">
        <f aca="false">IF(OR(E5989=0,E5989&gt;=7),0,D5989/(7-E5989)*E5989*INDEX(Products!$E$2:$E$49,MATCH(C5989,Products!$A$2:$A$49,0)))</f>
        <v>0</v>
      </c>
    </row>
    <row r="5990" customFormat="false" ht="15" hidden="false" customHeight="false" outlineLevel="0" collapsed="false">
      <c r="A5990" s="36" t="n">
        <v>46209</v>
      </c>
      <c r="B5990" s="24" t="s">
        <v>65</v>
      </c>
      <c r="C5990" s="24" t="s">
        <v>209</v>
      </c>
      <c r="D5990" s="33" t="n">
        <v>59</v>
      </c>
      <c r="E5990" s="24" t="n">
        <v>0</v>
      </c>
      <c r="F5990" s="37" t="n">
        <f aca="false">DATE(YEAR(A5990),MONTH(A5990),1)</f>
        <v>46204</v>
      </c>
      <c r="G5990" s="24" t="str">
        <f aca="false">INDEX(Products!$C$2:$C$49,MATCH(C5990,Products!$A$2:$A$49,0))</f>
        <v>Snacks &amp; Confectionery</v>
      </c>
      <c r="H5990" s="33" t="n">
        <f aca="false">D5990*INDEX(Products!$E$2:$E$49,MATCH(C5990,Products!$A$2:$A$49,0))</f>
        <v>4130</v>
      </c>
      <c r="I5990" s="33" t="n">
        <f aca="false">D5990*INDEX(Products!$D$2:$D$49,MATCH(C5990,Products!$A$2:$A$49,0))*(1+INDEX(Assumptions!$B$16:$B$20,MATCH(B5990,Assumptions!$A$16:$A$20,0)))</f>
        <v>2828.46</v>
      </c>
      <c r="J5990" s="33" t="n">
        <f aca="false">H5990-I5990</f>
        <v>1301.54</v>
      </c>
      <c r="K5990" s="33" t="n">
        <f aca="false">IF(OR(E5990=0,E5990&gt;=7),0,D5990/(7-E5990)*E5990*INDEX(Products!$E$2:$E$49,MATCH(C5990,Products!$A$2:$A$49,0)))</f>
        <v>0</v>
      </c>
    </row>
    <row r="5991" customFormat="false" ht="15" hidden="false" customHeight="false" outlineLevel="0" collapsed="false">
      <c r="A5991" s="36" t="n">
        <v>46216</v>
      </c>
      <c r="B5991" s="24" t="s">
        <v>65</v>
      </c>
      <c r="C5991" s="24" t="s">
        <v>209</v>
      </c>
      <c r="D5991" s="33" t="n">
        <v>68</v>
      </c>
      <c r="E5991" s="24" t="n">
        <v>0</v>
      </c>
      <c r="F5991" s="37" t="n">
        <f aca="false">DATE(YEAR(A5991),MONTH(A5991),1)</f>
        <v>46204</v>
      </c>
      <c r="G5991" s="24" t="str">
        <f aca="false">INDEX(Products!$C$2:$C$49,MATCH(C5991,Products!$A$2:$A$49,0))</f>
        <v>Snacks &amp; Confectionery</v>
      </c>
      <c r="H5991" s="33" t="n">
        <f aca="false">D5991*INDEX(Products!$E$2:$E$49,MATCH(C5991,Products!$A$2:$A$49,0))</f>
        <v>4760</v>
      </c>
      <c r="I5991" s="33" t="n">
        <f aca="false">D5991*INDEX(Products!$D$2:$D$49,MATCH(C5991,Products!$A$2:$A$49,0))*(1+INDEX(Assumptions!$B$16:$B$20,MATCH(B5991,Assumptions!$A$16:$A$20,0)))</f>
        <v>3259.92</v>
      </c>
      <c r="J5991" s="33" t="n">
        <f aca="false">H5991-I5991</f>
        <v>1500.08</v>
      </c>
      <c r="K5991" s="33" t="n">
        <f aca="false">IF(OR(E5991=0,E5991&gt;=7),0,D5991/(7-E5991)*E5991*INDEX(Products!$E$2:$E$49,MATCH(C5991,Products!$A$2:$A$49,0)))</f>
        <v>0</v>
      </c>
    </row>
    <row r="5992" customFormat="false" ht="15" hidden="false" customHeight="false" outlineLevel="0" collapsed="false">
      <c r="A5992" s="36" t="n">
        <v>46223</v>
      </c>
      <c r="B5992" s="24" t="s">
        <v>65</v>
      </c>
      <c r="C5992" s="24" t="s">
        <v>209</v>
      </c>
      <c r="D5992" s="33" t="n">
        <v>100</v>
      </c>
      <c r="E5992" s="24" t="n">
        <v>0</v>
      </c>
      <c r="F5992" s="37" t="n">
        <f aca="false">DATE(YEAR(A5992),MONTH(A5992),1)</f>
        <v>46204</v>
      </c>
      <c r="G5992" s="24" t="str">
        <f aca="false">INDEX(Products!$C$2:$C$49,MATCH(C5992,Products!$A$2:$A$49,0))</f>
        <v>Snacks &amp; Confectionery</v>
      </c>
      <c r="H5992" s="33" t="n">
        <f aca="false">D5992*INDEX(Products!$E$2:$E$49,MATCH(C5992,Products!$A$2:$A$49,0))</f>
        <v>7000</v>
      </c>
      <c r="I5992" s="33" t="n">
        <f aca="false">D5992*INDEX(Products!$D$2:$D$49,MATCH(C5992,Products!$A$2:$A$49,0))*(1+INDEX(Assumptions!$B$16:$B$20,MATCH(B5992,Assumptions!$A$16:$A$20,0)))</f>
        <v>4794</v>
      </c>
      <c r="J5992" s="33" t="n">
        <f aca="false">H5992-I5992</f>
        <v>2206</v>
      </c>
      <c r="K5992" s="33" t="n">
        <f aca="false">IF(OR(E5992=0,E5992&gt;=7),0,D5992/(7-E5992)*E5992*INDEX(Products!$E$2:$E$49,MATCH(C5992,Products!$A$2:$A$49,0)))</f>
        <v>0</v>
      </c>
    </row>
    <row r="5993" customFormat="false" ht="15" hidden="false" customHeight="false" outlineLevel="0" collapsed="false">
      <c r="A5993" s="36" t="n">
        <v>46230</v>
      </c>
      <c r="B5993" s="24" t="s">
        <v>65</v>
      </c>
      <c r="C5993" s="24" t="s">
        <v>209</v>
      </c>
      <c r="D5993" s="33" t="n">
        <v>62</v>
      </c>
      <c r="E5993" s="24" t="n">
        <v>0</v>
      </c>
      <c r="F5993" s="37" t="n">
        <f aca="false">DATE(YEAR(A5993),MONTH(A5993),1)</f>
        <v>46204</v>
      </c>
      <c r="G5993" s="24" t="str">
        <f aca="false">INDEX(Products!$C$2:$C$49,MATCH(C5993,Products!$A$2:$A$49,0))</f>
        <v>Snacks &amp; Confectionery</v>
      </c>
      <c r="H5993" s="33" t="n">
        <f aca="false">D5993*INDEX(Products!$E$2:$E$49,MATCH(C5993,Products!$A$2:$A$49,0))</f>
        <v>4340</v>
      </c>
      <c r="I5993" s="33" t="n">
        <f aca="false">D5993*INDEX(Products!$D$2:$D$49,MATCH(C5993,Products!$A$2:$A$49,0))*(1+INDEX(Assumptions!$B$16:$B$20,MATCH(B5993,Assumptions!$A$16:$A$20,0)))</f>
        <v>2972.28</v>
      </c>
      <c r="J5993" s="33" t="n">
        <f aca="false">H5993-I5993</f>
        <v>1367.72</v>
      </c>
      <c r="K5993" s="33" t="n">
        <f aca="false">IF(OR(E5993=0,E5993&gt;=7),0,D5993/(7-E5993)*E5993*INDEX(Products!$E$2:$E$49,MATCH(C5993,Products!$A$2:$A$49,0)))</f>
        <v>0</v>
      </c>
    </row>
    <row r="5994" customFormat="false" ht="15" hidden="false" customHeight="false" outlineLevel="0" collapsed="false">
      <c r="A5994" s="36" t="n">
        <v>46237</v>
      </c>
      <c r="B5994" s="24" t="s">
        <v>65</v>
      </c>
      <c r="C5994" s="24" t="s">
        <v>209</v>
      </c>
      <c r="D5994" s="33" t="n">
        <v>81</v>
      </c>
      <c r="E5994" s="24" t="n">
        <v>0</v>
      </c>
      <c r="F5994" s="37" t="n">
        <f aca="false">DATE(YEAR(A5994),MONTH(A5994),1)</f>
        <v>46235</v>
      </c>
      <c r="G5994" s="24" t="str">
        <f aca="false">INDEX(Products!$C$2:$C$49,MATCH(C5994,Products!$A$2:$A$49,0))</f>
        <v>Snacks &amp; Confectionery</v>
      </c>
      <c r="H5994" s="33" t="n">
        <f aca="false">D5994*INDEX(Products!$E$2:$E$49,MATCH(C5994,Products!$A$2:$A$49,0))</f>
        <v>5670</v>
      </c>
      <c r="I5994" s="33" t="n">
        <f aca="false">D5994*INDEX(Products!$D$2:$D$49,MATCH(C5994,Products!$A$2:$A$49,0))*(1+INDEX(Assumptions!$B$16:$B$20,MATCH(B5994,Assumptions!$A$16:$A$20,0)))</f>
        <v>3883.14</v>
      </c>
      <c r="J5994" s="33" t="n">
        <f aca="false">H5994-I5994</f>
        <v>1786.86</v>
      </c>
      <c r="K5994" s="33" t="n">
        <f aca="false">IF(OR(E5994=0,E5994&gt;=7),0,D5994/(7-E5994)*E5994*INDEX(Products!$E$2:$E$49,MATCH(C5994,Products!$A$2:$A$49,0)))</f>
        <v>0</v>
      </c>
    </row>
    <row r="5995" customFormat="false" ht="15" hidden="false" customHeight="false" outlineLevel="0" collapsed="false">
      <c r="A5995" s="36" t="n">
        <v>46244</v>
      </c>
      <c r="B5995" s="24" t="s">
        <v>65</v>
      </c>
      <c r="C5995" s="24" t="s">
        <v>209</v>
      </c>
      <c r="D5995" s="33" t="n">
        <v>55</v>
      </c>
      <c r="E5995" s="24" t="n">
        <v>1</v>
      </c>
      <c r="F5995" s="37" t="n">
        <f aca="false">DATE(YEAR(A5995),MONTH(A5995),1)</f>
        <v>46235</v>
      </c>
      <c r="G5995" s="24" t="str">
        <f aca="false">INDEX(Products!$C$2:$C$49,MATCH(C5995,Products!$A$2:$A$49,0))</f>
        <v>Snacks &amp; Confectionery</v>
      </c>
      <c r="H5995" s="33" t="n">
        <f aca="false">D5995*INDEX(Products!$E$2:$E$49,MATCH(C5995,Products!$A$2:$A$49,0))</f>
        <v>3850</v>
      </c>
      <c r="I5995" s="33" t="n">
        <f aca="false">D5995*INDEX(Products!$D$2:$D$49,MATCH(C5995,Products!$A$2:$A$49,0))*(1+INDEX(Assumptions!$B$16:$B$20,MATCH(B5995,Assumptions!$A$16:$A$20,0)))</f>
        <v>2636.7</v>
      </c>
      <c r="J5995" s="33" t="n">
        <f aca="false">H5995-I5995</f>
        <v>1213.3</v>
      </c>
      <c r="K5995" s="33" t="n">
        <f aca="false">IF(OR(E5995=0,E5995&gt;=7),0,D5995/(7-E5995)*E5995*INDEX(Products!$E$2:$E$49,MATCH(C5995,Products!$A$2:$A$49,0)))</f>
        <v>641.666666666667</v>
      </c>
    </row>
    <row r="5996" customFormat="false" ht="15" hidden="false" customHeight="false" outlineLevel="0" collapsed="false">
      <c r="A5996" s="36" t="n">
        <v>46251</v>
      </c>
      <c r="B5996" s="24" t="s">
        <v>65</v>
      </c>
      <c r="C5996" s="24" t="s">
        <v>209</v>
      </c>
      <c r="D5996" s="33" t="n">
        <v>82</v>
      </c>
      <c r="E5996" s="24" t="n">
        <v>0</v>
      </c>
      <c r="F5996" s="37" t="n">
        <f aca="false">DATE(YEAR(A5996),MONTH(A5996),1)</f>
        <v>46235</v>
      </c>
      <c r="G5996" s="24" t="str">
        <f aca="false">INDEX(Products!$C$2:$C$49,MATCH(C5996,Products!$A$2:$A$49,0))</f>
        <v>Snacks &amp; Confectionery</v>
      </c>
      <c r="H5996" s="33" t="n">
        <f aca="false">D5996*INDEX(Products!$E$2:$E$49,MATCH(C5996,Products!$A$2:$A$49,0))</f>
        <v>5740</v>
      </c>
      <c r="I5996" s="33" t="n">
        <f aca="false">D5996*INDEX(Products!$D$2:$D$49,MATCH(C5996,Products!$A$2:$A$49,0))*(1+INDEX(Assumptions!$B$16:$B$20,MATCH(B5996,Assumptions!$A$16:$A$20,0)))</f>
        <v>3931.08</v>
      </c>
      <c r="J5996" s="33" t="n">
        <f aca="false">H5996-I5996</f>
        <v>1808.92</v>
      </c>
      <c r="K5996" s="33" t="n">
        <f aca="false">IF(OR(E5996=0,E5996&gt;=7),0,D5996/(7-E5996)*E5996*INDEX(Products!$E$2:$E$49,MATCH(C5996,Products!$A$2:$A$49,0)))</f>
        <v>0</v>
      </c>
    </row>
    <row r="5997" customFormat="false" ht="15" hidden="false" customHeight="false" outlineLevel="0" collapsed="false">
      <c r="A5997" s="36" t="n">
        <v>46258</v>
      </c>
      <c r="B5997" s="24" t="s">
        <v>65</v>
      </c>
      <c r="C5997" s="24" t="s">
        <v>209</v>
      </c>
      <c r="D5997" s="33" t="n">
        <v>89</v>
      </c>
      <c r="E5997" s="24" t="n">
        <v>0</v>
      </c>
      <c r="F5997" s="37" t="n">
        <f aca="false">DATE(YEAR(A5997),MONTH(A5997),1)</f>
        <v>46235</v>
      </c>
      <c r="G5997" s="24" t="str">
        <f aca="false">INDEX(Products!$C$2:$C$49,MATCH(C5997,Products!$A$2:$A$49,0))</f>
        <v>Snacks &amp; Confectionery</v>
      </c>
      <c r="H5997" s="33" t="n">
        <f aca="false">D5997*INDEX(Products!$E$2:$E$49,MATCH(C5997,Products!$A$2:$A$49,0))</f>
        <v>6230</v>
      </c>
      <c r="I5997" s="33" t="n">
        <f aca="false">D5997*INDEX(Products!$D$2:$D$49,MATCH(C5997,Products!$A$2:$A$49,0))*(1+INDEX(Assumptions!$B$16:$B$20,MATCH(B5997,Assumptions!$A$16:$A$20,0)))</f>
        <v>4266.66</v>
      </c>
      <c r="J5997" s="33" t="n">
        <f aca="false">H5997-I5997</f>
        <v>1963.34</v>
      </c>
      <c r="K5997" s="33" t="n">
        <f aca="false">IF(OR(E5997=0,E5997&gt;=7),0,D5997/(7-E5997)*E5997*INDEX(Products!$E$2:$E$49,MATCH(C5997,Products!$A$2:$A$49,0)))</f>
        <v>0</v>
      </c>
    </row>
    <row r="5998" customFormat="false" ht="15" hidden="false" customHeight="false" outlineLevel="0" collapsed="false">
      <c r="A5998" s="36" t="n">
        <v>46265</v>
      </c>
      <c r="B5998" s="24" t="s">
        <v>65</v>
      </c>
      <c r="C5998" s="24" t="s">
        <v>209</v>
      </c>
      <c r="D5998" s="33" t="n">
        <v>74</v>
      </c>
      <c r="E5998" s="24" t="n">
        <v>0</v>
      </c>
      <c r="F5998" s="37" t="n">
        <f aca="false">DATE(YEAR(A5998),MONTH(A5998),1)</f>
        <v>46235</v>
      </c>
      <c r="G5998" s="24" t="str">
        <f aca="false">INDEX(Products!$C$2:$C$49,MATCH(C5998,Products!$A$2:$A$49,0))</f>
        <v>Snacks &amp; Confectionery</v>
      </c>
      <c r="H5998" s="33" t="n">
        <f aca="false">D5998*INDEX(Products!$E$2:$E$49,MATCH(C5998,Products!$A$2:$A$49,0))</f>
        <v>5180</v>
      </c>
      <c r="I5998" s="33" t="n">
        <f aca="false">D5998*INDEX(Products!$D$2:$D$49,MATCH(C5998,Products!$A$2:$A$49,0))*(1+INDEX(Assumptions!$B$16:$B$20,MATCH(B5998,Assumptions!$A$16:$A$20,0)))</f>
        <v>3547.56</v>
      </c>
      <c r="J5998" s="33" t="n">
        <f aca="false">H5998-I5998</f>
        <v>1632.44</v>
      </c>
      <c r="K5998" s="33" t="n">
        <f aca="false">IF(OR(E5998=0,E5998&gt;=7),0,D5998/(7-E5998)*E5998*INDEX(Products!$E$2:$E$49,MATCH(C5998,Products!$A$2:$A$49,0)))</f>
        <v>0</v>
      </c>
    </row>
    <row r="5999" customFormat="false" ht="15" hidden="false" customHeight="false" outlineLevel="0" collapsed="false">
      <c r="A5999" s="36" t="n">
        <v>46272</v>
      </c>
      <c r="B5999" s="24" t="s">
        <v>65</v>
      </c>
      <c r="C5999" s="24" t="s">
        <v>209</v>
      </c>
      <c r="D5999" s="33" t="n">
        <v>72</v>
      </c>
      <c r="E5999" s="24" t="n">
        <v>0</v>
      </c>
      <c r="F5999" s="37" t="n">
        <f aca="false">DATE(YEAR(A5999),MONTH(A5999),1)</f>
        <v>46266</v>
      </c>
      <c r="G5999" s="24" t="str">
        <f aca="false">INDEX(Products!$C$2:$C$49,MATCH(C5999,Products!$A$2:$A$49,0))</f>
        <v>Snacks &amp; Confectionery</v>
      </c>
      <c r="H5999" s="33" t="n">
        <f aca="false">D5999*INDEX(Products!$E$2:$E$49,MATCH(C5999,Products!$A$2:$A$49,0))</f>
        <v>5040</v>
      </c>
      <c r="I5999" s="33" t="n">
        <f aca="false">D5999*INDEX(Products!$D$2:$D$49,MATCH(C5999,Products!$A$2:$A$49,0))*(1+INDEX(Assumptions!$B$16:$B$20,MATCH(B5999,Assumptions!$A$16:$A$20,0)))</f>
        <v>3451.68</v>
      </c>
      <c r="J5999" s="33" t="n">
        <f aca="false">H5999-I5999</f>
        <v>1588.32</v>
      </c>
      <c r="K5999" s="33" t="n">
        <f aca="false">IF(OR(E5999=0,E5999&gt;=7),0,D5999/(7-E5999)*E5999*INDEX(Products!$E$2:$E$49,MATCH(C5999,Products!$A$2:$A$49,0)))</f>
        <v>0</v>
      </c>
    </row>
    <row r="6000" customFormat="false" ht="15" hidden="false" customHeight="false" outlineLevel="0" collapsed="false">
      <c r="A6000" s="36" t="n">
        <v>46279</v>
      </c>
      <c r="B6000" s="24" t="s">
        <v>65</v>
      </c>
      <c r="C6000" s="24" t="s">
        <v>209</v>
      </c>
      <c r="D6000" s="33" t="n">
        <v>102</v>
      </c>
      <c r="E6000" s="24" t="n">
        <v>0</v>
      </c>
      <c r="F6000" s="37" t="n">
        <f aca="false">DATE(YEAR(A6000),MONTH(A6000),1)</f>
        <v>46266</v>
      </c>
      <c r="G6000" s="24" t="str">
        <f aca="false">INDEX(Products!$C$2:$C$49,MATCH(C6000,Products!$A$2:$A$49,0))</f>
        <v>Snacks &amp; Confectionery</v>
      </c>
      <c r="H6000" s="33" t="n">
        <f aca="false">D6000*INDEX(Products!$E$2:$E$49,MATCH(C6000,Products!$A$2:$A$49,0))</f>
        <v>7140</v>
      </c>
      <c r="I6000" s="33" t="n">
        <f aca="false">D6000*INDEX(Products!$D$2:$D$49,MATCH(C6000,Products!$A$2:$A$49,0))*(1+INDEX(Assumptions!$B$16:$B$20,MATCH(B6000,Assumptions!$A$16:$A$20,0)))</f>
        <v>4889.88</v>
      </c>
      <c r="J6000" s="33" t="n">
        <f aca="false">H6000-I6000</f>
        <v>2250.12</v>
      </c>
      <c r="K6000" s="33" t="n">
        <f aca="false">IF(OR(E6000=0,E6000&gt;=7),0,D6000/(7-E6000)*E6000*INDEX(Products!$E$2:$E$49,MATCH(C6000,Products!$A$2:$A$49,0)))</f>
        <v>0</v>
      </c>
    </row>
    <row r="6001" customFormat="false" ht="15" hidden="false" customHeight="false" outlineLevel="0" collapsed="false">
      <c r="A6001" s="36" t="n">
        <v>46286</v>
      </c>
      <c r="B6001" s="24" t="s">
        <v>65</v>
      </c>
      <c r="C6001" s="24" t="s">
        <v>209</v>
      </c>
      <c r="D6001" s="33" t="n">
        <v>118</v>
      </c>
      <c r="E6001" s="24" t="n">
        <v>0</v>
      </c>
      <c r="F6001" s="37" t="n">
        <f aca="false">DATE(YEAR(A6001),MONTH(A6001),1)</f>
        <v>46266</v>
      </c>
      <c r="G6001" s="24" t="str">
        <f aca="false">INDEX(Products!$C$2:$C$49,MATCH(C6001,Products!$A$2:$A$49,0))</f>
        <v>Snacks &amp; Confectionery</v>
      </c>
      <c r="H6001" s="33" t="n">
        <f aca="false">D6001*INDEX(Products!$E$2:$E$49,MATCH(C6001,Products!$A$2:$A$49,0))</f>
        <v>8260</v>
      </c>
      <c r="I6001" s="33" t="n">
        <f aca="false">D6001*INDEX(Products!$D$2:$D$49,MATCH(C6001,Products!$A$2:$A$49,0))*(1+INDEX(Assumptions!$B$16:$B$20,MATCH(B6001,Assumptions!$A$16:$A$20,0)))</f>
        <v>5656.92</v>
      </c>
      <c r="J6001" s="33" t="n">
        <f aca="false">H6001-I6001</f>
        <v>2603.08</v>
      </c>
      <c r="K6001" s="33" t="n">
        <f aca="false">IF(OR(E6001=0,E6001&gt;=7),0,D6001/(7-E6001)*E6001*INDEX(Products!$E$2:$E$49,MATCH(C6001,Products!$A$2:$A$49,0)))</f>
        <v>0</v>
      </c>
    </row>
  </sheetData>
  <autoFilter ref="A1:K600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2026-10-01T10:34:54Z</dcterms:created>
  <dc:creator>openpyxl</dc:creator>
  <dc:description/>
  <dc:language>en-US</dc:language>
  <cp:lastModifiedBy/>
  <dcterms:modified xsi:type="dcterms:W3CDTF">2026-10-01T10:34:59Z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