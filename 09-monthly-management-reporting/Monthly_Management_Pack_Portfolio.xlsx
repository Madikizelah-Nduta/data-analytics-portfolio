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Assumptions" sheetId="3" state="visible" r:id="rId5"/>
    <sheet name="Monthly_PL" sheetId="4" state="visible" r:id="rId6"/>
    <sheet name="Accounts" sheetId="5" state="visible" r:id="rId7"/>
    <sheet name="Budget" sheetId="6" state="visible" r:id="rId8"/>
    <sheet name="Ledger" sheetId="7" state="visible" r:id="rId9"/>
  </sheets>
  <definedNames>
    <definedName function="false" hidden="false" localSheetId="1" name="_xlnm.Print_Area" vbProcedure="false">Dashboard!$A$1:$L$64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<sst xmlns="http://schemas.openxmlformats.org/spreadsheetml/2006/main" count="4183" uniqueCount="111">
  <si>
    <t xml:space="preserve">Monthly Management Reporting Pack – Finance Reporting Portfolio Project</t>
  </si>
  <si>
    <t xml:space="preserve">BZME Insights  |  Sector: Finance / Management reporting  |  Tool: Excel (formula-driven)</t>
  </si>
  <si>
    <t xml:space="preserve">BUSINESS PROBLEM</t>
  </si>
  <si>
    <t xml:space="preserve">A distributor's managers receive a late, hand-built spreadsheet each month. They cannot quickly see how revenue, margin and costs compare with budget, or which variances matter. This workbook produces a consistent monthly pack from the ledger and budget.</t>
  </si>
  <si>
    <t xml:space="preserve">BUSINESS QUESTIONS</t>
  </si>
  <si>
    <t xml:space="preserve">1. How did the month and the year to date perform against budget (revenue, gross profit, operating profit)?</t>
  </si>
  <si>
    <t xml:space="preserve">2. Which accounts drive the biggest favourable and adverse variances?</t>
  </si>
  <si>
    <t xml:space="preserve">3. Which variances are material enough to need an explanation?</t>
  </si>
  <si>
    <t xml:space="preserve">4. Is the margin, cost or volume trend moving in the right direction?</t>
  </si>
  <si>
    <t xml:space="preserve">HOW THE WORKBOOK IS BUILT</t>
  </si>
  <si>
    <t xml:space="preserve">Ledger: 1,284 transactions (Jan to Sep 2026) across 16 accounts. Budget: monthly budget by account.</t>
  </si>
  <si>
    <t xml:space="preserve">Monthly_PL: formulas turn the ledger and budget into actual and budget by month, year to date, month variance and a materiality flag.</t>
  </si>
  <si>
    <t xml:space="preserve">Assumptions: the reporting month and materiality thresholds. Change the month and the whole pack rolls forward. Blue = input.</t>
  </si>
  <si>
    <t xml:space="preserve">Dashboard: KPIs, key findings, P&amp;L versus budget (month and YTD), monthly trend, variance drivers and charts. It prints on one page as the management pack.</t>
  </si>
  <si>
    <t xml:space="preserve">KEY DEFINITIONS</t>
  </si>
  <si>
    <t xml:space="preserve">Favourable variance: revenue and profit above budget, or costs below budget. Adverse is the opposite. The pack shows favourable as positive.</t>
  </si>
  <si>
    <t xml:space="preserve">Gross profit = revenue - cost of sales. Operating profit = gross profit - operating expenses.</t>
  </si>
  <si>
    <t xml:space="preserve">Material variance: at least the KES amount and at least the percentage of budget set on Assumptions.</t>
  </si>
  <si>
    <t xml:space="preserve">Variance drivers flex cost of sales for volume: budget cost ratio x actual sales minus actual cost, so a drop in sales does not look like a cost saving.</t>
  </si>
  <si>
    <t xml:space="preserve">IMPORTANT NOTES</t>
  </si>
  <si>
    <t xml:space="preserve">All data is synthetic and generated for demonstration; no real company, ledger or budget is used.</t>
  </si>
  <si>
    <t xml:space="preserve">The pack covers the P&amp;L only. A full pack would add cash flow, debtor ageing and a balance sheet.</t>
  </si>
  <si>
    <t xml:space="preserve">Findings update live when the reporting month or thresholds change.</t>
  </si>
  <si>
    <t xml:space="preserve">RECOMMENDATIONS (FRAMEWORK)</t>
  </si>
  <si>
    <t xml:space="preserve">Agree an owner and a short explanation for every material adverse variance before the pack is circulated.</t>
  </si>
  <si>
    <t xml:space="preserve">Review supplier pricing where cost of sales rises faster than revenue, and review fuel and route planning where transport overspends.</t>
  </si>
  <si>
    <t xml:space="preserve">Reforecast the full year once three or more months show the same adverse trend.</t>
  </si>
  <si>
    <t xml:space="preserve">Monthly Management Reporting Pack</t>
  </si>
  <si>
    <t xml:space="preserve">REVENUE (MONTH, KES)</t>
  </si>
  <si>
    <t xml:space="preserve">REVENUE VS BUDGET</t>
  </si>
  <si>
    <t xml:space="preserve">GROSS MARGIN</t>
  </si>
  <si>
    <t xml:space="preserve">OPERATING PROFIT (MONTH, KES)</t>
  </si>
  <si>
    <t xml:space="preserve">OP. PROFIT VS BUDGET (KES)</t>
  </si>
  <si>
    <t xml:space="preserve">OPERATING PROFIT YTD (KES)</t>
  </si>
  <si>
    <t xml:space="preserve">Key findings (update automatically)</t>
  </si>
  <si>
    <t xml:space="preserve">1. Profit and loss: month and year to date vs budget</t>
  </si>
  <si>
    <t xml:space="preserve">Line</t>
  </si>
  <si>
    <t xml:space="preserve">Month actual</t>
  </si>
  <si>
    <t xml:space="preserve">Month budget</t>
  </si>
  <si>
    <t xml:space="preserve">Variance (KES)</t>
  </si>
  <si>
    <t xml:space="preserve">Var %</t>
  </si>
  <si>
    <t xml:space="preserve">F / A</t>
  </si>
  <si>
    <t xml:space="preserve">YTD actual</t>
  </si>
  <si>
    <t xml:space="preserve">YTD budget</t>
  </si>
  <si>
    <t xml:space="preserve">Sales: Cooking oil &amp; fats</t>
  </si>
  <si>
    <t xml:space="preserve">Sales: Flour &amp; grains</t>
  </si>
  <si>
    <t xml:space="preserve">Sales: Beverages</t>
  </si>
  <si>
    <t xml:space="preserve">Sales: Household goods</t>
  </si>
  <si>
    <t xml:space="preserve">Total revenue</t>
  </si>
  <si>
    <t xml:space="preserve">Total cost of sales</t>
  </si>
  <si>
    <t xml:space="preserve">Gross profit</t>
  </si>
  <si>
    <t xml:space="preserve">Gross margin %</t>
  </si>
  <si>
    <t xml:space="preserve">Salaries &amp; wages</t>
  </si>
  <si>
    <t xml:space="preserve">Rent</t>
  </si>
  <si>
    <t xml:space="preserve">Utilities</t>
  </si>
  <si>
    <t xml:space="preserve">Transport &amp; fuel</t>
  </si>
  <si>
    <t xml:space="preserve">Marketing</t>
  </si>
  <si>
    <t xml:space="preserve">Insurance &amp; licences</t>
  </si>
  <si>
    <t xml:space="preserve">Bank charges</t>
  </si>
  <si>
    <t xml:space="preserve">Repairs &amp; maintenance</t>
  </si>
  <si>
    <t xml:space="preserve">Total operating expenses</t>
  </si>
  <si>
    <t xml:space="preserve">Operating profit</t>
  </si>
  <si>
    <t xml:space="preserve">Operating margin %</t>
  </si>
  <si>
    <t xml:space="preserve">F = favourable, A = adverse. Variance is actual minus budget for revenue and profit lines, and budget minus actual for cost lines, so a positive number is always good news.</t>
  </si>
  <si>
    <t xml:space="preserve">2. Monthly trend</t>
  </si>
  <si>
    <t xml:space="preserve">Month</t>
  </si>
  <si>
    <t xml:space="preserve">Revenue actual</t>
  </si>
  <si>
    <t xml:space="preserve">Revenue budget</t>
  </si>
  <si>
    <t xml:space="preserve">Gross margin actual</t>
  </si>
  <si>
    <t xml:space="preserve">Gross margin budget</t>
  </si>
  <si>
    <t xml:space="preserve">Operating profit actual</t>
  </si>
  <si>
    <t xml:space="preserve">Operating profit budget</t>
  </si>
  <si>
    <t xml:space="preserve">3. Variance drivers this month (largest by KES; cost of sales flexed for sales volume)</t>
  </si>
  <si>
    <t xml:space="preserve">Largest adverse variances</t>
  </si>
  <si>
    <t xml:space="preserve">Var % of budget</t>
  </si>
  <si>
    <t xml:space="preserve">Largest favourable variances</t>
  </si>
  <si>
    <t xml:space="preserve">Suggested management actions: investigate the largest adverse variances with budget holders, confirm whether they are timing or permanent, and update the forecast for the rest of the year.</t>
  </si>
  <si>
    <t xml:space="preserve">Assumptions &amp; Parameters</t>
  </si>
  <si>
    <t xml:space="preserve">Blue cells are editable inputs. Everything else recalculates from them.</t>
  </si>
  <si>
    <t xml:space="preserve">Assumption</t>
  </si>
  <si>
    <t xml:space="preserve">Value</t>
  </si>
  <si>
    <t xml:space="preserve">Comment</t>
  </si>
  <si>
    <t xml:space="preserve">Reporting month</t>
  </si>
  <si>
    <t xml:space="preserve">First day of the month to report on (Jan to Sep 2026 available). Change it to roll the whole pack.</t>
  </si>
  <si>
    <t xml:space="preserve">Materiality: amount (KES)</t>
  </si>
  <si>
    <t xml:space="preserve">A variance is flagged material only if it is at least this large in KES...</t>
  </si>
  <si>
    <t xml:space="preserve">Materiality: percentage</t>
  </si>
  <si>
    <t xml:space="preserve">...and at least this large as a share of budget.</t>
  </si>
  <si>
    <t xml:space="preserve">Months included year to date</t>
  </si>
  <si>
    <t xml:space="preserve">Calculated from the reporting month (calendar fiscal year).</t>
  </si>
  <si>
    <t xml:space="preserve">Account</t>
  </si>
  <si>
    <t xml:space="preserve">Type</t>
  </si>
  <si>
    <t xml:space="preserve">Month fav. variance</t>
  </si>
  <si>
    <t xml:space="preserve">Month var % of budget</t>
  </si>
  <si>
    <t xml:space="preserve">YTD fav. variance</t>
  </si>
  <si>
    <t xml:space="preserve">YTD var % of budget</t>
  </si>
  <si>
    <t xml:space="preserve">Material?</t>
  </si>
  <si>
    <t xml:space="preserve">Revenue</t>
  </si>
  <si>
    <t xml:space="preserve">Cost of sales: Cooking oil &amp; fats</t>
  </si>
  <si>
    <t xml:space="preserve">Cost of sales</t>
  </si>
  <si>
    <t xml:space="preserve">Cost of sales: Flour &amp; grains</t>
  </si>
  <si>
    <t xml:space="preserve">Cost of sales: Beverages</t>
  </si>
  <si>
    <t xml:space="preserve">Cost of sales: Household goods</t>
  </si>
  <si>
    <t xml:space="preserve">Operating expense</t>
  </si>
  <si>
    <t xml:space="preserve">Budget (KES)</t>
  </si>
  <si>
    <t xml:space="preserve">Date</t>
  </si>
  <si>
    <t xml:space="preserve">Description</t>
  </si>
  <si>
    <t xml:space="preserve">Amount (KES)</t>
  </si>
  <si>
    <t xml:space="preserve">Supplier invoices</t>
  </si>
  <si>
    <t xml:space="preserve">Payments</t>
  </si>
  <si>
    <t xml:space="preserve">Customer invoices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</si>
</sst>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\+0.0%;\-0.0%"/>
    <numFmt numFmtId="167" formatCode="0.0%"/>
    <numFmt numFmtId="168" formatCode="#,##0;\-#,##0"/>
    <numFmt numFmtId="169" formatCode="\+#,##0;\-#,##0"/>
    <numFmt numFmtId="170" formatCode="\+#,##0;\-#,##0;0"/>
    <numFmt numFmtId="171" formatCode="\+0.0&quot; pts&quot;;\-0.0&quot; pts&quot;"/>
    <numFmt numFmtId="172" formatCode="mmm\ yyyy"/>
    <numFmt numFmtId="173" formatCode="0%"/>
    <numFmt numFmtId="174" formatCode="0"/>
    <numFmt numFmtId="175" formatCode="mmm\ yy"/>
    <numFmt numFmtId="176" formatCode="dd\ mmm\ 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C1A1B"/>
      <name val="Arial"/>
      <family val="0"/>
      <charset val="1"/>
    </font>
    <font>
      <i val="true"/>
      <sz val="10"/>
      <color rgb="FF6B5D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"/>
      <color rgb="FF6B5D5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8"/>
      <color rgb="FF6B5D5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C1A1B"/>
        <bgColor rgb="FF800000"/>
      </patternFill>
    </fill>
    <fill>
      <patternFill patternType="solid">
        <fgColor rgb="FFC9A66B"/>
        <bgColor rgb="FFF4B6B6"/>
      </patternFill>
    </fill>
    <fill>
      <patternFill patternType="solid">
        <fgColor rgb="FFF6EFE2"/>
        <bgColor rgb="FFFFF2CC"/>
      </patternFill>
    </fill>
    <fill>
      <patternFill patternType="solid">
        <fgColor rgb="FFFFF2CC"/>
        <bgColor rgb="FFF6EF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B"/>
      <rgbColor rgb="FF008000"/>
      <rgbColor rgb="FF000080"/>
      <rgbColor rgb="FF808000"/>
      <rgbColor rgb="FF800080"/>
      <rgbColor rgb="FF008080"/>
      <rgbColor rgb="FFD9CF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6EFE2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B5D54"/>
      <rgbColor rgb="FFC9A66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actual vs budget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Dashboard!B41</c:f>
              <c:strCache>
                <c:ptCount val="1"/>
                <c:pt idx="0">
                  <c:v>Revenue actual</c:v>
                </c:pt>
              </c:strCache>
            </c:strRef>
          </c:tx>
          <c:spPr>
            <a:solidFill>
              <a:srgbClr val="5c1a1b"/>
            </a:solidFill>
            <a:ln w="9360">
              <a:solidFill>
                <a:srgbClr val="5c1a1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Dashboard!$A$42:$A$50</c:f>
              <c:strCache>
                <c:ptCount val="9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</c:strCache>
            </c:strRef>
          </c:cat>
          <c:val>
            <c:numRef>
              <c:f>Dashboard!$B$42:$B$50</c:f>
              <c:numCache>
                <c:formatCode>#,##0</c:formatCode>
                <c:ptCount val="9"/>
                <c:pt idx="0">
                  <c:v>25538600</c:v>
                </c:pt>
                <c:pt idx="1">
                  <c:v>25829500</c:v>
                </c:pt>
                <c:pt idx="2">
                  <c:v>26000500</c:v>
                </c:pt>
                <c:pt idx="3">
                  <c:v>26671500</c:v>
                </c:pt>
                <c:pt idx="4">
                  <c:v>26577800</c:v>
                </c:pt>
                <c:pt idx="5">
                  <c:v>26994200</c:v>
                </c:pt>
                <c:pt idx="6">
                  <c:v>27253700</c:v>
                </c:pt>
                <c:pt idx="7">
                  <c:v>26807600</c:v>
                </c:pt>
                <c:pt idx="8">
                  <c:v>27293500</c:v>
                </c:pt>
              </c:numCache>
            </c:numRef>
          </c:val>
        </c:ser>
        <c:ser>
          <c:idx val="1"/>
          <c:order val="1"/>
          <c:tx>
            <c:strRef>
              <c:f>Dashboard!C41</c:f>
              <c:strCache>
                <c:ptCount val="1"/>
                <c:pt idx="0">
                  <c:v>Revenue budget</c:v>
                </c:pt>
              </c:strCache>
            </c:strRef>
          </c:tx>
          <c:spPr>
            <a:solidFill>
              <a:srgbClr val="c9a66b"/>
            </a:solidFill>
            <a:ln w="9360">
              <a:solidFill>
                <a:srgbClr val="c9a66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Dashboard!$A$42:$A$50</c:f>
              <c:strCache>
                <c:ptCount val="9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</c:strCache>
            </c:strRef>
          </c:cat>
          <c:val>
            <c:numRef>
              <c:f>Dashboard!$C$42:$C$50</c:f>
              <c:numCache>
                <c:formatCode>#,##0</c:formatCode>
                <c:ptCount val="9"/>
                <c:pt idx="0">
                  <c:v>25000000</c:v>
                </c:pt>
                <c:pt idx="1">
                  <c:v>25300000</c:v>
                </c:pt>
                <c:pt idx="2">
                  <c:v>25600000</c:v>
                </c:pt>
                <c:pt idx="3">
                  <c:v>25900000</c:v>
                </c:pt>
                <c:pt idx="4">
                  <c:v>26200000</c:v>
                </c:pt>
                <c:pt idx="5">
                  <c:v>26500000</c:v>
                </c:pt>
                <c:pt idx="6">
                  <c:v>26800000</c:v>
                </c:pt>
                <c:pt idx="7">
                  <c:v>27100000</c:v>
                </c:pt>
                <c:pt idx="8">
                  <c:v>27400000</c:v>
                </c:pt>
              </c:numCache>
            </c:numRef>
          </c:val>
        </c:ser>
        <c:gapWidth val="150"/>
        <c:overlap val="0"/>
        <c:axId val="87152401"/>
        <c:axId val="86728487"/>
      </c:barChart>
      <c:catAx>
        <c:axId val="87152401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28487"/>
        <c:crosses val="autoZero"/>
        <c:auto val="1"/>
        <c:lblAlgn val="ctr"/>
        <c:lblOffset val="100"/>
        <c:noMultiLvlLbl val="0"/>
      </c:catAx>
      <c:valAx>
        <c:axId val="86728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524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profit: actual vs budget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Dashboard!F41</c:f>
              <c:strCache>
                <c:ptCount val="1"/>
                <c:pt idx="0">
                  <c:v>Operating profit actual</c:v>
                </c:pt>
              </c:strCache>
            </c:strRef>
          </c:tx>
          <c:spPr>
            <a:solidFill>
              <a:srgbClr val="5c1a1b"/>
            </a:solidFill>
            <a:ln w="28080">
              <a:solidFill>
                <a:srgbClr val="5c1a1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Dashboard!$A$42:$A$50</c:f>
              <c:strCache>
                <c:ptCount val="9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</c:strCache>
            </c:strRef>
          </c:cat>
          <c:val>
            <c:numRef>
              <c:f>Dashboard!$F$42:$F$50</c:f>
              <c:numCache>
                <c:formatCode>#,##0;\-#,##0</c:formatCode>
                <c:ptCount val="9"/>
                <c:pt idx="0">
                  <c:v>1010300</c:v>
                </c:pt>
                <c:pt idx="1">
                  <c:v>1117600</c:v>
                </c:pt>
                <c:pt idx="2">
                  <c:v>1204000</c:v>
                </c:pt>
                <c:pt idx="3">
                  <c:v>1138000</c:v>
                </c:pt>
                <c:pt idx="4">
                  <c:v>1030300</c:v>
                </c:pt>
                <c:pt idx="5">
                  <c:v>981300</c:v>
                </c:pt>
                <c:pt idx="6">
                  <c:v>845500</c:v>
                </c:pt>
                <c:pt idx="7">
                  <c:v>558200</c:v>
                </c:pt>
                <c:pt idx="8">
                  <c:v>612700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Dashboard!G41</c:f>
              <c:strCache>
                <c:ptCount val="1"/>
                <c:pt idx="0">
                  <c:v>Operating profit budget</c:v>
                </c:pt>
              </c:strCache>
            </c:strRef>
          </c:tx>
          <c:spPr>
            <a:solidFill>
              <a:srgbClr val="c9a66b"/>
            </a:solidFill>
            <a:ln w="28080">
              <a:solidFill>
                <a:srgbClr val="c9a6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Dashboard!$A$42:$A$50</c:f>
              <c:strCache>
                <c:ptCount val="9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</c:strCache>
            </c:strRef>
          </c:cat>
          <c:val>
            <c:numRef>
              <c:f>Dashboard!$G$42:$G$50</c:f>
              <c:numCache>
                <c:formatCode>#,##0;\-#,##0</c:formatCode>
                <c:ptCount val="9"/>
                <c:pt idx="0">
                  <c:v>930000</c:v>
                </c:pt>
                <c:pt idx="1">
                  <c:v>974000</c:v>
                </c:pt>
                <c:pt idx="2">
                  <c:v>1016000</c:v>
                </c:pt>
                <c:pt idx="3">
                  <c:v>1061000</c:v>
                </c:pt>
                <c:pt idx="4">
                  <c:v>1103000</c:v>
                </c:pt>
                <c:pt idx="5">
                  <c:v>1148000</c:v>
                </c:pt>
                <c:pt idx="6">
                  <c:v>1190000</c:v>
                </c:pt>
                <c:pt idx="7">
                  <c:v>1231000</c:v>
                </c:pt>
                <c:pt idx="8">
                  <c:v>1277000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006032"/>
        <c:axId val="66575936"/>
      </c:lineChart>
      <c:catAx>
        <c:axId val="21006032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75936"/>
        <c:crosses val="autoZero"/>
        <c:auto val="1"/>
        <c:lblAlgn val="ctr"/>
        <c:lblOffset val="100"/>
        <c:noMultiLvlLbl val="0"/>
      </c:catAx>
      <c:valAx>
        <c:axId val="66575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060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40</xdr:row>
      <xdr:rowOff>0</xdr:rowOff>
    </xdr:from>
    <xdr:to>
      <xdr:col>11</xdr:col>
      <xdr:colOff>576360</xdr:colOff>
      <xdr:row>50</xdr:row>
      <xdr:rowOff>136080</xdr:rowOff>
    </xdr:to>
    <xdr:graphicFrame>
      <xdr:nvGraphicFramePr>
        <xdr:cNvPr id="0" name="Chart 1"/>
        <xdr:cNvGraphicFramePr/>
      </xdr:nvGraphicFramePr>
      <xdr:xfrm>
        <a:off x="7753320" y="862956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53</xdr:row>
      <xdr:rowOff>0</xdr:rowOff>
    </xdr:from>
    <xdr:to>
      <xdr:col>11</xdr:col>
      <xdr:colOff>576360</xdr:colOff>
      <xdr:row>62</xdr:row>
      <xdr:rowOff>34200</xdr:rowOff>
    </xdr:to>
    <xdr:graphicFrame>
      <xdr:nvGraphicFramePr>
        <xdr:cNvPr id="1" name="Chart 2"/>
        <xdr:cNvGraphicFramePr/>
      </xdr:nvGraphicFramePr>
      <xdr:xfrm>
        <a:off x="7753320" y="11334600"/>
        <a:ext cx="3959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  <col collapsed="false" customWidth="true" hidden="false" outlineLevel="0" max="2" min="2" style="0" width="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true" outlineLevel="0" collapsed="false">
      <c r="A14" s="4" t="s">
        <v>10</v>
      </c>
    </row>
    <row r="15" customFormat="false" ht="30" hidden="false" customHeight="true" outlineLevel="0" collapsed="false">
      <c r="A15" s="4" t="s">
        <v>11</v>
      </c>
    </row>
    <row r="16" customFormat="false" ht="30" hidden="false" customHeight="true" outlineLevel="0" collapsed="false">
      <c r="A16" s="4" t="s">
        <v>12</v>
      </c>
    </row>
    <row r="17" customFormat="false" ht="30" hidden="false" customHeight="true" outlineLevel="0" collapsed="false">
      <c r="A17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30" hidden="false" customHeight="true" outlineLevel="0" collapsed="false">
      <c r="A20" s="4" t="s">
        <v>15</v>
      </c>
    </row>
    <row r="21" customFormat="false" ht="15" hidden="false" customHeight="true" outlineLevel="0" collapsed="false">
      <c r="A21" s="4" t="s">
        <v>16</v>
      </c>
    </row>
    <row r="22" customFormat="false" ht="15" hidden="false" customHeight="true" outlineLevel="0" collapsed="false">
      <c r="A22" s="4" t="s">
        <v>17</v>
      </c>
    </row>
    <row r="23" customFormat="false" ht="30" hidden="false" customHeight="true" outlineLevel="0" collapsed="false">
      <c r="A23" s="4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true" outlineLevel="0" collapsed="false">
      <c r="A26" s="4" t="s">
        <v>20</v>
      </c>
    </row>
    <row r="27" customFormat="false" ht="15" hidden="false" customHeight="true" outlineLevel="0" collapsed="false">
      <c r="A27" s="4" t="s">
        <v>21</v>
      </c>
    </row>
    <row r="28" customFormat="false" ht="15" hidden="false" customHeight="true" outlineLevel="0" collapsed="false">
      <c r="A28" s="4" t="s">
        <v>22</v>
      </c>
    </row>
    <row r="30" customFormat="false" ht="15" hidden="false" customHeight="false" outlineLevel="0" collapsed="false">
      <c r="A30" s="3" t="s">
        <v>23</v>
      </c>
    </row>
    <row r="31" customFormat="false" ht="15" hidden="false" customHeight="true" outlineLevel="0" collapsed="false">
      <c r="A31" s="4" t="s">
        <v>24</v>
      </c>
    </row>
    <row r="32" customFormat="false" ht="30" hidden="false" customHeight="true" outlineLevel="0" collapsed="false">
      <c r="A32" s="4" t="s">
        <v>25</v>
      </c>
    </row>
    <row r="33" customFormat="false" ht="15" hidden="false" customHeight="true" outlineLevel="0" collapsed="false">
      <c r="A33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3"/>
    <col collapsed="false" customWidth="true" hidden="false" outlineLevel="0" max="6" min="5" style="0" width="11"/>
    <col collapsed="false" customWidth="true" hidden="false" outlineLevel="0" max="9" min="7" style="0" width="13"/>
    <col collapsed="false" customWidth="true" hidden="false" outlineLevel="0" max="11" min="10" style="0" width="11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5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tr">
        <f aca="false">"Fictional Kenyan FMCG distributor  |  Synthetic data  |  Reporting month: "&amp;TEXT(Assumptions!B4,"mmmm yyyy")&amp;"  |  Variances shown as favourable (+) or adverse (-)  |  Prepared by BZME Insights"</f>
        <v>Fictional Kenyan FMCG distributor  |  Synthetic data  |  Reporting month: September 2026  |  Variances shown as favourable (+) or adverse (-)  |  Prepared by BZME Insights</v>
      </c>
    </row>
    <row r="4" customFormat="false" ht="19.5" hidden="false" customHeight="true" outlineLevel="0" collapsed="false">
      <c r="A4" s="8" t="s">
        <v>28</v>
      </c>
      <c r="B4" s="8"/>
      <c r="C4" s="8" t="s">
        <v>29</v>
      </c>
      <c r="D4" s="8"/>
      <c r="E4" s="8" t="s">
        <v>30</v>
      </c>
      <c r="F4" s="8"/>
      <c r="G4" s="8" t="s">
        <v>31</v>
      </c>
      <c r="H4" s="8"/>
      <c r="I4" s="8" t="s">
        <v>32</v>
      </c>
      <c r="J4" s="8"/>
      <c r="K4" s="8" t="s">
        <v>33</v>
      </c>
      <c r="L4" s="8"/>
    </row>
    <row r="5" customFormat="false" ht="30" hidden="false" customHeight="true" outlineLevel="0" collapsed="false">
      <c r="A5" s="9" t="n">
        <f aca="false">B23</f>
        <v>27293500</v>
      </c>
      <c r="B5" s="9"/>
      <c r="C5" s="10" t="n">
        <f aca="false">E23</f>
        <v>-0.00388686131386861</v>
      </c>
      <c r="D5" s="10"/>
      <c r="E5" s="11" t="n">
        <f aca="false">B26</f>
        <v>0.164966017549966</v>
      </c>
      <c r="F5" s="11"/>
      <c r="G5" s="12" t="n">
        <f aca="false">B36</f>
        <v>612700</v>
      </c>
      <c r="H5" s="12"/>
      <c r="I5" s="13" t="n">
        <f aca="false">D36</f>
        <v>-664300</v>
      </c>
      <c r="J5" s="13"/>
      <c r="K5" s="12" t="n">
        <f aca="false">G36</f>
        <v>8497900</v>
      </c>
      <c r="L5" s="12"/>
    </row>
    <row r="7" customFormat="false" ht="18" hidden="false" customHeight="true" outlineLevel="0" collapsed="false">
      <c r="A7" s="14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8" hidden="false" customHeight="true" outlineLevel="0" collapsed="false">
      <c r="A8" s="15" t="str">
        <f aca="false">"1. "&amp;TEXT(Assumptions!B4,"mmmm")&amp;" revenue was KES "&amp;TEXT(B23/1000000,"0.0")&amp;"M, "&amp;TEXT(ABS(E23),"0.0%")&amp;IF(D23&gt;=0," above"," below")&amp;" budget; year to date is "&amp;TEXT(ABS(J23),"0.0%")&amp;IF(I23&gt;=0," above"," below")&amp;" budget."</f>
        <v>1. September revenue was KES 27.3M, 0.4% below budget; year to date is 1.3% above budget.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customFormat="false" ht="18" hidden="false" customHeight="true" outlineLevel="0" collapsed="false">
      <c r="A9" s="15" t="str">
        <f aca="false">"2. Gross margin was "&amp;TEXT(B26,"0.0%")&amp;" against a budget of "&amp;TEXT(C26,"0.0%")&amp;" ("&amp;TEXT((B26-C26)*100,"+0.0;-0.0")&amp;" pts)."</f>
        <v>2. Gross margin was 16.5% against a budget of 18.0% (-1.5 pts).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customFormat="false" ht="18" hidden="false" customHeight="true" outlineLevel="0" collapsed="false">
      <c r="A10" s="15" t="str">
        <f aca="false">"3. Operating profit was KES "&amp;TEXT(B36/1000000,"0.00")&amp;"M against a budget of KES "&amp;TEXT(C36/1000000,"0.00")&amp;"M; year to date KES "&amp;TEXT(G36/1000000,"0.0")&amp;"M against KES "&amp;TEXT(H36/1000000,"0.0")&amp;"M."</f>
        <v>3. Operating profit was KES 0.61M against a budget of KES 1.28M; year to date KES 8.5M against KES 9.9M.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customFormat="false" ht="18" hidden="false" customHeight="true" outlineLevel="0" collapsed="false">
      <c r="A11" s="15" t="str">
        <f aca="false">"4. Largest adverse variance this month: "&amp;A55&amp;" (KES "&amp;TEXT(B55,"#,##0")&amp;", "&amp;TEXT(C55,"0%")&amp;" of budget)."</f>
        <v>4. Largest adverse variance this month: Sales: Beverages (KES -876,300, -16% of budget).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18" hidden="false" customHeight="true" outlineLevel="0" collapsed="false">
      <c r="A12" s="15" t="str">
        <f aca="false">"5. Largest favourable variance this month: "&amp;A59&amp;" (KES +"&amp;TEXT(B59,"#,##0")&amp;", +"&amp;TEXT(C59,"0%")&amp;" of budget)."</f>
        <v>5. Largest favourable variance this month: Sales: Cooking oil &amp; fats (KES +866,900, +9% of budget).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customFormat="false" ht="18" hidden="false" customHeight="true" outlineLevel="0" collapsed="false">
      <c r="A13" s="15" t="str">
        <f aca="false">"6. Biggest year-to-date cost overrun: "&amp;INDEX(A27:A34,MATCH(MIN(I27:I34),I27:I34,0))&amp;" (KES "&amp;TEXT(-MIN(I27:I34),"#,##0")&amp;" over budget)."</f>
        <v>6. Biggest year-to-date cost overrun: Transport &amp; fuel (KES 705,600 over budget).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customFormat="false" ht="18" hidden="false" customHeight="true" outlineLevel="0" collapsed="false">
      <c r="A14" s="15" t="str">
        <f aca="false">"7. "&amp;COUNTIF(Monthly_PL!$AC$2:$AC$17,"Material")&amp;" of 16 lines have a material variance this month (at least KES "&amp;TEXT(Assumptions!B5,"#,##0")&amp;" and "&amp;TEXT(Assumptions!B6,"0%")&amp;" of budget)."</f>
        <v>7. 3 of 16 lines have a material variance this month (at least KES 50,000 and 10% of budget).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7" customFormat="false" ht="18" hidden="false" customHeight="true" outlineLevel="0" collapsed="false">
      <c r="A17" s="14" t="s">
        <v>35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30" hidden="false" customHeight="true" outlineLevel="0" collapsed="false">
      <c r="A18" s="16" t="s">
        <v>36</v>
      </c>
      <c r="B18" s="16" t="s">
        <v>37</v>
      </c>
      <c r="C18" s="16" t="s">
        <v>38</v>
      </c>
      <c r="D18" s="16" t="s">
        <v>39</v>
      </c>
      <c r="E18" s="16" t="s">
        <v>40</v>
      </c>
      <c r="F18" s="16" t="s">
        <v>41</v>
      </c>
      <c r="G18" s="16" t="s">
        <v>42</v>
      </c>
      <c r="H18" s="16" t="s">
        <v>43</v>
      </c>
      <c r="I18" s="16" t="s">
        <v>39</v>
      </c>
      <c r="J18" s="16" t="s">
        <v>40</v>
      </c>
      <c r="K18" s="16" t="s">
        <v>41</v>
      </c>
    </row>
    <row r="19" customFormat="false" ht="15" hidden="false" customHeight="false" outlineLevel="0" collapsed="false">
      <c r="A19" s="17" t="s">
        <v>44</v>
      </c>
      <c r="B19" s="18" t="n">
        <f aca="false">Monthly_PL!W2</f>
        <v>10730900</v>
      </c>
      <c r="C19" s="18" t="n">
        <f aca="false">Monthly_PL!X2</f>
        <v>9864000</v>
      </c>
      <c r="D19" s="19" t="n">
        <f aca="false">(B19-C19)</f>
        <v>866900</v>
      </c>
      <c r="E19" s="20" t="n">
        <f aca="false">IFERROR(D19/C19,0)</f>
        <v>0.0878852392538524</v>
      </c>
      <c r="F19" s="21" t="str">
        <f aca="false">IF(D19&gt;=0,"F","A")</f>
        <v>F</v>
      </c>
      <c r="G19" s="18" t="n">
        <f aca="false">Monthly_PL!U2</f>
        <v>91170800</v>
      </c>
      <c r="H19" s="18" t="n">
        <f aca="false">Monthly_PL!V2</f>
        <v>84888000</v>
      </c>
      <c r="I19" s="19" t="n">
        <f aca="false">(G19-H19)</f>
        <v>6282800</v>
      </c>
      <c r="J19" s="20" t="n">
        <f aca="false">IFERROR(I19/H19,0)</f>
        <v>0.074012816888135</v>
      </c>
      <c r="K19" s="21" t="str">
        <f aca="false">IF(I19&gt;=0,"F","A")</f>
        <v>F</v>
      </c>
    </row>
    <row r="20" customFormat="false" ht="15" hidden="false" customHeight="false" outlineLevel="0" collapsed="false">
      <c r="A20" s="17" t="s">
        <v>45</v>
      </c>
      <c r="B20" s="18" t="n">
        <f aca="false">Monthly_PL!W3</f>
        <v>7877200</v>
      </c>
      <c r="C20" s="18" t="n">
        <f aca="false">Monthly_PL!X3</f>
        <v>8220000</v>
      </c>
      <c r="D20" s="19" t="n">
        <f aca="false">(B20-C20)</f>
        <v>-342800</v>
      </c>
      <c r="E20" s="20" t="n">
        <f aca="false">IFERROR(D20/C20,0)</f>
        <v>-0.0417031630170316</v>
      </c>
      <c r="F20" s="21" t="str">
        <f aca="false">IF(D20&gt;=0,"F","A")</f>
        <v>A</v>
      </c>
      <c r="G20" s="18" t="n">
        <f aca="false">Monthly_PL!U3</f>
        <v>68599400</v>
      </c>
      <c r="H20" s="18" t="n">
        <f aca="false">Monthly_PL!V3</f>
        <v>70740000</v>
      </c>
      <c r="I20" s="19" t="n">
        <f aca="false">(G20-H20)</f>
        <v>-2140600</v>
      </c>
      <c r="J20" s="20" t="n">
        <f aca="false">IFERROR(I20/H20,0)</f>
        <v>-0.03026010743568</v>
      </c>
      <c r="K20" s="21" t="str">
        <f aca="false">IF(I20&gt;=0,"F","A")</f>
        <v>A</v>
      </c>
    </row>
    <row r="21" customFormat="false" ht="15" hidden="false" customHeight="false" outlineLevel="0" collapsed="false">
      <c r="A21" s="17" t="s">
        <v>46</v>
      </c>
      <c r="B21" s="18" t="n">
        <f aca="false">Monthly_PL!W4</f>
        <v>4603700</v>
      </c>
      <c r="C21" s="18" t="n">
        <f aca="false">Monthly_PL!X4</f>
        <v>5480000</v>
      </c>
      <c r="D21" s="19" t="n">
        <f aca="false">(B21-C21)</f>
        <v>-876300</v>
      </c>
      <c r="E21" s="20" t="n">
        <f aca="false">IFERROR(D21/C21,0)</f>
        <v>-0.159908759124088</v>
      </c>
      <c r="F21" s="21" t="str">
        <f aca="false">IF(D21&gt;=0,"F","A")</f>
        <v>A</v>
      </c>
      <c r="G21" s="18" t="n">
        <f aca="false">Monthly_PL!U4</f>
        <v>44356100</v>
      </c>
      <c r="H21" s="18" t="n">
        <f aca="false">Monthly_PL!V4</f>
        <v>47160000</v>
      </c>
      <c r="I21" s="19" t="n">
        <f aca="false">(G21-H21)</f>
        <v>-2803900</v>
      </c>
      <c r="J21" s="20" t="n">
        <f aca="false">IFERROR(I21/H21,0)</f>
        <v>-0.0594550466497031</v>
      </c>
      <c r="K21" s="21" t="str">
        <f aca="false">IF(I21&gt;=0,"F","A")</f>
        <v>A</v>
      </c>
    </row>
    <row r="22" customFormat="false" ht="15" hidden="false" customHeight="false" outlineLevel="0" collapsed="false">
      <c r="A22" s="17" t="s">
        <v>47</v>
      </c>
      <c r="B22" s="18" t="n">
        <f aca="false">Monthly_PL!W5</f>
        <v>4081700</v>
      </c>
      <c r="C22" s="18" t="n">
        <f aca="false">Monthly_PL!X5</f>
        <v>3836000</v>
      </c>
      <c r="D22" s="19" t="n">
        <f aca="false">(B22-C22)</f>
        <v>245700</v>
      </c>
      <c r="E22" s="20" t="n">
        <f aca="false">IFERROR(D22/C22,0)</f>
        <v>0.064051094890511</v>
      </c>
      <c r="F22" s="21" t="str">
        <f aca="false">IF(D22&gt;=0,"F","A")</f>
        <v>F</v>
      </c>
      <c r="G22" s="18" t="n">
        <f aca="false">Monthly_PL!U5</f>
        <v>34840600</v>
      </c>
      <c r="H22" s="18" t="n">
        <f aca="false">Monthly_PL!V5</f>
        <v>33012000</v>
      </c>
      <c r="I22" s="19" t="n">
        <f aca="false">(G22-H22)</f>
        <v>1828600</v>
      </c>
      <c r="J22" s="20" t="n">
        <f aca="false">IFERROR(I22/H22,0)</f>
        <v>0.0553919786744214</v>
      </c>
      <c r="K22" s="21" t="str">
        <f aca="false">IF(I22&gt;=0,"F","A")</f>
        <v>F</v>
      </c>
    </row>
    <row r="23" customFormat="false" ht="15" hidden="false" customHeight="false" outlineLevel="0" collapsed="false">
      <c r="A23" s="22" t="s">
        <v>48</v>
      </c>
      <c r="B23" s="23" t="n">
        <f aca="false">SUM(B19:B22)</f>
        <v>27293500</v>
      </c>
      <c r="C23" s="23" t="n">
        <f aca="false">SUM(C19:C22)</f>
        <v>27400000</v>
      </c>
      <c r="D23" s="24" t="n">
        <f aca="false">(B23-C23)</f>
        <v>-106500</v>
      </c>
      <c r="E23" s="25" t="n">
        <f aca="false">IFERROR(D23/C23,0)</f>
        <v>-0.00388686131386861</v>
      </c>
      <c r="F23" s="26" t="str">
        <f aca="false">IF(D23&gt;=0,"F","A")</f>
        <v>A</v>
      </c>
      <c r="G23" s="23" t="n">
        <f aca="false">SUM(G19:G22)</f>
        <v>238966900</v>
      </c>
      <c r="H23" s="23" t="n">
        <f aca="false">SUM(H19:H22)</f>
        <v>235800000</v>
      </c>
      <c r="I23" s="24" t="n">
        <f aca="false">(G23-H23)</f>
        <v>3166900</v>
      </c>
      <c r="J23" s="25" t="n">
        <f aca="false">IFERROR(I23/H23,0)</f>
        <v>0.013430449533503</v>
      </c>
      <c r="K23" s="26" t="str">
        <f aca="false">IF(I23&gt;=0,"F","A")</f>
        <v>F</v>
      </c>
    </row>
    <row r="24" customFormat="false" ht="15" hidden="false" customHeight="false" outlineLevel="0" collapsed="false">
      <c r="A24" s="27" t="s">
        <v>49</v>
      </c>
      <c r="B24" s="28" t="n">
        <f aca="false">Monthly_PL!W20</f>
        <v>22791000</v>
      </c>
      <c r="C24" s="28" t="n">
        <f aca="false">Monthly_PL!X20</f>
        <v>22468000</v>
      </c>
      <c r="D24" s="29" t="n">
        <f aca="false">-(B24-C24)</f>
        <v>-323000</v>
      </c>
      <c r="E24" s="30" t="n">
        <f aca="false">IFERROR(D24/C24,0)</f>
        <v>-0.0143760014242478</v>
      </c>
      <c r="F24" s="31" t="str">
        <f aca="false">IF(D24&gt;=0,"F","A")</f>
        <v>A</v>
      </c>
      <c r="G24" s="28" t="n">
        <f aca="false">Monthly_PL!U20</f>
        <v>197358400</v>
      </c>
      <c r="H24" s="28" t="n">
        <f aca="false">Monthly_PL!V20</f>
        <v>193355000</v>
      </c>
      <c r="I24" s="29" t="n">
        <f aca="false">-(G24-H24)</f>
        <v>-4003400</v>
      </c>
      <c r="J24" s="30" t="n">
        <f aca="false">IFERROR(I24/H24,0)</f>
        <v>-0.0207049210002327</v>
      </c>
      <c r="K24" s="31" t="str">
        <f aca="false">IF(I24&gt;=0,"F","A")</f>
        <v>A</v>
      </c>
    </row>
    <row r="25" customFormat="false" ht="15" hidden="false" customHeight="false" outlineLevel="0" collapsed="false">
      <c r="A25" s="22" t="s">
        <v>50</v>
      </c>
      <c r="B25" s="23" t="n">
        <f aca="false">B23-B24</f>
        <v>4502500</v>
      </c>
      <c r="C25" s="23" t="n">
        <f aca="false">C23-C24</f>
        <v>4932000</v>
      </c>
      <c r="D25" s="24" t="n">
        <f aca="false">(B25-C25)</f>
        <v>-429500</v>
      </c>
      <c r="E25" s="25" t="n">
        <f aca="false">IFERROR(D25/C25,0)</f>
        <v>-0.0870843471208435</v>
      </c>
      <c r="F25" s="26" t="str">
        <f aca="false">IF(D25&gt;=0,"F","A")</f>
        <v>A</v>
      </c>
      <c r="G25" s="23" t="n">
        <f aca="false">G23-G24</f>
        <v>41608500</v>
      </c>
      <c r="H25" s="23" t="n">
        <f aca="false">H23-H24</f>
        <v>42445000</v>
      </c>
      <c r="I25" s="24" t="n">
        <f aca="false">(G25-H25)</f>
        <v>-836500</v>
      </c>
      <c r="J25" s="25" t="n">
        <f aca="false">IFERROR(I25/H25,0)</f>
        <v>-0.0197078572269996</v>
      </c>
      <c r="K25" s="26" t="str">
        <f aca="false">IF(I25&gt;=0,"F","A")</f>
        <v>A</v>
      </c>
    </row>
    <row r="26" customFormat="false" ht="15" hidden="false" customHeight="false" outlineLevel="0" collapsed="false">
      <c r="A26" s="32" t="s">
        <v>51</v>
      </c>
      <c r="B26" s="33" t="n">
        <f aca="false">IFERROR(B25/B23,0)</f>
        <v>0.164966017549966</v>
      </c>
      <c r="C26" s="33" t="n">
        <f aca="false">IFERROR(C25/C23,0)</f>
        <v>0.18</v>
      </c>
      <c r="D26" s="34" t="n">
        <f aca="false">(B26-C26)*100</f>
        <v>-1.50339824500339</v>
      </c>
      <c r="E26" s="17"/>
      <c r="F26" s="21" t="str">
        <f aca="false">IF(D26&gt;=0,"F","A")</f>
        <v>A</v>
      </c>
      <c r="G26" s="33" t="n">
        <f aca="false">IFERROR(G25/G23,0)</f>
        <v>0.174118256545153</v>
      </c>
      <c r="H26" s="33" t="n">
        <f aca="false">IFERROR(H25/H23,0)</f>
        <v>0.180004240882103</v>
      </c>
      <c r="I26" s="34" t="n">
        <f aca="false">(G26-H26)*100</f>
        <v>-0.588598433695015</v>
      </c>
      <c r="J26" s="17"/>
      <c r="K26" s="21" t="str">
        <f aca="false">IF(I26&gt;=0,"F","A")</f>
        <v>A</v>
      </c>
    </row>
    <row r="27" customFormat="false" ht="15" hidden="false" customHeight="false" outlineLevel="0" collapsed="false">
      <c r="A27" s="17" t="s">
        <v>52</v>
      </c>
      <c r="B27" s="18" t="n">
        <f aca="false">Monthly_PL!W10</f>
        <v>1719000</v>
      </c>
      <c r="C27" s="18" t="n">
        <f aca="false">Monthly_PL!X10</f>
        <v>1638000</v>
      </c>
      <c r="D27" s="19" t="n">
        <f aca="false">-(B27-C27)</f>
        <v>-81000</v>
      </c>
      <c r="E27" s="20" t="n">
        <f aca="false">IFERROR(D27/C27,0)</f>
        <v>-0.0494505494505495</v>
      </c>
      <c r="F27" s="21" t="str">
        <f aca="false">IF(D27&gt;=0,"F","A")</f>
        <v>A</v>
      </c>
      <c r="G27" s="18" t="n">
        <f aca="false">Monthly_PL!U10</f>
        <v>14882400</v>
      </c>
      <c r="H27" s="18" t="n">
        <f aca="false">Monthly_PL!V10</f>
        <v>14573000</v>
      </c>
      <c r="I27" s="19" t="n">
        <f aca="false">-(G27-H27)</f>
        <v>-309400</v>
      </c>
      <c r="J27" s="20" t="n">
        <f aca="false">IFERROR(I27/H27,0)</f>
        <v>-0.0212310437109723</v>
      </c>
      <c r="K27" s="21" t="str">
        <f aca="false">IF(I27&gt;=0,"F","A")</f>
        <v>A</v>
      </c>
    </row>
    <row r="28" customFormat="false" ht="15" hidden="false" customHeight="false" outlineLevel="0" collapsed="false">
      <c r="A28" s="17" t="s">
        <v>53</v>
      </c>
      <c r="B28" s="18" t="n">
        <f aca="false">Monthly_PL!W11</f>
        <v>569200</v>
      </c>
      <c r="C28" s="18" t="n">
        <f aca="false">Monthly_PL!X11</f>
        <v>563000</v>
      </c>
      <c r="D28" s="19" t="n">
        <f aca="false">-(B28-C28)</f>
        <v>-6200</v>
      </c>
      <c r="E28" s="20" t="n">
        <f aca="false">IFERROR(D28/C28,0)</f>
        <v>-0.01101243339254</v>
      </c>
      <c r="F28" s="21" t="str">
        <f aca="false">IF(D28&gt;=0,"F","A")</f>
        <v>A</v>
      </c>
      <c r="G28" s="18" t="n">
        <f aca="false">Monthly_PL!U11</f>
        <v>5028500</v>
      </c>
      <c r="H28" s="18" t="n">
        <f aca="false">Monthly_PL!V11</f>
        <v>5010000</v>
      </c>
      <c r="I28" s="19" t="n">
        <f aca="false">-(G28-H28)</f>
        <v>-18500</v>
      </c>
      <c r="J28" s="20" t="n">
        <f aca="false">IFERROR(I28/H28,0)</f>
        <v>-0.00369261477045908</v>
      </c>
      <c r="K28" s="21" t="str">
        <f aca="false">IF(I28&gt;=0,"F","A")</f>
        <v>A</v>
      </c>
    </row>
    <row r="29" customFormat="false" ht="15" hidden="false" customHeight="false" outlineLevel="0" collapsed="false">
      <c r="A29" s="17" t="s">
        <v>54</v>
      </c>
      <c r="B29" s="18" t="n">
        <f aca="false">Monthly_PL!W12</f>
        <v>159300</v>
      </c>
      <c r="C29" s="18" t="n">
        <f aca="false">Monthly_PL!X12</f>
        <v>154000</v>
      </c>
      <c r="D29" s="19" t="n">
        <f aca="false">-(B29-C29)</f>
        <v>-5300</v>
      </c>
      <c r="E29" s="20" t="n">
        <f aca="false">IFERROR(D29/C29,0)</f>
        <v>-0.0344155844155844</v>
      </c>
      <c r="F29" s="21" t="str">
        <f aca="false">IF(D29&gt;=0,"F","A")</f>
        <v>A</v>
      </c>
      <c r="G29" s="18" t="n">
        <f aca="false">Monthly_PL!U12</f>
        <v>1400900</v>
      </c>
      <c r="H29" s="18" t="n">
        <f aca="false">Monthly_PL!V12</f>
        <v>1366000</v>
      </c>
      <c r="I29" s="19" t="n">
        <f aca="false">-(G29-H29)</f>
        <v>-34900</v>
      </c>
      <c r="J29" s="20" t="n">
        <f aca="false">IFERROR(I29/H29,0)</f>
        <v>-0.0255490483162518</v>
      </c>
      <c r="K29" s="21" t="str">
        <f aca="false">IF(I29&gt;=0,"F","A")</f>
        <v>A</v>
      </c>
    </row>
    <row r="30" customFormat="false" ht="15" hidden="false" customHeight="false" outlineLevel="0" collapsed="false">
      <c r="A30" s="17" t="s">
        <v>55</v>
      </c>
      <c r="B30" s="18" t="n">
        <f aca="false">Monthly_PL!W13</f>
        <v>911700</v>
      </c>
      <c r="C30" s="18" t="n">
        <f aca="false">Monthly_PL!X13</f>
        <v>717000</v>
      </c>
      <c r="D30" s="19" t="n">
        <f aca="false">-(B30-C30)</f>
        <v>-194700</v>
      </c>
      <c r="E30" s="20" t="n">
        <f aca="false">IFERROR(D30/C30,0)</f>
        <v>-0.271548117154812</v>
      </c>
      <c r="F30" s="21" t="str">
        <f aca="false">IF(D30&gt;=0,"F","A")</f>
        <v>A</v>
      </c>
      <c r="G30" s="18" t="n">
        <f aca="false">Monthly_PL!U13</f>
        <v>7080600</v>
      </c>
      <c r="H30" s="18" t="n">
        <f aca="false">Monthly_PL!V13</f>
        <v>6375000</v>
      </c>
      <c r="I30" s="19" t="n">
        <f aca="false">-(G30-H30)</f>
        <v>-705600</v>
      </c>
      <c r="J30" s="20" t="n">
        <f aca="false">IFERROR(I30/H30,0)</f>
        <v>-0.110682352941176</v>
      </c>
      <c r="K30" s="21" t="str">
        <f aca="false">IF(I30&gt;=0,"F","A")</f>
        <v>A</v>
      </c>
    </row>
    <row r="31" customFormat="false" ht="15" hidden="false" customHeight="false" outlineLevel="0" collapsed="false">
      <c r="A31" s="17" t="s">
        <v>56</v>
      </c>
      <c r="B31" s="18" t="n">
        <f aca="false">Monthly_PL!W14</f>
        <v>222100</v>
      </c>
      <c r="C31" s="18" t="n">
        <f aca="false">Monthly_PL!X14</f>
        <v>307000</v>
      </c>
      <c r="D31" s="19" t="n">
        <f aca="false">-(B31-C31)</f>
        <v>84900</v>
      </c>
      <c r="E31" s="20" t="n">
        <f aca="false">IFERROR(D31/C31,0)</f>
        <v>0.276547231270358</v>
      </c>
      <c r="F31" s="21" t="str">
        <f aca="false">IF(D31&gt;=0,"F","A")</f>
        <v>F</v>
      </c>
      <c r="G31" s="18" t="n">
        <f aca="false">Monthly_PL!U14</f>
        <v>2138900</v>
      </c>
      <c r="H31" s="18" t="n">
        <f aca="false">Monthly_PL!V14</f>
        <v>2732000</v>
      </c>
      <c r="I31" s="19" t="n">
        <f aca="false">-(G31-H31)</f>
        <v>593100</v>
      </c>
      <c r="J31" s="20" t="n">
        <f aca="false">IFERROR(I31/H31,0)</f>
        <v>0.217093704245974</v>
      </c>
      <c r="K31" s="21" t="str">
        <f aca="false">IF(I31&gt;=0,"F","A")</f>
        <v>F</v>
      </c>
    </row>
    <row r="32" customFormat="false" ht="15" hidden="false" customHeight="false" outlineLevel="0" collapsed="false">
      <c r="A32" s="17" t="s">
        <v>57</v>
      </c>
      <c r="B32" s="18" t="n">
        <f aca="false">Monthly_PL!W15</f>
        <v>91500</v>
      </c>
      <c r="C32" s="18" t="n">
        <f aca="false">Monthly_PL!X15</f>
        <v>92000</v>
      </c>
      <c r="D32" s="19" t="n">
        <f aca="false">-(B32-C32)</f>
        <v>500</v>
      </c>
      <c r="E32" s="20" t="n">
        <f aca="false">IFERROR(D32/C32,0)</f>
        <v>0.00543478260869565</v>
      </c>
      <c r="F32" s="21" t="str">
        <f aca="false">IF(D32&gt;=0,"F","A")</f>
        <v>F</v>
      </c>
      <c r="G32" s="18" t="n">
        <f aca="false">Monthly_PL!U15</f>
        <v>825500</v>
      </c>
      <c r="H32" s="18" t="n">
        <f aca="false">Monthly_PL!V15</f>
        <v>820000</v>
      </c>
      <c r="I32" s="19" t="n">
        <f aca="false">-(G32-H32)</f>
        <v>-5500</v>
      </c>
      <c r="J32" s="20" t="n">
        <f aca="false">IFERROR(I32/H32,0)</f>
        <v>-0.00670731707317073</v>
      </c>
      <c r="K32" s="21" t="str">
        <f aca="false">IF(I32&gt;=0,"F","A")</f>
        <v>A</v>
      </c>
    </row>
    <row r="33" customFormat="false" ht="15" hidden="false" customHeight="false" outlineLevel="0" collapsed="false">
      <c r="A33" s="17" t="s">
        <v>58</v>
      </c>
      <c r="B33" s="18" t="n">
        <f aca="false">Monthly_PL!W16</f>
        <v>71600</v>
      </c>
      <c r="C33" s="18" t="n">
        <f aca="false">Monthly_PL!X16</f>
        <v>61000</v>
      </c>
      <c r="D33" s="19" t="n">
        <f aca="false">-(B33-C33)</f>
        <v>-10600</v>
      </c>
      <c r="E33" s="20" t="n">
        <f aca="false">IFERROR(D33/C33,0)</f>
        <v>-0.173770491803279</v>
      </c>
      <c r="F33" s="21" t="str">
        <f aca="false">IF(D33&gt;=0,"F","A")</f>
        <v>A</v>
      </c>
      <c r="G33" s="18" t="n">
        <f aca="false">Monthly_PL!U16</f>
        <v>605600</v>
      </c>
      <c r="H33" s="18" t="n">
        <f aca="false">Monthly_PL!V16</f>
        <v>546000</v>
      </c>
      <c r="I33" s="19" t="n">
        <f aca="false">-(G33-H33)</f>
        <v>-59600</v>
      </c>
      <c r="J33" s="20" t="n">
        <f aca="false">IFERROR(I33/H33,0)</f>
        <v>-0.109157509157509</v>
      </c>
      <c r="K33" s="21" t="str">
        <f aca="false">IF(I33&gt;=0,"F","A")</f>
        <v>A</v>
      </c>
    </row>
    <row r="34" customFormat="false" ht="15" hidden="false" customHeight="false" outlineLevel="0" collapsed="false">
      <c r="A34" s="17" t="s">
        <v>59</v>
      </c>
      <c r="B34" s="18" t="n">
        <f aca="false">Monthly_PL!W17</f>
        <v>145400</v>
      </c>
      <c r="C34" s="18" t="n">
        <f aca="false">Monthly_PL!X17</f>
        <v>123000</v>
      </c>
      <c r="D34" s="19" t="n">
        <f aca="false">-(B34-C34)</f>
        <v>-22400</v>
      </c>
      <c r="E34" s="20" t="n">
        <f aca="false">IFERROR(D34/C34,0)</f>
        <v>-0.182113821138211</v>
      </c>
      <c r="F34" s="21" t="str">
        <f aca="false">IF(D34&gt;=0,"F","A")</f>
        <v>A</v>
      </c>
      <c r="G34" s="18" t="n">
        <f aca="false">Monthly_PL!U17</f>
        <v>1148200</v>
      </c>
      <c r="H34" s="18" t="n">
        <f aca="false">Monthly_PL!V17</f>
        <v>1093000</v>
      </c>
      <c r="I34" s="19" t="n">
        <f aca="false">-(G34-H34)</f>
        <v>-55200</v>
      </c>
      <c r="J34" s="20" t="n">
        <f aca="false">IFERROR(I34/H34,0)</f>
        <v>-0.0505032021957914</v>
      </c>
      <c r="K34" s="21" t="str">
        <f aca="false">IF(I34&gt;=0,"F","A")</f>
        <v>A</v>
      </c>
    </row>
    <row r="35" customFormat="false" ht="15" hidden="false" customHeight="false" outlineLevel="0" collapsed="false">
      <c r="A35" s="22" t="s">
        <v>60</v>
      </c>
      <c r="B35" s="23" t="n">
        <f aca="false">SUM(B27:B34)</f>
        <v>3889800</v>
      </c>
      <c r="C35" s="23" t="n">
        <f aca="false">SUM(C27:C34)</f>
        <v>3655000</v>
      </c>
      <c r="D35" s="24" t="n">
        <f aca="false">-(B35-C35)</f>
        <v>-234800</v>
      </c>
      <c r="E35" s="25" t="n">
        <f aca="false">IFERROR(D35/C35,0)</f>
        <v>-0.0642407660738714</v>
      </c>
      <c r="F35" s="26" t="str">
        <f aca="false">IF(D35&gt;=0,"F","A")</f>
        <v>A</v>
      </c>
      <c r="G35" s="23" t="n">
        <f aca="false">SUM(G27:G34)</f>
        <v>33110600</v>
      </c>
      <c r="H35" s="23" t="n">
        <f aca="false">SUM(H27:H34)</f>
        <v>32515000</v>
      </c>
      <c r="I35" s="24" t="n">
        <f aca="false">-(G35-H35)</f>
        <v>-595600</v>
      </c>
      <c r="J35" s="25" t="n">
        <f aca="false">IFERROR(I35/H35,0)</f>
        <v>-0.0183176995232969</v>
      </c>
      <c r="K35" s="26" t="str">
        <f aca="false">IF(I35&gt;=0,"F","A")</f>
        <v>A</v>
      </c>
    </row>
    <row r="36" customFormat="false" ht="15" hidden="false" customHeight="false" outlineLevel="0" collapsed="false">
      <c r="A36" s="22" t="s">
        <v>61</v>
      </c>
      <c r="B36" s="23" t="n">
        <f aca="false">B25-B35</f>
        <v>612700</v>
      </c>
      <c r="C36" s="23" t="n">
        <f aca="false">C25-C35</f>
        <v>1277000</v>
      </c>
      <c r="D36" s="24" t="n">
        <f aca="false">(B36-C36)</f>
        <v>-664300</v>
      </c>
      <c r="E36" s="25" t="n">
        <f aca="false">IFERROR(D36/C36,0)</f>
        <v>-0.520203602192639</v>
      </c>
      <c r="F36" s="26" t="str">
        <f aca="false">IF(D36&gt;=0,"F","A")</f>
        <v>A</v>
      </c>
      <c r="G36" s="23" t="n">
        <f aca="false">G25-G35</f>
        <v>8497900</v>
      </c>
      <c r="H36" s="23" t="n">
        <f aca="false">H25-H35</f>
        <v>9930000</v>
      </c>
      <c r="I36" s="24" t="n">
        <f aca="false">(G36-H36)</f>
        <v>-1432100</v>
      </c>
      <c r="J36" s="25" t="n">
        <f aca="false">IFERROR(I36/H36,0)</f>
        <v>-0.144219536757301</v>
      </c>
      <c r="K36" s="26" t="str">
        <f aca="false">IF(I36&gt;=0,"F","A")</f>
        <v>A</v>
      </c>
    </row>
    <row r="37" customFormat="false" ht="15" hidden="false" customHeight="false" outlineLevel="0" collapsed="false">
      <c r="A37" s="32" t="s">
        <v>62</v>
      </c>
      <c r="B37" s="33" t="n">
        <f aca="false">IFERROR(B36/B23,0)</f>
        <v>0.0224485683404474</v>
      </c>
      <c r="C37" s="33" t="n">
        <f aca="false">IFERROR(C36/C23,0)</f>
        <v>0.0466058394160584</v>
      </c>
      <c r="D37" s="34" t="n">
        <f aca="false">(B37-C37)*100</f>
        <v>-2.4157271075611</v>
      </c>
      <c r="E37" s="17"/>
      <c r="F37" s="21" t="str">
        <f aca="false">IF(D37&gt;=0,"F","A")</f>
        <v>A</v>
      </c>
      <c r="G37" s="33" t="n">
        <f aca="false">IFERROR(G36/G23,0)</f>
        <v>0.0355609919198014</v>
      </c>
      <c r="H37" s="33" t="n">
        <f aca="false">IFERROR(H36/H23,0)</f>
        <v>0.0421119592875318</v>
      </c>
      <c r="I37" s="34" t="n">
        <f aca="false">(G37-H37)*100</f>
        <v>-0.655096736773037</v>
      </c>
      <c r="J37" s="17"/>
      <c r="K37" s="21" t="str">
        <f aca="false">IF(I37&gt;=0,"F","A")</f>
        <v>A</v>
      </c>
    </row>
    <row r="38" customFormat="false" ht="15" hidden="false" customHeight="false" outlineLevel="0" collapsed="false">
      <c r="A38" s="35" t="s">
        <v>63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40" customFormat="false" ht="18" hidden="false" customHeight="true" outlineLevel="0" collapsed="false">
      <c r="A40" s="14" t="s">
        <v>64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30" hidden="false" customHeight="true" outlineLevel="0" collapsed="false">
      <c r="A41" s="16" t="s">
        <v>65</v>
      </c>
      <c r="B41" s="16" t="s">
        <v>66</v>
      </c>
      <c r="C41" s="16" t="s">
        <v>67</v>
      </c>
      <c r="D41" s="16" t="s">
        <v>68</v>
      </c>
      <c r="E41" s="16" t="s">
        <v>69</v>
      </c>
      <c r="F41" s="16" t="s">
        <v>70</v>
      </c>
      <c r="G41" s="16" t="s">
        <v>71</v>
      </c>
    </row>
    <row r="42" customFormat="false" ht="15" hidden="false" customHeight="false" outlineLevel="0" collapsed="false">
      <c r="A42" s="36" t="n">
        <f aca="false">DATE(2026,1,1)</f>
        <v>46023</v>
      </c>
      <c r="B42" s="18" t="n">
        <f aca="false">INDEX(Monthly_PL!$C$19:$K$19,1)</f>
        <v>25538600</v>
      </c>
      <c r="C42" s="18" t="n">
        <f aca="false">INDEX(Monthly_PL!$L$19:$T$19,1)</f>
        <v>25000000</v>
      </c>
      <c r="D42" s="33" t="n">
        <f aca="false">INDEX(Monthly_PL!$C$24:$K$24,1)</f>
        <v>0.178647224201797</v>
      </c>
      <c r="E42" s="33" t="n">
        <f aca="false">INDEX(Monthly_PL!$L$24:$T$24,1)</f>
        <v>0.18</v>
      </c>
      <c r="F42" s="37" t="n">
        <f aca="false">INDEX(Monthly_PL!$C$23:$K$23,1)</f>
        <v>1010300</v>
      </c>
      <c r="G42" s="37" t="n">
        <f aca="false">INDEX(Monthly_PL!$L$23:$T$23,1)</f>
        <v>930000</v>
      </c>
    </row>
    <row r="43" customFormat="false" ht="15" hidden="false" customHeight="false" outlineLevel="0" collapsed="false">
      <c r="A43" s="36" t="n">
        <f aca="false">DATE(2026,2,1)</f>
        <v>46054</v>
      </c>
      <c r="B43" s="18" t="n">
        <f aca="false">INDEX(Monthly_PL!$C$19:$K$19,2)</f>
        <v>25829500</v>
      </c>
      <c r="C43" s="18" t="n">
        <f aca="false">INDEX(Monthly_PL!$L$19:$T$19,2)</f>
        <v>25300000</v>
      </c>
      <c r="D43" s="33" t="n">
        <f aca="false">INDEX(Monthly_PL!$C$24:$K$24,2)</f>
        <v>0.181389496505933</v>
      </c>
      <c r="E43" s="33" t="n">
        <f aca="false">INDEX(Monthly_PL!$L$24:$T$24,2)</f>
        <v>0.18</v>
      </c>
      <c r="F43" s="37" t="n">
        <f aca="false">INDEX(Monthly_PL!$C$23:$K$23,2)</f>
        <v>1117600</v>
      </c>
      <c r="G43" s="37" t="n">
        <f aca="false">INDEX(Monthly_PL!$L$23:$T$23,2)</f>
        <v>974000</v>
      </c>
    </row>
    <row r="44" customFormat="false" ht="15" hidden="false" customHeight="false" outlineLevel="0" collapsed="false">
      <c r="A44" s="36" t="n">
        <f aca="false">DATE(2026,3,1)</f>
        <v>46082</v>
      </c>
      <c r="B44" s="18" t="n">
        <f aca="false">INDEX(Monthly_PL!$C$19:$K$19,3)</f>
        <v>26000500</v>
      </c>
      <c r="C44" s="18" t="n">
        <f aca="false">INDEX(Monthly_PL!$L$19:$T$19,3)</f>
        <v>25600000</v>
      </c>
      <c r="D44" s="33" t="n">
        <f aca="false">INDEX(Monthly_PL!$C$24:$K$24,3)</f>
        <v>0.181054210495952</v>
      </c>
      <c r="E44" s="33" t="n">
        <f aca="false">INDEX(Monthly_PL!$L$24:$T$24,3)</f>
        <v>0.18</v>
      </c>
      <c r="F44" s="37" t="n">
        <f aca="false">INDEX(Monthly_PL!$C$23:$K$23,3)</f>
        <v>1204000</v>
      </c>
      <c r="G44" s="37" t="n">
        <f aca="false">INDEX(Monthly_PL!$L$23:$T$23,3)</f>
        <v>1016000</v>
      </c>
    </row>
    <row r="45" customFormat="false" ht="15" hidden="false" customHeight="false" outlineLevel="0" collapsed="false">
      <c r="A45" s="36" t="n">
        <f aca="false">DATE(2026,4,1)</f>
        <v>46113</v>
      </c>
      <c r="B45" s="18" t="n">
        <f aca="false">INDEX(Monthly_PL!$C$19:$K$19,4)</f>
        <v>26671500</v>
      </c>
      <c r="C45" s="18" t="n">
        <f aca="false">INDEX(Monthly_PL!$L$19:$T$19,4)</f>
        <v>25900000</v>
      </c>
      <c r="D45" s="33" t="n">
        <f aca="false">INDEX(Monthly_PL!$C$24:$K$24,4)</f>
        <v>0.177432840297696</v>
      </c>
      <c r="E45" s="33" t="n">
        <f aca="false">INDEX(Monthly_PL!$L$24:$T$24,4)</f>
        <v>0.18003861003861</v>
      </c>
      <c r="F45" s="37" t="n">
        <f aca="false">INDEX(Monthly_PL!$C$23:$K$23,4)</f>
        <v>1138000</v>
      </c>
      <c r="G45" s="37" t="n">
        <f aca="false">INDEX(Monthly_PL!$L$23:$T$23,4)</f>
        <v>1061000</v>
      </c>
    </row>
    <row r="46" customFormat="false" ht="15" hidden="false" customHeight="false" outlineLevel="0" collapsed="false">
      <c r="A46" s="36" t="n">
        <f aca="false">DATE(2026,5,1)</f>
        <v>46143</v>
      </c>
      <c r="B46" s="18" t="n">
        <f aca="false">INDEX(Monthly_PL!$C$19:$K$19,5)</f>
        <v>26577800</v>
      </c>
      <c r="C46" s="18" t="n">
        <f aca="false">INDEX(Monthly_PL!$L$19:$T$19,5)</f>
        <v>26200000</v>
      </c>
      <c r="D46" s="33" t="n">
        <f aca="false">INDEX(Monthly_PL!$C$24:$K$24,5)</f>
        <v>0.175289151096028</v>
      </c>
      <c r="E46" s="33" t="n">
        <f aca="false">INDEX(Monthly_PL!$L$24:$T$24,5)</f>
        <v>0.18</v>
      </c>
      <c r="F46" s="37" t="n">
        <f aca="false">INDEX(Monthly_PL!$C$23:$K$23,5)</f>
        <v>1030300</v>
      </c>
      <c r="G46" s="37" t="n">
        <f aca="false">INDEX(Monthly_PL!$L$23:$T$23,5)</f>
        <v>1103000</v>
      </c>
    </row>
    <row r="47" customFormat="false" ht="15" hidden="false" customHeight="false" outlineLevel="0" collapsed="false">
      <c r="A47" s="36" t="n">
        <f aca="false">DATE(2026,6,1)</f>
        <v>46174</v>
      </c>
      <c r="B47" s="18" t="n">
        <f aca="false">INDEX(Monthly_PL!$C$19:$K$19,6)</f>
        <v>26994200</v>
      </c>
      <c r="C47" s="18" t="n">
        <f aca="false">INDEX(Monthly_PL!$L$19:$T$19,6)</f>
        <v>26500000</v>
      </c>
      <c r="D47" s="33" t="n">
        <f aca="false">INDEX(Monthly_PL!$C$24:$K$24,6)</f>
        <v>0.172989012454527</v>
      </c>
      <c r="E47" s="33" t="n">
        <f aca="false">INDEX(Monthly_PL!$L$24:$T$24,6)</f>
        <v>0.18</v>
      </c>
      <c r="F47" s="37" t="n">
        <f aca="false">INDEX(Monthly_PL!$C$23:$K$23,6)</f>
        <v>981300</v>
      </c>
      <c r="G47" s="37" t="n">
        <f aca="false">INDEX(Monthly_PL!$L$23:$T$23,6)</f>
        <v>1148000</v>
      </c>
    </row>
    <row r="48" customFormat="false" ht="15" hidden="false" customHeight="false" outlineLevel="0" collapsed="false">
      <c r="A48" s="36" t="n">
        <f aca="false">DATE(2026,7,1)</f>
        <v>46204</v>
      </c>
      <c r="B48" s="18" t="n">
        <f aca="false">INDEX(Monthly_PL!$C$19:$K$19,7)</f>
        <v>27253700</v>
      </c>
      <c r="C48" s="18" t="n">
        <f aca="false">INDEX(Monthly_PL!$L$19:$T$19,7)</f>
        <v>26800000</v>
      </c>
      <c r="D48" s="33" t="n">
        <f aca="false">INDEX(Monthly_PL!$C$24:$K$24,7)</f>
        <v>0.169004575525525</v>
      </c>
      <c r="E48" s="33" t="n">
        <f aca="false">INDEX(Monthly_PL!$L$24:$T$24,7)</f>
        <v>0.180037313432836</v>
      </c>
      <c r="F48" s="37" t="n">
        <f aca="false">INDEX(Monthly_PL!$C$23:$K$23,7)</f>
        <v>845500</v>
      </c>
      <c r="G48" s="37" t="n">
        <f aca="false">INDEX(Monthly_PL!$L$23:$T$23,7)</f>
        <v>1190000</v>
      </c>
    </row>
    <row r="49" customFormat="false" ht="15" hidden="false" customHeight="false" outlineLevel="0" collapsed="false">
      <c r="A49" s="36" t="n">
        <f aca="false">DATE(2026,8,1)</f>
        <v>46235</v>
      </c>
      <c r="B49" s="18" t="n">
        <f aca="false">INDEX(Monthly_PL!$C$19:$K$19,8)</f>
        <v>26807600</v>
      </c>
      <c r="C49" s="18" t="n">
        <f aca="false">INDEX(Monthly_PL!$L$19:$T$19,8)</f>
        <v>27100000</v>
      </c>
      <c r="D49" s="33" t="n">
        <f aca="false">INDEX(Monthly_PL!$C$24:$K$24,8)</f>
        <v>0.167265999194258</v>
      </c>
      <c r="E49" s="33" t="n">
        <f aca="false">INDEX(Monthly_PL!$L$24:$T$24,8)</f>
        <v>0.179963099630996</v>
      </c>
      <c r="F49" s="37" t="n">
        <f aca="false">INDEX(Monthly_PL!$C$23:$K$23,8)</f>
        <v>558200</v>
      </c>
      <c r="G49" s="37" t="n">
        <f aca="false">INDEX(Monthly_PL!$L$23:$T$23,8)</f>
        <v>1231000</v>
      </c>
    </row>
    <row r="50" customFormat="false" ht="15" hidden="false" customHeight="false" outlineLevel="0" collapsed="false">
      <c r="A50" s="36" t="n">
        <f aca="false">DATE(2026,9,1)</f>
        <v>46266</v>
      </c>
      <c r="B50" s="18" t="n">
        <f aca="false">INDEX(Monthly_PL!$C$19:$K$19,9)</f>
        <v>27293500</v>
      </c>
      <c r="C50" s="18" t="n">
        <f aca="false">INDEX(Monthly_PL!$L$19:$T$19,9)</f>
        <v>27400000</v>
      </c>
      <c r="D50" s="33" t="n">
        <f aca="false">INDEX(Monthly_PL!$C$24:$K$24,9)</f>
        <v>0.164966017549966</v>
      </c>
      <c r="E50" s="33" t="n">
        <f aca="false">INDEX(Monthly_PL!$L$24:$T$24,9)</f>
        <v>0.18</v>
      </c>
      <c r="F50" s="37" t="n">
        <f aca="false">INDEX(Monthly_PL!$C$23:$K$23,9)</f>
        <v>612700</v>
      </c>
      <c r="G50" s="37" t="n">
        <f aca="false">INDEX(Monthly_PL!$L$23:$T$23,9)</f>
        <v>1277000</v>
      </c>
    </row>
    <row r="53" customFormat="false" ht="18" hidden="false" customHeight="true" outlineLevel="0" collapsed="false">
      <c r="A53" s="14" t="s">
        <v>72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25.5" hidden="false" customHeight="true" outlineLevel="0" collapsed="false">
      <c r="A54" s="16" t="s">
        <v>73</v>
      </c>
      <c r="B54" s="16" t="s">
        <v>39</v>
      </c>
      <c r="C54" s="16" t="s">
        <v>74</v>
      </c>
    </row>
    <row r="55" customFormat="false" ht="15" hidden="false" customHeight="false" outlineLevel="0" collapsed="false">
      <c r="A55" s="17" t="str">
        <f aca="false">INDEX(Monthly_PL!$A$2:$A$17,MATCH(B55,Monthly_PL!$Y$2:$Y$17,0))</f>
        <v>Sales: Beverages</v>
      </c>
      <c r="B55" s="37" t="n">
        <f aca="false">SMALL(Monthly_PL!$Y$2:$Y$17,1)</f>
        <v>-876300</v>
      </c>
      <c r="C55" s="33" t="n">
        <f aca="false">INDEX(Monthly_PL!$Z$2:$Z$17,MATCH(B55,Monthly_PL!$Y$2:$Y$17,0))</f>
        <v>-0.159908759124088</v>
      </c>
    </row>
    <row r="56" customFormat="false" ht="15" hidden="false" customHeight="false" outlineLevel="0" collapsed="false">
      <c r="A56" s="17" t="str">
        <f aca="false">INDEX(Monthly_PL!$A$2:$A$17,MATCH(B56,Monthly_PL!$Y$2:$Y$17,0))</f>
        <v>Cost of sales: Cooking oil &amp; fats</v>
      </c>
      <c r="B56" s="37" t="n">
        <f aca="false">SMALL(Monthly_PL!$Y$2:$Y$17,2)</f>
        <v>-407582.907542579</v>
      </c>
      <c r="C56" s="33" t="n">
        <f aca="false">INDEX(Monthly_PL!$Z$2:$Z$17,MATCH(B56,Monthly_PL!$Y$2:$Y$17,0))</f>
        <v>-0.0452155637435913</v>
      </c>
    </row>
    <row r="57" customFormat="false" ht="15" hidden="false" customHeight="false" outlineLevel="0" collapsed="false">
      <c r="A57" s="17" t="str">
        <f aca="false">INDEX(Monthly_PL!$A$2:$A$17,MATCH(B57,Monthly_PL!$Y$2:$Y$17,0))</f>
        <v>Sales: Flour &amp; grains</v>
      </c>
      <c r="B57" s="37" t="n">
        <f aca="false">SMALL(Monthly_PL!$Y$2:$Y$17,3)</f>
        <v>-342800</v>
      </c>
      <c r="C57" s="33" t="n">
        <f aca="false">INDEX(Monthly_PL!$Z$2:$Z$17,MATCH(B57,Monthly_PL!$Y$2:$Y$17,0))</f>
        <v>-0.0417031630170316</v>
      </c>
    </row>
    <row r="58" customFormat="false" ht="25.5" hidden="false" customHeight="true" outlineLevel="0" collapsed="false">
      <c r="A58" s="16" t="s">
        <v>75</v>
      </c>
      <c r="B58" s="16" t="s">
        <v>39</v>
      </c>
      <c r="C58" s="16" t="s">
        <v>74</v>
      </c>
    </row>
    <row r="59" customFormat="false" ht="15" hidden="false" customHeight="false" outlineLevel="0" collapsed="false">
      <c r="A59" s="17" t="str">
        <f aca="false">INDEX(Monthly_PL!$A$2:$A$17,MATCH(B59,Monthly_PL!$Y$2:$Y$17,0))</f>
        <v>Sales: Cooking oil &amp; fats</v>
      </c>
      <c r="B59" s="38" t="n">
        <f aca="false">LARGE(Monthly_PL!$Y$2:$Y$17,1)</f>
        <v>866900</v>
      </c>
      <c r="C59" s="33" t="n">
        <f aca="false">INDEX(Monthly_PL!$Z$2:$Z$17,MATCH(B59,Monthly_PL!$Y$2:$Y$17,0))</f>
        <v>0.0878852392538524</v>
      </c>
    </row>
    <row r="60" customFormat="false" ht="15" hidden="false" customHeight="false" outlineLevel="0" collapsed="false">
      <c r="A60" s="17" t="str">
        <f aca="false">INDEX(Monthly_PL!$A$2:$A$17,MATCH(B60,Monthly_PL!$Y$2:$Y$17,0))</f>
        <v>Sales: Household goods</v>
      </c>
      <c r="B60" s="38" t="n">
        <f aca="false">LARGE(Monthly_PL!$Y$2:$Y$17,2)</f>
        <v>245700</v>
      </c>
      <c r="C60" s="33" t="n">
        <f aca="false">INDEX(Monthly_PL!$Z$2:$Z$17,MATCH(B60,Monthly_PL!$Y$2:$Y$17,0))</f>
        <v>0.064051094890511</v>
      </c>
    </row>
    <row r="61" customFormat="false" ht="15" hidden="false" customHeight="false" outlineLevel="0" collapsed="false">
      <c r="A61" s="17" t="str">
        <f aca="false">INDEX(Monthly_PL!$A$2:$A$17,MATCH(B61,Monthly_PL!$Y$2:$Y$17,0))</f>
        <v>Marketing</v>
      </c>
      <c r="B61" s="38" t="n">
        <f aca="false">LARGE(Monthly_PL!$Y$2:$Y$17,3)</f>
        <v>84900</v>
      </c>
      <c r="C61" s="33" t="n">
        <f aca="false">INDEX(Monthly_PL!$Z$2:$Z$17,MATCH(B61,Monthly_PL!$Y$2:$Y$17,0))</f>
        <v>0.276547231270358</v>
      </c>
    </row>
    <row r="63" customFormat="false" ht="15" hidden="false" customHeight="false" outlineLevel="0" collapsed="false">
      <c r="A63" s="35" t="s">
        <v>76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</row>
  </sheetData>
  <mergeCells count="21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8:L8"/>
    <mergeCell ref="A9:L9"/>
    <mergeCell ref="A10:L10"/>
    <mergeCell ref="A11:L11"/>
    <mergeCell ref="A12:L12"/>
    <mergeCell ref="A13:L13"/>
    <mergeCell ref="A14:L14"/>
    <mergeCell ref="A38:K38"/>
    <mergeCell ref="A63:L63"/>
  </mergeCells>
  <conditionalFormatting sqref="F19:F37">
    <cfRule type="expression" priority="2" aboveAverage="0" equalAverage="0" bottom="0" percent="0" rank="0" text="" dxfId="0">
      <formula>F19="F"</formula>
    </cfRule>
    <cfRule type="expression" priority="3" aboveAverage="0" equalAverage="0" bottom="0" percent="0" rank="0" text="" dxfId="1">
      <formula>F19="A"</formula>
    </cfRule>
  </conditionalFormatting>
  <conditionalFormatting sqref="K19:K37">
    <cfRule type="expression" priority="4" aboveAverage="0" equalAverage="0" bottom="0" percent="0" rank="0" text="" dxfId="0">
      <formula>K19="F"</formula>
    </cfRule>
    <cfRule type="expression" priority="5" aboveAverage="0" equalAverage="0" bottom="0" percent="0" rank="0" text="" dxfId="1">
      <formula>K19="A"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77</v>
      </c>
    </row>
    <row r="2" customFormat="false" ht="15" hidden="false" customHeight="false" outlineLevel="0" collapsed="false">
      <c r="A2" s="7" t="s">
        <v>78</v>
      </c>
    </row>
    <row r="3" customFormat="false" ht="15" hidden="false" customHeight="false" outlineLevel="0" collapsed="false">
      <c r="A3" s="16" t="s">
        <v>79</v>
      </c>
      <c r="B3" s="16" t="s">
        <v>80</v>
      </c>
      <c r="C3" s="16" t="s">
        <v>81</v>
      </c>
    </row>
    <row r="4" customFormat="false" ht="15" hidden="false" customHeight="false" outlineLevel="0" collapsed="false">
      <c r="A4" s="27" t="s">
        <v>82</v>
      </c>
      <c r="B4" s="39" t="n">
        <v>46266</v>
      </c>
      <c r="C4" s="40" t="s">
        <v>83</v>
      </c>
    </row>
    <row r="5" customFormat="false" ht="15" hidden="false" customHeight="false" outlineLevel="0" collapsed="false">
      <c r="A5" s="27" t="s">
        <v>84</v>
      </c>
      <c r="B5" s="41" t="n">
        <v>50000</v>
      </c>
      <c r="C5" s="40" t="s">
        <v>85</v>
      </c>
    </row>
    <row r="6" customFormat="false" ht="15" hidden="false" customHeight="false" outlineLevel="0" collapsed="false">
      <c r="A6" s="27" t="s">
        <v>86</v>
      </c>
      <c r="B6" s="42" t="n">
        <v>0.1</v>
      </c>
      <c r="C6" s="40" t="s">
        <v>87</v>
      </c>
    </row>
    <row r="7" customFormat="false" ht="15" hidden="false" customHeight="false" outlineLevel="0" collapsed="false">
      <c r="A7" s="27" t="s">
        <v>88</v>
      </c>
      <c r="B7" s="43" t="n">
        <f aca="false">MONTH(B4)</f>
        <v>9</v>
      </c>
      <c r="C7" s="4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20" min="3" style="0" width="11"/>
    <col collapsed="false" customWidth="true" hidden="false" outlineLevel="0" max="24" min="21" style="0" width="13"/>
    <col collapsed="false" customWidth="true" hidden="false" outlineLevel="0" max="25" min="25" style="0" width="14"/>
    <col collapsed="false" customWidth="true" hidden="false" outlineLevel="0" max="26" min="26" style="0" width="13"/>
    <col collapsed="false" customWidth="true" hidden="false" outlineLevel="0" max="27" min="27" style="0" width="14"/>
    <col collapsed="false" customWidth="true" hidden="false" outlineLevel="0" max="28" min="28" style="0" width="13"/>
    <col collapsed="false" customWidth="true" hidden="false" outlineLevel="0" max="29" min="29" style="0" width="11"/>
  </cols>
  <sheetData>
    <row r="1" customFormat="false" ht="30" hidden="false" customHeight="true" outlineLevel="0" collapsed="false">
      <c r="A1" s="44" t="s">
        <v>90</v>
      </c>
      <c r="B1" s="44" t="s">
        <v>91</v>
      </c>
      <c r="C1" s="45" t="n">
        <v>46023</v>
      </c>
      <c r="D1" s="45" t="n">
        <v>46054</v>
      </c>
      <c r="E1" s="45" t="n">
        <v>46082</v>
      </c>
      <c r="F1" s="45" t="n">
        <v>46113</v>
      </c>
      <c r="G1" s="45" t="n">
        <v>46143</v>
      </c>
      <c r="H1" s="45" t="n">
        <v>46174</v>
      </c>
      <c r="I1" s="45" t="n">
        <v>46204</v>
      </c>
      <c r="J1" s="45" t="n">
        <v>46235</v>
      </c>
      <c r="K1" s="45" t="n">
        <v>46266</v>
      </c>
      <c r="L1" s="45" t="n">
        <v>46023</v>
      </c>
      <c r="M1" s="45" t="n">
        <v>46054</v>
      </c>
      <c r="N1" s="45" t="n">
        <v>46082</v>
      </c>
      <c r="O1" s="45" t="n">
        <v>46113</v>
      </c>
      <c r="P1" s="45" t="n">
        <v>46143</v>
      </c>
      <c r="Q1" s="45" t="n">
        <v>46174</v>
      </c>
      <c r="R1" s="45" t="n">
        <v>46204</v>
      </c>
      <c r="S1" s="45" t="n">
        <v>46235</v>
      </c>
      <c r="T1" s="45" t="n">
        <v>46266</v>
      </c>
      <c r="U1" s="44" t="s">
        <v>42</v>
      </c>
      <c r="V1" s="44" t="s">
        <v>43</v>
      </c>
      <c r="W1" s="44" t="s">
        <v>37</v>
      </c>
      <c r="X1" s="44" t="s">
        <v>38</v>
      </c>
      <c r="Y1" s="44" t="s">
        <v>92</v>
      </c>
      <c r="Z1" s="44" t="s">
        <v>93</v>
      </c>
      <c r="AA1" s="44" t="s">
        <v>94</v>
      </c>
      <c r="AB1" s="44" t="s">
        <v>95</v>
      </c>
      <c r="AC1" s="44" t="s">
        <v>96</v>
      </c>
    </row>
    <row r="2" customFormat="false" ht="15" hidden="false" customHeight="false" outlineLevel="0" collapsed="false">
      <c r="A2" s="46" t="s">
        <v>44</v>
      </c>
      <c r="B2" s="46" t="s">
        <v>97</v>
      </c>
      <c r="C2" s="47" t="n">
        <f aca="false">SUMIFS(Ledger!$E$2:$E$1285,Ledger!$B$2:$B$1285,$A2,Ledger!$A$2:$A$1285,"&gt;="&amp;C$1,Ledger!$A$2:$A$1285,"&lt;"&amp;EDATE(C$1,1))</f>
        <v>9408000</v>
      </c>
      <c r="D2" s="47" t="n">
        <f aca="false">SUMIFS(Ledger!$E$2:$E$1285,Ledger!$B$2:$B$1285,$A2,Ledger!$A$2:$A$1285,"&gt;="&amp;D$1,Ledger!$A$2:$A$1285,"&lt;"&amp;EDATE(D$1,1))</f>
        <v>9666200</v>
      </c>
      <c r="E2" s="47" t="n">
        <f aca="false">SUMIFS(Ledger!$E$2:$E$1285,Ledger!$B$2:$B$1285,$A2,Ledger!$A$2:$A$1285,"&gt;="&amp;E$1,Ledger!$A$2:$A$1285,"&lt;"&amp;EDATE(E$1,1))</f>
        <v>9684500</v>
      </c>
      <c r="F2" s="47" t="n">
        <f aca="false">SUMIFS(Ledger!$E$2:$E$1285,Ledger!$B$2:$B$1285,$A2,Ledger!$A$2:$A$1285,"&gt;="&amp;F$1,Ledger!$A$2:$A$1285,"&lt;"&amp;EDATE(F$1,1))</f>
        <v>10155800</v>
      </c>
      <c r="G2" s="47" t="n">
        <f aca="false">SUMIFS(Ledger!$E$2:$E$1285,Ledger!$B$2:$B$1285,$A2,Ledger!$A$2:$A$1285,"&gt;="&amp;G$1,Ledger!$A$2:$A$1285,"&lt;"&amp;EDATE(G$1,1))</f>
        <v>9976400</v>
      </c>
      <c r="H2" s="47" t="n">
        <f aca="false">SUMIFS(Ledger!$E$2:$E$1285,Ledger!$B$2:$B$1285,$A2,Ledger!$A$2:$A$1285,"&gt;="&amp;H$1,Ledger!$A$2:$A$1285,"&lt;"&amp;EDATE(H$1,1))</f>
        <v>10438300</v>
      </c>
      <c r="I2" s="47" t="n">
        <f aca="false">SUMIFS(Ledger!$E$2:$E$1285,Ledger!$B$2:$B$1285,$A2,Ledger!$A$2:$A$1285,"&gt;="&amp;I$1,Ledger!$A$2:$A$1285,"&lt;"&amp;EDATE(I$1,1))</f>
        <v>10669100</v>
      </c>
      <c r="J2" s="47" t="n">
        <f aca="false">SUMIFS(Ledger!$E$2:$E$1285,Ledger!$B$2:$B$1285,$A2,Ledger!$A$2:$A$1285,"&gt;="&amp;J$1,Ledger!$A$2:$A$1285,"&lt;"&amp;EDATE(J$1,1))</f>
        <v>10441600</v>
      </c>
      <c r="K2" s="47" t="n">
        <f aca="false">SUMIFS(Ledger!$E$2:$E$1285,Ledger!$B$2:$B$1285,$A2,Ledger!$A$2:$A$1285,"&gt;="&amp;K$1,Ledger!$A$2:$A$1285,"&lt;"&amp;EDATE(K$1,1))</f>
        <v>10730900</v>
      </c>
      <c r="L2" s="47" t="n">
        <f aca="false">SUMIFS(Budget!$C$2:$C$145,Budget!$B$2:$B$145,$A2,Budget!$A$2:$A$145,L$1)</f>
        <v>9000000</v>
      </c>
      <c r="M2" s="47" t="n">
        <f aca="false">SUMIFS(Budget!$C$2:$C$145,Budget!$B$2:$B$145,$A2,Budget!$A$2:$A$145,M$1)</f>
        <v>9108000</v>
      </c>
      <c r="N2" s="47" t="n">
        <f aca="false">SUMIFS(Budget!$C$2:$C$145,Budget!$B$2:$B$145,$A2,Budget!$A$2:$A$145,N$1)</f>
        <v>9216000</v>
      </c>
      <c r="O2" s="47" t="n">
        <f aca="false">SUMIFS(Budget!$C$2:$C$145,Budget!$B$2:$B$145,$A2,Budget!$A$2:$A$145,O$1)</f>
        <v>9324000</v>
      </c>
      <c r="P2" s="47" t="n">
        <f aca="false">SUMIFS(Budget!$C$2:$C$145,Budget!$B$2:$B$145,$A2,Budget!$A$2:$A$145,P$1)</f>
        <v>9432000</v>
      </c>
      <c r="Q2" s="47" t="n">
        <f aca="false">SUMIFS(Budget!$C$2:$C$145,Budget!$B$2:$B$145,$A2,Budget!$A$2:$A$145,Q$1)</f>
        <v>9540000</v>
      </c>
      <c r="R2" s="47" t="n">
        <f aca="false">SUMIFS(Budget!$C$2:$C$145,Budget!$B$2:$B$145,$A2,Budget!$A$2:$A$145,R$1)</f>
        <v>9648000</v>
      </c>
      <c r="S2" s="47" t="n">
        <f aca="false">SUMIFS(Budget!$C$2:$C$145,Budget!$B$2:$B$145,$A2,Budget!$A$2:$A$145,S$1)</f>
        <v>9756000</v>
      </c>
      <c r="T2" s="47" t="n">
        <f aca="false">SUMIFS(Budget!$C$2:$C$145,Budget!$B$2:$B$145,$A2,Budget!$A$2:$A$145,T$1)</f>
        <v>9864000</v>
      </c>
      <c r="U2" s="47" t="n">
        <f aca="false">SUMIFS(C2:K2,$C$1:$K$1,"&lt;="&amp;Assumptions!$B$4)</f>
        <v>91170800</v>
      </c>
      <c r="V2" s="47" t="n">
        <f aca="false">SUMIFS(L2:T2,$L$1:$T$1,"&lt;="&amp;Assumptions!$B$4)</f>
        <v>84888000</v>
      </c>
      <c r="W2" s="47" t="n">
        <f aca="false">SUMIFS(C2:K2,$C$1:$K$1,Assumptions!$B$4)</f>
        <v>10730900</v>
      </c>
      <c r="X2" s="47" t="n">
        <f aca="false">SUMIFS(L2:T2,$L$1:$T$1,Assumptions!$B$4)</f>
        <v>9864000</v>
      </c>
      <c r="Y2" s="48" t="n">
        <f aca="false">IF($B2="Revenue",W2-X2,X2-W2)</f>
        <v>866900</v>
      </c>
      <c r="Z2" s="49" t="n">
        <f aca="false">IFERROR(Y2/X2,0)</f>
        <v>0.0878852392538524</v>
      </c>
      <c r="AA2" s="48" t="n">
        <f aca="false">IF($B2="Revenue",U2-V2,V2-U2)</f>
        <v>6282800</v>
      </c>
      <c r="AB2" s="49" t="n">
        <f aca="false">IFERROR(AA2/V2,0)</f>
        <v>0.074012816888135</v>
      </c>
      <c r="AC2" s="46" t="str">
        <f aca="false">IF(AND(ABS(Y2)&gt;=Assumptions!$B$5,ABS(Z2)&gt;=Assumptions!$B$6),"Material","")</f>
        <v/>
      </c>
    </row>
    <row r="3" customFormat="false" ht="15" hidden="false" customHeight="false" outlineLevel="0" collapsed="false">
      <c r="A3" s="46" t="s">
        <v>45</v>
      </c>
      <c r="B3" s="46" t="s">
        <v>97</v>
      </c>
      <c r="C3" s="47" t="n">
        <f aca="false">SUMIFS(Ledger!$E$2:$E$1285,Ledger!$B$2:$B$1285,$A3,Ledger!$A$2:$A$1285,"&gt;="&amp;C$1,Ledger!$A$2:$A$1285,"&lt;"&amp;EDATE(C$1,1))</f>
        <v>7500700</v>
      </c>
      <c r="D3" s="47" t="n">
        <f aca="false">SUMIFS(Ledger!$E$2:$E$1285,Ledger!$B$2:$B$1285,$A3,Ledger!$A$2:$A$1285,"&gt;="&amp;D$1,Ledger!$A$2:$A$1285,"&lt;"&amp;EDATE(D$1,1))</f>
        <v>7395300</v>
      </c>
      <c r="E3" s="47" t="n">
        <f aca="false">SUMIFS(Ledger!$E$2:$E$1285,Ledger!$B$2:$B$1285,$A3,Ledger!$A$2:$A$1285,"&gt;="&amp;E$1,Ledger!$A$2:$A$1285,"&lt;"&amp;EDATE(E$1,1))</f>
        <v>7367200</v>
      </c>
      <c r="F3" s="47" t="n">
        <f aca="false">SUMIFS(Ledger!$E$2:$E$1285,Ledger!$B$2:$B$1285,$A3,Ledger!$A$2:$A$1285,"&gt;="&amp;F$1,Ledger!$A$2:$A$1285,"&lt;"&amp;EDATE(F$1,1))</f>
        <v>7554300</v>
      </c>
      <c r="G3" s="47" t="n">
        <f aca="false">SUMIFS(Ledger!$E$2:$E$1285,Ledger!$B$2:$B$1285,$A3,Ledger!$A$2:$A$1285,"&gt;="&amp;G$1,Ledger!$A$2:$A$1285,"&lt;"&amp;EDATE(G$1,1))</f>
        <v>7668500</v>
      </c>
      <c r="H3" s="47" t="n">
        <f aca="false">SUMIFS(Ledger!$E$2:$E$1285,Ledger!$B$2:$B$1285,$A3,Ledger!$A$2:$A$1285,"&gt;="&amp;H$1,Ledger!$A$2:$A$1285,"&lt;"&amp;EDATE(H$1,1))</f>
        <v>7692400</v>
      </c>
      <c r="I3" s="47" t="n">
        <f aca="false">SUMIFS(Ledger!$E$2:$E$1285,Ledger!$B$2:$B$1285,$A3,Ledger!$A$2:$A$1285,"&gt;="&amp;I$1,Ledger!$A$2:$A$1285,"&lt;"&amp;EDATE(I$1,1))</f>
        <v>7827000</v>
      </c>
      <c r="J3" s="47" t="n">
        <f aca="false">SUMIFS(Ledger!$E$2:$E$1285,Ledger!$B$2:$B$1285,$A3,Ledger!$A$2:$A$1285,"&gt;="&amp;J$1,Ledger!$A$2:$A$1285,"&lt;"&amp;EDATE(J$1,1))</f>
        <v>7716800</v>
      </c>
      <c r="K3" s="47" t="n">
        <f aca="false">SUMIFS(Ledger!$E$2:$E$1285,Ledger!$B$2:$B$1285,$A3,Ledger!$A$2:$A$1285,"&gt;="&amp;K$1,Ledger!$A$2:$A$1285,"&lt;"&amp;EDATE(K$1,1))</f>
        <v>7877200</v>
      </c>
      <c r="L3" s="47" t="n">
        <f aca="false">SUMIFS(Budget!$C$2:$C$145,Budget!$B$2:$B$145,$A3,Budget!$A$2:$A$145,L$1)</f>
        <v>7500000</v>
      </c>
      <c r="M3" s="47" t="n">
        <f aca="false">SUMIFS(Budget!$C$2:$C$145,Budget!$B$2:$B$145,$A3,Budget!$A$2:$A$145,M$1)</f>
        <v>7590000</v>
      </c>
      <c r="N3" s="47" t="n">
        <f aca="false">SUMIFS(Budget!$C$2:$C$145,Budget!$B$2:$B$145,$A3,Budget!$A$2:$A$145,N$1)</f>
        <v>7680000</v>
      </c>
      <c r="O3" s="47" t="n">
        <f aca="false">SUMIFS(Budget!$C$2:$C$145,Budget!$B$2:$B$145,$A3,Budget!$A$2:$A$145,O$1)</f>
        <v>7770000</v>
      </c>
      <c r="P3" s="47" t="n">
        <f aca="false">SUMIFS(Budget!$C$2:$C$145,Budget!$B$2:$B$145,$A3,Budget!$A$2:$A$145,P$1)</f>
        <v>7860000</v>
      </c>
      <c r="Q3" s="47" t="n">
        <f aca="false">SUMIFS(Budget!$C$2:$C$145,Budget!$B$2:$B$145,$A3,Budget!$A$2:$A$145,Q$1)</f>
        <v>7950000</v>
      </c>
      <c r="R3" s="47" t="n">
        <f aca="false">SUMIFS(Budget!$C$2:$C$145,Budget!$B$2:$B$145,$A3,Budget!$A$2:$A$145,R$1)</f>
        <v>8040000</v>
      </c>
      <c r="S3" s="47" t="n">
        <f aca="false">SUMIFS(Budget!$C$2:$C$145,Budget!$B$2:$B$145,$A3,Budget!$A$2:$A$145,S$1)</f>
        <v>8130000</v>
      </c>
      <c r="T3" s="47" t="n">
        <f aca="false">SUMIFS(Budget!$C$2:$C$145,Budget!$B$2:$B$145,$A3,Budget!$A$2:$A$145,T$1)</f>
        <v>8220000</v>
      </c>
      <c r="U3" s="47" t="n">
        <f aca="false">SUMIFS(C3:K3,$C$1:$K$1,"&lt;="&amp;Assumptions!$B$4)</f>
        <v>68599400</v>
      </c>
      <c r="V3" s="47" t="n">
        <f aca="false">SUMIFS(L3:T3,$L$1:$T$1,"&lt;="&amp;Assumptions!$B$4)</f>
        <v>70740000</v>
      </c>
      <c r="W3" s="47" t="n">
        <f aca="false">SUMIFS(C3:K3,$C$1:$K$1,Assumptions!$B$4)</f>
        <v>7877200</v>
      </c>
      <c r="X3" s="47" t="n">
        <f aca="false">SUMIFS(L3:T3,$L$1:$T$1,Assumptions!$B$4)</f>
        <v>8220000</v>
      </c>
      <c r="Y3" s="48" t="n">
        <f aca="false">IF($B3="Revenue",W3-X3,X3-W3)</f>
        <v>-342800</v>
      </c>
      <c r="Z3" s="49" t="n">
        <f aca="false">IFERROR(Y3/X3,0)</f>
        <v>-0.0417031630170316</v>
      </c>
      <c r="AA3" s="48" t="n">
        <f aca="false">IF($B3="Revenue",U3-V3,V3-U3)</f>
        <v>-2140600</v>
      </c>
      <c r="AB3" s="49" t="n">
        <f aca="false">IFERROR(AA3/V3,0)</f>
        <v>-0.03026010743568</v>
      </c>
      <c r="AC3" s="46" t="str">
        <f aca="false">IF(AND(ABS(Y3)&gt;=Assumptions!$B$5,ABS(Z3)&gt;=Assumptions!$B$6),"Material","")</f>
        <v/>
      </c>
    </row>
    <row r="4" customFormat="false" ht="15" hidden="false" customHeight="false" outlineLevel="0" collapsed="false">
      <c r="A4" s="46" t="s">
        <v>46</v>
      </c>
      <c r="B4" s="46" t="s">
        <v>97</v>
      </c>
      <c r="C4" s="47" t="n">
        <f aca="false">SUMIFS(Ledger!$E$2:$E$1285,Ledger!$B$2:$B$1285,$A4,Ledger!$A$2:$A$1285,"&gt;="&amp;C$1,Ledger!$A$2:$A$1285,"&lt;"&amp;EDATE(C$1,1))</f>
        <v>4977300</v>
      </c>
      <c r="D4" s="47" t="n">
        <f aca="false">SUMIFS(Ledger!$E$2:$E$1285,Ledger!$B$2:$B$1285,$A4,Ledger!$A$2:$A$1285,"&gt;="&amp;D$1,Ledger!$A$2:$A$1285,"&lt;"&amp;EDATE(D$1,1))</f>
        <v>5091100</v>
      </c>
      <c r="E4" s="47" t="n">
        <f aca="false">SUMIFS(Ledger!$E$2:$E$1285,Ledger!$B$2:$B$1285,$A4,Ledger!$A$2:$A$1285,"&gt;="&amp;E$1,Ledger!$A$2:$A$1285,"&lt;"&amp;EDATE(E$1,1))</f>
        <v>5232600</v>
      </c>
      <c r="F4" s="47" t="n">
        <f aca="false">SUMIFS(Ledger!$E$2:$E$1285,Ledger!$B$2:$B$1285,$A4,Ledger!$A$2:$A$1285,"&gt;="&amp;F$1,Ledger!$A$2:$A$1285,"&lt;"&amp;EDATE(F$1,1))</f>
        <v>5114100</v>
      </c>
      <c r="G4" s="47" t="n">
        <f aca="false">SUMIFS(Ledger!$E$2:$E$1285,Ledger!$B$2:$B$1285,$A4,Ledger!$A$2:$A$1285,"&gt;="&amp;G$1,Ledger!$A$2:$A$1285,"&lt;"&amp;EDATE(G$1,1))</f>
        <v>5065400</v>
      </c>
      <c r="H4" s="47" t="n">
        <f aca="false">SUMIFS(Ledger!$E$2:$E$1285,Ledger!$B$2:$B$1285,$A4,Ledger!$A$2:$A$1285,"&gt;="&amp;H$1,Ledger!$A$2:$A$1285,"&lt;"&amp;EDATE(H$1,1))</f>
        <v>4953300</v>
      </c>
      <c r="I4" s="47" t="n">
        <f aca="false">SUMIFS(Ledger!$E$2:$E$1285,Ledger!$B$2:$B$1285,$A4,Ledger!$A$2:$A$1285,"&gt;="&amp;I$1,Ledger!$A$2:$A$1285,"&lt;"&amp;EDATE(I$1,1))</f>
        <v>4745600</v>
      </c>
      <c r="J4" s="47" t="n">
        <f aca="false">SUMIFS(Ledger!$E$2:$E$1285,Ledger!$B$2:$B$1285,$A4,Ledger!$A$2:$A$1285,"&gt;="&amp;J$1,Ledger!$A$2:$A$1285,"&lt;"&amp;EDATE(J$1,1))</f>
        <v>4573000</v>
      </c>
      <c r="K4" s="47" t="n">
        <f aca="false">SUMIFS(Ledger!$E$2:$E$1285,Ledger!$B$2:$B$1285,$A4,Ledger!$A$2:$A$1285,"&gt;="&amp;K$1,Ledger!$A$2:$A$1285,"&lt;"&amp;EDATE(K$1,1))</f>
        <v>4603700</v>
      </c>
      <c r="L4" s="47" t="n">
        <f aca="false">SUMIFS(Budget!$C$2:$C$145,Budget!$B$2:$B$145,$A4,Budget!$A$2:$A$145,L$1)</f>
        <v>5000000</v>
      </c>
      <c r="M4" s="47" t="n">
        <f aca="false">SUMIFS(Budget!$C$2:$C$145,Budget!$B$2:$B$145,$A4,Budget!$A$2:$A$145,M$1)</f>
        <v>5060000</v>
      </c>
      <c r="N4" s="47" t="n">
        <f aca="false">SUMIFS(Budget!$C$2:$C$145,Budget!$B$2:$B$145,$A4,Budget!$A$2:$A$145,N$1)</f>
        <v>5120000</v>
      </c>
      <c r="O4" s="47" t="n">
        <f aca="false">SUMIFS(Budget!$C$2:$C$145,Budget!$B$2:$B$145,$A4,Budget!$A$2:$A$145,O$1)</f>
        <v>5180000</v>
      </c>
      <c r="P4" s="47" t="n">
        <f aca="false">SUMIFS(Budget!$C$2:$C$145,Budget!$B$2:$B$145,$A4,Budget!$A$2:$A$145,P$1)</f>
        <v>5240000</v>
      </c>
      <c r="Q4" s="47" t="n">
        <f aca="false">SUMIFS(Budget!$C$2:$C$145,Budget!$B$2:$B$145,$A4,Budget!$A$2:$A$145,Q$1)</f>
        <v>5300000</v>
      </c>
      <c r="R4" s="47" t="n">
        <f aca="false">SUMIFS(Budget!$C$2:$C$145,Budget!$B$2:$B$145,$A4,Budget!$A$2:$A$145,R$1)</f>
        <v>5360000</v>
      </c>
      <c r="S4" s="47" t="n">
        <f aca="false">SUMIFS(Budget!$C$2:$C$145,Budget!$B$2:$B$145,$A4,Budget!$A$2:$A$145,S$1)</f>
        <v>5420000</v>
      </c>
      <c r="T4" s="47" t="n">
        <f aca="false">SUMIFS(Budget!$C$2:$C$145,Budget!$B$2:$B$145,$A4,Budget!$A$2:$A$145,T$1)</f>
        <v>5480000</v>
      </c>
      <c r="U4" s="47" t="n">
        <f aca="false">SUMIFS(C4:K4,$C$1:$K$1,"&lt;="&amp;Assumptions!$B$4)</f>
        <v>44356100</v>
      </c>
      <c r="V4" s="47" t="n">
        <f aca="false">SUMIFS(L4:T4,$L$1:$T$1,"&lt;="&amp;Assumptions!$B$4)</f>
        <v>47160000</v>
      </c>
      <c r="W4" s="47" t="n">
        <f aca="false">SUMIFS(C4:K4,$C$1:$K$1,Assumptions!$B$4)</f>
        <v>4603700</v>
      </c>
      <c r="X4" s="47" t="n">
        <f aca="false">SUMIFS(L4:T4,$L$1:$T$1,Assumptions!$B$4)</f>
        <v>5480000</v>
      </c>
      <c r="Y4" s="48" t="n">
        <f aca="false">IF($B4="Revenue",W4-X4,X4-W4)</f>
        <v>-876300</v>
      </c>
      <c r="Z4" s="49" t="n">
        <f aca="false">IFERROR(Y4/X4,0)</f>
        <v>-0.159908759124088</v>
      </c>
      <c r="AA4" s="48" t="n">
        <f aca="false">IF($B4="Revenue",U4-V4,V4-U4)</f>
        <v>-2803900</v>
      </c>
      <c r="AB4" s="49" t="n">
        <f aca="false">IFERROR(AA4/V4,0)</f>
        <v>-0.0594550466497031</v>
      </c>
      <c r="AC4" s="46" t="str">
        <f aca="false">IF(AND(ABS(Y4)&gt;=Assumptions!$B$5,ABS(Z4)&gt;=Assumptions!$B$6),"Material","")</f>
        <v>Material</v>
      </c>
    </row>
    <row r="5" customFormat="false" ht="15" hidden="false" customHeight="false" outlineLevel="0" collapsed="false">
      <c r="A5" s="46" t="s">
        <v>47</v>
      </c>
      <c r="B5" s="46" t="s">
        <v>97</v>
      </c>
      <c r="C5" s="47" t="n">
        <f aca="false">SUMIFS(Ledger!$E$2:$E$1285,Ledger!$B$2:$B$1285,$A5,Ledger!$A$2:$A$1285,"&gt;="&amp;C$1,Ledger!$A$2:$A$1285,"&lt;"&amp;EDATE(C$1,1))</f>
        <v>3652600</v>
      </c>
      <c r="D5" s="47" t="n">
        <f aca="false">SUMIFS(Ledger!$E$2:$E$1285,Ledger!$B$2:$B$1285,$A5,Ledger!$A$2:$A$1285,"&gt;="&amp;D$1,Ledger!$A$2:$A$1285,"&lt;"&amp;EDATE(D$1,1))</f>
        <v>3676900</v>
      </c>
      <c r="E5" s="47" t="n">
        <f aca="false">SUMIFS(Ledger!$E$2:$E$1285,Ledger!$B$2:$B$1285,$A5,Ledger!$A$2:$A$1285,"&gt;="&amp;E$1,Ledger!$A$2:$A$1285,"&lt;"&amp;EDATE(E$1,1))</f>
        <v>3716200</v>
      </c>
      <c r="F5" s="47" t="n">
        <f aca="false">SUMIFS(Ledger!$E$2:$E$1285,Ledger!$B$2:$B$1285,$A5,Ledger!$A$2:$A$1285,"&gt;="&amp;F$1,Ledger!$A$2:$A$1285,"&lt;"&amp;EDATE(F$1,1))</f>
        <v>3847300</v>
      </c>
      <c r="G5" s="47" t="n">
        <f aca="false">SUMIFS(Ledger!$E$2:$E$1285,Ledger!$B$2:$B$1285,$A5,Ledger!$A$2:$A$1285,"&gt;="&amp;G$1,Ledger!$A$2:$A$1285,"&lt;"&amp;EDATE(G$1,1))</f>
        <v>3867500</v>
      </c>
      <c r="H5" s="47" t="n">
        <f aca="false">SUMIFS(Ledger!$E$2:$E$1285,Ledger!$B$2:$B$1285,$A5,Ledger!$A$2:$A$1285,"&gt;="&amp;H$1,Ledger!$A$2:$A$1285,"&lt;"&amp;EDATE(H$1,1))</f>
        <v>3910200</v>
      </c>
      <c r="I5" s="47" t="n">
        <f aca="false">SUMIFS(Ledger!$E$2:$E$1285,Ledger!$B$2:$B$1285,$A5,Ledger!$A$2:$A$1285,"&gt;="&amp;I$1,Ledger!$A$2:$A$1285,"&lt;"&amp;EDATE(I$1,1))</f>
        <v>4012000</v>
      </c>
      <c r="J5" s="47" t="n">
        <f aca="false">SUMIFS(Ledger!$E$2:$E$1285,Ledger!$B$2:$B$1285,$A5,Ledger!$A$2:$A$1285,"&gt;="&amp;J$1,Ledger!$A$2:$A$1285,"&lt;"&amp;EDATE(J$1,1))</f>
        <v>4076200</v>
      </c>
      <c r="K5" s="47" t="n">
        <f aca="false">SUMIFS(Ledger!$E$2:$E$1285,Ledger!$B$2:$B$1285,$A5,Ledger!$A$2:$A$1285,"&gt;="&amp;K$1,Ledger!$A$2:$A$1285,"&lt;"&amp;EDATE(K$1,1))</f>
        <v>4081700</v>
      </c>
      <c r="L5" s="47" t="n">
        <f aca="false">SUMIFS(Budget!$C$2:$C$145,Budget!$B$2:$B$145,$A5,Budget!$A$2:$A$145,L$1)</f>
        <v>3500000</v>
      </c>
      <c r="M5" s="47" t="n">
        <f aca="false">SUMIFS(Budget!$C$2:$C$145,Budget!$B$2:$B$145,$A5,Budget!$A$2:$A$145,M$1)</f>
        <v>3542000</v>
      </c>
      <c r="N5" s="47" t="n">
        <f aca="false">SUMIFS(Budget!$C$2:$C$145,Budget!$B$2:$B$145,$A5,Budget!$A$2:$A$145,N$1)</f>
        <v>3584000</v>
      </c>
      <c r="O5" s="47" t="n">
        <f aca="false">SUMIFS(Budget!$C$2:$C$145,Budget!$B$2:$B$145,$A5,Budget!$A$2:$A$145,O$1)</f>
        <v>3626000</v>
      </c>
      <c r="P5" s="47" t="n">
        <f aca="false">SUMIFS(Budget!$C$2:$C$145,Budget!$B$2:$B$145,$A5,Budget!$A$2:$A$145,P$1)</f>
        <v>3668000</v>
      </c>
      <c r="Q5" s="47" t="n">
        <f aca="false">SUMIFS(Budget!$C$2:$C$145,Budget!$B$2:$B$145,$A5,Budget!$A$2:$A$145,Q$1)</f>
        <v>3710000</v>
      </c>
      <c r="R5" s="47" t="n">
        <f aca="false">SUMIFS(Budget!$C$2:$C$145,Budget!$B$2:$B$145,$A5,Budget!$A$2:$A$145,R$1)</f>
        <v>3752000</v>
      </c>
      <c r="S5" s="47" t="n">
        <f aca="false">SUMIFS(Budget!$C$2:$C$145,Budget!$B$2:$B$145,$A5,Budget!$A$2:$A$145,S$1)</f>
        <v>3794000</v>
      </c>
      <c r="T5" s="47" t="n">
        <f aca="false">SUMIFS(Budget!$C$2:$C$145,Budget!$B$2:$B$145,$A5,Budget!$A$2:$A$145,T$1)</f>
        <v>3836000</v>
      </c>
      <c r="U5" s="47" t="n">
        <f aca="false">SUMIFS(C5:K5,$C$1:$K$1,"&lt;="&amp;Assumptions!$B$4)</f>
        <v>34840600</v>
      </c>
      <c r="V5" s="47" t="n">
        <f aca="false">SUMIFS(L5:T5,$L$1:$T$1,"&lt;="&amp;Assumptions!$B$4)</f>
        <v>33012000</v>
      </c>
      <c r="W5" s="47" t="n">
        <f aca="false">SUMIFS(C5:K5,$C$1:$K$1,Assumptions!$B$4)</f>
        <v>4081700</v>
      </c>
      <c r="X5" s="47" t="n">
        <f aca="false">SUMIFS(L5:T5,$L$1:$T$1,Assumptions!$B$4)</f>
        <v>3836000</v>
      </c>
      <c r="Y5" s="48" t="n">
        <f aca="false">IF($B5="Revenue",W5-X5,X5-W5)</f>
        <v>245700</v>
      </c>
      <c r="Z5" s="49" t="n">
        <f aca="false">IFERROR(Y5/X5,0)</f>
        <v>0.064051094890511</v>
      </c>
      <c r="AA5" s="48" t="n">
        <f aca="false">IF($B5="Revenue",U5-V5,V5-U5)</f>
        <v>1828600</v>
      </c>
      <c r="AB5" s="49" t="n">
        <f aca="false">IFERROR(AA5/V5,0)</f>
        <v>0.0553919786744214</v>
      </c>
      <c r="AC5" s="46" t="str">
        <f aca="false">IF(AND(ABS(Y5)&gt;=Assumptions!$B$5,ABS(Z5)&gt;=Assumptions!$B$6),"Material","")</f>
        <v/>
      </c>
    </row>
    <row r="6" customFormat="false" ht="15" hidden="false" customHeight="false" outlineLevel="0" collapsed="false">
      <c r="A6" s="46" t="s">
        <v>98</v>
      </c>
      <c r="B6" s="46" t="s">
        <v>99</v>
      </c>
      <c r="C6" s="47" t="n">
        <f aca="false">SUMIFS(Ledger!$E$2:$E$1285,Ledger!$B$2:$B$1285,$A6,Ledger!$A$2:$A$1285,"&gt;="&amp;C$1,Ledger!$A$2:$A$1285,"&lt;"&amp;EDATE(C$1,1))</f>
        <v>7931300</v>
      </c>
      <c r="D6" s="47" t="n">
        <f aca="false">SUMIFS(Ledger!$E$2:$E$1285,Ledger!$B$2:$B$1285,$A6,Ledger!$A$2:$A$1285,"&gt;="&amp;D$1,Ledger!$A$2:$A$1285,"&lt;"&amp;EDATE(D$1,1))</f>
        <v>8110100</v>
      </c>
      <c r="E6" s="47" t="n">
        <f aca="false">SUMIFS(Ledger!$E$2:$E$1285,Ledger!$B$2:$B$1285,$A6,Ledger!$A$2:$A$1285,"&gt;="&amp;E$1,Ledger!$A$2:$A$1285,"&lt;"&amp;EDATE(E$1,1))</f>
        <v>8116600</v>
      </c>
      <c r="F6" s="47" t="n">
        <f aca="false">SUMIFS(Ledger!$E$2:$E$1285,Ledger!$B$2:$B$1285,$A6,Ledger!$A$2:$A$1285,"&gt;="&amp;F$1,Ledger!$A$2:$A$1285,"&lt;"&amp;EDATE(F$1,1))</f>
        <v>8597500</v>
      </c>
      <c r="G6" s="47" t="n">
        <f aca="false">SUMIFS(Ledger!$E$2:$E$1285,Ledger!$B$2:$B$1285,$A6,Ledger!$A$2:$A$1285,"&gt;="&amp;G$1,Ledger!$A$2:$A$1285,"&lt;"&amp;EDATE(G$1,1))</f>
        <v>8497600</v>
      </c>
      <c r="H6" s="47" t="n">
        <f aca="false">SUMIFS(Ledger!$E$2:$E$1285,Ledger!$B$2:$B$1285,$A6,Ledger!$A$2:$A$1285,"&gt;="&amp;H$1,Ledger!$A$2:$A$1285,"&lt;"&amp;EDATE(H$1,1))</f>
        <v>8947000</v>
      </c>
      <c r="I6" s="47" t="n">
        <f aca="false">SUMIFS(Ledger!$E$2:$E$1285,Ledger!$B$2:$B$1285,$A6,Ledger!$A$2:$A$1285,"&gt;="&amp;I$1,Ledger!$A$2:$A$1285,"&lt;"&amp;EDATE(I$1,1))</f>
        <v>9241400</v>
      </c>
      <c r="J6" s="47" t="n">
        <f aca="false">SUMIFS(Ledger!$E$2:$E$1285,Ledger!$B$2:$B$1285,$A6,Ledger!$A$2:$A$1285,"&gt;="&amp;J$1,Ledger!$A$2:$A$1285,"&lt;"&amp;EDATE(J$1,1))</f>
        <v>9108300</v>
      </c>
      <c r="K6" s="47" t="n">
        <f aca="false">SUMIFS(Ledger!$E$2:$E$1285,Ledger!$B$2:$B$1285,$A6,Ledger!$A$2:$A$1285,"&gt;="&amp;K$1,Ledger!$A$2:$A$1285,"&lt;"&amp;EDATE(K$1,1))</f>
        <v>9421800</v>
      </c>
      <c r="L6" s="47" t="n">
        <f aca="false">SUMIFS(Budget!$C$2:$C$145,Budget!$B$2:$B$145,$A6,Budget!$A$2:$A$145,L$1)</f>
        <v>7560000</v>
      </c>
      <c r="M6" s="47" t="n">
        <f aca="false">SUMIFS(Budget!$C$2:$C$145,Budget!$B$2:$B$145,$A6,Budget!$A$2:$A$145,M$1)</f>
        <v>7651000</v>
      </c>
      <c r="N6" s="47" t="n">
        <f aca="false">SUMIFS(Budget!$C$2:$C$145,Budget!$B$2:$B$145,$A6,Budget!$A$2:$A$145,N$1)</f>
        <v>7741000</v>
      </c>
      <c r="O6" s="47" t="n">
        <f aca="false">SUMIFS(Budget!$C$2:$C$145,Budget!$B$2:$B$145,$A6,Budget!$A$2:$A$145,O$1)</f>
        <v>7832000</v>
      </c>
      <c r="P6" s="47" t="n">
        <f aca="false">SUMIFS(Budget!$C$2:$C$145,Budget!$B$2:$B$145,$A6,Budget!$A$2:$A$145,P$1)</f>
        <v>7923000</v>
      </c>
      <c r="Q6" s="47" t="n">
        <f aca="false">SUMIFS(Budget!$C$2:$C$145,Budget!$B$2:$B$145,$A6,Budget!$A$2:$A$145,Q$1)</f>
        <v>8014000</v>
      </c>
      <c r="R6" s="47" t="n">
        <f aca="false">SUMIFS(Budget!$C$2:$C$145,Budget!$B$2:$B$145,$A6,Budget!$A$2:$A$145,R$1)</f>
        <v>8104000</v>
      </c>
      <c r="S6" s="47" t="n">
        <f aca="false">SUMIFS(Budget!$C$2:$C$145,Budget!$B$2:$B$145,$A6,Budget!$A$2:$A$145,S$1)</f>
        <v>8195000</v>
      </c>
      <c r="T6" s="47" t="n">
        <f aca="false">SUMIFS(Budget!$C$2:$C$145,Budget!$B$2:$B$145,$A6,Budget!$A$2:$A$145,T$1)</f>
        <v>8286000</v>
      </c>
      <c r="U6" s="47" t="n">
        <f aca="false">SUMIFS(C6:K6,$C$1:$K$1,"&lt;="&amp;Assumptions!$B$4)</f>
        <v>77971600</v>
      </c>
      <c r="V6" s="47" t="n">
        <f aca="false">SUMIFS(L6:T6,$L$1:$T$1,"&lt;="&amp;Assumptions!$B$4)</f>
        <v>71306000</v>
      </c>
      <c r="W6" s="47" t="n">
        <f aca="false">SUMIFS(C6:K6,$C$1:$K$1,Assumptions!$B$4)</f>
        <v>9421800</v>
      </c>
      <c r="X6" s="47" t="n">
        <f aca="false">SUMIFS(L6:T6,$L$1:$T$1,Assumptions!$B$4)</f>
        <v>8286000</v>
      </c>
      <c r="Y6" s="48" t="n">
        <f aca="false">X6/X2*W2-W6</f>
        <v>-407582.907542579</v>
      </c>
      <c r="Z6" s="49" t="n">
        <f aca="false">IFERROR(Y6/(X6/X2*W2),0)</f>
        <v>-0.0452155637435913</v>
      </c>
      <c r="AA6" s="48" t="n">
        <f aca="false">V6/V2*U2-U6</f>
        <v>-1388042.07897465</v>
      </c>
      <c r="AB6" s="49" t="n">
        <f aca="false">IFERROR(AA6/(V6/V2*U2),0)</f>
        <v>-0.0181245441796531</v>
      </c>
      <c r="AC6" s="46" t="str">
        <f aca="false">IF(AND(ABS(Y6)&gt;=Assumptions!$B$5,ABS(Z6)&gt;=Assumptions!$B$6),"Material","")</f>
        <v/>
      </c>
    </row>
    <row r="7" customFormat="false" ht="15" hidden="false" customHeight="false" outlineLevel="0" collapsed="false">
      <c r="A7" s="46" t="s">
        <v>100</v>
      </c>
      <c r="B7" s="46" t="s">
        <v>99</v>
      </c>
      <c r="C7" s="47" t="n">
        <f aca="false">SUMIFS(Ledger!$E$2:$E$1285,Ledger!$B$2:$B$1285,$A7,Ledger!$A$2:$A$1285,"&gt;="&amp;C$1,Ledger!$A$2:$A$1285,"&lt;"&amp;EDATE(C$1,1))</f>
        <v>6450200</v>
      </c>
      <c r="D7" s="47" t="n">
        <f aca="false">SUMIFS(Ledger!$E$2:$E$1285,Ledger!$B$2:$B$1285,$A7,Ledger!$A$2:$A$1285,"&gt;="&amp;D$1,Ledger!$A$2:$A$1285,"&lt;"&amp;EDATE(D$1,1))</f>
        <v>6365000</v>
      </c>
      <c r="E7" s="47" t="n">
        <f aca="false">SUMIFS(Ledger!$E$2:$E$1285,Ledger!$B$2:$B$1285,$A7,Ledger!$A$2:$A$1285,"&gt;="&amp;E$1,Ledger!$A$2:$A$1285,"&lt;"&amp;EDATE(E$1,1))</f>
        <v>6345100</v>
      </c>
      <c r="F7" s="47" t="n">
        <f aca="false">SUMIFS(Ledger!$E$2:$E$1285,Ledger!$B$2:$B$1285,$A7,Ledger!$A$2:$A$1285,"&gt;="&amp;F$1,Ledger!$A$2:$A$1285,"&lt;"&amp;EDATE(F$1,1))</f>
        <v>6518700</v>
      </c>
      <c r="G7" s="47" t="n">
        <f aca="false">SUMIFS(Ledger!$E$2:$E$1285,Ledger!$B$2:$B$1285,$A7,Ledger!$A$2:$A$1285,"&gt;="&amp;G$1,Ledger!$A$2:$A$1285,"&lt;"&amp;EDATE(G$1,1))</f>
        <v>6608300</v>
      </c>
      <c r="H7" s="47" t="n">
        <f aca="false">SUMIFS(Ledger!$E$2:$E$1285,Ledger!$B$2:$B$1285,$A7,Ledger!$A$2:$A$1285,"&gt;="&amp;H$1,Ledger!$A$2:$A$1285,"&lt;"&amp;EDATE(H$1,1))</f>
        <v>6630700</v>
      </c>
      <c r="I7" s="47" t="n">
        <f aca="false">SUMIFS(Ledger!$E$2:$E$1285,Ledger!$B$2:$B$1285,$A7,Ledger!$A$2:$A$1285,"&gt;="&amp;I$1,Ledger!$A$2:$A$1285,"&lt;"&amp;EDATE(I$1,1))</f>
        <v>6744300</v>
      </c>
      <c r="J7" s="47" t="n">
        <f aca="false">SUMIFS(Ledger!$E$2:$E$1285,Ledger!$B$2:$B$1285,$A7,Ledger!$A$2:$A$1285,"&gt;="&amp;J$1,Ledger!$A$2:$A$1285,"&lt;"&amp;EDATE(J$1,1))</f>
        <v>6638100</v>
      </c>
      <c r="K7" s="47" t="n">
        <f aca="false">SUMIFS(Ledger!$E$2:$E$1285,Ledger!$B$2:$B$1285,$A7,Ledger!$A$2:$A$1285,"&gt;="&amp;K$1,Ledger!$A$2:$A$1285,"&lt;"&amp;EDATE(K$1,1))</f>
        <v>6765700</v>
      </c>
      <c r="L7" s="47" t="n">
        <f aca="false">SUMIFS(Budget!$C$2:$C$145,Budget!$B$2:$B$145,$A7,Budget!$A$2:$A$145,L$1)</f>
        <v>6450000</v>
      </c>
      <c r="M7" s="47" t="n">
        <f aca="false">SUMIFS(Budget!$C$2:$C$145,Budget!$B$2:$B$145,$A7,Budget!$A$2:$A$145,M$1)</f>
        <v>6527000</v>
      </c>
      <c r="N7" s="47" t="n">
        <f aca="false">SUMIFS(Budget!$C$2:$C$145,Budget!$B$2:$B$145,$A7,Budget!$A$2:$A$145,N$1)</f>
        <v>6605000</v>
      </c>
      <c r="O7" s="47" t="n">
        <f aca="false">SUMIFS(Budget!$C$2:$C$145,Budget!$B$2:$B$145,$A7,Budget!$A$2:$A$145,O$1)</f>
        <v>6682000</v>
      </c>
      <c r="P7" s="47" t="n">
        <f aca="false">SUMIFS(Budget!$C$2:$C$145,Budget!$B$2:$B$145,$A7,Budget!$A$2:$A$145,P$1)</f>
        <v>6760000</v>
      </c>
      <c r="Q7" s="47" t="n">
        <f aca="false">SUMIFS(Budget!$C$2:$C$145,Budget!$B$2:$B$145,$A7,Budget!$A$2:$A$145,Q$1)</f>
        <v>6837000</v>
      </c>
      <c r="R7" s="47" t="n">
        <f aca="false">SUMIFS(Budget!$C$2:$C$145,Budget!$B$2:$B$145,$A7,Budget!$A$2:$A$145,R$1)</f>
        <v>6914000</v>
      </c>
      <c r="S7" s="47" t="n">
        <f aca="false">SUMIFS(Budget!$C$2:$C$145,Budget!$B$2:$B$145,$A7,Budget!$A$2:$A$145,S$1)</f>
        <v>6992000</v>
      </c>
      <c r="T7" s="47" t="n">
        <f aca="false">SUMIFS(Budget!$C$2:$C$145,Budget!$B$2:$B$145,$A7,Budget!$A$2:$A$145,T$1)</f>
        <v>7069000</v>
      </c>
      <c r="U7" s="47" t="n">
        <f aca="false">SUMIFS(C7:K7,$C$1:$K$1,"&lt;="&amp;Assumptions!$B$4)</f>
        <v>59066100</v>
      </c>
      <c r="V7" s="47" t="n">
        <f aca="false">SUMIFS(L7:T7,$L$1:$T$1,"&lt;="&amp;Assumptions!$B$4)</f>
        <v>60836000</v>
      </c>
      <c r="W7" s="47" t="n">
        <f aca="false">SUMIFS(C7:K7,$C$1:$K$1,Assumptions!$B$4)</f>
        <v>6765700</v>
      </c>
      <c r="X7" s="47" t="n">
        <f aca="false">SUMIFS(L7:T7,$L$1:$T$1,Assumptions!$B$4)</f>
        <v>7069000</v>
      </c>
      <c r="Y7" s="48" t="n">
        <f aca="false">X7/X3*W3-W7</f>
        <v>8500.3406326035</v>
      </c>
      <c r="Z7" s="49" t="n">
        <f aca="false">IFERROR(Y7/(X7/X3*W3),0)</f>
        <v>0.00125481093046766</v>
      </c>
      <c r="AA7" s="48" t="n">
        <f aca="false">V7/V3*U3-U7</f>
        <v>-71003.8959570304</v>
      </c>
      <c r="AB7" s="49" t="n">
        <f aca="false">IFERROR(AA7/(V7/V3*U3),0)</f>
        <v>-0.00120355589949051</v>
      </c>
      <c r="AC7" s="46" t="str">
        <f aca="false">IF(AND(ABS(Y7)&gt;=Assumptions!$B$5,ABS(Z7)&gt;=Assumptions!$B$6),"Material","")</f>
        <v/>
      </c>
    </row>
    <row r="8" customFormat="false" ht="15" hidden="false" customHeight="false" outlineLevel="0" collapsed="false">
      <c r="A8" s="46" t="s">
        <v>101</v>
      </c>
      <c r="B8" s="46" t="s">
        <v>99</v>
      </c>
      <c r="C8" s="47" t="n">
        <f aca="false">SUMIFS(Ledger!$E$2:$E$1285,Ledger!$B$2:$B$1285,$A8,Ledger!$A$2:$A$1285,"&gt;="&amp;C$1,Ledger!$A$2:$A$1285,"&lt;"&amp;EDATE(C$1,1))</f>
        <v>3900300</v>
      </c>
      <c r="D8" s="47" t="n">
        <f aca="false">SUMIFS(Ledger!$E$2:$E$1285,Ledger!$B$2:$B$1285,$A8,Ledger!$A$2:$A$1285,"&gt;="&amp;D$1,Ledger!$A$2:$A$1285,"&lt;"&amp;EDATE(D$1,1))</f>
        <v>3960900</v>
      </c>
      <c r="E8" s="47" t="n">
        <f aca="false">SUMIFS(Ledger!$E$2:$E$1285,Ledger!$B$2:$B$1285,$A8,Ledger!$A$2:$A$1285,"&gt;="&amp;E$1,Ledger!$A$2:$A$1285,"&lt;"&amp;EDATE(E$1,1))</f>
        <v>4073800</v>
      </c>
      <c r="F8" s="47" t="n">
        <f aca="false">SUMIFS(Ledger!$E$2:$E$1285,Ledger!$B$2:$B$1285,$A8,Ledger!$A$2:$A$1285,"&gt;="&amp;F$1,Ledger!$A$2:$A$1285,"&lt;"&amp;EDATE(F$1,1))</f>
        <v>3986600</v>
      </c>
      <c r="G8" s="47" t="n">
        <f aca="false">SUMIFS(Ledger!$E$2:$E$1285,Ledger!$B$2:$B$1285,$A8,Ledger!$A$2:$A$1285,"&gt;="&amp;G$1,Ledger!$A$2:$A$1285,"&lt;"&amp;EDATE(G$1,1))</f>
        <v>3961000</v>
      </c>
      <c r="H8" s="47" t="n">
        <f aca="false">SUMIFS(Ledger!$E$2:$E$1285,Ledger!$B$2:$B$1285,$A8,Ledger!$A$2:$A$1285,"&gt;="&amp;H$1,Ledger!$A$2:$A$1285,"&lt;"&amp;EDATE(H$1,1))</f>
        <v>3849200</v>
      </c>
      <c r="I8" s="47" t="n">
        <f aca="false">SUMIFS(Ledger!$E$2:$E$1285,Ledger!$B$2:$B$1285,$A8,Ledger!$A$2:$A$1285,"&gt;="&amp;I$1,Ledger!$A$2:$A$1285,"&lt;"&amp;EDATE(I$1,1))</f>
        <v>3697000</v>
      </c>
      <c r="J8" s="47" t="n">
        <f aca="false">SUMIFS(Ledger!$E$2:$E$1285,Ledger!$B$2:$B$1285,$A8,Ledger!$A$2:$A$1285,"&gt;="&amp;J$1,Ledger!$A$2:$A$1285,"&lt;"&amp;EDATE(J$1,1))</f>
        <v>3575800</v>
      </c>
      <c r="K8" s="47" t="n">
        <f aca="false">SUMIFS(Ledger!$E$2:$E$1285,Ledger!$B$2:$B$1285,$A8,Ledger!$A$2:$A$1285,"&gt;="&amp;K$1,Ledger!$A$2:$A$1285,"&lt;"&amp;EDATE(K$1,1))</f>
        <v>3582700</v>
      </c>
      <c r="L8" s="47" t="n">
        <f aca="false">SUMIFS(Budget!$C$2:$C$145,Budget!$B$2:$B$145,$A8,Budget!$A$2:$A$145,L$1)</f>
        <v>3900000</v>
      </c>
      <c r="M8" s="47" t="n">
        <f aca="false">SUMIFS(Budget!$C$2:$C$145,Budget!$B$2:$B$145,$A8,Budget!$A$2:$A$145,M$1)</f>
        <v>3947000</v>
      </c>
      <c r="N8" s="47" t="n">
        <f aca="false">SUMIFS(Budget!$C$2:$C$145,Budget!$B$2:$B$145,$A8,Budget!$A$2:$A$145,N$1)</f>
        <v>3994000</v>
      </c>
      <c r="O8" s="47" t="n">
        <f aca="false">SUMIFS(Budget!$C$2:$C$145,Budget!$B$2:$B$145,$A8,Budget!$A$2:$A$145,O$1)</f>
        <v>4040000</v>
      </c>
      <c r="P8" s="47" t="n">
        <f aca="false">SUMIFS(Budget!$C$2:$C$145,Budget!$B$2:$B$145,$A8,Budget!$A$2:$A$145,P$1)</f>
        <v>4087000</v>
      </c>
      <c r="Q8" s="47" t="n">
        <f aca="false">SUMIFS(Budget!$C$2:$C$145,Budget!$B$2:$B$145,$A8,Budget!$A$2:$A$145,Q$1)</f>
        <v>4134000</v>
      </c>
      <c r="R8" s="47" t="n">
        <f aca="false">SUMIFS(Budget!$C$2:$C$145,Budget!$B$2:$B$145,$A8,Budget!$A$2:$A$145,R$1)</f>
        <v>4181000</v>
      </c>
      <c r="S8" s="47" t="n">
        <f aca="false">SUMIFS(Budget!$C$2:$C$145,Budget!$B$2:$B$145,$A8,Budget!$A$2:$A$145,S$1)</f>
        <v>4228000</v>
      </c>
      <c r="T8" s="47" t="n">
        <f aca="false">SUMIFS(Budget!$C$2:$C$145,Budget!$B$2:$B$145,$A8,Budget!$A$2:$A$145,T$1)</f>
        <v>4274000</v>
      </c>
      <c r="U8" s="47" t="n">
        <f aca="false">SUMIFS(C8:K8,$C$1:$K$1,"&lt;="&amp;Assumptions!$B$4)</f>
        <v>34587300</v>
      </c>
      <c r="V8" s="47" t="n">
        <f aca="false">SUMIFS(L8:T8,$L$1:$T$1,"&lt;="&amp;Assumptions!$B$4)</f>
        <v>36785000</v>
      </c>
      <c r="W8" s="47" t="n">
        <f aca="false">SUMIFS(C8:K8,$C$1:$K$1,Assumptions!$B$4)</f>
        <v>3582700</v>
      </c>
      <c r="X8" s="47" t="n">
        <f aca="false">SUMIFS(L8:T8,$L$1:$T$1,Assumptions!$B$4)</f>
        <v>4274000</v>
      </c>
      <c r="Y8" s="48" t="n">
        <f aca="false">X8/X4*W4-W8</f>
        <v>7849.96350364992</v>
      </c>
      <c r="Z8" s="49" t="n">
        <f aca="false">IFERROR(Y8/(X8/X4*W4),0)</f>
        <v>0.0021862844364906</v>
      </c>
      <c r="AA8" s="48" t="n">
        <f aca="false">V8/V4*U4-U8</f>
        <v>10646.1089906693</v>
      </c>
      <c r="AB8" s="49" t="n">
        <f aca="false">IFERROR(AA8/(V8/V4*U4),0)</f>
        <v>0.000307709277225065</v>
      </c>
      <c r="AC8" s="46" t="str">
        <f aca="false">IF(AND(ABS(Y8)&gt;=Assumptions!$B$5,ABS(Z8)&gt;=Assumptions!$B$6),"Material","")</f>
        <v/>
      </c>
    </row>
    <row r="9" customFormat="false" ht="15" hidden="false" customHeight="false" outlineLevel="0" collapsed="false">
      <c r="A9" s="46" t="s">
        <v>102</v>
      </c>
      <c r="B9" s="46" t="s">
        <v>99</v>
      </c>
      <c r="C9" s="47" t="n">
        <f aca="false">SUMIFS(Ledger!$E$2:$E$1285,Ledger!$B$2:$B$1285,$A9,Ledger!$A$2:$A$1285,"&gt;="&amp;C$1,Ledger!$A$2:$A$1285,"&lt;"&amp;EDATE(C$1,1))</f>
        <v>2694400</v>
      </c>
      <c r="D9" s="47" t="n">
        <f aca="false">SUMIFS(Ledger!$E$2:$E$1285,Ledger!$B$2:$B$1285,$A9,Ledger!$A$2:$A$1285,"&gt;="&amp;D$1,Ledger!$A$2:$A$1285,"&lt;"&amp;EDATE(D$1,1))</f>
        <v>2708300</v>
      </c>
      <c r="E9" s="47" t="n">
        <f aca="false">SUMIFS(Ledger!$E$2:$E$1285,Ledger!$B$2:$B$1285,$A9,Ledger!$A$2:$A$1285,"&gt;="&amp;E$1,Ledger!$A$2:$A$1285,"&lt;"&amp;EDATE(E$1,1))</f>
        <v>2757500</v>
      </c>
      <c r="F9" s="47" t="n">
        <f aca="false">SUMIFS(Ledger!$E$2:$E$1285,Ledger!$B$2:$B$1285,$A9,Ledger!$A$2:$A$1285,"&gt;="&amp;F$1,Ledger!$A$2:$A$1285,"&lt;"&amp;EDATE(F$1,1))</f>
        <v>2836300</v>
      </c>
      <c r="G9" s="47" t="n">
        <f aca="false">SUMIFS(Ledger!$E$2:$E$1285,Ledger!$B$2:$B$1285,$A9,Ledger!$A$2:$A$1285,"&gt;="&amp;G$1,Ledger!$A$2:$A$1285,"&lt;"&amp;EDATE(G$1,1))</f>
        <v>2852100</v>
      </c>
      <c r="H9" s="47" t="n">
        <f aca="false">SUMIFS(Ledger!$E$2:$E$1285,Ledger!$B$2:$B$1285,$A9,Ledger!$A$2:$A$1285,"&gt;="&amp;H$1,Ledger!$A$2:$A$1285,"&lt;"&amp;EDATE(H$1,1))</f>
        <v>2897600</v>
      </c>
      <c r="I9" s="47" t="n">
        <f aca="false">SUMIFS(Ledger!$E$2:$E$1285,Ledger!$B$2:$B$1285,$A9,Ledger!$A$2:$A$1285,"&gt;="&amp;I$1,Ledger!$A$2:$A$1285,"&lt;"&amp;EDATE(I$1,1))</f>
        <v>2965000</v>
      </c>
      <c r="J9" s="47" t="n">
        <f aca="false">SUMIFS(Ledger!$E$2:$E$1285,Ledger!$B$2:$B$1285,$A9,Ledger!$A$2:$A$1285,"&gt;="&amp;J$1,Ledger!$A$2:$A$1285,"&lt;"&amp;EDATE(J$1,1))</f>
        <v>3001400</v>
      </c>
      <c r="K9" s="47" t="n">
        <f aca="false">SUMIFS(Ledger!$E$2:$E$1285,Ledger!$B$2:$B$1285,$A9,Ledger!$A$2:$A$1285,"&gt;="&amp;K$1,Ledger!$A$2:$A$1285,"&lt;"&amp;EDATE(K$1,1))</f>
        <v>3020800</v>
      </c>
      <c r="L9" s="47" t="n">
        <f aca="false">SUMIFS(Budget!$C$2:$C$145,Budget!$B$2:$B$145,$A9,Budget!$A$2:$A$145,L$1)</f>
        <v>2590000</v>
      </c>
      <c r="M9" s="47" t="n">
        <f aca="false">SUMIFS(Budget!$C$2:$C$145,Budget!$B$2:$B$145,$A9,Budget!$A$2:$A$145,M$1)</f>
        <v>2621000</v>
      </c>
      <c r="N9" s="47" t="n">
        <f aca="false">SUMIFS(Budget!$C$2:$C$145,Budget!$B$2:$B$145,$A9,Budget!$A$2:$A$145,N$1)</f>
        <v>2652000</v>
      </c>
      <c r="O9" s="47" t="n">
        <f aca="false">SUMIFS(Budget!$C$2:$C$145,Budget!$B$2:$B$145,$A9,Budget!$A$2:$A$145,O$1)</f>
        <v>2683000</v>
      </c>
      <c r="P9" s="47" t="n">
        <f aca="false">SUMIFS(Budget!$C$2:$C$145,Budget!$B$2:$B$145,$A9,Budget!$A$2:$A$145,P$1)</f>
        <v>2714000</v>
      </c>
      <c r="Q9" s="47" t="n">
        <f aca="false">SUMIFS(Budget!$C$2:$C$145,Budget!$B$2:$B$145,$A9,Budget!$A$2:$A$145,Q$1)</f>
        <v>2745000</v>
      </c>
      <c r="R9" s="47" t="n">
        <f aca="false">SUMIFS(Budget!$C$2:$C$145,Budget!$B$2:$B$145,$A9,Budget!$A$2:$A$145,R$1)</f>
        <v>2776000</v>
      </c>
      <c r="S9" s="47" t="n">
        <f aca="false">SUMIFS(Budget!$C$2:$C$145,Budget!$B$2:$B$145,$A9,Budget!$A$2:$A$145,S$1)</f>
        <v>2808000</v>
      </c>
      <c r="T9" s="47" t="n">
        <f aca="false">SUMIFS(Budget!$C$2:$C$145,Budget!$B$2:$B$145,$A9,Budget!$A$2:$A$145,T$1)</f>
        <v>2839000</v>
      </c>
      <c r="U9" s="47" t="n">
        <f aca="false">SUMIFS(C9:K9,$C$1:$K$1,"&lt;="&amp;Assumptions!$B$4)</f>
        <v>25733400</v>
      </c>
      <c r="V9" s="47" t="n">
        <f aca="false">SUMIFS(L9:T9,$L$1:$T$1,"&lt;="&amp;Assumptions!$B$4)</f>
        <v>24428000</v>
      </c>
      <c r="W9" s="47" t="n">
        <f aca="false">SUMIFS(C9:K9,$C$1:$K$1,Assumptions!$B$4)</f>
        <v>3020800</v>
      </c>
      <c r="X9" s="47" t="n">
        <f aca="false">SUMIFS(L9:T9,$L$1:$T$1,Assumptions!$B$4)</f>
        <v>2839000</v>
      </c>
      <c r="Y9" s="48" t="n">
        <f aca="false">X9/X5*W5-W9</f>
        <v>41.0583941605873</v>
      </c>
      <c r="Z9" s="49" t="n">
        <f aca="false">IFERROR(Y9/(X9/X5*W5),0)</f>
        <v>1.35917095162939E-005</v>
      </c>
      <c r="AA9" s="48" t="n">
        <f aca="false">V9/V5*U5-U9</f>
        <v>47715.2550587691</v>
      </c>
      <c r="AB9" s="49" t="n">
        <f aca="false">IFERROR(AA9/(V9/V5*U5),0)</f>
        <v>0.00185078320261597</v>
      </c>
      <c r="AC9" s="46" t="str">
        <f aca="false">IF(AND(ABS(Y9)&gt;=Assumptions!$B$5,ABS(Z9)&gt;=Assumptions!$B$6),"Material","")</f>
        <v/>
      </c>
    </row>
    <row r="10" customFormat="false" ht="15" hidden="false" customHeight="false" outlineLevel="0" collapsed="false">
      <c r="A10" s="46" t="s">
        <v>52</v>
      </c>
      <c r="B10" s="46" t="s">
        <v>103</v>
      </c>
      <c r="C10" s="47" t="n">
        <f aca="false">SUMIFS(Ledger!$E$2:$E$1285,Ledger!$B$2:$B$1285,$A10,Ledger!$A$2:$A$1285,"&gt;="&amp;C$1,Ledger!$A$2:$A$1285,"&lt;"&amp;EDATE(C$1,1))</f>
        <v>1626000</v>
      </c>
      <c r="D10" s="47" t="n">
        <f aca="false">SUMIFS(Ledger!$E$2:$E$1285,Ledger!$B$2:$B$1285,$A10,Ledger!$A$2:$A$1285,"&gt;="&amp;D$1,Ledger!$A$2:$A$1285,"&lt;"&amp;EDATE(D$1,1))</f>
        <v>1632600</v>
      </c>
      <c r="E10" s="47" t="n">
        <f aca="false">SUMIFS(Ledger!$E$2:$E$1285,Ledger!$B$2:$B$1285,$A10,Ledger!$A$2:$A$1285,"&gt;="&amp;E$1,Ledger!$A$2:$A$1285,"&lt;"&amp;EDATE(E$1,1))</f>
        <v>1604000</v>
      </c>
      <c r="F10" s="47" t="n">
        <f aca="false">SUMIFS(Ledger!$E$2:$E$1285,Ledger!$B$2:$B$1285,$A10,Ledger!$A$2:$A$1285,"&gt;="&amp;F$1,Ledger!$A$2:$A$1285,"&lt;"&amp;EDATE(F$1,1))</f>
        <v>1629800</v>
      </c>
      <c r="G10" s="47" t="n">
        <f aca="false">SUMIFS(Ledger!$E$2:$E$1285,Ledger!$B$2:$B$1285,$A10,Ledger!$A$2:$A$1285,"&gt;="&amp;G$1,Ledger!$A$2:$A$1285,"&lt;"&amp;EDATE(G$1,1))</f>
        <v>1623500</v>
      </c>
      <c r="H10" s="47" t="n">
        <f aca="false">SUMIFS(Ledger!$E$2:$E$1285,Ledger!$B$2:$B$1285,$A10,Ledger!$A$2:$A$1285,"&gt;="&amp;H$1,Ledger!$A$2:$A$1285,"&lt;"&amp;EDATE(H$1,1))</f>
        <v>1667200</v>
      </c>
      <c r="I10" s="47" t="n">
        <f aca="false">SUMIFS(Ledger!$E$2:$E$1285,Ledger!$B$2:$B$1285,$A10,Ledger!$A$2:$A$1285,"&gt;="&amp;I$1,Ledger!$A$2:$A$1285,"&lt;"&amp;EDATE(I$1,1))</f>
        <v>1671400</v>
      </c>
      <c r="J10" s="47" t="n">
        <f aca="false">SUMIFS(Ledger!$E$2:$E$1285,Ledger!$B$2:$B$1285,$A10,Ledger!$A$2:$A$1285,"&gt;="&amp;J$1,Ledger!$A$2:$A$1285,"&lt;"&amp;EDATE(J$1,1))</f>
        <v>1708900</v>
      </c>
      <c r="K10" s="47" t="n">
        <f aca="false">SUMIFS(Ledger!$E$2:$E$1285,Ledger!$B$2:$B$1285,$A10,Ledger!$A$2:$A$1285,"&gt;="&amp;K$1,Ledger!$A$2:$A$1285,"&lt;"&amp;EDATE(K$1,1))</f>
        <v>1719000</v>
      </c>
      <c r="L10" s="47" t="n">
        <f aca="false">SUMIFS(Budget!$C$2:$C$145,Budget!$B$2:$B$145,$A10,Budget!$A$2:$A$145,L$1)</f>
        <v>1600000</v>
      </c>
      <c r="M10" s="47" t="n">
        <f aca="false">SUMIFS(Budget!$C$2:$C$145,Budget!$B$2:$B$145,$A10,Budget!$A$2:$A$145,M$1)</f>
        <v>1605000</v>
      </c>
      <c r="N10" s="47" t="n">
        <f aca="false">SUMIFS(Budget!$C$2:$C$145,Budget!$B$2:$B$145,$A10,Budget!$A$2:$A$145,N$1)</f>
        <v>1610000</v>
      </c>
      <c r="O10" s="47" t="n">
        <f aca="false">SUMIFS(Budget!$C$2:$C$145,Budget!$B$2:$B$145,$A10,Budget!$A$2:$A$145,O$1)</f>
        <v>1614000</v>
      </c>
      <c r="P10" s="47" t="n">
        <f aca="false">SUMIFS(Budget!$C$2:$C$145,Budget!$B$2:$B$145,$A10,Budget!$A$2:$A$145,P$1)</f>
        <v>1619000</v>
      </c>
      <c r="Q10" s="47" t="n">
        <f aca="false">SUMIFS(Budget!$C$2:$C$145,Budget!$B$2:$B$145,$A10,Budget!$A$2:$A$145,Q$1)</f>
        <v>1624000</v>
      </c>
      <c r="R10" s="47" t="n">
        <f aca="false">SUMIFS(Budget!$C$2:$C$145,Budget!$B$2:$B$145,$A10,Budget!$A$2:$A$145,R$1)</f>
        <v>1629000</v>
      </c>
      <c r="S10" s="47" t="n">
        <f aca="false">SUMIFS(Budget!$C$2:$C$145,Budget!$B$2:$B$145,$A10,Budget!$A$2:$A$145,S$1)</f>
        <v>1634000</v>
      </c>
      <c r="T10" s="47" t="n">
        <f aca="false">SUMIFS(Budget!$C$2:$C$145,Budget!$B$2:$B$145,$A10,Budget!$A$2:$A$145,T$1)</f>
        <v>1638000</v>
      </c>
      <c r="U10" s="47" t="n">
        <f aca="false">SUMIFS(C10:K10,$C$1:$K$1,"&lt;="&amp;Assumptions!$B$4)</f>
        <v>14882400</v>
      </c>
      <c r="V10" s="47" t="n">
        <f aca="false">SUMIFS(L10:T10,$L$1:$T$1,"&lt;="&amp;Assumptions!$B$4)</f>
        <v>14573000</v>
      </c>
      <c r="W10" s="47" t="n">
        <f aca="false">SUMIFS(C10:K10,$C$1:$K$1,Assumptions!$B$4)</f>
        <v>1719000</v>
      </c>
      <c r="X10" s="47" t="n">
        <f aca="false">SUMIFS(L10:T10,$L$1:$T$1,Assumptions!$B$4)</f>
        <v>1638000</v>
      </c>
      <c r="Y10" s="48" t="n">
        <f aca="false">IF($B10="Revenue",W10-X10,X10-W10)</f>
        <v>-81000</v>
      </c>
      <c r="Z10" s="49" t="n">
        <f aca="false">IFERROR(Y10/X10,0)</f>
        <v>-0.0494505494505495</v>
      </c>
      <c r="AA10" s="48" t="n">
        <f aca="false">IF($B10="Revenue",U10-V10,V10-U10)</f>
        <v>-309400</v>
      </c>
      <c r="AB10" s="49" t="n">
        <f aca="false">IFERROR(AA10/V10,0)</f>
        <v>-0.0212310437109723</v>
      </c>
      <c r="AC10" s="46" t="str">
        <f aca="false">IF(AND(ABS(Y10)&gt;=Assumptions!$B$5,ABS(Z10)&gt;=Assumptions!$B$6),"Material","")</f>
        <v/>
      </c>
    </row>
    <row r="11" customFormat="false" ht="15" hidden="false" customHeight="false" outlineLevel="0" collapsed="false">
      <c r="A11" s="46" t="s">
        <v>53</v>
      </c>
      <c r="B11" s="46" t="s">
        <v>103</v>
      </c>
      <c r="C11" s="47" t="n">
        <f aca="false">SUMIFS(Ledger!$E$2:$E$1285,Ledger!$B$2:$B$1285,$A11,Ledger!$A$2:$A$1285,"&gt;="&amp;C$1,Ledger!$A$2:$A$1285,"&lt;"&amp;EDATE(C$1,1))</f>
        <v>558600</v>
      </c>
      <c r="D11" s="47" t="n">
        <f aca="false">SUMIFS(Ledger!$E$2:$E$1285,Ledger!$B$2:$B$1285,$A11,Ledger!$A$2:$A$1285,"&gt;="&amp;D$1,Ledger!$A$2:$A$1285,"&lt;"&amp;EDATE(D$1,1))</f>
        <v>562600</v>
      </c>
      <c r="E11" s="47" t="n">
        <f aca="false">SUMIFS(Ledger!$E$2:$E$1285,Ledger!$B$2:$B$1285,$A11,Ledger!$A$2:$A$1285,"&gt;="&amp;E$1,Ledger!$A$2:$A$1285,"&lt;"&amp;EDATE(E$1,1))</f>
        <v>560600</v>
      </c>
      <c r="F11" s="47" t="n">
        <f aca="false">SUMIFS(Ledger!$E$2:$E$1285,Ledger!$B$2:$B$1285,$A11,Ledger!$A$2:$A$1285,"&gt;="&amp;F$1,Ledger!$A$2:$A$1285,"&lt;"&amp;EDATE(F$1,1))</f>
        <v>544500</v>
      </c>
      <c r="G11" s="47" t="n">
        <f aca="false">SUMIFS(Ledger!$E$2:$E$1285,Ledger!$B$2:$B$1285,$A11,Ledger!$A$2:$A$1285,"&gt;="&amp;G$1,Ledger!$A$2:$A$1285,"&lt;"&amp;EDATE(G$1,1))</f>
        <v>555300</v>
      </c>
      <c r="H11" s="47" t="n">
        <f aca="false">SUMIFS(Ledger!$E$2:$E$1285,Ledger!$B$2:$B$1285,$A11,Ledger!$A$2:$A$1285,"&gt;="&amp;H$1,Ledger!$A$2:$A$1285,"&lt;"&amp;EDATE(H$1,1))</f>
        <v>554200</v>
      </c>
      <c r="I11" s="47" t="n">
        <f aca="false">SUMIFS(Ledger!$E$2:$E$1285,Ledger!$B$2:$B$1285,$A11,Ledger!$A$2:$A$1285,"&gt;="&amp;I$1,Ledger!$A$2:$A$1285,"&lt;"&amp;EDATE(I$1,1))</f>
        <v>570700</v>
      </c>
      <c r="J11" s="47" t="n">
        <f aca="false">SUMIFS(Ledger!$E$2:$E$1285,Ledger!$B$2:$B$1285,$A11,Ledger!$A$2:$A$1285,"&gt;="&amp;J$1,Ledger!$A$2:$A$1285,"&lt;"&amp;EDATE(J$1,1))</f>
        <v>552800</v>
      </c>
      <c r="K11" s="47" t="n">
        <f aca="false">SUMIFS(Ledger!$E$2:$E$1285,Ledger!$B$2:$B$1285,$A11,Ledger!$A$2:$A$1285,"&gt;="&amp;K$1,Ledger!$A$2:$A$1285,"&lt;"&amp;EDATE(K$1,1))</f>
        <v>569200</v>
      </c>
      <c r="L11" s="47" t="n">
        <f aca="false">SUMIFS(Budget!$C$2:$C$145,Budget!$B$2:$B$145,$A11,Budget!$A$2:$A$145,L$1)</f>
        <v>550000</v>
      </c>
      <c r="M11" s="47" t="n">
        <f aca="false">SUMIFS(Budget!$C$2:$C$145,Budget!$B$2:$B$145,$A11,Budget!$A$2:$A$145,M$1)</f>
        <v>552000</v>
      </c>
      <c r="N11" s="47" t="n">
        <f aca="false">SUMIFS(Budget!$C$2:$C$145,Budget!$B$2:$B$145,$A11,Budget!$A$2:$A$145,N$1)</f>
        <v>553000</v>
      </c>
      <c r="O11" s="47" t="n">
        <f aca="false">SUMIFS(Budget!$C$2:$C$145,Budget!$B$2:$B$145,$A11,Budget!$A$2:$A$145,O$1)</f>
        <v>555000</v>
      </c>
      <c r="P11" s="47" t="n">
        <f aca="false">SUMIFS(Budget!$C$2:$C$145,Budget!$B$2:$B$145,$A11,Budget!$A$2:$A$145,P$1)</f>
        <v>557000</v>
      </c>
      <c r="Q11" s="47" t="n">
        <f aca="false">SUMIFS(Budget!$C$2:$C$145,Budget!$B$2:$B$145,$A11,Budget!$A$2:$A$145,Q$1)</f>
        <v>558000</v>
      </c>
      <c r="R11" s="47" t="n">
        <f aca="false">SUMIFS(Budget!$C$2:$C$145,Budget!$B$2:$B$145,$A11,Budget!$A$2:$A$145,R$1)</f>
        <v>560000</v>
      </c>
      <c r="S11" s="47" t="n">
        <f aca="false">SUMIFS(Budget!$C$2:$C$145,Budget!$B$2:$B$145,$A11,Budget!$A$2:$A$145,S$1)</f>
        <v>562000</v>
      </c>
      <c r="T11" s="47" t="n">
        <f aca="false">SUMIFS(Budget!$C$2:$C$145,Budget!$B$2:$B$145,$A11,Budget!$A$2:$A$145,T$1)</f>
        <v>563000</v>
      </c>
      <c r="U11" s="47" t="n">
        <f aca="false">SUMIFS(C11:K11,$C$1:$K$1,"&lt;="&amp;Assumptions!$B$4)</f>
        <v>5028500</v>
      </c>
      <c r="V11" s="47" t="n">
        <f aca="false">SUMIFS(L11:T11,$L$1:$T$1,"&lt;="&amp;Assumptions!$B$4)</f>
        <v>5010000</v>
      </c>
      <c r="W11" s="47" t="n">
        <f aca="false">SUMIFS(C11:K11,$C$1:$K$1,Assumptions!$B$4)</f>
        <v>569200</v>
      </c>
      <c r="X11" s="47" t="n">
        <f aca="false">SUMIFS(L11:T11,$L$1:$T$1,Assumptions!$B$4)</f>
        <v>563000</v>
      </c>
      <c r="Y11" s="48" t="n">
        <f aca="false">IF($B11="Revenue",W11-X11,X11-W11)</f>
        <v>-6200</v>
      </c>
      <c r="Z11" s="49" t="n">
        <f aca="false">IFERROR(Y11/X11,0)</f>
        <v>-0.01101243339254</v>
      </c>
      <c r="AA11" s="48" t="n">
        <f aca="false">IF($B11="Revenue",U11-V11,V11-U11)</f>
        <v>-18500</v>
      </c>
      <c r="AB11" s="49" t="n">
        <f aca="false">IFERROR(AA11/V11,0)</f>
        <v>-0.00369261477045908</v>
      </c>
      <c r="AC11" s="46" t="str">
        <f aca="false">IF(AND(ABS(Y11)&gt;=Assumptions!$B$5,ABS(Z11)&gt;=Assumptions!$B$6),"Material","")</f>
        <v/>
      </c>
    </row>
    <row r="12" customFormat="false" ht="15" hidden="false" customHeight="false" outlineLevel="0" collapsed="false">
      <c r="A12" s="46" t="s">
        <v>54</v>
      </c>
      <c r="B12" s="46" t="s">
        <v>103</v>
      </c>
      <c r="C12" s="47" t="n">
        <f aca="false">SUMIFS(Ledger!$E$2:$E$1285,Ledger!$B$2:$B$1285,$A12,Ledger!$A$2:$A$1285,"&gt;="&amp;C$1,Ledger!$A$2:$A$1285,"&lt;"&amp;EDATE(C$1,1))</f>
        <v>148800</v>
      </c>
      <c r="D12" s="47" t="n">
        <f aca="false">SUMIFS(Ledger!$E$2:$E$1285,Ledger!$B$2:$B$1285,$A12,Ledger!$A$2:$A$1285,"&gt;="&amp;D$1,Ledger!$A$2:$A$1285,"&lt;"&amp;EDATE(D$1,1))</f>
        <v>147500</v>
      </c>
      <c r="E12" s="47" t="n">
        <f aca="false">SUMIFS(Ledger!$E$2:$E$1285,Ledger!$B$2:$B$1285,$A12,Ledger!$A$2:$A$1285,"&gt;="&amp;E$1,Ledger!$A$2:$A$1285,"&lt;"&amp;EDATE(E$1,1))</f>
        <v>154400</v>
      </c>
      <c r="F12" s="47" t="n">
        <f aca="false">SUMIFS(Ledger!$E$2:$E$1285,Ledger!$B$2:$B$1285,$A12,Ledger!$A$2:$A$1285,"&gt;="&amp;F$1,Ledger!$A$2:$A$1285,"&lt;"&amp;EDATE(F$1,1))</f>
        <v>157300</v>
      </c>
      <c r="G12" s="47" t="n">
        <f aca="false">SUMIFS(Ledger!$E$2:$E$1285,Ledger!$B$2:$B$1285,$A12,Ledger!$A$2:$A$1285,"&gt;="&amp;G$1,Ledger!$A$2:$A$1285,"&lt;"&amp;EDATE(G$1,1))</f>
        <v>157900</v>
      </c>
      <c r="H12" s="47" t="n">
        <f aca="false">SUMIFS(Ledger!$E$2:$E$1285,Ledger!$B$2:$B$1285,$A12,Ledger!$A$2:$A$1285,"&gt;="&amp;H$1,Ledger!$A$2:$A$1285,"&lt;"&amp;EDATE(H$1,1))</f>
        <v>157300</v>
      </c>
      <c r="I12" s="47" t="n">
        <f aca="false">SUMIFS(Ledger!$E$2:$E$1285,Ledger!$B$2:$B$1285,$A12,Ledger!$A$2:$A$1285,"&gt;="&amp;I$1,Ledger!$A$2:$A$1285,"&lt;"&amp;EDATE(I$1,1))</f>
        <v>159400</v>
      </c>
      <c r="J12" s="47" t="n">
        <f aca="false">SUMIFS(Ledger!$E$2:$E$1285,Ledger!$B$2:$B$1285,$A12,Ledger!$A$2:$A$1285,"&gt;="&amp;J$1,Ledger!$A$2:$A$1285,"&lt;"&amp;EDATE(J$1,1))</f>
        <v>159000</v>
      </c>
      <c r="K12" s="47" t="n">
        <f aca="false">SUMIFS(Ledger!$E$2:$E$1285,Ledger!$B$2:$B$1285,$A12,Ledger!$A$2:$A$1285,"&gt;="&amp;K$1,Ledger!$A$2:$A$1285,"&lt;"&amp;EDATE(K$1,1))</f>
        <v>159300</v>
      </c>
      <c r="L12" s="47" t="n">
        <f aca="false">SUMIFS(Budget!$C$2:$C$145,Budget!$B$2:$B$145,$A12,Budget!$A$2:$A$145,L$1)</f>
        <v>150000</v>
      </c>
      <c r="M12" s="47" t="n">
        <f aca="false">SUMIFS(Budget!$C$2:$C$145,Budget!$B$2:$B$145,$A12,Budget!$A$2:$A$145,M$1)</f>
        <v>150000</v>
      </c>
      <c r="N12" s="47" t="n">
        <f aca="false">SUMIFS(Budget!$C$2:$C$145,Budget!$B$2:$B$145,$A12,Budget!$A$2:$A$145,N$1)</f>
        <v>151000</v>
      </c>
      <c r="O12" s="47" t="n">
        <f aca="false">SUMIFS(Budget!$C$2:$C$145,Budget!$B$2:$B$145,$A12,Budget!$A$2:$A$145,O$1)</f>
        <v>151000</v>
      </c>
      <c r="P12" s="47" t="n">
        <f aca="false">SUMIFS(Budget!$C$2:$C$145,Budget!$B$2:$B$145,$A12,Budget!$A$2:$A$145,P$1)</f>
        <v>152000</v>
      </c>
      <c r="Q12" s="47" t="n">
        <f aca="false">SUMIFS(Budget!$C$2:$C$145,Budget!$B$2:$B$145,$A12,Budget!$A$2:$A$145,Q$1)</f>
        <v>152000</v>
      </c>
      <c r="R12" s="47" t="n">
        <f aca="false">SUMIFS(Budget!$C$2:$C$145,Budget!$B$2:$B$145,$A12,Budget!$A$2:$A$145,R$1)</f>
        <v>153000</v>
      </c>
      <c r="S12" s="47" t="n">
        <f aca="false">SUMIFS(Budget!$C$2:$C$145,Budget!$B$2:$B$145,$A12,Budget!$A$2:$A$145,S$1)</f>
        <v>153000</v>
      </c>
      <c r="T12" s="47" t="n">
        <f aca="false">SUMIFS(Budget!$C$2:$C$145,Budget!$B$2:$B$145,$A12,Budget!$A$2:$A$145,T$1)</f>
        <v>154000</v>
      </c>
      <c r="U12" s="47" t="n">
        <f aca="false">SUMIFS(C12:K12,$C$1:$K$1,"&lt;="&amp;Assumptions!$B$4)</f>
        <v>1400900</v>
      </c>
      <c r="V12" s="47" t="n">
        <f aca="false">SUMIFS(L12:T12,$L$1:$T$1,"&lt;="&amp;Assumptions!$B$4)</f>
        <v>1366000</v>
      </c>
      <c r="W12" s="47" t="n">
        <f aca="false">SUMIFS(C12:K12,$C$1:$K$1,Assumptions!$B$4)</f>
        <v>159300</v>
      </c>
      <c r="X12" s="47" t="n">
        <f aca="false">SUMIFS(L12:T12,$L$1:$T$1,Assumptions!$B$4)</f>
        <v>154000</v>
      </c>
      <c r="Y12" s="48" t="n">
        <f aca="false">IF($B12="Revenue",W12-X12,X12-W12)</f>
        <v>-5300</v>
      </c>
      <c r="Z12" s="49" t="n">
        <f aca="false">IFERROR(Y12/X12,0)</f>
        <v>-0.0344155844155844</v>
      </c>
      <c r="AA12" s="48" t="n">
        <f aca="false">IF($B12="Revenue",U12-V12,V12-U12)</f>
        <v>-34900</v>
      </c>
      <c r="AB12" s="49" t="n">
        <f aca="false">IFERROR(AA12/V12,0)</f>
        <v>-0.0255490483162518</v>
      </c>
      <c r="AC12" s="46" t="str">
        <f aca="false">IF(AND(ABS(Y12)&gt;=Assumptions!$B$5,ABS(Z12)&gt;=Assumptions!$B$6),"Material","")</f>
        <v/>
      </c>
    </row>
    <row r="13" customFormat="false" ht="15" hidden="false" customHeight="false" outlineLevel="0" collapsed="false">
      <c r="A13" s="46" t="s">
        <v>55</v>
      </c>
      <c r="B13" s="46" t="s">
        <v>103</v>
      </c>
      <c r="C13" s="47" t="n">
        <f aca="false">SUMIFS(Ledger!$E$2:$E$1285,Ledger!$B$2:$B$1285,$A13,Ledger!$A$2:$A$1285,"&gt;="&amp;C$1,Ledger!$A$2:$A$1285,"&lt;"&amp;EDATE(C$1,1))</f>
        <v>700700</v>
      </c>
      <c r="D13" s="47" t="n">
        <f aca="false">SUMIFS(Ledger!$E$2:$E$1285,Ledger!$B$2:$B$1285,$A13,Ledger!$A$2:$A$1285,"&gt;="&amp;D$1,Ledger!$A$2:$A$1285,"&lt;"&amp;EDATE(D$1,1))</f>
        <v>711700</v>
      </c>
      <c r="E13" s="47" t="n">
        <f aca="false">SUMIFS(Ledger!$E$2:$E$1285,Ledger!$B$2:$B$1285,$A13,Ledger!$A$2:$A$1285,"&gt;="&amp;E$1,Ledger!$A$2:$A$1285,"&lt;"&amp;EDATE(E$1,1))</f>
        <v>704700</v>
      </c>
      <c r="F13" s="47" t="n">
        <f aca="false">SUMIFS(Ledger!$E$2:$E$1285,Ledger!$B$2:$B$1285,$A13,Ledger!$A$2:$A$1285,"&gt;="&amp;F$1,Ledger!$A$2:$A$1285,"&lt;"&amp;EDATE(F$1,1))</f>
        <v>743900</v>
      </c>
      <c r="G13" s="47" t="n">
        <f aca="false">SUMIFS(Ledger!$E$2:$E$1285,Ledger!$B$2:$B$1285,$A13,Ledger!$A$2:$A$1285,"&gt;="&amp;G$1,Ledger!$A$2:$A$1285,"&lt;"&amp;EDATE(G$1,1))</f>
        <v>759900</v>
      </c>
      <c r="H13" s="47" t="n">
        <f aca="false">SUMIFS(Ledger!$E$2:$E$1285,Ledger!$B$2:$B$1285,$A13,Ledger!$A$2:$A$1285,"&gt;="&amp;H$1,Ledger!$A$2:$A$1285,"&lt;"&amp;EDATE(H$1,1))</f>
        <v>811600</v>
      </c>
      <c r="I13" s="47" t="n">
        <f aca="false">SUMIFS(Ledger!$E$2:$E$1285,Ledger!$B$2:$B$1285,$A13,Ledger!$A$2:$A$1285,"&gt;="&amp;I$1,Ledger!$A$2:$A$1285,"&lt;"&amp;EDATE(I$1,1))</f>
        <v>843600</v>
      </c>
      <c r="J13" s="47" t="n">
        <f aca="false">SUMIFS(Ledger!$E$2:$E$1285,Ledger!$B$2:$B$1285,$A13,Ledger!$A$2:$A$1285,"&gt;="&amp;J$1,Ledger!$A$2:$A$1285,"&lt;"&amp;EDATE(J$1,1))</f>
        <v>892800</v>
      </c>
      <c r="K13" s="47" t="n">
        <f aca="false">SUMIFS(Ledger!$E$2:$E$1285,Ledger!$B$2:$B$1285,$A13,Ledger!$A$2:$A$1285,"&gt;="&amp;K$1,Ledger!$A$2:$A$1285,"&lt;"&amp;EDATE(K$1,1))</f>
        <v>911700</v>
      </c>
      <c r="L13" s="47" t="n">
        <f aca="false">SUMIFS(Budget!$C$2:$C$145,Budget!$B$2:$B$145,$A13,Budget!$A$2:$A$145,L$1)</f>
        <v>700000</v>
      </c>
      <c r="M13" s="47" t="n">
        <f aca="false">SUMIFS(Budget!$C$2:$C$145,Budget!$B$2:$B$145,$A13,Budget!$A$2:$A$145,M$1)</f>
        <v>702000</v>
      </c>
      <c r="N13" s="47" t="n">
        <f aca="false">SUMIFS(Budget!$C$2:$C$145,Budget!$B$2:$B$145,$A13,Budget!$A$2:$A$145,N$1)</f>
        <v>704000</v>
      </c>
      <c r="O13" s="47" t="n">
        <f aca="false">SUMIFS(Budget!$C$2:$C$145,Budget!$B$2:$B$145,$A13,Budget!$A$2:$A$145,O$1)</f>
        <v>706000</v>
      </c>
      <c r="P13" s="47" t="n">
        <f aca="false">SUMIFS(Budget!$C$2:$C$145,Budget!$B$2:$B$145,$A13,Budget!$A$2:$A$145,P$1)</f>
        <v>708000</v>
      </c>
      <c r="Q13" s="47" t="n">
        <f aca="false">SUMIFS(Budget!$C$2:$C$145,Budget!$B$2:$B$145,$A13,Budget!$A$2:$A$145,Q$1)</f>
        <v>710000</v>
      </c>
      <c r="R13" s="47" t="n">
        <f aca="false">SUMIFS(Budget!$C$2:$C$145,Budget!$B$2:$B$145,$A13,Budget!$A$2:$A$145,R$1)</f>
        <v>713000</v>
      </c>
      <c r="S13" s="47" t="n">
        <f aca="false">SUMIFS(Budget!$C$2:$C$145,Budget!$B$2:$B$145,$A13,Budget!$A$2:$A$145,S$1)</f>
        <v>715000</v>
      </c>
      <c r="T13" s="47" t="n">
        <f aca="false">SUMIFS(Budget!$C$2:$C$145,Budget!$B$2:$B$145,$A13,Budget!$A$2:$A$145,T$1)</f>
        <v>717000</v>
      </c>
      <c r="U13" s="47" t="n">
        <f aca="false">SUMIFS(C13:K13,$C$1:$K$1,"&lt;="&amp;Assumptions!$B$4)</f>
        <v>7080600</v>
      </c>
      <c r="V13" s="47" t="n">
        <f aca="false">SUMIFS(L13:T13,$L$1:$T$1,"&lt;="&amp;Assumptions!$B$4)</f>
        <v>6375000</v>
      </c>
      <c r="W13" s="47" t="n">
        <f aca="false">SUMIFS(C13:K13,$C$1:$K$1,Assumptions!$B$4)</f>
        <v>911700</v>
      </c>
      <c r="X13" s="47" t="n">
        <f aca="false">SUMIFS(L13:T13,$L$1:$T$1,Assumptions!$B$4)</f>
        <v>717000</v>
      </c>
      <c r="Y13" s="48" t="n">
        <f aca="false">IF($B13="Revenue",W13-X13,X13-W13)</f>
        <v>-194700</v>
      </c>
      <c r="Z13" s="49" t="n">
        <f aca="false">IFERROR(Y13/X13,0)</f>
        <v>-0.271548117154812</v>
      </c>
      <c r="AA13" s="48" t="n">
        <f aca="false">IF($B13="Revenue",U13-V13,V13-U13)</f>
        <v>-705600</v>
      </c>
      <c r="AB13" s="49" t="n">
        <f aca="false">IFERROR(AA13/V13,0)</f>
        <v>-0.110682352941176</v>
      </c>
      <c r="AC13" s="46" t="str">
        <f aca="false">IF(AND(ABS(Y13)&gt;=Assumptions!$B$5,ABS(Z13)&gt;=Assumptions!$B$6),"Material","")</f>
        <v>Material</v>
      </c>
    </row>
    <row r="14" customFormat="false" ht="15" hidden="false" customHeight="false" outlineLevel="0" collapsed="false">
      <c r="A14" s="46" t="s">
        <v>56</v>
      </c>
      <c r="B14" s="46" t="s">
        <v>103</v>
      </c>
      <c r="C14" s="47" t="n">
        <f aca="false">SUMIFS(Ledger!$E$2:$E$1285,Ledger!$B$2:$B$1285,$A14,Ledger!$A$2:$A$1285,"&gt;="&amp;C$1,Ledger!$A$2:$A$1285,"&lt;"&amp;EDATE(C$1,1))</f>
        <v>268100</v>
      </c>
      <c r="D14" s="47" t="n">
        <f aca="false">SUMIFS(Ledger!$E$2:$E$1285,Ledger!$B$2:$B$1285,$A14,Ledger!$A$2:$A$1285,"&gt;="&amp;D$1,Ledger!$A$2:$A$1285,"&lt;"&amp;EDATE(D$1,1))</f>
        <v>251900</v>
      </c>
      <c r="E14" s="47" t="n">
        <f aca="false">SUMIFS(Ledger!$E$2:$E$1285,Ledger!$B$2:$B$1285,$A14,Ledger!$A$2:$A$1285,"&gt;="&amp;E$1,Ledger!$A$2:$A$1285,"&lt;"&amp;EDATE(E$1,1))</f>
        <v>238100</v>
      </c>
      <c r="F14" s="47" t="n">
        <f aca="false">SUMIFS(Ledger!$E$2:$E$1285,Ledger!$B$2:$B$1285,$A14,Ledger!$A$2:$A$1285,"&gt;="&amp;F$1,Ledger!$A$2:$A$1285,"&lt;"&amp;EDATE(F$1,1))</f>
        <v>239100</v>
      </c>
      <c r="G14" s="47" t="n">
        <f aca="false">SUMIFS(Ledger!$E$2:$E$1285,Ledger!$B$2:$B$1285,$A14,Ledger!$A$2:$A$1285,"&gt;="&amp;G$1,Ledger!$A$2:$A$1285,"&lt;"&amp;EDATE(G$1,1))</f>
        <v>241500</v>
      </c>
      <c r="H14" s="47" t="n">
        <f aca="false">SUMIFS(Ledger!$E$2:$E$1285,Ledger!$B$2:$B$1285,$A14,Ledger!$A$2:$A$1285,"&gt;="&amp;H$1,Ledger!$A$2:$A$1285,"&lt;"&amp;EDATE(H$1,1))</f>
        <v>231300</v>
      </c>
      <c r="I14" s="47" t="n">
        <f aca="false">SUMIFS(Ledger!$E$2:$E$1285,Ledger!$B$2:$B$1285,$A14,Ledger!$A$2:$A$1285,"&gt;="&amp;I$1,Ledger!$A$2:$A$1285,"&lt;"&amp;EDATE(I$1,1))</f>
        <v>228800</v>
      </c>
      <c r="J14" s="47" t="n">
        <f aca="false">SUMIFS(Ledger!$E$2:$E$1285,Ledger!$B$2:$B$1285,$A14,Ledger!$A$2:$A$1285,"&gt;="&amp;J$1,Ledger!$A$2:$A$1285,"&lt;"&amp;EDATE(J$1,1))</f>
        <v>218000</v>
      </c>
      <c r="K14" s="47" t="n">
        <f aca="false">SUMIFS(Ledger!$E$2:$E$1285,Ledger!$B$2:$B$1285,$A14,Ledger!$A$2:$A$1285,"&gt;="&amp;K$1,Ledger!$A$2:$A$1285,"&lt;"&amp;EDATE(K$1,1))</f>
        <v>222100</v>
      </c>
      <c r="L14" s="47" t="n">
        <f aca="false">SUMIFS(Budget!$C$2:$C$145,Budget!$B$2:$B$145,$A14,Budget!$A$2:$A$145,L$1)</f>
        <v>300000</v>
      </c>
      <c r="M14" s="47" t="n">
        <f aca="false">SUMIFS(Budget!$C$2:$C$145,Budget!$B$2:$B$145,$A14,Budget!$A$2:$A$145,M$1)</f>
        <v>301000</v>
      </c>
      <c r="N14" s="47" t="n">
        <f aca="false">SUMIFS(Budget!$C$2:$C$145,Budget!$B$2:$B$145,$A14,Budget!$A$2:$A$145,N$1)</f>
        <v>302000</v>
      </c>
      <c r="O14" s="47" t="n">
        <f aca="false">SUMIFS(Budget!$C$2:$C$145,Budget!$B$2:$B$145,$A14,Budget!$A$2:$A$145,O$1)</f>
        <v>303000</v>
      </c>
      <c r="P14" s="47" t="n">
        <f aca="false">SUMIFS(Budget!$C$2:$C$145,Budget!$B$2:$B$145,$A14,Budget!$A$2:$A$145,P$1)</f>
        <v>304000</v>
      </c>
      <c r="Q14" s="47" t="n">
        <f aca="false">SUMIFS(Budget!$C$2:$C$145,Budget!$B$2:$B$145,$A14,Budget!$A$2:$A$145,Q$1)</f>
        <v>304000</v>
      </c>
      <c r="R14" s="47" t="n">
        <f aca="false">SUMIFS(Budget!$C$2:$C$145,Budget!$B$2:$B$145,$A14,Budget!$A$2:$A$145,R$1)</f>
        <v>305000</v>
      </c>
      <c r="S14" s="47" t="n">
        <f aca="false">SUMIFS(Budget!$C$2:$C$145,Budget!$B$2:$B$145,$A14,Budget!$A$2:$A$145,S$1)</f>
        <v>306000</v>
      </c>
      <c r="T14" s="47" t="n">
        <f aca="false">SUMIFS(Budget!$C$2:$C$145,Budget!$B$2:$B$145,$A14,Budget!$A$2:$A$145,T$1)</f>
        <v>307000</v>
      </c>
      <c r="U14" s="47" t="n">
        <f aca="false">SUMIFS(C14:K14,$C$1:$K$1,"&lt;="&amp;Assumptions!$B$4)</f>
        <v>2138900</v>
      </c>
      <c r="V14" s="47" t="n">
        <f aca="false">SUMIFS(L14:T14,$L$1:$T$1,"&lt;="&amp;Assumptions!$B$4)</f>
        <v>2732000</v>
      </c>
      <c r="W14" s="47" t="n">
        <f aca="false">SUMIFS(C14:K14,$C$1:$K$1,Assumptions!$B$4)</f>
        <v>222100</v>
      </c>
      <c r="X14" s="47" t="n">
        <f aca="false">SUMIFS(L14:T14,$L$1:$T$1,Assumptions!$B$4)</f>
        <v>307000</v>
      </c>
      <c r="Y14" s="48" t="n">
        <f aca="false">IF($B14="Revenue",W14-X14,X14-W14)</f>
        <v>84900</v>
      </c>
      <c r="Z14" s="49" t="n">
        <f aca="false">IFERROR(Y14/X14,0)</f>
        <v>0.276547231270358</v>
      </c>
      <c r="AA14" s="48" t="n">
        <f aca="false">IF($B14="Revenue",U14-V14,V14-U14)</f>
        <v>593100</v>
      </c>
      <c r="AB14" s="49" t="n">
        <f aca="false">IFERROR(AA14/V14,0)</f>
        <v>0.217093704245974</v>
      </c>
      <c r="AC14" s="46" t="str">
        <f aca="false">IF(AND(ABS(Y14)&gt;=Assumptions!$B$5,ABS(Z14)&gt;=Assumptions!$B$6),"Material","")</f>
        <v>Material</v>
      </c>
    </row>
    <row r="15" customFormat="false" ht="15" hidden="false" customHeight="false" outlineLevel="0" collapsed="false">
      <c r="A15" s="46" t="s">
        <v>57</v>
      </c>
      <c r="B15" s="46" t="s">
        <v>103</v>
      </c>
      <c r="C15" s="47" t="n">
        <f aca="false">SUMIFS(Ledger!$E$2:$E$1285,Ledger!$B$2:$B$1285,$A15,Ledger!$A$2:$A$1285,"&gt;="&amp;C$1,Ledger!$A$2:$A$1285,"&lt;"&amp;EDATE(C$1,1))</f>
        <v>91600</v>
      </c>
      <c r="D15" s="47" t="n">
        <f aca="false">SUMIFS(Ledger!$E$2:$E$1285,Ledger!$B$2:$B$1285,$A15,Ledger!$A$2:$A$1285,"&gt;="&amp;D$1,Ledger!$A$2:$A$1285,"&lt;"&amp;EDATE(D$1,1))</f>
        <v>91400</v>
      </c>
      <c r="E15" s="47" t="n">
        <f aca="false">SUMIFS(Ledger!$E$2:$E$1285,Ledger!$B$2:$B$1285,$A15,Ledger!$A$2:$A$1285,"&gt;="&amp;E$1,Ledger!$A$2:$A$1285,"&lt;"&amp;EDATE(E$1,1))</f>
        <v>92700</v>
      </c>
      <c r="F15" s="47" t="n">
        <f aca="false">SUMIFS(Ledger!$E$2:$E$1285,Ledger!$B$2:$B$1285,$A15,Ledger!$A$2:$A$1285,"&gt;="&amp;F$1,Ledger!$A$2:$A$1285,"&lt;"&amp;EDATE(F$1,1))</f>
        <v>91300</v>
      </c>
      <c r="G15" s="47" t="n">
        <f aca="false">SUMIFS(Ledger!$E$2:$E$1285,Ledger!$B$2:$B$1285,$A15,Ledger!$A$2:$A$1285,"&gt;="&amp;G$1,Ledger!$A$2:$A$1285,"&lt;"&amp;EDATE(G$1,1))</f>
        <v>91200</v>
      </c>
      <c r="H15" s="47" t="n">
        <f aca="false">SUMIFS(Ledger!$E$2:$E$1285,Ledger!$B$2:$B$1285,$A15,Ledger!$A$2:$A$1285,"&gt;="&amp;H$1,Ledger!$A$2:$A$1285,"&lt;"&amp;EDATE(H$1,1))</f>
        <v>89300</v>
      </c>
      <c r="I15" s="47" t="n">
        <f aca="false">SUMIFS(Ledger!$E$2:$E$1285,Ledger!$B$2:$B$1285,$A15,Ledger!$A$2:$A$1285,"&gt;="&amp;I$1,Ledger!$A$2:$A$1285,"&lt;"&amp;EDATE(I$1,1))</f>
        <v>93600</v>
      </c>
      <c r="J15" s="47" t="n">
        <f aca="false">SUMIFS(Ledger!$E$2:$E$1285,Ledger!$B$2:$B$1285,$A15,Ledger!$A$2:$A$1285,"&gt;="&amp;J$1,Ledger!$A$2:$A$1285,"&lt;"&amp;EDATE(J$1,1))</f>
        <v>92900</v>
      </c>
      <c r="K15" s="47" t="n">
        <f aca="false">SUMIFS(Ledger!$E$2:$E$1285,Ledger!$B$2:$B$1285,$A15,Ledger!$A$2:$A$1285,"&gt;="&amp;K$1,Ledger!$A$2:$A$1285,"&lt;"&amp;EDATE(K$1,1))</f>
        <v>91500</v>
      </c>
      <c r="L15" s="47" t="n">
        <f aca="false">SUMIFS(Budget!$C$2:$C$145,Budget!$B$2:$B$145,$A15,Budget!$A$2:$A$145,L$1)</f>
        <v>90000</v>
      </c>
      <c r="M15" s="47" t="n">
        <f aca="false">SUMIFS(Budget!$C$2:$C$145,Budget!$B$2:$B$145,$A15,Budget!$A$2:$A$145,M$1)</f>
        <v>90000</v>
      </c>
      <c r="N15" s="47" t="n">
        <f aca="false">SUMIFS(Budget!$C$2:$C$145,Budget!$B$2:$B$145,$A15,Budget!$A$2:$A$145,N$1)</f>
        <v>91000</v>
      </c>
      <c r="O15" s="47" t="n">
        <f aca="false">SUMIFS(Budget!$C$2:$C$145,Budget!$B$2:$B$145,$A15,Budget!$A$2:$A$145,O$1)</f>
        <v>91000</v>
      </c>
      <c r="P15" s="47" t="n">
        <f aca="false">SUMIFS(Budget!$C$2:$C$145,Budget!$B$2:$B$145,$A15,Budget!$A$2:$A$145,P$1)</f>
        <v>91000</v>
      </c>
      <c r="Q15" s="47" t="n">
        <f aca="false">SUMIFS(Budget!$C$2:$C$145,Budget!$B$2:$B$145,$A15,Budget!$A$2:$A$145,Q$1)</f>
        <v>91000</v>
      </c>
      <c r="R15" s="47" t="n">
        <f aca="false">SUMIFS(Budget!$C$2:$C$145,Budget!$B$2:$B$145,$A15,Budget!$A$2:$A$145,R$1)</f>
        <v>92000</v>
      </c>
      <c r="S15" s="47" t="n">
        <f aca="false">SUMIFS(Budget!$C$2:$C$145,Budget!$B$2:$B$145,$A15,Budget!$A$2:$A$145,S$1)</f>
        <v>92000</v>
      </c>
      <c r="T15" s="47" t="n">
        <f aca="false">SUMIFS(Budget!$C$2:$C$145,Budget!$B$2:$B$145,$A15,Budget!$A$2:$A$145,T$1)</f>
        <v>92000</v>
      </c>
      <c r="U15" s="47" t="n">
        <f aca="false">SUMIFS(C15:K15,$C$1:$K$1,"&lt;="&amp;Assumptions!$B$4)</f>
        <v>825500</v>
      </c>
      <c r="V15" s="47" t="n">
        <f aca="false">SUMIFS(L15:T15,$L$1:$T$1,"&lt;="&amp;Assumptions!$B$4)</f>
        <v>820000</v>
      </c>
      <c r="W15" s="47" t="n">
        <f aca="false">SUMIFS(C15:K15,$C$1:$K$1,Assumptions!$B$4)</f>
        <v>91500</v>
      </c>
      <c r="X15" s="47" t="n">
        <f aca="false">SUMIFS(L15:T15,$L$1:$T$1,Assumptions!$B$4)</f>
        <v>92000</v>
      </c>
      <c r="Y15" s="48" t="n">
        <f aca="false">IF($B15="Revenue",W15-X15,X15-W15)</f>
        <v>500</v>
      </c>
      <c r="Z15" s="49" t="n">
        <f aca="false">IFERROR(Y15/X15,0)</f>
        <v>0.00543478260869565</v>
      </c>
      <c r="AA15" s="48" t="n">
        <f aca="false">IF($B15="Revenue",U15-V15,V15-U15)</f>
        <v>-5500</v>
      </c>
      <c r="AB15" s="49" t="n">
        <f aca="false">IFERROR(AA15/V15,0)</f>
        <v>-0.00670731707317073</v>
      </c>
      <c r="AC15" s="46" t="str">
        <f aca="false">IF(AND(ABS(Y15)&gt;=Assumptions!$B$5,ABS(Z15)&gt;=Assumptions!$B$6),"Material","")</f>
        <v/>
      </c>
    </row>
    <row r="16" customFormat="false" ht="15" hidden="false" customHeight="false" outlineLevel="0" collapsed="false">
      <c r="A16" s="46" t="s">
        <v>58</v>
      </c>
      <c r="B16" s="46" t="s">
        <v>103</v>
      </c>
      <c r="C16" s="47" t="n">
        <f aca="false">SUMIFS(Ledger!$E$2:$E$1285,Ledger!$B$2:$B$1285,$A16,Ledger!$A$2:$A$1285,"&gt;="&amp;C$1,Ledger!$A$2:$A$1285,"&lt;"&amp;EDATE(C$1,1))</f>
        <v>63200</v>
      </c>
      <c r="D16" s="47" t="n">
        <f aca="false">SUMIFS(Ledger!$E$2:$E$1285,Ledger!$B$2:$B$1285,$A16,Ledger!$A$2:$A$1285,"&gt;="&amp;D$1,Ledger!$A$2:$A$1285,"&lt;"&amp;EDATE(D$1,1))</f>
        <v>63000</v>
      </c>
      <c r="E16" s="47" t="n">
        <f aca="false">SUMIFS(Ledger!$E$2:$E$1285,Ledger!$B$2:$B$1285,$A16,Ledger!$A$2:$A$1285,"&gt;="&amp;E$1,Ledger!$A$2:$A$1285,"&lt;"&amp;EDATE(E$1,1))</f>
        <v>65000</v>
      </c>
      <c r="F16" s="47" t="n">
        <f aca="false">SUMIFS(Ledger!$E$2:$E$1285,Ledger!$B$2:$B$1285,$A16,Ledger!$A$2:$A$1285,"&gt;="&amp;F$1,Ledger!$A$2:$A$1285,"&lt;"&amp;EDATE(F$1,1))</f>
        <v>68400</v>
      </c>
      <c r="G16" s="47" t="n">
        <f aca="false">SUMIFS(Ledger!$E$2:$E$1285,Ledger!$B$2:$B$1285,$A16,Ledger!$A$2:$A$1285,"&gt;="&amp;G$1,Ledger!$A$2:$A$1285,"&lt;"&amp;EDATE(G$1,1))</f>
        <v>67300</v>
      </c>
      <c r="H16" s="47" t="n">
        <f aca="false">SUMIFS(Ledger!$E$2:$E$1285,Ledger!$B$2:$B$1285,$A16,Ledger!$A$2:$A$1285,"&gt;="&amp;H$1,Ledger!$A$2:$A$1285,"&lt;"&amp;EDATE(H$1,1))</f>
        <v>68900</v>
      </c>
      <c r="I16" s="47" t="n">
        <f aca="false">SUMIFS(Ledger!$E$2:$E$1285,Ledger!$B$2:$B$1285,$A16,Ledger!$A$2:$A$1285,"&gt;="&amp;I$1,Ledger!$A$2:$A$1285,"&lt;"&amp;EDATE(I$1,1))</f>
        <v>69000</v>
      </c>
      <c r="J16" s="47" t="n">
        <f aca="false">SUMIFS(Ledger!$E$2:$E$1285,Ledger!$B$2:$B$1285,$A16,Ledger!$A$2:$A$1285,"&gt;="&amp;J$1,Ledger!$A$2:$A$1285,"&lt;"&amp;EDATE(J$1,1))</f>
        <v>69200</v>
      </c>
      <c r="K16" s="47" t="n">
        <f aca="false">SUMIFS(Ledger!$E$2:$E$1285,Ledger!$B$2:$B$1285,$A16,Ledger!$A$2:$A$1285,"&gt;="&amp;K$1,Ledger!$A$2:$A$1285,"&lt;"&amp;EDATE(K$1,1))</f>
        <v>71600</v>
      </c>
      <c r="L16" s="47" t="n">
        <f aca="false">SUMIFS(Budget!$C$2:$C$145,Budget!$B$2:$B$145,$A16,Budget!$A$2:$A$145,L$1)</f>
        <v>60000</v>
      </c>
      <c r="M16" s="47" t="n">
        <f aca="false">SUMIFS(Budget!$C$2:$C$145,Budget!$B$2:$B$145,$A16,Budget!$A$2:$A$145,M$1)</f>
        <v>60000</v>
      </c>
      <c r="N16" s="47" t="n">
        <f aca="false">SUMIFS(Budget!$C$2:$C$145,Budget!$B$2:$B$145,$A16,Budget!$A$2:$A$145,N$1)</f>
        <v>60000</v>
      </c>
      <c r="O16" s="47" t="n">
        <f aca="false">SUMIFS(Budget!$C$2:$C$145,Budget!$B$2:$B$145,$A16,Budget!$A$2:$A$145,O$1)</f>
        <v>61000</v>
      </c>
      <c r="P16" s="47" t="n">
        <f aca="false">SUMIFS(Budget!$C$2:$C$145,Budget!$B$2:$B$145,$A16,Budget!$A$2:$A$145,P$1)</f>
        <v>61000</v>
      </c>
      <c r="Q16" s="47" t="n">
        <f aca="false">SUMIFS(Budget!$C$2:$C$145,Budget!$B$2:$B$145,$A16,Budget!$A$2:$A$145,Q$1)</f>
        <v>61000</v>
      </c>
      <c r="R16" s="47" t="n">
        <f aca="false">SUMIFS(Budget!$C$2:$C$145,Budget!$B$2:$B$145,$A16,Budget!$A$2:$A$145,R$1)</f>
        <v>61000</v>
      </c>
      <c r="S16" s="47" t="n">
        <f aca="false">SUMIFS(Budget!$C$2:$C$145,Budget!$B$2:$B$145,$A16,Budget!$A$2:$A$145,S$1)</f>
        <v>61000</v>
      </c>
      <c r="T16" s="47" t="n">
        <f aca="false">SUMIFS(Budget!$C$2:$C$145,Budget!$B$2:$B$145,$A16,Budget!$A$2:$A$145,T$1)</f>
        <v>61000</v>
      </c>
      <c r="U16" s="47" t="n">
        <f aca="false">SUMIFS(C16:K16,$C$1:$K$1,"&lt;="&amp;Assumptions!$B$4)</f>
        <v>605600</v>
      </c>
      <c r="V16" s="47" t="n">
        <f aca="false">SUMIFS(L16:T16,$L$1:$T$1,"&lt;="&amp;Assumptions!$B$4)</f>
        <v>546000</v>
      </c>
      <c r="W16" s="47" t="n">
        <f aca="false">SUMIFS(C16:K16,$C$1:$K$1,Assumptions!$B$4)</f>
        <v>71600</v>
      </c>
      <c r="X16" s="47" t="n">
        <f aca="false">SUMIFS(L16:T16,$L$1:$T$1,Assumptions!$B$4)</f>
        <v>61000</v>
      </c>
      <c r="Y16" s="48" t="n">
        <f aca="false">IF($B16="Revenue",W16-X16,X16-W16)</f>
        <v>-10600</v>
      </c>
      <c r="Z16" s="49" t="n">
        <f aca="false">IFERROR(Y16/X16,0)</f>
        <v>-0.173770491803279</v>
      </c>
      <c r="AA16" s="48" t="n">
        <f aca="false">IF($B16="Revenue",U16-V16,V16-U16)</f>
        <v>-59600</v>
      </c>
      <c r="AB16" s="49" t="n">
        <f aca="false">IFERROR(AA16/V16,0)</f>
        <v>-0.109157509157509</v>
      </c>
      <c r="AC16" s="46" t="str">
        <f aca="false">IF(AND(ABS(Y16)&gt;=Assumptions!$B$5,ABS(Z16)&gt;=Assumptions!$B$6),"Material","")</f>
        <v/>
      </c>
    </row>
    <row r="17" customFormat="false" ht="15" hidden="false" customHeight="false" outlineLevel="0" collapsed="false">
      <c r="A17" s="46" t="s">
        <v>59</v>
      </c>
      <c r="B17" s="46" t="s">
        <v>103</v>
      </c>
      <c r="C17" s="47" t="n">
        <f aca="false">SUMIFS(Ledger!$E$2:$E$1285,Ledger!$B$2:$B$1285,$A17,Ledger!$A$2:$A$1285,"&gt;="&amp;C$1,Ledger!$A$2:$A$1285,"&lt;"&amp;EDATE(C$1,1))</f>
        <v>95100</v>
      </c>
      <c r="D17" s="47" t="n">
        <f aca="false">SUMIFS(Ledger!$E$2:$E$1285,Ledger!$B$2:$B$1285,$A17,Ledger!$A$2:$A$1285,"&gt;="&amp;D$1,Ledger!$A$2:$A$1285,"&lt;"&amp;EDATE(D$1,1))</f>
        <v>106900</v>
      </c>
      <c r="E17" s="47" t="n">
        <f aca="false">SUMIFS(Ledger!$E$2:$E$1285,Ledger!$B$2:$B$1285,$A17,Ledger!$A$2:$A$1285,"&gt;="&amp;E$1,Ledger!$A$2:$A$1285,"&lt;"&amp;EDATE(E$1,1))</f>
        <v>84000</v>
      </c>
      <c r="F17" s="47" t="n">
        <f aca="false">SUMIFS(Ledger!$E$2:$E$1285,Ledger!$B$2:$B$1285,$A17,Ledger!$A$2:$A$1285,"&gt;="&amp;F$1,Ledger!$A$2:$A$1285,"&lt;"&amp;EDATE(F$1,1))</f>
        <v>120100</v>
      </c>
      <c r="G17" s="47" t="n">
        <f aca="false">SUMIFS(Ledger!$E$2:$E$1285,Ledger!$B$2:$B$1285,$A17,Ledger!$A$2:$A$1285,"&gt;="&amp;G$1,Ledger!$A$2:$A$1285,"&lt;"&amp;EDATE(G$1,1))</f>
        <v>131900</v>
      </c>
      <c r="H17" s="47" t="n">
        <f aca="false">SUMIFS(Ledger!$E$2:$E$1285,Ledger!$B$2:$B$1285,$A17,Ledger!$A$2:$A$1285,"&gt;="&amp;H$1,Ledger!$A$2:$A$1285,"&lt;"&amp;EDATE(H$1,1))</f>
        <v>108600</v>
      </c>
      <c r="I17" s="47" t="n">
        <f aca="false">SUMIFS(Ledger!$E$2:$E$1285,Ledger!$B$2:$B$1285,$A17,Ledger!$A$2:$A$1285,"&gt;="&amp;I$1,Ledger!$A$2:$A$1285,"&lt;"&amp;EDATE(I$1,1))</f>
        <v>124000</v>
      </c>
      <c r="J17" s="47" t="n">
        <f aca="false">SUMIFS(Ledger!$E$2:$E$1285,Ledger!$B$2:$B$1285,$A17,Ledger!$A$2:$A$1285,"&gt;="&amp;J$1,Ledger!$A$2:$A$1285,"&lt;"&amp;EDATE(J$1,1))</f>
        <v>232200</v>
      </c>
      <c r="K17" s="47" t="n">
        <f aca="false">SUMIFS(Ledger!$E$2:$E$1285,Ledger!$B$2:$B$1285,$A17,Ledger!$A$2:$A$1285,"&gt;="&amp;K$1,Ledger!$A$2:$A$1285,"&lt;"&amp;EDATE(K$1,1))</f>
        <v>145400</v>
      </c>
      <c r="L17" s="47" t="n">
        <f aca="false">SUMIFS(Budget!$C$2:$C$145,Budget!$B$2:$B$145,$A17,Budget!$A$2:$A$145,L$1)</f>
        <v>120000</v>
      </c>
      <c r="M17" s="47" t="n">
        <f aca="false">SUMIFS(Budget!$C$2:$C$145,Budget!$B$2:$B$145,$A17,Budget!$A$2:$A$145,M$1)</f>
        <v>120000</v>
      </c>
      <c r="N17" s="47" t="n">
        <f aca="false">SUMIFS(Budget!$C$2:$C$145,Budget!$B$2:$B$145,$A17,Budget!$A$2:$A$145,N$1)</f>
        <v>121000</v>
      </c>
      <c r="O17" s="47" t="n">
        <f aca="false">SUMIFS(Budget!$C$2:$C$145,Budget!$B$2:$B$145,$A17,Budget!$A$2:$A$145,O$1)</f>
        <v>121000</v>
      </c>
      <c r="P17" s="47" t="n">
        <f aca="false">SUMIFS(Budget!$C$2:$C$145,Budget!$B$2:$B$145,$A17,Budget!$A$2:$A$145,P$1)</f>
        <v>121000</v>
      </c>
      <c r="Q17" s="47" t="n">
        <f aca="false">SUMIFS(Budget!$C$2:$C$145,Budget!$B$2:$B$145,$A17,Budget!$A$2:$A$145,Q$1)</f>
        <v>122000</v>
      </c>
      <c r="R17" s="47" t="n">
        <f aca="false">SUMIFS(Budget!$C$2:$C$145,Budget!$B$2:$B$145,$A17,Budget!$A$2:$A$145,R$1)</f>
        <v>122000</v>
      </c>
      <c r="S17" s="47" t="n">
        <f aca="false">SUMIFS(Budget!$C$2:$C$145,Budget!$B$2:$B$145,$A17,Budget!$A$2:$A$145,S$1)</f>
        <v>123000</v>
      </c>
      <c r="T17" s="47" t="n">
        <f aca="false">SUMIFS(Budget!$C$2:$C$145,Budget!$B$2:$B$145,$A17,Budget!$A$2:$A$145,T$1)</f>
        <v>123000</v>
      </c>
      <c r="U17" s="47" t="n">
        <f aca="false">SUMIFS(C17:K17,$C$1:$K$1,"&lt;="&amp;Assumptions!$B$4)</f>
        <v>1148200</v>
      </c>
      <c r="V17" s="47" t="n">
        <f aca="false">SUMIFS(L17:T17,$L$1:$T$1,"&lt;="&amp;Assumptions!$B$4)</f>
        <v>1093000</v>
      </c>
      <c r="W17" s="47" t="n">
        <f aca="false">SUMIFS(C17:K17,$C$1:$K$1,Assumptions!$B$4)</f>
        <v>145400</v>
      </c>
      <c r="X17" s="47" t="n">
        <f aca="false">SUMIFS(L17:T17,$L$1:$T$1,Assumptions!$B$4)</f>
        <v>123000</v>
      </c>
      <c r="Y17" s="48" t="n">
        <f aca="false">IF($B17="Revenue",W17-X17,X17-W17)</f>
        <v>-22400</v>
      </c>
      <c r="Z17" s="49" t="n">
        <f aca="false">IFERROR(Y17/X17,0)</f>
        <v>-0.182113821138211</v>
      </c>
      <c r="AA17" s="48" t="n">
        <f aca="false">IF($B17="Revenue",U17-V17,V17-U17)</f>
        <v>-55200</v>
      </c>
      <c r="AB17" s="49" t="n">
        <f aca="false">IFERROR(AA17/V17,0)</f>
        <v>-0.0505032021957914</v>
      </c>
      <c r="AC17" s="46" t="str">
        <f aca="false">IF(AND(ABS(Y17)&gt;=Assumptions!$B$5,ABS(Z17)&gt;=Assumptions!$B$6),"Material","")</f>
        <v/>
      </c>
    </row>
    <row r="19" customFormat="false" ht="15" hidden="false" customHeight="false" outlineLevel="0" collapsed="false">
      <c r="A19" s="50" t="s">
        <v>48</v>
      </c>
      <c r="C19" s="51" t="n">
        <f aca="false">SUMIFS(C$2:C$17,$B$2:$B$17,"Revenue")</f>
        <v>25538600</v>
      </c>
      <c r="D19" s="51" t="n">
        <f aca="false">SUMIFS(D$2:D$17,$B$2:$B$17,"Revenue")</f>
        <v>25829500</v>
      </c>
      <c r="E19" s="51" t="n">
        <f aca="false">SUMIFS(E$2:E$17,$B$2:$B$17,"Revenue")</f>
        <v>26000500</v>
      </c>
      <c r="F19" s="51" t="n">
        <f aca="false">SUMIFS(F$2:F$17,$B$2:$B$17,"Revenue")</f>
        <v>26671500</v>
      </c>
      <c r="G19" s="51" t="n">
        <f aca="false">SUMIFS(G$2:G$17,$B$2:$B$17,"Revenue")</f>
        <v>26577800</v>
      </c>
      <c r="H19" s="51" t="n">
        <f aca="false">SUMIFS(H$2:H$17,$B$2:$B$17,"Revenue")</f>
        <v>26994200</v>
      </c>
      <c r="I19" s="51" t="n">
        <f aca="false">SUMIFS(I$2:I$17,$B$2:$B$17,"Revenue")</f>
        <v>27253700</v>
      </c>
      <c r="J19" s="51" t="n">
        <f aca="false">SUMIFS(J$2:J$17,$B$2:$B$17,"Revenue")</f>
        <v>26807600</v>
      </c>
      <c r="K19" s="51" t="n">
        <f aca="false">SUMIFS(K$2:K$17,$B$2:$B$17,"Revenue")</f>
        <v>27293500</v>
      </c>
      <c r="L19" s="51" t="n">
        <f aca="false">SUMIFS(L$2:L$17,$B$2:$B$17,"Revenue")</f>
        <v>25000000</v>
      </c>
      <c r="M19" s="51" t="n">
        <f aca="false">SUMIFS(M$2:M$17,$B$2:$B$17,"Revenue")</f>
        <v>25300000</v>
      </c>
      <c r="N19" s="51" t="n">
        <f aca="false">SUMIFS(N$2:N$17,$B$2:$B$17,"Revenue")</f>
        <v>25600000</v>
      </c>
      <c r="O19" s="51" t="n">
        <f aca="false">SUMIFS(O$2:O$17,$B$2:$B$17,"Revenue")</f>
        <v>25900000</v>
      </c>
      <c r="P19" s="51" t="n">
        <f aca="false">SUMIFS(P$2:P$17,$B$2:$B$17,"Revenue")</f>
        <v>26200000</v>
      </c>
      <c r="Q19" s="51" t="n">
        <f aca="false">SUMIFS(Q$2:Q$17,$B$2:$B$17,"Revenue")</f>
        <v>26500000</v>
      </c>
      <c r="R19" s="51" t="n">
        <f aca="false">SUMIFS(R$2:R$17,$B$2:$B$17,"Revenue")</f>
        <v>26800000</v>
      </c>
      <c r="S19" s="51" t="n">
        <f aca="false">SUMIFS(S$2:S$17,$B$2:$B$17,"Revenue")</f>
        <v>27100000</v>
      </c>
      <c r="T19" s="51" t="n">
        <f aca="false">SUMIFS(T$2:T$17,$B$2:$B$17,"Revenue")</f>
        <v>27400000</v>
      </c>
      <c r="U19" s="51" t="n">
        <f aca="false">SUMIFS(U$2:U$17,$B$2:$B$17,"Revenue")</f>
        <v>238966900</v>
      </c>
      <c r="V19" s="51" t="n">
        <f aca="false">SUMIFS(V$2:V$17,$B$2:$B$17,"Revenue")</f>
        <v>235800000</v>
      </c>
      <c r="W19" s="51" t="n">
        <f aca="false">SUMIFS(W$2:W$17,$B$2:$B$17,"Revenue")</f>
        <v>27293500</v>
      </c>
      <c r="X19" s="51" t="n">
        <f aca="false">SUMIFS(X$2:X$17,$B$2:$B$17,"Revenue")</f>
        <v>27400000</v>
      </c>
    </row>
    <row r="20" customFormat="false" ht="15" hidden="false" customHeight="false" outlineLevel="0" collapsed="false">
      <c r="A20" s="50" t="s">
        <v>49</v>
      </c>
      <c r="C20" s="51" t="n">
        <f aca="false">SUMIFS(C$2:C$17,$B$2:$B$17,"Cost of sales")</f>
        <v>20976200</v>
      </c>
      <c r="D20" s="51" t="n">
        <f aca="false">SUMIFS(D$2:D$17,$B$2:$B$17,"Cost of sales")</f>
        <v>21144300</v>
      </c>
      <c r="E20" s="51" t="n">
        <f aca="false">SUMIFS(E$2:E$17,$B$2:$B$17,"Cost of sales")</f>
        <v>21293000</v>
      </c>
      <c r="F20" s="51" t="n">
        <f aca="false">SUMIFS(F$2:F$17,$B$2:$B$17,"Cost of sales")</f>
        <v>21939100</v>
      </c>
      <c r="G20" s="51" t="n">
        <f aca="false">SUMIFS(G$2:G$17,$B$2:$B$17,"Cost of sales")</f>
        <v>21919000</v>
      </c>
      <c r="H20" s="51" t="n">
        <f aca="false">SUMIFS(H$2:H$17,$B$2:$B$17,"Cost of sales")</f>
        <v>22324500</v>
      </c>
      <c r="I20" s="51" t="n">
        <f aca="false">SUMIFS(I$2:I$17,$B$2:$B$17,"Cost of sales")</f>
        <v>22647700</v>
      </c>
      <c r="J20" s="51" t="n">
        <f aca="false">SUMIFS(J$2:J$17,$B$2:$B$17,"Cost of sales")</f>
        <v>22323600</v>
      </c>
      <c r="K20" s="51" t="n">
        <f aca="false">SUMIFS(K$2:K$17,$B$2:$B$17,"Cost of sales")</f>
        <v>22791000</v>
      </c>
      <c r="L20" s="51" t="n">
        <f aca="false">SUMIFS(L$2:L$17,$B$2:$B$17,"Cost of sales")</f>
        <v>20500000</v>
      </c>
      <c r="M20" s="51" t="n">
        <f aca="false">SUMIFS(M$2:M$17,$B$2:$B$17,"Cost of sales")</f>
        <v>20746000</v>
      </c>
      <c r="N20" s="51" t="n">
        <f aca="false">SUMIFS(N$2:N$17,$B$2:$B$17,"Cost of sales")</f>
        <v>20992000</v>
      </c>
      <c r="O20" s="51" t="n">
        <f aca="false">SUMIFS(O$2:O$17,$B$2:$B$17,"Cost of sales")</f>
        <v>21237000</v>
      </c>
      <c r="P20" s="51" t="n">
        <f aca="false">SUMIFS(P$2:P$17,$B$2:$B$17,"Cost of sales")</f>
        <v>21484000</v>
      </c>
      <c r="Q20" s="51" t="n">
        <f aca="false">SUMIFS(Q$2:Q$17,$B$2:$B$17,"Cost of sales")</f>
        <v>21730000</v>
      </c>
      <c r="R20" s="51" t="n">
        <f aca="false">SUMIFS(R$2:R$17,$B$2:$B$17,"Cost of sales")</f>
        <v>21975000</v>
      </c>
      <c r="S20" s="51" t="n">
        <f aca="false">SUMIFS(S$2:S$17,$B$2:$B$17,"Cost of sales")</f>
        <v>22223000</v>
      </c>
      <c r="T20" s="51" t="n">
        <f aca="false">SUMIFS(T$2:T$17,$B$2:$B$17,"Cost of sales")</f>
        <v>22468000</v>
      </c>
      <c r="U20" s="51" t="n">
        <f aca="false">SUMIFS(U$2:U$17,$B$2:$B$17,"Cost of sales")</f>
        <v>197358400</v>
      </c>
      <c r="V20" s="51" t="n">
        <f aca="false">SUMIFS(V$2:V$17,$B$2:$B$17,"Cost of sales")</f>
        <v>193355000</v>
      </c>
      <c r="W20" s="51" t="n">
        <f aca="false">SUMIFS(W$2:W$17,$B$2:$B$17,"Cost of sales")</f>
        <v>22791000</v>
      </c>
      <c r="X20" s="51" t="n">
        <f aca="false">SUMIFS(X$2:X$17,$B$2:$B$17,"Cost of sales")</f>
        <v>22468000</v>
      </c>
    </row>
    <row r="21" customFormat="false" ht="15" hidden="false" customHeight="false" outlineLevel="0" collapsed="false">
      <c r="A21" s="50" t="s">
        <v>50</v>
      </c>
      <c r="C21" s="51" t="n">
        <f aca="false">C19-C20</f>
        <v>4562400</v>
      </c>
      <c r="D21" s="51" t="n">
        <f aca="false">D19-D20</f>
        <v>4685200</v>
      </c>
      <c r="E21" s="51" t="n">
        <f aca="false">E19-E20</f>
        <v>4707500</v>
      </c>
      <c r="F21" s="51" t="n">
        <f aca="false">F19-F20</f>
        <v>4732400</v>
      </c>
      <c r="G21" s="51" t="n">
        <f aca="false">G19-G20</f>
        <v>4658800</v>
      </c>
      <c r="H21" s="51" t="n">
        <f aca="false">H19-H20</f>
        <v>4669700</v>
      </c>
      <c r="I21" s="51" t="n">
        <f aca="false">I19-I20</f>
        <v>4606000</v>
      </c>
      <c r="J21" s="51" t="n">
        <f aca="false">J19-J20</f>
        <v>4484000</v>
      </c>
      <c r="K21" s="51" t="n">
        <f aca="false">K19-K20</f>
        <v>4502500</v>
      </c>
      <c r="L21" s="51" t="n">
        <f aca="false">L19-L20</f>
        <v>4500000</v>
      </c>
      <c r="M21" s="51" t="n">
        <f aca="false">M19-M20</f>
        <v>4554000</v>
      </c>
      <c r="N21" s="51" t="n">
        <f aca="false">N19-N20</f>
        <v>4608000</v>
      </c>
      <c r="O21" s="51" t="n">
        <f aca="false">O19-O20</f>
        <v>4663000</v>
      </c>
      <c r="P21" s="51" t="n">
        <f aca="false">P19-P20</f>
        <v>4716000</v>
      </c>
      <c r="Q21" s="51" t="n">
        <f aca="false">Q19-Q20</f>
        <v>4770000</v>
      </c>
      <c r="R21" s="51" t="n">
        <f aca="false">R19-R20</f>
        <v>4825000</v>
      </c>
      <c r="S21" s="51" t="n">
        <f aca="false">S19-S20</f>
        <v>4877000</v>
      </c>
      <c r="T21" s="51" t="n">
        <f aca="false">T19-T20</f>
        <v>4932000</v>
      </c>
      <c r="U21" s="51" t="n">
        <f aca="false">U19-U20</f>
        <v>41608500</v>
      </c>
      <c r="V21" s="51" t="n">
        <f aca="false">V19-V20</f>
        <v>42445000</v>
      </c>
      <c r="W21" s="51" t="n">
        <f aca="false">W19-W20</f>
        <v>4502500</v>
      </c>
      <c r="X21" s="51" t="n">
        <f aca="false">X19-X20</f>
        <v>4932000</v>
      </c>
    </row>
    <row r="22" customFormat="false" ht="15" hidden="false" customHeight="false" outlineLevel="0" collapsed="false">
      <c r="A22" s="50" t="s">
        <v>60</v>
      </c>
      <c r="C22" s="51" t="n">
        <f aca="false">SUMIFS(C$2:C$17,$B$2:$B$17,"Operating expense")</f>
        <v>3552100</v>
      </c>
      <c r="D22" s="51" t="n">
        <f aca="false">SUMIFS(D$2:D$17,$B$2:$B$17,"Operating expense")</f>
        <v>3567600</v>
      </c>
      <c r="E22" s="51" t="n">
        <f aca="false">SUMIFS(E$2:E$17,$B$2:$B$17,"Operating expense")</f>
        <v>3503500</v>
      </c>
      <c r="F22" s="51" t="n">
        <f aca="false">SUMIFS(F$2:F$17,$B$2:$B$17,"Operating expense")</f>
        <v>3594400</v>
      </c>
      <c r="G22" s="51" t="n">
        <f aca="false">SUMIFS(G$2:G$17,$B$2:$B$17,"Operating expense")</f>
        <v>3628500</v>
      </c>
      <c r="H22" s="51" t="n">
        <f aca="false">SUMIFS(H$2:H$17,$B$2:$B$17,"Operating expense")</f>
        <v>3688400</v>
      </c>
      <c r="I22" s="51" t="n">
        <f aca="false">SUMIFS(I$2:I$17,$B$2:$B$17,"Operating expense")</f>
        <v>3760500</v>
      </c>
      <c r="J22" s="51" t="n">
        <f aca="false">SUMIFS(J$2:J$17,$B$2:$B$17,"Operating expense")</f>
        <v>3925800</v>
      </c>
      <c r="K22" s="51" t="n">
        <f aca="false">SUMIFS(K$2:K$17,$B$2:$B$17,"Operating expense")</f>
        <v>3889800</v>
      </c>
      <c r="L22" s="51" t="n">
        <f aca="false">SUMIFS(L$2:L$17,$B$2:$B$17,"Operating expense")</f>
        <v>3570000</v>
      </c>
      <c r="M22" s="51" t="n">
        <f aca="false">SUMIFS(M$2:M$17,$B$2:$B$17,"Operating expense")</f>
        <v>3580000</v>
      </c>
      <c r="N22" s="51" t="n">
        <f aca="false">SUMIFS(N$2:N$17,$B$2:$B$17,"Operating expense")</f>
        <v>3592000</v>
      </c>
      <c r="O22" s="51" t="n">
        <f aca="false">SUMIFS(O$2:O$17,$B$2:$B$17,"Operating expense")</f>
        <v>3602000</v>
      </c>
      <c r="P22" s="51" t="n">
        <f aca="false">SUMIFS(P$2:P$17,$B$2:$B$17,"Operating expense")</f>
        <v>3613000</v>
      </c>
      <c r="Q22" s="51" t="n">
        <f aca="false">SUMIFS(Q$2:Q$17,$B$2:$B$17,"Operating expense")</f>
        <v>3622000</v>
      </c>
      <c r="R22" s="51" t="n">
        <f aca="false">SUMIFS(R$2:R$17,$B$2:$B$17,"Operating expense")</f>
        <v>3635000</v>
      </c>
      <c r="S22" s="51" t="n">
        <f aca="false">SUMIFS(S$2:S$17,$B$2:$B$17,"Operating expense")</f>
        <v>3646000</v>
      </c>
      <c r="T22" s="51" t="n">
        <f aca="false">SUMIFS(T$2:T$17,$B$2:$B$17,"Operating expense")</f>
        <v>3655000</v>
      </c>
      <c r="U22" s="51" t="n">
        <f aca="false">SUMIFS(U$2:U$17,$B$2:$B$17,"Operating expense")</f>
        <v>33110600</v>
      </c>
      <c r="V22" s="51" t="n">
        <f aca="false">SUMIFS(V$2:V$17,$B$2:$B$17,"Operating expense")</f>
        <v>32515000</v>
      </c>
      <c r="W22" s="51" t="n">
        <f aca="false">SUMIFS(W$2:W$17,$B$2:$B$17,"Operating expense")</f>
        <v>3889800</v>
      </c>
      <c r="X22" s="51" t="n">
        <f aca="false">SUMIFS(X$2:X$17,$B$2:$B$17,"Operating expense")</f>
        <v>3655000</v>
      </c>
    </row>
    <row r="23" customFormat="false" ht="15" hidden="false" customHeight="false" outlineLevel="0" collapsed="false">
      <c r="A23" s="50" t="s">
        <v>61</v>
      </c>
      <c r="C23" s="51" t="n">
        <f aca="false">C21-C22</f>
        <v>1010300</v>
      </c>
      <c r="D23" s="51" t="n">
        <f aca="false">D21-D22</f>
        <v>1117600</v>
      </c>
      <c r="E23" s="51" t="n">
        <f aca="false">E21-E22</f>
        <v>1204000</v>
      </c>
      <c r="F23" s="51" t="n">
        <f aca="false">F21-F22</f>
        <v>1138000</v>
      </c>
      <c r="G23" s="51" t="n">
        <f aca="false">G21-G22</f>
        <v>1030300</v>
      </c>
      <c r="H23" s="51" t="n">
        <f aca="false">H21-H22</f>
        <v>981300</v>
      </c>
      <c r="I23" s="51" t="n">
        <f aca="false">I21-I22</f>
        <v>845500</v>
      </c>
      <c r="J23" s="51" t="n">
        <f aca="false">J21-J22</f>
        <v>558200</v>
      </c>
      <c r="K23" s="51" t="n">
        <f aca="false">K21-K22</f>
        <v>612700</v>
      </c>
      <c r="L23" s="51" t="n">
        <f aca="false">L21-L22</f>
        <v>930000</v>
      </c>
      <c r="M23" s="51" t="n">
        <f aca="false">M21-M22</f>
        <v>974000</v>
      </c>
      <c r="N23" s="51" t="n">
        <f aca="false">N21-N22</f>
        <v>1016000</v>
      </c>
      <c r="O23" s="51" t="n">
        <f aca="false">O21-O22</f>
        <v>1061000</v>
      </c>
      <c r="P23" s="51" t="n">
        <f aca="false">P21-P22</f>
        <v>1103000</v>
      </c>
      <c r="Q23" s="51" t="n">
        <f aca="false">Q21-Q22</f>
        <v>1148000</v>
      </c>
      <c r="R23" s="51" t="n">
        <f aca="false">R21-R22</f>
        <v>1190000</v>
      </c>
      <c r="S23" s="51" t="n">
        <f aca="false">S21-S22</f>
        <v>1231000</v>
      </c>
      <c r="T23" s="51" t="n">
        <f aca="false">T21-T22</f>
        <v>1277000</v>
      </c>
      <c r="U23" s="51" t="n">
        <f aca="false">U21-U22</f>
        <v>8497900</v>
      </c>
      <c r="V23" s="51" t="n">
        <f aca="false">V21-V22</f>
        <v>9930000</v>
      </c>
      <c r="W23" s="51" t="n">
        <f aca="false">W21-W22</f>
        <v>612700</v>
      </c>
      <c r="X23" s="51" t="n">
        <f aca="false">X21-X22</f>
        <v>1277000</v>
      </c>
    </row>
    <row r="24" customFormat="false" ht="15" hidden="false" customHeight="false" outlineLevel="0" collapsed="false">
      <c r="A24" s="50" t="s">
        <v>51</v>
      </c>
      <c r="C24" s="52" t="n">
        <f aca="false">IFERROR(C21/C19,0)</f>
        <v>0.178647224201797</v>
      </c>
      <c r="D24" s="52" t="n">
        <f aca="false">IFERROR(D21/D19,0)</f>
        <v>0.181389496505933</v>
      </c>
      <c r="E24" s="52" t="n">
        <f aca="false">IFERROR(E21/E19,0)</f>
        <v>0.181054210495952</v>
      </c>
      <c r="F24" s="52" t="n">
        <f aca="false">IFERROR(F21/F19,0)</f>
        <v>0.177432840297696</v>
      </c>
      <c r="G24" s="52" t="n">
        <f aca="false">IFERROR(G21/G19,0)</f>
        <v>0.175289151096028</v>
      </c>
      <c r="H24" s="52" t="n">
        <f aca="false">IFERROR(H21/H19,0)</f>
        <v>0.172989012454527</v>
      </c>
      <c r="I24" s="52" t="n">
        <f aca="false">IFERROR(I21/I19,0)</f>
        <v>0.169004575525525</v>
      </c>
      <c r="J24" s="52" t="n">
        <f aca="false">IFERROR(J21/J19,0)</f>
        <v>0.167265999194258</v>
      </c>
      <c r="K24" s="52" t="n">
        <f aca="false">IFERROR(K21/K19,0)</f>
        <v>0.164966017549966</v>
      </c>
      <c r="L24" s="52" t="n">
        <f aca="false">IFERROR(L21/L19,0)</f>
        <v>0.18</v>
      </c>
      <c r="M24" s="52" t="n">
        <f aca="false">IFERROR(M21/M19,0)</f>
        <v>0.18</v>
      </c>
      <c r="N24" s="52" t="n">
        <f aca="false">IFERROR(N21/N19,0)</f>
        <v>0.18</v>
      </c>
      <c r="O24" s="52" t="n">
        <f aca="false">IFERROR(O21/O19,0)</f>
        <v>0.18003861003861</v>
      </c>
      <c r="P24" s="52" t="n">
        <f aca="false">IFERROR(P21/P19,0)</f>
        <v>0.18</v>
      </c>
      <c r="Q24" s="52" t="n">
        <f aca="false">IFERROR(Q21/Q19,0)</f>
        <v>0.18</v>
      </c>
      <c r="R24" s="52" t="n">
        <f aca="false">IFERROR(R21/R19,0)</f>
        <v>0.180037313432836</v>
      </c>
      <c r="S24" s="52" t="n">
        <f aca="false">IFERROR(S21/S19,0)</f>
        <v>0.179963099630996</v>
      </c>
      <c r="T24" s="52" t="n">
        <f aca="false">IFERROR(T21/T19,0)</f>
        <v>0.18</v>
      </c>
      <c r="U24" s="52" t="n">
        <f aca="false">IFERROR(U21/U19,0)</f>
        <v>0.174118256545153</v>
      </c>
      <c r="V24" s="52" t="n">
        <f aca="false">IFERROR(V21/V19,0)</f>
        <v>0.180004240882103</v>
      </c>
      <c r="W24" s="52" t="n">
        <f aca="false">IFERROR(W21/W19,0)</f>
        <v>0.164966017549966</v>
      </c>
      <c r="X24" s="52" t="n">
        <f aca="false">IFERROR(X21/X19,0)</f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44" t="s">
        <v>90</v>
      </c>
      <c r="B1" s="44" t="s">
        <v>91</v>
      </c>
    </row>
    <row r="2" customFormat="false" ht="15" hidden="false" customHeight="false" outlineLevel="0" collapsed="false">
      <c r="A2" s="46" t="s">
        <v>44</v>
      </c>
      <c r="B2" s="46" t="s">
        <v>97</v>
      </c>
    </row>
    <row r="3" customFormat="false" ht="15" hidden="false" customHeight="false" outlineLevel="0" collapsed="false">
      <c r="A3" s="46" t="s">
        <v>45</v>
      </c>
      <c r="B3" s="46" t="s">
        <v>97</v>
      </c>
    </row>
    <row r="4" customFormat="false" ht="15" hidden="false" customHeight="false" outlineLevel="0" collapsed="false">
      <c r="A4" s="46" t="s">
        <v>46</v>
      </c>
      <c r="B4" s="46" t="s">
        <v>97</v>
      </c>
    </row>
    <row r="5" customFormat="false" ht="15" hidden="false" customHeight="false" outlineLevel="0" collapsed="false">
      <c r="A5" s="46" t="s">
        <v>47</v>
      </c>
      <c r="B5" s="46" t="s">
        <v>97</v>
      </c>
    </row>
    <row r="6" customFormat="false" ht="15" hidden="false" customHeight="false" outlineLevel="0" collapsed="false">
      <c r="A6" s="46" t="s">
        <v>98</v>
      </c>
      <c r="B6" s="46" t="s">
        <v>99</v>
      </c>
    </row>
    <row r="7" customFormat="false" ht="15" hidden="false" customHeight="false" outlineLevel="0" collapsed="false">
      <c r="A7" s="46" t="s">
        <v>100</v>
      </c>
      <c r="B7" s="46" t="s">
        <v>99</v>
      </c>
    </row>
    <row r="8" customFormat="false" ht="15" hidden="false" customHeight="false" outlineLevel="0" collapsed="false">
      <c r="A8" s="46" t="s">
        <v>101</v>
      </c>
      <c r="B8" s="46" t="s">
        <v>99</v>
      </c>
    </row>
    <row r="9" customFormat="false" ht="15" hidden="false" customHeight="false" outlineLevel="0" collapsed="false">
      <c r="A9" s="46" t="s">
        <v>102</v>
      </c>
      <c r="B9" s="46" t="s">
        <v>99</v>
      </c>
    </row>
    <row r="10" customFormat="false" ht="15" hidden="false" customHeight="false" outlineLevel="0" collapsed="false">
      <c r="A10" s="46" t="s">
        <v>52</v>
      </c>
      <c r="B10" s="46" t="s">
        <v>103</v>
      </c>
    </row>
    <row r="11" customFormat="false" ht="15" hidden="false" customHeight="false" outlineLevel="0" collapsed="false">
      <c r="A11" s="46" t="s">
        <v>53</v>
      </c>
      <c r="B11" s="46" t="s">
        <v>103</v>
      </c>
    </row>
    <row r="12" customFormat="false" ht="15" hidden="false" customHeight="false" outlineLevel="0" collapsed="false">
      <c r="A12" s="46" t="s">
        <v>54</v>
      </c>
      <c r="B12" s="46" t="s">
        <v>103</v>
      </c>
    </row>
    <row r="13" customFormat="false" ht="15" hidden="false" customHeight="false" outlineLevel="0" collapsed="false">
      <c r="A13" s="46" t="s">
        <v>55</v>
      </c>
      <c r="B13" s="46" t="s">
        <v>103</v>
      </c>
    </row>
    <row r="14" customFormat="false" ht="15" hidden="false" customHeight="false" outlineLevel="0" collapsed="false">
      <c r="A14" s="46" t="s">
        <v>56</v>
      </c>
      <c r="B14" s="46" t="s">
        <v>103</v>
      </c>
    </row>
    <row r="15" customFormat="false" ht="15" hidden="false" customHeight="false" outlineLevel="0" collapsed="false">
      <c r="A15" s="46" t="s">
        <v>57</v>
      </c>
      <c r="B15" s="46" t="s">
        <v>103</v>
      </c>
    </row>
    <row r="16" customFormat="false" ht="15" hidden="false" customHeight="false" outlineLevel="0" collapsed="false">
      <c r="A16" s="46" t="s">
        <v>58</v>
      </c>
      <c r="B16" s="46" t="s">
        <v>103</v>
      </c>
    </row>
    <row r="17" customFormat="false" ht="15" hidden="false" customHeight="false" outlineLevel="0" collapsed="false">
      <c r="A17" s="46" t="s">
        <v>59</v>
      </c>
      <c r="B17" s="4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5"/>
  </cols>
  <sheetData>
    <row r="1" customFormat="false" ht="27.75" hidden="false" customHeight="true" outlineLevel="0" collapsed="false">
      <c r="A1" s="44" t="s">
        <v>65</v>
      </c>
      <c r="B1" s="44" t="s">
        <v>90</v>
      </c>
      <c r="C1" s="44" t="s">
        <v>104</v>
      </c>
    </row>
    <row r="2" customFormat="false" ht="15" hidden="false" customHeight="false" outlineLevel="0" collapsed="false">
      <c r="A2" s="53" t="n">
        <v>46023</v>
      </c>
      <c r="B2" s="46" t="s">
        <v>44</v>
      </c>
      <c r="C2" s="47" t="n">
        <v>9000000</v>
      </c>
    </row>
    <row r="3" customFormat="false" ht="15" hidden="false" customHeight="false" outlineLevel="0" collapsed="false">
      <c r="A3" s="53" t="n">
        <v>46023</v>
      </c>
      <c r="B3" s="46" t="s">
        <v>45</v>
      </c>
      <c r="C3" s="47" t="n">
        <v>7500000</v>
      </c>
    </row>
    <row r="4" customFormat="false" ht="15" hidden="false" customHeight="false" outlineLevel="0" collapsed="false">
      <c r="A4" s="53" t="n">
        <v>46023</v>
      </c>
      <c r="B4" s="46" t="s">
        <v>46</v>
      </c>
      <c r="C4" s="47" t="n">
        <v>5000000</v>
      </c>
    </row>
    <row r="5" customFormat="false" ht="15" hidden="false" customHeight="false" outlineLevel="0" collapsed="false">
      <c r="A5" s="53" t="n">
        <v>46023</v>
      </c>
      <c r="B5" s="46" t="s">
        <v>47</v>
      </c>
      <c r="C5" s="47" t="n">
        <v>3500000</v>
      </c>
    </row>
    <row r="6" customFormat="false" ht="15" hidden="false" customHeight="false" outlineLevel="0" collapsed="false">
      <c r="A6" s="53" t="n">
        <v>46023</v>
      </c>
      <c r="B6" s="46" t="s">
        <v>98</v>
      </c>
      <c r="C6" s="47" t="n">
        <v>7560000</v>
      </c>
    </row>
    <row r="7" customFormat="false" ht="15" hidden="false" customHeight="false" outlineLevel="0" collapsed="false">
      <c r="A7" s="53" t="n">
        <v>46023</v>
      </c>
      <c r="B7" s="46" t="s">
        <v>100</v>
      </c>
      <c r="C7" s="47" t="n">
        <v>6450000</v>
      </c>
    </row>
    <row r="8" customFormat="false" ht="15" hidden="false" customHeight="false" outlineLevel="0" collapsed="false">
      <c r="A8" s="53" t="n">
        <v>46023</v>
      </c>
      <c r="B8" s="46" t="s">
        <v>101</v>
      </c>
      <c r="C8" s="47" t="n">
        <v>3900000</v>
      </c>
    </row>
    <row r="9" customFormat="false" ht="15" hidden="false" customHeight="false" outlineLevel="0" collapsed="false">
      <c r="A9" s="53" t="n">
        <v>46023</v>
      </c>
      <c r="B9" s="46" t="s">
        <v>102</v>
      </c>
      <c r="C9" s="47" t="n">
        <v>2590000</v>
      </c>
    </row>
    <row r="10" customFormat="false" ht="15" hidden="false" customHeight="false" outlineLevel="0" collapsed="false">
      <c r="A10" s="53" t="n">
        <v>46023</v>
      </c>
      <c r="B10" s="46" t="s">
        <v>52</v>
      </c>
      <c r="C10" s="47" t="n">
        <v>1600000</v>
      </c>
    </row>
    <row r="11" customFormat="false" ht="15" hidden="false" customHeight="false" outlineLevel="0" collapsed="false">
      <c r="A11" s="53" t="n">
        <v>46023</v>
      </c>
      <c r="B11" s="46" t="s">
        <v>53</v>
      </c>
      <c r="C11" s="47" t="n">
        <v>550000</v>
      </c>
    </row>
    <row r="12" customFormat="false" ht="15" hidden="false" customHeight="false" outlineLevel="0" collapsed="false">
      <c r="A12" s="53" t="n">
        <v>46023</v>
      </c>
      <c r="B12" s="46" t="s">
        <v>54</v>
      </c>
      <c r="C12" s="47" t="n">
        <v>150000</v>
      </c>
    </row>
    <row r="13" customFormat="false" ht="15" hidden="false" customHeight="false" outlineLevel="0" collapsed="false">
      <c r="A13" s="53" t="n">
        <v>46023</v>
      </c>
      <c r="B13" s="46" t="s">
        <v>55</v>
      </c>
      <c r="C13" s="47" t="n">
        <v>700000</v>
      </c>
    </row>
    <row r="14" customFormat="false" ht="15" hidden="false" customHeight="false" outlineLevel="0" collapsed="false">
      <c r="A14" s="53" t="n">
        <v>46023</v>
      </c>
      <c r="B14" s="46" t="s">
        <v>56</v>
      </c>
      <c r="C14" s="47" t="n">
        <v>300000</v>
      </c>
    </row>
    <row r="15" customFormat="false" ht="15" hidden="false" customHeight="false" outlineLevel="0" collapsed="false">
      <c r="A15" s="53" t="n">
        <v>46023</v>
      </c>
      <c r="B15" s="46" t="s">
        <v>57</v>
      </c>
      <c r="C15" s="47" t="n">
        <v>90000</v>
      </c>
    </row>
    <row r="16" customFormat="false" ht="15" hidden="false" customHeight="false" outlineLevel="0" collapsed="false">
      <c r="A16" s="53" t="n">
        <v>46023</v>
      </c>
      <c r="B16" s="46" t="s">
        <v>58</v>
      </c>
      <c r="C16" s="47" t="n">
        <v>60000</v>
      </c>
    </row>
    <row r="17" customFormat="false" ht="15" hidden="false" customHeight="false" outlineLevel="0" collapsed="false">
      <c r="A17" s="53" t="n">
        <v>46023</v>
      </c>
      <c r="B17" s="46" t="s">
        <v>59</v>
      </c>
      <c r="C17" s="47" t="n">
        <v>120000</v>
      </c>
    </row>
    <row r="18" customFormat="false" ht="15" hidden="false" customHeight="false" outlineLevel="0" collapsed="false">
      <c r="A18" s="53" t="n">
        <v>46054</v>
      </c>
      <c r="B18" s="46" t="s">
        <v>44</v>
      </c>
      <c r="C18" s="47" t="n">
        <v>9108000</v>
      </c>
    </row>
    <row r="19" customFormat="false" ht="15" hidden="false" customHeight="false" outlineLevel="0" collapsed="false">
      <c r="A19" s="53" t="n">
        <v>46054</v>
      </c>
      <c r="B19" s="46" t="s">
        <v>45</v>
      </c>
      <c r="C19" s="47" t="n">
        <v>7590000</v>
      </c>
    </row>
    <row r="20" customFormat="false" ht="15" hidden="false" customHeight="false" outlineLevel="0" collapsed="false">
      <c r="A20" s="53" t="n">
        <v>46054</v>
      </c>
      <c r="B20" s="46" t="s">
        <v>46</v>
      </c>
      <c r="C20" s="47" t="n">
        <v>5060000</v>
      </c>
    </row>
    <row r="21" customFormat="false" ht="15" hidden="false" customHeight="false" outlineLevel="0" collapsed="false">
      <c r="A21" s="53" t="n">
        <v>46054</v>
      </c>
      <c r="B21" s="46" t="s">
        <v>47</v>
      </c>
      <c r="C21" s="47" t="n">
        <v>3542000</v>
      </c>
    </row>
    <row r="22" customFormat="false" ht="15" hidden="false" customHeight="false" outlineLevel="0" collapsed="false">
      <c r="A22" s="53" t="n">
        <v>46054</v>
      </c>
      <c r="B22" s="46" t="s">
        <v>98</v>
      </c>
      <c r="C22" s="47" t="n">
        <v>7651000</v>
      </c>
    </row>
    <row r="23" customFormat="false" ht="15" hidden="false" customHeight="false" outlineLevel="0" collapsed="false">
      <c r="A23" s="53" t="n">
        <v>46054</v>
      </c>
      <c r="B23" s="46" t="s">
        <v>100</v>
      </c>
      <c r="C23" s="47" t="n">
        <v>6527000</v>
      </c>
    </row>
    <row r="24" customFormat="false" ht="15" hidden="false" customHeight="false" outlineLevel="0" collapsed="false">
      <c r="A24" s="53" t="n">
        <v>46054</v>
      </c>
      <c r="B24" s="46" t="s">
        <v>101</v>
      </c>
      <c r="C24" s="47" t="n">
        <v>3947000</v>
      </c>
    </row>
    <row r="25" customFormat="false" ht="15" hidden="false" customHeight="false" outlineLevel="0" collapsed="false">
      <c r="A25" s="53" t="n">
        <v>46054</v>
      </c>
      <c r="B25" s="46" t="s">
        <v>102</v>
      </c>
      <c r="C25" s="47" t="n">
        <v>2621000</v>
      </c>
    </row>
    <row r="26" customFormat="false" ht="15" hidden="false" customHeight="false" outlineLevel="0" collapsed="false">
      <c r="A26" s="53" t="n">
        <v>46054</v>
      </c>
      <c r="B26" s="46" t="s">
        <v>52</v>
      </c>
      <c r="C26" s="47" t="n">
        <v>1605000</v>
      </c>
    </row>
    <row r="27" customFormat="false" ht="15" hidden="false" customHeight="false" outlineLevel="0" collapsed="false">
      <c r="A27" s="53" t="n">
        <v>46054</v>
      </c>
      <c r="B27" s="46" t="s">
        <v>53</v>
      </c>
      <c r="C27" s="47" t="n">
        <v>552000</v>
      </c>
    </row>
    <row r="28" customFormat="false" ht="15" hidden="false" customHeight="false" outlineLevel="0" collapsed="false">
      <c r="A28" s="53" t="n">
        <v>46054</v>
      </c>
      <c r="B28" s="46" t="s">
        <v>54</v>
      </c>
      <c r="C28" s="47" t="n">
        <v>150000</v>
      </c>
    </row>
    <row r="29" customFormat="false" ht="15" hidden="false" customHeight="false" outlineLevel="0" collapsed="false">
      <c r="A29" s="53" t="n">
        <v>46054</v>
      </c>
      <c r="B29" s="46" t="s">
        <v>55</v>
      </c>
      <c r="C29" s="47" t="n">
        <v>702000</v>
      </c>
    </row>
    <row r="30" customFormat="false" ht="15" hidden="false" customHeight="false" outlineLevel="0" collapsed="false">
      <c r="A30" s="53" t="n">
        <v>46054</v>
      </c>
      <c r="B30" s="46" t="s">
        <v>56</v>
      </c>
      <c r="C30" s="47" t="n">
        <v>301000</v>
      </c>
    </row>
    <row r="31" customFormat="false" ht="15" hidden="false" customHeight="false" outlineLevel="0" collapsed="false">
      <c r="A31" s="53" t="n">
        <v>46054</v>
      </c>
      <c r="B31" s="46" t="s">
        <v>57</v>
      </c>
      <c r="C31" s="47" t="n">
        <v>90000</v>
      </c>
    </row>
    <row r="32" customFormat="false" ht="15" hidden="false" customHeight="false" outlineLevel="0" collapsed="false">
      <c r="A32" s="53" t="n">
        <v>46054</v>
      </c>
      <c r="B32" s="46" t="s">
        <v>58</v>
      </c>
      <c r="C32" s="47" t="n">
        <v>60000</v>
      </c>
    </row>
    <row r="33" customFormat="false" ht="15" hidden="false" customHeight="false" outlineLevel="0" collapsed="false">
      <c r="A33" s="53" t="n">
        <v>46054</v>
      </c>
      <c r="B33" s="46" t="s">
        <v>59</v>
      </c>
      <c r="C33" s="47" t="n">
        <v>120000</v>
      </c>
    </row>
    <row r="34" customFormat="false" ht="15" hidden="false" customHeight="false" outlineLevel="0" collapsed="false">
      <c r="A34" s="53" t="n">
        <v>46082</v>
      </c>
      <c r="B34" s="46" t="s">
        <v>44</v>
      </c>
      <c r="C34" s="47" t="n">
        <v>9216000</v>
      </c>
    </row>
    <row r="35" customFormat="false" ht="15" hidden="false" customHeight="false" outlineLevel="0" collapsed="false">
      <c r="A35" s="53" t="n">
        <v>46082</v>
      </c>
      <c r="B35" s="46" t="s">
        <v>45</v>
      </c>
      <c r="C35" s="47" t="n">
        <v>7680000</v>
      </c>
    </row>
    <row r="36" customFormat="false" ht="15" hidden="false" customHeight="false" outlineLevel="0" collapsed="false">
      <c r="A36" s="53" t="n">
        <v>46082</v>
      </c>
      <c r="B36" s="46" t="s">
        <v>46</v>
      </c>
      <c r="C36" s="47" t="n">
        <v>5120000</v>
      </c>
    </row>
    <row r="37" customFormat="false" ht="15" hidden="false" customHeight="false" outlineLevel="0" collapsed="false">
      <c r="A37" s="53" t="n">
        <v>46082</v>
      </c>
      <c r="B37" s="46" t="s">
        <v>47</v>
      </c>
      <c r="C37" s="47" t="n">
        <v>3584000</v>
      </c>
    </row>
    <row r="38" customFormat="false" ht="15" hidden="false" customHeight="false" outlineLevel="0" collapsed="false">
      <c r="A38" s="53" t="n">
        <v>46082</v>
      </c>
      <c r="B38" s="46" t="s">
        <v>98</v>
      </c>
      <c r="C38" s="47" t="n">
        <v>7741000</v>
      </c>
    </row>
    <row r="39" customFormat="false" ht="15" hidden="false" customHeight="false" outlineLevel="0" collapsed="false">
      <c r="A39" s="53" t="n">
        <v>46082</v>
      </c>
      <c r="B39" s="46" t="s">
        <v>100</v>
      </c>
      <c r="C39" s="47" t="n">
        <v>6605000</v>
      </c>
    </row>
    <row r="40" customFormat="false" ht="15" hidden="false" customHeight="false" outlineLevel="0" collapsed="false">
      <c r="A40" s="53" t="n">
        <v>46082</v>
      </c>
      <c r="B40" s="46" t="s">
        <v>101</v>
      </c>
      <c r="C40" s="47" t="n">
        <v>3994000</v>
      </c>
    </row>
    <row r="41" customFormat="false" ht="15" hidden="false" customHeight="false" outlineLevel="0" collapsed="false">
      <c r="A41" s="53" t="n">
        <v>46082</v>
      </c>
      <c r="B41" s="46" t="s">
        <v>102</v>
      </c>
      <c r="C41" s="47" t="n">
        <v>2652000</v>
      </c>
    </row>
    <row r="42" customFormat="false" ht="15" hidden="false" customHeight="false" outlineLevel="0" collapsed="false">
      <c r="A42" s="53" t="n">
        <v>46082</v>
      </c>
      <c r="B42" s="46" t="s">
        <v>52</v>
      </c>
      <c r="C42" s="47" t="n">
        <v>1610000</v>
      </c>
    </row>
    <row r="43" customFormat="false" ht="15" hidden="false" customHeight="false" outlineLevel="0" collapsed="false">
      <c r="A43" s="53" t="n">
        <v>46082</v>
      </c>
      <c r="B43" s="46" t="s">
        <v>53</v>
      </c>
      <c r="C43" s="47" t="n">
        <v>553000</v>
      </c>
    </row>
    <row r="44" customFormat="false" ht="15" hidden="false" customHeight="false" outlineLevel="0" collapsed="false">
      <c r="A44" s="53" t="n">
        <v>46082</v>
      </c>
      <c r="B44" s="46" t="s">
        <v>54</v>
      </c>
      <c r="C44" s="47" t="n">
        <v>151000</v>
      </c>
    </row>
    <row r="45" customFormat="false" ht="15" hidden="false" customHeight="false" outlineLevel="0" collapsed="false">
      <c r="A45" s="53" t="n">
        <v>46082</v>
      </c>
      <c r="B45" s="46" t="s">
        <v>55</v>
      </c>
      <c r="C45" s="47" t="n">
        <v>704000</v>
      </c>
    </row>
    <row r="46" customFormat="false" ht="15" hidden="false" customHeight="false" outlineLevel="0" collapsed="false">
      <c r="A46" s="53" t="n">
        <v>46082</v>
      </c>
      <c r="B46" s="46" t="s">
        <v>56</v>
      </c>
      <c r="C46" s="47" t="n">
        <v>302000</v>
      </c>
    </row>
    <row r="47" customFormat="false" ht="15" hidden="false" customHeight="false" outlineLevel="0" collapsed="false">
      <c r="A47" s="53" t="n">
        <v>46082</v>
      </c>
      <c r="B47" s="46" t="s">
        <v>57</v>
      </c>
      <c r="C47" s="47" t="n">
        <v>91000</v>
      </c>
    </row>
    <row r="48" customFormat="false" ht="15" hidden="false" customHeight="false" outlineLevel="0" collapsed="false">
      <c r="A48" s="53" t="n">
        <v>46082</v>
      </c>
      <c r="B48" s="46" t="s">
        <v>58</v>
      </c>
      <c r="C48" s="47" t="n">
        <v>60000</v>
      </c>
    </row>
    <row r="49" customFormat="false" ht="15" hidden="false" customHeight="false" outlineLevel="0" collapsed="false">
      <c r="A49" s="53" t="n">
        <v>46082</v>
      </c>
      <c r="B49" s="46" t="s">
        <v>59</v>
      </c>
      <c r="C49" s="47" t="n">
        <v>121000</v>
      </c>
    </row>
    <row r="50" customFormat="false" ht="15" hidden="false" customHeight="false" outlineLevel="0" collapsed="false">
      <c r="A50" s="53" t="n">
        <v>46113</v>
      </c>
      <c r="B50" s="46" t="s">
        <v>44</v>
      </c>
      <c r="C50" s="47" t="n">
        <v>9324000</v>
      </c>
    </row>
    <row r="51" customFormat="false" ht="15" hidden="false" customHeight="false" outlineLevel="0" collapsed="false">
      <c r="A51" s="53" t="n">
        <v>46113</v>
      </c>
      <c r="B51" s="46" t="s">
        <v>45</v>
      </c>
      <c r="C51" s="47" t="n">
        <v>7770000</v>
      </c>
    </row>
    <row r="52" customFormat="false" ht="15" hidden="false" customHeight="false" outlineLevel="0" collapsed="false">
      <c r="A52" s="53" t="n">
        <v>46113</v>
      </c>
      <c r="B52" s="46" t="s">
        <v>46</v>
      </c>
      <c r="C52" s="47" t="n">
        <v>5180000</v>
      </c>
    </row>
    <row r="53" customFormat="false" ht="15" hidden="false" customHeight="false" outlineLevel="0" collapsed="false">
      <c r="A53" s="53" t="n">
        <v>46113</v>
      </c>
      <c r="B53" s="46" t="s">
        <v>47</v>
      </c>
      <c r="C53" s="47" t="n">
        <v>3626000</v>
      </c>
    </row>
    <row r="54" customFormat="false" ht="15" hidden="false" customHeight="false" outlineLevel="0" collapsed="false">
      <c r="A54" s="53" t="n">
        <v>46113</v>
      </c>
      <c r="B54" s="46" t="s">
        <v>98</v>
      </c>
      <c r="C54" s="47" t="n">
        <v>7832000</v>
      </c>
    </row>
    <row r="55" customFormat="false" ht="15" hidden="false" customHeight="false" outlineLevel="0" collapsed="false">
      <c r="A55" s="53" t="n">
        <v>46113</v>
      </c>
      <c r="B55" s="46" t="s">
        <v>100</v>
      </c>
      <c r="C55" s="47" t="n">
        <v>6682000</v>
      </c>
    </row>
    <row r="56" customFormat="false" ht="15" hidden="false" customHeight="false" outlineLevel="0" collapsed="false">
      <c r="A56" s="53" t="n">
        <v>46113</v>
      </c>
      <c r="B56" s="46" t="s">
        <v>101</v>
      </c>
      <c r="C56" s="47" t="n">
        <v>4040000</v>
      </c>
    </row>
    <row r="57" customFormat="false" ht="15" hidden="false" customHeight="false" outlineLevel="0" collapsed="false">
      <c r="A57" s="53" t="n">
        <v>46113</v>
      </c>
      <c r="B57" s="46" t="s">
        <v>102</v>
      </c>
      <c r="C57" s="47" t="n">
        <v>2683000</v>
      </c>
    </row>
    <row r="58" customFormat="false" ht="15" hidden="false" customHeight="false" outlineLevel="0" collapsed="false">
      <c r="A58" s="53" t="n">
        <v>46113</v>
      </c>
      <c r="B58" s="46" t="s">
        <v>52</v>
      </c>
      <c r="C58" s="47" t="n">
        <v>1614000</v>
      </c>
    </row>
    <row r="59" customFormat="false" ht="15" hidden="false" customHeight="false" outlineLevel="0" collapsed="false">
      <c r="A59" s="53" t="n">
        <v>46113</v>
      </c>
      <c r="B59" s="46" t="s">
        <v>53</v>
      </c>
      <c r="C59" s="47" t="n">
        <v>555000</v>
      </c>
    </row>
    <row r="60" customFormat="false" ht="15" hidden="false" customHeight="false" outlineLevel="0" collapsed="false">
      <c r="A60" s="53" t="n">
        <v>46113</v>
      </c>
      <c r="B60" s="46" t="s">
        <v>54</v>
      </c>
      <c r="C60" s="47" t="n">
        <v>151000</v>
      </c>
    </row>
    <row r="61" customFormat="false" ht="15" hidden="false" customHeight="false" outlineLevel="0" collapsed="false">
      <c r="A61" s="53" t="n">
        <v>46113</v>
      </c>
      <c r="B61" s="46" t="s">
        <v>55</v>
      </c>
      <c r="C61" s="47" t="n">
        <v>706000</v>
      </c>
    </row>
    <row r="62" customFormat="false" ht="15" hidden="false" customHeight="false" outlineLevel="0" collapsed="false">
      <c r="A62" s="53" t="n">
        <v>46113</v>
      </c>
      <c r="B62" s="46" t="s">
        <v>56</v>
      </c>
      <c r="C62" s="47" t="n">
        <v>303000</v>
      </c>
    </row>
    <row r="63" customFormat="false" ht="15" hidden="false" customHeight="false" outlineLevel="0" collapsed="false">
      <c r="A63" s="53" t="n">
        <v>46113</v>
      </c>
      <c r="B63" s="46" t="s">
        <v>57</v>
      </c>
      <c r="C63" s="47" t="n">
        <v>91000</v>
      </c>
    </row>
    <row r="64" customFormat="false" ht="15" hidden="false" customHeight="false" outlineLevel="0" collapsed="false">
      <c r="A64" s="53" t="n">
        <v>46113</v>
      </c>
      <c r="B64" s="46" t="s">
        <v>58</v>
      </c>
      <c r="C64" s="47" t="n">
        <v>61000</v>
      </c>
    </row>
    <row r="65" customFormat="false" ht="15" hidden="false" customHeight="false" outlineLevel="0" collapsed="false">
      <c r="A65" s="53" t="n">
        <v>46113</v>
      </c>
      <c r="B65" s="46" t="s">
        <v>59</v>
      </c>
      <c r="C65" s="47" t="n">
        <v>121000</v>
      </c>
    </row>
    <row r="66" customFormat="false" ht="15" hidden="false" customHeight="false" outlineLevel="0" collapsed="false">
      <c r="A66" s="53" t="n">
        <v>46143</v>
      </c>
      <c r="B66" s="46" t="s">
        <v>44</v>
      </c>
      <c r="C66" s="47" t="n">
        <v>9432000</v>
      </c>
    </row>
    <row r="67" customFormat="false" ht="15" hidden="false" customHeight="false" outlineLevel="0" collapsed="false">
      <c r="A67" s="53" t="n">
        <v>46143</v>
      </c>
      <c r="B67" s="46" t="s">
        <v>45</v>
      </c>
      <c r="C67" s="47" t="n">
        <v>7860000</v>
      </c>
    </row>
    <row r="68" customFormat="false" ht="15" hidden="false" customHeight="false" outlineLevel="0" collapsed="false">
      <c r="A68" s="53" t="n">
        <v>46143</v>
      </c>
      <c r="B68" s="46" t="s">
        <v>46</v>
      </c>
      <c r="C68" s="47" t="n">
        <v>5240000</v>
      </c>
    </row>
    <row r="69" customFormat="false" ht="15" hidden="false" customHeight="false" outlineLevel="0" collapsed="false">
      <c r="A69" s="53" t="n">
        <v>46143</v>
      </c>
      <c r="B69" s="46" t="s">
        <v>47</v>
      </c>
      <c r="C69" s="47" t="n">
        <v>3668000</v>
      </c>
    </row>
    <row r="70" customFormat="false" ht="15" hidden="false" customHeight="false" outlineLevel="0" collapsed="false">
      <c r="A70" s="53" t="n">
        <v>46143</v>
      </c>
      <c r="B70" s="46" t="s">
        <v>98</v>
      </c>
      <c r="C70" s="47" t="n">
        <v>7923000</v>
      </c>
    </row>
    <row r="71" customFormat="false" ht="15" hidden="false" customHeight="false" outlineLevel="0" collapsed="false">
      <c r="A71" s="53" t="n">
        <v>46143</v>
      </c>
      <c r="B71" s="46" t="s">
        <v>100</v>
      </c>
      <c r="C71" s="47" t="n">
        <v>6760000</v>
      </c>
    </row>
    <row r="72" customFormat="false" ht="15" hidden="false" customHeight="false" outlineLevel="0" collapsed="false">
      <c r="A72" s="53" t="n">
        <v>46143</v>
      </c>
      <c r="B72" s="46" t="s">
        <v>101</v>
      </c>
      <c r="C72" s="47" t="n">
        <v>4087000</v>
      </c>
    </row>
    <row r="73" customFormat="false" ht="15" hidden="false" customHeight="false" outlineLevel="0" collapsed="false">
      <c r="A73" s="53" t="n">
        <v>46143</v>
      </c>
      <c r="B73" s="46" t="s">
        <v>102</v>
      </c>
      <c r="C73" s="47" t="n">
        <v>2714000</v>
      </c>
    </row>
    <row r="74" customFormat="false" ht="15" hidden="false" customHeight="false" outlineLevel="0" collapsed="false">
      <c r="A74" s="53" t="n">
        <v>46143</v>
      </c>
      <c r="B74" s="46" t="s">
        <v>52</v>
      </c>
      <c r="C74" s="47" t="n">
        <v>1619000</v>
      </c>
    </row>
    <row r="75" customFormat="false" ht="15" hidden="false" customHeight="false" outlineLevel="0" collapsed="false">
      <c r="A75" s="53" t="n">
        <v>46143</v>
      </c>
      <c r="B75" s="46" t="s">
        <v>53</v>
      </c>
      <c r="C75" s="47" t="n">
        <v>557000</v>
      </c>
    </row>
    <row r="76" customFormat="false" ht="15" hidden="false" customHeight="false" outlineLevel="0" collapsed="false">
      <c r="A76" s="53" t="n">
        <v>46143</v>
      </c>
      <c r="B76" s="46" t="s">
        <v>54</v>
      </c>
      <c r="C76" s="47" t="n">
        <v>152000</v>
      </c>
    </row>
    <row r="77" customFormat="false" ht="15" hidden="false" customHeight="false" outlineLevel="0" collapsed="false">
      <c r="A77" s="53" t="n">
        <v>46143</v>
      </c>
      <c r="B77" s="46" t="s">
        <v>55</v>
      </c>
      <c r="C77" s="47" t="n">
        <v>708000</v>
      </c>
    </row>
    <row r="78" customFormat="false" ht="15" hidden="false" customHeight="false" outlineLevel="0" collapsed="false">
      <c r="A78" s="53" t="n">
        <v>46143</v>
      </c>
      <c r="B78" s="46" t="s">
        <v>56</v>
      </c>
      <c r="C78" s="47" t="n">
        <v>304000</v>
      </c>
    </row>
    <row r="79" customFormat="false" ht="15" hidden="false" customHeight="false" outlineLevel="0" collapsed="false">
      <c r="A79" s="53" t="n">
        <v>46143</v>
      </c>
      <c r="B79" s="46" t="s">
        <v>57</v>
      </c>
      <c r="C79" s="47" t="n">
        <v>91000</v>
      </c>
    </row>
    <row r="80" customFormat="false" ht="15" hidden="false" customHeight="false" outlineLevel="0" collapsed="false">
      <c r="A80" s="53" t="n">
        <v>46143</v>
      </c>
      <c r="B80" s="46" t="s">
        <v>58</v>
      </c>
      <c r="C80" s="47" t="n">
        <v>61000</v>
      </c>
    </row>
    <row r="81" customFormat="false" ht="15" hidden="false" customHeight="false" outlineLevel="0" collapsed="false">
      <c r="A81" s="53" t="n">
        <v>46143</v>
      </c>
      <c r="B81" s="46" t="s">
        <v>59</v>
      </c>
      <c r="C81" s="47" t="n">
        <v>121000</v>
      </c>
    </row>
    <row r="82" customFormat="false" ht="15" hidden="false" customHeight="false" outlineLevel="0" collapsed="false">
      <c r="A82" s="53" t="n">
        <v>46174</v>
      </c>
      <c r="B82" s="46" t="s">
        <v>44</v>
      </c>
      <c r="C82" s="47" t="n">
        <v>9540000</v>
      </c>
    </row>
    <row r="83" customFormat="false" ht="15" hidden="false" customHeight="false" outlineLevel="0" collapsed="false">
      <c r="A83" s="53" t="n">
        <v>46174</v>
      </c>
      <c r="B83" s="46" t="s">
        <v>45</v>
      </c>
      <c r="C83" s="47" t="n">
        <v>7950000</v>
      </c>
    </row>
    <row r="84" customFormat="false" ht="15" hidden="false" customHeight="false" outlineLevel="0" collapsed="false">
      <c r="A84" s="53" t="n">
        <v>46174</v>
      </c>
      <c r="B84" s="46" t="s">
        <v>46</v>
      </c>
      <c r="C84" s="47" t="n">
        <v>5300000</v>
      </c>
    </row>
    <row r="85" customFormat="false" ht="15" hidden="false" customHeight="false" outlineLevel="0" collapsed="false">
      <c r="A85" s="53" t="n">
        <v>46174</v>
      </c>
      <c r="B85" s="46" t="s">
        <v>47</v>
      </c>
      <c r="C85" s="47" t="n">
        <v>3710000</v>
      </c>
    </row>
    <row r="86" customFormat="false" ht="15" hidden="false" customHeight="false" outlineLevel="0" collapsed="false">
      <c r="A86" s="53" t="n">
        <v>46174</v>
      </c>
      <c r="B86" s="46" t="s">
        <v>98</v>
      </c>
      <c r="C86" s="47" t="n">
        <v>8014000</v>
      </c>
    </row>
    <row r="87" customFormat="false" ht="15" hidden="false" customHeight="false" outlineLevel="0" collapsed="false">
      <c r="A87" s="53" t="n">
        <v>46174</v>
      </c>
      <c r="B87" s="46" t="s">
        <v>100</v>
      </c>
      <c r="C87" s="47" t="n">
        <v>6837000</v>
      </c>
    </row>
    <row r="88" customFormat="false" ht="15" hidden="false" customHeight="false" outlineLevel="0" collapsed="false">
      <c r="A88" s="53" t="n">
        <v>46174</v>
      </c>
      <c r="B88" s="46" t="s">
        <v>101</v>
      </c>
      <c r="C88" s="47" t="n">
        <v>4134000</v>
      </c>
    </row>
    <row r="89" customFormat="false" ht="15" hidden="false" customHeight="false" outlineLevel="0" collapsed="false">
      <c r="A89" s="53" t="n">
        <v>46174</v>
      </c>
      <c r="B89" s="46" t="s">
        <v>102</v>
      </c>
      <c r="C89" s="47" t="n">
        <v>2745000</v>
      </c>
    </row>
    <row r="90" customFormat="false" ht="15" hidden="false" customHeight="false" outlineLevel="0" collapsed="false">
      <c r="A90" s="53" t="n">
        <v>46174</v>
      </c>
      <c r="B90" s="46" t="s">
        <v>52</v>
      </c>
      <c r="C90" s="47" t="n">
        <v>1624000</v>
      </c>
    </row>
    <row r="91" customFormat="false" ht="15" hidden="false" customHeight="false" outlineLevel="0" collapsed="false">
      <c r="A91" s="53" t="n">
        <v>46174</v>
      </c>
      <c r="B91" s="46" t="s">
        <v>53</v>
      </c>
      <c r="C91" s="47" t="n">
        <v>558000</v>
      </c>
    </row>
    <row r="92" customFormat="false" ht="15" hidden="false" customHeight="false" outlineLevel="0" collapsed="false">
      <c r="A92" s="53" t="n">
        <v>46174</v>
      </c>
      <c r="B92" s="46" t="s">
        <v>54</v>
      </c>
      <c r="C92" s="47" t="n">
        <v>152000</v>
      </c>
    </row>
    <row r="93" customFormat="false" ht="15" hidden="false" customHeight="false" outlineLevel="0" collapsed="false">
      <c r="A93" s="53" t="n">
        <v>46174</v>
      </c>
      <c r="B93" s="46" t="s">
        <v>55</v>
      </c>
      <c r="C93" s="47" t="n">
        <v>710000</v>
      </c>
    </row>
    <row r="94" customFormat="false" ht="15" hidden="false" customHeight="false" outlineLevel="0" collapsed="false">
      <c r="A94" s="53" t="n">
        <v>46174</v>
      </c>
      <c r="B94" s="46" t="s">
        <v>56</v>
      </c>
      <c r="C94" s="47" t="n">
        <v>304000</v>
      </c>
    </row>
    <row r="95" customFormat="false" ht="15" hidden="false" customHeight="false" outlineLevel="0" collapsed="false">
      <c r="A95" s="53" t="n">
        <v>46174</v>
      </c>
      <c r="B95" s="46" t="s">
        <v>57</v>
      </c>
      <c r="C95" s="47" t="n">
        <v>91000</v>
      </c>
    </row>
    <row r="96" customFormat="false" ht="15" hidden="false" customHeight="false" outlineLevel="0" collapsed="false">
      <c r="A96" s="53" t="n">
        <v>46174</v>
      </c>
      <c r="B96" s="46" t="s">
        <v>58</v>
      </c>
      <c r="C96" s="47" t="n">
        <v>61000</v>
      </c>
    </row>
    <row r="97" customFormat="false" ht="15" hidden="false" customHeight="false" outlineLevel="0" collapsed="false">
      <c r="A97" s="53" t="n">
        <v>46174</v>
      </c>
      <c r="B97" s="46" t="s">
        <v>59</v>
      </c>
      <c r="C97" s="47" t="n">
        <v>122000</v>
      </c>
    </row>
    <row r="98" customFormat="false" ht="15" hidden="false" customHeight="false" outlineLevel="0" collapsed="false">
      <c r="A98" s="53" t="n">
        <v>46204</v>
      </c>
      <c r="B98" s="46" t="s">
        <v>44</v>
      </c>
      <c r="C98" s="47" t="n">
        <v>9648000</v>
      </c>
    </row>
    <row r="99" customFormat="false" ht="15" hidden="false" customHeight="false" outlineLevel="0" collapsed="false">
      <c r="A99" s="53" t="n">
        <v>46204</v>
      </c>
      <c r="B99" s="46" t="s">
        <v>45</v>
      </c>
      <c r="C99" s="47" t="n">
        <v>8040000</v>
      </c>
    </row>
    <row r="100" customFormat="false" ht="15" hidden="false" customHeight="false" outlineLevel="0" collapsed="false">
      <c r="A100" s="53" t="n">
        <v>46204</v>
      </c>
      <c r="B100" s="46" t="s">
        <v>46</v>
      </c>
      <c r="C100" s="47" t="n">
        <v>5360000</v>
      </c>
    </row>
    <row r="101" customFormat="false" ht="15" hidden="false" customHeight="false" outlineLevel="0" collapsed="false">
      <c r="A101" s="53" t="n">
        <v>46204</v>
      </c>
      <c r="B101" s="46" t="s">
        <v>47</v>
      </c>
      <c r="C101" s="47" t="n">
        <v>3752000</v>
      </c>
    </row>
    <row r="102" customFormat="false" ht="15" hidden="false" customHeight="false" outlineLevel="0" collapsed="false">
      <c r="A102" s="53" t="n">
        <v>46204</v>
      </c>
      <c r="B102" s="46" t="s">
        <v>98</v>
      </c>
      <c r="C102" s="47" t="n">
        <v>8104000</v>
      </c>
    </row>
    <row r="103" customFormat="false" ht="15" hidden="false" customHeight="false" outlineLevel="0" collapsed="false">
      <c r="A103" s="53" t="n">
        <v>46204</v>
      </c>
      <c r="B103" s="46" t="s">
        <v>100</v>
      </c>
      <c r="C103" s="47" t="n">
        <v>6914000</v>
      </c>
    </row>
    <row r="104" customFormat="false" ht="15" hidden="false" customHeight="false" outlineLevel="0" collapsed="false">
      <c r="A104" s="53" t="n">
        <v>46204</v>
      </c>
      <c r="B104" s="46" t="s">
        <v>101</v>
      </c>
      <c r="C104" s="47" t="n">
        <v>4181000</v>
      </c>
    </row>
    <row r="105" customFormat="false" ht="15" hidden="false" customHeight="false" outlineLevel="0" collapsed="false">
      <c r="A105" s="53" t="n">
        <v>46204</v>
      </c>
      <c r="B105" s="46" t="s">
        <v>102</v>
      </c>
      <c r="C105" s="47" t="n">
        <v>2776000</v>
      </c>
    </row>
    <row r="106" customFormat="false" ht="15" hidden="false" customHeight="false" outlineLevel="0" collapsed="false">
      <c r="A106" s="53" t="n">
        <v>46204</v>
      </c>
      <c r="B106" s="46" t="s">
        <v>52</v>
      </c>
      <c r="C106" s="47" t="n">
        <v>1629000</v>
      </c>
    </row>
    <row r="107" customFormat="false" ht="15" hidden="false" customHeight="false" outlineLevel="0" collapsed="false">
      <c r="A107" s="53" t="n">
        <v>46204</v>
      </c>
      <c r="B107" s="46" t="s">
        <v>53</v>
      </c>
      <c r="C107" s="47" t="n">
        <v>560000</v>
      </c>
    </row>
    <row r="108" customFormat="false" ht="15" hidden="false" customHeight="false" outlineLevel="0" collapsed="false">
      <c r="A108" s="53" t="n">
        <v>46204</v>
      </c>
      <c r="B108" s="46" t="s">
        <v>54</v>
      </c>
      <c r="C108" s="47" t="n">
        <v>153000</v>
      </c>
    </row>
    <row r="109" customFormat="false" ht="15" hidden="false" customHeight="false" outlineLevel="0" collapsed="false">
      <c r="A109" s="53" t="n">
        <v>46204</v>
      </c>
      <c r="B109" s="46" t="s">
        <v>55</v>
      </c>
      <c r="C109" s="47" t="n">
        <v>713000</v>
      </c>
    </row>
    <row r="110" customFormat="false" ht="15" hidden="false" customHeight="false" outlineLevel="0" collapsed="false">
      <c r="A110" s="53" t="n">
        <v>46204</v>
      </c>
      <c r="B110" s="46" t="s">
        <v>56</v>
      </c>
      <c r="C110" s="47" t="n">
        <v>305000</v>
      </c>
    </row>
    <row r="111" customFormat="false" ht="15" hidden="false" customHeight="false" outlineLevel="0" collapsed="false">
      <c r="A111" s="53" t="n">
        <v>46204</v>
      </c>
      <c r="B111" s="46" t="s">
        <v>57</v>
      </c>
      <c r="C111" s="47" t="n">
        <v>92000</v>
      </c>
    </row>
    <row r="112" customFormat="false" ht="15" hidden="false" customHeight="false" outlineLevel="0" collapsed="false">
      <c r="A112" s="53" t="n">
        <v>46204</v>
      </c>
      <c r="B112" s="46" t="s">
        <v>58</v>
      </c>
      <c r="C112" s="47" t="n">
        <v>61000</v>
      </c>
    </row>
    <row r="113" customFormat="false" ht="15" hidden="false" customHeight="false" outlineLevel="0" collapsed="false">
      <c r="A113" s="53" t="n">
        <v>46204</v>
      </c>
      <c r="B113" s="46" t="s">
        <v>59</v>
      </c>
      <c r="C113" s="47" t="n">
        <v>122000</v>
      </c>
    </row>
    <row r="114" customFormat="false" ht="15" hidden="false" customHeight="false" outlineLevel="0" collapsed="false">
      <c r="A114" s="53" t="n">
        <v>46235</v>
      </c>
      <c r="B114" s="46" t="s">
        <v>44</v>
      </c>
      <c r="C114" s="47" t="n">
        <v>9756000</v>
      </c>
    </row>
    <row r="115" customFormat="false" ht="15" hidden="false" customHeight="false" outlineLevel="0" collapsed="false">
      <c r="A115" s="53" t="n">
        <v>46235</v>
      </c>
      <c r="B115" s="46" t="s">
        <v>45</v>
      </c>
      <c r="C115" s="47" t="n">
        <v>8130000</v>
      </c>
    </row>
    <row r="116" customFormat="false" ht="15" hidden="false" customHeight="false" outlineLevel="0" collapsed="false">
      <c r="A116" s="53" t="n">
        <v>46235</v>
      </c>
      <c r="B116" s="46" t="s">
        <v>46</v>
      </c>
      <c r="C116" s="47" t="n">
        <v>5420000</v>
      </c>
    </row>
    <row r="117" customFormat="false" ht="15" hidden="false" customHeight="false" outlineLevel="0" collapsed="false">
      <c r="A117" s="53" t="n">
        <v>46235</v>
      </c>
      <c r="B117" s="46" t="s">
        <v>47</v>
      </c>
      <c r="C117" s="47" t="n">
        <v>3794000</v>
      </c>
    </row>
    <row r="118" customFormat="false" ht="15" hidden="false" customHeight="false" outlineLevel="0" collapsed="false">
      <c r="A118" s="53" t="n">
        <v>46235</v>
      </c>
      <c r="B118" s="46" t="s">
        <v>98</v>
      </c>
      <c r="C118" s="47" t="n">
        <v>8195000</v>
      </c>
    </row>
    <row r="119" customFormat="false" ht="15" hidden="false" customHeight="false" outlineLevel="0" collapsed="false">
      <c r="A119" s="53" t="n">
        <v>46235</v>
      </c>
      <c r="B119" s="46" t="s">
        <v>100</v>
      </c>
      <c r="C119" s="47" t="n">
        <v>6992000</v>
      </c>
    </row>
    <row r="120" customFormat="false" ht="15" hidden="false" customHeight="false" outlineLevel="0" collapsed="false">
      <c r="A120" s="53" t="n">
        <v>46235</v>
      </c>
      <c r="B120" s="46" t="s">
        <v>101</v>
      </c>
      <c r="C120" s="47" t="n">
        <v>4228000</v>
      </c>
    </row>
    <row r="121" customFormat="false" ht="15" hidden="false" customHeight="false" outlineLevel="0" collapsed="false">
      <c r="A121" s="53" t="n">
        <v>46235</v>
      </c>
      <c r="B121" s="46" t="s">
        <v>102</v>
      </c>
      <c r="C121" s="47" t="n">
        <v>2808000</v>
      </c>
    </row>
    <row r="122" customFormat="false" ht="15" hidden="false" customHeight="false" outlineLevel="0" collapsed="false">
      <c r="A122" s="53" t="n">
        <v>46235</v>
      </c>
      <c r="B122" s="46" t="s">
        <v>52</v>
      </c>
      <c r="C122" s="47" t="n">
        <v>1634000</v>
      </c>
    </row>
    <row r="123" customFormat="false" ht="15" hidden="false" customHeight="false" outlineLevel="0" collapsed="false">
      <c r="A123" s="53" t="n">
        <v>46235</v>
      </c>
      <c r="B123" s="46" t="s">
        <v>53</v>
      </c>
      <c r="C123" s="47" t="n">
        <v>562000</v>
      </c>
    </row>
    <row r="124" customFormat="false" ht="15" hidden="false" customHeight="false" outlineLevel="0" collapsed="false">
      <c r="A124" s="53" t="n">
        <v>46235</v>
      </c>
      <c r="B124" s="46" t="s">
        <v>54</v>
      </c>
      <c r="C124" s="47" t="n">
        <v>153000</v>
      </c>
    </row>
    <row r="125" customFormat="false" ht="15" hidden="false" customHeight="false" outlineLevel="0" collapsed="false">
      <c r="A125" s="53" t="n">
        <v>46235</v>
      </c>
      <c r="B125" s="46" t="s">
        <v>55</v>
      </c>
      <c r="C125" s="47" t="n">
        <v>715000</v>
      </c>
    </row>
    <row r="126" customFormat="false" ht="15" hidden="false" customHeight="false" outlineLevel="0" collapsed="false">
      <c r="A126" s="53" t="n">
        <v>46235</v>
      </c>
      <c r="B126" s="46" t="s">
        <v>56</v>
      </c>
      <c r="C126" s="47" t="n">
        <v>306000</v>
      </c>
    </row>
    <row r="127" customFormat="false" ht="15" hidden="false" customHeight="false" outlineLevel="0" collapsed="false">
      <c r="A127" s="53" t="n">
        <v>46235</v>
      </c>
      <c r="B127" s="46" t="s">
        <v>57</v>
      </c>
      <c r="C127" s="47" t="n">
        <v>92000</v>
      </c>
    </row>
    <row r="128" customFormat="false" ht="15" hidden="false" customHeight="false" outlineLevel="0" collapsed="false">
      <c r="A128" s="53" t="n">
        <v>46235</v>
      </c>
      <c r="B128" s="46" t="s">
        <v>58</v>
      </c>
      <c r="C128" s="47" t="n">
        <v>61000</v>
      </c>
    </row>
    <row r="129" customFormat="false" ht="15" hidden="false" customHeight="false" outlineLevel="0" collapsed="false">
      <c r="A129" s="53" t="n">
        <v>46235</v>
      </c>
      <c r="B129" s="46" t="s">
        <v>59</v>
      </c>
      <c r="C129" s="47" t="n">
        <v>123000</v>
      </c>
    </row>
    <row r="130" customFormat="false" ht="15" hidden="false" customHeight="false" outlineLevel="0" collapsed="false">
      <c r="A130" s="53" t="n">
        <v>46266</v>
      </c>
      <c r="B130" s="46" t="s">
        <v>44</v>
      </c>
      <c r="C130" s="47" t="n">
        <v>9864000</v>
      </c>
    </row>
    <row r="131" customFormat="false" ht="15" hidden="false" customHeight="false" outlineLevel="0" collapsed="false">
      <c r="A131" s="53" t="n">
        <v>46266</v>
      </c>
      <c r="B131" s="46" t="s">
        <v>45</v>
      </c>
      <c r="C131" s="47" t="n">
        <v>8220000</v>
      </c>
    </row>
    <row r="132" customFormat="false" ht="15" hidden="false" customHeight="false" outlineLevel="0" collapsed="false">
      <c r="A132" s="53" t="n">
        <v>46266</v>
      </c>
      <c r="B132" s="46" t="s">
        <v>46</v>
      </c>
      <c r="C132" s="47" t="n">
        <v>5480000</v>
      </c>
    </row>
    <row r="133" customFormat="false" ht="15" hidden="false" customHeight="false" outlineLevel="0" collapsed="false">
      <c r="A133" s="53" t="n">
        <v>46266</v>
      </c>
      <c r="B133" s="46" t="s">
        <v>47</v>
      </c>
      <c r="C133" s="47" t="n">
        <v>3836000</v>
      </c>
    </row>
    <row r="134" customFormat="false" ht="15" hidden="false" customHeight="false" outlineLevel="0" collapsed="false">
      <c r="A134" s="53" t="n">
        <v>46266</v>
      </c>
      <c r="B134" s="46" t="s">
        <v>98</v>
      </c>
      <c r="C134" s="47" t="n">
        <v>8286000</v>
      </c>
    </row>
    <row r="135" customFormat="false" ht="15" hidden="false" customHeight="false" outlineLevel="0" collapsed="false">
      <c r="A135" s="53" t="n">
        <v>46266</v>
      </c>
      <c r="B135" s="46" t="s">
        <v>100</v>
      </c>
      <c r="C135" s="47" t="n">
        <v>7069000</v>
      </c>
    </row>
    <row r="136" customFormat="false" ht="15" hidden="false" customHeight="false" outlineLevel="0" collapsed="false">
      <c r="A136" s="53" t="n">
        <v>46266</v>
      </c>
      <c r="B136" s="46" t="s">
        <v>101</v>
      </c>
      <c r="C136" s="47" t="n">
        <v>4274000</v>
      </c>
    </row>
    <row r="137" customFormat="false" ht="15" hidden="false" customHeight="false" outlineLevel="0" collapsed="false">
      <c r="A137" s="53" t="n">
        <v>46266</v>
      </c>
      <c r="B137" s="46" t="s">
        <v>102</v>
      </c>
      <c r="C137" s="47" t="n">
        <v>2839000</v>
      </c>
    </row>
    <row r="138" customFormat="false" ht="15" hidden="false" customHeight="false" outlineLevel="0" collapsed="false">
      <c r="A138" s="53" t="n">
        <v>46266</v>
      </c>
      <c r="B138" s="46" t="s">
        <v>52</v>
      </c>
      <c r="C138" s="47" t="n">
        <v>1638000</v>
      </c>
    </row>
    <row r="139" customFormat="false" ht="15" hidden="false" customHeight="false" outlineLevel="0" collapsed="false">
      <c r="A139" s="53" t="n">
        <v>46266</v>
      </c>
      <c r="B139" s="46" t="s">
        <v>53</v>
      </c>
      <c r="C139" s="47" t="n">
        <v>563000</v>
      </c>
    </row>
    <row r="140" customFormat="false" ht="15" hidden="false" customHeight="false" outlineLevel="0" collapsed="false">
      <c r="A140" s="53" t="n">
        <v>46266</v>
      </c>
      <c r="B140" s="46" t="s">
        <v>54</v>
      </c>
      <c r="C140" s="47" t="n">
        <v>154000</v>
      </c>
    </row>
    <row r="141" customFormat="false" ht="15" hidden="false" customHeight="false" outlineLevel="0" collapsed="false">
      <c r="A141" s="53" t="n">
        <v>46266</v>
      </c>
      <c r="B141" s="46" t="s">
        <v>55</v>
      </c>
      <c r="C141" s="47" t="n">
        <v>717000</v>
      </c>
    </row>
    <row r="142" customFormat="false" ht="15" hidden="false" customHeight="false" outlineLevel="0" collapsed="false">
      <c r="A142" s="53" t="n">
        <v>46266</v>
      </c>
      <c r="B142" s="46" t="s">
        <v>56</v>
      </c>
      <c r="C142" s="47" t="n">
        <v>307000</v>
      </c>
    </row>
    <row r="143" customFormat="false" ht="15" hidden="false" customHeight="false" outlineLevel="0" collapsed="false">
      <c r="A143" s="53" t="n">
        <v>46266</v>
      </c>
      <c r="B143" s="46" t="s">
        <v>57</v>
      </c>
      <c r="C143" s="47" t="n">
        <v>92000</v>
      </c>
    </row>
    <row r="144" customFormat="false" ht="15" hidden="false" customHeight="false" outlineLevel="0" collapsed="false">
      <c r="A144" s="53" t="n">
        <v>46266</v>
      </c>
      <c r="B144" s="46" t="s">
        <v>58</v>
      </c>
      <c r="C144" s="47" t="n">
        <v>61000</v>
      </c>
    </row>
    <row r="145" customFormat="false" ht="15" hidden="false" customHeight="false" outlineLevel="0" collapsed="false">
      <c r="A145" s="53" t="n">
        <v>46266</v>
      </c>
      <c r="B145" s="46" t="s">
        <v>59</v>
      </c>
      <c r="C145" s="47" t="n">
        <v>123000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15"/>
  </cols>
  <sheetData>
    <row r="1" customFormat="false" ht="27.75" hidden="false" customHeight="true" outlineLevel="0" collapsed="false">
      <c r="A1" s="44" t="s">
        <v>105</v>
      </c>
      <c r="B1" s="44" t="s">
        <v>90</v>
      </c>
      <c r="C1" s="44" t="s">
        <v>91</v>
      </c>
      <c r="D1" s="44" t="s">
        <v>106</v>
      </c>
      <c r="E1" s="44" t="s">
        <v>107</v>
      </c>
    </row>
    <row r="2" customFormat="false" ht="15" hidden="false" customHeight="false" outlineLevel="0" collapsed="false">
      <c r="A2" s="54" t="n">
        <v>46023</v>
      </c>
      <c r="B2" s="46" t="s">
        <v>100</v>
      </c>
      <c r="C2" s="46" t="s">
        <v>99</v>
      </c>
      <c r="D2" s="46" t="s">
        <v>108</v>
      </c>
      <c r="E2" s="47" t="n">
        <v>673700</v>
      </c>
    </row>
    <row r="3" customFormat="false" ht="15" hidden="false" customHeight="false" outlineLevel="0" collapsed="false">
      <c r="A3" s="54" t="n">
        <v>46023</v>
      </c>
      <c r="B3" s="46" t="s">
        <v>56</v>
      </c>
      <c r="C3" s="46" t="s">
        <v>103</v>
      </c>
      <c r="D3" s="46" t="s">
        <v>109</v>
      </c>
      <c r="E3" s="47" t="n">
        <v>98100</v>
      </c>
    </row>
    <row r="4" customFormat="false" ht="15" hidden="false" customHeight="false" outlineLevel="0" collapsed="false">
      <c r="A4" s="54" t="n">
        <v>46023</v>
      </c>
      <c r="B4" s="46" t="s">
        <v>44</v>
      </c>
      <c r="C4" s="46" t="s">
        <v>97</v>
      </c>
      <c r="D4" s="46" t="s">
        <v>110</v>
      </c>
      <c r="E4" s="47" t="n">
        <v>255000</v>
      </c>
    </row>
    <row r="5" customFormat="false" ht="15" hidden="false" customHeight="false" outlineLevel="0" collapsed="false">
      <c r="A5" s="54" t="n">
        <v>46023</v>
      </c>
      <c r="B5" s="46" t="s">
        <v>45</v>
      </c>
      <c r="C5" s="46" t="s">
        <v>97</v>
      </c>
      <c r="D5" s="46" t="s">
        <v>110</v>
      </c>
      <c r="E5" s="47" t="n">
        <v>262700</v>
      </c>
    </row>
    <row r="6" customFormat="false" ht="15" hidden="false" customHeight="false" outlineLevel="0" collapsed="false">
      <c r="A6" s="54" t="n">
        <v>46023</v>
      </c>
      <c r="B6" s="46" t="s">
        <v>45</v>
      </c>
      <c r="C6" s="46" t="s">
        <v>97</v>
      </c>
      <c r="D6" s="46" t="s">
        <v>110</v>
      </c>
      <c r="E6" s="47" t="n">
        <v>495300</v>
      </c>
    </row>
    <row r="7" customFormat="false" ht="15" hidden="false" customHeight="false" outlineLevel="0" collapsed="false">
      <c r="A7" s="54" t="n">
        <v>46023</v>
      </c>
      <c r="B7" s="46" t="s">
        <v>55</v>
      </c>
      <c r="C7" s="46" t="s">
        <v>103</v>
      </c>
      <c r="D7" s="46" t="s">
        <v>109</v>
      </c>
      <c r="E7" s="47" t="n">
        <v>116100</v>
      </c>
    </row>
    <row r="8" customFormat="false" ht="15" hidden="false" customHeight="false" outlineLevel="0" collapsed="false">
      <c r="A8" s="54" t="n">
        <v>46023</v>
      </c>
      <c r="B8" s="46" t="s">
        <v>54</v>
      </c>
      <c r="C8" s="46" t="s">
        <v>103</v>
      </c>
      <c r="D8" s="46" t="s">
        <v>109</v>
      </c>
      <c r="E8" s="47" t="n">
        <v>72500</v>
      </c>
    </row>
    <row r="9" customFormat="false" ht="15" hidden="false" customHeight="false" outlineLevel="0" collapsed="false">
      <c r="A9" s="54" t="n">
        <v>46024</v>
      </c>
      <c r="B9" s="46" t="s">
        <v>58</v>
      </c>
      <c r="C9" s="46" t="s">
        <v>103</v>
      </c>
      <c r="D9" s="46" t="s">
        <v>109</v>
      </c>
      <c r="E9" s="47" t="n">
        <v>9400</v>
      </c>
    </row>
    <row r="10" customFormat="false" ht="15" hidden="false" customHeight="false" outlineLevel="0" collapsed="false">
      <c r="A10" s="54" t="n">
        <v>46024</v>
      </c>
      <c r="B10" s="46" t="s">
        <v>46</v>
      </c>
      <c r="C10" s="46" t="s">
        <v>97</v>
      </c>
      <c r="D10" s="46" t="s">
        <v>110</v>
      </c>
      <c r="E10" s="47" t="n">
        <v>267300</v>
      </c>
    </row>
    <row r="11" customFormat="false" ht="15" hidden="false" customHeight="false" outlineLevel="0" collapsed="false">
      <c r="A11" s="54" t="n">
        <v>46024</v>
      </c>
      <c r="B11" s="46" t="s">
        <v>45</v>
      </c>
      <c r="C11" s="46" t="s">
        <v>97</v>
      </c>
      <c r="D11" s="46" t="s">
        <v>110</v>
      </c>
      <c r="E11" s="47" t="n">
        <v>503200</v>
      </c>
    </row>
    <row r="12" customFormat="false" ht="15" hidden="false" customHeight="false" outlineLevel="0" collapsed="false">
      <c r="A12" s="54" t="n">
        <v>46024</v>
      </c>
      <c r="B12" s="46" t="s">
        <v>45</v>
      </c>
      <c r="C12" s="46" t="s">
        <v>97</v>
      </c>
      <c r="D12" s="46" t="s">
        <v>110</v>
      </c>
      <c r="E12" s="47" t="n">
        <v>244600</v>
      </c>
    </row>
    <row r="13" customFormat="false" ht="15" hidden="false" customHeight="false" outlineLevel="0" collapsed="false">
      <c r="A13" s="54" t="n">
        <v>46024</v>
      </c>
      <c r="B13" s="46" t="s">
        <v>55</v>
      </c>
      <c r="C13" s="46" t="s">
        <v>103</v>
      </c>
      <c r="D13" s="46" t="s">
        <v>109</v>
      </c>
      <c r="E13" s="47" t="n">
        <v>47200</v>
      </c>
    </row>
    <row r="14" customFormat="false" ht="15" hidden="false" customHeight="false" outlineLevel="0" collapsed="false">
      <c r="A14" s="54" t="n">
        <v>46025</v>
      </c>
      <c r="B14" s="46" t="s">
        <v>102</v>
      </c>
      <c r="C14" s="46" t="s">
        <v>99</v>
      </c>
      <c r="D14" s="46" t="s">
        <v>108</v>
      </c>
      <c r="E14" s="47" t="n">
        <v>509700</v>
      </c>
    </row>
    <row r="15" customFormat="false" ht="15" hidden="false" customHeight="false" outlineLevel="0" collapsed="false">
      <c r="A15" s="54" t="n">
        <v>46025</v>
      </c>
      <c r="B15" s="46" t="s">
        <v>46</v>
      </c>
      <c r="C15" s="46" t="s">
        <v>97</v>
      </c>
      <c r="D15" s="46" t="s">
        <v>110</v>
      </c>
      <c r="E15" s="47" t="n">
        <v>146300</v>
      </c>
    </row>
    <row r="16" customFormat="false" ht="15" hidden="false" customHeight="false" outlineLevel="0" collapsed="false">
      <c r="A16" s="54" t="n">
        <v>46025</v>
      </c>
      <c r="B16" s="46" t="s">
        <v>46</v>
      </c>
      <c r="C16" s="46" t="s">
        <v>97</v>
      </c>
      <c r="D16" s="46" t="s">
        <v>110</v>
      </c>
      <c r="E16" s="47" t="n">
        <v>154400</v>
      </c>
    </row>
    <row r="17" customFormat="false" ht="15" hidden="false" customHeight="false" outlineLevel="0" collapsed="false">
      <c r="A17" s="54" t="n">
        <v>46025</v>
      </c>
      <c r="B17" s="46" t="s">
        <v>44</v>
      </c>
      <c r="C17" s="46" t="s">
        <v>97</v>
      </c>
      <c r="D17" s="46" t="s">
        <v>110</v>
      </c>
      <c r="E17" s="47" t="n">
        <v>218600</v>
      </c>
    </row>
    <row r="18" customFormat="false" ht="15" hidden="false" customHeight="false" outlineLevel="0" collapsed="false">
      <c r="A18" s="54" t="n">
        <v>46025</v>
      </c>
      <c r="B18" s="46" t="s">
        <v>45</v>
      </c>
      <c r="C18" s="46" t="s">
        <v>97</v>
      </c>
      <c r="D18" s="46" t="s">
        <v>110</v>
      </c>
      <c r="E18" s="47" t="n">
        <v>480400</v>
      </c>
    </row>
    <row r="19" customFormat="false" ht="15" hidden="false" customHeight="false" outlineLevel="0" collapsed="false">
      <c r="A19" s="54" t="n">
        <v>46025</v>
      </c>
      <c r="B19" s="46" t="s">
        <v>54</v>
      </c>
      <c r="C19" s="46" t="s">
        <v>103</v>
      </c>
      <c r="D19" s="46" t="s">
        <v>109</v>
      </c>
      <c r="E19" s="47" t="n">
        <v>76300</v>
      </c>
    </row>
    <row r="20" customFormat="false" ht="15" hidden="false" customHeight="false" outlineLevel="0" collapsed="false">
      <c r="A20" s="54" t="n">
        <v>46026</v>
      </c>
      <c r="B20" s="46" t="s">
        <v>56</v>
      </c>
      <c r="C20" s="46" t="s">
        <v>103</v>
      </c>
      <c r="D20" s="46" t="s">
        <v>109</v>
      </c>
      <c r="E20" s="47" t="n">
        <v>73100</v>
      </c>
    </row>
    <row r="21" customFormat="false" ht="15" hidden="false" customHeight="false" outlineLevel="0" collapsed="false">
      <c r="A21" s="54" t="n">
        <v>46027</v>
      </c>
      <c r="B21" s="46" t="s">
        <v>101</v>
      </c>
      <c r="C21" s="46" t="s">
        <v>99</v>
      </c>
      <c r="D21" s="46" t="s">
        <v>108</v>
      </c>
      <c r="E21" s="47" t="n">
        <v>411800</v>
      </c>
    </row>
    <row r="22" customFormat="false" ht="15" hidden="false" customHeight="false" outlineLevel="0" collapsed="false">
      <c r="A22" s="54" t="n">
        <v>46027</v>
      </c>
      <c r="B22" s="46" t="s">
        <v>44</v>
      </c>
      <c r="C22" s="46" t="s">
        <v>97</v>
      </c>
      <c r="D22" s="46" t="s">
        <v>110</v>
      </c>
      <c r="E22" s="47" t="n">
        <v>400000</v>
      </c>
    </row>
    <row r="23" customFormat="false" ht="15" hidden="false" customHeight="false" outlineLevel="0" collapsed="false">
      <c r="A23" s="54" t="n">
        <v>46027</v>
      </c>
      <c r="B23" s="46" t="s">
        <v>47</v>
      </c>
      <c r="C23" s="46" t="s">
        <v>97</v>
      </c>
      <c r="D23" s="46" t="s">
        <v>110</v>
      </c>
      <c r="E23" s="47" t="n">
        <v>179900</v>
      </c>
    </row>
    <row r="24" customFormat="false" ht="15" hidden="false" customHeight="false" outlineLevel="0" collapsed="false">
      <c r="A24" s="54" t="n">
        <v>46028</v>
      </c>
      <c r="B24" s="46" t="s">
        <v>46</v>
      </c>
      <c r="C24" s="46" t="s">
        <v>97</v>
      </c>
      <c r="D24" s="46" t="s">
        <v>110</v>
      </c>
      <c r="E24" s="47" t="n">
        <v>133300</v>
      </c>
    </row>
    <row r="25" customFormat="false" ht="15" hidden="false" customHeight="false" outlineLevel="0" collapsed="false">
      <c r="A25" s="54" t="n">
        <v>46028</v>
      </c>
      <c r="B25" s="46" t="s">
        <v>46</v>
      </c>
      <c r="C25" s="46" t="s">
        <v>97</v>
      </c>
      <c r="D25" s="46" t="s">
        <v>110</v>
      </c>
      <c r="E25" s="47" t="n">
        <v>134500</v>
      </c>
    </row>
    <row r="26" customFormat="false" ht="15" hidden="false" customHeight="false" outlineLevel="0" collapsed="false">
      <c r="A26" s="54" t="n">
        <v>46028</v>
      </c>
      <c r="B26" s="46" t="s">
        <v>44</v>
      </c>
      <c r="C26" s="46" t="s">
        <v>97</v>
      </c>
      <c r="D26" s="46" t="s">
        <v>110</v>
      </c>
      <c r="E26" s="47" t="n">
        <v>487800</v>
      </c>
    </row>
    <row r="27" customFormat="false" ht="15" hidden="false" customHeight="false" outlineLevel="0" collapsed="false">
      <c r="A27" s="54" t="n">
        <v>46028</v>
      </c>
      <c r="B27" s="46" t="s">
        <v>44</v>
      </c>
      <c r="C27" s="46" t="s">
        <v>97</v>
      </c>
      <c r="D27" s="46" t="s">
        <v>110</v>
      </c>
      <c r="E27" s="47" t="n">
        <v>643900</v>
      </c>
    </row>
    <row r="28" customFormat="false" ht="15" hidden="false" customHeight="false" outlineLevel="0" collapsed="false">
      <c r="A28" s="54" t="n">
        <v>46028</v>
      </c>
      <c r="B28" s="46" t="s">
        <v>45</v>
      </c>
      <c r="C28" s="46" t="s">
        <v>97</v>
      </c>
      <c r="D28" s="46" t="s">
        <v>110</v>
      </c>
      <c r="E28" s="47" t="n">
        <v>511500</v>
      </c>
    </row>
    <row r="29" customFormat="false" ht="15" hidden="false" customHeight="false" outlineLevel="0" collapsed="false">
      <c r="A29" s="54" t="n">
        <v>46028</v>
      </c>
      <c r="B29" s="46" t="s">
        <v>47</v>
      </c>
      <c r="C29" s="46" t="s">
        <v>97</v>
      </c>
      <c r="D29" s="46" t="s">
        <v>110</v>
      </c>
      <c r="E29" s="47" t="n">
        <v>153100</v>
      </c>
    </row>
    <row r="30" customFormat="false" ht="15" hidden="false" customHeight="false" outlineLevel="0" collapsed="false">
      <c r="A30" s="54" t="n">
        <v>46028</v>
      </c>
      <c r="B30" s="46" t="s">
        <v>55</v>
      </c>
      <c r="C30" s="46" t="s">
        <v>103</v>
      </c>
      <c r="D30" s="46" t="s">
        <v>109</v>
      </c>
      <c r="E30" s="47" t="n">
        <v>105300</v>
      </c>
    </row>
    <row r="31" customFormat="false" ht="15" hidden="false" customHeight="false" outlineLevel="0" collapsed="false">
      <c r="A31" s="54" t="n">
        <v>46029</v>
      </c>
      <c r="B31" s="46" t="s">
        <v>58</v>
      </c>
      <c r="C31" s="46" t="s">
        <v>103</v>
      </c>
      <c r="D31" s="46" t="s">
        <v>109</v>
      </c>
      <c r="E31" s="47" t="n">
        <v>9700</v>
      </c>
    </row>
    <row r="32" customFormat="false" ht="15" hidden="false" customHeight="false" outlineLevel="0" collapsed="false">
      <c r="A32" s="54" t="n">
        <v>46029</v>
      </c>
      <c r="B32" s="46" t="s">
        <v>98</v>
      </c>
      <c r="C32" s="46" t="s">
        <v>99</v>
      </c>
      <c r="D32" s="46" t="s">
        <v>108</v>
      </c>
      <c r="E32" s="47" t="n">
        <v>1477900</v>
      </c>
    </row>
    <row r="33" customFormat="false" ht="15" hidden="false" customHeight="false" outlineLevel="0" collapsed="false">
      <c r="A33" s="54" t="n">
        <v>46029</v>
      </c>
      <c r="B33" s="46" t="s">
        <v>45</v>
      </c>
      <c r="C33" s="46" t="s">
        <v>97</v>
      </c>
      <c r="D33" s="46" t="s">
        <v>110</v>
      </c>
      <c r="E33" s="47" t="n">
        <v>446700</v>
      </c>
    </row>
    <row r="34" customFormat="false" ht="15" hidden="false" customHeight="false" outlineLevel="0" collapsed="false">
      <c r="A34" s="54" t="n">
        <v>46030</v>
      </c>
      <c r="B34" s="46" t="s">
        <v>101</v>
      </c>
      <c r="C34" s="46" t="s">
        <v>99</v>
      </c>
      <c r="D34" s="46" t="s">
        <v>108</v>
      </c>
      <c r="E34" s="47" t="n">
        <v>917500</v>
      </c>
    </row>
    <row r="35" customFormat="false" ht="15" hidden="false" customHeight="false" outlineLevel="0" collapsed="false">
      <c r="A35" s="54" t="n">
        <v>46030</v>
      </c>
      <c r="B35" s="46" t="s">
        <v>101</v>
      </c>
      <c r="C35" s="46" t="s">
        <v>99</v>
      </c>
      <c r="D35" s="46" t="s">
        <v>108</v>
      </c>
      <c r="E35" s="47" t="n">
        <v>597000</v>
      </c>
    </row>
    <row r="36" customFormat="false" ht="15" hidden="false" customHeight="false" outlineLevel="0" collapsed="false">
      <c r="A36" s="54" t="n">
        <v>46030</v>
      </c>
      <c r="B36" s="46" t="s">
        <v>44</v>
      </c>
      <c r="C36" s="46" t="s">
        <v>97</v>
      </c>
      <c r="D36" s="46" t="s">
        <v>110</v>
      </c>
      <c r="E36" s="47" t="n">
        <v>608300</v>
      </c>
    </row>
    <row r="37" customFormat="false" ht="15" hidden="false" customHeight="false" outlineLevel="0" collapsed="false">
      <c r="A37" s="54" t="n">
        <v>46030</v>
      </c>
      <c r="B37" s="46" t="s">
        <v>44</v>
      </c>
      <c r="C37" s="46" t="s">
        <v>97</v>
      </c>
      <c r="D37" s="46" t="s">
        <v>110</v>
      </c>
      <c r="E37" s="47" t="n">
        <v>372600</v>
      </c>
    </row>
    <row r="38" customFormat="false" ht="15" hidden="false" customHeight="false" outlineLevel="0" collapsed="false">
      <c r="A38" s="54" t="n">
        <v>46030</v>
      </c>
      <c r="B38" s="46" t="s">
        <v>45</v>
      </c>
      <c r="C38" s="46" t="s">
        <v>97</v>
      </c>
      <c r="D38" s="46" t="s">
        <v>110</v>
      </c>
      <c r="E38" s="47" t="n">
        <v>699000</v>
      </c>
    </row>
    <row r="39" customFormat="false" ht="15" hidden="false" customHeight="false" outlineLevel="0" collapsed="false">
      <c r="A39" s="54" t="n">
        <v>46030</v>
      </c>
      <c r="B39" s="46" t="s">
        <v>47</v>
      </c>
      <c r="C39" s="46" t="s">
        <v>97</v>
      </c>
      <c r="D39" s="46" t="s">
        <v>110</v>
      </c>
      <c r="E39" s="47" t="n">
        <v>62900</v>
      </c>
    </row>
    <row r="40" customFormat="false" ht="15" hidden="false" customHeight="false" outlineLevel="0" collapsed="false">
      <c r="A40" s="54" t="n">
        <v>46030</v>
      </c>
      <c r="B40" s="46" t="s">
        <v>47</v>
      </c>
      <c r="C40" s="46" t="s">
        <v>97</v>
      </c>
      <c r="D40" s="46" t="s">
        <v>110</v>
      </c>
      <c r="E40" s="47" t="n">
        <v>127800</v>
      </c>
    </row>
    <row r="41" customFormat="false" ht="15" hidden="false" customHeight="false" outlineLevel="0" collapsed="false">
      <c r="A41" s="54" t="n">
        <v>46031</v>
      </c>
      <c r="B41" s="46" t="s">
        <v>100</v>
      </c>
      <c r="C41" s="46" t="s">
        <v>99</v>
      </c>
      <c r="D41" s="46" t="s">
        <v>108</v>
      </c>
      <c r="E41" s="47" t="n">
        <v>1357700</v>
      </c>
    </row>
    <row r="42" customFormat="false" ht="15" hidden="false" customHeight="false" outlineLevel="0" collapsed="false">
      <c r="A42" s="54" t="n">
        <v>46031</v>
      </c>
      <c r="B42" s="46" t="s">
        <v>57</v>
      </c>
      <c r="C42" s="46" t="s">
        <v>103</v>
      </c>
      <c r="D42" s="46" t="s">
        <v>109</v>
      </c>
      <c r="E42" s="47" t="n">
        <v>91600</v>
      </c>
    </row>
    <row r="43" customFormat="false" ht="15" hidden="false" customHeight="false" outlineLevel="0" collapsed="false">
      <c r="A43" s="54" t="n">
        <v>46031</v>
      </c>
      <c r="B43" s="46" t="s">
        <v>46</v>
      </c>
      <c r="C43" s="46" t="s">
        <v>97</v>
      </c>
      <c r="D43" s="46" t="s">
        <v>110</v>
      </c>
      <c r="E43" s="47" t="n">
        <v>231800</v>
      </c>
    </row>
    <row r="44" customFormat="false" ht="15" hidden="false" customHeight="false" outlineLevel="0" collapsed="false">
      <c r="A44" s="54" t="n">
        <v>46031</v>
      </c>
      <c r="B44" s="46" t="s">
        <v>44</v>
      </c>
      <c r="C44" s="46" t="s">
        <v>97</v>
      </c>
      <c r="D44" s="46" t="s">
        <v>110</v>
      </c>
      <c r="E44" s="47" t="n">
        <v>425100</v>
      </c>
    </row>
    <row r="45" customFormat="false" ht="15" hidden="false" customHeight="false" outlineLevel="0" collapsed="false">
      <c r="A45" s="54" t="n">
        <v>46031</v>
      </c>
      <c r="B45" s="46" t="s">
        <v>44</v>
      </c>
      <c r="C45" s="46" t="s">
        <v>97</v>
      </c>
      <c r="D45" s="46" t="s">
        <v>110</v>
      </c>
      <c r="E45" s="47" t="n">
        <v>308700</v>
      </c>
    </row>
    <row r="46" customFormat="false" ht="15" hidden="false" customHeight="false" outlineLevel="0" collapsed="false">
      <c r="A46" s="54" t="n">
        <v>46031</v>
      </c>
      <c r="B46" s="46" t="s">
        <v>55</v>
      </c>
      <c r="C46" s="46" t="s">
        <v>103</v>
      </c>
      <c r="D46" s="46" t="s">
        <v>109</v>
      </c>
      <c r="E46" s="47" t="n">
        <v>38000</v>
      </c>
    </row>
    <row r="47" customFormat="false" ht="15" hidden="false" customHeight="false" outlineLevel="0" collapsed="false">
      <c r="A47" s="54" t="n">
        <v>46032</v>
      </c>
      <c r="B47" s="46" t="s">
        <v>44</v>
      </c>
      <c r="C47" s="46" t="s">
        <v>97</v>
      </c>
      <c r="D47" s="46" t="s">
        <v>110</v>
      </c>
      <c r="E47" s="47" t="n">
        <v>452200</v>
      </c>
    </row>
    <row r="48" customFormat="false" ht="15" hidden="false" customHeight="false" outlineLevel="0" collapsed="false">
      <c r="A48" s="54" t="n">
        <v>46032</v>
      </c>
      <c r="B48" s="46" t="s">
        <v>45</v>
      </c>
      <c r="C48" s="46" t="s">
        <v>97</v>
      </c>
      <c r="D48" s="46" t="s">
        <v>110</v>
      </c>
      <c r="E48" s="47" t="n">
        <v>409700</v>
      </c>
    </row>
    <row r="49" customFormat="false" ht="15" hidden="false" customHeight="false" outlineLevel="0" collapsed="false">
      <c r="A49" s="54" t="n">
        <v>46032</v>
      </c>
      <c r="B49" s="46" t="s">
        <v>45</v>
      </c>
      <c r="C49" s="46" t="s">
        <v>97</v>
      </c>
      <c r="D49" s="46" t="s">
        <v>110</v>
      </c>
      <c r="E49" s="47" t="n">
        <v>215400</v>
      </c>
    </row>
    <row r="50" customFormat="false" ht="15" hidden="false" customHeight="false" outlineLevel="0" collapsed="false">
      <c r="A50" s="54" t="n">
        <v>46032</v>
      </c>
      <c r="B50" s="46" t="s">
        <v>47</v>
      </c>
      <c r="C50" s="46" t="s">
        <v>97</v>
      </c>
      <c r="D50" s="46" t="s">
        <v>110</v>
      </c>
      <c r="E50" s="47" t="n">
        <v>117700</v>
      </c>
    </row>
    <row r="51" customFormat="false" ht="15" hidden="false" customHeight="false" outlineLevel="0" collapsed="false">
      <c r="A51" s="54" t="n">
        <v>46032</v>
      </c>
      <c r="B51" s="46" t="s">
        <v>47</v>
      </c>
      <c r="C51" s="46" t="s">
        <v>97</v>
      </c>
      <c r="D51" s="46" t="s">
        <v>110</v>
      </c>
      <c r="E51" s="47" t="n">
        <v>201400</v>
      </c>
    </row>
    <row r="52" customFormat="false" ht="15" hidden="false" customHeight="false" outlineLevel="0" collapsed="false">
      <c r="A52" s="54" t="n">
        <v>46033</v>
      </c>
      <c r="B52" s="46" t="s">
        <v>100</v>
      </c>
      <c r="C52" s="46" t="s">
        <v>99</v>
      </c>
      <c r="D52" s="46" t="s">
        <v>108</v>
      </c>
      <c r="E52" s="47" t="n">
        <v>1242300</v>
      </c>
    </row>
    <row r="53" customFormat="false" ht="15" hidden="false" customHeight="false" outlineLevel="0" collapsed="false">
      <c r="A53" s="54" t="n">
        <v>46033</v>
      </c>
      <c r="B53" s="46" t="s">
        <v>46</v>
      </c>
      <c r="C53" s="46" t="s">
        <v>97</v>
      </c>
      <c r="D53" s="46" t="s">
        <v>110</v>
      </c>
      <c r="E53" s="47" t="n">
        <v>186300</v>
      </c>
    </row>
    <row r="54" customFormat="false" ht="15" hidden="false" customHeight="false" outlineLevel="0" collapsed="false">
      <c r="A54" s="54" t="n">
        <v>46033</v>
      </c>
      <c r="B54" s="46" t="s">
        <v>45</v>
      </c>
      <c r="C54" s="46" t="s">
        <v>97</v>
      </c>
      <c r="D54" s="46" t="s">
        <v>110</v>
      </c>
      <c r="E54" s="47" t="n">
        <v>480000</v>
      </c>
    </row>
    <row r="55" customFormat="false" ht="15" hidden="false" customHeight="false" outlineLevel="0" collapsed="false">
      <c r="A55" s="54" t="n">
        <v>46034</v>
      </c>
      <c r="B55" s="46" t="s">
        <v>44</v>
      </c>
      <c r="C55" s="46" t="s">
        <v>97</v>
      </c>
      <c r="D55" s="46" t="s">
        <v>110</v>
      </c>
      <c r="E55" s="47" t="n">
        <v>325400</v>
      </c>
    </row>
    <row r="56" customFormat="false" ht="15" hidden="false" customHeight="false" outlineLevel="0" collapsed="false">
      <c r="A56" s="54" t="n">
        <v>46034</v>
      </c>
      <c r="B56" s="46" t="s">
        <v>44</v>
      </c>
      <c r="C56" s="46" t="s">
        <v>97</v>
      </c>
      <c r="D56" s="46" t="s">
        <v>110</v>
      </c>
      <c r="E56" s="47" t="n">
        <v>593300</v>
      </c>
    </row>
    <row r="57" customFormat="false" ht="15" hidden="false" customHeight="false" outlineLevel="0" collapsed="false">
      <c r="A57" s="54" t="n">
        <v>46034</v>
      </c>
      <c r="B57" s="46" t="s">
        <v>45</v>
      </c>
      <c r="C57" s="46" t="s">
        <v>97</v>
      </c>
      <c r="D57" s="46" t="s">
        <v>110</v>
      </c>
      <c r="E57" s="47" t="n">
        <v>275300</v>
      </c>
    </row>
    <row r="58" customFormat="false" ht="15" hidden="false" customHeight="false" outlineLevel="0" collapsed="false">
      <c r="A58" s="54" t="n">
        <v>46035</v>
      </c>
      <c r="B58" s="46" t="s">
        <v>58</v>
      </c>
      <c r="C58" s="46" t="s">
        <v>103</v>
      </c>
      <c r="D58" s="46" t="s">
        <v>109</v>
      </c>
      <c r="E58" s="47" t="n">
        <v>6900</v>
      </c>
    </row>
    <row r="59" customFormat="false" ht="15" hidden="false" customHeight="false" outlineLevel="0" collapsed="false">
      <c r="A59" s="54" t="n">
        <v>46035</v>
      </c>
      <c r="B59" s="46" t="s">
        <v>100</v>
      </c>
      <c r="C59" s="46" t="s">
        <v>99</v>
      </c>
      <c r="D59" s="46" t="s">
        <v>108</v>
      </c>
      <c r="E59" s="47" t="n">
        <v>619400</v>
      </c>
    </row>
    <row r="60" customFormat="false" ht="15" hidden="false" customHeight="false" outlineLevel="0" collapsed="false">
      <c r="A60" s="54" t="n">
        <v>46035</v>
      </c>
      <c r="B60" s="46" t="s">
        <v>47</v>
      </c>
      <c r="C60" s="46" t="s">
        <v>97</v>
      </c>
      <c r="D60" s="46" t="s">
        <v>110</v>
      </c>
      <c r="E60" s="47" t="n">
        <v>132700</v>
      </c>
    </row>
    <row r="61" customFormat="false" ht="15" hidden="false" customHeight="false" outlineLevel="0" collapsed="false">
      <c r="A61" s="54" t="n">
        <v>46035</v>
      </c>
      <c r="B61" s="46" t="s">
        <v>47</v>
      </c>
      <c r="C61" s="46" t="s">
        <v>97</v>
      </c>
      <c r="D61" s="46" t="s">
        <v>110</v>
      </c>
      <c r="E61" s="47" t="n">
        <v>240500</v>
      </c>
    </row>
    <row r="62" customFormat="false" ht="15" hidden="false" customHeight="false" outlineLevel="0" collapsed="false">
      <c r="A62" s="54" t="n">
        <v>46035</v>
      </c>
      <c r="B62" s="46" t="s">
        <v>47</v>
      </c>
      <c r="C62" s="46" t="s">
        <v>97</v>
      </c>
      <c r="D62" s="46" t="s">
        <v>110</v>
      </c>
      <c r="E62" s="47" t="n">
        <v>231100</v>
      </c>
    </row>
    <row r="63" customFormat="false" ht="15" hidden="false" customHeight="false" outlineLevel="0" collapsed="false">
      <c r="A63" s="54" t="n">
        <v>46035</v>
      </c>
      <c r="B63" s="46" t="s">
        <v>47</v>
      </c>
      <c r="C63" s="46" t="s">
        <v>97</v>
      </c>
      <c r="D63" s="46" t="s">
        <v>110</v>
      </c>
      <c r="E63" s="47" t="n">
        <v>84200</v>
      </c>
    </row>
    <row r="64" customFormat="false" ht="15" hidden="false" customHeight="false" outlineLevel="0" collapsed="false">
      <c r="A64" s="54" t="n">
        <v>46036</v>
      </c>
      <c r="B64" s="46" t="s">
        <v>98</v>
      </c>
      <c r="C64" s="46" t="s">
        <v>99</v>
      </c>
      <c r="D64" s="46" t="s">
        <v>108</v>
      </c>
      <c r="E64" s="47" t="n">
        <v>989000</v>
      </c>
    </row>
    <row r="65" customFormat="false" ht="15" hidden="false" customHeight="false" outlineLevel="0" collapsed="false">
      <c r="A65" s="54" t="n">
        <v>46036</v>
      </c>
      <c r="B65" s="46" t="s">
        <v>46</v>
      </c>
      <c r="C65" s="46" t="s">
        <v>97</v>
      </c>
      <c r="D65" s="46" t="s">
        <v>110</v>
      </c>
      <c r="E65" s="47" t="n">
        <v>330000</v>
      </c>
    </row>
    <row r="66" customFormat="false" ht="15" hidden="false" customHeight="false" outlineLevel="0" collapsed="false">
      <c r="A66" s="54" t="n">
        <v>46036</v>
      </c>
      <c r="B66" s="46" t="s">
        <v>46</v>
      </c>
      <c r="C66" s="46" t="s">
        <v>97</v>
      </c>
      <c r="D66" s="46" t="s">
        <v>110</v>
      </c>
      <c r="E66" s="47" t="n">
        <v>98000</v>
      </c>
    </row>
    <row r="67" customFormat="false" ht="15" hidden="false" customHeight="false" outlineLevel="0" collapsed="false">
      <c r="A67" s="54" t="n">
        <v>46036</v>
      </c>
      <c r="B67" s="46" t="s">
        <v>46</v>
      </c>
      <c r="C67" s="46" t="s">
        <v>97</v>
      </c>
      <c r="D67" s="46" t="s">
        <v>110</v>
      </c>
      <c r="E67" s="47" t="n">
        <v>218500</v>
      </c>
    </row>
    <row r="68" customFormat="false" ht="15" hidden="false" customHeight="false" outlineLevel="0" collapsed="false">
      <c r="A68" s="54" t="n">
        <v>46036</v>
      </c>
      <c r="B68" s="46" t="s">
        <v>45</v>
      </c>
      <c r="C68" s="46" t="s">
        <v>97</v>
      </c>
      <c r="D68" s="46" t="s">
        <v>110</v>
      </c>
      <c r="E68" s="47" t="n">
        <v>490800</v>
      </c>
    </row>
    <row r="69" customFormat="false" ht="15" hidden="false" customHeight="false" outlineLevel="0" collapsed="false">
      <c r="A69" s="54" t="n">
        <v>46036</v>
      </c>
      <c r="B69" s="46" t="s">
        <v>47</v>
      </c>
      <c r="C69" s="46" t="s">
        <v>97</v>
      </c>
      <c r="D69" s="46" t="s">
        <v>110</v>
      </c>
      <c r="E69" s="47" t="n">
        <v>129800</v>
      </c>
    </row>
    <row r="70" customFormat="false" ht="15" hidden="false" customHeight="false" outlineLevel="0" collapsed="false">
      <c r="A70" s="54" t="n">
        <v>46037</v>
      </c>
      <c r="B70" s="46" t="s">
        <v>98</v>
      </c>
      <c r="C70" s="46" t="s">
        <v>99</v>
      </c>
      <c r="D70" s="46" t="s">
        <v>108</v>
      </c>
      <c r="E70" s="47" t="n">
        <v>935200</v>
      </c>
    </row>
    <row r="71" customFormat="false" ht="15" hidden="false" customHeight="false" outlineLevel="0" collapsed="false">
      <c r="A71" s="54" t="n">
        <v>46037</v>
      </c>
      <c r="B71" s="46" t="s">
        <v>59</v>
      </c>
      <c r="C71" s="46" t="s">
        <v>103</v>
      </c>
      <c r="D71" s="46" t="s">
        <v>109</v>
      </c>
      <c r="E71" s="47" t="n">
        <v>95100</v>
      </c>
    </row>
    <row r="72" customFormat="false" ht="15" hidden="false" customHeight="false" outlineLevel="0" collapsed="false">
      <c r="A72" s="54" t="n">
        <v>46037</v>
      </c>
      <c r="B72" s="46" t="s">
        <v>55</v>
      </c>
      <c r="C72" s="46" t="s">
        <v>103</v>
      </c>
      <c r="D72" s="46" t="s">
        <v>109</v>
      </c>
      <c r="E72" s="47" t="n">
        <v>108600</v>
      </c>
    </row>
    <row r="73" customFormat="false" ht="15" hidden="false" customHeight="false" outlineLevel="0" collapsed="false">
      <c r="A73" s="54" t="n">
        <v>46037</v>
      </c>
      <c r="B73" s="46" t="s">
        <v>55</v>
      </c>
      <c r="C73" s="46" t="s">
        <v>103</v>
      </c>
      <c r="D73" s="46" t="s">
        <v>109</v>
      </c>
      <c r="E73" s="47" t="n">
        <v>60300</v>
      </c>
    </row>
    <row r="74" customFormat="false" ht="15" hidden="false" customHeight="false" outlineLevel="0" collapsed="false">
      <c r="A74" s="54" t="n">
        <v>46037</v>
      </c>
      <c r="B74" s="46" t="s">
        <v>55</v>
      </c>
      <c r="C74" s="46" t="s">
        <v>103</v>
      </c>
      <c r="D74" s="46" t="s">
        <v>109</v>
      </c>
      <c r="E74" s="47" t="n">
        <v>95700</v>
      </c>
    </row>
    <row r="75" customFormat="false" ht="15" hidden="false" customHeight="false" outlineLevel="0" collapsed="false">
      <c r="A75" s="54" t="n">
        <v>46038</v>
      </c>
      <c r="B75" s="46" t="s">
        <v>101</v>
      </c>
      <c r="C75" s="46" t="s">
        <v>99</v>
      </c>
      <c r="D75" s="46" t="s">
        <v>108</v>
      </c>
      <c r="E75" s="47" t="n">
        <v>528700</v>
      </c>
    </row>
    <row r="76" customFormat="false" ht="15" hidden="false" customHeight="false" outlineLevel="0" collapsed="false">
      <c r="A76" s="54" t="n">
        <v>46038</v>
      </c>
      <c r="B76" s="46" t="s">
        <v>102</v>
      </c>
      <c r="C76" s="46" t="s">
        <v>99</v>
      </c>
      <c r="D76" s="46" t="s">
        <v>108</v>
      </c>
      <c r="E76" s="47" t="n">
        <v>479500</v>
      </c>
    </row>
    <row r="77" customFormat="false" ht="15" hidden="false" customHeight="false" outlineLevel="0" collapsed="false">
      <c r="A77" s="54" t="n">
        <v>46038</v>
      </c>
      <c r="B77" s="46" t="s">
        <v>102</v>
      </c>
      <c r="C77" s="46" t="s">
        <v>99</v>
      </c>
      <c r="D77" s="46" t="s">
        <v>108</v>
      </c>
      <c r="E77" s="47" t="n">
        <v>397700</v>
      </c>
    </row>
    <row r="78" customFormat="false" ht="15" hidden="false" customHeight="false" outlineLevel="0" collapsed="false">
      <c r="A78" s="54" t="n">
        <v>46038</v>
      </c>
      <c r="B78" s="46" t="s">
        <v>45</v>
      </c>
      <c r="C78" s="46" t="s">
        <v>97</v>
      </c>
      <c r="D78" s="46" t="s">
        <v>110</v>
      </c>
      <c r="E78" s="47" t="n">
        <v>461700</v>
      </c>
    </row>
    <row r="79" customFormat="false" ht="15" hidden="false" customHeight="false" outlineLevel="0" collapsed="false">
      <c r="A79" s="54" t="n">
        <v>46038</v>
      </c>
      <c r="B79" s="46" t="s">
        <v>47</v>
      </c>
      <c r="C79" s="46" t="s">
        <v>97</v>
      </c>
      <c r="D79" s="46" t="s">
        <v>110</v>
      </c>
      <c r="E79" s="47" t="n">
        <v>224400</v>
      </c>
    </row>
    <row r="80" customFormat="false" ht="15" hidden="false" customHeight="false" outlineLevel="0" collapsed="false">
      <c r="A80" s="54" t="n">
        <v>46038</v>
      </c>
      <c r="B80" s="46" t="s">
        <v>47</v>
      </c>
      <c r="C80" s="46" t="s">
        <v>97</v>
      </c>
      <c r="D80" s="46" t="s">
        <v>110</v>
      </c>
      <c r="E80" s="47" t="n">
        <v>189100</v>
      </c>
    </row>
    <row r="81" customFormat="false" ht="15" hidden="false" customHeight="false" outlineLevel="0" collapsed="false">
      <c r="A81" s="54" t="n">
        <v>46039</v>
      </c>
      <c r="B81" s="46" t="s">
        <v>58</v>
      </c>
      <c r="C81" s="46" t="s">
        <v>103</v>
      </c>
      <c r="D81" s="46" t="s">
        <v>109</v>
      </c>
      <c r="E81" s="47" t="n">
        <v>9000</v>
      </c>
    </row>
    <row r="82" customFormat="false" ht="15" hidden="false" customHeight="false" outlineLevel="0" collapsed="false">
      <c r="A82" s="54" t="n">
        <v>46039</v>
      </c>
      <c r="B82" s="46" t="s">
        <v>98</v>
      </c>
      <c r="C82" s="46" t="s">
        <v>99</v>
      </c>
      <c r="D82" s="46" t="s">
        <v>108</v>
      </c>
      <c r="E82" s="47" t="n">
        <v>432100</v>
      </c>
    </row>
    <row r="83" customFormat="false" ht="15" hidden="false" customHeight="false" outlineLevel="0" collapsed="false">
      <c r="A83" s="54" t="n">
        <v>46039</v>
      </c>
      <c r="B83" s="46" t="s">
        <v>102</v>
      </c>
      <c r="C83" s="46" t="s">
        <v>99</v>
      </c>
      <c r="D83" s="46" t="s">
        <v>108</v>
      </c>
      <c r="E83" s="47" t="n">
        <v>642600</v>
      </c>
    </row>
    <row r="84" customFormat="false" ht="15" hidden="false" customHeight="false" outlineLevel="0" collapsed="false">
      <c r="A84" s="54" t="n">
        <v>46039</v>
      </c>
      <c r="B84" s="46" t="s">
        <v>46</v>
      </c>
      <c r="C84" s="46" t="s">
        <v>97</v>
      </c>
      <c r="D84" s="46" t="s">
        <v>110</v>
      </c>
      <c r="E84" s="47" t="n">
        <v>266200</v>
      </c>
    </row>
    <row r="85" customFormat="false" ht="15" hidden="false" customHeight="false" outlineLevel="0" collapsed="false">
      <c r="A85" s="54" t="n">
        <v>46039</v>
      </c>
      <c r="B85" s="46" t="s">
        <v>44</v>
      </c>
      <c r="C85" s="46" t="s">
        <v>97</v>
      </c>
      <c r="D85" s="46" t="s">
        <v>110</v>
      </c>
      <c r="E85" s="47" t="n">
        <v>585800</v>
      </c>
    </row>
    <row r="86" customFormat="false" ht="15" hidden="false" customHeight="false" outlineLevel="0" collapsed="false">
      <c r="A86" s="54" t="n">
        <v>46039</v>
      </c>
      <c r="B86" s="46" t="s">
        <v>47</v>
      </c>
      <c r="C86" s="46" t="s">
        <v>97</v>
      </c>
      <c r="D86" s="46" t="s">
        <v>110</v>
      </c>
      <c r="E86" s="47" t="n">
        <v>197800</v>
      </c>
    </row>
    <row r="87" customFormat="false" ht="15" hidden="false" customHeight="false" outlineLevel="0" collapsed="false">
      <c r="A87" s="54" t="n">
        <v>46039</v>
      </c>
      <c r="B87" s="46" t="s">
        <v>47</v>
      </c>
      <c r="C87" s="46" t="s">
        <v>97</v>
      </c>
      <c r="D87" s="46" t="s">
        <v>110</v>
      </c>
      <c r="E87" s="47" t="n">
        <v>216200</v>
      </c>
    </row>
    <row r="88" customFormat="false" ht="15" hidden="false" customHeight="false" outlineLevel="0" collapsed="false">
      <c r="A88" s="54" t="n">
        <v>46039</v>
      </c>
      <c r="B88" s="46" t="s">
        <v>55</v>
      </c>
      <c r="C88" s="46" t="s">
        <v>103</v>
      </c>
      <c r="D88" s="46" t="s">
        <v>109</v>
      </c>
      <c r="E88" s="47" t="n">
        <v>50000</v>
      </c>
    </row>
    <row r="89" customFormat="false" ht="15" hidden="false" customHeight="false" outlineLevel="0" collapsed="false">
      <c r="A89" s="54" t="n">
        <v>46040</v>
      </c>
      <c r="B89" s="46" t="s">
        <v>45</v>
      </c>
      <c r="C89" s="46" t="s">
        <v>97</v>
      </c>
      <c r="D89" s="46" t="s">
        <v>110</v>
      </c>
      <c r="E89" s="47" t="n">
        <v>300200</v>
      </c>
    </row>
    <row r="90" customFormat="false" ht="15" hidden="false" customHeight="false" outlineLevel="0" collapsed="false">
      <c r="A90" s="54" t="n">
        <v>46040</v>
      </c>
      <c r="B90" s="46" t="s">
        <v>47</v>
      </c>
      <c r="C90" s="46" t="s">
        <v>97</v>
      </c>
      <c r="D90" s="46" t="s">
        <v>110</v>
      </c>
      <c r="E90" s="47" t="n">
        <v>101200</v>
      </c>
    </row>
    <row r="91" customFormat="false" ht="15" hidden="false" customHeight="false" outlineLevel="0" collapsed="false">
      <c r="A91" s="54" t="n">
        <v>46041</v>
      </c>
      <c r="B91" s="46" t="s">
        <v>58</v>
      </c>
      <c r="C91" s="46" t="s">
        <v>103</v>
      </c>
      <c r="D91" s="46" t="s">
        <v>109</v>
      </c>
      <c r="E91" s="47" t="n">
        <v>10900</v>
      </c>
    </row>
    <row r="92" customFormat="false" ht="15" hidden="false" customHeight="false" outlineLevel="0" collapsed="false">
      <c r="A92" s="54" t="n">
        <v>46041</v>
      </c>
      <c r="B92" s="46" t="s">
        <v>102</v>
      </c>
      <c r="C92" s="46" t="s">
        <v>99</v>
      </c>
      <c r="D92" s="46" t="s">
        <v>108</v>
      </c>
      <c r="E92" s="47" t="n">
        <v>238500</v>
      </c>
    </row>
    <row r="93" customFormat="false" ht="15" hidden="false" customHeight="false" outlineLevel="0" collapsed="false">
      <c r="A93" s="54" t="n">
        <v>46041</v>
      </c>
      <c r="B93" s="46" t="s">
        <v>46</v>
      </c>
      <c r="C93" s="46" t="s">
        <v>97</v>
      </c>
      <c r="D93" s="46" t="s">
        <v>110</v>
      </c>
      <c r="E93" s="47" t="n">
        <v>164100</v>
      </c>
    </row>
    <row r="94" customFormat="false" ht="15" hidden="false" customHeight="false" outlineLevel="0" collapsed="false">
      <c r="A94" s="54" t="n">
        <v>46041</v>
      </c>
      <c r="B94" s="46" t="s">
        <v>44</v>
      </c>
      <c r="C94" s="46" t="s">
        <v>97</v>
      </c>
      <c r="D94" s="46" t="s">
        <v>110</v>
      </c>
      <c r="E94" s="47" t="n">
        <v>554000</v>
      </c>
    </row>
    <row r="95" customFormat="false" ht="15" hidden="false" customHeight="false" outlineLevel="0" collapsed="false">
      <c r="A95" s="54" t="n">
        <v>46041</v>
      </c>
      <c r="B95" s="46" t="s">
        <v>47</v>
      </c>
      <c r="C95" s="46" t="s">
        <v>97</v>
      </c>
      <c r="D95" s="46" t="s">
        <v>110</v>
      </c>
      <c r="E95" s="47" t="n">
        <v>192700</v>
      </c>
    </row>
    <row r="96" customFormat="false" ht="15" hidden="false" customHeight="false" outlineLevel="0" collapsed="false">
      <c r="A96" s="54" t="n">
        <v>46041</v>
      </c>
      <c r="B96" s="46" t="s">
        <v>47</v>
      </c>
      <c r="C96" s="46" t="s">
        <v>97</v>
      </c>
      <c r="D96" s="46" t="s">
        <v>110</v>
      </c>
      <c r="E96" s="47" t="n">
        <v>144000</v>
      </c>
    </row>
    <row r="97" customFormat="false" ht="15" hidden="false" customHeight="false" outlineLevel="0" collapsed="false">
      <c r="A97" s="54" t="n">
        <v>46042</v>
      </c>
      <c r="B97" s="46" t="s">
        <v>46</v>
      </c>
      <c r="C97" s="46" t="s">
        <v>97</v>
      </c>
      <c r="D97" s="46" t="s">
        <v>110</v>
      </c>
      <c r="E97" s="47" t="n">
        <v>315900</v>
      </c>
    </row>
    <row r="98" customFormat="false" ht="15" hidden="false" customHeight="false" outlineLevel="0" collapsed="false">
      <c r="A98" s="54" t="n">
        <v>46042</v>
      </c>
      <c r="B98" s="46" t="s">
        <v>47</v>
      </c>
      <c r="C98" s="46" t="s">
        <v>97</v>
      </c>
      <c r="D98" s="46" t="s">
        <v>110</v>
      </c>
      <c r="E98" s="47" t="n">
        <v>62800</v>
      </c>
    </row>
    <row r="99" customFormat="false" ht="15" hidden="false" customHeight="false" outlineLevel="0" collapsed="false">
      <c r="A99" s="54" t="n">
        <v>46042</v>
      </c>
      <c r="B99" s="46" t="s">
        <v>47</v>
      </c>
      <c r="C99" s="46" t="s">
        <v>97</v>
      </c>
      <c r="D99" s="46" t="s">
        <v>110</v>
      </c>
      <c r="E99" s="47" t="n">
        <v>77400</v>
      </c>
    </row>
    <row r="100" customFormat="false" ht="15" hidden="false" customHeight="false" outlineLevel="0" collapsed="false">
      <c r="A100" s="54" t="n">
        <v>46043</v>
      </c>
      <c r="B100" s="46" t="s">
        <v>46</v>
      </c>
      <c r="C100" s="46" t="s">
        <v>97</v>
      </c>
      <c r="D100" s="46" t="s">
        <v>110</v>
      </c>
      <c r="E100" s="47" t="n">
        <v>253500</v>
      </c>
    </row>
    <row r="101" customFormat="false" ht="15" hidden="false" customHeight="false" outlineLevel="0" collapsed="false">
      <c r="A101" s="54" t="n">
        <v>46044</v>
      </c>
      <c r="B101" s="46" t="s">
        <v>100</v>
      </c>
      <c r="C101" s="46" t="s">
        <v>99</v>
      </c>
      <c r="D101" s="46" t="s">
        <v>108</v>
      </c>
      <c r="E101" s="47" t="n">
        <v>1362900</v>
      </c>
    </row>
    <row r="102" customFormat="false" ht="15" hidden="false" customHeight="false" outlineLevel="0" collapsed="false">
      <c r="A102" s="54" t="n">
        <v>46044</v>
      </c>
      <c r="B102" s="46" t="s">
        <v>53</v>
      </c>
      <c r="C102" s="46" t="s">
        <v>103</v>
      </c>
      <c r="D102" s="46" t="s">
        <v>109</v>
      </c>
      <c r="E102" s="47" t="n">
        <v>558600</v>
      </c>
    </row>
    <row r="103" customFormat="false" ht="15" hidden="false" customHeight="false" outlineLevel="0" collapsed="false">
      <c r="A103" s="54" t="n">
        <v>46044</v>
      </c>
      <c r="B103" s="46" t="s">
        <v>46</v>
      </c>
      <c r="C103" s="46" t="s">
        <v>97</v>
      </c>
      <c r="D103" s="46" t="s">
        <v>110</v>
      </c>
      <c r="E103" s="47" t="n">
        <v>181800</v>
      </c>
    </row>
    <row r="104" customFormat="false" ht="15" hidden="false" customHeight="false" outlineLevel="0" collapsed="false">
      <c r="A104" s="54" t="n">
        <v>46044</v>
      </c>
      <c r="B104" s="46" t="s">
        <v>46</v>
      </c>
      <c r="C104" s="46" t="s">
        <v>97</v>
      </c>
      <c r="D104" s="46" t="s">
        <v>110</v>
      </c>
      <c r="E104" s="47" t="n">
        <v>129300</v>
      </c>
    </row>
    <row r="105" customFormat="false" ht="15" hidden="false" customHeight="false" outlineLevel="0" collapsed="false">
      <c r="A105" s="54" t="n">
        <v>46044</v>
      </c>
      <c r="B105" s="46" t="s">
        <v>44</v>
      </c>
      <c r="C105" s="46" t="s">
        <v>97</v>
      </c>
      <c r="D105" s="46" t="s">
        <v>110</v>
      </c>
      <c r="E105" s="47" t="n">
        <v>226100</v>
      </c>
    </row>
    <row r="106" customFormat="false" ht="15" hidden="false" customHeight="false" outlineLevel="0" collapsed="false">
      <c r="A106" s="54" t="n">
        <v>46044</v>
      </c>
      <c r="B106" s="46" t="s">
        <v>44</v>
      </c>
      <c r="C106" s="46" t="s">
        <v>97</v>
      </c>
      <c r="D106" s="46" t="s">
        <v>110</v>
      </c>
      <c r="E106" s="47" t="n">
        <v>332900</v>
      </c>
    </row>
    <row r="107" customFormat="false" ht="15" hidden="false" customHeight="false" outlineLevel="0" collapsed="false">
      <c r="A107" s="54" t="n">
        <v>46044</v>
      </c>
      <c r="B107" s="46" t="s">
        <v>47</v>
      </c>
      <c r="C107" s="46" t="s">
        <v>97</v>
      </c>
      <c r="D107" s="46" t="s">
        <v>110</v>
      </c>
      <c r="E107" s="47" t="n">
        <v>173000</v>
      </c>
    </row>
    <row r="108" customFormat="false" ht="15" hidden="false" customHeight="false" outlineLevel="0" collapsed="false">
      <c r="A108" s="54" t="n">
        <v>46044</v>
      </c>
      <c r="B108" s="46" t="s">
        <v>47</v>
      </c>
      <c r="C108" s="46" t="s">
        <v>97</v>
      </c>
      <c r="D108" s="46" t="s">
        <v>110</v>
      </c>
      <c r="E108" s="47" t="n">
        <v>223800</v>
      </c>
    </row>
    <row r="109" customFormat="false" ht="15" hidden="false" customHeight="false" outlineLevel="0" collapsed="false">
      <c r="A109" s="54" t="n">
        <v>46044</v>
      </c>
      <c r="B109" s="46" t="s">
        <v>55</v>
      </c>
      <c r="C109" s="46" t="s">
        <v>103</v>
      </c>
      <c r="D109" s="46" t="s">
        <v>109</v>
      </c>
      <c r="E109" s="47" t="n">
        <v>79500</v>
      </c>
    </row>
    <row r="110" customFormat="false" ht="15" hidden="false" customHeight="false" outlineLevel="0" collapsed="false">
      <c r="A110" s="54" t="n">
        <v>46045</v>
      </c>
      <c r="B110" s="46" t="s">
        <v>58</v>
      </c>
      <c r="C110" s="46" t="s">
        <v>103</v>
      </c>
      <c r="D110" s="46" t="s">
        <v>109</v>
      </c>
      <c r="E110" s="47" t="n">
        <v>5900</v>
      </c>
    </row>
    <row r="111" customFormat="false" ht="15" hidden="false" customHeight="false" outlineLevel="0" collapsed="false">
      <c r="A111" s="54" t="n">
        <v>46045</v>
      </c>
      <c r="B111" s="46" t="s">
        <v>58</v>
      </c>
      <c r="C111" s="46" t="s">
        <v>103</v>
      </c>
      <c r="D111" s="46" t="s">
        <v>109</v>
      </c>
      <c r="E111" s="47" t="n">
        <v>11400</v>
      </c>
    </row>
    <row r="112" customFormat="false" ht="15" hidden="false" customHeight="false" outlineLevel="0" collapsed="false">
      <c r="A112" s="54" t="n">
        <v>46045</v>
      </c>
      <c r="B112" s="46" t="s">
        <v>46</v>
      </c>
      <c r="C112" s="46" t="s">
        <v>97</v>
      </c>
      <c r="D112" s="46" t="s">
        <v>110</v>
      </c>
      <c r="E112" s="47" t="n">
        <v>298700</v>
      </c>
    </row>
    <row r="113" customFormat="false" ht="15" hidden="false" customHeight="false" outlineLevel="0" collapsed="false">
      <c r="A113" s="54" t="n">
        <v>46045</v>
      </c>
      <c r="B113" s="46" t="s">
        <v>47</v>
      </c>
      <c r="C113" s="46" t="s">
        <v>97</v>
      </c>
      <c r="D113" s="46" t="s">
        <v>110</v>
      </c>
      <c r="E113" s="47" t="n">
        <v>189100</v>
      </c>
    </row>
    <row r="114" customFormat="false" ht="15" hidden="false" customHeight="false" outlineLevel="0" collapsed="false">
      <c r="A114" s="54" t="n">
        <v>46046</v>
      </c>
      <c r="B114" s="46" t="s">
        <v>98</v>
      </c>
      <c r="C114" s="46" t="s">
        <v>99</v>
      </c>
      <c r="D114" s="46" t="s">
        <v>108</v>
      </c>
      <c r="E114" s="47" t="n">
        <v>1541100</v>
      </c>
    </row>
    <row r="115" customFormat="false" ht="15" hidden="false" customHeight="false" outlineLevel="0" collapsed="false">
      <c r="A115" s="54" t="n">
        <v>46046</v>
      </c>
      <c r="B115" s="46" t="s">
        <v>102</v>
      </c>
      <c r="C115" s="46" t="s">
        <v>99</v>
      </c>
      <c r="D115" s="46" t="s">
        <v>108</v>
      </c>
      <c r="E115" s="47" t="n">
        <v>426400</v>
      </c>
    </row>
    <row r="116" customFormat="false" ht="15" hidden="false" customHeight="false" outlineLevel="0" collapsed="false">
      <c r="A116" s="54" t="n">
        <v>46046</v>
      </c>
      <c r="B116" s="46" t="s">
        <v>56</v>
      </c>
      <c r="C116" s="46" t="s">
        <v>103</v>
      </c>
      <c r="D116" s="46" t="s">
        <v>109</v>
      </c>
      <c r="E116" s="47" t="n">
        <v>96900</v>
      </c>
    </row>
    <row r="117" customFormat="false" ht="15" hidden="false" customHeight="false" outlineLevel="0" collapsed="false">
      <c r="A117" s="54" t="n">
        <v>46046</v>
      </c>
      <c r="B117" s="46" t="s">
        <v>52</v>
      </c>
      <c r="C117" s="46" t="s">
        <v>103</v>
      </c>
      <c r="D117" s="46" t="s">
        <v>109</v>
      </c>
      <c r="E117" s="47" t="n">
        <v>1626000</v>
      </c>
    </row>
    <row r="118" customFormat="false" ht="15" hidden="false" customHeight="false" outlineLevel="0" collapsed="false">
      <c r="A118" s="54" t="n">
        <v>46046</v>
      </c>
      <c r="B118" s="46" t="s">
        <v>46</v>
      </c>
      <c r="C118" s="46" t="s">
        <v>97</v>
      </c>
      <c r="D118" s="46" t="s">
        <v>110</v>
      </c>
      <c r="E118" s="47" t="n">
        <v>163500</v>
      </c>
    </row>
    <row r="119" customFormat="false" ht="15" hidden="false" customHeight="false" outlineLevel="0" collapsed="false">
      <c r="A119" s="54" t="n">
        <v>46046</v>
      </c>
      <c r="B119" s="46" t="s">
        <v>46</v>
      </c>
      <c r="C119" s="46" t="s">
        <v>97</v>
      </c>
      <c r="D119" s="46" t="s">
        <v>110</v>
      </c>
      <c r="E119" s="47" t="n">
        <v>143400</v>
      </c>
    </row>
    <row r="120" customFormat="false" ht="15" hidden="false" customHeight="false" outlineLevel="0" collapsed="false">
      <c r="A120" s="54" t="n">
        <v>46046</v>
      </c>
      <c r="B120" s="46" t="s">
        <v>45</v>
      </c>
      <c r="C120" s="46" t="s">
        <v>97</v>
      </c>
      <c r="D120" s="46" t="s">
        <v>110</v>
      </c>
      <c r="E120" s="47" t="n">
        <v>728200</v>
      </c>
    </row>
    <row r="121" customFormat="false" ht="15" hidden="false" customHeight="false" outlineLevel="0" collapsed="false">
      <c r="A121" s="54" t="n">
        <v>46046</v>
      </c>
      <c r="B121" s="46" t="s">
        <v>45</v>
      </c>
      <c r="C121" s="46" t="s">
        <v>97</v>
      </c>
      <c r="D121" s="46" t="s">
        <v>110</v>
      </c>
      <c r="E121" s="47" t="n">
        <v>205400</v>
      </c>
    </row>
    <row r="122" customFormat="false" ht="15" hidden="false" customHeight="false" outlineLevel="0" collapsed="false">
      <c r="A122" s="54" t="n">
        <v>46047</v>
      </c>
      <c r="B122" s="46" t="s">
        <v>101</v>
      </c>
      <c r="C122" s="46" t="s">
        <v>99</v>
      </c>
      <c r="D122" s="46" t="s">
        <v>108</v>
      </c>
      <c r="E122" s="47" t="n">
        <v>456900</v>
      </c>
    </row>
    <row r="123" customFormat="false" ht="15" hidden="false" customHeight="false" outlineLevel="0" collapsed="false">
      <c r="A123" s="54" t="n">
        <v>46047</v>
      </c>
      <c r="B123" s="46" t="s">
        <v>46</v>
      </c>
      <c r="C123" s="46" t="s">
        <v>97</v>
      </c>
      <c r="D123" s="46" t="s">
        <v>110</v>
      </c>
      <c r="E123" s="47" t="n">
        <v>310900</v>
      </c>
    </row>
    <row r="124" customFormat="false" ht="15" hidden="false" customHeight="false" outlineLevel="0" collapsed="false">
      <c r="A124" s="54" t="n">
        <v>46047</v>
      </c>
      <c r="B124" s="46" t="s">
        <v>46</v>
      </c>
      <c r="C124" s="46" t="s">
        <v>97</v>
      </c>
      <c r="D124" s="46" t="s">
        <v>110</v>
      </c>
      <c r="E124" s="47" t="n">
        <v>266100</v>
      </c>
    </row>
    <row r="125" customFormat="false" ht="15" hidden="false" customHeight="false" outlineLevel="0" collapsed="false">
      <c r="A125" s="54" t="n">
        <v>46047</v>
      </c>
      <c r="B125" s="46" t="s">
        <v>44</v>
      </c>
      <c r="C125" s="46" t="s">
        <v>97</v>
      </c>
      <c r="D125" s="46" t="s">
        <v>110</v>
      </c>
      <c r="E125" s="47" t="n">
        <v>588600</v>
      </c>
    </row>
    <row r="126" customFormat="false" ht="15" hidden="false" customHeight="false" outlineLevel="0" collapsed="false">
      <c r="A126" s="54" t="n">
        <v>46047</v>
      </c>
      <c r="B126" s="46" t="s">
        <v>44</v>
      </c>
      <c r="C126" s="46" t="s">
        <v>97</v>
      </c>
      <c r="D126" s="46" t="s">
        <v>110</v>
      </c>
      <c r="E126" s="47" t="n">
        <v>436200</v>
      </c>
    </row>
    <row r="127" customFormat="false" ht="15" hidden="false" customHeight="false" outlineLevel="0" collapsed="false">
      <c r="A127" s="54" t="n">
        <v>46047</v>
      </c>
      <c r="B127" s="46" t="s">
        <v>44</v>
      </c>
      <c r="C127" s="46" t="s">
        <v>97</v>
      </c>
      <c r="D127" s="46" t="s">
        <v>110</v>
      </c>
      <c r="E127" s="47" t="n">
        <v>606600</v>
      </c>
    </row>
    <row r="128" customFormat="false" ht="15" hidden="false" customHeight="false" outlineLevel="0" collapsed="false">
      <c r="A128" s="54" t="n">
        <v>46047</v>
      </c>
      <c r="B128" s="46" t="s">
        <v>44</v>
      </c>
      <c r="C128" s="46" t="s">
        <v>97</v>
      </c>
      <c r="D128" s="46" t="s">
        <v>110</v>
      </c>
      <c r="E128" s="47" t="n">
        <v>184600</v>
      </c>
    </row>
    <row r="129" customFormat="false" ht="15" hidden="false" customHeight="false" outlineLevel="0" collapsed="false">
      <c r="A129" s="54" t="n">
        <v>46048</v>
      </c>
      <c r="B129" s="46" t="s">
        <v>98</v>
      </c>
      <c r="C129" s="46" t="s">
        <v>99</v>
      </c>
      <c r="D129" s="46" t="s">
        <v>108</v>
      </c>
      <c r="E129" s="47" t="n">
        <v>1262900</v>
      </c>
    </row>
    <row r="130" customFormat="false" ht="15" hidden="false" customHeight="false" outlineLevel="0" collapsed="false">
      <c r="A130" s="54" t="n">
        <v>46048</v>
      </c>
      <c r="B130" s="46" t="s">
        <v>98</v>
      </c>
      <c r="C130" s="46" t="s">
        <v>99</v>
      </c>
      <c r="D130" s="46" t="s">
        <v>108</v>
      </c>
      <c r="E130" s="47" t="n">
        <v>457900</v>
      </c>
    </row>
    <row r="131" customFormat="false" ht="15" hidden="false" customHeight="false" outlineLevel="0" collapsed="false">
      <c r="A131" s="54" t="n">
        <v>46048</v>
      </c>
      <c r="B131" s="46" t="s">
        <v>46</v>
      </c>
      <c r="C131" s="46" t="s">
        <v>97</v>
      </c>
      <c r="D131" s="46" t="s">
        <v>110</v>
      </c>
      <c r="E131" s="47" t="n">
        <v>196900</v>
      </c>
    </row>
    <row r="132" customFormat="false" ht="15" hidden="false" customHeight="false" outlineLevel="0" collapsed="false">
      <c r="A132" s="54" t="n">
        <v>46048</v>
      </c>
      <c r="B132" s="46" t="s">
        <v>46</v>
      </c>
      <c r="C132" s="46" t="s">
        <v>97</v>
      </c>
      <c r="D132" s="46" t="s">
        <v>110</v>
      </c>
      <c r="E132" s="47" t="n">
        <v>160500</v>
      </c>
    </row>
    <row r="133" customFormat="false" ht="15" hidden="false" customHeight="false" outlineLevel="0" collapsed="false">
      <c r="A133" s="54" t="n">
        <v>46048</v>
      </c>
      <c r="B133" s="46" t="s">
        <v>44</v>
      </c>
      <c r="C133" s="46" t="s">
        <v>97</v>
      </c>
      <c r="D133" s="46" t="s">
        <v>110</v>
      </c>
      <c r="E133" s="47" t="n">
        <v>329600</v>
      </c>
    </row>
    <row r="134" customFormat="false" ht="15" hidden="false" customHeight="false" outlineLevel="0" collapsed="false">
      <c r="A134" s="54" t="n">
        <v>46049</v>
      </c>
      <c r="B134" s="46" t="s">
        <v>101</v>
      </c>
      <c r="C134" s="46" t="s">
        <v>99</v>
      </c>
      <c r="D134" s="46" t="s">
        <v>108</v>
      </c>
      <c r="E134" s="47" t="n">
        <v>988400</v>
      </c>
    </row>
    <row r="135" customFormat="false" ht="15" hidden="false" customHeight="false" outlineLevel="0" collapsed="false">
      <c r="A135" s="54" t="n">
        <v>46049</v>
      </c>
      <c r="B135" s="46" t="s">
        <v>98</v>
      </c>
      <c r="C135" s="46" t="s">
        <v>99</v>
      </c>
      <c r="D135" s="46" t="s">
        <v>108</v>
      </c>
      <c r="E135" s="47" t="n">
        <v>835200</v>
      </c>
    </row>
    <row r="136" customFormat="false" ht="15" hidden="false" customHeight="false" outlineLevel="0" collapsed="false">
      <c r="A136" s="54" t="n">
        <v>46049</v>
      </c>
      <c r="B136" s="46" t="s">
        <v>100</v>
      </c>
      <c r="C136" s="46" t="s">
        <v>99</v>
      </c>
      <c r="D136" s="46" t="s">
        <v>108</v>
      </c>
      <c r="E136" s="47" t="n">
        <v>1194200</v>
      </c>
    </row>
    <row r="137" customFormat="false" ht="15" hidden="false" customHeight="false" outlineLevel="0" collapsed="false">
      <c r="A137" s="54" t="n">
        <v>46049</v>
      </c>
      <c r="B137" s="46" t="s">
        <v>46</v>
      </c>
      <c r="C137" s="46" t="s">
        <v>97</v>
      </c>
      <c r="D137" s="46" t="s">
        <v>110</v>
      </c>
      <c r="E137" s="47" t="n">
        <v>226100</v>
      </c>
    </row>
    <row r="138" customFormat="false" ht="15" hidden="false" customHeight="false" outlineLevel="0" collapsed="false">
      <c r="A138" s="54" t="n">
        <v>46049</v>
      </c>
      <c r="B138" s="46" t="s">
        <v>44</v>
      </c>
      <c r="C138" s="46" t="s">
        <v>97</v>
      </c>
      <c r="D138" s="46" t="s">
        <v>110</v>
      </c>
      <c r="E138" s="47" t="n">
        <v>472700</v>
      </c>
    </row>
    <row r="139" customFormat="false" ht="15" hidden="false" customHeight="false" outlineLevel="0" collapsed="false">
      <c r="A139" s="54" t="n">
        <v>46049</v>
      </c>
      <c r="B139" s="46" t="s">
        <v>45</v>
      </c>
      <c r="C139" s="46" t="s">
        <v>97</v>
      </c>
      <c r="D139" s="46" t="s">
        <v>110</v>
      </c>
      <c r="E139" s="47" t="n">
        <v>290600</v>
      </c>
    </row>
    <row r="140" customFormat="false" ht="15" hidden="false" customHeight="false" outlineLevel="0" collapsed="false">
      <c r="A140" s="54" t="n">
        <v>46054</v>
      </c>
      <c r="B140" s="46" t="s">
        <v>102</v>
      </c>
      <c r="C140" s="46" t="s">
        <v>99</v>
      </c>
      <c r="D140" s="46" t="s">
        <v>108</v>
      </c>
      <c r="E140" s="47" t="n">
        <v>175100</v>
      </c>
    </row>
    <row r="141" customFormat="false" ht="15" hidden="false" customHeight="false" outlineLevel="0" collapsed="false">
      <c r="A141" s="54" t="n">
        <v>46054</v>
      </c>
      <c r="B141" s="46" t="s">
        <v>44</v>
      </c>
      <c r="C141" s="46" t="s">
        <v>97</v>
      </c>
      <c r="D141" s="46" t="s">
        <v>110</v>
      </c>
      <c r="E141" s="47" t="n">
        <v>569100</v>
      </c>
    </row>
    <row r="142" customFormat="false" ht="15" hidden="false" customHeight="false" outlineLevel="0" collapsed="false">
      <c r="A142" s="54" t="n">
        <v>46054</v>
      </c>
      <c r="B142" s="46" t="s">
        <v>44</v>
      </c>
      <c r="C142" s="46" t="s">
        <v>97</v>
      </c>
      <c r="D142" s="46" t="s">
        <v>110</v>
      </c>
      <c r="E142" s="47" t="n">
        <v>270700</v>
      </c>
    </row>
    <row r="143" customFormat="false" ht="15" hidden="false" customHeight="false" outlineLevel="0" collapsed="false">
      <c r="A143" s="54" t="n">
        <v>46054</v>
      </c>
      <c r="B143" s="46" t="s">
        <v>47</v>
      </c>
      <c r="C143" s="46" t="s">
        <v>97</v>
      </c>
      <c r="D143" s="46" t="s">
        <v>110</v>
      </c>
      <c r="E143" s="47" t="n">
        <v>218800</v>
      </c>
    </row>
    <row r="144" customFormat="false" ht="15" hidden="false" customHeight="false" outlineLevel="0" collapsed="false">
      <c r="A144" s="54" t="n">
        <v>46054</v>
      </c>
      <c r="B144" s="46" t="s">
        <v>47</v>
      </c>
      <c r="C144" s="46" t="s">
        <v>97</v>
      </c>
      <c r="D144" s="46" t="s">
        <v>110</v>
      </c>
      <c r="E144" s="47" t="n">
        <v>145300</v>
      </c>
    </row>
    <row r="145" customFormat="false" ht="15" hidden="false" customHeight="false" outlineLevel="0" collapsed="false">
      <c r="A145" s="54" t="n">
        <v>46054</v>
      </c>
      <c r="B145" s="46" t="s">
        <v>55</v>
      </c>
      <c r="C145" s="46" t="s">
        <v>103</v>
      </c>
      <c r="D145" s="46" t="s">
        <v>109</v>
      </c>
      <c r="E145" s="47" t="n">
        <v>57100</v>
      </c>
    </row>
    <row r="146" customFormat="false" ht="15" hidden="false" customHeight="false" outlineLevel="0" collapsed="false">
      <c r="A146" s="54" t="n">
        <v>46055</v>
      </c>
      <c r="B146" s="46" t="s">
        <v>58</v>
      </c>
      <c r="C146" s="46" t="s">
        <v>103</v>
      </c>
      <c r="D146" s="46" t="s">
        <v>109</v>
      </c>
      <c r="E146" s="47" t="n">
        <v>8300</v>
      </c>
    </row>
    <row r="147" customFormat="false" ht="15" hidden="false" customHeight="false" outlineLevel="0" collapsed="false">
      <c r="A147" s="54" t="n">
        <v>46055</v>
      </c>
      <c r="B147" s="46" t="s">
        <v>102</v>
      </c>
      <c r="C147" s="46" t="s">
        <v>99</v>
      </c>
      <c r="D147" s="46" t="s">
        <v>108</v>
      </c>
      <c r="E147" s="47" t="n">
        <v>224900</v>
      </c>
    </row>
    <row r="148" customFormat="false" ht="15" hidden="false" customHeight="false" outlineLevel="0" collapsed="false">
      <c r="A148" s="54" t="n">
        <v>46055</v>
      </c>
      <c r="B148" s="46" t="s">
        <v>46</v>
      </c>
      <c r="C148" s="46" t="s">
        <v>97</v>
      </c>
      <c r="D148" s="46" t="s">
        <v>110</v>
      </c>
      <c r="E148" s="47" t="n">
        <v>262600</v>
      </c>
    </row>
    <row r="149" customFormat="false" ht="15" hidden="false" customHeight="false" outlineLevel="0" collapsed="false">
      <c r="A149" s="54" t="n">
        <v>46055</v>
      </c>
      <c r="B149" s="46" t="s">
        <v>44</v>
      </c>
      <c r="C149" s="46" t="s">
        <v>97</v>
      </c>
      <c r="D149" s="46" t="s">
        <v>110</v>
      </c>
      <c r="E149" s="47" t="n">
        <v>339600</v>
      </c>
    </row>
    <row r="150" customFormat="false" ht="15" hidden="false" customHeight="false" outlineLevel="0" collapsed="false">
      <c r="A150" s="54" t="n">
        <v>46055</v>
      </c>
      <c r="B150" s="46" t="s">
        <v>44</v>
      </c>
      <c r="C150" s="46" t="s">
        <v>97</v>
      </c>
      <c r="D150" s="46" t="s">
        <v>110</v>
      </c>
      <c r="E150" s="47" t="n">
        <v>543100</v>
      </c>
    </row>
    <row r="151" customFormat="false" ht="15" hidden="false" customHeight="false" outlineLevel="0" collapsed="false">
      <c r="A151" s="54" t="n">
        <v>46055</v>
      </c>
      <c r="B151" s="46" t="s">
        <v>45</v>
      </c>
      <c r="C151" s="46" t="s">
        <v>97</v>
      </c>
      <c r="D151" s="46" t="s">
        <v>110</v>
      </c>
      <c r="E151" s="47" t="n">
        <v>406200</v>
      </c>
    </row>
    <row r="152" customFormat="false" ht="15" hidden="false" customHeight="false" outlineLevel="0" collapsed="false">
      <c r="A152" s="54" t="n">
        <v>46055</v>
      </c>
      <c r="B152" s="46" t="s">
        <v>47</v>
      </c>
      <c r="C152" s="46" t="s">
        <v>97</v>
      </c>
      <c r="D152" s="46" t="s">
        <v>110</v>
      </c>
      <c r="E152" s="47" t="n">
        <v>211400</v>
      </c>
    </row>
    <row r="153" customFormat="false" ht="15" hidden="false" customHeight="false" outlineLevel="0" collapsed="false">
      <c r="A153" s="54" t="n">
        <v>46055</v>
      </c>
      <c r="B153" s="46" t="s">
        <v>55</v>
      </c>
      <c r="C153" s="46" t="s">
        <v>103</v>
      </c>
      <c r="D153" s="46" t="s">
        <v>109</v>
      </c>
      <c r="E153" s="47" t="n">
        <v>34700</v>
      </c>
    </row>
    <row r="154" customFormat="false" ht="15" hidden="false" customHeight="false" outlineLevel="0" collapsed="false">
      <c r="A154" s="54" t="n">
        <v>46056</v>
      </c>
      <c r="B154" s="46" t="s">
        <v>58</v>
      </c>
      <c r="C154" s="46" t="s">
        <v>103</v>
      </c>
      <c r="D154" s="46" t="s">
        <v>109</v>
      </c>
      <c r="E154" s="47" t="n">
        <v>7000</v>
      </c>
    </row>
    <row r="155" customFormat="false" ht="15" hidden="false" customHeight="false" outlineLevel="0" collapsed="false">
      <c r="A155" s="54" t="n">
        <v>46056</v>
      </c>
      <c r="B155" s="46" t="s">
        <v>98</v>
      </c>
      <c r="C155" s="46" t="s">
        <v>99</v>
      </c>
      <c r="D155" s="46" t="s">
        <v>108</v>
      </c>
      <c r="E155" s="47" t="n">
        <v>1101800</v>
      </c>
    </row>
    <row r="156" customFormat="false" ht="15" hidden="false" customHeight="false" outlineLevel="0" collapsed="false">
      <c r="A156" s="54" t="n">
        <v>46056</v>
      </c>
      <c r="B156" s="46" t="s">
        <v>102</v>
      </c>
      <c r="C156" s="46" t="s">
        <v>99</v>
      </c>
      <c r="D156" s="46" t="s">
        <v>108</v>
      </c>
      <c r="E156" s="47" t="n">
        <v>325500</v>
      </c>
    </row>
    <row r="157" customFormat="false" ht="15" hidden="false" customHeight="false" outlineLevel="0" collapsed="false">
      <c r="A157" s="54" t="n">
        <v>46056</v>
      </c>
      <c r="B157" s="46" t="s">
        <v>102</v>
      </c>
      <c r="C157" s="46" t="s">
        <v>99</v>
      </c>
      <c r="D157" s="46" t="s">
        <v>108</v>
      </c>
      <c r="E157" s="47" t="n">
        <v>448800</v>
      </c>
    </row>
    <row r="158" customFormat="false" ht="15" hidden="false" customHeight="false" outlineLevel="0" collapsed="false">
      <c r="A158" s="54" t="n">
        <v>46056</v>
      </c>
      <c r="B158" s="46" t="s">
        <v>44</v>
      </c>
      <c r="C158" s="46" t="s">
        <v>97</v>
      </c>
      <c r="D158" s="46" t="s">
        <v>110</v>
      </c>
      <c r="E158" s="47" t="n">
        <v>441400</v>
      </c>
    </row>
    <row r="159" customFormat="false" ht="15" hidden="false" customHeight="false" outlineLevel="0" collapsed="false">
      <c r="A159" s="54" t="n">
        <v>46056</v>
      </c>
      <c r="B159" s="46" t="s">
        <v>55</v>
      </c>
      <c r="C159" s="46" t="s">
        <v>103</v>
      </c>
      <c r="D159" s="46" t="s">
        <v>109</v>
      </c>
      <c r="E159" s="47" t="n">
        <v>112700</v>
      </c>
    </row>
    <row r="160" customFormat="false" ht="15" hidden="false" customHeight="false" outlineLevel="0" collapsed="false">
      <c r="A160" s="54" t="n">
        <v>46057</v>
      </c>
      <c r="B160" s="46" t="s">
        <v>102</v>
      </c>
      <c r="C160" s="46" t="s">
        <v>99</v>
      </c>
      <c r="D160" s="46" t="s">
        <v>108</v>
      </c>
      <c r="E160" s="47" t="n">
        <v>455400</v>
      </c>
    </row>
    <row r="161" customFormat="false" ht="15" hidden="false" customHeight="false" outlineLevel="0" collapsed="false">
      <c r="A161" s="54" t="n">
        <v>46057</v>
      </c>
      <c r="B161" s="46" t="s">
        <v>102</v>
      </c>
      <c r="C161" s="46" t="s">
        <v>99</v>
      </c>
      <c r="D161" s="46" t="s">
        <v>108</v>
      </c>
      <c r="E161" s="47" t="n">
        <v>412200</v>
      </c>
    </row>
    <row r="162" customFormat="false" ht="15" hidden="false" customHeight="false" outlineLevel="0" collapsed="false">
      <c r="A162" s="54" t="n">
        <v>46057</v>
      </c>
      <c r="B162" s="46" t="s">
        <v>57</v>
      </c>
      <c r="C162" s="46" t="s">
        <v>103</v>
      </c>
      <c r="D162" s="46" t="s">
        <v>109</v>
      </c>
      <c r="E162" s="47" t="n">
        <v>91400</v>
      </c>
    </row>
    <row r="163" customFormat="false" ht="15" hidden="false" customHeight="false" outlineLevel="0" collapsed="false">
      <c r="A163" s="54" t="n">
        <v>46057</v>
      </c>
      <c r="B163" s="46" t="s">
        <v>45</v>
      </c>
      <c r="C163" s="46" t="s">
        <v>97</v>
      </c>
      <c r="D163" s="46" t="s">
        <v>110</v>
      </c>
      <c r="E163" s="47" t="n">
        <v>348600</v>
      </c>
    </row>
    <row r="164" customFormat="false" ht="15" hidden="false" customHeight="false" outlineLevel="0" collapsed="false">
      <c r="A164" s="54" t="n">
        <v>46057</v>
      </c>
      <c r="B164" s="46" t="s">
        <v>45</v>
      </c>
      <c r="C164" s="46" t="s">
        <v>97</v>
      </c>
      <c r="D164" s="46" t="s">
        <v>110</v>
      </c>
      <c r="E164" s="47" t="n">
        <v>165100</v>
      </c>
    </row>
    <row r="165" customFormat="false" ht="15" hidden="false" customHeight="false" outlineLevel="0" collapsed="false">
      <c r="A165" s="54" t="n">
        <v>46058</v>
      </c>
      <c r="B165" s="46" t="s">
        <v>46</v>
      </c>
      <c r="C165" s="46" t="s">
        <v>97</v>
      </c>
      <c r="D165" s="46" t="s">
        <v>110</v>
      </c>
      <c r="E165" s="47" t="n">
        <v>190600</v>
      </c>
    </row>
    <row r="166" customFormat="false" ht="15" hidden="false" customHeight="false" outlineLevel="0" collapsed="false">
      <c r="A166" s="54" t="n">
        <v>46058</v>
      </c>
      <c r="B166" s="46" t="s">
        <v>46</v>
      </c>
      <c r="C166" s="46" t="s">
        <v>97</v>
      </c>
      <c r="D166" s="46" t="s">
        <v>110</v>
      </c>
      <c r="E166" s="47" t="n">
        <v>77700</v>
      </c>
    </row>
    <row r="167" customFormat="false" ht="15" hidden="false" customHeight="false" outlineLevel="0" collapsed="false">
      <c r="A167" s="54" t="n">
        <v>46058</v>
      </c>
      <c r="B167" s="46" t="s">
        <v>55</v>
      </c>
      <c r="C167" s="46" t="s">
        <v>103</v>
      </c>
      <c r="D167" s="46" t="s">
        <v>109</v>
      </c>
      <c r="E167" s="47" t="n">
        <v>119800</v>
      </c>
    </row>
    <row r="168" customFormat="false" ht="15" hidden="false" customHeight="false" outlineLevel="0" collapsed="false">
      <c r="A168" s="54" t="n">
        <v>46059</v>
      </c>
      <c r="B168" s="46" t="s">
        <v>101</v>
      </c>
      <c r="C168" s="46" t="s">
        <v>99</v>
      </c>
      <c r="D168" s="46" t="s">
        <v>108</v>
      </c>
      <c r="E168" s="47" t="n">
        <v>540200</v>
      </c>
    </row>
    <row r="169" customFormat="false" ht="15" hidden="false" customHeight="false" outlineLevel="0" collapsed="false">
      <c r="A169" s="54" t="n">
        <v>46059</v>
      </c>
      <c r="B169" s="46" t="s">
        <v>98</v>
      </c>
      <c r="C169" s="46" t="s">
        <v>99</v>
      </c>
      <c r="D169" s="46" t="s">
        <v>108</v>
      </c>
      <c r="E169" s="47" t="n">
        <v>695700</v>
      </c>
    </row>
    <row r="170" customFormat="false" ht="15" hidden="false" customHeight="false" outlineLevel="0" collapsed="false">
      <c r="A170" s="54" t="n">
        <v>46059</v>
      </c>
      <c r="B170" s="46" t="s">
        <v>46</v>
      </c>
      <c r="C170" s="46" t="s">
        <v>97</v>
      </c>
      <c r="D170" s="46" t="s">
        <v>110</v>
      </c>
      <c r="E170" s="47" t="n">
        <v>275500</v>
      </c>
    </row>
    <row r="171" customFormat="false" ht="15" hidden="false" customHeight="false" outlineLevel="0" collapsed="false">
      <c r="A171" s="54" t="n">
        <v>46059</v>
      </c>
      <c r="B171" s="46" t="s">
        <v>46</v>
      </c>
      <c r="C171" s="46" t="s">
        <v>97</v>
      </c>
      <c r="D171" s="46" t="s">
        <v>110</v>
      </c>
      <c r="E171" s="47" t="n">
        <v>99000</v>
      </c>
    </row>
    <row r="172" customFormat="false" ht="15" hidden="false" customHeight="false" outlineLevel="0" collapsed="false">
      <c r="A172" s="54" t="n">
        <v>46059</v>
      </c>
      <c r="B172" s="46" t="s">
        <v>44</v>
      </c>
      <c r="C172" s="46" t="s">
        <v>97</v>
      </c>
      <c r="D172" s="46" t="s">
        <v>110</v>
      </c>
      <c r="E172" s="47" t="n">
        <v>319700</v>
      </c>
    </row>
    <row r="173" customFormat="false" ht="15" hidden="false" customHeight="false" outlineLevel="0" collapsed="false">
      <c r="A173" s="54" t="n">
        <v>46059</v>
      </c>
      <c r="B173" s="46" t="s">
        <v>45</v>
      </c>
      <c r="C173" s="46" t="s">
        <v>97</v>
      </c>
      <c r="D173" s="46" t="s">
        <v>110</v>
      </c>
      <c r="E173" s="47" t="n">
        <v>397300</v>
      </c>
    </row>
    <row r="174" customFormat="false" ht="15" hidden="false" customHeight="false" outlineLevel="0" collapsed="false">
      <c r="A174" s="54" t="n">
        <v>46060</v>
      </c>
      <c r="B174" s="46" t="s">
        <v>100</v>
      </c>
      <c r="C174" s="46" t="s">
        <v>99</v>
      </c>
      <c r="D174" s="46" t="s">
        <v>108</v>
      </c>
      <c r="E174" s="47" t="n">
        <v>879300</v>
      </c>
    </row>
    <row r="175" customFormat="false" ht="15" hidden="false" customHeight="false" outlineLevel="0" collapsed="false">
      <c r="A175" s="54" t="n">
        <v>46060</v>
      </c>
      <c r="B175" s="46" t="s">
        <v>56</v>
      </c>
      <c r="C175" s="46" t="s">
        <v>103</v>
      </c>
      <c r="D175" s="46" t="s">
        <v>109</v>
      </c>
      <c r="E175" s="47" t="n">
        <v>83100</v>
      </c>
    </row>
    <row r="176" customFormat="false" ht="15" hidden="false" customHeight="false" outlineLevel="0" collapsed="false">
      <c r="A176" s="54" t="n">
        <v>46060</v>
      </c>
      <c r="B176" s="46" t="s">
        <v>45</v>
      </c>
      <c r="C176" s="46" t="s">
        <v>97</v>
      </c>
      <c r="D176" s="46" t="s">
        <v>110</v>
      </c>
      <c r="E176" s="47" t="n">
        <v>269300</v>
      </c>
    </row>
    <row r="177" customFormat="false" ht="15" hidden="false" customHeight="false" outlineLevel="0" collapsed="false">
      <c r="A177" s="54" t="n">
        <v>46060</v>
      </c>
      <c r="B177" s="46" t="s">
        <v>47</v>
      </c>
      <c r="C177" s="46" t="s">
        <v>97</v>
      </c>
      <c r="D177" s="46" t="s">
        <v>110</v>
      </c>
      <c r="E177" s="47" t="n">
        <v>57300</v>
      </c>
    </row>
    <row r="178" customFormat="false" ht="15" hidden="false" customHeight="false" outlineLevel="0" collapsed="false">
      <c r="A178" s="54" t="n">
        <v>46060</v>
      </c>
      <c r="B178" s="46" t="s">
        <v>55</v>
      </c>
      <c r="C178" s="46" t="s">
        <v>103</v>
      </c>
      <c r="D178" s="46" t="s">
        <v>109</v>
      </c>
      <c r="E178" s="47" t="n">
        <v>72300</v>
      </c>
    </row>
    <row r="179" customFormat="false" ht="15" hidden="false" customHeight="false" outlineLevel="0" collapsed="false">
      <c r="A179" s="54" t="n">
        <v>46061</v>
      </c>
      <c r="B179" s="46" t="s">
        <v>58</v>
      </c>
      <c r="C179" s="46" t="s">
        <v>103</v>
      </c>
      <c r="D179" s="46" t="s">
        <v>109</v>
      </c>
      <c r="E179" s="47" t="n">
        <v>3900</v>
      </c>
    </row>
    <row r="180" customFormat="false" ht="15" hidden="false" customHeight="false" outlineLevel="0" collapsed="false">
      <c r="A180" s="54" t="n">
        <v>46061</v>
      </c>
      <c r="B180" s="46" t="s">
        <v>101</v>
      </c>
      <c r="C180" s="46" t="s">
        <v>99</v>
      </c>
      <c r="D180" s="46" t="s">
        <v>108</v>
      </c>
      <c r="E180" s="47" t="n">
        <v>326500</v>
      </c>
    </row>
    <row r="181" customFormat="false" ht="15" hidden="false" customHeight="false" outlineLevel="0" collapsed="false">
      <c r="A181" s="54" t="n">
        <v>46061</v>
      </c>
      <c r="B181" s="46" t="s">
        <v>101</v>
      </c>
      <c r="C181" s="46" t="s">
        <v>99</v>
      </c>
      <c r="D181" s="46" t="s">
        <v>108</v>
      </c>
      <c r="E181" s="47" t="n">
        <v>539800</v>
      </c>
    </row>
    <row r="182" customFormat="false" ht="15" hidden="false" customHeight="false" outlineLevel="0" collapsed="false">
      <c r="A182" s="54" t="n">
        <v>46061</v>
      </c>
      <c r="B182" s="46" t="s">
        <v>53</v>
      </c>
      <c r="C182" s="46" t="s">
        <v>103</v>
      </c>
      <c r="D182" s="46" t="s">
        <v>109</v>
      </c>
      <c r="E182" s="47" t="n">
        <v>562600</v>
      </c>
    </row>
    <row r="183" customFormat="false" ht="15" hidden="false" customHeight="false" outlineLevel="0" collapsed="false">
      <c r="A183" s="54" t="n">
        <v>46061</v>
      </c>
      <c r="B183" s="46" t="s">
        <v>45</v>
      </c>
      <c r="C183" s="46" t="s">
        <v>97</v>
      </c>
      <c r="D183" s="46" t="s">
        <v>110</v>
      </c>
      <c r="E183" s="47" t="n">
        <v>529500</v>
      </c>
    </row>
    <row r="184" customFormat="false" ht="15" hidden="false" customHeight="false" outlineLevel="0" collapsed="false">
      <c r="A184" s="54" t="n">
        <v>46061</v>
      </c>
      <c r="B184" s="46" t="s">
        <v>47</v>
      </c>
      <c r="C184" s="46" t="s">
        <v>97</v>
      </c>
      <c r="D184" s="46" t="s">
        <v>110</v>
      </c>
      <c r="E184" s="47" t="n">
        <v>93500</v>
      </c>
    </row>
    <row r="185" customFormat="false" ht="15" hidden="false" customHeight="false" outlineLevel="0" collapsed="false">
      <c r="A185" s="54" t="n">
        <v>46061</v>
      </c>
      <c r="B185" s="46" t="s">
        <v>47</v>
      </c>
      <c r="C185" s="46" t="s">
        <v>97</v>
      </c>
      <c r="D185" s="46" t="s">
        <v>110</v>
      </c>
      <c r="E185" s="47" t="n">
        <v>129500</v>
      </c>
    </row>
    <row r="186" customFormat="false" ht="15" hidden="false" customHeight="false" outlineLevel="0" collapsed="false">
      <c r="A186" s="54" t="n">
        <v>46062</v>
      </c>
      <c r="B186" s="46" t="s">
        <v>101</v>
      </c>
      <c r="C186" s="46" t="s">
        <v>99</v>
      </c>
      <c r="D186" s="46" t="s">
        <v>108</v>
      </c>
      <c r="E186" s="47" t="n">
        <v>381400</v>
      </c>
    </row>
    <row r="187" customFormat="false" ht="15" hidden="false" customHeight="false" outlineLevel="0" collapsed="false">
      <c r="A187" s="54" t="n">
        <v>46062</v>
      </c>
      <c r="B187" s="46" t="s">
        <v>100</v>
      </c>
      <c r="C187" s="46" t="s">
        <v>99</v>
      </c>
      <c r="D187" s="46" t="s">
        <v>108</v>
      </c>
      <c r="E187" s="47" t="n">
        <v>922500</v>
      </c>
    </row>
    <row r="188" customFormat="false" ht="15" hidden="false" customHeight="false" outlineLevel="0" collapsed="false">
      <c r="A188" s="54" t="n">
        <v>46062</v>
      </c>
      <c r="B188" s="46" t="s">
        <v>45</v>
      </c>
      <c r="C188" s="46" t="s">
        <v>97</v>
      </c>
      <c r="D188" s="46" t="s">
        <v>110</v>
      </c>
      <c r="E188" s="47" t="n">
        <v>372400</v>
      </c>
    </row>
    <row r="189" customFormat="false" ht="15" hidden="false" customHeight="false" outlineLevel="0" collapsed="false">
      <c r="A189" s="54" t="n">
        <v>46062</v>
      </c>
      <c r="B189" s="46" t="s">
        <v>45</v>
      </c>
      <c r="C189" s="46" t="s">
        <v>97</v>
      </c>
      <c r="D189" s="46" t="s">
        <v>110</v>
      </c>
      <c r="E189" s="47" t="n">
        <v>332400</v>
      </c>
    </row>
    <row r="190" customFormat="false" ht="15" hidden="false" customHeight="false" outlineLevel="0" collapsed="false">
      <c r="A190" s="54" t="n">
        <v>46062</v>
      </c>
      <c r="B190" s="46" t="s">
        <v>55</v>
      </c>
      <c r="C190" s="46" t="s">
        <v>103</v>
      </c>
      <c r="D190" s="46" t="s">
        <v>109</v>
      </c>
      <c r="E190" s="47" t="n">
        <v>114000</v>
      </c>
    </row>
    <row r="191" customFormat="false" ht="15" hidden="false" customHeight="false" outlineLevel="0" collapsed="false">
      <c r="A191" s="54" t="n">
        <v>46062</v>
      </c>
      <c r="B191" s="46" t="s">
        <v>55</v>
      </c>
      <c r="C191" s="46" t="s">
        <v>103</v>
      </c>
      <c r="D191" s="46" t="s">
        <v>109</v>
      </c>
      <c r="E191" s="47" t="n">
        <v>45400</v>
      </c>
    </row>
    <row r="192" customFormat="false" ht="15" hidden="false" customHeight="false" outlineLevel="0" collapsed="false">
      <c r="A192" s="54" t="n">
        <v>46063</v>
      </c>
      <c r="B192" s="46" t="s">
        <v>46</v>
      </c>
      <c r="C192" s="46" t="s">
        <v>97</v>
      </c>
      <c r="D192" s="46" t="s">
        <v>110</v>
      </c>
      <c r="E192" s="47" t="n">
        <v>305700</v>
      </c>
    </row>
    <row r="193" customFormat="false" ht="15" hidden="false" customHeight="false" outlineLevel="0" collapsed="false">
      <c r="A193" s="54" t="n">
        <v>46064</v>
      </c>
      <c r="B193" s="46" t="s">
        <v>58</v>
      </c>
      <c r="C193" s="46" t="s">
        <v>103</v>
      </c>
      <c r="D193" s="46" t="s">
        <v>109</v>
      </c>
      <c r="E193" s="47" t="n">
        <v>6900</v>
      </c>
    </row>
    <row r="194" customFormat="false" ht="15" hidden="false" customHeight="false" outlineLevel="0" collapsed="false">
      <c r="A194" s="54" t="n">
        <v>46064</v>
      </c>
      <c r="B194" s="46" t="s">
        <v>56</v>
      </c>
      <c r="C194" s="46" t="s">
        <v>103</v>
      </c>
      <c r="D194" s="46" t="s">
        <v>109</v>
      </c>
      <c r="E194" s="47" t="n">
        <v>52300</v>
      </c>
    </row>
    <row r="195" customFormat="false" ht="15" hidden="false" customHeight="false" outlineLevel="0" collapsed="false">
      <c r="A195" s="54" t="n">
        <v>46064</v>
      </c>
      <c r="B195" s="46" t="s">
        <v>46</v>
      </c>
      <c r="C195" s="46" t="s">
        <v>97</v>
      </c>
      <c r="D195" s="46" t="s">
        <v>110</v>
      </c>
      <c r="E195" s="47" t="n">
        <v>263000</v>
      </c>
    </row>
    <row r="196" customFormat="false" ht="15" hidden="false" customHeight="false" outlineLevel="0" collapsed="false">
      <c r="A196" s="54" t="n">
        <v>46064</v>
      </c>
      <c r="B196" s="46" t="s">
        <v>46</v>
      </c>
      <c r="C196" s="46" t="s">
        <v>97</v>
      </c>
      <c r="D196" s="46" t="s">
        <v>110</v>
      </c>
      <c r="E196" s="47" t="n">
        <v>281400</v>
      </c>
    </row>
    <row r="197" customFormat="false" ht="15" hidden="false" customHeight="false" outlineLevel="0" collapsed="false">
      <c r="A197" s="54" t="n">
        <v>46065</v>
      </c>
      <c r="B197" s="46" t="s">
        <v>58</v>
      </c>
      <c r="C197" s="46" t="s">
        <v>103</v>
      </c>
      <c r="D197" s="46" t="s">
        <v>109</v>
      </c>
      <c r="E197" s="47" t="n">
        <v>5600</v>
      </c>
    </row>
    <row r="198" customFormat="false" ht="15" hidden="false" customHeight="false" outlineLevel="0" collapsed="false">
      <c r="A198" s="54" t="n">
        <v>46065</v>
      </c>
      <c r="B198" s="46" t="s">
        <v>98</v>
      </c>
      <c r="C198" s="46" t="s">
        <v>99</v>
      </c>
      <c r="D198" s="46" t="s">
        <v>108</v>
      </c>
      <c r="E198" s="47" t="n">
        <v>1687800</v>
      </c>
    </row>
    <row r="199" customFormat="false" ht="15" hidden="false" customHeight="false" outlineLevel="0" collapsed="false">
      <c r="A199" s="54" t="n">
        <v>46065</v>
      </c>
      <c r="B199" s="46" t="s">
        <v>52</v>
      </c>
      <c r="C199" s="46" t="s">
        <v>103</v>
      </c>
      <c r="D199" s="46" t="s">
        <v>109</v>
      </c>
      <c r="E199" s="47" t="n">
        <v>1632600</v>
      </c>
    </row>
    <row r="200" customFormat="false" ht="15" hidden="false" customHeight="false" outlineLevel="0" collapsed="false">
      <c r="A200" s="54" t="n">
        <v>46065</v>
      </c>
      <c r="B200" s="46" t="s">
        <v>46</v>
      </c>
      <c r="C200" s="46" t="s">
        <v>97</v>
      </c>
      <c r="D200" s="46" t="s">
        <v>110</v>
      </c>
      <c r="E200" s="47" t="n">
        <v>225400</v>
      </c>
    </row>
    <row r="201" customFormat="false" ht="15" hidden="false" customHeight="false" outlineLevel="0" collapsed="false">
      <c r="A201" s="54" t="n">
        <v>46065</v>
      </c>
      <c r="B201" s="46" t="s">
        <v>44</v>
      </c>
      <c r="C201" s="46" t="s">
        <v>97</v>
      </c>
      <c r="D201" s="46" t="s">
        <v>110</v>
      </c>
      <c r="E201" s="47" t="n">
        <v>446800</v>
      </c>
    </row>
    <row r="202" customFormat="false" ht="15" hidden="false" customHeight="false" outlineLevel="0" collapsed="false">
      <c r="A202" s="54" t="n">
        <v>46066</v>
      </c>
      <c r="B202" s="46" t="s">
        <v>102</v>
      </c>
      <c r="C202" s="46" t="s">
        <v>99</v>
      </c>
      <c r="D202" s="46" t="s">
        <v>108</v>
      </c>
      <c r="E202" s="47" t="n">
        <v>252300</v>
      </c>
    </row>
    <row r="203" customFormat="false" ht="15" hidden="false" customHeight="false" outlineLevel="0" collapsed="false">
      <c r="A203" s="54" t="n">
        <v>46066</v>
      </c>
      <c r="B203" s="46" t="s">
        <v>56</v>
      </c>
      <c r="C203" s="46" t="s">
        <v>103</v>
      </c>
      <c r="D203" s="46" t="s">
        <v>109</v>
      </c>
      <c r="E203" s="47" t="n">
        <v>72000</v>
      </c>
    </row>
    <row r="204" customFormat="false" ht="15" hidden="false" customHeight="false" outlineLevel="0" collapsed="false">
      <c r="A204" s="54" t="n">
        <v>46066</v>
      </c>
      <c r="B204" s="46" t="s">
        <v>46</v>
      </c>
      <c r="C204" s="46" t="s">
        <v>97</v>
      </c>
      <c r="D204" s="46" t="s">
        <v>110</v>
      </c>
      <c r="E204" s="47" t="n">
        <v>288000</v>
      </c>
    </row>
    <row r="205" customFormat="false" ht="15" hidden="false" customHeight="false" outlineLevel="0" collapsed="false">
      <c r="A205" s="54" t="n">
        <v>46066</v>
      </c>
      <c r="B205" s="46" t="s">
        <v>46</v>
      </c>
      <c r="C205" s="46" t="s">
        <v>97</v>
      </c>
      <c r="D205" s="46" t="s">
        <v>110</v>
      </c>
      <c r="E205" s="47" t="n">
        <v>231800</v>
      </c>
    </row>
    <row r="206" customFormat="false" ht="15" hidden="false" customHeight="false" outlineLevel="0" collapsed="false">
      <c r="A206" s="54" t="n">
        <v>46066</v>
      </c>
      <c r="B206" s="46" t="s">
        <v>44</v>
      </c>
      <c r="C206" s="46" t="s">
        <v>97</v>
      </c>
      <c r="D206" s="46" t="s">
        <v>110</v>
      </c>
      <c r="E206" s="47" t="n">
        <v>542700</v>
      </c>
    </row>
    <row r="207" customFormat="false" ht="15" hidden="false" customHeight="false" outlineLevel="0" collapsed="false">
      <c r="A207" s="54" t="n">
        <v>46066</v>
      </c>
      <c r="B207" s="46" t="s">
        <v>44</v>
      </c>
      <c r="C207" s="46" t="s">
        <v>97</v>
      </c>
      <c r="D207" s="46" t="s">
        <v>110</v>
      </c>
      <c r="E207" s="47" t="n">
        <v>519900</v>
      </c>
    </row>
    <row r="208" customFormat="false" ht="15" hidden="false" customHeight="false" outlineLevel="0" collapsed="false">
      <c r="A208" s="54" t="n">
        <v>46066</v>
      </c>
      <c r="B208" s="46" t="s">
        <v>45</v>
      </c>
      <c r="C208" s="46" t="s">
        <v>97</v>
      </c>
      <c r="D208" s="46" t="s">
        <v>110</v>
      </c>
      <c r="E208" s="47" t="n">
        <v>231700</v>
      </c>
    </row>
    <row r="209" customFormat="false" ht="15" hidden="false" customHeight="false" outlineLevel="0" collapsed="false">
      <c r="A209" s="54" t="n">
        <v>46066</v>
      </c>
      <c r="B209" s="46" t="s">
        <v>47</v>
      </c>
      <c r="C209" s="46" t="s">
        <v>97</v>
      </c>
      <c r="D209" s="46" t="s">
        <v>110</v>
      </c>
      <c r="E209" s="47" t="n">
        <v>215600</v>
      </c>
    </row>
    <row r="210" customFormat="false" ht="15" hidden="false" customHeight="false" outlineLevel="0" collapsed="false">
      <c r="A210" s="54" t="n">
        <v>46067</v>
      </c>
      <c r="B210" s="46" t="s">
        <v>58</v>
      </c>
      <c r="C210" s="46" t="s">
        <v>103</v>
      </c>
      <c r="D210" s="46" t="s">
        <v>109</v>
      </c>
      <c r="E210" s="47" t="n">
        <v>8900</v>
      </c>
    </row>
    <row r="211" customFormat="false" ht="15" hidden="false" customHeight="false" outlineLevel="0" collapsed="false">
      <c r="A211" s="54" t="n">
        <v>46067</v>
      </c>
      <c r="B211" s="46" t="s">
        <v>46</v>
      </c>
      <c r="C211" s="46" t="s">
        <v>97</v>
      </c>
      <c r="D211" s="46" t="s">
        <v>110</v>
      </c>
      <c r="E211" s="47" t="n">
        <v>170600</v>
      </c>
    </row>
    <row r="212" customFormat="false" ht="15" hidden="false" customHeight="false" outlineLevel="0" collapsed="false">
      <c r="A212" s="54" t="n">
        <v>46067</v>
      </c>
      <c r="B212" s="46" t="s">
        <v>46</v>
      </c>
      <c r="C212" s="46" t="s">
        <v>97</v>
      </c>
      <c r="D212" s="46" t="s">
        <v>110</v>
      </c>
      <c r="E212" s="47" t="n">
        <v>91600</v>
      </c>
    </row>
    <row r="213" customFormat="false" ht="15" hidden="false" customHeight="false" outlineLevel="0" collapsed="false">
      <c r="A213" s="54" t="n">
        <v>46067</v>
      </c>
      <c r="B213" s="46" t="s">
        <v>44</v>
      </c>
      <c r="C213" s="46" t="s">
        <v>97</v>
      </c>
      <c r="D213" s="46" t="s">
        <v>110</v>
      </c>
      <c r="E213" s="47" t="n">
        <v>478200</v>
      </c>
    </row>
    <row r="214" customFormat="false" ht="15" hidden="false" customHeight="false" outlineLevel="0" collapsed="false">
      <c r="A214" s="54" t="n">
        <v>46068</v>
      </c>
      <c r="B214" s="46" t="s">
        <v>100</v>
      </c>
      <c r="C214" s="46" t="s">
        <v>99</v>
      </c>
      <c r="D214" s="46" t="s">
        <v>108</v>
      </c>
      <c r="E214" s="47" t="n">
        <v>990200</v>
      </c>
    </row>
    <row r="215" customFormat="false" ht="15" hidden="false" customHeight="false" outlineLevel="0" collapsed="false">
      <c r="A215" s="54" t="n">
        <v>46068</v>
      </c>
      <c r="B215" s="46" t="s">
        <v>100</v>
      </c>
      <c r="C215" s="46" t="s">
        <v>99</v>
      </c>
      <c r="D215" s="46" t="s">
        <v>108</v>
      </c>
      <c r="E215" s="47" t="n">
        <v>1716700</v>
      </c>
    </row>
    <row r="216" customFormat="false" ht="15" hidden="false" customHeight="false" outlineLevel="0" collapsed="false">
      <c r="A216" s="54" t="n">
        <v>46068</v>
      </c>
      <c r="B216" s="46" t="s">
        <v>46</v>
      </c>
      <c r="C216" s="46" t="s">
        <v>97</v>
      </c>
      <c r="D216" s="46" t="s">
        <v>110</v>
      </c>
      <c r="E216" s="47" t="n">
        <v>132100</v>
      </c>
    </row>
    <row r="217" customFormat="false" ht="15" hidden="false" customHeight="false" outlineLevel="0" collapsed="false">
      <c r="A217" s="54" t="n">
        <v>46068</v>
      </c>
      <c r="B217" s="46" t="s">
        <v>44</v>
      </c>
      <c r="C217" s="46" t="s">
        <v>97</v>
      </c>
      <c r="D217" s="46" t="s">
        <v>110</v>
      </c>
      <c r="E217" s="47" t="n">
        <v>463500</v>
      </c>
    </row>
    <row r="218" customFormat="false" ht="15" hidden="false" customHeight="false" outlineLevel="0" collapsed="false">
      <c r="A218" s="54" t="n">
        <v>46068</v>
      </c>
      <c r="B218" s="46" t="s">
        <v>45</v>
      </c>
      <c r="C218" s="46" t="s">
        <v>97</v>
      </c>
      <c r="D218" s="46" t="s">
        <v>110</v>
      </c>
      <c r="E218" s="47" t="n">
        <v>159700</v>
      </c>
    </row>
    <row r="219" customFormat="false" ht="15" hidden="false" customHeight="false" outlineLevel="0" collapsed="false">
      <c r="A219" s="54" t="n">
        <v>46068</v>
      </c>
      <c r="B219" s="46" t="s">
        <v>45</v>
      </c>
      <c r="C219" s="46" t="s">
        <v>97</v>
      </c>
      <c r="D219" s="46" t="s">
        <v>110</v>
      </c>
      <c r="E219" s="47" t="n">
        <v>187200</v>
      </c>
    </row>
    <row r="220" customFormat="false" ht="15" hidden="false" customHeight="false" outlineLevel="0" collapsed="false">
      <c r="A220" s="54" t="n">
        <v>46069</v>
      </c>
      <c r="B220" s="46" t="s">
        <v>98</v>
      </c>
      <c r="C220" s="46" t="s">
        <v>99</v>
      </c>
      <c r="D220" s="46" t="s">
        <v>108</v>
      </c>
      <c r="E220" s="47" t="n">
        <v>1094500</v>
      </c>
    </row>
    <row r="221" customFormat="false" ht="15" hidden="false" customHeight="false" outlineLevel="0" collapsed="false">
      <c r="A221" s="54" t="n">
        <v>46069</v>
      </c>
      <c r="B221" s="46" t="s">
        <v>46</v>
      </c>
      <c r="C221" s="46" t="s">
        <v>97</v>
      </c>
      <c r="D221" s="46" t="s">
        <v>110</v>
      </c>
      <c r="E221" s="47" t="n">
        <v>189300</v>
      </c>
    </row>
    <row r="222" customFormat="false" ht="15" hidden="false" customHeight="false" outlineLevel="0" collapsed="false">
      <c r="A222" s="54" t="n">
        <v>46069</v>
      </c>
      <c r="B222" s="46" t="s">
        <v>44</v>
      </c>
      <c r="C222" s="46" t="s">
        <v>97</v>
      </c>
      <c r="D222" s="46" t="s">
        <v>110</v>
      </c>
      <c r="E222" s="47" t="n">
        <v>343100</v>
      </c>
    </row>
    <row r="223" customFormat="false" ht="15" hidden="false" customHeight="false" outlineLevel="0" collapsed="false">
      <c r="A223" s="54" t="n">
        <v>46069</v>
      </c>
      <c r="B223" s="46" t="s">
        <v>44</v>
      </c>
      <c r="C223" s="46" t="s">
        <v>97</v>
      </c>
      <c r="D223" s="46" t="s">
        <v>110</v>
      </c>
      <c r="E223" s="47" t="n">
        <v>564100</v>
      </c>
    </row>
    <row r="224" customFormat="false" ht="15" hidden="false" customHeight="false" outlineLevel="0" collapsed="false">
      <c r="A224" s="54" t="n">
        <v>46070</v>
      </c>
      <c r="B224" s="46" t="s">
        <v>101</v>
      </c>
      <c r="C224" s="46" t="s">
        <v>99</v>
      </c>
      <c r="D224" s="46" t="s">
        <v>108</v>
      </c>
      <c r="E224" s="47" t="n">
        <v>868000</v>
      </c>
    </row>
    <row r="225" customFormat="false" ht="15" hidden="false" customHeight="false" outlineLevel="0" collapsed="false">
      <c r="A225" s="54" t="n">
        <v>46070</v>
      </c>
      <c r="B225" s="46" t="s">
        <v>44</v>
      </c>
      <c r="C225" s="46" t="s">
        <v>97</v>
      </c>
      <c r="D225" s="46" t="s">
        <v>110</v>
      </c>
      <c r="E225" s="47" t="n">
        <v>272800</v>
      </c>
    </row>
    <row r="226" customFormat="false" ht="15" hidden="false" customHeight="false" outlineLevel="0" collapsed="false">
      <c r="A226" s="54" t="n">
        <v>46070</v>
      </c>
      <c r="B226" s="46" t="s">
        <v>45</v>
      </c>
      <c r="C226" s="46" t="s">
        <v>97</v>
      </c>
      <c r="D226" s="46" t="s">
        <v>110</v>
      </c>
      <c r="E226" s="47" t="n">
        <v>211800</v>
      </c>
    </row>
    <row r="227" customFormat="false" ht="15" hidden="false" customHeight="false" outlineLevel="0" collapsed="false">
      <c r="A227" s="54" t="n">
        <v>46070</v>
      </c>
      <c r="B227" s="46" t="s">
        <v>45</v>
      </c>
      <c r="C227" s="46" t="s">
        <v>97</v>
      </c>
      <c r="D227" s="46" t="s">
        <v>110</v>
      </c>
      <c r="E227" s="47" t="n">
        <v>470300</v>
      </c>
    </row>
    <row r="228" customFormat="false" ht="15" hidden="false" customHeight="false" outlineLevel="0" collapsed="false">
      <c r="A228" s="54" t="n">
        <v>46070</v>
      </c>
      <c r="B228" s="46" t="s">
        <v>45</v>
      </c>
      <c r="C228" s="46" t="s">
        <v>97</v>
      </c>
      <c r="D228" s="46" t="s">
        <v>110</v>
      </c>
      <c r="E228" s="47" t="n">
        <v>378200</v>
      </c>
    </row>
    <row r="229" customFormat="false" ht="15" hidden="false" customHeight="false" outlineLevel="0" collapsed="false">
      <c r="A229" s="54" t="n">
        <v>46070</v>
      </c>
      <c r="B229" s="46" t="s">
        <v>55</v>
      </c>
      <c r="C229" s="46" t="s">
        <v>103</v>
      </c>
      <c r="D229" s="46" t="s">
        <v>109</v>
      </c>
      <c r="E229" s="47" t="n">
        <v>111600</v>
      </c>
    </row>
    <row r="230" customFormat="false" ht="15" hidden="false" customHeight="false" outlineLevel="0" collapsed="false">
      <c r="A230" s="54" t="n">
        <v>46071</v>
      </c>
      <c r="B230" s="46" t="s">
        <v>58</v>
      </c>
      <c r="C230" s="46" t="s">
        <v>103</v>
      </c>
      <c r="D230" s="46" t="s">
        <v>109</v>
      </c>
      <c r="E230" s="47" t="n">
        <v>5200</v>
      </c>
    </row>
    <row r="231" customFormat="false" ht="15" hidden="false" customHeight="false" outlineLevel="0" collapsed="false">
      <c r="A231" s="54" t="n">
        <v>46071</v>
      </c>
      <c r="B231" s="46" t="s">
        <v>46</v>
      </c>
      <c r="C231" s="46" t="s">
        <v>97</v>
      </c>
      <c r="D231" s="46" t="s">
        <v>110</v>
      </c>
      <c r="E231" s="47" t="n">
        <v>206900</v>
      </c>
    </row>
    <row r="232" customFormat="false" ht="15" hidden="false" customHeight="false" outlineLevel="0" collapsed="false">
      <c r="A232" s="54" t="n">
        <v>46071</v>
      </c>
      <c r="B232" s="46" t="s">
        <v>47</v>
      </c>
      <c r="C232" s="46" t="s">
        <v>97</v>
      </c>
      <c r="D232" s="46" t="s">
        <v>110</v>
      </c>
      <c r="E232" s="47" t="n">
        <v>98200</v>
      </c>
    </row>
    <row r="233" customFormat="false" ht="15" hidden="false" customHeight="false" outlineLevel="0" collapsed="false">
      <c r="A233" s="54" t="n">
        <v>46071</v>
      </c>
      <c r="B233" s="46" t="s">
        <v>54</v>
      </c>
      <c r="C233" s="46" t="s">
        <v>103</v>
      </c>
      <c r="D233" s="46" t="s">
        <v>109</v>
      </c>
      <c r="E233" s="47" t="n">
        <v>80200</v>
      </c>
    </row>
    <row r="234" customFormat="false" ht="15" hidden="false" customHeight="false" outlineLevel="0" collapsed="false">
      <c r="A234" s="54" t="n">
        <v>46072</v>
      </c>
      <c r="B234" s="46" t="s">
        <v>44</v>
      </c>
      <c r="C234" s="46" t="s">
        <v>97</v>
      </c>
      <c r="D234" s="46" t="s">
        <v>110</v>
      </c>
      <c r="E234" s="47" t="n">
        <v>268800</v>
      </c>
    </row>
    <row r="235" customFormat="false" ht="15" hidden="false" customHeight="false" outlineLevel="0" collapsed="false">
      <c r="A235" s="54" t="n">
        <v>46072</v>
      </c>
      <c r="B235" s="46" t="s">
        <v>45</v>
      </c>
      <c r="C235" s="46" t="s">
        <v>97</v>
      </c>
      <c r="D235" s="46" t="s">
        <v>110</v>
      </c>
      <c r="E235" s="47" t="n">
        <v>187700</v>
      </c>
    </row>
    <row r="236" customFormat="false" ht="15" hidden="false" customHeight="false" outlineLevel="0" collapsed="false">
      <c r="A236" s="54" t="n">
        <v>46072</v>
      </c>
      <c r="B236" s="46" t="s">
        <v>47</v>
      </c>
      <c r="C236" s="46" t="s">
        <v>97</v>
      </c>
      <c r="D236" s="46" t="s">
        <v>110</v>
      </c>
      <c r="E236" s="47" t="n">
        <v>217300</v>
      </c>
    </row>
    <row r="237" customFormat="false" ht="15" hidden="false" customHeight="false" outlineLevel="0" collapsed="false">
      <c r="A237" s="54" t="n">
        <v>46073</v>
      </c>
      <c r="B237" s="46" t="s">
        <v>100</v>
      </c>
      <c r="C237" s="46" t="s">
        <v>99</v>
      </c>
      <c r="D237" s="46" t="s">
        <v>108</v>
      </c>
      <c r="E237" s="47" t="n">
        <v>937300</v>
      </c>
    </row>
    <row r="238" customFormat="false" ht="15" hidden="false" customHeight="false" outlineLevel="0" collapsed="false">
      <c r="A238" s="54" t="n">
        <v>46073</v>
      </c>
      <c r="B238" s="46" t="s">
        <v>44</v>
      </c>
      <c r="C238" s="46" t="s">
        <v>97</v>
      </c>
      <c r="D238" s="46" t="s">
        <v>110</v>
      </c>
      <c r="E238" s="47" t="n">
        <v>168100</v>
      </c>
    </row>
    <row r="239" customFormat="false" ht="15" hidden="false" customHeight="false" outlineLevel="0" collapsed="false">
      <c r="A239" s="54" t="n">
        <v>46073</v>
      </c>
      <c r="B239" s="46" t="s">
        <v>45</v>
      </c>
      <c r="C239" s="46" t="s">
        <v>97</v>
      </c>
      <c r="D239" s="46" t="s">
        <v>110</v>
      </c>
      <c r="E239" s="47" t="n">
        <v>538000</v>
      </c>
    </row>
    <row r="240" customFormat="false" ht="15" hidden="false" customHeight="false" outlineLevel="0" collapsed="false">
      <c r="A240" s="54" t="n">
        <v>46074</v>
      </c>
      <c r="B240" s="46" t="s">
        <v>101</v>
      </c>
      <c r="C240" s="46" t="s">
        <v>99</v>
      </c>
      <c r="D240" s="46" t="s">
        <v>108</v>
      </c>
      <c r="E240" s="47" t="n">
        <v>712700</v>
      </c>
    </row>
    <row r="241" customFormat="false" ht="15" hidden="false" customHeight="false" outlineLevel="0" collapsed="false">
      <c r="A241" s="54" t="n">
        <v>46074</v>
      </c>
      <c r="B241" s="46" t="s">
        <v>98</v>
      </c>
      <c r="C241" s="46" t="s">
        <v>99</v>
      </c>
      <c r="D241" s="46" t="s">
        <v>108</v>
      </c>
      <c r="E241" s="47" t="n">
        <v>869300</v>
      </c>
    </row>
    <row r="242" customFormat="false" ht="15" hidden="false" customHeight="false" outlineLevel="0" collapsed="false">
      <c r="A242" s="54" t="n">
        <v>46074</v>
      </c>
      <c r="B242" s="46" t="s">
        <v>46</v>
      </c>
      <c r="C242" s="46" t="s">
        <v>97</v>
      </c>
      <c r="D242" s="46" t="s">
        <v>110</v>
      </c>
      <c r="E242" s="47" t="n">
        <v>79100</v>
      </c>
    </row>
    <row r="243" customFormat="false" ht="15" hidden="false" customHeight="false" outlineLevel="0" collapsed="false">
      <c r="A243" s="54" t="n">
        <v>46074</v>
      </c>
      <c r="B243" s="46" t="s">
        <v>46</v>
      </c>
      <c r="C243" s="46" t="s">
        <v>97</v>
      </c>
      <c r="D243" s="46" t="s">
        <v>110</v>
      </c>
      <c r="E243" s="47" t="n">
        <v>109400</v>
      </c>
    </row>
    <row r="244" customFormat="false" ht="15" hidden="false" customHeight="false" outlineLevel="0" collapsed="false">
      <c r="A244" s="54" t="n">
        <v>46074</v>
      </c>
      <c r="B244" s="46" t="s">
        <v>46</v>
      </c>
      <c r="C244" s="46" t="s">
        <v>97</v>
      </c>
      <c r="D244" s="46" t="s">
        <v>110</v>
      </c>
      <c r="E244" s="47" t="n">
        <v>286800</v>
      </c>
    </row>
    <row r="245" customFormat="false" ht="15" hidden="false" customHeight="false" outlineLevel="0" collapsed="false">
      <c r="A245" s="54" t="n">
        <v>46074</v>
      </c>
      <c r="B245" s="46" t="s">
        <v>47</v>
      </c>
      <c r="C245" s="46" t="s">
        <v>97</v>
      </c>
      <c r="D245" s="46" t="s">
        <v>110</v>
      </c>
      <c r="E245" s="47" t="n">
        <v>55500</v>
      </c>
    </row>
    <row r="246" customFormat="false" ht="15" hidden="false" customHeight="false" outlineLevel="0" collapsed="false">
      <c r="A246" s="54" t="n">
        <v>46074</v>
      </c>
      <c r="B246" s="46" t="s">
        <v>47</v>
      </c>
      <c r="C246" s="46" t="s">
        <v>97</v>
      </c>
      <c r="D246" s="46" t="s">
        <v>110</v>
      </c>
      <c r="E246" s="47" t="n">
        <v>127200</v>
      </c>
    </row>
    <row r="247" customFormat="false" ht="15" hidden="false" customHeight="false" outlineLevel="0" collapsed="false">
      <c r="A247" s="54" t="n">
        <v>46074</v>
      </c>
      <c r="B247" s="46" t="s">
        <v>47</v>
      </c>
      <c r="C247" s="46" t="s">
        <v>97</v>
      </c>
      <c r="D247" s="46" t="s">
        <v>110</v>
      </c>
      <c r="E247" s="47" t="n">
        <v>100700</v>
      </c>
    </row>
    <row r="248" customFormat="false" ht="15" hidden="false" customHeight="false" outlineLevel="0" collapsed="false">
      <c r="A248" s="54" t="n">
        <v>46075</v>
      </c>
      <c r="B248" s="46" t="s">
        <v>58</v>
      </c>
      <c r="C248" s="46" t="s">
        <v>103</v>
      </c>
      <c r="D248" s="46" t="s">
        <v>109</v>
      </c>
      <c r="E248" s="47" t="n">
        <v>8700</v>
      </c>
    </row>
    <row r="249" customFormat="false" ht="15" hidden="false" customHeight="false" outlineLevel="0" collapsed="false">
      <c r="A249" s="54" t="n">
        <v>46075</v>
      </c>
      <c r="B249" s="46" t="s">
        <v>46</v>
      </c>
      <c r="C249" s="46" t="s">
        <v>97</v>
      </c>
      <c r="D249" s="46" t="s">
        <v>110</v>
      </c>
      <c r="E249" s="47" t="n">
        <v>210600</v>
      </c>
    </row>
    <row r="250" customFormat="false" ht="15" hidden="false" customHeight="false" outlineLevel="0" collapsed="false">
      <c r="A250" s="54" t="n">
        <v>46075</v>
      </c>
      <c r="B250" s="46" t="s">
        <v>44</v>
      </c>
      <c r="C250" s="46" t="s">
        <v>97</v>
      </c>
      <c r="D250" s="46" t="s">
        <v>110</v>
      </c>
      <c r="E250" s="47" t="n">
        <v>445900</v>
      </c>
    </row>
    <row r="251" customFormat="false" ht="15" hidden="false" customHeight="false" outlineLevel="0" collapsed="false">
      <c r="A251" s="54" t="n">
        <v>46075</v>
      </c>
      <c r="B251" s="46" t="s">
        <v>44</v>
      </c>
      <c r="C251" s="46" t="s">
        <v>97</v>
      </c>
      <c r="D251" s="46" t="s">
        <v>110</v>
      </c>
      <c r="E251" s="47" t="n">
        <v>535900</v>
      </c>
    </row>
    <row r="252" customFormat="false" ht="15" hidden="false" customHeight="false" outlineLevel="0" collapsed="false">
      <c r="A252" s="54" t="n">
        <v>46075</v>
      </c>
      <c r="B252" s="46" t="s">
        <v>45</v>
      </c>
      <c r="C252" s="46" t="s">
        <v>97</v>
      </c>
      <c r="D252" s="46" t="s">
        <v>110</v>
      </c>
      <c r="E252" s="47" t="n">
        <v>186300</v>
      </c>
    </row>
    <row r="253" customFormat="false" ht="15" hidden="false" customHeight="false" outlineLevel="0" collapsed="false">
      <c r="A253" s="54" t="n">
        <v>46075</v>
      </c>
      <c r="B253" s="46" t="s">
        <v>47</v>
      </c>
      <c r="C253" s="46" t="s">
        <v>97</v>
      </c>
      <c r="D253" s="46" t="s">
        <v>110</v>
      </c>
      <c r="E253" s="47" t="n">
        <v>112500</v>
      </c>
    </row>
    <row r="254" customFormat="false" ht="15" hidden="false" customHeight="false" outlineLevel="0" collapsed="false">
      <c r="A254" s="54" t="n">
        <v>46075</v>
      </c>
      <c r="B254" s="46" t="s">
        <v>47</v>
      </c>
      <c r="C254" s="46" t="s">
        <v>97</v>
      </c>
      <c r="D254" s="46" t="s">
        <v>110</v>
      </c>
      <c r="E254" s="47" t="n">
        <v>111900</v>
      </c>
    </row>
    <row r="255" customFormat="false" ht="15" hidden="false" customHeight="false" outlineLevel="0" collapsed="false">
      <c r="A255" s="54" t="n">
        <v>46075</v>
      </c>
      <c r="B255" s="46" t="s">
        <v>47</v>
      </c>
      <c r="C255" s="46" t="s">
        <v>97</v>
      </c>
      <c r="D255" s="46" t="s">
        <v>110</v>
      </c>
      <c r="E255" s="47" t="n">
        <v>151400</v>
      </c>
    </row>
    <row r="256" customFormat="false" ht="15" hidden="false" customHeight="false" outlineLevel="0" collapsed="false">
      <c r="A256" s="54" t="n">
        <v>46076</v>
      </c>
      <c r="B256" s="46" t="s">
        <v>56</v>
      </c>
      <c r="C256" s="46" t="s">
        <v>103</v>
      </c>
      <c r="D256" s="46" t="s">
        <v>109</v>
      </c>
      <c r="E256" s="47" t="n">
        <v>44500</v>
      </c>
    </row>
    <row r="257" customFormat="false" ht="15" hidden="false" customHeight="false" outlineLevel="0" collapsed="false">
      <c r="A257" s="54" t="n">
        <v>46076</v>
      </c>
      <c r="B257" s="46" t="s">
        <v>46</v>
      </c>
      <c r="C257" s="46" t="s">
        <v>97</v>
      </c>
      <c r="D257" s="46" t="s">
        <v>110</v>
      </c>
      <c r="E257" s="47" t="n">
        <v>174300</v>
      </c>
    </row>
    <row r="258" customFormat="false" ht="15" hidden="false" customHeight="false" outlineLevel="0" collapsed="false">
      <c r="A258" s="54" t="n">
        <v>46076</v>
      </c>
      <c r="B258" s="46" t="s">
        <v>46</v>
      </c>
      <c r="C258" s="46" t="s">
        <v>97</v>
      </c>
      <c r="D258" s="46" t="s">
        <v>110</v>
      </c>
      <c r="E258" s="47" t="n">
        <v>179000</v>
      </c>
    </row>
    <row r="259" customFormat="false" ht="15" hidden="false" customHeight="false" outlineLevel="0" collapsed="false">
      <c r="A259" s="54" t="n">
        <v>46076</v>
      </c>
      <c r="B259" s="46" t="s">
        <v>45</v>
      </c>
      <c r="C259" s="46" t="s">
        <v>97</v>
      </c>
      <c r="D259" s="46" t="s">
        <v>110</v>
      </c>
      <c r="E259" s="47" t="n">
        <v>529500</v>
      </c>
    </row>
    <row r="260" customFormat="false" ht="15" hidden="false" customHeight="false" outlineLevel="0" collapsed="false">
      <c r="A260" s="54" t="n">
        <v>46076</v>
      </c>
      <c r="B260" s="46" t="s">
        <v>47</v>
      </c>
      <c r="C260" s="46" t="s">
        <v>97</v>
      </c>
      <c r="D260" s="46" t="s">
        <v>110</v>
      </c>
      <c r="E260" s="47" t="n">
        <v>71000</v>
      </c>
    </row>
    <row r="261" customFormat="false" ht="15" hidden="false" customHeight="false" outlineLevel="0" collapsed="false">
      <c r="A261" s="54" t="n">
        <v>46076</v>
      </c>
      <c r="B261" s="46" t="s">
        <v>47</v>
      </c>
      <c r="C261" s="46" t="s">
        <v>97</v>
      </c>
      <c r="D261" s="46" t="s">
        <v>110</v>
      </c>
      <c r="E261" s="47" t="n">
        <v>199000</v>
      </c>
    </row>
    <row r="262" customFormat="false" ht="15" hidden="false" customHeight="false" outlineLevel="0" collapsed="false">
      <c r="A262" s="54" t="n">
        <v>46076</v>
      </c>
      <c r="B262" s="46" t="s">
        <v>47</v>
      </c>
      <c r="C262" s="46" t="s">
        <v>97</v>
      </c>
      <c r="D262" s="46" t="s">
        <v>110</v>
      </c>
      <c r="E262" s="47" t="n">
        <v>148100</v>
      </c>
    </row>
    <row r="263" customFormat="false" ht="15" hidden="false" customHeight="false" outlineLevel="0" collapsed="false">
      <c r="A263" s="54" t="n">
        <v>46076</v>
      </c>
      <c r="B263" s="46" t="s">
        <v>47</v>
      </c>
      <c r="C263" s="46" t="s">
        <v>97</v>
      </c>
      <c r="D263" s="46" t="s">
        <v>110</v>
      </c>
      <c r="E263" s="47" t="n">
        <v>126300</v>
      </c>
    </row>
    <row r="264" customFormat="false" ht="15" hidden="false" customHeight="false" outlineLevel="0" collapsed="false">
      <c r="A264" s="54" t="n">
        <v>46076</v>
      </c>
      <c r="B264" s="46" t="s">
        <v>54</v>
      </c>
      <c r="C264" s="46" t="s">
        <v>103</v>
      </c>
      <c r="D264" s="46" t="s">
        <v>109</v>
      </c>
      <c r="E264" s="47" t="n">
        <v>67300</v>
      </c>
    </row>
    <row r="265" customFormat="false" ht="15" hidden="false" customHeight="false" outlineLevel="0" collapsed="false">
      <c r="A265" s="54" t="n">
        <v>46077</v>
      </c>
      <c r="B265" s="46" t="s">
        <v>46</v>
      </c>
      <c r="C265" s="46" t="s">
        <v>97</v>
      </c>
      <c r="D265" s="46" t="s">
        <v>110</v>
      </c>
      <c r="E265" s="47" t="n">
        <v>302000</v>
      </c>
    </row>
    <row r="266" customFormat="false" ht="15" hidden="false" customHeight="false" outlineLevel="0" collapsed="false">
      <c r="A266" s="54" t="n">
        <v>46077</v>
      </c>
      <c r="B266" s="46" t="s">
        <v>44</v>
      </c>
      <c r="C266" s="46" t="s">
        <v>97</v>
      </c>
      <c r="D266" s="46" t="s">
        <v>110</v>
      </c>
      <c r="E266" s="47" t="n">
        <v>337300</v>
      </c>
    </row>
    <row r="267" customFormat="false" ht="15" hidden="false" customHeight="false" outlineLevel="0" collapsed="false">
      <c r="A267" s="54" t="n">
        <v>46077</v>
      </c>
      <c r="B267" s="46" t="s">
        <v>44</v>
      </c>
      <c r="C267" s="46" t="s">
        <v>97</v>
      </c>
      <c r="D267" s="46" t="s">
        <v>110</v>
      </c>
      <c r="E267" s="47" t="n">
        <v>147900</v>
      </c>
    </row>
    <row r="268" customFormat="false" ht="15" hidden="false" customHeight="false" outlineLevel="0" collapsed="false">
      <c r="A268" s="54" t="n">
        <v>46077</v>
      </c>
      <c r="B268" s="46" t="s">
        <v>45</v>
      </c>
      <c r="C268" s="46" t="s">
        <v>97</v>
      </c>
      <c r="D268" s="46" t="s">
        <v>110</v>
      </c>
      <c r="E268" s="47" t="n">
        <v>404200</v>
      </c>
    </row>
    <row r="269" customFormat="false" ht="15" hidden="false" customHeight="false" outlineLevel="0" collapsed="false">
      <c r="A269" s="54" t="n">
        <v>46077</v>
      </c>
      <c r="B269" s="46" t="s">
        <v>47</v>
      </c>
      <c r="C269" s="46" t="s">
        <v>97</v>
      </c>
      <c r="D269" s="46" t="s">
        <v>110</v>
      </c>
      <c r="E269" s="47" t="n">
        <v>147300</v>
      </c>
    </row>
    <row r="270" customFormat="false" ht="15" hidden="false" customHeight="false" outlineLevel="0" collapsed="false">
      <c r="A270" s="54" t="n">
        <v>46077</v>
      </c>
      <c r="B270" s="46" t="s">
        <v>47</v>
      </c>
      <c r="C270" s="46" t="s">
        <v>97</v>
      </c>
      <c r="D270" s="46" t="s">
        <v>110</v>
      </c>
      <c r="E270" s="47" t="n">
        <v>214400</v>
      </c>
    </row>
    <row r="271" customFormat="false" ht="15" hidden="false" customHeight="false" outlineLevel="0" collapsed="false">
      <c r="A271" s="54" t="n">
        <v>46078</v>
      </c>
      <c r="B271" s="46" t="s">
        <v>101</v>
      </c>
      <c r="C271" s="46" t="s">
        <v>99</v>
      </c>
      <c r="D271" s="46" t="s">
        <v>108</v>
      </c>
      <c r="E271" s="47" t="n">
        <v>592300</v>
      </c>
    </row>
    <row r="272" customFormat="false" ht="15" hidden="false" customHeight="false" outlineLevel="0" collapsed="false">
      <c r="A272" s="54" t="n">
        <v>46078</v>
      </c>
      <c r="B272" s="46" t="s">
        <v>98</v>
      </c>
      <c r="C272" s="46" t="s">
        <v>99</v>
      </c>
      <c r="D272" s="46" t="s">
        <v>108</v>
      </c>
      <c r="E272" s="47" t="n">
        <v>1049600</v>
      </c>
    </row>
    <row r="273" customFormat="false" ht="15" hidden="false" customHeight="false" outlineLevel="0" collapsed="false">
      <c r="A273" s="54" t="n">
        <v>46078</v>
      </c>
      <c r="B273" s="46" t="s">
        <v>102</v>
      </c>
      <c r="C273" s="46" t="s">
        <v>99</v>
      </c>
      <c r="D273" s="46" t="s">
        <v>108</v>
      </c>
      <c r="E273" s="47" t="n">
        <v>414100</v>
      </c>
    </row>
    <row r="274" customFormat="false" ht="15" hidden="false" customHeight="false" outlineLevel="0" collapsed="false">
      <c r="A274" s="54" t="n">
        <v>46078</v>
      </c>
      <c r="B274" s="46" t="s">
        <v>46</v>
      </c>
      <c r="C274" s="46" t="s">
        <v>97</v>
      </c>
      <c r="D274" s="46" t="s">
        <v>110</v>
      </c>
      <c r="E274" s="47" t="n">
        <v>305100</v>
      </c>
    </row>
    <row r="275" customFormat="false" ht="15" hidden="false" customHeight="false" outlineLevel="0" collapsed="false">
      <c r="A275" s="54" t="n">
        <v>46078</v>
      </c>
      <c r="B275" s="46" t="s">
        <v>46</v>
      </c>
      <c r="C275" s="46" t="s">
        <v>97</v>
      </c>
      <c r="D275" s="46" t="s">
        <v>110</v>
      </c>
      <c r="E275" s="47" t="n">
        <v>153600</v>
      </c>
    </row>
    <row r="276" customFormat="false" ht="15" hidden="false" customHeight="false" outlineLevel="0" collapsed="false">
      <c r="A276" s="54" t="n">
        <v>46078</v>
      </c>
      <c r="B276" s="46" t="s">
        <v>44</v>
      </c>
      <c r="C276" s="46" t="s">
        <v>97</v>
      </c>
      <c r="D276" s="46" t="s">
        <v>110</v>
      </c>
      <c r="E276" s="47" t="n">
        <v>360800</v>
      </c>
    </row>
    <row r="277" customFormat="false" ht="15" hidden="false" customHeight="false" outlineLevel="0" collapsed="false">
      <c r="A277" s="54" t="n">
        <v>46078</v>
      </c>
      <c r="B277" s="46" t="s">
        <v>44</v>
      </c>
      <c r="C277" s="46" t="s">
        <v>97</v>
      </c>
      <c r="D277" s="46" t="s">
        <v>110</v>
      </c>
      <c r="E277" s="47" t="n">
        <v>376700</v>
      </c>
    </row>
    <row r="278" customFormat="false" ht="15" hidden="false" customHeight="false" outlineLevel="0" collapsed="false">
      <c r="A278" s="54" t="n">
        <v>46078</v>
      </c>
      <c r="B278" s="46" t="s">
        <v>44</v>
      </c>
      <c r="C278" s="46" t="s">
        <v>97</v>
      </c>
      <c r="D278" s="46" t="s">
        <v>110</v>
      </c>
      <c r="E278" s="47" t="n">
        <v>459900</v>
      </c>
    </row>
    <row r="279" customFormat="false" ht="15" hidden="false" customHeight="false" outlineLevel="0" collapsed="false">
      <c r="A279" s="54" t="n">
        <v>46079</v>
      </c>
      <c r="B279" s="46" t="s">
        <v>100</v>
      </c>
      <c r="C279" s="46" t="s">
        <v>99</v>
      </c>
      <c r="D279" s="46" t="s">
        <v>108</v>
      </c>
      <c r="E279" s="47" t="n">
        <v>919000</v>
      </c>
    </row>
    <row r="280" customFormat="false" ht="15" hidden="false" customHeight="false" outlineLevel="0" collapsed="false">
      <c r="A280" s="54" t="n">
        <v>46079</v>
      </c>
      <c r="B280" s="46" t="s">
        <v>59</v>
      </c>
      <c r="C280" s="46" t="s">
        <v>103</v>
      </c>
      <c r="D280" s="46" t="s">
        <v>109</v>
      </c>
      <c r="E280" s="47" t="n">
        <v>106900</v>
      </c>
    </row>
    <row r="281" customFormat="false" ht="15" hidden="false" customHeight="false" outlineLevel="0" collapsed="false">
      <c r="A281" s="54" t="n">
        <v>46079</v>
      </c>
      <c r="B281" s="46" t="s">
        <v>44</v>
      </c>
      <c r="C281" s="46" t="s">
        <v>97</v>
      </c>
      <c r="D281" s="46" t="s">
        <v>110</v>
      </c>
      <c r="E281" s="47" t="n">
        <v>264600</v>
      </c>
    </row>
    <row r="282" customFormat="false" ht="15" hidden="false" customHeight="false" outlineLevel="0" collapsed="false">
      <c r="A282" s="54" t="n">
        <v>46079</v>
      </c>
      <c r="B282" s="46" t="s">
        <v>45</v>
      </c>
      <c r="C282" s="46" t="s">
        <v>97</v>
      </c>
      <c r="D282" s="46" t="s">
        <v>110</v>
      </c>
      <c r="E282" s="47" t="n">
        <v>440300</v>
      </c>
    </row>
    <row r="283" customFormat="false" ht="15" hidden="false" customHeight="false" outlineLevel="0" collapsed="false">
      <c r="A283" s="54" t="n">
        <v>46079</v>
      </c>
      <c r="B283" s="46" t="s">
        <v>45</v>
      </c>
      <c r="C283" s="46" t="s">
        <v>97</v>
      </c>
      <c r="D283" s="46" t="s">
        <v>110</v>
      </c>
      <c r="E283" s="47" t="n">
        <v>347900</v>
      </c>
    </row>
    <row r="284" customFormat="false" ht="15" hidden="false" customHeight="false" outlineLevel="0" collapsed="false">
      <c r="A284" s="54" t="n">
        <v>46079</v>
      </c>
      <c r="B284" s="46" t="s">
        <v>45</v>
      </c>
      <c r="C284" s="46" t="s">
        <v>97</v>
      </c>
      <c r="D284" s="46" t="s">
        <v>110</v>
      </c>
      <c r="E284" s="47" t="n">
        <v>301700</v>
      </c>
    </row>
    <row r="285" customFormat="false" ht="15" hidden="false" customHeight="false" outlineLevel="0" collapsed="false">
      <c r="A285" s="54" t="n">
        <v>46079</v>
      </c>
      <c r="B285" s="46" t="s">
        <v>47</v>
      </c>
      <c r="C285" s="46" t="s">
        <v>97</v>
      </c>
      <c r="D285" s="46" t="s">
        <v>110</v>
      </c>
      <c r="E285" s="47" t="n">
        <v>212000</v>
      </c>
    </row>
    <row r="286" customFormat="false" ht="15" hidden="false" customHeight="false" outlineLevel="0" collapsed="false">
      <c r="A286" s="54" t="n">
        <v>46079</v>
      </c>
      <c r="B286" s="46" t="s">
        <v>47</v>
      </c>
      <c r="C286" s="46" t="s">
        <v>97</v>
      </c>
      <c r="D286" s="46" t="s">
        <v>110</v>
      </c>
      <c r="E286" s="47" t="n">
        <v>175500</v>
      </c>
    </row>
    <row r="287" customFormat="false" ht="15" hidden="false" customHeight="false" outlineLevel="0" collapsed="false">
      <c r="A287" s="54" t="n">
        <v>46080</v>
      </c>
      <c r="B287" s="46" t="s">
        <v>58</v>
      </c>
      <c r="C287" s="46" t="s">
        <v>103</v>
      </c>
      <c r="D287" s="46" t="s">
        <v>109</v>
      </c>
      <c r="E287" s="47" t="n">
        <v>8500</v>
      </c>
    </row>
    <row r="288" customFormat="false" ht="15" hidden="false" customHeight="false" outlineLevel="0" collapsed="false">
      <c r="A288" s="54" t="n">
        <v>46080</v>
      </c>
      <c r="B288" s="46" t="s">
        <v>98</v>
      </c>
      <c r="C288" s="46" t="s">
        <v>99</v>
      </c>
      <c r="D288" s="46" t="s">
        <v>108</v>
      </c>
      <c r="E288" s="47" t="n">
        <v>652100</v>
      </c>
    </row>
    <row r="289" customFormat="false" ht="15" hidden="false" customHeight="false" outlineLevel="0" collapsed="false">
      <c r="A289" s="54" t="n">
        <v>46080</v>
      </c>
      <c r="B289" s="46" t="s">
        <v>98</v>
      </c>
      <c r="C289" s="46" t="s">
        <v>99</v>
      </c>
      <c r="D289" s="46" t="s">
        <v>108</v>
      </c>
      <c r="E289" s="47" t="n">
        <v>959300</v>
      </c>
    </row>
    <row r="290" customFormat="false" ht="15" hidden="false" customHeight="false" outlineLevel="0" collapsed="false">
      <c r="A290" s="54" t="n">
        <v>46080</v>
      </c>
      <c r="B290" s="46" t="s">
        <v>44</v>
      </c>
      <c r="C290" s="46" t="s">
        <v>97</v>
      </c>
      <c r="D290" s="46" t="s">
        <v>110</v>
      </c>
      <c r="E290" s="47" t="n">
        <v>185600</v>
      </c>
    </row>
    <row r="291" customFormat="false" ht="15" hidden="false" customHeight="false" outlineLevel="0" collapsed="false">
      <c r="A291" s="54" t="n">
        <v>46080</v>
      </c>
      <c r="B291" s="46" t="s">
        <v>47</v>
      </c>
      <c r="C291" s="46" t="s">
        <v>97</v>
      </c>
      <c r="D291" s="46" t="s">
        <v>110</v>
      </c>
      <c r="E291" s="47" t="n">
        <v>156100</v>
      </c>
    </row>
    <row r="292" customFormat="false" ht="15" hidden="false" customHeight="false" outlineLevel="0" collapsed="false">
      <c r="A292" s="54" t="n">
        <v>46080</v>
      </c>
      <c r="B292" s="46" t="s">
        <v>47</v>
      </c>
      <c r="C292" s="46" t="s">
        <v>97</v>
      </c>
      <c r="D292" s="46" t="s">
        <v>110</v>
      </c>
      <c r="E292" s="47" t="n">
        <v>181100</v>
      </c>
    </row>
    <row r="293" customFormat="false" ht="15" hidden="false" customHeight="false" outlineLevel="0" collapsed="false">
      <c r="A293" s="54" t="n">
        <v>46080</v>
      </c>
      <c r="B293" s="46" t="s">
        <v>55</v>
      </c>
      <c r="C293" s="46" t="s">
        <v>103</v>
      </c>
      <c r="D293" s="46" t="s">
        <v>109</v>
      </c>
      <c r="E293" s="47" t="n">
        <v>44100</v>
      </c>
    </row>
    <row r="294" customFormat="false" ht="15" hidden="false" customHeight="false" outlineLevel="0" collapsed="false">
      <c r="A294" s="54" t="n">
        <v>46082</v>
      </c>
      <c r="B294" s="46" t="s">
        <v>58</v>
      </c>
      <c r="C294" s="46" t="s">
        <v>103</v>
      </c>
      <c r="D294" s="46" t="s">
        <v>109</v>
      </c>
      <c r="E294" s="47" t="n">
        <v>10900</v>
      </c>
    </row>
    <row r="295" customFormat="false" ht="15" hidden="false" customHeight="false" outlineLevel="0" collapsed="false">
      <c r="A295" s="54" t="n">
        <v>46082</v>
      </c>
      <c r="B295" s="46" t="s">
        <v>101</v>
      </c>
      <c r="C295" s="46" t="s">
        <v>99</v>
      </c>
      <c r="D295" s="46" t="s">
        <v>108</v>
      </c>
      <c r="E295" s="47" t="n">
        <v>245000</v>
      </c>
    </row>
    <row r="296" customFormat="false" ht="15" hidden="false" customHeight="false" outlineLevel="0" collapsed="false">
      <c r="A296" s="54" t="n">
        <v>46082</v>
      </c>
      <c r="B296" s="46" t="s">
        <v>46</v>
      </c>
      <c r="C296" s="46" t="s">
        <v>97</v>
      </c>
      <c r="D296" s="46" t="s">
        <v>110</v>
      </c>
      <c r="E296" s="47" t="n">
        <v>178000</v>
      </c>
    </row>
    <row r="297" customFormat="false" ht="15" hidden="false" customHeight="false" outlineLevel="0" collapsed="false">
      <c r="A297" s="54" t="n">
        <v>46082</v>
      </c>
      <c r="B297" s="46" t="s">
        <v>46</v>
      </c>
      <c r="C297" s="46" t="s">
        <v>97</v>
      </c>
      <c r="D297" s="46" t="s">
        <v>110</v>
      </c>
      <c r="E297" s="47" t="n">
        <v>192200</v>
      </c>
    </row>
    <row r="298" customFormat="false" ht="15" hidden="false" customHeight="false" outlineLevel="0" collapsed="false">
      <c r="A298" s="54" t="n">
        <v>46082</v>
      </c>
      <c r="B298" s="46" t="s">
        <v>46</v>
      </c>
      <c r="C298" s="46" t="s">
        <v>97</v>
      </c>
      <c r="D298" s="46" t="s">
        <v>110</v>
      </c>
      <c r="E298" s="47" t="n">
        <v>348900</v>
      </c>
    </row>
    <row r="299" customFormat="false" ht="15" hidden="false" customHeight="false" outlineLevel="0" collapsed="false">
      <c r="A299" s="54" t="n">
        <v>46082</v>
      </c>
      <c r="B299" s="46" t="s">
        <v>44</v>
      </c>
      <c r="C299" s="46" t="s">
        <v>97</v>
      </c>
      <c r="D299" s="46" t="s">
        <v>110</v>
      </c>
      <c r="E299" s="47" t="n">
        <v>466500</v>
      </c>
    </row>
    <row r="300" customFormat="false" ht="15" hidden="false" customHeight="false" outlineLevel="0" collapsed="false">
      <c r="A300" s="54" t="n">
        <v>46082</v>
      </c>
      <c r="B300" s="46" t="s">
        <v>47</v>
      </c>
      <c r="C300" s="46" t="s">
        <v>97</v>
      </c>
      <c r="D300" s="46" t="s">
        <v>110</v>
      </c>
      <c r="E300" s="47" t="n">
        <v>198700</v>
      </c>
    </row>
    <row r="301" customFormat="false" ht="15" hidden="false" customHeight="false" outlineLevel="0" collapsed="false">
      <c r="A301" s="54" t="n">
        <v>46083</v>
      </c>
      <c r="B301" s="46" t="s">
        <v>56</v>
      </c>
      <c r="C301" s="46" t="s">
        <v>103</v>
      </c>
      <c r="D301" s="46" t="s">
        <v>109</v>
      </c>
      <c r="E301" s="47" t="n">
        <v>153900</v>
      </c>
    </row>
    <row r="302" customFormat="false" ht="15" hidden="false" customHeight="false" outlineLevel="0" collapsed="false">
      <c r="A302" s="54" t="n">
        <v>46083</v>
      </c>
      <c r="B302" s="46" t="s">
        <v>44</v>
      </c>
      <c r="C302" s="46" t="s">
        <v>97</v>
      </c>
      <c r="D302" s="46" t="s">
        <v>110</v>
      </c>
      <c r="E302" s="47" t="n">
        <v>226100</v>
      </c>
    </row>
    <row r="303" customFormat="false" ht="15" hidden="false" customHeight="false" outlineLevel="0" collapsed="false">
      <c r="A303" s="54" t="n">
        <v>46083</v>
      </c>
      <c r="B303" s="46" t="s">
        <v>47</v>
      </c>
      <c r="C303" s="46" t="s">
        <v>97</v>
      </c>
      <c r="D303" s="46" t="s">
        <v>110</v>
      </c>
      <c r="E303" s="47" t="n">
        <v>312800</v>
      </c>
    </row>
    <row r="304" customFormat="false" ht="15" hidden="false" customHeight="false" outlineLevel="0" collapsed="false">
      <c r="A304" s="54" t="n">
        <v>46084</v>
      </c>
      <c r="B304" s="46" t="s">
        <v>100</v>
      </c>
      <c r="C304" s="46" t="s">
        <v>99</v>
      </c>
      <c r="D304" s="46" t="s">
        <v>108</v>
      </c>
      <c r="E304" s="47" t="n">
        <v>539400</v>
      </c>
    </row>
    <row r="305" customFormat="false" ht="15" hidden="false" customHeight="false" outlineLevel="0" collapsed="false">
      <c r="A305" s="54" t="n">
        <v>46084</v>
      </c>
      <c r="B305" s="46" t="s">
        <v>46</v>
      </c>
      <c r="C305" s="46" t="s">
        <v>97</v>
      </c>
      <c r="D305" s="46" t="s">
        <v>110</v>
      </c>
      <c r="E305" s="47" t="n">
        <v>325900</v>
      </c>
    </row>
    <row r="306" customFormat="false" ht="15" hidden="false" customHeight="false" outlineLevel="0" collapsed="false">
      <c r="A306" s="54" t="n">
        <v>46084</v>
      </c>
      <c r="B306" s="46" t="s">
        <v>44</v>
      </c>
      <c r="C306" s="46" t="s">
        <v>97</v>
      </c>
      <c r="D306" s="46" t="s">
        <v>110</v>
      </c>
      <c r="E306" s="47" t="n">
        <v>350100</v>
      </c>
    </row>
    <row r="307" customFormat="false" ht="15" hidden="false" customHeight="false" outlineLevel="0" collapsed="false">
      <c r="A307" s="54" t="n">
        <v>46084</v>
      </c>
      <c r="B307" s="46" t="s">
        <v>47</v>
      </c>
      <c r="C307" s="46" t="s">
        <v>97</v>
      </c>
      <c r="D307" s="46" t="s">
        <v>110</v>
      </c>
      <c r="E307" s="47" t="n">
        <v>108800</v>
      </c>
    </row>
    <row r="308" customFormat="false" ht="15" hidden="false" customHeight="false" outlineLevel="0" collapsed="false">
      <c r="A308" s="54" t="n">
        <v>46084</v>
      </c>
      <c r="B308" s="46" t="s">
        <v>55</v>
      </c>
      <c r="C308" s="46" t="s">
        <v>103</v>
      </c>
      <c r="D308" s="46" t="s">
        <v>109</v>
      </c>
      <c r="E308" s="47" t="n">
        <v>48600</v>
      </c>
    </row>
    <row r="309" customFormat="false" ht="15" hidden="false" customHeight="false" outlineLevel="0" collapsed="false">
      <c r="A309" s="54" t="n">
        <v>46085</v>
      </c>
      <c r="B309" s="46" t="s">
        <v>98</v>
      </c>
      <c r="C309" s="46" t="s">
        <v>99</v>
      </c>
      <c r="D309" s="46" t="s">
        <v>108</v>
      </c>
      <c r="E309" s="47" t="n">
        <v>866400</v>
      </c>
    </row>
    <row r="310" customFormat="false" ht="15" hidden="false" customHeight="false" outlineLevel="0" collapsed="false">
      <c r="A310" s="54" t="n">
        <v>46085</v>
      </c>
      <c r="B310" s="46" t="s">
        <v>100</v>
      </c>
      <c r="C310" s="46" t="s">
        <v>99</v>
      </c>
      <c r="D310" s="46" t="s">
        <v>108</v>
      </c>
      <c r="E310" s="47" t="n">
        <v>539700</v>
      </c>
    </row>
    <row r="311" customFormat="false" ht="15" hidden="false" customHeight="false" outlineLevel="0" collapsed="false">
      <c r="A311" s="54" t="n">
        <v>46085</v>
      </c>
      <c r="B311" s="46" t="s">
        <v>45</v>
      </c>
      <c r="C311" s="46" t="s">
        <v>97</v>
      </c>
      <c r="D311" s="46" t="s">
        <v>110</v>
      </c>
      <c r="E311" s="47" t="n">
        <v>455800</v>
      </c>
    </row>
    <row r="312" customFormat="false" ht="15" hidden="false" customHeight="false" outlineLevel="0" collapsed="false">
      <c r="A312" s="54" t="n">
        <v>46085</v>
      </c>
      <c r="B312" s="46" t="s">
        <v>45</v>
      </c>
      <c r="C312" s="46" t="s">
        <v>97</v>
      </c>
      <c r="D312" s="46" t="s">
        <v>110</v>
      </c>
      <c r="E312" s="47" t="n">
        <v>201300</v>
      </c>
    </row>
    <row r="313" customFormat="false" ht="15" hidden="false" customHeight="false" outlineLevel="0" collapsed="false">
      <c r="A313" s="54" t="n">
        <v>46085</v>
      </c>
      <c r="B313" s="46" t="s">
        <v>47</v>
      </c>
      <c r="C313" s="46" t="s">
        <v>97</v>
      </c>
      <c r="D313" s="46" t="s">
        <v>110</v>
      </c>
      <c r="E313" s="47" t="n">
        <v>216400</v>
      </c>
    </row>
    <row r="314" customFormat="false" ht="15" hidden="false" customHeight="false" outlineLevel="0" collapsed="false">
      <c r="A314" s="54" t="n">
        <v>46086</v>
      </c>
      <c r="B314" s="46" t="s">
        <v>101</v>
      </c>
      <c r="C314" s="46" t="s">
        <v>99</v>
      </c>
      <c r="D314" s="46" t="s">
        <v>108</v>
      </c>
      <c r="E314" s="47" t="n">
        <v>524600</v>
      </c>
    </row>
    <row r="315" customFormat="false" ht="15" hidden="false" customHeight="false" outlineLevel="0" collapsed="false">
      <c r="A315" s="54" t="n">
        <v>46086</v>
      </c>
      <c r="B315" s="46" t="s">
        <v>101</v>
      </c>
      <c r="C315" s="46" t="s">
        <v>99</v>
      </c>
      <c r="D315" s="46" t="s">
        <v>108</v>
      </c>
      <c r="E315" s="47" t="n">
        <v>650600</v>
      </c>
    </row>
    <row r="316" customFormat="false" ht="15" hidden="false" customHeight="false" outlineLevel="0" collapsed="false">
      <c r="A316" s="54" t="n">
        <v>46086</v>
      </c>
      <c r="B316" s="46" t="s">
        <v>98</v>
      </c>
      <c r="C316" s="46" t="s">
        <v>99</v>
      </c>
      <c r="D316" s="46" t="s">
        <v>108</v>
      </c>
      <c r="E316" s="47" t="n">
        <v>896600</v>
      </c>
    </row>
    <row r="317" customFormat="false" ht="15" hidden="false" customHeight="false" outlineLevel="0" collapsed="false">
      <c r="A317" s="54" t="n">
        <v>46086</v>
      </c>
      <c r="B317" s="46" t="s">
        <v>46</v>
      </c>
      <c r="C317" s="46" t="s">
        <v>97</v>
      </c>
      <c r="D317" s="46" t="s">
        <v>110</v>
      </c>
      <c r="E317" s="47" t="n">
        <v>363500</v>
      </c>
    </row>
    <row r="318" customFormat="false" ht="15" hidden="false" customHeight="false" outlineLevel="0" collapsed="false">
      <c r="A318" s="54" t="n">
        <v>46086</v>
      </c>
      <c r="B318" s="46" t="s">
        <v>44</v>
      </c>
      <c r="C318" s="46" t="s">
        <v>97</v>
      </c>
      <c r="D318" s="46" t="s">
        <v>110</v>
      </c>
      <c r="E318" s="47" t="n">
        <v>405800</v>
      </c>
    </row>
    <row r="319" customFormat="false" ht="15" hidden="false" customHeight="false" outlineLevel="0" collapsed="false">
      <c r="A319" s="54" t="n">
        <v>46086</v>
      </c>
      <c r="B319" s="46" t="s">
        <v>47</v>
      </c>
      <c r="C319" s="46" t="s">
        <v>97</v>
      </c>
      <c r="D319" s="46" t="s">
        <v>110</v>
      </c>
      <c r="E319" s="47" t="n">
        <v>227300</v>
      </c>
    </row>
    <row r="320" customFormat="false" ht="15" hidden="false" customHeight="false" outlineLevel="0" collapsed="false">
      <c r="A320" s="54" t="n">
        <v>46086</v>
      </c>
      <c r="B320" s="46" t="s">
        <v>55</v>
      </c>
      <c r="C320" s="46" t="s">
        <v>103</v>
      </c>
      <c r="D320" s="46" t="s">
        <v>109</v>
      </c>
      <c r="E320" s="47" t="n">
        <v>39600</v>
      </c>
    </row>
    <row r="321" customFormat="false" ht="15" hidden="false" customHeight="false" outlineLevel="0" collapsed="false">
      <c r="A321" s="54" t="n">
        <v>46087</v>
      </c>
      <c r="B321" s="46" t="s">
        <v>58</v>
      </c>
      <c r="C321" s="46" t="s">
        <v>103</v>
      </c>
      <c r="D321" s="46" t="s">
        <v>109</v>
      </c>
      <c r="E321" s="47" t="n">
        <v>12500</v>
      </c>
    </row>
    <row r="322" customFormat="false" ht="15" hidden="false" customHeight="false" outlineLevel="0" collapsed="false">
      <c r="A322" s="54" t="n">
        <v>46087</v>
      </c>
      <c r="B322" s="46" t="s">
        <v>58</v>
      </c>
      <c r="C322" s="46" t="s">
        <v>103</v>
      </c>
      <c r="D322" s="46" t="s">
        <v>109</v>
      </c>
      <c r="E322" s="47" t="n">
        <v>6500</v>
      </c>
    </row>
    <row r="323" customFormat="false" ht="15" hidden="false" customHeight="false" outlineLevel="0" collapsed="false">
      <c r="A323" s="54" t="n">
        <v>46087</v>
      </c>
      <c r="B323" s="46" t="s">
        <v>100</v>
      </c>
      <c r="C323" s="46" t="s">
        <v>99</v>
      </c>
      <c r="D323" s="46" t="s">
        <v>108</v>
      </c>
      <c r="E323" s="47" t="n">
        <v>787000</v>
      </c>
    </row>
    <row r="324" customFormat="false" ht="15" hidden="false" customHeight="false" outlineLevel="0" collapsed="false">
      <c r="A324" s="54" t="n">
        <v>46087</v>
      </c>
      <c r="B324" s="46" t="s">
        <v>44</v>
      </c>
      <c r="C324" s="46" t="s">
        <v>97</v>
      </c>
      <c r="D324" s="46" t="s">
        <v>110</v>
      </c>
      <c r="E324" s="47" t="n">
        <v>550000</v>
      </c>
    </row>
    <row r="325" customFormat="false" ht="15" hidden="false" customHeight="false" outlineLevel="0" collapsed="false">
      <c r="A325" s="54" t="n">
        <v>46087</v>
      </c>
      <c r="B325" s="46" t="s">
        <v>44</v>
      </c>
      <c r="C325" s="46" t="s">
        <v>97</v>
      </c>
      <c r="D325" s="46" t="s">
        <v>110</v>
      </c>
      <c r="E325" s="47" t="n">
        <v>320500</v>
      </c>
    </row>
    <row r="326" customFormat="false" ht="15" hidden="false" customHeight="false" outlineLevel="0" collapsed="false">
      <c r="A326" s="54" t="n">
        <v>46088</v>
      </c>
      <c r="B326" s="46" t="s">
        <v>101</v>
      </c>
      <c r="C326" s="46" t="s">
        <v>99</v>
      </c>
      <c r="D326" s="46" t="s">
        <v>108</v>
      </c>
      <c r="E326" s="47" t="n">
        <v>649800</v>
      </c>
    </row>
    <row r="327" customFormat="false" ht="15" hidden="false" customHeight="false" outlineLevel="0" collapsed="false">
      <c r="A327" s="54" t="n">
        <v>46088</v>
      </c>
      <c r="B327" s="46" t="s">
        <v>45</v>
      </c>
      <c r="C327" s="46" t="s">
        <v>97</v>
      </c>
      <c r="D327" s="46" t="s">
        <v>110</v>
      </c>
      <c r="E327" s="47" t="n">
        <v>125400</v>
      </c>
    </row>
    <row r="328" customFormat="false" ht="15" hidden="false" customHeight="false" outlineLevel="0" collapsed="false">
      <c r="A328" s="54" t="n">
        <v>46089</v>
      </c>
      <c r="B328" s="46" t="s">
        <v>46</v>
      </c>
      <c r="C328" s="46" t="s">
        <v>97</v>
      </c>
      <c r="D328" s="46" t="s">
        <v>110</v>
      </c>
      <c r="E328" s="47" t="n">
        <v>345000</v>
      </c>
    </row>
    <row r="329" customFormat="false" ht="15" hidden="false" customHeight="false" outlineLevel="0" collapsed="false">
      <c r="A329" s="54" t="n">
        <v>46089</v>
      </c>
      <c r="B329" s="46" t="s">
        <v>44</v>
      </c>
      <c r="C329" s="46" t="s">
        <v>97</v>
      </c>
      <c r="D329" s="46" t="s">
        <v>110</v>
      </c>
      <c r="E329" s="47" t="n">
        <v>393400</v>
      </c>
    </row>
    <row r="330" customFormat="false" ht="15" hidden="false" customHeight="false" outlineLevel="0" collapsed="false">
      <c r="A330" s="54" t="n">
        <v>46089</v>
      </c>
      <c r="B330" s="46" t="s">
        <v>45</v>
      </c>
      <c r="C330" s="46" t="s">
        <v>97</v>
      </c>
      <c r="D330" s="46" t="s">
        <v>110</v>
      </c>
      <c r="E330" s="47" t="n">
        <v>124900</v>
      </c>
    </row>
    <row r="331" customFormat="false" ht="15" hidden="false" customHeight="false" outlineLevel="0" collapsed="false">
      <c r="A331" s="54" t="n">
        <v>46089</v>
      </c>
      <c r="B331" s="46" t="s">
        <v>47</v>
      </c>
      <c r="C331" s="46" t="s">
        <v>97</v>
      </c>
      <c r="D331" s="46" t="s">
        <v>110</v>
      </c>
      <c r="E331" s="47" t="n">
        <v>260600</v>
      </c>
    </row>
    <row r="332" customFormat="false" ht="15" hidden="false" customHeight="false" outlineLevel="0" collapsed="false">
      <c r="A332" s="54" t="n">
        <v>46089</v>
      </c>
      <c r="B332" s="46" t="s">
        <v>47</v>
      </c>
      <c r="C332" s="46" t="s">
        <v>97</v>
      </c>
      <c r="D332" s="46" t="s">
        <v>110</v>
      </c>
      <c r="E332" s="47" t="n">
        <v>135800</v>
      </c>
    </row>
    <row r="333" customFormat="false" ht="15" hidden="false" customHeight="false" outlineLevel="0" collapsed="false">
      <c r="A333" s="54" t="n">
        <v>46089</v>
      </c>
      <c r="B333" s="46" t="s">
        <v>55</v>
      </c>
      <c r="C333" s="46" t="s">
        <v>103</v>
      </c>
      <c r="D333" s="46" t="s">
        <v>109</v>
      </c>
      <c r="E333" s="47" t="n">
        <v>94700</v>
      </c>
    </row>
    <row r="334" customFormat="false" ht="15" hidden="false" customHeight="false" outlineLevel="0" collapsed="false">
      <c r="A334" s="54" t="n">
        <v>46090</v>
      </c>
      <c r="B334" s="46" t="s">
        <v>58</v>
      </c>
      <c r="C334" s="46" t="s">
        <v>103</v>
      </c>
      <c r="D334" s="46" t="s">
        <v>109</v>
      </c>
      <c r="E334" s="47" t="n">
        <v>8100</v>
      </c>
    </row>
    <row r="335" customFormat="false" ht="15" hidden="false" customHeight="false" outlineLevel="0" collapsed="false">
      <c r="A335" s="54" t="n">
        <v>46090</v>
      </c>
      <c r="B335" s="46" t="s">
        <v>101</v>
      </c>
      <c r="C335" s="46" t="s">
        <v>99</v>
      </c>
      <c r="D335" s="46" t="s">
        <v>108</v>
      </c>
      <c r="E335" s="47" t="n">
        <v>527500</v>
      </c>
    </row>
    <row r="336" customFormat="false" ht="15" hidden="false" customHeight="false" outlineLevel="0" collapsed="false">
      <c r="A336" s="54" t="n">
        <v>46090</v>
      </c>
      <c r="B336" s="46" t="s">
        <v>100</v>
      </c>
      <c r="C336" s="46" t="s">
        <v>99</v>
      </c>
      <c r="D336" s="46" t="s">
        <v>108</v>
      </c>
      <c r="E336" s="47" t="n">
        <v>1130800</v>
      </c>
    </row>
    <row r="337" customFormat="false" ht="15" hidden="false" customHeight="false" outlineLevel="0" collapsed="false">
      <c r="A337" s="54" t="n">
        <v>46090</v>
      </c>
      <c r="B337" s="46" t="s">
        <v>102</v>
      </c>
      <c r="C337" s="46" t="s">
        <v>99</v>
      </c>
      <c r="D337" s="46" t="s">
        <v>108</v>
      </c>
      <c r="E337" s="47" t="n">
        <v>198500</v>
      </c>
    </row>
    <row r="338" customFormat="false" ht="15" hidden="false" customHeight="false" outlineLevel="0" collapsed="false">
      <c r="A338" s="54" t="n">
        <v>46090</v>
      </c>
      <c r="B338" s="46" t="s">
        <v>46</v>
      </c>
      <c r="C338" s="46" t="s">
        <v>97</v>
      </c>
      <c r="D338" s="46" t="s">
        <v>110</v>
      </c>
      <c r="E338" s="47" t="n">
        <v>237300</v>
      </c>
    </row>
    <row r="339" customFormat="false" ht="15" hidden="false" customHeight="false" outlineLevel="0" collapsed="false">
      <c r="A339" s="54" t="n">
        <v>46090</v>
      </c>
      <c r="B339" s="46" t="s">
        <v>44</v>
      </c>
      <c r="C339" s="46" t="s">
        <v>97</v>
      </c>
      <c r="D339" s="46" t="s">
        <v>110</v>
      </c>
      <c r="E339" s="47" t="n">
        <v>561400</v>
      </c>
    </row>
    <row r="340" customFormat="false" ht="15" hidden="false" customHeight="false" outlineLevel="0" collapsed="false">
      <c r="A340" s="54" t="n">
        <v>46090</v>
      </c>
      <c r="B340" s="46" t="s">
        <v>44</v>
      </c>
      <c r="C340" s="46" t="s">
        <v>97</v>
      </c>
      <c r="D340" s="46" t="s">
        <v>110</v>
      </c>
      <c r="E340" s="47" t="n">
        <v>516800</v>
      </c>
    </row>
    <row r="341" customFormat="false" ht="15" hidden="false" customHeight="false" outlineLevel="0" collapsed="false">
      <c r="A341" s="54" t="n">
        <v>46090</v>
      </c>
      <c r="B341" s="46" t="s">
        <v>45</v>
      </c>
      <c r="C341" s="46" t="s">
        <v>97</v>
      </c>
      <c r="D341" s="46" t="s">
        <v>110</v>
      </c>
      <c r="E341" s="47" t="n">
        <v>189000</v>
      </c>
    </row>
    <row r="342" customFormat="false" ht="15" hidden="false" customHeight="false" outlineLevel="0" collapsed="false">
      <c r="A342" s="54" t="n">
        <v>46090</v>
      </c>
      <c r="B342" s="46" t="s">
        <v>47</v>
      </c>
      <c r="C342" s="46" t="s">
        <v>97</v>
      </c>
      <c r="D342" s="46" t="s">
        <v>110</v>
      </c>
      <c r="E342" s="47" t="n">
        <v>209900</v>
      </c>
    </row>
    <row r="343" customFormat="false" ht="15" hidden="false" customHeight="false" outlineLevel="0" collapsed="false">
      <c r="A343" s="54" t="n">
        <v>46091</v>
      </c>
      <c r="B343" s="46" t="s">
        <v>58</v>
      </c>
      <c r="C343" s="46" t="s">
        <v>103</v>
      </c>
      <c r="D343" s="46" t="s">
        <v>109</v>
      </c>
      <c r="E343" s="47" t="n">
        <v>10900</v>
      </c>
    </row>
    <row r="344" customFormat="false" ht="15" hidden="false" customHeight="false" outlineLevel="0" collapsed="false">
      <c r="A344" s="54" t="n">
        <v>46091</v>
      </c>
      <c r="B344" s="46" t="s">
        <v>44</v>
      </c>
      <c r="C344" s="46" t="s">
        <v>97</v>
      </c>
      <c r="D344" s="46" t="s">
        <v>110</v>
      </c>
      <c r="E344" s="47" t="n">
        <v>245800</v>
      </c>
    </row>
    <row r="345" customFormat="false" ht="15" hidden="false" customHeight="false" outlineLevel="0" collapsed="false">
      <c r="A345" s="54" t="n">
        <v>46091</v>
      </c>
      <c r="B345" s="46" t="s">
        <v>44</v>
      </c>
      <c r="C345" s="46" t="s">
        <v>97</v>
      </c>
      <c r="D345" s="46" t="s">
        <v>110</v>
      </c>
      <c r="E345" s="47" t="n">
        <v>206500</v>
      </c>
    </row>
    <row r="346" customFormat="false" ht="15" hidden="false" customHeight="false" outlineLevel="0" collapsed="false">
      <c r="A346" s="54" t="n">
        <v>46091</v>
      </c>
      <c r="B346" s="46" t="s">
        <v>54</v>
      </c>
      <c r="C346" s="46" t="s">
        <v>103</v>
      </c>
      <c r="D346" s="46" t="s">
        <v>109</v>
      </c>
      <c r="E346" s="47" t="n">
        <v>88800</v>
      </c>
    </row>
    <row r="347" customFormat="false" ht="15" hidden="false" customHeight="false" outlineLevel="0" collapsed="false">
      <c r="A347" s="54" t="n">
        <v>46092</v>
      </c>
      <c r="B347" s="46" t="s">
        <v>101</v>
      </c>
      <c r="C347" s="46" t="s">
        <v>99</v>
      </c>
      <c r="D347" s="46" t="s">
        <v>108</v>
      </c>
      <c r="E347" s="47" t="n">
        <v>353500</v>
      </c>
    </row>
    <row r="348" customFormat="false" ht="15" hidden="false" customHeight="false" outlineLevel="0" collapsed="false">
      <c r="A348" s="54" t="n">
        <v>46092</v>
      </c>
      <c r="B348" s="46" t="s">
        <v>98</v>
      </c>
      <c r="C348" s="46" t="s">
        <v>99</v>
      </c>
      <c r="D348" s="46" t="s">
        <v>108</v>
      </c>
      <c r="E348" s="47" t="n">
        <v>1632200</v>
      </c>
    </row>
    <row r="349" customFormat="false" ht="15" hidden="false" customHeight="false" outlineLevel="0" collapsed="false">
      <c r="A349" s="54" t="n">
        <v>46092</v>
      </c>
      <c r="B349" s="46" t="s">
        <v>102</v>
      </c>
      <c r="C349" s="46" t="s">
        <v>99</v>
      </c>
      <c r="D349" s="46" t="s">
        <v>108</v>
      </c>
      <c r="E349" s="47" t="n">
        <v>600300</v>
      </c>
    </row>
    <row r="350" customFormat="false" ht="15" hidden="false" customHeight="false" outlineLevel="0" collapsed="false">
      <c r="A350" s="54" t="n">
        <v>46092</v>
      </c>
      <c r="B350" s="46" t="s">
        <v>46</v>
      </c>
      <c r="C350" s="46" t="s">
        <v>97</v>
      </c>
      <c r="D350" s="46" t="s">
        <v>110</v>
      </c>
      <c r="E350" s="47" t="n">
        <v>122000</v>
      </c>
    </row>
    <row r="351" customFormat="false" ht="15" hidden="false" customHeight="false" outlineLevel="0" collapsed="false">
      <c r="A351" s="54" t="n">
        <v>46092</v>
      </c>
      <c r="B351" s="46" t="s">
        <v>45</v>
      </c>
      <c r="C351" s="46" t="s">
        <v>97</v>
      </c>
      <c r="D351" s="46" t="s">
        <v>110</v>
      </c>
      <c r="E351" s="47" t="n">
        <v>356200</v>
      </c>
    </row>
    <row r="352" customFormat="false" ht="15" hidden="false" customHeight="false" outlineLevel="0" collapsed="false">
      <c r="A352" s="54" t="n">
        <v>46092</v>
      </c>
      <c r="B352" s="46" t="s">
        <v>45</v>
      </c>
      <c r="C352" s="46" t="s">
        <v>97</v>
      </c>
      <c r="D352" s="46" t="s">
        <v>110</v>
      </c>
      <c r="E352" s="47" t="n">
        <v>469300</v>
      </c>
    </row>
    <row r="353" customFormat="false" ht="15" hidden="false" customHeight="false" outlineLevel="0" collapsed="false">
      <c r="A353" s="54" t="n">
        <v>46092</v>
      </c>
      <c r="B353" s="46" t="s">
        <v>47</v>
      </c>
      <c r="C353" s="46" t="s">
        <v>97</v>
      </c>
      <c r="D353" s="46" t="s">
        <v>110</v>
      </c>
      <c r="E353" s="47" t="n">
        <v>209900</v>
      </c>
    </row>
    <row r="354" customFormat="false" ht="15" hidden="false" customHeight="false" outlineLevel="0" collapsed="false">
      <c r="A354" s="54" t="n">
        <v>46093</v>
      </c>
      <c r="B354" s="46" t="s">
        <v>46</v>
      </c>
      <c r="C354" s="46" t="s">
        <v>97</v>
      </c>
      <c r="D354" s="46" t="s">
        <v>110</v>
      </c>
      <c r="E354" s="47" t="n">
        <v>335900</v>
      </c>
    </row>
    <row r="355" customFormat="false" ht="15" hidden="false" customHeight="false" outlineLevel="0" collapsed="false">
      <c r="A355" s="54" t="n">
        <v>46093</v>
      </c>
      <c r="B355" s="46" t="s">
        <v>45</v>
      </c>
      <c r="C355" s="46" t="s">
        <v>97</v>
      </c>
      <c r="D355" s="46" t="s">
        <v>110</v>
      </c>
      <c r="E355" s="47" t="n">
        <v>423600</v>
      </c>
    </row>
    <row r="356" customFormat="false" ht="15" hidden="false" customHeight="false" outlineLevel="0" collapsed="false">
      <c r="A356" s="54" t="n">
        <v>46093</v>
      </c>
      <c r="B356" s="46" t="s">
        <v>47</v>
      </c>
      <c r="C356" s="46" t="s">
        <v>97</v>
      </c>
      <c r="D356" s="46" t="s">
        <v>110</v>
      </c>
      <c r="E356" s="47" t="n">
        <v>91500</v>
      </c>
    </row>
    <row r="357" customFormat="false" ht="15" hidden="false" customHeight="false" outlineLevel="0" collapsed="false">
      <c r="A357" s="54" t="n">
        <v>46093</v>
      </c>
      <c r="B357" s="46" t="s">
        <v>55</v>
      </c>
      <c r="C357" s="46" t="s">
        <v>103</v>
      </c>
      <c r="D357" s="46" t="s">
        <v>109</v>
      </c>
      <c r="E357" s="47" t="n">
        <v>63100</v>
      </c>
    </row>
    <row r="358" customFormat="false" ht="15" hidden="false" customHeight="false" outlineLevel="0" collapsed="false">
      <c r="A358" s="54" t="n">
        <v>46094</v>
      </c>
      <c r="B358" s="46" t="s">
        <v>102</v>
      </c>
      <c r="C358" s="46" t="s">
        <v>99</v>
      </c>
      <c r="D358" s="46" t="s">
        <v>108</v>
      </c>
      <c r="E358" s="47" t="n">
        <v>221200</v>
      </c>
    </row>
    <row r="359" customFormat="false" ht="15" hidden="false" customHeight="false" outlineLevel="0" collapsed="false">
      <c r="A359" s="54" t="n">
        <v>46094</v>
      </c>
      <c r="B359" s="46" t="s">
        <v>47</v>
      </c>
      <c r="C359" s="46" t="s">
        <v>97</v>
      </c>
      <c r="D359" s="46" t="s">
        <v>110</v>
      </c>
      <c r="E359" s="47" t="n">
        <v>258700</v>
      </c>
    </row>
    <row r="360" customFormat="false" ht="15" hidden="false" customHeight="false" outlineLevel="0" collapsed="false">
      <c r="A360" s="54" t="n">
        <v>46094</v>
      </c>
      <c r="B360" s="46" t="s">
        <v>55</v>
      </c>
      <c r="C360" s="46" t="s">
        <v>103</v>
      </c>
      <c r="D360" s="46" t="s">
        <v>109</v>
      </c>
      <c r="E360" s="47" t="n">
        <v>90800</v>
      </c>
    </row>
    <row r="361" customFormat="false" ht="15" hidden="false" customHeight="false" outlineLevel="0" collapsed="false">
      <c r="A361" s="54" t="n">
        <v>46094</v>
      </c>
      <c r="B361" s="46" t="s">
        <v>55</v>
      </c>
      <c r="C361" s="46" t="s">
        <v>103</v>
      </c>
      <c r="D361" s="46" t="s">
        <v>109</v>
      </c>
      <c r="E361" s="47" t="n">
        <v>60300</v>
      </c>
    </row>
    <row r="362" customFormat="false" ht="15" hidden="false" customHeight="false" outlineLevel="0" collapsed="false">
      <c r="A362" s="54" t="n">
        <v>46094</v>
      </c>
      <c r="B362" s="46" t="s">
        <v>54</v>
      </c>
      <c r="C362" s="46" t="s">
        <v>103</v>
      </c>
      <c r="D362" s="46" t="s">
        <v>109</v>
      </c>
      <c r="E362" s="47" t="n">
        <v>65600</v>
      </c>
    </row>
    <row r="363" customFormat="false" ht="15" hidden="false" customHeight="false" outlineLevel="0" collapsed="false">
      <c r="A363" s="54" t="n">
        <v>46095</v>
      </c>
      <c r="B363" s="46" t="s">
        <v>98</v>
      </c>
      <c r="C363" s="46" t="s">
        <v>99</v>
      </c>
      <c r="D363" s="46" t="s">
        <v>108</v>
      </c>
      <c r="E363" s="47" t="n">
        <v>1644500</v>
      </c>
    </row>
    <row r="364" customFormat="false" ht="15" hidden="false" customHeight="false" outlineLevel="0" collapsed="false">
      <c r="A364" s="54" t="n">
        <v>46095</v>
      </c>
      <c r="B364" s="46" t="s">
        <v>102</v>
      </c>
      <c r="C364" s="46" t="s">
        <v>99</v>
      </c>
      <c r="D364" s="46" t="s">
        <v>108</v>
      </c>
      <c r="E364" s="47" t="n">
        <v>324300</v>
      </c>
    </row>
    <row r="365" customFormat="false" ht="15" hidden="false" customHeight="false" outlineLevel="0" collapsed="false">
      <c r="A365" s="54" t="n">
        <v>46095</v>
      </c>
      <c r="B365" s="46" t="s">
        <v>57</v>
      </c>
      <c r="C365" s="46" t="s">
        <v>103</v>
      </c>
      <c r="D365" s="46" t="s">
        <v>109</v>
      </c>
      <c r="E365" s="47" t="n">
        <v>92700</v>
      </c>
    </row>
    <row r="366" customFormat="false" ht="15" hidden="false" customHeight="false" outlineLevel="0" collapsed="false">
      <c r="A366" s="54" t="n">
        <v>46095</v>
      </c>
      <c r="B366" s="46" t="s">
        <v>44</v>
      </c>
      <c r="C366" s="46" t="s">
        <v>97</v>
      </c>
      <c r="D366" s="46" t="s">
        <v>110</v>
      </c>
      <c r="E366" s="47" t="n">
        <v>481900</v>
      </c>
    </row>
    <row r="367" customFormat="false" ht="15" hidden="false" customHeight="false" outlineLevel="0" collapsed="false">
      <c r="A367" s="54" t="n">
        <v>46095</v>
      </c>
      <c r="B367" s="46" t="s">
        <v>45</v>
      </c>
      <c r="C367" s="46" t="s">
        <v>97</v>
      </c>
      <c r="D367" s="46" t="s">
        <v>110</v>
      </c>
      <c r="E367" s="47" t="n">
        <v>344600</v>
      </c>
    </row>
    <row r="368" customFormat="false" ht="15" hidden="false" customHeight="false" outlineLevel="0" collapsed="false">
      <c r="A368" s="54" t="n">
        <v>46095</v>
      </c>
      <c r="B368" s="46" t="s">
        <v>47</v>
      </c>
      <c r="C368" s="46" t="s">
        <v>97</v>
      </c>
      <c r="D368" s="46" t="s">
        <v>110</v>
      </c>
      <c r="E368" s="47" t="n">
        <v>202300</v>
      </c>
    </row>
    <row r="369" customFormat="false" ht="15" hidden="false" customHeight="false" outlineLevel="0" collapsed="false">
      <c r="A369" s="54" t="n">
        <v>46096</v>
      </c>
      <c r="B369" s="46" t="s">
        <v>100</v>
      </c>
      <c r="C369" s="46" t="s">
        <v>99</v>
      </c>
      <c r="D369" s="46" t="s">
        <v>108</v>
      </c>
      <c r="E369" s="47" t="n">
        <v>638700</v>
      </c>
    </row>
    <row r="370" customFormat="false" ht="15" hidden="false" customHeight="false" outlineLevel="0" collapsed="false">
      <c r="A370" s="54" t="n">
        <v>46096</v>
      </c>
      <c r="B370" s="46" t="s">
        <v>44</v>
      </c>
      <c r="C370" s="46" t="s">
        <v>97</v>
      </c>
      <c r="D370" s="46" t="s">
        <v>110</v>
      </c>
      <c r="E370" s="47" t="n">
        <v>536200</v>
      </c>
    </row>
    <row r="371" customFormat="false" ht="15" hidden="false" customHeight="false" outlineLevel="0" collapsed="false">
      <c r="A371" s="54" t="n">
        <v>46096</v>
      </c>
      <c r="B371" s="46" t="s">
        <v>45</v>
      </c>
      <c r="C371" s="46" t="s">
        <v>97</v>
      </c>
      <c r="D371" s="46" t="s">
        <v>110</v>
      </c>
      <c r="E371" s="47" t="n">
        <v>137700</v>
      </c>
    </row>
    <row r="372" customFormat="false" ht="15" hidden="false" customHeight="false" outlineLevel="0" collapsed="false">
      <c r="A372" s="54" t="n">
        <v>46096</v>
      </c>
      <c r="B372" s="46" t="s">
        <v>45</v>
      </c>
      <c r="C372" s="46" t="s">
        <v>97</v>
      </c>
      <c r="D372" s="46" t="s">
        <v>110</v>
      </c>
      <c r="E372" s="47" t="n">
        <v>441400</v>
      </c>
    </row>
    <row r="373" customFormat="false" ht="15" hidden="false" customHeight="false" outlineLevel="0" collapsed="false">
      <c r="A373" s="54" t="n">
        <v>46096</v>
      </c>
      <c r="B373" s="46" t="s">
        <v>45</v>
      </c>
      <c r="C373" s="46" t="s">
        <v>97</v>
      </c>
      <c r="D373" s="46" t="s">
        <v>110</v>
      </c>
      <c r="E373" s="47" t="n">
        <v>203000</v>
      </c>
    </row>
    <row r="374" customFormat="false" ht="15" hidden="false" customHeight="false" outlineLevel="0" collapsed="false">
      <c r="A374" s="54" t="n">
        <v>46096</v>
      </c>
      <c r="B374" s="46" t="s">
        <v>45</v>
      </c>
      <c r="C374" s="46" t="s">
        <v>97</v>
      </c>
      <c r="D374" s="46" t="s">
        <v>110</v>
      </c>
      <c r="E374" s="47" t="n">
        <v>432800</v>
      </c>
    </row>
    <row r="375" customFormat="false" ht="15" hidden="false" customHeight="false" outlineLevel="0" collapsed="false">
      <c r="A375" s="54" t="n">
        <v>46096</v>
      </c>
      <c r="B375" s="46" t="s">
        <v>47</v>
      </c>
      <c r="C375" s="46" t="s">
        <v>97</v>
      </c>
      <c r="D375" s="46" t="s">
        <v>110</v>
      </c>
      <c r="E375" s="47" t="n">
        <v>253500</v>
      </c>
    </row>
    <row r="376" customFormat="false" ht="15" hidden="false" customHeight="false" outlineLevel="0" collapsed="false">
      <c r="A376" s="54" t="n">
        <v>46096</v>
      </c>
      <c r="B376" s="46" t="s">
        <v>55</v>
      </c>
      <c r="C376" s="46" t="s">
        <v>103</v>
      </c>
      <c r="D376" s="46" t="s">
        <v>109</v>
      </c>
      <c r="E376" s="47" t="n">
        <v>50800</v>
      </c>
    </row>
    <row r="377" customFormat="false" ht="15" hidden="false" customHeight="false" outlineLevel="0" collapsed="false">
      <c r="A377" s="54" t="n">
        <v>46097</v>
      </c>
      <c r="B377" s="46" t="s">
        <v>101</v>
      </c>
      <c r="C377" s="46" t="s">
        <v>99</v>
      </c>
      <c r="D377" s="46" t="s">
        <v>108</v>
      </c>
      <c r="E377" s="47" t="n">
        <v>638900</v>
      </c>
    </row>
    <row r="378" customFormat="false" ht="15" hidden="false" customHeight="false" outlineLevel="0" collapsed="false">
      <c r="A378" s="54" t="n">
        <v>46097</v>
      </c>
      <c r="B378" s="46" t="s">
        <v>102</v>
      </c>
      <c r="C378" s="46" t="s">
        <v>99</v>
      </c>
      <c r="D378" s="46" t="s">
        <v>108</v>
      </c>
      <c r="E378" s="47" t="n">
        <v>578800</v>
      </c>
    </row>
    <row r="379" customFormat="false" ht="15" hidden="false" customHeight="false" outlineLevel="0" collapsed="false">
      <c r="A379" s="54" t="n">
        <v>46097</v>
      </c>
      <c r="B379" s="46" t="s">
        <v>46</v>
      </c>
      <c r="C379" s="46" t="s">
        <v>97</v>
      </c>
      <c r="D379" s="46" t="s">
        <v>110</v>
      </c>
      <c r="E379" s="47" t="n">
        <v>171300</v>
      </c>
    </row>
    <row r="380" customFormat="false" ht="15" hidden="false" customHeight="false" outlineLevel="0" collapsed="false">
      <c r="A380" s="54" t="n">
        <v>46097</v>
      </c>
      <c r="B380" s="46" t="s">
        <v>45</v>
      </c>
      <c r="C380" s="46" t="s">
        <v>97</v>
      </c>
      <c r="D380" s="46" t="s">
        <v>110</v>
      </c>
      <c r="E380" s="47" t="n">
        <v>230500</v>
      </c>
    </row>
    <row r="381" customFormat="false" ht="15" hidden="false" customHeight="false" outlineLevel="0" collapsed="false">
      <c r="A381" s="54" t="n">
        <v>46098</v>
      </c>
      <c r="B381" s="46" t="s">
        <v>58</v>
      </c>
      <c r="C381" s="46" t="s">
        <v>103</v>
      </c>
      <c r="D381" s="46" t="s">
        <v>109</v>
      </c>
      <c r="E381" s="47" t="n">
        <v>11600</v>
      </c>
    </row>
    <row r="382" customFormat="false" ht="15" hidden="false" customHeight="false" outlineLevel="0" collapsed="false">
      <c r="A382" s="54" t="n">
        <v>46098</v>
      </c>
      <c r="B382" s="46" t="s">
        <v>98</v>
      </c>
      <c r="C382" s="46" t="s">
        <v>99</v>
      </c>
      <c r="D382" s="46" t="s">
        <v>108</v>
      </c>
      <c r="E382" s="47" t="n">
        <v>2302000</v>
      </c>
    </row>
    <row r="383" customFormat="false" ht="15" hidden="false" customHeight="false" outlineLevel="0" collapsed="false">
      <c r="A383" s="54" t="n">
        <v>46098</v>
      </c>
      <c r="B383" s="46" t="s">
        <v>46</v>
      </c>
      <c r="C383" s="46" t="s">
        <v>97</v>
      </c>
      <c r="D383" s="46" t="s">
        <v>110</v>
      </c>
      <c r="E383" s="47" t="n">
        <v>250000</v>
      </c>
    </row>
    <row r="384" customFormat="false" ht="15" hidden="false" customHeight="false" outlineLevel="0" collapsed="false">
      <c r="A384" s="54" t="n">
        <v>46098</v>
      </c>
      <c r="B384" s="46" t="s">
        <v>44</v>
      </c>
      <c r="C384" s="46" t="s">
        <v>97</v>
      </c>
      <c r="D384" s="46" t="s">
        <v>110</v>
      </c>
      <c r="E384" s="47" t="n">
        <v>537700</v>
      </c>
    </row>
    <row r="385" customFormat="false" ht="15" hidden="false" customHeight="false" outlineLevel="0" collapsed="false">
      <c r="A385" s="54" t="n">
        <v>46098</v>
      </c>
      <c r="B385" s="46" t="s">
        <v>45</v>
      </c>
      <c r="C385" s="46" t="s">
        <v>97</v>
      </c>
      <c r="D385" s="46" t="s">
        <v>110</v>
      </c>
      <c r="E385" s="47" t="n">
        <v>366700</v>
      </c>
    </row>
    <row r="386" customFormat="false" ht="15" hidden="false" customHeight="false" outlineLevel="0" collapsed="false">
      <c r="A386" s="54" t="n">
        <v>46099</v>
      </c>
      <c r="B386" s="46" t="s">
        <v>98</v>
      </c>
      <c r="C386" s="46" t="s">
        <v>99</v>
      </c>
      <c r="D386" s="46" t="s">
        <v>108</v>
      </c>
      <c r="E386" s="47" t="n">
        <v>774900</v>
      </c>
    </row>
    <row r="387" customFormat="false" ht="15" hidden="false" customHeight="false" outlineLevel="0" collapsed="false">
      <c r="A387" s="54" t="n">
        <v>46099</v>
      </c>
      <c r="B387" s="46" t="s">
        <v>100</v>
      </c>
      <c r="C387" s="46" t="s">
        <v>99</v>
      </c>
      <c r="D387" s="46" t="s">
        <v>108</v>
      </c>
      <c r="E387" s="47" t="n">
        <v>1025700</v>
      </c>
    </row>
    <row r="388" customFormat="false" ht="15" hidden="false" customHeight="false" outlineLevel="0" collapsed="false">
      <c r="A388" s="54" t="n">
        <v>46099</v>
      </c>
      <c r="B388" s="46" t="s">
        <v>52</v>
      </c>
      <c r="C388" s="46" t="s">
        <v>103</v>
      </c>
      <c r="D388" s="46" t="s">
        <v>109</v>
      </c>
      <c r="E388" s="47" t="n">
        <v>1604000</v>
      </c>
    </row>
    <row r="389" customFormat="false" ht="15" hidden="false" customHeight="false" outlineLevel="0" collapsed="false">
      <c r="A389" s="54" t="n">
        <v>46099</v>
      </c>
      <c r="B389" s="46" t="s">
        <v>46</v>
      </c>
      <c r="C389" s="46" t="s">
        <v>97</v>
      </c>
      <c r="D389" s="46" t="s">
        <v>110</v>
      </c>
      <c r="E389" s="47" t="n">
        <v>167900</v>
      </c>
    </row>
    <row r="390" customFormat="false" ht="15" hidden="false" customHeight="false" outlineLevel="0" collapsed="false">
      <c r="A390" s="54" t="n">
        <v>46099</v>
      </c>
      <c r="B390" s="46" t="s">
        <v>44</v>
      </c>
      <c r="C390" s="46" t="s">
        <v>97</v>
      </c>
      <c r="D390" s="46" t="s">
        <v>110</v>
      </c>
      <c r="E390" s="47" t="n">
        <v>299000</v>
      </c>
    </row>
    <row r="391" customFormat="false" ht="15" hidden="false" customHeight="false" outlineLevel="0" collapsed="false">
      <c r="A391" s="54" t="n">
        <v>46099</v>
      </c>
      <c r="B391" s="46" t="s">
        <v>44</v>
      </c>
      <c r="C391" s="46" t="s">
        <v>97</v>
      </c>
      <c r="D391" s="46" t="s">
        <v>110</v>
      </c>
      <c r="E391" s="47" t="n">
        <v>216900</v>
      </c>
    </row>
    <row r="392" customFormat="false" ht="15" hidden="false" customHeight="false" outlineLevel="0" collapsed="false">
      <c r="A392" s="54" t="n">
        <v>46099</v>
      </c>
      <c r="B392" s="46" t="s">
        <v>45</v>
      </c>
      <c r="C392" s="46" t="s">
        <v>97</v>
      </c>
      <c r="D392" s="46" t="s">
        <v>110</v>
      </c>
      <c r="E392" s="47" t="n">
        <v>327400</v>
      </c>
    </row>
    <row r="393" customFormat="false" ht="15" hidden="false" customHeight="false" outlineLevel="0" collapsed="false">
      <c r="A393" s="54" t="n">
        <v>46099</v>
      </c>
      <c r="B393" s="46" t="s">
        <v>45</v>
      </c>
      <c r="C393" s="46" t="s">
        <v>97</v>
      </c>
      <c r="D393" s="46" t="s">
        <v>110</v>
      </c>
      <c r="E393" s="47" t="n">
        <v>205700</v>
      </c>
    </row>
    <row r="394" customFormat="false" ht="15" hidden="false" customHeight="false" outlineLevel="0" collapsed="false">
      <c r="A394" s="54" t="n">
        <v>46099</v>
      </c>
      <c r="B394" s="46" t="s">
        <v>45</v>
      </c>
      <c r="C394" s="46" t="s">
        <v>97</v>
      </c>
      <c r="D394" s="46" t="s">
        <v>110</v>
      </c>
      <c r="E394" s="47" t="n">
        <v>191300</v>
      </c>
    </row>
    <row r="395" customFormat="false" ht="15" hidden="false" customHeight="false" outlineLevel="0" collapsed="false">
      <c r="A395" s="54" t="n">
        <v>46100</v>
      </c>
      <c r="B395" s="46" t="s">
        <v>46</v>
      </c>
      <c r="C395" s="46" t="s">
        <v>97</v>
      </c>
      <c r="D395" s="46" t="s">
        <v>110</v>
      </c>
      <c r="E395" s="47" t="n">
        <v>370900</v>
      </c>
    </row>
    <row r="396" customFormat="false" ht="15" hidden="false" customHeight="false" outlineLevel="0" collapsed="false">
      <c r="A396" s="54" t="n">
        <v>46100</v>
      </c>
      <c r="B396" s="46" t="s">
        <v>46</v>
      </c>
      <c r="C396" s="46" t="s">
        <v>97</v>
      </c>
      <c r="D396" s="46" t="s">
        <v>110</v>
      </c>
      <c r="E396" s="47" t="n">
        <v>353200</v>
      </c>
    </row>
    <row r="397" customFormat="false" ht="15" hidden="false" customHeight="false" outlineLevel="0" collapsed="false">
      <c r="A397" s="54" t="n">
        <v>46100</v>
      </c>
      <c r="B397" s="46" t="s">
        <v>55</v>
      </c>
      <c r="C397" s="46" t="s">
        <v>103</v>
      </c>
      <c r="D397" s="46" t="s">
        <v>109</v>
      </c>
      <c r="E397" s="47" t="n">
        <v>75500</v>
      </c>
    </row>
    <row r="398" customFormat="false" ht="15" hidden="false" customHeight="false" outlineLevel="0" collapsed="false">
      <c r="A398" s="54" t="n">
        <v>46101</v>
      </c>
      <c r="B398" s="46" t="s">
        <v>100</v>
      </c>
      <c r="C398" s="46" t="s">
        <v>99</v>
      </c>
      <c r="D398" s="46" t="s">
        <v>108</v>
      </c>
      <c r="E398" s="47" t="n">
        <v>879200</v>
      </c>
    </row>
    <row r="399" customFormat="false" ht="15" hidden="false" customHeight="false" outlineLevel="0" collapsed="false">
      <c r="A399" s="54" t="n">
        <v>46101</v>
      </c>
      <c r="B399" s="46" t="s">
        <v>46</v>
      </c>
      <c r="C399" s="46" t="s">
        <v>97</v>
      </c>
      <c r="D399" s="46" t="s">
        <v>110</v>
      </c>
      <c r="E399" s="47" t="n">
        <v>125100</v>
      </c>
    </row>
    <row r="400" customFormat="false" ht="15" hidden="false" customHeight="false" outlineLevel="0" collapsed="false">
      <c r="A400" s="54" t="n">
        <v>46101</v>
      </c>
      <c r="B400" s="46" t="s">
        <v>46</v>
      </c>
      <c r="C400" s="46" t="s">
        <v>97</v>
      </c>
      <c r="D400" s="46" t="s">
        <v>110</v>
      </c>
      <c r="E400" s="47" t="n">
        <v>351500</v>
      </c>
    </row>
    <row r="401" customFormat="false" ht="15" hidden="false" customHeight="false" outlineLevel="0" collapsed="false">
      <c r="A401" s="54" t="n">
        <v>46101</v>
      </c>
      <c r="B401" s="46" t="s">
        <v>44</v>
      </c>
      <c r="C401" s="46" t="s">
        <v>97</v>
      </c>
      <c r="D401" s="46" t="s">
        <v>110</v>
      </c>
      <c r="E401" s="47" t="n">
        <v>280300</v>
      </c>
    </row>
    <row r="402" customFormat="false" ht="15" hidden="false" customHeight="false" outlineLevel="0" collapsed="false">
      <c r="A402" s="54" t="n">
        <v>46101</v>
      </c>
      <c r="B402" s="46" t="s">
        <v>55</v>
      </c>
      <c r="C402" s="46" t="s">
        <v>103</v>
      </c>
      <c r="D402" s="46" t="s">
        <v>109</v>
      </c>
      <c r="E402" s="47" t="n">
        <v>102100</v>
      </c>
    </row>
    <row r="403" customFormat="false" ht="15" hidden="false" customHeight="false" outlineLevel="0" collapsed="false">
      <c r="A403" s="54" t="n">
        <v>46102</v>
      </c>
      <c r="B403" s="46" t="s">
        <v>44</v>
      </c>
      <c r="C403" s="46" t="s">
        <v>97</v>
      </c>
      <c r="D403" s="46" t="s">
        <v>110</v>
      </c>
      <c r="E403" s="47" t="n">
        <v>480000</v>
      </c>
    </row>
    <row r="404" customFormat="false" ht="15" hidden="false" customHeight="false" outlineLevel="0" collapsed="false">
      <c r="A404" s="54" t="n">
        <v>46102</v>
      </c>
      <c r="B404" s="46" t="s">
        <v>45</v>
      </c>
      <c r="C404" s="46" t="s">
        <v>97</v>
      </c>
      <c r="D404" s="46" t="s">
        <v>110</v>
      </c>
      <c r="E404" s="47" t="n">
        <v>441100</v>
      </c>
    </row>
    <row r="405" customFormat="false" ht="15" hidden="false" customHeight="false" outlineLevel="0" collapsed="false">
      <c r="A405" s="54" t="n">
        <v>46102</v>
      </c>
      <c r="B405" s="46" t="s">
        <v>45</v>
      </c>
      <c r="C405" s="46" t="s">
        <v>97</v>
      </c>
      <c r="D405" s="46" t="s">
        <v>110</v>
      </c>
      <c r="E405" s="47" t="n">
        <v>219400</v>
      </c>
    </row>
    <row r="406" customFormat="false" ht="15" hidden="false" customHeight="false" outlineLevel="0" collapsed="false">
      <c r="A406" s="54" t="n">
        <v>46102</v>
      </c>
      <c r="B406" s="46" t="s">
        <v>47</v>
      </c>
      <c r="C406" s="46" t="s">
        <v>97</v>
      </c>
      <c r="D406" s="46" t="s">
        <v>110</v>
      </c>
      <c r="E406" s="47" t="n">
        <v>255100</v>
      </c>
    </row>
    <row r="407" customFormat="false" ht="15" hidden="false" customHeight="false" outlineLevel="0" collapsed="false">
      <c r="A407" s="54" t="n">
        <v>46102</v>
      </c>
      <c r="B407" s="46" t="s">
        <v>47</v>
      </c>
      <c r="C407" s="46" t="s">
        <v>97</v>
      </c>
      <c r="D407" s="46" t="s">
        <v>110</v>
      </c>
      <c r="E407" s="47" t="n">
        <v>314600</v>
      </c>
    </row>
    <row r="408" customFormat="false" ht="15" hidden="false" customHeight="false" outlineLevel="0" collapsed="false">
      <c r="A408" s="54" t="n">
        <v>46103</v>
      </c>
      <c r="B408" s="46" t="s">
        <v>101</v>
      </c>
      <c r="C408" s="46" t="s">
        <v>99</v>
      </c>
      <c r="D408" s="46" t="s">
        <v>108</v>
      </c>
      <c r="E408" s="47" t="n">
        <v>483900</v>
      </c>
    </row>
    <row r="409" customFormat="false" ht="15" hidden="false" customHeight="false" outlineLevel="0" collapsed="false">
      <c r="A409" s="54" t="n">
        <v>46103</v>
      </c>
      <c r="B409" s="46" t="s">
        <v>102</v>
      </c>
      <c r="C409" s="46" t="s">
        <v>99</v>
      </c>
      <c r="D409" s="46" t="s">
        <v>108</v>
      </c>
      <c r="E409" s="47" t="n">
        <v>272400</v>
      </c>
    </row>
    <row r="410" customFormat="false" ht="15" hidden="false" customHeight="false" outlineLevel="0" collapsed="false">
      <c r="A410" s="54" t="n">
        <v>46103</v>
      </c>
      <c r="B410" s="46" t="s">
        <v>45</v>
      </c>
      <c r="C410" s="46" t="s">
        <v>97</v>
      </c>
      <c r="D410" s="46" t="s">
        <v>110</v>
      </c>
      <c r="E410" s="47" t="n">
        <v>485000</v>
      </c>
    </row>
    <row r="411" customFormat="false" ht="15" hidden="false" customHeight="false" outlineLevel="0" collapsed="false">
      <c r="A411" s="54" t="n">
        <v>46104</v>
      </c>
      <c r="B411" s="46" t="s">
        <v>58</v>
      </c>
      <c r="C411" s="46" t="s">
        <v>103</v>
      </c>
      <c r="D411" s="46" t="s">
        <v>109</v>
      </c>
      <c r="E411" s="47" t="n">
        <v>4500</v>
      </c>
    </row>
    <row r="412" customFormat="false" ht="15" hidden="false" customHeight="false" outlineLevel="0" collapsed="false">
      <c r="A412" s="54" t="n">
        <v>46104</v>
      </c>
      <c r="B412" s="46" t="s">
        <v>100</v>
      </c>
      <c r="C412" s="46" t="s">
        <v>99</v>
      </c>
      <c r="D412" s="46" t="s">
        <v>108</v>
      </c>
      <c r="E412" s="47" t="n">
        <v>804600</v>
      </c>
    </row>
    <row r="413" customFormat="false" ht="15" hidden="false" customHeight="false" outlineLevel="0" collapsed="false">
      <c r="A413" s="54" t="n">
        <v>46104</v>
      </c>
      <c r="B413" s="46" t="s">
        <v>53</v>
      </c>
      <c r="C413" s="46" t="s">
        <v>103</v>
      </c>
      <c r="D413" s="46" t="s">
        <v>109</v>
      </c>
      <c r="E413" s="47" t="n">
        <v>560600</v>
      </c>
    </row>
    <row r="414" customFormat="false" ht="15" hidden="false" customHeight="false" outlineLevel="0" collapsed="false">
      <c r="A414" s="54" t="n">
        <v>46104</v>
      </c>
      <c r="B414" s="46" t="s">
        <v>55</v>
      </c>
      <c r="C414" s="46" t="s">
        <v>103</v>
      </c>
      <c r="D414" s="46" t="s">
        <v>109</v>
      </c>
      <c r="E414" s="47" t="n">
        <v>79200</v>
      </c>
    </row>
    <row r="415" customFormat="false" ht="15" hidden="false" customHeight="false" outlineLevel="0" collapsed="false">
      <c r="A415" s="54" t="n">
        <v>46105</v>
      </c>
      <c r="B415" s="46" t="s">
        <v>102</v>
      </c>
      <c r="C415" s="46" t="s">
        <v>99</v>
      </c>
      <c r="D415" s="46" t="s">
        <v>108</v>
      </c>
      <c r="E415" s="47" t="n">
        <v>320800</v>
      </c>
    </row>
    <row r="416" customFormat="false" ht="15" hidden="false" customHeight="false" outlineLevel="0" collapsed="false">
      <c r="A416" s="54" t="n">
        <v>46105</v>
      </c>
      <c r="B416" s="46" t="s">
        <v>56</v>
      </c>
      <c r="C416" s="46" t="s">
        <v>103</v>
      </c>
      <c r="D416" s="46" t="s">
        <v>109</v>
      </c>
      <c r="E416" s="47" t="n">
        <v>84200</v>
      </c>
    </row>
    <row r="417" customFormat="false" ht="15" hidden="false" customHeight="false" outlineLevel="0" collapsed="false">
      <c r="A417" s="54" t="n">
        <v>46105</v>
      </c>
      <c r="B417" s="46" t="s">
        <v>46</v>
      </c>
      <c r="C417" s="46" t="s">
        <v>97</v>
      </c>
      <c r="D417" s="46" t="s">
        <v>110</v>
      </c>
      <c r="E417" s="47" t="n">
        <v>206500</v>
      </c>
    </row>
    <row r="418" customFormat="false" ht="15" hidden="false" customHeight="false" outlineLevel="0" collapsed="false">
      <c r="A418" s="54" t="n">
        <v>46105</v>
      </c>
      <c r="B418" s="46" t="s">
        <v>46</v>
      </c>
      <c r="C418" s="46" t="s">
        <v>97</v>
      </c>
      <c r="D418" s="46" t="s">
        <v>110</v>
      </c>
      <c r="E418" s="47" t="n">
        <v>129100</v>
      </c>
    </row>
    <row r="419" customFormat="false" ht="15" hidden="false" customHeight="false" outlineLevel="0" collapsed="false">
      <c r="A419" s="54" t="n">
        <v>46105</v>
      </c>
      <c r="B419" s="46" t="s">
        <v>44</v>
      </c>
      <c r="C419" s="46" t="s">
        <v>97</v>
      </c>
      <c r="D419" s="46" t="s">
        <v>110</v>
      </c>
      <c r="E419" s="47" t="n">
        <v>156700</v>
      </c>
    </row>
    <row r="420" customFormat="false" ht="15" hidden="false" customHeight="false" outlineLevel="0" collapsed="false">
      <c r="A420" s="54" t="n">
        <v>46105</v>
      </c>
      <c r="B420" s="46" t="s">
        <v>44</v>
      </c>
      <c r="C420" s="46" t="s">
        <v>97</v>
      </c>
      <c r="D420" s="46" t="s">
        <v>110</v>
      </c>
      <c r="E420" s="47" t="n">
        <v>530700</v>
      </c>
    </row>
    <row r="421" customFormat="false" ht="15" hidden="false" customHeight="false" outlineLevel="0" collapsed="false">
      <c r="A421" s="54" t="n">
        <v>46105</v>
      </c>
      <c r="B421" s="46" t="s">
        <v>45</v>
      </c>
      <c r="C421" s="46" t="s">
        <v>97</v>
      </c>
      <c r="D421" s="46" t="s">
        <v>110</v>
      </c>
      <c r="E421" s="47" t="n">
        <v>352700</v>
      </c>
    </row>
    <row r="422" customFormat="false" ht="15" hidden="false" customHeight="false" outlineLevel="0" collapsed="false">
      <c r="A422" s="54" t="n">
        <v>46105</v>
      </c>
      <c r="B422" s="46" t="s">
        <v>47</v>
      </c>
      <c r="C422" s="46" t="s">
        <v>97</v>
      </c>
      <c r="D422" s="46" t="s">
        <v>110</v>
      </c>
      <c r="E422" s="47" t="n">
        <v>173800</v>
      </c>
    </row>
    <row r="423" customFormat="false" ht="15" hidden="false" customHeight="false" outlineLevel="0" collapsed="false">
      <c r="A423" s="54" t="n">
        <v>46106</v>
      </c>
      <c r="B423" s="46" t="s">
        <v>46</v>
      </c>
      <c r="C423" s="46" t="s">
        <v>97</v>
      </c>
      <c r="D423" s="46" t="s">
        <v>110</v>
      </c>
      <c r="E423" s="47" t="n">
        <v>125900</v>
      </c>
    </row>
    <row r="424" customFormat="false" ht="15" hidden="false" customHeight="false" outlineLevel="0" collapsed="false">
      <c r="A424" s="54" t="n">
        <v>46106</v>
      </c>
      <c r="B424" s="46" t="s">
        <v>44</v>
      </c>
      <c r="C424" s="46" t="s">
        <v>97</v>
      </c>
      <c r="D424" s="46" t="s">
        <v>110</v>
      </c>
      <c r="E424" s="47" t="n">
        <v>475100</v>
      </c>
    </row>
    <row r="425" customFormat="false" ht="15" hidden="false" customHeight="false" outlineLevel="0" collapsed="false">
      <c r="A425" s="54" t="n">
        <v>46106</v>
      </c>
      <c r="B425" s="46" t="s">
        <v>47</v>
      </c>
      <c r="C425" s="46" t="s">
        <v>97</v>
      </c>
      <c r="D425" s="46" t="s">
        <v>110</v>
      </c>
      <c r="E425" s="47" t="n">
        <v>128800</v>
      </c>
    </row>
    <row r="426" customFormat="false" ht="15" hidden="false" customHeight="false" outlineLevel="0" collapsed="false">
      <c r="A426" s="54" t="n">
        <v>46107</v>
      </c>
      <c r="B426" s="46" t="s">
        <v>102</v>
      </c>
      <c r="C426" s="46" t="s">
        <v>99</v>
      </c>
      <c r="D426" s="46" t="s">
        <v>108</v>
      </c>
      <c r="E426" s="47" t="n">
        <v>241200</v>
      </c>
    </row>
    <row r="427" customFormat="false" ht="15" hidden="false" customHeight="false" outlineLevel="0" collapsed="false">
      <c r="A427" s="54" t="n">
        <v>46107</v>
      </c>
      <c r="B427" s="46" t="s">
        <v>59</v>
      </c>
      <c r="C427" s="46" t="s">
        <v>103</v>
      </c>
      <c r="D427" s="46" t="s">
        <v>109</v>
      </c>
      <c r="E427" s="47" t="n">
        <v>84000</v>
      </c>
    </row>
    <row r="428" customFormat="false" ht="15" hidden="false" customHeight="false" outlineLevel="0" collapsed="false">
      <c r="A428" s="54" t="n">
        <v>46107</v>
      </c>
      <c r="B428" s="46" t="s">
        <v>44</v>
      </c>
      <c r="C428" s="46" t="s">
        <v>97</v>
      </c>
      <c r="D428" s="46" t="s">
        <v>110</v>
      </c>
      <c r="E428" s="47" t="n">
        <v>216700</v>
      </c>
    </row>
    <row r="429" customFormat="false" ht="15" hidden="false" customHeight="false" outlineLevel="0" collapsed="false">
      <c r="A429" s="54" t="n">
        <v>46107</v>
      </c>
      <c r="B429" s="46" t="s">
        <v>44</v>
      </c>
      <c r="C429" s="46" t="s">
        <v>97</v>
      </c>
      <c r="D429" s="46" t="s">
        <v>110</v>
      </c>
      <c r="E429" s="47" t="n">
        <v>329900</v>
      </c>
    </row>
    <row r="430" customFormat="false" ht="15" hidden="false" customHeight="false" outlineLevel="0" collapsed="false">
      <c r="A430" s="54" t="n">
        <v>46107</v>
      </c>
      <c r="B430" s="46" t="s">
        <v>47</v>
      </c>
      <c r="C430" s="46" t="s">
        <v>97</v>
      </c>
      <c r="D430" s="46" t="s">
        <v>110</v>
      </c>
      <c r="E430" s="47" t="n">
        <v>157700</v>
      </c>
    </row>
    <row r="431" customFormat="false" ht="15" hidden="false" customHeight="false" outlineLevel="0" collapsed="false">
      <c r="A431" s="54" t="n">
        <v>46108</v>
      </c>
      <c r="B431" s="46" t="s">
        <v>46</v>
      </c>
      <c r="C431" s="46" t="s">
        <v>97</v>
      </c>
      <c r="D431" s="46" t="s">
        <v>110</v>
      </c>
      <c r="E431" s="47" t="n">
        <v>209700</v>
      </c>
    </row>
    <row r="432" customFormat="false" ht="15" hidden="false" customHeight="false" outlineLevel="0" collapsed="false">
      <c r="A432" s="54" t="n">
        <v>46108</v>
      </c>
      <c r="B432" s="46" t="s">
        <v>46</v>
      </c>
      <c r="C432" s="46" t="s">
        <v>97</v>
      </c>
      <c r="D432" s="46" t="s">
        <v>110</v>
      </c>
      <c r="E432" s="47" t="n">
        <v>322800</v>
      </c>
    </row>
    <row r="433" customFormat="false" ht="15" hidden="false" customHeight="false" outlineLevel="0" collapsed="false">
      <c r="A433" s="54" t="n">
        <v>46108</v>
      </c>
      <c r="B433" s="46" t="s">
        <v>44</v>
      </c>
      <c r="C433" s="46" t="s">
        <v>97</v>
      </c>
      <c r="D433" s="46" t="s">
        <v>110</v>
      </c>
      <c r="E433" s="47" t="n">
        <v>354200</v>
      </c>
    </row>
    <row r="434" customFormat="false" ht="15" hidden="false" customHeight="false" outlineLevel="0" collapsed="false">
      <c r="A434" s="54" t="n">
        <v>46108</v>
      </c>
      <c r="B434" s="46" t="s">
        <v>44</v>
      </c>
      <c r="C434" s="46" t="s">
        <v>97</v>
      </c>
      <c r="D434" s="46" t="s">
        <v>110</v>
      </c>
      <c r="E434" s="47" t="n">
        <v>546300</v>
      </c>
    </row>
    <row r="435" customFormat="false" ht="15" hidden="false" customHeight="false" outlineLevel="0" collapsed="false">
      <c r="A435" s="54" t="n">
        <v>46108</v>
      </c>
      <c r="B435" s="46" t="s">
        <v>45</v>
      </c>
      <c r="C435" s="46" t="s">
        <v>97</v>
      </c>
      <c r="D435" s="46" t="s">
        <v>110</v>
      </c>
      <c r="E435" s="47" t="n">
        <v>253600</v>
      </c>
    </row>
    <row r="436" customFormat="false" ht="15" hidden="false" customHeight="false" outlineLevel="0" collapsed="false">
      <c r="A436" s="54" t="n">
        <v>46108</v>
      </c>
      <c r="B436" s="46" t="s">
        <v>45</v>
      </c>
      <c r="C436" s="46" t="s">
        <v>97</v>
      </c>
      <c r="D436" s="46" t="s">
        <v>110</v>
      </c>
      <c r="E436" s="47" t="n">
        <v>206100</v>
      </c>
    </row>
    <row r="437" customFormat="false" ht="15" hidden="false" customHeight="false" outlineLevel="0" collapsed="false">
      <c r="A437" s="54" t="n">
        <v>46108</v>
      </c>
      <c r="B437" s="46" t="s">
        <v>45</v>
      </c>
      <c r="C437" s="46" t="s">
        <v>97</v>
      </c>
      <c r="D437" s="46" t="s">
        <v>110</v>
      </c>
      <c r="E437" s="47" t="n">
        <v>182700</v>
      </c>
    </row>
    <row r="438" customFormat="false" ht="15" hidden="false" customHeight="false" outlineLevel="0" collapsed="false">
      <c r="A438" s="54" t="n">
        <v>46113</v>
      </c>
      <c r="B438" s="46" t="s">
        <v>46</v>
      </c>
      <c r="C438" s="46" t="s">
        <v>97</v>
      </c>
      <c r="D438" s="46" t="s">
        <v>110</v>
      </c>
      <c r="E438" s="47" t="n">
        <v>206000</v>
      </c>
    </row>
    <row r="439" customFormat="false" ht="15" hidden="false" customHeight="false" outlineLevel="0" collapsed="false">
      <c r="A439" s="54" t="n">
        <v>46113</v>
      </c>
      <c r="B439" s="46" t="s">
        <v>44</v>
      </c>
      <c r="C439" s="46" t="s">
        <v>97</v>
      </c>
      <c r="D439" s="46" t="s">
        <v>110</v>
      </c>
      <c r="E439" s="47" t="n">
        <v>598300</v>
      </c>
    </row>
    <row r="440" customFormat="false" ht="15" hidden="false" customHeight="false" outlineLevel="0" collapsed="false">
      <c r="A440" s="54" t="n">
        <v>46113</v>
      </c>
      <c r="B440" s="46" t="s">
        <v>45</v>
      </c>
      <c r="C440" s="46" t="s">
        <v>97</v>
      </c>
      <c r="D440" s="46" t="s">
        <v>110</v>
      </c>
      <c r="E440" s="47" t="n">
        <v>523000</v>
      </c>
    </row>
    <row r="441" customFormat="false" ht="15" hidden="false" customHeight="false" outlineLevel="0" collapsed="false">
      <c r="A441" s="54" t="n">
        <v>46113</v>
      </c>
      <c r="B441" s="46" t="s">
        <v>45</v>
      </c>
      <c r="C441" s="46" t="s">
        <v>97</v>
      </c>
      <c r="D441" s="46" t="s">
        <v>110</v>
      </c>
      <c r="E441" s="47" t="n">
        <v>474700</v>
      </c>
    </row>
    <row r="442" customFormat="false" ht="15" hidden="false" customHeight="false" outlineLevel="0" collapsed="false">
      <c r="A442" s="54" t="n">
        <v>46113</v>
      </c>
      <c r="B442" s="46" t="s">
        <v>47</v>
      </c>
      <c r="C442" s="46" t="s">
        <v>97</v>
      </c>
      <c r="D442" s="46" t="s">
        <v>110</v>
      </c>
      <c r="E442" s="47" t="n">
        <v>187400</v>
      </c>
    </row>
    <row r="443" customFormat="false" ht="15" hidden="false" customHeight="false" outlineLevel="0" collapsed="false">
      <c r="A443" s="54" t="n">
        <v>46113</v>
      </c>
      <c r="B443" s="46" t="s">
        <v>47</v>
      </c>
      <c r="C443" s="46" t="s">
        <v>97</v>
      </c>
      <c r="D443" s="46" t="s">
        <v>110</v>
      </c>
      <c r="E443" s="47" t="n">
        <v>207900</v>
      </c>
    </row>
    <row r="444" customFormat="false" ht="15" hidden="false" customHeight="false" outlineLevel="0" collapsed="false">
      <c r="A444" s="54" t="n">
        <v>46114</v>
      </c>
      <c r="B444" s="46" t="s">
        <v>58</v>
      </c>
      <c r="C444" s="46" t="s">
        <v>103</v>
      </c>
      <c r="D444" s="46" t="s">
        <v>109</v>
      </c>
      <c r="E444" s="47" t="n">
        <v>12000</v>
      </c>
    </row>
    <row r="445" customFormat="false" ht="15" hidden="false" customHeight="false" outlineLevel="0" collapsed="false">
      <c r="A445" s="54" t="n">
        <v>46114</v>
      </c>
      <c r="B445" s="46" t="s">
        <v>58</v>
      </c>
      <c r="C445" s="46" t="s">
        <v>103</v>
      </c>
      <c r="D445" s="46" t="s">
        <v>109</v>
      </c>
      <c r="E445" s="47" t="n">
        <v>7000</v>
      </c>
    </row>
    <row r="446" customFormat="false" ht="15" hidden="false" customHeight="false" outlineLevel="0" collapsed="false">
      <c r="A446" s="54" t="n">
        <v>46114</v>
      </c>
      <c r="B446" s="46" t="s">
        <v>102</v>
      </c>
      <c r="C446" s="46" t="s">
        <v>99</v>
      </c>
      <c r="D446" s="46" t="s">
        <v>108</v>
      </c>
      <c r="E446" s="47" t="n">
        <v>253900</v>
      </c>
    </row>
    <row r="447" customFormat="false" ht="15" hidden="false" customHeight="false" outlineLevel="0" collapsed="false">
      <c r="A447" s="54" t="n">
        <v>46114</v>
      </c>
      <c r="B447" s="46" t="s">
        <v>46</v>
      </c>
      <c r="C447" s="46" t="s">
        <v>97</v>
      </c>
      <c r="D447" s="46" t="s">
        <v>110</v>
      </c>
      <c r="E447" s="47" t="n">
        <v>258900</v>
      </c>
    </row>
    <row r="448" customFormat="false" ht="15" hidden="false" customHeight="false" outlineLevel="0" collapsed="false">
      <c r="A448" s="54" t="n">
        <v>46114</v>
      </c>
      <c r="B448" s="46" t="s">
        <v>46</v>
      </c>
      <c r="C448" s="46" t="s">
        <v>97</v>
      </c>
      <c r="D448" s="46" t="s">
        <v>110</v>
      </c>
      <c r="E448" s="47" t="n">
        <v>226600</v>
      </c>
    </row>
    <row r="449" customFormat="false" ht="15" hidden="false" customHeight="false" outlineLevel="0" collapsed="false">
      <c r="A449" s="54" t="n">
        <v>46114</v>
      </c>
      <c r="B449" s="46" t="s">
        <v>44</v>
      </c>
      <c r="C449" s="46" t="s">
        <v>97</v>
      </c>
      <c r="D449" s="46" t="s">
        <v>110</v>
      </c>
      <c r="E449" s="47" t="n">
        <v>562400</v>
      </c>
    </row>
    <row r="450" customFormat="false" ht="15" hidden="false" customHeight="false" outlineLevel="0" collapsed="false">
      <c r="A450" s="54" t="n">
        <v>46114</v>
      </c>
      <c r="B450" s="46" t="s">
        <v>45</v>
      </c>
      <c r="C450" s="46" t="s">
        <v>97</v>
      </c>
      <c r="D450" s="46" t="s">
        <v>110</v>
      </c>
      <c r="E450" s="47" t="n">
        <v>575800</v>
      </c>
    </row>
    <row r="451" customFormat="false" ht="15" hidden="false" customHeight="false" outlineLevel="0" collapsed="false">
      <c r="A451" s="54" t="n">
        <v>46114</v>
      </c>
      <c r="B451" s="46" t="s">
        <v>47</v>
      </c>
      <c r="C451" s="46" t="s">
        <v>97</v>
      </c>
      <c r="D451" s="46" t="s">
        <v>110</v>
      </c>
      <c r="E451" s="47" t="n">
        <v>210400</v>
      </c>
    </row>
    <row r="452" customFormat="false" ht="15" hidden="false" customHeight="false" outlineLevel="0" collapsed="false">
      <c r="A452" s="54" t="n">
        <v>46114</v>
      </c>
      <c r="B452" s="46" t="s">
        <v>47</v>
      </c>
      <c r="C452" s="46" t="s">
        <v>97</v>
      </c>
      <c r="D452" s="46" t="s">
        <v>110</v>
      </c>
      <c r="E452" s="47" t="n">
        <v>206900</v>
      </c>
    </row>
    <row r="453" customFormat="false" ht="15" hidden="false" customHeight="false" outlineLevel="0" collapsed="false">
      <c r="A453" s="54" t="n">
        <v>46115</v>
      </c>
      <c r="B453" s="46" t="s">
        <v>98</v>
      </c>
      <c r="C453" s="46" t="s">
        <v>99</v>
      </c>
      <c r="D453" s="46" t="s">
        <v>108</v>
      </c>
      <c r="E453" s="47" t="n">
        <v>1027800</v>
      </c>
    </row>
    <row r="454" customFormat="false" ht="15" hidden="false" customHeight="false" outlineLevel="0" collapsed="false">
      <c r="A454" s="54" t="n">
        <v>46115</v>
      </c>
      <c r="B454" s="46" t="s">
        <v>44</v>
      </c>
      <c r="C454" s="46" t="s">
        <v>97</v>
      </c>
      <c r="D454" s="46" t="s">
        <v>110</v>
      </c>
      <c r="E454" s="47" t="n">
        <v>413400</v>
      </c>
    </row>
    <row r="455" customFormat="false" ht="15" hidden="false" customHeight="false" outlineLevel="0" collapsed="false">
      <c r="A455" s="54" t="n">
        <v>46115</v>
      </c>
      <c r="B455" s="46" t="s">
        <v>45</v>
      </c>
      <c r="C455" s="46" t="s">
        <v>97</v>
      </c>
      <c r="D455" s="46" t="s">
        <v>110</v>
      </c>
      <c r="E455" s="47" t="n">
        <v>183000</v>
      </c>
    </row>
    <row r="456" customFormat="false" ht="15" hidden="false" customHeight="false" outlineLevel="0" collapsed="false">
      <c r="A456" s="54" t="n">
        <v>46115</v>
      </c>
      <c r="B456" s="46" t="s">
        <v>47</v>
      </c>
      <c r="C456" s="46" t="s">
        <v>97</v>
      </c>
      <c r="D456" s="46" t="s">
        <v>110</v>
      </c>
      <c r="E456" s="47" t="n">
        <v>137900</v>
      </c>
    </row>
    <row r="457" customFormat="false" ht="15" hidden="false" customHeight="false" outlineLevel="0" collapsed="false">
      <c r="A457" s="54" t="n">
        <v>46115</v>
      </c>
      <c r="B457" s="46" t="s">
        <v>55</v>
      </c>
      <c r="C457" s="46" t="s">
        <v>103</v>
      </c>
      <c r="D457" s="46" t="s">
        <v>109</v>
      </c>
      <c r="E457" s="47" t="n">
        <v>87900</v>
      </c>
    </row>
    <row r="458" customFormat="false" ht="15" hidden="false" customHeight="false" outlineLevel="0" collapsed="false">
      <c r="A458" s="54" t="n">
        <v>46116</v>
      </c>
      <c r="B458" s="46" t="s">
        <v>102</v>
      </c>
      <c r="C458" s="46" t="s">
        <v>99</v>
      </c>
      <c r="D458" s="46" t="s">
        <v>108</v>
      </c>
      <c r="E458" s="47" t="n">
        <v>330100</v>
      </c>
    </row>
    <row r="459" customFormat="false" ht="15" hidden="false" customHeight="false" outlineLevel="0" collapsed="false">
      <c r="A459" s="54" t="n">
        <v>46116</v>
      </c>
      <c r="B459" s="46" t="s">
        <v>52</v>
      </c>
      <c r="C459" s="46" t="s">
        <v>103</v>
      </c>
      <c r="D459" s="46" t="s">
        <v>109</v>
      </c>
      <c r="E459" s="47" t="n">
        <v>1629800</v>
      </c>
    </row>
    <row r="460" customFormat="false" ht="15" hidden="false" customHeight="false" outlineLevel="0" collapsed="false">
      <c r="A460" s="54" t="n">
        <v>46116</v>
      </c>
      <c r="B460" s="46" t="s">
        <v>44</v>
      </c>
      <c r="C460" s="46" t="s">
        <v>97</v>
      </c>
      <c r="D460" s="46" t="s">
        <v>110</v>
      </c>
      <c r="E460" s="47" t="n">
        <v>259300</v>
      </c>
    </row>
    <row r="461" customFormat="false" ht="15" hidden="false" customHeight="false" outlineLevel="0" collapsed="false">
      <c r="A461" s="54" t="n">
        <v>46116</v>
      </c>
      <c r="B461" s="46" t="s">
        <v>44</v>
      </c>
      <c r="C461" s="46" t="s">
        <v>97</v>
      </c>
      <c r="D461" s="46" t="s">
        <v>110</v>
      </c>
      <c r="E461" s="47" t="n">
        <v>274800</v>
      </c>
    </row>
    <row r="462" customFormat="false" ht="15" hidden="false" customHeight="false" outlineLevel="0" collapsed="false">
      <c r="A462" s="54" t="n">
        <v>46116</v>
      </c>
      <c r="B462" s="46" t="s">
        <v>47</v>
      </c>
      <c r="C462" s="46" t="s">
        <v>97</v>
      </c>
      <c r="D462" s="46" t="s">
        <v>110</v>
      </c>
      <c r="E462" s="47" t="n">
        <v>280300</v>
      </c>
    </row>
    <row r="463" customFormat="false" ht="15" hidden="false" customHeight="false" outlineLevel="0" collapsed="false">
      <c r="A463" s="54" t="n">
        <v>46117</v>
      </c>
      <c r="B463" s="46" t="s">
        <v>55</v>
      </c>
      <c r="C463" s="46" t="s">
        <v>103</v>
      </c>
      <c r="D463" s="46" t="s">
        <v>109</v>
      </c>
      <c r="E463" s="47" t="n">
        <v>66000</v>
      </c>
    </row>
    <row r="464" customFormat="false" ht="15" hidden="false" customHeight="false" outlineLevel="0" collapsed="false">
      <c r="A464" s="54" t="n">
        <v>46118</v>
      </c>
      <c r="B464" s="46" t="s">
        <v>44</v>
      </c>
      <c r="C464" s="46" t="s">
        <v>97</v>
      </c>
      <c r="D464" s="46" t="s">
        <v>110</v>
      </c>
      <c r="E464" s="47" t="n">
        <v>514100</v>
      </c>
    </row>
    <row r="465" customFormat="false" ht="15" hidden="false" customHeight="false" outlineLevel="0" collapsed="false">
      <c r="A465" s="54" t="n">
        <v>46118</v>
      </c>
      <c r="B465" s="46" t="s">
        <v>44</v>
      </c>
      <c r="C465" s="46" t="s">
        <v>97</v>
      </c>
      <c r="D465" s="46" t="s">
        <v>110</v>
      </c>
      <c r="E465" s="47" t="n">
        <v>419900</v>
      </c>
    </row>
    <row r="466" customFormat="false" ht="15" hidden="false" customHeight="false" outlineLevel="0" collapsed="false">
      <c r="A466" s="54" t="n">
        <v>46118</v>
      </c>
      <c r="B466" s="46" t="s">
        <v>47</v>
      </c>
      <c r="C466" s="46" t="s">
        <v>97</v>
      </c>
      <c r="D466" s="46" t="s">
        <v>110</v>
      </c>
      <c r="E466" s="47" t="n">
        <v>318300</v>
      </c>
    </row>
    <row r="467" customFormat="false" ht="15" hidden="false" customHeight="false" outlineLevel="0" collapsed="false">
      <c r="A467" s="54" t="n">
        <v>46119</v>
      </c>
      <c r="B467" s="46" t="s">
        <v>102</v>
      </c>
      <c r="C467" s="46" t="s">
        <v>99</v>
      </c>
      <c r="D467" s="46" t="s">
        <v>108</v>
      </c>
      <c r="E467" s="47" t="n">
        <v>236900</v>
      </c>
    </row>
    <row r="468" customFormat="false" ht="15" hidden="false" customHeight="false" outlineLevel="0" collapsed="false">
      <c r="A468" s="54" t="n">
        <v>46119</v>
      </c>
      <c r="B468" s="46" t="s">
        <v>46</v>
      </c>
      <c r="C468" s="46" t="s">
        <v>97</v>
      </c>
      <c r="D468" s="46" t="s">
        <v>110</v>
      </c>
      <c r="E468" s="47" t="n">
        <v>297100</v>
      </c>
    </row>
    <row r="469" customFormat="false" ht="15" hidden="false" customHeight="false" outlineLevel="0" collapsed="false">
      <c r="A469" s="54" t="n">
        <v>46120</v>
      </c>
      <c r="B469" s="46" t="s">
        <v>46</v>
      </c>
      <c r="C469" s="46" t="s">
        <v>97</v>
      </c>
      <c r="D469" s="46" t="s">
        <v>110</v>
      </c>
      <c r="E469" s="47" t="n">
        <v>248300</v>
      </c>
    </row>
    <row r="470" customFormat="false" ht="15" hidden="false" customHeight="false" outlineLevel="0" collapsed="false">
      <c r="A470" s="54" t="n">
        <v>46120</v>
      </c>
      <c r="B470" s="46" t="s">
        <v>44</v>
      </c>
      <c r="C470" s="46" t="s">
        <v>97</v>
      </c>
      <c r="D470" s="46" t="s">
        <v>110</v>
      </c>
      <c r="E470" s="47" t="n">
        <v>204300</v>
      </c>
    </row>
    <row r="471" customFormat="false" ht="15" hidden="false" customHeight="false" outlineLevel="0" collapsed="false">
      <c r="A471" s="54" t="n">
        <v>46120</v>
      </c>
      <c r="B471" s="46" t="s">
        <v>45</v>
      </c>
      <c r="C471" s="46" t="s">
        <v>97</v>
      </c>
      <c r="D471" s="46" t="s">
        <v>110</v>
      </c>
      <c r="E471" s="47" t="n">
        <v>228100</v>
      </c>
    </row>
    <row r="472" customFormat="false" ht="15" hidden="false" customHeight="false" outlineLevel="0" collapsed="false">
      <c r="A472" s="54" t="n">
        <v>46120</v>
      </c>
      <c r="B472" s="46" t="s">
        <v>45</v>
      </c>
      <c r="C472" s="46" t="s">
        <v>97</v>
      </c>
      <c r="D472" s="46" t="s">
        <v>110</v>
      </c>
      <c r="E472" s="47" t="n">
        <v>163700</v>
      </c>
    </row>
    <row r="473" customFormat="false" ht="15" hidden="false" customHeight="false" outlineLevel="0" collapsed="false">
      <c r="A473" s="54" t="n">
        <v>46120</v>
      </c>
      <c r="B473" s="46" t="s">
        <v>45</v>
      </c>
      <c r="C473" s="46" t="s">
        <v>97</v>
      </c>
      <c r="D473" s="46" t="s">
        <v>110</v>
      </c>
      <c r="E473" s="47" t="n">
        <v>322800</v>
      </c>
    </row>
    <row r="474" customFormat="false" ht="15" hidden="false" customHeight="false" outlineLevel="0" collapsed="false">
      <c r="A474" s="54" t="n">
        <v>46120</v>
      </c>
      <c r="B474" s="46" t="s">
        <v>47</v>
      </c>
      <c r="C474" s="46" t="s">
        <v>97</v>
      </c>
      <c r="D474" s="46" t="s">
        <v>110</v>
      </c>
      <c r="E474" s="47" t="n">
        <v>228200</v>
      </c>
    </row>
    <row r="475" customFormat="false" ht="15" hidden="false" customHeight="false" outlineLevel="0" collapsed="false">
      <c r="A475" s="54" t="n">
        <v>46120</v>
      </c>
      <c r="B475" s="46" t="s">
        <v>47</v>
      </c>
      <c r="C475" s="46" t="s">
        <v>97</v>
      </c>
      <c r="D475" s="46" t="s">
        <v>110</v>
      </c>
      <c r="E475" s="47" t="n">
        <v>86100</v>
      </c>
    </row>
    <row r="476" customFormat="false" ht="15" hidden="false" customHeight="false" outlineLevel="0" collapsed="false">
      <c r="A476" s="54" t="n">
        <v>46121</v>
      </c>
      <c r="B476" s="46" t="s">
        <v>58</v>
      </c>
      <c r="C476" s="46" t="s">
        <v>103</v>
      </c>
      <c r="D476" s="46" t="s">
        <v>109</v>
      </c>
      <c r="E476" s="47" t="n">
        <v>12300</v>
      </c>
    </row>
    <row r="477" customFormat="false" ht="15" hidden="false" customHeight="false" outlineLevel="0" collapsed="false">
      <c r="A477" s="54" t="n">
        <v>46121</v>
      </c>
      <c r="B477" s="46" t="s">
        <v>101</v>
      </c>
      <c r="C477" s="46" t="s">
        <v>99</v>
      </c>
      <c r="D477" s="46" t="s">
        <v>108</v>
      </c>
      <c r="E477" s="47" t="n">
        <v>360800</v>
      </c>
    </row>
    <row r="478" customFormat="false" ht="15" hidden="false" customHeight="false" outlineLevel="0" collapsed="false">
      <c r="A478" s="54" t="n">
        <v>46121</v>
      </c>
      <c r="B478" s="46" t="s">
        <v>101</v>
      </c>
      <c r="C478" s="46" t="s">
        <v>99</v>
      </c>
      <c r="D478" s="46" t="s">
        <v>108</v>
      </c>
      <c r="E478" s="47" t="n">
        <v>913300</v>
      </c>
    </row>
    <row r="479" customFormat="false" ht="15" hidden="false" customHeight="false" outlineLevel="0" collapsed="false">
      <c r="A479" s="54" t="n">
        <v>46121</v>
      </c>
      <c r="B479" s="46" t="s">
        <v>46</v>
      </c>
      <c r="C479" s="46" t="s">
        <v>97</v>
      </c>
      <c r="D479" s="46" t="s">
        <v>110</v>
      </c>
      <c r="E479" s="47" t="n">
        <v>172800</v>
      </c>
    </row>
    <row r="480" customFormat="false" ht="15" hidden="false" customHeight="false" outlineLevel="0" collapsed="false">
      <c r="A480" s="54" t="n">
        <v>46121</v>
      </c>
      <c r="B480" s="46" t="s">
        <v>55</v>
      </c>
      <c r="C480" s="46" t="s">
        <v>103</v>
      </c>
      <c r="D480" s="46" t="s">
        <v>109</v>
      </c>
      <c r="E480" s="47" t="n">
        <v>47800</v>
      </c>
    </row>
    <row r="481" customFormat="false" ht="15" hidden="false" customHeight="false" outlineLevel="0" collapsed="false">
      <c r="A481" s="54" t="n">
        <v>46122</v>
      </c>
      <c r="B481" s="46" t="s">
        <v>98</v>
      </c>
      <c r="C481" s="46" t="s">
        <v>99</v>
      </c>
      <c r="D481" s="46" t="s">
        <v>108</v>
      </c>
      <c r="E481" s="47" t="n">
        <v>1600800</v>
      </c>
    </row>
    <row r="482" customFormat="false" ht="15" hidden="false" customHeight="false" outlineLevel="0" collapsed="false">
      <c r="A482" s="54" t="n">
        <v>46122</v>
      </c>
      <c r="B482" s="46" t="s">
        <v>98</v>
      </c>
      <c r="C482" s="46" t="s">
        <v>99</v>
      </c>
      <c r="D482" s="46" t="s">
        <v>108</v>
      </c>
      <c r="E482" s="47" t="n">
        <v>907200</v>
      </c>
    </row>
    <row r="483" customFormat="false" ht="15" hidden="false" customHeight="false" outlineLevel="0" collapsed="false">
      <c r="A483" s="54" t="n">
        <v>46122</v>
      </c>
      <c r="B483" s="46" t="s">
        <v>46</v>
      </c>
      <c r="C483" s="46" t="s">
        <v>97</v>
      </c>
      <c r="D483" s="46" t="s">
        <v>110</v>
      </c>
      <c r="E483" s="47" t="n">
        <v>265300</v>
      </c>
    </row>
    <row r="484" customFormat="false" ht="15" hidden="false" customHeight="false" outlineLevel="0" collapsed="false">
      <c r="A484" s="54" t="n">
        <v>46123</v>
      </c>
      <c r="B484" s="46" t="s">
        <v>44</v>
      </c>
      <c r="C484" s="46" t="s">
        <v>97</v>
      </c>
      <c r="D484" s="46" t="s">
        <v>110</v>
      </c>
      <c r="E484" s="47" t="n">
        <v>326200</v>
      </c>
    </row>
    <row r="485" customFormat="false" ht="15" hidden="false" customHeight="false" outlineLevel="0" collapsed="false">
      <c r="A485" s="54" t="n">
        <v>46123</v>
      </c>
      <c r="B485" s="46" t="s">
        <v>45</v>
      </c>
      <c r="C485" s="46" t="s">
        <v>97</v>
      </c>
      <c r="D485" s="46" t="s">
        <v>110</v>
      </c>
      <c r="E485" s="47" t="n">
        <v>480700</v>
      </c>
    </row>
    <row r="486" customFormat="false" ht="15" hidden="false" customHeight="false" outlineLevel="0" collapsed="false">
      <c r="A486" s="54" t="n">
        <v>46123</v>
      </c>
      <c r="B486" s="46" t="s">
        <v>47</v>
      </c>
      <c r="C486" s="46" t="s">
        <v>97</v>
      </c>
      <c r="D486" s="46" t="s">
        <v>110</v>
      </c>
      <c r="E486" s="47" t="n">
        <v>310800</v>
      </c>
    </row>
    <row r="487" customFormat="false" ht="15" hidden="false" customHeight="false" outlineLevel="0" collapsed="false">
      <c r="A487" s="54" t="n">
        <v>46123</v>
      </c>
      <c r="B487" s="46" t="s">
        <v>47</v>
      </c>
      <c r="C487" s="46" t="s">
        <v>97</v>
      </c>
      <c r="D487" s="46" t="s">
        <v>110</v>
      </c>
      <c r="E487" s="47" t="n">
        <v>266500</v>
      </c>
    </row>
    <row r="488" customFormat="false" ht="15" hidden="false" customHeight="false" outlineLevel="0" collapsed="false">
      <c r="A488" s="54" t="n">
        <v>46124</v>
      </c>
      <c r="B488" s="46" t="s">
        <v>58</v>
      </c>
      <c r="C488" s="46" t="s">
        <v>103</v>
      </c>
      <c r="D488" s="46" t="s">
        <v>109</v>
      </c>
      <c r="E488" s="47" t="n">
        <v>12300</v>
      </c>
    </row>
    <row r="489" customFormat="false" ht="15" hidden="false" customHeight="false" outlineLevel="0" collapsed="false">
      <c r="A489" s="54" t="n">
        <v>46124</v>
      </c>
      <c r="B489" s="46" t="s">
        <v>100</v>
      </c>
      <c r="C489" s="46" t="s">
        <v>99</v>
      </c>
      <c r="D489" s="46" t="s">
        <v>108</v>
      </c>
      <c r="E489" s="47" t="n">
        <v>1221100</v>
      </c>
    </row>
    <row r="490" customFormat="false" ht="15" hidden="false" customHeight="false" outlineLevel="0" collapsed="false">
      <c r="A490" s="54" t="n">
        <v>46124</v>
      </c>
      <c r="B490" s="46" t="s">
        <v>102</v>
      </c>
      <c r="C490" s="46" t="s">
        <v>99</v>
      </c>
      <c r="D490" s="46" t="s">
        <v>108</v>
      </c>
      <c r="E490" s="47" t="n">
        <v>266700</v>
      </c>
    </row>
    <row r="491" customFormat="false" ht="15" hidden="false" customHeight="false" outlineLevel="0" collapsed="false">
      <c r="A491" s="54" t="n">
        <v>46124</v>
      </c>
      <c r="B491" s="46" t="s">
        <v>44</v>
      </c>
      <c r="C491" s="46" t="s">
        <v>97</v>
      </c>
      <c r="D491" s="46" t="s">
        <v>110</v>
      </c>
      <c r="E491" s="47" t="n">
        <v>480200</v>
      </c>
    </row>
    <row r="492" customFormat="false" ht="15" hidden="false" customHeight="false" outlineLevel="0" collapsed="false">
      <c r="A492" s="54" t="n">
        <v>46124</v>
      </c>
      <c r="B492" s="46" t="s">
        <v>44</v>
      </c>
      <c r="C492" s="46" t="s">
        <v>97</v>
      </c>
      <c r="D492" s="46" t="s">
        <v>110</v>
      </c>
      <c r="E492" s="47" t="n">
        <v>564600</v>
      </c>
    </row>
    <row r="493" customFormat="false" ht="15" hidden="false" customHeight="false" outlineLevel="0" collapsed="false">
      <c r="A493" s="54" t="n">
        <v>46124</v>
      </c>
      <c r="B493" s="46" t="s">
        <v>47</v>
      </c>
      <c r="C493" s="46" t="s">
        <v>97</v>
      </c>
      <c r="D493" s="46" t="s">
        <v>110</v>
      </c>
      <c r="E493" s="47" t="n">
        <v>175200</v>
      </c>
    </row>
    <row r="494" customFormat="false" ht="15" hidden="false" customHeight="false" outlineLevel="0" collapsed="false">
      <c r="A494" s="54" t="n">
        <v>46125</v>
      </c>
      <c r="B494" s="46" t="s">
        <v>101</v>
      </c>
      <c r="C494" s="46" t="s">
        <v>99</v>
      </c>
      <c r="D494" s="46" t="s">
        <v>108</v>
      </c>
      <c r="E494" s="47" t="n">
        <v>648800</v>
      </c>
    </row>
    <row r="495" customFormat="false" ht="15" hidden="false" customHeight="false" outlineLevel="0" collapsed="false">
      <c r="A495" s="54" t="n">
        <v>46125</v>
      </c>
      <c r="B495" s="46" t="s">
        <v>98</v>
      </c>
      <c r="C495" s="46" t="s">
        <v>99</v>
      </c>
      <c r="D495" s="46" t="s">
        <v>108</v>
      </c>
      <c r="E495" s="47" t="n">
        <v>947200</v>
      </c>
    </row>
    <row r="496" customFormat="false" ht="15" hidden="false" customHeight="false" outlineLevel="0" collapsed="false">
      <c r="A496" s="54" t="n">
        <v>46125</v>
      </c>
      <c r="B496" s="46" t="s">
        <v>100</v>
      </c>
      <c r="C496" s="46" t="s">
        <v>99</v>
      </c>
      <c r="D496" s="46" t="s">
        <v>108</v>
      </c>
      <c r="E496" s="47" t="n">
        <v>717100</v>
      </c>
    </row>
    <row r="497" customFormat="false" ht="15" hidden="false" customHeight="false" outlineLevel="0" collapsed="false">
      <c r="A497" s="54" t="n">
        <v>46125</v>
      </c>
      <c r="B497" s="46" t="s">
        <v>57</v>
      </c>
      <c r="C497" s="46" t="s">
        <v>103</v>
      </c>
      <c r="D497" s="46" t="s">
        <v>109</v>
      </c>
      <c r="E497" s="47" t="n">
        <v>91300</v>
      </c>
    </row>
    <row r="498" customFormat="false" ht="15" hidden="false" customHeight="false" outlineLevel="0" collapsed="false">
      <c r="A498" s="54" t="n">
        <v>46125</v>
      </c>
      <c r="B498" s="46" t="s">
        <v>56</v>
      </c>
      <c r="C498" s="46" t="s">
        <v>103</v>
      </c>
      <c r="D498" s="46" t="s">
        <v>109</v>
      </c>
      <c r="E498" s="47" t="n">
        <v>113400</v>
      </c>
    </row>
    <row r="499" customFormat="false" ht="15" hidden="false" customHeight="false" outlineLevel="0" collapsed="false">
      <c r="A499" s="54" t="n">
        <v>46125</v>
      </c>
      <c r="B499" s="46" t="s">
        <v>46</v>
      </c>
      <c r="C499" s="46" t="s">
        <v>97</v>
      </c>
      <c r="D499" s="46" t="s">
        <v>110</v>
      </c>
      <c r="E499" s="47" t="n">
        <v>281300</v>
      </c>
    </row>
    <row r="500" customFormat="false" ht="15" hidden="false" customHeight="false" outlineLevel="0" collapsed="false">
      <c r="A500" s="54" t="n">
        <v>46125</v>
      </c>
      <c r="B500" s="46" t="s">
        <v>44</v>
      </c>
      <c r="C500" s="46" t="s">
        <v>97</v>
      </c>
      <c r="D500" s="46" t="s">
        <v>110</v>
      </c>
      <c r="E500" s="47" t="n">
        <v>279500</v>
      </c>
    </row>
    <row r="501" customFormat="false" ht="15" hidden="false" customHeight="false" outlineLevel="0" collapsed="false">
      <c r="A501" s="54" t="n">
        <v>46125</v>
      </c>
      <c r="B501" s="46" t="s">
        <v>44</v>
      </c>
      <c r="C501" s="46" t="s">
        <v>97</v>
      </c>
      <c r="D501" s="46" t="s">
        <v>110</v>
      </c>
      <c r="E501" s="47" t="n">
        <v>333000</v>
      </c>
    </row>
    <row r="502" customFormat="false" ht="15" hidden="false" customHeight="false" outlineLevel="0" collapsed="false">
      <c r="A502" s="54" t="n">
        <v>46125</v>
      </c>
      <c r="B502" s="46" t="s">
        <v>45</v>
      </c>
      <c r="C502" s="46" t="s">
        <v>97</v>
      </c>
      <c r="D502" s="46" t="s">
        <v>110</v>
      </c>
      <c r="E502" s="47" t="n">
        <v>430900</v>
      </c>
    </row>
    <row r="503" customFormat="false" ht="15" hidden="false" customHeight="false" outlineLevel="0" collapsed="false">
      <c r="A503" s="54" t="n">
        <v>46125</v>
      </c>
      <c r="B503" s="46" t="s">
        <v>45</v>
      </c>
      <c r="C503" s="46" t="s">
        <v>97</v>
      </c>
      <c r="D503" s="46" t="s">
        <v>110</v>
      </c>
      <c r="E503" s="47" t="n">
        <v>265000</v>
      </c>
    </row>
    <row r="504" customFormat="false" ht="15" hidden="false" customHeight="false" outlineLevel="0" collapsed="false">
      <c r="A504" s="54" t="n">
        <v>46125</v>
      </c>
      <c r="B504" s="46" t="s">
        <v>45</v>
      </c>
      <c r="C504" s="46" t="s">
        <v>97</v>
      </c>
      <c r="D504" s="46" t="s">
        <v>110</v>
      </c>
      <c r="E504" s="47" t="n">
        <v>420100</v>
      </c>
    </row>
    <row r="505" customFormat="false" ht="15" hidden="false" customHeight="false" outlineLevel="0" collapsed="false">
      <c r="A505" s="54" t="n">
        <v>46126</v>
      </c>
      <c r="B505" s="46" t="s">
        <v>98</v>
      </c>
      <c r="C505" s="46" t="s">
        <v>99</v>
      </c>
      <c r="D505" s="46" t="s">
        <v>108</v>
      </c>
      <c r="E505" s="47" t="n">
        <v>575500</v>
      </c>
    </row>
    <row r="506" customFormat="false" ht="15" hidden="false" customHeight="false" outlineLevel="0" collapsed="false">
      <c r="A506" s="54" t="n">
        <v>46126</v>
      </c>
      <c r="B506" s="46" t="s">
        <v>102</v>
      </c>
      <c r="C506" s="46" t="s">
        <v>99</v>
      </c>
      <c r="D506" s="46" t="s">
        <v>108</v>
      </c>
      <c r="E506" s="47" t="n">
        <v>354100</v>
      </c>
    </row>
    <row r="507" customFormat="false" ht="15" hidden="false" customHeight="false" outlineLevel="0" collapsed="false">
      <c r="A507" s="54" t="n">
        <v>46126</v>
      </c>
      <c r="B507" s="46" t="s">
        <v>56</v>
      </c>
      <c r="C507" s="46" t="s">
        <v>103</v>
      </c>
      <c r="D507" s="46" t="s">
        <v>109</v>
      </c>
      <c r="E507" s="47" t="n">
        <v>53700</v>
      </c>
    </row>
    <row r="508" customFormat="false" ht="15" hidden="false" customHeight="false" outlineLevel="0" collapsed="false">
      <c r="A508" s="54" t="n">
        <v>46126</v>
      </c>
      <c r="B508" s="46" t="s">
        <v>46</v>
      </c>
      <c r="C508" s="46" t="s">
        <v>97</v>
      </c>
      <c r="D508" s="46" t="s">
        <v>110</v>
      </c>
      <c r="E508" s="47" t="n">
        <v>88900</v>
      </c>
    </row>
    <row r="509" customFormat="false" ht="15" hidden="false" customHeight="false" outlineLevel="0" collapsed="false">
      <c r="A509" s="54" t="n">
        <v>46126</v>
      </c>
      <c r="B509" s="46" t="s">
        <v>46</v>
      </c>
      <c r="C509" s="46" t="s">
        <v>97</v>
      </c>
      <c r="D509" s="46" t="s">
        <v>110</v>
      </c>
      <c r="E509" s="47" t="n">
        <v>151400</v>
      </c>
    </row>
    <row r="510" customFormat="false" ht="15" hidden="false" customHeight="false" outlineLevel="0" collapsed="false">
      <c r="A510" s="54" t="n">
        <v>46126</v>
      </c>
      <c r="B510" s="46" t="s">
        <v>46</v>
      </c>
      <c r="C510" s="46" t="s">
        <v>97</v>
      </c>
      <c r="D510" s="46" t="s">
        <v>110</v>
      </c>
      <c r="E510" s="47" t="n">
        <v>166100</v>
      </c>
    </row>
    <row r="511" customFormat="false" ht="15" hidden="false" customHeight="false" outlineLevel="0" collapsed="false">
      <c r="A511" s="54" t="n">
        <v>46126</v>
      </c>
      <c r="B511" s="46" t="s">
        <v>47</v>
      </c>
      <c r="C511" s="46" t="s">
        <v>97</v>
      </c>
      <c r="D511" s="46" t="s">
        <v>110</v>
      </c>
      <c r="E511" s="47" t="n">
        <v>122000</v>
      </c>
    </row>
    <row r="512" customFormat="false" ht="15" hidden="false" customHeight="false" outlineLevel="0" collapsed="false">
      <c r="A512" s="54" t="n">
        <v>46126</v>
      </c>
      <c r="B512" s="46" t="s">
        <v>55</v>
      </c>
      <c r="C512" s="46" t="s">
        <v>103</v>
      </c>
      <c r="D512" s="46" t="s">
        <v>109</v>
      </c>
      <c r="E512" s="47" t="n">
        <v>73200</v>
      </c>
    </row>
    <row r="513" customFormat="false" ht="15" hidden="false" customHeight="false" outlineLevel="0" collapsed="false">
      <c r="A513" s="54" t="n">
        <v>46127</v>
      </c>
      <c r="B513" s="46" t="s">
        <v>100</v>
      </c>
      <c r="C513" s="46" t="s">
        <v>99</v>
      </c>
      <c r="D513" s="46" t="s">
        <v>108</v>
      </c>
      <c r="E513" s="47" t="n">
        <v>900000</v>
      </c>
    </row>
    <row r="514" customFormat="false" ht="15" hidden="false" customHeight="false" outlineLevel="0" collapsed="false">
      <c r="A514" s="54" t="n">
        <v>46127</v>
      </c>
      <c r="B514" s="46" t="s">
        <v>100</v>
      </c>
      <c r="C514" s="46" t="s">
        <v>99</v>
      </c>
      <c r="D514" s="46" t="s">
        <v>108</v>
      </c>
      <c r="E514" s="47" t="n">
        <v>536100</v>
      </c>
    </row>
    <row r="515" customFormat="false" ht="15" hidden="false" customHeight="false" outlineLevel="0" collapsed="false">
      <c r="A515" s="54" t="n">
        <v>46127</v>
      </c>
      <c r="B515" s="46" t="s">
        <v>46</v>
      </c>
      <c r="C515" s="46" t="s">
        <v>97</v>
      </c>
      <c r="D515" s="46" t="s">
        <v>110</v>
      </c>
      <c r="E515" s="47" t="n">
        <v>81500</v>
      </c>
    </row>
    <row r="516" customFormat="false" ht="15" hidden="false" customHeight="false" outlineLevel="0" collapsed="false">
      <c r="A516" s="54" t="n">
        <v>46127</v>
      </c>
      <c r="B516" s="46" t="s">
        <v>47</v>
      </c>
      <c r="C516" s="46" t="s">
        <v>97</v>
      </c>
      <c r="D516" s="46" t="s">
        <v>110</v>
      </c>
      <c r="E516" s="47" t="n">
        <v>144900</v>
      </c>
    </row>
    <row r="517" customFormat="false" ht="15" hidden="false" customHeight="false" outlineLevel="0" collapsed="false">
      <c r="A517" s="54" t="n">
        <v>46127</v>
      </c>
      <c r="B517" s="46" t="s">
        <v>55</v>
      </c>
      <c r="C517" s="46" t="s">
        <v>103</v>
      </c>
      <c r="D517" s="46" t="s">
        <v>109</v>
      </c>
      <c r="E517" s="47" t="n">
        <v>30800</v>
      </c>
    </row>
    <row r="518" customFormat="false" ht="15" hidden="false" customHeight="false" outlineLevel="0" collapsed="false">
      <c r="A518" s="54" t="n">
        <v>46127</v>
      </c>
      <c r="B518" s="46" t="s">
        <v>55</v>
      </c>
      <c r="C518" s="46" t="s">
        <v>103</v>
      </c>
      <c r="D518" s="46" t="s">
        <v>109</v>
      </c>
      <c r="E518" s="47" t="n">
        <v>70100</v>
      </c>
    </row>
    <row r="519" customFormat="false" ht="15" hidden="false" customHeight="false" outlineLevel="0" collapsed="false">
      <c r="A519" s="54" t="n">
        <v>46128</v>
      </c>
      <c r="B519" s="46" t="s">
        <v>102</v>
      </c>
      <c r="C519" s="46" t="s">
        <v>99</v>
      </c>
      <c r="D519" s="46" t="s">
        <v>108</v>
      </c>
      <c r="E519" s="47" t="n">
        <v>383000</v>
      </c>
    </row>
    <row r="520" customFormat="false" ht="15" hidden="false" customHeight="false" outlineLevel="0" collapsed="false">
      <c r="A520" s="54" t="n">
        <v>46128</v>
      </c>
      <c r="B520" s="46" t="s">
        <v>102</v>
      </c>
      <c r="C520" s="46" t="s">
        <v>99</v>
      </c>
      <c r="D520" s="46" t="s">
        <v>108</v>
      </c>
      <c r="E520" s="47" t="n">
        <v>382900</v>
      </c>
    </row>
    <row r="521" customFormat="false" ht="15" hidden="false" customHeight="false" outlineLevel="0" collapsed="false">
      <c r="A521" s="54" t="n">
        <v>46128</v>
      </c>
      <c r="B521" s="46" t="s">
        <v>46</v>
      </c>
      <c r="C521" s="46" t="s">
        <v>97</v>
      </c>
      <c r="D521" s="46" t="s">
        <v>110</v>
      </c>
      <c r="E521" s="47" t="n">
        <v>192600</v>
      </c>
    </row>
    <row r="522" customFormat="false" ht="15" hidden="false" customHeight="false" outlineLevel="0" collapsed="false">
      <c r="A522" s="54" t="n">
        <v>46128</v>
      </c>
      <c r="B522" s="46" t="s">
        <v>55</v>
      </c>
      <c r="C522" s="46" t="s">
        <v>103</v>
      </c>
      <c r="D522" s="46" t="s">
        <v>109</v>
      </c>
      <c r="E522" s="47" t="n">
        <v>91500</v>
      </c>
    </row>
    <row r="523" customFormat="false" ht="15" hidden="false" customHeight="false" outlineLevel="0" collapsed="false">
      <c r="A523" s="54" t="n">
        <v>46129</v>
      </c>
      <c r="B523" s="46" t="s">
        <v>100</v>
      </c>
      <c r="C523" s="46" t="s">
        <v>99</v>
      </c>
      <c r="D523" s="46" t="s">
        <v>108</v>
      </c>
      <c r="E523" s="47" t="n">
        <v>1218100</v>
      </c>
    </row>
    <row r="524" customFormat="false" ht="15" hidden="false" customHeight="false" outlineLevel="0" collapsed="false">
      <c r="A524" s="54" t="n">
        <v>46129</v>
      </c>
      <c r="B524" s="46" t="s">
        <v>59</v>
      </c>
      <c r="C524" s="46" t="s">
        <v>103</v>
      </c>
      <c r="D524" s="46" t="s">
        <v>109</v>
      </c>
      <c r="E524" s="47" t="n">
        <v>42800</v>
      </c>
    </row>
    <row r="525" customFormat="false" ht="15" hidden="false" customHeight="false" outlineLevel="0" collapsed="false">
      <c r="A525" s="54" t="n">
        <v>46129</v>
      </c>
      <c r="B525" s="46" t="s">
        <v>46</v>
      </c>
      <c r="C525" s="46" t="s">
        <v>97</v>
      </c>
      <c r="D525" s="46" t="s">
        <v>110</v>
      </c>
      <c r="E525" s="47" t="n">
        <v>77100</v>
      </c>
    </row>
    <row r="526" customFormat="false" ht="15" hidden="false" customHeight="false" outlineLevel="0" collapsed="false">
      <c r="A526" s="54" t="n">
        <v>46129</v>
      </c>
      <c r="B526" s="46" t="s">
        <v>44</v>
      </c>
      <c r="C526" s="46" t="s">
        <v>97</v>
      </c>
      <c r="D526" s="46" t="s">
        <v>110</v>
      </c>
      <c r="E526" s="47" t="n">
        <v>522700</v>
      </c>
    </row>
    <row r="527" customFormat="false" ht="15" hidden="false" customHeight="false" outlineLevel="0" collapsed="false">
      <c r="A527" s="54" t="n">
        <v>46129</v>
      </c>
      <c r="B527" s="46" t="s">
        <v>45</v>
      </c>
      <c r="C527" s="46" t="s">
        <v>97</v>
      </c>
      <c r="D527" s="46" t="s">
        <v>110</v>
      </c>
      <c r="E527" s="47" t="n">
        <v>334700</v>
      </c>
    </row>
    <row r="528" customFormat="false" ht="15" hidden="false" customHeight="false" outlineLevel="0" collapsed="false">
      <c r="A528" s="54" t="n">
        <v>46129</v>
      </c>
      <c r="B528" s="46" t="s">
        <v>45</v>
      </c>
      <c r="C528" s="46" t="s">
        <v>97</v>
      </c>
      <c r="D528" s="46" t="s">
        <v>110</v>
      </c>
      <c r="E528" s="47" t="n">
        <v>211300</v>
      </c>
    </row>
    <row r="529" customFormat="false" ht="15" hidden="false" customHeight="false" outlineLevel="0" collapsed="false">
      <c r="A529" s="54" t="n">
        <v>46129</v>
      </c>
      <c r="B529" s="46" t="s">
        <v>47</v>
      </c>
      <c r="C529" s="46" t="s">
        <v>97</v>
      </c>
      <c r="D529" s="46" t="s">
        <v>110</v>
      </c>
      <c r="E529" s="47" t="n">
        <v>202600</v>
      </c>
    </row>
    <row r="530" customFormat="false" ht="15" hidden="false" customHeight="false" outlineLevel="0" collapsed="false">
      <c r="A530" s="54" t="n">
        <v>46129</v>
      </c>
      <c r="B530" s="46" t="s">
        <v>54</v>
      </c>
      <c r="C530" s="46" t="s">
        <v>103</v>
      </c>
      <c r="D530" s="46" t="s">
        <v>109</v>
      </c>
      <c r="E530" s="47" t="n">
        <v>72300</v>
      </c>
    </row>
    <row r="531" customFormat="false" ht="15" hidden="false" customHeight="false" outlineLevel="0" collapsed="false">
      <c r="A531" s="54" t="n">
        <v>46130</v>
      </c>
      <c r="B531" s="46" t="s">
        <v>101</v>
      </c>
      <c r="C531" s="46" t="s">
        <v>99</v>
      </c>
      <c r="D531" s="46" t="s">
        <v>108</v>
      </c>
      <c r="E531" s="47" t="n">
        <v>707300</v>
      </c>
    </row>
    <row r="532" customFormat="false" ht="15" hidden="false" customHeight="false" outlineLevel="0" collapsed="false">
      <c r="A532" s="54" t="n">
        <v>46130</v>
      </c>
      <c r="B532" s="46" t="s">
        <v>98</v>
      </c>
      <c r="C532" s="46" t="s">
        <v>99</v>
      </c>
      <c r="D532" s="46" t="s">
        <v>108</v>
      </c>
      <c r="E532" s="47" t="n">
        <v>1360100</v>
      </c>
    </row>
    <row r="533" customFormat="false" ht="15" hidden="false" customHeight="false" outlineLevel="0" collapsed="false">
      <c r="A533" s="54" t="n">
        <v>46130</v>
      </c>
      <c r="B533" s="46" t="s">
        <v>46</v>
      </c>
      <c r="C533" s="46" t="s">
        <v>97</v>
      </c>
      <c r="D533" s="46" t="s">
        <v>110</v>
      </c>
      <c r="E533" s="47" t="n">
        <v>218100</v>
      </c>
    </row>
    <row r="534" customFormat="false" ht="15" hidden="false" customHeight="false" outlineLevel="0" collapsed="false">
      <c r="A534" s="54" t="n">
        <v>46130</v>
      </c>
      <c r="B534" s="46" t="s">
        <v>44</v>
      </c>
      <c r="C534" s="46" t="s">
        <v>97</v>
      </c>
      <c r="D534" s="46" t="s">
        <v>110</v>
      </c>
      <c r="E534" s="47" t="n">
        <v>576000</v>
      </c>
    </row>
    <row r="535" customFormat="false" ht="15" hidden="false" customHeight="false" outlineLevel="0" collapsed="false">
      <c r="A535" s="54" t="n">
        <v>46130</v>
      </c>
      <c r="B535" s="46" t="s">
        <v>45</v>
      </c>
      <c r="C535" s="46" t="s">
        <v>97</v>
      </c>
      <c r="D535" s="46" t="s">
        <v>110</v>
      </c>
      <c r="E535" s="47" t="n">
        <v>320500</v>
      </c>
    </row>
    <row r="536" customFormat="false" ht="15" hidden="false" customHeight="false" outlineLevel="0" collapsed="false">
      <c r="A536" s="54" t="n">
        <v>46130</v>
      </c>
      <c r="B536" s="46" t="s">
        <v>45</v>
      </c>
      <c r="C536" s="46" t="s">
        <v>97</v>
      </c>
      <c r="D536" s="46" t="s">
        <v>110</v>
      </c>
      <c r="E536" s="47" t="n">
        <v>239100</v>
      </c>
    </row>
    <row r="537" customFormat="false" ht="15" hidden="false" customHeight="false" outlineLevel="0" collapsed="false">
      <c r="A537" s="54" t="n">
        <v>46130</v>
      </c>
      <c r="B537" s="46" t="s">
        <v>45</v>
      </c>
      <c r="C537" s="46" t="s">
        <v>97</v>
      </c>
      <c r="D537" s="46" t="s">
        <v>110</v>
      </c>
      <c r="E537" s="47" t="n">
        <v>197900</v>
      </c>
    </row>
    <row r="538" customFormat="false" ht="15" hidden="false" customHeight="false" outlineLevel="0" collapsed="false">
      <c r="A538" s="54" t="n">
        <v>46130</v>
      </c>
      <c r="B538" s="46" t="s">
        <v>55</v>
      </c>
      <c r="C538" s="46" t="s">
        <v>103</v>
      </c>
      <c r="D538" s="46" t="s">
        <v>109</v>
      </c>
      <c r="E538" s="47" t="n">
        <v>110400</v>
      </c>
    </row>
    <row r="539" customFormat="false" ht="15" hidden="false" customHeight="false" outlineLevel="0" collapsed="false">
      <c r="A539" s="54" t="n">
        <v>46131</v>
      </c>
      <c r="B539" s="46" t="s">
        <v>100</v>
      </c>
      <c r="C539" s="46" t="s">
        <v>99</v>
      </c>
      <c r="D539" s="46" t="s">
        <v>108</v>
      </c>
      <c r="E539" s="47" t="n">
        <v>859800</v>
      </c>
    </row>
    <row r="540" customFormat="false" ht="15" hidden="false" customHeight="false" outlineLevel="0" collapsed="false">
      <c r="A540" s="54" t="n">
        <v>46131</v>
      </c>
      <c r="B540" s="46" t="s">
        <v>44</v>
      </c>
      <c r="C540" s="46" t="s">
        <v>97</v>
      </c>
      <c r="D540" s="46" t="s">
        <v>110</v>
      </c>
      <c r="E540" s="47" t="n">
        <v>641400</v>
      </c>
    </row>
    <row r="541" customFormat="false" ht="15" hidden="false" customHeight="false" outlineLevel="0" collapsed="false">
      <c r="A541" s="54" t="n">
        <v>46131</v>
      </c>
      <c r="B541" s="46" t="s">
        <v>55</v>
      </c>
      <c r="C541" s="46" t="s">
        <v>103</v>
      </c>
      <c r="D541" s="46" t="s">
        <v>109</v>
      </c>
      <c r="E541" s="47" t="n">
        <v>57800</v>
      </c>
    </row>
    <row r="542" customFormat="false" ht="15" hidden="false" customHeight="false" outlineLevel="0" collapsed="false">
      <c r="A542" s="54" t="n">
        <v>46132</v>
      </c>
      <c r="B542" s="46" t="s">
        <v>53</v>
      </c>
      <c r="C542" s="46" t="s">
        <v>103</v>
      </c>
      <c r="D542" s="46" t="s">
        <v>109</v>
      </c>
      <c r="E542" s="47" t="n">
        <v>544500</v>
      </c>
    </row>
    <row r="543" customFormat="false" ht="15" hidden="false" customHeight="false" outlineLevel="0" collapsed="false">
      <c r="A543" s="54" t="n">
        <v>46132</v>
      </c>
      <c r="B543" s="46" t="s">
        <v>59</v>
      </c>
      <c r="C543" s="46" t="s">
        <v>103</v>
      </c>
      <c r="D543" s="46" t="s">
        <v>109</v>
      </c>
      <c r="E543" s="47" t="n">
        <v>31000</v>
      </c>
    </row>
    <row r="544" customFormat="false" ht="15" hidden="false" customHeight="false" outlineLevel="0" collapsed="false">
      <c r="A544" s="54" t="n">
        <v>46132</v>
      </c>
      <c r="B544" s="46" t="s">
        <v>46</v>
      </c>
      <c r="C544" s="46" t="s">
        <v>97</v>
      </c>
      <c r="D544" s="46" t="s">
        <v>110</v>
      </c>
      <c r="E544" s="47" t="n">
        <v>221300</v>
      </c>
    </row>
    <row r="545" customFormat="false" ht="15" hidden="false" customHeight="false" outlineLevel="0" collapsed="false">
      <c r="A545" s="54" t="n">
        <v>46132</v>
      </c>
      <c r="B545" s="46" t="s">
        <v>45</v>
      </c>
      <c r="C545" s="46" t="s">
        <v>97</v>
      </c>
      <c r="D545" s="46" t="s">
        <v>110</v>
      </c>
      <c r="E545" s="47" t="n">
        <v>591200</v>
      </c>
    </row>
    <row r="546" customFormat="false" ht="15" hidden="false" customHeight="false" outlineLevel="0" collapsed="false">
      <c r="A546" s="54" t="n">
        <v>46133</v>
      </c>
      <c r="B546" s="46" t="s">
        <v>58</v>
      </c>
      <c r="C546" s="46" t="s">
        <v>103</v>
      </c>
      <c r="D546" s="46" t="s">
        <v>109</v>
      </c>
      <c r="E546" s="47" t="n">
        <v>11400</v>
      </c>
    </row>
    <row r="547" customFormat="false" ht="15" hidden="false" customHeight="false" outlineLevel="0" collapsed="false">
      <c r="A547" s="54" t="n">
        <v>46133</v>
      </c>
      <c r="B547" s="46" t="s">
        <v>98</v>
      </c>
      <c r="C547" s="46" t="s">
        <v>99</v>
      </c>
      <c r="D547" s="46" t="s">
        <v>108</v>
      </c>
      <c r="E547" s="47" t="n">
        <v>1078500</v>
      </c>
    </row>
    <row r="548" customFormat="false" ht="15" hidden="false" customHeight="false" outlineLevel="0" collapsed="false">
      <c r="A548" s="54" t="n">
        <v>46133</v>
      </c>
      <c r="B548" s="46" t="s">
        <v>100</v>
      </c>
      <c r="C548" s="46" t="s">
        <v>99</v>
      </c>
      <c r="D548" s="46" t="s">
        <v>108</v>
      </c>
      <c r="E548" s="47" t="n">
        <v>593100</v>
      </c>
    </row>
    <row r="549" customFormat="false" ht="15" hidden="false" customHeight="false" outlineLevel="0" collapsed="false">
      <c r="A549" s="54" t="n">
        <v>46133</v>
      </c>
      <c r="B549" s="46" t="s">
        <v>56</v>
      </c>
      <c r="C549" s="46" t="s">
        <v>103</v>
      </c>
      <c r="D549" s="46" t="s">
        <v>109</v>
      </c>
      <c r="E549" s="47" t="n">
        <v>72000</v>
      </c>
    </row>
    <row r="550" customFormat="false" ht="15" hidden="false" customHeight="false" outlineLevel="0" collapsed="false">
      <c r="A550" s="54" t="n">
        <v>46133</v>
      </c>
      <c r="B550" s="46" t="s">
        <v>59</v>
      </c>
      <c r="C550" s="46" t="s">
        <v>103</v>
      </c>
      <c r="D550" s="46" t="s">
        <v>109</v>
      </c>
      <c r="E550" s="47" t="n">
        <v>46300</v>
      </c>
    </row>
    <row r="551" customFormat="false" ht="15" hidden="false" customHeight="false" outlineLevel="0" collapsed="false">
      <c r="A551" s="54" t="n">
        <v>46133</v>
      </c>
      <c r="B551" s="46" t="s">
        <v>46</v>
      </c>
      <c r="C551" s="46" t="s">
        <v>97</v>
      </c>
      <c r="D551" s="46" t="s">
        <v>110</v>
      </c>
      <c r="E551" s="47" t="n">
        <v>281200</v>
      </c>
    </row>
    <row r="552" customFormat="false" ht="15" hidden="false" customHeight="false" outlineLevel="0" collapsed="false">
      <c r="A552" s="54" t="n">
        <v>46133</v>
      </c>
      <c r="B552" s="46" t="s">
        <v>44</v>
      </c>
      <c r="C552" s="46" t="s">
        <v>97</v>
      </c>
      <c r="D552" s="46" t="s">
        <v>110</v>
      </c>
      <c r="E552" s="47" t="n">
        <v>501600</v>
      </c>
    </row>
    <row r="553" customFormat="false" ht="15" hidden="false" customHeight="false" outlineLevel="0" collapsed="false">
      <c r="A553" s="54" t="n">
        <v>46133</v>
      </c>
      <c r="B553" s="46" t="s">
        <v>55</v>
      </c>
      <c r="C553" s="46" t="s">
        <v>103</v>
      </c>
      <c r="D553" s="46" t="s">
        <v>109</v>
      </c>
      <c r="E553" s="47" t="n">
        <v>59800</v>
      </c>
    </row>
    <row r="554" customFormat="false" ht="15" hidden="false" customHeight="false" outlineLevel="0" collapsed="false">
      <c r="A554" s="54" t="n">
        <v>46134</v>
      </c>
      <c r="B554" s="46" t="s">
        <v>100</v>
      </c>
      <c r="C554" s="46" t="s">
        <v>99</v>
      </c>
      <c r="D554" s="46" t="s">
        <v>108</v>
      </c>
      <c r="E554" s="47" t="n">
        <v>473400</v>
      </c>
    </row>
    <row r="555" customFormat="false" ht="15" hidden="false" customHeight="false" outlineLevel="0" collapsed="false">
      <c r="A555" s="54" t="n">
        <v>46134</v>
      </c>
      <c r="B555" s="46" t="s">
        <v>44</v>
      </c>
      <c r="C555" s="46" t="s">
        <v>97</v>
      </c>
      <c r="D555" s="46" t="s">
        <v>110</v>
      </c>
      <c r="E555" s="47" t="n">
        <v>640300</v>
      </c>
    </row>
    <row r="556" customFormat="false" ht="15" hidden="false" customHeight="false" outlineLevel="0" collapsed="false">
      <c r="A556" s="54" t="n">
        <v>46134</v>
      </c>
      <c r="B556" s="46" t="s">
        <v>45</v>
      </c>
      <c r="C556" s="46" t="s">
        <v>97</v>
      </c>
      <c r="D556" s="46" t="s">
        <v>110</v>
      </c>
      <c r="E556" s="47" t="n">
        <v>482200</v>
      </c>
    </row>
    <row r="557" customFormat="false" ht="15" hidden="false" customHeight="false" outlineLevel="0" collapsed="false">
      <c r="A557" s="54" t="n">
        <v>46134</v>
      </c>
      <c r="B557" s="46" t="s">
        <v>47</v>
      </c>
      <c r="C557" s="46" t="s">
        <v>97</v>
      </c>
      <c r="D557" s="46" t="s">
        <v>110</v>
      </c>
      <c r="E557" s="47" t="n">
        <v>92500</v>
      </c>
    </row>
    <row r="558" customFormat="false" ht="15" hidden="false" customHeight="false" outlineLevel="0" collapsed="false">
      <c r="A558" s="54" t="n">
        <v>46134</v>
      </c>
      <c r="B558" s="46" t="s">
        <v>47</v>
      </c>
      <c r="C558" s="46" t="s">
        <v>97</v>
      </c>
      <c r="D558" s="46" t="s">
        <v>110</v>
      </c>
      <c r="E558" s="47" t="n">
        <v>315700</v>
      </c>
    </row>
    <row r="559" customFormat="false" ht="15" hidden="false" customHeight="false" outlineLevel="0" collapsed="false">
      <c r="A559" s="54" t="n">
        <v>46134</v>
      </c>
      <c r="B559" s="46" t="s">
        <v>55</v>
      </c>
      <c r="C559" s="46" t="s">
        <v>103</v>
      </c>
      <c r="D559" s="46" t="s">
        <v>109</v>
      </c>
      <c r="E559" s="47" t="n">
        <v>48600</v>
      </c>
    </row>
    <row r="560" customFormat="false" ht="15" hidden="false" customHeight="false" outlineLevel="0" collapsed="false">
      <c r="A560" s="54" t="n">
        <v>46135</v>
      </c>
      <c r="B560" s="46" t="s">
        <v>58</v>
      </c>
      <c r="C560" s="46" t="s">
        <v>103</v>
      </c>
      <c r="D560" s="46" t="s">
        <v>109</v>
      </c>
      <c r="E560" s="47" t="n">
        <v>13400</v>
      </c>
    </row>
    <row r="561" customFormat="false" ht="15" hidden="false" customHeight="false" outlineLevel="0" collapsed="false">
      <c r="A561" s="54" t="n">
        <v>46135</v>
      </c>
      <c r="B561" s="46" t="s">
        <v>101</v>
      </c>
      <c r="C561" s="46" t="s">
        <v>99</v>
      </c>
      <c r="D561" s="46" t="s">
        <v>108</v>
      </c>
      <c r="E561" s="47" t="n">
        <v>429900</v>
      </c>
    </row>
    <row r="562" customFormat="false" ht="15" hidden="false" customHeight="false" outlineLevel="0" collapsed="false">
      <c r="A562" s="54" t="n">
        <v>46135</v>
      </c>
      <c r="B562" s="46" t="s">
        <v>46</v>
      </c>
      <c r="C562" s="46" t="s">
        <v>97</v>
      </c>
      <c r="D562" s="46" t="s">
        <v>110</v>
      </c>
      <c r="E562" s="47" t="n">
        <v>112800</v>
      </c>
    </row>
    <row r="563" customFormat="false" ht="15" hidden="false" customHeight="false" outlineLevel="0" collapsed="false">
      <c r="A563" s="54" t="n">
        <v>46136</v>
      </c>
      <c r="B563" s="46" t="s">
        <v>101</v>
      </c>
      <c r="C563" s="46" t="s">
        <v>99</v>
      </c>
      <c r="D563" s="46" t="s">
        <v>108</v>
      </c>
      <c r="E563" s="47" t="n">
        <v>393700</v>
      </c>
    </row>
    <row r="564" customFormat="false" ht="15" hidden="false" customHeight="false" outlineLevel="0" collapsed="false">
      <c r="A564" s="54" t="n">
        <v>46136</v>
      </c>
      <c r="B564" s="46" t="s">
        <v>46</v>
      </c>
      <c r="C564" s="46" t="s">
        <v>97</v>
      </c>
      <c r="D564" s="46" t="s">
        <v>110</v>
      </c>
      <c r="E564" s="47" t="n">
        <v>204200</v>
      </c>
    </row>
    <row r="565" customFormat="false" ht="15" hidden="false" customHeight="false" outlineLevel="0" collapsed="false">
      <c r="A565" s="54" t="n">
        <v>46136</v>
      </c>
      <c r="B565" s="46" t="s">
        <v>46</v>
      </c>
      <c r="C565" s="46" t="s">
        <v>97</v>
      </c>
      <c r="D565" s="46" t="s">
        <v>110</v>
      </c>
      <c r="E565" s="47" t="n">
        <v>282400</v>
      </c>
    </row>
    <row r="566" customFormat="false" ht="15" hidden="false" customHeight="false" outlineLevel="0" collapsed="false">
      <c r="A566" s="54" t="n">
        <v>46136</v>
      </c>
      <c r="B566" s="46" t="s">
        <v>45</v>
      </c>
      <c r="C566" s="46" t="s">
        <v>97</v>
      </c>
      <c r="D566" s="46" t="s">
        <v>110</v>
      </c>
      <c r="E566" s="47" t="n">
        <v>186300</v>
      </c>
    </row>
    <row r="567" customFormat="false" ht="15" hidden="false" customHeight="false" outlineLevel="0" collapsed="false">
      <c r="A567" s="54" t="n">
        <v>46136</v>
      </c>
      <c r="B567" s="46" t="s">
        <v>45</v>
      </c>
      <c r="C567" s="46" t="s">
        <v>97</v>
      </c>
      <c r="D567" s="46" t="s">
        <v>110</v>
      </c>
      <c r="E567" s="47" t="n">
        <v>514700</v>
      </c>
    </row>
    <row r="568" customFormat="false" ht="15" hidden="false" customHeight="false" outlineLevel="0" collapsed="false">
      <c r="A568" s="54" t="n">
        <v>46137</v>
      </c>
      <c r="B568" s="46" t="s">
        <v>98</v>
      </c>
      <c r="C568" s="46" t="s">
        <v>99</v>
      </c>
      <c r="D568" s="46" t="s">
        <v>108</v>
      </c>
      <c r="E568" s="47" t="n">
        <v>1100400</v>
      </c>
    </row>
    <row r="569" customFormat="false" ht="15" hidden="false" customHeight="false" outlineLevel="0" collapsed="false">
      <c r="A569" s="54" t="n">
        <v>46137</v>
      </c>
      <c r="B569" s="46" t="s">
        <v>102</v>
      </c>
      <c r="C569" s="46" t="s">
        <v>99</v>
      </c>
      <c r="D569" s="46" t="s">
        <v>108</v>
      </c>
      <c r="E569" s="47" t="n">
        <v>271000</v>
      </c>
    </row>
    <row r="570" customFormat="false" ht="15" hidden="false" customHeight="false" outlineLevel="0" collapsed="false">
      <c r="A570" s="54" t="n">
        <v>46137</v>
      </c>
      <c r="B570" s="46" t="s">
        <v>44</v>
      </c>
      <c r="C570" s="46" t="s">
        <v>97</v>
      </c>
      <c r="D570" s="46" t="s">
        <v>110</v>
      </c>
      <c r="E570" s="47" t="n">
        <v>653900</v>
      </c>
    </row>
    <row r="571" customFormat="false" ht="15" hidden="false" customHeight="false" outlineLevel="0" collapsed="false">
      <c r="A571" s="54" t="n">
        <v>46137</v>
      </c>
      <c r="B571" s="46" t="s">
        <v>44</v>
      </c>
      <c r="C571" s="46" t="s">
        <v>97</v>
      </c>
      <c r="D571" s="46" t="s">
        <v>110</v>
      </c>
      <c r="E571" s="47" t="n">
        <v>347800</v>
      </c>
    </row>
    <row r="572" customFormat="false" ht="15" hidden="false" customHeight="false" outlineLevel="0" collapsed="false">
      <c r="A572" s="54" t="n">
        <v>46137</v>
      </c>
      <c r="B572" s="46" t="s">
        <v>47</v>
      </c>
      <c r="C572" s="46" t="s">
        <v>97</v>
      </c>
      <c r="D572" s="46" t="s">
        <v>110</v>
      </c>
      <c r="E572" s="47" t="n">
        <v>143800</v>
      </c>
    </row>
    <row r="573" customFormat="false" ht="15" hidden="false" customHeight="false" outlineLevel="0" collapsed="false">
      <c r="A573" s="54" t="n">
        <v>46138</v>
      </c>
      <c r="B573" s="46" t="s">
        <v>101</v>
      </c>
      <c r="C573" s="46" t="s">
        <v>99</v>
      </c>
      <c r="D573" s="46" t="s">
        <v>108</v>
      </c>
      <c r="E573" s="47" t="n">
        <v>532800</v>
      </c>
    </row>
    <row r="574" customFormat="false" ht="15" hidden="false" customHeight="false" outlineLevel="0" collapsed="false">
      <c r="A574" s="54" t="n">
        <v>46138</v>
      </c>
      <c r="B574" s="46" t="s">
        <v>46</v>
      </c>
      <c r="C574" s="46" t="s">
        <v>97</v>
      </c>
      <c r="D574" s="46" t="s">
        <v>110</v>
      </c>
      <c r="E574" s="47" t="n">
        <v>295200</v>
      </c>
    </row>
    <row r="575" customFormat="false" ht="15" hidden="false" customHeight="false" outlineLevel="0" collapsed="false">
      <c r="A575" s="54" t="n">
        <v>46138</v>
      </c>
      <c r="B575" s="46" t="s">
        <v>46</v>
      </c>
      <c r="C575" s="46" t="s">
        <v>97</v>
      </c>
      <c r="D575" s="46" t="s">
        <v>110</v>
      </c>
      <c r="E575" s="47" t="n">
        <v>301800</v>
      </c>
    </row>
    <row r="576" customFormat="false" ht="15" hidden="false" customHeight="false" outlineLevel="0" collapsed="false">
      <c r="A576" s="54" t="n">
        <v>46138</v>
      </c>
      <c r="B576" s="46" t="s">
        <v>44</v>
      </c>
      <c r="C576" s="46" t="s">
        <v>97</v>
      </c>
      <c r="D576" s="46" t="s">
        <v>110</v>
      </c>
      <c r="E576" s="47" t="n">
        <v>640200</v>
      </c>
    </row>
    <row r="577" customFormat="false" ht="15" hidden="false" customHeight="false" outlineLevel="0" collapsed="false">
      <c r="A577" s="54" t="n">
        <v>46138</v>
      </c>
      <c r="B577" s="46" t="s">
        <v>44</v>
      </c>
      <c r="C577" s="46" t="s">
        <v>97</v>
      </c>
      <c r="D577" s="46" t="s">
        <v>110</v>
      </c>
      <c r="E577" s="47" t="n">
        <v>401900</v>
      </c>
    </row>
    <row r="578" customFormat="false" ht="15" hidden="false" customHeight="false" outlineLevel="0" collapsed="false">
      <c r="A578" s="54" t="n">
        <v>46138</v>
      </c>
      <c r="B578" s="46" t="s">
        <v>47</v>
      </c>
      <c r="C578" s="46" t="s">
        <v>97</v>
      </c>
      <c r="D578" s="46" t="s">
        <v>110</v>
      </c>
      <c r="E578" s="47" t="n">
        <v>209900</v>
      </c>
    </row>
    <row r="579" customFormat="false" ht="15" hidden="false" customHeight="false" outlineLevel="0" collapsed="false">
      <c r="A579" s="54" t="n">
        <v>46139</v>
      </c>
      <c r="B579" s="46" t="s">
        <v>102</v>
      </c>
      <c r="C579" s="46" t="s">
        <v>99</v>
      </c>
      <c r="D579" s="46" t="s">
        <v>108</v>
      </c>
      <c r="E579" s="47" t="n">
        <v>357700</v>
      </c>
    </row>
    <row r="580" customFormat="false" ht="15" hidden="false" customHeight="false" outlineLevel="0" collapsed="false">
      <c r="A580" s="54" t="n">
        <v>46139</v>
      </c>
      <c r="B580" s="46" t="s">
        <v>46</v>
      </c>
      <c r="C580" s="46" t="s">
        <v>97</v>
      </c>
      <c r="D580" s="46" t="s">
        <v>110</v>
      </c>
      <c r="E580" s="47" t="n">
        <v>280800</v>
      </c>
    </row>
    <row r="581" customFormat="false" ht="15" hidden="false" customHeight="false" outlineLevel="0" collapsed="false">
      <c r="A581" s="54" t="n">
        <v>46139</v>
      </c>
      <c r="B581" s="46" t="s">
        <v>46</v>
      </c>
      <c r="C581" s="46" t="s">
        <v>97</v>
      </c>
      <c r="D581" s="46" t="s">
        <v>110</v>
      </c>
      <c r="E581" s="47" t="n">
        <v>202400</v>
      </c>
    </row>
    <row r="582" customFormat="false" ht="15" hidden="false" customHeight="false" outlineLevel="0" collapsed="false">
      <c r="A582" s="54" t="n">
        <v>46139</v>
      </c>
      <c r="B582" s="46" t="s">
        <v>45</v>
      </c>
      <c r="C582" s="46" t="s">
        <v>97</v>
      </c>
      <c r="D582" s="46" t="s">
        <v>110</v>
      </c>
      <c r="E582" s="47" t="n">
        <v>408600</v>
      </c>
    </row>
    <row r="583" customFormat="false" ht="15" hidden="false" customHeight="false" outlineLevel="0" collapsed="false">
      <c r="A583" s="54" t="n">
        <v>46139</v>
      </c>
      <c r="B583" s="46" t="s">
        <v>54</v>
      </c>
      <c r="C583" s="46" t="s">
        <v>103</v>
      </c>
      <c r="D583" s="46" t="s">
        <v>109</v>
      </c>
      <c r="E583" s="47" t="n">
        <v>85000</v>
      </c>
    </row>
    <row r="584" customFormat="false" ht="15" hidden="false" customHeight="false" outlineLevel="0" collapsed="false">
      <c r="A584" s="54" t="n">
        <v>46143</v>
      </c>
      <c r="B584" s="46" t="s">
        <v>58</v>
      </c>
      <c r="C584" s="46" t="s">
        <v>103</v>
      </c>
      <c r="D584" s="46" t="s">
        <v>109</v>
      </c>
      <c r="E584" s="47" t="n">
        <v>8100</v>
      </c>
    </row>
    <row r="585" customFormat="false" ht="15" hidden="false" customHeight="false" outlineLevel="0" collapsed="false">
      <c r="A585" s="54" t="n">
        <v>46143</v>
      </c>
      <c r="B585" s="46" t="s">
        <v>98</v>
      </c>
      <c r="C585" s="46" t="s">
        <v>99</v>
      </c>
      <c r="D585" s="46" t="s">
        <v>108</v>
      </c>
      <c r="E585" s="47" t="n">
        <v>1158500</v>
      </c>
    </row>
    <row r="586" customFormat="false" ht="15" hidden="false" customHeight="false" outlineLevel="0" collapsed="false">
      <c r="A586" s="54" t="n">
        <v>46143</v>
      </c>
      <c r="B586" s="46" t="s">
        <v>47</v>
      </c>
      <c r="C586" s="46" t="s">
        <v>97</v>
      </c>
      <c r="D586" s="46" t="s">
        <v>110</v>
      </c>
      <c r="E586" s="47" t="n">
        <v>369100</v>
      </c>
    </row>
    <row r="587" customFormat="false" ht="15" hidden="false" customHeight="false" outlineLevel="0" collapsed="false">
      <c r="A587" s="54" t="n">
        <v>46143</v>
      </c>
      <c r="B587" s="46" t="s">
        <v>55</v>
      </c>
      <c r="C587" s="46" t="s">
        <v>103</v>
      </c>
      <c r="D587" s="46" t="s">
        <v>109</v>
      </c>
      <c r="E587" s="47" t="n">
        <v>30400</v>
      </c>
    </row>
    <row r="588" customFormat="false" ht="15" hidden="false" customHeight="false" outlineLevel="0" collapsed="false">
      <c r="A588" s="54" t="n">
        <v>46144</v>
      </c>
      <c r="B588" s="46" t="s">
        <v>58</v>
      </c>
      <c r="C588" s="46" t="s">
        <v>103</v>
      </c>
      <c r="D588" s="46" t="s">
        <v>109</v>
      </c>
      <c r="E588" s="47" t="n">
        <v>9800</v>
      </c>
    </row>
    <row r="589" customFormat="false" ht="15" hidden="false" customHeight="false" outlineLevel="0" collapsed="false">
      <c r="A589" s="54" t="n">
        <v>46144</v>
      </c>
      <c r="B589" s="46" t="s">
        <v>101</v>
      </c>
      <c r="C589" s="46" t="s">
        <v>99</v>
      </c>
      <c r="D589" s="46" t="s">
        <v>108</v>
      </c>
      <c r="E589" s="47" t="n">
        <v>413500</v>
      </c>
    </row>
    <row r="590" customFormat="false" ht="15" hidden="false" customHeight="false" outlineLevel="0" collapsed="false">
      <c r="A590" s="54" t="n">
        <v>46144</v>
      </c>
      <c r="B590" s="46" t="s">
        <v>46</v>
      </c>
      <c r="C590" s="46" t="s">
        <v>97</v>
      </c>
      <c r="D590" s="46" t="s">
        <v>110</v>
      </c>
      <c r="E590" s="47" t="n">
        <v>93500</v>
      </c>
    </row>
    <row r="591" customFormat="false" ht="15" hidden="false" customHeight="false" outlineLevel="0" collapsed="false">
      <c r="A591" s="54" t="n">
        <v>46144</v>
      </c>
      <c r="B591" s="46" t="s">
        <v>46</v>
      </c>
      <c r="C591" s="46" t="s">
        <v>97</v>
      </c>
      <c r="D591" s="46" t="s">
        <v>110</v>
      </c>
      <c r="E591" s="47" t="n">
        <v>251700</v>
      </c>
    </row>
    <row r="592" customFormat="false" ht="15" hidden="false" customHeight="false" outlineLevel="0" collapsed="false">
      <c r="A592" s="54" t="n">
        <v>46144</v>
      </c>
      <c r="B592" s="46" t="s">
        <v>46</v>
      </c>
      <c r="C592" s="46" t="s">
        <v>97</v>
      </c>
      <c r="D592" s="46" t="s">
        <v>110</v>
      </c>
      <c r="E592" s="47" t="n">
        <v>256300</v>
      </c>
    </row>
    <row r="593" customFormat="false" ht="15" hidden="false" customHeight="false" outlineLevel="0" collapsed="false">
      <c r="A593" s="54" t="n">
        <v>46144</v>
      </c>
      <c r="B593" s="46" t="s">
        <v>44</v>
      </c>
      <c r="C593" s="46" t="s">
        <v>97</v>
      </c>
      <c r="D593" s="46" t="s">
        <v>110</v>
      </c>
      <c r="E593" s="47" t="n">
        <v>207000</v>
      </c>
    </row>
    <row r="594" customFormat="false" ht="15" hidden="false" customHeight="false" outlineLevel="0" collapsed="false">
      <c r="A594" s="54" t="n">
        <v>46144</v>
      </c>
      <c r="B594" s="46" t="s">
        <v>47</v>
      </c>
      <c r="C594" s="46" t="s">
        <v>97</v>
      </c>
      <c r="D594" s="46" t="s">
        <v>110</v>
      </c>
      <c r="E594" s="47" t="n">
        <v>200900</v>
      </c>
    </row>
    <row r="595" customFormat="false" ht="15" hidden="false" customHeight="false" outlineLevel="0" collapsed="false">
      <c r="A595" s="54" t="n">
        <v>46145</v>
      </c>
      <c r="B595" s="46" t="s">
        <v>46</v>
      </c>
      <c r="C595" s="46" t="s">
        <v>97</v>
      </c>
      <c r="D595" s="46" t="s">
        <v>110</v>
      </c>
      <c r="E595" s="47" t="n">
        <v>163500</v>
      </c>
    </row>
    <row r="596" customFormat="false" ht="15" hidden="false" customHeight="false" outlineLevel="0" collapsed="false">
      <c r="A596" s="54" t="n">
        <v>46145</v>
      </c>
      <c r="B596" s="46" t="s">
        <v>44</v>
      </c>
      <c r="C596" s="46" t="s">
        <v>97</v>
      </c>
      <c r="D596" s="46" t="s">
        <v>110</v>
      </c>
      <c r="E596" s="47" t="n">
        <v>259100</v>
      </c>
    </row>
    <row r="597" customFormat="false" ht="15" hidden="false" customHeight="false" outlineLevel="0" collapsed="false">
      <c r="A597" s="54" t="n">
        <v>46145</v>
      </c>
      <c r="B597" s="46" t="s">
        <v>47</v>
      </c>
      <c r="C597" s="46" t="s">
        <v>97</v>
      </c>
      <c r="D597" s="46" t="s">
        <v>110</v>
      </c>
      <c r="E597" s="47" t="n">
        <v>188300</v>
      </c>
    </row>
    <row r="598" customFormat="false" ht="15" hidden="false" customHeight="false" outlineLevel="0" collapsed="false">
      <c r="A598" s="54" t="n">
        <v>46145</v>
      </c>
      <c r="B598" s="46" t="s">
        <v>55</v>
      </c>
      <c r="C598" s="46" t="s">
        <v>103</v>
      </c>
      <c r="D598" s="46" t="s">
        <v>109</v>
      </c>
      <c r="E598" s="47" t="n">
        <v>28900</v>
      </c>
    </row>
    <row r="599" customFormat="false" ht="15" hidden="false" customHeight="false" outlineLevel="0" collapsed="false">
      <c r="A599" s="54" t="n">
        <v>46146</v>
      </c>
      <c r="B599" s="46" t="s">
        <v>102</v>
      </c>
      <c r="C599" s="46" t="s">
        <v>99</v>
      </c>
      <c r="D599" s="46" t="s">
        <v>108</v>
      </c>
      <c r="E599" s="47" t="n">
        <v>341200</v>
      </c>
    </row>
    <row r="600" customFormat="false" ht="15" hidden="false" customHeight="false" outlineLevel="0" collapsed="false">
      <c r="A600" s="54" t="n">
        <v>46146</v>
      </c>
      <c r="B600" s="46" t="s">
        <v>53</v>
      </c>
      <c r="C600" s="46" t="s">
        <v>103</v>
      </c>
      <c r="D600" s="46" t="s">
        <v>109</v>
      </c>
      <c r="E600" s="47" t="n">
        <v>555300</v>
      </c>
    </row>
    <row r="601" customFormat="false" ht="15" hidden="false" customHeight="false" outlineLevel="0" collapsed="false">
      <c r="A601" s="54" t="n">
        <v>46146</v>
      </c>
      <c r="B601" s="46" t="s">
        <v>47</v>
      </c>
      <c r="C601" s="46" t="s">
        <v>97</v>
      </c>
      <c r="D601" s="46" t="s">
        <v>110</v>
      </c>
      <c r="E601" s="47" t="n">
        <v>98700</v>
      </c>
    </row>
    <row r="602" customFormat="false" ht="15" hidden="false" customHeight="false" outlineLevel="0" collapsed="false">
      <c r="A602" s="54" t="n">
        <v>46147</v>
      </c>
      <c r="B602" s="46" t="s">
        <v>98</v>
      </c>
      <c r="C602" s="46" t="s">
        <v>99</v>
      </c>
      <c r="D602" s="46" t="s">
        <v>108</v>
      </c>
      <c r="E602" s="47" t="n">
        <v>1319200</v>
      </c>
    </row>
    <row r="603" customFormat="false" ht="15" hidden="false" customHeight="false" outlineLevel="0" collapsed="false">
      <c r="A603" s="54" t="n">
        <v>46147</v>
      </c>
      <c r="B603" s="46" t="s">
        <v>98</v>
      </c>
      <c r="C603" s="46" t="s">
        <v>99</v>
      </c>
      <c r="D603" s="46" t="s">
        <v>108</v>
      </c>
      <c r="E603" s="47" t="n">
        <v>1126900</v>
      </c>
    </row>
    <row r="604" customFormat="false" ht="15" hidden="false" customHeight="false" outlineLevel="0" collapsed="false">
      <c r="A604" s="54" t="n">
        <v>46147</v>
      </c>
      <c r="B604" s="46" t="s">
        <v>57</v>
      </c>
      <c r="C604" s="46" t="s">
        <v>103</v>
      </c>
      <c r="D604" s="46" t="s">
        <v>109</v>
      </c>
      <c r="E604" s="47" t="n">
        <v>91200</v>
      </c>
    </row>
    <row r="605" customFormat="false" ht="15" hidden="false" customHeight="false" outlineLevel="0" collapsed="false">
      <c r="A605" s="54" t="n">
        <v>46148</v>
      </c>
      <c r="B605" s="46" t="s">
        <v>102</v>
      </c>
      <c r="C605" s="46" t="s">
        <v>99</v>
      </c>
      <c r="D605" s="46" t="s">
        <v>108</v>
      </c>
      <c r="E605" s="47" t="n">
        <v>238000</v>
      </c>
    </row>
    <row r="606" customFormat="false" ht="15" hidden="false" customHeight="false" outlineLevel="0" collapsed="false">
      <c r="A606" s="54" t="n">
        <v>46148</v>
      </c>
      <c r="B606" s="46" t="s">
        <v>44</v>
      </c>
      <c r="C606" s="46" t="s">
        <v>97</v>
      </c>
      <c r="D606" s="46" t="s">
        <v>110</v>
      </c>
      <c r="E606" s="47" t="n">
        <v>594600</v>
      </c>
    </row>
    <row r="607" customFormat="false" ht="15" hidden="false" customHeight="false" outlineLevel="0" collapsed="false">
      <c r="A607" s="54" t="n">
        <v>46149</v>
      </c>
      <c r="B607" s="46" t="s">
        <v>59</v>
      </c>
      <c r="C607" s="46" t="s">
        <v>103</v>
      </c>
      <c r="D607" s="46" t="s">
        <v>109</v>
      </c>
      <c r="E607" s="47" t="n">
        <v>80200</v>
      </c>
    </row>
    <row r="608" customFormat="false" ht="15" hidden="false" customHeight="false" outlineLevel="0" collapsed="false">
      <c r="A608" s="54" t="n">
        <v>46149</v>
      </c>
      <c r="B608" s="46" t="s">
        <v>55</v>
      </c>
      <c r="C608" s="46" t="s">
        <v>103</v>
      </c>
      <c r="D608" s="46" t="s">
        <v>109</v>
      </c>
      <c r="E608" s="47" t="n">
        <v>86400</v>
      </c>
    </row>
    <row r="609" customFormat="false" ht="15" hidden="false" customHeight="false" outlineLevel="0" collapsed="false">
      <c r="A609" s="54" t="n">
        <v>46149</v>
      </c>
      <c r="B609" s="46" t="s">
        <v>54</v>
      </c>
      <c r="C609" s="46" t="s">
        <v>103</v>
      </c>
      <c r="D609" s="46" t="s">
        <v>109</v>
      </c>
      <c r="E609" s="47" t="n">
        <v>98800</v>
      </c>
    </row>
    <row r="610" customFormat="false" ht="15" hidden="false" customHeight="false" outlineLevel="0" collapsed="false">
      <c r="A610" s="54" t="n">
        <v>46150</v>
      </c>
      <c r="B610" s="46" t="s">
        <v>58</v>
      </c>
      <c r="C610" s="46" t="s">
        <v>103</v>
      </c>
      <c r="D610" s="46" t="s">
        <v>109</v>
      </c>
      <c r="E610" s="47" t="n">
        <v>4000</v>
      </c>
    </row>
    <row r="611" customFormat="false" ht="15" hidden="false" customHeight="false" outlineLevel="0" collapsed="false">
      <c r="A611" s="54" t="n">
        <v>46150</v>
      </c>
      <c r="B611" s="46" t="s">
        <v>58</v>
      </c>
      <c r="C611" s="46" t="s">
        <v>103</v>
      </c>
      <c r="D611" s="46" t="s">
        <v>109</v>
      </c>
      <c r="E611" s="47" t="n">
        <v>9600</v>
      </c>
    </row>
    <row r="612" customFormat="false" ht="15" hidden="false" customHeight="false" outlineLevel="0" collapsed="false">
      <c r="A612" s="54" t="n">
        <v>46150</v>
      </c>
      <c r="B612" s="46" t="s">
        <v>46</v>
      </c>
      <c r="C612" s="46" t="s">
        <v>97</v>
      </c>
      <c r="D612" s="46" t="s">
        <v>110</v>
      </c>
      <c r="E612" s="47" t="n">
        <v>201400</v>
      </c>
    </row>
    <row r="613" customFormat="false" ht="15" hidden="false" customHeight="false" outlineLevel="0" collapsed="false">
      <c r="A613" s="54" t="n">
        <v>46150</v>
      </c>
      <c r="B613" s="46" t="s">
        <v>46</v>
      </c>
      <c r="C613" s="46" t="s">
        <v>97</v>
      </c>
      <c r="D613" s="46" t="s">
        <v>110</v>
      </c>
      <c r="E613" s="47" t="n">
        <v>79400</v>
      </c>
    </row>
    <row r="614" customFormat="false" ht="15" hidden="false" customHeight="false" outlineLevel="0" collapsed="false">
      <c r="A614" s="54" t="n">
        <v>46150</v>
      </c>
      <c r="B614" s="46" t="s">
        <v>44</v>
      </c>
      <c r="C614" s="46" t="s">
        <v>97</v>
      </c>
      <c r="D614" s="46" t="s">
        <v>110</v>
      </c>
      <c r="E614" s="47" t="n">
        <v>310000</v>
      </c>
    </row>
    <row r="615" customFormat="false" ht="15" hidden="false" customHeight="false" outlineLevel="0" collapsed="false">
      <c r="A615" s="54" t="n">
        <v>46150</v>
      </c>
      <c r="B615" s="46" t="s">
        <v>45</v>
      </c>
      <c r="C615" s="46" t="s">
        <v>97</v>
      </c>
      <c r="D615" s="46" t="s">
        <v>110</v>
      </c>
      <c r="E615" s="47" t="n">
        <v>477300</v>
      </c>
    </row>
    <row r="616" customFormat="false" ht="15" hidden="false" customHeight="false" outlineLevel="0" collapsed="false">
      <c r="A616" s="54" t="n">
        <v>46150</v>
      </c>
      <c r="B616" s="46" t="s">
        <v>45</v>
      </c>
      <c r="C616" s="46" t="s">
        <v>97</v>
      </c>
      <c r="D616" s="46" t="s">
        <v>110</v>
      </c>
      <c r="E616" s="47" t="n">
        <v>249700</v>
      </c>
    </row>
    <row r="617" customFormat="false" ht="15" hidden="false" customHeight="false" outlineLevel="0" collapsed="false">
      <c r="A617" s="54" t="n">
        <v>46150</v>
      </c>
      <c r="B617" s="46" t="s">
        <v>47</v>
      </c>
      <c r="C617" s="46" t="s">
        <v>97</v>
      </c>
      <c r="D617" s="46" t="s">
        <v>110</v>
      </c>
      <c r="E617" s="47" t="n">
        <v>260800</v>
      </c>
    </row>
    <row r="618" customFormat="false" ht="15" hidden="false" customHeight="false" outlineLevel="0" collapsed="false">
      <c r="A618" s="54" t="n">
        <v>46151</v>
      </c>
      <c r="B618" s="46" t="s">
        <v>56</v>
      </c>
      <c r="C618" s="46" t="s">
        <v>103</v>
      </c>
      <c r="D618" s="46" t="s">
        <v>109</v>
      </c>
      <c r="E618" s="47" t="n">
        <v>61900</v>
      </c>
    </row>
    <row r="619" customFormat="false" ht="15" hidden="false" customHeight="false" outlineLevel="0" collapsed="false">
      <c r="A619" s="54" t="n">
        <v>46151</v>
      </c>
      <c r="B619" s="46" t="s">
        <v>46</v>
      </c>
      <c r="C619" s="46" t="s">
        <v>97</v>
      </c>
      <c r="D619" s="46" t="s">
        <v>110</v>
      </c>
      <c r="E619" s="47" t="n">
        <v>284000</v>
      </c>
    </row>
    <row r="620" customFormat="false" ht="15" hidden="false" customHeight="false" outlineLevel="0" collapsed="false">
      <c r="A620" s="54" t="n">
        <v>46151</v>
      </c>
      <c r="B620" s="46" t="s">
        <v>44</v>
      </c>
      <c r="C620" s="46" t="s">
        <v>97</v>
      </c>
      <c r="D620" s="46" t="s">
        <v>110</v>
      </c>
      <c r="E620" s="47" t="n">
        <v>689300</v>
      </c>
    </row>
    <row r="621" customFormat="false" ht="15" hidden="false" customHeight="false" outlineLevel="0" collapsed="false">
      <c r="A621" s="54" t="n">
        <v>46151</v>
      </c>
      <c r="B621" s="46" t="s">
        <v>44</v>
      </c>
      <c r="C621" s="46" t="s">
        <v>97</v>
      </c>
      <c r="D621" s="46" t="s">
        <v>110</v>
      </c>
      <c r="E621" s="47" t="n">
        <v>596200</v>
      </c>
    </row>
    <row r="622" customFormat="false" ht="15" hidden="false" customHeight="false" outlineLevel="0" collapsed="false">
      <c r="A622" s="54" t="n">
        <v>46151</v>
      </c>
      <c r="B622" s="46" t="s">
        <v>45</v>
      </c>
      <c r="C622" s="46" t="s">
        <v>97</v>
      </c>
      <c r="D622" s="46" t="s">
        <v>110</v>
      </c>
      <c r="E622" s="47" t="n">
        <v>260100</v>
      </c>
    </row>
    <row r="623" customFormat="false" ht="15" hidden="false" customHeight="false" outlineLevel="0" collapsed="false">
      <c r="A623" s="54" t="n">
        <v>46151</v>
      </c>
      <c r="B623" s="46" t="s">
        <v>47</v>
      </c>
      <c r="C623" s="46" t="s">
        <v>97</v>
      </c>
      <c r="D623" s="46" t="s">
        <v>110</v>
      </c>
      <c r="E623" s="47" t="n">
        <v>101100</v>
      </c>
    </row>
    <row r="624" customFormat="false" ht="15" hidden="false" customHeight="false" outlineLevel="0" collapsed="false">
      <c r="A624" s="54" t="n">
        <v>46151</v>
      </c>
      <c r="B624" s="46" t="s">
        <v>47</v>
      </c>
      <c r="C624" s="46" t="s">
        <v>97</v>
      </c>
      <c r="D624" s="46" t="s">
        <v>110</v>
      </c>
      <c r="E624" s="47" t="n">
        <v>159800</v>
      </c>
    </row>
    <row r="625" customFormat="false" ht="15" hidden="false" customHeight="false" outlineLevel="0" collapsed="false">
      <c r="A625" s="54" t="n">
        <v>46152</v>
      </c>
      <c r="B625" s="46" t="s">
        <v>56</v>
      </c>
      <c r="C625" s="46" t="s">
        <v>103</v>
      </c>
      <c r="D625" s="46" t="s">
        <v>109</v>
      </c>
      <c r="E625" s="47" t="n">
        <v>72400</v>
      </c>
    </row>
    <row r="626" customFormat="false" ht="15" hidden="false" customHeight="false" outlineLevel="0" collapsed="false">
      <c r="A626" s="54" t="n">
        <v>46152</v>
      </c>
      <c r="B626" s="46" t="s">
        <v>44</v>
      </c>
      <c r="C626" s="46" t="s">
        <v>97</v>
      </c>
      <c r="D626" s="46" t="s">
        <v>110</v>
      </c>
      <c r="E626" s="47" t="n">
        <v>685800</v>
      </c>
    </row>
    <row r="627" customFormat="false" ht="15" hidden="false" customHeight="false" outlineLevel="0" collapsed="false">
      <c r="A627" s="54" t="n">
        <v>46152</v>
      </c>
      <c r="B627" s="46" t="s">
        <v>45</v>
      </c>
      <c r="C627" s="46" t="s">
        <v>97</v>
      </c>
      <c r="D627" s="46" t="s">
        <v>110</v>
      </c>
      <c r="E627" s="47" t="n">
        <v>264900</v>
      </c>
    </row>
    <row r="628" customFormat="false" ht="15" hidden="false" customHeight="false" outlineLevel="0" collapsed="false">
      <c r="A628" s="54" t="n">
        <v>46152</v>
      </c>
      <c r="B628" s="46" t="s">
        <v>47</v>
      </c>
      <c r="C628" s="46" t="s">
        <v>97</v>
      </c>
      <c r="D628" s="46" t="s">
        <v>110</v>
      </c>
      <c r="E628" s="47" t="n">
        <v>136800</v>
      </c>
    </row>
    <row r="629" customFormat="false" ht="15" hidden="false" customHeight="false" outlineLevel="0" collapsed="false">
      <c r="A629" s="54" t="n">
        <v>46152</v>
      </c>
      <c r="B629" s="46" t="s">
        <v>47</v>
      </c>
      <c r="C629" s="46" t="s">
        <v>97</v>
      </c>
      <c r="D629" s="46" t="s">
        <v>110</v>
      </c>
      <c r="E629" s="47" t="n">
        <v>235700</v>
      </c>
    </row>
    <row r="630" customFormat="false" ht="15" hidden="false" customHeight="false" outlineLevel="0" collapsed="false">
      <c r="A630" s="54" t="n">
        <v>46152</v>
      </c>
      <c r="B630" s="46" t="s">
        <v>55</v>
      </c>
      <c r="C630" s="46" t="s">
        <v>103</v>
      </c>
      <c r="D630" s="46" t="s">
        <v>109</v>
      </c>
      <c r="E630" s="47" t="n">
        <v>63200</v>
      </c>
    </row>
    <row r="631" customFormat="false" ht="15" hidden="false" customHeight="false" outlineLevel="0" collapsed="false">
      <c r="A631" s="54" t="n">
        <v>46153</v>
      </c>
      <c r="B631" s="46" t="s">
        <v>100</v>
      </c>
      <c r="C631" s="46" t="s">
        <v>99</v>
      </c>
      <c r="D631" s="46" t="s">
        <v>108</v>
      </c>
      <c r="E631" s="47" t="n">
        <v>1213200</v>
      </c>
    </row>
    <row r="632" customFormat="false" ht="15" hidden="false" customHeight="false" outlineLevel="0" collapsed="false">
      <c r="A632" s="54" t="n">
        <v>46153</v>
      </c>
      <c r="B632" s="46" t="s">
        <v>102</v>
      </c>
      <c r="C632" s="46" t="s">
        <v>99</v>
      </c>
      <c r="D632" s="46" t="s">
        <v>108</v>
      </c>
      <c r="E632" s="47" t="n">
        <v>495500</v>
      </c>
    </row>
    <row r="633" customFormat="false" ht="15" hidden="false" customHeight="false" outlineLevel="0" collapsed="false">
      <c r="A633" s="54" t="n">
        <v>46153</v>
      </c>
      <c r="B633" s="46" t="s">
        <v>59</v>
      </c>
      <c r="C633" s="46" t="s">
        <v>103</v>
      </c>
      <c r="D633" s="46" t="s">
        <v>109</v>
      </c>
      <c r="E633" s="47" t="n">
        <v>51700</v>
      </c>
    </row>
    <row r="634" customFormat="false" ht="15" hidden="false" customHeight="false" outlineLevel="0" collapsed="false">
      <c r="A634" s="54" t="n">
        <v>46153</v>
      </c>
      <c r="B634" s="46" t="s">
        <v>46</v>
      </c>
      <c r="C634" s="46" t="s">
        <v>97</v>
      </c>
      <c r="D634" s="46" t="s">
        <v>110</v>
      </c>
      <c r="E634" s="47" t="n">
        <v>195900</v>
      </c>
    </row>
    <row r="635" customFormat="false" ht="15" hidden="false" customHeight="false" outlineLevel="0" collapsed="false">
      <c r="A635" s="54" t="n">
        <v>46153</v>
      </c>
      <c r="B635" s="46" t="s">
        <v>46</v>
      </c>
      <c r="C635" s="46" t="s">
        <v>97</v>
      </c>
      <c r="D635" s="46" t="s">
        <v>110</v>
      </c>
      <c r="E635" s="47" t="n">
        <v>121800</v>
      </c>
    </row>
    <row r="636" customFormat="false" ht="15" hidden="false" customHeight="false" outlineLevel="0" collapsed="false">
      <c r="A636" s="54" t="n">
        <v>46153</v>
      </c>
      <c r="B636" s="46" t="s">
        <v>46</v>
      </c>
      <c r="C636" s="46" t="s">
        <v>97</v>
      </c>
      <c r="D636" s="46" t="s">
        <v>110</v>
      </c>
      <c r="E636" s="47" t="n">
        <v>254000</v>
      </c>
    </row>
    <row r="637" customFormat="false" ht="15" hidden="false" customHeight="false" outlineLevel="0" collapsed="false">
      <c r="A637" s="54" t="n">
        <v>46153</v>
      </c>
      <c r="B637" s="46" t="s">
        <v>44</v>
      </c>
      <c r="C637" s="46" t="s">
        <v>97</v>
      </c>
      <c r="D637" s="46" t="s">
        <v>110</v>
      </c>
      <c r="E637" s="47" t="n">
        <v>735100</v>
      </c>
    </row>
    <row r="638" customFormat="false" ht="15" hidden="false" customHeight="false" outlineLevel="0" collapsed="false">
      <c r="A638" s="54" t="n">
        <v>46153</v>
      </c>
      <c r="B638" s="46" t="s">
        <v>44</v>
      </c>
      <c r="C638" s="46" t="s">
        <v>97</v>
      </c>
      <c r="D638" s="46" t="s">
        <v>110</v>
      </c>
      <c r="E638" s="47" t="n">
        <v>755100</v>
      </c>
    </row>
    <row r="639" customFormat="false" ht="15" hidden="false" customHeight="false" outlineLevel="0" collapsed="false">
      <c r="A639" s="54" t="n">
        <v>46153</v>
      </c>
      <c r="B639" s="46" t="s">
        <v>45</v>
      </c>
      <c r="C639" s="46" t="s">
        <v>97</v>
      </c>
      <c r="D639" s="46" t="s">
        <v>110</v>
      </c>
      <c r="E639" s="47" t="n">
        <v>180600</v>
      </c>
    </row>
    <row r="640" customFormat="false" ht="15" hidden="false" customHeight="false" outlineLevel="0" collapsed="false">
      <c r="A640" s="54" t="n">
        <v>46154</v>
      </c>
      <c r="B640" s="46" t="s">
        <v>56</v>
      </c>
      <c r="C640" s="46" t="s">
        <v>103</v>
      </c>
      <c r="D640" s="46" t="s">
        <v>109</v>
      </c>
      <c r="E640" s="47" t="n">
        <v>72800</v>
      </c>
    </row>
    <row r="641" customFormat="false" ht="15" hidden="false" customHeight="false" outlineLevel="0" collapsed="false">
      <c r="A641" s="54" t="n">
        <v>46154</v>
      </c>
      <c r="B641" s="46" t="s">
        <v>46</v>
      </c>
      <c r="C641" s="46" t="s">
        <v>97</v>
      </c>
      <c r="D641" s="46" t="s">
        <v>110</v>
      </c>
      <c r="E641" s="47" t="n">
        <v>314200</v>
      </c>
    </row>
    <row r="642" customFormat="false" ht="15" hidden="false" customHeight="false" outlineLevel="0" collapsed="false">
      <c r="A642" s="54" t="n">
        <v>46154</v>
      </c>
      <c r="B642" s="46" t="s">
        <v>46</v>
      </c>
      <c r="C642" s="46" t="s">
        <v>97</v>
      </c>
      <c r="D642" s="46" t="s">
        <v>110</v>
      </c>
      <c r="E642" s="47" t="n">
        <v>154700</v>
      </c>
    </row>
    <row r="643" customFormat="false" ht="15" hidden="false" customHeight="false" outlineLevel="0" collapsed="false">
      <c r="A643" s="54" t="n">
        <v>46154</v>
      </c>
      <c r="B643" s="46" t="s">
        <v>45</v>
      </c>
      <c r="C643" s="46" t="s">
        <v>97</v>
      </c>
      <c r="D643" s="46" t="s">
        <v>110</v>
      </c>
      <c r="E643" s="47" t="n">
        <v>413100</v>
      </c>
    </row>
    <row r="644" customFormat="false" ht="15" hidden="false" customHeight="false" outlineLevel="0" collapsed="false">
      <c r="A644" s="54" t="n">
        <v>46154</v>
      </c>
      <c r="B644" s="46" t="s">
        <v>45</v>
      </c>
      <c r="C644" s="46" t="s">
        <v>97</v>
      </c>
      <c r="D644" s="46" t="s">
        <v>110</v>
      </c>
      <c r="E644" s="47" t="n">
        <v>207100</v>
      </c>
    </row>
    <row r="645" customFormat="false" ht="15" hidden="false" customHeight="false" outlineLevel="0" collapsed="false">
      <c r="A645" s="54" t="n">
        <v>46154</v>
      </c>
      <c r="B645" s="46" t="s">
        <v>55</v>
      </c>
      <c r="C645" s="46" t="s">
        <v>103</v>
      </c>
      <c r="D645" s="46" t="s">
        <v>109</v>
      </c>
      <c r="E645" s="47" t="n">
        <v>80400</v>
      </c>
    </row>
    <row r="646" customFormat="false" ht="15" hidden="false" customHeight="false" outlineLevel="0" collapsed="false">
      <c r="A646" s="54" t="n">
        <v>46155</v>
      </c>
      <c r="B646" s="46" t="s">
        <v>101</v>
      </c>
      <c r="C646" s="46" t="s">
        <v>99</v>
      </c>
      <c r="D646" s="46" t="s">
        <v>108</v>
      </c>
      <c r="E646" s="47" t="n">
        <v>879400</v>
      </c>
    </row>
    <row r="647" customFormat="false" ht="15" hidden="false" customHeight="false" outlineLevel="0" collapsed="false">
      <c r="A647" s="54" t="n">
        <v>46155</v>
      </c>
      <c r="B647" s="46" t="s">
        <v>44</v>
      </c>
      <c r="C647" s="46" t="s">
        <v>97</v>
      </c>
      <c r="D647" s="46" t="s">
        <v>110</v>
      </c>
      <c r="E647" s="47" t="n">
        <v>595900</v>
      </c>
    </row>
    <row r="648" customFormat="false" ht="15" hidden="false" customHeight="false" outlineLevel="0" collapsed="false">
      <c r="A648" s="54" t="n">
        <v>46155</v>
      </c>
      <c r="B648" s="46" t="s">
        <v>45</v>
      </c>
      <c r="C648" s="46" t="s">
        <v>97</v>
      </c>
      <c r="D648" s="46" t="s">
        <v>110</v>
      </c>
      <c r="E648" s="47" t="n">
        <v>359100</v>
      </c>
    </row>
    <row r="649" customFormat="false" ht="15" hidden="false" customHeight="false" outlineLevel="0" collapsed="false">
      <c r="A649" s="54" t="n">
        <v>46155</v>
      </c>
      <c r="B649" s="46" t="s">
        <v>47</v>
      </c>
      <c r="C649" s="46" t="s">
        <v>97</v>
      </c>
      <c r="D649" s="46" t="s">
        <v>110</v>
      </c>
      <c r="E649" s="47" t="n">
        <v>202600</v>
      </c>
    </row>
    <row r="650" customFormat="false" ht="15" hidden="false" customHeight="false" outlineLevel="0" collapsed="false">
      <c r="A650" s="54" t="n">
        <v>46155</v>
      </c>
      <c r="B650" s="46" t="s">
        <v>47</v>
      </c>
      <c r="C650" s="46" t="s">
        <v>97</v>
      </c>
      <c r="D650" s="46" t="s">
        <v>110</v>
      </c>
      <c r="E650" s="47" t="n">
        <v>147100</v>
      </c>
    </row>
    <row r="651" customFormat="false" ht="15" hidden="false" customHeight="false" outlineLevel="0" collapsed="false">
      <c r="A651" s="54" t="n">
        <v>46156</v>
      </c>
      <c r="B651" s="46" t="s">
        <v>46</v>
      </c>
      <c r="C651" s="46" t="s">
        <v>97</v>
      </c>
      <c r="D651" s="46" t="s">
        <v>110</v>
      </c>
      <c r="E651" s="47" t="n">
        <v>206900</v>
      </c>
    </row>
    <row r="652" customFormat="false" ht="15" hidden="false" customHeight="false" outlineLevel="0" collapsed="false">
      <c r="A652" s="54" t="n">
        <v>46156</v>
      </c>
      <c r="B652" s="46" t="s">
        <v>46</v>
      </c>
      <c r="C652" s="46" t="s">
        <v>97</v>
      </c>
      <c r="D652" s="46" t="s">
        <v>110</v>
      </c>
      <c r="E652" s="47" t="n">
        <v>276600</v>
      </c>
    </row>
    <row r="653" customFormat="false" ht="15" hidden="false" customHeight="false" outlineLevel="0" collapsed="false">
      <c r="A653" s="54" t="n">
        <v>46156</v>
      </c>
      <c r="B653" s="46" t="s">
        <v>45</v>
      </c>
      <c r="C653" s="46" t="s">
        <v>97</v>
      </c>
      <c r="D653" s="46" t="s">
        <v>110</v>
      </c>
      <c r="E653" s="47" t="n">
        <v>461300</v>
      </c>
    </row>
    <row r="654" customFormat="false" ht="15" hidden="false" customHeight="false" outlineLevel="0" collapsed="false">
      <c r="A654" s="54" t="n">
        <v>46156</v>
      </c>
      <c r="B654" s="46" t="s">
        <v>45</v>
      </c>
      <c r="C654" s="46" t="s">
        <v>97</v>
      </c>
      <c r="D654" s="46" t="s">
        <v>110</v>
      </c>
      <c r="E654" s="47" t="n">
        <v>325800</v>
      </c>
    </row>
    <row r="655" customFormat="false" ht="15" hidden="false" customHeight="false" outlineLevel="0" collapsed="false">
      <c r="A655" s="54" t="n">
        <v>46156</v>
      </c>
      <c r="B655" s="46" t="s">
        <v>47</v>
      </c>
      <c r="C655" s="46" t="s">
        <v>97</v>
      </c>
      <c r="D655" s="46" t="s">
        <v>110</v>
      </c>
      <c r="E655" s="47" t="n">
        <v>289500</v>
      </c>
    </row>
    <row r="656" customFormat="false" ht="15" hidden="false" customHeight="false" outlineLevel="0" collapsed="false">
      <c r="A656" s="54" t="n">
        <v>46157</v>
      </c>
      <c r="B656" s="46" t="s">
        <v>100</v>
      </c>
      <c r="C656" s="46" t="s">
        <v>99</v>
      </c>
      <c r="D656" s="46" t="s">
        <v>108</v>
      </c>
      <c r="E656" s="47" t="n">
        <v>1033400</v>
      </c>
    </row>
    <row r="657" customFormat="false" ht="15" hidden="false" customHeight="false" outlineLevel="0" collapsed="false">
      <c r="A657" s="54" t="n">
        <v>46157</v>
      </c>
      <c r="B657" s="46" t="s">
        <v>46</v>
      </c>
      <c r="C657" s="46" t="s">
        <v>97</v>
      </c>
      <c r="D657" s="46" t="s">
        <v>110</v>
      </c>
      <c r="E657" s="47" t="n">
        <v>267600</v>
      </c>
    </row>
    <row r="658" customFormat="false" ht="15" hidden="false" customHeight="false" outlineLevel="0" collapsed="false">
      <c r="A658" s="54" t="n">
        <v>46157</v>
      </c>
      <c r="B658" s="46" t="s">
        <v>44</v>
      </c>
      <c r="C658" s="46" t="s">
        <v>97</v>
      </c>
      <c r="D658" s="46" t="s">
        <v>110</v>
      </c>
      <c r="E658" s="47" t="n">
        <v>426500</v>
      </c>
    </row>
    <row r="659" customFormat="false" ht="15" hidden="false" customHeight="false" outlineLevel="0" collapsed="false">
      <c r="A659" s="54" t="n">
        <v>46157</v>
      </c>
      <c r="B659" s="46" t="s">
        <v>45</v>
      </c>
      <c r="C659" s="46" t="s">
        <v>97</v>
      </c>
      <c r="D659" s="46" t="s">
        <v>110</v>
      </c>
      <c r="E659" s="47" t="n">
        <v>420800</v>
      </c>
    </row>
    <row r="660" customFormat="false" ht="15" hidden="false" customHeight="false" outlineLevel="0" collapsed="false">
      <c r="A660" s="54" t="n">
        <v>46157</v>
      </c>
      <c r="B660" s="46" t="s">
        <v>45</v>
      </c>
      <c r="C660" s="46" t="s">
        <v>97</v>
      </c>
      <c r="D660" s="46" t="s">
        <v>110</v>
      </c>
      <c r="E660" s="47" t="n">
        <v>414100</v>
      </c>
    </row>
    <row r="661" customFormat="false" ht="15" hidden="false" customHeight="false" outlineLevel="0" collapsed="false">
      <c r="A661" s="54" t="n">
        <v>46157</v>
      </c>
      <c r="B661" s="46" t="s">
        <v>45</v>
      </c>
      <c r="C661" s="46" t="s">
        <v>97</v>
      </c>
      <c r="D661" s="46" t="s">
        <v>110</v>
      </c>
      <c r="E661" s="47" t="n">
        <v>368000</v>
      </c>
    </row>
    <row r="662" customFormat="false" ht="15" hidden="false" customHeight="false" outlineLevel="0" collapsed="false">
      <c r="A662" s="54" t="n">
        <v>46157</v>
      </c>
      <c r="B662" s="46" t="s">
        <v>47</v>
      </c>
      <c r="C662" s="46" t="s">
        <v>97</v>
      </c>
      <c r="D662" s="46" t="s">
        <v>110</v>
      </c>
      <c r="E662" s="47" t="n">
        <v>152000</v>
      </c>
    </row>
    <row r="663" customFormat="false" ht="15" hidden="false" customHeight="false" outlineLevel="0" collapsed="false">
      <c r="A663" s="54" t="n">
        <v>46157</v>
      </c>
      <c r="B663" s="46" t="s">
        <v>47</v>
      </c>
      <c r="C663" s="46" t="s">
        <v>97</v>
      </c>
      <c r="D663" s="46" t="s">
        <v>110</v>
      </c>
      <c r="E663" s="47" t="n">
        <v>290800</v>
      </c>
    </row>
    <row r="664" customFormat="false" ht="15" hidden="false" customHeight="false" outlineLevel="0" collapsed="false">
      <c r="A664" s="54" t="n">
        <v>46157</v>
      </c>
      <c r="B664" s="46" t="s">
        <v>47</v>
      </c>
      <c r="C664" s="46" t="s">
        <v>97</v>
      </c>
      <c r="D664" s="46" t="s">
        <v>110</v>
      </c>
      <c r="E664" s="47" t="n">
        <v>289600</v>
      </c>
    </row>
    <row r="665" customFormat="false" ht="15" hidden="false" customHeight="false" outlineLevel="0" collapsed="false">
      <c r="A665" s="54" t="n">
        <v>46157</v>
      </c>
      <c r="B665" s="46" t="s">
        <v>47</v>
      </c>
      <c r="C665" s="46" t="s">
        <v>97</v>
      </c>
      <c r="D665" s="46" t="s">
        <v>110</v>
      </c>
      <c r="E665" s="47" t="n">
        <v>276900</v>
      </c>
    </row>
    <row r="666" customFormat="false" ht="15" hidden="false" customHeight="false" outlineLevel="0" collapsed="false">
      <c r="A666" s="54" t="n">
        <v>46158</v>
      </c>
      <c r="B666" s="46" t="s">
        <v>101</v>
      </c>
      <c r="C666" s="46" t="s">
        <v>99</v>
      </c>
      <c r="D666" s="46" t="s">
        <v>108</v>
      </c>
      <c r="E666" s="47" t="n">
        <v>505900</v>
      </c>
    </row>
    <row r="667" customFormat="false" ht="15" hidden="false" customHeight="false" outlineLevel="0" collapsed="false">
      <c r="A667" s="54" t="n">
        <v>46158</v>
      </c>
      <c r="B667" s="46" t="s">
        <v>98</v>
      </c>
      <c r="C667" s="46" t="s">
        <v>99</v>
      </c>
      <c r="D667" s="46" t="s">
        <v>108</v>
      </c>
      <c r="E667" s="47" t="n">
        <v>1044500</v>
      </c>
    </row>
    <row r="668" customFormat="false" ht="15" hidden="false" customHeight="false" outlineLevel="0" collapsed="false">
      <c r="A668" s="54" t="n">
        <v>46158</v>
      </c>
      <c r="B668" s="46" t="s">
        <v>102</v>
      </c>
      <c r="C668" s="46" t="s">
        <v>99</v>
      </c>
      <c r="D668" s="46" t="s">
        <v>108</v>
      </c>
      <c r="E668" s="47" t="n">
        <v>339500</v>
      </c>
    </row>
    <row r="669" customFormat="false" ht="15" hidden="false" customHeight="false" outlineLevel="0" collapsed="false">
      <c r="A669" s="54" t="n">
        <v>46158</v>
      </c>
      <c r="B669" s="46" t="s">
        <v>102</v>
      </c>
      <c r="C669" s="46" t="s">
        <v>99</v>
      </c>
      <c r="D669" s="46" t="s">
        <v>108</v>
      </c>
      <c r="E669" s="47" t="n">
        <v>176500</v>
      </c>
    </row>
    <row r="670" customFormat="false" ht="15" hidden="false" customHeight="false" outlineLevel="0" collapsed="false">
      <c r="A670" s="54" t="n">
        <v>46158</v>
      </c>
      <c r="B670" s="46" t="s">
        <v>45</v>
      </c>
      <c r="C670" s="46" t="s">
        <v>97</v>
      </c>
      <c r="D670" s="46" t="s">
        <v>110</v>
      </c>
      <c r="E670" s="47" t="n">
        <v>329100</v>
      </c>
    </row>
    <row r="671" customFormat="false" ht="15" hidden="false" customHeight="false" outlineLevel="0" collapsed="false">
      <c r="A671" s="54" t="n">
        <v>46159</v>
      </c>
      <c r="B671" s="46" t="s">
        <v>58</v>
      </c>
      <c r="C671" s="46" t="s">
        <v>103</v>
      </c>
      <c r="D671" s="46" t="s">
        <v>109</v>
      </c>
      <c r="E671" s="47" t="n">
        <v>11800</v>
      </c>
    </row>
    <row r="672" customFormat="false" ht="15" hidden="false" customHeight="false" outlineLevel="0" collapsed="false">
      <c r="A672" s="54" t="n">
        <v>46159</v>
      </c>
      <c r="B672" s="46" t="s">
        <v>46</v>
      </c>
      <c r="C672" s="46" t="s">
        <v>97</v>
      </c>
      <c r="D672" s="46" t="s">
        <v>110</v>
      </c>
      <c r="E672" s="47" t="n">
        <v>168900</v>
      </c>
    </row>
    <row r="673" customFormat="false" ht="15" hidden="false" customHeight="false" outlineLevel="0" collapsed="false">
      <c r="A673" s="54" t="n">
        <v>46159</v>
      </c>
      <c r="B673" s="46" t="s">
        <v>45</v>
      </c>
      <c r="C673" s="46" t="s">
        <v>97</v>
      </c>
      <c r="D673" s="46" t="s">
        <v>110</v>
      </c>
      <c r="E673" s="47" t="n">
        <v>486800</v>
      </c>
    </row>
    <row r="674" customFormat="false" ht="15" hidden="false" customHeight="false" outlineLevel="0" collapsed="false">
      <c r="A674" s="54" t="n">
        <v>46160</v>
      </c>
      <c r="B674" s="46" t="s">
        <v>46</v>
      </c>
      <c r="C674" s="46" t="s">
        <v>97</v>
      </c>
      <c r="D674" s="46" t="s">
        <v>110</v>
      </c>
      <c r="E674" s="47" t="n">
        <v>311200</v>
      </c>
    </row>
    <row r="675" customFormat="false" ht="15" hidden="false" customHeight="false" outlineLevel="0" collapsed="false">
      <c r="A675" s="54" t="n">
        <v>46160</v>
      </c>
      <c r="B675" s="46" t="s">
        <v>44</v>
      </c>
      <c r="C675" s="46" t="s">
        <v>97</v>
      </c>
      <c r="D675" s="46" t="s">
        <v>110</v>
      </c>
      <c r="E675" s="47" t="n">
        <v>268100</v>
      </c>
    </row>
    <row r="676" customFormat="false" ht="15" hidden="false" customHeight="false" outlineLevel="0" collapsed="false">
      <c r="A676" s="54" t="n">
        <v>46160</v>
      </c>
      <c r="B676" s="46" t="s">
        <v>44</v>
      </c>
      <c r="C676" s="46" t="s">
        <v>97</v>
      </c>
      <c r="D676" s="46" t="s">
        <v>110</v>
      </c>
      <c r="E676" s="47" t="n">
        <v>447900</v>
      </c>
    </row>
    <row r="677" customFormat="false" ht="15" hidden="false" customHeight="false" outlineLevel="0" collapsed="false">
      <c r="A677" s="54" t="n">
        <v>46160</v>
      </c>
      <c r="B677" s="46" t="s">
        <v>44</v>
      </c>
      <c r="C677" s="46" t="s">
        <v>97</v>
      </c>
      <c r="D677" s="46" t="s">
        <v>110</v>
      </c>
      <c r="E677" s="47" t="n">
        <v>687100</v>
      </c>
    </row>
    <row r="678" customFormat="false" ht="15" hidden="false" customHeight="false" outlineLevel="0" collapsed="false">
      <c r="A678" s="54" t="n">
        <v>46160</v>
      </c>
      <c r="B678" s="46" t="s">
        <v>47</v>
      </c>
      <c r="C678" s="46" t="s">
        <v>97</v>
      </c>
      <c r="D678" s="46" t="s">
        <v>110</v>
      </c>
      <c r="E678" s="47" t="n">
        <v>286700</v>
      </c>
    </row>
    <row r="679" customFormat="false" ht="15" hidden="false" customHeight="false" outlineLevel="0" collapsed="false">
      <c r="A679" s="54" t="n">
        <v>46160</v>
      </c>
      <c r="B679" s="46" t="s">
        <v>55</v>
      </c>
      <c r="C679" s="46" t="s">
        <v>103</v>
      </c>
      <c r="D679" s="46" t="s">
        <v>109</v>
      </c>
      <c r="E679" s="47" t="n">
        <v>50300</v>
      </c>
    </row>
    <row r="680" customFormat="false" ht="15" hidden="false" customHeight="false" outlineLevel="0" collapsed="false">
      <c r="A680" s="54" t="n">
        <v>46160</v>
      </c>
      <c r="B680" s="46" t="s">
        <v>55</v>
      </c>
      <c r="C680" s="46" t="s">
        <v>103</v>
      </c>
      <c r="D680" s="46" t="s">
        <v>109</v>
      </c>
      <c r="E680" s="47" t="n">
        <v>40100</v>
      </c>
    </row>
    <row r="681" customFormat="false" ht="15" hidden="false" customHeight="false" outlineLevel="0" collapsed="false">
      <c r="A681" s="54" t="n">
        <v>46161</v>
      </c>
      <c r="B681" s="46" t="s">
        <v>46</v>
      </c>
      <c r="C681" s="46" t="s">
        <v>97</v>
      </c>
      <c r="D681" s="46" t="s">
        <v>110</v>
      </c>
      <c r="E681" s="47" t="n">
        <v>139700</v>
      </c>
    </row>
    <row r="682" customFormat="false" ht="15" hidden="false" customHeight="false" outlineLevel="0" collapsed="false">
      <c r="A682" s="54" t="n">
        <v>46161</v>
      </c>
      <c r="B682" s="46" t="s">
        <v>47</v>
      </c>
      <c r="C682" s="46" t="s">
        <v>97</v>
      </c>
      <c r="D682" s="46" t="s">
        <v>110</v>
      </c>
      <c r="E682" s="47" t="n">
        <v>181100</v>
      </c>
    </row>
    <row r="683" customFormat="false" ht="15" hidden="false" customHeight="false" outlineLevel="0" collapsed="false">
      <c r="A683" s="54" t="n">
        <v>46161</v>
      </c>
      <c r="B683" s="46" t="s">
        <v>55</v>
      </c>
      <c r="C683" s="46" t="s">
        <v>103</v>
      </c>
      <c r="D683" s="46" t="s">
        <v>109</v>
      </c>
      <c r="E683" s="47" t="n">
        <v>45500</v>
      </c>
    </row>
    <row r="684" customFormat="false" ht="15" hidden="false" customHeight="false" outlineLevel="0" collapsed="false">
      <c r="A684" s="54" t="n">
        <v>46162</v>
      </c>
      <c r="B684" s="46" t="s">
        <v>98</v>
      </c>
      <c r="C684" s="46" t="s">
        <v>99</v>
      </c>
      <c r="D684" s="46" t="s">
        <v>108</v>
      </c>
      <c r="E684" s="47" t="n">
        <v>1353800</v>
      </c>
    </row>
    <row r="685" customFormat="false" ht="15" hidden="false" customHeight="false" outlineLevel="0" collapsed="false">
      <c r="A685" s="54" t="n">
        <v>46162</v>
      </c>
      <c r="B685" s="46" t="s">
        <v>100</v>
      </c>
      <c r="C685" s="46" t="s">
        <v>99</v>
      </c>
      <c r="D685" s="46" t="s">
        <v>108</v>
      </c>
      <c r="E685" s="47" t="n">
        <v>874500</v>
      </c>
    </row>
    <row r="686" customFormat="false" ht="15" hidden="false" customHeight="false" outlineLevel="0" collapsed="false">
      <c r="A686" s="54" t="n">
        <v>46162</v>
      </c>
      <c r="B686" s="46" t="s">
        <v>100</v>
      </c>
      <c r="C686" s="46" t="s">
        <v>99</v>
      </c>
      <c r="D686" s="46" t="s">
        <v>108</v>
      </c>
      <c r="E686" s="47" t="n">
        <v>985000</v>
      </c>
    </row>
    <row r="687" customFormat="false" ht="15" hidden="false" customHeight="false" outlineLevel="0" collapsed="false">
      <c r="A687" s="54" t="n">
        <v>46162</v>
      </c>
      <c r="B687" s="46" t="s">
        <v>45</v>
      </c>
      <c r="C687" s="46" t="s">
        <v>97</v>
      </c>
      <c r="D687" s="46" t="s">
        <v>110</v>
      </c>
      <c r="E687" s="47" t="n">
        <v>147400</v>
      </c>
    </row>
    <row r="688" customFormat="false" ht="15" hidden="false" customHeight="false" outlineLevel="0" collapsed="false">
      <c r="A688" s="54" t="n">
        <v>46163</v>
      </c>
      <c r="B688" s="46" t="s">
        <v>100</v>
      </c>
      <c r="C688" s="46" t="s">
        <v>99</v>
      </c>
      <c r="D688" s="46" t="s">
        <v>108</v>
      </c>
      <c r="E688" s="47" t="n">
        <v>1198200</v>
      </c>
    </row>
    <row r="689" customFormat="false" ht="15" hidden="false" customHeight="false" outlineLevel="0" collapsed="false">
      <c r="A689" s="54" t="n">
        <v>46163</v>
      </c>
      <c r="B689" s="46" t="s">
        <v>102</v>
      </c>
      <c r="C689" s="46" t="s">
        <v>99</v>
      </c>
      <c r="D689" s="46" t="s">
        <v>108</v>
      </c>
      <c r="E689" s="47" t="n">
        <v>436500</v>
      </c>
    </row>
    <row r="690" customFormat="false" ht="15" hidden="false" customHeight="false" outlineLevel="0" collapsed="false">
      <c r="A690" s="54" t="n">
        <v>46163</v>
      </c>
      <c r="B690" s="46" t="s">
        <v>102</v>
      </c>
      <c r="C690" s="46" t="s">
        <v>99</v>
      </c>
      <c r="D690" s="46" t="s">
        <v>108</v>
      </c>
      <c r="E690" s="47" t="n">
        <v>445100</v>
      </c>
    </row>
    <row r="691" customFormat="false" ht="15" hidden="false" customHeight="false" outlineLevel="0" collapsed="false">
      <c r="A691" s="54" t="n">
        <v>46163</v>
      </c>
      <c r="B691" s="46" t="s">
        <v>46</v>
      </c>
      <c r="C691" s="46" t="s">
        <v>97</v>
      </c>
      <c r="D691" s="46" t="s">
        <v>110</v>
      </c>
      <c r="E691" s="47" t="n">
        <v>202800</v>
      </c>
    </row>
    <row r="692" customFormat="false" ht="15" hidden="false" customHeight="false" outlineLevel="0" collapsed="false">
      <c r="A692" s="54" t="n">
        <v>46163</v>
      </c>
      <c r="B692" s="46" t="s">
        <v>44</v>
      </c>
      <c r="C692" s="46" t="s">
        <v>97</v>
      </c>
      <c r="D692" s="46" t="s">
        <v>110</v>
      </c>
      <c r="E692" s="47" t="n">
        <v>731900</v>
      </c>
    </row>
    <row r="693" customFormat="false" ht="15" hidden="false" customHeight="false" outlineLevel="0" collapsed="false">
      <c r="A693" s="54" t="n">
        <v>46163</v>
      </c>
      <c r="B693" s="46" t="s">
        <v>45</v>
      </c>
      <c r="C693" s="46" t="s">
        <v>97</v>
      </c>
      <c r="D693" s="46" t="s">
        <v>110</v>
      </c>
      <c r="E693" s="47" t="n">
        <v>284800</v>
      </c>
    </row>
    <row r="694" customFormat="false" ht="15" hidden="false" customHeight="false" outlineLevel="0" collapsed="false">
      <c r="A694" s="54" t="n">
        <v>46163</v>
      </c>
      <c r="B694" s="46" t="s">
        <v>45</v>
      </c>
      <c r="C694" s="46" t="s">
        <v>97</v>
      </c>
      <c r="D694" s="46" t="s">
        <v>110</v>
      </c>
      <c r="E694" s="47" t="n">
        <v>216000</v>
      </c>
    </row>
    <row r="695" customFormat="false" ht="15" hidden="false" customHeight="false" outlineLevel="0" collapsed="false">
      <c r="A695" s="54" t="n">
        <v>46164</v>
      </c>
      <c r="B695" s="46" t="s">
        <v>101</v>
      </c>
      <c r="C695" s="46" t="s">
        <v>99</v>
      </c>
      <c r="D695" s="46" t="s">
        <v>108</v>
      </c>
      <c r="E695" s="47" t="n">
        <v>383500</v>
      </c>
    </row>
    <row r="696" customFormat="false" ht="15" hidden="false" customHeight="false" outlineLevel="0" collapsed="false">
      <c r="A696" s="54" t="n">
        <v>46164</v>
      </c>
      <c r="B696" s="46" t="s">
        <v>52</v>
      </c>
      <c r="C696" s="46" t="s">
        <v>103</v>
      </c>
      <c r="D696" s="46" t="s">
        <v>109</v>
      </c>
      <c r="E696" s="47" t="n">
        <v>1623500</v>
      </c>
    </row>
    <row r="697" customFormat="false" ht="15" hidden="false" customHeight="false" outlineLevel="0" collapsed="false">
      <c r="A697" s="54" t="n">
        <v>46164</v>
      </c>
      <c r="B697" s="46" t="s">
        <v>45</v>
      </c>
      <c r="C697" s="46" t="s">
        <v>97</v>
      </c>
      <c r="D697" s="46" t="s">
        <v>110</v>
      </c>
      <c r="E697" s="47" t="n">
        <v>342300</v>
      </c>
    </row>
    <row r="698" customFormat="false" ht="15" hidden="false" customHeight="false" outlineLevel="0" collapsed="false">
      <c r="A698" s="54" t="n">
        <v>46164</v>
      </c>
      <c r="B698" s="46" t="s">
        <v>54</v>
      </c>
      <c r="C698" s="46" t="s">
        <v>103</v>
      </c>
      <c r="D698" s="46" t="s">
        <v>109</v>
      </c>
      <c r="E698" s="47" t="n">
        <v>59100</v>
      </c>
    </row>
    <row r="699" customFormat="false" ht="15" hidden="false" customHeight="false" outlineLevel="0" collapsed="false">
      <c r="A699" s="54" t="n">
        <v>46165</v>
      </c>
      <c r="B699" s="46" t="s">
        <v>58</v>
      </c>
      <c r="C699" s="46" t="s">
        <v>103</v>
      </c>
      <c r="D699" s="46" t="s">
        <v>109</v>
      </c>
      <c r="E699" s="47" t="n">
        <v>11700</v>
      </c>
    </row>
    <row r="700" customFormat="false" ht="15" hidden="false" customHeight="false" outlineLevel="0" collapsed="false">
      <c r="A700" s="54" t="n">
        <v>46165</v>
      </c>
      <c r="B700" s="46" t="s">
        <v>101</v>
      </c>
      <c r="C700" s="46" t="s">
        <v>99</v>
      </c>
      <c r="D700" s="46" t="s">
        <v>108</v>
      </c>
      <c r="E700" s="47" t="n">
        <v>887200</v>
      </c>
    </row>
    <row r="701" customFormat="false" ht="15" hidden="false" customHeight="false" outlineLevel="0" collapsed="false">
      <c r="A701" s="54" t="n">
        <v>46165</v>
      </c>
      <c r="B701" s="46" t="s">
        <v>98</v>
      </c>
      <c r="C701" s="46" t="s">
        <v>99</v>
      </c>
      <c r="D701" s="46" t="s">
        <v>108</v>
      </c>
      <c r="E701" s="47" t="n">
        <v>682900</v>
      </c>
    </row>
    <row r="702" customFormat="false" ht="15" hidden="false" customHeight="false" outlineLevel="0" collapsed="false">
      <c r="A702" s="54" t="n">
        <v>46165</v>
      </c>
      <c r="B702" s="46" t="s">
        <v>100</v>
      </c>
      <c r="C702" s="46" t="s">
        <v>99</v>
      </c>
      <c r="D702" s="46" t="s">
        <v>108</v>
      </c>
      <c r="E702" s="47" t="n">
        <v>696200</v>
      </c>
    </row>
    <row r="703" customFormat="false" ht="15" hidden="false" customHeight="false" outlineLevel="0" collapsed="false">
      <c r="A703" s="54" t="n">
        <v>46165</v>
      </c>
      <c r="B703" s="46" t="s">
        <v>46</v>
      </c>
      <c r="C703" s="46" t="s">
        <v>97</v>
      </c>
      <c r="D703" s="46" t="s">
        <v>110</v>
      </c>
      <c r="E703" s="47" t="n">
        <v>81600</v>
      </c>
    </row>
    <row r="704" customFormat="false" ht="15" hidden="false" customHeight="false" outlineLevel="0" collapsed="false">
      <c r="A704" s="54" t="n">
        <v>46165</v>
      </c>
      <c r="B704" s="46" t="s">
        <v>46</v>
      </c>
      <c r="C704" s="46" t="s">
        <v>97</v>
      </c>
      <c r="D704" s="46" t="s">
        <v>110</v>
      </c>
      <c r="E704" s="47" t="n">
        <v>130300</v>
      </c>
    </row>
    <row r="705" customFormat="false" ht="15" hidden="false" customHeight="false" outlineLevel="0" collapsed="false">
      <c r="A705" s="54" t="n">
        <v>46165</v>
      </c>
      <c r="B705" s="46" t="s">
        <v>44</v>
      </c>
      <c r="C705" s="46" t="s">
        <v>97</v>
      </c>
      <c r="D705" s="46" t="s">
        <v>110</v>
      </c>
      <c r="E705" s="47" t="n">
        <v>694700</v>
      </c>
    </row>
    <row r="706" customFormat="false" ht="15" hidden="false" customHeight="false" outlineLevel="0" collapsed="false">
      <c r="A706" s="54" t="n">
        <v>46165</v>
      </c>
      <c r="B706" s="46" t="s">
        <v>55</v>
      </c>
      <c r="C706" s="46" t="s">
        <v>103</v>
      </c>
      <c r="D706" s="46" t="s">
        <v>109</v>
      </c>
      <c r="E706" s="47" t="n">
        <v>83400</v>
      </c>
    </row>
    <row r="707" customFormat="false" ht="15" hidden="false" customHeight="false" outlineLevel="0" collapsed="false">
      <c r="A707" s="54" t="n">
        <v>46165</v>
      </c>
      <c r="B707" s="46" t="s">
        <v>55</v>
      </c>
      <c r="C707" s="46" t="s">
        <v>103</v>
      </c>
      <c r="D707" s="46" t="s">
        <v>109</v>
      </c>
      <c r="E707" s="47" t="n">
        <v>83300</v>
      </c>
    </row>
    <row r="708" customFormat="false" ht="15" hidden="false" customHeight="false" outlineLevel="0" collapsed="false">
      <c r="A708" s="54" t="n">
        <v>46165</v>
      </c>
      <c r="B708" s="46" t="s">
        <v>55</v>
      </c>
      <c r="C708" s="46" t="s">
        <v>103</v>
      </c>
      <c r="D708" s="46" t="s">
        <v>109</v>
      </c>
      <c r="E708" s="47" t="n">
        <v>26100</v>
      </c>
    </row>
    <row r="709" customFormat="false" ht="15" hidden="false" customHeight="false" outlineLevel="0" collapsed="false">
      <c r="A709" s="54" t="n">
        <v>46166</v>
      </c>
      <c r="B709" s="46" t="s">
        <v>58</v>
      </c>
      <c r="C709" s="46" t="s">
        <v>103</v>
      </c>
      <c r="D709" s="46" t="s">
        <v>109</v>
      </c>
      <c r="E709" s="47" t="n">
        <v>5000</v>
      </c>
    </row>
    <row r="710" customFormat="false" ht="15" hidden="false" customHeight="false" outlineLevel="0" collapsed="false">
      <c r="A710" s="54" t="n">
        <v>46166</v>
      </c>
      <c r="B710" s="46" t="s">
        <v>56</v>
      </c>
      <c r="C710" s="46" t="s">
        <v>103</v>
      </c>
      <c r="D710" s="46" t="s">
        <v>109</v>
      </c>
      <c r="E710" s="47" t="n">
        <v>34400</v>
      </c>
    </row>
    <row r="711" customFormat="false" ht="15" hidden="false" customHeight="false" outlineLevel="0" collapsed="false">
      <c r="A711" s="54" t="n">
        <v>46166</v>
      </c>
      <c r="B711" s="46" t="s">
        <v>44</v>
      </c>
      <c r="C711" s="46" t="s">
        <v>97</v>
      </c>
      <c r="D711" s="46" t="s">
        <v>110</v>
      </c>
      <c r="E711" s="47" t="n">
        <v>244600</v>
      </c>
    </row>
    <row r="712" customFormat="false" ht="15" hidden="false" customHeight="false" outlineLevel="0" collapsed="false">
      <c r="A712" s="54" t="n">
        <v>46166</v>
      </c>
      <c r="B712" s="46" t="s">
        <v>45</v>
      </c>
      <c r="C712" s="46" t="s">
        <v>97</v>
      </c>
      <c r="D712" s="46" t="s">
        <v>110</v>
      </c>
      <c r="E712" s="47" t="n">
        <v>495400</v>
      </c>
    </row>
    <row r="713" customFormat="false" ht="15" hidden="false" customHeight="false" outlineLevel="0" collapsed="false">
      <c r="A713" s="54" t="n">
        <v>46166</v>
      </c>
      <c r="B713" s="46" t="s">
        <v>45</v>
      </c>
      <c r="C713" s="46" t="s">
        <v>97</v>
      </c>
      <c r="D713" s="46" t="s">
        <v>110</v>
      </c>
      <c r="E713" s="47" t="n">
        <v>419700</v>
      </c>
    </row>
    <row r="714" customFormat="false" ht="15" hidden="false" customHeight="false" outlineLevel="0" collapsed="false">
      <c r="A714" s="54" t="n">
        <v>46167</v>
      </c>
      <c r="B714" s="46" t="s">
        <v>58</v>
      </c>
      <c r="C714" s="46" t="s">
        <v>103</v>
      </c>
      <c r="D714" s="46" t="s">
        <v>109</v>
      </c>
      <c r="E714" s="47" t="n">
        <v>7300</v>
      </c>
    </row>
    <row r="715" customFormat="false" ht="15" hidden="false" customHeight="false" outlineLevel="0" collapsed="false">
      <c r="A715" s="54" t="n">
        <v>46167</v>
      </c>
      <c r="B715" s="46" t="s">
        <v>100</v>
      </c>
      <c r="C715" s="46" t="s">
        <v>99</v>
      </c>
      <c r="D715" s="46" t="s">
        <v>108</v>
      </c>
      <c r="E715" s="47" t="n">
        <v>607800</v>
      </c>
    </row>
    <row r="716" customFormat="false" ht="15" hidden="false" customHeight="false" outlineLevel="0" collapsed="false">
      <c r="A716" s="54" t="n">
        <v>46167</v>
      </c>
      <c r="B716" s="46" t="s">
        <v>46</v>
      </c>
      <c r="C716" s="46" t="s">
        <v>97</v>
      </c>
      <c r="D716" s="46" t="s">
        <v>110</v>
      </c>
      <c r="E716" s="47" t="n">
        <v>216500</v>
      </c>
    </row>
    <row r="717" customFormat="false" ht="15" hidden="false" customHeight="false" outlineLevel="0" collapsed="false">
      <c r="A717" s="54" t="n">
        <v>46167</v>
      </c>
      <c r="B717" s="46" t="s">
        <v>46</v>
      </c>
      <c r="C717" s="46" t="s">
        <v>97</v>
      </c>
      <c r="D717" s="46" t="s">
        <v>110</v>
      </c>
      <c r="E717" s="47" t="n">
        <v>311900</v>
      </c>
    </row>
    <row r="718" customFormat="false" ht="15" hidden="false" customHeight="false" outlineLevel="0" collapsed="false">
      <c r="A718" s="54" t="n">
        <v>46167</v>
      </c>
      <c r="B718" s="46" t="s">
        <v>45</v>
      </c>
      <c r="C718" s="46" t="s">
        <v>97</v>
      </c>
      <c r="D718" s="46" t="s">
        <v>110</v>
      </c>
      <c r="E718" s="47" t="n">
        <v>545100</v>
      </c>
    </row>
    <row r="719" customFormat="false" ht="15" hidden="false" customHeight="false" outlineLevel="0" collapsed="false">
      <c r="A719" s="54" t="n">
        <v>46167</v>
      </c>
      <c r="B719" s="46" t="s">
        <v>55</v>
      </c>
      <c r="C719" s="46" t="s">
        <v>103</v>
      </c>
      <c r="D719" s="46" t="s">
        <v>109</v>
      </c>
      <c r="E719" s="47" t="n">
        <v>55700</v>
      </c>
    </row>
    <row r="720" customFormat="false" ht="15" hidden="false" customHeight="false" outlineLevel="0" collapsed="false">
      <c r="A720" s="54" t="n">
        <v>46168</v>
      </c>
      <c r="B720" s="46" t="s">
        <v>98</v>
      </c>
      <c r="C720" s="46" t="s">
        <v>99</v>
      </c>
      <c r="D720" s="46" t="s">
        <v>108</v>
      </c>
      <c r="E720" s="47" t="n">
        <v>634900</v>
      </c>
    </row>
    <row r="721" customFormat="false" ht="15" hidden="false" customHeight="false" outlineLevel="0" collapsed="false">
      <c r="A721" s="54" t="n">
        <v>46168</v>
      </c>
      <c r="B721" s="46" t="s">
        <v>46</v>
      </c>
      <c r="C721" s="46" t="s">
        <v>97</v>
      </c>
      <c r="D721" s="46" t="s">
        <v>110</v>
      </c>
      <c r="E721" s="47" t="n">
        <v>146800</v>
      </c>
    </row>
    <row r="722" customFormat="false" ht="15" hidden="false" customHeight="false" outlineLevel="0" collapsed="false">
      <c r="A722" s="54" t="n">
        <v>46168</v>
      </c>
      <c r="B722" s="46" t="s">
        <v>46</v>
      </c>
      <c r="C722" s="46" t="s">
        <v>97</v>
      </c>
      <c r="D722" s="46" t="s">
        <v>110</v>
      </c>
      <c r="E722" s="47" t="n">
        <v>234200</v>
      </c>
    </row>
    <row r="723" customFormat="false" ht="15" hidden="false" customHeight="false" outlineLevel="0" collapsed="false">
      <c r="A723" s="54" t="n">
        <v>46168</v>
      </c>
      <c r="B723" s="46" t="s">
        <v>44</v>
      </c>
      <c r="C723" s="46" t="s">
        <v>97</v>
      </c>
      <c r="D723" s="46" t="s">
        <v>110</v>
      </c>
      <c r="E723" s="47" t="n">
        <v>463500</v>
      </c>
    </row>
    <row r="724" customFormat="false" ht="15" hidden="false" customHeight="false" outlineLevel="0" collapsed="false">
      <c r="A724" s="54" t="n">
        <v>46168</v>
      </c>
      <c r="B724" s="46" t="s">
        <v>55</v>
      </c>
      <c r="C724" s="46" t="s">
        <v>103</v>
      </c>
      <c r="D724" s="46" t="s">
        <v>109</v>
      </c>
      <c r="E724" s="47" t="n">
        <v>86200</v>
      </c>
    </row>
    <row r="725" customFormat="false" ht="15" hidden="false" customHeight="false" outlineLevel="0" collapsed="false">
      <c r="A725" s="54" t="n">
        <v>46169</v>
      </c>
      <c r="B725" s="46" t="s">
        <v>101</v>
      </c>
      <c r="C725" s="46" t="s">
        <v>99</v>
      </c>
      <c r="D725" s="46" t="s">
        <v>108</v>
      </c>
      <c r="E725" s="47" t="n">
        <v>377600</v>
      </c>
    </row>
    <row r="726" customFormat="false" ht="15" hidden="false" customHeight="false" outlineLevel="0" collapsed="false">
      <c r="A726" s="54" t="n">
        <v>46169</v>
      </c>
      <c r="B726" s="46" t="s">
        <v>101</v>
      </c>
      <c r="C726" s="46" t="s">
        <v>99</v>
      </c>
      <c r="D726" s="46" t="s">
        <v>108</v>
      </c>
      <c r="E726" s="47" t="n">
        <v>513900</v>
      </c>
    </row>
    <row r="727" customFormat="false" ht="15" hidden="false" customHeight="false" outlineLevel="0" collapsed="false">
      <c r="A727" s="54" t="n">
        <v>46169</v>
      </c>
      <c r="B727" s="46" t="s">
        <v>98</v>
      </c>
      <c r="C727" s="46" t="s">
        <v>99</v>
      </c>
      <c r="D727" s="46" t="s">
        <v>108</v>
      </c>
      <c r="E727" s="47" t="n">
        <v>778100</v>
      </c>
    </row>
    <row r="728" customFormat="false" ht="15" hidden="false" customHeight="false" outlineLevel="0" collapsed="false">
      <c r="A728" s="54" t="n">
        <v>46169</v>
      </c>
      <c r="B728" s="46" t="s">
        <v>98</v>
      </c>
      <c r="C728" s="46" t="s">
        <v>99</v>
      </c>
      <c r="D728" s="46" t="s">
        <v>108</v>
      </c>
      <c r="E728" s="47" t="n">
        <v>398800</v>
      </c>
    </row>
    <row r="729" customFormat="false" ht="15" hidden="false" customHeight="false" outlineLevel="0" collapsed="false">
      <c r="A729" s="54" t="n">
        <v>46169</v>
      </c>
      <c r="B729" s="46" t="s">
        <v>102</v>
      </c>
      <c r="C729" s="46" t="s">
        <v>99</v>
      </c>
      <c r="D729" s="46" t="s">
        <v>108</v>
      </c>
      <c r="E729" s="47" t="n">
        <v>379800</v>
      </c>
    </row>
    <row r="730" customFormat="false" ht="15" hidden="false" customHeight="false" outlineLevel="0" collapsed="false">
      <c r="A730" s="54" t="n">
        <v>46169</v>
      </c>
      <c r="B730" s="46" t="s">
        <v>44</v>
      </c>
      <c r="C730" s="46" t="s">
        <v>97</v>
      </c>
      <c r="D730" s="46" t="s">
        <v>110</v>
      </c>
      <c r="E730" s="47" t="n">
        <v>584000</v>
      </c>
    </row>
    <row r="731" customFormat="false" ht="15" hidden="false" customHeight="false" outlineLevel="0" collapsed="false">
      <c r="A731" s="54" t="n">
        <v>46174</v>
      </c>
      <c r="B731" s="46" t="s">
        <v>58</v>
      </c>
      <c r="C731" s="46" t="s">
        <v>103</v>
      </c>
      <c r="D731" s="46" t="s">
        <v>109</v>
      </c>
      <c r="E731" s="47" t="n">
        <v>10800</v>
      </c>
    </row>
    <row r="732" customFormat="false" ht="15" hidden="false" customHeight="false" outlineLevel="0" collapsed="false">
      <c r="A732" s="54" t="n">
        <v>46174</v>
      </c>
      <c r="B732" s="46" t="s">
        <v>101</v>
      </c>
      <c r="C732" s="46" t="s">
        <v>99</v>
      </c>
      <c r="D732" s="46" t="s">
        <v>108</v>
      </c>
      <c r="E732" s="47" t="n">
        <v>757200</v>
      </c>
    </row>
    <row r="733" customFormat="false" ht="15" hidden="false" customHeight="false" outlineLevel="0" collapsed="false">
      <c r="A733" s="54" t="n">
        <v>46174</v>
      </c>
      <c r="B733" s="46" t="s">
        <v>101</v>
      </c>
      <c r="C733" s="46" t="s">
        <v>99</v>
      </c>
      <c r="D733" s="46" t="s">
        <v>108</v>
      </c>
      <c r="E733" s="47" t="n">
        <v>349400</v>
      </c>
    </row>
    <row r="734" customFormat="false" ht="15" hidden="false" customHeight="false" outlineLevel="0" collapsed="false">
      <c r="A734" s="54" t="n">
        <v>46174</v>
      </c>
      <c r="B734" s="46" t="s">
        <v>46</v>
      </c>
      <c r="C734" s="46" t="s">
        <v>97</v>
      </c>
      <c r="D734" s="46" t="s">
        <v>110</v>
      </c>
      <c r="E734" s="47" t="n">
        <v>106100</v>
      </c>
    </row>
    <row r="735" customFormat="false" ht="15" hidden="false" customHeight="false" outlineLevel="0" collapsed="false">
      <c r="A735" s="54" t="n">
        <v>46174</v>
      </c>
      <c r="B735" s="46" t="s">
        <v>46</v>
      </c>
      <c r="C735" s="46" t="s">
        <v>97</v>
      </c>
      <c r="D735" s="46" t="s">
        <v>110</v>
      </c>
      <c r="E735" s="47" t="n">
        <v>364900</v>
      </c>
    </row>
    <row r="736" customFormat="false" ht="15" hidden="false" customHeight="false" outlineLevel="0" collapsed="false">
      <c r="A736" s="54" t="n">
        <v>46174</v>
      </c>
      <c r="B736" s="46" t="s">
        <v>46</v>
      </c>
      <c r="C736" s="46" t="s">
        <v>97</v>
      </c>
      <c r="D736" s="46" t="s">
        <v>110</v>
      </c>
      <c r="E736" s="47" t="n">
        <v>263200</v>
      </c>
    </row>
    <row r="737" customFormat="false" ht="15" hidden="false" customHeight="false" outlineLevel="0" collapsed="false">
      <c r="A737" s="54" t="n">
        <v>46174</v>
      </c>
      <c r="B737" s="46" t="s">
        <v>46</v>
      </c>
      <c r="C737" s="46" t="s">
        <v>97</v>
      </c>
      <c r="D737" s="46" t="s">
        <v>110</v>
      </c>
      <c r="E737" s="47" t="n">
        <v>116800</v>
      </c>
    </row>
    <row r="738" customFormat="false" ht="15" hidden="false" customHeight="false" outlineLevel="0" collapsed="false">
      <c r="A738" s="54" t="n">
        <v>46174</v>
      </c>
      <c r="B738" s="46" t="s">
        <v>46</v>
      </c>
      <c r="C738" s="46" t="s">
        <v>97</v>
      </c>
      <c r="D738" s="46" t="s">
        <v>110</v>
      </c>
      <c r="E738" s="47" t="n">
        <v>258200</v>
      </c>
    </row>
    <row r="739" customFormat="false" ht="15" hidden="false" customHeight="false" outlineLevel="0" collapsed="false">
      <c r="A739" s="54" t="n">
        <v>46174</v>
      </c>
      <c r="B739" s="46" t="s">
        <v>44</v>
      </c>
      <c r="C739" s="46" t="s">
        <v>97</v>
      </c>
      <c r="D739" s="46" t="s">
        <v>110</v>
      </c>
      <c r="E739" s="47" t="n">
        <v>758800</v>
      </c>
    </row>
    <row r="740" customFormat="false" ht="15" hidden="false" customHeight="false" outlineLevel="0" collapsed="false">
      <c r="A740" s="54" t="n">
        <v>46175</v>
      </c>
      <c r="B740" s="46" t="s">
        <v>44</v>
      </c>
      <c r="C740" s="46" t="s">
        <v>97</v>
      </c>
      <c r="D740" s="46" t="s">
        <v>110</v>
      </c>
      <c r="E740" s="47" t="n">
        <v>406300</v>
      </c>
    </row>
    <row r="741" customFormat="false" ht="15" hidden="false" customHeight="false" outlineLevel="0" collapsed="false">
      <c r="A741" s="54" t="n">
        <v>46176</v>
      </c>
      <c r="B741" s="46" t="s">
        <v>58</v>
      </c>
      <c r="C741" s="46" t="s">
        <v>103</v>
      </c>
      <c r="D741" s="46" t="s">
        <v>109</v>
      </c>
      <c r="E741" s="47" t="n">
        <v>9600</v>
      </c>
    </row>
    <row r="742" customFormat="false" ht="15" hidden="false" customHeight="false" outlineLevel="0" collapsed="false">
      <c r="A742" s="54" t="n">
        <v>46176</v>
      </c>
      <c r="B742" s="46" t="s">
        <v>46</v>
      </c>
      <c r="C742" s="46" t="s">
        <v>97</v>
      </c>
      <c r="D742" s="46" t="s">
        <v>110</v>
      </c>
      <c r="E742" s="47" t="n">
        <v>132900</v>
      </c>
    </row>
    <row r="743" customFormat="false" ht="15" hidden="false" customHeight="false" outlineLevel="0" collapsed="false">
      <c r="A743" s="54" t="n">
        <v>46176</v>
      </c>
      <c r="B743" s="46" t="s">
        <v>46</v>
      </c>
      <c r="C743" s="46" t="s">
        <v>97</v>
      </c>
      <c r="D743" s="46" t="s">
        <v>110</v>
      </c>
      <c r="E743" s="47" t="n">
        <v>186100</v>
      </c>
    </row>
    <row r="744" customFormat="false" ht="15" hidden="false" customHeight="false" outlineLevel="0" collapsed="false">
      <c r="A744" s="54" t="n">
        <v>46176</v>
      </c>
      <c r="B744" s="46" t="s">
        <v>44</v>
      </c>
      <c r="C744" s="46" t="s">
        <v>97</v>
      </c>
      <c r="D744" s="46" t="s">
        <v>110</v>
      </c>
      <c r="E744" s="47" t="n">
        <v>587400</v>
      </c>
    </row>
    <row r="745" customFormat="false" ht="15" hidden="false" customHeight="false" outlineLevel="0" collapsed="false">
      <c r="A745" s="54" t="n">
        <v>46176</v>
      </c>
      <c r="B745" s="46" t="s">
        <v>47</v>
      </c>
      <c r="C745" s="46" t="s">
        <v>97</v>
      </c>
      <c r="D745" s="46" t="s">
        <v>110</v>
      </c>
      <c r="E745" s="47" t="n">
        <v>234200</v>
      </c>
    </row>
    <row r="746" customFormat="false" ht="15" hidden="false" customHeight="false" outlineLevel="0" collapsed="false">
      <c r="A746" s="54" t="n">
        <v>46177</v>
      </c>
      <c r="B746" s="46" t="s">
        <v>58</v>
      </c>
      <c r="C746" s="46" t="s">
        <v>103</v>
      </c>
      <c r="D746" s="46" t="s">
        <v>109</v>
      </c>
      <c r="E746" s="47" t="n">
        <v>10300</v>
      </c>
    </row>
    <row r="747" customFormat="false" ht="15" hidden="false" customHeight="false" outlineLevel="0" collapsed="false">
      <c r="A747" s="54" t="n">
        <v>46177</v>
      </c>
      <c r="B747" s="46" t="s">
        <v>100</v>
      </c>
      <c r="C747" s="46" t="s">
        <v>99</v>
      </c>
      <c r="D747" s="46" t="s">
        <v>108</v>
      </c>
      <c r="E747" s="47" t="n">
        <v>1018800</v>
      </c>
    </row>
    <row r="748" customFormat="false" ht="15" hidden="false" customHeight="false" outlineLevel="0" collapsed="false">
      <c r="A748" s="54" t="n">
        <v>46177</v>
      </c>
      <c r="B748" s="46" t="s">
        <v>102</v>
      </c>
      <c r="C748" s="46" t="s">
        <v>99</v>
      </c>
      <c r="D748" s="46" t="s">
        <v>108</v>
      </c>
      <c r="E748" s="47" t="n">
        <v>602500</v>
      </c>
    </row>
    <row r="749" customFormat="false" ht="15" hidden="false" customHeight="false" outlineLevel="0" collapsed="false">
      <c r="A749" s="54" t="n">
        <v>46177</v>
      </c>
      <c r="B749" s="46" t="s">
        <v>56</v>
      </c>
      <c r="C749" s="46" t="s">
        <v>103</v>
      </c>
      <c r="D749" s="46" t="s">
        <v>109</v>
      </c>
      <c r="E749" s="47" t="n">
        <v>50500</v>
      </c>
    </row>
    <row r="750" customFormat="false" ht="15" hidden="false" customHeight="false" outlineLevel="0" collapsed="false">
      <c r="A750" s="54" t="n">
        <v>46177</v>
      </c>
      <c r="B750" s="46" t="s">
        <v>52</v>
      </c>
      <c r="C750" s="46" t="s">
        <v>103</v>
      </c>
      <c r="D750" s="46" t="s">
        <v>109</v>
      </c>
      <c r="E750" s="47" t="n">
        <v>1667200</v>
      </c>
    </row>
    <row r="751" customFormat="false" ht="15" hidden="false" customHeight="false" outlineLevel="0" collapsed="false">
      <c r="A751" s="54" t="n">
        <v>46177</v>
      </c>
      <c r="B751" s="46" t="s">
        <v>44</v>
      </c>
      <c r="C751" s="46" t="s">
        <v>97</v>
      </c>
      <c r="D751" s="46" t="s">
        <v>110</v>
      </c>
      <c r="E751" s="47" t="n">
        <v>420000</v>
      </c>
    </row>
    <row r="752" customFormat="false" ht="15" hidden="false" customHeight="false" outlineLevel="0" collapsed="false">
      <c r="A752" s="54" t="n">
        <v>46177</v>
      </c>
      <c r="B752" s="46" t="s">
        <v>44</v>
      </c>
      <c r="C752" s="46" t="s">
        <v>97</v>
      </c>
      <c r="D752" s="46" t="s">
        <v>110</v>
      </c>
      <c r="E752" s="47" t="n">
        <v>581400</v>
      </c>
    </row>
    <row r="753" customFormat="false" ht="15" hidden="false" customHeight="false" outlineLevel="0" collapsed="false">
      <c r="A753" s="54" t="n">
        <v>46177</v>
      </c>
      <c r="B753" s="46" t="s">
        <v>45</v>
      </c>
      <c r="C753" s="46" t="s">
        <v>97</v>
      </c>
      <c r="D753" s="46" t="s">
        <v>110</v>
      </c>
      <c r="E753" s="47" t="n">
        <v>354400</v>
      </c>
    </row>
    <row r="754" customFormat="false" ht="15" hidden="false" customHeight="false" outlineLevel="0" collapsed="false">
      <c r="A754" s="54" t="n">
        <v>46177</v>
      </c>
      <c r="B754" s="46" t="s">
        <v>45</v>
      </c>
      <c r="C754" s="46" t="s">
        <v>97</v>
      </c>
      <c r="D754" s="46" t="s">
        <v>110</v>
      </c>
      <c r="E754" s="47" t="n">
        <v>285400</v>
      </c>
    </row>
    <row r="755" customFormat="false" ht="15" hidden="false" customHeight="false" outlineLevel="0" collapsed="false">
      <c r="A755" s="54" t="n">
        <v>46177</v>
      </c>
      <c r="B755" s="46" t="s">
        <v>55</v>
      </c>
      <c r="C755" s="46" t="s">
        <v>103</v>
      </c>
      <c r="D755" s="46" t="s">
        <v>109</v>
      </c>
      <c r="E755" s="47" t="n">
        <v>71200</v>
      </c>
    </row>
    <row r="756" customFormat="false" ht="15" hidden="false" customHeight="false" outlineLevel="0" collapsed="false">
      <c r="A756" s="54" t="n">
        <v>46177</v>
      </c>
      <c r="B756" s="46" t="s">
        <v>55</v>
      </c>
      <c r="C756" s="46" t="s">
        <v>103</v>
      </c>
      <c r="D756" s="46" t="s">
        <v>109</v>
      </c>
      <c r="E756" s="47" t="n">
        <v>39100</v>
      </c>
    </row>
    <row r="757" customFormat="false" ht="15" hidden="false" customHeight="false" outlineLevel="0" collapsed="false">
      <c r="A757" s="54" t="n">
        <v>46178</v>
      </c>
      <c r="B757" s="46" t="s">
        <v>46</v>
      </c>
      <c r="C757" s="46" t="s">
        <v>97</v>
      </c>
      <c r="D757" s="46" t="s">
        <v>110</v>
      </c>
      <c r="E757" s="47" t="n">
        <v>206300</v>
      </c>
    </row>
    <row r="758" customFormat="false" ht="15" hidden="false" customHeight="false" outlineLevel="0" collapsed="false">
      <c r="A758" s="54" t="n">
        <v>46178</v>
      </c>
      <c r="B758" s="46" t="s">
        <v>46</v>
      </c>
      <c r="C758" s="46" t="s">
        <v>97</v>
      </c>
      <c r="D758" s="46" t="s">
        <v>110</v>
      </c>
      <c r="E758" s="47" t="n">
        <v>279300</v>
      </c>
    </row>
    <row r="759" customFormat="false" ht="15" hidden="false" customHeight="false" outlineLevel="0" collapsed="false">
      <c r="A759" s="54" t="n">
        <v>46178</v>
      </c>
      <c r="B759" s="46" t="s">
        <v>47</v>
      </c>
      <c r="C759" s="46" t="s">
        <v>97</v>
      </c>
      <c r="D759" s="46" t="s">
        <v>110</v>
      </c>
      <c r="E759" s="47" t="n">
        <v>300000</v>
      </c>
    </row>
    <row r="760" customFormat="false" ht="15" hidden="false" customHeight="false" outlineLevel="0" collapsed="false">
      <c r="A760" s="54" t="n">
        <v>46179</v>
      </c>
      <c r="B760" s="46" t="s">
        <v>101</v>
      </c>
      <c r="C760" s="46" t="s">
        <v>99</v>
      </c>
      <c r="D760" s="46" t="s">
        <v>108</v>
      </c>
      <c r="E760" s="47" t="n">
        <v>355900</v>
      </c>
    </row>
    <row r="761" customFormat="false" ht="15" hidden="false" customHeight="false" outlineLevel="0" collapsed="false">
      <c r="A761" s="54" t="n">
        <v>46179</v>
      </c>
      <c r="B761" s="46" t="s">
        <v>101</v>
      </c>
      <c r="C761" s="46" t="s">
        <v>99</v>
      </c>
      <c r="D761" s="46" t="s">
        <v>108</v>
      </c>
      <c r="E761" s="47" t="n">
        <v>429700</v>
      </c>
    </row>
    <row r="762" customFormat="false" ht="15" hidden="false" customHeight="false" outlineLevel="0" collapsed="false">
      <c r="A762" s="54" t="n">
        <v>46179</v>
      </c>
      <c r="B762" s="46" t="s">
        <v>45</v>
      </c>
      <c r="C762" s="46" t="s">
        <v>97</v>
      </c>
      <c r="D762" s="46" t="s">
        <v>110</v>
      </c>
      <c r="E762" s="47" t="n">
        <v>695100</v>
      </c>
    </row>
    <row r="763" customFormat="false" ht="15" hidden="false" customHeight="false" outlineLevel="0" collapsed="false">
      <c r="A763" s="54" t="n">
        <v>46179</v>
      </c>
      <c r="B763" s="46" t="s">
        <v>47</v>
      </c>
      <c r="C763" s="46" t="s">
        <v>97</v>
      </c>
      <c r="D763" s="46" t="s">
        <v>110</v>
      </c>
      <c r="E763" s="47" t="n">
        <v>116000</v>
      </c>
    </row>
    <row r="764" customFormat="false" ht="15" hidden="false" customHeight="false" outlineLevel="0" collapsed="false">
      <c r="A764" s="54" t="n">
        <v>46179</v>
      </c>
      <c r="B764" s="46" t="s">
        <v>47</v>
      </c>
      <c r="C764" s="46" t="s">
        <v>97</v>
      </c>
      <c r="D764" s="46" t="s">
        <v>110</v>
      </c>
      <c r="E764" s="47" t="n">
        <v>119600</v>
      </c>
    </row>
    <row r="765" customFormat="false" ht="15" hidden="false" customHeight="false" outlineLevel="0" collapsed="false">
      <c r="A765" s="54" t="n">
        <v>46180</v>
      </c>
      <c r="B765" s="46" t="s">
        <v>59</v>
      </c>
      <c r="C765" s="46" t="s">
        <v>103</v>
      </c>
      <c r="D765" s="46" t="s">
        <v>109</v>
      </c>
      <c r="E765" s="47" t="n">
        <v>108600</v>
      </c>
    </row>
    <row r="766" customFormat="false" ht="15" hidden="false" customHeight="false" outlineLevel="0" collapsed="false">
      <c r="A766" s="54" t="n">
        <v>46180</v>
      </c>
      <c r="B766" s="46" t="s">
        <v>45</v>
      </c>
      <c r="C766" s="46" t="s">
        <v>97</v>
      </c>
      <c r="D766" s="46" t="s">
        <v>110</v>
      </c>
      <c r="E766" s="47" t="n">
        <v>712300</v>
      </c>
    </row>
    <row r="767" customFormat="false" ht="15" hidden="false" customHeight="false" outlineLevel="0" collapsed="false">
      <c r="A767" s="54" t="n">
        <v>46180</v>
      </c>
      <c r="B767" s="46" t="s">
        <v>47</v>
      </c>
      <c r="C767" s="46" t="s">
        <v>97</v>
      </c>
      <c r="D767" s="46" t="s">
        <v>110</v>
      </c>
      <c r="E767" s="47" t="n">
        <v>206600</v>
      </c>
    </row>
    <row r="768" customFormat="false" ht="15" hidden="false" customHeight="false" outlineLevel="0" collapsed="false">
      <c r="A768" s="54" t="n">
        <v>46181</v>
      </c>
      <c r="B768" s="46" t="s">
        <v>101</v>
      </c>
      <c r="C768" s="46" t="s">
        <v>99</v>
      </c>
      <c r="D768" s="46" t="s">
        <v>108</v>
      </c>
      <c r="E768" s="47" t="n">
        <v>267100</v>
      </c>
    </row>
    <row r="769" customFormat="false" ht="15" hidden="false" customHeight="false" outlineLevel="0" collapsed="false">
      <c r="A769" s="54" t="n">
        <v>46181</v>
      </c>
      <c r="B769" s="46" t="s">
        <v>98</v>
      </c>
      <c r="C769" s="46" t="s">
        <v>99</v>
      </c>
      <c r="D769" s="46" t="s">
        <v>108</v>
      </c>
      <c r="E769" s="47" t="n">
        <v>896400</v>
      </c>
    </row>
    <row r="770" customFormat="false" ht="15" hidden="false" customHeight="false" outlineLevel="0" collapsed="false">
      <c r="A770" s="54" t="n">
        <v>46181</v>
      </c>
      <c r="B770" s="46" t="s">
        <v>100</v>
      </c>
      <c r="C770" s="46" t="s">
        <v>99</v>
      </c>
      <c r="D770" s="46" t="s">
        <v>108</v>
      </c>
      <c r="E770" s="47" t="n">
        <v>631600</v>
      </c>
    </row>
    <row r="771" customFormat="false" ht="15" hidden="false" customHeight="false" outlineLevel="0" collapsed="false">
      <c r="A771" s="54" t="n">
        <v>46181</v>
      </c>
      <c r="B771" s="46" t="s">
        <v>56</v>
      </c>
      <c r="C771" s="46" t="s">
        <v>103</v>
      </c>
      <c r="D771" s="46" t="s">
        <v>109</v>
      </c>
      <c r="E771" s="47" t="n">
        <v>53400</v>
      </c>
    </row>
    <row r="772" customFormat="false" ht="15" hidden="false" customHeight="false" outlineLevel="0" collapsed="false">
      <c r="A772" s="54" t="n">
        <v>46181</v>
      </c>
      <c r="B772" s="46" t="s">
        <v>46</v>
      </c>
      <c r="C772" s="46" t="s">
        <v>97</v>
      </c>
      <c r="D772" s="46" t="s">
        <v>110</v>
      </c>
      <c r="E772" s="47" t="n">
        <v>173700</v>
      </c>
    </row>
    <row r="773" customFormat="false" ht="15" hidden="false" customHeight="false" outlineLevel="0" collapsed="false">
      <c r="A773" s="54" t="n">
        <v>46181</v>
      </c>
      <c r="B773" s="46" t="s">
        <v>47</v>
      </c>
      <c r="C773" s="46" t="s">
        <v>97</v>
      </c>
      <c r="D773" s="46" t="s">
        <v>110</v>
      </c>
      <c r="E773" s="47" t="n">
        <v>267100</v>
      </c>
    </row>
    <row r="774" customFormat="false" ht="15" hidden="false" customHeight="false" outlineLevel="0" collapsed="false">
      <c r="A774" s="54" t="n">
        <v>46181</v>
      </c>
      <c r="B774" s="46" t="s">
        <v>55</v>
      </c>
      <c r="C774" s="46" t="s">
        <v>103</v>
      </c>
      <c r="D774" s="46" t="s">
        <v>109</v>
      </c>
      <c r="E774" s="47" t="n">
        <v>77700</v>
      </c>
    </row>
    <row r="775" customFormat="false" ht="15" hidden="false" customHeight="false" outlineLevel="0" collapsed="false">
      <c r="A775" s="54" t="n">
        <v>46182</v>
      </c>
      <c r="B775" s="46" t="s">
        <v>101</v>
      </c>
      <c r="C775" s="46" t="s">
        <v>99</v>
      </c>
      <c r="D775" s="46" t="s">
        <v>108</v>
      </c>
      <c r="E775" s="47" t="n">
        <v>642500</v>
      </c>
    </row>
    <row r="776" customFormat="false" ht="15" hidden="false" customHeight="false" outlineLevel="0" collapsed="false">
      <c r="A776" s="54" t="n">
        <v>46182</v>
      </c>
      <c r="B776" s="46" t="s">
        <v>47</v>
      </c>
      <c r="C776" s="46" t="s">
        <v>97</v>
      </c>
      <c r="D776" s="46" t="s">
        <v>110</v>
      </c>
      <c r="E776" s="47" t="n">
        <v>176200</v>
      </c>
    </row>
    <row r="777" customFormat="false" ht="15" hidden="false" customHeight="false" outlineLevel="0" collapsed="false">
      <c r="A777" s="54" t="n">
        <v>46183</v>
      </c>
      <c r="B777" s="46" t="s">
        <v>98</v>
      </c>
      <c r="C777" s="46" t="s">
        <v>99</v>
      </c>
      <c r="D777" s="46" t="s">
        <v>108</v>
      </c>
      <c r="E777" s="47" t="n">
        <v>1417600</v>
      </c>
    </row>
    <row r="778" customFormat="false" ht="15" hidden="false" customHeight="false" outlineLevel="0" collapsed="false">
      <c r="A778" s="54" t="n">
        <v>46183</v>
      </c>
      <c r="B778" s="46" t="s">
        <v>46</v>
      </c>
      <c r="C778" s="46" t="s">
        <v>97</v>
      </c>
      <c r="D778" s="46" t="s">
        <v>110</v>
      </c>
      <c r="E778" s="47" t="n">
        <v>132500</v>
      </c>
    </row>
    <row r="779" customFormat="false" ht="15" hidden="false" customHeight="false" outlineLevel="0" collapsed="false">
      <c r="A779" s="54" t="n">
        <v>46183</v>
      </c>
      <c r="B779" s="46" t="s">
        <v>44</v>
      </c>
      <c r="C779" s="46" t="s">
        <v>97</v>
      </c>
      <c r="D779" s="46" t="s">
        <v>110</v>
      </c>
      <c r="E779" s="47" t="n">
        <v>246600</v>
      </c>
    </row>
    <row r="780" customFormat="false" ht="15" hidden="false" customHeight="false" outlineLevel="0" collapsed="false">
      <c r="A780" s="54" t="n">
        <v>46183</v>
      </c>
      <c r="B780" s="46" t="s">
        <v>44</v>
      </c>
      <c r="C780" s="46" t="s">
        <v>97</v>
      </c>
      <c r="D780" s="46" t="s">
        <v>110</v>
      </c>
      <c r="E780" s="47" t="n">
        <v>704100</v>
      </c>
    </row>
    <row r="781" customFormat="false" ht="15" hidden="false" customHeight="false" outlineLevel="0" collapsed="false">
      <c r="A781" s="54" t="n">
        <v>46183</v>
      </c>
      <c r="B781" s="46" t="s">
        <v>47</v>
      </c>
      <c r="C781" s="46" t="s">
        <v>97</v>
      </c>
      <c r="D781" s="46" t="s">
        <v>110</v>
      </c>
      <c r="E781" s="47" t="n">
        <v>183000</v>
      </c>
    </row>
    <row r="782" customFormat="false" ht="15" hidden="false" customHeight="false" outlineLevel="0" collapsed="false">
      <c r="A782" s="54" t="n">
        <v>46183</v>
      </c>
      <c r="B782" s="46" t="s">
        <v>55</v>
      </c>
      <c r="C782" s="46" t="s">
        <v>103</v>
      </c>
      <c r="D782" s="46" t="s">
        <v>109</v>
      </c>
      <c r="E782" s="47" t="n">
        <v>86100</v>
      </c>
    </row>
    <row r="783" customFormat="false" ht="15" hidden="false" customHeight="false" outlineLevel="0" collapsed="false">
      <c r="A783" s="54" t="n">
        <v>46184</v>
      </c>
      <c r="B783" s="46" t="s">
        <v>58</v>
      </c>
      <c r="C783" s="46" t="s">
        <v>103</v>
      </c>
      <c r="D783" s="46" t="s">
        <v>109</v>
      </c>
      <c r="E783" s="47" t="n">
        <v>5400</v>
      </c>
    </row>
    <row r="784" customFormat="false" ht="15" hidden="false" customHeight="false" outlineLevel="0" collapsed="false">
      <c r="A784" s="54" t="n">
        <v>46184</v>
      </c>
      <c r="B784" s="46" t="s">
        <v>46</v>
      </c>
      <c r="C784" s="46" t="s">
        <v>97</v>
      </c>
      <c r="D784" s="46" t="s">
        <v>110</v>
      </c>
      <c r="E784" s="47" t="n">
        <v>111700</v>
      </c>
    </row>
    <row r="785" customFormat="false" ht="15" hidden="false" customHeight="false" outlineLevel="0" collapsed="false">
      <c r="A785" s="54" t="n">
        <v>46185</v>
      </c>
      <c r="B785" s="46" t="s">
        <v>102</v>
      </c>
      <c r="C785" s="46" t="s">
        <v>99</v>
      </c>
      <c r="D785" s="46" t="s">
        <v>108</v>
      </c>
      <c r="E785" s="47" t="n">
        <v>406200</v>
      </c>
    </row>
    <row r="786" customFormat="false" ht="15" hidden="false" customHeight="false" outlineLevel="0" collapsed="false">
      <c r="A786" s="54" t="n">
        <v>46185</v>
      </c>
      <c r="B786" s="46" t="s">
        <v>46</v>
      </c>
      <c r="C786" s="46" t="s">
        <v>97</v>
      </c>
      <c r="D786" s="46" t="s">
        <v>110</v>
      </c>
      <c r="E786" s="47" t="n">
        <v>150200</v>
      </c>
    </row>
    <row r="787" customFormat="false" ht="15" hidden="false" customHeight="false" outlineLevel="0" collapsed="false">
      <c r="A787" s="54" t="n">
        <v>46185</v>
      </c>
      <c r="B787" s="46" t="s">
        <v>55</v>
      </c>
      <c r="C787" s="46" t="s">
        <v>103</v>
      </c>
      <c r="D787" s="46" t="s">
        <v>109</v>
      </c>
      <c r="E787" s="47" t="n">
        <v>94000</v>
      </c>
    </row>
    <row r="788" customFormat="false" ht="15" hidden="false" customHeight="false" outlineLevel="0" collapsed="false">
      <c r="A788" s="54" t="n">
        <v>46186</v>
      </c>
      <c r="B788" s="46" t="s">
        <v>101</v>
      </c>
      <c r="C788" s="46" t="s">
        <v>99</v>
      </c>
      <c r="D788" s="46" t="s">
        <v>108</v>
      </c>
      <c r="E788" s="47" t="n">
        <v>406700</v>
      </c>
    </row>
    <row r="789" customFormat="false" ht="15" hidden="false" customHeight="false" outlineLevel="0" collapsed="false">
      <c r="A789" s="54" t="n">
        <v>46186</v>
      </c>
      <c r="B789" s="46" t="s">
        <v>101</v>
      </c>
      <c r="C789" s="46" t="s">
        <v>99</v>
      </c>
      <c r="D789" s="46" t="s">
        <v>108</v>
      </c>
      <c r="E789" s="47" t="n">
        <v>640700</v>
      </c>
    </row>
    <row r="790" customFormat="false" ht="15" hidden="false" customHeight="false" outlineLevel="0" collapsed="false">
      <c r="A790" s="54" t="n">
        <v>46186</v>
      </c>
      <c r="B790" s="46" t="s">
        <v>98</v>
      </c>
      <c r="C790" s="46" t="s">
        <v>99</v>
      </c>
      <c r="D790" s="46" t="s">
        <v>108</v>
      </c>
      <c r="E790" s="47" t="n">
        <v>1565100</v>
      </c>
    </row>
    <row r="791" customFormat="false" ht="15" hidden="false" customHeight="false" outlineLevel="0" collapsed="false">
      <c r="A791" s="54" t="n">
        <v>46186</v>
      </c>
      <c r="B791" s="46" t="s">
        <v>100</v>
      </c>
      <c r="C791" s="46" t="s">
        <v>99</v>
      </c>
      <c r="D791" s="46" t="s">
        <v>108</v>
      </c>
      <c r="E791" s="47" t="n">
        <v>930300</v>
      </c>
    </row>
    <row r="792" customFormat="false" ht="15" hidden="false" customHeight="false" outlineLevel="0" collapsed="false">
      <c r="A792" s="54" t="n">
        <v>46186</v>
      </c>
      <c r="B792" s="46" t="s">
        <v>44</v>
      </c>
      <c r="C792" s="46" t="s">
        <v>97</v>
      </c>
      <c r="D792" s="46" t="s">
        <v>110</v>
      </c>
      <c r="E792" s="47" t="n">
        <v>832200</v>
      </c>
    </row>
    <row r="793" customFormat="false" ht="15" hidden="false" customHeight="false" outlineLevel="0" collapsed="false">
      <c r="A793" s="54" t="n">
        <v>46186</v>
      </c>
      <c r="B793" s="46" t="s">
        <v>44</v>
      </c>
      <c r="C793" s="46" t="s">
        <v>97</v>
      </c>
      <c r="D793" s="46" t="s">
        <v>110</v>
      </c>
      <c r="E793" s="47" t="n">
        <v>792600</v>
      </c>
    </row>
    <row r="794" customFormat="false" ht="15" hidden="false" customHeight="false" outlineLevel="0" collapsed="false">
      <c r="A794" s="54" t="n">
        <v>46186</v>
      </c>
      <c r="B794" s="46" t="s">
        <v>45</v>
      </c>
      <c r="C794" s="46" t="s">
        <v>97</v>
      </c>
      <c r="D794" s="46" t="s">
        <v>110</v>
      </c>
      <c r="E794" s="47" t="n">
        <v>210300</v>
      </c>
    </row>
    <row r="795" customFormat="false" ht="15" hidden="false" customHeight="false" outlineLevel="0" collapsed="false">
      <c r="A795" s="54" t="n">
        <v>46186</v>
      </c>
      <c r="B795" s="46" t="s">
        <v>47</v>
      </c>
      <c r="C795" s="46" t="s">
        <v>97</v>
      </c>
      <c r="D795" s="46" t="s">
        <v>110</v>
      </c>
      <c r="E795" s="47" t="n">
        <v>237600</v>
      </c>
    </row>
    <row r="796" customFormat="false" ht="15" hidden="false" customHeight="false" outlineLevel="0" collapsed="false">
      <c r="A796" s="54" t="n">
        <v>46187</v>
      </c>
      <c r="B796" s="46" t="s">
        <v>100</v>
      </c>
      <c r="C796" s="46" t="s">
        <v>99</v>
      </c>
      <c r="D796" s="46" t="s">
        <v>108</v>
      </c>
      <c r="E796" s="47" t="n">
        <v>974900</v>
      </c>
    </row>
    <row r="797" customFormat="false" ht="15" hidden="false" customHeight="false" outlineLevel="0" collapsed="false">
      <c r="A797" s="54" t="n">
        <v>46187</v>
      </c>
      <c r="B797" s="46" t="s">
        <v>46</v>
      </c>
      <c r="C797" s="46" t="s">
        <v>97</v>
      </c>
      <c r="D797" s="46" t="s">
        <v>110</v>
      </c>
      <c r="E797" s="47" t="n">
        <v>223500</v>
      </c>
    </row>
    <row r="798" customFormat="false" ht="15" hidden="false" customHeight="false" outlineLevel="0" collapsed="false">
      <c r="A798" s="54" t="n">
        <v>46187</v>
      </c>
      <c r="B798" s="46" t="s">
        <v>45</v>
      </c>
      <c r="C798" s="46" t="s">
        <v>97</v>
      </c>
      <c r="D798" s="46" t="s">
        <v>110</v>
      </c>
      <c r="E798" s="47" t="n">
        <v>223300</v>
      </c>
    </row>
    <row r="799" customFormat="false" ht="15" hidden="false" customHeight="false" outlineLevel="0" collapsed="false">
      <c r="A799" s="54" t="n">
        <v>46187</v>
      </c>
      <c r="B799" s="46" t="s">
        <v>55</v>
      </c>
      <c r="C799" s="46" t="s">
        <v>103</v>
      </c>
      <c r="D799" s="46" t="s">
        <v>109</v>
      </c>
      <c r="E799" s="47" t="n">
        <v>68700</v>
      </c>
    </row>
    <row r="800" customFormat="false" ht="15" hidden="false" customHeight="false" outlineLevel="0" collapsed="false">
      <c r="A800" s="54" t="n">
        <v>46188</v>
      </c>
      <c r="B800" s="46" t="s">
        <v>98</v>
      </c>
      <c r="C800" s="46" t="s">
        <v>99</v>
      </c>
      <c r="D800" s="46" t="s">
        <v>108</v>
      </c>
      <c r="E800" s="47" t="n">
        <v>1091700</v>
      </c>
    </row>
    <row r="801" customFormat="false" ht="15" hidden="false" customHeight="false" outlineLevel="0" collapsed="false">
      <c r="A801" s="54" t="n">
        <v>46188</v>
      </c>
      <c r="B801" s="46" t="s">
        <v>100</v>
      </c>
      <c r="C801" s="46" t="s">
        <v>99</v>
      </c>
      <c r="D801" s="46" t="s">
        <v>108</v>
      </c>
      <c r="E801" s="47" t="n">
        <v>1008900</v>
      </c>
    </row>
    <row r="802" customFormat="false" ht="15" hidden="false" customHeight="false" outlineLevel="0" collapsed="false">
      <c r="A802" s="54" t="n">
        <v>46188</v>
      </c>
      <c r="B802" s="46" t="s">
        <v>53</v>
      </c>
      <c r="C802" s="46" t="s">
        <v>103</v>
      </c>
      <c r="D802" s="46" t="s">
        <v>109</v>
      </c>
      <c r="E802" s="47" t="n">
        <v>554200</v>
      </c>
    </row>
    <row r="803" customFormat="false" ht="15" hidden="false" customHeight="false" outlineLevel="0" collapsed="false">
      <c r="A803" s="54" t="n">
        <v>46188</v>
      </c>
      <c r="B803" s="46" t="s">
        <v>44</v>
      </c>
      <c r="C803" s="46" t="s">
        <v>97</v>
      </c>
      <c r="D803" s="46" t="s">
        <v>110</v>
      </c>
      <c r="E803" s="47" t="n">
        <v>706000</v>
      </c>
    </row>
    <row r="804" customFormat="false" ht="15" hidden="false" customHeight="false" outlineLevel="0" collapsed="false">
      <c r="A804" s="54" t="n">
        <v>46188</v>
      </c>
      <c r="B804" s="46" t="s">
        <v>44</v>
      </c>
      <c r="C804" s="46" t="s">
        <v>97</v>
      </c>
      <c r="D804" s="46" t="s">
        <v>110</v>
      </c>
      <c r="E804" s="47" t="n">
        <v>408200</v>
      </c>
    </row>
    <row r="805" customFormat="false" ht="15" hidden="false" customHeight="false" outlineLevel="0" collapsed="false">
      <c r="A805" s="54" t="n">
        <v>46188</v>
      </c>
      <c r="B805" s="46" t="s">
        <v>45</v>
      </c>
      <c r="C805" s="46" t="s">
        <v>97</v>
      </c>
      <c r="D805" s="46" t="s">
        <v>110</v>
      </c>
      <c r="E805" s="47" t="n">
        <v>335900</v>
      </c>
    </row>
    <row r="806" customFormat="false" ht="15" hidden="false" customHeight="false" outlineLevel="0" collapsed="false">
      <c r="A806" s="54" t="n">
        <v>46188</v>
      </c>
      <c r="B806" s="46" t="s">
        <v>45</v>
      </c>
      <c r="C806" s="46" t="s">
        <v>97</v>
      </c>
      <c r="D806" s="46" t="s">
        <v>110</v>
      </c>
      <c r="E806" s="47" t="n">
        <v>525400</v>
      </c>
    </row>
    <row r="807" customFormat="false" ht="15" hidden="false" customHeight="false" outlineLevel="0" collapsed="false">
      <c r="A807" s="54" t="n">
        <v>46188</v>
      </c>
      <c r="B807" s="46" t="s">
        <v>45</v>
      </c>
      <c r="C807" s="46" t="s">
        <v>97</v>
      </c>
      <c r="D807" s="46" t="s">
        <v>110</v>
      </c>
      <c r="E807" s="47" t="n">
        <v>437000</v>
      </c>
    </row>
    <row r="808" customFormat="false" ht="15" hidden="false" customHeight="false" outlineLevel="0" collapsed="false">
      <c r="A808" s="54" t="n">
        <v>46188</v>
      </c>
      <c r="B808" s="46" t="s">
        <v>47</v>
      </c>
      <c r="C808" s="46" t="s">
        <v>97</v>
      </c>
      <c r="D808" s="46" t="s">
        <v>110</v>
      </c>
      <c r="E808" s="47" t="n">
        <v>312600</v>
      </c>
    </row>
    <row r="809" customFormat="false" ht="15" hidden="false" customHeight="false" outlineLevel="0" collapsed="false">
      <c r="A809" s="54" t="n">
        <v>46188</v>
      </c>
      <c r="B809" s="46" t="s">
        <v>47</v>
      </c>
      <c r="C809" s="46" t="s">
        <v>97</v>
      </c>
      <c r="D809" s="46" t="s">
        <v>110</v>
      </c>
      <c r="E809" s="47" t="n">
        <v>238600</v>
      </c>
    </row>
    <row r="810" customFormat="false" ht="15" hidden="false" customHeight="false" outlineLevel="0" collapsed="false">
      <c r="A810" s="54" t="n">
        <v>46188</v>
      </c>
      <c r="B810" s="46" t="s">
        <v>55</v>
      </c>
      <c r="C810" s="46" t="s">
        <v>103</v>
      </c>
      <c r="D810" s="46" t="s">
        <v>109</v>
      </c>
      <c r="E810" s="47" t="n">
        <v>24500</v>
      </c>
    </row>
    <row r="811" customFormat="false" ht="15" hidden="false" customHeight="false" outlineLevel="0" collapsed="false">
      <c r="A811" s="54" t="n">
        <v>46189</v>
      </c>
      <c r="B811" s="46" t="s">
        <v>98</v>
      </c>
      <c r="C811" s="46" t="s">
        <v>99</v>
      </c>
      <c r="D811" s="46" t="s">
        <v>108</v>
      </c>
      <c r="E811" s="47" t="n">
        <v>742800</v>
      </c>
    </row>
    <row r="812" customFormat="false" ht="15" hidden="false" customHeight="false" outlineLevel="0" collapsed="false">
      <c r="A812" s="54" t="n">
        <v>46189</v>
      </c>
      <c r="B812" s="46" t="s">
        <v>46</v>
      </c>
      <c r="C812" s="46" t="s">
        <v>97</v>
      </c>
      <c r="D812" s="46" t="s">
        <v>110</v>
      </c>
      <c r="E812" s="47" t="n">
        <v>123500</v>
      </c>
    </row>
    <row r="813" customFormat="false" ht="15" hidden="false" customHeight="false" outlineLevel="0" collapsed="false">
      <c r="A813" s="54" t="n">
        <v>46189</v>
      </c>
      <c r="B813" s="46" t="s">
        <v>45</v>
      </c>
      <c r="C813" s="46" t="s">
        <v>97</v>
      </c>
      <c r="D813" s="46" t="s">
        <v>110</v>
      </c>
      <c r="E813" s="47" t="n">
        <v>267600</v>
      </c>
    </row>
    <row r="814" customFormat="false" ht="15" hidden="false" customHeight="false" outlineLevel="0" collapsed="false">
      <c r="A814" s="54" t="n">
        <v>46190</v>
      </c>
      <c r="B814" s="46" t="s">
        <v>46</v>
      </c>
      <c r="C814" s="46" t="s">
        <v>97</v>
      </c>
      <c r="D814" s="46" t="s">
        <v>110</v>
      </c>
      <c r="E814" s="47" t="n">
        <v>256200</v>
      </c>
    </row>
    <row r="815" customFormat="false" ht="15" hidden="false" customHeight="false" outlineLevel="0" collapsed="false">
      <c r="A815" s="54" t="n">
        <v>46190</v>
      </c>
      <c r="B815" s="46" t="s">
        <v>44</v>
      </c>
      <c r="C815" s="46" t="s">
        <v>97</v>
      </c>
      <c r="D815" s="46" t="s">
        <v>110</v>
      </c>
      <c r="E815" s="47" t="n">
        <v>486800</v>
      </c>
    </row>
    <row r="816" customFormat="false" ht="15" hidden="false" customHeight="false" outlineLevel="0" collapsed="false">
      <c r="A816" s="54" t="n">
        <v>46190</v>
      </c>
      <c r="B816" s="46" t="s">
        <v>44</v>
      </c>
      <c r="C816" s="46" t="s">
        <v>97</v>
      </c>
      <c r="D816" s="46" t="s">
        <v>110</v>
      </c>
      <c r="E816" s="47" t="n">
        <v>405800</v>
      </c>
    </row>
    <row r="817" customFormat="false" ht="15" hidden="false" customHeight="false" outlineLevel="0" collapsed="false">
      <c r="A817" s="54" t="n">
        <v>46190</v>
      </c>
      <c r="B817" s="46" t="s">
        <v>47</v>
      </c>
      <c r="C817" s="46" t="s">
        <v>97</v>
      </c>
      <c r="D817" s="46" t="s">
        <v>110</v>
      </c>
      <c r="E817" s="47" t="n">
        <v>159900</v>
      </c>
    </row>
    <row r="818" customFormat="false" ht="15" hidden="false" customHeight="false" outlineLevel="0" collapsed="false">
      <c r="A818" s="54" t="n">
        <v>46191</v>
      </c>
      <c r="B818" s="46" t="s">
        <v>98</v>
      </c>
      <c r="C818" s="46" t="s">
        <v>99</v>
      </c>
      <c r="D818" s="46" t="s">
        <v>108</v>
      </c>
      <c r="E818" s="47" t="n">
        <v>1655800</v>
      </c>
    </row>
    <row r="819" customFormat="false" ht="15" hidden="false" customHeight="false" outlineLevel="0" collapsed="false">
      <c r="A819" s="54" t="n">
        <v>46191</v>
      </c>
      <c r="B819" s="46" t="s">
        <v>100</v>
      </c>
      <c r="C819" s="46" t="s">
        <v>99</v>
      </c>
      <c r="D819" s="46" t="s">
        <v>108</v>
      </c>
      <c r="E819" s="47" t="n">
        <v>1282100</v>
      </c>
    </row>
    <row r="820" customFormat="false" ht="15" hidden="false" customHeight="false" outlineLevel="0" collapsed="false">
      <c r="A820" s="54" t="n">
        <v>46191</v>
      </c>
      <c r="B820" s="46" t="s">
        <v>56</v>
      </c>
      <c r="C820" s="46" t="s">
        <v>103</v>
      </c>
      <c r="D820" s="46" t="s">
        <v>109</v>
      </c>
      <c r="E820" s="47" t="n">
        <v>90500</v>
      </c>
    </row>
    <row r="821" customFormat="false" ht="15" hidden="false" customHeight="false" outlineLevel="0" collapsed="false">
      <c r="A821" s="54" t="n">
        <v>46191</v>
      </c>
      <c r="B821" s="46" t="s">
        <v>46</v>
      </c>
      <c r="C821" s="46" t="s">
        <v>97</v>
      </c>
      <c r="D821" s="46" t="s">
        <v>110</v>
      </c>
      <c r="E821" s="47" t="n">
        <v>307900</v>
      </c>
    </row>
    <row r="822" customFormat="false" ht="15" hidden="false" customHeight="false" outlineLevel="0" collapsed="false">
      <c r="A822" s="54" t="n">
        <v>46191</v>
      </c>
      <c r="B822" s="46" t="s">
        <v>47</v>
      </c>
      <c r="C822" s="46" t="s">
        <v>97</v>
      </c>
      <c r="D822" s="46" t="s">
        <v>110</v>
      </c>
      <c r="E822" s="47" t="n">
        <v>125100</v>
      </c>
    </row>
    <row r="823" customFormat="false" ht="15" hidden="false" customHeight="false" outlineLevel="0" collapsed="false">
      <c r="A823" s="54" t="n">
        <v>46192</v>
      </c>
      <c r="B823" s="46" t="s">
        <v>102</v>
      </c>
      <c r="C823" s="46" t="s">
        <v>99</v>
      </c>
      <c r="D823" s="46" t="s">
        <v>108</v>
      </c>
      <c r="E823" s="47" t="n">
        <v>452700</v>
      </c>
    </row>
    <row r="824" customFormat="false" ht="15" hidden="false" customHeight="false" outlineLevel="0" collapsed="false">
      <c r="A824" s="54" t="n">
        <v>46192</v>
      </c>
      <c r="B824" s="46" t="s">
        <v>46</v>
      </c>
      <c r="C824" s="46" t="s">
        <v>97</v>
      </c>
      <c r="D824" s="46" t="s">
        <v>110</v>
      </c>
      <c r="E824" s="47" t="n">
        <v>201300</v>
      </c>
    </row>
    <row r="825" customFormat="false" ht="15" hidden="false" customHeight="false" outlineLevel="0" collapsed="false">
      <c r="A825" s="54" t="n">
        <v>46192</v>
      </c>
      <c r="B825" s="46" t="s">
        <v>55</v>
      </c>
      <c r="C825" s="46" t="s">
        <v>103</v>
      </c>
      <c r="D825" s="46" t="s">
        <v>109</v>
      </c>
      <c r="E825" s="47" t="n">
        <v>39900</v>
      </c>
    </row>
    <row r="826" customFormat="false" ht="15" hidden="false" customHeight="false" outlineLevel="0" collapsed="false">
      <c r="A826" s="54" t="n">
        <v>46193</v>
      </c>
      <c r="B826" s="46" t="s">
        <v>46</v>
      </c>
      <c r="C826" s="46" t="s">
        <v>97</v>
      </c>
      <c r="D826" s="46" t="s">
        <v>110</v>
      </c>
      <c r="E826" s="47" t="n">
        <v>376300</v>
      </c>
    </row>
    <row r="827" customFormat="false" ht="15" hidden="false" customHeight="false" outlineLevel="0" collapsed="false">
      <c r="A827" s="54" t="n">
        <v>46193</v>
      </c>
      <c r="B827" s="46" t="s">
        <v>44</v>
      </c>
      <c r="C827" s="46" t="s">
        <v>97</v>
      </c>
      <c r="D827" s="46" t="s">
        <v>110</v>
      </c>
      <c r="E827" s="47" t="n">
        <v>660800</v>
      </c>
    </row>
    <row r="828" customFormat="false" ht="15" hidden="false" customHeight="false" outlineLevel="0" collapsed="false">
      <c r="A828" s="54" t="n">
        <v>46193</v>
      </c>
      <c r="B828" s="46" t="s">
        <v>45</v>
      </c>
      <c r="C828" s="46" t="s">
        <v>97</v>
      </c>
      <c r="D828" s="46" t="s">
        <v>110</v>
      </c>
      <c r="E828" s="47" t="n">
        <v>387600</v>
      </c>
    </row>
    <row r="829" customFormat="false" ht="15" hidden="false" customHeight="false" outlineLevel="0" collapsed="false">
      <c r="A829" s="54" t="n">
        <v>46193</v>
      </c>
      <c r="B829" s="46" t="s">
        <v>45</v>
      </c>
      <c r="C829" s="46" t="s">
        <v>97</v>
      </c>
      <c r="D829" s="46" t="s">
        <v>110</v>
      </c>
      <c r="E829" s="47" t="n">
        <v>444700</v>
      </c>
    </row>
    <row r="830" customFormat="false" ht="15" hidden="false" customHeight="false" outlineLevel="0" collapsed="false">
      <c r="A830" s="54" t="n">
        <v>46193</v>
      </c>
      <c r="B830" s="46" t="s">
        <v>45</v>
      </c>
      <c r="C830" s="46" t="s">
        <v>97</v>
      </c>
      <c r="D830" s="46" t="s">
        <v>110</v>
      </c>
      <c r="E830" s="47" t="n">
        <v>556900</v>
      </c>
    </row>
    <row r="831" customFormat="false" ht="15" hidden="false" customHeight="false" outlineLevel="0" collapsed="false">
      <c r="A831" s="54" t="n">
        <v>46193</v>
      </c>
      <c r="B831" s="46" t="s">
        <v>47</v>
      </c>
      <c r="C831" s="46" t="s">
        <v>97</v>
      </c>
      <c r="D831" s="46" t="s">
        <v>110</v>
      </c>
      <c r="E831" s="47" t="n">
        <v>216200</v>
      </c>
    </row>
    <row r="832" customFormat="false" ht="15" hidden="false" customHeight="false" outlineLevel="0" collapsed="false">
      <c r="A832" s="54" t="n">
        <v>46194</v>
      </c>
      <c r="B832" s="46" t="s">
        <v>98</v>
      </c>
      <c r="C832" s="46" t="s">
        <v>99</v>
      </c>
      <c r="D832" s="46" t="s">
        <v>108</v>
      </c>
      <c r="E832" s="47" t="n">
        <v>1577600</v>
      </c>
    </row>
    <row r="833" customFormat="false" ht="15" hidden="false" customHeight="false" outlineLevel="0" collapsed="false">
      <c r="A833" s="54" t="n">
        <v>46194</v>
      </c>
      <c r="B833" s="46" t="s">
        <v>57</v>
      </c>
      <c r="C833" s="46" t="s">
        <v>103</v>
      </c>
      <c r="D833" s="46" t="s">
        <v>109</v>
      </c>
      <c r="E833" s="47" t="n">
        <v>89300</v>
      </c>
    </row>
    <row r="834" customFormat="false" ht="15" hidden="false" customHeight="false" outlineLevel="0" collapsed="false">
      <c r="A834" s="54" t="n">
        <v>46194</v>
      </c>
      <c r="B834" s="46" t="s">
        <v>44</v>
      </c>
      <c r="C834" s="46" t="s">
        <v>97</v>
      </c>
      <c r="D834" s="46" t="s">
        <v>110</v>
      </c>
      <c r="E834" s="47" t="n">
        <v>216400</v>
      </c>
    </row>
    <row r="835" customFormat="false" ht="15" hidden="false" customHeight="false" outlineLevel="0" collapsed="false">
      <c r="A835" s="54" t="n">
        <v>46194</v>
      </c>
      <c r="B835" s="46" t="s">
        <v>44</v>
      </c>
      <c r="C835" s="46" t="s">
        <v>97</v>
      </c>
      <c r="D835" s="46" t="s">
        <v>110</v>
      </c>
      <c r="E835" s="47" t="n">
        <v>236700</v>
      </c>
    </row>
    <row r="836" customFormat="false" ht="15" hidden="false" customHeight="false" outlineLevel="0" collapsed="false">
      <c r="A836" s="54" t="n">
        <v>46194</v>
      </c>
      <c r="B836" s="46" t="s">
        <v>45</v>
      </c>
      <c r="C836" s="46" t="s">
        <v>97</v>
      </c>
      <c r="D836" s="46" t="s">
        <v>110</v>
      </c>
      <c r="E836" s="47" t="n">
        <v>512300</v>
      </c>
    </row>
    <row r="837" customFormat="false" ht="15" hidden="false" customHeight="false" outlineLevel="0" collapsed="false">
      <c r="A837" s="54" t="n">
        <v>46194</v>
      </c>
      <c r="B837" s="46" t="s">
        <v>47</v>
      </c>
      <c r="C837" s="46" t="s">
        <v>97</v>
      </c>
      <c r="D837" s="46" t="s">
        <v>110</v>
      </c>
      <c r="E837" s="47" t="n">
        <v>117300</v>
      </c>
    </row>
    <row r="838" customFormat="false" ht="15" hidden="false" customHeight="false" outlineLevel="0" collapsed="false">
      <c r="A838" s="54" t="n">
        <v>46194</v>
      </c>
      <c r="B838" s="46" t="s">
        <v>47</v>
      </c>
      <c r="C838" s="46" t="s">
        <v>97</v>
      </c>
      <c r="D838" s="46" t="s">
        <v>110</v>
      </c>
      <c r="E838" s="47" t="n">
        <v>270800</v>
      </c>
    </row>
    <row r="839" customFormat="false" ht="15" hidden="false" customHeight="false" outlineLevel="0" collapsed="false">
      <c r="A839" s="54" t="n">
        <v>46194</v>
      </c>
      <c r="B839" s="46" t="s">
        <v>55</v>
      </c>
      <c r="C839" s="46" t="s">
        <v>103</v>
      </c>
      <c r="D839" s="46" t="s">
        <v>109</v>
      </c>
      <c r="E839" s="47" t="n">
        <v>85300</v>
      </c>
    </row>
    <row r="840" customFormat="false" ht="15" hidden="false" customHeight="false" outlineLevel="0" collapsed="false">
      <c r="A840" s="54" t="n">
        <v>46194</v>
      </c>
      <c r="B840" s="46" t="s">
        <v>55</v>
      </c>
      <c r="C840" s="46" t="s">
        <v>103</v>
      </c>
      <c r="D840" s="46" t="s">
        <v>109</v>
      </c>
      <c r="E840" s="47" t="n">
        <v>49300</v>
      </c>
    </row>
    <row r="841" customFormat="false" ht="15" hidden="false" customHeight="false" outlineLevel="0" collapsed="false">
      <c r="A841" s="54" t="n">
        <v>46195</v>
      </c>
      <c r="B841" s="46" t="s">
        <v>58</v>
      </c>
      <c r="C841" s="46" t="s">
        <v>103</v>
      </c>
      <c r="D841" s="46" t="s">
        <v>109</v>
      </c>
      <c r="E841" s="47" t="n">
        <v>5900</v>
      </c>
    </row>
    <row r="842" customFormat="false" ht="15" hidden="false" customHeight="false" outlineLevel="0" collapsed="false">
      <c r="A842" s="54" t="n">
        <v>46195</v>
      </c>
      <c r="B842" s="46" t="s">
        <v>102</v>
      </c>
      <c r="C842" s="46" t="s">
        <v>99</v>
      </c>
      <c r="D842" s="46" t="s">
        <v>108</v>
      </c>
      <c r="E842" s="47" t="n">
        <v>223600</v>
      </c>
    </row>
    <row r="843" customFormat="false" ht="15" hidden="false" customHeight="false" outlineLevel="0" collapsed="false">
      <c r="A843" s="54" t="n">
        <v>46195</v>
      </c>
      <c r="B843" s="46" t="s">
        <v>47</v>
      </c>
      <c r="C843" s="46" t="s">
        <v>97</v>
      </c>
      <c r="D843" s="46" t="s">
        <v>110</v>
      </c>
      <c r="E843" s="47" t="n">
        <v>245500</v>
      </c>
    </row>
    <row r="844" customFormat="false" ht="15" hidden="false" customHeight="false" outlineLevel="0" collapsed="false">
      <c r="A844" s="54" t="n">
        <v>46195</v>
      </c>
      <c r="B844" s="46" t="s">
        <v>54</v>
      </c>
      <c r="C844" s="46" t="s">
        <v>103</v>
      </c>
      <c r="D844" s="46" t="s">
        <v>109</v>
      </c>
      <c r="E844" s="47" t="n">
        <v>78700</v>
      </c>
    </row>
    <row r="845" customFormat="false" ht="15" hidden="false" customHeight="false" outlineLevel="0" collapsed="false">
      <c r="A845" s="54" t="n">
        <v>46196</v>
      </c>
      <c r="B845" s="46" t="s">
        <v>58</v>
      </c>
      <c r="C845" s="46" t="s">
        <v>103</v>
      </c>
      <c r="D845" s="46" t="s">
        <v>109</v>
      </c>
      <c r="E845" s="47" t="n">
        <v>9300</v>
      </c>
    </row>
    <row r="846" customFormat="false" ht="15" hidden="false" customHeight="false" outlineLevel="0" collapsed="false">
      <c r="A846" s="54" t="n">
        <v>46196</v>
      </c>
      <c r="B846" s="46" t="s">
        <v>102</v>
      </c>
      <c r="C846" s="46" t="s">
        <v>99</v>
      </c>
      <c r="D846" s="46" t="s">
        <v>108</v>
      </c>
      <c r="E846" s="47" t="n">
        <v>567100</v>
      </c>
    </row>
    <row r="847" customFormat="false" ht="15" hidden="false" customHeight="false" outlineLevel="0" collapsed="false">
      <c r="A847" s="54" t="n">
        <v>46196</v>
      </c>
      <c r="B847" s="46" t="s">
        <v>45</v>
      </c>
      <c r="C847" s="46" t="s">
        <v>97</v>
      </c>
      <c r="D847" s="46" t="s">
        <v>110</v>
      </c>
      <c r="E847" s="47" t="n">
        <v>266400</v>
      </c>
    </row>
    <row r="848" customFormat="false" ht="15" hidden="false" customHeight="false" outlineLevel="0" collapsed="false">
      <c r="A848" s="54" t="n">
        <v>46196</v>
      </c>
      <c r="B848" s="46" t="s">
        <v>55</v>
      </c>
      <c r="C848" s="46" t="s">
        <v>103</v>
      </c>
      <c r="D848" s="46" t="s">
        <v>109</v>
      </c>
      <c r="E848" s="47" t="n">
        <v>27800</v>
      </c>
    </row>
    <row r="849" customFormat="false" ht="15" hidden="false" customHeight="false" outlineLevel="0" collapsed="false">
      <c r="A849" s="54" t="n">
        <v>46197</v>
      </c>
      <c r="B849" s="46" t="s">
        <v>46</v>
      </c>
      <c r="C849" s="46" t="s">
        <v>97</v>
      </c>
      <c r="D849" s="46" t="s">
        <v>110</v>
      </c>
      <c r="E849" s="47" t="n">
        <v>105600</v>
      </c>
    </row>
    <row r="850" customFormat="false" ht="15" hidden="false" customHeight="false" outlineLevel="0" collapsed="false">
      <c r="A850" s="54" t="n">
        <v>46197</v>
      </c>
      <c r="B850" s="46" t="s">
        <v>44</v>
      </c>
      <c r="C850" s="46" t="s">
        <v>97</v>
      </c>
      <c r="D850" s="46" t="s">
        <v>110</v>
      </c>
      <c r="E850" s="47" t="n">
        <v>363900</v>
      </c>
    </row>
    <row r="851" customFormat="false" ht="15" hidden="false" customHeight="false" outlineLevel="0" collapsed="false">
      <c r="A851" s="54" t="n">
        <v>46197</v>
      </c>
      <c r="B851" s="46" t="s">
        <v>44</v>
      </c>
      <c r="C851" s="46" t="s">
        <v>97</v>
      </c>
      <c r="D851" s="46" t="s">
        <v>110</v>
      </c>
      <c r="E851" s="47" t="n">
        <v>246400</v>
      </c>
    </row>
    <row r="852" customFormat="false" ht="15" hidden="false" customHeight="false" outlineLevel="0" collapsed="false">
      <c r="A852" s="54" t="n">
        <v>46197</v>
      </c>
      <c r="B852" s="46" t="s">
        <v>44</v>
      </c>
      <c r="C852" s="46" t="s">
        <v>97</v>
      </c>
      <c r="D852" s="46" t="s">
        <v>110</v>
      </c>
      <c r="E852" s="47" t="n">
        <v>761300</v>
      </c>
    </row>
    <row r="853" customFormat="false" ht="15" hidden="false" customHeight="false" outlineLevel="0" collapsed="false">
      <c r="A853" s="54" t="n">
        <v>46197</v>
      </c>
      <c r="B853" s="46" t="s">
        <v>54</v>
      </c>
      <c r="C853" s="46" t="s">
        <v>103</v>
      </c>
      <c r="D853" s="46" t="s">
        <v>109</v>
      </c>
      <c r="E853" s="47" t="n">
        <v>78600</v>
      </c>
    </row>
    <row r="854" customFormat="false" ht="15" hidden="false" customHeight="false" outlineLevel="0" collapsed="false">
      <c r="A854" s="54" t="n">
        <v>46198</v>
      </c>
      <c r="B854" s="46" t="s">
        <v>100</v>
      </c>
      <c r="C854" s="46" t="s">
        <v>99</v>
      </c>
      <c r="D854" s="46" t="s">
        <v>108</v>
      </c>
      <c r="E854" s="47" t="n">
        <v>784100</v>
      </c>
    </row>
    <row r="855" customFormat="false" ht="15" hidden="false" customHeight="false" outlineLevel="0" collapsed="false">
      <c r="A855" s="54" t="n">
        <v>46198</v>
      </c>
      <c r="B855" s="46" t="s">
        <v>46</v>
      </c>
      <c r="C855" s="46" t="s">
        <v>97</v>
      </c>
      <c r="D855" s="46" t="s">
        <v>110</v>
      </c>
      <c r="E855" s="47" t="n">
        <v>343500</v>
      </c>
    </row>
    <row r="856" customFormat="false" ht="15" hidden="false" customHeight="false" outlineLevel="0" collapsed="false">
      <c r="A856" s="54" t="n">
        <v>46198</v>
      </c>
      <c r="B856" s="46" t="s">
        <v>45</v>
      </c>
      <c r="C856" s="46" t="s">
        <v>97</v>
      </c>
      <c r="D856" s="46" t="s">
        <v>110</v>
      </c>
      <c r="E856" s="47" t="n">
        <v>303200</v>
      </c>
    </row>
    <row r="857" customFormat="false" ht="15" hidden="false" customHeight="false" outlineLevel="0" collapsed="false">
      <c r="A857" s="54" t="n">
        <v>46198</v>
      </c>
      <c r="B857" s="46" t="s">
        <v>47</v>
      </c>
      <c r="C857" s="46" t="s">
        <v>97</v>
      </c>
      <c r="D857" s="46" t="s">
        <v>110</v>
      </c>
      <c r="E857" s="47" t="n">
        <v>132200</v>
      </c>
    </row>
    <row r="858" customFormat="false" ht="15" hidden="false" customHeight="false" outlineLevel="0" collapsed="false">
      <c r="A858" s="54" t="n">
        <v>46198</v>
      </c>
      <c r="B858" s="46" t="s">
        <v>55</v>
      </c>
      <c r="C858" s="46" t="s">
        <v>103</v>
      </c>
      <c r="D858" s="46" t="s">
        <v>109</v>
      </c>
      <c r="E858" s="47" t="n">
        <v>66600</v>
      </c>
    </row>
    <row r="859" customFormat="false" ht="15" hidden="false" customHeight="false" outlineLevel="0" collapsed="false">
      <c r="A859" s="54" t="n">
        <v>46199</v>
      </c>
      <c r="B859" s="46" t="s">
        <v>102</v>
      </c>
      <c r="C859" s="46" t="s">
        <v>99</v>
      </c>
      <c r="D859" s="46" t="s">
        <v>108</v>
      </c>
      <c r="E859" s="47" t="n">
        <v>645500</v>
      </c>
    </row>
    <row r="860" customFormat="false" ht="15" hidden="false" customHeight="false" outlineLevel="0" collapsed="false">
      <c r="A860" s="54" t="n">
        <v>46199</v>
      </c>
      <c r="B860" s="46" t="s">
        <v>56</v>
      </c>
      <c r="C860" s="46" t="s">
        <v>103</v>
      </c>
      <c r="D860" s="46" t="s">
        <v>109</v>
      </c>
      <c r="E860" s="47" t="n">
        <v>36900</v>
      </c>
    </row>
    <row r="861" customFormat="false" ht="15" hidden="false" customHeight="false" outlineLevel="0" collapsed="false">
      <c r="A861" s="54" t="n">
        <v>46199</v>
      </c>
      <c r="B861" s="46" t="s">
        <v>46</v>
      </c>
      <c r="C861" s="46" t="s">
        <v>97</v>
      </c>
      <c r="D861" s="46" t="s">
        <v>110</v>
      </c>
      <c r="E861" s="47" t="n">
        <v>343900</v>
      </c>
    </row>
    <row r="862" customFormat="false" ht="15" hidden="false" customHeight="false" outlineLevel="0" collapsed="false">
      <c r="A862" s="54" t="n">
        <v>46199</v>
      </c>
      <c r="B862" s="46" t="s">
        <v>44</v>
      </c>
      <c r="C862" s="46" t="s">
        <v>97</v>
      </c>
      <c r="D862" s="46" t="s">
        <v>110</v>
      </c>
      <c r="E862" s="47" t="n">
        <v>616600</v>
      </c>
    </row>
    <row r="863" customFormat="false" ht="15" hidden="false" customHeight="false" outlineLevel="0" collapsed="false">
      <c r="A863" s="54" t="n">
        <v>46199</v>
      </c>
      <c r="B863" s="46" t="s">
        <v>45</v>
      </c>
      <c r="C863" s="46" t="s">
        <v>97</v>
      </c>
      <c r="D863" s="46" t="s">
        <v>110</v>
      </c>
      <c r="E863" s="47" t="n">
        <v>547700</v>
      </c>
    </row>
    <row r="864" customFormat="false" ht="15" hidden="false" customHeight="false" outlineLevel="0" collapsed="false">
      <c r="A864" s="54" t="n">
        <v>46199</v>
      </c>
      <c r="B864" s="46" t="s">
        <v>47</v>
      </c>
      <c r="C864" s="46" t="s">
        <v>97</v>
      </c>
      <c r="D864" s="46" t="s">
        <v>110</v>
      </c>
      <c r="E864" s="47" t="n">
        <v>251700</v>
      </c>
    </row>
    <row r="865" customFormat="false" ht="15" hidden="false" customHeight="false" outlineLevel="0" collapsed="false">
      <c r="A865" s="54" t="n">
        <v>46199</v>
      </c>
      <c r="B865" s="46" t="s">
        <v>55</v>
      </c>
      <c r="C865" s="46" t="s">
        <v>103</v>
      </c>
      <c r="D865" s="46" t="s">
        <v>109</v>
      </c>
      <c r="E865" s="47" t="n">
        <v>81400</v>
      </c>
    </row>
    <row r="866" customFormat="false" ht="15" hidden="false" customHeight="false" outlineLevel="0" collapsed="false">
      <c r="A866" s="54" t="n">
        <v>46200</v>
      </c>
      <c r="B866" s="46" t="s">
        <v>58</v>
      </c>
      <c r="C866" s="46" t="s">
        <v>103</v>
      </c>
      <c r="D866" s="46" t="s">
        <v>109</v>
      </c>
      <c r="E866" s="47" t="n">
        <v>13500</v>
      </c>
    </row>
    <row r="867" customFormat="false" ht="15" hidden="false" customHeight="false" outlineLevel="0" collapsed="false">
      <c r="A867" s="54" t="n">
        <v>46200</v>
      </c>
      <c r="B867" s="46" t="s">
        <v>58</v>
      </c>
      <c r="C867" s="46" t="s">
        <v>103</v>
      </c>
      <c r="D867" s="46" t="s">
        <v>109</v>
      </c>
      <c r="E867" s="47" t="n">
        <v>4100</v>
      </c>
    </row>
    <row r="868" customFormat="false" ht="15" hidden="false" customHeight="false" outlineLevel="0" collapsed="false">
      <c r="A868" s="54" t="n">
        <v>46200</v>
      </c>
      <c r="B868" s="46" t="s">
        <v>46</v>
      </c>
      <c r="C868" s="46" t="s">
        <v>97</v>
      </c>
      <c r="D868" s="46" t="s">
        <v>110</v>
      </c>
      <c r="E868" s="47" t="n">
        <v>189700</v>
      </c>
    </row>
    <row r="869" customFormat="false" ht="15" hidden="false" customHeight="false" outlineLevel="0" collapsed="false">
      <c r="A869" s="54" t="n">
        <v>46200</v>
      </c>
      <c r="B869" s="46" t="s">
        <v>45</v>
      </c>
      <c r="C869" s="46" t="s">
        <v>97</v>
      </c>
      <c r="D869" s="46" t="s">
        <v>110</v>
      </c>
      <c r="E869" s="47" t="n">
        <v>626900</v>
      </c>
    </row>
    <row r="870" customFormat="false" ht="15" hidden="false" customHeight="false" outlineLevel="0" collapsed="false">
      <c r="A870" s="54" t="n">
        <v>46204</v>
      </c>
      <c r="B870" s="46" t="s">
        <v>101</v>
      </c>
      <c r="C870" s="46" t="s">
        <v>99</v>
      </c>
      <c r="D870" s="46" t="s">
        <v>108</v>
      </c>
      <c r="E870" s="47" t="n">
        <v>843700</v>
      </c>
    </row>
    <row r="871" customFormat="false" ht="15" hidden="false" customHeight="false" outlineLevel="0" collapsed="false">
      <c r="A871" s="54" t="n">
        <v>46204</v>
      </c>
      <c r="B871" s="46" t="s">
        <v>98</v>
      </c>
      <c r="C871" s="46" t="s">
        <v>99</v>
      </c>
      <c r="D871" s="46" t="s">
        <v>108</v>
      </c>
      <c r="E871" s="47" t="n">
        <v>1420800</v>
      </c>
    </row>
    <row r="872" customFormat="false" ht="15" hidden="false" customHeight="false" outlineLevel="0" collapsed="false">
      <c r="A872" s="54" t="n">
        <v>46204</v>
      </c>
      <c r="B872" s="46" t="s">
        <v>46</v>
      </c>
      <c r="C872" s="46" t="s">
        <v>97</v>
      </c>
      <c r="D872" s="46" t="s">
        <v>110</v>
      </c>
      <c r="E872" s="47" t="n">
        <v>408600</v>
      </c>
    </row>
    <row r="873" customFormat="false" ht="15" hidden="false" customHeight="false" outlineLevel="0" collapsed="false">
      <c r="A873" s="54" t="n">
        <v>46204</v>
      </c>
      <c r="B873" s="46" t="s">
        <v>46</v>
      </c>
      <c r="C873" s="46" t="s">
        <v>97</v>
      </c>
      <c r="D873" s="46" t="s">
        <v>110</v>
      </c>
      <c r="E873" s="47" t="n">
        <v>242100</v>
      </c>
    </row>
    <row r="874" customFormat="false" ht="15" hidden="false" customHeight="false" outlineLevel="0" collapsed="false">
      <c r="A874" s="54" t="n">
        <v>46204</v>
      </c>
      <c r="B874" s="46" t="s">
        <v>44</v>
      </c>
      <c r="C874" s="46" t="s">
        <v>97</v>
      </c>
      <c r="D874" s="46" t="s">
        <v>110</v>
      </c>
      <c r="E874" s="47" t="n">
        <v>259000</v>
      </c>
    </row>
    <row r="875" customFormat="false" ht="15" hidden="false" customHeight="false" outlineLevel="0" collapsed="false">
      <c r="A875" s="54" t="n">
        <v>46204</v>
      </c>
      <c r="B875" s="46" t="s">
        <v>44</v>
      </c>
      <c r="C875" s="46" t="s">
        <v>97</v>
      </c>
      <c r="D875" s="46" t="s">
        <v>110</v>
      </c>
      <c r="E875" s="47" t="n">
        <v>240100</v>
      </c>
    </row>
    <row r="876" customFormat="false" ht="15" hidden="false" customHeight="false" outlineLevel="0" collapsed="false">
      <c r="A876" s="54" t="n">
        <v>46204</v>
      </c>
      <c r="B876" s="46" t="s">
        <v>47</v>
      </c>
      <c r="C876" s="46" t="s">
        <v>97</v>
      </c>
      <c r="D876" s="46" t="s">
        <v>110</v>
      </c>
      <c r="E876" s="47" t="n">
        <v>257500</v>
      </c>
    </row>
    <row r="877" customFormat="false" ht="15" hidden="false" customHeight="false" outlineLevel="0" collapsed="false">
      <c r="A877" s="54" t="n">
        <v>46205</v>
      </c>
      <c r="B877" s="46" t="s">
        <v>46</v>
      </c>
      <c r="C877" s="46" t="s">
        <v>97</v>
      </c>
      <c r="D877" s="46" t="s">
        <v>110</v>
      </c>
      <c r="E877" s="47" t="n">
        <v>337600</v>
      </c>
    </row>
    <row r="878" customFormat="false" ht="15" hidden="false" customHeight="false" outlineLevel="0" collapsed="false">
      <c r="A878" s="54" t="n">
        <v>46205</v>
      </c>
      <c r="B878" s="46" t="s">
        <v>46</v>
      </c>
      <c r="C878" s="46" t="s">
        <v>97</v>
      </c>
      <c r="D878" s="46" t="s">
        <v>110</v>
      </c>
      <c r="E878" s="47" t="n">
        <v>193700</v>
      </c>
    </row>
    <row r="879" customFormat="false" ht="15" hidden="false" customHeight="false" outlineLevel="0" collapsed="false">
      <c r="A879" s="54" t="n">
        <v>46205</v>
      </c>
      <c r="B879" s="46" t="s">
        <v>46</v>
      </c>
      <c r="C879" s="46" t="s">
        <v>97</v>
      </c>
      <c r="D879" s="46" t="s">
        <v>110</v>
      </c>
      <c r="E879" s="47" t="n">
        <v>188200</v>
      </c>
    </row>
    <row r="880" customFormat="false" ht="15" hidden="false" customHeight="false" outlineLevel="0" collapsed="false">
      <c r="A880" s="54" t="n">
        <v>46205</v>
      </c>
      <c r="B880" s="46" t="s">
        <v>45</v>
      </c>
      <c r="C880" s="46" t="s">
        <v>97</v>
      </c>
      <c r="D880" s="46" t="s">
        <v>110</v>
      </c>
      <c r="E880" s="47" t="n">
        <v>295300</v>
      </c>
    </row>
    <row r="881" customFormat="false" ht="15" hidden="false" customHeight="false" outlineLevel="0" collapsed="false">
      <c r="A881" s="54" t="n">
        <v>46205</v>
      </c>
      <c r="B881" s="46" t="s">
        <v>45</v>
      </c>
      <c r="C881" s="46" t="s">
        <v>97</v>
      </c>
      <c r="D881" s="46" t="s">
        <v>110</v>
      </c>
      <c r="E881" s="47" t="n">
        <v>447600</v>
      </c>
    </row>
    <row r="882" customFormat="false" ht="15" hidden="false" customHeight="false" outlineLevel="0" collapsed="false">
      <c r="A882" s="54" t="n">
        <v>46205</v>
      </c>
      <c r="B882" s="46" t="s">
        <v>45</v>
      </c>
      <c r="C882" s="46" t="s">
        <v>97</v>
      </c>
      <c r="D882" s="46" t="s">
        <v>110</v>
      </c>
      <c r="E882" s="47" t="n">
        <v>312900</v>
      </c>
    </row>
    <row r="883" customFormat="false" ht="15" hidden="false" customHeight="false" outlineLevel="0" collapsed="false">
      <c r="A883" s="54" t="n">
        <v>46205</v>
      </c>
      <c r="B883" s="46" t="s">
        <v>55</v>
      </c>
      <c r="C883" s="46" t="s">
        <v>103</v>
      </c>
      <c r="D883" s="46" t="s">
        <v>109</v>
      </c>
      <c r="E883" s="47" t="n">
        <v>110800</v>
      </c>
    </row>
    <row r="884" customFormat="false" ht="15" hidden="false" customHeight="false" outlineLevel="0" collapsed="false">
      <c r="A884" s="54" t="n">
        <v>46206</v>
      </c>
      <c r="B884" s="46" t="s">
        <v>59</v>
      </c>
      <c r="C884" s="46" t="s">
        <v>103</v>
      </c>
      <c r="D884" s="46" t="s">
        <v>109</v>
      </c>
      <c r="E884" s="47" t="n">
        <v>124000</v>
      </c>
    </row>
    <row r="885" customFormat="false" ht="15" hidden="false" customHeight="false" outlineLevel="0" collapsed="false">
      <c r="A885" s="54" t="n">
        <v>46206</v>
      </c>
      <c r="B885" s="46" t="s">
        <v>44</v>
      </c>
      <c r="C885" s="46" t="s">
        <v>97</v>
      </c>
      <c r="D885" s="46" t="s">
        <v>110</v>
      </c>
      <c r="E885" s="47" t="n">
        <v>282200</v>
      </c>
    </row>
    <row r="886" customFormat="false" ht="15" hidden="false" customHeight="false" outlineLevel="0" collapsed="false">
      <c r="A886" s="54" t="n">
        <v>46206</v>
      </c>
      <c r="B886" s="46" t="s">
        <v>44</v>
      </c>
      <c r="C886" s="46" t="s">
        <v>97</v>
      </c>
      <c r="D886" s="46" t="s">
        <v>110</v>
      </c>
      <c r="E886" s="47" t="n">
        <v>680300</v>
      </c>
    </row>
    <row r="887" customFormat="false" ht="15" hidden="false" customHeight="false" outlineLevel="0" collapsed="false">
      <c r="A887" s="54" t="n">
        <v>46206</v>
      </c>
      <c r="B887" s="46" t="s">
        <v>45</v>
      </c>
      <c r="C887" s="46" t="s">
        <v>97</v>
      </c>
      <c r="D887" s="46" t="s">
        <v>110</v>
      </c>
      <c r="E887" s="47" t="n">
        <v>367900</v>
      </c>
    </row>
    <row r="888" customFormat="false" ht="15" hidden="false" customHeight="false" outlineLevel="0" collapsed="false">
      <c r="A888" s="54" t="n">
        <v>46206</v>
      </c>
      <c r="B888" s="46" t="s">
        <v>47</v>
      </c>
      <c r="C888" s="46" t="s">
        <v>97</v>
      </c>
      <c r="D888" s="46" t="s">
        <v>110</v>
      </c>
      <c r="E888" s="47" t="n">
        <v>290300</v>
      </c>
    </row>
    <row r="889" customFormat="false" ht="15" hidden="false" customHeight="false" outlineLevel="0" collapsed="false">
      <c r="A889" s="54" t="n">
        <v>46207</v>
      </c>
      <c r="B889" s="46" t="s">
        <v>46</v>
      </c>
      <c r="C889" s="46" t="s">
        <v>97</v>
      </c>
      <c r="D889" s="46" t="s">
        <v>110</v>
      </c>
      <c r="E889" s="47" t="n">
        <v>246300</v>
      </c>
    </row>
    <row r="890" customFormat="false" ht="15" hidden="false" customHeight="false" outlineLevel="0" collapsed="false">
      <c r="A890" s="54" t="n">
        <v>46207</v>
      </c>
      <c r="B890" s="46" t="s">
        <v>44</v>
      </c>
      <c r="C890" s="46" t="s">
        <v>97</v>
      </c>
      <c r="D890" s="46" t="s">
        <v>110</v>
      </c>
      <c r="E890" s="47" t="n">
        <v>397100</v>
      </c>
    </row>
    <row r="891" customFormat="false" ht="15" hidden="false" customHeight="false" outlineLevel="0" collapsed="false">
      <c r="A891" s="54" t="n">
        <v>46207</v>
      </c>
      <c r="B891" s="46" t="s">
        <v>44</v>
      </c>
      <c r="C891" s="46" t="s">
        <v>97</v>
      </c>
      <c r="D891" s="46" t="s">
        <v>110</v>
      </c>
      <c r="E891" s="47" t="n">
        <v>857400</v>
      </c>
    </row>
    <row r="892" customFormat="false" ht="15" hidden="false" customHeight="false" outlineLevel="0" collapsed="false">
      <c r="A892" s="54" t="n">
        <v>46207</v>
      </c>
      <c r="B892" s="46" t="s">
        <v>45</v>
      </c>
      <c r="C892" s="46" t="s">
        <v>97</v>
      </c>
      <c r="D892" s="46" t="s">
        <v>110</v>
      </c>
      <c r="E892" s="47" t="n">
        <v>404400</v>
      </c>
    </row>
    <row r="893" customFormat="false" ht="15" hidden="false" customHeight="false" outlineLevel="0" collapsed="false">
      <c r="A893" s="54" t="n">
        <v>46208</v>
      </c>
      <c r="B893" s="46" t="s">
        <v>47</v>
      </c>
      <c r="C893" s="46" t="s">
        <v>97</v>
      </c>
      <c r="D893" s="46" t="s">
        <v>110</v>
      </c>
      <c r="E893" s="47" t="n">
        <v>187600</v>
      </c>
    </row>
    <row r="894" customFormat="false" ht="15" hidden="false" customHeight="false" outlineLevel="0" collapsed="false">
      <c r="A894" s="54" t="n">
        <v>46209</v>
      </c>
      <c r="B894" s="46" t="s">
        <v>56</v>
      </c>
      <c r="C894" s="46" t="s">
        <v>103</v>
      </c>
      <c r="D894" s="46" t="s">
        <v>109</v>
      </c>
      <c r="E894" s="47" t="n">
        <v>66100</v>
      </c>
    </row>
    <row r="895" customFormat="false" ht="15" hidden="false" customHeight="false" outlineLevel="0" collapsed="false">
      <c r="A895" s="54" t="n">
        <v>46209</v>
      </c>
      <c r="B895" s="46" t="s">
        <v>56</v>
      </c>
      <c r="C895" s="46" t="s">
        <v>103</v>
      </c>
      <c r="D895" s="46" t="s">
        <v>109</v>
      </c>
      <c r="E895" s="47" t="n">
        <v>30400</v>
      </c>
    </row>
    <row r="896" customFormat="false" ht="15" hidden="false" customHeight="false" outlineLevel="0" collapsed="false">
      <c r="A896" s="54" t="n">
        <v>46209</v>
      </c>
      <c r="B896" s="46" t="s">
        <v>55</v>
      </c>
      <c r="C896" s="46" t="s">
        <v>103</v>
      </c>
      <c r="D896" s="46" t="s">
        <v>109</v>
      </c>
      <c r="E896" s="47" t="n">
        <v>52800</v>
      </c>
    </row>
    <row r="897" customFormat="false" ht="15" hidden="false" customHeight="false" outlineLevel="0" collapsed="false">
      <c r="A897" s="54" t="n">
        <v>46210</v>
      </c>
      <c r="B897" s="46" t="s">
        <v>46</v>
      </c>
      <c r="C897" s="46" t="s">
        <v>97</v>
      </c>
      <c r="D897" s="46" t="s">
        <v>110</v>
      </c>
      <c r="E897" s="47" t="n">
        <v>231500</v>
      </c>
    </row>
    <row r="898" customFormat="false" ht="15" hidden="false" customHeight="false" outlineLevel="0" collapsed="false">
      <c r="A898" s="54" t="n">
        <v>46210</v>
      </c>
      <c r="B898" s="46" t="s">
        <v>44</v>
      </c>
      <c r="C898" s="46" t="s">
        <v>97</v>
      </c>
      <c r="D898" s="46" t="s">
        <v>110</v>
      </c>
      <c r="E898" s="47" t="n">
        <v>782000</v>
      </c>
    </row>
    <row r="899" customFormat="false" ht="15" hidden="false" customHeight="false" outlineLevel="0" collapsed="false">
      <c r="A899" s="54" t="n">
        <v>46210</v>
      </c>
      <c r="B899" s="46" t="s">
        <v>45</v>
      </c>
      <c r="C899" s="46" t="s">
        <v>97</v>
      </c>
      <c r="D899" s="46" t="s">
        <v>110</v>
      </c>
      <c r="E899" s="47" t="n">
        <v>540800</v>
      </c>
    </row>
    <row r="900" customFormat="false" ht="15" hidden="false" customHeight="false" outlineLevel="0" collapsed="false">
      <c r="A900" s="54" t="n">
        <v>46210</v>
      </c>
      <c r="B900" s="46" t="s">
        <v>47</v>
      </c>
      <c r="C900" s="46" t="s">
        <v>97</v>
      </c>
      <c r="D900" s="46" t="s">
        <v>110</v>
      </c>
      <c r="E900" s="47" t="n">
        <v>303100</v>
      </c>
    </row>
    <row r="901" customFormat="false" ht="15" hidden="false" customHeight="false" outlineLevel="0" collapsed="false">
      <c r="A901" s="54" t="n">
        <v>46210</v>
      </c>
      <c r="B901" s="46" t="s">
        <v>47</v>
      </c>
      <c r="C901" s="46" t="s">
        <v>97</v>
      </c>
      <c r="D901" s="46" t="s">
        <v>110</v>
      </c>
      <c r="E901" s="47" t="n">
        <v>112100</v>
      </c>
    </row>
    <row r="902" customFormat="false" ht="15" hidden="false" customHeight="false" outlineLevel="0" collapsed="false">
      <c r="A902" s="54" t="n">
        <v>46210</v>
      </c>
      <c r="B902" s="46" t="s">
        <v>55</v>
      </c>
      <c r="C902" s="46" t="s">
        <v>103</v>
      </c>
      <c r="D902" s="46" t="s">
        <v>109</v>
      </c>
      <c r="E902" s="47" t="n">
        <v>64200</v>
      </c>
    </row>
    <row r="903" customFormat="false" ht="15" hidden="false" customHeight="false" outlineLevel="0" collapsed="false">
      <c r="A903" s="54" t="n">
        <v>46211</v>
      </c>
      <c r="B903" s="46" t="s">
        <v>100</v>
      </c>
      <c r="C903" s="46" t="s">
        <v>99</v>
      </c>
      <c r="D903" s="46" t="s">
        <v>108</v>
      </c>
      <c r="E903" s="47" t="n">
        <v>606400</v>
      </c>
    </row>
    <row r="904" customFormat="false" ht="15" hidden="false" customHeight="false" outlineLevel="0" collapsed="false">
      <c r="A904" s="54" t="n">
        <v>46211</v>
      </c>
      <c r="B904" s="46" t="s">
        <v>46</v>
      </c>
      <c r="C904" s="46" t="s">
        <v>97</v>
      </c>
      <c r="D904" s="46" t="s">
        <v>110</v>
      </c>
      <c r="E904" s="47" t="n">
        <v>277200</v>
      </c>
    </row>
    <row r="905" customFormat="false" ht="15" hidden="false" customHeight="false" outlineLevel="0" collapsed="false">
      <c r="A905" s="54" t="n">
        <v>46211</v>
      </c>
      <c r="B905" s="46" t="s">
        <v>46</v>
      </c>
      <c r="C905" s="46" t="s">
        <v>97</v>
      </c>
      <c r="D905" s="46" t="s">
        <v>110</v>
      </c>
      <c r="E905" s="47" t="n">
        <v>119300</v>
      </c>
    </row>
    <row r="906" customFormat="false" ht="15" hidden="false" customHeight="false" outlineLevel="0" collapsed="false">
      <c r="A906" s="54" t="n">
        <v>46211</v>
      </c>
      <c r="B906" s="46" t="s">
        <v>45</v>
      </c>
      <c r="C906" s="46" t="s">
        <v>97</v>
      </c>
      <c r="D906" s="46" t="s">
        <v>110</v>
      </c>
      <c r="E906" s="47" t="n">
        <v>497100</v>
      </c>
    </row>
    <row r="907" customFormat="false" ht="15" hidden="false" customHeight="false" outlineLevel="0" collapsed="false">
      <c r="A907" s="54" t="n">
        <v>46211</v>
      </c>
      <c r="B907" s="46" t="s">
        <v>45</v>
      </c>
      <c r="C907" s="46" t="s">
        <v>97</v>
      </c>
      <c r="D907" s="46" t="s">
        <v>110</v>
      </c>
      <c r="E907" s="47" t="n">
        <v>397900</v>
      </c>
    </row>
    <row r="908" customFormat="false" ht="15" hidden="false" customHeight="false" outlineLevel="0" collapsed="false">
      <c r="A908" s="54" t="n">
        <v>46211</v>
      </c>
      <c r="B908" s="46" t="s">
        <v>47</v>
      </c>
      <c r="C908" s="46" t="s">
        <v>97</v>
      </c>
      <c r="D908" s="46" t="s">
        <v>110</v>
      </c>
      <c r="E908" s="47" t="n">
        <v>110300</v>
      </c>
    </row>
    <row r="909" customFormat="false" ht="15" hidden="false" customHeight="false" outlineLevel="0" collapsed="false">
      <c r="A909" s="54" t="n">
        <v>46212</v>
      </c>
      <c r="B909" s="46" t="s">
        <v>58</v>
      </c>
      <c r="C909" s="46" t="s">
        <v>103</v>
      </c>
      <c r="D909" s="46" t="s">
        <v>109</v>
      </c>
      <c r="E909" s="47" t="n">
        <v>14300</v>
      </c>
    </row>
    <row r="910" customFormat="false" ht="15" hidden="false" customHeight="false" outlineLevel="0" collapsed="false">
      <c r="A910" s="54" t="n">
        <v>46212</v>
      </c>
      <c r="B910" s="46" t="s">
        <v>101</v>
      </c>
      <c r="C910" s="46" t="s">
        <v>99</v>
      </c>
      <c r="D910" s="46" t="s">
        <v>108</v>
      </c>
      <c r="E910" s="47" t="n">
        <v>503200</v>
      </c>
    </row>
    <row r="911" customFormat="false" ht="15" hidden="false" customHeight="false" outlineLevel="0" collapsed="false">
      <c r="A911" s="54" t="n">
        <v>46212</v>
      </c>
      <c r="B911" s="46" t="s">
        <v>102</v>
      </c>
      <c r="C911" s="46" t="s">
        <v>99</v>
      </c>
      <c r="D911" s="46" t="s">
        <v>108</v>
      </c>
      <c r="E911" s="47" t="n">
        <v>686400</v>
      </c>
    </row>
    <row r="912" customFormat="false" ht="15" hidden="false" customHeight="false" outlineLevel="0" collapsed="false">
      <c r="A912" s="54" t="n">
        <v>46212</v>
      </c>
      <c r="B912" s="46" t="s">
        <v>45</v>
      </c>
      <c r="C912" s="46" t="s">
        <v>97</v>
      </c>
      <c r="D912" s="46" t="s">
        <v>110</v>
      </c>
      <c r="E912" s="47" t="n">
        <v>488700</v>
      </c>
    </row>
    <row r="913" customFormat="false" ht="15" hidden="false" customHeight="false" outlineLevel="0" collapsed="false">
      <c r="A913" s="54" t="n">
        <v>46212</v>
      </c>
      <c r="B913" s="46" t="s">
        <v>47</v>
      </c>
      <c r="C913" s="46" t="s">
        <v>97</v>
      </c>
      <c r="D913" s="46" t="s">
        <v>110</v>
      </c>
      <c r="E913" s="47" t="n">
        <v>191500</v>
      </c>
    </row>
    <row r="914" customFormat="false" ht="15" hidden="false" customHeight="false" outlineLevel="0" collapsed="false">
      <c r="A914" s="54" t="n">
        <v>46212</v>
      </c>
      <c r="B914" s="46" t="s">
        <v>47</v>
      </c>
      <c r="C914" s="46" t="s">
        <v>97</v>
      </c>
      <c r="D914" s="46" t="s">
        <v>110</v>
      </c>
      <c r="E914" s="47" t="n">
        <v>120100</v>
      </c>
    </row>
    <row r="915" customFormat="false" ht="15" hidden="false" customHeight="false" outlineLevel="0" collapsed="false">
      <c r="A915" s="54" t="n">
        <v>46213</v>
      </c>
      <c r="B915" s="46" t="s">
        <v>101</v>
      </c>
      <c r="C915" s="46" t="s">
        <v>99</v>
      </c>
      <c r="D915" s="46" t="s">
        <v>108</v>
      </c>
      <c r="E915" s="47" t="n">
        <v>417400</v>
      </c>
    </row>
    <row r="916" customFormat="false" ht="15" hidden="false" customHeight="false" outlineLevel="0" collapsed="false">
      <c r="A916" s="54" t="n">
        <v>46213</v>
      </c>
      <c r="B916" s="46" t="s">
        <v>47</v>
      </c>
      <c r="C916" s="46" t="s">
        <v>97</v>
      </c>
      <c r="D916" s="46" t="s">
        <v>110</v>
      </c>
      <c r="E916" s="47" t="n">
        <v>116400</v>
      </c>
    </row>
    <row r="917" customFormat="false" ht="15" hidden="false" customHeight="false" outlineLevel="0" collapsed="false">
      <c r="A917" s="54" t="n">
        <v>46213</v>
      </c>
      <c r="B917" s="46" t="s">
        <v>47</v>
      </c>
      <c r="C917" s="46" t="s">
        <v>97</v>
      </c>
      <c r="D917" s="46" t="s">
        <v>110</v>
      </c>
      <c r="E917" s="47" t="n">
        <v>159400</v>
      </c>
    </row>
    <row r="918" customFormat="false" ht="15" hidden="false" customHeight="false" outlineLevel="0" collapsed="false">
      <c r="A918" s="54" t="n">
        <v>46214</v>
      </c>
      <c r="B918" s="46" t="s">
        <v>58</v>
      </c>
      <c r="C918" s="46" t="s">
        <v>103</v>
      </c>
      <c r="D918" s="46" t="s">
        <v>109</v>
      </c>
      <c r="E918" s="47" t="n">
        <v>13000</v>
      </c>
    </row>
    <row r="919" customFormat="false" ht="15" hidden="false" customHeight="false" outlineLevel="0" collapsed="false">
      <c r="A919" s="54" t="n">
        <v>46214</v>
      </c>
      <c r="B919" s="46" t="s">
        <v>57</v>
      </c>
      <c r="C919" s="46" t="s">
        <v>103</v>
      </c>
      <c r="D919" s="46" t="s">
        <v>109</v>
      </c>
      <c r="E919" s="47" t="n">
        <v>93600</v>
      </c>
    </row>
    <row r="920" customFormat="false" ht="15" hidden="false" customHeight="false" outlineLevel="0" collapsed="false">
      <c r="A920" s="54" t="n">
        <v>46214</v>
      </c>
      <c r="B920" s="46" t="s">
        <v>56</v>
      </c>
      <c r="C920" s="46" t="s">
        <v>103</v>
      </c>
      <c r="D920" s="46" t="s">
        <v>109</v>
      </c>
      <c r="E920" s="47" t="n">
        <v>84300</v>
      </c>
    </row>
    <row r="921" customFormat="false" ht="15" hidden="false" customHeight="false" outlineLevel="0" collapsed="false">
      <c r="A921" s="54" t="n">
        <v>46214</v>
      </c>
      <c r="B921" s="46" t="s">
        <v>45</v>
      </c>
      <c r="C921" s="46" t="s">
        <v>97</v>
      </c>
      <c r="D921" s="46" t="s">
        <v>110</v>
      </c>
      <c r="E921" s="47" t="n">
        <v>708700</v>
      </c>
    </row>
    <row r="922" customFormat="false" ht="15" hidden="false" customHeight="false" outlineLevel="0" collapsed="false">
      <c r="A922" s="54" t="n">
        <v>46214</v>
      </c>
      <c r="B922" s="46" t="s">
        <v>45</v>
      </c>
      <c r="C922" s="46" t="s">
        <v>97</v>
      </c>
      <c r="D922" s="46" t="s">
        <v>110</v>
      </c>
      <c r="E922" s="47" t="n">
        <v>580000</v>
      </c>
    </row>
    <row r="923" customFormat="false" ht="15" hidden="false" customHeight="false" outlineLevel="0" collapsed="false">
      <c r="A923" s="54" t="n">
        <v>46214</v>
      </c>
      <c r="B923" s="46" t="s">
        <v>47</v>
      </c>
      <c r="C923" s="46" t="s">
        <v>97</v>
      </c>
      <c r="D923" s="46" t="s">
        <v>110</v>
      </c>
      <c r="E923" s="47" t="n">
        <v>254400</v>
      </c>
    </row>
    <row r="924" customFormat="false" ht="15" hidden="false" customHeight="false" outlineLevel="0" collapsed="false">
      <c r="A924" s="54" t="n">
        <v>46214</v>
      </c>
      <c r="B924" s="46" t="s">
        <v>55</v>
      </c>
      <c r="C924" s="46" t="s">
        <v>103</v>
      </c>
      <c r="D924" s="46" t="s">
        <v>109</v>
      </c>
      <c r="E924" s="47" t="n">
        <v>124900</v>
      </c>
    </row>
    <row r="925" customFormat="false" ht="15" hidden="false" customHeight="false" outlineLevel="0" collapsed="false">
      <c r="A925" s="54" t="n">
        <v>46215</v>
      </c>
      <c r="B925" s="46" t="s">
        <v>46</v>
      </c>
      <c r="C925" s="46" t="s">
        <v>97</v>
      </c>
      <c r="D925" s="46" t="s">
        <v>110</v>
      </c>
      <c r="E925" s="47" t="n">
        <v>412900</v>
      </c>
    </row>
    <row r="926" customFormat="false" ht="15" hidden="false" customHeight="false" outlineLevel="0" collapsed="false">
      <c r="A926" s="54" t="n">
        <v>46215</v>
      </c>
      <c r="B926" s="46" t="s">
        <v>47</v>
      </c>
      <c r="C926" s="46" t="s">
        <v>97</v>
      </c>
      <c r="D926" s="46" t="s">
        <v>110</v>
      </c>
      <c r="E926" s="47" t="n">
        <v>83500</v>
      </c>
    </row>
    <row r="927" customFormat="false" ht="15" hidden="false" customHeight="false" outlineLevel="0" collapsed="false">
      <c r="A927" s="54" t="n">
        <v>46215</v>
      </c>
      <c r="B927" s="46" t="s">
        <v>55</v>
      </c>
      <c r="C927" s="46" t="s">
        <v>103</v>
      </c>
      <c r="D927" s="46" t="s">
        <v>109</v>
      </c>
      <c r="E927" s="47" t="n">
        <v>45400</v>
      </c>
    </row>
    <row r="928" customFormat="false" ht="15" hidden="false" customHeight="false" outlineLevel="0" collapsed="false">
      <c r="A928" s="54" t="n">
        <v>46215</v>
      </c>
      <c r="B928" s="46" t="s">
        <v>55</v>
      </c>
      <c r="C928" s="46" t="s">
        <v>103</v>
      </c>
      <c r="D928" s="46" t="s">
        <v>109</v>
      </c>
      <c r="E928" s="47" t="n">
        <v>66700</v>
      </c>
    </row>
    <row r="929" customFormat="false" ht="15" hidden="false" customHeight="false" outlineLevel="0" collapsed="false">
      <c r="A929" s="54" t="n">
        <v>46216</v>
      </c>
      <c r="B929" s="46" t="s">
        <v>101</v>
      </c>
      <c r="C929" s="46" t="s">
        <v>99</v>
      </c>
      <c r="D929" s="46" t="s">
        <v>108</v>
      </c>
      <c r="E929" s="47" t="n">
        <v>601300</v>
      </c>
    </row>
    <row r="930" customFormat="false" ht="15" hidden="false" customHeight="false" outlineLevel="0" collapsed="false">
      <c r="A930" s="54" t="n">
        <v>46216</v>
      </c>
      <c r="B930" s="46" t="s">
        <v>53</v>
      </c>
      <c r="C930" s="46" t="s">
        <v>103</v>
      </c>
      <c r="D930" s="46" t="s">
        <v>109</v>
      </c>
      <c r="E930" s="47" t="n">
        <v>570700</v>
      </c>
    </row>
    <row r="931" customFormat="false" ht="15" hidden="false" customHeight="false" outlineLevel="0" collapsed="false">
      <c r="A931" s="54" t="n">
        <v>46216</v>
      </c>
      <c r="B931" s="46" t="s">
        <v>44</v>
      </c>
      <c r="C931" s="46" t="s">
        <v>97</v>
      </c>
      <c r="D931" s="46" t="s">
        <v>110</v>
      </c>
      <c r="E931" s="47" t="n">
        <v>613000</v>
      </c>
    </row>
    <row r="932" customFormat="false" ht="15" hidden="false" customHeight="false" outlineLevel="0" collapsed="false">
      <c r="A932" s="54" t="n">
        <v>46216</v>
      </c>
      <c r="B932" s="46" t="s">
        <v>47</v>
      </c>
      <c r="C932" s="46" t="s">
        <v>97</v>
      </c>
      <c r="D932" s="46" t="s">
        <v>110</v>
      </c>
      <c r="E932" s="47" t="n">
        <v>115900</v>
      </c>
    </row>
    <row r="933" customFormat="false" ht="15" hidden="false" customHeight="false" outlineLevel="0" collapsed="false">
      <c r="A933" s="54" t="n">
        <v>46217</v>
      </c>
      <c r="B933" s="46" t="s">
        <v>98</v>
      </c>
      <c r="C933" s="46" t="s">
        <v>99</v>
      </c>
      <c r="D933" s="46" t="s">
        <v>108</v>
      </c>
      <c r="E933" s="47" t="n">
        <v>1294900</v>
      </c>
    </row>
    <row r="934" customFormat="false" ht="15" hidden="false" customHeight="false" outlineLevel="0" collapsed="false">
      <c r="A934" s="54" t="n">
        <v>46217</v>
      </c>
      <c r="B934" s="46" t="s">
        <v>46</v>
      </c>
      <c r="C934" s="46" t="s">
        <v>97</v>
      </c>
      <c r="D934" s="46" t="s">
        <v>110</v>
      </c>
      <c r="E934" s="47" t="n">
        <v>197700</v>
      </c>
    </row>
    <row r="935" customFormat="false" ht="15" hidden="false" customHeight="false" outlineLevel="0" collapsed="false">
      <c r="A935" s="54" t="n">
        <v>46217</v>
      </c>
      <c r="B935" s="46" t="s">
        <v>55</v>
      </c>
      <c r="C935" s="46" t="s">
        <v>103</v>
      </c>
      <c r="D935" s="46" t="s">
        <v>109</v>
      </c>
      <c r="E935" s="47" t="n">
        <v>66500</v>
      </c>
    </row>
    <row r="936" customFormat="false" ht="15" hidden="false" customHeight="false" outlineLevel="0" collapsed="false">
      <c r="A936" s="54" t="n">
        <v>46218</v>
      </c>
      <c r="B936" s="46" t="s">
        <v>58</v>
      </c>
      <c r="C936" s="46" t="s">
        <v>103</v>
      </c>
      <c r="D936" s="46" t="s">
        <v>109</v>
      </c>
      <c r="E936" s="47" t="n">
        <v>7100</v>
      </c>
    </row>
    <row r="937" customFormat="false" ht="15" hidden="false" customHeight="false" outlineLevel="0" collapsed="false">
      <c r="A937" s="54" t="n">
        <v>46218</v>
      </c>
      <c r="B937" s="46" t="s">
        <v>98</v>
      </c>
      <c r="C937" s="46" t="s">
        <v>99</v>
      </c>
      <c r="D937" s="46" t="s">
        <v>108</v>
      </c>
      <c r="E937" s="47" t="n">
        <v>993700</v>
      </c>
    </row>
    <row r="938" customFormat="false" ht="15" hidden="false" customHeight="false" outlineLevel="0" collapsed="false">
      <c r="A938" s="54" t="n">
        <v>46218</v>
      </c>
      <c r="B938" s="46" t="s">
        <v>102</v>
      </c>
      <c r="C938" s="46" t="s">
        <v>99</v>
      </c>
      <c r="D938" s="46" t="s">
        <v>108</v>
      </c>
      <c r="E938" s="47" t="n">
        <v>286200</v>
      </c>
    </row>
    <row r="939" customFormat="false" ht="15" hidden="false" customHeight="false" outlineLevel="0" collapsed="false">
      <c r="A939" s="54" t="n">
        <v>46218</v>
      </c>
      <c r="B939" s="46" t="s">
        <v>44</v>
      </c>
      <c r="C939" s="46" t="s">
        <v>97</v>
      </c>
      <c r="D939" s="46" t="s">
        <v>110</v>
      </c>
      <c r="E939" s="47" t="n">
        <v>830700</v>
      </c>
    </row>
    <row r="940" customFormat="false" ht="15" hidden="false" customHeight="false" outlineLevel="0" collapsed="false">
      <c r="A940" s="54" t="n">
        <v>46218</v>
      </c>
      <c r="B940" s="46" t="s">
        <v>44</v>
      </c>
      <c r="C940" s="46" t="s">
        <v>97</v>
      </c>
      <c r="D940" s="46" t="s">
        <v>110</v>
      </c>
      <c r="E940" s="47" t="n">
        <v>791700</v>
      </c>
    </row>
    <row r="941" customFormat="false" ht="15" hidden="false" customHeight="false" outlineLevel="0" collapsed="false">
      <c r="A941" s="54" t="n">
        <v>46218</v>
      </c>
      <c r="B941" s="46" t="s">
        <v>44</v>
      </c>
      <c r="C941" s="46" t="s">
        <v>97</v>
      </c>
      <c r="D941" s="46" t="s">
        <v>110</v>
      </c>
      <c r="E941" s="47" t="n">
        <v>499900</v>
      </c>
    </row>
    <row r="942" customFormat="false" ht="15" hidden="false" customHeight="false" outlineLevel="0" collapsed="false">
      <c r="A942" s="54" t="n">
        <v>46218</v>
      </c>
      <c r="B942" s="46" t="s">
        <v>44</v>
      </c>
      <c r="C942" s="46" t="s">
        <v>97</v>
      </c>
      <c r="D942" s="46" t="s">
        <v>110</v>
      </c>
      <c r="E942" s="47" t="n">
        <v>836400</v>
      </c>
    </row>
    <row r="943" customFormat="false" ht="15" hidden="false" customHeight="false" outlineLevel="0" collapsed="false">
      <c r="A943" s="54" t="n">
        <v>46218</v>
      </c>
      <c r="B943" s="46" t="s">
        <v>47</v>
      </c>
      <c r="C943" s="46" t="s">
        <v>97</v>
      </c>
      <c r="D943" s="46" t="s">
        <v>110</v>
      </c>
      <c r="E943" s="47" t="n">
        <v>132700</v>
      </c>
    </row>
    <row r="944" customFormat="false" ht="15" hidden="false" customHeight="false" outlineLevel="0" collapsed="false">
      <c r="A944" s="54" t="n">
        <v>46218</v>
      </c>
      <c r="B944" s="46" t="s">
        <v>47</v>
      </c>
      <c r="C944" s="46" t="s">
        <v>97</v>
      </c>
      <c r="D944" s="46" t="s">
        <v>110</v>
      </c>
      <c r="E944" s="47" t="n">
        <v>169100</v>
      </c>
    </row>
    <row r="945" customFormat="false" ht="15" hidden="false" customHeight="false" outlineLevel="0" collapsed="false">
      <c r="A945" s="54" t="n">
        <v>46219</v>
      </c>
      <c r="B945" s="46" t="s">
        <v>58</v>
      </c>
      <c r="C945" s="46" t="s">
        <v>103</v>
      </c>
      <c r="D945" s="46" t="s">
        <v>109</v>
      </c>
      <c r="E945" s="47" t="n">
        <v>14300</v>
      </c>
    </row>
    <row r="946" customFormat="false" ht="15" hidden="false" customHeight="false" outlineLevel="0" collapsed="false">
      <c r="A946" s="54" t="n">
        <v>46219</v>
      </c>
      <c r="B946" s="46" t="s">
        <v>102</v>
      </c>
      <c r="C946" s="46" t="s">
        <v>99</v>
      </c>
      <c r="D946" s="46" t="s">
        <v>108</v>
      </c>
      <c r="E946" s="47" t="n">
        <v>530300</v>
      </c>
    </row>
    <row r="947" customFormat="false" ht="15" hidden="false" customHeight="false" outlineLevel="0" collapsed="false">
      <c r="A947" s="54" t="n">
        <v>46219</v>
      </c>
      <c r="B947" s="46" t="s">
        <v>46</v>
      </c>
      <c r="C947" s="46" t="s">
        <v>97</v>
      </c>
      <c r="D947" s="46" t="s">
        <v>110</v>
      </c>
      <c r="E947" s="47" t="n">
        <v>106200</v>
      </c>
    </row>
    <row r="948" customFormat="false" ht="15" hidden="false" customHeight="false" outlineLevel="0" collapsed="false">
      <c r="A948" s="54" t="n">
        <v>46219</v>
      </c>
      <c r="B948" s="46" t="s">
        <v>44</v>
      </c>
      <c r="C948" s="46" t="s">
        <v>97</v>
      </c>
      <c r="D948" s="46" t="s">
        <v>110</v>
      </c>
      <c r="E948" s="47" t="n">
        <v>294300</v>
      </c>
    </row>
    <row r="949" customFormat="false" ht="15" hidden="false" customHeight="false" outlineLevel="0" collapsed="false">
      <c r="A949" s="54" t="n">
        <v>46219</v>
      </c>
      <c r="B949" s="46" t="s">
        <v>45</v>
      </c>
      <c r="C949" s="46" t="s">
        <v>97</v>
      </c>
      <c r="D949" s="46" t="s">
        <v>110</v>
      </c>
      <c r="E949" s="47" t="n">
        <v>520100</v>
      </c>
    </row>
    <row r="950" customFormat="false" ht="15" hidden="false" customHeight="false" outlineLevel="0" collapsed="false">
      <c r="A950" s="54" t="n">
        <v>46220</v>
      </c>
      <c r="B950" s="46" t="s">
        <v>98</v>
      </c>
      <c r="C950" s="46" t="s">
        <v>99</v>
      </c>
      <c r="D950" s="46" t="s">
        <v>108</v>
      </c>
      <c r="E950" s="47" t="n">
        <v>1793000</v>
      </c>
    </row>
    <row r="951" customFormat="false" ht="15" hidden="false" customHeight="false" outlineLevel="0" collapsed="false">
      <c r="A951" s="54" t="n">
        <v>46220</v>
      </c>
      <c r="B951" s="46" t="s">
        <v>45</v>
      </c>
      <c r="C951" s="46" t="s">
        <v>97</v>
      </c>
      <c r="D951" s="46" t="s">
        <v>110</v>
      </c>
      <c r="E951" s="47" t="n">
        <v>337100</v>
      </c>
    </row>
    <row r="952" customFormat="false" ht="15" hidden="false" customHeight="false" outlineLevel="0" collapsed="false">
      <c r="A952" s="54" t="n">
        <v>46220</v>
      </c>
      <c r="B952" s="46" t="s">
        <v>45</v>
      </c>
      <c r="C952" s="46" t="s">
        <v>97</v>
      </c>
      <c r="D952" s="46" t="s">
        <v>110</v>
      </c>
      <c r="E952" s="47" t="n">
        <v>191400</v>
      </c>
    </row>
    <row r="953" customFormat="false" ht="15" hidden="false" customHeight="false" outlineLevel="0" collapsed="false">
      <c r="A953" s="54" t="n">
        <v>46220</v>
      </c>
      <c r="B953" s="46" t="s">
        <v>47</v>
      </c>
      <c r="C953" s="46" t="s">
        <v>97</v>
      </c>
      <c r="D953" s="46" t="s">
        <v>110</v>
      </c>
      <c r="E953" s="47" t="n">
        <v>257700</v>
      </c>
    </row>
    <row r="954" customFormat="false" ht="15" hidden="false" customHeight="false" outlineLevel="0" collapsed="false">
      <c r="A954" s="54" t="n">
        <v>46220</v>
      </c>
      <c r="B954" s="46" t="s">
        <v>47</v>
      </c>
      <c r="C954" s="46" t="s">
        <v>97</v>
      </c>
      <c r="D954" s="46" t="s">
        <v>110</v>
      </c>
      <c r="E954" s="47" t="n">
        <v>301000</v>
      </c>
    </row>
    <row r="955" customFormat="false" ht="15" hidden="false" customHeight="false" outlineLevel="0" collapsed="false">
      <c r="A955" s="54" t="n">
        <v>46220</v>
      </c>
      <c r="B955" s="46" t="s">
        <v>47</v>
      </c>
      <c r="C955" s="46" t="s">
        <v>97</v>
      </c>
      <c r="D955" s="46" t="s">
        <v>110</v>
      </c>
      <c r="E955" s="47" t="n">
        <v>133400</v>
      </c>
    </row>
    <row r="956" customFormat="false" ht="15" hidden="false" customHeight="false" outlineLevel="0" collapsed="false">
      <c r="A956" s="54" t="n">
        <v>46220</v>
      </c>
      <c r="B956" s="46" t="s">
        <v>47</v>
      </c>
      <c r="C956" s="46" t="s">
        <v>97</v>
      </c>
      <c r="D956" s="46" t="s">
        <v>110</v>
      </c>
      <c r="E956" s="47" t="n">
        <v>236300</v>
      </c>
    </row>
    <row r="957" customFormat="false" ht="15" hidden="false" customHeight="false" outlineLevel="0" collapsed="false">
      <c r="A957" s="54" t="n">
        <v>46220</v>
      </c>
      <c r="B957" s="46" t="s">
        <v>54</v>
      </c>
      <c r="C957" s="46" t="s">
        <v>103</v>
      </c>
      <c r="D957" s="46" t="s">
        <v>109</v>
      </c>
      <c r="E957" s="47" t="n">
        <v>92100</v>
      </c>
    </row>
    <row r="958" customFormat="false" ht="15" hidden="false" customHeight="false" outlineLevel="0" collapsed="false">
      <c r="A958" s="54" t="n">
        <v>46221</v>
      </c>
      <c r="B958" s="46" t="s">
        <v>102</v>
      </c>
      <c r="C958" s="46" t="s">
        <v>99</v>
      </c>
      <c r="D958" s="46" t="s">
        <v>108</v>
      </c>
      <c r="E958" s="47" t="n">
        <v>655400</v>
      </c>
    </row>
    <row r="959" customFormat="false" ht="15" hidden="false" customHeight="false" outlineLevel="0" collapsed="false">
      <c r="A959" s="54" t="n">
        <v>46221</v>
      </c>
      <c r="B959" s="46" t="s">
        <v>44</v>
      </c>
      <c r="C959" s="46" t="s">
        <v>97</v>
      </c>
      <c r="D959" s="46" t="s">
        <v>110</v>
      </c>
      <c r="E959" s="47" t="n">
        <v>697400</v>
      </c>
    </row>
    <row r="960" customFormat="false" ht="15" hidden="false" customHeight="false" outlineLevel="0" collapsed="false">
      <c r="A960" s="54" t="n">
        <v>46222</v>
      </c>
      <c r="B960" s="46" t="s">
        <v>58</v>
      </c>
      <c r="C960" s="46" t="s">
        <v>103</v>
      </c>
      <c r="D960" s="46" t="s">
        <v>109</v>
      </c>
      <c r="E960" s="47" t="n">
        <v>7000</v>
      </c>
    </row>
    <row r="961" customFormat="false" ht="15" hidden="false" customHeight="false" outlineLevel="0" collapsed="false">
      <c r="A961" s="54" t="n">
        <v>46222</v>
      </c>
      <c r="B961" s="46" t="s">
        <v>52</v>
      </c>
      <c r="C961" s="46" t="s">
        <v>103</v>
      </c>
      <c r="D961" s="46" t="s">
        <v>109</v>
      </c>
      <c r="E961" s="47" t="n">
        <v>1671400</v>
      </c>
    </row>
    <row r="962" customFormat="false" ht="15" hidden="false" customHeight="false" outlineLevel="0" collapsed="false">
      <c r="A962" s="54" t="n">
        <v>46222</v>
      </c>
      <c r="B962" s="46" t="s">
        <v>44</v>
      </c>
      <c r="C962" s="46" t="s">
        <v>97</v>
      </c>
      <c r="D962" s="46" t="s">
        <v>110</v>
      </c>
      <c r="E962" s="47" t="n">
        <v>716400</v>
      </c>
    </row>
    <row r="963" customFormat="false" ht="15" hidden="false" customHeight="false" outlineLevel="0" collapsed="false">
      <c r="A963" s="54" t="n">
        <v>46222</v>
      </c>
      <c r="B963" s="46" t="s">
        <v>44</v>
      </c>
      <c r="C963" s="46" t="s">
        <v>97</v>
      </c>
      <c r="D963" s="46" t="s">
        <v>110</v>
      </c>
      <c r="E963" s="47" t="n">
        <v>359100</v>
      </c>
    </row>
    <row r="964" customFormat="false" ht="15" hidden="false" customHeight="false" outlineLevel="0" collapsed="false">
      <c r="A964" s="54" t="n">
        <v>46222</v>
      </c>
      <c r="B964" s="46" t="s">
        <v>45</v>
      </c>
      <c r="C964" s="46" t="s">
        <v>97</v>
      </c>
      <c r="D964" s="46" t="s">
        <v>110</v>
      </c>
      <c r="E964" s="47" t="n">
        <v>381000</v>
      </c>
    </row>
    <row r="965" customFormat="false" ht="15" hidden="false" customHeight="false" outlineLevel="0" collapsed="false">
      <c r="A965" s="54" t="n">
        <v>46222</v>
      </c>
      <c r="B965" s="46" t="s">
        <v>54</v>
      </c>
      <c r="C965" s="46" t="s">
        <v>103</v>
      </c>
      <c r="D965" s="46" t="s">
        <v>109</v>
      </c>
      <c r="E965" s="47" t="n">
        <v>67300</v>
      </c>
    </row>
    <row r="966" customFormat="false" ht="15" hidden="false" customHeight="false" outlineLevel="0" collapsed="false">
      <c r="A966" s="54" t="n">
        <v>46223</v>
      </c>
      <c r="B966" s="46" t="s">
        <v>46</v>
      </c>
      <c r="C966" s="46" t="s">
        <v>97</v>
      </c>
      <c r="D966" s="46" t="s">
        <v>110</v>
      </c>
      <c r="E966" s="47" t="n">
        <v>253400</v>
      </c>
    </row>
    <row r="967" customFormat="false" ht="15" hidden="false" customHeight="false" outlineLevel="0" collapsed="false">
      <c r="A967" s="54" t="n">
        <v>46223</v>
      </c>
      <c r="B967" s="46" t="s">
        <v>45</v>
      </c>
      <c r="C967" s="46" t="s">
        <v>97</v>
      </c>
      <c r="D967" s="46" t="s">
        <v>110</v>
      </c>
      <c r="E967" s="47" t="n">
        <v>479300</v>
      </c>
    </row>
    <row r="968" customFormat="false" ht="15" hidden="false" customHeight="false" outlineLevel="0" collapsed="false">
      <c r="A968" s="54" t="n">
        <v>46223</v>
      </c>
      <c r="B968" s="46" t="s">
        <v>55</v>
      </c>
      <c r="C968" s="46" t="s">
        <v>103</v>
      </c>
      <c r="D968" s="46" t="s">
        <v>109</v>
      </c>
      <c r="E968" s="47" t="n">
        <v>40900</v>
      </c>
    </row>
    <row r="969" customFormat="false" ht="15" hidden="false" customHeight="false" outlineLevel="0" collapsed="false">
      <c r="A969" s="54" t="n">
        <v>46224</v>
      </c>
      <c r="B969" s="46" t="s">
        <v>100</v>
      </c>
      <c r="C969" s="46" t="s">
        <v>99</v>
      </c>
      <c r="D969" s="46" t="s">
        <v>108</v>
      </c>
      <c r="E969" s="47" t="n">
        <v>1385500</v>
      </c>
    </row>
    <row r="970" customFormat="false" ht="15" hidden="false" customHeight="false" outlineLevel="0" collapsed="false">
      <c r="A970" s="54" t="n">
        <v>46224</v>
      </c>
      <c r="B970" s="46" t="s">
        <v>100</v>
      </c>
      <c r="C970" s="46" t="s">
        <v>99</v>
      </c>
      <c r="D970" s="46" t="s">
        <v>108</v>
      </c>
      <c r="E970" s="47" t="n">
        <v>1414100</v>
      </c>
    </row>
    <row r="971" customFormat="false" ht="15" hidden="false" customHeight="false" outlineLevel="0" collapsed="false">
      <c r="A971" s="54" t="n">
        <v>46224</v>
      </c>
      <c r="B971" s="46" t="s">
        <v>46</v>
      </c>
      <c r="C971" s="46" t="s">
        <v>97</v>
      </c>
      <c r="D971" s="46" t="s">
        <v>110</v>
      </c>
      <c r="E971" s="47" t="n">
        <v>159600</v>
      </c>
    </row>
    <row r="972" customFormat="false" ht="15" hidden="false" customHeight="false" outlineLevel="0" collapsed="false">
      <c r="A972" s="54" t="n">
        <v>46224</v>
      </c>
      <c r="B972" s="46" t="s">
        <v>46</v>
      </c>
      <c r="C972" s="46" t="s">
        <v>97</v>
      </c>
      <c r="D972" s="46" t="s">
        <v>110</v>
      </c>
      <c r="E972" s="47" t="n">
        <v>387400</v>
      </c>
    </row>
    <row r="973" customFormat="false" ht="15" hidden="false" customHeight="false" outlineLevel="0" collapsed="false">
      <c r="A973" s="54" t="n">
        <v>46225</v>
      </c>
      <c r="B973" s="46" t="s">
        <v>46</v>
      </c>
      <c r="C973" s="46" t="s">
        <v>97</v>
      </c>
      <c r="D973" s="46" t="s">
        <v>110</v>
      </c>
      <c r="E973" s="47" t="n">
        <v>148300</v>
      </c>
    </row>
    <row r="974" customFormat="false" ht="15" hidden="false" customHeight="false" outlineLevel="0" collapsed="false">
      <c r="A974" s="54" t="n">
        <v>46225</v>
      </c>
      <c r="B974" s="46" t="s">
        <v>47</v>
      </c>
      <c r="C974" s="46" t="s">
        <v>97</v>
      </c>
      <c r="D974" s="46" t="s">
        <v>110</v>
      </c>
      <c r="E974" s="47" t="n">
        <v>172500</v>
      </c>
    </row>
    <row r="975" customFormat="false" ht="15" hidden="false" customHeight="false" outlineLevel="0" collapsed="false">
      <c r="A975" s="54" t="n">
        <v>46225</v>
      </c>
      <c r="B975" s="46" t="s">
        <v>55</v>
      </c>
      <c r="C975" s="46" t="s">
        <v>103</v>
      </c>
      <c r="D975" s="46" t="s">
        <v>109</v>
      </c>
      <c r="E975" s="47" t="n">
        <v>63200</v>
      </c>
    </row>
    <row r="976" customFormat="false" ht="15" hidden="false" customHeight="false" outlineLevel="0" collapsed="false">
      <c r="A976" s="54" t="n">
        <v>46226</v>
      </c>
      <c r="B976" s="46" t="s">
        <v>101</v>
      </c>
      <c r="C976" s="46" t="s">
        <v>99</v>
      </c>
      <c r="D976" s="46" t="s">
        <v>108</v>
      </c>
      <c r="E976" s="47" t="n">
        <v>407300</v>
      </c>
    </row>
    <row r="977" customFormat="false" ht="15" hidden="false" customHeight="false" outlineLevel="0" collapsed="false">
      <c r="A977" s="54" t="n">
        <v>46226</v>
      </c>
      <c r="B977" s="46" t="s">
        <v>100</v>
      </c>
      <c r="C977" s="46" t="s">
        <v>99</v>
      </c>
      <c r="D977" s="46" t="s">
        <v>108</v>
      </c>
      <c r="E977" s="47" t="n">
        <v>1349400</v>
      </c>
    </row>
    <row r="978" customFormat="false" ht="15" hidden="false" customHeight="false" outlineLevel="0" collapsed="false">
      <c r="A978" s="54" t="n">
        <v>46226</v>
      </c>
      <c r="B978" s="46" t="s">
        <v>56</v>
      </c>
      <c r="C978" s="46" t="s">
        <v>103</v>
      </c>
      <c r="D978" s="46" t="s">
        <v>109</v>
      </c>
      <c r="E978" s="47" t="n">
        <v>48000</v>
      </c>
    </row>
    <row r="979" customFormat="false" ht="15" hidden="false" customHeight="false" outlineLevel="0" collapsed="false">
      <c r="A979" s="54" t="n">
        <v>46226</v>
      </c>
      <c r="B979" s="46" t="s">
        <v>46</v>
      </c>
      <c r="C979" s="46" t="s">
        <v>97</v>
      </c>
      <c r="D979" s="46" t="s">
        <v>110</v>
      </c>
      <c r="E979" s="47" t="n">
        <v>361500</v>
      </c>
    </row>
    <row r="980" customFormat="false" ht="15" hidden="false" customHeight="false" outlineLevel="0" collapsed="false">
      <c r="A980" s="54" t="n">
        <v>46227</v>
      </c>
      <c r="B980" s="46" t="s">
        <v>98</v>
      </c>
      <c r="C980" s="46" t="s">
        <v>99</v>
      </c>
      <c r="D980" s="46" t="s">
        <v>108</v>
      </c>
      <c r="E980" s="47" t="n">
        <v>972900</v>
      </c>
    </row>
    <row r="981" customFormat="false" ht="15" hidden="false" customHeight="false" outlineLevel="0" collapsed="false">
      <c r="A981" s="54" t="n">
        <v>46227</v>
      </c>
      <c r="B981" s="46" t="s">
        <v>100</v>
      </c>
      <c r="C981" s="46" t="s">
        <v>99</v>
      </c>
      <c r="D981" s="46" t="s">
        <v>108</v>
      </c>
      <c r="E981" s="47" t="n">
        <v>629400</v>
      </c>
    </row>
    <row r="982" customFormat="false" ht="15" hidden="false" customHeight="false" outlineLevel="0" collapsed="false">
      <c r="A982" s="54" t="n">
        <v>46227</v>
      </c>
      <c r="B982" s="46" t="s">
        <v>55</v>
      </c>
      <c r="C982" s="46" t="s">
        <v>103</v>
      </c>
      <c r="D982" s="46" t="s">
        <v>109</v>
      </c>
      <c r="E982" s="47" t="n">
        <v>125000</v>
      </c>
    </row>
    <row r="983" customFormat="false" ht="15" hidden="false" customHeight="false" outlineLevel="0" collapsed="false">
      <c r="A983" s="54" t="n">
        <v>46228</v>
      </c>
      <c r="B983" s="46" t="s">
        <v>98</v>
      </c>
      <c r="C983" s="46" t="s">
        <v>99</v>
      </c>
      <c r="D983" s="46" t="s">
        <v>108</v>
      </c>
      <c r="E983" s="47" t="n">
        <v>2766100</v>
      </c>
    </row>
    <row r="984" customFormat="false" ht="15" hidden="false" customHeight="false" outlineLevel="0" collapsed="false">
      <c r="A984" s="54" t="n">
        <v>46228</v>
      </c>
      <c r="B984" s="46" t="s">
        <v>44</v>
      </c>
      <c r="C984" s="46" t="s">
        <v>97</v>
      </c>
      <c r="D984" s="46" t="s">
        <v>110</v>
      </c>
      <c r="E984" s="47" t="n">
        <v>396300</v>
      </c>
    </row>
    <row r="985" customFormat="false" ht="15" hidden="false" customHeight="false" outlineLevel="0" collapsed="false">
      <c r="A985" s="54" t="n">
        <v>46229</v>
      </c>
      <c r="B985" s="46" t="s">
        <v>101</v>
      </c>
      <c r="C985" s="46" t="s">
        <v>99</v>
      </c>
      <c r="D985" s="46" t="s">
        <v>108</v>
      </c>
      <c r="E985" s="47" t="n">
        <v>924100</v>
      </c>
    </row>
    <row r="986" customFormat="false" ht="15" hidden="false" customHeight="false" outlineLevel="0" collapsed="false">
      <c r="A986" s="54" t="n">
        <v>46229</v>
      </c>
      <c r="B986" s="46" t="s">
        <v>102</v>
      </c>
      <c r="C986" s="46" t="s">
        <v>99</v>
      </c>
      <c r="D986" s="46" t="s">
        <v>108</v>
      </c>
      <c r="E986" s="47" t="n">
        <v>584700</v>
      </c>
    </row>
    <row r="987" customFormat="false" ht="15" hidden="false" customHeight="false" outlineLevel="0" collapsed="false">
      <c r="A987" s="54" t="n">
        <v>46229</v>
      </c>
      <c r="B987" s="46" t="s">
        <v>46</v>
      </c>
      <c r="C987" s="46" t="s">
        <v>97</v>
      </c>
      <c r="D987" s="46" t="s">
        <v>110</v>
      </c>
      <c r="E987" s="47" t="n">
        <v>349300</v>
      </c>
    </row>
    <row r="988" customFormat="false" ht="15" hidden="false" customHeight="false" outlineLevel="0" collapsed="false">
      <c r="A988" s="54" t="n">
        <v>46229</v>
      </c>
      <c r="B988" s="46" t="s">
        <v>46</v>
      </c>
      <c r="C988" s="46" t="s">
        <v>97</v>
      </c>
      <c r="D988" s="46" t="s">
        <v>110</v>
      </c>
      <c r="E988" s="47" t="n">
        <v>124800</v>
      </c>
    </row>
    <row r="989" customFormat="false" ht="15" hidden="false" customHeight="false" outlineLevel="0" collapsed="false">
      <c r="A989" s="54" t="n">
        <v>46229</v>
      </c>
      <c r="B989" s="46" t="s">
        <v>44</v>
      </c>
      <c r="C989" s="46" t="s">
        <v>97</v>
      </c>
      <c r="D989" s="46" t="s">
        <v>110</v>
      </c>
      <c r="E989" s="47" t="n">
        <v>361300</v>
      </c>
    </row>
    <row r="990" customFormat="false" ht="15" hidden="false" customHeight="false" outlineLevel="0" collapsed="false">
      <c r="A990" s="54" t="n">
        <v>46230</v>
      </c>
      <c r="B990" s="46" t="s">
        <v>58</v>
      </c>
      <c r="C990" s="46" t="s">
        <v>103</v>
      </c>
      <c r="D990" s="46" t="s">
        <v>109</v>
      </c>
      <c r="E990" s="47" t="n">
        <v>13300</v>
      </c>
    </row>
    <row r="991" customFormat="false" ht="15" hidden="false" customHeight="false" outlineLevel="0" collapsed="false">
      <c r="A991" s="54" t="n">
        <v>46230</v>
      </c>
      <c r="B991" s="46" t="s">
        <v>100</v>
      </c>
      <c r="C991" s="46" t="s">
        <v>99</v>
      </c>
      <c r="D991" s="46" t="s">
        <v>108</v>
      </c>
      <c r="E991" s="47" t="n">
        <v>1359500</v>
      </c>
    </row>
    <row r="992" customFormat="false" ht="15" hidden="false" customHeight="false" outlineLevel="0" collapsed="false">
      <c r="A992" s="54" t="n">
        <v>46230</v>
      </c>
      <c r="B992" s="46" t="s">
        <v>102</v>
      </c>
      <c r="C992" s="46" t="s">
        <v>99</v>
      </c>
      <c r="D992" s="46" t="s">
        <v>108</v>
      </c>
      <c r="E992" s="47" t="n">
        <v>222000</v>
      </c>
    </row>
    <row r="993" customFormat="false" ht="15" hidden="false" customHeight="false" outlineLevel="0" collapsed="false">
      <c r="A993" s="54" t="n">
        <v>46230</v>
      </c>
      <c r="B993" s="46" t="s">
        <v>44</v>
      </c>
      <c r="C993" s="46" t="s">
        <v>97</v>
      </c>
      <c r="D993" s="46" t="s">
        <v>110</v>
      </c>
      <c r="E993" s="47" t="n">
        <v>774500</v>
      </c>
    </row>
    <row r="994" customFormat="false" ht="15" hidden="false" customHeight="false" outlineLevel="0" collapsed="false">
      <c r="A994" s="54" t="n">
        <v>46230</v>
      </c>
      <c r="B994" s="46" t="s">
        <v>45</v>
      </c>
      <c r="C994" s="46" t="s">
        <v>97</v>
      </c>
      <c r="D994" s="46" t="s">
        <v>110</v>
      </c>
      <c r="E994" s="47" t="n">
        <v>389300</v>
      </c>
    </row>
    <row r="995" customFormat="false" ht="15" hidden="false" customHeight="false" outlineLevel="0" collapsed="false">
      <c r="A995" s="54" t="n">
        <v>46230</v>
      </c>
      <c r="B995" s="46" t="s">
        <v>45</v>
      </c>
      <c r="C995" s="46" t="s">
        <v>97</v>
      </c>
      <c r="D995" s="46" t="s">
        <v>110</v>
      </c>
      <c r="E995" s="47" t="n">
        <v>487500</v>
      </c>
    </row>
    <row r="996" customFormat="false" ht="15" hidden="false" customHeight="false" outlineLevel="0" collapsed="false">
      <c r="A996" s="54" t="n">
        <v>46230</v>
      </c>
      <c r="B996" s="46" t="s">
        <v>47</v>
      </c>
      <c r="C996" s="46" t="s">
        <v>97</v>
      </c>
      <c r="D996" s="46" t="s">
        <v>110</v>
      </c>
      <c r="E996" s="47" t="n">
        <v>307200</v>
      </c>
    </row>
    <row r="997" customFormat="false" ht="15" hidden="false" customHeight="false" outlineLevel="0" collapsed="false">
      <c r="A997" s="54" t="n">
        <v>46230</v>
      </c>
      <c r="B997" s="46" t="s">
        <v>55</v>
      </c>
      <c r="C997" s="46" t="s">
        <v>103</v>
      </c>
      <c r="D997" s="46" t="s">
        <v>109</v>
      </c>
      <c r="E997" s="47" t="n">
        <v>83200</v>
      </c>
    </row>
    <row r="998" customFormat="false" ht="15" hidden="false" customHeight="false" outlineLevel="0" collapsed="false">
      <c r="A998" s="54" t="n">
        <v>46235</v>
      </c>
      <c r="B998" s="46" t="s">
        <v>46</v>
      </c>
      <c r="C998" s="46" t="s">
        <v>97</v>
      </c>
      <c r="D998" s="46" t="s">
        <v>110</v>
      </c>
      <c r="E998" s="47" t="n">
        <v>164600</v>
      </c>
    </row>
    <row r="999" customFormat="false" ht="15" hidden="false" customHeight="false" outlineLevel="0" collapsed="false">
      <c r="A999" s="54" t="n">
        <v>46235</v>
      </c>
      <c r="B999" s="46" t="s">
        <v>46</v>
      </c>
      <c r="C999" s="46" t="s">
        <v>97</v>
      </c>
      <c r="D999" s="46" t="s">
        <v>110</v>
      </c>
      <c r="E999" s="47" t="n">
        <v>216700</v>
      </c>
    </row>
    <row r="1000" customFormat="false" ht="15" hidden="false" customHeight="false" outlineLevel="0" collapsed="false">
      <c r="A1000" s="54" t="n">
        <v>46235</v>
      </c>
      <c r="B1000" s="46" t="s">
        <v>45</v>
      </c>
      <c r="C1000" s="46" t="s">
        <v>97</v>
      </c>
      <c r="D1000" s="46" t="s">
        <v>110</v>
      </c>
      <c r="E1000" s="47" t="n">
        <v>317700</v>
      </c>
    </row>
    <row r="1001" customFormat="false" ht="15" hidden="false" customHeight="false" outlineLevel="0" collapsed="false">
      <c r="A1001" s="54" t="n">
        <v>46235</v>
      </c>
      <c r="B1001" s="46" t="s">
        <v>55</v>
      </c>
      <c r="C1001" s="46" t="s">
        <v>103</v>
      </c>
      <c r="D1001" s="46" t="s">
        <v>109</v>
      </c>
      <c r="E1001" s="47" t="n">
        <v>118800</v>
      </c>
    </row>
    <row r="1002" customFormat="false" ht="15" hidden="false" customHeight="false" outlineLevel="0" collapsed="false">
      <c r="A1002" s="54" t="n">
        <v>46236</v>
      </c>
      <c r="B1002" s="46" t="s">
        <v>101</v>
      </c>
      <c r="C1002" s="46" t="s">
        <v>99</v>
      </c>
      <c r="D1002" s="46" t="s">
        <v>108</v>
      </c>
      <c r="E1002" s="47" t="n">
        <v>644900</v>
      </c>
    </row>
    <row r="1003" customFormat="false" ht="15" hidden="false" customHeight="false" outlineLevel="0" collapsed="false">
      <c r="A1003" s="54" t="n">
        <v>46236</v>
      </c>
      <c r="B1003" s="46" t="s">
        <v>44</v>
      </c>
      <c r="C1003" s="46" t="s">
        <v>97</v>
      </c>
      <c r="D1003" s="46" t="s">
        <v>110</v>
      </c>
      <c r="E1003" s="47" t="n">
        <v>531700</v>
      </c>
    </row>
    <row r="1004" customFormat="false" ht="15" hidden="false" customHeight="false" outlineLevel="0" collapsed="false">
      <c r="A1004" s="54" t="n">
        <v>46236</v>
      </c>
      <c r="B1004" s="46" t="s">
        <v>44</v>
      </c>
      <c r="C1004" s="46" t="s">
        <v>97</v>
      </c>
      <c r="D1004" s="46" t="s">
        <v>110</v>
      </c>
      <c r="E1004" s="47" t="n">
        <v>571000</v>
      </c>
    </row>
    <row r="1005" customFormat="false" ht="15" hidden="false" customHeight="false" outlineLevel="0" collapsed="false">
      <c r="A1005" s="54" t="n">
        <v>46236</v>
      </c>
      <c r="B1005" s="46" t="s">
        <v>45</v>
      </c>
      <c r="C1005" s="46" t="s">
        <v>97</v>
      </c>
      <c r="D1005" s="46" t="s">
        <v>110</v>
      </c>
      <c r="E1005" s="47" t="n">
        <v>278700</v>
      </c>
    </row>
    <row r="1006" customFormat="false" ht="15" hidden="false" customHeight="false" outlineLevel="0" collapsed="false">
      <c r="A1006" s="54" t="n">
        <v>46236</v>
      </c>
      <c r="B1006" s="46" t="s">
        <v>45</v>
      </c>
      <c r="C1006" s="46" t="s">
        <v>97</v>
      </c>
      <c r="D1006" s="46" t="s">
        <v>110</v>
      </c>
      <c r="E1006" s="47" t="n">
        <v>476800</v>
      </c>
    </row>
    <row r="1007" customFormat="false" ht="15" hidden="false" customHeight="false" outlineLevel="0" collapsed="false">
      <c r="A1007" s="54" t="n">
        <v>46236</v>
      </c>
      <c r="B1007" s="46" t="s">
        <v>45</v>
      </c>
      <c r="C1007" s="46" t="s">
        <v>97</v>
      </c>
      <c r="D1007" s="46" t="s">
        <v>110</v>
      </c>
      <c r="E1007" s="47" t="n">
        <v>222000</v>
      </c>
    </row>
    <row r="1008" customFormat="false" ht="15" hidden="false" customHeight="false" outlineLevel="0" collapsed="false">
      <c r="A1008" s="54" t="n">
        <v>46237</v>
      </c>
      <c r="B1008" s="46" t="s">
        <v>46</v>
      </c>
      <c r="C1008" s="46" t="s">
        <v>97</v>
      </c>
      <c r="D1008" s="46" t="s">
        <v>110</v>
      </c>
      <c r="E1008" s="47" t="n">
        <v>252900</v>
      </c>
    </row>
    <row r="1009" customFormat="false" ht="15" hidden="false" customHeight="false" outlineLevel="0" collapsed="false">
      <c r="A1009" s="54" t="n">
        <v>46237</v>
      </c>
      <c r="B1009" s="46" t="s">
        <v>46</v>
      </c>
      <c r="C1009" s="46" t="s">
        <v>97</v>
      </c>
      <c r="D1009" s="46" t="s">
        <v>110</v>
      </c>
      <c r="E1009" s="47" t="n">
        <v>247300</v>
      </c>
    </row>
    <row r="1010" customFormat="false" ht="15" hidden="false" customHeight="false" outlineLevel="0" collapsed="false">
      <c r="A1010" s="54" t="n">
        <v>46237</v>
      </c>
      <c r="B1010" s="46" t="s">
        <v>45</v>
      </c>
      <c r="C1010" s="46" t="s">
        <v>97</v>
      </c>
      <c r="D1010" s="46" t="s">
        <v>110</v>
      </c>
      <c r="E1010" s="47" t="n">
        <v>425300</v>
      </c>
    </row>
    <row r="1011" customFormat="false" ht="15" hidden="false" customHeight="false" outlineLevel="0" collapsed="false">
      <c r="A1011" s="54" t="n">
        <v>46238</v>
      </c>
      <c r="B1011" s="46" t="s">
        <v>102</v>
      </c>
      <c r="C1011" s="46" t="s">
        <v>99</v>
      </c>
      <c r="D1011" s="46" t="s">
        <v>108</v>
      </c>
      <c r="E1011" s="47" t="n">
        <v>283100</v>
      </c>
    </row>
    <row r="1012" customFormat="false" ht="15" hidden="false" customHeight="false" outlineLevel="0" collapsed="false">
      <c r="A1012" s="54" t="n">
        <v>46238</v>
      </c>
      <c r="B1012" s="46" t="s">
        <v>46</v>
      </c>
      <c r="C1012" s="46" t="s">
        <v>97</v>
      </c>
      <c r="D1012" s="46" t="s">
        <v>110</v>
      </c>
      <c r="E1012" s="47" t="n">
        <v>114400</v>
      </c>
    </row>
    <row r="1013" customFormat="false" ht="15" hidden="false" customHeight="false" outlineLevel="0" collapsed="false">
      <c r="A1013" s="54" t="n">
        <v>46238</v>
      </c>
      <c r="B1013" s="46" t="s">
        <v>44</v>
      </c>
      <c r="C1013" s="46" t="s">
        <v>97</v>
      </c>
      <c r="D1013" s="46" t="s">
        <v>110</v>
      </c>
      <c r="E1013" s="47" t="n">
        <v>243400</v>
      </c>
    </row>
    <row r="1014" customFormat="false" ht="15" hidden="false" customHeight="false" outlineLevel="0" collapsed="false">
      <c r="A1014" s="54" t="n">
        <v>46238</v>
      </c>
      <c r="B1014" s="46" t="s">
        <v>45</v>
      </c>
      <c r="C1014" s="46" t="s">
        <v>97</v>
      </c>
      <c r="D1014" s="46" t="s">
        <v>110</v>
      </c>
      <c r="E1014" s="47" t="n">
        <v>378800</v>
      </c>
    </row>
    <row r="1015" customFormat="false" ht="15" hidden="false" customHeight="false" outlineLevel="0" collapsed="false">
      <c r="A1015" s="54" t="n">
        <v>46239</v>
      </c>
      <c r="B1015" s="46" t="s">
        <v>98</v>
      </c>
      <c r="C1015" s="46" t="s">
        <v>99</v>
      </c>
      <c r="D1015" s="46" t="s">
        <v>108</v>
      </c>
      <c r="E1015" s="47" t="n">
        <v>1265200</v>
      </c>
    </row>
    <row r="1016" customFormat="false" ht="15" hidden="false" customHeight="false" outlineLevel="0" collapsed="false">
      <c r="A1016" s="54" t="n">
        <v>46239</v>
      </c>
      <c r="B1016" s="46" t="s">
        <v>98</v>
      </c>
      <c r="C1016" s="46" t="s">
        <v>99</v>
      </c>
      <c r="D1016" s="46" t="s">
        <v>108</v>
      </c>
      <c r="E1016" s="47" t="n">
        <v>1219800</v>
      </c>
    </row>
    <row r="1017" customFormat="false" ht="15" hidden="false" customHeight="false" outlineLevel="0" collapsed="false">
      <c r="A1017" s="54" t="n">
        <v>46239</v>
      </c>
      <c r="B1017" s="46" t="s">
        <v>46</v>
      </c>
      <c r="C1017" s="46" t="s">
        <v>97</v>
      </c>
      <c r="D1017" s="46" t="s">
        <v>110</v>
      </c>
      <c r="E1017" s="47" t="n">
        <v>229500</v>
      </c>
    </row>
    <row r="1018" customFormat="false" ht="15" hidden="false" customHeight="false" outlineLevel="0" collapsed="false">
      <c r="A1018" s="54" t="n">
        <v>46239</v>
      </c>
      <c r="B1018" s="46" t="s">
        <v>44</v>
      </c>
      <c r="C1018" s="46" t="s">
        <v>97</v>
      </c>
      <c r="D1018" s="46" t="s">
        <v>110</v>
      </c>
      <c r="E1018" s="47" t="n">
        <v>293000</v>
      </c>
    </row>
    <row r="1019" customFormat="false" ht="15" hidden="false" customHeight="false" outlineLevel="0" collapsed="false">
      <c r="A1019" s="54" t="n">
        <v>46239</v>
      </c>
      <c r="B1019" s="46" t="s">
        <v>44</v>
      </c>
      <c r="C1019" s="46" t="s">
        <v>97</v>
      </c>
      <c r="D1019" s="46" t="s">
        <v>110</v>
      </c>
      <c r="E1019" s="47" t="n">
        <v>574300</v>
      </c>
    </row>
    <row r="1020" customFormat="false" ht="15" hidden="false" customHeight="false" outlineLevel="0" collapsed="false">
      <c r="A1020" s="54" t="n">
        <v>46239</v>
      </c>
      <c r="B1020" s="46" t="s">
        <v>45</v>
      </c>
      <c r="C1020" s="46" t="s">
        <v>97</v>
      </c>
      <c r="D1020" s="46" t="s">
        <v>110</v>
      </c>
      <c r="E1020" s="47" t="n">
        <v>421700</v>
      </c>
    </row>
    <row r="1021" customFormat="false" ht="15" hidden="false" customHeight="false" outlineLevel="0" collapsed="false">
      <c r="A1021" s="54" t="n">
        <v>46239</v>
      </c>
      <c r="B1021" s="46" t="s">
        <v>45</v>
      </c>
      <c r="C1021" s="46" t="s">
        <v>97</v>
      </c>
      <c r="D1021" s="46" t="s">
        <v>110</v>
      </c>
      <c r="E1021" s="47" t="n">
        <v>425200</v>
      </c>
    </row>
    <row r="1022" customFormat="false" ht="15" hidden="false" customHeight="false" outlineLevel="0" collapsed="false">
      <c r="A1022" s="54" t="n">
        <v>46239</v>
      </c>
      <c r="B1022" s="46" t="s">
        <v>55</v>
      </c>
      <c r="C1022" s="46" t="s">
        <v>103</v>
      </c>
      <c r="D1022" s="46" t="s">
        <v>109</v>
      </c>
      <c r="E1022" s="47" t="n">
        <v>38100</v>
      </c>
    </row>
    <row r="1023" customFormat="false" ht="15" hidden="false" customHeight="false" outlineLevel="0" collapsed="false">
      <c r="A1023" s="54" t="n">
        <v>46240</v>
      </c>
      <c r="B1023" s="46" t="s">
        <v>101</v>
      </c>
      <c r="C1023" s="46" t="s">
        <v>99</v>
      </c>
      <c r="D1023" s="46" t="s">
        <v>108</v>
      </c>
      <c r="E1023" s="47" t="n">
        <v>313500</v>
      </c>
    </row>
    <row r="1024" customFormat="false" ht="15" hidden="false" customHeight="false" outlineLevel="0" collapsed="false">
      <c r="A1024" s="54" t="n">
        <v>46240</v>
      </c>
      <c r="B1024" s="46" t="s">
        <v>101</v>
      </c>
      <c r="C1024" s="46" t="s">
        <v>99</v>
      </c>
      <c r="D1024" s="46" t="s">
        <v>108</v>
      </c>
      <c r="E1024" s="47" t="n">
        <v>347400</v>
      </c>
    </row>
    <row r="1025" customFormat="false" ht="15" hidden="false" customHeight="false" outlineLevel="0" collapsed="false">
      <c r="A1025" s="54" t="n">
        <v>46240</v>
      </c>
      <c r="B1025" s="46" t="s">
        <v>100</v>
      </c>
      <c r="C1025" s="46" t="s">
        <v>99</v>
      </c>
      <c r="D1025" s="46" t="s">
        <v>108</v>
      </c>
      <c r="E1025" s="47" t="n">
        <v>1320900</v>
      </c>
    </row>
    <row r="1026" customFormat="false" ht="15" hidden="false" customHeight="false" outlineLevel="0" collapsed="false">
      <c r="A1026" s="54" t="n">
        <v>46240</v>
      </c>
      <c r="B1026" s="46" t="s">
        <v>59</v>
      </c>
      <c r="C1026" s="46" t="s">
        <v>103</v>
      </c>
      <c r="D1026" s="46" t="s">
        <v>109</v>
      </c>
      <c r="E1026" s="47" t="n">
        <v>108100</v>
      </c>
    </row>
    <row r="1027" customFormat="false" ht="15" hidden="false" customHeight="false" outlineLevel="0" collapsed="false">
      <c r="A1027" s="54" t="n">
        <v>46240</v>
      </c>
      <c r="B1027" s="46" t="s">
        <v>46</v>
      </c>
      <c r="C1027" s="46" t="s">
        <v>97</v>
      </c>
      <c r="D1027" s="46" t="s">
        <v>110</v>
      </c>
      <c r="E1027" s="47" t="n">
        <v>242400</v>
      </c>
    </row>
    <row r="1028" customFormat="false" ht="15" hidden="false" customHeight="false" outlineLevel="0" collapsed="false">
      <c r="A1028" s="54" t="n">
        <v>46240</v>
      </c>
      <c r="B1028" s="46" t="s">
        <v>46</v>
      </c>
      <c r="C1028" s="46" t="s">
        <v>97</v>
      </c>
      <c r="D1028" s="46" t="s">
        <v>110</v>
      </c>
      <c r="E1028" s="47" t="n">
        <v>235100</v>
      </c>
    </row>
    <row r="1029" customFormat="false" ht="15" hidden="false" customHeight="false" outlineLevel="0" collapsed="false">
      <c r="A1029" s="54" t="n">
        <v>46240</v>
      </c>
      <c r="B1029" s="46" t="s">
        <v>44</v>
      </c>
      <c r="C1029" s="46" t="s">
        <v>97</v>
      </c>
      <c r="D1029" s="46" t="s">
        <v>110</v>
      </c>
      <c r="E1029" s="47" t="n">
        <v>244900</v>
      </c>
    </row>
    <row r="1030" customFormat="false" ht="15" hidden="false" customHeight="false" outlineLevel="0" collapsed="false">
      <c r="A1030" s="54" t="n">
        <v>46241</v>
      </c>
      <c r="B1030" s="46" t="s">
        <v>100</v>
      </c>
      <c r="C1030" s="46" t="s">
        <v>99</v>
      </c>
      <c r="D1030" s="46" t="s">
        <v>108</v>
      </c>
      <c r="E1030" s="47" t="n">
        <v>635900</v>
      </c>
    </row>
    <row r="1031" customFormat="false" ht="15" hidden="false" customHeight="false" outlineLevel="0" collapsed="false">
      <c r="A1031" s="54" t="n">
        <v>46241</v>
      </c>
      <c r="B1031" s="46" t="s">
        <v>56</v>
      </c>
      <c r="C1031" s="46" t="s">
        <v>103</v>
      </c>
      <c r="D1031" s="46" t="s">
        <v>109</v>
      </c>
      <c r="E1031" s="47" t="n">
        <v>101800</v>
      </c>
    </row>
    <row r="1032" customFormat="false" ht="15" hidden="false" customHeight="false" outlineLevel="0" collapsed="false">
      <c r="A1032" s="54" t="n">
        <v>46241</v>
      </c>
      <c r="B1032" s="46" t="s">
        <v>53</v>
      </c>
      <c r="C1032" s="46" t="s">
        <v>103</v>
      </c>
      <c r="D1032" s="46" t="s">
        <v>109</v>
      </c>
      <c r="E1032" s="47" t="n">
        <v>552800</v>
      </c>
    </row>
    <row r="1033" customFormat="false" ht="15" hidden="false" customHeight="false" outlineLevel="0" collapsed="false">
      <c r="A1033" s="54" t="n">
        <v>46241</v>
      </c>
      <c r="B1033" s="46" t="s">
        <v>46</v>
      </c>
      <c r="C1033" s="46" t="s">
        <v>97</v>
      </c>
      <c r="D1033" s="46" t="s">
        <v>110</v>
      </c>
      <c r="E1033" s="47" t="n">
        <v>226800</v>
      </c>
    </row>
    <row r="1034" customFormat="false" ht="15" hidden="false" customHeight="false" outlineLevel="0" collapsed="false">
      <c r="A1034" s="54" t="n">
        <v>46241</v>
      </c>
      <c r="B1034" s="46" t="s">
        <v>46</v>
      </c>
      <c r="C1034" s="46" t="s">
        <v>97</v>
      </c>
      <c r="D1034" s="46" t="s">
        <v>110</v>
      </c>
      <c r="E1034" s="47" t="n">
        <v>143200</v>
      </c>
    </row>
    <row r="1035" customFormat="false" ht="15" hidden="false" customHeight="false" outlineLevel="0" collapsed="false">
      <c r="A1035" s="54" t="n">
        <v>46241</v>
      </c>
      <c r="B1035" s="46" t="s">
        <v>55</v>
      </c>
      <c r="C1035" s="46" t="s">
        <v>103</v>
      </c>
      <c r="D1035" s="46" t="s">
        <v>109</v>
      </c>
      <c r="E1035" s="47" t="n">
        <v>91400</v>
      </c>
    </row>
    <row r="1036" customFormat="false" ht="15" hidden="false" customHeight="false" outlineLevel="0" collapsed="false">
      <c r="A1036" s="54" t="n">
        <v>46241</v>
      </c>
      <c r="B1036" s="46" t="s">
        <v>55</v>
      </c>
      <c r="C1036" s="46" t="s">
        <v>103</v>
      </c>
      <c r="D1036" s="46" t="s">
        <v>109</v>
      </c>
      <c r="E1036" s="47" t="n">
        <v>110100</v>
      </c>
    </row>
    <row r="1037" customFormat="false" ht="15" hidden="false" customHeight="false" outlineLevel="0" collapsed="false">
      <c r="A1037" s="54" t="n">
        <v>46241</v>
      </c>
      <c r="B1037" s="46" t="s">
        <v>54</v>
      </c>
      <c r="C1037" s="46" t="s">
        <v>103</v>
      </c>
      <c r="D1037" s="46" t="s">
        <v>109</v>
      </c>
      <c r="E1037" s="47" t="n">
        <v>41100</v>
      </c>
    </row>
    <row r="1038" customFormat="false" ht="15" hidden="false" customHeight="false" outlineLevel="0" collapsed="false">
      <c r="A1038" s="54" t="n">
        <v>46242</v>
      </c>
      <c r="B1038" s="46" t="s">
        <v>58</v>
      </c>
      <c r="C1038" s="46" t="s">
        <v>103</v>
      </c>
      <c r="D1038" s="46" t="s">
        <v>109</v>
      </c>
      <c r="E1038" s="47" t="n">
        <v>14400</v>
      </c>
    </row>
    <row r="1039" customFormat="false" ht="15" hidden="false" customHeight="false" outlineLevel="0" collapsed="false">
      <c r="A1039" s="54" t="n">
        <v>46242</v>
      </c>
      <c r="B1039" s="46" t="s">
        <v>57</v>
      </c>
      <c r="C1039" s="46" t="s">
        <v>103</v>
      </c>
      <c r="D1039" s="46" t="s">
        <v>109</v>
      </c>
      <c r="E1039" s="47" t="n">
        <v>92900</v>
      </c>
    </row>
    <row r="1040" customFormat="false" ht="15" hidden="false" customHeight="false" outlineLevel="0" collapsed="false">
      <c r="A1040" s="54" t="n">
        <v>46242</v>
      </c>
      <c r="B1040" s="46" t="s">
        <v>44</v>
      </c>
      <c r="C1040" s="46" t="s">
        <v>97</v>
      </c>
      <c r="D1040" s="46" t="s">
        <v>110</v>
      </c>
      <c r="E1040" s="47" t="n">
        <v>466600</v>
      </c>
    </row>
    <row r="1041" customFormat="false" ht="15" hidden="false" customHeight="false" outlineLevel="0" collapsed="false">
      <c r="A1041" s="54" t="n">
        <v>46242</v>
      </c>
      <c r="B1041" s="46" t="s">
        <v>44</v>
      </c>
      <c r="C1041" s="46" t="s">
        <v>97</v>
      </c>
      <c r="D1041" s="46" t="s">
        <v>110</v>
      </c>
      <c r="E1041" s="47" t="n">
        <v>207500</v>
      </c>
    </row>
    <row r="1042" customFormat="false" ht="15" hidden="false" customHeight="false" outlineLevel="0" collapsed="false">
      <c r="A1042" s="54" t="n">
        <v>46242</v>
      </c>
      <c r="B1042" s="46" t="s">
        <v>45</v>
      </c>
      <c r="C1042" s="46" t="s">
        <v>97</v>
      </c>
      <c r="D1042" s="46" t="s">
        <v>110</v>
      </c>
      <c r="E1042" s="47" t="n">
        <v>207700</v>
      </c>
    </row>
    <row r="1043" customFormat="false" ht="15" hidden="false" customHeight="false" outlineLevel="0" collapsed="false">
      <c r="A1043" s="54" t="n">
        <v>46242</v>
      </c>
      <c r="B1043" s="46" t="s">
        <v>47</v>
      </c>
      <c r="C1043" s="46" t="s">
        <v>97</v>
      </c>
      <c r="D1043" s="46" t="s">
        <v>110</v>
      </c>
      <c r="E1043" s="47" t="n">
        <v>149600</v>
      </c>
    </row>
    <row r="1044" customFormat="false" ht="15" hidden="false" customHeight="false" outlineLevel="0" collapsed="false">
      <c r="A1044" s="54" t="n">
        <v>46243</v>
      </c>
      <c r="B1044" s="46" t="s">
        <v>58</v>
      </c>
      <c r="C1044" s="46" t="s">
        <v>103</v>
      </c>
      <c r="D1044" s="46" t="s">
        <v>109</v>
      </c>
      <c r="E1044" s="47" t="n">
        <v>15100</v>
      </c>
    </row>
    <row r="1045" customFormat="false" ht="15" hidden="false" customHeight="false" outlineLevel="0" collapsed="false">
      <c r="A1045" s="54" t="n">
        <v>46243</v>
      </c>
      <c r="B1045" s="46" t="s">
        <v>102</v>
      </c>
      <c r="C1045" s="46" t="s">
        <v>99</v>
      </c>
      <c r="D1045" s="46" t="s">
        <v>108</v>
      </c>
      <c r="E1045" s="47" t="n">
        <v>671700</v>
      </c>
    </row>
    <row r="1046" customFormat="false" ht="15" hidden="false" customHeight="false" outlineLevel="0" collapsed="false">
      <c r="A1046" s="54" t="n">
        <v>46243</v>
      </c>
      <c r="B1046" s="46" t="s">
        <v>59</v>
      </c>
      <c r="C1046" s="46" t="s">
        <v>103</v>
      </c>
      <c r="D1046" s="46" t="s">
        <v>109</v>
      </c>
      <c r="E1046" s="47" t="n">
        <v>63300</v>
      </c>
    </row>
    <row r="1047" customFormat="false" ht="15" hidden="false" customHeight="false" outlineLevel="0" collapsed="false">
      <c r="A1047" s="54" t="n">
        <v>46243</v>
      </c>
      <c r="B1047" s="46" t="s">
        <v>45</v>
      </c>
      <c r="C1047" s="46" t="s">
        <v>97</v>
      </c>
      <c r="D1047" s="46" t="s">
        <v>110</v>
      </c>
      <c r="E1047" s="47" t="n">
        <v>315800</v>
      </c>
    </row>
    <row r="1048" customFormat="false" ht="15" hidden="false" customHeight="false" outlineLevel="0" collapsed="false">
      <c r="A1048" s="54" t="n">
        <v>46243</v>
      </c>
      <c r="B1048" s="46" t="s">
        <v>45</v>
      </c>
      <c r="C1048" s="46" t="s">
        <v>97</v>
      </c>
      <c r="D1048" s="46" t="s">
        <v>110</v>
      </c>
      <c r="E1048" s="47" t="n">
        <v>311000</v>
      </c>
    </row>
    <row r="1049" customFormat="false" ht="15" hidden="false" customHeight="false" outlineLevel="0" collapsed="false">
      <c r="A1049" s="54" t="n">
        <v>46244</v>
      </c>
      <c r="B1049" s="46" t="s">
        <v>44</v>
      </c>
      <c r="C1049" s="46" t="s">
        <v>97</v>
      </c>
      <c r="D1049" s="46" t="s">
        <v>110</v>
      </c>
      <c r="E1049" s="47" t="n">
        <v>275900</v>
      </c>
    </row>
    <row r="1050" customFormat="false" ht="15" hidden="false" customHeight="false" outlineLevel="0" collapsed="false">
      <c r="A1050" s="54" t="n">
        <v>46244</v>
      </c>
      <c r="B1050" s="46" t="s">
        <v>45</v>
      </c>
      <c r="C1050" s="46" t="s">
        <v>97</v>
      </c>
      <c r="D1050" s="46" t="s">
        <v>110</v>
      </c>
      <c r="E1050" s="47" t="n">
        <v>234800</v>
      </c>
    </row>
    <row r="1051" customFormat="false" ht="15" hidden="false" customHeight="false" outlineLevel="0" collapsed="false">
      <c r="A1051" s="54" t="n">
        <v>46244</v>
      </c>
      <c r="B1051" s="46" t="s">
        <v>55</v>
      </c>
      <c r="C1051" s="46" t="s">
        <v>103</v>
      </c>
      <c r="D1051" s="46" t="s">
        <v>109</v>
      </c>
      <c r="E1051" s="47" t="n">
        <v>101600</v>
      </c>
    </row>
    <row r="1052" customFormat="false" ht="15" hidden="false" customHeight="false" outlineLevel="0" collapsed="false">
      <c r="A1052" s="54" t="n">
        <v>46245</v>
      </c>
      <c r="B1052" s="46" t="s">
        <v>98</v>
      </c>
      <c r="C1052" s="46" t="s">
        <v>99</v>
      </c>
      <c r="D1052" s="46" t="s">
        <v>108</v>
      </c>
      <c r="E1052" s="47" t="n">
        <v>1697100</v>
      </c>
    </row>
    <row r="1053" customFormat="false" ht="15" hidden="false" customHeight="false" outlineLevel="0" collapsed="false">
      <c r="A1053" s="54" t="n">
        <v>46245</v>
      </c>
      <c r="B1053" s="46" t="s">
        <v>100</v>
      </c>
      <c r="C1053" s="46" t="s">
        <v>99</v>
      </c>
      <c r="D1053" s="46" t="s">
        <v>108</v>
      </c>
      <c r="E1053" s="47" t="n">
        <v>696900</v>
      </c>
    </row>
    <row r="1054" customFormat="false" ht="15" hidden="false" customHeight="false" outlineLevel="0" collapsed="false">
      <c r="A1054" s="54" t="n">
        <v>46245</v>
      </c>
      <c r="B1054" s="46" t="s">
        <v>102</v>
      </c>
      <c r="C1054" s="46" t="s">
        <v>99</v>
      </c>
      <c r="D1054" s="46" t="s">
        <v>108</v>
      </c>
      <c r="E1054" s="47" t="n">
        <v>724500</v>
      </c>
    </row>
    <row r="1055" customFormat="false" ht="15" hidden="false" customHeight="false" outlineLevel="0" collapsed="false">
      <c r="A1055" s="54" t="n">
        <v>46245</v>
      </c>
      <c r="B1055" s="46" t="s">
        <v>44</v>
      </c>
      <c r="C1055" s="46" t="s">
        <v>97</v>
      </c>
      <c r="D1055" s="46" t="s">
        <v>110</v>
      </c>
      <c r="E1055" s="47" t="n">
        <v>314700</v>
      </c>
    </row>
    <row r="1056" customFormat="false" ht="15" hidden="false" customHeight="false" outlineLevel="0" collapsed="false">
      <c r="A1056" s="54" t="n">
        <v>46245</v>
      </c>
      <c r="B1056" s="46" t="s">
        <v>47</v>
      </c>
      <c r="C1056" s="46" t="s">
        <v>97</v>
      </c>
      <c r="D1056" s="46" t="s">
        <v>110</v>
      </c>
      <c r="E1056" s="47" t="n">
        <v>260000</v>
      </c>
    </row>
    <row r="1057" customFormat="false" ht="15" hidden="false" customHeight="false" outlineLevel="0" collapsed="false">
      <c r="A1057" s="54" t="n">
        <v>46245</v>
      </c>
      <c r="B1057" s="46" t="s">
        <v>55</v>
      </c>
      <c r="C1057" s="46" t="s">
        <v>103</v>
      </c>
      <c r="D1057" s="46" t="s">
        <v>109</v>
      </c>
      <c r="E1057" s="47" t="n">
        <v>108700</v>
      </c>
    </row>
    <row r="1058" customFormat="false" ht="15" hidden="false" customHeight="false" outlineLevel="0" collapsed="false">
      <c r="A1058" s="54" t="n">
        <v>46246</v>
      </c>
      <c r="B1058" s="46" t="s">
        <v>98</v>
      </c>
      <c r="C1058" s="46" t="s">
        <v>99</v>
      </c>
      <c r="D1058" s="46" t="s">
        <v>108</v>
      </c>
      <c r="E1058" s="47" t="n">
        <v>747900</v>
      </c>
    </row>
    <row r="1059" customFormat="false" ht="15" hidden="false" customHeight="false" outlineLevel="0" collapsed="false">
      <c r="A1059" s="54" t="n">
        <v>46247</v>
      </c>
      <c r="B1059" s="46" t="s">
        <v>58</v>
      </c>
      <c r="C1059" s="46" t="s">
        <v>103</v>
      </c>
      <c r="D1059" s="46" t="s">
        <v>109</v>
      </c>
      <c r="E1059" s="47" t="n">
        <v>9100</v>
      </c>
    </row>
    <row r="1060" customFormat="false" ht="15" hidden="false" customHeight="false" outlineLevel="0" collapsed="false">
      <c r="A1060" s="54" t="n">
        <v>46247</v>
      </c>
      <c r="B1060" s="46" t="s">
        <v>101</v>
      </c>
      <c r="C1060" s="46" t="s">
        <v>99</v>
      </c>
      <c r="D1060" s="46" t="s">
        <v>108</v>
      </c>
      <c r="E1060" s="47" t="n">
        <v>455100</v>
      </c>
    </row>
    <row r="1061" customFormat="false" ht="15" hidden="false" customHeight="false" outlineLevel="0" collapsed="false">
      <c r="A1061" s="54" t="n">
        <v>46247</v>
      </c>
      <c r="B1061" s="46" t="s">
        <v>101</v>
      </c>
      <c r="C1061" s="46" t="s">
        <v>99</v>
      </c>
      <c r="D1061" s="46" t="s">
        <v>108</v>
      </c>
      <c r="E1061" s="47" t="n">
        <v>377100</v>
      </c>
    </row>
    <row r="1062" customFormat="false" ht="15" hidden="false" customHeight="false" outlineLevel="0" collapsed="false">
      <c r="A1062" s="54" t="n">
        <v>46247</v>
      </c>
      <c r="B1062" s="46" t="s">
        <v>44</v>
      </c>
      <c r="C1062" s="46" t="s">
        <v>97</v>
      </c>
      <c r="D1062" s="46" t="s">
        <v>110</v>
      </c>
      <c r="E1062" s="47" t="n">
        <v>506900</v>
      </c>
    </row>
    <row r="1063" customFormat="false" ht="15" hidden="false" customHeight="false" outlineLevel="0" collapsed="false">
      <c r="A1063" s="54" t="n">
        <v>46247</v>
      </c>
      <c r="B1063" s="46" t="s">
        <v>47</v>
      </c>
      <c r="C1063" s="46" t="s">
        <v>97</v>
      </c>
      <c r="D1063" s="46" t="s">
        <v>110</v>
      </c>
      <c r="E1063" s="47" t="n">
        <v>297100</v>
      </c>
    </row>
    <row r="1064" customFormat="false" ht="15" hidden="false" customHeight="false" outlineLevel="0" collapsed="false">
      <c r="A1064" s="54" t="n">
        <v>46247</v>
      </c>
      <c r="B1064" s="46" t="s">
        <v>47</v>
      </c>
      <c r="C1064" s="46" t="s">
        <v>97</v>
      </c>
      <c r="D1064" s="46" t="s">
        <v>110</v>
      </c>
      <c r="E1064" s="47" t="n">
        <v>189800</v>
      </c>
    </row>
    <row r="1065" customFormat="false" ht="15" hidden="false" customHeight="false" outlineLevel="0" collapsed="false">
      <c r="A1065" s="54" t="n">
        <v>46248</v>
      </c>
      <c r="B1065" s="46" t="s">
        <v>100</v>
      </c>
      <c r="C1065" s="46" t="s">
        <v>99</v>
      </c>
      <c r="D1065" s="46" t="s">
        <v>108</v>
      </c>
      <c r="E1065" s="47" t="n">
        <v>1273900</v>
      </c>
    </row>
    <row r="1066" customFormat="false" ht="15" hidden="false" customHeight="false" outlineLevel="0" collapsed="false">
      <c r="A1066" s="54" t="n">
        <v>46248</v>
      </c>
      <c r="B1066" s="46" t="s">
        <v>46</v>
      </c>
      <c r="C1066" s="46" t="s">
        <v>97</v>
      </c>
      <c r="D1066" s="46" t="s">
        <v>110</v>
      </c>
      <c r="E1066" s="47" t="n">
        <v>242300</v>
      </c>
    </row>
    <row r="1067" customFormat="false" ht="15" hidden="false" customHeight="false" outlineLevel="0" collapsed="false">
      <c r="A1067" s="54" t="n">
        <v>46248</v>
      </c>
      <c r="B1067" s="46" t="s">
        <v>46</v>
      </c>
      <c r="C1067" s="46" t="s">
        <v>97</v>
      </c>
      <c r="D1067" s="46" t="s">
        <v>110</v>
      </c>
      <c r="E1067" s="47" t="n">
        <v>218800</v>
      </c>
    </row>
    <row r="1068" customFormat="false" ht="15" hidden="false" customHeight="false" outlineLevel="0" collapsed="false">
      <c r="A1068" s="54" t="n">
        <v>46248</v>
      </c>
      <c r="B1068" s="46" t="s">
        <v>46</v>
      </c>
      <c r="C1068" s="46" t="s">
        <v>97</v>
      </c>
      <c r="D1068" s="46" t="s">
        <v>110</v>
      </c>
      <c r="E1068" s="47" t="n">
        <v>255000</v>
      </c>
    </row>
    <row r="1069" customFormat="false" ht="15" hidden="false" customHeight="false" outlineLevel="0" collapsed="false">
      <c r="A1069" s="54" t="n">
        <v>46248</v>
      </c>
      <c r="B1069" s="46" t="s">
        <v>45</v>
      </c>
      <c r="C1069" s="46" t="s">
        <v>97</v>
      </c>
      <c r="D1069" s="46" t="s">
        <v>110</v>
      </c>
      <c r="E1069" s="47" t="n">
        <v>501900</v>
      </c>
    </row>
    <row r="1070" customFormat="false" ht="15" hidden="false" customHeight="false" outlineLevel="0" collapsed="false">
      <c r="A1070" s="54" t="n">
        <v>46248</v>
      </c>
      <c r="B1070" s="46" t="s">
        <v>47</v>
      </c>
      <c r="C1070" s="46" t="s">
        <v>97</v>
      </c>
      <c r="D1070" s="46" t="s">
        <v>110</v>
      </c>
      <c r="E1070" s="47" t="n">
        <v>149000</v>
      </c>
    </row>
    <row r="1071" customFormat="false" ht="15" hidden="false" customHeight="false" outlineLevel="0" collapsed="false">
      <c r="A1071" s="54" t="n">
        <v>46249</v>
      </c>
      <c r="B1071" s="46" t="s">
        <v>45</v>
      </c>
      <c r="C1071" s="46" t="s">
        <v>97</v>
      </c>
      <c r="D1071" s="46" t="s">
        <v>110</v>
      </c>
      <c r="E1071" s="47" t="n">
        <v>131700</v>
      </c>
    </row>
    <row r="1072" customFormat="false" ht="15" hidden="false" customHeight="false" outlineLevel="0" collapsed="false">
      <c r="A1072" s="54" t="n">
        <v>46250</v>
      </c>
      <c r="B1072" s="46" t="s">
        <v>58</v>
      </c>
      <c r="C1072" s="46" t="s">
        <v>103</v>
      </c>
      <c r="D1072" s="46" t="s">
        <v>109</v>
      </c>
      <c r="E1072" s="47" t="n">
        <v>9300</v>
      </c>
    </row>
    <row r="1073" customFormat="false" ht="15" hidden="false" customHeight="false" outlineLevel="0" collapsed="false">
      <c r="A1073" s="54" t="n">
        <v>46250</v>
      </c>
      <c r="B1073" s="46" t="s">
        <v>45</v>
      </c>
      <c r="C1073" s="46" t="s">
        <v>97</v>
      </c>
      <c r="D1073" s="46" t="s">
        <v>110</v>
      </c>
      <c r="E1073" s="47" t="n">
        <v>391200</v>
      </c>
    </row>
    <row r="1074" customFormat="false" ht="15" hidden="false" customHeight="false" outlineLevel="0" collapsed="false">
      <c r="A1074" s="54" t="n">
        <v>46250</v>
      </c>
      <c r="B1074" s="46" t="s">
        <v>47</v>
      </c>
      <c r="C1074" s="46" t="s">
        <v>97</v>
      </c>
      <c r="D1074" s="46" t="s">
        <v>110</v>
      </c>
      <c r="E1074" s="47" t="n">
        <v>107800</v>
      </c>
    </row>
    <row r="1075" customFormat="false" ht="15" hidden="false" customHeight="false" outlineLevel="0" collapsed="false">
      <c r="A1075" s="54" t="n">
        <v>46250</v>
      </c>
      <c r="B1075" s="46" t="s">
        <v>54</v>
      </c>
      <c r="C1075" s="46" t="s">
        <v>103</v>
      </c>
      <c r="D1075" s="46" t="s">
        <v>109</v>
      </c>
      <c r="E1075" s="47" t="n">
        <v>117900</v>
      </c>
    </row>
    <row r="1076" customFormat="false" ht="15" hidden="false" customHeight="false" outlineLevel="0" collapsed="false">
      <c r="A1076" s="54" t="n">
        <v>46251</v>
      </c>
      <c r="B1076" s="46" t="s">
        <v>101</v>
      </c>
      <c r="C1076" s="46" t="s">
        <v>99</v>
      </c>
      <c r="D1076" s="46" t="s">
        <v>108</v>
      </c>
      <c r="E1076" s="47" t="n">
        <v>704900</v>
      </c>
    </row>
    <row r="1077" customFormat="false" ht="15" hidden="false" customHeight="false" outlineLevel="0" collapsed="false">
      <c r="A1077" s="54" t="n">
        <v>46251</v>
      </c>
      <c r="B1077" s="46" t="s">
        <v>98</v>
      </c>
      <c r="C1077" s="46" t="s">
        <v>99</v>
      </c>
      <c r="D1077" s="46" t="s">
        <v>108</v>
      </c>
      <c r="E1077" s="47" t="n">
        <v>1051100</v>
      </c>
    </row>
    <row r="1078" customFormat="false" ht="15" hidden="false" customHeight="false" outlineLevel="0" collapsed="false">
      <c r="A1078" s="54" t="n">
        <v>46251</v>
      </c>
      <c r="B1078" s="46" t="s">
        <v>47</v>
      </c>
      <c r="C1078" s="46" t="s">
        <v>97</v>
      </c>
      <c r="D1078" s="46" t="s">
        <v>110</v>
      </c>
      <c r="E1078" s="47" t="n">
        <v>227300</v>
      </c>
    </row>
    <row r="1079" customFormat="false" ht="15" hidden="false" customHeight="false" outlineLevel="0" collapsed="false">
      <c r="A1079" s="54" t="n">
        <v>46251</v>
      </c>
      <c r="B1079" s="46" t="s">
        <v>47</v>
      </c>
      <c r="C1079" s="46" t="s">
        <v>97</v>
      </c>
      <c r="D1079" s="46" t="s">
        <v>110</v>
      </c>
      <c r="E1079" s="47" t="n">
        <v>302100</v>
      </c>
    </row>
    <row r="1080" customFormat="false" ht="15" hidden="false" customHeight="false" outlineLevel="0" collapsed="false">
      <c r="A1080" s="54" t="n">
        <v>46252</v>
      </c>
      <c r="B1080" s="46" t="s">
        <v>46</v>
      </c>
      <c r="C1080" s="46" t="s">
        <v>97</v>
      </c>
      <c r="D1080" s="46" t="s">
        <v>110</v>
      </c>
      <c r="E1080" s="47" t="n">
        <v>125700</v>
      </c>
    </row>
    <row r="1081" customFormat="false" ht="15" hidden="false" customHeight="false" outlineLevel="0" collapsed="false">
      <c r="A1081" s="54" t="n">
        <v>46252</v>
      </c>
      <c r="B1081" s="46" t="s">
        <v>46</v>
      </c>
      <c r="C1081" s="46" t="s">
        <v>97</v>
      </c>
      <c r="D1081" s="46" t="s">
        <v>110</v>
      </c>
      <c r="E1081" s="47" t="n">
        <v>82000</v>
      </c>
    </row>
    <row r="1082" customFormat="false" ht="15" hidden="false" customHeight="false" outlineLevel="0" collapsed="false">
      <c r="A1082" s="54" t="n">
        <v>46252</v>
      </c>
      <c r="B1082" s="46" t="s">
        <v>44</v>
      </c>
      <c r="C1082" s="46" t="s">
        <v>97</v>
      </c>
      <c r="D1082" s="46" t="s">
        <v>110</v>
      </c>
      <c r="E1082" s="47" t="n">
        <v>440600</v>
      </c>
    </row>
    <row r="1083" customFormat="false" ht="15" hidden="false" customHeight="false" outlineLevel="0" collapsed="false">
      <c r="A1083" s="54" t="n">
        <v>46252</v>
      </c>
      <c r="B1083" s="46" t="s">
        <v>44</v>
      </c>
      <c r="C1083" s="46" t="s">
        <v>97</v>
      </c>
      <c r="D1083" s="46" t="s">
        <v>110</v>
      </c>
      <c r="E1083" s="47" t="n">
        <v>345700</v>
      </c>
    </row>
    <row r="1084" customFormat="false" ht="15" hidden="false" customHeight="false" outlineLevel="0" collapsed="false">
      <c r="A1084" s="54" t="n">
        <v>46252</v>
      </c>
      <c r="B1084" s="46" t="s">
        <v>45</v>
      </c>
      <c r="C1084" s="46" t="s">
        <v>97</v>
      </c>
      <c r="D1084" s="46" t="s">
        <v>110</v>
      </c>
      <c r="E1084" s="47" t="n">
        <v>460300</v>
      </c>
    </row>
    <row r="1085" customFormat="false" ht="15" hidden="false" customHeight="false" outlineLevel="0" collapsed="false">
      <c r="A1085" s="54" t="n">
        <v>46252</v>
      </c>
      <c r="B1085" s="46" t="s">
        <v>47</v>
      </c>
      <c r="C1085" s="46" t="s">
        <v>97</v>
      </c>
      <c r="D1085" s="46" t="s">
        <v>110</v>
      </c>
      <c r="E1085" s="47" t="n">
        <v>261800</v>
      </c>
    </row>
    <row r="1086" customFormat="false" ht="15" hidden="false" customHeight="false" outlineLevel="0" collapsed="false">
      <c r="A1086" s="54" t="n">
        <v>46252</v>
      </c>
      <c r="B1086" s="46" t="s">
        <v>55</v>
      </c>
      <c r="C1086" s="46" t="s">
        <v>103</v>
      </c>
      <c r="D1086" s="46" t="s">
        <v>109</v>
      </c>
      <c r="E1086" s="47" t="n">
        <v>47000</v>
      </c>
    </row>
    <row r="1087" customFormat="false" ht="15" hidden="false" customHeight="false" outlineLevel="0" collapsed="false">
      <c r="A1087" s="54" t="n">
        <v>46252</v>
      </c>
      <c r="B1087" s="46" t="s">
        <v>55</v>
      </c>
      <c r="C1087" s="46" t="s">
        <v>103</v>
      </c>
      <c r="D1087" s="46" t="s">
        <v>109</v>
      </c>
      <c r="E1087" s="47" t="n">
        <v>34300</v>
      </c>
    </row>
    <row r="1088" customFormat="false" ht="15" hidden="false" customHeight="false" outlineLevel="0" collapsed="false">
      <c r="A1088" s="54" t="n">
        <v>46253</v>
      </c>
      <c r="B1088" s="46" t="s">
        <v>58</v>
      </c>
      <c r="C1088" s="46" t="s">
        <v>103</v>
      </c>
      <c r="D1088" s="46" t="s">
        <v>109</v>
      </c>
      <c r="E1088" s="47" t="n">
        <v>10700</v>
      </c>
    </row>
    <row r="1089" customFormat="false" ht="15" hidden="false" customHeight="false" outlineLevel="0" collapsed="false">
      <c r="A1089" s="54" t="n">
        <v>46253</v>
      </c>
      <c r="B1089" s="46" t="s">
        <v>101</v>
      </c>
      <c r="C1089" s="46" t="s">
        <v>99</v>
      </c>
      <c r="D1089" s="46" t="s">
        <v>108</v>
      </c>
      <c r="E1089" s="47" t="n">
        <v>732900</v>
      </c>
    </row>
    <row r="1090" customFormat="false" ht="15" hidden="false" customHeight="false" outlineLevel="0" collapsed="false">
      <c r="A1090" s="54" t="n">
        <v>46253</v>
      </c>
      <c r="B1090" s="46" t="s">
        <v>98</v>
      </c>
      <c r="C1090" s="46" t="s">
        <v>99</v>
      </c>
      <c r="D1090" s="46" t="s">
        <v>108</v>
      </c>
      <c r="E1090" s="47" t="n">
        <v>616100</v>
      </c>
    </row>
    <row r="1091" customFormat="false" ht="15" hidden="false" customHeight="false" outlineLevel="0" collapsed="false">
      <c r="A1091" s="54" t="n">
        <v>46253</v>
      </c>
      <c r="B1091" s="46" t="s">
        <v>100</v>
      </c>
      <c r="C1091" s="46" t="s">
        <v>99</v>
      </c>
      <c r="D1091" s="46" t="s">
        <v>108</v>
      </c>
      <c r="E1091" s="47" t="n">
        <v>381100</v>
      </c>
    </row>
    <row r="1092" customFormat="false" ht="15" hidden="false" customHeight="false" outlineLevel="0" collapsed="false">
      <c r="A1092" s="54" t="n">
        <v>46253</v>
      </c>
      <c r="B1092" s="46" t="s">
        <v>46</v>
      </c>
      <c r="C1092" s="46" t="s">
        <v>97</v>
      </c>
      <c r="D1092" s="46" t="s">
        <v>110</v>
      </c>
      <c r="E1092" s="47" t="n">
        <v>236000</v>
      </c>
    </row>
    <row r="1093" customFormat="false" ht="15" hidden="false" customHeight="false" outlineLevel="0" collapsed="false">
      <c r="A1093" s="54" t="n">
        <v>46253</v>
      </c>
      <c r="B1093" s="46" t="s">
        <v>44</v>
      </c>
      <c r="C1093" s="46" t="s">
        <v>97</v>
      </c>
      <c r="D1093" s="46" t="s">
        <v>110</v>
      </c>
      <c r="E1093" s="47" t="n">
        <v>703100</v>
      </c>
    </row>
    <row r="1094" customFormat="false" ht="15" hidden="false" customHeight="false" outlineLevel="0" collapsed="false">
      <c r="A1094" s="54" t="n">
        <v>46253</v>
      </c>
      <c r="B1094" s="46" t="s">
        <v>47</v>
      </c>
      <c r="C1094" s="46" t="s">
        <v>97</v>
      </c>
      <c r="D1094" s="46" t="s">
        <v>110</v>
      </c>
      <c r="E1094" s="47" t="n">
        <v>255200</v>
      </c>
    </row>
    <row r="1095" customFormat="false" ht="15" hidden="false" customHeight="false" outlineLevel="0" collapsed="false">
      <c r="A1095" s="54" t="n">
        <v>46253</v>
      </c>
      <c r="B1095" s="46" t="s">
        <v>55</v>
      </c>
      <c r="C1095" s="46" t="s">
        <v>103</v>
      </c>
      <c r="D1095" s="46" t="s">
        <v>109</v>
      </c>
      <c r="E1095" s="47" t="n">
        <v>51100</v>
      </c>
    </row>
    <row r="1096" customFormat="false" ht="15" hidden="false" customHeight="false" outlineLevel="0" collapsed="false">
      <c r="A1096" s="54" t="n">
        <v>46254</v>
      </c>
      <c r="B1096" s="46" t="s">
        <v>100</v>
      </c>
      <c r="C1096" s="46" t="s">
        <v>99</v>
      </c>
      <c r="D1096" s="46" t="s">
        <v>108</v>
      </c>
      <c r="E1096" s="47" t="n">
        <v>827300</v>
      </c>
    </row>
    <row r="1097" customFormat="false" ht="15" hidden="false" customHeight="false" outlineLevel="0" collapsed="false">
      <c r="A1097" s="54" t="n">
        <v>46254</v>
      </c>
      <c r="B1097" s="46" t="s">
        <v>102</v>
      </c>
      <c r="C1097" s="46" t="s">
        <v>99</v>
      </c>
      <c r="D1097" s="46" t="s">
        <v>108</v>
      </c>
      <c r="E1097" s="47" t="n">
        <v>581200</v>
      </c>
    </row>
    <row r="1098" customFormat="false" ht="15" hidden="false" customHeight="false" outlineLevel="0" collapsed="false">
      <c r="A1098" s="54" t="n">
        <v>46254</v>
      </c>
      <c r="B1098" s="46" t="s">
        <v>56</v>
      </c>
      <c r="C1098" s="46" t="s">
        <v>103</v>
      </c>
      <c r="D1098" s="46" t="s">
        <v>109</v>
      </c>
      <c r="E1098" s="47" t="n">
        <v>116200</v>
      </c>
    </row>
    <row r="1099" customFormat="false" ht="15" hidden="false" customHeight="false" outlineLevel="0" collapsed="false">
      <c r="A1099" s="54" t="n">
        <v>46254</v>
      </c>
      <c r="B1099" s="46" t="s">
        <v>52</v>
      </c>
      <c r="C1099" s="46" t="s">
        <v>103</v>
      </c>
      <c r="D1099" s="46" t="s">
        <v>109</v>
      </c>
      <c r="E1099" s="47" t="n">
        <v>1708900</v>
      </c>
    </row>
    <row r="1100" customFormat="false" ht="15" hidden="false" customHeight="false" outlineLevel="0" collapsed="false">
      <c r="A1100" s="54" t="n">
        <v>46254</v>
      </c>
      <c r="B1100" s="46" t="s">
        <v>44</v>
      </c>
      <c r="C1100" s="46" t="s">
        <v>97</v>
      </c>
      <c r="D1100" s="46" t="s">
        <v>110</v>
      </c>
      <c r="E1100" s="47" t="n">
        <v>623900</v>
      </c>
    </row>
    <row r="1101" customFormat="false" ht="15" hidden="false" customHeight="false" outlineLevel="0" collapsed="false">
      <c r="A1101" s="54" t="n">
        <v>46254</v>
      </c>
      <c r="B1101" s="46" t="s">
        <v>44</v>
      </c>
      <c r="C1101" s="46" t="s">
        <v>97</v>
      </c>
      <c r="D1101" s="46" t="s">
        <v>110</v>
      </c>
      <c r="E1101" s="47" t="n">
        <v>713800</v>
      </c>
    </row>
    <row r="1102" customFormat="false" ht="15" hidden="false" customHeight="false" outlineLevel="0" collapsed="false">
      <c r="A1102" s="54" t="n">
        <v>46254</v>
      </c>
      <c r="B1102" s="46" t="s">
        <v>44</v>
      </c>
      <c r="C1102" s="46" t="s">
        <v>97</v>
      </c>
      <c r="D1102" s="46" t="s">
        <v>110</v>
      </c>
      <c r="E1102" s="47" t="n">
        <v>228500</v>
      </c>
    </row>
    <row r="1103" customFormat="false" ht="15" hidden="false" customHeight="false" outlineLevel="0" collapsed="false">
      <c r="A1103" s="54" t="n">
        <v>46254</v>
      </c>
      <c r="B1103" s="46" t="s">
        <v>45</v>
      </c>
      <c r="C1103" s="46" t="s">
        <v>97</v>
      </c>
      <c r="D1103" s="46" t="s">
        <v>110</v>
      </c>
      <c r="E1103" s="47" t="n">
        <v>158800</v>
      </c>
    </row>
    <row r="1104" customFormat="false" ht="15" hidden="false" customHeight="false" outlineLevel="0" collapsed="false">
      <c r="A1104" s="54" t="n">
        <v>46254</v>
      </c>
      <c r="B1104" s="46" t="s">
        <v>45</v>
      </c>
      <c r="C1104" s="46" t="s">
        <v>97</v>
      </c>
      <c r="D1104" s="46" t="s">
        <v>110</v>
      </c>
      <c r="E1104" s="47" t="n">
        <v>168000</v>
      </c>
    </row>
    <row r="1105" customFormat="false" ht="15" hidden="false" customHeight="false" outlineLevel="0" collapsed="false">
      <c r="A1105" s="54" t="n">
        <v>46254</v>
      </c>
      <c r="B1105" s="46" t="s">
        <v>45</v>
      </c>
      <c r="C1105" s="46" t="s">
        <v>97</v>
      </c>
      <c r="D1105" s="46" t="s">
        <v>110</v>
      </c>
      <c r="E1105" s="47" t="n">
        <v>221400</v>
      </c>
    </row>
    <row r="1106" customFormat="false" ht="15" hidden="false" customHeight="false" outlineLevel="0" collapsed="false">
      <c r="A1106" s="54" t="n">
        <v>46254</v>
      </c>
      <c r="B1106" s="46" t="s">
        <v>45</v>
      </c>
      <c r="C1106" s="46" t="s">
        <v>97</v>
      </c>
      <c r="D1106" s="46" t="s">
        <v>110</v>
      </c>
      <c r="E1106" s="47" t="n">
        <v>273100</v>
      </c>
    </row>
    <row r="1107" customFormat="false" ht="15" hidden="false" customHeight="false" outlineLevel="0" collapsed="false">
      <c r="A1107" s="54" t="n">
        <v>46255</v>
      </c>
      <c r="B1107" s="46" t="s">
        <v>98</v>
      </c>
      <c r="C1107" s="46" t="s">
        <v>99</v>
      </c>
      <c r="D1107" s="46" t="s">
        <v>108</v>
      </c>
      <c r="E1107" s="47" t="n">
        <v>1472300</v>
      </c>
    </row>
    <row r="1108" customFormat="false" ht="15" hidden="false" customHeight="false" outlineLevel="0" collapsed="false">
      <c r="A1108" s="54" t="n">
        <v>46255</v>
      </c>
      <c r="B1108" s="46" t="s">
        <v>100</v>
      </c>
      <c r="C1108" s="46" t="s">
        <v>99</v>
      </c>
      <c r="D1108" s="46" t="s">
        <v>108</v>
      </c>
      <c r="E1108" s="47" t="n">
        <v>720800</v>
      </c>
    </row>
    <row r="1109" customFormat="false" ht="15" hidden="false" customHeight="false" outlineLevel="0" collapsed="false">
      <c r="A1109" s="54" t="n">
        <v>46255</v>
      </c>
      <c r="B1109" s="46" t="s">
        <v>46</v>
      </c>
      <c r="C1109" s="46" t="s">
        <v>97</v>
      </c>
      <c r="D1109" s="46" t="s">
        <v>110</v>
      </c>
      <c r="E1109" s="47" t="n">
        <v>234700</v>
      </c>
    </row>
    <row r="1110" customFormat="false" ht="15" hidden="false" customHeight="false" outlineLevel="0" collapsed="false">
      <c r="A1110" s="54" t="n">
        <v>46255</v>
      </c>
      <c r="B1110" s="46" t="s">
        <v>44</v>
      </c>
      <c r="C1110" s="46" t="s">
        <v>97</v>
      </c>
      <c r="D1110" s="46" t="s">
        <v>110</v>
      </c>
      <c r="E1110" s="47" t="n">
        <v>261600</v>
      </c>
    </row>
    <row r="1111" customFormat="false" ht="15" hidden="false" customHeight="false" outlineLevel="0" collapsed="false">
      <c r="A1111" s="54" t="n">
        <v>46255</v>
      </c>
      <c r="B1111" s="46" t="s">
        <v>44</v>
      </c>
      <c r="C1111" s="46" t="s">
        <v>97</v>
      </c>
      <c r="D1111" s="46" t="s">
        <v>110</v>
      </c>
      <c r="E1111" s="47" t="n">
        <v>554200</v>
      </c>
    </row>
    <row r="1112" customFormat="false" ht="15" hidden="false" customHeight="false" outlineLevel="0" collapsed="false">
      <c r="A1112" s="54" t="n">
        <v>46255</v>
      </c>
      <c r="B1112" s="46" t="s">
        <v>44</v>
      </c>
      <c r="C1112" s="46" t="s">
        <v>97</v>
      </c>
      <c r="D1112" s="46" t="s">
        <v>110</v>
      </c>
      <c r="E1112" s="47" t="n">
        <v>448400</v>
      </c>
    </row>
    <row r="1113" customFormat="false" ht="15" hidden="false" customHeight="false" outlineLevel="0" collapsed="false">
      <c r="A1113" s="54" t="n">
        <v>46255</v>
      </c>
      <c r="B1113" s="46" t="s">
        <v>55</v>
      </c>
      <c r="C1113" s="46" t="s">
        <v>103</v>
      </c>
      <c r="D1113" s="46" t="s">
        <v>109</v>
      </c>
      <c r="E1113" s="47" t="n">
        <v>100200</v>
      </c>
    </row>
    <row r="1114" customFormat="false" ht="15" hidden="false" customHeight="false" outlineLevel="0" collapsed="false">
      <c r="A1114" s="54" t="n">
        <v>46256</v>
      </c>
      <c r="B1114" s="46" t="s">
        <v>46</v>
      </c>
      <c r="C1114" s="46" t="s">
        <v>97</v>
      </c>
      <c r="D1114" s="46" t="s">
        <v>110</v>
      </c>
      <c r="E1114" s="47" t="n">
        <v>154100</v>
      </c>
    </row>
    <row r="1115" customFormat="false" ht="15" hidden="false" customHeight="false" outlineLevel="0" collapsed="false">
      <c r="A1115" s="54" t="n">
        <v>46256</v>
      </c>
      <c r="B1115" s="46" t="s">
        <v>46</v>
      </c>
      <c r="C1115" s="46" t="s">
        <v>97</v>
      </c>
      <c r="D1115" s="46" t="s">
        <v>110</v>
      </c>
      <c r="E1115" s="47" t="n">
        <v>101600</v>
      </c>
    </row>
    <row r="1116" customFormat="false" ht="15" hidden="false" customHeight="false" outlineLevel="0" collapsed="false">
      <c r="A1116" s="54" t="n">
        <v>46256</v>
      </c>
      <c r="B1116" s="46" t="s">
        <v>45</v>
      </c>
      <c r="C1116" s="46" t="s">
        <v>97</v>
      </c>
      <c r="D1116" s="46" t="s">
        <v>110</v>
      </c>
      <c r="E1116" s="47" t="n">
        <v>347800</v>
      </c>
    </row>
    <row r="1117" customFormat="false" ht="15" hidden="false" customHeight="false" outlineLevel="0" collapsed="false">
      <c r="A1117" s="54" t="n">
        <v>46256</v>
      </c>
      <c r="B1117" s="46" t="s">
        <v>45</v>
      </c>
      <c r="C1117" s="46" t="s">
        <v>97</v>
      </c>
      <c r="D1117" s="46" t="s">
        <v>110</v>
      </c>
      <c r="E1117" s="47" t="n">
        <v>418800</v>
      </c>
    </row>
    <row r="1118" customFormat="false" ht="15" hidden="false" customHeight="false" outlineLevel="0" collapsed="false">
      <c r="A1118" s="54" t="n">
        <v>46257</v>
      </c>
      <c r="B1118" s="46" t="s">
        <v>98</v>
      </c>
      <c r="C1118" s="46" t="s">
        <v>99</v>
      </c>
      <c r="D1118" s="46" t="s">
        <v>108</v>
      </c>
      <c r="E1118" s="47" t="n">
        <v>1038800</v>
      </c>
    </row>
    <row r="1119" customFormat="false" ht="15" hidden="false" customHeight="false" outlineLevel="0" collapsed="false">
      <c r="A1119" s="54" t="n">
        <v>46257</v>
      </c>
      <c r="B1119" s="46" t="s">
        <v>102</v>
      </c>
      <c r="C1119" s="46" t="s">
        <v>99</v>
      </c>
      <c r="D1119" s="46" t="s">
        <v>108</v>
      </c>
      <c r="E1119" s="47" t="n">
        <v>528200</v>
      </c>
    </row>
    <row r="1120" customFormat="false" ht="15" hidden="false" customHeight="false" outlineLevel="0" collapsed="false">
      <c r="A1120" s="54" t="n">
        <v>46257</v>
      </c>
      <c r="B1120" s="46" t="s">
        <v>46</v>
      </c>
      <c r="C1120" s="46" t="s">
        <v>97</v>
      </c>
      <c r="D1120" s="46" t="s">
        <v>110</v>
      </c>
      <c r="E1120" s="47" t="n">
        <v>151000</v>
      </c>
    </row>
    <row r="1121" customFormat="false" ht="15" hidden="false" customHeight="false" outlineLevel="0" collapsed="false">
      <c r="A1121" s="54" t="n">
        <v>46257</v>
      </c>
      <c r="B1121" s="46" t="s">
        <v>44</v>
      </c>
      <c r="C1121" s="46" t="s">
        <v>97</v>
      </c>
      <c r="D1121" s="46" t="s">
        <v>110</v>
      </c>
      <c r="E1121" s="47" t="n">
        <v>202800</v>
      </c>
    </row>
    <row r="1122" customFormat="false" ht="15" hidden="false" customHeight="false" outlineLevel="0" collapsed="false">
      <c r="A1122" s="54" t="n">
        <v>46257</v>
      </c>
      <c r="B1122" s="46" t="s">
        <v>47</v>
      </c>
      <c r="C1122" s="46" t="s">
        <v>97</v>
      </c>
      <c r="D1122" s="46" t="s">
        <v>110</v>
      </c>
      <c r="E1122" s="47" t="n">
        <v>289100</v>
      </c>
    </row>
    <row r="1123" customFormat="false" ht="15" hidden="false" customHeight="false" outlineLevel="0" collapsed="false">
      <c r="A1123" s="54" t="n">
        <v>46258</v>
      </c>
      <c r="B1123" s="46" t="s">
        <v>58</v>
      </c>
      <c r="C1123" s="46" t="s">
        <v>103</v>
      </c>
      <c r="D1123" s="46" t="s">
        <v>109</v>
      </c>
      <c r="E1123" s="47" t="n">
        <v>4700</v>
      </c>
    </row>
    <row r="1124" customFormat="false" ht="15" hidden="false" customHeight="false" outlineLevel="0" collapsed="false">
      <c r="A1124" s="54" t="n">
        <v>46258</v>
      </c>
      <c r="B1124" s="46" t="s">
        <v>46</v>
      </c>
      <c r="C1124" s="46" t="s">
        <v>97</v>
      </c>
      <c r="D1124" s="46" t="s">
        <v>110</v>
      </c>
      <c r="E1124" s="47" t="n">
        <v>202700</v>
      </c>
    </row>
    <row r="1125" customFormat="false" ht="15" hidden="false" customHeight="false" outlineLevel="0" collapsed="false">
      <c r="A1125" s="54" t="n">
        <v>46258</v>
      </c>
      <c r="B1125" s="46" t="s">
        <v>46</v>
      </c>
      <c r="C1125" s="46" t="s">
        <v>97</v>
      </c>
      <c r="D1125" s="46" t="s">
        <v>110</v>
      </c>
      <c r="E1125" s="47" t="n">
        <v>242700</v>
      </c>
    </row>
    <row r="1126" customFormat="false" ht="15" hidden="false" customHeight="false" outlineLevel="0" collapsed="false">
      <c r="A1126" s="54" t="n">
        <v>46258</v>
      </c>
      <c r="B1126" s="46" t="s">
        <v>44</v>
      </c>
      <c r="C1126" s="46" t="s">
        <v>97</v>
      </c>
      <c r="D1126" s="46" t="s">
        <v>110</v>
      </c>
      <c r="E1126" s="47" t="n">
        <v>638000</v>
      </c>
    </row>
    <row r="1127" customFormat="false" ht="15" hidden="false" customHeight="false" outlineLevel="0" collapsed="false">
      <c r="A1127" s="54" t="n">
        <v>46258</v>
      </c>
      <c r="B1127" s="46" t="s">
        <v>44</v>
      </c>
      <c r="C1127" s="46" t="s">
        <v>97</v>
      </c>
      <c r="D1127" s="46" t="s">
        <v>110</v>
      </c>
      <c r="E1127" s="47" t="n">
        <v>487500</v>
      </c>
    </row>
    <row r="1128" customFormat="false" ht="15" hidden="false" customHeight="false" outlineLevel="0" collapsed="false">
      <c r="A1128" s="54" t="n">
        <v>46258</v>
      </c>
      <c r="B1128" s="46" t="s">
        <v>45</v>
      </c>
      <c r="C1128" s="46" t="s">
        <v>97</v>
      </c>
      <c r="D1128" s="46" t="s">
        <v>110</v>
      </c>
      <c r="E1128" s="47" t="n">
        <v>196300</v>
      </c>
    </row>
    <row r="1129" customFormat="false" ht="15" hidden="false" customHeight="false" outlineLevel="0" collapsed="false">
      <c r="A1129" s="54" t="n">
        <v>46258</v>
      </c>
      <c r="B1129" s="46" t="s">
        <v>45</v>
      </c>
      <c r="C1129" s="46" t="s">
        <v>97</v>
      </c>
      <c r="D1129" s="46" t="s">
        <v>110</v>
      </c>
      <c r="E1129" s="47" t="n">
        <v>432000</v>
      </c>
    </row>
    <row r="1130" customFormat="false" ht="15" hidden="false" customHeight="false" outlineLevel="0" collapsed="false">
      <c r="A1130" s="54" t="n">
        <v>46258</v>
      </c>
      <c r="B1130" s="46" t="s">
        <v>47</v>
      </c>
      <c r="C1130" s="46" t="s">
        <v>97</v>
      </c>
      <c r="D1130" s="46" t="s">
        <v>110</v>
      </c>
      <c r="E1130" s="47" t="n">
        <v>186200</v>
      </c>
    </row>
    <row r="1131" customFormat="false" ht="15" hidden="false" customHeight="false" outlineLevel="0" collapsed="false">
      <c r="A1131" s="54" t="n">
        <v>46258</v>
      </c>
      <c r="B1131" s="46" t="s">
        <v>47</v>
      </c>
      <c r="C1131" s="46" t="s">
        <v>97</v>
      </c>
      <c r="D1131" s="46" t="s">
        <v>110</v>
      </c>
      <c r="E1131" s="47" t="n">
        <v>200500</v>
      </c>
    </row>
    <row r="1132" customFormat="false" ht="15" hidden="false" customHeight="false" outlineLevel="0" collapsed="false">
      <c r="A1132" s="54" t="n">
        <v>46258</v>
      </c>
      <c r="B1132" s="46" t="s">
        <v>47</v>
      </c>
      <c r="C1132" s="46" t="s">
        <v>97</v>
      </c>
      <c r="D1132" s="46" t="s">
        <v>110</v>
      </c>
      <c r="E1132" s="47" t="n">
        <v>241400</v>
      </c>
    </row>
    <row r="1133" customFormat="false" ht="15" hidden="false" customHeight="false" outlineLevel="0" collapsed="false">
      <c r="A1133" s="54" t="n">
        <v>46259</v>
      </c>
      <c r="B1133" s="46" t="s">
        <v>58</v>
      </c>
      <c r="C1133" s="46" t="s">
        <v>103</v>
      </c>
      <c r="D1133" s="46" t="s">
        <v>109</v>
      </c>
      <c r="E1133" s="47" t="n">
        <v>5900</v>
      </c>
    </row>
    <row r="1134" customFormat="false" ht="15" hidden="false" customHeight="false" outlineLevel="0" collapsed="false">
      <c r="A1134" s="54" t="n">
        <v>46259</v>
      </c>
      <c r="B1134" s="46" t="s">
        <v>59</v>
      </c>
      <c r="C1134" s="46" t="s">
        <v>103</v>
      </c>
      <c r="D1134" s="46" t="s">
        <v>109</v>
      </c>
      <c r="E1134" s="47" t="n">
        <v>60800</v>
      </c>
    </row>
    <row r="1135" customFormat="false" ht="15" hidden="false" customHeight="false" outlineLevel="0" collapsed="false">
      <c r="A1135" s="54" t="n">
        <v>46259</v>
      </c>
      <c r="B1135" s="46" t="s">
        <v>46</v>
      </c>
      <c r="C1135" s="46" t="s">
        <v>97</v>
      </c>
      <c r="D1135" s="46" t="s">
        <v>110</v>
      </c>
      <c r="E1135" s="47" t="n">
        <v>253500</v>
      </c>
    </row>
    <row r="1136" customFormat="false" ht="15" hidden="false" customHeight="false" outlineLevel="0" collapsed="false">
      <c r="A1136" s="54" t="n">
        <v>46259</v>
      </c>
      <c r="B1136" s="46" t="s">
        <v>44</v>
      </c>
      <c r="C1136" s="46" t="s">
        <v>97</v>
      </c>
      <c r="D1136" s="46" t="s">
        <v>110</v>
      </c>
      <c r="E1136" s="47" t="n">
        <v>563600</v>
      </c>
    </row>
    <row r="1137" customFormat="false" ht="15" hidden="false" customHeight="false" outlineLevel="0" collapsed="false">
      <c r="A1137" s="54" t="n">
        <v>46259</v>
      </c>
      <c r="B1137" s="46" t="s">
        <v>47</v>
      </c>
      <c r="C1137" s="46" t="s">
        <v>97</v>
      </c>
      <c r="D1137" s="46" t="s">
        <v>110</v>
      </c>
      <c r="E1137" s="47" t="n">
        <v>183100</v>
      </c>
    </row>
    <row r="1138" customFormat="false" ht="15" hidden="false" customHeight="false" outlineLevel="0" collapsed="false">
      <c r="A1138" s="54" t="n">
        <v>46260</v>
      </c>
      <c r="B1138" s="46" t="s">
        <v>47</v>
      </c>
      <c r="C1138" s="46" t="s">
        <v>97</v>
      </c>
      <c r="D1138" s="46" t="s">
        <v>110</v>
      </c>
      <c r="E1138" s="47" t="n">
        <v>290400</v>
      </c>
    </row>
    <row r="1139" customFormat="false" ht="15" hidden="false" customHeight="false" outlineLevel="0" collapsed="false">
      <c r="A1139" s="54" t="n">
        <v>46260</v>
      </c>
      <c r="B1139" s="46" t="s">
        <v>47</v>
      </c>
      <c r="C1139" s="46" t="s">
        <v>97</v>
      </c>
      <c r="D1139" s="46" t="s">
        <v>110</v>
      </c>
      <c r="E1139" s="47" t="n">
        <v>93500</v>
      </c>
    </row>
    <row r="1140" customFormat="false" ht="15" hidden="false" customHeight="false" outlineLevel="0" collapsed="false">
      <c r="A1140" s="54" t="n">
        <v>46260</v>
      </c>
      <c r="B1140" s="46" t="s">
        <v>55</v>
      </c>
      <c r="C1140" s="46" t="s">
        <v>103</v>
      </c>
      <c r="D1140" s="46" t="s">
        <v>109</v>
      </c>
      <c r="E1140" s="47" t="n">
        <v>91500</v>
      </c>
    </row>
    <row r="1141" customFormat="false" ht="15" hidden="false" customHeight="false" outlineLevel="0" collapsed="false">
      <c r="A1141" s="54" t="n">
        <v>46261</v>
      </c>
      <c r="B1141" s="46" t="s">
        <v>100</v>
      </c>
      <c r="C1141" s="46" t="s">
        <v>99</v>
      </c>
      <c r="D1141" s="46" t="s">
        <v>108</v>
      </c>
      <c r="E1141" s="47" t="n">
        <v>781300</v>
      </c>
    </row>
    <row r="1142" customFormat="false" ht="15" hidden="false" customHeight="false" outlineLevel="0" collapsed="false">
      <c r="A1142" s="54" t="n">
        <v>46261</v>
      </c>
      <c r="B1142" s="46" t="s">
        <v>102</v>
      </c>
      <c r="C1142" s="46" t="s">
        <v>99</v>
      </c>
      <c r="D1142" s="46" t="s">
        <v>108</v>
      </c>
      <c r="E1142" s="47" t="n">
        <v>212700</v>
      </c>
    </row>
    <row r="1143" customFormat="false" ht="15" hidden="false" customHeight="false" outlineLevel="0" collapsed="false">
      <c r="A1143" s="54" t="n">
        <v>46261</v>
      </c>
      <c r="B1143" s="46" t="s">
        <v>47</v>
      </c>
      <c r="C1143" s="46" t="s">
        <v>97</v>
      </c>
      <c r="D1143" s="46" t="s">
        <v>110</v>
      </c>
      <c r="E1143" s="47" t="n">
        <v>190600</v>
      </c>
    </row>
    <row r="1144" customFormat="false" ht="15" hidden="false" customHeight="false" outlineLevel="0" collapsed="false">
      <c r="A1144" s="54" t="n">
        <v>46261</v>
      </c>
      <c r="B1144" s="46" t="s">
        <v>47</v>
      </c>
      <c r="C1144" s="46" t="s">
        <v>97</v>
      </c>
      <c r="D1144" s="46" t="s">
        <v>110</v>
      </c>
      <c r="E1144" s="47" t="n">
        <v>201700</v>
      </c>
    </row>
    <row r="1145" customFormat="false" ht="15" hidden="false" customHeight="false" outlineLevel="0" collapsed="false">
      <c r="A1145" s="54" t="n">
        <v>46266</v>
      </c>
      <c r="B1145" s="46" t="s">
        <v>101</v>
      </c>
      <c r="C1145" s="46" t="s">
        <v>99</v>
      </c>
      <c r="D1145" s="46" t="s">
        <v>108</v>
      </c>
      <c r="E1145" s="47" t="n">
        <v>308300</v>
      </c>
    </row>
    <row r="1146" customFormat="false" ht="15" hidden="false" customHeight="false" outlineLevel="0" collapsed="false">
      <c r="A1146" s="54" t="n">
        <v>46266</v>
      </c>
      <c r="B1146" s="46" t="s">
        <v>98</v>
      </c>
      <c r="C1146" s="46" t="s">
        <v>99</v>
      </c>
      <c r="D1146" s="46" t="s">
        <v>108</v>
      </c>
      <c r="E1146" s="47" t="n">
        <v>619500</v>
      </c>
    </row>
    <row r="1147" customFormat="false" ht="15" hidden="false" customHeight="false" outlineLevel="0" collapsed="false">
      <c r="A1147" s="54" t="n">
        <v>46266</v>
      </c>
      <c r="B1147" s="46" t="s">
        <v>44</v>
      </c>
      <c r="C1147" s="46" t="s">
        <v>97</v>
      </c>
      <c r="D1147" s="46" t="s">
        <v>110</v>
      </c>
      <c r="E1147" s="47" t="n">
        <v>615100</v>
      </c>
    </row>
    <row r="1148" customFormat="false" ht="15" hidden="false" customHeight="false" outlineLevel="0" collapsed="false">
      <c r="A1148" s="54" t="n">
        <v>46267</v>
      </c>
      <c r="B1148" s="46" t="s">
        <v>46</v>
      </c>
      <c r="C1148" s="46" t="s">
        <v>97</v>
      </c>
      <c r="D1148" s="46" t="s">
        <v>110</v>
      </c>
      <c r="E1148" s="47" t="n">
        <v>335900</v>
      </c>
    </row>
    <row r="1149" customFormat="false" ht="15" hidden="false" customHeight="false" outlineLevel="0" collapsed="false">
      <c r="A1149" s="54" t="n">
        <v>46267</v>
      </c>
      <c r="B1149" s="46" t="s">
        <v>45</v>
      </c>
      <c r="C1149" s="46" t="s">
        <v>97</v>
      </c>
      <c r="D1149" s="46" t="s">
        <v>110</v>
      </c>
      <c r="E1149" s="47" t="n">
        <v>531300</v>
      </c>
    </row>
    <row r="1150" customFormat="false" ht="15" hidden="false" customHeight="false" outlineLevel="0" collapsed="false">
      <c r="A1150" s="54" t="n">
        <v>46267</v>
      </c>
      <c r="B1150" s="46" t="s">
        <v>45</v>
      </c>
      <c r="C1150" s="46" t="s">
        <v>97</v>
      </c>
      <c r="D1150" s="46" t="s">
        <v>110</v>
      </c>
      <c r="E1150" s="47" t="n">
        <v>648800</v>
      </c>
    </row>
    <row r="1151" customFormat="false" ht="15" hidden="false" customHeight="false" outlineLevel="0" collapsed="false">
      <c r="A1151" s="54" t="n">
        <v>46267</v>
      </c>
      <c r="B1151" s="46" t="s">
        <v>47</v>
      </c>
      <c r="C1151" s="46" t="s">
        <v>97</v>
      </c>
      <c r="D1151" s="46" t="s">
        <v>110</v>
      </c>
      <c r="E1151" s="47" t="n">
        <v>317600</v>
      </c>
    </row>
    <row r="1152" customFormat="false" ht="15" hidden="false" customHeight="false" outlineLevel="0" collapsed="false">
      <c r="A1152" s="54" t="n">
        <v>46267</v>
      </c>
      <c r="B1152" s="46" t="s">
        <v>55</v>
      </c>
      <c r="C1152" s="46" t="s">
        <v>103</v>
      </c>
      <c r="D1152" s="46" t="s">
        <v>109</v>
      </c>
      <c r="E1152" s="47" t="n">
        <v>49400</v>
      </c>
    </row>
    <row r="1153" customFormat="false" ht="15" hidden="false" customHeight="false" outlineLevel="0" collapsed="false">
      <c r="A1153" s="54" t="n">
        <v>46267</v>
      </c>
      <c r="B1153" s="46" t="s">
        <v>55</v>
      </c>
      <c r="C1153" s="46" t="s">
        <v>103</v>
      </c>
      <c r="D1153" s="46" t="s">
        <v>109</v>
      </c>
      <c r="E1153" s="47" t="n">
        <v>90400</v>
      </c>
    </row>
    <row r="1154" customFormat="false" ht="15" hidden="false" customHeight="false" outlineLevel="0" collapsed="false">
      <c r="A1154" s="54" t="n">
        <v>46267</v>
      </c>
      <c r="B1154" s="46" t="s">
        <v>55</v>
      </c>
      <c r="C1154" s="46" t="s">
        <v>103</v>
      </c>
      <c r="D1154" s="46" t="s">
        <v>109</v>
      </c>
      <c r="E1154" s="47" t="n">
        <v>70800</v>
      </c>
    </row>
    <row r="1155" customFormat="false" ht="15" hidden="false" customHeight="false" outlineLevel="0" collapsed="false">
      <c r="A1155" s="54" t="n">
        <v>46267</v>
      </c>
      <c r="B1155" s="46" t="s">
        <v>54</v>
      </c>
      <c r="C1155" s="46" t="s">
        <v>103</v>
      </c>
      <c r="D1155" s="46" t="s">
        <v>109</v>
      </c>
      <c r="E1155" s="47" t="n">
        <v>109000</v>
      </c>
    </row>
    <row r="1156" customFormat="false" ht="15" hidden="false" customHeight="false" outlineLevel="0" collapsed="false">
      <c r="A1156" s="54" t="n">
        <v>46268</v>
      </c>
      <c r="B1156" s="46" t="s">
        <v>58</v>
      </c>
      <c r="C1156" s="46" t="s">
        <v>103</v>
      </c>
      <c r="D1156" s="46" t="s">
        <v>109</v>
      </c>
      <c r="E1156" s="47" t="n">
        <v>12000</v>
      </c>
    </row>
    <row r="1157" customFormat="false" ht="15" hidden="false" customHeight="false" outlineLevel="0" collapsed="false">
      <c r="A1157" s="54" t="n">
        <v>46268</v>
      </c>
      <c r="B1157" s="46" t="s">
        <v>102</v>
      </c>
      <c r="C1157" s="46" t="s">
        <v>99</v>
      </c>
      <c r="D1157" s="46" t="s">
        <v>108</v>
      </c>
      <c r="E1157" s="47" t="n">
        <v>403200</v>
      </c>
    </row>
    <row r="1158" customFormat="false" ht="15" hidden="false" customHeight="false" outlineLevel="0" collapsed="false">
      <c r="A1158" s="54" t="n">
        <v>46268</v>
      </c>
      <c r="B1158" s="46" t="s">
        <v>46</v>
      </c>
      <c r="C1158" s="46" t="s">
        <v>97</v>
      </c>
      <c r="D1158" s="46" t="s">
        <v>110</v>
      </c>
      <c r="E1158" s="47" t="n">
        <v>142900</v>
      </c>
    </row>
    <row r="1159" customFormat="false" ht="15" hidden="false" customHeight="false" outlineLevel="0" collapsed="false">
      <c r="A1159" s="54" t="n">
        <v>46268</v>
      </c>
      <c r="B1159" s="46" t="s">
        <v>44</v>
      </c>
      <c r="C1159" s="46" t="s">
        <v>97</v>
      </c>
      <c r="D1159" s="46" t="s">
        <v>110</v>
      </c>
      <c r="E1159" s="47" t="n">
        <v>307800</v>
      </c>
    </row>
    <row r="1160" customFormat="false" ht="15" hidden="false" customHeight="false" outlineLevel="0" collapsed="false">
      <c r="A1160" s="54" t="n">
        <v>46268</v>
      </c>
      <c r="B1160" s="46" t="s">
        <v>44</v>
      </c>
      <c r="C1160" s="46" t="s">
        <v>97</v>
      </c>
      <c r="D1160" s="46" t="s">
        <v>110</v>
      </c>
      <c r="E1160" s="47" t="n">
        <v>818800</v>
      </c>
    </row>
    <row r="1161" customFormat="false" ht="15" hidden="false" customHeight="false" outlineLevel="0" collapsed="false">
      <c r="A1161" s="54" t="n">
        <v>46268</v>
      </c>
      <c r="B1161" s="46" t="s">
        <v>55</v>
      </c>
      <c r="C1161" s="46" t="s">
        <v>103</v>
      </c>
      <c r="D1161" s="46" t="s">
        <v>109</v>
      </c>
      <c r="E1161" s="47" t="n">
        <v>82500</v>
      </c>
    </row>
    <row r="1162" customFormat="false" ht="15" hidden="false" customHeight="false" outlineLevel="0" collapsed="false">
      <c r="A1162" s="54" t="n">
        <v>46268</v>
      </c>
      <c r="B1162" s="46" t="s">
        <v>55</v>
      </c>
      <c r="C1162" s="46" t="s">
        <v>103</v>
      </c>
      <c r="D1162" s="46" t="s">
        <v>109</v>
      </c>
      <c r="E1162" s="47" t="n">
        <v>50200</v>
      </c>
    </row>
    <row r="1163" customFormat="false" ht="15" hidden="false" customHeight="false" outlineLevel="0" collapsed="false">
      <c r="A1163" s="54" t="n">
        <v>46269</v>
      </c>
      <c r="B1163" s="46" t="s">
        <v>46</v>
      </c>
      <c r="C1163" s="46" t="s">
        <v>97</v>
      </c>
      <c r="D1163" s="46" t="s">
        <v>110</v>
      </c>
      <c r="E1163" s="47" t="n">
        <v>316200</v>
      </c>
    </row>
    <row r="1164" customFormat="false" ht="15" hidden="false" customHeight="false" outlineLevel="0" collapsed="false">
      <c r="A1164" s="54" t="n">
        <v>46269</v>
      </c>
      <c r="B1164" s="46" t="s">
        <v>44</v>
      </c>
      <c r="C1164" s="46" t="s">
        <v>97</v>
      </c>
      <c r="D1164" s="46" t="s">
        <v>110</v>
      </c>
      <c r="E1164" s="47" t="n">
        <v>640200</v>
      </c>
    </row>
    <row r="1165" customFormat="false" ht="15" hidden="false" customHeight="false" outlineLevel="0" collapsed="false">
      <c r="A1165" s="54" t="n">
        <v>46269</v>
      </c>
      <c r="B1165" s="46" t="s">
        <v>44</v>
      </c>
      <c r="C1165" s="46" t="s">
        <v>97</v>
      </c>
      <c r="D1165" s="46" t="s">
        <v>110</v>
      </c>
      <c r="E1165" s="47" t="n">
        <v>464500</v>
      </c>
    </row>
    <row r="1166" customFormat="false" ht="15" hidden="false" customHeight="false" outlineLevel="0" collapsed="false">
      <c r="A1166" s="54" t="n">
        <v>46269</v>
      </c>
      <c r="B1166" s="46" t="s">
        <v>44</v>
      </c>
      <c r="C1166" s="46" t="s">
        <v>97</v>
      </c>
      <c r="D1166" s="46" t="s">
        <v>110</v>
      </c>
      <c r="E1166" s="47" t="n">
        <v>378300</v>
      </c>
    </row>
    <row r="1167" customFormat="false" ht="15" hidden="false" customHeight="false" outlineLevel="0" collapsed="false">
      <c r="A1167" s="54" t="n">
        <v>46269</v>
      </c>
      <c r="B1167" s="46" t="s">
        <v>45</v>
      </c>
      <c r="C1167" s="46" t="s">
        <v>97</v>
      </c>
      <c r="D1167" s="46" t="s">
        <v>110</v>
      </c>
      <c r="E1167" s="47" t="n">
        <v>379400</v>
      </c>
    </row>
    <row r="1168" customFormat="false" ht="15" hidden="false" customHeight="false" outlineLevel="0" collapsed="false">
      <c r="A1168" s="54" t="n">
        <v>46269</v>
      </c>
      <c r="B1168" s="46" t="s">
        <v>55</v>
      </c>
      <c r="C1168" s="46" t="s">
        <v>103</v>
      </c>
      <c r="D1168" s="46" t="s">
        <v>109</v>
      </c>
      <c r="E1168" s="47" t="n">
        <v>52100</v>
      </c>
    </row>
    <row r="1169" customFormat="false" ht="15" hidden="false" customHeight="false" outlineLevel="0" collapsed="false">
      <c r="A1169" s="54" t="n">
        <v>46270</v>
      </c>
      <c r="B1169" s="46" t="s">
        <v>98</v>
      </c>
      <c r="C1169" s="46" t="s">
        <v>99</v>
      </c>
      <c r="D1169" s="46" t="s">
        <v>108</v>
      </c>
      <c r="E1169" s="47" t="n">
        <v>620300</v>
      </c>
    </row>
    <row r="1170" customFormat="false" ht="15" hidden="false" customHeight="false" outlineLevel="0" collapsed="false">
      <c r="A1170" s="54" t="n">
        <v>46270</v>
      </c>
      <c r="B1170" s="46" t="s">
        <v>98</v>
      </c>
      <c r="C1170" s="46" t="s">
        <v>99</v>
      </c>
      <c r="D1170" s="46" t="s">
        <v>108</v>
      </c>
      <c r="E1170" s="47" t="n">
        <v>1173800</v>
      </c>
    </row>
    <row r="1171" customFormat="false" ht="15" hidden="false" customHeight="false" outlineLevel="0" collapsed="false">
      <c r="A1171" s="54" t="n">
        <v>46270</v>
      </c>
      <c r="B1171" s="46" t="s">
        <v>100</v>
      </c>
      <c r="C1171" s="46" t="s">
        <v>99</v>
      </c>
      <c r="D1171" s="46" t="s">
        <v>108</v>
      </c>
      <c r="E1171" s="47" t="n">
        <v>1194300</v>
      </c>
    </row>
    <row r="1172" customFormat="false" ht="15" hidden="false" customHeight="false" outlineLevel="0" collapsed="false">
      <c r="A1172" s="54" t="n">
        <v>46270</v>
      </c>
      <c r="B1172" s="46" t="s">
        <v>46</v>
      </c>
      <c r="C1172" s="46" t="s">
        <v>97</v>
      </c>
      <c r="D1172" s="46" t="s">
        <v>110</v>
      </c>
      <c r="E1172" s="47" t="n">
        <v>145900</v>
      </c>
    </row>
    <row r="1173" customFormat="false" ht="15" hidden="false" customHeight="false" outlineLevel="0" collapsed="false">
      <c r="A1173" s="54" t="n">
        <v>46270</v>
      </c>
      <c r="B1173" s="46" t="s">
        <v>46</v>
      </c>
      <c r="C1173" s="46" t="s">
        <v>97</v>
      </c>
      <c r="D1173" s="46" t="s">
        <v>110</v>
      </c>
      <c r="E1173" s="47" t="n">
        <v>319400</v>
      </c>
    </row>
    <row r="1174" customFormat="false" ht="15" hidden="false" customHeight="false" outlineLevel="0" collapsed="false">
      <c r="A1174" s="54" t="n">
        <v>46270</v>
      </c>
      <c r="B1174" s="46" t="s">
        <v>44</v>
      </c>
      <c r="C1174" s="46" t="s">
        <v>97</v>
      </c>
      <c r="D1174" s="46" t="s">
        <v>110</v>
      </c>
      <c r="E1174" s="47" t="n">
        <v>235300</v>
      </c>
    </row>
    <row r="1175" customFormat="false" ht="15" hidden="false" customHeight="false" outlineLevel="0" collapsed="false">
      <c r="A1175" s="54" t="n">
        <v>46270</v>
      </c>
      <c r="B1175" s="46" t="s">
        <v>47</v>
      </c>
      <c r="C1175" s="46" t="s">
        <v>97</v>
      </c>
      <c r="D1175" s="46" t="s">
        <v>110</v>
      </c>
      <c r="E1175" s="47" t="n">
        <v>156000</v>
      </c>
    </row>
    <row r="1176" customFormat="false" ht="15" hidden="false" customHeight="false" outlineLevel="0" collapsed="false">
      <c r="A1176" s="54" t="n">
        <v>46270</v>
      </c>
      <c r="B1176" s="46" t="s">
        <v>55</v>
      </c>
      <c r="C1176" s="46" t="s">
        <v>103</v>
      </c>
      <c r="D1176" s="46" t="s">
        <v>109</v>
      </c>
      <c r="E1176" s="47" t="n">
        <v>79200</v>
      </c>
    </row>
    <row r="1177" customFormat="false" ht="15" hidden="false" customHeight="false" outlineLevel="0" collapsed="false">
      <c r="A1177" s="54" t="n">
        <v>46271</v>
      </c>
      <c r="B1177" s="46" t="s">
        <v>58</v>
      </c>
      <c r="C1177" s="46" t="s">
        <v>103</v>
      </c>
      <c r="D1177" s="46" t="s">
        <v>109</v>
      </c>
      <c r="E1177" s="47" t="n">
        <v>7000</v>
      </c>
    </row>
    <row r="1178" customFormat="false" ht="15" hidden="false" customHeight="false" outlineLevel="0" collapsed="false">
      <c r="A1178" s="54" t="n">
        <v>46271</v>
      </c>
      <c r="B1178" s="46" t="s">
        <v>45</v>
      </c>
      <c r="C1178" s="46" t="s">
        <v>97</v>
      </c>
      <c r="D1178" s="46" t="s">
        <v>110</v>
      </c>
      <c r="E1178" s="47" t="n">
        <v>245200</v>
      </c>
    </row>
    <row r="1179" customFormat="false" ht="15" hidden="false" customHeight="false" outlineLevel="0" collapsed="false">
      <c r="A1179" s="54" t="n">
        <v>46271</v>
      </c>
      <c r="B1179" s="46" t="s">
        <v>45</v>
      </c>
      <c r="C1179" s="46" t="s">
        <v>97</v>
      </c>
      <c r="D1179" s="46" t="s">
        <v>110</v>
      </c>
      <c r="E1179" s="47" t="n">
        <v>178600</v>
      </c>
    </row>
    <row r="1180" customFormat="false" ht="15" hidden="false" customHeight="false" outlineLevel="0" collapsed="false">
      <c r="A1180" s="54" t="n">
        <v>46271</v>
      </c>
      <c r="B1180" s="46" t="s">
        <v>45</v>
      </c>
      <c r="C1180" s="46" t="s">
        <v>97</v>
      </c>
      <c r="D1180" s="46" t="s">
        <v>110</v>
      </c>
      <c r="E1180" s="47" t="n">
        <v>318100</v>
      </c>
    </row>
    <row r="1181" customFormat="false" ht="15" hidden="false" customHeight="false" outlineLevel="0" collapsed="false">
      <c r="A1181" s="54" t="n">
        <v>46271</v>
      </c>
      <c r="B1181" s="46" t="s">
        <v>45</v>
      </c>
      <c r="C1181" s="46" t="s">
        <v>97</v>
      </c>
      <c r="D1181" s="46" t="s">
        <v>110</v>
      </c>
      <c r="E1181" s="47" t="n">
        <v>561800</v>
      </c>
    </row>
    <row r="1182" customFormat="false" ht="15" hidden="false" customHeight="false" outlineLevel="0" collapsed="false">
      <c r="A1182" s="54" t="n">
        <v>46271</v>
      </c>
      <c r="B1182" s="46" t="s">
        <v>47</v>
      </c>
      <c r="C1182" s="46" t="s">
        <v>97</v>
      </c>
      <c r="D1182" s="46" t="s">
        <v>110</v>
      </c>
      <c r="E1182" s="47" t="n">
        <v>241300</v>
      </c>
    </row>
    <row r="1183" customFormat="false" ht="15" hidden="false" customHeight="false" outlineLevel="0" collapsed="false">
      <c r="A1183" s="54" t="n">
        <v>46271</v>
      </c>
      <c r="B1183" s="46" t="s">
        <v>54</v>
      </c>
      <c r="C1183" s="46" t="s">
        <v>103</v>
      </c>
      <c r="D1183" s="46" t="s">
        <v>109</v>
      </c>
      <c r="E1183" s="47" t="n">
        <v>50300</v>
      </c>
    </row>
    <row r="1184" customFormat="false" ht="15" hidden="false" customHeight="false" outlineLevel="0" collapsed="false">
      <c r="A1184" s="54" t="n">
        <v>46272</v>
      </c>
      <c r="B1184" s="46" t="s">
        <v>58</v>
      </c>
      <c r="C1184" s="46" t="s">
        <v>103</v>
      </c>
      <c r="D1184" s="46" t="s">
        <v>109</v>
      </c>
      <c r="E1184" s="47" t="n">
        <v>6700</v>
      </c>
    </row>
    <row r="1185" customFormat="false" ht="15" hidden="false" customHeight="false" outlineLevel="0" collapsed="false">
      <c r="A1185" s="54" t="n">
        <v>46272</v>
      </c>
      <c r="B1185" s="46" t="s">
        <v>52</v>
      </c>
      <c r="C1185" s="46" t="s">
        <v>103</v>
      </c>
      <c r="D1185" s="46" t="s">
        <v>109</v>
      </c>
      <c r="E1185" s="47" t="n">
        <v>1719000</v>
      </c>
    </row>
    <row r="1186" customFormat="false" ht="15" hidden="false" customHeight="false" outlineLevel="0" collapsed="false">
      <c r="A1186" s="54" t="n">
        <v>46272</v>
      </c>
      <c r="B1186" s="46" t="s">
        <v>46</v>
      </c>
      <c r="C1186" s="46" t="s">
        <v>97</v>
      </c>
      <c r="D1186" s="46" t="s">
        <v>110</v>
      </c>
      <c r="E1186" s="47" t="n">
        <v>342300</v>
      </c>
    </row>
    <row r="1187" customFormat="false" ht="15" hidden="false" customHeight="false" outlineLevel="0" collapsed="false">
      <c r="A1187" s="54" t="n">
        <v>46272</v>
      </c>
      <c r="B1187" s="46" t="s">
        <v>44</v>
      </c>
      <c r="C1187" s="46" t="s">
        <v>97</v>
      </c>
      <c r="D1187" s="46" t="s">
        <v>110</v>
      </c>
      <c r="E1187" s="47" t="n">
        <v>585100</v>
      </c>
    </row>
    <row r="1188" customFormat="false" ht="15" hidden="false" customHeight="false" outlineLevel="0" collapsed="false">
      <c r="A1188" s="54" t="n">
        <v>46272</v>
      </c>
      <c r="B1188" s="46" t="s">
        <v>47</v>
      </c>
      <c r="C1188" s="46" t="s">
        <v>97</v>
      </c>
      <c r="D1188" s="46" t="s">
        <v>110</v>
      </c>
      <c r="E1188" s="47" t="n">
        <v>235600</v>
      </c>
    </row>
    <row r="1189" customFormat="false" ht="15" hidden="false" customHeight="false" outlineLevel="0" collapsed="false">
      <c r="A1189" s="54" t="n">
        <v>46273</v>
      </c>
      <c r="B1189" s="46" t="s">
        <v>100</v>
      </c>
      <c r="C1189" s="46" t="s">
        <v>99</v>
      </c>
      <c r="D1189" s="46" t="s">
        <v>108</v>
      </c>
      <c r="E1189" s="47" t="n">
        <v>487100</v>
      </c>
    </row>
    <row r="1190" customFormat="false" ht="15" hidden="false" customHeight="false" outlineLevel="0" collapsed="false">
      <c r="A1190" s="54" t="n">
        <v>46273</v>
      </c>
      <c r="B1190" s="46" t="s">
        <v>102</v>
      </c>
      <c r="C1190" s="46" t="s">
        <v>99</v>
      </c>
      <c r="D1190" s="46" t="s">
        <v>108</v>
      </c>
      <c r="E1190" s="47" t="n">
        <v>692900</v>
      </c>
    </row>
    <row r="1191" customFormat="false" ht="15" hidden="false" customHeight="false" outlineLevel="0" collapsed="false">
      <c r="A1191" s="54" t="n">
        <v>46273</v>
      </c>
      <c r="B1191" s="46" t="s">
        <v>44</v>
      </c>
      <c r="C1191" s="46" t="s">
        <v>97</v>
      </c>
      <c r="D1191" s="46" t="s">
        <v>110</v>
      </c>
      <c r="E1191" s="47" t="n">
        <v>554000</v>
      </c>
    </row>
    <row r="1192" customFormat="false" ht="15" hidden="false" customHeight="false" outlineLevel="0" collapsed="false">
      <c r="A1192" s="54" t="n">
        <v>46274</v>
      </c>
      <c r="B1192" s="46" t="s">
        <v>57</v>
      </c>
      <c r="C1192" s="46" t="s">
        <v>103</v>
      </c>
      <c r="D1192" s="46" t="s">
        <v>109</v>
      </c>
      <c r="E1192" s="47" t="n">
        <v>91500</v>
      </c>
    </row>
    <row r="1193" customFormat="false" ht="15" hidden="false" customHeight="false" outlineLevel="0" collapsed="false">
      <c r="A1193" s="54" t="n">
        <v>46274</v>
      </c>
      <c r="B1193" s="46" t="s">
        <v>44</v>
      </c>
      <c r="C1193" s="46" t="s">
        <v>97</v>
      </c>
      <c r="D1193" s="46" t="s">
        <v>110</v>
      </c>
      <c r="E1193" s="47" t="n">
        <v>235400</v>
      </c>
    </row>
    <row r="1194" customFormat="false" ht="15" hidden="false" customHeight="false" outlineLevel="0" collapsed="false">
      <c r="A1194" s="54" t="n">
        <v>46274</v>
      </c>
      <c r="B1194" s="46" t="s">
        <v>44</v>
      </c>
      <c r="C1194" s="46" t="s">
        <v>97</v>
      </c>
      <c r="D1194" s="46" t="s">
        <v>110</v>
      </c>
      <c r="E1194" s="47" t="n">
        <v>564500</v>
      </c>
    </row>
    <row r="1195" customFormat="false" ht="15" hidden="false" customHeight="false" outlineLevel="0" collapsed="false">
      <c r="A1195" s="54" t="n">
        <v>46275</v>
      </c>
      <c r="B1195" s="46" t="s">
        <v>58</v>
      </c>
      <c r="C1195" s="46" t="s">
        <v>103</v>
      </c>
      <c r="D1195" s="46" t="s">
        <v>109</v>
      </c>
      <c r="E1195" s="47" t="n">
        <v>6000</v>
      </c>
    </row>
    <row r="1196" customFormat="false" ht="15" hidden="false" customHeight="false" outlineLevel="0" collapsed="false">
      <c r="A1196" s="54" t="n">
        <v>46275</v>
      </c>
      <c r="B1196" s="46" t="s">
        <v>101</v>
      </c>
      <c r="C1196" s="46" t="s">
        <v>99</v>
      </c>
      <c r="D1196" s="46" t="s">
        <v>108</v>
      </c>
      <c r="E1196" s="47" t="n">
        <v>361600</v>
      </c>
    </row>
    <row r="1197" customFormat="false" ht="15" hidden="false" customHeight="false" outlineLevel="0" collapsed="false">
      <c r="A1197" s="54" t="n">
        <v>46275</v>
      </c>
      <c r="B1197" s="46" t="s">
        <v>100</v>
      </c>
      <c r="C1197" s="46" t="s">
        <v>99</v>
      </c>
      <c r="D1197" s="46" t="s">
        <v>108</v>
      </c>
      <c r="E1197" s="47" t="n">
        <v>968700</v>
      </c>
    </row>
    <row r="1198" customFormat="false" ht="15" hidden="false" customHeight="false" outlineLevel="0" collapsed="false">
      <c r="A1198" s="54" t="n">
        <v>46275</v>
      </c>
      <c r="B1198" s="46" t="s">
        <v>100</v>
      </c>
      <c r="C1198" s="46" t="s">
        <v>99</v>
      </c>
      <c r="D1198" s="46" t="s">
        <v>108</v>
      </c>
      <c r="E1198" s="47" t="n">
        <v>996200</v>
      </c>
    </row>
    <row r="1199" customFormat="false" ht="15" hidden="false" customHeight="false" outlineLevel="0" collapsed="false">
      <c r="A1199" s="54" t="n">
        <v>46275</v>
      </c>
      <c r="B1199" s="46" t="s">
        <v>53</v>
      </c>
      <c r="C1199" s="46" t="s">
        <v>103</v>
      </c>
      <c r="D1199" s="46" t="s">
        <v>109</v>
      </c>
      <c r="E1199" s="47" t="n">
        <v>569200</v>
      </c>
    </row>
    <row r="1200" customFormat="false" ht="15" hidden="false" customHeight="false" outlineLevel="0" collapsed="false">
      <c r="A1200" s="54" t="n">
        <v>46275</v>
      </c>
      <c r="B1200" s="46" t="s">
        <v>44</v>
      </c>
      <c r="C1200" s="46" t="s">
        <v>97</v>
      </c>
      <c r="D1200" s="46" t="s">
        <v>110</v>
      </c>
      <c r="E1200" s="47" t="n">
        <v>225600</v>
      </c>
    </row>
    <row r="1201" customFormat="false" ht="15" hidden="false" customHeight="false" outlineLevel="0" collapsed="false">
      <c r="A1201" s="54" t="n">
        <v>46275</v>
      </c>
      <c r="B1201" s="46" t="s">
        <v>47</v>
      </c>
      <c r="C1201" s="46" t="s">
        <v>97</v>
      </c>
      <c r="D1201" s="46" t="s">
        <v>110</v>
      </c>
      <c r="E1201" s="47" t="n">
        <v>208500</v>
      </c>
    </row>
    <row r="1202" customFormat="false" ht="15" hidden="false" customHeight="false" outlineLevel="0" collapsed="false">
      <c r="A1202" s="54" t="n">
        <v>46275</v>
      </c>
      <c r="B1202" s="46" t="s">
        <v>47</v>
      </c>
      <c r="C1202" s="46" t="s">
        <v>97</v>
      </c>
      <c r="D1202" s="46" t="s">
        <v>110</v>
      </c>
      <c r="E1202" s="47" t="n">
        <v>223500</v>
      </c>
    </row>
    <row r="1203" customFormat="false" ht="15" hidden="false" customHeight="false" outlineLevel="0" collapsed="false">
      <c r="A1203" s="54" t="n">
        <v>46275</v>
      </c>
      <c r="B1203" s="46" t="s">
        <v>47</v>
      </c>
      <c r="C1203" s="46" t="s">
        <v>97</v>
      </c>
      <c r="D1203" s="46" t="s">
        <v>110</v>
      </c>
      <c r="E1203" s="47" t="n">
        <v>304000</v>
      </c>
    </row>
    <row r="1204" customFormat="false" ht="15" hidden="false" customHeight="false" outlineLevel="0" collapsed="false">
      <c r="A1204" s="54" t="n">
        <v>46276</v>
      </c>
      <c r="B1204" s="46" t="s">
        <v>58</v>
      </c>
      <c r="C1204" s="46" t="s">
        <v>103</v>
      </c>
      <c r="D1204" s="46" t="s">
        <v>109</v>
      </c>
      <c r="E1204" s="47" t="n">
        <v>3900</v>
      </c>
    </row>
    <row r="1205" customFormat="false" ht="15" hidden="false" customHeight="false" outlineLevel="0" collapsed="false">
      <c r="A1205" s="54" t="n">
        <v>46276</v>
      </c>
      <c r="B1205" s="46" t="s">
        <v>44</v>
      </c>
      <c r="C1205" s="46" t="s">
        <v>97</v>
      </c>
      <c r="D1205" s="46" t="s">
        <v>110</v>
      </c>
      <c r="E1205" s="47" t="n">
        <v>662000</v>
      </c>
    </row>
    <row r="1206" customFormat="false" ht="15" hidden="false" customHeight="false" outlineLevel="0" collapsed="false">
      <c r="A1206" s="54" t="n">
        <v>46276</v>
      </c>
      <c r="B1206" s="46" t="s">
        <v>45</v>
      </c>
      <c r="C1206" s="46" t="s">
        <v>97</v>
      </c>
      <c r="D1206" s="46" t="s">
        <v>110</v>
      </c>
      <c r="E1206" s="47" t="n">
        <v>320300</v>
      </c>
    </row>
    <row r="1207" customFormat="false" ht="15" hidden="false" customHeight="false" outlineLevel="0" collapsed="false">
      <c r="A1207" s="54" t="n">
        <v>46276</v>
      </c>
      <c r="B1207" s="46" t="s">
        <v>47</v>
      </c>
      <c r="C1207" s="46" t="s">
        <v>97</v>
      </c>
      <c r="D1207" s="46" t="s">
        <v>110</v>
      </c>
      <c r="E1207" s="47" t="n">
        <v>124500</v>
      </c>
    </row>
    <row r="1208" customFormat="false" ht="15" hidden="false" customHeight="false" outlineLevel="0" collapsed="false">
      <c r="A1208" s="54" t="n">
        <v>46276</v>
      </c>
      <c r="B1208" s="46" t="s">
        <v>47</v>
      </c>
      <c r="C1208" s="46" t="s">
        <v>97</v>
      </c>
      <c r="D1208" s="46" t="s">
        <v>110</v>
      </c>
      <c r="E1208" s="47" t="n">
        <v>197200</v>
      </c>
    </row>
    <row r="1209" customFormat="false" ht="15" hidden="false" customHeight="false" outlineLevel="0" collapsed="false">
      <c r="A1209" s="54" t="n">
        <v>46277</v>
      </c>
      <c r="B1209" s="46" t="s">
        <v>58</v>
      </c>
      <c r="C1209" s="46" t="s">
        <v>103</v>
      </c>
      <c r="D1209" s="46" t="s">
        <v>109</v>
      </c>
      <c r="E1209" s="47" t="n">
        <v>11800</v>
      </c>
    </row>
    <row r="1210" customFormat="false" ht="15" hidden="false" customHeight="false" outlineLevel="0" collapsed="false">
      <c r="A1210" s="54" t="n">
        <v>46277</v>
      </c>
      <c r="B1210" s="46" t="s">
        <v>101</v>
      </c>
      <c r="C1210" s="46" t="s">
        <v>99</v>
      </c>
      <c r="D1210" s="46" t="s">
        <v>108</v>
      </c>
      <c r="E1210" s="47" t="n">
        <v>482600</v>
      </c>
    </row>
    <row r="1211" customFormat="false" ht="15" hidden="false" customHeight="false" outlineLevel="0" collapsed="false">
      <c r="A1211" s="54" t="n">
        <v>46277</v>
      </c>
      <c r="B1211" s="46" t="s">
        <v>102</v>
      </c>
      <c r="C1211" s="46" t="s">
        <v>99</v>
      </c>
      <c r="D1211" s="46" t="s">
        <v>108</v>
      </c>
      <c r="E1211" s="47" t="n">
        <v>225300</v>
      </c>
    </row>
    <row r="1212" customFormat="false" ht="15" hidden="false" customHeight="false" outlineLevel="0" collapsed="false">
      <c r="A1212" s="54" t="n">
        <v>46277</v>
      </c>
      <c r="B1212" s="46" t="s">
        <v>102</v>
      </c>
      <c r="C1212" s="46" t="s">
        <v>99</v>
      </c>
      <c r="D1212" s="46" t="s">
        <v>108</v>
      </c>
      <c r="E1212" s="47" t="n">
        <v>336400</v>
      </c>
    </row>
    <row r="1213" customFormat="false" ht="15" hidden="false" customHeight="false" outlineLevel="0" collapsed="false">
      <c r="A1213" s="54" t="n">
        <v>46277</v>
      </c>
      <c r="B1213" s="46" t="s">
        <v>55</v>
      </c>
      <c r="C1213" s="46" t="s">
        <v>103</v>
      </c>
      <c r="D1213" s="46" t="s">
        <v>109</v>
      </c>
      <c r="E1213" s="47" t="n">
        <v>96300</v>
      </c>
    </row>
    <row r="1214" customFormat="false" ht="15" hidden="false" customHeight="false" outlineLevel="0" collapsed="false">
      <c r="A1214" s="54" t="n">
        <v>46278</v>
      </c>
      <c r="B1214" s="46" t="s">
        <v>46</v>
      </c>
      <c r="C1214" s="46" t="s">
        <v>97</v>
      </c>
      <c r="D1214" s="46" t="s">
        <v>110</v>
      </c>
      <c r="E1214" s="47" t="n">
        <v>264000</v>
      </c>
    </row>
    <row r="1215" customFormat="false" ht="15" hidden="false" customHeight="false" outlineLevel="0" collapsed="false">
      <c r="A1215" s="54" t="n">
        <v>46278</v>
      </c>
      <c r="B1215" s="46" t="s">
        <v>46</v>
      </c>
      <c r="C1215" s="46" t="s">
        <v>97</v>
      </c>
      <c r="D1215" s="46" t="s">
        <v>110</v>
      </c>
      <c r="E1215" s="47" t="n">
        <v>201400</v>
      </c>
    </row>
    <row r="1216" customFormat="false" ht="15" hidden="false" customHeight="false" outlineLevel="0" collapsed="false">
      <c r="A1216" s="54" t="n">
        <v>46278</v>
      </c>
      <c r="B1216" s="46" t="s">
        <v>44</v>
      </c>
      <c r="C1216" s="46" t="s">
        <v>97</v>
      </c>
      <c r="D1216" s="46" t="s">
        <v>110</v>
      </c>
      <c r="E1216" s="47" t="n">
        <v>550200</v>
      </c>
    </row>
    <row r="1217" customFormat="false" ht="15" hidden="false" customHeight="false" outlineLevel="0" collapsed="false">
      <c r="A1217" s="54" t="n">
        <v>46278</v>
      </c>
      <c r="B1217" s="46" t="s">
        <v>47</v>
      </c>
      <c r="C1217" s="46" t="s">
        <v>97</v>
      </c>
      <c r="D1217" s="46" t="s">
        <v>110</v>
      </c>
      <c r="E1217" s="47" t="n">
        <v>120600</v>
      </c>
    </row>
    <row r="1218" customFormat="false" ht="15" hidden="false" customHeight="false" outlineLevel="0" collapsed="false">
      <c r="A1218" s="54" t="n">
        <v>46278</v>
      </c>
      <c r="B1218" s="46" t="s">
        <v>55</v>
      </c>
      <c r="C1218" s="46" t="s">
        <v>103</v>
      </c>
      <c r="D1218" s="46" t="s">
        <v>109</v>
      </c>
      <c r="E1218" s="47" t="n">
        <v>100500</v>
      </c>
    </row>
    <row r="1219" customFormat="false" ht="15" hidden="false" customHeight="false" outlineLevel="0" collapsed="false">
      <c r="A1219" s="54" t="n">
        <v>46279</v>
      </c>
      <c r="B1219" s="46" t="s">
        <v>101</v>
      </c>
      <c r="C1219" s="46" t="s">
        <v>99</v>
      </c>
      <c r="D1219" s="46" t="s">
        <v>108</v>
      </c>
      <c r="E1219" s="47" t="n">
        <v>324500</v>
      </c>
    </row>
    <row r="1220" customFormat="false" ht="15" hidden="false" customHeight="false" outlineLevel="0" collapsed="false">
      <c r="A1220" s="54" t="n">
        <v>46279</v>
      </c>
      <c r="B1220" s="46" t="s">
        <v>98</v>
      </c>
      <c r="C1220" s="46" t="s">
        <v>99</v>
      </c>
      <c r="D1220" s="46" t="s">
        <v>108</v>
      </c>
      <c r="E1220" s="47" t="n">
        <v>1436200</v>
      </c>
    </row>
    <row r="1221" customFormat="false" ht="15" hidden="false" customHeight="false" outlineLevel="0" collapsed="false">
      <c r="A1221" s="54" t="n">
        <v>46279</v>
      </c>
      <c r="B1221" s="46" t="s">
        <v>45</v>
      </c>
      <c r="C1221" s="46" t="s">
        <v>97</v>
      </c>
      <c r="D1221" s="46" t="s">
        <v>110</v>
      </c>
      <c r="E1221" s="47" t="n">
        <v>658500</v>
      </c>
    </row>
    <row r="1222" customFormat="false" ht="15" hidden="false" customHeight="false" outlineLevel="0" collapsed="false">
      <c r="A1222" s="54" t="n">
        <v>46279</v>
      </c>
      <c r="B1222" s="46" t="s">
        <v>45</v>
      </c>
      <c r="C1222" s="46" t="s">
        <v>97</v>
      </c>
      <c r="D1222" s="46" t="s">
        <v>110</v>
      </c>
      <c r="E1222" s="47" t="n">
        <v>430100</v>
      </c>
    </row>
    <row r="1223" customFormat="false" ht="15" hidden="false" customHeight="false" outlineLevel="0" collapsed="false">
      <c r="A1223" s="54" t="n">
        <v>46279</v>
      </c>
      <c r="B1223" s="46" t="s">
        <v>45</v>
      </c>
      <c r="C1223" s="46" t="s">
        <v>97</v>
      </c>
      <c r="D1223" s="46" t="s">
        <v>110</v>
      </c>
      <c r="E1223" s="47" t="n">
        <v>380100</v>
      </c>
    </row>
    <row r="1224" customFormat="false" ht="15" hidden="false" customHeight="false" outlineLevel="0" collapsed="false">
      <c r="A1224" s="54" t="n">
        <v>46280</v>
      </c>
      <c r="B1224" s="46" t="s">
        <v>59</v>
      </c>
      <c r="C1224" s="46" t="s">
        <v>103</v>
      </c>
      <c r="D1224" s="46" t="s">
        <v>109</v>
      </c>
      <c r="E1224" s="47" t="n">
        <v>61400</v>
      </c>
    </row>
    <row r="1225" customFormat="false" ht="15" hidden="false" customHeight="false" outlineLevel="0" collapsed="false">
      <c r="A1225" s="54" t="n">
        <v>46280</v>
      </c>
      <c r="B1225" s="46" t="s">
        <v>46</v>
      </c>
      <c r="C1225" s="46" t="s">
        <v>97</v>
      </c>
      <c r="D1225" s="46" t="s">
        <v>110</v>
      </c>
      <c r="E1225" s="47" t="n">
        <v>112000</v>
      </c>
    </row>
    <row r="1226" customFormat="false" ht="15" hidden="false" customHeight="false" outlineLevel="0" collapsed="false">
      <c r="A1226" s="54" t="n">
        <v>46280</v>
      </c>
      <c r="B1226" s="46" t="s">
        <v>46</v>
      </c>
      <c r="C1226" s="46" t="s">
        <v>97</v>
      </c>
      <c r="D1226" s="46" t="s">
        <v>110</v>
      </c>
      <c r="E1226" s="47" t="n">
        <v>168500</v>
      </c>
    </row>
    <row r="1227" customFormat="false" ht="15" hidden="false" customHeight="false" outlineLevel="0" collapsed="false">
      <c r="A1227" s="54" t="n">
        <v>46280</v>
      </c>
      <c r="B1227" s="46" t="s">
        <v>46</v>
      </c>
      <c r="C1227" s="46" t="s">
        <v>97</v>
      </c>
      <c r="D1227" s="46" t="s">
        <v>110</v>
      </c>
      <c r="E1227" s="47" t="n">
        <v>217900</v>
      </c>
    </row>
    <row r="1228" customFormat="false" ht="15" hidden="false" customHeight="false" outlineLevel="0" collapsed="false">
      <c r="A1228" s="54" t="n">
        <v>46280</v>
      </c>
      <c r="B1228" s="46" t="s">
        <v>45</v>
      </c>
      <c r="C1228" s="46" t="s">
        <v>97</v>
      </c>
      <c r="D1228" s="46" t="s">
        <v>110</v>
      </c>
      <c r="E1228" s="47" t="n">
        <v>682000</v>
      </c>
    </row>
    <row r="1229" customFormat="false" ht="15" hidden="false" customHeight="false" outlineLevel="0" collapsed="false">
      <c r="A1229" s="54" t="n">
        <v>46280</v>
      </c>
      <c r="B1229" s="46" t="s">
        <v>47</v>
      </c>
      <c r="C1229" s="46" t="s">
        <v>97</v>
      </c>
      <c r="D1229" s="46" t="s">
        <v>110</v>
      </c>
      <c r="E1229" s="47" t="n">
        <v>183100</v>
      </c>
    </row>
    <row r="1230" customFormat="false" ht="15" hidden="false" customHeight="false" outlineLevel="0" collapsed="false">
      <c r="A1230" s="54" t="n">
        <v>46280</v>
      </c>
      <c r="B1230" s="46" t="s">
        <v>47</v>
      </c>
      <c r="C1230" s="46" t="s">
        <v>97</v>
      </c>
      <c r="D1230" s="46" t="s">
        <v>110</v>
      </c>
      <c r="E1230" s="47" t="n">
        <v>96500</v>
      </c>
    </row>
    <row r="1231" customFormat="false" ht="15" hidden="false" customHeight="false" outlineLevel="0" collapsed="false">
      <c r="A1231" s="54" t="n">
        <v>46281</v>
      </c>
      <c r="B1231" s="46" t="s">
        <v>46</v>
      </c>
      <c r="C1231" s="46" t="s">
        <v>97</v>
      </c>
      <c r="D1231" s="46" t="s">
        <v>110</v>
      </c>
      <c r="E1231" s="47" t="n">
        <v>243300</v>
      </c>
    </row>
    <row r="1232" customFormat="false" ht="15" hidden="false" customHeight="false" outlineLevel="0" collapsed="false">
      <c r="A1232" s="54" t="n">
        <v>46281</v>
      </c>
      <c r="B1232" s="46" t="s">
        <v>47</v>
      </c>
      <c r="C1232" s="46" t="s">
        <v>97</v>
      </c>
      <c r="D1232" s="46" t="s">
        <v>110</v>
      </c>
      <c r="E1232" s="47" t="n">
        <v>193400</v>
      </c>
    </row>
    <row r="1233" customFormat="false" ht="15" hidden="false" customHeight="false" outlineLevel="0" collapsed="false">
      <c r="A1233" s="54" t="n">
        <v>46282</v>
      </c>
      <c r="B1233" s="46" t="s">
        <v>101</v>
      </c>
      <c r="C1233" s="46" t="s">
        <v>99</v>
      </c>
      <c r="D1233" s="46" t="s">
        <v>108</v>
      </c>
      <c r="E1233" s="47" t="n">
        <v>389100</v>
      </c>
    </row>
    <row r="1234" customFormat="false" ht="15" hidden="false" customHeight="false" outlineLevel="0" collapsed="false">
      <c r="A1234" s="54" t="n">
        <v>46282</v>
      </c>
      <c r="B1234" s="46" t="s">
        <v>102</v>
      </c>
      <c r="C1234" s="46" t="s">
        <v>99</v>
      </c>
      <c r="D1234" s="46" t="s">
        <v>108</v>
      </c>
      <c r="E1234" s="47" t="n">
        <v>596300</v>
      </c>
    </row>
    <row r="1235" customFormat="false" ht="15" hidden="false" customHeight="false" outlineLevel="0" collapsed="false">
      <c r="A1235" s="54" t="n">
        <v>46282</v>
      </c>
      <c r="B1235" s="46" t="s">
        <v>102</v>
      </c>
      <c r="C1235" s="46" t="s">
        <v>99</v>
      </c>
      <c r="D1235" s="46" t="s">
        <v>108</v>
      </c>
      <c r="E1235" s="47" t="n">
        <v>473000</v>
      </c>
    </row>
    <row r="1236" customFormat="false" ht="15" hidden="false" customHeight="false" outlineLevel="0" collapsed="false">
      <c r="A1236" s="54" t="n">
        <v>46282</v>
      </c>
      <c r="B1236" s="46" t="s">
        <v>44</v>
      </c>
      <c r="C1236" s="46" t="s">
        <v>97</v>
      </c>
      <c r="D1236" s="46" t="s">
        <v>110</v>
      </c>
      <c r="E1236" s="47" t="n">
        <v>732600</v>
      </c>
    </row>
    <row r="1237" customFormat="false" ht="15" hidden="false" customHeight="false" outlineLevel="0" collapsed="false">
      <c r="A1237" s="54" t="n">
        <v>46283</v>
      </c>
      <c r="B1237" s="46" t="s">
        <v>101</v>
      </c>
      <c r="C1237" s="46" t="s">
        <v>99</v>
      </c>
      <c r="D1237" s="46" t="s">
        <v>108</v>
      </c>
      <c r="E1237" s="47" t="n">
        <v>500900</v>
      </c>
    </row>
    <row r="1238" customFormat="false" ht="15" hidden="false" customHeight="false" outlineLevel="0" collapsed="false">
      <c r="A1238" s="54" t="n">
        <v>46283</v>
      </c>
      <c r="B1238" s="46" t="s">
        <v>44</v>
      </c>
      <c r="C1238" s="46" t="s">
        <v>97</v>
      </c>
      <c r="D1238" s="46" t="s">
        <v>110</v>
      </c>
      <c r="E1238" s="47" t="n">
        <v>352700</v>
      </c>
    </row>
    <row r="1239" customFormat="false" ht="15" hidden="false" customHeight="false" outlineLevel="0" collapsed="false">
      <c r="A1239" s="54" t="n">
        <v>46283</v>
      </c>
      <c r="B1239" s="46" t="s">
        <v>47</v>
      </c>
      <c r="C1239" s="46" t="s">
        <v>97</v>
      </c>
      <c r="D1239" s="46" t="s">
        <v>110</v>
      </c>
      <c r="E1239" s="47" t="n">
        <v>174100</v>
      </c>
    </row>
    <row r="1240" customFormat="false" ht="15" hidden="false" customHeight="false" outlineLevel="0" collapsed="false">
      <c r="A1240" s="54" t="n">
        <v>46283</v>
      </c>
      <c r="B1240" s="46" t="s">
        <v>55</v>
      </c>
      <c r="C1240" s="46" t="s">
        <v>103</v>
      </c>
      <c r="D1240" s="46" t="s">
        <v>109</v>
      </c>
      <c r="E1240" s="47" t="n">
        <v>109600</v>
      </c>
    </row>
    <row r="1241" customFormat="false" ht="15" hidden="false" customHeight="false" outlineLevel="0" collapsed="false">
      <c r="A1241" s="54" t="n">
        <v>46284</v>
      </c>
      <c r="B1241" s="46" t="s">
        <v>58</v>
      </c>
      <c r="C1241" s="46" t="s">
        <v>103</v>
      </c>
      <c r="D1241" s="46" t="s">
        <v>109</v>
      </c>
      <c r="E1241" s="47" t="n">
        <v>6800</v>
      </c>
    </row>
    <row r="1242" customFormat="false" ht="15" hidden="false" customHeight="false" outlineLevel="0" collapsed="false">
      <c r="A1242" s="54" t="n">
        <v>46284</v>
      </c>
      <c r="B1242" s="46" t="s">
        <v>56</v>
      </c>
      <c r="C1242" s="46" t="s">
        <v>103</v>
      </c>
      <c r="D1242" s="46" t="s">
        <v>109</v>
      </c>
      <c r="E1242" s="47" t="n">
        <v>115200</v>
      </c>
    </row>
    <row r="1243" customFormat="false" ht="15" hidden="false" customHeight="false" outlineLevel="0" collapsed="false">
      <c r="A1243" s="54" t="n">
        <v>46284</v>
      </c>
      <c r="B1243" s="46" t="s">
        <v>45</v>
      </c>
      <c r="C1243" s="46" t="s">
        <v>97</v>
      </c>
      <c r="D1243" s="46" t="s">
        <v>110</v>
      </c>
      <c r="E1243" s="47" t="n">
        <v>276000</v>
      </c>
    </row>
    <row r="1244" customFormat="false" ht="15" hidden="false" customHeight="false" outlineLevel="0" collapsed="false">
      <c r="A1244" s="54" t="n">
        <v>46284</v>
      </c>
      <c r="B1244" s="46" t="s">
        <v>47</v>
      </c>
      <c r="C1244" s="46" t="s">
        <v>97</v>
      </c>
      <c r="D1244" s="46" t="s">
        <v>110</v>
      </c>
      <c r="E1244" s="47" t="n">
        <v>330100</v>
      </c>
    </row>
    <row r="1245" customFormat="false" ht="15" hidden="false" customHeight="false" outlineLevel="0" collapsed="false">
      <c r="A1245" s="54" t="n">
        <v>46284</v>
      </c>
      <c r="B1245" s="46" t="s">
        <v>47</v>
      </c>
      <c r="C1245" s="46" t="s">
        <v>97</v>
      </c>
      <c r="D1245" s="46" t="s">
        <v>110</v>
      </c>
      <c r="E1245" s="47" t="n">
        <v>96900</v>
      </c>
    </row>
    <row r="1246" customFormat="false" ht="15" hidden="false" customHeight="false" outlineLevel="0" collapsed="false">
      <c r="A1246" s="54" t="n">
        <v>46285</v>
      </c>
      <c r="B1246" s="46" t="s">
        <v>100</v>
      </c>
      <c r="C1246" s="46" t="s">
        <v>99</v>
      </c>
      <c r="D1246" s="46" t="s">
        <v>108</v>
      </c>
      <c r="E1246" s="47" t="n">
        <v>955700</v>
      </c>
    </row>
    <row r="1247" customFormat="false" ht="15" hidden="false" customHeight="false" outlineLevel="0" collapsed="false">
      <c r="A1247" s="54" t="n">
        <v>46285</v>
      </c>
      <c r="B1247" s="46" t="s">
        <v>102</v>
      </c>
      <c r="C1247" s="46" t="s">
        <v>99</v>
      </c>
      <c r="D1247" s="46" t="s">
        <v>108</v>
      </c>
      <c r="E1247" s="47" t="n">
        <v>293700</v>
      </c>
    </row>
    <row r="1248" customFormat="false" ht="15" hidden="false" customHeight="false" outlineLevel="0" collapsed="false">
      <c r="A1248" s="54" t="n">
        <v>46285</v>
      </c>
      <c r="B1248" s="46" t="s">
        <v>46</v>
      </c>
      <c r="C1248" s="46" t="s">
        <v>97</v>
      </c>
      <c r="D1248" s="46" t="s">
        <v>110</v>
      </c>
      <c r="E1248" s="47" t="n">
        <v>345400</v>
      </c>
    </row>
    <row r="1249" customFormat="false" ht="15" hidden="false" customHeight="false" outlineLevel="0" collapsed="false">
      <c r="A1249" s="54" t="n">
        <v>46285</v>
      </c>
      <c r="B1249" s="46" t="s">
        <v>55</v>
      </c>
      <c r="C1249" s="46" t="s">
        <v>103</v>
      </c>
      <c r="D1249" s="46" t="s">
        <v>109</v>
      </c>
      <c r="E1249" s="47" t="n">
        <v>48500</v>
      </c>
    </row>
    <row r="1250" customFormat="false" ht="15" hidden="false" customHeight="false" outlineLevel="0" collapsed="false">
      <c r="A1250" s="54" t="n">
        <v>46285</v>
      </c>
      <c r="B1250" s="46" t="s">
        <v>55</v>
      </c>
      <c r="C1250" s="46" t="s">
        <v>103</v>
      </c>
      <c r="D1250" s="46" t="s">
        <v>109</v>
      </c>
      <c r="E1250" s="47" t="n">
        <v>82200</v>
      </c>
    </row>
    <row r="1251" customFormat="false" ht="15" hidden="false" customHeight="false" outlineLevel="0" collapsed="false">
      <c r="A1251" s="54" t="n">
        <v>46286</v>
      </c>
      <c r="B1251" s="46" t="s">
        <v>98</v>
      </c>
      <c r="C1251" s="46" t="s">
        <v>99</v>
      </c>
      <c r="D1251" s="46" t="s">
        <v>108</v>
      </c>
      <c r="E1251" s="47" t="n">
        <v>1081200</v>
      </c>
    </row>
    <row r="1252" customFormat="false" ht="15" hidden="false" customHeight="false" outlineLevel="0" collapsed="false">
      <c r="A1252" s="54" t="n">
        <v>46286</v>
      </c>
      <c r="B1252" s="46" t="s">
        <v>46</v>
      </c>
      <c r="C1252" s="46" t="s">
        <v>97</v>
      </c>
      <c r="D1252" s="46" t="s">
        <v>110</v>
      </c>
      <c r="E1252" s="47" t="n">
        <v>313600</v>
      </c>
    </row>
    <row r="1253" customFormat="false" ht="15" hidden="false" customHeight="false" outlineLevel="0" collapsed="false">
      <c r="A1253" s="54" t="n">
        <v>46286</v>
      </c>
      <c r="B1253" s="46" t="s">
        <v>46</v>
      </c>
      <c r="C1253" s="46" t="s">
        <v>97</v>
      </c>
      <c r="D1253" s="46" t="s">
        <v>110</v>
      </c>
      <c r="E1253" s="47" t="n">
        <v>301400</v>
      </c>
    </row>
    <row r="1254" customFormat="false" ht="15" hidden="false" customHeight="false" outlineLevel="0" collapsed="false">
      <c r="A1254" s="54" t="n">
        <v>46286</v>
      </c>
      <c r="B1254" s="46" t="s">
        <v>44</v>
      </c>
      <c r="C1254" s="46" t="s">
        <v>97</v>
      </c>
      <c r="D1254" s="46" t="s">
        <v>110</v>
      </c>
      <c r="E1254" s="47" t="n">
        <v>814400</v>
      </c>
    </row>
    <row r="1255" customFormat="false" ht="15" hidden="false" customHeight="false" outlineLevel="0" collapsed="false">
      <c r="A1255" s="54" t="n">
        <v>46286</v>
      </c>
      <c r="B1255" s="46" t="s">
        <v>45</v>
      </c>
      <c r="C1255" s="46" t="s">
        <v>97</v>
      </c>
      <c r="D1255" s="46" t="s">
        <v>110</v>
      </c>
      <c r="E1255" s="47" t="n">
        <v>307900</v>
      </c>
    </row>
    <row r="1256" customFormat="false" ht="15" hidden="false" customHeight="false" outlineLevel="0" collapsed="false">
      <c r="A1256" s="54" t="n">
        <v>46286</v>
      </c>
      <c r="B1256" s="46" t="s">
        <v>47</v>
      </c>
      <c r="C1256" s="46" t="s">
        <v>97</v>
      </c>
      <c r="D1256" s="46" t="s">
        <v>110</v>
      </c>
      <c r="E1256" s="47" t="n">
        <v>224000</v>
      </c>
    </row>
    <row r="1257" customFormat="false" ht="15" hidden="false" customHeight="false" outlineLevel="0" collapsed="false">
      <c r="A1257" s="54" t="n">
        <v>46287</v>
      </c>
      <c r="B1257" s="46" t="s">
        <v>59</v>
      </c>
      <c r="C1257" s="46" t="s">
        <v>103</v>
      </c>
      <c r="D1257" s="46" t="s">
        <v>109</v>
      </c>
      <c r="E1257" s="47" t="n">
        <v>84000</v>
      </c>
    </row>
    <row r="1258" customFormat="false" ht="15" hidden="false" customHeight="false" outlineLevel="0" collapsed="false">
      <c r="A1258" s="54" t="n">
        <v>46287</v>
      </c>
      <c r="B1258" s="46" t="s">
        <v>44</v>
      </c>
      <c r="C1258" s="46" t="s">
        <v>97</v>
      </c>
      <c r="D1258" s="46" t="s">
        <v>110</v>
      </c>
      <c r="E1258" s="47" t="n">
        <v>646800</v>
      </c>
    </row>
    <row r="1259" customFormat="false" ht="15" hidden="false" customHeight="false" outlineLevel="0" collapsed="false">
      <c r="A1259" s="54" t="n">
        <v>46287</v>
      </c>
      <c r="B1259" s="46" t="s">
        <v>44</v>
      </c>
      <c r="C1259" s="46" t="s">
        <v>97</v>
      </c>
      <c r="D1259" s="46" t="s">
        <v>110</v>
      </c>
      <c r="E1259" s="47" t="n">
        <v>241400</v>
      </c>
    </row>
    <row r="1260" customFormat="false" ht="15" hidden="false" customHeight="false" outlineLevel="0" collapsed="false">
      <c r="A1260" s="54" t="n">
        <v>46287</v>
      </c>
      <c r="B1260" s="46" t="s">
        <v>47</v>
      </c>
      <c r="C1260" s="46" t="s">
        <v>97</v>
      </c>
      <c r="D1260" s="46" t="s">
        <v>110</v>
      </c>
      <c r="E1260" s="47" t="n">
        <v>129200</v>
      </c>
    </row>
    <row r="1261" customFormat="false" ht="15" hidden="false" customHeight="false" outlineLevel="0" collapsed="false">
      <c r="A1261" s="54" t="n">
        <v>46288</v>
      </c>
      <c r="B1261" s="46" t="s">
        <v>58</v>
      </c>
      <c r="C1261" s="46" t="s">
        <v>103</v>
      </c>
      <c r="D1261" s="46" t="s">
        <v>109</v>
      </c>
      <c r="E1261" s="47" t="n">
        <v>7600</v>
      </c>
    </row>
    <row r="1262" customFormat="false" ht="15" hidden="false" customHeight="false" outlineLevel="0" collapsed="false">
      <c r="A1262" s="54" t="n">
        <v>46288</v>
      </c>
      <c r="B1262" s="46" t="s">
        <v>98</v>
      </c>
      <c r="C1262" s="46" t="s">
        <v>99</v>
      </c>
      <c r="D1262" s="46" t="s">
        <v>108</v>
      </c>
      <c r="E1262" s="47" t="n">
        <v>1084900</v>
      </c>
    </row>
    <row r="1263" customFormat="false" ht="15" hidden="false" customHeight="false" outlineLevel="0" collapsed="false">
      <c r="A1263" s="54" t="n">
        <v>46288</v>
      </c>
      <c r="B1263" s="46" t="s">
        <v>100</v>
      </c>
      <c r="C1263" s="46" t="s">
        <v>99</v>
      </c>
      <c r="D1263" s="46" t="s">
        <v>108</v>
      </c>
      <c r="E1263" s="47" t="n">
        <v>1313400</v>
      </c>
    </row>
    <row r="1264" customFormat="false" ht="15" hidden="false" customHeight="false" outlineLevel="0" collapsed="false">
      <c r="A1264" s="54" t="n">
        <v>46288</v>
      </c>
      <c r="B1264" s="46" t="s">
        <v>46</v>
      </c>
      <c r="C1264" s="46" t="s">
        <v>97</v>
      </c>
      <c r="D1264" s="46" t="s">
        <v>110</v>
      </c>
      <c r="E1264" s="47" t="n">
        <v>159400</v>
      </c>
    </row>
    <row r="1265" customFormat="false" ht="15" hidden="false" customHeight="false" outlineLevel="0" collapsed="false">
      <c r="A1265" s="54" t="n">
        <v>46288</v>
      </c>
      <c r="B1265" s="46" t="s">
        <v>45</v>
      </c>
      <c r="C1265" s="46" t="s">
        <v>97</v>
      </c>
      <c r="D1265" s="46" t="s">
        <v>110</v>
      </c>
      <c r="E1265" s="47" t="n">
        <v>360100</v>
      </c>
    </row>
    <row r="1266" customFormat="false" ht="15" hidden="false" customHeight="false" outlineLevel="0" collapsed="false">
      <c r="A1266" s="54" t="n">
        <v>46288</v>
      </c>
      <c r="B1266" s="46" t="s">
        <v>45</v>
      </c>
      <c r="C1266" s="46" t="s">
        <v>97</v>
      </c>
      <c r="D1266" s="46" t="s">
        <v>110</v>
      </c>
      <c r="E1266" s="47" t="n">
        <v>202800</v>
      </c>
    </row>
    <row r="1267" customFormat="false" ht="15" hidden="false" customHeight="false" outlineLevel="0" collapsed="false">
      <c r="A1267" s="54" t="n">
        <v>46288</v>
      </c>
      <c r="B1267" s="46" t="s">
        <v>45</v>
      </c>
      <c r="C1267" s="46" t="s">
        <v>97</v>
      </c>
      <c r="D1267" s="46" t="s">
        <v>110</v>
      </c>
      <c r="E1267" s="47" t="n">
        <v>190300</v>
      </c>
    </row>
    <row r="1268" customFormat="false" ht="15" hidden="false" customHeight="false" outlineLevel="0" collapsed="false">
      <c r="A1268" s="54" t="n">
        <v>46288</v>
      </c>
      <c r="B1268" s="46" t="s">
        <v>45</v>
      </c>
      <c r="C1268" s="46" t="s">
        <v>97</v>
      </c>
      <c r="D1268" s="46" t="s">
        <v>110</v>
      </c>
      <c r="E1268" s="47" t="n">
        <v>665200</v>
      </c>
    </row>
    <row r="1269" customFormat="false" ht="15" hidden="false" customHeight="false" outlineLevel="0" collapsed="false">
      <c r="A1269" s="54" t="n">
        <v>46289</v>
      </c>
      <c r="B1269" s="46" t="s">
        <v>98</v>
      </c>
      <c r="C1269" s="46" t="s">
        <v>99</v>
      </c>
      <c r="D1269" s="46" t="s">
        <v>108</v>
      </c>
      <c r="E1269" s="47" t="n">
        <v>1545300</v>
      </c>
    </row>
    <row r="1270" customFormat="false" ht="15" hidden="false" customHeight="false" outlineLevel="0" collapsed="false">
      <c r="A1270" s="54" t="n">
        <v>46289</v>
      </c>
      <c r="B1270" s="46" t="s">
        <v>100</v>
      </c>
      <c r="C1270" s="46" t="s">
        <v>99</v>
      </c>
      <c r="D1270" s="46" t="s">
        <v>108</v>
      </c>
      <c r="E1270" s="47" t="n">
        <v>850300</v>
      </c>
    </row>
    <row r="1271" customFormat="false" ht="15" hidden="false" customHeight="false" outlineLevel="0" collapsed="false">
      <c r="A1271" s="54" t="n">
        <v>46289</v>
      </c>
      <c r="B1271" s="46" t="s">
        <v>56</v>
      </c>
      <c r="C1271" s="46" t="s">
        <v>103</v>
      </c>
      <c r="D1271" s="46" t="s">
        <v>109</v>
      </c>
      <c r="E1271" s="47" t="n">
        <v>106900</v>
      </c>
    </row>
    <row r="1272" customFormat="false" ht="15" hidden="false" customHeight="false" outlineLevel="0" collapsed="false">
      <c r="A1272" s="54" t="n">
        <v>46289</v>
      </c>
      <c r="B1272" s="46" t="s">
        <v>46</v>
      </c>
      <c r="C1272" s="46" t="s">
        <v>97</v>
      </c>
      <c r="D1272" s="46" t="s">
        <v>110</v>
      </c>
      <c r="E1272" s="47" t="n">
        <v>160800</v>
      </c>
    </row>
    <row r="1273" customFormat="false" ht="15" hidden="false" customHeight="false" outlineLevel="0" collapsed="false">
      <c r="A1273" s="54" t="n">
        <v>46289</v>
      </c>
      <c r="B1273" s="46" t="s">
        <v>44</v>
      </c>
      <c r="C1273" s="46" t="s">
        <v>97</v>
      </c>
      <c r="D1273" s="46" t="s">
        <v>110</v>
      </c>
      <c r="E1273" s="47" t="n">
        <v>629100</v>
      </c>
    </row>
    <row r="1274" customFormat="false" ht="15" hidden="false" customHeight="false" outlineLevel="0" collapsed="false">
      <c r="A1274" s="54" t="n">
        <v>46289</v>
      </c>
      <c r="B1274" s="46" t="s">
        <v>47</v>
      </c>
      <c r="C1274" s="46" t="s">
        <v>97</v>
      </c>
      <c r="D1274" s="46" t="s">
        <v>110</v>
      </c>
      <c r="E1274" s="47" t="n">
        <v>158500</v>
      </c>
    </row>
    <row r="1275" customFormat="false" ht="15" hidden="false" customHeight="false" outlineLevel="0" collapsed="false">
      <c r="A1275" s="54" t="n">
        <v>46290</v>
      </c>
      <c r="B1275" s="46" t="s">
        <v>101</v>
      </c>
      <c r="C1275" s="46" t="s">
        <v>99</v>
      </c>
      <c r="D1275" s="46" t="s">
        <v>108</v>
      </c>
      <c r="E1275" s="47" t="n">
        <v>751300</v>
      </c>
    </row>
    <row r="1276" customFormat="false" ht="15" hidden="false" customHeight="false" outlineLevel="0" collapsed="false">
      <c r="A1276" s="54" t="n">
        <v>46290</v>
      </c>
      <c r="B1276" s="46" t="s">
        <v>46</v>
      </c>
      <c r="C1276" s="46" t="s">
        <v>97</v>
      </c>
      <c r="D1276" s="46" t="s">
        <v>110</v>
      </c>
      <c r="E1276" s="47" t="n">
        <v>242300</v>
      </c>
    </row>
    <row r="1277" customFormat="false" ht="15" hidden="false" customHeight="false" outlineLevel="0" collapsed="false">
      <c r="A1277" s="54" t="n">
        <v>46290</v>
      </c>
      <c r="B1277" s="46" t="s">
        <v>46</v>
      </c>
      <c r="C1277" s="46" t="s">
        <v>97</v>
      </c>
      <c r="D1277" s="46" t="s">
        <v>110</v>
      </c>
      <c r="E1277" s="47" t="n">
        <v>271100</v>
      </c>
    </row>
    <row r="1278" customFormat="false" ht="15" hidden="false" customHeight="false" outlineLevel="0" collapsed="false">
      <c r="A1278" s="54" t="n">
        <v>46290</v>
      </c>
      <c r="B1278" s="46" t="s">
        <v>45</v>
      </c>
      <c r="C1278" s="46" t="s">
        <v>97</v>
      </c>
      <c r="D1278" s="46" t="s">
        <v>110</v>
      </c>
      <c r="E1278" s="47" t="n">
        <v>540700</v>
      </c>
    </row>
    <row r="1279" customFormat="false" ht="15" hidden="false" customHeight="false" outlineLevel="0" collapsed="false">
      <c r="A1279" s="54" t="n">
        <v>46290</v>
      </c>
      <c r="B1279" s="46" t="s">
        <v>47</v>
      </c>
      <c r="C1279" s="46" t="s">
        <v>97</v>
      </c>
      <c r="D1279" s="46" t="s">
        <v>110</v>
      </c>
      <c r="E1279" s="47" t="n">
        <v>175400</v>
      </c>
    </row>
    <row r="1280" customFormat="false" ht="15" hidden="false" customHeight="false" outlineLevel="0" collapsed="false">
      <c r="A1280" s="54" t="n">
        <v>46291</v>
      </c>
      <c r="B1280" s="46" t="s">
        <v>101</v>
      </c>
      <c r="C1280" s="46" t="s">
        <v>99</v>
      </c>
      <c r="D1280" s="46" t="s">
        <v>108</v>
      </c>
      <c r="E1280" s="47" t="n">
        <v>464400</v>
      </c>
    </row>
    <row r="1281" customFormat="false" ht="15" hidden="false" customHeight="false" outlineLevel="0" collapsed="false">
      <c r="A1281" s="54" t="n">
        <v>46292</v>
      </c>
      <c r="B1281" s="46" t="s">
        <v>58</v>
      </c>
      <c r="C1281" s="46" t="s">
        <v>103</v>
      </c>
      <c r="D1281" s="46" t="s">
        <v>109</v>
      </c>
      <c r="E1281" s="47" t="n">
        <v>9800</v>
      </c>
    </row>
    <row r="1282" customFormat="false" ht="15" hidden="false" customHeight="false" outlineLevel="0" collapsed="false">
      <c r="A1282" s="54" t="n">
        <v>46292</v>
      </c>
      <c r="B1282" s="46" t="s">
        <v>98</v>
      </c>
      <c r="C1282" s="46" t="s">
        <v>99</v>
      </c>
      <c r="D1282" s="46" t="s">
        <v>108</v>
      </c>
      <c r="E1282" s="47" t="n">
        <v>560000</v>
      </c>
    </row>
    <row r="1283" customFormat="false" ht="15" hidden="false" customHeight="false" outlineLevel="0" collapsed="false">
      <c r="A1283" s="54" t="n">
        <v>46292</v>
      </c>
      <c r="B1283" s="46" t="s">
        <v>98</v>
      </c>
      <c r="C1283" s="46" t="s">
        <v>99</v>
      </c>
      <c r="D1283" s="46" t="s">
        <v>108</v>
      </c>
      <c r="E1283" s="47" t="n">
        <v>1300600</v>
      </c>
    </row>
    <row r="1284" customFormat="false" ht="15" hidden="false" customHeight="false" outlineLevel="0" collapsed="false">
      <c r="A1284" s="54" t="n">
        <v>46292</v>
      </c>
      <c r="B1284" s="46" t="s">
        <v>44</v>
      </c>
      <c r="C1284" s="46" t="s">
        <v>97</v>
      </c>
      <c r="D1284" s="46" t="s">
        <v>110</v>
      </c>
      <c r="E1284" s="47" t="n">
        <v>477100</v>
      </c>
    </row>
    <row r="1285" customFormat="false" ht="15" hidden="false" customHeight="false" outlineLevel="0" collapsed="false">
      <c r="A1285" s="54" t="n">
        <v>46292</v>
      </c>
      <c r="B1285" s="46" t="s">
        <v>47</v>
      </c>
      <c r="C1285" s="46" t="s">
        <v>97</v>
      </c>
      <c r="D1285" s="46" t="s">
        <v>110</v>
      </c>
      <c r="E1285" s="47" t="n">
        <v>191700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2026-10-16T08:04:17Z</dcterms:created>
  <dc:creator>openpyxl</dc:creator>
  <dc:description/>
  <dc:language>en-US</dc:language>
  <cp:lastModifiedBy/>
  <dcterms:modified xsi:type="dcterms:W3CDTF">2026-10-16T08:04:20Z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